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hecks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Inspect" sheetId="4" state="visible" r:id="rId4"/>
    <sheet xmlns:r="http://schemas.openxmlformats.org/officeDocument/2006/relationships" name="Classifiers" sheetId="5" state="visible" r:id="rId5"/>
    <sheet xmlns:r="http://schemas.openxmlformats.org/officeDocument/2006/relationships" name="Inspect_Summary" sheetId="6" state="visible" r:id="rId6"/>
    <sheet xmlns:r="http://schemas.openxmlformats.org/officeDocument/2006/relationships" name="Profile" sheetId="7" state="visible" r:id="rId7"/>
    <sheet xmlns:r="http://schemas.openxmlformats.org/officeDocument/2006/relationships" name="Mapping" sheetId="8" state="visible" r:id="rId8"/>
    <sheet xmlns:r="http://schemas.openxmlformats.org/officeDocument/2006/relationships" name="Reconcile" sheetId="9" state="visible" r:id="rId9"/>
    <sheet xmlns:r="http://schemas.openxmlformats.org/officeDocument/2006/relationships" name="Results" sheetId="10" state="visible" r:id="rId10"/>
  </sheets>
  <definedNames>
    <definedName name="rc_source">'Setup'!$B$4</definedName>
    <definedName name="rc_tol">'Setup'!$B$5</definedName>
    <definedName name="rc_crsign">'Setup'!$B$6</definedName>
    <definedName name="rc_allow">'Setup'!$B$9</definedName>
    <definedName name="rc_passed">'Reconcile'!$B$9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2"/>
    </font>
    <font>
      <color rgb="001F4E9E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1" pivotButton="0" quotePrefix="0" xfId="0"/>
    <xf numFmtId="0" fontId="0" fillId="0" borderId="1" pivotButton="0" quotePrefix="0" xfId="0"/>
    <xf numFmtId="0" fontId="4" fillId="3" borderId="1" applyAlignment="1" pivotButton="0" quotePrefix="0" xfId="0">
      <alignment vertical="center" wrapText="1"/>
    </xf>
    <xf numFmtId="0" fontId="3" fillId="2" borderId="1" pivotButton="0" quotePrefix="0" xfId="0"/>
    <xf numFmtId="10" fontId="3" fillId="2" borderId="1" pivotButton="0" quotePrefix="0" xfId="0"/>
    <xf numFmtId="1" fontId="3" fillId="2" borderId="1" pivotButton="0" quotePrefix="0" xfId="0"/>
    <xf numFmtId="3" fontId="3" fillId="2" borderId="1" pivotButton="0" quotePrefix="0" xfId="0"/>
    <xf numFmtId="1" fontId="0" fillId="0" borderId="1" pivotButton="0" quotePrefix="0" xfId="0"/>
    <xf numFmtId="164" fontId="0" fillId="0" borderId="1" pivotButton="0" quotePrefix="0" xfId="0"/>
    <xf numFmtId="164" fontId="3" fillId="2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K03 · Inspect, Profile, Map &amp; Reconcile Sources (no-code kernel)</t>
        </is>
      </c>
    </row>
    <row r="2"/>
    <row r="3">
      <c r="A3" s="2" t="inlineStr">
        <is>
          <t>Replaces openfpa CLI: inspect-data, source-profile, reconcile-source, connector-validate (fixture mode) and pyfpa read_pl_csv / _parse_amount.</t>
        </is>
      </c>
    </row>
    <row r="4">
      <c r="A4" s="3" t="inlineStr">
        <is>
          <t>Sheets</t>
        </is>
      </c>
    </row>
    <row r="5">
      <c r="A5" s="2" t="inlineStr">
        <is>
          <t>Inspect - paste a file listing (relative path, bytes) of a data folder; each file gets extension, candidate flag and a category from the classifier table. Missing priority categories are listed.</t>
        </is>
      </c>
    </row>
    <row r="6">
      <c r="A6" s="2" t="inlineStr">
        <is>
          <t>Profile - paste any table (header row + up to 1,000 rows x 15 columns) exported from CSV/TSV/XLS/XLSX/ODS; returns rows, columns, empty cells per column and duplicate rows (pandas.duplicated semantics: repeats of an earlier row).</t>
        </is>
      </c>
    </row>
    <row r="7">
      <c r="A7" s="2" t="inlineStr">
        <is>
          <t>Mapping - paste memory/mappings/registry.csv rows (source_id, source_value, target, status mapped/ignored, rationale).</t>
        </is>
      </c>
    </row>
    <row r="8">
      <c r="A8" s="2" t="inlineStr">
        <is>
          <t>Reconcile - paste the source's Account and Amount columns (up to 1,500 rows). Amounts are parsed like openfpa (currency symbol, thousands separators, (parens)=negative, blank/'-'=0) plus India rules: ₹, Rs., INR, lakh-style commas, and a trailing Dr/Cr (Cr sign set on Setup).</t>
        </is>
      </c>
    </row>
    <row r="9">
      <c r="A9" s="2" t="inlineStr">
        <is>
          <t xml:space="preserve">  Output: row count, source total, mapped total, mapped totals per target, duplicates, unmapped, ignored, variances vs expected totals, PASSED.</t>
        </is>
      </c>
    </row>
    <row r="10">
      <c r="A10" s="2" t="inlineStr">
        <is>
          <t xml:space="preserve">  Connector validation = the same sheet with tolerance 0 and expected = the golden totals stored in the connector contract (connectors/&lt;name&gt;/connector.md). It never touches a live system.</t>
        </is>
      </c>
    </row>
    <row r="11">
      <c r="A11" s="3" t="inlineStr">
        <is>
          <t>Rules (identical to openfpa)</t>
        </is>
      </c>
    </row>
    <row r="12">
      <c r="A12" s="2" t="inlineStr">
        <is>
          <t>Blank account rows are skipped. Any duplicate account FAILS. Any account without a mapping rule for this source FAILS (never silently dropped). Ignored rules need a rationale and are excluded from totals.</t>
        </is>
      </c>
    </row>
    <row r="13">
      <c r="A13" s="2" t="inlineStr">
        <is>
          <t>Variance = mapped - expected; variance_pct = variance/expected (0 if expected is 0); within tolerance when |variance_pct| &lt;= tolerance, or exact equality when expected is 0.</t>
        </is>
      </c>
    </row>
    <row r="14">
      <c r="A14" s="2" t="inlineStr">
        <is>
          <t>When expected totals are provided every mapped target is compared; a mapped target missing from the expected list is compared to 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10" customWidth="1" min="3" max="3"/>
    <col width="40" customWidth="1" min="4" max="4"/>
  </cols>
  <sheetData>
    <row r="1">
      <c r="A1" s="1" t="inlineStr">
        <is>
          <t>Checks - OVERALL must be PASS</t>
        </is>
      </c>
    </row>
    <row r="2"/>
    <row r="3">
      <c r="B3" s="4" t="inlineStr">
        <is>
          <t>OVERALL</t>
        </is>
      </c>
      <c r="C3" s="5">
        <f>IF(COUNTIF(C5:C11,"PASS")=COUNT(A5:A11),"PASS","FAIL")</f>
        <v/>
      </c>
      <c r="D3" s="6">
        <f>COUNTIF(C5:C11,"PASS")&amp;" pass / "&amp;COUNTIF(C5:C11,"FAIL")&amp;" fail / "&amp;(COUNT(A5:A11)-COUNTIF(C5:C11,"PASS")-COUNTIF(C5:C11,"FAIL"))&amp;" error"</f>
        <v/>
      </c>
    </row>
    <row r="4">
      <c r="A4" s="7" t="inlineStr">
        <is>
          <t>#</t>
        </is>
      </c>
      <c r="B4" s="7" t="inlineStr">
        <is>
          <t>check</t>
        </is>
      </c>
      <c r="C4" s="7" t="inlineStr">
        <is>
          <t>result</t>
        </is>
      </c>
      <c r="D4" s="7" t="inlineStr">
        <is>
          <t>detail</t>
        </is>
      </c>
    </row>
    <row r="5">
      <c r="A5" t="n">
        <v>1</v>
      </c>
      <c r="B5" t="inlineStr">
        <is>
          <t>source_id set</t>
        </is>
      </c>
      <c r="C5" s="6">
        <f>IF(TRIM(Setup!$B$4)&lt;&gt;"","PASS","FAIL")</f>
        <v/>
      </c>
      <c r="D5" s="6">
        <f>Setup!$B$4</f>
        <v/>
      </c>
    </row>
    <row r="6">
      <c r="A6" t="n">
        <v>2</v>
      </c>
      <c r="B6" t="inlineStr">
        <is>
          <t>every mapping rule valid (mapped needs target; ignored needs rationale)</t>
        </is>
      </c>
      <c r="C6" s="6">
        <f>IF(COUNTIF(Mapping!$G$5:$G$504,0)=0,"PASS","FAIL")</f>
        <v/>
      </c>
      <c r="D6" s="6">
        <f>COUNTIF(Mapping!$G$5:$G$504,0)&amp;" invalid"</f>
        <v/>
      </c>
    </row>
    <row r="7">
      <c r="A7" t="n">
        <v>3</v>
      </c>
      <c r="B7" t="inlineStr">
        <is>
          <t>no duplicate (source_id, source_value) mapping keys in first 60 rules</t>
        </is>
      </c>
      <c r="C7" s="6">
        <f>IF((IF(Mapping!F5="",0,IF(SUMPRODUCT((Mapping!$F$5:$F$504=Mapping!F5)*1)&gt;1,1,0))+IF(Mapping!F6="",0,IF(SUMPRODUCT((Mapping!$F$5:$F$504=Mapping!F6)*1)&gt;1,1,0))+IF(Mapping!F7="",0,IF(SUMPRODUCT((Mapping!$F$5:$F$504=Mapping!F7)*1)&gt;1,1,0))+IF(Mapping!F8="",0,IF(SUMPRODUCT((Mapping!$F$5:$F$504=Mapping!F8)*1)&gt;1,1,0))+IF(Mapping!F9="",0,IF(SUMPRODUCT((Mapping!$F$5:$F$504=Mapping!F9)*1)&gt;1,1,0))+IF(Mapping!F10="",0,IF(SUMPRODUCT((Mapping!$F$5:$F$504=Mapping!F10)*1)&gt;1,1,0))+IF(Mapping!F11="",0,IF(SUMPRODUCT((Mapping!$F$5:$F$504=Mapping!F11)*1)&gt;1,1,0))+IF(Mapping!F12="",0,IF(SUMPRODUCT((Mapping!$F$5:$F$504=Mapping!F12)*1)&gt;1,1,0))+IF(Mapping!F13="",0,IF(SUMPRODUCT((Mapping!$F$5:$F$504=Mapping!F13)*1)&gt;1,1,0))+IF(Mapping!F14="",0,IF(SUMPRODUCT((Mapping!$F$5:$F$504=Mapping!F14)*1)&gt;1,1,0))+IF(Mapping!F15="",0,IF(SUMPRODUCT((Mapping!$F$5:$F$504=Mapping!F15)*1)&gt;1,1,0))+IF(Mapping!F16="",0,IF(SUMPRODUCT((Mapping!$F$5:$F$504=Mapping!F16)*1)&gt;1,1,0))+IF(Mapping!F17="",0,IF(SUMPRODUCT((Mapping!$F$5:$F$504=Mapping!F17)*1)&gt;1,1,0))+IF(Mapping!F18="",0,IF(SUMPRODUCT((Mapping!$F$5:$F$504=Mapping!F18)*1)&gt;1,1,0))+IF(Mapping!F19="",0,IF(SUMPRODUCT((Mapping!$F$5:$F$504=Mapping!F19)*1)&gt;1,1,0))+IF(Mapping!F20="",0,IF(SUMPRODUCT((Mapping!$F$5:$F$504=Mapping!F20)*1)&gt;1,1,0))+IF(Mapping!F21="",0,IF(SUMPRODUCT((Mapping!$F$5:$F$504=Mapping!F21)*1)&gt;1,1,0))+IF(Mapping!F22="",0,IF(SUMPRODUCT((Mapping!$F$5:$F$504=Mapping!F22)*1)&gt;1,1,0))+IF(Mapping!F23="",0,IF(SUMPRODUCT((Mapping!$F$5:$F$504=Mapping!F23)*1)&gt;1,1,0))+IF(Mapping!F24="",0,IF(SUMPRODUCT((Mapping!$F$5:$F$504=Mapping!F24)*1)&gt;1,1,0))+IF(Mapping!F25="",0,IF(SUMPRODUCT((Mapping!$F$5:$F$504=Mapping!F25)*1)&gt;1,1,0))+IF(Mapping!F26="",0,IF(SUMPRODUCT((Mapping!$F$5:$F$504=Mapping!F26)*1)&gt;1,1,0))+IF(Mapping!F27="",0,IF(SUMPRODUCT((Mapping!$F$5:$F$504=Mapping!F27)*1)&gt;1,1,0))+IF(Mapping!F28="",0,IF(SUMPRODUCT((Mapping!$F$5:$F$504=Mapping!F28)*1)&gt;1,1,0))+IF(Mapping!F29="",0,IF(SUMPRODUCT((Mapping!$F$5:$F$504=Mapping!F29)*1)&gt;1,1,0))+IF(Mapping!F30="",0,IF(SUMPRODUCT((Mapping!$F$5:$F$504=Mapping!F30)*1)&gt;1,1,0))+IF(Mapping!F31="",0,IF(SUMPRODUCT((Mapping!$F$5:$F$504=Mapping!F31)*1)&gt;1,1,0))+IF(Mapping!F32="",0,IF(SUMPRODUCT((Mapping!$F$5:$F$504=Mapping!F32)*1)&gt;1,1,0))+IF(Mapping!F33="",0,IF(SUMPRODUCT((Mapping!$F$5:$F$504=Mapping!F33)*1)&gt;1,1,0))+IF(Mapping!F34="",0,IF(SUMPRODUCT((Mapping!$F$5:$F$504=Mapping!F34)*1)&gt;1,1,0))+IF(Mapping!F35="",0,IF(SUMPRODUCT((Mapping!$F$5:$F$504=Mapping!F35)*1)&gt;1,1,0))+IF(Mapping!F36="",0,IF(SUMPRODUCT((Mapping!$F$5:$F$504=Mapping!F36)*1)&gt;1,1,0))+IF(Mapping!F37="",0,IF(SUMPRODUCT((Mapping!$F$5:$F$504=Mapping!F37)*1)&gt;1,1,0))+IF(Mapping!F38="",0,IF(SUMPRODUCT((Mapping!$F$5:$F$504=Mapping!F38)*1)&gt;1,1,0))+IF(Mapping!F39="",0,IF(SUMPRODUCT((Mapping!$F$5:$F$504=Mapping!F39)*1)&gt;1,1,0))+IF(Mapping!F40="",0,IF(SUMPRODUCT((Mapping!$F$5:$F$504=Mapping!F40)*1)&gt;1,1,0))+IF(Mapping!F41="",0,IF(SUMPRODUCT((Mapping!$F$5:$F$504=Mapping!F41)*1)&gt;1,1,0))+IF(Mapping!F42="",0,IF(SUMPRODUCT((Mapping!$F$5:$F$504=Mapping!F42)*1)&gt;1,1,0))+IF(Mapping!F43="",0,IF(SUMPRODUCT((Mapping!$F$5:$F$504=Mapping!F43)*1)&gt;1,1,0))+IF(Mapping!F44="",0,IF(SUMPRODUCT((Mapping!$F$5:$F$504=Mapping!F44)*1)&gt;1,1,0))+IF(Mapping!F45="",0,IF(SUMPRODUCT((Mapping!$F$5:$F$504=Mapping!F45)*1)&gt;1,1,0))+IF(Mapping!F46="",0,IF(SUMPRODUCT((Mapping!$F$5:$F$504=Mapping!F46)*1)&gt;1,1,0))+IF(Mapping!F47="",0,IF(SUMPRODUCT((Mapping!$F$5:$F$504=Mapping!F47)*1)&gt;1,1,0))+IF(Mapping!F48="",0,IF(SUMPRODUCT((Mapping!$F$5:$F$504=Mapping!F48)*1)&gt;1,1,0))+IF(Mapping!F49="",0,IF(SUMPRODUCT((Mapping!$F$5:$F$504=Mapping!F49)*1)&gt;1,1,0))+IF(Mapping!F50="",0,IF(SUMPRODUCT((Mapping!$F$5:$F$504=Mapping!F50)*1)&gt;1,1,0))+IF(Mapping!F51="",0,IF(SUMPRODUCT((Mapping!$F$5:$F$504=Mapping!F51)*1)&gt;1,1,0))+IF(Mapping!F52="",0,IF(SUMPRODUCT((Mapping!$F$5:$F$504=Mapping!F52)*1)&gt;1,1,0))+IF(Mapping!F53="",0,IF(SUMPRODUCT((Mapping!$F$5:$F$504=Mapping!F53)*1)&gt;1,1,0))+IF(Mapping!F54="",0,IF(SUMPRODUCT((Mapping!$F$5:$F$504=Mapping!F54)*1)&gt;1,1,0))+IF(Mapping!F55="",0,IF(SUMPRODUCT((Mapping!$F$5:$F$504=Mapping!F55)*1)&gt;1,1,0))+IF(Mapping!F56="",0,IF(SUMPRODUCT((Mapping!$F$5:$F$504=Mapping!F56)*1)&gt;1,1,0))+IF(Mapping!F57="",0,IF(SUMPRODUCT((Mapping!$F$5:$F$504=Mapping!F57)*1)&gt;1,1,0))+IF(Mapping!F58="",0,IF(SUMPRODUCT((Mapping!$F$5:$F$504=Mapping!F58)*1)&gt;1,1,0))+IF(Mapping!F59="",0,IF(SUMPRODUCT((Mapping!$F$5:$F$504=Mapping!F59)*1)&gt;1,1,0))+IF(Mapping!F60="",0,IF(SUMPRODUCT((Mapping!$F$5:$F$504=Mapping!F60)*1)&gt;1,1,0))+IF(Mapping!F61="",0,IF(SUMPRODUCT((Mapping!$F$5:$F$504=Mapping!F61)*1)&gt;1,1,0))+IF(Mapping!F62="",0,IF(SUMPRODUCT((Mapping!$F$5:$F$504=Mapping!F62)*1)&gt;1,1,0))+IF(Mapping!F63="",0,IF(SUMPRODUCT((Mapping!$F$5:$F$504=Mapping!F63)*1)&gt;1,1,0))+IF(Mapping!F64="",0,IF(SUMPRODUCT((Mapping!$F$5:$F$504=Mapping!F64)*1)&gt;1,1,0)))=0,"PASS","FAIL")</f>
        <v/>
      </c>
    </row>
    <row r="8">
      <c r="A8" t="n">
        <v>4</v>
      </c>
      <c r="B8" t="inlineStr">
        <is>
          <t>no duplicate accounts in source</t>
        </is>
      </c>
      <c r="C8" s="6">
        <f>IF(Reconcile!B6=0,"PASS","FAIL")</f>
        <v/>
      </c>
      <c r="D8" s="6">
        <f>Reconcile!B6</f>
        <v/>
      </c>
    </row>
    <row r="9">
      <c r="A9" t="n">
        <v>5</v>
      </c>
      <c r="B9" t="inlineStr">
        <is>
          <t>no unmapped accounts (never silently dropped; allowed only when Setup says yes - still listed in Results)</t>
        </is>
      </c>
      <c r="C9" s="6">
        <f>IF(OR(Reconcile!B7=0,LOWER(Setup!$B$9)="yes"),"PASS","FAIL")</f>
        <v/>
      </c>
      <c r="D9" s="6">
        <f>Reconcile!B7</f>
        <v/>
      </c>
    </row>
    <row r="10">
      <c r="A10" t="n">
        <v>6</v>
      </c>
      <c r="B10" t="inlineStr">
        <is>
          <t>all amounts parse</t>
        </is>
      </c>
      <c r="C10" s="6">
        <f>IF(Reconcile!B8=0,"PASS","FAIL")</f>
        <v/>
      </c>
      <c r="D10" s="6">
        <f>Reconcile!B8</f>
        <v/>
      </c>
    </row>
    <row r="11">
      <c r="A11" t="n">
        <v>7</v>
      </c>
      <c r="B11" t="inlineStr">
        <is>
          <t>expected totals within tolerance (if provided)</t>
        </is>
      </c>
      <c r="C11" s="6">
        <f>IF(Results!B3,"PASS","FAIL")</f>
        <v/>
      </c>
    </row>
  </sheetData>
  <conditionalFormatting sqref="C3:C1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0">
      <formula>TRUE</formula>
    </cfRule>
    <cfRule type="cellIs" priority="4" operator="equal" dxfId="1">
      <formula>FALSE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</cols>
  <sheetData>
    <row r="1">
      <c r="A1" s="1" t="inlineStr">
        <is>
          <t>Setup</t>
        </is>
      </c>
    </row>
    <row r="2"/>
    <row r="3"/>
    <row r="4">
      <c r="A4" t="inlineStr">
        <is>
          <t>source_id</t>
        </is>
      </c>
      <c r="B4" s="8" t="inlineStr">
        <is>
          <t>tally-pl-monthly</t>
        </is>
      </c>
    </row>
    <row r="5">
      <c r="A5" t="inlineStr">
        <is>
          <t>tolerance (0.01 = 1%; 0 for connector validation)</t>
        </is>
      </c>
      <c r="B5" s="9" t="n">
        <v>0.01</v>
      </c>
    </row>
    <row r="6">
      <c r="A6" t="inlineStr">
        <is>
          <t>sign applied to amounts suffixed 'Cr'</t>
        </is>
      </c>
      <c r="B6" s="10" t="n">
        <v>-1</v>
      </c>
    </row>
    <row r="7">
      <c r="A7" t="inlineStr">
        <is>
          <t>account column name in source</t>
        </is>
      </c>
      <c r="B7" s="8" t="inlineStr">
        <is>
          <t>Particulars</t>
        </is>
      </c>
    </row>
    <row r="8">
      <c r="A8" t="inlineStr">
        <is>
          <t>amount column name in source</t>
        </is>
      </c>
      <c r="B8" s="8" t="inlineStr">
        <is>
          <t>Closing Balance</t>
        </is>
      </c>
    </row>
    <row r="9">
      <c r="A9" t="inlineStr">
        <is>
          <t>allow unmapped? (yes = --allow-unmapped: unmapped listed but do not fail; duplicates still fail)</t>
        </is>
      </c>
      <c r="B9" s="8" t="inlineStr">
        <is>
          <t>no</t>
        </is>
      </c>
    </row>
  </sheetData>
  <dataValidations count="1">
    <dataValidation sqref="B9" showDropDown="0" showInputMessage="0" showErrorMessage="0" allowBlank="1" type="list">
      <formula1>"no,yes"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0" customWidth="1" min="2" max="2"/>
    <col width="30" customWidth="1" min="3" max="3"/>
    <col width="9" customWidth="1" min="4" max="4"/>
    <col width="30" customWidth="1" min="5" max="5"/>
    <col width="22" customWidth="1" min="9" max="9"/>
  </cols>
  <sheetData>
    <row r="1">
      <c r="A1" s="1" t="inlineStr">
        <is>
          <t>Inspect (inspect-data): paste a file listing; classification is formula-driven</t>
        </is>
      </c>
    </row>
    <row r="2"/>
    <row r="3"/>
    <row r="4">
      <c r="A4" s="7" t="inlineStr">
        <is>
          <t>relative path</t>
        </is>
      </c>
      <c r="B4" s="7" t="inlineStr">
        <is>
          <t>bytes</t>
        </is>
      </c>
      <c r="C4" s="7" t="inlineStr">
        <is>
          <t>file name</t>
        </is>
      </c>
      <c r="D4" s="7" t="inlineStr">
        <is>
          <t>extension</t>
        </is>
      </c>
      <c r="E4" s="7" t="inlineStr">
        <is>
          <t>stem (normalised)</t>
        </is>
      </c>
      <c r="F4" s="7" t="inlineStr">
        <is>
          <t>data ext?</t>
        </is>
      </c>
      <c r="G4" s="7" t="inlineStr">
        <is>
          <t>context signal?</t>
        </is>
      </c>
      <c r="H4" s="7" t="inlineStr">
        <is>
          <t>candidate?</t>
        </is>
      </c>
      <c r="I4" s="7" t="inlineStr">
        <is>
          <t>category</t>
        </is>
      </c>
      <c r="J4" s="7" t="inlineStr">
        <is>
          <t>profit_and_loss</t>
        </is>
      </c>
      <c r="K4" s="7" t="inlineStr">
        <is>
          <t>balance_sheet</t>
        </is>
      </c>
      <c r="L4" s="7" t="inlineStr">
        <is>
          <t>ar_aging</t>
        </is>
      </c>
      <c r="M4" s="7" t="inlineStr">
        <is>
          <t>ap_aging</t>
        </is>
      </c>
      <c r="N4" s="7" t="inlineStr">
        <is>
          <t>inventory</t>
        </is>
      </c>
      <c r="O4" s="7" t="inlineStr">
        <is>
          <t>cash_and_bank</t>
        </is>
      </c>
      <c r="P4" s="7" t="inlineStr">
        <is>
          <t>payroll_and_headcount</t>
        </is>
      </c>
      <c r="Q4" s="7" t="inlineStr">
        <is>
          <t>sales_and_revenue</t>
        </is>
      </c>
      <c r="R4" s="7" t="inlineStr">
        <is>
          <t>budget_and_forecast</t>
        </is>
      </c>
      <c r="S4" s="7" t="inlineStr">
        <is>
          <t>operations</t>
        </is>
      </c>
      <c r="T4" s="7" t="inlineStr">
        <is>
          <t>gst_and_indirect_tax</t>
        </is>
      </c>
      <c r="U4" s="7" t="inlineStr">
        <is>
          <t>tds_and_direct_tax</t>
        </is>
      </c>
      <c r="V4" s="7" t="inlineStr">
        <is>
          <t>statutory_payroll</t>
        </is>
      </c>
      <c r="W4" s="7" t="inlineStr">
        <is>
          <t>tally_or_erp_export</t>
        </is>
      </c>
    </row>
    <row r="5">
      <c r="A5" s="8" t="n"/>
      <c r="B5" s="11" t="n"/>
      <c r="C5" s="6">
        <f>IF(A5="","",TRIM(RIGHT(SUBSTITUTE(A5,"/",REPT(" ",250)),250)))</f>
        <v/>
      </c>
      <c r="D5" s="6">
        <f>IF(C5="","",IF(ISNUMBER(SEARCH(".",C5)),LOWER("."&amp;TRIM(RIGHT(SUBSTITUTE(C5,".",REPT(" ",250)),250))),""))</f>
        <v/>
      </c>
      <c r="E5" s="6">
        <f>IF(C5="","",TRIM(SUBSTITUTE(SUBSTITUTE(SUBSTITUTE(SUBSTITUTE(SUBSTITUTE(SUBSTITUTE(SUBSTITUTE(SUBSTITUTE(SUBSTITUTE(SUBSTITUTE(SUBSTITUTE(SUBSTITUTE(SUBSTITUTE(SUBSTITUTE(SUBSTITUTE(SUBSTITUTE(SUBSTITUTE(SUBSTITUTE(SUBSTITUTE(SUBSTITUTE(LOWER(LEFT(C5,LEN(C5)-LEN(D5))),"_"," "),"-"," "),"."," "),","," "),"("," "),")"," "),"["," "),"]"," "),"&amp;"," "),"+"," "),"@"," "),"#"," "),"!"," "),"'"," "),"/"," "),":"," "),";"," "),"="," "),"~"," "),"%"," ")))</f>
        <v/>
      </c>
      <c r="F5" s="6">
        <f>IF(C5="","",IF(COUNTIF(Classifiers!$A$23:$A$40,D5)&gt;0,1,0))</f>
        <v/>
      </c>
      <c r="G5" s="6">
        <f>IF(C5="","",IF(COUNTIF(Classifiers!$C$23:$C$30,D5)&gt;0,IF((IF(ISNUMBER(SEARCH(Classifiers!$E$23,E5)),1,0)+IF(ISNUMBER(SEARCH(Classifiers!$E$24,E5)),1,0)+IF(ISNUMBER(SEARCH(Classifiers!$E$25,E5)),1,0)+IF(ISNUMBER(SEARCH(Classifiers!$E$26,E5)),1,0)+IF(ISNUMBER(SEARCH(Classifiers!$E$27,E5)),1,0)+IF(ISNUMBER(SEARCH(Classifiers!$E$28,E5)),1,0)+IF(ISNUMBER(SEARCH(Classifiers!$E$29,E5)),1,0)+IF(ISNUMBER(SEARCH(Classifiers!$E$30,E5)),1,0))&gt;0,1,0),0))</f>
        <v/>
      </c>
      <c r="H5" s="6">
        <f>IF(C5="","",IF(OR(LEFT(C5,1)=".",AND(F5=0,G5=0)),0,1))</f>
        <v/>
      </c>
      <c r="I5" s="6">
        <f>IF(H5&lt;&gt;1,"",IF(SUM(J5:W5)=0,"unclassified",INDEX(Classifiers!$A$5:$A$18,MATCH(1,J5:W5,0),1)))</f>
        <v/>
      </c>
      <c r="J5" s="12">
        <f>IF(H5&lt;&gt;1,0,IF((IF(Classifiers!$B$5="",0,IF(ISNUMBER(SEARCH(Classifiers!$B$5,E5)),1,0))+IF(Classifiers!$C$5="",0,IF(ISNUMBER(SEARCH(Classifiers!$C$5,E5)),1,0))+IF(Classifiers!$D$5="",0,IF(ISNUMBER(SEARCH(Classifiers!$D$5,E5)),1,0))+IF(Classifiers!$E$5="",0,IF(ISNUMBER(SEARCH(Classifiers!$E$5,E5)),1,0))+IF(Classifiers!$F$5="",0,IF(ISNUMBER(SEARCH(Classifiers!$F$5,E5)),1,0))+IF(Classifiers!$G$5="",0,IF(ISNUMBER(SEARCH(Classifiers!$G$5,E5)),1,0)))&gt;0,1,0))</f>
        <v/>
      </c>
      <c r="K5" s="12">
        <f>IF(H5&lt;&gt;1,0,IF((IF(Classifiers!$B$6="",0,IF(ISNUMBER(SEARCH(Classifiers!$B$6,E5)),1,0))+IF(Classifiers!$C$6="",0,IF(ISNUMBER(SEARCH(Classifiers!$C$6,E5)),1,0))+IF(Classifiers!$D$6="",0,IF(ISNUMBER(SEARCH(Classifiers!$D$6,E5)),1,0))+IF(Classifiers!$E$6="",0,IF(ISNUMBER(SEARCH(Classifiers!$E$6,E5)),1,0))+IF(Classifiers!$F$6="",0,IF(ISNUMBER(SEARCH(Classifiers!$F$6,E5)),1,0))+IF(Classifiers!$G$6="",0,IF(ISNUMBER(SEARCH(Classifiers!$G$6,E5)),1,0)))&gt;0,1,0))</f>
        <v/>
      </c>
      <c r="L5" s="12">
        <f>IF(H5&lt;&gt;1,0,IF((IF(Classifiers!$B$7="",0,IF(ISNUMBER(SEARCH(Classifiers!$B$7,E5)),1,0))+IF(Classifiers!$C$7="",0,IF(ISNUMBER(SEARCH(Classifiers!$C$7,E5)),1,0))+IF(Classifiers!$D$7="",0,IF(ISNUMBER(SEARCH(Classifiers!$D$7,E5)),1,0))+IF(Classifiers!$E$7="",0,IF(ISNUMBER(SEARCH(Classifiers!$E$7,E5)),1,0))+IF(Classifiers!$F$7="",0,IF(ISNUMBER(SEARCH(Classifiers!$F$7,E5)),1,0))+IF(Classifiers!$G$7="",0,IF(ISNUMBER(SEARCH(Classifiers!$G$7,E5)),1,0)))&gt;0,1,0))</f>
        <v/>
      </c>
      <c r="M5" s="12">
        <f>IF(H5&lt;&gt;1,0,IF((IF(Classifiers!$B$8="",0,IF(ISNUMBER(SEARCH(Classifiers!$B$8,E5)),1,0))+IF(Classifiers!$C$8="",0,IF(ISNUMBER(SEARCH(Classifiers!$C$8,E5)),1,0))+IF(Classifiers!$D$8="",0,IF(ISNUMBER(SEARCH(Classifiers!$D$8,E5)),1,0))+IF(Classifiers!$E$8="",0,IF(ISNUMBER(SEARCH(Classifiers!$E$8,E5)),1,0))+IF(Classifiers!$F$8="",0,IF(ISNUMBER(SEARCH(Classifiers!$F$8,E5)),1,0))+IF(Classifiers!$G$8="",0,IF(ISNUMBER(SEARCH(Classifiers!$G$8,E5)),1,0)))&gt;0,1,0))</f>
        <v/>
      </c>
      <c r="N5" s="12">
        <f>IF(H5&lt;&gt;1,0,IF((IF(Classifiers!$B$9="",0,IF(ISNUMBER(SEARCH(Classifiers!$B$9,E5)),1,0))+IF(Classifiers!$C$9="",0,IF(ISNUMBER(SEARCH(Classifiers!$C$9,E5)),1,0))+IF(Classifiers!$D$9="",0,IF(ISNUMBER(SEARCH(Classifiers!$D$9,E5)),1,0))+IF(Classifiers!$E$9="",0,IF(ISNUMBER(SEARCH(Classifiers!$E$9,E5)),1,0))+IF(Classifiers!$F$9="",0,IF(ISNUMBER(SEARCH(Classifiers!$F$9,E5)),1,0))+IF(Classifiers!$G$9="",0,IF(ISNUMBER(SEARCH(Classifiers!$G$9,E5)),1,0)))&gt;0,1,0))</f>
        <v/>
      </c>
      <c r="O5" s="12">
        <f>IF(H5&lt;&gt;1,0,IF((IF(Classifiers!$B$10="",0,IF(ISNUMBER(SEARCH(Classifiers!$B$10,E5)),1,0))+IF(Classifiers!$C$10="",0,IF(ISNUMBER(SEARCH(Classifiers!$C$10,E5)),1,0))+IF(Classifiers!$D$10="",0,IF(ISNUMBER(SEARCH(Classifiers!$D$10,E5)),1,0))+IF(Classifiers!$E$10="",0,IF(ISNUMBER(SEARCH(Classifiers!$E$10,E5)),1,0))+IF(Classifiers!$F$10="",0,IF(ISNUMBER(SEARCH(Classifiers!$F$10,E5)),1,0))+IF(Classifiers!$G$10="",0,IF(ISNUMBER(SEARCH(Classifiers!$G$10,E5)),1,0)))&gt;0,1,0))</f>
        <v/>
      </c>
      <c r="P5" s="12">
        <f>IF(H5&lt;&gt;1,0,IF((IF(Classifiers!$B$11="",0,IF(ISNUMBER(SEARCH(Classifiers!$B$11,E5)),1,0))+IF(Classifiers!$C$11="",0,IF(ISNUMBER(SEARCH(Classifiers!$C$11,E5)),1,0))+IF(Classifiers!$D$11="",0,IF(ISNUMBER(SEARCH(Classifiers!$D$11,E5)),1,0))+IF(Classifiers!$E$11="",0,IF(ISNUMBER(SEARCH(Classifiers!$E$11,E5)),1,0))+IF(Classifiers!$F$11="",0,IF(ISNUMBER(SEARCH(Classifiers!$F$11,E5)),1,0))+IF(Classifiers!$G$11="",0,IF(ISNUMBER(SEARCH(Classifiers!$G$11,E5)),1,0)))&gt;0,1,0))</f>
        <v/>
      </c>
      <c r="Q5" s="12">
        <f>IF(H5&lt;&gt;1,0,IF((IF(Classifiers!$B$12="",0,IF(ISNUMBER(SEARCH(Classifiers!$B$12,E5)),1,0))+IF(Classifiers!$C$12="",0,IF(ISNUMBER(SEARCH(Classifiers!$C$12,E5)),1,0))+IF(Classifiers!$D$12="",0,IF(ISNUMBER(SEARCH(Classifiers!$D$12,E5)),1,0))+IF(Classifiers!$E$12="",0,IF(ISNUMBER(SEARCH(Classifiers!$E$12,E5)),1,0))+IF(Classifiers!$F$12="",0,IF(ISNUMBER(SEARCH(Classifiers!$F$12,E5)),1,0))+IF(Classifiers!$G$12="",0,IF(ISNUMBER(SEARCH(Classifiers!$G$12,E5)),1,0)))&gt;0,1,0))</f>
        <v/>
      </c>
      <c r="R5" s="12">
        <f>IF(H5&lt;&gt;1,0,IF((IF(Classifiers!$B$13="",0,IF(ISNUMBER(SEARCH(Classifiers!$B$13,E5)),1,0))+IF(Classifiers!$C$13="",0,IF(ISNUMBER(SEARCH(Classifiers!$C$13,E5)),1,0))+IF(Classifiers!$D$13="",0,IF(ISNUMBER(SEARCH(Classifiers!$D$13,E5)),1,0))+IF(Classifiers!$E$13="",0,IF(ISNUMBER(SEARCH(Classifiers!$E$13,E5)),1,0))+IF(Classifiers!$F$13="",0,IF(ISNUMBER(SEARCH(Classifiers!$F$13,E5)),1,0))+IF(Classifiers!$G$13="",0,IF(ISNUMBER(SEARCH(Classifiers!$G$13,E5)),1,0)))&gt;0,1,0))</f>
        <v/>
      </c>
      <c r="S5" s="12">
        <f>IF(H5&lt;&gt;1,0,IF((IF(Classifiers!$B$14="",0,IF(ISNUMBER(SEARCH(Classifiers!$B$14,E5)),1,0))+IF(Classifiers!$C$14="",0,IF(ISNUMBER(SEARCH(Classifiers!$C$14,E5)),1,0))+IF(Classifiers!$D$14="",0,IF(ISNUMBER(SEARCH(Classifiers!$D$14,E5)),1,0))+IF(Classifiers!$E$14="",0,IF(ISNUMBER(SEARCH(Classifiers!$E$14,E5)),1,0))+IF(Classifiers!$F$14="",0,IF(ISNUMBER(SEARCH(Classifiers!$F$14,E5)),1,0))+IF(Classifiers!$G$14="",0,IF(ISNUMBER(SEARCH(Classifiers!$G$14,E5)),1,0)))&gt;0,1,0))</f>
        <v/>
      </c>
      <c r="T5" s="12">
        <f>IF(H5&lt;&gt;1,0,IF((IF(Classifiers!$B$15="",0,IF(ISNUMBER(SEARCH(Classifiers!$B$15,E5)),1,0))+IF(Classifiers!$C$15="",0,IF(ISNUMBER(SEARCH(Classifiers!$C$15,E5)),1,0))+IF(Classifiers!$D$15="",0,IF(ISNUMBER(SEARCH(Classifiers!$D$15,E5)),1,0))+IF(Classifiers!$E$15="",0,IF(ISNUMBER(SEARCH(Classifiers!$E$15,E5)),1,0))+IF(Classifiers!$F$15="",0,IF(ISNUMBER(SEARCH(Classifiers!$F$15,E5)),1,0))+IF(Classifiers!$G$15="",0,IF(ISNUMBER(SEARCH(Classifiers!$G$15,E5)),1,0)))&gt;0,1,0))</f>
        <v/>
      </c>
      <c r="U5" s="12">
        <f>IF(H5&lt;&gt;1,0,IF((IF(Classifiers!$B$16="",0,IF(ISNUMBER(SEARCH(Classifiers!$B$16,E5)),1,0))+IF(Classifiers!$C$16="",0,IF(ISNUMBER(SEARCH(Classifiers!$C$16,E5)),1,0))+IF(Classifiers!$D$16="",0,IF(ISNUMBER(SEARCH(Classifiers!$D$16,E5)),1,0))+IF(Classifiers!$E$16="",0,IF(ISNUMBER(SEARCH(Classifiers!$E$16,E5)),1,0))+IF(Classifiers!$F$16="",0,IF(ISNUMBER(SEARCH(Classifiers!$F$16,E5)),1,0))+IF(Classifiers!$G$16="",0,IF(ISNUMBER(SEARCH(Classifiers!$G$16,E5)),1,0)))&gt;0,1,0))</f>
        <v/>
      </c>
      <c r="V5" s="12">
        <f>IF(H5&lt;&gt;1,0,IF((IF(Classifiers!$B$17="",0,IF(ISNUMBER(SEARCH(Classifiers!$B$17,E5)),1,0))+IF(Classifiers!$C$17="",0,IF(ISNUMBER(SEARCH(Classifiers!$C$17,E5)),1,0))+IF(Classifiers!$D$17="",0,IF(ISNUMBER(SEARCH(Classifiers!$D$17,E5)),1,0))+IF(Classifiers!$E$17="",0,IF(ISNUMBER(SEARCH(Classifiers!$E$17,E5)),1,0))+IF(Classifiers!$F$17="",0,IF(ISNUMBER(SEARCH(Classifiers!$F$17,E5)),1,0))+IF(Classifiers!$G$17="",0,IF(ISNUMBER(SEARCH(Classifiers!$G$17,E5)),1,0)))&gt;0,1,0))</f>
        <v/>
      </c>
      <c r="W5" s="12">
        <f>IF(H5&lt;&gt;1,0,IF((IF(Classifiers!$B$18="",0,IF(ISNUMBER(SEARCH(Classifiers!$B$18,E5)),1,0))+IF(Classifiers!$C$18="",0,IF(ISNUMBER(SEARCH(Classifiers!$C$18,E5)),1,0))+IF(Classifiers!$D$18="",0,IF(ISNUMBER(SEARCH(Classifiers!$D$18,E5)),1,0))+IF(Classifiers!$E$18="",0,IF(ISNUMBER(SEARCH(Classifiers!$E$18,E5)),1,0))+IF(Classifiers!$F$18="",0,IF(ISNUMBER(SEARCH(Classifiers!$F$18,E5)),1,0))+IF(Classifiers!$G$18="",0,IF(ISNUMBER(SEARCH(Classifiers!$G$18,E5)),1,0)))&gt;0,1,0))</f>
        <v/>
      </c>
    </row>
    <row r="6">
      <c r="A6" s="8" t="n"/>
      <c r="B6" s="11" t="n"/>
      <c r="C6" s="6">
        <f>IF(A6="","",TRIM(RIGHT(SUBSTITUTE(A6,"/",REPT(" ",250)),250)))</f>
        <v/>
      </c>
      <c r="D6" s="6">
        <f>IF(C6="","",IF(ISNUMBER(SEARCH(".",C6)),LOWER("."&amp;TRIM(RIGHT(SUBSTITUTE(C6,".",REPT(" ",250)),250))),""))</f>
        <v/>
      </c>
      <c r="E6" s="6">
        <f>IF(C6="","",TRIM(SUBSTITUTE(SUBSTITUTE(SUBSTITUTE(SUBSTITUTE(SUBSTITUTE(SUBSTITUTE(SUBSTITUTE(SUBSTITUTE(SUBSTITUTE(SUBSTITUTE(SUBSTITUTE(SUBSTITUTE(SUBSTITUTE(SUBSTITUTE(SUBSTITUTE(SUBSTITUTE(SUBSTITUTE(SUBSTITUTE(SUBSTITUTE(SUBSTITUTE(LOWER(LEFT(C6,LEN(C6)-LEN(D6))),"_"," "),"-"," "),"."," "),","," "),"("," "),")"," "),"["," "),"]"," "),"&amp;"," "),"+"," "),"@"," "),"#"," "),"!"," "),"'"," "),"/"," "),":"," "),";"," "),"="," "),"~"," "),"%"," ")))</f>
        <v/>
      </c>
      <c r="F6" s="6">
        <f>IF(C6="","",IF(COUNTIF(Classifiers!$A$23:$A$40,D6)&gt;0,1,0))</f>
        <v/>
      </c>
      <c r="G6" s="6">
        <f>IF(C6="","",IF(COUNTIF(Classifiers!$C$23:$C$30,D6)&gt;0,IF((IF(ISNUMBER(SEARCH(Classifiers!$E$23,E6)),1,0)+IF(ISNUMBER(SEARCH(Classifiers!$E$24,E6)),1,0)+IF(ISNUMBER(SEARCH(Classifiers!$E$25,E6)),1,0)+IF(ISNUMBER(SEARCH(Classifiers!$E$26,E6)),1,0)+IF(ISNUMBER(SEARCH(Classifiers!$E$27,E6)),1,0)+IF(ISNUMBER(SEARCH(Classifiers!$E$28,E6)),1,0)+IF(ISNUMBER(SEARCH(Classifiers!$E$29,E6)),1,0)+IF(ISNUMBER(SEARCH(Classifiers!$E$30,E6)),1,0))&gt;0,1,0),0))</f>
        <v/>
      </c>
      <c r="H6" s="6">
        <f>IF(C6="","",IF(OR(LEFT(C6,1)=".",AND(F6=0,G6=0)),0,1))</f>
        <v/>
      </c>
      <c r="I6" s="6">
        <f>IF(H6&lt;&gt;1,"",IF(SUM(J6:W6)=0,"unclassified",INDEX(Classifiers!$A$5:$A$18,MATCH(1,J6:W6,0),1)))</f>
        <v/>
      </c>
      <c r="J6" s="12">
        <f>IF(H6&lt;&gt;1,0,IF((IF(Classifiers!$B$5="",0,IF(ISNUMBER(SEARCH(Classifiers!$B$5,E6)),1,0))+IF(Classifiers!$C$5="",0,IF(ISNUMBER(SEARCH(Classifiers!$C$5,E6)),1,0))+IF(Classifiers!$D$5="",0,IF(ISNUMBER(SEARCH(Classifiers!$D$5,E6)),1,0))+IF(Classifiers!$E$5="",0,IF(ISNUMBER(SEARCH(Classifiers!$E$5,E6)),1,0))+IF(Classifiers!$F$5="",0,IF(ISNUMBER(SEARCH(Classifiers!$F$5,E6)),1,0))+IF(Classifiers!$G$5="",0,IF(ISNUMBER(SEARCH(Classifiers!$G$5,E6)),1,0)))&gt;0,1,0))</f>
        <v/>
      </c>
      <c r="K6" s="12">
        <f>IF(H6&lt;&gt;1,0,IF((IF(Classifiers!$B$6="",0,IF(ISNUMBER(SEARCH(Classifiers!$B$6,E6)),1,0))+IF(Classifiers!$C$6="",0,IF(ISNUMBER(SEARCH(Classifiers!$C$6,E6)),1,0))+IF(Classifiers!$D$6="",0,IF(ISNUMBER(SEARCH(Classifiers!$D$6,E6)),1,0))+IF(Classifiers!$E$6="",0,IF(ISNUMBER(SEARCH(Classifiers!$E$6,E6)),1,0))+IF(Classifiers!$F$6="",0,IF(ISNUMBER(SEARCH(Classifiers!$F$6,E6)),1,0))+IF(Classifiers!$G$6="",0,IF(ISNUMBER(SEARCH(Classifiers!$G$6,E6)),1,0)))&gt;0,1,0))</f>
        <v/>
      </c>
      <c r="L6" s="12">
        <f>IF(H6&lt;&gt;1,0,IF((IF(Classifiers!$B$7="",0,IF(ISNUMBER(SEARCH(Classifiers!$B$7,E6)),1,0))+IF(Classifiers!$C$7="",0,IF(ISNUMBER(SEARCH(Classifiers!$C$7,E6)),1,0))+IF(Classifiers!$D$7="",0,IF(ISNUMBER(SEARCH(Classifiers!$D$7,E6)),1,0))+IF(Classifiers!$E$7="",0,IF(ISNUMBER(SEARCH(Classifiers!$E$7,E6)),1,0))+IF(Classifiers!$F$7="",0,IF(ISNUMBER(SEARCH(Classifiers!$F$7,E6)),1,0))+IF(Classifiers!$G$7="",0,IF(ISNUMBER(SEARCH(Classifiers!$G$7,E6)),1,0)))&gt;0,1,0))</f>
        <v/>
      </c>
      <c r="M6" s="12">
        <f>IF(H6&lt;&gt;1,0,IF((IF(Classifiers!$B$8="",0,IF(ISNUMBER(SEARCH(Classifiers!$B$8,E6)),1,0))+IF(Classifiers!$C$8="",0,IF(ISNUMBER(SEARCH(Classifiers!$C$8,E6)),1,0))+IF(Classifiers!$D$8="",0,IF(ISNUMBER(SEARCH(Classifiers!$D$8,E6)),1,0))+IF(Classifiers!$E$8="",0,IF(ISNUMBER(SEARCH(Classifiers!$E$8,E6)),1,0))+IF(Classifiers!$F$8="",0,IF(ISNUMBER(SEARCH(Classifiers!$F$8,E6)),1,0))+IF(Classifiers!$G$8="",0,IF(ISNUMBER(SEARCH(Classifiers!$G$8,E6)),1,0)))&gt;0,1,0))</f>
        <v/>
      </c>
      <c r="N6" s="12">
        <f>IF(H6&lt;&gt;1,0,IF((IF(Classifiers!$B$9="",0,IF(ISNUMBER(SEARCH(Classifiers!$B$9,E6)),1,0))+IF(Classifiers!$C$9="",0,IF(ISNUMBER(SEARCH(Classifiers!$C$9,E6)),1,0))+IF(Classifiers!$D$9="",0,IF(ISNUMBER(SEARCH(Classifiers!$D$9,E6)),1,0))+IF(Classifiers!$E$9="",0,IF(ISNUMBER(SEARCH(Classifiers!$E$9,E6)),1,0))+IF(Classifiers!$F$9="",0,IF(ISNUMBER(SEARCH(Classifiers!$F$9,E6)),1,0))+IF(Classifiers!$G$9="",0,IF(ISNUMBER(SEARCH(Classifiers!$G$9,E6)),1,0)))&gt;0,1,0))</f>
        <v/>
      </c>
      <c r="O6" s="12">
        <f>IF(H6&lt;&gt;1,0,IF((IF(Classifiers!$B$10="",0,IF(ISNUMBER(SEARCH(Classifiers!$B$10,E6)),1,0))+IF(Classifiers!$C$10="",0,IF(ISNUMBER(SEARCH(Classifiers!$C$10,E6)),1,0))+IF(Classifiers!$D$10="",0,IF(ISNUMBER(SEARCH(Classifiers!$D$10,E6)),1,0))+IF(Classifiers!$E$10="",0,IF(ISNUMBER(SEARCH(Classifiers!$E$10,E6)),1,0))+IF(Classifiers!$F$10="",0,IF(ISNUMBER(SEARCH(Classifiers!$F$10,E6)),1,0))+IF(Classifiers!$G$10="",0,IF(ISNUMBER(SEARCH(Classifiers!$G$10,E6)),1,0)))&gt;0,1,0))</f>
        <v/>
      </c>
      <c r="P6" s="12">
        <f>IF(H6&lt;&gt;1,0,IF((IF(Classifiers!$B$11="",0,IF(ISNUMBER(SEARCH(Classifiers!$B$11,E6)),1,0))+IF(Classifiers!$C$11="",0,IF(ISNUMBER(SEARCH(Classifiers!$C$11,E6)),1,0))+IF(Classifiers!$D$11="",0,IF(ISNUMBER(SEARCH(Classifiers!$D$11,E6)),1,0))+IF(Classifiers!$E$11="",0,IF(ISNUMBER(SEARCH(Classifiers!$E$11,E6)),1,0))+IF(Classifiers!$F$11="",0,IF(ISNUMBER(SEARCH(Classifiers!$F$11,E6)),1,0))+IF(Classifiers!$G$11="",0,IF(ISNUMBER(SEARCH(Classifiers!$G$11,E6)),1,0)))&gt;0,1,0))</f>
        <v/>
      </c>
      <c r="Q6" s="12">
        <f>IF(H6&lt;&gt;1,0,IF((IF(Classifiers!$B$12="",0,IF(ISNUMBER(SEARCH(Classifiers!$B$12,E6)),1,0))+IF(Classifiers!$C$12="",0,IF(ISNUMBER(SEARCH(Classifiers!$C$12,E6)),1,0))+IF(Classifiers!$D$12="",0,IF(ISNUMBER(SEARCH(Classifiers!$D$12,E6)),1,0))+IF(Classifiers!$E$12="",0,IF(ISNUMBER(SEARCH(Classifiers!$E$12,E6)),1,0))+IF(Classifiers!$F$12="",0,IF(ISNUMBER(SEARCH(Classifiers!$F$12,E6)),1,0))+IF(Classifiers!$G$12="",0,IF(ISNUMBER(SEARCH(Classifiers!$G$12,E6)),1,0)))&gt;0,1,0))</f>
        <v/>
      </c>
      <c r="R6" s="12">
        <f>IF(H6&lt;&gt;1,0,IF((IF(Classifiers!$B$13="",0,IF(ISNUMBER(SEARCH(Classifiers!$B$13,E6)),1,0))+IF(Classifiers!$C$13="",0,IF(ISNUMBER(SEARCH(Classifiers!$C$13,E6)),1,0))+IF(Classifiers!$D$13="",0,IF(ISNUMBER(SEARCH(Classifiers!$D$13,E6)),1,0))+IF(Classifiers!$E$13="",0,IF(ISNUMBER(SEARCH(Classifiers!$E$13,E6)),1,0))+IF(Classifiers!$F$13="",0,IF(ISNUMBER(SEARCH(Classifiers!$F$13,E6)),1,0))+IF(Classifiers!$G$13="",0,IF(ISNUMBER(SEARCH(Classifiers!$G$13,E6)),1,0)))&gt;0,1,0))</f>
        <v/>
      </c>
      <c r="S6" s="12">
        <f>IF(H6&lt;&gt;1,0,IF((IF(Classifiers!$B$14="",0,IF(ISNUMBER(SEARCH(Classifiers!$B$14,E6)),1,0))+IF(Classifiers!$C$14="",0,IF(ISNUMBER(SEARCH(Classifiers!$C$14,E6)),1,0))+IF(Classifiers!$D$14="",0,IF(ISNUMBER(SEARCH(Classifiers!$D$14,E6)),1,0))+IF(Classifiers!$E$14="",0,IF(ISNUMBER(SEARCH(Classifiers!$E$14,E6)),1,0))+IF(Classifiers!$F$14="",0,IF(ISNUMBER(SEARCH(Classifiers!$F$14,E6)),1,0))+IF(Classifiers!$G$14="",0,IF(ISNUMBER(SEARCH(Classifiers!$G$14,E6)),1,0)))&gt;0,1,0))</f>
        <v/>
      </c>
      <c r="T6" s="12">
        <f>IF(H6&lt;&gt;1,0,IF((IF(Classifiers!$B$15="",0,IF(ISNUMBER(SEARCH(Classifiers!$B$15,E6)),1,0))+IF(Classifiers!$C$15="",0,IF(ISNUMBER(SEARCH(Classifiers!$C$15,E6)),1,0))+IF(Classifiers!$D$15="",0,IF(ISNUMBER(SEARCH(Classifiers!$D$15,E6)),1,0))+IF(Classifiers!$E$15="",0,IF(ISNUMBER(SEARCH(Classifiers!$E$15,E6)),1,0))+IF(Classifiers!$F$15="",0,IF(ISNUMBER(SEARCH(Classifiers!$F$15,E6)),1,0))+IF(Classifiers!$G$15="",0,IF(ISNUMBER(SEARCH(Classifiers!$G$15,E6)),1,0)))&gt;0,1,0))</f>
        <v/>
      </c>
      <c r="U6" s="12">
        <f>IF(H6&lt;&gt;1,0,IF((IF(Classifiers!$B$16="",0,IF(ISNUMBER(SEARCH(Classifiers!$B$16,E6)),1,0))+IF(Classifiers!$C$16="",0,IF(ISNUMBER(SEARCH(Classifiers!$C$16,E6)),1,0))+IF(Classifiers!$D$16="",0,IF(ISNUMBER(SEARCH(Classifiers!$D$16,E6)),1,0))+IF(Classifiers!$E$16="",0,IF(ISNUMBER(SEARCH(Classifiers!$E$16,E6)),1,0))+IF(Classifiers!$F$16="",0,IF(ISNUMBER(SEARCH(Classifiers!$F$16,E6)),1,0))+IF(Classifiers!$G$16="",0,IF(ISNUMBER(SEARCH(Classifiers!$G$16,E6)),1,0)))&gt;0,1,0))</f>
        <v/>
      </c>
      <c r="V6" s="12">
        <f>IF(H6&lt;&gt;1,0,IF((IF(Classifiers!$B$17="",0,IF(ISNUMBER(SEARCH(Classifiers!$B$17,E6)),1,0))+IF(Classifiers!$C$17="",0,IF(ISNUMBER(SEARCH(Classifiers!$C$17,E6)),1,0))+IF(Classifiers!$D$17="",0,IF(ISNUMBER(SEARCH(Classifiers!$D$17,E6)),1,0))+IF(Classifiers!$E$17="",0,IF(ISNUMBER(SEARCH(Classifiers!$E$17,E6)),1,0))+IF(Classifiers!$F$17="",0,IF(ISNUMBER(SEARCH(Classifiers!$F$17,E6)),1,0))+IF(Classifiers!$G$17="",0,IF(ISNUMBER(SEARCH(Classifiers!$G$17,E6)),1,0)))&gt;0,1,0))</f>
        <v/>
      </c>
      <c r="W6" s="12">
        <f>IF(H6&lt;&gt;1,0,IF((IF(Classifiers!$B$18="",0,IF(ISNUMBER(SEARCH(Classifiers!$B$18,E6)),1,0))+IF(Classifiers!$C$18="",0,IF(ISNUMBER(SEARCH(Classifiers!$C$18,E6)),1,0))+IF(Classifiers!$D$18="",0,IF(ISNUMBER(SEARCH(Classifiers!$D$18,E6)),1,0))+IF(Classifiers!$E$18="",0,IF(ISNUMBER(SEARCH(Classifiers!$E$18,E6)),1,0))+IF(Classifiers!$F$18="",0,IF(ISNUMBER(SEARCH(Classifiers!$F$18,E6)),1,0))+IF(Classifiers!$G$18="",0,IF(ISNUMBER(SEARCH(Classifiers!$G$18,E6)),1,0)))&gt;0,1,0))</f>
        <v/>
      </c>
    </row>
    <row r="7">
      <c r="A7" s="8" t="n"/>
      <c r="B7" s="11" t="n"/>
      <c r="C7" s="6">
        <f>IF(A7="","",TRIM(RIGHT(SUBSTITUTE(A7,"/",REPT(" ",250)),250)))</f>
        <v/>
      </c>
      <c r="D7" s="6">
        <f>IF(C7="","",IF(ISNUMBER(SEARCH(".",C7)),LOWER("."&amp;TRIM(RIGHT(SUBSTITUTE(C7,".",REPT(" ",250)),250))),""))</f>
        <v/>
      </c>
      <c r="E7" s="6">
        <f>IF(C7="","",TRIM(SUBSTITUTE(SUBSTITUTE(SUBSTITUTE(SUBSTITUTE(SUBSTITUTE(SUBSTITUTE(SUBSTITUTE(SUBSTITUTE(SUBSTITUTE(SUBSTITUTE(SUBSTITUTE(SUBSTITUTE(SUBSTITUTE(SUBSTITUTE(SUBSTITUTE(SUBSTITUTE(SUBSTITUTE(SUBSTITUTE(SUBSTITUTE(SUBSTITUTE(LOWER(LEFT(C7,LEN(C7)-LEN(D7))),"_"," "),"-"," "),"."," "),","," "),"("," "),")"," "),"["," "),"]"," "),"&amp;"," "),"+"," "),"@"," "),"#"," "),"!"," "),"'"," "),"/"," "),":"," "),";"," "),"="," "),"~"," "),"%"," ")))</f>
        <v/>
      </c>
      <c r="F7" s="6">
        <f>IF(C7="","",IF(COUNTIF(Classifiers!$A$23:$A$40,D7)&gt;0,1,0))</f>
        <v/>
      </c>
      <c r="G7" s="6">
        <f>IF(C7="","",IF(COUNTIF(Classifiers!$C$23:$C$30,D7)&gt;0,IF((IF(ISNUMBER(SEARCH(Classifiers!$E$23,E7)),1,0)+IF(ISNUMBER(SEARCH(Classifiers!$E$24,E7)),1,0)+IF(ISNUMBER(SEARCH(Classifiers!$E$25,E7)),1,0)+IF(ISNUMBER(SEARCH(Classifiers!$E$26,E7)),1,0)+IF(ISNUMBER(SEARCH(Classifiers!$E$27,E7)),1,0)+IF(ISNUMBER(SEARCH(Classifiers!$E$28,E7)),1,0)+IF(ISNUMBER(SEARCH(Classifiers!$E$29,E7)),1,0)+IF(ISNUMBER(SEARCH(Classifiers!$E$30,E7)),1,0))&gt;0,1,0),0))</f>
        <v/>
      </c>
      <c r="H7" s="6">
        <f>IF(C7="","",IF(OR(LEFT(C7,1)=".",AND(F7=0,G7=0)),0,1))</f>
        <v/>
      </c>
      <c r="I7" s="6">
        <f>IF(H7&lt;&gt;1,"",IF(SUM(J7:W7)=0,"unclassified",INDEX(Classifiers!$A$5:$A$18,MATCH(1,J7:W7,0),1)))</f>
        <v/>
      </c>
      <c r="J7" s="12">
        <f>IF(H7&lt;&gt;1,0,IF((IF(Classifiers!$B$5="",0,IF(ISNUMBER(SEARCH(Classifiers!$B$5,E7)),1,0))+IF(Classifiers!$C$5="",0,IF(ISNUMBER(SEARCH(Classifiers!$C$5,E7)),1,0))+IF(Classifiers!$D$5="",0,IF(ISNUMBER(SEARCH(Classifiers!$D$5,E7)),1,0))+IF(Classifiers!$E$5="",0,IF(ISNUMBER(SEARCH(Classifiers!$E$5,E7)),1,0))+IF(Classifiers!$F$5="",0,IF(ISNUMBER(SEARCH(Classifiers!$F$5,E7)),1,0))+IF(Classifiers!$G$5="",0,IF(ISNUMBER(SEARCH(Classifiers!$G$5,E7)),1,0)))&gt;0,1,0))</f>
        <v/>
      </c>
      <c r="K7" s="12">
        <f>IF(H7&lt;&gt;1,0,IF((IF(Classifiers!$B$6="",0,IF(ISNUMBER(SEARCH(Classifiers!$B$6,E7)),1,0))+IF(Classifiers!$C$6="",0,IF(ISNUMBER(SEARCH(Classifiers!$C$6,E7)),1,0))+IF(Classifiers!$D$6="",0,IF(ISNUMBER(SEARCH(Classifiers!$D$6,E7)),1,0))+IF(Classifiers!$E$6="",0,IF(ISNUMBER(SEARCH(Classifiers!$E$6,E7)),1,0))+IF(Classifiers!$F$6="",0,IF(ISNUMBER(SEARCH(Classifiers!$F$6,E7)),1,0))+IF(Classifiers!$G$6="",0,IF(ISNUMBER(SEARCH(Classifiers!$G$6,E7)),1,0)))&gt;0,1,0))</f>
        <v/>
      </c>
      <c r="L7" s="12">
        <f>IF(H7&lt;&gt;1,0,IF((IF(Classifiers!$B$7="",0,IF(ISNUMBER(SEARCH(Classifiers!$B$7,E7)),1,0))+IF(Classifiers!$C$7="",0,IF(ISNUMBER(SEARCH(Classifiers!$C$7,E7)),1,0))+IF(Classifiers!$D$7="",0,IF(ISNUMBER(SEARCH(Classifiers!$D$7,E7)),1,0))+IF(Classifiers!$E$7="",0,IF(ISNUMBER(SEARCH(Classifiers!$E$7,E7)),1,0))+IF(Classifiers!$F$7="",0,IF(ISNUMBER(SEARCH(Classifiers!$F$7,E7)),1,0))+IF(Classifiers!$G$7="",0,IF(ISNUMBER(SEARCH(Classifiers!$G$7,E7)),1,0)))&gt;0,1,0))</f>
        <v/>
      </c>
      <c r="M7" s="12">
        <f>IF(H7&lt;&gt;1,0,IF((IF(Classifiers!$B$8="",0,IF(ISNUMBER(SEARCH(Classifiers!$B$8,E7)),1,0))+IF(Classifiers!$C$8="",0,IF(ISNUMBER(SEARCH(Classifiers!$C$8,E7)),1,0))+IF(Classifiers!$D$8="",0,IF(ISNUMBER(SEARCH(Classifiers!$D$8,E7)),1,0))+IF(Classifiers!$E$8="",0,IF(ISNUMBER(SEARCH(Classifiers!$E$8,E7)),1,0))+IF(Classifiers!$F$8="",0,IF(ISNUMBER(SEARCH(Classifiers!$F$8,E7)),1,0))+IF(Classifiers!$G$8="",0,IF(ISNUMBER(SEARCH(Classifiers!$G$8,E7)),1,0)))&gt;0,1,0))</f>
        <v/>
      </c>
      <c r="N7" s="12">
        <f>IF(H7&lt;&gt;1,0,IF((IF(Classifiers!$B$9="",0,IF(ISNUMBER(SEARCH(Classifiers!$B$9,E7)),1,0))+IF(Classifiers!$C$9="",0,IF(ISNUMBER(SEARCH(Classifiers!$C$9,E7)),1,0))+IF(Classifiers!$D$9="",0,IF(ISNUMBER(SEARCH(Classifiers!$D$9,E7)),1,0))+IF(Classifiers!$E$9="",0,IF(ISNUMBER(SEARCH(Classifiers!$E$9,E7)),1,0))+IF(Classifiers!$F$9="",0,IF(ISNUMBER(SEARCH(Classifiers!$F$9,E7)),1,0))+IF(Classifiers!$G$9="",0,IF(ISNUMBER(SEARCH(Classifiers!$G$9,E7)),1,0)))&gt;0,1,0))</f>
        <v/>
      </c>
      <c r="O7" s="12">
        <f>IF(H7&lt;&gt;1,0,IF((IF(Classifiers!$B$10="",0,IF(ISNUMBER(SEARCH(Classifiers!$B$10,E7)),1,0))+IF(Classifiers!$C$10="",0,IF(ISNUMBER(SEARCH(Classifiers!$C$10,E7)),1,0))+IF(Classifiers!$D$10="",0,IF(ISNUMBER(SEARCH(Classifiers!$D$10,E7)),1,0))+IF(Classifiers!$E$10="",0,IF(ISNUMBER(SEARCH(Classifiers!$E$10,E7)),1,0))+IF(Classifiers!$F$10="",0,IF(ISNUMBER(SEARCH(Classifiers!$F$10,E7)),1,0))+IF(Classifiers!$G$10="",0,IF(ISNUMBER(SEARCH(Classifiers!$G$10,E7)),1,0)))&gt;0,1,0))</f>
        <v/>
      </c>
      <c r="P7" s="12">
        <f>IF(H7&lt;&gt;1,0,IF((IF(Classifiers!$B$11="",0,IF(ISNUMBER(SEARCH(Classifiers!$B$11,E7)),1,0))+IF(Classifiers!$C$11="",0,IF(ISNUMBER(SEARCH(Classifiers!$C$11,E7)),1,0))+IF(Classifiers!$D$11="",0,IF(ISNUMBER(SEARCH(Classifiers!$D$11,E7)),1,0))+IF(Classifiers!$E$11="",0,IF(ISNUMBER(SEARCH(Classifiers!$E$11,E7)),1,0))+IF(Classifiers!$F$11="",0,IF(ISNUMBER(SEARCH(Classifiers!$F$11,E7)),1,0))+IF(Classifiers!$G$11="",0,IF(ISNUMBER(SEARCH(Classifiers!$G$11,E7)),1,0)))&gt;0,1,0))</f>
        <v/>
      </c>
      <c r="Q7" s="12">
        <f>IF(H7&lt;&gt;1,0,IF((IF(Classifiers!$B$12="",0,IF(ISNUMBER(SEARCH(Classifiers!$B$12,E7)),1,0))+IF(Classifiers!$C$12="",0,IF(ISNUMBER(SEARCH(Classifiers!$C$12,E7)),1,0))+IF(Classifiers!$D$12="",0,IF(ISNUMBER(SEARCH(Classifiers!$D$12,E7)),1,0))+IF(Classifiers!$E$12="",0,IF(ISNUMBER(SEARCH(Classifiers!$E$12,E7)),1,0))+IF(Classifiers!$F$12="",0,IF(ISNUMBER(SEARCH(Classifiers!$F$12,E7)),1,0))+IF(Classifiers!$G$12="",0,IF(ISNUMBER(SEARCH(Classifiers!$G$12,E7)),1,0)))&gt;0,1,0))</f>
        <v/>
      </c>
      <c r="R7" s="12">
        <f>IF(H7&lt;&gt;1,0,IF((IF(Classifiers!$B$13="",0,IF(ISNUMBER(SEARCH(Classifiers!$B$13,E7)),1,0))+IF(Classifiers!$C$13="",0,IF(ISNUMBER(SEARCH(Classifiers!$C$13,E7)),1,0))+IF(Classifiers!$D$13="",0,IF(ISNUMBER(SEARCH(Classifiers!$D$13,E7)),1,0))+IF(Classifiers!$E$13="",0,IF(ISNUMBER(SEARCH(Classifiers!$E$13,E7)),1,0))+IF(Classifiers!$F$13="",0,IF(ISNUMBER(SEARCH(Classifiers!$F$13,E7)),1,0))+IF(Classifiers!$G$13="",0,IF(ISNUMBER(SEARCH(Classifiers!$G$13,E7)),1,0)))&gt;0,1,0))</f>
        <v/>
      </c>
      <c r="S7" s="12">
        <f>IF(H7&lt;&gt;1,0,IF((IF(Classifiers!$B$14="",0,IF(ISNUMBER(SEARCH(Classifiers!$B$14,E7)),1,0))+IF(Classifiers!$C$14="",0,IF(ISNUMBER(SEARCH(Classifiers!$C$14,E7)),1,0))+IF(Classifiers!$D$14="",0,IF(ISNUMBER(SEARCH(Classifiers!$D$14,E7)),1,0))+IF(Classifiers!$E$14="",0,IF(ISNUMBER(SEARCH(Classifiers!$E$14,E7)),1,0))+IF(Classifiers!$F$14="",0,IF(ISNUMBER(SEARCH(Classifiers!$F$14,E7)),1,0))+IF(Classifiers!$G$14="",0,IF(ISNUMBER(SEARCH(Classifiers!$G$14,E7)),1,0)))&gt;0,1,0))</f>
        <v/>
      </c>
      <c r="T7" s="12">
        <f>IF(H7&lt;&gt;1,0,IF((IF(Classifiers!$B$15="",0,IF(ISNUMBER(SEARCH(Classifiers!$B$15,E7)),1,0))+IF(Classifiers!$C$15="",0,IF(ISNUMBER(SEARCH(Classifiers!$C$15,E7)),1,0))+IF(Classifiers!$D$15="",0,IF(ISNUMBER(SEARCH(Classifiers!$D$15,E7)),1,0))+IF(Classifiers!$E$15="",0,IF(ISNUMBER(SEARCH(Classifiers!$E$15,E7)),1,0))+IF(Classifiers!$F$15="",0,IF(ISNUMBER(SEARCH(Classifiers!$F$15,E7)),1,0))+IF(Classifiers!$G$15="",0,IF(ISNUMBER(SEARCH(Classifiers!$G$15,E7)),1,0)))&gt;0,1,0))</f>
        <v/>
      </c>
      <c r="U7" s="12">
        <f>IF(H7&lt;&gt;1,0,IF((IF(Classifiers!$B$16="",0,IF(ISNUMBER(SEARCH(Classifiers!$B$16,E7)),1,0))+IF(Classifiers!$C$16="",0,IF(ISNUMBER(SEARCH(Classifiers!$C$16,E7)),1,0))+IF(Classifiers!$D$16="",0,IF(ISNUMBER(SEARCH(Classifiers!$D$16,E7)),1,0))+IF(Classifiers!$E$16="",0,IF(ISNUMBER(SEARCH(Classifiers!$E$16,E7)),1,0))+IF(Classifiers!$F$16="",0,IF(ISNUMBER(SEARCH(Classifiers!$F$16,E7)),1,0))+IF(Classifiers!$G$16="",0,IF(ISNUMBER(SEARCH(Classifiers!$G$16,E7)),1,0)))&gt;0,1,0))</f>
        <v/>
      </c>
      <c r="V7" s="12">
        <f>IF(H7&lt;&gt;1,0,IF((IF(Classifiers!$B$17="",0,IF(ISNUMBER(SEARCH(Classifiers!$B$17,E7)),1,0))+IF(Classifiers!$C$17="",0,IF(ISNUMBER(SEARCH(Classifiers!$C$17,E7)),1,0))+IF(Classifiers!$D$17="",0,IF(ISNUMBER(SEARCH(Classifiers!$D$17,E7)),1,0))+IF(Classifiers!$E$17="",0,IF(ISNUMBER(SEARCH(Classifiers!$E$17,E7)),1,0))+IF(Classifiers!$F$17="",0,IF(ISNUMBER(SEARCH(Classifiers!$F$17,E7)),1,0))+IF(Classifiers!$G$17="",0,IF(ISNUMBER(SEARCH(Classifiers!$G$17,E7)),1,0)))&gt;0,1,0))</f>
        <v/>
      </c>
      <c r="W7" s="12">
        <f>IF(H7&lt;&gt;1,0,IF((IF(Classifiers!$B$18="",0,IF(ISNUMBER(SEARCH(Classifiers!$B$18,E7)),1,0))+IF(Classifiers!$C$18="",0,IF(ISNUMBER(SEARCH(Classifiers!$C$18,E7)),1,0))+IF(Classifiers!$D$18="",0,IF(ISNUMBER(SEARCH(Classifiers!$D$18,E7)),1,0))+IF(Classifiers!$E$18="",0,IF(ISNUMBER(SEARCH(Classifiers!$E$18,E7)),1,0))+IF(Classifiers!$F$18="",0,IF(ISNUMBER(SEARCH(Classifiers!$F$18,E7)),1,0))+IF(Classifiers!$G$18="",0,IF(ISNUMBER(SEARCH(Classifiers!$G$18,E7)),1,0)))&gt;0,1,0))</f>
        <v/>
      </c>
    </row>
    <row r="8">
      <c r="A8" s="8" t="n"/>
      <c r="B8" s="11" t="n"/>
      <c r="C8" s="6">
        <f>IF(A8="","",TRIM(RIGHT(SUBSTITUTE(A8,"/",REPT(" ",250)),250)))</f>
        <v/>
      </c>
      <c r="D8" s="6">
        <f>IF(C8="","",IF(ISNUMBER(SEARCH(".",C8)),LOWER("."&amp;TRIM(RIGHT(SUBSTITUTE(C8,".",REPT(" ",250)),250))),""))</f>
        <v/>
      </c>
      <c r="E8" s="6">
        <f>IF(C8="","",TRIM(SUBSTITUTE(SUBSTITUTE(SUBSTITUTE(SUBSTITUTE(SUBSTITUTE(SUBSTITUTE(SUBSTITUTE(SUBSTITUTE(SUBSTITUTE(SUBSTITUTE(SUBSTITUTE(SUBSTITUTE(SUBSTITUTE(SUBSTITUTE(SUBSTITUTE(SUBSTITUTE(SUBSTITUTE(SUBSTITUTE(SUBSTITUTE(SUBSTITUTE(LOWER(LEFT(C8,LEN(C8)-LEN(D8))),"_"," "),"-"," "),"."," "),","," "),"("," "),")"," "),"["," "),"]"," "),"&amp;"," "),"+"," "),"@"," "),"#"," "),"!"," "),"'"," "),"/"," "),":"," "),";"," "),"="," "),"~"," "),"%"," ")))</f>
        <v/>
      </c>
      <c r="F8" s="6">
        <f>IF(C8="","",IF(COUNTIF(Classifiers!$A$23:$A$40,D8)&gt;0,1,0))</f>
        <v/>
      </c>
      <c r="G8" s="6">
        <f>IF(C8="","",IF(COUNTIF(Classifiers!$C$23:$C$30,D8)&gt;0,IF((IF(ISNUMBER(SEARCH(Classifiers!$E$23,E8)),1,0)+IF(ISNUMBER(SEARCH(Classifiers!$E$24,E8)),1,0)+IF(ISNUMBER(SEARCH(Classifiers!$E$25,E8)),1,0)+IF(ISNUMBER(SEARCH(Classifiers!$E$26,E8)),1,0)+IF(ISNUMBER(SEARCH(Classifiers!$E$27,E8)),1,0)+IF(ISNUMBER(SEARCH(Classifiers!$E$28,E8)),1,0)+IF(ISNUMBER(SEARCH(Classifiers!$E$29,E8)),1,0)+IF(ISNUMBER(SEARCH(Classifiers!$E$30,E8)),1,0))&gt;0,1,0),0))</f>
        <v/>
      </c>
      <c r="H8" s="6">
        <f>IF(C8="","",IF(OR(LEFT(C8,1)=".",AND(F8=0,G8=0)),0,1))</f>
        <v/>
      </c>
      <c r="I8" s="6">
        <f>IF(H8&lt;&gt;1,"",IF(SUM(J8:W8)=0,"unclassified",INDEX(Classifiers!$A$5:$A$18,MATCH(1,J8:W8,0),1)))</f>
        <v/>
      </c>
      <c r="J8" s="12">
        <f>IF(H8&lt;&gt;1,0,IF((IF(Classifiers!$B$5="",0,IF(ISNUMBER(SEARCH(Classifiers!$B$5,E8)),1,0))+IF(Classifiers!$C$5="",0,IF(ISNUMBER(SEARCH(Classifiers!$C$5,E8)),1,0))+IF(Classifiers!$D$5="",0,IF(ISNUMBER(SEARCH(Classifiers!$D$5,E8)),1,0))+IF(Classifiers!$E$5="",0,IF(ISNUMBER(SEARCH(Classifiers!$E$5,E8)),1,0))+IF(Classifiers!$F$5="",0,IF(ISNUMBER(SEARCH(Classifiers!$F$5,E8)),1,0))+IF(Classifiers!$G$5="",0,IF(ISNUMBER(SEARCH(Classifiers!$G$5,E8)),1,0)))&gt;0,1,0))</f>
        <v/>
      </c>
      <c r="K8" s="12">
        <f>IF(H8&lt;&gt;1,0,IF((IF(Classifiers!$B$6="",0,IF(ISNUMBER(SEARCH(Classifiers!$B$6,E8)),1,0))+IF(Classifiers!$C$6="",0,IF(ISNUMBER(SEARCH(Classifiers!$C$6,E8)),1,0))+IF(Classifiers!$D$6="",0,IF(ISNUMBER(SEARCH(Classifiers!$D$6,E8)),1,0))+IF(Classifiers!$E$6="",0,IF(ISNUMBER(SEARCH(Classifiers!$E$6,E8)),1,0))+IF(Classifiers!$F$6="",0,IF(ISNUMBER(SEARCH(Classifiers!$F$6,E8)),1,0))+IF(Classifiers!$G$6="",0,IF(ISNUMBER(SEARCH(Classifiers!$G$6,E8)),1,0)))&gt;0,1,0))</f>
        <v/>
      </c>
      <c r="L8" s="12">
        <f>IF(H8&lt;&gt;1,0,IF((IF(Classifiers!$B$7="",0,IF(ISNUMBER(SEARCH(Classifiers!$B$7,E8)),1,0))+IF(Classifiers!$C$7="",0,IF(ISNUMBER(SEARCH(Classifiers!$C$7,E8)),1,0))+IF(Classifiers!$D$7="",0,IF(ISNUMBER(SEARCH(Classifiers!$D$7,E8)),1,0))+IF(Classifiers!$E$7="",0,IF(ISNUMBER(SEARCH(Classifiers!$E$7,E8)),1,0))+IF(Classifiers!$F$7="",0,IF(ISNUMBER(SEARCH(Classifiers!$F$7,E8)),1,0))+IF(Classifiers!$G$7="",0,IF(ISNUMBER(SEARCH(Classifiers!$G$7,E8)),1,0)))&gt;0,1,0))</f>
        <v/>
      </c>
      <c r="M8" s="12">
        <f>IF(H8&lt;&gt;1,0,IF((IF(Classifiers!$B$8="",0,IF(ISNUMBER(SEARCH(Classifiers!$B$8,E8)),1,0))+IF(Classifiers!$C$8="",0,IF(ISNUMBER(SEARCH(Classifiers!$C$8,E8)),1,0))+IF(Classifiers!$D$8="",0,IF(ISNUMBER(SEARCH(Classifiers!$D$8,E8)),1,0))+IF(Classifiers!$E$8="",0,IF(ISNUMBER(SEARCH(Classifiers!$E$8,E8)),1,0))+IF(Classifiers!$F$8="",0,IF(ISNUMBER(SEARCH(Classifiers!$F$8,E8)),1,0))+IF(Classifiers!$G$8="",0,IF(ISNUMBER(SEARCH(Classifiers!$G$8,E8)),1,0)))&gt;0,1,0))</f>
        <v/>
      </c>
      <c r="N8" s="12">
        <f>IF(H8&lt;&gt;1,0,IF((IF(Classifiers!$B$9="",0,IF(ISNUMBER(SEARCH(Classifiers!$B$9,E8)),1,0))+IF(Classifiers!$C$9="",0,IF(ISNUMBER(SEARCH(Classifiers!$C$9,E8)),1,0))+IF(Classifiers!$D$9="",0,IF(ISNUMBER(SEARCH(Classifiers!$D$9,E8)),1,0))+IF(Classifiers!$E$9="",0,IF(ISNUMBER(SEARCH(Classifiers!$E$9,E8)),1,0))+IF(Classifiers!$F$9="",0,IF(ISNUMBER(SEARCH(Classifiers!$F$9,E8)),1,0))+IF(Classifiers!$G$9="",0,IF(ISNUMBER(SEARCH(Classifiers!$G$9,E8)),1,0)))&gt;0,1,0))</f>
        <v/>
      </c>
      <c r="O8" s="12">
        <f>IF(H8&lt;&gt;1,0,IF((IF(Classifiers!$B$10="",0,IF(ISNUMBER(SEARCH(Classifiers!$B$10,E8)),1,0))+IF(Classifiers!$C$10="",0,IF(ISNUMBER(SEARCH(Classifiers!$C$10,E8)),1,0))+IF(Classifiers!$D$10="",0,IF(ISNUMBER(SEARCH(Classifiers!$D$10,E8)),1,0))+IF(Classifiers!$E$10="",0,IF(ISNUMBER(SEARCH(Classifiers!$E$10,E8)),1,0))+IF(Classifiers!$F$10="",0,IF(ISNUMBER(SEARCH(Classifiers!$F$10,E8)),1,0))+IF(Classifiers!$G$10="",0,IF(ISNUMBER(SEARCH(Classifiers!$G$10,E8)),1,0)))&gt;0,1,0))</f>
        <v/>
      </c>
      <c r="P8" s="12">
        <f>IF(H8&lt;&gt;1,0,IF((IF(Classifiers!$B$11="",0,IF(ISNUMBER(SEARCH(Classifiers!$B$11,E8)),1,0))+IF(Classifiers!$C$11="",0,IF(ISNUMBER(SEARCH(Classifiers!$C$11,E8)),1,0))+IF(Classifiers!$D$11="",0,IF(ISNUMBER(SEARCH(Classifiers!$D$11,E8)),1,0))+IF(Classifiers!$E$11="",0,IF(ISNUMBER(SEARCH(Classifiers!$E$11,E8)),1,0))+IF(Classifiers!$F$11="",0,IF(ISNUMBER(SEARCH(Classifiers!$F$11,E8)),1,0))+IF(Classifiers!$G$11="",0,IF(ISNUMBER(SEARCH(Classifiers!$G$11,E8)),1,0)))&gt;0,1,0))</f>
        <v/>
      </c>
      <c r="Q8" s="12">
        <f>IF(H8&lt;&gt;1,0,IF((IF(Classifiers!$B$12="",0,IF(ISNUMBER(SEARCH(Classifiers!$B$12,E8)),1,0))+IF(Classifiers!$C$12="",0,IF(ISNUMBER(SEARCH(Classifiers!$C$12,E8)),1,0))+IF(Classifiers!$D$12="",0,IF(ISNUMBER(SEARCH(Classifiers!$D$12,E8)),1,0))+IF(Classifiers!$E$12="",0,IF(ISNUMBER(SEARCH(Classifiers!$E$12,E8)),1,0))+IF(Classifiers!$F$12="",0,IF(ISNUMBER(SEARCH(Classifiers!$F$12,E8)),1,0))+IF(Classifiers!$G$12="",0,IF(ISNUMBER(SEARCH(Classifiers!$G$12,E8)),1,0)))&gt;0,1,0))</f>
        <v/>
      </c>
      <c r="R8" s="12">
        <f>IF(H8&lt;&gt;1,0,IF((IF(Classifiers!$B$13="",0,IF(ISNUMBER(SEARCH(Classifiers!$B$13,E8)),1,0))+IF(Classifiers!$C$13="",0,IF(ISNUMBER(SEARCH(Classifiers!$C$13,E8)),1,0))+IF(Classifiers!$D$13="",0,IF(ISNUMBER(SEARCH(Classifiers!$D$13,E8)),1,0))+IF(Classifiers!$E$13="",0,IF(ISNUMBER(SEARCH(Classifiers!$E$13,E8)),1,0))+IF(Classifiers!$F$13="",0,IF(ISNUMBER(SEARCH(Classifiers!$F$13,E8)),1,0))+IF(Classifiers!$G$13="",0,IF(ISNUMBER(SEARCH(Classifiers!$G$13,E8)),1,0)))&gt;0,1,0))</f>
        <v/>
      </c>
      <c r="S8" s="12">
        <f>IF(H8&lt;&gt;1,0,IF((IF(Classifiers!$B$14="",0,IF(ISNUMBER(SEARCH(Classifiers!$B$14,E8)),1,0))+IF(Classifiers!$C$14="",0,IF(ISNUMBER(SEARCH(Classifiers!$C$14,E8)),1,0))+IF(Classifiers!$D$14="",0,IF(ISNUMBER(SEARCH(Classifiers!$D$14,E8)),1,0))+IF(Classifiers!$E$14="",0,IF(ISNUMBER(SEARCH(Classifiers!$E$14,E8)),1,0))+IF(Classifiers!$F$14="",0,IF(ISNUMBER(SEARCH(Classifiers!$F$14,E8)),1,0))+IF(Classifiers!$G$14="",0,IF(ISNUMBER(SEARCH(Classifiers!$G$14,E8)),1,0)))&gt;0,1,0))</f>
        <v/>
      </c>
      <c r="T8" s="12">
        <f>IF(H8&lt;&gt;1,0,IF((IF(Classifiers!$B$15="",0,IF(ISNUMBER(SEARCH(Classifiers!$B$15,E8)),1,0))+IF(Classifiers!$C$15="",0,IF(ISNUMBER(SEARCH(Classifiers!$C$15,E8)),1,0))+IF(Classifiers!$D$15="",0,IF(ISNUMBER(SEARCH(Classifiers!$D$15,E8)),1,0))+IF(Classifiers!$E$15="",0,IF(ISNUMBER(SEARCH(Classifiers!$E$15,E8)),1,0))+IF(Classifiers!$F$15="",0,IF(ISNUMBER(SEARCH(Classifiers!$F$15,E8)),1,0))+IF(Classifiers!$G$15="",0,IF(ISNUMBER(SEARCH(Classifiers!$G$15,E8)),1,0)))&gt;0,1,0))</f>
        <v/>
      </c>
      <c r="U8" s="12">
        <f>IF(H8&lt;&gt;1,0,IF((IF(Classifiers!$B$16="",0,IF(ISNUMBER(SEARCH(Classifiers!$B$16,E8)),1,0))+IF(Classifiers!$C$16="",0,IF(ISNUMBER(SEARCH(Classifiers!$C$16,E8)),1,0))+IF(Classifiers!$D$16="",0,IF(ISNUMBER(SEARCH(Classifiers!$D$16,E8)),1,0))+IF(Classifiers!$E$16="",0,IF(ISNUMBER(SEARCH(Classifiers!$E$16,E8)),1,0))+IF(Classifiers!$F$16="",0,IF(ISNUMBER(SEARCH(Classifiers!$F$16,E8)),1,0))+IF(Classifiers!$G$16="",0,IF(ISNUMBER(SEARCH(Classifiers!$G$16,E8)),1,0)))&gt;0,1,0))</f>
        <v/>
      </c>
      <c r="V8" s="12">
        <f>IF(H8&lt;&gt;1,0,IF((IF(Classifiers!$B$17="",0,IF(ISNUMBER(SEARCH(Classifiers!$B$17,E8)),1,0))+IF(Classifiers!$C$17="",0,IF(ISNUMBER(SEARCH(Classifiers!$C$17,E8)),1,0))+IF(Classifiers!$D$17="",0,IF(ISNUMBER(SEARCH(Classifiers!$D$17,E8)),1,0))+IF(Classifiers!$E$17="",0,IF(ISNUMBER(SEARCH(Classifiers!$E$17,E8)),1,0))+IF(Classifiers!$F$17="",0,IF(ISNUMBER(SEARCH(Classifiers!$F$17,E8)),1,0))+IF(Classifiers!$G$17="",0,IF(ISNUMBER(SEARCH(Classifiers!$G$17,E8)),1,0)))&gt;0,1,0))</f>
        <v/>
      </c>
      <c r="W8" s="12">
        <f>IF(H8&lt;&gt;1,0,IF((IF(Classifiers!$B$18="",0,IF(ISNUMBER(SEARCH(Classifiers!$B$18,E8)),1,0))+IF(Classifiers!$C$18="",0,IF(ISNUMBER(SEARCH(Classifiers!$C$18,E8)),1,0))+IF(Classifiers!$D$18="",0,IF(ISNUMBER(SEARCH(Classifiers!$D$18,E8)),1,0))+IF(Classifiers!$E$18="",0,IF(ISNUMBER(SEARCH(Classifiers!$E$18,E8)),1,0))+IF(Classifiers!$F$18="",0,IF(ISNUMBER(SEARCH(Classifiers!$F$18,E8)),1,0))+IF(Classifiers!$G$18="",0,IF(ISNUMBER(SEARCH(Classifiers!$G$18,E8)),1,0)))&gt;0,1,0))</f>
        <v/>
      </c>
    </row>
    <row r="9">
      <c r="A9" s="8" t="n"/>
      <c r="B9" s="11" t="n"/>
      <c r="C9" s="6">
        <f>IF(A9="","",TRIM(RIGHT(SUBSTITUTE(A9,"/",REPT(" ",250)),250)))</f>
        <v/>
      </c>
      <c r="D9" s="6">
        <f>IF(C9="","",IF(ISNUMBER(SEARCH(".",C9)),LOWER("."&amp;TRIM(RIGHT(SUBSTITUTE(C9,".",REPT(" ",250)),250))),""))</f>
        <v/>
      </c>
      <c r="E9" s="6">
        <f>IF(C9="","",TRIM(SUBSTITUTE(SUBSTITUTE(SUBSTITUTE(SUBSTITUTE(SUBSTITUTE(SUBSTITUTE(SUBSTITUTE(SUBSTITUTE(SUBSTITUTE(SUBSTITUTE(SUBSTITUTE(SUBSTITUTE(SUBSTITUTE(SUBSTITUTE(SUBSTITUTE(SUBSTITUTE(SUBSTITUTE(SUBSTITUTE(SUBSTITUTE(SUBSTITUTE(LOWER(LEFT(C9,LEN(C9)-LEN(D9))),"_"," "),"-"," "),"."," "),","," "),"("," "),")"," "),"["," "),"]"," "),"&amp;"," "),"+"," "),"@"," "),"#"," "),"!"," "),"'"," "),"/"," "),":"," "),";"," "),"="," "),"~"," "),"%"," ")))</f>
        <v/>
      </c>
      <c r="F9" s="6">
        <f>IF(C9="","",IF(COUNTIF(Classifiers!$A$23:$A$40,D9)&gt;0,1,0))</f>
        <v/>
      </c>
      <c r="G9" s="6">
        <f>IF(C9="","",IF(COUNTIF(Classifiers!$C$23:$C$30,D9)&gt;0,IF((IF(ISNUMBER(SEARCH(Classifiers!$E$23,E9)),1,0)+IF(ISNUMBER(SEARCH(Classifiers!$E$24,E9)),1,0)+IF(ISNUMBER(SEARCH(Classifiers!$E$25,E9)),1,0)+IF(ISNUMBER(SEARCH(Classifiers!$E$26,E9)),1,0)+IF(ISNUMBER(SEARCH(Classifiers!$E$27,E9)),1,0)+IF(ISNUMBER(SEARCH(Classifiers!$E$28,E9)),1,0)+IF(ISNUMBER(SEARCH(Classifiers!$E$29,E9)),1,0)+IF(ISNUMBER(SEARCH(Classifiers!$E$30,E9)),1,0))&gt;0,1,0),0))</f>
        <v/>
      </c>
      <c r="H9" s="6">
        <f>IF(C9="","",IF(OR(LEFT(C9,1)=".",AND(F9=0,G9=0)),0,1))</f>
        <v/>
      </c>
      <c r="I9" s="6">
        <f>IF(H9&lt;&gt;1,"",IF(SUM(J9:W9)=0,"unclassified",INDEX(Classifiers!$A$5:$A$18,MATCH(1,J9:W9,0),1)))</f>
        <v/>
      </c>
      <c r="J9" s="12">
        <f>IF(H9&lt;&gt;1,0,IF((IF(Classifiers!$B$5="",0,IF(ISNUMBER(SEARCH(Classifiers!$B$5,E9)),1,0))+IF(Classifiers!$C$5="",0,IF(ISNUMBER(SEARCH(Classifiers!$C$5,E9)),1,0))+IF(Classifiers!$D$5="",0,IF(ISNUMBER(SEARCH(Classifiers!$D$5,E9)),1,0))+IF(Classifiers!$E$5="",0,IF(ISNUMBER(SEARCH(Classifiers!$E$5,E9)),1,0))+IF(Classifiers!$F$5="",0,IF(ISNUMBER(SEARCH(Classifiers!$F$5,E9)),1,0))+IF(Classifiers!$G$5="",0,IF(ISNUMBER(SEARCH(Classifiers!$G$5,E9)),1,0)))&gt;0,1,0))</f>
        <v/>
      </c>
      <c r="K9" s="12">
        <f>IF(H9&lt;&gt;1,0,IF((IF(Classifiers!$B$6="",0,IF(ISNUMBER(SEARCH(Classifiers!$B$6,E9)),1,0))+IF(Classifiers!$C$6="",0,IF(ISNUMBER(SEARCH(Classifiers!$C$6,E9)),1,0))+IF(Classifiers!$D$6="",0,IF(ISNUMBER(SEARCH(Classifiers!$D$6,E9)),1,0))+IF(Classifiers!$E$6="",0,IF(ISNUMBER(SEARCH(Classifiers!$E$6,E9)),1,0))+IF(Classifiers!$F$6="",0,IF(ISNUMBER(SEARCH(Classifiers!$F$6,E9)),1,0))+IF(Classifiers!$G$6="",0,IF(ISNUMBER(SEARCH(Classifiers!$G$6,E9)),1,0)))&gt;0,1,0))</f>
        <v/>
      </c>
      <c r="L9" s="12">
        <f>IF(H9&lt;&gt;1,0,IF((IF(Classifiers!$B$7="",0,IF(ISNUMBER(SEARCH(Classifiers!$B$7,E9)),1,0))+IF(Classifiers!$C$7="",0,IF(ISNUMBER(SEARCH(Classifiers!$C$7,E9)),1,0))+IF(Classifiers!$D$7="",0,IF(ISNUMBER(SEARCH(Classifiers!$D$7,E9)),1,0))+IF(Classifiers!$E$7="",0,IF(ISNUMBER(SEARCH(Classifiers!$E$7,E9)),1,0))+IF(Classifiers!$F$7="",0,IF(ISNUMBER(SEARCH(Classifiers!$F$7,E9)),1,0))+IF(Classifiers!$G$7="",0,IF(ISNUMBER(SEARCH(Classifiers!$G$7,E9)),1,0)))&gt;0,1,0))</f>
        <v/>
      </c>
      <c r="M9" s="12">
        <f>IF(H9&lt;&gt;1,0,IF((IF(Classifiers!$B$8="",0,IF(ISNUMBER(SEARCH(Classifiers!$B$8,E9)),1,0))+IF(Classifiers!$C$8="",0,IF(ISNUMBER(SEARCH(Classifiers!$C$8,E9)),1,0))+IF(Classifiers!$D$8="",0,IF(ISNUMBER(SEARCH(Classifiers!$D$8,E9)),1,0))+IF(Classifiers!$E$8="",0,IF(ISNUMBER(SEARCH(Classifiers!$E$8,E9)),1,0))+IF(Classifiers!$F$8="",0,IF(ISNUMBER(SEARCH(Classifiers!$F$8,E9)),1,0))+IF(Classifiers!$G$8="",0,IF(ISNUMBER(SEARCH(Classifiers!$G$8,E9)),1,0)))&gt;0,1,0))</f>
        <v/>
      </c>
      <c r="N9" s="12">
        <f>IF(H9&lt;&gt;1,0,IF((IF(Classifiers!$B$9="",0,IF(ISNUMBER(SEARCH(Classifiers!$B$9,E9)),1,0))+IF(Classifiers!$C$9="",0,IF(ISNUMBER(SEARCH(Classifiers!$C$9,E9)),1,0))+IF(Classifiers!$D$9="",0,IF(ISNUMBER(SEARCH(Classifiers!$D$9,E9)),1,0))+IF(Classifiers!$E$9="",0,IF(ISNUMBER(SEARCH(Classifiers!$E$9,E9)),1,0))+IF(Classifiers!$F$9="",0,IF(ISNUMBER(SEARCH(Classifiers!$F$9,E9)),1,0))+IF(Classifiers!$G$9="",0,IF(ISNUMBER(SEARCH(Classifiers!$G$9,E9)),1,0)))&gt;0,1,0))</f>
        <v/>
      </c>
      <c r="O9" s="12">
        <f>IF(H9&lt;&gt;1,0,IF((IF(Classifiers!$B$10="",0,IF(ISNUMBER(SEARCH(Classifiers!$B$10,E9)),1,0))+IF(Classifiers!$C$10="",0,IF(ISNUMBER(SEARCH(Classifiers!$C$10,E9)),1,0))+IF(Classifiers!$D$10="",0,IF(ISNUMBER(SEARCH(Classifiers!$D$10,E9)),1,0))+IF(Classifiers!$E$10="",0,IF(ISNUMBER(SEARCH(Classifiers!$E$10,E9)),1,0))+IF(Classifiers!$F$10="",0,IF(ISNUMBER(SEARCH(Classifiers!$F$10,E9)),1,0))+IF(Classifiers!$G$10="",0,IF(ISNUMBER(SEARCH(Classifiers!$G$10,E9)),1,0)))&gt;0,1,0))</f>
        <v/>
      </c>
      <c r="P9" s="12">
        <f>IF(H9&lt;&gt;1,0,IF((IF(Classifiers!$B$11="",0,IF(ISNUMBER(SEARCH(Classifiers!$B$11,E9)),1,0))+IF(Classifiers!$C$11="",0,IF(ISNUMBER(SEARCH(Classifiers!$C$11,E9)),1,0))+IF(Classifiers!$D$11="",0,IF(ISNUMBER(SEARCH(Classifiers!$D$11,E9)),1,0))+IF(Classifiers!$E$11="",0,IF(ISNUMBER(SEARCH(Classifiers!$E$11,E9)),1,0))+IF(Classifiers!$F$11="",0,IF(ISNUMBER(SEARCH(Classifiers!$F$11,E9)),1,0))+IF(Classifiers!$G$11="",0,IF(ISNUMBER(SEARCH(Classifiers!$G$11,E9)),1,0)))&gt;0,1,0))</f>
        <v/>
      </c>
      <c r="Q9" s="12">
        <f>IF(H9&lt;&gt;1,0,IF((IF(Classifiers!$B$12="",0,IF(ISNUMBER(SEARCH(Classifiers!$B$12,E9)),1,0))+IF(Classifiers!$C$12="",0,IF(ISNUMBER(SEARCH(Classifiers!$C$12,E9)),1,0))+IF(Classifiers!$D$12="",0,IF(ISNUMBER(SEARCH(Classifiers!$D$12,E9)),1,0))+IF(Classifiers!$E$12="",0,IF(ISNUMBER(SEARCH(Classifiers!$E$12,E9)),1,0))+IF(Classifiers!$F$12="",0,IF(ISNUMBER(SEARCH(Classifiers!$F$12,E9)),1,0))+IF(Classifiers!$G$12="",0,IF(ISNUMBER(SEARCH(Classifiers!$G$12,E9)),1,0)))&gt;0,1,0))</f>
        <v/>
      </c>
      <c r="R9" s="12">
        <f>IF(H9&lt;&gt;1,0,IF((IF(Classifiers!$B$13="",0,IF(ISNUMBER(SEARCH(Classifiers!$B$13,E9)),1,0))+IF(Classifiers!$C$13="",0,IF(ISNUMBER(SEARCH(Classifiers!$C$13,E9)),1,0))+IF(Classifiers!$D$13="",0,IF(ISNUMBER(SEARCH(Classifiers!$D$13,E9)),1,0))+IF(Classifiers!$E$13="",0,IF(ISNUMBER(SEARCH(Classifiers!$E$13,E9)),1,0))+IF(Classifiers!$F$13="",0,IF(ISNUMBER(SEARCH(Classifiers!$F$13,E9)),1,0))+IF(Classifiers!$G$13="",0,IF(ISNUMBER(SEARCH(Classifiers!$G$13,E9)),1,0)))&gt;0,1,0))</f>
        <v/>
      </c>
      <c r="S9" s="12">
        <f>IF(H9&lt;&gt;1,0,IF((IF(Classifiers!$B$14="",0,IF(ISNUMBER(SEARCH(Classifiers!$B$14,E9)),1,0))+IF(Classifiers!$C$14="",0,IF(ISNUMBER(SEARCH(Classifiers!$C$14,E9)),1,0))+IF(Classifiers!$D$14="",0,IF(ISNUMBER(SEARCH(Classifiers!$D$14,E9)),1,0))+IF(Classifiers!$E$14="",0,IF(ISNUMBER(SEARCH(Classifiers!$E$14,E9)),1,0))+IF(Classifiers!$F$14="",0,IF(ISNUMBER(SEARCH(Classifiers!$F$14,E9)),1,0))+IF(Classifiers!$G$14="",0,IF(ISNUMBER(SEARCH(Classifiers!$G$14,E9)),1,0)))&gt;0,1,0))</f>
        <v/>
      </c>
      <c r="T9" s="12">
        <f>IF(H9&lt;&gt;1,0,IF((IF(Classifiers!$B$15="",0,IF(ISNUMBER(SEARCH(Classifiers!$B$15,E9)),1,0))+IF(Classifiers!$C$15="",0,IF(ISNUMBER(SEARCH(Classifiers!$C$15,E9)),1,0))+IF(Classifiers!$D$15="",0,IF(ISNUMBER(SEARCH(Classifiers!$D$15,E9)),1,0))+IF(Classifiers!$E$15="",0,IF(ISNUMBER(SEARCH(Classifiers!$E$15,E9)),1,0))+IF(Classifiers!$F$15="",0,IF(ISNUMBER(SEARCH(Classifiers!$F$15,E9)),1,0))+IF(Classifiers!$G$15="",0,IF(ISNUMBER(SEARCH(Classifiers!$G$15,E9)),1,0)))&gt;0,1,0))</f>
        <v/>
      </c>
      <c r="U9" s="12">
        <f>IF(H9&lt;&gt;1,0,IF((IF(Classifiers!$B$16="",0,IF(ISNUMBER(SEARCH(Classifiers!$B$16,E9)),1,0))+IF(Classifiers!$C$16="",0,IF(ISNUMBER(SEARCH(Classifiers!$C$16,E9)),1,0))+IF(Classifiers!$D$16="",0,IF(ISNUMBER(SEARCH(Classifiers!$D$16,E9)),1,0))+IF(Classifiers!$E$16="",0,IF(ISNUMBER(SEARCH(Classifiers!$E$16,E9)),1,0))+IF(Classifiers!$F$16="",0,IF(ISNUMBER(SEARCH(Classifiers!$F$16,E9)),1,0))+IF(Classifiers!$G$16="",0,IF(ISNUMBER(SEARCH(Classifiers!$G$16,E9)),1,0)))&gt;0,1,0))</f>
        <v/>
      </c>
      <c r="V9" s="12">
        <f>IF(H9&lt;&gt;1,0,IF((IF(Classifiers!$B$17="",0,IF(ISNUMBER(SEARCH(Classifiers!$B$17,E9)),1,0))+IF(Classifiers!$C$17="",0,IF(ISNUMBER(SEARCH(Classifiers!$C$17,E9)),1,0))+IF(Classifiers!$D$17="",0,IF(ISNUMBER(SEARCH(Classifiers!$D$17,E9)),1,0))+IF(Classifiers!$E$17="",0,IF(ISNUMBER(SEARCH(Classifiers!$E$17,E9)),1,0))+IF(Classifiers!$F$17="",0,IF(ISNUMBER(SEARCH(Classifiers!$F$17,E9)),1,0))+IF(Classifiers!$G$17="",0,IF(ISNUMBER(SEARCH(Classifiers!$G$17,E9)),1,0)))&gt;0,1,0))</f>
        <v/>
      </c>
      <c r="W9" s="12">
        <f>IF(H9&lt;&gt;1,0,IF((IF(Classifiers!$B$18="",0,IF(ISNUMBER(SEARCH(Classifiers!$B$18,E9)),1,0))+IF(Classifiers!$C$18="",0,IF(ISNUMBER(SEARCH(Classifiers!$C$18,E9)),1,0))+IF(Classifiers!$D$18="",0,IF(ISNUMBER(SEARCH(Classifiers!$D$18,E9)),1,0))+IF(Classifiers!$E$18="",0,IF(ISNUMBER(SEARCH(Classifiers!$E$18,E9)),1,0))+IF(Classifiers!$F$18="",0,IF(ISNUMBER(SEARCH(Classifiers!$F$18,E9)),1,0))+IF(Classifiers!$G$18="",0,IF(ISNUMBER(SEARCH(Classifiers!$G$18,E9)),1,0)))&gt;0,1,0))</f>
        <v/>
      </c>
    </row>
    <row r="10">
      <c r="A10" s="8" t="n"/>
      <c r="B10" s="11" t="n"/>
      <c r="C10" s="6">
        <f>IF(A10="","",TRIM(RIGHT(SUBSTITUTE(A10,"/",REPT(" ",250)),250)))</f>
        <v/>
      </c>
      <c r="D10" s="6">
        <f>IF(C10="","",IF(ISNUMBER(SEARCH(".",C10)),LOWER("."&amp;TRIM(RIGHT(SUBSTITUTE(C10,".",REPT(" ",250)),250))),""))</f>
        <v/>
      </c>
      <c r="E10" s="6">
        <f>IF(C10="","",TRIM(SUBSTITUTE(SUBSTITUTE(SUBSTITUTE(SUBSTITUTE(SUBSTITUTE(SUBSTITUTE(SUBSTITUTE(SUBSTITUTE(SUBSTITUTE(SUBSTITUTE(SUBSTITUTE(SUBSTITUTE(SUBSTITUTE(SUBSTITUTE(SUBSTITUTE(SUBSTITUTE(SUBSTITUTE(SUBSTITUTE(SUBSTITUTE(SUBSTITUTE(LOWER(LEFT(C10,LEN(C10)-LEN(D10))),"_"," "),"-"," "),"."," "),","," "),"("," "),")"," "),"["," "),"]"," "),"&amp;"," "),"+"," "),"@"," "),"#"," "),"!"," "),"'"," "),"/"," "),":"," "),";"," "),"="," "),"~"," "),"%"," ")))</f>
        <v/>
      </c>
      <c r="F10" s="6">
        <f>IF(C10="","",IF(COUNTIF(Classifiers!$A$23:$A$40,D10)&gt;0,1,0))</f>
        <v/>
      </c>
      <c r="G10" s="6">
        <f>IF(C10="","",IF(COUNTIF(Classifiers!$C$23:$C$30,D10)&gt;0,IF((IF(ISNUMBER(SEARCH(Classifiers!$E$23,E10)),1,0)+IF(ISNUMBER(SEARCH(Classifiers!$E$24,E10)),1,0)+IF(ISNUMBER(SEARCH(Classifiers!$E$25,E10)),1,0)+IF(ISNUMBER(SEARCH(Classifiers!$E$26,E10)),1,0)+IF(ISNUMBER(SEARCH(Classifiers!$E$27,E10)),1,0)+IF(ISNUMBER(SEARCH(Classifiers!$E$28,E10)),1,0)+IF(ISNUMBER(SEARCH(Classifiers!$E$29,E10)),1,0)+IF(ISNUMBER(SEARCH(Classifiers!$E$30,E10)),1,0))&gt;0,1,0),0))</f>
        <v/>
      </c>
      <c r="H10" s="6">
        <f>IF(C10="","",IF(OR(LEFT(C10,1)=".",AND(F10=0,G10=0)),0,1))</f>
        <v/>
      </c>
      <c r="I10" s="6">
        <f>IF(H10&lt;&gt;1,"",IF(SUM(J10:W10)=0,"unclassified",INDEX(Classifiers!$A$5:$A$18,MATCH(1,J10:W10,0),1)))</f>
        <v/>
      </c>
      <c r="J10" s="12">
        <f>IF(H10&lt;&gt;1,0,IF((IF(Classifiers!$B$5="",0,IF(ISNUMBER(SEARCH(Classifiers!$B$5,E10)),1,0))+IF(Classifiers!$C$5="",0,IF(ISNUMBER(SEARCH(Classifiers!$C$5,E10)),1,0))+IF(Classifiers!$D$5="",0,IF(ISNUMBER(SEARCH(Classifiers!$D$5,E10)),1,0))+IF(Classifiers!$E$5="",0,IF(ISNUMBER(SEARCH(Classifiers!$E$5,E10)),1,0))+IF(Classifiers!$F$5="",0,IF(ISNUMBER(SEARCH(Classifiers!$F$5,E10)),1,0))+IF(Classifiers!$G$5="",0,IF(ISNUMBER(SEARCH(Classifiers!$G$5,E10)),1,0)))&gt;0,1,0))</f>
        <v/>
      </c>
      <c r="K10" s="12">
        <f>IF(H10&lt;&gt;1,0,IF((IF(Classifiers!$B$6="",0,IF(ISNUMBER(SEARCH(Classifiers!$B$6,E10)),1,0))+IF(Classifiers!$C$6="",0,IF(ISNUMBER(SEARCH(Classifiers!$C$6,E10)),1,0))+IF(Classifiers!$D$6="",0,IF(ISNUMBER(SEARCH(Classifiers!$D$6,E10)),1,0))+IF(Classifiers!$E$6="",0,IF(ISNUMBER(SEARCH(Classifiers!$E$6,E10)),1,0))+IF(Classifiers!$F$6="",0,IF(ISNUMBER(SEARCH(Classifiers!$F$6,E10)),1,0))+IF(Classifiers!$G$6="",0,IF(ISNUMBER(SEARCH(Classifiers!$G$6,E10)),1,0)))&gt;0,1,0))</f>
        <v/>
      </c>
      <c r="L10" s="12">
        <f>IF(H10&lt;&gt;1,0,IF((IF(Classifiers!$B$7="",0,IF(ISNUMBER(SEARCH(Classifiers!$B$7,E10)),1,0))+IF(Classifiers!$C$7="",0,IF(ISNUMBER(SEARCH(Classifiers!$C$7,E10)),1,0))+IF(Classifiers!$D$7="",0,IF(ISNUMBER(SEARCH(Classifiers!$D$7,E10)),1,0))+IF(Classifiers!$E$7="",0,IF(ISNUMBER(SEARCH(Classifiers!$E$7,E10)),1,0))+IF(Classifiers!$F$7="",0,IF(ISNUMBER(SEARCH(Classifiers!$F$7,E10)),1,0))+IF(Classifiers!$G$7="",0,IF(ISNUMBER(SEARCH(Classifiers!$G$7,E10)),1,0)))&gt;0,1,0))</f>
        <v/>
      </c>
      <c r="M10" s="12">
        <f>IF(H10&lt;&gt;1,0,IF((IF(Classifiers!$B$8="",0,IF(ISNUMBER(SEARCH(Classifiers!$B$8,E10)),1,0))+IF(Classifiers!$C$8="",0,IF(ISNUMBER(SEARCH(Classifiers!$C$8,E10)),1,0))+IF(Classifiers!$D$8="",0,IF(ISNUMBER(SEARCH(Classifiers!$D$8,E10)),1,0))+IF(Classifiers!$E$8="",0,IF(ISNUMBER(SEARCH(Classifiers!$E$8,E10)),1,0))+IF(Classifiers!$F$8="",0,IF(ISNUMBER(SEARCH(Classifiers!$F$8,E10)),1,0))+IF(Classifiers!$G$8="",0,IF(ISNUMBER(SEARCH(Classifiers!$G$8,E10)),1,0)))&gt;0,1,0))</f>
        <v/>
      </c>
      <c r="N10" s="12">
        <f>IF(H10&lt;&gt;1,0,IF((IF(Classifiers!$B$9="",0,IF(ISNUMBER(SEARCH(Classifiers!$B$9,E10)),1,0))+IF(Classifiers!$C$9="",0,IF(ISNUMBER(SEARCH(Classifiers!$C$9,E10)),1,0))+IF(Classifiers!$D$9="",0,IF(ISNUMBER(SEARCH(Classifiers!$D$9,E10)),1,0))+IF(Classifiers!$E$9="",0,IF(ISNUMBER(SEARCH(Classifiers!$E$9,E10)),1,0))+IF(Classifiers!$F$9="",0,IF(ISNUMBER(SEARCH(Classifiers!$F$9,E10)),1,0))+IF(Classifiers!$G$9="",0,IF(ISNUMBER(SEARCH(Classifiers!$G$9,E10)),1,0)))&gt;0,1,0))</f>
        <v/>
      </c>
      <c r="O10" s="12">
        <f>IF(H10&lt;&gt;1,0,IF((IF(Classifiers!$B$10="",0,IF(ISNUMBER(SEARCH(Classifiers!$B$10,E10)),1,0))+IF(Classifiers!$C$10="",0,IF(ISNUMBER(SEARCH(Classifiers!$C$10,E10)),1,0))+IF(Classifiers!$D$10="",0,IF(ISNUMBER(SEARCH(Classifiers!$D$10,E10)),1,0))+IF(Classifiers!$E$10="",0,IF(ISNUMBER(SEARCH(Classifiers!$E$10,E10)),1,0))+IF(Classifiers!$F$10="",0,IF(ISNUMBER(SEARCH(Classifiers!$F$10,E10)),1,0))+IF(Classifiers!$G$10="",0,IF(ISNUMBER(SEARCH(Classifiers!$G$10,E10)),1,0)))&gt;0,1,0))</f>
        <v/>
      </c>
      <c r="P10" s="12">
        <f>IF(H10&lt;&gt;1,0,IF((IF(Classifiers!$B$11="",0,IF(ISNUMBER(SEARCH(Classifiers!$B$11,E10)),1,0))+IF(Classifiers!$C$11="",0,IF(ISNUMBER(SEARCH(Classifiers!$C$11,E10)),1,0))+IF(Classifiers!$D$11="",0,IF(ISNUMBER(SEARCH(Classifiers!$D$11,E10)),1,0))+IF(Classifiers!$E$11="",0,IF(ISNUMBER(SEARCH(Classifiers!$E$11,E10)),1,0))+IF(Classifiers!$F$11="",0,IF(ISNUMBER(SEARCH(Classifiers!$F$11,E10)),1,0))+IF(Classifiers!$G$11="",0,IF(ISNUMBER(SEARCH(Classifiers!$G$11,E10)),1,0)))&gt;0,1,0))</f>
        <v/>
      </c>
      <c r="Q10" s="12">
        <f>IF(H10&lt;&gt;1,0,IF((IF(Classifiers!$B$12="",0,IF(ISNUMBER(SEARCH(Classifiers!$B$12,E10)),1,0))+IF(Classifiers!$C$12="",0,IF(ISNUMBER(SEARCH(Classifiers!$C$12,E10)),1,0))+IF(Classifiers!$D$12="",0,IF(ISNUMBER(SEARCH(Classifiers!$D$12,E10)),1,0))+IF(Classifiers!$E$12="",0,IF(ISNUMBER(SEARCH(Classifiers!$E$12,E10)),1,0))+IF(Classifiers!$F$12="",0,IF(ISNUMBER(SEARCH(Classifiers!$F$12,E10)),1,0))+IF(Classifiers!$G$12="",0,IF(ISNUMBER(SEARCH(Classifiers!$G$12,E10)),1,0)))&gt;0,1,0))</f>
        <v/>
      </c>
      <c r="R10" s="12">
        <f>IF(H10&lt;&gt;1,0,IF((IF(Classifiers!$B$13="",0,IF(ISNUMBER(SEARCH(Classifiers!$B$13,E10)),1,0))+IF(Classifiers!$C$13="",0,IF(ISNUMBER(SEARCH(Classifiers!$C$13,E10)),1,0))+IF(Classifiers!$D$13="",0,IF(ISNUMBER(SEARCH(Classifiers!$D$13,E10)),1,0))+IF(Classifiers!$E$13="",0,IF(ISNUMBER(SEARCH(Classifiers!$E$13,E10)),1,0))+IF(Classifiers!$F$13="",0,IF(ISNUMBER(SEARCH(Classifiers!$F$13,E10)),1,0))+IF(Classifiers!$G$13="",0,IF(ISNUMBER(SEARCH(Classifiers!$G$13,E10)),1,0)))&gt;0,1,0))</f>
        <v/>
      </c>
      <c r="S10" s="12">
        <f>IF(H10&lt;&gt;1,0,IF((IF(Classifiers!$B$14="",0,IF(ISNUMBER(SEARCH(Classifiers!$B$14,E10)),1,0))+IF(Classifiers!$C$14="",0,IF(ISNUMBER(SEARCH(Classifiers!$C$14,E10)),1,0))+IF(Classifiers!$D$14="",0,IF(ISNUMBER(SEARCH(Classifiers!$D$14,E10)),1,0))+IF(Classifiers!$E$14="",0,IF(ISNUMBER(SEARCH(Classifiers!$E$14,E10)),1,0))+IF(Classifiers!$F$14="",0,IF(ISNUMBER(SEARCH(Classifiers!$F$14,E10)),1,0))+IF(Classifiers!$G$14="",0,IF(ISNUMBER(SEARCH(Classifiers!$G$14,E10)),1,0)))&gt;0,1,0))</f>
        <v/>
      </c>
      <c r="T10" s="12">
        <f>IF(H10&lt;&gt;1,0,IF((IF(Classifiers!$B$15="",0,IF(ISNUMBER(SEARCH(Classifiers!$B$15,E10)),1,0))+IF(Classifiers!$C$15="",0,IF(ISNUMBER(SEARCH(Classifiers!$C$15,E10)),1,0))+IF(Classifiers!$D$15="",0,IF(ISNUMBER(SEARCH(Classifiers!$D$15,E10)),1,0))+IF(Classifiers!$E$15="",0,IF(ISNUMBER(SEARCH(Classifiers!$E$15,E10)),1,0))+IF(Classifiers!$F$15="",0,IF(ISNUMBER(SEARCH(Classifiers!$F$15,E10)),1,0))+IF(Classifiers!$G$15="",0,IF(ISNUMBER(SEARCH(Classifiers!$G$15,E10)),1,0)))&gt;0,1,0))</f>
        <v/>
      </c>
      <c r="U10" s="12">
        <f>IF(H10&lt;&gt;1,0,IF((IF(Classifiers!$B$16="",0,IF(ISNUMBER(SEARCH(Classifiers!$B$16,E10)),1,0))+IF(Classifiers!$C$16="",0,IF(ISNUMBER(SEARCH(Classifiers!$C$16,E10)),1,0))+IF(Classifiers!$D$16="",0,IF(ISNUMBER(SEARCH(Classifiers!$D$16,E10)),1,0))+IF(Classifiers!$E$16="",0,IF(ISNUMBER(SEARCH(Classifiers!$E$16,E10)),1,0))+IF(Classifiers!$F$16="",0,IF(ISNUMBER(SEARCH(Classifiers!$F$16,E10)),1,0))+IF(Classifiers!$G$16="",0,IF(ISNUMBER(SEARCH(Classifiers!$G$16,E10)),1,0)))&gt;0,1,0))</f>
        <v/>
      </c>
      <c r="V10" s="12">
        <f>IF(H10&lt;&gt;1,0,IF((IF(Classifiers!$B$17="",0,IF(ISNUMBER(SEARCH(Classifiers!$B$17,E10)),1,0))+IF(Classifiers!$C$17="",0,IF(ISNUMBER(SEARCH(Classifiers!$C$17,E10)),1,0))+IF(Classifiers!$D$17="",0,IF(ISNUMBER(SEARCH(Classifiers!$D$17,E10)),1,0))+IF(Classifiers!$E$17="",0,IF(ISNUMBER(SEARCH(Classifiers!$E$17,E10)),1,0))+IF(Classifiers!$F$17="",0,IF(ISNUMBER(SEARCH(Classifiers!$F$17,E10)),1,0))+IF(Classifiers!$G$17="",0,IF(ISNUMBER(SEARCH(Classifiers!$G$17,E10)),1,0)))&gt;0,1,0))</f>
        <v/>
      </c>
      <c r="W10" s="12">
        <f>IF(H10&lt;&gt;1,0,IF((IF(Classifiers!$B$18="",0,IF(ISNUMBER(SEARCH(Classifiers!$B$18,E10)),1,0))+IF(Classifiers!$C$18="",0,IF(ISNUMBER(SEARCH(Classifiers!$C$18,E10)),1,0))+IF(Classifiers!$D$18="",0,IF(ISNUMBER(SEARCH(Classifiers!$D$18,E10)),1,0))+IF(Classifiers!$E$18="",0,IF(ISNUMBER(SEARCH(Classifiers!$E$18,E10)),1,0))+IF(Classifiers!$F$18="",0,IF(ISNUMBER(SEARCH(Classifiers!$F$18,E10)),1,0))+IF(Classifiers!$G$18="",0,IF(ISNUMBER(SEARCH(Classifiers!$G$18,E10)),1,0)))&gt;0,1,0))</f>
        <v/>
      </c>
    </row>
    <row r="11">
      <c r="A11" s="8" t="n"/>
      <c r="B11" s="11" t="n"/>
      <c r="C11" s="6">
        <f>IF(A11="","",TRIM(RIGHT(SUBSTITUTE(A11,"/",REPT(" ",250)),250)))</f>
        <v/>
      </c>
      <c r="D11" s="6">
        <f>IF(C11="","",IF(ISNUMBER(SEARCH(".",C11)),LOWER("."&amp;TRIM(RIGHT(SUBSTITUTE(C11,".",REPT(" ",250)),250))),""))</f>
        <v/>
      </c>
      <c r="E11" s="6">
        <f>IF(C11="","",TRIM(SUBSTITUTE(SUBSTITUTE(SUBSTITUTE(SUBSTITUTE(SUBSTITUTE(SUBSTITUTE(SUBSTITUTE(SUBSTITUTE(SUBSTITUTE(SUBSTITUTE(SUBSTITUTE(SUBSTITUTE(SUBSTITUTE(SUBSTITUTE(SUBSTITUTE(SUBSTITUTE(SUBSTITUTE(SUBSTITUTE(SUBSTITUTE(SUBSTITUTE(LOWER(LEFT(C11,LEN(C11)-LEN(D11))),"_"," "),"-"," "),"."," "),","," "),"("," "),")"," "),"["," "),"]"," "),"&amp;"," "),"+"," "),"@"," "),"#"," "),"!"," "),"'"," "),"/"," "),":"," "),";"," "),"="," "),"~"," "),"%"," ")))</f>
        <v/>
      </c>
      <c r="F11" s="6">
        <f>IF(C11="","",IF(COUNTIF(Classifiers!$A$23:$A$40,D11)&gt;0,1,0))</f>
        <v/>
      </c>
      <c r="G11" s="6">
        <f>IF(C11="","",IF(COUNTIF(Classifiers!$C$23:$C$30,D11)&gt;0,IF((IF(ISNUMBER(SEARCH(Classifiers!$E$23,E11)),1,0)+IF(ISNUMBER(SEARCH(Classifiers!$E$24,E11)),1,0)+IF(ISNUMBER(SEARCH(Classifiers!$E$25,E11)),1,0)+IF(ISNUMBER(SEARCH(Classifiers!$E$26,E11)),1,0)+IF(ISNUMBER(SEARCH(Classifiers!$E$27,E11)),1,0)+IF(ISNUMBER(SEARCH(Classifiers!$E$28,E11)),1,0)+IF(ISNUMBER(SEARCH(Classifiers!$E$29,E11)),1,0)+IF(ISNUMBER(SEARCH(Classifiers!$E$30,E11)),1,0))&gt;0,1,0),0))</f>
        <v/>
      </c>
      <c r="H11" s="6">
        <f>IF(C11="","",IF(OR(LEFT(C11,1)=".",AND(F11=0,G11=0)),0,1))</f>
        <v/>
      </c>
      <c r="I11" s="6">
        <f>IF(H11&lt;&gt;1,"",IF(SUM(J11:W11)=0,"unclassified",INDEX(Classifiers!$A$5:$A$18,MATCH(1,J11:W11,0),1)))</f>
        <v/>
      </c>
      <c r="J11" s="12">
        <f>IF(H11&lt;&gt;1,0,IF((IF(Classifiers!$B$5="",0,IF(ISNUMBER(SEARCH(Classifiers!$B$5,E11)),1,0))+IF(Classifiers!$C$5="",0,IF(ISNUMBER(SEARCH(Classifiers!$C$5,E11)),1,0))+IF(Classifiers!$D$5="",0,IF(ISNUMBER(SEARCH(Classifiers!$D$5,E11)),1,0))+IF(Classifiers!$E$5="",0,IF(ISNUMBER(SEARCH(Classifiers!$E$5,E11)),1,0))+IF(Classifiers!$F$5="",0,IF(ISNUMBER(SEARCH(Classifiers!$F$5,E11)),1,0))+IF(Classifiers!$G$5="",0,IF(ISNUMBER(SEARCH(Classifiers!$G$5,E11)),1,0)))&gt;0,1,0))</f>
        <v/>
      </c>
      <c r="K11" s="12">
        <f>IF(H11&lt;&gt;1,0,IF((IF(Classifiers!$B$6="",0,IF(ISNUMBER(SEARCH(Classifiers!$B$6,E11)),1,0))+IF(Classifiers!$C$6="",0,IF(ISNUMBER(SEARCH(Classifiers!$C$6,E11)),1,0))+IF(Classifiers!$D$6="",0,IF(ISNUMBER(SEARCH(Classifiers!$D$6,E11)),1,0))+IF(Classifiers!$E$6="",0,IF(ISNUMBER(SEARCH(Classifiers!$E$6,E11)),1,0))+IF(Classifiers!$F$6="",0,IF(ISNUMBER(SEARCH(Classifiers!$F$6,E11)),1,0))+IF(Classifiers!$G$6="",0,IF(ISNUMBER(SEARCH(Classifiers!$G$6,E11)),1,0)))&gt;0,1,0))</f>
        <v/>
      </c>
      <c r="L11" s="12">
        <f>IF(H11&lt;&gt;1,0,IF((IF(Classifiers!$B$7="",0,IF(ISNUMBER(SEARCH(Classifiers!$B$7,E11)),1,0))+IF(Classifiers!$C$7="",0,IF(ISNUMBER(SEARCH(Classifiers!$C$7,E11)),1,0))+IF(Classifiers!$D$7="",0,IF(ISNUMBER(SEARCH(Classifiers!$D$7,E11)),1,0))+IF(Classifiers!$E$7="",0,IF(ISNUMBER(SEARCH(Classifiers!$E$7,E11)),1,0))+IF(Classifiers!$F$7="",0,IF(ISNUMBER(SEARCH(Classifiers!$F$7,E11)),1,0))+IF(Classifiers!$G$7="",0,IF(ISNUMBER(SEARCH(Classifiers!$G$7,E11)),1,0)))&gt;0,1,0))</f>
        <v/>
      </c>
      <c r="M11" s="12">
        <f>IF(H11&lt;&gt;1,0,IF((IF(Classifiers!$B$8="",0,IF(ISNUMBER(SEARCH(Classifiers!$B$8,E11)),1,0))+IF(Classifiers!$C$8="",0,IF(ISNUMBER(SEARCH(Classifiers!$C$8,E11)),1,0))+IF(Classifiers!$D$8="",0,IF(ISNUMBER(SEARCH(Classifiers!$D$8,E11)),1,0))+IF(Classifiers!$E$8="",0,IF(ISNUMBER(SEARCH(Classifiers!$E$8,E11)),1,0))+IF(Classifiers!$F$8="",0,IF(ISNUMBER(SEARCH(Classifiers!$F$8,E11)),1,0))+IF(Classifiers!$G$8="",0,IF(ISNUMBER(SEARCH(Classifiers!$G$8,E11)),1,0)))&gt;0,1,0))</f>
        <v/>
      </c>
      <c r="N11" s="12">
        <f>IF(H11&lt;&gt;1,0,IF((IF(Classifiers!$B$9="",0,IF(ISNUMBER(SEARCH(Classifiers!$B$9,E11)),1,0))+IF(Classifiers!$C$9="",0,IF(ISNUMBER(SEARCH(Classifiers!$C$9,E11)),1,0))+IF(Classifiers!$D$9="",0,IF(ISNUMBER(SEARCH(Classifiers!$D$9,E11)),1,0))+IF(Classifiers!$E$9="",0,IF(ISNUMBER(SEARCH(Classifiers!$E$9,E11)),1,0))+IF(Classifiers!$F$9="",0,IF(ISNUMBER(SEARCH(Classifiers!$F$9,E11)),1,0))+IF(Classifiers!$G$9="",0,IF(ISNUMBER(SEARCH(Classifiers!$G$9,E11)),1,0)))&gt;0,1,0))</f>
        <v/>
      </c>
      <c r="O11" s="12">
        <f>IF(H11&lt;&gt;1,0,IF((IF(Classifiers!$B$10="",0,IF(ISNUMBER(SEARCH(Classifiers!$B$10,E11)),1,0))+IF(Classifiers!$C$10="",0,IF(ISNUMBER(SEARCH(Classifiers!$C$10,E11)),1,0))+IF(Classifiers!$D$10="",0,IF(ISNUMBER(SEARCH(Classifiers!$D$10,E11)),1,0))+IF(Classifiers!$E$10="",0,IF(ISNUMBER(SEARCH(Classifiers!$E$10,E11)),1,0))+IF(Classifiers!$F$10="",0,IF(ISNUMBER(SEARCH(Classifiers!$F$10,E11)),1,0))+IF(Classifiers!$G$10="",0,IF(ISNUMBER(SEARCH(Classifiers!$G$10,E11)),1,0)))&gt;0,1,0))</f>
        <v/>
      </c>
      <c r="P11" s="12">
        <f>IF(H11&lt;&gt;1,0,IF((IF(Classifiers!$B$11="",0,IF(ISNUMBER(SEARCH(Classifiers!$B$11,E11)),1,0))+IF(Classifiers!$C$11="",0,IF(ISNUMBER(SEARCH(Classifiers!$C$11,E11)),1,0))+IF(Classifiers!$D$11="",0,IF(ISNUMBER(SEARCH(Classifiers!$D$11,E11)),1,0))+IF(Classifiers!$E$11="",0,IF(ISNUMBER(SEARCH(Classifiers!$E$11,E11)),1,0))+IF(Classifiers!$F$11="",0,IF(ISNUMBER(SEARCH(Classifiers!$F$11,E11)),1,0))+IF(Classifiers!$G$11="",0,IF(ISNUMBER(SEARCH(Classifiers!$G$11,E11)),1,0)))&gt;0,1,0))</f>
        <v/>
      </c>
      <c r="Q11" s="12">
        <f>IF(H11&lt;&gt;1,0,IF((IF(Classifiers!$B$12="",0,IF(ISNUMBER(SEARCH(Classifiers!$B$12,E11)),1,0))+IF(Classifiers!$C$12="",0,IF(ISNUMBER(SEARCH(Classifiers!$C$12,E11)),1,0))+IF(Classifiers!$D$12="",0,IF(ISNUMBER(SEARCH(Classifiers!$D$12,E11)),1,0))+IF(Classifiers!$E$12="",0,IF(ISNUMBER(SEARCH(Classifiers!$E$12,E11)),1,0))+IF(Classifiers!$F$12="",0,IF(ISNUMBER(SEARCH(Classifiers!$F$12,E11)),1,0))+IF(Classifiers!$G$12="",0,IF(ISNUMBER(SEARCH(Classifiers!$G$12,E11)),1,0)))&gt;0,1,0))</f>
        <v/>
      </c>
      <c r="R11" s="12">
        <f>IF(H11&lt;&gt;1,0,IF((IF(Classifiers!$B$13="",0,IF(ISNUMBER(SEARCH(Classifiers!$B$13,E11)),1,0))+IF(Classifiers!$C$13="",0,IF(ISNUMBER(SEARCH(Classifiers!$C$13,E11)),1,0))+IF(Classifiers!$D$13="",0,IF(ISNUMBER(SEARCH(Classifiers!$D$13,E11)),1,0))+IF(Classifiers!$E$13="",0,IF(ISNUMBER(SEARCH(Classifiers!$E$13,E11)),1,0))+IF(Classifiers!$F$13="",0,IF(ISNUMBER(SEARCH(Classifiers!$F$13,E11)),1,0))+IF(Classifiers!$G$13="",0,IF(ISNUMBER(SEARCH(Classifiers!$G$13,E11)),1,0)))&gt;0,1,0))</f>
        <v/>
      </c>
      <c r="S11" s="12">
        <f>IF(H11&lt;&gt;1,0,IF((IF(Classifiers!$B$14="",0,IF(ISNUMBER(SEARCH(Classifiers!$B$14,E11)),1,0))+IF(Classifiers!$C$14="",0,IF(ISNUMBER(SEARCH(Classifiers!$C$14,E11)),1,0))+IF(Classifiers!$D$14="",0,IF(ISNUMBER(SEARCH(Classifiers!$D$14,E11)),1,0))+IF(Classifiers!$E$14="",0,IF(ISNUMBER(SEARCH(Classifiers!$E$14,E11)),1,0))+IF(Classifiers!$F$14="",0,IF(ISNUMBER(SEARCH(Classifiers!$F$14,E11)),1,0))+IF(Classifiers!$G$14="",0,IF(ISNUMBER(SEARCH(Classifiers!$G$14,E11)),1,0)))&gt;0,1,0))</f>
        <v/>
      </c>
      <c r="T11" s="12">
        <f>IF(H11&lt;&gt;1,0,IF((IF(Classifiers!$B$15="",0,IF(ISNUMBER(SEARCH(Classifiers!$B$15,E11)),1,0))+IF(Classifiers!$C$15="",0,IF(ISNUMBER(SEARCH(Classifiers!$C$15,E11)),1,0))+IF(Classifiers!$D$15="",0,IF(ISNUMBER(SEARCH(Classifiers!$D$15,E11)),1,0))+IF(Classifiers!$E$15="",0,IF(ISNUMBER(SEARCH(Classifiers!$E$15,E11)),1,0))+IF(Classifiers!$F$15="",0,IF(ISNUMBER(SEARCH(Classifiers!$F$15,E11)),1,0))+IF(Classifiers!$G$15="",0,IF(ISNUMBER(SEARCH(Classifiers!$G$15,E11)),1,0)))&gt;0,1,0))</f>
        <v/>
      </c>
      <c r="U11" s="12">
        <f>IF(H11&lt;&gt;1,0,IF((IF(Classifiers!$B$16="",0,IF(ISNUMBER(SEARCH(Classifiers!$B$16,E11)),1,0))+IF(Classifiers!$C$16="",0,IF(ISNUMBER(SEARCH(Classifiers!$C$16,E11)),1,0))+IF(Classifiers!$D$16="",0,IF(ISNUMBER(SEARCH(Classifiers!$D$16,E11)),1,0))+IF(Classifiers!$E$16="",0,IF(ISNUMBER(SEARCH(Classifiers!$E$16,E11)),1,0))+IF(Classifiers!$F$16="",0,IF(ISNUMBER(SEARCH(Classifiers!$F$16,E11)),1,0))+IF(Classifiers!$G$16="",0,IF(ISNUMBER(SEARCH(Classifiers!$G$16,E11)),1,0)))&gt;0,1,0))</f>
        <v/>
      </c>
      <c r="V11" s="12">
        <f>IF(H11&lt;&gt;1,0,IF((IF(Classifiers!$B$17="",0,IF(ISNUMBER(SEARCH(Classifiers!$B$17,E11)),1,0))+IF(Classifiers!$C$17="",0,IF(ISNUMBER(SEARCH(Classifiers!$C$17,E11)),1,0))+IF(Classifiers!$D$17="",0,IF(ISNUMBER(SEARCH(Classifiers!$D$17,E11)),1,0))+IF(Classifiers!$E$17="",0,IF(ISNUMBER(SEARCH(Classifiers!$E$17,E11)),1,0))+IF(Classifiers!$F$17="",0,IF(ISNUMBER(SEARCH(Classifiers!$F$17,E11)),1,0))+IF(Classifiers!$G$17="",0,IF(ISNUMBER(SEARCH(Classifiers!$G$17,E11)),1,0)))&gt;0,1,0))</f>
        <v/>
      </c>
      <c r="W11" s="12">
        <f>IF(H11&lt;&gt;1,0,IF((IF(Classifiers!$B$18="",0,IF(ISNUMBER(SEARCH(Classifiers!$B$18,E11)),1,0))+IF(Classifiers!$C$18="",0,IF(ISNUMBER(SEARCH(Classifiers!$C$18,E11)),1,0))+IF(Classifiers!$D$18="",0,IF(ISNUMBER(SEARCH(Classifiers!$D$18,E11)),1,0))+IF(Classifiers!$E$18="",0,IF(ISNUMBER(SEARCH(Classifiers!$E$18,E11)),1,0))+IF(Classifiers!$F$18="",0,IF(ISNUMBER(SEARCH(Classifiers!$F$18,E11)),1,0))+IF(Classifiers!$G$18="",0,IF(ISNUMBER(SEARCH(Classifiers!$G$18,E11)),1,0)))&gt;0,1,0))</f>
        <v/>
      </c>
    </row>
    <row r="12">
      <c r="A12" s="8" t="n"/>
      <c r="B12" s="11" t="n"/>
      <c r="C12" s="6">
        <f>IF(A12="","",TRIM(RIGHT(SUBSTITUTE(A12,"/",REPT(" ",250)),250)))</f>
        <v/>
      </c>
      <c r="D12" s="6">
        <f>IF(C12="","",IF(ISNUMBER(SEARCH(".",C12)),LOWER("."&amp;TRIM(RIGHT(SUBSTITUTE(C12,".",REPT(" ",250)),250))),""))</f>
        <v/>
      </c>
      <c r="E12" s="6">
        <f>IF(C12="","",TRIM(SUBSTITUTE(SUBSTITUTE(SUBSTITUTE(SUBSTITUTE(SUBSTITUTE(SUBSTITUTE(SUBSTITUTE(SUBSTITUTE(SUBSTITUTE(SUBSTITUTE(SUBSTITUTE(SUBSTITUTE(SUBSTITUTE(SUBSTITUTE(SUBSTITUTE(SUBSTITUTE(SUBSTITUTE(SUBSTITUTE(SUBSTITUTE(SUBSTITUTE(LOWER(LEFT(C12,LEN(C12)-LEN(D12))),"_"," "),"-"," "),"."," "),","," "),"("," "),")"," "),"["," "),"]"," "),"&amp;"," "),"+"," "),"@"," "),"#"," "),"!"," "),"'"," "),"/"," "),":"," "),";"," "),"="," "),"~"," "),"%"," ")))</f>
        <v/>
      </c>
      <c r="F12" s="6">
        <f>IF(C12="","",IF(COUNTIF(Classifiers!$A$23:$A$40,D12)&gt;0,1,0))</f>
        <v/>
      </c>
      <c r="G12" s="6">
        <f>IF(C12="","",IF(COUNTIF(Classifiers!$C$23:$C$30,D12)&gt;0,IF((IF(ISNUMBER(SEARCH(Classifiers!$E$23,E12)),1,0)+IF(ISNUMBER(SEARCH(Classifiers!$E$24,E12)),1,0)+IF(ISNUMBER(SEARCH(Classifiers!$E$25,E12)),1,0)+IF(ISNUMBER(SEARCH(Classifiers!$E$26,E12)),1,0)+IF(ISNUMBER(SEARCH(Classifiers!$E$27,E12)),1,0)+IF(ISNUMBER(SEARCH(Classifiers!$E$28,E12)),1,0)+IF(ISNUMBER(SEARCH(Classifiers!$E$29,E12)),1,0)+IF(ISNUMBER(SEARCH(Classifiers!$E$30,E12)),1,0))&gt;0,1,0),0))</f>
        <v/>
      </c>
      <c r="H12" s="6">
        <f>IF(C12="","",IF(OR(LEFT(C12,1)=".",AND(F12=0,G12=0)),0,1))</f>
        <v/>
      </c>
      <c r="I12" s="6">
        <f>IF(H12&lt;&gt;1,"",IF(SUM(J12:W12)=0,"unclassified",INDEX(Classifiers!$A$5:$A$18,MATCH(1,J12:W12,0),1)))</f>
        <v/>
      </c>
      <c r="J12" s="12">
        <f>IF(H12&lt;&gt;1,0,IF((IF(Classifiers!$B$5="",0,IF(ISNUMBER(SEARCH(Classifiers!$B$5,E12)),1,0))+IF(Classifiers!$C$5="",0,IF(ISNUMBER(SEARCH(Classifiers!$C$5,E12)),1,0))+IF(Classifiers!$D$5="",0,IF(ISNUMBER(SEARCH(Classifiers!$D$5,E12)),1,0))+IF(Classifiers!$E$5="",0,IF(ISNUMBER(SEARCH(Classifiers!$E$5,E12)),1,0))+IF(Classifiers!$F$5="",0,IF(ISNUMBER(SEARCH(Classifiers!$F$5,E12)),1,0))+IF(Classifiers!$G$5="",0,IF(ISNUMBER(SEARCH(Classifiers!$G$5,E12)),1,0)))&gt;0,1,0))</f>
        <v/>
      </c>
      <c r="K12" s="12">
        <f>IF(H12&lt;&gt;1,0,IF((IF(Classifiers!$B$6="",0,IF(ISNUMBER(SEARCH(Classifiers!$B$6,E12)),1,0))+IF(Classifiers!$C$6="",0,IF(ISNUMBER(SEARCH(Classifiers!$C$6,E12)),1,0))+IF(Classifiers!$D$6="",0,IF(ISNUMBER(SEARCH(Classifiers!$D$6,E12)),1,0))+IF(Classifiers!$E$6="",0,IF(ISNUMBER(SEARCH(Classifiers!$E$6,E12)),1,0))+IF(Classifiers!$F$6="",0,IF(ISNUMBER(SEARCH(Classifiers!$F$6,E12)),1,0))+IF(Classifiers!$G$6="",0,IF(ISNUMBER(SEARCH(Classifiers!$G$6,E12)),1,0)))&gt;0,1,0))</f>
        <v/>
      </c>
      <c r="L12" s="12">
        <f>IF(H12&lt;&gt;1,0,IF((IF(Classifiers!$B$7="",0,IF(ISNUMBER(SEARCH(Classifiers!$B$7,E12)),1,0))+IF(Classifiers!$C$7="",0,IF(ISNUMBER(SEARCH(Classifiers!$C$7,E12)),1,0))+IF(Classifiers!$D$7="",0,IF(ISNUMBER(SEARCH(Classifiers!$D$7,E12)),1,0))+IF(Classifiers!$E$7="",0,IF(ISNUMBER(SEARCH(Classifiers!$E$7,E12)),1,0))+IF(Classifiers!$F$7="",0,IF(ISNUMBER(SEARCH(Classifiers!$F$7,E12)),1,0))+IF(Classifiers!$G$7="",0,IF(ISNUMBER(SEARCH(Classifiers!$G$7,E12)),1,0)))&gt;0,1,0))</f>
        <v/>
      </c>
      <c r="M12" s="12">
        <f>IF(H12&lt;&gt;1,0,IF((IF(Classifiers!$B$8="",0,IF(ISNUMBER(SEARCH(Classifiers!$B$8,E12)),1,0))+IF(Classifiers!$C$8="",0,IF(ISNUMBER(SEARCH(Classifiers!$C$8,E12)),1,0))+IF(Classifiers!$D$8="",0,IF(ISNUMBER(SEARCH(Classifiers!$D$8,E12)),1,0))+IF(Classifiers!$E$8="",0,IF(ISNUMBER(SEARCH(Classifiers!$E$8,E12)),1,0))+IF(Classifiers!$F$8="",0,IF(ISNUMBER(SEARCH(Classifiers!$F$8,E12)),1,0))+IF(Classifiers!$G$8="",0,IF(ISNUMBER(SEARCH(Classifiers!$G$8,E12)),1,0)))&gt;0,1,0))</f>
        <v/>
      </c>
      <c r="N12" s="12">
        <f>IF(H12&lt;&gt;1,0,IF((IF(Classifiers!$B$9="",0,IF(ISNUMBER(SEARCH(Classifiers!$B$9,E12)),1,0))+IF(Classifiers!$C$9="",0,IF(ISNUMBER(SEARCH(Classifiers!$C$9,E12)),1,0))+IF(Classifiers!$D$9="",0,IF(ISNUMBER(SEARCH(Classifiers!$D$9,E12)),1,0))+IF(Classifiers!$E$9="",0,IF(ISNUMBER(SEARCH(Classifiers!$E$9,E12)),1,0))+IF(Classifiers!$F$9="",0,IF(ISNUMBER(SEARCH(Classifiers!$F$9,E12)),1,0))+IF(Classifiers!$G$9="",0,IF(ISNUMBER(SEARCH(Classifiers!$G$9,E12)),1,0)))&gt;0,1,0))</f>
        <v/>
      </c>
      <c r="O12" s="12">
        <f>IF(H12&lt;&gt;1,0,IF((IF(Classifiers!$B$10="",0,IF(ISNUMBER(SEARCH(Classifiers!$B$10,E12)),1,0))+IF(Classifiers!$C$10="",0,IF(ISNUMBER(SEARCH(Classifiers!$C$10,E12)),1,0))+IF(Classifiers!$D$10="",0,IF(ISNUMBER(SEARCH(Classifiers!$D$10,E12)),1,0))+IF(Classifiers!$E$10="",0,IF(ISNUMBER(SEARCH(Classifiers!$E$10,E12)),1,0))+IF(Classifiers!$F$10="",0,IF(ISNUMBER(SEARCH(Classifiers!$F$10,E12)),1,0))+IF(Classifiers!$G$10="",0,IF(ISNUMBER(SEARCH(Classifiers!$G$10,E12)),1,0)))&gt;0,1,0))</f>
        <v/>
      </c>
      <c r="P12" s="12">
        <f>IF(H12&lt;&gt;1,0,IF((IF(Classifiers!$B$11="",0,IF(ISNUMBER(SEARCH(Classifiers!$B$11,E12)),1,0))+IF(Classifiers!$C$11="",0,IF(ISNUMBER(SEARCH(Classifiers!$C$11,E12)),1,0))+IF(Classifiers!$D$11="",0,IF(ISNUMBER(SEARCH(Classifiers!$D$11,E12)),1,0))+IF(Classifiers!$E$11="",0,IF(ISNUMBER(SEARCH(Classifiers!$E$11,E12)),1,0))+IF(Classifiers!$F$11="",0,IF(ISNUMBER(SEARCH(Classifiers!$F$11,E12)),1,0))+IF(Classifiers!$G$11="",0,IF(ISNUMBER(SEARCH(Classifiers!$G$11,E12)),1,0)))&gt;0,1,0))</f>
        <v/>
      </c>
      <c r="Q12" s="12">
        <f>IF(H12&lt;&gt;1,0,IF((IF(Classifiers!$B$12="",0,IF(ISNUMBER(SEARCH(Classifiers!$B$12,E12)),1,0))+IF(Classifiers!$C$12="",0,IF(ISNUMBER(SEARCH(Classifiers!$C$12,E12)),1,0))+IF(Classifiers!$D$12="",0,IF(ISNUMBER(SEARCH(Classifiers!$D$12,E12)),1,0))+IF(Classifiers!$E$12="",0,IF(ISNUMBER(SEARCH(Classifiers!$E$12,E12)),1,0))+IF(Classifiers!$F$12="",0,IF(ISNUMBER(SEARCH(Classifiers!$F$12,E12)),1,0))+IF(Classifiers!$G$12="",0,IF(ISNUMBER(SEARCH(Classifiers!$G$12,E12)),1,0)))&gt;0,1,0))</f>
        <v/>
      </c>
      <c r="R12" s="12">
        <f>IF(H12&lt;&gt;1,0,IF((IF(Classifiers!$B$13="",0,IF(ISNUMBER(SEARCH(Classifiers!$B$13,E12)),1,0))+IF(Classifiers!$C$13="",0,IF(ISNUMBER(SEARCH(Classifiers!$C$13,E12)),1,0))+IF(Classifiers!$D$13="",0,IF(ISNUMBER(SEARCH(Classifiers!$D$13,E12)),1,0))+IF(Classifiers!$E$13="",0,IF(ISNUMBER(SEARCH(Classifiers!$E$13,E12)),1,0))+IF(Classifiers!$F$13="",0,IF(ISNUMBER(SEARCH(Classifiers!$F$13,E12)),1,0))+IF(Classifiers!$G$13="",0,IF(ISNUMBER(SEARCH(Classifiers!$G$13,E12)),1,0)))&gt;0,1,0))</f>
        <v/>
      </c>
      <c r="S12" s="12">
        <f>IF(H12&lt;&gt;1,0,IF((IF(Classifiers!$B$14="",0,IF(ISNUMBER(SEARCH(Classifiers!$B$14,E12)),1,0))+IF(Classifiers!$C$14="",0,IF(ISNUMBER(SEARCH(Classifiers!$C$14,E12)),1,0))+IF(Classifiers!$D$14="",0,IF(ISNUMBER(SEARCH(Classifiers!$D$14,E12)),1,0))+IF(Classifiers!$E$14="",0,IF(ISNUMBER(SEARCH(Classifiers!$E$14,E12)),1,0))+IF(Classifiers!$F$14="",0,IF(ISNUMBER(SEARCH(Classifiers!$F$14,E12)),1,0))+IF(Classifiers!$G$14="",0,IF(ISNUMBER(SEARCH(Classifiers!$G$14,E12)),1,0)))&gt;0,1,0))</f>
        <v/>
      </c>
      <c r="T12" s="12">
        <f>IF(H12&lt;&gt;1,0,IF((IF(Classifiers!$B$15="",0,IF(ISNUMBER(SEARCH(Classifiers!$B$15,E12)),1,0))+IF(Classifiers!$C$15="",0,IF(ISNUMBER(SEARCH(Classifiers!$C$15,E12)),1,0))+IF(Classifiers!$D$15="",0,IF(ISNUMBER(SEARCH(Classifiers!$D$15,E12)),1,0))+IF(Classifiers!$E$15="",0,IF(ISNUMBER(SEARCH(Classifiers!$E$15,E12)),1,0))+IF(Classifiers!$F$15="",0,IF(ISNUMBER(SEARCH(Classifiers!$F$15,E12)),1,0))+IF(Classifiers!$G$15="",0,IF(ISNUMBER(SEARCH(Classifiers!$G$15,E12)),1,0)))&gt;0,1,0))</f>
        <v/>
      </c>
      <c r="U12" s="12">
        <f>IF(H12&lt;&gt;1,0,IF((IF(Classifiers!$B$16="",0,IF(ISNUMBER(SEARCH(Classifiers!$B$16,E12)),1,0))+IF(Classifiers!$C$16="",0,IF(ISNUMBER(SEARCH(Classifiers!$C$16,E12)),1,0))+IF(Classifiers!$D$16="",0,IF(ISNUMBER(SEARCH(Classifiers!$D$16,E12)),1,0))+IF(Classifiers!$E$16="",0,IF(ISNUMBER(SEARCH(Classifiers!$E$16,E12)),1,0))+IF(Classifiers!$F$16="",0,IF(ISNUMBER(SEARCH(Classifiers!$F$16,E12)),1,0))+IF(Classifiers!$G$16="",0,IF(ISNUMBER(SEARCH(Classifiers!$G$16,E12)),1,0)))&gt;0,1,0))</f>
        <v/>
      </c>
      <c r="V12" s="12">
        <f>IF(H12&lt;&gt;1,0,IF((IF(Classifiers!$B$17="",0,IF(ISNUMBER(SEARCH(Classifiers!$B$17,E12)),1,0))+IF(Classifiers!$C$17="",0,IF(ISNUMBER(SEARCH(Classifiers!$C$17,E12)),1,0))+IF(Classifiers!$D$17="",0,IF(ISNUMBER(SEARCH(Classifiers!$D$17,E12)),1,0))+IF(Classifiers!$E$17="",0,IF(ISNUMBER(SEARCH(Classifiers!$E$17,E12)),1,0))+IF(Classifiers!$F$17="",0,IF(ISNUMBER(SEARCH(Classifiers!$F$17,E12)),1,0))+IF(Classifiers!$G$17="",0,IF(ISNUMBER(SEARCH(Classifiers!$G$17,E12)),1,0)))&gt;0,1,0))</f>
        <v/>
      </c>
      <c r="W12" s="12">
        <f>IF(H12&lt;&gt;1,0,IF((IF(Classifiers!$B$18="",0,IF(ISNUMBER(SEARCH(Classifiers!$B$18,E12)),1,0))+IF(Classifiers!$C$18="",0,IF(ISNUMBER(SEARCH(Classifiers!$C$18,E12)),1,0))+IF(Classifiers!$D$18="",0,IF(ISNUMBER(SEARCH(Classifiers!$D$18,E12)),1,0))+IF(Classifiers!$E$18="",0,IF(ISNUMBER(SEARCH(Classifiers!$E$18,E12)),1,0))+IF(Classifiers!$F$18="",0,IF(ISNUMBER(SEARCH(Classifiers!$F$18,E12)),1,0))+IF(Classifiers!$G$18="",0,IF(ISNUMBER(SEARCH(Classifiers!$G$18,E12)),1,0)))&gt;0,1,0))</f>
        <v/>
      </c>
    </row>
    <row r="13">
      <c r="A13" s="8" t="n"/>
      <c r="B13" s="11" t="n"/>
      <c r="C13" s="6">
        <f>IF(A13="","",TRIM(RIGHT(SUBSTITUTE(A13,"/",REPT(" ",250)),250)))</f>
        <v/>
      </c>
      <c r="D13" s="6">
        <f>IF(C13="","",IF(ISNUMBER(SEARCH(".",C13)),LOWER("."&amp;TRIM(RIGHT(SUBSTITUTE(C13,".",REPT(" ",250)),250))),""))</f>
        <v/>
      </c>
      <c r="E13" s="6">
        <f>IF(C13="","",TRIM(SUBSTITUTE(SUBSTITUTE(SUBSTITUTE(SUBSTITUTE(SUBSTITUTE(SUBSTITUTE(SUBSTITUTE(SUBSTITUTE(SUBSTITUTE(SUBSTITUTE(SUBSTITUTE(SUBSTITUTE(SUBSTITUTE(SUBSTITUTE(SUBSTITUTE(SUBSTITUTE(SUBSTITUTE(SUBSTITUTE(SUBSTITUTE(SUBSTITUTE(LOWER(LEFT(C13,LEN(C13)-LEN(D13))),"_"," "),"-"," "),"."," "),","," "),"("," "),")"," "),"["," "),"]"," "),"&amp;"," "),"+"," "),"@"," "),"#"," "),"!"," "),"'"," "),"/"," "),":"," "),";"," "),"="," "),"~"," "),"%"," ")))</f>
        <v/>
      </c>
      <c r="F13" s="6">
        <f>IF(C13="","",IF(COUNTIF(Classifiers!$A$23:$A$40,D13)&gt;0,1,0))</f>
        <v/>
      </c>
      <c r="G13" s="6">
        <f>IF(C13="","",IF(COUNTIF(Classifiers!$C$23:$C$30,D13)&gt;0,IF((IF(ISNUMBER(SEARCH(Classifiers!$E$23,E13)),1,0)+IF(ISNUMBER(SEARCH(Classifiers!$E$24,E13)),1,0)+IF(ISNUMBER(SEARCH(Classifiers!$E$25,E13)),1,0)+IF(ISNUMBER(SEARCH(Classifiers!$E$26,E13)),1,0)+IF(ISNUMBER(SEARCH(Classifiers!$E$27,E13)),1,0)+IF(ISNUMBER(SEARCH(Classifiers!$E$28,E13)),1,0)+IF(ISNUMBER(SEARCH(Classifiers!$E$29,E13)),1,0)+IF(ISNUMBER(SEARCH(Classifiers!$E$30,E13)),1,0))&gt;0,1,0),0))</f>
        <v/>
      </c>
      <c r="H13" s="6">
        <f>IF(C13="","",IF(OR(LEFT(C13,1)=".",AND(F13=0,G13=0)),0,1))</f>
        <v/>
      </c>
      <c r="I13" s="6">
        <f>IF(H13&lt;&gt;1,"",IF(SUM(J13:W13)=0,"unclassified",INDEX(Classifiers!$A$5:$A$18,MATCH(1,J13:W13,0),1)))</f>
        <v/>
      </c>
      <c r="J13" s="12">
        <f>IF(H13&lt;&gt;1,0,IF((IF(Classifiers!$B$5="",0,IF(ISNUMBER(SEARCH(Classifiers!$B$5,E13)),1,0))+IF(Classifiers!$C$5="",0,IF(ISNUMBER(SEARCH(Classifiers!$C$5,E13)),1,0))+IF(Classifiers!$D$5="",0,IF(ISNUMBER(SEARCH(Classifiers!$D$5,E13)),1,0))+IF(Classifiers!$E$5="",0,IF(ISNUMBER(SEARCH(Classifiers!$E$5,E13)),1,0))+IF(Classifiers!$F$5="",0,IF(ISNUMBER(SEARCH(Classifiers!$F$5,E13)),1,0))+IF(Classifiers!$G$5="",0,IF(ISNUMBER(SEARCH(Classifiers!$G$5,E13)),1,0)))&gt;0,1,0))</f>
        <v/>
      </c>
      <c r="K13" s="12">
        <f>IF(H13&lt;&gt;1,0,IF((IF(Classifiers!$B$6="",0,IF(ISNUMBER(SEARCH(Classifiers!$B$6,E13)),1,0))+IF(Classifiers!$C$6="",0,IF(ISNUMBER(SEARCH(Classifiers!$C$6,E13)),1,0))+IF(Classifiers!$D$6="",0,IF(ISNUMBER(SEARCH(Classifiers!$D$6,E13)),1,0))+IF(Classifiers!$E$6="",0,IF(ISNUMBER(SEARCH(Classifiers!$E$6,E13)),1,0))+IF(Classifiers!$F$6="",0,IF(ISNUMBER(SEARCH(Classifiers!$F$6,E13)),1,0))+IF(Classifiers!$G$6="",0,IF(ISNUMBER(SEARCH(Classifiers!$G$6,E13)),1,0)))&gt;0,1,0))</f>
        <v/>
      </c>
      <c r="L13" s="12">
        <f>IF(H13&lt;&gt;1,0,IF((IF(Classifiers!$B$7="",0,IF(ISNUMBER(SEARCH(Classifiers!$B$7,E13)),1,0))+IF(Classifiers!$C$7="",0,IF(ISNUMBER(SEARCH(Classifiers!$C$7,E13)),1,0))+IF(Classifiers!$D$7="",0,IF(ISNUMBER(SEARCH(Classifiers!$D$7,E13)),1,0))+IF(Classifiers!$E$7="",0,IF(ISNUMBER(SEARCH(Classifiers!$E$7,E13)),1,0))+IF(Classifiers!$F$7="",0,IF(ISNUMBER(SEARCH(Classifiers!$F$7,E13)),1,0))+IF(Classifiers!$G$7="",0,IF(ISNUMBER(SEARCH(Classifiers!$G$7,E13)),1,0)))&gt;0,1,0))</f>
        <v/>
      </c>
      <c r="M13" s="12">
        <f>IF(H13&lt;&gt;1,0,IF((IF(Classifiers!$B$8="",0,IF(ISNUMBER(SEARCH(Classifiers!$B$8,E13)),1,0))+IF(Classifiers!$C$8="",0,IF(ISNUMBER(SEARCH(Classifiers!$C$8,E13)),1,0))+IF(Classifiers!$D$8="",0,IF(ISNUMBER(SEARCH(Classifiers!$D$8,E13)),1,0))+IF(Classifiers!$E$8="",0,IF(ISNUMBER(SEARCH(Classifiers!$E$8,E13)),1,0))+IF(Classifiers!$F$8="",0,IF(ISNUMBER(SEARCH(Classifiers!$F$8,E13)),1,0))+IF(Classifiers!$G$8="",0,IF(ISNUMBER(SEARCH(Classifiers!$G$8,E13)),1,0)))&gt;0,1,0))</f>
        <v/>
      </c>
      <c r="N13" s="12">
        <f>IF(H13&lt;&gt;1,0,IF((IF(Classifiers!$B$9="",0,IF(ISNUMBER(SEARCH(Classifiers!$B$9,E13)),1,0))+IF(Classifiers!$C$9="",0,IF(ISNUMBER(SEARCH(Classifiers!$C$9,E13)),1,0))+IF(Classifiers!$D$9="",0,IF(ISNUMBER(SEARCH(Classifiers!$D$9,E13)),1,0))+IF(Classifiers!$E$9="",0,IF(ISNUMBER(SEARCH(Classifiers!$E$9,E13)),1,0))+IF(Classifiers!$F$9="",0,IF(ISNUMBER(SEARCH(Classifiers!$F$9,E13)),1,0))+IF(Classifiers!$G$9="",0,IF(ISNUMBER(SEARCH(Classifiers!$G$9,E13)),1,0)))&gt;0,1,0))</f>
        <v/>
      </c>
      <c r="O13" s="12">
        <f>IF(H13&lt;&gt;1,0,IF((IF(Classifiers!$B$10="",0,IF(ISNUMBER(SEARCH(Classifiers!$B$10,E13)),1,0))+IF(Classifiers!$C$10="",0,IF(ISNUMBER(SEARCH(Classifiers!$C$10,E13)),1,0))+IF(Classifiers!$D$10="",0,IF(ISNUMBER(SEARCH(Classifiers!$D$10,E13)),1,0))+IF(Classifiers!$E$10="",0,IF(ISNUMBER(SEARCH(Classifiers!$E$10,E13)),1,0))+IF(Classifiers!$F$10="",0,IF(ISNUMBER(SEARCH(Classifiers!$F$10,E13)),1,0))+IF(Classifiers!$G$10="",0,IF(ISNUMBER(SEARCH(Classifiers!$G$10,E13)),1,0)))&gt;0,1,0))</f>
        <v/>
      </c>
      <c r="P13" s="12">
        <f>IF(H13&lt;&gt;1,0,IF((IF(Classifiers!$B$11="",0,IF(ISNUMBER(SEARCH(Classifiers!$B$11,E13)),1,0))+IF(Classifiers!$C$11="",0,IF(ISNUMBER(SEARCH(Classifiers!$C$11,E13)),1,0))+IF(Classifiers!$D$11="",0,IF(ISNUMBER(SEARCH(Classifiers!$D$11,E13)),1,0))+IF(Classifiers!$E$11="",0,IF(ISNUMBER(SEARCH(Classifiers!$E$11,E13)),1,0))+IF(Classifiers!$F$11="",0,IF(ISNUMBER(SEARCH(Classifiers!$F$11,E13)),1,0))+IF(Classifiers!$G$11="",0,IF(ISNUMBER(SEARCH(Classifiers!$G$11,E13)),1,0)))&gt;0,1,0))</f>
        <v/>
      </c>
      <c r="Q13" s="12">
        <f>IF(H13&lt;&gt;1,0,IF((IF(Classifiers!$B$12="",0,IF(ISNUMBER(SEARCH(Classifiers!$B$12,E13)),1,0))+IF(Classifiers!$C$12="",0,IF(ISNUMBER(SEARCH(Classifiers!$C$12,E13)),1,0))+IF(Classifiers!$D$12="",0,IF(ISNUMBER(SEARCH(Classifiers!$D$12,E13)),1,0))+IF(Classifiers!$E$12="",0,IF(ISNUMBER(SEARCH(Classifiers!$E$12,E13)),1,0))+IF(Classifiers!$F$12="",0,IF(ISNUMBER(SEARCH(Classifiers!$F$12,E13)),1,0))+IF(Classifiers!$G$12="",0,IF(ISNUMBER(SEARCH(Classifiers!$G$12,E13)),1,0)))&gt;0,1,0))</f>
        <v/>
      </c>
      <c r="R13" s="12">
        <f>IF(H13&lt;&gt;1,0,IF((IF(Classifiers!$B$13="",0,IF(ISNUMBER(SEARCH(Classifiers!$B$13,E13)),1,0))+IF(Classifiers!$C$13="",0,IF(ISNUMBER(SEARCH(Classifiers!$C$13,E13)),1,0))+IF(Classifiers!$D$13="",0,IF(ISNUMBER(SEARCH(Classifiers!$D$13,E13)),1,0))+IF(Classifiers!$E$13="",0,IF(ISNUMBER(SEARCH(Classifiers!$E$13,E13)),1,0))+IF(Classifiers!$F$13="",0,IF(ISNUMBER(SEARCH(Classifiers!$F$13,E13)),1,0))+IF(Classifiers!$G$13="",0,IF(ISNUMBER(SEARCH(Classifiers!$G$13,E13)),1,0)))&gt;0,1,0))</f>
        <v/>
      </c>
      <c r="S13" s="12">
        <f>IF(H13&lt;&gt;1,0,IF((IF(Classifiers!$B$14="",0,IF(ISNUMBER(SEARCH(Classifiers!$B$14,E13)),1,0))+IF(Classifiers!$C$14="",0,IF(ISNUMBER(SEARCH(Classifiers!$C$14,E13)),1,0))+IF(Classifiers!$D$14="",0,IF(ISNUMBER(SEARCH(Classifiers!$D$14,E13)),1,0))+IF(Classifiers!$E$14="",0,IF(ISNUMBER(SEARCH(Classifiers!$E$14,E13)),1,0))+IF(Classifiers!$F$14="",0,IF(ISNUMBER(SEARCH(Classifiers!$F$14,E13)),1,0))+IF(Classifiers!$G$14="",0,IF(ISNUMBER(SEARCH(Classifiers!$G$14,E13)),1,0)))&gt;0,1,0))</f>
        <v/>
      </c>
      <c r="T13" s="12">
        <f>IF(H13&lt;&gt;1,0,IF((IF(Classifiers!$B$15="",0,IF(ISNUMBER(SEARCH(Classifiers!$B$15,E13)),1,0))+IF(Classifiers!$C$15="",0,IF(ISNUMBER(SEARCH(Classifiers!$C$15,E13)),1,0))+IF(Classifiers!$D$15="",0,IF(ISNUMBER(SEARCH(Classifiers!$D$15,E13)),1,0))+IF(Classifiers!$E$15="",0,IF(ISNUMBER(SEARCH(Classifiers!$E$15,E13)),1,0))+IF(Classifiers!$F$15="",0,IF(ISNUMBER(SEARCH(Classifiers!$F$15,E13)),1,0))+IF(Classifiers!$G$15="",0,IF(ISNUMBER(SEARCH(Classifiers!$G$15,E13)),1,0)))&gt;0,1,0))</f>
        <v/>
      </c>
      <c r="U13" s="12">
        <f>IF(H13&lt;&gt;1,0,IF((IF(Classifiers!$B$16="",0,IF(ISNUMBER(SEARCH(Classifiers!$B$16,E13)),1,0))+IF(Classifiers!$C$16="",0,IF(ISNUMBER(SEARCH(Classifiers!$C$16,E13)),1,0))+IF(Classifiers!$D$16="",0,IF(ISNUMBER(SEARCH(Classifiers!$D$16,E13)),1,0))+IF(Classifiers!$E$16="",0,IF(ISNUMBER(SEARCH(Classifiers!$E$16,E13)),1,0))+IF(Classifiers!$F$16="",0,IF(ISNUMBER(SEARCH(Classifiers!$F$16,E13)),1,0))+IF(Classifiers!$G$16="",0,IF(ISNUMBER(SEARCH(Classifiers!$G$16,E13)),1,0)))&gt;0,1,0))</f>
        <v/>
      </c>
      <c r="V13" s="12">
        <f>IF(H13&lt;&gt;1,0,IF((IF(Classifiers!$B$17="",0,IF(ISNUMBER(SEARCH(Classifiers!$B$17,E13)),1,0))+IF(Classifiers!$C$17="",0,IF(ISNUMBER(SEARCH(Classifiers!$C$17,E13)),1,0))+IF(Classifiers!$D$17="",0,IF(ISNUMBER(SEARCH(Classifiers!$D$17,E13)),1,0))+IF(Classifiers!$E$17="",0,IF(ISNUMBER(SEARCH(Classifiers!$E$17,E13)),1,0))+IF(Classifiers!$F$17="",0,IF(ISNUMBER(SEARCH(Classifiers!$F$17,E13)),1,0))+IF(Classifiers!$G$17="",0,IF(ISNUMBER(SEARCH(Classifiers!$G$17,E13)),1,0)))&gt;0,1,0))</f>
        <v/>
      </c>
      <c r="W13" s="12">
        <f>IF(H13&lt;&gt;1,0,IF((IF(Classifiers!$B$18="",0,IF(ISNUMBER(SEARCH(Classifiers!$B$18,E13)),1,0))+IF(Classifiers!$C$18="",0,IF(ISNUMBER(SEARCH(Classifiers!$C$18,E13)),1,0))+IF(Classifiers!$D$18="",0,IF(ISNUMBER(SEARCH(Classifiers!$D$18,E13)),1,0))+IF(Classifiers!$E$18="",0,IF(ISNUMBER(SEARCH(Classifiers!$E$18,E13)),1,0))+IF(Classifiers!$F$18="",0,IF(ISNUMBER(SEARCH(Classifiers!$F$18,E13)),1,0))+IF(Classifiers!$G$18="",0,IF(ISNUMBER(SEARCH(Classifiers!$G$18,E13)),1,0)))&gt;0,1,0))</f>
        <v/>
      </c>
    </row>
    <row r="14">
      <c r="A14" s="8" t="n"/>
      <c r="B14" s="11" t="n"/>
      <c r="C14" s="6">
        <f>IF(A14="","",TRIM(RIGHT(SUBSTITUTE(A14,"/",REPT(" ",250)),250)))</f>
        <v/>
      </c>
      <c r="D14" s="6">
        <f>IF(C14="","",IF(ISNUMBER(SEARCH(".",C14)),LOWER("."&amp;TRIM(RIGHT(SUBSTITUTE(C14,".",REPT(" ",250)),250))),""))</f>
        <v/>
      </c>
      <c r="E14" s="6">
        <f>IF(C14="","",TRIM(SUBSTITUTE(SUBSTITUTE(SUBSTITUTE(SUBSTITUTE(SUBSTITUTE(SUBSTITUTE(SUBSTITUTE(SUBSTITUTE(SUBSTITUTE(SUBSTITUTE(SUBSTITUTE(SUBSTITUTE(SUBSTITUTE(SUBSTITUTE(SUBSTITUTE(SUBSTITUTE(SUBSTITUTE(SUBSTITUTE(SUBSTITUTE(SUBSTITUTE(LOWER(LEFT(C14,LEN(C14)-LEN(D14))),"_"," "),"-"," "),"."," "),","," "),"("," "),")"," "),"["," "),"]"," "),"&amp;"," "),"+"," "),"@"," "),"#"," "),"!"," "),"'"," "),"/"," "),":"," "),";"," "),"="," "),"~"," "),"%"," ")))</f>
        <v/>
      </c>
      <c r="F14" s="6">
        <f>IF(C14="","",IF(COUNTIF(Classifiers!$A$23:$A$40,D14)&gt;0,1,0))</f>
        <v/>
      </c>
      <c r="G14" s="6">
        <f>IF(C14="","",IF(COUNTIF(Classifiers!$C$23:$C$30,D14)&gt;0,IF((IF(ISNUMBER(SEARCH(Classifiers!$E$23,E14)),1,0)+IF(ISNUMBER(SEARCH(Classifiers!$E$24,E14)),1,0)+IF(ISNUMBER(SEARCH(Classifiers!$E$25,E14)),1,0)+IF(ISNUMBER(SEARCH(Classifiers!$E$26,E14)),1,0)+IF(ISNUMBER(SEARCH(Classifiers!$E$27,E14)),1,0)+IF(ISNUMBER(SEARCH(Classifiers!$E$28,E14)),1,0)+IF(ISNUMBER(SEARCH(Classifiers!$E$29,E14)),1,0)+IF(ISNUMBER(SEARCH(Classifiers!$E$30,E14)),1,0))&gt;0,1,0),0))</f>
        <v/>
      </c>
      <c r="H14" s="6">
        <f>IF(C14="","",IF(OR(LEFT(C14,1)=".",AND(F14=0,G14=0)),0,1))</f>
        <v/>
      </c>
      <c r="I14" s="6">
        <f>IF(H14&lt;&gt;1,"",IF(SUM(J14:W14)=0,"unclassified",INDEX(Classifiers!$A$5:$A$18,MATCH(1,J14:W14,0),1)))</f>
        <v/>
      </c>
      <c r="J14" s="12">
        <f>IF(H14&lt;&gt;1,0,IF((IF(Classifiers!$B$5="",0,IF(ISNUMBER(SEARCH(Classifiers!$B$5,E14)),1,0))+IF(Classifiers!$C$5="",0,IF(ISNUMBER(SEARCH(Classifiers!$C$5,E14)),1,0))+IF(Classifiers!$D$5="",0,IF(ISNUMBER(SEARCH(Classifiers!$D$5,E14)),1,0))+IF(Classifiers!$E$5="",0,IF(ISNUMBER(SEARCH(Classifiers!$E$5,E14)),1,0))+IF(Classifiers!$F$5="",0,IF(ISNUMBER(SEARCH(Classifiers!$F$5,E14)),1,0))+IF(Classifiers!$G$5="",0,IF(ISNUMBER(SEARCH(Classifiers!$G$5,E14)),1,0)))&gt;0,1,0))</f>
        <v/>
      </c>
      <c r="K14" s="12">
        <f>IF(H14&lt;&gt;1,0,IF((IF(Classifiers!$B$6="",0,IF(ISNUMBER(SEARCH(Classifiers!$B$6,E14)),1,0))+IF(Classifiers!$C$6="",0,IF(ISNUMBER(SEARCH(Classifiers!$C$6,E14)),1,0))+IF(Classifiers!$D$6="",0,IF(ISNUMBER(SEARCH(Classifiers!$D$6,E14)),1,0))+IF(Classifiers!$E$6="",0,IF(ISNUMBER(SEARCH(Classifiers!$E$6,E14)),1,0))+IF(Classifiers!$F$6="",0,IF(ISNUMBER(SEARCH(Classifiers!$F$6,E14)),1,0))+IF(Classifiers!$G$6="",0,IF(ISNUMBER(SEARCH(Classifiers!$G$6,E14)),1,0)))&gt;0,1,0))</f>
        <v/>
      </c>
      <c r="L14" s="12">
        <f>IF(H14&lt;&gt;1,0,IF((IF(Classifiers!$B$7="",0,IF(ISNUMBER(SEARCH(Classifiers!$B$7,E14)),1,0))+IF(Classifiers!$C$7="",0,IF(ISNUMBER(SEARCH(Classifiers!$C$7,E14)),1,0))+IF(Classifiers!$D$7="",0,IF(ISNUMBER(SEARCH(Classifiers!$D$7,E14)),1,0))+IF(Classifiers!$E$7="",0,IF(ISNUMBER(SEARCH(Classifiers!$E$7,E14)),1,0))+IF(Classifiers!$F$7="",0,IF(ISNUMBER(SEARCH(Classifiers!$F$7,E14)),1,0))+IF(Classifiers!$G$7="",0,IF(ISNUMBER(SEARCH(Classifiers!$G$7,E14)),1,0)))&gt;0,1,0))</f>
        <v/>
      </c>
      <c r="M14" s="12">
        <f>IF(H14&lt;&gt;1,0,IF((IF(Classifiers!$B$8="",0,IF(ISNUMBER(SEARCH(Classifiers!$B$8,E14)),1,0))+IF(Classifiers!$C$8="",0,IF(ISNUMBER(SEARCH(Classifiers!$C$8,E14)),1,0))+IF(Classifiers!$D$8="",0,IF(ISNUMBER(SEARCH(Classifiers!$D$8,E14)),1,0))+IF(Classifiers!$E$8="",0,IF(ISNUMBER(SEARCH(Classifiers!$E$8,E14)),1,0))+IF(Classifiers!$F$8="",0,IF(ISNUMBER(SEARCH(Classifiers!$F$8,E14)),1,0))+IF(Classifiers!$G$8="",0,IF(ISNUMBER(SEARCH(Classifiers!$G$8,E14)),1,0)))&gt;0,1,0))</f>
        <v/>
      </c>
      <c r="N14" s="12">
        <f>IF(H14&lt;&gt;1,0,IF((IF(Classifiers!$B$9="",0,IF(ISNUMBER(SEARCH(Classifiers!$B$9,E14)),1,0))+IF(Classifiers!$C$9="",0,IF(ISNUMBER(SEARCH(Classifiers!$C$9,E14)),1,0))+IF(Classifiers!$D$9="",0,IF(ISNUMBER(SEARCH(Classifiers!$D$9,E14)),1,0))+IF(Classifiers!$E$9="",0,IF(ISNUMBER(SEARCH(Classifiers!$E$9,E14)),1,0))+IF(Classifiers!$F$9="",0,IF(ISNUMBER(SEARCH(Classifiers!$F$9,E14)),1,0))+IF(Classifiers!$G$9="",0,IF(ISNUMBER(SEARCH(Classifiers!$G$9,E14)),1,0)))&gt;0,1,0))</f>
        <v/>
      </c>
      <c r="O14" s="12">
        <f>IF(H14&lt;&gt;1,0,IF((IF(Classifiers!$B$10="",0,IF(ISNUMBER(SEARCH(Classifiers!$B$10,E14)),1,0))+IF(Classifiers!$C$10="",0,IF(ISNUMBER(SEARCH(Classifiers!$C$10,E14)),1,0))+IF(Classifiers!$D$10="",0,IF(ISNUMBER(SEARCH(Classifiers!$D$10,E14)),1,0))+IF(Classifiers!$E$10="",0,IF(ISNUMBER(SEARCH(Classifiers!$E$10,E14)),1,0))+IF(Classifiers!$F$10="",0,IF(ISNUMBER(SEARCH(Classifiers!$F$10,E14)),1,0))+IF(Classifiers!$G$10="",0,IF(ISNUMBER(SEARCH(Classifiers!$G$10,E14)),1,0)))&gt;0,1,0))</f>
        <v/>
      </c>
      <c r="P14" s="12">
        <f>IF(H14&lt;&gt;1,0,IF((IF(Classifiers!$B$11="",0,IF(ISNUMBER(SEARCH(Classifiers!$B$11,E14)),1,0))+IF(Classifiers!$C$11="",0,IF(ISNUMBER(SEARCH(Classifiers!$C$11,E14)),1,0))+IF(Classifiers!$D$11="",0,IF(ISNUMBER(SEARCH(Classifiers!$D$11,E14)),1,0))+IF(Classifiers!$E$11="",0,IF(ISNUMBER(SEARCH(Classifiers!$E$11,E14)),1,0))+IF(Classifiers!$F$11="",0,IF(ISNUMBER(SEARCH(Classifiers!$F$11,E14)),1,0))+IF(Classifiers!$G$11="",0,IF(ISNUMBER(SEARCH(Classifiers!$G$11,E14)),1,0)))&gt;0,1,0))</f>
        <v/>
      </c>
      <c r="Q14" s="12">
        <f>IF(H14&lt;&gt;1,0,IF((IF(Classifiers!$B$12="",0,IF(ISNUMBER(SEARCH(Classifiers!$B$12,E14)),1,0))+IF(Classifiers!$C$12="",0,IF(ISNUMBER(SEARCH(Classifiers!$C$12,E14)),1,0))+IF(Classifiers!$D$12="",0,IF(ISNUMBER(SEARCH(Classifiers!$D$12,E14)),1,0))+IF(Classifiers!$E$12="",0,IF(ISNUMBER(SEARCH(Classifiers!$E$12,E14)),1,0))+IF(Classifiers!$F$12="",0,IF(ISNUMBER(SEARCH(Classifiers!$F$12,E14)),1,0))+IF(Classifiers!$G$12="",0,IF(ISNUMBER(SEARCH(Classifiers!$G$12,E14)),1,0)))&gt;0,1,0))</f>
        <v/>
      </c>
      <c r="R14" s="12">
        <f>IF(H14&lt;&gt;1,0,IF((IF(Classifiers!$B$13="",0,IF(ISNUMBER(SEARCH(Classifiers!$B$13,E14)),1,0))+IF(Classifiers!$C$13="",0,IF(ISNUMBER(SEARCH(Classifiers!$C$13,E14)),1,0))+IF(Classifiers!$D$13="",0,IF(ISNUMBER(SEARCH(Classifiers!$D$13,E14)),1,0))+IF(Classifiers!$E$13="",0,IF(ISNUMBER(SEARCH(Classifiers!$E$13,E14)),1,0))+IF(Classifiers!$F$13="",0,IF(ISNUMBER(SEARCH(Classifiers!$F$13,E14)),1,0))+IF(Classifiers!$G$13="",0,IF(ISNUMBER(SEARCH(Classifiers!$G$13,E14)),1,0)))&gt;0,1,0))</f>
        <v/>
      </c>
      <c r="S14" s="12">
        <f>IF(H14&lt;&gt;1,0,IF((IF(Classifiers!$B$14="",0,IF(ISNUMBER(SEARCH(Classifiers!$B$14,E14)),1,0))+IF(Classifiers!$C$14="",0,IF(ISNUMBER(SEARCH(Classifiers!$C$14,E14)),1,0))+IF(Classifiers!$D$14="",0,IF(ISNUMBER(SEARCH(Classifiers!$D$14,E14)),1,0))+IF(Classifiers!$E$14="",0,IF(ISNUMBER(SEARCH(Classifiers!$E$14,E14)),1,0))+IF(Classifiers!$F$14="",0,IF(ISNUMBER(SEARCH(Classifiers!$F$14,E14)),1,0))+IF(Classifiers!$G$14="",0,IF(ISNUMBER(SEARCH(Classifiers!$G$14,E14)),1,0)))&gt;0,1,0))</f>
        <v/>
      </c>
      <c r="T14" s="12">
        <f>IF(H14&lt;&gt;1,0,IF((IF(Classifiers!$B$15="",0,IF(ISNUMBER(SEARCH(Classifiers!$B$15,E14)),1,0))+IF(Classifiers!$C$15="",0,IF(ISNUMBER(SEARCH(Classifiers!$C$15,E14)),1,0))+IF(Classifiers!$D$15="",0,IF(ISNUMBER(SEARCH(Classifiers!$D$15,E14)),1,0))+IF(Classifiers!$E$15="",0,IF(ISNUMBER(SEARCH(Classifiers!$E$15,E14)),1,0))+IF(Classifiers!$F$15="",0,IF(ISNUMBER(SEARCH(Classifiers!$F$15,E14)),1,0))+IF(Classifiers!$G$15="",0,IF(ISNUMBER(SEARCH(Classifiers!$G$15,E14)),1,0)))&gt;0,1,0))</f>
        <v/>
      </c>
      <c r="U14" s="12">
        <f>IF(H14&lt;&gt;1,0,IF((IF(Classifiers!$B$16="",0,IF(ISNUMBER(SEARCH(Classifiers!$B$16,E14)),1,0))+IF(Classifiers!$C$16="",0,IF(ISNUMBER(SEARCH(Classifiers!$C$16,E14)),1,0))+IF(Classifiers!$D$16="",0,IF(ISNUMBER(SEARCH(Classifiers!$D$16,E14)),1,0))+IF(Classifiers!$E$16="",0,IF(ISNUMBER(SEARCH(Classifiers!$E$16,E14)),1,0))+IF(Classifiers!$F$16="",0,IF(ISNUMBER(SEARCH(Classifiers!$F$16,E14)),1,0))+IF(Classifiers!$G$16="",0,IF(ISNUMBER(SEARCH(Classifiers!$G$16,E14)),1,0)))&gt;0,1,0))</f>
        <v/>
      </c>
      <c r="V14" s="12">
        <f>IF(H14&lt;&gt;1,0,IF((IF(Classifiers!$B$17="",0,IF(ISNUMBER(SEARCH(Classifiers!$B$17,E14)),1,0))+IF(Classifiers!$C$17="",0,IF(ISNUMBER(SEARCH(Classifiers!$C$17,E14)),1,0))+IF(Classifiers!$D$17="",0,IF(ISNUMBER(SEARCH(Classifiers!$D$17,E14)),1,0))+IF(Classifiers!$E$17="",0,IF(ISNUMBER(SEARCH(Classifiers!$E$17,E14)),1,0))+IF(Classifiers!$F$17="",0,IF(ISNUMBER(SEARCH(Classifiers!$F$17,E14)),1,0))+IF(Classifiers!$G$17="",0,IF(ISNUMBER(SEARCH(Classifiers!$G$17,E14)),1,0)))&gt;0,1,0))</f>
        <v/>
      </c>
      <c r="W14" s="12">
        <f>IF(H14&lt;&gt;1,0,IF((IF(Classifiers!$B$18="",0,IF(ISNUMBER(SEARCH(Classifiers!$B$18,E14)),1,0))+IF(Classifiers!$C$18="",0,IF(ISNUMBER(SEARCH(Classifiers!$C$18,E14)),1,0))+IF(Classifiers!$D$18="",0,IF(ISNUMBER(SEARCH(Classifiers!$D$18,E14)),1,0))+IF(Classifiers!$E$18="",0,IF(ISNUMBER(SEARCH(Classifiers!$E$18,E14)),1,0))+IF(Classifiers!$F$18="",0,IF(ISNUMBER(SEARCH(Classifiers!$F$18,E14)),1,0))+IF(Classifiers!$G$18="",0,IF(ISNUMBER(SEARCH(Classifiers!$G$18,E14)),1,0)))&gt;0,1,0))</f>
        <v/>
      </c>
    </row>
    <row r="15">
      <c r="A15" s="8" t="n"/>
      <c r="B15" s="11" t="n"/>
      <c r="C15" s="6">
        <f>IF(A15="","",TRIM(RIGHT(SUBSTITUTE(A15,"/",REPT(" ",250)),250)))</f>
        <v/>
      </c>
      <c r="D15" s="6">
        <f>IF(C15="","",IF(ISNUMBER(SEARCH(".",C15)),LOWER("."&amp;TRIM(RIGHT(SUBSTITUTE(C15,".",REPT(" ",250)),250))),""))</f>
        <v/>
      </c>
      <c r="E15" s="6">
        <f>IF(C15="","",TRIM(SUBSTITUTE(SUBSTITUTE(SUBSTITUTE(SUBSTITUTE(SUBSTITUTE(SUBSTITUTE(SUBSTITUTE(SUBSTITUTE(SUBSTITUTE(SUBSTITUTE(SUBSTITUTE(SUBSTITUTE(SUBSTITUTE(SUBSTITUTE(SUBSTITUTE(SUBSTITUTE(SUBSTITUTE(SUBSTITUTE(SUBSTITUTE(SUBSTITUTE(LOWER(LEFT(C15,LEN(C15)-LEN(D15))),"_"," "),"-"," "),"."," "),","," "),"("," "),")"," "),"["," "),"]"," "),"&amp;"," "),"+"," "),"@"," "),"#"," "),"!"," "),"'"," "),"/"," "),":"," "),";"," "),"="," "),"~"," "),"%"," ")))</f>
        <v/>
      </c>
      <c r="F15" s="6">
        <f>IF(C15="","",IF(COUNTIF(Classifiers!$A$23:$A$40,D15)&gt;0,1,0))</f>
        <v/>
      </c>
      <c r="G15" s="6">
        <f>IF(C15="","",IF(COUNTIF(Classifiers!$C$23:$C$30,D15)&gt;0,IF((IF(ISNUMBER(SEARCH(Classifiers!$E$23,E15)),1,0)+IF(ISNUMBER(SEARCH(Classifiers!$E$24,E15)),1,0)+IF(ISNUMBER(SEARCH(Classifiers!$E$25,E15)),1,0)+IF(ISNUMBER(SEARCH(Classifiers!$E$26,E15)),1,0)+IF(ISNUMBER(SEARCH(Classifiers!$E$27,E15)),1,0)+IF(ISNUMBER(SEARCH(Classifiers!$E$28,E15)),1,0)+IF(ISNUMBER(SEARCH(Classifiers!$E$29,E15)),1,0)+IF(ISNUMBER(SEARCH(Classifiers!$E$30,E15)),1,0))&gt;0,1,0),0))</f>
        <v/>
      </c>
      <c r="H15" s="6">
        <f>IF(C15="","",IF(OR(LEFT(C15,1)=".",AND(F15=0,G15=0)),0,1))</f>
        <v/>
      </c>
      <c r="I15" s="6">
        <f>IF(H15&lt;&gt;1,"",IF(SUM(J15:W15)=0,"unclassified",INDEX(Classifiers!$A$5:$A$18,MATCH(1,J15:W15,0),1)))</f>
        <v/>
      </c>
      <c r="J15" s="12">
        <f>IF(H15&lt;&gt;1,0,IF((IF(Classifiers!$B$5="",0,IF(ISNUMBER(SEARCH(Classifiers!$B$5,E15)),1,0))+IF(Classifiers!$C$5="",0,IF(ISNUMBER(SEARCH(Classifiers!$C$5,E15)),1,0))+IF(Classifiers!$D$5="",0,IF(ISNUMBER(SEARCH(Classifiers!$D$5,E15)),1,0))+IF(Classifiers!$E$5="",0,IF(ISNUMBER(SEARCH(Classifiers!$E$5,E15)),1,0))+IF(Classifiers!$F$5="",0,IF(ISNUMBER(SEARCH(Classifiers!$F$5,E15)),1,0))+IF(Classifiers!$G$5="",0,IF(ISNUMBER(SEARCH(Classifiers!$G$5,E15)),1,0)))&gt;0,1,0))</f>
        <v/>
      </c>
      <c r="K15" s="12">
        <f>IF(H15&lt;&gt;1,0,IF((IF(Classifiers!$B$6="",0,IF(ISNUMBER(SEARCH(Classifiers!$B$6,E15)),1,0))+IF(Classifiers!$C$6="",0,IF(ISNUMBER(SEARCH(Classifiers!$C$6,E15)),1,0))+IF(Classifiers!$D$6="",0,IF(ISNUMBER(SEARCH(Classifiers!$D$6,E15)),1,0))+IF(Classifiers!$E$6="",0,IF(ISNUMBER(SEARCH(Classifiers!$E$6,E15)),1,0))+IF(Classifiers!$F$6="",0,IF(ISNUMBER(SEARCH(Classifiers!$F$6,E15)),1,0))+IF(Classifiers!$G$6="",0,IF(ISNUMBER(SEARCH(Classifiers!$G$6,E15)),1,0)))&gt;0,1,0))</f>
        <v/>
      </c>
      <c r="L15" s="12">
        <f>IF(H15&lt;&gt;1,0,IF((IF(Classifiers!$B$7="",0,IF(ISNUMBER(SEARCH(Classifiers!$B$7,E15)),1,0))+IF(Classifiers!$C$7="",0,IF(ISNUMBER(SEARCH(Classifiers!$C$7,E15)),1,0))+IF(Classifiers!$D$7="",0,IF(ISNUMBER(SEARCH(Classifiers!$D$7,E15)),1,0))+IF(Classifiers!$E$7="",0,IF(ISNUMBER(SEARCH(Classifiers!$E$7,E15)),1,0))+IF(Classifiers!$F$7="",0,IF(ISNUMBER(SEARCH(Classifiers!$F$7,E15)),1,0))+IF(Classifiers!$G$7="",0,IF(ISNUMBER(SEARCH(Classifiers!$G$7,E15)),1,0)))&gt;0,1,0))</f>
        <v/>
      </c>
      <c r="M15" s="12">
        <f>IF(H15&lt;&gt;1,0,IF((IF(Classifiers!$B$8="",0,IF(ISNUMBER(SEARCH(Classifiers!$B$8,E15)),1,0))+IF(Classifiers!$C$8="",0,IF(ISNUMBER(SEARCH(Classifiers!$C$8,E15)),1,0))+IF(Classifiers!$D$8="",0,IF(ISNUMBER(SEARCH(Classifiers!$D$8,E15)),1,0))+IF(Classifiers!$E$8="",0,IF(ISNUMBER(SEARCH(Classifiers!$E$8,E15)),1,0))+IF(Classifiers!$F$8="",0,IF(ISNUMBER(SEARCH(Classifiers!$F$8,E15)),1,0))+IF(Classifiers!$G$8="",0,IF(ISNUMBER(SEARCH(Classifiers!$G$8,E15)),1,0)))&gt;0,1,0))</f>
        <v/>
      </c>
      <c r="N15" s="12">
        <f>IF(H15&lt;&gt;1,0,IF((IF(Classifiers!$B$9="",0,IF(ISNUMBER(SEARCH(Classifiers!$B$9,E15)),1,0))+IF(Classifiers!$C$9="",0,IF(ISNUMBER(SEARCH(Classifiers!$C$9,E15)),1,0))+IF(Classifiers!$D$9="",0,IF(ISNUMBER(SEARCH(Classifiers!$D$9,E15)),1,0))+IF(Classifiers!$E$9="",0,IF(ISNUMBER(SEARCH(Classifiers!$E$9,E15)),1,0))+IF(Classifiers!$F$9="",0,IF(ISNUMBER(SEARCH(Classifiers!$F$9,E15)),1,0))+IF(Classifiers!$G$9="",0,IF(ISNUMBER(SEARCH(Classifiers!$G$9,E15)),1,0)))&gt;0,1,0))</f>
        <v/>
      </c>
      <c r="O15" s="12">
        <f>IF(H15&lt;&gt;1,0,IF((IF(Classifiers!$B$10="",0,IF(ISNUMBER(SEARCH(Classifiers!$B$10,E15)),1,0))+IF(Classifiers!$C$10="",0,IF(ISNUMBER(SEARCH(Classifiers!$C$10,E15)),1,0))+IF(Classifiers!$D$10="",0,IF(ISNUMBER(SEARCH(Classifiers!$D$10,E15)),1,0))+IF(Classifiers!$E$10="",0,IF(ISNUMBER(SEARCH(Classifiers!$E$10,E15)),1,0))+IF(Classifiers!$F$10="",0,IF(ISNUMBER(SEARCH(Classifiers!$F$10,E15)),1,0))+IF(Classifiers!$G$10="",0,IF(ISNUMBER(SEARCH(Classifiers!$G$10,E15)),1,0)))&gt;0,1,0))</f>
        <v/>
      </c>
      <c r="P15" s="12">
        <f>IF(H15&lt;&gt;1,0,IF((IF(Classifiers!$B$11="",0,IF(ISNUMBER(SEARCH(Classifiers!$B$11,E15)),1,0))+IF(Classifiers!$C$11="",0,IF(ISNUMBER(SEARCH(Classifiers!$C$11,E15)),1,0))+IF(Classifiers!$D$11="",0,IF(ISNUMBER(SEARCH(Classifiers!$D$11,E15)),1,0))+IF(Classifiers!$E$11="",0,IF(ISNUMBER(SEARCH(Classifiers!$E$11,E15)),1,0))+IF(Classifiers!$F$11="",0,IF(ISNUMBER(SEARCH(Classifiers!$F$11,E15)),1,0))+IF(Classifiers!$G$11="",0,IF(ISNUMBER(SEARCH(Classifiers!$G$11,E15)),1,0)))&gt;0,1,0))</f>
        <v/>
      </c>
      <c r="Q15" s="12">
        <f>IF(H15&lt;&gt;1,0,IF((IF(Classifiers!$B$12="",0,IF(ISNUMBER(SEARCH(Classifiers!$B$12,E15)),1,0))+IF(Classifiers!$C$12="",0,IF(ISNUMBER(SEARCH(Classifiers!$C$12,E15)),1,0))+IF(Classifiers!$D$12="",0,IF(ISNUMBER(SEARCH(Classifiers!$D$12,E15)),1,0))+IF(Classifiers!$E$12="",0,IF(ISNUMBER(SEARCH(Classifiers!$E$12,E15)),1,0))+IF(Classifiers!$F$12="",0,IF(ISNUMBER(SEARCH(Classifiers!$F$12,E15)),1,0))+IF(Classifiers!$G$12="",0,IF(ISNUMBER(SEARCH(Classifiers!$G$12,E15)),1,0)))&gt;0,1,0))</f>
        <v/>
      </c>
      <c r="R15" s="12">
        <f>IF(H15&lt;&gt;1,0,IF((IF(Classifiers!$B$13="",0,IF(ISNUMBER(SEARCH(Classifiers!$B$13,E15)),1,0))+IF(Classifiers!$C$13="",0,IF(ISNUMBER(SEARCH(Classifiers!$C$13,E15)),1,0))+IF(Classifiers!$D$13="",0,IF(ISNUMBER(SEARCH(Classifiers!$D$13,E15)),1,0))+IF(Classifiers!$E$13="",0,IF(ISNUMBER(SEARCH(Classifiers!$E$13,E15)),1,0))+IF(Classifiers!$F$13="",0,IF(ISNUMBER(SEARCH(Classifiers!$F$13,E15)),1,0))+IF(Classifiers!$G$13="",0,IF(ISNUMBER(SEARCH(Classifiers!$G$13,E15)),1,0)))&gt;0,1,0))</f>
        <v/>
      </c>
      <c r="S15" s="12">
        <f>IF(H15&lt;&gt;1,0,IF((IF(Classifiers!$B$14="",0,IF(ISNUMBER(SEARCH(Classifiers!$B$14,E15)),1,0))+IF(Classifiers!$C$14="",0,IF(ISNUMBER(SEARCH(Classifiers!$C$14,E15)),1,0))+IF(Classifiers!$D$14="",0,IF(ISNUMBER(SEARCH(Classifiers!$D$14,E15)),1,0))+IF(Classifiers!$E$14="",0,IF(ISNUMBER(SEARCH(Classifiers!$E$14,E15)),1,0))+IF(Classifiers!$F$14="",0,IF(ISNUMBER(SEARCH(Classifiers!$F$14,E15)),1,0))+IF(Classifiers!$G$14="",0,IF(ISNUMBER(SEARCH(Classifiers!$G$14,E15)),1,0)))&gt;0,1,0))</f>
        <v/>
      </c>
      <c r="T15" s="12">
        <f>IF(H15&lt;&gt;1,0,IF((IF(Classifiers!$B$15="",0,IF(ISNUMBER(SEARCH(Classifiers!$B$15,E15)),1,0))+IF(Classifiers!$C$15="",0,IF(ISNUMBER(SEARCH(Classifiers!$C$15,E15)),1,0))+IF(Classifiers!$D$15="",0,IF(ISNUMBER(SEARCH(Classifiers!$D$15,E15)),1,0))+IF(Classifiers!$E$15="",0,IF(ISNUMBER(SEARCH(Classifiers!$E$15,E15)),1,0))+IF(Classifiers!$F$15="",0,IF(ISNUMBER(SEARCH(Classifiers!$F$15,E15)),1,0))+IF(Classifiers!$G$15="",0,IF(ISNUMBER(SEARCH(Classifiers!$G$15,E15)),1,0)))&gt;0,1,0))</f>
        <v/>
      </c>
      <c r="U15" s="12">
        <f>IF(H15&lt;&gt;1,0,IF((IF(Classifiers!$B$16="",0,IF(ISNUMBER(SEARCH(Classifiers!$B$16,E15)),1,0))+IF(Classifiers!$C$16="",0,IF(ISNUMBER(SEARCH(Classifiers!$C$16,E15)),1,0))+IF(Classifiers!$D$16="",0,IF(ISNUMBER(SEARCH(Classifiers!$D$16,E15)),1,0))+IF(Classifiers!$E$16="",0,IF(ISNUMBER(SEARCH(Classifiers!$E$16,E15)),1,0))+IF(Classifiers!$F$16="",0,IF(ISNUMBER(SEARCH(Classifiers!$F$16,E15)),1,0))+IF(Classifiers!$G$16="",0,IF(ISNUMBER(SEARCH(Classifiers!$G$16,E15)),1,0)))&gt;0,1,0))</f>
        <v/>
      </c>
      <c r="V15" s="12">
        <f>IF(H15&lt;&gt;1,0,IF((IF(Classifiers!$B$17="",0,IF(ISNUMBER(SEARCH(Classifiers!$B$17,E15)),1,0))+IF(Classifiers!$C$17="",0,IF(ISNUMBER(SEARCH(Classifiers!$C$17,E15)),1,0))+IF(Classifiers!$D$17="",0,IF(ISNUMBER(SEARCH(Classifiers!$D$17,E15)),1,0))+IF(Classifiers!$E$17="",0,IF(ISNUMBER(SEARCH(Classifiers!$E$17,E15)),1,0))+IF(Classifiers!$F$17="",0,IF(ISNUMBER(SEARCH(Classifiers!$F$17,E15)),1,0))+IF(Classifiers!$G$17="",0,IF(ISNUMBER(SEARCH(Classifiers!$G$17,E15)),1,0)))&gt;0,1,0))</f>
        <v/>
      </c>
      <c r="W15" s="12">
        <f>IF(H15&lt;&gt;1,0,IF((IF(Classifiers!$B$18="",0,IF(ISNUMBER(SEARCH(Classifiers!$B$18,E15)),1,0))+IF(Classifiers!$C$18="",0,IF(ISNUMBER(SEARCH(Classifiers!$C$18,E15)),1,0))+IF(Classifiers!$D$18="",0,IF(ISNUMBER(SEARCH(Classifiers!$D$18,E15)),1,0))+IF(Classifiers!$E$18="",0,IF(ISNUMBER(SEARCH(Classifiers!$E$18,E15)),1,0))+IF(Classifiers!$F$18="",0,IF(ISNUMBER(SEARCH(Classifiers!$F$18,E15)),1,0))+IF(Classifiers!$G$18="",0,IF(ISNUMBER(SEARCH(Classifiers!$G$18,E15)),1,0)))&gt;0,1,0))</f>
        <v/>
      </c>
    </row>
    <row r="16">
      <c r="A16" s="8" t="n"/>
      <c r="B16" s="11" t="n"/>
      <c r="C16" s="6">
        <f>IF(A16="","",TRIM(RIGHT(SUBSTITUTE(A16,"/",REPT(" ",250)),250)))</f>
        <v/>
      </c>
      <c r="D16" s="6">
        <f>IF(C16="","",IF(ISNUMBER(SEARCH(".",C16)),LOWER("."&amp;TRIM(RIGHT(SUBSTITUTE(C16,".",REPT(" ",250)),250))),""))</f>
        <v/>
      </c>
      <c r="E16" s="6">
        <f>IF(C16="","",TRIM(SUBSTITUTE(SUBSTITUTE(SUBSTITUTE(SUBSTITUTE(SUBSTITUTE(SUBSTITUTE(SUBSTITUTE(SUBSTITUTE(SUBSTITUTE(SUBSTITUTE(SUBSTITUTE(SUBSTITUTE(SUBSTITUTE(SUBSTITUTE(SUBSTITUTE(SUBSTITUTE(SUBSTITUTE(SUBSTITUTE(SUBSTITUTE(SUBSTITUTE(LOWER(LEFT(C16,LEN(C16)-LEN(D16))),"_"," "),"-"," "),"."," "),","," "),"("," "),")"," "),"["," "),"]"," "),"&amp;"," "),"+"," "),"@"," "),"#"," "),"!"," "),"'"," "),"/"," "),":"," "),";"," "),"="," "),"~"," "),"%"," ")))</f>
        <v/>
      </c>
      <c r="F16" s="6">
        <f>IF(C16="","",IF(COUNTIF(Classifiers!$A$23:$A$40,D16)&gt;0,1,0))</f>
        <v/>
      </c>
      <c r="G16" s="6">
        <f>IF(C16="","",IF(COUNTIF(Classifiers!$C$23:$C$30,D16)&gt;0,IF((IF(ISNUMBER(SEARCH(Classifiers!$E$23,E16)),1,0)+IF(ISNUMBER(SEARCH(Classifiers!$E$24,E16)),1,0)+IF(ISNUMBER(SEARCH(Classifiers!$E$25,E16)),1,0)+IF(ISNUMBER(SEARCH(Classifiers!$E$26,E16)),1,0)+IF(ISNUMBER(SEARCH(Classifiers!$E$27,E16)),1,0)+IF(ISNUMBER(SEARCH(Classifiers!$E$28,E16)),1,0)+IF(ISNUMBER(SEARCH(Classifiers!$E$29,E16)),1,0)+IF(ISNUMBER(SEARCH(Classifiers!$E$30,E16)),1,0))&gt;0,1,0),0))</f>
        <v/>
      </c>
      <c r="H16" s="6">
        <f>IF(C16="","",IF(OR(LEFT(C16,1)=".",AND(F16=0,G16=0)),0,1))</f>
        <v/>
      </c>
      <c r="I16" s="6">
        <f>IF(H16&lt;&gt;1,"",IF(SUM(J16:W16)=0,"unclassified",INDEX(Classifiers!$A$5:$A$18,MATCH(1,J16:W16,0),1)))</f>
        <v/>
      </c>
      <c r="J16" s="12">
        <f>IF(H16&lt;&gt;1,0,IF((IF(Classifiers!$B$5="",0,IF(ISNUMBER(SEARCH(Classifiers!$B$5,E16)),1,0))+IF(Classifiers!$C$5="",0,IF(ISNUMBER(SEARCH(Classifiers!$C$5,E16)),1,0))+IF(Classifiers!$D$5="",0,IF(ISNUMBER(SEARCH(Classifiers!$D$5,E16)),1,0))+IF(Classifiers!$E$5="",0,IF(ISNUMBER(SEARCH(Classifiers!$E$5,E16)),1,0))+IF(Classifiers!$F$5="",0,IF(ISNUMBER(SEARCH(Classifiers!$F$5,E16)),1,0))+IF(Classifiers!$G$5="",0,IF(ISNUMBER(SEARCH(Classifiers!$G$5,E16)),1,0)))&gt;0,1,0))</f>
        <v/>
      </c>
      <c r="K16" s="12">
        <f>IF(H16&lt;&gt;1,0,IF((IF(Classifiers!$B$6="",0,IF(ISNUMBER(SEARCH(Classifiers!$B$6,E16)),1,0))+IF(Classifiers!$C$6="",0,IF(ISNUMBER(SEARCH(Classifiers!$C$6,E16)),1,0))+IF(Classifiers!$D$6="",0,IF(ISNUMBER(SEARCH(Classifiers!$D$6,E16)),1,0))+IF(Classifiers!$E$6="",0,IF(ISNUMBER(SEARCH(Classifiers!$E$6,E16)),1,0))+IF(Classifiers!$F$6="",0,IF(ISNUMBER(SEARCH(Classifiers!$F$6,E16)),1,0))+IF(Classifiers!$G$6="",0,IF(ISNUMBER(SEARCH(Classifiers!$G$6,E16)),1,0)))&gt;0,1,0))</f>
        <v/>
      </c>
      <c r="L16" s="12">
        <f>IF(H16&lt;&gt;1,0,IF((IF(Classifiers!$B$7="",0,IF(ISNUMBER(SEARCH(Classifiers!$B$7,E16)),1,0))+IF(Classifiers!$C$7="",0,IF(ISNUMBER(SEARCH(Classifiers!$C$7,E16)),1,0))+IF(Classifiers!$D$7="",0,IF(ISNUMBER(SEARCH(Classifiers!$D$7,E16)),1,0))+IF(Classifiers!$E$7="",0,IF(ISNUMBER(SEARCH(Classifiers!$E$7,E16)),1,0))+IF(Classifiers!$F$7="",0,IF(ISNUMBER(SEARCH(Classifiers!$F$7,E16)),1,0))+IF(Classifiers!$G$7="",0,IF(ISNUMBER(SEARCH(Classifiers!$G$7,E16)),1,0)))&gt;0,1,0))</f>
        <v/>
      </c>
      <c r="M16" s="12">
        <f>IF(H16&lt;&gt;1,0,IF((IF(Classifiers!$B$8="",0,IF(ISNUMBER(SEARCH(Classifiers!$B$8,E16)),1,0))+IF(Classifiers!$C$8="",0,IF(ISNUMBER(SEARCH(Classifiers!$C$8,E16)),1,0))+IF(Classifiers!$D$8="",0,IF(ISNUMBER(SEARCH(Classifiers!$D$8,E16)),1,0))+IF(Classifiers!$E$8="",0,IF(ISNUMBER(SEARCH(Classifiers!$E$8,E16)),1,0))+IF(Classifiers!$F$8="",0,IF(ISNUMBER(SEARCH(Classifiers!$F$8,E16)),1,0))+IF(Classifiers!$G$8="",0,IF(ISNUMBER(SEARCH(Classifiers!$G$8,E16)),1,0)))&gt;0,1,0))</f>
        <v/>
      </c>
      <c r="N16" s="12">
        <f>IF(H16&lt;&gt;1,0,IF((IF(Classifiers!$B$9="",0,IF(ISNUMBER(SEARCH(Classifiers!$B$9,E16)),1,0))+IF(Classifiers!$C$9="",0,IF(ISNUMBER(SEARCH(Classifiers!$C$9,E16)),1,0))+IF(Classifiers!$D$9="",0,IF(ISNUMBER(SEARCH(Classifiers!$D$9,E16)),1,0))+IF(Classifiers!$E$9="",0,IF(ISNUMBER(SEARCH(Classifiers!$E$9,E16)),1,0))+IF(Classifiers!$F$9="",0,IF(ISNUMBER(SEARCH(Classifiers!$F$9,E16)),1,0))+IF(Classifiers!$G$9="",0,IF(ISNUMBER(SEARCH(Classifiers!$G$9,E16)),1,0)))&gt;0,1,0))</f>
        <v/>
      </c>
      <c r="O16" s="12">
        <f>IF(H16&lt;&gt;1,0,IF((IF(Classifiers!$B$10="",0,IF(ISNUMBER(SEARCH(Classifiers!$B$10,E16)),1,0))+IF(Classifiers!$C$10="",0,IF(ISNUMBER(SEARCH(Classifiers!$C$10,E16)),1,0))+IF(Classifiers!$D$10="",0,IF(ISNUMBER(SEARCH(Classifiers!$D$10,E16)),1,0))+IF(Classifiers!$E$10="",0,IF(ISNUMBER(SEARCH(Classifiers!$E$10,E16)),1,0))+IF(Classifiers!$F$10="",0,IF(ISNUMBER(SEARCH(Classifiers!$F$10,E16)),1,0))+IF(Classifiers!$G$10="",0,IF(ISNUMBER(SEARCH(Classifiers!$G$10,E16)),1,0)))&gt;0,1,0))</f>
        <v/>
      </c>
      <c r="P16" s="12">
        <f>IF(H16&lt;&gt;1,0,IF((IF(Classifiers!$B$11="",0,IF(ISNUMBER(SEARCH(Classifiers!$B$11,E16)),1,0))+IF(Classifiers!$C$11="",0,IF(ISNUMBER(SEARCH(Classifiers!$C$11,E16)),1,0))+IF(Classifiers!$D$11="",0,IF(ISNUMBER(SEARCH(Classifiers!$D$11,E16)),1,0))+IF(Classifiers!$E$11="",0,IF(ISNUMBER(SEARCH(Classifiers!$E$11,E16)),1,0))+IF(Classifiers!$F$11="",0,IF(ISNUMBER(SEARCH(Classifiers!$F$11,E16)),1,0))+IF(Classifiers!$G$11="",0,IF(ISNUMBER(SEARCH(Classifiers!$G$11,E16)),1,0)))&gt;0,1,0))</f>
        <v/>
      </c>
      <c r="Q16" s="12">
        <f>IF(H16&lt;&gt;1,0,IF((IF(Classifiers!$B$12="",0,IF(ISNUMBER(SEARCH(Classifiers!$B$12,E16)),1,0))+IF(Classifiers!$C$12="",0,IF(ISNUMBER(SEARCH(Classifiers!$C$12,E16)),1,0))+IF(Classifiers!$D$12="",0,IF(ISNUMBER(SEARCH(Classifiers!$D$12,E16)),1,0))+IF(Classifiers!$E$12="",0,IF(ISNUMBER(SEARCH(Classifiers!$E$12,E16)),1,0))+IF(Classifiers!$F$12="",0,IF(ISNUMBER(SEARCH(Classifiers!$F$12,E16)),1,0))+IF(Classifiers!$G$12="",0,IF(ISNUMBER(SEARCH(Classifiers!$G$12,E16)),1,0)))&gt;0,1,0))</f>
        <v/>
      </c>
      <c r="R16" s="12">
        <f>IF(H16&lt;&gt;1,0,IF((IF(Classifiers!$B$13="",0,IF(ISNUMBER(SEARCH(Classifiers!$B$13,E16)),1,0))+IF(Classifiers!$C$13="",0,IF(ISNUMBER(SEARCH(Classifiers!$C$13,E16)),1,0))+IF(Classifiers!$D$13="",0,IF(ISNUMBER(SEARCH(Classifiers!$D$13,E16)),1,0))+IF(Classifiers!$E$13="",0,IF(ISNUMBER(SEARCH(Classifiers!$E$13,E16)),1,0))+IF(Classifiers!$F$13="",0,IF(ISNUMBER(SEARCH(Classifiers!$F$13,E16)),1,0))+IF(Classifiers!$G$13="",0,IF(ISNUMBER(SEARCH(Classifiers!$G$13,E16)),1,0)))&gt;0,1,0))</f>
        <v/>
      </c>
      <c r="S16" s="12">
        <f>IF(H16&lt;&gt;1,0,IF((IF(Classifiers!$B$14="",0,IF(ISNUMBER(SEARCH(Classifiers!$B$14,E16)),1,0))+IF(Classifiers!$C$14="",0,IF(ISNUMBER(SEARCH(Classifiers!$C$14,E16)),1,0))+IF(Classifiers!$D$14="",0,IF(ISNUMBER(SEARCH(Classifiers!$D$14,E16)),1,0))+IF(Classifiers!$E$14="",0,IF(ISNUMBER(SEARCH(Classifiers!$E$14,E16)),1,0))+IF(Classifiers!$F$14="",0,IF(ISNUMBER(SEARCH(Classifiers!$F$14,E16)),1,0))+IF(Classifiers!$G$14="",0,IF(ISNUMBER(SEARCH(Classifiers!$G$14,E16)),1,0)))&gt;0,1,0))</f>
        <v/>
      </c>
      <c r="T16" s="12">
        <f>IF(H16&lt;&gt;1,0,IF((IF(Classifiers!$B$15="",0,IF(ISNUMBER(SEARCH(Classifiers!$B$15,E16)),1,0))+IF(Classifiers!$C$15="",0,IF(ISNUMBER(SEARCH(Classifiers!$C$15,E16)),1,0))+IF(Classifiers!$D$15="",0,IF(ISNUMBER(SEARCH(Classifiers!$D$15,E16)),1,0))+IF(Classifiers!$E$15="",0,IF(ISNUMBER(SEARCH(Classifiers!$E$15,E16)),1,0))+IF(Classifiers!$F$15="",0,IF(ISNUMBER(SEARCH(Classifiers!$F$15,E16)),1,0))+IF(Classifiers!$G$15="",0,IF(ISNUMBER(SEARCH(Classifiers!$G$15,E16)),1,0)))&gt;0,1,0))</f>
        <v/>
      </c>
      <c r="U16" s="12">
        <f>IF(H16&lt;&gt;1,0,IF((IF(Classifiers!$B$16="",0,IF(ISNUMBER(SEARCH(Classifiers!$B$16,E16)),1,0))+IF(Classifiers!$C$16="",0,IF(ISNUMBER(SEARCH(Classifiers!$C$16,E16)),1,0))+IF(Classifiers!$D$16="",0,IF(ISNUMBER(SEARCH(Classifiers!$D$16,E16)),1,0))+IF(Classifiers!$E$16="",0,IF(ISNUMBER(SEARCH(Classifiers!$E$16,E16)),1,0))+IF(Classifiers!$F$16="",0,IF(ISNUMBER(SEARCH(Classifiers!$F$16,E16)),1,0))+IF(Classifiers!$G$16="",0,IF(ISNUMBER(SEARCH(Classifiers!$G$16,E16)),1,0)))&gt;0,1,0))</f>
        <v/>
      </c>
      <c r="V16" s="12">
        <f>IF(H16&lt;&gt;1,0,IF((IF(Classifiers!$B$17="",0,IF(ISNUMBER(SEARCH(Classifiers!$B$17,E16)),1,0))+IF(Classifiers!$C$17="",0,IF(ISNUMBER(SEARCH(Classifiers!$C$17,E16)),1,0))+IF(Classifiers!$D$17="",0,IF(ISNUMBER(SEARCH(Classifiers!$D$17,E16)),1,0))+IF(Classifiers!$E$17="",0,IF(ISNUMBER(SEARCH(Classifiers!$E$17,E16)),1,0))+IF(Classifiers!$F$17="",0,IF(ISNUMBER(SEARCH(Classifiers!$F$17,E16)),1,0))+IF(Classifiers!$G$17="",0,IF(ISNUMBER(SEARCH(Classifiers!$G$17,E16)),1,0)))&gt;0,1,0))</f>
        <v/>
      </c>
      <c r="W16" s="12">
        <f>IF(H16&lt;&gt;1,0,IF((IF(Classifiers!$B$18="",0,IF(ISNUMBER(SEARCH(Classifiers!$B$18,E16)),1,0))+IF(Classifiers!$C$18="",0,IF(ISNUMBER(SEARCH(Classifiers!$C$18,E16)),1,0))+IF(Classifiers!$D$18="",0,IF(ISNUMBER(SEARCH(Classifiers!$D$18,E16)),1,0))+IF(Classifiers!$E$18="",0,IF(ISNUMBER(SEARCH(Classifiers!$E$18,E16)),1,0))+IF(Classifiers!$F$18="",0,IF(ISNUMBER(SEARCH(Classifiers!$F$18,E16)),1,0))+IF(Classifiers!$G$18="",0,IF(ISNUMBER(SEARCH(Classifiers!$G$18,E16)),1,0)))&gt;0,1,0))</f>
        <v/>
      </c>
    </row>
    <row r="17">
      <c r="A17" s="8" t="n"/>
      <c r="B17" s="11" t="n"/>
      <c r="C17" s="6">
        <f>IF(A17="","",TRIM(RIGHT(SUBSTITUTE(A17,"/",REPT(" ",250)),250)))</f>
        <v/>
      </c>
      <c r="D17" s="6">
        <f>IF(C17="","",IF(ISNUMBER(SEARCH(".",C17)),LOWER("."&amp;TRIM(RIGHT(SUBSTITUTE(C17,".",REPT(" ",250)),250))),""))</f>
        <v/>
      </c>
      <c r="E17" s="6">
        <f>IF(C17="","",TRIM(SUBSTITUTE(SUBSTITUTE(SUBSTITUTE(SUBSTITUTE(SUBSTITUTE(SUBSTITUTE(SUBSTITUTE(SUBSTITUTE(SUBSTITUTE(SUBSTITUTE(SUBSTITUTE(SUBSTITUTE(SUBSTITUTE(SUBSTITUTE(SUBSTITUTE(SUBSTITUTE(SUBSTITUTE(SUBSTITUTE(SUBSTITUTE(SUBSTITUTE(LOWER(LEFT(C17,LEN(C17)-LEN(D17))),"_"," "),"-"," "),"."," "),","," "),"("," "),")"," "),"["," "),"]"," "),"&amp;"," "),"+"," "),"@"," "),"#"," "),"!"," "),"'"," "),"/"," "),":"," "),";"," "),"="," "),"~"," "),"%"," ")))</f>
        <v/>
      </c>
      <c r="F17" s="6">
        <f>IF(C17="","",IF(COUNTIF(Classifiers!$A$23:$A$40,D17)&gt;0,1,0))</f>
        <v/>
      </c>
      <c r="G17" s="6">
        <f>IF(C17="","",IF(COUNTIF(Classifiers!$C$23:$C$30,D17)&gt;0,IF((IF(ISNUMBER(SEARCH(Classifiers!$E$23,E17)),1,0)+IF(ISNUMBER(SEARCH(Classifiers!$E$24,E17)),1,0)+IF(ISNUMBER(SEARCH(Classifiers!$E$25,E17)),1,0)+IF(ISNUMBER(SEARCH(Classifiers!$E$26,E17)),1,0)+IF(ISNUMBER(SEARCH(Classifiers!$E$27,E17)),1,0)+IF(ISNUMBER(SEARCH(Classifiers!$E$28,E17)),1,0)+IF(ISNUMBER(SEARCH(Classifiers!$E$29,E17)),1,0)+IF(ISNUMBER(SEARCH(Classifiers!$E$30,E17)),1,0))&gt;0,1,0),0))</f>
        <v/>
      </c>
      <c r="H17" s="6">
        <f>IF(C17="","",IF(OR(LEFT(C17,1)=".",AND(F17=0,G17=0)),0,1))</f>
        <v/>
      </c>
      <c r="I17" s="6">
        <f>IF(H17&lt;&gt;1,"",IF(SUM(J17:W17)=0,"unclassified",INDEX(Classifiers!$A$5:$A$18,MATCH(1,J17:W17,0),1)))</f>
        <v/>
      </c>
      <c r="J17" s="12">
        <f>IF(H17&lt;&gt;1,0,IF((IF(Classifiers!$B$5="",0,IF(ISNUMBER(SEARCH(Classifiers!$B$5,E17)),1,0))+IF(Classifiers!$C$5="",0,IF(ISNUMBER(SEARCH(Classifiers!$C$5,E17)),1,0))+IF(Classifiers!$D$5="",0,IF(ISNUMBER(SEARCH(Classifiers!$D$5,E17)),1,0))+IF(Classifiers!$E$5="",0,IF(ISNUMBER(SEARCH(Classifiers!$E$5,E17)),1,0))+IF(Classifiers!$F$5="",0,IF(ISNUMBER(SEARCH(Classifiers!$F$5,E17)),1,0))+IF(Classifiers!$G$5="",0,IF(ISNUMBER(SEARCH(Classifiers!$G$5,E17)),1,0)))&gt;0,1,0))</f>
        <v/>
      </c>
      <c r="K17" s="12">
        <f>IF(H17&lt;&gt;1,0,IF((IF(Classifiers!$B$6="",0,IF(ISNUMBER(SEARCH(Classifiers!$B$6,E17)),1,0))+IF(Classifiers!$C$6="",0,IF(ISNUMBER(SEARCH(Classifiers!$C$6,E17)),1,0))+IF(Classifiers!$D$6="",0,IF(ISNUMBER(SEARCH(Classifiers!$D$6,E17)),1,0))+IF(Classifiers!$E$6="",0,IF(ISNUMBER(SEARCH(Classifiers!$E$6,E17)),1,0))+IF(Classifiers!$F$6="",0,IF(ISNUMBER(SEARCH(Classifiers!$F$6,E17)),1,0))+IF(Classifiers!$G$6="",0,IF(ISNUMBER(SEARCH(Classifiers!$G$6,E17)),1,0)))&gt;0,1,0))</f>
        <v/>
      </c>
      <c r="L17" s="12">
        <f>IF(H17&lt;&gt;1,0,IF((IF(Classifiers!$B$7="",0,IF(ISNUMBER(SEARCH(Classifiers!$B$7,E17)),1,0))+IF(Classifiers!$C$7="",0,IF(ISNUMBER(SEARCH(Classifiers!$C$7,E17)),1,0))+IF(Classifiers!$D$7="",0,IF(ISNUMBER(SEARCH(Classifiers!$D$7,E17)),1,0))+IF(Classifiers!$E$7="",0,IF(ISNUMBER(SEARCH(Classifiers!$E$7,E17)),1,0))+IF(Classifiers!$F$7="",0,IF(ISNUMBER(SEARCH(Classifiers!$F$7,E17)),1,0))+IF(Classifiers!$G$7="",0,IF(ISNUMBER(SEARCH(Classifiers!$G$7,E17)),1,0)))&gt;0,1,0))</f>
        <v/>
      </c>
      <c r="M17" s="12">
        <f>IF(H17&lt;&gt;1,0,IF((IF(Classifiers!$B$8="",0,IF(ISNUMBER(SEARCH(Classifiers!$B$8,E17)),1,0))+IF(Classifiers!$C$8="",0,IF(ISNUMBER(SEARCH(Classifiers!$C$8,E17)),1,0))+IF(Classifiers!$D$8="",0,IF(ISNUMBER(SEARCH(Classifiers!$D$8,E17)),1,0))+IF(Classifiers!$E$8="",0,IF(ISNUMBER(SEARCH(Classifiers!$E$8,E17)),1,0))+IF(Classifiers!$F$8="",0,IF(ISNUMBER(SEARCH(Classifiers!$F$8,E17)),1,0))+IF(Classifiers!$G$8="",0,IF(ISNUMBER(SEARCH(Classifiers!$G$8,E17)),1,0)))&gt;0,1,0))</f>
        <v/>
      </c>
      <c r="N17" s="12">
        <f>IF(H17&lt;&gt;1,0,IF((IF(Classifiers!$B$9="",0,IF(ISNUMBER(SEARCH(Classifiers!$B$9,E17)),1,0))+IF(Classifiers!$C$9="",0,IF(ISNUMBER(SEARCH(Classifiers!$C$9,E17)),1,0))+IF(Classifiers!$D$9="",0,IF(ISNUMBER(SEARCH(Classifiers!$D$9,E17)),1,0))+IF(Classifiers!$E$9="",0,IF(ISNUMBER(SEARCH(Classifiers!$E$9,E17)),1,0))+IF(Classifiers!$F$9="",0,IF(ISNUMBER(SEARCH(Classifiers!$F$9,E17)),1,0))+IF(Classifiers!$G$9="",0,IF(ISNUMBER(SEARCH(Classifiers!$G$9,E17)),1,0)))&gt;0,1,0))</f>
        <v/>
      </c>
      <c r="O17" s="12">
        <f>IF(H17&lt;&gt;1,0,IF((IF(Classifiers!$B$10="",0,IF(ISNUMBER(SEARCH(Classifiers!$B$10,E17)),1,0))+IF(Classifiers!$C$10="",0,IF(ISNUMBER(SEARCH(Classifiers!$C$10,E17)),1,0))+IF(Classifiers!$D$10="",0,IF(ISNUMBER(SEARCH(Classifiers!$D$10,E17)),1,0))+IF(Classifiers!$E$10="",0,IF(ISNUMBER(SEARCH(Classifiers!$E$10,E17)),1,0))+IF(Classifiers!$F$10="",0,IF(ISNUMBER(SEARCH(Classifiers!$F$10,E17)),1,0))+IF(Classifiers!$G$10="",0,IF(ISNUMBER(SEARCH(Classifiers!$G$10,E17)),1,0)))&gt;0,1,0))</f>
        <v/>
      </c>
      <c r="P17" s="12">
        <f>IF(H17&lt;&gt;1,0,IF((IF(Classifiers!$B$11="",0,IF(ISNUMBER(SEARCH(Classifiers!$B$11,E17)),1,0))+IF(Classifiers!$C$11="",0,IF(ISNUMBER(SEARCH(Classifiers!$C$11,E17)),1,0))+IF(Classifiers!$D$11="",0,IF(ISNUMBER(SEARCH(Classifiers!$D$11,E17)),1,0))+IF(Classifiers!$E$11="",0,IF(ISNUMBER(SEARCH(Classifiers!$E$11,E17)),1,0))+IF(Classifiers!$F$11="",0,IF(ISNUMBER(SEARCH(Classifiers!$F$11,E17)),1,0))+IF(Classifiers!$G$11="",0,IF(ISNUMBER(SEARCH(Classifiers!$G$11,E17)),1,0)))&gt;0,1,0))</f>
        <v/>
      </c>
      <c r="Q17" s="12">
        <f>IF(H17&lt;&gt;1,0,IF((IF(Classifiers!$B$12="",0,IF(ISNUMBER(SEARCH(Classifiers!$B$12,E17)),1,0))+IF(Classifiers!$C$12="",0,IF(ISNUMBER(SEARCH(Classifiers!$C$12,E17)),1,0))+IF(Classifiers!$D$12="",0,IF(ISNUMBER(SEARCH(Classifiers!$D$12,E17)),1,0))+IF(Classifiers!$E$12="",0,IF(ISNUMBER(SEARCH(Classifiers!$E$12,E17)),1,0))+IF(Classifiers!$F$12="",0,IF(ISNUMBER(SEARCH(Classifiers!$F$12,E17)),1,0))+IF(Classifiers!$G$12="",0,IF(ISNUMBER(SEARCH(Classifiers!$G$12,E17)),1,0)))&gt;0,1,0))</f>
        <v/>
      </c>
      <c r="R17" s="12">
        <f>IF(H17&lt;&gt;1,0,IF((IF(Classifiers!$B$13="",0,IF(ISNUMBER(SEARCH(Classifiers!$B$13,E17)),1,0))+IF(Classifiers!$C$13="",0,IF(ISNUMBER(SEARCH(Classifiers!$C$13,E17)),1,0))+IF(Classifiers!$D$13="",0,IF(ISNUMBER(SEARCH(Classifiers!$D$13,E17)),1,0))+IF(Classifiers!$E$13="",0,IF(ISNUMBER(SEARCH(Classifiers!$E$13,E17)),1,0))+IF(Classifiers!$F$13="",0,IF(ISNUMBER(SEARCH(Classifiers!$F$13,E17)),1,0))+IF(Classifiers!$G$13="",0,IF(ISNUMBER(SEARCH(Classifiers!$G$13,E17)),1,0)))&gt;0,1,0))</f>
        <v/>
      </c>
      <c r="S17" s="12">
        <f>IF(H17&lt;&gt;1,0,IF((IF(Classifiers!$B$14="",0,IF(ISNUMBER(SEARCH(Classifiers!$B$14,E17)),1,0))+IF(Classifiers!$C$14="",0,IF(ISNUMBER(SEARCH(Classifiers!$C$14,E17)),1,0))+IF(Classifiers!$D$14="",0,IF(ISNUMBER(SEARCH(Classifiers!$D$14,E17)),1,0))+IF(Classifiers!$E$14="",0,IF(ISNUMBER(SEARCH(Classifiers!$E$14,E17)),1,0))+IF(Classifiers!$F$14="",0,IF(ISNUMBER(SEARCH(Classifiers!$F$14,E17)),1,0))+IF(Classifiers!$G$14="",0,IF(ISNUMBER(SEARCH(Classifiers!$G$14,E17)),1,0)))&gt;0,1,0))</f>
        <v/>
      </c>
      <c r="T17" s="12">
        <f>IF(H17&lt;&gt;1,0,IF((IF(Classifiers!$B$15="",0,IF(ISNUMBER(SEARCH(Classifiers!$B$15,E17)),1,0))+IF(Classifiers!$C$15="",0,IF(ISNUMBER(SEARCH(Classifiers!$C$15,E17)),1,0))+IF(Classifiers!$D$15="",0,IF(ISNUMBER(SEARCH(Classifiers!$D$15,E17)),1,0))+IF(Classifiers!$E$15="",0,IF(ISNUMBER(SEARCH(Classifiers!$E$15,E17)),1,0))+IF(Classifiers!$F$15="",0,IF(ISNUMBER(SEARCH(Classifiers!$F$15,E17)),1,0))+IF(Classifiers!$G$15="",0,IF(ISNUMBER(SEARCH(Classifiers!$G$15,E17)),1,0)))&gt;0,1,0))</f>
        <v/>
      </c>
      <c r="U17" s="12">
        <f>IF(H17&lt;&gt;1,0,IF((IF(Classifiers!$B$16="",0,IF(ISNUMBER(SEARCH(Classifiers!$B$16,E17)),1,0))+IF(Classifiers!$C$16="",0,IF(ISNUMBER(SEARCH(Classifiers!$C$16,E17)),1,0))+IF(Classifiers!$D$16="",0,IF(ISNUMBER(SEARCH(Classifiers!$D$16,E17)),1,0))+IF(Classifiers!$E$16="",0,IF(ISNUMBER(SEARCH(Classifiers!$E$16,E17)),1,0))+IF(Classifiers!$F$16="",0,IF(ISNUMBER(SEARCH(Classifiers!$F$16,E17)),1,0))+IF(Classifiers!$G$16="",0,IF(ISNUMBER(SEARCH(Classifiers!$G$16,E17)),1,0)))&gt;0,1,0))</f>
        <v/>
      </c>
      <c r="V17" s="12">
        <f>IF(H17&lt;&gt;1,0,IF((IF(Classifiers!$B$17="",0,IF(ISNUMBER(SEARCH(Classifiers!$B$17,E17)),1,0))+IF(Classifiers!$C$17="",0,IF(ISNUMBER(SEARCH(Classifiers!$C$17,E17)),1,0))+IF(Classifiers!$D$17="",0,IF(ISNUMBER(SEARCH(Classifiers!$D$17,E17)),1,0))+IF(Classifiers!$E$17="",0,IF(ISNUMBER(SEARCH(Classifiers!$E$17,E17)),1,0))+IF(Classifiers!$F$17="",0,IF(ISNUMBER(SEARCH(Classifiers!$F$17,E17)),1,0))+IF(Classifiers!$G$17="",0,IF(ISNUMBER(SEARCH(Classifiers!$G$17,E17)),1,0)))&gt;0,1,0))</f>
        <v/>
      </c>
      <c r="W17" s="12">
        <f>IF(H17&lt;&gt;1,0,IF((IF(Classifiers!$B$18="",0,IF(ISNUMBER(SEARCH(Classifiers!$B$18,E17)),1,0))+IF(Classifiers!$C$18="",0,IF(ISNUMBER(SEARCH(Classifiers!$C$18,E17)),1,0))+IF(Classifiers!$D$18="",0,IF(ISNUMBER(SEARCH(Classifiers!$D$18,E17)),1,0))+IF(Classifiers!$E$18="",0,IF(ISNUMBER(SEARCH(Classifiers!$E$18,E17)),1,0))+IF(Classifiers!$F$18="",0,IF(ISNUMBER(SEARCH(Classifiers!$F$18,E17)),1,0))+IF(Classifiers!$G$18="",0,IF(ISNUMBER(SEARCH(Classifiers!$G$18,E17)),1,0)))&gt;0,1,0))</f>
        <v/>
      </c>
    </row>
    <row r="18">
      <c r="A18" s="8" t="n"/>
      <c r="B18" s="11" t="n"/>
      <c r="C18" s="6">
        <f>IF(A18="","",TRIM(RIGHT(SUBSTITUTE(A18,"/",REPT(" ",250)),250)))</f>
        <v/>
      </c>
      <c r="D18" s="6">
        <f>IF(C18="","",IF(ISNUMBER(SEARCH(".",C18)),LOWER("."&amp;TRIM(RIGHT(SUBSTITUTE(C18,".",REPT(" ",250)),250))),""))</f>
        <v/>
      </c>
      <c r="E18" s="6">
        <f>IF(C18="","",TRIM(SUBSTITUTE(SUBSTITUTE(SUBSTITUTE(SUBSTITUTE(SUBSTITUTE(SUBSTITUTE(SUBSTITUTE(SUBSTITUTE(SUBSTITUTE(SUBSTITUTE(SUBSTITUTE(SUBSTITUTE(SUBSTITUTE(SUBSTITUTE(SUBSTITUTE(SUBSTITUTE(SUBSTITUTE(SUBSTITUTE(SUBSTITUTE(SUBSTITUTE(LOWER(LEFT(C18,LEN(C18)-LEN(D18))),"_"," "),"-"," "),"."," "),","," "),"("," "),")"," "),"["," "),"]"," "),"&amp;"," "),"+"," "),"@"," "),"#"," "),"!"," "),"'"," "),"/"," "),":"," "),";"," "),"="," "),"~"," "),"%"," ")))</f>
        <v/>
      </c>
      <c r="F18" s="6">
        <f>IF(C18="","",IF(COUNTIF(Classifiers!$A$23:$A$40,D18)&gt;0,1,0))</f>
        <v/>
      </c>
      <c r="G18" s="6">
        <f>IF(C18="","",IF(COUNTIF(Classifiers!$C$23:$C$30,D18)&gt;0,IF((IF(ISNUMBER(SEARCH(Classifiers!$E$23,E18)),1,0)+IF(ISNUMBER(SEARCH(Classifiers!$E$24,E18)),1,0)+IF(ISNUMBER(SEARCH(Classifiers!$E$25,E18)),1,0)+IF(ISNUMBER(SEARCH(Classifiers!$E$26,E18)),1,0)+IF(ISNUMBER(SEARCH(Classifiers!$E$27,E18)),1,0)+IF(ISNUMBER(SEARCH(Classifiers!$E$28,E18)),1,0)+IF(ISNUMBER(SEARCH(Classifiers!$E$29,E18)),1,0)+IF(ISNUMBER(SEARCH(Classifiers!$E$30,E18)),1,0))&gt;0,1,0),0))</f>
        <v/>
      </c>
      <c r="H18" s="6">
        <f>IF(C18="","",IF(OR(LEFT(C18,1)=".",AND(F18=0,G18=0)),0,1))</f>
        <v/>
      </c>
      <c r="I18" s="6">
        <f>IF(H18&lt;&gt;1,"",IF(SUM(J18:W18)=0,"unclassified",INDEX(Classifiers!$A$5:$A$18,MATCH(1,J18:W18,0),1)))</f>
        <v/>
      </c>
      <c r="J18" s="12">
        <f>IF(H18&lt;&gt;1,0,IF((IF(Classifiers!$B$5="",0,IF(ISNUMBER(SEARCH(Classifiers!$B$5,E18)),1,0))+IF(Classifiers!$C$5="",0,IF(ISNUMBER(SEARCH(Classifiers!$C$5,E18)),1,0))+IF(Classifiers!$D$5="",0,IF(ISNUMBER(SEARCH(Classifiers!$D$5,E18)),1,0))+IF(Classifiers!$E$5="",0,IF(ISNUMBER(SEARCH(Classifiers!$E$5,E18)),1,0))+IF(Classifiers!$F$5="",0,IF(ISNUMBER(SEARCH(Classifiers!$F$5,E18)),1,0))+IF(Classifiers!$G$5="",0,IF(ISNUMBER(SEARCH(Classifiers!$G$5,E18)),1,0)))&gt;0,1,0))</f>
        <v/>
      </c>
      <c r="K18" s="12">
        <f>IF(H18&lt;&gt;1,0,IF((IF(Classifiers!$B$6="",0,IF(ISNUMBER(SEARCH(Classifiers!$B$6,E18)),1,0))+IF(Classifiers!$C$6="",0,IF(ISNUMBER(SEARCH(Classifiers!$C$6,E18)),1,0))+IF(Classifiers!$D$6="",0,IF(ISNUMBER(SEARCH(Classifiers!$D$6,E18)),1,0))+IF(Classifiers!$E$6="",0,IF(ISNUMBER(SEARCH(Classifiers!$E$6,E18)),1,0))+IF(Classifiers!$F$6="",0,IF(ISNUMBER(SEARCH(Classifiers!$F$6,E18)),1,0))+IF(Classifiers!$G$6="",0,IF(ISNUMBER(SEARCH(Classifiers!$G$6,E18)),1,0)))&gt;0,1,0))</f>
        <v/>
      </c>
      <c r="L18" s="12">
        <f>IF(H18&lt;&gt;1,0,IF((IF(Classifiers!$B$7="",0,IF(ISNUMBER(SEARCH(Classifiers!$B$7,E18)),1,0))+IF(Classifiers!$C$7="",0,IF(ISNUMBER(SEARCH(Classifiers!$C$7,E18)),1,0))+IF(Classifiers!$D$7="",0,IF(ISNUMBER(SEARCH(Classifiers!$D$7,E18)),1,0))+IF(Classifiers!$E$7="",0,IF(ISNUMBER(SEARCH(Classifiers!$E$7,E18)),1,0))+IF(Classifiers!$F$7="",0,IF(ISNUMBER(SEARCH(Classifiers!$F$7,E18)),1,0))+IF(Classifiers!$G$7="",0,IF(ISNUMBER(SEARCH(Classifiers!$G$7,E18)),1,0)))&gt;0,1,0))</f>
        <v/>
      </c>
      <c r="M18" s="12">
        <f>IF(H18&lt;&gt;1,0,IF((IF(Classifiers!$B$8="",0,IF(ISNUMBER(SEARCH(Classifiers!$B$8,E18)),1,0))+IF(Classifiers!$C$8="",0,IF(ISNUMBER(SEARCH(Classifiers!$C$8,E18)),1,0))+IF(Classifiers!$D$8="",0,IF(ISNUMBER(SEARCH(Classifiers!$D$8,E18)),1,0))+IF(Classifiers!$E$8="",0,IF(ISNUMBER(SEARCH(Classifiers!$E$8,E18)),1,0))+IF(Classifiers!$F$8="",0,IF(ISNUMBER(SEARCH(Classifiers!$F$8,E18)),1,0))+IF(Classifiers!$G$8="",0,IF(ISNUMBER(SEARCH(Classifiers!$G$8,E18)),1,0)))&gt;0,1,0))</f>
        <v/>
      </c>
      <c r="N18" s="12">
        <f>IF(H18&lt;&gt;1,0,IF((IF(Classifiers!$B$9="",0,IF(ISNUMBER(SEARCH(Classifiers!$B$9,E18)),1,0))+IF(Classifiers!$C$9="",0,IF(ISNUMBER(SEARCH(Classifiers!$C$9,E18)),1,0))+IF(Classifiers!$D$9="",0,IF(ISNUMBER(SEARCH(Classifiers!$D$9,E18)),1,0))+IF(Classifiers!$E$9="",0,IF(ISNUMBER(SEARCH(Classifiers!$E$9,E18)),1,0))+IF(Classifiers!$F$9="",0,IF(ISNUMBER(SEARCH(Classifiers!$F$9,E18)),1,0))+IF(Classifiers!$G$9="",0,IF(ISNUMBER(SEARCH(Classifiers!$G$9,E18)),1,0)))&gt;0,1,0))</f>
        <v/>
      </c>
      <c r="O18" s="12">
        <f>IF(H18&lt;&gt;1,0,IF((IF(Classifiers!$B$10="",0,IF(ISNUMBER(SEARCH(Classifiers!$B$10,E18)),1,0))+IF(Classifiers!$C$10="",0,IF(ISNUMBER(SEARCH(Classifiers!$C$10,E18)),1,0))+IF(Classifiers!$D$10="",0,IF(ISNUMBER(SEARCH(Classifiers!$D$10,E18)),1,0))+IF(Classifiers!$E$10="",0,IF(ISNUMBER(SEARCH(Classifiers!$E$10,E18)),1,0))+IF(Classifiers!$F$10="",0,IF(ISNUMBER(SEARCH(Classifiers!$F$10,E18)),1,0))+IF(Classifiers!$G$10="",0,IF(ISNUMBER(SEARCH(Classifiers!$G$10,E18)),1,0)))&gt;0,1,0))</f>
        <v/>
      </c>
      <c r="P18" s="12">
        <f>IF(H18&lt;&gt;1,0,IF((IF(Classifiers!$B$11="",0,IF(ISNUMBER(SEARCH(Classifiers!$B$11,E18)),1,0))+IF(Classifiers!$C$11="",0,IF(ISNUMBER(SEARCH(Classifiers!$C$11,E18)),1,0))+IF(Classifiers!$D$11="",0,IF(ISNUMBER(SEARCH(Classifiers!$D$11,E18)),1,0))+IF(Classifiers!$E$11="",0,IF(ISNUMBER(SEARCH(Classifiers!$E$11,E18)),1,0))+IF(Classifiers!$F$11="",0,IF(ISNUMBER(SEARCH(Classifiers!$F$11,E18)),1,0))+IF(Classifiers!$G$11="",0,IF(ISNUMBER(SEARCH(Classifiers!$G$11,E18)),1,0)))&gt;0,1,0))</f>
        <v/>
      </c>
      <c r="Q18" s="12">
        <f>IF(H18&lt;&gt;1,0,IF((IF(Classifiers!$B$12="",0,IF(ISNUMBER(SEARCH(Classifiers!$B$12,E18)),1,0))+IF(Classifiers!$C$12="",0,IF(ISNUMBER(SEARCH(Classifiers!$C$12,E18)),1,0))+IF(Classifiers!$D$12="",0,IF(ISNUMBER(SEARCH(Classifiers!$D$12,E18)),1,0))+IF(Classifiers!$E$12="",0,IF(ISNUMBER(SEARCH(Classifiers!$E$12,E18)),1,0))+IF(Classifiers!$F$12="",0,IF(ISNUMBER(SEARCH(Classifiers!$F$12,E18)),1,0))+IF(Classifiers!$G$12="",0,IF(ISNUMBER(SEARCH(Classifiers!$G$12,E18)),1,0)))&gt;0,1,0))</f>
        <v/>
      </c>
      <c r="R18" s="12">
        <f>IF(H18&lt;&gt;1,0,IF((IF(Classifiers!$B$13="",0,IF(ISNUMBER(SEARCH(Classifiers!$B$13,E18)),1,0))+IF(Classifiers!$C$13="",0,IF(ISNUMBER(SEARCH(Classifiers!$C$13,E18)),1,0))+IF(Classifiers!$D$13="",0,IF(ISNUMBER(SEARCH(Classifiers!$D$13,E18)),1,0))+IF(Classifiers!$E$13="",0,IF(ISNUMBER(SEARCH(Classifiers!$E$13,E18)),1,0))+IF(Classifiers!$F$13="",0,IF(ISNUMBER(SEARCH(Classifiers!$F$13,E18)),1,0))+IF(Classifiers!$G$13="",0,IF(ISNUMBER(SEARCH(Classifiers!$G$13,E18)),1,0)))&gt;0,1,0))</f>
        <v/>
      </c>
      <c r="S18" s="12">
        <f>IF(H18&lt;&gt;1,0,IF((IF(Classifiers!$B$14="",0,IF(ISNUMBER(SEARCH(Classifiers!$B$14,E18)),1,0))+IF(Classifiers!$C$14="",0,IF(ISNUMBER(SEARCH(Classifiers!$C$14,E18)),1,0))+IF(Classifiers!$D$14="",0,IF(ISNUMBER(SEARCH(Classifiers!$D$14,E18)),1,0))+IF(Classifiers!$E$14="",0,IF(ISNUMBER(SEARCH(Classifiers!$E$14,E18)),1,0))+IF(Classifiers!$F$14="",0,IF(ISNUMBER(SEARCH(Classifiers!$F$14,E18)),1,0))+IF(Classifiers!$G$14="",0,IF(ISNUMBER(SEARCH(Classifiers!$G$14,E18)),1,0)))&gt;0,1,0))</f>
        <v/>
      </c>
      <c r="T18" s="12">
        <f>IF(H18&lt;&gt;1,0,IF((IF(Classifiers!$B$15="",0,IF(ISNUMBER(SEARCH(Classifiers!$B$15,E18)),1,0))+IF(Classifiers!$C$15="",0,IF(ISNUMBER(SEARCH(Classifiers!$C$15,E18)),1,0))+IF(Classifiers!$D$15="",0,IF(ISNUMBER(SEARCH(Classifiers!$D$15,E18)),1,0))+IF(Classifiers!$E$15="",0,IF(ISNUMBER(SEARCH(Classifiers!$E$15,E18)),1,0))+IF(Classifiers!$F$15="",0,IF(ISNUMBER(SEARCH(Classifiers!$F$15,E18)),1,0))+IF(Classifiers!$G$15="",0,IF(ISNUMBER(SEARCH(Classifiers!$G$15,E18)),1,0)))&gt;0,1,0))</f>
        <v/>
      </c>
      <c r="U18" s="12">
        <f>IF(H18&lt;&gt;1,0,IF((IF(Classifiers!$B$16="",0,IF(ISNUMBER(SEARCH(Classifiers!$B$16,E18)),1,0))+IF(Classifiers!$C$16="",0,IF(ISNUMBER(SEARCH(Classifiers!$C$16,E18)),1,0))+IF(Classifiers!$D$16="",0,IF(ISNUMBER(SEARCH(Classifiers!$D$16,E18)),1,0))+IF(Classifiers!$E$16="",0,IF(ISNUMBER(SEARCH(Classifiers!$E$16,E18)),1,0))+IF(Classifiers!$F$16="",0,IF(ISNUMBER(SEARCH(Classifiers!$F$16,E18)),1,0))+IF(Classifiers!$G$16="",0,IF(ISNUMBER(SEARCH(Classifiers!$G$16,E18)),1,0)))&gt;0,1,0))</f>
        <v/>
      </c>
      <c r="V18" s="12">
        <f>IF(H18&lt;&gt;1,0,IF((IF(Classifiers!$B$17="",0,IF(ISNUMBER(SEARCH(Classifiers!$B$17,E18)),1,0))+IF(Classifiers!$C$17="",0,IF(ISNUMBER(SEARCH(Classifiers!$C$17,E18)),1,0))+IF(Classifiers!$D$17="",0,IF(ISNUMBER(SEARCH(Classifiers!$D$17,E18)),1,0))+IF(Classifiers!$E$17="",0,IF(ISNUMBER(SEARCH(Classifiers!$E$17,E18)),1,0))+IF(Classifiers!$F$17="",0,IF(ISNUMBER(SEARCH(Classifiers!$F$17,E18)),1,0))+IF(Classifiers!$G$17="",0,IF(ISNUMBER(SEARCH(Classifiers!$G$17,E18)),1,0)))&gt;0,1,0))</f>
        <v/>
      </c>
      <c r="W18" s="12">
        <f>IF(H18&lt;&gt;1,0,IF((IF(Classifiers!$B$18="",0,IF(ISNUMBER(SEARCH(Classifiers!$B$18,E18)),1,0))+IF(Classifiers!$C$18="",0,IF(ISNUMBER(SEARCH(Classifiers!$C$18,E18)),1,0))+IF(Classifiers!$D$18="",0,IF(ISNUMBER(SEARCH(Classifiers!$D$18,E18)),1,0))+IF(Classifiers!$E$18="",0,IF(ISNUMBER(SEARCH(Classifiers!$E$18,E18)),1,0))+IF(Classifiers!$F$18="",0,IF(ISNUMBER(SEARCH(Classifiers!$F$18,E18)),1,0))+IF(Classifiers!$G$18="",0,IF(ISNUMBER(SEARCH(Classifiers!$G$18,E18)),1,0)))&gt;0,1,0))</f>
        <v/>
      </c>
    </row>
    <row r="19">
      <c r="A19" s="8" t="n"/>
      <c r="B19" s="11" t="n"/>
      <c r="C19" s="6">
        <f>IF(A19="","",TRIM(RIGHT(SUBSTITUTE(A19,"/",REPT(" ",250)),250)))</f>
        <v/>
      </c>
      <c r="D19" s="6">
        <f>IF(C19="","",IF(ISNUMBER(SEARCH(".",C19)),LOWER("."&amp;TRIM(RIGHT(SUBSTITUTE(C19,".",REPT(" ",250)),250))),""))</f>
        <v/>
      </c>
      <c r="E19" s="6">
        <f>IF(C19="","",TRIM(SUBSTITUTE(SUBSTITUTE(SUBSTITUTE(SUBSTITUTE(SUBSTITUTE(SUBSTITUTE(SUBSTITUTE(SUBSTITUTE(SUBSTITUTE(SUBSTITUTE(SUBSTITUTE(SUBSTITUTE(SUBSTITUTE(SUBSTITUTE(SUBSTITUTE(SUBSTITUTE(SUBSTITUTE(SUBSTITUTE(SUBSTITUTE(SUBSTITUTE(LOWER(LEFT(C19,LEN(C19)-LEN(D19))),"_"," "),"-"," "),"."," "),","," "),"("," "),")"," "),"["," "),"]"," "),"&amp;"," "),"+"," "),"@"," "),"#"," "),"!"," "),"'"," "),"/"," "),":"," "),";"," "),"="," "),"~"," "),"%"," ")))</f>
        <v/>
      </c>
      <c r="F19" s="6">
        <f>IF(C19="","",IF(COUNTIF(Classifiers!$A$23:$A$40,D19)&gt;0,1,0))</f>
        <v/>
      </c>
      <c r="G19" s="6">
        <f>IF(C19="","",IF(COUNTIF(Classifiers!$C$23:$C$30,D19)&gt;0,IF((IF(ISNUMBER(SEARCH(Classifiers!$E$23,E19)),1,0)+IF(ISNUMBER(SEARCH(Classifiers!$E$24,E19)),1,0)+IF(ISNUMBER(SEARCH(Classifiers!$E$25,E19)),1,0)+IF(ISNUMBER(SEARCH(Classifiers!$E$26,E19)),1,0)+IF(ISNUMBER(SEARCH(Classifiers!$E$27,E19)),1,0)+IF(ISNUMBER(SEARCH(Classifiers!$E$28,E19)),1,0)+IF(ISNUMBER(SEARCH(Classifiers!$E$29,E19)),1,0)+IF(ISNUMBER(SEARCH(Classifiers!$E$30,E19)),1,0))&gt;0,1,0),0))</f>
        <v/>
      </c>
      <c r="H19" s="6">
        <f>IF(C19="","",IF(OR(LEFT(C19,1)=".",AND(F19=0,G19=0)),0,1))</f>
        <v/>
      </c>
      <c r="I19" s="6">
        <f>IF(H19&lt;&gt;1,"",IF(SUM(J19:W19)=0,"unclassified",INDEX(Classifiers!$A$5:$A$18,MATCH(1,J19:W19,0),1)))</f>
        <v/>
      </c>
      <c r="J19" s="12">
        <f>IF(H19&lt;&gt;1,0,IF((IF(Classifiers!$B$5="",0,IF(ISNUMBER(SEARCH(Classifiers!$B$5,E19)),1,0))+IF(Classifiers!$C$5="",0,IF(ISNUMBER(SEARCH(Classifiers!$C$5,E19)),1,0))+IF(Classifiers!$D$5="",0,IF(ISNUMBER(SEARCH(Classifiers!$D$5,E19)),1,0))+IF(Classifiers!$E$5="",0,IF(ISNUMBER(SEARCH(Classifiers!$E$5,E19)),1,0))+IF(Classifiers!$F$5="",0,IF(ISNUMBER(SEARCH(Classifiers!$F$5,E19)),1,0))+IF(Classifiers!$G$5="",0,IF(ISNUMBER(SEARCH(Classifiers!$G$5,E19)),1,0)))&gt;0,1,0))</f>
        <v/>
      </c>
      <c r="K19" s="12">
        <f>IF(H19&lt;&gt;1,0,IF((IF(Classifiers!$B$6="",0,IF(ISNUMBER(SEARCH(Classifiers!$B$6,E19)),1,0))+IF(Classifiers!$C$6="",0,IF(ISNUMBER(SEARCH(Classifiers!$C$6,E19)),1,0))+IF(Classifiers!$D$6="",0,IF(ISNUMBER(SEARCH(Classifiers!$D$6,E19)),1,0))+IF(Classifiers!$E$6="",0,IF(ISNUMBER(SEARCH(Classifiers!$E$6,E19)),1,0))+IF(Classifiers!$F$6="",0,IF(ISNUMBER(SEARCH(Classifiers!$F$6,E19)),1,0))+IF(Classifiers!$G$6="",0,IF(ISNUMBER(SEARCH(Classifiers!$G$6,E19)),1,0)))&gt;0,1,0))</f>
        <v/>
      </c>
      <c r="L19" s="12">
        <f>IF(H19&lt;&gt;1,0,IF((IF(Classifiers!$B$7="",0,IF(ISNUMBER(SEARCH(Classifiers!$B$7,E19)),1,0))+IF(Classifiers!$C$7="",0,IF(ISNUMBER(SEARCH(Classifiers!$C$7,E19)),1,0))+IF(Classifiers!$D$7="",0,IF(ISNUMBER(SEARCH(Classifiers!$D$7,E19)),1,0))+IF(Classifiers!$E$7="",0,IF(ISNUMBER(SEARCH(Classifiers!$E$7,E19)),1,0))+IF(Classifiers!$F$7="",0,IF(ISNUMBER(SEARCH(Classifiers!$F$7,E19)),1,0))+IF(Classifiers!$G$7="",0,IF(ISNUMBER(SEARCH(Classifiers!$G$7,E19)),1,0)))&gt;0,1,0))</f>
        <v/>
      </c>
      <c r="M19" s="12">
        <f>IF(H19&lt;&gt;1,0,IF((IF(Classifiers!$B$8="",0,IF(ISNUMBER(SEARCH(Classifiers!$B$8,E19)),1,0))+IF(Classifiers!$C$8="",0,IF(ISNUMBER(SEARCH(Classifiers!$C$8,E19)),1,0))+IF(Classifiers!$D$8="",0,IF(ISNUMBER(SEARCH(Classifiers!$D$8,E19)),1,0))+IF(Classifiers!$E$8="",0,IF(ISNUMBER(SEARCH(Classifiers!$E$8,E19)),1,0))+IF(Classifiers!$F$8="",0,IF(ISNUMBER(SEARCH(Classifiers!$F$8,E19)),1,0))+IF(Classifiers!$G$8="",0,IF(ISNUMBER(SEARCH(Classifiers!$G$8,E19)),1,0)))&gt;0,1,0))</f>
        <v/>
      </c>
      <c r="N19" s="12">
        <f>IF(H19&lt;&gt;1,0,IF((IF(Classifiers!$B$9="",0,IF(ISNUMBER(SEARCH(Classifiers!$B$9,E19)),1,0))+IF(Classifiers!$C$9="",0,IF(ISNUMBER(SEARCH(Classifiers!$C$9,E19)),1,0))+IF(Classifiers!$D$9="",0,IF(ISNUMBER(SEARCH(Classifiers!$D$9,E19)),1,0))+IF(Classifiers!$E$9="",0,IF(ISNUMBER(SEARCH(Classifiers!$E$9,E19)),1,0))+IF(Classifiers!$F$9="",0,IF(ISNUMBER(SEARCH(Classifiers!$F$9,E19)),1,0))+IF(Classifiers!$G$9="",0,IF(ISNUMBER(SEARCH(Classifiers!$G$9,E19)),1,0)))&gt;0,1,0))</f>
        <v/>
      </c>
      <c r="O19" s="12">
        <f>IF(H19&lt;&gt;1,0,IF((IF(Classifiers!$B$10="",0,IF(ISNUMBER(SEARCH(Classifiers!$B$10,E19)),1,0))+IF(Classifiers!$C$10="",0,IF(ISNUMBER(SEARCH(Classifiers!$C$10,E19)),1,0))+IF(Classifiers!$D$10="",0,IF(ISNUMBER(SEARCH(Classifiers!$D$10,E19)),1,0))+IF(Classifiers!$E$10="",0,IF(ISNUMBER(SEARCH(Classifiers!$E$10,E19)),1,0))+IF(Classifiers!$F$10="",0,IF(ISNUMBER(SEARCH(Classifiers!$F$10,E19)),1,0))+IF(Classifiers!$G$10="",0,IF(ISNUMBER(SEARCH(Classifiers!$G$10,E19)),1,0)))&gt;0,1,0))</f>
        <v/>
      </c>
      <c r="P19" s="12">
        <f>IF(H19&lt;&gt;1,0,IF((IF(Classifiers!$B$11="",0,IF(ISNUMBER(SEARCH(Classifiers!$B$11,E19)),1,0))+IF(Classifiers!$C$11="",0,IF(ISNUMBER(SEARCH(Classifiers!$C$11,E19)),1,0))+IF(Classifiers!$D$11="",0,IF(ISNUMBER(SEARCH(Classifiers!$D$11,E19)),1,0))+IF(Classifiers!$E$11="",0,IF(ISNUMBER(SEARCH(Classifiers!$E$11,E19)),1,0))+IF(Classifiers!$F$11="",0,IF(ISNUMBER(SEARCH(Classifiers!$F$11,E19)),1,0))+IF(Classifiers!$G$11="",0,IF(ISNUMBER(SEARCH(Classifiers!$G$11,E19)),1,0)))&gt;0,1,0))</f>
        <v/>
      </c>
      <c r="Q19" s="12">
        <f>IF(H19&lt;&gt;1,0,IF((IF(Classifiers!$B$12="",0,IF(ISNUMBER(SEARCH(Classifiers!$B$12,E19)),1,0))+IF(Classifiers!$C$12="",0,IF(ISNUMBER(SEARCH(Classifiers!$C$12,E19)),1,0))+IF(Classifiers!$D$12="",0,IF(ISNUMBER(SEARCH(Classifiers!$D$12,E19)),1,0))+IF(Classifiers!$E$12="",0,IF(ISNUMBER(SEARCH(Classifiers!$E$12,E19)),1,0))+IF(Classifiers!$F$12="",0,IF(ISNUMBER(SEARCH(Classifiers!$F$12,E19)),1,0))+IF(Classifiers!$G$12="",0,IF(ISNUMBER(SEARCH(Classifiers!$G$12,E19)),1,0)))&gt;0,1,0))</f>
        <v/>
      </c>
      <c r="R19" s="12">
        <f>IF(H19&lt;&gt;1,0,IF((IF(Classifiers!$B$13="",0,IF(ISNUMBER(SEARCH(Classifiers!$B$13,E19)),1,0))+IF(Classifiers!$C$13="",0,IF(ISNUMBER(SEARCH(Classifiers!$C$13,E19)),1,0))+IF(Classifiers!$D$13="",0,IF(ISNUMBER(SEARCH(Classifiers!$D$13,E19)),1,0))+IF(Classifiers!$E$13="",0,IF(ISNUMBER(SEARCH(Classifiers!$E$13,E19)),1,0))+IF(Classifiers!$F$13="",0,IF(ISNUMBER(SEARCH(Classifiers!$F$13,E19)),1,0))+IF(Classifiers!$G$13="",0,IF(ISNUMBER(SEARCH(Classifiers!$G$13,E19)),1,0)))&gt;0,1,0))</f>
        <v/>
      </c>
      <c r="S19" s="12">
        <f>IF(H19&lt;&gt;1,0,IF((IF(Classifiers!$B$14="",0,IF(ISNUMBER(SEARCH(Classifiers!$B$14,E19)),1,0))+IF(Classifiers!$C$14="",0,IF(ISNUMBER(SEARCH(Classifiers!$C$14,E19)),1,0))+IF(Classifiers!$D$14="",0,IF(ISNUMBER(SEARCH(Classifiers!$D$14,E19)),1,0))+IF(Classifiers!$E$14="",0,IF(ISNUMBER(SEARCH(Classifiers!$E$14,E19)),1,0))+IF(Classifiers!$F$14="",0,IF(ISNUMBER(SEARCH(Classifiers!$F$14,E19)),1,0))+IF(Classifiers!$G$14="",0,IF(ISNUMBER(SEARCH(Classifiers!$G$14,E19)),1,0)))&gt;0,1,0))</f>
        <v/>
      </c>
      <c r="T19" s="12">
        <f>IF(H19&lt;&gt;1,0,IF((IF(Classifiers!$B$15="",0,IF(ISNUMBER(SEARCH(Classifiers!$B$15,E19)),1,0))+IF(Classifiers!$C$15="",0,IF(ISNUMBER(SEARCH(Classifiers!$C$15,E19)),1,0))+IF(Classifiers!$D$15="",0,IF(ISNUMBER(SEARCH(Classifiers!$D$15,E19)),1,0))+IF(Classifiers!$E$15="",0,IF(ISNUMBER(SEARCH(Classifiers!$E$15,E19)),1,0))+IF(Classifiers!$F$15="",0,IF(ISNUMBER(SEARCH(Classifiers!$F$15,E19)),1,0))+IF(Classifiers!$G$15="",0,IF(ISNUMBER(SEARCH(Classifiers!$G$15,E19)),1,0)))&gt;0,1,0))</f>
        <v/>
      </c>
      <c r="U19" s="12">
        <f>IF(H19&lt;&gt;1,0,IF((IF(Classifiers!$B$16="",0,IF(ISNUMBER(SEARCH(Classifiers!$B$16,E19)),1,0))+IF(Classifiers!$C$16="",0,IF(ISNUMBER(SEARCH(Classifiers!$C$16,E19)),1,0))+IF(Classifiers!$D$16="",0,IF(ISNUMBER(SEARCH(Classifiers!$D$16,E19)),1,0))+IF(Classifiers!$E$16="",0,IF(ISNUMBER(SEARCH(Classifiers!$E$16,E19)),1,0))+IF(Classifiers!$F$16="",0,IF(ISNUMBER(SEARCH(Classifiers!$F$16,E19)),1,0))+IF(Classifiers!$G$16="",0,IF(ISNUMBER(SEARCH(Classifiers!$G$16,E19)),1,0)))&gt;0,1,0))</f>
        <v/>
      </c>
      <c r="V19" s="12">
        <f>IF(H19&lt;&gt;1,0,IF((IF(Classifiers!$B$17="",0,IF(ISNUMBER(SEARCH(Classifiers!$B$17,E19)),1,0))+IF(Classifiers!$C$17="",0,IF(ISNUMBER(SEARCH(Classifiers!$C$17,E19)),1,0))+IF(Classifiers!$D$17="",0,IF(ISNUMBER(SEARCH(Classifiers!$D$17,E19)),1,0))+IF(Classifiers!$E$17="",0,IF(ISNUMBER(SEARCH(Classifiers!$E$17,E19)),1,0))+IF(Classifiers!$F$17="",0,IF(ISNUMBER(SEARCH(Classifiers!$F$17,E19)),1,0))+IF(Classifiers!$G$17="",0,IF(ISNUMBER(SEARCH(Classifiers!$G$17,E19)),1,0)))&gt;0,1,0))</f>
        <v/>
      </c>
      <c r="W19" s="12">
        <f>IF(H19&lt;&gt;1,0,IF((IF(Classifiers!$B$18="",0,IF(ISNUMBER(SEARCH(Classifiers!$B$18,E19)),1,0))+IF(Classifiers!$C$18="",0,IF(ISNUMBER(SEARCH(Classifiers!$C$18,E19)),1,0))+IF(Classifiers!$D$18="",0,IF(ISNUMBER(SEARCH(Classifiers!$D$18,E19)),1,0))+IF(Classifiers!$E$18="",0,IF(ISNUMBER(SEARCH(Classifiers!$E$18,E19)),1,0))+IF(Classifiers!$F$18="",0,IF(ISNUMBER(SEARCH(Classifiers!$F$18,E19)),1,0))+IF(Classifiers!$G$18="",0,IF(ISNUMBER(SEARCH(Classifiers!$G$18,E19)),1,0)))&gt;0,1,0))</f>
        <v/>
      </c>
    </row>
    <row r="20">
      <c r="A20" s="8" t="n"/>
      <c r="B20" s="11" t="n"/>
      <c r="C20" s="6">
        <f>IF(A20="","",TRIM(RIGHT(SUBSTITUTE(A20,"/",REPT(" ",250)),250)))</f>
        <v/>
      </c>
      <c r="D20" s="6">
        <f>IF(C20="","",IF(ISNUMBER(SEARCH(".",C20)),LOWER("."&amp;TRIM(RIGHT(SUBSTITUTE(C20,".",REPT(" ",250)),250))),""))</f>
        <v/>
      </c>
      <c r="E20" s="6">
        <f>IF(C20="","",TRIM(SUBSTITUTE(SUBSTITUTE(SUBSTITUTE(SUBSTITUTE(SUBSTITUTE(SUBSTITUTE(SUBSTITUTE(SUBSTITUTE(SUBSTITUTE(SUBSTITUTE(SUBSTITUTE(SUBSTITUTE(SUBSTITUTE(SUBSTITUTE(SUBSTITUTE(SUBSTITUTE(SUBSTITUTE(SUBSTITUTE(SUBSTITUTE(SUBSTITUTE(LOWER(LEFT(C20,LEN(C20)-LEN(D20))),"_"," "),"-"," "),"."," "),","," "),"("," "),")"," "),"["," "),"]"," "),"&amp;"," "),"+"," "),"@"," "),"#"," "),"!"," "),"'"," "),"/"," "),":"," "),";"," "),"="," "),"~"," "),"%"," ")))</f>
        <v/>
      </c>
      <c r="F20" s="6">
        <f>IF(C20="","",IF(COUNTIF(Classifiers!$A$23:$A$40,D20)&gt;0,1,0))</f>
        <v/>
      </c>
      <c r="G20" s="6">
        <f>IF(C20="","",IF(COUNTIF(Classifiers!$C$23:$C$30,D20)&gt;0,IF((IF(ISNUMBER(SEARCH(Classifiers!$E$23,E20)),1,0)+IF(ISNUMBER(SEARCH(Classifiers!$E$24,E20)),1,0)+IF(ISNUMBER(SEARCH(Classifiers!$E$25,E20)),1,0)+IF(ISNUMBER(SEARCH(Classifiers!$E$26,E20)),1,0)+IF(ISNUMBER(SEARCH(Classifiers!$E$27,E20)),1,0)+IF(ISNUMBER(SEARCH(Classifiers!$E$28,E20)),1,0)+IF(ISNUMBER(SEARCH(Classifiers!$E$29,E20)),1,0)+IF(ISNUMBER(SEARCH(Classifiers!$E$30,E20)),1,0))&gt;0,1,0),0))</f>
        <v/>
      </c>
      <c r="H20" s="6">
        <f>IF(C20="","",IF(OR(LEFT(C20,1)=".",AND(F20=0,G20=0)),0,1))</f>
        <v/>
      </c>
      <c r="I20" s="6">
        <f>IF(H20&lt;&gt;1,"",IF(SUM(J20:W20)=0,"unclassified",INDEX(Classifiers!$A$5:$A$18,MATCH(1,J20:W20,0),1)))</f>
        <v/>
      </c>
      <c r="J20" s="12">
        <f>IF(H20&lt;&gt;1,0,IF((IF(Classifiers!$B$5="",0,IF(ISNUMBER(SEARCH(Classifiers!$B$5,E20)),1,0))+IF(Classifiers!$C$5="",0,IF(ISNUMBER(SEARCH(Classifiers!$C$5,E20)),1,0))+IF(Classifiers!$D$5="",0,IF(ISNUMBER(SEARCH(Classifiers!$D$5,E20)),1,0))+IF(Classifiers!$E$5="",0,IF(ISNUMBER(SEARCH(Classifiers!$E$5,E20)),1,0))+IF(Classifiers!$F$5="",0,IF(ISNUMBER(SEARCH(Classifiers!$F$5,E20)),1,0))+IF(Classifiers!$G$5="",0,IF(ISNUMBER(SEARCH(Classifiers!$G$5,E20)),1,0)))&gt;0,1,0))</f>
        <v/>
      </c>
      <c r="K20" s="12">
        <f>IF(H20&lt;&gt;1,0,IF((IF(Classifiers!$B$6="",0,IF(ISNUMBER(SEARCH(Classifiers!$B$6,E20)),1,0))+IF(Classifiers!$C$6="",0,IF(ISNUMBER(SEARCH(Classifiers!$C$6,E20)),1,0))+IF(Classifiers!$D$6="",0,IF(ISNUMBER(SEARCH(Classifiers!$D$6,E20)),1,0))+IF(Classifiers!$E$6="",0,IF(ISNUMBER(SEARCH(Classifiers!$E$6,E20)),1,0))+IF(Classifiers!$F$6="",0,IF(ISNUMBER(SEARCH(Classifiers!$F$6,E20)),1,0))+IF(Classifiers!$G$6="",0,IF(ISNUMBER(SEARCH(Classifiers!$G$6,E20)),1,0)))&gt;0,1,0))</f>
        <v/>
      </c>
      <c r="L20" s="12">
        <f>IF(H20&lt;&gt;1,0,IF((IF(Classifiers!$B$7="",0,IF(ISNUMBER(SEARCH(Classifiers!$B$7,E20)),1,0))+IF(Classifiers!$C$7="",0,IF(ISNUMBER(SEARCH(Classifiers!$C$7,E20)),1,0))+IF(Classifiers!$D$7="",0,IF(ISNUMBER(SEARCH(Classifiers!$D$7,E20)),1,0))+IF(Classifiers!$E$7="",0,IF(ISNUMBER(SEARCH(Classifiers!$E$7,E20)),1,0))+IF(Classifiers!$F$7="",0,IF(ISNUMBER(SEARCH(Classifiers!$F$7,E20)),1,0))+IF(Classifiers!$G$7="",0,IF(ISNUMBER(SEARCH(Classifiers!$G$7,E20)),1,0)))&gt;0,1,0))</f>
        <v/>
      </c>
      <c r="M20" s="12">
        <f>IF(H20&lt;&gt;1,0,IF((IF(Classifiers!$B$8="",0,IF(ISNUMBER(SEARCH(Classifiers!$B$8,E20)),1,0))+IF(Classifiers!$C$8="",0,IF(ISNUMBER(SEARCH(Classifiers!$C$8,E20)),1,0))+IF(Classifiers!$D$8="",0,IF(ISNUMBER(SEARCH(Classifiers!$D$8,E20)),1,0))+IF(Classifiers!$E$8="",0,IF(ISNUMBER(SEARCH(Classifiers!$E$8,E20)),1,0))+IF(Classifiers!$F$8="",0,IF(ISNUMBER(SEARCH(Classifiers!$F$8,E20)),1,0))+IF(Classifiers!$G$8="",0,IF(ISNUMBER(SEARCH(Classifiers!$G$8,E20)),1,0)))&gt;0,1,0))</f>
        <v/>
      </c>
      <c r="N20" s="12">
        <f>IF(H20&lt;&gt;1,0,IF((IF(Classifiers!$B$9="",0,IF(ISNUMBER(SEARCH(Classifiers!$B$9,E20)),1,0))+IF(Classifiers!$C$9="",0,IF(ISNUMBER(SEARCH(Classifiers!$C$9,E20)),1,0))+IF(Classifiers!$D$9="",0,IF(ISNUMBER(SEARCH(Classifiers!$D$9,E20)),1,0))+IF(Classifiers!$E$9="",0,IF(ISNUMBER(SEARCH(Classifiers!$E$9,E20)),1,0))+IF(Classifiers!$F$9="",0,IF(ISNUMBER(SEARCH(Classifiers!$F$9,E20)),1,0))+IF(Classifiers!$G$9="",0,IF(ISNUMBER(SEARCH(Classifiers!$G$9,E20)),1,0)))&gt;0,1,0))</f>
        <v/>
      </c>
      <c r="O20" s="12">
        <f>IF(H20&lt;&gt;1,0,IF((IF(Classifiers!$B$10="",0,IF(ISNUMBER(SEARCH(Classifiers!$B$10,E20)),1,0))+IF(Classifiers!$C$10="",0,IF(ISNUMBER(SEARCH(Classifiers!$C$10,E20)),1,0))+IF(Classifiers!$D$10="",0,IF(ISNUMBER(SEARCH(Classifiers!$D$10,E20)),1,0))+IF(Classifiers!$E$10="",0,IF(ISNUMBER(SEARCH(Classifiers!$E$10,E20)),1,0))+IF(Classifiers!$F$10="",0,IF(ISNUMBER(SEARCH(Classifiers!$F$10,E20)),1,0))+IF(Classifiers!$G$10="",0,IF(ISNUMBER(SEARCH(Classifiers!$G$10,E20)),1,0)))&gt;0,1,0))</f>
        <v/>
      </c>
      <c r="P20" s="12">
        <f>IF(H20&lt;&gt;1,0,IF((IF(Classifiers!$B$11="",0,IF(ISNUMBER(SEARCH(Classifiers!$B$11,E20)),1,0))+IF(Classifiers!$C$11="",0,IF(ISNUMBER(SEARCH(Classifiers!$C$11,E20)),1,0))+IF(Classifiers!$D$11="",0,IF(ISNUMBER(SEARCH(Classifiers!$D$11,E20)),1,0))+IF(Classifiers!$E$11="",0,IF(ISNUMBER(SEARCH(Classifiers!$E$11,E20)),1,0))+IF(Classifiers!$F$11="",0,IF(ISNUMBER(SEARCH(Classifiers!$F$11,E20)),1,0))+IF(Classifiers!$G$11="",0,IF(ISNUMBER(SEARCH(Classifiers!$G$11,E20)),1,0)))&gt;0,1,0))</f>
        <v/>
      </c>
      <c r="Q20" s="12">
        <f>IF(H20&lt;&gt;1,0,IF((IF(Classifiers!$B$12="",0,IF(ISNUMBER(SEARCH(Classifiers!$B$12,E20)),1,0))+IF(Classifiers!$C$12="",0,IF(ISNUMBER(SEARCH(Classifiers!$C$12,E20)),1,0))+IF(Classifiers!$D$12="",0,IF(ISNUMBER(SEARCH(Classifiers!$D$12,E20)),1,0))+IF(Classifiers!$E$12="",0,IF(ISNUMBER(SEARCH(Classifiers!$E$12,E20)),1,0))+IF(Classifiers!$F$12="",0,IF(ISNUMBER(SEARCH(Classifiers!$F$12,E20)),1,0))+IF(Classifiers!$G$12="",0,IF(ISNUMBER(SEARCH(Classifiers!$G$12,E20)),1,0)))&gt;0,1,0))</f>
        <v/>
      </c>
      <c r="R20" s="12">
        <f>IF(H20&lt;&gt;1,0,IF((IF(Classifiers!$B$13="",0,IF(ISNUMBER(SEARCH(Classifiers!$B$13,E20)),1,0))+IF(Classifiers!$C$13="",0,IF(ISNUMBER(SEARCH(Classifiers!$C$13,E20)),1,0))+IF(Classifiers!$D$13="",0,IF(ISNUMBER(SEARCH(Classifiers!$D$13,E20)),1,0))+IF(Classifiers!$E$13="",0,IF(ISNUMBER(SEARCH(Classifiers!$E$13,E20)),1,0))+IF(Classifiers!$F$13="",0,IF(ISNUMBER(SEARCH(Classifiers!$F$13,E20)),1,0))+IF(Classifiers!$G$13="",0,IF(ISNUMBER(SEARCH(Classifiers!$G$13,E20)),1,0)))&gt;0,1,0))</f>
        <v/>
      </c>
      <c r="S20" s="12">
        <f>IF(H20&lt;&gt;1,0,IF((IF(Classifiers!$B$14="",0,IF(ISNUMBER(SEARCH(Classifiers!$B$14,E20)),1,0))+IF(Classifiers!$C$14="",0,IF(ISNUMBER(SEARCH(Classifiers!$C$14,E20)),1,0))+IF(Classifiers!$D$14="",0,IF(ISNUMBER(SEARCH(Classifiers!$D$14,E20)),1,0))+IF(Classifiers!$E$14="",0,IF(ISNUMBER(SEARCH(Classifiers!$E$14,E20)),1,0))+IF(Classifiers!$F$14="",0,IF(ISNUMBER(SEARCH(Classifiers!$F$14,E20)),1,0))+IF(Classifiers!$G$14="",0,IF(ISNUMBER(SEARCH(Classifiers!$G$14,E20)),1,0)))&gt;0,1,0))</f>
        <v/>
      </c>
      <c r="T20" s="12">
        <f>IF(H20&lt;&gt;1,0,IF((IF(Classifiers!$B$15="",0,IF(ISNUMBER(SEARCH(Classifiers!$B$15,E20)),1,0))+IF(Classifiers!$C$15="",0,IF(ISNUMBER(SEARCH(Classifiers!$C$15,E20)),1,0))+IF(Classifiers!$D$15="",0,IF(ISNUMBER(SEARCH(Classifiers!$D$15,E20)),1,0))+IF(Classifiers!$E$15="",0,IF(ISNUMBER(SEARCH(Classifiers!$E$15,E20)),1,0))+IF(Classifiers!$F$15="",0,IF(ISNUMBER(SEARCH(Classifiers!$F$15,E20)),1,0))+IF(Classifiers!$G$15="",0,IF(ISNUMBER(SEARCH(Classifiers!$G$15,E20)),1,0)))&gt;0,1,0))</f>
        <v/>
      </c>
      <c r="U20" s="12">
        <f>IF(H20&lt;&gt;1,0,IF((IF(Classifiers!$B$16="",0,IF(ISNUMBER(SEARCH(Classifiers!$B$16,E20)),1,0))+IF(Classifiers!$C$16="",0,IF(ISNUMBER(SEARCH(Classifiers!$C$16,E20)),1,0))+IF(Classifiers!$D$16="",0,IF(ISNUMBER(SEARCH(Classifiers!$D$16,E20)),1,0))+IF(Classifiers!$E$16="",0,IF(ISNUMBER(SEARCH(Classifiers!$E$16,E20)),1,0))+IF(Classifiers!$F$16="",0,IF(ISNUMBER(SEARCH(Classifiers!$F$16,E20)),1,0))+IF(Classifiers!$G$16="",0,IF(ISNUMBER(SEARCH(Classifiers!$G$16,E20)),1,0)))&gt;0,1,0))</f>
        <v/>
      </c>
      <c r="V20" s="12">
        <f>IF(H20&lt;&gt;1,0,IF((IF(Classifiers!$B$17="",0,IF(ISNUMBER(SEARCH(Classifiers!$B$17,E20)),1,0))+IF(Classifiers!$C$17="",0,IF(ISNUMBER(SEARCH(Classifiers!$C$17,E20)),1,0))+IF(Classifiers!$D$17="",0,IF(ISNUMBER(SEARCH(Classifiers!$D$17,E20)),1,0))+IF(Classifiers!$E$17="",0,IF(ISNUMBER(SEARCH(Classifiers!$E$17,E20)),1,0))+IF(Classifiers!$F$17="",0,IF(ISNUMBER(SEARCH(Classifiers!$F$17,E20)),1,0))+IF(Classifiers!$G$17="",0,IF(ISNUMBER(SEARCH(Classifiers!$G$17,E20)),1,0)))&gt;0,1,0))</f>
        <v/>
      </c>
      <c r="W20" s="12">
        <f>IF(H20&lt;&gt;1,0,IF((IF(Classifiers!$B$18="",0,IF(ISNUMBER(SEARCH(Classifiers!$B$18,E20)),1,0))+IF(Classifiers!$C$18="",0,IF(ISNUMBER(SEARCH(Classifiers!$C$18,E20)),1,0))+IF(Classifiers!$D$18="",0,IF(ISNUMBER(SEARCH(Classifiers!$D$18,E20)),1,0))+IF(Classifiers!$E$18="",0,IF(ISNUMBER(SEARCH(Classifiers!$E$18,E20)),1,0))+IF(Classifiers!$F$18="",0,IF(ISNUMBER(SEARCH(Classifiers!$F$18,E20)),1,0))+IF(Classifiers!$G$18="",0,IF(ISNUMBER(SEARCH(Classifiers!$G$18,E20)),1,0)))&gt;0,1,0))</f>
        <v/>
      </c>
    </row>
    <row r="21">
      <c r="A21" s="8" t="n"/>
      <c r="B21" s="11" t="n"/>
      <c r="C21" s="6">
        <f>IF(A21="","",TRIM(RIGHT(SUBSTITUTE(A21,"/",REPT(" ",250)),250)))</f>
        <v/>
      </c>
      <c r="D21" s="6">
        <f>IF(C21="","",IF(ISNUMBER(SEARCH(".",C21)),LOWER("."&amp;TRIM(RIGHT(SUBSTITUTE(C21,".",REPT(" ",250)),250))),""))</f>
        <v/>
      </c>
      <c r="E21" s="6">
        <f>IF(C21="","",TRIM(SUBSTITUTE(SUBSTITUTE(SUBSTITUTE(SUBSTITUTE(SUBSTITUTE(SUBSTITUTE(SUBSTITUTE(SUBSTITUTE(SUBSTITUTE(SUBSTITUTE(SUBSTITUTE(SUBSTITUTE(SUBSTITUTE(SUBSTITUTE(SUBSTITUTE(SUBSTITUTE(SUBSTITUTE(SUBSTITUTE(SUBSTITUTE(SUBSTITUTE(LOWER(LEFT(C21,LEN(C21)-LEN(D21))),"_"," "),"-"," "),"."," "),","," "),"("," "),")"," "),"["," "),"]"," "),"&amp;"," "),"+"," "),"@"," "),"#"," "),"!"," "),"'"," "),"/"," "),":"," "),";"," "),"="," "),"~"," "),"%"," ")))</f>
        <v/>
      </c>
      <c r="F21" s="6">
        <f>IF(C21="","",IF(COUNTIF(Classifiers!$A$23:$A$40,D21)&gt;0,1,0))</f>
        <v/>
      </c>
      <c r="G21" s="6">
        <f>IF(C21="","",IF(COUNTIF(Classifiers!$C$23:$C$30,D21)&gt;0,IF((IF(ISNUMBER(SEARCH(Classifiers!$E$23,E21)),1,0)+IF(ISNUMBER(SEARCH(Classifiers!$E$24,E21)),1,0)+IF(ISNUMBER(SEARCH(Classifiers!$E$25,E21)),1,0)+IF(ISNUMBER(SEARCH(Classifiers!$E$26,E21)),1,0)+IF(ISNUMBER(SEARCH(Classifiers!$E$27,E21)),1,0)+IF(ISNUMBER(SEARCH(Classifiers!$E$28,E21)),1,0)+IF(ISNUMBER(SEARCH(Classifiers!$E$29,E21)),1,0)+IF(ISNUMBER(SEARCH(Classifiers!$E$30,E21)),1,0))&gt;0,1,0),0))</f>
        <v/>
      </c>
      <c r="H21" s="6">
        <f>IF(C21="","",IF(OR(LEFT(C21,1)=".",AND(F21=0,G21=0)),0,1))</f>
        <v/>
      </c>
      <c r="I21" s="6">
        <f>IF(H21&lt;&gt;1,"",IF(SUM(J21:W21)=0,"unclassified",INDEX(Classifiers!$A$5:$A$18,MATCH(1,J21:W21,0),1)))</f>
        <v/>
      </c>
      <c r="J21" s="12">
        <f>IF(H21&lt;&gt;1,0,IF((IF(Classifiers!$B$5="",0,IF(ISNUMBER(SEARCH(Classifiers!$B$5,E21)),1,0))+IF(Classifiers!$C$5="",0,IF(ISNUMBER(SEARCH(Classifiers!$C$5,E21)),1,0))+IF(Classifiers!$D$5="",0,IF(ISNUMBER(SEARCH(Classifiers!$D$5,E21)),1,0))+IF(Classifiers!$E$5="",0,IF(ISNUMBER(SEARCH(Classifiers!$E$5,E21)),1,0))+IF(Classifiers!$F$5="",0,IF(ISNUMBER(SEARCH(Classifiers!$F$5,E21)),1,0))+IF(Classifiers!$G$5="",0,IF(ISNUMBER(SEARCH(Classifiers!$G$5,E21)),1,0)))&gt;0,1,0))</f>
        <v/>
      </c>
      <c r="K21" s="12">
        <f>IF(H21&lt;&gt;1,0,IF((IF(Classifiers!$B$6="",0,IF(ISNUMBER(SEARCH(Classifiers!$B$6,E21)),1,0))+IF(Classifiers!$C$6="",0,IF(ISNUMBER(SEARCH(Classifiers!$C$6,E21)),1,0))+IF(Classifiers!$D$6="",0,IF(ISNUMBER(SEARCH(Classifiers!$D$6,E21)),1,0))+IF(Classifiers!$E$6="",0,IF(ISNUMBER(SEARCH(Classifiers!$E$6,E21)),1,0))+IF(Classifiers!$F$6="",0,IF(ISNUMBER(SEARCH(Classifiers!$F$6,E21)),1,0))+IF(Classifiers!$G$6="",0,IF(ISNUMBER(SEARCH(Classifiers!$G$6,E21)),1,0)))&gt;0,1,0))</f>
        <v/>
      </c>
      <c r="L21" s="12">
        <f>IF(H21&lt;&gt;1,0,IF((IF(Classifiers!$B$7="",0,IF(ISNUMBER(SEARCH(Classifiers!$B$7,E21)),1,0))+IF(Classifiers!$C$7="",0,IF(ISNUMBER(SEARCH(Classifiers!$C$7,E21)),1,0))+IF(Classifiers!$D$7="",0,IF(ISNUMBER(SEARCH(Classifiers!$D$7,E21)),1,0))+IF(Classifiers!$E$7="",0,IF(ISNUMBER(SEARCH(Classifiers!$E$7,E21)),1,0))+IF(Classifiers!$F$7="",0,IF(ISNUMBER(SEARCH(Classifiers!$F$7,E21)),1,0))+IF(Classifiers!$G$7="",0,IF(ISNUMBER(SEARCH(Classifiers!$G$7,E21)),1,0)))&gt;0,1,0))</f>
        <v/>
      </c>
      <c r="M21" s="12">
        <f>IF(H21&lt;&gt;1,0,IF((IF(Classifiers!$B$8="",0,IF(ISNUMBER(SEARCH(Classifiers!$B$8,E21)),1,0))+IF(Classifiers!$C$8="",0,IF(ISNUMBER(SEARCH(Classifiers!$C$8,E21)),1,0))+IF(Classifiers!$D$8="",0,IF(ISNUMBER(SEARCH(Classifiers!$D$8,E21)),1,0))+IF(Classifiers!$E$8="",0,IF(ISNUMBER(SEARCH(Classifiers!$E$8,E21)),1,0))+IF(Classifiers!$F$8="",0,IF(ISNUMBER(SEARCH(Classifiers!$F$8,E21)),1,0))+IF(Classifiers!$G$8="",0,IF(ISNUMBER(SEARCH(Classifiers!$G$8,E21)),1,0)))&gt;0,1,0))</f>
        <v/>
      </c>
      <c r="N21" s="12">
        <f>IF(H21&lt;&gt;1,0,IF((IF(Classifiers!$B$9="",0,IF(ISNUMBER(SEARCH(Classifiers!$B$9,E21)),1,0))+IF(Classifiers!$C$9="",0,IF(ISNUMBER(SEARCH(Classifiers!$C$9,E21)),1,0))+IF(Classifiers!$D$9="",0,IF(ISNUMBER(SEARCH(Classifiers!$D$9,E21)),1,0))+IF(Classifiers!$E$9="",0,IF(ISNUMBER(SEARCH(Classifiers!$E$9,E21)),1,0))+IF(Classifiers!$F$9="",0,IF(ISNUMBER(SEARCH(Classifiers!$F$9,E21)),1,0))+IF(Classifiers!$G$9="",0,IF(ISNUMBER(SEARCH(Classifiers!$G$9,E21)),1,0)))&gt;0,1,0))</f>
        <v/>
      </c>
      <c r="O21" s="12">
        <f>IF(H21&lt;&gt;1,0,IF((IF(Classifiers!$B$10="",0,IF(ISNUMBER(SEARCH(Classifiers!$B$10,E21)),1,0))+IF(Classifiers!$C$10="",0,IF(ISNUMBER(SEARCH(Classifiers!$C$10,E21)),1,0))+IF(Classifiers!$D$10="",0,IF(ISNUMBER(SEARCH(Classifiers!$D$10,E21)),1,0))+IF(Classifiers!$E$10="",0,IF(ISNUMBER(SEARCH(Classifiers!$E$10,E21)),1,0))+IF(Classifiers!$F$10="",0,IF(ISNUMBER(SEARCH(Classifiers!$F$10,E21)),1,0))+IF(Classifiers!$G$10="",0,IF(ISNUMBER(SEARCH(Classifiers!$G$10,E21)),1,0)))&gt;0,1,0))</f>
        <v/>
      </c>
      <c r="P21" s="12">
        <f>IF(H21&lt;&gt;1,0,IF((IF(Classifiers!$B$11="",0,IF(ISNUMBER(SEARCH(Classifiers!$B$11,E21)),1,0))+IF(Classifiers!$C$11="",0,IF(ISNUMBER(SEARCH(Classifiers!$C$11,E21)),1,0))+IF(Classifiers!$D$11="",0,IF(ISNUMBER(SEARCH(Classifiers!$D$11,E21)),1,0))+IF(Classifiers!$E$11="",0,IF(ISNUMBER(SEARCH(Classifiers!$E$11,E21)),1,0))+IF(Classifiers!$F$11="",0,IF(ISNUMBER(SEARCH(Classifiers!$F$11,E21)),1,0))+IF(Classifiers!$G$11="",0,IF(ISNUMBER(SEARCH(Classifiers!$G$11,E21)),1,0)))&gt;0,1,0))</f>
        <v/>
      </c>
      <c r="Q21" s="12">
        <f>IF(H21&lt;&gt;1,0,IF((IF(Classifiers!$B$12="",0,IF(ISNUMBER(SEARCH(Classifiers!$B$12,E21)),1,0))+IF(Classifiers!$C$12="",0,IF(ISNUMBER(SEARCH(Classifiers!$C$12,E21)),1,0))+IF(Classifiers!$D$12="",0,IF(ISNUMBER(SEARCH(Classifiers!$D$12,E21)),1,0))+IF(Classifiers!$E$12="",0,IF(ISNUMBER(SEARCH(Classifiers!$E$12,E21)),1,0))+IF(Classifiers!$F$12="",0,IF(ISNUMBER(SEARCH(Classifiers!$F$12,E21)),1,0))+IF(Classifiers!$G$12="",0,IF(ISNUMBER(SEARCH(Classifiers!$G$12,E21)),1,0)))&gt;0,1,0))</f>
        <v/>
      </c>
      <c r="R21" s="12">
        <f>IF(H21&lt;&gt;1,0,IF((IF(Classifiers!$B$13="",0,IF(ISNUMBER(SEARCH(Classifiers!$B$13,E21)),1,0))+IF(Classifiers!$C$13="",0,IF(ISNUMBER(SEARCH(Classifiers!$C$13,E21)),1,0))+IF(Classifiers!$D$13="",0,IF(ISNUMBER(SEARCH(Classifiers!$D$13,E21)),1,0))+IF(Classifiers!$E$13="",0,IF(ISNUMBER(SEARCH(Classifiers!$E$13,E21)),1,0))+IF(Classifiers!$F$13="",0,IF(ISNUMBER(SEARCH(Classifiers!$F$13,E21)),1,0))+IF(Classifiers!$G$13="",0,IF(ISNUMBER(SEARCH(Classifiers!$G$13,E21)),1,0)))&gt;0,1,0))</f>
        <v/>
      </c>
      <c r="S21" s="12">
        <f>IF(H21&lt;&gt;1,0,IF((IF(Classifiers!$B$14="",0,IF(ISNUMBER(SEARCH(Classifiers!$B$14,E21)),1,0))+IF(Classifiers!$C$14="",0,IF(ISNUMBER(SEARCH(Classifiers!$C$14,E21)),1,0))+IF(Classifiers!$D$14="",0,IF(ISNUMBER(SEARCH(Classifiers!$D$14,E21)),1,0))+IF(Classifiers!$E$14="",0,IF(ISNUMBER(SEARCH(Classifiers!$E$14,E21)),1,0))+IF(Classifiers!$F$14="",0,IF(ISNUMBER(SEARCH(Classifiers!$F$14,E21)),1,0))+IF(Classifiers!$G$14="",0,IF(ISNUMBER(SEARCH(Classifiers!$G$14,E21)),1,0)))&gt;0,1,0))</f>
        <v/>
      </c>
      <c r="T21" s="12">
        <f>IF(H21&lt;&gt;1,0,IF((IF(Classifiers!$B$15="",0,IF(ISNUMBER(SEARCH(Classifiers!$B$15,E21)),1,0))+IF(Classifiers!$C$15="",0,IF(ISNUMBER(SEARCH(Classifiers!$C$15,E21)),1,0))+IF(Classifiers!$D$15="",0,IF(ISNUMBER(SEARCH(Classifiers!$D$15,E21)),1,0))+IF(Classifiers!$E$15="",0,IF(ISNUMBER(SEARCH(Classifiers!$E$15,E21)),1,0))+IF(Classifiers!$F$15="",0,IF(ISNUMBER(SEARCH(Classifiers!$F$15,E21)),1,0))+IF(Classifiers!$G$15="",0,IF(ISNUMBER(SEARCH(Classifiers!$G$15,E21)),1,0)))&gt;0,1,0))</f>
        <v/>
      </c>
      <c r="U21" s="12">
        <f>IF(H21&lt;&gt;1,0,IF((IF(Classifiers!$B$16="",0,IF(ISNUMBER(SEARCH(Classifiers!$B$16,E21)),1,0))+IF(Classifiers!$C$16="",0,IF(ISNUMBER(SEARCH(Classifiers!$C$16,E21)),1,0))+IF(Classifiers!$D$16="",0,IF(ISNUMBER(SEARCH(Classifiers!$D$16,E21)),1,0))+IF(Classifiers!$E$16="",0,IF(ISNUMBER(SEARCH(Classifiers!$E$16,E21)),1,0))+IF(Classifiers!$F$16="",0,IF(ISNUMBER(SEARCH(Classifiers!$F$16,E21)),1,0))+IF(Classifiers!$G$16="",0,IF(ISNUMBER(SEARCH(Classifiers!$G$16,E21)),1,0)))&gt;0,1,0))</f>
        <v/>
      </c>
      <c r="V21" s="12">
        <f>IF(H21&lt;&gt;1,0,IF((IF(Classifiers!$B$17="",0,IF(ISNUMBER(SEARCH(Classifiers!$B$17,E21)),1,0))+IF(Classifiers!$C$17="",0,IF(ISNUMBER(SEARCH(Classifiers!$C$17,E21)),1,0))+IF(Classifiers!$D$17="",0,IF(ISNUMBER(SEARCH(Classifiers!$D$17,E21)),1,0))+IF(Classifiers!$E$17="",0,IF(ISNUMBER(SEARCH(Classifiers!$E$17,E21)),1,0))+IF(Classifiers!$F$17="",0,IF(ISNUMBER(SEARCH(Classifiers!$F$17,E21)),1,0))+IF(Classifiers!$G$17="",0,IF(ISNUMBER(SEARCH(Classifiers!$G$17,E21)),1,0)))&gt;0,1,0))</f>
        <v/>
      </c>
      <c r="W21" s="12">
        <f>IF(H21&lt;&gt;1,0,IF((IF(Classifiers!$B$18="",0,IF(ISNUMBER(SEARCH(Classifiers!$B$18,E21)),1,0))+IF(Classifiers!$C$18="",0,IF(ISNUMBER(SEARCH(Classifiers!$C$18,E21)),1,0))+IF(Classifiers!$D$18="",0,IF(ISNUMBER(SEARCH(Classifiers!$D$18,E21)),1,0))+IF(Classifiers!$E$18="",0,IF(ISNUMBER(SEARCH(Classifiers!$E$18,E21)),1,0))+IF(Classifiers!$F$18="",0,IF(ISNUMBER(SEARCH(Classifiers!$F$18,E21)),1,0))+IF(Classifiers!$G$18="",0,IF(ISNUMBER(SEARCH(Classifiers!$G$18,E21)),1,0)))&gt;0,1,0))</f>
        <v/>
      </c>
    </row>
    <row r="22">
      <c r="A22" s="8" t="n"/>
      <c r="B22" s="11" t="n"/>
      <c r="C22" s="6">
        <f>IF(A22="","",TRIM(RIGHT(SUBSTITUTE(A22,"/",REPT(" ",250)),250)))</f>
        <v/>
      </c>
      <c r="D22" s="6">
        <f>IF(C22="","",IF(ISNUMBER(SEARCH(".",C22)),LOWER("."&amp;TRIM(RIGHT(SUBSTITUTE(C22,".",REPT(" ",250)),250))),""))</f>
        <v/>
      </c>
      <c r="E22" s="6">
        <f>IF(C22="","",TRIM(SUBSTITUTE(SUBSTITUTE(SUBSTITUTE(SUBSTITUTE(SUBSTITUTE(SUBSTITUTE(SUBSTITUTE(SUBSTITUTE(SUBSTITUTE(SUBSTITUTE(SUBSTITUTE(SUBSTITUTE(SUBSTITUTE(SUBSTITUTE(SUBSTITUTE(SUBSTITUTE(SUBSTITUTE(SUBSTITUTE(SUBSTITUTE(SUBSTITUTE(LOWER(LEFT(C22,LEN(C22)-LEN(D22))),"_"," "),"-"," "),"."," "),","," "),"("," "),")"," "),"["," "),"]"," "),"&amp;"," "),"+"," "),"@"," "),"#"," "),"!"," "),"'"," "),"/"," "),":"," "),";"," "),"="," "),"~"," "),"%"," ")))</f>
        <v/>
      </c>
      <c r="F22" s="6">
        <f>IF(C22="","",IF(COUNTIF(Classifiers!$A$23:$A$40,D22)&gt;0,1,0))</f>
        <v/>
      </c>
      <c r="G22" s="6">
        <f>IF(C22="","",IF(COUNTIF(Classifiers!$C$23:$C$30,D22)&gt;0,IF((IF(ISNUMBER(SEARCH(Classifiers!$E$23,E22)),1,0)+IF(ISNUMBER(SEARCH(Classifiers!$E$24,E22)),1,0)+IF(ISNUMBER(SEARCH(Classifiers!$E$25,E22)),1,0)+IF(ISNUMBER(SEARCH(Classifiers!$E$26,E22)),1,0)+IF(ISNUMBER(SEARCH(Classifiers!$E$27,E22)),1,0)+IF(ISNUMBER(SEARCH(Classifiers!$E$28,E22)),1,0)+IF(ISNUMBER(SEARCH(Classifiers!$E$29,E22)),1,0)+IF(ISNUMBER(SEARCH(Classifiers!$E$30,E22)),1,0))&gt;0,1,0),0))</f>
        <v/>
      </c>
      <c r="H22" s="6">
        <f>IF(C22="","",IF(OR(LEFT(C22,1)=".",AND(F22=0,G22=0)),0,1))</f>
        <v/>
      </c>
      <c r="I22" s="6">
        <f>IF(H22&lt;&gt;1,"",IF(SUM(J22:W22)=0,"unclassified",INDEX(Classifiers!$A$5:$A$18,MATCH(1,J22:W22,0),1)))</f>
        <v/>
      </c>
      <c r="J22" s="12">
        <f>IF(H22&lt;&gt;1,0,IF((IF(Classifiers!$B$5="",0,IF(ISNUMBER(SEARCH(Classifiers!$B$5,E22)),1,0))+IF(Classifiers!$C$5="",0,IF(ISNUMBER(SEARCH(Classifiers!$C$5,E22)),1,0))+IF(Classifiers!$D$5="",0,IF(ISNUMBER(SEARCH(Classifiers!$D$5,E22)),1,0))+IF(Classifiers!$E$5="",0,IF(ISNUMBER(SEARCH(Classifiers!$E$5,E22)),1,0))+IF(Classifiers!$F$5="",0,IF(ISNUMBER(SEARCH(Classifiers!$F$5,E22)),1,0))+IF(Classifiers!$G$5="",0,IF(ISNUMBER(SEARCH(Classifiers!$G$5,E22)),1,0)))&gt;0,1,0))</f>
        <v/>
      </c>
      <c r="K22" s="12">
        <f>IF(H22&lt;&gt;1,0,IF((IF(Classifiers!$B$6="",0,IF(ISNUMBER(SEARCH(Classifiers!$B$6,E22)),1,0))+IF(Classifiers!$C$6="",0,IF(ISNUMBER(SEARCH(Classifiers!$C$6,E22)),1,0))+IF(Classifiers!$D$6="",0,IF(ISNUMBER(SEARCH(Classifiers!$D$6,E22)),1,0))+IF(Classifiers!$E$6="",0,IF(ISNUMBER(SEARCH(Classifiers!$E$6,E22)),1,0))+IF(Classifiers!$F$6="",0,IF(ISNUMBER(SEARCH(Classifiers!$F$6,E22)),1,0))+IF(Classifiers!$G$6="",0,IF(ISNUMBER(SEARCH(Classifiers!$G$6,E22)),1,0)))&gt;0,1,0))</f>
        <v/>
      </c>
      <c r="L22" s="12">
        <f>IF(H22&lt;&gt;1,0,IF((IF(Classifiers!$B$7="",0,IF(ISNUMBER(SEARCH(Classifiers!$B$7,E22)),1,0))+IF(Classifiers!$C$7="",0,IF(ISNUMBER(SEARCH(Classifiers!$C$7,E22)),1,0))+IF(Classifiers!$D$7="",0,IF(ISNUMBER(SEARCH(Classifiers!$D$7,E22)),1,0))+IF(Classifiers!$E$7="",0,IF(ISNUMBER(SEARCH(Classifiers!$E$7,E22)),1,0))+IF(Classifiers!$F$7="",0,IF(ISNUMBER(SEARCH(Classifiers!$F$7,E22)),1,0))+IF(Classifiers!$G$7="",0,IF(ISNUMBER(SEARCH(Classifiers!$G$7,E22)),1,0)))&gt;0,1,0))</f>
        <v/>
      </c>
      <c r="M22" s="12">
        <f>IF(H22&lt;&gt;1,0,IF((IF(Classifiers!$B$8="",0,IF(ISNUMBER(SEARCH(Classifiers!$B$8,E22)),1,0))+IF(Classifiers!$C$8="",0,IF(ISNUMBER(SEARCH(Classifiers!$C$8,E22)),1,0))+IF(Classifiers!$D$8="",0,IF(ISNUMBER(SEARCH(Classifiers!$D$8,E22)),1,0))+IF(Classifiers!$E$8="",0,IF(ISNUMBER(SEARCH(Classifiers!$E$8,E22)),1,0))+IF(Classifiers!$F$8="",0,IF(ISNUMBER(SEARCH(Classifiers!$F$8,E22)),1,0))+IF(Classifiers!$G$8="",0,IF(ISNUMBER(SEARCH(Classifiers!$G$8,E22)),1,0)))&gt;0,1,0))</f>
        <v/>
      </c>
      <c r="N22" s="12">
        <f>IF(H22&lt;&gt;1,0,IF((IF(Classifiers!$B$9="",0,IF(ISNUMBER(SEARCH(Classifiers!$B$9,E22)),1,0))+IF(Classifiers!$C$9="",0,IF(ISNUMBER(SEARCH(Classifiers!$C$9,E22)),1,0))+IF(Classifiers!$D$9="",0,IF(ISNUMBER(SEARCH(Classifiers!$D$9,E22)),1,0))+IF(Classifiers!$E$9="",0,IF(ISNUMBER(SEARCH(Classifiers!$E$9,E22)),1,0))+IF(Classifiers!$F$9="",0,IF(ISNUMBER(SEARCH(Classifiers!$F$9,E22)),1,0))+IF(Classifiers!$G$9="",0,IF(ISNUMBER(SEARCH(Classifiers!$G$9,E22)),1,0)))&gt;0,1,0))</f>
        <v/>
      </c>
      <c r="O22" s="12">
        <f>IF(H22&lt;&gt;1,0,IF((IF(Classifiers!$B$10="",0,IF(ISNUMBER(SEARCH(Classifiers!$B$10,E22)),1,0))+IF(Classifiers!$C$10="",0,IF(ISNUMBER(SEARCH(Classifiers!$C$10,E22)),1,0))+IF(Classifiers!$D$10="",0,IF(ISNUMBER(SEARCH(Classifiers!$D$10,E22)),1,0))+IF(Classifiers!$E$10="",0,IF(ISNUMBER(SEARCH(Classifiers!$E$10,E22)),1,0))+IF(Classifiers!$F$10="",0,IF(ISNUMBER(SEARCH(Classifiers!$F$10,E22)),1,0))+IF(Classifiers!$G$10="",0,IF(ISNUMBER(SEARCH(Classifiers!$G$10,E22)),1,0)))&gt;0,1,0))</f>
        <v/>
      </c>
      <c r="P22" s="12">
        <f>IF(H22&lt;&gt;1,0,IF((IF(Classifiers!$B$11="",0,IF(ISNUMBER(SEARCH(Classifiers!$B$11,E22)),1,0))+IF(Classifiers!$C$11="",0,IF(ISNUMBER(SEARCH(Classifiers!$C$11,E22)),1,0))+IF(Classifiers!$D$11="",0,IF(ISNUMBER(SEARCH(Classifiers!$D$11,E22)),1,0))+IF(Classifiers!$E$11="",0,IF(ISNUMBER(SEARCH(Classifiers!$E$11,E22)),1,0))+IF(Classifiers!$F$11="",0,IF(ISNUMBER(SEARCH(Classifiers!$F$11,E22)),1,0))+IF(Classifiers!$G$11="",0,IF(ISNUMBER(SEARCH(Classifiers!$G$11,E22)),1,0)))&gt;0,1,0))</f>
        <v/>
      </c>
      <c r="Q22" s="12">
        <f>IF(H22&lt;&gt;1,0,IF((IF(Classifiers!$B$12="",0,IF(ISNUMBER(SEARCH(Classifiers!$B$12,E22)),1,0))+IF(Classifiers!$C$12="",0,IF(ISNUMBER(SEARCH(Classifiers!$C$12,E22)),1,0))+IF(Classifiers!$D$12="",0,IF(ISNUMBER(SEARCH(Classifiers!$D$12,E22)),1,0))+IF(Classifiers!$E$12="",0,IF(ISNUMBER(SEARCH(Classifiers!$E$12,E22)),1,0))+IF(Classifiers!$F$12="",0,IF(ISNUMBER(SEARCH(Classifiers!$F$12,E22)),1,0))+IF(Classifiers!$G$12="",0,IF(ISNUMBER(SEARCH(Classifiers!$G$12,E22)),1,0)))&gt;0,1,0))</f>
        <v/>
      </c>
      <c r="R22" s="12">
        <f>IF(H22&lt;&gt;1,0,IF((IF(Classifiers!$B$13="",0,IF(ISNUMBER(SEARCH(Classifiers!$B$13,E22)),1,0))+IF(Classifiers!$C$13="",0,IF(ISNUMBER(SEARCH(Classifiers!$C$13,E22)),1,0))+IF(Classifiers!$D$13="",0,IF(ISNUMBER(SEARCH(Classifiers!$D$13,E22)),1,0))+IF(Classifiers!$E$13="",0,IF(ISNUMBER(SEARCH(Classifiers!$E$13,E22)),1,0))+IF(Classifiers!$F$13="",0,IF(ISNUMBER(SEARCH(Classifiers!$F$13,E22)),1,0))+IF(Classifiers!$G$13="",0,IF(ISNUMBER(SEARCH(Classifiers!$G$13,E22)),1,0)))&gt;0,1,0))</f>
        <v/>
      </c>
      <c r="S22" s="12">
        <f>IF(H22&lt;&gt;1,0,IF((IF(Classifiers!$B$14="",0,IF(ISNUMBER(SEARCH(Classifiers!$B$14,E22)),1,0))+IF(Classifiers!$C$14="",0,IF(ISNUMBER(SEARCH(Classifiers!$C$14,E22)),1,0))+IF(Classifiers!$D$14="",0,IF(ISNUMBER(SEARCH(Classifiers!$D$14,E22)),1,0))+IF(Classifiers!$E$14="",0,IF(ISNUMBER(SEARCH(Classifiers!$E$14,E22)),1,0))+IF(Classifiers!$F$14="",0,IF(ISNUMBER(SEARCH(Classifiers!$F$14,E22)),1,0))+IF(Classifiers!$G$14="",0,IF(ISNUMBER(SEARCH(Classifiers!$G$14,E22)),1,0)))&gt;0,1,0))</f>
        <v/>
      </c>
      <c r="T22" s="12">
        <f>IF(H22&lt;&gt;1,0,IF((IF(Classifiers!$B$15="",0,IF(ISNUMBER(SEARCH(Classifiers!$B$15,E22)),1,0))+IF(Classifiers!$C$15="",0,IF(ISNUMBER(SEARCH(Classifiers!$C$15,E22)),1,0))+IF(Classifiers!$D$15="",0,IF(ISNUMBER(SEARCH(Classifiers!$D$15,E22)),1,0))+IF(Classifiers!$E$15="",0,IF(ISNUMBER(SEARCH(Classifiers!$E$15,E22)),1,0))+IF(Classifiers!$F$15="",0,IF(ISNUMBER(SEARCH(Classifiers!$F$15,E22)),1,0))+IF(Classifiers!$G$15="",0,IF(ISNUMBER(SEARCH(Classifiers!$G$15,E22)),1,0)))&gt;0,1,0))</f>
        <v/>
      </c>
      <c r="U22" s="12">
        <f>IF(H22&lt;&gt;1,0,IF((IF(Classifiers!$B$16="",0,IF(ISNUMBER(SEARCH(Classifiers!$B$16,E22)),1,0))+IF(Classifiers!$C$16="",0,IF(ISNUMBER(SEARCH(Classifiers!$C$16,E22)),1,0))+IF(Classifiers!$D$16="",0,IF(ISNUMBER(SEARCH(Classifiers!$D$16,E22)),1,0))+IF(Classifiers!$E$16="",0,IF(ISNUMBER(SEARCH(Classifiers!$E$16,E22)),1,0))+IF(Classifiers!$F$16="",0,IF(ISNUMBER(SEARCH(Classifiers!$F$16,E22)),1,0))+IF(Classifiers!$G$16="",0,IF(ISNUMBER(SEARCH(Classifiers!$G$16,E22)),1,0)))&gt;0,1,0))</f>
        <v/>
      </c>
      <c r="V22" s="12">
        <f>IF(H22&lt;&gt;1,0,IF((IF(Classifiers!$B$17="",0,IF(ISNUMBER(SEARCH(Classifiers!$B$17,E22)),1,0))+IF(Classifiers!$C$17="",0,IF(ISNUMBER(SEARCH(Classifiers!$C$17,E22)),1,0))+IF(Classifiers!$D$17="",0,IF(ISNUMBER(SEARCH(Classifiers!$D$17,E22)),1,0))+IF(Classifiers!$E$17="",0,IF(ISNUMBER(SEARCH(Classifiers!$E$17,E22)),1,0))+IF(Classifiers!$F$17="",0,IF(ISNUMBER(SEARCH(Classifiers!$F$17,E22)),1,0))+IF(Classifiers!$G$17="",0,IF(ISNUMBER(SEARCH(Classifiers!$G$17,E22)),1,0)))&gt;0,1,0))</f>
        <v/>
      </c>
      <c r="W22" s="12">
        <f>IF(H22&lt;&gt;1,0,IF((IF(Classifiers!$B$18="",0,IF(ISNUMBER(SEARCH(Classifiers!$B$18,E22)),1,0))+IF(Classifiers!$C$18="",0,IF(ISNUMBER(SEARCH(Classifiers!$C$18,E22)),1,0))+IF(Classifiers!$D$18="",0,IF(ISNUMBER(SEARCH(Classifiers!$D$18,E22)),1,0))+IF(Classifiers!$E$18="",0,IF(ISNUMBER(SEARCH(Classifiers!$E$18,E22)),1,0))+IF(Classifiers!$F$18="",0,IF(ISNUMBER(SEARCH(Classifiers!$F$18,E22)),1,0))+IF(Classifiers!$G$18="",0,IF(ISNUMBER(SEARCH(Classifiers!$G$18,E22)),1,0)))&gt;0,1,0))</f>
        <v/>
      </c>
    </row>
    <row r="23">
      <c r="A23" s="8" t="n"/>
      <c r="B23" s="11" t="n"/>
      <c r="C23" s="6">
        <f>IF(A23="","",TRIM(RIGHT(SUBSTITUTE(A23,"/",REPT(" ",250)),250)))</f>
        <v/>
      </c>
      <c r="D23" s="6">
        <f>IF(C23="","",IF(ISNUMBER(SEARCH(".",C23)),LOWER("."&amp;TRIM(RIGHT(SUBSTITUTE(C23,".",REPT(" ",250)),250))),""))</f>
        <v/>
      </c>
      <c r="E23" s="6">
        <f>IF(C23="","",TRIM(SUBSTITUTE(SUBSTITUTE(SUBSTITUTE(SUBSTITUTE(SUBSTITUTE(SUBSTITUTE(SUBSTITUTE(SUBSTITUTE(SUBSTITUTE(SUBSTITUTE(SUBSTITUTE(SUBSTITUTE(SUBSTITUTE(SUBSTITUTE(SUBSTITUTE(SUBSTITUTE(SUBSTITUTE(SUBSTITUTE(SUBSTITUTE(SUBSTITUTE(LOWER(LEFT(C23,LEN(C23)-LEN(D23))),"_"," "),"-"," "),"."," "),","," "),"("," "),")"," "),"["," "),"]"," "),"&amp;"," "),"+"," "),"@"," "),"#"," "),"!"," "),"'"," "),"/"," "),":"," "),";"," "),"="," "),"~"," "),"%"," ")))</f>
        <v/>
      </c>
      <c r="F23" s="6">
        <f>IF(C23="","",IF(COUNTIF(Classifiers!$A$23:$A$40,D23)&gt;0,1,0))</f>
        <v/>
      </c>
      <c r="G23" s="6">
        <f>IF(C23="","",IF(COUNTIF(Classifiers!$C$23:$C$30,D23)&gt;0,IF((IF(ISNUMBER(SEARCH(Classifiers!$E$23,E23)),1,0)+IF(ISNUMBER(SEARCH(Classifiers!$E$24,E23)),1,0)+IF(ISNUMBER(SEARCH(Classifiers!$E$25,E23)),1,0)+IF(ISNUMBER(SEARCH(Classifiers!$E$26,E23)),1,0)+IF(ISNUMBER(SEARCH(Classifiers!$E$27,E23)),1,0)+IF(ISNUMBER(SEARCH(Classifiers!$E$28,E23)),1,0)+IF(ISNUMBER(SEARCH(Classifiers!$E$29,E23)),1,0)+IF(ISNUMBER(SEARCH(Classifiers!$E$30,E23)),1,0))&gt;0,1,0),0))</f>
        <v/>
      </c>
      <c r="H23" s="6">
        <f>IF(C23="","",IF(OR(LEFT(C23,1)=".",AND(F23=0,G23=0)),0,1))</f>
        <v/>
      </c>
      <c r="I23" s="6">
        <f>IF(H23&lt;&gt;1,"",IF(SUM(J23:W23)=0,"unclassified",INDEX(Classifiers!$A$5:$A$18,MATCH(1,J23:W23,0),1)))</f>
        <v/>
      </c>
      <c r="J23" s="12">
        <f>IF(H23&lt;&gt;1,0,IF((IF(Classifiers!$B$5="",0,IF(ISNUMBER(SEARCH(Classifiers!$B$5,E23)),1,0))+IF(Classifiers!$C$5="",0,IF(ISNUMBER(SEARCH(Classifiers!$C$5,E23)),1,0))+IF(Classifiers!$D$5="",0,IF(ISNUMBER(SEARCH(Classifiers!$D$5,E23)),1,0))+IF(Classifiers!$E$5="",0,IF(ISNUMBER(SEARCH(Classifiers!$E$5,E23)),1,0))+IF(Classifiers!$F$5="",0,IF(ISNUMBER(SEARCH(Classifiers!$F$5,E23)),1,0))+IF(Classifiers!$G$5="",0,IF(ISNUMBER(SEARCH(Classifiers!$G$5,E23)),1,0)))&gt;0,1,0))</f>
        <v/>
      </c>
      <c r="K23" s="12">
        <f>IF(H23&lt;&gt;1,0,IF((IF(Classifiers!$B$6="",0,IF(ISNUMBER(SEARCH(Classifiers!$B$6,E23)),1,0))+IF(Classifiers!$C$6="",0,IF(ISNUMBER(SEARCH(Classifiers!$C$6,E23)),1,0))+IF(Classifiers!$D$6="",0,IF(ISNUMBER(SEARCH(Classifiers!$D$6,E23)),1,0))+IF(Classifiers!$E$6="",0,IF(ISNUMBER(SEARCH(Classifiers!$E$6,E23)),1,0))+IF(Classifiers!$F$6="",0,IF(ISNUMBER(SEARCH(Classifiers!$F$6,E23)),1,0))+IF(Classifiers!$G$6="",0,IF(ISNUMBER(SEARCH(Classifiers!$G$6,E23)),1,0)))&gt;0,1,0))</f>
        <v/>
      </c>
      <c r="L23" s="12">
        <f>IF(H23&lt;&gt;1,0,IF((IF(Classifiers!$B$7="",0,IF(ISNUMBER(SEARCH(Classifiers!$B$7,E23)),1,0))+IF(Classifiers!$C$7="",0,IF(ISNUMBER(SEARCH(Classifiers!$C$7,E23)),1,0))+IF(Classifiers!$D$7="",0,IF(ISNUMBER(SEARCH(Classifiers!$D$7,E23)),1,0))+IF(Classifiers!$E$7="",0,IF(ISNUMBER(SEARCH(Classifiers!$E$7,E23)),1,0))+IF(Classifiers!$F$7="",0,IF(ISNUMBER(SEARCH(Classifiers!$F$7,E23)),1,0))+IF(Classifiers!$G$7="",0,IF(ISNUMBER(SEARCH(Classifiers!$G$7,E23)),1,0)))&gt;0,1,0))</f>
        <v/>
      </c>
      <c r="M23" s="12">
        <f>IF(H23&lt;&gt;1,0,IF((IF(Classifiers!$B$8="",0,IF(ISNUMBER(SEARCH(Classifiers!$B$8,E23)),1,0))+IF(Classifiers!$C$8="",0,IF(ISNUMBER(SEARCH(Classifiers!$C$8,E23)),1,0))+IF(Classifiers!$D$8="",0,IF(ISNUMBER(SEARCH(Classifiers!$D$8,E23)),1,0))+IF(Classifiers!$E$8="",0,IF(ISNUMBER(SEARCH(Classifiers!$E$8,E23)),1,0))+IF(Classifiers!$F$8="",0,IF(ISNUMBER(SEARCH(Classifiers!$F$8,E23)),1,0))+IF(Classifiers!$G$8="",0,IF(ISNUMBER(SEARCH(Classifiers!$G$8,E23)),1,0)))&gt;0,1,0))</f>
        <v/>
      </c>
      <c r="N23" s="12">
        <f>IF(H23&lt;&gt;1,0,IF((IF(Classifiers!$B$9="",0,IF(ISNUMBER(SEARCH(Classifiers!$B$9,E23)),1,0))+IF(Classifiers!$C$9="",0,IF(ISNUMBER(SEARCH(Classifiers!$C$9,E23)),1,0))+IF(Classifiers!$D$9="",0,IF(ISNUMBER(SEARCH(Classifiers!$D$9,E23)),1,0))+IF(Classifiers!$E$9="",0,IF(ISNUMBER(SEARCH(Classifiers!$E$9,E23)),1,0))+IF(Classifiers!$F$9="",0,IF(ISNUMBER(SEARCH(Classifiers!$F$9,E23)),1,0))+IF(Classifiers!$G$9="",0,IF(ISNUMBER(SEARCH(Classifiers!$G$9,E23)),1,0)))&gt;0,1,0))</f>
        <v/>
      </c>
      <c r="O23" s="12">
        <f>IF(H23&lt;&gt;1,0,IF((IF(Classifiers!$B$10="",0,IF(ISNUMBER(SEARCH(Classifiers!$B$10,E23)),1,0))+IF(Classifiers!$C$10="",0,IF(ISNUMBER(SEARCH(Classifiers!$C$10,E23)),1,0))+IF(Classifiers!$D$10="",0,IF(ISNUMBER(SEARCH(Classifiers!$D$10,E23)),1,0))+IF(Classifiers!$E$10="",0,IF(ISNUMBER(SEARCH(Classifiers!$E$10,E23)),1,0))+IF(Classifiers!$F$10="",0,IF(ISNUMBER(SEARCH(Classifiers!$F$10,E23)),1,0))+IF(Classifiers!$G$10="",0,IF(ISNUMBER(SEARCH(Classifiers!$G$10,E23)),1,0)))&gt;0,1,0))</f>
        <v/>
      </c>
      <c r="P23" s="12">
        <f>IF(H23&lt;&gt;1,0,IF((IF(Classifiers!$B$11="",0,IF(ISNUMBER(SEARCH(Classifiers!$B$11,E23)),1,0))+IF(Classifiers!$C$11="",0,IF(ISNUMBER(SEARCH(Classifiers!$C$11,E23)),1,0))+IF(Classifiers!$D$11="",0,IF(ISNUMBER(SEARCH(Classifiers!$D$11,E23)),1,0))+IF(Classifiers!$E$11="",0,IF(ISNUMBER(SEARCH(Classifiers!$E$11,E23)),1,0))+IF(Classifiers!$F$11="",0,IF(ISNUMBER(SEARCH(Classifiers!$F$11,E23)),1,0))+IF(Classifiers!$G$11="",0,IF(ISNUMBER(SEARCH(Classifiers!$G$11,E23)),1,0)))&gt;0,1,0))</f>
        <v/>
      </c>
      <c r="Q23" s="12">
        <f>IF(H23&lt;&gt;1,0,IF((IF(Classifiers!$B$12="",0,IF(ISNUMBER(SEARCH(Classifiers!$B$12,E23)),1,0))+IF(Classifiers!$C$12="",0,IF(ISNUMBER(SEARCH(Classifiers!$C$12,E23)),1,0))+IF(Classifiers!$D$12="",0,IF(ISNUMBER(SEARCH(Classifiers!$D$12,E23)),1,0))+IF(Classifiers!$E$12="",0,IF(ISNUMBER(SEARCH(Classifiers!$E$12,E23)),1,0))+IF(Classifiers!$F$12="",0,IF(ISNUMBER(SEARCH(Classifiers!$F$12,E23)),1,0))+IF(Classifiers!$G$12="",0,IF(ISNUMBER(SEARCH(Classifiers!$G$12,E23)),1,0)))&gt;0,1,0))</f>
        <v/>
      </c>
      <c r="R23" s="12">
        <f>IF(H23&lt;&gt;1,0,IF((IF(Classifiers!$B$13="",0,IF(ISNUMBER(SEARCH(Classifiers!$B$13,E23)),1,0))+IF(Classifiers!$C$13="",0,IF(ISNUMBER(SEARCH(Classifiers!$C$13,E23)),1,0))+IF(Classifiers!$D$13="",0,IF(ISNUMBER(SEARCH(Classifiers!$D$13,E23)),1,0))+IF(Classifiers!$E$13="",0,IF(ISNUMBER(SEARCH(Classifiers!$E$13,E23)),1,0))+IF(Classifiers!$F$13="",0,IF(ISNUMBER(SEARCH(Classifiers!$F$13,E23)),1,0))+IF(Classifiers!$G$13="",0,IF(ISNUMBER(SEARCH(Classifiers!$G$13,E23)),1,0)))&gt;0,1,0))</f>
        <v/>
      </c>
      <c r="S23" s="12">
        <f>IF(H23&lt;&gt;1,0,IF((IF(Classifiers!$B$14="",0,IF(ISNUMBER(SEARCH(Classifiers!$B$14,E23)),1,0))+IF(Classifiers!$C$14="",0,IF(ISNUMBER(SEARCH(Classifiers!$C$14,E23)),1,0))+IF(Classifiers!$D$14="",0,IF(ISNUMBER(SEARCH(Classifiers!$D$14,E23)),1,0))+IF(Classifiers!$E$14="",0,IF(ISNUMBER(SEARCH(Classifiers!$E$14,E23)),1,0))+IF(Classifiers!$F$14="",0,IF(ISNUMBER(SEARCH(Classifiers!$F$14,E23)),1,0))+IF(Classifiers!$G$14="",0,IF(ISNUMBER(SEARCH(Classifiers!$G$14,E23)),1,0)))&gt;0,1,0))</f>
        <v/>
      </c>
      <c r="T23" s="12">
        <f>IF(H23&lt;&gt;1,0,IF((IF(Classifiers!$B$15="",0,IF(ISNUMBER(SEARCH(Classifiers!$B$15,E23)),1,0))+IF(Classifiers!$C$15="",0,IF(ISNUMBER(SEARCH(Classifiers!$C$15,E23)),1,0))+IF(Classifiers!$D$15="",0,IF(ISNUMBER(SEARCH(Classifiers!$D$15,E23)),1,0))+IF(Classifiers!$E$15="",0,IF(ISNUMBER(SEARCH(Classifiers!$E$15,E23)),1,0))+IF(Classifiers!$F$15="",0,IF(ISNUMBER(SEARCH(Classifiers!$F$15,E23)),1,0))+IF(Classifiers!$G$15="",0,IF(ISNUMBER(SEARCH(Classifiers!$G$15,E23)),1,0)))&gt;0,1,0))</f>
        <v/>
      </c>
      <c r="U23" s="12">
        <f>IF(H23&lt;&gt;1,0,IF((IF(Classifiers!$B$16="",0,IF(ISNUMBER(SEARCH(Classifiers!$B$16,E23)),1,0))+IF(Classifiers!$C$16="",0,IF(ISNUMBER(SEARCH(Classifiers!$C$16,E23)),1,0))+IF(Classifiers!$D$16="",0,IF(ISNUMBER(SEARCH(Classifiers!$D$16,E23)),1,0))+IF(Classifiers!$E$16="",0,IF(ISNUMBER(SEARCH(Classifiers!$E$16,E23)),1,0))+IF(Classifiers!$F$16="",0,IF(ISNUMBER(SEARCH(Classifiers!$F$16,E23)),1,0))+IF(Classifiers!$G$16="",0,IF(ISNUMBER(SEARCH(Classifiers!$G$16,E23)),1,0)))&gt;0,1,0))</f>
        <v/>
      </c>
      <c r="V23" s="12">
        <f>IF(H23&lt;&gt;1,0,IF((IF(Classifiers!$B$17="",0,IF(ISNUMBER(SEARCH(Classifiers!$B$17,E23)),1,0))+IF(Classifiers!$C$17="",0,IF(ISNUMBER(SEARCH(Classifiers!$C$17,E23)),1,0))+IF(Classifiers!$D$17="",0,IF(ISNUMBER(SEARCH(Classifiers!$D$17,E23)),1,0))+IF(Classifiers!$E$17="",0,IF(ISNUMBER(SEARCH(Classifiers!$E$17,E23)),1,0))+IF(Classifiers!$F$17="",0,IF(ISNUMBER(SEARCH(Classifiers!$F$17,E23)),1,0))+IF(Classifiers!$G$17="",0,IF(ISNUMBER(SEARCH(Classifiers!$G$17,E23)),1,0)))&gt;0,1,0))</f>
        <v/>
      </c>
      <c r="W23" s="12">
        <f>IF(H23&lt;&gt;1,0,IF((IF(Classifiers!$B$18="",0,IF(ISNUMBER(SEARCH(Classifiers!$B$18,E23)),1,0))+IF(Classifiers!$C$18="",0,IF(ISNUMBER(SEARCH(Classifiers!$C$18,E23)),1,0))+IF(Classifiers!$D$18="",0,IF(ISNUMBER(SEARCH(Classifiers!$D$18,E23)),1,0))+IF(Classifiers!$E$18="",0,IF(ISNUMBER(SEARCH(Classifiers!$E$18,E23)),1,0))+IF(Classifiers!$F$18="",0,IF(ISNUMBER(SEARCH(Classifiers!$F$18,E23)),1,0))+IF(Classifiers!$G$18="",0,IF(ISNUMBER(SEARCH(Classifiers!$G$18,E23)),1,0)))&gt;0,1,0))</f>
        <v/>
      </c>
    </row>
    <row r="24">
      <c r="A24" s="8" t="n"/>
      <c r="B24" s="11" t="n"/>
      <c r="C24" s="6">
        <f>IF(A24="","",TRIM(RIGHT(SUBSTITUTE(A24,"/",REPT(" ",250)),250)))</f>
        <v/>
      </c>
      <c r="D24" s="6">
        <f>IF(C24="","",IF(ISNUMBER(SEARCH(".",C24)),LOWER("."&amp;TRIM(RIGHT(SUBSTITUTE(C24,".",REPT(" ",250)),250))),""))</f>
        <v/>
      </c>
      <c r="E24" s="6">
        <f>IF(C24="","",TRIM(SUBSTITUTE(SUBSTITUTE(SUBSTITUTE(SUBSTITUTE(SUBSTITUTE(SUBSTITUTE(SUBSTITUTE(SUBSTITUTE(SUBSTITUTE(SUBSTITUTE(SUBSTITUTE(SUBSTITUTE(SUBSTITUTE(SUBSTITUTE(SUBSTITUTE(SUBSTITUTE(SUBSTITUTE(SUBSTITUTE(SUBSTITUTE(SUBSTITUTE(LOWER(LEFT(C24,LEN(C24)-LEN(D24))),"_"," "),"-"," "),"."," "),","," "),"("," "),")"," "),"["," "),"]"," "),"&amp;"," "),"+"," "),"@"," "),"#"," "),"!"," "),"'"," "),"/"," "),":"," "),";"," "),"="," "),"~"," "),"%"," ")))</f>
        <v/>
      </c>
      <c r="F24" s="6">
        <f>IF(C24="","",IF(COUNTIF(Classifiers!$A$23:$A$40,D24)&gt;0,1,0))</f>
        <v/>
      </c>
      <c r="G24" s="6">
        <f>IF(C24="","",IF(COUNTIF(Classifiers!$C$23:$C$30,D24)&gt;0,IF((IF(ISNUMBER(SEARCH(Classifiers!$E$23,E24)),1,0)+IF(ISNUMBER(SEARCH(Classifiers!$E$24,E24)),1,0)+IF(ISNUMBER(SEARCH(Classifiers!$E$25,E24)),1,0)+IF(ISNUMBER(SEARCH(Classifiers!$E$26,E24)),1,0)+IF(ISNUMBER(SEARCH(Classifiers!$E$27,E24)),1,0)+IF(ISNUMBER(SEARCH(Classifiers!$E$28,E24)),1,0)+IF(ISNUMBER(SEARCH(Classifiers!$E$29,E24)),1,0)+IF(ISNUMBER(SEARCH(Classifiers!$E$30,E24)),1,0))&gt;0,1,0),0))</f>
        <v/>
      </c>
      <c r="H24" s="6">
        <f>IF(C24="","",IF(OR(LEFT(C24,1)=".",AND(F24=0,G24=0)),0,1))</f>
        <v/>
      </c>
      <c r="I24" s="6">
        <f>IF(H24&lt;&gt;1,"",IF(SUM(J24:W24)=0,"unclassified",INDEX(Classifiers!$A$5:$A$18,MATCH(1,J24:W24,0),1)))</f>
        <v/>
      </c>
      <c r="J24" s="12">
        <f>IF(H24&lt;&gt;1,0,IF((IF(Classifiers!$B$5="",0,IF(ISNUMBER(SEARCH(Classifiers!$B$5,E24)),1,0))+IF(Classifiers!$C$5="",0,IF(ISNUMBER(SEARCH(Classifiers!$C$5,E24)),1,0))+IF(Classifiers!$D$5="",0,IF(ISNUMBER(SEARCH(Classifiers!$D$5,E24)),1,0))+IF(Classifiers!$E$5="",0,IF(ISNUMBER(SEARCH(Classifiers!$E$5,E24)),1,0))+IF(Classifiers!$F$5="",0,IF(ISNUMBER(SEARCH(Classifiers!$F$5,E24)),1,0))+IF(Classifiers!$G$5="",0,IF(ISNUMBER(SEARCH(Classifiers!$G$5,E24)),1,0)))&gt;0,1,0))</f>
        <v/>
      </c>
      <c r="K24" s="12">
        <f>IF(H24&lt;&gt;1,0,IF((IF(Classifiers!$B$6="",0,IF(ISNUMBER(SEARCH(Classifiers!$B$6,E24)),1,0))+IF(Classifiers!$C$6="",0,IF(ISNUMBER(SEARCH(Classifiers!$C$6,E24)),1,0))+IF(Classifiers!$D$6="",0,IF(ISNUMBER(SEARCH(Classifiers!$D$6,E24)),1,0))+IF(Classifiers!$E$6="",0,IF(ISNUMBER(SEARCH(Classifiers!$E$6,E24)),1,0))+IF(Classifiers!$F$6="",0,IF(ISNUMBER(SEARCH(Classifiers!$F$6,E24)),1,0))+IF(Classifiers!$G$6="",0,IF(ISNUMBER(SEARCH(Classifiers!$G$6,E24)),1,0)))&gt;0,1,0))</f>
        <v/>
      </c>
      <c r="L24" s="12">
        <f>IF(H24&lt;&gt;1,0,IF((IF(Classifiers!$B$7="",0,IF(ISNUMBER(SEARCH(Classifiers!$B$7,E24)),1,0))+IF(Classifiers!$C$7="",0,IF(ISNUMBER(SEARCH(Classifiers!$C$7,E24)),1,0))+IF(Classifiers!$D$7="",0,IF(ISNUMBER(SEARCH(Classifiers!$D$7,E24)),1,0))+IF(Classifiers!$E$7="",0,IF(ISNUMBER(SEARCH(Classifiers!$E$7,E24)),1,0))+IF(Classifiers!$F$7="",0,IF(ISNUMBER(SEARCH(Classifiers!$F$7,E24)),1,0))+IF(Classifiers!$G$7="",0,IF(ISNUMBER(SEARCH(Classifiers!$G$7,E24)),1,0)))&gt;0,1,0))</f>
        <v/>
      </c>
      <c r="M24" s="12">
        <f>IF(H24&lt;&gt;1,0,IF((IF(Classifiers!$B$8="",0,IF(ISNUMBER(SEARCH(Classifiers!$B$8,E24)),1,0))+IF(Classifiers!$C$8="",0,IF(ISNUMBER(SEARCH(Classifiers!$C$8,E24)),1,0))+IF(Classifiers!$D$8="",0,IF(ISNUMBER(SEARCH(Classifiers!$D$8,E24)),1,0))+IF(Classifiers!$E$8="",0,IF(ISNUMBER(SEARCH(Classifiers!$E$8,E24)),1,0))+IF(Classifiers!$F$8="",0,IF(ISNUMBER(SEARCH(Classifiers!$F$8,E24)),1,0))+IF(Classifiers!$G$8="",0,IF(ISNUMBER(SEARCH(Classifiers!$G$8,E24)),1,0)))&gt;0,1,0))</f>
        <v/>
      </c>
      <c r="N24" s="12">
        <f>IF(H24&lt;&gt;1,0,IF((IF(Classifiers!$B$9="",0,IF(ISNUMBER(SEARCH(Classifiers!$B$9,E24)),1,0))+IF(Classifiers!$C$9="",0,IF(ISNUMBER(SEARCH(Classifiers!$C$9,E24)),1,0))+IF(Classifiers!$D$9="",0,IF(ISNUMBER(SEARCH(Classifiers!$D$9,E24)),1,0))+IF(Classifiers!$E$9="",0,IF(ISNUMBER(SEARCH(Classifiers!$E$9,E24)),1,0))+IF(Classifiers!$F$9="",0,IF(ISNUMBER(SEARCH(Classifiers!$F$9,E24)),1,0))+IF(Classifiers!$G$9="",0,IF(ISNUMBER(SEARCH(Classifiers!$G$9,E24)),1,0)))&gt;0,1,0))</f>
        <v/>
      </c>
      <c r="O24" s="12">
        <f>IF(H24&lt;&gt;1,0,IF((IF(Classifiers!$B$10="",0,IF(ISNUMBER(SEARCH(Classifiers!$B$10,E24)),1,0))+IF(Classifiers!$C$10="",0,IF(ISNUMBER(SEARCH(Classifiers!$C$10,E24)),1,0))+IF(Classifiers!$D$10="",0,IF(ISNUMBER(SEARCH(Classifiers!$D$10,E24)),1,0))+IF(Classifiers!$E$10="",0,IF(ISNUMBER(SEARCH(Classifiers!$E$10,E24)),1,0))+IF(Classifiers!$F$10="",0,IF(ISNUMBER(SEARCH(Classifiers!$F$10,E24)),1,0))+IF(Classifiers!$G$10="",0,IF(ISNUMBER(SEARCH(Classifiers!$G$10,E24)),1,0)))&gt;0,1,0))</f>
        <v/>
      </c>
      <c r="P24" s="12">
        <f>IF(H24&lt;&gt;1,0,IF((IF(Classifiers!$B$11="",0,IF(ISNUMBER(SEARCH(Classifiers!$B$11,E24)),1,0))+IF(Classifiers!$C$11="",0,IF(ISNUMBER(SEARCH(Classifiers!$C$11,E24)),1,0))+IF(Classifiers!$D$11="",0,IF(ISNUMBER(SEARCH(Classifiers!$D$11,E24)),1,0))+IF(Classifiers!$E$11="",0,IF(ISNUMBER(SEARCH(Classifiers!$E$11,E24)),1,0))+IF(Classifiers!$F$11="",0,IF(ISNUMBER(SEARCH(Classifiers!$F$11,E24)),1,0))+IF(Classifiers!$G$11="",0,IF(ISNUMBER(SEARCH(Classifiers!$G$11,E24)),1,0)))&gt;0,1,0))</f>
        <v/>
      </c>
      <c r="Q24" s="12">
        <f>IF(H24&lt;&gt;1,0,IF((IF(Classifiers!$B$12="",0,IF(ISNUMBER(SEARCH(Classifiers!$B$12,E24)),1,0))+IF(Classifiers!$C$12="",0,IF(ISNUMBER(SEARCH(Classifiers!$C$12,E24)),1,0))+IF(Classifiers!$D$12="",0,IF(ISNUMBER(SEARCH(Classifiers!$D$12,E24)),1,0))+IF(Classifiers!$E$12="",0,IF(ISNUMBER(SEARCH(Classifiers!$E$12,E24)),1,0))+IF(Classifiers!$F$12="",0,IF(ISNUMBER(SEARCH(Classifiers!$F$12,E24)),1,0))+IF(Classifiers!$G$12="",0,IF(ISNUMBER(SEARCH(Classifiers!$G$12,E24)),1,0)))&gt;0,1,0))</f>
        <v/>
      </c>
      <c r="R24" s="12">
        <f>IF(H24&lt;&gt;1,0,IF((IF(Classifiers!$B$13="",0,IF(ISNUMBER(SEARCH(Classifiers!$B$13,E24)),1,0))+IF(Classifiers!$C$13="",0,IF(ISNUMBER(SEARCH(Classifiers!$C$13,E24)),1,0))+IF(Classifiers!$D$13="",0,IF(ISNUMBER(SEARCH(Classifiers!$D$13,E24)),1,0))+IF(Classifiers!$E$13="",0,IF(ISNUMBER(SEARCH(Classifiers!$E$13,E24)),1,0))+IF(Classifiers!$F$13="",0,IF(ISNUMBER(SEARCH(Classifiers!$F$13,E24)),1,0))+IF(Classifiers!$G$13="",0,IF(ISNUMBER(SEARCH(Classifiers!$G$13,E24)),1,0)))&gt;0,1,0))</f>
        <v/>
      </c>
      <c r="S24" s="12">
        <f>IF(H24&lt;&gt;1,0,IF((IF(Classifiers!$B$14="",0,IF(ISNUMBER(SEARCH(Classifiers!$B$14,E24)),1,0))+IF(Classifiers!$C$14="",0,IF(ISNUMBER(SEARCH(Classifiers!$C$14,E24)),1,0))+IF(Classifiers!$D$14="",0,IF(ISNUMBER(SEARCH(Classifiers!$D$14,E24)),1,0))+IF(Classifiers!$E$14="",0,IF(ISNUMBER(SEARCH(Classifiers!$E$14,E24)),1,0))+IF(Classifiers!$F$14="",0,IF(ISNUMBER(SEARCH(Classifiers!$F$14,E24)),1,0))+IF(Classifiers!$G$14="",0,IF(ISNUMBER(SEARCH(Classifiers!$G$14,E24)),1,0)))&gt;0,1,0))</f>
        <v/>
      </c>
      <c r="T24" s="12">
        <f>IF(H24&lt;&gt;1,0,IF((IF(Classifiers!$B$15="",0,IF(ISNUMBER(SEARCH(Classifiers!$B$15,E24)),1,0))+IF(Classifiers!$C$15="",0,IF(ISNUMBER(SEARCH(Classifiers!$C$15,E24)),1,0))+IF(Classifiers!$D$15="",0,IF(ISNUMBER(SEARCH(Classifiers!$D$15,E24)),1,0))+IF(Classifiers!$E$15="",0,IF(ISNUMBER(SEARCH(Classifiers!$E$15,E24)),1,0))+IF(Classifiers!$F$15="",0,IF(ISNUMBER(SEARCH(Classifiers!$F$15,E24)),1,0))+IF(Classifiers!$G$15="",0,IF(ISNUMBER(SEARCH(Classifiers!$G$15,E24)),1,0)))&gt;0,1,0))</f>
        <v/>
      </c>
      <c r="U24" s="12">
        <f>IF(H24&lt;&gt;1,0,IF((IF(Classifiers!$B$16="",0,IF(ISNUMBER(SEARCH(Classifiers!$B$16,E24)),1,0))+IF(Classifiers!$C$16="",0,IF(ISNUMBER(SEARCH(Classifiers!$C$16,E24)),1,0))+IF(Classifiers!$D$16="",0,IF(ISNUMBER(SEARCH(Classifiers!$D$16,E24)),1,0))+IF(Classifiers!$E$16="",0,IF(ISNUMBER(SEARCH(Classifiers!$E$16,E24)),1,0))+IF(Classifiers!$F$16="",0,IF(ISNUMBER(SEARCH(Classifiers!$F$16,E24)),1,0))+IF(Classifiers!$G$16="",0,IF(ISNUMBER(SEARCH(Classifiers!$G$16,E24)),1,0)))&gt;0,1,0))</f>
        <v/>
      </c>
      <c r="V24" s="12">
        <f>IF(H24&lt;&gt;1,0,IF((IF(Classifiers!$B$17="",0,IF(ISNUMBER(SEARCH(Classifiers!$B$17,E24)),1,0))+IF(Classifiers!$C$17="",0,IF(ISNUMBER(SEARCH(Classifiers!$C$17,E24)),1,0))+IF(Classifiers!$D$17="",0,IF(ISNUMBER(SEARCH(Classifiers!$D$17,E24)),1,0))+IF(Classifiers!$E$17="",0,IF(ISNUMBER(SEARCH(Classifiers!$E$17,E24)),1,0))+IF(Classifiers!$F$17="",0,IF(ISNUMBER(SEARCH(Classifiers!$F$17,E24)),1,0))+IF(Classifiers!$G$17="",0,IF(ISNUMBER(SEARCH(Classifiers!$G$17,E24)),1,0)))&gt;0,1,0))</f>
        <v/>
      </c>
      <c r="W24" s="12">
        <f>IF(H24&lt;&gt;1,0,IF((IF(Classifiers!$B$18="",0,IF(ISNUMBER(SEARCH(Classifiers!$B$18,E24)),1,0))+IF(Classifiers!$C$18="",0,IF(ISNUMBER(SEARCH(Classifiers!$C$18,E24)),1,0))+IF(Classifiers!$D$18="",0,IF(ISNUMBER(SEARCH(Classifiers!$D$18,E24)),1,0))+IF(Classifiers!$E$18="",0,IF(ISNUMBER(SEARCH(Classifiers!$E$18,E24)),1,0))+IF(Classifiers!$F$18="",0,IF(ISNUMBER(SEARCH(Classifiers!$F$18,E24)),1,0))+IF(Classifiers!$G$18="",0,IF(ISNUMBER(SEARCH(Classifiers!$G$18,E24)),1,0)))&gt;0,1,0))</f>
        <v/>
      </c>
    </row>
    <row r="25">
      <c r="A25" s="8" t="n"/>
      <c r="B25" s="11" t="n"/>
      <c r="C25" s="6">
        <f>IF(A25="","",TRIM(RIGHT(SUBSTITUTE(A25,"/",REPT(" ",250)),250)))</f>
        <v/>
      </c>
      <c r="D25" s="6">
        <f>IF(C25="","",IF(ISNUMBER(SEARCH(".",C25)),LOWER("."&amp;TRIM(RIGHT(SUBSTITUTE(C25,".",REPT(" ",250)),250))),""))</f>
        <v/>
      </c>
      <c r="E25" s="6">
        <f>IF(C25="","",TRIM(SUBSTITUTE(SUBSTITUTE(SUBSTITUTE(SUBSTITUTE(SUBSTITUTE(SUBSTITUTE(SUBSTITUTE(SUBSTITUTE(SUBSTITUTE(SUBSTITUTE(SUBSTITUTE(SUBSTITUTE(SUBSTITUTE(SUBSTITUTE(SUBSTITUTE(SUBSTITUTE(SUBSTITUTE(SUBSTITUTE(SUBSTITUTE(SUBSTITUTE(LOWER(LEFT(C25,LEN(C25)-LEN(D25))),"_"," "),"-"," "),"."," "),","," "),"("," "),")"," "),"["," "),"]"," "),"&amp;"," "),"+"," "),"@"," "),"#"," "),"!"," "),"'"," "),"/"," "),":"," "),";"," "),"="," "),"~"," "),"%"," ")))</f>
        <v/>
      </c>
      <c r="F25" s="6">
        <f>IF(C25="","",IF(COUNTIF(Classifiers!$A$23:$A$40,D25)&gt;0,1,0))</f>
        <v/>
      </c>
      <c r="G25" s="6">
        <f>IF(C25="","",IF(COUNTIF(Classifiers!$C$23:$C$30,D25)&gt;0,IF((IF(ISNUMBER(SEARCH(Classifiers!$E$23,E25)),1,0)+IF(ISNUMBER(SEARCH(Classifiers!$E$24,E25)),1,0)+IF(ISNUMBER(SEARCH(Classifiers!$E$25,E25)),1,0)+IF(ISNUMBER(SEARCH(Classifiers!$E$26,E25)),1,0)+IF(ISNUMBER(SEARCH(Classifiers!$E$27,E25)),1,0)+IF(ISNUMBER(SEARCH(Classifiers!$E$28,E25)),1,0)+IF(ISNUMBER(SEARCH(Classifiers!$E$29,E25)),1,0)+IF(ISNUMBER(SEARCH(Classifiers!$E$30,E25)),1,0))&gt;0,1,0),0))</f>
        <v/>
      </c>
      <c r="H25" s="6">
        <f>IF(C25="","",IF(OR(LEFT(C25,1)=".",AND(F25=0,G25=0)),0,1))</f>
        <v/>
      </c>
      <c r="I25" s="6">
        <f>IF(H25&lt;&gt;1,"",IF(SUM(J25:W25)=0,"unclassified",INDEX(Classifiers!$A$5:$A$18,MATCH(1,J25:W25,0),1)))</f>
        <v/>
      </c>
      <c r="J25" s="12">
        <f>IF(H25&lt;&gt;1,0,IF((IF(Classifiers!$B$5="",0,IF(ISNUMBER(SEARCH(Classifiers!$B$5,E25)),1,0))+IF(Classifiers!$C$5="",0,IF(ISNUMBER(SEARCH(Classifiers!$C$5,E25)),1,0))+IF(Classifiers!$D$5="",0,IF(ISNUMBER(SEARCH(Classifiers!$D$5,E25)),1,0))+IF(Classifiers!$E$5="",0,IF(ISNUMBER(SEARCH(Classifiers!$E$5,E25)),1,0))+IF(Classifiers!$F$5="",0,IF(ISNUMBER(SEARCH(Classifiers!$F$5,E25)),1,0))+IF(Classifiers!$G$5="",0,IF(ISNUMBER(SEARCH(Classifiers!$G$5,E25)),1,0)))&gt;0,1,0))</f>
        <v/>
      </c>
      <c r="K25" s="12">
        <f>IF(H25&lt;&gt;1,0,IF((IF(Classifiers!$B$6="",0,IF(ISNUMBER(SEARCH(Classifiers!$B$6,E25)),1,0))+IF(Classifiers!$C$6="",0,IF(ISNUMBER(SEARCH(Classifiers!$C$6,E25)),1,0))+IF(Classifiers!$D$6="",0,IF(ISNUMBER(SEARCH(Classifiers!$D$6,E25)),1,0))+IF(Classifiers!$E$6="",0,IF(ISNUMBER(SEARCH(Classifiers!$E$6,E25)),1,0))+IF(Classifiers!$F$6="",0,IF(ISNUMBER(SEARCH(Classifiers!$F$6,E25)),1,0))+IF(Classifiers!$G$6="",0,IF(ISNUMBER(SEARCH(Classifiers!$G$6,E25)),1,0)))&gt;0,1,0))</f>
        <v/>
      </c>
      <c r="L25" s="12">
        <f>IF(H25&lt;&gt;1,0,IF((IF(Classifiers!$B$7="",0,IF(ISNUMBER(SEARCH(Classifiers!$B$7,E25)),1,0))+IF(Classifiers!$C$7="",0,IF(ISNUMBER(SEARCH(Classifiers!$C$7,E25)),1,0))+IF(Classifiers!$D$7="",0,IF(ISNUMBER(SEARCH(Classifiers!$D$7,E25)),1,0))+IF(Classifiers!$E$7="",0,IF(ISNUMBER(SEARCH(Classifiers!$E$7,E25)),1,0))+IF(Classifiers!$F$7="",0,IF(ISNUMBER(SEARCH(Classifiers!$F$7,E25)),1,0))+IF(Classifiers!$G$7="",0,IF(ISNUMBER(SEARCH(Classifiers!$G$7,E25)),1,0)))&gt;0,1,0))</f>
        <v/>
      </c>
      <c r="M25" s="12">
        <f>IF(H25&lt;&gt;1,0,IF((IF(Classifiers!$B$8="",0,IF(ISNUMBER(SEARCH(Classifiers!$B$8,E25)),1,0))+IF(Classifiers!$C$8="",0,IF(ISNUMBER(SEARCH(Classifiers!$C$8,E25)),1,0))+IF(Classifiers!$D$8="",0,IF(ISNUMBER(SEARCH(Classifiers!$D$8,E25)),1,0))+IF(Classifiers!$E$8="",0,IF(ISNUMBER(SEARCH(Classifiers!$E$8,E25)),1,0))+IF(Classifiers!$F$8="",0,IF(ISNUMBER(SEARCH(Classifiers!$F$8,E25)),1,0))+IF(Classifiers!$G$8="",0,IF(ISNUMBER(SEARCH(Classifiers!$G$8,E25)),1,0)))&gt;0,1,0))</f>
        <v/>
      </c>
      <c r="N25" s="12">
        <f>IF(H25&lt;&gt;1,0,IF((IF(Classifiers!$B$9="",0,IF(ISNUMBER(SEARCH(Classifiers!$B$9,E25)),1,0))+IF(Classifiers!$C$9="",0,IF(ISNUMBER(SEARCH(Classifiers!$C$9,E25)),1,0))+IF(Classifiers!$D$9="",0,IF(ISNUMBER(SEARCH(Classifiers!$D$9,E25)),1,0))+IF(Classifiers!$E$9="",0,IF(ISNUMBER(SEARCH(Classifiers!$E$9,E25)),1,0))+IF(Classifiers!$F$9="",0,IF(ISNUMBER(SEARCH(Classifiers!$F$9,E25)),1,0))+IF(Classifiers!$G$9="",0,IF(ISNUMBER(SEARCH(Classifiers!$G$9,E25)),1,0)))&gt;0,1,0))</f>
        <v/>
      </c>
      <c r="O25" s="12">
        <f>IF(H25&lt;&gt;1,0,IF((IF(Classifiers!$B$10="",0,IF(ISNUMBER(SEARCH(Classifiers!$B$10,E25)),1,0))+IF(Classifiers!$C$10="",0,IF(ISNUMBER(SEARCH(Classifiers!$C$10,E25)),1,0))+IF(Classifiers!$D$10="",0,IF(ISNUMBER(SEARCH(Classifiers!$D$10,E25)),1,0))+IF(Classifiers!$E$10="",0,IF(ISNUMBER(SEARCH(Classifiers!$E$10,E25)),1,0))+IF(Classifiers!$F$10="",0,IF(ISNUMBER(SEARCH(Classifiers!$F$10,E25)),1,0))+IF(Classifiers!$G$10="",0,IF(ISNUMBER(SEARCH(Classifiers!$G$10,E25)),1,0)))&gt;0,1,0))</f>
        <v/>
      </c>
      <c r="P25" s="12">
        <f>IF(H25&lt;&gt;1,0,IF((IF(Classifiers!$B$11="",0,IF(ISNUMBER(SEARCH(Classifiers!$B$11,E25)),1,0))+IF(Classifiers!$C$11="",0,IF(ISNUMBER(SEARCH(Classifiers!$C$11,E25)),1,0))+IF(Classifiers!$D$11="",0,IF(ISNUMBER(SEARCH(Classifiers!$D$11,E25)),1,0))+IF(Classifiers!$E$11="",0,IF(ISNUMBER(SEARCH(Classifiers!$E$11,E25)),1,0))+IF(Classifiers!$F$11="",0,IF(ISNUMBER(SEARCH(Classifiers!$F$11,E25)),1,0))+IF(Classifiers!$G$11="",0,IF(ISNUMBER(SEARCH(Classifiers!$G$11,E25)),1,0)))&gt;0,1,0))</f>
        <v/>
      </c>
      <c r="Q25" s="12">
        <f>IF(H25&lt;&gt;1,0,IF((IF(Classifiers!$B$12="",0,IF(ISNUMBER(SEARCH(Classifiers!$B$12,E25)),1,0))+IF(Classifiers!$C$12="",0,IF(ISNUMBER(SEARCH(Classifiers!$C$12,E25)),1,0))+IF(Classifiers!$D$12="",0,IF(ISNUMBER(SEARCH(Classifiers!$D$12,E25)),1,0))+IF(Classifiers!$E$12="",0,IF(ISNUMBER(SEARCH(Classifiers!$E$12,E25)),1,0))+IF(Classifiers!$F$12="",0,IF(ISNUMBER(SEARCH(Classifiers!$F$12,E25)),1,0))+IF(Classifiers!$G$12="",0,IF(ISNUMBER(SEARCH(Classifiers!$G$12,E25)),1,0)))&gt;0,1,0))</f>
        <v/>
      </c>
      <c r="R25" s="12">
        <f>IF(H25&lt;&gt;1,0,IF((IF(Classifiers!$B$13="",0,IF(ISNUMBER(SEARCH(Classifiers!$B$13,E25)),1,0))+IF(Classifiers!$C$13="",0,IF(ISNUMBER(SEARCH(Classifiers!$C$13,E25)),1,0))+IF(Classifiers!$D$13="",0,IF(ISNUMBER(SEARCH(Classifiers!$D$13,E25)),1,0))+IF(Classifiers!$E$13="",0,IF(ISNUMBER(SEARCH(Classifiers!$E$13,E25)),1,0))+IF(Classifiers!$F$13="",0,IF(ISNUMBER(SEARCH(Classifiers!$F$13,E25)),1,0))+IF(Classifiers!$G$13="",0,IF(ISNUMBER(SEARCH(Classifiers!$G$13,E25)),1,0)))&gt;0,1,0))</f>
        <v/>
      </c>
      <c r="S25" s="12">
        <f>IF(H25&lt;&gt;1,0,IF((IF(Classifiers!$B$14="",0,IF(ISNUMBER(SEARCH(Classifiers!$B$14,E25)),1,0))+IF(Classifiers!$C$14="",0,IF(ISNUMBER(SEARCH(Classifiers!$C$14,E25)),1,0))+IF(Classifiers!$D$14="",0,IF(ISNUMBER(SEARCH(Classifiers!$D$14,E25)),1,0))+IF(Classifiers!$E$14="",0,IF(ISNUMBER(SEARCH(Classifiers!$E$14,E25)),1,0))+IF(Classifiers!$F$14="",0,IF(ISNUMBER(SEARCH(Classifiers!$F$14,E25)),1,0))+IF(Classifiers!$G$14="",0,IF(ISNUMBER(SEARCH(Classifiers!$G$14,E25)),1,0)))&gt;0,1,0))</f>
        <v/>
      </c>
      <c r="T25" s="12">
        <f>IF(H25&lt;&gt;1,0,IF((IF(Classifiers!$B$15="",0,IF(ISNUMBER(SEARCH(Classifiers!$B$15,E25)),1,0))+IF(Classifiers!$C$15="",0,IF(ISNUMBER(SEARCH(Classifiers!$C$15,E25)),1,0))+IF(Classifiers!$D$15="",0,IF(ISNUMBER(SEARCH(Classifiers!$D$15,E25)),1,0))+IF(Classifiers!$E$15="",0,IF(ISNUMBER(SEARCH(Classifiers!$E$15,E25)),1,0))+IF(Classifiers!$F$15="",0,IF(ISNUMBER(SEARCH(Classifiers!$F$15,E25)),1,0))+IF(Classifiers!$G$15="",0,IF(ISNUMBER(SEARCH(Classifiers!$G$15,E25)),1,0)))&gt;0,1,0))</f>
        <v/>
      </c>
      <c r="U25" s="12">
        <f>IF(H25&lt;&gt;1,0,IF((IF(Classifiers!$B$16="",0,IF(ISNUMBER(SEARCH(Classifiers!$B$16,E25)),1,0))+IF(Classifiers!$C$16="",0,IF(ISNUMBER(SEARCH(Classifiers!$C$16,E25)),1,0))+IF(Classifiers!$D$16="",0,IF(ISNUMBER(SEARCH(Classifiers!$D$16,E25)),1,0))+IF(Classifiers!$E$16="",0,IF(ISNUMBER(SEARCH(Classifiers!$E$16,E25)),1,0))+IF(Classifiers!$F$16="",0,IF(ISNUMBER(SEARCH(Classifiers!$F$16,E25)),1,0))+IF(Classifiers!$G$16="",0,IF(ISNUMBER(SEARCH(Classifiers!$G$16,E25)),1,0)))&gt;0,1,0))</f>
        <v/>
      </c>
      <c r="V25" s="12">
        <f>IF(H25&lt;&gt;1,0,IF((IF(Classifiers!$B$17="",0,IF(ISNUMBER(SEARCH(Classifiers!$B$17,E25)),1,0))+IF(Classifiers!$C$17="",0,IF(ISNUMBER(SEARCH(Classifiers!$C$17,E25)),1,0))+IF(Classifiers!$D$17="",0,IF(ISNUMBER(SEARCH(Classifiers!$D$17,E25)),1,0))+IF(Classifiers!$E$17="",0,IF(ISNUMBER(SEARCH(Classifiers!$E$17,E25)),1,0))+IF(Classifiers!$F$17="",0,IF(ISNUMBER(SEARCH(Classifiers!$F$17,E25)),1,0))+IF(Classifiers!$G$17="",0,IF(ISNUMBER(SEARCH(Classifiers!$G$17,E25)),1,0)))&gt;0,1,0))</f>
        <v/>
      </c>
      <c r="W25" s="12">
        <f>IF(H25&lt;&gt;1,0,IF((IF(Classifiers!$B$18="",0,IF(ISNUMBER(SEARCH(Classifiers!$B$18,E25)),1,0))+IF(Classifiers!$C$18="",0,IF(ISNUMBER(SEARCH(Classifiers!$C$18,E25)),1,0))+IF(Classifiers!$D$18="",0,IF(ISNUMBER(SEARCH(Classifiers!$D$18,E25)),1,0))+IF(Classifiers!$E$18="",0,IF(ISNUMBER(SEARCH(Classifiers!$E$18,E25)),1,0))+IF(Classifiers!$F$18="",0,IF(ISNUMBER(SEARCH(Classifiers!$F$18,E25)),1,0))+IF(Classifiers!$G$18="",0,IF(ISNUMBER(SEARCH(Classifiers!$G$18,E25)),1,0)))&gt;0,1,0))</f>
        <v/>
      </c>
    </row>
    <row r="26">
      <c r="A26" s="8" t="n"/>
      <c r="B26" s="11" t="n"/>
      <c r="C26" s="6">
        <f>IF(A26="","",TRIM(RIGHT(SUBSTITUTE(A26,"/",REPT(" ",250)),250)))</f>
        <v/>
      </c>
      <c r="D26" s="6">
        <f>IF(C26="","",IF(ISNUMBER(SEARCH(".",C26)),LOWER("."&amp;TRIM(RIGHT(SUBSTITUTE(C26,".",REPT(" ",250)),250))),""))</f>
        <v/>
      </c>
      <c r="E26" s="6">
        <f>IF(C26="","",TRIM(SUBSTITUTE(SUBSTITUTE(SUBSTITUTE(SUBSTITUTE(SUBSTITUTE(SUBSTITUTE(SUBSTITUTE(SUBSTITUTE(SUBSTITUTE(SUBSTITUTE(SUBSTITUTE(SUBSTITUTE(SUBSTITUTE(SUBSTITUTE(SUBSTITUTE(SUBSTITUTE(SUBSTITUTE(SUBSTITUTE(SUBSTITUTE(SUBSTITUTE(LOWER(LEFT(C26,LEN(C26)-LEN(D26))),"_"," "),"-"," "),"."," "),","," "),"("," "),")"," "),"["," "),"]"," "),"&amp;"," "),"+"," "),"@"," "),"#"," "),"!"," "),"'"," "),"/"," "),":"," "),";"," "),"="," "),"~"," "),"%"," ")))</f>
        <v/>
      </c>
      <c r="F26" s="6">
        <f>IF(C26="","",IF(COUNTIF(Classifiers!$A$23:$A$40,D26)&gt;0,1,0))</f>
        <v/>
      </c>
      <c r="G26" s="6">
        <f>IF(C26="","",IF(COUNTIF(Classifiers!$C$23:$C$30,D26)&gt;0,IF((IF(ISNUMBER(SEARCH(Classifiers!$E$23,E26)),1,0)+IF(ISNUMBER(SEARCH(Classifiers!$E$24,E26)),1,0)+IF(ISNUMBER(SEARCH(Classifiers!$E$25,E26)),1,0)+IF(ISNUMBER(SEARCH(Classifiers!$E$26,E26)),1,0)+IF(ISNUMBER(SEARCH(Classifiers!$E$27,E26)),1,0)+IF(ISNUMBER(SEARCH(Classifiers!$E$28,E26)),1,0)+IF(ISNUMBER(SEARCH(Classifiers!$E$29,E26)),1,0)+IF(ISNUMBER(SEARCH(Classifiers!$E$30,E26)),1,0))&gt;0,1,0),0))</f>
        <v/>
      </c>
      <c r="H26" s="6">
        <f>IF(C26="","",IF(OR(LEFT(C26,1)=".",AND(F26=0,G26=0)),0,1))</f>
        <v/>
      </c>
      <c r="I26" s="6">
        <f>IF(H26&lt;&gt;1,"",IF(SUM(J26:W26)=0,"unclassified",INDEX(Classifiers!$A$5:$A$18,MATCH(1,J26:W26,0),1)))</f>
        <v/>
      </c>
      <c r="J26" s="12">
        <f>IF(H26&lt;&gt;1,0,IF((IF(Classifiers!$B$5="",0,IF(ISNUMBER(SEARCH(Classifiers!$B$5,E26)),1,0))+IF(Classifiers!$C$5="",0,IF(ISNUMBER(SEARCH(Classifiers!$C$5,E26)),1,0))+IF(Classifiers!$D$5="",0,IF(ISNUMBER(SEARCH(Classifiers!$D$5,E26)),1,0))+IF(Classifiers!$E$5="",0,IF(ISNUMBER(SEARCH(Classifiers!$E$5,E26)),1,0))+IF(Classifiers!$F$5="",0,IF(ISNUMBER(SEARCH(Classifiers!$F$5,E26)),1,0))+IF(Classifiers!$G$5="",0,IF(ISNUMBER(SEARCH(Classifiers!$G$5,E26)),1,0)))&gt;0,1,0))</f>
        <v/>
      </c>
      <c r="K26" s="12">
        <f>IF(H26&lt;&gt;1,0,IF((IF(Classifiers!$B$6="",0,IF(ISNUMBER(SEARCH(Classifiers!$B$6,E26)),1,0))+IF(Classifiers!$C$6="",0,IF(ISNUMBER(SEARCH(Classifiers!$C$6,E26)),1,0))+IF(Classifiers!$D$6="",0,IF(ISNUMBER(SEARCH(Classifiers!$D$6,E26)),1,0))+IF(Classifiers!$E$6="",0,IF(ISNUMBER(SEARCH(Classifiers!$E$6,E26)),1,0))+IF(Classifiers!$F$6="",0,IF(ISNUMBER(SEARCH(Classifiers!$F$6,E26)),1,0))+IF(Classifiers!$G$6="",0,IF(ISNUMBER(SEARCH(Classifiers!$G$6,E26)),1,0)))&gt;0,1,0))</f>
        <v/>
      </c>
      <c r="L26" s="12">
        <f>IF(H26&lt;&gt;1,0,IF((IF(Classifiers!$B$7="",0,IF(ISNUMBER(SEARCH(Classifiers!$B$7,E26)),1,0))+IF(Classifiers!$C$7="",0,IF(ISNUMBER(SEARCH(Classifiers!$C$7,E26)),1,0))+IF(Classifiers!$D$7="",0,IF(ISNUMBER(SEARCH(Classifiers!$D$7,E26)),1,0))+IF(Classifiers!$E$7="",0,IF(ISNUMBER(SEARCH(Classifiers!$E$7,E26)),1,0))+IF(Classifiers!$F$7="",0,IF(ISNUMBER(SEARCH(Classifiers!$F$7,E26)),1,0))+IF(Classifiers!$G$7="",0,IF(ISNUMBER(SEARCH(Classifiers!$G$7,E26)),1,0)))&gt;0,1,0))</f>
        <v/>
      </c>
      <c r="M26" s="12">
        <f>IF(H26&lt;&gt;1,0,IF((IF(Classifiers!$B$8="",0,IF(ISNUMBER(SEARCH(Classifiers!$B$8,E26)),1,0))+IF(Classifiers!$C$8="",0,IF(ISNUMBER(SEARCH(Classifiers!$C$8,E26)),1,0))+IF(Classifiers!$D$8="",0,IF(ISNUMBER(SEARCH(Classifiers!$D$8,E26)),1,0))+IF(Classifiers!$E$8="",0,IF(ISNUMBER(SEARCH(Classifiers!$E$8,E26)),1,0))+IF(Classifiers!$F$8="",0,IF(ISNUMBER(SEARCH(Classifiers!$F$8,E26)),1,0))+IF(Classifiers!$G$8="",0,IF(ISNUMBER(SEARCH(Classifiers!$G$8,E26)),1,0)))&gt;0,1,0))</f>
        <v/>
      </c>
      <c r="N26" s="12">
        <f>IF(H26&lt;&gt;1,0,IF((IF(Classifiers!$B$9="",0,IF(ISNUMBER(SEARCH(Classifiers!$B$9,E26)),1,0))+IF(Classifiers!$C$9="",0,IF(ISNUMBER(SEARCH(Classifiers!$C$9,E26)),1,0))+IF(Classifiers!$D$9="",0,IF(ISNUMBER(SEARCH(Classifiers!$D$9,E26)),1,0))+IF(Classifiers!$E$9="",0,IF(ISNUMBER(SEARCH(Classifiers!$E$9,E26)),1,0))+IF(Classifiers!$F$9="",0,IF(ISNUMBER(SEARCH(Classifiers!$F$9,E26)),1,0))+IF(Classifiers!$G$9="",0,IF(ISNUMBER(SEARCH(Classifiers!$G$9,E26)),1,0)))&gt;0,1,0))</f>
        <v/>
      </c>
      <c r="O26" s="12">
        <f>IF(H26&lt;&gt;1,0,IF((IF(Classifiers!$B$10="",0,IF(ISNUMBER(SEARCH(Classifiers!$B$10,E26)),1,0))+IF(Classifiers!$C$10="",0,IF(ISNUMBER(SEARCH(Classifiers!$C$10,E26)),1,0))+IF(Classifiers!$D$10="",0,IF(ISNUMBER(SEARCH(Classifiers!$D$10,E26)),1,0))+IF(Classifiers!$E$10="",0,IF(ISNUMBER(SEARCH(Classifiers!$E$10,E26)),1,0))+IF(Classifiers!$F$10="",0,IF(ISNUMBER(SEARCH(Classifiers!$F$10,E26)),1,0))+IF(Classifiers!$G$10="",0,IF(ISNUMBER(SEARCH(Classifiers!$G$10,E26)),1,0)))&gt;0,1,0))</f>
        <v/>
      </c>
      <c r="P26" s="12">
        <f>IF(H26&lt;&gt;1,0,IF((IF(Classifiers!$B$11="",0,IF(ISNUMBER(SEARCH(Classifiers!$B$11,E26)),1,0))+IF(Classifiers!$C$11="",0,IF(ISNUMBER(SEARCH(Classifiers!$C$11,E26)),1,0))+IF(Classifiers!$D$11="",0,IF(ISNUMBER(SEARCH(Classifiers!$D$11,E26)),1,0))+IF(Classifiers!$E$11="",0,IF(ISNUMBER(SEARCH(Classifiers!$E$11,E26)),1,0))+IF(Classifiers!$F$11="",0,IF(ISNUMBER(SEARCH(Classifiers!$F$11,E26)),1,0))+IF(Classifiers!$G$11="",0,IF(ISNUMBER(SEARCH(Classifiers!$G$11,E26)),1,0)))&gt;0,1,0))</f>
        <v/>
      </c>
      <c r="Q26" s="12">
        <f>IF(H26&lt;&gt;1,0,IF((IF(Classifiers!$B$12="",0,IF(ISNUMBER(SEARCH(Classifiers!$B$12,E26)),1,0))+IF(Classifiers!$C$12="",0,IF(ISNUMBER(SEARCH(Classifiers!$C$12,E26)),1,0))+IF(Classifiers!$D$12="",0,IF(ISNUMBER(SEARCH(Classifiers!$D$12,E26)),1,0))+IF(Classifiers!$E$12="",0,IF(ISNUMBER(SEARCH(Classifiers!$E$12,E26)),1,0))+IF(Classifiers!$F$12="",0,IF(ISNUMBER(SEARCH(Classifiers!$F$12,E26)),1,0))+IF(Classifiers!$G$12="",0,IF(ISNUMBER(SEARCH(Classifiers!$G$12,E26)),1,0)))&gt;0,1,0))</f>
        <v/>
      </c>
      <c r="R26" s="12">
        <f>IF(H26&lt;&gt;1,0,IF((IF(Classifiers!$B$13="",0,IF(ISNUMBER(SEARCH(Classifiers!$B$13,E26)),1,0))+IF(Classifiers!$C$13="",0,IF(ISNUMBER(SEARCH(Classifiers!$C$13,E26)),1,0))+IF(Classifiers!$D$13="",0,IF(ISNUMBER(SEARCH(Classifiers!$D$13,E26)),1,0))+IF(Classifiers!$E$13="",0,IF(ISNUMBER(SEARCH(Classifiers!$E$13,E26)),1,0))+IF(Classifiers!$F$13="",0,IF(ISNUMBER(SEARCH(Classifiers!$F$13,E26)),1,0))+IF(Classifiers!$G$13="",0,IF(ISNUMBER(SEARCH(Classifiers!$G$13,E26)),1,0)))&gt;0,1,0))</f>
        <v/>
      </c>
      <c r="S26" s="12">
        <f>IF(H26&lt;&gt;1,0,IF((IF(Classifiers!$B$14="",0,IF(ISNUMBER(SEARCH(Classifiers!$B$14,E26)),1,0))+IF(Classifiers!$C$14="",0,IF(ISNUMBER(SEARCH(Classifiers!$C$14,E26)),1,0))+IF(Classifiers!$D$14="",0,IF(ISNUMBER(SEARCH(Classifiers!$D$14,E26)),1,0))+IF(Classifiers!$E$14="",0,IF(ISNUMBER(SEARCH(Classifiers!$E$14,E26)),1,0))+IF(Classifiers!$F$14="",0,IF(ISNUMBER(SEARCH(Classifiers!$F$14,E26)),1,0))+IF(Classifiers!$G$14="",0,IF(ISNUMBER(SEARCH(Classifiers!$G$14,E26)),1,0)))&gt;0,1,0))</f>
        <v/>
      </c>
      <c r="T26" s="12">
        <f>IF(H26&lt;&gt;1,0,IF((IF(Classifiers!$B$15="",0,IF(ISNUMBER(SEARCH(Classifiers!$B$15,E26)),1,0))+IF(Classifiers!$C$15="",0,IF(ISNUMBER(SEARCH(Classifiers!$C$15,E26)),1,0))+IF(Classifiers!$D$15="",0,IF(ISNUMBER(SEARCH(Classifiers!$D$15,E26)),1,0))+IF(Classifiers!$E$15="",0,IF(ISNUMBER(SEARCH(Classifiers!$E$15,E26)),1,0))+IF(Classifiers!$F$15="",0,IF(ISNUMBER(SEARCH(Classifiers!$F$15,E26)),1,0))+IF(Classifiers!$G$15="",0,IF(ISNUMBER(SEARCH(Classifiers!$G$15,E26)),1,0)))&gt;0,1,0))</f>
        <v/>
      </c>
      <c r="U26" s="12">
        <f>IF(H26&lt;&gt;1,0,IF((IF(Classifiers!$B$16="",0,IF(ISNUMBER(SEARCH(Classifiers!$B$16,E26)),1,0))+IF(Classifiers!$C$16="",0,IF(ISNUMBER(SEARCH(Classifiers!$C$16,E26)),1,0))+IF(Classifiers!$D$16="",0,IF(ISNUMBER(SEARCH(Classifiers!$D$16,E26)),1,0))+IF(Classifiers!$E$16="",0,IF(ISNUMBER(SEARCH(Classifiers!$E$16,E26)),1,0))+IF(Classifiers!$F$16="",0,IF(ISNUMBER(SEARCH(Classifiers!$F$16,E26)),1,0))+IF(Classifiers!$G$16="",0,IF(ISNUMBER(SEARCH(Classifiers!$G$16,E26)),1,0)))&gt;0,1,0))</f>
        <v/>
      </c>
      <c r="V26" s="12">
        <f>IF(H26&lt;&gt;1,0,IF((IF(Classifiers!$B$17="",0,IF(ISNUMBER(SEARCH(Classifiers!$B$17,E26)),1,0))+IF(Classifiers!$C$17="",0,IF(ISNUMBER(SEARCH(Classifiers!$C$17,E26)),1,0))+IF(Classifiers!$D$17="",0,IF(ISNUMBER(SEARCH(Classifiers!$D$17,E26)),1,0))+IF(Classifiers!$E$17="",0,IF(ISNUMBER(SEARCH(Classifiers!$E$17,E26)),1,0))+IF(Classifiers!$F$17="",0,IF(ISNUMBER(SEARCH(Classifiers!$F$17,E26)),1,0))+IF(Classifiers!$G$17="",0,IF(ISNUMBER(SEARCH(Classifiers!$G$17,E26)),1,0)))&gt;0,1,0))</f>
        <v/>
      </c>
      <c r="W26" s="12">
        <f>IF(H26&lt;&gt;1,0,IF((IF(Classifiers!$B$18="",0,IF(ISNUMBER(SEARCH(Classifiers!$B$18,E26)),1,0))+IF(Classifiers!$C$18="",0,IF(ISNUMBER(SEARCH(Classifiers!$C$18,E26)),1,0))+IF(Classifiers!$D$18="",0,IF(ISNUMBER(SEARCH(Classifiers!$D$18,E26)),1,0))+IF(Classifiers!$E$18="",0,IF(ISNUMBER(SEARCH(Classifiers!$E$18,E26)),1,0))+IF(Classifiers!$F$18="",0,IF(ISNUMBER(SEARCH(Classifiers!$F$18,E26)),1,0))+IF(Classifiers!$G$18="",0,IF(ISNUMBER(SEARCH(Classifiers!$G$18,E26)),1,0)))&gt;0,1,0))</f>
        <v/>
      </c>
    </row>
    <row r="27">
      <c r="A27" s="8" t="n"/>
      <c r="B27" s="11" t="n"/>
      <c r="C27" s="6">
        <f>IF(A27="","",TRIM(RIGHT(SUBSTITUTE(A27,"/",REPT(" ",250)),250)))</f>
        <v/>
      </c>
      <c r="D27" s="6">
        <f>IF(C27="","",IF(ISNUMBER(SEARCH(".",C27)),LOWER("."&amp;TRIM(RIGHT(SUBSTITUTE(C27,".",REPT(" ",250)),250))),""))</f>
        <v/>
      </c>
      <c r="E27" s="6">
        <f>IF(C27="","",TRIM(SUBSTITUTE(SUBSTITUTE(SUBSTITUTE(SUBSTITUTE(SUBSTITUTE(SUBSTITUTE(SUBSTITUTE(SUBSTITUTE(SUBSTITUTE(SUBSTITUTE(SUBSTITUTE(SUBSTITUTE(SUBSTITUTE(SUBSTITUTE(SUBSTITUTE(SUBSTITUTE(SUBSTITUTE(SUBSTITUTE(SUBSTITUTE(SUBSTITUTE(LOWER(LEFT(C27,LEN(C27)-LEN(D27))),"_"," "),"-"," "),"."," "),","," "),"("," "),")"," "),"["," "),"]"," "),"&amp;"," "),"+"," "),"@"," "),"#"," "),"!"," "),"'"," "),"/"," "),":"," "),";"," "),"="," "),"~"," "),"%"," ")))</f>
        <v/>
      </c>
      <c r="F27" s="6">
        <f>IF(C27="","",IF(COUNTIF(Classifiers!$A$23:$A$40,D27)&gt;0,1,0))</f>
        <v/>
      </c>
      <c r="G27" s="6">
        <f>IF(C27="","",IF(COUNTIF(Classifiers!$C$23:$C$30,D27)&gt;0,IF((IF(ISNUMBER(SEARCH(Classifiers!$E$23,E27)),1,0)+IF(ISNUMBER(SEARCH(Classifiers!$E$24,E27)),1,0)+IF(ISNUMBER(SEARCH(Classifiers!$E$25,E27)),1,0)+IF(ISNUMBER(SEARCH(Classifiers!$E$26,E27)),1,0)+IF(ISNUMBER(SEARCH(Classifiers!$E$27,E27)),1,0)+IF(ISNUMBER(SEARCH(Classifiers!$E$28,E27)),1,0)+IF(ISNUMBER(SEARCH(Classifiers!$E$29,E27)),1,0)+IF(ISNUMBER(SEARCH(Classifiers!$E$30,E27)),1,0))&gt;0,1,0),0))</f>
        <v/>
      </c>
      <c r="H27" s="6">
        <f>IF(C27="","",IF(OR(LEFT(C27,1)=".",AND(F27=0,G27=0)),0,1))</f>
        <v/>
      </c>
      <c r="I27" s="6">
        <f>IF(H27&lt;&gt;1,"",IF(SUM(J27:W27)=0,"unclassified",INDEX(Classifiers!$A$5:$A$18,MATCH(1,J27:W27,0),1)))</f>
        <v/>
      </c>
      <c r="J27" s="12">
        <f>IF(H27&lt;&gt;1,0,IF((IF(Classifiers!$B$5="",0,IF(ISNUMBER(SEARCH(Classifiers!$B$5,E27)),1,0))+IF(Classifiers!$C$5="",0,IF(ISNUMBER(SEARCH(Classifiers!$C$5,E27)),1,0))+IF(Classifiers!$D$5="",0,IF(ISNUMBER(SEARCH(Classifiers!$D$5,E27)),1,0))+IF(Classifiers!$E$5="",0,IF(ISNUMBER(SEARCH(Classifiers!$E$5,E27)),1,0))+IF(Classifiers!$F$5="",0,IF(ISNUMBER(SEARCH(Classifiers!$F$5,E27)),1,0))+IF(Classifiers!$G$5="",0,IF(ISNUMBER(SEARCH(Classifiers!$G$5,E27)),1,0)))&gt;0,1,0))</f>
        <v/>
      </c>
      <c r="K27" s="12">
        <f>IF(H27&lt;&gt;1,0,IF((IF(Classifiers!$B$6="",0,IF(ISNUMBER(SEARCH(Classifiers!$B$6,E27)),1,0))+IF(Classifiers!$C$6="",0,IF(ISNUMBER(SEARCH(Classifiers!$C$6,E27)),1,0))+IF(Classifiers!$D$6="",0,IF(ISNUMBER(SEARCH(Classifiers!$D$6,E27)),1,0))+IF(Classifiers!$E$6="",0,IF(ISNUMBER(SEARCH(Classifiers!$E$6,E27)),1,0))+IF(Classifiers!$F$6="",0,IF(ISNUMBER(SEARCH(Classifiers!$F$6,E27)),1,0))+IF(Classifiers!$G$6="",0,IF(ISNUMBER(SEARCH(Classifiers!$G$6,E27)),1,0)))&gt;0,1,0))</f>
        <v/>
      </c>
      <c r="L27" s="12">
        <f>IF(H27&lt;&gt;1,0,IF((IF(Classifiers!$B$7="",0,IF(ISNUMBER(SEARCH(Classifiers!$B$7,E27)),1,0))+IF(Classifiers!$C$7="",0,IF(ISNUMBER(SEARCH(Classifiers!$C$7,E27)),1,0))+IF(Classifiers!$D$7="",0,IF(ISNUMBER(SEARCH(Classifiers!$D$7,E27)),1,0))+IF(Classifiers!$E$7="",0,IF(ISNUMBER(SEARCH(Classifiers!$E$7,E27)),1,0))+IF(Classifiers!$F$7="",0,IF(ISNUMBER(SEARCH(Classifiers!$F$7,E27)),1,0))+IF(Classifiers!$G$7="",0,IF(ISNUMBER(SEARCH(Classifiers!$G$7,E27)),1,0)))&gt;0,1,0))</f>
        <v/>
      </c>
      <c r="M27" s="12">
        <f>IF(H27&lt;&gt;1,0,IF((IF(Classifiers!$B$8="",0,IF(ISNUMBER(SEARCH(Classifiers!$B$8,E27)),1,0))+IF(Classifiers!$C$8="",0,IF(ISNUMBER(SEARCH(Classifiers!$C$8,E27)),1,0))+IF(Classifiers!$D$8="",0,IF(ISNUMBER(SEARCH(Classifiers!$D$8,E27)),1,0))+IF(Classifiers!$E$8="",0,IF(ISNUMBER(SEARCH(Classifiers!$E$8,E27)),1,0))+IF(Classifiers!$F$8="",0,IF(ISNUMBER(SEARCH(Classifiers!$F$8,E27)),1,0))+IF(Classifiers!$G$8="",0,IF(ISNUMBER(SEARCH(Classifiers!$G$8,E27)),1,0)))&gt;0,1,0))</f>
        <v/>
      </c>
      <c r="N27" s="12">
        <f>IF(H27&lt;&gt;1,0,IF((IF(Classifiers!$B$9="",0,IF(ISNUMBER(SEARCH(Classifiers!$B$9,E27)),1,0))+IF(Classifiers!$C$9="",0,IF(ISNUMBER(SEARCH(Classifiers!$C$9,E27)),1,0))+IF(Classifiers!$D$9="",0,IF(ISNUMBER(SEARCH(Classifiers!$D$9,E27)),1,0))+IF(Classifiers!$E$9="",0,IF(ISNUMBER(SEARCH(Classifiers!$E$9,E27)),1,0))+IF(Classifiers!$F$9="",0,IF(ISNUMBER(SEARCH(Classifiers!$F$9,E27)),1,0))+IF(Classifiers!$G$9="",0,IF(ISNUMBER(SEARCH(Classifiers!$G$9,E27)),1,0)))&gt;0,1,0))</f>
        <v/>
      </c>
      <c r="O27" s="12">
        <f>IF(H27&lt;&gt;1,0,IF((IF(Classifiers!$B$10="",0,IF(ISNUMBER(SEARCH(Classifiers!$B$10,E27)),1,0))+IF(Classifiers!$C$10="",0,IF(ISNUMBER(SEARCH(Classifiers!$C$10,E27)),1,0))+IF(Classifiers!$D$10="",0,IF(ISNUMBER(SEARCH(Classifiers!$D$10,E27)),1,0))+IF(Classifiers!$E$10="",0,IF(ISNUMBER(SEARCH(Classifiers!$E$10,E27)),1,0))+IF(Classifiers!$F$10="",0,IF(ISNUMBER(SEARCH(Classifiers!$F$10,E27)),1,0))+IF(Classifiers!$G$10="",0,IF(ISNUMBER(SEARCH(Classifiers!$G$10,E27)),1,0)))&gt;0,1,0))</f>
        <v/>
      </c>
      <c r="P27" s="12">
        <f>IF(H27&lt;&gt;1,0,IF((IF(Classifiers!$B$11="",0,IF(ISNUMBER(SEARCH(Classifiers!$B$11,E27)),1,0))+IF(Classifiers!$C$11="",0,IF(ISNUMBER(SEARCH(Classifiers!$C$11,E27)),1,0))+IF(Classifiers!$D$11="",0,IF(ISNUMBER(SEARCH(Classifiers!$D$11,E27)),1,0))+IF(Classifiers!$E$11="",0,IF(ISNUMBER(SEARCH(Classifiers!$E$11,E27)),1,0))+IF(Classifiers!$F$11="",0,IF(ISNUMBER(SEARCH(Classifiers!$F$11,E27)),1,0))+IF(Classifiers!$G$11="",0,IF(ISNUMBER(SEARCH(Classifiers!$G$11,E27)),1,0)))&gt;0,1,0))</f>
        <v/>
      </c>
      <c r="Q27" s="12">
        <f>IF(H27&lt;&gt;1,0,IF((IF(Classifiers!$B$12="",0,IF(ISNUMBER(SEARCH(Classifiers!$B$12,E27)),1,0))+IF(Classifiers!$C$12="",0,IF(ISNUMBER(SEARCH(Classifiers!$C$12,E27)),1,0))+IF(Classifiers!$D$12="",0,IF(ISNUMBER(SEARCH(Classifiers!$D$12,E27)),1,0))+IF(Classifiers!$E$12="",0,IF(ISNUMBER(SEARCH(Classifiers!$E$12,E27)),1,0))+IF(Classifiers!$F$12="",0,IF(ISNUMBER(SEARCH(Classifiers!$F$12,E27)),1,0))+IF(Classifiers!$G$12="",0,IF(ISNUMBER(SEARCH(Classifiers!$G$12,E27)),1,0)))&gt;0,1,0))</f>
        <v/>
      </c>
      <c r="R27" s="12">
        <f>IF(H27&lt;&gt;1,0,IF((IF(Classifiers!$B$13="",0,IF(ISNUMBER(SEARCH(Classifiers!$B$13,E27)),1,0))+IF(Classifiers!$C$13="",0,IF(ISNUMBER(SEARCH(Classifiers!$C$13,E27)),1,0))+IF(Classifiers!$D$13="",0,IF(ISNUMBER(SEARCH(Classifiers!$D$13,E27)),1,0))+IF(Classifiers!$E$13="",0,IF(ISNUMBER(SEARCH(Classifiers!$E$13,E27)),1,0))+IF(Classifiers!$F$13="",0,IF(ISNUMBER(SEARCH(Classifiers!$F$13,E27)),1,0))+IF(Classifiers!$G$13="",0,IF(ISNUMBER(SEARCH(Classifiers!$G$13,E27)),1,0)))&gt;0,1,0))</f>
        <v/>
      </c>
      <c r="S27" s="12">
        <f>IF(H27&lt;&gt;1,0,IF((IF(Classifiers!$B$14="",0,IF(ISNUMBER(SEARCH(Classifiers!$B$14,E27)),1,0))+IF(Classifiers!$C$14="",0,IF(ISNUMBER(SEARCH(Classifiers!$C$14,E27)),1,0))+IF(Classifiers!$D$14="",0,IF(ISNUMBER(SEARCH(Classifiers!$D$14,E27)),1,0))+IF(Classifiers!$E$14="",0,IF(ISNUMBER(SEARCH(Classifiers!$E$14,E27)),1,0))+IF(Classifiers!$F$14="",0,IF(ISNUMBER(SEARCH(Classifiers!$F$14,E27)),1,0))+IF(Classifiers!$G$14="",0,IF(ISNUMBER(SEARCH(Classifiers!$G$14,E27)),1,0)))&gt;0,1,0))</f>
        <v/>
      </c>
      <c r="T27" s="12">
        <f>IF(H27&lt;&gt;1,0,IF((IF(Classifiers!$B$15="",0,IF(ISNUMBER(SEARCH(Classifiers!$B$15,E27)),1,0))+IF(Classifiers!$C$15="",0,IF(ISNUMBER(SEARCH(Classifiers!$C$15,E27)),1,0))+IF(Classifiers!$D$15="",0,IF(ISNUMBER(SEARCH(Classifiers!$D$15,E27)),1,0))+IF(Classifiers!$E$15="",0,IF(ISNUMBER(SEARCH(Classifiers!$E$15,E27)),1,0))+IF(Classifiers!$F$15="",0,IF(ISNUMBER(SEARCH(Classifiers!$F$15,E27)),1,0))+IF(Classifiers!$G$15="",0,IF(ISNUMBER(SEARCH(Classifiers!$G$15,E27)),1,0)))&gt;0,1,0))</f>
        <v/>
      </c>
      <c r="U27" s="12">
        <f>IF(H27&lt;&gt;1,0,IF((IF(Classifiers!$B$16="",0,IF(ISNUMBER(SEARCH(Classifiers!$B$16,E27)),1,0))+IF(Classifiers!$C$16="",0,IF(ISNUMBER(SEARCH(Classifiers!$C$16,E27)),1,0))+IF(Classifiers!$D$16="",0,IF(ISNUMBER(SEARCH(Classifiers!$D$16,E27)),1,0))+IF(Classifiers!$E$16="",0,IF(ISNUMBER(SEARCH(Classifiers!$E$16,E27)),1,0))+IF(Classifiers!$F$16="",0,IF(ISNUMBER(SEARCH(Classifiers!$F$16,E27)),1,0))+IF(Classifiers!$G$16="",0,IF(ISNUMBER(SEARCH(Classifiers!$G$16,E27)),1,0)))&gt;0,1,0))</f>
        <v/>
      </c>
      <c r="V27" s="12">
        <f>IF(H27&lt;&gt;1,0,IF((IF(Classifiers!$B$17="",0,IF(ISNUMBER(SEARCH(Classifiers!$B$17,E27)),1,0))+IF(Classifiers!$C$17="",0,IF(ISNUMBER(SEARCH(Classifiers!$C$17,E27)),1,0))+IF(Classifiers!$D$17="",0,IF(ISNUMBER(SEARCH(Classifiers!$D$17,E27)),1,0))+IF(Classifiers!$E$17="",0,IF(ISNUMBER(SEARCH(Classifiers!$E$17,E27)),1,0))+IF(Classifiers!$F$17="",0,IF(ISNUMBER(SEARCH(Classifiers!$F$17,E27)),1,0))+IF(Classifiers!$G$17="",0,IF(ISNUMBER(SEARCH(Classifiers!$G$17,E27)),1,0)))&gt;0,1,0))</f>
        <v/>
      </c>
      <c r="W27" s="12">
        <f>IF(H27&lt;&gt;1,0,IF((IF(Classifiers!$B$18="",0,IF(ISNUMBER(SEARCH(Classifiers!$B$18,E27)),1,0))+IF(Classifiers!$C$18="",0,IF(ISNUMBER(SEARCH(Classifiers!$C$18,E27)),1,0))+IF(Classifiers!$D$18="",0,IF(ISNUMBER(SEARCH(Classifiers!$D$18,E27)),1,0))+IF(Classifiers!$E$18="",0,IF(ISNUMBER(SEARCH(Classifiers!$E$18,E27)),1,0))+IF(Classifiers!$F$18="",0,IF(ISNUMBER(SEARCH(Classifiers!$F$18,E27)),1,0))+IF(Classifiers!$G$18="",0,IF(ISNUMBER(SEARCH(Classifiers!$G$18,E27)),1,0)))&gt;0,1,0))</f>
        <v/>
      </c>
    </row>
    <row r="28">
      <c r="A28" s="8" t="n"/>
      <c r="B28" s="11" t="n"/>
      <c r="C28" s="6">
        <f>IF(A28="","",TRIM(RIGHT(SUBSTITUTE(A28,"/",REPT(" ",250)),250)))</f>
        <v/>
      </c>
      <c r="D28" s="6">
        <f>IF(C28="","",IF(ISNUMBER(SEARCH(".",C28)),LOWER("."&amp;TRIM(RIGHT(SUBSTITUTE(C28,".",REPT(" ",250)),250))),""))</f>
        <v/>
      </c>
      <c r="E28" s="6">
        <f>IF(C28="","",TRIM(SUBSTITUTE(SUBSTITUTE(SUBSTITUTE(SUBSTITUTE(SUBSTITUTE(SUBSTITUTE(SUBSTITUTE(SUBSTITUTE(SUBSTITUTE(SUBSTITUTE(SUBSTITUTE(SUBSTITUTE(SUBSTITUTE(SUBSTITUTE(SUBSTITUTE(SUBSTITUTE(SUBSTITUTE(SUBSTITUTE(SUBSTITUTE(SUBSTITUTE(LOWER(LEFT(C28,LEN(C28)-LEN(D28))),"_"," "),"-"," "),"."," "),","," "),"("," "),")"," "),"["," "),"]"," "),"&amp;"," "),"+"," "),"@"," "),"#"," "),"!"," "),"'"," "),"/"," "),":"," "),";"," "),"="," "),"~"," "),"%"," ")))</f>
        <v/>
      </c>
      <c r="F28" s="6">
        <f>IF(C28="","",IF(COUNTIF(Classifiers!$A$23:$A$40,D28)&gt;0,1,0))</f>
        <v/>
      </c>
      <c r="G28" s="6">
        <f>IF(C28="","",IF(COUNTIF(Classifiers!$C$23:$C$30,D28)&gt;0,IF((IF(ISNUMBER(SEARCH(Classifiers!$E$23,E28)),1,0)+IF(ISNUMBER(SEARCH(Classifiers!$E$24,E28)),1,0)+IF(ISNUMBER(SEARCH(Classifiers!$E$25,E28)),1,0)+IF(ISNUMBER(SEARCH(Classifiers!$E$26,E28)),1,0)+IF(ISNUMBER(SEARCH(Classifiers!$E$27,E28)),1,0)+IF(ISNUMBER(SEARCH(Classifiers!$E$28,E28)),1,0)+IF(ISNUMBER(SEARCH(Classifiers!$E$29,E28)),1,0)+IF(ISNUMBER(SEARCH(Classifiers!$E$30,E28)),1,0))&gt;0,1,0),0))</f>
        <v/>
      </c>
      <c r="H28" s="6">
        <f>IF(C28="","",IF(OR(LEFT(C28,1)=".",AND(F28=0,G28=0)),0,1))</f>
        <v/>
      </c>
      <c r="I28" s="6">
        <f>IF(H28&lt;&gt;1,"",IF(SUM(J28:W28)=0,"unclassified",INDEX(Classifiers!$A$5:$A$18,MATCH(1,J28:W28,0),1)))</f>
        <v/>
      </c>
      <c r="J28" s="12">
        <f>IF(H28&lt;&gt;1,0,IF((IF(Classifiers!$B$5="",0,IF(ISNUMBER(SEARCH(Classifiers!$B$5,E28)),1,0))+IF(Classifiers!$C$5="",0,IF(ISNUMBER(SEARCH(Classifiers!$C$5,E28)),1,0))+IF(Classifiers!$D$5="",0,IF(ISNUMBER(SEARCH(Classifiers!$D$5,E28)),1,0))+IF(Classifiers!$E$5="",0,IF(ISNUMBER(SEARCH(Classifiers!$E$5,E28)),1,0))+IF(Classifiers!$F$5="",0,IF(ISNUMBER(SEARCH(Classifiers!$F$5,E28)),1,0))+IF(Classifiers!$G$5="",0,IF(ISNUMBER(SEARCH(Classifiers!$G$5,E28)),1,0)))&gt;0,1,0))</f>
        <v/>
      </c>
      <c r="K28" s="12">
        <f>IF(H28&lt;&gt;1,0,IF((IF(Classifiers!$B$6="",0,IF(ISNUMBER(SEARCH(Classifiers!$B$6,E28)),1,0))+IF(Classifiers!$C$6="",0,IF(ISNUMBER(SEARCH(Classifiers!$C$6,E28)),1,0))+IF(Classifiers!$D$6="",0,IF(ISNUMBER(SEARCH(Classifiers!$D$6,E28)),1,0))+IF(Classifiers!$E$6="",0,IF(ISNUMBER(SEARCH(Classifiers!$E$6,E28)),1,0))+IF(Classifiers!$F$6="",0,IF(ISNUMBER(SEARCH(Classifiers!$F$6,E28)),1,0))+IF(Classifiers!$G$6="",0,IF(ISNUMBER(SEARCH(Classifiers!$G$6,E28)),1,0)))&gt;0,1,0))</f>
        <v/>
      </c>
      <c r="L28" s="12">
        <f>IF(H28&lt;&gt;1,0,IF((IF(Classifiers!$B$7="",0,IF(ISNUMBER(SEARCH(Classifiers!$B$7,E28)),1,0))+IF(Classifiers!$C$7="",0,IF(ISNUMBER(SEARCH(Classifiers!$C$7,E28)),1,0))+IF(Classifiers!$D$7="",0,IF(ISNUMBER(SEARCH(Classifiers!$D$7,E28)),1,0))+IF(Classifiers!$E$7="",0,IF(ISNUMBER(SEARCH(Classifiers!$E$7,E28)),1,0))+IF(Classifiers!$F$7="",0,IF(ISNUMBER(SEARCH(Classifiers!$F$7,E28)),1,0))+IF(Classifiers!$G$7="",0,IF(ISNUMBER(SEARCH(Classifiers!$G$7,E28)),1,0)))&gt;0,1,0))</f>
        <v/>
      </c>
      <c r="M28" s="12">
        <f>IF(H28&lt;&gt;1,0,IF((IF(Classifiers!$B$8="",0,IF(ISNUMBER(SEARCH(Classifiers!$B$8,E28)),1,0))+IF(Classifiers!$C$8="",0,IF(ISNUMBER(SEARCH(Classifiers!$C$8,E28)),1,0))+IF(Classifiers!$D$8="",0,IF(ISNUMBER(SEARCH(Classifiers!$D$8,E28)),1,0))+IF(Classifiers!$E$8="",0,IF(ISNUMBER(SEARCH(Classifiers!$E$8,E28)),1,0))+IF(Classifiers!$F$8="",0,IF(ISNUMBER(SEARCH(Classifiers!$F$8,E28)),1,0))+IF(Classifiers!$G$8="",0,IF(ISNUMBER(SEARCH(Classifiers!$G$8,E28)),1,0)))&gt;0,1,0))</f>
        <v/>
      </c>
      <c r="N28" s="12">
        <f>IF(H28&lt;&gt;1,0,IF((IF(Classifiers!$B$9="",0,IF(ISNUMBER(SEARCH(Classifiers!$B$9,E28)),1,0))+IF(Classifiers!$C$9="",0,IF(ISNUMBER(SEARCH(Classifiers!$C$9,E28)),1,0))+IF(Classifiers!$D$9="",0,IF(ISNUMBER(SEARCH(Classifiers!$D$9,E28)),1,0))+IF(Classifiers!$E$9="",0,IF(ISNUMBER(SEARCH(Classifiers!$E$9,E28)),1,0))+IF(Classifiers!$F$9="",0,IF(ISNUMBER(SEARCH(Classifiers!$F$9,E28)),1,0))+IF(Classifiers!$G$9="",0,IF(ISNUMBER(SEARCH(Classifiers!$G$9,E28)),1,0)))&gt;0,1,0))</f>
        <v/>
      </c>
      <c r="O28" s="12">
        <f>IF(H28&lt;&gt;1,0,IF((IF(Classifiers!$B$10="",0,IF(ISNUMBER(SEARCH(Classifiers!$B$10,E28)),1,0))+IF(Classifiers!$C$10="",0,IF(ISNUMBER(SEARCH(Classifiers!$C$10,E28)),1,0))+IF(Classifiers!$D$10="",0,IF(ISNUMBER(SEARCH(Classifiers!$D$10,E28)),1,0))+IF(Classifiers!$E$10="",0,IF(ISNUMBER(SEARCH(Classifiers!$E$10,E28)),1,0))+IF(Classifiers!$F$10="",0,IF(ISNUMBER(SEARCH(Classifiers!$F$10,E28)),1,0))+IF(Classifiers!$G$10="",0,IF(ISNUMBER(SEARCH(Classifiers!$G$10,E28)),1,0)))&gt;0,1,0))</f>
        <v/>
      </c>
      <c r="P28" s="12">
        <f>IF(H28&lt;&gt;1,0,IF((IF(Classifiers!$B$11="",0,IF(ISNUMBER(SEARCH(Classifiers!$B$11,E28)),1,0))+IF(Classifiers!$C$11="",0,IF(ISNUMBER(SEARCH(Classifiers!$C$11,E28)),1,0))+IF(Classifiers!$D$11="",0,IF(ISNUMBER(SEARCH(Classifiers!$D$11,E28)),1,0))+IF(Classifiers!$E$11="",0,IF(ISNUMBER(SEARCH(Classifiers!$E$11,E28)),1,0))+IF(Classifiers!$F$11="",0,IF(ISNUMBER(SEARCH(Classifiers!$F$11,E28)),1,0))+IF(Classifiers!$G$11="",0,IF(ISNUMBER(SEARCH(Classifiers!$G$11,E28)),1,0)))&gt;0,1,0))</f>
        <v/>
      </c>
      <c r="Q28" s="12">
        <f>IF(H28&lt;&gt;1,0,IF((IF(Classifiers!$B$12="",0,IF(ISNUMBER(SEARCH(Classifiers!$B$12,E28)),1,0))+IF(Classifiers!$C$12="",0,IF(ISNUMBER(SEARCH(Classifiers!$C$12,E28)),1,0))+IF(Classifiers!$D$12="",0,IF(ISNUMBER(SEARCH(Classifiers!$D$12,E28)),1,0))+IF(Classifiers!$E$12="",0,IF(ISNUMBER(SEARCH(Classifiers!$E$12,E28)),1,0))+IF(Classifiers!$F$12="",0,IF(ISNUMBER(SEARCH(Classifiers!$F$12,E28)),1,0))+IF(Classifiers!$G$12="",0,IF(ISNUMBER(SEARCH(Classifiers!$G$12,E28)),1,0)))&gt;0,1,0))</f>
        <v/>
      </c>
      <c r="R28" s="12">
        <f>IF(H28&lt;&gt;1,0,IF((IF(Classifiers!$B$13="",0,IF(ISNUMBER(SEARCH(Classifiers!$B$13,E28)),1,0))+IF(Classifiers!$C$13="",0,IF(ISNUMBER(SEARCH(Classifiers!$C$13,E28)),1,0))+IF(Classifiers!$D$13="",0,IF(ISNUMBER(SEARCH(Classifiers!$D$13,E28)),1,0))+IF(Classifiers!$E$13="",0,IF(ISNUMBER(SEARCH(Classifiers!$E$13,E28)),1,0))+IF(Classifiers!$F$13="",0,IF(ISNUMBER(SEARCH(Classifiers!$F$13,E28)),1,0))+IF(Classifiers!$G$13="",0,IF(ISNUMBER(SEARCH(Classifiers!$G$13,E28)),1,0)))&gt;0,1,0))</f>
        <v/>
      </c>
      <c r="S28" s="12">
        <f>IF(H28&lt;&gt;1,0,IF((IF(Classifiers!$B$14="",0,IF(ISNUMBER(SEARCH(Classifiers!$B$14,E28)),1,0))+IF(Classifiers!$C$14="",0,IF(ISNUMBER(SEARCH(Classifiers!$C$14,E28)),1,0))+IF(Classifiers!$D$14="",0,IF(ISNUMBER(SEARCH(Classifiers!$D$14,E28)),1,0))+IF(Classifiers!$E$14="",0,IF(ISNUMBER(SEARCH(Classifiers!$E$14,E28)),1,0))+IF(Classifiers!$F$14="",0,IF(ISNUMBER(SEARCH(Classifiers!$F$14,E28)),1,0))+IF(Classifiers!$G$14="",0,IF(ISNUMBER(SEARCH(Classifiers!$G$14,E28)),1,0)))&gt;0,1,0))</f>
        <v/>
      </c>
      <c r="T28" s="12">
        <f>IF(H28&lt;&gt;1,0,IF((IF(Classifiers!$B$15="",0,IF(ISNUMBER(SEARCH(Classifiers!$B$15,E28)),1,0))+IF(Classifiers!$C$15="",0,IF(ISNUMBER(SEARCH(Classifiers!$C$15,E28)),1,0))+IF(Classifiers!$D$15="",0,IF(ISNUMBER(SEARCH(Classifiers!$D$15,E28)),1,0))+IF(Classifiers!$E$15="",0,IF(ISNUMBER(SEARCH(Classifiers!$E$15,E28)),1,0))+IF(Classifiers!$F$15="",0,IF(ISNUMBER(SEARCH(Classifiers!$F$15,E28)),1,0))+IF(Classifiers!$G$15="",0,IF(ISNUMBER(SEARCH(Classifiers!$G$15,E28)),1,0)))&gt;0,1,0))</f>
        <v/>
      </c>
      <c r="U28" s="12">
        <f>IF(H28&lt;&gt;1,0,IF((IF(Classifiers!$B$16="",0,IF(ISNUMBER(SEARCH(Classifiers!$B$16,E28)),1,0))+IF(Classifiers!$C$16="",0,IF(ISNUMBER(SEARCH(Classifiers!$C$16,E28)),1,0))+IF(Classifiers!$D$16="",0,IF(ISNUMBER(SEARCH(Classifiers!$D$16,E28)),1,0))+IF(Classifiers!$E$16="",0,IF(ISNUMBER(SEARCH(Classifiers!$E$16,E28)),1,0))+IF(Classifiers!$F$16="",0,IF(ISNUMBER(SEARCH(Classifiers!$F$16,E28)),1,0))+IF(Classifiers!$G$16="",0,IF(ISNUMBER(SEARCH(Classifiers!$G$16,E28)),1,0)))&gt;0,1,0))</f>
        <v/>
      </c>
      <c r="V28" s="12">
        <f>IF(H28&lt;&gt;1,0,IF((IF(Classifiers!$B$17="",0,IF(ISNUMBER(SEARCH(Classifiers!$B$17,E28)),1,0))+IF(Classifiers!$C$17="",0,IF(ISNUMBER(SEARCH(Classifiers!$C$17,E28)),1,0))+IF(Classifiers!$D$17="",0,IF(ISNUMBER(SEARCH(Classifiers!$D$17,E28)),1,0))+IF(Classifiers!$E$17="",0,IF(ISNUMBER(SEARCH(Classifiers!$E$17,E28)),1,0))+IF(Classifiers!$F$17="",0,IF(ISNUMBER(SEARCH(Classifiers!$F$17,E28)),1,0))+IF(Classifiers!$G$17="",0,IF(ISNUMBER(SEARCH(Classifiers!$G$17,E28)),1,0)))&gt;0,1,0))</f>
        <v/>
      </c>
      <c r="W28" s="12">
        <f>IF(H28&lt;&gt;1,0,IF((IF(Classifiers!$B$18="",0,IF(ISNUMBER(SEARCH(Classifiers!$B$18,E28)),1,0))+IF(Classifiers!$C$18="",0,IF(ISNUMBER(SEARCH(Classifiers!$C$18,E28)),1,0))+IF(Classifiers!$D$18="",0,IF(ISNUMBER(SEARCH(Classifiers!$D$18,E28)),1,0))+IF(Classifiers!$E$18="",0,IF(ISNUMBER(SEARCH(Classifiers!$E$18,E28)),1,0))+IF(Classifiers!$F$18="",0,IF(ISNUMBER(SEARCH(Classifiers!$F$18,E28)),1,0))+IF(Classifiers!$G$18="",0,IF(ISNUMBER(SEARCH(Classifiers!$G$18,E28)),1,0)))&gt;0,1,0))</f>
        <v/>
      </c>
    </row>
    <row r="29">
      <c r="A29" s="8" t="n"/>
      <c r="B29" s="11" t="n"/>
      <c r="C29" s="6">
        <f>IF(A29="","",TRIM(RIGHT(SUBSTITUTE(A29,"/",REPT(" ",250)),250)))</f>
        <v/>
      </c>
      <c r="D29" s="6">
        <f>IF(C29="","",IF(ISNUMBER(SEARCH(".",C29)),LOWER("."&amp;TRIM(RIGHT(SUBSTITUTE(C29,".",REPT(" ",250)),250))),""))</f>
        <v/>
      </c>
      <c r="E29" s="6">
        <f>IF(C29="","",TRIM(SUBSTITUTE(SUBSTITUTE(SUBSTITUTE(SUBSTITUTE(SUBSTITUTE(SUBSTITUTE(SUBSTITUTE(SUBSTITUTE(SUBSTITUTE(SUBSTITUTE(SUBSTITUTE(SUBSTITUTE(SUBSTITUTE(SUBSTITUTE(SUBSTITUTE(SUBSTITUTE(SUBSTITUTE(SUBSTITUTE(SUBSTITUTE(SUBSTITUTE(LOWER(LEFT(C29,LEN(C29)-LEN(D29))),"_"," "),"-"," "),"."," "),","," "),"("," "),")"," "),"["," "),"]"," "),"&amp;"," "),"+"," "),"@"," "),"#"," "),"!"," "),"'"," "),"/"," "),":"," "),";"," "),"="," "),"~"," "),"%"," ")))</f>
        <v/>
      </c>
      <c r="F29" s="6">
        <f>IF(C29="","",IF(COUNTIF(Classifiers!$A$23:$A$40,D29)&gt;0,1,0))</f>
        <v/>
      </c>
      <c r="G29" s="6">
        <f>IF(C29="","",IF(COUNTIF(Classifiers!$C$23:$C$30,D29)&gt;0,IF((IF(ISNUMBER(SEARCH(Classifiers!$E$23,E29)),1,0)+IF(ISNUMBER(SEARCH(Classifiers!$E$24,E29)),1,0)+IF(ISNUMBER(SEARCH(Classifiers!$E$25,E29)),1,0)+IF(ISNUMBER(SEARCH(Classifiers!$E$26,E29)),1,0)+IF(ISNUMBER(SEARCH(Classifiers!$E$27,E29)),1,0)+IF(ISNUMBER(SEARCH(Classifiers!$E$28,E29)),1,0)+IF(ISNUMBER(SEARCH(Classifiers!$E$29,E29)),1,0)+IF(ISNUMBER(SEARCH(Classifiers!$E$30,E29)),1,0))&gt;0,1,0),0))</f>
        <v/>
      </c>
      <c r="H29" s="6">
        <f>IF(C29="","",IF(OR(LEFT(C29,1)=".",AND(F29=0,G29=0)),0,1))</f>
        <v/>
      </c>
      <c r="I29" s="6">
        <f>IF(H29&lt;&gt;1,"",IF(SUM(J29:W29)=0,"unclassified",INDEX(Classifiers!$A$5:$A$18,MATCH(1,J29:W29,0),1)))</f>
        <v/>
      </c>
      <c r="J29" s="12">
        <f>IF(H29&lt;&gt;1,0,IF((IF(Classifiers!$B$5="",0,IF(ISNUMBER(SEARCH(Classifiers!$B$5,E29)),1,0))+IF(Classifiers!$C$5="",0,IF(ISNUMBER(SEARCH(Classifiers!$C$5,E29)),1,0))+IF(Classifiers!$D$5="",0,IF(ISNUMBER(SEARCH(Classifiers!$D$5,E29)),1,0))+IF(Classifiers!$E$5="",0,IF(ISNUMBER(SEARCH(Classifiers!$E$5,E29)),1,0))+IF(Classifiers!$F$5="",0,IF(ISNUMBER(SEARCH(Classifiers!$F$5,E29)),1,0))+IF(Classifiers!$G$5="",0,IF(ISNUMBER(SEARCH(Classifiers!$G$5,E29)),1,0)))&gt;0,1,0))</f>
        <v/>
      </c>
      <c r="K29" s="12">
        <f>IF(H29&lt;&gt;1,0,IF((IF(Classifiers!$B$6="",0,IF(ISNUMBER(SEARCH(Classifiers!$B$6,E29)),1,0))+IF(Classifiers!$C$6="",0,IF(ISNUMBER(SEARCH(Classifiers!$C$6,E29)),1,0))+IF(Classifiers!$D$6="",0,IF(ISNUMBER(SEARCH(Classifiers!$D$6,E29)),1,0))+IF(Classifiers!$E$6="",0,IF(ISNUMBER(SEARCH(Classifiers!$E$6,E29)),1,0))+IF(Classifiers!$F$6="",0,IF(ISNUMBER(SEARCH(Classifiers!$F$6,E29)),1,0))+IF(Classifiers!$G$6="",0,IF(ISNUMBER(SEARCH(Classifiers!$G$6,E29)),1,0)))&gt;0,1,0))</f>
        <v/>
      </c>
      <c r="L29" s="12">
        <f>IF(H29&lt;&gt;1,0,IF((IF(Classifiers!$B$7="",0,IF(ISNUMBER(SEARCH(Classifiers!$B$7,E29)),1,0))+IF(Classifiers!$C$7="",0,IF(ISNUMBER(SEARCH(Classifiers!$C$7,E29)),1,0))+IF(Classifiers!$D$7="",0,IF(ISNUMBER(SEARCH(Classifiers!$D$7,E29)),1,0))+IF(Classifiers!$E$7="",0,IF(ISNUMBER(SEARCH(Classifiers!$E$7,E29)),1,0))+IF(Classifiers!$F$7="",0,IF(ISNUMBER(SEARCH(Classifiers!$F$7,E29)),1,0))+IF(Classifiers!$G$7="",0,IF(ISNUMBER(SEARCH(Classifiers!$G$7,E29)),1,0)))&gt;0,1,0))</f>
        <v/>
      </c>
      <c r="M29" s="12">
        <f>IF(H29&lt;&gt;1,0,IF((IF(Classifiers!$B$8="",0,IF(ISNUMBER(SEARCH(Classifiers!$B$8,E29)),1,0))+IF(Classifiers!$C$8="",0,IF(ISNUMBER(SEARCH(Classifiers!$C$8,E29)),1,0))+IF(Classifiers!$D$8="",0,IF(ISNUMBER(SEARCH(Classifiers!$D$8,E29)),1,0))+IF(Classifiers!$E$8="",0,IF(ISNUMBER(SEARCH(Classifiers!$E$8,E29)),1,0))+IF(Classifiers!$F$8="",0,IF(ISNUMBER(SEARCH(Classifiers!$F$8,E29)),1,0))+IF(Classifiers!$G$8="",0,IF(ISNUMBER(SEARCH(Classifiers!$G$8,E29)),1,0)))&gt;0,1,0))</f>
        <v/>
      </c>
      <c r="N29" s="12">
        <f>IF(H29&lt;&gt;1,0,IF((IF(Classifiers!$B$9="",0,IF(ISNUMBER(SEARCH(Classifiers!$B$9,E29)),1,0))+IF(Classifiers!$C$9="",0,IF(ISNUMBER(SEARCH(Classifiers!$C$9,E29)),1,0))+IF(Classifiers!$D$9="",0,IF(ISNUMBER(SEARCH(Classifiers!$D$9,E29)),1,0))+IF(Classifiers!$E$9="",0,IF(ISNUMBER(SEARCH(Classifiers!$E$9,E29)),1,0))+IF(Classifiers!$F$9="",0,IF(ISNUMBER(SEARCH(Classifiers!$F$9,E29)),1,0))+IF(Classifiers!$G$9="",0,IF(ISNUMBER(SEARCH(Classifiers!$G$9,E29)),1,0)))&gt;0,1,0))</f>
        <v/>
      </c>
      <c r="O29" s="12">
        <f>IF(H29&lt;&gt;1,0,IF((IF(Classifiers!$B$10="",0,IF(ISNUMBER(SEARCH(Classifiers!$B$10,E29)),1,0))+IF(Classifiers!$C$10="",0,IF(ISNUMBER(SEARCH(Classifiers!$C$10,E29)),1,0))+IF(Classifiers!$D$10="",0,IF(ISNUMBER(SEARCH(Classifiers!$D$10,E29)),1,0))+IF(Classifiers!$E$10="",0,IF(ISNUMBER(SEARCH(Classifiers!$E$10,E29)),1,0))+IF(Classifiers!$F$10="",0,IF(ISNUMBER(SEARCH(Classifiers!$F$10,E29)),1,0))+IF(Classifiers!$G$10="",0,IF(ISNUMBER(SEARCH(Classifiers!$G$10,E29)),1,0)))&gt;0,1,0))</f>
        <v/>
      </c>
      <c r="P29" s="12">
        <f>IF(H29&lt;&gt;1,0,IF((IF(Classifiers!$B$11="",0,IF(ISNUMBER(SEARCH(Classifiers!$B$11,E29)),1,0))+IF(Classifiers!$C$11="",0,IF(ISNUMBER(SEARCH(Classifiers!$C$11,E29)),1,0))+IF(Classifiers!$D$11="",0,IF(ISNUMBER(SEARCH(Classifiers!$D$11,E29)),1,0))+IF(Classifiers!$E$11="",0,IF(ISNUMBER(SEARCH(Classifiers!$E$11,E29)),1,0))+IF(Classifiers!$F$11="",0,IF(ISNUMBER(SEARCH(Classifiers!$F$11,E29)),1,0))+IF(Classifiers!$G$11="",0,IF(ISNUMBER(SEARCH(Classifiers!$G$11,E29)),1,0)))&gt;0,1,0))</f>
        <v/>
      </c>
      <c r="Q29" s="12">
        <f>IF(H29&lt;&gt;1,0,IF((IF(Classifiers!$B$12="",0,IF(ISNUMBER(SEARCH(Classifiers!$B$12,E29)),1,0))+IF(Classifiers!$C$12="",0,IF(ISNUMBER(SEARCH(Classifiers!$C$12,E29)),1,0))+IF(Classifiers!$D$12="",0,IF(ISNUMBER(SEARCH(Classifiers!$D$12,E29)),1,0))+IF(Classifiers!$E$12="",0,IF(ISNUMBER(SEARCH(Classifiers!$E$12,E29)),1,0))+IF(Classifiers!$F$12="",0,IF(ISNUMBER(SEARCH(Classifiers!$F$12,E29)),1,0))+IF(Classifiers!$G$12="",0,IF(ISNUMBER(SEARCH(Classifiers!$G$12,E29)),1,0)))&gt;0,1,0))</f>
        <v/>
      </c>
      <c r="R29" s="12">
        <f>IF(H29&lt;&gt;1,0,IF((IF(Classifiers!$B$13="",0,IF(ISNUMBER(SEARCH(Classifiers!$B$13,E29)),1,0))+IF(Classifiers!$C$13="",0,IF(ISNUMBER(SEARCH(Classifiers!$C$13,E29)),1,0))+IF(Classifiers!$D$13="",0,IF(ISNUMBER(SEARCH(Classifiers!$D$13,E29)),1,0))+IF(Classifiers!$E$13="",0,IF(ISNUMBER(SEARCH(Classifiers!$E$13,E29)),1,0))+IF(Classifiers!$F$13="",0,IF(ISNUMBER(SEARCH(Classifiers!$F$13,E29)),1,0))+IF(Classifiers!$G$13="",0,IF(ISNUMBER(SEARCH(Classifiers!$G$13,E29)),1,0)))&gt;0,1,0))</f>
        <v/>
      </c>
      <c r="S29" s="12">
        <f>IF(H29&lt;&gt;1,0,IF((IF(Classifiers!$B$14="",0,IF(ISNUMBER(SEARCH(Classifiers!$B$14,E29)),1,0))+IF(Classifiers!$C$14="",0,IF(ISNUMBER(SEARCH(Classifiers!$C$14,E29)),1,0))+IF(Classifiers!$D$14="",0,IF(ISNUMBER(SEARCH(Classifiers!$D$14,E29)),1,0))+IF(Classifiers!$E$14="",0,IF(ISNUMBER(SEARCH(Classifiers!$E$14,E29)),1,0))+IF(Classifiers!$F$14="",0,IF(ISNUMBER(SEARCH(Classifiers!$F$14,E29)),1,0))+IF(Classifiers!$G$14="",0,IF(ISNUMBER(SEARCH(Classifiers!$G$14,E29)),1,0)))&gt;0,1,0))</f>
        <v/>
      </c>
      <c r="T29" s="12">
        <f>IF(H29&lt;&gt;1,0,IF((IF(Classifiers!$B$15="",0,IF(ISNUMBER(SEARCH(Classifiers!$B$15,E29)),1,0))+IF(Classifiers!$C$15="",0,IF(ISNUMBER(SEARCH(Classifiers!$C$15,E29)),1,0))+IF(Classifiers!$D$15="",0,IF(ISNUMBER(SEARCH(Classifiers!$D$15,E29)),1,0))+IF(Classifiers!$E$15="",0,IF(ISNUMBER(SEARCH(Classifiers!$E$15,E29)),1,0))+IF(Classifiers!$F$15="",0,IF(ISNUMBER(SEARCH(Classifiers!$F$15,E29)),1,0))+IF(Classifiers!$G$15="",0,IF(ISNUMBER(SEARCH(Classifiers!$G$15,E29)),1,0)))&gt;0,1,0))</f>
        <v/>
      </c>
      <c r="U29" s="12">
        <f>IF(H29&lt;&gt;1,0,IF((IF(Classifiers!$B$16="",0,IF(ISNUMBER(SEARCH(Classifiers!$B$16,E29)),1,0))+IF(Classifiers!$C$16="",0,IF(ISNUMBER(SEARCH(Classifiers!$C$16,E29)),1,0))+IF(Classifiers!$D$16="",0,IF(ISNUMBER(SEARCH(Classifiers!$D$16,E29)),1,0))+IF(Classifiers!$E$16="",0,IF(ISNUMBER(SEARCH(Classifiers!$E$16,E29)),1,0))+IF(Classifiers!$F$16="",0,IF(ISNUMBER(SEARCH(Classifiers!$F$16,E29)),1,0))+IF(Classifiers!$G$16="",0,IF(ISNUMBER(SEARCH(Classifiers!$G$16,E29)),1,0)))&gt;0,1,0))</f>
        <v/>
      </c>
      <c r="V29" s="12">
        <f>IF(H29&lt;&gt;1,0,IF((IF(Classifiers!$B$17="",0,IF(ISNUMBER(SEARCH(Classifiers!$B$17,E29)),1,0))+IF(Classifiers!$C$17="",0,IF(ISNUMBER(SEARCH(Classifiers!$C$17,E29)),1,0))+IF(Classifiers!$D$17="",0,IF(ISNUMBER(SEARCH(Classifiers!$D$17,E29)),1,0))+IF(Classifiers!$E$17="",0,IF(ISNUMBER(SEARCH(Classifiers!$E$17,E29)),1,0))+IF(Classifiers!$F$17="",0,IF(ISNUMBER(SEARCH(Classifiers!$F$17,E29)),1,0))+IF(Classifiers!$G$17="",0,IF(ISNUMBER(SEARCH(Classifiers!$G$17,E29)),1,0)))&gt;0,1,0))</f>
        <v/>
      </c>
      <c r="W29" s="12">
        <f>IF(H29&lt;&gt;1,0,IF((IF(Classifiers!$B$18="",0,IF(ISNUMBER(SEARCH(Classifiers!$B$18,E29)),1,0))+IF(Classifiers!$C$18="",0,IF(ISNUMBER(SEARCH(Classifiers!$C$18,E29)),1,0))+IF(Classifiers!$D$18="",0,IF(ISNUMBER(SEARCH(Classifiers!$D$18,E29)),1,0))+IF(Classifiers!$E$18="",0,IF(ISNUMBER(SEARCH(Classifiers!$E$18,E29)),1,0))+IF(Classifiers!$F$18="",0,IF(ISNUMBER(SEARCH(Classifiers!$F$18,E29)),1,0))+IF(Classifiers!$G$18="",0,IF(ISNUMBER(SEARCH(Classifiers!$G$18,E29)),1,0)))&gt;0,1,0))</f>
        <v/>
      </c>
    </row>
    <row r="30">
      <c r="A30" s="8" t="n"/>
      <c r="B30" s="11" t="n"/>
      <c r="C30" s="6">
        <f>IF(A30="","",TRIM(RIGHT(SUBSTITUTE(A30,"/",REPT(" ",250)),250)))</f>
        <v/>
      </c>
      <c r="D30" s="6">
        <f>IF(C30="","",IF(ISNUMBER(SEARCH(".",C30)),LOWER("."&amp;TRIM(RIGHT(SUBSTITUTE(C30,".",REPT(" ",250)),250))),""))</f>
        <v/>
      </c>
      <c r="E30" s="6">
        <f>IF(C30="","",TRIM(SUBSTITUTE(SUBSTITUTE(SUBSTITUTE(SUBSTITUTE(SUBSTITUTE(SUBSTITUTE(SUBSTITUTE(SUBSTITUTE(SUBSTITUTE(SUBSTITUTE(SUBSTITUTE(SUBSTITUTE(SUBSTITUTE(SUBSTITUTE(SUBSTITUTE(SUBSTITUTE(SUBSTITUTE(SUBSTITUTE(SUBSTITUTE(SUBSTITUTE(LOWER(LEFT(C30,LEN(C30)-LEN(D30))),"_"," "),"-"," "),"."," "),","," "),"("," "),")"," "),"["," "),"]"," "),"&amp;"," "),"+"," "),"@"," "),"#"," "),"!"," "),"'"," "),"/"," "),":"," "),";"," "),"="," "),"~"," "),"%"," ")))</f>
        <v/>
      </c>
      <c r="F30" s="6">
        <f>IF(C30="","",IF(COUNTIF(Classifiers!$A$23:$A$40,D30)&gt;0,1,0))</f>
        <v/>
      </c>
      <c r="G30" s="6">
        <f>IF(C30="","",IF(COUNTIF(Classifiers!$C$23:$C$30,D30)&gt;0,IF((IF(ISNUMBER(SEARCH(Classifiers!$E$23,E30)),1,0)+IF(ISNUMBER(SEARCH(Classifiers!$E$24,E30)),1,0)+IF(ISNUMBER(SEARCH(Classifiers!$E$25,E30)),1,0)+IF(ISNUMBER(SEARCH(Classifiers!$E$26,E30)),1,0)+IF(ISNUMBER(SEARCH(Classifiers!$E$27,E30)),1,0)+IF(ISNUMBER(SEARCH(Classifiers!$E$28,E30)),1,0)+IF(ISNUMBER(SEARCH(Classifiers!$E$29,E30)),1,0)+IF(ISNUMBER(SEARCH(Classifiers!$E$30,E30)),1,0))&gt;0,1,0),0))</f>
        <v/>
      </c>
      <c r="H30" s="6">
        <f>IF(C30="","",IF(OR(LEFT(C30,1)=".",AND(F30=0,G30=0)),0,1))</f>
        <v/>
      </c>
      <c r="I30" s="6">
        <f>IF(H30&lt;&gt;1,"",IF(SUM(J30:W30)=0,"unclassified",INDEX(Classifiers!$A$5:$A$18,MATCH(1,J30:W30,0),1)))</f>
        <v/>
      </c>
      <c r="J30" s="12">
        <f>IF(H30&lt;&gt;1,0,IF((IF(Classifiers!$B$5="",0,IF(ISNUMBER(SEARCH(Classifiers!$B$5,E30)),1,0))+IF(Classifiers!$C$5="",0,IF(ISNUMBER(SEARCH(Classifiers!$C$5,E30)),1,0))+IF(Classifiers!$D$5="",0,IF(ISNUMBER(SEARCH(Classifiers!$D$5,E30)),1,0))+IF(Classifiers!$E$5="",0,IF(ISNUMBER(SEARCH(Classifiers!$E$5,E30)),1,0))+IF(Classifiers!$F$5="",0,IF(ISNUMBER(SEARCH(Classifiers!$F$5,E30)),1,0))+IF(Classifiers!$G$5="",0,IF(ISNUMBER(SEARCH(Classifiers!$G$5,E30)),1,0)))&gt;0,1,0))</f>
        <v/>
      </c>
      <c r="K30" s="12">
        <f>IF(H30&lt;&gt;1,0,IF((IF(Classifiers!$B$6="",0,IF(ISNUMBER(SEARCH(Classifiers!$B$6,E30)),1,0))+IF(Classifiers!$C$6="",0,IF(ISNUMBER(SEARCH(Classifiers!$C$6,E30)),1,0))+IF(Classifiers!$D$6="",0,IF(ISNUMBER(SEARCH(Classifiers!$D$6,E30)),1,0))+IF(Classifiers!$E$6="",0,IF(ISNUMBER(SEARCH(Classifiers!$E$6,E30)),1,0))+IF(Classifiers!$F$6="",0,IF(ISNUMBER(SEARCH(Classifiers!$F$6,E30)),1,0))+IF(Classifiers!$G$6="",0,IF(ISNUMBER(SEARCH(Classifiers!$G$6,E30)),1,0)))&gt;0,1,0))</f>
        <v/>
      </c>
      <c r="L30" s="12">
        <f>IF(H30&lt;&gt;1,0,IF((IF(Classifiers!$B$7="",0,IF(ISNUMBER(SEARCH(Classifiers!$B$7,E30)),1,0))+IF(Classifiers!$C$7="",0,IF(ISNUMBER(SEARCH(Classifiers!$C$7,E30)),1,0))+IF(Classifiers!$D$7="",0,IF(ISNUMBER(SEARCH(Classifiers!$D$7,E30)),1,0))+IF(Classifiers!$E$7="",0,IF(ISNUMBER(SEARCH(Classifiers!$E$7,E30)),1,0))+IF(Classifiers!$F$7="",0,IF(ISNUMBER(SEARCH(Classifiers!$F$7,E30)),1,0))+IF(Classifiers!$G$7="",0,IF(ISNUMBER(SEARCH(Classifiers!$G$7,E30)),1,0)))&gt;0,1,0))</f>
        <v/>
      </c>
      <c r="M30" s="12">
        <f>IF(H30&lt;&gt;1,0,IF((IF(Classifiers!$B$8="",0,IF(ISNUMBER(SEARCH(Classifiers!$B$8,E30)),1,0))+IF(Classifiers!$C$8="",0,IF(ISNUMBER(SEARCH(Classifiers!$C$8,E30)),1,0))+IF(Classifiers!$D$8="",0,IF(ISNUMBER(SEARCH(Classifiers!$D$8,E30)),1,0))+IF(Classifiers!$E$8="",0,IF(ISNUMBER(SEARCH(Classifiers!$E$8,E30)),1,0))+IF(Classifiers!$F$8="",0,IF(ISNUMBER(SEARCH(Classifiers!$F$8,E30)),1,0))+IF(Classifiers!$G$8="",0,IF(ISNUMBER(SEARCH(Classifiers!$G$8,E30)),1,0)))&gt;0,1,0))</f>
        <v/>
      </c>
      <c r="N30" s="12">
        <f>IF(H30&lt;&gt;1,0,IF((IF(Classifiers!$B$9="",0,IF(ISNUMBER(SEARCH(Classifiers!$B$9,E30)),1,0))+IF(Classifiers!$C$9="",0,IF(ISNUMBER(SEARCH(Classifiers!$C$9,E30)),1,0))+IF(Classifiers!$D$9="",0,IF(ISNUMBER(SEARCH(Classifiers!$D$9,E30)),1,0))+IF(Classifiers!$E$9="",0,IF(ISNUMBER(SEARCH(Classifiers!$E$9,E30)),1,0))+IF(Classifiers!$F$9="",0,IF(ISNUMBER(SEARCH(Classifiers!$F$9,E30)),1,0))+IF(Classifiers!$G$9="",0,IF(ISNUMBER(SEARCH(Classifiers!$G$9,E30)),1,0)))&gt;0,1,0))</f>
        <v/>
      </c>
      <c r="O30" s="12">
        <f>IF(H30&lt;&gt;1,0,IF((IF(Classifiers!$B$10="",0,IF(ISNUMBER(SEARCH(Classifiers!$B$10,E30)),1,0))+IF(Classifiers!$C$10="",0,IF(ISNUMBER(SEARCH(Classifiers!$C$10,E30)),1,0))+IF(Classifiers!$D$10="",0,IF(ISNUMBER(SEARCH(Classifiers!$D$10,E30)),1,0))+IF(Classifiers!$E$10="",0,IF(ISNUMBER(SEARCH(Classifiers!$E$10,E30)),1,0))+IF(Classifiers!$F$10="",0,IF(ISNUMBER(SEARCH(Classifiers!$F$10,E30)),1,0))+IF(Classifiers!$G$10="",0,IF(ISNUMBER(SEARCH(Classifiers!$G$10,E30)),1,0)))&gt;0,1,0))</f>
        <v/>
      </c>
      <c r="P30" s="12">
        <f>IF(H30&lt;&gt;1,0,IF((IF(Classifiers!$B$11="",0,IF(ISNUMBER(SEARCH(Classifiers!$B$11,E30)),1,0))+IF(Classifiers!$C$11="",0,IF(ISNUMBER(SEARCH(Classifiers!$C$11,E30)),1,0))+IF(Classifiers!$D$11="",0,IF(ISNUMBER(SEARCH(Classifiers!$D$11,E30)),1,0))+IF(Classifiers!$E$11="",0,IF(ISNUMBER(SEARCH(Classifiers!$E$11,E30)),1,0))+IF(Classifiers!$F$11="",0,IF(ISNUMBER(SEARCH(Classifiers!$F$11,E30)),1,0))+IF(Classifiers!$G$11="",0,IF(ISNUMBER(SEARCH(Classifiers!$G$11,E30)),1,0)))&gt;0,1,0))</f>
        <v/>
      </c>
      <c r="Q30" s="12">
        <f>IF(H30&lt;&gt;1,0,IF((IF(Classifiers!$B$12="",0,IF(ISNUMBER(SEARCH(Classifiers!$B$12,E30)),1,0))+IF(Classifiers!$C$12="",0,IF(ISNUMBER(SEARCH(Classifiers!$C$12,E30)),1,0))+IF(Classifiers!$D$12="",0,IF(ISNUMBER(SEARCH(Classifiers!$D$12,E30)),1,0))+IF(Classifiers!$E$12="",0,IF(ISNUMBER(SEARCH(Classifiers!$E$12,E30)),1,0))+IF(Classifiers!$F$12="",0,IF(ISNUMBER(SEARCH(Classifiers!$F$12,E30)),1,0))+IF(Classifiers!$G$12="",0,IF(ISNUMBER(SEARCH(Classifiers!$G$12,E30)),1,0)))&gt;0,1,0))</f>
        <v/>
      </c>
      <c r="R30" s="12">
        <f>IF(H30&lt;&gt;1,0,IF((IF(Classifiers!$B$13="",0,IF(ISNUMBER(SEARCH(Classifiers!$B$13,E30)),1,0))+IF(Classifiers!$C$13="",0,IF(ISNUMBER(SEARCH(Classifiers!$C$13,E30)),1,0))+IF(Classifiers!$D$13="",0,IF(ISNUMBER(SEARCH(Classifiers!$D$13,E30)),1,0))+IF(Classifiers!$E$13="",0,IF(ISNUMBER(SEARCH(Classifiers!$E$13,E30)),1,0))+IF(Classifiers!$F$13="",0,IF(ISNUMBER(SEARCH(Classifiers!$F$13,E30)),1,0))+IF(Classifiers!$G$13="",0,IF(ISNUMBER(SEARCH(Classifiers!$G$13,E30)),1,0)))&gt;0,1,0))</f>
        <v/>
      </c>
      <c r="S30" s="12">
        <f>IF(H30&lt;&gt;1,0,IF((IF(Classifiers!$B$14="",0,IF(ISNUMBER(SEARCH(Classifiers!$B$14,E30)),1,0))+IF(Classifiers!$C$14="",0,IF(ISNUMBER(SEARCH(Classifiers!$C$14,E30)),1,0))+IF(Classifiers!$D$14="",0,IF(ISNUMBER(SEARCH(Classifiers!$D$14,E30)),1,0))+IF(Classifiers!$E$14="",0,IF(ISNUMBER(SEARCH(Classifiers!$E$14,E30)),1,0))+IF(Classifiers!$F$14="",0,IF(ISNUMBER(SEARCH(Classifiers!$F$14,E30)),1,0))+IF(Classifiers!$G$14="",0,IF(ISNUMBER(SEARCH(Classifiers!$G$14,E30)),1,0)))&gt;0,1,0))</f>
        <v/>
      </c>
      <c r="T30" s="12">
        <f>IF(H30&lt;&gt;1,0,IF((IF(Classifiers!$B$15="",0,IF(ISNUMBER(SEARCH(Classifiers!$B$15,E30)),1,0))+IF(Classifiers!$C$15="",0,IF(ISNUMBER(SEARCH(Classifiers!$C$15,E30)),1,0))+IF(Classifiers!$D$15="",0,IF(ISNUMBER(SEARCH(Classifiers!$D$15,E30)),1,0))+IF(Classifiers!$E$15="",0,IF(ISNUMBER(SEARCH(Classifiers!$E$15,E30)),1,0))+IF(Classifiers!$F$15="",0,IF(ISNUMBER(SEARCH(Classifiers!$F$15,E30)),1,0))+IF(Classifiers!$G$15="",0,IF(ISNUMBER(SEARCH(Classifiers!$G$15,E30)),1,0)))&gt;0,1,0))</f>
        <v/>
      </c>
      <c r="U30" s="12">
        <f>IF(H30&lt;&gt;1,0,IF((IF(Classifiers!$B$16="",0,IF(ISNUMBER(SEARCH(Classifiers!$B$16,E30)),1,0))+IF(Classifiers!$C$16="",0,IF(ISNUMBER(SEARCH(Classifiers!$C$16,E30)),1,0))+IF(Classifiers!$D$16="",0,IF(ISNUMBER(SEARCH(Classifiers!$D$16,E30)),1,0))+IF(Classifiers!$E$16="",0,IF(ISNUMBER(SEARCH(Classifiers!$E$16,E30)),1,0))+IF(Classifiers!$F$16="",0,IF(ISNUMBER(SEARCH(Classifiers!$F$16,E30)),1,0))+IF(Classifiers!$G$16="",0,IF(ISNUMBER(SEARCH(Classifiers!$G$16,E30)),1,0)))&gt;0,1,0))</f>
        <v/>
      </c>
      <c r="V30" s="12">
        <f>IF(H30&lt;&gt;1,0,IF((IF(Classifiers!$B$17="",0,IF(ISNUMBER(SEARCH(Classifiers!$B$17,E30)),1,0))+IF(Classifiers!$C$17="",0,IF(ISNUMBER(SEARCH(Classifiers!$C$17,E30)),1,0))+IF(Classifiers!$D$17="",0,IF(ISNUMBER(SEARCH(Classifiers!$D$17,E30)),1,0))+IF(Classifiers!$E$17="",0,IF(ISNUMBER(SEARCH(Classifiers!$E$17,E30)),1,0))+IF(Classifiers!$F$17="",0,IF(ISNUMBER(SEARCH(Classifiers!$F$17,E30)),1,0))+IF(Classifiers!$G$17="",0,IF(ISNUMBER(SEARCH(Classifiers!$G$17,E30)),1,0)))&gt;0,1,0))</f>
        <v/>
      </c>
      <c r="W30" s="12">
        <f>IF(H30&lt;&gt;1,0,IF((IF(Classifiers!$B$18="",0,IF(ISNUMBER(SEARCH(Classifiers!$B$18,E30)),1,0))+IF(Classifiers!$C$18="",0,IF(ISNUMBER(SEARCH(Classifiers!$C$18,E30)),1,0))+IF(Classifiers!$D$18="",0,IF(ISNUMBER(SEARCH(Classifiers!$D$18,E30)),1,0))+IF(Classifiers!$E$18="",0,IF(ISNUMBER(SEARCH(Classifiers!$E$18,E30)),1,0))+IF(Classifiers!$F$18="",0,IF(ISNUMBER(SEARCH(Classifiers!$F$18,E30)),1,0))+IF(Classifiers!$G$18="",0,IF(ISNUMBER(SEARCH(Classifiers!$G$18,E30)),1,0)))&gt;0,1,0))</f>
        <v/>
      </c>
    </row>
    <row r="31">
      <c r="A31" s="8" t="n"/>
      <c r="B31" s="11" t="n"/>
      <c r="C31" s="6">
        <f>IF(A31="","",TRIM(RIGHT(SUBSTITUTE(A31,"/",REPT(" ",250)),250)))</f>
        <v/>
      </c>
      <c r="D31" s="6">
        <f>IF(C31="","",IF(ISNUMBER(SEARCH(".",C31)),LOWER("."&amp;TRIM(RIGHT(SUBSTITUTE(C31,".",REPT(" ",250)),250))),""))</f>
        <v/>
      </c>
      <c r="E31" s="6">
        <f>IF(C31="","",TRIM(SUBSTITUTE(SUBSTITUTE(SUBSTITUTE(SUBSTITUTE(SUBSTITUTE(SUBSTITUTE(SUBSTITUTE(SUBSTITUTE(SUBSTITUTE(SUBSTITUTE(SUBSTITUTE(SUBSTITUTE(SUBSTITUTE(SUBSTITUTE(SUBSTITUTE(SUBSTITUTE(SUBSTITUTE(SUBSTITUTE(SUBSTITUTE(SUBSTITUTE(LOWER(LEFT(C31,LEN(C31)-LEN(D31))),"_"," "),"-"," "),"."," "),","," "),"("," "),")"," "),"["," "),"]"," "),"&amp;"," "),"+"," "),"@"," "),"#"," "),"!"," "),"'"," "),"/"," "),":"," "),";"," "),"="," "),"~"," "),"%"," ")))</f>
        <v/>
      </c>
      <c r="F31" s="6">
        <f>IF(C31="","",IF(COUNTIF(Classifiers!$A$23:$A$40,D31)&gt;0,1,0))</f>
        <v/>
      </c>
      <c r="G31" s="6">
        <f>IF(C31="","",IF(COUNTIF(Classifiers!$C$23:$C$30,D31)&gt;0,IF((IF(ISNUMBER(SEARCH(Classifiers!$E$23,E31)),1,0)+IF(ISNUMBER(SEARCH(Classifiers!$E$24,E31)),1,0)+IF(ISNUMBER(SEARCH(Classifiers!$E$25,E31)),1,0)+IF(ISNUMBER(SEARCH(Classifiers!$E$26,E31)),1,0)+IF(ISNUMBER(SEARCH(Classifiers!$E$27,E31)),1,0)+IF(ISNUMBER(SEARCH(Classifiers!$E$28,E31)),1,0)+IF(ISNUMBER(SEARCH(Classifiers!$E$29,E31)),1,0)+IF(ISNUMBER(SEARCH(Classifiers!$E$30,E31)),1,0))&gt;0,1,0),0))</f>
        <v/>
      </c>
      <c r="H31" s="6">
        <f>IF(C31="","",IF(OR(LEFT(C31,1)=".",AND(F31=0,G31=0)),0,1))</f>
        <v/>
      </c>
      <c r="I31" s="6">
        <f>IF(H31&lt;&gt;1,"",IF(SUM(J31:W31)=0,"unclassified",INDEX(Classifiers!$A$5:$A$18,MATCH(1,J31:W31,0),1)))</f>
        <v/>
      </c>
      <c r="J31" s="12">
        <f>IF(H31&lt;&gt;1,0,IF((IF(Classifiers!$B$5="",0,IF(ISNUMBER(SEARCH(Classifiers!$B$5,E31)),1,0))+IF(Classifiers!$C$5="",0,IF(ISNUMBER(SEARCH(Classifiers!$C$5,E31)),1,0))+IF(Classifiers!$D$5="",0,IF(ISNUMBER(SEARCH(Classifiers!$D$5,E31)),1,0))+IF(Classifiers!$E$5="",0,IF(ISNUMBER(SEARCH(Classifiers!$E$5,E31)),1,0))+IF(Classifiers!$F$5="",0,IF(ISNUMBER(SEARCH(Classifiers!$F$5,E31)),1,0))+IF(Classifiers!$G$5="",0,IF(ISNUMBER(SEARCH(Classifiers!$G$5,E31)),1,0)))&gt;0,1,0))</f>
        <v/>
      </c>
      <c r="K31" s="12">
        <f>IF(H31&lt;&gt;1,0,IF((IF(Classifiers!$B$6="",0,IF(ISNUMBER(SEARCH(Classifiers!$B$6,E31)),1,0))+IF(Classifiers!$C$6="",0,IF(ISNUMBER(SEARCH(Classifiers!$C$6,E31)),1,0))+IF(Classifiers!$D$6="",0,IF(ISNUMBER(SEARCH(Classifiers!$D$6,E31)),1,0))+IF(Classifiers!$E$6="",0,IF(ISNUMBER(SEARCH(Classifiers!$E$6,E31)),1,0))+IF(Classifiers!$F$6="",0,IF(ISNUMBER(SEARCH(Classifiers!$F$6,E31)),1,0))+IF(Classifiers!$G$6="",0,IF(ISNUMBER(SEARCH(Classifiers!$G$6,E31)),1,0)))&gt;0,1,0))</f>
        <v/>
      </c>
      <c r="L31" s="12">
        <f>IF(H31&lt;&gt;1,0,IF((IF(Classifiers!$B$7="",0,IF(ISNUMBER(SEARCH(Classifiers!$B$7,E31)),1,0))+IF(Classifiers!$C$7="",0,IF(ISNUMBER(SEARCH(Classifiers!$C$7,E31)),1,0))+IF(Classifiers!$D$7="",0,IF(ISNUMBER(SEARCH(Classifiers!$D$7,E31)),1,0))+IF(Classifiers!$E$7="",0,IF(ISNUMBER(SEARCH(Classifiers!$E$7,E31)),1,0))+IF(Classifiers!$F$7="",0,IF(ISNUMBER(SEARCH(Classifiers!$F$7,E31)),1,0))+IF(Classifiers!$G$7="",0,IF(ISNUMBER(SEARCH(Classifiers!$G$7,E31)),1,0)))&gt;0,1,0))</f>
        <v/>
      </c>
      <c r="M31" s="12">
        <f>IF(H31&lt;&gt;1,0,IF((IF(Classifiers!$B$8="",0,IF(ISNUMBER(SEARCH(Classifiers!$B$8,E31)),1,0))+IF(Classifiers!$C$8="",0,IF(ISNUMBER(SEARCH(Classifiers!$C$8,E31)),1,0))+IF(Classifiers!$D$8="",0,IF(ISNUMBER(SEARCH(Classifiers!$D$8,E31)),1,0))+IF(Classifiers!$E$8="",0,IF(ISNUMBER(SEARCH(Classifiers!$E$8,E31)),1,0))+IF(Classifiers!$F$8="",0,IF(ISNUMBER(SEARCH(Classifiers!$F$8,E31)),1,0))+IF(Classifiers!$G$8="",0,IF(ISNUMBER(SEARCH(Classifiers!$G$8,E31)),1,0)))&gt;0,1,0))</f>
        <v/>
      </c>
      <c r="N31" s="12">
        <f>IF(H31&lt;&gt;1,0,IF((IF(Classifiers!$B$9="",0,IF(ISNUMBER(SEARCH(Classifiers!$B$9,E31)),1,0))+IF(Classifiers!$C$9="",0,IF(ISNUMBER(SEARCH(Classifiers!$C$9,E31)),1,0))+IF(Classifiers!$D$9="",0,IF(ISNUMBER(SEARCH(Classifiers!$D$9,E31)),1,0))+IF(Classifiers!$E$9="",0,IF(ISNUMBER(SEARCH(Classifiers!$E$9,E31)),1,0))+IF(Classifiers!$F$9="",0,IF(ISNUMBER(SEARCH(Classifiers!$F$9,E31)),1,0))+IF(Classifiers!$G$9="",0,IF(ISNUMBER(SEARCH(Classifiers!$G$9,E31)),1,0)))&gt;0,1,0))</f>
        <v/>
      </c>
      <c r="O31" s="12">
        <f>IF(H31&lt;&gt;1,0,IF((IF(Classifiers!$B$10="",0,IF(ISNUMBER(SEARCH(Classifiers!$B$10,E31)),1,0))+IF(Classifiers!$C$10="",0,IF(ISNUMBER(SEARCH(Classifiers!$C$10,E31)),1,0))+IF(Classifiers!$D$10="",0,IF(ISNUMBER(SEARCH(Classifiers!$D$10,E31)),1,0))+IF(Classifiers!$E$10="",0,IF(ISNUMBER(SEARCH(Classifiers!$E$10,E31)),1,0))+IF(Classifiers!$F$10="",0,IF(ISNUMBER(SEARCH(Classifiers!$F$10,E31)),1,0))+IF(Classifiers!$G$10="",0,IF(ISNUMBER(SEARCH(Classifiers!$G$10,E31)),1,0)))&gt;0,1,0))</f>
        <v/>
      </c>
      <c r="P31" s="12">
        <f>IF(H31&lt;&gt;1,0,IF((IF(Classifiers!$B$11="",0,IF(ISNUMBER(SEARCH(Classifiers!$B$11,E31)),1,0))+IF(Classifiers!$C$11="",0,IF(ISNUMBER(SEARCH(Classifiers!$C$11,E31)),1,0))+IF(Classifiers!$D$11="",0,IF(ISNUMBER(SEARCH(Classifiers!$D$11,E31)),1,0))+IF(Classifiers!$E$11="",0,IF(ISNUMBER(SEARCH(Classifiers!$E$11,E31)),1,0))+IF(Classifiers!$F$11="",0,IF(ISNUMBER(SEARCH(Classifiers!$F$11,E31)),1,0))+IF(Classifiers!$G$11="",0,IF(ISNUMBER(SEARCH(Classifiers!$G$11,E31)),1,0)))&gt;0,1,0))</f>
        <v/>
      </c>
      <c r="Q31" s="12">
        <f>IF(H31&lt;&gt;1,0,IF((IF(Classifiers!$B$12="",0,IF(ISNUMBER(SEARCH(Classifiers!$B$12,E31)),1,0))+IF(Classifiers!$C$12="",0,IF(ISNUMBER(SEARCH(Classifiers!$C$12,E31)),1,0))+IF(Classifiers!$D$12="",0,IF(ISNUMBER(SEARCH(Classifiers!$D$12,E31)),1,0))+IF(Classifiers!$E$12="",0,IF(ISNUMBER(SEARCH(Classifiers!$E$12,E31)),1,0))+IF(Classifiers!$F$12="",0,IF(ISNUMBER(SEARCH(Classifiers!$F$12,E31)),1,0))+IF(Classifiers!$G$12="",0,IF(ISNUMBER(SEARCH(Classifiers!$G$12,E31)),1,0)))&gt;0,1,0))</f>
        <v/>
      </c>
      <c r="R31" s="12">
        <f>IF(H31&lt;&gt;1,0,IF((IF(Classifiers!$B$13="",0,IF(ISNUMBER(SEARCH(Classifiers!$B$13,E31)),1,0))+IF(Classifiers!$C$13="",0,IF(ISNUMBER(SEARCH(Classifiers!$C$13,E31)),1,0))+IF(Classifiers!$D$13="",0,IF(ISNUMBER(SEARCH(Classifiers!$D$13,E31)),1,0))+IF(Classifiers!$E$13="",0,IF(ISNUMBER(SEARCH(Classifiers!$E$13,E31)),1,0))+IF(Classifiers!$F$13="",0,IF(ISNUMBER(SEARCH(Classifiers!$F$13,E31)),1,0))+IF(Classifiers!$G$13="",0,IF(ISNUMBER(SEARCH(Classifiers!$G$13,E31)),1,0)))&gt;0,1,0))</f>
        <v/>
      </c>
      <c r="S31" s="12">
        <f>IF(H31&lt;&gt;1,0,IF((IF(Classifiers!$B$14="",0,IF(ISNUMBER(SEARCH(Classifiers!$B$14,E31)),1,0))+IF(Classifiers!$C$14="",0,IF(ISNUMBER(SEARCH(Classifiers!$C$14,E31)),1,0))+IF(Classifiers!$D$14="",0,IF(ISNUMBER(SEARCH(Classifiers!$D$14,E31)),1,0))+IF(Classifiers!$E$14="",0,IF(ISNUMBER(SEARCH(Classifiers!$E$14,E31)),1,0))+IF(Classifiers!$F$14="",0,IF(ISNUMBER(SEARCH(Classifiers!$F$14,E31)),1,0))+IF(Classifiers!$G$14="",0,IF(ISNUMBER(SEARCH(Classifiers!$G$14,E31)),1,0)))&gt;0,1,0))</f>
        <v/>
      </c>
      <c r="T31" s="12">
        <f>IF(H31&lt;&gt;1,0,IF((IF(Classifiers!$B$15="",0,IF(ISNUMBER(SEARCH(Classifiers!$B$15,E31)),1,0))+IF(Classifiers!$C$15="",0,IF(ISNUMBER(SEARCH(Classifiers!$C$15,E31)),1,0))+IF(Classifiers!$D$15="",0,IF(ISNUMBER(SEARCH(Classifiers!$D$15,E31)),1,0))+IF(Classifiers!$E$15="",0,IF(ISNUMBER(SEARCH(Classifiers!$E$15,E31)),1,0))+IF(Classifiers!$F$15="",0,IF(ISNUMBER(SEARCH(Classifiers!$F$15,E31)),1,0))+IF(Classifiers!$G$15="",0,IF(ISNUMBER(SEARCH(Classifiers!$G$15,E31)),1,0)))&gt;0,1,0))</f>
        <v/>
      </c>
      <c r="U31" s="12">
        <f>IF(H31&lt;&gt;1,0,IF((IF(Classifiers!$B$16="",0,IF(ISNUMBER(SEARCH(Classifiers!$B$16,E31)),1,0))+IF(Classifiers!$C$16="",0,IF(ISNUMBER(SEARCH(Classifiers!$C$16,E31)),1,0))+IF(Classifiers!$D$16="",0,IF(ISNUMBER(SEARCH(Classifiers!$D$16,E31)),1,0))+IF(Classifiers!$E$16="",0,IF(ISNUMBER(SEARCH(Classifiers!$E$16,E31)),1,0))+IF(Classifiers!$F$16="",0,IF(ISNUMBER(SEARCH(Classifiers!$F$16,E31)),1,0))+IF(Classifiers!$G$16="",0,IF(ISNUMBER(SEARCH(Classifiers!$G$16,E31)),1,0)))&gt;0,1,0))</f>
        <v/>
      </c>
      <c r="V31" s="12">
        <f>IF(H31&lt;&gt;1,0,IF((IF(Classifiers!$B$17="",0,IF(ISNUMBER(SEARCH(Classifiers!$B$17,E31)),1,0))+IF(Classifiers!$C$17="",0,IF(ISNUMBER(SEARCH(Classifiers!$C$17,E31)),1,0))+IF(Classifiers!$D$17="",0,IF(ISNUMBER(SEARCH(Classifiers!$D$17,E31)),1,0))+IF(Classifiers!$E$17="",0,IF(ISNUMBER(SEARCH(Classifiers!$E$17,E31)),1,0))+IF(Classifiers!$F$17="",0,IF(ISNUMBER(SEARCH(Classifiers!$F$17,E31)),1,0))+IF(Classifiers!$G$17="",0,IF(ISNUMBER(SEARCH(Classifiers!$G$17,E31)),1,0)))&gt;0,1,0))</f>
        <v/>
      </c>
      <c r="W31" s="12">
        <f>IF(H31&lt;&gt;1,0,IF((IF(Classifiers!$B$18="",0,IF(ISNUMBER(SEARCH(Classifiers!$B$18,E31)),1,0))+IF(Classifiers!$C$18="",0,IF(ISNUMBER(SEARCH(Classifiers!$C$18,E31)),1,0))+IF(Classifiers!$D$18="",0,IF(ISNUMBER(SEARCH(Classifiers!$D$18,E31)),1,0))+IF(Classifiers!$E$18="",0,IF(ISNUMBER(SEARCH(Classifiers!$E$18,E31)),1,0))+IF(Classifiers!$F$18="",0,IF(ISNUMBER(SEARCH(Classifiers!$F$18,E31)),1,0))+IF(Classifiers!$G$18="",0,IF(ISNUMBER(SEARCH(Classifiers!$G$18,E31)),1,0)))&gt;0,1,0))</f>
        <v/>
      </c>
    </row>
    <row r="32">
      <c r="A32" s="8" t="n"/>
      <c r="B32" s="11" t="n"/>
      <c r="C32" s="6">
        <f>IF(A32="","",TRIM(RIGHT(SUBSTITUTE(A32,"/",REPT(" ",250)),250)))</f>
        <v/>
      </c>
      <c r="D32" s="6">
        <f>IF(C32="","",IF(ISNUMBER(SEARCH(".",C32)),LOWER("."&amp;TRIM(RIGHT(SUBSTITUTE(C32,".",REPT(" ",250)),250))),""))</f>
        <v/>
      </c>
      <c r="E32" s="6">
        <f>IF(C32="","",TRIM(SUBSTITUTE(SUBSTITUTE(SUBSTITUTE(SUBSTITUTE(SUBSTITUTE(SUBSTITUTE(SUBSTITUTE(SUBSTITUTE(SUBSTITUTE(SUBSTITUTE(SUBSTITUTE(SUBSTITUTE(SUBSTITUTE(SUBSTITUTE(SUBSTITUTE(SUBSTITUTE(SUBSTITUTE(SUBSTITUTE(SUBSTITUTE(SUBSTITUTE(LOWER(LEFT(C32,LEN(C32)-LEN(D32))),"_"," "),"-"," "),"."," "),","," "),"("," "),")"," "),"["," "),"]"," "),"&amp;"," "),"+"," "),"@"," "),"#"," "),"!"," "),"'"," "),"/"," "),":"," "),";"," "),"="," "),"~"," "),"%"," ")))</f>
        <v/>
      </c>
      <c r="F32" s="6">
        <f>IF(C32="","",IF(COUNTIF(Classifiers!$A$23:$A$40,D32)&gt;0,1,0))</f>
        <v/>
      </c>
      <c r="G32" s="6">
        <f>IF(C32="","",IF(COUNTIF(Classifiers!$C$23:$C$30,D32)&gt;0,IF((IF(ISNUMBER(SEARCH(Classifiers!$E$23,E32)),1,0)+IF(ISNUMBER(SEARCH(Classifiers!$E$24,E32)),1,0)+IF(ISNUMBER(SEARCH(Classifiers!$E$25,E32)),1,0)+IF(ISNUMBER(SEARCH(Classifiers!$E$26,E32)),1,0)+IF(ISNUMBER(SEARCH(Classifiers!$E$27,E32)),1,0)+IF(ISNUMBER(SEARCH(Classifiers!$E$28,E32)),1,0)+IF(ISNUMBER(SEARCH(Classifiers!$E$29,E32)),1,0)+IF(ISNUMBER(SEARCH(Classifiers!$E$30,E32)),1,0))&gt;0,1,0),0))</f>
        <v/>
      </c>
      <c r="H32" s="6">
        <f>IF(C32="","",IF(OR(LEFT(C32,1)=".",AND(F32=0,G32=0)),0,1))</f>
        <v/>
      </c>
      <c r="I32" s="6">
        <f>IF(H32&lt;&gt;1,"",IF(SUM(J32:W32)=0,"unclassified",INDEX(Classifiers!$A$5:$A$18,MATCH(1,J32:W32,0),1)))</f>
        <v/>
      </c>
      <c r="J32" s="12">
        <f>IF(H32&lt;&gt;1,0,IF((IF(Classifiers!$B$5="",0,IF(ISNUMBER(SEARCH(Classifiers!$B$5,E32)),1,0))+IF(Classifiers!$C$5="",0,IF(ISNUMBER(SEARCH(Classifiers!$C$5,E32)),1,0))+IF(Classifiers!$D$5="",0,IF(ISNUMBER(SEARCH(Classifiers!$D$5,E32)),1,0))+IF(Classifiers!$E$5="",0,IF(ISNUMBER(SEARCH(Classifiers!$E$5,E32)),1,0))+IF(Classifiers!$F$5="",0,IF(ISNUMBER(SEARCH(Classifiers!$F$5,E32)),1,0))+IF(Classifiers!$G$5="",0,IF(ISNUMBER(SEARCH(Classifiers!$G$5,E32)),1,0)))&gt;0,1,0))</f>
        <v/>
      </c>
      <c r="K32" s="12">
        <f>IF(H32&lt;&gt;1,0,IF((IF(Classifiers!$B$6="",0,IF(ISNUMBER(SEARCH(Classifiers!$B$6,E32)),1,0))+IF(Classifiers!$C$6="",0,IF(ISNUMBER(SEARCH(Classifiers!$C$6,E32)),1,0))+IF(Classifiers!$D$6="",0,IF(ISNUMBER(SEARCH(Classifiers!$D$6,E32)),1,0))+IF(Classifiers!$E$6="",0,IF(ISNUMBER(SEARCH(Classifiers!$E$6,E32)),1,0))+IF(Classifiers!$F$6="",0,IF(ISNUMBER(SEARCH(Classifiers!$F$6,E32)),1,0))+IF(Classifiers!$G$6="",0,IF(ISNUMBER(SEARCH(Classifiers!$G$6,E32)),1,0)))&gt;0,1,0))</f>
        <v/>
      </c>
      <c r="L32" s="12">
        <f>IF(H32&lt;&gt;1,0,IF((IF(Classifiers!$B$7="",0,IF(ISNUMBER(SEARCH(Classifiers!$B$7,E32)),1,0))+IF(Classifiers!$C$7="",0,IF(ISNUMBER(SEARCH(Classifiers!$C$7,E32)),1,0))+IF(Classifiers!$D$7="",0,IF(ISNUMBER(SEARCH(Classifiers!$D$7,E32)),1,0))+IF(Classifiers!$E$7="",0,IF(ISNUMBER(SEARCH(Classifiers!$E$7,E32)),1,0))+IF(Classifiers!$F$7="",0,IF(ISNUMBER(SEARCH(Classifiers!$F$7,E32)),1,0))+IF(Classifiers!$G$7="",0,IF(ISNUMBER(SEARCH(Classifiers!$G$7,E32)),1,0)))&gt;0,1,0))</f>
        <v/>
      </c>
      <c r="M32" s="12">
        <f>IF(H32&lt;&gt;1,0,IF((IF(Classifiers!$B$8="",0,IF(ISNUMBER(SEARCH(Classifiers!$B$8,E32)),1,0))+IF(Classifiers!$C$8="",0,IF(ISNUMBER(SEARCH(Classifiers!$C$8,E32)),1,0))+IF(Classifiers!$D$8="",0,IF(ISNUMBER(SEARCH(Classifiers!$D$8,E32)),1,0))+IF(Classifiers!$E$8="",0,IF(ISNUMBER(SEARCH(Classifiers!$E$8,E32)),1,0))+IF(Classifiers!$F$8="",0,IF(ISNUMBER(SEARCH(Classifiers!$F$8,E32)),1,0))+IF(Classifiers!$G$8="",0,IF(ISNUMBER(SEARCH(Classifiers!$G$8,E32)),1,0)))&gt;0,1,0))</f>
        <v/>
      </c>
      <c r="N32" s="12">
        <f>IF(H32&lt;&gt;1,0,IF((IF(Classifiers!$B$9="",0,IF(ISNUMBER(SEARCH(Classifiers!$B$9,E32)),1,0))+IF(Classifiers!$C$9="",0,IF(ISNUMBER(SEARCH(Classifiers!$C$9,E32)),1,0))+IF(Classifiers!$D$9="",0,IF(ISNUMBER(SEARCH(Classifiers!$D$9,E32)),1,0))+IF(Classifiers!$E$9="",0,IF(ISNUMBER(SEARCH(Classifiers!$E$9,E32)),1,0))+IF(Classifiers!$F$9="",0,IF(ISNUMBER(SEARCH(Classifiers!$F$9,E32)),1,0))+IF(Classifiers!$G$9="",0,IF(ISNUMBER(SEARCH(Classifiers!$G$9,E32)),1,0)))&gt;0,1,0))</f>
        <v/>
      </c>
      <c r="O32" s="12">
        <f>IF(H32&lt;&gt;1,0,IF((IF(Classifiers!$B$10="",0,IF(ISNUMBER(SEARCH(Classifiers!$B$10,E32)),1,0))+IF(Classifiers!$C$10="",0,IF(ISNUMBER(SEARCH(Classifiers!$C$10,E32)),1,0))+IF(Classifiers!$D$10="",0,IF(ISNUMBER(SEARCH(Classifiers!$D$10,E32)),1,0))+IF(Classifiers!$E$10="",0,IF(ISNUMBER(SEARCH(Classifiers!$E$10,E32)),1,0))+IF(Classifiers!$F$10="",0,IF(ISNUMBER(SEARCH(Classifiers!$F$10,E32)),1,0))+IF(Classifiers!$G$10="",0,IF(ISNUMBER(SEARCH(Classifiers!$G$10,E32)),1,0)))&gt;0,1,0))</f>
        <v/>
      </c>
      <c r="P32" s="12">
        <f>IF(H32&lt;&gt;1,0,IF((IF(Classifiers!$B$11="",0,IF(ISNUMBER(SEARCH(Classifiers!$B$11,E32)),1,0))+IF(Classifiers!$C$11="",0,IF(ISNUMBER(SEARCH(Classifiers!$C$11,E32)),1,0))+IF(Classifiers!$D$11="",0,IF(ISNUMBER(SEARCH(Classifiers!$D$11,E32)),1,0))+IF(Classifiers!$E$11="",0,IF(ISNUMBER(SEARCH(Classifiers!$E$11,E32)),1,0))+IF(Classifiers!$F$11="",0,IF(ISNUMBER(SEARCH(Classifiers!$F$11,E32)),1,0))+IF(Classifiers!$G$11="",0,IF(ISNUMBER(SEARCH(Classifiers!$G$11,E32)),1,0)))&gt;0,1,0))</f>
        <v/>
      </c>
      <c r="Q32" s="12">
        <f>IF(H32&lt;&gt;1,0,IF((IF(Classifiers!$B$12="",0,IF(ISNUMBER(SEARCH(Classifiers!$B$12,E32)),1,0))+IF(Classifiers!$C$12="",0,IF(ISNUMBER(SEARCH(Classifiers!$C$12,E32)),1,0))+IF(Classifiers!$D$12="",0,IF(ISNUMBER(SEARCH(Classifiers!$D$12,E32)),1,0))+IF(Classifiers!$E$12="",0,IF(ISNUMBER(SEARCH(Classifiers!$E$12,E32)),1,0))+IF(Classifiers!$F$12="",0,IF(ISNUMBER(SEARCH(Classifiers!$F$12,E32)),1,0))+IF(Classifiers!$G$12="",0,IF(ISNUMBER(SEARCH(Classifiers!$G$12,E32)),1,0)))&gt;0,1,0))</f>
        <v/>
      </c>
      <c r="R32" s="12">
        <f>IF(H32&lt;&gt;1,0,IF((IF(Classifiers!$B$13="",0,IF(ISNUMBER(SEARCH(Classifiers!$B$13,E32)),1,0))+IF(Classifiers!$C$13="",0,IF(ISNUMBER(SEARCH(Classifiers!$C$13,E32)),1,0))+IF(Classifiers!$D$13="",0,IF(ISNUMBER(SEARCH(Classifiers!$D$13,E32)),1,0))+IF(Classifiers!$E$13="",0,IF(ISNUMBER(SEARCH(Classifiers!$E$13,E32)),1,0))+IF(Classifiers!$F$13="",0,IF(ISNUMBER(SEARCH(Classifiers!$F$13,E32)),1,0))+IF(Classifiers!$G$13="",0,IF(ISNUMBER(SEARCH(Classifiers!$G$13,E32)),1,0)))&gt;0,1,0))</f>
        <v/>
      </c>
      <c r="S32" s="12">
        <f>IF(H32&lt;&gt;1,0,IF((IF(Classifiers!$B$14="",0,IF(ISNUMBER(SEARCH(Classifiers!$B$14,E32)),1,0))+IF(Classifiers!$C$14="",0,IF(ISNUMBER(SEARCH(Classifiers!$C$14,E32)),1,0))+IF(Classifiers!$D$14="",0,IF(ISNUMBER(SEARCH(Classifiers!$D$14,E32)),1,0))+IF(Classifiers!$E$14="",0,IF(ISNUMBER(SEARCH(Classifiers!$E$14,E32)),1,0))+IF(Classifiers!$F$14="",0,IF(ISNUMBER(SEARCH(Classifiers!$F$14,E32)),1,0))+IF(Classifiers!$G$14="",0,IF(ISNUMBER(SEARCH(Classifiers!$G$14,E32)),1,0)))&gt;0,1,0))</f>
        <v/>
      </c>
      <c r="T32" s="12">
        <f>IF(H32&lt;&gt;1,0,IF((IF(Classifiers!$B$15="",0,IF(ISNUMBER(SEARCH(Classifiers!$B$15,E32)),1,0))+IF(Classifiers!$C$15="",0,IF(ISNUMBER(SEARCH(Classifiers!$C$15,E32)),1,0))+IF(Classifiers!$D$15="",0,IF(ISNUMBER(SEARCH(Classifiers!$D$15,E32)),1,0))+IF(Classifiers!$E$15="",0,IF(ISNUMBER(SEARCH(Classifiers!$E$15,E32)),1,0))+IF(Classifiers!$F$15="",0,IF(ISNUMBER(SEARCH(Classifiers!$F$15,E32)),1,0))+IF(Classifiers!$G$15="",0,IF(ISNUMBER(SEARCH(Classifiers!$G$15,E32)),1,0)))&gt;0,1,0))</f>
        <v/>
      </c>
      <c r="U32" s="12">
        <f>IF(H32&lt;&gt;1,0,IF((IF(Classifiers!$B$16="",0,IF(ISNUMBER(SEARCH(Classifiers!$B$16,E32)),1,0))+IF(Classifiers!$C$16="",0,IF(ISNUMBER(SEARCH(Classifiers!$C$16,E32)),1,0))+IF(Classifiers!$D$16="",0,IF(ISNUMBER(SEARCH(Classifiers!$D$16,E32)),1,0))+IF(Classifiers!$E$16="",0,IF(ISNUMBER(SEARCH(Classifiers!$E$16,E32)),1,0))+IF(Classifiers!$F$16="",0,IF(ISNUMBER(SEARCH(Classifiers!$F$16,E32)),1,0))+IF(Classifiers!$G$16="",0,IF(ISNUMBER(SEARCH(Classifiers!$G$16,E32)),1,0)))&gt;0,1,0))</f>
        <v/>
      </c>
      <c r="V32" s="12">
        <f>IF(H32&lt;&gt;1,0,IF((IF(Classifiers!$B$17="",0,IF(ISNUMBER(SEARCH(Classifiers!$B$17,E32)),1,0))+IF(Classifiers!$C$17="",0,IF(ISNUMBER(SEARCH(Classifiers!$C$17,E32)),1,0))+IF(Classifiers!$D$17="",0,IF(ISNUMBER(SEARCH(Classifiers!$D$17,E32)),1,0))+IF(Classifiers!$E$17="",0,IF(ISNUMBER(SEARCH(Classifiers!$E$17,E32)),1,0))+IF(Classifiers!$F$17="",0,IF(ISNUMBER(SEARCH(Classifiers!$F$17,E32)),1,0))+IF(Classifiers!$G$17="",0,IF(ISNUMBER(SEARCH(Classifiers!$G$17,E32)),1,0)))&gt;0,1,0))</f>
        <v/>
      </c>
      <c r="W32" s="12">
        <f>IF(H32&lt;&gt;1,0,IF((IF(Classifiers!$B$18="",0,IF(ISNUMBER(SEARCH(Classifiers!$B$18,E32)),1,0))+IF(Classifiers!$C$18="",0,IF(ISNUMBER(SEARCH(Classifiers!$C$18,E32)),1,0))+IF(Classifiers!$D$18="",0,IF(ISNUMBER(SEARCH(Classifiers!$D$18,E32)),1,0))+IF(Classifiers!$E$18="",0,IF(ISNUMBER(SEARCH(Classifiers!$E$18,E32)),1,0))+IF(Classifiers!$F$18="",0,IF(ISNUMBER(SEARCH(Classifiers!$F$18,E32)),1,0))+IF(Classifiers!$G$18="",0,IF(ISNUMBER(SEARCH(Classifiers!$G$18,E32)),1,0)))&gt;0,1,0))</f>
        <v/>
      </c>
    </row>
    <row r="33">
      <c r="A33" s="8" t="n"/>
      <c r="B33" s="11" t="n"/>
      <c r="C33" s="6">
        <f>IF(A33="","",TRIM(RIGHT(SUBSTITUTE(A33,"/",REPT(" ",250)),250)))</f>
        <v/>
      </c>
      <c r="D33" s="6">
        <f>IF(C33="","",IF(ISNUMBER(SEARCH(".",C33)),LOWER("."&amp;TRIM(RIGHT(SUBSTITUTE(C33,".",REPT(" ",250)),250))),""))</f>
        <v/>
      </c>
      <c r="E33" s="6">
        <f>IF(C33="","",TRIM(SUBSTITUTE(SUBSTITUTE(SUBSTITUTE(SUBSTITUTE(SUBSTITUTE(SUBSTITUTE(SUBSTITUTE(SUBSTITUTE(SUBSTITUTE(SUBSTITUTE(SUBSTITUTE(SUBSTITUTE(SUBSTITUTE(SUBSTITUTE(SUBSTITUTE(SUBSTITUTE(SUBSTITUTE(SUBSTITUTE(SUBSTITUTE(SUBSTITUTE(LOWER(LEFT(C33,LEN(C33)-LEN(D33))),"_"," "),"-"," "),"."," "),","," "),"("," "),")"," "),"["," "),"]"," "),"&amp;"," "),"+"," "),"@"," "),"#"," "),"!"," "),"'"," "),"/"," "),":"," "),";"," "),"="," "),"~"," "),"%"," ")))</f>
        <v/>
      </c>
      <c r="F33" s="6">
        <f>IF(C33="","",IF(COUNTIF(Classifiers!$A$23:$A$40,D33)&gt;0,1,0))</f>
        <v/>
      </c>
      <c r="G33" s="6">
        <f>IF(C33="","",IF(COUNTIF(Classifiers!$C$23:$C$30,D33)&gt;0,IF((IF(ISNUMBER(SEARCH(Classifiers!$E$23,E33)),1,0)+IF(ISNUMBER(SEARCH(Classifiers!$E$24,E33)),1,0)+IF(ISNUMBER(SEARCH(Classifiers!$E$25,E33)),1,0)+IF(ISNUMBER(SEARCH(Classifiers!$E$26,E33)),1,0)+IF(ISNUMBER(SEARCH(Classifiers!$E$27,E33)),1,0)+IF(ISNUMBER(SEARCH(Classifiers!$E$28,E33)),1,0)+IF(ISNUMBER(SEARCH(Classifiers!$E$29,E33)),1,0)+IF(ISNUMBER(SEARCH(Classifiers!$E$30,E33)),1,0))&gt;0,1,0),0))</f>
        <v/>
      </c>
      <c r="H33" s="6">
        <f>IF(C33="","",IF(OR(LEFT(C33,1)=".",AND(F33=0,G33=0)),0,1))</f>
        <v/>
      </c>
      <c r="I33" s="6">
        <f>IF(H33&lt;&gt;1,"",IF(SUM(J33:W33)=0,"unclassified",INDEX(Classifiers!$A$5:$A$18,MATCH(1,J33:W33,0),1)))</f>
        <v/>
      </c>
      <c r="J33" s="12">
        <f>IF(H33&lt;&gt;1,0,IF((IF(Classifiers!$B$5="",0,IF(ISNUMBER(SEARCH(Classifiers!$B$5,E33)),1,0))+IF(Classifiers!$C$5="",0,IF(ISNUMBER(SEARCH(Classifiers!$C$5,E33)),1,0))+IF(Classifiers!$D$5="",0,IF(ISNUMBER(SEARCH(Classifiers!$D$5,E33)),1,0))+IF(Classifiers!$E$5="",0,IF(ISNUMBER(SEARCH(Classifiers!$E$5,E33)),1,0))+IF(Classifiers!$F$5="",0,IF(ISNUMBER(SEARCH(Classifiers!$F$5,E33)),1,0))+IF(Classifiers!$G$5="",0,IF(ISNUMBER(SEARCH(Classifiers!$G$5,E33)),1,0)))&gt;0,1,0))</f>
        <v/>
      </c>
      <c r="K33" s="12">
        <f>IF(H33&lt;&gt;1,0,IF((IF(Classifiers!$B$6="",0,IF(ISNUMBER(SEARCH(Classifiers!$B$6,E33)),1,0))+IF(Classifiers!$C$6="",0,IF(ISNUMBER(SEARCH(Classifiers!$C$6,E33)),1,0))+IF(Classifiers!$D$6="",0,IF(ISNUMBER(SEARCH(Classifiers!$D$6,E33)),1,0))+IF(Classifiers!$E$6="",0,IF(ISNUMBER(SEARCH(Classifiers!$E$6,E33)),1,0))+IF(Classifiers!$F$6="",0,IF(ISNUMBER(SEARCH(Classifiers!$F$6,E33)),1,0))+IF(Classifiers!$G$6="",0,IF(ISNUMBER(SEARCH(Classifiers!$G$6,E33)),1,0)))&gt;0,1,0))</f>
        <v/>
      </c>
      <c r="L33" s="12">
        <f>IF(H33&lt;&gt;1,0,IF((IF(Classifiers!$B$7="",0,IF(ISNUMBER(SEARCH(Classifiers!$B$7,E33)),1,0))+IF(Classifiers!$C$7="",0,IF(ISNUMBER(SEARCH(Classifiers!$C$7,E33)),1,0))+IF(Classifiers!$D$7="",0,IF(ISNUMBER(SEARCH(Classifiers!$D$7,E33)),1,0))+IF(Classifiers!$E$7="",0,IF(ISNUMBER(SEARCH(Classifiers!$E$7,E33)),1,0))+IF(Classifiers!$F$7="",0,IF(ISNUMBER(SEARCH(Classifiers!$F$7,E33)),1,0))+IF(Classifiers!$G$7="",0,IF(ISNUMBER(SEARCH(Classifiers!$G$7,E33)),1,0)))&gt;0,1,0))</f>
        <v/>
      </c>
      <c r="M33" s="12">
        <f>IF(H33&lt;&gt;1,0,IF((IF(Classifiers!$B$8="",0,IF(ISNUMBER(SEARCH(Classifiers!$B$8,E33)),1,0))+IF(Classifiers!$C$8="",0,IF(ISNUMBER(SEARCH(Classifiers!$C$8,E33)),1,0))+IF(Classifiers!$D$8="",0,IF(ISNUMBER(SEARCH(Classifiers!$D$8,E33)),1,0))+IF(Classifiers!$E$8="",0,IF(ISNUMBER(SEARCH(Classifiers!$E$8,E33)),1,0))+IF(Classifiers!$F$8="",0,IF(ISNUMBER(SEARCH(Classifiers!$F$8,E33)),1,0))+IF(Classifiers!$G$8="",0,IF(ISNUMBER(SEARCH(Classifiers!$G$8,E33)),1,0)))&gt;0,1,0))</f>
        <v/>
      </c>
      <c r="N33" s="12">
        <f>IF(H33&lt;&gt;1,0,IF((IF(Classifiers!$B$9="",0,IF(ISNUMBER(SEARCH(Classifiers!$B$9,E33)),1,0))+IF(Classifiers!$C$9="",0,IF(ISNUMBER(SEARCH(Classifiers!$C$9,E33)),1,0))+IF(Classifiers!$D$9="",0,IF(ISNUMBER(SEARCH(Classifiers!$D$9,E33)),1,0))+IF(Classifiers!$E$9="",0,IF(ISNUMBER(SEARCH(Classifiers!$E$9,E33)),1,0))+IF(Classifiers!$F$9="",0,IF(ISNUMBER(SEARCH(Classifiers!$F$9,E33)),1,0))+IF(Classifiers!$G$9="",0,IF(ISNUMBER(SEARCH(Classifiers!$G$9,E33)),1,0)))&gt;0,1,0))</f>
        <v/>
      </c>
      <c r="O33" s="12">
        <f>IF(H33&lt;&gt;1,0,IF((IF(Classifiers!$B$10="",0,IF(ISNUMBER(SEARCH(Classifiers!$B$10,E33)),1,0))+IF(Classifiers!$C$10="",0,IF(ISNUMBER(SEARCH(Classifiers!$C$10,E33)),1,0))+IF(Classifiers!$D$10="",0,IF(ISNUMBER(SEARCH(Classifiers!$D$10,E33)),1,0))+IF(Classifiers!$E$10="",0,IF(ISNUMBER(SEARCH(Classifiers!$E$10,E33)),1,0))+IF(Classifiers!$F$10="",0,IF(ISNUMBER(SEARCH(Classifiers!$F$10,E33)),1,0))+IF(Classifiers!$G$10="",0,IF(ISNUMBER(SEARCH(Classifiers!$G$10,E33)),1,0)))&gt;0,1,0))</f>
        <v/>
      </c>
      <c r="P33" s="12">
        <f>IF(H33&lt;&gt;1,0,IF((IF(Classifiers!$B$11="",0,IF(ISNUMBER(SEARCH(Classifiers!$B$11,E33)),1,0))+IF(Classifiers!$C$11="",0,IF(ISNUMBER(SEARCH(Classifiers!$C$11,E33)),1,0))+IF(Classifiers!$D$11="",0,IF(ISNUMBER(SEARCH(Classifiers!$D$11,E33)),1,0))+IF(Classifiers!$E$11="",0,IF(ISNUMBER(SEARCH(Classifiers!$E$11,E33)),1,0))+IF(Classifiers!$F$11="",0,IF(ISNUMBER(SEARCH(Classifiers!$F$11,E33)),1,0))+IF(Classifiers!$G$11="",0,IF(ISNUMBER(SEARCH(Classifiers!$G$11,E33)),1,0)))&gt;0,1,0))</f>
        <v/>
      </c>
      <c r="Q33" s="12">
        <f>IF(H33&lt;&gt;1,0,IF((IF(Classifiers!$B$12="",0,IF(ISNUMBER(SEARCH(Classifiers!$B$12,E33)),1,0))+IF(Classifiers!$C$12="",0,IF(ISNUMBER(SEARCH(Classifiers!$C$12,E33)),1,0))+IF(Classifiers!$D$12="",0,IF(ISNUMBER(SEARCH(Classifiers!$D$12,E33)),1,0))+IF(Classifiers!$E$12="",0,IF(ISNUMBER(SEARCH(Classifiers!$E$12,E33)),1,0))+IF(Classifiers!$F$12="",0,IF(ISNUMBER(SEARCH(Classifiers!$F$12,E33)),1,0))+IF(Classifiers!$G$12="",0,IF(ISNUMBER(SEARCH(Classifiers!$G$12,E33)),1,0)))&gt;0,1,0))</f>
        <v/>
      </c>
      <c r="R33" s="12">
        <f>IF(H33&lt;&gt;1,0,IF((IF(Classifiers!$B$13="",0,IF(ISNUMBER(SEARCH(Classifiers!$B$13,E33)),1,0))+IF(Classifiers!$C$13="",0,IF(ISNUMBER(SEARCH(Classifiers!$C$13,E33)),1,0))+IF(Classifiers!$D$13="",0,IF(ISNUMBER(SEARCH(Classifiers!$D$13,E33)),1,0))+IF(Classifiers!$E$13="",0,IF(ISNUMBER(SEARCH(Classifiers!$E$13,E33)),1,0))+IF(Classifiers!$F$13="",0,IF(ISNUMBER(SEARCH(Classifiers!$F$13,E33)),1,0))+IF(Classifiers!$G$13="",0,IF(ISNUMBER(SEARCH(Classifiers!$G$13,E33)),1,0)))&gt;0,1,0))</f>
        <v/>
      </c>
      <c r="S33" s="12">
        <f>IF(H33&lt;&gt;1,0,IF((IF(Classifiers!$B$14="",0,IF(ISNUMBER(SEARCH(Classifiers!$B$14,E33)),1,0))+IF(Classifiers!$C$14="",0,IF(ISNUMBER(SEARCH(Classifiers!$C$14,E33)),1,0))+IF(Classifiers!$D$14="",0,IF(ISNUMBER(SEARCH(Classifiers!$D$14,E33)),1,0))+IF(Classifiers!$E$14="",0,IF(ISNUMBER(SEARCH(Classifiers!$E$14,E33)),1,0))+IF(Classifiers!$F$14="",0,IF(ISNUMBER(SEARCH(Classifiers!$F$14,E33)),1,0))+IF(Classifiers!$G$14="",0,IF(ISNUMBER(SEARCH(Classifiers!$G$14,E33)),1,0)))&gt;0,1,0))</f>
        <v/>
      </c>
      <c r="T33" s="12">
        <f>IF(H33&lt;&gt;1,0,IF((IF(Classifiers!$B$15="",0,IF(ISNUMBER(SEARCH(Classifiers!$B$15,E33)),1,0))+IF(Classifiers!$C$15="",0,IF(ISNUMBER(SEARCH(Classifiers!$C$15,E33)),1,0))+IF(Classifiers!$D$15="",0,IF(ISNUMBER(SEARCH(Classifiers!$D$15,E33)),1,0))+IF(Classifiers!$E$15="",0,IF(ISNUMBER(SEARCH(Classifiers!$E$15,E33)),1,0))+IF(Classifiers!$F$15="",0,IF(ISNUMBER(SEARCH(Classifiers!$F$15,E33)),1,0))+IF(Classifiers!$G$15="",0,IF(ISNUMBER(SEARCH(Classifiers!$G$15,E33)),1,0)))&gt;0,1,0))</f>
        <v/>
      </c>
      <c r="U33" s="12">
        <f>IF(H33&lt;&gt;1,0,IF((IF(Classifiers!$B$16="",0,IF(ISNUMBER(SEARCH(Classifiers!$B$16,E33)),1,0))+IF(Classifiers!$C$16="",0,IF(ISNUMBER(SEARCH(Classifiers!$C$16,E33)),1,0))+IF(Classifiers!$D$16="",0,IF(ISNUMBER(SEARCH(Classifiers!$D$16,E33)),1,0))+IF(Classifiers!$E$16="",0,IF(ISNUMBER(SEARCH(Classifiers!$E$16,E33)),1,0))+IF(Classifiers!$F$16="",0,IF(ISNUMBER(SEARCH(Classifiers!$F$16,E33)),1,0))+IF(Classifiers!$G$16="",0,IF(ISNUMBER(SEARCH(Classifiers!$G$16,E33)),1,0)))&gt;0,1,0))</f>
        <v/>
      </c>
      <c r="V33" s="12">
        <f>IF(H33&lt;&gt;1,0,IF((IF(Classifiers!$B$17="",0,IF(ISNUMBER(SEARCH(Classifiers!$B$17,E33)),1,0))+IF(Classifiers!$C$17="",0,IF(ISNUMBER(SEARCH(Classifiers!$C$17,E33)),1,0))+IF(Classifiers!$D$17="",0,IF(ISNUMBER(SEARCH(Classifiers!$D$17,E33)),1,0))+IF(Classifiers!$E$17="",0,IF(ISNUMBER(SEARCH(Classifiers!$E$17,E33)),1,0))+IF(Classifiers!$F$17="",0,IF(ISNUMBER(SEARCH(Classifiers!$F$17,E33)),1,0))+IF(Classifiers!$G$17="",0,IF(ISNUMBER(SEARCH(Classifiers!$G$17,E33)),1,0)))&gt;0,1,0))</f>
        <v/>
      </c>
      <c r="W33" s="12">
        <f>IF(H33&lt;&gt;1,0,IF((IF(Classifiers!$B$18="",0,IF(ISNUMBER(SEARCH(Classifiers!$B$18,E33)),1,0))+IF(Classifiers!$C$18="",0,IF(ISNUMBER(SEARCH(Classifiers!$C$18,E33)),1,0))+IF(Classifiers!$D$18="",0,IF(ISNUMBER(SEARCH(Classifiers!$D$18,E33)),1,0))+IF(Classifiers!$E$18="",0,IF(ISNUMBER(SEARCH(Classifiers!$E$18,E33)),1,0))+IF(Classifiers!$F$18="",0,IF(ISNUMBER(SEARCH(Classifiers!$F$18,E33)),1,0))+IF(Classifiers!$G$18="",0,IF(ISNUMBER(SEARCH(Classifiers!$G$18,E33)),1,0)))&gt;0,1,0))</f>
        <v/>
      </c>
    </row>
    <row r="34">
      <c r="A34" s="8" t="n"/>
      <c r="B34" s="11" t="n"/>
      <c r="C34" s="6">
        <f>IF(A34="","",TRIM(RIGHT(SUBSTITUTE(A34,"/",REPT(" ",250)),250)))</f>
        <v/>
      </c>
      <c r="D34" s="6">
        <f>IF(C34="","",IF(ISNUMBER(SEARCH(".",C34)),LOWER("."&amp;TRIM(RIGHT(SUBSTITUTE(C34,".",REPT(" ",250)),250))),""))</f>
        <v/>
      </c>
      <c r="E34" s="6">
        <f>IF(C34="","",TRIM(SUBSTITUTE(SUBSTITUTE(SUBSTITUTE(SUBSTITUTE(SUBSTITUTE(SUBSTITUTE(SUBSTITUTE(SUBSTITUTE(SUBSTITUTE(SUBSTITUTE(SUBSTITUTE(SUBSTITUTE(SUBSTITUTE(SUBSTITUTE(SUBSTITUTE(SUBSTITUTE(SUBSTITUTE(SUBSTITUTE(SUBSTITUTE(SUBSTITUTE(LOWER(LEFT(C34,LEN(C34)-LEN(D34))),"_"," "),"-"," "),"."," "),","," "),"("," "),")"," "),"["," "),"]"," "),"&amp;"," "),"+"," "),"@"," "),"#"," "),"!"," "),"'"," "),"/"," "),":"," "),";"," "),"="," "),"~"," "),"%"," ")))</f>
        <v/>
      </c>
      <c r="F34" s="6">
        <f>IF(C34="","",IF(COUNTIF(Classifiers!$A$23:$A$40,D34)&gt;0,1,0))</f>
        <v/>
      </c>
      <c r="G34" s="6">
        <f>IF(C34="","",IF(COUNTIF(Classifiers!$C$23:$C$30,D34)&gt;0,IF((IF(ISNUMBER(SEARCH(Classifiers!$E$23,E34)),1,0)+IF(ISNUMBER(SEARCH(Classifiers!$E$24,E34)),1,0)+IF(ISNUMBER(SEARCH(Classifiers!$E$25,E34)),1,0)+IF(ISNUMBER(SEARCH(Classifiers!$E$26,E34)),1,0)+IF(ISNUMBER(SEARCH(Classifiers!$E$27,E34)),1,0)+IF(ISNUMBER(SEARCH(Classifiers!$E$28,E34)),1,0)+IF(ISNUMBER(SEARCH(Classifiers!$E$29,E34)),1,0)+IF(ISNUMBER(SEARCH(Classifiers!$E$30,E34)),1,0))&gt;0,1,0),0))</f>
        <v/>
      </c>
      <c r="H34" s="6">
        <f>IF(C34="","",IF(OR(LEFT(C34,1)=".",AND(F34=0,G34=0)),0,1))</f>
        <v/>
      </c>
      <c r="I34" s="6">
        <f>IF(H34&lt;&gt;1,"",IF(SUM(J34:W34)=0,"unclassified",INDEX(Classifiers!$A$5:$A$18,MATCH(1,J34:W34,0),1)))</f>
        <v/>
      </c>
      <c r="J34" s="12">
        <f>IF(H34&lt;&gt;1,0,IF((IF(Classifiers!$B$5="",0,IF(ISNUMBER(SEARCH(Classifiers!$B$5,E34)),1,0))+IF(Classifiers!$C$5="",0,IF(ISNUMBER(SEARCH(Classifiers!$C$5,E34)),1,0))+IF(Classifiers!$D$5="",0,IF(ISNUMBER(SEARCH(Classifiers!$D$5,E34)),1,0))+IF(Classifiers!$E$5="",0,IF(ISNUMBER(SEARCH(Classifiers!$E$5,E34)),1,0))+IF(Classifiers!$F$5="",0,IF(ISNUMBER(SEARCH(Classifiers!$F$5,E34)),1,0))+IF(Classifiers!$G$5="",0,IF(ISNUMBER(SEARCH(Classifiers!$G$5,E34)),1,0)))&gt;0,1,0))</f>
        <v/>
      </c>
      <c r="K34" s="12">
        <f>IF(H34&lt;&gt;1,0,IF((IF(Classifiers!$B$6="",0,IF(ISNUMBER(SEARCH(Classifiers!$B$6,E34)),1,0))+IF(Classifiers!$C$6="",0,IF(ISNUMBER(SEARCH(Classifiers!$C$6,E34)),1,0))+IF(Classifiers!$D$6="",0,IF(ISNUMBER(SEARCH(Classifiers!$D$6,E34)),1,0))+IF(Classifiers!$E$6="",0,IF(ISNUMBER(SEARCH(Classifiers!$E$6,E34)),1,0))+IF(Classifiers!$F$6="",0,IF(ISNUMBER(SEARCH(Classifiers!$F$6,E34)),1,0))+IF(Classifiers!$G$6="",0,IF(ISNUMBER(SEARCH(Classifiers!$G$6,E34)),1,0)))&gt;0,1,0))</f>
        <v/>
      </c>
      <c r="L34" s="12">
        <f>IF(H34&lt;&gt;1,0,IF((IF(Classifiers!$B$7="",0,IF(ISNUMBER(SEARCH(Classifiers!$B$7,E34)),1,0))+IF(Classifiers!$C$7="",0,IF(ISNUMBER(SEARCH(Classifiers!$C$7,E34)),1,0))+IF(Classifiers!$D$7="",0,IF(ISNUMBER(SEARCH(Classifiers!$D$7,E34)),1,0))+IF(Classifiers!$E$7="",0,IF(ISNUMBER(SEARCH(Classifiers!$E$7,E34)),1,0))+IF(Classifiers!$F$7="",0,IF(ISNUMBER(SEARCH(Classifiers!$F$7,E34)),1,0))+IF(Classifiers!$G$7="",0,IF(ISNUMBER(SEARCH(Classifiers!$G$7,E34)),1,0)))&gt;0,1,0))</f>
        <v/>
      </c>
      <c r="M34" s="12">
        <f>IF(H34&lt;&gt;1,0,IF((IF(Classifiers!$B$8="",0,IF(ISNUMBER(SEARCH(Classifiers!$B$8,E34)),1,0))+IF(Classifiers!$C$8="",0,IF(ISNUMBER(SEARCH(Classifiers!$C$8,E34)),1,0))+IF(Classifiers!$D$8="",0,IF(ISNUMBER(SEARCH(Classifiers!$D$8,E34)),1,0))+IF(Classifiers!$E$8="",0,IF(ISNUMBER(SEARCH(Classifiers!$E$8,E34)),1,0))+IF(Classifiers!$F$8="",0,IF(ISNUMBER(SEARCH(Classifiers!$F$8,E34)),1,0))+IF(Classifiers!$G$8="",0,IF(ISNUMBER(SEARCH(Classifiers!$G$8,E34)),1,0)))&gt;0,1,0))</f>
        <v/>
      </c>
      <c r="N34" s="12">
        <f>IF(H34&lt;&gt;1,0,IF((IF(Classifiers!$B$9="",0,IF(ISNUMBER(SEARCH(Classifiers!$B$9,E34)),1,0))+IF(Classifiers!$C$9="",0,IF(ISNUMBER(SEARCH(Classifiers!$C$9,E34)),1,0))+IF(Classifiers!$D$9="",0,IF(ISNUMBER(SEARCH(Classifiers!$D$9,E34)),1,0))+IF(Classifiers!$E$9="",0,IF(ISNUMBER(SEARCH(Classifiers!$E$9,E34)),1,0))+IF(Classifiers!$F$9="",0,IF(ISNUMBER(SEARCH(Classifiers!$F$9,E34)),1,0))+IF(Classifiers!$G$9="",0,IF(ISNUMBER(SEARCH(Classifiers!$G$9,E34)),1,0)))&gt;0,1,0))</f>
        <v/>
      </c>
      <c r="O34" s="12">
        <f>IF(H34&lt;&gt;1,0,IF((IF(Classifiers!$B$10="",0,IF(ISNUMBER(SEARCH(Classifiers!$B$10,E34)),1,0))+IF(Classifiers!$C$10="",0,IF(ISNUMBER(SEARCH(Classifiers!$C$10,E34)),1,0))+IF(Classifiers!$D$10="",0,IF(ISNUMBER(SEARCH(Classifiers!$D$10,E34)),1,0))+IF(Classifiers!$E$10="",0,IF(ISNUMBER(SEARCH(Classifiers!$E$10,E34)),1,0))+IF(Classifiers!$F$10="",0,IF(ISNUMBER(SEARCH(Classifiers!$F$10,E34)),1,0))+IF(Classifiers!$G$10="",0,IF(ISNUMBER(SEARCH(Classifiers!$G$10,E34)),1,0)))&gt;0,1,0))</f>
        <v/>
      </c>
      <c r="P34" s="12">
        <f>IF(H34&lt;&gt;1,0,IF((IF(Classifiers!$B$11="",0,IF(ISNUMBER(SEARCH(Classifiers!$B$11,E34)),1,0))+IF(Classifiers!$C$11="",0,IF(ISNUMBER(SEARCH(Classifiers!$C$11,E34)),1,0))+IF(Classifiers!$D$11="",0,IF(ISNUMBER(SEARCH(Classifiers!$D$11,E34)),1,0))+IF(Classifiers!$E$11="",0,IF(ISNUMBER(SEARCH(Classifiers!$E$11,E34)),1,0))+IF(Classifiers!$F$11="",0,IF(ISNUMBER(SEARCH(Classifiers!$F$11,E34)),1,0))+IF(Classifiers!$G$11="",0,IF(ISNUMBER(SEARCH(Classifiers!$G$11,E34)),1,0)))&gt;0,1,0))</f>
        <v/>
      </c>
      <c r="Q34" s="12">
        <f>IF(H34&lt;&gt;1,0,IF((IF(Classifiers!$B$12="",0,IF(ISNUMBER(SEARCH(Classifiers!$B$12,E34)),1,0))+IF(Classifiers!$C$12="",0,IF(ISNUMBER(SEARCH(Classifiers!$C$12,E34)),1,0))+IF(Classifiers!$D$12="",0,IF(ISNUMBER(SEARCH(Classifiers!$D$12,E34)),1,0))+IF(Classifiers!$E$12="",0,IF(ISNUMBER(SEARCH(Classifiers!$E$12,E34)),1,0))+IF(Classifiers!$F$12="",0,IF(ISNUMBER(SEARCH(Classifiers!$F$12,E34)),1,0))+IF(Classifiers!$G$12="",0,IF(ISNUMBER(SEARCH(Classifiers!$G$12,E34)),1,0)))&gt;0,1,0))</f>
        <v/>
      </c>
      <c r="R34" s="12">
        <f>IF(H34&lt;&gt;1,0,IF((IF(Classifiers!$B$13="",0,IF(ISNUMBER(SEARCH(Classifiers!$B$13,E34)),1,0))+IF(Classifiers!$C$13="",0,IF(ISNUMBER(SEARCH(Classifiers!$C$13,E34)),1,0))+IF(Classifiers!$D$13="",0,IF(ISNUMBER(SEARCH(Classifiers!$D$13,E34)),1,0))+IF(Classifiers!$E$13="",0,IF(ISNUMBER(SEARCH(Classifiers!$E$13,E34)),1,0))+IF(Classifiers!$F$13="",0,IF(ISNUMBER(SEARCH(Classifiers!$F$13,E34)),1,0))+IF(Classifiers!$G$13="",0,IF(ISNUMBER(SEARCH(Classifiers!$G$13,E34)),1,0)))&gt;0,1,0))</f>
        <v/>
      </c>
      <c r="S34" s="12">
        <f>IF(H34&lt;&gt;1,0,IF((IF(Classifiers!$B$14="",0,IF(ISNUMBER(SEARCH(Classifiers!$B$14,E34)),1,0))+IF(Classifiers!$C$14="",0,IF(ISNUMBER(SEARCH(Classifiers!$C$14,E34)),1,0))+IF(Classifiers!$D$14="",0,IF(ISNUMBER(SEARCH(Classifiers!$D$14,E34)),1,0))+IF(Classifiers!$E$14="",0,IF(ISNUMBER(SEARCH(Classifiers!$E$14,E34)),1,0))+IF(Classifiers!$F$14="",0,IF(ISNUMBER(SEARCH(Classifiers!$F$14,E34)),1,0))+IF(Classifiers!$G$14="",0,IF(ISNUMBER(SEARCH(Classifiers!$G$14,E34)),1,0)))&gt;0,1,0))</f>
        <v/>
      </c>
      <c r="T34" s="12">
        <f>IF(H34&lt;&gt;1,0,IF((IF(Classifiers!$B$15="",0,IF(ISNUMBER(SEARCH(Classifiers!$B$15,E34)),1,0))+IF(Classifiers!$C$15="",0,IF(ISNUMBER(SEARCH(Classifiers!$C$15,E34)),1,0))+IF(Classifiers!$D$15="",0,IF(ISNUMBER(SEARCH(Classifiers!$D$15,E34)),1,0))+IF(Classifiers!$E$15="",0,IF(ISNUMBER(SEARCH(Classifiers!$E$15,E34)),1,0))+IF(Classifiers!$F$15="",0,IF(ISNUMBER(SEARCH(Classifiers!$F$15,E34)),1,0))+IF(Classifiers!$G$15="",0,IF(ISNUMBER(SEARCH(Classifiers!$G$15,E34)),1,0)))&gt;0,1,0))</f>
        <v/>
      </c>
      <c r="U34" s="12">
        <f>IF(H34&lt;&gt;1,0,IF((IF(Classifiers!$B$16="",0,IF(ISNUMBER(SEARCH(Classifiers!$B$16,E34)),1,0))+IF(Classifiers!$C$16="",0,IF(ISNUMBER(SEARCH(Classifiers!$C$16,E34)),1,0))+IF(Classifiers!$D$16="",0,IF(ISNUMBER(SEARCH(Classifiers!$D$16,E34)),1,0))+IF(Classifiers!$E$16="",0,IF(ISNUMBER(SEARCH(Classifiers!$E$16,E34)),1,0))+IF(Classifiers!$F$16="",0,IF(ISNUMBER(SEARCH(Classifiers!$F$16,E34)),1,0))+IF(Classifiers!$G$16="",0,IF(ISNUMBER(SEARCH(Classifiers!$G$16,E34)),1,0)))&gt;0,1,0))</f>
        <v/>
      </c>
      <c r="V34" s="12">
        <f>IF(H34&lt;&gt;1,0,IF((IF(Classifiers!$B$17="",0,IF(ISNUMBER(SEARCH(Classifiers!$B$17,E34)),1,0))+IF(Classifiers!$C$17="",0,IF(ISNUMBER(SEARCH(Classifiers!$C$17,E34)),1,0))+IF(Classifiers!$D$17="",0,IF(ISNUMBER(SEARCH(Classifiers!$D$17,E34)),1,0))+IF(Classifiers!$E$17="",0,IF(ISNUMBER(SEARCH(Classifiers!$E$17,E34)),1,0))+IF(Classifiers!$F$17="",0,IF(ISNUMBER(SEARCH(Classifiers!$F$17,E34)),1,0))+IF(Classifiers!$G$17="",0,IF(ISNUMBER(SEARCH(Classifiers!$G$17,E34)),1,0)))&gt;0,1,0))</f>
        <v/>
      </c>
      <c r="W34" s="12">
        <f>IF(H34&lt;&gt;1,0,IF((IF(Classifiers!$B$18="",0,IF(ISNUMBER(SEARCH(Classifiers!$B$18,E34)),1,0))+IF(Classifiers!$C$18="",0,IF(ISNUMBER(SEARCH(Classifiers!$C$18,E34)),1,0))+IF(Classifiers!$D$18="",0,IF(ISNUMBER(SEARCH(Classifiers!$D$18,E34)),1,0))+IF(Classifiers!$E$18="",0,IF(ISNUMBER(SEARCH(Classifiers!$E$18,E34)),1,0))+IF(Classifiers!$F$18="",0,IF(ISNUMBER(SEARCH(Classifiers!$F$18,E34)),1,0))+IF(Classifiers!$G$18="",0,IF(ISNUMBER(SEARCH(Classifiers!$G$18,E34)),1,0)))&gt;0,1,0))</f>
        <v/>
      </c>
    </row>
    <row r="35">
      <c r="A35" s="8" t="n"/>
      <c r="B35" s="11" t="n"/>
      <c r="C35" s="6">
        <f>IF(A35="","",TRIM(RIGHT(SUBSTITUTE(A35,"/",REPT(" ",250)),250)))</f>
        <v/>
      </c>
      <c r="D35" s="6">
        <f>IF(C35="","",IF(ISNUMBER(SEARCH(".",C35)),LOWER("."&amp;TRIM(RIGHT(SUBSTITUTE(C35,".",REPT(" ",250)),250))),""))</f>
        <v/>
      </c>
      <c r="E35" s="6">
        <f>IF(C35="","",TRIM(SUBSTITUTE(SUBSTITUTE(SUBSTITUTE(SUBSTITUTE(SUBSTITUTE(SUBSTITUTE(SUBSTITUTE(SUBSTITUTE(SUBSTITUTE(SUBSTITUTE(SUBSTITUTE(SUBSTITUTE(SUBSTITUTE(SUBSTITUTE(SUBSTITUTE(SUBSTITUTE(SUBSTITUTE(SUBSTITUTE(SUBSTITUTE(SUBSTITUTE(LOWER(LEFT(C35,LEN(C35)-LEN(D35))),"_"," "),"-"," "),"."," "),","," "),"("," "),")"," "),"["," "),"]"," "),"&amp;"," "),"+"," "),"@"," "),"#"," "),"!"," "),"'"," "),"/"," "),":"," "),";"," "),"="," "),"~"," "),"%"," ")))</f>
        <v/>
      </c>
      <c r="F35" s="6">
        <f>IF(C35="","",IF(COUNTIF(Classifiers!$A$23:$A$40,D35)&gt;0,1,0))</f>
        <v/>
      </c>
      <c r="G35" s="6">
        <f>IF(C35="","",IF(COUNTIF(Classifiers!$C$23:$C$30,D35)&gt;0,IF((IF(ISNUMBER(SEARCH(Classifiers!$E$23,E35)),1,0)+IF(ISNUMBER(SEARCH(Classifiers!$E$24,E35)),1,0)+IF(ISNUMBER(SEARCH(Classifiers!$E$25,E35)),1,0)+IF(ISNUMBER(SEARCH(Classifiers!$E$26,E35)),1,0)+IF(ISNUMBER(SEARCH(Classifiers!$E$27,E35)),1,0)+IF(ISNUMBER(SEARCH(Classifiers!$E$28,E35)),1,0)+IF(ISNUMBER(SEARCH(Classifiers!$E$29,E35)),1,0)+IF(ISNUMBER(SEARCH(Classifiers!$E$30,E35)),1,0))&gt;0,1,0),0))</f>
        <v/>
      </c>
      <c r="H35" s="6">
        <f>IF(C35="","",IF(OR(LEFT(C35,1)=".",AND(F35=0,G35=0)),0,1))</f>
        <v/>
      </c>
      <c r="I35" s="6">
        <f>IF(H35&lt;&gt;1,"",IF(SUM(J35:W35)=0,"unclassified",INDEX(Classifiers!$A$5:$A$18,MATCH(1,J35:W35,0),1)))</f>
        <v/>
      </c>
      <c r="J35" s="12">
        <f>IF(H35&lt;&gt;1,0,IF((IF(Classifiers!$B$5="",0,IF(ISNUMBER(SEARCH(Classifiers!$B$5,E35)),1,0))+IF(Classifiers!$C$5="",0,IF(ISNUMBER(SEARCH(Classifiers!$C$5,E35)),1,0))+IF(Classifiers!$D$5="",0,IF(ISNUMBER(SEARCH(Classifiers!$D$5,E35)),1,0))+IF(Classifiers!$E$5="",0,IF(ISNUMBER(SEARCH(Classifiers!$E$5,E35)),1,0))+IF(Classifiers!$F$5="",0,IF(ISNUMBER(SEARCH(Classifiers!$F$5,E35)),1,0))+IF(Classifiers!$G$5="",0,IF(ISNUMBER(SEARCH(Classifiers!$G$5,E35)),1,0)))&gt;0,1,0))</f>
        <v/>
      </c>
      <c r="K35" s="12">
        <f>IF(H35&lt;&gt;1,0,IF((IF(Classifiers!$B$6="",0,IF(ISNUMBER(SEARCH(Classifiers!$B$6,E35)),1,0))+IF(Classifiers!$C$6="",0,IF(ISNUMBER(SEARCH(Classifiers!$C$6,E35)),1,0))+IF(Classifiers!$D$6="",0,IF(ISNUMBER(SEARCH(Classifiers!$D$6,E35)),1,0))+IF(Classifiers!$E$6="",0,IF(ISNUMBER(SEARCH(Classifiers!$E$6,E35)),1,0))+IF(Classifiers!$F$6="",0,IF(ISNUMBER(SEARCH(Classifiers!$F$6,E35)),1,0))+IF(Classifiers!$G$6="",0,IF(ISNUMBER(SEARCH(Classifiers!$G$6,E35)),1,0)))&gt;0,1,0))</f>
        <v/>
      </c>
      <c r="L35" s="12">
        <f>IF(H35&lt;&gt;1,0,IF((IF(Classifiers!$B$7="",0,IF(ISNUMBER(SEARCH(Classifiers!$B$7,E35)),1,0))+IF(Classifiers!$C$7="",0,IF(ISNUMBER(SEARCH(Classifiers!$C$7,E35)),1,0))+IF(Classifiers!$D$7="",0,IF(ISNUMBER(SEARCH(Classifiers!$D$7,E35)),1,0))+IF(Classifiers!$E$7="",0,IF(ISNUMBER(SEARCH(Classifiers!$E$7,E35)),1,0))+IF(Classifiers!$F$7="",0,IF(ISNUMBER(SEARCH(Classifiers!$F$7,E35)),1,0))+IF(Classifiers!$G$7="",0,IF(ISNUMBER(SEARCH(Classifiers!$G$7,E35)),1,0)))&gt;0,1,0))</f>
        <v/>
      </c>
      <c r="M35" s="12">
        <f>IF(H35&lt;&gt;1,0,IF((IF(Classifiers!$B$8="",0,IF(ISNUMBER(SEARCH(Classifiers!$B$8,E35)),1,0))+IF(Classifiers!$C$8="",0,IF(ISNUMBER(SEARCH(Classifiers!$C$8,E35)),1,0))+IF(Classifiers!$D$8="",0,IF(ISNUMBER(SEARCH(Classifiers!$D$8,E35)),1,0))+IF(Classifiers!$E$8="",0,IF(ISNUMBER(SEARCH(Classifiers!$E$8,E35)),1,0))+IF(Classifiers!$F$8="",0,IF(ISNUMBER(SEARCH(Classifiers!$F$8,E35)),1,0))+IF(Classifiers!$G$8="",0,IF(ISNUMBER(SEARCH(Classifiers!$G$8,E35)),1,0)))&gt;0,1,0))</f>
        <v/>
      </c>
      <c r="N35" s="12">
        <f>IF(H35&lt;&gt;1,0,IF((IF(Classifiers!$B$9="",0,IF(ISNUMBER(SEARCH(Classifiers!$B$9,E35)),1,0))+IF(Classifiers!$C$9="",0,IF(ISNUMBER(SEARCH(Classifiers!$C$9,E35)),1,0))+IF(Classifiers!$D$9="",0,IF(ISNUMBER(SEARCH(Classifiers!$D$9,E35)),1,0))+IF(Classifiers!$E$9="",0,IF(ISNUMBER(SEARCH(Classifiers!$E$9,E35)),1,0))+IF(Classifiers!$F$9="",0,IF(ISNUMBER(SEARCH(Classifiers!$F$9,E35)),1,0))+IF(Classifiers!$G$9="",0,IF(ISNUMBER(SEARCH(Classifiers!$G$9,E35)),1,0)))&gt;0,1,0))</f>
        <v/>
      </c>
      <c r="O35" s="12">
        <f>IF(H35&lt;&gt;1,0,IF((IF(Classifiers!$B$10="",0,IF(ISNUMBER(SEARCH(Classifiers!$B$10,E35)),1,0))+IF(Classifiers!$C$10="",0,IF(ISNUMBER(SEARCH(Classifiers!$C$10,E35)),1,0))+IF(Classifiers!$D$10="",0,IF(ISNUMBER(SEARCH(Classifiers!$D$10,E35)),1,0))+IF(Classifiers!$E$10="",0,IF(ISNUMBER(SEARCH(Classifiers!$E$10,E35)),1,0))+IF(Classifiers!$F$10="",0,IF(ISNUMBER(SEARCH(Classifiers!$F$10,E35)),1,0))+IF(Classifiers!$G$10="",0,IF(ISNUMBER(SEARCH(Classifiers!$G$10,E35)),1,0)))&gt;0,1,0))</f>
        <v/>
      </c>
      <c r="P35" s="12">
        <f>IF(H35&lt;&gt;1,0,IF((IF(Classifiers!$B$11="",0,IF(ISNUMBER(SEARCH(Classifiers!$B$11,E35)),1,0))+IF(Classifiers!$C$11="",0,IF(ISNUMBER(SEARCH(Classifiers!$C$11,E35)),1,0))+IF(Classifiers!$D$11="",0,IF(ISNUMBER(SEARCH(Classifiers!$D$11,E35)),1,0))+IF(Classifiers!$E$11="",0,IF(ISNUMBER(SEARCH(Classifiers!$E$11,E35)),1,0))+IF(Classifiers!$F$11="",0,IF(ISNUMBER(SEARCH(Classifiers!$F$11,E35)),1,0))+IF(Classifiers!$G$11="",0,IF(ISNUMBER(SEARCH(Classifiers!$G$11,E35)),1,0)))&gt;0,1,0))</f>
        <v/>
      </c>
      <c r="Q35" s="12">
        <f>IF(H35&lt;&gt;1,0,IF((IF(Classifiers!$B$12="",0,IF(ISNUMBER(SEARCH(Classifiers!$B$12,E35)),1,0))+IF(Classifiers!$C$12="",0,IF(ISNUMBER(SEARCH(Classifiers!$C$12,E35)),1,0))+IF(Classifiers!$D$12="",0,IF(ISNUMBER(SEARCH(Classifiers!$D$12,E35)),1,0))+IF(Classifiers!$E$12="",0,IF(ISNUMBER(SEARCH(Classifiers!$E$12,E35)),1,0))+IF(Classifiers!$F$12="",0,IF(ISNUMBER(SEARCH(Classifiers!$F$12,E35)),1,0))+IF(Classifiers!$G$12="",0,IF(ISNUMBER(SEARCH(Classifiers!$G$12,E35)),1,0)))&gt;0,1,0))</f>
        <v/>
      </c>
      <c r="R35" s="12">
        <f>IF(H35&lt;&gt;1,0,IF((IF(Classifiers!$B$13="",0,IF(ISNUMBER(SEARCH(Classifiers!$B$13,E35)),1,0))+IF(Classifiers!$C$13="",0,IF(ISNUMBER(SEARCH(Classifiers!$C$13,E35)),1,0))+IF(Classifiers!$D$13="",0,IF(ISNUMBER(SEARCH(Classifiers!$D$13,E35)),1,0))+IF(Classifiers!$E$13="",0,IF(ISNUMBER(SEARCH(Classifiers!$E$13,E35)),1,0))+IF(Classifiers!$F$13="",0,IF(ISNUMBER(SEARCH(Classifiers!$F$13,E35)),1,0))+IF(Classifiers!$G$13="",0,IF(ISNUMBER(SEARCH(Classifiers!$G$13,E35)),1,0)))&gt;0,1,0))</f>
        <v/>
      </c>
      <c r="S35" s="12">
        <f>IF(H35&lt;&gt;1,0,IF((IF(Classifiers!$B$14="",0,IF(ISNUMBER(SEARCH(Classifiers!$B$14,E35)),1,0))+IF(Classifiers!$C$14="",0,IF(ISNUMBER(SEARCH(Classifiers!$C$14,E35)),1,0))+IF(Classifiers!$D$14="",0,IF(ISNUMBER(SEARCH(Classifiers!$D$14,E35)),1,0))+IF(Classifiers!$E$14="",0,IF(ISNUMBER(SEARCH(Classifiers!$E$14,E35)),1,0))+IF(Classifiers!$F$14="",0,IF(ISNUMBER(SEARCH(Classifiers!$F$14,E35)),1,0))+IF(Classifiers!$G$14="",0,IF(ISNUMBER(SEARCH(Classifiers!$G$14,E35)),1,0)))&gt;0,1,0))</f>
        <v/>
      </c>
      <c r="T35" s="12">
        <f>IF(H35&lt;&gt;1,0,IF((IF(Classifiers!$B$15="",0,IF(ISNUMBER(SEARCH(Classifiers!$B$15,E35)),1,0))+IF(Classifiers!$C$15="",0,IF(ISNUMBER(SEARCH(Classifiers!$C$15,E35)),1,0))+IF(Classifiers!$D$15="",0,IF(ISNUMBER(SEARCH(Classifiers!$D$15,E35)),1,0))+IF(Classifiers!$E$15="",0,IF(ISNUMBER(SEARCH(Classifiers!$E$15,E35)),1,0))+IF(Classifiers!$F$15="",0,IF(ISNUMBER(SEARCH(Classifiers!$F$15,E35)),1,0))+IF(Classifiers!$G$15="",0,IF(ISNUMBER(SEARCH(Classifiers!$G$15,E35)),1,0)))&gt;0,1,0))</f>
        <v/>
      </c>
      <c r="U35" s="12">
        <f>IF(H35&lt;&gt;1,0,IF((IF(Classifiers!$B$16="",0,IF(ISNUMBER(SEARCH(Classifiers!$B$16,E35)),1,0))+IF(Classifiers!$C$16="",0,IF(ISNUMBER(SEARCH(Classifiers!$C$16,E35)),1,0))+IF(Classifiers!$D$16="",0,IF(ISNUMBER(SEARCH(Classifiers!$D$16,E35)),1,0))+IF(Classifiers!$E$16="",0,IF(ISNUMBER(SEARCH(Classifiers!$E$16,E35)),1,0))+IF(Classifiers!$F$16="",0,IF(ISNUMBER(SEARCH(Classifiers!$F$16,E35)),1,0))+IF(Classifiers!$G$16="",0,IF(ISNUMBER(SEARCH(Classifiers!$G$16,E35)),1,0)))&gt;0,1,0))</f>
        <v/>
      </c>
      <c r="V35" s="12">
        <f>IF(H35&lt;&gt;1,0,IF((IF(Classifiers!$B$17="",0,IF(ISNUMBER(SEARCH(Classifiers!$B$17,E35)),1,0))+IF(Classifiers!$C$17="",0,IF(ISNUMBER(SEARCH(Classifiers!$C$17,E35)),1,0))+IF(Classifiers!$D$17="",0,IF(ISNUMBER(SEARCH(Classifiers!$D$17,E35)),1,0))+IF(Classifiers!$E$17="",0,IF(ISNUMBER(SEARCH(Classifiers!$E$17,E35)),1,0))+IF(Classifiers!$F$17="",0,IF(ISNUMBER(SEARCH(Classifiers!$F$17,E35)),1,0))+IF(Classifiers!$G$17="",0,IF(ISNUMBER(SEARCH(Classifiers!$G$17,E35)),1,0)))&gt;0,1,0))</f>
        <v/>
      </c>
      <c r="W35" s="12">
        <f>IF(H35&lt;&gt;1,0,IF((IF(Classifiers!$B$18="",0,IF(ISNUMBER(SEARCH(Classifiers!$B$18,E35)),1,0))+IF(Classifiers!$C$18="",0,IF(ISNUMBER(SEARCH(Classifiers!$C$18,E35)),1,0))+IF(Classifiers!$D$18="",0,IF(ISNUMBER(SEARCH(Classifiers!$D$18,E35)),1,0))+IF(Classifiers!$E$18="",0,IF(ISNUMBER(SEARCH(Classifiers!$E$18,E35)),1,0))+IF(Classifiers!$F$18="",0,IF(ISNUMBER(SEARCH(Classifiers!$F$18,E35)),1,0))+IF(Classifiers!$G$18="",0,IF(ISNUMBER(SEARCH(Classifiers!$G$18,E35)),1,0)))&gt;0,1,0))</f>
        <v/>
      </c>
    </row>
    <row r="36">
      <c r="A36" s="8" t="n"/>
      <c r="B36" s="11" t="n"/>
      <c r="C36" s="6">
        <f>IF(A36="","",TRIM(RIGHT(SUBSTITUTE(A36,"/",REPT(" ",250)),250)))</f>
        <v/>
      </c>
      <c r="D36" s="6">
        <f>IF(C36="","",IF(ISNUMBER(SEARCH(".",C36)),LOWER("."&amp;TRIM(RIGHT(SUBSTITUTE(C36,".",REPT(" ",250)),250))),""))</f>
        <v/>
      </c>
      <c r="E36" s="6">
        <f>IF(C36="","",TRIM(SUBSTITUTE(SUBSTITUTE(SUBSTITUTE(SUBSTITUTE(SUBSTITUTE(SUBSTITUTE(SUBSTITUTE(SUBSTITUTE(SUBSTITUTE(SUBSTITUTE(SUBSTITUTE(SUBSTITUTE(SUBSTITUTE(SUBSTITUTE(SUBSTITUTE(SUBSTITUTE(SUBSTITUTE(SUBSTITUTE(SUBSTITUTE(SUBSTITUTE(LOWER(LEFT(C36,LEN(C36)-LEN(D36))),"_"," "),"-"," "),"."," "),","," "),"("," "),")"," "),"["," "),"]"," "),"&amp;"," "),"+"," "),"@"," "),"#"," "),"!"," "),"'"," "),"/"," "),":"," "),";"," "),"="," "),"~"," "),"%"," ")))</f>
        <v/>
      </c>
      <c r="F36" s="6">
        <f>IF(C36="","",IF(COUNTIF(Classifiers!$A$23:$A$40,D36)&gt;0,1,0))</f>
        <v/>
      </c>
      <c r="G36" s="6">
        <f>IF(C36="","",IF(COUNTIF(Classifiers!$C$23:$C$30,D36)&gt;0,IF((IF(ISNUMBER(SEARCH(Classifiers!$E$23,E36)),1,0)+IF(ISNUMBER(SEARCH(Classifiers!$E$24,E36)),1,0)+IF(ISNUMBER(SEARCH(Classifiers!$E$25,E36)),1,0)+IF(ISNUMBER(SEARCH(Classifiers!$E$26,E36)),1,0)+IF(ISNUMBER(SEARCH(Classifiers!$E$27,E36)),1,0)+IF(ISNUMBER(SEARCH(Classifiers!$E$28,E36)),1,0)+IF(ISNUMBER(SEARCH(Classifiers!$E$29,E36)),1,0)+IF(ISNUMBER(SEARCH(Classifiers!$E$30,E36)),1,0))&gt;0,1,0),0))</f>
        <v/>
      </c>
      <c r="H36" s="6">
        <f>IF(C36="","",IF(OR(LEFT(C36,1)=".",AND(F36=0,G36=0)),0,1))</f>
        <v/>
      </c>
      <c r="I36" s="6">
        <f>IF(H36&lt;&gt;1,"",IF(SUM(J36:W36)=0,"unclassified",INDEX(Classifiers!$A$5:$A$18,MATCH(1,J36:W36,0),1)))</f>
        <v/>
      </c>
      <c r="J36" s="12">
        <f>IF(H36&lt;&gt;1,0,IF((IF(Classifiers!$B$5="",0,IF(ISNUMBER(SEARCH(Classifiers!$B$5,E36)),1,0))+IF(Classifiers!$C$5="",0,IF(ISNUMBER(SEARCH(Classifiers!$C$5,E36)),1,0))+IF(Classifiers!$D$5="",0,IF(ISNUMBER(SEARCH(Classifiers!$D$5,E36)),1,0))+IF(Classifiers!$E$5="",0,IF(ISNUMBER(SEARCH(Classifiers!$E$5,E36)),1,0))+IF(Classifiers!$F$5="",0,IF(ISNUMBER(SEARCH(Classifiers!$F$5,E36)),1,0))+IF(Classifiers!$G$5="",0,IF(ISNUMBER(SEARCH(Classifiers!$G$5,E36)),1,0)))&gt;0,1,0))</f>
        <v/>
      </c>
      <c r="K36" s="12">
        <f>IF(H36&lt;&gt;1,0,IF((IF(Classifiers!$B$6="",0,IF(ISNUMBER(SEARCH(Classifiers!$B$6,E36)),1,0))+IF(Classifiers!$C$6="",0,IF(ISNUMBER(SEARCH(Classifiers!$C$6,E36)),1,0))+IF(Classifiers!$D$6="",0,IF(ISNUMBER(SEARCH(Classifiers!$D$6,E36)),1,0))+IF(Classifiers!$E$6="",0,IF(ISNUMBER(SEARCH(Classifiers!$E$6,E36)),1,0))+IF(Classifiers!$F$6="",0,IF(ISNUMBER(SEARCH(Classifiers!$F$6,E36)),1,0))+IF(Classifiers!$G$6="",0,IF(ISNUMBER(SEARCH(Classifiers!$G$6,E36)),1,0)))&gt;0,1,0))</f>
        <v/>
      </c>
      <c r="L36" s="12">
        <f>IF(H36&lt;&gt;1,0,IF((IF(Classifiers!$B$7="",0,IF(ISNUMBER(SEARCH(Classifiers!$B$7,E36)),1,0))+IF(Classifiers!$C$7="",0,IF(ISNUMBER(SEARCH(Classifiers!$C$7,E36)),1,0))+IF(Classifiers!$D$7="",0,IF(ISNUMBER(SEARCH(Classifiers!$D$7,E36)),1,0))+IF(Classifiers!$E$7="",0,IF(ISNUMBER(SEARCH(Classifiers!$E$7,E36)),1,0))+IF(Classifiers!$F$7="",0,IF(ISNUMBER(SEARCH(Classifiers!$F$7,E36)),1,0))+IF(Classifiers!$G$7="",0,IF(ISNUMBER(SEARCH(Classifiers!$G$7,E36)),1,0)))&gt;0,1,0))</f>
        <v/>
      </c>
      <c r="M36" s="12">
        <f>IF(H36&lt;&gt;1,0,IF((IF(Classifiers!$B$8="",0,IF(ISNUMBER(SEARCH(Classifiers!$B$8,E36)),1,0))+IF(Classifiers!$C$8="",0,IF(ISNUMBER(SEARCH(Classifiers!$C$8,E36)),1,0))+IF(Classifiers!$D$8="",0,IF(ISNUMBER(SEARCH(Classifiers!$D$8,E36)),1,0))+IF(Classifiers!$E$8="",0,IF(ISNUMBER(SEARCH(Classifiers!$E$8,E36)),1,0))+IF(Classifiers!$F$8="",0,IF(ISNUMBER(SEARCH(Classifiers!$F$8,E36)),1,0))+IF(Classifiers!$G$8="",0,IF(ISNUMBER(SEARCH(Classifiers!$G$8,E36)),1,0)))&gt;0,1,0))</f>
        <v/>
      </c>
      <c r="N36" s="12">
        <f>IF(H36&lt;&gt;1,0,IF((IF(Classifiers!$B$9="",0,IF(ISNUMBER(SEARCH(Classifiers!$B$9,E36)),1,0))+IF(Classifiers!$C$9="",0,IF(ISNUMBER(SEARCH(Classifiers!$C$9,E36)),1,0))+IF(Classifiers!$D$9="",0,IF(ISNUMBER(SEARCH(Classifiers!$D$9,E36)),1,0))+IF(Classifiers!$E$9="",0,IF(ISNUMBER(SEARCH(Classifiers!$E$9,E36)),1,0))+IF(Classifiers!$F$9="",0,IF(ISNUMBER(SEARCH(Classifiers!$F$9,E36)),1,0))+IF(Classifiers!$G$9="",0,IF(ISNUMBER(SEARCH(Classifiers!$G$9,E36)),1,0)))&gt;0,1,0))</f>
        <v/>
      </c>
      <c r="O36" s="12">
        <f>IF(H36&lt;&gt;1,0,IF((IF(Classifiers!$B$10="",0,IF(ISNUMBER(SEARCH(Classifiers!$B$10,E36)),1,0))+IF(Classifiers!$C$10="",0,IF(ISNUMBER(SEARCH(Classifiers!$C$10,E36)),1,0))+IF(Classifiers!$D$10="",0,IF(ISNUMBER(SEARCH(Classifiers!$D$10,E36)),1,0))+IF(Classifiers!$E$10="",0,IF(ISNUMBER(SEARCH(Classifiers!$E$10,E36)),1,0))+IF(Classifiers!$F$10="",0,IF(ISNUMBER(SEARCH(Classifiers!$F$10,E36)),1,0))+IF(Classifiers!$G$10="",0,IF(ISNUMBER(SEARCH(Classifiers!$G$10,E36)),1,0)))&gt;0,1,0))</f>
        <v/>
      </c>
      <c r="P36" s="12">
        <f>IF(H36&lt;&gt;1,0,IF((IF(Classifiers!$B$11="",0,IF(ISNUMBER(SEARCH(Classifiers!$B$11,E36)),1,0))+IF(Classifiers!$C$11="",0,IF(ISNUMBER(SEARCH(Classifiers!$C$11,E36)),1,0))+IF(Classifiers!$D$11="",0,IF(ISNUMBER(SEARCH(Classifiers!$D$11,E36)),1,0))+IF(Classifiers!$E$11="",0,IF(ISNUMBER(SEARCH(Classifiers!$E$11,E36)),1,0))+IF(Classifiers!$F$11="",0,IF(ISNUMBER(SEARCH(Classifiers!$F$11,E36)),1,0))+IF(Classifiers!$G$11="",0,IF(ISNUMBER(SEARCH(Classifiers!$G$11,E36)),1,0)))&gt;0,1,0))</f>
        <v/>
      </c>
      <c r="Q36" s="12">
        <f>IF(H36&lt;&gt;1,0,IF((IF(Classifiers!$B$12="",0,IF(ISNUMBER(SEARCH(Classifiers!$B$12,E36)),1,0))+IF(Classifiers!$C$12="",0,IF(ISNUMBER(SEARCH(Classifiers!$C$12,E36)),1,0))+IF(Classifiers!$D$12="",0,IF(ISNUMBER(SEARCH(Classifiers!$D$12,E36)),1,0))+IF(Classifiers!$E$12="",0,IF(ISNUMBER(SEARCH(Classifiers!$E$12,E36)),1,0))+IF(Classifiers!$F$12="",0,IF(ISNUMBER(SEARCH(Classifiers!$F$12,E36)),1,0))+IF(Classifiers!$G$12="",0,IF(ISNUMBER(SEARCH(Classifiers!$G$12,E36)),1,0)))&gt;0,1,0))</f>
        <v/>
      </c>
      <c r="R36" s="12">
        <f>IF(H36&lt;&gt;1,0,IF((IF(Classifiers!$B$13="",0,IF(ISNUMBER(SEARCH(Classifiers!$B$13,E36)),1,0))+IF(Classifiers!$C$13="",0,IF(ISNUMBER(SEARCH(Classifiers!$C$13,E36)),1,0))+IF(Classifiers!$D$13="",0,IF(ISNUMBER(SEARCH(Classifiers!$D$13,E36)),1,0))+IF(Classifiers!$E$13="",0,IF(ISNUMBER(SEARCH(Classifiers!$E$13,E36)),1,0))+IF(Classifiers!$F$13="",0,IF(ISNUMBER(SEARCH(Classifiers!$F$13,E36)),1,0))+IF(Classifiers!$G$13="",0,IF(ISNUMBER(SEARCH(Classifiers!$G$13,E36)),1,0)))&gt;0,1,0))</f>
        <v/>
      </c>
      <c r="S36" s="12">
        <f>IF(H36&lt;&gt;1,0,IF((IF(Classifiers!$B$14="",0,IF(ISNUMBER(SEARCH(Classifiers!$B$14,E36)),1,0))+IF(Classifiers!$C$14="",0,IF(ISNUMBER(SEARCH(Classifiers!$C$14,E36)),1,0))+IF(Classifiers!$D$14="",0,IF(ISNUMBER(SEARCH(Classifiers!$D$14,E36)),1,0))+IF(Classifiers!$E$14="",0,IF(ISNUMBER(SEARCH(Classifiers!$E$14,E36)),1,0))+IF(Classifiers!$F$14="",0,IF(ISNUMBER(SEARCH(Classifiers!$F$14,E36)),1,0))+IF(Classifiers!$G$14="",0,IF(ISNUMBER(SEARCH(Classifiers!$G$14,E36)),1,0)))&gt;0,1,0))</f>
        <v/>
      </c>
      <c r="T36" s="12">
        <f>IF(H36&lt;&gt;1,0,IF((IF(Classifiers!$B$15="",0,IF(ISNUMBER(SEARCH(Classifiers!$B$15,E36)),1,0))+IF(Classifiers!$C$15="",0,IF(ISNUMBER(SEARCH(Classifiers!$C$15,E36)),1,0))+IF(Classifiers!$D$15="",0,IF(ISNUMBER(SEARCH(Classifiers!$D$15,E36)),1,0))+IF(Classifiers!$E$15="",0,IF(ISNUMBER(SEARCH(Classifiers!$E$15,E36)),1,0))+IF(Classifiers!$F$15="",0,IF(ISNUMBER(SEARCH(Classifiers!$F$15,E36)),1,0))+IF(Classifiers!$G$15="",0,IF(ISNUMBER(SEARCH(Classifiers!$G$15,E36)),1,0)))&gt;0,1,0))</f>
        <v/>
      </c>
      <c r="U36" s="12">
        <f>IF(H36&lt;&gt;1,0,IF((IF(Classifiers!$B$16="",0,IF(ISNUMBER(SEARCH(Classifiers!$B$16,E36)),1,0))+IF(Classifiers!$C$16="",0,IF(ISNUMBER(SEARCH(Classifiers!$C$16,E36)),1,0))+IF(Classifiers!$D$16="",0,IF(ISNUMBER(SEARCH(Classifiers!$D$16,E36)),1,0))+IF(Classifiers!$E$16="",0,IF(ISNUMBER(SEARCH(Classifiers!$E$16,E36)),1,0))+IF(Classifiers!$F$16="",0,IF(ISNUMBER(SEARCH(Classifiers!$F$16,E36)),1,0))+IF(Classifiers!$G$16="",0,IF(ISNUMBER(SEARCH(Classifiers!$G$16,E36)),1,0)))&gt;0,1,0))</f>
        <v/>
      </c>
      <c r="V36" s="12">
        <f>IF(H36&lt;&gt;1,0,IF((IF(Classifiers!$B$17="",0,IF(ISNUMBER(SEARCH(Classifiers!$B$17,E36)),1,0))+IF(Classifiers!$C$17="",0,IF(ISNUMBER(SEARCH(Classifiers!$C$17,E36)),1,0))+IF(Classifiers!$D$17="",0,IF(ISNUMBER(SEARCH(Classifiers!$D$17,E36)),1,0))+IF(Classifiers!$E$17="",0,IF(ISNUMBER(SEARCH(Classifiers!$E$17,E36)),1,0))+IF(Classifiers!$F$17="",0,IF(ISNUMBER(SEARCH(Classifiers!$F$17,E36)),1,0))+IF(Classifiers!$G$17="",0,IF(ISNUMBER(SEARCH(Classifiers!$G$17,E36)),1,0)))&gt;0,1,0))</f>
        <v/>
      </c>
      <c r="W36" s="12">
        <f>IF(H36&lt;&gt;1,0,IF((IF(Classifiers!$B$18="",0,IF(ISNUMBER(SEARCH(Classifiers!$B$18,E36)),1,0))+IF(Classifiers!$C$18="",0,IF(ISNUMBER(SEARCH(Classifiers!$C$18,E36)),1,0))+IF(Classifiers!$D$18="",0,IF(ISNUMBER(SEARCH(Classifiers!$D$18,E36)),1,0))+IF(Classifiers!$E$18="",0,IF(ISNUMBER(SEARCH(Classifiers!$E$18,E36)),1,0))+IF(Classifiers!$F$18="",0,IF(ISNUMBER(SEARCH(Classifiers!$F$18,E36)),1,0))+IF(Classifiers!$G$18="",0,IF(ISNUMBER(SEARCH(Classifiers!$G$18,E36)),1,0)))&gt;0,1,0))</f>
        <v/>
      </c>
    </row>
    <row r="37">
      <c r="A37" s="8" t="n"/>
      <c r="B37" s="11" t="n"/>
      <c r="C37" s="6">
        <f>IF(A37="","",TRIM(RIGHT(SUBSTITUTE(A37,"/",REPT(" ",250)),250)))</f>
        <v/>
      </c>
      <c r="D37" s="6">
        <f>IF(C37="","",IF(ISNUMBER(SEARCH(".",C37)),LOWER("."&amp;TRIM(RIGHT(SUBSTITUTE(C37,".",REPT(" ",250)),250))),""))</f>
        <v/>
      </c>
      <c r="E37" s="6">
        <f>IF(C37="","",TRIM(SUBSTITUTE(SUBSTITUTE(SUBSTITUTE(SUBSTITUTE(SUBSTITUTE(SUBSTITUTE(SUBSTITUTE(SUBSTITUTE(SUBSTITUTE(SUBSTITUTE(SUBSTITUTE(SUBSTITUTE(SUBSTITUTE(SUBSTITUTE(SUBSTITUTE(SUBSTITUTE(SUBSTITUTE(SUBSTITUTE(SUBSTITUTE(SUBSTITUTE(LOWER(LEFT(C37,LEN(C37)-LEN(D37))),"_"," "),"-"," "),"."," "),","," "),"("," "),")"," "),"["," "),"]"," "),"&amp;"," "),"+"," "),"@"," "),"#"," "),"!"," "),"'"," "),"/"," "),":"," "),";"," "),"="," "),"~"," "),"%"," ")))</f>
        <v/>
      </c>
      <c r="F37" s="6">
        <f>IF(C37="","",IF(COUNTIF(Classifiers!$A$23:$A$40,D37)&gt;0,1,0))</f>
        <v/>
      </c>
      <c r="G37" s="6">
        <f>IF(C37="","",IF(COUNTIF(Classifiers!$C$23:$C$30,D37)&gt;0,IF((IF(ISNUMBER(SEARCH(Classifiers!$E$23,E37)),1,0)+IF(ISNUMBER(SEARCH(Classifiers!$E$24,E37)),1,0)+IF(ISNUMBER(SEARCH(Classifiers!$E$25,E37)),1,0)+IF(ISNUMBER(SEARCH(Classifiers!$E$26,E37)),1,0)+IF(ISNUMBER(SEARCH(Classifiers!$E$27,E37)),1,0)+IF(ISNUMBER(SEARCH(Classifiers!$E$28,E37)),1,0)+IF(ISNUMBER(SEARCH(Classifiers!$E$29,E37)),1,0)+IF(ISNUMBER(SEARCH(Classifiers!$E$30,E37)),1,0))&gt;0,1,0),0))</f>
        <v/>
      </c>
      <c r="H37" s="6">
        <f>IF(C37="","",IF(OR(LEFT(C37,1)=".",AND(F37=0,G37=0)),0,1))</f>
        <v/>
      </c>
      <c r="I37" s="6">
        <f>IF(H37&lt;&gt;1,"",IF(SUM(J37:W37)=0,"unclassified",INDEX(Classifiers!$A$5:$A$18,MATCH(1,J37:W37,0),1)))</f>
        <v/>
      </c>
      <c r="J37" s="12">
        <f>IF(H37&lt;&gt;1,0,IF((IF(Classifiers!$B$5="",0,IF(ISNUMBER(SEARCH(Classifiers!$B$5,E37)),1,0))+IF(Classifiers!$C$5="",0,IF(ISNUMBER(SEARCH(Classifiers!$C$5,E37)),1,0))+IF(Classifiers!$D$5="",0,IF(ISNUMBER(SEARCH(Classifiers!$D$5,E37)),1,0))+IF(Classifiers!$E$5="",0,IF(ISNUMBER(SEARCH(Classifiers!$E$5,E37)),1,0))+IF(Classifiers!$F$5="",0,IF(ISNUMBER(SEARCH(Classifiers!$F$5,E37)),1,0))+IF(Classifiers!$G$5="",0,IF(ISNUMBER(SEARCH(Classifiers!$G$5,E37)),1,0)))&gt;0,1,0))</f>
        <v/>
      </c>
      <c r="K37" s="12">
        <f>IF(H37&lt;&gt;1,0,IF((IF(Classifiers!$B$6="",0,IF(ISNUMBER(SEARCH(Classifiers!$B$6,E37)),1,0))+IF(Classifiers!$C$6="",0,IF(ISNUMBER(SEARCH(Classifiers!$C$6,E37)),1,0))+IF(Classifiers!$D$6="",0,IF(ISNUMBER(SEARCH(Classifiers!$D$6,E37)),1,0))+IF(Classifiers!$E$6="",0,IF(ISNUMBER(SEARCH(Classifiers!$E$6,E37)),1,0))+IF(Classifiers!$F$6="",0,IF(ISNUMBER(SEARCH(Classifiers!$F$6,E37)),1,0))+IF(Classifiers!$G$6="",0,IF(ISNUMBER(SEARCH(Classifiers!$G$6,E37)),1,0)))&gt;0,1,0))</f>
        <v/>
      </c>
      <c r="L37" s="12">
        <f>IF(H37&lt;&gt;1,0,IF((IF(Classifiers!$B$7="",0,IF(ISNUMBER(SEARCH(Classifiers!$B$7,E37)),1,0))+IF(Classifiers!$C$7="",0,IF(ISNUMBER(SEARCH(Classifiers!$C$7,E37)),1,0))+IF(Classifiers!$D$7="",0,IF(ISNUMBER(SEARCH(Classifiers!$D$7,E37)),1,0))+IF(Classifiers!$E$7="",0,IF(ISNUMBER(SEARCH(Classifiers!$E$7,E37)),1,0))+IF(Classifiers!$F$7="",0,IF(ISNUMBER(SEARCH(Classifiers!$F$7,E37)),1,0))+IF(Classifiers!$G$7="",0,IF(ISNUMBER(SEARCH(Classifiers!$G$7,E37)),1,0)))&gt;0,1,0))</f>
        <v/>
      </c>
      <c r="M37" s="12">
        <f>IF(H37&lt;&gt;1,0,IF((IF(Classifiers!$B$8="",0,IF(ISNUMBER(SEARCH(Classifiers!$B$8,E37)),1,0))+IF(Classifiers!$C$8="",0,IF(ISNUMBER(SEARCH(Classifiers!$C$8,E37)),1,0))+IF(Classifiers!$D$8="",0,IF(ISNUMBER(SEARCH(Classifiers!$D$8,E37)),1,0))+IF(Classifiers!$E$8="",0,IF(ISNUMBER(SEARCH(Classifiers!$E$8,E37)),1,0))+IF(Classifiers!$F$8="",0,IF(ISNUMBER(SEARCH(Classifiers!$F$8,E37)),1,0))+IF(Classifiers!$G$8="",0,IF(ISNUMBER(SEARCH(Classifiers!$G$8,E37)),1,0)))&gt;0,1,0))</f>
        <v/>
      </c>
      <c r="N37" s="12">
        <f>IF(H37&lt;&gt;1,0,IF((IF(Classifiers!$B$9="",0,IF(ISNUMBER(SEARCH(Classifiers!$B$9,E37)),1,0))+IF(Classifiers!$C$9="",0,IF(ISNUMBER(SEARCH(Classifiers!$C$9,E37)),1,0))+IF(Classifiers!$D$9="",0,IF(ISNUMBER(SEARCH(Classifiers!$D$9,E37)),1,0))+IF(Classifiers!$E$9="",0,IF(ISNUMBER(SEARCH(Classifiers!$E$9,E37)),1,0))+IF(Classifiers!$F$9="",0,IF(ISNUMBER(SEARCH(Classifiers!$F$9,E37)),1,0))+IF(Classifiers!$G$9="",0,IF(ISNUMBER(SEARCH(Classifiers!$G$9,E37)),1,0)))&gt;0,1,0))</f>
        <v/>
      </c>
      <c r="O37" s="12">
        <f>IF(H37&lt;&gt;1,0,IF((IF(Classifiers!$B$10="",0,IF(ISNUMBER(SEARCH(Classifiers!$B$10,E37)),1,0))+IF(Classifiers!$C$10="",0,IF(ISNUMBER(SEARCH(Classifiers!$C$10,E37)),1,0))+IF(Classifiers!$D$10="",0,IF(ISNUMBER(SEARCH(Classifiers!$D$10,E37)),1,0))+IF(Classifiers!$E$10="",0,IF(ISNUMBER(SEARCH(Classifiers!$E$10,E37)),1,0))+IF(Classifiers!$F$10="",0,IF(ISNUMBER(SEARCH(Classifiers!$F$10,E37)),1,0))+IF(Classifiers!$G$10="",0,IF(ISNUMBER(SEARCH(Classifiers!$G$10,E37)),1,0)))&gt;0,1,0))</f>
        <v/>
      </c>
      <c r="P37" s="12">
        <f>IF(H37&lt;&gt;1,0,IF((IF(Classifiers!$B$11="",0,IF(ISNUMBER(SEARCH(Classifiers!$B$11,E37)),1,0))+IF(Classifiers!$C$11="",0,IF(ISNUMBER(SEARCH(Classifiers!$C$11,E37)),1,0))+IF(Classifiers!$D$11="",0,IF(ISNUMBER(SEARCH(Classifiers!$D$11,E37)),1,0))+IF(Classifiers!$E$11="",0,IF(ISNUMBER(SEARCH(Classifiers!$E$11,E37)),1,0))+IF(Classifiers!$F$11="",0,IF(ISNUMBER(SEARCH(Classifiers!$F$11,E37)),1,0))+IF(Classifiers!$G$11="",0,IF(ISNUMBER(SEARCH(Classifiers!$G$11,E37)),1,0)))&gt;0,1,0))</f>
        <v/>
      </c>
      <c r="Q37" s="12">
        <f>IF(H37&lt;&gt;1,0,IF((IF(Classifiers!$B$12="",0,IF(ISNUMBER(SEARCH(Classifiers!$B$12,E37)),1,0))+IF(Classifiers!$C$12="",0,IF(ISNUMBER(SEARCH(Classifiers!$C$12,E37)),1,0))+IF(Classifiers!$D$12="",0,IF(ISNUMBER(SEARCH(Classifiers!$D$12,E37)),1,0))+IF(Classifiers!$E$12="",0,IF(ISNUMBER(SEARCH(Classifiers!$E$12,E37)),1,0))+IF(Classifiers!$F$12="",0,IF(ISNUMBER(SEARCH(Classifiers!$F$12,E37)),1,0))+IF(Classifiers!$G$12="",0,IF(ISNUMBER(SEARCH(Classifiers!$G$12,E37)),1,0)))&gt;0,1,0))</f>
        <v/>
      </c>
      <c r="R37" s="12">
        <f>IF(H37&lt;&gt;1,0,IF((IF(Classifiers!$B$13="",0,IF(ISNUMBER(SEARCH(Classifiers!$B$13,E37)),1,0))+IF(Classifiers!$C$13="",0,IF(ISNUMBER(SEARCH(Classifiers!$C$13,E37)),1,0))+IF(Classifiers!$D$13="",0,IF(ISNUMBER(SEARCH(Classifiers!$D$13,E37)),1,0))+IF(Classifiers!$E$13="",0,IF(ISNUMBER(SEARCH(Classifiers!$E$13,E37)),1,0))+IF(Classifiers!$F$13="",0,IF(ISNUMBER(SEARCH(Classifiers!$F$13,E37)),1,0))+IF(Classifiers!$G$13="",0,IF(ISNUMBER(SEARCH(Classifiers!$G$13,E37)),1,0)))&gt;0,1,0))</f>
        <v/>
      </c>
      <c r="S37" s="12">
        <f>IF(H37&lt;&gt;1,0,IF((IF(Classifiers!$B$14="",0,IF(ISNUMBER(SEARCH(Classifiers!$B$14,E37)),1,0))+IF(Classifiers!$C$14="",0,IF(ISNUMBER(SEARCH(Classifiers!$C$14,E37)),1,0))+IF(Classifiers!$D$14="",0,IF(ISNUMBER(SEARCH(Classifiers!$D$14,E37)),1,0))+IF(Classifiers!$E$14="",0,IF(ISNUMBER(SEARCH(Classifiers!$E$14,E37)),1,0))+IF(Classifiers!$F$14="",0,IF(ISNUMBER(SEARCH(Classifiers!$F$14,E37)),1,0))+IF(Classifiers!$G$14="",0,IF(ISNUMBER(SEARCH(Classifiers!$G$14,E37)),1,0)))&gt;0,1,0))</f>
        <v/>
      </c>
      <c r="T37" s="12">
        <f>IF(H37&lt;&gt;1,0,IF((IF(Classifiers!$B$15="",0,IF(ISNUMBER(SEARCH(Classifiers!$B$15,E37)),1,0))+IF(Classifiers!$C$15="",0,IF(ISNUMBER(SEARCH(Classifiers!$C$15,E37)),1,0))+IF(Classifiers!$D$15="",0,IF(ISNUMBER(SEARCH(Classifiers!$D$15,E37)),1,0))+IF(Classifiers!$E$15="",0,IF(ISNUMBER(SEARCH(Classifiers!$E$15,E37)),1,0))+IF(Classifiers!$F$15="",0,IF(ISNUMBER(SEARCH(Classifiers!$F$15,E37)),1,0))+IF(Classifiers!$G$15="",0,IF(ISNUMBER(SEARCH(Classifiers!$G$15,E37)),1,0)))&gt;0,1,0))</f>
        <v/>
      </c>
      <c r="U37" s="12">
        <f>IF(H37&lt;&gt;1,0,IF((IF(Classifiers!$B$16="",0,IF(ISNUMBER(SEARCH(Classifiers!$B$16,E37)),1,0))+IF(Classifiers!$C$16="",0,IF(ISNUMBER(SEARCH(Classifiers!$C$16,E37)),1,0))+IF(Classifiers!$D$16="",0,IF(ISNUMBER(SEARCH(Classifiers!$D$16,E37)),1,0))+IF(Classifiers!$E$16="",0,IF(ISNUMBER(SEARCH(Classifiers!$E$16,E37)),1,0))+IF(Classifiers!$F$16="",0,IF(ISNUMBER(SEARCH(Classifiers!$F$16,E37)),1,0))+IF(Classifiers!$G$16="",0,IF(ISNUMBER(SEARCH(Classifiers!$G$16,E37)),1,0)))&gt;0,1,0))</f>
        <v/>
      </c>
      <c r="V37" s="12">
        <f>IF(H37&lt;&gt;1,0,IF((IF(Classifiers!$B$17="",0,IF(ISNUMBER(SEARCH(Classifiers!$B$17,E37)),1,0))+IF(Classifiers!$C$17="",0,IF(ISNUMBER(SEARCH(Classifiers!$C$17,E37)),1,0))+IF(Classifiers!$D$17="",0,IF(ISNUMBER(SEARCH(Classifiers!$D$17,E37)),1,0))+IF(Classifiers!$E$17="",0,IF(ISNUMBER(SEARCH(Classifiers!$E$17,E37)),1,0))+IF(Classifiers!$F$17="",0,IF(ISNUMBER(SEARCH(Classifiers!$F$17,E37)),1,0))+IF(Classifiers!$G$17="",0,IF(ISNUMBER(SEARCH(Classifiers!$G$17,E37)),1,0)))&gt;0,1,0))</f>
        <v/>
      </c>
      <c r="W37" s="12">
        <f>IF(H37&lt;&gt;1,0,IF((IF(Classifiers!$B$18="",0,IF(ISNUMBER(SEARCH(Classifiers!$B$18,E37)),1,0))+IF(Classifiers!$C$18="",0,IF(ISNUMBER(SEARCH(Classifiers!$C$18,E37)),1,0))+IF(Classifiers!$D$18="",0,IF(ISNUMBER(SEARCH(Classifiers!$D$18,E37)),1,0))+IF(Classifiers!$E$18="",0,IF(ISNUMBER(SEARCH(Classifiers!$E$18,E37)),1,0))+IF(Classifiers!$F$18="",0,IF(ISNUMBER(SEARCH(Classifiers!$F$18,E37)),1,0))+IF(Classifiers!$G$18="",0,IF(ISNUMBER(SEARCH(Classifiers!$G$18,E37)),1,0)))&gt;0,1,0))</f>
        <v/>
      </c>
    </row>
    <row r="38">
      <c r="A38" s="8" t="n"/>
      <c r="B38" s="11" t="n"/>
      <c r="C38" s="6">
        <f>IF(A38="","",TRIM(RIGHT(SUBSTITUTE(A38,"/",REPT(" ",250)),250)))</f>
        <v/>
      </c>
      <c r="D38" s="6">
        <f>IF(C38="","",IF(ISNUMBER(SEARCH(".",C38)),LOWER("."&amp;TRIM(RIGHT(SUBSTITUTE(C38,".",REPT(" ",250)),250))),""))</f>
        <v/>
      </c>
      <c r="E38" s="6">
        <f>IF(C38="","",TRIM(SUBSTITUTE(SUBSTITUTE(SUBSTITUTE(SUBSTITUTE(SUBSTITUTE(SUBSTITUTE(SUBSTITUTE(SUBSTITUTE(SUBSTITUTE(SUBSTITUTE(SUBSTITUTE(SUBSTITUTE(SUBSTITUTE(SUBSTITUTE(SUBSTITUTE(SUBSTITUTE(SUBSTITUTE(SUBSTITUTE(SUBSTITUTE(SUBSTITUTE(LOWER(LEFT(C38,LEN(C38)-LEN(D38))),"_"," "),"-"," "),"."," "),","," "),"("," "),")"," "),"["," "),"]"," "),"&amp;"," "),"+"," "),"@"," "),"#"," "),"!"," "),"'"," "),"/"," "),":"," "),";"," "),"="," "),"~"," "),"%"," ")))</f>
        <v/>
      </c>
      <c r="F38" s="6">
        <f>IF(C38="","",IF(COUNTIF(Classifiers!$A$23:$A$40,D38)&gt;0,1,0))</f>
        <v/>
      </c>
      <c r="G38" s="6">
        <f>IF(C38="","",IF(COUNTIF(Classifiers!$C$23:$C$30,D38)&gt;0,IF((IF(ISNUMBER(SEARCH(Classifiers!$E$23,E38)),1,0)+IF(ISNUMBER(SEARCH(Classifiers!$E$24,E38)),1,0)+IF(ISNUMBER(SEARCH(Classifiers!$E$25,E38)),1,0)+IF(ISNUMBER(SEARCH(Classifiers!$E$26,E38)),1,0)+IF(ISNUMBER(SEARCH(Classifiers!$E$27,E38)),1,0)+IF(ISNUMBER(SEARCH(Classifiers!$E$28,E38)),1,0)+IF(ISNUMBER(SEARCH(Classifiers!$E$29,E38)),1,0)+IF(ISNUMBER(SEARCH(Classifiers!$E$30,E38)),1,0))&gt;0,1,0),0))</f>
        <v/>
      </c>
      <c r="H38" s="6">
        <f>IF(C38="","",IF(OR(LEFT(C38,1)=".",AND(F38=0,G38=0)),0,1))</f>
        <v/>
      </c>
      <c r="I38" s="6">
        <f>IF(H38&lt;&gt;1,"",IF(SUM(J38:W38)=0,"unclassified",INDEX(Classifiers!$A$5:$A$18,MATCH(1,J38:W38,0),1)))</f>
        <v/>
      </c>
      <c r="J38" s="12">
        <f>IF(H38&lt;&gt;1,0,IF((IF(Classifiers!$B$5="",0,IF(ISNUMBER(SEARCH(Classifiers!$B$5,E38)),1,0))+IF(Classifiers!$C$5="",0,IF(ISNUMBER(SEARCH(Classifiers!$C$5,E38)),1,0))+IF(Classifiers!$D$5="",0,IF(ISNUMBER(SEARCH(Classifiers!$D$5,E38)),1,0))+IF(Classifiers!$E$5="",0,IF(ISNUMBER(SEARCH(Classifiers!$E$5,E38)),1,0))+IF(Classifiers!$F$5="",0,IF(ISNUMBER(SEARCH(Classifiers!$F$5,E38)),1,0))+IF(Classifiers!$G$5="",0,IF(ISNUMBER(SEARCH(Classifiers!$G$5,E38)),1,0)))&gt;0,1,0))</f>
        <v/>
      </c>
      <c r="K38" s="12">
        <f>IF(H38&lt;&gt;1,0,IF((IF(Classifiers!$B$6="",0,IF(ISNUMBER(SEARCH(Classifiers!$B$6,E38)),1,0))+IF(Classifiers!$C$6="",0,IF(ISNUMBER(SEARCH(Classifiers!$C$6,E38)),1,0))+IF(Classifiers!$D$6="",0,IF(ISNUMBER(SEARCH(Classifiers!$D$6,E38)),1,0))+IF(Classifiers!$E$6="",0,IF(ISNUMBER(SEARCH(Classifiers!$E$6,E38)),1,0))+IF(Classifiers!$F$6="",0,IF(ISNUMBER(SEARCH(Classifiers!$F$6,E38)),1,0))+IF(Classifiers!$G$6="",0,IF(ISNUMBER(SEARCH(Classifiers!$G$6,E38)),1,0)))&gt;0,1,0))</f>
        <v/>
      </c>
      <c r="L38" s="12">
        <f>IF(H38&lt;&gt;1,0,IF((IF(Classifiers!$B$7="",0,IF(ISNUMBER(SEARCH(Classifiers!$B$7,E38)),1,0))+IF(Classifiers!$C$7="",0,IF(ISNUMBER(SEARCH(Classifiers!$C$7,E38)),1,0))+IF(Classifiers!$D$7="",0,IF(ISNUMBER(SEARCH(Classifiers!$D$7,E38)),1,0))+IF(Classifiers!$E$7="",0,IF(ISNUMBER(SEARCH(Classifiers!$E$7,E38)),1,0))+IF(Classifiers!$F$7="",0,IF(ISNUMBER(SEARCH(Classifiers!$F$7,E38)),1,0))+IF(Classifiers!$G$7="",0,IF(ISNUMBER(SEARCH(Classifiers!$G$7,E38)),1,0)))&gt;0,1,0))</f>
        <v/>
      </c>
      <c r="M38" s="12">
        <f>IF(H38&lt;&gt;1,0,IF((IF(Classifiers!$B$8="",0,IF(ISNUMBER(SEARCH(Classifiers!$B$8,E38)),1,0))+IF(Classifiers!$C$8="",0,IF(ISNUMBER(SEARCH(Classifiers!$C$8,E38)),1,0))+IF(Classifiers!$D$8="",0,IF(ISNUMBER(SEARCH(Classifiers!$D$8,E38)),1,0))+IF(Classifiers!$E$8="",0,IF(ISNUMBER(SEARCH(Classifiers!$E$8,E38)),1,0))+IF(Classifiers!$F$8="",0,IF(ISNUMBER(SEARCH(Classifiers!$F$8,E38)),1,0))+IF(Classifiers!$G$8="",0,IF(ISNUMBER(SEARCH(Classifiers!$G$8,E38)),1,0)))&gt;0,1,0))</f>
        <v/>
      </c>
      <c r="N38" s="12">
        <f>IF(H38&lt;&gt;1,0,IF((IF(Classifiers!$B$9="",0,IF(ISNUMBER(SEARCH(Classifiers!$B$9,E38)),1,0))+IF(Classifiers!$C$9="",0,IF(ISNUMBER(SEARCH(Classifiers!$C$9,E38)),1,0))+IF(Classifiers!$D$9="",0,IF(ISNUMBER(SEARCH(Classifiers!$D$9,E38)),1,0))+IF(Classifiers!$E$9="",0,IF(ISNUMBER(SEARCH(Classifiers!$E$9,E38)),1,0))+IF(Classifiers!$F$9="",0,IF(ISNUMBER(SEARCH(Classifiers!$F$9,E38)),1,0))+IF(Classifiers!$G$9="",0,IF(ISNUMBER(SEARCH(Classifiers!$G$9,E38)),1,0)))&gt;0,1,0))</f>
        <v/>
      </c>
      <c r="O38" s="12">
        <f>IF(H38&lt;&gt;1,0,IF((IF(Classifiers!$B$10="",0,IF(ISNUMBER(SEARCH(Classifiers!$B$10,E38)),1,0))+IF(Classifiers!$C$10="",0,IF(ISNUMBER(SEARCH(Classifiers!$C$10,E38)),1,0))+IF(Classifiers!$D$10="",0,IF(ISNUMBER(SEARCH(Classifiers!$D$10,E38)),1,0))+IF(Classifiers!$E$10="",0,IF(ISNUMBER(SEARCH(Classifiers!$E$10,E38)),1,0))+IF(Classifiers!$F$10="",0,IF(ISNUMBER(SEARCH(Classifiers!$F$10,E38)),1,0))+IF(Classifiers!$G$10="",0,IF(ISNUMBER(SEARCH(Classifiers!$G$10,E38)),1,0)))&gt;0,1,0))</f>
        <v/>
      </c>
      <c r="P38" s="12">
        <f>IF(H38&lt;&gt;1,0,IF((IF(Classifiers!$B$11="",0,IF(ISNUMBER(SEARCH(Classifiers!$B$11,E38)),1,0))+IF(Classifiers!$C$11="",0,IF(ISNUMBER(SEARCH(Classifiers!$C$11,E38)),1,0))+IF(Classifiers!$D$11="",0,IF(ISNUMBER(SEARCH(Classifiers!$D$11,E38)),1,0))+IF(Classifiers!$E$11="",0,IF(ISNUMBER(SEARCH(Classifiers!$E$11,E38)),1,0))+IF(Classifiers!$F$11="",0,IF(ISNUMBER(SEARCH(Classifiers!$F$11,E38)),1,0))+IF(Classifiers!$G$11="",0,IF(ISNUMBER(SEARCH(Classifiers!$G$11,E38)),1,0)))&gt;0,1,0))</f>
        <v/>
      </c>
      <c r="Q38" s="12">
        <f>IF(H38&lt;&gt;1,0,IF((IF(Classifiers!$B$12="",0,IF(ISNUMBER(SEARCH(Classifiers!$B$12,E38)),1,0))+IF(Classifiers!$C$12="",0,IF(ISNUMBER(SEARCH(Classifiers!$C$12,E38)),1,0))+IF(Classifiers!$D$12="",0,IF(ISNUMBER(SEARCH(Classifiers!$D$12,E38)),1,0))+IF(Classifiers!$E$12="",0,IF(ISNUMBER(SEARCH(Classifiers!$E$12,E38)),1,0))+IF(Classifiers!$F$12="",0,IF(ISNUMBER(SEARCH(Classifiers!$F$12,E38)),1,0))+IF(Classifiers!$G$12="",0,IF(ISNUMBER(SEARCH(Classifiers!$G$12,E38)),1,0)))&gt;0,1,0))</f>
        <v/>
      </c>
      <c r="R38" s="12">
        <f>IF(H38&lt;&gt;1,0,IF((IF(Classifiers!$B$13="",0,IF(ISNUMBER(SEARCH(Classifiers!$B$13,E38)),1,0))+IF(Classifiers!$C$13="",0,IF(ISNUMBER(SEARCH(Classifiers!$C$13,E38)),1,0))+IF(Classifiers!$D$13="",0,IF(ISNUMBER(SEARCH(Classifiers!$D$13,E38)),1,0))+IF(Classifiers!$E$13="",0,IF(ISNUMBER(SEARCH(Classifiers!$E$13,E38)),1,0))+IF(Classifiers!$F$13="",0,IF(ISNUMBER(SEARCH(Classifiers!$F$13,E38)),1,0))+IF(Classifiers!$G$13="",0,IF(ISNUMBER(SEARCH(Classifiers!$G$13,E38)),1,0)))&gt;0,1,0))</f>
        <v/>
      </c>
      <c r="S38" s="12">
        <f>IF(H38&lt;&gt;1,0,IF((IF(Classifiers!$B$14="",0,IF(ISNUMBER(SEARCH(Classifiers!$B$14,E38)),1,0))+IF(Classifiers!$C$14="",0,IF(ISNUMBER(SEARCH(Classifiers!$C$14,E38)),1,0))+IF(Classifiers!$D$14="",0,IF(ISNUMBER(SEARCH(Classifiers!$D$14,E38)),1,0))+IF(Classifiers!$E$14="",0,IF(ISNUMBER(SEARCH(Classifiers!$E$14,E38)),1,0))+IF(Classifiers!$F$14="",0,IF(ISNUMBER(SEARCH(Classifiers!$F$14,E38)),1,0))+IF(Classifiers!$G$14="",0,IF(ISNUMBER(SEARCH(Classifiers!$G$14,E38)),1,0)))&gt;0,1,0))</f>
        <v/>
      </c>
      <c r="T38" s="12">
        <f>IF(H38&lt;&gt;1,0,IF((IF(Classifiers!$B$15="",0,IF(ISNUMBER(SEARCH(Classifiers!$B$15,E38)),1,0))+IF(Classifiers!$C$15="",0,IF(ISNUMBER(SEARCH(Classifiers!$C$15,E38)),1,0))+IF(Classifiers!$D$15="",0,IF(ISNUMBER(SEARCH(Classifiers!$D$15,E38)),1,0))+IF(Classifiers!$E$15="",0,IF(ISNUMBER(SEARCH(Classifiers!$E$15,E38)),1,0))+IF(Classifiers!$F$15="",0,IF(ISNUMBER(SEARCH(Classifiers!$F$15,E38)),1,0))+IF(Classifiers!$G$15="",0,IF(ISNUMBER(SEARCH(Classifiers!$G$15,E38)),1,0)))&gt;0,1,0))</f>
        <v/>
      </c>
      <c r="U38" s="12">
        <f>IF(H38&lt;&gt;1,0,IF((IF(Classifiers!$B$16="",0,IF(ISNUMBER(SEARCH(Classifiers!$B$16,E38)),1,0))+IF(Classifiers!$C$16="",0,IF(ISNUMBER(SEARCH(Classifiers!$C$16,E38)),1,0))+IF(Classifiers!$D$16="",0,IF(ISNUMBER(SEARCH(Classifiers!$D$16,E38)),1,0))+IF(Classifiers!$E$16="",0,IF(ISNUMBER(SEARCH(Classifiers!$E$16,E38)),1,0))+IF(Classifiers!$F$16="",0,IF(ISNUMBER(SEARCH(Classifiers!$F$16,E38)),1,0))+IF(Classifiers!$G$16="",0,IF(ISNUMBER(SEARCH(Classifiers!$G$16,E38)),1,0)))&gt;0,1,0))</f>
        <v/>
      </c>
      <c r="V38" s="12">
        <f>IF(H38&lt;&gt;1,0,IF((IF(Classifiers!$B$17="",0,IF(ISNUMBER(SEARCH(Classifiers!$B$17,E38)),1,0))+IF(Classifiers!$C$17="",0,IF(ISNUMBER(SEARCH(Classifiers!$C$17,E38)),1,0))+IF(Classifiers!$D$17="",0,IF(ISNUMBER(SEARCH(Classifiers!$D$17,E38)),1,0))+IF(Classifiers!$E$17="",0,IF(ISNUMBER(SEARCH(Classifiers!$E$17,E38)),1,0))+IF(Classifiers!$F$17="",0,IF(ISNUMBER(SEARCH(Classifiers!$F$17,E38)),1,0))+IF(Classifiers!$G$17="",0,IF(ISNUMBER(SEARCH(Classifiers!$G$17,E38)),1,0)))&gt;0,1,0))</f>
        <v/>
      </c>
      <c r="W38" s="12">
        <f>IF(H38&lt;&gt;1,0,IF((IF(Classifiers!$B$18="",0,IF(ISNUMBER(SEARCH(Classifiers!$B$18,E38)),1,0))+IF(Classifiers!$C$18="",0,IF(ISNUMBER(SEARCH(Classifiers!$C$18,E38)),1,0))+IF(Classifiers!$D$18="",0,IF(ISNUMBER(SEARCH(Classifiers!$D$18,E38)),1,0))+IF(Classifiers!$E$18="",0,IF(ISNUMBER(SEARCH(Classifiers!$E$18,E38)),1,0))+IF(Classifiers!$F$18="",0,IF(ISNUMBER(SEARCH(Classifiers!$F$18,E38)),1,0))+IF(Classifiers!$G$18="",0,IF(ISNUMBER(SEARCH(Classifiers!$G$18,E38)),1,0)))&gt;0,1,0))</f>
        <v/>
      </c>
    </row>
    <row r="39">
      <c r="A39" s="8" t="n"/>
      <c r="B39" s="11" t="n"/>
      <c r="C39" s="6">
        <f>IF(A39="","",TRIM(RIGHT(SUBSTITUTE(A39,"/",REPT(" ",250)),250)))</f>
        <v/>
      </c>
      <c r="D39" s="6">
        <f>IF(C39="","",IF(ISNUMBER(SEARCH(".",C39)),LOWER("."&amp;TRIM(RIGHT(SUBSTITUTE(C39,".",REPT(" ",250)),250))),""))</f>
        <v/>
      </c>
      <c r="E39" s="6">
        <f>IF(C39="","",TRIM(SUBSTITUTE(SUBSTITUTE(SUBSTITUTE(SUBSTITUTE(SUBSTITUTE(SUBSTITUTE(SUBSTITUTE(SUBSTITUTE(SUBSTITUTE(SUBSTITUTE(SUBSTITUTE(SUBSTITUTE(SUBSTITUTE(SUBSTITUTE(SUBSTITUTE(SUBSTITUTE(SUBSTITUTE(SUBSTITUTE(SUBSTITUTE(SUBSTITUTE(LOWER(LEFT(C39,LEN(C39)-LEN(D39))),"_"," "),"-"," "),"."," "),","," "),"("," "),")"," "),"["," "),"]"," "),"&amp;"," "),"+"," "),"@"," "),"#"," "),"!"," "),"'"," "),"/"," "),":"," "),";"," "),"="," "),"~"," "),"%"," ")))</f>
        <v/>
      </c>
      <c r="F39" s="6">
        <f>IF(C39="","",IF(COUNTIF(Classifiers!$A$23:$A$40,D39)&gt;0,1,0))</f>
        <v/>
      </c>
      <c r="G39" s="6">
        <f>IF(C39="","",IF(COUNTIF(Classifiers!$C$23:$C$30,D39)&gt;0,IF((IF(ISNUMBER(SEARCH(Classifiers!$E$23,E39)),1,0)+IF(ISNUMBER(SEARCH(Classifiers!$E$24,E39)),1,0)+IF(ISNUMBER(SEARCH(Classifiers!$E$25,E39)),1,0)+IF(ISNUMBER(SEARCH(Classifiers!$E$26,E39)),1,0)+IF(ISNUMBER(SEARCH(Classifiers!$E$27,E39)),1,0)+IF(ISNUMBER(SEARCH(Classifiers!$E$28,E39)),1,0)+IF(ISNUMBER(SEARCH(Classifiers!$E$29,E39)),1,0)+IF(ISNUMBER(SEARCH(Classifiers!$E$30,E39)),1,0))&gt;0,1,0),0))</f>
        <v/>
      </c>
      <c r="H39" s="6">
        <f>IF(C39="","",IF(OR(LEFT(C39,1)=".",AND(F39=0,G39=0)),0,1))</f>
        <v/>
      </c>
      <c r="I39" s="6">
        <f>IF(H39&lt;&gt;1,"",IF(SUM(J39:W39)=0,"unclassified",INDEX(Classifiers!$A$5:$A$18,MATCH(1,J39:W39,0),1)))</f>
        <v/>
      </c>
      <c r="J39" s="12">
        <f>IF(H39&lt;&gt;1,0,IF((IF(Classifiers!$B$5="",0,IF(ISNUMBER(SEARCH(Classifiers!$B$5,E39)),1,0))+IF(Classifiers!$C$5="",0,IF(ISNUMBER(SEARCH(Classifiers!$C$5,E39)),1,0))+IF(Classifiers!$D$5="",0,IF(ISNUMBER(SEARCH(Classifiers!$D$5,E39)),1,0))+IF(Classifiers!$E$5="",0,IF(ISNUMBER(SEARCH(Classifiers!$E$5,E39)),1,0))+IF(Classifiers!$F$5="",0,IF(ISNUMBER(SEARCH(Classifiers!$F$5,E39)),1,0))+IF(Classifiers!$G$5="",0,IF(ISNUMBER(SEARCH(Classifiers!$G$5,E39)),1,0)))&gt;0,1,0))</f>
        <v/>
      </c>
      <c r="K39" s="12">
        <f>IF(H39&lt;&gt;1,0,IF((IF(Classifiers!$B$6="",0,IF(ISNUMBER(SEARCH(Classifiers!$B$6,E39)),1,0))+IF(Classifiers!$C$6="",0,IF(ISNUMBER(SEARCH(Classifiers!$C$6,E39)),1,0))+IF(Classifiers!$D$6="",0,IF(ISNUMBER(SEARCH(Classifiers!$D$6,E39)),1,0))+IF(Classifiers!$E$6="",0,IF(ISNUMBER(SEARCH(Classifiers!$E$6,E39)),1,0))+IF(Classifiers!$F$6="",0,IF(ISNUMBER(SEARCH(Classifiers!$F$6,E39)),1,0))+IF(Classifiers!$G$6="",0,IF(ISNUMBER(SEARCH(Classifiers!$G$6,E39)),1,0)))&gt;0,1,0))</f>
        <v/>
      </c>
      <c r="L39" s="12">
        <f>IF(H39&lt;&gt;1,0,IF((IF(Classifiers!$B$7="",0,IF(ISNUMBER(SEARCH(Classifiers!$B$7,E39)),1,0))+IF(Classifiers!$C$7="",0,IF(ISNUMBER(SEARCH(Classifiers!$C$7,E39)),1,0))+IF(Classifiers!$D$7="",0,IF(ISNUMBER(SEARCH(Classifiers!$D$7,E39)),1,0))+IF(Classifiers!$E$7="",0,IF(ISNUMBER(SEARCH(Classifiers!$E$7,E39)),1,0))+IF(Classifiers!$F$7="",0,IF(ISNUMBER(SEARCH(Classifiers!$F$7,E39)),1,0))+IF(Classifiers!$G$7="",0,IF(ISNUMBER(SEARCH(Classifiers!$G$7,E39)),1,0)))&gt;0,1,0))</f>
        <v/>
      </c>
      <c r="M39" s="12">
        <f>IF(H39&lt;&gt;1,0,IF((IF(Classifiers!$B$8="",0,IF(ISNUMBER(SEARCH(Classifiers!$B$8,E39)),1,0))+IF(Classifiers!$C$8="",0,IF(ISNUMBER(SEARCH(Classifiers!$C$8,E39)),1,0))+IF(Classifiers!$D$8="",0,IF(ISNUMBER(SEARCH(Classifiers!$D$8,E39)),1,0))+IF(Classifiers!$E$8="",0,IF(ISNUMBER(SEARCH(Classifiers!$E$8,E39)),1,0))+IF(Classifiers!$F$8="",0,IF(ISNUMBER(SEARCH(Classifiers!$F$8,E39)),1,0))+IF(Classifiers!$G$8="",0,IF(ISNUMBER(SEARCH(Classifiers!$G$8,E39)),1,0)))&gt;0,1,0))</f>
        <v/>
      </c>
      <c r="N39" s="12">
        <f>IF(H39&lt;&gt;1,0,IF((IF(Classifiers!$B$9="",0,IF(ISNUMBER(SEARCH(Classifiers!$B$9,E39)),1,0))+IF(Classifiers!$C$9="",0,IF(ISNUMBER(SEARCH(Classifiers!$C$9,E39)),1,0))+IF(Classifiers!$D$9="",0,IF(ISNUMBER(SEARCH(Classifiers!$D$9,E39)),1,0))+IF(Classifiers!$E$9="",0,IF(ISNUMBER(SEARCH(Classifiers!$E$9,E39)),1,0))+IF(Classifiers!$F$9="",0,IF(ISNUMBER(SEARCH(Classifiers!$F$9,E39)),1,0))+IF(Classifiers!$G$9="",0,IF(ISNUMBER(SEARCH(Classifiers!$G$9,E39)),1,0)))&gt;0,1,0))</f>
        <v/>
      </c>
      <c r="O39" s="12">
        <f>IF(H39&lt;&gt;1,0,IF((IF(Classifiers!$B$10="",0,IF(ISNUMBER(SEARCH(Classifiers!$B$10,E39)),1,0))+IF(Classifiers!$C$10="",0,IF(ISNUMBER(SEARCH(Classifiers!$C$10,E39)),1,0))+IF(Classifiers!$D$10="",0,IF(ISNUMBER(SEARCH(Classifiers!$D$10,E39)),1,0))+IF(Classifiers!$E$10="",0,IF(ISNUMBER(SEARCH(Classifiers!$E$10,E39)),1,0))+IF(Classifiers!$F$10="",0,IF(ISNUMBER(SEARCH(Classifiers!$F$10,E39)),1,0))+IF(Classifiers!$G$10="",0,IF(ISNUMBER(SEARCH(Classifiers!$G$10,E39)),1,0)))&gt;0,1,0))</f>
        <v/>
      </c>
      <c r="P39" s="12">
        <f>IF(H39&lt;&gt;1,0,IF((IF(Classifiers!$B$11="",0,IF(ISNUMBER(SEARCH(Classifiers!$B$11,E39)),1,0))+IF(Classifiers!$C$11="",0,IF(ISNUMBER(SEARCH(Classifiers!$C$11,E39)),1,0))+IF(Classifiers!$D$11="",0,IF(ISNUMBER(SEARCH(Classifiers!$D$11,E39)),1,0))+IF(Classifiers!$E$11="",0,IF(ISNUMBER(SEARCH(Classifiers!$E$11,E39)),1,0))+IF(Classifiers!$F$11="",0,IF(ISNUMBER(SEARCH(Classifiers!$F$11,E39)),1,0))+IF(Classifiers!$G$11="",0,IF(ISNUMBER(SEARCH(Classifiers!$G$11,E39)),1,0)))&gt;0,1,0))</f>
        <v/>
      </c>
      <c r="Q39" s="12">
        <f>IF(H39&lt;&gt;1,0,IF((IF(Classifiers!$B$12="",0,IF(ISNUMBER(SEARCH(Classifiers!$B$12,E39)),1,0))+IF(Classifiers!$C$12="",0,IF(ISNUMBER(SEARCH(Classifiers!$C$12,E39)),1,0))+IF(Classifiers!$D$12="",0,IF(ISNUMBER(SEARCH(Classifiers!$D$12,E39)),1,0))+IF(Classifiers!$E$12="",0,IF(ISNUMBER(SEARCH(Classifiers!$E$12,E39)),1,0))+IF(Classifiers!$F$12="",0,IF(ISNUMBER(SEARCH(Classifiers!$F$12,E39)),1,0))+IF(Classifiers!$G$12="",0,IF(ISNUMBER(SEARCH(Classifiers!$G$12,E39)),1,0)))&gt;0,1,0))</f>
        <v/>
      </c>
      <c r="R39" s="12">
        <f>IF(H39&lt;&gt;1,0,IF((IF(Classifiers!$B$13="",0,IF(ISNUMBER(SEARCH(Classifiers!$B$13,E39)),1,0))+IF(Classifiers!$C$13="",0,IF(ISNUMBER(SEARCH(Classifiers!$C$13,E39)),1,0))+IF(Classifiers!$D$13="",0,IF(ISNUMBER(SEARCH(Classifiers!$D$13,E39)),1,0))+IF(Classifiers!$E$13="",0,IF(ISNUMBER(SEARCH(Classifiers!$E$13,E39)),1,0))+IF(Classifiers!$F$13="",0,IF(ISNUMBER(SEARCH(Classifiers!$F$13,E39)),1,0))+IF(Classifiers!$G$13="",0,IF(ISNUMBER(SEARCH(Classifiers!$G$13,E39)),1,0)))&gt;0,1,0))</f>
        <v/>
      </c>
      <c r="S39" s="12">
        <f>IF(H39&lt;&gt;1,0,IF((IF(Classifiers!$B$14="",0,IF(ISNUMBER(SEARCH(Classifiers!$B$14,E39)),1,0))+IF(Classifiers!$C$14="",0,IF(ISNUMBER(SEARCH(Classifiers!$C$14,E39)),1,0))+IF(Classifiers!$D$14="",0,IF(ISNUMBER(SEARCH(Classifiers!$D$14,E39)),1,0))+IF(Classifiers!$E$14="",0,IF(ISNUMBER(SEARCH(Classifiers!$E$14,E39)),1,0))+IF(Classifiers!$F$14="",0,IF(ISNUMBER(SEARCH(Classifiers!$F$14,E39)),1,0))+IF(Classifiers!$G$14="",0,IF(ISNUMBER(SEARCH(Classifiers!$G$14,E39)),1,0)))&gt;0,1,0))</f>
        <v/>
      </c>
      <c r="T39" s="12">
        <f>IF(H39&lt;&gt;1,0,IF((IF(Classifiers!$B$15="",0,IF(ISNUMBER(SEARCH(Classifiers!$B$15,E39)),1,0))+IF(Classifiers!$C$15="",0,IF(ISNUMBER(SEARCH(Classifiers!$C$15,E39)),1,0))+IF(Classifiers!$D$15="",0,IF(ISNUMBER(SEARCH(Classifiers!$D$15,E39)),1,0))+IF(Classifiers!$E$15="",0,IF(ISNUMBER(SEARCH(Classifiers!$E$15,E39)),1,0))+IF(Classifiers!$F$15="",0,IF(ISNUMBER(SEARCH(Classifiers!$F$15,E39)),1,0))+IF(Classifiers!$G$15="",0,IF(ISNUMBER(SEARCH(Classifiers!$G$15,E39)),1,0)))&gt;0,1,0))</f>
        <v/>
      </c>
      <c r="U39" s="12">
        <f>IF(H39&lt;&gt;1,0,IF((IF(Classifiers!$B$16="",0,IF(ISNUMBER(SEARCH(Classifiers!$B$16,E39)),1,0))+IF(Classifiers!$C$16="",0,IF(ISNUMBER(SEARCH(Classifiers!$C$16,E39)),1,0))+IF(Classifiers!$D$16="",0,IF(ISNUMBER(SEARCH(Classifiers!$D$16,E39)),1,0))+IF(Classifiers!$E$16="",0,IF(ISNUMBER(SEARCH(Classifiers!$E$16,E39)),1,0))+IF(Classifiers!$F$16="",0,IF(ISNUMBER(SEARCH(Classifiers!$F$16,E39)),1,0))+IF(Classifiers!$G$16="",0,IF(ISNUMBER(SEARCH(Classifiers!$G$16,E39)),1,0)))&gt;0,1,0))</f>
        <v/>
      </c>
      <c r="V39" s="12">
        <f>IF(H39&lt;&gt;1,0,IF((IF(Classifiers!$B$17="",0,IF(ISNUMBER(SEARCH(Classifiers!$B$17,E39)),1,0))+IF(Classifiers!$C$17="",0,IF(ISNUMBER(SEARCH(Classifiers!$C$17,E39)),1,0))+IF(Classifiers!$D$17="",0,IF(ISNUMBER(SEARCH(Classifiers!$D$17,E39)),1,0))+IF(Classifiers!$E$17="",0,IF(ISNUMBER(SEARCH(Classifiers!$E$17,E39)),1,0))+IF(Classifiers!$F$17="",0,IF(ISNUMBER(SEARCH(Classifiers!$F$17,E39)),1,0))+IF(Classifiers!$G$17="",0,IF(ISNUMBER(SEARCH(Classifiers!$G$17,E39)),1,0)))&gt;0,1,0))</f>
        <v/>
      </c>
      <c r="W39" s="12">
        <f>IF(H39&lt;&gt;1,0,IF((IF(Classifiers!$B$18="",0,IF(ISNUMBER(SEARCH(Classifiers!$B$18,E39)),1,0))+IF(Classifiers!$C$18="",0,IF(ISNUMBER(SEARCH(Classifiers!$C$18,E39)),1,0))+IF(Classifiers!$D$18="",0,IF(ISNUMBER(SEARCH(Classifiers!$D$18,E39)),1,0))+IF(Classifiers!$E$18="",0,IF(ISNUMBER(SEARCH(Classifiers!$E$18,E39)),1,0))+IF(Classifiers!$F$18="",0,IF(ISNUMBER(SEARCH(Classifiers!$F$18,E39)),1,0))+IF(Classifiers!$G$18="",0,IF(ISNUMBER(SEARCH(Classifiers!$G$18,E39)),1,0)))&gt;0,1,0))</f>
        <v/>
      </c>
    </row>
    <row r="40">
      <c r="A40" s="8" t="n"/>
      <c r="B40" s="11" t="n"/>
      <c r="C40" s="6">
        <f>IF(A40="","",TRIM(RIGHT(SUBSTITUTE(A40,"/",REPT(" ",250)),250)))</f>
        <v/>
      </c>
      <c r="D40" s="6">
        <f>IF(C40="","",IF(ISNUMBER(SEARCH(".",C40)),LOWER("."&amp;TRIM(RIGHT(SUBSTITUTE(C40,".",REPT(" ",250)),250))),""))</f>
        <v/>
      </c>
      <c r="E40" s="6">
        <f>IF(C40="","",TRIM(SUBSTITUTE(SUBSTITUTE(SUBSTITUTE(SUBSTITUTE(SUBSTITUTE(SUBSTITUTE(SUBSTITUTE(SUBSTITUTE(SUBSTITUTE(SUBSTITUTE(SUBSTITUTE(SUBSTITUTE(SUBSTITUTE(SUBSTITUTE(SUBSTITUTE(SUBSTITUTE(SUBSTITUTE(SUBSTITUTE(SUBSTITUTE(SUBSTITUTE(LOWER(LEFT(C40,LEN(C40)-LEN(D40))),"_"," "),"-"," "),"."," "),","," "),"("," "),")"," "),"["," "),"]"," "),"&amp;"," "),"+"," "),"@"," "),"#"," "),"!"," "),"'"," "),"/"," "),":"," "),";"," "),"="," "),"~"," "),"%"," ")))</f>
        <v/>
      </c>
      <c r="F40" s="6">
        <f>IF(C40="","",IF(COUNTIF(Classifiers!$A$23:$A$40,D40)&gt;0,1,0))</f>
        <v/>
      </c>
      <c r="G40" s="6">
        <f>IF(C40="","",IF(COUNTIF(Classifiers!$C$23:$C$30,D40)&gt;0,IF((IF(ISNUMBER(SEARCH(Classifiers!$E$23,E40)),1,0)+IF(ISNUMBER(SEARCH(Classifiers!$E$24,E40)),1,0)+IF(ISNUMBER(SEARCH(Classifiers!$E$25,E40)),1,0)+IF(ISNUMBER(SEARCH(Classifiers!$E$26,E40)),1,0)+IF(ISNUMBER(SEARCH(Classifiers!$E$27,E40)),1,0)+IF(ISNUMBER(SEARCH(Classifiers!$E$28,E40)),1,0)+IF(ISNUMBER(SEARCH(Classifiers!$E$29,E40)),1,0)+IF(ISNUMBER(SEARCH(Classifiers!$E$30,E40)),1,0))&gt;0,1,0),0))</f>
        <v/>
      </c>
      <c r="H40" s="6">
        <f>IF(C40="","",IF(OR(LEFT(C40,1)=".",AND(F40=0,G40=0)),0,1))</f>
        <v/>
      </c>
      <c r="I40" s="6">
        <f>IF(H40&lt;&gt;1,"",IF(SUM(J40:W40)=0,"unclassified",INDEX(Classifiers!$A$5:$A$18,MATCH(1,J40:W40,0),1)))</f>
        <v/>
      </c>
      <c r="J40" s="12">
        <f>IF(H40&lt;&gt;1,0,IF((IF(Classifiers!$B$5="",0,IF(ISNUMBER(SEARCH(Classifiers!$B$5,E40)),1,0))+IF(Classifiers!$C$5="",0,IF(ISNUMBER(SEARCH(Classifiers!$C$5,E40)),1,0))+IF(Classifiers!$D$5="",0,IF(ISNUMBER(SEARCH(Classifiers!$D$5,E40)),1,0))+IF(Classifiers!$E$5="",0,IF(ISNUMBER(SEARCH(Classifiers!$E$5,E40)),1,0))+IF(Classifiers!$F$5="",0,IF(ISNUMBER(SEARCH(Classifiers!$F$5,E40)),1,0))+IF(Classifiers!$G$5="",0,IF(ISNUMBER(SEARCH(Classifiers!$G$5,E40)),1,0)))&gt;0,1,0))</f>
        <v/>
      </c>
      <c r="K40" s="12">
        <f>IF(H40&lt;&gt;1,0,IF((IF(Classifiers!$B$6="",0,IF(ISNUMBER(SEARCH(Classifiers!$B$6,E40)),1,0))+IF(Classifiers!$C$6="",0,IF(ISNUMBER(SEARCH(Classifiers!$C$6,E40)),1,0))+IF(Classifiers!$D$6="",0,IF(ISNUMBER(SEARCH(Classifiers!$D$6,E40)),1,0))+IF(Classifiers!$E$6="",0,IF(ISNUMBER(SEARCH(Classifiers!$E$6,E40)),1,0))+IF(Classifiers!$F$6="",0,IF(ISNUMBER(SEARCH(Classifiers!$F$6,E40)),1,0))+IF(Classifiers!$G$6="",0,IF(ISNUMBER(SEARCH(Classifiers!$G$6,E40)),1,0)))&gt;0,1,0))</f>
        <v/>
      </c>
      <c r="L40" s="12">
        <f>IF(H40&lt;&gt;1,0,IF((IF(Classifiers!$B$7="",0,IF(ISNUMBER(SEARCH(Classifiers!$B$7,E40)),1,0))+IF(Classifiers!$C$7="",0,IF(ISNUMBER(SEARCH(Classifiers!$C$7,E40)),1,0))+IF(Classifiers!$D$7="",0,IF(ISNUMBER(SEARCH(Classifiers!$D$7,E40)),1,0))+IF(Classifiers!$E$7="",0,IF(ISNUMBER(SEARCH(Classifiers!$E$7,E40)),1,0))+IF(Classifiers!$F$7="",0,IF(ISNUMBER(SEARCH(Classifiers!$F$7,E40)),1,0))+IF(Classifiers!$G$7="",0,IF(ISNUMBER(SEARCH(Classifiers!$G$7,E40)),1,0)))&gt;0,1,0))</f>
        <v/>
      </c>
      <c r="M40" s="12">
        <f>IF(H40&lt;&gt;1,0,IF((IF(Classifiers!$B$8="",0,IF(ISNUMBER(SEARCH(Classifiers!$B$8,E40)),1,0))+IF(Classifiers!$C$8="",0,IF(ISNUMBER(SEARCH(Classifiers!$C$8,E40)),1,0))+IF(Classifiers!$D$8="",0,IF(ISNUMBER(SEARCH(Classifiers!$D$8,E40)),1,0))+IF(Classifiers!$E$8="",0,IF(ISNUMBER(SEARCH(Classifiers!$E$8,E40)),1,0))+IF(Classifiers!$F$8="",0,IF(ISNUMBER(SEARCH(Classifiers!$F$8,E40)),1,0))+IF(Classifiers!$G$8="",0,IF(ISNUMBER(SEARCH(Classifiers!$G$8,E40)),1,0)))&gt;0,1,0))</f>
        <v/>
      </c>
      <c r="N40" s="12">
        <f>IF(H40&lt;&gt;1,0,IF((IF(Classifiers!$B$9="",0,IF(ISNUMBER(SEARCH(Classifiers!$B$9,E40)),1,0))+IF(Classifiers!$C$9="",0,IF(ISNUMBER(SEARCH(Classifiers!$C$9,E40)),1,0))+IF(Classifiers!$D$9="",0,IF(ISNUMBER(SEARCH(Classifiers!$D$9,E40)),1,0))+IF(Classifiers!$E$9="",0,IF(ISNUMBER(SEARCH(Classifiers!$E$9,E40)),1,0))+IF(Classifiers!$F$9="",0,IF(ISNUMBER(SEARCH(Classifiers!$F$9,E40)),1,0))+IF(Classifiers!$G$9="",0,IF(ISNUMBER(SEARCH(Classifiers!$G$9,E40)),1,0)))&gt;0,1,0))</f>
        <v/>
      </c>
      <c r="O40" s="12">
        <f>IF(H40&lt;&gt;1,0,IF((IF(Classifiers!$B$10="",0,IF(ISNUMBER(SEARCH(Classifiers!$B$10,E40)),1,0))+IF(Classifiers!$C$10="",0,IF(ISNUMBER(SEARCH(Classifiers!$C$10,E40)),1,0))+IF(Classifiers!$D$10="",0,IF(ISNUMBER(SEARCH(Classifiers!$D$10,E40)),1,0))+IF(Classifiers!$E$10="",0,IF(ISNUMBER(SEARCH(Classifiers!$E$10,E40)),1,0))+IF(Classifiers!$F$10="",0,IF(ISNUMBER(SEARCH(Classifiers!$F$10,E40)),1,0))+IF(Classifiers!$G$10="",0,IF(ISNUMBER(SEARCH(Classifiers!$G$10,E40)),1,0)))&gt;0,1,0))</f>
        <v/>
      </c>
      <c r="P40" s="12">
        <f>IF(H40&lt;&gt;1,0,IF((IF(Classifiers!$B$11="",0,IF(ISNUMBER(SEARCH(Classifiers!$B$11,E40)),1,0))+IF(Classifiers!$C$11="",0,IF(ISNUMBER(SEARCH(Classifiers!$C$11,E40)),1,0))+IF(Classifiers!$D$11="",0,IF(ISNUMBER(SEARCH(Classifiers!$D$11,E40)),1,0))+IF(Classifiers!$E$11="",0,IF(ISNUMBER(SEARCH(Classifiers!$E$11,E40)),1,0))+IF(Classifiers!$F$11="",0,IF(ISNUMBER(SEARCH(Classifiers!$F$11,E40)),1,0))+IF(Classifiers!$G$11="",0,IF(ISNUMBER(SEARCH(Classifiers!$G$11,E40)),1,0)))&gt;0,1,0))</f>
        <v/>
      </c>
      <c r="Q40" s="12">
        <f>IF(H40&lt;&gt;1,0,IF((IF(Classifiers!$B$12="",0,IF(ISNUMBER(SEARCH(Classifiers!$B$12,E40)),1,0))+IF(Classifiers!$C$12="",0,IF(ISNUMBER(SEARCH(Classifiers!$C$12,E40)),1,0))+IF(Classifiers!$D$12="",0,IF(ISNUMBER(SEARCH(Classifiers!$D$12,E40)),1,0))+IF(Classifiers!$E$12="",0,IF(ISNUMBER(SEARCH(Classifiers!$E$12,E40)),1,0))+IF(Classifiers!$F$12="",0,IF(ISNUMBER(SEARCH(Classifiers!$F$12,E40)),1,0))+IF(Classifiers!$G$12="",0,IF(ISNUMBER(SEARCH(Classifiers!$G$12,E40)),1,0)))&gt;0,1,0))</f>
        <v/>
      </c>
      <c r="R40" s="12">
        <f>IF(H40&lt;&gt;1,0,IF((IF(Classifiers!$B$13="",0,IF(ISNUMBER(SEARCH(Classifiers!$B$13,E40)),1,0))+IF(Classifiers!$C$13="",0,IF(ISNUMBER(SEARCH(Classifiers!$C$13,E40)),1,0))+IF(Classifiers!$D$13="",0,IF(ISNUMBER(SEARCH(Classifiers!$D$13,E40)),1,0))+IF(Classifiers!$E$13="",0,IF(ISNUMBER(SEARCH(Classifiers!$E$13,E40)),1,0))+IF(Classifiers!$F$13="",0,IF(ISNUMBER(SEARCH(Classifiers!$F$13,E40)),1,0))+IF(Classifiers!$G$13="",0,IF(ISNUMBER(SEARCH(Classifiers!$G$13,E40)),1,0)))&gt;0,1,0))</f>
        <v/>
      </c>
      <c r="S40" s="12">
        <f>IF(H40&lt;&gt;1,0,IF((IF(Classifiers!$B$14="",0,IF(ISNUMBER(SEARCH(Classifiers!$B$14,E40)),1,0))+IF(Classifiers!$C$14="",0,IF(ISNUMBER(SEARCH(Classifiers!$C$14,E40)),1,0))+IF(Classifiers!$D$14="",0,IF(ISNUMBER(SEARCH(Classifiers!$D$14,E40)),1,0))+IF(Classifiers!$E$14="",0,IF(ISNUMBER(SEARCH(Classifiers!$E$14,E40)),1,0))+IF(Classifiers!$F$14="",0,IF(ISNUMBER(SEARCH(Classifiers!$F$14,E40)),1,0))+IF(Classifiers!$G$14="",0,IF(ISNUMBER(SEARCH(Classifiers!$G$14,E40)),1,0)))&gt;0,1,0))</f>
        <v/>
      </c>
      <c r="T40" s="12">
        <f>IF(H40&lt;&gt;1,0,IF((IF(Classifiers!$B$15="",0,IF(ISNUMBER(SEARCH(Classifiers!$B$15,E40)),1,0))+IF(Classifiers!$C$15="",0,IF(ISNUMBER(SEARCH(Classifiers!$C$15,E40)),1,0))+IF(Classifiers!$D$15="",0,IF(ISNUMBER(SEARCH(Classifiers!$D$15,E40)),1,0))+IF(Classifiers!$E$15="",0,IF(ISNUMBER(SEARCH(Classifiers!$E$15,E40)),1,0))+IF(Classifiers!$F$15="",0,IF(ISNUMBER(SEARCH(Classifiers!$F$15,E40)),1,0))+IF(Classifiers!$G$15="",0,IF(ISNUMBER(SEARCH(Classifiers!$G$15,E40)),1,0)))&gt;0,1,0))</f>
        <v/>
      </c>
      <c r="U40" s="12">
        <f>IF(H40&lt;&gt;1,0,IF((IF(Classifiers!$B$16="",0,IF(ISNUMBER(SEARCH(Classifiers!$B$16,E40)),1,0))+IF(Classifiers!$C$16="",0,IF(ISNUMBER(SEARCH(Classifiers!$C$16,E40)),1,0))+IF(Classifiers!$D$16="",0,IF(ISNUMBER(SEARCH(Classifiers!$D$16,E40)),1,0))+IF(Classifiers!$E$16="",0,IF(ISNUMBER(SEARCH(Classifiers!$E$16,E40)),1,0))+IF(Classifiers!$F$16="",0,IF(ISNUMBER(SEARCH(Classifiers!$F$16,E40)),1,0))+IF(Classifiers!$G$16="",0,IF(ISNUMBER(SEARCH(Classifiers!$G$16,E40)),1,0)))&gt;0,1,0))</f>
        <v/>
      </c>
      <c r="V40" s="12">
        <f>IF(H40&lt;&gt;1,0,IF((IF(Classifiers!$B$17="",0,IF(ISNUMBER(SEARCH(Classifiers!$B$17,E40)),1,0))+IF(Classifiers!$C$17="",0,IF(ISNUMBER(SEARCH(Classifiers!$C$17,E40)),1,0))+IF(Classifiers!$D$17="",0,IF(ISNUMBER(SEARCH(Classifiers!$D$17,E40)),1,0))+IF(Classifiers!$E$17="",0,IF(ISNUMBER(SEARCH(Classifiers!$E$17,E40)),1,0))+IF(Classifiers!$F$17="",0,IF(ISNUMBER(SEARCH(Classifiers!$F$17,E40)),1,0))+IF(Classifiers!$G$17="",0,IF(ISNUMBER(SEARCH(Classifiers!$G$17,E40)),1,0)))&gt;0,1,0))</f>
        <v/>
      </c>
      <c r="W40" s="12">
        <f>IF(H40&lt;&gt;1,0,IF((IF(Classifiers!$B$18="",0,IF(ISNUMBER(SEARCH(Classifiers!$B$18,E40)),1,0))+IF(Classifiers!$C$18="",0,IF(ISNUMBER(SEARCH(Classifiers!$C$18,E40)),1,0))+IF(Classifiers!$D$18="",0,IF(ISNUMBER(SEARCH(Classifiers!$D$18,E40)),1,0))+IF(Classifiers!$E$18="",0,IF(ISNUMBER(SEARCH(Classifiers!$E$18,E40)),1,0))+IF(Classifiers!$F$18="",0,IF(ISNUMBER(SEARCH(Classifiers!$F$18,E40)),1,0))+IF(Classifiers!$G$18="",0,IF(ISNUMBER(SEARCH(Classifiers!$G$18,E40)),1,0)))&gt;0,1,0))</f>
        <v/>
      </c>
    </row>
    <row r="41">
      <c r="A41" s="8" t="n"/>
      <c r="B41" s="11" t="n"/>
      <c r="C41" s="6">
        <f>IF(A41="","",TRIM(RIGHT(SUBSTITUTE(A41,"/",REPT(" ",250)),250)))</f>
        <v/>
      </c>
      <c r="D41" s="6">
        <f>IF(C41="","",IF(ISNUMBER(SEARCH(".",C41)),LOWER("."&amp;TRIM(RIGHT(SUBSTITUTE(C41,".",REPT(" ",250)),250))),""))</f>
        <v/>
      </c>
      <c r="E41" s="6">
        <f>IF(C41="","",TRIM(SUBSTITUTE(SUBSTITUTE(SUBSTITUTE(SUBSTITUTE(SUBSTITUTE(SUBSTITUTE(SUBSTITUTE(SUBSTITUTE(SUBSTITUTE(SUBSTITUTE(SUBSTITUTE(SUBSTITUTE(SUBSTITUTE(SUBSTITUTE(SUBSTITUTE(SUBSTITUTE(SUBSTITUTE(SUBSTITUTE(SUBSTITUTE(SUBSTITUTE(LOWER(LEFT(C41,LEN(C41)-LEN(D41))),"_"," "),"-"," "),"."," "),","," "),"("," "),")"," "),"["," "),"]"," "),"&amp;"," "),"+"," "),"@"," "),"#"," "),"!"," "),"'"," "),"/"," "),":"," "),";"," "),"="," "),"~"," "),"%"," ")))</f>
        <v/>
      </c>
      <c r="F41" s="6">
        <f>IF(C41="","",IF(COUNTIF(Classifiers!$A$23:$A$40,D41)&gt;0,1,0))</f>
        <v/>
      </c>
      <c r="G41" s="6">
        <f>IF(C41="","",IF(COUNTIF(Classifiers!$C$23:$C$30,D41)&gt;0,IF((IF(ISNUMBER(SEARCH(Classifiers!$E$23,E41)),1,0)+IF(ISNUMBER(SEARCH(Classifiers!$E$24,E41)),1,0)+IF(ISNUMBER(SEARCH(Classifiers!$E$25,E41)),1,0)+IF(ISNUMBER(SEARCH(Classifiers!$E$26,E41)),1,0)+IF(ISNUMBER(SEARCH(Classifiers!$E$27,E41)),1,0)+IF(ISNUMBER(SEARCH(Classifiers!$E$28,E41)),1,0)+IF(ISNUMBER(SEARCH(Classifiers!$E$29,E41)),1,0)+IF(ISNUMBER(SEARCH(Classifiers!$E$30,E41)),1,0))&gt;0,1,0),0))</f>
        <v/>
      </c>
      <c r="H41" s="6">
        <f>IF(C41="","",IF(OR(LEFT(C41,1)=".",AND(F41=0,G41=0)),0,1))</f>
        <v/>
      </c>
      <c r="I41" s="6">
        <f>IF(H41&lt;&gt;1,"",IF(SUM(J41:W41)=0,"unclassified",INDEX(Classifiers!$A$5:$A$18,MATCH(1,J41:W41,0),1)))</f>
        <v/>
      </c>
      <c r="J41" s="12">
        <f>IF(H41&lt;&gt;1,0,IF((IF(Classifiers!$B$5="",0,IF(ISNUMBER(SEARCH(Classifiers!$B$5,E41)),1,0))+IF(Classifiers!$C$5="",0,IF(ISNUMBER(SEARCH(Classifiers!$C$5,E41)),1,0))+IF(Classifiers!$D$5="",0,IF(ISNUMBER(SEARCH(Classifiers!$D$5,E41)),1,0))+IF(Classifiers!$E$5="",0,IF(ISNUMBER(SEARCH(Classifiers!$E$5,E41)),1,0))+IF(Classifiers!$F$5="",0,IF(ISNUMBER(SEARCH(Classifiers!$F$5,E41)),1,0))+IF(Classifiers!$G$5="",0,IF(ISNUMBER(SEARCH(Classifiers!$G$5,E41)),1,0)))&gt;0,1,0))</f>
        <v/>
      </c>
      <c r="K41" s="12">
        <f>IF(H41&lt;&gt;1,0,IF((IF(Classifiers!$B$6="",0,IF(ISNUMBER(SEARCH(Classifiers!$B$6,E41)),1,0))+IF(Classifiers!$C$6="",0,IF(ISNUMBER(SEARCH(Classifiers!$C$6,E41)),1,0))+IF(Classifiers!$D$6="",0,IF(ISNUMBER(SEARCH(Classifiers!$D$6,E41)),1,0))+IF(Classifiers!$E$6="",0,IF(ISNUMBER(SEARCH(Classifiers!$E$6,E41)),1,0))+IF(Classifiers!$F$6="",0,IF(ISNUMBER(SEARCH(Classifiers!$F$6,E41)),1,0))+IF(Classifiers!$G$6="",0,IF(ISNUMBER(SEARCH(Classifiers!$G$6,E41)),1,0)))&gt;0,1,0))</f>
        <v/>
      </c>
      <c r="L41" s="12">
        <f>IF(H41&lt;&gt;1,0,IF((IF(Classifiers!$B$7="",0,IF(ISNUMBER(SEARCH(Classifiers!$B$7,E41)),1,0))+IF(Classifiers!$C$7="",0,IF(ISNUMBER(SEARCH(Classifiers!$C$7,E41)),1,0))+IF(Classifiers!$D$7="",0,IF(ISNUMBER(SEARCH(Classifiers!$D$7,E41)),1,0))+IF(Classifiers!$E$7="",0,IF(ISNUMBER(SEARCH(Classifiers!$E$7,E41)),1,0))+IF(Classifiers!$F$7="",0,IF(ISNUMBER(SEARCH(Classifiers!$F$7,E41)),1,0))+IF(Classifiers!$G$7="",0,IF(ISNUMBER(SEARCH(Classifiers!$G$7,E41)),1,0)))&gt;0,1,0))</f>
        <v/>
      </c>
      <c r="M41" s="12">
        <f>IF(H41&lt;&gt;1,0,IF((IF(Classifiers!$B$8="",0,IF(ISNUMBER(SEARCH(Classifiers!$B$8,E41)),1,0))+IF(Classifiers!$C$8="",0,IF(ISNUMBER(SEARCH(Classifiers!$C$8,E41)),1,0))+IF(Classifiers!$D$8="",0,IF(ISNUMBER(SEARCH(Classifiers!$D$8,E41)),1,0))+IF(Classifiers!$E$8="",0,IF(ISNUMBER(SEARCH(Classifiers!$E$8,E41)),1,0))+IF(Classifiers!$F$8="",0,IF(ISNUMBER(SEARCH(Classifiers!$F$8,E41)),1,0))+IF(Classifiers!$G$8="",0,IF(ISNUMBER(SEARCH(Classifiers!$G$8,E41)),1,0)))&gt;0,1,0))</f>
        <v/>
      </c>
      <c r="N41" s="12">
        <f>IF(H41&lt;&gt;1,0,IF((IF(Classifiers!$B$9="",0,IF(ISNUMBER(SEARCH(Classifiers!$B$9,E41)),1,0))+IF(Classifiers!$C$9="",0,IF(ISNUMBER(SEARCH(Classifiers!$C$9,E41)),1,0))+IF(Classifiers!$D$9="",0,IF(ISNUMBER(SEARCH(Classifiers!$D$9,E41)),1,0))+IF(Classifiers!$E$9="",0,IF(ISNUMBER(SEARCH(Classifiers!$E$9,E41)),1,0))+IF(Classifiers!$F$9="",0,IF(ISNUMBER(SEARCH(Classifiers!$F$9,E41)),1,0))+IF(Classifiers!$G$9="",0,IF(ISNUMBER(SEARCH(Classifiers!$G$9,E41)),1,0)))&gt;0,1,0))</f>
        <v/>
      </c>
      <c r="O41" s="12">
        <f>IF(H41&lt;&gt;1,0,IF((IF(Classifiers!$B$10="",0,IF(ISNUMBER(SEARCH(Classifiers!$B$10,E41)),1,0))+IF(Classifiers!$C$10="",0,IF(ISNUMBER(SEARCH(Classifiers!$C$10,E41)),1,0))+IF(Classifiers!$D$10="",0,IF(ISNUMBER(SEARCH(Classifiers!$D$10,E41)),1,0))+IF(Classifiers!$E$10="",0,IF(ISNUMBER(SEARCH(Classifiers!$E$10,E41)),1,0))+IF(Classifiers!$F$10="",0,IF(ISNUMBER(SEARCH(Classifiers!$F$10,E41)),1,0))+IF(Classifiers!$G$10="",0,IF(ISNUMBER(SEARCH(Classifiers!$G$10,E41)),1,0)))&gt;0,1,0))</f>
        <v/>
      </c>
      <c r="P41" s="12">
        <f>IF(H41&lt;&gt;1,0,IF((IF(Classifiers!$B$11="",0,IF(ISNUMBER(SEARCH(Classifiers!$B$11,E41)),1,0))+IF(Classifiers!$C$11="",0,IF(ISNUMBER(SEARCH(Classifiers!$C$11,E41)),1,0))+IF(Classifiers!$D$11="",0,IF(ISNUMBER(SEARCH(Classifiers!$D$11,E41)),1,0))+IF(Classifiers!$E$11="",0,IF(ISNUMBER(SEARCH(Classifiers!$E$11,E41)),1,0))+IF(Classifiers!$F$11="",0,IF(ISNUMBER(SEARCH(Classifiers!$F$11,E41)),1,0))+IF(Classifiers!$G$11="",0,IF(ISNUMBER(SEARCH(Classifiers!$G$11,E41)),1,0)))&gt;0,1,0))</f>
        <v/>
      </c>
      <c r="Q41" s="12">
        <f>IF(H41&lt;&gt;1,0,IF((IF(Classifiers!$B$12="",0,IF(ISNUMBER(SEARCH(Classifiers!$B$12,E41)),1,0))+IF(Classifiers!$C$12="",0,IF(ISNUMBER(SEARCH(Classifiers!$C$12,E41)),1,0))+IF(Classifiers!$D$12="",0,IF(ISNUMBER(SEARCH(Classifiers!$D$12,E41)),1,0))+IF(Classifiers!$E$12="",0,IF(ISNUMBER(SEARCH(Classifiers!$E$12,E41)),1,0))+IF(Classifiers!$F$12="",0,IF(ISNUMBER(SEARCH(Classifiers!$F$12,E41)),1,0))+IF(Classifiers!$G$12="",0,IF(ISNUMBER(SEARCH(Classifiers!$G$12,E41)),1,0)))&gt;0,1,0))</f>
        <v/>
      </c>
      <c r="R41" s="12">
        <f>IF(H41&lt;&gt;1,0,IF((IF(Classifiers!$B$13="",0,IF(ISNUMBER(SEARCH(Classifiers!$B$13,E41)),1,0))+IF(Classifiers!$C$13="",0,IF(ISNUMBER(SEARCH(Classifiers!$C$13,E41)),1,0))+IF(Classifiers!$D$13="",0,IF(ISNUMBER(SEARCH(Classifiers!$D$13,E41)),1,0))+IF(Classifiers!$E$13="",0,IF(ISNUMBER(SEARCH(Classifiers!$E$13,E41)),1,0))+IF(Classifiers!$F$13="",0,IF(ISNUMBER(SEARCH(Classifiers!$F$13,E41)),1,0))+IF(Classifiers!$G$13="",0,IF(ISNUMBER(SEARCH(Classifiers!$G$13,E41)),1,0)))&gt;0,1,0))</f>
        <v/>
      </c>
      <c r="S41" s="12">
        <f>IF(H41&lt;&gt;1,0,IF((IF(Classifiers!$B$14="",0,IF(ISNUMBER(SEARCH(Classifiers!$B$14,E41)),1,0))+IF(Classifiers!$C$14="",0,IF(ISNUMBER(SEARCH(Classifiers!$C$14,E41)),1,0))+IF(Classifiers!$D$14="",0,IF(ISNUMBER(SEARCH(Classifiers!$D$14,E41)),1,0))+IF(Classifiers!$E$14="",0,IF(ISNUMBER(SEARCH(Classifiers!$E$14,E41)),1,0))+IF(Classifiers!$F$14="",0,IF(ISNUMBER(SEARCH(Classifiers!$F$14,E41)),1,0))+IF(Classifiers!$G$14="",0,IF(ISNUMBER(SEARCH(Classifiers!$G$14,E41)),1,0)))&gt;0,1,0))</f>
        <v/>
      </c>
      <c r="T41" s="12">
        <f>IF(H41&lt;&gt;1,0,IF((IF(Classifiers!$B$15="",0,IF(ISNUMBER(SEARCH(Classifiers!$B$15,E41)),1,0))+IF(Classifiers!$C$15="",0,IF(ISNUMBER(SEARCH(Classifiers!$C$15,E41)),1,0))+IF(Classifiers!$D$15="",0,IF(ISNUMBER(SEARCH(Classifiers!$D$15,E41)),1,0))+IF(Classifiers!$E$15="",0,IF(ISNUMBER(SEARCH(Classifiers!$E$15,E41)),1,0))+IF(Classifiers!$F$15="",0,IF(ISNUMBER(SEARCH(Classifiers!$F$15,E41)),1,0))+IF(Classifiers!$G$15="",0,IF(ISNUMBER(SEARCH(Classifiers!$G$15,E41)),1,0)))&gt;0,1,0))</f>
        <v/>
      </c>
      <c r="U41" s="12">
        <f>IF(H41&lt;&gt;1,0,IF((IF(Classifiers!$B$16="",0,IF(ISNUMBER(SEARCH(Classifiers!$B$16,E41)),1,0))+IF(Classifiers!$C$16="",0,IF(ISNUMBER(SEARCH(Classifiers!$C$16,E41)),1,0))+IF(Classifiers!$D$16="",0,IF(ISNUMBER(SEARCH(Classifiers!$D$16,E41)),1,0))+IF(Classifiers!$E$16="",0,IF(ISNUMBER(SEARCH(Classifiers!$E$16,E41)),1,0))+IF(Classifiers!$F$16="",0,IF(ISNUMBER(SEARCH(Classifiers!$F$16,E41)),1,0))+IF(Classifiers!$G$16="",0,IF(ISNUMBER(SEARCH(Classifiers!$G$16,E41)),1,0)))&gt;0,1,0))</f>
        <v/>
      </c>
      <c r="V41" s="12">
        <f>IF(H41&lt;&gt;1,0,IF((IF(Classifiers!$B$17="",0,IF(ISNUMBER(SEARCH(Classifiers!$B$17,E41)),1,0))+IF(Classifiers!$C$17="",0,IF(ISNUMBER(SEARCH(Classifiers!$C$17,E41)),1,0))+IF(Classifiers!$D$17="",0,IF(ISNUMBER(SEARCH(Classifiers!$D$17,E41)),1,0))+IF(Classifiers!$E$17="",0,IF(ISNUMBER(SEARCH(Classifiers!$E$17,E41)),1,0))+IF(Classifiers!$F$17="",0,IF(ISNUMBER(SEARCH(Classifiers!$F$17,E41)),1,0))+IF(Classifiers!$G$17="",0,IF(ISNUMBER(SEARCH(Classifiers!$G$17,E41)),1,0)))&gt;0,1,0))</f>
        <v/>
      </c>
      <c r="W41" s="12">
        <f>IF(H41&lt;&gt;1,0,IF((IF(Classifiers!$B$18="",0,IF(ISNUMBER(SEARCH(Classifiers!$B$18,E41)),1,0))+IF(Classifiers!$C$18="",0,IF(ISNUMBER(SEARCH(Classifiers!$C$18,E41)),1,0))+IF(Classifiers!$D$18="",0,IF(ISNUMBER(SEARCH(Classifiers!$D$18,E41)),1,0))+IF(Classifiers!$E$18="",0,IF(ISNUMBER(SEARCH(Classifiers!$E$18,E41)),1,0))+IF(Classifiers!$F$18="",0,IF(ISNUMBER(SEARCH(Classifiers!$F$18,E41)),1,0))+IF(Classifiers!$G$18="",0,IF(ISNUMBER(SEARCH(Classifiers!$G$18,E41)),1,0)))&gt;0,1,0))</f>
        <v/>
      </c>
    </row>
    <row r="42">
      <c r="A42" s="8" t="n"/>
      <c r="B42" s="11" t="n"/>
      <c r="C42" s="6">
        <f>IF(A42="","",TRIM(RIGHT(SUBSTITUTE(A42,"/",REPT(" ",250)),250)))</f>
        <v/>
      </c>
      <c r="D42" s="6">
        <f>IF(C42="","",IF(ISNUMBER(SEARCH(".",C42)),LOWER("."&amp;TRIM(RIGHT(SUBSTITUTE(C42,".",REPT(" ",250)),250))),""))</f>
        <v/>
      </c>
      <c r="E42" s="6">
        <f>IF(C42="","",TRIM(SUBSTITUTE(SUBSTITUTE(SUBSTITUTE(SUBSTITUTE(SUBSTITUTE(SUBSTITUTE(SUBSTITUTE(SUBSTITUTE(SUBSTITUTE(SUBSTITUTE(SUBSTITUTE(SUBSTITUTE(SUBSTITUTE(SUBSTITUTE(SUBSTITUTE(SUBSTITUTE(SUBSTITUTE(SUBSTITUTE(SUBSTITUTE(SUBSTITUTE(LOWER(LEFT(C42,LEN(C42)-LEN(D42))),"_"," "),"-"," "),"."," "),","," "),"("," "),")"," "),"["," "),"]"," "),"&amp;"," "),"+"," "),"@"," "),"#"," "),"!"," "),"'"," "),"/"," "),":"," "),";"," "),"="," "),"~"," "),"%"," ")))</f>
        <v/>
      </c>
      <c r="F42" s="6">
        <f>IF(C42="","",IF(COUNTIF(Classifiers!$A$23:$A$40,D42)&gt;0,1,0))</f>
        <v/>
      </c>
      <c r="G42" s="6">
        <f>IF(C42="","",IF(COUNTIF(Classifiers!$C$23:$C$30,D42)&gt;0,IF((IF(ISNUMBER(SEARCH(Classifiers!$E$23,E42)),1,0)+IF(ISNUMBER(SEARCH(Classifiers!$E$24,E42)),1,0)+IF(ISNUMBER(SEARCH(Classifiers!$E$25,E42)),1,0)+IF(ISNUMBER(SEARCH(Classifiers!$E$26,E42)),1,0)+IF(ISNUMBER(SEARCH(Classifiers!$E$27,E42)),1,0)+IF(ISNUMBER(SEARCH(Classifiers!$E$28,E42)),1,0)+IF(ISNUMBER(SEARCH(Classifiers!$E$29,E42)),1,0)+IF(ISNUMBER(SEARCH(Classifiers!$E$30,E42)),1,0))&gt;0,1,0),0))</f>
        <v/>
      </c>
      <c r="H42" s="6">
        <f>IF(C42="","",IF(OR(LEFT(C42,1)=".",AND(F42=0,G42=0)),0,1))</f>
        <v/>
      </c>
      <c r="I42" s="6">
        <f>IF(H42&lt;&gt;1,"",IF(SUM(J42:W42)=0,"unclassified",INDEX(Classifiers!$A$5:$A$18,MATCH(1,J42:W42,0),1)))</f>
        <v/>
      </c>
      <c r="J42" s="12">
        <f>IF(H42&lt;&gt;1,0,IF((IF(Classifiers!$B$5="",0,IF(ISNUMBER(SEARCH(Classifiers!$B$5,E42)),1,0))+IF(Classifiers!$C$5="",0,IF(ISNUMBER(SEARCH(Classifiers!$C$5,E42)),1,0))+IF(Classifiers!$D$5="",0,IF(ISNUMBER(SEARCH(Classifiers!$D$5,E42)),1,0))+IF(Classifiers!$E$5="",0,IF(ISNUMBER(SEARCH(Classifiers!$E$5,E42)),1,0))+IF(Classifiers!$F$5="",0,IF(ISNUMBER(SEARCH(Classifiers!$F$5,E42)),1,0))+IF(Classifiers!$G$5="",0,IF(ISNUMBER(SEARCH(Classifiers!$G$5,E42)),1,0)))&gt;0,1,0))</f>
        <v/>
      </c>
      <c r="K42" s="12">
        <f>IF(H42&lt;&gt;1,0,IF((IF(Classifiers!$B$6="",0,IF(ISNUMBER(SEARCH(Classifiers!$B$6,E42)),1,0))+IF(Classifiers!$C$6="",0,IF(ISNUMBER(SEARCH(Classifiers!$C$6,E42)),1,0))+IF(Classifiers!$D$6="",0,IF(ISNUMBER(SEARCH(Classifiers!$D$6,E42)),1,0))+IF(Classifiers!$E$6="",0,IF(ISNUMBER(SEARCH(Classifiers!$E$6,E42)),1,0))+IF(Classifiers!$F$6="",0,IF(ISNUMBER(SEARCH(Classifiers!$F$6,E42)),1,0))+IF(Classifiers!$G$6="",0,IF(ISNUMBER(SEARCH(Classifiers!$G$6,E42)),1,0)))&gt;0,1,0))</f>
        <v/>
      </c>
      <c r="L42" s="12">
        <f>IF(H42&lt;&gt;1,0,IF((IF(Classifiers!$B$7="",0,IF(ISNUMBER(SEARCH(Classifiers!$B$7,E42)),1,0))+IF(Classifiers!$C$7="",0,IF(ISNUMBER(SEARCH(Classifiers!$C$7,E42)),1,0))+IF(Classifiers!$D$7="",0,IF(ISNUMBER(SEARCH(Classifiers!$D$7,E42)),1,0))+IF(Classifiers!$E$7="",0,IF(ISNUMBER(SEARCH(Classifiers!$E$7,E42)),1,0))+IF(Classifiers!$F$7="",0,IF(ISNUMBER(SEARCH(Classifiers!$F$7,E42)),1,0))+IF(Classifiers!$G$7="",0,IF(ISNUMBER(SEARCH(Classifiers!$G$7,E42)),1,0)))&gt;0,1,0))</f>
        <v/>
      </c>
      <c r="M42" s="12">
        <f>IF(H42&lt;&gt;1,0,IF((IF(Classifiers!$B$8="",0,IF(ISNUMBER(SEARCH(Classifiers!$B$8,E42)),1,0))+IF(Classifiers!$C$8="",0,IF(ISNUMBER(SEARCH(Classifiers!$C$8,E42)),1,0))+IF(Classifiers!$D$8="",0,IF(ISNUMBER(SEARCH(Classifiers!$D$8,E42)),1,0))+IF(Classifiers!$E$8="",0,IF(ISNUMBER(SEARCH(Classifiers!$E$8,E42)),1,0))+IF(Classifiers!$F$8="",0,IF(ISNUMBER(SEARCH(Classifiers!$F$8,E42)),1,0))+IF(Classifiers!$G$8="",0,IF(ISNUMBER(SEARCH(Classifiers!$G$8,E42)),1,0)))&gt;0,1,0))</f>
        <v/>
      </c>
      <c r="N42" s="12">
        <f>IF(H42&lt;&gt;1,0,IF((IF(Classifiers!$B$9="",0,IF(ISNUMBER(SEARCH(Classifiers!$B$9,E42)),1,0))+IF(Classifiers!$C$9="",0,IF(ISNUMBER(SEARCH(Classifiers!$C$9,E42)),1,0))+IF(Classifiers!$D$9="",0,IF(ISNUMBER(SEARCH(Classifiers!$D$9,E42)),1,0))+IF(Classifiers!$E$9="",0,IF(ISNUMBER(SEARCH(Classifiers!$E$9,E42)),1,0))+IF(Classifiers!$F$9="",0,IF(ISNUMBER(SEARCH(Classifiers!$F$9,E42)),1,0))+IF(Classifiers!$G$9="",0,IF(ISNUMBER(SEARCH(Classifiers!$G$9,E42)),1,0)))&gt;0,1,0))</f>
        <v/>
      </c>
      <c r="O42" s="12">
        <f>IF(H42&lt;&gt;1,0,IF((IF(Classifiers!$B$10="",0,IF(ISNUMBER(SEARCH(Classifiers!$B$10,E42)),1,0))+IF(Classifiers!$C$10="",0,IF(ISNUMBER(SEARCH(Classifiers!$C$10,E42)),1,0))+IF(Classifiers!$D$10="",0,IF(ISNUMBER(SEARCH(Classifiers!$D$10,E42)),1,0))+IF(Classifiers!$E$10="",0,IF(ISNUMBER(SEARCH(Classifiers!$E$10,E42)),1,0))+IF(Classifiers!$F$10="",0,IF(ISNUMBER(SEARCH(Classifiers!$F$10,E42)),1,0))+IF(Classifiers!$G$10="",0,IF(ISNUMBER(SEARCH(Classifiers!$G$10,E42)),1,0)))&gt;0,1,0))</f>
        <v/>
      </c>
      <c r="P42" s="12">
        <f>IF(H42&lt;&gt;1,0,IF((IF(Classifiers!$B$11="",0,IF(ISNUMBER(SEARCH(Classifiers!$B$11,E42)),1,0))+IF(Classifiers!$C$11="",0,IF(ISNUMBER(SEARCH(Classifiers!$C$11,E42)),1,0))+IF(Classifiers!$D$11="",0,IF(ISNUMBER(SEARCH(Classifiers!$D$11,E42)),1,0))+IF(Classifiers!$E$11="",0,IF(ISNUMBER(SEARCH(Classifiers!$E$11,E42)),1,0))+IF(Classifiers!$F$11="",0,IF(ISNUMBER(SEARCH(Classifiers!$F$11,E42)),1,0))+IF(Classifiers!$G$11="",0,IF(ISNUMBER(SEARCH(Classifiers!$G$11,E42)),1,0)))&gt;0,1,0))</f>
        <v/>
      </c>
      <c r="Q42" s="12">
        <f>IF(H42&lt;&gt;1,0,IF((IF(Classifiers!$B$12="",0,IF(ISNUMBER(SEARCH(Classifiers!$B$12,E42)),1,0))+IF(Classifiers!$C$12="",0,IF(ISNUMBER(SEARCH(Classifiers!$C$12,E42)),1,0))+IF(Classifiers!$D$12="",0,IF(ISNUMBER(SEARCH(Classifiers!$D$12,E42)),1,0))+IF(Classifiers!$E$12="",0,IF(ISNUMBER(SEARCH(Classifiers!$E$12,E42)),1,0))+IF(Classifiers!$F$12="",0,IF(ISNUMBER(SEARCH(Classifiers!$F$12,E42)),1,0))+IF(Classifiers!$G$12="",0,IF(ISNUMBER(SEARCH(Classifiers!$G$12,E42)),1,0)))&gt;0,1,0))</f>
        <v/>
      </c>
      <c r="R42" s="12">
        <f>IF(H42&lt;&gt;1,0,IF((IF(Classifiers!$B$13="",0,IF(ISNUMBER(SEARCH(Classifiers!$B$13,E42)),1,0))+IF(Classifiers!$C$13="",0,IF(ISNUMBER(SEARCH(Classifiers!$C$13,E42)),1,0))+IF(Classifiers!$D$13="",0,IF(ISNUMBER(SEARCH(Classifiers!$D$13,E42)),1,0))+IF(Classifiers!$E$13="",0,IF(ISNUMBER(SEARCH(Classifiers!$E$13,E42)),1,0))+IF(Classifiers!$F$13="",0,IF(ISNUMBER(SEARCH(Classifiers!$F$13,E42)),1,0))+IF(Classifiers!$G$13="",0,IF(ISNUMBER(SEARCH(Classifiers!$G$13,E42)),1,0)))&gt;0,1,0))</f>
        <v/>
      </c>
      <c r="S42" s="12">
        <f>IF(H42&lt;&gt;1,0,IF((IF(Classifiers!$B$14="",0,IF(ISNUMBER(SEARCH(Classifiers!$B$14,E42)),1,0))+IF(Classifiers!$C$14="",0,IF(ISNUMBER(SEARCH(Classifiers!$C$14,E42)),1,0))+IF(Classifiers!$D$14="",0,IF(ISNUMBER(SEARCH(Classifiers!$D$14,E42)),1,0))+IF(Classifiers!$E$14="",0,IF(ISNUMBER(SEARCH(Classifiers!$E$14,E42)),1,0))+IF(Classifiers!$F$14="",0,IF(ISNUMBER(SEARCH(Classifiers!$F$14,E42)),1,0))+IF(Classifiers!$G$14="",0,IF(ISNUMBER(SEARCH(Classifiers!$G$14,E42)),1,0)))&gt;0,1,0))</f>
        <v/>
      </c>
      <c r="T42" s="12">
        <f>IF(H42&lt;&gt;1,0,IF((IF(Classifiers!$B$15="",0,IF(ISNUMBER(SEARCH(Classifiers!$B$15,E42)),1,0))+IF(Classifiers!$C$15="",0,IF(ISNUMBER(SEARCH(Classifiers!$C$15,E42)),1,0))+IF(Classifiers!$D$15="",0,IF(ISNUMBER(SEARCH(Classifiers!$D$15,E42)),1,0))+IF(Classifiers!$E$15="",0,IF(ISNUMBER(SEARCH(Classifiers!$E$15,E42)),1,0))+IF(Classifiers!$F$15="",0,IF(ISNUMBER(SEARCH(Classifiers!$F$15,E42)),1,0))+IF(Classifiers!$G$15="",0,IF(ISNUMBER(SEARCH(Classifiers!$G$15,E42)),1,0)))&gt;0,1,0))</f>
        <v/>
      </c>
      <c r="U42" s="12">
        <f>IF(H42&lt;&gt;1,0,IF((IF(Classifiers!$B$16="",0,IF(ISNUMBER(SEARCH(Classifiers!$B$16,E42)),1,0))+IF(Classifiers!$C$16="",0,IF(ISNUMBER(SEARCH(Classifiers!$C$16,E42)),1,0))+IF(Classifiers!$D$16="",0,IF(ISNUMBER(SEARCH(Classifiers!$D$16,E42)),1,0))+IF(Classifiers!$E$16="",0,IF(ISNUMBER(SEARCH(Classifiers!$E$16,E42)),1,0))+IF(Classifiers!$F$16="",0,IF(ISNUMBER(SEARCH(Classifiers!$F$16,E42)),1,0))+IF(Classifiers!$G$16="",0,IF(ISNUMBER(SEARCH(Classifiers!$G$16,E42)),1,0)))&gt;0,1,0))</f>
        <v/>
      </c>
      <c r="V42" s="12">
        <f>IF(H42&lt;&gt;1,0,IF((IF(Classifiers!$B$17="",0,IF(ISNUMBER(SEARCH(Classifiers!$B$17,E42)),1,0))+IF(Classifiers!$C$17="",0,IF(ISNUMBER(SEARCH(Classifiers!$C$17,E42)),1,0))+IF(Classifiers!$D$17="",0,IF(ISNUMBER(SEARCH(Classifiers!$D$17,E42)),1,0))+IF(Classifiers!$E$17="",0,IF(ISNUMBER(SEARCH(Classifiers!$E$17,E42)),1,0))+IF(Classifiers!$F$17="",0,IF(ISNUMBER(SEARCH(Classifiers!$F$17,E42)),1,0))+IF(Classifiers!$G$17="",0,IF(ISNUMBER(SEARCH(Classifiers!$G$17,E42)),1,0)))&gt;0,1,0))</f>
        <v/>
      </c>
      <c r="W42" s="12">
        <f>IF(H42&lt;&gt;1,0,IF((IF(Classifiers!$B$18="",0,IF(ISNUMBER(SEARCH(Classifiers!$B$18,E42)),1,0))+IF(Classifiers!$C$18="",0,IF(ISNUMBER(SEARCH(Classifiers!$C$18,E42)),1,0))+IF(Classifiers!$D$18="",0,IF(ISNUMBER(SEARCH(Classifiers!$D$18,E42)),1,0))+IF(Classifiers!$E$18="",0,IF(ISNUMBER(SEARCH(Classifiers!$E$18,E42)),1,0))+IF(Classifiers!$F$18="",0,IF(ISNUMBER(SEARCH(Classifiers!$F$18,E42)),1,0))+IF(Classifiers!$G$18="",0,IF(ISNUMBER(SEARCH(Classifiers!$G$18,E42)),1,0)))&gt;0,1,0))</f>
        <v/>
      </c>
    </row>
    <row r="43">
      <c r="A43" s="8" t="n"/>
      <c r="B43" s="11" t="n"/>
      <c r="C43" s="6">
        <f>IF(A43="","",TRIM(RIGHT(SUBSTITUTE(A43,"/",REPT(" ",250)),250)))</f>
        <v/>
      </c>
      <c r="D43" s="6">
        <f>IF(C43="","",IF(ISNUMBER(SEARCH(".",C43)),LOWER("."&amp;TRIM(RIGHT(SUBSTITUTE(C43,".",REPT(" ",250)),250))),""))</f>
        <v/>
      </c>
      <c r="E43" s="6">
        <f>IF(C43="","",TRIM(SUBSTITUTE(SUBSTITUTE(SUBSTITUTE(SUBSTITUTE(SUBSTITUTE(SUBSTITUTE(SUBSTITUTE(SUBSTITUTE(SUBSTITUTE(SUBSTITUTE(SUBSTITUTE(SUBSTITUTE(SUBSTITUTE(SUBSTITUTE(SUBSTITUTE(SUBSTITUTE(SUBSTITUTE(SUBSTITUTE(SUBSTITUTE(SUBSTITUTE(LOWER(LEFT(C43,LEN(C43)-LEN(D43))),"_"," "),"-"," "),"."," "),","," "),"("," "),")"," "),"["," "),"]"," "),"&amp;"," "),"+"," "),"@"," "),"#"," "),"!"," "),"'"," "),"/"," "),":"," "),";"," "),"="," "),"~"," "),"%"," ")))</f>
        <v/>
      </c>
      <c r="F43" s="6">
        <f>IF(C43="","",IF(COUNTIF(Classifiers!$A$23:$A$40,D43)&gt;0,1,0))</f>
        <v/>
      </c>
      <c r="G43" s="6">
        <f>IF(C43="","",IF(COUNTIF(Classifiers!$C$23:$C$30,D43)&gt;0,IF((IF(ISNUMBER(SEARCH(Classifiers!$E$23,E43)),1,0)+IF(ISNUMBER(SEARCH(Classifiers!$E$24,E43)),1,0)+IF(ISNUMBER(SEARCH(Classifiers!$E$25,E43)),1,0)+IF(ISNUMBER(SEARCH(Classifiers!$E$26,E43)),1,0)+IF(ISNUMBER(SEARCH(Classifiers!$E$27,E43)),1,0)+IF(ISNUMBER(SEARCH(Classifiers!$E$28,E43)),1,0)+IF(ISNUMBER(SEARCH(Classifiers!$E$29,E43)),1,0)+IF(ISNUMBER(SEARCH(Classifiers!$E$30,E43)),1,0))&gt;0,1,0),0))</f>
        <v/>
      </c>
      <c r="H43" s="6">
        <f>IF(C43="","",IF(OR(LEFT(C43,1)=".",AND(F43=0,G43=0)),0,1))</f>
        <v/>
      </c>
      <c r="I43" s="6">
        <f>IF(H43&lt;&gt;1,"",IF(SUM(J43:W43)=0,"unclassified",INDEX(Classifiers!$A$5:$A$18,MATCH(1,J43:W43,0),1)))</f>
        <v/>
      </c>
      <c r="J43" s="12">
        <f>IF(H43&lt;&gt;1,0,IF((IF(Classifiers!$B$5="",0,IF(ISNUMBER(SEARCH(Classifiers!$B$5,E43)),1,0))+IF(Classifiers!$C$5="",0,IF(ISNUMBER(SEARCH(Classifiers!$C$5,E43)),1,0))+IF(Classifiers!$D$5="",0,IF(ISNUMBER(SEARCH(Classifiers!$D$5,E43)),1,0))+IF(Classifiers!$E$5="",0,IF(ISNUMBER(SEARCH(Classifiers!$E$5,E43)),1,0))+IF(Classifiers!$F$5="",0,IF(ISNUMBER(SEARCH(Classifiers!$F$5,E43)),1,0))+IF(Classifiers!$G$5="",0,IF(ISNUMBER(SEARCH(Classifiers!$G$5,E43)),1,0)))&gt;0,1,0))</f>
        <v/>
      </c>
      <c r="K43" s="12">
        <f>IF(H43&lt;&gt;1,0,IF((IF(Classifiers!$B$6="",0,IF(ISNUMBER(SEARCH(Classifiers!$B$6,E43)),1,0))+IF(Classifiers!$C$6="",0,IF(ISNUMBER(SEARCH(Classifiers!$C$6,E43)),1,0))+IF(Classifiers!$D$6="",0,IF(ISNUMBER(SEARCH(Classifiers!$D$6,E43)),1,0))+IF(Classifiers!$E$6="",0,IF(ISNUMBER(SEARCH(Classifiers!$E$6,E43)),1,0))+IF(Classifiers!$F$6="",0,IF(ISNUMBER(SEARCH(Classifiers!$F$6,E43)),1,0))+IF(Classifiers!$G$6="",0,IF(ISNUMBER(SEARCH(Classifiers!$G$6,E43)),1,0)))&gt;0,1,0))</f>
        <v/>
      </c>
      <c r="L43" s="12">
        <f>IF(H43&lt;&gt;1,0,IF((IF(Classifiers!$B$7="",0,IF(ISNUMBER(SEARCH(Classifiers!$B$7,E43)),1,0))+IF(Classifiers!$C$7="",0,IF(ISNUMBER(SEARCH(Classifiers!$C$7,E43)),1,0))+IF(Classifiers!$D$7="",0,IF(ISNUMBER(SEARCH(Classifiers!$D$7,E43)),1,0))+IF(Classifiers!$E$7="",0,IF(ISNUMBER(SEARCH(Classifiers!$E$7,E43)),1,0))+IF(Classifiers!$F$7="",0,IF(ISNUMBER(SEARCH(Classifiers!$F$7,E43)),1,0))+IF(Classifiers!$G$7="",0,IF(ISNUMBER(SEARCH(Classifiers!$G$7,E43)),1,0)))&gt;0,1,0))</f>
        <v/>
      </c>
      <c r="M43" s="12">
        <f>IF(H43&lt;&gt;1,0,IF((IF(Classifiers!$B$8="",0,IF(ISNUMBER(SEARCH(Classifiers!$B$8,E43)),1,0))+IF(Classifiers!$C$8="",0,IF(ISNUMBER(SEARCH(Classifiers!$C$8,E43)),1,0))+IF(Classifiers!$D$8="",0,IF(ISNUMBER(SEARCH(Classifiers!$D$8,E43)),1,0))+IF(Classifiers!$E$8="",0,IF(ISNUMBER(SEARCH(Classifiers!$E$8,E43)),1,0))+IF(Classifiers!$F$8="",0,IF(ISNUMBER(SEARCH(Classifiers!$F$8,E43)),1,0))+IF(Classifiers!$G$8="",0,IF(ISNUMBER(SEARCH(Classifiers!$G$8,E43)),1,0)))&gt;0,1,0))</f>
        <v/>
      </c>
      <c r="N43" s="12">
        <f>IF(H43&lt;&gt;1,0,IF((IF(Classifiers!$B$9="",0,IF(ISNUMBER(SEARCH(Classifiers!$B$9,E43)),1,0))+IF(Classifiers!$C$9="",0,IF(ISNUMBER(SEARCH(Classifiers!$C$9,E43)),1,0))+IF(Classifiers!$D$9="",0,IF(ISNUMBER(SEARCH(Classifiers!$D$9,E43)),1,0))+IF(Classifiers!$E$9="",0,IF(ISNUMBER(SEARCH(Classifiers!$E$9,E43)),1,0))+IF(Classifiers!$F$9="",0,IF(ISNUMBER(SEARCH(Classifiers!$F$9,E43)),1,0))+IF(Classifiers!$G$9="",0,IF(ISNUMBER(SEARCH(Classifiers!$G$9,E43)),1,0)))&gt;0,1,0))</f>
        <v/>
      </c>
      <c r="O43" s="12">
        <f>IF(H43&lt;&gt;1,0,IF((IF(Classifiers!$B$10="",0,IF(ISNUMBER(SEARCH(Classifiers!$B$10,E43)),1,0))+IF(Classifiers!$C$10="",0,IF(ISNUMBER(SEARCH(Classifiers!$C$10,E43)),1,0))+IF(Classifiers!$D$10="",0,IF(ISNUMBER(SEARCH(Classifiers!$D$10,E43)),1,0))+IF(Classifiers!$E$10="",0,IF(ISNUMBER(SEARCH(Classifiers!$E$10,E43)),1,0))+IF(Classifiers!$F$10="",0,IF(ISNUMBER(SEARCH(Classifiers!$F$10,E43)),1,0))+IF(Classifiers!$G$10="",0,IF(ISNUMBER(SEARCH(Classifiers!$G$10,E43)),1,0)))&gt;0,1,0))</f>
        <v/>
      </c>
      <c r="P43" s="12">
        <f>IF(H43&lt;&gt;1,0,IF((IF(Classifiers!$B$11="",0,IF(ISNUMBER(SEARCH(Classifiers!$B$11,E43)),1,0))+IF(Classifiers!$C$11="",0,IF(ISNUMBER(SEARCH(Classifiers!$C$11,E43)),1,0))+IF(Classifiers!$D$11="",0,IF(ISNUMBER(SEARCH(Classifiers!$D$11,E43)),1,0))+IF(Classifiers!$E$11="",0,IF(ISNUMBER(SEARCH(Classifiers!$E$11,E43)),1,0))+IF(Classifiers!$F$11="",0,IF(ISNUMBER(SEARCH(Classifiers!$F$11,E43)),1,0))+IF(Classifiers!$G$11="",0,IF(ISNUMBER(SEARCH(Classifiers!$G$11,E43)),1,0)))&gt;0,1,0))</f>
        <v/>
      </c>
      <c r="Q43" s="12">
        <f>IF(H43&lt;&gt;1,0,IF((IF(Classifiers!$B$12="",0,IF(ISNUMBER(SEARCH(Classifiers!$B$12,E43)),1,0))+IF(Classifiers!$C$12="",0,IF(ISNUMBER(SEARCH(Classifiers!$C$12,E43)),1,0))+IF(Classifiers!$D$12="",0,IF(ISNUMBER(SEARCH(Classifiers!$D$12,E43)),1,0))+IF(Classifiers!$E$12="",0,IF(ISNUMBER(SEARCH(Classifiers!$E$12,E43)),1,0))+IF(Classifiers!$F$12="",0,IF(ISNUMBER(SEARCH(Classifiers!$F$12,E43)),1,0))+IF(Classifiers!$G$12="",0,IF(ISNUMBER(SEARCH(Classifiers!$G$12,E43)),1,0)))&gt;0,1,0))</f>
        <v/>
      </c>
      <c r="R43" s="12">
        <f>IF(H43&lt;&gt;1,0,IF((IF(Classifiers!$B$13="",0,IF(ISNUMBER(SEARCH(Classifiers!$B$13,E43)),1,0))+IF(Classifiers!$C$13="",0,IF(ISNUMBER(SEARCH(Classifiers!$C$13,E43)),1,0))+IF(Classifiers!$D$13="",0,IF(ISNUMBER(SEARCH(Classifiers!$D$13,E43)),1,0))+IF(Classifiers!$E$13="",0,IF(ISNUMBER(SEARCH(Classifiers!$E$13,E43)),1,0))+IF(Classifiers!$F$13="",0,IF(ISNUMBER(SEARCH(Classifiers!$F$13,E43)),1,0))+IF(Classifiers!$G$13="",0,IF(ISNUMBER(SEARCH(Classifiers!$G$13,E43)),1,0)))&gt;0,1,0))</f>
        <v/>
      </c>
      <c r="S43" s="12">
        <f>IF(H43&lt;&gt;1,0,IF((IF(Classifiers!$B$14="",0,IF(ISNUMBER(SEARCH(Classifiers!$B$14,E43)),1,0))+IF(Classifiers!$C$14="",0,IF(ISNUMBER(SEARCH(Classifiers!$C$14,E43)),1,0))+IF(Classifiers!$D$14="",0,IF(ISNUMBER(SEARCH(Classifiers!$D$14,E43)),1,0))+IF(Classifiers!$E$14="",0,IF(ISNUMBER(SEARCH(Classifiers!$E$14,E43)),1,0))+IF(Classifiers!$F$14="",0,IF(ISNUMBER(SEARCH(Classifiers!$F$14,E43)),1,0))+IF(Classifiers!$G$14="",0,IF(ISNUMBER(SEARCH(Classifiers!$G$14,E43)),1,0)))&gt;0,1,0))</f>
        <v/>
      </c>
      <c r="T43" s="12">
        <f>IF(H43&lt;&gt;1,0,IF((IF(Classifiers!$B$15="",0,IF(ISNUMBER(SEARCH(Classifiers!$B$15,E43)),1,0))+IF(Classifiers!$C$15="",0,IF(ISNUMBER(SEARCH(Classifiers!$C$15,E43)),1,0))+IF(Classifiers!$D$15="",0,IF(ISNUMBER(SEARCH(Classifiers!$D$15,E43)),1,0))+IF(Classifiers!$E$15="",0,IF(ISNUMBER(SEARCH(Classifiers!$E$15,E43)),1,0))+IF(Classifiers!$F$15="",0,IF(ISNUMBER(SEARCH(Classifiers!$F$15,E43)),1,0))+IF(Classifiers!$G$15="",0,IF(ISNUMBER(SEARCH(Classifiers!$G$15,E43)),1,0)))&gt;0,1,0))</f>
        <v/>
      </c>
      <c r="U43" s="12">
        <f>IF(H43&lt;&gt;1,0,IF((IF(Classifiers!$B$16="",0,IF(ISNUMBER(SEARCH(Classifiers!$B$16,E43)),1,0))+IF(Classifiers!$C$16="",0,IF(ISNUMBER(SEARCH(Classifiers!$C$16,E43)),1,0))+IF(Classifiers!$D$16="",0,IF(ISNUMBER(SEARCH(Classifiers!$D$16,E43)),1,0))+IF(Classifiers!$E$16="",0,IF(ISNUMBER(SEARCH(Classifiers!$E$16,E43)),1,0))+IF(Classifiers!$F$16="",0,IF(ISNUMBER(SEARCH(Classifiers!$F$16,E43)),1,0))+IF(Classifiers!$G$16="",0,IF(ISNUMBER(SEARCH(Classifiers!$G$16,E43)),1,0)))&gt;0,1,0))</f>
        <v/>
      </c>
      <c r="V43" s="12">
        <f>IF(H43&lt;&gt;1,0,IF((IF(Classifiers!$B$17="",0,IF(ISNUMBER(SEARCH(Classifiers!$B$17,E43)),1,0))+IF(Classifiers!$C$17="",0,IF(ISNUMBER(SEARCH(Classifiers!$C$17,E43)),1,0))+IF(Classifiers!$D$17="",0,IF(ISNUMBER(SEARCH(Classifiers!$D$17,E43)),1,0))+IF(Classifiers!$E$17="",0,IF(ISNUMBER(SEARCH(Classifiers!$E$17,E43)),1,0))+IF(Classifiers!$F$17="",0,IF(ISNUMBER(SEARCH(Classifiers!$F$17,E43)),1,0))+IF(Classifiers!$G$17="",0,IF(ISNUMBER(SEARCH(Classifiers!$G$17,E43)),1,0)))&gt;0,1,0))</f>
        <v/>
      </c>
      <c r="W43" s="12">
        <f>IF(H43&lt;&gt;1,0,IF((IF(Classifiers!$B$18="",0,IF(ISNUMBER(SEARCH(Classifiers!$B$18,E43)),1,0))+IF(Classifiers!$C$18="",0,IF(ISNUMBER(SEARCH(Classifiers!$C$18,E43)),1,0))+IF(Classifiers!$D$18="",0,IF(ISNUMBER(SEARCH(Classifiers!$D$18,E43)),1,0))+IF(Classifiers!$E$18="",0,IF(ISNUMBER(SEARCH(Classifiers!$E$18,E43)),1,0))+IF(Classifiers!$F$18="",0,IF(ISNUMBER(SEARCH(Classifiers!$F$18,E43)),1,0))+IF(Classifiers!$G$18="",0,IF(ISNUMBER(SEARCH(Classifiers!$G$18,E43)),1,0)))&gt;0,1,0))</f>
        <v/>
      </c>
    </row>
    <row r="44">
      <c r="A44" s="8" t="n"/>
      <c r="B44" s="11" t="n"/>
      <c r="C44" s="6">
        <f>IF(A44="","",TRIM(RIGHT(SUBSTITUTE(A44,"/",REPT(" ",250)),250)))</f>
        <v/>
      </c>
      <c r="D44" s="6">
        <f>IF(C44="","",IF(ISNUMBER(SEARCH(".",C44)),LOWER("."&amp;TRIM(RIGHT(SUBSTITUTE(C44,".",REPT(" ",250)),250))),""))</f>
        <v/>
      </c>
      <c r="E44" s="6">
        <f>IF(C44="","",TRIM(SUBSTITUTE(SUBSTITUTE(SUBSTITUTE(SUBSTITUTE(SUBSTITUTE(SUBSTITUTE(SUBSTITUTE(SUBSTITUTE(SUBSTITUTE(SUBSTITUTE(SUBSTITUTE(SUBSTITUTE(SUBSTITUTE(SUBSTITUTE(SUBSTITUTE(SUBSTITUTE(SUBSTITUTE(SUBSTITUTE(SUBSTITUTE(SUBSTITUTE(LOWER(LEFT(C44,LEN(C44)-LEN(D44))),"_"," "),"-"," "),"."," "),","," "),"("," "),")"," "),"["," "),"]"," "),"&amp;"," "),"+"," "),"@"," "),"#"," "),"!"," "),"'"," "),"/"," "),":"," "),";"," "),"="," "),"~"," "),"%"," ")))</f>
        <v/>
      </c>
      <c r="F44" s="6">
        <f>IF(C44="","",IF(COUNTIF(Classifiers!$A$23:$A$40,D44)&gt;0,1,0))</f>
        <v/>
      </c>
      <c r="G44" s="6">
        <f>IF(C44="","",IF(COUNTIF(Classifiers!$C$23:$C$30,D44)&gt;0,IF((IF(ISNUMBER(SEARCH(Classifiers!$E$23,E44)),1,0)+IF(ISNUMBER(SEARCH(Classifiers!$E$24,E44)),1,0)+IF(ISNUMBER(SEARCH(Classifiers!$E$25,E44)),1,0)+IF(ISNUMBER(SEARCH(Classifiers!$E$26,E44)),1,0)+IF(ISNUMBER(SEARCH(Classifiers!$E$27,E44)),1,0)+IF(ISNUMBER(SEARCH(Classifiers!$E$28,E44)),1,0)+IF(ISNUMBER(SEARCH(Classifiers!$E$29,E44)),1,0)+IF(ISNUMBER(SEARCH(Classifiers!$E$30,E44)),1,0))&gt;0,1,0),0))</f>
        <v/>
      </c>
      <c r="H44" s="6">
        <f>IF(C44="","",IF(OR(LEFT(C44,1)=".",AND(F44=0,G44=0)),0,1))</f>
        <v/>
      </c>
      <c r="I44" s="6">
        <f>IF(H44&lt;&gt;1,"",IF(SUM(J44:W44)=0,"unclassified",INDEX(Classifiers!$A$5:$A$18,MATCH(1,J44:W44,0),1)))</f>
        <v/>
      </c>
      <c r="J44" s="12">
        <f>IF(H44&lt;&gt;1,0,IF((IF(Classifiers!$B$5="",0,IF(ISNUMBER(SEARCH(Classifiers!$B$5,E44)),1,0))+IF(Classifiers!$C$5="",0,IF(ISNUMBER(SEARCH(Classifiers!$C$5,E44)),1,0))+IF(Classifiers!$D$5="",0,IF(ISNUMBER(SEARCH(Classifiers!$D$5,E44)),1,0))+IF(Classifiers!$E$5="",0,IF(ISNUMBER(SEARCH(Classifiers!$E$5,E44)),1,0))+IF(Classifiers!$F$5="",0,IF(ISNUMBER(SEARCH(Classifiers!$F$5,E44)),1,0))+IF(Classifiers!$G$5="",0,IF(ISNUMBER(SEARCH(Classifiers!$G$5,E44)),1,0)))&gt;0,1,0))</f>
        <v/>
      </c>
      <c r="K44" s="12">
        <f>IF(H44&lt;&gt;1,0,IF((IF(Classifiers!$B$6="",0,IF(ISNUMBER(SEARCH(Classifiers!$B$6,E44)),1,0))+IF(Classifiers!$C$6="",0,IF(ISNUMBER(SEARCH(Classifiers!$C$6,E44)),1,0))+IF(Classifiers!$D$6="",0,IF(ISNUMBER(SEARCH(Classifiers!$D$6,E44)),1,0))+IF(Classifiers!$E$6="",0,IF(ISNUMBER(SEARCH(Classifiers!$E$6,E44)),1,0))+IF(Classifiers!$F$6="",0,IF(ISNUMBER(SEARCH(Classifiers!$F$6,E44)),1,0))+IF(Classifiers!$G$6="",0,IF(ISNUMBER(SEARCH(Classifiers!$G$6,E44)),1,0)))&gt;0,1,0))</f>
        <v/>
      </c>
      <c r="L44" s="12">
        <f>IF(H44&lt;&gt;1,0,IF((IF(Classifiers!$B$7="",0,IF(ISNUMBER(SEARCH(Classifiers!$B$7,E44)),1,0))+IF(Classifiers!$C$7="",0,IF(ISNUMBER(SEARCH(Classifiers!$C$7,E44)),1,0))+IF(Classifiers!$D$7="",0,IF(ISNUMBER(SEARCH(Classifiers!$D$7,E44)),1,0))+IF(Classifiers!$E$7="",0,IF(ISNUMBER(SEARCH(Classifiers!$E$7,E44)),1,0))+IF(Classifiers!$F$7="",0,IF(ISNUMBER(SEARCH(Classifiers!$F$7,E44)),1,0))+IF(Classifiers!$G$7="",0,IF(ISNUMBER(SEARCH(Classifiers!$G$7,E44)),1,0)))&gt;0,1,0))</f>
        <v/>
      </c>
      <c r="M44" s="12">
        <f>IF(H44&lt;&gt;1,0,IF((IF(Classifiers!$B$8="",0,IF(ISNUMBER(SEARCH(Classifiers!$B$8,E44)),1,0))+IF(Classifiers!$C$8="",0,IF(ISNUMBER(SEARCH(Classifiers!$C$8,E44)),1,0))+IF(Classifiers!$D$8="",0,IF(ISNUMBER(SEARCH(Classifiers!$D$8,E44)),1,0))+IF(Classifiers!$E$8="",0,IF(ISNUMBER(SEARCH(Classifiers!$E$8,E44)),1,0))+IF(Classifiers!$F$8="",0,IF(ISNUMBER(SEARCH(Classifiers!$F$8,E44)),1,0))+IF(Classifiers!$G$8="",0,IF(ISNUMBER(SEARCH(Classifiers!$G$8,E44)),1,0)))&gt;0,1,0))</f>
        <v/>
      </c>
      <c r="N44" s="12">
        <f>IF(H44&lt;&gt;1,0,IF((IF(Classifiers!$B$9="",0,IF(ISNUMBER(SEARCH(Classifiers!$B$9,E44)),1,0))+IF(Classifiers!$C$9="",0,IF(ISNUMBER(SEARCH(Classifiers!$C$9,E44)),1,0))+IF(Classifiers!$D$9="",0,IF(ISNUMBER(SEARCH(Classifiers!$D$9,E44)),1,0))+IF(Classifiers!$E$9="",0,IF(ISNUMBER(SEARCH(Classifiers!$E$9,E44)),1,0))+IF(Classifiers!$F$9="",0,IF(ISNUMBER(SEARCH(Classifiers!$F$9,E44)),1,0))+IF(Classifiers!$G$9="",0,IF(ISNUMBER(SEARCH(Classifiers!$G$9,E44)),1,0)))&gt;0,1,0))</f>
        <v/>
      </c>
      <c r="O44" s="12">
        <f>IF(H44&lt;&gt;1,0,IF((IF(Classifiers!$B$10="",0,IF(ISNUMBER(SEARCH(Classifiers!$B$10,E44)),1,0))+IF(Classifiers!$C$10="",0,IF(ISNUMBER(SEARCH(Classifiers!$C$10,E44)),1,0))+IF(Classifiers!$D$10="",0,IF(ISNUMBER(SEARCH(Classifiers!$D$10,E44)),1,0))+IF(Classifiers!$E$10="",0,IF(ISNUMBER(SEARCH(Classifiers!$E$10,E44)),1,0))+IF(Classifiers!$F$10="",0,IF(ISNUMBER(SEARCH(Classifiers!$F$10,E44)),1,0))+IF(Classifiers!$G$10="",0,IF(ISNUMBER(SEARCH(Classifiers!$G$10,E44)),1,0)))&gt;0,1,0))</f>
        <v/>
      </c>
      <c r="P44" s="12">
        <f>IF(H44&lt;&gt;1,0,IF((IF(Classifiers!$B$11="",0,IF(ISNUMBER(SEARCH(Classifiers!$B$11,E44)),1,0))+IF(Classifiers!$C$11="",0,IF(ISNUMBER(SEARCH(Classifiers!$C$11,E44)),1,0))+IF(Classifiers!$D$11="",0,IF(ISNUMBER(SEARCH(Classifiers!$D$11,E44)),1,0))+IF(Classifiers!$E$11="",0,IF(ISNUMBER(SEARCH(Classifiers!$E$11,E44)),1,0))+IF(Classifiers!$F$11="",0,IF(ISNUMBER(SEARCH(Classifiers!$F$11,E44)),1,0))+IF(Classifiers!$G$11="",0,IF(ISNUMBER(SEARCH(Classifiers!$G$11,E44)),1,0)))&gt;0,1,0))</f>
        <v/>
      </c>
      <c r="Q44" s="12">
        <f>IF(H44&lt;&gt;1,0,IF((IF(Classifiers!$B$12="",0,IF(ISNUMBER(SEARCH(Classifiers!$B$12,E44)),1,0))+IF(Classifiers!$C$12="",0,IF(ISNUMBER(SEARCH(Classifiers!$C$12,E44)),1,0))+IF(Classifiers!$D$12="",0,IF(ISNUMBER(SEARCH(Classifiers!$D$12,E44)),1,0))+IF(Classifiers!$E$12="",0,IF(ISNUMBER(SEARCH(Classifiers!$E$12,E44)),1,0))+IF(Classifiers!$F$12="",0,IF(ISNUMBER(SEARCH(Classifiers!$F$12,E44)),1,0))+IF(Classifiers!$G$12="",0,IF(ISNUMBER(SEARCH(Classifiers!$G$12,E44)),1,0)))&gt;0,1,0))</f>
        <v/>
      </c>
      <c r="R44" s="12">
        <f>IF(H44&lt;&gt;1,0,IF((IF(Classifiers!$B$13="",0,IF(ISNUMBER(SEARCH(Classifiers!$B$13,E44)),1,0))+IF(Classifiers!$C$13="",0,IF(ISNUMBER(SEARCH(Classifiers!$C$13,E44)),1,0))+IF(Classifiers!$D$13="",0,IF(ISNUMBER(SEARCH(Classifiers!$D$13,E44)),1,0))+IF(Classifiers!$E$13="",0,IF(ISNUMBER(SEARCH(Classifiers!$E$13,E44)),1,0))+IF(Classifiers!$F$13="",0,IF(ISNUMBER(SEARCH(Classifiers!$F$13,E44)),1,0))+IF(Classifiers!$G$13="",0,IF(ISNUMBER(SEARCH(Classifiers!$G$13,E44)),1,0)))&gt;0,1,0))</f>
        <v/>
      </c>
      <c r="S44" s="12">
        <f>IF(H44&lt;&gt;1,0,IF((IF(Classifiers!$B$14="",0,IF(ISNUMBER(SEARCH(Classifiers!$B$14,E44)),1,0))+IF(Classifiers!$C$14="",0,IF(ISNUMBER(SEARCH(Classifiers!$C$14,E44)),1,0))+IF(Classifiers!$D$14="",0,IF(ISNUMBER(SEARCH(Classifiers!$D$14,E44)),1,0))+IF(Classifiers!$E$14="",0,IF(ISNUMBER(SEARCH(Classifiers!$E$14,E44)),1,0))+IF(Classifiers!$F$14="",0,IF(ISNUMBER(SEARCH(Classifiers!$F$14,E44)),1,0))+IF(Classifiers!$G$14="",0,IF(ISNUMBER(SEARCH(Classifiers!$G$14,E44)),1,0)))&gt;0,1,0))</f>
        <v/>
      </c>
      <c r="T44" s="12">
        <f>IF(H44&lt;&gt;1,0,IF((IF(Classifiers!$B$15="",0,IF(ISNUMBER(SEARCH(Classifiers!$B$15,E44)),1,0))+IF(Classifiers!$C$15="",0,IF(ISNUMBER(SEARCH(Classifiers!$C$15,E44)),1,0))+IF(Classifiers!$D$15="",0,IF(ISNUMBER(SEARCH(Classifiers!$D$15,E44)),1,0))+IF(Classifiers!$E$15="",0,IF(ISNUMBER(SEARCH(Classifiers!$E$15,E44)),1,0))+IF(Classifiers!$F$15="",0,IF(ISNUMBER(SEARCH(Classifiers!$F$15,E44)),1,0))+IF(Classifiers!$G$15="",0,IF(ISNUMBER(SEARCH(Classifiers!$G$15,E44)),1,0)))&gt;0,1,0))</f>
        <v/>
      </c>
      <c r="U44" s="12">
        <f>IF(H44&lt;&gt;1,0,IF((IF(Classifiers!$B$16="",0,IF(ISNUMBER(SEARCH(Classifiers!$B$16,E44)),1,0))+IF(Classifiers!$C$16="",0,IF(ISNUMBER(SEARCH(Classifiers!$C$16,E44)),1,0))+IF(Classifiers!$D$16="",0,IF(ISNUMBER(SEARCH(Classifiers!$D$16,E44)),1,0))+IF(Classifiers!$E$16="",0,IF(ISNUMBER(SEARCH(Classifiers!$E$16,E44)),1,0))+IF(Classifiers!$F$16="",0,IF(ISNUMBER(SEARCH(Classifiers!$F$16,E44)),1,0))+IF(Classifiers!$G$16="",0,IF(ISNUMBER(SEARCH(Classifiers!$G$16,E44)),1,0)))&gt;0,1,0))</f>
        <v/>
      </c>
      <c r="V44" s="12">
        <f>IF(H44&lt;&gt;1,0,IF((IF(Classifiers!$B$17="",0,IF(ISNUMBER(SEARCH(Classifiers!$B$17,E44)),1,0))+IF(Classifiers!$C$17="",0,IF(ISNUMBER(SEARCH(Classifiers!$C$17,E44)),1,0))+IF(Classifiers!$D$17="",0,IF(ISNUMBER(SEARCH(Classifiers!$D$17,E44)),1,0))+IF(Classifiers!$E$17="",0,IF(ISNUMBER(SEARCH(Classifiers!$E$17,E44)),1,0))+IF(Classifiers!$F$17="",0,IF(ISNUMBER(SEARCH(Classifiers!$F$17,E44)),1,0))+IF(Classifiers!$G$17="",0,IF(ISNUMBER(SEARCH(Classifiers!$G$17,E44)),1,0)))&gt;0,1,0))</f>
        <v/>
      </c>
      <c r="W44" s="12">
        <f>IF(H44&lt;&gt;1,0,IF((IF(Classifiers!$B$18="",0,IF(ISNUMBER(SEARCH(Classifiers!$B$18,E44)),1,0))+IF(Classifiers!$C$18="",0,IF(ISNUMBER(SEARCH(Classifiers!$C$18,E44)),1,0))+IF(Classifiers!$D$18="",0,IF(ISNUMBER(SEARCH(Classifiers!$D$18,E44)),1,0))+IF(Classifiers!$E$18="",0,IF(ISNUMBER(SEARCH(Classifiers!$E$18,E44)),1,0))+IF(Classifiers!$F$18="",0,IF(ISNUMBER(SEARCH(Classifiers!$F$18,E44)),1,0))+IF(Classifiers!$G$18="",0,IF(ISNUMBER(SEARCH(Classifiers!$G$18,E44)),1,0)))&gt;0,1,0))</f>
        <v/>
      </c>
    </row>
    <row r="45">
      <c r="A45" s="8" t="n"/>
      <c r="B45" s="11" t="n"/>
      <c r="C45" s="6">
        <f>IF(A45="","",TRIM(RIGHT(SUBSTITUTE(A45,"/",REPT(" ",250)),250)))</f>
        <v/>
      </c>
      <c r="D45" s="6">
        <f>IF(C45="","",IF(ISNUMBER(SEARCH(".",C45)),LOWER("."&amp;TRIM(RIGHT(SUBSTITUTE(C45,".",REPT(" ",250)),250))),""))</f>
        <v/>
      </c>
      <c r="E45" s="6">
        <f>IF(C45="","",TRIM(SUBSTITUTE(SUBSTITUTE(SUBSTITUTE(SUBSTITUTE(SUBSTITUTE(SUBSTITUTE(SUBSTITUTE(SUBSTITUTE(SUBSTITUTE(SUBSTITUTE(SUBSTITUTE(SUBSTITUTE(SUBSTITUTE(SUBSTITUTE(SUBSTITUTE(SUBSTITUTE(SUBSTITUTE(SUBSTITUTE(SUBSTITUTE(SUBSTITUTE(LOWER(LEFT(C45,LEN(C45)-LEN(D45))),"_"," "),"-"," "),"."," "),","," "),"("," "),")"," "),"["," "),"]"," "),"&amp;"," "),"+"," "),"@"," "),"#"," "),"!"," "),"'"," "),"/"," "),":"," "),";"," "),"="," "),"~"," "),"%"," ")))</f>
        <v/>
      </c>
      <c r="F45" s="6">
        <f>IF(C45="","",IF(COUNTIF(Classifiers!$A$23:$A$40,D45)&gt;0,1,0))</f>
        <v/>
      </c>
      <c r="G45" s="6">
        <f>IF(C45="","",IF(COUNTIF(Classifiers!$C$23:$C$30,D45)&gt;0,IF((IF(ISNUMBER(SEARCH(Classifiers!$E$23,E45)),1,0)+IF(ISNUMBER(SEARCH(Classifiers!$E$24,E45)),1,0)+IF(ISNUMBER(SEARCH(Classifiers!$E$25,E45)),1,0)+IF(ISNUMBER(SEARCH(Classifiers!$E$26,E45)),1,0)+IF(ISNUMBER(SEARCH(Classifiers!$E$27,E45)),1,0)+IF(ISNUMBER(SEARCH(Classifiers!$E$28,E45)),1,0)+IF(ISNUMBER(SEARCH(Classifiers!$E$29,E45)),1,0)+IF(ISNUMBER(SEARCH(Classifiers!$E$30,E45)),1,0))&gt;0,1,0),0))</f>
        <v/>
      </c>
      <c r="H45" s="6">
        <f>IF(C45="","",IF(OR(LEFT(C45,1)=".",AND(F45=0,G45=0)),0,1))</f>
        <v/>
      </c>
      <c r="I45" s="6">
        <f>IF(H45&lt;&gt;1,"",IF(SUM(J45:W45)=0,"unclassified",INDEX(Classifiers!$A$5:$A$18,MATCH(1,J45:W45,0),1)))</f>
        <v/>
      </c>
      <c r="J45" s="12">
        <f>IF(H45&lt;&gt;1,0,IF((IF(Classifiers!$B$5="",0,IF(ISNUMBER(SEARCH(Classifiers!$B$5,E45)),1,0))+IF(Classifiers!$C$5="",0,IF(ISNUMBER(SEARCH(Classifiers!$C$5,E45)),1,0))+IF(Classifiers!$D$5="",0,IF(ISNUMBER(SEARCH(Classifiers!$D$5,E45)),1,0))+IF(Classifiers!$E$5="",0,IF(ISNUMBER(SEARCH(Classifiers!$E$5,E45)),1,0))+IF(Classifiers!$F$5="",0,IF(ISNUMBER(SEARCH(Classifiers!$F$5,E45)),1,0))+IF(Classifiers!$G$5="",0,IF(ISNUMBER(SEARCH(Classifiers!$G$5,E45)),1,0)))&gt;0,1,0))</f>
        <v/>
      </c>
      <c r="K45" s="12">
        <f>IF(H45&lt;&gt;1,0,IF((IF(Classifiers!$B$6="",0,IF(ISNUMBER(SEARCH(Classifiers!$B$6,E45)),1,0))+IF(Classifiers!$C$6="",0,IF(ISNUMBER(SEARCH(Classifiers!$C$6,E45)),1,0))+IF(Classifiers!$D$6="",0,IF(ISNUMBER(SEARCH(Classifiers!$D$6,E45)),1,0))+IF(Classifiers!$E$6="",0,IF(ISNUMBER(SEARCH(Classifiers!$E$6,E45)),1,0))+IF(Classifiers!$F$6="",0,IF(ISNUMBER(SEARCH(Classifiers!$F$6,E45)),1,0))+IF(Classifiers!$G$6="",0,IF(ISNUMBER(SEARCH(Classifiers!$G$6,E45)),1,0)))&gt;0,1,0))</f>
        <v/>
      </c>
      <c r="L45" s="12">
        <f>IF(H45&lt;&gt;1,0,IF((IF(Classifiers!$B$7="",0,IF(ISNUMBER(SEARCH(Classifiers!$B$7,E45)),1,0))+IF(Classifiers!$C$7="",0,IF(ISNUMBER(SEARCH(Classifiers!$C$7,E45)),1,0))+IF(Classifiers!$D$7="",0,IF(ISNUMBER(SEARCH(Classifiers!$D$7,E45)),1,0))+IF(Classifiers!$E$7="",0,IF(ISNUMBER(SEARCH(Classifiers!$E$7,E45)),1,0))+IF(Classifiers!$F$7="",0,IF(ISNUMBER(SEARCH(Classifiers!$F$7,E45)),1,0))+IF(Classifiers!$G$7="",0,IF(ISNUMBER(SEARCH(Classifiers!$G$7,E45)),1,0)))&gt;0,1,0))</f>
        <v/>
      </c>
      <c r="M45" s="12">
        <f>IF(H45&lt;&gt;1,0,IF((IF(Classifiers!$B$8="",0,IF(ISNUMBER(SEARCH(Classifiers!$B$8,E45)),1,0))+IF(Classifiers!$C$8="",0,IF(ISNUMBER(SEARCH(Classifiers!$C$8,E45)),1,0))+IF(Classifiers!$D$8="",0,IF(ISNUMBER(SEARCH(Classifiers!$D$8,E45)),1,0))+IF(Classifiers!$E$8="",0,IF(ISNUMBER(SEARCH(Classifiers!$E$8,E45)),1,0))+IF(Classifiers!$F$8="",0,IF(ISNUMBER(SEARCH(Classifiers!$F$8,E45)),1,0))+IF(Classifiers!$G$8="",0,IF(ISNUMBER(SEARCH(Classifiers!$G$8,E45)),1,0)))&gt;0,1,0))</f>
        <v/>
      </c>
      <c r="N45" s="12">
        <f>IF(H45&lt;&gt;1,0,IF((IF(Classifiers!$B$9="",0,IF(ISNUMBER(SEARCH(Classifiers!$B$9,E45)),1,0))+IF(Classifiers!$C$9="",0,IF(ISNUMBER(SEARCH(Classifiers!$C$9,E45)),1,0))+IF(Classifiers!$D$9="",0,IF(ISNUMBER(SEARCH(Classifiers!$D$9,E45)),1,0))+IF(Classifiers!$E$9="",0,IF(ISNUMBER(SEARCH(Classifiers!$E$9,E45)),1,0))+IF(Classifiers!$F$9="",0,IF(ISNUMBER(SEARCH(Classifiers!$F$9,E45)),1,0))+IF(Classifiers!$G$9="",0,IF(ISNUMBER(SEARCH(Classifiers!$G$9,E45)),1,0)))&gt;0,1,0))</f>
        <v/>
      </c>
      <c r="O45" s="12">
        <f>IF(H45&lt;&gt;1,0,IF((IF(Classifiers!$B$10="",0,IF(ISNUMBER(SEARCH(Classifiers!$B$10,E45)),1,0))+IF(Classifiers!$C$10="",0,IF(ISNUMBER(SEARCH(Classifiers!$C$10,E45)),1,0))+IF(Classifiers!$D$10="",0,IF(ISNUMBER(SEARCH(Classifiers!$D$10,E45)),1,0))+IF(Classifiers!$E$10="",0,IF(ISNUMBER(SEARCH(Classifiers!$E$10,E45)),1,0))+IF(Classifiers!$F$10="",0,IF(ISNUMBER(SEARCH(Classifiers!$F$10,E45)),1,0))+IF(Classifiers!$G$10="",0,IF(ISNUMBER(SEARCH(Classifiers!$G$10,E45)),1,0)))&gt;0,1,0))</f>
        <v/>
      </c>
      <c r="P45" s="12">
        <f>IF(H45&lt;&gt;1,0,IF((IF(Classifiers!$B$11="",0,IF(ISNUMBER(SEARCH(Classifiers!$B$11,E45)),1,0))+IF(Classifiers!$C$11="",0,IF(ISNUMBER(SEARCH(Classifiers!$C$11,E45)),1,0))+IF(Classifiers!$D$11="",0,IF(ISNUMBER(SEARCH(Classifiers!$D$11,E45)),1,0))+IF(Classifiers!$E$11="",0,IF(ISNUMBER(SEARCH(Classifiers!$E$11,E45)),1,0))+IF(Classifiers!$F$11="",0,IF(ISNUMBER(SEARCH(Classifiers!$F$11,E45)),1,0))+IF(Classifiers!$G$11="",0,IF(ISNUMBER(SEARCH(Classifiers!$G$11,E45)),1,0)))&gt;0,1,0))</f>
        <v/>
      </c>
      <c r="Q45" s="12">
        <f>IF(H45&lt;&gt;1,0,IF((IF(Classifiers!$B$12="",0,IF(ISNUMBER(SEARCH(Classifiers!$B$12,E45)),1,0))+IF(Classifiers!$C$12="",0,IF(ISNUMBER(SEARCH(Classifiers!$C$12,E45)),1,0))+IF(Classifiers!$D$12="",0,IF(ISNUMBER(SEARCH(Classifiers!$D$12,E45)),1,0))+IF(Classifiers!$E$12="",0,IF(ISNUMBER(SEARCH(Classifiers!$E$12,E45)),1,0))+IF(Classifiers!$F$12="",0,IF(ISNUMBER(SEARCH(Classifiers!$F$12,E45)),1,0))+IF(Classifiers!$G$12="",0,IF(ISNUMBER(SEARCH(Classifiers!$G$12,E45)),1,0)))&gt;0,1,0))</f>
        <v/>
      </c>
      <c r="R45" s="12">
        <f>IF(H45&lt;&gt;1,0,IF((IF(Classifiers!$B$13="",0,IF(ISNUMBER(SEARCH(Classifiers!$B$13,E45)),1,0))+IF(Classifiers!$C$13="",0,IF(ISNUMBER(SEARCH(Classifiers!$C$13,E45)),1,0))+IF(Classifiers!$D$13="",0,IF(ISNUMBER(SEARCH(Classifiers!$D$13,E45)),1,0))+IF(Classifiers!$E$13="",0,IF(ISNUMBER(SEARCH(Classifiers!$E$13,E45)),1,0))+IF(Classifiers!$F$13="",0,IF(ISNUMBER(SEARCH(Classifiers!$F$13,E45)),1,0))+IF(Classifiers!$G$13="",0,IF(ISNUMBER(SEARCH(Classifiers!$G$13,E45)),1,0)))&gt;0,1,0))</f>
        <v/>
      </c>
      <c r="S45" s="12">
        <f>IF(H45&lt;&gt;1,0,IF((IF(Classifiers!$B$14="",0,IF(ISNUMBER(SEARCH(Classifiers!$B$14,E45)),1,0))+IF(Classifiers!$C$14="",0,IF(ISNUMBER(SEARCH(Classifiers!$C$14,E45)),1,0))+IF(Classifiers!$D$14="",0,IF(ISNUMBER(SEARCH(Classifiers!$D$14,E45)),1,0))+IF(Classifiers!$E$14="",0,IF(ISNUMBER(SEARCH(Classifiers!$E$14,E45)),1,0))+IF(Classifiers!$F$14="",0,IF(ISNUMBER(SEARCH(Classifiers!$F$14,E45)),1,0))+IF(Classifiers!$G$14="",0,IF(ISNUMBER(SEARCH(Classifiers!$G$14,E45)),1,0)))&gt;0,1,0))</f>
        <v/>
      </c>
      <c r="T45" s="12">
        <f>IF(H45&lt;&gt;1,0,IF((IF(Classifiers!$B$15="",0,IF(ISNUMBER(SEARCH(Classifiers!$B$15,E45)),1,0))+IF(Classifiers!$C$15="",0,IF(ISNUMBER(SEARCH(Classifiers!$C$15,E45)),1,0))+IF(Classifiers!$D$15="",0,IF(ISNUMBER(SEARCH(Classifiers!$D$15,E45)),1,0))+IF(Classifiers!$E$15="",0,IF(ISNUMBER(SEARCH(Classifiers!$E$15,E45)),1,0))+IF(Classifiers!$F$15="",0,IF(ISNUMBER(SEARCH(Classifiers!$F$15,E45)),1,0))+IF(Classifiers!$G$15="",0,IF(ISNUMBER(SEARCH(Classifiers!$G$15,E45)),1,0)))&gt;0,1,0))</f>
        <v/>
      </c>
      <c r="U45" s="12">
        <f>IF(H45&lt;&gt;1,0,IF((IF(Classifiers!$B$16="",0,IF(ISNUMBER(SEARCH(Classifiers!$B$16,E45)),1,0))+IF(Classifiers!$C$16="",0,IF(ISNUMBER(SEARCH(Classifiers!$C$16,E45)),1,0))+IF(Classifiers!$D$16="",0,IF(ISNUMBER(SEARCH(Classifiers!$D$16,E45)),1,0))+IF(Classifiers!$E$16="",0,IF(ISNUMBER(SEARCH(Classifiers!$E$16,E45)),1,0))+IF(Classifiers!$F$16="",0,IF(ISNUMBER(SEARCH(Classifiers!$F$16,E45)),1,0))+IF(Classifiers!$G$16="",0,IF(ISNUMBER(SEARCH(Classifiers!$G$16,E45)),1,0)))&gt;0,1,0))</f>
        <v/>
      </c>
      <c r="V45" s="12">
        <f>IF(H45&lt;&gt;1,0,IF((IF(Classifiers!$B$17="",0,IF(ISNUMBER(SEARCH(Classifiers!$B$17,E45)),1,0))+IF(Classifiers!$C$17="",0,IF(ISNUMBER(SEARCH(Classifiers!$C$17,E45)),1,0))+IF(Classifiers!$D$17="",0,IF(ISNUMBER(SEARCH(Classifiers!$D$17,E45)),1,0))+IF(Classifiers!$E$17="",0,IF(ISNUMBER(SEARCH(Classifiers!$E$17,E45)),1,0))+IF(Classifiers!$F$17="",0,IF(ISNUMBER(SEARCH(Classifiers!$F$17,E45)),1,0))+IF(Classifiers!$G$17="",0,IF(ISNUMBER(SEARCH(Classifiers!$G$17,E45)),1,0)))&gt;0,1,0))</f>
        <v/>
      </c>
      <c r="W45" s="12">
        <f>IF(H45&lt;&gt;1,0,IF((IF(Classifiers!$B$18="",0,IF(ISNUMBER(SEARCH(Classifiers!$B$18,E45)),1,0))+IF(Classifiers!$C$18="",0,IF(ISNUMBER(SEARCH(Classifiers!$C$18,E45)),1,0))+IF(Classifiers!$D$18="",0,IF(ISNUMBER(SEARCH(Classifiers!$D$18,E45)),1,0))+IF(Classifiers!$E$18="",0,IF(ISNUMBER(SEARCH(Classifiers!$E$18,E45)),1,0))+IF(Classifiers!$F$18="",0,IF(ISNUMBER(SEARCH(Classifiers!$F$18,E45)),1,0))+IF(Classifiers!$G$18="",0,IF(ISNUMBER(SEARCH(Classifiers!$G$18,E45)),1,0)))&gt;0,1,0))</f>
        <v/>
      </c>
    </row>
    <row r="46">
      <c r="A46" s="8" t="n"/>
      <c r="B46" s="11" t="n"/>
      <c r="C46" s="6">
        <f>IF(A46="","",TRIM(RIGHT(SUBSTITUTE(A46,"/",REPT(" ",250)),250)))</f>
        <v/>
      </c>
      <c r="D46" s="6">
        <f>IF(C46="","",IF(ISNUMBER(SEARCH(".",C46)),LOWER("."&amp;TRIM(RIGHT(SUBSTITUTE(C46,".",REPT(" ",250)),250))),""))</f>
        <v/>
      </c>
      <c r="E46" s="6">
        <f>IF(C46="","",TRIM(SUBSTITUTE(SUBSTITUTE(SUBSTITUTE(SUBSTITUTE(SUBSTITUTE(SUBSTITUTE(SUBSTITUTE(SUBSTITUTE(SUBSTITUTE(SUBSTITUTE(SUBSTITUTE(SUBSTITUTE(SUBSTITUTE(SUBSTITUTE(SUBSTITUTE(SUBSTITUTE(SUBSTITUTE(SUBSTITUTE(SUBSTITUTE(SUBSTITUTE(LOWER(LEFT(C46,LEN(C46)-LEN(D46))),"_"," "),"-"," "),"."," "),","," "),"("," "),")"," "),"["," "),"]"," "),"&amp;"," "),"+"," "),"@"," "),"#"," "),"!"," "),"'"," "),"/"," "),":"," "),";"," "),"="," "),"~"," "),"%"," ")))</f>
        <v/>
      </c>
      <c r="F46" s="6">
        <f>IF(C46="","",IF(COUNTIF(Classifiers!$A$23:$A$40,D46)&gt;0,1,0))</f>
        <v/>
      </c>
      <c r="G46" s="6">
        <f>IF(C46="","",IF(COUNTIF(Classifiers!$C$23:$C$30,D46)&gt;0,IF((IF(ISNUMBER(SEARCH(Classifiers!$E$23,E46)),1,0)+IF(ISNUMBER(SEARCH(Classifiers!$E$24,E46)),1,0)+IF(ISNUMBER(SEARCH(Classifiers!$E$25,E46)),1,0)+IF(ISNUMBER(SEARCH(Classifiers!$E$26,E46)),1,0)+IF(ISNUMBER(SEARCH(Classifiers!$E$27,E46)),1,0)+IF(ISNUMBER(SEARCH(Classifiers!$E$28,E46)),1,0)+IF(ISNUMBER(SEARCH(Classifiers!$E$29,E46)),1,0)+IF(ISNUMBER(SEARCH(Classifiers!$E$30,E46)),1,0))&gt;0,1,0),0))</f>
        <v/>
      </c>
      <c r="H46" s="6">
        <f>IF(C46="","",IF(OR(LEFT(C46,1)=".",AND(F46=0,G46=0)),0,1))</f>
        <v/>
      </c>
      <c r="I46" s="6">
        <f>IF(H46&lt;&gt;1,"",IF(SUM(J46:W46)=0,"unclassified",INDEX(Classifiers!$A$5:$A$18,MATCH(1,J46:W46,0),1)))</f>
        <v/>
      </c>
      <c r="J46" s="12">
        <f>IF(H46&lt;&gt;1,0,IF((IF(Classifiers!$B$5="",0,IF(ISNUMBER(SEARCH(Classifiers!$B$5,E46)),1,0))+IF(Classifiers!$C$5="",0,IF(ISNUMBER(SEARCH(Classifiers!$C$5,E46)),1,0))+IF(Classifiers!$D$5="",0,IF(ISNUMBER(SEARCH(Classifiers!$D$5,E46)),1,0))+IF(Classifiers!$E$5="",0,IF(ISNUMBER(SEARCH(Classifiers!$E$5,E46)),1,0))+IF(Classifiers!$F$5="",0,IF(ISNUMBER(SEARCH(Classifiers!$F$5,E46)),1,0))+IF(Classifiers!$G$5="",0,IF(ISNUMBER(SEARCH(Classifiers!$G$5,E46)),1,0)))&gt;0,1,0))</f>
        <v/>
      </c>
      <c r="K46" s="12">
        <f>IF(H46&lt;&gt;1,0,IF((IF(Classifiers!$B$6="",0,IF(ISNUMBER(SEARCH(Classifiers!$B$6,E46)),1,0))+IF(Classifiers!$C$6="",0,IF(ISNUMBER(SEARCH(Classifiers!$C$6,E46)),1,0))+IF(Classifiers!$D$6="",0,IF(ISNUMBER(SEARCH(Classifiers!$D$6,E46)),1,0))+IF(Classifiers!$E$6="",0,IF(ISNUMBER(SEARCH(Classifiers!$E$6,E46)),1,0))+IF(Classifiers!$F$6="",0,IF(ISNUMBER(SEARCH(Classifiers!$F$6,E46)),1,0))+IF(Classifiers!$G$6="",0,IF(ISNUMBER(SEARCH(Classifiers!$G$6,E46)),1,0)))&gt;0,1,0))</f>
        <v/>
      </c>
      <c r="L46" s="12">
        <f>IF(H46&lt;&gt;1,0,IF((IF(Classifiers!$B$7="",0,IF(ISNUMBER(SEARCH(Classifiers!$B$7,E46)),1,0))+IF(Classifiers!$C$7="",0,IF(ISNUMBER(SEARCH(Classifiers!$C$7,E46)),1,0))+IF(Classifiers!$D$7="",0,IF(ISNUMBER(SEARCH(Classifiers!$D$7,E46)),1,0))+IF(Classifiers!$E$7="",0,IF(ISNUMBER(SEARCH(Classifiers!$E$7,E46)),1,0))+IF(Classifiers!$F$7="",0,IF(ISNUMBER(SEARCH(Classifiers!$F$7,E46)),1,0))+IF(Classifiers!$G$7="",0,IF(ISNUMBER(SEARCH(Classifiers!$G$7,E46)),1,0)))&gt;0,1,0))</f>
        <v/>
      </c>
      <c r="M46" s="12">
        <f>IF(H46&lt;&gt;1,0,IF((IF(Classifiers!$B$8="",0,IF(ISNUMBER(SEARCH(Classifiers!$B$8,E46)),1,0))+IF(Classifiers!$C$8="",0,IF(ISNUMBER(SEARCH(Classifiers!$C$8,E46)),1,0))+IF(Classifiers!$D$8="",0,IF(ISNUMBER(SEARCH(Classifiers!$D$8,E46)),1,0))+IF(Classifiers!$E$8="",0,IF(ISNUMBER(SEARCH(Classifiers!$E$8,E46)),1,0))+IF(Classifiers!$F$8="",0,IF(ISNUMBER(SEARCH(Classifiers!$F$8,E46)),1,0))+IF(Classifiers!$G$8="",0,IF(ISNUMBER(SEARCH(Classifiers!$G$8,E46)),1,0)))&gt;0,1,0))</f>
        <v/>
      </c>
      <c r="N46" s="12">
        <f>IF(H46&lt;&gt;1,0,IF((IF(Classifiers!$B$9="",0,IF(ISNUMBER(SEARCH(Classifiers!$B$9,E46)),1,0))+IF(Classifiers!$C$9="",0,IF(ISNUMBER(SEARCH(Classifiers!$C$9,E46)),1,0))+IF(Classifiers!$D$9="",0,IF(ISNUMBER(SEARCH(Classifiers!$D$9,E46)),1,0))+IF(Classifiers!$E$9="",0,IF(ISNUMBER(SEARCH(Classifiers!$E$9,E46)),1,0))+IF(Classifiers!$F$9="",0,IF(ISNUMBER(SEARCH(Classifiers!$F$9,E46)),1,0))+IF(Classifiers!$G$9="",0,IF(ISNUMBER(SEARCH(Classifiers!$G$9,E46)),1,0)))&gt;0,1,0))</f>
        <v/>
      </c>
      <c r="O46" s="12">
        <f>IF(H46&lt;&gt;1,0,IF((IF(Classifiers!$B$10="",0,IF(ISNUMBER(SEARCH(Classifiers!$B$10,E46)),1,0))+IF(Classifiers!$C$10="",0,IF(ISNUMBER(SEARCH(Classifiers!$C$10,E46)),1,0))+IF(Classifiers!$D$10="",0,IF(ISNUMBER(SEARCH(Classifiers!$D$10,E46)),1,0))+IF(Classifiers!$E$10="",0,IF(ISNUMBER(SEARCH(Classifiers!$E$10,E46)),1,0))+IF(Classifiers!$F$10="",0,IF(ISNUMBER(SEARCH(Classifiers!$F$10,E46)),1,0))+IF(Classifiers!$G$10="",0,IF(ISNUMBER(SEARCH(Classifiers!$G$10,E46)),1,0)))&gt;0,1,0))</f>
        <v/>
      </c>
      <c r="P46" s="12">
        <f>IF(H46&lt;&gt;1,0,IF((IF(Classifiers!$B$11="",0,IF(ISNUMBER(SEARCH(Classifiers!$B$11,E46)),1,0))+IF(Classifiers!$C$11="",0,IF(ISNUMBER(SEARCH(Classifiers!$C$11,E46)),1,0))+IF(Classifiers!$D$11="",0,IF(ISNUMBER(SEARCH(Classifiers!$D$11,E46)),1,0))+IF(Classifiers!$E$11="",0,IF(ISNUMBER(SEARCH(Classifiers!$E$11,E46)),1,0))+IF(Classifiers!$F$11="",0,IF(ISNUMBER(SEARCH(Classifiers!$F$11,E46)),1,0))+IF(Classifiers!$G$11="",0,IF(ISNUMBER(SEARCH(Classifiers!$G$11,E46)),1,0)))&gt;0,1,0))</f>
        <v/>
      </c>
      <c r="Q46" s="12">
        <f>IF(H46&lt;&gt;1,0,IF((IF(Classifiers!$B$12="",0,IF(ISNUMBER(SEARCH(Classifiers!$B$12,E46)),1,0))+IF(Classifiers!$C$12="",0,IF(ISNUMBER(SEARCH(Classifiers!$C$12,E46)),1,0))+IF(Classifiers!$D$12="",0,IF(ISNUMBER(SEARCH(Classifiers!$D$12,E46)),1,0))+IF(Classifiers!$E$12="",0,IF(ISNUMBER(SEARCH(Classifiers!$E$12,E46)),1,0))+IF(Classifiers!$F$12="",0,IF(ISNUMBER(SEARCH(Classifiers!$F$12,E46)),1,0))+IF(Classifiers!$G$12="",0,IF(ISNUMBER(SEARCH(Classifiers!$G$12,E46)),1,0)))&gt;0,1,0))</f>
        <v/>
      </c>
      <c r="R46" s="12">
        <f>IF(H46&lt;&gt;1,0,IF((IF(Classifiers!$B$13="",0,IF(ISNUMBER(SEARCH(Classifiers!$B$13,E46)),1,0))+IF(Classifiers!$C$13="",0,IF(ISNUMBER(SEARCH(Classifiers!$C$13,E46)),1,0))+IF(Classifiers!$D$13="",0,IF(ISNUMBER(SEARCH(Classifiers!$D$13,E46)),1,0))+IF(Classifiers!$E$13="",0,IF(ISNUMBER(SEARCH(Classifiers!$E$13,E46)),1,0))+IF(Classifiers!$F$13="",0,IF(ISNUMBER(SEARCH(Classifiers!$F$13,E46)),1,0))+IF(Classifiers!$G$13="",0,IF(ISNUMBER(SEARCH(Classifiers!$G$13,E46)),1,0)))&gt;0,1,0))</f>
        <v/>
      </c>
      <c r="S46" s="12">
        <f>IF(H46&lt;&gt;1,0,IF((IF(Classifiers!$B$14="",0,IF(ISNUMBER(SEARCH(Classifiers!$B$14,E46)),1,0))+IF(Classifiers!$C$14="",0,IF(ISNUMBER(SEARCH(Classifiers!$C$14,E46)),1,0))+IF(Classifiers!$D$14="",0,IF(ISNUMBER(SEARCH(Classifiers!$D$14,E46)),1,0))+IF(Classifiers!$E$14="",0,IF(ISNUMBER(SEARCH(Classifiers!$E$14,E46)),1,0))+IF(Classifiers!$F$14="",0,IF(ISNUMBER(SEARCH(Classifiers!$F$14,E46)),1,0))+IF(Classifiers!$G$14="",0,IF(ISNUMBER(SEARCH(Classifiers!$G$14,E46)),1,0)))&gt;0,1,0))</f>
        <v/>
      </c>
      <c r="T46" s="12">
        <f>IF(H46&lt;&gt;1,0,IF((IF(Classifiers!$B$15="",0,IF(ISNUMBER(SEARCH(Classifiers!$B$15,E46)),1,0))+IF(Classifiers!$C$15="",0,IF(ISNUMBER(SEARCH(Classifiers!$C$15,E46)),1,0))+IF(Classifiers!$D$15="",0,IF(ISNUMBER(SEARCH(Classifiers!$D$15,E46)),1,0))+IF(Classifiers!$E$15="",0,IF(ISNUMBER(SEARCH(Classifiers!$E$15,E46)),1,0))+IF(Classifiers!$F$15="",0,IF(ISNUMBER(SEARCH(Classifiers!$F$15,E46)),1,0))+IF(Classifiers!$G$15="",0,IF(ISNUMBER(SEARCH(Classifiers!$G$15,E46)),1,0)))&gt;0,1,0))</f>
        <v/>
      </c>
      <c r="U46" s="12">
        <f>IF(H46&lt;&gt;1,0,IF((IF(Classifiers!$B$16="",0,IF(ISNUMBER(SEARCH(Classifiers!$B$16,E46)),1,0))+IF(Classifiers!$C$16="",0,IF(ISNUMBER(SEARCH(Classifiers!$C$16,E46)),1,0))+IF(Classifiers!$D$16="",0,IF(ISNUMBER(SEARCH(Classifiers!$D$16,E46)),1,0))+IF(Classifiers!$E$16="",0,IF(ISNUMBER(SEARCH(Classifiers!$E$16,E46)),1,0))+IF(Classifiers!$F$16="",0,IF(ISNUMBER(SEARCH(Classifiers!$F$16,E46)),1,0))+IF(Classifiers!$G$16="",0,IF(ISNUMBER(SEARCH(Classifiers!$G$16,E46)),1,0)))&gt;0,1,0))</f>
        <v/>
      </c>
      <c r="V46" s="12">
        <f>IF(H46&lt;&gt;1,0,IF((IF(Classifiers!$B$17="",0,IF(ISNUMBER(SEARCH(Classifiers!$B$17,E46)),1,0))+IF(Classifiers!$C$17="",0,IF(ISNUMBER(SEARCH(Classifiers!$C$17,E46)),1,0))+IF(Classifiers!$D$17="",0,IF(ISNUMBER(SEARCH(Classifiers!$D$17,E46)),1,0))+IF(Classifiers!$E$17="",0,IF(ISNUMBER(SEARCH(Classifiers!$E$17,E46)),1,0))+IF(Classifiers!$F$17="",0,IF(ISNUMBER(SEARCH(Classifiers!$F$17,E46)),1,0))+IF(Classifiers!$G$17="",0,IF(ISNUMBER(SEARCH(Classifiers!$G$17,E46)),1,0)))&gt;0,1,0))</f>
        <v/>
      </c>
      <c r="W46" s="12">
        <f>IF(H46&lt;&gt;1,0,IF((IF(Classifiers!$B$18="",0,IF(ISNUMBER(SEARCH(Classifiers!$B$18,E46)),1,0))+IF(Classifiers!$C$18="",0,IF(ISNUMBER(SEARCH(Classifiers!$C$18,E46)),1,0))+IF(Classifiers!$D$18="",0,IF(ISNUMBER(SEARCH(Classifiers!$D$18,E46)),1,0))+IF(Classifiers!$E$18="",0,IF(ISNUMBER(SEARCH(Classifiers!$E$18,E46)),1,0))+IF(Classifiers!$F$18="",0,IF(ISNUMBER(SEARCH(Classifiers!$F$18,E46)),1,0))+IF(Classifiers!$G$18="",0,IF(ISNUMBER(SEARCH(Classifiers!$G$18,E46)),1,0)))&gt;0,1,0))</f>
        <v/>
      </c>
    </row>
    <row r="47">
      <c r="A47" s="8" t="n"/>
      <c r="B47" s="11" t="n"/>
      <c r="C47" s="6">
        <f>IF(A47="","",TRIM(RIGHT(SUBSTITUTE(A47,"/",REPT(" ",250)),250)))</f>
        <v/>
      </c>
      <c r="D47" s="6">
        <f>IF(C47="","",IF(ISNUMBER(SEARCH(".",C47)),LOWER("."&amp;TRIM(RIGHT(SUBSTITUTE(C47,".",REPT(" ",250)),250))),""))</f>
        <v/>
      </c>
      <c r="E47" s="6">
        <f>IF(C47="","",TRIM(SUBSTITUTE(SUBSTITUTE(SUBSTITUTE(SUBSTITUTE(SUBSTITUTE(SUBSTITUTE(SUBSTITUTE(SUBSTITUTE(SUBSTITUTE(SUBSTITUTE(SUBSTITUTE(SUBSTITUTE(SUBSTITUTE(SUBSTITUTE(SUBSTITUTE(SUBSTITUTE(SUBSTITUTE(SUBSTITUTE(SUBSTITUTE(SUBSTITUTE(LOWER(LEFT(C47,LEN(C47)-LEN(D47))),"_"," "),"-"," "),"."," "),","," "),"("," "),")"," "),"["," "),"]"," "),"&amp;"," "),"+"," "),"@"," "),"#"," "),"!"," "),"'"," "),"/"," "),":"," "),";"," "),"="," "),"~"," "),"%"," ")))</f>
        <v/>
      </c>
      <c r="F47" s="6">
        <f>IF(C47="","",IF(COUNTIF(Classifiers!$A$23:$A$40,D47)&gt;0,1,0))</f>
        <v/>
      </c>
      <c r="G47" s="6">
        <f>IF(C47="","",IF(COUNTIF(Classifiers!$C$23:$C$30,D47)&gt;0,IF((IF(ISNUMBER(SEARCH(Classifiers!$E$23,E47)),1,0)+IF(ISNUMBER(SEARCH(Classifiers!$E$24,E47)),1,0)+IF(ISNUMBER(SEARCH(Classifiers!$E$25,E47)),1,0)+IF(ISNUMBER(SEARCH(Classifiers!$E$26,E47)),1,0)+IF(ISNUMBER(SEARCH(Classifiers!$E$27,E47)),1,0)+IF(ISNUMBER(SEARCH(Classifiers!$E$28,E47)),1,0)+IF(ISNUMBER(SEARCH(Classifiers!$E$29,E47)),1,0)+IF(ISNUMBER(SEARCH(Classifiers!$E$30,E47)),1,0))&gt;0,1,0),0))</f>
        <v/>
      </c>
      <c r="H47" s="6">
        <f>IF(C47="","",IF(OR(LEFT(C47,1)=".",AND(F47=0,G47=0)),0,1))</f>
        <v/>
      </c>
      <c r="I47" s="6">
        <f>IF(H47&lt;&gt;1,"",IF(SUM(J47:W47)=0,"unclassified",INDEX(Classifiers!$A$5:$A$18,MATCH(1,J47:W47,0),1)))</f>
        <v/>
      </c>
      <c r="J47" s="12">
        <f>IF(H47&lt;&gt;1,0,IF((IF(Classifiers!$B$5="",0,IF(ISNUMBER(SEARCH(Classifiers!$B$5,E47)),1,0))+IF(Classifiers!$C$5="",0,IF(ISNUMBER(SEARCH(Classifiers!$C$5,E47)),1,0))+IF(Classifiers!$D$5="",0,IF(ISNUMBER(SEARCH(Classifiers!$D$5,E47)),1,0))+IF(Classifiers!$E$5="",0,IF(ISNUMBER(SEARCH(Classifiers!$E$5,E47)),1,0))+IF(Classifiers!$F$5="",0,IF(ISNUMBER(SEARCH(Classifiers!$F$5,E47)),1,0))+IF(Classifiers!$G$5="",0,IF(ISNUMBER(SEARCH(Classifiers!$G$5,E47)),1,0)))&gt;0,1,0))</f>
        <v/>
      </c>
      <c r="K47" s="12">
        <f>IF(H47&lt;&gt;1,0,IF((IF(Classifiers!$B$6="",0,IF(ISNUMBER(SEARCH(Classifiers!$B$6,E47)),1,0))+IF(Classifiers!$C$6="",0,IF(ISNUMBER(SEARCH(Classifiers!$C$6,E47)),1,0))+IF(Classifiers!$D$6="",0,IF(ISNUMBER(SEARCH(Classifiers!$D$6,E47)),1,0))+IF(Classifiers!$E$6="",0,IF(ISNUMBER(SEARCH(Classifiers!$E$6,E47)),1,0))+IF(Classifiers!$F$6="",0,IF(ISNUMBER(SEARCH(Classifiers!$F$6,E47)),1,0))+IF(Classifiers!$G$6="",0,IF(ISNUMBER(SEARCH(Classifiers!$G$6,E47)),1,0)))&gt;0,1,0))</f>
        <v/>
      </c>
      <c r="L47" s="12">
        <f>IF(H47&lt;&gt;1,0,IF((IF(Classifiers!$B$7="",0,IF(ISNUMBER(SEARCH(Classifiers!$B$7,E47)),1,0))+IF(Classifiers!$C$7="",0,IF(ISNUMBER(SEARCH(Classifiers!$C$7,E47)),1,0))+IF(Classifiers!$D$7="",0,IF(ISNUMBER(SEARCH(Classifiers!$D$7,E47)),1,0))+IF(Classifiers!$E$7="",0,IF(ISNUMBER(SEARCH(Classifiers!$E$7,E47)),1,0))+IF(Classifiers!$F$7="",0,IF(ISNUMBER(SEARCH(Classifiers!$F$7,E47)),1,0))+IF(Classifiers!$G$7="",0,IF(ISNUMBER(SEARCH(Classifiers!$G$7,E47)),1,0)))&gt;0,1,0))</f>
        <v/>
      </c>
      <c r="M47" s="12">
        <f>IF(H47&lt;&gt;1,0,IF((IF(Classifiers!$B$8="",0,IF(ISNUMBER(SEARCH(Classifiers!$B$8,E47)),1,0))+IF(Classifiers!$C$8="",0,IF(ISNUMBER(SEARCH(Classifiers!$C$8,E47)),1,0))+IF(Classifiers!$D$8="",0,IF(ISNUMBER(SEARCH(Classifiers!$D$8,E47)),1,0))+IF(Classifiers!$E$8="",0,IF(ISNUMBER(SEARCH(Classifiers!$E$8,E47)),1,0))+IF(Classifiers!$F$8="",0,IF(ISNUMBER(SEARCH(Classifiers!$F$8,E47)),1,0))+IF(Classifiers!$G$8="",0,IF(ISNUMBER(SEARCH(Classifiers!$G$8,E47)),1,0)))&gt;0,1,0))</f>
        <v/>
      </c>
      <c r="N47" s="12">
        <f>IF(H47&lt;&gt;1,0,IF((IF(Classifiers!$B$9="",0,IF(ISNUMBER(SEARCH(Classifiers!$B$9,E47)),1,0))+IF(Classifiers!$C$9="",0,IF(ISNUMBER(SEARCH(Classifiers!$C$9,E47)),1,0))+IF(Classifiers!$D$9="",0,IF(ISNUMBER(SEARCH(Classifiers!$D$9,E47)),1,0))+IF(Classifiers!$E$9="",0,IF(ISNUMBER(SEARCH(Classifiers!$E$9,E47)),1,0))+IF(Classifiers!$F$9="",0,IF(ISNUMBER(SEARCH(Classifiers!$F$9,E47)),1,0))+IF(Classifiers!$G$9="",0,IF(ISNUMBER(SEARCH(Classifiers!$G$9,E47)),1,0)))&gt;0,1,0))</f>
        <v/>
      </c>
      <c r="O47" s="12">
        <f>IF(H47&lt;&gt;1,0,IF((IF(Classifiers!$B$10="",0,IF(ISNUMBER(SEARCH(Classifiers!$B$10,E47)),1,0))+IF(Classifiers!$C$10="",0,IF(ISNUMBER(SEARCH(Classifiers!$C$10,E47)),1,0))+IF(Classifiers!$D$10="",0,IF(ISNUMBER(SEARCH(Classifiers!$D$10,E47)),1,0))+IF(Classifiers!$E$10="",0,IF(ISNUMBER(SEARCH(Classifiers!$E$10,E47)),1,0))+IF(Classifiers!$F$10="",0,IF(ISNUMBER(SEARCH(Classifiers!$F$10,E47)),1,0))+IF(Classifiers!$G$10="",0,IF(ISNUMBER(SEARCH(Classifiers!$G$10,E47)),1,0)))&gt;0,1,0))</f>
        <v/>
      </c>
      <c r="P47" s="12">
        <f>IF(H47&lt;&gt;1,0,IF((IF(Classifiers!$B$11="",0,IF(ISNUMBER(SEARCH(Classifiers!$B$11,E47)),1,0))+IF(Classifiers!$C$11="",0,IF(ISNUMBER(SEARCH(Classifiers!$C$11,E47)),1,0))+IF(Classifiers!$D$11="",0,IF(ISNUMBER(SEARCH(Classifiers!$D$11,E47)),1,0))+IF(Classifiers!$E$11="",0,IF(ISNUMBER(SEARCH(Classifiers!$E$11,E47)),1,0))+IF(Classifiers!$F$11="",0,IF(ISNUMBER(SEARCH(Classifiers!$F$11,E47)),1,0))+IF(Classifiers!$G$11="",0,IF(ISNUMBER(SEARCH(Classifiers!$G$11,E47)),1,0)))&gt;0,1,0))</f>
        <v/>
      </c>
      <c r="Q47" s="12">
        <f>IF(H47&lt;&gt;1,0,IF((IF(Classifiers!$B$12="",0,IF(ISNUMBER(SEARCH(Classifiers!$B$12,E47)),1,0))+IF(Classifiers!$C$12="",0,IF(ISNUMBER(SEARCH(Classifiers!$C$12,E47)),1,0))+IF(Classifiers!$D$12="",0,IF(ISNUMBER(SEARCH(Classifiers!$D$12,E47)),1,0))+IF(Classifiers!$E$12="",0,IF(ISNUMBER(SEARCH(Classifiers!$E$12,E47)),1,0))+IF(Classifiers!$F$12="",0,IF(ISNUMBER(SEARCH(Classifiers!$F$12,E47)),1,0))+IF(Classifiers!$G$12="",0,IF(ISNUMBER(SEARCH(Classifiers!$G$12,E47)),1,0)))&gt;0,1,0))</f>
        <v/>
      </c>
      <c r="R47" s="12">
        <f>IF(H47&lt;&gt;1,0,IF((IF(Classifiers!$B$13="",0,IF(ISNUMBER(SEARCH(Classifiers!$B$13,E47)),1,0))+IF(Classifiers!$C$13="",0,IF(ISNUMBER(SEARCH(Classifiers!$C$13,E47)),1,0))+IF(Classifiers!$D$13="",0,IF(ISNUMBER(SEARCH(Classifiers!$D$13,E47)),1,0))+IF(Classifiers!$E$13="",0,IF(ISNUMBER(SEARCH(Classifiers!$E$13,E47)),1,0))+IF(Classifiers!$F$13="",0,IF(ISNUMBER(SEARCH(Classifiers!$F$13,E47)),1,0))+IF(Classifiers!$G$13="",0,IF(ISNUMBER(SEARCH(Classifiers!$G$13,E47)),1,0)))&gt;0,1,0))</f>
        <v/>
      </c>
      <c r="S47" s="12">
        <f>IF(H47&lt;&gt;1,0,IF((IF(Classifiers!$B$14="",0,IF(ISNUMBER(SEARCH(Classifiers!$B$14,E47)),1,0))+IF(Classifiers!$C$14="",0,IF(ISNUMBER(SEARCH(Classifiers!$C$14,E47)),1,0))+IF(Classifiers!$D$14="",0,IF(ISNUMBER(SEARCH(Classifiers!$D$14,E47)),1,0))+IF(Classifiers!$E$14="",0,IF(ISNUMBER(SEARCH(Classifiers!$E$14,E47)),1,0))+IF(Classifiers!$F$14="",0,IF(ISNUMBER(SEARCH(Classifiers!$F$14,E47)),1,0))+IF(Classifiers!$G$14="",0,IF(ISNUMBER(SEARCH(Classifiers!$G$14,E47)),1,0)))&gt;0,1,0))</f>
        <v/>
      </c>
      <c r="T47" s="12">
        <f>IF(H47&lt;&gt;1,0,IF((IF(Classifiers!$B$15="",0,IF(ISNUMBER(SEARCH(Classifiers!$B$15,E47)),1,0))+IF(Classifiers!$C$15="",0,IF(ISNUMBER(SEARCH(Classifiers!$C$15,E47)),1,0))+IF(Classifiers!$D$15="",0,IF(ISNUMBER(SEARCH(Classifiers!$D$15,E47)),1,0))+IF(Classifiers!$E$15="",0,IF(ISNUMBER(SEARCH(Classifiers!$E$15,E47)),1,0))+IF(Classifiers!$F$15="",0,IF(ISNUMBER(SEARCH(Classifiers!$F$15,E47)),1,0))+IF(Classifiers!$G$15="",0,IF(ISNUMBER(SEARCH(Classifiers!$G$15,E47)),1,0)))&gt;0,1,0))</f>
        <v/>
      </c>
      <c r="U47" s="12">
        <f>IF(H47&lt;&gt;1,0,IF((IF(Classifiers!$B$16="",0,IF(ISNUMBER(SEARCH(Classifiers!$B$16,E47)),1,0))+IF(Classifiers!$C$16="",0,IF(ISNUMBER(SEARCH(Classifiers!$C$16,E47)),1,0))+IF(Classifiers!$D$16="",0,IF(ISNUMBER(SEARCH(Classifiers!$D$16,E47)),1,0))+IF(Classifiers!$E$16="",0,IF(ISNUMBER(SEARCH(Classifiers!$E$16,E47)),1,0))+IF(Classifiers!$F$16="",0,IF(ISNUMBER(SEARCH(Classifiers!$F$16,E47)),1,0))+IF(Classifiers!$G$16="",0,IF(ISNUMBER(SEARCH(Classifiers!$G$16,E47)),1,0)))&gt;0,1,0))</f>
        <v/>
      </c>
      <c r="V47" s="12">
        <f>IF(H47&lt;&gt;1,0,IF((IF(Classifiers!$B$17="",0,IF(ISNUMBER(SEARCH(Classifiers!$B$17,E47)),1,0))+IF(Classifiers!$C$17="",0,IF(ISNUMBER(SEARCH(Classifiers!$C$17,E47)),1,0))+IF(Classifiers!$D$17="",0,IF(ISNUMBER(SEARCH(Classifiers!$D$17,E47)),1,0))+IF(Classifiers!$E$17="",0,IF(ISNUMBER(SEARCH(Classifiers!$E$17,E47)),1,0))+IF(Classifiers!$F$17="",0,IF(ISNUMBER(SEARCH(Classifiers!$F$17,E47)),1,0))+IF(Classifiers!$G$17="",0,IF(ISNUMBER(SEARCH(Classifiers!$G$17,E47)),1,0)))&gt;0,1,0))</f>
        <v/>
      </c>
      <c r="W47" s="12">
        <f>IF(H47&lt;&gt;1,0,IF((IF(Classifiers!$B$18="",0,IF(ISNUMBER(SEARCH(Classifiers!$B$18,E47)),1,0))+IF(Classifiers!$C$18="",0,IF(ISNUMBER(SEARCH(Classifiers!$C$18,E47)),1,0))+IF(Classifiers!$D$18="",0,IF(ISNUMBER(SEARCH(Classifiers!$D$18,E47)),1,0))+IF(Classifiers!$E$18="",0,IF(ISNUMBER(SEARCH(Classifiers!$E$18,E47)),1,0))+IF(Classifiers!$F$18="",0,IF(ISNUMBER(SEARCH(Classifiers!$F$18,E47)),1,0))+IF(Classifiers!$G$18="",0,IF(ISNUMBER(SEARCH(Classifiers!$G$18,E47)),1,0)))&gt;0,1,0))</f>
        <v/>
      </c>
    </row>
    <row r="48">
      <c r="A48" s="8" t="n"/>
      <c r="B48" s="11" t="n"/>
      <c r="C48" s="6">
        <f>IF(A48="","",TRIM(RIGHT(SUBSTITUTE(A48,"/",REPT(" ",250)),250)))</f>
        <v/>
      </c>
      <c r="D48" s="6">
        <f>IF(C48="","",IF(ISNUMBER(SEARCH(".",C48)),LOWER("."&amp;TRIM(RIGHT(SUBSTITUTE(C48,".",REPT(" ",250)),250))),""))</f>
        <v/>
      </c>
      <c r="E48" s="6">
        <f>IF(C48="","",TRIM(SUBSTITUTE(SUBSTITUTE(SUBSTITUTE(SUBSTITUTE(SUBSTITUTE(SUBSTITUTE(SUBSTITUTE(SUBSTITUTE(SUBSTITUTE(SUBSTITUTE(SUBSTITUTE(SUBSTITUTE(SUBSTITUTE(SUBSTITUTE(SUBSTITUTE(SUBSTITUTE(SUBSTITUTE(SUBSTITUTE(SUBSTITUTE(SUBSTITUTE(LOWER(LEFT(C48,LEN(C48)-LEN(D48))),"_"," "),"-"," "),"."," "),","," "),"("," "),")"," "),"["," "),"]"," "),"&amp;"," "),"+"," "),"@"," "),"#"," "),"!"," "),"'"," "),"/"," "),":"," "),";"," "),"="," "),"~"," "),"%"," ")))</f>
        <v/>
      </c>
      <c r="F48" s="6">
        <f>IF(C48="","",IF(COUNTIF(Classifiers!$A$23:$A$40,D48)&gt;0,1,0))</f>
        <v/>
      </c>
      <c r="G48" s="6">
        <f>IF(C48="","",IF(COUNTIF(Classifiers!$C$23:$C$30,D48)&gt;0,IF((IF(ISNUMBER(SEARCH(Classifiers!$E$23,E48)),1,0)+IF(ISNUMBER(SEARCH(Classifiers!$E$24,E48)),1,0)+IF(ISNUMBER(SEARCH(Classifiers!$E$25,E48)),1,0)+IF(ISNUMBER(SEARCH(Classifiers!$E$26,E48)),1,0)+IF(ISNUMBER(SEARCH(Classifiers!$E$27,E48)),1,0)+IF(ISNUMBER(SEARCH(Classifiers!$E$28,E48)),1,0)+IF(ISNUMBER(SEARCH(Classifiers!$E$29,E48)),1,0)+IF(ISNUMBER(SEARCH(Classifiers!$E$30,E48)),1,0))&gt;0,1,0),0))</f>
        <v/>
      </c>
      <c r="H48" s="6">
        <f>IF(C48="","",IF(OR(LEFT(C48,1)=".",AND(F48=0,G48=0)),0,1))</f>
        <v/>
      </c>
      <c r="I48" s="6">
        <f>IF(H48&lt;&gt;1,"",IF(SUM(J48:W48)=0,"unclassified",INDEX(Classifiers!$A$5:$A$18,MATCH(1,J48:W48,0),1)))</f>
        <v/>
      </c>
      <c r="J48" s="12">
        <f>IF(H48&lt;&gt;1,0,IF((IF(Classifiers!$B$5="",0,IF(ISNUMBER(SEARCH(Classifiers!$B$5,E48)),1,0))+IF(Classifiers!$C$5="",0,IF(ISNUMBER(SEARCH(Classifiers!$C$5,E48)),1,0))+IF(Classifiers!$D$5="",0,IF(ISNUMBER(SEARCH(Classifiers!$D$5,E48)),1,0))+IF(Classifiers!$E$5="",0,IF(ISNUMBER(SEARCH(Classifiers!$E$5,E48)),1,0))+IF(Classifiers!$F$5="",0,IF(ISNUMBER(SEARCH(Classifiers!$F$5,E48)),1,0))+IF(Classifiers!$G$5="",0,IF(ISNUMBER(SEARCH(Classifiers!$G$5,E48)),1,0)))&gt;0,1,0))</f>
        <v/>
      </c>
      <c r="K48" s="12">
        <f>IF(H48&lt;&gt;1,0,IF((IF(Classifiers!$B$6="",0,IF(ISNUMBER(SEARCH(Classifiers!$B$6,E48)),1,0))+IF(Classifiers!$C$6="",0,IF(ISNUMBER(SEARCH(Classifiers!$C$6,E48)),1,0))+IF(Classifiers!$D$6="",0,IF(ISNUMBER(SEARCH(Classifiers!$D$6,E48)),1,0))+IF(Classifiers!$E$6="",0,IF(ISNUMBER(SEARCH(Classifiers!$E$6,E48)),1,0))+IF(Classifiers!$F$6="",0,IF(ISNUMBER(SEARCH(Classifiers!$F$6,E48)),1,0))+IF(Classifiers!$G$6="",0,IF(ISNUMBER(SEARCH(Classifiers!$G$6,E48)),1,0)))&gt;0,1,0))</f>
        <v/>
      </c>
      <c r="L48" s="12">
        <f>IF(H48&lt;&gt;1,0,IF((IF(Classifiers!$B$7="",0,IF(ISNUMBER(SEARCH(Classifiers!$B$7,E48)),1,0))+IF(Classifiers!$C$7="",0,IF(ISNUMBER(SEARCH(Classifiers!$C$7,E48)),1,0))+IF(Classifiers!$D$7="",0,IF(ISNUMBER(SEARCH(Classifiers!$D$7,E48)),1,0))+IF(Classifiers!$E$7="",0,IF(ISNUMBER(SEARCH(Classifiers!$E$7,E48)),1,0))+IF(Classifiers!$F$7="",0,IF(ISNUMBER(SEARCH(Classifiers!$F$7,E48)),1,0))+IF(Classifiers!$G$7="",0,IF(ISNUMBER(SEARCH(Classifiers!$G$7,E48)),1,0)))&gt;0,1,0))</f>
        <v/>
      </c>
      <c r="M48" s="12">
        <f>IF(H48&lt;&gt;1,0,IF((IF(Classifiers!$B$8="",0,IF(ISNUMBER(SEARCH(Classifiers!$B$8,E48)),1,0))+IF(Classifiers!$C$8="",0,IF(ISNUMBER(SEARCH(Classifiers!$C$8,E48)),1,0))+IF(Classifiers!$D$8="",0,IF(ISNUMBER(SEARCH(Classifiers!$D$8,E48)),1,0))+IF(Classifiers!$E$8="",0,IF(ISNUMBER(SEARCH(Classifiers!$E$8,E48)),1,0))+IF(Classifiers!$F$8="",0,IF(ISNUMBER(SEARCH(Classifiers!$F$8,E48)),1,0))+IF(Classifiers!$G$8="",0,IF(ISNUMBER(SEARCH(Classifiers!$G$8,E48)),1,0)))&gt;0,1,0))</f>
        <v/>
      </c>
      <c r="N48" s="12">
        <f>IF(H48&lt;&gt;1,0,IF((IF(Classifiers!$B$9="",0,IF(ISNUMBER(SEARCH(Classifiers!$B$9,E48)),1,0))+IF(Classifiers!$C$9="",0,IF(ISNUMBER(SEARCH(Classifiers!$C$9,E48)),1,0))+IF(Classifiers!$D$9="",0,IF(ISNUMBER(SEARCH(Classifiers!$D$9,E48)),1,0))+IF(Classifiers!$E$9="",0,IF(ISNUMBER(SEARCH(Classifiers!$E$9,E48)),1,0))+IF(Classifiers!$F$9="",0,IF(ISNUMBER(SEARCH(Classifiers!$F$9,E48)),1,0))+IF(Classifiers!$G$9="",0,IF(ISNUMBER(SEARCH(Classifiers!$G$9,E48)),1,0)))&gt;0,1,0))</f>
        <v/>
      </c>
      <c r="O48" s="12">
        <f>IF(H48&lt;&gt;1,0,IF((IF(Classifiers!$B$10="",0,IF(ISNUMBER(SEARCH(Classifiers!$B$10,E48)),1,0))+IF(Classifiers!$C$10="",0,IF(ISNUMBER(SEARCH(Classifiers!$C$10,E48)),1,0))+IF(Classifiers!$D$10="",0,IF(ISNUMBER(SEARCH(Classifiers!$D$10,E48)),1,0))+IF(Classifiers!$E$10="",0,IF(ISNUMBER(SEARCH(Classifiers!$E$10,E48)),1,0))+IF(Classifiers!$F$10="",0,IF(ISNUMBER(SEARCH(Classifiers!$F$10,E48)),1,0))+IF(Classifiers!$G$10="",0,IF(ISNUMBER(SEARCH(Classifiers!$G$10,E48)),1,0)))&gt;0,1,0))</f>
        <v/>
      </c>
      <c r="P48" s="12">
        <f>IF(H48&lt;&gt;1,0,IF((IF(Classifiers!$B$11="",0,IF(ISNUMBER(SEARCH(Classifiers!$B$11,E48)),1,0))+IF(Classifiers!$C$11="",0,IF(ISNUMBER(SEARCH(Classifiers!$C$11,E48)),1,0))+IF(Classifiers!$D$11="",0,IF(ISNUMBER(SEARCH(Classifiers!$D$11,E48)),1,0))+IF(Classifiers!$E$11="",0,IF(ISNUMBER(SEARCH(Classifiers!$E$11,E48)),1,0))+IF(Classifiers!$F$11="",0,IF(ISNUMBER(SEARCH(Classifiers!$F$11,E48)),1,0))+IF(Classifiers!$G$11="",0,IF(ISNUMBER(SEARCH(Classifiers!$G$11,E48)),1,0)))&gt;0,1,0))</f>
        <v/>
      </c>
      <c r="Q48" s="12">
        <f>IF(H48&lt;&gt;1,0,IF((IF(Classifiers!$B$12="",0,IF(ISNUMBER(SEARCH(Classifiers!$B$12,E48)),1,0))+IF(Classifiers!$C$12="",0,IF(ISNUMBER(SEARCH(Classifiers!$C$12,E48)),1,0))+IF(Classifiers!$D$12="",0,IF(ISNUMBER(SEARCH(Classifiers!$D$12,E48)),1,0))+IF(Classifiers!$E$12="",0,IF(ISNUMBER(SEARCH(Classifiers!$E$12,E48)),1,0))+IF(Classifiers!$F$12="",0,IF(ISNUMBER(SEARCH(Classifiers!$F$12,E48)),1,0))+IF(Classifiers!$G$12="",0,IF(ISNUMBER(SEARCH(Classifiers!$G$12,E48)),1,0)))&gt;0,1,0))</f>
        <v/>
      </c>
      <c r="R48" s="12">
        <f>IF(H48&lt;&gt;1,0,IF((IF(Classifiers!$B$13="",0,IF(ISNUMBER(SEARCH(Classifiers!$B$13,E48)),1,0))+IF(Classifiers!$C$13="",0,IF(ISNUMBER(SEARCH(Classifiers!$C$13,E48)),1,0))+IF(Classifiers!$D$13="",0,IF(ISNUMBER(SEARCH(Classifiers!$D$13,E48)),1,0))+IF(Classifiers!$E$13="",0,IF(ISNUMBER(SEARCH(Classifiers!$E$13,E48)),1,0))+IF(Classifiers!$F$13="",0,IF(ISNUMBER(SEARCH(Classifiers!$F$13,E48)),1,0))+IF(Classifiers!$G$13="",0,IF(ISNUMBER(SEARCH(Classifiers!$G$13,E48)),1,0)))&gt;0,1,0))</f>
        <v/>
      </c>
      <c r="S48" s="12">
        <f>IF(H48&lt;&gt;1,0,IF((IF(Classifiers!$B$14="",0,IF(ISNUMBER(SEARCH(Classifiers!$B$14,E48)),1,0))+IF(Classifiers!$C$14="",0,IF(ISNUMBER(SEARCH(Classifiers!$C$14,E48)),1,0))+IF(Classifiers!$D$14="",0,IF(ISNUMBER(SEARCH(Classifiers!$D$14,E48)),1,0))+IF(Classifiers!$E$14="",0,IF(ISNUMBER(SEARCH(Classifiers!$E$14,E48)),1,0))+IF(Classifiers!$F$14="",0,IF(ISNUMBER(SEARCH(Classifiers!$F$14,E48)),1,0))+IF(Classifiers!$G$14="",0,IF(ISNUMBER(SEARCH(Classifiers!$G$14,E48)),1,0)))&gt;0,1,0))</f>
        <v/>
      </c>
      <c r="T48" s="12">
        <f>IF(H48&lt;&gt;1,0,IF((IF(Classifiers!$B$15="",0,IF(ISNUMBER(SEARCH(Classifiers!$B$15,E48)),1,0))+IF(Classifiers!$C$15="",0,IF(ISNUMBER(SEARCH(Classifiers!$C$15,E48)),1,0))+IF(Classifiers!$D$15="",0,IF(ISNUMBER(SEARCH(Classifiers!$D$15,E48)),1,0))+IF(Classifiers!$E$15="",0,IF(ISNUMBER(SEARCH(Classifiers!$E$15,E48)),1,0))+IF(Classifiers!$F$15="",0,IF(ISNUMBER(SEARCH(Classifiers!$F$15,E48)),1,0))+IF(Classifiers!$G$15="",0,IF(ISNUMBER(SEARCH(Classifiers!$G$15,E48)),1,0)))&gt;0,1,0))</f>
        <v/>
      </c>
      <c r="U48" s="12">
        <f>IF(H48&lt;&gt;1,0,IF((IF(Classifiers!$B$16="",0,IF(ISNUMBER(SEARCH(Classifiers!$B$16,E48)),1,0))+IF(Classifiers!$C$16="",0,IF(ISNUMBER(SEARCH(Classifiers!$C$16,E48)),1,0))+IF(Classifiers!$D$16="",0,IF(ISNUMBER(SEARCH(Classifiers!$D$16,E48)),1,0))+IF(Classifiers!$E$16="",0,IF(ISNUMBER(SEARCH(Classifiers!$E$16,E48)),1,0))+IF(Classifiers!$F$16="",0,IF(ISNUMBER(SEARCH(Classifiers!$F$16,E48)),1,0))+IF(Classifiers!$G$16="",0,IF(ISNUMBER(SEARCH(Classifiers!$G$16,E48)),1,0)))&gt;0,1,0))</f>
        <v/>
      </c>
      <c r="V48" s="12">
        <f>IF(H48&lt;&gt;1,0,IF((IF(Classifiers!$B$17="",0,IF(ISNUMBER(SEARCH(Classifiers!$B$17,E48)),1,0))+IF(Classifiers!$C$17="",0,IF(ISNUMBER(SEARCH(Classifiers!$C$17,E48)),1,0))+IF(Classifiers!$D$17="",0,IF(ISNUMBER(SEARCH(Classifiers!$D$17,E48)),1,0))+IF(Classifiers!$E$17="",0,IF(ISNUMBER(SEARCH(Classifiers!$E$17,E48)),1,0))+IF(Classifiers!$F$17="",0,IF(ISNUMBER(SEARCH(Classifiers!$F$17,E48)),1,0))+IF(Classifiers!$G$17="",0,IF(ISNUMBER(SEARCH(Classifiers!$G$17,E48)),1,0)))&gt;0,1,0))</f>
        <v/>
      </c>
      <c r="W48" s="12">
        <f>IF(H48&lt;&gt;1,0,IF((IF(Classifiers!$B$18="",0,IF(ISNUMBER(SEARCH(Classifiers!$B$18,E48)),1,0))+IF(Classifiers!$C$18="",0,IF(ISNUMBER(SEARCH(Classifiers!$C$18,E48)),1,0))+IF(Classifiers!$D$18="",0,IF(ISNUMBER(SEARCH(Classifiers!$D$18,E48)),1,0))+IF(Classifiers!$E$18="",0,IF(ISNUMBER(SEARCH(Classifiers!$E$18,E48)),1,0))+IF(Classifiers!$F$18="",0,IF(ISNUMBER(SEARCH(Classifiers!$F$18,E48)),1,0))+IF(Classifiers!$G$18="",0,IF(ISNUMBER(SEARCH(Classifiers!$G$18,E48)),1,0)))&gt;0,1,0))</f>
        <v/>
      </c>
    </row>
    <row r="49">
      <c r="A49" s="8" t="n"/>
      <c r="B49" s="11" t="n"/>
      <c r="C49" s="6">
        <f>IF(A49="","",TRIM(RIGHT(SUBSTITUTE(A49,"/",REPT(" ",250)),250)))</f>
        <v/>
      </c>
      <c r="D49" s="6">
        <f>IF(C49="","",IF(ISNUMBER(SEARCH(".",C49)),LOWER("."&amp;TRIM(RIGHT(SUBSTITUTE(C49,".",REPT(" ",250)),250))),""))</f>
        <v/>
      </c>
      <c r="E49" s="6">
        <f>IF(C49="","",TRIM(SUBSTITUTE(SUBSTITUTE(SUBSTITUTE(SUBSTITUTE(SUBSTITUTE(SUBSTITUTE(SUBSTITUTE(SUBSTITUTE(SUBSTITUTE(SUBSTITUTE(SUBSTITUTE(SUBSTITUTE(SUBSTITUTE(SUBSTITUTE(SUBSTITUTE(SUBSTITUTE(SUBSTITUTE(SUBSTITUTE(SUBSTITUTE(SUBSTITUTE(LOWER(LEFT(C49,LEN(C49)-LEN(D49))),"_"," "),"-"," "),"."," "),","," "),"("," "),")"," "),"["," "),"]"," "),"&amp;"," "),"+"," "),"@"," "),"#"," "),"!"," "),"'"," "),"/"," "),":"," "),";"," "),"="," "),"~"," "),"%"," ")))</f>
        <v/>
      </c>
      <c r="F49" s="6">
        <f>IF(C49="","",IF(COUNTIF(Classifiers!$A$23:$A$40,D49)&gt;0,1,0))</f>
        <v/>
      </c>
      <c r="G49" s="6">
        <f>IF(C49="","",IF(COUNTIF(Classifiers!$C$23:$C$30,D49)&gt;0,IF((IF(ISNUMBER(SEARCH(Classifiers!$E$23,E49)),1,0)+IF(ISNUMBER(SEARCH(Classifiers!$E$24,E49)),1,0)+IF(ISNUMBER(SEARCH(Classifiers!$E$25,E49)),1,0)+IF(ISNUMBER(SEARCH(Classifiers!$E$26,E49)),1,0)+IF(ISNUMBER(SEARCH(Classifiers!$E$27,E49)),1,0)+IF(ISNUMBER(SEARCH(Classifiers!$E$28,E49)),1,0)+IF(ISNUMBER(SEARCH(Classifiers!$E$29,E49)),1,0)+IF(ISNUMBER(SEARCH(Classifiers!$E$30,E49)),1,0))&gt;0,1,0),0))</f>
        <v/>
      </c>
      <c r="H49" s="6">
        <f>IF(C49="","",IF(OR(LEFT(C49,1)=".",AND(F49=0,G49=0)),0,1))</f>
        <v/>
      </c>
      <c r="I49" s="6">
        <f>IF(H49&lt;&gt;1,"",IF(SUM(J49:W49)=0,"unclassified",INDEX(Classifiers!$A$5:$A$18,MATCH(1,J49:W49,0),1)))</f>
        <v/>
      </c>
      <c r="J49" s="12">
        <f>IF(H49&lt;&gt;1,0,IF((IF(Classifiers!$B$5="",0,IF(ISNUMBER(SEARCH(Classifiers!$B$5,E49)),1,0))+IF(Classifiers!$C$5="",0,IF(ISNUMBER(SEARCH(Classifiers!$C$5,E49)),1,0))+IF(Classifiers!$D$5="",0,IF(ISNUMBER(SEARCH(Classifiers!$D$5,E49)),1,0))+IF(Classifiers!$E$5="",0,IF(ISNUMBER(SEARCH(Classifiers!$E$5,E49)),1,0))+IF(Classifiers!$F$5="",0,IF(ISNUMBER(SEARCH(Classifiers!$F$5,E49)),1,0))+IF(Classifiers!$G$5="",0,IF(ISNUMBER(SEARCH(Classifiers!$G$5,E49)),1,0)))&gt;0,1,0))</f>
        <v/>
      </c>
      <c r="K49" s="12">
        <f>IF(H49&lt;&gt;1,0,IF((IF(Classifiers!$B$6="",0,IF(ISNUMBER(SEARCH(Classifiers!$B$6,E49)),1,0))+IF(Classifiers!$C$6="",0,IF(ISNUMBER(SEARCH(Classifiers!$C$6,E49)),1,0))+IF(Classifiers!$D$6="",0,IF(ISNUMBER(SEARCH(Classifiers!$D$6,E49)),1,0))+IF(Classifiers!$E$6="",0,IF(ISNUMBER(SEARCH(Classifiers!$E$6,E49)),1,0))+IF(Classifiers!$F$6="",0,IF(ISNUMBER(SEARCH(Classifiers!$F$6,E49)),1,0))+IF(Classifiers!$G$6="",0,IF(ISNUMBER(SEARCH(Classifiers!$G$6,E49)),1,0)))&gt;0,1,0))</f>
        <v/>
      </c>
      <c r="L49" s="12">
        <f>IF(H49&lt;&gt;1,0,IF((IF(Classifiers!$B$7="",0,IF(ISNUMBER(SEARCH(Classifiers!$B$7,E49)),1,0))+IF(Classifiers!$C$7="",0,IF(ISNUMBER(SEARCH(Classifiers!$C$7,E49)),1,0))+IF(Classifiers!$D$7="",0,IF(ISNUMBER(SEARCH(Classifiers!$D$7,E49)),1,0))+IF(Classifiers!$E$7="",0,IF(ISNUMBER(SEARCH(Classifiers!$E$7,E49)),1,0))+IF(Classifiers!$F$7="",0,IF(ISNUMBER(SEARCH(Classifiers!$F$7,E49)),1,0))+IF(Classifiers!$G$7="",0,IF(ISNUMBER(SEARCH(Classifiers!$G$7,E49)),1,0)))&gt;0,1,0))</f>
        <v/>
      </c>
      <c r="M49" s="12">
        <f>IF(H49&lt;&gt;1,0,IF((IF(Classifiers!$B$8="",0,IF(ISNUMBER(SEARCH(Classifiers!$B$8,E49)),1,0))+IF(Classifiers!$C$8="",0,IF(ISNUMBER(SEARCH(Classifiers!$C$8,E49)),1,0))+IF(Classifiers!$D$8="",0,IF(ISNUMBER(SEARCH(Classifiers!$D$8,E49)),1,0))+IF(Classifiers!$E$8="",0,IF(ISNUMBER(SEARCH(Classifiers!$E$8,E49)),1,0))+IF(Classifiers!$F$8="",0,IF(ISNUMBER(SEARCH(Classifiers!$F$8,E49)),1,0))+IF(Classifiers!$G$8="",0,IF(ISNUMBER(SEARCH(Classifiers!$G$8,E49)),1,0)))&gt;0,1,0))</f>
        <v/>
      </c>
      <c r="N49" s="12">
        <f>IF(H49&lt;&gt;1,0,IF((IF(Classifiers!$B$9="",0,IF(ISNUMBER(SEARCH(Classifiers!$B$9,E49)),1,0))+IF(Classifiers!$C$9="",0,IF(ISNUMBER(SEARCH(Classifiers!$C$9,E49)),1,0))+IF(Classifiers!$D$9="",0,IF(ISNUMBER(SEARCH(Classifiers!$D$9,E49)),1,0))+IF(Classifiers!$E$9="",0,IF(ISNUMBER(SEARCH(Classifiers!$E$9,E49)),1,0))+IF(Classifiers!$F$9="",0,IF(ISNUMBER(SEARCH(Classifiers!$F$9,E49)),1,0))+IF(Classifiers!$G$9="",0,IF(ISNUMBER(SEARCH(Classifiers!$G$9,E49)),1,0)))&gt;0,1,0))</f>
        <v/>
      </c>
      <c r="O49" s="12">
        <f>IF(H49&lt;&gt;1,0,IF((IF(Classifiers!$B$10="",0,IF(ISNUMBER(SEARCH(Classifiers!$B$10,E49)),1,0))+IF(Classifiers!$C$10="",0,IF(ISNUMBER(SEARCH(Classifiers!$C$10,E49)),1,0))+IF(Classifiers!$D$10="",0,IF(ISNUMBER(SEARCH(Classifiers!$D$10,E49)),1,0))+IF(Classifiers!$E$10="",0,IF(ISNUMBER(SEARCH(Classifiers!$E$10,E49)),1,0))+IF(Classifiers!$F$10="",0,IF(ISNUMBER(SEARCH(Classifiers!$F$10,E49)),1,0))+IF(Classifiers!$G$10="",0,IF(ISNUMBER(SEARCH(Classifiers!$G$10,E49)),1,0)))&gt;0,1,0))</f>
        <v/>
      </c>
      <c r="P49" s="12">
        <f>IF(H49&lt;&gt;1,0,IF((IF(Classifiers!$B$11="",0,IF(ISNUMBER(SEARCH(Classifiers!$B$11,E49)),1,0))+IF(Classifiers!$C$11="",0,IF(ISNUMBER(SEARCH(Classifiers!$C$11,E49)),1,0))+IF(Classifiers!$D$11="",0,IF(ISNUMBER(SEARCH(Classifiers!$D$11,E49)),1,0))+IF(Classifiers!$E$11="",0,IF(ISNUMBER(SEARCH(Classifiers!$E$11,E49)),1,0))+IF(Classifiers!$F$11="",0,IF(ISNUMBER(SEARCH(Classifiers!$F$11,E49)),1,0))+IF(Classifiers!$G$11="",0,IF(ISNUMBER(SEARCH(Classifiers!$G$11,E49)),1,0)))&gt;0,1,0))</f>
        <v/>
      </c>
      <c r="Q49" s="12">
        <f>IF(H49&lt;&gt;1,0,IF((IF(Classifiers!$B$12="",0,IF(ISNUMBER(SEARCH(Classifiers!$B$12,E49)),1,0))+IF(Classifiers!$C$12="",0,IF(ISNUMBER(SEARCH(Classifiers!$C$12,E49)),1,0))+IF(Classifiers!$D$12="",0,IF(ISNUMBER(SEARCH(Classifiers!$D$12,E49)),1,0))+IF(Classifiers!$E$12="",0,IF(ISNUMBER(SEARCH(Classifiers!$E$12,E49)),1,0))+IF(Classifiers!$F$12="",0,IF(ISNUMBER(SEARCH(Classifiers!$F$12,E49)),1,0))+IF(Classifiers!$G$12="",0,IF(ISNUMBER(SEARCH(Classifiers!$G$12,E49)),1,0)))&gt;0,1,0))</f>
        <v/>
      </c>
      <c r="R49" s="12">
        <f>IF(H49&lt;&gt;1,0,IF((IF(Classifiers!$B$13="",0,IF(ISNUMBER(SEARCH(Classifiers!$B$13,E49)),1,0))+IF(Classifiers!$C$13="",0,IF(ISNUMBER(SEARCH(Classifiers!$C$13,E49)),1,0))+IF(Classifiers!$D$13="",0,IF(ISNUMBER(SEARCH(Classifiers!$D$13,E49)),1,0))+IF(Classifiers!$E$13="",0,IF(ISNUMBER(SEARCH(Classifiers!$E$13,E49)),1,0))+IF(Classifiers!$F$13="",0,IF(ISNUMBER(SEARCH(Classifiers!$F$13,E49)),1,0))+IF(Classifiers!$G$13="",0,IF(ISNUMBER(SEARCH(Classifiers!$G$13,E49)),1,0)))&gt;0,1,0))</f>
        <v/>
      </c>
      <c r="S49" s="12">
        <f>IF(H49&lt;&gt;1,0,IF((IF(Classifiers!$B$14="",0,IF(ISNUMBER(SEARCH(Classifiers!$B$14,E49)),1,0))+IF(Classifiers!$C$14="",0,IF(ISNUMBER(SEARCH(Classifiers!$C$14,E49)),1,0))+IF(Classifiers!$D$14="",0,IF(ISNUMBER(SEARCH(Classifiers!$D$14,E49)),1,0))+IF(Classifiers!$E$14="",0,IF(ISNUMBER(SEARCH(Classifiers!$E$14,E49)),1,0))+IF(Classifiers!$F$14="",0,IF(ISNUMBER(SEARCH(Classifiers!$F$14,E49)),1,0))+IF(Classifiers!$G$14="",0,IF(ISNUMBER(SEARCH(Classifiers!$G$14,E49)),1,0)))&gt;0,1,0))</f>
        <v/>
      </c>
      <c r="T49" s="12">
        <f>IF(H49&lt;&gt;1,0,IF((IF(Classifiers!$B$15="",0,IF(ISNUMBER(SEARCH(Classifiers!$B$15,E49)),1,0))+IF(Classifiers!$C$15="",0,IF(ISNUMBER(SEARCH(Classifiers!$C$15,E49)),1,0))+IF(Classifiers!$D$15="",0,IF(ISNUMBER(SEARCH(Classifiers!$D$15,E49)),1,0))+IF(Classifiers!$E$15="",0,IF(ISNUMBER(SEARCH(Classifiers!$E$15,E49)),1,0))+IF(Classifiers!$F$15="",0,IF(ISNUMBER(SEARCH(Classifiers!$F$15,E49)),1,0))+IF(Classifiers!$G$15="",0,IF(ISNUMBER(SEARCH(Classifiers!$G$15,E49)),1,0)))&gt;0,1,0))</f>
        <v/>
      </c>
      <c r="U49" s="12">
        <f>IF(H49&lt;&gt;1,0,IF((IF(Classifiers!$B$16="",0,IF(ISNUMBER(SEARCH(Classifiers!$B$16,E49)),1,0))+IF(Classifiers!$C$16="",0,IF(ISNUMBER(SEARCH(Classifiers!$C$16,E49)),1,0))+IF(Classifiers!$D$16="",0,IF(ISNUMBER(SEARCH(Classifiers!$D$16,E49)),1,0))+IF(Classifiers!$E$16="",0,IF(ISNUMBER(SEARCH(Classifiers!$E$16,E49)),1,0))+IF(Classifiers!$F$16="",0,IF(ISNUMBER(SEARCH(Classifiers!$F$16,E49)),1,0))+IF(Classifiers!$G$16="",0,IF(ISNUMBER(SEARCH(Classifiers!$G$16,E49)),1,0)))&gt;0,1,0))</f>
        <v/>
      </c>
      <c r="V49" s="12">
        <f>IF(H49&lt;&gt;1,0,IF((IF(Classifiers!$B$17="",0,IF(ISNUMBER(SEARCH(Classifiers!$B$17,E49)),1,0))+IF(Classifiers!$C$17="",0,IF(ISNUMBER(SEARCH(Classifiers!$C$17,E49)),1,0))+IF(Classifiers!$D$17="",0,IF(ISNUMBER(SEARCH(Classifiers!$D$17,E49)),1,0))+IF(Classifiers!$E$17="",0,IF(ISNUMBER(SEARCH(Classifiers!$E$17,E49)),1,0))+IF(Classifiers!$F$17="",0,IF(ISNUMBER(SEARCH(Classifiers!$F$17,E49)),1,0))+IF(Classifiers!$G$17="",0,IF(ISNUMBER(SEARCH(Classifiers!$G$17,E49)),1,0)))&gt;0,1,0))</f>
        <v/>
      </c>
      <c r="W49" s="12">
        <f>IF(H49&lt;&gt;1,0,IF((IF(Classifiers!$B$18="",0,IF(ISNUMBER(SEARCH(Classifiers!$B$18,E49)),1,0))+IF(Classifiers!$C$18="",0,IF(ISNUMBER(SEARCH(Classifiers!$C$18,E49)),1,0))+IF(Classifiers!$D$18="",0,IF(ISNUMBER(SEARCH(Classifiers!$D$18,E49)),1,0))+IF(Classifiers!$E$18="",0,IF(ISNUMBER(SEARCH(Classifiers!$E$18,E49)),1,0))+IF(Classifiers!$F$18="",0,IF(ISNUMBER(SEARCH(Classifiers!$F$18,E49)),1,0))+IF(Classifiers!$G$18="",0,IF(ISNUMBER(SEARCH(Classifiers!$G$18,E49)),1,0)))&gt;0,1,0))</f>
        <v/>
      </c>
    </row>
    <row r="50">
      <c r="A50" s="8" t="n"/>
      <c r="B50" s="11" t="n"/>
      <c r="C50" s="6">
        <f>IF(A50="","",TRIM(RIGHT(SUBSTITUTE(A50,"/",REPT(" ",250)),250)))</f>
        <v/>
      </c>
      <c r="D50" s="6">
        <f>IF(C50="","",IF(ISNUMBER(SEARCH(".",C50)),LOWER("."&amp;TRIM(RIGHT(SUBSTITUTE(C50,".",REPT(" ",250)),250))),""))</f>
        <v/>
      </c>
      <c r="E50" s="6">
        <f>IF(C50="","",TRIM(SUBSTITUTE(SUBSTITUTE(SUBSTITUTE(SUBSTITUTE(SUBSTITUTE(SUBSTITUTE(SUBSTITUTE(SUBSTITUTE(SUBSTITUTE(SUBSTITUTE(SUBSTITUTE(SUBSTITUTE(SUBSTITUTE(SUBSTITUTE(SUBSTITUTE(SUBSTITUTE(SUBSTITUTE(SUBSTITUTE(SUBSTITUTE(SUBSTITUTE(LOWER(LEFT(C50,LEN(C50)-LEN(D50))),"_"," "),"-"," "),"."," "),","," "),"("," "),")"," "),"["," "),"]"," "),"&amp;"," "),"+"," "),"@"," "),"#"," "),"!"," "),"'"," "),"/"," "),":"," "),";"," "),"="," "),"~"," "),"%"," ")))</f>
        <v/>
      </c>
      <c r="F50" s="6">
        <f>IF(C50="","",IF(COUNTIF(Classifiers!$A$23:$A$40,D50)&gt;0,1,0))</f>
        <v/>
      </c>
      <c r="G50" s="6">
        <f>IF(C50="","",IF(COUNTIF(Classifiers!$C$23:$C$30,D50)&gt;0,IF((IF(ISNUMBER(SEARCH(Classifiers!$E$23,E50)),1,0)+IF(ISNUMBER(SEARCH(Classifiers!$E$24,E50)),1,0)+IF(ISNUMBER(SEARCH(Classifiers!$E$25,E50)),1,0)+IF(ISNUMBER(SEARCH(Classifiers!$E$26,E50)),1,0)+IF(ISNUMBER(SEARCH(Classifiers!$E$27,E50)),1,0)+IF(ISNUMBER(SEARCH(Classifiers!$E$28,E50)),1,0)+IF(ISNUMBER(SEARCH(Classifiers!$E$29,E50)),1,0)+IF(ISNUMBER(SEARCH(Classifiers!$E$30,E50)),1,0))&gt;0,1,0),0))</f>
        <v/>
      </c>
      <c r="H50" s="6">
        <f>IF(C50="","",IF(OR(LEFT(C50,1)=".",AND(F50=0,G50=0)),0,1))</f>
        <v/>
      </c>
      <c r="I50" s="6">
        <f>IF(H50&lt;&gt;1,"",IF(SUM(J50:W50)=0,"unclassified",INDEX(Classifiers!$A$5:$A$18,MATCH(1,J50:W50,0),1)))</f>
        <v/>
      </c>
      <c r="J50" s="12">
        <f>IF(H50&lt;&gt;1,0,IF((IF(Classifiers!$B$5="",0,IF(ISNUMBER(SEARCH(Classifiers!$B$5,E50)),1,0))+IF(Classifiers!$C$5="",0,IF(ISNUMBER(SEARCH(Classifiers!$C$5,E50)),1,0))+IF(Classifiers!$D$5="",0,IF(ISNUMBER(SEARCH(Classifiers!$D$5,E50)),1,0))+IF(Classifiers!$E$5="",0,IF(ISNUMBER(SEARCH(Classifiers!$E$5,E50)),1,0))+IF(Classifiers!$F$5="",0,IF(ISNUMBER(SEARCH(Classifiers!$F$5,E50)),1,0))+IF(Classifiers!$G$5="",0,IF(ISNUMBER(SEARCH(Classifiers!$G$5,E50)),1,0)))&gt;0,1,0))</f>
        <v/>
      </c>
      <c r="K50" s="12">
        <f>IF(H50&lt;&gt;1,0,IF((IF(Classifiers!$B$6="",0,IF(ISNUMBER(SEARCH(Classifiers!$B$6,E50)),1,0))+IF(Classifiers!$C$6="",0,IF(ISNUMBER(SEARCH(Classifiers!$C$6,E50)),1,0))+IF(Classifiers!$D$6="",0,IF(ISNUMBER(SEARCH(Classifiers!$D$6,E50)),1,0))+IF(Classifiers!$E$6="",0,IF(ISNUMBER(SEARCH(Classifiers!$E$6,E50)),1,0))+IF(Classifiers!$F$6="",0,IF(ISNUMBER(SEARCH(Classifiers!$F$6,E50)),1,0))+IF(Classifiers!$G$6="",0,IF(ISNUMBER(SEARCH(Classifiers!$G$6,E50)),1,0)))&gt;0,1,0))</f>
        <v/>
      </c>
      <c r="L50" s="12">
        <f>IF(H50&lt;&gt;1,0,IF((IF(Classifiers!$B$7="",0,IF(ISNUMBER(SEARCH(Classifiers!$B$7,E50)),1,0))+IF(Classifiers!$C$7="",0,IF(ISNUMBER(SEARCH(Classifiers!$C$7,E50)),1,0))+IF(Classifiers!$D$7="",0,IF(ISNUMBER(SEARCH(Classifiers!$D$7,E50)),1,0))+IF(Classifiers!$E$7="",0,IF(ISNUMBER(SEARCH(Classifiers!$E$7,E50)),1,0))+IF(Classifiers!$F$7="",0,IF(ISNUMBER(SEARCH(Classifiers!$F$7,E50)),1,0))+IF(Classifiers!$G$7="",0,IF(ISNUMBER(SEARCH(Classifiers!$G$7,E50)),1,0)))&gt;0,1,0))</f>
        <v/>
      </c>
      <c r="M50" s="12">
        <f>IF(H50&lt;&gt;1,0,IF((IF(Classifiers!$B$8="",0,IF(ISNUMBER(SEARCH(Classifiers!$B$8,E50)),1,0))+IF(Classifiers!$C$8="",0,IF(ISNUMBER(SEARCH(Classifiers!$C$8,E50)),1,0))+IF(Classifiers!$D$8="",0,IF(ISNUMBER(SEARCH(Classifiers!$D$8,E50)),1,0))+IF(Classifiers!$E$8="",0,IF(ISNUMBER(SEARCH(Classifiers!$E$8,E50)),1,0))+IF(Classifiers!$F$8="",0,IF(ISNUMBER(SEARCH(Classifiers!$F$8,E50)),1,0))+IF(Classifiers!$G$8="",0,IF(ISNUMBER(SEARCH(Classifiers!$G$8,E50)),1,0)))&gt;0,1,0))</f>
        <v/>
      </c>
      <c r="N50" s="12">
        <f>IF(H50&lt;&gt;1,0,IF((IF(Classifiers!$B$9="",0,IF(ISNUMBER(SEARCH(Classifiers!$B$9,E50)),1,0))+IF(Classifiers!$C$9="",0,IF(ISNUMBER(SEARCH(Classifiers!$C$9,E50)),1,0))+IF(Classifiers!$D$9="",0,IF(ISNUMBER(SEARCH(Classifiers!$D$9,E50)),1,0))+IF(Classifiers!$E$9="",0,IF(ISNUMBER(SEARCH(Classifiers!$E$9,E50)),1,0))+IF(Classifiers!$F$9="",0,IF(ISNUMBER(SEARCH(Classifiers!$F$9,E50)),1,0))+IF(Classifiers!$G$9="",0,IF(ISNUMBER(SEARCH(Classifiers!$G$9,E50)),1,0)))&gt;0,1,0))</f>
        <v/>
      </c>
      <c r="O50" s="12">
        <f>IF(H50&lt;&gt;1,0,IF((IF(Classifiers!$B$10="",0,IF(ISNUMBER(SEARCH(Classifiers!$B$10,E50)),1,0))+IF(Classifiers!$C$10="",0,IF(ISNUMBER(SEARCH(Classifiers!$C$10,E50)),1,0))+IF(Classifiers!$D$10="",0,IF(ISNUMBER(SEARCH(Classifiers!$D$10,E50)),1,0))+IF(Classifiers!$E$10="",0,IF(ISNUMBER(SEARCH(Classifiers!$E$10,E50)),1,0))+IF(Classifiers!$F$10="",0,IF(ISNUMBER(SEARCH(Classifiers!$F$10,E50)),1,0))+IF(Classifiers!$G$10="",0,IF(ISNUMBER(SEARCH(Classifiers!$G$10,E50)),1,0)))&gt;0,1,0))</f>
        <v/>
      </c>
      <c r="P50" s="12">
        <f>IF(H50&lt;&gt;1,0,IF((IF(Classifiers!$B$11="",0,IF(ISNUMBER(SEARCH(Classifiers!$B$11,E50)),1,0))+IF(Classifiers!$C$11="",0,IF(ISNUMBER(SEARCH(Classifiers!$C$11,E50)),1,0))+IF(Classifiers!$D$11="",0,IF(ISNUMBER(SEARCH(Classifiers!$D$11,E50)),1,0))+IF(Classifiers!$E$11="",0,IF(ISNUMBER(SEARCH(Classifiers!$E$11,E50)),1,0))+IF(Classifiers!$F$11="",0,IF(ISNUMBER(SEARCH(Classifiers!$F$11,E50)),1,0))+IF(Classifiers!$G$11="",0,IF(ISNUMBER(SEARCH(Classifiers!$G$11,E50)),1,0)))&gt;0,1,0))</f>
        <v/>
      </c>
      <c r="Q50" s="12">
        <f>IF(H50&lt;&gt;1,0,IF((IF(Classifiers!$B$12="",0,IF(ISNUMBER(SEARCH(Classifiers!$B$12,E50)),1,0))+IF(Classifiers!$C$12="",0,IF(ISNUMBER(SEARCH(Classifiers!$C$12,E50)),1,0))+IF(Classifiers!$D$12="",0,IF(ISNUMBER(SEARCH(Classifiers!$D$12,E50)),1,0))+IF(Classifiers!$E$12="",0,IF(ISNUMBER(SEARCH(Classifiers!$E$12,E50)),1,0))+IF(Classifiers!$F$12="",0,IF(ISNUMBER(SEARCH(Classifiers!$F$12,E50)),1,0))+IF(Classifiers!$G$12="",0,IF(ISNUMBER(SEARCH(Classifiers!$G$12,E50)),1,0)))&gt;0,1,0))</f>
        <v/>
      </c>
      <c r="R50" s="12">
        <f>IF(H50&lt;&gt;1,0,IF((IF(Classifiers!$B$13="",0,IF(ISNUMBER(SEARCH(Classifiers!$B$13,E50)),1,0))+IF(Classifiers!$C$13="",0,IF(ISNUMBER(SEARCH(Classifiers!$C$13,E50)),1,0))+IF(Classifiers!$D$13="",0,IF(ISNUMBER(SEARCH(Classifiers!$D$13,E50)),1,0))+IF(Classifiers!$E$13="",0,IF(ISNUMBER(SEARCH(Classifiers!$E$13,E50)),1,0))+IF(Classifiers!$F$13="",0,IF(ISNUMBER(SEARCH(Classifiers!$F$13,E50)),1,0))+IF(Classifiers!$G$13="",0,IF(ISNUMBER(SEARCH(Classifiers!$G$13,E50)),1,0)))&gt;0,1,0))</f>
        <v/>
      </c>
      <c r="S50" s="12">
        <f>IF(H50&lt;&gt;1,0,IF((IF(Classifiers!$B$14="",0,IF(ISNUMBER(SEARCH(Classifiers!$B$14,E50)),1,0))+IF(Classifiers!$C$14="",0,IF(ISNUMBER(SEARCH(Classifiers!$C$14,E50)),1,0))+IF(Classifiers!$D$14="",0,IF(ISNUMBER(SEARCH(Classifiers!$D$14,E50)),1,0))+IF(Classifiers!$E$14="",0,IF(ISNUMBER(SEARCH(Classifiers!$E$14,E50)),1,0))+IF(Classifiers!$F$14="",0,IF(ISNUMBER(SEARCH(Classifiers!$F$14,E50)),1,0))+IF(Classifiers!$G$14="",0,IF(ISNUMBER(SEARCH(Classifiers!$G$14,E50)),1,0)))&gt;0,1,0))</f>
        <v/>
      </c>
      <c r="T50" s="12">
        <f>IF(H50&lt;&gt;1,0,IF((IF(Classifiers!$B$15="",0,IF(ISNUMBER(SEARCH(Classifiers!$B$15,E50)),1,0))+IF(Classifiers!$C$15="",0,IF(ISNUMBER(SEARCH(Classifiers!$C$15,E50)),1,0))+IF(Classifiers!$D$15="",0,IF(ISNUMBER(SEARCH(Classifiers!$D$15,E50)),1,0))+IF(Classifiers!$E$15="",0,IF(ISNUMBER(SEARCH(Classifiers!$E$15,E50)),1,0))+IF(Classifiers!$F$15="",0,IF(ISNUMBER(SEARCH(Classifiers!$F$15,E50)),1,0))+IF(Classifiers!$G$15="",0,IF(ISNUMBER(SEARCH(Classifiers!$G$15,E50)),1,0)))&gt;0,1,0))</f>
        <v/>
      </c>
      <c r="U50" s="12">
        <f>IF(H50&lt;&gt;1,0,IF((IF(Classifiers!$B$16="",0,IF(ISNUMBER(SEARCH(Classifiers!$B$16,E50)),1,0))+IF(Classifiers!$C$16="",0,IF(ISNUMBER(SEARCH(Classifiers!$C$16,E50)),1,0))+IF(Classifiers!$D$16="",0,IF(ISNUMBER(SEARCH(Classifiers!$D$16,E50)),1,0))+IF(Classifiers!$E$16="",0,IF(ISNUMBER(SEARCH(Classifiers!$E$16,E50)),1,0))+IF(Classifiers!$F$16="",0,IF(ISNUMBER(SEARCH(Classifiers!$F$16,E50)),1,0))+IF(Classifiers!$G$16="",0,IF(ISNUMBER(SEARCH(Classifiers!$G$16,E50)),1,0)))&gt;0,1,0))</f>
        <v/>
      </c>
      <c r="V50" s="12">
        <f>IF(H50&lt;&gt;1,0,IF((IF(Classifiers!$B$17="",0,IF(ISNUMBER(SEARCH(Classifiers!$B$17,E50)),1,0))+IF(Classifiers!$C$17="",0,IF(ISNUMBER(SEARCH(Classifiers!$C$17,E50)),1,0))+IF(Classifiers!$D$17="",0,IF(ISNUMBER(SEARCH(Classifiers!$D$17,E50)),1,0))+IF(Classifiers!$E$17="",0,IF(ISNUMBER(SEARCH(Classifiers!$E$17,E50)),1,0))+IF(Classifiers!$F$17="",0,IF(ISNUMBER(SEARCH(Classifiers!$F$17,E50)),1,0))+IF(Classifiers!$G$17="",0,IF(ISNUMBER(SEARCH(Classifiers!$G$17,E50)),1,0)))&gt;0,1,0))</f>
        <v/>
      </c>
      <c r="W50" s="12">
        <f>IF(H50&lt;&gt;1,0,IF((IF(Classifiers!$B$18="",0,IF(ISNUMBER(SEARCH(Classifiers!$B$18,E50)),1,0))+IF(Classifiers!$C$18="",0,IF(ISNUMBER(SEARCH(Classifiers!$C$18,E50)),1,0))+IF(Classifiers!$D$18="",0,IF(ISNUMBER(SEARCH(Classifiers!$D$18,E50)),1,0))+IF(Classifiers!$E$18="",0,IF(ISNUMBER(SEARCH(Classifiers!$E$18,E50)),1,0))+IF(Classifiers!$F$18="",0,IF(ISNUMBER(SEARCH(Classifiers!$F$18,E50)),1,0))+IF(Classifiers!$G$18="",0,IF(ISNUMBER(SEARCH(Classifiers!$G$18,E50)),1,0)))&gt;0,1,0))</f>
        <v/>
      </c>
    </row>
    <row r="51">
      <c r="A51" s="8" t="n"/>
      <c r="B51" s="11" t="n"/>
      <c r="C51" s="6">
        <f>IF(A51="","",TRIM(RIGHT(SUBSTITUTE(A51,"/",REPT(" ",250)),250)))</f>
        <v/>
      </c>
      <c r="D51" s="6">
        <f>IF(C51="","",IF(ISNUMBER(SEARCH(".",C51)),LOWER("."&amp;TRIM(RIGHT(SUBSTITUTE(C51,".",REPT(" ",250)),250))),""))</f>
        <v/>
      </c>
      <c r="E51" s="6">
        <f>IF(C51="","",TRIM(SUBSTITUTE(SUBSTITUTE(SUBSTITUTE(SUBSTITUTE(SUBSTITUTE(SUBSTITUTE(SUBSTITUTE(SUBSTITUTE(SUBSTITUTE(SUBSTITUTE(SUBSTITUTE(SUBSTITUTE(SUBSTITUTE(SUBSTITUTE(SUBSTITUTE(SUBSTITUTE(SUBSTITUTE(SUBSTITUTE(SUBSTITUTE(SUBSTITUTE(LOWER(LEFT(C51,LEN(C51)-LEN(D51))),"_"," "),"-"," "),"."," "),","," "),"("," "),")"," "),"["," "),"]"," "),"&amp;"," "),"+"," "),"@"," "),"#"," "),"!"," "),"'"," "),"/"," "),":"," "),";"," "),"="," "),"~"," "),"%"," ")))</f>
        <v/>
      </c>
      <c r="F51" s="6">
        <f>IF(C51="","",IF(COUNTIF(Classifiers!$A$23:$A$40,D51)&gt;0,1,0))</f>
        <v/>
      </c>
      <c r="G51" s="6">
        <f>IF(C51="","",IF(COUNTIF(Classifiers!$C$23:$C$30,D51)&gt;0,IF((IF(ISNUMBER(SEARCH(Classifiers!$E$23,E51)),1,0)+IF(ISNUMBER(SEARCH(Classifiers!$E$24,E51)),1,0)+IF(ISNUMBER(SEARCH(Classifiers!$E$25,E51)),1,0)+IF(ISNUMBER(SEARCH(Classifiers!$E$26,E51)),1,0)+IF(ISNUMBER(SEARCH(Classifiers!$E$27,E51)),1,0)+IF(ISNUMBER(SEARCH(Classifiers!$E$28,E51)),1,0)+IF(ISNUMBER(SEARCH(Classifiers!$E$29,E51)),1,0)+IF(ISNUMBER(SEARCH(Classifiers!$E$30,E51)),1,0))&gt;0,1,0),0))</f>
        <v/>
      </c>
      <c r="H51" s="6">
        <f>IF(C51="","",IF(OR(LEFT(C51,1)=".",AND(F51=0,G51=0)),0,1))</f>
        <v/>
      </c>
      <c r="I51" s="6">
        <f>IF(H51&lt;&gt;1,"",IF(SUM(J51:W51)=0,"unclassified",INDEX(Classifiers!$A$5:$A$18,MATCH(1,J51:W51,0),1)))</f>
        <v/>
      </c>
      <c r="J51" s="12">
        <f>IF(H51&lt;&gt;1,0,IF((IF(Classifiers!$B$5="",0,IF(ISNUMBER(SEARCH(Classifiers!$B$5,E51)),1,0))+IF(Classifiers!$C$5="",0,IF(ISNUMBER(SEARCH(Classifiers!$C$5,E51)),1,0))+IF(Classifiers!$D$5="",0,IF(ISNUMBER(SEARCH(Classifiers!$D$5,E51)),1,0))+IF(Classifiers!$E$5="",0,IF(ISNUMBER(SEARCH(Classifiers!$E$5,E51)),1,0))+IF(Classifiers!$F$5="",0,IF(ISNUMBER(SEARCH(Classifiers!$F$5,E51)),1,0))+IF(Classifiers!$G$5="",0,IF(ISNUMBER(SEARCH(Classifiers!$G$5,E51)),1,0)))&gt;0,1,0))</f>
        <v/>
      </c>
      <c r="K51" s="12">
        <f>IF(H51&lt;&gt;1,0,IF((IF(Classifiers!$B$6="",0,IF(ISNUMBER(SEARCH(Classifiers!$B$6,E51)),1,0))+IF(Classifiers!$C$6="",0,IF(ISNUMBER(SEARCH(Classifiers!$C$6,E51)),1,0))+IF(Classifiers!$D$6="",0,IF(ISNUMBER(SEARCH(Classifiers!$D$6,E51)),1,0))+IF(Classifiers!$E$6="",0,IF(ISNUMBER(SEARCH(Classifiers!$E$6,E51)),1,0))+IF(Classifiers!$F$6="",0,IF(ISNUMBER(SEARCH(Classifiers!$F$6,E51)),1,0))+IF(Classifiers!$G$6="",0,IF(ISNUMBER(SEARCH(Classifiers!$G$6,E51)),1,0)))&gt;0,1,0))</f>
        <v/>
      </c>
      <c r="L51" s="12">
        <f>IF(H51&lt;&gt;1,0,IF((IF(Classifiers!$B$7="",0,IF(ISNUMBER(SEARCH(Classifiers!$B$7,E51)),1,0))+IF(Classifiers!$C$7="",0,IF(ISNUMBER(SEARCH(Classifiers!$C$7,E51)),1,0))+IF(Classifiers!$D$7="",0,IF(ISNUMBER(SEARCH(Classifiers!$D$7,E51)),1,0))+IF(Classifiers!$E$7="",0,IF(ISNUMBER(SEARCH(Classifiers!$E$7,E51)),1,0))+IF(Classifiers!$F$7="",0,IF(ISNUMBER(SEARCH(Classifiers!$F$7,E51)),1,0))+IF(Classifiers!$G$7="",0,IF(ISNUMBER(SEARCH(Classifiers!$G$7,E51)),1,0)))&gt;0,1,0))</f>
        <v/>
      </c>
      <c r="M51" s="12">
        <f>IF(H51&lt;&gt;1,0,IF((IF(Classifiers!$B$8="",0,IF(ISNUMBER(SEARCH(Classifiers!$B$8,E51)),1,0))+IF(Classifiers!$C$8="",0,IF(ISNUMBER(SEARCH(Classifiers!$C$8,E51)),1,0))+IF(Classifiers!$D$8="",0,IF(ISNUMBER(SEARCH(Classifiers!$D$8,E51)),1,0))+IF(Classifiers!$E$8="",0,IF(ISNUMBER(SEARCH(Classifiers!$E$8,E51)),1,0))+IF(Classifiers!$F$8="",0,IF(ISNUMBER(SEARCH(Classifiers!$F$8,E51)),1,0))+IF(Classifiers!$G$8="",0,IF(ISNUMBER(SEARCH(Classifiers!$G$8,E51)),1,0)))&gt;0,1,0))</f>
        <v/>
      </c>
      <c r="N51" s="12">
        <f>IF(H51&lt;&gt;1,0,IF((IF(Classifiers!$B$9="",0,IF(ISNUMBER(SEARCH(Classifiers!$B$9,E51)),1,0))+IF(Classifiers!$C$9="",0,IF(ISNUMBER(SEARCH(Classifiers!$C$9,E51)),1,0))+IF(Classifiers!$D$9="",0,IF(ISNUMBER(SEARCH(Classifiers!$D$9,E51)),1,0))+IF(Classifiers!$E$9="",0,IF(ISNUMBER(SEARCH(Classifiers!$E$9,E51)),1,0))+IF(Classifiers!$F$9="",0,IF(ISNUMBER(SEARCH(Classifiers!$F$9,E51)),1,0))+IF(Classifiers!$G$9="",0,IF(ISNUMBER(SEARCH(Classifiers!$G$9,E51)),1,0)))&gt;0,1,0))</f>
        <v/>
      </c>
      <c r="O51" s="12">
        <f>IF(H51&lt;&gt;1,0,IF((IF(Classifiers!$B$10="",0,IF(ISNUMBER(SEARCH(Classifiers!$B$10,E51)),1,0))+IF(Classifiers!$C$10="",0,IF(ISNUMBER(SEARCH(Classifiers!$C$10,E51)),1,0))+IF(Classifiers!$D$10="",0,IF(ISNUMBER(SEARCH(Classifiers!$D$10,E51)),1,0))+IF(Classifiers!$E$10="",0,IF(ISNUMBER(SEARCH(Classifiers!$E$10,E51)),1,0))+IF(Classifiers!$F$10="",0,IF(ISNUMBER(SEARCH(Classifiers!$F$10,E51)),1,0))+IF(Classifiers!$G$10="",0,IF(ISNUMBER(SEARCH(Classifiers!$G$10,E51)),1,0)))&gt;0,1,0))</f>
        <v/>
      </c>
      <c r="P51" s="12">
        <f>IF(H51&lt;&gt;1,0,IF((IF(Classifiers!$B$11="",0,IF(ISNUMBER(SEARCH(Classifiers!$B$11,E51)),1,0))+IF(Classifiers!$C$11="",0,IF(ISNUMBER(SEARCH(Classifiers!$C$11,E51)),1,0))+IF(Classifiers!$D$11="",0,IF(ISNUMBER(SEARCH(Classifiers!$D$11,E51)),1,0))+IF(Classifiers!$E$11="",0,IF(ISNUMBER(SEARCH(Classifiers!$E$11,E51)),1,0))+IF(Classifiers!$F$11="",0,IF(ISNUMBER(SEARCH(Classifiers!$F$11,E51)),1,0))+IF(Classifiers!$G$11="",0,IF(ISNUMBER(SEARCH(Classifiers!$G$11,E51)),1,0)))&gt;0,1,0))</f>
        <v/>
      </c>
      <c r="Q51" s="12">
        <f>IF(H51&lt;&gt;1,0,IF((IF(Classifiers!$B$12="",0,IF(ISNUMBER(SEARCH(Classifiers!$B$12,E51)),1,0))+IF(Classifiers!$C$12="",0,IF(ISNUMBER(SEARCH(Classifiers!$C$12,E51)),1,0))+IF(Classifiers!$D$12="",0,IF(ISNUMBER(SEARCH(Classifiers!$D$12,E51)),1,0))+IF(Classifiers!$E$12="",0,IF(ISNUMBER(SEARCH(Classifiers!$E$12,E51)),1,0))+IF(Classifiers!$F$12="",0,IF(ISNUMBER(SEARCH(Classifiers!$F$12,E51)),1,0))+IF(Classifiers!$G$12="",0,IF(ISNUMBER(SEARCH(Classifiers!$G$12,E51)),1,0)))&gt;0,1,0))</f>
        <v/>
      </c>
      <c r="R51" s="12">
        <f>IF(H51&lt;&gt;1,0,IF((IF(Classifiers!$B$13="",0,IF(ISNUMBER(SEARCH(Classifiers!$B$13,E51)),1,0))+IF(Classifiers!$C$13="",0,IF(ISNUMBER(SEARCH(Classifiers!$C$13,E51)),1,0))+IF(Classifiers!$D$13="",0,IF(ISNUMBER(SEARCH(Classifiers!$D$13,E51)),1,0))+IF(Classifiers!$E$13="",0,IF(ISNUMBER(SEARCH(Classifiers!$E$13,E51)),1,0))+IF(Classifiers!$F$13="",0,IF(ISNUMBER(SEARCH(Classifiers!$F$13,E51)),1,0))+IF(Classifiers!$G$13="",0,IF(ISNUMBER(SEARCH(Classifiers!$G$13,E51)),1,0)))&gt;0,1,0))</f>
        <v/>
      </c>
      <c r="S51" s="12">
        <f>IF(H51&lt;&gt;1,0,IF((IF(Classifiers!$B$14="",0,IF(ISNUMBER(SEARCH(Classifiers!$B$14,E51)),1,0))+IF(Classifiers!$C$14="",0,IF(ISNUMBER(SEARCH(Classifiers!$C$14,E51)),1,0))+IF(Classifiers!$D$14="",0,IF(ISNUMBER(SEARCH(Classifiers!$D$14,E51)),1,0))+IF(Classifiers!$E$14="",0,IF(ISNUMBER(SEARCH(Classifiers!$E$14,E51)),1,0))+IF(Classifiers!$F$14="",0,IF(ISNUMBER(SEARCH(Classifiers!$F$14,E51)),1,0))+IF(Classifiers!$G$14="",0,IF(ISNUMBER(SEARCH(Classifiers!$G$14,E51)),1,0)))&gt;0,1,0))</f>
        <v/>
      </c>
      <c r="T51" s="12">
        <f>IF(H51&lt;&gt;1,0,IF((IF(Classifiers!$B$15="",0,IF(ISNUMBER(SEARCH(Classifiers!$B$15,E51)),1,0))+IF(Classifiers!$C$15="",0,IF(ISNUMBER(SEARCH(Classifiers!$C$15,E51)),1,0))+IF(Classifiers!$D$15="",0,IF(ISNUMBER(SEARCH(Classifiers!$D$15,E51)),1,0))+IF(Classifiers!$E$15="",0,IF(ISNUMBER(SEARCH(Classifiers!$E$15,E51)),1,0))+IF(Classifiers!$F$15="",0,IF(ISNUMBER(SEARCH(Classifiers!$F$15,E51)),1,0))+IF(Classifiers!$G$15="",0,IF(ISNUMBER(SEARCH(Classifiers!$G$15,E51)),1,0)))&gt;0,1,0))</f>
        <v/>
      </c>
      <c r="U51" s="12">
        <f>IF(H51&lt;&gt;1,0,IF((IF(Classifiers!$B$16="",0,IF(ISNUMBER(SEARCH(Classifiers!$B$16,E51)),1,0))+IF(Classifiers!$C$16="",0,IF(ISNUMBER(SEARCH(Classifiers!$C$16,E51)),1,0))+IF(Classifiers!$D$16="",0,IF(ISNUMBER(SEARCH(Classifiers!$D$16,E51)),1,0))+IF(Classifiers!$E$16="",0,IF(ISNUMBER(SEARCH(Classifiers!$E$16,E51)),1,0))+IF(Classifiers!$F$16="",0,IF(ISNUMBER(SEARCH(Classifiers!$F$16,E51)),1,0))+IF(Classifiers!$G$16="",0,IF(ISNUMBER(SEARCH(Classifiers!$G$16,E51)),1,0)))&gt;0,1,0))</f>
        <v/>
      </c>
      <c r="V51" s="12">
        <f>IF(H51&lt;&gt;1,0,IF((IF(Classifiers!$B$17="",0,IF(ISNUMBER(SEARCH(Classifiers!$B$17,E51)),1,0))+IF(Classifiers!$C$17="",0,IF(ISNUMBER(SEARCH(Classifiers!$C$17,E51)),1,0))+IF(Classifiers!$D$17="",0,IF(ISNUMBER(SEARCH(Classifiers!$D$17,E51)),1,0))+IF(Classifiers!$E$17="",0,IF(ISNUMBER(SEARCH(Classifiers!$E$17,E51)),1,0))+IF(Classifiers!$F$17="",0,IF(ISNUMBER(SEARCH(Classifiers!$F$17,E51)),1,0))+IF(Classifiers!$G$17="",0,IF(ISNUMBER(SEARCH(Classifiers!$G$17,E51)),1,0)))&gt;0,1,0))</f>
        <v/>
      </c>
      <c r="W51" s="12">
        <f>IF(H51&lt;&gt;1,0,IF((IF(Classifiers!$B$18="",0,IF(ISNUMBER(SEARCH(Classifiers!$B$18,E51)),1,0))+IF(Classifiers!$C$18="",0,IF(ISNUMBER(SEARCH(Classifiers!$C$18,E51)),1,0))+IF(Classifiers!$D$18="",0,IF(ISNUMBER(SEARCH(Classifiers!$D$18,E51)),1,0))+IF(Classifiers!$E$18="",0,IF(ISNUMBER(SEARCH(Classifiers!$E$18,E51)),1,0))+IF(Classifiers!$F$18="",0,IF(ISNUMBER(SEARCH(Classifiers!$F$18,E51)),1,0))+IF(Classifiers!$G$18="",0,IF(ISNUMBER(SEARCH(Classifiers!$G$18,E51)),1,0)))&gt;0,1,0))</f>
        <v/>
      </c>
    </row>
    <row r="52">
      <c r="A52" s="8" t="n"/>
      <c r="B52" s="11" t="n"/>
      <c r="C52" s="6">
        <f>IF(A52="","",TRIM(RIGHT(SUBSTITUTE(A52,"/",REPT(" ",250)),250)))</f>
        <v/>
      </c>
      <c r="D52" s="6">
        <f>IF(C52="","",IF(ISNUMBER(SEARCH(".",C52)),LOWER("."&amp;TRIM(RIGHT(SUBSTITUTE(C52,".",REPT(" ",250)),250))),""))</f>
        <v/>
      </c>
      <c r="E52" s="6">
        <f>IF(C52="","",TRIM(SUBSTITUTE(SUBSTITUTE(SUBSTITUTE(SUBSTITUTE(SUBSTITUTE(SUBSTITUTE(SUBSTITUTE(SUBSTITUTE(SUBSTITUTE(SUBSTITUTE(SUBSTITUTE(SUBSTITUTE(SUBSTITUTE(SUBSTITUTE(SUBSTITUTE(SUBSTITUTE(SUBSTITUTE(SUBSTITUTE(SUBSTITUTE(SUBSTITUTE(LOWER(LEFT(C52,LEN(C52)-LEN(D52))),"_"," "),"-"," "),"."," "),","," "),"("," "),")"," "),"["," "),"]"," "),"&amp;"," "),"+"," "),"@"," "),"#"," "),"!"," "),"'"," "),"/"," "),":"," "),";"," "),"="," "),"~"," "),"%"," ")))</f>
        <v/>
      </c>
      <c r="F52" s="6">
        <f>IF(C52="","",IF(COUNTIF(Classifiers!$A$23:$A$40,D52)&gt;0,1,0))</f>
        <v/>
      </c>
      <c r="G52" s="6">
        <f>IF(C52="","",IF(COUNTIF(Classifiers!$C$23:$C$30,D52)&gt;0,IF((IF(ISNUMBER(SEARCH(Classifiers!$E$23,E52)),1,0)+IF(ISNUMBER(SEARCH(Classifiers!$E$24,E52)),1,0)+IF(ISNUMBER(SEARCH(Classifiers!$E$25,E52)),1,0)+IF(ISNUMBER(SEARCH(Classifiers!$E$26,E52)),1,0)+IF(ISNUMBER(SEARCH(Classifiers!$E$27,E52)),1,0)+IF(ISNUMBER(SEARCH(Classifiers!$E$28,E52)),1,0)+IF(ISNUMBER(SEARCH(Classifiers!$E$29,E52)),1,0)+IF(ISNUMBER(SEARCH(Classifiers!$E$30,E52)),1,0))&gt;0,1,0),0))</f>
        <v/>
      </c>
      <c r="H52" s="6">
        <f>IF(C52="","",IF(OR(LEFT(C52,1)=".",AND(F52=0,G52=0)),0,1))</f>
        <v/>
      </c>
      <c r="I52" s="6">
        <f>IF(H52&lt;&gt;1,"",IF(SUM(J52:W52)=0,"unclassified",INDEX(Classifiers!$A$5:$A$18,MATCH(1,J52:W52,0),1)))</f>
        <v/>
      </c>
      <c r="J52" s="12">
        <f>IF(H52&lt;&gt;1,0,IF((IF(Classifiers!$B$5="",0,IF(ISNUMBER(SEARCH(Classifiers!$B$5,E52)),1,0))+IF(Classifiers!$C$5="",0,IF(ISNUMBER(SEARCH(Classifiers!$C$5,E52)),1,0))+IF(Classifiers!$D$5="",0,IF(ISNUMBER(SEARCH(Classifiers!$D$5,E52)),1,0))+IF(Classifiers!$E$5="",0,IF(ISNUMBER(SEARCH(Classifiers!$E$5,E52)),1,0))+IF(Classifiers!$F$5="",0,IF(ISNUMBER(SEARCH(Classifiers!$F$5,E52)),1,0))+IF(Classifiers!$G$5="",0,IF(ISNUMBER(SEARCH(Classifiers!$G$5,E52)),1,0)))&gt;0,1,0))</f>
        <v/>
      </c>
      <c r="K52" s="12">
        <f>IF(H52&lt;&gt;1,0,IF((IF(Classifiers!$B$6="",0,IF(ISNUMBER(SEARCH(Classifiers!$B$6,E52)),1,0))+IF(Classifiers!$C$6="",0,IF(ISNUMBER(SEARCH(Classifiers!$C$6,E52)),1,0))+IF(Classifiers!$D$6="",0,IF(ISNUMBER(SEARCH(Classifiers!$D$6,E52)),1,0))+IF(Classifiers!$E$6="",0,IF(ISNUMBER(SEARCH(Classifiers!$E$6,E52)),1,0))+IF(Classifiers!$F$6="",0,IF(ISNUMBER(SEARCH(Classifiers!$F$6,E52)),1,0))+IF(Classifiers!$G$6="",0,IF(ISNUMBER(SEARCH(Classifiers!$G$6,E52)),1,0)))&gt;0,1,0))</f>
        <v/>
      </c>
      <c r="L52" s="12">
        <f>IF(H52&lt;&gt;1,0,IF((IF(Classifiers!$B$7="",0,IF(ISNUMBER(SEARCH(Classifiers!$B$7,E52)),1,0))+IF(Classifiers!$C$7="",0,IF(ISNUMBER(SEARCH(Classifiers!$C$7,E52)),1,0))+IF(Classifiers!$D$7="",0,IF(ISNUMBER(SEARCH(Classifiers!$D$7,E52)),1,0))+IF(Classifiers!$E$7="",0,IF(ISNUMBER(SEARCH(Classifiers!$E$7,E52)),1,0))+IF(Classifiers!$F$7="",0,IF(ISNUMBER(SEARCH(Classifiers!$F$7,E52)),1,0))+IF(Classifiers!$G$7="",0,IF(ISNUMBER(SEARCH(Classifiers!$G$7,E52)),1,0)))&gt;0,1,0))</f>
        <v/>
      </c>
      <c r="M52" s="12">
        <f>IF(H52&lt;&gt;1,0,IF((IF(Classifiers!$B$8="",0,IF(ISNUMBER(SEARCH(Classifiers!$B$8,E52)),1,0))+IF(Classifiers!$C$8="",0,IF(ISNUMBER(SEARCH(Classifiers!$C$8,E52)),1,0))+IF(Classifiers!$D$8="",0,IF(ISNUMBER(SEARCH(Classifiers!$D$8,E52)),1,0))+IF(Classifiers!$E$8="",0,IF(ISNUMBER(SEARCH(Classifiers!$E$8,E52)),1,0))+IF(Classifiers!$F$8="",0,IF(ISNUMBER(SEARCH(Classifiers!$F$8,E52)),1,0))+IF(Classifiers!$G$8="",0,IF(ISNUMBER(SEARCH(Classifiers!$G$8,E52)),1,0)))&gt;0,1,0))</f>
        <v/>
      </c>
      <c r="N52" s="12">
        <f>IF(H52&lt;&gt;1,0,IF((IF(Classifiers!$B$9="",0,IF(ISNUMBER(SEARCH(Classifiers!$B$9,E52)),1,0))+IF(Classifiers!$C$9="",0,IF(ISNUMBER(SEARCH(Classifiers!$C$9,E52)),1,0))+IF(Classifiers!$D$9="",0,IF(ISNUMBER(SEARCH(Classifiers!$D$9,E52)),1,0))+IF(Classifiers!$E$9="",0,IF(ISNUMBER(SEARCH(Classifiers!$E$9,E52)),1,0))+IF(Classifiers!$F$9="",0,IF(ISNUMBER(SEARCH(Classifiers!$F$9,E52)),1,0))+IF(Classifiers!$G$9="",0,IF(ISNUMBER(SEARCH(Classifiers!$G$9,E52)),1,0)))&gt;0,1,0))</f>
        <v/>
      </c>
      <c r="O52" s="12">
        <f>IF(H52&lt;&gt;1,0,IF((IF(Classifiers!$B$10="",0,IF(ISNUMBER(SEARCH(Classifiers!$B$10,E52)),1,0))+IF(Classifiers!$C$10="",0,IF(ISNUMBER(SEARCH(Classifiers!$C$10,E52)),1,0))+IF(Classifiers!$D$10="",0,IF(ISNUMBER(SEARCH(Classifiers!$D$10,E52)),1,0))+IF(Classifiers!$E$10="",0,IF(ISNUMBER(SEARCH(Classifiers!$E$10,E52)),1,0))+IF(Classifiers!$F$10="",0,IF(ISNUMBER(SEARCH(Classifiers!$F$10,E52)),1,0))+IF(Classifiers!$G$10="",0,IF(ISNUMBER(SEARCH(Classifiers!$G$10,E52)),1,0)))&gt;0,1,0))</f>
        <v/>
      </c>
      <c r="P52" s="12">
        <f>IF(H52&lt;&gt;1,0,IF((IF(Classifiers!$B$11="",0,IF(ISNUMBER(SEARCH(Classifiers!$B$11,E52)),1,0))+IF(Classifiers!$C$11="",0,IF(ISNUMBER(SEARCH(Classifiers!$C$11,E52)),1,0))+IF(Classifiers!$D$11="",0,IF(ISNUMBER(SEARCH(Classifiers!$D$11,E52)),1,0))+IF(Classifiers!$E$11="",0,IF(ISNUMBER(SEARCH(Classifiers!$E$11,E52)),1,0))+IF(Classifiers!$F$11="",0,IF(ISNUMBER(SEARCH(Classifiers!$F$11,E52)),1,0))+IF(Classifiers!$G$11="",0,IF(ISNUMBER(SEARCH(Classifiers!$G$11,E52)),1,0)))&gt;0,1,0))</f>
        <v/>
      </c>
      <c r="Q52" s="12">
        <f>IF(H52&lt;&gt;1,0,IF((IF(Classifiers!$B$12="",0,IF(ISNUMBER(SEARCH(Classifiers!$B$12,E52)),1,0))+IF(Classifiers!$C$12="",0,IF(ISNUMBER(SEARCH(Classifiers!$C$12,E52)),1,0))+IF(Classifiers!$D$12="",0,IF(ISNUMBER(SEARCH(Classifiers!$D$12,E52)),1,0))+IF(Classifiers!$E$12="",0,IF(ISNUMBER(SEARCH(Classifiers!$E$12,E52)),1,0))+IF(Classifiers!$F$12="",0,IF(ISNUMBER(SEARCH(Classifiers!$F$12,E52)),1,0))+IF(Classifiers!$G$12="",0,IF(ISNUMBER(SEARCH(Classifiers!$G$12,E52)),1,0)))&gt;0,1,0))</f>
        <v/>
      </c>
      <c r="R52" s="12">
        <f>IF(H52&lt;&gt;1,0,IF((IF(Classifiers!$B$13="",0,IF(ISNUMBER(SEARCH(Classifiers!$B$13,E52)),1,0))+IF(Classifiers!$C$13="",0,IF(ISNUMBER(SEARCH(Classifiers!$C$13,E52)),1,0))+IF(Classifiers!$D$13="",0,IF(ISNUMBER(SEARCH(Classifiers!$D$13,E52)),1,0))+IF(Classifiers!$E$13="",0,IF(ISNUMBER(SEARCH(Classifiers!$E$13,E52)),1,0))+IF(Classifiers!$F$13="",0,IF(ISNUMBER(SEARCH(Classifiers!$F$13,E52)),1,0))+IF(Classifiers!$G$13="",0,IF(ISNUMBER(SEARCH(Classifiers!$G$13,E52)),1,0)))&gt;0,1,0))</f>
        <v/>
      </c>
      <c r="S52" s="12">
        <f>IF(H52&lt;&gt;1,0,IF((IF(Classifiers!$B$14="",0,IF(ISNUMBER(SEARCH(Classifiers!$B$14,E52)),1,0))+IF(Classifiers!$C$14="",0,IF(ISNUMBER(SEARCH(Classifiers!$C$14,E52)),1,0))+IF(Classifiers!$D$14="",0,IF(ISNUMBER(SEARCH(Classifiers!$D$14,E52)),1,0))+IF(Classifiers!$E$14="",0,IF(ISNUMBER(SEARCH(Classifiers!$E$14,E52)),1,0))+IF(Classifiers!$F$14="",0,IF(ISNUMBER(SEARCH(Classifiers!$F$14,E52)),1,0))+IF(Classifiers!$G$14="",0,IF(ISNUMBER(SEARCH(Classifiers!$G$14,E52)),1,0)))&gt;0,1,0))</f>
        <v/>
      </c>
      <c r="T52" s="12">
        <f>IF(H52&lt;&gt;1,0,IF((IF(Classifiers!$B$15="",0,IF(ISNUMBER(SEARCH(Classifiers!$B$15,E52)),1,0))+IF(Classifiers!$C$15="",0,IF(ISNUMBER(SEARCH(Classifiers!$C$15,E52)),1,0))+IF(Classifiers!$D$15="",0,IF(ISNUMBER(SEARCH(Classifiers!$D$15,E52)),1,0))+IF(Classifiers!$E$15="",0,IF(ISNUMBER(SEARCH(Classifiers!$E$15,E52)),1,0))+IF(Classifiers!$F$15="",0,IF(ISNUMBER(SEARCH(Classifiers!$F$15,E52)),1,0))+IF(Classifiers!$G$15="",0,IF(ISNUMBER(SEARCH(Classifiers!$G$15,E52)),1,0)))&gt;0,1,0))</f>
        <v/>
      </c>
      <c r="U52" s="12">
        <f>IF(H52&lt;&gt;1,0,IF((IF(Classifiers!$B$16="",0,IF(ISNUMBER(SEARCH(Classifiers!$B$16,E52)),1,0))+IF(Classifiers!$C$16="",0,IF(ISNUMBER(SEARCH(Classifiers!$C$16,E52)),1,0))+IF(Classifiers!$D$16="",0,IF(ISNUMBER(SEARCH(Classifiers!$D$16,E52)),1,0))+IF(Classifiers!$E$16="",0,IF(ISNUMBER(SEARCH(Classifiers!$E$16,E52)),1,0))+IF(Classifiers!$F$16="",0,IF(ISNUMBER(SEARCH(Classifiers!$F$16,E52)),1,0))+IF(Classifiers!$G$16="",0,IF(ISNUMBER(SEARCH(Classifiers!$G$16,E52)),1,0)))&gt;0,1,0))</f>
        <v/>
      </c>
      <c r="V52" s="12">
        <f>IF(H52&lt;&gt;1,0,IF((IF(Classifiers!$B$17="",0,IF(ISNUMBER(SEARCH(Classifiers!$B$17,E52)),1,0))+IF(Classifiers!$C$17="",0,IF(ISNUMBER(SEARCH(Classifiers!$C$17,E52)),1,0))+IF(Classifiers!$D$17="",0,IF(ISNUMBER(SEARCH(Classifiers!$D$17,E52)),1,0))+IF(Classifiers!$E$17="",0,IF(ISNUMBER(SEARCH(Classifiers!$E$17,E52)),1,0))+IF(Classifiers!$F$17="",0,IF(ISNUMBER(SEARCH(Classifiers!$F$17,E52)),1,0))+IF(Classifiers!$G$17="",0,IF(ISNUMBER(SEARCH(Classifiers!$G$17,E52)),1,0)))&gt;0,1,0))</f>
        <v/>
      </c>
      <c r="W52" s="12">
        <f>IF(H52&lt;&gt;1,0,IF((IF(Classifiers!$B$18="",0,IF(ISNUMBER(SEARCH(Classifiers!$B$18,E52)),1,0))+IF(Classifiers!$C$18="",0,IF(ISNUMBER(SEARCH(Classifiers!$C$18,E52)),1,0))+IF(Classifiers!$D$18="",0,IF(ISNUMBER(SEARCH(Classifiers!$D$18,E52)),1,0))+IF(Classifiers!$E$18="",0,IF(ISNUMBER(SEARCH(Classifiers!$E$18,E52)),1,0))+IF(Classifiers!$F$18="",0,IF(ISNUMBER(SEARCH(Classifiers!$F$18,E52)),1,0))+IF(Classifiers!$G$18="",0,IF(ISNUMBER(SEARCH(Classifiers!$G$18,E52)),1,0)))&gt;0,1,0))</f>
        <v/>
      </c>
    </row>
    <row r="53">
      <c r="A53" s="8" t="n"/>
      <c r="B53" s="11" t="n"/>
      <c r="C53" s="6">
        <f>IF(A53="","",TRIM(RIGHT(SUBSTITUTE(A53,"/",REPT(" ",250)),250)))</f>
        <v/>
      </c>
      <c r="D53" s="6">
        <f>IF(C53="","",IF(ISNUMBER(SEARCH(".",C53)),LOWER("."&amp;TRIM(RIGHT(SUBSTITUTE(C53,".",REPT(" ",250)),250))),""))</f>
        <v/>
      </c>
      <c r="E53" s="6">
        <f>IF(C53="","",TRIM(SUBSTITUTE(SUBSTITUTE(SUBSTITUTE(SUBSTITUTE(SUBSTITUTE(SUBSTITUTE(SUBSTITUTE(SUBSTITUTE(SUBSTITUTE(SUBSTITUTE(SUBSTITUTE(SUBSTITUTE(SUBSTITUTE(SUBSTITUTE(SUBSTITUTE(SUBSTITUTE(SUBSTITUTE(SUBSTITUTE(SUBSTITUTE(SUBSTITUTE(LOWER(LEFT(C53,LEN(C53)-LEN(D53))),"_"," "),"-"," "),"."," "),","," "),"("," "),")"," "),"["," "),"]"," "),"&amp;"," "),"+"," "),"@"," "),"#"," "),"!"," "),"'"," "),"/"," "),":"," "),";"," "),"="," "),"~"," "),"%"," ")))</f>
        <v/>
      </c>
      <c r="F53" s="6">
        <f>IF(C53="","",IF(COUNTIF(Classifiers!$A$23:$A$40,D53)&gt;0,1,0))</f>
        <v/>
      </c>
      <c r="G53" s="6">
        <f>IF(C53="","",IF(COUNTIF(Classifiers!$C$23:$C$30,D53)&gt;0,IF((IF(ISNUMBER(SEARCH(Classifiers!$E$23,E53)),1,0)+IF(ISNUMBER(SEARCH(Classifiers!$E$24,E53)),1,0)+IF(ISNUMBER(SEARCH(Classifiers!$E$25,E53)),1,0)+IF(ISNUMBER(SEARCH(Classifiers!$E$26,E53)),1,0)+IF(ISNUMBER(SEARCH(Classifiers!$E$27,E53)),1,0)+IF(ISNUMBER(SEARCH(Classifiers!$E$28,E53)),1,0)+IF(ISNUMBER(SEARCH(Classifiers!$E$29,E53)),1,0)+IF(ISNUMBER(SEARCH(Classifiers!$E$30,E53)),1,0))&gt;0,1,0),0))</f>
        <v/>
      </c>
      <c r="H53" s="6">
        <f>IF(C53="","",IF(OR(LEFT(C53,1)=".",AND(F53=0,G53=0)),0,1))</f>
        <v/>
      </c>
      <c r="I53" s="6">
        <f>IF(H53&lt;&gt;1,"",IF(SUM(J53:W53)=0,"unclassified",INDEX(Classifiers!$A$5:$A$18,MATCH(1,J53:W53,0),1)))</f>
        <v/>
      </c>
      <c r="J53" s="12">
        <f>IF(H53&lt;&gt;1,0,IF((IF(Classifiers!$B$5="",0,IF(ISNUMBER(SEARCH(Classifiers!$B$5,E53)),1,0))+IF(Classifiers!$C$5="",0,IF(ISNUMBER(SEARCH(Classifiers!$C$5,E53)),1,0))+IF(Classifiers!$D$5="",0,IF(ISNUMBER(SEARCH(Classifiers!$D$5,E53)),1,0))+IF(Classifiers!$E$5="",0,IF(ISNUMBER(SEARCH(Classifiers!$E$5,E53)),1,0))+IF(Classifiers!$F$5="",0,IF(ISNUMBER(SEARCH(Classifiers!$F$5,E53)),1,0))+IF(Classifiers!$G$5="",0,IF(ISNUMBER(SEARCH(Classifiers!$G$5,E53)),1,0)))&gt;0,1,0))</f>
        <v/>
      </c>
      <c r="K53" s="12">
        <f>IF(H53&lt;&gt;1,0,IF((IF(Classifiers!$B$6="",0,IF(ISNUMBER(SEARCH(Classifiers!$B$6,E53)),1,0))+IF(Classifiers!$C$6="",0,IF(ISNUMBER(SEARCH(Classifiers!$C$6,E53)),1,0))+IF(Classifiers!$D$6="",0,IF(ISNUMBER(SEARCH(Classifiers!$D$6,E53)),1,0))+IF(Classifiers!$E$6="",0,IF(ISNUMBER(SEARCH(Classifiers!$E$6,E53)),1,0))+IF(Classifiers!$F$6="",0,IF(ISNUMBER(SEARCH(Classifiers!$F$6,E53)),1,0))+IF(Classifiers!$G$6="",0,IF(ISNUMBER(SEARCH(Classifiers!$G$6,E53)),1,0)))&gt;0,1,0))</f>
        <v/>
      </c>
      <c r="L53" s="12">
        <f>IF(H53&lt;&gt;1,0,IF((IF(Classifiers!$B$7="",0,IF(ISNUMBER(SEARCH(Classifiers!$B$7,E53)),1,0))+IF(Classifiers!$C$7="",0,IF(ISNUMBER(SEARCH(Classifiers!$C$7,E53)),1,0))+IF(Classifiers!$D$7="",0,IF(ISNUMBER(SEARCH(Classifiers!$D$7,E53)),1,0))+IF(Classifiers!$E$7="",0,IF(ISNUMBER(SEARCH(Classifiers!$E$7,E53)),1,0))+IF(Classifiers!$F$7="",0,IF(ISNUMBER(SEARCH(Classifiers!$F$7,E53)),1,0))+IF(Classifiers!$G$7="",0,IF(ISNUMBER(SEARCH(Classifiers!$G$7,E53)),1,0)))&gt;0,1,0))</f>
        <v/>
      </c>
      <c r="M53" s="12">
        <f>IF(H53&lt;&gt;1,0,IF((IF(Classifiers!$B$8="",0,IF(ISNUMBER(SEARCH(Classifiers!$B$8,E53)),1,0))+IF(Classifiers!$C$8="",0,IF(ISNUMBER(SEARCH(Classifiers!$C$8,E53)),1,0))+IF(Classifiers!$D$8="",0,IF(ISNUMBER(SEARCH(Classifiers!$D$8,E53)),1,0))+IF(Classifiers!$E$8="",0,IF(ISNUMBER(SEARCH(Classifiers!$E$8,E53)),1,0))+IF(Classifiers!$F$8="",0,IF(ISNUMBER(SEARCH(Classifiers!$F$8,E53)),1,0))+IF(Classifiers!$G$8="",0,IF(ISNUMBER(SEARCH(Classifiers!$G$8,E53)),1,0)))&gt;0,1,0))</f>
        <v/>
      </c>
      <c r="N53" s="12">
        <f>IF(H53&lt;&gt;1,0,IF((IF(Classifiers!$B$9="",0,IF(ISNUMBER(SEARCH(Classifiers!$B$9,E53)),1,0))+IF(Classifiers!$C$9="",0,IF(ISNUMBER(SEARCH(Classifiers!$C$9,E53)),1,0))+IF(Classifiers!$D$9="",0,IF(ISNUMBER(SEARCH(Classifiers!$D$9,E53)),1,0))+IF(Classifiers!$E$9="",0,IF(ISNUMBER(SEARCH(Classifiers!$E$9,E53)),1,0))+IF(Classifiers!$F$9="",0,IF(ISNUMBER(SEARCH(Classifiers!$F$9,E53)),1,0))+IF(Classifiers!$G$9="",0,IF(ISNUMBER(SEARCH(Classifiers!$G$9,E53)),1,0)))&gt;0,1,0))</f>
        <v/>
      </c>
      <c r="O53" s="12">
        <f>IF(H53&lt;&gt;1,0,IF((IF(Classifiers!$B$10="",0,IF(ISNUMBER(SEARCH(Classifiers!$B$10,E53)),1,0))+IF(Classifiers!$C$10="",0,IF(ISNUMBER(SEARCH(Classifiers!$C$10,E53)),1,0))+IF(Classifiers!$D$10="",0,IF(ISNUMBER(SEARCH(Classifiers!$D$10,E53)),1,0))+IF(Classifiers!$E$10="",0,IF(ISNUMBER(SEARCH(Classifiers!$E$10,E53)),1,0))+IF(Classifiers!$F$10="",0,IF(ISNUMBER(SEARCH(Classifiers!$F$10,E53)),1,0))+IF(Classifiers!$G$10="",0,IF(ISNUMBER(SEARCH(Classifiers!$G$10,E53)),1,0)))&gt;0,1,0))</f>
        <v/>
      </c>
      <c r="P53" s="12">
        <f>IF(H53&lt;&gt;1,0,IF((IF(Classifiers!$B$11="",0,IF(ISNUMBER(SEARCH(Classifiers!$B$11,E53)),1,0))+IF(Classifiers!$C$11="",0,IF(ISNUMBER(SEARCH(Classifiers!$C$11,E53)),1,0))+IF(Classifiers!$D$11="",0,IF(ISNUMBER(SEARCH(Classifiers!$D$11,E53)),1,0))+IF(Classifiers!$E$11="",0,IF(ISNUMBER(SEARCH(Classifiers!$E$11,E53)),1,0))+IF(Classifiers!$F$11="",0,IF(ISNUMBER(SEARCH(Classifiers!$F$11,E53)),1,0))+IF(Classifiers!$G$11="",0,IF(ISNUMBER(SEARCH(Classifiers!$G$11,E53)),1,0)))&gt;0,1,0))</f>
        <v/>
      </c>
      <c r="Q53" s="12">
        <f>IF(H53&lt;&gt;1,0,IF((IF(Classifiers!$B$12="",0,IF(ISNUMBER(SEARCH(Classifiers!$B$12,E53)),1,0))+IF(Classifiers!$C$12="",0,IF(ISNUMBER(SEARCH(Classifiers!$C$12,E53)),1,0))+IF(Classifiers!$D$12="",0,IF(ISNUMBER(SEARCH(Classifiers!$D$12,E53)),1,0))+IF(Classifiers!$E$12="",0,IF(ISNUMBER(SEARCH(Classifiers!$E$12,E53)),1,0))+IF(Classifiers!$F$12="",0,IF(ISNUMBER(SEARCH(Classifiers!$F$12,E53)),1,0))+IF(Classifiers!$G$12="",0,IF(ISNUMBER(SEARCH(Classifiers!$G$12,E53)),1,0)))&gt;0,1,0))</f>
        <v/>
      </c>
      <c r="R53" s="12">
        <f>IF(H53&lt;&gt;1,0,IF((IF(Classifiers!$B$13="",0,IF(ISNUMBER(SEARCH(Classifiers!$B$13,E53)),1,0))+IF(Classifiers!$C$13="",0,IF(ISNUMBER(SEARCH(Classifiers!$C$13,E53)),1,0))+IF(Classifiers!$D$13="",0,IF(ISNUMBER(SEARCH(Classifiers!$D$13,E53)),1,0))+IF(Classifiers!$E$13="",0,IF(ISNUMBER(SEARCH(Classifiers!$E$13,E53)),1,0))+IF(Classifiers!$F$13="",0,IF(ISNUMBER(SEARCH(Classifiers!$F$13,E53)),1,0))+IF(Classifiers!$G$13="",0,IF(ISNUMBER(SEARCH(Classifiers!$G$13,E53)),1,0)))&gt;0,1,0))</f>
        <v/>
      </c>
      <c r="S53" s="12">
        <f>IF(H53&lt;&gt;1,0,IF((IF(Classifiers!$B$14="",0,IF(ISNUMBER(SEARCH(Classifiers!$B$14,E53)),1,0))+IF(Classifiers!$C$14="",0,IF(ISNUMBER(SEARCH(Classifiers!$C$14,E53)),1,0))+IF(Classifiers!$D$14="",0,IF(ISNUMBER(SEARCH(Classifiers!$D$14,E53)),1,0))+IF(Classifiers!$E$14="",0,IF(ISNUMBER(SEARCH(Classifiers!$E$14,E53)),1,0))+IF(Classifiers!$F$14="",0,IF(ISNUMBER(SEARCH(Classifiers!$F$14,E53)),1,0))+IF(Classifiers!$G$14="",0,IF(ISNUMBER(SEARCH(Classifiers!$G$14,E53)),1,0)))&gt;0,1,0))</f>
        <v/>
      </c>
      <c r="T53" s="12">
        <f>IF(H53&lt;&gt;1,0,IF((IF(Classifiers!$B$15="",0,IF(ISNUMBER(SEARCH(Classifiers!$B$15,E53)),1,0))+IF(Classifiers!$C$15="",0,IF(ISNUMBER(SEARCH(Classifiers!$C$15,E53)),1,0))+IF(Classifiers!$D$15="",0,IF(ISNUMBER(SEARCH(Classifiers!$D$15,E53)),1,0))+IF(Classifiers!$E$15="",0,IF(ISNUMBER(SEARCH(Classifiers!$E$15,E53)),1,0))+IF(Classifiers!$F$15="",0,IF(ISNUMBER(SEARCH(Classifiers!$F$15,E53)),1,0))+IF(Classifiers!$G$15="",0,IF(ISNUMBER(SEARCH(Classifiers!$G$15,E53)),1,0)))&gt;0,1,0))</f>
        <v/>
      </c>
      <c r="U53" s="12">
        <f>IF(H53&lt;&gt;1,0,IF((IF(Classifiers!$B$16="",0,IF(ISNUMBER(SEARCH(Classifiers!$B$16,E53)),1,0))+IF(Classifiers!$C$16="",0,IF(ISNUMBER(SEARCH(Classifiers!$C$16,E53)),1,0))+IF(Classifiers!$D$16="",0,IF(ISNUMBER(SEARCH(Classifiers!$D$16,E53)),1,0))+IF(Classifiers!$E$16="",0,IF(ISNUMBER(SEARCH(Classifiers!$E$16,E53)),1,0))+IF(Classifiers!$F$16="",0,IF(ISNUMBER(SEARCH(Classifiers!$F$16,E53)),1,0))+IF(Classifiers!$G$16="",0,IF(ISNUMBER(SEARCH(Classifiers!$G$16,E53)),1,0)))&gt;0,1,0))</f>
        <v/>
      </c>
      <c r="V53" s="12">
        <f>IF(H53&lt;&gt;1,0,IF((IF(Classifiers!$B$17="",0,IF(ISNUMBER(SEARCH(Classifiers!$B$17,E53)),1,0))+IF(Classifiers!$C$17="",0,IF(ISNUMBER(SEARCH(Classifiers!$C$17,E53)),1,0))+IF(Classifiers!$D$17="",0,IF(ISNUMBER(SEARCH(Classifiers!$D$17,E53)),1,0))+IF(Classifiers!$E$17="",0,IF(ISNUMBER(SEARCH(Classifiers!$E$17,E53)),1,0))+IF(Classifiers!$F$17="",0,IF(ISNUMBER(SEARCH(Classifiers!$F$17,E53)),1,0))+IF(Classifiers!$G$17="",0,IF(ISNUMBER(SEARCH(Classifiers!$G$17,E53)),1,0)))&gt;0,1,0))</f>
        <v/>
      </c>
      <c r="W53" s="12">
        <f>IF(H53&lt;&gt;1,0,IF((IF(Classifiers!$B$18="",0,IF(ISNUMBER(SEARCH(Classifiers!$B$18,E53)),1,0))+IF(Classifiers!$C$18="",0,IF(ISNUMBER(SEARCH(Classifiers!$C$18,E53)),1,0))+IF(Classifiers!$D$18="",0,IF(ISNUMBER(SEARCH(Classifiers!$D$18,E53)),1,0))+IF(Classifiers!$E$18="",0,IF(ISNUMBER(SEARCH(Classifiers!$E$18,E53)),1,0))+IF(Classifiers!$F$18="",0,IF(ISNUMBER(SEARCH(Classifiers!$F$18,E53)),1,0))+IF(Classifiers!$G$18="",0,IF(ISNUMBER(SEARCH(Classifiers!$G$18,E53)),1,0)))&gt;0,1,0))</f>
        <v/>
      </c>
    </row>
    <row r="54">
      <c r="A54" s="8" t="n"/>
      <c r="B54" s="11" t="n"/>
      <c r="C54" s="6">
        <f>IF(A54="","",TRIM(RIGHT(SUBSTITUTE(A54,"/",REPT(" ",250)),250)))</f>
        <v/>
      </c>
      <c r="D54" s="6">
        <f>IF(C54="","",IF(ISNUMBER(SEARCH(".",C54)),LOWER("."&amp;TRIM(RIGHT(SUBSTITUTE(C54,".",REPT(" ",250)),250))),""))</f>
        <v/>
      </c>
      <c r="E54" s="6">
        <f>IF(C54="","",TRIM(SUBSTITUTE(SUBSTITUTE(SUBSTITUTE(SUBSTITUTE(SUBSTITUTE(SUBSTITUTE(SUBSTITUTE(SUBSTITUTE(SUBSTITUTE(SUBSTITUTE(SUBSTITUTE(SUBSTITUTE(SUBSTITUTE(SUBSTITUTE(SUBSTITUTE(SUBSTITUTE(SUBSTITUTE(SUBSTITUTE(SUBSTITUTE(SUBSTITUTE(LOWER(LEFT(C54,LEN(C54)-LEN(D54))),"_"," "),"-"," "),"."," "),","," "),"("," "),")"," "),"["," "),"]"," "),"&amp;"," "),"+"," "),"@"," "),"#"," "),"!"," "),"'"," "),"/"," "),":"," "),";"," "),"="," "),"~"," "),"%"," ")))</f>
        <v/>
      </c>
      <c r="F54" s="6">
        <f>IF(C54="","",IF(COUNTIF(Classifiers!$A$23:$A$40,D54)&gt;0,1,0))</f>
        <v/>
      </c>
      <c r="G54" s="6">
        <f>IF(C54="","",IF(COUNTIF(Classifiers!$C$23:$C$30,D54)&gt;0,IF((IF(ISNUMBER(SEARCH(Classifiers!$E$23,E54)),1,0)+IF(ISNUMBER(SEARCH(Classifiers!$E$24,E54)),1,0)+IF(ISNUMBER(SEARCH(Classifiers!$E$25,E54)),1,0)+IF(ISNUMBER(SEARCH(Classifiers!$E$26,E54)),1,0)+IF(ISNUMBER(SEARCH(Classifiers!$E$27,E54)),1,0)+IF(ISNUMBER(SEARCH(Classifiers!$E$28,E54)),1,0)+IF(ISNUMBER(SEARCH(Classifiers!$E$29,E54)),1,0)+IF(ISNUMBER(SEARCH(Classifiers!$E$30,E54)),1,0))&gt;0,1,0),0))</f>
        <v/>
      </c>
      <c r="H54" s="6">
        <f>IF(C54="","",IF(OR(LEFT(C54,1)=".",AND(F54=0,G54=0)),0,1))</f>
        <v/>
      </c>
      <c r="I54" s="6">
        <f>IF(H54&lt;&gt;1,"",IF(SUM(J54:W54)=0,"unclassified",INDEX(Classifiers!$A$5:$A$18,MATCH(1,J54:W54,0),1)))</f>
        <v/>
      </c>
      <c r="J54" s="12">
        <f>IF(H54&lt;&gt;1,0,IF((IF(Classifiers!$B$5="",0,IF(ISNUMBER(SEARCH(Classifiers!$B$5,E54)),1,0))+IF(Classifiers!$C$5="",0,IF(ISNUMBER(SEARCH(Classifiers!$C$5,E54)),1,0))+IF(Classifiers!$D$5="",0,IF(ISNUMBER(SEARCH(Classifiers!$D$5,E54)),1,0))+IF(Classifiers!$E$5="",0,IF(ISNUMBER(SEARCH(Classifiers!$E$5,E54)),1,0))+IF(Classifiers!$F$5="",0,IF(ISNUMBER(SEARCH(Classifiers!$F$5,E54)),1,0))+IF(Classifiers!$G$5="",0,IF(ISNUMBER(SEARCH(Classifiers!$G$5,E54)),1,0)))&gt;0,1,0))</f>
        <v/>
      </c>
      <c r="K54" s="12">
        <f>IF(H54&lt;&gt;1,0,IF((IF(Classifiers!$B$6="",0,IF(ISNUMBER(SEARCH(Classifiers!$B$6,E54)),1,0))+IF(Classifiers!$C$6="",0,IF(ISNUMBER(SEARCH(Classifiers!$C$6,E54)),1,0))+IF(Classifiers!$D$6="",0,IF(ISNUMBER(SEARCH(Classifiers!$D$6,E54)),1,0))+IF(Classifiers!$E$6="",0,IF(ISNUMBER(SEARCH(Classifiers!$E$6,E54)),1,0))+IF(Classifiers!$F$6="",0,IF(ISNUMBER(SEARCH(Classifiers!$F$6,E54)),1,0))+IF(Classifiers!$G$6="",0,IF(ISNUMBER(SEARCH(Classifiers!$G$6,E54)),1,0)))&gt;0,1,0))</f>
        <v/>
      </c>
      <c r="L54" s="12">
        <f>IF(H54&lt;&gt;1,0,IF((IF(Classifiers!$B$7="",0,IF(ISNUMBER(SEARCH(Classifiers!$B$7,E54)),1,0))+IF(Classifiers!$C$7="",0,IF(ISNUMBER(SEARCH(Classifiers!$C$7,E54)),1,0))+IF(Classifiers!$D$7="",0,IF(ISNUMBER(SEARCH(Classifiers!$D$7,E54)),1,0))+IF(Classifiers!$E$7="",0,IF(ISNUMBER(SEARCH(Classifiers!$E$7,E54)),1,0))+IF(Classifiers!$F$7="",0,IF(ISNUMBER(SEARCH(Classifiers!$F$7,E54)),1,0))+IF(Classifiers!$G$7="",0,IF(ISNUMBER(SEARCH(Classifiers!$G$7,E54)),1,0)))&gt;0,1,0))</f>
        <v/>
      </c>
      <c r="M54" s="12">
        <f>IF(H54&lt;&gt;1,0,IF((IF(Classifiers!$B$8="",0,IF(ISNUMBER(SEARCH(Classifiers!$B$8,E54)),1,0))+IF(Classifiers!$C$8="",0,IF(ISNUMBER(SEARCH(Classifiers!$C$8,E54)),1,0))+IF(Classifiers!$D$8="",0,IF(ISNUMBER(SEARCH(Classifiers!$D$8,E54)),1,0))+IF(Classifiers!$E$8="",0,IF(ISNUMBER(SEARCH(Classifiers!$E$8,E54)),1,0))+IF(Classifiers!$F$8="",0,IF(ISNUMBER(SEARCH(Classifiers!$F$8,E54)),1,0))+IF(Classifiers!$G$8="",0,IF(ISNUMBER(SEARCH(Classifiers!$G$8,E54)),1,0)))&gt;0,1,0))</f>
        <v/>
      </c>
      <c r="N54" s="12">
        <f>IF(H54&lt;&gt;1,0,IF((IF(Classifiers!$B$9="",0,IF(ISNUMBER(SEARCH(Classifiers!$B$9,E54)),1,0))+IF(Classifiers!$C$9="",0,IF(ISNUMBER(SEARCH(Classifiers!$C$9,E54)),1,0))+IF(Classifiers!$D$9="",0,IF(ISNUMBER(SEARCH(Classifiers!$D$9,E54)),1,0))+IF(Classifiers!$E$9="",0,IF(ISNUMBER(SEARCH(Classifiers!$E$9,E54)),1,0))+IF(Classifiers!$F$9="",0,IF(ISNUMBER(SEARCH(Classifiers!$F$9,E54)),1,0))+IF(Classifiers!$G$9="",0,IF(ISNUMBER(SEARCH(Classifiers!$G$9,E54)),1,0)))&gt;0,1,0))</f>
        <v/>
      </c>
      <c r="O54" s="12">
        <f>IF(H54&lt;&gt;1,0,IF((IF(Classifiers!$B$10="",0,IF(ISNUMBER(SEARCH(Classifiers!$B$10,E54)),1,0))+IF(Classifiers!$C$10="",0,IF(ISNUMBER(SEARCH(Classifiers!$C$10,E54)),1,0))+IF(Classifiers!$D$10="",0,IF(ISNUMBER(SEARCH(Classifiers!$D$10,E54)),1,0))+IF(Classifiers!$E$10="",0,IF(ISNUMBER(SEARCH(Classifiers!$E$10,E54)),1,0))+IF(Classifiers!$F$10="",0,IF(ISNUMBER(SEARCH(Classifiers!$F$10,E54)),1,0))+IF(Classifiers!$G$10="",0,IF(ISNUMBER(SEARCH(Classifiers!$G$10,E54)),1,0)))&gt;0,1,0))</f>
        <v/>
      </c>
      <c r="P54" s="12">
        <f>IF(H54&lt;&gt;1,0,IF((IF(Classifiers!$B$11="",0,IF(ISNUMBER(SEARCH(Classifiers!$B$11,E54)),1,0))+IF(Classifiers!$C$11="",0,IF(ISNUMBER(SEARCH(Classifiers!$C$11,E54)),1,0))+IF(Classifiers!$D$11="",0,IF(ISNUMBER(SEARCH(Classifiers!$D$11,E54)),1,0))+IF(Classifiers!$E$11="",0,IF(ISNUMBER(SEARCH(Classifiers!$E$11,E54)),1,0))+IF(Classifiers!$F$11="",0,IF(ISNUMBER(SEARCH(Classifiers!$F$11,E54)),1,0))+IF(Classifiers!$G$11="",0,IF(ISNUMBER(SEARCH(Classifiers!$G$11,E54)),1,0)))&gt;0,1,0))</f>
        <v/>
      </c>
      <c r="Q54" s="12">
        <f>IF(H54&lt;&gt;1,0,IF((IF(Classifiers!$B$12="",0,IF(ISNUMBER(SEARCH(Classifiers!$B$12,E54)),1,0))+IF(Classifiers!$C$12="",0,IF(ISNUMBER(SEARCH(Classifiers!$C$12,E54)),1,0))+IF(Classifiers!$D$12="",0,IF(ISNUMBER(SEARCH(Classifiers!$D$12,E54)),1,0))+IF(Classifiers!$E$12="",0,IF(ISNUMBER(SEARCH(Classifiers!$E$12,E54)),1,0))+IF(Classifiers!$F$12="",0,IF(ISNUMBER(SEARCH(Classifiers!$F$12,E54)),1,0))+IF(Classifiers!$G$12="",0,IF(ISNUMBER(SEARCH(Classifiers!$G$12,E54)),1,0)))&gt;0,1,0))</f>
        <v/>
      </c>
      <c r="R54" s="12">
        <f>IF(H54&lt;&gt;1,0,IF((IF(Classifiers!$B$13="",0,IF(ISNUMBER(SEARCH(Classifiers!$B$13,E54)),1,0))+IF(Classifiers!$C$13="",0,IF(ISNUMBER(SEARCH(Classifiers!$C$13,E54)),1,0))+IF(Classifiers!$D$13="",0,IF(ISNUMBER(SEARCH(Classifiers!$D$13,E54)),1,0))+IF(Classifiers!$E$13="",0,IF(ISNUMBER(SEARCH(Classifiers!$E$13,E54)),1,0))+IF(Classifiers!$F$13="",0,IF(ISNUMBER(SEARCH(Classifiers!$F$13,E54)),1,0))+IF(Classifiers!$G$13="",0,IF(ISNUMBER(SEARCH(Classifiers!$G$13,E54)),1,0)))&gt;0,1,0))</f>
        <v/>
      </c>
      <c r="S54" s="12">
        <f>IF(H54&lt;&gt;1,0,IF((IF(Classifiers!$B$14="",0,IF(ISNUMBER(SEARCH(Classifiers!$B$14,E54)),1,0))+IF(Classifiers!$C$14="",0,IF(ISNUMBER(SEARCH(Classifiers!$C$14,E54)),1,0))+IF(Classifiers!$D$14="",0,IF(ISNUMBER(SEARCH(Classifiers!$D$14,E54)),1,0))+IF(Classifiers!$E$14="",0,IF(ISNUMBER(SEARCH(Classifiers!$E$14,E54)),1,0))+IF(Classifiers!$F$14="",0,IF(ISNUMBER(SEARCH(Classifiers!$F$14,E54)),1,0))+IF(Classifiers!$G$14="",0,IF(ISNUMBER(SEARCH(Classifiers!$G$14,E54)),1,0)))&gt;0,1,0))</f>
        <v/>
      </c>
      <c r="T54" s="12">
        <f>IF(H54&lt;&gt;1,0,IF((IF(Classifiers!$B$15="",0,IF(ISNUMBER(SEARCH(Classifiers!$B$15,E54)),1,0))+IF(Classifiers!$C$15="",0,IF(ISNUMBER(SEARCH(Classifiers!$C$15,E54)),1,0))+IF(Classifiers!$D$15="",0,IF(ISNUMBER(SEARCH(Classifiers!$D$15,E54)),1,0))+IF(Classifiers!$E$15="",0,IF(ISNUMBER(SEARCH(Classifiers!$E$15,E54)),1,0))+IF(Classifiers!$F$15="",0,IF(ISNUMBER(SEARCH(Classifiers!$F$15,E54)),1,0))+IF(Classifiers!$G$15="",0,IF(ISNUMBER(SEARCH(Classifiers!$G$15,E54)),1,0)))&gt;0,1,0))</f>
        <v/>
      </c>
      <c r="U54" s="12">
        <f>IF(H54&lt;&gt;1,0,IF((IF(Classifiers!$B$16="",0,IF(ISNUMBER(SEARCH(Classifiers!$B$16,E54)),1,0))+IF(Classifiers!$C$16="",0,IF(ISNUMBER(SEARCH(Classifiers!$C$16,E54)),1,0))+IF(Classifiers!$D$16="",0,IF(ISNUMBER(SEARCH(Classifiers!$D$16,E54)),1,0))+IF(Classifiers!$E$16="",0,IF(ISNUMBER(SEARCH(Classifiers!$E$16,E54)),1,0))+IF(Classifiers!$F$16="",0,IF(ISNUMBER(SEARCH(Classifiers!$F$16,E54)),1,0))+IF(Classifiers!$G$16="",0,IF(ISNUMBER(SEARCH(Classifiers!$G$16,E54)),1,0)))&gt;0,1,0))</f>
        <v/>
      </c>
      <c r="V54" s="12">
        <f>IF(H54&lt;&gt;1,0,IF((IF(Classifiers!$B$17="",0,IF(ISNUMBER(SEARCH(Classifiers!$B$17,E54)),1,0))+IF(Classifiers!$C$17="",0,IF(ISNUMBER(SEARCH(Classifiers!$C$17,E54)),1,0))+IF(Classifiers!$D$17="",0,IF(ISNUMBER(SEARCH(Classifiers!$D$17,E54)),1,0))+IF(Classifiers!$E$17="",0,IF(ISNUMBER(SEARCH(Classifiers!$E$17,E54)),1,0))+IF(Classifiers!$F$17="",0,IF(ISNUMBER(SEARCH(Classifiers!$F$17,E54)),1,0))+IF(Classifiers!$G$17="",0,IF(ISNUMBER(SEARCH(Classifiers!$G$17,E54)),1,0)))&gt;0,1,0))</f>
        <v/>
      </c>
      <c r="W54" s="12">
        <f>IF(H54&lt;&gt;1,0,IF((IF(Classifiers!$B$18="",0,IF(ISNUMBER(SEARCH(Classifiers!$B$18,E54)),1,0))+IF(Classifiers!$C$18="",0,IF(ISNUMBER(SEARCH(Classifiers!$C$18,E54)),1,0))+IF(Classifiers!$D$18="",0,IF(ISNUMBER(SEARCH(Classifiers!$D$18,E54)),1,0))+IF(Classifiers!$E$18="",0,IF(ISNUMBER(SEARCH(Classifiers!$E$18,E54)),1,0))+IF(Classifiers!$F$18="",0,IF(ISNUMBER(SEARCH(Classifiers!$F$18,E54)),1,0))+IF(Classifiers!$G$18="",0,IF(ISNUMBER(SEARCH(Classifiers!$G$18,E54)),1,0)))&gt;0,1,0))</f>
        <v/>
      </c>
    </row>
    <row r="55">
      <c r="A55" s="8" t="n"/>
      <c r="B55" s="11" t="n"/>
      <c r="C55" s="6">
        <f>IF(A55="","",TRIM(RIGHT(SUBSTITUTE(A55,"/",REPT(" ",250)),250)))</f>
        <v/>
      </c>
      <c r="D55" s="6">
        <f>IF(C55="","",IF(ISNUMBER(SEARCH(".",C55)),LOWER("."&amp;TRIM(RIGHT(SUBSTITUTE(C55,".",REPT(" ",250)),250))),""))</f>
        <v/>
      </c>
      <c r="E55" s="6">
        <f>IF(C55="","",TRIM(SUBSTITUTE(SUBSTITUTE(SUBSTITUTE(SUBSTITUTE(SUBSTITUTE(SUBSTITUTE(SUBSTITUTE(SUBSTITUTE(SUBSTITUTE(SUBSTITUTE(SUBSTITUTE(SUBSTITUTE(SUBSTITUTE(SUBSTITUTE(SUBSTITUTE(SUBSTITUTE(SUBSTITUTE(SUBSTITUTE(SUBSTITUTE(SUBSTITUTE(LOWER(LEFT(C55,LEN(C55)-LEN(D55))),"_"," "),"-"," "),"."," "),","," "),"("," "),")"," "),"["," "),"]"," "),"&amp;"," "),"+"," "),"@"," "),"#"," "),"!"," "),"'"," "),"/"," "),":"," "),";"," "),"="," "),"~"," "),"%"," ")))</f>
        <v/>
      </c>
      <c r="F55" s="6">
        <f>IF(C55="","",IF(COUNTIF(Classifiers!$A$23:$A$40,D55)&gt;0,1,0))</f>
        <v/>
      </c>
      <c r="G55" s="6">
        <f>IF(C55="","",IF(COUNTIF(Classifiers!$C$23:$C$30,D55)&gt;0,IF((IF(ISNUMBER(SEARCH(Classifiers!$E$23,E55)),1,0)+IF(ISNUMBER(SEARCH(Classifiers!$E$24,E55)),1,0)+IF(ISNUMBER(SEARCH(Classifiers!$E$25,E55)),1,0)+IF(ISNUMBER(SEARCH(Classifiers!$E$26,E55)),1,0)+IF(ISNUMBER(SEARCH(Classifiers!$E$27,E55)),1,0)+IF(ISNUMBER(SEARCH(Classifiers!$E$28,E55)),1,0)+IF(ISNUMBER(SEARCH(Classifiers!$E$29,E55)),1,0)+IF(ISNUMBER(SEARCH(Classifiers!$E$30,E55)),1,0))&gt;0,1,0),0))</f>
        <v/>
      </c>
      <c r="H55" s="6">
        <f>IF(C55="","",IF(OR(LEFT(C55,1)=".",AND(F55=0,G55=0)),0,1))</f>
        <v/>
      </c>
      <c r="I55" s="6">
        <f>IF(H55&lt;&gt;1,"",IF(SUM(J55:W55)=0,"unclassified",INDEX(Classifiers!$A$5:$A$18,MATCH(1,J55:W55,0),1)))</f>
        <v/>
      </c>
      <c r="J55" s="12">
        <f>IF(H55&lt;&gt;1,0,IF((IF(Classifiers!$B$5="",0,IF(ISNUMBER(SEARCH(Classifiers!$B$5,E55)),1,0))+IF(Classifiers!$C$5="",0,IF(ISNUMBER(SEARCH(Classifiers!$C$5,E55)),1,0))+IF(Classifiers!$D$5="",0,IF(ISNUMBER(SEARCH(Classifiers!$D$5,E55)),1,0))+IF(Classifiers!$E$5="",0,IF(ISNUMBER(SEARCH(Classifiers!$E$5,E55)),1,0))+IF(Classifiers!$F$5="",0,IF(ISNUMBER(SEARCH(Classifiers!$F$5,E55)),1,0))+IF(Classifiers!$G$5="",0,IF(ISNUMBER(SEARCH(Classifiers!$G$5,E55)),1,0)))&gt;0,1,0))</f>
        <v/>
      </c>
      <c r="K55" s="12">
        <f>IF(H55&lt;&gt;1,0,IF((IF(Classifiers!$B$6="",0,IF(ISNUMBER(SEARCH(Classifiers!$B$6,E55)),1,0))+IF(Classifiers!$C$6="",0,IF(ISNUMBER(SEARCH(Classifiers!$C$6,E55)),1,0))+IF(Classifiers!$D$6="",0,IF(ISNUMBER(SEARCH(Classifiers!$D$6,E55)),1,0))+IF(Classifiers!$E$6="",0,IF(ISNUMBER(SEARCH(Classifiers!$E$6,E55)),1,0))+IF(Classifiers!$F$6="",0,IF(ISNUMBER(SEARCH(Classifiers!$F$6,E55)),1,0))+IF(Classifiers!$G$6="",0,IF(ISNUMBER(SEARCH(Classifiers!$G$6,E55)),1,0)))&gt;0,1,0))</f>
        <v/>
      </c>
      <c r="L55" s="12">
        <f>IF(H55&lt;&gt;1,0,IF((IF(Classifiers!$B$7="",0,IF(ISNUMBER(SEARCH(Classifiers!$B$7,E55)),1,0))+IF(Classifiers!$C$7="",0,IF(ISNUMBER(SEARCH(Classifiers!$C$7,E55)),1,0))+IF(Classifiers!$D$7="",0,IF(ISNUMBER(SEARCH(Classifiers!$D$7,E55)),1,0))+IF(Classifiers!$E$7="",0,IF(ISNUMBER(SEARCH(Classifiers!$E$7,E55)),1,0))+IF(Classifiers!$F$7="",0,IF(ISNUMBER(SEARCH(Classifiers!$F$7,E55)),1,0))+IF(Classifiers!$G$7="",0,IF(ISNUMBER(SEARCH(Classifiers!$G$7,E55)),1,0)))&gt;0,1,0))</f>
        <v/>
      </c>
      <c r="M55" s="12">
        <f>IF(H55&lt;&gt;1,0,IF((IF(Classifiers!$B$8="",0,IF(ISNUMBER(SEARCH(Classifiers!$B$8,E55)),1,0))+IF(Classifiers!$C$8="",0,IF(ISNUMBER(SEARCH(Classifiers!$C$8,E55)),1,0))+IF(Classifiers!$D$8="",0,IF(ISNUMBER(SEARCH(Classifiers!$D$8,E55)),1,0))+IF(Classifiers!$E$8="",0,IF(ISNUMBER(SEARCH(Classifiers!$E$8,E55)),1,0))+IF(Classifiers!$F$8="",0,IF(ISNUMBER(SEARCH(Classifiers!$F$8,E55)),1,0))+IF(Classifiers!$G$8="",0,IF(ISNUMBER(SEARCH(Classifiers!$G$8,E55)),1,0)))&gt;0,1,0))</f>
        <v/>
      </c>
      <c r="N55" s="12">
        <f>IF(H55&lt;&gt;1,0,IF((IF(Classifiers!$B$9="",0,IF(ISNUMBER(SEARCH(Classifiers!$B$9,E55)),1,0))+IF(Classifiers!$C$9="",0,IF(ISNUMBER(SEARCH(Classifiers!$C$9,E55)),1,0))+IF(Classifiers!$D$9="",0,IF(ISNUMBER(SEARCH(Classifiers!$D$9,E55)),1,0))+IF(Classifiers!$E$9="",0,IF(ISNUMBER(SEARCH(Classifiers!$E$9,E55)),1,0))+IF(Classifiers!$F$9="",0,IF(ISNUMBER(SEARCH(Classifiers!$F$9,E55)),1,0))+IF(Classifiers!$G$9="",0,IF(ISNUMBER(SEARCH(Classifiers!$G$9,E55)),1,0)))&gt;0,1,0))</f>
        <v/>
      </c>
      <c r="O55" s="12">
        <f>IF(H55&lt;&gt;1,0,IF((IF(Classifiers!$B$10="",0,IF(ISNUMBER(SEARCH(Classifiers!$B$10,E55)),1,0))+IF(Classifiers!$C$10="",0,IF(ISNUMBER(SEARCH(Classifiers!$C$10,E55)),1,0))+IF(Classifiers!$D$10="",0,IF(ISNUMBER(SEARCH(Classifiers!$D$10,E55)),1,0))+IF(Classifiers!$E$10="",0,IF(ISNUMBER(SEARCH(Classifiers!$E$10,E55)),1,0))+IF(Classifiers!$F$10="",0,IF(ISNUMBER(SEARCH(Classifiers!$F$10,E55)),1,0))+IF(Classifiers!$G$10="",0,IF(ISNUMBER(SEARCH(Classifiers!$G$10,E55)),1,0)))&gt;0,1,0))</f>
        <v/>
      </c>
      <c r="P55" s="12">
        <f>IF(H55&lt;&gt;1,0,IF((IF(Classifiers!$B$11="",0,IF(ISNUMBER(SEARCH(Classifiers!$B$11,E55)),1,0))+IF(Classifiers!$C$11="",0,IF(ISNUMBER(SEARCH(Classifiers!$C$11,E55)),1,0))+IF(Classifiers!$D$11="",0,IF(ISNUMBER(SEARCH(Classifiers!$D$11,E55)),1,0))+IF(Classifiers!$E$11="",0,IF(ISNUMBER(SEARCH(Classifiers!$E$11,E55)),1,0))+IF(Classifiers!$F$11="",0,IF(ISNUMBER(SEARCH(Classifiers!$F$11,E55)),1,0))+IF(Classifiers!$G$11="",0,IF(ISNUMBER(SEARCH(Classifiers!$G$11,E55)),1,0)))&gt;0,1,0))</f>
        <v/>
      </c>
      <c r="Q55" s="12">
        <f>IF(H55&lt;&gt;1,0,IF((IF(Classifiers!$B$12="",0,IF(ISNUMBER(SEARCH(Classifiers!$B$12,E55)),1,0))+IF(Classifiers!$C$12="",0,IF(ISNUMBER(SEARCH(Classifiers!$C$12,E55)),1,0))+IF(Classifiers!$D$12="",0,IF(ISNUMBER(SEARCH(Classifiers!$D$12,E55)),1,0))+IF(Classifiers!$E$12="",0,IF(ISNUMBER(SEARCH(Classifiers!$E$12,E55)),1,0))+IF(Classifiers!$F$12="",0,IF(ISNUMBER(SEARCH(Classifiers!$F$12,E55)),1,0))+IF(Classifiers!$G$12="",0,IF(ISNUMBER(SEARCH(Classifiers!$G$12,E55)),1,0)))&gt;0,1,0))</f>
        <v/>
      </c>
      <c r="R55" s="12">
        <f>IF(H55&lt;&gt;1,0,IF((IF(Classifiers!$B$13="",0,IF(ISNUMBER(SEARCH(Classifiers!$B$13,E55)),1,0))+IF(Classifiers!$C$13="",0,IF(ISNUMBER(SEARCH(Classifiers!$C$13,E55)),1,0))+IF(Classifiers!$D$13="",0,IF(ISNUMBER(SEARCH(Classifiers!$D$13,E55)),1,0))+IF(Classifiers!$E$13="",0,IF(ISNUMBER(SEARCH(Classifiers!$E$13,E55)),1,0))+IF(Classifiers!$F$13="",0,IF(ISNUMBER(SEARCH(Classifiers!$F$13,E55)),1,0))+IF(Classifiers!$G$13="",0,IF(ISNUMBER(SEARCH(Classifiers!$G$13,E55)),1,0)))&gt;0,1,0))</f>
        <v/>
      </c>
      <c r="S55" s="12">
        <f>IF(H55&lt;&gt;1,0,IF((IF(Classifiers!$B$14="",0,IF(ISNUMBER(SEARCH(Classifiers!$B$14,E55)),1,0))+IF(Classifiers!$C$14="",0,IF(ISNUMBER(SEARCH(Classifiers!$C$14,E55)),1,0))+IF(Classifiers!$D$14="",0,IF(ISNUMBER(SEARCH(Classifiers!$D$14,E55)),1,0))+IF(Classifiers!$E$14="",0,IF(ISNUMBER(SEARCH(Classifiers!$E$14,E55)),1,0))+IF(Classifiers!$F$14="",0,IF(ISNUMBER(SEARCH(Classifiers!$F$14,E55)),1,0))+IF(Classifiers!$G$14="",0,IF(ISNUMBER(SEARCH(Classifiers!$G$14,E55)),1,0)))&gt;0,1,0))</f>
        <v/>
      </c>
      <c r="T55" s="12">
        <f>IF(H55&lt;&gt;1,0,IF((IF(Classifiers!$B$15="",0,IF(ISNUMBER(SEARCH(Classifiers!$B$15,E55)),1,0))+IF(Classifiers!$C$15="",0,IF(ISNUMBER(SEARCH(Classifiers!$C$15,E55)),1,0))+IF(Classifiers!$D$15="",0,IF(ISNUMBER(SEARCH(Classifiers!$D$15,E55)),1,0))+IF(Classifiers!$E$15="",0,IF(ISNUMBER(SEARCH(Classifiers!$E$15,E55)),1,0))+IF(Classifiers!$F$15="",0,IF(ISNUMBER(SEARCH(Classifiers!$F$15,E55)),1,0))+IF(Classifiers!$G$15="",0,IF(ISNUMBER(SEARCH(Classifiers!$G$15,E55)),1,0)))&gt;0,1,0))</f>
        <v/>
      </c>
      <c r="U55" s="12">
        <f>IF(H55&lt;&gt;1,0,IF((IF(Classifiers!$B$16="",0,IF(ISNUMBER(SEARCH(Classifiers!$B$16,E55)),1,0))+IF(Classifiers!$C$16="",0,IF(ISNUMBER(SEARCH(Classifiers!$C$16,E55)),1,0))+IF(Classifiers!$D$16="",0,IF(ISNUMBER(SEARCH(Classifiers!$D$16,E55)),1,0))+IF(Classifiers!$E$16="",0,IF(ISNUMBER(SEARCH(Classifiers!$E$16,E55)),1,0))+IF(Classifiers!$F$16="",0,IF(ISNUMBER(SEARCH(Classifiers!$F$16,E55)),1,0))+IF(Classifiers!$G$16="",0,IF(ISNUMBER(SEARCH(Classifiers!$G$16,E55)),1,0)))&gt;0,1,0))</f>
        <v/>
      </c>
      <c r="V55" s="12">
        <f>IF(H55&lt;&gt;1,0,IF((IF(Classifiers!$B$17="",0,IF(ISNUMBER(SEARCH(Classifiers!$B$17,E55)),1,0))+IF(Classifiers!$C$17="",0,IF(ISNUMBER(SEARCH(Classifiers!$C$17,E55)),1,0))+IF(Classifiers!$D$17="",0,IF(ISNUMBER(SEARCH(Classifiers!$D$17,E55)),1,0))+IF(Classifiers!$E$17="",0,IF(ISNUMBER(SEARCH(Classifiers!$E$17,E55)),1,0))+IF(Classifiers!$F$17="",0,IF(ISNUMBER(SEARCH(Classifiers!$F$17,E55)),1,0))+IF(Classifiers!$G$17="",0,IF(ISNUMBER(SEARCH(Classifiers!$G$17,E55)),1,0)))&gt;0,1,0))</f>
        <v/>
      </c>
      <c r="W55" s="12">
        <f>IF(H55&lt;&gt;1,0,IF((IF(Classifiers!$B$18="",0,IF(ISNUMBER(SEARCH(Classifiers!$B$18,E55)),1,0))+IF(Classifiers!$C$18="",0,IF(ISNUMBER(SEARCH(Classifiers!$C$18,E55)),1,0))+IF(Classifiers!$D$18="",0,IF(ISNUMBER(SEARCH(Classifiers!$D$18,E55)),1,0))+IF(Classifiers!$E$18="",0,IF(ISNUMBER(SEARCH(Classifiers!$E$18,E55)),1,0))+IF(Classifiers!$F$18="",0,IF(ISNUMBER(SEARCH(Classifiers!$F$18,E55)),1,0))+IF(Classifiers!$G$18="",0,IF(ISNUMBER(SEARCH(Classifiers!$G$18,E55)),1,0)))&gt;0,1,0))</f>
        <v/>
      </c>
    </row>
    <row r="56">
      <c r="A56" s="8" t="n"/>
      <c r="B56" s="11" t="n"/>
      <c r="C56" s="6">
        <f>IF(A56="","",TRIM(RIGHT(SUBSTITUTE(A56,"/",REPT(" ",250)),250)))</f>
        <v/>
      </c>
      <c r="D56" s="6">
        <f>IF(C56="","",IF(ISNUMBER(SEARCH(".",C56)),LOWER("."&amp;TRIM(RIGHT(SUBSTITUTE(C56,".",REPT(" ",250)),250))),""))</f>
        <v/>
      </c>
      <c r="E56" s="6">
        <f>IF(C56="","",TRIM(SUBSTITUTE(SUBSTITUTE(SUBSTITUTE(SUBSTITUTE(SUBSTITUTE(SUBSTITUTE(SUBSTITUTE(SUBSTITUTE(SUBSTITUTE(SUBSTITUTE(SUBSTITUTE(SUBSTITUTE(SUBSTITUTE(SUBSTITUTE(SUBSTITUTE(SUBSTITUTE(SUBSTITUTE(SUBSTITUTE(SUBSTITUTE(SUBSTITUTE(LOWER(LEFT(C56,LEN(C56)-LEN(D56))),"_"," "),"-"," "),"."," "),","," "),"("," "),")"," "),"["," "),"]"," "),"&amp;"," "),"+"," "),"@"," "),"#"," "),"!"," "),"'"," "),"/"," "),":"," "),";"," "),"="," "),"~"," "),"%"," ")))</f>
        <v/>
      </c>
      <c r="F56" s="6">
        <f>IF(C56="","",IF(COUNTIF(Classifiers!$A$23:$A$40,D56)&gt;0,1,0))</f>
        <v/>
      </c>
      <c r="G56" s="6">
        <f>IF(C56="","",IF(COUNTIF(Classifiers!$C$23:$C$30,D56)&gt;0,IF((IF(ISNUMBER(SEARCH(Classifiers!$E$23,E56)),1,0)+IF(ISNUMBER(SEARCH(Classifiers!$E$24,E56)),1,0)+IF(ISNUMBER(SEARCH(Classifiers!$E$25,E56)),1,0)+IF(ISNUMBER(SEARCH(Classifiers!$E$26,E56)),1,0)+IF(ISNUMBER(SEARCH(Classifiers!$E$27,E56)),1,0)+IF(ISNUMBER(SEARCH(Classifiers!$E$28,E56)),1,0)+IF(ISNUMBER(SEARCH(Classifiers!$E$29,E56)),1,0)+IF(ISNUMBER(SEARCH(Classifiers!$E$30,E56)),1,0))&gt;0,1,0),0))</f>
        <v/>
      </c>
      <c r="H56" s="6">
        <f>IF(C56="","",IF(OR(LEFT(C56,1)=".",AND(F56=0,G56=0)),0,1))</f>
        <v/>
      </c>
      <c r="I56" s="6">
        <f>IF(H56&lt;&gt;1,"",IF(SUM(J56:W56)=0,"unclassified",INDEX(Classifiers!$A$5:$A$18,MATCH(1,J56:W56,0),1)))</f>
        <v/>
      </c>
      <c r="J56" s="12">
        <f>IF(H56&lt;&gt;1,0,IF((IF(Classifiers!$B$5="",0,IF(ISNUMBER(SEARCH(Classifiers!$B$5,E56)),1,0))+IF(Classifiers!$C$5="",0,IF(ISNUMBER(SEARCH(Classifiers!$C$5,E56)),1,0))+IF(Classifiers!$D$5="",0,IF(ISNUMBER(SEARCH(Classifiers!$D$5,E56)),1,0))+IF(Classifiers!$E$5="",0,IF(ISNUMBER(SEARCH(Classifiers!$E$5,E56)),1,0))+IF(Classifiers!$F$5="",0,IF(ISNUMBER(SEARCH(Classifiers!$F$5,E56)),1,0))+IF(Classifiers!$G$5="",0,IF(ISNUMBER(SEARCH(Classifiers!$G$5,E56)),1,0)))&gt;0,1,0))</f>
        <v/>
      </c>
      <c r="K56" s="12">
        <f>IF(H56&lt;&gt;1,0,IF((IF(Classifiers!$B$6="",0,IF(ISNUMBER(SEARCH(Classifiers!$B$6,E56)),1,0))+IF(Classifiers!$C$6="",0,IF(ISNUMBER(SEARCH(Classifiers!$C$6,E56)),1,0))+IF(Classifiers!$D$6="",0,IF(ISNUMBER(SEARCH(Classifiers!$D$6,E56)),1,0))+IF(Classifiers!$E$6="",0,IF(ISNUMBER(SEARCH(Classifiers!$E$6,E56)),1,0))+IF(Classifiers!$F$6="",0,IF(ISNUMBER(SEARCH(Classifiers!$F$6,E56)),1,0))+IF(Classifiers!$G$6="",0,IF(ISNUMBER(SEARCH(Classifiers!$G$6,E56)),1,0)))&gt;0,1,0))</f>
        <v/>
      </c>
      <c r="L56" s="12">
        <f>IF(H56&lt;&gt;1,0,IF((IF(Classifiers!$B$7="",0,IF(ISNUMBER(SEARCH(Classifiers!$B$7,E56)),1,0))+IF(Classifiers!$C$7="",0,IF(ISNUMBER(SEARCH(Classifiers!$C$7,E56)),1,0))+IF(Classifiers!$D$7="",0,IF(ISNUMBER(SEARCH(Classifiers!$D$7,E56)),1,0))+IF(Classifiers!$E$7="",0,IF(ISNUMBER(SEARCH(Classifiers!$E$7,E56)),1,0))+IF(Classifiers!$F$7="",0,IF(ISNUMBER(SEARCH(Classifiers!$F$7,E56)),1,0))+IF(Classifiers!$G$7="",0,IF(ISNUMBER(SEARCH(Classifiers!$G$7,E56)),1,0)))&gt;0,1,0))</f>
        <v/>
      </c>
      <c r="M56" s="12">
        <f>IF(H56&lt;&gt;1,0,IF((IF(Classifiers!$B$8="",0,IF(ISNUMBER(SEARCH(Classifiers!$B$8,E56)),1,0))+IF(Classifiers!$C$8="",0,IF(ISNUMBER(SEARCH(Classifiers!$C$8,E56)),1,0))+IF(Classifiers!$D$8="",0,IF(ISNUMBER(SEARCH(Classifiers!$D$8,E56)),1,0))+IF(Classifiers!$E$8="",0,IF(ISNUMBER(SEARCH(Classifiers!$E$8,E56)),1,0))+IF(Classifiers!$F$8="",0,IF(ISNUMBER(SEARCH(Classifiers!$F$8,E56)),1,0))+IF(Classifiers!$G$8="",0,IF(ISNUMBER(SEARCH(Classifiers!$G$8,E56)),1,0)))&gt;0,1,0))</f>
        <v/>
      </c>
      <c r="N56" s="12">
        <f>IF(H56&lt;&gt;1,0,IF((IF(Classifiers!$B$9="",0,IF(ISNUMBER(SEARCH(Classifiers!$B$9,E56)),1,0))+IF(Classifiers!$C$9="",0,IF(ISNUMBER(SEARCH(Classifiers!$C$9,E56)),1,0))+IF(Classifiers!$D$9="",0,IF(ISNUMBER(SEARCH(Classifiers!$D$9,E56)),1,0))+IF(Classifiers!$E$9="",0,IF(ISNUMBER(SEARCH(Classifiers!$E$9,E56)),1,0))+IF(Classifiers!$F$9="",0,IF(ISNUMBER(SEARCH(Classifiers!$F$9,E56)),1,0))+IF(Classifiers!$G$9="",0,IF(ISNUMBER(SEARCH(Classifiers!$G$9,E56)),1,0)))&gt;0,1,0))</f>
        <v/>
      </c>
      <c r="O56" s="12">
        <f>IF(H56&lt;&gt;1,0,IF((IF(Classifiers!$B$10="",0,IF(ISNUMBER(SEARCH(Classifiers!$B$10,E56)),1,0))+IF(Classifiers!$C$10="",0,IF(ISNUMBER(SEARCH(Classifiers!$C$10,E56)),1,0))+IF(Classifiers!$D$10="",0,IF(ISNUMBER(SEARCH(Classifiers!$D$10,E56)),1,0))+IF(Classifiers!$E$10="",0,IF(ISNUMBER(SEARCH(Classifiers!$E$10,E56)),1,0))+IF(Classifiers!$F$10="",0,IF(ISNUMBER(SEARCH(Classifiers!$F$10,E56)),1,0))+IF(Classifiers!$G$10="",0,IF(ISNUMBER(SEARCH(Classifiers!$G$10,E56)),1,0)))&gt;0,1,0))</f>
        <v/>
      </c>
      <c r="P56" s="12">
        <f>IF(H56&lt;&gt;1,0,IF((IF(Classifiers!$B$11="",0,IF(ISNUMBER(SEARCH(Classifiers!$B$11,E56)),1,0))+IF(Classifiers!$C$11="",0,IF(ISNUMBER(SEARCH(Classifiers!$C$11,E56)),1,0))+IF(Classifiers!$D$11="",0,IF(ISNUMBER(SEARCH(Classifiers!$D$11,E56)),1,0))+IF(Classifiers!$E$11="",0,IF(ISNUMBER(SEARCH(Classifiers!$E$11,E56)),1,0))+IF(Classifiers!$F$11="",0,IF(ISNUMBER(SEARCH(Classifiers!$F$11,E56)),1,0))+IF(Classifiers!$G$11="",0,IF(ISNUMBER(SEARCH(Classifiers!$G$11,E56)),1,0)))&gt;0,1,0))</f>
        <v/>
      </c>
      <c r="Q56" s="12">
        <f>IF(H56&lt;&gt;1,0,IF((IF(Classifiers!$B$12="",0,IF(ISNUMBER(SEARCH(Classifiers!$B$12,E56)),1,0))+IF(Classifiers!$C$12="",0,IF(ISNUMBER(SEARCH(Classifiers!$C$12,E56)),1,0))+IF(Classifiers!$D$12="",0,IF(ISNUMBER(SEARCH(Classifiers!$D$12,E56)),1,0))+IF(Classifiers!$E$12="",0,IF(ISNUMBER(SEARCH(Classifiers!$E$12,E56)),1,0))+IF(Classifiers!$F$12="",0,IF(ISNUMBER(SEARCH(Classifiers!$F$12,E56)),1,0))+IF(Classifiers!$G$12="",0,IF(ISNUMBER(SEARCH(Classifiers!$G$12,E56)),1,0)))&gt;0,1,0))</f>
        <v/>
      </c>
      <c r="R56" s="12">
        <f>IF(H56&lt;&gt;1,0,IF((IF(Classifiers!$B$13="",0,IF(ISNUMBER(SEARCH(Classifiers!$B$13,E56)),1,0))+IF(Classifiers!$C$13="",0,IF(ISNUMBER(SEARCH(Classifiers!$C$13,E56)),1,0))+IF(Classifiers!$D$13="",0,IF(ISNUMBER(SEARCH(Classifiers!$D$13,E56)),1,0))+IF(Classifiers!$E$13="",0,IF(ISNUMBER(SEARCH(Classifiers!$E$13,E56)),1,0))+IF(Classifiers!$F$13="",0,IF(ISNUMBER(SEARCH(Classifiers!$F$13,E56)),1,0))+IF(Classifiers!$G$13="",0,IF(ISNUMBER(SEARCH(Classifiers!$G$13,E56)),1,0)))&gt;0,1,0))</f>
        <v/>
      </c>
      <c r="S56" s="12">
        <f>IF(H56&lt;&gt;1,0,IF((IF(Classifiers!$B$14="",0,IF(ISNUMBER(SEARCH(Classifiers!$B$14,E56)),1,0))+IF(Classifiers!$C$14="",0,IF(ISNUMBER(SEARCH(Classifiers!$C$14,E56)),1,0))+IF(Classifiers!$D$14="",0,IF(ISNUMBER(SEARCH(Classifiers!$D$14,E56)),1,0))+IF(Classifiers!$E$14="",0,IF(ISNUMBER(SEARCH(Classifiers!$E$14,E56)),1,0))+IF(Classifiers!$F$14="",0,IF(ISNUMBER(SEARCH(Classifiers!$F$14,E56)),1,0))+IF(Classifiers!$G$14="",0,IF(ISNUMBER(SEARCH(Classifiers!$G$14,E56)),1,0)))&gt;0,1,0))</f>
        <v/>
      </c>
      <c r="T56" s="12">
        <f>IF(H56&lt;&gt;1,0,IF((IF(Classifiers!$B$15="",0,IF(ISNUMBER(SEARCH(Classifiers!$B$15,E56)),1,0))+IF(Classifiers!$C$15="",0,IF(ISNUMBER(SEARCH(Classifiers!$C$15,E56)),1,0))+IF(Classifiers!$D$15="",0,IF(ISNUMBER(SEARCH(Classifiers!$D$15,E56)),1,0))+IF(Classifiers!$E$15="",0,IF(ISNUMBER(SEARCH(Classifiers!$E$15,E56)),1,0))+IF(Classifiers!$F$15="",0,IF(ISNUMBER(SEARCH(Classifiers!$F$15,E56)),1,0))+IF(Classifiers!$G$15="",0,IF(ISNUMBER(SEARCH(Classifiers!$G$15,E56)),1,0)))&gt;0,1,0))</f>
        <v/>
      </c>
      <c r="U56" s="12">
        <f>IF(H56&lt;&gt;1,0,IF((IF(Classifiers!$B$16="",0,IF(ISNUMBER(SEARCH(Classifiers!$B$16,E56)),1,0))+IF(Classifiers!$C$16="",0,IF(ISNUMBER(SEARCH(Classifiers!$C$16,E56)),1,0))+IF(Classifiers!$D$16="",0,IF(ISNUMBER(SEARCH(Classifiers!$D$16,E56)),1,0))+IF(Classifiers!$E$16="",0,IF(ISNUMBER(SEARCH(Classifiers!$E$16,E56)),1,0))+IF(Classifiers!$F$16="",0,IF(ISNUMBER(SEARCH(Classifiers!$F$16,E56)),1,0))+IF(Classifiers!$G$16="",0,IF(ISNUMBER(SEARCH(Classifiers!$G$16,E56)),1,0)))&gt;0,1,0))</f>
        <v/>
      </c>
      <c r="V56" s="12">
        <f>IF(H56&lt;&gt;1,0,IF((IF(Classifiers!$B$17="",0,IF(ISNUMBER(SEARCH(Classifiers!$B$17,E56)),1,0))+IF(Classifiers!$C$17="",0,IF(ISNUMBER(SEARCH(Classifiers!$C$17,E56)),1,0))+IF(Classifiers!$D$17="",0,IF(ISNUMBER(SEARCH(Classifiers!$D$17,E56)),1,0))+IF(Classifiers!$E$17="",0,IF(ISNUMBER(SEARCH(Classifiers!$E$17,E56)),1,0))+IF(Classifiers!$F$17="",0,IF(ISNUMBER(SEARCH(Classifiers!$F$17,E56)),1,0))+IF(Classifiers!$G$17="",0,IF(ISNUMBER(SEARCH(Classifiers!$G$17,E56)),1,0)))&gt;0,1,0))</f>
        <v/>
      </c>
      <c r="W56" s="12">
        <f>IF(H56&lt;&gt;1,0,IF((IF(Classifiers!$B$18="",0,IF(ISNUMBER(SEARCH(Classifiers!$B$18,E56)),1,0))+IF(Classifiers!$C$18="",0,IF(ISNUMBER(SEARCH(Classifiers!$C$18,E56)),1,0))+IF(Classifiers!$D$18="",0,IF(ISNUMBER(SEARCH(Classifiers!$D$18,E56)),1,0))+IF(Classifiers!$E$18="",0,IF(ISNUMBER(SEARCH(Classifiers!$E$18,E56)),1,0))+IF(Classifiers!$F$18="",0,IF(ISNUMBER(SEARCH(Classifiers!$F$18,E56)),1,0))+IF(Classifiers!$G$18="",0,IF(ISNUMBER(SEARCH(Classifiers!$G$18,E56)),1,0)))&gt;0,1,0))</f>
        <v/>
      </c>
    </row>
    <row r="57">
      <c r="A57" s="8" t="n"/>
      <c r="B57" s="11" t="n"/>
      <c r="C57" s="6">
        <f>IF(A57="","",TRIM(RIGHT(SUBSTITUTE(A57,"/",REPT(" ",250)),250)))</f>
        <v/>
      </c>
      <c r="D57" s="6">
        <f>IF(C57="","",IF(ISNUMBER(SEARCH(".",C57)),LOWER("."&amp;TRIM(RIGHT(SUBSTITUTE(C57,".",REPT(" ",250)),250))),""))</f>
        <v/>
      </c>
      <c r="E57" s="6">
        <f>IF(C57="","",TRIM(SUBSTITUTE(SUBSTITUTE(SUBSTITUTE(SUBSTITUTE(SUBSTITUTE(SUBSTITUTE(SUBSTITUTE(SUBSTITUTE(SUBSTITUTE(SUBSTITUTE(SUBSTITUTE(SUBSTITUTE(SUBSTITUTE(SUBSTITUTE(SUBSTITUTE(SUBSTITUTE(SUBSTITUTE(SUBSTITUTE(SUBSTITUTE(SUBSTITUTE(LOWER(LEFT(C57,LEN(C57)-LEN(D57))),"_"," "),"-"," "),"."," "),","," "),"("," "),")"," "),"["," "),"]"," "),"&amp;"," "),"+"," "),"@"," "),"#"," "),"!"," "),"'"," "),"/"," "),":"," "),";"," "),"="," "),"~"," "),"%"," ")))</f>
        <v/>
      </c>
      <c r="F57" s="6">
        <f>IF(C57="","",IF(COUNTIF(Classifiers!$A$23:$A$40,D57)&gt;0,1,0))</f>
        <v/>
      </c>
      <c r="G57" s="6">
        <f>IF(C57="","",IF(COUNTIF(Classifiers!$C$23:$C$30,D57)&gt;0,IF((IF(ISNUMBER(SEARCH(Classifiers!$E$23,E57)),1,0)+IF(ISNUMBER(SEARCH(Classifiers!$E$24,E57)),1,0)+IF(ISNUMBER(SEARCH(Classifiers!$E$25,E57)),1,0)+IF(ISNUMBER(SEARCH(Classifiers!$E$26,E57)),1,0)+IF(ISNUMBER(SEARCH(Classifiers!$E$27,E57)),1,0)+IF(ISNUMBER(SEARCH(Classifiers!$E$28,E57)),1,0)+IF(ISNUMBER(SEARCH(Classifiers!$E$29,E57)),1,0)+IF(ISNUMBER(SEARCH(Classifiers!$E$30,E57)),1,0))&gt;0,1,0),0))</f>
        <v/>
      </c>
      <c r="H57" s="6">
        <f>IF(C57="","",IF(OR(LEFT(C57,1)=".",AND(F57=0,G57=0)),0,1))</f>
        <v/>
      </c>
      <c r="I57" s="6">
        <f>IF(H57&lt;&gt;1,"",IF(SUM(J57:W57)=0,"unclassified",INDEX(Classifiers!$A$5:$A$18,MATCH(1,J57:W57,0),1)))</f>
        <v/>
      </c>
      <c r="J57" s="12">
        <f>IF(H57&lt;&gt;1,0,IF((IF(Classifiers!$B$5="",0,IF(ISNUMBER(SEARCH(Classifiers!$B$5,E57)),1,0))+IF(Classifiers!$C$5="",0,IF(ISNUMBER(SEARCH(Classifiers!$C$5,E57)),1,0))+IF(Classifiers!$D$5="",0,IF(ISNUMBER(SEARCH(Classifiers!$D$5,E57)),1,0))+IF(Classifiers!$E$5="",0,IF(ISNUMBER(SEARCH(Classifiers!$E$5,E57)),1,0))+IF(Classifiers!$F$5="",0,IF(ISNUMBER(SEARCH(Classifiers!$F$5,E57)),1,0))+IF(Classifiers!$G$5="",0,IF(ISNUMBER(SEARCH(Classifiers!$G$5,E57)),1,0)))&gt;0,1,0))</f>
        <v/>
      </c>
      <c r="K57" s="12">
        <f>IF(H57&lt;&gt;1,0,IF((IF(Classifiers!$B$6="",0,IF(ISNUMBER(SEARCH(Classifiers!$B$6,E57)),1,0))+IF(Classifiers!$C$6="",0,IF(ISNUMBER(SEARCH(Classifiers!$C$6,E57)),1,0))+IF(Classifiers!$D$6="",0,IF(ISNUMBER(SEARCH(Classifiers!$D$6,E57)),1,0))+IF(Classifiers!$E$6="",0,IF(ISNUMBER(SEARCH(Classifiers!$E$6,E57)),1,0))+IF(Classifiers!$F$6="",0,IF(ISNUMBER(SEARCH(Classifiers!$F$6,E57)),1,0))+IF(Classifiers!$G$6="",0,IF(ISNUMBER(SEARCH(Classifiers!$G$6,E57)),1,0)))&gt;0,1,0))</f>
        <v/>
      </c>
      <c r="L57" s="12">
        <f>IF(H57&lt;&gt;1,0,IF((IF(Classifiers!$B$7="",0,IF(ISNUMBER(SEARCH(Classifiers!$B$7,E57)),1,0))+IF(Classifiers!$C$7="",0,IF(ISNUMBER(SEARCH(Classifiers!$C$7,E57)),1,0))+IF(Classifiers!$D$7="",0,IF(ISNUMBER(SEARCH(Classifiers!$D$7,E57)),1,0))+IF(Classifiers!$E$7="",0,IF(ISNUMBER(SEARCH(Classifiers!$E$7,E57)),1,0))+IF(Classifiers!$F$7="",0,IF(ISNUMBER(SEARCH(Classifiers!$F$7,E57)),1,0))+IF(Classifiers!$G$7="",0,IF(ISNUMBER(SEARCH(Classifiers!$G$7,E57)),1,0)))&gt;0,1,0))</f>
        <v/>
      </c>
      <c r="M57" s="12">
        <f>IF(H57&lt;&gt;1,0,IF((IF(Classifiers!$B$8="",0,IF(ISNUMBER(SEARCH(Classifiers!$B$8,E57)),1,0))+IF(Classifiers!$C$8="",0,IF(ISNUMBER(SEARCH(Classifiers!$C$8,E57)),1,0))+IF(Classifiers!$D$8="",0,IF(ISNUMBER(SEARCH(Classifiers!$D$8,E57)),1,0))+IF(Classifiers!$E$8="",0,IF(ISNUMBER(SEARCH(Classifiers!$E$8,E57)),1,0))+IF(Classifiers!$F$8="",0,IF(ISNUMBER(SEARCH(Classifiers!$F$8,E57)),1,0))+IF(Classifiers!$G$8="",0,IF(ISNUMBER(SEARCH(Classifiers!$G$8,E57)),1,0)))&gt;0,1,0))</f>
        <v/>
      </c>
      <c r="N57" s="12">
        <f>IF(H57&lt;&gt;1,0,IF((IF(Classifiers!$B$9="",0,IF(ISNUMBER(SEARCH(Classifiers!$B$9,E57)),1,0))+IF(Classifiers!$C$9="",0,IF(ISNUMBER(SEARCH(Classifiers!$C$9,E57)),1,0))+IF(Classifiers!$D$9="",0,IF(ISNUMBER(SEARCH(Classifiers!$D$9,E57)),1,0))+IF(Classifiers!$E$9="",0,IF(ISNUMBER(SEARCH(Classifiers!$E$9,E57)),1,0))+IF(Classifiers!$F$9="",0,IF(ISNUMBER(SEARCH(Classifiers!$F$9,E57)),1,0))+IF(Classifiers!$G$9="",0,IF(ISNUMBER(SEARCH(Classifiers!$G$9,E57)),1,0)))&gt;0,1,0))</f>
        <v/>
      </c>
      <c r="O57" s="12">
        <f>IF(H57&lt;&gt;1,0,IF((IF(Classifiers!$B$10="",0,IF(ISNUMBER(SEARCH(Classifiers!$B$10,E57)),1,0))+IF(Classifiers!$C$10="",0,IF(ISNUMBER(SEARCH(Classifiers!$C$10,E57)),1,0))+IF(Classifiers!$D$10="",0,IF(ISNUMBER(SEARCH(Classifiers!$D$10,E57)),1,0))+IF(Classifiers!$E$10="",0,IF(ISNUMBER(SEARCH(Classifiers!$E$10,E57)),1,0))+IF(Classifiers!$F$10="",0,IF(ISNUMBER(SEARCH(Classifiers!$F$10,E57)),1,0))+IF(Classifiers!$G$10="",0,IF(ISNUMBER(SEARCH(Classifiers!$G$10,E57)),1,0)))&gt;0,1,0))</f>
        <v/>
      </c>
      <c r="P57" s="12">
        <f>IF(H57&lt;&gt;1,0,IF((IF(Classifiers!$B$11="",0,IF(ISNUMBER(SEARCH(Classifiers!$B$11,E57)),1,0))+IF(Classifiers!$C$11="",0,IF(ISNUMBER(SEARCH(Classifiers!$C$11,E57)),1,0))+IF(Classifiers!$D$11="",0,IF(ISNUMBER(SEARCH(Classifiers!$D$11,E57)),1,0))+IF(Classifiers!$E$11="",0,IF(ISNUMBER(SEARCH(Classifiers!$E$11,E57)),1,0))+IF(Classifiers!$F$11="",0,IF(ISNUMBER(SEARCH(Classifiers!$F$11,E57)),1,0))+IF(Classifiers!$G$11="",0,IF(ISNUMBER(SEARCH(Classifiers!$G$11,E57)),1,0)))&gt;0,1,0))</f>
        <v/>
      </c>
      <c r="Q57" s="12">
        <f>IF(H57&lt;&gt;1,0,IF((IF(Classifiers!$B$12="",0,IF(ISNUMBER(SEARCH(Classifiers!$B$12,E57)),1,0))+IF(Classifiers!$C$12="",0,IF(ISNUMBER(SEARCH(Classifiers!$C$12,E57)),1,0))+IF(Classifiers!$D$12="",0,IF(ISNUMBER(SEARCH(Classifiers!$D$12,E57)),1,0))+IF(Classifiers!$E$12="",0,IF(ISNUMBER(SEARCH(Classifiers!$E$12,E57)),1,0))+IF(Classifiers!$F$12="",0,IF(ISNUMBER(SEARCH(Classifiers!$F$12,E57)),1,0))+IF(Classifiers!$G$12="",0,IF(ISNUMBER(SEARCH(Classifiers!$G$12,E57)),1,0)))&gt;0,1,0))</f>
        <v/>
      </c>
      <c r="R57" s="12">
        <f>IF(H57&lt;&gt;1,0,IF((IF(Classifiers!$B$13="",0,IF(ISNUMBER(SEARCH(Classifiers!$B$13,E57)),1,0))+IF(Classifiers!$C$13="",0,IF(ISNUMBER(SEARCH(Classifiers!$C$13,E57)),1,0))+IF(Classifiers!$D$13="",0,IF(ISNUMBER(SEARCH(Classifiers!$D$13,E57)),1,0))+IF(Classifiers!$E$13="",0,IF(ISNUMBER(SEARCH(Classifiers!$E$13,E57)),1,0))+IF(Classifiers!$F$13="",0,IF(ISNUMBER(SEARCH(Classifiers!$F$13,E57)),1,0))+IF(Classifiers!$G$13="",0,IF(ISNUMBER(SEARCH(Classifiers!$G$13,E57)),1,0)))&gt;0,1,0))</f>
        <v/>
      </c>
      <c r="S57" s="12">
        <f>IF(H57&lt;&gt;1,0,IF((IF(Classifiers!$B$14="",0,IF(ISNUMBER(SEARCH(Classifiers!$B$14,E57)),1,0))+IF(Classifiers!$C$14="",0,IF(ISNUMBER(SEARCH(Classifiers!$C$14,E57)),1,0))+IF(Classifiers!$D$14="",0,IF(ISNUMBER(SEARCH(Classifiers!$D$14,E57)),1,0))+IF(Classifiers!$E$14="",0,IF(ISNUMBER(SEARCH(Classifiers!$E$14,E57)),1,0))+IF(Classifiers!$F$14="",0,IF(ISNUMBER(SEARCH(Classifiers!$F$14,E57)),1,0))+IF(Classifiers!$G$14="",0,IF(ISNUMBER(SEARCH(Classifiers!$G$14,E57)),1,0)))&gt;0,1,0))</f>
        <v/>
      </c>
      <c r="T57" s="12">
        <f>IF(H57&lt;&gt;1,0,IF((IF(Classifiers!$B$15="",0,IF(ISNUMBER(SEARCH(Classifiers!$B$15,E57)),1,0))+IF(Classifiers!$C$15="",0,IF(ISNUMBER(SEARCH(Classifiers!$C$15,E57)),1,0))+IF(Classifiers!$D$15="",0,IF(ISNUMBER(SEARCH(Classifiers!$D$15,E57)),1,0))+IF(Classifiers!$E$15="",0,IF(ISNUMBER(SEARCH(Classifiers!$E$15,E57)),1,0))+IF(Classifiers!$F$15="",0,IF(ISNUMBER(SEARCH(Classifiers!$F$15,E57)),1,0))+IF(Classifiers!$G$15="",0,IF(ISNUMBER(SEARCH(Classifiers!$G$15,E57)),1,0)))&gt;0,1,0))</f>
        <v/>
      </c>
      <c r="U57" s="12">
        <f>IF(H57&lt;&gt;1,0,IF((IF(Classifiers!$B$16="",0,IF(ISNUMBER(SEARCH(Classifiers!$B$16,E57)),1,0))+IF(Classifiers!$C$16="",0,IF(ISNUMBER(SEARCH(Classifiers!$C$16,E57)),1,0))+IF(Classifiers!$D$16="",0,IF(ISNUMBER(SEARCH(Classifiers!$D$16,E57)),1,0))+IF(Classifiers!$E$16="",0,IF(ISNUMBER(SEARCH(Classifiers!$E$16,E57)),1,0))+IF(Classifiers!$F$16="",0,IF(ISNUMBER(SEARCH(Classifiers!$F$16,E57)),1,0))+IF(Classifiers!$G$16="",0,IF(ISNUMBER(SEARCH(Classifiers!$G$16,E57)),1,0)))&gt;0,1,0))</f>
        <v/>
      </c>
      <c r="V57" s="12">
        <f>IF(H57&lt;&gt;1,0,IF((IF(Classifiers!$B$17="",0,IF(ISNUMBER(SEARCH(Classifiers!$B$17,E57)),1,0))+IF(Classifiers!$C$17="",0,IF(ISNUMBER(SEARCH(Classifiers!$C$17,E57)),1,0))+IF(Classifiers!$D$17="",0,IF(ISNUMBER(SEARCH(Classifiers!$D$17,E57)),1,0))+IF(Classifiers!$E$17="",0,IF(ISNUMBER(SEARCH(Classifiers!$E$17,E57)),1,0))+IF(Classifiers!$F$17="",0,IF(ISNUMBER(SEARCH(Classifiers!$F$17,E57)),1,0))+IF(Classifiers!$G$17="",0,IF(ISNUMBER(SEARCH(Classifiers!$G$17,E57)),1,0)))&gt;0,1,0))</f>
        <v/>
      </c>
      <c r="W57" s="12">
        <f>IF(H57&lt;&gt;1,0,IF((IF(Classifiers!$B$18="",0,IF(ISNUMBER(SEARCH(Classifiers!$B$18,E57)),1,0))+IF(Classifiers!$C$18="",0,IF(ISNUMBER(SEARCH(Classifiers!$C$18,E57)),1,0))+IF(Classifiers!$D$18="",0,IF(ISNUMBER(SEARCH(Classifiers!$D$18,E57)),1,0))+IF(Classifiers!$E$18="",0,IF(ISNUMBER(SEARCH(Classifiers!$E$18,E57)),1,0))+IF(Classifiers!$F$18="",0,IF(ISNUMBER(SEARCH(Classifiers!$F$18,E57)),1,0))+IF(Classifiers!$G$18="",0,IF(ISNUMBER(SEARCH(Classifiers!$G$18,E57)),1,0)))&gt;0,1,0))</f>
        <v/>
      </c>
    </row>
    <row r="58">
      <c r="A58" s="8" t="n"/>
      <c r="B58" s="11" t="n"/>
      <c r="C58" s="6">
        <f>IF(A58="","",TRIM(RIGHT(SUBSTITUTE(A58,"/",REPT(" ",250)),250)))</f>
        <v/>
      </c>
      <c r="D58" s="6">
        <f>IF(C58="","",IF(ISNUMBER(SEARCH(".",C58)),LOWER("."&amp;TRIM(RIGHT(SUBSTITUTE(C58,".",REPT(" ",250)),250))),""))</f>
        <v/>
      </c>
      <c r="E58" s="6">
        <f>IF(C58="","",TRIM(SUBSTITUTE(SUBSTITUTE(SUBSTITUTE(SUBSTITUTE(SUBSTITUTE(SUBSTITUTE(SUBSTITUTE(SUBSTITUTE(SUBSTITUTE(SUBSTITUTE(SUBSTITUTE(SUBSTITUTE(SUBSTITUTE(SUBSTITUTE(SUBSTITUTE(SUBSTITUTE(SUBSTITUTE(SUBSTITUTE(SUBSTITUTE(SUBSTITUTE(LOWER(LEFT(C58,LEN(C58)-LEN(D58))),"_"," "),"-"," "),"."," "),","," "),"("," "),")"," "),"["," "),"]"," "),"&amp;"," "),"+"," "),"@"," "),"#"," "),"!"," "),"'"," "),"/"," "),":"," "),";"," "),"="," "),"~"," "),"%"," ")))</f>
        <v/>
      </c>
      <c r="F58" s="6">
        <f>IF(C58="","",IF(COUNTIF(Classifiers!$A$23:$A$40,D58)&gt;0,1,0))</f>
        <v/>
      </c>
      <c r="G58" s="6">
        <f>IF(C58="","",IF(COUNTIF(Classifiers!$C$23:$C$30,D58)&gt;0,IF((IF(ISNUMBER(SEARCH(Classifiers!$E$23,E58)),1,0)+IF(ISNUMBER(SEARCH(Classifiers!$E$24,E58)),1,0)+IF(ISNUMBER(SEARCH(Classifiers!$E$25,E58)),1,0)+IF(ISNUMBER(SEARCH(Classifiers!$E$26,E58)),1,0)+IF(ISNUMBER(SEARCH(Classifiers!$E$27,E58)),1,0)+IF(ISNUMBER(SEARCH(Classifiers!$E$28,E58)),1,0)+IF(ISNUMBER(SEARCH(Classifiers!$E$29,E58)),1,0)+IF(ISNUMBER(SEARCH(Classifiers!$E$30,E58)),1,0))&gt;0,1,0),0))</f>
        <v/>
      </c>
      <c r="H58" s="6">
        <f>IF(C58="","",IF(OR(LEFT(C58,1)=".",AND(F58=0,G58=0)),0,1))</f>
        <v/>
      </c>
      <c r="I58" s="6">
        <f>IF(H58&lt;&gt;1,"",IF(SUM(J58:W58)=0,"unclassified",INDEX(Classifiers!$A$5:$A$18,MATCH(1,J58:W58,0),1)))</f>
        <v/>
      </c>
      <c r="J58" s="12">
        <f>IF(H58&lt;&gt;1,0,IF((IF(Classifiers!$B$5="",0,IF(ISNUMBER(SEARCH(Classifiers!$B$5,E58)),1,0))+IF(Classifiers!$C$5="",0,IF(ISNUMBER(SEARCH(Classifiers!$C$5,E58)),1,0))+IF(Classifiers!$D$5="",0,IF(ISNUMBER(SEARCH(Classifiers!$D$5,E58)),1,0))+IF(Classifiers!$E$5="",0,IF(ISNUMBER(SEARCH(Classifiers!$E$5,E58)),1,0))+IF(Classifiers!$F$5="",0,IF(ISNUMBER(SEARCH(Classifiers!$F$5,E58)),1,0))+IF(Classifiers!$G$5="",0,IF(ISNUMBER(SEARCH(Classifiers!$G$5,E58)),1,0)))&gt;0,1,0))</f>
        <v/>
      </c>
      <c r="K58" s="12">
        <f>IF(H58&lt;&gt;1,0,IF((IF(Classifiers!$B$6="",0,IF(ISNUMBER(SEARCH(Classifiers!$B$6,E58)),1,0))+IF(Classifiers!$C$6="",0,IF(ISNUMBER(SEARCH(Classifiers!$C$6,E58)),1,0))+IF(Classifiers!$D$6="",0,IF(ISNUMBER(SEARCH(Classifiers!$D$6,E58)),1,0))+IF(Classifiers!$E$6="",0,IF(ISNUMBER(SEARCH(Classifiers!$E$6,E58)),1,0))+IF(Classifiers!$F$6="",0,IF(ISNUMBER(SEARCH(Classifiers!$F$6,E58)),1,0))+IF(Classifiers!$G$6="",0,IF(ISNUMBER(SEARCH(Classifiers!$G$6,E58)),1,0)))&gt;0,1,0))</f>
        <v/>
      </c>
      <c r="L58" s="12">
        <f>IF(H58&lt;&gt;1,0,IF((IF(Classifiers!$B$7="",0,IF(ISNUMBER(SEARCH(Classifiers!$B$7,E58)),1,0))+IF(Classifiers!$C$7="",0,IF(ISNUMBER(SEARCH(Classifiers!$C$7,E58)),1,0))+IF(Classifiers!$D$7="",0,IF(ISNUMBER(SEARCH(Classifiers!$D$7,E58)),1,0))+IF(Classifiers!$E$7="",0,IF(ISNUMBER(SEARCH(Classifiers!$E$7,E58)),1,0))+IF(Classifiers!$F$7="",0,IF(ISNUMBER(SEARCH(Classifiers!$F$7,E58)),1,0))+IF(Classifiers!$G$7="",0,IF(ISNUMBER(SEARCH(Classifiers!$G$7,E58)),1,0)))&gt;0,1,0))</f>
        <v/>
      </c>
      <c r="M58" s="12">
        <f>IF(H58&lt;&gt;1,0,IF((IF(Classifiers!$B$8="",0,IF(ISNUMBER(SEARCH(Classifiers!$B$8,E58)),1,0))+IF(Classifiers!$C$8="",0,IF(ISNUMBER(SEARCH(Classifiers!$C$8,E58)),1,0))+IF(Classifiers!$D$8="",0,IF(ISNUMBER(SEARCH(Classifiers!$D$8,E58)),1,0))+IF(Classifiers!$E$8="",0,IF(ISNUMBER(SEARCH(Classifiers!$E$8,E58)),1,0))+IF(Classifiers!$F$8="",0,IF(ISNUMBER(SEARCH(Classifiers!$F$8,E58)),1,0))+IF(Classifiers!$G$8="",0,IF(ISNUMBER(SEARCH(Classifiers!$G$8,E58)),1,0)))&gt;0,1,0))</f>
        <v/>
      </c>
      <c r="N58" s="12">
        <f>IF(H58&lt;&gt;1,0,IF((IF(Classifiers!$B$9="",0,IF(ISNUMBER(SEARCH(Classifiers!$B$9,E58)),1,0))+IF(Classifiers!$C$9="",0,IF(ISNUMBER(SEARCH(Classifiers!$C$9,E58)),1,0))+IF(Classifiers!$D$9="",0,IF(ISNUMBER(SEARCH(Classifiers!$D$9,E58)),1,0))+IF(Classifiers!$E$9="",0,IF(ISNUMBER(SEARCH(Classifiers!$E$9,E58)),1,0))+IF(Classifiers!$F$9="",0,IF(ISNUMBER(SEARCH(Classifiers!$F$9,E58)),1,0))+IF(Classifiers!$G$9="",0,IF(ISNUMBER(SEARCH(Classifiers!$G$9,E58)),1,0)))&gt;0,1,0))</f>
        <v/>
      </c>
      <c r="O58" s="12">
        <f>IF(H58&lt;&gt;1,0,IF((IF(Classifiers!$B$10="",0,IF(ISNUMBER(SEARCH(Classifiers!$B$10,E58)),1,0))+IF(Classifiers!$C$10="",0,IF(ISNUMBER(SEARCH(Classifiers!$C$10,E58)),1,0))+IF(Classifiers!$D$10="",0,IF(ISNUMBER(SEARCH(Classifiers!$D$10,E58)),1,0))+IF(Classifiers!$E$10="",0,IF(ISNUMBER(SEARCH(Classifiers!$E$10,E58)),1,0))+IF(Classifiers!$F$10="",0,IF(ISNUMBER(SEARCH(Classifiers!$F$10,E58)),1,0))+IF(Classifiers!$G$10="",0,IF(ISNUMBER(SEARCH(Classifiers!$G$10,E58)),1,0)))&gt;0,1,0))</f>
        <v/>
      </c>
      <c r="P58" s="12">
        <f>IF(H58&lt;&gt;1,0,IF((IF(Classifiers!$B$11="",0,IF(ISNUMBER(SEARCH(Classifiers!$B$11,E58)),1,0))+IF(Classifiers!$C$11="",0,IF(ISNUMBER(SEARCH(Classifiers!$C$11,E58)),1,0))+IF(Classifiers!$D$11="",0,IF(ISNUMBER(SEARCH(Classifiers!$D$11,E58)),1,0))+IF(Classifiers!$E$11="",0,IF(ISNUMBER(SEARCH(Classifiers!$E$11,E58)),1,0))+IF(Classifiers!$F$11="",0,IF(ISNUMBER(SEARCH(Classifiers!$F$11,E58)),1,0))+IF(Classifiers!$G$11="",0,IF(ISNUMBER(SEARCH(Classifiers!$G$11,E58)),1,0)))&gt;0,1,0))</f>
        <v/>
      </c>
      <c r="Q58" s="12">
        <f>IF(H58&lt;&gt;1,0,IF((IF(Classifiers!$B$12="",0,IF(ISNUMBER(SEARCH(Classifiers!$B$12,E58)),1,0))+IF(Classifiers!$C$12="",0,IF(ISNUMBER(SEARCH(Classifiers!$C$12,E58)),1,0))+IF(Classifiers!$D$12="",0,IF(ISNUMBER(SEARCH(Classifiers!$D$12,E58)),1,0))+IF(Classifiers!$E$12="",0,IF(ISNUMBER(SEARCH(Classifiers!$E$12,E58)),1,0))+IF(Classifiers!$F$12="",0,IF(ISNUMBER(SEARCH(Classifiers!$F$12,E58)),1,0))+IF(Classifiers!$G$12="",0,IF(ISNUMBER(SEARCH(Classifiers!$G$12,E58)),1,0)))&gt;0,1,0))</f>
        <v/>
      </c>
      <c r="R58" s="12">
        <f>IF(H58&lt;&gt;1,0,IF((IF(Classifiers!$B$13="",0,IF(ISNUMBER(SEARCH(Classifiers!$B$13,E58)),1,0))+IF(Classifiers!$C$13="",0,IF(ISNUMBER(SEARCH(Classifiers!$C$13,E58)),1,0))+IF(Classifiers!$D$13="",0,IF(ISNUMBER(SEARCH(Classifiers!$D$13,E58)),1,0))+IF(Classifiers!$E$13="",0,IF(ISNUMBER(SEARCH(Classifiers!$E$13,E58)),1,0))+IF(Classifiers!$F$13="",0,IF(ISNUMBER(SEARCH(Classifiers!$F$13,E58)),1,0))+IF(Classifiers!$G$13="",0,IF(ISNUMBER(SEARCH(Classifiers!$G$13,E58)),1,0)))&gt;0,1,0))</f>
        <v/>
      </c>
      <c r="S58" s="12">
        <f>IF(H58&lt;&gt;1,0,IF((IF(Classifiers!$B$14="",0,IF(ISNUMBER(SEARCH(Classifiers!$B$14,E58)),1,0))+IF(Classifiers!$C$14="",0,IF(ISNUMBER(SEARCH(Classifiers!$C$14,E58)),1,0))+IF(Classifiers!$D$14="",0,IF(ISNUMBER(SEARCH(Classifiers!$D$14,E58)),1,0))+IF(Classifiers!$E$14="",0,IF(ISNUMBER(SEARCH(Classifiers!$E$14,E58)),1,0))+IF(Classifiers!$F$14="",0,IF(ISNUMBER(SEARCH(Classifiers!$F$14,E58)),1,0))+IF(Classifiers!$G$14="",0,IF(ISNUMBER(SEARCH(Classifiers!$G$14,E58)),1,0)))&gt;0,1,0))</f>
        <v/>
      </c>
      <c r="T58" s="12">
        <f>IF(H58&lt;&gt;1,0,IF((IF(Classifiers!$B$15="",0,IF(ISNUMBER(SEARCH(Classifiers!$B$15,E58)),1,0))+IF(Classifiers!$C$15="",0,IF(ISNUMBER(SEARCH(Classifiers!$C$15,E58)),1,0))+IF(Classifiers!$D$15="",0,IF(ISNUMBER(SEARCH(Classifiers!$D$15,E58)),1,0))+IF(Classifiers!$E$15="",0,IF(ISNUMBER(SEARCH(Classifiers!$E$15,E58)),1,0))+IF(Classifiers!$F$15="",0,IF(ISNUMBER(SEARCH(Classifiers!$F$15,E58)),1,0))+IF(Classifiers!$G$15="",0,IF(ISNUMBER(SEARCH(Classifiers!$G$15,E58)),1,0)))&gt;0,1,0))</f>
        <v/>
      </c>
      <c r="U58" s="12">
        <f>IF(H58&lt;&gt;1,0,IF((IF(Classifiers!$B$16="",0,IF(ISNUMBER(SEARCH(Classifiers!$B$16,E58)),1,0))+IF(Classifiers!$C$16="",0,IF(ISNUMBER(SEARCH(Classifiers!$C$16,E58)),1,0))+IF(Classifiers!$D$16="",0,IF(ISNUMBER(SEARCH(Classifiers!$D$16,E58)),1,0))+IF(Classifiers!$E$16="",0,IF(ISNUMBER(SEARCH(Classifiers!$E$16,E58)),1,0))+IF(Classifiers!$F$16="",0,IF(ISNUMBER(SEARCH(Classifiers!$F$16,E58)),1,0))+IF(Classifiers!$G$16="",0,IF(ISNUMBER(SEARCH(Classifiers!$G$16,E58)),1,0)))&gt;0,1,0))</f>
        <v/>
      </c>
      <c r="V58" s="12">
        <f>IF(H58&lt;&gt;1,0,IF((IF(Classifiers!$B$17="",0,IF(ISNUMBER(SEARCH(Classifiers!$B$17,E58)),1,0))+IF(Classifiers!$C$17="",0,IF(ISNUMBER(SEARCH(Classifiers!$C$17,E58)),1,0))+IF(Classifiers!$D$17="",0,IF(ISNUMBER(SEARCH(Classifiers!$D$17,E58)),1,0))+IF(Classifiers!$E$17="",0,IF(ISNUMBER(SEARCH(Classifiers!$E$17,E58)),1,0))+IF(Classifiers!$F$17="",0,IF(ISNUMBER(SEARCH(Classifiers!$F$17,E58)),1,0))+IF(Classifiers!$G$17="",0,IF(ISNUMBER(SEARCH(Classifiers!$G$17,E58)),1,0)))&gt;0,1,0))</f>
        <v/>
      </c>
      <c r="W58" s="12">
        <f>IF(H58&lt;&gt;1,0,IF((IF(Classifiers!$B$18="",0,IF(ISNUMBER(SEARCH(Classifiers!$B$18,E58)),1,0))+IF(Classifiers!$C$18="",0,IF(ISNUMBER(SEARCH(Classifiers!$C$18,E58)),1,0))+IF(Classifiers!$D$18="",0,IF(ISNUMBER(SEARCH(Classifiers!$D$18,E58)),1,0))+IF(Classifiers!$E$18="",0,IF(ISNUMBER(SEARCH(Classifiers!$E$18,E58)),1,0))+IF(Classifiers!$F$18="",0,IF(ISNUMBER(SEARCH(Classifiers!$F$18,E58)),1,0))+IF(Classifiers!$G$18="",0,IF(ISNUMBER(SEARCH(Classifiers!$G$18,E58)),1,0)))&gt;0,1,0))</f>
        <v/>
      </c>
    </row>
    <row r="59">
      <c r="A59" s="8" t="n"/>
      <c r="B59" s="11" t="n"/>
      <c r="C59" s="6">
        <f>IF(A59="","",TRIM(RIGHT(SUBSTITUTE(A59,"/",REPT(" ",250)),250)))</f>
        <v/>
      </c>
      <c r="D59" s="6">
        <f>IF(C59="","",IF(ISNUMBER(SEARCH(".",C59)),LOWER("."&amp;TRIM(RIGHT(SUBSTITUTE(C59,".",REPT(" ",250)),250))),""))</f>
        <v/>
      </c>
      <c r="E59" s="6">
        <f>IF(C59="","",TRIM(SUBSTITUTE(SUBSTITUTE(SUBSTITUTE(SUBSTITUTE(SUBSTITUTE(SUBSTITUTE(SUBSTITUTE(SUBSTITUTE(SUBSTITUTE(SUBSTITUTE(SUBSTITUTE(SUBSTITUTE(SUBSTITUTE(SUBSTITUTE(SUBSTITUTE(SUBSTITUTE(SUBSTITUTE(SUBSTITUTE(SUBSTITUTE(SUBSTITUTE(LOWER(LEFT(C59,LEN(C59)-LEN(D59))),"_"," "),"-"," "),"."," "),","," "),"("," "),")"," "),"["," "),"]"," "),"&amp;"," "),"+"," "),"@"," "),"#"," "),"!"," "),"'"," "),"/"," "),":"," "),";"," "),"="," "),"~"," "),"%"," ")))</f>
        <v/>
      </c>
      <c r="F59" s="6">
        <f>IF(C59="","",IF(COUNTIF(Classifiers!$A$23:$A$40,D59)&gt;0,1,0))</f>
        <v/>
      </c>
      <c r="G59" s="6">
        <f>IF(C59="","",IF(COUNTIF(Classifiers!$C$23:$C$30,D59)&gt;0,IF((IF(ISNUMBER(SEARCH(Classifiers!$E$23,E59)),1,0)+IF(ISNUMBER(SEARCH(Classifiers!$E$24,E59)),1,0)+IF(ISNUMBER(SEARCH(Classifiers!$E$25,E59)),1,0)+IF(ISNUMBER(SEARCH(Classifiers!$E$26,E59)),1,0)+IF(ISNUMBER(SEARCH(Classifiers!$E$27,E59)),1,0)+IF(ISNUMBER(SEARCH(Classifiers!$E$28,E59)),1,0)+IF(ISNUMBER(SEARCH(Classifiers!$E$29,E59)),1,0)+IF(ISNUMBER(SEARCH(Classifiers!$E$30,E59)),1,0))&gt;0,1,0),0))</f>
        <v/>
      </c>
      <c r="H59" s="6">
        <f>IF(C59="","",IF(OR(LEFT(C59,1)=".",AND(F59=0,G59=0)),0,1))</f>
        <v/>
      </c>
      <c r="I59" s="6">
        <f>IF(H59&lt;&gt;1,"",IF(SUM(J59:W59)=0,"unclassified",INDEX(Classifiers!$A$5:$A$18,MATCH(1,J59:W59,0),1)))</f>
        <v/>
      </c>
      <c r="J59" s="12">
        <f>IF(H59&lt;&gt;1,0,IF((IF(Classifiers!$B$5="",0,IF(ISNUMBER(SEARCH(Classifiers!$B$5,E59)),1,0))+IF(Classifiers!$C$5="",0,IF(ISNUMBER(SEARCH(Classifiers!$C$5,E59)),1,0))+IF(Classifiers!$D$5="",0,IF(ISNUMBER(SEARCH(Classifiers!$D$5,E59)),1,0))+IF(Classifiers!$E$5="",0,IF(ISNUMBER(SEARCH(Classifiers!$E$5,E59)),1,0))+IF(Classifiers!$F$5="",0,IF(ISNUMBER(SEARCH(Classifiers!$F$5,E59)),1,0))+IF(Classifiers!$G$5="",0,IF(ISNUMBER(SEARCH(Classifiers!$G$5,E59)),1,0)))&gt;0,1,0))</f>
        <v/>
      </c>
      <c r="K59" s="12">
        <f>IF(H59&lt;&gt;1,0,IF((IF(Classifiers!$B$6="",0,IF(ISNUMBER(SEARCH(Classifiers!$B$6,E59)),1,0))+IF(Classifiers!$C$6="",0,IF(ISNUMBER(SEARCH(Classifiers!$C$6,E59)),1,0))+IF(Classifiers!$D$6="",0,IF(ISNUMBER(SEARCH(Classifiers!$D$6,E59)),1,0))+IF(Classifiers!$E$6="",0,IF(ISNUMBER(SEARCH(Classifiers!$E$6,E59)),1,0))+IF(Classifiers!$F$6="",0,IF(ISNUMBER(SEARCH(Classifiers!$F$6,E59)),1,0))+IF(Classifiers!$G$6="",0,IF(ISNUMBER(SEARCH(Classifiers!$G$6,E59)),1,0)))&gt;0,1,0))</f>
        <v/>
      </c>
      <c r="L59" s="12">
        <f>IF(H59&lt;&gt;1,0,IF((IF(Classifiers!$B$7="",0,IF(ISNUMBER(SEARCH(Classifiers!$B$7,E59)),1,0))+IF(Classifiers!$C$7="",0,IF(ISNUMBER(SEARCH(Classifiers!$C$7,E59)),1,0))+IF(Classifiers!$D$7="",0,IF(ISNUMBER(SEARCH(Classifiers!$D$7,E59)),1,0))+IF(Classifiers!$E$7="",0,IF(ISNUMBER(SEARCH(Classifiers!$E$7,E59)),1,0))+IF(Classifiers!$F$7="",0,IF(ISNUMBER(SEARCH(Classifiers!$F$7,E59)),1,0))+IF(Classifiers!$G$7="",0,IF(ISNUMBER(SEARCH(Classifiers!$G$7,E59)),1,0)))&gt;0,1,0))</f>
        <v/>
      </c>
      <c r="M59" s="12">
        <f>IF(H59&lt;&gt;1,0,IF((IF(Classifiers!$B$8="",0,IF(ISNUMBER(SEARCH(Classifiers!$B$8,E59)),1,0))+IF(Classifiers!$C$8="",0,IF(ISNUMBER(SEARCH(Classifiers!$C$8,E59)),1,0))+IF(Classifiers!$D$8="",0,IF(ISNUMBER(SEARCH(Classifiers!$D$8,E59)),1,0))+IF(Classifiers!$E$8="",0,IF(ISNUMBER(SEARCH(Classifiers!$E$8,E59)),1,0))+IF(Classifiers!$F$8="",0,IF(ISNUMBER(SEARCH(Classifiers!$F$8,E59)),1,0))+IF(Classifiers!$G$8="",0,IF(ISNUMBER(SEARCH(Classifiers!$G$8,E59)),1,0)))&gt;0,1,0))</f>
        <v/>
      </c>
      <c r="N59" s="12">
        <f>IF(H59&lt;&gt;1,0,IF((IF(Classifiers!$B$9="",0,IF(ISNUMBER(SEARCH(Classifiers!$B$9,E59)),1,0))+IF(Classifiers!$C$9="",0,IF(ISNUMBER(SEARCH(Classifiers!$C$9,E59)),1,0))+IF(Classifiers!$D$9="",0,IF(ISNUMBER(SEARCH(Classifiers!$D$9,E59)),1,0))+IF(Classifiers!$E$9="",0,IF(ISNUMBER(SEARCH(Classifiers!$E$9,E59)),1,0))+IF(Classifiers!$F$9="",0,IF(ISNUMBER(SEARCH(Classifiers!$F$9,E59)),1,0))+IF(Classifiers!$G$9="",0,IF(ISNUMBER(SEARCH(Classifiers!$G$9,E59)),1,0)))&gt;0,1,0))</f>
        <v/>
      </c>
      <c r="O59" s="12">
        <f>IF(H59&lt;&gt;1,0,IF((IF(Classifiers!$B$10="",0,IF(ISNUMBER(SEARCH(Classifiers!$B$10,E59)),1,0))+IF(Classifiers!$C$10="",0,IF(ISNUMBER(SEARCH(Classifiers!$C$10,E59)),1,0))+IF(Classifiers!$D$10="",0,IF(ISNUMBER(SEARCH(Classifiers!$D$10,E59)),1,0))+IF(Classifiers!$E$10="",0,IF(ISNUMBER(SEARCH(Classifiers!$E$10,E59)),1,0))+IF(Classifiers!$F$10="",0,IF(ISNUMBER(SEARCH(Classifiers!$F$10,E59)),1,0))+IF(Classifiers!$G$10="",0,IF(ISNUMBER(SEARCH(Classifiers!$G$10,E59)),1,0)))&gt;0,1,0))</f>
        <v/>
      </c>
      <c r="P59" s="12">
        <f>IF(H59&lt;&gt;1,0,IF((IF(Classifiers!$B$11="",0,IF(ISNUMBER(SEARCH(Classifiers!$B$11,E59)),1,0))+IF(Classifiers!$C$11="",0,IF(ISNUMBER(SEARCH(Classifiers!$C$11,E59)),1,0))+IF(Classifiers!$D$11="",0,IF(ISNUMBER(SEARCH(Classifiers!$D$11,E59)),1,0))+IF(Classifiers!$E$11="",0,IF(ISNUMBER(SEARCH(Classifiers!$E$11,E59)),1,0))+IF(Classifiers!$F$11="",0,IF(ISNUMBER(SEARCH(Classifiers!$F$11,E59)),1,0))+IF(Classifiers!$G$11="",0,IF(ISNUMBER(SEARCH(Classifiers!$G$11,E59)),1,0)))&gt;0,1,0))</f>
        <v/>
      </c>
      <c r="Q59" s="12">
        <f>IF(H59&lt;&gt;1,0,IF((IF(Classifiers!$B$12="",0,IF(ISNUMBER(SEARCH(Classifiers!$B$12,E59)),1,0))+IF(Classifiers!$C$12="",0,IF(ISNUMBER(SEARCH(Classifiers!$C$12,E59)),1,0))+IF(Classifiers!$D$12="",0,IF(ISNUMBER(SEARCH(Classifiers!$D$12,E59)),1,0))+IF(Classifiers!$E$12="",0,IF(ISNUMBER(SEARCH(Classifiers!$E$12,E59)),1,0))+IF(Classifiers!$F$12="",0,IF(ISNUMBER(SEARCH(Classifiers!$F$12,E59)),1,0))+IF(Classifiers!$G$12="",0,IF(ISNUMBER(SEARCH(Classifiers!$G$12,E59)),1,0)))&gt;0,1,0))</f>
        <v/>
      </c>
      <c r="R59" s="12">
        <f>IF(H59&lt;&gt;1,0,IF((IF(Classifiers!$B$13="",0,IF(ISNUMBER(SEARCH(Classifiers!$B$13,E59)),1,0))+IF(Classifiers!$C$13="",0,IF(ISNUMBER(SEARCH(Classifiers!$C$13,E59)),1,0))+IF(Classifiers!$D$13="",0,IF(ISNUMBER(SEARCH(Classifiers!$D$13,E59)),1,0))+IF(Classifiers!$E$13="",0,IF(ISNUMBER(SEARCH(Classifiers!$E$13,E59)),1,0))+IF(Classifiers!$F$13="",0,IF(ISNUMBER(SEARCH(Classifiers!$F$13,E59)),1,0))+IF(Classifiers!$G$13="",0,IF(ISNUMBER(SEARCH(Classifiers!$G$13,E59)),1,0)))&gt;0,1,0))</f>
        <v/>
      </c>
      <c r="S59" s="12">
        <f>IF(H59&lt;&gt;1,0,IF((IF(Classifiers!$B$14="",0,IF(ISNUMBER(SEARCH(Classifiers!$B$14,E59)),1,0))+IF(Classifiers!$C$14="",0,IF(ISNUMBER(SEARCH(Classifiers!$C$14,E59)),1,0))+IF(Classifiers!$D$14="",0,IF(ISNUMBER(SEARCH(Classifiers!$D$14,E59)),1,0))+IF(Classifiers!$E$14="",0,IF(ISNUMBER(SEARCH(Classifiers!$E$14,E59)),1,0))+IF(Classifiers!$F$14="",0,IF(ISNUMBER(SEARCH(Classifiers!$F$14,E59)),1,0))+IF(Classifiers!$G$14="",0,IF(ISNUMBER(SEARCH(Classifiers!$G$14,E59)),1,0)))&gt;0,1,0))</f>
        <v/>
      </c>
      <c r="T59" s="12">
        <f>IF(H59&lt;&gt;1,0,IF((IF(Classifiers!$B$15="",0,IF(ISNUMBER(SEARCH(Classifiers!$B$15,E59)),1,0))+IF(Classifiers!$C$15="",0,IF(ISNUMBER(SEARCH(Classifiers!$C$15,E59)),1,0))+IF(Classifiers!$D$15="",0,IF(ISNUMBER(SEARCH(Classifiers!$D$15,E59)),1,0))+IF(Classifiers!$E$15="",0,IF(ISNUMBER(SEARCH(Classifiers!$E$15,E59)),1,0))+IF(Classifiers!$F$15="",0,IF(ISNUMBER(SEARCH(Classifiers!$F$15,E59)),1,0))+IF(Classifiers!$G$15="",0,IF(ISNUMBER(SEARCH(Classifiers!$G$15,E59)),1,0)))&gt;0,1,0))</f>
        <v/>
      </c>
      <c r="U59" s="12">
        <f>IF(H59&lt;&gt;1,0,IF((IF(Classifiers!$B$16="",0,IF(ISNUMBER(SEARCH(Classifiers!$B$16,E59)),1,0))+IF(Classifiers!$C$16="",0,IF(ISNUMBER(SEARCH(Classifiers!$C$16,E59)),1,0))+IF(Classifiers!$D$16="",0,IF(ISNUMBER(SEARCH(Classifiers!$D$16,E59)),1,0))+IF(Classifiers!$E$16="",0,IF(ISNUMBER(SEARCH(Classifiers!$E$16,E59)),1,0))+IF(Classifiers!$F$16="",0,IF(ISNUMBER(SEARCH(Classifiers!$F$16,E59)),1,0))+IF(Classifiers!$G$16="",0,IF(ISNUMBER(SEARCH(Classifiers!$G$16,E59)),1,0)))&gt;0,1,0))</f>
        <v/>
      </c>
      <c r="V59" s="12">
        <f>IF(H59&lt;&gt;1,0,IF((IF(Classifiers!$B$17="",0,IF(ISNUMBER(SEARCH(Classifiers!$B$17,E59)),1,0))+IF(Classifiers!$C$17="",0,IF(ISNUMBER(SEARCH(Classifiers!$C$17,E59)),1,0))+IF(Classifiers!$D$17="",0,IF(ISNUMBER(SEARCH(Classifiers!$D$17,E59)),1,0))+IF(Classifiers!$E$17="",0,IF(ISNUMBER(SEARCH(Classifiers!$E$17,E59)),1,0))+IF(Classifiers!$F$17="",0,IF(ISNUMBER(SEARCH(Classifiers!$F$17,E59)),1,0))+IF(Classifiers!$G$17="",0,IF(ISNUMBER(SEARCH(Classifiers!$G$17,E59)),1,0)))&gt;0,1,0))</f>
        <v/>
      </c>
      <c r="W59" s="12">
        <f>IF(H59&lt;&gt;1,0,IF((IF(Classifiers!$B$18="",0,IF(ISNUMBER(SEARCH(Classifiers!$B$18,E59)),1,0))+IF(Classifiers!$C$18="",0,IF(ISNUMBER(SEARCH(Classifiers!$C$18,E59)),1,0))+IF(Classifiers!$D$18="",0,IF(ISNUMBER(SEARCH(Classifiers!$D$18,E59)),1,0))+IF(Classifiers!$E$18="",0,IF(ISNUMBER(SEARCH(Classifiers!$E$18,E59)),1,0))+IF(Classifiers!$F$18="",0,IF(ISNUMBER(SEARCH(Classifiers!$F$18,E59)),1,0))+IF(Classifiers!$G$18="",0,IF(ISNUMBER(SEARCH(Classifiers!$G$18,E59)),1,0)))&gt;0,1,0))</f>
        <v/>
      </c>
    </row>
    <row r="60">
      <c r="A60" s="8" t="n"/>
      <c r="B60" s="11" t="n"/>
      <c r="C60" s="6">
        <f>IF(A60="","",TRIM(RIGHT(SUBSTITUTE(A60,"/",REPT(" ",250)),250)))</f>
        <v/>
      </c>
      <c r="D60" s="6">
        <f>IF(C60="","",IF(ISNUMBER(SEARCH(".",C60)),LOWER("."&amp;TRIM(RIGHT(SUBSTITUTE(C60,".",REPT(" ",250)),250))),""))</f>
        <v/>
      </c>
      <c r="E60" s="6">
        <f>IF(C60="","",TRIM(SUBSTITUTE(SUBSTITUTE(SUBSTITUTE(SUBSTITUTE(SUBSTITUTE(SUBSTITUTE(SUBSTITUTE(SUBSTITUTE(SUBSTITUTE(SUBSTITUTE(SUBSTITUTE(SUBSTITUTE(SUBSTITUTE(SUBSTITUTE(SUBSTITUTE(SUBSTITUTE(SUBSTITUTE(SUBSTITUTE(SUBSTITUTE(SUBSTITUTE(LOWER(LEFT(C60,LEN(C60)-LEN(D60))),"_"," "),"-"," "),"."," "),","," "),"("," "),")"," "),"["," "),"]"," "),"&amp;"," "),"+"," "),"@"," "),"#"," "),"!"," "),"'"," "),"/"," "),":"," "),";"," "),"="," "),"~"," "),"%"," ")))</f>
        <v/>
      </c>
      <c r="F60" s="6">
        <f>IF(C60="","",IF(COUNTIF(Classifiers!$A$23:$A$40,D60)&gt;0,1,0))</f>
        <v/>
      </c>
      <c r="G60" s="6">
        <f>IF(C60="","",IF(COUNTIF(Classifiers!$C$23:$C$30,D60)&gt;0,IF((IF(ISNUMBER(SEARCH(Classifiers!$E$23,E60)),1,0)+IF(ISNUMBER(SEARCH(Classifiers!$E$24,E60)),1,0)+IF(ISNUMBER(SEARCH(Classifiers!$E$25,E60)),1,0)+IF(ISNUMBER(SEARCH(Classifiers!$E$26,E60)),1,0)+IF(ISNUMBER(SEARCH(Classifiers!$E$27,E60)),1,0)+IF(ISNUMBER(SEARCH(Classifiers!$E$28,E60)),1,0)+IF(ISNUMBER(SEARCH(Classifiers!$E$29,E60)),1,0)+IF(ISNUMBER(SEARCH(Classifiers!$E$30,E60)),1,0))&gt;0,1,0),0))</f>
        <v/>
      </c>
      <c r="H60" s="6">
        <f>IF(C60="","",IF(OR(LEFT(C60,1)=".",AND(F60=0,G60=0)),0,1))</f>
        <v/>
      </c>
      <c r="I60" s="6">
        <f>IF(H60&lt;&gt;1,"",IF(SUM(J60:W60)=0,"unclassified",INDEX(Classifiers!$A$5:$A$18,MATCH(1,J60:W60,0),1)))</f>
        <v/>
      </c>
      <c r="J60" s="12">
        <f>IF(H60&lt;&gt;1,0,IF((IF(Classifiers!$B$5="",0,IF(ISNUMBER(SEARCH(Classifiers!$B$5,E60)),1,0))+IF(Classifiers!$C$5="",0,IF(ISNUMBER(SEARCH(Classifiers!$C$5,E60)),1,0))+IF(Classifiers!$D$5="",0,IF(ISNUMBER(SEARCH(Classifiers!$D$5,E60)),1,0))+IF(Classifiers!$E$5="",0,IF(ISNUMBER(SEARCH(Classifiers!$E$5,E60)),1,0))+IF(Classifiers!$F$5="",0,IF(ISNUMBER(SEARCH(Classifiers!$F$5,E60)),1,0))+IF(Classifiers!$G$5="",0,IF(ISNUMBER(SEARCH(Classifiers!$G$5,E60)),1,0)))&gt;0,1,0))</f>
        <v/>
      </c>
      <c r="K60" s="12">
        <f>IF(H60&lt;&gt;1,0,IF((IF(Classifiers!$B$6="",0,IF(ISNUMBER(SEARCH(Classifiers!$B$6,E60)),1,0))+IF(Classifiers!$C$6="",0,IF(ISNUMBER(SEARCH(Classifiers!$C$6,E60)),1,0))+IF(Classifiers!$D$6="",0,IF(ISNUMBER(SEARCH(Classifiers!$D$6,E60)),1,0))+IF(Classifiers!$E$6="",0,IF(ISNUMBER(SEARCH(Classifiers!$E$6,E60)),1,0))+IF(Classifiers!$F$6="",0,IF(ISNUMBER(SEARCH(Classifiers!$F$6,E60)),1,0))+IF(Classifiers!$G$6="",0,IF(ISNUMBER(SEARCH(Classifiers!$G$6,E60)),1,0)))&gt;0,1,0))</f>
        <v/>
      </c>
      <c r="L60" s="12">
        <f>IF(H60&lt;&gt;1,0,IF((IF(Classifiers!$B$7="",0,IF(ISNUMBER(SEARCH(Classifiers!$B$7,E60)),1,0))+IF(Classifiers!$C$7="",0,IF(ISNUMBER(SEARCH(Classifiers!$C$7,E60)),1,0))+IF(Classifiers!$D$7="",0,IF(ISNUMBER(SEARCH(Classifiers!$D$7,E60)),1,0))+IF(Classifiers!$E$7="",0,IF(ISNUMBER(SEARCH(Classifiers!$E$7,E60)),1,0))+IF(Classifiers!$F$7="",0,IF(ISNUMBER(SEARCH(Classifiers!$F$7,E60)),1,0))+IF(Classifiers!$G$7="",0,IF(ISNUMBER(SEARCH(Classifiers!$G$7,E60)),1,0)))&gt;0,1,0))</f>
        <v/>
      </c>
      <c r="M60" s="12">
        <f>IF(H60&lt;&gt;1,0,IF((IF(Classifiers!$B$8="",0,IF(ISNUMBER(SEARCH(Classifiers!$B$8,E60)),1,0))+IF(Classifiers!$C$8="",0,IF(ISNUMBER(SEARCH(Classifiers!$C$8,E60)),1,0))+IF(Classifiers!$D$8="",0,IF(ISNUMBER(SEARCH(Classifiers!$D$8,E60)),1,0))+IF(Classifiers!$E$8="",0,IF(ISNUMBER(SEARCH(Classifiers!$E$8,E60)),1,0))+IF(Classifiers!$F$8="",0,IF(ISNUMBER(SEARCH(Classifiers!$F$8,E60)),1,0))+IF(Classifiers!$G$8="",0,IF(ISNUMBER(SEARCH(Classifiers!$G$8,E60)),1,0)))&gt;0,1,0))</f>
        <v/>
      </c>
      <c r="N60" s="12">
        <f>IF(H60&lt;&gt;1,0,IF((IF(Classifiers!$B$9="",0,IF(ISNUMBER(SEARCH(Classifiers!$B$9,E60)),1,0))+IF(Classifiers!$C$9="",0,IF(ISNUMBER(SEARCH(Classifiers!$C$9,E60)),1,0))+IF(Classifiers!$D$9="",0,IF(ISNUMBER(SEARCH(Classifiers!$D$9,E60)),1,0))+IF(Classifiers!$E$9="",0,IF(ISNUMBER(SEARCH(Classifiers!$E$9,E60)),1,0))+IF(Classifiers!$F$9="",0,IF(ISNUMBER(SEARCH(Classifiers!$F$9,E60)),1,0))+IF(Classifiers!$G$9="",0,IF(ISNUMBER(SEARCH(Classifiers!$G$9,E60)),1,0)))&gt;0,1,0))</f>
        <v/>
      </c>
      <c r="O60" s="12">
        <f>IF(H60&lt;&gt;1,0,IF((IF(Classifiers!$B$10="",0,IF(ISNUMBER(SEARCH(Classifiers!$B$10,E60)),1,0))+IF(Classifiers!$C$10="",0,IF(ISNUMBER(SEARCH(Classifiers!$C$10,E60)),1,0))+IF(Classifiers!$D$10="",0,IF(ISNUMBER(SEARCH(Classifiers!$D$10,E60)),1,0))+IF(Classifiers!$E$10="",0,IF(ISNUMBER(SEARCH(Classifiers!$E$10,E60)),1,0))+IF(Classifiers!$F$10="",0,IF(ISNUMBER(SEARCH(Classifiers!$F$10,E60)),1,0))+IF(Classifiers!$G$10="",0,IF(ISNUMBER(SEARCH(Classifiers!$G$10,E60)),1,0)))&gt;0,1,0))</f>
        <v/>
      </c>
      <c r="P60" s="12">
        <f>IF(H60&lt;&gt;1,0,IF((IF(Classifiers!$B$11="",0,IF(ISNUMBER(SEARCH(Classifiers!$B$11,E60)),1,0))+IF(Classifiers!$C$11="",0,IF(ISNUMBER(SEARCH(Classifiers!$C$11,E60)),1,0))+IF(Classifiers!$D$11="",0,IF(ISNUMBER(SEARCH(Classifiers!$D$11,E60)),1,0))+IF(Classifiers!$E$11="",0,IF(ISNUMBER(SEARCH(Classifiers!$E$11,E60)),1,0))+IF(Classifiers!$F$11="",0,IF(ISNUMBER(SEARCH(Classifiers!$F$11,E60)),1,0))+IF(Classifiers!$G$11="",0,IF(ISNUMBER(SEARCH(Classifiers!$G$11,E60)),1,0)))&gt;0,1,0))</f>
        <v/>
      </c>
      <c r="Q60" s="12">
        <f>IF(H60&lt;&gt;1,0,IF((IF(Classifiers!$B$12="",0,IF(ISNUMBER(SEARCH(Classifiers!$B$12,E60)),1,0))+IF(Classifiers!$C$12="",0,IF(ISNUMBER(SEARCH(Classifiers!$C$12,E60)),1,0))+IF(Classifiers!$D$12="",0,IF(ISNUMBER(SEARCH(Classifiers!$D$12,E60)),1,0))+IF(Classifiers!$E$12="",0,IF(ISNUMBER(SEARCH(Classifiers!$E$12,E60)),1,0))+IF(Classifiers!$F$12="",0,IF(ISNUMBER(SEARCH(Classifiers!$F$12,E60)),1,0))+IF(Classifiers!$G$12="",0,IF(ISNUMBER(SEARCH(Classifiers!$G$12,E60)),1,0)))&gt;0,1,0))</f>
        <v/>
      </c>
      <c r="R60" s="12">
        <f>IF(H60&lt;&gt;1,0,IF((IF(Classifiers!$B$13="",0,IF(ISNUMBER(SEARCH(Classifiers!$B$13,E60)),1,0))+IF(Classifiers!$C$13="",0,IF(ISNUMBER(SEARCH(Classifiers!$C$13,E60)),1,0))+IF(Classifiers!$D$13="",0,IF(ISNUMBER(SEARCH(Classifiers!$D$13,E60)),1,0))+IF(Classifiers!$E$13="",0,IF(ISNUMBER(SEARCH(Classifiers!$E$13,E60)),1,0))+IF(Classifiers!$F$13="",0,IF(ISNUMBER(SEARCH(Classifiers!$F$13,E60)),1,0))+IF(Classifiers!$G$13="",0,IF(ISNUMBER(SEARCH(Classifiers!$G$13,E60)),1,0)))&gt;0,1,0))</f>
        <v/>
      </c>
      <c r="S60" s="12">
        <f>IF(H60&lt;&gt;1,0,IF((IF(Classifiers!$B$14="",0,IF(ISNUMBER(SEARCH(Classifiers!$B$14,E60)),1,0))+IF(Classifiers!$C$14="",0,IF(ISNUMBER(SEARCH(Classifiers!$C$14,E60)),1,0))+IF(Classifiers!$D$14="",0,IF(ISNUMBER(SEARCH(Classifiers!$D$14,E60)),1,0))+IF(Classifiers!$E$14="",0,IF(ISNUMBER(SEARCH(Classifiers!$E$14,E60)),1,0))+IF(Classifiers!$F$14="",0,IF(ISNUMBER(SEARCH(Classifiers!$F$14,E60)),1,0))+IF(Classifiers!$G$14="",0,IF(ISNUMBER(SEARCH(Classifiers!$G$14,E60)),1,0)))&gt;0,1,0))</f>
        <v/>
      </c>
      <c r="T60" s="12">
        <f>IF(H60&lt;&gt;1,0,IF((IF(Classifiers!$B$15="",0,IF(ISNUMBER(SEARCH(Classifiers!$B$15,E60)),1,0))+IF(Classifiers!$C$15="",0,IF(ISNUMBER(SEARCH(Classifiers!$C$15,E60)),1,0))+IF(Classifiers!$D$15="",0,IF(ISNUMBER(SEARCH(Classifiers!$D$15,E60)),1,0))+IF(Classifiers!$E$15="",0,IF(ISNUMBER(SEARCH(Classifiers!$E$15,E60)),1,0))+IF(Classifiers!$F$15="",0,IF(ISNUMBER(SEARCH(Classifiers!$F$15,E60)),1,0))+IF(Classifiers!$G$15="",0,IF(ISNUMBER(SEARCH(Classifiers!$G$15,E60)),1,0)))&gt;0,1,0))</f>
        <v/>
      </c>
      <c r="U60" s="12">
        <f>IF(H60&lt;&gt;1,0,IF((IF(Classifiers!$B$16="",0,IF(ISNUMBER(SEARCH(Classifiers!$B$16,E60)),1,0))+IF(Classifiers!$C$16="",0,IF(ISNUMBER(SEARCH(Classifiers!$C$16,E60)),1,0))+IF(Classifiers!$D$16="",0,IF(ISNUMBER(SEARCH(Classifiers!$D$16,E60)),1,0))+IF(Classifiers!$E$16="",0,IF(ISNUMBER(SEARCH(Classifiers!$E$16,E60)),1,0))+IF(Classifiers!$F$16="",0,IF(ISNUMBER(SEARCH(Classifiers!$F$16,E60)),1,0))+IF(Classifiers!$G$16="",0,IF(ISNUMBER(SEARCH(Classifiers!$G$16,E60)),1,0)))&gt;0,1,0))</f>
        <v/>
      </c>
      <c r="V60" s="12">
        <f>IF(H60&lt;&gt;1,0,IF((IF(Classifiers!$B$17="",0,IF(ISNUMBER(SEARCH(Classifiers!$B$17,E60)),1,0))+IF(Classifiers!$C$17="",0,IF(ISNUMBER(SEARCH(Classifiers!$C$17,E60)),1,0))+IF(Classifiers!$D$17="",0,IF(ISNUMBER(SEARCH(Classifiers!$D$17,E60)),1,0))+IF(Classifiers!$E$17="",0,IF(ISNUMBER(SEARCH(Classifiers!$E$17,E60)),1,0))+IF(Classifiers!$F$17="",0,IF(ISNUMBER(SEARCH(Classifiers!$F$17,E60)),1,0))+IF(Classifiers!$G$17="",0,IF(ISNUMBER(SEARCH(Classifiers!$G$17,E60)),1,0)))&gt;0,1,0))</f>
        <v/>
      </c>
      <c r="W60" s="12">
        <f>IF(H60&lt;&gt;1,0,IF((IF(Classifiers!$B$18="",0,IF(ISNUMBER(SEARCH(Classifiers!$B$18,E60)),1,0))+IF(Classifiers!$C$18="",0,IF(ISNUMBER(SEARCH(Classifiers!$C$18,E60)),1,0))+IF(Classifiers!$D$18="",0,IF(ISNUMBER(SEARCH(Classifiers!$D$18,E60)),1,0))+IF(Classifiers!$E$18="",0,IF(ISNUMBER(SEARCH(Classifiers!$E$18,E60)),1,0))+IF(Classifiers!$F$18="",0,IF(ISNUMBER(SEARCH(Classifiers!$F$18,E60)),1,0))+IF(Classifiers!$G$18="",0,IF(ISNUMBER(SEARCH(Classifiers!$G$18,E60)),1,0)))&gt;0,1,0))</f>
        <v/>
      </c>
    </row>
    <row r="61">
      <c r="A61" s="8" t="n"/>
      <c r="B61" s="11" t="n"/>
      <c r="C61" s="6">
        <f>IF(A61="","",TRIM(RIGHT(SUBSTITUTE(A61,"/",REPT(" ",250)),250)))</f>
        <v/>
      </c>
      <c r="D61" s="6">
        <f>IF(C61="","",IF(ISNUMBER(SEARCH(".",C61)),LOWER("."&amp;TRIM(RIGHT(SUBSTITUTE(C61,".",REPT(" ",250)),250))),""))</f>
        <v/>
      </c>
      <c r="E61" s="6">
        <f>IF(C61="","",TRIM(SUBSTITUTE(SUBSTITUTE(SUBSTITUTE(SUBSTITUTE(SUBSTITUTE(SUBSTITUTE(SUBSTITUTE(SUBSTITUTE(SUBSTITUTE(SUBSTITUTE(SUBSTITUTE(SUBSTITUTE(SUBSTITUTE(SUBSTITUTE(SUBSTITUTE(SUBSTITUTE(SUBSTITUTE(SUBSTITUTE(SUBSTITUTE(SUBSTITUTE(LOWER(LEFT(C61,LEN(C61)-LEN(D61))),"_"," "),"-"," "),"."," "),","," "),"("," "),")"," "),"["," "),"]"," "),"&amp;"," "),"+"," "),"@"," "),"#"," "),"!"," "),"'"," "),"/"," "),":"," "),";"," "),"="," "),"~"," "),"%"," ")))</f>
        <v/>
      </c>
      <c r="F61" s="6">
        <f>IF(C61="","",IF(COUNTIF(Classifiers!$A$23:$A$40,D61)&gt;0,1,0))</f>
        <v/>
      </c>
      <c r="G61" s="6">
        <f>IF(C61="","",IF(COUNTIF(Classifiers!$C$23:$C$30,D61)&gt;0,IF((IF(ISNUMBER(SEARCH(Classifiers!$E$23,E61)),1,0)+IF(ISNUMBER(SEARCH(Classifiers!$E$24,E61)),1,0)+IF(ISNUMBER(SEARCH(Classifiers!$E$25,E61)),1,0)+IF(ISNUMBER(SEARCH(Classifiers!$E$26,E61)),1,0)+IF(ISNUMBER(SEARCH(Classifiers!$E$27,E61)),1,0)+IF(ISNUMBER(SEARCH(Classifiers!$E$28,E61)),1,0)+IF(ISNUMBER(SEARCH(Classifiers!$E$29,E61)),1,0)+IF(ISNUMBER(SEARCH(Classifiers!$E$30,E61)),1,0))&gt;0,1,0),0))</f>
        <v/>
      </c>
      <c r="H61" s="6">
        <f>IF(C61="","",IF(OR(LEFT(C61,1)=".",AND(F61=0,G61=0)),0,1))</f>
        <v/>
      </c>
      <c r="I61" s="6">
        <f>IF(H61&lt;&gt;1,"",IF(SUM(J61:W61)=0,"unclassified",INDEX(Classifiers!$A$5:$A$18,MATCH(1,J61:W61,0),1)))</f>
        <v/>
      </c>
      <c r="J61" s="12">
        <f>IF(H61&lt;&gt;1,0,IF((IF(Classifiers!$B$5="",0,IF(ISNUMBER(SEARCH(Classifiers!$B$5,E61)),1,0))+IF(Classifiers!$C$5="",0,IF(ISNUMBER(SEARCH(Classifiers!$C$5,E61)),1,0))+IF(Classifiers!$D$5="",0,IF(ISNUMBER(SEARCH(Classifiers!$D$5,E61)),1,0))+IF(Classifiers!$E$5="",0,IF(ISNUMBER(SEARCH(Classifiers!$E$5,E61)),1,0))+IF(Classifiers!$F$5="",0,IF(ISNUMBER(SEARCH(Classifiers!$F$5,E61)),1,0))+IF(Classifiers!$G$5="",0,IF(ISNUMBER(SEARCH(Classifiers!$G$5,E61)),1,0)))&gt;0,1,0))</f>
        <v/>
      </c>
      <c r="K61" s="12">
        <f>IF(H61&lt;&gt;1,0,IF((IF(Classifiers!$B$6="",0,IF(ISNUMBER(SEARCH(Classifiers!$B$6,E61)),1,0))+IF(Classifiers!$C$6="",0,IF(ISNUMBER(SEARCH(Classifiers!$C$6,E61)),1,0))+IF(Classifiers!$D$6="",0,IF(ISNUMBER(SEARCH(Classifiers!$D$6,E61)),1,0))+IF(Classifiers!$E$6="",0,IF(ISNUMBER(SEARCH(Classifiers!$E$6,E61)),1,0))+IF(Classifiers!$F$6="",0,IF(ISNUMBER(SEARCH(Classifiers!$F$6,E61)),1,0))+IF(Classifiers!$G$6="",0,IF(ISNUMBER(SEARCH(Classifiers!$G$6,E61)),1,0)))&gt;0,1,0))</f>
        <v/>
      </c>
      <c r="L61" s="12">
        <f>IF(H61&lt;&gt;1,0,IF((IF(Classifiers!$B$7="",0,IF(ISNUMBER(SEARCH(Classifiers!$B$7,E61)),1,0))+IF(Classifiers!$C$7="",0,IF(ISNUMBER(SEARCH(Classifiers!$C$7,E61)),1,0))+IF(Classifiers!$D$7="",0,IF(ISNUMBER(SEARCH(Classifiers!$D$7,E61)),1,0))+IF(Classifiers!$E$7="",0,IF(ISNUMBER(SEARCH(Classifiers!$E$7,E61)),1,0))+IF(Classifiers!$F$7="",0,IF(ISNUMBER(SEARCH(Classifiers!$F$7,E61)),1,0))+IF(Classifiers!$G$7="",0,IF(ISNUMBER(SEARCH(Classifiers!$G$7,E61)),1,0)))&gt;0,1,0))</f>
        <v/>
      </c>
      <c r="M61" s="12">
        <f>IF(H61&lt;&gt;1,0,IF((IF(Classifiers!$B$8="",0,IF(ISNUMBER(SEARCH(Classifiers!$B$8,E61)),1,0))+IF(Classifiers!$C$8="",0,IF(ISNUMBER(SEARCH(Classifiers!$C$8,E61)),1,0))+IF(Classifiers!$D$8="",0,IF(ISNUMBER(SEARCH(Classifiers!$D$8,E61)),1,0))+IF(Classifiers!$E$8="",0,IF(ISNUMBER(SEARCH(Classifiers!$E$8,E61)),1,0))+IF(Classifiers!$F$8="",0,IF(ISNUMBER(SEARCH(Classifiers!$F$8,E61)),1,0))+IF(Classifiers!$G$8="",0,IF(ISNUMBER(SEARCH(Classifiers!$G$8,E61)),1,0)))&gt;0,1,0))</f>
        <v/>
      </c>
      <c r="N61" s="12">
        <f>IF(H61&lt;&gt;1,0,IF((IF(Classifiers!$B$9="",0,IF(ISNUMBER(SEARCH(Classifiers!$B$9,E61)),1,0))+IF(Classifiers!$C$9="",0,IF(ISNUMBER(SEARCH(Classifiers!$C$9,E61)),1,0))+IF(Classifiers!$D$9="",0,IF(ISNUMBER(SEARCH(Classifiers!$D$9,E61)),1,0))+IF(Classifiers!$E$9="",0,IF(ISNUMBER(SEARCH(Classifiers!$E$9,E61)),1,0))+IF(Classifiers!$F$9="",0,IF(ISNUMBER(SEARCH(Classifiers!$F$9,E61)),1,0))+IF(Classifiers!$G$9="",0,IF(ISNUMBER(SEARCH(Classifiers!$G$9,E61)),1,0)))&gt;0,1,0))</f>
        <v/>
      </c>
      <c r="O61" s="12">
        <f>IF(H61&lt;&gt;1,0,IF((IF(Classifiers!$B$10="",0,IF(ISNUMBER(SEARCH(Classifiers!$B$10,E61)),1,0))+IF(Classifiers!$C$10="",0,IF(ISNUMBER(SEARCH(Classifiers!$C$10,E61)),1,0))+IF(Classifiers!$D$10="",0,IF(ISNUMBER(SEARCH(Classifiers!$D$10,E61)),1,0))+IF(Classifiers!$E$10="",0,IF(ISNUMBER(SEARCH(Classifiers!$E$10,E61)),1,0))+IF(Classifiers!$F$10="",0,IF(ISNUMBER(SEARCH(Classifiers!$F$10,E61)),1,0))+IF(Classifiers!$G$10="",0,IF(ISNUMBER(SEARCH(Classifiers!$G$10,E61)),1,0)))&gt;0,1,0))</f>
        <v/>
      </c>
      <c r="P61" s="12">
        <f>IF(H61&lt;&gt;1,0,IF((IF(Classifiers!$B$11="",0,IF(ISNUMBER(SEARCH(Classifiers!$B$11,E61)),1,0))+IF(Classifiers!$C$11="",0,IF(ISNUMBER(SEARCH(Classifiers!$C$11,E61)),1,0))+IF(Classifiers!$D$11="",0,IF(ISNUMBER(SEARCH(Classifiers!$D$11,E61)),1,0))+IF(Classifiers!$E$11="",0,IF(ISNUMBER(SEARCH(Classifiers!$E$11,E61)),1,0))+IF(Classifiers!$F$11="",0,IF(ISNUMBER(SEARCH(Classifiers!$F$11,E61)),1,0))+IF(Classifiers!$G$11="",0,IF(ISNUMBER(SEARCH(Classifiers!$G$11,E61)),1,0)))&gt;0,1,0))</f>
        <v/>
      </c>
      <c r="Q61" s="12">
        <f>IF(H61&lt;&gt;1,0,IF((IF(Classifiers!$B$12="",0,IF(ISNUMBER(SEARCH(Classifiers!$B$12,E61)),1,0))+IF(Classifiers!$C$12="",0,IF(ISNUMBER(SEARCH(Classifiers!$C$12,E61)),1,0))+IF(Classifiers!$D$12="",0,IF(ISNUMBER(SEARCH(Classifiers!$D$12,E61)),1,0))+IF(Classifiers!$E$12="",0,IF(ISNUMBER(SEARCH(Classifiers!$E$12,E61)),1,0))+IF(Classifiers!$F$12="",0,IF(ISNUMBER(SEARCH(Classifiers!$F$12,E61)),1,0))+IF(Classifiers!$G$12="",0,IF(ISNUMBER(SEARCH(Classifiers!$G$12,E61)),1,0)))&gt;0,1,0))</f>
        <v/>
      </c>
      <c r="R61" s="12">
        <f>IF(H61&lt;&gt;1,0,IF((IF(Classifiers!$B$13="",0,IF(ISNUMBER(SEARCH(Classifiers!$B$13,E61)),1,0))+IF(Classifiers!$C$13="",0,IF(ISNUMBER(SEARCH(Classifiers!$C$13,E61)),1,0))+IF(Classifiers!$D$13="",0,IF(ISNUMBER(SEARCH(Classifiers!$D$13,E61)),1,0))+IF(Classifiers!$E$13="",0,IF(ISNUMBER(SEARCH(Classifiers!$E$13,E61)),1,0))+IF(Classifiers!$F$13="",0,IF(ISNUMBER(SEARCH(Classifiers!$F$13,E61)),1,0))+IF(Classifiers!$G$13="",0,IF(ISNUMBER(SEARCH(Classifiers!$G$13,E61)),1,0)))&gt;0,1,0))</f>
        <v/>
      </c>
      <c r="S61" s="12">
        <f>IF(H61&lt;&gt;1,0,IF((IF(Classifiers!$B$14="",0,IF(ISNUMBER(SEARCH(Classifiers!$B$14,E61)),1,0))+IF(Classifiers!$C$14="",0,IF(ISNUMBER(SEARCH(Classifiers!$C$14,E61)),1,0))+IF(Classifiers!$D$14="",0,IF(ISNUMBER(SEARCH(Classifiers!$D$14,E61)),1,0))+IF(Classifiers!$E$14="",0,IF(ISNUMBER(SEARCH(Classifiers!$E$14,E61)),1,0))+IF(Classifiers!$F$14="",0,IF(ISNUMBER(SEARCH(Classifiers!$F$14,E61)),1,0))+IF(Classifiers!$G$14="",0,IF(ISNUMBER(SEARCH(Classifiers!$G$14,E61)),1,0)))&gt;0,1,0))</f>
        <v/>
      </c>
      <c r="T61" s="12">
        <f>IF(H61&lt;&gt;1,0,IF((IF(Classifiers!$B$15="",0,IF(ISNUMBER(SEARCH(Classifiers!$B$15,E61)),1,0))+IF(Classifiers!$C$15="",0,IF(ISNUMBER(SEARCH(Classifiers!$C$15,E61)),1,0))+IF(Classifiers!$D$15="",0,IF(ISNUMBER(SEARCH(Classifiers!$D$15,E61)),1,0))+IF(Classifiers!$E$15="",0,IF(ISNUMBER(SEARCH(Classifiers!$E$15,E61)),1,0))+IF(Classifiers!$F$15="",0,IF(ISNUMBER(SEARCH(Classifiers!$F$15,E61)),1,0))+IF(Classifiers!$G$15="",0,IF(ISNUMBER(SEARCH(Classifiers!$G$15,E61)),1,0)))&gt;0,1,0))</f>
        <v/>
      </c>
      <c r="U61" s="12">
        <f>IF(H61&lt;&gt;1,0,IF((IF(Classifiers!$B$16="",0,IF(ISNUMBER(SEARCH(Classifiers!$B$16,E61)),1,0))+IF(Classifiers!$C$16="",0,IF(ISNUMBER(SEARCH(Classifiers!$C$16,E61)),1,0))+IF(Classifiers!$D$16="",0,IF(ISNUMBER(SEARCH(Classifiers!$D$16,E61)),1,0))+IF(Classifiers!$E$16="",0,IF(ISNUMBER(SEARCH(Classifiers!$E$16,E61)),1,0))+IF(Classifiers!$F$16="",0,IF(ISNUMBER(SEARCH(Classifiers!$F$16,E61)),1,0))+IF(Classifiers!$G$16="",0,IF(ISNUMBER(SEARCH(Classifiers!$G$16,E61)),1,0)))&gt;0,1,0))</f>
        <v/>
      </c>
      <c r="V61" s="12">
        <f>IF(H61&lt;&gt;1,0,IF((IF(Classifiers!$B$17="",0,IF(ISNUMBER(SEARCH(Classifiers!$B$17,E61)),1,0))+IF(Classifiers!$C$17="",0,IF(ISNUMBER(SEARCH(Classifiers!$C$17,E61)),1,0))+IF(Classifiers!$D$17="",0,IF(ISNUMBER(SEARCH(Classifiers!$D$17,E61)),1,0))+IF(Classifiers!$E$17="",0,IF(ISNUMBER(SEARCH(Classifiers!$E$17,E61)),1,0))+IF(Classifiers!$F$17="",0,IF(ISNUMBER(SEARCH(Classifiers!$F$17,E61)),1,0))+IF(Classifiers!$G$17="",0,IF(ISNUMBER(SEARCH(Classifiers!$G$17,E61)),1,0)))&gt;0,1,0))</f>
        <v/>
      </c>
      <c r="W61" s="12">
        <f>IF(H61&lt;&gt;1,0,IF((IF(Classifiers!$B$18="",0,IF(ISNUMBER(SEARCH(Classifiers!$B$18,E61)),1,0))+IF(Classifiers!$C$18="",0,IF(ISNUMBER(SEARCH(Classifiers!$C$18,E61)),1,0))+IF(Classifiers!$D$18="",0,IF(ISNUMBER(SEARCH(Classifiers!$D$18,E61)),1,0))+IF(Classifiers!$E$18="",0,IF(ISNUMBER(SEARCH(Classifiers!$E$18,E61)),1,0))+IF(Classifiers!$F$18="",0,IF(ISNUMBER(SEARCH(Classifiers!$F$18,E61)),1,0))+IF(Classifiers!$G$18="",0,IF(ISNUMBER(SEARCH(Classifiers!$G$18,E61)),1,0)))&gt;0,1,0))</f>
        <v/>
      </c>
    </row>
    <row r="62">
      <c r="A62" s="8" t="n"/>
      <c r="B62" s="11" t="n"/>
      <c r="C62" s="6">
        <f>IF(A62="","",TRIM(RIGHT(SUBSTITUTE(A62,"/",REPT(" ",250)),250)))</f>
        <v/>
      </c>
      <c r="D62" s="6">
        <f>IF(C62="","",IF(ISNUMBER(SEARCH(".",C62)),LOWER("."&amp;TRIM(RIGHT(SUBSTITUTE(C62,".",REPT(" ",250)),250))),""))</f>
        <v/>
      </c>
      <c r="E62" s="6">
        <f>IF(C62="","",TRIM(SUBSTITUTE(SUBSTITUTE(SUBSTITUTE(SUBSTITUTE(SUBSTITUTE(SUBSTITUTE(SUBSTITUTE(SUBSTITUTE(SUBSTITUTE(SUBSTITUTE(SUBSTITUTE(SUBSTITUTE(SUBSTITUTE(SUBSTITUTE(SUBSTITUTE(SUBSTITUTE(SUBSTITUTE(SUBSTITUTE(SUBSTITUTE(SUBSTITUTE(LOWER(LEFT(C62,LEN(C62)-LEN(D62))),"_"," "),"-"," "),"."," "),","," "),"("," "),")"," "),"["," "),"]"," "),"&amp;"," "),"+"," "),"@"," "),"#"," "),"!"," "),"'"," "),"/"," "),":"," "),";"," "),"="," "),"~"," "),"%"," ")))</f>
        <v/>
      </c>
      <c r="F62" s="6">
        <f>IF(C62="","",IF(COUNTIF(Classifiers!$A$23:$A$40,D62)&gt;0,1,0))</f>
        <v/>
      </c>
      <c r="G62" s="6">
        <f>IF(C62="","",IF(COUNTIF(Classifiers!$C$23:$C$30,D62)&gt;0,IF((IF(ISNUMBER(SEARCH(Classifiers!$E$23,E62)),1,0)+IF(ISNUMBER(SEARCH(Classifiers!$E$24,E62)),1,0)+IF(ISNUMBER(SEARCH(Classifiers!$E$25,E62)),1,0)+IF(ISNUMBER(SEARCH(Classifiers!$E$26,E62)),1,0)+IF(ISNUMBER(SEARCH(Classifiers!$E$27,E62)),1,0)+IF(ISNUMBER(SEARCH(Classifiers!$E$28,E62)),1,0)+IF(ISNUMBER(SEARCH(Classifiers!$E$29,E62)),1,0)+IF(ISNUMBER(SEARCH(Classifiers!$E$30,E62)),1,0))&gt;0,1,0),0))</f>
        <v/>
      </c>
      <c r="H62" s="6">
        <f>IF(C62="","",IF(OR(LEFT(C62,1)=".",AND(F62=0,G62=0)),0,1))</f>
        <v/>
      </c>
      <c r="I62" s="6">
        <f>IF(H62&lt;&gt;1,"",IF(SUM(J62:W62)=0,"unclassified",INDEX(Classifiers!$A$5:$A$18,MATCH(1,J62:W62,0),1)))</f>
        <v/>
      </c>
      <c r="J62" s="12">
        <f>IF(H62&lt;&gt;1,0,IF((IF(Classifiers!$B$5="",0,IF(ISNUMBER(SEARCH(Classifiers!$B$5,E62)),1,0))+IF(Classifiers!$C$5="",0,IF(ISNUMBER(SEARCH(Classifiers!$C$5,E62)),1,0))+IF(Classifiers!$D$5="",0,IF(ISNUMBER(SEARCH(Classifiers!$D$5,E62)),1,0))+IF(Classifiers!$E$5="",0,IF(ISNUMBER(SEARCH(Classifiers!$E$5,E62)),1,0))+IF(Classifiers!$F$5="",0,IF(ISNUMBER(SEARCH(Classifiers!$F$5,E62)),1,0))+IF(Classifiers!$G$5="",0,IF(ISNUMBER(SEARCH(Classifiers!$G$5,E62)),1,0)))&gt;0,1,0))</f>
        <v/>
      </c>
      <c r="K62" s="12">
        <f>IF(H62&lt;&gt;1,0,IF((IF(Classifiers!$B$6="",0,IF(ISNUMBER(SEARCH(Classifiers!$B$6,E62)),1,0))+IF(Classifiers!$C$6="",0,IF(ISNUMBER(SEARCH(Classifiers!$C$6,E62)),1,0))+IF(Classifiers!$D$6="",0,IF(ISNUMBER(SEARCH(Classifiers!$D$6,E62)),1,0))+IF(Classifiers!$E$6="",0,IF(ISNUMBER(SEARCH(Classifiers!$E$6,E62)),1,0))+IF(Classifiers!$F$6="",0,IF(ISNUMBER(SEARCH(Classifiers!$F$6,E62)),1,0))+IF(Classifiers!$G$6="",0,IF(ISNUMBER(SEARCH(Classifiers!$G$6,E62)),1,0)))&gt;0,1,0))</f>
        <v/>
      </c>
      <c r="L62" s="12">
        <f>IF(H62&lt;&gt;1,0,IF((IF(Classifiers!$B$7="",0,IF(ISNUMBER(SEARCH(Classifiers!$B$7,E62)),1,0))+IF(Classifiers!$C$7="",0,IF(ISNUMBER(SEARCH(Classifiers!$C$7,E62)),1,0))+IF(Classifiers!$D$7="",0,IF(ISNUMBER(SEARCH(Classifiers!$D$7,E62)),1,0))+IF(Classifiers!$E$7="",0,IF(ISNUMBER(SEARCH(Classifiers!$E$7,E62)),1,0))+IF(Classifiers!$F$7="",0,IF(ISNUMBER(SEARCH(Classifiers!$F$7,E62)),1,0))+IF(Classifiers!$G$7="",0,IF(ISNUMBER(SEARCH(Classifiers!$G$7,E62)),1,0)))&gt;0,1,0))</f>
        <v/>
      </c>
      <c r="M62" s="12">
        <f>IF(H62&lt;&gt;1,0,IF((IF(Classifiers!$B$8="",0,IF(ISNUMBER(SEARCH(Classifiers!$B$8,E62)),1,0))+IF(Classifiers!$C$8="",0,IF(ISNUMBER(SEARCH(Classifiers!$C$8,E62)),1,0))+IF(Classifiers!$D$8="",0,IF(ISNUMBER(SEARCH(Classifiers!$D$8,E62)),1,0))+IF(Classifiers!$E$8="",0,IF(ISNUMBER(SEARCH(Classifiers!$E$8,E62)),1,0))+IF(Classifiers!$F$8="",0,IF(ISNUMBER(SEARCH(Classifiers!$F$8,E62)),1,0))+IF(Classifiers!$G$8="",0,IF(ISNUMBER(SEARCH(Classifiers!$G$8,E62)),1,0)))&gt;0,1,0))</f>
        <v/>
      </c>
      <c r="N62" s="12">
        <f>IF(H62&lt;&gt;1,0,IF((IF(Classifiers!$B$9="",0,IF(ISNUMBER(SEARCH(Classifiers!$B$9,E62)),1,0))+IF(Classifiers!$C$9="",0,IF(ISNUMBER(SEARCH(Classifiers!$C$9,E62)),1,0))+IF(Classifiers!$D$9="",0,IF(ISNUMBER(SEARCH(Classifiers!$D$9,E62)),1,0))+IF(Classifiers!$E$9="",0,IF(ISNUMBER(SEARCH(Classifiers!$E$9,E62)),1,0))+IF(Classifiers!$F$9="",0,IF(ISNUMBER(SEARCH(Classifiers!$F$9,E62)),1,0))+IF(Classifiers!$G$9="",0,IF(ISNUMBER(SEARCH(Classifiers!$G$9,E62)),1,0)))&gt;0,1,0))</f>
        <v/>
      </c>
      <c r="O62" s="12">
        <f>IF(H62&lt;&gt;1,0,IF((IF(Classifiers!$B$10="",0,IF(ISNUMBER(SEARCH(Classifiers!$B$10,E62)),1,0))+IF(Classifiers!$C$10="",0,IF(ISNUMBER(SEARCH(Classifiers!$C$10,E62)),1,0))+IF(Classifiers!$D$10="",0,IF(ISNUMBER(SEARCH(Classifiers!$D$10,E62)),1,0))+IF(Classifiers!$E$10="",0,IF(ISNUMBER(SEARCH(Classifiers!$E$10,E62)),1,0))+IF(Classifiers!$F$10="",0,IF(ISNUMBER(SEARCH(Classifiers!$F$10,E62)),1,0))+IF(Classifiers!$G$10="",0,IF(ISNUMBER(SEARCH(Classifiers!$G$10,E62)),1,0)))&gt;0,1,0))</f>
        <v/>
      </c>
      <c r="P62" s="12">
        <f>IF(H62&lt;&gt;1,0,IF((IF(Classifiers!$B$11="",0,IF(ISNUMBER(SEARCH(Classifiers!$B$11,E62)),1,0))+IF(Classifiers!$C$11="",0,IF(ISNUMBER(SEARCH(Classifiers!$C$11,E62)),1,0))+IF(Classifiers!$D$11="",0,IF(ISNUMBER(SEARCH(Classifiers!$D$11,E62)),1,0))+IF(Classifiers!$E$11="",0,IF(ISNUMBER(SEARCH(Classifiers!$E$11,E62)),1,0))+IF(Classifiers!$F$11="",0,IF(ISNUMBER(SEARCH(Classifiers!$F$11,E62)),1,0))+IF(Classifiers!$G$11="",0,IF(ISNUMBER(SEARCH(Classifiers!$G$11,E62)),1,0)))&gt;0,1,0))</f>
        <v/>
      </c>
      <c r="Q62" s="12">
        <f>IF(H62&lt;&gt;1,0,IF((IF(Classifiers!$B$12="",0,IF(ISNUMBER(SEARCH(Classifiers!$B$12,E62)),1,0))+IF(Classifiers!$C$12="",0,IF(ISNUMBER(SEARCH(Classifiers!$C$12,E62)),1,0))+IF(Classifiers!$D$12="",0,IF(ISNUMBER(SEARCH(Classifiers!$D$12,E62)),1,0))+IF(Classifiers!$E$12="",0,IF(ISNUMBER(SEARCH(Classifiers!$E$12,E62)),1,0))+IF(Classifiers!$F$12="",0,IF(ISNUMBER(SEARCH(Classifiers!$F$12,E62)),1,0))+IF(Classifiers!$G$12="",0,IF(ISNUMBER(SEARCH(Classifiers!$G$12,E62)),1,0)))&gt;0,1,0))</f>
        <v/>
      </c>
      <c r="R62" s="12">
        <f>IF(H62&lt;&gt;1,0,IF((IF(Classifiers!$B$13="",0,IF(ISNUMBER(SEARCH(Classifiers!$B$13,E62)),1,0))+IF(Classifiers!$C$13="",0,IF(ISNUMBER(SEARCH(Classifiers!$C$13,E62)),1,0))+IF(Classifiers!$D$13="",0,IF(ISNUMBER(SEARCH(Classifiers!$D$13,E62)),1,0))+IF(Classifiers!$E$13="",0,IF(ISNUMBER(SEARCH(Classifiers!$E$13,E62)),1,0))+IF(Classifiers!$F$13="",0,IF(ISNUMBER(SEARCH(Classifiers!$F$13,E62)),1,0))+IF(Classifiers!$G$13="",0,IF(ISNUMBER(SEARCH(Classifiers!$G$13,E62)),1,0)))&gt;0,1,0))</f>
        <v/>
      </c>
      <c r="S62" s="12">
        <f>IF(H62&lt;&gt;1,0,IF((IF(Classifiers!$B$14="",0,IF(ISNUMBER(SEARCH(Classifiers!$B$14,E62)),1,0))+IF(Classifiers!$C$14="",0,IF(ISNUMBER(SEARCH(Classifiers!$C$14,E62)),1,0))+IF(Classifiers!$D$14="",0,IF(ISNUMBER(SEARCH(Classifiers!$D$14,E62)),1,0))+IF(Classifiers!$E$14="",0,IF(ISNUMBER(SEARCH(Classifiers!$E$14,E62)),1,0))+IF(Classifiers!$F$14="",0,IF(ISNUMBER(SEARCH(Classifiers!$F$14,E62)),1,0))+IF(Classifiers!$G$14="",0,IF(ISNUMBER(SEARCH(Classifiers!$G$14,E62)),1,0)))&gt;0,1,0))</f>
        <v/>
      </c>
      <c r="T62" s="12">
        <f>IF(H62&lt;&gt;1,0,IF((IF(Classifiers!$B$15="",0,IF(ISNUMBER(SEARCH(Classifiers!$B$15,E62)),1,0))+IF(Classifiers!$C$15="",0,IF(ISNUMBER(SEARCH(Classifiers!$C$15,E62)),1,0))+IF(Classifiers!$D$15="",0,IF(ISNUMBER(SEARCH(Classifiers!$D$15,E62)),1,0))+IF(Classifiers!$E$15="",0,IF(ISNUMBER(SEARCH(Classifiers!$E$15,E62)),1,0))+IF(Classifiers!$F$15="",0,IF(ISNUMBER(SEARCH(Classifiers!$F$15,E62)),1,0))+IF(Classifiers!$G$15="",0,IF(ISNUMBER(SEARCH(Classifiers!$G$15,E62)),1,0)))&gt;0,1,0))</f>
        <v/>
      </c>
      <c r="U62" s="12">
        <f>IF(H62&lt;&gt;1,0,IF((IF(Classifiers!$B$16="",0,IF(ISNUMBER(SEARCH(Classifiers!$B$16,E62)),1,0))+IF(Classifiers!$C$16="",0,IF(ISNUMBER(SEARCH(Classifiers!$C$16,E62)),1,0))+IF(Classifiers!$D$16="",0,IF(ISNUMBER(SEARCH(Classifiers!$D$16,E62)),1,0))+IF(Classifiers!$E$16="",0,IF(ISNUMBER(SEARCH(Classifiers!$E$16,E62)),1,0))+IF(Classifiers!$F$16="",0,IF(ISNUMBER(SEARCH(Classifiers!$F$16,E62)),1,0))+IF(Classifiers!$G$16="",0,IF(ISNUMBER(SEARCH(Classifiers!$G$16,E62)),1,0)))&gt;0,1,0))</f>
        <v/>
      </c>
      <c r="V62" s="12">
        <f>IF(H62&lt;&gt;1,0,IF((IF(Classifiers!$B$17="",0,IF(ISNUMBER(SEARCH(Classifiers!$B$17,E62)),1,0))+IF(Classifiers!$C$17="",0,IF(ISNUMBER(SEARCH(Classifiers!$C$17,E62)),1,0))+IF(Classifiers!$D$17="",0,IF(ISNUMBER(SEARCH(Classifiers!$D$17,E62)),1,0))+IF(Classifiers!$E$17="",0,IF(ISNUMBER(SEARCH(Classifiers!$E$17,E62)),1,0))+IF(Classifiers!$F$17="",0,IF(ISNUMBER(SEARCH(Classifiers!$F$17,E62)),1,0))+IF(Classifiers!$G$17="",0,IF(ISNUMBER(SEARCH(Classifiers!$G$17,E62)),1,0)))&gt;0,1,0))</f>
        <v/>
      </c>
      <c r="W62" s="12">
        <f>IF(H62&lt;&gt;1,0,IF((IF(Classifiers!$B$18="",0,IF(ISNUMBER(SEARCH(Classifiers!$B$18,E62)),1,0))+IF(Classifiers!$C$18="",0,IF(ISNUMBER(SEARCH(Classifiers!$C$18,E62)),1,0))+IF(Classifiers!$D$18="",0,IF(ISNUMBER(SEARCH(Classifiers!$D$18,E62)),1,0))+IF(Classifiers!$E$18="",0,IF(ISNUMBER(SEARCH(Classifiers!$E$18,E62)),1,0))+IF(Classifiers!$F$18="",0,IF(ISNUMBER(SEARCH(Classifiers!$F$18,E62)),1,0))+IF(Classifiers!$G$18="",0,IF(ISNUMBER(SEARCH(Classifiers!$G$18,E62)),1,0)))&gt;0,1,0))</f>
        <v/>
      </c>
    </row>
    <row r="63">
      <c r="A63" s="8" t="n"/>
      <c r="B63" s="11" t="n"/>
      <c r="C63" s="6">
        <f>IF(A63="","",TRIM(RIGHT(SUBSTITUTE(A63,"/",REPT(" ",250)),250)))</f>
        <v/>
      </c>
      <c r="D63" s="6">
        <f>IF(C63="","",IF(ISNUMBER(SEARCH(".",C63)),LOWER("."&amp;TRIM(RIGHT(SUBSTITUTE(C63,".",REPT(" ",250)),250))),""))</f>
        <v/>
      </c>
      <c r="E63" s="6">
        <f>IF(C63="","",TRIM(SUBSTITUTE(SUBSTITUTE(SUBSTITUTE(SUBSTITUTE(SUBSTITUTE(SUBSTITUTE(SUBSTITUTE(SUBSTITUTE(SUBSTITUTE(SUBSTITUTE(SUBSTITUTE(SUBSTITUTE(SUBSTITUTE(SUBSTITUTE(SUBSTITUTE(SUBSTITUTE(SUBSTITUTE(SUBSTITUTE(SUBSTITUTE(SUBSTITUTE(LOWER(LEFT(C63,LEN(C63)-LEN(D63))),"_"," "),"-"," "),"."," "),","," "),"("," "),")"," "),"["," "),"]"," "),"&amp;"," "),"+"," "),"@"," "),"#"," "),"!"," "),"'"," "),"/"," "),":"," "),";"," "),"="," "),"~"," "),"%"," ")))</f>
        <v/>
      </c>
      <c r="F63" s="6">
        <f>IF(C63="","",IF(COUNTIF(Classifiers!$A$23:$A$40,D63)&gt;0,1,0))</f>
        <v/>
      </c>
      <c r="G63" s="6">
        <f>IF(C63="","",IF(COUNTIF(Classifiers!$C$23:$C$30,D63)&gt;0,IF((IF(ISNUMBER(SEARCH(Classifiers!$E$23,E63)),1,0)+IF(ISNUMBER(SEARCH(Classifiers!$E$24,E63)),1,0)+IF(ISNUMBER(SEARCH(Classifiers!$E$25,E63)),1,0)+IF(ISNUMBER(SEARCH(Classifiers!$E$26,E63)),1,0)+IF(ISNUMBER(SEARCH(Classifiers!$E$27,E63)),1,0)+IF(ISNUMBER(SEARCH(Classifiers!$E$28,E63)),1,0)+IF(ISNUMBER(SEARCH(Classifiers!$E$29,E63)),1,0)+IF(ISNUMBER(SEARCH(Classifiers!$E$30,E63)),1,0))&gt;0,1,0),0))</f>
        <v/>
      </c>
      <c r="H63" s="6">
        <f>IF(C63="","",IF(OR(LEFT(C63,1)=".",AND(F63=0,G63=0)),0,1))</f>
        <v/>
      </c>
      <c r="I63" s="6">
        <f>IF(H63&lt;&gt;1,"",IF(SUM(J63:W63)=0,"unclassified",INDEX(Classifiers!$A$5:$A$18,MATCH(1,J63:W63,0),1)))</f>
        <v/>
      </c>
      <c r="J63" s="12">
        <f>IF(H63&lt;&gt;1,0,IF((IF(Classifiers!$B$5="",0,IF(ISNUMBER(SEARCH(Classifiers!$B$5,E63)),1,0))+IF(Classifiers!$C$5="",0,IF(ISNUMBER(SEARCH(Classifiers!$C$5,E63)),1,0))+IF(Classifiers!$D$5="",0,IF(ISNUMBER(SEARCH(Classifiers!$D$5,E63)),1,0))+IF(Classifiers!$E$5="",0,IF(ISNUMBER(SEARCH(Classifiers!$E$5,E63)),1,0))+IF(Classifiers!$F$5="",0,IF(ISNUMBER(SEARCH(Classifiers!$F$5,E63)),1,0))+IF(Classifiers!$G$5="",0,IF(ISNUMBER(SEARCH(Classifiers!$G$5,E63)),1,0)))&gt;0,1,0))</f>
        <v/>
      </c>
      <c r="K63" s="12">
        <f>IF(H63&lt;&gt;1,0,IF((IF(Classifiers!$B$6="",0,IF(ISNUMBER(SEARCH(Classifiers!$B$6,E63)),1,0))+IF(Classifiers!$C$6="",0,IF(ISNUMBER(SEARCH(Classifiers!$C$6,E63)),1,0))+IF(Classifiers!$D$6="",0,IF(ISNUMBER(SEARCH(Classifiers!$D$6,E63)),1,0))+IF(Classifiers!$E$6="",0,IF(ISNUMBER(SEARCH(Classifiers!$E$6,E63)),1,0))+IF(Classifiers!$F$6="",0,IF(ISNUMBER(SEARCH(Classifiers!$F$6,E63)),1,0))+IF(Classifiers!$G$6="",0,IF(ISNUMBER(SEARCH(Classifiers!$G$6,E63)),1,0)))&gt;0,1,0))</f>
        <v/>
      </c>
      <c r="L63" s="12">
        <f>IF(H63&lt;&gt;1,0,IF((IF(Classifiers!$B$7="",0,IF(ISNUMBER(SEARCH(Classifiers!$B$7,E63)),1,0))+IF(Classifiers!$C$7="",0,IF(ISNUMBER(SEARCH(Classifiers!$C$7,E63)),1,0))+IF(Classifiers!$D$7="",0,IF(ISNUMBER(SEARCH(Classifiers!$D$7,E63)),1,0))+IF(Classifiers!$E$7="",0,IF(ISNUMBER(SEARCH(Classifiers!$E$7,E63)),1,0))+IF(Classifiers!$F$7="",0,IF(ISNUMBER(SEARCH(Classifiers!$F$7,E63)),1,0))+IF(Classifiers!$G$7="",0,IF(ISNUMBER(SEARCH(Classifiers!$G$7,E63)),1,0)))&gt;0,1,0))</f>
        <v/>
      </c>
      <c r="M63" s="12">
        <f>IF(H63&lt;&gt;1,0,IF((IF(Classifiers!$B$8="",0,IF(ISNUMBER(SEARCH(Classifiers!$B$8,E63)),1,0))+IF(Classifiers!$C$8="",0,IF(ISNUMBER(SEARCH(Classifiers!$C$8,E63)),1,0))+IF(Classifiers!$D$8="",0,IF(ISNUMBER(SEARCH(Classifiers!$D$8,E63)),1,0))+IF(Classifiers!$E$8="",0,IF(ISNUMBER(SEARCH(Classifiers!$E$8,E63)),1,0))+IF(Classifiers!$F$8="",0,IF(ISNUMBER(SEARCH(Classifiers!$F$8,E63)),1,0))+IF(Classifiers!$G$8="",0,IF(ISNUMBER(SEARCH(Classifiers!$G$8,E63)),1,0)))&gt;0,1,0))</f>
        <v/>
      </c>
      <c r="N63" s="12">
        <f>IF(H63&lt;&gt;1,0,IF((IF(Classifiers!$B$9="",0,IF(ISNUMBER(SEARCH(Classifiers!$B$9,E63)),1,0))+IF(Classifiers!$C$9="",0,IF(ISNUMBER(SEARCH(Classifiers!$C$9,E63)),1,0))+IF(Classifiers!$D$9="",0,IF(ISNUMBER(SEARCH(Classifiers!$D$9,E63)),1,0))+IF(Classifiers!$E$9="",0,IF(ISNUMBER(SEARCH(Classifiers!$E$9,E63)),1,0))+IF(Classifiers!$F$9="",0,IF(ISNUMBER(SEARCH(Classifiers!$F$9,E63)),1,0))+IF(Classifiers!$G$9="",0,IF(ISNUMBER(SEARCH(Classifiers!$G$9,E63)),1,0)))&gt;0,1,0))</f>
        <v/>
      </c>
      <c r="O63" s="12">
        <f>IF(H63&lt;&gt;1,0,IF((IF(Classifiers!$B$10="",0,IF(ISNUMBER(SEARCH(Classifiers!$B$10,E63)),1,0))+IF(Classifiers!$C$10="",0,IF(ISNUMBER(SEARCH(Classifiers!$C$10,E63)),1,0))+IF(Classifiers!$D$10="",0,IF(ISNUMBER(SEARCH(Classifiers!$D$10,E63)),1,0))+IF(Classifiers!$E$10="",0,IF(ISNUMBER(SEARCH(Classifiers!$E$10,E63)),1,0))+IF(Classifiers!$F$10="",0,IF(ISNUMBER(SEARCH(Classifiers!$F$10,E63)),1,0))+IF(Classifiers!$G$10="",0,IF(ISNUMBER(SEARCH(Classifiers!$G$10,E63)),1,0)))&gt;0,1,0))</f>
        <v/>
      </c>
      <c r="P63" s="12">
        <f>IF(H63&lt;&gt;1,0,IF((IF(Classifiers!$B$11="",0,IF(ISNUMBER(SEARCH(Classifiers!$B$11,E63)),1,0))+IF(Classifiers!$C$11="",0,IF(ISNUMBER(SEARCH(Classifiers!$C$11,E63)),1,0))+IF(Classifiers!$D$11="",0,IF(ISNUMBER(SEARCH(Classifiers!$D$11,E63)),1,0))+IF(Classifiers!$E$11="",0,IF(ISNUMBER(SEARCH(Classifiers!$E$11,E63)),1,0))+IF(Classifiers!$F$11="",0,IF(ISNUMBER(SEARCH(Classifiers!$F$11,E63)),1,0))+IF(Classifiers!$G$11="",0,IF(ISNUMBER(SEARCH(Classifiers!$G$11,E63)),1,0)))&gt;0,1,0))</f>
        <v/>
      </c>
      <c r="Q63" s="12">
        <f>IF(H63&lt;&gt;1,0,IF((IF(Classifiers!$B$12="",0,IF(ISNUMBER(SEARCH(Classifiers!$B$12,E63)),1,0))+IF(Classifiers!$C$12="",0,IF(ISNUMBER(SEARCH(Classifiers!$C$12,E63)),1,0))+IF(Classifiers!$D$12="",0,IF(ISNUMBER(SEARCH(Classifiers!$D$12,E63)),1,0))+IF(Classifiers!$E$12="",0,IF(ISNUMBER(SEARCH(Classifiers!$E$12,E63)),1,0))+IF(Classifiers!$F$12="",0,IF(ISNUMBER(SEARCH(Classifiers!$F$12,E63)),1,0))+IF(Classifiers!$G$12="",0,IF(ISNUMBER(SEARCH(Classifiers!$G$12,E63)),1,0)))&gt;0,1,0))</f>
        <v/>
      </c>
      <c r="R63" s="12">
        <f>IF(H63&lt;&gt;1,0,IF((IF(Classifiers!$B$13="",0,IF(ISNUMBER(SEARCH(Classifiers!$B$13,E63)),1,0))+IF(Classifiers!$C$13="",0,IF(ISNUMBER(SEARCH(Classifiers!$C$13,E63)),1,0))+IF(Classifiers!$D$13="",0,IF(ISNUMBER(SEARCH(Classifiers!$D$13,E63)),1,0))+IF(Classifiers!$E$13="",0,IF(ISNUMBER(SEARCH(Classifiers!$E$13,E63)),1,0))+IF(Classifiers!$F$13="",0,IF(ISNUMBER(SEARCH(Classifiers!$F$13,E63)),1,0))+IF(Classifiers!$G$13="",0,IF(ISNUMBER(SEARCH(Classifiers!$G$13,E63)),1,0)))&gt;0,1,0))</f>
        <v/>
      </c>
      <c r="S63" s="12">
        <f>IF(H63&lt;&gt;1,0,IF((IF(Classifiers!$B$14="",0,IF(ISNUMBER(SEARCH(Classifiers!$B$14,E63)),1,0))+IF(Classifiers!$C$14="",0,IF(ISNUMBER(SEARCH(Classifiers!$C$14,E63)),1,0))+IF(Classifiers!$D$14="",0,IF(ISNUMBER(SEARCH(Classifiers!$D$14,E63)),1,0))+IF(Classifiers!$E$14="",0,IF(ISNUMBER(SEARCH(Classifiers!$E$14,E63)),1,0))+IF(Classifiers!$F$14="",0,IF(ISNUMBER(SEARCH(Classifiers!$F$14,E63)),1,0))+IF(Classifiers!$G$14="",0,IF(ISNUMBER(SEARCH(Classifiers!$G$14,E63)),1,0)))&gt;0,1,0))</f>
        <v/>
      </c>
      <c r="T63" s="12">
        <f>IF(H63&lt;&gt;1,0,IF((IF(Classifiers!$B$15="",0,IF(ISNUMBER(SEARCH(Classifiers!$B$15,E63)),1,0))+IF(Classifiers!$C$15="",0,IF(ISNUMBER(SEARCH(Classifiers!$C$15,E63)),1,0))+IF(Classifiers!$D$15="",0,IF(ISNUMBER(SEARCH(Classifiers!$D$15,E63)),1,0))+IF(Classifiers!$E$15="",0,IF(ISNUMBER(SEARCH(Classifiers!$E$15,E63)),1,0))+IF(Classifiers!$F$15="",0,IF(ISNUMBER(SEARCH(Classifiers!$F$15,E63)),1,0))+IF(Classifiers!$G$15="",0,IF(ISNUMBER(SEARCH(Classifiers!$G$15,E63)),1,0)))&gt;0,1,0))</f>
        <v/>
      </c>
      <c r="U63" s="12">
        <f>IF(H63&lt;&gt;1,0,IF((IF(Classifiers!$B$16="",0,IF(ISNUMBER(SEARCH(Classifiers!$B$16,E63)),1,0))+IF(Classifiers!$C$16="",0,IF(ISNUMBER(SEARCH(Classifiers!$C$16,E63)),1,0))+IF(Classifiers!$D$16="",0,IF(ISNUMBER(SEARCH(Classifiers!$D$16,E63)),1,0))+IF(Classifiers!$E$16="",0,IF(ISNUMBER(SEARCH(Classifiers!$E$16,E63)),1,0))+IF(Classifiers!$F$16="",0,IF(ISNUMBER(SEARCH(Classifiers!$F$16,E63)),1,0))+IF(Classifiers!$G$16="",0,IF(ISNUMBER(SEARCH(Classifiers!$G$16,E63)),1,0)))&gt;0,1,0))</f>
        <v/>
      </c>
      <c r="V63" s="12">
        <f>IF(H63&lt;&gt;1,0,IF((IF(Classifiers!$B$17="",0,IF(ISNUMBER(SEARCH(Classifiers!$B$17,E63)),1,0))+IF(Classifiers!$C$17="",0,IF(ISNUMBER(SEARCH(Classifiers!$C$17,E63)),1,0))+IF(Classifiers!$D$17="",0,IF(ISNUMBER(SEARCH(Classifiers!$D$17,E63)),1,0))+IF(Classifiers!$E$17="",0,IF(ISNUMBER(SEARCH(Classifiers!$E$17,E63)),1,0))+IF(Classifiers!$F$17="",0,IF(ISNUMBER(SEARCH(Classifiers!$F$17,E63)),1,0))+IF(Classifiers!$G$17="",0,IF(ISNUMBER(SEARCH(Classifiers!$G$17,E63)),1,0)))&gt;0,1,0))</f>
        <v/>
      </c>
      <c r="W63" s="12">
        <f>IF(H63&lt;&gt;1,0,IF((IF(Classifiers!$B$18="",0,IF(ISNUMBER(SEARCH(Classifiers!$B$18,E63)),1,0))+IF(Classifiers!$C$18="",0,IF(ISNUMBER(SEARCH(Classifiers!$C$18,E63)),1,0))+IF(Classifiers!$D$18="",0,IF(ISNUMBER(SEARCH(Classifiers!$D$18,E63)),1,0))+IF(Classifiers!$E$18="",0,IF(ISNUMBER(SEARCH(Classifiers!$E$18,E63)),1,0))+IF(Classifiers!$F$18="",0,IF(ISNUMBER(SEARCH(Classifiers!$F$18,E63)),1,0))+IF(Classifiers!$G$18="",0,IF(ISNUMBER(SEARCH(Classifiers!$G$18,E63)),1,0)))&gt;0,1,0))</f>
        <v/>
      </c>
    </row>
    <row r="64">
      <c r="A64" s="8" t="n"/>
      <c r="B64" s="11" t="n"/>
      <c r="C64" s="6">
        <f>IF(A64="","",TRIM(RIGHT(SUBSTITUTE(A64,"/",REPT(" ",250)),250)))</f>
        <v/>
      </c>
      <c r="D64" s="6">
        <f>IF(C64="","",IF(ISNUMBER(SEARCH(".",C64)),LOWER("."&amp;TRIM(RIGHT(SUBSTITUTE(C64,".",REPT(" ",250)),250))),""))</f>
        <v/>
      </c>
      <c r="E64" s="6">
        <f>IF(C64="","",TRIM(SUBSTITUTE(SUBSTITUTE(SUBSTITUTE(SUBSTITUTE(SUBSTITUTE(SUBSTITUTE(SUBSTITUTE(SUBSTITUTE(SUBSTITUTE(SUBSTITUTE(SUBSTITUTE(SUBSTITUTE(SUBSTITUTE(SUBSTITUTE(SUBSTITUTE(SUBSTITUTE(SUBSTITUTE(SUBSTITUTE(SUBSTITUTE(SUBSTITUTE(LOWER(LEFT(C64,LEN(C64)-LEN(D64))),"_"," "),"-"," "),"."," "),","," "),"("," "),")"," "),"["," "),"]"," "),"&amp;"," "),"+"," "),"@"," "),"#"," "),"!"," "),"'"," "),"/"," "),":"," "),";"," "),"="," "),"~"," "),"%"," ")))</f>
        <v/>
      </c>
      <c r="F64" s="6">
        <f>IF(C64="","",IF(COUNTIF(Classifiers!$A$23:$A$40,D64)&gt;0,1,0))</f>
        <v/>
      </c>
      <c r="G64" s="6">
        <f>IF(C64="","",IF(COUNTIF(Classifiers!$C$23:$C$30,D64)&gt;0,IF((IF(ISNUMBER(SEARCH(Classifiers!$E$23,E64)),1,0)+IF(ISNUMBER(SEARCH(Classifiers!$E$24,E64)),1,0)+IF(ISNUMBER(SEARCH(Classifiers!$E$25,E64)),1,0)+IF(ISNUMBER(SEARCH(Classifiers!$E$26,E64)),1,0)+IF(ISNUMBER(SEARCH(Classifiers!$E$27,E64)),1,0)+IF(ISNUMBER(SEARCH(Classifiers!$E$28,E64)),1,0)+IF(ISNUMBER(SEARCH(Classifiers!$E$29,E64)),1,0)+IF(ISNUMBER(SEARCH(Classifiers!$E$30,E64)),1,0))&gt;0,1,0),0))</f>
        <v/>
      </c>
      <c r="H64" s="6">
        <f>IF(C64="","",IF(OR(LEFT(C64,1)=".",AND(F64=0,G64=0)),0,1))</f>
        <v/>
      </c>
      <c r="I64" s="6">
        <f>IF(H64&lt;&gt;1,"",IF(SUM(J64:W64)=0,"unclassified",INDEX(Classifiers!$A$5:$A$18,MATCH(1,J64:W64,0),1)))</f>
        <v/>
      </c>
      <c r="J64" s="12">
        <f>IF(H64&lt;&gt;1,0,IF((IF(Classifiers!$B$5="",0,IF(ISNUMBER(SEARCH(Classifiers!$B$5,E64)),1,0))+IF(Classifiers!$C$5="",0,IF(ISNUMBER(SEARCH(Classifiers!$C$5,E64)),1,0))+IF(Classifiers!$D$5="",0,IF(ISNUMBER(SEARCH(Classifiers!$D$5,E64)),1,0))+IF(Classifiers!$E$5="",0,IF(ISNUMBER(SEARCH(Classifiers!$E$5,E64)),1,0))+IF(Classifiers!$F$5="",0,IF(ISNUMBER(SEARCH(Classifiers!$F$5,E64)),1,0))+IF(Classifiers!$G$5="",0,IF(ISNUMBER(SEARCH(Classifiers!$G$5,E64)),1,0)))&gt;0,1,0))</f>
        <v/>
      </c>
      <c r="K64" s="12">
        <f>IF(H64&lt;&gt;1,0,IF((IF(Classifiers!$B$6="",0,IF(ISNUMBER(SEARCH(Classifiers!$B$6,E64)),1,0))+IF(Classifiers!$C$6="",0,IF(ISNUMBER(SEARCH(Classifiers!$C$6,E64)),1,0))+IF(Classifiers!$D$6="",0,IF(ISNUMBER(SEARCH(Classifiers!$D$6,E64)),1,0))+IF(Classifiers!$E$6="",0,IF(ISNUMBER(SEARCH(Classifiers!$E$6,E64)),1,0))+IF(Classifiers!$F$6="",0,IF(ISNUMBER(SEARCH(Classifiers!$F$6,E64)),1,0))+IF(Classifiers!$G$6="",0,IF(ISNUMBER(SEARCH(Classifiers!$G$6,E64)),1,0)))&gt;0,1,0))</f>
        <v/>
      </c>
      <c r="L64" s="12">
        <f>IF(H64&lt;&gt;1,0,IF((IF(Classifiers!$B$7="",0,IF(ISNUMBER(SEARCH(Classifiers!$B$7,E64)),1,0))+IF(Classifiers!$C$7="",0,IF(ISNUMBER(SEARCH(Classifiers!$C$7,E64)),1,0))+IF(Classifiers!$D$7="",0,IF(ISNUMBER(SEARCH(Classifiers!$D$7,E64)),1,0))+IF(Classifiers!$E$7="",0,IF(ISNUMBER(SEARCH(Classifiers!$E$7,E64)),1,0))+IF(Classifiers!$F$7="",0,IF(ISNUMBER(SEARCH(Classifiers!$F$7,E64)),1,0))+IF(Classifiers!$G$7="",0,IF(ISNUMBER(SEARCH(Classifiers!$G$7,E64)),1,0)))&gt;0,1,0))</f>
        <v/>
      </c>
      <c r="M64" s="12">
        <f>IF(H64&lt;&gt;1,0,IF((IF(Classifiers!$B$8="",0,IF(ISNUMBER(SEARCH(Classifiers!$B$8,E64)),1,0))+IF(Classifiers!$C$8="",0,IF(ISNUMBER(SEARCH(Classifiers!$C$8,E64)),1,0))+IF(Classifiers!$D$8="",0,IF(ISNUMBER(SEARCH(Classifiers!$D$8,E64)),1,0))+IF(Classifiers!$E$8="",0,IF(ISNUMBER(SEARCH(Classifiers!$E$8,E64)),1,0))+IF(Classifiers!$F$8="",0,IF(ISNUMBER(SEARCH(Classifiers!$F$8,E64)),1,0))+IF(Classifiers!$G$8="",0,IF(ISNUMBER(SEARCH(Classifiers!$G$8,E64)),1,0)))&gt;0,1,0))</f>
        <v/>
      </c>
      <c r="N64" s="12">
        <f>IF(H64&lt;&gt;1,0,IF((IF(Classifiers!$B$9="",0,IF(ISNUMBER(SEARCH(Classifiers!$B$9,E64)),1,0))+IF(Classifiers!$C$9="",0,IF(ISNUMBER(SEARCH(Classifiers!$C$9,E64)),1,0))+IF(Classifiers!$D$9="",0,IF(ISNUMBER(SEARCH(Classifiers!$D$9,E64)),1,0))+IF(Classifiers!$E$9="",0,IF(ISNUMBER(SEARCH(Classifiers!$E$9,E64)),1,0))+IF(Classifiers!$F$9="",0,IF(ISNUMBER(SEARCH(Classifiers!$F$9,E64)),1,0))+IF(Classifiers!$G$9="",0,IF(ISNUMBER(SEARCH(Classifiers!$G$9,E64)),1,0)))&gt;0,1,0))</f>
        <v/>
      </c>
      <c r="O64" s="12">
        <f>IF(H64&lt;&gt;1,0,IF((IF(Classifiers!$B$10="",0,IF(ISNUMBER(SEARCH(Classifiers!$B$10,E64)),1,0))+IF(Classifiers!$C$10="",0,IF(ISNUMBER(SEARCH(Classifiers!$C$10,E64)),1,0))+IF(Classifiers!$D$10="",0,IF(ISNUMBER(SEARCH(Classifiers!$D$10,E64)),1,0))+IF(Classifiers!$E$10="",0,IF(ISNUMBER(SEARCH(Classifiers!$E$10,E64)),1,0))+IF(Classifiers!$F$10="",0,IF(ISNUMBER(SEARCH(Classifiers!$F$10,E64)),1,0))+IF(Classifiers!$G$10="",0,IF(ISNUMBER(SEARCH(Classifiers!$G$10,E64)),1,0)))&gt;0,1,0))</f>
        <v/>
      </c>
      <c r="P64" s="12">
        <f>IF(H64&lt;&gt;1,0,IF((IF(Classifiers!$B$11="",0,IF(ISNUMBER(SEARCH(Classifiers!$B$11,E64)),1,0))+IF(Classifiers!$C$11="",0,IF(ISNUMBER(SEARCH(Classifiers!$C$11,E64)),1,0))+IF(Classifiers!$D$11="",0,IF(ISNUMBER(SEARCH(Classifiers!$D$11,E64)),1,0))+IF(Classifiers!$E$11="",0,IF(ISNUMBER(SEARCH(Classifiers!$E$11,E64)),1,0))+IF(Classifiers!$F$11="",0,IF(ISNUMBER(SEARCH(Classifiers!$F$11,E64)),1,0))+IF(Classifiers!$G$11="",0,IF(ISNUMBER(SEARCH(Classifiers!$G$11,E64)),1,0)))&gt;0,1,0))</f>
        <v/>
      </c>
      <c r="Q64" s="12">
        <f>IF(H64&lt;&gt;1,0,IF((IF(Classifiers!$B$12="",0,IF(ISNUMBER(SEARCH(Classifiers!$B$12,E64)),1,0))+IF(Classifiers!$C$12="",0,IF(ISNUMBER(SEARCH(Classifiers!$C$12,E64)),1,0))+IF(Classifiers!$D$12="",0,IF(ISNUMBER(SEARCH(Classifiers!$D$12,E64)),1,0))+IF(Classifiers!$E$12="",0,IF(ISNUMBER(SEARCH(Classifiers!$E$12,E64)),1,0))+IF(Classifiers!$F$12="",0,IF(ISNUMBER(SEARCH(Classifiers!$F$12,E64)),1,0))+IF(Classifiers!$G$12="",0,IF(ISNUMBER(SEARCH(Classifiers!$G$12,E64)),1,0)))&gt;0,1,0))</f>
        <v/>
      </c>
      <c r="R64" s="12">
        <f>IF(H64&lt;&gt;1,0,IF((IF(Classifiers!$B$13="",0,IF(ISNUMBER(SEARCH(Classifiers!$B$13,E64)),1,0))+IF(Classifiers!$C$13="",0,IF(ISNUMBER(SEARCH(Classifiers!$C$13,E64)),1,0))+IF(Classifiers!$D$13="",0,IF(ISNUMBER(SEARCH(Classifiers!$D$13,E64)),1,0))+IF(Classifiers!$E$13="",0,IF(ISNUMBER(SEARCH(Classifiers!$E$13,E64)),1,0))+IF(Classifiers!$F$13="",0,IF(ISNUMBER(SEARCH(Classifiers!$F$13,E64)),1,0))+IF(Classifiers!$G$13="",0,IF(ISNUMBER(SEARCH(Classifiers!$G$13,E64)),1,0)))&gt;0,1,0))</f>
        <v/>
      </c>
      <c r="S64" s="12">
        <f>IF(H64&lt;&gt;1,0,IF((IF(Classifiers!$B$14="",0,IF(ISNUMBER(SEARCH(Classifiers!$B$14,E64)),1,0))+IF(Classifiers!$C$14="",0,IF(ISNUMBER(SEARCH(Classifiers!$C$14,E64)),1,0))+IF(Classifiers!$D$14="",0,IF(ISNUMBER(SEARCH(Classifiers!$D$14,E64)),1,0))+IF(Classifiers!$E$14="",0,IF(ISNUMBER(SEARCH(Classifiers!$E$14,E64)),1,0))+IF(Classifiers!$F$14="",0,IF(ISNUMBER(SEARCH(Classifiers!$F$14,E64)),1,0))+IF(Classifiers!$G$14="",0,IF(ISNUMBER(SEARCH(Classifiers!$G$14,E64)),1,0)))&gt;0,1,0))</f>
        <v/>
      </c>
      <c r="T64" s="12">
        <f>IF(H64&lt;&gt;1,0,IF((IF(Classifiers!$B$15="",0,IF(ISNUMBER(SEARCH(Classifiers!$B$15,E64)),1,0))+IF(Classifiers!$C$15="",0,IF(ISNUMBER(SEARCH(Classifiers!$C$15,E64)),1,0))+IF(Classifiers!$D$15="",0,IF(ISNUMBER(SEARCH(Classifiers!$D$15,E64)),1,0))+IF(Classifiers!$E$15="",0,IF(ISNUMBER(SEARCH(Classifiers!$E$15,E64)),1,0))+IF(Classifiers!$F$15="",0,IF(ISNUMBER(SEARCH(Classifiers!$F$15,E64)),1,0))+IF(Classifiers!$G$15="",0,IF(ISNUMBER(SEARCH(Classifiers!$G$15,E64)),1,0)))&gt;0,1,0))</f>
        <v/>
      </c>
      <c r="U64" s="12">
        <f>IF(H64&lt;&gt;1,0,IF((IF(Classifiers!$B$16="",0,IF(ISNUMBER(SEARCH(Classifiers!$B$16,E64)),1,0))+IF(Classifiers!$C$16="",0,IF(ISNUMBER(SEARCH(Classifiers!$C$16,E64)),1,0))+IF(Classifiers!$D$16="",0,IF(ISNUMBER(SEARCH(Classifiers!$D$16,E64)),1,0))+IF(Classifiers!$E$16="",0,IF(ISNUMBER(SEARCH(Classifiers!$E$16,E64)),1,0))+IF(Classifiers!$F$16="",0,IF(ISNUMBER(SEARCH(Classifiers!$F$16,E64)),1,0))+IF(Classifiers!$G$16="",0,IF(ISNUMBER(SEARCH(Classifiers!$G$16,E64)),1,0)))&gt;0,1,0))</f>
        <v/>
      </c>
      <c r="V64" s="12">
        <f>IF(H64&lt;&gt;1,0,IF((IF(Classifiers!$B$17="",0,IF(ISNUMBER(SEARCH(Classifiers!$B$17,E64)),1,0))+IF(Classifiers!$C$17="",0,IF(ISNUMBER(SEARCH(Classifiers!$C$17,E64)),1,0))+IF(Classifiers!$D$17="",0,IF(ISNUMBER(SEARCH(Classifiers!$D$17,E64)),1,0))+IF(Classifiers!$E$17="",0,IF(ISNUMBER(SEARCH(Classifiers!$E$17,E64)),1,0))+IF(Classifiers!$F$17="",0,IF(ISNUMBER(SEARCH(Classifiers!$F$17,E64)),1,0))+IF(Classifiers!$G$17="",0,IF(ISNUMBER(SEARCH(Classifiers!$G$17,E64)),1,0)))&gt;0,1,0))</f>
        <v/>
      </c>
      <c r="W64" s="12">
        <f>IF(H64&lt;&gt;1,0,IF((IF(Classifiers!$B$18="",0,IF(ISNUMBER(SEARCH(Classifiers!$B$18,E64)),1,0))+IF(Classifiers!$C$18="",0,IF(ISNUMBER(SEARCH(Classifiers!$C$18,E64)),1,0))+IF(Classifiers!$D$18="",0,IF(ISNUMBER(SEARCH(Classifiers!$D$18,E64)),1,0))+IF(Classifiers!$E$18="",0,IF(ISNUMBER(SEARCH(Classifiers!$E$18,E64)),1,0))+IF(Classifiers!$F$18="",0,IF(ISNUMBER(SEARCH(Classifiers!$F$18,E64)),1,0))+IF(Classifiers!$G$18="",0,IF(ISNUMBER(SEARCH(Classifiers!$G$18,E64)),1,0)))&gt;0,1,0))</f>
        <v/>
      </c>
    </row>
    <row r="65">
      <c r="A65" s="8" t="n"/>
      <c r="B65" s="11" t="n"/>
      <c r="C65" s="6">
        <f>IF(A65="","",TRIM(RIGHT(SUBSTITUTE(A65,"/",REPT(" ",250)),250)))</f>
        <v/>
      </c>
      <c r="D65" s="6">
        <f>IF(C65="","",IF(ISNUMBER(SEARCH(".",C65)),LOWER("."&amp;TRIM(RIGHT(SUBSTITUTE(C65,".",REPT(" ",250)),250))),""))</f>
        <v/>
      </c>
      <c r="E65" s="6">
        <f>IF(C65="","",TRIM(SUBSTITUTE(SUBSTITUTE(SUBSTITUTE(SUBSTITUTE(SUBSTITUTE(SUBSTITUTE(SUBSTITUTE(SUBSTITUTE(SUBSTITUTE(SUBSTITUTE(SUBSTITUTE(SUBSTITUTE(SUBSTITUTE(SUBSTITUTE(SUBSTITUTE(SUBSTITUTE(SUBSTITUTE(SUBSTITUTE(SUBSTITUTE(SUBSTITUTE(LOWER(LEFT(C65,LEN(C65)-LEN(D65))),"_"," "),"-"," "),"."," "),","," "),"("," "),")"," "),"["," "),"]"," "),"&amp;"," "),"+"," "),"@"," "),"#"," "),"!"," "),"'"," "),"/"," "),":"," "),";"," "),"="," "),"~"," "),"%"," ")))</f>
        <v/>
      </c>
      <c r="F65" s="6">
        <f>IF(C65="","",IF(COUNTIF(Classifiers!$A$23:$A$40,D65)&gt;0,1,0))</f>
        <v/>
      </c>
      <c r="G65" s="6">
        <f>IF(C65="","",IF(COUNTIF(Classifiers!$C$23:$C$30,D65)&gt;0,IF((IF(ISNUMBER(SEARCH(Classifiers!$E$23,E65)),1,0)+IF(ISNUMBER(SEARCH(Classifiers!$E$24,E65)),1,0)+IF(ISNUMBER(SEARCH(Classifiers!$E$25,E65)),1,0)+IF(ISNUMBER(SEARCH(Classifiers!$E$26,E65)),1,0)+IF(ISNUMBER(SEARCH(Classifiers!$E$27,E65)),1,0)+IF(ISNUMBER(SEARCH(Classifiers!$E$28,E65)),1,0)+IF(ISNUMBER(SEARCH(Classifiers!$E$29,E65)),1,0)+IF(ISNUMBER(SEARCH(Classifiers!$E$30,E65)),1,0))&gt;0,1,0),0))</f>
        <v/>
      </c>
      <c r="H65" s="6">
        <f>IF(C65="","",IF(OR(LEFT(C65,1)=".",AND(F65=0,G65=0)),0,1))</f>
        <v/>
      </c>
      <c r="I65" s="6">
        <f>IF(H65&lt;&gt;1,"",IF(SUM(J65:W65)=0,"unclassified",INDEX(Classifiers!$A$5:$A$18,MATCH(1,J65:W65,0),1)))</f>
        <v/>
      </c>
      <c r="J65" s="12">
        <f>IF(H65&lt;&gt;1,0,IF((IF(Classifiers!$B$5="",0,IF(ISNUMBER(SEARCH(Classifiers!$B$5,E65)),1,0))+IF(Classifiers!$C$5="",0,IF(ISNUMBER(SEARCH(Classifiers!$C$5,E65)),1,0))+IF(Classifiers!$D$5="",0,IF(ISNUMBER(SEARCH(Classifiers!$D$5,E65)),1,0))+IF(Classifiers!$E$5="",0,IF(ISNUMBER(SEARCH(Classifiers!$E$5,E65)),1,0))+IF(Classifiers!$F$5="",0,IF(ISNUMBER(SEARCH(Classifiers!$F$5,E65)),1,0))+IF(Classifiers!$G$5="",0,IF(ISNUMBER(SEARCH(Classifiers!$G$5,E65)),1,0)))&gt;0,1,0))</f>
        <v/>
      </c>
      <c r="K65" s="12">
        <f>IF(H65&lt;&gt;1,0,IF((IF(Classifiers!$B$6="",0,IF(ISNUMBER(SEARCH(Classifiers!$B$6,E65)),1,0))+IF(Classifiers!$C$6="",0,IF(ISNUMBER(SEARCH(Classifiers!$C$6,E65)),1,0))+IF(Classifiers!$D$6="",0,IF(ISNUMBER(SEARCH(Classifiers!$D$6,E65)),1,0))+IF(Classifiers!$E$6="",0,IF(ISNUMBER(SEARCH(Classifiers!$E$6,E65)),1,0))+IF(Classifiers!$F$6="",0,IF(ISNUMBER(SEARCH(Classifiers!$F$6,E65)),1,0))+IF(Classifiers!$G$6="",0,IF(ISNUMBER(SEARCH(Classifiers!$G$6,E65)),1,0)))&gt;0,1,0))</f>
        <v/>
      </c>
      <c r="L65" s="12">
        <f>IF(H65&lt;&gt;1,0,IF((IF(Classifiers!$B$7="",0,IF(ISNUMBER(SEARCH(Classifiers!$B$7,E65)),1,0))+IF(Classifiers!$C$7="",0,IF(ISNUMBER(SEARCH(Classifiers!$C$7,E65)),1,0))+IF(Classifiers!$D$7="",0,IF(ISNUMBER(SEARCH(Classifiers!$D$7,E65)),1,0))+IF(Classifiers!$E$7="",0,IF(ISNUMBER(SEARCH(Classifiers!$E$7,E65)),1,0))+IF(Classifiers!$F$7="",0,IF(ISNUMBER(SEARCH(Classifiers!$F$7,E65)),1,0))+IF(Classifiers!$G$7="",0,IF(ISNUMBER(SEARCH(Classifiers!$G$7,E65)),1,0)))&gt;0,1,0))</f>
        <v/>
      </c>
      <c r="M65" s="12">
        <f>IF(H65&lt;&gt;1,0,IF((IF(Classifiers!$B$8="",0,IF(ISNUMBER(SEARCH(Classifiers!$B$8,E65)),1,0))+IF(Classifiers!$C$8="",0,IF(ISNUMBER(SEARCH(Classifiers!$C$8,E65)),1,0))+IF(Classifiers!$D$8="",0,IF(ISNUMBER(SEARCH(Classifiers!$D$8,E65)),1,0))+IF(Classifiers!$E$8="",0,IF(ISNUMBER(SEARCH(Classifiers!$E$8,E65)),1,0))+IF(Classifiers!$F$8="",0,IF(ISNUMBER(SEARCH(Classifiers!$F$8,E65)),1,0))+IF(Classifiers!$G$8="",0,IF(ISNUMBER(SEARCH(Classifiers!$G$8,E65)),1,0)))&gt;0,1,0))</f>
        <v/>
      </c>
      <c r="N65" s="12">
        <f>IF(H65&lt;&gt;1,0,IF((IF(Classifiers!$B$9="",0,IF(ISNUMBER(SEARCH(Classifiers!$B$9,E65)),1,0))+IF(Classifiers!$C$9="",0,IF(ISNUMBER(SEARCH(Classifiers!$C$9,E65)),1,0))+IF(Classifiers!$D$9="",0,IF(ISNUMBER(SEARCH(Classifiers!$D$9,E65)),1,0))+IF(Classifiers!$E$9="",0,IF(ISNUMBER(SEARCH(Classifiers!$E$9,E65)),1,0))+IF(Classifiers!$F$9="",0,IF(ISNUMBER(SEARCH(Classifiers!$F$9,E65)),1,0))+IF(Classifiers!$G$9="",0,IF(ISNUMBER(SEARCH(Classifiers!$G$9,E65)),1,0)))&gt;0,1,0))</f>
        <v/>
      </c>
      <c r="O65" s="12">
        <f>IF(H65&lt;&gt;1,0,IF((IF(Classifiers!$B$10="",0,IF(ISNUMBER(SEARCH(Classifiers!$B$10,E65)),1,0))+IF(Classifiers!$C$10="",0,IF(ISNUMBER(SEARCH(Classifiers!$C$10,E65)),1,0))+IF(Classifiers!$D$10="",0,IF(ISNUMBER(SEARCH(Classifiers!$D$10,E65)),1,0))+IF(Classifiers!$E$10="",0,IF(ISNUMBER(SEARCH(Classifiers!$E$10,E65)),1,0))+IF(Classifiers!$F$10="",0,IF(ISNUMBER(SEARCH(Classifiers!$F$10,E65)),1,0))+IF(Classifiers!$G$10="",0,IF(ISNUMBER(SEARCH(Classifiers!$G$10,E65)),1,0)))&gt;0,1,0))</f>
        <v/>
      </c>
      <c r="P65" s="12">
        <f>IF(H65&lt;&gt;1,0,IF((IF(Classifiers!$B$11="",0,IF(ISNUMBER(SEARCH(Classifiers!$B$11,E65)),1,0))+IF(Classifiers!$C$11="",0,IF(ISNUMBER(SEARCH(Classifiers!$C$11,E65)),1,0))+IF(Classifiers!$D$11="",0,IF(ISNUMBER(SEARCH(Classifiers!$D$11,E65)),1,0))+IF(Classifiers!$E$11="",0,IF(ISNUMBER(SEARCH(Classifiers!$E$11,E65)),1,0))+IF(Classifiers!$F$11="",0,IF(ISNUMBER(SEARCH(Classifiers!$F$11,E65)),1,0))+IF(Classifiers!$G$11="",0,IF(ISNUMBER(SEARCH(Classifiers!$G$11,E65)),1,0)))&gt;0,1,0))</f>
        <v/>
      </c>
      <c r="Q65" s="12">
        <f>IF(H65&lt;&gt;1,0,IF((IF(Classifiers!$B$12="",0,IF(ISNUMBER(SEARCH(Classifiers!$B$12,E65)),1,0))+IF(Classifiers!$C$12="",0,IF(ISNUMBER(SEARCH(Classifiers!$C$12,E65)),1,0))+IF(Classifiers!$D$12="",0,IF(ISNUMBER(SEARCH(Classifiers!$D$12,E65)),1,0))+IF(Classifiers!$E$12="",0,IF(ISNUMBER(SEARCH(Classifiers!$E$12,E65)),1,0))+IF(Classifiers!$F$12="",0,IF(ISNUMBER(SEARCH(Classifiers!$F$12,E65)),1,0))+IF(Classifiers!$G$12="",0,IF(ISNUMBER(SEARCH(Classifiers!$G$12,E65)),1,0)))&gt;0,1,0))</f>
        <v/>
      </c>
      <c r="R65" s="12">
        <f>IF(H65&lt;&gt;1,0,IF((IF(Classifiers!$B$13="",0,IF(ISNUMBER(SEARCH(Classifiers!$B$13,E65)),1,0))+IF(Classifiers!$C$13="",0,IF(ISNUMBER(SEARCH(Classifiers!$C$13,E65)),1,0))+IF(Classifiers!$D$13="",0,IF(ISNUMBER(SEARCH(Classifiers!$D$13,E65)),1,0))+IF(Classifiers!$E$13="",0,IF(ISNUMBER(SEARCH(Classifiers!$E$13,E65)),1,0))+IF(Classifiers!$F$13="",0,IF(ISNUMBER(SEARCH(Classifiers!$F$13,E65)),1,0))+IF(Classifiers!$G$13="",0,IF(ISNUMBER(SEARCH(Classifiers!$G$13,E65)),1,0)))&gt;0,1,0))</f>
        <v/>
      </c>
      <c r="S65" s="12">
        <f>IF(H65&lt;&gt;1,0,IF((IF(Classifiers!$B$14="",0,IF(ISNUMBER(SEARCH(Classifiers!$B$14,E65)),1,0))+IF(Classifiers!$C$14="",0,IF(ISNUMBER(SEARCH(Classifiers!$C$14,E65)),1,0))+IF(Classifiers!$D$14="",0,IF(ISNUMBER(SEARCH(Classifiers!$D$14,E65)),1,0))+IF(Classifiers!$E$14="",0,IF(ISNUMBER(SEARCH(Classifiers!$E$14,E65)),1,0))+IF(Classifiers!$F$14="",0,IF(ISNUMBER(SEARCH(Classifiers!$F$14,E65)),1,0))+IF(Classifiers!$G$14="",0,IF(ISNUMBER(SEARCH(Classifiers!$G$14,E65)),1,0)))&gt;0,1,0))</f>
        <v/>
      </c>
      <c r="T65" s="12">
        <f>IF(H65&lt;&gt;1,0,IF((IF(Classifiers!$B$15="",0,IF(ISNUMBER(SEARCH(Classifiers!$B$15,E65)),1,0))+IF(Classifiers!$C$15="",0,IF(ISNUMBER(SEARCH(Classifiers!$C$15,E65)),1,0))+IF(Classifiers!$D$15="",0,IF(ISNUMBER(SEARCH(Classifiers!$D$15,E65)),1,0))+IF(Classifiers!$E$15="",0,IF(ISNUMBER(SEARCH(Classifiers!$E$15,E65)),1,0))+IF(Classifiers!$F$15="",0,IF(ISNUMBER(SEARCH(Classifiers!$F$15,E65)),1,0))+IF(Classifiers!$G$15="",0,IF(ISNUMBER(SEARCH(Classifiers!$G$15,E65)),1,0)))&gt;0,1,0))</f>
        <v/>
      </c>
      <c r="U65" s="12">
        <f>IF(H65&lt;&gt;1,0,IF((IF(Classifiers!$B$16="",0,IF(ISNUMBER(SEARCH(Classifiers!$B$16,E65)),1,0))+IF(Classifiers!$C$16="",0,IF(ISNUMBER(SEARCH(Classifiers!$C$16,E65)),1,0))+IF(Classifiers!$D$16="",0,IF(ISNUMBER(SEARCH(Classifiers!$D$16,E65)),1,0))+IF(Classifiers!$E$16="",0,IF(ISNUMBER(SEARCH(Classifiers!$E$16,E65)),1,0))+IF(Classifiers!$F$16="",0,IF(ISNUMBER(SEARCH(Classifiers!$F$16,E65)),1,0))+IF(Classifiers!$G$16="",0,IF(ISNUMBER(SEARCH(Classifiers!$G$16,E65)),1,0)))&gt;0,1,0))</f>
        <v/>
      </c>
      <c r="V65" s="12">
        <f>IF(H65&lt;&gt;1,0,IF((IF(Classifiers!$B$17="",0,IF(ISNUMBER(SEARCH(Classifiers!$B$17,E65)),1,0))+IF(Classifiers!$C$17="",0,IF(ISNUMBER(SEARCH(Classifiers!$C$17,E65)),1,0))+IF(Classifiers!$D$17="",0,IF(ISNUMBER(SEARCH(Classifiers!$D$17,E65)),1,0))+IF(Classifiers!$E$17="",0,IF(ISNUMBER(SEARCH(Classifiers!$E$17,E65)),1,0))+IF(Classifiers!$F$17="",0,IF(ISNUMBER(SEARCH(Classifiers!$F$17,E65)),1,0))+IF(Classifiers!$G$17="",0,IF(ISNUMBER(SEARCH(Classifiers!$G$17,E65)),1,0)))&gt;0,1,0))</f>
        <v/>
      </c>
      <c r="W65" s="12">
        <f>IF(H65&lt;&gt;1,0,IF((IF(Classifiers!$B$18="",0,IF(ISNUMBER(SEARCH(Classifiers!$B$18,E65)),1,0))+IF(Classifiers!$C$18="",0,IF(ISNUMBER(SEARCH(Classifiers!$C$18,E65)),1,0))+IF(Classifiers!$D$18="",0,IF(ISNUMBER(SEARCH(Classifiers!$D$18,E65)),1,0))+IF(Classifiers!$E$18="",0,IF(ISNUMBER(SEARCH(Classifiers!$E$18,E65)),1,0))+IF(Classifiers!$F$18="",0,IF(ISNUMBER(SEARCH(Classifiers!$F$18,E65)),1,0))+IF(Classifiers!$G$18="",0,IF(ISNUMBER(SEARCH(Classifiers!$G$18,E65)),1,0)))&gt;0,1,0))</f>
        <v/>
      </c>
    </row>
    <row r="66">
      <c r="A66" s="8" t="n"/>
      <c r="B66" s="11" t="n"/>
      <c r="C66" s="6">
        <f>IF(A66="","",TRIM(RIGHT(SUBSTITUTE(A66,"/",REPT(" ",250)),250)))</f>
        <v/>
      </c>
      <c r="D66" s="6">
        <f>IF(C66="","",IF(ISNUMBER(SEARCH(".",C66)),LOWER("."&amp;TRIM(RIGHT(SUBSTITUTE(C66,".",REPT(" ",250)),250))),""))</f>
        <v/>
      </c>
      <c r="E66" s="6">
        <f>IF(C66="","",TRIM(SUBSTITUTE(SUBSTITUTE(SUBSTITUTE(SUBSTITUTE(SUBSTITUTE(SUBSTITUTE(SUBSTITUTE(SUBSTITUTE(SUBSTITUTE(SUBSTITUTE(SUBSTITUTE(SUBSTITUTE(SUBSTITUTE(SUBSTITUTE(SUBSTITUTE(SUBSTITUTE(SUBSTITUTE(SUBSTITUTE(SUBSTITUTE(SUBSTITUTE(LOWER(LEFT(C66,LEN(C66)-LEN(D66))),"_"," "),"-"," "),"."," "),","," "),"("," "),")"," "),"["," "),"]"," "),"&amp;"," "),"+"," "),"@"," "),"#"," "),"!"," "),"'"," "),"/"," "),":"," "),";"," "),"="," "),"~"," "),"%"," ")))</f>
        <v/>
      </c>
      <c r="F66" s="6">
        <f>IF(C66="","",IF(COUNTIF(Classifiers!$A$23:$A$40,D66)&gt;0,1,0))</f>
        <v/>
      </c>
      <c r="G66" s="6">
        <f>IF(C66="","",IF(COUNTIF(Classifiers!$C$23:$C$30,D66)&gt;0,IF((IF(ISNUMBER(SEARCH(Classifiers!$E$23,E66)),1,0)+IF(ISNUMBER(SEARCH(Classifiers!$E$24,E66)),1,0)+IF(ISNUMBER(SEARCH(Classifiers!$E$25,E66)),1,0)+IF(ISNUMBER(SEARCH(Classifiers!$E$26,E66)),1,0)+IF(ISNUMBER(SEARCH(Classifiers!$E$27,E66)),1,0)+IF(ISNUMBER(SEARCH(Classifiers!$E$28,E66)),1,0)+IF(ISNUMBER(SEARCH(Classifiers!$E$29,E66)),1,0)+IF(ISNUMBER(SEARCH(Classifiers!$E$30,E66)),1,0))&gt;0,1,0),0))</f>
        <v/>
      </c>
      <c r="H66" s="6">
        <f>IF(C66="","",IF(OR(LEFT(C66,1)=".",AND(F66=0,G66=0)),0,1))</f>
        <v/>
      </c>
      <c r="I66" s="6">
        <f>IF(H66&lt;&gt;1,"",IF(SUM(J66:W66)=0,"unclassified",INDEX(Classifiers!$A$5:$A$18,MATCH(1,J66:W66,0),1)))</f>
        <v/>
      </c>
      <c r="J66" s="12">
        <f>IF(H66&lt;&gt;1,0,IF((IF(Classifiers!$B$5="",0,IF(ISNUMBER(SEARCH(Classifiers!$B$5,E66)),1,0))+IF(Classifiers!$C$5="",0,IF(ISNUMBER(SEARCH(Classifiers!$C$5,E66)),1,0))+IF(Classifiers!$D$5="",0,IF(ISNUMBER(SEARCH(Classifiers!$D$5,E66)),1,0))+IF(Classifiers!$E$5="",0,IF(ISNUMBER(SEARCH(Classifiers!$E$5,E66)),1,0))+IF(Classifiers!$F$5="",0,IF(ISNUMBER(SEARCH(Classifiers!$F$5,E66)),1,0))+IF(Classifiers!$G$5="",0,IF(ISNUMBER(SEARCH(Classifiers!$G$5,E66)),1,0)))&gt;0,1,0))</f>
        <v/>
      </c>
      <c r="K66" s="12">
        <f>IF(H66&lt;&gt;1,0,IF((IF(Classifiers!$B$6="",0,IF(ISNUMBER(SEARCH(Classifiers!$B$6,E66)),1,0))+IF(Classifiers!$C$6="",0,IF(ISNUMBER(SEARCH(Classifiers!$C$6,E66)),1,0))+IF(Classifiers!$D$6="",0,IF(ISNUMBER(SEARCH(Classifiers!$D$6,E66)),1,0))+IF(Classifiers!$E$6="",0,IF(ISNUMBER(SEARCH(Classifiers!$E$6,E66)),1,0))+IF(Classifiers!$F$6="",0,IF(ISNUMBER(SEARCH(Classifiers!$F$6,E66)),1,0))+IF(Classifiers!$G$6="",0,IF(ISNUMBER(SEARCH(Classifiers!$G$6,E66)),1,0)))&gt;0,1,0))</f>
        <v/>
      </c>
      <c r="L66" s="12">
        <f>IF(H66&lt;&gt;1,0,IF((IF(Classifiers!$B$7="",0,IF(ISNUMBER(SEARCH(Classifiers!$B$7,E66)),1,0))+IF(Classifiers!$C$7="",0,IF(ISNUMBER(SEARCH(Classifiers!$C$7,E66)),1,0))+IF(Classifiers!$D$7="",0,IF(ISNUMBER(SEARCH(Classifiers!$D$7,E66)),1,0))+IF(Classifiers!$E$7="",0,IF(ISNUMBER(SEARCH(Classifiers!$E$7,E66)),1,0))+IF(Classifiers!$F$7="",0,IF(ISNUMBER(SEARCH(Classifiers!$F$7,E66)),1,0))+IF(Classifiers!$G$7="",0,IF(ISNUMBER(SEARCH(Classifiers!$G$7,E66)),1,0)))&gt;0,1,0))</f>
        <v/>
      </c>
      <c r="M66" s="12">
        <f>IF(H66&lt;&gt;1,0,IF((IF(Classifiers!$B$8="",0,IF(ISNUMBER(SEARCH(Classifiers!$B$8,E66)),1,0))+IF(Classifiers!$C$8="",0,IF(ISNUMBER(SEARCH(Classifiers!$C$8,E66)),1,0))+IF(Classifiers!$D$8="",0,IF(ISNUMBER(SEARCH(Classifiers!$D$8,E66)),1,0))+IF(Classifiers!$E$8="",0,IF(ISNUMBER(SEARCH(Classifiers!$E$8,E66)),1,0))+IF(Classifiers!$F$8="",0,IF(ISNUMBER(SEARCH(Classifiers!$F$8,E66)),1,0))+IF(Classifiers!$G$8="",0,IF(ISNUMBER(SEARCH(Classifiers!$G$8,E66)),1,0)))&gt;0,1,0))</f>
        <v/>
      </c>
      <c r="N66" s="12">
        <f>IF(H66&lt;&gt;1,0,IF((IF(Classifiers!$B$9="",0,IF(ISNUMBER(SEARCH(Classifiers!$B$9,E66)),1,0))+IF(Classifiers!$C$9="",0,IF(ISNUMBER(SEARCH(Classifiers!$C$9,E66)),1,0))+IF(Classifiers!$D$9="",0,IF(ISNUMBER(SEARCH(Classifiers!$D$9,E66)),1,0))+IF(Classifiers!$E$9="",0,IF(ISNUMBER(SEARCH(Classifiers!$E$9,E66)),1,0))+IF(Classifiers!$F$9="",0,IF(ISNUMBER(SEARCH(Classifiers!$F$9,E66)),1,0))+IF(Classifiers!$G$9="",0,IF(ISNUMBER(SEARCH(Classifiers!$G$9,E66)),1,0)))&gt;0,1,0))</f>
        <v/>
      </c>
      <c r="O66" s="12">
        <f>IF(H66&lt;&gt;1,0,IF((IF(Classifiers!$B$10="",0,IF(ISNUMBER(SEARCH(Classifiers!$B$10,E66)),1,0))+IF(Classifiers!$C$10="",0,IF(ISNUMBER(SEARCH(Classifiers!$C$10,E66)),1,0))+IF(Classifiers!$D$10="",0,IF(ISNUMBER(SEARCH(Classifiers!$D$10,E66)),1,0))+IF(Classifiers!$E$10="",0,IF(ISNUMBER(SEARCH(Classifiers!$E$10,E66)),1,0))+IF(Classifiers!$F$10="",0,IF(ISNUMBER(SEARCH(Classifiers!$F$10,E66)),1,0))+IF(Classifiers!$G$10="",0,IF(ISNUMBER(SEARCH(Classifiers!$G$10,E66)),1,0)))&gt;0,1,0))</f>
        <v/>
      </c>
      <c r="P66" s="12">
        <f>IF(H66&lt;&gt;1,0,IF((IF(Classifiers!$B$11="",0,IF(ISNUMBER(SEARCH(Classifiers!$B$11,E66)),1,0))+IF(Classifiers!$C$11="",0,IF(ISNUMBER(SEARCH(Classifiers!$C$11,E66)),1,0))+IF(Classifiers!$D$11="",0,IF(ISNUMBER(SEARCH(Classifiers!$D$11,E66)),1,0))+IF(Classifiers!$E$11="",0,IF(ISNUMBER(SEARCH(Classifiers!$E$11,E66)),1,0))+IF(Classifiers!$F$11="",0,IF(ISNUMBER(SEARCH(Classifiers!$F$11,E66)),1,0))+IF(Classifiers!$G$11="",0,IF(ISNUMBER(SEARCH(Classifiers!$G$11,E66)),1,0)))&gt;0,1,0))</f>
        <v/>
      </c>
      <c r="Q66" s="12">
        <f>IF(H66&lt;&gt;1,0,IF((IF(Classifiers!$B$12="",0,IF(ISNUMBER(SEARCH(Classifiers!$B$12,E66)),1,0))+IF(Classifiers!$C$12="",0,IF(ISNUMBER(SEARCH(Classifiers!$C$12,E66)),1,0))+IF(Classifiers!$D$12="",0,IF(ISNUMBER(SEARCH(Classifiers!$D$12,E66)),1,0))+IF(Classifiers!$E$12="",0,IF(ISNUMBER(SEARCH(Classifiers!$E$12,E66)),1,0))+IF(Classifiers!$F$12="",0,IF(ISNUMBER(SEARCH(Classifiers!$F$12,E66)),1,0))+IF(Classifiers!$G$12="",0,IF(ISNUMBER(SEARCH(Classifiers!$G$12,E66)),1,0)))&gt;0,1,0))</f>
        <v/>
      </c>
      <c r="R66" s="12">
        <f>IF(H66&lt;&gt;1,0,IF((IF(Classifiers!$B$13="",0,IF(ISNUMBER(SEARCH(Classifiers!$B$13,E66)),1,0))+IF(Classifiers!$C$13="",0,IF(ISNUMBER(SEARCH(Classifiers!$C$13,E66)),1,0))+IF(Classifiers!$D$13="",0,IF(ISNUMBER(SEARCH(Classifiers!$D$13,E66)),1,0))+IF(Classifiers!$E$13="",0,IF(ISNUMBER(SEARCH(Classifiers!$E$13,E66)),1,0))+IF(Classifiers!$F$13="",0,IF(ISNUMBER(SEARCH(Classifiers!$F$13,E66)),1,0))+IF(Classifiers!$G$13="",0,IF(ISNUMBER(SEARCH(Classifiers!$G$13,E66)),1,0)))&gt;0,1,0))</f>
        <v/>
      </c>
      <c r="S66" s="12">
        <f>IF(H66&lt;&gt;1,0,IF((IF(Classifiers!$B$14="",0,IF(ISNUMBER(SEARCH(Classifiers!$B$14,E66)),1,0))+IF(Classifiers!$C$14="",0,IF(ISNUMBER(SEARCH(Classifiers!$C$14,E66)),1,0))+IF(Classifiers!$D$14="",0,IF(ISNUMBER(SEARCH(Classifiers!$D$14,E66)),1,0))+IF(Classifiers!$E$14="",0,IF(ISNUMBER(SEARCH(Classifiers!$E$14,E66)),1,0))+IF(Classifiers!$F$14="",0,IF(ISNUMBER(SEARCH(Classifiers!$F$14,E66)),1,0))+IF(Classifiers!$G$14="",0,IF(ISNUMBER(SEARCH(Classifiers!$G$14,E66)),1,0)))&gt;0,1,0))</f>
        <v/>
      </c>
      <c r="T66" s="12">
        <f>IF(H66&lt;&gt;1,0,IF((IF(Classifiers!$B$15="",0,IF(ISNUMBER(SEARCH(Classifiers!$B$15,E66)),1,0))+IF(Classifiers!$C$15="",0,IF(ISNUMBER(SEARCH(Classifiers!$C$15,E66)),1,0))+IF(Classifiers!$D$15="",0,IF(ISNUMBER(SEARCH(Classifiers!$D$15,E66)),1,0))+IF(Classifiers!$E$15="",0,IF(ISNUMBER(SEARCH(Classifiers!$E$15,E66)),1,0))+IF(Classifiers!$F$15="",0,IF(ISNUMBER(SEARCH(Classifiers!$F$15,E66)),1,0))+IF(Classifiers!$G$15="",0,IF(ISNUMBER(SEARCH(Classifiers!$G$15,E66)),1,0)))&gt;0,1,0))</f>
        <v/>
      </c>
      <c r="U66" s="12">
        <f>IF(H66&lt;&gt;1,0,IF((IF(Classifiers!$B$16="",0,IF(ISNUMBER(SEARCH(Classifiers!$B$16,E66)),1,0))+IF(Classifiers!$C$16="",0,IF(ISNUMBER(SEARCH(Classifiers!$C$16,E66)),1,0))+IF(Classifiers!$D$16="",0,IF(ISNUMBER(SEARCH(Classifiers!$D$16,E66)),1,0))+IF(Classifiers!$E$16="",0,IF(ISNUMBER(SEARCH(Classifiers!$E$16,E66)),1,0))+IF(Classifiers!$F$16="",0,IF(ISNUMBER(SEARCH(Classifiers!$F$16,E66)),1,0))+IF(Classifiers!$G$16="",0,IF(ISNUMBER(SEARCH(Classifiers!$G$16,E66)),1,0)))&gt;0,1,0))</f>
        <v/>
      </c>
      <c r="V66" s="12">
        <f>IF(H66&lt;&gt;1,0,IF((IF(Classifiers!$B$17="",0,IF(ISNUMBER(SEARCH(Classifiers!$B$17,E66)),1,0))+IF(Classifiers!$C$17="",0,IF(ISNUMBER(SEARCH(Classifiers!$C$17,E66)),1,0))+IF(Classifiers!$D$17="",0,IF(ISNUMBER(SEARCH(Classifiers!$D$17,E66)),1,0))+IF(Classifiers!$E$17="",0,IF(ISNUMBER(SEARCH(Classifiers!$E$17,E66)),1,0))+IF(Classifiers!$F$17="",0,IF(ISNUMBER(SEARCH(Classifiers!$F$17,E66)),1,0))+IF(Classifiers!$G$17="",0,IF(ISNUMBER(SEARCH(Classifiers!$G$17,E66)),1,0)))&gt;0,1,0))</f>
        <v/>
      </c>
      <c r="W66" s="12">
        <f>IF(H66&lt;&gt;1,0,IF((IF(Classifiers!$B$18="",0,IF(ISNUMBER(SEARCH(Classifiers!$B$18,E66)),1,0))+IF(Classifiers!$C$18="",0,IF(ISNUMBER(SEARCH(Classifiers!$C$18,E66)),1,0))+IF(Classifiers!$D$18="",0,IF(ISNUMBER(SEARCH(Classifiers!$D$18,E66)),1,0))+IF(Classifiers!$E$18="",0,IF(ISNUMBER(SEARCH(Classifiers!$E$18,E66)),1,0))+IF(Classifiers!$F$18="",0,IF(ISNUMBER(SEARCH(Classifiers!$F$18,E66)),1,0))+IF(Classifiers!$G$18="",0,IF(ISNUMBER(SEARCH(Classifiers!$G$18,E66)),1,0)))&gt;0,1,0))</f>
        <v/>
      </c>
    </row>
    <row r="67">
      <c r="A67" s="8" t="n"/>
      <c r="B67" s="11" t="n"/>
      <c r="C67" s="6">
        <f>IF(A67="","",TRIM(RIGHT(SUBSTITUTE(A67,"/",REPT(" ",250)),250)))</f>
        <v/>
      </c>
      <c r="D67" s="6">
        <f>IF(C67="","",IF(ISNUMBER(SEARCH(".",C67)),LOWER("."&amp;TRIM(RIGHT(SUBSTITUTE(C67,".",REPT(" ",250)),250))),""))</f>
        <v/>
      </c>
      <c r="E67" s="6">
        <f>IF(C67="","",TRIM(SUBSTITUTE(SUBSTITUTE(SUBSTITUTE(SUBSTITUTE(SUBSTITUTE(SUBSTITUTE(SUBSTITUTE(SUBSTITUTE(SUBSTITUTE(SUBSTITUTE(SUBSTITUTE(SUBSTITUTE(SUBSTITUTE(SUBSTITUTE(SUBSTITUTE(SUBSTITUTE(SUBSTITUTE(SUBSTITUTE(SUBSTITUTE(SUBSTITUTE(LOWER(LEFT(C67,LEN(C67)-LEN(D67))),"_"," "),"-"," "),"."," "),","," "),"("," "),")"," "),"["," "),"]"," "),"&amp;"," "),"+"," "),"@"," "),"#"," "),"!"," "),"'"," "),"/"," "),":"," "),";"," "),"="," "),"~"," "),"%"," ")))</f>
        <v/>
      </c>
      <c r="F67" s="6">
        <f>IF(C67="","",IF(COUNTIF(Classifiers!$A$23:$A$40,D67)&gt;0,1,0))</f>
        <v/>
      </c>
      <c r="G67" s="6">
        <f>IF(C67="","",IF(COUNTIF(Classifiers!$C$23:$C$30,D67)&gt;0,IF((IF(ISNUMBER(SEARCH(Classifiers!$E$23,E67)),1,0)+IF(ISNUMBER(SEARCH(Classifiers!$E$24,E67)),1,0)+IF(ISNUMBER(SEARCH(Classifiers!$E$25,E67)),1,0)+IF(ISNUMBER(SEARCH(Classifiers!$E$26,E67)),1,0)+IF(ISNUMBER(SEARCH(Classifiers!$E$27,E67)),1,0)+IF(ISNUMBER(SEARCH(Classifiers!$E$28,E67)),1,0)+IF(ISNUMBER(SEARCH(Classifiers!$E$29,E67)),1,0)+IF(ISNUMBER(SEARCH(Classifiers!$E$30,E67)),1,0))&gt;0,1,0),0))</f>
        <v/>
      </c>
      <c r="H67" s="6">
        <f>IF(C67="","",IF(OR(LEFT(C67,1)=".",AND(F67=0,G67=0)),0,1))</f>
        <v/>
      </c>
      <c r="I67" s="6">
        <f>IF(H67&lt;&gt;1,"",IF(SUM(J67:W67)=0,"unclassified",INDEX(Classifiers!$A$5:$A$18,MATCH(1,J67:W67,0),1)))</f>
        <v/>
      </c>
      <c r="J67" s="12">
        <f>IF(H67&lt;&gt;1,0,IF((IF(Classifiers!$B$5="",0,IF(ISNUMBER(SEARCH(Classifiers!$B$5,E67)),1,0))+IF(Classifiers!$C$5="",0,IF(ISNUMBER(SEARCH(Classifiers!$C$5,E67)),1,0))+IF(Classifiers!$D$5="",0,IF(ISNUMBER(SEARCH(Classifiers!$D$5,E67)),1,0))+IF(Classifiers!$E$5="",0,IF(ISNUMBER(SEARCH(Classifiers!$E$5,E67)),1,0))+IF(Classifiers!$F$5="",0,IF(ISNUMBER(SEARCH(Classifiers!$F$5,E67)),1,0))+IF(Classifiers!$G$5="",0,IF(ISNUMBER(SEARCH(Classifiers!$G$5,E67)),1,0)))&gt;0,1,0))</f>
        <v/>
      </c>
      <c r="K67" s="12">
        <f>IF(H67&lt;&gt;1,0,IF((IF(Classifiers!$B$6="",0,IF(ISNUMBER(SEARCH(Classifiers!$B$6,E67)),1,0))+IF(Classifiers!$C$6="",0,IF(ISNUMBER(SEARCH(Classifiers!$C$6,E67)),1,0))+IF(Classifiers!$D$6="",0,IF(ISNUMBER(SEARCH(Classifiers!$D$6,E67)),1,0))+IF(Classifiers!$E$6="",0,IF(ISNUMBER(SEARCH(Classifiers!$E$6,E67)),1,0))+IF(Classifiers!$F$6="",0,IF(ISNUMBER(SEARCH(Classifiers!$F$6,E67)),1,0))+IF(Classifiers!$G$6="",0,IF(ISNUMBER(SEARCH(Classifiers!$G$6,E67)),1,0)))&gt;0,1,0))</f>
        <v/>
      </c>
      <c r="L67" s="12">
        <f>IF(H67&lt;&gt;1,0,IF((IF(Classifiers!$B$7="",0,IF(ISNUMBER(SEARCH(Classifiers!$B$7,E67)),1,0))+IF(Classifiers!$C$7="",0,IF(ISNUMBER(SEARCH(Classifiers!$C$7,E67)),1,0))+IF(Classifiers!$D$7="",0,IF(ISNUMBER(SEARCH(Classifiers!$D$7,E67)),1,0))+IF(Classifiers!$E$7="",0,IF(ISNUMBER(SEARCH(Classifiers!$E$7,E67)),1,0))+IF(Classifiers!$F$7="",0,IF(ISNUMBER(SEARCH(Classifiers!$F$7,E67)),1,0))+IF(Classifiers!$G$7="",0,IF(ISNUMBER(SEARCH(Classifiers!$G$7,E67)),1,0)))&gt;0,1,0))</f>
        <v/>
      </c>
      <c r="M67" s="12">
        <f>IF(H67&lt;&gt;1,0,IF((IF(Classifiers!$B$8="",0,IF(ISNUMBER(SEARCH(Classifiers!$B$8,E67)),1,0))+IF(Classifiers!$C$8="",0,IF(ISNUMBER(SEARCH(Classifiers!$C$8,E67)),1,0))+IF(Classifiers!$D$8="",0,IF(ISNUMBER(SEARCH(Classifiers!$D$8,E67)),1,0))+IF(Classifiers!$E$8="",0,IF(ISNUMBER(SEARCH(Classifiers!$E$8,E67)),1,0))+IF(Classifiers!$F$8="",0,IF(ISNUMBER(SEARCH(Classifiers!$F$8,E67)),1,0))+IF(Classifiers!$G$8="",0,IF(ISNUMBER(SEARCH(Classifiers!$G$8,E67)),1,0)))&gt;0,1,0))</f>
        <v/>
      </c>
      <c r="N67" s="12">
        <f>IF(H67&lt;&gt;1,0,IF((IF(Classifiers!$B$9="",0,IF(ISNUMBER(SEARCH(Classifiers!$B$9,E67)),1,0))+IF(Classifiers!$C$9="",0,IF(ISNUMBER(SEARCH(Classifiers!$C$9,E67)),1,0))+IF(Classifiers!$D$9="",0,IF(ISNUMBER(SEARCH(Classifiers!$D$9,E67)),1,0))+IF(Classifiers!$E$9="",0,IF(ISNUMBER(SEARCH(Classifiers!$E$9,E67)),1,0))+IF(Classifiers!$F$9="",0,IF(ISNUMBER(SEARCH(Classifiers!$F$9,E67)),1,0))+IF(Classifiers!$G$9="",0,IF(ISNUMBER(SEARCH(Classifiers!$G$9,E67)),1,0)))&gt;0,1,0))</f>
        <v/>
      </c>
      <c r="O67" s="12">
        <f>IF(H67&lt;&gt;1,0,IF((IF(Classifiers!$B$10="",0,IF(ISNUMBER(SEARCH(Classifiers!$B$10,E67)),1,0))+IF(Classifiers!$C$10="",0,IF(ISNUMBER(SEARCH(Classifiers!$C$10,E67)),1,0))+IF(Classifiers!$D$10="",0,IF(ISNUMBER(SEARCH(Classifiers!$D$10,E67)),1,0))+IF(Classifiers!$E$10="",0,IF(ISNUMBER(SEARCH(Classifiers!$E$10,E67)),1,0))+IF(Classifiers!$F$10="",0,IF(ISNUMBER(SEARCH(Classifiers!$F$10,E67)),1,0))+IF(Classifiers!$G$10="",0,IF(ISNUMBER(SEARCH(Classifiers!$G$10,E67)),1,0)))&gt;0,1,0))</f>
        <v/>
      </c>
      <c r="P67" s="12">
        <f>IF(H67&lt;&gt;1,0,IF((IF(Classifiers!$B$11="",0,IF(ISNUMBER(SEARCH(Classifiers!$B$11,E67)),1,0))+IF(Classifiers!$C$11="",0,IF(ISNUMBER(SEARCH(Classifiers!$C$11,E67)),1,0))+IF(Classifiers!$D$11="",0,IF(ISNUMBER(SEARCH(Classifiers!$D$11,E67)),1,0))+IF(Classifiers!$E$11="",0,IF(ISNUMBER(SEARCH(Classifiers!$E$11,E67)),1,0))+IF(Classifiers!$F$11="",0,IF(ISNUMBER(SEARCH(Classifiers!$F$11,E67)),1,0))+IF(Classifiers!$G$11="",0,IF(ISNUMBER(SEARCH(Classifiers!$G$11,E67)),1,0)))&gt;0,1,0))</f>
        <v/>
      </c>
      <c r="Q67" s="12">
        <f>IF(H67&lt;&gt;1,0,IF((IF(Classifiers!$B$12="",0,IF(ISNUMBER(SEARCH(Classifiers!$B$12,E67)),1,0))+IF(Classifiers!$C$12="",0,IF(ISNUMBER(SEARCH(Classifiers!$C$12,E67)),1,0))+IF(Classifiers!$D$12="",0,IF(ISNUMBER(SEARCH(Classifiers!$D$12,E67)),1,0))+IF(Classifiers!$E$12="",0,IF(ISNUMBER(SEARCH(Classifiers!$E$12,E67)),1,0))+IF(Classifiers!$F$12="",0,IF(ISNUMBER(SEARCH(Classifiers!$F$12,E67)),1,0))+IF(Classifiers!$G$12="",0,IF(ISNUMBER(SEARCH(Classifiers!$G$12,E67)),1,0)))&gt;0,1,0))</f>
        <v/>
      </c>
      <c r="R67" s="12">
        <f>IF(H67&lt;&gt;1,0,IF((IF(Classifiers!$B$13="",0,IF(ISNUMBER(SEARCH(Classifiers!$B$13,E67)),1,0))+IF(Classifiers!$C$13="",0,IF(ISNUMBER(SEARCH(Classifiers!$C$13,E67)),1,0))+IF(Classifiers!$D$13="",0,IF(ISNUMBER(SEARCH(Classifiers!$D$13,E67)),1,0))+IF(Classifiers!$E$13="",0,IF(ISNUMBER(SEARCH(Classifiers!$E$13,E67)),1,0))+IF(Classifiers!$F$13="",0,IF(ISNUMBER(SEARCH(Classifiers!$F$13,E67)),1,0))+IF(Classifiers!$G$13="",0,IF(ISNUMBER(SEARCH(Classifiers!$G$13,E67)),1,0)))&gt;0,1,0))</f>
        <v/>
      </c>
      <c r="S67" s="12">
        <f>IF(H67&lt;&gt;1,0,IF((IF(Classifiers!$B$14="",0,IF(ISNUMBER(SEARCH(Classifiers!$B$14,E67)),1,0))+IF(Classifiers!$C$14="",0,IF(ISNUMBER(SEARCH(Classifiers!$C$14,E67)),1,0))+IF(Classifiers!$D$14="",0,IF(ISNUMBER(SEARCH(Classifiers!$D$14,E67)),1,0))+IF(Classifiers!$E$14="",0,IF(ISNUMBER(SEARCH(Classifiers!$E$14,E67)),1,0))+IF(Classifiers!$F$14="",0,IF(ISNUMBER(SEARCH(Classifiers!$F$14,E67)),1,0))+IF(Classifiers!$G$14="",0,IF(ISNUMBER(SEARCH(Classifiers!$G$14,E67)),1,0)))&gt;0,1,0))</f>
        <v/>
      </c>
      <c r="T67" s="12">
        <f>IF(H67&lt;&gt;1,0,IF((IF(Classifiers!$B$15="",0,IF(ISNUMBER(SEARCH(Classifiers!$B$15,E67)),1,0))+IF(Classifiers!$C$15="",0,IF(ISNUMBER(SEARCH(Classifiers!$C$15,E67)),1,0))+IF(Classifiers!$D$15="",0,IF(ISNUMBER(SEARCH(Classifiers!$D$15,E67)),1,0))+IF(Classifiers!$E$15="",0,IF(ISNUMBER(SEARCH(Classifiers!$E$15,E67)),1,0))+IF(Classifiers!$F$15="",0,IF(ISNUMBER(SEARCH(Classifiers!$F$15,E67)),1,0))+IF(Classifiers!$G$15="",0,IF(ISNUMBER(SEARCH(Classifiers!$G$15,E67)),1,0)))&gt;0,1,0))</f>
        <v/>
      </c>
      <c r="U67" s="12">
        <f>IF(H67&lt;&gt;1,0,IF((IF(Classifiers!$B$16="",0,IF(ISNUMBER(SEARCH(Classifiers!$B$16,E67)),1,0))+IF(Classifiers!$C$16="",0,IF(ISNUMBER(SEARCH(Classifiers!$C$16,E67)),1,0))+IF(Classifiers!$D$16="",0,IF(ISNUMBER(SEARCH(Classifiers!$D$16,E67)),1,0))+IF(Classifiers!$E$16="",0,IF(ISNUMBER(SEARCH(Classifiers!$E$16,E67)),1,0))+IF(Classifiers!$F$16="",0,IF(ISNUMBER(SEARCH(Classifiers!$F$16,E67)),1,0))+IF(Classifiers!$G$16="",0,IF(ISNUMBER(SEARCH(Classifiers!$G$16,E67)),1,0)))&gt;0,1,0))</f>
        <v/>
      </c>
      <c r="V67" s="12">
        <f>IF(H67&lt;&gt;1,0,IF((IF(Classifiers!$B$17="",0,IF(ISNUMBER(SEARCH(Classifiers!$B$17,E67)),1,0))+IF(Classifiers!$C$17="",0,IF(ISNUMBER(SEARCH(Classifiers!$C$17,E67)),1,0))+IF(Classifiers!$D$17="",0,IF(ISNUMBER(SEARCH(Classifiers!$D$17,E67)),1,0))+IF(Classifiers!$E$17="",0,IF(ISNUMBER(SEARCH(Classifiers!$E$17,E67)),1,0))+IF(Classifiers!$F$17="",0,IF(ISNUMBER(SEARCH(Classifiers!$F$17,E67)),1,0))+IF(Classifiers!$G$17="",0,IF(ISNUMBER(SEARCH(Classifiers!$G$17,E67)),1,0)))&gt;0,1,0))</f>
        <v/>
      </c>
      <c r="W67" s="12">
        <f>IF(H67&lt;&gt;1,0,IF((IF(Classifiers!$B$18="",0,IF(ISNUMBER(SEARCH(Classifiers!$B$18,E67)),1,0))+IF(Classifiers!$C$18="",0,IF(ISNUMBER(SEARCH(Classifiers!$C$18,E67)),1,0))+IF(Classifiers!$D$18="",0,IF(ISNUMBER(SEARCH(Classifiers!$D$18,E67)),1,0))+IF(Classifiers!$E$18="",0,IF(ISNUMBER(SEARCH(Classifiers!$E$18,E67)),1,0))+IF(Classifiers!$F$18="",0,IF(ISNUMBER(SEARCH(Classifiers!$F$18,E67)),1,0))+IF(Classifiers!$G$18="",0,IF(ISNUMBER(SEARCH(Classifiers!$G$18,E67)),1,0)))&gt;0,1,0))</f>
        <v/>
      </c>
    </row>
    <row r="68">
      <c r="A68" s="8" t="n"/>
      <c r="B68" s="11" t="n"/>
      <c r="C68" s="6">
        <f>IF(A68="","",TRIM(RIGHT(SUBSTITUTE(A68,"/",REPT(" ",250)),250)))</f>
        <v/>
      </c>
      <c r="D68" s="6">
        <f>IF(C68="","",IF(ISNUMBER(SEARCH(".",C68)),LOWER("."&amp;TRIM(RIGHT(SUBSTITUTE(C68,".",REPT(" ",250)),250))),""))</f>
        <v/>
      </c>
      <c r="E68" s="6">
        <f>IF(C68="","",TRIM(SUBSTITUTE(SUBSTITUTE(SUBSTITUTE(SUBSTITUTE(SUBSTITUTE(SUBSTITUTE(SUBSTITUTE(SUBSTITUTE(SUBSTITUTE(SUBSTITUTE(SUBSTITUTE(SUBSTITUTE(SUBSTITUTE(SUBSTITUTE(SUBSTITUTE(SUBSTITUTE(SUBSTITUTE(SUBSTITUTE(SUBSTITUTE(SUBSTITUTE(LOWER(LEFT(C68,LEN(C68)-LEN(D68))),"_"," "),"-"," "),"."," "),","," "),"("," "),")"," "),"["," "),"]"," "),"&amp;"," "),"+"," "),"@"," "),"#"," "),"!"," "),"'"," "),"/"," "),":"," "),";"," "),"="," "),"~"," "),"%"," ")))</f>
        <v/>
      </c>
      <c r="F68" s="6">
        <f>IF(C68="","",IF(COUNTIF(Classifiers!$A$23:$A$40,D68)&gt;0,1,0))</f>
        <v/>
      </c>
      <c r="G68" s="6">
        <f>IF(C68="","",IF(COUNTIF(Classifiers!$C$23:$C$30,D68)&gt;0,IF((IF(ISNUMBER(SEARCH(Classifiers!$E$23,E68)),1,0)+IF(ISNUMBER(SEARCH(Classifiers!$E$24,E68)),1,0)+IF(ISNUMBER(SEARCH(Classifiers!$E$25,E68)),1,0)+IF(ISNUMBER(SEARCH(Classifiers!$E$26,E68)),1,0)+IF(ISNUMBER(SEARCH(Classifiers!$E$27,E68)),1,0)+IF(ISNUMBER(SEARCH(Classifiers!$E$28,E68)),1,0)+IF(ISNUMBER(SEARCH(Classifiers!$E$29,E68)),1,0)+IF(ISNUMBER(SEARCH(Classifiers!$E$30,E68)),1,0))&gt;0,1,0),0))</f>
        <v/>
      </c>
      <c r="H68" s="6">
        <f>IF(C68="","",IF(OR(LEFT(C68,1)=".",AND(F68=0,G68=0)),0,1))</f>
        <v/>
      </c>
      <c r="I68" s="6">
        <f>IF(H68&lt;&gt;1,"",IF(SUM(J68:W68)=0,"unclassified",INDEX(Classifiers!$A$5:$A$18,MATCH(1,J68:W68,0),1)))</f>
        <v/>
      </c>
      <c r="J68" s="12">
        <f>IF(H68&lt;&gt;1,0,IF((IF(Classifiers!$B$5="",0,IF(ISNUMBER(SEARCH(Classifiers!$B$5,E68)),1,0))+IF(Classifiers!$C$5="",0,IF(ISNUMBER(SEARCH(Classifiers!$C$5,E68)),1,0))+IF(Classifiers!$D$5="",0,IF(ISNUMBER(SEARCH(Classifiers!$D$5,E68)),1,0))+IF(Classifiers!$E$5="",0,IF(ISNUMBER(SEARCH(Classifiers!$E$5,E68)),1,0))+IF(Classifiers!$F$5="",0,IF(ISNUMBER(SEARCH(Classifiers!$F$5,E68)),1,0))+IF(Classifiers!$G$5="",0,IF(ISNUMBER(SEARCH(Classifiers!$G$5,E68)),1,0)))&gt;0,1,0))</f>
        <v/>
      </c>
      <c r="K68" s="12">
        <f>IF(H68&lt;&gt;1,0,IF((IF(Classifiers!$B$6="",0,IF(ISNUMBER(SEARCH(Classifiers!$B$6,E68)),1,0))+IF(Classifiers!$C$6="",0,IF(ISNUMBER(SEARCH(Classifiers!$C$6,E68)),1,0))+IF(Classifiers!$D$6="",0,IF(ISNUMBER(SEARCH(Classifiers!$D$6,E68)),1,0))+IF(Classifiers!$E$6="",0,IF(ISNUMBER(SEARCH(Classifiers!$E$6,E68)),1,0))+IF(Classifiers!$F$6="",0,IF(ISNUMBER(SEARCH(Classifiers!$F$6,E68)),1,0))+IF(Classifiers!$G$6="",0,IF(ISNUMBER(SEARCH(Classifiers!$G$6,E68)),1,0)))&gt;0,1,0))</f>
        <v/>
      </c>
      <c r="L68" s="12">
        <f>IF(H68&lt;&gt;1,0,IF((IF(Classifiers!$B$7="",0,IF(ISNUMBER(SEARCH(Classifiers!$B$7,E68)),1,0))+IF(Classifiers!$C$7="",0,IF(ISNUMBER(SEARCH(Classifiers!$C$7,E68)),1,0))+IF(Classifiers!$D$7="",0,IF(ISNUMBER(SEARCH(Classifiers!$D$7,E68)),1,0))+IF(Classifiers!$E$7="",0,IF(ISNUMBER(SEARCH(Classifiers!$E$7,E68)),1,0))+IF(Classifiers!$F$7="",0,IF(ISNUMBER(SEARCH(Classifiers!$F$7,E68)),1,0))+IF(Classifiers!$G$7="",0,IF(ISNUMBER(SEARCH(Classifiers!$G$7,E68)),1,0)))&gt;0,1,0))</f>
        <v/>
      </c>
      <c r="M68" s="12">
        <f>IF(H68&lt;&gt;1,0,IF((IF(Classifiers!$B$8="",0,IF(ISNUMBER(SEARCH(Classifiers!$B$8,E68)),1,0))+IF(Classifiers!$C$8="",0,IF(ISNUMBER(SEARCH(Classifiers!$C$8,E68)),1,0))+IF(Classifiers!$D$8="",0,IF(ISNUMBER(SEARCH(Classifiers!$D$8,E68)),1,0))+IF(Classifiers!$E$8="",0,IF(ISNUMBER(SEARCH(Classifiers!$E$8,E68)),1,0))+IF(Classifiers!$F$8="",0,IF(ISNUMBER(SEARCH(Classifiers!$F$8,E68)),1,0))+IF(Classifiers!$G$8="",0,IF(ISNUMBER(SEARCH(Classifiers!$G$8,E68)),1,0)))&gt;0,1,0))</f>
        <v/>
      </c>
      <c r="N68" s="12">
        <f>IF(H68&lt;&gt;1,0,IF((IF(Classifiers!$B$9="",0,IF(ISNUMBER(SEARCH(Classifiers!$B$9,E68)),1,0))+IF(Classifiers!$C$9="",0,IF(ISNUMBER(SEARCH(Classifiers!$C$9,E68)),1,0))+IF(Classifiers!$D$9="",0,IF(ISNUMBER(SEARCH(Classifiers!$D$9,E68)),1,0))+IF(Classifiers!$E$9="",0,IF(ISNUMBER(SEARCH(Classifiers!$E$9,E68)),1,0))+IF(Classifiers!$F$9="",0,IF(ISNUMBER(SEARCH(Classifiers!$F$9,E68)),1,0))+IF(Classifiers!$G$9="",0,IF(ISNUMBER(SEARCH(Classifiers!$G$9,E68)),1,0)))&gt;0,1,0))</f>
        <v/>
      </c>
      <c r="O68" s="12">
        <f>IF(H68&lt;&gt;1,0,IF((IF(Classifiers!$B$10="",0,IF(ISNUMBER(SEARCH(Classifiers!$B$10,E68)),1,0))+IF(Classifiers!$C$10="",0,IF(ISNUMBER(SEARCH(Classifiers!$C$10,E68)),1,0))+IF(Classifiers!$D$10="",0,IF(ISNUMBER(SEARCH(Classifiers!$D$10,E68)),1,0))+IF(Classifiers!$E$10="",0,IF(ISNUMBER(SEARCH(Classifiers!$E$10,E68)),1,0))+IF(Classifiers!$F$10="",0,IF(ISNUMBER(SEARCH(Classifiers!$F$10,E68)),1,0))+IF(Classifiers!$G$10="",0,IF(ISNUMBER(SEARCH(Classifiers!$G$10,E68)),1,0)))&gt;0,1,0))</f>
        <v/>
      </c>
      <c r="P68" s="12">
        <f>IF(H68&lt;&gt;1,0,IF((IF(Classifiers!$B$11="",0,IF(ISNUMBER(SEARCH(Classifiers!$B$11,E68)),1,0))+IF(Classifiers!$C$11="",0,IF(ISNUMBER(SEARCH(Classifiers!$C$11,E68)),1,0))+IF(Classifiers!$D$11="",0,IF(ISNUMBER(SEARCH(Classifiers!$D$11,E68)),1,0))+IF(Classifiers!$E$11="",0,IF(ISNUMBER(SEARCH(Classifiers!$E$11,E68)),1,0))+IF(Classifiers!$F$11="",0,IF(ISNUMBER(SEARCH(Classifiers!$F$11,E68)),1,0))+IF(Classifiers!$G$11="",0,IF(ISNUMBER(SEARCH(Classifiers!$G$11,E68)),1,0)))&gt;0,1,0))</f>
        <v/>
      </c>
      <c r="Q68" s="12">
        <f>IF(H68&lt;&gt;1,0,IF((IF(Classifiers!$B$12="",0,IF(ISNUMBER(SEARCH(Classifiers!$B$12,E68)),1,0))+IF(Classifiers!$C$12="",0,IF(ISNUMBER(SEARCH(Classifiers!$C$12,E68)),1,0))+IF(Classifiers!$D$12="",0,IF(ISNUMBER(SEARCH(Classifiers!$D$12,E68)),1,0))+IF(Classifiers!$E$12="",0,IF(ISNUMBER(SEARCH(Classifiers!$E$12,E68)),1,0))+IF(Classifiers!$F$12="",0,IF(ISNUMBER(SEARCH(Classifiers!$F$12,E68)),1,0))+IF(Classifiers!$G$12="",0,IF(ISNUMBER(SEARCH(Classifiers!$G$12,E68)),1,0)))&gt;0,1,0))</f>
        <v/>
      </c>
      <c r="R68" s="12">
        <f>IF(H68&lt;&gt;1,0,IF((IF(Classifiers!$B$13="",0,IF(ISNUMBER(SEARCH(Classifiers!$B$13,E68)),1,0))+IF(Classifiers!$C$13="",0,IF(ISNUMBER(SEARCH(Classifiers!$C$13,E68)),1,0))+IF(Classifiers!$D$13="",0,IF(ISNUMBER(SEARCH(Classifiers!$D$13,E68)),1,0))+IF(Classifiers!$E$13="",0,IF(ISNUMBER(SEARCH(Classifiers!$E$13,E68)),1,0))+IF(Classifiers!$F$13="",0,IF(ISNUMBER(SEARCH(Classifiers!$F$13,E68)),1,0))+IF(Classifiers!$G$13="",0,IF(ISNUMBER(SEARCH(Classifiers!$G$13,E68)),1,0)))&gt;0,1,0))</f>
        <v/>
      </c>
      <c r="S68" s="12">
        <f>IF(H68&lt;&gt;1,0,IF((IF(Classifiers!$B$14="",0,IF(ISNUMBER(SEARCH(Classifiers!$B$14,E68)),1,0))+IF(Classifiers!$C$14="",0,IF(ISNUMBER(SEARCH(Classifiers!$C$14,E68)),1,0))+IF(Classifiers!$D$14="",0,IF(ISNUMBER(SEARCH(Classifiers!$D$14,E68)),1,0))+IF(Classifiers!$E$14="",0,IF(ISNUMBER(SEARCH(Classifiers!$E$14,E68)),1,0))+IF(Classifiers!$F$14="",0,IF(ISNUMBER(SEARCH(Classifiers!$F$14,E68)),1,0))+IF(Classifiers!$G$14="",0,IF(ISNUMBER(SEARCH(Classifiers!$G$14,E68)),1,0)))&gt;0,1,0))</f>
        <v/>
      </c>
      <c r="T68" s="12">
        <f>IF(H68&lt;&gt;1,0,IF((IF(Classifiers!$B$15="",0,IF(ISNUMBER(SEARCH(Classifiers!$B$15,E68)),1,0))+IF(Classifiers!$C$15="",0,IF(ISNUMBER(SEARCH(Classifiers!$C$15,E68)),1,0))+IF(Classifiers!$D$15="",0,IF(ISNUMBER(SEARCH(Classifiers!$D$15,E68)),1,0))+IF(Classifiers!$E$15="",0,IF(ISNUMBER(SEARCH(Classifiers!$E$15,E68)),1,0))+IF(Classifiers!$F$15="",0,IF(ISNUMBER(SEARCH(Classifiers!$F$15,E68)),1,0))+IF(Classifiers!$G$15="",0,IF(ISNUMBER(SEARCH(Classifiers!$G$15,E68)),1,0)))&gt;0,1,0))</f>
        <v/>
      </c>
      <c r="U68" s="12">
        <f>IF(H68&lt;&gt;1,0,IF((IF(Classifiers!$B$16="",0,IF(ISNUMBER(SEARCH(Classifiers!$B$16,E68)),1,0))+IF(Classifiers!$C$16="",0,IF(ISNUMBER(SEARCH(Classifiers!$C$16,E68)),1,0))+IF(Classifiers!$D$16="",0,IF(ISNUMBER(SEARCH(Classifiers!$D$16,E68)),1,0))+IF(Classifiers!$E$16="",0,IF(ISNUMBER(SEARCH(Classifiers!$E$16,E68)),1,0))+IF(Classifiers!$F$16="",0,IF(ISNUMBER(SEARCH(Classifiers!$F$16,E68)),1,0))+IF(Classifiers!$G$16="",0,IF(ISNUMBER(SEARCH(Classifiers!$G$16,E68)),1,0)))&gt;0,1,0))</f>
        <v/>
      </c>
      <c r="V68" s="12">
        <f>IF(H68&lt;&gt;1,0,IF((IF(Classifiers!$B$17="",0,IF(ISNUMBER(SEARCH(Classifiers!$B$17,E68)),1,0))+IF(Classifiers!$C$17="",0,IF(ISNUMBER(SEARCH(Classifiers!$C$17,E68)),1,0))+IF(Classifiers!$D$17="",0,IF(ISNUMBER(SEARCH(Classifiers!$D$17,E68)),1,0))+IF(Classifiers!$E$17="",0,IF(ISNUMBER(SEARCH(Classifiers!$E$17,E68)),1,0))+IF(Classifiers!$F$17="",0,IF(ISNUMBER(SEARCH(Classifiers!$F$17,E68)),1,0))+IF(Classifiers!$G$17="",0,IF(ISNUMBER(SEARCH(Classifiers!$G$17,E68)),1,0)))&gt;0,1,0))</f>
        <v/>
      </c>
      <c r="W68" s="12">
        <f>IF(H68&lt;&gt;1,0,IF((IF(Classifiers!$B$18="",0,IF(ISNUMBER(SEARCH(Classifiers!$B$18,E68)),1,0))+IF(Classifiers!$C$18="",0,IF(ISNUMBER(SEARCH(Classifiers!$C$18,E68)),1,0))+IF(Classifiers!$D$18="",0,IF(ISNUMBER(SEARCH(Classifiers!$D$18,E68)),1,0))+IF(Classifiers!$E$18="",0,IF(ISNUMBER(SEARCH(Classifiers!$E$18,E68)),1,0))+IF(Classifiers!$F$18="",0,IF(ISNUMBER(SEARCH(Classifiers!$F$18,E68)),1,0))+IF(Classifiers!$G$18="",0,IF(ISNUMBER(SEARCH(Classifiers!$G$18,E68)),1,0)))&gt;0,1,0))</f>
        <v/>
      </c>
    </row>
    <row r="69">
      <c r="A69" s="8" t="n"/>
      <c r="B69" s="11" t="n"/>
      <c r="C69" s="6">
        <f>IF(A69="","",TRIM(RIGHT(SUBSTITUTE(A69,"/",REPT(" ",250)),250)))</f>
        <v/>
      </c>
      <c r="D69" s="6">
        <f>IF(C69="","",IF(ISNUMBER(SEARCH(".",C69)),LOWER("."&amp;TRIM(RIGHT(SUBSTITUTE(C69,".",REPT(" ",250)),250))),""))</f>
        <v/>
      </c>
      <c r="E69" s="6">
        <f>IF(C69="","",TRIM(SUBSTITUTE(SUBSTITUTE(SUBSTITUTE(SUBSTITUTE(SUBSTITUTE(SUBSTITUTE(SUBSTITUTE(SUBSTITUTE(SUBSTITUTE(SUBSTITUTE(SUBSTITUTE(SUBSTITUTE(SUBSTITUTE(SUBSTITUTE(SUBSTITUTE(SUBSTITUTE(SUBSTITUTE(SUBSTITUTE(SUBSTITUTE(SUBSTITUTE(LOWER(LEFT(C69,LEN(C69)-LEN(D69))),"_"," "),"-"," "),"."," "),","," "),"("," "),")"," "),"["," "),"]"," "),"&amp;"," "),"+"," "),"@"," "),"#"," "),"!"," "),"'"," "),"/"," "),":"," "),";"," "),"="," "),"~"," "),"%"," ")))</f>
        <v/>
      </c>
      <c r="F69" s="6">
        <f>IF(C69="","",IF(COUNTIF(Classifiers!$A$23:$A$40,D69)&gt;0,1,0))</f>
        <v/>
      </c>
      <c r="G69" s="6">
        <f>IF(C69="","",IF(COUNTIF(Classifiers!$C$23:$C$30,D69)&gt;0,IF((IF(ISNUMBER(SEARCH(Classifiers!$E$23,E69)),1,0)+IF(ISNUMBER(SEARCH(Classifiers!$E$24,E69)),1,0)+IF(ISNUMBER(SEARCH(Classifiers!$E$25,E69)),1,0)+IF(ISNUMBER(SEARCH(Classifiers!$E$26,E69)),1,0)+IF(ISNUMBER(SEARCH(Classifiers!$E$27,E69)),1,0)+IF(ISNUMBER(SEARCH(Classifiers!$E$28,E69)),1,0)+IF(ISNUMBER(SEARCH(Classifiers!$E$29,E69)),1,0)+IF(ISNUMBER(SEARCH(Classifiers!$E$30,E69)),1,0))&gt;0,1,0),0))</f>
        <v/>
      </c>
      <c r="H69" s="6">
        <f>IF(C69="","",IF(OR(LEFT(C69,1)=".",AND(F69=0,G69=0)),0,1))</f>
        <v/>
      </c>
      <c r="I69" s="6">
        <f>IF(H69&lt;&gt;1,"",IF(SUM(J69:W69)=0,"unclassified",INDEX(Classifiers!$A$5:$A$18,MATCH(1,J69:W69,0),1)))</f>
        <v/>
      </c>
      <c r="J69" s="12">
        <f>IF(H69&lt;&gt;1,0,IF((IF(Classifiers!$B$5="",0,IF(ISNUMBER(SEARCH(Classifiers!$B$5,E69)),1,0))+IF(Classifiers!$C$5="",0,IF(ISNUMBER(SEARCH(Classifiers!$C$5,E69)),1,0))+IF(Classifiers!$D$5="",0,IF(ISNUMBER(SEARCH(Classifiers!$D$5,E69)),1,0))+IF(Classifiers!$E$5="",0,IF(ISNUMBER(SEARCH(Classifiers!$E$5,E69)),1,0))+IF(Classifiers!$F$5="",0,IF(ISNUMBER(SEARCH(Classifiers!$F$5,E69)),1,0))+IF(Classifiers!$G$5="",0,IF(ISNUMBER(SEARCH(Classifiers!$G$5,E69)),1,0)))&gt;0,1,0))</f>
        <v/>
      </c>
      <c r="K69" s="12">
        <f>IF(H69&lt;&gt;1,0,IF((IF(Classifiers!$B$6="",0,IF(ISNUMBER(SEARCH(Classifiers!$B$6,E69)),1,0))+IF(Classifiers!$C$6="",0,IF(ISNUMBER(SEARCH(Classifiers!$C$6,E69)),1,0))+IF(Classifiers!$D$6="",0,IF(ISNUMBER(SEARCH(Classifiers!$D$6,E69)),1,0))+IF(Classifiers!$E$6="",0,IF(ISNUMBER(SEARCH(Classifiers!$E$6,E69)),1,0))+IF(Classifiers!$F$6="",0,IF(ISNUMBER(SEARCH(Classifiers!$F$6,E69)),1,0))+IF(Classifiers!$G$6="",0,IF(ISNUMBER(SEARCH(Classifiers!$G$6,E69)),1,0)))&gt;0,1,0))</f>
        <v/>
      </c>
      <c r="L69" s="12">
        <f>IF(H69&lt;&gt;1,0,IF((IF(Classifiers!$B$7="",0,IF(ISNUMBER(SEARCH(Classifiers!$B$7,E69)),1,0))+IF(Classifiers!$C$7="",0,IF(ISNUMBER(SEARCH(Classifiers!$C$7,E69)),1,0))+IF(Classifiers!$D$7="",0,IF(ISNUMBER(SEARCH(Classifiers!$D$7,E69)),1,0))+IF(Classifiers!$E$7="",0,IF(ISNUMBER(SEARCH(Classifiers!$E$7,E69)),1,0))+IF(Classifiers!$F$7="",0,IF(ISNUMBER(SEARCH(Classifiers!$F$7,E69)),1,0))+IF(Classifiers!$G$7="",0,IF(ISNUMBER(SEARCH(Classifiers!$G$7,E69)),1,0)))&gt;0,1,0))</f>
        <v/>
      </c>
      <c r="M69" s="12">
        <f>IF(H69&lt;&gt;1,0,IF((IF(Classifiers!$B$8="",0,IF(ISNUMBER(SEARCH(Classifiers!$B$8,E69)),1,0))+IF(Classifiers!$C$8="",0,IF(ISNUMBER(SEARCH(Classifiers!$C$8,E69)),1,0))+IF(Classifiers!$D$8="",0,IF(ISNUMBER(SEARCH(Classifiers!$D$8,E69)),1,0))+IF(Classifiers!$E$8="",0,IF(ISNUMBER(SEARCH(Classifiers!$E$8,E69)),1,0))+IF(Classifiers!$F$8="",0,IF(ISNUMBER(SEARCH(Classifiers!$F$8,E69)),1,0))+IF(Classifiers!$G$8="",0,IF(ISNUMBER(SEARCH(Classifiers!$G$8,E69)),1,0)))&gt;0,1,0))</f>
        <v/>
      </c>
      <c r="N69" s="12">
        <f>IF(H69&lt;&gt;1,0,IF((IF(Classifiers!$B$9="",0,IF(ISNUMBER(SEARCH(Classifiers!$B$9,E69)),1,0))+IF(Classifiers!$C$9="",0,IF(ISNUMBER(SEARCH(Classifiers!$C$9,E69)),1,0))+IF(Classifiers!$D$9="",0,IF(ISNUMBER(SEARCH(Classifiers!$D$9,E69)),1,0))+IF(Classifiers!$E$9="",0,IF(ISNUMBER(SEARCH(Classifiers!$E$9,E69)),1,0))+IF(Classifiers!$F$9="",0,IF(ISNUMBER(SEARCH(Classifiers!$F$9,E69)),1,0))+IF(Classifiers!$G$9="",0,IF(ISNUMBER(SEARCH(Classifiers!$G$9,E69)),1,0)))&gt;0,1,0))</f>
        <v/>
      </c>
      <c r="O69" s="12">
        <f>IF(H69&lt;&gt;1,0,IF((IF(Classifiers!$B$10="",0,IF(ISNUMBER(SEARCH(Classifiers!$B$10,E69)),1,0))+IF(Classifiers!$C$10="",0,IF(ISNUMBER(SEARCH(Classifiers!$C$10,E69)),1,0))+IF(Classifiers!$D$10="",0,IF(ISNUMBER(SEARCH(Classifiers!$D$10,E69)),1,0))+IF(Classifiers!$E$10="",0,IF(ISNUMBER(SEARCH(Classifiers!$E$10,E69)),1,0))+IF(Classifiers!$F$10="",0,IF(ISNUMBER(SEARCH(Classifiers!$F$10,E69)),1,0))+IF(Classifiers!$G$10="",0,IF(ISNUMBER(SEARCH(Classifiers!$G$10,E69)),1,0)))&gt;0,1,0))</f>
        <v/>
      </c>
      <c r="P69" s="12">
        <f>IF(H69&lt;&gt;1,0,IF((IF(Classifiers!$B$11="",0,IF(ISNUMBER(SEARCH(Classifiers!$B$11,E69)),1,0))+IF(Classifiers!$C$11="",0,IF(ISNUMBER(SEARCH(Classifiers!$C$11,E69)),1,0))+IF(Classifiers!$D$11="",0,IF(ISNUMBER(SEARCH(Classifiers!$D$11,E69)),1,0))+IF(Classifiers!$E$11="",0,IF(ISNUMBER(SEARCH(Classifiers!$E$11,E69)),1,0))+IF(Classifiers!$F$11="",0,IF(ISNUMBER(SEARCH(Classifiers!$F$11,E69)),1,0))+IF(Classifiers!$G$11="",0,IF(ISNUMBER(SEARCH(Classifiers!$G$11,E69)),1,0)))&gt;0,1,0))</f>
        <v/>
      </c>
      <c r="Q69" s="12">
        <f>IF(H69&lt;&gt;1,0,IF((IF(Classifiers!$B$12="",0,IF(ISNUMBER(SEARCH(Classifiers!$B$12,E69)),1,0))+IF(Classifiers!$C$12="",0,IF(ISNUMBER(SEARCH(Classifiers!$C$12,E69)),1,0))+IF(Classifiers!$D$12="",0,IF(ISNUMBER(SEARCH(Classifiers!$D$12,E69)),1,0))+IF(Classifiers!$E$12="",0,IF(ISNUMBER(SEARCH(Classifiers!$E$12,E69)),1,0))+IF(Classifiers!$F$12="",0,IF(ISNUMBER(SEARCH(Classifiers!$F$12,E69)),1,0))+IF(Classifiers!$G$12="",0,IF(ISNUMBER(SEARCH(Classifiers!$G$12,E69)),1,0)))&gt;0,1,0))</f>
        <v/>
      </c>
      <c r="R69" s="12">
        <f>IF(H69&lt;&gt;1,0,IF((IF(Classifiers!$B$13="",0,IF(ISNUMBER(SEARCH(Classifiers!$B$13,E69)),1,0))+IF(Classifiers!$C$13="",0,IF(ISNUMBER(SEARCH(Classifiers!$C$13,E69)),1,0))+IF(Classifiers!$D$13="",0,IF(ISNUMBER(SEARCH(Classifiers!$D$13,E69)),1,0))+IF(Classifiers!$E$13="",0,IF(ISNUMBER(SEARCH(Classifiers!$E$13,E69)),1,0))+IF(Classifiers!$F$13="",0,IF(ISNUMBER(SEARCH(Classifiers!$F$13,E69)),1,0))+IF(Classifiers!$G$13="",0,IF(ISNUMBER(SEARCH(Classifiers!$G$13,E69)),1,0)))&gt;0,1,0))</f>
        <v/>
      </c>
      <c r="S69" s="12">
        <f>IF(H69&lt;&gt;1,0,IF((IF(Classifiers!$B$14="",0,IF(ISNUMBER(SEARCH(Classifiers!$B$14,E69)),1,0))+IF(Classifiers!$C$14="",0,IF(ISNUMBER(SEARCH(Classifiers!$C$14,E69)),1,0))+IF(Classifiers!$D$14="",0,IF(ISNUMBER(SEARCH(Classifiers!$D$14,E69)),1,0))+IF(Classifiers!$E$14="",0,IF(ISNUMBER(SEARCH(Classifiers!$E$14,E69)),1,0))+IF(Classifiers!$F$14="",0,IF(ISNUMBER(SEARCH(Classifiers!$F$14,E69)),1,0))+IF(Classifiers!$G$14="",0,IF(ISNUMBER(SEARCH(Classifiers!$G$14,E69)),1,0)))&gt;0,1,0))</f>
        <v/>
      </c>
      <c r="T69" s="12">
        <f>IF(H69&lt;&gt;1,0,IF((IF(Classifiers!$B$15="",0,IF(ISNUMBER(SEARCH(Classifiers!$B$15,E69)),1,0))+IF(Classifiers!$C$15="",0,IF(ISNUMBER(SEARCH(Classifiers!$C$15,E69)),1,0))+IF(Classifiers!$D$15="",0,IF(ISNUMBER(SEARCH(Classifiers!$D$15,E69)),1,0))+IF(Classifiers!$E$15="",0,IF(ISNUMBER(SEARCH(Classifiers!$E$15,E69)),1,0))+IF(Classifiers!$F$15="",0,IF(ISNUMBER(SEARCH(Classifiers!$F$15,E69)),1,0))+IF(Classifiers!$G$15="",0,IF(ISNUMBER(SEARCH(Classifiers!$G$15,E69)),1,0)))&gt;0,1,0))</f>
        <v/>
      </c>
      <c r="U69" s="12">
        <f>IF(H69&lt;&gt;1,0,IF((IF(Classifiers!$B$16="",0,IF(ISNUMBER(SEARCH(Classifiers!$B$16,E69)),1,0))+IF(Classifiers!$C$16="",0,IF(ISNUMBER(SEARCH(Classifiers!$C$16,E69)),1,0))+IF(Classifiers!$D$16="",0,IF(ISNUMBER(SEARCH(Classifiers!$D$16,E69)),1,0))+IF(Classifiers!$E$16="",0,IF(ISNUMBER(SEARCH(Classifiers!$E$16,E69)),1,0))+IF(Classifiers!$F$16="",0,IF(ISNUMBER(SEARCH(Classifiers!$F$16,E69)),1,0))+IF(Classifiers!$G$16="",0,IF(ISNUMBER(SEARCH(Classifiers!$G$16,E69)),1,0)))&gt;0,1,0))</f>
        <v/>
      </c>
      <c r="V69" s="12">
        <f>IF(H69&lt;&gt;1,0,IF((IF(Classifiers!$B$17="",0,IF(ISNUMBER(SEARCH(Classifiers!$B$17,E69)),1,0))+IF(Classifiers!$C$17="",0,IF(ISNUMBER(SEARCH(Classifiers!$C$17,E69)),1,0))+IF(Classifiers!$D$17="",0,IF(ISNUMBER(SEARCH(Classifiers!$D$17,E69)),1,0))+IF(Classifiers!$E$17="",0,IF(ISNUMBER(SEARCH(Classifiers!$E$17,E69)),1,0))+IF(Classifiers!$F$17="",0,IF(ISNUMBER(SEARCH(Classifiers!$F$17,E69)),1,0))+IF(Classifiers!$G$17="",0,IF(ISNUMBER(SEARCH(Classifiers!$G$17,E69)),1,0)))&gt;0,1,0))</f>
        <v/>
      </c>
      <c r="W69" s="12">
        <f>IF(H69&lt;&gt;1,0,IF((IF(Classifiers!$B$18="",0,IF(ISNUMBER(SEARCH(Classifiers!$B$18,E69)),1,0))+IF(Classifiers!$C$18="",0,IF(ISNUMBER(SEARCH(Classifiers!$C$18,E69)),1,0))+IF(Classifiers!$D$18="",0,IF(ISNUMBER(SEARCH(Classifiers!$D$18,E69)),1,0))+IF(Classifiers!$E$18="",0,IF(ISNUMBER(SEARCH(Classifiers!$E$18,E69)),1,0))+IF(Classifiers!$F$18="",0,IF(ISNUMBER(SEARCH(Classifiers!$F$18,E69)),1,0))+IF(Classifiers!$G$18="",0,IF(ISNUMBER(SEARCH(Classifiers!$G$18,E69)),1,0)))&gt;0,1,0))</f>
        <v/>
      </c>
    </row>
    <row r="70">
      <c r="A70" s="8" t="n"/>
      <c r="B70" s="11" t="n"/>
      <c r="C70" s="6">
        <f>IF(A70="","",TRIM(RIGHT(SUBSTITUTE(A70,"/",REPT(" ",250)),250)))</f>
        <v/>
      </c>
      <c r="D70" s="6">
        <f>IF(C70="","",IF(ISNUMBER(SEARCH(".",C70)),LOWER("."&amp;TRIM(RIGHT(SUBSTITUTE(C70,".",REPT(" ",250)),250))),""))</f>
        <v/>
      </c>
      <c r="E70" s="6">
        <f>IF(C70="","",TRIM(SUBSTITUTE(SUBSTITUTE(SUBSTITUTE(SUBSTITUTE(SUBSTITUTE(SUBSTITUTE(SUBSTITUTE(SUBSTITUTE(SUBSTITUTE(SUBSTITUTE(SUBSTITUTE(SUBSTITUTE(SUBSTITUTE(SUBSTITUTE(SUBSTITUTE(SUBSTITUTE(SUBSTITUTE(SUBSTITUTE(SUBSTITUTE(SUBSTITUTE(LOWER(LEFT(C70,LEN(C70)-LEN(D70))),"_"," "),"-"," "),"."," "),","," "),"("," "),")"," "),"["," "),"]"," "),"&amp;"," "),"+"," "),"@"," "),"#"," "),"!"," "),"'"," "),"/"," "),":"," "),";"," "),"="," "),"~"," "),"%"," ")))</f>
        <v/>
      </c>
      <c r="F70" s="6">
        <f>IF(C70="","",IF(COUNTIF(Classifiers!$A$23:$A$40,D70)&gt;0,1,0))</f>
        <v/>
      </c>
      <c r="G70" s="6">
        <f>IF(C70="","",IF(COUNTIF(Classifiers!$C$23:$C$30,D70)&gt;0,IF((IF(ISNUMBER(SEARCH(Classifiers!$E$23,E70)),1,0)+IF(ISNUMBER(SEARCH(Classifiers!$E$24,E70)),1,0)+IF(ISNUMBER(SEARCH(Classifiers!$E$25,E70)),1,0)+IF(ISNUMBER(SEARCH(Classifiers!$E$26,E70)),1,0)+IF(ISNUMBER(SEARCH(Classifiers!$E$27,E70)),1,0)+IF(ISNUMBER(SEARCH(Classifiers!$E$28,E70)),1,0)+IF(ISNUMBER(SEARCH(Classifiers!$E$29,E70)),1,0)+IF(ISNUMBER(SEARCH(Classifiers!$E$30,E70)),1,0))&gt;0,1,0),0))</f>
        <v/>
      </c>
      <c r="H70" s="6">
        <f>IF(C70="","",IF(OR(LEFT(C70,1)=".",AND(F70=0,G70=0)),0,1))</f>
        <v/>
      </c>
      <c r="I70" s="6">
        <f>IF(H70&lt;&gt;1,"",IF(SUM(J70:W70)=0,"unclassified",INDEX(Classifiers!$A$5:$A$18,MATCH(1,J70:W70,0),1)))</f>
        <v/>
      </c>
      <c r="J70" s="12">
        <f>IF(H70&lt;&gt;1,0,IF((IF(Classifiers!$B$5="",0,IF(ISNUMBER(SEARCH(Classifiers!$B$5,E70)),1,0))+IF(Classifiers!$C$5="",0,IF(ISNUMBER(SEARCH(Classifiers!$C$5,E70)),1,0))+IF(Classifiers!$D$5="",0,IF(ISNUMBER(SEARCH(Classifiers!$D$5,E70)),1,0))+IF(Classifiers!$E$5="",0,IF(ISNUMBER(SEARCH(Classifiers!$E$5,E70)),1,0))+IF(Classifiers!$F$5="",0,IF(ISNUMBER(SEARCH(Classifiers!$F$5,E70)),1,0))+IF(Classifiers!$G$5="",0,IF(ISNUMBER(SEARCH(Classifiers!$G$5,E70)),1,0)))&gt;0,1,0))</f>
        <v/>
      </c>
      <c r="K70" s="12">
        <f>IF(H70&lt;&gt;1,0,IF((IF(Classifiers!$B$6="",0,IF(ISNUMBER(SEARCH(Classifiers!$B$6,E70)),1,0))+IF(Classifiers!$C$6="",0,IF(ISNUMBER(SEARCH(Classifiers!$C$6,E70)),1,0))+IF(Classifiers!$D$6="",0,IF(ISNUMBER(SEARCH(Classifiers!$D$6,E70)),1,0))+IF(Classifiers!$E$6="",0,IF(ISNUMBER(SEARCH(Classifiers!$E$6,E70)),1,0))+IF(Classifiers!$F$6="",0,IF(ISNUMBER(SEARCH(Classifiers!$F$6,E70)),1,0))+IF(Classifiers!$G$6="",0,IF(ISNUMBER(SEARCH(Classifiers!$G$6,E70)),1,0)))&gt;0,1,0))</f>
        <v/>
      </c>
      <c r="L70" s="12">
        <f>IF(H70&lt;&gt;1,0,IF((IF(Classifiers!$B$7="",0,IF(ISNUMBER(SEARCH(Classifiers!$B$7,E70)),1,0))+IF(Classifiers!$C$7="",0,IF(ISNUMBER(SEARCH(Classifiers!$C$7,E70)),1,0))+IF(Classifiers!$D$7="",0,IF(ISNUMBER(SEARCH(Classifiers!$D$7,E70)),1,0))+IF(Classifiers!$E$7="",0,IF(ISNUMBER(SEARCH(Classifiers!$E$7,E70)),1,0))+IF(Classifiers!$F$7="",0,IF(ISNUMBER(SEARCH(Classifiers!$F$7,E70)),1,0))+IF(Classifiers!$G$7="",0,IF(ISNUMBER(SEARCH(Classifiers!$G$7,E70)),1,0)))&gt;0,1,0))</f>
        <v/>
      </c>
      <c r="M70" s="12">
        <f>IF(H70&lt;&gt;1,0,IF((IF(Classifiers!$B$8="",0,IF(ISNUMBER(SEARCH(Classifiers!$B$8,E70)),1,0))+IF(Classifiers!$C$8="",0,IF(ISNUMBER(SEARCH(Classifiers!$C$8,E70)),1,0))+IF(Classifiers!$D$8="",0,IF(ISNUMBER(SEARCH(Classifiers!$D$8,E70)),1,0))+IF(Classifiers!$E$8="",0,IF(ISNUMBER(SEARCH(Classifiers!$E$8,E70)),1,0))+IF(Classifiers!$F$8="",0,IF(ISNUMBER(SEARCH(Classifiers!$F$8,E70)),1,0))+IF(Classifiers!$G$8="",0,IF(ISNUMBER(SEARCH(Classifiers!$G$8,E70)),1,0)))&gt;0,1,0))</f>
        <v/>
      </c>
      <c r="N70" s="12">
        <f>IF(H70&lt;&gt;1,0,IF((IF(Classifiers!$B$9="",0,IF(ISNUMBER(SEARCH(Classifiers!$B$9,E70)),1,0))+IF(Classifiers!$C$9="",0,IF(ISNUMBER(SEARCH(Classifiers!$C$9,E70)),1,0))+IF(Classifiers!$D$9="",0,IF(ISNUMBER(SEARCH(Classifiers!$D$9,E70)),1,0))+IF(Classifiers!$E$9="",0,IF(ISNUMBER(SEARCH(Classifiers!$E$9,E70)),1,0))+IF(Classifiers!$F$9="",0,IF(ISNUMBER(SEARCH(Classifiers!$F$9,E70)),1,0))+IF(Classifiers!$G$9="",0,IF(ISNUMBER(SEARCH(Classifiers!$G$9,E70)),1,0)))&gt;0,1,0))</f>
        <v/>
      </c>
      <c r="O70" s="12">
        <f>IF(H70&lt;&gt;1,0,IF((IF(Classifiers!$B$10="",0,IF(ISNUMBER(SEARCH(Classifiers!$B$10,E70)),1,0))+IF(Classifiers!$C$10="",0,IF(ISNUMBER(SEARCH(Classifiers!$C$10,E70)),1,0))+IF(Classifiers!$D$10="",0,IF(ISNUMBER(SEARCH(Classifiers!$D$10,E70)),1,0))+IF(Classifiers!$E$10="",0,IF(ISNUMBER(SEARCH(Classifiers!$E$10,E70)),1,0))+IF(Classifiers!$F$10="",0,IF(ISNUMBER(SEARCH(Classifiers!$F$10,E70)),1,0))+IF(Classifiers!$G$10="",0,IF(ISNUMBER(SEARCH(Classifiers!$G$10,E70)),1,0)))&gt;0,1,0))</f>
        <v/>
      </c>
      <c r="P70" s="12">
        <f>IF(H70&lt;&gt;1,0,IF((IF(Classifiers!$B$11="",0,IF(ISNUMBER(SEARCH(Classifiers!$B$11,E70)),1,0))+IF(Classifiers!$C$11="",0,IF(ISNUMBER(SEARCH(Classifiers!$C$11,E70)),1,0))+IF(Classifiers!$D$11="",0,IF(ISNUMBER(SEARCH(Classifiers!$D$11,E70)),1,0))+IF(Classifiers!$E$11="",0,IF(ISNUMBER(SEARCH(Classifiers!$E$11,E70)),1,0))+IF(Classifiers!$F$11="",0,IF(ISNUMBER(SEARCH(Classifiers!$F$11,E70)),1,0))+IF(Classifiers!$G$11="",0,IF(ISNUMBER(SEARCH(Classifiers!$G$11,E70)),1,0)))&gt;0,1,0))</f>
        <v/>
      </c>
      <c r="Q70" s="12">
        <f>IF(H70&lt;&gt;1,0,IF((IF(Classifiers!$B$12="",0,IF(ISNUMBER(SEARCH(Classifiers!$B$12,E70)),1,0))+IF(Classifiers!$C$12="",0,IF(ISNUMBER(SEARCH(Classifiers!$C$12,E70)),1,0))+IF(Classifiers!$D$12="",0,IF(ISNUMBER(SEARCH(Classifiers!$D$12,E70)),1,0))+IF(Classifiers!$E$12="",0,IF(ISNUMBER(SEARCH(Classifiers!$E$12,E70)),1,0))+IF(Classifiers!$F$12="",0,IF(ISNUMBER(SEARCH(Classifiers!$F$12,E70)),1,0))+IF(Classifiers!$G$12="",0,IF(ISNUMBER(SEARCH(Classifiers!$G$12,E70)),1,0)))&gt;0,1,0))</f>
        <v/>
      </c>
      <c r="R70" s="12">
        <f>IF(H70&lt;&gt;1,0,IF((IF(Classifiers!$B$13="",0,IF(ISNUMBER(SEARCH(Classifiers!$B$13,E70)),1,0))+IF(Classifiers!$C$13="",0,IF(ISNUMBER(SEARCH(Classifiers!$C$13,E70)),1,0))+IF(Classifiers!$D$13="",0,IF(ISNUMBER(SEARCH(Classifiers!$D$13,E70)),1,0))+IF(Classifiers!$E$13="",0,IF(ISNUMBER(SEARCH(Classifiers!$E$13,E70)),1,0))+IF(Classifiers!$F$13="",0,IF(ISNUMBER(SEARCH(Classifiers!$F$13,E70)),1,0))+IF(Classifiers!$G$13="",0,IF(ISNUMBER(SEARCH(Classifiers!$G$13,E70)),1,0)))&gt;0,1,0))</f>
        <v/>
      </c>
      <c r="S70" s="12">
        <f>IF(H70&lt;&gt;1,0,IF((IF(Classifiers!$B$14="",0,IF(ISNUMBER(SEARCH(Classifiers!$B$14,E70)),1,0))+IF(Classifiers!$C$14="",0,IF(ISNUMBER(SEARCH(Classifiers!$C$14,E70)),1,0))+IF(Classifiers!$D$14="",0,IF(ISNUMBER(SEARCH(Classifiers!$D$14,E70)),1,0))+IF(Classifiers!$E$14="",0,IF(ISNUMBER(SEARCH(Classifiers!$E$14,E70)),1,0))+IF(Classifiers!$F$14="",0,IF(ISNUMBER(SEARCH(Classifiers!$F$14,E70)),1,0))+IF(Classifiers!$G$14="",0,IF(ISNUMBER(SEARCH(Classifiers!$G$14,E70)),1,0)))&gt;0,1,0))</f>
        <v/>
      </c>
      <c r="T70" s="12">
        <f>IF(H70&lt;&gt;1,0,IF((IF(Classifiers!$B$15="",0,IF(ISNUMBER(SEARCH(Classifiers!$B$15,E70)),1,0))+IF(Classifiers!$C$15="",0,IF(ISNUMBER(SEARCH(Classifiers!$C$15,E70)),1,0))+IF(Classifiers!$D$15="",0,IF(ISNUMBER(SEARCH(Classifiers!$D$15,E70)),1,0))+IF(Classifiers!$E$15="",0,IF(ISNUMBER(SEARCH(Classifiers!$E$15,E70)),1,0))+IF(Classifiers!$F$15="",0,IF(ISNUMBER(SEARCH(Classifiers!$F$15,E70)),1,0))+IF(Classifiers!$G$15="",0,IF(ISNUMBER(SEARCH(Classifiers!$G$15,E70)),1,0)))&gt;0,1,0))</f>
        <v/>
      </c>
      <c r="U70" s="12">
        <f>IF(H70&lt;&gt;1,0,IF((IF(Classifiers!$B$16="",0,IF(ISNUMBER(SEARCH(Classifiers!$B$16,E70)),1,0))+IF(Classifiers!$C$16="",0,IF(ISNUMBER(SEARCH(Classifiers!$C$16,E70)),1,0))+IF(Classifiers!$D$16="",0,IF(ISNUMBER(SEARCH(Classifiers!$D$16,E70)),1,0))+IF(Classifiers!$E$16="",0,IF(ISNUMBER(SEARCH(Classifiers!$E$16,E70)),1,0))+IF(Classifiers!$F$16="",0,IF(ISNUMBER(SEARCH(Classifiers!$F$16,E70)),1,0))+IF(Classifiers!$G$16="",0,IF(ISNUMBER(SEARCH(Classifiers!$G$16,E70)),1,0)))&gt;0,1,0))</f>
        <v/>
      </c>
      <c r="V70" s="12">
        <f>IF(H70&lt;&gt;1,0,IF((IF(Classifiers!$B$17="",0,IF(ISNUMBER(SEARCH(Classifiers!$B$17,E70)),1,0))+IF(Classifiers!$C$17="",0,IF(ISNUMBER(SEARCH(Classifiers!$C$17,E70)),1,0))+IF(Classifiers!$D$17="",0,IF(ISNUMBER(SEARCH(Classifiers!$D$17,E70)),1,0))+IF(Classifiers!$E$17="",0,IF(ISNUMBER(SEARCH(Classifiers!$E$17,E70)),1,0))+IF(Classifiers!$F$17="",0,IF(ISNUMBER(SEARCH(Classifiers!$F$17,E70)),1,0))+IF(Classifiers!$G$17="",0,IF(ISNUMBER(SEARCH(Classifiers!$G$17,E70)),1,0)))&gt;0,1,0))</f>
        <v/>
      </c>
      <c r="W70" s="12">
        <f>IF(H70&lt;&gt;1,0,IF((IF(Classifiers!$B$18="",0,IF(ISNUMBER(SEARCH(Classifiers!$B$18,E70)),1,0))+IF(Classifiers!$C$18="",0,IF(ISNUMBER(SEARCH(Classifiers!$C$18,E70)),1,0))+IF(Classifiers!$D$18="",0,IF(ISNUMBER(SEARCH(Classifiers!$D$18,E70)),1,0))+IF(Classifiers!$E$18="",0,IF(ISNUMBER(SEARCH(Classifiers!$E$18,E70)),1,0))+IF(Classifiers!$F$18="",0,IF(ISNUMBER(SEARCH(Classifiers!$F$18,E70)),1,0))+IF(Classifiers!$G$18="",0,IF(ISNUMBER(SEARCH(Classifiers!$G$18,E70)),1,0)))&gt;0,1,0))</f>
        <v/>
      </c>
    </row>
    <row r="71">
      <c r="A71" s="8" t="n"/>
      <c r="B71" s="11" t="n"/>
      <c r="C71" s="6">
        <f>IF(A71="","",TRIM(RIGHT(SUBSTITUTE(A71,"/",REPT(" ",250)),250)))</f>
        <v/>
      </c>
      <c r="D71" s="6">
        <f>IF(C71="","",IF(ISNUMBER(SEARCH(".",C71)),LOWER("."&amp;TRIM(RIGHT(SUBSTITUTE(C71,".",REPT(" ",250)),250))),""))</f>
        <v/>
      </c>
      <c r="E71" s="6">
        <f>IF(C71="","",TRIM(SUBSTITUTE(SUBSTITUTE(SUBSTITUTE(SUBSTITUTE(SUBSTITUTE(SUBSTITUTE(SUBSTITUTE(SUBSTITUTE(SUBSTITUTE(SUBSTITUTE(SUBSTITUTE(SUBSTITUTE(SUBSTITUTE(SUBSTITUTE(SUBSTITUTE(SUBSTITUTE(SUBSTITUTE(SUBSTITUTE(SUBSTITUTE(SUBSTITUTE(LOWER(LEFT(C71,LEN(C71)-LEN(D71))),"_"," "),"-"," "),"."," "),","," "),"("," "),")"," "),"["," "),"]"," "),"&amp;"," "),"+"," "),"@"," "),"#"," "),"!"," "),"'"," "),"/"," "),":"," "),";"," "),"="," "),"~"," "),"%"," ")))</f>
        <v/>
      </c>
      <c r="F71" s="6">
        <f>IF(C71="","",IF(COUNTIF(Classifiers!$A$23:$A$40,D71)&gt;0,1,0))</f>
        <v/>
      </c>
      <c r="G71" s="6">
        <f>IF(C71="","",IF(COUNTIF(Classifiers!$C$23:$C$30,D71)&gt;0,IF((IF(ISNUMBER(SEARCH(Classifiers!$E$23,E71)),1,0)+IF(ISNUMBER(SEARCH(Classifiers!$E$24,E71)),1,0)+IF(ISNUMBER(SEARCH(Classifiers!$E$25,E71)),1,0)+IF(ISNUMBER(SEARCH(Classifiers!$E$26,E71)),1,0)+IF(ISNUMBER(SEARCH(Classifiers!$E$27,E71)),1,0)+IF(ISNUMBER(SEARCH(Classifiers!$E$28,E71)),1,0)+IF(ISNUMBER(SEARCH(Classifiers!$E$29,E71)),1,0)+IF(ISNUMBER(SEARCH(Classifiers!$E$30,E71)),1,0))&gt;0,1,0),0))</f>
        <v/>
      </c>
      <c r="H71" s="6">
        <f>IF(C71="","",IF(OR(LEFT(C71,1)=".",AND(F71=0,G71=0)),0,1))</f>
        <v/>
      </c>
      <c r="I71" s="6">
        <f>IF(H71&lt;&gt;1,"",IF(SUM(J71:W71)=0,"unclassified",INDEX(Classifiers!$A$5:$A$18,MATCH(1,J71:W71,0),1)))</f>
        <v/>
      </c>
      <c r="J71" s="12">
        <f>IF(H71&lt;&gt;1,0,IF((IF(Classifiers!$B$5="",0,IF(ISNUMBER(SEARCH(Classifiers!$B$5,E71)),1,0))+IF(Classifiers!$C$5="",0,IF(ISNUMBER(SEARCH(Classifiers!$C$5,E71)),1,0))+IF(Classifiers!$D$5="",0,IF(ISNUMBER(SEARCH(Classifiers!$D$5,E71)),1,0))+IF(Classifiers!$E$5="",0,IF(ISNUMBER(SEARCH(Classifiers!$E$5,E71)),1,0))+IF(Classifiers!$F$5="",0,IF(ISNUMBER(SEARCH(Classifiers!$F$5,E71)),1,0))+IF(Classifiers!$G$5="",0,IF(ISNUMBER(SEARCH(Classifiers!$G$5,E71)),1,0)))&gt;0,1,0))</f>
        <v/>
      </c>
      <c r="K71" s="12">
        <f>IF(H71&lt;&gt;1,0,IF((IF(Classifiers!$B$6="",0,IF(ISNUMBER(SEARCH(Classifiers!$B$6,E71)),1,0))+IF(Classifiers!$C$6="",0,IF(ISNUMBER(SEARCH(Classifiers!$C$6,E71)),1,0))+IF(Classifiers!$D$6="",0,IF(ISNUMBER(SEARCH(Classifiers!$D$6,E71)),1,0))+IF(Classifiers!$E$6="",0,IF(ISNUMBER(SEARCH(Classifiers!$E$6,E71)),1,0))+IF(Classifiers!$F$6="",0,IF(ISNUMBER(SEARCH(Classifiers!$F$6,E71)),1,0))+IF(Classifiers!$G$6="",0,IF(ISNUMBER(SEARCH(Classifiers!$G$6,E71)),1,0)))&gt;0,1,0))</f>
        <v/>
      </c>
      <c r="L71" s="12">
        <f>IF(H71&lt;&gt;1,0,IF((IF(Classifiers!$B$7="",0,IF(ISNUMBER(SEARCH(Classifiers!$B$7,E71)),1,0))+IF(Classifiers!$C$7="",0,IF(ISNUMBER(SEARCH(Classifiers!$C$7,E71)),1,0))+IF(Classifiers!$D$7="",0,IF(ISNUMBER(SEARCH(Classifiers!$D$7,E71)),1,0))+IF(Classifiers!$E$7="",0,IF(ISNUMBER(SEARCH(Classifiers!$E$7,E71)),1,0))+IF(Classifiers!$F$7="",0,IF(ISNUMBER(SEARCH(Classifiers!$F$7,E71)),1,0))+IF(Classifiers!$G$7="",0,IF(ISNUMBER(SEARCH(Classifiers!$G$7,E71)),1,0)))&gt;0,1,0))</f>
        <v/>
      </c>
      <c r="M71" s="12">
        <f>IF(H71&lt;&gt;1,0,IF((IF(Classifiers!$B$8="",0,IF(ISNUMBER(SEARCH(Classifiers!$B$8,E71)),1,0))+IF(Classifiers!$C$8="",0,IF(ISNUMBER(SEARCH(Classifiers!$C$8,E71)),1,0))+IF(Classifiers!$D$8="",0,IF(ISNUMBER(SEARCH(Classifiers!$D$8,E71)),1,0))+IF(Classifiers!$E$8="",0,IF(ISNUMBER(SEARCH(Classifiers!$E$8,E71)),1,0))+IF(Classifiers!$F$8="",0,IF(ISNUMBER(SEARCH(Classifiers!$F$8,E71)),1,0))+IF(Classifiers!$G$8="",0,IF(ISNUMBER(SEARCH(Classifiers!$G$8,E71)),1,0)))&gt;0,1,0))</f>
        <v/>
      </c>
      <c r="N71" s="12">
        <f>IF(H71&lt;&gt;1,0,IF((IF(Classifiers!$B$9="",0,IF(ISNUMBER(SEARCH(Classifiers!$B$9,E71)),1,0))+IF(Classifiers!$C$9="",0,IF(ISNUMBER(SEARCH(Classifiers!$C$9,E71)),1,0))+IF(Classifiers!$D$9="",0,IF(ISNUMBER(SEARCH(Classifiers!$D$9,E71)),1,0))+IF(Classifiers!$E$9="",0,IF(ISNUMBER(SEARCH(Classifiers!$E$9,E71)),1,0))+IF(Classifiers!$F$9="",0,IF(ISNUMBER(SEARCH(Classifiers!$F$9,E71)),1,0))+IF(Classifiers!$G$9="",0,IF(ISNUMBER(SEARCH(Classifiers!$G$9,E71)),1,0)))&gt;0,1,0))</f>
        <v/>
      </c>
      <c r="O71" s="12">
        <f>IF(H71&lt;&gt;1,0,IF((IF(Classifiers!$B$10="",0,IF(ISNUMBER(SEARCH(Classifiers!$B$10,E71)),1,0))+IF(Classifiers!$C$10="",0,IF(ISNUMBER(SEARCH(Classifiers!$C$10,E71)),1,0))+IF(Classifiers!$D$10="",0,IF(ISNUMBER(SEARCH(Classifiers!$D$10,E71)),1,0))+IF(Classifiers!$E$10="",0,IF(ISNUMBER(SEARCH(Classifiers!$E$10,E71)),1,0))+IF(Classifiers!$F$10="",0,IF(ISNUMBER(SEARCH(Classifiers!$F$10,E71)),1,0))+IF(Classifiers!$G$10="",0,IF(ISNUMBER(SEARCH(Classifiers!$G$10,E71)),1,0)))&gt;0,1,0))</f>
        <v/>
      </c>
      <c r="P71" s="12">
        <f>IF(H71&lt;&gt;1,0,IF((IF(Classifiers!$B$11="",0,IF(ISNUMBER(SEARCH(Classifiers!$B$11,E71)),1,0))+IF(Classifiers!$C$11="",0,IF(ISNUMBER(SEARCH(Classifiers!$C$11,E71)),1,0))+IF(Classifiers!$D$11="",0,IF(ISNUMBER(SEARCH(Classifiers!$D$11,E71)),1,0))+IF(Classifiers!$E$11="",0,IF(ISNUMBER(SEARCH(Classifiers!$E$11,E71)),1,0))+IF(Classifiers!$F$11="",0,IF(ISNUMBER(SEARCH(Classifiers!$F$11,E71)),1,0))+IF(Classifiers!$G$11="",0,IF(ISNUMBER(SEARCH(Classifiers!$G$11,E71)),1,0)))&gt;0,1,0))</f>
        <v/>
      </c>
      <c r="Q71" s="12">
        <f>IF(H71&lt;&gt;1,0,IF((IF(Classifiers!$B$12="",0,IF(ISNUMBER(SEARCH(Classifiers!$B$12,E71)),1,0))+IF(Classifiers!$C$12="",0,IF(ISNUMBER(SEARCH(Classifiers!$C$12,E71)),1,0))+IF(Classifiers!$D$12="",0,IF(ISNUMBER(SEARCH(Classifiers!$D$12,E71)),1,0))+IF(Classifiers!$E$12="",0,IF(ISNUMBER(SEARCH(Classifiers!$E$12,E71)),1,0))+IF(Classifiers!$F$12="",0,IF(ISNUMBER(SEARCH(Classifiers!$F$12,E71)),1,0))+IF(Classifiers!$G$12="",0,IF(ISNUMBER(SEARCH(Classifiers!$G$12,E71)),1,0)))&gt;0,1,0))</f>
        <v/>
      </c>
      <c r="R71" s="12">
        <f>IF(H71&lt;&gt;1,0,IF((IF(Classifiers!$B$13="",0,IF(ISNUMBER(SEARCH(Classifiers!$B$13,E71)),1,0))+IF(Classifiers!$C$13="",0,IF(ISNUMBER(SEARCH(Classifiers!$C$13,E71)),1,0))+IF(Classifiers!$D$13="",0,IF(ISNUMBER(SEARCH(Classifiers!$D$13,E71)),1,0))+IF(Classifiers!$E$13="",0,IF(ISNUMBER(SEARCH(Classifiers!$E$13,E71)),1,0))+IF(Classifiers!$F$13="",0,IF(ISNUMBER(SEARCH(Classifiers!$F$13,E71)),1,0))+IF(Classifiers!$G$13="",0,IF(ISNUMBER(SEARCH(Classifiers!$G$13,E71)),1,0)))&gt;0,1,0))</f>
        <v/>
      </c>
      <c r="S71" s="12">
        <f>IF(H71&lt;&gt;1,0,IF((IF(Classifiers!$B$14="",0,IF(ISNUMBER(SEARCH(Classifiers!$B$14,E71)),1,0))+IF(Classifiers!$C$14="",0,IF(ISNUMBER(SEARCH(Classifiers!$C$14,E71)),1,0))+IF(Classifiers!$D$14="",0,IF(ISNUMBER(SEARCH(Classifiers!$D$14,E71)),1,0))+IF(Classifiers!$E$14="",0,IF(ISNUMBER(SEARCH(Classifiers!$E$14,E71)),1,0))+IF(Classifiers!$F$14="",0,IF(ISNUMBER(SEARCH(Classifiers!$F$14,E71)),1,0))+IF(Classifiers!$G$14="",0,IF(ISNUMBER(SEARCH(Classifiers!$G$14,E71)),1,0)))&gt;0,1,0))</f>
        <v/>
      </c>
      <c r="T71" s="12">
        <f>IF(H71&lt;&gt;1,0,IF((IF(Classifiers!$B$15="",0,IF(ISNUMBER(SEARCH(Classifiers!$B$15,E71)),1,0))+IF(Classifiers!$C$15="",0,IF(ISNUMBER(SEARCH(Classifiers!$C$15,E71)),1,0))+IF(Classifiers!$D$15="",0,IF(ISNUMBER(SEARCH(Classifiers!$D$15,E71)),1,0))+IF(Classifiers!$E$15="",0,IF(ISNUMBER(SEARCH(Classifiers!$E$15,E71)),1,0))+IF(Classifiers!$F$15="",0,IF(ISNUMBER(SEARCH(Classifiers!$F$15,E71)),1,0))+IF(Classifiers!$G$15="",0,IF(ISNUMBER(SEARCH(Classifiers!$G$15,E71)),1,0)))&gt;0,1,0))</f>
        <v/>
      </c>
      <c r="U71" s="12">
        <f>IF(H71&lt;&gt;1,0,IF((IF(Classifiers!$B$16="",0,IF(ISNUMBER(SEARCH(Classifiers!$B$16,E71)),1,0))+IF(Classifiers!$C$16="",0,IF(ISNUMBER(SEARCH(Classifiers!$C$16,E71)),1,0))+IF(Classifiers!$D$16="",0,IF(ISNUMBER(SEARCH(Classifiers!$D$16,E71)),1,0))+IF(Classifiers!$E$16="",0,IF(ISNUMBER(SEARCH(Classifiers!$E$16,E71)),1,0))+IF(Classifiers!$F$16="",0,IF(ISNUMBER(SEARCH(Classifiers!$F$16,E71)),1,0))+IF(Classifiers!$G$16="",0,IF(ISNUMBER(SEARCH(Classifiers!$G$16,E71)),1,0)))&gt;0,1,0))</f>
        <v/>
      </c>
      <c r="V71" s="12">
        <f>IF(H71&lt;&gt;1,0,IF((IF(Classifiers!$B$17="",0,IF(ISNUMBER(SEARCH(Classifiers!$B$17,E71)),1,0))+IF(Classifiers!$C$17="",0,IF(ISNUMBER(SEARCH(Classifiers!$C$17,E71)),1,0))+IF(Classifiers!$D$17="",0,IF(ISNUMBER(SEARCH(Classifiers!$D$17,E71)),1,0))+IF(Classifiers!$E$17="",0,IF(ISNUMBER(SEARCH(Classifiers!$E$17,E71)),1,0))+IF(Classifiers!$F$17="",0,IF(ISNUMBER(SEARCH(Classifiers!$F$17,E71)),1,0))+IF(Classifiers!$G$17="",0,IF(ISNUMBER(SEARCH(Classifiers!$G$17,E71)),1,0)))&gt;0,1,0))</f>
        <v/>
      </c>
      <c r="W71" s="12">
        <f>IF(H71&lt;&gt;1,0,IF((IF(Classifiers!$B$18="",0,IF(ISNUMBER(SEARCH(Classifiers!$B$18,E71)),1,0))+IF(Classifiers!$C$18="",0,IF(ISNUMBER(SEARCH(Classifiers!$C$18,E71)),1,0))+IF(Classifiers!$D$18="",0,IF(ISNUMBER(SEARCH(Classifiers!$D$18,E71)),1,0))+IF(Classifiers!$E$18="",0,IF(ISNUMBER(SEARCH(Classifiers!$E$18,E71)),1,0))+IF(Classifiers!$F$18="",0,IF(ISNUMBER(SEARCH(Classifiers!$F$18,E71)),1,0))+IF(Classifiers!$G$18="",0,IF(ISNUMBER(SEARCH(Classifiers!$G$18,E71)),1,0)))&gt;0,1,0))</f>
        <v/>
      </c>
    </row>
    <row r="72">
      <c r="A72" s="8" t="n"/>
      <c r="B72" s="11" t="n"/>
      <c r="C72" s="6">
        <f>IF(A72="","",TRIM(RIGHT(SUBSTITUTE(A72,"/",REPT(" ",250)),250)))</f>
        <v/>
      </c>
      <c r="D72" s="6">
        <f>IF(C72="","",IF(ISNUMBER(SEARCH(".",C72)),LOWER("."&amp;TRIM(RIGHT(SUBSTITUTE(C72,".",REPT(" ",250)),250))),""))</f>
        <v/>
      </c>
      <c r="E72" s="6">
        <f>IF(C72="","",TRIM(SUBSTITUTE(SUBSTITUTE(SUBSTITUTE(SUBSTITUTE(SUBSTITUTE(SUBSTITUTE(SUBSTITUTE(SUBSTITUTE(SUBSTITUTE(SUBSTITUTE(SUBSTITUTE(SUBSTITUTE(SUBSTITUTE(SUBSTITUTE(SUBSTITUTE(SUBSTITUTE(SUBSTITUTE(SUBSTITUTE(SUBSTITUTE(SUBSTITUTE(LOWER(LEFT(C72,LEN(C72)-LEN(D72))),"_"," "),"-"," "),"."," "),","," "),"("," "),")"," "),"["," "),"]"," "),"&amp;"," "),"+"," "),"@"," "),"#"," "),"!"," "),"'"," "),"/"," "),":"," "),";"," "),"="," "),"~"," "),"%"," ")))</f>
        <v/>
      </c>
      <c r="F72" s="6">
        <f>IF(C72="","",IF(COUNTIF(Classifiers!$A$23:$A$40,D72)&gt;0,1,0))</f>
        <v/>
      </c>
      <c r="G72" s="6">
        <f>IF(C72="","",IF(COUNTIF(Classifiers!$C$23:$C$30,D72)&gt;0,IF((IF(ISNUMBER(SEARCH(Classifiers!$E$23,E72)),1,0)+IF(ISNUMBER(SEARCH(Classifiers!$E$24,E72)),1,0)+IF(ISNUMBER(SEARCH(Classifiers!$E$25,E72)),1,0)+IF(ISNUMBER(SEARCH(Classifiers!$E$26,E72)),1,0)+IF(ISNUMBER(SEARCH(Classifiers!$E$27,E72)),1,0)+IF(ISNUMBER(SEARCH(Classifiers!$E$28,E72)),1,0)+IF(ISNUMBER(SEARCH(Classifiers!$E$29,E72)),1,0)+IF(ISNUMBER(SEARCH(Classifiers!$E$30,E72)),1,0))&gt;0,1,0),0))</f>
        <v/>
      </c>
      <c r="H72" s="6">
        <f>IF(C72="","",IF(OR(LEFT(C72,1)=".",AND(F72=0,G72=0)),0,1))</f>
        <v/>
      </c>
      <c r="I72" s="6">
        <f>IF(H72&lt;&gt;1,"",IF(SUM(J72:W72)=0,"unclassified",INDEX(Classifiers!$A$5:$A$18,MATCH(1,J72:W72,0),1)))</f>
        <v/>
      </c>
      <c r="J72" s="12">
        <f>IF(H72&lt;&gt;1,0,IF((IF(Classifiers!$B$5="",0,IF(ISNUMBER(SEARCH(Classifiers!$B$5,E72)),1,0))+IF(Classifiers!$C$5="",0,IF(ISNUMBER(SEARCH(Classifiers!$C$5,E72)),1,0))+IF(Classifiers!$D$5="",0,IF(ISNUMBER(SEARCH(Classifiers!$D$5,E72)),1,0))+IF(Classifiers!$E$5="",0,IF(ISNUMBER(SEARCH(Classifiers!$E$5,E72)),1,0))+IF(Classifiers!$F$5="",0,IF(ISNUMBER(SEARCH(Classifiers!$F$5,E72)),1,0))+IF(Classifiers!$G$5="",0,IF(ISNUMBER(SEARCH(Classifiers!$G$5,E72)),1,0)))&gt;0,1,0))</f>
        <v/>
      </c>
      <c r="K72" s="12">
        <f>IF(H72&lt;&gt;1,0,IF((IF(Classifiers!$B$6="",0,IF(ISNUMBER(SEARCH(Classifiers!$B$6,E72)),1,0))+IF(Classifiers!$C$6="",0,IF(ISNUMBER(SEARCH(Classifiers!$C$6,E72)),1,0))+IF(Classifiers!$D$6="",0,IF(ISNUMBER(SEARCH(Classifiers!$D$6,E72)),1,0))+IF(Classifiers!$E$6="",0,IF(ISNUMBER(SEARCH(Classifiers!$E$6,E72)),1,0))+IF(Classifiers!$F$6="",0,IF(ISNUMBER(SEARCH(Classifiers!$F$6,E72)),1,0))+IF(Classifiers!$G$6="",0,IF(ISNUMBER(SEARCH(Classifiers!$G$6,E72)),1,0)))&gt;0,1,0))</f>
        <v/>
      </c>
      <c r="L72" s="12">
        <f>IF(H72&lt;&gt;1,0,IF((IF(Classifiers!$B$7="",0,IF(ISNUMBER(SEARCH(Classifiers!$B$7,E72)),1,0))+IF(Classifiers!$C$7="",0,IF(ISNUMBER(SEARCH(Classifiers!$C$7,E72)),1,0))+IF(Classifiers!$D$7="",0,IF(ISNUMBER(SEARCH(Classifiers!$D$7,E72)),1,0))+IF(Classifiers!$E$7="",0,IF(ISNUMBER(SEARCH(Classifiers!$E$7,E72)),1,0))+IF(Classifiers!$F$7="",0,IF(ISNUMBER(SEARCH(Classifiers!$F$7,E72)),1,0))+IF(Classifiers!$G$7="",0,IF(ISNUMBER(SEARCH(Classifiers!$G$7,E72)),1,0)))&gt;0,1,0))</f>
        <v/>
      </c>
      <c r="M72" s="12">
        <f>IF(H72&lt;&gt;1,0,IF((IF(Classifiers!$B$8="",0,IF(ISNUMBER(SEARCH(Classifiers!$B$8,E72)),1,0))+IF(Classifiers!$C$8="",0,IF(ISNUMBER(SEARCH(Classifiers!$C$8,E72)),1,0))+IF(Classifiers!$D$8="",0,IF(ISNUMBER(SEARCH(Classifiers!$D$8,E72)),1,0))+IF(Classifiers!$E$8="",0,IF(ISNUMBER(SEARCH(Classifiers!$E$8,E72)),1,0))+IF(Classifiers!$F$8="",0,IF(ISNUMBER(SEARCH(Classifiers!$F$8,E72)),1,0))+IF(Classifiers!$G$8="",0,IF(ISNUMBER(SEARCH(Classifiers!$G$8,E72)),1,0)))&gt;0,1,0))</f>
        <v/>
      </c>
      <c r="N72" s="12">
        <f>IF(H72&lt;&gt;1,0,IF((IF(Classifiers!$B$9="",0,IF(ISNUMBER(SEARCH(Classifiers!$B$9,E72)),1,0))+IF(Classifiers!$C$9="",0,IF(ISNUMBER(SEARCH(Classifiers!$C$9,E72)),1,0))+IF(Classifiers!$D$9="",0,IF(ISNUMBER(SEARCH(Classifiers!$D$9,E72)),1,0))+IF(Classifiers!$E$9="",0,IF(ISNUMBER(SEARCH(Classifiers!$E$9,E72)),1,0))+IF(Classifiers!$F$9="",0,IF(ISNUMBER(SEARCH(Classifiers!$F$9,E72)),1,0))+IF(Classifiers!$G$9="",0,IF(ISNUMBER(SEARCH(Classifiers!$G$9,E72)),1,0)))&gt;0,1,0))</f>
        <v/>
      </c>
      <c r="O72" s="12">
        <f>IF(H72&lt;&gt;1,0,IF((IF(Classifiers!$B$10="",0,IF(ISNUMBER(SEARCH(Classifiers!$B$10,E72)),1,0))+IF(Classifiers!$C$10="",0,IF(ISNUMBER(SEARCH(Classifiers!$C$10,E72)),1,0))+IF(Classifiers!$D$10="",0,IF(ISNUMBER(SEARCH(Classifiers!$D$10,E72)),1,0))+IF(Classifiers!$E$10="",0,IF(ISNUMBER(SEARCH(Classifiers!$E$10,E72)),1,0))+IF(Classifiers!$F$10="",0,IF(ISNUMBER(SEARCH(Classifiers!$F$10,E72)),1,0))+IF(Classifiers!$G$10="",0,IF(ISNUMBER(SEARCH(Classifiers!$G$10,E72)),1,0)))&gt;0,1,0))</f>
        <v/>
      </c>
      <c r="P72" s="12">
        <f>IF(H72&lt;&gt;1,0,IF((IF(Classifiers!$B$11="",0,IF(ISNUMBER(SEARCH(Classifiers!$B$11,E72)),1,0))+IF(Classifiers!$C$11="",0,IF(ISNUMBER(SEARCH(Classifiers!$C$11,E72)),1,0))+IF(Classifiers!$D$11="",0,IF(ISNUMBER(SEARCH(Classifiers!$D$11,E72)),1,0))+IF(Classifiers!$E$11="",0,IF(ISNUMBER(SEARCH(Classifiers!$E$11,E72)),1,0))+IF(Classifiers!$F$11="",0,IF(ISNUMBER(SEARCH(Classifiers!$F$11,E72)),1,0))+IF(Classifiers!$G$11="",0,IF(ISNUMBER(SEARCH(Classifiers!$G$11,E72)),1,0)))&gt;0,1,0))</f>
        <v/>
      </c>
      <c r="Q72" s="12">
        <f>IF(H72&lt;&gt;1,0,IF((IF(Classifiers!$B$12="",0,IF(ISNUMBER(SEARCH(Classifiers!$B$12,E72)),1,0))+IF(Classifiers!$C$12="",0,IF(ISNUMBER(SEARCH(Classifiers!$C$12,E72)),1,0))+IF(Classifiers!$D$12="",0,IF(ISNUMBER(SEARCH(Classifiers!$D$12,E72)),1,0))+IF(Classifiers!$E$12="",0,IF(ISNUMBER(SEARCH(Classifiers!$E$12,E72)),1,0))+IF(Classifiers!$F$12="",0,IF(ISNUMBER(SEARCH(Classifiers!$F$12,E72)),1,0))+IF(Classifiers!$G$12="",0,IF(ISNUMBER(SEARCH(Classifiers!$G$12,E72)),1,0)))&gt;0,1,0))</f>
        <v/>
      </c>
      <c r="R72" s="12">
        <f>IF(H72&lt;&gt;1,0,IF((IF(Classifiers!$B$13="",0,IF(ISNUMBER(SEARCH(Classifiers!$B$13,E72)),1,0))+IF(Classifiers!$C$13="",0,IF(ISNUMBER(SEARCH(Classifiers!$C$13,E72)),1,0))+IF(Classifiers!$D$13="",0,IF(ISNUMBER(SEARCH(Classifiers!$D$13,E72)),1,0))+IF(Classifiers!$E$13="",0,IF(ISNUMBER(SEARCH(Classifiers!$E$13,E72)),1,0))+IF(Classifiers!$F$13="",0,IF(ISNUMBER(SEARCH(Classifiers!$F$13,E72)),1,0))+IF(Classifiers!$G$13="",0,IF(ISNUMBER(SEARCH(Classifiers!$G$13,E72)),1,0)))&gt;0,1,0))</f>
        <v/>
      </c>
      <c r="S72" s="12">
        <f>IF(H72&lt;&gt;1,0,IF((IF(Classifiers!$B$14="",0,IF(ISNUMBER(SEARCH(Classifiers!$B$14,E72)),1,0))+IF(Classifiers!$C$14="",0,IF(ISNUMBER(SEARCH(Classifiers!$C$14,E72)),1,0))+IF(Classifiers!$D$14="",0,IF(ISNUMBER(SEARCH(Classifiers!$D$14,E72)),1,0))+IF(Classifiers!$E$14="",0,IF(ISNUMBER(SEARCH(Classifiers!$E$14,E72)),1,0))+IF(Classifiers!$F$14="",0,IF(ISNUMBER(SEARCH(Classifiers!$F$14,E72)),1,0))+IF(Classifiers!$G$14="",0,IF(ISNUMBER(SEARCH(Classifiers!$G$14,E72)),1,0)))&gt;0,1,0))</f>
        <v/>
      </c>
      <c r="T72" s="12">
        <f>IF(H72&lt;&gt;1,0,IF((IF(Classifiers!$B$15="",0,IF(ISNUMBER(SEARCH(Classifiers!$B$15,E72)),1,0))+IF(Classifiers!$C$15="",0,IF(ISNUMBER(SEARCH(Classifiers!$C$15,E72)),1,0))+IF(Classifiers!$D$15="",0,IF(ISNUMBER(SEARCH(Classifiers!$D$15,E72)),1,0))+IF(Classifiers!$E$15="",0,IF(ISNUMBER(SEARCH(Classifiers!$E$15,E72)),1,0))+IF(Classifiers!$F$15="",0,IF(ISNUMBER(SEARCH(Classifiers!$F$15,E72)),1,0))+IF(Classifiers!$G$15="",0,IF(ISNUMBER(SEARCH(Classifiers!$G$15,E72)),1,0)))&gt;0,1,0))</f>
        <v/>
      </c>
      <c r="U72" s="12">
        <f>IF(H72&lt;&gt;1,0,IF((IF(Classifiers!$B$16="",0,IF(ISNUMBER(SEARCH(Classifiers!$B$16,E72)),1,0))+IF(Classifiers!$C$16="",0,IF(ISNUMBER(SEARCH(Classifiers!$C$16,E72)),1,0))+IF(Classifiers!$D$16="",0,IF(ISNUMBER(SEARCH(Classifiers!$D$16,E72)),1,0))+IF(Classifiers!$E$16="",0,IF(ISNUMBER(SEARCH(Classifiers!$E$16,E72)),1,0))+IF(Classifiers!$F$16="",0,IF(ISNUMBER(SEARCH(Classifiers!$F$16,E72)),1,0))+IF(Classifiers!$G$16="",0,IF(ISNUMBER(SEARCH(Classifiers!$G$16,E72)),1,0)))&gt;0,1,0))</f>
        <v/>
      </c>
      <c r="V72" s="12">
        <f>IF(H72&lt;&gt;1,0,IF((IF(Classifiers!$B$17="",0,IF(ISNUMBER(SEARCH(Classifiers!$B$17,E72)),1,0))+IF(Classifiers!$C$17="",0,IF(ISNUMBER(SEARCH(Classifiers!$C$17,E72)),1,0))+IF(Classifiers!$D$17="",0,IF(ISNUMBER(SEARCH(Classifiers!$D$17,E72)),1,0))+IF(Classifiers!$E$17="",0,IF(ISNUMBER(SEARCH(Classifiers!$E$17,E72)),1,0))+IF(Classifiers!$F$17="",0,IF(ISNUMBER(SEARCH(Classifiers!$F$17,E72)),1,0))+IF(Classifiers!$G$17="",0,IF(ISNUMBER(SEARCH(Classifiers!$G$17,E72)),1,0)))&gt;0,1,0))</f>
        <v/>
      </c>
      <c r="W72" s="12">
        <f>IF(H72&lt;&gt;1,0,IF((IF(Classifiers!$B$18="",0,IF(ISNUMBER(SEARCH(Classifiers!$B$18,E72)),1,0))+IF(Classifiers!$C$18="",0,IF(ISNUMBER(SEARCH(Classifiers!$C$18,E72)),1,0))+IF(Classifiers!$D$18="",0,IF(ISNUMBER(SEARCH(Classifiers!$D$18,E72)),1,0))+IF(Classifiers!$E$18="",0,IF(ISNUMBER(SEARCH(Classifiers!$E$18,E72)),1,0))+IF(Classifiers!$F$18="",0,IF(ISNUMBER(SEARCH(Classifiers!$F$18,E72)),1,0))+IF(Classifiers!$G$18="",0,IF(ISNUMBER(SEARCH(Classifiers!$G$18,E72)),1,0)))&gt;0,1,0))</f>
        <v/>
      </c>
    </row>
    <row r="73">
      <c r="A73" s="8" t="n"/>
      <c r="B73" s="11" t="n"/>
      <c r="C73" s="6">
        <f>IF(A73="","",TRIM(RIGHT(SUBSTITUTE(A73,"/",REPT(" ",250)),250)))</f>
        <v/>
      </c>
      <c r="D73" s="6">
        <f>IF(C73="","",IF(ISNUMBER(SEARCH(".",C73)),LOWER("."&amp;TRIM(RIGHT(SUBSTITUTE(C73,".",REPT(" ",250)),250))),""))</f>
        <v/>
      </c>
      <c r="E73" s="6">
        <f>IF(C73="","",TRIM(SUBSTITUTE(SUBSTITUTE(SUBSTITUTE(SUBSTITUTE(SUBSTITUTE(SUBSTITUTE(SUBSTITUTE(SUBSTITUTE(SUBSTITUTE(SUBSTITUTE(SUBSTITUTE(SUBSTITUTE(SUBSTITUTE(SUBSTITUTE(SUBSTITUTE(SUBSTITUTE(SUBSTITUTE(SUBSTITUTE(SUBSTITUTE(SUBSTITUTE(LOWER(LEFT(C73,LEN(C73)-LEN(D73))),"_"," "),"-"," "),"."," "),","," "),"("," "),")"," "),"["," "),"]"," "),"&amp;"," "),"+"," "),"@"," "),"#"," "),"!"," "),"'"," "),"/"," "),":"," "),";"," "),"="," "),"~"," "),"%"," ")))</f>
        <v/>
      </c>
      <c r="F73" s="6">
        <f>IF(C73="","",IF(COUNTIF(Classifiers!$A$23:$A$40,D73)&gt;0,1,0))</f>
        <v/>
      </c>
      <c r="G73" s="6">
        <f>IF(C73="","",IF(COUNTIF(Classifiers!$C$23:$C$30,D73)&gt;0,IF((IF(ISNUMBER(SEARCH(Classifiers!$E$23,E73)),1,0)+IF(ISNUMBER(SEARCH(Classifiers!$E$24,E73)),1,0)+IF(ISNUMBER(SEARCH(Classifiers!$E$25,E73)),1,0)+IF(ISNUMBER(SEARCH(Classifiers!$E$26,E73)),1,0)+IF(ISNUMBER(SEARCH(Classifiers!$E$27,E73)),1,0)+IF(ISNUMBER(SEARCH(Classifiers!$E$28,E73)),1,0)+IF(ISNUMBER(SEARCH(Classifiers!$E$29,E73)),1,0)+IF(ISNUMBER(SEARCH(Classifiers!$E$30,E73)),1,0))&gt;0,1,0),0))</f>
        <v/>
      </c>
      <c r="H73" s="6">
        <f>IF(C73="","",IF(OR(LEFT(C73,1)=".",AND(F73=0,G73=0)),0,1))</f>
        <v/>
      </c>
      <c r="I73" s="6">
        <f>IF(H73&lt;&gt;1,"",IF(SUM(J73:W73)=0,"unclassified",INDEX(Classifiers!$A$5:$A$18,MATCH(1,J73:W73,0),1)))</f>
        <v/>
      </c>
      <c r="J73" s="12">
        <f>IF(H73&lt;&gt;1,0,IF((IF(Classifiers!$B$5="",0,IF(ISNUMBER(SEARCH(Classifiers!$B$5,E73)),1,0))+IF(Classifiers!$C$5="",0,IF(ISNUMBER(SEARCH(Classifiers!$C$5,E73)),1,0))+IF(Classifiers!$D$5="",0,IF(ISNUMBER(SEARCH(Classifiers!$D$5,E73)),1,0))+IF(Classifiers!$E$5="",0,IF(ISNUMBER(SEARCH(Classifiers!$E$5,E73)),1,0))+IF(Classifiers!$F$5="",0,IF(ISNUMBER(SEARCH(Classifiers!$F$5,E73)),1,0))+IF(Classifiers!$G$5="",0,IF(ISNUMBER(SEARCH(Classifiers!$G$5,E73)),1,0)))&gt;0,1,0))</f>
        <v/>
      </c>
      <c r="K73" s="12">
        <f>IF(H73&lt;&gt;1,0,IF((IF(Classifiers!$B$6="",0,IF(ISNUMBER(SEARCH(Classifiers!$B$6,E73)),1,0))+IF(Classifiers!$C$6="",0,IF(ISNUMBER(SEARCH(Classifiers!$C$6,E73)),1,0))+IF(Classifiers!$D$6="",0,IF(ISNUMBER(SEARCH(Classifiers!$D$6,E73)),1,0))+IF(Classifiers!$E$6="",0,IF(ISNUMBER(SEARCH(Classifiers!$E$6,E73)),1,0))+IF(Classifiers!$F$6="",0,IF(ISNUMBER(SEARCH(Classifiers!$F$6,E73)),1,0))+IF(Classifiers!$G$6="",0,IF(ISNUMBER(SEARCH(Classifiers!$G$6,E73)),1,0)))&gt;0,1,0))</f>
        <v/>
      </c>
      <c r="L73" s="12">
        <f>IF(H73&lt;&gt;1,0,IF((IF(Classifiers!$B$7="",0,IF(ISNUMBER(SEARCH(Classifiers!$B$7,E73)),1,0))+IF(Classifiers!$C$7="",0,IF(ISNUMBER(SEARCH(Classifiers!$C$7,E73)),1,0))+IF(Classifiers!$D$7="",0,IF(ISNUMBER(SEARCH(Classifiers!$D$7,E73)),1,0))+IF(Classifiers!$E$7="",0,IF(ISNUMBER(SEARCH(Classifiers!$E$7,E73)),1,0))+IF(Classifiers!$F$7="",0,IF(ISNUMBER(SEARCH(Classifiers!$F$7,E73)),1,0))+IF(Classifiers!$G$7="",0,IF(ISNUMBER(SEARCH(Classifiers!$G$7,E73)),1,0)))&gt;0,1,0))</f>
        <v/>
      </c>
      <c r="M73" s="12">
        <f>IF(H73&lt;&gt;1,0,IF((IF(Classifiers!$B$8="",0,IF(ISNUMBER(SEARCH(Classifiers!$B$8,E73)),1,0))+IF(Classifiers!$C$8="",0,IF(ISNUMBER(SEARCH(Classifiers!$C$8,E73)),1,0))+IF(Classifiers!$D$8="",0,IF(ISNUMBER(SEARCH(Classifiers!$D$8,E73)),1,0))+IF(Classifiers!$E$8="",0,IF(ISNUMBER(SEARCH(Classifiers!$E$8,E73)),1,0))+IF(Classifiers!$F$8="",0,IF(ISNUMBER(SEARCH(Classifiers!$F$8,E73)),1,0))+IF(Classifiers!$G$8="",0,IF(ISNUMBER(SEARCH(Classifiers!$G$8,E73)),1,0)))&gt;0,1,0))</f>
        <v/>
      </c>
      <c r="N73" s="12">
        <f>IF(H73&lt;&gt;1,0,IF((IF(Classifiers!$B$9="",0,IF(ISNUMBER(SEARCH(Classifiers!$B$9,E73)),1,0))+IF(Classifiers!$C$9="",0,IF(ISNUMBER(SEARCH(Classifiers!$C$9,E73)),1,0))+IF(Classifiers!$D$9="",0,IF(ISNUMBER(SEARCH(Classifiers!$D$9,E73)),1,0))+IF(Classifiers!$E$9="",0,IF(ISNUMBER(SEARCH(Classifiers!$E$9,E73)),1,0))+IF(Classifiers!$F$9="",0,IF(ISNUMBER(SEARCH(Classifiers!$F$9,E73)),1,0))+IF(Classifiers!$G$9="",0,IF(ISNUMBER(SEARCH(Classifiers!$G$9,E73)),1,0)))&gt;0,1,0))</f>
        <v/>
      </c>
      <c r="O73" s="12">
        <f>IF(H73&lt;&gt;1,0,IF((IF(Classifiers!$B$10="",0,IF(ISNUMBER(SEARCH(Classifiers!$B$10,E73)),1,0))+IF(Classifiers!$C$10="",0,IF(ISNUMBER(SEARCH(Classifiers!$C$10,E73)),1,0))+IF(Classifiers!$D$10="",0,IF(ISNUMBER(SEARCH(Classifiers!$D$10,E73)),1,0))+IF(Classifiers!$E$10="",0,IF(ISNUMBER(SEARCH(Classifiers!$E$10,E73)),1,0))+IF(Classifiers!$F$10="",0,IF(ISNUMBER(SEARCH(Classifiers!$F$10,E73)),1,0))+IF(Classifiers!$G$10="",0,IF(ISNUMBER(SEARCH(Classifiers!$G$10,E73)),1,0)))&gt;0,1,0))</f>
        <v/>
      </c>
      <c r="P73" s="12">
        <f>IF(H73&lt;&gt;1,0,IF((IF(Classifiers!$B$11="",0,IF(ISNUMBER(SEARCH(Classifiers!$B$11,E73)),1,0))+IF(Classifiers!$C$11="",0,IF(ISNUMBER(SEARCH(Classifiers!$C$11,E73)),1,0))+IF(Classifiers!$D$11="",0,IF(ISNUMBER(SEARCH(Classifiers!$D$11,E73)),1,0))+IF(Classifiers!$E$11="",0,IF(ISNUMBER(SEARCH(Classifiers!$E$11,E73)),1,0))+IF(Classifiers!$F$11="",0,IF(ISNUMBER(SEARCH(Classifiers!$F$11,E73)),1,0))+IF(Classifiers!$G$11="",0,IF(ISNUMBER(SEARCH(Classifiers!$G$11,E73)),1,0)))&gt;0,1,0))</f>
        <v/>
      </c>
      <c r="Q73" s="12">
        <f>IF(H73&lt;&gt;1,0,IF((IF(Classifiers!$B$12="",0,IF(ISNUMBER(SEARCH(Classifiers!$B$12,E73)),1,0))+IF(Classifiers!$C$12="",0,IF(ISNUMBER(SEARCH(Classifiers!$C$12,E73)),1,0))+IF(Classifiers!$D$12="",0,IF(ISNUMBER(SEARCH(Classifiers!$D$12,E73)),1,0))+IF(Classifiers!$E$12="",0,IF(ISNUMBER(SEARCH(Classifiers!$E$12,E73)),1,0))+IF(Classifiers!$F$12="",0,IF(ISNUMBER(SEARCH(Classifiers!$F$12,E73)),1,0))+IF(Classifiers!$G$12="",0,IF(ISNUMBER(SEARCH(Classifiers!$G$12,E73)),1,0)))&gt;0,1,0))</f>
        <v/>
      </c>
      <c r="R73" s="12">
        <f>IF(H73&lt;&gt;1,0,IF((IF(Classifiers!$B$13="",0,IF(ISNUMBER(SEARCH(Classifiers!$B$13,E73)),1,0))+IF(Classifiers!$C$13="",0,IF(ISNUMBER(SEARCH(Classifiers!$C$13,E73)),1,0))+IF(Classifiers!$D$13="",0,IF(ISNUMBER(SEARCH(Classifiers!$D$13,E73)),1,0))+IF(Classifiers!$E$13="",0,IF(ISNUMBER(SEARCH(Classifiers!$E$13,E73)),1,0))+IF(Classifiers!$F$13="",0,IF(ISNUMBER(SEARCH(Classifiers!$F$13,E73)),1,0))+IF(Classifiers!$G$13="",0,IF(ISNUMBER(SEARCH(Classifiers!$G$13,E73)),1,0)))&gt;0,1,0))</f>
        <v/>
      </c>
      <c r="S73" s="12">
        <f>IF(H73&lt;&gt;1,0,IF((IF(Classifiers!$B$14="",0,IF(ISNUMBER(SEARCH(Classifiers!$B$14,E73)),1,0))+IF(Classifiers!$C$14="",0,IF(ISNUMBER(SEARCH(Classifiers!$C$14,E73)),1,0))+IF(Classifiers!$D$14="",0,IF(ISNUMBER(SEARCH(Classifiers!$D$14,E73)),1,0))+IF(Classifiers!$E$14="",0,IF(ISNUMBER(SEARCH(Classifiers!$E$14,E73)),1,0))+IF(Classifiers!$F$14="",0,IF(ISNUMBER(SEARCH(Classifiers!$F$14,E73)),1,0))+IF(Classifiers!$G$14="",0,IF(ISNUMBER(SEARCH(Classifiers!$G$14,E73)),1,0)))&gt;0,1,0))</f>
        <v/>
      </c>
      <c r="T73" s="12">
        <f>IF(H73&lt;&gt;1,0,IF((IF(Classifiers!$B$15="",0,IF(ISNUMBER(SEARCH(Classifiers!$B$15,E73)),1,0))+IF(Classifiers!$C$15="",0,IF(ISNUMBER(SEARCH(Classifiers!$C$15,E73)),1,0))+IF(Classifiers!$D$15="",0,IF(ISNUMBER(SEARCH(Classifiers!$D$15,E73)),1,0))+IF(Classifiers!$E$15="",0,IF(ISNUMBER(SEARCH(Classifiers!$E$15,E73)),1,0))+IF(Classifiers!$F$15="",0,IF(ISNUMBER(SEARCH(Classifiers!$F$15,E73)),1,0))+IF(Classifiers!$G$15="",0,IF(ISNUMBER(SEARCH(Classifiers!$G$15,E73)),1,0)))&gt;0,1,0))</f>
        <v/>
      </c>
      <c r="U73" s="12">
        <f>IF(H73&lt;&gt;1,0,IF((IF(Classifiers!$B$16="",0,IF(ISNUMBER(SEARCH(Classifiers!$B$16,E73)),1,0))+IF(Classifiers!$C$16="",0,IF(ISNUMBER(SEARCH(Classifiers!$C$16,E73)),1,0))+IF(Classifiers!$D$16="",0,IF(ISNUMBER(SEARCH(Classifiers!$D$16,E73)),1,0))+IF(Classifiers!$E$16="",0,IF(ISNUMBER(SEARCH(Classifiers!$E$16,E73)),1,0))+IF(Classifiers!$F$16="",0,IF(ISNUMBER(SEARCH(Classifiers!$F$16,E73)),1,0))+IF(Classifiers!$G$16="",0,IF(ISNUMBER(SEARCH(Classifiers!$G$16,E73)),1,0)))&gt;0,1,0))</f>
        <v/>
      </c>
      <c r="V73" s="12">
        <f>IF(H73&lt;&gt;1,0,IF((IF(Classifiers!$B$17="",0,IF(ISNUMBER(SEARCH(Classifiers!$B$17,E73)),1,0))+IF(Classifiers!$C$17="",0,IF(ISNUMBER(SEARCH(Classifiers!$C$17,E73)),1,0))+IF(Classifiers!$D$17="",0,IF(ISNUMBER(SEARCH(Classifiers!$D$17,E73)),1,0))+IF(Classifiers!$E$17="",0,IF(ISNUMBER(SEARCH(Classifiers!$E$17,E73)),1,0))+IF(Classifiers!$F$17="",0,IF(ISNUMBER(SEARCH(Classifiers!$F$17,E73)),1,0))+IF(Classifiers!$G$17="",0,IF(ISNUMBER(SEARCH(Classifiers!$G$17,E73)),1,0)))&gt;0,1,0))</f>
        <v/>
      </c>
      <c r="W73" s="12">
        <f>IF(H73&lt;&gt;1,0,IF((IF(Classifiers!$B$18="",0,IF(ISNUMBER(SEARCH(Classifiers!$B$18,E73)),1,0))+IF(Classifiers!$C$18="",0,IF(ISNUMBER(SEARCH(Classifiers!$C$18,E73)),1,0))+IF(Classifiers!$D$18="",0,IF(ISNUMBER(SEARCH(Classifiers!$D$18,E73)),1,0))+IF(Classifiers!$E$18="",0,IF(ISNUMBER(SEARCH(Classifiers!$E$18,E73)),1,0))+IF(Classifiers!$F$18="",0,IF(ISNUMBER(SEARCH(Classifiers!$F$18,E73)),1,0))+IF(Classifiers!$G$18="",0,IF(ISNUMBER(SEARCH(Classifiers!$G$18,E73)),1,0)))&gt;0,1,0))</f>
        <v/>
      </c>
    </row>
    <row r="74">
      <c r="A74" s="8" t="n"/>
      <c r="B74" s="11" t="n"/>
      <c r="C74" s="6">
        <f>IF(A74="","",TRIM(RIGHT(SUBSTITUTE(A74,"/",REPT(" ",250)),250)))</f>
        <v/>
      </c>
      <c r="D74" s="6">
        <f>IF(C74="","",IF(ISNUMBER(SEARCH(".",C74)),LOWER("."&amp;TRIM(RIGHT(SUBSTITUTE(C74,".",REPT(" ",250)),250))),""))</f>
        <v/>
      </c>
      <c r="E74" s="6">
        <f>IF(C74="","",TRIM(SUBSTITUTE(SUBSTITUTE(SUBSTITUTE(SUBSTITUTE(SUBSTITUTE(SUBSTITUTE(SUBSTITUTE(SUBSTITUTE(SUBSTITUTE(SUBSTITUTE(SUBSTITUTE(SUBSTITUTE(SUBSTITUTE(SUBSTITUTE(SUBSTITUTE(SUBSTITUTE(SUBSTITUTE(SUBSTITUTE(SUBSTITUTE(SUBSTITUTE(LOWER(LEFT(C74,LEN(C74)-LEN(D74))),"_"," "),"-"," "),"."," "),","," "),"("," "),")"," "),"["," "),"]"," "),"&amp;"," "),"+"," "),"@"," "),"#"," "),"!"," "),"'"," "),"/"," "),":"," "),";"," "),"="," "),"~"," "),"%"," ")))</f>
        <v/>
      </c>
      <c r="F74" s="6">
        <f>IF(C74="","",IF(COUNTIF(Classifiers!$A$23:$A$40,D74)&gt;0,1,0))</f>
        <v/>
      </c>
      <c r="G74" s="6">
        <f>IF(C74="","",IF(COUNTIF(Classifiers!$C$23:$C$30,D74)&gt;0,IF((IF(ISNUMBER(SEARCH(Classifiers!$E$23,E74)),1,0)+IF(ISNUMBER(SEARCH(Classifiers!$E$24,E74)),1,0)+IF(ISNUMBER(SEARCH(Classifiers!$E$25,E74)),1,0)+IF(ISNUMBER(SEARCH(Classifiers!$E$26,E74)),1,0)+IF(ISNUMBER(SEARCH(Classifiers!$E$27,E74)),1,0)+IF(ISNUMBER(SEARCH(Classifiers!$E$28,E74)),1,0)+IF(ISNUMBER(SEARCH(Classifiers!$E$29,E74)),1,0)+IF(ISNUMBER(SEARCH(Classifiers!$E$30,E74)),1,0))&gt;0,1,0),0))</f>
        <v/>
      </c>
      <c r="H74" s="6">
        <f>IF(C74="","",IF(OR(LEFT(C74,1)=".",AND(F74=0,G74=0)),0,1))</f>
        <v/>
      </c>
      <c r="I74" s="6">
        <f>IF(H74&lt;&gt;1,"",IF(SUM(J74:W74)=0,"unclassified",INDEX(Classifiers!$A$5:$A$18,MATCH(1,J74:W74,0),1)))</f>
        <v/>
      </c>
      <c r="J74" s="12">
        <f>IF(H74&lt;&gt;1,0,IF((IF(Classifiers!$B$5="",0,IF(ISNUMBER(SEARCH(Classifiers!$B$5,E74)),1,0))+IF(Classifiers!$C$5="",0,IF(ISNUMBER(SEARCH(Classifiers!$C$5,E74)),1,0))+IF(Classifiers!$D$5="",0,IF(ISNUMBER(SEARCH(Classifiers!$D$5,E74)),1,0))+IF(Classifiers!$E$5="",0,IF(ISNUMBER(SEARCH(Classifiers!$E$5,E74)),1,0))+IF(Classifiers!$F$5="",0,IF(ISNUMBER(SEARCH(Classifiers!$F$5,E74)),1,0))+IF(Classifiers!$G$5="",0,IF(ISNUMBER(SEARCH(Classifiers!$G$5,E74)),1,0)))&gt;0,1,0))</f>
        <v/>
      </c>
      <c r="K74" s="12">
        <f>IF(H74&lt;&gt;1,0,IF((IF(Classifiers!$B$6="",0,IF(ISNUMBER(SEARCH(Classifiers!$B$6,E74)),1,0))+IF(Classifiers!$C$6="",0,IF(ISNUMBER(SEARCH(Classifiers!$C$6,E74)),1,0))+IF(Classifiers!$D$6="",0,IF(ISNUMBER(SEARCH(Classifiers!$D$6,E74)),1,0))+IF(Classifiers!$E$6="",0,IF(ISNUMBER(SEARCH(Classifiers!$E$6,E74)),1,0))+IF(Classifiers!$F$6="",0,IF(ISNUMBER(SEARCH(Classifiers!$F$6,E74)),1,0))+IF(Classifiers!$G$6="",0,IF(ISNUMBER(SEARCH(Classifiers!$G$6,E74)),1,0)))&gt;0,1,0))</f>
        <v/>
      </c>
      <c r="L74" s="12">
        <f>IF(H74&lt;&gt;1,0,IF((IF(Classifiers!$B$7="",0,IF(ISNUMBER(SEARCH(Classifiers!$B$7,E74)),1,0))+IF(Classifiers!$C$7="",0,IF(ISNUMBER(SEARCH(Classifiers!$C$7,E74)),1,0))+IF(Classifiers!$D$7="",0,IF(ISNUMBER(SEARCH(Classifiers!$D$7,E74)),1,0))+IF(Classifiers!$E$7="",0,IF(ISNUMBER(SEARCH(Classifiers!$E$7,E74)),1,0))+IF(Classifiers!$F$7="",0,IF(ISNUMBER(SEARCH(Classifiers!$F$7,E74)),1,0))+IF(Classifiers!$G$7="",0,IF(ISNUMBER(SEARCH(Classifiers!$G$7,E74)),1,0)))&gt;0,1,0))</f>
        <v/>
      </c>
      <c r="M74" s="12">
        <f>IF(H74&lt;&gt;1,0,IF((IF(Classifiers!$B$8="",0,IF(ISNUMBER(SEARCH(Classifiers!$B$8,E74)),1,0))+IF(Classifiers!$C$8="",0,IF(ISNUMBER(SEARCH(Classifiers!$C$8,E74)),1,0))+IF(Classifiers!$D$8="",0,IF(ISNUMBER(SEARCH(Classifiers!$D$8,E74)),1,0))+IF(Classifiers!$E$8="",0,IF(ISNUMBER(SEARCH(Classifiers!$E$8,E74)),1,0))+IF(Classifiers!$F$8="",0,IF(ISNUMBER(SEARCH(Classifiers!$F$8,E74)),1,0))+IF(Classifiers!$G$8="",0,IF(ISNUMBER(SEARCH(Classifiers!$G$8,E74)),1,0)))&gt;0,1,0))</f>
        <v/>
      </c>
      <c r="N74" s="12">
        <f>IF(H74&lt;&gt;1,0,IF((IF(Classifiers!$B$9="",0,IF(ISNUMBER(SEARCH(Classifiers!$B$9,E74)),1,0))+IF(Classifiers!$C$9="",0,IF(ISNUMBER(SEARCH(Classifiers!$C$9,E74)),1,0))+IF(Classifiers!$D$9="",0,IF(ISNUMBER(SEARCH(Classifiers!$D$9,E74)),1,0))+IF(Classifiers!$E$9="",0,IF(ISNUMBER(SEARCH(Classifiers!$E$9,E74)),1,0))+IF(Classifiers!$F$9="",0,IF(ISNUMBER(SEARCH(Classifiers!$F$9,E74)),1,0))+IF(Classifiers!$G$9="",0,IF(ISNUMBER(SEARCH(Classifiers!$G$9,E74)),1,0)))&gt;0,1,0))</f>
        <v/>
      </c>
      <c r="O74" s="12">
        <f>IF(H74&lt;&gt;1,0,IF((IF(Classifiers!$B$10="",0,IF(ISNUMBER(SEARCH(Classifiers!$B$10,E74)),1,0))+IF(Classifiers!$C$10="",0,IF(ISNUMBER(SEARCH(Classifiers!$C$10,E74)),1,0))+IF(Classifiers!$D$10="",0,IF(ISNUMBER(SEARCH(Classifiers!$D$10,E74)),1,0))+IF(Classifiers!$E$10="",0,IF(ISNUMBER(SEARCH(Classifiers!$E$10,E74)),1,0))+IF(Classifiers!$F$10="",0,IF(ISNUMBER(SEARCH(Classifiers!$F$10,E74)),1,0))+IF(Classifiers!$G$10="",0,IF(ISNUMBER(SEARCH(Classifiers!$G$10,E74)),1,0)))&gt;0,1,0))</f>
        <v/>
      </c>
      <c r="P74" s="12">
        <f>IF(H74&lt;&gt;1,0,IF((IF(Classifiers!$B$11="",0,IF(ISNUMBER(SEARCH(Classifiers!$B$11,E74)),1,0))+IF(Classifiers!$C$11="",0,IF(ISNUMBER(SEARCH(Classifiers!$C$11,E74)),1,0))+IF(Classifiers!$D$11="",0,IF(ISNUMBER(SEARCH(Classifiers!$D$11,E74)),1,0))+IF(Classifiers!$E$11="",0,IF(ISNUMBER(SEARCH(Classifiers!$E$11,E74)),1,0))+IF(Classifiers!$F$11="",0,IF(ISNUMBER(SEARCH(Classifiers!$F$11,E74)),1,0))+IF(Classifiers!$G$11="",0,IF(ISNUMBER(SEARCH(Classifiers!$G$11,E74)),1,0)))&gt;0,1,0))</f>
        <v/>
      </c>
      <c r="Q74" s="12">
        <f>IF(H74&lt;&gt;1,0,IF((IF(Classifiers!$B$12="",0,IF(ISNUMBER(SEARCH(Classifiers!$B$12,E74)),1,0))+IF(Classifiers!$C$12="",0,IF(ISNUMBER(SEARCH(Classifiers!$C$12,E74)),1,0))+IF(Classifiers!$D$12="",0,IF(ISNUMBER(SEARCH(Classifiers!$D$12,E74)),1,0))+IF(Classifiers!$E$12="",0,IF(ISNUMBER(SEARCH(Classifiers!$E$12,E74)),1,0))+IF(Classifiers!$F$12="",0,IF(ISNUMBER(SEARCH(Classifiers!$F$12,E74)),1,0))+IF(Classifiers!$G$12="",0,IF(ISNUMBER(SEARCH(Classifiers!$G$12,E74)),1,0)))&gt;0,1,0))</f>
        <v/>
      </c>
      <c r="R74" s="12">
        <f>IF(H74&lt;&gt;1,0,IF((IF(Classifiers!$B$13="",0,IF(ISNUMBER(SEARCH(Classifiers!$B$13,E74)),1,0))+IF(Classifiers!$C$13="",0,IF(ISNUMBER(SEARCH(Classifiers!$C$13,E74)),1,0))+IF(Classifiers!$D$13="",0,IF(ISNUMBER(SEARCH(Classifiers!$D$13,E74)),1,0))+IF(Classifiers!$E$13="",0,IF(ISNUMBER(SEARCH(Classifiers!$E$13,E74)),1,0))+IF(Classifiers!$F$13="",0,IF(ISNUMBER(SEARCH(Classifiers!$F$13,E74)),1,0))+IF(Classifiers!$G$13="",0,IF(ISNUMBER(SEARCH(Classifiers!$G$13,E74)),1,0)))&gt;0,1,0))</f>
        <v/>
      </c>
      <c r="S74" s="12">
        <f>IF(H74&lt;&gt;1,0,IF((IF(Classifiers!$B$14="",0,IF(ISNUMBER(SEARCH(Classifiers!$B$14,E74)),1,0))+IF(Classifiers!$C$14="",0,IF(ISNUMBER(SEARCH(Classifiers!$C$14,E74)),1,0))+IF(Classifiers!$D$14="",0,IF(ISNUMBER(SEARCH(Classifiers!$D$14,E74)),1,0))+IF(Classifiers!$E$14="",0,IF(ISNUMBER(SEARCH(Classifiers!$E$14,E74)),1,0))+IF(Classifiers!$F$14="",0,IF(ISNUMBER(SEARCH(Classifiers!$F$14,E74)),1,0))+IF(Classifiers!$G$14="",0,IF(ISNUMBER(SEARCH(Classifiers!$G$14,E74)),1,0)))&gt;0,1,0))</f>
        <v/>
      </c>
      <c r="T74" s="12">
        <f>IF(H74&lt;&gt;1,0,IF((IF(Classifiers!$B$15="",0,IF(ISNUMBER(SEARCH(Classifiers!$B$15,E74)),1,0))+IF(Classifiers!$C$15="",0,IF(ISNUMBER(SEARCH(Classifiers!$C$15,E74)),1,0))+IF(Classifiers!$D$15="",0,IF(ISNUMBER(SEARCH(Classifiers!$D$15,E74)),1,0))+IF(Classifiers!$E$15="",0,IF(ISNUMBER(SEARCH(Classifiers!$E$15,E74)),1,0))+IF(Classifiers!$F$15="",0,IF(ISNUMBER(SEARCH(Classifiers!$F$15,E74)),1,0))+IF(Classifiers!$G$15="",0,IF(ISNUMBER(SEARCH(Classifiers!$G$15,E74)),1,0)))&gt;0,1,0))</f>
        <v/>
      </c>
      <c r="U74" s="12">
        <f>IF(H74&lt;&gt;1,0,IF((IF(Classifiers!$B$16="",0,IF(ISNUMBER(SEARCH(Classifiers!$B$16,E74)),1,0))+IF(Classifiers!$C$16="",0,IF(ISNUMBER(SEARCH(Classifiers!$C$16,E74)),1,0))+IF(Classifiers!$D$16="",0,IF(ISNUMBER(SEARCH(Classifiers!$D$16,E74)),1,0))+IF(Classifiers!$E$16="",0,IF(ISNUMBER(SEARCH(Classifiers!$E$16,E74)),1,0))+IF(Classifiers!$F$16="",0,IF(ISNUMBER(SEARCH(Classifiers!$F$16,E74)),1,0))+IF(Classifiers!$G$16="",0,IF(ISNUMBER(SEARCH(Classifiers!$G$16,E74)),1,0)))&gt;0,1,0))</f>
        <v/>
      </c>
      <c r="V74" s="12">
        <f>IF(H74&lt;&gt;1,0,IF((IF(Classifiers!$B$17="",0,IF(ISNUMBER(SEARCH(Classifiers!$B$17,E74)),1,0))+IF(Classifiers!$C$17="",0,IF(ISNUMBER(SEARCH(Classifiers!$C$17,E74)),1,0))+IF(Classifiers!$D$17="",0,IF(ISNUMBER(SEARCH(Classifiers!$D$17,E74)),1,0))+IF(Classifiers!$E$17="",0,IF(ISNUMBER(SEARCH(Classifiers!$E$17,E74)),1,0))+IF(Classifiers!$F$17="",0,IF(ISNUMBER(SEARCH(Classifiers!$F$17,E74)),1,0))+IF(Classifiers!$G$17="",0,IF(ISNUMBER(SEARCH(Classifiers!$G$17,E74)),1,0)))&gt;0,1,0))</f>
        <v/>
      </c>
      <c r="W74" s="12">
        <f>IF(H74&lt;&gt;1,0,IF((IF(Classifiers!$B$18="",0,IF(ISNUMBER(SEARCH(Classifiers!$B$18,E74)),1,0))+IF(Classifiers!$C$18="",0,IF(ISNUMBER(SEARCH(Classifiers!$C$18,E74)),1,0))+IF(Classifiers!$D$18="",0,IF(ISNUMBER(SEARCH(Classifiers!$D$18,E74)),1,0))+IF(Classifiers!$E$18="",0,IF(ISNUMBER(SEARCH(Classifiers!$E$18,E74)),1,0))+IF(Classifiers!$F$18="",0,IF(ISNUMBER(SEARCH(Classifiers!$F$18,E74)),1,0))+IF(Classifiers!$G$18="",0,IF(ISNUMBER(SEARCH(Classifiers!$G$18,E74)),1,0)))&gt;0,1,0))</f>
        <v/>
      </c>
    </row>
    <row r="75">
      <c r="A75" s="8" t="n"/>
      <c r="B75" s="11" t="n"/>
      <c r="C75" s="6">
        <f>IF(A75="","",TRIM(RIGHT(SUBSTITUTE(A75,"/",REPT(" ",250)),250)))</f>
        <v/>
      </c>
      <c r="D75" s="6">
        <f>IF(C75="","",IF(ISNUMBER(SEARCH(".",C75)),LOWER("."&amp;TRIM(RIGHT(SUBSTITUTE(C75,".",REPT(" ",250)),250))),""))</f>
        <v/>
      </c>
      <c r="E75" s="6">
        <f>IF(C75="","",TRIM(SUBSTITUTE(SUBSTITUTE(SUBSTITUTE(SUBSTITUTE(SUBSTITUTE(SUBSTITUTE(SUBSTITUTE(SUBSTITUTE(SUBSTITUTE(SUBSTITUTE(SUBSTITUTE(SUBSTITUTE(SUBSTITUTE(SUBSTITUTE(SUBSTITUTE(SUBSTITUTE(SUBSTITUTE(SUBSTITUTE(SUBSTITUTE(SUBSTITUTE(LOWER(LEFT(C75,LEN(C75)-LEN(D75))),"_"," "),"-"," "),"."," "),","," "),"("," "),")"," "),"["," "),"]"," "),"&amp;"," "),"+"," "),"@"," "),"#"," "),"!"," "),"'"," "),"/"," "),":"," "),";"," "),"="," "),"~"," "),"%"," ")))</f>
        <v/>
      </c>
      <c r="F75" s="6">
        <f>IF(C75="","",IF(COUNTIF(Classifiers!$A$23:$A$40,D75)&gt;0,1,0))</f>
        <v/>
      </c>
      <c r="G75" s="6">
        <f>IF(C75="","",IF(COUNTIF(Classifiers!$C$23:$C$30,D75)&gt;0,IF((IF(ISNUMBER(SEARCH(Classifiers!$E$23,E75)),1,0)+IF(ISNUMBER(SEARCH(Classifiers!$E$24,E75)),1,0)+IF(ISNUMBER(SEARCH(Classifiers!$E$25,E75)),1,0)+IF(ISNUMBER(SEARCH(Classifiers!$E$26,E75)),1,0)+IF(ISNUMBER(SEARCH(Classifiers!$E$27,E75)),1,0)+IF(ISNUMBER(SEARCH(Classifiers!$E$28,E75)),1,0)+IF(ISNUMBER(SEARCH(Classifiers!$E$29,E75)),1,0)+IF(ISNUMBER(SEARCH(Classifiers!$E$30,E75)),1,0))&gt;0,1,0),0))</f>
        <v/>
      </c>
      <c r="H75" s="6">
        <f>IF(C75="","",IF(OR(LEFT(C75,1)=".",AND(F75=0,G75=0)),0,1))</f>
        <v/>
      </c>
      <c r="I75" s="6">
        <f>IF(H75&lt;&gt;1,"",IF(SUM(J75:W75)=0,"unclassified",INDEX(Classifiers!$A$5:$A$18,MATCH(1,J75:W75,0),1)))</f>
        <v/>
      </c>
      <c r="J75" s="12">
        <f>IF(H75&lt;&gt;1,0,IF((IF(Classifiers!$B$5="",0,IF(ISNUMBER(SEARCH(Classifiers!$B$5,E75)),1,0))+IF(Classifiers!$C$5="",0,IF(ISNUMBER(SEARCH(Classifiers!$C$5,E75)),1,0))+IF(Classifiers!$D$5="",0,IF(ISNUMBER(SEARCH(Classifiers!$D$5,E75)),1,0))+IF(Classifiers!$E$5="",0,IF(ISNUMBER(SEARCH(Classifiers!$E$5,E75)),1,0))+IF(Classifiers!$F$5="",0,IF(ISNUMBER(SEARCH(Classifiers!$F$5,E75)),1,0))+IF(Classifiers!$G$5="",0,IF(ISNUMBER(SEARCH(Classifiers!$G$5,E75)),1,0)))&gt;0,1,0))</f>
        <v/>
      </c>
      <c r="K75" s="12">
        <f>IF(H75&lt;&gt;1,0,IF((IF(Classifiers!$B$6="",0,IF(ISNUMBER(SEARCH(Classifiers!$B$6,E75)),1,0))+IF(Classifiers!$C$6="",0,IF(ISNUMBER(SEARCH(Classifiers!$C$6,E75)),1,0))+IF(Classifiers!$D$6="",0,IF(ISNUMBER(SEARCH(Classifiers!$D$6,E75)),1,0))+IF(Classifiers!$E$6="",0,IF(ISNUMBER(SEARCH(Classifiers!$E$6,E75)),1,0))+IF(Classifiers!$F$6="",0,IF(ISNUMBER(SEARCH(Classifiers!$F$6,E75)),1,0))+IF(Classifiers!$G$6="",0,IF(ISNUMBER(SEARCH(Classifiers!$G$6,E75)),1,0)))&gt;0,1,0))</f>
        <v/>
      </c>
      <c r="L75" s="12">
        <f>IF(H75&lt;&gt;1,0,IF((IF(Classifiers!$B$7="",0,IF(ISNUMBER(SEARCH(Classifiers!$B$7,E75)),1,0))+IF(Classifiers!$C$7="",0,IF(ISNUMBER(SEARCH(Classifiers!$C$7,E75)),1,0))+IF(Classifiers!$D$7="",0,IF(ISNUMBER(SEARCH(Classifiers!$D$7,E75)),1,0))+IF(Classifiers!$E$7="",0,IF(ISNUMBER(SEARCH(Classifiers!$E$7,E75)),1,0))+IF(Classifiers!$F$7="",0,IF(ISNUMBER(SEARCH(Classifiers!$F$7,E75)),1,0))+IF(Classifiers!$G$7="",0,IF(ISNUMBER(SEARCH(Classifiers!$G$7,E75)),1,0)))&gt;0,1,0))</f>
        <v/>
      </c>
      <c r="M75" s="12">
        <f>IF(H75&lt;&gt;1,0,IF((IF(Classifiers!$B$8="",0,IF(ISNUMBER(SEARCH(Classifiers!$B$8,E75)),1,0))+IF(Classifiers!$C$8="",0,IF(ISNUMBER(SEARCH(Classifiers!$C$8,E75)),1,0))+IF(Classifiers!$D$8="",0,IF(ISNUMBER(SEARCH(Classifiers!$D$8,E75)),1,0))+IF(Classifiers!$E$8="",0,IF(ISNUMBER(SEARCH(Classifiers!$E$8,E75)),1,0))+IF(Classifiers!$F$8="",0,IF(ISNUMBER(SEARCH(Classifiers!$F$8,E75)),1,0))+IF(Classifiers!$G$8="",0,IF(ISNUMBER(SEARCH(Classifiers!$G$8,E75)),1,0)))&gt;0,1,0))</f>
        <v/>
      </c>
      <c r="N75" s="12">
        <f>IF(H75&lt;&gt;1,0,IF((IF(Classifiers!$B$9="",0,IF(ISNUMBER(SEARCH(Classifiers!$B$9,E75)),1,0))+IF(Classifiers!$C$9="",0,IF(ISNUMBER(SEARCH(Classifiers!$C$9,E75)),1,0))+IF(Classifiers!$D$9="",0,IF(ISNUMBER(SEARCH(Classifiers!$D$9,E75)),1,0))+IF(Classifiers!$E$9="",0,IF(ISNUMBER(SEARCH(Classifiers!$E$9,E75)),1,0))+IF(Classifiers!$F$9="",0,IF(ISNUMBER(SEARCH(Classifiers!$F$9,E75)),1,0))+IF(Classifiers!$G$9="",0,IF(ISNUMBER(SEARCH(Classifiers!$G$9,E75)),1,0)))&gt;0,1,0))</f>
        <v/>
      </c>
      <c r="O75" s="12">
        <f>IF(H75&lt;&gt;1,0,IF((IF(Classifiers!$B$10="",0,IF(ISNUMBER(SEARCH(Classifiers!$B$10,E75)),1,0))+IF(Classifiers!$C$10="",0,IF(ISNUMBER(SEARCH(Classifiers!$C$10,E75)),1,0))+IF(Classifiers!$D$10="",0,IF(ISNUMBER(SEARCH(Classifiers!$D$10,E75)),1,0))+IF(Classifiers!$E$10="",0,IF(ISNUMBER(SEARCH(Classifiers!$E$10,E75)),1,0))+IF(Classifiers!$F$10="",0,IF(ISNUMBER(SEARCH(Classifiers!$F$10,E75)),1,0))+IF(Classifiers!$G$10="",0,IF(ISNUMBER(SEARCH(Classifiers!$G$10,E75)),1,0)))&gt;0,1,0))</f>
        <v/>
      </c>
      <c r="P75" s="12">
        <f>IF(H75&lt;&gt;1,0,IF((IF(Classifiers!$B$11="",0,IF(ISNUMBER(SEARCH(Classifiers!$B$11,E75)),1,0))+IF(Classifiers!$C$11="",0,IF(ISNUMBER(SEARCH(Classifiers!$C$11,E75)),1,0))+IF(Classifiers!$D$11="",0,IF(ISNUMBER(SEARCH(Classifiers!$D$11,E75)),1,0))+IF(Classifiers!$E$11="",0,IF(ISNUMBER(SEARCH(Classifiers!$E$11,E75)),1,0))+IF(Classifiers!$F$11="",0,IF(ISNUMBER(SEARCH(Classifiers!$F$11,E75)),1,0))+IF(Classifiers!$G$11="",0,IF(ISNUMBER(SEARCH(Classifiers!$G$11,E75)),1,0)))&gt;0,1,0))</f>
        <v/>
      </c>
      <c r="Q75" s="12">
        <f>IF(H75&lt;&gt;1,0,IF((IF(Classifiers!$B$12="",0,IF(ISNUMBER(SEARCH(Classifiers!$B$12,E75)),1,0))+IF(Classifiers!$C$12="",0,IF(ISNUMBER(SEARCH(Classifiers!$C$12,E75)),1,0))+IF(Classifiers!$D$12="",0,IF(ISNUMBER(SEARCH(Classifiers!$D$12,E75)),1,0))+IF(Classifiers!$E$12="",0,IF(ISNUMBER(SEARCH(Classifiers!$E$12,E75)),1,0))+IF(Classifiers!$F$12="",0,IF(ISNUMBER(SEARCH(Classifiers!$F$12,E75)),1,0))+IF(Classifiers!$G$12="",0,IF(ISNUMBER(SEARCH(Classifiers!$G$12,E75)),1,0)))&gt;0,1,0))</f>
        <v/>
      </c>
      <c r="R75" s="12">
        <f>IF(H75&lt;&gt;1,0,IF((IF(Classifiers!$B$13="",0,IF(ISNUMBER(SEARCH(Classifiers!$B$13,E75)),1,0))+IF(Classifiers!$C$13="",0,IF(ISNUMBER(SEARCH(Classifiers!$C$13,E75)),1,0))+IF(Classifiers!$D$13="",0,IF(ISNUMBER(SEARCH(Classifiers!$D$13,E75)),1,0))+IF(Classifiers!$E$13="",0,IF(ISNUMBER(SEARCH(Classifiers!$E$13,E75)),1,0))+IF(Classifiers!$F$13="",0,IF(ISNUMBER(SEARCH(Classifiers!$F$13,E75)),1,0))+IF(Classifiers!$G$13="",0,IF(ISNUMBER(SEARCH(Classifiers!$G$13,E75)),1,0)))&gt;0,1,0))</f>
        <v/>
      </c>
      <c r="S75" s="12">
        <f>IF(H75&lt;&gt;1,0,IF((IF(Classifiers!$B$14="",0,IF(ISNUMBER(SEARCH(Classifiers!$B$14,E75)),1,0))+IF(Classifiers!$C$14="",0,IF(ISNUMBER(SEARCH(Classifiers!$C$14,E75)),1,0))+IF(Classifiers!$D$14="",0,IF(ISNUMBER(SEARCH(Classifiers!$D$14,E75)),1,0))+IF(Classifiers!$E$14="",0,IF(ISNUMBER(SEARCH(Classifiers!$E$14,E75)),1,0))+IF(Classifiers!$F$14="",0,IF(ISNUMBER(SEARCH(Classifiers!$F$14,E75)),1,0))+IF(Classifiers!$G$14="",0,IF(ISNUMBER(SEARCH(Classifiers!$G$14,E75)),1,0)))&gt;0,1,0))</f>
        <v/>
      </c>
      <c r="T75" s="12">
        <f>IF(H75&lt;&gt;1,0,IF((IF(Classifiers!$B$15="",0,IF(ISNUMBER(SEARCH(Classifiers!$B$15,E75)),1,0))+IF(Classifiers!$C$15="",0,IF(ISNUMBER(SEARCH(Classifiers!$C$15,E75)),1,0))+IF(Classifiers!$D$15="",0,IF(ISNUMBER(SEARCH(Classifiers!$D$15,E75)),1,0))+IF(Classifiers!$E$15="",0,IF(ISNUMBER(SEARCH(Classifiers!$E$15,E75)),1,0))+IF(Classifiers!$F$15="",0,IF(ISNUMBER(SEARCH(Classifiers!$F$15,E75)),1,0))+IF(Classifiers!$G$15="",0,IF(ISNUMBER(SEARCH(Classifiers!$G$15,E75)),1,0)))&gt;0,1,0))</f>
        <v/>
      </c>
      <c r="U75" s="12">
        <f>IF(H75&lt;&gt;1,0,IF((IF(Classifiers!$B$16="",0,IF(ISNUMBER(SEARCH(Classifiers!$B$16,E75)),1,0))+IF(Classifiers!$C$16="",0,IF(ISNUMBER(SEARCH(Classifiers!$C$16,E75)),1,0))+IF(Classifiers!$D$16="",0,IF(ISNUMBER(SEARCH(Classifiers!$D$16,E75)),1,0))+IF(Classifiers!$E$16="",0,IF(ISNUMBER(SEARCH(Classifiers!$E$16,E75)),1,0))+IF(Classifiers!$F$16="",0,IF(ISNUMBER(SEARCH(Classifiers!$F$16,E75)),1,0))+IF(Classifiers!$G$16="",0,IF(ISNUMBER(SEARCH(Classifiers!$G$16,E75)),1,0)))&gt;0,1,0))</f>
        <v/>
      </c>
      <c r="V75" s="12">
        <f>IF(H75&lt;&gt;1,0,IF((IF(Classifiers!$B$17="",0,IF(ISNUMBER(SEARCH(Classifiers!$B$17,E75)),1,0))+IF(Classifiers!$C$17="",0,IF(ISNUMBER(SEARCH(Classifiers!$C$17,E75)),1,0))+IF(Classifiers!$D$17="",0,IF(ISNUMBER(SEARCH(Classifiers!$D$17,E75)),1,0))+IF(Classifiers!$E$17="",0,IF(ISNUMBER(SEARCH(Classifiers!$E$17,E75)),1,0))+IF(Classifiers!$F$17="",0,IF(ISNUMBER(SEARCH(Classifiers!$F$17,E75)),1,0))+IF(Classifiers!$G$17="",0,IF(ISNUMBER(SEARCH(Classifiers!$G$17,E75)),1,0)))&gt;0,1,0))</f>
        <v/>
      </c>
      <c r="W75" s="12">
        <f>IF(H75&lt;&gt;1,0,IF((IF(Classifiers!$B$18="",0,IF(ISNUMBER(SEARCH(Classifiers!$B$18,E75)),1,0))+IF(Classifiers!$C$18="",0,IF(ISNUMBER(SEARCH(Classifiers!$C$18,E75)),1,0))+IF(Classifiers!$D$18="",0,IF(ISNUMBER(SEARCH(Classifiers!$D$18,E75)),1,0))+IF(Classifiers!$E$18="",0,IF(ISNUMBER(SEARCH(Classifiers!$E$18,E75)),1,0))+IF(Classifiers!$F$18="",0,IF(ISNUMBER(SEARCH(Classifiers!$F$18,E75)),1,0))+IF(Classifiers!$G$18="",0,IF(ISNUMBER(SEARCH(Classifiers!$G$18,E75)),1,0)))&gt;0,1,0))</f>
        <v/>
      </c>
    </row>
    <row r="76">
      <c r="A76" s="8" t="n"/>
      <c r="B76" s="11" t="n"/>
      <c r="C76" s="6">
        <f>IF(A76="","",TRIM(RIGHT(SUBSTITUTE(A76,"/",REPT(" ",250)),250)))</f>
        <v/>
      </c>
      <c r="D76" s="6">
        <f>IF(C76="","",IF(ISNUMBER(SEARCH(".",C76)),LOWER("."&amp;TRIM(RIGHT(SUBSTITUTE(C76,".",REPT(" ",250)),250))),""))</f>
        <v/>
      </c>
      <c r="E76" s="6">
        <f>IF(C76="","",TRIM(SUBSTITUTE(SUBSTITUTE(SUBSTITUTE(SUBSTITUTE(SUBSTITUTE(SUBSTITUTE(SUBSTITUTE(SUBSTITUTE(SUBSTITUTE(SUBSTITUTE(SUBSTITUTE(SUBSTITUTE(SUBSTITUTE(SUBSTITUTE(SUBSTITUTE(SUBSTITUTE(SUBSTITUTE(SUBSTITUTE(SUBSTITUTE(SUBSTITUTE(LOWER(LEFT(C76,LEN(C76)-LEN(D76))),"_"," "),"-"," "),"."," "),","," "),"("," "),")"," "),"["," "),"]"," "),"&amp;"," "),"+"," "),"@"," "),"#"," "),"!"," "),"'"," "),"/"," "),":"," "),";"," "),"="," "),"~"," "),"%"," ")))</f>
        <v/>
      </c>
      <c r="F76" s="6">
        <f>IF(C76="","",IF(COUNTIF(Classifiers!$A$23:$A$40,D76)&gt;0,1,0))</f>
        <v/>
      </c>
      <c r="G76" s="6">
        <f>IF(C76="","",IF(COUNTIF(Classifiers!$C$23:$C$30,D76)&gt;0,IF((IF(ISNUMBER(SEARCH(Classifiers!$E$23,E76)),1,0)+IF(ISNUMBER(SEARCH(Classifiers!$E$24,E76)),1,0)+IF(ISNUMBER(SEARCH(Classifiers!$E$25,E76)),1,0)+IF(ISNUMBER(SEARCH(Classifiers!$E$26,E76)),1,0)+IF(ISNUMBER(SEARCH(Classifiers!$E$27,E76)),1,0)+IF(ISNUMBER(SEARCH(Classifiers!$E$28,E76)),1,0)+IF(ISNUMBER(SEARCH(Classifiers!$E$29,E76)),1,0)+IF(ISNUMBER(SEARCH(Classifiers!$E$30,E76)),1,0))&gt;0,1,0),0))</f>
        <v/>
      </c>
      <c r="H76" s="6">
        <f>IF(C76="","",IF(OR(LEFT(C76,1)=".",AND(F76=0,G76=0)),0,1))</f>
        <v/>
      </c>
      <c r="I76" s="6">
        <f>IF(H76&lt;&gt;1,"",IF(SUM(J76:W76)=0,"unclassified",INDEX(Classifiers!$A$5:$A$18,MATCH(1,J76:W76,0),1)))</f>
        <v/>
      </c>
      <c r="J76" s="12">
        <f>IF(H76&lt;&gt;1,0,IF((IF(Classifiers!$B$5="",0,IF(ISNUMBER(SEARCH(Classifiers!$B$5,E76)),1,0))+IF(Classifiers!$C$5="",0,IF(ISNUMBER(SEARCH(Classifiers!$C$5,E76)),1,0))+IF(Classifiers!$D$5="",0,IF(ISNUMBER(SEARCH(Classifiers!$D$5,E76)),1,0))+IF(Classifiers!$E$5="",0,IF(ISNUMBER(SEARCH(Classifiers!$E$5,E76)),1,0))+IF(Classifiers!$F$5="",0,IF(ISNUMBER(SEARCH(Classifiers!$F$5,E76)),1,0))+IF(Classifiers!$G$5="",0,IF(ISNUMBER(SEARCH(Classifiers!$G$5,E76)),1,0)))&gt;0,1,0))</f>
        <v/>
      </c>
      <c r="K76" s="12">
        <f>IF(H76&lt;&gt;1,0,IF((IF(Classifiers!$B$6="",0,IF(ISNUMBER(SEARCH(Classifiers!$B$6,E76)),1,0))+IF(Classifiers!$C$6="",0,IF(ISNUMBER(SEARCH(Classifiers!$C$6,E76)),1,0))+IF(Classifiers!$D$6="",0,IF(ISNUMBER(SEARCH(Classifiers!$D$6,E76)),1,0))+IF(Classifiers!$E$6="",0,IF(ISNUMBER(SEARCH(Classifiers!$E$6,E76)),1,0))+IF(Classifiers!$F$6="",0,IF(ISNUMBER(SEARCH(Classifiers!$F$6,E76)),1,0))+IF(Classifiers!$G$6="",0,IF(ISNUMBER(SEARCH(Classifiers!$G$6,E76)),1,0)))&gt;0,1,0))</f>
        <v/>
      </c>
      <c r="L76" s="12">
        <f>IF(H76&lt;&gt;1,0,IF((IF(Classifiers!$B$7="",0,IF(ISNUMBER(SEARCH(Classifiers!$B$7,E76)),1,0))+IF(Classifiers!$C$7="",0,IF(ISNUMBER(SEARCH(Classifiers!$C$7,E76)),1,0))+IF(Classifiers!$D$7="",0,IF(ISNUMBER(SEARCH(Classifiers!$D$7,E76)),1,0))+IF(Classifiers!$E$7="",0,IF(ISNUMBER(SEARCH(Classifiers!$E$7,E76)),1,0))+IF(Classifiers!$F$7="",0,IF(ISNUMBER(SEARCH(Classifiers!$F$7,E76)),1,0))+IF(Classifiers!$G$7="",0,IF(ISNUMBER(SEARCH(Classifiers!$G$7,E76)),1,0)))&gt;0,1,0))</f>
        <v/>
      </c>
      <c r="M76" s="12">
        <f>IF(H76&lt;&gt;1,0,IF((IF(Classifiers!$B$8="",0,IF(ISNUMBER(SEARCH(Classifiers!$B$8,E76)),1,0))+IF(Classifiers!$C$8="",0,IF(ISNUMBER(SEARCH(Classifiers!$C$8,E76)),1,0))+IF(Classifiers!$D$8="",0,IF(ISNUMBER(SEARCH(Classifiers!$D$8,E76)),1,0))+IF(Classifiers!$E$8="",0,IF(ISNUMBER(SEARCH(Classifiers!$E$8,E76)),1,0))+IF(Classifiers!$F$8="",0,IF(ISNUMBER(SEARCH(Classifiers!$F$8,E76)),1,0))+IF(Classifiers!$G$8="",0,IF(ISNUMBER(SEARCH(Classifiers!$G$8,E76)),1,0)))&gt;0,1,0))</f>
        <v/>
      </c>
      <c r="N76" s="12">
        <f>IF(H76&lt;&gt;1,0,IF((IF(Classifiers!$B$9="",0,IF(ISNUMBER(SEARCH(Classifiers!$B$9,E76)),1,0))+IF(Classifiers!$C$9="",0,IF(ISNUMBER(SEARCH(Classifiers!$C$9,E76)),1,0))+IF(Classifiers!$D$9="",0,IF(ISNUMBER(SEARCH(Classifiers!$D$9,E76)),1,0))+IF(Classifiers!$E$9="",0,IF(ISNUMBER(SEARCH(Classifiers!$E$9,E76)),1,0))+IF(Classifiers!$F$9="",0,IF(ISNUMBER(SEARCH(Classifiers!$F$9,E76)),1,0))+IF(Classifiers!$G$9="",0,IF(ISNUMBER(SEARCH(Classifiers!$G$9,E76)),1,0)))&gt;0,1,0))</f>
        <v/>
      </c>
      <c r="O76" s="12">
        <f>IF(H76&lt;&gt;1,0,IF((IF(Classifiers!$B$10="",0,IF(ISNUMBER(SEARCH(Classifiers!$B$10,E76)),1,0))+IF(Classifiers!$C$10="",0,IF(ISNUMBER(SEARCH(Classifiers!$C$10,E76)),1,0))+IF(Classifiers!$D$10="",0,IF(ISNUMBER(SEARCH(Classifiers!$D$10,E76)),1,0))+IF(Classifiers!$E$10="",0,IF(ISNUMBER(SEARCH(Classifiers!$E$10,E76)),1,0))+IF(Classifiers!$F$10="",0,IF(ISNUMBER(SEARCH(Classifiers!$F$10,E76)),1,0))+IF(Classifiers!$G$10="",0,IF(ISNUMBER(SEARCH(Classifiers!$G$10,E76)),1,0)))&gt;0,1,0))</f>
        <v/>
      </c>
      <c r="P76" s="12">
        <f>IF(H76&lt;&gt;1,0,IF((IF(Classifiers!$B$11="",0,IF(ISNUMBER(SEARCH(Classifiers!$B$11,E76)),1,0))+IF(Classifiers!$C$11="",0,IF(ISNUMBER(SEARCH(Classifiers!$C$11,E76)),1,0))+IF(Classifiers!$D$11="",0,IF(ISNUMBER(SEARCH(Classifiers!$D$11,E76)),1,0))+IF(Classifiers!$E$11="",0,IF(ISNUMBER(SEARCH(Classifiers!$E$11,E76)),1,0))+IF(Classifiers!$F$11="",0,IF(ISNUMBER(SEARCH(Classifiers!$F$11,E76)),1,0))+IF(Classifiers!$G$11="",0,IF(ISNUMBER(SEARCH(Classifiers!$G$11,E76)),1,0)))&gt;0,1,0))</f>
        <v/>
      </c>
      <c r="Q76" s="12">
        <f>IF(H76&lt;&gt;1,0,IF((IF(Classifiers!$B$12="",0,IF(ISNUMBER(SEARCH(Classifiers!$B$12,E76)),1,0))+IF(Classifiers!$C$12="",0,IF(ISNUMBER(SEARCH(Classifiers!$C$12,E76)),1,0))+IF(Classifiers!$D$12="",0,IF(ISNUMBER(SEARCH(Classifiers!$D$12,E76)),1,0))+IF(Classifiers!$E$12="",0,IF(ISNUMBER(SEARCH(Classifiers!$E$12,E76)),1,0))+IF(Classifiers!$F$12="",0,IF(ISNUMBER(SEARCH(Classifiers!$F$12,E76)),1,0))+IF(Classifiers!$G$12="",0,IF(ISNUMBER(SEARCH(Classifiers!$G$12,E76)),1,0)))&gt;0,1,0))</f>
        <v/>
      </c>
      <c r="R76" s="12">
        <f>IF(H76&lt;&gt;1,0,IF((IF(Classifiers!$B$13="",0,IF(ISNUMBER(SEARCH(Classifiers!$B$13,E76)),1,0))+IF(Classifiers!$C$13="",0,IF(ISNUMBER(SEARCH(Classifiers!$C$13,E76)),1,0))+IF(Classifiers!$D$13="",0,IF(ISNUMBER(SEARCH(Classifiers!$D$13,E76)),1,0))+IF(Classifiers!$E$13="",0,IF(ISNUMBER(SEARCH(Classifiers!$E$13,E76)),1,0))+IF(Classifiers!$F$13="",0,IF(ISNUMBER(SEARCH(Classifiers!$F$13,E76)),1,0))+IF(Classifiers!$G$13="",0,IF(ISNUMBER(SEARCH(Classifiers!$G$13,E76)),1,0)))&gt;0,1,0))</f>
        <v/>
      </c>
      <c r="S76" s="12">
        <f>IF(H76&lt;&gt;1,0,IF((IF(Classifiers!$B$14="",0,IF(ISNUMBER(SEARCH(Classifiers!$B$14,E76)),1,0))+IF(Classifiers!$C$14="",0,IF(ISNUMBER(SEARCH(Classifiers!$C$14,E76)),1,0))+IF(Classifiers!$D$14="",0,IF(ISNUMBER(SEARCH(Classifiers!$D$14,E76)),1,0))+IF(Classifiers!$E$14="",0,IF(ISNUMBER(SEARCH(Classifiers!$E$14,E76)),1,0))+IF(Classifiers!$F$14="",0,IF(ISNUMBER(SEARCH(Classifiers!$F$14,E76)),1,0))+IF(Classifiers!$G$14="",0,IF(ISNUMBER(SEARCH(Classifiers!$G$14,E76)),1,0)))&gt;0,1,0))</f>
        <v/>
      </c>
      <c r="T76" s="12">
        <f>IF(H76&lt;&gt;1,0,IF((IF(Classifiers!$B$15="",0,IF(ISNUMBER(SEARCH(Classifiers!$B$15,E76)),1,0))+IF(Classifiers!$C$15="",0,IF(ISNUMBER(SEARCH(Classifiers!$C$15,E76)),1,0))+IF(Classifiers!$D$15="",0,IF(ISNUMBER(SEARCH(Classifiers!$D$15,E76)),1,0))+IF(Classifiers!$E$15="",0,IF(ISNUMBER(SEARCH(Classifiers!$E$15,E76)),1,0))+IF(Classifiers!$F$15="",0,IF(ISNUMBER(SEARCH(Classifiers!$F$15,E76)),1,0))+IF(Classifiers!$G$15="",0,IF(ISNUMBER(SEARCH(Classifiers!$G$15,E76)),1,0)))&gt;0,1,0))</f>
        <v/>
      </c>
      <c r="U76" s="12">
        <f>IF(H76&lt;&gt;1,0,IF((IF(Classifiers!$B$16="",0,IF(ISNUMBER(SEARCH(Classifiers!$B$16,E76)),1,0))+IF(Classifiers!$C$16="",0,IF(ISNUMBER(SEARCH(Classifiers!$C$16,E76)),1,0))+IF(Classifiers!$D$16="",0,IF(ISNUMBER(SEARCH(Classifiers!$D$16,E76)),1,0))+IF(Classifiers!$E$16="",0,IF(ISNUMBER(SEARCH(Classifiers!$E$16,E76)),1,0))+IF(Classifiers!$F$16="",0,IF(ISNUMBER(SEARCH(Classifiers!$F$16,E76)),1,0))+IF(Classifiers!$G$16="",0,IF(ISNUMBER(SEARCH(Classifiers!$G$16,E76)),1,0)))&gt;0,1,0))</f>
        <v/>
      </c>
      <c r="V76" s="12">
        <f>IF(H76&lt;&gt;1,0,IF((IF(Classifiers!$B$17="",0,IF(ISNUMBER(SEARCH(Classifiers!$B$17,E76)),1,0))+IF(Classifiers!$C$17="",0,IF(ISNUMBER(SEARCH(Classifiers!$C$17,E76)),1,0))+IF(Classifiers!$D$17="",0,IF(ISNUMBER(SEARCH(Classifiers!$D$17,E76)),1,0))+IF(Classifiers!$E$17="",0,IF(ISNUMBER(SEARCH(Classifiers!$E$17,E76)),1,0))+IF(Classifiers!$F$17="",0,IF(ISNUMBER(SEARCH(Classifiers!$F$17,E76)),1,0))+IF(Classifiers!$G$17="",0,IF(ISNUMBER(SEARCH(Classifiers!$G$17,E76)),1,0)))&gt;0,1,0))</f>
        <v/>
      </c>
      <c r="W76" s="12">
        <f>IF(H76&lt;&gt;1,0,IF((IF(Classifiers!$B$18="",0,IF(ISNUMBER(SEARCH(Classifiers!$B$18,E76)),1,0))+IF(Classifiers!$C$18="",0,IF(ISNUMBER(SEARCH(Classifiers!$C$18,E76)),1,0))+IF(Classifiers!$D$18="",0,IF(ISNUMBER(SEARCH(Classifiers!$D$18,E76)),1,0))+IF(Classifiers!$E$18="",0,IF(ISNUMBER(SEARCH(Classifiers!$E$18,E76)),1,0))+IF(Classifiers!$F$18="",0,IF(ISNUMBER(SEARCH(Classifiers!$F$18,E76)),1,0))+IF(Classifiers!$G$18="",0,IF(ISNUMBER(SEARCH(Classifiers!$G$18,E76)),1,0)))&gt;0,1,0))</f>
        <v/>
      </c>
    </row>
    <row r="77">
      <c r="A77" s="8" t="n"/>
      <c r="B77" s="11" t="n"/>
      <c r="C77" s="6">
        <f>IF(A77="","",TRIM(RIGHT(SUBSTITUTE(A77,"/",REPT(" ",250)),250)))</f>
        <v/>
      </c>
      <c r="D77" s="6">
        <f>IF(C77="","",IF(ISNUMBER(SEARCH(".",C77)),LOWER("."&amp;TRIM(RIGHT(SUBSTITUTE(C77,".",REPT(" ",250)),250))),""))</f>
        <v/>
      </c>
      <c r="E77" s="6">
        <f>IF(C77="","",TRIM(SUBSTITUTE(SUBSTITUTE(SUBSTITUTE(SUBSTITUTE(SUBSTITUTE(SUBSTITUTE(SUBSTITUTE(SUBSTITUTE(SUBSTITUTE(SUBSTITUTE(SUBSTITUTE(SUBSTITUTE(SUBSTITUTE(SUBSTITUTE(SUBSTITUTE(SUBSTITUTE(SUBSTITUTE(SUBSTITUTE(SUBSTITUTE(SUBSTITUTE(LOWER(LEFT(C77,LEN(C77)-LEN(D77))),"_"," "),"-"," "),"."," "),","," "),"("," "),")"," "),"["," "),"]"," "),"&amp;"," "),"+"," "),"@"," "),"#"," "),"!"," "),"'"," "),"/"," "),":"," "),";"," "),"="," "),"~"," "),"%"," ")))</f>
        <v/>
      </c>
      <c r="F77" s="6">
        <f>IF(C77="","",IF(COUNTIF(Classifiers!$A$23:$A$40,D77)&gt;0,1,0))</f>
        <v/>
      </c>
      <c r="G77" s="6">
        <f>IF(C77="","",IF(COUNTIF(Classifiers!$C$23:$C$30,D77)&gt;0,IF((IF(ISNUMBER(SEARCH(Classifiers!$E$23,E77)),1,0)+IF(ISNUMBER(SEARCH(Classifiers!$E$24,E77)),1,0)+IF(ISNUMBER(SEARCH(Classifiers!$E$25,E77)),1,0)+IF(ISNUMBER(SEARCH(Classifiers!$E$26,E77)),1,0)+IF(ISNUMBER(SEARCH(Classifiers!$E$27,E77)),1,0)+IF(ISNUMBER(SEARCH(Classifiers!$E$28,E77)),1,0)+IF(ISNUMBER(SEARCH(Classifiers!$E$29,E77)),1,0)+IF(ISNUMBER(SEARCH(Classifiers!$E$30,E77)),1,0))&gt;0,1,0),0))</f>
        <v/>
      </c>
      <c r="H77" s="6">
        <f>IF(C77="","",IF(OR(LEFT(C77,1)=".",AND(F77=0,G77=0)),0,1))</f>
        <v/>
      </c>
      <c r="I77" s="6">
        <f>IF(H77&lt;&gt;1,"",IF(SUM(J77:W77)=0,"unclassified",INDEX(Classifiers!$A$5:$A$18,MATCH(1,J77:W77,0),1)))</f>
        <v/>
      </c>
      <c r="J77" s="12">
        <f>IF(H77&lt;&gt;1,0,IF((IF(Classifiers!$B$5="",0,IF(ISNUMBER(SEARCH(Classifiers!$B$5,E77)),1,0))+IF(Classifiers!$C$5="",0,IF(ISNUMBER(SEARCH(Classifiers!$C$5,E77)),1,0))+IF(Classifiers!$D$5="",0,IF(ISNUMBER(SEARCH(Classifiers!$D$5,E77)),1,0))+IF(Classifiers!$E$5="",0,IF(ISNUMBER(SEARCH(Classifiers!$E$5,E77)),1,0))+IF(Classifiers!$F$5="",0,IF(ISNUMBER(SEARCH(Classifiers!$F$5,E77)),1,0))+IF(Classifiers!$G$5="",0,IF(ISNUMBER(SEARCH(Classifiers!$G$5,E77)),1,0)))&gt;0,1,0))</f>
        <v/>
      </c>
      <c r="K77" s="12">
        <f>IF(H77&lt;&gt;1,0,IF((IF(Classifiers!$B$6="",0,IF(ISNUMBER(SEARCH(Classifiers!$B$6,E77)),1,0))+IF(Classifiers!$C$6="",0,IF(ISNUMBER(SEARCH(Classifiers!$C$6,E77)),1,0))+IF(Classifiers!$D$6="",0,IF(ISNUMBER(SEARCH(Classifiers!$D$6,E77)),1,0))+IF(Classifiers!$E$6="",0,IF(ISNUMBER(SEARCH(Classifiers!$E$6,E77)),1,0))+IF(Classifiers!$F$6="",0,IF(ISNUMBER(SEARCH(Classifiers!$F$6,E77)),1,0))+IF(Classifiers!$G$6="",0,IF(ISNUMBER(SEARCH(Classifiers!$G$6,E77)),1,0)))&gt;0,1,0))</f>
        <v/>
      </c>
      <c r="L77" s="12">
        <f>IF(H77&lt;&gt;1,0,IF((IF(Classifiers!$B$7="",0,IF(ISNUMBER(SEARCH(Classifiers!$B$7,E77)),1,0))+IF(Classifiers!$C$7="",0,IF(ISNUMBER(SEARCH(Classifiers!$C$7,E77)),1,0))+IF(Classifiers!$D$7="",0,IF(ISNUMBER(SEARCH(Classifiers!$D$7,E77)),1,0))+IF(Classifiers!$E$7="",0,IF(ISNUMBER(SEARCH(Classifiers!$E$7,E77)),1,0))+IF(Classifiers!$F$7="",0,IF(ISNUMBER(SEARCH(Classifiers!$F$7,E77)),1,0))+IF(Classifiers!$G$7="",0,IF(ISNUMBER(SEARCH(Classifiers!$G$7,E77)),1,0)))&gt;0,1,0))</f>
        <v/>
      </c>
      <c r="M77" s="12">
        <f>IF(H77&lt;&gt;1,0,IF((IF(Classifiers!$B$8="",0,IF(ISNUMBER(SEARCH(Classifiers!$B$8,E77)),1,0))+IF(Classifiers!$C$8="",0,IF(ISNUMBER(SEARCH(Classifiers!$C$8,E77)),1,0))+IF(Classifiers!$D$8="",0,IF(ISNUMBER(SEARCH(Classifiers!$D$8,E77)),1,0))+IF(Classifiers!$E$8="",0,IF(ISNUMBER(SEARCH(Classifiers!$E$8,E77)),1,0))+IF(Classifiers!$F$8="",0,IF(ISNUMBER(SEARCH(Classifiers!$F$8,E77)),1,0))+IF(Classifiers!$G$8="",0,IF(ISNUMBER(SEARCH(Classifiers!$G$8,E77)),1,0)))&gt;0,1,0))</f>
        <v/>
      </c>
      <c r="N77" s="12">
        <f>IF(H77&lt;&gt;1,0,IF((IF(Classifiers!$B$9="",0,IF(ISNUMBER(SEARCH(Classifiers!$B$9,E77)),1,0))+IF(Classifiers!$C$9="",0,IF(ISNUMBER(SEARCH(Classifiers!$C$9,E77)),1,0))+IF(Classifiers!$D$9="",0,IF(ISNUMBER(SEARCH(Classifiers!$D$9,E77)),1,0))+IF(Classifiers!$E$9="",0,IF(ISNUMBER(SEARCH(Classifiers!$E$9,E77)),1,0))+IF(Classifiers!$F$9="",0,IF(ISNUMBER(SEARCH(Classifiers!$F$9,E77)),1,0))+IF(Classifiers!$G$9="",0,IF(ISNUMBER(SEARCH(Classifiers!$G$9,E77)),1,0)))&gt;0,1,0))</f>
        <v/>
      </c>
      <c r="O77" s="12">
        <f>IF(H77&lt;&gt;1,0,IF((IF(Classifiers!$B$10="",0,IF(ISNUMBER(SEARCH(Classifiers!$B$10,E77)),1,0))+IF(Classifiers!$C$10="",0,IF(ISNUMBER(SEARCH(Classifiers!$C$10,E77)),1,0))+IF(Classifiers!$D$10="",0,IF(ISNUMBER(SEARCH(Classifiers!$D$10,E77)),1,0))+IF(Classifiers!$E$10="",0,IF(ISNUMBER(SEARCH(Classifiers!$E$10,E77)),1,0))+IF(Classifiers!$F$10="",0,IF(ISNUMBER(SEARCH(Classifiers!$F$10,E77)),1,0))+IF(Classifiers!$G$10="",0,IF(ISNUMBER(SEARCH(Classifiers!$G$10,E77)),1,0)))&gt;0,1,0))</f>
        <v/>
      </c>
      <c r="P77" s="12">
        <f>IF(H77&lt;&gt;1,0,IF((IF(Classifiers!$B$11="",0,IF(ISNUMBER(SEARCH(Classifiers!$B$11,E77)),1,0))+IF(Classifiers!$C$11="",0,IF(ISNUMBER(SEARCH(Classifiers!$C$11,E77)),1,0))+IF(Classifiers!$D$11="",0,IF(ISNUMBER(SEARCH(Classifiers!$D$11,E77)),1,0))+IF(Classifiers!$E$11="",0,IF(ISNUMBER(SEARCH(Classifiers!$E$11,E77)),1,0))+IF(Classifiers!$F$11="",0,IF(ISNUMBER(SEARCH(Classifiers!$F$11,E77)),1,0))+IF(Classifiers!$G$11="",0,IF(ISNUMBER(SEARCH(Classifiers!$G$11,E77)),1,0)))&gt;0,1,0))</f>
        <v/>
      </c>
      <c r="Q77" s="12">
        <f>IF(H77&lt;&gt;1,0,IF((IF(Classifiers!$B$12="",0,IF(ISNUMBER(SEARCH(Classifiers!$B$12,E77)),1,0))+IF(Classifiers!$C$12="",0,IF(ISNUMBER(SEARCH(Classifiers!$C$12,E77)),1,0))+IF(Classifiers!$D$12="",0,IF(ISNUMBER(SEARCH(Classifiers!$D$12,E77)),1,0))+IF(Classifiers!$E$12="",0,IF(ISNUMBER(SEARCH(Classifiers!$E$12,E77)),1,0))+IF(Classifiers!$F$12="",0,IF(ISNUMBER(SEARCH(Classifiers!$F$12,E77)),1,0))+IF(Classifiers!$G$12="",0,IF(ISNUMBER(SEARCH(Classifiers!$G$12,E77)),1,0)))&gt;0,1,0))</f>
        <v/>
      </c>
      <c r="R77" s="12">
        <f>IF(H77&lt;&gt;1,0,IF((IF(Classifiers!$B$13="",0,IF(ISNUMBER(SEARCH(Classifiers!$B$13,E77)),1,0))+IF(Classifiers!$C$13="",0,IF(ISNUMBER(SEARCH(Classifiers!$C$13,E77)),1,0))+IF(Classifiers!$D$13="",0,IF(ISNUMBER(SEARCH(Classifiers!$D$13,E77)),1,0))+IF(Classifiers!$E$13="",0,IF(ISNUMBER(SEARCH(Classifiers!$E$13,E77)),1,0))+IF(Classifiers!$F$13="",0,IF(ISNUMBER(SEARCH(Classifiers!$F$13,E77)),1,0))+IF(Classifiers!$G$13="",0,IF(ISNUMBER(SEARCH(Classifiers!$G$13,E77)),1,0)))&gt;0,1,0))</f>
        <v/>
      </c>
      <c r="S77" s="12">
        <f>IF(H77&lt;&gt;1,0,IF((IF(Classifiers!$B$14="",0,IF(ISNUMBER(SEARCH(Classifiers!$B$14,E77)),1,0))+IF(Classifiers!$C$14="",0,IF(ISNUMBER(SEARCH(Classifiers!$C$14,E77)),1,0))+IF(Classifiers!$D$14="",0,IF(ISNUMBER(SEARCH(Classifiers!$D$14,E77)),1,0))+IF(Classifiers!$E$14="",0,IF(ISNUMBER(SEARCH(Classifiers!$E$14,E77)),1,0))+IF(Classifiers!$F$14="",0,IF(ISNUMBER(SEARCH(Classifiers!$F$14,E77)),1,0))+IF(Classifiers!$G$14="",0,IF(ISNUMBER(SEARCH(Classifiers!$G$14,E77)),1,0)))&gt;0,1,0))</f>
        <v/>
      </c>
      <c r="T77" s="12">
        <f>IF(H77&lt;&gt;1,0,IF((IF(Classifiers!$B$15="",0,IF(ISNUMBER(SEARCH(Classifiers!$B$15,E77)),1,0))+IF(Classifiers!$C$15="",0,IF(ISNUMBER(SEARCH(Classifiers!$C$15,E77)),1,0))+IF(Classifiers!$D$15="",0,IF(ISNUMBER(SEARCH(Classifiers!$D$15,E77)),1,0))+IF(Classifiers!$E$15="",0,IF(ISNUMBER(SEARCH(Classifiers!$E$15,E77)),1,0))+IF(Classifiers!$F$15="",0,IF(ISNUMBER(SEARCH(Classifiers!$F$15,E77)),1,0))+IF(Classifiers!$G$15="",0,IF(ISNUMBER(SEARCH(Classifiers!$G$15,E77)),1,0)))&gt;0,1,0))</f>
        <v/>
      </c>
      <c r="U77" s="12">
        <f>IF(H77&lt;&gt;1,0,IF((IF(Classifiers!$B$16="",0,IF(ISNUMBER(SEARCH(Classifiers!$B$16,E77)),1,0))+IF(Classifiers!$C$16="",0,IF(ISNUMBER(SEARCH(Classifiers!$C$16,E77)),1,0))+IF(Classifiers!$D$16="",0,IF(ISNUMBER(SEARCH(Classifiers!$D$16,E77)),1,0))+IF(Classifiers!$E$16="",0,IF(ISNUMBER(SEARCH(Classifiers!$E$16,E77)),1,0))+IF(Classifiers!$F$16="",0,IF(ISNUMBER(SEARCH(Classifiers!$F$16,E77)),1,0))+IF(Classifiers!$G$16="",0,IF(ISNUMBER(SEARCH(Classifiers!$G$16,E77)),1,0)))&gt;0,1,0))</f>
        <v/>
      </c>
      <c r="V77" s="12">
        <f>IF(H77&lt;&gt;1,0,IF((IF(Classifiers!$B$17="",0,IF(ISNUMBER(SEARCH(Classifiers!$B$17,E77)),1,0))+IF(Classifiers!$C$17="",0,IF(ISNUMBER(SEARCH(Classifiers!$C$17,E77)),1,0))+IF(Classifiers!$D$17="",0,IF(ISNUMBER(SEARCH(Classifiers!$D$17,E77)),1,0))+IF(Classifiers!$E$17="",0,IF(ISNUMBER(SEARCH(Classifiers!$E$17,E77)),1,0))+IF(Classifiers!$F$17="",0,IF(ISNUMBER(SEARCH(Classifiers!$F$17,E77)),1,0))+IF(Classifiers!$G$17="",0,IF(ISNUMBER(SEARCH(Classifiers!$G$17,E77)),1,0)))&gt;0,1,0))</f>
        <v/>
      </c>
      <c r="W77" s="12">
        <f>IF(H77&lt;&gt;1,0,IF((IF(Classifiers!$B$18="",0,IF(ISNUMBER(SEARCH(Classifiers!$B$18,E77)),1,0))+IF(Classifiers!$C$18="",0,IF(ISNUMBER(SEARCH(Classifiers!$C$18,E77)),1,0))+IF(Classifiers!$D$18="",0,IF(ISNUMBER(SEARCH(Classifiers!$D$18,E77)),1,0))+IF(Classifiers!$E$18="",0,IF(ISNUMBER(SEARCH(Classifiers!$E$18,E77)),1,0))+IF(Classifiers!$F$18="",0,IF(ISNUMBER(SEARCH(Classifiers!$F$18,E77)),1,0))+IF(Classifiers!$G$18="",0,IF(ISNUMBER(SEARCH(Classifiers!$G$18,E77)),1,0)))&gt;0,1,0))</f>
        <v/>
      </c>
    </row>
    <row r="78">
      <c r="A78" s="8" t="n"/>
      <c r="B78" s="11" t="n"/>
      <c r="C78" s="6">
        <f>IF(A78="","",TRIM(RIGHT(SUBSTITUTE(A78,"/",REPT(" ",250)),250)))</f>
        <v/>
      </c>
      <c r="D78" s="6">
        <f>IF(C78="","",IF(ISNUMBER(SEARCH(".",C78)),LOWER("."&amp;TRIM(RIGHT(SUBSTITUTE(C78,".",REPT(" ",250)),250))),""))</f>
        <v/>
      </c>
      <c r="E78" s="6">
        <f>IF(C78="","",TRIM(SUBSTITUTE(SUBSTITUTE(SUBSTITUTE(SUBSTITUTE(SUBSTITUTE(SUBSTITUTE(SUBSTITUTE(SUBSTITUTE(SUBSTITUTE(SUBSTITUTE(SUBSTITUTE(SUBSTITUTE(SUBSTITUTE(SUBSTITUTE(SUBSTITUTE(SUBSTITUTE(SUBSTITUTE(SUBSTITUTE(SUBSTITUTE(SUBSTITUTE(LOWER(LEFT(C78,LEN(C78)-LEN(D78))),"_"," "),"-"," "),"."," "),","," "),"("," "),")"," "),"["," "),"]"," "),"&amp;"," "),"+"," "),"@"," "),"#"," "),"!"," "),"'"," "),"/"," "),":"," "),";"," "),"="," "),"~"," "),"%"," ")))</f>
        <v/>
      </c>
      <c r="F78" s="6">
        <f>IF(C78="","",IF(COUNTIF(Classifiers!$A$23:$A$40,D78)&gt;0,1,0))</f>
        <v/>
      </c>
      <c r="G78" s="6">
        <f>IF(C78="","",IF(COUNTIF(Classifiers!$C$23:$C$30,D78)&gt;0,IF((IF(ISNUMBER(SEARCH(Classifiers!$E$23,E78)),1,0)+IF(ISNUMBER(SEARCH(Classifiers!$E$24,E78)),1,0)+IF(ISNUMBER(SEARCH(Classifiers!$E$25,E78)),1,0)+IF(ISNUMBER(SEARCH(Classifiers!$E$26,E78)),1,0)+IF(ISNUMBER(SEARCH(Classifiers!$E$27,E78)),1,0)+IF(ISNUMBER(SEARCH(Classifiers!$E$28,E78)),1,0)+IF(ISNUMBER(SEARCH(Classifiers!$E$29,E78)),1,0)+IF(ISNUMBER(SEARCH(Classifiers!$E$30,E78)),1,0))&gt;0,1,0),0))</f>
        <v/>
      </c>
      <c r="H78" s="6">
        <f>IF(C78="","",IF(OR(LEFT(C78,1)=".",AND(F78=0,G78=0)),0,1))</f>
        <v/>
      </c>
      <c r="I78" s="6">
        <f>IF(H78&lt;&gt;1,"",IF(SUM(J78:W78)=0,"unclassified",INDEX(Classifiers!$A$5:$A$18,MATCH(1,J78:W78,0),1)))</f>
        <v/>
      </c>
      <c r="J78" s="12">
        <f>IF(H78&lt;&gt;1,0,IF((IF(Classifiers!$B$5="",0,IF(ISNUMBER(SEARCH(Classifiers!$B$5,E78)),1,0))+IF(Classifiers!$C$5="",0,IF(ISNUMBER(SEARCH(Classifiers!$C$5,E78)),1,0))+IF(Classifiers!$D$5="",0,IF(ISNUMBER(SEARCH(Classifiers!$D$5,E78)),1,0))+IF(Classifiers!$E$5="",0,IF(ISNUMBER(SEARCH(Classifiers!$E$5,E78)),1,0))+IF(Classifiers!$F$5="",0,IF(ISNUMBER(SEARCH(Classifiers!$F$5,E78)),1,0))+IF(Classifiers!$G$5="",0,IF(ISNUMBER(SEARCH(Classifiers!$G$5,E78)),1,0)))&gt;0,1,0))</f>
        <v/>
      </c>
      <c r="K78" s="12">
        <f>IF(H78&lt;&gt;1,0,IF((IF(Classifiers!$B$6="",0,IF(ISNUMBER(SEARCH(Classifiers!$B$6,E78)),1,0))+IF(Classifiers!$C$6="",0,IF(ISNUMBER(SEARCH(Classifiers!$C$6,E78)),1,0))+IF(Classifiers!$D$6="",0,IF(ISNUMBER(SEARCH(Classifiers!$D$6,E78)),1,0))+IF(Classifiers!$E$6="",0,IF(ISNUMBER(SEARCH(Classifiers!$E$6,E78)),1,0))+IF(Classifiers!$F$6="",0,IF(ISNUMBER(SEARCH(Classifiers!$F$6,E78)),1,0))+IF(Classifiers!$G$6="",0,IF(ISNUMBER(SEARCH(Classifiers!$G$6,E78)),1,0)))&gt;0,1,0))</f>
        <v/>
      </c>
      <c r="L78" s="12">
        <f>IF(H78&lt;&gt;1,0,IF((IF(Classifiers!$B$7="",0,IF(ISNUMBER(SEARCH(Classifiers!$B$7,E78)),1,0))+IF(Classifiers!$C$7="",0,IF(ISNUMBER(SEARCH(Classifiers!$C$7,E78)),1,0))+IF(Classifiers!$D$7="",0,IF(ISNUMBER(SEARCH(Classifiers!$D$7,E78)),1,0))+IF(Classifiers!$E$7="",0,IF(ISNUMBER(SEARCH(Classifiers!$E$7,E78)),1,0))+IF(Classifiers!$F$7="",0,IF(ISNUMBER(SEARCH(Classifiers!$F$7,E78)),1,0))+IF(Classifiers!$G$7="",0,IF(ISNUMBER(SEARCH(Classifiers!$G$7,E78)),1,0)))&gt;0,1,0))</f>
        <v/>
      </c>
      <c r="M78" s="12">
        <f>IF(H78&lt;&gt;1,0,IF((IF(Classifiers!$B$8="",0,IF(ISNUMBER(SEARCH(Classifiers!$B$8,E78)),1,0))+IF(Classifiers!$C$8="",0,IF(ISNUMBER(SEARCH(Classifiers!$C$8,E78)),1,0))+IF(Classifiers!$D$8="",0,IF(ISNUMBER(SEARCH(Classifiers!$D$8,E78)),1,0))+IF(Classifiers!$E$8="",0,IF(ISNUMBER(SEARCH(Classifiers!$E$8,E78)),1,0))+IF(Classifiers!$F$8="",0,IF(ISNUMBER(SEARCH(Classifiers!$F$8,E78)),1,0))+IF(Classifiers!$G$8="",0,IF(ISNUMBER(SEARCH(Classifiers!$G$8,E78)),1,0)))&gt;0,1,0))</f>
        <v/>
      </c>
      <c r="N78" s="12">
        <f>IF(H78&lt;&gt;1,0,IF((IF(Classifiers!$B$9="",0,IF(ISNUMBER(SEARCH(Classifiers!$B$9,E78)),1,0))+IF(Classifiers!$C$9="",0,IF(ISNUMBER(SEARCH(Classifiers!$C$9,E78)),1,0))+IF(Classifiers!$D$9="",0,IF(ISNUMBER(SEARCH(Classifiers!$D$9,E78)),1,0))+IF(Classifiers!$E$9="",0,IF(ISNUMBER(SEARCH(Classifiers!$E$9,E78)),1,0))+IF(Classifiers!$F$9="",0,IF(ISNUMBER(SEARCH(Classifiers!$F$9,E78)),1,0))+IF(Classifiers!$G$9="",0,IF(ISNUMBER(SEARCH(Classifiers!$G$9,E78)),1,0)))&gt;0,1,0))</f>
        <v/>
      </c>
      <c r="O78" s="12">
        <f>IF(H78&lt;&gt;1,0,IF((IF(Classifiers!$B$10="",0,IF(ISNUMBER(SEARCH(Classifiers!$B$10,E78)),1,0))+IF(Classifiers!$C$10="",0,IF(ISNUMBER(SEARCH(Classifiers!$C$10,E78)),1,0))+IF(Classifiers!$D$10="",0,IF(ISNUMBER(SEARCH(Classifiers!$D$10,E78)),1,0))+IF(Classifiers!$E$10="",0,IF(ISNUMBER(SEARCH(Classifiers!$E$10,E78)),1,0))+IF(Classifiers!$F$10="",0,IF(ISNUMBER(SEARCH(Classifiers!$F$10,E78)),1,0))+IF(Classifiers!$G$10="",0,IF(ISNUMBER(SEARCH(Classifiers!$G$10,E78)),1,0)))&gt;0,1,0))</f>
        <v/>
      </c>
      <c r="P78" s="12">
        <f>IF(H78&lt;&gt;1,0,IF((IF(Classifiers!$B$11="",0,IF(ISNUMBER(SEARCH(Classifiers!$B$11,E78)),1,0))+IF(Classifiers!$C$11="",0,IF(ISNUMBER(SEARCH(Classifiers!$C$11,E78)),1,0))+IF(Classifiers!$D$11="",0,IF(ISNUMBER(SEARCH(Classifiers!$D$11,E78)),1,0))+IF(Classifiers!$E$11="",0,IF(ISNUMBER(SEARCH(Classifiers!$E$11,E78)),1,0))+IF(Classifiers!$F$11="",0,IF(ISNUMBER(SEARCH(Classifiers!$F$11,E78)),1,0))+IF(Classifiers!$G$11="",0,IF(ISNUMBER(SEARCH(Classifiers!$G$11,E78)),1,0)))&gt;0,1,0))</f>
        <v/>
      </c>
      <c r="Q78" s="12">
        <f>IF(H78&lt;&gt;1,0,IF((IF(Classifiers!$B$12="",0,IF(ISNUMBER(SEARCH(Classifiers!$B$12,E78)),1,0))+IF(Classifiers!$C$12="",0,IF(ISNUMBER(SEARCH(Classifiers!$C$12,E78)),1,0))+IF(Classifiers!$D$12="",0,IF(ISNUMBER(SEARCH(Classifiers!$D$12,E78)),1,0))+IF(Classifiers!$E$12="",0,IF(ISNUMBER(SEARCH(Classifiers!$E$12,E78)),1,0))+IF(Classifiers!$F$12="",0,IF(ISNUMBER(SEARCH(Classifiers!$F$12,E78)),1,0))+IF(Classifiers!$G$12="",0,IF(ISNUMBER(SEARCH(Classifiers!$G$12,E78)),1,0)))&gt;0,1,0))</f>
        <v/>
      </c>
      <c r="R78" s="12">
        <f>IF(H78&lt;&gt;1,0,IF((IF(Classifiers!$B$13="",0,IF(ISNUMBER(SEARCH(Classifiers!$B$13,E78)),1,0))+IF(Classifiers!$C$13="",0,IF(ISNUMBER(SEARCH(Classifiers!$C$13,E78)),1,0))+IF(Classifiers!$D$13="",0,IF(ISNUMBER(SEARCH(Classifiers!$D$13,E78)),1,0))+IF(Classifiers!$E$13="",0,IF(ISNUMBER(SEARCH(Classifiers!$E$13,E78)),1,0))+IF(Classifiers!$F$13="",0,IF(ISNUMBER(SEARCH(Classifiers!$F$13,E78)),1,0))+IF(Classifiers!$G$13="",0,IF(ISNUMBER(SEARCH(Classifiers!$G$13,E78)),1,0)))&gt;0,1,0))</f>
        <v/>
      </c>
      <c r="S78" s="12">
        <f>IF(H78&lt;&gt;1,0,IF((IF(Classifiers!$B$14="",0,IF(ISNUMBER(SEARCH(Classifiers!$B$14,E78)),1,0))+IF(Classifiers!$C$14="",0,IF(ISNUMBER(SEARCH(Classifiers!$C$14,E78)),1,0))+IF(Classifiers!$D$14="",0,IF(ISNUMBER(SEARCH(Classifiers!$D$14,E78)),1,0))+IF(Classifiers!$E$14="",0,IF(ISNUMBER(SEARCH(Classifiers!$E$14,E78)),1,0))+IF(Classifiers!$F$14="",0,IF(ISNUMBER(SEARCH(Classifiers!$F$14,E78)),1,0))+IF(Classifiers!$G$14="",0,IF(ISNUMBER(SEARCH(Classifiers!$G$14,E78)),1,0)))&gt;0,1,0))</f>
        <v/>
      </c>
      <c r="T78" s="12">
        <f>IF(H78&lt;&gt;1,0,IF((IF(Classifiers!$B$15="",0,IF(ISNUMBER(SEARCH(Classifiers!$B$15,E78)),1,0))+IF(Classifiers!$C$15="",0,IF(ISNUMBER(SEARCH(Classifiers!$C$15,E78)),1,0))+IF(Classifiers!$D$15="",0,IF(ISNUMBER(SEARCH(Classifiers!$D$15,E78)),1,0))+IF(Classifiers!$E$15="",0,IF(ISNUMBER(SEARCH(Classifiers!$E$15,E78)),1,0))+IF(Classifiers!$F$15="",0,IF(ISNUMBER(SEARCH(Classifiers!$F$15,E78)),1,0))+IF(Classifiers!$G$15="",0,IF(ISNUMBER(SEARCH(Classifiers!$G$15,E78)),1,0)))&gt;0,1,0))</f>
        <v/>
      </c>
      <c r="U78" s="12">
        <f>IF(H78&lt;&gt;1,0,IF((IF(Classifiers!$B$16="",0,IF(ISNUMBER(SEARCH(Classifiers!$B$16,E78)),1,0))+IF(Classifiers!$C$16="",0,IF(ISNUMBER(SEARCH(Classifiers!$C$16,E78)),1,0))+IF(Classifiers!$D$16="",0,IF(ISNUMBER(SEARCH(Classifiers!$D$16,E78)),1,0))+IF(Classifiers!$E$16="",0,IF(ISNUMBER(SEARCH(Classifiers!$E$16,E78)),1,0))+IF(Classifiers!$F$16="",0,IF(ISNUMBER(SEARCH(Classifiers!$F$16,E78)),1,0))+IF(Classifiers!$G$16="",0,IF(ISNUMBER(SEARCH(Classifiers!$G$16,E78)),1,0)))&gt;0,1,0))</f>
        <v/>
      </c>
      <c r="V78" s="12">
        <f>IF(H78&lt;&gt;1,0,IF((IF(Classifiers!$B$17="",0,IF(ISNUMBER(SEARCH(Classifiers!$B$17,E78)),1,0))+IF(Classifiers!$C$17="",0,IF(ISNUMBER(SEARCH(Classifiers!$C$17,E78)),1,0))+IF(Classifiers!$D$17="",0,IF(ISNUMBER(SEARCH(Classifiers!$D$17,E78)),1,0))+IF(Classifiers!$E$17="",0,IF(ISNUMBER(SEARCH(Classifiers!$E$17,E78)),1,0))+IF(Classifiers!$F$17="",0,IF(ISNUMBER(SEARCH(Classifiers!$F$17,E78)),1,0))+IF(Classifiers!$G$17="",0,IF(ISNUMBER(SEARCH(Classifiers!$G$17,E78)),1,0)))&gt;0,1,0))</f>
        <v/>
      </c>
      <c r="W78" s="12">
        <f>IF(H78&lt;&gt;1,0,IF((IF(Classifiers!$B$18="",0,IF(ISNUMBER(SEARCH(Classifiers!$B$18,E78)),1,0))+IF(Classifiers!$C$18="",0,IF(ISNUMBER(SEARCH(Classifiers!$C$18,E78)),1,0))+IF(Classifiers!$D$18="",0,IF(ISNUMBER(SEARCH(Classifiers!$D$18,E78)),1,0))+IF(Classifiers!$E$18="",0,IF(ISNUMBER(SEARCH(Classifiers!$E$18,E78)),1,0))+IF(Classifiers!$F$18="",0,IF(ISNUMBER(SEARCH(Classifiers!$F$18,E78)),1,0))+IF(Classifiers!$G$18="",0,IF(ISNUMBER(SEARCH(Classifiers!$G$18,E78)),1,0)))&gt;0,1,0))</f>
        <v/>
      </c>
    </row>
    <row r="79">
      <c r="A79" s="8" t="n"/>
      <c r="B79" s="11" t="n"/>
      <c r="C79" s="6">
        <f>IF(A79="","",TRIM(RIGHT(SUBSTITUTE(A79,"/",REPT(" ",250)),250)))</f>
        <v/>
      </c>
      <c r="D79" s="6">
        <f>IF(C79="","",IF(ISNUMBER(SEARCH(".",C79)),LOWER("."&amp;TRIM(RIGHT(SUBSTITUTE(C79,".",REPT(" ",250)),250))),""))</f>
        <v/>
      </c>
      <c r="E79" s="6">
        <f>IF(C79="","",TRIM(SUBSTITUTE(SUBSTITUTE(SUBSTITUTE(SUBSTITUTE(SUBSTITUTE(SUBSTITUTE(SUBSTITUTE(SUBSTITUTE(SUBSTITUTE(SUBSTITUTE(SUBSTITUTE(SUBSTITUTE(SUBSTITUTE(SUBSTITUTE(SUBSTITUTE(SUBSTITUTE(SUBSTITUTE(SUBSTITUTE(SUBSTITUTE(SUBSTITUTE(LOWER(LEFT(C79,LEN(C79)-LEN(D79))),"_"," "),"-"," "),"."," "),","," "),"("," "),")"," "),"["," "),"]"," "),"&amp;"," "),"+"," "),"@"," "),"#"," "),"!"," "),"'"," "),"/"," "),":"," "),";"," "),"="," "),"~"," "),"%"," ")))</f>
        <v/>
      </c>
      <c r="F79" s="6">
        <f>IF(C79="","",IF(COUNTIF(Classifiers!$A$23:$A$40,D79)&gt;0,1,0))</f>
        <v/>
      </c>
      <c r="G79" s="6">
        <f>IF(C79="","",IF(COUNTIF(Classifiers!$C$23:$C$30,D79)&gt;0,IF((IF(ISNUMBER(SEARCH(Classifiers!$E$23,E79)),1,0)+IF(ISNUMBER(SEARCH(Classifiers!$E$24,E79)),1,0)+IF(ISNUMBER(SEARCH(Classifiers!$E$25,E79)),1,0)+IF(ISNUMBER(SEARCH(Classifiers!$E$26,E79)),1,0)+IF(ISNUMBER(SEARCH(Classifiers!$E$27,E79)),1,0)+IF(ISNUMBER(SEARCH(Classifiers!$E$28,E79)),1,0)+IF(ISNUMBER(SEARCH(Classifiers!$E$29,E79)),1,0)+IF(ISNUMBER(SEARCH(Classifiers!$E$30,E79)),1,0))&gt;0,1,0),0))</f>
        <v/>
      </c>
      <c r="H79" s="6">
        <f>IF(C79="","",IF(OR(LEFT(C79,1)=".",AND(F79=0,G79=0)),0,1))</f>
        <v/>
      </c>
      <c r="I79" s="6">
        <f>IF(H79&lt;&gt;1,"",IF(SUM(J79:W79)=0,"unclassified",INDEX(Classifiers!$A$5:$A$18,MATCH(1,J79:W79,0),1)))</f>
        <v/>
      </c>
      <c r="J79" s="12">
        <f>IF(H79&lt;&gt;1,0,IF((IF(Classifiers!$B$5="",0,IF(ISNUMBER(SEARCH(Classifiers!$B$5,E79)),1,0))+IF(Classifiers!$C$5="",0,IF(ISNUMBER(SEARCH(Classifiers!$C$5,E79)),1,0))+IF(Classifiers!$D$5="",0,IF(ISNUMBER(SEARCH(Classifiers!$D$5,E79)),1,0))+IF(Classifiers!$E$5="",0,IF(ISNUMBER(SEARCH(Classifiers!$E$5,E79)),1,0))+IF(Classifiers!$F$5="",0,IF(ISNUMBER(SEARCH(Classifiers!$F$5,E79)),1,0))+IF(Classifiers!$G$5="",0,IF(ISNUMBER(SEARCH(Classifiers!$G$5,E79)),1,0)))&gt;0,1,0))</f>
        <v/>
      </c>
      <c r="K79" s="12">
        <f>IF(H79&lt;&gt;1,0,IF((IF(Classifiers!$B$6="",0,IF(ISNUMBER(SEARCH(Classifiers!$B$6,E79)),1,0))+IF(Classifiers!$C$6="",0,IF(ISNUMBER(SEARCH(Classifiers!$C$6,E79)),1,0))+IF(Classifiers!$D$6="",0,IF(ISNUMBER(SEARCH(Classifiers!$D$6,E79)),1,0))+IF(Classifiers!$E$6="",0,IF(ISNUMBER(SEARCH(Classifiers!$E$6,E79)),1,0))+IF(Classifiers!$F$6="",0,IF(ISNUMBER(SEARCH(Classifiers!$F$6,E79)),1,0))+IF(Classifiers!$G$6="",0,IF(ISNUMBER(SEARCH(Classifiers!$G$6,E79)),1,0)))&gt;0,1,0))</f>
        <v/>
      </c>
      <c r="L79" s="12">
        <f>IF(H79&lt;&gt;1,0,IF((IF(Classifiers!$B$7="",0,IF(ISNUMBER(SEARCH(Classifiers!$B$7,E79)),1,0))+IF(Classifiers!$C$7="",0,IF(ISNUMBER(SEARCH(Classifiers!$C$7,E79)),1,0))+IF(Classifiers!$D$7="",0,IF(ISNUMBER(SEARCH(Classifiers!$D$7,E79)),1,0))+IF(Classifiers!$E$7="",0,IF(ISNUMBER(SEARCH(Classifiers!$E$7,E79)),1,0))+IF(Classifiers!$F$7="",0,IF(ISNUMBER(SEARCH(Classifiers!$F$7,E79)),1,0))+IF(Classifiers!$G$7="",0,IF(ISNUMBER(SEARCH(Classifiers!$G$7,E79)),1,0)))&gt;0,1,0))</f>
        <v/>
      </c>
      <c r="M79" s="12">
        <f>IF(H79&lt;&gt;1,0,IF((IF(Classifiers!$B$8="",0,IF(ISNUMBER(SEARCH(Classifiers!$B$8,E79)),1,0))+IF(Classifiers!$C$8="",0,IF(ISNUMBER(SEARCH(Classifiers!$C$8,E79)),1,0))+IF(Classifiers!$D$8="",0,IF(ISNUMBER(SEARCH(Classifiers!$D$8,E79)),1,0))+IF(Classifiers!$E$8="",0,IF(ISNUMBER(SEARCH(Classifiers!$E$8,E79)),1,0))+IF(Classifiers!$F$8="",0,IF(ISNUMBER(SEARCH(Classifiers!$F$8,E79)),1,0))+IF(Classifiers!$G$8="",0,IF(ISNUMBER(SEARCH(Classifiers!$G$8,E79)),1,0)))&gt;0,1,0))</f>
        <v/>
      </c>
      <c r="N79" s="12">
        <f>IF(H79&lt;&gt;1,0,IF((IF(Classifiers!$B$9="",0,IF(ISNUMBER(SEARCH(Classifiers!$B$9,E79)),1,0))+IF(Classifiers!$C$9="",0,IF(ISNUMBER(SEARCH(Classifiers!$C$9,E79)),1,0))+IF(Classifiers!$D$9="",0,IF(ISNUMBER(SEARCH(Classifiers!$D$9,E79)),1,0))+IF(Classifiers!$E$9="",0,IF(ISNUMBER(SEARCH(Classifiers!$E$9,E79)),1,0))+IF(Classifiers!$F$9="",0,IF(ISNUMBER(SEARCH(Classifiers!$F$9,E79)),1,0))+IF(Classifiers!$G$9="",0,IF(ISNUMBER(SEARCH(Classifiers!$G$9,E79)),1,0)))&gt;0,1,0))</f>
        <v/>
      </c>
      <c r="O79" s="12">
        <f>IF(H79&lt;&gt;1,0,IF((IF(Classifiers!$B$10="",0,IF(ISNUMBER(SEARCH(Classifiers!$B$10,E79)),1,0))+IF(Classifiers!$C$10="",0,IF(ISNUMBER(SEARCH(Classifiers!$C$10,E79)),1,0))+IF(Classifiers!$D$10="",0,IF(ISNUMBER(SEARCH(Classifiers!$D$10,E79)),1,0))+IF(Classifiers!$E$10="",0,IF(ISNUMBER(SEARCH(Classifiers!$E$10,E79)),1,0))+IF(Classifiers!$F$10="",0,IF(ISNUMBER(SEARCH(Classifiers!$F$10,E79)),1,0))+IF(Classifiers!$G$10="",0,IF(ISNUMBER(SEARCH(Classifiers!$G$10,E79)),1,0)))&gt;0,1,0))</f>
        <v/>
      </c>
      <c r="P79" s="12">
        <f>IF(H79&lt;&gt;1,0,IF((IF(Classifiers!$B$11="",0,IF(ISNUMBER(SEARCH(Classifiers!$B$11,E79)),1,0))+IF(Classifiers!$C$11="",0,IF(ISNUMBER(SEARCH(Classifiers!$C$11,E79)),1,0))+IF(Classifiers!$D$11="",0,IF(ISNUMBER(SEARCH(Classifiers!$D$11,E79)),1,0))+IF(Classifiers!$E$11="",0,IF(ISNUMBER(SEARCH(Classifiers!$E$11,E79)),1,0))+IF(Classifiers!$F$11="",0,IF(ISNUMBER(SEARCH(Classifiers!$F$11,E79)),1,0))+IF(Classifiers!$G$11="",0,IF(ISNUMBER(SEARCH(Classifiers!$G$11,E79)),1,0)))&gt;0,1,0))</f>
        <v/>
      </c>
      <c r="Q79" s="12">
        <f>IF(H79&lt;&gt;1,0,IF((IF(Classifiers!$B$12="",0,IF(ISNUMBER(SEARCH(Classifiers!$B$12,E79)),1,0))+IF(Classifiers!$C$12="",0,IF(ISNUMBER(SEARCH(Classifiers!$C$12,E79)),1,0))+IF(Classifiers!$D$12="",0,IF(ISNUMBER(SEARCH(Classifiers!$D$12,E79)),1,0))+IF(Classifiers!$E$12="",0,IF(ISNUMBER(SEARCH(Classifiers!$E$12,E79)),1,0))+IF(Classifiers!$F$12="",0,IF(ISNUMBER(SEARCH(Classifiers!$F$12,E79)),1,0))+IF(Classifiers!$G$12="",0,IF(ISNUMBER(SEARCH(Classifiers!$G$12,E79)),1,0)))&gt;0,1,0))</f>
        <v/>
      </c>
      <c r="R79" s="12">
        <f>IF(H79&lt;&gt;1,0,IF((IF(Classifiers!$B$13="",0,IF(ISNUMBER(SEARCH(Classifiers!$B$13,E79)),1,0))+IF(Classifiers!$C$13="",0,IF(ISNUMBER(SEARCH(Classifiers!$C$13,E79)),1,0))+IF(Classifiers!$D$13="",0,IF(ISNUMBER(SEARCH(Classifiers!$D$13,E79)),1,0))+IF(Classifiers!$E$13="",0,IF(ISNUMBER(SEARCH(Classifiers!$E$13,E79)),1,0))+IF(Classifiers!$F$13="",0,IF(ISNUMBER(SEARCH(Classifiers!$F$13,E79)),1,0))+IF(Classifiers!$G$13="",0,IF(ISNUMBER(SEARCH(Classifiers!$G$13,E79)),1,0)))&gt;0,1,0))</f>
        <v/>
      </c>
      <c r="S79" s="12">
        <f>IF(H79&lt;&gt;1,0,IF((IF(Classifiers!$B$14="",0,IF(ISNUMBER(SEARCH(Classifiers!$B$14,E79)),1,0))+IF(Classifiers!$C$14="",0,IF(ISNUMBER(SEARCH(Classifiers!$C$14,E79)),1,0))+IF(Classifiers!$D$14="",0,IF(ISNUMBER(SEARCH(Classifiers!$D$14,E79)),1,0))+IF(Classifiers!$E$14="",0,IF(ISNUMBER(SEARCH(Classifiers!$E$14,E79)),1,0))+IF(Classifiers!$F$14="",0,IF(ISNUMBER(SEARCH(Classifiers!$F$14,E79)),1,0))+IF(Classifiers!$G$14="",0,IF(ISNUMBER(SEARCH(Classifiers!$G$14,E79)),1,0)))&gt;0,1,0))</f>
        <v/>
      </c>
      <c r="T79" s="12">
        <f>IF(H79&lt;&gt;1,0,IF((IF(Classifiers!$B$15="",0,IF(ISNUMBER(SEARCH(Classifiers!$B$15,E79)),1,0))+IF(Classifiers!$C$15="",0,IF(ISNUMBER(SEARCH(Classifiers!$C$15,E79)),1,0))+IF(Classifiers!$D$15="",0,IF(ISNUMBER(SEARCH(Classifiers!$D$15,E79)),1,0))+IF(Classifiers!$E$15="",0,IF(ISNUMBER(SEARCH(Classifiers!$E$15,E79)),1,0))+IF(Classifiers!$F$15="",0,IF(ISNUMBER(SEARCH(Classifiers!$F$15,E79)),1,0))+IF(Classifiers!$G$15="",0,IF(ISNUMBER(SEARCH(Classifiers!$G$15,E79)),1,0)))&gt;0,1,0))</f>
        <v/>
      </c>
      <c r="U79" s="12">
        <f>IF(H79&lt;&gt;1,0,IF((IF(Classifiers!$B$16="",0,IF(ISNUMBER(SEARCH(Classifiers!$B$16,E79)),1,0))+IF(Classifiers!$C$16="",0,IF(ISNUMBER(SEARCH(Classifiers!$C$16,E79)),1,0))+IF(Classifiers!$D$16="",0,IF(ISNUMBER(SEARCH(Classifiers!$D$16,E79)),1,0))+IF(Classifiers!$E$16="",0,IF(ISNUMBER(SEARCH(Classifiers!$E$16,E79)),1,0))+IF(Classifiers!$F$16="",0,IF(ISNUMBER(SEARCH(Classifiers!$F$16,E79)),1,0))+IF(Classifiers!$G$16="",0,IF(ISNUMBER(SEARCH(Classifiers!$G$16,E79)),1,0)))&gt;0,1,0))</f>
        <v/>
      </c>
      <c r="V79" s="12">
        <f>IF(H79&lt;&gt;1,0,IF((IF(Classifiers!$B$17="",0,IF(ISNUMBER(SEARCH(Classifiers!$B$17,E79)),1,0))+IF(Classifiers!$C$17="",0,IF(ISNUMBER(SEARCH(Classifiers!$C$17,E79)),1,0))+IF(Classifiers!$D$17="",0,IF(ISNUMBER(SEARCH(Classifiers!$D$17,E79)),1,0))+IF(Classifiers!$E$17="",0,IF(ISNUMBER(SEARCH(Classifiers!$E$17,E79)),1,0))+IF(Classifiers!$F$17="",0,IF(ISNUMBER(SEARCH(Classifiers!$F$17,E79)),1,0))+IF(Classifiers!$G$17="",0,IF(ISNUMBER(SEARCH(Classifiers!$G$17,E79)),1,0)))&gt;0,1,0))</f>
        <v/>
      </c>
      <c r="W79" s="12">
        <f>IF(H79&lt;&gt;1,0,IF((IF(Classifiers!$B$18="",0,IF(ISNUMBER(SEARCH(Classifiers!$B$18,E79)),1,0))+IF(Classifiers!$C$18="",0,IF(ISNUMBER(SEARCH(Classifiers!$C$18,E79)),1,0))+IF(Classifiers!$D$18="",0,IF(ISNUMBER(SEARCH(Classifiers!$D$18,E79)),1,0))+IF(Classifiers!$E$18="",0,IF(ISNUMBER(SEARCH(Classifiers!$E$18,E79)),1,0))+IF(Classifiers!$F$18="",0,IF(ISNUMBER(SEARCH(Classifiers!$F$18,E79)),1,0))+IF(Classifiers!$G$18="",0,IF(ISNUMBER(SEARCH(Classifiers!$G$18,E79)),1,0)))&gt;0,1,0))</f>
        <v/>
      </c>
    </row>
    <row r="80">
      <c r="A80" s="8" t="n"/>
      <c r="B80" s="11" t="n"/>
      <c r="C80" s="6">
        <f>IF(A80="","",TRIM(RIGHT(SUBSTITUTE(A80,"/",REPT(" ",250)),250)))</f>
        <v/>
      </c>
      <c r="D80" s="6">
        <f>IF(C80="","",IF(ISNUMBER(SEARCH(".",C80)),LOWER("."&amp;TRIM(RIGHT(SUBSTITUTE(C80,".",REPT(" ",250)),250))),""))</f>
        <v/>
      </c>
      <c r="E80" s="6">
        <f>IF(C80="","",TRIM(SUBSTITUTE(SUBSTITUTE(SUBSTITUTE(SUBSTITUTE(SUBSTITUTE(SUBSTITUTE(SUBSTITUTE(SUBSTITUTE(SUBSTITUTE(SUBSTITUTE(SUBSTITUTE(SUBSTITUTE(SUBSTITUTE(SUBSTITUTE(SUBSTITUTE(SUBSTITUTE(SUBSTITUTE(SUBSTITUTE(SUBSTITUTE(SUBSTITUTE(LOWER(LEFT(C80,LEN(C80)-LEN(D80))),"_"," "),"-"," "),"."," "),","," "),"("," "),")"," "),"["," "),"]"," "),"&amp;"," "),"+"," "),"@"," "),"#"," "),"!"," "),"'"," "),"/"," "),":"," "),";"," "),"="," "),"~"," "),"%"," ")))</f>
        <v/>
      </c>
      <c r="F80" s="6">
        <f>IF(C80="","",IF(COUNTIF(Classifiers!$A$23:$A$40,D80)&gt;0,1,0))</f>
        <v/>
      </c>
      <c r="G80" s="6">
        <f>IF(C80="","",IF(COUNTIF(Classifiers!$C$23:$C$30,D80)&gt;0,IF((IF(ISNUMBER(SEARCH(Classifiers!$E$23,E80)),1,0)+IF(ISNUMBER(SEARCH(Classifiers!$E$24,E80)),1,0)+IF(ISNUMBER(SEARCH(Classifiers!$E$25,E80)),1,0)+IF(ISNUMBER(SEARCH(Classifiers!$E$26,E80)),1,0)+IF(ISNUMBER(SEARCH(Classifiers!$E$27,E80)),1,0)+IF(ISNUMBER(SEARCH(Classifiers!$E$28,E80)),1,0)+IF(ISNUMBER(SEARCH(Classifiers!$E$29,E80)),1,0)+IF(ISNUMBER(SEARCH(Classifiers!$E$30,E80)),1,0))&gt;0,1,0),0))</f>
        <v/>
      </c>
      <c r="H80" s="6">
        <f>IF(C80="","",IF(OR(LEFT(C80,1)=".",AND(F80=0,G80=0)),0,1))</f>
        <v/>
      </c>
      <c r="I80" s="6">
        <f>IF(H80&lt;&gt;1,"",IF(SUM(J80:W80)=0,"unclassified",INDEX(Classifiers!$A$5:$A$18,MATCH(1,J80:W80,0),1)))</f>
        <v/>
      </c>
      <c r="J80" s="12">
        <f>IF(H80&lt;&gt;1,0,IF((IF(Classifiers!$B$5="",0,IF(ISNUMBER(SEARCH(Classifiers!$B$5,E80)),1,0))+IF(Classifiers!$C$5="",0,IF(ISNUMBER(SEARCH(Classifiers!$C$5,E80)),1,0))+IF(Classifiers!$D$5="",0,IF(ISNUMBER(SEARCH(Classifiers!$D$5,E80)),1,0))+IF(Classifiers!$E$5="",0,IF(ISNUMBER(SEARCH(Classifiers!$E$5,E80)),1,0))+IF(Classifiers!$F$5="",0,IF(ISNUMBER(SEARCH(Classifiers!$F$5,E80)),1,0))+IF(Classifiers!$G$5="",0,IF(ISNUMBER(SEARCH(Classifiers!$G$5,E80)),1,0)))&gt;0,1,0))</f>
        <v/>
      </c>
      <c r="K80" s="12">
        <f>IF(H80&lt;&gt;1,0,IF((IF(Classifiers!$B$6="",0,IF(ISNUMBER(SEARCH(Classifiers!$B$6,E80)),1,0))+IF(Classifiers!$C$6="",0,IF(ISNUMBER(SEARCH(Classifiers!$C$6,E80)),1,0))+IF(Classifiers!$D$6="",0,IF(ISNUMBER(SEARCH(Classifiers!$D$6,E80)),1,0))+IF(Classifiers!$E$6="",0,IF(ISNUMBER(SEARCH(Classifiers!$E$6,E80)),1,0))+IF(Classifiers!$F$6="",0,IF(ISNUMBER(SEARCH(Classifiers!$F$6,E80)),1,0))+IF(Classifiers!$G$6="",0,IF(ISNUMBER(SEARCH(Classifiers!$G$6,E80)),1,0)))&gt;0,1,0))</f>
        <v/>
      </c>
      <c r="L80" s="12">
        <f>IF(H80&lt;&gt;1,0,IF((IF(Classifiers!$B$7="",0,IF(ISNUMBER(SEARCH(Classifiers!$B$7,E80)),1,0))+IF(Classifiers!$C$7="",0,IF(ISNUMBER(SEARCH(Classifiers!$C$7,E80)),1,0))+IF(Classifiers!$D$7="",0,IF(ISNUMBER(SEARCH(Classifiers!$D$7,E80)),1,0))+IF(Classifiers!$E$7="",0,IF(ISNUMBER(SEARCH(Classifiers!$E$7,E80)),1,0))+IF(Classifiers!$F$7="",0,IF(ISNUMBER(SEARCH(Classifiers!$F$7,E80)),1,0))+IF(Classifiers!$G$7="",0,IF(ISNUMBER(SEARCH(Classifiers!$G$7,E80)),1,0)))&gt;0,1,0))</f>
        <v/>
      </c>
      <c r="M80" s="12">
        <f>IF(H80&lt;&gt;1,0,IF((IF(Classifiers!$B$8="",0,IF(ISNUMBER(SEARCH(Classifiers!$B$8,E80)),1,0))+IF(Classifiers!$C$8="",0,IF(ISNUMBER(SEARCH(Classifiers!$C$8,E80)),1,0))+IF(Classifiers!$D$8="",0,IF(ISNUMBER(SEARCH(Classifiers!$D$8,E80)),1,0))+IF(Classifiers!$E$8="",0,IF(ISNUMBER(SEARCH(Classifiers!$E$8,E80)),1,0))+IF(Classifiers!$F$8="",0,IF(ISNUMBER(SEARCH(Classifiers!$F$8,E80)),1,0))+IF(Classifiers!$G$8="",0,IF(ISNUMBER(SEARCH(Classifiers!$G$8,E80)),1,0)))&gt;0,1,0))</f>
        <v/>
      </c>
      <c r="N80" s="12">
        <f>IF(H80&lt;&gt;1,0,IF((IF(Classifiers!$B$9="",0,IF(ISNUMBER(SEARCH(Classifiers!$B$9,E80)),1,0))+IF(Classifiers!$C$9="",0,IF(ISNUMBER(SEARCH(Classifiers!$C$9,E80)),1,0))+IF(Classifiers!$D$9="",0,IF(ISNUMBER(SEARCH(Classifiers!$D$9,E80)),1,0))+IF(Classifiers!$E$9="",0,IF(ISNUMBER(SEARCH(Classifiers!$E$9,E80)),1,0))+IF(Classifiers!$F$9="",0,IF(ISNUMBER(SEARCH(Classifiers!$F$9,E80)),1,0))+IF(Classifiers!$G$9="",0,IF(ISNUMBER(SEARCH(Classifiers!$G$9,E80)),1,0)))&gt;0,1,0))</f>
        <v/>
      </c>
      <c r="O80" s="12">
        <f>IF(H80&lt;&gt;1,0,IF((IF(Classifiers!$B$10="",0,IF(ISNUMBER(SEARCH(Classifiers!$B$10,E80)),1,0))+IF(Classifiers!$C$10="",0,IF(ISNUMBER(SEARCH(Classifiers!$C$10,E80)),1,0))+IF(Classifiers!$D$10="",0,IF(ISNUMBER(SEARCH(Classifiers!$D$10,E80)),1,0))+IF(Classifiers!$E$10="",0,IF(ISNUMBER(SEARCH(Classifiers!$E$10,E80)),1,0))+IF(Classifiers!$F$10="",0,IF(ISNUMBER(SEARCH(Classifiers!$F$10,E80)),1,0))+IF(Classifiers!$G$10="",0,IF(ISNUMBER(SEARCH(Classifiers!$G$10,E80)),1,0)))&gt;0,1,0))</f>
        <v/>
      </c>
      <c r="P80" s="12">
        <f>IF(H80&lt;&gt;1,0,IF((IF(Classifiers!$B$11="",0,IF(ISNUMBER(SEARCH(Classifiers!$B$11,E80)),1,0))+IF(Classifiers!$C$11="",0,IF(ISNUMBER(SEARCH(Classifiers!$C$11,E80)),1,0))+IF(Classifiers!$D$11="",0,IF(ISNUMBER(SEARCH(Classifiers!$D$11,E80)),1,0))+IF(Classifiers!$E$11="",0,IF(ISNUMBER(SEARCH(Classifiers!$E$11,E80)),1,0))+IF(Classifiers!$F$11="",0,IF(ISNUMBER(SEARCH(Classifiers!$F$11,E80)),1,0))+IF(Classifiers!$G$11="",0,IF(ISNUMBER(SEARCH(Classifiers!$G$11,E80)),1,0)))&gt;0,1,0))</f>
        <v/>
      </c>
      <c r="Q80" s="12">
        <f>IF(H80&lt;&gt;1,0,IF((IF(Classifiers!$B$12="",0,IF(ISNUMBER(SEARCH(Classifiers!$B$12,E80)),1,0))+IF(Classifiers!$C$12="",0,IF(ISNUMBER(SEARCH(Classifiers!$C$12,E80)),1,0))+IF(Classifiers!$D$12="",0,IF(ISNUMBER(SEARCH(Classifiers!$D$12,E80)),1,0))+IF(Classifiers!$E$12="",0,IF(ISNUMBER(SEARCH(Classifiers!$E$12,E80)),1,0))+IF(Classifiers!$F$12="",0,IF(ISNUMBER(SEARCH(Classifiers!$F$12,E80)),1,0))+IF(Classifiers!$G$12="",0,IF(ISNUMBER(SEARCH(Classifiers!$G$12,E80)),1,0)))&gt;0,1,0))</f>
        <v/>
      </c>
      <c r="R80" s="12">
        <f>IF(H80&lt;&gt;1,0,IF((IF(Classifiers!$B$13="",0,IF(ISNUMBER(SEARCH(Classifiers!$B$13,E80)),1,0))+IF(Classifiers!$C$13="",0,IF(ISNUMBER(SEARCH(Classifiers!$C$13,E80)),1,0))+IF(Classifiers!$D$13="",0,IF(ISNUMBER(SEARCH(Classifiers!$D$13,E80)),1,0))+IF(Classifiers!$E$13="",0,IF(ISNUMBER(SEARCH(Classifiers!$E$13,E80)),1,0))+IF(Classifiers!$F$13="",0,IF(ISNUMBER(SEARCH(Classifiers!$F$13,E80)),1,0))+IF(Classifiers!$G$13="",0,IF(ISNUMBER(SEARCH(Classifiers!$G$13,E80)),1,0)))&gt;0,1,0))</f>
        <v/>
      </c>
      <c r="S80" s="12">
        <f>IF(H80&lt;&gt;1,0,IF((IF(Classifiers!$B$14="",0,IF(ISNUMBER(SEARCH(Classifiers!$B$14,E80)),1,0))+IF(Classifiers!$C$14="",0,IF(ISNUMBER(SEARCH(Classifiers!$C$14,E80)),1,0))+IF(Classifiers!$D$14="",0,IF(ISNUMBER(SEARCH(Classifiers!$D$14,E80)),1,0))+IF(Classifiers!$E$14="",0,IF(ISNUMBER(SEARCH(Classifiers!$E$14,E80)),1,0))+IF(Classifiers!$F$14="",0,IF(ISNUMBER(SEARCH(Classifiers!$F$14,E80)),1,0))+IF(Classifiers!$G$14="",0,IF(ISNUMBER(SEARCH(Classifiers!$G$14,E80)),1,0)))&gt;0,1,0))</f>
        <v/>
      </c>
      <c r="T80" s="12">
        <f>IF(H80&lt;&gt;1,0,IF((IF(Classifiers!$B$15="",0,IF(ISNUMBER(SEARCH(Classifiers!$B$15,E80)),1,0))+IF(Classifiers!$C$15="",0,IF(ISNUMBER(SEARCH(Classifiers!$C$15,E80)),1,0))+IF(Classifiers!$D$15="",0,IF(ISNUMBER(SEARCH(Classifiers!$D$15,E80)),1,0))+IF(Classifiers!$E$15="",0,IF(ISNUMBER(SEARCH(Classifiers!$E$15,E80)),1,0))+IF(Classifiers!$F$15="",0,IF(ISNUMBER(SEARCH(Classifiers!$F$15,E80)),1,0))+IF(Classifiers!$G$15="",0,IF(ISNUMBER(SEARCH(Classifiers!$G$15,E80)),1,0)))&gt;0,1,0))</f>
        <v/>
      </c>
      <c r="U80" s="12">
        <f>IF(H80&lt;&gt;1,0,IF((IF(Classifiers!$B$16="",0,IF(ISNUMBER(SEARCH(Classifiers!$B$16,E80)),1,0))+IF(Classifiers!$C$16="",0,IF(ISNUMBER(SEARCH(Classifiers!$C$16,E80)),1,0))+IF(Classifiers!$D$16="",0,IF(ISNUMBER(SEARCH(Classifiers!$D$16,E80)),1,0))+IF(Classifiers!$E$16="",0,IF(ISNUMBER(SEARCH(Classifiers!$E$16,E80)),1,0))+IF(Classifiers!$F$16="",0,IF(ISNUMBER(SEARCH(Classifiers!$F$16,E80)),1,0))+IF(Classifiers!$G$16="",0,IF(ISNUMBER(SEARCH(Classifiers!$G$16,E80)),1,0)))&gt;0,1,0))</f>
        <v/>
      </c>
      <c r="V80" s="12">
        <f>IF(H80&lt;&gt;1,0,IF((IF(Classifiers!$B$17="",0,IF(ISNUMBER(SEARCH(Classifiers!$B$17,E80)),1,0))+IF(Classifiers!$C$17="",0,IF(ISNUMBER(SEARCH(Classifiers!$C$17,E80)),1,0))+IF(Classifiers!$D$17="",0,IF(ISNUMBER(SEARCH(Classifiers!$D$17,E80)),1,0))+IF(Classifiers!$E$17="",0,IF(ISNUMBER(SEARCH(Classifiers!$E$17,E80)),1,0))+IF(Classifiers!$F$17="",0,IF(ISNUMBER(SEARCH(Classifiers!$F$17,E80)),1,0))+IF(Classifiers!$G$17="",0,IF(ISNUMBER(SEARCH(Classifiers!$G$17,E80)),1,0)))&gt;0,1,0))</f>
        <v/>
      </c>
      <c r="W80" s="12">
        <f>IF(H80&lt;&gt;1,0,IF((IF(Classifiers!$B$18="",0,IF(ISNUMBER(SEARCH(Classifiers!$B$18,E80)),1,0))+IF(Classifiers!$C$18="",0,IF(ISNUMBER(SEARCH(Classifiers!$C$18,E80)),1,0))+IF(Classifiers!$D$18="",0,IF(ISNUMBER(SEARCH(Classifiers!$D$18,E80)),1,0))+IF(Classifiers!$E$18="",0,IF(ISNUMBER(SEARCH(Classifiers!$E$18,E80)),1,0))+IF(Classifiers!$F$18="",0,IF(ISNUMBER(SEARCH(Classifiers!$F$18,E80)),1,0))+IF(Classifiers!$G$18="",0,IF(ISNUMBER(SEARCH(Classifiers!$G$18,E80)),1,0)))&gt;0,1,0))</f>
        <v/>
      </c>
    </row>
    <row r="81">
      <c r="A81" s="8" t="n"/>
      <c r="B81" s="11" t="n"/>
      <c r="C81" s="6">
        <f>IF(A81="","",TRIM(RIGHT(SUBSTITUTE(A81,"/",REPT(" ",250)),250)))</f>
        <v/>
      </c>
      <c r="D81" s="6">
        <f>IF(C81="","",IF(ISNUMBER(SEARCH(".",C81)),LOWER("."&amp;TRIM(RIGHT(SUBSTITUTE(C81,".",REPT(" ",250)),250))),""))</f>
        <v/>
      </c>
      <c r="E81" s="6">
        <f>IF(C81="","",TRIM(SUBSTITUTE(SUBSTITUTE(SUBSTITUTE(SUBSTITUTE(SUBSTITUTE(SUBSTITUTE(SUBSTITUTE(SUBSTITUTE(SUBSTITUTE(SUBSTITUTE(SUBSTITUTE(SUBSTITUTE(SUBSTITUTE(SUBSTITUTE(SUBSTITUTE(SUBSTITUTE(SUBSTITUTE(SUBSTITUTE(SUBSTITUTE(SUBSTITUTE(LOWER(LEFT(C81,LEN(C81)-LEN(D81))),"_"," "),"-"," "),"."," "),","," "),"("," "),")"," "),"["," "),"]"," "),"&amp;"," "),"+"," "),"@"," "),"#"," "),"!"," "),"'"," "),"/"," "),":"," "),";"," "),"="," "),"~"," "),"%"," ")))</f>
        <v/>
      </c>
      <c r="F81" s="6">
        <f>IF(C81="","",IF(COUNTIF(Classifiers!$A$23:$A$40,D81)&gt;0,1,0))</f>
        <v/>
      </c>
      <c r="G81" s="6">
        <f>IF(C81="","",IF(COUNTIF(Classifiers!$C$23:$C$30,D81)&gt;0,IF((IF(ISNUMBER(SEARCH(Classifiers!$E$23,E81)),1,0)+IF(ISNUMBER(SEARCH(Classifiers!$E$24,E81)),1,0)+IF(ISNUMBER(SEARCH(Classifiers!$E$25,E81)),1,0)+IF(ISNUMBER(SEARCH(Classifiers!$E$26,E81)),1,0)+IF(ISNUMBER(SEARCH(Classifiers!$E$27,E81)),1,0)+IF(ISNUMBER(SEARCH(Classifiers!$E$28,E81)),1,0)+IF(ISNUMBER(SEARCH(Classifiers!$E$29,E81)),1,0)+IF(ISNUMBER(SEARCH(Classifiers!$E$30,E81)),1,0))&gt;0,1,0),0))</f>
        <v/>
      </c>
      <c r="H81" s="6">
        <f>IF(C81="","",IF(OR(LEFT(C81,1)=".",AND(F81=0,G81=0)),0,1))</f>
        <v/>
      </c>
      <c r="I81" s="6">
        <f>IF(H81&lt;&gt;1,"",IF(SUM(J81:W81)=0,"unclassified",INDEX(Classifiers!$A$5:$A$18,MATCH(1,J81:W81,0),1)))</f>
        <v/>
      </c>
      <c r="J81" s="12">
        <f>IF(H81&lt;&gt;1,0,IF((IF(Classifiers!$B$5="",0,IF(ISNUMBER(SEARCH(Classifiers!$B$5,E81)),1,0))+IF(Classifiers!$C$5="",0,IF(ISNUMBER(SEARCH(Classifiers!$C$5,E81)),1,0))+IF(Classifiers!$D$5="",0,IF(ISNUMBER(SEARCH(Classifiers!$D$5,E81)),1,0))+IF(Classifiers!$E$5="",0,IF(ISNUMBER(SEARCH(Classifiers!$E$5,E81)),1,0))+IF(Classifiers!$F$5="",0,IF(ISNUMBER(SEARCH(Classifiers!$F$5,E81)),1,0))+IF(Classifiers!$G$5="",0,IF(ISNUMBER(SEARCH(Classifiers!$G$5,E81)),1,0)))&gt;0,1,0))</f>
        <v/>
      </c>
      <c r="K81" s="12">
        <f>IF(H81&lt;&gt;1,0,IF((IF(Classifiers!$B$6="",0,IF(ISNUMBER(SEARCH(Classifiers!$B$6,E81)),1,0))+IF(Classifiers!$C$6="",0,IF(ISNUMBER(SEARCH(Classifiers!$C$6,E81)),1,0))+IF(Classifiers!$D$6="",0,IF(ISNUMBER(SEARCH(Classifiers!$D$6,E81)),1,0))+IF(Classifiers!$E$6="",0,IF(ISNUMBER(SEARCH(Classifiers!$E$6,E81)),1,0))+IF(Classifiers!$F$6="",0,IF(ISNUMBER(SEARCH(Classifiers!$F$6,E81)),1,0))+IF(Classifiers!$G$6="",0,IF(ISNUMBER(SEARCH(Classifiers!$G$6,E81)),1,0)))&gt;0,1,0))</f>
        <v/>
      </c>
      <c r="L81" s="12">
        <f>IF(H81&lt;&gt;1,0,IF((IF(Classifiers!$B$7="",0,IF(ISNUMBER(SEARCH(Classifiers!$B$7,E81)),1,0))+IF(Classifiers!$C$7="",0,IF(ISNUMBER(SEARCH(Classifiers!$C$7,E81)),1,0))+IF(Classifiers!$D$7="",0,IF(ISNUMBER(SEARCH(Classifiers!$D$7,E81)),1,0))+IF(Classifiers!$E$7="",0,IF(ISNUMBER(SEARCH(Classifiers!$E$7,E81)),1,0))+IF(Classifiers!$F$7="",0,IF(ISNUMBER(SEARCH(Classifiers!$F$7,E81)),1,0))+IF(Classifiers!$G$7="",0,IF(ISNUMBER(SEARCH(Classifiers!$G$7,E81)),1,0)))&gt;0,1,0))</f>
        <v/>
      </c>
      <c r="M81" s="12">
        <f>IF(H81&lt;&gt;1,0,IF((IF(Classifiers!$B$8="",0,IF(ISNUMBER(SEARCH(Classifiers!$B$8,E81)),1,0))+IF(Classifiers!$C$8="",0,IF(ISNUMBER(SEARCH(Classifiers!$C$8,E81)),1,0))+IF(Classifiers!$D$8="",0,IF(ISNUMBER(SEARCH(Classifiers!$D$8,E81)),1,0))+IF(Classifiers!$E$8="",0,IF(ISNUMBER(SEARCH(Classifiers!$E$8,E81)),1,0))+IF(Classifiers!$F$8="",0,IF(ISNUMBER(SEARCH(Classifiers!$F$8,E81)),1,0))+IF(Classifiers!$G$8="",0,IF(ISNUMBER(SEARCH(Classifiers!$G$8,E81)),1,0)))&gt;0,1,0))</f>
        <v/>
      </c>
      <c r="N81" s="12">
        <f>IF(H81&lt;&gt;1,0,IF((IF(Classifiers!$B$9="",0,IF(ISNUMBER(SEARCH(Classifiers!$B$9,E81)),1,0))+IF(Classifiers!$C$9="",0,IF(ISNUMBER(SEARCH(Classifiers!$C$9,E81)),1,0))+IF(Classifiers!$D$9="",0,IF(ISNUMBER(SEARCH(Classifiers!$D$9,E81)),1,0))+IF(Classifiers!$E$9="",0,IF(ISNUMBER(SEARCH(Classifiers!$E$9,E81)),1,0))+IF(Classifiers!$F$9="",0,IF(ISNUMBER(SEARCH(Classifiers!$F$9,E81)),1,0))+IF(Classifiers!$G$9="",0,IF(ISNUMBER(SEARCH(Classifiers!$G$9,E81)),1,0)))&gt;0,1,0))</f>
        <v/>
      </c>
      <c r="O81" s="12">
        <f>IF(H81&lt;&gt;1,0,IF((IF(Classifiers!$B$10="",0,IF(ISNUMBER(SEARCH(Classifiers!$B$10,E81)),1,0))+IF(Classifiers!$C$10="",0,IF(ISNUMBER(SEARCH(Classifiers!$C$10,E81)),1,0))+IF(Classifiers!$D$10="",0,IF(ISNUMBER(SEARCH(Classifiers!$D$10,E81)),1,0))+IF(Classifiers!$E$10="",0,IF(ISNUMBER(SEARCH(Classifiers!$E$10,E81)),1,0))+IF(Classifiers!$F$10="",0,IF(ISNUMBER(SEARCH(Classifiers!$F$10,E81)),1,0))+IF(Classifiers!$G$10="",0,IF(ISNUMBER(SEARCH(Classifiers!$G$10,E81)),1,0)))&gt;0,1,0))</f>
        <v/>
      </c>
      <c r="P81" s="12">
        <f>IF(H81&lt;&gt;1,0,IF((IF(Classifiers!$B$11="",0,IF(ISNUMBER(SEARCH(Classifiers!$B$11,E81)),1,0))+IF(Classifiers!$C$11="",0,IF(ISNUMBER(SEARCH(Classifiers!$C$11,E81)),1,0))+IF(Classifiers!$D$11="",0,IF(ISNUMBER(SEARCH(Classifiers!$D$11,E81)),1,0))+IF(Classifiers!$E$11="",0,IF(ISNUMBER(SEARCH(Classifiers!$E$11,E81)),1,0))+IF(Classifiers!$F$11="",0,IF(ISNUMBER(SEARCH(Classifiers!$F$11,E81)),1,0))+IF(Classifiers!$G$11="",0,IF(ISNUMBER(SEARCH(Classifiers!$G$11,E81)),1,0)))&gt;0,1,0))</f>
        <v/>
      </c>
      <c r="Q81" s="12">
        <f>IF(H81&lt;&gt;1,0,IF((IF(Classifiers!$B$12="",0,IF(ISNUMBER(SEARCH(Classifiers!$B$12,E81)),1,0))+IF(Classifiers!$C$12="",0,IF(ISNUMBER(SEARCH(Classifiers!$C$12,E81)),1,0))+IF(Classifiers!$D$12="",0,IF(ISNUMBER(SEARCH(Classifiers!$D$12,E81)),1,0))+IF(Classifiers!$E$12="",0,IF(ISNUMBER(SEARCH(Classifiers!$E$12,E81)),1,0))+IF(Classifiers!$F$12="",0,IF(ISNUMBER(SEARCH(Classifiers!$F$12,E81)),1,0))+IF(Classifiers!$G$12="",0,IF(ISNUMBER(SEARCH(Classifiers!$G$12,E81)),1,0)))&gt;0,1,0))</f>
        <v/>
      </c>
      <c r="R81" s="12">
        <f>IF(H81&lt;&gt;1,0,IF((IF(Classifiers!$B$13="",0,IF(ISNUMBER(SEARCH(Classifiers!$B$13,E81)),1,0))+IF(Classifiers!$C$13="",0,IF(ISNUMBER(SEARCH(Classifiers!$C$13,E81)),1,0))+IF(Classifiers!$D$13="",0,IF(ISNUMBER(SEARCH(Classifiers!$D$13,E81)),1,0))+IF(Classifiers!$E$13="",0,IF(ISNUMBER(SEARCH(Classifiers!$E$13,E81)),1,0))+IF(Classifiers!$F$13="",0,IF(ISNUMBER(SEARCH(Classifiers!$F$13,E81)),1,0))+IF(Classifiers!$G$13="",0,IF(ISNUMBER(SEARCH(Classifiers!$G$13,E81)),1,0)))&gt;0,1,0))</f>
        <v/>
      </c>
      <c r="S81" s="12">
        <f>IF(H81&lt;&gt;1,0,IF((IF(Classifiers!$B$14="",0,IF(ISNUMBER(SEARCH(Classifiers!$B$14,E81)),1,0))+IF(Classifiers!$C$14="",0,IF(ISNUMBER(SEARCH(Classifiers!$C$14,E81)),1,0))+IF(Classifiers!$D$14="",0,IF(ISNUMBER(SEARCH(Classifiers!$D$14,E81)),1,0))+IF(Classifiers!$E$14="",0,IF(ISNUMBER(SEARCH(Classifiers!$E$14,E81)),1,0))+IF(Classifiers!$F$14="",0,IF(ISNUMBER(SEARCH(Classifiers!$F$14,E81)),1,0))+IF(Classifiers!$G$14="",0,IF(ISNUMBER(SEARCH(Classifiers!$G$14,E81)),1,0)))&gt;0,1,0))</f>
        <v/>
      </c>
      <c r="T81" s="12">
        <f>IF(H81&lt;&gt;1,0,IF((IF(Classifiers!$B$15="",0,IF(ISNUMBER(SEARCH(Classifiers!$B$15,E81)),1,0))+IF(Classifiers!$C$15="",0,IF(ISNUMBER(SEARCH(Classifiers!$C$15,E81)),1,0))+IF(Classifiers!$D$15="",0,IF(ISNUMBER(SEARCH(Classifiers!$D$15,E81)),1,0))+IF(Classifiers!$E$15="",0,IF(ISNUMBER(SEARCH(Classifiers!$E$15,E81)),1,0))+IF(Classifiers!$F$15="",0,IF(ISNUMBER(SEARCH(Classifiers!$F$15,E81)),1,0))+IF(Classifiers!$G$15="",0,IF(ISNUMBER(SEARCH(Classifiers!$G$15,E81)),1,0)))&gt;0,1,0))</f>
        <v/>
      </c>
      <c r="U81" s="12">
        <f>IF(H81&lt;&gt;1,0,IF((IF(Classifiers!$B$16="",0,IF(ISNUMBER(SEARCH(Classifiers!$B$16,E81)),1,0))+IF(Classifiers!$C$16="",0,IF(ISNUMBER(SEARCH(Classifiers!$C$16,E81)),1,0))+IF(Classifiers!$D$16="",0,IF(ISNUMBER(SEARCH(Classifiers!$D$16,E81)),1,0))+IF(Classifiers!$E$16="",0,IF(ISNUMBER(SEARCH(Classifiers!$E$16,E81)),1,0))+IF(Classifiers!$F$16="",0,IF(ISNUMBER(SEARCH(Classifiers!$F$16,E81)),1,0))+IF(Classifiers!$G$16="",0,IF(ISNUMBER(SEARCH(Classifiers!$G$16,E81)),1,0)))&gt;0,1,0))</f>
        <v/>
      </c>
      <c r="V81" s="12">
        <f>IF(H81&lt;&gt;1,0,IF((IF(Classifiers!$B$17="",0,IF(ISNUMBER(SEARCH(Classifiers!$B$17,E81)),1,0))+IF(Classifiers!$C$17="",0,IF(ISNUMBER(SEARCH(Classifiers!$C$17,E81)),1,0))+IF(Classifiers!$D$17="",0,IF(ISNUMBER(SEARCH(Classifiers!$D$17,E81)),1,0))+IF(Classifiers!$E$17="",0,IF(ISNUMBER(SEARCH(Classifiers!$E$17,E81)),1,0))+IF(Classifiers!$F$17="",0,IF(ISNUMBER(SEARCH(Classifiers!$F$17,E81)),1,0))+IF(Classifiers!$G$17="",0,IF(ISNUMBER(SEARCH(Classifiers!$G$17,E81)),1,0)))&gt;0,1,0))</f>
        <v/>
      </c>
      <c r="W81" s="12">
        <f>IF(H81&lt;&gt;1,0,IF((IF(Classifiers!$B$18="",0,IF(ISNUMBER(SEARCH(Classifiers!$B$18,E81)),1,0))+IF(Classifiers!$C$18="",0,IF(ISNUMBER(SEARCH(Classifiers!$C$18,E81)),1,0))+IF(Classifiers!$D$18="",0,IF(ISNUMBER(SEARCH(Classifiers!$D$18,E81)),1,0))+IF(Classifiers!$E$18="",0,IF(ISNUMBER(SEARCH(Classifiers!$E$18,E81)),1,0))+IF(Classifiers!$F$18="",0,IF(ISNUMBER(SEARCH(Classifiers!$F$18,E81)),1,0))+IF(Classifiers!$G$18="",0,IF(ISNUMBER(SEARCH(Classifiers!$G$18,E81)),1,0)))&gt;0,1,0))</f>
        <v/>
      </c>
    </row>
    <row r="82">
      <c r="A82" s="8" t="n"/>
      <c r="B82" s="11" t="n"/>
      <c r="C82" s="6">
        <f>IF(A82="","",TRIM(RIGHT(SUBSTITUTE(A82,"/",REPT(" ",250)),250)))</f>
        <v/>
      </c>
      <c r="D82" s="6">
        <f>IF(C82="","",IF(ISNUMBER(SEARCH(".",C82)),LOWER("."&amp;TRIM(RIGHT(SUBSTITUTE(C82,".",REPT(" ",250)),250))),""))</f>
        <v/>
      </c>
      <c r="E82" s="6">
        <f>IF(C82="","",TRIM(SUBSTITUTE(SUBSTITUTE(SUBSTITUTE(SUBSTITUTE(SUBSTITUTE(SUBSTITUTE(SUBSTITUTE(SUBSTITUTE(SUBSTITUTE(SUBSTITUTE(SUBSTITUTE(SUBSTITUTE(SUBSTITUTE(SUBSTITUTE(SUBSTITUTE(SUBSTITUTE(SUBSTITUTE(SUBSTITUTE(SUBSTITUTE(SUBSTITUTE(LOWER(LEFT(C82,LEN(C82)-LEN(D82))),"_"," "),"-"," "),"."," "),","," "),"("," "),")"," "),"["," "),"]"," "),"&amp;"," "),"+"," "),"@"," "),"#"," "),"!"," "),"'"," "),"/"," "),":"," "),";"," "),"="," "),"~"," "),"%"," ")))</f>
        <v/>
      </c>
      <c r="F82" s="6">
        <f>IF(C82="","",IF(COUNTIF(Classifiers!$A$23:$A$40,D82)&gt;0,1,0))</f>
        <v/>
      </c>
      <c r="G82" s="6">
        <f>IF(C82="","",IF(COUNTIF(Classifiers!$C$23:$C$30,D82)&gt;0,IF((IF(ISNUMBER(SEARCH(Classifiers!$E$23,E82)),1,0)+IF(ISNUMBER(SEARCH(Classifiers!$E$24,E82)),1,0)+IF(ISNUMBER(SEARCH(Classifiers!$E$25,E82)),1,0)+IF(ISNUMBER(SEARCH(Classifiers!$E$26,E82)),1,0)+IF(ISNUMBER(SEARCH(Classifiers!$E$27,E82)),1,0)+IF(ISNUMBER(SEARCH(Classifiers!$E$28,E82)),1,0)+IF(ISNUMBER(SEARCH(Classifiers!$E$29,E82)),1,0)+IF(ISNUMBER(SEARCH(Classifiers!$E$30,E82)),1,0))&gt;0,1,0),0))</f>
        <v/>
      </c>
      <c r="H82" s="6">
        <f>IF(C82="","",IF(OR(LEFT(C82,1)=".",AND(F82=0,G82=0)),0,1))</f>
        <v/>
      </c>
      <c r="I82" s="6">
        <f>IF(H82&lt;&gt;1,"",IF(SUM(J82:W82)=0,"unclassified",INDEX(Classifiers!$A$5:$A$18,MATCH(1,J82:W82,0),1)))</f>
        <v/>
      </c>
      <c r="J82" s="12">
        <f>IF(H82&lt;&gt;1,0,IF((IF(Classifiers!$B$5="",0,IF(ISNUMBER(SEARCH(Classifiers!$B$5,E82)),1,0))+IF(Classifiers!$C$5="",0,IF(ISNUMBER(SEARCH(Classifiers!$C$5,E82)),1,0))+IF(Classifiers!$D$5="",0,IF(ISNUMBER(SEARCH(Classifiers!$D$5,E82)),1,0))+IF(Classifiers!$E$5="",0,IF(ISNUMBER(SEARCH(Classifiers!$E$5,E82)),1,0))+IF(Classifiers!$F$5="",0,IF(ISNUMBER(SEARCH(Classifiers!$F$5,E82)),1,0))+IF(Classifiers!$G$5="",0,IF(ISNUMBER(SEARCH(Classifiers!$G$5,E82)),1,0)))&gt;0,1,0))</f>
        <v/>
      </c>
      <c r="K82" s="12">
        <f>IF(H82&lt;&gt;1,0,IF((IF(Classifiers!$B$6="",0,IF(ISNUMBER(SEARCH(Classifiers!$B$6,E82)),1,0))+IF(Classifiers!$C$6="",0,IF(ISNUMBER(SEARCH(Classifiers!$C$6,E82)),1,0))+IF(Classifiers!$D$6="",0,IF(ISNUMBER(SEARCH(Classifiers!$D$6,E82)),1,0))+IF(Classifiers!$E$6="",0,IF(ISNUMBER(SEARCH(Classifiers!$E$6,E82)),1,0))+IF(Classifiers!$F$6="",0,IF(ISNUMBER(SEARCH(Classifiers!$F$6,E82)),1,0))+IF(Classifiers!$G$6="",0,IF(ISNUMBER(SEARCH(Classifiers!$G$6,E82)),1,0)))&gt;0,1,0))</f>
        <v/>
      </c>
      <c r="L82" s="12">
        <f>IF(H82&lt;&gt;1,0,IF((IF(Classifiers!$B$7="",0,IF(ISNUMBER(SEARCH(Classifiers!$B$7,E82)),1,0))+IF(Classifiers!$C$7="",0,IF(ISNUMBER(SEARCH(Classifiers!$C$7,E82)),1,0))+IF(Classifiers!$D$7="",0,IF(ISNUMBER(SEARCH(Classifiers!$D$7,E82)),1,0))+IF(Classifiers!$E$7="",0,IF(ISNUMBER(SEARCH(Classifiers!$E$7,E82)),1,0))+IF(Classifiers!$F$7="",0,IF(ISNUMBER(SEARCH(Classifiers!$F$7,E82)),1,0))+IF(Classifiers!$G$7="",0,IF(ISNUMBER(SEARCH(Classifiers!$G$7,E82)),1,0)))&gt;0,1,0))</f>
        <v/>
      </c>
      <c r="M82" s="12">
        <f>IF(H82&lt;&gt;1,0,IF((IF(Classifiers!$B$8="",0,IF(ISNUMBER(SEARCH(Classifiers!$B$8,E82)),1,0))+IF(Classifiers!$C$8="",0,IF(ISNUMBER(SEARCH(Classifiers!$C$8,E82)),1,0))+IF(Classifiers!$D$8="",0,IF(ISNUMBER(SEARCH(Classifiers!$D$8,E82)),1,0))+IF(Classifiers!$E$8="",0,IF(ISNUMBER(SEARCH(Classifiers!$E$8,E82)),1,0))+IF(Classifiers!$F$8="",0,IF(ISNUMBER(SEARCH(Classifiers!$F$8,E82)),1,0))+IF(Classifiers!$G$8="",0,IF(ISNUMBER(SEARCH(Classifiers!$G$8,E82)),1,0)))&gt;0,1,0))</f>
        <v/>
      </c>
      <c r="N82" s="12">
        <f>IF(H82&lt;&gt;1,0,IF((IF(Classifiers!$B$9="",0,IF(ISNUMBER(SEARCH(Classifiers!$B$9,E82)),1,0))+IF(Classifiers!$C$9="",0,IF(ISNUMBER(SEARCH(Classifiers!$C$9,E82)),1,0))+IF(Classifiers!$D$9="",0,IF(ISNUMBER(SEARCH(Classifiers!$D$9,E82)),1,0))+IF(Classifiers!$E$9="",0,IF(ISNUMBER(SEARCH(Classifiers!$E$9,E82)),1,0))+IF(Classifiers!$F$9="",0,IF(ISNUMBER(SEARCH(Classifiers!$F$9,E82)),1,0))+IF(Classifiers!$G$9="",0,IF(ISNUMBER(SEARCH(Classifiers!$G$9,E82)),1,0)))&gt;0,1,0))</f>
        <v/>
      </c>
      <c r="O82" s="12">
        <f>IF(H82&lt;&gt;1,0,IF((IF(Classifiers!$B$10="",0,IF(ISNUMBER(SEARCH(Classifiers!$B$10,E82)),1,0))+IF(Classifiers!$C$10="",0,IF(ISNUMBER(SEARCH(Classifiers!$C$10,E82)),1,0))+IF(Classifiers!$D$10="",0,IF(ISNUMBER(SEARCH(Classifiers!$D$10,E82)),1,0))+IF(Classifiers!$E$10="",0,IF(ISNUMBER(SEARCH(Classifiers!$E$10,E82)),1,0))+IF(Classifiers!$F$10="",0,IF(ISNUMBER(SEARCH(Classifiers!$F$10,E82)),1,0))+IF(Classifiers!$G$10="",0,IF(ISNUMBER(SEARCH(Classifiers!$G$10,E82)),1,0)))&gt;0,1,0))</f>
        <v/>
      </c>
      <c r="P82" s="12">
        <f>IF(H82&lt;&gt;1,0,IF((IF(Classifiers!$B$11="",0,IF(ISNUMBER(SEARCH(Classifiers!$B$11,E82)),1,0))+IF(Classifiers!$C$11="",0,IF(ISNUMBER(SEARCH(Classifiers!$C$11,E82)),1,0))+IF(Classifiers!$D$11="",0,IF(ISNUMBER(SEARCH(Classifiers!$D$11,E82)),1,0))+IF(Classifiers!$E$11="",0,IF(ISNUMBER(SEARCH(Classifiers!$E$11,E82)),1,0))+IF(Classifiers!$F$11="",0,IF(ISNUMBER(SEARCH(Classifiers!$F$11,E82)),1,0))+IF(Classifiers!$G$11="",0,IF(ISNUMBER(SEARCH(Classifiers!$G$11,E82)),1,0)))&gt;0,1,0))</f>
        <v/>
      </c>
      <c r="Q82" s="12">
        <f>IF(H82&lt;&gt;1,0,IF((IF(Classifiers!$B$12="",0,IF(ISNUMBER(SEARCH(Classifiers!$B$12,E82)),1,0))+IF(Classifiers!$C$12="",0,IF(ISNUMBER(SEARCH(Classifiers!$C$12,E82)),1,0))+IF(Classifiers!$D$12="",0,IF(ISNUMBER(SEARCH(Classifiers!$D$12,E82)),1,0))+IF(Classifiers!$E$12="",0,IF(ISNUMBER(SEARCH(Classifiers!$E$12,E82)),1,0))+IF(Classifiers!$F$12="",0,IF(ISNUMBER(SEARCH(Classifiers!$F$12,E82)),1,0))+IF(Classifiers!$G$12="",0,IF(ISNUMBER(SEARCH(Classifiers!$G$12,E82)),1,0)))&gt;0,1,0))</f>
        <v/>
      </c>
      <c r="R82" s="12">
        <f>IF(H82&lt;&gt;1,0,IF((IF(Classifiers!$B$13="",0,IF(ISNUMBER(SEARCH(Classifiers!$B$13,E82)),1,0))+IF(Classifiers!$C$13="",0,IF(ISNUMBER(SEARCH(Classifiers!$C$13,E82)),1,0))+IF(Classifiers!$D$13="",0,IF(ISNUMBER(SEARCH(Classifiers!$D$13,E82)),1,0))+IF(Classifiers!$E$13="",0,IF(ISNUMBER(SEARCH(Classifiers!$E$13,E82)),1,0))+IF(Classifiers!$F$13="",0,IF(ISNUMBER(SEARCH(Classifiers!$F$13,E82)),1,0))+IF(Classifiers!$G$13="",0,IF(ISNUMBER(SEARCH(Classifiers!$G$13,E82)),1,0)))&gt;0,1,0))</f>
        <v/>
      </c>
      <c r="S82" s="12">
        <f>IF(H82&lt;&gt;1,0,IF((IF(Classifiers!$B$14="",0,IF(ISNUMBER(SEARCH(Classifiers!$B$14,E82)),1,0))+IF(Classifiers!$C$14="",0,IF(ISNUMBER(SEARCH(Classifiers!$C$14,E82)),1,0))+IF(Classifiers!$D$14="",0,IF(ISNUMBER(SEARCH(Classifiers!$D$14,E82)),1,0))+IF(Classifiers!$E$14="",0,IF(ISNUMBER(SEARCH(Classifiers!$E$14,E82)),1,0))+IF(Classifiers!$F$14="",0,IF(ISNUMBER(SEARCH(Classifiers!$F$14,E82)),1,0))+IF(Classifiers!$G$14="",0,IF(ISNUMBER(SEARCH(Classifiers!$G$14,E82)),1,0)))&gt;0,1,0))</f>
        <v/>
      </c>
      <c r="T82" s="12">
        <f>IF(H82&lt;&gt;1,0,IF((IF(Classifiers!$B$15="",0,IF(ISNUMBER(SEARCH(Classifiers!$B$15,E82)),1,0))+IF(Classifiers!$C$15="",0,IF(ISNUMBER(SEARCH(Classifiers!$C$15,E82)),1,0))+IF(Classifiers!$D$15="",0,IF(ISNUMBER(SEARCH(Classifiers!$D$15,E82)),1,0))+IF(Classifiers!$E$15="",0,IF(ISNUMBER(SEARCH(Classifiers!$E$15,E82)),1,0))+IF(Classifiers!$F$15="",0,IF(ISNUMBER(SEARCH(Classifiers!$F$15,E82)),1,0))+IF(Classifiers!$G$15="",0,IF(ISNUMBER(SEARCH(Classifiers!$G$15,E82)),1,0)))&gt;0,1,0))</f>
        <v/>
      </c>
      <c r="U82" s="12">
        <f>IF(H82&lt;&gt;1,0,IF((IF(Classifiers!$B$16="",0,IF(ISNUMBER(SEARCH(Classifiers!$B$16,E82)),1,0))+IF(Classifiers!$C$16="",0,IF(ISNUMBER(SEARCH(Classifiers!$C$16,E82)),1,0))+IF(Classifiers!$D$16="",0,IF(ISNUMBER(SEARCH(Classifiers!$D$16,E82)),1,0))+IF(Classifiers!$E$16="",0,IF(ISNUMBER(SEARCH(Classifiers!$E$16,E82)),1,0))+IF(Classifiers!$F$16="",0,IF(ISNUMBER(SEARCH(Classifiers!$F$16,E82)),1,0))+IF(Classifiers!$G$16="",0,IF(ISNUMBER(SEARCH(Classifiers!$G$16,E82)),1,0)))&gt;0,1,0))</f>
        <v/>
      </c>
      <c r="V82" s="12">
        <f>IF(H82&lt;&gt;1,0,IF((IF(Classifiers!$B$17="",0,IF(ISNUMBER(SEARCH(Classifiers!$B$17,E82)),1,0))+IF(Classifiers!$C$17="",0,IF(ISNUMBER(SEARCH(Classifiers!$C$17,E82)),1,0))+IF(Classifiers!$D$17="",0,IF(ISNUMBER(SEARCH(Classifiers!$D$17,E82)),1,0))+IF(Classifiers!$E$17="",0,IF(ISNUMBER(SEARCH(Classifiers!$E$17,E82)),1,0))+IF(Classifiers!$F$17="",0,IF(ISNUMBER(SEARCH(Classifiers!$F$17,E82)),1,0))+IF(Classifiers!$G$17="",0,IF(ISNUMBER(SEARCH(Classifiers!$G$17,E82)),1,0)))&gt;0,1,0))</f>
        <v/>
      </c>
      <c r="W82" s="12">
        <f>IF(H82&lt;&gt;1,0,IF((IF(Classifiers!$B$18="",0,IF(ISNUMBER(SEARCH(Classifiers!$B$18,E82)),1,0))+IF(Classifiers!$C$18="",0,IF(ISNUMBER(SEARCH(Classifiers!$C$18,E82)),1,0))+IF(Classifiers!$D$18="",0,IF(ISNUMBER(SEARCH(Classifiers!$D$18,E82)),1,0))+IF(Classifiers!$E$18="",0,IF(ISNUMBER(SEARCH(Classifiers!$E$18,E82)),1,0))+IF(Classifiers!$F$18="",0,IF(ISNUMBER(SEARCH(Classifiers!$F$18,E82)),1,0))+IF(Classifiers!$G$18="",0,IF(ISNUMBER(SEARCH(Classifiers!$G$18,E82)),1,0)))&gt;0,1,0))</f>
        <v/>
      </c>
    </row>
    <row r="83">
      <c r="A83" s="8" t="n"/>
      <c r="B83" s="11" t="n"/>
      <c r="C83" s="6">
        <f>IF(A83="","",TRIM(RIGHT(SUBSTITUTE(A83,"/",REPT(" ",250)),250)))</f>
        <v/>
      </c>
      <c r="D83" s="6">
        <f>IF(C83="","",IF(ISNUMBER(SEARCH(".",C83)),LOWER("."&amp;TRIM(RIGHT(SUBSTITUTE(C83,".",REPT(" ",250)),250))),""))</f>
        <v/>
      </c>
      <c r="E83" s="6">
        <f>IF(C83="","",TRIM(SUBSTITUTE(SUBSTITUTE(SUBSTITUTE(SUBSTITUTE(SUBSTITUTE(SUBSTITUTE(SUBSTITUTE(SUBSTITUTE(SUBSTITUTE(SUBSTITUTE(SUBSTITUTE(SUBSTITUTE(SUBSTITUTE(SUBSTITUTE(SUBSTITUTE(SUBSTITUTE(SUBSTITUTE(SUBSTITUTE(SUBSTITUTE(SUBSTITUTE(LOWER(LEFT(C83,LEN(C83)-LEN(D83))),"_"," "),"-"," "),"."," "),","," "),"("," "),")"," "),"["," "),"]"," "),"&amp;"," "),"+"," "),"@"," "),"#"," "),"!"," "),"'"," "),"/"," "),":"," "),";"," "),"="," "),"~"," "),"%"," ")))</f>
        <v/>
      </c>
      <c r="F83" s="6">
        <f>IF(C83="","",IF(COUNTIF(Classifiers!$A$23:$A$40,D83)&gt;0,1,0))</f>
        <v/>
      </c>
      <c r="G83" s="6">
        <f>IF(C83="","",IF(COUNTIF(Classifiers!$C$23:$C$30,D83)&gt;0,IF((IF(ISNUMBER(SEARCH(Classifiers!$E$23,E83)),1,0)+IF(ISNUMBER(SEARCH(Classifiers!$E$24,E83)),1,0)+IF(ISNUMBER(SEARCH(Classifiers!$E$25,E83)),1,0)+IF(ISNUMBER(SEARCH(Classifiers!$E$26,E83)),1,0)+IF(ISNUMBER(SEARCH(Classifiers!$E$27,E83)),1,0)+IF(ISNUMBER(SEARCH(Classifiers!$E$28,E83)),1,0)+IF(ISNUMBER(SEARCH(Classifiers!$E$29,E83)),1,0)+IF(ISNUMBER(SEARCH(Classifiers!$E$30,E83)),1,0))&gt;0,1,0),0))</f>
        <v/>
      </c>
      <c r="H83" s="6">
        <f>IF(C83="","",IF(OR(LEFT(C83,1)=".",AND(F83=0,G83=0)),0,1))</f>
        <v/>
      </c>
      <c r="I83" s="6">
        <f>IF(H83&lt;&gt;1,"",IF(SUM(J83:W83)=0,"unclassified",INDEX(Classifiers!$A$5:$A$18,MATCH(1,J83:W83,0),1)))</f>
        <v/>
      </c>
      <c r="J83" s="12">
        <f>IF(H83&lt;&gt;1,0,IF((IF(Classifiers!$B$5="",0,IF(ISNUMBER(SEARCH(Classifiers!$B$5,E83)),1,0))+IF(Classifiers!$C$5="",0,IF(ISNUMBER(SEARCH(Classifiers!$C$5,E83)),1,0))+IF(Classifiers!$D$5="",0,IF(ISNUMBER(SEARCH(Classifiers!$D$5,E83)),1,0))+IF(Classifiers!$E$5="",0,IF(ISNUMBER(SEARCH(Classifiers!$E$5,E83)),1,0))+IF(Classifiers!$F$5="",0,IF(ISNUMBER(SEARCH(Classifiers!$F$5,E83)),1,0))+IF(Classifiers!$G$5="",0,IF(ISNUMBER(SEARCH(Classifiers!$G$5,E83)),1,0)))&gt;0,1,0))</f>
        <v/>
      </c>
      <c r="K83" s="12">
        <f>IF(H83&lt;&gt;1,0,IF((IF(Classifiers!$B$6="",0,IF(ISNUMBER(SEARCH(Classifiers!$B$6,E83)),1,0))+IF(Classifiers!$C$6="",0,IF(ISNUMBER(SEARCH(Classifiers!$C$6,E83)),1,0))+IF(Classifiers!$D$6="",0,IF(ISNUMBER(SEARCH(Classifiers!$D$6,E83)),1,0))+IF(Classifiers!$E$6="",0,IF(ISNUMBER(SEARCH(Classifiers!$E$6,E83)),1,0))+IF(Classifiers!$F$6="",0,IF(ISNUMBER(SEARCH(Classifiers!$F$6,E83)),1,0))+IF(Classifiers!$G$6="",0,IF(ISNUMBER(SEARCH(Classifiers!$G$6,E83)),1,0)))&gt;0,1,0))</f>
        <v/>
      </c>
      <c r="L83" s="12">
        <f>IF(H83&lt;&gt;1,0,IF((IF(Classifiers!$B$7="",0,IF(ISNUMBER(SEARCH(Classifiers!$B$7,E83)),1,0))+IF(Classifiers!$C$7="",0,IF(ISNUMBER(SEARCH(Classifiers!$C$7,E83)),1,0))+IF(Classifiers!$D$7="",0,IF(ISNUMBER(SEARCH(Classifiers!$D$7,E83)),1,0))+IF(Classifiers!$E$7="",0,IF(ISNUMBER(SEARCH(Classifiers!$E$7,E83)),1,0))+IF(Classifiers!$F$7="",0,IF(ISNUMBER(SEARCH(Classifiers!$F$7,E83)),1,0))+IF(Classifiers!$G$7="",0,IF(ISNUMBER(SEARCH(Classifiers!$G$7,E83)),1,0)))&gt;0,1,0))</f>
        <v/>
      </c>
      <c r="M83" s="12">
        <f>IF(H83&lt;&gt;1,0,IF((IF(Classifiers!$B$8="",0,IF(ISNUMBER(SEARCH(Classifiers!$B$8,E83)),1,0))+IF(Classifiers!$C$8="",0,IF(ISNUMBER(SEARCH(Classifiers!$C$8,E83)),1,0))+IF(Classifiers!$D$8="",0,IF(ISNUMBER(SEARCH(Classifiers!$D$8,E83)),1,0))+IF(Classifiers!$E$8="",0,IF(ISNUMBER(SEARCH(Classifiers!$E$8,E83)),1,0))+IF(Classifiers!$F$8="",0,IF(ISNUMBER(SEARCH(Classifiers!$F$8,E83)),1,0))+IF(Classifiers!$G$8="",0,IF(ISNUMBER(SEARCH(Classifiers!$G$8,E83)),1,0)))&gt;0,1,0))</f>
        <v/>
      </c>
      <c r="N83" s="12">
        <f>IF(H83&lt;&gt;1,0,IF((IF(Classifiers!$B$9="",0,IF(ISNUMBER(SEARCH(Classifiers!$B$9,E83)),1,0))+IF(Classifiers!$C$9="",0,IF(ISNUMBER(SEARCH(Classifiers!$C$9,E83)),1,0))+IF(Classifiers!$D$9="",0,IF(ISNUMBER(SEARCH(Classifiers!$D$9,E83)),1,0))+IF(Classifiers!$E$9="",0,IF(ISNUMBER(SEARCH(Classifiers!$E$9,E83)),1,0))+IF(Classifiers!$F$9="",0,IF(ISNUMBER(SEARCH(Classifiers!$F$9,E83)),1,0))+IF(Classifiers!$G$9="",0,IF(ISNUMBER(SEARCH(Classifiers!$G$9,E83)),1,0)))&gt;0,1,0))</f>
        <v/>
      </c>
      <c r="O83" s="12">
        <f>IF(H83&lt;&gt;1,0,IF((IF(Classifiers!$B$10="",0,IF(ISNUMBER(SEARCH(Classifiers!$B$10,E83)),1,0))+IF(Classifiers!$C$10="",0,IF(ISNUMBER(SEARCH(Classifiers!$C$10,E83)),1,0))+IF(Classifiers!$D$10="",0,IF(ISNUMBER(SEARCH(Classifiers!$D$10,E83)),1,0))+IF(Classifiers!$E$10="",0,IF(ISNUMBER(SEARCH(Classifiers!$E$10,E83)),1,0))+IF(Classifiers!$F$10="",0,IF(ISNUMBER(SEARCH(Classifiers!$F$10,E83)),1,0))+IF(Classifiers!$G$10="",0,IF(ISNUMBER(SEARCH(Classifiers!$G$10,E83)),1,0)))&gt;0,1,0))</f>
        <v/>
      </c>
      <c r="P83" s="12">
        <f>IF(H83&lt;&gt;1,0,IF((IF(Classifiers!$B$11="",0,IF(ISNUMBER(SEARCH(Classifiers!$B$11,E83)),1,0))+IF(Classifiers!$C$11="",0,IF(ISNUMBER(SEARCH(Classifiers!$C$11,E83)),1,0))+IF(Classifiers!$D$11="",0,IF(ISNUMBER(SEARCH(Classifiers!$D$11,E83)),1,0))+IF(Classifiers!$E$11="",0,IF(ISNUMBER(SEARCH(Classifiers!$E$11,E83)),1,0))+IF(Classifiers!$F$11="",0,IF(ISNUMBER(SEARCH(Classifiers!$F$11,E83)),1,0))+IF(Classifiers!$G$11="",0,IF(ISNUMBER(SEARCH(Classifiers!$G$11,E83)),1,0)))&gt;0,1,0))</f>
        <v/>
      </c>
      <c r="Q83" s="12">
        <f>IF(H83&lt;&gt;1,0,IF((IF(Classifiers!$B$12="",0,IF(ISNUMBER(SEARCH(Classifiers!$B$12,E83)),1,0))+IF(Classifiers!$C$12="",0,IF(ISNUMBER(SEARCH(Classifiers!$C$12,E83)),1,0))+IF(Classifiers!$D$12="",0,IF(ISNUMBER(SEARCH(Classifiers!$D$12,E83)),1,0))+IF(Classifiers!$E$12="",0,IF(ISNUMBER(SEARCH(Classifiers!$E$12,E83)),1,0))+IF(Classifiers!$F$12="",0,IF(ISNUMBER(SEARCH(Classifiers!$F$12,E83)),1,0))+IF(Classifiers!$G$12="",0,IF(ISNUMBER(SEARCH(Classifiers!$G$12,E83)),1,0)))&gt;0,1,0))</f>
        <v/>
      </c>
      <c r="R83" s="12">
        <f>IF(H83&lt;&gt;1,0,IF((IF(Classifiers!$B$13="",0,IF(ISNUMBER(SEARCH(Classifiers!$B$13,E83)),1,0))+IF(Classifiers!$C$13="",0,IF(ISNUMBER(SEARCH(Classifiers!$C$13,E83)),1,0))+IF(Classifiers!$D$13="",0,IF(ISNUMBER(SEARCH(Classifiers!$D$13,E83)),1,0))+IF(Classifiers!$E$13="",0,IF(ISNUMBER(SEARCH(Classifiers!$E$13,E83)),1,0))+IF(Classifiers!$F$13="",0,IF(ISNUMBER(SEARCH(Classifiers!$F$13,E83)),1,0))+IF(Classifiers!$G$13="",0,IF(ISNUMBER(SEARCH(Classifiers!$G$13,E83)),1,0)))&gt;0,1,0))</f>
        <v/>
      </c>
      <c r="S83" s="12">
        <f>IF(H83&lt;&gt;1,0,IF((IF(Classifiers!$B$14="",0,IF(ISNUMBER(SEARCH(Classifiers!$B$14,E83)),1,0))+IF(Classifiers!$C$14="",0,IF(ISNUMBER(SEARCH(Classifiers!$C$14,E83)),1,0))+IF(Classifiers!$D$14="",0,IF(ISNUMBER(SEARCH(Classifiers!$D$14,E83)),1,0))+IF(Classifiers!$E$14="",0,IF(ISNUMBER(SEARCH(Classifiers!$E$14,E83)),1,0))+IF(Classifiers!$F$14="",0,IF(ISNUMBER(SEARCH(Classifiers!$F$14,E83)),1,0))+IF(Classifiers!$G$14="",0,IF(ISNUMBER(SEARCH(Classifiers!$G$14,E83)),1,0)))&gt;0,1,0))</f>
        <v/>
      </c>
      <c r="T83" s="12">
        <f>IF(H83&lt;&gt;1,0,IF((IF(Classifiers!$B$15="",0,IF(ISNUMBER(SEARCH(Classifiers!$B$15,E83)),1,0))+IF(Classifiers!$C$15="",0,IF(ISNUMBER(SEARCH(Classifiers!$C$15,E83)),1,0))+IF(Classifiers!$D$15="",0,IF(ISNUMBER(SEARCH(Classifiers!$D$15,E83)),1,0))+IF(Classifiers!$E$15="",0,IF(ISNUMBER(SEARCH(Classifiers!$E$15,E83)),1,0))+IF(Classifiers!$F$15="",0,IF(ISNUMBER(SEARCH(Classifiers!$F$15,E83)),1,0))+IF(Classifiers!$G$15="",0,IF(ISNUMBER(SEARCH(Classifiers!$G$15,E83)),1,0)))&gt;0,1,0))</f>
        <v/>
      </c>
      <c r="U83" s="12">
        <f>IF(H83&lt;&gt;1,0,IF((IF(Classifiers!$B$16="",0,IF(ISNUMBER(SEARCH(Classifiers!$B$16,E83)),1,0))+IF(Classifiers!$C$16="",0,IF(ISNUMBER(SEARCH(Classifiers!$C$16,E83)),1,0))+IF(Classifiers!$D$16="",0,IF(ISNUMBER(SEARCH(Classifiers!$D$16,E83)),1,0))+IF(Classifiers!$E$16="",0,IF(ISNUMBER(SEARCH(Classifiers!$E$16,E83)),1,0))+IF(Classifiers!$F$16="",0,IF(ISNUMBER(SEARCH(Classifiers!$F$16,E83)),1,0))+IF(Classifiers!$G$16="",0,IF(ISNUMBER(SEARCH(Classifiers!$G$16,E83)),1,0)))&gt;0,1,0))</f>
        <v/>
      </c>
      <c r="V83" s="12">
        <f>IF(H83&lt;&gt;1,0,IF((IF(Classifiers!$B$17="",0,IF(ISNUMBER(SEARCH(Classifiers!$B$17,E83)),1,0))+IF(Classifiers!$C$17="",0,IF(ISNUMBER(SEARCH(Classifiers!$C$17,E83)),1,0))+IF(Classifiers!$D$17="",0,IF(ISNUMBER(SEARCH(Classifiers!$D$17,E83)),1,0))+IF(Classifiers!$E$17="",0,IF(ISNUMBER(SEARCH(Classifiers!$E$17,E83)),1,0))+IF(Classifiers!$F$17="",0,IF(ISNUMBER(SEARCH(Classifiers!$F$17,E83)),1,0))+IF(Classifiers!$G$17="",0,IF(ISNUMBER(SEARCH(Classifiers!$G$17,E83)),1,0)))&gt;0,1,0))</f>
        <v/>
      </c>
      <c r="W83" s="12">
        <f>IF(H83&lt;&gt;1,0,IF((IF(Classifiers!$B$18="",0,IF(ISNUMBER(SEARCH(Classifiers!$B$18,E83)),1,0))+IF(Classifiers!$C$18="",0,IF(ISNUMBER(SEARCH(Classifiers!$C$18,E83)),1,0))+IF(Classifiers!$D$18="",0,IF(ISNUMBER(SEARCH(Classifiers!$D$18,E83)),1,0))+IF(Classifiers!$E$18="",0,IF(ISNUMBER(SEARCH(Classifiers!$E$18,E83)),1,0))+IF(Classifiers!$F$18="",0,IF(ISNUMBER(SEARCH(Classifiers!$F$18,E83)),1,0))+IF(Classifiers!$G$18="",0,IF(ISNUMBER(SEARCH(Classifiers!$G$18,E83)),1,0)))&gt;0,1,0))</f>
        <v/>
      </c>
    </row>
    <row r="84">
      <c r="A84" s="8" t="n"/>
      <c r="B84" s="11" t="n"/>
      <c r="C84" s="6">
        <f>IF(A84="","",TRIM(RIGHT(SUBSTITUTE(A84,"/",REPT(" ",250)),250)))</f>
        <v/>
      </c>
      <c r="D84" s="6">
        <f>IF(C84="","",IF(ISNUMBER(SEARCH(".",C84)),LOWER("."&amp;TRIM(RIGHT(SUBSTITUTE(C84,".",REPT(" ",250)),250))),""))</f>
        <v/>
      </c>
      <c r="E84" s="6">
        <f>IF(C84="","",TRIM(SUBSTITUTE(SUBSTITUTE(SUBSTITUTE(SUBSTITUTE(SUBSTITUTE(SUBSTITUTE(SUBSTITUTE(SUBSTITUTE(SUBSTITUTE(SUBSTITUTE(SUBSTITUTE(SUBSTITUTE(SUBSTITUTE(SUBSTITUTE(SUBSTITUTE(SUBSTITUTE(SUBSTITUTE(SUBSTITUTE(SUBSTITUTE(SUBSTITUTE(LOWER(LEFT(C84,LEN(C84)-LEN(D84))),"_"," "),"-"," "),"."," "),","," "),"("," "),")"," "),"["," "),"]"," "),"&amp;"," "),"+"," "),"@"," "),"#"," "),"!"," "),"'"," "),"/"," "),":"," "),";"," "),"="," "),"~"," "),"%"," ")))</f>
        <v/>
      </c>
      <c r="F84" s="6">
        <f>IF(C84="","",IF(COUNTIF(Classifiers!$A$23:$A$40,D84)&gt;0,1,0))</f>
        <v/>
      </c>
      <c r="G84" s="6">
        <f>IF(C84="","",IF(COUNTIF(Classifiers!$C$23:$C$30,D84)&gt;0,IF((IF(ISNUMBER(SEARCH(Classifiers!$E$23,E84)),1,0)+IF(ISNUMBER(SEARCH(Classifiers!$E$24,E84)),1,0)+IF(ISNUMBER(SEARCH(Classifiers!$E$25,E84)),1,0)+IF(ISNUMBER(SEARCH(Classifiers!$E$26,E84)),1,0)+IF(ISNUMBER(SEARCH(Classifiers!$E$27,E84)),1,0)+IF(ISNUMBER(SEARCH(Classifiers!$E$28,E84)),1,0)+IF(ISNUMBER(SEARCH(Classifiers!$E$29,E84)),1,0)+IF(ISNUMBER(SEARCH(Classifiers!$E$30,E84)),1,0))&gt;0,1,0),0))</f>
        <v/>
      </c>
      <c r="H84" s="6">
        <f>IF(C84="","",IF(OR(LEFT(C84,1)=".",AND(F84=0,G84=0)),0,1))</f>
        <v/>
      </c>
      <c r="I84" s="6">
        <f>IF(H84&lt;&gt;1,"",IF(SUM(J84:W84)=0,"unclassified",INDEX(Classifiers!$A$5:$A$18,MATCH(1,J84:W84,0),1)))</f>
        <v/>
      </c>
      <c r="J84" s="12">
        <f>IF(H84&lt;&gt;1,0,IF((IF(Classifiers!$B$5="",0,IF(ISNUMBER(SEARCH(Classifiers!$B$5,E84)),1,0))+IF(Classifiers!$C$5="",0,IF(ISNUMBER(SEARCH(Classifiers!$C$5,E84)),1,0))+IF(Classifiers!$D$5="",0,IF(ISNUMBER(SEARCH(Classifiers!$D$5,E84)),1,0))+IF(Classifiers!$E$5="",0,IF(ISNUMBER(SEARCH(Classifiers!$E$5,E84)),1,0))+IF(Classifiers!$F$5="",0,IF(ISNUMBER(SEARCH(Classifiers!$F$5,E84)),1,0))+IF(Classifiers!$G$5="",0,IF(ISNUMBER(SEARCH(Classifiers!$G$5,E84)),1,0)))&gt;0,1,0))</f>
        <v/>
      </c>
      <c r="K84" s="12">
        <f>IF(H84&lt;&gt;1,0,IF((IF(Classifiers!$B$6="",0,IF(ISNUMBER(SEARCH(Classifiers!$B$6,E84)),1,0))+IF(Classifiers!$C$6="",0,IF(ISNUMBER(SEARCH(Classifiers!$C$6,E84)),1,0))+IF(Classifiers!$D$6="",0,IF(ISNUMBER(SEARCH(Classifiers!$D$6,E84)),1,0))+IF(Classifiers!$E$6="",0,IF(ISNUMBER(SEARCH(Classifiers!$E$6,E84)),1,0))+IF(Classifiers!$F$6="",0,IF(ISNUMBER(SEARCH(Classifiers!$F$6,E84)),1,0))+IF(Classifiers!$G$6="",0,IF(ISNUMBER(SEARCH(Classifiers!$G$6,E84)),1,0)))&gt;0,1,0))</f>
        <v/>
      </c>
      <c r="L84" s="12">
        <f>IF(H84&lt;&gt;1,0,IF((IF(Classifiers!$B$7="",0,IF(ISNUMBER(SEARCH(Classifiers!$B$7,E84)),1,0))+IF(Classifiers!$C$7="",0,IF(ISNUMBER(SEARCH(Classifiers!$C$7,E84)),1,0))+IF(Classifiers!$D$7="",0,IF(ISNUMBER(SEARCH(Classifiers!$D$7,E84)),1,0))+IF(Classifiers!$E$7="",0,IF(ISNUMBER(SEARCH(Classifiers!$E$7,E84)),1,0))+IF(Classifiers!$F$7="",0,IF(ISNUMBER(SEARCH(Classifiers!$F$7,E84)),1,0))+IF(Classifiers!$G$7="",0,IF(ISNUMBER(SEARCH(Classifiers!$G$7,E84)),1,0)))&gt;0,1,0))</f>
        <v/>
      </c>
      <c r="M84" s="12">
        <f>IF(H84&lt;&gt;1,0,IF((IF(Classifiers!$B$8="",0,IF(ISNUMBER(SEARCH(Classifiers!$B$8,E84)),1,0))+IF(Classifiers!$C$8="",0,IF(ISNUMBER(SEARCH(Classifiers!$C$8,E84)),1,0))+IF(Classifiers!$D$8="",0,IF(ISNUMBER(SEARCH(Classifiers!$D$8,E84)),1,0))+IF(Classifiers!$E$8="",0,IF(ISNUMBER(SEARCH(Classifiers!$E$8,E84)),1,0))+IF(Classifiers!$F$8="",0,IF(ISNUMBER(SEARCH(Classifiers!$F$8,E84)),1,0))+IF(Classifiers!$G$8="",0,IF(ISNUMBER(SEARCH(Classifiers!$G$8,E84)),1,0)))&gt;0,1,0))</f>
        <v/>
      </c>
      <c r="N84" s="12">
        <f>IF(H84&lt;&gt;1,0,IF((IF(Classifiers!$B$9="",0,IF(ISNUMBER(SEARCH(Classifiers!$B$9,E84)),1,0))+IF(Classifiers!$C$9="",0,IF(ISNUMBER(SEARCH(Classifiers!$C$9,E84)),1,0))+IF(Classifiers!$D$9="",0,IF(ISNUMBER(SEARCH(Classifiers!$D$9,E84)),1,0))+IF(Classifiers!$E$9="",0,IF(ISNUMBER(SEARCH(Classifiers!$E$9,E84)),1,0))+IF(Classifiers!$F$9="",0,IF(ISNUMBER(SEARCH(Classifiers!$F$9,E84)),1,0))+IF(Classifiers!$G$9="",0,IF(ISNUMBER(SEARCH(Classifiers!$G$9,E84)),1,0)))&gt;0,1,0))</f>
        <v/>
      </c>
      <c r="O84" s="12">
        <f>IF(H84&lt;&gt;1,0,IF((IF(Classifiers!$B$10="",0,IF(ISNUMBER(SEARCH(Classifiers!$B$10,E84)),1,0))+IF(Classifiers!$C$10="",0,IF(ISNUMBER(SEARCH(Classifiers!$C$10,E84)),1,0))+IF(Classifiers!$D$10="",0,IF(ISNUMBER(SEARCH(Classifiers!$D$10,E84)),1,0))+IF(Classifiers!$E$10="",0,IF(ISNUMBER(SEARCH(Classifiers!$E$10,E84)),1,0))+IF(Classifiers!$F$10="",0,IF(ISNUMBER(SEARCH(Classifiers!$F$10,E84)),1,0))+IF(Classifiers!$G$10="",0,IF(ISNUMBER(SEARCH(Classifiers!$G$10,E84)),1,0)))&gt;0,1,0))</f>
        <v/>
      </c>
      <c r="P84" s="12">
        <f>IF(H84&lt;&gt;1,0,IF((IF(Classifiers!$B$11="",0,IF(ISNUMBER(SEARCH(Classifiers!$B$11,E84)),1,0))+IF(Classifiers!$C$11="",0,IF(ISNUMBER(SEARCH(Classifiers!$C$11,E84)),1,0))+IF(Classifiers!$D$11="",0,IF(ISNUMBER(SEARCH(Classifiers!$D$11,E84)),1,0))+IF(Classifiers!$E$11="",0,IF(ISNUMBER(SEARCH(Classifiers!$E$11,E84)),1,0))+IF(Classifiers!$F$11="",0,IF(ISNUMBER(SEARCH(Classifiers!$F$11,E84)),1,0))+IF(Classifiers!$G$11="",0,IF(ISNUMBER(SEARCH(Classifiers!$G$11,E84)),1,0)))&gt;0,1,0))</f>
        <v/>
      </c>
      <c r="Q84" s="12">
        <f>IF(H84&lt;&gt;1,0,IF((IF(Classifiers!$B$12="",0,IF(ISNUMBER(SEARCH(Classifiers!$B$12,E84)),1,0))+IF(Classifiers!$C$12="",0,IF(ISNUMBER(SEARCH(Classifiers!$C$12,E84)),1,0))+IF(Classifiers!$D$12="",0,IF(ISNUMBER(SEARCH(Classifiers!$D$12,E84)),1,0))+IF(Classifiers!$E$12="",0,IF(ISNUMBER(SEARCH(Classifiers!$E$12,E84)),1,0))+IF(Classifiers!$F$12="",0,IF(ISNUMBER(SEARCH(Classifiers!$F$12,E84)),1,0))+IF(Classifiers!$G$12="",0,IF(ISNUMBER(SEARCH(Classifiers!$G$12,E84)),1,0)))&gt;0,1,0))</f>
        <v/>
      </c>
      <c r="R84" s="12">
        <f>IF(H84&lt;&gt;1,0,IF((IF(Classifiers!$B$13="",0,IF(ISNUMBER(SEARCH(Classifiers!$B$13,E84)),1,0))+IF(Classifiers!$C$13="",0,IF(ISNUMBER(SEARCH(Classifiers!$C$13,E84)),1,0))+IF(Classifiers!$D$13="",0,IF(ISNUMBER(SEARCH(Classifiers!$D$13,E84)),1,0))+IF(Classifiers!$E$13="",0,IF(ISNUMBER(SEARCH(Classifiers!$E$13,E84)),1,0))+IF(Classifiers!$F$13="",0,IF(ISNUMBER(SEARCH(Classifiers!$F$13,E84)),1,0))+IF(Classifiers!$G$13="",0,IF(ISNUMBER(SEARCH(Classifiers!$G$13,E84)),1,0)))&gt;0,1,0))</f>
        <v/>
      </c>
      <c r="S84" s="12">
        <f>IF(H84&lt;&gt;1,0,IF((IF(Classifiers!$B$14="",0,IF(ISNUMBER(SEARCH(Classifiers!$B$14,E84)),1,0))+IF(Classifiers!$C$14="",0,IF(ISNUMBER(SEARCH(Classifiers!$C$14,E84)),1,0))+IF(Classifiers!$D$14="",0,IF(ISNUMBER(SEARCH(Classifiers!$D$14,E84)),1,0))+IF(Classifiers!$E$14="",0,IF(ISNUMBER(SEARCH(Classifiers!$E$14,E84)),1,0))+IF(Classifiers!$F$14="",0,IF(ISNUMBER(SEARCH(Classifiers!$F$14,E84)),1,0))+IF(Classifiers!$G$14="",0,IF(ISNUMBER(SEARCH(Classifiers!$G$14,E84)),1,0)))&gt;0,1,0))</f>
        <v/>
      </c>
      <c r="T84" s="12">
        <f>IF(H84&lt;&gt;1,0,IF((IF(Classifiers!$B$15="",0,IF(ISNUMBER(SEARCH(Classifiers!$B$15,E84)),1,0))+IF(Classifiers!$C$15="",0,IF(ISNUMBER(SEARCH(Classifiers!$C$15,E84)),1,0))+IF(Classifiers!$D$15="",0,IF(ISNUMBER(SEARCH(Classifiers!$D$15,E84)),1,0))+IF(Classifiers!$E$15="",0,IF(ISNUMBER(SEARCH(Classifiers!$E$15,E84)),1,0))+IF(Classifiers!$F$15="",0,IF(ISNUMBER(SEARCH(Classifiers!$F$15,E84)),1,0))+IF(Classifiers!$G$15="",0,IF(ISNUMBER(SEARCH(Classifiers!$G$15,E84)),1,0)))&gt;0,1,0))</f>
        <v/>
      </c>
      <c r="U84" s="12">
        <f>IF(H84&lt;&gt;1,0,IF((IF(Classifiers!$B$16="",0,IF(ISNUMBER(SEARCH(Classifiers!$B$16,E84)),1,0))+IF(Classifiers!$C$16="",0,IF(ISNUMBER(SEARCH(Classifiers!$C$16,E84)),1,0))+IF(Classifiers!$D$16="",0,IF(ISNUMBER(SEARCH(Classifiers!$D$16,E84)),1,0))+IF(Classifiers!$E$16="",0,IF(ISNUMBER(SEARCH(Classifiers!$E$16,E84)),1,0))+IF(Classifiers!$F$16="",0,IF(ISNUMBER(SEARCH(Classifiers!$F$16,E84)),1,0))+IF(Classifiers!$G$16="",0,IF(ISNUMBER(SEARCH(Classifiers!$G$16,E84)),1,0)))&gt;0,1,0))</f>
        <v/>
      </c>
      <c r="V84" s="12">
        <f>IF(H84&lt;&gt;1,0,IF((IF(Classifiers!$B$17="",0,IF(ISNUMBER(SEARCH(Classifiers!$B$17,E84)),1,0))+IF(Classifiers!$C$17="",0,IF(ISNUMBER(SEARCH(Classifiers!$C$17,E84)),1,0))+IF(Classifiers!$D$17="",0,IF(ISNUMBER(SEARCH(Classifiers!$D$17,E84)),1,0))+IF(Classifiers!$E$17="",0,IF(ISNUMBER(SEARCH(Classifiers!$E$17,E84)),1,0))+IF(Classifiers!$F$17="",0,IF(ISNUMBER(SEARCH(Classifiers!$F$17,E84)),1,0))+IF(Classifiers!$G$17="",0,IF(ISNUMBER(SEARCH(Classifiers!$G$17,E84)),1,0)))&gt;0,1,0))</f>
        <v/>
      </c>
      <c r="W84" s="12">
        <f>IF(H84&lt;&gt;1,0,IF((IF(Classifiers!$B$18="",0,IF(ISNUMBER(SEARCH(Classifiers!$B$18,E84)),1,0))+IF(Classifiers!$C$18="",0,IF(ISNUMBER(SEARCH(Classifiers!$C$18,E84)),1,0))+IF(Classifiers!$D$18="",0,IF(ISNUMBER(SEARCH(Classifiers!$D$18,E84)),1,0))+IF(Classifiers!$E$18="",0,IF(ISNUMBER(SEARCH(Classifiers!$E$18,E84)),1,0))+IF(Classifiers!$F$18="",0,IF(ISNUMBER(SEARCH(Classifiers!$F$18,E84)),1,0))+IF(Classifiers!$G$18="",0,IF(ISNUMBER(SEARCH(Classifiers!$G$18,E84)),1,0)))&gt;0,1,0))</f>
        <v/>
      </c>
    </row>
    <row r="85">
      <c r="A85" s="8" t="n"/>
      <c r="B85" s="11" t="n"/>
      <c r="C85" s="6">
        <f>IF(A85="","",TRIM(RIGHT(SUBSTITUTE(A85,"/",REPT(" ",250)),250)))</f>
        <v/>
      </c>
      <c r="D85" s="6">
        <f>IF(C85="","",IF(ISNUMBER(SEARCH(".",C85)),LOWER("."&amp;TRIM(RIGHT(SUBSTITUTE(C85,".",REPT(" ",250)),250))),""))</f>
        <v/>
      </c>
      <c r="E85" s="6">
        <f>IF(C85="","",TRIM(SUBSTITUTE(SUBSTITUTE(SUBSTITUTE(SUBSTITUTE(SUBSTITUTE(SUBSTITUTE(SUBSTITUTE(SUBSTITUTE(SUBSTITUTE(SUBSTITUTE(SUBSTITUTE(SUBSTITUTE(SUBSTITUTE(SUBSTITUTE(SUBSTITUTE(SUBSTITUTE(SUBSTITUTE(SUBSTITUTE(SUBSTITUTE(SUBSTITUTE(LOWER(LEFT(C85,LEN(C85)-LEN(D85))),"_"," "),"-"," "),"."," "),","," "),"("," "),")"," "),"["," "),"]"," "),"&amp;"," "),"+"," "),"@"," "),"#"," "),"!"," "),"'"," "),"/"," "),":"," "),";"," "),"="," "),"~"," "),"%"," ")))</f>
        <v/>
      </c>
      <c r="F85" s="6">
        <f>IF(C85="","",IF(COUNTIF(Classifiers!$A$23:$A$40,D85)&gt;0,1,0))</f>
        <v/>
      </c>
      <c r="G85" s="6">
        <f>IF(C85="","",IF(COUNTIF(Classifiers!$C$23:$C$30,D85)&gt;0,IF((IF(ISNUMBER(SEARCH(Classifiers!$E$23,E85)),1,0)+IF(ISNUMBER(SEARCH(Classifiers!$E$24,E85)),1,0)+IF(ISNUMBER(SEARCH(Classifiers!$E$25,E85)),1,0)+IF(ISNUMBER(SEARCH(Classifiers!$E$26,E85)),1,0)+IF(ISNUMBER(SEARCH(Classifiers!$E$27,E85)),1,0)+IF(ISNUMBER(SEARCH(Classifiers!$E$28,E85)),1,0)+IF(ISNUMBER(SEARCH(Classifiers!$E$29,E85)),1,0)+IF(ISNUMBER(SEARCH(Classifiers!$E$30,E85)),1,0))&gt;0,1,0),0))</f>
        <v/>
      </c>
      <c r="H85" s="6">
        <f>IF(C85="","",IF(OR(LEFT(C85,1)=".",AND(F85=0,G85=0)),0,1))</f>
        <v/>
      </c>
      <c r="I85" s="6">
        <f>IF(H85&lt;&gt;1,"",IF(SUM(J85:W85)=0,"unclassified",INDEX(Classifiers!$A$5:$A$18,MATCH(1,J85:W85,0),1)))</f>
        <v/>
      </c>
      <c r="J85" s="12">
        <f>IF(H85&lt;&gt;1,0,IF((IF(Classifiers!$B$5="",0,IF(ISNUMBER(SEARCH(Classifiers!$B$5,E85)),1,0))+IF(Classifiers!$C$5="",0,IF(ISNUMBER(SEARCH(Classifiers!$C$5,E85)),1,0))+IF(Classifiers!$D$5="",0,IF(ISNUMBER(SEARCH(Classifiers!$D$5,E85)),1,0))+IF(Classifiers!$E$5="",0,IF(ISNUMBER(SEARCH(Classifiers!$E$5,E85)),1,0))+IF(Classifiers!$F$5="",0,IF(ISNUMBER(SEARCH(Classifiers!$F$5,E85)),1,0))+IF(Classifiers!$G$5="",0,IF(ISNUMBER(SEARCH(Classifiers!$G$5,E85)),1,0)))&gt;0,1,0))</f>
        <v/>
      </c>
      <c r="K85" s="12">
        <f>IF(H85&lt;&gt;1,0,IF((IF(Classifiers!$B$6="",0,IF(ISNUMBER(SEARCH(Classifiers!$B$6,E85)),1,0))+IF(Classifiers!$C$6="",0,IF(ISNUMBER(SEARCH(Classifiers!$C$6,E85)),1,0))+IF(Classifiers!$D$6="",0,IF(ISNUMBER(SEARCH(Classifiers!$D$6,E85)),1,0))+IF(Classifiers!$E$6="",0,IF(ISNUMBER(SEARCH(Classifiers!$E$6,E85)),1,0))+IF(Classifiers!$F$6="",0,IF(ISNUMBER(SEARCH(Classifiers!$F$6,E85)),1,0))+IF(Classifiers!$G$6="",0,IF(ISNUMBER(SEARCH(Classifiers!$G$6,E85)),1,0)))&gt;0,1,0))</f>
        <v/>
      </c>
      <c r="L85" s="12">
        <f>IF(H85&lt;&gt;1,0,IF((IF(Classifiers!$B$7="",0,IF(ISNUMBER(SEARCH(Classifiers!$B$7,E85)),1,0))+IF(Classifiers!$C$7="",0,IF(ISNUMBER(SEARCH(Classifiers!$C$7,E85)),1,0))+IF(Classifiers!$D$7="",0,IF(ISNUMBER(SEARCH(Classifiers!$D$7,E85)),1,0))+IF(Classifiers!$E$7="",0,IF(ISNUMBER(SEARCH(Classifiers!$E$7,E85)),1,0))+IF(Classifiers!$F$7="",0,IF(ISNUMBER(SEARCH(Classifiers!$F$7,E85)),1,0))+IF(Classifiers!$G$7="",0,IF(ISNUMBER(SEARCH(Classifiers!$G$7,E85)),1,0)))&gt;0,1,0))</f>
        <v/>
      </c>
      <c r="M85" s="12">
        <f>IF(H85&lt;&gt;1,0,IF((IF(Classifiers!$B$8="",0,IF(ISNUMBER(SEARCH(Classifiers!$B$8,E85)),1,0))+IF(Classifiers!$C$8="",0,IF(ISNUMBER(SEARCH(Classifiers!$C$8,E85)),1,0))+IF(Classifiers!$D$8="",0,IF(ISNUMBER(SEARCH(Classifiers!$D$8,E85)),1,0))+IF(Classifiers!$E$8="",0,IF(ISNUMBER(SEARCH(Classifiers!$E$8,E85)),1,0))+IF(Classifiers!$F$8="",0,IF(ISNUMBER(SEARCH(Classifiers!$F$8,E85)),1,0))+IF(Classifiers!$G$8="",0,IF(ISNUMBER(SEARCH(Classifiers!$G$8,E85)),1,0)))&gt;0,1,0))</f>
        <v/>
      </c>
      <c r="N85" s="12">
        <f>IF(H85&lt;&gt;1,0,IF((IF(Classifiers!$B$9="",0,IF(ISNUMBER(SEARCH(Classifiers!$B$9,E85)),1,0))+IF(Classifiers!$C$9="",0,IF(ISNUMBER(SEARCH(Classifiers!$C$9,E85)),1,0))+IF(Classifiers!$D$9="",0,IF(ISNUMBER(SEARCH(Classifiers!$D$9,E85)),1,0))+IF(Classifiers!$E$9="",0,IF(ISNUMBER(SEARCH(Classifiers!$E$9,E85)),1,0))+IF(Classifiers!$F$9="",0,IF(ISNUMBER(SEARCH(Classifiers!$F$9,E85)),1,0))+IF(Classifiers!$G$9="",0,IF(ISNUMBER(SEARCH(Classifiers!$G$9,E85)),1,0)))&gt;0,1,0))</f>
        <v/>
      </c>
      <c r="O85" s="12">
        <f>IF(H85&lt;&gt;1,0,IF((IF(Classifiers!$B$10="",0,IF(ISNUMBER(SEARCH(Classifiers!$B$10,E85)),1,0))+IF(Classifiers!$C$10="",0,IF(ISNUMBER(SEARCH(Classifiers!$C$10,E85)),1,0))+IF(Classifiers!$D$10="",0,IF(ISNUMBER(SEARCH(Classifiers!$D$10,E85)),1,0))+IF(Classifiers!$E$10="",0,IF(ISNUMBER(SEARCH(Classifiers!$E$10,E85)),1,0))+IF(Classifiers!$F$10="",0,IF(ISNUMBER(SEARCH(Classifiers!$F$10,E85)),1,0))+IF(Classifiers!$G$10="",0,IF(ISNUMBER(SEARCH(Classifiers!$G$10,E85)),1,0)))&gt;0,1,0))</f>
        <v/>
      </c>
      <c r="P85" s="12">
        <f>IF(H85&lt;&gt;1,0,IF((IF(Classifiers!$B$11="",0,IF(ISNUMBER(SEARCH(Classifiers!$B$11,E85)),1,0))+IF(Classifiers!$C$11="",0,IF(ISNUMBER(SEARCH(Classifiers!$C$11,E85)),1,0))+IF(Classifiers!$D$11="",0,IF(ISNUMBER(SEARCH(Classifiers!$D$11,E85)),1,0))+IF(Classifiers!$E$11="",0,IF(ISNUMBER(SEARCH(Classifiers!$E$11,E85)),1,0))+IF(Classifiers!$F$11="",0,IF(ISNUMBER(SEARCH(Classifiers!$F$11,E85)),1,0))+IF(Classifiers!$G$11="",0,IF(ISNUMBER(SEARCH(Classifiers!$G$11,E85)),1,0)))&gt;0,1,0))</f>
        <v/>
      </c>
      <c r="Q85" s="12">
        <f>IF(H85&lt;&gt;1,0,IF((IF(Classifiers!$B$12="",0,IF(ISNUMBER(SEARCH(Classifiers!$B$12,E85)),1,0))+IF(Classifiers!$C$12="",0,IF(ISNUMBER(SEARCH(Classifiers!$C$12,E85)),1,0))+IF(Classifiers!$D$12="",0,IF(ISNUMBER(SEARCH(Classifiers!$D$12,E85)),1,0))+IF(Classifiers!$E$12="",0,IF(ISNUMBER(SEARCH(Classifiers!$E$12,E85)),1,0))+IF(Classifiers!$F$12="",0,IF(ISNUMBER(SEARCH(Classifiers!$F$12,E85)),1,0))+IF(Classifiers!$G$12="",0,IF(ISNUMBER(SEARCH(Classifiers!$G$12,E85)),1,0)))&gt;0,1,0))</f>
        <v/>
      </c>
      <c r="R85" s="12">
        <f>IF(H85&lt;&gt;1,0,IF((IF(Classifiers!$B$13="",0,IF(ISNUMBER(SEARCH(Classifiers!$B$13,E85)),1,0))+IF(Classifiers!$C$13="",0,IF(ISNUMBER(SEARCH(Classifiers!$C$13,E85)),1,0))+IF(Classifiers!$D$13="",0,IF(ISNUMBER(SEARCH(Classifiers!$D$13,E85)),1,0))+IF(Classifiers!$E$13="",0,IF(ISNUMBER(SEARCH(Classifiers!$E$13,E85)),1,0))+IF(Classifiers!$F$13="",0,IF(ISNUMBER(SEARCH(Classifiers!$F$13,E85)),1,0))+IF(Classifiers!$G$13="",0,IF(ISNUMBER(SEARCH(Classifiers!$G$13,E85)),1,0)))&gt;0,1,0))</f>
        <v/>
      </c>
      <c r="S85" s="12">
        <f>IF(H85&lt;&gt;1,0,IF((IF(Classifiers!$B$14="",0,IF(ISNUMBER(SEARCH(Classifiers!$B$14,E85)),1,0))+IF(Classifiers!$C$14="",0,IF(ISNUMBER(SEARCH(Classifiers!$C$14,E85)),1,0))+IF(Classifiers!$D$14="",0,IF(ISNUMBER(SEARCH(Classifiers!$D$14,E85)),1,0))+IF(Classifiers!$E$14="",0,IF(ISNUMBER(SEARCH(Classifiers!$E$14,E85)),1,0))+IF(Classifiers!$F$14="",0,IF(ISNUMBER(SEARCH(Classifiers!$F$14,E85)),1,0))+IF(Classifiers!$G$14="",0,IF(ISNUMBER(SEARCH(Classifiers!$G$14,E85)),1,0)))&gt;0,1,0))</f>
        <v/>
      </c>
      <c r="T85" s="12">
        <f>IF(H85&lt;&gt;1,0,IF((IF(Classifiers!$B$15="",0,IF(ISNUMBER(SEARCH(Classifiers!$B$15,E85)),1,0))+IF(Classifiers!$C$15="",0,IF(ISNUMBER(SEARCH(Classifiers!$C$15,E85)),1,0))+IF(Classifiers!$D$15="",0,IF(ISNUMBER(SEARCH(Classifiers!$D$15,E85)),1,0))+IF(Classifiers!$E$15="",0,IF(ISNUMBER(SEARCH(Classifiers!$E$15,E85)),1,0))+IF(Classifiers!$F$15="",0,IF(ISNUMBER(SEARCH(Classifiers!$F$15,E85)),1,0))+IF(Classifiers!$G$15="",0,IF(ISNUMBER(SEARCH(Classifiers!$G$15,E85)),1,0)))&gt;0,1,0))</f>
        <v/>
      </c>
      <c r="U85" s="12">
        <f>IF(H85&lt;&gt;1,0,IF((IF(Classifiers!$B$16="",0,IF(ISNUMBER(SEARCH(Classifiers!$B$16,E85)),1,0))+IF(Classifiers!$C$16="",0,IF(ISNUMBER(SEARCH(Classifiers!$C$16,E85)),1,0))+IF(Classifiers!$D$16="",0,IF(ISNUMBER(SEARCH(Classifiers!$D$16,E85)),1,0))+IF(Classifiers!$E$16="",0,IF(ISNUMBER(SEARCH(Classifiers!$E$16,E85)),1,0))+IF(Classifiers!$F$16="",0,IF(ISNUMBER(SEARCH(Classifiers!$F$16,E85)),1,0))+IF(Classifiers!$G$16="",0,IF(ISNUMBER(SEARCH(Classifiers!$G$16,E85)),1,0)))&gt;0,1,0))</f>
        <v/>
      </c>
      <c r="V85" s="12">
        <f>IF(H85&lt;&gt;1,0,IF((IF(Classifiers!$B$17="",0,IF(ISNUMBER(SEARCH(Classifiers!$B$17,E85)),1,0))+IF(Classifiers!$C$17="",0,IF(ISNUMBER(SEARCH(Classifiers!$C$17,E85)),1,0))+IF(Classifiers!$D$17="",0,IF(ISNUMBER(SEARCH(Classifiers!$D$17,E85)),1,0))+IF(Classifiers!$E$17="",0,IF(ISNUMBER(SEARCH(Classifiers!$E$17,E85)),1,0))+IF(Classifiers!$F$17="",0,IF(ISNUMBER(SEARCH(Classifiers!$F$17,E85)),1,0))+IF(Classifiers!$G$17="",0,IF(ISNUMBER(SEARCH(Classifiers!$G$17,E85)),1,0)))&gt;0,1,0))</f>
        <v/>
      </c>
      <c r="W85" s="12">
        <f>IF(H85&lt;&gt;1,0,IF((IF(Classifiers!$B$18="",0,IF(ISNUMBER(SEARCH(Classifiers!$B$18,E85)),1,0))+IF(Classifiers!$C$18="",0,IF(ISNUMBER(SEARCH(Classifiers!$C$18,E85)),1,0))+IF(Classifiers!$D$18="",0,IF(ISNUMBER(SEARCH(Classifiers!$D$18,E85)),1,0))+IF(Classifiers!$E$18="",0,IF(ISNUMBER(SEARCH(Classifiers!$E$18,E85)),1,0))+IF(Classifiers!$F$18="",0,IF(ISNUMBER(SEARCH(Classifiers!$F$18,E85)),1,0))+IF(Classifiers!$G$18="",0,IF(ISNUMBER(SEARCH(Classifiers!$G$18,E85)),1,0)))&gt;0,1,0))</f>
        <v/>
      </c>
    </row>
    <row r="86">
      <c r="A86" s="8" t="n"/>
      <c r="B86" s="11" t="n"/>
      <c r="C86" s="6">
        <f>IF(A86="","",TRIM(RIGHT(SUBSTITUTE(A86,"/",REPT(" ",250)),250)))</f>
        <v/>
      </c>
      <c r="D86" s="6">
        <f>IF(C86="","",IF(ISNUMBER(SEARCH(".",C86)),LOWER("."&amp;TRIM(RIGHT(SUBSTITUTE(C86,".",REPT(" ",250)),250))),""))</f>
        <v/>
      </c>
      <c r="E86" s="6">
        <f>IF(C86="","",TRIM(SUBSTITUTE(SUBSTITUTE(SUBSTITUTE(SUBSTITUTE(SUBSTITUTE(SUBSTITUTE(SUBSTITUTE(SUBSTITUTE(SUBSTITUTE(SUBSTITUTE(SUBSTITUTE(SUBSTITUTE(SUBSTITUTE(SUBSTITUTE(SUBSTITUTE(SUBSTITUTE(SUBSTITUTE(SUBSTITUTE(SUBSTITUTE(SUBSTITUTE(LOWER(LEFT(C86,LEN(C86)-LEN(D86))),"_"," "),"-"," "),"."," "),","," "),"("," "),")"," "),"["," "),"]"," "),"&amp;"," "),"+"," "),"@"," "),"#"," "),"!"," "),"'"," "),"/"," "),":"," "),";"," "),"="," "),"~"," "),"%"," ")))</f>
        <v/>
      </c>
      <c r="F86" s="6">
        <f>IF(C86="","",IF(COUNTIF(Classifiers!$A$23:$A$40,D86)&gt;0,1,0))</f>
        <v/>
      </c>
      <c r="G86" s="6">
        <f>IF(C86="","",IF(COUNTIF(Classifiers!$C$23:$C$30,D86)&gt;0,IF((IF(ISNUMBER(SEARCH(Classifiers!$E$23,E86)),1,0)+IF(ISNUMBER(SEARCH(Classifiers!$E$24,E86)),1,0)+IF(ISNUMBER(SEARCH(Classifiers!$E$25,E86)),1,0)+IF(ISNUMBER(SEARCH(Classifiers!$E$26,E86)),1,0)+IF(ISNUMBER(SEARCH(Classifiers!$E$27,E86)),1,0)+IF(ISNUMBER(SEARCH(Classifiers!$E$28,E86)),1,0)+IF(ISNUMBER(SEARCH(Classifiers!$E$29,E86)),1,0)+IF(ISNUMBER(SEARCH(Classifiers!$E$30,E86)),1,0))&gt;0,1,0),0))</f>
        <v/>
      </c>
      <c r="H86" s="6">
        <f>IF(C86="","",IF(OR(LEFT(C86,1)=".",AND(F86=0,G86=0)),0,1))</f>
        <v/>
      </c>
      <c r="I86" s="6">
        <f>IF(H86&lt;&gt;1,"",IF(SUM(J86:W86)=0,"unclassified",INDEX(Classifiers!$A$5:$A$18,MATCH(1,J86:W86,0),1)))</f>
        <v/>
      </c>
      <c r="J86" s="12">
        <f>IF(H86&lt;&gt;1,0,IF((IF(Classifiers!$B$5="",0,IF(ISNUMBER(SEARCH(Classifiers!$B$5,E86)),1,0))+IF(Classifiers!$C$5="",0,IF(ISNUMBER(SEARCH(Classifiers!$C$5,E86)),1,0))+IF(Classifiers!$D$5="",0,IF(ISNUMBER(SEARCH(Classifiers!$D$5,E86)),1,0))+IF(Classifiers!$E$5="",0,IF(ISNUMBER(SEARCH(Classifiers!$E$5,E86)),1,0))+IF(Classifiers!$F$5="",0,IF(ISNUMBER(SEARCH(Classifiers!$F$5,E86)),1,0))+IF(Classifiers!$G$5="",0,IF(ISNUMBER(SEARCH(Classifiers!$G$5,E86)),1,0)))&gt;0,1,0))</f>
        <v/>
      </c>
      <c r="K86" s="12">
        <f>IF(H86&lt;&gt;1,0,IF((IF(Classifiers!$B$6="",0,IF(ISNUMBER(SEARCH(Classifiers!$B$6,E86)),1,0))+IF(Classifiers!$C$6="",0,IF(ISNUMBER(SEARCH(Classifiers!$C$6,E86)),1,0))+IF(Classifiers!$D$6="",0,IF(ISNUMBER(SEARCH(Classifiers!$D$6,E86)),1,0))+IF(Classifiers!$E$6="",0,IF(ISNUMBER(SEARCH(Classifiers!$E$6,E86)),1,0))+IF(Classifiers!$F$6="",0,IF(ISNUMBER(SEARCH(Classifiers!$F$6,E86)),1,0))+IF(Classifiers!$G$6="",0,IF(ISNUMBER(SEARCH(Classifiers!$G$6,E86)),1,0)))&gt;0,1,0))</f>
        <v/>
      </c>
      <c r="L86" s="12">
        <f>IF(H86&lt;&gt;1,0,IF((IF(Classifiers!$B$7="",0,IF(ISNUMBER(SEARCH(Classifiers!$B$7,E86)),1,0))+IF(Classifiers!$C$7="",0,IF(ISNUMBER(SEARCH(Classifiers!$C$7,E86)),1,0))+IF(Classifiers!$D$7="",0,IF(ISNUMBER(SEARCH(Classifiers!$D$7,E86)),1,0))+IF(Classifiers!$E$7="",0,IF(ISNUMBER(SEARCH(Classifiers!$E$7,E86)),1,0))+IF(Classifiers!$F$7="",0,IF(ISNUMBER(SEARCH(Classifiers!$F$7,E86)),1,0))+IF(Classifiers!$G$7="",0,IF(ISNUMBER(SEARCH(Classifiers!$G$7,E86)),1,0)))&gt;0,1,0))</f>
        <v/>
      </c>
      <c r="M86" s="12">
        <f>IF(H86&lt;&gt;1,0,IF((IF(Classifiers!$B$8="",0,IF(ISNUMBER(SEARCH(Classifiers!$B$8,E86)),1,0))+IF(Classifiers!$C$8="",0,IF(ISNUMBER(SEARCH(Classifiers!$C$8,E86)),1,0))+IF(Classifiers!$D$8="",0,IF(ISNUMBER(SEARCH(Classifiers!$D$8,E86)),1,0))+IF(Classifiers!$E$8="",0,IF(ISNUMBER(SEARCH(Classifiers!$E$8,E86)),1,0))+IF(Classifiers!$F$8="",0,IF(ISNUMBER(SEARCH(Classifiers!$F$8,E86)),1,0))+IF(Classifiers!$G$8="",0,IF(ISNUMBER(SEARCH(Classifiers!$G$8,E86)),1,0)))&gt;0,1,0))</f>
        <v/>
      </c>
      <c r="N86" s="12">
        <f>IF(H86&lt;&gt;1,0,IF((IF(Classifiers!$B$9="",0,IF(ISNUMBER(SEARCH(Classifiers!$B$9,E86)),1,0))+IF(Classifiers!$C$9="",0,IF(ISNUMBER(SEARCH(Classifiers!$C$9,E86)),1,0))+IF(Classifiers!$D$9="",0,IF(ISNUMBER(SEARCH(Classifiers!$D$9,E86)),1,0))+IF(Classifiers!$E$9="",0,IF(ISNUMBER(SEARCH(Classifiers!$E$9,E86)),1,0))+IF(Classifiers!$F$9="",0,IF(ISNUMBER(SEARCH(Classifiers!$F$9,E86)),1,0))+IF(Classifiers!$G$9="",0,IF(ISNUMBER(SEARCH(Classifiers!$G$9,E86)),1,0)))&gt;0,1,0))</f>
        <v/>
      </c>
      <c r="O86" s="12">
        <f>IF(H86&lt;&gt;1,0,IF((IF(Classifiers!$B$10="",0,IF(ISNUMBER(SEARCH(Classifiers!$B$10,E86)),1,0))+IF(Classifiers!$C$10="",0,IF(ISNUMBER(SEARCH(Classifiers!$C$10,E86)),1,0))+IF(Classifiers!$D$10="",0,IF(ISNUMBER(SEARCH(Classifiers!$D$10,E86)),1,0))+IF(Classifiers!$E$10="",0,IF(ISNUMBER(SEARCH(Classifiers!$E$10,E86)),1,0))+IF(Classifiers!$F$10="",0,IF(ISNUMBER(SEARCH(Classifiers!$F$10,E86)),1,0))+IF(Classifiers!$G$10="",0,IF(ISNUMBER(SEARCH(Classifiers!$G$10,E86)),1,0)))&gt;0,1,0))</f>
        <v/>
      </c>
      <c r="P86" s="12">
        <f>IF(H86&lt;&gt;1,0,IF((IF(Classifiers!$B$11="",0,IF(ISNUMBER(SEARCH(Classifiers!$B$11,E86)),1,0))+IF(Classifiers!$C$11="",0,IF(ISNUMBER(SEARCH(Classifiers!$C$11,E86)),1,0))+IF(Classifiers!$D$11="",0,IF(ISNUMBER(SEARCH(Classifiers!$D$11,E86)),1,0))+IF(Classifiers!$E$11="",0,IF(ISNUMBER(SEARCH(Classifiers!$E$11,E86)),1,0))+IF(Classifiers!$F$11="",0,IF(ISNUMBER(SEARCH(Classifiers!$F$11,E86)),1,0))+IF(Classifiers!$G$11="",0,IF(ISNUMBER(SEARCH(Classifiers!$G$11,E86)),1,0)))&gt;0,1,0))</f>
        <v/>
      </c>
      <c r="Q86" s="12">
        <f>IF(H86&lt;&gt;1,0,IF((IF(Classifiers!$B$12="",0,IF(ISNUMBER(SEARCH(Classifiers!$B$12,E86)),1,0))+IF(Classifiers!$C$12="",0,IF(ISNUMBER(SEARCH(Classifiers!$C$12,E86)),1,0))+IF(Classifiers!$D$12="",0,IF(ISNUMBER(SEARCH(Classifiers!$D$12,E86)),1,0))+IF(Classifiers!$E$12="",0,IF(ISNUMBER(SEARCH(Classifiers!$E$12,E86)),1,0))+IF(Classifiers!$F$12="",0,IF(ISNUMBER(SEARCH(Classifiers!$F$12,E86)),1,0))+IF(Classifiers!$G$12="",0,IF(ISNUMBER(SEARCH(Classifiers!$G$12,E86)),1,0)))&gt;0,1,0))</f>
        <v/>
      </c>
      <c r="R86" s="12">
        <f>IF(H86&lt;&gt;1,0,IF((IF(Classifiers!$B$13="",0,IF(ISNUMBER(SEARCH(Classifiers!$B$13,E86)),1,0))+IF(Classifiers!$C$13="",0,IF(ISNUMBER(SEARCH(Classifiers!$C$13,E86)),1,0))+IF(Classifiers!$D$13="",0,IF(ISNUMBER(SEARCH(Classifiers!$D$13,E86)),1,0))+IF(Classifiers!$E$13="",0,IF(ISNUMBER(SEARCH(Classifiers!$E$13,E86)),1,0))+IF(Classifiers!$F$13="",0,IF(ISNUMBER(SEARCH(Classifiers!$F$13,E86)),1,0))+IF(Classifiers!$G$13="",0,IF(ISNUMBER(SEARCH(Classifiers!$G$13,E86)),1,0)))&gt;0,1,0))</f>
        <v/>
      </c>
      <c r="S86" s="12">
        <f>IF(H86&lt;&gt;1,0,IF((IF(Classifiers!$B$14="",0,IF(ISNUMBER(SEARCH(Classifiers!$B$14,E86)),1,0))+IF(Classifiers!$C$14="",0,IF(ISNUMBER(SEARCH(Classifiers!$C$14,E86)),1,0))+IF(Classifiers!$D$14="",0,IF(ISNUMBER(SEARCH(Classifiers!$D$14,E86)),1,0))+IF(Classifiers!$E$14="",0,IF(ISNUMBER(SEARCH(Classifiers!$E$14,E86)),1,0))+IF(Classifiers!$F$14="",0,IF(ISNUMBER(SEARCH(Classifiers!$F$14,E86)),1,0))+IF(Classifiers!$G$14="",0,IF(ISNUMBER(SEARCH(Classifiers!$G$14,E86)),1,0)))&gt;0,1,0))</f>
        <v/>
      </c>
      <c r="T86" s="12">
        <f>IF(H86&lt;&gt;1,0,IF((IF(Classifiers!$B$15="",0,IF(ISNUMBER(SEARCH(Classifiers!$B$15,E86)),1,0))+IF(Classifiers!$C$15="",0,IF(ISNUMBER(SEARCH(Classifiers!$C$15,E86)),1,0))+IF(Classifiers!$D$15="",0,IF(ISNUMBER(SEARCH(Classifiers!$D$15,E86)),1,0))+IF(Classifiers!$E$15="",0,IF(ISNUMBER(SEARCH(Classifiers!$E$15,E86)),1,0))+IF(Classifiers!$F$15="",0,IF(ISNUMBER(SEARCH(Classifiers!$F$15,E86)),1,0))+IF(Classifiers!$G$15="",0,IF(ISNUMBER(SEARCH(Classifiers!$G$15,E86)),1,0)))&gt;0,1,0))</f>
        <v/>
      </c>
      <c r="U86" s="12">
        <f>IF(H86&lt;&gt;1,0,IF((IF(Classifiers!$B$16="",0,IF(ISNUMBER(SEARCH(Classifiers!$B$16,E86)),1,0))+IF(Classifiers!$C$16="",0,IF(ISNUMBER(SEARCH(Classifiers!$C$16,E86)),1,0))+IF(Classifiers!$D$16="",0,IF(ISNUMBER(SEARCH(Classifiers!$D$16,E86)),1,0))+IF(Classifiers!$E$16="",0,IF(ISNUMBER(SEARCH(Classifiers!$E$16,E86)),1,0))+IF(Classifiers!$F$16="",0,IF(ISNUMBER(SEARCH(Classifiers!$F$16,E86)),1,0))+IF(Classifiers!$G$16="",0,IF(ISNUMBER(SEARCH(Classifiers!$G$16,E86)),1,0)))&gt;0,1,0))</f>
        <v/>
      </c>
      <c r="V86" s="12">
        <f>IF(H86&lt;&gt;1,0,IF((IF(Classifiers!$B$17="",0,IF(ISNUMBER(SEARCH(Classifiers!$B$17,E86)),1,0))+IF(Classifiers!$C$17="",0,IF(ISNUMBER(SEARCH(Classifiers!$C$17,E86)),1,0))+IF(Classifiers!$D$17="",0,IF(ISNUMBER(SEARCH(Classifiers!$D$17,E86)),1,0))+IF(Classifiers!$E$17="",0,IF(ISNUMBER(SEARCH(Classifiers!$E$17,E86)),1,0))+IF(Classifiers!$F$17="",0,IF(ISNUMBER(SEARCH(Classifiers!$F$17,E86)),1,0))+IF(Classifiers!$G$17="",0,IF(ISNUMBER(SEARCH(Classifiers!$G$17,E86)),1,0)))&gt;0,1,0))</f>
        <v/>
      </c>
      <c r="W86" s="12">
        <f>IF(H86&lt;&gt;1,0,IF((IF(Classifiers!$B$18="",0,IF(ISNUMBER(SEARCH(Classifiers!$B$18,E86)),1,0))+IF(Classifiers!$C$18="",0,IF(ISNUMBER(SEARCH(Classifiers!$C$18,E86)),1,0))+IF(Classifiers!$D$18="",0,IF(ISNUMBER(SEARCH(Classifiers!$D$18,E86)),1,0))+IF(Classifiers!$E$18="",0,IF(ISNUMBER(SEARCH(Classifiers!$E$18,E86)),1,0))+IF(Classifiers!$F$18="",0,IF(ISNUMBER(SEARCH(Classifiers!$F$18,E86)),1,0))+IF(Classifiers!$G$18="",0,IF(ISNUMBER(SEARCH(Classifiers!$G$18,E86)),1,0)))&gt;0,1,0))</f>
        <v/>
      </c>
    </row>
    <row r="87">
      <c r="A87" s="8" t="n"/>
      <c r="B87" s="11" t="n"/>
      <c r="C87" s="6">
        <f>IF(A87="","",TRIM(RIGHT(SUBSTITUTE(A87,"/",REPT(" ",250)),250)))</f>
        <v/>
      </c>
      <c r="D87" s="6">
        <f>IF(C87="","",IF(ISNUMBER(SEARCH(".",C87)),LOWER("."&amp;TRIM(RIGHT(SUBSTITUTE(C87,".",REPT(" ",250)),250))),""))</f>
        <v/>
      </c>
      <c r="E87" s="6">
        <f>IF(C87="","",TRIM(SUBSTITUTE(SUBSTITUTE(SUBSTITUTE(SUBSTITUTE(SUBSTITUTE(SUBSTITUTE(SUBSTITUTE(SUBSTITUTE(SUBSTITUTE(SUBSTITUTE(SUBSTITUTE(SUBSTITUTE(SUBSTITUTE(SUBSTITUTE(SUBSTITUTE(SUBSTITUTE(SUBSTITUTE(SUBSTITUTE(SUBSTITUTE(SUBSTITUTE(LOWER(LEFT(C87,LEN(C87)-LEN(D87))),"_"," "),"-"," "),"."," "),","," "),"("," "),")"," "),"["," "),"]"," "),"&amp;"," "),"+"," "),"@"," "),"#"," "),"!"," "),"'"," "),"/"," "),":"," "),";"," "),"="," "),"~"," "),"%"," ")))</f>
        <v/>
      </c>
      <c r="F87" s="6">
        <f>IF(C87="","",IF(COUNTIF(Classifiers!$A$23:$A$40,D87)&gt;0,1,0))</f>
        <v/>
      </c>
      <c r="G87" s="6">
        <f>IF(C87="","",IF(COUNTIF(Classifiers!$C$23:$C$30,D87)&gt;0,IF((IF(ISNUMBER(SEARCH(Classifiers!$E$23,E87)),1,0)+IF(ISNUMBER(SEARCH(Classifiers!$E$24,E87)),1,0)+IF(ISNUMBER(SEARCH(Classifiers!$E$25,E87)),1,0)+IF(ISNUMBER(SEARCH(Classifiers!$E$26,E87)),1,0)+IF(ISNUMBER(SEARCH(Classifiers!$E$27,E87)),1,0)+IF(ISNUMBER(SEARCH(Classifiers!$E$28,E87)),1,0)+IF(ISNUMBER(SEARCH(Classifiers!$E$29,E87)),1,0)+IF(ISNUMBER(SEARCH(Classifiers!$E$30,E87)),1,0))&gt;0,1,0),0))</f>
        <v/>
      </c>
      <c r="H87" s="6">
        <f>IF(C87="","",IF(OR(LEFT(C87,1)=".",AND(F87=0,G87=0)),0,1))</f>
        <v/>
      </c>
      <c r="I87" s="6">
        <f>IF(H87&lt;&gt;1,"",IF(SUM(J87:W87)=0,"unclassified",INDEX(Classifiers!$A$5:$A$18,MATCH(1,J87:W87,0),1)))</f>
        <v/>
      </c>
      <c r="J87" s="12">
        <f>IF(H87&lt;&gt;1,0,IF((IF(Classifiers!$B$5="",0,IF(ISNUMBER(SEARCH(Classifiers!$B$5,E87)),1,0))+IF(Classifiers!$C$5="",0,IF(ISNUMBER(SEARCH(Classifiers!$C$5,E87)),1,0))+IF(Classifiers!$D$5="",0,IF(ISNUMBER(SEARCH(Classifiers!$D$5,E87)),1,0))+IF(Classifiers!$E$5="",0,IF(ISNUMBER(SEARCH(Classifiers!$E$5,E87)),1,0))+IF(Classifiers!$F$5="",0,IF(ISNUMBER(SEARCH(Classifiers!$F$5,E87)),1,0))+IF(Classifiers!$G$5="",0,IF(ISNUMBER(SEARCH(Classifiers!$G$5,E87)),1,0)))&gt;0,1,0))</f>
        <v/>
      </c>
      <c r="K87" s="12">
        <f>IF(H87&lt;&gt;1,0,IF((IF(Classifiers!$B$6="",0,IF(ISNUMBER(SEARCH(Classifiers!$B$6,E87)),1,0))+IF(Classifiers!$C$6="",0,IF(ISNUMBER(SEARCH(Classifiers!$C$6,E87)),1,0))+IF(Classifiers!$D$6="",0,IF(ISNUMBER(SEARCH(Classifiers!$D$6,E87)),1,0))+IF(Classifiers!$E$6="",0,IF(ISNUMBER(SEARCH(Classifiers!$E$6,E87)),1,0))+IF(Classifiers!$F$6="",0,IF(ISNUMBER(SEARCH(Classifiers!$F$6,E87)),1,0))+IF(Classifiers!$G$6="",0,IF(ISNUMBER(SEARCH(Classifiers!$G$6,E87)),1,0)))&gt;0,1,0))</f>
        <v/>
      </c>
      <c r="L87" s="12">
        <f>IF(H87&lt;&gt;1,0,IF((IF(Classifiers!$B$7="",0,IF(ISNUMBER(SEARCH(Classifiers!$B$7,E87)),1,0))+IF(Classifiers!$C$7="",0,IF(ISNUMBER(SEARCH(Classifiers!$C$7,E87)),1,0))+IF(Classifiers!$D$7="",0,IF(ISNUMBER(SEARCH(Classifiers!$D$7,E87)),1,0))+IF(Classifiers!$E$7="",0,IF(ISNUMBER(SEARCH(Classifiers!$E$7,E87)),1,0))+IF(Classifiers!$F$7="",0,IF(ISNUMBER(SEARCH(Classifiers!$F$7,E87)),1,0))+IF(Classifiers!$G$7="",0,IF(ISNUMBER(SEARCH(Classifiers!$G$7,E87)),1,0)))&gt;0,1,0))</f>
        <v/>
      </c>
      <c r="M87" s="12">
        <f>IF(H87&lt;&gt;1,0,IF((IF(Classifiers!$B$8="",0,IF(ISNUMBER(SEARCH(Classifiers!$B$8,E87)),1,0))+IF(Classifiers!$C$8="",0,IF(ISNUMBER(SEARCH(Classifiers!$C$8,E87)),1,0))+IF(Classifiers!$D$8="",0,IF(ISNUMBER(SEARCH(Classifiers!$D$8,E87)),1,0))+IF(Classifiers!$E$8="",0,IF(ISNUMBER(SEARCH(Classifiers!$E$8,E87)),1,0))+IF(Classifiers!$F$8="",0,IF(ISNUMBER(SEARCH(Classifiers!$F$8,E87)),1,0))+IF(Classifiers!$G$8="",0,IF(ISNUMBER(SEARCH(Classifiers!$G$8,E87)),1,0)))&gt;0,1,0))</f>
        <v/>
      </c>
      <c r="N87" s="12">
        <f>IF(H87&lt;&gt;1,0,IF((IF(Classifiers!$B$9="",0,IF(ISNUMBER(SEARCH(Classifiers!$B$9,E87)),1,0))+IF(Classifiers!$C$9="",0,IF(ISNUMBER(SEARCH(Classifiers!$C$9,E87)),1,0))+IF(Classifiers!$D$9="",0,IF(ISNUMBER(SEARCH(Classifiers!$D$9,E87)),1,0))+IF(Classifiers!$E$9="",0,IF(ISNUMBER(SEARCH(Classifiers!$E$9,E87)),1,0))+IF(Classifiers!$F$9="",0,IF(ISNUMBER(SEARCH(Classifiers!$F$9,E87)),1,0))+IF(Classifiers!$G$9="",0,IF(ISNUMBER(SEARCH(Classifiers!$G$9,E87)),1,0)))&gt;0,1,0))</f>
        <v/>
      </c>
      <c r="O87" s="12">
        <f>IF(H87&lt;&gt;1,0,IF((IF(Classifiers!$B$10="",0,IF(ISNUMBER(SEARCH(Classifiers!$B$10,E87)),1,0))+IF(Classifiers!$C$10="",0,IF(ISNUMBER(SEARCH(Classifiers!$C$10,E87)),1,0))+IF(Classifiers!$D$10="",0,IF(ISNUMBER(SEARCH(Classifiers!$D$10,E87)),1,0))+IF(Classifiers!$E$10="",0,IF(ISNUMBER(SEARCH(Classifiers!$E$10,E87)),1,0))+IF(Classifiers!$F$10="",0,IF(ISNUMBER(SEARCH(Classifiers!$F$10,E87)),1,0))+IF(Classifiers!$G$10="",0,IF(ISNUMBER(SEARCH(Classifiers!$G$10,E87)),1,0)))&gt;0,1,0))</f>
        <v/>
      </c>
      <c r="P87" s="12">
        <f>IF(H87&lt;&gt;1,0,IF((IF(Classifiers!$B$11="",0,IF(ISNUMBER(SEARCH(Classifiers!$B$11,E87)),1,0))+IF(Classifiers!$C$11="",0,IF(ISNUMBER(SEARCH(Classifiers!$C$11,E87)),1,0))+IF(Classifiers!$D$11="",0,IF(ISNUMBER(SEARCH(Classifiers!$D$11,E87)),1,0))+IF(Classifiers!$E$11="",0,IF(ISNUMBER(SEARCH(Classifiers!$E$11,E87)),1,0))+IF(Classifiers!$F$11="",0,IF(ISNUMBER(SEARCH(Classifiers!$F$11,E87)),1,0))+IF(Classifiers!$G$11="",0,IF(ISNUMBER(SEARCH(Classifiers!$G$11,E87)),1,0)))&gt;0,1,0))</f>
        <v/>
      </c>
      <c r="Q87" s="12">
        <f>IF(H87&lt;&gt;1,0,IF((IF(Classifiers!$B$12="",0,IF(ISNUMBER(SEARCH(Classifiers!$B$12,E87)),1,0))+IF(Classifiers!$C$12="",0,IF(ISNUMBER(SEARCH(Classifiers!$C$12,E87)),1,0))+IF(Classifiers!$D$12="",0,IF(ISNUMBER(SEARCH(Classifiers!$D$12,E87)),1,0))+IF(Classifiers!$E$12="",0,IF(ISNUMBER(SEARCH(Classifiers!$E$12,E87)),1,0))+IF(Classifiers!$F$12="",0,IF(ISNUMBER(SEARCH(Classifiers!$F$12,E87)),1,0))+IF(Classifiers!$G$12="",0,IF(ISNUMBER(SEARCH(Classifiers!$G$12,E87)),1,0)))&gt;0,1,0))</f>
        <v/>
      </c>
      <c r="R87" s="12">
        <f>IF(H87&lt;&gt;1,0,IF((IF(Classifiers!$B$13="",0,IF(ISNUMBER(SEARCH(Classifiers!$B$13,E87)),1,0))+IF(Classifiers!$C$13="",0,IF(ISNUMBER(SEARCH(Classifiers!$C$13,E87)),1,0))+IF(Classifiers!$D$13="",0,IF(ISNUMBER(SEARCH(Classifiers!$D$13,E87)),1,0))+IF(Classifiers!$E$13="",0,IF(ISNUMBER(SEARCH(Classifiers!$E$13,E87)),1,0))+IF(Classifiers!$F$13="",0,IF(ISNUMBER(SEARCH(Classifiers!$F$13,E87)),1,0))+IF(Classifiers!$G$13="",0,IF(ISNUMBER(SEARCH(Classifiers!$G$13,E87)),1,0)))&gt;0,1,0))</f>
        <v/>
      </c>
      <c r="S87" s="12">
        <f>IF(H87&lt;&gt;1,0,IF((IF(Classifiers!$B$14="",0,IF(ISNUMBER(SEARCH(Classifiers!$B$14,E87)),1,0))+IF(Classifiers!$C$14="",0,IF(ISNUMBER(SEARCH(Classifiers!$C$14,E87)),1,0))+IF(Classifiers!$D$14="",0,IF(ISNUMBER(SEARCH(Classifiers!$D$14,E87)),1,0))+IF(Classifiers!$E$14="",0,IF(ISNUMBER(SEARCH(Classifiers!$E$14,E87)),1,0))+IF(Classifiers!$F$14="",0,IF(ISNUMBER(SEARCH(Classifiers!$F$14,E87)),1,0))+IF(Classifiers!$G$14="",0,IF(ISNUMBER(SEARCH(Classifiers!$G$14,E87)),1,0)))&gt;0,1,0))</f>
        <v/>
      </c>
      <c r="T87" s="12">
        <f>IF(H87&lt;&gt;1,0,IF((IF(Classifiers!$B$15="",0,IF(ISNUMBER(SEARCH(Classifiers!$B$15,E87)),1,0))+IF(Classifiers!$C$15="",0,IF(ISNUMBER(SEARCH(Classifiers!$C$15,E87)),1,0))+IF(Classifiers!$D$15="",0,IF(ISNUMBER(SEARCH(Classifiers!$D$15,E87)),1,0))+IF(Classifiers!$E$15="",0,IF(ISNUMBER(SEARCH(Classifiers!$E$15,E87)),1,0))+IF(Classifiers!$F$15="",0,IF(ISNUMBER(SEARCH(Classifiers!$F$15,E87)),1,0))+IF(Classifiers!$G$15="",0,IF(ISNUMBER(SEARCH(Classifiers!$G$15,E87)),1,0)))&gt;0,1,0))</f>
        <v/>
      </c>
      <c r="U87" s="12">
        <f>IF(H87&lt;&gt;1,0,IF((IF(Classifiers!$B$16="",0,IF(ISNUMBER(SEARCH(Classifiers!$B$16,E87)),1,0))+IF(Classifiers!$C$16="",0,IF(ISNUMBER(SEARCH(Classifiers!$C$16,E87)),1,0))+IF(Classifiers!$D$16="",0,IF(ISNUMBER(SEARCH(Classifiers!$D$16,E87)),1,0))+IF(Classifiers!$E$16="",0,IF(ISNUMBER(SEARCH(Classifiers!$E$16,E87)),1,0))+IF(Classifiers!$F$16="",0,IF(ISNUMBER(SEARCH(Classifiers!$F$16,E87)),1,0))+IF(Classifiers!$G$16="",0,IF(ISNUMBER(SEARCH(Classifiers!$G$16,E87)),1,0)))&gt;0,1,0))</f>
        <v/>
      </c>
      <c r="V87" s="12">
        <f>IF(H87&lt;&gt;1,0,IF((IF(Classifiers!$B$17="",0,IF(ISNUMBER(SEARCH(Classifiers!$B$17,E87)),1,0))+IF(Classifiers!$C$17="",0,IF(ISNUMBER(SEARCH(Classifiers!$C$17,E87)),1,0))+IF(Classifiers!$D$17="",0,IF(ISNUMBER(SEARCH(Classifiers!$D$17,E87)),1,0))+IF(Classifiers!$E$17="",0,IF(ISNUMBER(SEARCH(Classifiers!$E$17,E87)),1,0))+IF(Classifiers!$F$17="",0,IF(ISNUMBER(SEARCH(Classifiers!$F$17,E87)),1,0))+IF(Classifiers!$G$17="",0,IF(ISNUMBER(SEARCH(Classifiers!$G$17,E87)),1,0)))&gt;0,1,0))</f>
        <v/>
      </c>
      <c r="W87" s="12">
        <f>IF(H87&lt;&gt;1,0,IF((IF(Classifiers!$B$18="",0,IF(ISNUMBER(SEARCH(Classifiers!$B$18,E87)),1,0))+IF(Classifiers!$C$18="",0,IF(ISNUMBER(SEARCH(Classifiers!$C$18,E87)),1,0))+IF(Classifiers!$D$18="",0,IF(ISNUMBER(SEARCH(Classifiers!$D$18,E87)),1,0))+IF(Classifiers!$E$18="",0,IF(ISNUMBER(SEARCH(Classifiers!$E$18,E87)),1,0))+IF(Classifiers!$F$18="",0,IF(ISNUMBER(SEARCH(Classifiers!$F$18,E87)),1,0))+IF(Classifiers!$G$18="",0,IF(ISNUMBER(SEARCH(Classifiers!$G$18,E87)),1,0)))&gt;0,1,0))</f>
        <v/>
      </c>
    </row>
    <row r="88">
      <c r="A88" s="8" t="n"/>
      <c r="B88" s="11" t="n"/>
      <c r="C88" s="6">
        <f>IF(A88="","",TRIM(RIGHT(SUBSTITUTE(A88,"/",REPT(" ",250)),250)))</f>
        <v/>
      </c>
      <c r="D88" s="6">
        <f>IF(C88="","",IF(ISNUMBER(SEARCH(".",C88)),LOWER("."&amp;TRIM(RIGHT(SUBSTITUTE(C88,".",REPT(" ",250)),250))),""))</f>
        <v/>
      </c>
      <c r="E88" s="6">
        <f>IF(C88="","",TRIM(SUBSTITUTE(SUBSTITUTE(SUBSTITUTE(SUBSTITUTE(SUBSTITUTE(SUBSTITUTE(SUBSTITUTE(SUBSTITUTE(SUBSTITUTE(SUBSTITUTE(SUBSTITUTE(SUBSTITUTE(SUBSTITUTE(SUBSTITUTE(SUBSTITUTE(SUBSTITUTE(SUBSTITUTE(SUBSTITUTE(SUBSTITUTE(SUBSTITUTE(LOWER(LEFT(C88,LEN(C88)-LEN(D88))),"_"," "),"-"," "),"."," "),","," "),"("," "),")"," "),"["," "),"]"," "),"&amp;"," "),"+"," "),"@"," "),"#"," "),"!"," "),"'"," "),"/"," "),":"," "),";"," "),"="," "),"~"," "),"%"," ")))</f>
        <v/>
      </c>
      <c r="F88" s="6">
        <f>IF(C88="","",IF(COUNTIF(Classifiers!$A$23:$A$40,D88)&gt;0,1,0))</f>
        <v/>
      </c>
      <c r="G88" s="6">
        <f>IF(C88="","",IF(COUNTIF(Classifiers!$C$23:$C$30,D88)&gt;0,IF((IF(ISNUMBER(SEARCH(Classifiers!$E$23,E88)),1,0)+IF(ISNUMBER(SEARCH(Classifiers!$E$24,E88)),1,0)+IF(ISNUMBER(SEARCH(Classifiers!$E$25,E88)),1,0)+IF(ISNUMBER(SEARCH(Classifiers!$E$26,E88)),1,0)+IF(ISNUMBER(SEARCH(Classifiers!$E$27,E88)),1,0)+IF(ISNUMBER(SEARCH(Classifiers!$E$28,E88)),1,0)+IF(ISNUMBER(SEARCH(Classifiers!$E$29,E88)),1,0)+IF(ISNUMBER(SEARCH(Classifiers!$E$30,E88)),1,0))&gt;0,1,0),0))</f>
        <v/>
      </c>
      <c r="H88" s="6">
        <f>IF(C88="","",IF(OR(LEFT(C88,1)=".",AND(F88=0,G88=0)),0,1))</f>
        <v/>
      </c>
      <c r="I88" s="6">
        <f>IF(H88&lt;&gt;1,"",IF(SUM(J88:W88)=0,"unclassified",INDEX(Classifiers!$A$5:$A$18,MATCH(1,J88:W88,0),1)))</f>
        <v/>
      </c>
      <c r="J88" s="12">
        <f>IF(H88&lt;&gt;1,0,IF((IF(Classifiers!$B$5="",0,IF(ISNUMBER(SEARCH(Classifiers!$B$5,E88)),1,0))+IF(Classifiers!$C$5="",0,IF(ISNUMBER(SEARCH(Classifiers!$C$5,E88)),1,0))+IF(Classifiers!$D$5="",0,IF(ISNUMBER(SEARCH(Classifiers!$D$5,E88)),1,0))+IF(Classifiers!$E$5="",0,IF(ISNUMBER(SEARCH(Classifiers!$E$5,E88)),1,0))+IF(Classifiers!$F$5="",0,IF(ISNUMBER(SEARCH(Classifiers!$F$5,E88)),1,0))+IF(Classifiers!$G$5="",0,IF(ISNUMBER(SEARCH(Classifiers!$G$5,E88)),1,0)))&gt;0,1,0))</f>
        <v/>
      </c>
      <c r="K88" s="12">
        <f>IF(H88&lt;&gt;1,0,IF((IF(Classifiers!$B$6="",0,IF(ISNUMBER(SEARCH(Classifiers!$B$6,E88)),1,0))+IF(Classifiers!$C$6="",0,IF(ISNUMBER(SEARCH(Classifiers!$C$6,E88)),1,0))+IF(Classifiers!$D$6="",0,IF(ISNUMBER(SEARCH(Classifiers!$D$6,E88)),1,0))+IF(Classifiers!$E$6="",0,IF(ISNUMBER(SEARCH(Classifiers!$E$6,E88)),1,0))+IF(Classifiers!$F$6="",0,IF(ISNUMBER(SEARCH(Classifiers!$F$6,E88)),1,0))+IF(Classifiers!$G$6="",0,IF(ISNUMBER(SEARCH(Classifiers!$G$6,E88)),1,0)))&gt;0,1,0))</f>
        <v/>
      </c>
      <c r="L88" s="12">
        <f>IF(H88&lt;&gt;1,0,IF((IF(Classifiers!$B$7="",0,IF(ISNUMBER(SEARCH(Classifiers!$B$7,E88)),1,0))+IF(Classifiers!$C$7="",0,IF(ISNUMBER(SEARCH(Classifiers!$C$7,E88)),1,0))+IF(Classifiers!$D$7="",0,IF(ISNUMBER(SEARCH(Classifiers!$D$7,E88)),1,0))+IF(Classifiers!$E$7="",0,IF(ISNUMBER(SEARCH(Classifiers!$E$7,E88)),1,0))+IF(Classifiers!$F$7="",0,IF(ISNUMBER(SEARCH(Classifiers!$F$7,E88)),1,0))+IF(Classifiers!$G$7="",0,IF(ISNUMBER(SEARCH(Classifiers!$G$7,E88)),1,0)))&gt;0,1,0))</f>
        <v/>
      </c>
      <c r="M88" s="12">
        <f>IF(H88&lt;&gt;1,0,IF((IF(Classifiers!$B$8="",0,IF(ISNUMBER(SEARCH(Classifiers!$B$8,E88)),1,0))+IF(Classifiers!$C$8="",0,IF(ISNUMBER(SEARCH(Classifiers!$C$8,E88)),1,0))+IF(Classifiers!$D$8="",0,IF(ISNUMBER(SEARCH(Classifiers!$D$8,E88)),1,0))+IF(Classifiers!$E$8="",0,IF(ISNUMBER(SEARCH(Classifiers!$E$8,E88)),1,0))+IF(Classifiers!$F$8="",0,IF(ISNUMBER(SEARCH(Classifiers!$F$8,E88)),1,0))+IF(Classifiers!$G$8="",0,IF(ISNUMBER(SEARCH(Classifiers!$G$8,E88)),1,0)))&gt;0,1,0))</f>
        <v/>
      </c>
      <c r="N88" s="12">
        <f>IF(H88&lt;&gt;1,0,IF((IF(Classifiers!$B$9="",0,IF(ISNUMBER(SEARCH(Classifiers!$B$9,E88)),1,0))+IF(Classifiers!$C$9="",0,IF(ISNUMBER(SEARCH(Classifiers!$C$9,E88)),1,0))+IF(Classifiers!$D$9="",0,IF(ISNUMBER(SEARCH(Classifiers!$D$9,E88)),1,0))+IF(Classifiers!$E$9="",0,IF(ISNUMBER(SEARCH(Classifiers!$E$9,E88)),1,0))+IF(Classifiers!$F$9="",0,IF(ISNUMBER(SEARCH(Classifiers!$F$9,E88)),1,0))+IF(Classifiers!$G$9="",0,IF(ISNUMBER(SEARCH(Classifiers!$G$9,E88)),1,0)))&gt;0,1,0))</f>
        <v/>
      </c>
      <c r="O88" s="12">
        <f>IF(H88&lt;&gt;1,0,IF((IF(Classifiers!$B$10="",0,IF(ISNUMBER(SEARCH(Classifiers!$B$10,E88)),1,0))+IF(Classifiers!$C$10="",0,IF(ISNUMBER(SEARCH(Classifiers!$C$10,E88)),1,0))+IF(Classifiers!$D$10="",0,IF(ISNUMBER(SEARCH(Classifiers!$D$10,E88)),1,0))+IF(Classifiers!$E$10="",0,IF(ISNUMBER(SEARCH(Classifiers!$E$10,E88)),1,0))+IF(Classifiers!$F$10="",0,IF(ISNUMBER(SEARCH(Classifiers!$F$10,E88)),1,0))+IF(Classifiers!$G$10="",0,IF(ISNUMBER(SEARCH(Classifiers!$G$10,E88)),1,0)))&gt;0,1,0))</f>
        <v/>
      </c>
      <c r="P88" s="12">
        <f>IF(H88&lt;&gt;1,0,IF((IF(Classifiers!$B$11="",0,IF(ISNUMBER(SEARCH(Classifiers!$B$11,E88)),1,0))+IF(Classifiers!$C$11="",0,IF(ISNUMBER(SEARCH(Classifiers!$C$11,E88)),1,0))+IF(Classifiers!$D$11="",0,IF(ISNUMBER(SEARCH(Classifiers!$D$11,E88)),1,0))+IF(Classifiers!$E$11="",0,IF(ISNUMBER(SEARCH(Classifiers!$E$11,E88)),1,0))+IF(Classifiers!$F$11="",0,IF(ISNUMBER(SEARCH(Classifiers!$F$11,E88)),1,0))+IF(Classifiers!$G$11="",0,IF(ISNUMBER(SEARCH(Classifiers!$G$11,E88)),1,0)))&gt;0,1,0))</f>
        <v/>
      </c>
      <c r="Q88" s="12">
        <f>IF(H88&lt;&gt;1,0,IF((IF(Classifiers!$B$12="",0,IF(ISNUMBER(SEARCH(Classifiers!$B$12,E88)),1,0))+IF(Classifiers!$C$12="",0,IF(ISNUMBER(SEARCH(Classifiers!$C$12,E88)),1,0))+IF(Classifiers!$D$12="",0,IF(ISNUMBER(SEARCH(Classifiers!$D$12,E88)),1,0))+IF(Classifiers!$E$12="",0,IF(ISNUMBER(SEARCH(Classifiers!$E$12,E88)),1,0))+IF(Classifiers!$F$12="",0,IF(ISNUMBER(SEARCH(Classifiers!$F$12,E88)),1,0))+IF(Classifiers!$G$12="",0,IF(ISNUMBER(SEARCH(Classifiers!$G$12,E88)),1,0)))&gt;0,1,0))</f>
        <v/>
      </c>
      <c r="R88" s="12">
        <f>IF(H88&lt;&gt;1,0,IF((IF(Classifiers!$B$13="",0,IF(ISNUMBER(SEARCH(Classifiers!$B$13,E88)),1,0))+IF(Classifiers!$C$13="",0,IF(ISNUMBER(SEARCH(Classifiers!$C$13,E88)),1,0))+IF(Classifiers!$D$13="",0,IF(ISNUMBER(SEARCH(Classifiers!$D$13,E88)),1,0))+IF(Classifiers!$E$13="",0,IF(ISNUMBER(SEARCH(Classifiers!$E$13,E88)),1,0))+IF(Classifiers!$F$13="",0,IF(ISNUMBER(SEARCH(Classifiers!$F$13,E88)),1,0))+IF(Classifiers!$G$13="",0,IF(ISNUMBER(SEARCH(Classifiers!$G$13,E88)),1,0)))&gt;0,1,0))</f>
        <v/>
      </c>
      <c r="S88" s="12">
        <f>IF(H88&lt;&gt;1,0,IF((IF(Classifiers!$B$14="",0,IF(ISNUMBER(SEARCH(Classifiers!$B$14,E88)),1,0))+IF(Classifiers!$C$14="",0,IF(ISNUMBER(SEARCH(Classifiers!$C$14,E88)),1,0))+IF(Classifiers!$D$14="",0,IF(ISNUMBER(SEARCH(Classifiers!$D$14,E88)),1,0))+IF(Classifiers!$E$14="",0,IF(ISNUMBER(SEARCH(Classifiers!$E$14,E88)),1,0))+IF(Classifiers!$F$14="",0,IF(ISNUMBER(SEARCH(Classifiers!$F$14,E88)),1,0))+IF(Classifiers!$G$14="",0,IF(ISNUMBER(SEARCH(Classifiers!$G$14,E88)),1,0)))&gt;0,1,0))</f>
        <v/>
      </c>
      <c r="T88" s="12">
        <f>IF(H88&lt;&gt;1,0,IF((IF(Classifiers!$B$15="",0,IF(ISNUMBER(SEARCH(Classifiers!$B$15,E88)),1,0))+IF(Classifiers!$C$15="",0,IF(ISNUMBER(SEARCH(Classifiers!$C$15,E88)),1,0))+IF(Classifiers!$D$15="",0,IF(ISNUMBER(SEARCH(Classifiers!$D$15,E88)),1,0))+IF(Classifiers!$E$15="",0,IF(ISNUMBER(SEARCH(Classifiers!$E$15,E88)),1,0))+IF(Classifiers!$F$15="",0,IF(ISNUMBER(SEARCH(Classifiers!$F$15,E88)),1,0))+IF(Classifiers!$G$15="",0,IF(ISNUMBER(SEARCH(Classifiers!$G$15,E88)),1,0)))&gt;0,1,0))</f>
        <v/>
      </c>
      <c r="U88" s="12">
        <f>IF(H88&lt;&gt;1,0,IF((IF(Classifiers!$B$16="",0,IF(ISNUMBER(SEARCH(Classifiers!$B$16,E88)),1,0))+IF(Classifiers!$C$16="",0,IF(ISNUMBER(SEARCH(Classifiers!$C$16,E88)),1,0))+IF(Classifiers!$D$16="",0,IF(ISNUMBER(SEARCH(Classifiers!$D$16,E88)),1,0))+IF(Classifiers!$E$16="",0,IF(ISNUMBER(SEARCH(Classifiers!$E$16,E88)),1,0))+IF(Classifiers!$F$16="",0,IF(ISNUMBER(SEARCH(Classifiers!$F$16,E88)),1,0))+IF(Classifiers!$G$16="",0,IF(ISNUMBER(SEARCH(Classifiers!$G$16,E88)),1,0)))&gt;0,1,0))</f>
        <v/>
      </c>
      <c r="V88" s="12">
        <f>IF(H88&lt;&gt;1,0,IF((IF(Classifiers!$B$17="",0,IF(ISNUMBER(SEARCH(Classifiers!$B$17,E88)),1,0))+IF(Classifiers!$C$17="",0,IF(ISNUMBER(SEARCH(Classifiers!$C$17,E88)),1,0))+IF(Classifiers!$D$17="",0,IF(ISNUMBER(SEARCH(Classifiers!$D$17,E88)),1,0))+IF(Classifiers!$E$17="",0,IF(ISNUMBER(SEARCH(Classifiers!$E$17,E88)),1,0))+IF(Classifiers!$F$17="",0,IF(ISNUMBER(SEARCH(Classifiers!$F$17,E88)),1,0))+IF(Classifiers!$G$17="",0,IF(ISNUMBER(SEARCH(Classifiers!$G$17,E88)),1,0)))&gt;0,1,0))</f>
        <v/>
      </c>
      <c r="W88" s="12">
        <f>IF(H88&lt;&gt;1,0,IF((IF(Classifiers!$B$18="",0,IF(ISNUMBER(SEARCH(Classifiers!$B$18,E88)),1,0))+IF(Classifiers!$C$18="",0,IF(ISNUMBER(SEARCH(Classifiers!$C$18,E88)),1,0))+IF(Classifiers!$D$18="",0,IF(ISNUMBER(SEARCH(Classifiers!$D$18,E88)),1,0))+IF(Classifiers!$E$18="",0,IF(ISNUMBER(SEARCH(Classifiers!$E$18,E88)),1,0))+IF(Classifiers!$F$18="",0,IF(ISNUMBER(SEARCH(Classifiers!$F$18,E88)),1,0))+IF(Classifiers!$G$18="",0,IF(ISNUMBER(SEARCH(Classifiers!$G$18,E88)),1,0)))&gt;0,1,0))</f>
        <v/>
      </c>
    </row>
    <row r="89">
      <c r="A89" s="8" t="n"/>
      <c r="B89" s="11" t="n"/>
      <c r="C89" s="6">
        <f>IF(A89="","",TRIM(RIGHT(SUBSTITUTE(A89,"/",REPT(" ",250)),250)))</f>
        <v/>
      </c>
      <c r="D89" s="6">
        <f>IF(C89="","",IF(ISNUMBER(SEARCH(".",C89)),LOWER("."&amp;TRIM(RIGHT(SUBSTITUTE(C89,".",REPT(" ",250)),250))),""))</f>
        <v/>
      </c>
      <c r="E89" s="6">
        <f>IF(C89="","",TRIM(SUBSTITUTE(SUBSTITUTE(SUBSTITUTE(SUBSTITUTE(SUBSTITUTE(SUBSTITUTE(SUBSTITUTE(SUBSTITUTE(SUBSTITUTE(SUBSTITUTE(SUBSTITUTE(SUBSTITUTE(SUBSTITUTE(SUBSTITUTE(SUBSTITUTE(SUBSTITUTE(SUBSTITUTE(SUBSTITUTE(SUBSTITUTE(SUBSTITUTE(LOWER(LEFT(C89,LEN(C89)-LEN(D89))),"_"," "),"-"," "),"."," "),","," "),"("," "),")"," "),"["," "),"]"," "),"&amp;"," "),"+"," "),"@"," "),"#"," "),"!"," "),"'"," "),"/"," "),":"," "),";"," "),"="," "),"~"," "),"%"," ")))</f>
        <v/>
      </c>
      <c r="F89" s="6">
        <f>IF(C89="","",IF(COUNTIF(Classifiers!$A$23:$A$40,D89)&gt;0,1,0))</f>
        <v/>
      </c>
      <c r="G89" s="6">
        <f>IF(C89="","",IF(COUNTIF(Classifiers!$C$23:$C$30,D89)&gt;0,IF((IF(ISNUMBER(SEARCH(Classifiers!$E$23,E89)),1,0)+IF(ISNUMBER(SEARCH(Classifiers!$E$24,E89)),1,0)+IF(ISNUMBER(SEARCH(Classifiers!$E$25,E89)),1,0)+IF(ISNUMBER(SEARCH(Classifiers!$E$26,E89)),1,0)+IF(ISNUMBER(SEARCH(Classifiers!$E$27,E89)),1,0)+IF(ISNUMBER(SEARCH(Classifiers!$E$28,E89)),1,0)+IF(ISNUMBER(SEARCH(Classifiers!$E$29,E89)),1,0)+IF(ISNUMBER(SEARCH(Classifiers!$E$30,E89)),1,0))&gt;0,1,0),0))</f>
        <v/>
      </c>
      <c r="H89" s="6">
        <f>IF(C89="","",IF(OR(LEFT(C89,1)=".",AND(F89=0,G89=0)),0,1))</f>
        <v/>
      </c>
      <c r="I89" s="6">
        <f>IF(H89&lt;&gt;1,"",IF(SUM(J89:W89)=0,"unclassified",INDEX(Classifiers!$A$5:$A$18,MATCH(1,J89:W89,0),1)))</f>
        <v/>
      </c>
      <c r="J89" s="12">
        <f>IF(H89&lt;&gt;1,0,IF((IF(Classifiers!$B$5="",0,IF(ISNUMBER(SEARCH(Classifiers!$B$5,E89)),1,0))+IF(Classifiers!$C$5="",0,IF(ISNUMBER(SEARCH(Classifiers!$C$5,E89)),1,0))+IF(Classifiers!$D$5="",0,IF(ISNUMBER(SEARCH(Classifiers!$D$5,E89)),1,0))+IF(Classifiers!$E$5="",0,IF(ISNUMBER(SEARCH(Classifiers!$E$5,E89)),1,0))+IF(Classifiers!$F$5="",0,IF(ISNUMBER(SEARCH(Classifiers!$F$5,E89)),1,0))+IF(Classifiers!$G$5="",0,IF(ISNUMBER(SEARCH(Classifiers!$G$5,E89)),1,0)))&gt;0,1,0))</f>
        <v/>
      </c>
      <c r="K89" s="12">
        <f>IF(H89&lt;&gt;1,0,IF((IF(Classifiers!$B$6="",0,IF(ISNUMBER(SEARCH(Classifiers!$B$6,E89)),1,0))+IF(Classifiers!$C$6="",0,IF(ISNUMBER(SEARCH(Classifiers!$C$6,E89)),1,0))+IF(Classifiers!$D$6="",0,IF(ISNUMBER(SEARCH(Classifiers!$D$6,E89)),1,0))+IF(Classifiers!$E$6="",0,IF(ISNUMBER(SEARCH(Classifiers!$E$6,E89)),1,0))+IF(Classifiers!$F$6="",0,IF(ISNUMBER(SEARCH(Classifiers!$F$6,E89)),1,0))+IF(Classifiers!$G$6="",0,IF(ISNUMBER(SEARCH(Classifiers!$G$6,E89)),1,0)))&gt;0,1,0))</f>
        <v/>
      </c>
      <c r="L89" s="12">
        <f>IF(H89&lt;&gt;1,0,IF((IF(Classifiers!$B$7="",0,IF(ISNUMBER(SEARCH(Classifiers!$B$7,E89)),1,0))+IF(Classifiers!$C$7="",0,IF(ISNUMBER(SEARCH(Classifiers!$C$7,E89)),1,0))+IF(Classifiers!$D$7="",0,IF(ISNUMBER(SEARCH(Classifiers!$D$7,E89)),1,0))+IF(Classifiers!$E$7="",0,IF(ISNUMBER(SEARCH(Classifiers!$E$7,E89)),1,0))+IF(Classifiers!$F$7="",0,IF(ISNUMBER(SEARCH(Classifiers!$F$7,E89)),1,0))+IF(Classifiers!$G$7="",0,IF(ISNUMBER(SEARCH(Classifiers!$G$7,E89)),1,0)))&gt;0,1,0))</f>
        <v/>
      </c>
      <c r="M89" s="12">
        <f>IF(H89&lt;&gt;1,0,IF((IF(Classifiers!$B$8="",0,IF(ISNUMBER(SEARCH(Classifiers!$B$8,E89)),1,0))+IF(Classifiers!$C$8="",0,IF(ISNUMBER(SEARCH(Classifiers!$C$8,E89)),1,0))+IF(Classifiers!$D$8="",0,IF(ISNUMBER(SEARCH(Classifiers!$D$8,E89)),1,0))+IF(Classifiers!$E$8="",0,IF(ISNUMBER(SEARCH(Classifiers!$E$8,E89)),1,0))+IF(Classifiers!$F$8="",0,IF(ISNUMBER(SEARCH(Classifiers!$F$8,E89)),1,0))+IF(Classifiers!$G$8="",0,IF(ISNUMBER(SEARCH(Classifiers!$G$8,E89)),1,0)))&gt;0,1,0))</f>
        <v/>
      </c>
      <c r="N89" s="12">
        <f>IF(H89&lt;&gt;1,0,IF((IF(Classifiers!$B$9="",0,IF(ISNUMBER(SEARCH(Classifiers!$B$9,E89)),1,0))+IF(Classifiers!$C$9="",0,IF(ISNUMBER(SEARCH(Classifiers!$C$9,E89)),1,0))+IF(Classifiers!$D$9="",0,IF(ISNUMBER(SEARCH(Classifiers!$D$9,E89)),1,0))+IF(Classifiers!$E$9="",0,IF(ISNUMBER(SEARCH(Classifiers!$E$9,E89)),1,0))+IF(Classifiers!$F$9="",0,IF(ISNUMBER(SEARCH(Classifiers!$F$9,E89)),1,0))+IF(Classifiers!$G$9="",0,IF(ISNUMBER(SEARCH(Classifiers!$G$9,E89)),1,0)))&gt;0,1,0))</f>
        <v/>
      </c>
      <c r="O89" s="12">
        <f>IF(H89&lt;&gt;1,0,IF((IF(Classifiers!$B$10="",0,IF(ISNUMBER(SEARCH(Classifiers!$B$10,E89)),1,0))+IF(Classifiers!$C$10="",0,IF(ISNUMBER(SEARCH(Classifiers!$C$10,E89)),1,0))+IF(Classifiers!$D$10="",0,IF(ISNUMBER(SEARCH(Classifiers!$D$10,E89)),1,0))+IF(Classifiers!$E$10="",0,IF(ISNUMBER(SEARCH(Classifiers!$E$10,E89)),1,0))+IF(Classifiers!$F$10="",0,IF(ISNUMBER(SEARCH(Classifiers!$F$10,E89)),1,0))+IF(Classifiers!$G$10="",0,IF(ISNUMBER(SEARCH(Classifiers!$G$10,E89)),1,0)))&gt;0,1,0))</f>
        <v/>
      </c>
      <c r="P89" s="12">
        <f>IF(H89&lt;&gt;1,0,IF((IF(Classifiers!$B$11="",0,IF(ISNUMBER(SEARCH(Classifiers!$B$11,E89)),1,0))+IF(Classifiers!$C$11="",0,IF(ISNUMBER(SEARCH(Classifiers!$C$11,E89)),1,0))+IF(Classifiers!$D$11="",0,IF(ISNUMBER(SEARCH(Classifiers!$D$11,E89)),1,0))+IF(Classifiers!$E$11="",0,IF(ISNUMBER(SEARCH(Classifiers!$E$11,E89)),1,0))+IF(Classifiers!$F$11="",0,IF(ISNUMBER(SEARCH(Classifiers!$F$11,E89)),1,0))+IF(Classifiers!$G$11="",0,IF(ISNUMBER(SEARCH(Classifiers!$G$11,E89)),1,0)))&gt;0,1,0))</f>
        <v/>
      </c>
      <c r="Q89" s="12">
        <f>IF(H89&lt;&gt;1,0,IF((IF(Classifiers!$B$12="",0,IF(ISNUMBER(SEARCH(Classifiers!$B$12,E89)),1,0))+IF(Classifiers!$C$12="",0,IF(ISNUMBER(SEARCH(Classifiers!$C$12,E89)),1,0))+IF(Classifiers!$D$12="",0,IF(ISNUMBER(SEARCH(Classifiers!$D$12,E89)),1,0))+IF(Classifiers!$E$12="",0,IF(ISNUMBER(SEARCH(Classifiers!$E$12,E89)),1,0))+IF(Classifiers!$F$12="",0,IF(ISNUMBER(SEARCH(Classifiers!$F$12,E89)),1,0))+IF(Classifiers!$G$12="",0,IF(ISNUMBER(SEARCH(Classifiers!$G$12,E89)),1,0)))&gt;0,1,0))</f>
        <v/>
      </c>
      <c r="R89" s="12">
        <f>IF(H89&lt;&gt;1,0,IF((IF(Classifiers!$B$13="",0,IF(ISNUMBER(SEARCH(Classifiers!$B$13,E89)),1,0))+IF(Classifiers!$C$13="",0,IF(ISNUMBER(SEARCH(Classifiers!$C$13,E89)),1,0))+IF(Classifiers!$D$13="",0,IF(ISNUMBER(SEARCH(Classifiers!$D$13,E89)),1,0))+IF(Classifiers!$E$13="",0,IF(ISNUMBER(SEARCH(Classifiers!$E$13,E89)),1,0))+IF(Classifiers!$F$13="",0,IF(ISNUMBER(SEARCH(Classifiers!$F$13,E89)),1,0))+IF(Classifiers!$G$13="",0,IF(ISNUMBER(SEARCH(Classifiers!$G$13,E89)),1,0)))&gt;0,1,0))</f>
        <v/>
      </c>
      <c r="S89" s="12">
        <f>IF(H89&lt;&gt;1,0,IF((IF(Classifiers!$B$14="",0,IF(ISNUMBER(SEARCH(Classifiers!$B$14,E89)),1,0))+IF(Classifiers!$C$14="",0,IF(ISNUMBER(SEARCH(Classifiers!$C$14,E89)),1,0))+IF(Classifiers!$D$14="",0,IF(ISNUMBER(SEARCH(Classifiers!$D$14,E89)),1,0))+IF(Classifiers!$E$14="",0,IF(ISNUMBER(SEARCH(Classifiers!$E$14,E89)),1,0))+IF(Classifiers!$F$14="",0,IF(ISNUMBER(SEARCH(Classifiers!$F$14,E89)),1,0))+IF(Classifiers!$G$14="",0,IF(ISNUMBER(SEARCH(Classifiers!$G$14,E89)),1,0)))&gt;0,1,0))</f>
        <v/>
      </c>
      <c r="T89" s="12">
        <f>IF(H89&lt;&gt;1,0,IF((IF(Classifiers!$B$15="",0,IF(ISNUMBER(SEARCH(Classifiers!$B$15,E89)),1,0))+IF(Classifiers!$C$15="",0,IF(ISNUMBER(SEARCH(Classifiers!$C$15,E89)),1,0))+IF(Classifiers!$D$15="",0,IF(ISNUMBER(SEARCH(Classifiers!$D$15,E89)),1,0))+IF(Classifiers!$E$15="",0,IF(ISNUMBER(SEARCH(Classifiers!$E$15,E89)),1,0))+IF(Classifiers!$F$15="",0,IF(ISNUMBER(SEARCH(Classifiers!$F$15,E89)),1,0))+IF(Classifiers!$G$15="",0,IF(ISNUMBER(SEARCH(Classifiers!$G$15,E89)),1,0)))&gt;0,1,0))</f>
        <v/>
      </c>
      <c r="U89" s="12">
        <f>IF(H89&lt;&gt;1,0,IF((IF(Classifiers!$B$16="",0,IF(ISNUMBER(SEARCH(Classifiers!$B$16,E89)),1,0))+IF(Classifiers!$C$16="",0,IF(ISNUMBER(SEARCH(Classifiers!$C$16,E89)),1,0))+IF(Classifiers!$D$16="",0,IF(ISNUMBER(SEARCH(Classifiers!$D$16,E89)),1,0))+IF(Classifiers!$E$16="",0,IF(ISNUMBER(SEARCH(Classifiers!$E$16,E89)),1,0))+IF(Classifiers!$F$16="",0,IF(ISNUMBER(SEARCH(Classifiers!$F$16,E89)),1,0))+IF(Classifiers!$G$16="",0,IF(ISNUMBER(SEARCH(Classifiers!$G$16,E89)),1,0)))&gt;0,1,0))</f>
        <v/>
      </c>
      <c r="V89" s="12">
        <f>IF(H89&lt;&gt;1,0,IF((IF(Classifiers!$B$17="",0,IF(ISNUMBER(SEARCH(Classifiers!$B$17,E89)),1,0))+IF(Classifiers!$C$17="",0,IF(ISNUMBER(SEARCH(Classifiers!$C$17,E89)),1,0))+IF(Classifiers!$D$17="",0,IF(ISNUMBER(SEARCH(Classifiers!$D$17,E89)),1,0))+IF(Classifiers!$E$17="",0,IF(ISNUMBER(SEARCH(Classifiers!$E$17,E89)),1,0))+IF(Classifiers!$F$17="",0,IF(ISNUMBER(SEARCH(Classifiers!$F$17,E89)),1,0))+IF(Classifiers!$G$17="",0,IF(ISNUMBER(SEARCH(Classifiers!$G$17,E89)),1,0)))&gt;0,1,0))</f>
        <v/>
      </c>
      <c r="W89" s="12">
        <f>IF(H89&lt;&gt;1,0,IF((IF(Classifiers!$B$18="",0,IF(ISNUMBER(SEARCH(Classifiers!$B$18,E89)),1,0))+IF(Classifiers!$C$18="",0,IF(ISNUMBER(SEARCH(Classifiers!$C$18,E89)),1,0))+IF(Classifiers!$D$18="",0,IF(ISNUMBER(SEARCH(Classifiers!$D$18,E89)),1,0))+IF(Classifiers!$E$18="",0,IF(ISNUMBER(SEARCH(Classifiers!$E$18,E89)),1,0))+IF(Classifiers!$F$18="",0,IF(ISNUMBER(SEARCH(Classifiers!$F$18,E89)),1,0))+IF(Classifiers!$G$18="",0,IF(ISNUMBER(SEARCH(Classifiers!$G$18,E89)),1,0)))&gt;0,1,0))</f>
        <v/>
      </c>
    </row>
    <row r="90">
      <c r="A90" s="8" t="n"/>
      <c r="B90" s="11" t="n"/>
      <c r="C90" s="6">
        <f>IF(A90="","",TRIM(RIGHT(SUBSTITUTE(A90,"/",REPT(" ",250)),250)))</f>
        <v/>
      </c>
      <c r="D90" s="6">
        <f>IF(C90="","",IF(ISNUMBER(SEARCH(".",C90)),LOWER("."&amp;TRIM(RIGHT(SUBSTITUTE(C90,".",REPT(" ",250)),250))),""))</f>
        <v/>
      </c>
      <c r="E90" s="6">
        <f>IF(C90="","",TRIM(SUBSTITUTE(SUBSTITUTE(SUBSTITUTE(SUBSTITUTE(SUBSTITUTE(SUBSTITUTE(SUBSTITUTE(SUBSTITUTE(SUBSTITUTE(SUBSTITUTE(SUBSTITUTE(SUBSTITUTE(SUBSTITUTE(SUBSTITUTE(SUBSTITUTE(SUBSTITUTE(SUBSTITUTE(SUBSTITUTE(SUBSTITUTE(SUBSTITUTE(LOWER(LEFT(C90,LEN(C90)-LEN(D90))),"_"," "),"-"," "),"."," "),","," "),"("," "),")"," "),"["," "),"]"," "),"&amp;"," "),"+"," "),"@"," "),"#"," "),"!"," "),"'"," "),"/"," "),":"," "),";"," "),"="," "),"~"," "),"%"," ")))</f>
        <v/>
      </c>
      <c r="F90" s="6">
        <f>IF(C90="","",IF(COUNTIF(Classifiers!$A$23:$A$40,D90)&gt;0,1,0))</f>
        <v/>
      </c>
      <c r="G90" s="6">
        <f>IF(C90="","",IF(COUNTIF(Classifiers!$C$23:$C$30,D90)&gt;0,IF((IF(ISNUMBER(SEARCH(Classifiers!$E$23,E90)),1,0)+IF(ISNUMBER(SEARCH(Classifiers!$E$24,E90)),1,0)+IF(ISNUMBER(SEARCH(Classifiers!$E$25,E90)),1,0)+IF(ISNUMBER(SEARCH(Classifiers!$E$26,E90)),1,0)+IF(ISNUMBER(SEARCH(Classifiers!$E$27,E90)),1,0)+IF(ISNUMBER(SEARCH(Classifiers!$E$28,E90)),1,0)+IF(ISNUMBER(SEARCH(Classifiers!$E$29,E90)),1,0)+IF(ISNUMBER(SEARCH(Classifiers!$E$30,E90)),1,0))&gt;0,1,0),0))</f>
        <v/>
      </c>
      <c r="H90" s="6">
        <f>IF(C90="","",IF(OR(LEFT(C90,1)=".",AND(F90=0,G90=0)),0,1))</f>
        <v/>
      </c>
      <c r="I90" s="6">
        <f>IF(H90&lt;&gt;1,"",IF(SUM(J90:W90)=0,"unclassified",INDEX(Classifiers!$A$5:$A$18,MATCH(1,J90:W90,0),1)))</f>
        <v/>
      </c>
      <c r="J90" s="12">
        <f>IF(H90&lt;&gt;1,0,IF((IF(Classifiers!$B$5="",0,IF(ISNUMBER(SEARCH(Classifiers!$B$5,E90)),1,0))+IF(Classifiers!$C$5="",0,IF(ISNUMBER(SEARCH(Classifiers!$C$5,E90)),1,0))+IF(Classifiers!$D$5="",0,IF(ISNUMBER(SEARCH(Classifiers!$D$5,E90)),1,0))+IF(Classifiers!$E$5="",0,IF(ISNUMBER(SEARCH(Classifiers!$E$5,E90)),1,0))+IF(Classifiers!$F$5="",0,IF(ISNUMBER(SEARCH(Classifiers!$F$5,E90)),1,0))+IF(Classifiers!$G$5="",0,IF(ISNUMBER(SEARCH(Classifiers!$G$5,E90)),1,0)))&gt;0,1,0))</f>
        <v/>
      </c>
      <c r="K90" s="12">
        <f>IF(H90&lt;&gt;1,0,IF((IF(Classifiers!$B$6="",0,IF(ISNUMBER(SEARCH(Classifiers!$B$6,E90)),1,0))+IF(Classifiers!$C$6="",0,IF(ISNUMBER(SEARCH(Classifiers!$C$6,E90)),1,0))+IF(Classifiers!$D$6="",0,IF(ISNUMBER(SEARCH(Classifiers!$D$6,E90)),1,0))+IF(Classifiers!$E$6="",0,IF(ISNUMBER(SEARCH(Classifiers!$E$6,E90)),1,0))+IF(Classifiers!$F$6="",0,IF(ISNUMBER(SEARCH(Classifiers!$F$6,E90)),1,0))+IF(Classifiers!$G$6="",0,IF(ISNUMBER(SEARCH(Classifiers!$G$6,E90)),1,0)))&gt;0,1,0))</f>
        <v/>
      </c>
      <c r="L90" s="12">
        <f>IF(H90&lt;&gt;1,0,IF((IF(Classifiers!$B$7="",0,IF(ISNUMBER(SEARCH(Classifiers!$B$7,E90)),1,0))+IF(Classifiers!$C$7="",0,IF(ISNUMBER(SEARCH(Classifiers!$C$7,E90)),1,0))+IF(Classifiers!$D$7="",0,IF(ISNUMBER(SEARCH(Classifiers!$D$7,E90)),1,0))+IF(Classifiers!$E$7="",0,IF(ISNUMBER(SEARCH(Classifiers!$E$7,E90)),1,0))+IF(Classifiers!$F$7="",0,IF(ISNUMBER(SEARCH(Classifiers!$F$7,E90)),1,0))+IF(Classifiers!$G$7="",0,IF(ISNUMBER(SEARCH(Classifiers!$G$7,E90)),1,0)))&gt;0,1,0))</f>
        <v/>
      </c>
      <c r="M90" s="12">
        <f>IF(H90&lt;&gt;1,0,IF((IF(Classifiers!$B$8="",0,IF(ISNUMBER(SEARCH(Classifiers!$B$8,E90)),1,0))+IF(Classifiers!$C$8="",0,IF(ISNUMBER(SEARCH(Classifiers!$C$8,E90)),1,0))+IF(Classifiers!$D$8="",0,IF(ISNUMBER(SEARCH(Classifiers!$D$8,E90)),1,0))+IF(Classifiers!$E$8="",0,IF(ISNUMBER(SEARCH(Classifiers!$E$8,E90)),1,0))+IF(Classifiers!$F$8="",0,IF(ISNUMBER(SEARCH(Classifiers!$F$8,E90)),1,0))+IF(Classifiers!$G$8="",0,IF(ISNUMBER(SEARCH(Classifiers!$G$8,E90)),1,0)))&gt;0,1,0))</f>
        <v/>
      </c>
      <c r="N90" s="12">
        <f>IF(H90&lt;&gt;1,0,IF((IF(Classifiers!$B$9="",0,IF(ISNUMBER(SEARCH(Classifiers!$B$9,E90)),1,0))+IF(Classifiers!$C$9="",0,IF(ISNUMBER(SEARCH(Classifiers!$C$9,E90)),1,0))+IF(Classifiers!$D$9="",0,IF(ISNUMBER(SEARCH(Classifiers!$D$9,E90)),1,0))+IF(Classifiers!$E$9="",0,IF(ISNUMBER(SEARCH(Classifiers!$E$9,E90)),1,0))+IF(Classifiers!$F$9="",0,IF(ISNUMBER(SEARCH(Classifiers!$F$9,E90)),1,0))+IF(Classifiers!$G$9="",0,IF(ISNUMBER(SEARCH(Classifiers!$G$9,E90)),1,0)))&gt;0,1,0))</f>
        <v/>
      </c>
      <c r="O90" s="12">
        <f>IF(H90&lt;&gt;1,0,IF((IF(Classifiers!$B$10="",0,IF(ISNUMBER(SEARCH(Classifiers!$B$10,E90)),1,0))+IF(Classifiers!$C$10="",0,IF(ISNUMBER(SEARCH(Classifiers!$C$10,E90)),1,0))+IF(Classifiers!$D$10="",0,IF(ISNUMBER(SEARCH(Classifiers!$D$10,E90)),1,0))+IF(Classifiers!$E$10="",0,IF(ISNUMBER(SEARCH(Classifiers!$E$10,E90)),1,0))+IF(Classifiers!$F$10="",0,IF(ISNUMBER(SEARCH(Classifiers!$F$10,E90)),1,0))+IF(Classifiers!$G$10="",0,IF(ISNUMBER(SEARCH(Classifiers!$G$10,E90)),1,0)))&gt;0,1,0))</f>
        <v/>
      </c>
      <c r="P90" s="12">
        <f>IF(H90&lt;&gt;1,0,IF((IF(Classifiers!$B$11="",0,IF(ISNUMBER(SEARCH(Classifiers!$B$11,E90)),1,0))+IF(Classifiers!$C$11="",0,IF(ISNUMBER(SEARCH(Classifiers!$C$11,E90)),1,0))+IF(Classifiers!$D$11="",0,IF(ISNUMBER(SEARCH(Classifiers!$D$11,E90)),1,0))+IF(Classifiers!$E$11="",0,IF(ISNUMBER(SEARCH(Classifiers!$E$11,E90)),1,0))+IF(Classifiers!$F$11="",0,IF(ISNUMBER(SEARCH(Classifiers!$F$11,E90)),1,0))+IF(Classifiers!$G$11="",0,IF(ISNUMBER(SEARCH(Classifiers!$G$11,E90)),1,0)))&gt;0,1,0))</f>
        <v/>
      </c>
      <c r="Q90" s="12">
        <f>IF(H90&lt;&gt;1,0,IF((IF(Classifiers!$B$12="",0,IF(ISNUMBER(SEARCH(Classifiers!$B$12,E90)),1,0))+IF(Classifiers!$C$12="",0,IF(ISNUMBER(SEARCH(Classifiers!$C$12,E90)),1,0))+IF(Classifiers!$D$12="",0,IF(ISNUMBER(SEARCH(Classifiers!$D$12,E90)),1,0))+IF(Classifiers!$E$12="",0,IF(ISNUMBER(SEARCH(Classifiers!$E$12,E90)),1,0))+IF(Classifiers!$F$12="",0,IF(ISNUMBER(SEARCH(Classifiers!$F$12,E90)),1,0))+IF(Classifiers!$G$12="",0,IF(ISNUMBER(SEARCH(Classifiers!$G$12,E90)),1,0)))&gt;0,1,0))</f>
        <v/>
      </c>
      <c r="R90" s="12">
        <f>IF(H90&lt;&gt;1,0,IF((IF(Classifiers!$B$13="",0,IF(ISNUMBER(SEARCH(Classifiers!$B$13,E90)),1,0))+IF(Classifiers!$C$13="",0,IF(ISNUMBER(SEARCH(Classifiers!$C$13,E90)),1,0))+IF(Classifiers!$D$13="",0,IF(ISNUMBER(SEARCH(Classifiers!$D$13,E90)),1,0))+IF(Classifiers!$E$13="",0,IF(ISNUMBER(SEARCH(Classifiers!$E$13,E90)),1,0))+IF(Classifiers!$F$13="",0,IF(ISNUMBER(SEARCH(Classifiers!$F$13,E90)),1,0))+IF(Classifiers!$G$13="",0,IF(ISNUMBER(SEARCH(Classifiers!$G$13,E90)),1,0)))&gt;0,1,0))</f>
        <v/>
      </c>
      <c r="S90" s="12">
        <f>IF(H90&lt;&gt;1,0,IF((IF(Classifiers!$B$14="",0,IF(ISNUMBER(SEARCH(Classifiers!$B$14,E90)),1,0))+IF(Classifiers!$C$14="",0,IF(ISNUMBER(SEARCH(Classifiers!$C$14,E90)),1,0))+IF(Classifiers!$D$14="",0,IF(ISNUMBER(SEARCH(Classifiers!$D$14,E90)),1,0))+IF(Classifiers!$E$14="",0,IF(ISNUMBER(SEARCH(Classifiers!$E$14,E90)),1,0))+IF(Classifiers!$F$14="",0,IF(ISNUMBER(SEARCH(Classifiers!$F$14,E90)),1,0))+IF(Classifiers!$G$14="",0,IF(ISNUMBER(SEARCH(Classifiers!$G$14,E90)),1,0)))&gt;0,1,0))</f>
        <v/>
      </c>
      <c r="T90" s="12">
        <f>IF(H90&lt;&gt;1,0,IF((IF(Classifiers!$B$15="",0,IF(ISNUMBER(SEARCH(Classifiers!$B$15,E90)),1,0))+IF(Classifiers!$C$15="",0,IF(ISNUMBER(SEARCH(Classifiers!$C$15,E90)),1,0))+IF(Classifiers!$D$15="",0,IF(ISNUMBER(SEARCH(Classifiers!$D$15,E90)),1,0))+IF(Classifiers!$E$15="",0,IF(ISNUMBER(SEARCH(Classifiers!$E$15,E90)),1,0))+IF(Classifiers!$F$15="",0,IF(ISNUMBER(SEARCH(Classifiers!$F$15,E90)),1,0))+IF(Classifiers!$G$15="",0,IF(ISNUMBER(SEARCH(Classifiers!$G$15,E90)),1,0)))&gt;0,1,0))</f>
        <v/>
      </c>
      <c r="U90" s="12">
        <f>IF(H90&lt;&gt;1,0,IF((IF(Classifiers!$B$16="",0,IF(ISNUMBER(SEARCH(Classifiers!$B$16,E90)),1,0))+IF(Classifiers!$C$16="",0,IF(ISNUMBER(SEARCH(Classifiers!$C$16,E90)),1,0))+IF(Classifiers!$D$16="",0,IF(ISNUMBER(SEARCH(Classifiers!$D$16,E90)),1,0))+IF(Classifiers!$E$16="",0,IF(ISNUMBER(SEARCH(Classifiers!$E$16,E90)),1,0))+IF(Classifiers!$F$16="",0,IF(ISNUMBER(SEARCH(Classifiers!$F$16,E90)),1,0))+IF(Classifiers!$G$16="",0,IF(ISNUMBER(SEARCH(Classifiers!$G$16,E90)),1,0)))&gt;0,1,0))</f>
        <v/>
      </c>
      <c r="V90" s="12">
        <f>IF(H90&lt;&gt;1,0,IF((IF(Classifiers!$B$17="",0,IF(ISNUMBER(SEARCH(Classifiers!$B$17,E90)),1,0))+IF(Classifiers!$C$17="",0,IF(ISNUMBER(SEARCH(Classifiers!$C$17,E90)),1,0))+IF(Classifiers!$D$17="",0,IF(ISNUMBER(SEARCH(Classifiers!$D$17,E90)),1,0))+IF(Classifiers!$E$17="",0,IF(ISNUMBER(SEARCH(Classifiers!$E$17,E90)),1,0))+IF(Classifiers!$F$17="",0,IF(ISNUMBER(SEARCH(Classifiers!$F$17,E90)),1,0))+IF(Classifiers!$G$17="",0,IF(ISNUMBER(SEARCH(Classifiers!$G$17,E90)),1,0)))&gt;0,1,0))</f>
        <v/>
      </c>
      <c r="W90" s="12">
        <f>IF(H90&lt;&gt;1,0,IF((IF(Classifiers!$B$18="",0,IF(ISNUMBER(SEARCH(Classifiers!$B$18,E90)),1,0))+IF(Classifiers!$C$18="",0,IF(ISNUMBER(SEARCH(Classifiers!$C$18,E90)),1,0))+IF(Classifiers!$D$18="",0,IF(ISNUMBER(SEARCH(Classifiers!$D$18,E90)),1,0))+IF(Classifiers!$E$18="",0,IF(ISNUMBER(SEARCH(Classifiers!$E$18,E90)),1,0))+IF(Classifiers!$F$18="",0,IF(ISNUMBER(SEARCH(Classifiers!$F$18,E90)),1,0))+IF(Classifiers!$G$18="",0,IF(ISNUMBER(SEARCH(Classifiers!$G$18,E90)),1,0)))&gt;0,1,0))</f>
        <v/>
      </c>
    </row>
    <row r="91">
      <c r="A91" s="8" t="n"/>
      <c r="B91" s="11" t="n"/>
      <c r="C91" s="6">
        <f>IF(A91="","",TRIM(RIGHT(SUBSTITUTE(A91,"/",REPT(" ",250)),250)))</f>
        <v/>
      </c>
      <c r="D91" s="6">
        <f>IF(C91="","",IF(ISNUMBER(SEARCH(".",C91)),LOWER("."&amp;TRIM(RIGHT(SUBSTITUTE(C91,".",REPT(" ",250)),250))),""))</f>
        <v/>
      </c>
      <c r="E91" s="6">
        <f>IF(C91="","",TRIM(SUBSTITUTE(SUBSTITUTE(SUBSTITUTE(SUBSTITUTE(SUBSTITUTE(SUBSTITUTE(SUBSTITUTE(SUBSTITUTE(SUBSTITUTE(SUBSTITUTE(SUBSTITUTE(SUBSTITUTE(SUBSTITUTE(SUBSTITUTE(SUBSTITUTE(SUBSTITUTE(SUBSTITUTE(SUBSTITUTE(SUBSTITUTE(SUBSTITUTE(LOWER(LEFT(C91,LEN(C91)-LEN(D91))),"_"," "),"-"," "),"."," "),","," "),"("," "),")"," "),"["," "),"]"," "),"&amp;"," "),"+"," "),"@"," "),"#"," "),"!"," "),"'"," "),"/"," "),":"," "),";"," "),"="," "),"~"," "),"%"," ")))</f>
        <v/>
      </c>
      <c r="F91" s="6">
        <f>IF(C91="","",IF(COUNTIF(Classifiers!$A$23:$A$40,D91)&gt;0,1,0))</f>
        <v/>
      </c>
      <c r="G91" s="6">
        <f>IF(C91="","",IF(COUNTIF(Classifiers!$C$23:$C$30,D91)&gt;0,IF((IF(ISNUMBER(SEARCH(Classifiers!$E$23,E91)),1,0)+IF(ISNUMBER(SEARCH(Classifiers!$E$24,E91)),1,0)+IF(ISNUMBER(SEARCH(Classifiers!$E$25,E91)),1,0)+IF(ISNUMBER(SEARCH(Classifiers!$E$26,E91)),1,0)+IF(ISNUMBER(SEARCH(Classifiers!$E$27,E91)),1,0)+IF(ISNUMBER(SEARCH(Classifiers!$E$28,E91)),1,0)+IF(ISNUMBER(SEARCH(Classifiers!$E$29,E91)),1,0)+IF(ISNUMBER(SEARCH(Classifiers!$E$30,E91)),1,0))&gt;0,1,0),0))</f>
        <v/>
      </c>
      <c r="H91" s="6">
        <f>IF(C91="","",IF(OR(LEFT(C91,1)=".",AND(F91=0,G91=0)),0,1))</f>
        <v/>
      </c>
      <c r="I91" s="6">
        <f>IF(H91&lt;&gt;1,"",IF(SUM(J91:W91)=0,"unclassified",INDEX(Classifiers!$A$5:$A$18,MATCH(1,J91:W91,0),1)))</f>
        <v/>
      </c>
      <c r="J91" s="12">
        <f>IF(H91&lt;&gt;1,0,IF((IF(Classifiers!$B$5="",0,IF(ISNUMBER(SEARCH(Classifiers!$B$5,E91)),1,0))+IF(Classifiers!$C$5="",0,IF(ISNUMBER(SEARCH(Classifiers!$C$5,E91)),1,0))+IF(Classifiers!$D$5="",0,IF(ISNUMBER(SEARCH(Classifiers!$D$5,E91)),1,0))+IF(Classifiers!$E$5="",0,IF(ISNUMBER(SEARCH(Classifiers!$E$5,E91)),1,0))+IF(Classifiers!$F$5="",0,IF(ISNUMBER(SEARCH(Classifiers!$F$5,E91)),1,0))+IF(Classifiers!$G$5="",0,IF(ISNUMBER(SEARCH(Classifiers!$G$5,E91)),1,0)))&gt;0,1,0))</f>
        <v/>
      </c>
      <c r="K91" s="12">
        <f>IF(H91&lt;&gt;1,0,IF((IF(Classifiers!$B$6="",0,IF(ISNUMBER(SEARCH(Classifiers!$B$6,E91)),1,0))+IF(Classifiers!$C$6="",0,IF(ISNUMBER(SEARCH(Classifiers!$C$6,E91)),1,0))+IF(Classifiers!$D$6="",0,IF(ISNUMBER(SEARCH(Classifiers!$D$6,E91)),1,0))+IF(Classifiers!$E$6="",0,IF(ISNUMBER(SEARCH(Classifiers!$E$6,E91)),1,0))+IF(Classifiers!$F$6="",0,IF(ISNUMBER(SEARCH(Classifiers!$F$6,E91)),1,0))+IF(Classifiers!$G$6="",0,IF(ISNUMBER(SEARCH(Classifiers!$G$6,E91)),1,0)))&gt;0,1,0))</f>
        <v/>
      </c>
      <c r="L91" s="12">
        <f>IF(H91&lt;&gt;1,0,IF((IF(Classifiers!$B$7="",0,IF(ISNUMBER(SEARCH(Classifiers!$B$7,E91)),1,0))+IF(Classifiers!$C$7="",0,IF(ISNUMBER(SEARCH(Classifiers!$C$7,E91)),1,0))+IF(Classifiers!$D$7="",0,IF(ISNUMBER(SEARCH(Classifiers!$D$7,E91)),1,0))+IF(Classifiers!$E$7="",0,IF(ISNUMBER(SEARCH(Classifiers!$E$7,E91)),1,0))+IF(Classifiers!$F$7="",0,IF(ISNUMBER(SEARCH(Classifiers!$F$7,E91)),1,0))+IF(Classifiers!$G$7="",0,IF(ISNUMBER(SEARCH(Classifiers!$G$7,E91)),1,0)))&gt;0,1,0))</f>
        <v/>
      </c>
      <c r="M91" s="12">
        <f>IF(H91&lt;&gt;1,0,IF((IF(Classifiers!$B$8="",0,IF(ISNUMBER(SEARCH(Classifiers!$B$8,E91)),1,0))+IF(Classifiers!$C$8="",0,IF(ISNUMBER(SEARCH(Classifiers!$C$8,E91)),1,0))+IF(Classifiers!$D$8="",0,IF(ISNUMBER(SEARCH(Classifiers!$D$8,E91)),1,0))+IF(Classifiers!$E$8="",0,IF(ISNUMBER(SEARCH(Classifiers!$E$8,E91)),1,0))+IF(Classifiers!$F$8="",0,IF(ISNUMBER(SEARCH(Classifiers!$F$8,E91)),1,0))+IF(Classifiers!$G$8="",0,IF(ISNUMBER(SEARCH(Classifiers!$G$8,E91)),1,0)))&gt;0,1,0))</f>
        <v/>
      </c>
      <c r="N91" s="12">
        <f>IF(H91&lt;&gt;1,0,IF((IF(Classifiers!$B$9="",0,IF(ISNUMBER(SEARCH(Classifiers!$B$9,E91)),1,0))+IF(Classifiers!$C$9="",0,IF(ISNUMBER(SEARCH(Classifiers!$C$9,E91)),1,0))+IF(Classifiers!$D$9="",0,IF(ISNUMBER(SEARCH(Classifiers!$D$9,E91)),1,0))+IF(Classifiers!$E$9="",0,IF(ISNUMBER(SEARCH(Classifiers!$E$9,E91)),1,0))+IF(Classifiers!$F$9="",0,IF(ISNUMBER(SEARCH(Classifiers!$F$9,E91)),1,0))+IF(Classifiers!$G$9="",0,IF(ISNUMBER(SEARCH(Classifiers!$G$9,E91)),1,0)))&gt;0,1,0))</f>
        <v/>
      </c>
      <c r="O91" s="12">
        <f>IF(H91&lt;&gt;1,0,IF((IF(Classifiers!$B$10="",0,IF(ISNUMBER(SEARCH(Classifiers!$B$10,E91)),1,0))+IF(Classifiers!$C$10="",0,IF(ISNUMBER(SEARCH(Classifiers!$C$10,E91)),1,0))+IF(Classifiers!$D$10="",0,IF(ISNUMBER(SEARCH(Classifiers!$D$10,E91)),1,0))+IF(Classifiers!$E$10="",0,IF(ISNUMBER(SEARCH(Classifiers!$E$10,E91)),1,0))+IF(Classifiers!$F$10="",0,IF(ISNUMBER(SEARCH(Classifiers!$F$10,E91)),1,0))+IF(Classifiers!$G$10="",0,IF(ISNUMBER(SEARCH(Classifiers!$G$10,E91)),1,0)))&gt;0,1,0))</f>
        <v/>
      </c>
      <c r="P91" s="12">
        <f>IF(H91&lt;&gt;1,0,IF((IF(Classifiers!$B$11="",0,IF(ISNUMBER(SEARCH(Classifiers!$B$11,E91)),1,0))+IF(Classifiers!$C$11="",0,IF(ISNUMBER(SEARCH(Classifiers!$C$11,E91)),1,0))+IF(Classifiers!$D$11="",0,IF(ISNUMBER(SEARCH(Classifiers!$D$11,E91)),1,0))+IF(Classifiers!$E$11="",0,IF(ISNUMBER(SEARCH(Classifiers!$E$11,E91)),1,0))+IF(Classifiers!$F$11="",0,IF(ISNUMBER(SEARCH(Classifiers!$F$11,E91)),1,0))+IF(Classifiers!$G$11="",0,IF(ISNUMBER(SEARCH(Classifiers!$G$11,E91)),1,0)))&gt;0,1,0))</f>
        <v/>
      </c>
      <c r="Q91" s="12">
        <f>IF(H91&lt;&gt;1,0,IF((IF(Classifiers!$B$12="",0,IF(ISNUMBER(SEARCH(Classifiers!$B$12,E91)),1,0))+IF(Classifiers!$C$12="",0,IF(ISNUMBER(SEARCH(Classifiers!$C$12,E91)),1,0))+IF(Classifiers!$D$12="",0,IF(ISNUMBER(SEARCH(Classifiers!$D$12,E91)),1,0))+IF(Classifiers!$E$12="",0,IF(ISNUMBER(SEARCH(Classifiers!$E$12,E91)),1,0))+IF(Classifiers!$F$12="",0,IF(ISNUMBER(SEARCH(Classifiers!$F$12,E91)),1,0))+IF(Classifiers!$G$12="",0,IF(ISNUMBER(SEARCH(Classifiers!$G$12,E91)),1,0)))&gt;0,1,0))</f>
        <v/>
      </c>
      <c r="R91" s="12">
        <f>IF(H91&lt;&gt;1,0,IF((IF(Classifiers!$B$13="",0,IF(ISNUMBER(SEARCH(Classifiers!$B$13,E91)),1,0))+IF(Classifiers!$C$13="",0,IF(ISNUMBER(SEARCH(Classifiers!$C$13,E91)),1,0))+IF(Classifiers!$D$13="",0,IF(ISNUMBER(SEARCH(Classifiers!$D$13,E91)),1,0))+IF(Classifiers!$E$13="",0,IF(ISNUMBER(SEARCH(Classifiers!$E$13,E91)),1,0))+IF(Classifiers!$F$13="",0,IF(ISNUMBER(SEARCH(Classifiers!$F$13,E91)),1,0))+IF(Classifiers!$G$13="",0,IF(ISNUMBER(SEARCH(Classifiers!$G$13,E91)),1,0)))&gt;0,1,0))</f>
        <v/>
      </c>
      <c r="S91" s="12">
        <f>IF(H91&lt;&gt;1,0,IF((IF(Classifiers!$B$14="",0,IF(ISNUMBER(SEARCH(Classifiers!$B$14,E91)),1,0))+IF(Classifiers!$C$14="",0,IF(ISNUMBER(SEARCH(Classifiers!$C$14,E91)),1,0))+IF(Classifiers!$D$14="",0,IF(ISNUMBER(SEARCH(Classifiers!$D$14,E91)),1,0))+IF(Classifiers!$E$14="",0,IF(ISNUMBER(SEARCH(Classifiers!$E$14,E91)),1,0))+IF(Classifiers!$F$14="",0,IF(ISNUMBER(SEARCH(Classifiers!$F$14,E91)),1,0))+IF(Classifiers!$G$14="",0,IF(ISNUMBER(SEARCH(Classifiers!$G$14,E91)),1,0)))&gt;0,1,0))</f>
        <v/>
      </c>
      <c r="T91" s="12">
        <f>IF(H91&lt;&gt;1,0,IF((IF(Classifiers!$B$15="",0,IF(ISNUMBER(SEARCH(Classifiers!$B$15,E91)),1,0))+IF(Classifiers!$C$15="",0,IF(ISNUMBER(SEARCH(Classifiers!$C$15,E91)),1,0))+IF(Classifiers!$D$15="",0,IF(ISNUMBER(SEARCH(Classifiers!$D$15,E91)),1,0))+IF(Classifiers!$E$15="",0,IF(ISNUMBER(SEARCH(Classifiers!$E$15,E91)),1,0))+IF(Classifiers!$F$15="",0,IF(ISNUMBER(SEARCH(Classifiers!$F$15,E91)),1,0))+IF(Classifiers!$G$15="",0,IF(ISNUMBER(SEARCH(Classifiers!$G$15,E91)),1,0)))&gt;0,1,0))</f>
        <v/>
      </c>
      <c r="U91" s="12">
        <f>IF(H91&lt;&gt;1,0,IF((IF(Classifiers!$B$16="",0,IF(ISNUMBER(SEARCH(Classifiers!$B$16,E91)),1,0))+IF(Classifiers!$C$16="",0,IF(ISNUMBER(SEARCH(Classifiers!$C$16,E91)),1,0))+IF(Classifiers!$D$16="",0,IF(ISNUMBER(SEARCH(Classifiers!$D$16,E91)),1,0))+IF(Classifiers!$E$16="",0,IF(ISNUMBER(SEARCH(Classifiers!$E$16,E91)),1,0))+IF(Classifiers!$F$16="",0,IF(ISNUMBER(SEARCH(Classifiers!$F$16,E91)),1,0))+IF(Classifiers!$G$16="",0,IF(ISNUMBER(SEARCH(Classifiers!$G$16,E91)),1,0)))&gt;0,1,0))</f>
        <v/>
      </c>
      <c r="V91" s="12">
        <f>IF(H91&lt;&gt;1,0,IF((IF(Classifiers!$B$17="",0,IF(ISNUMBER(SEARCH(Classifiers!$B$17,E91)),1,0))+IF(Classifiers!$C$17="",0,IF(ISNUMBER(SEARCH(Classifiers!$C$17,E91)),1,0))+IF(Classifiers!$D$17="",0,IF(ISNUMBER(SEARCH(Classifiers!$D$17,E91)),1,0))+IF(Classifiers!$E$17="",0,IF(ISNUMBER(SEARCH(Classifiers!$E$17,E91)),1,0))+IF(Classifiers!$F$17="",0,IF(ISNUMBER(SEARCH(Classifiers!$F$17,E91)),1,0))+IF(Classifiers!$G$17="",0,IF(ISNUMBER(SEARCH(Classifiers!$G$17,E91)),1,0)))&gt;0,1,0))</f>
        <v/>
      </c>
      <c r="W91" s="12">
        <f>IF(H91&lt;&gt;1,0,IF((IF(Classifiers!$B$18="",0,IF(ISNUMBER(SEARCH(Classifiers!$B$18,E91)),1,0))+IF(Classifiers!$C$18="",0,IF(ISNUMBER(SEARCH(Classifiers!$C$18,E91)),1,0))+IF(Classifiers!$D$18="",0,IF(ISNUMBER(SEARCH(Classifiers!$D$18,E91)),1,0))+IF(Classifiers!$E$18="",0,IF(ISNUMBER(SEARCH(Classifiers!$E$18,E91)),1,0))+IF(Classifiers!$F$18="",0,IF(ISNUMBER(SEARCH(Classifiers!$F$18,E91)),1,0))+IF(Classifiers!$G$18="",0,IF(ISNUMBER(SEARCH(Classifiers!$G$18,E91)),1,0)))&gt;0,1,0))</f>
        <v/>
      </c>
    </row>
    <row r="92">
      <c r="A92" s="8" t="n"/>
      <c r="B92" s="11" t="n"/>
      <c r="C92" s="6">
        <f>IF(A92="","",TRIM(RIGHT(SUBSTITUTE(A92,"/",REPT(" ",250)),250)))</f>
        <v/>
      </c>
      <c r="D92" s="6">
        <f>IF(C92="","",IF(ISNUMBER(SEARCH(".",C92)),LOWER("."&amp;TRIM(RIGHT(SUBSTITUTE(C92,".",REPT(" ",250)),250))),""))</f>
        <v/>
      </c>
      <c r="E92" s="6">
        <f>IF(C92="","",TRIM(SUBSTITUTE(SUBSTITUTE(SUBSTITUTE(SUBSTITUTE(SUBSTITUTE(SUBSTITUTE(SUBSTITUTE(SUBSTITUTE(SUBSTITUTE(SUBSTITUTE(SUBSTITUTE(SUBSTITUTE(SUBSTITUTE(SUBSTITUTE(SUBSTITUTE(SUBSTITUTE(SUBSTITUTE(SUBSTITUTE(SUBSTITUTE(SUBSTITUTE(LOWER(LEFT(C92,LEN(C92)-LEN(D92))),"_"," "),"-"," "),"."," "),","," "),"("," "),")"," "),"["," "),"]"," "),"&amp;"," "),"+"," "),"@"," "),"#"," "),"!"," "),"'"," "),"/"," "),":"," "),";"," "),"="," "),"~"," "),"%"," ")))</f>
        <v/>
      </c>
      <c r="F92" s="6">
        <f>IF(C92="","",IF(COUNTIF(Classifiers!$A$23:$A$40,D92)&gt;0,1,0))</f>
        <v/>
      </c>
      <c r="G92" s="6">
        <f>IF(C92="","",IF(COUNTIF(Classifiers!$C$23:$C$30,D92)&gt;0,IF((IF(ISNUMBER(SEARCH(Classifiers!$E$23,E92)),1,0)+IF(ISNUMBER(SEARCH(Classifiers!$E$24,E92)),1,0)+IF(ISNUMBER(SEARCH(Classifiers!$E$25,E92)),1,0)+IF(ISNUMBER(SEARCH(Classifiers!$E$26,E92)),1,0)+IF(ISNUMBER(SEARCH(Classifiers!$E$27,E92)),1,0)+IF(ISNUMBER(SEARCH(Classifiers!$E$28,E92)),1,0)+IF(ISNUMBER(SEARCH(Classifiers!$E$29,E92)),1,0)+IF(ISNUMBER(SEARCH(Classifiers!$E$30,E92)),1,0))&gt;0,1,0),0))</f>
        <v/>
      </c>
      <c r="H92" s="6">
        <f>IF(C92="","",IF(OR(LEFT(C92,1)=".",AND(F92=0,G92=0)),0,1))</f>
        <v/>
      </c>
      <c r="I92" s="6">
        <f>IF(H92&lt;&gt;1,"",IF(SUM(J92:W92)=0,"unclassified",INDEX(Classifiers!$A$5:$A$18,MATCH(1,J92:W92,0),1)))</f>
        <v/>
      </c>
      <c r="J92" s="12">
        <f>IF(H92&lt;&gt;1,0,IF((IF(Classifiers!$B$5="",0,IF(ISNUMBER(SEARCH(Classifiers!$B$5,E92)),1,0))+IF(Classifiers!$C$5="",0,IF(ISNUMBER(SEARCH(Classifiers!$C$5,E92)),1,0))+IF(Classifiers!$D$5="",0,IF(ISNUMBER(SEARCH(Classifiers!$D$5,E92)),1,0))+IF(Classifiers!$E$5="",0,IF(ISNUMBER(SEARCH(Classifiers!$E$5,E92)),1,0))+IF(Classifiers!$F$5="",0,IF(ISNUMBER(SEARCH(Classifiers!$F$5,E92)),1,0))+IF(Classifiers!$G$5="",0,IF(ISNUMBER(SEARCH(Classifiers!$G$5,E92)),1,0)))&gt;0,1,0))</f>
        <v/>
      </c>
      <c r="K92" s="12">
        <f>IF(H92&lt;&gt;1,0,IF((IF(Classifiers!$B$6="",0,IF(ISNUMBER(SEARCH(Classifiers!$B$6,E92)),1,0))+IF(Classifiers!$C$6="",0,IF(ISNUMBER(SEARCH(Classifiers!$C$6,E92)),1,0))+IF(Classifiers!$D$6="",0,IF(ISNUMBER(SEARCH(Classifiers!$D$6,E92)),1,0))+IF(Classifiers!$E$6="",0,IF(ISNUMBER(SEARCH(Classifiers!$E$6,E92)),1,0))+IF(Classifiers!$F$6="",0,IF(ISNUMBER(SEARCH(Classifiers!$F$6,E92)),1,0))+IF(Classifiers!$G$6="",0,IF(ISNUMBER(SEARCH(Classifiers!$G$6,E92)),1,0)))&gt;0,1,0))</f>
        <v/>
      </c>
      <c r="L92" s="12">
        <f>IF(H92&lt;&gt;1,0,IF((IF(Classifiers!$B$7="",0,IF(ISNUMBER(SEARCH(Classifiers!$B$7,E92)),1,0))+IF(Classifiers!$C$7="",0,IF(ISNUMBER(SEARCH(Classifiers!$C$7,E92)),1,0))+IF(Classifiers!$D$7="",0,IF(ISNUMBER(SEARCH(Classifiers!$D$7,E92)),1,0))+IF(Classifiers!$E$7="",0,IF(ISNUMBER(SEARCH(Classifiers!$E$7,E92)),1,0))+IF(Classifiers!$F$7="",0,IF(ISNUMBER(SEARCH(Classifiers!$F$7,E92)),1,0))+IF(Classifiers!$G$7="",0,IF(ISNUMBER(SEARCH(Classifiers!$G$7,E92)),1,0)))&gt;0,1,0))</f>
        <v/>
      </c>
      <c r="M92" s="12">
        <f>IF(H92&lt;&gt;1,0,IF((IF(Classifiers!$B$8="",0,IF(ISNUMBER(SEARCH(Classifiers!$B$8,E92)),1,0))+IF(Classifiers!$C$8="",0,IF(ISNUMBER(SEARCH(Classifiers!$C$8,E92)),1,0))+IF(Classifiers!$D$8="",0,IF(ISNUMBER(SEARCH(Classifiers!$D$8,E92)),1,0))+IF(Classifiers!$E$8="",0,IF(ISNUMBER(SEARCH(Classifiers!$E$8,E92)),1,0))+IF(Classifiers!$F$8="",0,IF(ISNUMBER(SEARCH(Classifiers!$F$8,E92)),1,0))+IF(Classifiers!$G$8="",0,IF(ISNUMBER(SEARCH(Classifiers!$G$8,E92)),1,0)))&gt;0,1,0))</f>
        <v/>
      </c>
      <c r="N92" s="12">
        <f>IF(H92&lt;&gt;1,0,IF((IF(Classifiers!$B$9="",0,IF(ISNUMBER(SEARCH(Classifiers!$B$9,E92)),1,0))+IF(Classifiers!$C$9="",0,IF(ISNUMBER(SEARCH(Classifiers!$C$9,E92)),1,0))+IF(Classifiers!$D$9="",0,IF(ISNUMBER(SEARCH(Classifiers!$D$9,E92)),1,0))+IF(Classifiers!$E$9="",0,IF(ISNUMBER(SEARCH(Classifiers!$E$9,E92)),1,0))+IF(Classifiers!$F$9="",0,IF(ISNUMBER(SEARCH(Classifiers!$F$9,E92)),1,0))+IF(Classifiers!$G$9="",0,IF(ISNUMBER(SEARCH(Classifiers!$G$9,E92)),1,0)))&gt;0,1,0))</f>
        <v/>
      </c>
      <c r="O92" s="12">
        <f>IF(H92&lt;&gt;1,0,IF((IF(Classifiers!$B$10="",0,IF(ISNUMBER(SEARCH(Classifiers!$B$10,E92)),1,0))+IF(Classifiers!$C$10="",0,IF(ISNUMBER(SEARCH(Classifiers!$C$10,E92)),1,0))+IF(Classifiers!$D$10="",0,IF(ISNUMBER(SEARCH(Classifiers!$D$10,E92)),1,0))+IF(Classifiers!$E$10="",0,IF(ISNUMBER(SEARCH(Classifiers!$E$10,E92)),1,0))+IF(Classifiers!$F$10="",0,IF(ISNUMBER(SEARCH(Classifiers!$F$10,E92)),1,0))+IF(Classifiers!$G$10="",0,IF(ISNUMBER(SEARCH(Classifiers!$G$10,E92)),1,0)))&gt;0,1,0))</f>
        <v/>
      </c>
      <c r="P92" s="12">
        <f>IF(H92&lt;&gt;1,0,IF((IF(Classifiers!$B$11="",0,IF(ISNUMBER(SEARCH(Classifiers!$B$11,E92)),1,0))+IF(Classifiers!$C$11="",0,IF(ISNUMBER(SEARCH(Classifiers!$C$11,E92)),1,0))+IF(Classifiers!$D$11="",0,IF(ISNUMBER(SEARCH(Classifiers!$D$11,E92)),1,0))+IF(Classifiers!$E$11="",0,IF(ISNUMBER(SEARCH(Classifiers!$E$11,E92)),1,0))+IF(Classifiers!$F$11="",0,IF(ISNUMBER(SEARCH(Classifiers!$F$11,E92)),1,0))+IF(Classifiers!$G$11="",0,IF(ISNUMBER(SEARCH(Classifiers!$G$11,E92)),1,0)))&gt;0,1,0))</f>
        <v/>
      </c>
      <c r="Q92" s="12">
        <f>IF(H92&lt;&gt;1,0,IF((IF(Classifiers!$B$12="",0,IF(ISNUMBER(SEARCH(Classifiers!$B$12,E92)),1,0))+IF(Classifiers!$C$12="",0,IF(ISNUMBER(SEARCH(Classifiers!$C$12,E92)),1,0))+IF(Classifiers!$D$12="",0,IF(ISNUMBER(SEARCH(Classifiers!$D$12,E92)),1,0))+IF(Classifiers!$E$12="",0,IF(ISNUMBER(SEARCH(Classifiers!$E$12,E92)),1,0))+IF(Classifiers!$F$12="",0,IF(ISNUMBER(SEARCH(Classifiers!$F$12,E92)),1,0))+IF(Classifiers!$G$12="",0,IF(ISNUMBER(SEARCH(Classifiers!$G$12,E92)),1,0)))&gt;0,1,0))</f>
        <v/>
      </c>
      <c r="R92" s="12">
        <f>IF(H92&lt;&gt;1,0,IF((IF(Classifiers!$B$13="",0,IF(ISNUMBER(SEARCH(Classifiers!$B$13,E92)),1,0))+IF(Classifiers!$C$13="",0,IF(ISNUMBER(SEARCH(Classifiers!$C$13,E92)),1,0))+IF(Classifiers!$D$13="",0,IF(ISNUMBER(SEARCH(Classifiers!$D$13,E92)),1,0))+IF(Classifiers!$E$13="",0,IF(ISNUMBER(SEARCH(Classifiers!$E$13,E92)),1,0))+IF(Classifiers!$F$13="",0,IF(ISNUMBER(SEARCH(Classifiers!$F$13,E92)),1,0))+IF(Classifiers!$G$13="",0,IF(ISNUMBER(SEARCH(Classifiers!$G$13,E92)),1,0)))&gt;0,1,0))</f>
        <v/>
      </c>
      <c r="S92" s="12">
        <f>IF(H92&lt;&gt;1,0,IF((IF(Classifiers!$B$14="",0,IF(ISNUMBER(SEARCH(Classifiers!$B$14,E92)),1,0))+IF(Classifiers!$C$14="",0,IF(ISNUMBER(SEARCH(Classifiers!$C$14,E92)),1,0))+IF(Classifiers!$D$14="",0,IF(ISNUMBER(SEARCH(Classifiers!$D$14,E92)),1,0))+IF(Classifiers!$E$14="",0,IF(ISNUMBER(SEARCH(Classifiers!$E$14,E92)),1,0))+IF(Classifiers!$F$14="",0,IF(ISNUMBER(SEARCH(Classifiers!$F$14,E92)),1,0))+IF(Classifiers!$G$14="",0,IF(ISNUMBER(SEARCH(Classifiers!$G$14,E92)),1,0)))&gt;0,1,0))</f>
        <v/>
      </c>
      <c r="T92" s="12">
        <f>IF(H92&lt;&gt;1,0,IF((IF(Classifiers!$B$15="",0,IF(ISNUMBER(SEARCH(Classifiers!$B$15,E92)),1,0))+IF(Classifiers!$C$15="",0,IF(ISNUMBER(SEARCH(Classifiers!$C$15,E92)),1,0))+IF(Classifiers!$D$15="",0,IF(ISNUMBER(SEARCH(Classifiers!$D$15,E92)),1,0))+IF(Classifiers!$E$15="",0,IF(ISNUMBER(SEARCH(Classifiers!$E$15,E92)),1,0))+IF(Classifiers!$F$15="",0,IF(ISNUMBER(SEARCH(Classifiers!$F$15,E92)),1,0))+IF(Classifiers!$G$15="",0,IF(ISNUMBER(SEARCH(Classifiers!$G$15,E92)),1,0)))&gt;0,1,0))</f>
        <v/>
      </c>
      <c r="U92" s="12">
        <f>IF(H92&lt;&gt;1,0,IF((IF(Classifiers!$B$16="",0,IF(ISNUMBER(SEARCH(Classifiers!$B$16,E92)),1,0))+IF(Classifiers!$C$16="",0,IF(ISNUMBER(SEARCH(Classifiers!$C$16,E92)),1,0))+IF(Classifiers!$D$16="",0,IF(ISNUMBER(SEARCH(Classifiers!$D$16,E92)),1,0))+IF(Classifiers!$E$16="",0,IF(ISNUMBER(SEARCH(Classifiers!$E$16,E92)),1,0))+IF(Classifiers!$F$16="",0,IF(ISNUMBER(SEARCH(Classifiers!$F$16,E92)),1,0))+IF(Classifiers!$G$16="",0,IF(ISNUMBER(SEARCH(Classifiers!$G$16,E92)),1,0)))&gt;0,1,0))</f>
        <v/>
      </c>
      <c r="V92" s="12">
        <f>IF(H92&lt;&gt;1,0,IF((IF(Classifiers!$B$17="",0,IF(ISNUMBER(SEARCH(Classifiers!$B$17,E92)),1,0))+IF(Classifiers!$C$17="",0,IF(ISNUMBER(SEARCH(Classifiers!$C$17,E92)),1,0))+IF(Classifiers!$D$17="",0,IF(ISNUMBER(SEARCH(Classifiers!$D$17,E92)),1,0))+IF(Classifiers!$E$17="",0,IF(ISNUMBER(SEARCH(Classifiers!$E$17,E92)),1,0))+IF(Classifiers!$F$17="",0,IF(ISNUMBER(SEARCH(Classifiers!$F$17,E92)),1,0))+IF(Classifiers!$G$17="",0,IF(ISNUMBER(SEARCH(Classifiers!$G$17,E92)),1,0)))&gt;0,1,0))</f>
        <v/>
      </c>
      <c r="W92" s="12">
        <f>IF(H92&lt;&gt;1,0,IF((IF(Classifiers!$B$18="",0,IF(ISNUMBER(SEARCH(Classifiers!$B$18,E92)),1,0))+IF(Classifiers!$C$18="",0,IF(ISNUMBER(SEARCH(Classifiers!$C$18,E92)),1,0))+IF(Classifiers!$D$18="",0,IF(ISNUMBER(SEARCH(Classifiers!$D$18,E92)),1,0))+IF(Classifiers!$E$18="",0,IF(ISNUMBER(SEARCH(Classifiers!$E$18,E92)),1,0))+IF(Classifiers!$F$18="",0,IF(ISNUMBER(SEARCH(Classifiers!$F$18,E92)),1,0))+IF(Classifiers!$G$18="",0,IF(ISNUMBER(SEARCH(Classifiers!$G$18,E92)),1,0)))&gt;0,1,0))</f>
        <v/>
      </c>
    </row>
    <row r="93">
      <c r="A93" s="8" t="n"/>
      <c r="B93" s="11" t="n"/>
      <c r="C93" s="6">
        <f>IF(A93="","",TRIM(RIGHT(SUBSTITUTE(A93,"/",REPT(" ",250)),250)))</f>
        <v/>
      </c>
      <c r="D93" s="6">
        <f>IF(C93="","",IF(ISNUMBER(SEARCH(".",C93)),LOWER("."&amp;TRIM(RIGHT(SUBSTITUTE(C93,".",REPT(" ",250)),250))),""))</f>
        <v/>
      </c>
      <c r="E93" s="6">
        <f>IF(C93="","",TRIM(SUBSTITUTE(SUBSTITUTE(SUBSTITUTE(SUBSTITUTE(SUBSTITUTE(SUBSTITUTE(SUBSTITUTE(SUBSTITUTE(SUBSTITUTE(SUBSTITUTE(SUBSTITUTE(SUBSTITUTE(SUBSTITUTE(SUBSTITUTE(SUBSTITUTE(SUBSTITUTE(SUBSTITUTE(SUBSTITUTE(SUBSTITUTE(SUBSTITUTE(LOWER(LEFT(C93,LEN(C93)-LEN(D93))),"_"," "),"-"," "),"."," "),","," "),"("," "),")"," "),"["," "),"]"," "),"&amp;"," "),"+"," "),"@"," "),"#"," "),"!"," "),"'"," "),"/"," "),":"," "),";"," "),"="," "),"~"," "),"%"," ")))</f>
        <v/>
      </c>
      <c r="F93" s="6">
        <f>IF(C93="","",IF(COUNTIF(Classifiers!$A$23:$A$40,D93)&gt;0,1,0))</f>
        <v/>
      </c>
      <c r="G93" s="6">
        <f>IF(C93="","",IF(COUNTIF(Classifiers!$C$23:$C$30,D93)&gt;0,IF((IF(ISNUMBER(SEARCH(Classifiers!$E$23,E93)),1,0)+IF(ISNUMBER(SEARCH(Classifiers!$E$24,E93)),1,0)+IF(ISNUMBER(SEARCH(Classifiers!$E$25,E93)),1,0)+IF(ISNUMBER(SEARCH(Classifiers!$E$26,E93)),1,0)+IF(ISNUMBER(SEARCH(Classifiers!$E$27,E93)),1,0)+IF(ISNUMBER(SEARCH(Classifiers!$E$28,E93)),1,0)+IF(ISNUMBER(SEARCH(Classifiers!$E$29,E93)),1,0)+IF(ISNUMBER(SEARCH(Classifiers!$E$30,E93)),1,0))&gt;0,1,0),0))</f>
        <v/>
      </c>
      <c r="H93" s="6">
        <f>IF(C93="","",IF(OR(LEFT(C93,1)=".",AND(F93=0,G93=0)),0,1))</f>
        <v/>
      </c>
      <c r="I93" s="6">
        <f>IF(H93&lt;&gt;1,"",IF(SUM(J93:W93)=0,"unclassified",INDEX(Classifiers!$A$5:$A$18,MATCH(1,J93:W93,0),1)))</f>
        <v/>
      </c>
      <c r="J93" s="12">
        <f>IF(H93&lt;&gt;1,0,IF((IF(Classifiers!$B$5="",0,IF(ISNUMBER(SEARCH(Classifiers!$B$5,E93)),1,0))+IF(Classifiers!$C$5="",0,IF(ISNUMBER(SEARCH(Classifiers!$C$5,E93)),1,0))+IF(Classifiers!$D$5="",0,IF(ISNUMBER(SEARCH(Classifiers!$D$5,E93)),1,0))+IF(Classifiers!$E$5="",0,IF(ISNUMBER(SEARCH(Classifiers!$E$5,E93)),1,0))+IF(Classifiers!$F$5="",0,IF(ISNUMBER(SEARCH(Classifiers!$F$5,E93)),1,0))+IF(Classifiers!$G$5="",0,IF(ISNUMBER(SEARCH(Classifiers!$G$5,E93)),1,0)))&gt;0,1,0))</f>
        <v/>
      </c>
      <c r="K93" s="12">
        <f>IF(H93&lt;&gt;1,0,IF((IF(Classifiers!$B$6="",0,IF(ISNUMBER(SEARCH(Classifiers!$B$6,E93)),1,0))+IF(Classifiers!$C$6="",0,IF(ISNUMBER(SEARCH(Classifiers!$C$6,E93)),1,0))+IF(Classifiers!$D$6="",0,IF(ISNUMBER(SEARCH(Classifiers!$D$6,E93)),1,0))+IF(Classifiers!$E$6="",0,IF(ISNUMBER(SEARCH(Classifiers!$E$6,E93)),1,0))+IF(Classifiers!$F$6="",0,IF(ISNUMBER(SEARCH(Classifiers!$F$6,E93)),1,0))+IF(Classifiers!$G$6="",0,IF(ISNUMBER(SEARCH(Classifiers!$G$6,E93)),1,0)))&gt;0,1,0))</f>
        <v/>
      </c>
      <c r="L93" s="12">
        <f>IF(H93&lt;&gt;1,0,IF((IF(Classifiers!$B$7="",0,IF(ISNUMBER(SEARCH(Classifiers!$B$7,E93)),1,0))+IF(Classifiers!$C$7="",0,IF(ISNUMBER(SEARCH(Classifiers!$C$7,E93)),1,0))+IF(Classifiers!$D$7="",0,IF(ISNUMBER(SEARCH(Classifiers!$D$7,E93)),1,0))+IF(Classifiers!$E$7="",0,IF(ISNUMBER(SEARCH(Classifiers!$E$7,E93)),1,0))+IF(Classifiers!$F$7="",0,IF(ISNUMBER(SEARCH(Classifiers!$F$7,E93)),1,0))+IF(Classifiers!$G$7="",0,IF(ISNUMBER(SEARCH(Classifiers!$G$7,E93)),1,0)))&gt;0,1,0))</f>
        <v/>
      </c>
      <c r="M93" s="12">
        <f>IF(H93&lt;&gt;1,0,IF((IF(Classifiers!$B$8="",0,IF(ISNUMBER(SEARCH(Classifiers!$B$8,E93)),1,0))+IF(Classifiers!$C$8="",0,IF(ISNUMBER(SEARCH(Classifiers!$C$8,E93)),1,0))+IF(Classifiers!$D$8="",0,IF(ISNUMBER(SEARCH(Classifiers!$D$8,E93)),1,0))+IF(Classifiers!$E$8="",0,IF(ISNUMBER(SEARCH(Classifiers!$E$8,E93)),1,0))+IF(Classifiers!$F$8="",0,IF(ISNUMBER(SEARCH(Classifiers!$F$8,E93)),1,0))+IF(Classifiers!$G$8="",0,IF(ISNUMBER(SEARCH(Classifiers!$G$8,E93)),1,0)))&gt;0,1,0))</f>
        <v/>
      </c>
      <c r="N93" s="12">
        <f>IF(H93&lt;&gt;1,0,IF((IF(Classifiers!$B$9="",0,IF(ISNUMBER(SEARCH(Classifiers!$B$9,E93)),1,0))+IF(Classifiers!$C$9="",0,IF(ISNUMBER(SEARCH(Classifiers!$C$9,E93)),1,0))+IF(Classifiers!$D$9="",0,IF(ISNUMBER(SEARCH(Classifiers!$D$9,E93)),1,0))+IF(Classifiers!$E$9="",0,IF(ISNUMBER(SEARCH(Classifiers!$E$9,E93)),1,0))+IF(Classifiers!$F$9="",0,IF(ISNUMBER(SEARCH(Classifiers!$F$9,E93)),1,0))+IF(Classifiers!$G$9="",0,IF(ISNUMBER(SEARCH(Classifiers!$G$9,E93)),1,0)))&gt;0,1,0))</f>
        <v/>
      </c>
      <c r="O93" s="12">
        <f>IF(H93&lt;&gt;1,0,IF((IF(Classifiers!$B$10="",0,IF(ISNUMBER(SEARCH(Classifiers!$B$10,E93)),1,0))+IF(Classifiers!$C$10="",0,IF(ISNUMBER(SEARCH(Classifiers!$C$10,E93)),1,0))+IF(Classifiers!$D$10="",0,IF(ISNUMBER(SEARCH(Classifiers!$D$10,E93)),1,0))+IF(Classifiers!$E$10="",0,IF(ISNUMBER(SEARCH(Classifiers!$E$10,E93)),1,0))+IF(Classifiers!$F$10="",0,IF(ISNUMBER(SEARCH(Classifiers!$F$10,E93)),1,0))+IF(Classifiers!$G$10="",0,IF(ISNUMBER(SEARCH(Classifiers!$G$10,E93)),1,0)))&gt;0,1,0))</f>
        <v/>
      </c>
      <c r="P93" s="12">
        <f>IF(H93&lt;&gt;1,0,IF((IF(Classifiers!$B$11="",0,IF(ISNUMBER(SEARCH(Classifiers!$B$11,E93)),1,0))+IF(Classifiers!$C$11="",0,IF(ISNUMBER(SEARCH(Classifiers!$C$11,E93)),1,0))+IF(Classifiers!$D$11="",0,IF(ISNUMBER(SEARCH(Classifiers!$D$11,E93)),1,0))+IF(Classifiers!$E$11="",0,IF(ISNUMBER(SEARCH(Classifiers!$E$11,E93)),1,0))+IF(Classifiers!$F$11="",0,IF(ISNUMBER(SEARCH(Classifiers!$F$11,E93)),1,0))+IF(Classifiers!$G$11="",0,IF(ISNUMBER(SEARCH(Classifiers!$G$11,E93)),1,0)))&gt;0,1,0))</f>
        <v/>
      </c>
      <c r="Q93" s="12">
        <f>IF(H93&lt;&gt;1,0,IF((IF(Classifiers!$B$12="",0,IF(ISNUMBER(SEARCH(Classifiers!$B$12,E93)),1,0))+IF(Classifiers!$C$12="",0,IF(ISNUMBER(SEARCH(Classifiers!$C$12,E93)),1,0))+IF(Classifiers!$D$12="",0,IF(ISNUMBER(SEARCH(Classifiers!$D$12,E93)),1,0))+IF(Classifiers!$E$12="",0,IF(ISNUMBER(SEARCH(Classifiers!$E$12,E93)),1,0))+IF(Classifiers!$F$12="",0,IF(ISNUMBER(SEARCH(Classifiers!$F$12,E93)),1,0))+IF(Classifiers!$G$12="",0,IF(ISNUMBER(SEARCH(Classifiers!$G$12,E93)),1,0)))&gt;0,1,0))</f>
        <v/>
      </c>
      <c r="R93" s="12">
        <f>IF(H93&lt;&gt;1,0,IF((IF(Classifiers!$B$13="",0,IF(ISNUMBER(SEARCH(Classifiers!$B$13,E93)),1,0))+IF(Classifiers!$C$13="",0,IF(ISNUMBER(SEARCH(Classifiers!$C$13,E93)),1,0))+IF(Classifiers!$D$13="",0,IF(ISNUMBER(SEARCH(Classifiers!$D$13,E93)),1,0))+IF(Classifiers!$E$13="",0,IF(ISNUMBER(SEARCH(Classifiers!$E$13,E93)),1,0))+IF(Classifiers!$F$13="",0,IF(ISNUMBER(SEARCH(Classifiers!$F$13,E93)),1,0))+IF(Classifiers!$G$13="",0,IF(ISNUMBER(SEARCH(Classifiers!$G$13,E93)),1,0)))&gt;0,1,0))</f>
        <v/>
      </c>
      <c r="S93" s="12">
        <f>IF(H93&lt;&gt;1,0,IF((IF(Classifiers!$B$14="",0,IF(ISNUMBER(SEARCH(Classifiers!$B$14,E93)),1,0))+IF(Classifiers!$C$14="",0,IF(ISNUMBER(SEARCH(Classifiers!$C$14,E93)),1,0))+IF(Classifiers!$D$14="",0,IF(ISNUMBER(SEARCH(Classifiers!$D$14,E93)),1,0))+IF(Classifiers!$E$14="",0,IF(ISNUMBER(SEARCH(Classifiers!$E$14,E93)),1,0))+IF(Classifiers!$F$14="",0,IF(ISNUMBER(SEARCH(Classifiers!$F$14,E93)),1,0))+IF(Classifiers!$G$14="",0,IF(ISNUMBER(SEARCH(Classifiers!$G$14,E93)),1,0)))&gt;0,1,0))</f>
        <v/>
      </c>
      <c r="T93" s="12">
        <f>IF(H93&lt;&gt;1,0,IF((IF(Classifiers!$B$15="",0,IF(ISNUMBER(SEARCH(Classifiers!$B$15,E93)),1,0))+IF(Classifiers!$C$15="",0,IF(ISNUMBER(SEARCH(Classifiers!$C$15,E93)),1,0))+IF(Classifiers!$D$15="",0,IF(ISNUMBER(SEARCH(Classifiers!$D$15,E93)),1,0))+IF(Classifiers!$E$15="",0,IF(ISNUMBER(SEARCH(Classifiers!$E$15,E93)),1,0))+IF(Classifiers!$F$15="",0,IF(ISNUMBER(SEARCH(Classifiers!$F$15,E93)),1,0))+IF(Classifiers!$G$15="",0,IF(ISNUMBER(SEARCH(Classifiers!$G$15,E93)),1,0)))&gt;0,1,0))</f>
        <v/>
      </c>
      <c r="U93" s="12">
        <f>IF(H93&lt;&gt;1,0,IF((IF(Classifiers!$B$16="",0,IF(ISNUMBER(SEARCH(Classifiers!$B$16,E93)),1,0))+IF(Classifiers!$C$16="",0,IF(ISNUMBER(SEARCH(Classifiers!$C$16,E93)),1,0))+IF(Classifiers!$D$16="",0,IF(ISNUMBER(SEARCH(Classifiers!$D$16,E93)),1,0))+IF(Classifiers!$E$16="",0,IF(ISNUMBER(SEARCH(Classifiers!$E$16,E93)),1,0))+IF(Classifiers!$F$16="",0,IF(ISNUMBER(SEARCH(Classifiers!$F$16,E93)),1,0))+IF(Classifiers!$G$16="",0,IF(ISNUMBER(SEARCH(Classifiers!$G$16,E93)),1,0)))&gt;0,1,0))</f>
        <v/>
      </c>
      <c r="V93" s="12">
        <f>IF(H93&lt;&gt;1,0,IF((IF(Classifiers!$B$17="",0,IF(ISNUMBER(SEARCH(Classifiers!$B$17,E93)),1,0))+IF(Classifiers!$C$17="",0,IF(ISNUMBER(SEARCH(Classifiers!$C$17,E93)),1,0))+IF(Classifiers!$D$17="",0,IF(ISNUMBER(SEARCH(Classifiers!$D$17,E93)),1,0))+IF(Classifiers!$E$17="",0,IF(ISNUMBER(SEARCH(Classifiers!$E$17,E93)),1,0))+IF(Classifiers!$F$17="",0,IF(ISNUMBER(SEARCH(Classifiers!$F$17,E93)),1,0))+IF(Classifiers!$G$17="",0,IF(ISNUMBER(SEARCH(Classifiers!$G$17,E93)),1,0)))&gt;0,1,0))</f>
        <v/>
      </c>
      <c r="W93" s="12">
        <f>IF(H93&lt;&gt;1,0,IF((IF(Classifiers!$B$18="",0,IF(ISNUMBER(SEARCH(Classifiers!$B$18,E93)),1,0))+IF(Classifiers!$C$18="",0,IF(ISNUMBER(SEARCH(Classifiers!$C$18,E93)),1,0))+IF(Classifiers!$D$18="",0,IF(ISNUMBER(SEARCH(Classifiers!$D$18,E93)),1,0))+IF(Classifiers!$E$18="",0,IF(ISNUMBER(SEARCH(Classifiers!$E$18,E93)),1,0))+IF(Classifiers!$F$18="",0,IF(ISNUMBER(SEARCH(Classifiers!$F$18,E93)),1,0))+IF(Classifiers!$G$18="",0,IF(ISNUMBER(SEARCH(Classifiers!$G$18,E93)),1,0)))&gt;0,1,0))</f>
        <v/>
      </c>
    </row>
    <row r="94">
      <c r="A94" s="8" t="n"/>
      <c r="B94" s="11" t="n"/>
      <c r="C94" s="6">
        <f>IF(A94="","",TRIM(RIGHT(SUBSTITUTE(A94,"/",REPT(" ",250)),250)))</f>
        <v/>
      </c>
      <c r="D94" s="6">
        <f>IF(C94="","",IF(ISNUMBER(SEARCH(".",C94)),LOWER("."&amp;TRIM(RIGHT(SUBSTITUTE(C94,".",REPT(" ",250)),250))),""))</f>
        <v/>
      </c>
      <c r="E94" s="6">
        <f>IF(C94="","",TRIM(SUBSTITUTE(SUBSTITUTE(SUBSTITUTE(SUBSTITUTE(SUBSTITUTE(SUBSTITUTE(SUBSTITUTE(SUBSTITUTE(SUBSTITUTE(SUBSTITUTE(SUBSTITUTE(SUBSTITUTE(SUBSTITUTE(SUBSTITUTE(SUBSTITUTE(SUBSTITUTE(SUBSTITUTE(SUBSTITUTE(SUBSTITUTE(SUBSTITUTE(LOWER(LEFT(C94,LEN(C94)-LEN(D94))),"_"," "),"-"," "),"."," "),","," "),"("," "),")"," "),"["," "),"]"," "),"&amp;"," "),"+"," "),"@"," "),"#"," "),"!"," "),"'"," "),"/"," "),":"," "),";"," "),"="," "),"~"," "),"%"," ")))</f>
        <v/>
      </c>
      <c r="F94" s="6">
        <f>IF(C94="","",IF(COUNTIF(Classifiers!$A$23:$A$40,D94)&gt;0,1,0))</f>
        <v/>
      </c>
      <c r="G94" s="6">
        <f>IF(C94="","",IF(COUNTIF(Classifiers!$C$23:$C$30,D94)&gt;0,IF((IF(ISNUMBER(SEARCH(Classifiers!$E$23,E94)),1,0)+IF(ISNUMBER(SEARCH(Classifiers!$E$24,E94)),1,0)+IF(ISNUMBER(SEARCH(Classifiers!$E$25,E94)),1,0)+IF(ISNUMBER(SEARCH(Classifiers!$E$26,E94)),1,0)+IF(ISNUMBER(SEARCH(Classifiers!$E$27,E94)),1,0)+IF(ISNUMBER(SEARCH(Classifiers!$E$28,E94)),1,0)+IF(ISNUMBER(SEARCH(Classifiers!$E$29,E94)),1,0)+IF(ISNUMBER(SEARCH(Classifiers!$E$30,E94)),1,0))&gt;0,1,0),0))</f>
        <v/>
      </c>
      <c r="H94" s="6">
        <f>IF(C94="","",IF(OR(LEFT(C94,1)=".",AND(F94=0,G94=0)),0,1))</f>
        <v/>
      </c>
      <c r="I94" s="6">
        <f>IF(H94&lt;&gt;1,"",IF(SUM(J94:W94)=0,"unclassified",INDEX(Classifiers!$A$5:$A$18,MATCH(1,J94:W94,0),1)))</f>
        <v/>
      </c>
      <c r="J94" s="12">
        <f>IF(H94&lt;&gt;1,0,IF((IF(Classifiers!$B$5="",0,IF(ISNUMBER(SEARCH(Classifiers!$B$5,E94)),1,0))+IF(Classifiers!$C$5="",0,IF(ISNUMBER(SEARCH(Classifiers!$C$5,E94)),1,0))+IF(Classifiers!$D$5="",0,IF(ISNUMBER(SEARCH(Classifiers!$D$5,E94)),1,0))+IF(Classifiers!$E$5="",0,IF(ISNUMBER(SEARCH(Classifiers!$E$5,E94)),1,0))+IF(Classifiers!$F$5="",0,IF(ISNUMBER(SEARCH(Classifiers!$F$5,E94)),1,0))+IF(Classifiers!$G$5="",0,IF(ISNUMBER(SEARCH(Classifiers!$G$5,E94)),1,0)))&gt;0,1,0))</f>
        <v/>
      </c>
      <c r="K94" s="12">
        <f>IF(H94&lt;&gt;1,0,IF((IF(Classifiers!$B$6="",0,IF(ISNUMBER(SEARCH(Classifiers!$B$6,E94)),1,0))+IF(Classifiers!$C$6="",0,IF(ISNUMBER(SEARCH(Classifiers!$C$6,E94)),1,0))+IF(Classifiers!$D$6="",0,IF(ISNUMBER(SEARCH(Classifiers!$D$6,E94)),1,0))+IF(Classifiers!$E$6="",0,IF(ISNUMBER(SEARCH(Classifiers!$E$6,E94)),1,0))+IF(Classifiers!$F$6="",0,IF(ISNUMBER(SEARCH(Classifiers!$F$6,E94)),1,0))+IF(Classifiers!$G$6="",0,IF(ISNUMBER(SEARCH(Classifiers!$G$6,E94)),1,0)))&gt;0,1,0))</f>
        <v/>
      </c>
      <c r="L94" s="12">
        <f>IF(H94&lt;&gt;1,0,IF((IF(Classifiers!$B$7="",0,IF(ISNUMBER(SEARCH(Classifiers!$B$7,E94)),1,0))+IF(Classifiers!$C$7="",0,IF(ISNUMBER(SEARCH(Classifiers!$C$7,E94)),1,0))+IF(Classifiers!$D$7="",0,IF(ISNUMBER(SEARCH(Classifiers!$D$7,E94)),1,0))+IF(Classifiers!$E$7="",0,IF(ISNUMBER(SEARCH(Classifiers!$E$7,E94)),1,0))+IF(Classifiers!$F$7="",0,IF(ISNUMBER(SEARCH(Classifiers!$F$7,E94)),1,0))+IF(Classifiers!$G$7="",0,IF(ISNUMBER(SEARCH(Classifiers!$G$7,E94)),1,0)))&gt;0,1,0))</f>
        <v/>
      </c>
      <c r="M94" s="12">
        <f>IF(H94&lt;&gt;1,0,IF((IF(Classifiers!$B$8="",0,IF(ISNUMBER(SEARCH(Classifiers!$B$8,E94)),1,0))+IF(Classifiers!$C$8="",0,IF(ISNUMBER(SEARCH(Classifiers!$C$8,E94)),1,0))+IF(Classifiers!$D$8="",0,IF(ISNUMBER(SEARCH(Classifiers!$D$8,E94)),1,0))+IF(Classifiers!$E$8="",0,IF(ISNUMBER(SEARCH(Classifiers!$E$8,E94)),1,0))+IF(Classifiers!$F$8="",0,IF(ISNUMBER(SEARCH(Classifiers!$F$8,E94)),1,0))+IF(Classifiers!$G$8="",0,IF(ISNUMBER(SEARCH(Classifiers!$G$8,E94)),1,0)))&gt;0,1,0))</f>
        <v/>
      </c>
      <c r="N94" s="12">
        <f>IF(H94&lt;&gt;1,0,IF((IF(Classifiers!$B$9="",0,IF(ISNUMBER(SEARCH(Classifiers!$B$9,E94)),1,0))+IF(Classifiers!$C$9="",0,IF(ISNUMBER(SEARCH(Classifiers!$C$9,E94)),1,0))+IF(Classifiers!$D$9="",0,IF(ISNUMBER(SEARCH(Classifiers!$D$9,E94)),1,0))+IF(Classifiers!$E$9="",0,IF(ISNUMBER(SEARCH(Classifiers!$E$9,E94)),1,0))+IF(Classifiers!$F$9="",0,IF(ISNUMBER(SEARCH(Classifiers!$F$9,E94)),1,0))+IF(Classifiers!$G$9="",0,IF(ISNUMBER(SEARCH(Classifiers!$G$9,E94)),1,0)))&gt;0,1,0))</f>
        <v/>
      </c>
      <c r="O94" s="12">
        <f>IF(H94&lt;&gt;1,0,IF((IF(Classifiers!$B$10="",0,IF(ISNUMBER(SEARCH(Classifiers!$B$10,E94)),1,0))+IF(Classifiers!$C$10="",0,IF(ISNUMBER(SEARCH(Classifiers!$C$10,E94)),1,0))+IF(Classifiers!$D$10="",0,IF(ISNUMBER(SEARCH(Classifiers!$D$10,E94)),1,0))+IF(Classifiers!$E$10="",0,IF(ISNUMBER(SEARCH(Classifiers!$E$10,E94)),1,0))+IF(Classifiers!$F$10="",0,IF(ISNUMBER(SEARCH(Classifiers!$F$10,E94)),1,0))+IF(Classifiers!$G$10="",0,IF(ISNUMBER(SEARCH(Classifiers!$G$10,E94)),1,0)))&gt;0,1,0))</f>
        <v/>
      </c>
      <c r="P94" s="12">
        <f>IF(H94&lt;&gt;1,0,IF((IF(Classifiers!$B$11="",0,IF(ISNUMBER(SEARCH(Classifiers!$B$11,E94)),1,0))+IF(Classifiers!$C$11="",0,IF(ISNUMBER(SEARCH(Classifiers!$C$11,E94)),1,0))+IF(Classifiers!$D$11="",0,IF(ISNUMBER(SEARCH(Classifiers!$D$11,E94)),1,0))+IF(Classifiers!$E$11="",0,IF(ISNUMBER(SEARCH(Classifiers!$E$11,E94)),1,0))+IF(Classifiers!$F$11="",0,IF(ISNUMBER(SEARCH(Classifiers!$F$11,E94)),1,0))+IF(Classifiers!$G$11="",0,IF(ISNUMBER(SEARCH(Classifiers!$G$11,E94)),1,0)))&gt;0,1,0))</f>
        <v/>
      </c>
      <c r="Q94" s="12">
        <f>IF(H94&lt;&gt;1,0,IF((IF(Classifiers!$B$12="",0,IF(ISNUMBER(SEARCH(Classifiers!$B$12,E94)),1,0))+IF(Classifiers!$C$12="",0,IF(ISNUMBER(SEARCH(Classifiers!$C$12,E94)),1,0))+IF(Classifiers!$D$12="",0,IF(ISNUMBER(SEARCH(Classifiers!$D$12,E94)),1,0))+IF(Classifiers!$E$12="",0,IF(ISNUMBER(SEARCH(Classifiers!$E$12,E94)),1,0))+IF(Classifiers!$F$12="",0,IF(ISNUMBER(SEARCH(Classifiers!$F$12,E94)),1,0))+IF(Classifiers!$G$12="",0,IF(ISNUMBER(SEARCH(Classifiers!$G$12,E94)),1,0)))&gt;0,1,0))</f>
        <v/>
      </c>
      <c r="R94" s="12">
        <f>IF(H94&lt;&gt;1,0,IF((IF(Classifiers!$B$13="",0,IF(ISNUMBER(SEARCH(Classifiers!$B$13,E94)),1,0))+IF(Classifiers!$C$13="",0,IF(ISNUMBER(SEARCH(Classifiers!$C$13,E94)),1,0))+IF(Classifiers!$D$13="",0,IF(ISNUMBER(SEARCH(Classifiers!$D$13,E94)),1,0))+IF(Classifiers!$E$13="",0,IF(ISNUMBER(SEARCH(Classifiers!$E$13,E94)),1,0))+IF(Classifiers!$F$13="",0,IF(ISNUMBER(SEARCH(Classifiers!$F$13,E94)),1,0))+IF(Classifiers!$G$13="",0,IF(ISNUMBER(SEARCH(Classifiers!$G$13,E94)),1,0)))&gt;0,1,0))</f>
        <v/>
      </c>
      <c r="S94" s="12">
        <f>IF(H94&lt;&gt;1,0,IF((IF(Classifiers!$B$14="",0,IF(ISNUMBER(SEARCH(Classifiers!$B$14,E94)),1,0))+IF(Classifiers!$C$14="",0,IF(ISNUMBER(SEARCH(Classifiers!$C$14,E94)),1,0))+IF(Classifiers!$D$14="",0,IF(ISNUMBER(SEARCH(Classifiers!$D$14,E94)),1,0))+IF(Classifiers!$E$14="",0,IF(ISNUMBER(SEARCH(Classifiers!$E$14,E94)),1,0))+IF(Classifiers!$F$14="",0,IF(ISNUMBER(SEARCH(Classifiers!$F$14,E94)),1,0))+IF(Classifiers!$G$14="",0,IF(ISNUMBER(SEARCH(Classifiers!$G$14,E94)),1,0)))&gt;0,1,0))</f>
        <v/>
      </c>
      <c r="T94" s="12">
        <f>IF(H94&lt;&gt;1,0,IF((IF(Classifiers!$B$15="",0,IF(ISNUMBER(SEARCH(Classifiers!$B$15,E94)),1,0))+IF(Classifiers!$C$15="",0,IF(ISNUMBER(SEARCH(Classifiers!$C$15,E94)),1,0))+IF(Classifiers!$D$15="",0,IF(ISNUMBER(SEARCH(Classifiers!$D$15,E94)),1,0))+IF(Classifiers!$E$15="",0,IF(ISNUMBER(SEARCH(Classifiers!$E$15,E94)),1,0))+IF(Classifiers!$F$15="",0,IF(ISNUMBER(SEARCH(Classifiers!$F$15,E94)),1,0))+IF(Classifiers!$G$15="",0,IF(ISNUMBER(SEARCH(Classifiers!$G$15,E94)),1,0)))&gt;0,1,0))</f>
        <v/>
      </c>
      <c r="U94" s="12">
        <f>IF(H94&lt;&gt;1,0,IF((IF(Classifiers!$B$16="",0,IF(ISNUMBER(SEARCH(Classifiers!$B$16,E94)),1,0))+IF(Classifiers!$C$16="",0,IF(ISNUMBER(SEARCH(Classifiers!$C$16,E94)),1,0))+IF(Classifiers!$D$16="",0,IF(ISNUMBER(SEARCH(Classifiers!$D$16,E94)),1,0))+IF(Classifiers!$E$16="",0,IF(ISNUMBER(SEARCH(Classifiers!$E$16,E94)),1,0))+IF(Classifiers!$F$16="",0,IF(ISNUMBER(SEARCH(Classifiers!$F$16,E94)),1,0))+IF(Classifiers!$G$16="",0,IF(ISNUMBER(SEARCH(Classifiers!$G$16,E94)),1,0)))&gt;0,1,0))</f>
        <v/>
      </c>
      <c r="V94" s="12">
        <f>IF(H94&lt;&gt;1,0,IF((IF(Classifiers!$B$17="",0,IF(ISNUMBER(SEARCH(Classifiers!$B$17,E94)),1,0))+IF(Classifiers!$C$17="",0,IF(ISNUMBER(SEARCH(Classifiers!$C$17,E94)),1,0))+IF(Classifiers!$D$17="",0,IF(ISNUMBER(SEARCH(Classifiers!$D$17,E94)),1,0))+IF(Classifiers!$E$17="",0,IF(ISNUMBER(SEARCH(Classifiers!$E$17,E94)),1,0))+IF(Classifiers!$F$17="",0,IF(ISNUMBER(SEARCH(Classifiers!$F$17,E94)),1,0))+IF(Classifiers!$G$17="",0,IF(ISNUMBER(SEARCH(Classifiers!$G$17,E94)),1,0)))&gt;0,1,0))</f>
        <v/>
      </c>
      <c r="W94" s="12">
        <f>IF(H94&lt;&gt;1,0,IF((IF(Classifiers!$B$18="",0,IF(ISNUMBER(SEARCH(Classifiers!$B$18,E94)),1,0))+IF(Classifiers!$C$18="",0,IF(ISNUMBER(SEARCH(Classifiers!$C$18,E94)),1,0))+IF(Classifiers!$D$18="",0,IF(ISNUMBER(SEARCH(Classifiers!$D$18,E94)),1,0))+IF(Classifiers!$E$18="",0,IF(ISNUMBER(SEARCH(Classifiers!$E$18,E94)),1,0))+IF(Classifiers!$F$18="",0,IF(ISNUMBER(SEARCH(Classifiers!$F$18,E94)),1,0))+IF(Classifiers!$G$18="",0,IF(ISNUMBER(SEARCH(Classifiers!$G$18,E94)),1,0)))&gt;0,1,0))</f>
        <v/>
      </c>
    </row>
    <row r="95">
      <c r="A95" s="8" t="n"/>
      <c r="B95" s="11" t="n"/>
      <c r="C95" s="6">
        <f>IF(A95="","",TRIM(RIGHT(SUBSTITUTE(A95,"/",REPT(" ",250)),250)))</f>
        <v/>
      </c>
      <c r="D95" s="6">
        <f>IF(C95="","",IF(ISNUMBER(SEARCH(".",C95)),LOWER("."&amp;TRIM(RIGHT(SUBSTITUTE(C95,".",REPT(" ",250)),250))),""))</f>
        <v/>
      </c>
      <c r="E95" s="6">
        <f>IF(C95="","",TRIM(SUBSTITUTE(SUBSTITUTE(SUBSTITUTE(SUBSTITUTE(SUBSTITUTE(SUBSTITUTE(SUBSTITUTE(SUBSTITUTE(SUBSTITUTE(SUBSTITUTE(SUBSTITUTE(SUBSTITUTE(SUBSTITUTE(SUBSTITUTE(SUBSTITUTE(SUBSTITUTE(SUBSTITUTE(SUBSTITUTE(SUBSTITUTE(SUBSTITUTE(LOWER(LEFT(C95,LEN(C95)-LEN(D95))),"_"," "),"-"," "),"."," "),","," "),"("," "),")"," "),"["," "),"]"," "),"&amp;"," "),"+"," "),"@"," "),"#"," "),"!"," "),"'"," "),"/"," "),":"," "),";"," "),"="," "),"~"," "),"%"," ")))</f>
        <v/>
      </c>
      <c r="F95" s="6">
        <f>IF(C95="","",IF(COUNTIF(Classifiers!$A$23:$A$40,D95)&gt;0,1,0))</f>
        <v/>
      </c>
      <c r="G95" s="6">
        <f>IF(C95="","",IF(COUNTIF(Classifiers!$C$23:$C$30,D95)&gt;0,IF((IF(ISNUMBER(SEARCH(Classifiers!$E$23,E95)),1,0)+IF(ISNUMBER(SEARCH(Classifiers!$E$24,E95)),1,0)+IF(ISNUMBER(SEARCH(Classifiers!$E$25,E95)),1,0)+IF(ISNUMBER(SEARCH(Classifiers!$E$26,E95)),1,0)+IF(ISNUMBER(SEARCH(Classifiers!$E$27,E95)),1,0)+IF(ISNUMBER(SEARCH(Classifiers!$E$28,E95)),1,0)+IF(ISNUMBER(SEARCH(Classifiers!$E$29,E95)),1,0)+IF(ISNUMBER(SEARCH(Classifiers!$E$30,E95)),1,0))&gt;0,1,0),0))</f>
        <v/>
      </c>
      <c r="H95" s="6">
        <f>IF(C95="","",IF(OR(LEFT(C95,1)=".",AND(F95=0,G95=0)),0,1))</f>
        <v/>
      </c>
      <c r="I95" s="6">
        <f>IF(H95&lt;&gt;1,"",IF(SUM(J95:W95)=0,"unclassified",INDEX(Classifiers!$A$5:$A$18,MATCH(1,J95:W95,0),1)))</f>
        <v/>
      </c>
      <c r="J95" s="12">
        <f>IF(H95&lt;&gt;1,0,IF((IF(Classifiers!$B$5="",0,IF(ISNUMBER(SEARCH(Classifiers!$B$5,E95)),1,0))+IF(Classifiers!$C$5="",0,IF(ISNUMBER(SEARCH(Classifiers!$C$5,E95)),1,0))+IF(Classifiers!$D$5="",0,IF(ISNUMBER(SEARCH(Classifiers!$D$5,E95)),1,0))+IF(Classifiers!$E$5="",0,IF(ISNUMBER(SEARCH(Classifiers!$E$5,E95)),1,0))+IF(Classifiers!$F$5="",0,IF(ISNUMBER(SEARCH(Classifiers!$F$5,E95)),1,0))+IF(Classifiers!$G$5="",0,IF(ISNUMBER(SEARCH(Classifiers!$G$5,E95)),1,0)))&gt;0,1,0))</f>
        <v/>
      </c>
      <c r="K95" s="12">
        <f>IF(H95&lt;&gt;1,0,IF((IF(Classifiers!$B$6="",0,IF(ISNUMBER(SEARCH(Classifiers!$B$6,E95)),1,0))+IF(Classifiers!$C$6="",0,IF(ISNUMBER(SEARCH(Classifiers!$C$6,E95)),1,0))+IF(Classifiers!$D$6="",0,IF(ISNUMBER(SEARCH(Classifiers!$D$6,E95)),1,0))+IF(Classifiers!$E$6="",0,IF(ISNUMBER(SEARCH(Classifiers!$E$6,E95)),1,0))+IF(Classifiers!$F$6="",0,IF(ISNUMBER(SEARCH(Classifiers!$F$6,E95)),1,0))+IF(Classifiers!$G$6="",0,IF(ISNUMBER(SEARCH(Classifiers!$G$6,E95)),1,0)))&gt;0,1,0))</f>
        <v/>
      </c>
      <c r="L95" s="12">
        <f>IF(H95&lt;&gt;1,0,IF((IF(Classifiers!$B$7="",0,IF(ISNUMBER(SEARCH(Classifiers!$B$7,E95)),1,0))+IF(Classifiers!$C$7="",0,IF(ISNUMBER(SEARCH(Classifiers!$C$7,E95)),1,0))+IF(Classifiers!$D$7="",0,IF(ISNUMBER(SEARCH(Classifiers!$D$7,E95)),1,0))+IF(Classifiers!$E$7="",0,IF(ISNUMBER(SEARCH(Classifiers!$E$7,E95)),1,0))+IF(Classifiers!$F$7="",0,IF(ISNUMBER(SEARCH(Classifiers!$F$7,E95)),1,0))+IF(Classifiers!$G$7="",0,IF(ISNUMBER(SEARCH(Classifiers!$G$7,E95)),1,0)))&gt;0,1,0))</f>
        <v/>
      </c>
      <c r="M95" s="12">
        <f>IF(H95&lt;&gt;1,0,IF((IF(Classifiers!$B$8="",0,IF(ISNUMBER(SEARCH(Classifiers!$B$8,E95)),1,0))+IF(Classifiers!$C$8="",0,IF(ISNUMBER(SEARCH(Classifiers!$C$8,E95)),1,0))+IF(Classifiers!$D$8="",0,IF(ISNUMBER(SEARCH(Classifiers!$D$8,E95)),1,0))+IF(Classifiers!$E$8="",0,IF(ISNUMBER(SEARCH(Classifiers!$E$8,E95)),1,0))+IF(Classifiers!$F$8="",0,IF(ISNUMBER(SEARCH(Classifiers!$F$8,E95)),1,0))+IF(Classifiers!$G$8="",0,IF(ISNUMBER(SEARCH(Classifiers!$G$8,E95)),1,0)))&gt;0,1,0))</f>
        <v/>
      </c>
      <c r="N95" s="12">
        <f>IF(H95&lt;&gt;1,0,IF((IF(Classifiers!$B$9="",0,IF(ISNUMBER(SEARCH(Classifiers!$B$9,E95)),1,0))+IF(Classifiers!$C$9="",0,IF(ISNUMBER(SEARCH(Classifiers!$C$9,E95)),1,0))+IF(Classifiers!$D$9="",0,IF(ISNUMBER(SEARCH(Classifiers!$D$9,E95)),1,0))+IF(Classifiers!$E$9="",0,IF(ISNUMBER(SEARCH(Classifiers!$E$9,E95)),1,0))+IF(Classifiers!$F$9="",0,IF(ISNUMBER(SEARCH(Classifiers!$F$9,E95)),1,0))+IF(Classifiers!$G$9="",0,IF(ISNUMBER(SEARCH(Classifiers!$G$9,E95)),1,0)))&gt;0,1,0))</f>
        <v/>
      </c>
      <c r="O95" s="12">
        <f>IF(H95&lt;&gt;1,0,IF((IF(Classifiers!$B$10="",0,IF(ISNUMBER(SEARCH(Classifiers!$B$10,E95)),1,0))+IF(Classifiers!$C$10="",0,IF(ISNUMBER(SEARCH(Classifiers!$C$10,E95)),1,0))+IF(Classifiers!$D$10="",0,IF(ISNUMBER(SEARCH(Classifiers!$D$10,E95)),1,0))+IF(Classifiers!$E$10="",0,IF(ISNUMBER(SEARCH(Classifiers!$E$10,E95)),1,0))+IF(Classifiers!$F$10="",0,IF(ISNUMBER(SEARCH(Classifiers!$F$10,E95)),1,0))+IF(Classifiers!$G$10="",0,IF(ISNUMBER(SEARCH(Classifiers!$G$10,E95)),1,0)))&gt;0,1,0))</f>
        <v/>
      </c>
      <c r="P95" s="12">
        <f>IF(H95&lt;&gt;1,0,IF((IF(Classifiers!$B$11="",0,IF(ISNUMBER(SEARCH(Classifiers!$B$11,E95)),1,0))+IF(Classifiers!$C$11="",0,IF(ISNUMBER(SEARCH(Classifiers!$C$11,E95)),1,0))+IF(Classifiers!$D$11="",0,IF(ISNUMBER(SEARCH(Classifiers!$D$11,E95)),1,0))+IF(Classifiers!$E$11="",0,IF(ISNUMBER(SEARCH(Classifiers!$E$11,E95)),1,0))+IF(Classifiers!$F$11="",0,IF(ISNUMBER(SEARCH(Classifiers!$F$11,E95)),1,0))+IF(Classifiers!$G$11="",0,IF(ISNUMBER(SEARCH(Classifiers!$G$11,E95)),1,0)))&gt;0,1,0))</f>
        <v/>
      </c>
      <c r="Q95" s="12">
        <f>IF(H95&lt;&gt;1,0,IF((IF(Classifiers!$B$12="",0,IF(ISNUMBER(SEARCH(Classifiers!$B$12,E95)),1,0))+IF(Classifiers!$C$12="",0,IF(ISNUMBER(SEARCH(Classifiers!$C$12,E95)),1,0))+IF(Classifiers!$D$12="",0,IF(ISNUMBER(SEARCH(Classifiers!$D$12,E95)),1,0))+IF(Classifiers!$E$12="",0,IF(ISNUMBER(SEARCH(Classifiers!$E$12,E95)),1,0))+IF(Classifiers!$F$12="",0,IF(ISNUMBER(SEARCH(Classifiers!$F$12,E95)),1,0))+IF(Classifiers!$G$12="",0,IF(ISNUMBER(SEARCH(Classifiers!$G$12,E95)),1,0)))&gt;0,1,0))</f>
        <v/>
      </c>
      <c r="R95" s="12">
        <f>IF(H95&lt;&gt;1,0,IF((IF(Classifiers!$B$13="",0,IF(ISNUMBER(SEARCH(Classifiers!$B$13,E95)),1,0))+IF(Classifiers!$C$13="",0,IF(ISNUMBER(SEARCH(Classifiers!$C$13,E95)),1,0))+IF(Classifiers!$D$13="",0,IF(ISNUMBER(SEARCH(Classifiers!$D$13,E95)),1,0))+IF(Classifiers!$E$13="",0,IF(ISNUMBER(SEARCH(Classifiers!$E$13,E95)),1,0))+IF(Classifiers!$F$13="",0,IF(ISNUMBER(SEARCH(Classifiers!$F$13,E95)),1,0))+IF(Classifiers!$G$13="",0,IF(ISNUMBER(SEARCH(Classifiers!$G$13,E95)),1,0)))&gt;0,1,0))</f>
        <v/>
      </c>
      <c r="S95" s="12">
        <f>IF(H95&lt;&gt;1,0,IF((IF(Classifiers!$B$14="",0,IF(ISNUMBER(SEARCH(Classifiers!$B$14,E95)),1,0))+IF(Classifiers!$C$14="",0,IF(ISNUMBER(SEARCH(Classifiers!$C$14,E95)),1,0))+IF(Classifiers!$D$14="",0,IF(ISNUMBER(SEARCH(Classifiers!$D$14,E95)),1,0))+IF(Classifiers!$E$14="",0,IF(ISNUMBER(SEARCH(Classifiers!$E$14,E95)),1,0))+IF(Classifiers!$F$14="",0,IF(ISNUMBER(SEARCH(Classifiers!$F$14,E95)),1,0))+IF(Classifiers!$G$14="",0,IF(ISNUMBER(SEARCH(Classifiers!$G$14,E95)),1,0)))&gt;0,1,0))</f>
        <v/>
      </c>
      <c r="T95" s="12">
        <f>IF(H95&lt;&gt;1,0,IF((IF(Classifiers!$B$15="",0,IF(ISNUMBER(SEARCH(Classifiers!$B$15,E95)),1,0))+IF(Classifiers!$C$15="",0,IF(ISNUMBER(SEARCH(Classifiers!$C$15,E95)),1,0))+IF(Classifiers!$D$15="",0,IF(ISNUMBER(SEARCH(Classifiers!$D$15,E95)),1,0))+IF(Classifiers!$E$15="",0,IF(ISNUMBER(SEARCH(Classifiers!$E$15,E95)),1,0))+IF(Classifiers!$F$15="",0,IF(ISNUMBER(SEARCH(Classifiers!$F$15,E95)),1,0))+IF(Classifiers!$G$15="",0,IF(ISNUMBER(SEARCH(Classifiers!$G$15,E95)),1,0)))&gt;0,1,0))</f>
        <v/>
      </c>
      <c r="U95" s="12">
        <f>IF(H95&lt;&gt;1,0,IF((IF(Classifiers!$B$16="",0,IF(ISNUMBER(SEARCH(Classifiers!$B$16,E95)),1,0))+IF(Classifiers!$C$16="",0,IF(ISNUMBER(SEARCH(Classifiers!$C$16,E95)),1,0))+IF(Classifiers!$D$16="",0,IF(ISNUMBER(SEARCH(Classifiers!$D$16,E95)),1,0))+IF(Classifiers!$E$16="",0,IF(ISNUMBER(SEARCH(Classifiers!$E$16,E95)),1,0))+IF(Classifiers!$F$16="",0,IF(ISNUMBER(SEARCH(Classifiers!$F$16,E95)),1,0))+IF(Classifiers!$G$16="",0,IF(ISNUMBER(SEARCH(Classifiers!$G$16,E95)),1,0)))&gt;0,1,0))</f>
        <v/>
      </c>
      <c r="V95" s="12">
        <f>IF(H95&lt;&gt;1,0,IF((IF(Classifiers!$B$17="",0,IF(ISNUMBER(SEARCH(Classifiers!$B$17,E95)),1,0))+IF(Classifiers!$C$17="",0,IF(ISNUMBER(SEARCH(Classifiers!$C$17,E95)),1,0))+IF(Classifiers!$D$17="",0,IF(ISNUMBER(SEARCH(Classifiers!$D$17,E95)),1,0))+IF(Classifiers!$E$17="",0,IF(ISNUMBER(SEARCH(Classifiers!$E$17,E95)),1,0))+IF(Classifiers!$F$17="",0,IF(ISNUMBER(SEARCH(Classifiers!$F$17,E95)),1,0))+IF(Classifiers!$G$17="",0,IF(ISNUMBER(SEARCH(Classifiers!$G$17,E95)),1,0)))&gt;0,1,0))</f>
        <v/>
      </c>
      <c r="W95" s="12">
        <f>IF(H95&lt;&gt;1,0,IF((IF(Classifiers!$B$18="",0,IF(ISNUMBER(SEARCH(Classifiers!$B$18,E95)),1,0))+IF(Classifiers!$C$18="",0,IF(ISNUMBER(SEARCH(Classifiers!$C$18,E95)),1,0))+IF(Classifiers!$D$18="",0,IF(ISNUMBER(SEARCH(Classifiers!$D$18,E95)),1,0))+IF(Classifiers!$E$18="",0,IF(ISNUMBER(SEARCH(Classifiers!$E$18,E95)),1,0))+IF(Classifiers!$F$18="",0,IF(ISNUMBER(SEARCH(Classifiers!$F$18,E95)),1,0))+IF(Classifiers!$G$18="",0,IF(ISNUMBER(SEARCH(Classifiers!$G$18,E95)),1,0)))&gt;0,1,0))</f>
        <v/>
      </c>
    </row>
    <row r="96">
      <c r="A96" s="8" t="n"/>
      <c r="B96" s="11" t="n"/>
      <c r="C96" s="6">
        <f>IF(A96="","",TRIM(RIGHT(SUBSTITUTE(A96,"/",REPT(" ",250)),250)))</f>
        <v/>
      </c>
      <c r="D96" s="6">
        <f>IF(C96="","",IF(ISNUMBER(SEARCH(".",C96)),LOWER("."&amp;TRIM(RIGHT(SUBSTITUTE(C96,".",REPT(" ",250)),250))),""))</f>
        <v/>
      </c>
      <c r="E96" s="6">
        <f>IF(C96="","",TRIM(SUBSTITUTE(SUBSTITUTE(SUBSTITUTE(SUBSTITUTE(SUBSTITUTE(SUBSTITUTE(SUBSTITUTE(SUBSTITUTE(SUBSTITUTE(SUBSTITUTE(SUBSTITUTE(SUBSTITUTE(SUBSTITUTE(SUBSTITUTE(SUBSTITUTE(SUBSTITUTE(SUBSTITUTE(SUBSTITUTE(SUBSTITUTE(SUBSTITUTE(LOWER(LEFT(C96,LEN(C96)-LEN(D96))),"_"," "),"-"," "),"."," "),","," "),"("," "),")"," "),"["," "),"]"," "),"&amp;"," "),"+"," "),"@"," "),"#"," "),"!"," "),"'"," "),"/"," "),":"," "),";"," "),"="," "),"~"," "),"%"," ")))</f>
        <v/>
      </c>
      <c r="F96" s="6">
        <f>IF(C96="","",IF(COUNTIF(Classifiers!$A$23:$A$40,D96)&gt;0,1,0))</f>
        <v/>
      </c>
      <c r="G96" s="6">
        <f>IF(C96="","",IF(COUNTIF(Classifiers!$C$23:$C$30,D96)&gt;0,IF((IF(ISNUMBER(SEARCH(Classifiers!$E$23,E96)),1,0)+IF(ISNUMBER(SEARCH(Classifiers!$E$24,E96)),1,0)+IF(ISNUMBER(SEARCH(Classifiers!$E$25,E96)),1,0)+IF(ISNUMBER(SEARCH(Classifiers!$E$26,E96)),1,0)+IF(ISNUMBER(SEARCH(Classifiers!$E$27,E96)),1,0)+IF(ISNUMBER(SEARCH(Classifiers!$E$28,E96)),1,0)+IF(ISNUMBER(SEARCH(Classifiers!$E$29,E96)),1,0)+IF(ISNUMBER(SEARCH(Classifiers!$E$30,E96)),1,0))&gt;0,1,0),0))</f>
        <v/>
      </c>
      <c r="H96" s="6">
        <f>IF(C96="","",IF(OR(LEFT(C96,1)=".",AND(F96=0,G96=0)),0,1))</f>
        <v/>
      </c>
      <c r="I96" s="6">
        <f>IF(H96&lt;&gt;1,"",IF(SUM(J96:W96)=0,"unclassified",INDEX(Classifiers!$A$5:$A$18,MATCH(1,J96:W96,0),1)))</f>
        <v/>
      </c>
      <c r="J96" s="12">
        <f>IF(H96&lt;&gt;1,0,IF((IF(Classifiers!$B$5="",0,IF(ISNUMBER(SEARCH(Classifiers!$B$5,E96)),1,0))+IF(Classifiers!$C$5="",0,IF(ISNUMBER(SEARCH(Classifiers!$C$5,E96)),1,0))+IF(Classifiers!$D$5="",0,IF(ISNUMBER(SEARCH(Classifiers!$D$5,E96)),1,0))+IF(Classifiers!$E$5="",0,IF(ISNUMBER(SEARCH(Classifiers!$E$5,E96)),1,0))+IF(Classifiers!$F$5="",0,IF(ISNUMBER(SEARCH(Classifiers!$F$5,E96)),1,0))+IF(Classifiers!$G$5="",0,IF(ISNUMBER(SEARCH(Classifiers!$G$5,E96)),1,0)))&gt;0,1,0))</f>
        <v/>
      </c>
      <c r="K96" s="12">
        <f>IF(H96&lt;&gt;1,0,IF((IF(Classifiers!$B$6="",0,IF(ISNUMBER(SEARCH(Classifiers!$B$6,E96)),1,0))+IF(Classifiers!$C$6="",0,IF(ISNUMBER(SEARCH(Classifiers!$C$6,E96)),1,0))+IF(Classifiers!$D$6="",0,IF(ISNUMBER(SEARCH(Classifiers!$D$6,E96)),1,0))+IF(Classifiers!$E$6="",0,IF(ISNUMBER(SEARCH(Classifiers!$E$6,E96)),1,0))+IF(Classifiers!$F$6="",0,IF(ISNUMBER(SEARCH(Classifiers!$F$6,E96)),1,0))+IF(Classifiers!$G$6="",0,IF(ISNUMBER(SEARCH(Classifiers!$G$6,E96)),1,0)))&gt;0,1,0))</f>
        <v/>
      </c>
      <c r="L96" s="12">
        <f>IF(H96&lt;&gt;1,0,IF((IF(Classifiers!$B$7="",0,IF(ISNUMBER(SEARCH(Classifiers!$B$7,E96)),1,0))+IF(Classifiers!$C$7="",0,IF(ISNUMBER(SEARCH(Classifiers!$C$7,E96)),1,0))+IF(Classifiers!$D$7="",0,IF(ISNUMBER(SEARCH(Classifiers!$D$7,E96)),1,0))+IF(Classifiers!$E$7="",0,IF(ISNUMBER(SEARCH(Classifiers!$E$7,E96)),1,0))+IF(Classifiers!$F$7="",0,IF(ISNUMBER(SEARCH(Classifiers!$F$7,E96)),1,0))+IF(Classifiers!$G$7="",0,IF(ISNUMBER(SEARCH(Classifiers!$G$7,E96)),1,0)))&gt;0,1,0))</f>
        <v/>
      </c>
      <c r="M96" s="12">
        <f>IF(H96&lt;&gt;1,0,IF((IF(Classifiers!$B$8="",0,IF(ISNUMBER(SEARCH(Classifiers!$B$8,E96)),1,0))+IF(Classifiers!$C$8="",0,IF(ISNUMBER(SEARCH(Classifiers!$C$8,E96)),1,0))+IF(Classifiers!$D$8="",0,IF(ISNUMBER(SEARCH(Classifiers!$D$8,E96)),1,0))+IF(Classifiers!$E$8="",0,IF(ISNUMBER(SEARCH(Classifiers!$E$8,E96)),1,0))+IF(Classifiers!$F$8="",0,IF(ISNUMBER(SEARCH(Classifiers!$F$8,E96)),1,0))+IF(Classifiers!$G$8="",0,IF(ISNUMBER(SEARCH(Classifiers!$G$8,E96)),1,0)))&gt;0,1,0))</f>
        <v/>
      </c>
      <c r="N96" s="12">
        <f>IF(H96&lt;&gt;1,0,IF((IF(Classifiers!$B$9="",0,IF(ISNUMBER(SEARCH(Classifiers!$B$9,E96)),1,0))+IF(Classifiers!$C$9="",0,IF(ISNUMBER(SEARCH(Classifiers!$C$9,E96)),1,0))+IF(Classifiers!$D$9="",0,IF(ISNUMBER(SEARCH(Classifiers!$D$9,E96)),1,0))+IF(Classifiers!$E$9="",0,IF(ISNUMBER(SEARCH(Classifiers!$E$9,E96)),1,0))+IF(Classifiers!$F$9="",0,IF(ISNUMBER(SEARCH(Classifiers!$F$9,E96)),1,0))+IF(Classifiers!$G$9="",0,IF(ISNUMBER(SEARCH(Classifiers!$G$9,E96)),1,0)))&gt;0,1,0))</f>
        <v/>
      </c>
      <c r="O96" s="12">
        <f>IF(H96&lt;&gt;1,0,IF((IF(Classifiers!$B$10="",0,IF(ISNUMBER(SEARCH(Classifiers!$B$10,E96)),1,0))+IF(Classifiers!$C$10="",0,IF(ISNUMBER(SEARCH(Classifiers!$C$10,E96)),1,0))+IF(Classifiers!$D$10="",0,IF(ISNUMBER(SEARCH(Classifiers!$D$10,E96)),1,0))+IF(Classifiers!$E$10="",0,IF(ISNUMBER(SEARCH(Classifiers!$E$10,E96)),1,0))+IF(Classifiers!$F$10="",0,IF(ISNUMBER(SEARCH(Classifiers!$F$10,E96)),1,0))+IF(Classifiers!$G$10="",0,IF(ISNUMBER(SEARCH(Classifiers!$G$10,E96)),1,0)))&gt;0,1,0))</f>
        <v/>
      </c>
      <c r="P96" s="12">
        <f>IF(H96&lt;&gt;1,0,IF((IF(Classifiers!$B$11="",0,IF(ISNUMBER(SEARCH(Classifiers!$B$11,E96)),1,0))+IF(Classifiers!$C$11="",0,IF(ISNUMBER(SEARCH(Classifiers!$C$11,E96)),1,0))+IF(Classifiers!$D$11="",0,IF(ISNUMBER(SEARCH(Classifiers!$D$11,E96)),1,0))+IF(Classifiers!$E$11="",0,IF(ISNUMBER(SEARCH(Classifiers!$E$11,E96)),1,0))+IF(Classifiers!$F$11="",0,IF(ISNUMBER(SEARCH(Classifiers!$F$11,E96)),1,0))+IF(Classifiers!$G$11="",0,IF(ISNUMBER(SEARCH(Classifiers!$G$11,E96)),1,0)))&gt;0,1,0))</f>
        <v/>
      </c>
      <c r="Q96" s="12">
        <f>IF(H96&lt;&gt;1,0,IF((IF(Classifiers!$B$12="",0,IF(ISNUMBER(SEARCH(Classifiers!$B$12,E96)),1,0))+IF(Classifiers!$C$12="",0,IF(ISNUMBER(SEARCH(Classifiers!$C$12,E96)),1,0))+IF(Classifiers!$D$12="",0,IF(ISNUMBER(SEARCH(Classifiers!$D$12,E96)),1,0))+IF(Classifiers!$E$12="",0,IF(ISNUMBER(SEARCH(Classifiers!$E$12,E96)),1,0))+IF(Classifiers!$F$12="",0,IF(ISNUMBER(SEARCH(Classifiers!$F$12,E96)),1,0))+IF(Classifiers!$G$12="",0,IF(ISNUMBER(SEARCH(Classifiers!$G$12,E96)),1,0)))&gt;0,1,0))</f>
        <v/>
      </c>
      <c r="R96" s="12">
        <f>IF(H96&lt;&gt;1,0,IF((IF(Classifiers!$B$13="",0,IF(ISNUMBER(SEARCH(Classifiers!$B$13,E96)),1,0))+IF(Classifiers!$C$13="",0,IF(ISNUMBER(SEARCH(Classifiers!$C$13,E96)),1,0))+IF(Classifiers!$D$13="",0,IF(ISNUMBER(SEARCH(Classifiers!$D$13,E96)),1,0))+IF(Classifiers!$E$13="",0,IF(ISNUMBER(SEARCH(Classifiers!$E$13,E96)),1,0))+IF(Classifiers!$F$13="",0,IF(ISNUMBER(SEARCH(Classifiers!$F$13,E96)),1,0))+IF(Classifiers!$G$13="",0,IF(ISNUMBER(SEARCH(Classifiers!$G$13,E96)),1,0)))&gt;0,1,0))</f>
        <v/>
      </c>
      <c r="S96" s="12">
        <f>IF(H96&lt;&gt;1,0,IF((IF(Classifiers!$B$14="",0,IF(ISNUMBER(SEARCH(Classifiers!$B$14,E96)),1,0))+IF(Classifiers!$C$14="",0,IF(ISNUMBER(SEARCH(Classifiers!$C$14,E96)),1,0))+IF(Classifiers!$D$14="",0,IF(ISNUMBER(SEARCH(Classifiers!$D$14,E96)),1,0))+IF(Classifiers!$E$14="",0,IF(ISNUMBER(SEARCH(Classifiers!$E$14,E96)),1,0))+IF(Classifiers!$F$14="",0,IF(ISNUMBER(SEARCH(Classifiers!$F$14,E96)),1,0))+IF(Classifiers!$G$14="",0,IF(ISNUMBER(SEARCH(Classifiers!$G$14,E96)),1,0)))&gt;0,1,0))</f>
        <v/>
      </c>
      <c r="T96" s="12">
        <f>IF(H96&lt;&gt;1,0,IF((IF(Classifiers!$B$15="",0,IF(ISNUMBER(SEARCH(Classifiers!$B$15,E96)),1,0))+IF(Classifiers!$C$15="",0,IF(ISNUMBER(SEARCH(Classifiers!$C$15,E96)),1,0))+IF(Classifiers!$D$15="",0,IF(ISNUMBER(SEARCH(Classifiers!$D$15,E96)),1,0))+IF(Classifiers!$E$15="",0,IF(ISNUMBER(SEARCH(Classifiers!$E$15,E96)),1,0))+IF(Classifiers!$F$15="",0,IF(ISNUMBER(SEARCH(Classifiers!$F$15,E96)),1,0))+IF(Classifiers!$G$15="",0,IF(ISNUMBER(SEARCH(Classifiers!$G$15,E96)),1,0)))&gt;0,1,0))</f>
        <v/>
      </c>
      <c r="U96" s="12">
        <f>IF(H96&lt;&gt;1,0,IF((IF(Classifiers!$B$16="",0,IF(ISNUMBER(SEARCH(Classifiers!$B$16,E96)),1,0))+IF(Classifiers!$C$16="",0,IF(ISNUMBER(SEARCH(Classifiers!$C$16,E96)),1,0))+IF(Classifiers!$D$16="",0,IF(ISNUMBER(SEARCH(Classifiers!$D$16,E96)),1,0))+IF(Classifiers!$E$16="",0,IF(ISNUMBER(SEARCH(Classifiers!$E$16,E96)),1,0))+IF(Classifiers!$F$16="",0,IF(ISNUMBER(SEARCH(Classifiers!$F$16,E96)),1,0))+IF(Classifiers!$G$16="",0,IF(ISNUMBER(SEARCH(Classifiers!$G$16,E96)),1,0)))&gt;0,1,0))</f>
        <v/>
      </c>
      <c r="V96" s="12">
        <f>IF(H96&lt;&gt;1,0,IF((IF(Classifiers!$B$17="",0,IF(ISNUMBER(SEARCH(Classifiers!$B$17,E96)),1,0))+IF(Classifiers!$C$17="",0,IF(ISNUMBER(SEARCH(Classifiers!$C$17,E96)),1,0))+IF(Classifiers!$D$17="",0,IF(ISNUMBER(SEARCH(Classifiers!$D$17,E96)),1,0))+IF(Classifiers!$E$17="",0,IF(ISNUMBER(SEARCH(Classifiers!$E$17,E96)),1,0))+IF(Classifiers!$F$17="",0,IF(ISNUMBER(SEARCH(Classifiers!$F$17,E96)),1,0))+IF(Classifiers!$G$17="",0,IF(ISNUMBER(SEARCH(Classifiers!$G$17,E96)),1,0)))&gt;0,1,0))</f>
        <v/>
      </c>
      <c r="W96" s="12">
        <f>IF(H96&lt;&gt;1,0,IF((IF(Classifiers!$B$18="",0,IF(ISNUMBER(SEARCH(Classifiers!$B$18,E96)),1,0))+IF(Classifiers!$C$18="",0,IF(ISNUMBER(SEARCH(Classifiers!$C$18,E96)),1,0))+IF(Classifiers!$D$18="",0,IF(ISNUMBER(SEARCH(Classifiers!$D$18,E96)),1,0))+IF(Classifiers!$E$18="",0,IF(ISNUMBER(SEARCH(Classifiers!$E$18,E96)),1,0))+IF(Classifiers!$F$18="",0,IF(ISNUMBER(SEARCH(Classifiers!$F$18,E96)),1,0))+IF(Classifiers!$G$18="",0,IF(ISNUMBER(SEARCH(Classifiers!$G$18,E96)),1,0)))&gt;0,1,0))</f>
        <v/>
      </c>
    </row>
    <row r="97">
      <c r="A97" s="8" t="n"/>
      <c r="B97" s="11" t="n"/>
      <c r="C97" s="6">
        <f>IF(A97="","",TRIM(RIGHT(SUBSTITUTE(A97,"/",REPT(" ",250)),250)))</f>
        <v/>
      </c>
      <c r="D97" s="6">
        <f>IF(C97="","",IF(ISNUMBER(SEARCH(".",C97)),LOWER("."&amp;TRIM(RIGHT(SUBSTITUTE(C97,".",REPT(" ",250)),250))),""))</f>
        <v/>
      </c>
      <c r="E97" s="6">
        <f>IF(C97="","",TRIM(SUBSTITUTE(SUBSTITUTE(SUBSTITUTE(SUBSTITUTE(SUBSTITUTE(SUBSTITUTE(SUBSTITUTE(SUBSTITUTE(SUBSTITUTE(SUBSTITUTE(SUBSTITUTE(SUBSTITUTE(SUBSTITUTE(SUBSTITUTE(SUBSTITUTE(SUBSTITUTE(SUBSTITUTE(SUBSTITUTE(SUBSTITUTE(SUBSTITUTE(LOWER(LEFT(C97,LEN(C97)-LEN(D97))),"_"," "),"-"," "),"."," "),","," "),"("," "),")"," "),"["," "),"]"," "),"&amp;"," "),"+"," "),"@"," "),"#"," "),"!"," "),"'"," "),"/"," "),":"," "),";"," "),"="," "),"~"," "),"%"," ")))</f>
        <v/>
      </c>
      <c r="F97" s="6">
        <f>IF(C97="","",IF(COUNTIF(Classifiers!$A$23:$A$40,D97)&gt;0,1,0))</f>
        <v/>
      </c>
      <c r="G97" s="6">
        <f>IF(C97="","",IF(COUNTIF(Classifiers!$C$23:$C$30,D97)&gt;0,IF((IF(ISNUMBER(SEARCH(Classifiers!$E$23,E97)),1,0)+IF(ISNUMBER(SEARCH(Classifiers!$E$24,E97)),1,0)+IF(ISNUMBER(SEARCH(Classifiers!$E$25,E97)),1,0)+IF(ISNUMBER(SEARCH(Classifiers!$E$26,E97)),1,0)+IF(ISNUMBER(SEARCH(Classifiers!$E$27,E97)),1,0)+IF(ISNUMBER(SEARCH(Classifiers!$E$28,E97)),1,0)+IF(ISNUMBER(SEARCH(Classifiers!$E$29,E97)),1,0)+IF(ISNUMBER(SEARCH(Classifiers!$E$30,E97)),1,0))&gt;0,1,0),0))</f>
        <v/>
      </c>
      <c r="H97" s="6">
        <f>IF(C97="","",IF(OR(LEFT(C97,1)=".",AND(F97=0,G97=0)),0,1))</f>
        <v/>
      </c>
      <c r="I97" s="6">
        <f>IF(H97&lt;&gt;1,"",IF(SUM(J97:W97)=0,"unclassified",INDEX(Classifiers!$A$5:$A$18,MATCH(1,J97:W97,0),1)))</f>
        <v/>
      </c>
      <c r="J97" s="12">
        <f>IF(H97&lt;&gt;1,0,IF((IF(Classifiers!$B$5="",0,IF(ISNUMBER(SEARCH(Classifiers!$B$5,E97)),1,0))+IF(Classifiers!$C$5="",0,IF(ISNUMBER(SEARCH(Classifiers!$C$5,E97)),1,0))+IF(Classifiers!$D$5="",0,IF(ISNUMBER(SEARCH(Classifiers!$D$5,E97)),1,0))+IF(Classifiers!$E$5="",0,IF(ISNUMBER(SEARCH(Classifiers!$E$5,E97)),1,0))+IF(Classifiers!$F$5="",0,IF(ISNUMBER(SEARCH(Classifiers!$F$5,E97)),1,0))+IF(Classifiers!$G$5="",0,IF(ISNUMBER(SEARCH(Classifiers!$G$5,E97)),1,0)))&gt;0,1,0))</f>
        <v/>
      </c>
      <c r="K97" s="12">
        <f>IF(H97&lt;&gt;1,0,IF((IF(Classifiers!$B$6="",0,IF(ISNUMBER(SEARCH(Classifiers!$B$6,E97)),1,0))+IF(Classifiers!$C$6="",0,IF(ISNUMBER(SEARCH(Classifiers!$C$6,E97)),1,0))+IF(Classifiers!$D$6="",0,IF(ISNUMBER(SEARCH(Classifiers!$D$6,E97)),1,0))+IF(Classifiers!$E$6="",0,IF(ISNUMBER(SEARCH(Classifiers!$E$6,E97)),1,0))+IF(Classifiers!$F$6="",0,IF(ISNUMBER(SEARCH(Classifiers!$F$6,E97)),1,0))+IF(Classifiers!$G$6="",0,IF(ISNUMBER(SEARCH(Classifiers!$G$6,E97)),1,0)))&gt;0,1,0))</f>
        <v/>
      </c>
      <c r="L97" s="12">
        <f>IF(H97&lt;&gt;1,0,IF((IF(Classifiers!$B$7="",0,IF(ISNUMBER(SEARCH(Classifiers!$B$7,E97)),1,0))+IF(Classifiers!$C$7="",0,IF(ISNUMBER(SEARCH(Classifiers!$C$7,E97)),1,0))+IF(Classifiers!$D$7="",0,IF(ISNUMBER(SEARCH(Classifiers!$D$7,E97)),1,0))+IF(Classifiers!$E$7="",0,IF(ISNUMBER(SEARCH(Classifiers!$E$7,E97)),1,0))+IF(Classifiers!$F$7="",0,IF(ISNUMBER(SEARCH(Classifiers!$F$7,E97)),1,0))+IF(Classifiers!$G$7="",0,IF(ISNUMBER(SEARCH(Classifiers!$G$7,E97)),1,0)))&gt;0,1,0))</f>
        <v/>
      </c>
      <c r="M97" s="12">
        <f>IF(H97&lt;&gt;1,0,IF((IF(Classifiers!$B$8="",0,IF(ISNUMBER(SEARCH(Classifiers!$B$8,E97)),1,0))+IF(Classifiers!$C$8="",0,IF(ISNUMBER(SEARCH(Classifiers!$C$8,E97)),1,0))+IF(Classifiers!$D$8="",0,IF(ISNUMBER(SEARCH(Classifiers!$D$8,E97)),1,0))+IF(Classifiers!$E$8="",0,IF(ISNUMBER(SEARCH(Classifiers!$E$8,E97)),1,0))+IF(Classifiers!$F$8="",0,IF(ISNUMBER(SEARCH(Classifiers!$F$8,E97)),1,0))+IF(Classifiers!$G$8="",0,IF(ISNUMBER(SEARCH(Classifiers!$G$8,E97)),1,0)))&gt;0,1,0))</f>
        <v/>
      </c>
      <c r="N97" s="12">
        <f>IF(H97&lt;&gt;1,0,IF((IF(Classifiers!$B$9="",0,IF(ISNUMBER(SEARCH(Classifiers!$B$9,E97)),1,0))+IF(Classifiers!$C$9="",0,IF(ISNUMBER(SEARCH(Classifiers!$C$9,E97)),1,0))+IF(Classifiers!$D$9="",0,IF(ISNUMBER(SEARCH(Classifiers!$D$9,E97)),1,0))+IF(Classifiers!$E$9="",0,IF(ISNUMBER(SEARCH(Classifiers!$E$9,E97)),1,0))+IF(Classifiers!$F$9="",0,IF(ISNUMBER(SEARCH(Classifiers!$F$9,E97)),1,0))+IF(Classifiers!$G$9="",0,IF(ISNUMBER(SEARCH(Classifiers!$G$9,E97)),1,0)))&gt;0,1,0))</f>
        <v/>
      </c>
      <c r="O97" s="12">
        <f>IF(H97&lt;&gt;1,0,IF((IF(Classifiers!$B$10="",0,IF(ISNUMBER(SEARCH(Classifiers!$B$10,E97)),1,0))+IF(Classifiers!$C$10="",0,IF(ISNUMBER(SEARCH(Classifiers!$C$10,E97)),1,0))+IF(Classifiers!$D$10="",0,IF(ISNUMBER(SEARCH(Classifiers!$D$10,E97)),1,0))+IF(Classifiers!$E$10="",0,IF(ISNUMBER(SEARCH(Classifiers!$E$10,E97)),1,0))+IF(Classifiers!$F$10="",0,IF(ISNUMBER(SEARCH(Classifiers!$F$10,E97)),1,0))+IF(Classifiers!$G$10="",0,IF(ISNUMBER(SEARCH(Classifiers!$G$10,E97)),1,0)))&gt;0,1,0))</f>
        <v/>
      </c>
      <c r="P97" s="12">
        <f>IF(H97&lt;&gt;1,0,IF((IF(Classifiers!$B$11="",0,IF(ISNUMBER(SEARCH(Classifiers!$B$11,E97)),1,0))+IF(Classifiers!$C$11="",0,IF(ISNUMBER(SEARCH(Classifiers!$C$11,E97)),1,0))+IF(Classifiers!$D$11="",0,IF(ISNUMBER(SEARCH(Classifiers!$D$11,E97)),1,0))+IF(Classifiers!$E$11="",0,IF(ISNUMBER(SEARCH(Classifiers!$E$11,E97)),1,0))+IF(Classifiers!$F$11="",0,IF(ISNUMBER(SEARCH(Classifiers!$F$11,E97)),1,0))+IF(Classifiers!$G$11="",0,IF(ISNUMBER(SEARCH(Classifiers!$G$11,E97)),1,0)))&gt;0,1,0))</f>
        <v/>
      </c>
      <c r="Q97" s="12">
        <f>IF(H97&lt;&gt;1,0,IF((IF(Classifiers!$B$12="",0,IF(ISNUMBER(SEARCH(Classifiers!$B$12,E97)),1,0))+IF(Classifiers!$C$12="",0,IF(ISNUMBER(SEARCH(Classifiers!$C$12,E97)),1,0))+IF(Classifiers!$D$12="",0,IF(ISNUMBER(SEARCH(Classifiers!$D$12,E97)),1,0))+IF(Classifiers!$E$12="",0,IF(ISNUMBER(SEARCH(Classifiers!$E$12,E97)),1,0))+IF(Classifiers!$F$12="",0,IF(ISNUMBER(SEARCH(Classifiers!$F$12,E97)),1,0))+IF(Classifiers!$G$12="",0,IF(ISNUMBER(SEARCH(Classifiers!$G$12,E97)),1,0)))&gt;0,1,0))</f>
        <v/>
      </c>
      <c r="R97" s="12">
        <f>IF(H97&lt;&gt;1,0,IF((IF(Classifiers!$B$13="",0,IF(ISNUMBER(SEARCH(Classifiers!$B$13,E97)),1,0))+IF(Classifiers!$C$13="",0,IF(ISNUMBER(SEARCH(Classifiers!$C$13,E97)),1,0))+IF(Classifiers!$D$13="",0,IF(ISNUMBER(SEARCH(Classifiers!$D$13,E97)),1,0))+IF(Classifiers!$E$13="",0,IF(ISNUMBER(SEARCH(Classifiers!$E$13,E97)),1,0))+IF(Classifiers!$F$13="",0,IF(ISNUMBER(SEARCH(Classifiers!$F$13,E97)),1,0))+IF(Classifiers!$G$13="",0,IF(ISNUMBER(SEARCH(Classifiers!$G$13,E97)),1,0)))&gt;0,1,0))</f>
        <v/>
      </c>
      <c r="S97" s="12">
        <f>IF(H97&lt;&gt;1,0,IF((IF(Classifiers!$B$14="",0,IF(ISNUMBER(SEARCH(Classifiers!$B$14,E97)),1,0))+IF(Classifiers!$C$14="",0,IF(ISNUMBER(SEARCH(Classifiers!$C$14,E97)),1,0))+IF(Classifiers!$D$14="",0,IF(ISNUMBER(SEARCH(Classifiers!$D$14,E97)),1,0))+IF(Classifiers!$E$14="",0,IF(ISNUMBER(SEARCH(Classifiers!$E$14,E97)),1,0))+IF(Classifiers!$F$14="",0,IF(ISNUMBER(SEARCH(Classifiers!$F$14,E97)),1,0))+IF(Classifiers!$G$14="",0,IF(ISNUMBER(SEARCH(Classifiers!$G$14,E97)),1,0)))&gt;0,1,0))</f>
        <v/>
      </c>
      <c r="T97" s="12">
        <f>IF(H97&lt;&gt;1,0,IF((IF(Classifiers!$B$15="",0,IF(ISNUMBER(SEARCH(Classifiers!$B$15,E97)),1,0))+IF(Classifiers!$C$15="",0,IF(ISNUMBER(SEARCH(Classifiers!$C$15,E97)),1,0))+IF(Classifiers!$D$15="",0,IF(ISNUMBER(SEARCH(Classifiers!$D$15,E97)),1,0))+IF(Classifiers!$E$15="",0,IF(ISNUMBER(SEARCH(Classifiers!$E$15,E97)),1,0))+IF(Classifiers!$F$15="",0,IF(ISNUMBER(SEARCH(Classifiers!$F$15,E97)),1,0))+IF(Classifiers!$G$15="",0,IF(ISNUMBER(SEARCH(Classifiers!$G$15,E97)),1,0)))&gt;0,1,0))</f>
        <v/>
      </c>
      <c r="U97" s="12">
        <f>IF(H97&lt;&gt;1,0,IF((IF(Classifiers!$B$16="",0,IF(ISNUMBER(SEARCH(Classifiers!$B$16,E97)),1,0))+IF(Classifiers!$C$16="",0,IF(ISNUMBER(SEARCH(Classifiers!$C$16,E97)),1,0))+IF(Classifiers!$D$16="",0,IF(ISNUMBER(SEARCH(Classifiers!$D$16,E97)),1,0))+IF(Classifiers!$E$16="",0,IF(ISNUMBER(SEARCH(Classifiers!$E$16,E97)),1,0))+IF(Classifiers!$F$16="",0,IF(ISNUMBER(SEARCH(Classifiers!$F$16,E97)),1,0))+IF(Classifiers!$G$16="",0,IF(ISNUMBER(SEARCH(Classifiers!$G$16,E97)),1,0)))&gt;0,1,0))</f>
        <v/>
      </c>
      <c r="V97" s="12">
        <f>IF(H97&lt;&gt;1,0,IF((IF(Classifiers!$B$17="",0,IF(ISNUMBER(SEARCH(Classifiers!$B$17,E97)),1,0))+IF(Classifiers!$C$17="",0,IF(ISNUMBER(SEARCH(Classifiers!$C$17,E97)),1,0))+IF(Classifiers!$D$17="",0,IF(ISNUMBER(SEARCH(Classifiers!$D$17,E97)),1,0))+IF(Classifiers!$E$17="",0,IF(ISNUMBER(SEARCH(Classifiers!$E$17,E97)),1,0))+IF(Classifiers!$F$17="",0,IF(ISNUMBER(SEARCH(Classifiers!$F$17,E97)),1,0))+IF(Classifiers!$G$17="",0,IF(ISNUMBER(SEARCH(Classifiers!$G$17,E97)),1,0)))&gt;0,1,0))</f>
        <v/>
      </c>
      <c r="W97" s="12">
        <f>IF(H97&lt;&gt;1,0,IF((IF(Classifiers!$B$18="",0,IF(ISNUMBER(SEARCH(Classifiers!$B$18,E97)),1,0))+IF(Classifiers!$C$18="",0,IF(ISNUMBER(SEARCH(Classifiers!$C$18,E97)),1,0))+IF(Classifiers!$D$18="",0,IF(ISNUMBER(SEARCH(Classifiers!$D$18,E97)),1,0))+IF(Classifiers!$E$18="",0,IF(ISNUMBER(SEARCH(Classifiers!$E$18,E97)),1,0))+IF(Classifiers!$F$18="",0,IF(ISNUMBER(SEARCH(Classifiers!$F$18,E97)),1,0))+IF(Classifiers!$G$18="",0,IF(ISNUMBER(SEARCH(Classifiers!$G$18,E97)),1,0)))&gt;0,1,0))</f>
        <v/>
      </c>
    </row>
    <row r="98">
      <c r="A98" s="8" t="n"/>
      <c r="B98" s="11" t="n"/>
      <c r="C98" s="6">
        <f>IF(A98="","",TRIM(RIGHT(SUBSTITUTE(A98,"/",REPT(" ",250)),250)))</f>
        <v/>
      </c>
      <c r="D98" s="6">
        <f>IF(C98="","",IF(ISNUMBER(SEARCH(".",C98)),LOWER("."&amp;TRIM(RIGHT(SUBSTITUTE(C98,".",REPT(" ",250)),250))),""))</f>
        <v/>
      </c>
      <c r="E98" s="6">
        <f>IF(C98="","",TRIM(SUBSTITUTE(SUBSTITUTE(SUBSTITUTE(SUBSTITUTE(SUBSTITUTE(SUBSTITUTE(SUBSTITUTE(SUBSTITUTE(SUBSTITUTE(SUBSTITUTE(SUBSTITUTE(SUBSTITUTE(SUBSTITUTE(SUBSTITUTE(SUBSTITUTE(SUBSTITUTE(SUBSTITUTE(SUBSTITUTE(SUBSTITUTE(SUBSTITUTE(LOWER(LEFT(C98,LEN(C98)-LEN(D98))),"_"," "),"-"," "),"."," "),","," "),"("," "),")"," "),"["," "),"]"," "),"&amp;"," "),"+"," "),"@"," "),"#"," "),"!"," "),"'"," "),"/"," "),":"," "),";"," "),"="," "),"~"," "),"%"," ")))</f>
        <v/>
      </c>
      <c r="F98" s="6">
        <f>IF(C98="","",IF(COUNTIF(Classifiers!$A$23:$A$40,D98)&gt;0,1,0))</f>
        <v/>
      </c>
      <c r="G98" s="6">
        <f>IF(C98="","",IF(COUNTIF(Classifiers!$C$23:$C$30,D98)&gt;0,IF((IF(ISNUMBER(SEARCH(Classifiers!$E$23,E98)),1,0)+IF(ISNUMBER(SEARCH(Classifiers!$E$24,E98)),1,0)+IF(ISNUMBER(SEARCH(Classifiers!$E$25,E98)),1,0)+IF(ISNUMBER(SEARCH(Classifiers!$E$26,E98)),1,0)+IF(ISNUMBER(SEARCH(Classifiers!$E$27,E98)),1,0)+IF(ISNUMBER(SEARCH(Classifiers!$E$28,E98)),1,0)+IF(ISNUMBER(SEARCH(Classifiers!$E$29,E98)),1,0)+IF(ISNUMBER(SEARCH(Classifiers!$E$30,E98)),1,0))&gt;0,1,0),0))</f>
        <v/>
      </c>
      <c r="H98" s="6">
        <f>IF(C98="","",IF(OR(LEFT(C98,1)=".",AND(F98=0,G98=0)),0,1))</f>
        <v/>
      </c>
      <c r="I98" s="6">
        <f>IF(H98&lt;&gt;1,"",IF(SUM(J98:W98)=0,"unclassified",INDEX(Classifiers!$A$5:$A$18,MATCH(1,J98:W98,0),1)))</f>
        <v/>
      </c>
      <c r="J98" s="12">
        <f>IF(H98&lt;&gt;1,0,IF((IF(Classifiers!$B$5="",0,IF(ISNUMBER(SEARCH(Classifiers!$B$5,E98)),1,0))+IF(Classifiers!$C$5="",0,IF(ISNUMBER(SEARCH(Classifiers!$C$5,E98)),1,0))+IF(Classifiers!$D$5="",0,IF(ISNUMBER(SEARCH(Classifiers!$D$5,E98)),1,0))+IF(Classifiers!$E$5="",0,IF(ISNUMBER(SEARCH(Classifiers!$E$5,E98)),1,0))+IF(Classifiers!$F$5="",0,IF(ISNUMBER(SEARCH(Classifiers!$F$5,E98)),1,0))+IF(Classifiers!$G$5="",0,IF(ISNUMBER(SEARCH(Classifiers!$G$5,E98)),1,0)))&gt;0,1,0))</f>
        <v/>
      </c>
      <c r="K98" s="12">
        <f>IF(H98&lt;&gt;1,0,IF((IF(Classifiers!$B$6="",0,IF(ISNUMBER(SEARCH(Classifiers!$B$6,E98)),1,0))+IF(Classifiers!$C$6="",0,IF(ISNUMBER(SEARCH(Classifiers!$C$6,E98)),1,0))+IF(Classifiers!$D$6="",0,IF(ISNUMBER(SEARCH(Classifiers!$D$6,E98)),1,0))+IF(Classifiers!$E$6="",0,IF(ISNUMBER(SEARCH(Classifiers!$E$6,E98)),1,0))+IF(Classifiers!$F$6="",0,IF(ISNUMBER(SEARCH(Classifiers!$F$6,E98)),1,0))+IF(Classifiers!$G$6="",0,IF(ISNUMBER(SEARCH(Classifiers!$G$6,E98)),1,0)))&gt;0,1,0))</f>
        <v/>
      </c>
      <c r="L98" s="12">
        <f>IF(H98&lt;&gt;1,0,IF((IF(Classifiers!$B$7="",0,IF(ISNUMBER(SEARCH(Classifiers!$B$7,E98)),1,0))+IF(Classifiers!$C$7="",0,IF(ISNUMBER(SEARCH(Classifiers!$C$7,E98)),1,0))+IF(Classifiers!$D$7="",0,IF(ISNUMBER(SEARCH(Classifiers!$D$7,E98)),1,0))+IF(Classifiers!$E$7="",0,IF(ISNUMBER(SEARCH(Classifiers!$E$7,E98)),1,0))+IF(Classifiers!$F$7="",0,IF(ISNUMBER(SEARCH(Classifiers!$F$7,E98)),1,0))+IF(Classifiers!$G$7="",0,IF(ISNUMBER(SEARCH(Classifiers!$G$7,E98)),1,0)))&gt;0,1,0))</f>
        <v/>
      </c>
      <c r="M98" s="12">
        <f>IF(H98&lt;&gt;1,0,IF((IF(Classifiers!$B$8="",0,IF(ISNUMBER(SEARCH(Classifiers!$B$8,E98)),1,0))+IF(Classifiers!$C$8="",0,IF(ISNUMBER(SEARCH(Classifiers!$C$8,E98)),1,0))+IF(Classifiers!$D$8="",0,IF(ISNUMBER(SEARCH(Classifiers!$D$8,E98)),1,0))+IF(Classifiers!$E$8="",0,IF(ISNUMBER(SEARCH(Classifiers!$E$8,E98)),1,0))+IF(Classifiers!$F$8="",0,IF(ISNUMBER(SEARCH(Classifiers!$F$8,E98)),1,0))+IF(Classifiers!$G$8="",0,IF(ISNUMBER(SEARCH(Classifiers!$G$8,E98)),1,0)))&gt;0,1,0))</f>
        <v/>
      </c>
      <c r="N98" s="12">
        <f>IF(H98&lt;&gt;1,0,IF((IF(Classifiers!$B$9="",0,IF(ISNUMBER(SEARCH(Classifiers!$B$9,E98)),1,0))+IF(Classifiers!$C$9="",0,IF(ISNUMBER(SEARCH(Classifiers!$C$9,E98)),1,0))+IF(Classifiers!$D$9="",0,IF(ISNUMBER(SEARCH(Classifiers!$D$9,E98)),1,0))+IF(Classifiers!$E$9="",0,IF(ISNUMBER(SEARCH(Classifiers!$E$9,E98)),1,0))+IF(Classifiers!$F$9="",0,IF(ISNUMBER(SEARCH(Classifiers!$F$9,E98)),1,0))+IF(Classifiers!$G$9="",0,IF(ISNUMBER(SEARCH(Classifiers!$G$9,E98)),1,0)))&gt;0,1,0))</f>
        <v/>
      </c>
      <c r="O98" s="12">
        <f>IF(H98&lt;&gt;1,0,IF((IF(Classifiers!$B$10="",0,IF(ISNUMBER(SEARCH(Classifiers!$B$10,E98)),1,0))+IF(Classifiers!$C$10="",0,IF(ISNUMBER(SEARCH(Classifiers!$C$10,E98)),1,0))+IF(Classifiers!$D$10="",0,IF(ISNUMBER(SEARCH(Classifiers!$D$10,E98)),1,0))+IF(Classifiers!$E$10="",0,IF(ISNUMBER(SEARCH(Classifiers!$E$10,E98)),1,0))+IF(Classifiers!$F$10="",0,IF(ISNUMBER(SEARCH(Classifiers!$F$10,E98)),1,0))+IF(Classifiers!$G$10="",0,IF(ISNUMBER(SEARCH(Classifiers!$G$10,E98)),1,0)))&gt;0,1,0))</f>
        <v/>
      </c>
      <c r="P98" s="12">
        <f>IF(H98&lt;&gt;1,0,IF((IF(Classifiers!$B$11="",0,IF(ISNUMBER(SEARCH(Classifiers!$B$11,E98)),1,0))+IF(Classifiers!$C$11="",0,IF(ISNUMBER(SEARCH(Classifiers!$C$11,E98)),1,0))+IF(Classifiers!$D$11="",0,IF(ISNUMBER(SEARCH(Classifiers!$D$11,E98)),1,0))+IF(Classifiers!$E$11="",0,IF(ISNUMBER(SEARCH(Classifiers!$E$11,E98)),1,0))+IF(Classifiers!$F$11="",0,IF(ISNUMBER(SEARCH(Classifiers!$F$11,E98)),1,0))+IF(Classifiers!$G$11="",0,IF(ISNUMBER(SEARCH(Classifiers!$G$11,E98)),1,0)))&gt;0,1,0))</f>
        <v/>
      </c>
      <c r="Q98" s="12">
        <f>IF(H98&lt;&gt;1,0,IF((IF(Classifiers!$B$12="",0,IF(ISNUMBER(SEARCH(Classifiers!$B$12,E98)),1,0))+IF(Classifiers!$C$12="",0,IF(ISNUMBER(SEARCH(Classifiers!$C$12,E98)),1,0))+IF(Classifiers!$D$12="",0,IF(ISNUMBER(SEARCH(Classifiers!$D$12,E98)),1,0))+IF(Classifiers!$E$12="",0,IF(ISNUMBER(SEARCH(Classifiers!$E$12,E98)),1,0))+IF(Classifiers!$F$12="",0,IF(ISNUMBER(SEARCH(Classifiers!$F$12,E98)),1,0))+IF(Classifiers!$G$12="",0,IF(ISNUMBER(SEARCH(Classifiers!$G$12,E98)),1,0)))&gt;0,1,0))</f>
        <v/>
      </c>
      <c r="R98" s="12">
        <f>IF(H98&lt;&gt;1,0,IF((IF(Classifiers!$B$13="",0,IF(ISNUMBER(SEARCH(Classifiers!$B$13,E98)),1,0))+IF(Classifiers!$C$13="",0,IF(ISNUMBER(SEARCH(Classifiers!$C$13,E98)),1,0))+IF(Classifiers!$D$13="",0,IF(ISNUMBER(SEARCH(Classifiers!$D$13,E98)),1,0))+IF(Classifiers!$E$13="",0,IF(ISNUMBER(SEARCH(Classifiers!$E$13,E98)),1,0))+IF(Classifiers!$F$13="",0,IF(ISNUMBER(SEARCH(Classifiers!$F$13,E98)),1,0))+IF(Classifiers!$G$13="",0,IF(ISNUMBER(SEARCH(Classifiers!$G$13,E98)),1,0)))&gt;0,1,0))</f>
        <v/>
      </c>
      <c r="S98" s="12">
        <f>IF(H98&lt;&gt;1,0,IF((IF(Classifiers!$B$14="",0,IF(ISNUMBER(SEARCH(Classifiers!$B$14,E98)),1,0))+IF(Classifiers!$C$14="",0,IF(ISNUMBER(SEARCH(Classifiers!$C$14,E98)),1,0))+IF(Classifiers!$D$14="",0,IF(ISNUMBER(SEARCH(Classifiers!$D$14,E98)),1,0))+IF(Classifiers!$E$14="",0,IF(ISNUMBER(SEARCH(Classifiers!$E$14,E98)),1,0))+IF(Classifiers!$F$14="",0,IF(ISNUMBER(SEARCH(Classifiers!$F$14,E98)),1,0))+IF(Classifiers!$G$14="",0,IF(ISNUMBER(SEARCH(Classifiers!$G$14,E98)),1,0)))&gt;0,1,0))</f>
        <v/>
      </c>
      <c r="T98" s="12">
        <f>IF(H98&lt;&gt;1,0,IF((IF(Classifiers!$B$15="",0,IF(ISNUMBER(SEARCH(Classifiers!$B$15,E98)),1,0))+IF(Classifiers!$C$15="",0,IF(ISNUMBER(SEARCH(Classifiers!$C$15,E98)),1,0))+IF(Classifiers!$D$15="",0,IF(ISNUMBER(SEARCH(Classifiers!$D$15,E98)),1,0))+IF(Classifiers!$E$15="",0,IF(ISNUMBER(SEARCH(Classifiers!$E$15,E98)),1,0))+IF(Classifiers!$F$15="",0,IF(ISNUMBER(SEARCH(Classifiers!$F$15,E98)),1,0))+IF(Classifiers!$G$15="",0,IF(ISNUMBER(SEARCH(Classifiers!$G$15,E98)),1,0)))&gt;0,1,0))</f>
        <v/>
      </c>
      <c r="U98" s="12">
        <f>IF(H98&lt;&gt;1,0,IF((IF(Classifiers!$B$16="",0,IF(ISNUMBER(SEARCH(Classifiers!$B$16,E98)),1,0))+IF(Classifiers!$C$16="",0,IF(ISNUMBER(SEARCH(Classifiers!$C$16,E98)),1,0))+IF(Classifiers!$D$16="",0,IF(ISNUMBER(SEARCH(Classifiers!$D$16,E98)),1,0))+IF(Classifiers!$E$16="",0,IF(ISNUMBER(SEARCH(Classifiers!$E$16,E98)),1,0))+IF(Classifiers!$F$16="",0,IF(ISNUMBER(SEARCH(Classifiers!$F$16,E98)),1,0))+IF(Classifiers!$G$16="",0,IF(ISNUMBER(SEARCH(Classifiers!$G$16,E98)),1,0)))&gt;0,1,0))</f>
        <v/>
      </c>
      <c r="V98" s="12">
        <f>IF(H98&lt;&gt;1,0,IF((IF(Classifiers!$B$17="",0,IF(ISNUMBER(SEARCH(Classifiers!$B$17,E98)),1,0))+IF(Classifiers!$C$17="",0,IF(ISNUMBER(SEARCH(Classifiers!$C$17,E98)),1,0))+IF(Classifiers!$D$17="",0,IF(ISNUMBER(SEARCH(Classifiers!$D$17,E98)),1,0))+IF(Classifiers!$E$17="",0,IF(ISNUMBER(SEARCH(Classifiers!$E$17,E98)),1,0))+IF(Classifiers!$F$17="",0,IF(ISNUMBER(SEARCH(Classifiers!$F$17,E98)),1,0))+IF(Classifiers!$G$17="",0,IF(ISNUMBER(SEARCH(Classifiers!$G$17,E98)),1,0)))&gt;0,1,0))</f>
        <v/>
      </c>
      <c r="W98" s="12">
        <f>IF(H98&lt;&gt;1,0,IF((IF(Classifiers!$B$18="",0,IF(ISNUMBER(SEARCH(Classifiers!$B$18,E98)),1,0))+IF(Classifiers!$C$18="",0,IF(ISNUMBER(SEARCH(Classifiers!$C$18,E98)),1,0))+IF(Classifiers!$D$18="",0,IF(ISNUMBER(SEARCH(Classifiers!$D$18,E98)),1,0))+IF(Classifiers!$E$18="",0,IF(ISNUMBER(SEARCH(Classifiers!$E$18,E98)),1,0))+IF(Classifiers!$F$18="",0,IF(ISNUMBER(SEARCH(Classifiers!$F$18,E98)),1,0))+IF(Classifiers!$G$18="",0,IF(ISNUMBER(SEARCH(Classifiers!$G$18,E98)),1,0)))&gt;0,1,0))</f>
        <v/>
      </c>
    </row>
    <row r="99">
      <c r="A99" s="8" t="n"/>
      <c r="B99" s="11" t="n"/>
      <c r="C99" s="6">
        <f>IF(A99="","",TRIM(RIGHT(SUBSTITUTE(A99,"/",REPT(" ",250)),250)))</f>
        <v/>
      </c>
      <c r="D99" s="6">
        <f>IF(C99="","",IF(ISNUMBER(SEARCH(".",C99)),LOWER("."&amp;TRIM(RIGHT(SUBSTITUTE(C99,".",REPT(" ",250)),250))),""))</f>
        <v/>
      </c>
      <c r="E99" s="6">
        <f>IF(C99="","",TRIM(SUBSTITUTE(SUBSTITUTE(SUBSTITUTE(SUBSTITUTE(SUBSTITUTE(SUBSTITUTE(SUBSTITUTE(SUBSTITUTE(SUBSTITUTE(SUBSTITUTE(SUBSTITUTE(SUBSTITUTE(SUBSTITUTE(SUBSTITUTE(SUBSTITUTE(SUBSTITUTE(SUBSTITUTE(SUBSTITUTE(SUBSTITUTE(SUBSTITUTE(LOWER(LEFT(C99,LEN(C99)-LEN(D99))),"_"," "),"-"," "),"."," "),","," "),"("," "),")"," "),"["," "),"]"," "),"&amp;"," "),"+"," "),"@"," "),"#"," "),"!"," "),"'"," "),"/"," "),":"," "),";"," "),"="," "),"~"," "),"%"," ")))</f>
        <v/>
      </c>
      <c r="F99" s="6">
        <f>IF(C99="","",IF(COUNTIF(Classifiers!$A$23:$A$40,D99)&gt;0,1,0))</f>
        <v/>
      </c>
      <c r="G99" s="6">
        <f>IF(C99="","",IF(COUNTIF(Classifiers!$C$23:$C$30,D99)&gt;0,IF((IF(ISNUMBER(SEARCH(Classifiers!$E$23,E99)),1,0)+IF(ISNUMBER(SEARCH(Classifiers!$E$24,E99)),1,0)+IF(ISNUMBER(SEARCH(Classifiers!$E$25,E99)),1,0)+IF(ISNUMBER(SEARCH(Classifiers!$E$26,E99)),1,0)+IF(ISNUMBER(SEARCH(Classifiers!$E$27,E99)),1,0)+IF(ISNUMBER(SEARCH(Classifiers!$E$28,E99)),1,0)+IF(ISNUMBER(SEARCH(Classifiers!$E$29,E99)),1,0)+IF(ISNUMBER(SEARCH(Classifiers!$E$30,E99)),1,0))&gt;0,1,0),0))</f>
        <v/>
      </c>
      <c r="H99" s="6">
        <f>IF(C99="","",IF(OR(LEFT(C99,1)=".",AND(F99=0,G99=0)),0,1))</f>
        <v/>
      </c>
      <c r="I99" s="6">
        <f>IF(H99&lt;&gt;1,"",IF(SUM(J99:W99)=0,"unclassified",INDEX(Classifiers!$A$5:$A$18,MATCH(1,J99:W99,0),1)))</f>
        <v/>
      </c>
      <c r="J99" s="12">
        <f>IF(H99&lt;&gt;1,0,IF((IF(Classifiers!$B$5="",0,IF(ISNUMBER(SEARCH(Classifiers!$B$5,E99)),1,0))+IF(Classifiers!$C$5="",0,IF(ISNUMBER(SEARCH(Classifiers!$C$5,E99)),1,0))+IF(Classifiers!$D$5="",0,IF(ISNUMBER(SEARCH(Classifiers!$D$5,E99)),1,0))+IF(Classifiers!$E$5="",0,IF(ISNUMBER(SEARCH(Classifiers!$E$5,E99)),1,0))+IF(Classifiers!$F$5="",0,IF(ISNUMBER(SEARCH(Classifiers!$F$5,E99)),1,0))+IF(Classifiers!$G$5="",0,IF(ISNUMBER(SEARCH(Classifiers!$G$5,E99)),1,0)))&gt;0,1,0))</f>
        <v/>
      </c>
      <c r="K99" s="12">
        <f>IF(H99&lt;&gt;1,0,IF((IF(Classifiers!$B$6="",0,IF(ISNUMBER(SEARCH(Classifiers!$B$6,E99)),1,0))+IF(Classifiers!$C$6="",0,IF(ISNUMBER(SEARCH(Classifiers!$C$6,E99)),1,0))+IF(Classifiers!$D$6="",0,IF(ISNUMBER(SEARCH(Classifiers!$D$6,E99)),1,0))+IF(Classifiers!$E$6="",0,IF(ISNUMBER(SEARCH(Classifiers!$E$6,E99)),1,0))+IF(Classifiers!$F$6="",0,IF(ISNUMBER(SEARCH(Classifiers!$F$6,E99)),1,0))+IF(Classifiers!$G$6="",0,IF(ISNUMBER(SEARCH(Classifiers!$G$6,E99)),1,0)))&gt;0,1,0))</f>
        <v/>
      </c>
      <c r="L99" s="12">
        <f>IF(H99&lt;&gt;1,0,IF((IF(Classifiers!$B$7="",0,IF(ISNUMBER(SEARCH(Classifiers!$B$7,E99)),1,0))+IF(Classifiers!$C$7="",0,IF(ISNUMBER(SEARCH(Classifiers!$C$7,E99)),1,0))+IF(Classifiers!$D$7="",0,IF(ISNUMBER(SEARCH(Classifiers!$D$7,E99)),1,0))+IF(Classifiers!$E$7="",0,IF(ISNUMBER(SEARCH(Classifiers!$E$7,E99)),1,0))+IF(Classifiers!$F$7="",0,IF(ISNUMBER(SEARCH(Classifiers!$F$7,E99)),1,0))+IF(Classifiers!$G$7="",0,IF(ISNUMBER(SEARCH(Classifiers!$G$7,E99)),1,0)))&gt;0,1,0))</f>
        <v/>
      </c>
      <c r="M99" s="12">
        <f>IF(H99&lt;&gt;1,0,IF((IF(Classifiers!$B$8="",0,IF(ISNUMBER(SEARCH(Classifiers!$B$8,E99)),1,0))+IF(Classifiers!$C$8="",0,IF(ISNUMBER(SEARCH(Classifiers!$C$8,E99)),1,0))+IF(Classifiers!$D$8="",0,IF(ISNUMBER(SEARCH(Classifiers!$D$8,E99)),1,0))+IF(Classifiers!$E$8="",0,IF(ISNUMBER(SEARCH(Classifiers!$E$8,E99)),1,0))+IF(Classifiers!$F$8="",0,IF(ISNUMBER(SEARCH(Classifiers!$F$8,E99)),1,0))+IF(Classifiers!$G$8="",0,IF(ISNUMBER(SEARCH(Classifiers!$G$8,E99)),1,0)))&gt;0,1,0))</f>
        <v/>
      </c>
      <c r="N99" s="12">
        <f>IF(H99&lt;&gt;1,0,IF((IF(Classifiers!$B$9="",0,IF(ISNUMBER(SEARCH(Classifiers!$B$9,E99)),1,0))+IF(Classifiers!$C$9="",0,IF(ISNUMBER(SEARCH(Classifiers!$C$9,E99)),1,0))+IF(Classifiers!$D$9="",0,IF(ISNUMBER(SEARCH(Classifiers!$D$9,E99)),1,0))+IF(Classifiers!$E$9="",0,IF(ISNUMBER(SEARCH(Classifiers!$E$9,E99)),1,0))+IF(Classifiers!$F$9="",0,IF(ISNUMBER(SEARCH(Classifiers!$F$9,E99)),1,0))+IF(Classifiers!$G$9="",0,IF(ISNUMBER(SEARCH(Classifiers!$G$9,E99)),1,0)))&gt;0,1,0))</f>
        <v/>
      </c>
      <c r="O99" s="12">
        <f>IF(H99&lt;&gt;1,0,IF((IF(Classifiers!$B$10="",0,IF(ISNUMBER(SEARCH(Classifiers!$B$10,E99)),1,0))+IF(Classifiers!$C$10="",0,IF(ISNUMBER(SEARCH(Classifiers!$C$10,E99)),1,0))+IF(Classifiers!$D$10="",0,IF(ISNUMBER(SEARCH(Classifiers!$D$10,E99)),1,0))+IF(Classifiers!$E$10="",0,IF(ISNUMBER(SEARCH(Classifiers!$E$10,E99)),1,0))+IF(Classifiers!$F$10="",0,IF(ISNUMBER(SEARCH(Classifiers!$F$10,E99)),1,0))+IF(Classifiers!$G$10="",0,IF(ISNUMBER(SEARCH(Classifiers!$G$10,E99)),1,0)))&gt;0,1,0))</f>
        <v/>
      </c>
      <c r="P99" s="12">
        <f>IF(H99&lt;&gt;1,0,IF((IF(Classifiers!$B$11="",0,IF(ISNUMBER(SEARCH(Classifiers!$B$11,E99)),1,0))+IF(Classifiers!$C$11="",0,IF(ISNUMBER(SEARCH(Classifiers!$C$11,E99)),1,0))+IF(Classifiers!$D$11="",0,IF(ISNUMBER(SEARCH(Classifiers!$D$11,E99)),1,0))+IF(Classifiers!$E$11="",0,IF(ISNUMBER(SEARCH(Classifiers!$E$11,E99)),1,0))+IF(Classifiers!$F$11="",0,IF(ISNUMBER(SEARCH(Classifiers!$F$11,E99)),1,0))+IF(Classifiers!$G$11="",0,IF(ISNUMBER(SEARCH(Classifiers!$G$11,E99)),1,0)))&gt;0,1,0))</f>
        <v/>
      </c>
      <c r="Q99" s="12">
        <f>IF(H99&lt;&gt;1,0,IF((IF(Classifiers!$B$12="",0,IF(ISNUMBER(SEARCH(Classifiers!$B$12,E99)),1,0))+IF(Classifiers!$C$12="",0,IF(ISNUMBER(SEARCH(Classifiers!$C$12,E99)),1,0))+IF(Classifiers!$D$12="",0,IF(ISNUMBER(SEARCH(Classifiers!$D$12,E99)),1,0))+IF(Classifiers!$E$12="",0,IF(ISNUMBER(SEARCH(Classifiers!$E$12,E99)),1,0))+IF(Classifiers!$F$12="",0,IF(ISNUMBER(SEARCH(Classifiers!$F$12,E99)),1,0))+IF(Classifiers!$G$12="",0,IF(ISNUMBER(SEARCH(Classifiers!$G$12,E99)),1,0)))&gt;0,1,0))</f>
        <v/>
      </c>
      <c r="R99" s="12">
        <f>IF(H99&lt;&gt;1,0,IF((IF(Classifiers!$B$13="",0,IF(ISNUMBER(SEARCH(Classifiers!$B$13,E99)),1,0))+IF(Classifiers!$C$13="",0,IF(ISNUMBER(SEARCH(Classifiers!$C$13,E99)),1,0))+IF(Classifiers!$D$13="",0,IF(ISNUMBER(SEARCH(Classifiers!$D$13,E99)),1,0))+IF(Classifiers!$E$13="",0,IF(ISNUMBER(SEARCH(Classifiers!$E$13,E99)),1,0))+IF(Classifiers!$F$13="",0,IF(ISNUMBER(SEARCH(Classifiers!$F$13,E99)),1,0))+IF(Classifiers!$G$13="",0,IF(ISNUMBER(SEARCH(Classifiers!$G$13,E99)),1,0)))&gt;0,1,0))</f>
        <v/>
      </c>
      <c r="S99" s="12">
        <f>IF(H99&lt;&gt;1,0,IF((IF(Classifiers!$B$14="",0,IF(ISNUMBER(SEARCH(Classifiers!$B$14,E99)),1,0))+IF(Classifiers!$C$14="",0,IF(ISNUMBER(SEARCH(Classifiers!$C$14,E99)),1,0))+IF(Classifiers!$D$14="",0,IF(ISNUMBER(SEARCH(Classifiers!$D$14,E99)),1,0))+IF(Classifiers!$E$14="",0,IF(ISNUMBER(SEARCH(Classifiers!$E$14,E99)),1,0))+IF(Classifiers!$F$14="",0,IF(ISNUMBER(SEARCH(Classifiers!$F$14,E99)),1,0))+IF(Classifiers!$G$14="",0,IF(ISNUMBER(SEARCH(Classifiers!$G$14,E99)),1,0)))&gt;0,1,0))</f>
        <v/>
      </c>
      <c r="T99" s="12">
        <f>IF(H99&lt;&gt;1,0,IF((IF(Classifiers!$B$15="",0,IF(ISNUMBER(SEARCH(Classifiers!$B$15,E99)),1,0))+IF(Classifiers!$C$15="",0,IF(ISNUMBER(SEARCH(Classifiers!$C$15,E99)),1,0))+IF(Classifiers!$D$15="",0,IF(ISNUMBER(SEARCH(Classifiers!$D$15,E99)),1,0))+IF(Classifiers!$E$15="",0,IF(ISNUMBER(SEARCH(Classifiers!$E$15,E99)),1,0))+IF(Classifiers!$F$15="",0,IF(ISNUMBER(SEARCH(Classifiers!$F$15,E99)),1,0))+IF(Classifiers!$G$15="",0,IF(ISNUMBER(SEARCH(Classifiers!$G$15,E99)),1,0)))&gt;0,1,0))</f>
        <v/>
      </c>
      <c r="U99" s="12">
        <f>IF(H99&lt;&gt;1,0,IF((IF(Classifiers!$B$16="",0,IF(ISNUMBER(SEARCH(Classifiers!$B$16,E99)),1,0))+IF(Classifiers!$C$16="",0,IF(ISNUMBER(SEARCH(Classifiers!$C$16,E99)),1,0))+IF(Classifiers!$D$16="",0,IF(ISNUMBER(SEARCH(Classifiers!$D$16,E99)),1,0))+IF(Classifiers!$E$16="",0,IF(ISNUMBER(SEARCH(Classifiers!$E$16,E99)),1,0))+IF(Classifiers!$F$16="",0,IF(ISNUMBER(SEARCH(Classifiers!$F$16,E99)),1,0))+IF(Classifiers!$G$16="",0,IF(ISNUMBER(SEARCH(Classifiers!$G$16,E99)),1,0)))&gt;0,1,0))</f>
        <v/>
      </c>
      <c r="V99" s="12">
        <f>IF(H99&lt;&gt;1,0,IF((IF(Classifiers!$B$17="",0,IF(ISNUMBER(SEARCH(Classifiers!$B$17,E99)),1,0))+IF(Classifiers!$C$17="",0,IF(ISNUMBER(SEARCH(Classifiers!$C$17,E99)),1,0))+IF(Classifiers!$D$17="",0,IF(ISNUMBER(SEARCH(Classifiers!$D$17,E99)),1,0))+IF(Classifiers!$E$17="",0,IF(ISNUMBER(SEARCH(Classifiers!$E$17,E99)),1,0))+IF(Classifiers!$F$17="",0,IF(ISNUMBER(SEARCH(Classifiers!$F$17,E99)),1,0))+IF(Classifiers!$G$17="",0,IF(ISNUMBER(SEARCH(Classifiers!$G$17,E99)),1,0)))&gt;0,1,0))</f>
        <v/>
      </c>
      <c r="W99" s="12">
        <f>IF(H99&lt;&gt;1,0,IF((IF(Classifiers!$B$18="",0,IF(ISNUMBER(SEARCH(Classifiers!$B$18,E99)),1,0))+IF(Classifiers!$C$18="",0,IF(ISNUMBER(SEARCH(Classifiers!$C$18,E99)),1,0))+IF(Classifiers!$D$18="",0,IF(ISNUMBER(SEARCH(Classifiers!$D$18,E99)),1,0))+IF(Classifiers!$E$18="",0,IF(ISNUMBER(SEARCH(Classifiers!$E$18,E99)),1,0))+IF(Classifiers!$F$18="",0,IF(ISNUMBER(SEARCH(Classifiers!$F$18,E99)),1,0))+IF(Classifiers!$G$18="",0,IF(ISNUMBER(SEARCH(Classifiers!$G$18,E99)),1,0)))&gt;0,1,0))</f>
        <v/>
      </c>
    </row>
    <row r="100">
      <c r="A100" s="8" t="n"/>
      <c r="B100" s="11" t="n"/>
      <c r="C100" s="6">
        <f>IF(A100="","",TRIM(RIGHT(SUBSTITUTE(A100,"/",REPT(" ",250)),250)))</f>
        <v/>
      </c>
      <c r="D100" s="6">
        <f>IF(C100="","",IF(ISNUMBER(SEARCH(".",C100)),LOWER("."&amp;TRIM(RIGHT(SUBSTITUTE(C100,".",REPT(" ",250)),250))),""))</f>
        <v/>
      </c>
      <c r="E100" s="6">
        <f>IF(C100="","",TRIM(SUBSTITUTE(SUBSTITUTE(SUBSTITUTE(SUBSTITUTE(SUBSTITUTE(SUBSTITUTE(SUBSTITUTE(SUBSTITUTE(SUBSTITUTE(SUBSTITUTE(SUBSTITUTE(SUBSTITUTE(SUBSTITUTE(SUBSTITUTE(SUBSTITUTE(SUBSTITUTE(SUBSTITUTE(SUBSTITUTE(SUBSTITUTE(SUBSTITUTE(LOWER(LEFT(C100,LEN(C100)-LEN(D100))),"_"," "),"-"," "),"."," "),","," "),"("," "),")"," "),"["," "),"]"," "),"&amp;"," "),"+"," "),"@"," "),"#"," "),"!"," "),"'"," "),"/"," "),":"," "),";"," "),"="," "),"~"," "),"%"," ")))</f>
        <v/>
      </c>
      <c r="F100" s="6">
        <f>IF(C100="","",IF(COUNTIF(Classifiers!$A$23:$A$40,D100)&gt;0,1,0))</f>
        <v/>
      </c>
      <c r="G100" s="6">
        <f>IF(C100="","",IF(COUNTIF(Classifiers!$C$23:$C$30,D100)&gt;0,IF((IF(ISNUMBER(SEARCH(Classifiers!$E$23,E100)),1,0)+IF(ISNUMBER(SEARCH(Classifiers!$E$24,E100)),1,0)+IF(ISNUMBER(SEARCH(Classifiers!$E$25,E100)),1,0)+IF(ISNUMBER(SEARCH(Classifiers!$E$26,E100)),1,0)+IF(ISNUMBER(SEARCH(Classifiers!$E$27,E100)),1,0)+IF(ISNUMBER(SEARCH(Classifiers!$E$28,E100)),1,0)+IF(ISNUMBER(SEARCH(Classifiers!$E$29,E100)),1,0)+IF(ISNUMBER(SEARCH(Classifiers!$E$30,E100)),1,0))&gt;0,1,0),0))</f>
        <v/>
      </c>
      <c r="H100" s="6">
        <f>IF(C100="","",IF(OR(LEFT(C100,1)=".",AND(F100=0,G100=0)),0,1))</f>
        <v/>
      </c>
      <c r="I100" s="6">
        <f>IF(H100&lt;&gt;1,"",IF(SUM(J100:W100)=0,"unclassified",INDEX(Classifiers!$A$5:$A$18,MATCH(1,J100:W100,0),1)))</f>
        <v/>
      </c>
      <c r="J100" s="12">
        <f>IF(H100&lt;&gt;1,0,IF((IF(Classifiers!$B$5="",0,IF(ISNUMBER(SEARCH(Classifiers!$B$5,E100)),1,0))+IF(Classifiers!$C$5="",0,IF(ISNUMBER(SEARCH(Classifiers!$C$5,E100)),1,0))+IF(Classifiers!$D$5="",0,IF(ISNUMBER(SEARCH(Classifiers!$D$5,E100)),1,0))+IF(Classifiers!$E$5="",0,IF(ISNUMBER(SEARCH(Classifiers!$E$5,E100)),1,0))+IF(Classifiers!$F$5="",0,IF(ISNUMBER(SEARCH(Classifiers!$F$5,E100)),1,0))+IF(Classifiers!$G$5="",0,IF(ISNUMBER(SEARCH(Classifiers!$G$5,E100)),1,0)))&gt;0,1,0))</f>
        <v/>
      </c>
      <c r="K100" s="12">
        <f>IF(H100&lt;&gt;1,0,IF((IF(Classifiers!$B$6="",0,IF(ISNUMBER(SEARCH(Classifiers!$B$6,E100)),1,0))+IF(Classifiers!$C$6="",0,IF(ISNUMBER(SEARCH(Classifiers!$C$6,E100)),1,0))+IF(Classifiers!$D$6="",0,IF(ISNUMBER(SEARCH(Classifiers!$D$6,E100)),1,0))+IF(Classifiers!$E$6="",0,IF(ISNUMBER(SEARCH(Classifiers!$E$6,E100)),1,0))+IF(Classifiers!$F$6="",0,IF(ISNUMBER(SEARCH(Classifiers!$F$6,E100)),1,0))+IF(Classifiers!$G$6="",0,IF(ISNUMBER(SEARCH(Classifiers!$G$6,E100)),1,0)))&gt;0,1,0))</f>
        <v/>
      </c>
      <c r="L100" s="12">
        <f>IF(H100&lt;&gt;1,0,IF((IF(Classifiers!$B$7="",0,IF(ISNUMBER(SEARCH(Classifiers!$B$7,E100)),1,0))+IF(Classifiers!$C$7="",0,IF(ISNUMBER(SEARCH(Classifiers!$C$7,E100)),1,0))+IF(Classifiers!$D$7="",0,IF(ISNUMBER(SEARCH(Classifiers!$D$7,E100)),1,0))+IF(Classifiers!$E$7="",0,IF(ISNUMBER(SEARCH(Classifiers!$E$7,E100)),1,0))+IF(Classifiers!$F$7="",0,IF(ISNUMBER(SEARCH(Classifiers!$F$7,E100)),1,0))+IF(Classifiers!$G$7="",0,IF(ISNUMBER(SEARCH(Classifiers!$G$7,E100)),1,0)))&gt;0,1,0))</f>
        <v/>
      </c>
      <c r="M100" s="12">
        <f>IF(H100&lt;&gt;1,0,IF((IF(Classifiers!$B$8="",0,IF(ISNUMBER(SEARCH(Classifiers!$B$8,E100)),1,0))+IF(Classifiers!$C$8="",0,IF(ISNUMBER(SEARCH(Classifiers!$C$8,E100)),1,0))+IF(Classifiers!$D$8="",0,IF(ISNUMBER(SEARCH(Classifiers!$D$8,E100)),1,0))+IF(Classifiers!$E$8="",0,IF(ISNUMBER(SEARCH(Classifiers!$E$8,E100)),1,0))+IF(Classifiers!$F$8="",0,IF(ISNUMBER(SEARCH(Classifiers!$F$8,E100)),1,0))+IF(Classifiers!$G$8="",0,IF(ISNUMBER(SEARCH(Classifiers!$G$8,E100)),1,0)))&gt;0,1,0))</f>
        <v/>
      </c>
      <c r="N100" s="12">
        <f>IF(H100&lt;&gt;1,0,IF((IF(Classifiers!$B$9="",0,IF(ISNUMBER(SEARCH(Classifiers!$B$9,E100)),1,0))+IF(Classifiers!$C$9="",0,IF(ISNUMBER(SEARCH(Classifiers!$C$9,E100)),1,0))+IF(Classifiers!$D$9="",0,IF(ISNUMBER(SEARCH(Classifiers!$D$9,E100)),1,0))+IF(Classifiers!$E$9="",0,IF(ISNUMBER(SEARCH(Classifiers!$E$9,E100)),1,0))+IF(Classifiers!$F$9="",0,IF(ISNUMBER(SEARCH(Classifiers!$F$9,E100)),1,0))+IF(Classifiers!$G$9="",0,IF(ISNUMBER(SEARCH(Classifiers!$G$9,E100)),1,0)))&gt;0,1,0))</f>
        <v/>
      </c>
      <c r="O100" s="12">
        <f>IF(H100&lt;&gt;1,0,IF((IF(Classifiers!$B$10="",0,IF(ISNUMBER(SEARCH(Classifiers!$B$10,E100)),1,0))+IF(Classifiers!$C$10="",0,IF(ISNUMBER(SEARCH(Classifiers!$C$10,E100)),1,0))+IF(Classifiers!$D$10="",0,IF(ISNUMBER(SEARCH(Classifiers!$D$10,E100)),1,0))+IF(Classifiers!$E$10="",0,IF(ISNUMBER(SEARCH(Classifiers!$E$10,E100)),1,0))+IF(Classifiers!$F$10="",0,IF(ISNUMBER(SEARCH(Classifiers!$F$10,E100)),1,0))+IF(Classifiers!$G$10="",0,IF(ISNUMBER(SEARCH(Classifiers!$G$10,E100)),1,0)))&gt;0,1,0))</f>
        <v/>
      </c>
      <c r="P100" s="12">
        <f>IF(H100&lt;&gt;1,0,IF((IF(Classifiers!$B$11="",0,IF(ISNUMBER(SEARCH(Classifiers!$B$11,E100)),1,0))+IF(Classifiers!$C$11="",0,IF(ISNUMBER(SEARCH(Classifiers!$C$11,E100)),1,0))+IF(Classifiers!$D$11="",0,IF(ISNUMBER(SEARCH(Classifiers!$D$11,E100)),1,0))+IF(Classifiers!$E$11="",0,IF(ISNUMBER(SEARCH(Classifiers!$E$11,E100)),1,0))+IF(Classifiers!$F$11="",0,IF(ISNUMBER(SEARCH(Classifiers!$F$11,E100)),1,0))+IF(Classifiers!$G$11="",0,IF(ISNUMBER(SEARCH(Classifiers!$G$11,E100)),1,0)))&gt;0,1,0))</f>
        <v/>
      </c>
      <c r="Q100" s="12">
        <f>IF(H100&lt;&gt;1,0,IF((IF(Classifiers!$B$12="",0,IF(ISNUMBER(SEARCH(Classifiers!$B$12,E100)),1,0))+IF(Classifiers!$C$12="",0,IF(ISNUMBER(SEARCH(Classifiers!$C$12,E100)),1,0))+IF(Classifiers!$D$12="",0,IF(ISNUMBER(SEARCH(Classifiers!$D$12,E100)),1,0))+IF(Classifiers!$E$12="",0,IF(ISNUMBER(SEARCH(Classifiers!$E$12,E100)),1,0))+IF(Classifiers!$F$12="",0,IF(ISNUMBER(SEARCH(Classifiers!$F$12,E100)),1,0))+IF(Classifiers!$G$12="",0,IF(ISNUMBER(SEARCH(Classifiers!$G$12,E100)),1,0)))&gt;0,1,0))</f>
        <v/>
      </c>
      <c r="R100" s="12">
        <f>IF(H100&lt;&gt;1,0,IF((IF(Classifiers!$B$13="",0,IF(ISNUMBER(SEARCH(Classifiers!$B$13,E100)),1,0))+IF(Classifiers!$C$13="",0,IF(ISNUMBER(SEARCH(Classifiers!$C$13,E100)),1,0))+IF(Classifiers!$D$13="",0,IF(ISNUMBER(SEARCH(Classifiers!$D$13,E100)),1,0))+IF(Classifiers!$E$13="",0,IF(ISNUMBER(SEARCH(Classifiers!$E$13,E100)),1,0))+IF(Classifiers!$F$13="",0,IF(ISNUMBER(SEARCH(Classifiers!$F$13,E100)),1,0))+IF(Classifiers!$G$13="",0,IF(ISNUMBER(SEARCH(Classifiers!$G$13,E100)),1,0)))&gt;0,1,0))</f>
        <v/>
      </c>
      <c r="S100" s="12">
        <f>IF(H100&lt;&gt;1,0,IF((IF(Classifiers!$B$14="",0,IF(ISNUMBER(SEARCH(Classifiers!$B$14,E100)),1,0))+IF(Classifiers!$C$14="",0,IF(ISNUMBER(SEARCH(Classifiers!$C$14,E100)),1,0))+IF(Classifiers!$D$14="",0,IF(ISNUMBER(SEARCH(Classifiers!$D$14,E100)),1,0))+IF(Classifiers!$E$14="",0,IF(ISNUMBER(SEARCH(Classifiers!$E$14,E100)),1,0))+IF(Classifiers!$F$14="",0,IF(ISNUMBER(SEARCH(Classifiers!$F$14,E100)),1,0))+IF(Classifiers!$G$14="",0,IF(ISNUMBER(SEARCH(Classifiers!$G$14,E100)),1,0)))&gt;0,1,0))</f>
        <v/>
      </c>
      <c r="T100" s="12">
        <f>IF(H100&lt;&gt;1,0,IF((IF(Classifiers!$B$15="",0,IF(ISNUMBER(SEARCH(Classifiers!$B$15,E100)),1,0))+IF(Classifiers!$C$15="",0,IF(ISNUMBER(SEARCH(Classifiers!$C$15,E100)),1,0))+IF(Classifiers!$D$15="",0,IF(ISNUMBER(SEARCH(Classifiers!$D$15,E100)),1,0))+IF(Classifiers!$E$15="",0,IF(ISNUMBER(SEARCH(Classifiers!$E$15,E100)),1,0))+IF(Classifiers!$F$15="",0,IF(ISNUMBER(SEARCH(Classifiers!$F$15,E100)),1,0))+IF(Classifiers!$G$15="",0,IF(ISNUMBER(SEARCH(Classifiers!$G$15,E100)),1,0)))&gt;0,1,0))</f>
        <v/>
      </c>
      <c r="U100" s="12">
        <f>IF(H100&lt;&gt;1,0,IF((IF(Classifiers!$B$16="",0,IF(ISNUMBER(SEARCH(Classifiers!$B$16,E100)),1,0))+IF(Classifiers!$C$16="",0,IF(ISNUMBER(SEARCH(Classifiers!$C$16,E100)),1,0))+IF(Classifiers!$D$16="",0,IF(ISNUMBER(SEARCH(Classifiers!$D$16,E100)),1,0))+IF(Classifiers!$E$16="",0,IF(ISNUMBER(SEARCH(Classifiers!$E$16,E100)),1,0))+IF(Classifiers!$F$16="",0,IF(ISNUMBER(SEARCH(Classifiers!$F$16,E100)),1,0))+IF(Classifiers!$G$16="",0,IF(ISNUMBER(SEARCH(Classifiers!$G$16,E100)),1,0)))&gt;0,1,0))</f>
        <v/>
      </c>
      <c r="V100" s="12">
        <f>IF(H100&lt;&gt;1,0,IF((IF(Classifiers!$B$17="",0,IF(ISNUMBER(SEARCH(Classifiers!$B$17,E100)),1,0))+IF(Classifiers!$C$17="",0,IF(ISNUMBER(SEARCH(Classifiers!$C$17,E100)),1,0))+IF(Classifiers!$D$17="",0,IF(ISNUMBER(SEARCH(Classifiers!$D$17,E100)),1,0))+IF(Classifiers!$E$17="",0,IF(ISNUMBER(SEARCH(Classifiers!$E$17,E100)),1,0))+IF(Classifiers!$F$17="",0,IF(ISNUMBER(SEARCH(Classifiers!$F$17,E100)),1,0))+IF(Classifiers!$G$17="",0,IF(ISNUMBER(SEARCH(Classifiers!$G$17,E100)),1,0)))&gt;0,1,0))</f>
        <v/>
      </c>
      <c r="W100" s="12">
        <f>IF(H100&lt;&gt;1,0,IF((IF(Classifiers!$B$18="",0,IF(ISNUMBER(SEARCH(Classifiers!$B$18,E100)),1,0))+IF(Classifiers!$C$18="",0,IF(ISNUMBER(SEARCH(Classifiers!$C$18,E100)),1,0))+IF(Classifiers!$D$18="",0,IF(ISNUMBER(SEARCH(Classifiers!$D$18,E100)),1,0))+IF(Classifiers!$E$18="",0,IF(ISNUMBER(SEARCH(Classifiers!$E$18,E100)),1,0))+IF(Classifiers!$F$18="",0,IF(ISNUMBER(SEARCH(Classifiers!$F$18,E100)),1,0))+IF(Classifiers!$G$18="",0,IF(ISNUMBER(SEARCH(Classifiers!$G$18,E100)),1,0)))&gt;0,1,0))</f>
        <v/>
      </c>
    </row>
    <row r="101">
      <c r="A101" s="8" t="n"/>
      <c r="B101" s="11" t="n"/>
      <c r="C101" s="6">
        <f>IF(A101="","",TRIM(RIGHT(SUBSTITUTE(A101,"/",REPT(" ",250)),250)))</f>
        <v/>
      </c>
      <c r="D101" s="6">
        <f>IF(C101="","",IF(ISNUMBER(SEARCH(".",C101)),LOWER("."&amp;TRIM(RIGHT(SUBSTITUTE(C101,".",REPT(" ",250)),250))),""))</f>
        <v/>
      </c>
      <c r="E101" s="6">
        <f>IF(C101="","",TRIM(SUBSTITUTE(SUBSTITUTE(SUBSTITUTE(SUBSTITUTE(SUBSTITUTE(SUBSTITUTE(SUBSTITUTE(SUBSTITUTE(SUBSTITUTE(SUBSTITUTE(SUBSTITUTE(SUBSTITUTE(SUBSTITUTE(SUBSTITUTE(SUBSTITUTE(SUBSTITUTE(SUBSTITUTE(SUBSTITUTE(SUBSTITUTE(SUBSTITUTE(LOWER(LEFT(C101,LEN(C101)-LEN(D101))),"_"," "),"-"," "),"."," "),","," "),"("," "),")"," "),"["," "),"]"," "),"&amp;"," "),"+"," "),"@"," "),"#"," "),"!"," "),"'"," "),"/"," "),":"," "),";"," "),"="," "),"~"," "),"%"," ")))</f>
        <v/>
      </c>
      <c r="F101" s="6">
        <f>IF(C101="","",IF(COUNTIF(Classifiers!$A$23:$A$40,D101)&gt;0,1,0))</f>
        <v/>
      </c>
      <c r="G101" s="6">
        <f>IF(C101="","",IF(COUNTIF(Classifiers!$C$23:$C$30,D101)&gt;0,IF((IF(ISNUMBER(SEARCH(Classifiers!$E$23,E101)),1,0)+IF(ISNUMBER(SEARCH(Classifiers!$E$24,E101)),1,0)+IF(ISNUMBER(SEARCH(Classifiers!$E$25,E101)),1,0)+IF(ISNUMBER(SEARCH(Classifiers!$E$26,E101)),1,0)+IF(ISNUMBER(SEARCH(Classifiers!$E$27,E101)),1,0)+IF(ISNUMBER(SEARCH(Classifiers!$E$28,E101)),1,0)+IF(ISNUMBER(SEARCH(Classifiers!$E$29,E101)),1,0)+IF(ISNUMBER(SEARCH(Classifiers!$E$30,E101)),1,0))&gt;0,1,0),0))</f>
        <v/>
      </c>
      <c r="H101" s="6">
        <f>IF(C101="","",IF(OR(LEFT(C101,1)=".",AND(F101=0,G101=0)),0,1))</f>
        <v/>
      </c>
      <c r="I101" s="6">
        <f>IF(H101&lt;&gt;1,"",IF(SUM(J101:W101)=0,"unclassified",INDEX(Classifiers!$A$5:$A$18,MATCH(1,J101:W101,0),1)))</f>
        <v/>
      </c>
      <c r="J101" s="12">
        <f>IF(H101&lt;&gt;1,0,IF((IF(Classifiers!$B$5="",0,IF(ISNUMBER(SEARCH(Classifiers!$B$5,E101)),1,0))+IF(Classifiers!$C$5="",0,IF(ISNUMBER(SEARCH(Classifiers!$C$5,E101)),1,0))+IF(Classifiers!$D$5="",0,IF(ISNUMBER(SEARCH(Classifiers!$D$5,E101)),1,0))+IF(Classifiers!$E$5="",0,IF(ISNUMBER(SEARCH(Classifiers!$E$5,E101)),1,0))+IF(Classifiers!$F$5="",0,IF(ISNUMBER(SEARCH(Classifiers!$F$5,E101)),1,0))+IF(Classifiers!$G$5="",0,IF(ISNUMBER(SEARCH(Classifiers!$G$5,E101)),1,0)))&gt;0,1,0))</f>
        <v/>
      </c>
      <c r="K101" s="12">
        <f>IF(H101&lt;&gt;1,0,IF((IF(Classifiers!$B$6="",0,IF(ISNUMBER(SEARCH(Classifiers!$B$6,E101)),1,0))+IF(Classifiers!$C$6="",0,IF(ISNUMBER(SEARCH(Classifiers!$C$6,E101)),1,0))+IF(Classifiers!$D$6="",0,IF(ISNUMBER(SEARCH(Classifiers!$D$6,E101)),1,0))+IF(Classifiers!$E$6="",0,IF(ISNUMBER(SEARCH(Classifiers!$E$6,E101)),1,0))+IF(Classifiers!$F$6="",0,IF(ISNUMBER(SEARCH(Classifiers!$F$6,E101)),1,0))+IF(Classifiers!$G$6="",0,IF(ISNUMBER(SEARCH(Classifiers!$G$6,E101)),1,0)))&gt;0,1,0))</f>
        <v/>
      </c>
      <c r="L101" s="12">
        <f>IF(H101&lt;&gt;1,0,IF((IF(Classifiers!$B$7="",0,IF(ISNUMBER(SEARCH(Classifiers!$B$7,E101)),1,0))+IF(Classifiers!$C$7="",0,IF(ISNUMBER(SEARCH(Classifiers!$C$7,E101)),1,0))+IF(Classifiers!$D$7="",0,IF(ISNUMBER(SEARCH(Classifiers!$D$7,E101)),1,0))+IF(Classifiers!$E$7="",0,IF(ISNUMBER(SEARCH(Classifiers!$E$7,E101)),1,0))+IF(Classifiers!$F$7="",0,IF(ISNUMBER(SEARCH(Classifiers!$F$7,E101)),1,0))+IF(Classifiers!$G$7="",0,IF(ISNUMBER(SEARCH(Classifiers!$G$7,E101)),1,0)))&gt;0,1,0))</f>
        <v/>
      </c>
      <c r="M101" s="12">
        <f>IF(H101&lt;&gt;1,0,IF((IF(Classifiers!$B$8="",0,IF(ISNUMBER(SEARCH(Classifiers!$B$8,E101)),1,0))+IF(Classifiers!$C$8="",0,IF(ISNUMBER(SEARCH(Classifiers!$C$8,E101)),1,0))+IF(Classifiers!$D$8="",0,IF(ISNUMBER(SEARCH(Classifiers!$D$8,E101)),1,0))+IF(Classifiers!$E$8="",0,IF(ISNUMBER(SEARCH(Classifiers!$E$8,E101)),1,0))+IF(Classifiers!$F$8="",0,IF(ISNUMBER(SEARCH(Classifiers!$F$8,E101)),1,0))+IF(Classifiers!$G$8="",0,IF(ISNUMBER(SEARCH(Classifiers!$G$8,E101)),1,0)))&gt;0,1,0))</f>
        <v/>
      </c>
      <c r="N101" s="12">
        <f>IF(H101&lt;&gt;1,0,IF((IF(Classifiers!$B$9="",0,IF(ISNUMBER(SEARCH(Classifiers!$B$9,E101)),1,0))+IF(Classifiers!$C$9="",0,IF(ISNUMBER(SEARCH(Classifiers!$C$9,E101)),1,0))+IF(Classifiers!$D$9="",0,IF(ISNUMBER(SEARCH(Classifiers!$D$9,E101)),1,0))+IF(Classifiers!$E$9="",0,IF(ISNUMBER(SEARCH(Classifiers!$E$9,E101)),1,0))+IF(Classifiers!$F$9="",0,IF(ISNUMBER(SEARCH(Classifiers!$F$9,E101)),1,0))+IF(Classifiers!$G$9="",0,IF(ISNUMBER(SEARCH(Classifiers!$G$9,E101)),1,0)))&gt;0,1,0))</f>
        <v/>
      </c>
      <c r="O101" s="12">
        <f>IF(H101&lt;&gt;1,0,IF((IF(Classifiers!$B$10="",0,IF(ISNUMBER(SEARCH(Classifiers!$B$10,E101)),1,0))+IF(Classifiers!$C$10="",0,IF(ISNUMBER(SEARCH(Classifiers!$C$10,E101)),1,0))+IF(Classifiers!$D$10="",0,IF(ISNUMBER(SEARCH(Classifiers!$D$10,E101)),1,0))+IF(Classifiers!$E$10="",0,IF(ISNUMBER(SEARCH(Classifiers!$E$10,E101)),1,0))+IF(Classifiers!$F$10="",0,IF(ISNUMBER(SEARCH(Classifiers!$F$10,E101)),1,0))+IF(Classifiers!$G$10="",0,IF(ISNUMBER(SEARCH(Classifiers!$G$10,E101)),1,0)))&gt;0,1,0))</f>
        <v/>
      </c>
      <c r="P101" s="12">
        <f>IF(H101&lt;&gt;1,0,IF((IF(Classifiers!$B$11="",0,IF(ISNUMBER(SEARCH(Classifiers!$B$11,E101)),1,0))+IF(Classifiers!$C$11="",0,IF(ISNUMBER(SEARCH(Classifiers!$C$11,E101)),1,0))+IF(Classifiers!$D$11="",0,IF(ISNUMBER(SEARCH(Classifiers!$D$11,E101)),1,0))+IF(Classifiers!$E$11="",0,IF(ISNUMBER(SEARCH(Classifiers!$E$11,E101)),1,0))+IF(Classifiers!$F$11="",0,IF(ISNUMBER(SEARCH(Classifiers!$F$11,E101)),1,0))+IF(Classifiers!$G$11="",0,IF(ISNUMBER(SEARCH(Classifiers!$G$11,E101)),1,0)))&gt;0,1,0))</f>
        <v/>
      </c>
      <c r="Q101" s="12">
        <f>IF(H101&lt;&gt;1,0,IF((IF(Classifiers!$B$12="",0,IF(ISNUMBER(SEARCH(Classifiers!$B$12,E101)),1,0))+IF(Classifiers!$C$12="",0,IF(ISNUMBER(SEARCH(Classifiers!$C$12,E101)),1,0))+IF(Classifiers!$D$12="",0,IF(ISNUMBER(SEARCH(Classifiers!$D$12,E101)),1,0))+IF(Classifiers!$E$12="",0,IF(ISNUMBER(SEARCH(Classifiers!$E$12,E101)),1,0))+IF(Classifiers!$F$12="",0,IF(ISNUMBER(SEARCH(Classifiers!$F$12,E101)),1,0))+IF(Classifiers!$G$12="",0,IF(ISNUMBER(SEARCH(Classifiers!$G$12,E101)),1,0)))&gt;0,1,0))</f>
        <v/>
      </c>
      <c r="R101" s="12">
        <f>IF(H101&lt;&gt;1,0,IF((IF(Classifiers!$B$13="",0,IF(ISNUMBER(SEARCH(Classifiers!$B$13,E101)),1,0))+IF(Classifiers!$C$13="",0,IF(ISNUMBER(SEARCH(Classifiers!$C$13,E101)),1,0))+IF(Classifiers!$D$13="",0,IF(ISNUMBER(SEARCH(Classifiers!$D$13,E101)),1,0))+IF(Classifiers!$E$13="",0,IF(ISNUMBER(SEARCH(Classifiers!$E$13,E101)),1,0))+IF(Classifiers!$F$13="",0,IF(ISNUMBER(SEARCH(Classifiers!$F$13,E101)),1,0))+IF(Classifiers!$G$13="",0,IF(ISNUMBER(SEARCH(Classifiers!$G$13,E101)),1,0)))&gt;0,1,0))</f>
        <v/>
      </c>
      <c r="S101" s="12">
        <f>IF(H101&lt;&gt;1,0,IF((IF(Classifiers!$B$14="",0,IF(ISNUMBER(SEARCH(Classifiers!$B$14,E101)),1,0))+IF(Classifiers!$C$14="",0,IF(ISNUMBER(SEARCH(Classifiers!$C$14,E101)),1,0))+IF(Classifiers!$D$14="",0,IF(ISNUMBER(SEARCH(Classifiers!$D$14,E101)),1,0))+IF(Classifiers!$E$14="",0,IF(ISNUMBER(SEARCH(Classifiers!$E$14,E101)),1,0))+IF(Classifiers!$F$14="",0,IF(ISNUMBER(SEARCH(Classifiers!$F$14,E101)),1,0))+IF(Classifiers!$G$14="",0,IF(ISNUMBER(SEARCH(Classifiers!$G$14,E101)),1,0)))&gt;0,1,0))</f>
        <v/>
      </c>
      <c r="T101" s="12">
        <f>IF(H101&lt;&gt;1,0,IF((IF(Classifiers!$B$15="",0,IF(ISNUMBER(SEARCH(Classifiers!$B$15,E101)),1,0))+IF(Classifiers!$C$15="",0,IF(ISNUMBER(SEARCH(Classifiers!$C$15,E101)),1,0))+IF(Classifiers!$D$15="",0,IF(ISNUMBER(SEARCH(Classifiers!$D$15,E101)),1,0))+IF(Classifiers!$E$15="",0,IF(ISNUMBER(SEARCH(Classifiers!$E$15,E101)),1,0))+IF(Classifiers!$F$15="",0,IF(ISNUMBER(SEARCH(Classifiers!$F$15,E101)),1,0))+IF(Classifiers!$G$15="",0,IF(ISNUMBER(SEARCH(Classifiers!$G$15,E101)),1,0)))&gt;0,1,0))</f>
        <v/>
      </c>
      <c r="U101" s="12">
        <f>IF(H101&lt;&gt;1,0,IF((IF(Classifiers!$B$16="",0,IF(ISNUMBER(SEARCH(Classifiers!$B$16,E101)),1,0))+IF(Classifiers!$C$16="",0,IF(ISNUMBER(SEARCH(Classifiers!$C$16,E101)),1,0))+IF(Classifiers!$D$16="",0,IF(ISNUMBER(SEARCH(Classifiers!$D$16,E101)),1,0))+IF(Classifiers!$E$16="",0,IF(ISNUMBER(SEARCH(Classifiers!$E$16,E101)),1,0))+IF(Classifiers!$F$16="",0,IF(ISNUMBER(SEARCH(Classifiers!$F$16,E101)),1,0))+IF(Classifiers!$G$16="",0,IF(ISNUMBER(SEARCH(Classifiers!$G$16,E101)),1,0)))&gt;0,1,0))</f>
        <v/>
      </c>
      <c r="V101" s="12">
        <f>IF(H101&lt;&gt;1,0,IF((IF(Classifiers!$B$17="",0,IF(ISNUMBER(SEARCH(Classifiers!$B$17,E101)),1,0))+IF(Classifiers!$C$17="",0,IF(ISNUMBER(SEARCH(Classifiers!$C$17,E101)),1,0))+IF(Classifiers!$D$17="",0,IF(ISNUMBER(SEARCH(Classifiers!$D$17,E101)),1,0))+IF(Classifiers!$E$17="",0,IF(ISNUMBER(SEARCH(Classifiers!$E$17,E101)),1,0))+IF(Classifiers!$F$17="",0,IF(ISNUMBER(SEARCH(Classifiers!$F$17,E101)),1,0))+IF(Classifiers!$G$17="",0,IF(ISNUMBER(SEARCH(Classifiers!$G$17,E101)),1,0)))&gt;0,1,0))</f>
        <v/>
      </c>
      <c r="W101" s="12">
        <f>IF(H101&lt;&gt;1,0,IF((IF(Classifiers!$B$18="",0,IF(ISNUMBER(SEARCH(Classifiers!$B$18,E101)),1,0))+IF(Classifiers!$C$18="",0,IF(ISNUMBER(SEARCH(Classifiers!$C$18,E101)),1,0))+IF(Classifiers!$D$18="",0,IF(ISNUMBER(SEARCH(Classifiers!$D$18,E101)),1,0))+IF(Classifiers!$E$18="",0,IF(ISNUMBER(SEARCH(Classifiers!$E$18,E101)),1,0))+IF(Classifiers!$F$18="",0,IF(ISNUMBER(SEARCH(Classifiers!$F$18,E101)),1,0))+IF(Classifiers!$G$18="",0,IF(ISNUMBER(SEARCH(Classifiers!$G$18,E101)),1,0)))&gt;0,1,0))</f>
        <v/>
      </c>
    </row>
    <row r="102">
      <c r="A102" s="8" t="n"/>
      <c r="B102" s="11" t="n"/>
      <c r="C102" s="6">
        <f>IF(A102="","",TRIM(RIGHT(SUBSTITUTE(A102,"/",REPT(" ",250)),250)))</f>
        <v/>
      </c>
      <c r="D102" s="6">
        <f>IF(C102="","",IF(ISNUMBER(SEARCH(".",C102)),LOWER("."&amp;TRIM(RIGHT(SUBSTITUTE(C102,".",REPT(" ",250)),250))),""))</f>
        <v/>
      </c>
      <c r="E102" s="6">
        <f>IF(C102="","",TRIM(SUBSTITUTE(SUBSTITUTE(SUBSTITUTE(SUBSTITUTE(SUBSTITUTE(SUBSTITUTE(SUBSTITUTE(SUBSTITUTE(SUBSTITUTE(SUBSTITUTE(SUBSTITUTE(SUBSTITUTE(SUBSTITUTE(SUBSTITUTE(SUBSTITUTE(SUBSTITUTE(SUBSTITUTE(SUBSTITUTE(SUBSTITUTE(SUBSTITUTE(LOWER(LEFT(C102,LEN(C102)-LEN(D102))),"_"," "),"-"," "),"."," "),","," "),"("," "),")"," "),"["," "),"]"," "),"&amp;"," "),"+"," "),"@"," "),"#"," "),"!"," "),"'"," "),"/"," "),":"," "),";"," "),"="," "),"~"," "),"%"," ")))</f>
        <v/>
      </c>
      <c r="F102" s="6">
        <f>IF(C102="","",IF(COUNTIF(Classifiers!$A$23:$A$40,D102)&gt;0,1,0))</f>
        <v/>
      </c>
      <c r="G102" s="6">
        <f>IF(C102="","",IF(COUNTIF(Classifiers!$C$23:$C$30,D102)&gt;0,IF((IF(ISNUMBER(SEARCH(Classifiers!$E$23,E102)),1,0)+IF(ISNUMBER(SEARCH(Classifiers!$E$24,E102)),1,0)+IF(ISNUMBER(SEARCH(Classifiers!$E$25,E102)),1,0)+IF(ISNUMBER(SEARCH(Classifiers!$E$26,E102)),1,0)+IF(ISNUMBER(SEARCH(Classifiers!$E$27,E102)),1,0)+IF(ISNUMBER(SEARCH(Classifiers!$E$28,E102)),1,0)+IF(ISNUMBER(SEARCH(Classifiers!$E$29,E102)),1,0)+IF(ISNUMBER(SEARCH(Classifiers!$E$30,E102)),1,0))&gt;0,1,0),0))</f>
        <v/>
      </c>
      <c r="H102" s="6">
        <f>IF(C102="","",IF(OR(LEFT(C102,1)=".",AND(F102=0,G102=0)),0,1))</f>
        <v/>
      </c>
      <c r="I102" s="6">
        <f>IF(H102&lt;&gt;1,"",IF(SUM(J102:W102)=0,"unclassified",INDEX(Classifiers!$A$5:$A$18,MATCH(1,J102:W102,0),1)))</f>
        <v/>
      </c>
      <c r="J102" s="12">
        <f>IF(H102&lt;&gt;1,0,IF((IF(Classifiers!$B$5="",0,IF(ISNUMBER(SEARCH(Classifiers!$B$5,E102)),1,0))+IF(Classifiers!$C$5="",0,IF(ISNUMBER(SEARCH(Classifiers!$C$5,E102)),1,0))+IF(Classifiers!$D$5="",0,IF(ISNUMBER(SEARCH(Classifiers!$D$5,E102)),1,0))+IF(Classifiers!$E$5="",0,IF(ISNUMBER(SEARCH(Classifiers!$E$5,E102)),1,0))+IF(Classifiers!$F$5="",0,IF(ISNUMBER(SEARCH(Classifiers!$F$5,E102)),1,0))+IF(Classifiers!$G$5="",0,IF(ISNUMBER(SEARCH(Classifiers!$G$5,E102)),1,0)))&gt;0,1,0))</f>
        <v/>
      </c>
      <c r="K102" s="12">
        <f>IF(H102&lt;&gt;1,0,IF((IF(Classifiers!$B$6="",0,IF(ISNUMBER(SEARCH(Classifiers!$B$6,E102)),1,0))+IF(Classifiers!$C$6="",0,IF(ISNUMBER(SEARCH(Classifiers!$C$6,E102)),1,0))+IF(Classifiers!$D$6="",0,IF(ISNUMBER(SEARCH(Classifiers!$D$6,E102)),1,0))+IF(Classifiers!$E$6="",0,IF(ISNUMBER(SEARCH(Classifiers!$E$6,E102)),1,0))+IF(Classifiers!$F$6="",0,IF(ISNUMBER(SEARCH(Classifiers!$F$6,E102)),1,0))+IF(Classifiers!$G$6="",0,IF(ISNUMBER(SEARCH(Classifiers!$G$6,E102)),1,0)))&gt;0,1,0))</f>
        <v/>
      </c>
      <c r="L102" s="12">
        <f>IF(H102&lt;&gt;1,0,IF((IF(Classifiers!$B$7="",0,IF(ISNUMBER(SEARCH(Classifiers!$B$7,E102)),1,0))+IF(Classifiers!$C$7="",0,IF(ISNUMBER(SEARCH(Classifiers!$C$7,E102)),1,0))+IF(Classifiers!$D$7="",0,IF(ISNUMBER(SEARCH(Classifiers!$D$7,E102)),1,0))+IF(Classifiers!$E$7="",0,IF(ISNUMBER(SEARCH(Classifiers!$E$7,E102)),1,0))+IF(Classifiers!$F$7="",0,IF(ISNUMBER(SEARCH(Classifiers!$F$7,E102)),1,0))+IF(Classifiers!$G$7="",0,IF(ISNUMBER(SEARCH(Classifiers!$G$7,E102)),1,0)))&gt;0,1,0))</f>
        <v/>
      </c>
      <c r="M102" s="12">
        <f>IF(H102&lt;&gt;1,0,IF((IF(Classifiers!$B$8="",0,IF(ISNUMBER(SEARCH(Classifiers!$B$8,E102)),1,0))+IF(Classifiers!$C$8="",0,IF(ISNUMBER(SEARCH(Classifiers!$C$8,E102)),1,0))+IF(Classifiers!$D$8="",0,IF(ISNUMBER(SEARCH(Classifiers!$D$8,E102)),1,0))+IF(Classifiers!$E$8="",0,IF(ISNUMBER(SEARCH(Classifiers!$E$8,E102)),1,0))+IF(Classifiers!$F$8="",0,IF(ISNUMBER(SEARCH(Classifiers!$F$8,E102)),1,0))+IF(Classifiers!$G$8="",0,IF(ISNUMBER(SEARCH(Classifiers!$G$8,E102)),1,0)))&gt;0,1,0))</f>
        <v/>
      </c>
      <c r="N102" s="12">
        <f>IF(H102&lt;&gt;1,0,IF((IF(Classifiers!$B$9="",0,IF(ISNUMBER(SEARCH(Classifiers!$B$9,E102)),1,0))+IF(Classifiers!$C$9="",0,IF(ISNUMBER(SEARCH(Classifiers!$C$9,E102)),1,0))+IF(Classifiers!$D$9="",0,IF(ISNUMBER(SEARCH(Classifiers!$D$9,E102)),1,0))+IF(Classifiers!$E$9="",0,IF(ISNUMBER(SEARCH(Classifiers!$E$9,E102)),1,0))+IF(Classifiers!$F$9="",0,IF(ISNUMBER(SEARCH(Classifiers!$F$9,E102)),1,0))+IF(Classifiers!$G$9="",0,IF(ISNUMBER(SEARCH(Classifiers!$G$9,E102)),1,0)))&gt;0,1,0))</f>
        <v/>
      </c>
      <c r="O102" s="12">
        <f>IF(H102&lt;&gt;1,0,IF((IF(Classifiers!$B$10="",0,IF(ISNUMBER(SEARCH(Classifiers!$B$10,E102)),1,0))+IF(Classifiers!$C$10="",0,IF(ISNUMBER(SEARCH(Classifiers!$C$10,E102)),1,0))+IF(Classifiers!$D$10="",0,IF(ISNUMBER(SEARCH(Classifiers!$D$10,E102)),1,0))+IF(Classifiers!$E$10="",0,IF(ISNUMBER(SEARCH(Classifiers!$E$10,E102)),1,0))+IF(Classifiers!$F$10="",0,IF(ISNUMBER(SEARCH(Classifiers!$F$10,E102)),1,0))+IF(Classifiers!$G$10="",0,IF(ISNUMBER(SEARCH(Classifiers!$G$10,E102)),1,0)))&gt;0,1,0))</f>
        <v/>
      </c>
      <c r="P102" s="12">
        <f>IF(H102&lt;&gt;1,0,IF((IF(Classifiers!$B$11="",0,IF(ISNUMBER(SEARCH(Classifiers!$B$11,E102)),1,0))+IF(Classifiers!$C$11="",0,IF(ISNUMBER(SEARCH(Classifiers!$C$11,E102)),1,0))+IF(Classifiers!$D$11="",0,IF(ISNUMBER(SEARCH(Classifiers!$D$11,E102)),1,0))+IF(Classifiers!$E$11="",0,IF(ISNUMBER(SEARCH(Classifiers!$E$11,E102)),1,0))+IF(Classifiers!$F$11="",0,IF(ISNUMBER(SEARCH(Classifiers!$F$11,E102)),1,0))+IF(Classifiers!$G$11="",0,IF(ISNUMBER(SEARCH(Classifiers!$G$11,E102)),1,0)))&gt;0,1,0))</f>
        <v/>
      </c>
      <c r="Q102" s="12">
        <f>IF(H102&lt;&gt;1,0,IF((IF(Classifiers!$B$12="",0,IF(ISNUMBER(SEARCH(Classifiers!$B$12,E102)),1,0))+IF(Classifiers!$C$12="",0,IF(ISNUMBER(SEARCH(Classifiers!$C$12,E102)),1,0))+IF(Classifiers!$D$12="",0,IF(ISNUMBER(SEARCH(Classifiers!$D$12,E102)),1,0))+IF(Classifiers!$E$12="",0,IF(ISNUMBER(SEARCH(Classifiers!$E$12,E102)),1,0))+IF(Classifiers!$F$12="",0,IF(ISNUMBER(SEARCH(Classifiers!$F$12,E102)),1,0))+IF(Classifiers!$G$12="",0,IF(ISNUMBER(SEARCH(Classifiers!$G$12,E102)),1,0)))&gt;0,1,0))</f>
        <v/>
      </c>
      <c r="R102" s="12">
        <f>IF(H102&lt;&gt;1,0,IF((IF(Classifiers!$B$13="",0,IF(ISNUMBER(SEARCH(Classifiers!$B$13,E102)),1,0))+IF(Classifiers!$C$13="",0,IF(ISNUMBER(SEARCH(Classifiers!$C$13,E102)),1,0))+IF(Classifiers!$D$13="",0,IF(ISNUMBER(SEARCH(Classifiers!$D$13,E102)),1,0))+IF(Classifiers!$E$13="",0,IF(ISNUMBER(SEARCH(Classifiers!$E$13,E102)),1,0))+IF(Classifiers!$F$13="",0,IF(ISNUMBER(SEARCH(Classifiers!$F$13,E102)),1,0))+IF(Classifiers!$G$13="",0,IF(ISNUMBER(SEARCH(Classifiers!$G$13,E102)),1,0)))&gt;0,1,0))</f>
        <v/>
      </c>
      <c r="S102" s="12">
        <f>IF(H102&lt;&gt;1,0,IF((IF(Classifiers!$B$14="",0,IF(ISNUMBER(SEARCH(Classifiers!$B$14,E102)),1,0))+IF(Classifiers!$C$14="",0,IF(ISNUMBER(SEARCH(Classifiers!$C$14,E102)),1,0))+IF(Classifiers!$D$14="",0,IF(ISNUMBER(SEARCH(Classifiers!$D$14,E102)),1,0))+IF(Classifiers!$E$14="",0,IF(ISNUMBER(SEARCH(Classifiers!$E$14,E102)),1,0))+IF(Classifiers!$F$14="",0,IF(ISNUMBER(SEARCH(Classifiers!$F$14,E102)),1,0))+IF(Classifiers!$G$14="",0,IF(ISNUMBER(SEARCH(Classifiers!$G$14,E102)),1,0)))&gt;0,1,0))</f>
        <v/>
      </c>
      <c r="T102" s="12">
        <f>IF(H102&lt;&gt;1,0,IF((IF(Classifiers!$B$15="",0,IF(ISNUMBER(SEARCH(Classifiers!$B$15,E102)),1,0))+IF(Classifiers!$C$15="",0,IF(ISNUMBER(SEARCH(Classifiers!$C$15,E102)),1,0))+IF(Classifiers!$D$15="",0,IF(ISNUMBER(SEARCH(Classifiers!$D$15,E102)),1,0))+IF(Classifiers!$E$15="",0,IF(ISNUMBER(SEARCH(Classifiers!$E$15,E102)),1,0))+IF(Classifiers!$F$15="",0,IF(ISNUMBER(SEARCH(Classifiers!$F$15,E102)),1,0))+IF(Classifiers!$G$15="",0,IF(ISNUMBER(SEARCH(Classifiers!$G$15,E102)),1,0)))&gt;0,1,0))</f>
        <v/>
      </c>
      <c r="U102" s="12">
        <f>IF(H102&lt;&gt;1,0,IF((IF(Classifiers!$B$16="",0,IF(ISNUMBER(SEARCH(Classifiers!$B$16,E102)),1,0))+IF(Classifiers!$C$16="",0,IF(ISNUMBER(SEARCH(Classifiers!$C$16,E102)),1,0))+IF(Classifiers!$D$16="",0,IF(ISNUMBER(SEARCH(Classifiers!$D$16,E102)),1,0))+IF(Classifiers!$E$16="",0,IF(ISNUMBER(SEARCH(Classifiers!$E$16,E102)),1,0))+IF(Classifiers!$F$16="",0,IF(ISNUMBER(SEARCH(Classifiers!$F$16,E102)),1,0))+IF(Classifiers!$G$16="",0,IF(ISNUMBER(SEARCH(Classifiers!$G$16,E102)),1,0)))&gt;0,1,0))</f>
        <v/>
      </c>
      <c r="V102" s="12">
        <f>IF(H102&lt;&gt;1,0,IF((IF(Classifiers!$B$17="",0,IF(ISNUMBER(SEARCH(Classifiers!$B$17,E102)),1,0))+IF(Classifiers!$C$17="",0,IF(ISNUMBER(SEARCH(Classifiers!$C$17,E102)),1,0))+IF(Classifiers!$D$17="",0,IF(ISNUMBER(SEARCH(Classifiers!$D$17,E102)),1,0))+IF(Classifiers!$E$17="",0,IF(ISNUMBER(SEARCH(Classifiers!$E$17,E102)),1,0))+IF(Classifiers!$F$17="",0,IF(ISNUMBER(SEARCH(Classifiers!$F$17,E102)),1,0))+IF(Classifiers!$G$17="",0,IF(ISNUMBER(SEARCH(Classifiers!$G$17,E102)),1,0)))&gt;0,1,0))</f>
        <v/>
      </c>
      <c r="W102" s="12">
        <f>IF(H102&lt;&gt;1,0,IF((IF(Classifiers!$B$18="",0,IF(ISNUMBER(SEARCH(Classifiers!$B$18,E102)),1,0))+IF(Classifiers!$C$18="",0,IF(ISNUMBER(SEARCH(Classifiers!$C$18,E102)),1,0))+IF(Classifiers!$D$18="",0,IF(ISNUMBER(SEARCH(Classifiers!$D$18,E102)),1,0))+IF(Classifiers!$E$18="",0,IF(ISNUMBER(SEARCH(Classifiers!$E$18,E102)),1,0))+IF(Classifiers!$F$18="",0,IF(ISNUMBER(SEARCH(Classifiers!$F$18,E102)),1,0))+IF(Classifiers!$G$18="",0,IF(ISNUMBER(SEARCH(Classifiers!$G$18,E102)),1,0)))&gt;0,1,0))</f>
        <v/>
      </c>
    </row>
    <row r="103">
      <c r="A103" s="8" t="n"/>
      <c r="B103" s="11" t="n"/>
      <c r="C103" s="6">
        <f>IF(A103="","",TRIM(RIGHT(SUBSTITUTE(A103,"/",REPT(" ",250)),250)))</f>
        <v/>
      </c>
      <c r="D103" s="6">
        <f>IF(C103="","",IF(ISNUMBER(SEARCH(".",C103)),LOWER("."&amp;TRIM(RIGHT(SUBSTITUTE(C103,".",REPT(" ",250)),250))),""))</f>
        <v/>
      </c>
      <c r="E103" s="6">
        <f>IF(C103="","",TRIM(SUBSTITUTE(SUBSTITUTE(SUBSTITUTE(SUBSTITUTE(SUBSTITUTE(SUBSTITUTE(SUBSTITUTE(SUBSTITUTE(SUBSTITUTE(SUBSTITUTE(SUBSTITUTE(SUBSTITUTE(SUBSTITUTE(SUBSTITUTE(SUBSTITUTE(SUBSTITUTE(SUBSTITUTE(SUBSTITUTE(SUBSTITUTE(SUBSTITUTE(LOWER(LEFT(C103,LEN(C103)-LEN(D103))),"_"," "),"-"," "),"."," "),","," "),"("," "),")"," "),"["," "),"]"," "),"&amp;"," "),"+"," "),"@"," "),"#"," "),"!"," "),"'"," "),"/"," "),":"," "),";"," "),"="," "),"~"," "),"%"," ")))</f>
        <v/>
      </c>
      <c r="F103" s="6">
        <f>IF(C103="","",IF(COUNTIF(Classifiers!$A$23:$A$40,D103)&gt;0,1,0))</f>
        <v/>
      </c>
      <c r="G103" s="6">
        <f>IF(C103="","",IF(COUNTIF(Classifiers!$C$23:$C$30,D103)&gt;0,IF((IF(ISNUMBER(SEARCH(Classifiers!$E$23,E103)),1,0)+IF(ISNUMBER(SEARCH(Classifiers!$E$24,E103)),1,0)+IF(ISNUMBER(SEARCH(Classifiers!$E$25,E103)),1,0)+IF(ISNUMBER(SEARCH(Classifiers!$E$26,E103)),1,0)+IF(ISNUMBER(SEARCH(Classifiers!$E$27,E103)),1,0)+IF(ISNUMBER(SEARCH(Classifiers!$E$28,E103)),1,0)+IF(ISNUMBER(SEARCH(Classifiers!$E$29,E103)),1,0)+IF(ISNUMBER(SEARCH(Classifiers!$E$30,E103)),1,0))&gt;0,1,0),0))</f>
        <v/>
      </c>
      <c r="H103" s="6">
        <f>IF(C103="","",IF(OR(LEFT(C103,1)=".",AND(F103=0,G103=0)),0,1))</f>
        <v/>
      </c>
      <c r="I103" s="6">
        <f>IF(H103&lt;&gt;1,"",IF(SUM(J103:W103)=0,"unclassified",INDEX(Classifiers!$A$5:$A$18,MATCH(1,J103:W103,0),1)))</f>
        <v/>
      </c>
      <c r="J103" s="12">
        <f>IF(H103&lt;&gt;1,0,IF((IF(Classifiers!$B$5="",0,IF(ISNUMBER(SEARCH(Classifiers!$B$5,E103)),1,0))+IF(Classifiers!$C$5="",0,IF(ISNUMBER(SEARCH(Classifiers!$C$5,E103)),1,0))+IF(Classifiers!$D$5="",0,IF(ISNUMBER(SEARCH(Classifiers!$D$5,E103)),1,0))+IF(Classifiers!$E$5="",0,IF(ISNUMBER(SEARCH(Classifiers!$E$5,E103)),1,0))+IF(Classifiers!$F$5="",0,IF(ISNUMBER(SEARCH(Classifiers!$F$5,E103)),1,0))+IF(Classifiers!$G$5="",0,IF(ISNUMBER(SEARCH(Classifiers!$G$5,E103)),1,0)))&gt;0,1,0))</f>
        <v/>
      </c>
      <c r="K103" s="12">
        <f>IF(H103&lt;&gt;1,0,IF((IF(Classifiers!$B$6="",0,IF(ISNUMBER(SEARCH(Classifiers!$B$6,E103)),1,0))+IF(Classifiers!$C$6="",0,IF(ISNUMBER(SEARCH(Classifiers!$C$6,E103)),1,0))+IF(Classifiers!$D$6="",0,IF(ISNUMBER(SEARCH(Classifiers!$D$6,E103)),1,0))+IF(Classifiers!$E$6="",0,IF(ISNUMBER(SEARCH(Classifiers!$E$6,E103)),1,0))+IF(Classifiers!$F$6="",0,IF(ISNUMBER(SEARCH(Classifiers!$F$6,E103)),1,0))+IF(Classifiers!$G$6="",0,IF(ISNUMBER(SEARCH(Classifiers!$G$6,E103)),1,0)))&gt;0,1,0))</f>
        <v/>
      </c>
      <c r="L103" s="12">
        <f>IF(H103&lt;&gt;1,0,IF((IF(Classifiers!$B$7="",0,IF(ISNUMBER(SEARCH(Classifiers!$B$7,E103)),1,0))+IF(Classifiers!$C$7="",0,IF(ISNUMBER(SEARCH(Classifiers!$C$7,E103)),1,0))+IF(Classifiers!$D$7="",0,IF(ISNUMBER(SEARCH(Classifiers!$D$7,E103)),1,0))+IF(Classifiers!$E$7="",0,IF(ISNUMBER(SEARCH(Classifiers!$E$7,E103)),1,0))+IF(Classifiers!$F$7="",0,IF(ISNUMBER(SEARCH(Classifiers!$F$7,E103)),1,0))+IF(Classifiers!$G$7="",0,IF(ISNUMBER(SEARCH(Classifiers!$G$7,E103)),1,0)))&gt;0,1,0))</f>
        <v/>
      </c>
      <c r="M103" s="12">
        <f>IF(H103&lt;&gt;1,0,IF((IF(Classifiers!$B$8="",0,IF(ISNUMBER(SEARCH(Classifiers!$B$8,E103)),1,0))+IF(Classifiers!$C$8="",0,IF(ISNUMBER(SEARCH(Classifiers!$C$8,E103)),1,0))+IF(Classifiers!$D$8="",0,IF(ISNUMBER(SEARCH(Classifiers!$D$8,E103)),1,0))+IF(Classifiers!$E$8="",0,IF(ISNUMBER(SEARCH(Classifiers!$E$8,E103)),1,0))+IF(Classifiers!$F$8="",0,IF(ISNUMBER(SEARCH(Classifiers!$F$8,E103)),1,0))+IF(Classifiers!$G$8="",0,IF(ISNUMBER(SEARCH(Classifiers!$G$8,E103)),1,0)))&gt;0,1,0))</f>
        <v/>
      </c>
      <c r="N103" s="12">
        <f>IF(H103&lt;&gt;1,0,IF((IF(Classifiers!$B$9="",0,IF(ISNUMBER(SEARCH(Classifiers!$B$9,E103)),1,0))+IF(Classifiers!$C$9="",0,IF(ISNUMBER(SEARCH(Classifiers!$C$9,E103)),1,0))+IF(Classifiers!$D$9="",0,IF(ISNUMBER(SEARCH(Classifiers!$D$9,E103)),1,0))+IF(Classifiers!$E$9="",0,IF(ISNUMBER(SEARCH(Classifiers!$E$9,E103)),1,0))+IF(Classifiers!$F$9="",0,IF(ISNUMBER(SEARCH(Classifiers!$F$9,E103)),1,0))+IF(Classifiers!$G$9="",0,IF(ISNUMBER(SEARCH(Classifiers!$G$9,E103)),1,0)))&gt;0,1,0))</f>
        <v/>
      </c>
      <c r="O103" s="12">
        <f>IF(H103&lt;&gt;1,0,IF((IF(Classifiers!$B$10="",0,IF(ISNUMBER(SEARCH(Classifiers!$B$10,E103)),1,0))+IF(Classifiers!$C$10="",0,IF(ISNUMBER(SEARCH(Classifiers!$C$10,E103)),1,0))+IF(Classifiers!$D$10="",0,IF(ISNUMBER(SEARCH(Classifiers!$D$10,E103)),1,0))+IF(Classifiers!$E$10="",0,IF(ISNUMBER(SEARCH(Classifiers!$E$10,E103)),1,0))+IF(Classifiers!$F$10="",0,IF(ISNUMBER(SEARCH(Classifiers!$F$10,E103)),1,0))+IF(Classifiers!$G$10="",0,IF(ISNUMBER(SEARCH(Classifiers!$G$10,E103)),1,0)))&gt;0,1,0))</f>
        <v/>
      </c>
      <c r="P103" s="12">
        <f>IF(H103&lt;&gt;1,0,IF((IF(Classifiers!$B$11="",0,IF(ISNUMBER(SEARCH(Classifiers!$B$11,E103)),1,0))+IF(Classifiers!$C$11="",0,IF(ISNUMBER(SEARCH(Classifiers!$C$11,E103)),1,0))+IF(Classifiers!$D$11="",0,IF(ISNUMBER(SEARCH(Classifiers!$D$11,E103)),1,0))+IF(Classifiers!$E$11="",0,IF(ISNUMBER(SEARCH(Classifiers!$E$11,E103)),1,0))+IF(Classifiers!$F$11="",0,IF(ISNUMBER(SEARCH(Classifiers!$F$11,E103)),1,0))+IF(Classifiers!$G$11="",0,IF(ISNUMBER(SEARCH(Classifiers!$G$11,E103)),1,0)))&gt;0,1,0))</f>
        <v/>
      </c>
      <c r="Q103" s="12">
        <f>IF(H103&lt;&gt;1,0,IF((IF(Classifiers!$B$12="",0,IF(ISNUMBER(SEARCH(Classifiers!$B$12,E103)),1,0))+IF(Classifiers!$C$12="",0,IF(ISNUMBER(SEARCH(Classifiers!$C$12,E103)),1,0))+IF(Classifiers!$D$12="",0,IF(ISNUMBER(SEARCH(Classifiers!$D$12,E103)),1,0))+IF(Classifiers!$E$12="",0,IF(ISNUMBER(SEARCH(Classifiers!$E$12,E103)),1,0))+IF(Classifiers!$F$12="",0,IF(ISNUMBER(SEARCH(Classifiers!$F$12,E103)),1,0))+IF(Classifiers!$G$12="",0,IF(ISNUMBER(SEARCH(Classifiers!$G$12,E103)),1,0)))&gt;0,1,0))</f>
        <v/>
      </c>
      <c r="R103" s="12">
        <f>IF(H103&lt;&gt;1,0,IF((IF(Classifiers!$B$13="",0,IF(ISNUMBER(SEARCH(Classifiers!$B$13,E103)),1,0))+IF(Classifiers!$C$13="",0,IF(ISNUMBER(SEARCH(Classifiers!$C$13,E103)),1,0))+IF(Classifiers!$D$13="",0,IF(ISNUMBER(SEARCH(Classifiers!$D$13,E103)),1,0))+IF(Classifiers!$E$13="",0,IF(ISNUMBER(SEARCH(Classifiers!$E$13,E103)),1,0))+IF(Classifiers!$F$13="",0,IF(ISNUMBER(SEARCH(Classifiers!$F$13,E103)),1,0))+IF(Classifiers!$G$13="",0,IF(ISNUMBER(SEARCH(Classifiers!$G$13,E103)),1,0)))&gt;0,1,0))</f>
        <v/>
      </c>
      <c r="S103" s="12">
        <f>IF(H103&lt;&gt;1,0,IF((IF(Classifiers!$B$14="",0,IF(ISNUMBER(SEARCH(Classifiers!$B$14,E103)),1,0))+IF(Classifiers!$C$14="",0,IF(ISNUMBER(SEARCH(Classifiers!$C$14,E103)),1,0))+IF(Classifiers!$D$14="",0,IF(ISNUMBER(SEARCH(Classifiers!$D$14,E103)),1,0))+IF(Classifiers!$E$14="",0,IF(ISNUMBER(SEARCH(Classifiers!$E$14,E103)),1,0))+IF(Classifiers!$F$14="",0,IF(ISNUMBER(SEARCH(Classifiers!$F$14,E103)),1,0))+IF(Classifiers!$G$14="",0,IF(ISNUMBER(SEARCH(Classifiers!$G$14,E103)),1,0)))&gt;0,1,0))</f>
        <v/>
      </c>
      <c r="T103" s="12">
        <f>IF(H103&lt;&gt;1,0,IF((IF(Classifiers!$B$15="",0,IF(ISNUMBER(SEARCH(Classifiers!$B$15,E103)),1,0))+IF(Classifiers!$C$15="",0,IF(ISNUMBER(SEARCH(Classifiers!$C$15,E103)),1,0))+IF(Classifiers!$D$15="",0,IF(ISNUMBER(SEARCH(Classifiers!$D$15,E103)),1,0))+IF(Classifiers!$E$15="",0,IF(ISNUMBER(SEARCH(Classifiers!$E$15,E103)),1,0))+IF(Classifiers!$F$15="",0,IF(ISNUMBER(SEARCH(Classifiers!$F$15,E103)),1,0))+IF(Classifiers!$G$15="",0,IF(ISNUMBER(SEARCH(Classifiers!$G$15,E103)),1,0)))&gt;0,1,0))</f>
        <v/>
      </c>
      <c r="U103" s="12">
        <f>IF(H103&lt;&gt;1,0,IF((IF(Classifiers!$B$16="",0,IF(ISNUMBER(SEARCH(Classifiers!$B$16,E103)),1,0))+IF(Classifiers!$C$16="",0,IF(ISNUMBER(SEARCH(Classifiers!$C$16,E103)),1,0))+IF(Classifiers!$D$16="",0,IF(ISNUMBER(SEARCH(Classifiers!$D$16,E103)),1,0))+IF(Classifiers!$E$16="",0,IF(ISNUMBER(SEARCH(Classifiers!$E$16,E103)),1,0))+IF(Classifiers!$F$16="",0,IF(ISNUMBER(SEARCH(Classifiers!$F$16,E103)),1,0))+IF(Classifiers!$G$16="",0,IF(ISNUMBER(SEARCH(Classifiers!$G$16,E103)),1,0)))&gt;0,1,0))</f>
        <v/>
      </c>
      <c r="V103" s="12">
        <f>IF(H103&lt;&gt;1,0,IF((IF(Classifiers!$B$17="",0,IF(ISNUMBER(SEARCH(Classifiers!$B$17,E103)),1,0))+IF(Classifiers!$C$17="",0,IF(ISNUMBER(SEARCH(Classifiers!$C$17,E103)),1,0))+IF(Classifiers!$D$17="",0,IF(ISNUMBER(SEARCH(Classifiers!$D$17,E103)),1,0))+IF(Classifiers!$E$17="",0,IF(ISNUMBER(SEARCH(Classifiers!$E$17,E103)),1,0))+IF(Classifiers!$F$17="",0,IF(ISNUMBER(SEARCH(Classifiers!$F$17,E103)),1,0))+IF(Classifiers!$G$17="",0,IF(ISNUMBER(SEARCH(Classifiers!$G$17,E103)),1,0)))&gt;0,1,0))</f>
        <v/>
      </c>
      <c r="W103" s="12">
        <f>IF(H103&lt;&gt;1,0,IF((IF(Classifiers!$B$18="",0,IF(ISNUMBER(SEARCH(Classifiers!$B$18,E103)),1,0))+IF(Classifiers!$C$18="",0,IF(ISNUMBER(SEARCH(Classifiers!$C$18,E103)),1,0))+IF(Classifiers!$D$18="",0,IF(ISNUMBER(SEARCH(Classifiers!$D$18,E103)),1,0))+IF(Classifiers!$E$18="",0,IF(ISNUMBER(SEARCH(Classifiers!$E$18,E103)),1,0))+IF(Classifiers!$F$18="",0,IF(ISNUMBER(SEARCH(Classifiers!$F$18,E103)),1,0))+IF(Classifiers!$G$18="",0,IF(ISNUMBER(SEARCH(Classifiers!$G$18,E103)),1,0)))&gt;0,1,0))</f>
        <v/>
      </c>
    </row>
    <row r="104">
      <c r="A104" s="8" t="n"/>
      <c r="B104" s="11" t="n"/>
      <c r="C104" s="6">
        <f>IF(A104="","",TRIM(RIGHT(SUBSTITUTE(A104,"/",REPT(" ",250)),250)))</f>
        <v/>
      </c>
      <c r="D104" s="6">
        <f>IF(C104="","",IF(ISNUMBER(SEARCH(".",C104)),LOWER("."&amp;TRIM(RIGHT(SUBSTITUTE(C104,".",REPT(" ",250)),250))),""))</f>
        <v/>
      </c>
      <c r="E104" s="6">
        <f>IF(C104="","",TRIM(SUBSTITUTE(SUBSTITUTE(SUBSTITUTE(SUBSTITUTE(SUBSTITUTE(SUBSTITUTE(SUBSTITUTE(SUBSTITUTE(SUBSTITUTE(SUBSTITUTE(SUBSTITUTE(SUBSTITUTE(SUBSTITUTE(SUBSTITUTE(SUBSTITUTE(SUBSTITUTE(SUBSTITUTE(SUBSTITUTE(SUBSTITUTE(SUBSTITUTE(LOWER(LEFT(C104,LEN(C104)-LEN(D104))),"_"," "),"-"," "),"."," "),","," "),"("," "),")"," "),"["," "),"]"," "),"&amp;"," "),"+"," "),"@"," "),"#"," "),"!"," "),"'"," "),"/"," "),":"," "),";"," "),"="," "),"~"," "),"%"," ")))</f>
        <v/>
      </c>
      <c r="F104" s="6">
        <f>IF(C104="","",IF(COUNTIF(Classifiers!$A$23:$A$40,D104)&gt;0,1,0))</f>
        <v/>
      </c>
      <c r="G104" s="6">
        <f>IF(C104="","",IF(COUNTIF(Classifiers!$C$23:$C$30,D104)&gt;0,IF((IF(ISNUMBER(SEARCH(Classifiers!$E$23,E104)),1,0)+IF(ISNUMBER(SEARCH(Classifiers!$E$24,E104)),1,0)+IF(ISNUMBER(SEARCH(Classifiers!$E$25,E104)),1,0)+IF(ISNUMBER(SEARCH(Classifiers!$E$26,E104)),1,0)+IF(ISNUMBER(SEARCH(Classifiers!$E$27,E104)),1,0)+IF(ISNUMBER(SEARCH(Classifiers!$E$28,E104)),1,0)+IF(ISNUMBER(SEARCH(Classifiers!$E$29,E104)),1,0)+IF(ISNUMBER(SEARCH(Classifiers!$E$30,E104)),1,0))&gt;0,1,0),0))</f>
        <v/>
      </c>
      <c r="H104" s="6">
        <f>IF(C104="","",IF(OR(LEFT(C104,1)=".",AND(F104=0,G104=0)),0,1))</f>
        <v/>
      </c>
      <c r="I104" s="6">
        <f>IF(H104&lt;&gt;1,"",IF(SUM(J104:W104)=0,"unclassified",INDEX(Classifiers!$A$5:$A$18,MATCH(1,J104:W104,0),1)))</f>
        <v/>
      </c>
      <c r="J104" s="12">
        <f>IF(H104&lt;&gt;1,0,IF((IF(Classifiers!$B$5="",0,IF(ISNUMBER(SEARCH(Classifiers!$B$5,E104)),1,0))+IF(Classifiers!$C$5="",0,IF(ISNUMBER(SEARCH(Classifiers!$C$5,E104)),1,0))+IF(Classifiers!$D$5="",0,IF(ISNUMBER(SEARCH(Classifiers!$D$5,E104)),1,0))+IF(Classifiers!$E$5="",0,IF(ISNUMBER(SEARCH(Classifiers!$E$5,E104)),1,0))+IF(Classifiers!$F$5="",0,IF(ISNUMBER(SEARCH(Classifiers!$F$5,E104)),1,0))+IF(Classifiers!$G$5="",0,IF(ISNUMBER(SEARCH(Classifiers!$G$5,E104)),1,0)))&gt;0,1,0))</f>
        <v/>
      </c>
      <c r="K104" s="12">
        <f>IF(H104&lt;&gt;1,0,IF((IF(Classifiers!$B$6="",0,IF(ISNUMBER(SEARCH(Classifiers!$B$6,E104)),1,0))+IF(Classifiers!$C$6="",0,IF(ISNUMBER(SEARCH(Classifiers!$C$6,E104)),1,0))+IF(Classifiers!$D$6="",0,IF(ISNUMBER(SEARCH(Classifiers!$D$6,E104)),1,0))+IF(Classifiers!$E$6="",0,IF(ISNUMBER(SEARCH(Classifiers!$E$6,E104)),1,0))+IF(Classifiers!$F$6="",0,IF(ISNUMBER(SEARCH(Classifiers!$F$6,E104)),1,0))+IF(Classifiers!$G$6="",0,IF(ISNUMBER(SEARCH(Classifiers!$G$6,E104)),1,0)))&gt;0,1,0))</f>
        <v/>
      </c>
      <c r="L104" s="12">
        <f>IF(H104&lt;&gt;1,0,IF((IF(Classifiers!$B$7="",0,IF(ISNUMBER(SEARCH(Classifiers!$B$7,E104)),1,0))+IF(Classifiers!$C$7="",0,IF(ISNUMBER(SEARCH(Classifiers!$C$7,E104)),1,0))+IF(Classifiers!$D$7="",0,IF(ISNUMBER(SEARCH(Classifiers!$D$7,E104)),1,0))+IF(Classifiers!$E$7="",0,IF(ISNUMBER(SEARCH(Classifiers!$E$7,E104)),1,0))+IF(Classifiers!$F$7="",0,IF(ISNUMBER(SEARCH(Classifiers!$F$7,E104)),1,0))+IF(Classifiers!$G$7="",0,IF(ISNUMBER(SEARCH(Classifiers!$G$7,E104)),1,0)))&gt;0,1,0))</f>
        <v/>
      </c>
      <c r="M104" s="12">
        <f>IF(H104&lt;&gt;1,0,IF((IF(Classifiers!$B$8="",0,IF(ISNUMBER(SEARCH(Classifiers!$B$8,E104)),1,0))+IF(Classifiers!$C$8="",0,IF(ISNUMBER(SEARCH(Classifiers!$C$8,E104)),1,0))+IF(Classifiers!$D$8="",0,IF(ISNUMBER(SEARCH(Classifiers!$D$8,E104)),1,0))+IF(Classifiers!$E$8="",0,IF(ISNUMBER(SEARCH(Classifiers!$E$8,E104)),1,0))+IF(Classifiers!$F$8="",0,IF(ISNUMBER(SEARCH(Classifiers!$F$8,E104)),1,0))+IF(Classifiers!$G$8="",0,IF(ISNUMBER(SEARCH(Classifiers!$G$8,E104)),1,0)))&gt;0,1,0))</f>
        <v/>
      </c>
      <c r="N104" s="12">
        <f>IF(H104&lt;&gt;1,0,IF((IF(Classifiers!$B$9="",0,IF(ISNUMBER(SEARCH(Classifiers!$B$9,E104)),1,0))+IF(Classifiers!$C$9="",0,IF(ISNUMBER(SEARCH(Classifiers!$C$9,E104)),1,0))+IF(Classifiers!$D$9="",0,IF(ISNUMBER(SEARCH(Classifiers!$D$9,E104)),1,0))+IF(Classifiers!$E$9="",0,IF(ISNUMBER(SEARCH(Classifiers!$E$9,E104)),1,0))+IF(Classifiers!$F$9="",0,IF(ISNUMBER(SEARCH(Classifiers!$F$9,E104)),1,0))+IF(Classifiers!$G$9="",0,IF(ISNUMBER(SEARCH(Classifiers!$G$9,E104)),1,0)))&gt;0,1,0))</f>
        <v/>
      </c>
      <c r="O104" s="12">
        <f>IF(H104&lt;&gt;1,0,IF((IF(Classifiers!$B$10="",0,IF(ISNUMBER(SEARCH(Classifiers!$B$10,E104)),1,0))+IF(Classifiers!$C$10="",0,IF(ISNUMBER(SEARCH(Classifiers!$C$10,E104)),1,0))+IF(Classifiers!$D$10="",0,IF(ISNUMBER(SEARCH(Classifiers!$D$10,E104)),1,0))+IF(Classifiers!$E$10="",0,IF(ISNUMBER(SEARCH(Classifiers!$E$10,E104)),1,0))+IF(Classifiers!$F$10="",0,IF(ISNUMBER(SEARCH(Classifiers!$F$10,E104)),1,0))+IF(Classifiers!$G$10="",0,IF(ISNUMBER(SEARCH(Classifiers!$G$10,E104)),1,0)))&gt;0,1,0))</f>
        <v/>
      </c>
      <c r="P104" s="12">
        <f>IF(H104&lt;&gt;1,0,IF((IF(Classifiers!$B$11="",0,IF(ISNUMBER(SEARCH(Classifiers!$B$11,E104)),1,0))+IF(Classifiers!$C$11="",0,IF(ISNUMBER(SEARCH(Classifiers!$C$11,E104)),1,0))+IF(Classifiers!$D$11="",0,IF(ISNUMBER(SEARCH(Classifiers!$D$11,E104)),1,0))+IF(Classifiers!$E$11="",0,IF(ISNUMBER(SEARCH(Classifiers!$E$11,E104)),1,0))+IF(Classifiers!$F$11="",0,IF(ISNUMBER(SEARCH(Classifiers!$F$11,E104)),1,0))+IF(Classifiers!$G$11="",0,IF(ISNUMBER(SEARCH(Classifiers!$G$11,E104)),1,0)))&gt;0,1,0))</f>
        <v/>
      </c>
      <c r="Q104" s="12">
        <f>IF(H104&lt;&gt;1,0,IF((IF(Classifiers!$B$12="",0,IF(ISNUMBER(SEARCH(Classifiers!$B$12,E104)),1,0))+IF(Classifiers!$C$12="",0,IF(ISNUMBER(SEARCH(Classifiers!$C$12,E104)),1,0))+IF(Classifiers!$D$12="",0,IF(ISNUMBER(SEARCH(Classifiers!$D$12,E104)),1,0))+IF(Classifiers!$E$12="",0,IF(ISNUMBER(SEARCH(Classifiers!$E$12,E104)),1,0))+IF(Classifiers!$F$12="",0,IF(ISNUMBER(SEARCH(Classifiers!$F$12,E104)),1,0))+IF(Classifiers!$G$12="",0,IF(ISNUMBER(SEARCH(Classifiers!$G$12,E104)),1,0)))&gt;0,1,0))</f>
        <v/>
      </c>
      <c r="R104" s="12">
        <f>IF(H104&lt;&gt;1,0,IF((IF(Classifiers!$B$13="",0,IF(ISNUMBER(SEARCH(Classifiers!$B$13,E104)),1,0))+IF(Classifiers!$C$13="",0,IF(ISNUMBER(SEARCH(Classifiers!$C$13,E104)),1,0))+IF(Classifiers!$D$13="",0,IF(ISNUMBER(SEARCH(Classifiers!$D$13,E104)),1,0))+IF(Classifiers!$E$13="",0,IF(ISNUMBER(SEARCH(Classifiers!$E$13,E104)),1,0))+IF(Classifiers!$F$13="",0,IF(ISNUMBER(SEARCH(Classifiers!$F$13,E104)),1,0))+IF(Classifiers!$G$13="",0,IF(ISNUMBER(SEARCH(Classifiers!$G$13,E104)),1,0)))&gt;0,1,0))</f>
        <v/>
      </c>
      <c r="S104" s="12">
        <f>IF(H104&lt;&gt;1,0,IF((IF(Classifiers!$B$14="",0,IF(ISNUMBER(SEARCH(Classifiers!$B$14,E104)),1,0))+IF(Classifiers!$C$14="",0,IF(ISNUMBER(SEARCH(Classifiers!$C$14,E104)),1,0))+IF(Classifiers!$D$14="",0,IF(ISNUMBER(SEARCH(Classifiers!$D$14,E104)),1,0))+IF(Classifiers!$E$14="",0,IF(ISNUMBER(SEARCH(Classifiers!$E$14,E104)),1,0))+IF(Classifiers!$F$14="",0,IF(ISNUMBER(SEARCH(Classifiers!$F$14,E104)),1,0))+IF(Classifiers!$G$14="",0,IF(ISNUMBER(SEARCH(Classifiers!$G$14,E104)),1,0)))&gt;0,1,0))</f>
        <v/>
      </c>
      <c r="T104" s="12">
        <f>IF(H104&lt;&gt;1,0,IF((IF(Classifiers!$B$15="",0,IF(ISNUMBER(SEARCH(Classifiers!$B$15,E104)),1,0))+IF(Classifiers!$C$15="",0,IF(ISNUMBER(SEARCH(Classifiers!$C$15,E104)),1,0))+IF(Classifiers!$D$15="",0,IF(ISNUMBER(SEARCH(Classifiers!$D$15,E104)),1,0))+IF(Classifiers!$E$15="",0,IF(ISNUMBER(SEARCH(Classifiers!$E$15,E104)),1,0))+IF(Classifiers!$F$15="",0,IF(ISNUMBER(SEARCH(Classifiers!$F$15,E104)),1,0))+IF(Classifiers!$G$15="",0,IF(ISNUMBER(SEARCH(Classifiers!$G$15,E104)),1,0)))&gt;0,1,0))</f>
        <v/>
      </c>
      <c r="U104" s="12">
        <f>IF(H104&lt;&gt;1,0,IF((IF(Classifiers!$B$16="",0,IF(ISNUMBER(SEARCH(Classifiers!$B$16,E104)),1,0))+IF(Classifiers!$C$16="",0,IF(ISNUMBER(SEARCH(Classifiers!$C$16,E104)),1,0))+IF(Classifiers!$D$16="",0,IF(ISNUMBER(SEARCH(Classifiers!$D$16,E104)),1,0))+IF(Classifiers!$E$16="",0,IF(ISNUMBER(SEARCH(Classifiers!$E$16,E104)),1,0))+IF(Classifiers!$F$16="",0,IF(ISNUMBER(SEARCH(Classifiers!$F$16,E104)),1,0))+IF(Classifiers!$G$16="",0,IF(ISNUMBER(SEARCH(Classifiers!$G$16,E104)),1,0)))&gt;0,1,0))</f>
        <v/>
      </c>
      <c r="V104" s="12">
        <f>IF(H104&lt;&gt;1,0,IF((IF(Classifiers!$B$17="",0,IF(ISNUMBER(SEARCH(Classifiers!$B$17,E104)),1,0))+IF(Classifiers!$C$17="",0,IF(ISNUMBER(SEARCH(Classifiers!$C$17,E104)),1,0))+IF(Classifiers!$D$17="",0,IF(ISNUMBER(SEARCH(Classifiers!$D$17,E104)),1,0))+IF(Classifiers!$E$17="",0,IF(ISNUMBER(SEARCH(Classifiers!$E$17,E104)),1,0))+IF(Classifiers!$F$17="",0,IF(ISNUMBER(SEARCH(Classifiers!$F$17,E104)),1,0))+IF(Classifiers!$G$17="",0,IF(ISNUMBER(SEARCH(Classifiers!$G$17,E104)),1,0)))&gt;0,1,0))</f>
        <v/>
      </c>
      <c r="W104" s="12">
        <f>IF(H104&lt;&gt;1,0,IF((IF(Classifiers!$B$18="",0,IF(ISNUMBER(SEARCH(Classifiers!$B$18,E104)),1,0))+IF(Classifiers!$C$18="",0,IF(ISNUMBER(SEARCH(Classifiers!$C$18,E104)),1,0))+IF(Classifiers!$D$18="",0,IF(ISNUMBER(SEARCH(Classifiers!$D$18,E104)),1,0))+IF(Classifiers!$E$18="",0,IF(ISNUMBER(SEARCH(Classifiers!$E$18,E104)),1,0))+IF(Classifiers!$F$18="",0,IF(ISNUMBER(SEARCH(Classifiers!$F$18,E104)),1,0))+IF(Classifiers!$G$18="",0,IF(ISNUMBER(SEARCH(Classifiers!$G$18,E104)),1,0)))&gt;0,1,0))</f>
        <v/>
      </c>
    </row>
    <row r="105">
      <c r="A105" s="8" t="n"/>
      <c r="B105" s="11" t="n"/>
      <c r="C105" s="6">
        <f>IF(A105="","",TRIM(RIGHT(SUBSTITUTE(A105,"/",REPT(" ",250)),250)))</f>
        <v/>
      </c>
      <c r="D105" s="6">
        <f>IF(C105="","",IF(ISNUMBER(SEARCH(".",C105)),LOWER("."&amp;TRIM(RIGHT(SUBSTITUTE(C105,".",REPT(" ",250)),250))),""))</f>
        <v/>
      </c>
      <c r="E105" s="6">
        <f>IF(C105="","",TRIM(SUBSTITUTE(SUBSTITUTE(SUBSTITUTE(SUBSTITUTE(SUBSTITUTE(SUBSTITUTE(SUBSTITUTE(SUBSTITUTE(SUBSTITUTE(SUBSTITUTE(SUBSTITUTE(SUBSTITUTE(SUBSTITUTE(SUBSTITUTE(SUBSTITUTE(SUBSTITUTE(SUBSTITUTE(SUBSTITUTE(SUBSTITUTE(SUBSTITUTE(LOWER(LEFT(C105,LEN(C105)-LEN(D105))),"_"," "),"-"," "),"."," "),","," "),"("," "),")"," "),"["," "),"]"," "),"&amp;"," "),"+"," "),"@"," "),"#"," "),"!"," "),"'"," "),"/"," "),":"," "),";"," "),"="," "),"~"," "),"%"," ")))</f>
        <v/>
      </c>
      <c r="F105" s="6">
        <f>IF(C105="","",IF(COUNTIF(Classifiers!$A$23:$A$40,D105)&gt;0,1,0))</f>
        <v/>
      </c>
      <c r="G105" s="6">
        <f>IF(C105="","",IF(COUNTIF(Classifiers!$C$23:$C$30,D105)&gt;0,IF((IF(ISNUMBER(SEARCH(Classifiers!$E$23,E105)),1,0)+IF(ISNUMBER(SEARCH(Classifiers!$E$24,E105)),1,0)+IF(ISNUMBER(SEARCH(Classifiers!$E$25,E105)),1,0)+IF(ISNUMBER(SEARCH(Classifiers!$E$26,E105)),1,0)+IF(ISNUMBER(SEARCH(Classifiers!$E$27,E105)),1,0)+IF(ISNUMBER(SEARCH(Classifiers!$E$28,E105)),1,0)+IF(ISNUMBER(SEARCH(Classifiers!$E$29,E105)),1,0)+IF(ISNUMBER(SEARCH(Classifiers!$E$30,E105)),1,0))&gt;0,1,0),0))</f>
        <v/>
      </c>
      <c r="H105" s="6">
        <f>IF(C105="","",IF(OR(LEFT(C105,1)=".",AND(F105=0,G105=0)),0,1))</f>
        <v/>
      </c>
      <c r="I105" s="6">
        <f>IF(H105&lt;&gt;1,"",IF(SUM(J105:W105)=0,"unclassified",INDEX(Classifiers!$A$5:$A$18,MATCH(1,J105:W105,0),1)))</f>
        <v/>
      </c>
      <c r="J105" s="12">
        <f>IF(H105&lt;&gt;1,0,IF((IF(Classifiers!$B$5="",0,IF(ISNUMBER(SEARCH(Classifiers!$B$5,E105)),1,0))+IF(Classifiers!$C$5="",0,IF(ISNUMBER(SEARCH(Classifiers!$C$5,E105)),1,0))+IF(Classifiers!$D$5="",0,IF(ISNUMBER(SEARCH(Classifiers!$D$5,E105)),1,0))+IF(Classifiers!$E$5="",0,IF(ISNUMBER(SEARCH(Classifiers!$E$5,E105)),1,0))+IF(Classifiers!$F$5="",0,IF(ISNUMBER(SEARCH(Classifiers!$F$5,E105)),1,0))+IF(Classifiers!$G$5="",0,IF(ISNUMBER(SEARCH(Classifiers!$G$5,E105)),1,0)))&gt;0,1,0))</f>
        <v/>
      </c>
      <c r="K105" s="12">
        <f>IF(H105&lt;&gt;1,0,IF((IF(Classifiers!$B$6="",0,IF(ISNUMBER(SEARCH(Classifiers!$B$6,E105)),1,0))+IF(Classifiers!$C$6="",0,IF(ISNUMBER(SEARCH(Classifiers!$C$6,E105)),1,0))+IF(Classifiers!$D$6="",0,IF(ISNUMBER(SEARCH(Classifiers!$D$6,E105)),1,0))+IF(Classifiers!$E$6="",0,IF(ISNUMBER(SEARCH(Classifiers!$E$6,E105)),1,0))+IF(Classifiers!$F$6="",0,IF(ISNUMBER(SEARCH(Classifiers!$F$6,E105)),1,0))+IF(Classifiers!$G$6="",0,IF(ISNUMBER(SEARCH(Classifiers!$G$6,E105)),1,0)))&gt;0,1,0))</f>
        <v/>
      </c>
      <c r="L105" s="12">
        <f>IF(H105&lt;&gt;1,0,IF((IF(Classifiers!$B$7="",0,IF(ISNUMBER(SEARCH(Classifiers!$B$7,E105)),1,0))+IF(Classifiers!$C$7="",0,IF(ISNUMBER(SEARCH(Classifiers!$C$7,E105)),1,0))+IF(Classifiers!$D$7="",0,IF(ISNUMBER(SEARCH(Classifiers!$D$7,E105)),1,0))+IF(Classifiers!$E$7="",0,IF(ISNUMBER(SEARCH(Classifiers!$E$7,E105)),1,0))+IF(Classifiers!$F$7="",0,IF(ISNUMBER(SEARCH(Classifiers!$F$7,E105)),1,0))+IF(Classifiers!$G$7="",0,IF(ISNUMBER(SEARCH(Classifiers!$G$7,E105)),1,0)))&gt;0,1,0))</f>
        <v/>
      </c>
      <c r="M105" s="12">
        <f>IF(H105&lt;&gt;1,0,IF((IF(Classifiers!$B$8="",0,IF(ISNUMBER(SEARCH(Classifiers!$B$8,E105)),1,0))+IF(Classifiers!$C$8="",0,IF(ISNUMBER(SEARCH(Classifiers!$C$8,E105)),1,0))+IF(Classifiers!$D$8="",0,IF(ISNUMBER(SEARCH(Classifiers!$D$8,E105)),1,0))+IF(Classifiers!$E$8="",0,IF(ISNUMBER(SEARCH(Classifiers!$E$8,E105)),1,0))+IF(Classifiers!$F$8="",0,IF(ISNUMBER(SEARCH(Classifiers!$F$8,E105)),1,0))+IF(Classifiers!$G$8="",0,IF(ISNUMBER(SEARCH(Classifiers!$G$8,E105)),1,0)))&gt;0,1,0))</f>
        <v/>
      </c>
      <c r="N105" s="12">
        <f>IF(H105&lt;&gt;1,0,IF((IF(Classifiers!$B$9="",0,IF(ISNUMBER(SEARCH(Classifiers!$B$9,E105)),1,0))+IF(Classifiers!$C$9="",0,IF(ISNUMBER(SEARCH(Classifiers!$C$9,E105)),1,0))+IF(Classifiers!$D$9="",0,IF(ISNUMBER(SEARCH(Classifiers!$D$9,E105)),1,0))+IF(Classifiers!$E$9="",0,IF(ISNUMBER(SEARCH(Classifiers!$E$9,E105)),1,0))+IF(Classifiers!$F$9="",0,IF(ISNUMBER(SEARCH(Classifiers!$F$9,E105)),1,0))+IF(Classifiers!$G$9="",0,IF(ISNUMBER(SEARCH(Classifiers!$G$9,E105)),1,0)))&gt;0,1,0))</f>
        <v/>
      </c>
      <c r="O105" s="12">
        <f>IF(H105&lt;&gt;1,0,IF((IF(Classifiers!$B$10="",0,IF(ISNUMBER(SEARCH(Classifiers!$B$10,E105)),1,0))+IF(Classifiers!$C$10="",0,IF(ISNUMBER(SEARCH(Classifiers!$C$10,E105)),1,0))+IF(Classifiers!$D$10="",0,IF(ISNUMBER(SEARCH(Classifiers!$D$10,E105)),1,0))+IF(Classifiers!$E$10="",0,IF(ISNUMBER(SEARCH(Classifiers!$E$10,E105)),1,0))+IF(Classifiers!$F$10="",0,IF(ISNUMBER(SEARCH(Classifiers!$F$10,E105)),1,0))+IF(Classifiers!$G$10="",0,IF(ISNUMBER(SEARCH(Classifiers!$G$10,E105)),1,0)))&gt;0,1,0))</f>
        <v/>
      </c>
      <c r="P105" s="12">
        <f>IF(H105&lt;&gt;1,0,IF((IF(Classifiers!$B$11="",0,IF(ISNUMBER(SEARCH(Classifiers!$B$11,E105)),1,0))+IF(Classifiers!$C$11="",0,IF(ISNUMBER(SEARCH(Classifiers!$C$11,E105)),1,0))+IF(Classifiers!$D$11="",0,IF(ISNUMBER(SEARCH(Classifiers!$D$11,E105)),1,0))+IF(Classifiers!$E$11="",0,IF(ISNUMBER(SEARCH(Classifiers!$E$11,E105)),1,0))+IF(Classifiers!$F$11="",0,IF(ISNUMBER(SEARCH(Classifiers!$F$11,E105)),1,0))+IF(Classifiers!$G$11="",0,IF(ISNUMBER(SEARCH(Classifiers!$G$11,E105)),1,0)))&gt;0,1,0))</f>
        <v/>
      </c>
      <c r="Q105" s="12">
        <f>IF(H105&lt;&gt;1,0,IF((IF(Classifiers!$B$12="",0,IF(ISNUMBER(SEARCH(Classifiers!$B$12,E105)),1,0))+IF(Classifiers!$C$12="",0,IF(ISNUMBER(SEARCH(Classifiers!$C$12,E105)),1,0))+IF(Classifiers!$D$12="",0,IF(ISNUMBER(SEARCH(Classifiers!$D$12,E105)),1,0))+IF(Classifiers!$E$12="",0,IF(ISNUMBER(SEARCH(Classifiers!$E$12,E105)),1,0))+IF(Classifiers!$F$12="",0,IF(ISNUMBER(SEARCH(Classifiers!$F$12,E105)),1,0))+IF(Classifiers!$G$12="",0,IF(ISNUMBER(SEARCH(Classifiers!$G$12,E105)),1,0)))&gt;0,1,0))</f>
        <v/>
      </c>
      <c r="R105" s="12">
        <f>IF(H105&lt;&gt;1,0,IF((IF(Classifiers!$B$13="",0,IF(ISNUMBER(SEARCH(Classifiers!$B$13,E105)),1,0))+IF(Classifiers!$C$13="",0,IF(ISNUMBER(SEARCH(Classifiers!$C$13,E105)),1,0))+IF(Classifiers!$D$13="",0,IF(ISNUMBER(SEARCH(Classifiers!$D$13,E105)),1,0))+IF(Classifiers!$E$13="",0,IF(ISNUMBER(SEARCH(Classifiers!$E$13,E105)),1,0))+IF(Classifiers!$F$13="",0,IF(ISNUMBER(SEARCH(Classifiers!$F$13,E105)),1,0))+IF(Classifiers!$G$13="",0,IF(ISNUMBER(SEARCH(Classifiers!$G$13,E105)),1,0)))&gt;0,1,0))</f>
        <v/>
      </c>
      <c r="S105" s="12">
        <f>IF(H105&lt;&gt;1,0,IF((IF(Classifiers!$B$14="",0,IF(ISNUMBER(SEARCH(Classifiers!$B$14,E105)),1,0))+IF(Classifiers!$C$14="",0,IF(ISNUMBER(SEARCH(Classifiers!$C$14,E105)),1,0))+IF(Classifiers!$D$14="",0,IF(ISNUMBER(SEARCH(Classifiers!$D$14,E105)),1,0))+IF(Classifiers!$E$14="",0,IF(ISNUMBER(SEARCH(Classifiers!$E$14,E105)),1,0))+IF(Classifiers!$F$14="",0,IF(ISNUMBER(SEARCH(Classifiers!$F$14,E105)),1,0))+IF(Classifiers!$G$14="",0,IF(ISNUMBER(SEARCH(Classifiers!$G$14,E105)),1,0)))&gt;0,1,0))</f>
        <v/>
      </c>
      <c r="T105" s="12">
        <f>IF(H105&lt;&gt;1,0,IF((IF(Classifiers!$B$15="",0,IF(ISNUMBER(SEARCH(Classifiers!$B$15,E105)),1,0))+IF(Classifiers!$C$15="",0,IF(ISNUMBER(SEARCH(Classifiers!$C$15,E105)),1,0))+IF(Classifiers!$D$15="",0,IF(ISNUMBER(SEARCH(Classifiers!$D$15,E105)),1,0))+IF(Classifiers!$E$15="",0,IF(ISNUMBER(SEARCH(Classifiers!$E$15,E105)),1,0))+IF(Classifiers!$F$15="",0,IF(ISNUMBER(SEARCH(Classifiers!$F$15,E105)),1,0))+IF(Classifiers!$G$15="",0,IF(ISNUMBER(SEARCH(Classifiers!$G$15,E105)),1,0)))&gt;0,1,0))</f>
        <v/>
      </c>
      <c r="U105" s="12">
        <f>IF(H105&lt;&gt;1,0,IF((IF(Classifiers!$B$16="",0,IF(ISNUMBER(SEARCH(Classifiers!$B$16,E105)),1,0))+IF(Classifiers!$C$16="",0,IF(ISNUMBER(SEARCH(Classifiers!$C$16,E105)),1,0))+IF(Classifiers!$D$16="",0,IF(ISNUMBER(SEARCH(Classifiers!$D$16,E105)),1,0))+IF(Classifiers!$E$16="",0,IF(ISNUMBER(SEARCH(Classifiers!$E$16,E105)),1,0))+IF(Classifiers!$F$16="",0,IF(ISNUMBER(SEARCH(Classifiers!$F$16,E105)),1,0))+IF(Classifiers!$G$16="",0,IF(ISNUMBER(SEARCH(Classifiers!$G$16,E105)),1,0)))&gt;0,1,0))</f>
        <v/>
      </c>
      <c r="V105" s="12">
        <f>IF(H105&lt;&gt;1,0,IF((IF(Classifiers!$B$17="",0,IF(ISNUMBER(SEARCH(Classifiers!$B$17,E105)),1,0))+IF(Classifiers!$C$17="",0,IF(ISNUMBER(SEARCH(Classifiers!$C$17,E105)),1,0))+IF(Classifiers!$D$17="",0,IF(ISNUMBER(SEARCH(Classifiers!$D$17,E105)),1,0))+IF(Classifiers!$E$17="",0,IF(ISNUMBER(SEARCH(Classifiers!$E$17,E105)),1,0))+IF(Classifiers!$F$17="",0,IF(ISNUMBER(SEARCH(Classifiers!$F$17,E105)),1,0))+IF(Classifiers!$G$17="",0,IF(ISNUMBER(SEARCH(Classifiers!$G$17,E105)),1,0)))&gt;0,1,0))</f>
        <v/>
      </c>
      <c r="W105" s="12">
        <f>IF(H105&lt;&gt;1,0,IF((IF(Classifiers!$B$18="",0,IF(ISNUMBER(SEARCH(Classifiers!$B$18,E105)),1,0))+IF(Classifiers!$C$18="",0,IF(ISNUMBER(SEARCH(Classifiers!$C$18,E105)),1,0))+IF(Classifiers!$D$18="",0,IF(ISNUMBER(SEARCH(Classifiers!$D$18,E105)),1,0))+IF(Classifiers!$E$18="",0,IF(ISNUMBER(SEARCH(Classifiers!$E$18,E105)),1,0))+IF(Classifiers!$F$18="",0,IF(ISNUMBER(SEARCH(Classifiers!$F$18,E105)),1,0))+IF(Classifiers!$G$18="",0,IF(ISNUMBER(SEARCH(Classifiers!$G$18,E105)),1,0)))&gt;0,1,0))</f>
        <v/>
      </c>
    </row>
    <row r="106">
      <c r="A106" s="8" t="n"/>
      <c r="B106" s="11" t="n"/>
      <c r="C106" s="6">
        <f>IF(A106="","",TRIM(RIGHT(SUBSTITUTE(A106,"/",REPT(" ",250)),250)))</f>
        <v/>
      </c>
      <c r="D106" s="6">
        <f>IF(C106="","",IF(ISNUMBER(SEARCH(".",C106)),LOWER("."&amp;TRIM(RIGHT(SUBSTITUTE(C106,".",REPT(" ",250)),250))),""))</f>
        <v/>
      </c>
      <c r="E106" s="6">
        <f>IF(C106="","",TRIM(SUBSTITUTE(SUBSTITUTE(SUBSTITUTE(SUBSTITUTE(SUBSTITUTE(SUBSTITUTE(SUBSTITUTE(SUBSTITUTE(SUBSTITUTE(SUBSTITUTE(SUBSTITUTE(SUBSTITUTE(SUBSTITUTE(SUBSTITUTE(SUBSTITUTE(SUBSTITUTE(SUBSTITUTE(SUBSTITUTE(SUBSTITUTE(SUBSTITUTE(LOWER(LEFT(C106,LEN(C106)-LEN(D106))),"_"," "),"-"," "),"."," "),","," "),"("," "),")"," "),"["," "),"]"," "),"&amp;"," "),"+"," "),"@"," "),"#"," "),"!"," "),"'"," "),"/"," "),":"," "),";"," "),"="," "),"~"," "),"%"," ")))</f>
        <v/>
      </c>
      <c r="F106" s="6">
        <f>IF(C106="","",IF(COUNTIF(Classifiers!$A$23:$A$40,D106)&gt;0,1,0))</f>
        <v/>
      </c>
      <c r="G106" s="6">
        <f>IF(C106="","",IF(COUNTIF(Classifiers!$C$23:$C$30,D106)&gt;0,IF((IF(ISNUMBER(SEARCH(Classifiers!$E$23,E106)),1,0)+IF(ISNUMBER(SEARCH(Classifiers!$E$24,E106)),1,0)+IF(ISNUMBER(SEARCH(Classifiers!$E$25,E106)),1,0)+IF(ISNUMBER(SEARCH(Classifiers!$E$26,E106)),1,0)+IF(ISNUMBER(SEARCH(Classifiers!$E$27,E106)),1,0)+IF(ISNUMBER(SEARCH(Classifiers!$E$28,E106)),1,0)+IF(ISNUMBER(SEARCH(Classifiers!$E$29,E106)),1,0)+IF(ISNUMBER(SEARCH(Classifiers!$E$30,E106)),1,0))&gt;0,1,0),0))</f>
        <v/>
      </c>
      <c r="H106" s="6">
        <f>IF(C106="","",IF(OR(LEFT(C106,1)=".",AND(F106=0,G106=0)),0,1))</f>
        <v/>
      </c>
      <c r="I106" s="6">
        <f>IF(H106&lt;&gt;1,"",IF(SUM(J106:W106)=0,"unclassified",INDEX(Classifiers!$A$5:$A$18,MATCH(1,J106:W106,0),1)))</f>
        <v/>
      </c>
      <c r="J106" s="12">
        <f>IF(H106&lt;&gt;1,0,IF((IF(Classifiers!$B$5="",0,IF(ISNUMBER(SEARCH(Classifiers!$B$5,E106)),1,0))+IF(Classifiers!$C$5="",0,IF(ISNUMBER(SEARCH(Classifiers!$C$5,E106)),1,0))+IF(Classifiers!$D$5="",0,IF(ISNUMBER(SEARCH(Classifiers!$D$5,E106)),1,0))+IF(Classifiers!$E$5="",0,IF(ISNUMBER(SEARCH(Classifiers!$E$5,E106)),1,0))+IF(Classifiers!$F$5="",0,IF(ISNUMBER(SEARCH(Classifiers!$F$5,E106)),1,0))+IF(Classifiers!$G$5="",0,IF(ISNUMBER(SEARCH(Classifiers!$G$5,E106)),1,0)))&gt;0,1,0))</f>
        <v/>
      </c>
      <c r="K106" s="12">
        <f>IF(H106&lt;&gt;1,0,IF((IF(Classifiers!$B$6="",0,IF(ISNUMBER(SEARCH(Classifiers!$B$6,E106)),1,0))+IF(Classifiers!$C$6="",0,IF(ISNUMBER(SEARCH(Classifiers!$C$6,E106)),1,0))+IF(Classifiers!$D$6="",0,IF(ISNUMBER(SEARCH(Classifiers!$D$6,E106)),1,0))+IF(Classifiers!$E$6="",0,IF(ISNUMBER(SEARCH(Classifiers!$E$6,E106)),1,0))+IF(Classifiers!$F$6="",0,IF(ISNUMBER(SEARCH(Classifiers!$F$6,E106)),1,0))+IF(Classifiers!$G$6="",0,IF(ISNUMBER(SEARCH(Classifiers!$G$6,E106)),1,0)))&gt;0,1,0))</f>
        <v/>
      </c>
      <c r="L106" s="12">
        <f>IF(H106&lt;&gt;1,0,IF((IF(Classifiers!$B$7="",0,IF(ISNUMBER(SEARCH(Classifiers!$B$7,E106)),1,0))+IF(Classifiers!$C$7="",0,IF(ISNUMBER(SEARCH(Classifiers!$C$7,E106)),1,0))+IF(Classifiers!$D$7="",0,IF(ISNUMBER(SEARCH(Classifiers!$D$7,E106)),1,0))+IF(Classifiers!$E$7="",0,IF(ISNUMBER(SEARCH(Classifiers!$E$7,E106)),1,0))+IF(Classifiers!$F$7="",0,IF(ISNUMBER(SEARCH(Classifiers!$F$7,E106)),1,0))+IF(Classifiers!$G$7="",0,IF(ISNUMBER(SEARCH(Classifiers!$G$7,E106)),1,0)))&gt;0,1,0))</f>
        <v/>
      </c>
      <c r="M106" s="12">
        <f>IF(H106&lt;&gt;1,0,IF((IF(Classifiers!$B$8="",0,IF(ISNUMBER(SEARCH(Classifiers!$B$8,E106)),1,0))+IF(Classifiers!$C$8="",0,IF(ISNUMBER(SEARCH(Classifiers!$C$8,E106)),1,0))+IF(Classifiers!$D$8="",0,IF(ISNUMBER(SEARCH(Classifiers!$D$8,E106)),1,0))+IF(Classifiers!$E$8="",0,IF(ISNUMBER(SEARCH(Classifiers!$E$8,E106)),1,0))+IF(Classifiers!$F$8="",0,IF(ISNUMBER(SEARCH(Classifiers!$F$8,E106)),1,0))+IF(Classifiers!$G$8="",0,IF(ISNUMBER(SEARCH(Classifiers!$G$8,E106)),1,0)))&gt;0,1,0))</f>
        <v/>
      </c>
      <c r="N106" s="12">
        <f>IF(H106&lt;&gt;1,0,IF((IF(Classifiers!$B$9="",0,IF(ISNUMBER(SEARCH(Classifiers!$B$9,E106)),1,0))+IF(Classifiers!$C$9="",0,IF(ISNUMBER(SEARCH(Classifiers!$C$9,E106)),1,0))+IF(Classifiers!$D$9="",0,IF(ISNUMBER(SEARCH(Classifiers!$D$9,E106)),1,0))+IF(Classifiers!$E$9="",0,IF(ISNUMBER(SEARCH(Classifiers!$E$9,E106)),1,0))+IF(Classifiers!$F$9="",0,IF(ISNUMBER(SEARCH(Classifiers!$F$9,E106)),1,0))+IF(Classifiers!$G$9="",0,IF(ISNUMBER(SEARCH(Classifiers!$G$9,E106)),1,0)))&gt;0,1,0))</f>
        <v/>
      </c>
      <c r="O106" s="12">
        <f>IF(H106&lt;&gt;1,0,IF((IF(Classifiers!$B$10="",0,IF(ISNUMBER(SEARCH(Classifiers!$B$10,E106)),1,0))+IF(Classifiers!$C$10="",0,IF(ISNUMBER(SEARCH(Classifiers!$C$10,E106)),1,0))+IF(Classifiers!$D$10="",0,IF(ISNUMBER(SEARCH(Classifiers!$D$10,E106)),1,0))+IF(Classifiers!$E$10="",0,IF(ISNUMBER(SEARCH(Classifiers!$E$10,E106)),1,0))+IF(Classifiers!$F$10="",0,IF(ISNUMBER(SEARCH(Classifiers!$F$10,E106)),1,0))+IF(Classifiers!$G$10="",0,IF(ISNUMBER(SEARCH(Classifiers!$G$10,E106)),1,0)))&gt;0,1,0))</f>
        <v/>
      </c>
      <c r="P106" s="12">
        <f>IF(H106&lt;&gt;1,0,IF((IF(Classifiers!$B$11="",0,IF(ISNUMBER(SEARCH(Classifiers!$B$11,E106)),1,0))+IF(Classifiers!$C$11="",0,IF(ISNUMBER(SEARCH(Classifiers!$C$11,E106)),1,0))+IF(Classifiers!$D$11="",0,IF(ISNUMBER(SEARCH(Classifiers!$D$11,E106)),1,0))+IF(Classifiers!$E$11="",0,IF(ISNUMBER(SEARCH(Classifiers!$E$11,E106)),1,0))+IF(Classifiers!$F$11="",0,IF(ISNUMBER(SEARCH(Classifiers!$F$11,E106)),1,0))+IF(Classifiers!$G$11="",0,IF(ISNUMBER(SEARCH(Classifiers!$G$11,E106)),1,0)))&gt;0,1,0))</f>
        <v/>
      </c>
      <c r="Q106" s="12">
        <f>IF(H106&lt;&gt;1,0,IF((IF(Classifiers!$B$12="",0,IF(ISNUMBER(SEARCH(Classifiers!$B$12,E106)),1,0))+IF(Classifiers!$C$12="",0,IF(ISNUMBER(SEARCH(Classifiers!$C$12,E106)),1,0))+IF(Classifiers!$D$12="",0,IF(ISNUMBER(SEARCH(Classifiers!$D$12,E106)),1,0))+IF(Classifiers!$E$12="",0,IF(ISNUMBER(SEARCH(Classifiers!$E$12,E106)),1,0))+IF(Classifiers!$F$12="",0,IF(ISNUMBER(SEARCH(Classifiers!$F$12,E106)),1,0))+IF(Classifiers!$G$12="",0,IF(ISNUMBER(SEARCH(Classifiers!$G$12,E106)),1,0)))&gt;0,1,0))</f>
        <v/>
      </c>
      <c r="R106" s="12">
        <f>IF(H106&lt;&gt;1,0,IF((IF(Classifiers!$B$13="",0,IF(ISNUMBER(SEARCH(Classifiers!$B$13,E106)),1,0))+IF(Classifiers!$C$13="",0,IF(ISNUMBER(SEARCH(Classifiers!$C$13,E106)),1,0))+IF(Classifiers!$D$13="",0,IF(ISNUMBER(SEARCH(Classifiers!$D$13,E106)),1,0))+IF(Classifiers!$E$13="",0,IF(ISNUMBER(SEARCH(Classifiers!$E$13,E106)),1,0))+IF(Classifiers!$F$13="",0,IF(ISNUMBER(SEARCH(Classifiers!$F$13,E106)),1,0))+IF(Classifiers!$G$13="",0,IF(ISNUMBER(SEARCH(Classifiers!$G$13,E106)),1,0)))&gt;0,1,0))</f>
        <v/>
      </c>
      <c r="S106" s="12">
        <f>IF(H106&lt;&gt;1,0,IF((IF(Classifiers!$B$14="",0,IF(ISNUMBER(SEARCH(Classifiers!$B$14,E106)),1,0))+IF(Classifiers!$C$14="",0,IF(ISNUMBER(SEARCH(Classifiers!$C$14,E106)),1,0))+IF(Classifiers!$D$14="",0,IF(ISNUMBER(SEARCH(Classifiers!$D$14,E106)),1,0))+IF(Classifiers!$E$14="",0,IF(ISNUMBER(SEARCH(Classifiers!$E$14,E106)),1,0))+IF(Classifiers!$F$14="",0,IF(ISNUMBER(SEARCH(Classifiers!$F$14,E106)),1,0))+IF(Classifiers!$G$14="",0,IF(ISNUMBER(SEARCH(Classifiers!$G$14,E106)),1,0)))&gt;0,1,0))</f>
        <v/>
      </c>
      <c r="T106" s="12">
        <f>IF(H106&lt;&gt;1,0,IF((IF(Classifiers!$B$15="",0,IF(ISNUMBER(SEARCH(Classifiers!$B$15,E106)),1,0))+IF(Classifiers!$C$15="",0,IF(ISNUMBER(SEARCH(Classifiers!$C$15,E106)),1,0))+IF(Classifiers!$D$15="",0,IF(ISNUMBER(SEARCH(Classifiers!$D$15,E106)),1,0))+IF(Classifiers!$E$15="",0,IF(ISNUMBER(SEARCH(Classifiers!$E$15,E106)),1,0))+IF(Classifiers!$F$15="",0,IF(ISNUMBER(SEARCH(Classifiers!$F$15,E106)),1,0))+IF(Classifiers!$G$15="",0,IF(ISNUMBER(SEARCH(Classifiers!$G$15,E106)),1,0)))&gt;0,1,0))</f>
        <v/>
      </c>
      <c r="U106" s="12">
        <f>IF(H106&lt;&gt;1,0,IF((IF(Classifiers!$B$16="",0,IF(ISNUMBER(SEARCH(Classifiers!$B$16,E106)),1,0))+IF(Classifiers!$C$16="",0,IF(ISNUMBER(SEARCH(Classifiers!$C$16,E106)),1,0))+IF(Classifiers!$D$16="",0,IF(ISNUMBER(SEARCH(Classifiers!$D$16,E106)),1,0))+IF(Classifiers!$E$16="",0,IF(ISNUMBER(SEARCH(Classifiers!$E$16,E106)),1,0))+IF(Classifiers!$F$16="",0,IF(ISNUMBER(SEARCH(Classifiers!$F$16,E106)),1,0))+IF(Classifiers!$G$16="",0,IF(ISNUMBER(SEARCH(Classifiers!$G$16,E106)),1,0)))&gt;0,1,0))</f>
        <v/>
      </c>
      <c r="V106" s="12">
        <f>IF(H106&lt;&gt;1,0,IF((IF(Classifiers!$B$17="",0,IF(ISNUMBER(SEARCH(Classifiers!$B$17,E106)),1,0))+IF(Classifiers!$C$17="",0,IF(ISNUMBER(SEARCH(Classifiers!$C$17,E106)),1,0))+IF(Classifiers!$D$17="",0,IF(ISNUMBER(SEARCH(Classifiers!$D$17,E106)),1,0))+IF(Classifiers!$E$17="",0,IF(ISNUMBER(SEARCH(Classifiers!$E$17,E106)),1,0))+IF(Classifiers!$F$17="",0,IF(ISNUMBER(SEARCH(Classifiers!$F$17,E106)),1,0))+IF(Classifiers!$G$17="",0,IF(ISNUMBER(SEARCH(Classifiers!$G$17,E106)),1,0)))&gt;0,1,0))</f>
        <v/>
      </c>
      <c r="W106" s="12">
        <f>IF(H106&lt;&gt;1,0,IF((IF(Classifiers!$B$18="",0,IF(ISNUMBER(SEARCH(Classifiers!$B$18,E106)),1,0))+IF(Classifiers!$C$18="",0,IF(ISNUMBER(SEARCH(Classifiers!$C$18,E106)),1,0))+IF(Classifiers!$D$18="",0,IF(ISNUMBER(SEARCH(Classifiers!$D$18,E106)),1,0))+IF(Classifiers!$E$18="",0,IF(ISNUMBER(SEARCH(Classifiers!$E$18,E106)),1,0))+IF(Classifiers!$F$18="",0,IF(ISNUMBER(SEARCH(Classifiers!$F$18,E106)),1,0))+IF(Classifiers!$G$18="",0,IF(ISNUMBER(SEARCH(Classifiers!$G$18,E106)),1,0)))&gt;0,1,0))</f>
        <v/>
      </c>
    </row>
    <row r="107">
      <c r="A107" s="8" t="n"/>
      <c r="B107" s="11" t="n"/>
      <c r="C107" s="6">
        <f>IF(A107="","",TRIM(RIGHT(SUBSTITUTE(A107,"/",REPT(" ",250)),250)))</f>
        <v/>
      </c>
      <c r="D107" s="6">
        <f>IF(C107="","",IF(ISNUMBER(SEARCH(".",C107)),LOWER("."&amp;TRIM(RIGHT(SUBSTITUTE(C107,".",REPT(" ",250)),250))),""))</f>
        <v/>
      </c>
      <c r="E107" s="6">
        <f>IF(C107="","",TRIM(SUBSTITUTE(SUBSTITUTE(SUBSTITUTE(SUBSTITUTE(SUBSTITUTE(SUBSTITUTE(SUBSTITUTE(SUBSTITUTE(SUBSTITUTE(SUBSTITUTE(SUBSTITUTE(SUBSTITUTE(SUBSTITUTE(SUBSTITUTE(SUBSTITUTE(SUBSTITUTE(SUBSTITUTE(SUBSTITUTE(SUBSTITUTE(SUBSTITUTE(LOWER(LEFT(C107,LEN(C107)-LEN(D107))),"_"," "),"-"," "),"."," "),","," "),"("," "),")"," "),"["," "),"]"," "),"&amp;"," "),"+"," "),"@"," "),"#"," "),"!"," "),"'"," "),"/"," "),":"," "),";"," "),"="," "),"~"," "),"%"," ")))</f>
        <v/>
      </c>
      <c r="F107" s="6">
        <f>IF(C107="","",IF(COUNTIF(Classifiers!$A$23:$A$40,D107)&gt;0,1,0))</f>
        <v/>
      </c>
      <c r="G107" s="6">
        <f>IF(C107="","",IF(COUNTIF(Classifiers!$C$23:$C$30,D107)&gt;0,IF((IF(ISNUMBER(SEARCH(Classifiers!$E$23,E107)),1,0)+IF(ISNUMBER(SEARCH(Classifiers!$E$24,E107)),1,0)+IF(ISNUMBER(SEARCH(Classifiers!$E$25,E107)),1,0)+IF(ISNUMBER(SEARCH(Classifiers!$E$26,E107)),1,0)+IF(ISNUMBER(SEARCH(Classifiers!$E$27,E107)),1,0)+IF(ISNUMBER(SEARCH(Classifiers!$E$28,E107)),1,0)+IF(ISNUMBER(SEARCH(Classifiers!$E$29,E107)),1,0)+IF(ISNUMBER(SEARCH(Classifiers!$E$30,E107)),1,0))&gt;0,1,0),0))</f>
        <v/>
      </c>
      <c r="H107" s="6">
        <f>IF(C107="","",IF(OR(LEFT(C107,1)=".",AND(F107=0,G107=0)),0,1))</f>
        <v/>
      </c>
      <c r="I107" s="6">
        <f>IF(H107&lt;&gt;1,"",IF(SUM(J107:W107)=0,"unclassified",INDEX(Classifiers!$A$5:$A$18,MATCH(1,J107:W107,0),1)))</f>
        <v/>
      </c>
      <c r="J107" s="12">
        <f>IF(H107&lt;&gt;1,0,IF((IF(Classifiers!$B$5="",0,IF(ISNUMBER(SEARCH(Classifiers!$B$5,E107)),1,0))+IF(Classifiers!$C$5="",0,IF(ISNUMBER(SEARCH(Classifiers!$C$5,E107)),1,0))+IF(Classifiers!$D$5="",0,IF(ISNUMBER(SEARCH(Classifiers!$D$5,E107)),1,0))+IF(Classifiers!$E$5="",0,IF(ISNUMBER(SEARCH(Classifiers!$E$5,E107)),1,0))+IF(Classifiers!$F$5="",0,IF(ISNUMBER(SEARCH(Classifiers!$F$5,E107)),1,0))+IF(Classifiers!$G$5="",0,IF(ISNUMBER(SEARCH(Classifiers!$G$5,E107)),1,0)))&gt;0,1,0))</f>
        <v/>
      </c>
      <c r="K107" s="12">
        <f>IF(H107&lt;&gt;1,0,IF((IF(Classifiers!$B$6="",0,IF(ISNUMBER(SEARCH(Classifiers!$B$6,E107)),1,0))+IF(Classifiers!$C$6="",0,IF(ISNUMBER(SEARCH(Classifiers!$C$6,E107)),1,0))+IF(Classifiers!$D$6="",0,IF(ISNUMBER(SEARCH(Classifiers!$D$6,E107)),1,0))+IF(Classifiers!$E$6="",0,IF(ISNUMBER(SEARCH(Classifiers!$E$6,E107)),1,0))+IF(Classifiers!$F$6="",0,IF(ISNUMBER(SEARCH(Classifiers!$F$6,E107)),1,0))+IF(Classifiers!$G$6="",0,IF(ISNUMBER(SEARCH(Classifiers!$G$6,E107)),1,0)))&gt;0,1,0))</f>
        <v/>
      </c>
      <c r="L107" s="12">
        <f>IF(H107&lt;&gt;1,0,IF((IF(Classifiers!$B$7="",0,IF(ISNUMBER(SEARCH(Classifiers!$B$7,E107)),1,0))+IF(Classifiers!$C$7="",0,IF(ISNUMBER(SEARCH(Classifiers!$C$7,E107)),1,0))+IF(Classifiers!$D$7="",0,IF(ISNUMBER(SEARCH(Classifiers!$D$7,E107)),1,0))+IF(Classifiers!$E$7="",0,IF(ISNUMBER(SEARCH(Classifiers!$E$7,E107)),1,0))+IF(Classifiers!$F$7="",0,IF(ISNUMBER(SEARCH(Classifiers!$F$7,E107)),1,0))+IF(Classifiers!$G$7="",0,IF(ISNUMBER(SEARCH(Classifiers!$G$7,E107)),1,0)))&gt;0,1,0))</f>
        <v/>
      </c>
      <c r="M107" s="12">
        <f>IF(H107&lt;&gt;1,0,IF((IF(Classifiers!$B$8="",0,IF(ISNUMBER(SEARCH(Classifiers!$B$8,E107)),1,0))+IF(Classifiers!$C$8="",0,IF(ISNUMBER(SEARCH(Classifiers!$C$8,E107)),1,0))+IF(Classifiers!$D$8="",0,IF(ISNUMBER(SEARCH(Classifiers!$D$8,E107)),1,0))+IF(Classifiers!$E$8="",0,IF(ISNUMBER(SEARCH(Classifiers!$E$8,E107)),1,0))+IF(Classifiers!$F$8="",0,IF(ISNUMBER(SEARCH(Classifiers!$F$8,E107)),1,0))+IF(Classifiers!$G$8="",0,IF(ISNUMBER(SEARCH(Classifiers!$G$8,E107)),1,0)))&gt;0,1,0))</f>
        <v/>
      </c>
      <c r="N107" s="12">
        <f>IF(H107&lt;&gt;1,0,IF((IF(Classifiers!$B$9="",0,IF(ISNUMBER(SEARCH(Classifiers!$B$9,E107)),1,0))+IF(Classifiers!$C$9="",0,IF(ISNUMBER(SEARCH(Classifiers!$C$9,E107)),1,0))+IF(Classifiers!$D$9="",0,IF(ISNUMBER(SEARCH(Classifiers!$D$9,E107)),1,0))+IF(Classifiers!$E$9="",0,IF(ISNUMBER(SEARCH(Classifiers!$E$9,E107)),1,0))+IF(Classifiers!$F$9="",0,IF(ISNUMBER(SEARCH(Classifiers!$F$9,E107)),1,0))+IF(Classifiers!$G$9="",0,IF(ISNUMBER(SEARCH(Classifiers!$G$9,E107)),1,0)))&gt;0,1,0))</f>
        <v/>
      </c>
      <c r="O107" s="12">
        <f>IF(H107&lt;&gt;1,0,IF((IF(Classifiers!$B$10="",0,IF(ISNUMBER(SEARCH(Classifiers!$B$10,E107)),1,0))+IF(Classifiers!$C$10="",0,IF(ISNUMBER(SEARCH(Classifiers!$C$10,E107)),1,0))+IF(Classifiers!$D$10="",0,IF(ISNUMBER(SEARCH(Classifiers!$D$10,E107)),1,0))+IF(Classifiers!$E$10="",0,IF(ISNUMBER(SEARCH(Classifiers!$E$10,E107)),1,0))+IF(Classifiers!$F$10="",0,IF(ISNUMBER(SEARCH(Classifiers!$F$10,E107)),1,0))+IF(Classifiers!$G$10="",0,IF(ISNUMBER(SEARCH(Classifiers!$G$10,E107)),1,0)))&gt;0,1,0))</f>
        <v/>
      </c>
      <c r="P107" s="12">
        <f>IF(H107&lt;&gt;1,0,IF((IF(Classifiers!$B$11="",0,IF(ISNUMBER(SEARCH(Classifiers!$B$11,E107)),1,0))+IF(Classifiers!$C$11="",0,IF(ISNUMBER(SEARCH(Classifiers!$C$11,E107)),1,0))+IF(Classifiers!$D$11="",0,IF(ISNUMBER(SEARCH(Classifiers!$D$11,E107)),1,0))+IF(Classifiers!$E$11="",0,IF(ISNUMBER(SEARCH(Classifiers!$E$11,E107)),1,0))+IF(Classifiers!$F$11="",0,IF(ISNUMBER(SEARCH(Classifiers!$F$11,E107)),1,0))+IF(Classifiers!$G$11="",0,IF(ISNUMBER(SEARCH(Classifiers!$G$11,E107)),1,0)))&gt;0,1,0))</f>
        <v/>
      </c>
      <c r="Q107" s="12">
        <f>IF(H107&lt;&gt;1,0,IF((IF(Classifiers!$B$12="",0,IF(ISNUMBER(SEARCH(Classifiers!$B$12,E107)),1,0))+IF(Classifiers!$C$12="",0,IF(ISNUMBER(SEARCH(Classifiers!$C$12,E107)),1,0))+IF(Classifiers!$D$12="",0,IF(ISNUMBER(SEARCH(Classifiers!$D$12,E107)),1,0))+IF(Classifiers!$E$12="",0,IF(ISNUMBER(SEARCH(Classifiers!$E$12,E107)),1,0))+IF(Classifiers!$F$12="",0,IF(ISNUMBER(SEARCH(Classifiers!$F$12,E107)),1,0))+IF(Classifiers!$G$12="",0,IF(ISNUMBER(SEARCH(Classifiers!$G$12,E107)),1,0)))&gt;0,1,0))</f>
        <v/>
      </c>
      <c r="R107" s="12">
        <f>IF(H107&lt;&gt;1,0,IF((IF(Classifiers!$B$13="",0,IF(ISNUMBER(SEARCH(Classifiers!$B$13,E107)),1,0))+IF(Classifiers!$C$13="",0,IF(ISNUMBER(SEARCH(Classifiers!$C$13,E107)),1,0))+IF(Classifiers!$D$13="",0,IF(ISNUMBER(SEARCH(Classifiers!$D$13,E107)),1,0))+IF(Classifiers!$E$13="",0,IF(ISNUMBER(SEARCH(Classifiers!$E$13,E107)),1,0))+IF(Classifiers!$F$13="",0,IF(ISNUMBER(SEARCH(Classifiers!$F$13,E107)),1,0))+IF(Classifiers!$G$13="",0,IF(ISNUMBER(SEARCH(Classifiers!$G$13,E107)),1,0)))&gt;0,1,0))</f>
        <v/>
      </c>
      <c r="S107" s="12">
        <f>IF(H107&lt;&gt;1,0,IF((IF(Classifiers!$B$14="",0,IF(ISNUMBER(SEARCH(Classifiers!$B$14,E107)),1,0))+IF(Classifiers!$C$14="",0,IF(ISNUMBER(SEARCH(Classifiers!$C$14,E107)),1,0))+IF(Classifiers!$D$14="",0,IF(ISNUMBER(SEARCH(Classifiers!$D$14,E107)),1,0))+IF(Classifiers!$E$14="",0,IF(ISNUMBER(SEARCH(Classifiers!$E$14,E107)),1,0))+IF(Classifiers!$F$14="",0,IF(ISNUMBER(SEARCH(Classifiers!$F$14,E107)),1,0))+IF(Classifiers!$G$14="",0,IF(ISNUMBER(SEARCH(Classifiers!$G$14,E107)),1,0)))&gt;0,1,0))</f>
        <v/>
      </c>
      <c r="T107" s="12">
        <f>IF(H107&lt;&gt;1,0,IF((IF(Classifiers!$B$15="",0,IF(ISNUMBER(SEARCH(Classifiers!$B$15,E107)),1,0))+IF(Classifiers!$C$15="",0,IF(ISNUMBER(SEARCH(Classifiers!$C$15,E107)),1,0))+IF(Classifiers!$D$15="",0,IF(ISNUMBER(SEARCH(Classifiers!$D$15,E107)),1,0))+IF(Classifiers!$E$15="",0,IF(ISNUMBER(SEARCH(Classifiers!$E$15,E107)),1,0))+IF(Classifiers!$F$15="",0,IF(ISNUMBER(SEARCH(Classifiers!$F$15,E107)),1,0))+IF(Classifiers!$G$15="",0,IF(ISNUMBER(SEARCH(Classifiers!$G$15,E107)),1,0)))&gt;0,1,0))</f>
        <v/>
      </c>
      <c r="U107" s="12">
        <f>IF(H107&lt;&gt;1,0,IF((IF(Classifiers!$B$16="",0,IF(ISNUMBER(SEARCH(Classifiers!$B$16,E107)),1,0))+IF(Classifiers!$C$16="",0,IF(ISNUMBER(SEARCH(Classifiers!$C$16,E107)),1,0))+IF(Classifiers!$D$16="",0,IF(ISNUMBER(SEARCH(Classifiers!$D$16,E107)),1,0))+IF(Classifiers!$E$16="",0,IF(ISNUMBER(SEARCH(Classifiers!$E$16,E107)),1,0))+IF(Classifiers!$F$16="",0,IF(ISNUMBER(SEARCH(Classifiers!$F$16,E107)),1,0))+IF(Classifiers!$G$16="",0,IF(ISNUMBER(SEARCH(Classifiers!$G$16,E107)),1,0)))&gt;0,1,0))</f>
        <v/>
      </c>
      <c r="V107" s="12">
        <f>IF(H107&lt;&gt;1,0,IF((IF(Classifiers!$B$17="",0,IF(ISNUMBER(SEARCH(Classifiers!$B$17,E107)),1,0))+IF(Classifiers!$C$17="",0,IF(ISNUMBER(SEARCH(Classifiers!$C$17,E107)),1,0))+IF(Classifiers!$D$17="",0,IF(ISNUMBER(SEARCH(Classifiers!$D$17,E107)),1,0))+IF(Classifiers!$E$17="",0,IF(ISNUMBER(SEARCH(Classifiers!$E$17,E107)),1,0))+IF(Classifiers!$F$17="",0,IF(ISNUMBER(SEARCH(Classifiers!$F$17,E107)),1,0))+IF(Classifiers!$G$17="",0,IF(ISNUMBER(SEARCH(Classifiers!$G$17,E107)),1,0)))&gt;0,1,0))</f>
        <v/>
      </c>
      <c r="W107" s="12">
        <f>IF(H107&lt;&gt;1,0,IF((IF(Classifiers!$B$18="",0,IF(ISNUMBER(SEARCH(Classifiers!$B$18,E107)),1,0))+IF(Classifiers!$C$18="",0,IF(ISNUMBER(SEARCH(Classifiers!$C$18,E107)),1,0))+IF(Classifiers!$D$18="",0,IF(ISNUMBER(SEARCH(Classifiers!$D$18,E107)),1,0))+IF(Classifiers!$E$18="",0,IF(ISNUMBER(SEARCH(Classifiers!$E$18,E107)),1,0))+IF(Classifiers!$F$18="",0,IF(ISNUMBER(SEARCH(Classifiers!$F$18,E107)),1,0))+IF(Classifiers!$G$18="",0,IF(ISNUMBER(SEARCH(Classifiers!$G$18,E107)),1,0)))&gt;0,1,0))</f>
        <v/>
      </c>
    </row>
    <row r="108">
      <c r="A108" s="8" t="n"/>
      <c r="B108" s="11" t="n"/>
      <c r="C108" s="6">
        <f>IF(A108="","",TRIM(RIGHT(SUBSTITUTE(A108,"/",REPT(" ",250)),250)))</f>
        <v/>
      </c>
      <c r="D108" s="6">
        <f>IF(C108="","",IF(ISNUMBER(SEARCH(".",C108)),LOWER("."&amp;TRIM(RIGHT(SUBSTITUTE(C108,".",REPT(" ",250)),250))),""))</f>
        <v/>
      </c>
      <c r="E108" s="6">
        <f>IF(C108="","",TRIM(SUBSTITUTE(SUBSTITUTE(SUBSTITUTE(SUBSTITUTE(SUBSTITUTE(SUBSTITUTE(SUBSTITUTE(SUBSTITUTE(SUBSTITUTE(SUBSTITUTE(SUBSTITUTE(SUBSTITUTE(SUBSTITUTE(SUBSTITUTE(SUBSTITUTE(SUBSTITUTE(SUBSTITUTE(SUBSTITUTE(SUBSTITUTE(SUBSTITUTE(LOWER(LEFT(C108,LEN(C108)-LEN(D108))),"_"," "),"-"," "),"."," "),","," "),"("," "),")"," "),"["," "),"]"," "),"&amp;"," "),"+"," "),"@"," "),"#"," "),"!"," "),"'"," "),"/"," "),":"," "),";"," "),"="," "),"~"," "),"%"," ")))</f>
        <v/>
      </c>
      <c r="F108" s="6">
        <f>IF(C108="","",IF(COUNTIF(Classifiers!$A$23:$A$40,D108)&gt;0,1,0))</f>
        <v/>
      </c>
      <c r="G108" s="6">
        <f>IF(C108="","",IF(COUNTIF(Classifiers!$C$23:$C$30,D108)&gt;0,IF((IF(ISNUMBER(SEARCH(Classifiers!$E$23,E108)),1,0)+IF(ISNUMBER(SEARCH(Classifiers!$E$24,E108)),1,0)+IF(ISNUMBER(SEARCH(Classifiers!$E$25,E108)),1,0)+IF(ISNUMBER(SEARCH(Classifiers!$E$26,E108)),1,0)+IF(ISNUMBER(SEARCH(Classifiers!$E$27,E108)),1,0)+IF(ISNUMBER(SEARCH(Classifiers!$E$28,E108)),1,0)+IF(ISNUMBER(SEARCH(Classifiers!$E$29,E108)),1,0)+IF(ISNUMBER(SEARCH(Classifiers!$E$30,E108)),1,0))&gt;0,1,0),0))</f>
        <v/>
      </c>
      <c r="H108" s="6">
        <f>IF(C108="","",IF(OR(LEFT(C108,1)=".",AND(F108=0,G108=0)),0,1))</f>
        <v/>
      </c>
      <c r="I108" s="6">
        <f>IF(H108&lt;&gt;1,"",IF(SUM(J108:W108)=0,"unclassified",INDEX(Classifiers!$A$5:$A$18,MATCH(1,J108:W108,0),1)))</f>
        <v/>
      </c>
      <c r="J108" s="12">
        <f>IF(H108&lt;&gt;1,0,IF((IF(Classifiers!$B$5="",0,IF(ISNUMBER(SEARCH(Classifiers!$B$5,E108)),1,0))+IF(Classifiers!$C$5="",0,IF(ISNUMBER(SEARCH(Classifiers!$C$5,E108)),1,0))+IF(Classifiers!$D$5="",0,IF(ISNUMBER(SEARCH(Classifiers!$D$5,E108)),1,0))+IF(Classifiers!$E$5="",0,IF(ISNUMBER(SEARCH(Classifiers!$E$5,E108)),1,0))+IF(Classifiers!$F$5="",0,IF(ISNUMBER(SEARCH(Classifiers!$F$5,E108)),1,0))+IF(Classifiers!$G$5="",0,IF(ISNUMBER(SEARCH(Classifiers!$G$5,E108)),1,0)))&gt;0,1,0))</f>
        <v/>
      </c>
      <c r="K108" s="12">
        <f>IF(H108&lt;&gt;1,0,IF((IF(Classifiers!$B$6="",0,IF(ISNUMBER(SEARCH(Classifiers!$B$6,E108)),1,0))+IF(Classifiers!$C$6="",0,IF(ISNUMBER(SEARCH(Classifiers!$C$6,E108)),1,0))+IF(Classifiers!$D$6="",0,IF(ISNUMBER(SEARCH(Classifiers!$D$6,E108)),1,0))+IF(Classifiers!$E$6="",0,IF(ISNUMBER(SEARCH(Classifiers!$E$6,E108)),1,0))+IF(Classifiers!$F$6="",0,IF(ISNUMBER(SEARCH(Classifiers!$F$6,E108)),1,0))+IF(Classifiers!$G$6="",0,IF(ISNUMBER(SEARCH(Classifiers!$G$6,E108)),1,0)))&gt;0,1,0))</f>
        <v/>
      </c>
      <c r="L108" s="12">
        <f>IF(H108&lt;&gt;1,0,IF((IF(Classifiers!$B$7="",0,IF(ISNUMBER(SEARCH(Classifiers!$B$7,E108)),1,0))+IF(Classifiers!$C$7="",0,IF(ISNUMBER(SEARCH(Classifiers!$C$7,E108)),1,0))+IF(Classifiers!$D$7="",0,IF(ISNUMBER(SEARCH(Classifiers!$D$7,E108)),1,0))+IF(Classifiers!$E$7="",0,IF(ISNUMBER(SEARCH(Classifiers!$E$7,E108)),1,0))+IF(Classifiers!$F$7="",0,IF(ISNUMBER(SEARCH(Classifiers!$F$7,E108)),1,0))+IF(Classifiers!$G$7="",0,IF(ISNUMBER(SEARCH(Classifiers!$G$7,E108)),1,0)))&gt;0,1,0))</f>
        <v/>
      </c>
      <c r="M108" s="12">
        <f>IF(H108&lt;&gt;1,0,IF((IF(Classifiers!$B$8="",0,IF(ISNUMBER(SEARCH(Classifiers!$B$8,E108)),1,0))+IF(Classifiers!$C$8="",0,IF(ISNUMBER(SEARCH(Classifiers!$C$8,E108)),1,0))+IF(Classifiers!$D$8="",0,IF(ISNUMBER(SEARCH(Classifiers!$D$8,E108)),1,0))+IF(Classifiers!$E$8="",0,IF(ISNUMBER(SEARCH(Classifiers!$E$8,E108)),1,0))+IF(Classifiers!$F$8="",0,IF(ISNUMBER(SEARCH(Classifiers!$F$8,E108)),1,0))+IF(Classifiers!$G$8="",0,IF(ISNUMBER(SEARCH(Classifiers!$G$8,E108)),1,0)))&gt;0,1,0))</f>
        <v/>
      </c>
      <c r="N108" s="12">
        <f>IF(H108&lt;&gt;1,0,IF((IF(Classifiers!$B$9="",0,IF(ISNUMBER(SEARCH(Classifiers!$B$9,E108)),1,0))+IF(Classifiers!$C$9="",0,IF(ISNUMBER(SEARCH(Classifiers!$C$9,E108)),1,0))+IF(Classifiers!$D$9="",0,IF(ISNUMBER(SEARCH(Classifiers!$D$9,E108)),1,0))+IF(Classifiers!$E$9="",0,IF(ISNUMBER(SEARCH(Classifiers!$E$9,E108)),1,0))+IF(Classifiers!$F$9="",0,IF(ISNUMBER(SEARCH(Classifiers!$F$9,E108)),1,0))+IF(Classifiers!$G$9="",0,IF(ISNUMBER(SEARCH(Classifiers!$G$9,E108)),1,0)))&gt;0,1,0))</f>
        <v/>
      </c>
      <c r="O108" s="12">
        <f>IF(H108&lt;&gt;1,0,IF((IF(Classifiers!$B$10="",0,IF(ISNUMBER(SEARCH(Classifiers!$B$10,E108)),1,0))+IF(Classifiers!$C$10="",0,IF(ISNUMBER(SEARCH(Classifiers!$C$10,E108)),1,0))+IF(Classifiers!$D$10="",0,IF(ISNUMBER(SEARCH(Classifiers!$D$10,E108)),1,0))+IF(Classifiers!$E$10="",0,IF(ISNUMBER(SEARCH(Classifiers!$E$10,E108)),1,0))+IF(Classifiers!$F$10="",0,IF(ISNUMBER(SEARCH(Classifiers!$F$10,E108)),1,0))+IF(Classifiers!$G$10="",0,IF(ISNUMBER(SEARCH(Classifiers!$G$10,E108)),1,0)))&gt;0,1,0))</f>
        <v/>
      </c>
      <c r="P108" s="12">
        <f>IF(H108&lt;&gt;1,0,IF((IF(Classifiers!$B$11="",0,IF(ISNUMBER(SEARCH(Classifiers!$B$11,E108)),1,0))+IF(Classifiers!$C$11="",0,IF(ISNUMBER(SEARCH(Classifiers!$C$11,E108)),1,0))+IF(Classifiers!$D$11="",0,IF(ISNUMBER(SEARCH(Classifiers!$D$11,E108)),1,0))+IF(Classifiers!$E$11="",0,IF(ISNUMBER(SEARCH(Classifiers!$E$11,E108)),1,0))+IF(Classifiers!$F$11="",0,IF(ISNUMBER(SEARCH(Classifiers!$F$11,E108)),1,0))+IF(Classifiers!$G$11="",0,IF(ISNUMBER(SEARCH(Classifiers!$G$11,E108)),1,0)))&gt;0,1,0))</f>
        <v/>
      </c>
      <c r="Q108" s="12">
        <f>IF(H108&lt;&gt;1,0,IF((IF(Classifiers!$B$12="",0,IF(ISNUMBER(SEARCH(Classifiers!$B$12,E108)),1,0))+IF(Classifiers!$C$12="",0,IF(ISNUMBER(SEARCH(Classifiers!$C$12,E108)),1,0))+IF(Classifiers!$D$12="",0,IF(ISNUMBER(SEARCH(Classifiers!$D$12,E108)),1,0))+IF(Classifiers!$E$12="",0,IF(ISNUMBER(SEARCH(Classifiers!$E$12,E108)),1,0))+IF(Classifiers!$F$12="",0,IF(ISNUMBER(SEARCH(Classifiers!$F$12,E108)),1,0))+IF(Classifiers!$G$12="",0,IF(ISNUMBER(SEARCH(Classifiers!$G$12,E108)),1,0)))&gt;0,1,0))</f>
        <v/>
      </c>
      <c r="R108" s="12">
        <f>IF(H108&lt;&gt;1,0,IF((IF(Classifiers!$B$13="",0,IF(ISNUMBER(SEARCH(Classifiers!$B$13,E108)),1,0))+IF(Classifiers!$C$13="",0,IF(ISNUMBER(SEARCH(Classifiers!$C$13,E108)),1,0))+IF(Classifiers!$D$13="",0,IF(ISNUMBER(SEARCH(Classifiers!$D$13,E108)),1,0))+IF(Classifiers!$E$13="",0,IF(ISNUMBER(SEARCH(Classifiers!$E$13,E108)),1,0))+IF(Classifiers!$F$13="",0,IF(ISNUMBER(SEARCH(Classifiers!$F$13,E108)),1,0))+IF(Classifiers!$G$13="",0,IF(ISNUMBER(SEARCH(Classifiers!$G$13,E108)),1,0)))&gt;0,1,0))</f>
        <v/>
      </c>
      <c r="S108" s="12">
        <f>IF(H108&lt;&gt;1,0,IF((IF(Classifiers!$B$14="",0,IF(ISNUMBER(SEARCH(Classifiers!$B$14,E108)),1,0))+IF(Classifiers!$C$14="",0,IF(ISNUMBER(SEARCH(Classifiers!$C$14,E108)),1,0))+IF(Classifiers!$D$14="",0,IF(ISNUMBER(SEARCH(Classifiers!$D$14,E108)),1,0))+IF(Classifiers!$E$14="",0,IF(ISNUMBER(SEARCH(Classifiers!$E$14,E108)),1,0))+IF(Classifiers!$F$14="",0,IF(ISNUMBER(SEARCH(Classifiers!$F$14,E108)),1,0))+IF(Classifiers!$G$14="",0,IF(ISNUMBER(SEARCH(Classifiers!$G$14,E108)),1,0)))&gt;0,1,0))</f>
        <v/>
      </c>
      <c r="T108" s="12">
        <f>IF(H108&lt;&gt;1,0,IF((IF(Classifiers!$B$15="",0,IF(ISNUMBER(SEARCH(Classifiers!$B$15,E108)),1,0))+IF(Classifiers!$C$15="",0,IF(ISNUMBER(SEARCH(Classifiers!$C$15,E108)),1,0))+IF(Classifiers!$D$15="",0,IF(ISNUMBER(SEARCH(Classifiers!$D$15,E108)),1,0))+IF(Classifiers!$E$15="",0,IF(ISNUMBER(SEARCH(Classifiers!$E$15,E108)),1,0))+IF(Classifiers!$F$15="",0,IF(ISNUMBER(SEARCH(Classifiers!$F$15,E108)),1,0))+IF(Classifiers!$G$15="",0,IF(ISNUMBER(SEARCH(Classifiers!$G$15,E108)),1,0)))&gt;0,1,0))</f>
        <v/>
      </c>
      <c r="U108" s="12">
        <f>IF(H108&lt;&gt;1,0,IF((IF(Classifiers!$B$16="",0,IF(ISNUMBER(SEARCH(Classifiers!$B$16,E108)),1,0))+IF(Classifiers!$C$16="",0,IF(ISNUMBER(SEARCH(Classifiers!$C$16,E108)),1,0))+IF(Classifiers!$D$16="",0,IF(ISNUMBER(SEARCH(Classifiers!$D$16,E108)),1,0))+IF(Classifiers!$E$16="",0,IF(ISNUMBER(SEARCH(Classifiers!$E$16,E108)),1,0))+IF(Classifiers!$F$16="",0,IF(ISNUMBER(SEARCH(Classifiers!$F$16,E108)),1,0))+IF(Classifiers!$G$16="",0,IF(ISNUMBER(SEARCH(Classifiers!$G$16,E108)),1,0)))&gt;0,1,0))</f>
        <v/>
      </c>
      <c r="V108" s="12">
        <f>IF(H108&lt;&gt;1,0,IF((IF(Classifiers!$B$17="",0,IF(ISNUMBER(SEARCH(Classifiers!$B$17,E108)),1,0))+IF(Classifiers!$C$17="",0,IF(ISNUMBER(SEARCH(Classifiers!$C$17,E108)),1,0))+IF(Classifiers!$D$17="",0,IF(ISNUMBER(SEARCH(Classifiers!$D$17,E108)),1,0))+IF(Classifiers!$E$17="",0,IF(ISNUMBER(SEARCH(Classifiers!$E$17,E108)),1,0))+IF(Classifiers!$F$17="",0,IF(ISNUMBER(SEARCH(Classifiers!$F$17,E108)),1,0))+IF(Classifiers!$G$17="",0,IF(ISNUMBER(SEARCH(Classifiers!$G$17,E108)),1,0)))&gt;0,1,0))</f>
        <v/>
      </c>
      <c r="W108" s="12">
        <f>IF(H108&lt;&gt;1,0,IF((IF(Classifiers!$B$18="",0,IF(ISNUMBER(SEARCH(Classifiers!$B$18,E108)),1,0))+IF(Classifiers!$C$18="",0,IF(ISNUMBER(SEARCH(Classifiers!$C$18,E108)),1,0))+IF(Classifiers!$D$18="",0,IF(ISNUMBER(SEARCH(Classifiers!$D$18,E108)),1,0))+IF(Classifiers!$E$18="",0,IF(ISNUMBER(SEARCH(Classifiers!$E$18,E108)),1,0))+IF(Classifiers!$F$18="",0,IF(ISNUMBER(SEARCH(Classifiers!$F$18,E108)),1,0))+IF(Classifiers!$G$18="",0,IF(ISNUMBER(SEARCH(Classifiers!$G$18,E108)),1,0)))&gt;0,1,0))</f>
        <v/>
      </c>
    </row>
    <row r="109">
      <c r="A109" s="8" t="n"/>
      <c r="B109" s="11" t="n"/>
      <c r="C109" s="6">
        <f>IF(A109="","",TRIM(RIGHT(SUBSTITUTE(A109,"/",REPT(" ",250)),250)))</f>
        <v/>
      </c>
      <c r="D109" s="6">
        <f>IF(C109="","",IF(ISNUMBER(SEARCH(".",C109)),LOWER("."&amp;TRIM(RIGHT(SUBSTITUTE(C109,".",REPT(" ",250)),250))),""))</f>
        <v/>
      </c>
      <c r="E109" s="6">
        <f>IF(C109="","",TRIM(SUBSTITUTE(SUBSTITUTE(SUBSTITUTE(SUBSTITUTE(SUBSTITUTE(SUBSTITUTE(SUBSTITUTE(SUBSTITUTE(SUBSTITUTE(SUBSTITUTE(SUBSTITUTE(SUBSTITUTE(SUBSTITUTE(SUBSTITUTE(SUBSTITUTE(SUBSTITUTE(SUBSTITUTE(SUBSTITUTE(SUBSTITUTE(SUBSTITUTE(LOWER(LEFT(C109,LEN(C109)-LEN(D109))),"_"," "),"-"," "),"."," "),","," "),"("," "),")"," "),"["," "),"]"," "),"&amp;"," "),"+"," "),"@"," "),"#"," "),"!"," "),"'"," "),"/"," "),":"," "),";"," "),"="," "),"~"," "),"%"," ")))</f>
        <v/>
      </c>
      <c r="F109" s="6">
        <f>IF(C109="","",IF(COUNTIF(Classifiers!$A$23:$A$40,D109)&gt;0,1,0))</f>
        <v/>
      </c>
      <c r="G109" s="6">
        <f>IF(C109="","",IF(COUNTIF(Classifiers!$C$23:$C$30,D109)&gt;0,IF((IF(ISNUMBER(SEARCH(Classifiers!$E$23,E109)),1,0)+IF(ISNUMBER(SEARCH(Classifiers!$E$24,E109)),1,0)+IF(ISNUMBER(SEARCH(Classifiers!$E$25,E109)),1,0)+IF(ISNUMBER(SEARCH(Classifiers!$E$26,E109)),1,0)+IF(ISNUMBER(SEARCH(Classifiers!$E$27,E109)),1,0)+IF(ISNUMBER(SEARCH(Classifiers!$E$28,E109)),1,0)+IF(ISNUMBER(SEARCH(Classifiers!$E$29,E109)),1,0)+IF(ISNUMBER(SEARCH(Classifiers!$E$30,E109)),1,0))&gt;0,1,0),0))</f>
        <v/>
      </c>
      <c r="H109" s="6">
        <f>IF(C109="","",IF(OR(LEFT(C109,1)=".",AND(F109=0,G109=0)),0,1))</f>
        <v/>
      </c>
      <c r="I109" s="6">
        <f>IF(H109&lt;&gt;1,"",IF(SUM(J109:W109)=0,"unclassified",INDEX(Classifiers!$A$5:$A$18,MATCH(1,J109:W109,0),1)))</f>
        <v/>
      </c>
      <c r="J109" s="12">
        <f>IF(H109&lt;&gt;1,0,IF((IF(Classifiers!$B$5="",0,IF(ISNUMBER(SEARCH(Classifiers!$B$5,E109)),1,0))+IF(Classifiers!$C$5="",0,IF(ISNUMBER(SEARCH(Classifiers!$C$5,E109)),1,0))+IF(Classifiers!$D$5="",0,IF(ISNUMBER(SEARCH(Classifiers!$D$5,E109)),1,0))+IF(Classifiers!$E$5="",0,IF(ISNUMBER(SEARCH(Classifiers!$E$5,E109)),1,0))+IF(Classifiers!$F$5="",0,IF(ISNUMBER(SEARCH(Classifiers!$F$5,E109)),1,0))+IF(Classifiers!$G$5="",0,IF(ISNUMBER(SEARCH(Classifiers!$G$5,E109)),1,0)))&gt;0,1,0))</f>
        <v/>
      </c>
      <c r="K109" s="12">
        <f>IF(H109&lt;&gt;1,0,IF((IF(Classifiers!$B$6="",0,IF(ISNUMBER(SEARCH(Classifiers!$B$6,E109)),1,0))+IF(Classifiers!$C$6="",0,IF(ISNUMBER(SEARCH(Classifiers!$C$6,E109)),1,0))+IF(Classifiers!$D$6="",0,IF(ISNUMBER(SEARCH(Classifiers!$D$6,E109)),1,0))+IF(Classifiers!$E$6="",0,IF(ISNUMBER(SEARCH(Classifiers!$E$6,E109)),1,0))+IF(Classifiers!$F$6="",0,IF(ISNUMBER(SEARCH(Classifiers!$F$6,E109)),1,0))+IF(Classifiers!$G$6="",0,IF(ISNUMBER(SEARCH(Classifiers!$G$6,E109)),1,0)))&gt;0,1,0))</f>
        <v/>
      </c>
      <c r="L109" s="12">
        <f>IF(H109&lt;&gt;1,0,IF((IF(Classifiers!$B$7="",0,IF(ISNUMBER(SEARCH(Classifiers!$B$7,E109)),1,0))+IF(Classifiers!$C$7="",0,IF(ISNUMBER(SEARCH(Classifiers!$C$7,E109)),1,0))+IF(Classifiers!$D$7="",0,IF(ISNUMBER(SEARCH(Classifiers!$D$7,E109)),1,0))+IF(Classifiers!$E$7="",0,IF(ISNUMBER(SEARCH(Classifiers!$E$7,E109)),1,0))+IF(Classifiers!$F$7="",0,IF(ISNUMBER(SEARCH(Classifiers!$F$7,E109)),1,0))+IF(Classifiers!$G$7="",0,IF(ISNUMBER(SEARCH(Classifiers!$G$7,E109)),1,0)))&gt;0,1,0))</f>
        <v/>
      </c>
      <c r="M109" s="12">
        <f>IF(H109&lt;&gt;1,0,IF((IF(Classifiers!$B$8="",0,IF(ISNUMBER(SEARCH(Classifiers!$B$8,E109)),1,0))+IF(Classifiers!$C$8="",0,IF(ISNUMBER(SEARCH(Classifiers!$C$8,E109)),1,0))+IF(Classifiers!$D$8="",0,IF(ISNUMBER(SEARCH(Classifiers!$D$8,E109)),1,0))+IF(Classifiers!$E$8="",0,IF(ISNUMBER(SEARCH(Classifiers!$E$8,E109)),1,0))+IF(Classifiers!$F$8="",0,IF(ISNUMBER(SEARCH(Classifiers!$F$8,E109)),1,0))+IF(Classifiers!$G$8="",0,IF(ISNUMBER(SEARCH(Classifiers!$G$8,E109)),1,0)))&gt;0,1,0))</f>
        <v/>
      </c>
      <c r="N109" s="12">
        <f>IF(H109&lt;&gt;1,0,IF((IF(Classifiers!$B$9="",0,IF(ISNUMBER(SEARCH(Classifiers!$B$9,E109)),1,0))+IF(Classifiers!$C$9="",0,IF(ISNUMBER(SEARCH(Classifiers!$C$9,E109)),1,0))+IF(Classifiers!$D$9="",0,IF(ISNUMBER(SEARCH(Classifiers!$D$9,E109)),1,0))+IF(Classifiers!$E$9="",0,IF(ISNUMBER(SEARCH(Classifiers!$E$9,E109)),1,0))+IF(Classifiers!$F$9="",0,IF(ISNUMBER(SEARCH(Classifiers!$F$9,E109)),1,0))+IF(Classifiers!$G$9="",0,IF(ISNUMBER(SEARCH(Classifiers!$G$9,E109)),1,0)))&gt;0,1,0))</f>
        <v/>
      </c>
      <c r="O109" s="12">
        <f>IF(H109&lt;&gt;1,0,IF((IF(Classifiers!$B$10="",0,IF(ISNUMBER(SEARCH(Classifiers!$B$10,E109)),1,0))+IF(Classifiers!$C$10="",0,IF(ISNUMBER(SEARCH(Classifiers!$C$10,E109)),1,0))+IF(Classifiers!$D$10="",0,IF(ISNUMBER(SEARCH(Classifiers!$D$10,E109)),1,0))+IF(Classifiers!$E$10="",0,IF(ISNUMBER(SEARCH(Classifiers!$E$10,E109)),1,0))+IF(Classifiers!$F$10="",0,IF(ISNUMBER(SEARCH(Classifiers!$F$10,E109)),1,0))+IF(Classifiers!$G$10="",0,IF(ISNUMBER(SEARCH(Classifiers!$G$10,E109)),1,0)))&gt;0,1,0))</f>
        <v/>
      </c>
      <c r="P109" s="12">
        <f>IF(H109&lt;&gt;1,0,IF((IF(Classifiers!$B$11="",0,IF(ISNUMBER(SEARCH(Classifiers!$B$11,E109)),1,0))+IF(Classifiers!$C$11="",0,IF(ISNUMBER(SEARCH(Classifiers!$C$11,E109)),1,0))+IF(Classifiers!$D$11="",0,IF(ISNUMBER(SEARCH(Classifiers!$D$11,E109)),1,0))+IF(Classifiers!$E$11="",0,IF(ISNUMBER(SEARCH(Classifiers!$E$11,E109)),1,0))+IF(Classifiers!$F$11="",0,IF(ISNUMBER(SEARCH(Classifiers!$F$11,E109)),1,0))+IF(Classifiers!$G$11="",0,IF(ISNUMBER(SEARCH(Classifiers!$G$11,E109)),1,0)))&gt;0,1,0))</f>
        <v/>
      </c>
      <c r="Q109" s="12">
        <f>IF(H109&lt;&gt;1,0,IF((IF(Classifiers!$B$12="",0,IF(ISNUMBER(SEARCH(Classifiers!$B$12,E109)),1,0))+IF(Classifiers!$C$12="",0,IF(ISNUMBER(SEARCH(Classifiers!$C$12,E109)),1,0))+IF(Classifiers!$D$12="",0,IF(ISNUMBER(SEARCH(Classifiers!$D$12,E109)),1,0))+IF(Classifiers!$E$12="",0,IF(ISNUMBER(SEARCH(Classifiers!$E$12,E109)),1,0))+IF(Classifiers!$F$12="",0,IF(ISNUMBER(SEARCH(Classifiers!$F$12,E109)),1,0))+IF(Classifiers!$G$12="",0,IF(ISNUMBER(SEARCH(Classifiers!$G$12,E109)),1,0)))&gt;0,1,0))</f>
        <v/>
      </c>
      <c r="R109" s="12">
        <f>IF(H109&lt;&gt;1,0,IF((IF(Classifiers!$B$13="",0,IF(ISNUMBER(SEARCH(Classifiers!$B$13,E109)),1,0))+IF(Classifiers!$C$13="",0,IF(ISNUMBER(SEARCH(Classifiers!$C$13,E109)),1,0))+IF(Classifiers!$D$13="",0,IF(ISNUMBER(SEARCH(Classifiers!$D$13,E109)),1,0))+IF(Classifiers!$E$13="",0,IF(ISNUMBER(SEARCH(Classifiers!$E$13,E109)),1,0))+IF(Classifiers!$F$13="",0,IF(ISNUMBER(SEARCH(Classifiers!$F$13,E109)),1,0))+IF(Classifiers!$G$13="",0,IF(ISNUMBER(SEARCH(Classifiers!$G$13,E109)),1,0)))&gt;0,1,0))</f>
        <v/>
      </c>
      <c r="S109" s="12">
        <f>IF(H109&lt;&gt;1,0,IF((IF(Classifiers!$B$14="",0,IF(ISNUMBER(SEARCH(Classifiers!$B$14,E109)),1,0))+IF(Classifiers!$C$14="",0,IF(ISNUMBER(SEARCH(Classifiers!$C$14,E109)),1,0))+IF(Classifiers!$D$14="",0,IF(ISNUMBER(SEARCH(Classifiers!$D$14,E109)),1,0))+IF(Classifiers!$E$14="",0,IF(ISNUMBER(SEARCH(Classifiers!$E$14,E109)),1,0))+IF(Classifiers!$F$14="",0,IF(ISNUMBER(SEARCH(Classifiers!$F$14,E109)),1,0))+IF(Classifiers!$G$14="",0,IF(ISNUMBER(SEARCH(Classifiers!$G$14,E109)),1,0)))&gt;0,1,0))</f>
        <v/>
      </c>
      <c r="T109" s="12">
        <f>IF(H109&lt;&gt;1,0,IF((IF(Classifiers!$B$15="",0,IF(ISNUMBER(SEARCH(Classifiers!$B$15,E109)),1,0))+IF(Classifiers!$C$15="",0,IF(ISNUMBER(SEARCH(Classifiers!$C$15,E109)),1,0))+IF(Classifiers!$D$15="",0,IF(ISNUMBER(SEARCH(Classifiers!$D$15,E109)),1,0))+IF(Classifiers!$E$15="",0,IF(ISNUMBER(SEARCH(Classifiers!$E$15,E109)),1,0))+IF(Classifiers!$F$15="",0,IF(ISNUMBER(SEARCH(Classifiers!$F$15,E109)),1,0))+IF(Classifiers!$G$15="",0,IF(ISNUMBER(SEARCH(Classifiers!$G$15,E109)),1,0)))&gt;0,1,0))</f>
        <v/>
      </c>
      <c r="U109" s="12">
        <f>IF(H109&lt;&gt;1,0,IF((IF(Classifiers!$B$16="",0,IF(ISNUMBER(SEARCH(Classifiers!$B$16,E109)),1,0))+IF(Classifiers!$C$16="",0,IF(ISNUMBER(SEARCH(Classifiers!$C$16,E109)),1,0))+IF(Classifiers!$D$16="",0,IF(ISNUMBER(SEARCH(Classifiers!$D$16,E109)),1,0))+IF(Classifiers!$E$16="",0,IF(ISNUMBER(SEARCH(Classifiers!$E$16,E109)),1,0))+IF(Classifiers!$F$16="",0,IF(ISNUMBER(SEARCH(Classifiers!$F$16,E109)),1,0))+IF(Classifiers!$G$16="",0,IF(ISNUMBER(SEARCH(Classifiers!$G$16,E109)),1,0)))&gt;0,1,0))</f>
        <v/>
      </c>
      <c r="V109" s="12">
        <f>IF(H109&lt;&gt;1,0,IF((IF(Classifiers!$B$17="",0,IF(ISNUMBER(SEARCH(Classifiers!$B$17,E109)),1,0))+IF(Classifiers!$C$17="",0,IF(ISNUMBER(SEARCH(Classifiers!$C$17,E109)),1,0))+IF(Classifiers!$D$17="",0,IF(ISNUMBER(SEARCH(Classifiers!$D$17,E109)),1,0))+IF(Classifiers!$E$17="",0,IF(ISNUMBER(SEARCH(Classifiers!$E$17,E109)),1,0))+IF(Classifiers!$F$17="",0,IF(ISNUMBER(SEARCH(Classifiers!$F$17,E109)),1,0))+IF(Classifiers!$G$17="",0,IF(ISNUMBER(SEARCH(Classifiers!$G$17,E109)),1,0)))&gt;0,1,0))</f>
        <v/>
      </c>
      <c r="W109" s="12">
        <f>IF(H109&lt;&gt;1,0,IF((IF(Classifiers!$B$18="",0,IF(ISNUMBER(SEARCH(Classifiers!$B$18,E109)),1,0))+IF(Classifiers!$C$18="",0,IF(ISNUMBER(SEARCH(Classifiers!$C$18,E109)),1,0))+IF(Classifiers!$D$18="",0,IF(ISNUMBER(SEARCH(Classifiers!$D$18,E109)),1,0))+IF(Classifiers!$E$18="",0,IF(ISNUMBER(SEARCH(Classifiers!$E$18,E109)),1,0))+IF(Classifiers!$F$18="",0,IF(ISNUMBER(SEARCH(Classifiers!$F$18,E109)),1,0))+IF(Classifiers!$G$18="",0,IF(ISNUMBER(SEARCH(Classifiers!$G$18,E109)),1,0)))&gt;0,1,0))</f>
        <v/>
      </c>
    </row>
    <row r="110">
      <c r="A110" s="8" t="n"/>
      <c r="B110" s="11" t="n"/>
      <c r="C110" s="6">
        <f>IF(A110="","",TRIM(RIGHT(SUBSTITUTE(A110,"/",REPT(" ",250)),250)))</f>
        <v/>
      </c>
      <c r="D110" s="6">
        <f>IF(C110="","",IF(ISNUMBER(SEARCH(".",C110)),LOWER("."&amp;TRIM(RIGHT(SUBSTITUTE(C110,".",REPT(" ",250)),250))),""))</f>
        <v/>
      </c>
      <c r="E110" s="6">
        <f>IF(C110="","",TRIM(SUBSTITUTE(SUBSTITUTE(SUBSTITUTE(SUBSTITUTE(SUBSTITUTE(SUBSTITUTE(SUBSTITUTE(SUBSTITUTE(SUBSTITUTE(SUBSTITUTE(SUBSTITUTE(SUBSTITUTE(SUBSTITUTE(SUBSTITUTE(SUBSTITUTE(SUBSTITUTE(SUBSTITUTE(SUBSTITUTE(SUBSTITUTE(SUBSTITUTE(LOWER(LEFT(C110,LEN(C110)-LEN(D110))),"_"," "),"-"," "),"."," "),","," "),"("," "),")"," "),"["," "),"]"," "),"&amp;"," "),"+"," "),"@"," "),"#"," "),"!"," "),"'"," "),"/"," "),":"," "),";"," "),"="," "),"~"," "),"%"," ")))</f>
        <v/>
      </c>
      <c r="F110" s="6">
        <f>IF(C110="","",IF(COUNTIF(Classifiers!$A$23:$A$40,D110)&gt;0,1,0))</f>
        <v/>
      </c>
      <c r="G110" s="6">
        <f>IF(C110="","",IF(COUNTIF(Classifiers!$C$23:$C$30,D110)&gt;0,IF((IF(ISNUMBER(SEARCH(Classifiers!$E$23,E110)),1,0)+IF(ISNUMBER(SEARCH(Classifiers!$E$24,E110)),1,0)+IF(ISNUMBER(SEARCH(Classifiers!$E$25,E110)),1,0)+IF(ISNUMBER(SEARCH(Classifiers!$E$26,E110)),1,0)+IF(ISNUMBER(SEARCH(Classifiers!$E$27,E110)),1,0)+IF(ISNUMBER(SEARCH(Classifiers!$E$28,E110)),1,0)+IF(ISNUMBER(SEARCH(Classifiers!$E$29,E110)),1,0)+IF(ISNUMBER(SEARCH(Classifiers!$E$30,E110)),1,0))&gt;0,1,0),0))</f>
        <v/>
      </c>
      <c r="H110" s="6">
        <f>IF(C110="","",IF(OR(LEFT(C110,1)=".",AND(F110=0,G110=0)),0,1))</f>
        <v/>
      </c>
      <c r="I110" s="6">
        <f>IF(H110&lt;&gt;1,"",IF(SUM(J110:W110)=0,"unclassified",INDEX(Classifiers!$A$5:$A$18,MATCH(1,J110:W110,0),1)))</f>
        <v/>
      </c>
      <c r="J110" s="12">
        <f>IF(H110&lt;&gt;1,0,IF((IF(Classifiers!$B$5="",0,IF(ISNUMBER(SEARCH(Classifiers!$B$5,E110)),1,0))+IF(Classifiers!$C$5="",0,IF(ISNUMBER(SEARCH(Classifiers!$C$5,E110)),1,0))+IF(Classifiers!$D$5="",0,IF(ISNUMBER(SEARCH(Classifiers!$D$5,E110)),1,0))+IF(Classifiers!$E$5="",0,IF(ISNUMBER(SEARCH(Classifiers!$E$5,E110)),1,0))+IF(Classifiers!$F$5="",0,IF(ISNUMBER(SEARCH(Classifiers!$F$5,E110)),1,0))+IF(Classifiers!$G$5="",0,IF(ISNUMBER(SEARCH(Classifiers!$G$5,E110)),1,0)))&gt;0,1,0))</f>
        <v/>
      </c>
      <c r="K110" s="12">
        <f>IF(H110&lt;&gt;1,0,IF((IF(Classifiers!$B$6="",0,IF(ISNUMBER(SEARCH(Classifiers!$B$6,E110)),1,0))+IF(Classifiers!$C$6="",0,IF(ISNUMBER(SEARCH(Classifiers!$C$6,E110)),1,0))+IF(Classifiers!$D$6="",0,IF(ISNUMBER(SEARCH(Classifiers!$D$6,E110)),1,0))+IF(Classifiers!$E$6="",0,IF(ISNUMBER(SEARCH(Classifiers!$E$6,E110)),1,0))+IF(Classifiers!$F$6="",0,IF(ISNUMBER(SEARCH(Classifiers!$F$6,E110)),1,0))+IF(Classifiers!$G$6="",0,IF(ISNUMBER(SEARCH(Classifiers!$G$6,E110)),1,0)))&gt;0,1,0))</f>
        <v/>
      </c>
      <c r="L110" s="12">
        <f>IF(H110&lt;&gt;1,0,IF((IF(Classifiers!$B$7="",0,IF(ISNUMBER(SEARCH(Classifiers!$B$7,E110)),1,0))+IF(Classifiers!$C$7="",0,IF(ISNUMBER(SEARCH(Classifiers!$C$7,E110)),1,0))+IF(Classifiers!$D$7="",0,IF(ISNUMBER(SEARCH(Classifiers!$D$7,E110)),1,0))+IF(Classifiers!$E$7="",0,IF(ISNUMBER(SEARCH(Classifiers!$E$7,E110)),1,0))+IF(Classifiers!$F$7="",0,IF(ISNUMBER(SEARCH(Classifiers!$F$7,E110)),1,0))+IF(Classifiers!$G$7="",0,IF(ISNUMBER(SEARCH(Classifiers!$G$7,E110)),1,0)))&gt;0,1,0))</f>
        <v/>
      </c>
      <c r="M110" s="12">
        <f>IF(H110&lt;&gt;1,0,IF((IF(Classifiers!$B$8="",0,IF(ISNUMBER(SEARCH(Classifiers!$B$8,E110)),1,0))+IF(Classifiers!$C$8="",0,IF(ISNUMBER(SEARCH(Classifiers!$C$8,E110)),1,0))+IF(Classifiers!$D$8="",0,IF(ISNUMBER(SEARCH(Classifiers!$D$8,E110)),1,0))+IF(Classifiers!$E$8="",0,IF(ISNUMBER(SEARCH(Classifiers!$E$8,E110)),1,0))+IF(Classifiers!$F$8="",0,IF(ISNUMBER(SEARCH(Classifiers!$F$8,E110)),1,0))+IF(Classifiers!$G$8="",0,IF(ISNUMBER(SEARCH(Classifiers!$G$8,E110)),1,0)))&gt;0,1,0))</f>
        <v/>
      </c>
      <c r="N110" s="12">
        <f>IF(H110&lt;&gt;1,0,IF((IF(Classifiers!$B$9="",0,IF(ISNUMBER(SEARCH(Classifiers!$B$9,E110)),1,0))+IF(Classifiers!$C$9="",0,IF(ISNUMBER(SEARCH(Classifiers!$C$9,E110)),1,0))+IF(Classifiers!$D$9="",0,IF(ISNUMBER(SEARCH(Classifiers!$D$9,E110)),1,0))+IF(Classifiers!$E$9="",0,IF(ISNUMBER(SEARCH(Classifiers!$E$9,E110)),1,0))+IF(Classifiers!$F$9="",0,IF(ISNUMBER(SEARCH(Classifiers!$F$9,E110)),1,0))+IF(Classifiers!$G$9="",0,IF(ISNUMBER(SEARCH(Classifiers!$G$9,E110)),1,0)))&gt;0,1,0))</f>
        <v/>
      </c>
      <c r="O110" s="12">
        <f>IF(H110&lt;&gt;1,0,IF((IF(Classifiers!$B$10="",0,IF(ISNUMBER(SEARCH(Classifiers!$B$10,E110)),1,0))+IF(Classifiers!$C$10="",0,IF(ISNUMBER(SEARCH(Classifiers!$C$10,E110)),1,0))+IF(Classifiers!$D$10="",0,IF(ISNUMBER(SEARCH(Classifiers!$D$10,E110)),1,0))+IF(Classifiers!$E$10="",0,IF(ISNUMBER(SEARCH(Classifiers!$E$10,E110)),1,0))+IF(Classifiers!$F$10="",0,IF(ISNUMBER(SEARCH(Classifiers!$F$10,E110)),1,0))+IF(Classifiers!$G$10="",0,IF(ISNUMBER(SEARCH(Classifiers!$G$10,E110)),1,0)))&gt;0,1,0))</f>
        <v/>
      </c>
      <c r="P110" s="12">
        <f>IF(H110&lt;&gt;1,0,IF((IF(Classifiers!$B$11="",0,IF(ISNUMBER(SEARCH(Classifiers!$B$11,E110)),1,0))+IF(Classifiers!$C$11="",0,IF(ISNUMBER(SEARCH(Classifiers!$C$11,E110)),1,0))+IF(Classifiers!$D$11="",0,IF(ISNUMBER(SEARCH(Classifiers!$D$11,E110)),1,0))+IF(Classifiers!$E$11="",0,IF(ISNUMBER(SEARCH(Classifiers!$E$11,E110)),1,0))+IF(Classifiers!$F$11="",0,IF(ISNUMBER(SEARCH(Classifiers!$F$11,E110)),1,0))+IF(Classifiers!$G$11="",0,IF(ISNUMBER(SEARCH(Classifiers!$G$11,E110)),1,0)))&gt;0,1,0))</f>
        <v/>
      </c>
      <c r="Q110" s="12">
        <f>IF(H110&lt;&gt;1,0,IF((IF(Classifiers!$B$12="",0,IF(ISNUMBER(SEARCH(Classifiers!$B$12,E110)),1,0))+IF(Classifiers!$C$12="",0,IF(ISNUMBER(SEARCH(Classifiers!$C$12,E110)),1,0))+IF(Classifiers!$D$12="",0,IF(ISNUMBER(SEARCH(Classifiers!$D$12,E110)),1,0))+IF(Classifiers!$E$12="",0,IF(ISNUMBER(SEARCH(Classifiers!$E$12,E110)),1,0))+IF(Classifiers!$F$12="",0,IF(ISNUMBER(SEARCH(Classifiers!$F$12,E110)),1,0))+IF(Classifiers!$G$12="",0,IF(ISNUMBER(SEARCH(Classifiers!$G$12,E110)),1,0)))&gt;0,1,0))</f>
        <v/>
      </c>
      <c r="R110" s="12">
        <f>IF(H110&lt;&gt;1,0,IF((IF(Classifiers!$B$13="",0,IF(ISNUMBER(SEARCH(Classifiers!$B$13,E110)),1,0))+IF(Classifiers!$C$13="",0,IF(ISNUMBER(SEARCH(Classifiers!$C$13,E110)),1,0))+IF(Classifiers!$D$13="",0,IF(ISNUMBER(SEARCH(Classifiers!$D$13,E110)),1,0))+IF(Classifiers!$E$13="",0,IF(ISNUMBER(SEARCH(Classifiers!$E$13,E110)),1,0))+IF(Classifiers!$F$13="",0,IF(ISNUMBER(SEARCH(Classifiers!$F$13,E110)),1,0))+IF(Classifiers!$G$13="",0,IF(ISNUMBER(SEARCH(Classifiers!$G$13,E110)),1,0)))&gt;0,1,0))</f>
        <v/>
      </c>
      <c r="S110" s="12">
        <f>IF(H110&lt;&gt;1,0,IF((IF(Classifiers!$B$14="",0,IF(ISNUMBER(SEARCH(Classifiers!$B$14,E110)),1,0))+IF(Classifiers!$C$14="",0,IF(ISNUMBER(SEARCH(Classifiers!$C$14,E110)),1,0))+IF(Classifiers!$D$14="",0,IF(ISNUMBER(SEARCH(Classifiers!$D$14,E110)),1,0))+IF(Classifiers!$E$14="",0,IF(ISNUMBER(SEARCH(Classifiers!$E$14,E110)),1,0))+IF(Classifiers!$F$14="",0,IF(ISNUMBER(SEARCH(Classifiers!$F$14,E110)),1,0))+IF(Classifiers!$G$14="",0,IF(ISNUMBER(SEARCH(Classifiers!$G$14,E110)),1,0)))&gt;0,1,0))</f>
        <v/>
      </c>
      <c r="T110" s="12">
        <f>IF(H110&lt;&gt;1,0,IF((IF(Classifiers!$B$15="",0,IF(ISNUMBER(SEARCH(Classifiers!$B$15,E110)),1,0))+IF(Classifiers!$C$15="",0,IF(ISNUMBER(SEARCH(Classifiers!$C$15,E110)),1,0))+IF(Classifiers!$D$15="",0,IF(ISNUMBER(SEARCH(Classifiers!$D$15,E110)),1,0))+IF(Classifiers!$E$15="",0,IF(ISNUMBER(SEARCH(Classifiers!$E$15,E110)),1,0))+IF(Classifiers!$F$15="",0,IF(ISNUMBER(SEARCH(Classifiers!$F$15,E110)),1,0))+IF(Classifiers!$G$15="",0,IF(ISNUMBER(SEARCH(Classifiers!$G$15,E110)),1,0)))&gt;0,1,0))</f>
        <v/>
      </c>
      <c r="U110" s="12">
        <f>IF(H110&lt;&gt;1,0,IF((IF(Classifiers!$B$16="",0,IF(ISNUMBER(SEARCH(Classifiers!$B$16,E110)),1,0))+IF(Classifiers!$C$16="",0,IF(ISNUMBER(SEARCH(Classifiers!$C$16,E110)),1,0))+IF(Classifiers!$D$16="",0,IF(ISNUMBER(SEARCH(Classifiers!$D$16,E110)),1,0))+IF(Classifiers!$E$16="",0,IF(ISNUMBER(SEARCH(Classifiers!$E$16,E110)),1,0))+IF(Classifiers!$F$16="",0,IF(ISNUMBER(SEARCH(Classifiers!$F$16,E110)),1,0))+IF(Classifiers!$G$16="",0,IF(ISNUMBER(SEARCH(Classifiers!$G$16,E110)),1,0)))&gt;0,1,0))</f>
        <v/>
      </c>
      <c r="V110" s="12">
        <f>IF(H110&lt;&gt;1,0,IF((IF(Classifiers!$B$17="",0,IF(ISNUMBER(SEARCH(Classifiers!$B$17,E110)),1,0))+IF(Classifiers!$C$17="",0,IF(ISNUMBER(SEARCH(Classifiers!$C$17,E110)),1,0))+IF(Classifiers!$D$17="",0,IF(ISNUMBER(SEARCH(Classifiers!$D$17,E110)),1,0))+IF(Classifiers!$E$17="",0,IF(ISNUMBER(SEARCH(Classifiers!$E$17,E110)),1,0))+IF(Classifiers!$F$17="",0,IF(ISNUMBER(SEARCH(Classifiers!$F$17,E110)),1,0))+IF(Classifiers!$G$17="",0,IF(ISNUMBER(SEARCH(Classifiers!$G$17,E110)),1,0)))&gt;0,1,0))</f>
        <v/>
      </c>
      <c r="W110" s="12">
        <f>IF(H110&lt;&gt;1,0,IF((IF(Classifiers!$B$18="",0,IF(ISNUMBER(SEARCH(Classifiers!$B$18,E110)),1,0))+IF(Classifiers!$C$18="",0,IF(ISNUMBER(SEARCH(Classifiers!$C$18,E110)),1,0))+IF(Classifiers!$D$18="",0,IF(ISNUMBER(SEARCH(Classifiers!$D$18,E110)),1,0))+IF(Classifiers!$E$18="",0,IF(ISNUMBER(SEARCH(Classifiers!$E$18,E110)),1,0))+IF(Classifiers!$F$18="",0,IF(ISNUMBER(SEARCH(Classifiers!$F$18,E110)),1,0))+IF(Classifiers!$G$18="",0,IF(ISNUMBER(SEARCH(Classifiers!$G$18,E110)),1,0)))&gt;0,1,0))</f>
        <v/>
      </c>
    </row>
    <row r="111">
      <c r="A111" s="8" t="n"/>
      <c r="B111" s="11" t="n"/>
      <c r="C111" s="6">
        <f>IF(A111="","",TRIM(RIGHT(SUBSTITUTE(A111,"/",REPT(" ",250)),250)))</f>
        <v/>
      </c>
      <c r="D111" s="6">
        <f>IF(C111="","",IF(ISNUMBER(SEARCH(".",C111)),LOWER("."&amp;TRIM(RIGHT(SUBSTITUTE(C111,".",REPT(" ",250)),250))),""))</f>
        <v/>
      </c>
      <c r="E111" s="6">
        <f>IF(C111="","",TRIM(SUBSTITUTE(SUBSTITUTE(SUBSTITUTE(SUBSTITUTE(SUBSTITUTE(SUBSTITUTE(SUBSTITUTE(SUBSTITUTE(SUBSTITUTE(SUBSTITUTE(SUBSTITUTE(SUBSTITUTE(SUBSTITUTE(SUBSTITUTE(SUBSTITUTE(SUBSTITUTE(SUBSTITUTE(SUBSTITUTE(SUBSTITUTE(SUBSTITUTE(LOWER(LEFT(C111,LEN(C111)-LEN(D111))),"_"," "),"-"," "),"."," "),","," "),"("," "),")"," "),"["," "),"]"," "),"&amp;"," "),"+"," "),"@"," "),"#"," "),"!"," "),"'"," "),"/"," "),":"," "),";"," "),"="," "),"~"," "),"%"," ")))</f>
        <v/>
      </c>
      <c r="F111" s="6">
        <f>IF(C111="","",IF(COUNTIF(Classifiers!$A$23:$A$40,D111)&gt;0,1,0))</f>
        <v/>
      </c>
      <c r="G111" s="6">
        <f>IF(C111="","",IF(COUNTIF(Classifiers!$C$23:$C$30,D111)&gt;0,IF((IF(ISNUMBER(SEARCH(Classifiers!$E$23,E111)),1,0)+IF(ISNUMBER(SEARCH(Classifiers!$E$24,E111)),1,0)+IF(ISNUMBER(SEARCH(Classifiers!$E$25,E111)),1,0)+IF(ISNUMBER(SEARCH(Classifiers!$E$26,E111)),1,0)+IF(ISNUMBER(SEARCH(Classifiers!$E$27,E111)),1,0)+IF(ISNUMBER(SEARCH(Classifiers!$E$28,E111)),1,0)+IF(ISNUMBER(SEARCH(Classifiers!$E$29,E111)),1,0)+IF(ISNUMBER(SEARCH(Classifiers!$E$30,E111)),1,0))&gt;0,1,0),0))</f>
        <v/>
      </c>
      <c r="H111" s="6">
        <f>IF(C111="","",IF(OR(LEFT(C111,1)=".",AND(F111=0,G111=0)),0,1))</f>
        <v/>
      </c>
      <c r="I111" s="6">
        <f>IF(H111&lt;&gt;1,"",IF(SUM(J111:W111)=0,"unclassified",INDEX(Classifiers!$A$5:$A$18,MATCH(1,J111:W111,0),1)))</f>
        <v/>
      </c>
      <c r="J111" s="12">
        <f>IF(H111&lt;&gt;1,0,IF((IF(Classifiers!$B$5="",0,IF(ISNUMBER(SEARCH(Classifiers!$B$5,E111)),1,0))+IF(Classifiers!$C$5="",0,IF(ISNUMBER(SEARCH(Classifiers!$C$5,E111)),1,0))+IF(Classifiers!$D$5="",0,IF(ISNUMBER(SEARCH(Classifiers!$D$5,E111)),1,0))+IF(Classifiers!$E$5="",0,IF(ISNUMBER(SEARCH(Classifiers!$E$5,E111)),1,0))+IF(Classifiers!$F$5="",0,IF(ISNUMBER(SEARCH(Classifiers!$F$5,E111)),1,0))+IF(Classifiers!$G$5="",0,IF(ISNUMBER(SEARCH(Classifiers!$G$5,E111)),1,0)))&gt;0,1,0))</f>
        <v/>
      </c>
      <c r="K111" s="12">
        <f>IF(H111&lt;&gt;1,0,IF((IF(Classifiers!$B$6="",0,IF(ISNUMBER(SEARCH(Classifiers!$B$6,E111)),1,0))+IF(Classifiers!$C$6="",0,IF(ISNUMBER(SEARCH(Classifiers!$C$6,E111)),1,0))+IF(Classifiers!$D$6="",0,IF(ISNUMBER(SEARCH(Classifiers!$D$6,E111)),1,0))+IF(Classifiers!$E$6="",0,IF(ISNUMBER(SEARCH(Classifiers!$E$6,E111)),1,0))+IF(Classifiers!$F$6="",0,IF(ISNUMBER(SEARCH(Classifiers!$F$6,E111)),1,0))+IF(Classifiers!$G$6="",0,IF(ISNUMBER(SEARCH(Classifiers!$G$6,E111)),1,0)))&gt;0,1,0))</f>
        <v/>
      </c>
      <c r="L111" s="12">
        <f>IF(H111&lt;&gt;1,0,IF((IF(Classifiers!$B$7="",0,IF(ISNUMBER(SEARCH(Classifiers!$B$7,E111)),1,0))+IF(Classifiers!$C$7="",0,IF(ISNUMBER(SEARCH(Classifiers!$C$7,E111)),1,0))+IF(Classifiers!$D$7="",0,IF(ISNUMBER(SEARCH(Classifiers!$D$7,E111)),1,0))+IF(Classifiers!$E$7="",0,IF(ISNUMBER(SEARCH(Classifiers!$E$7,E111)),1,0))+IF(Classifiers!$F$7="",0,IF(ISNUMBER(SEARCH(Classifiers!$F$7,E111)),1,0))+IF(Classifiers!$G$7="",0,IF(ISNUMBER(SEARCH(Classifiers!$G$7,E111)),1,0)))&gt;0,1,0))</f>
        <v/>
      </c>
      <c r="M111" s="12">
        <f>IF(H111&lt;&gt;1,0,IF((IF(Classifiers!$B$8="",0,IF(ISNUMBER(SEARCH(Classifiers!$B$8,E111)),1,0))+IF(Classifiers!$C$8="",0,IF(ISNUMBER(SEARCH(Classifiers!$C$8,E111)),1,0))+IF(Classifiers!$D$8="",0,IF(ISNUMBER(SEARCH(Classifiers!$D$8,E111)),1,0))+IF(Classifiers!$E$8="",0,IF(ISNUMBER(SEARCH(Classifiers!$E$8,E111)),1,0))+IF(Classifiers!$F$8="",0,IF(ISNUMBER(SEARCH(Classifiers!$F$8,E111)),1,0))+IF(Classifiers!$G$8="",0,IF(ISNUMBER(SEARCH(Classifiers!$G$8,E111)),1,0)))&gt;0,1,0))</f>
        <v/>
      </c>
      <c r="N111" s="12">
        <f>IF(H111&lt;&gt;1,0,IF((IF(Classifiers!$B$9="",0,IF(ISNUMBER(SEARCH(Classifiers!$B$9,E111)),1,0))+IF(Classifiers!$C$9="",0,IF(ISNUMBER(SEARCH(Classifiers!$C$9,E111)),1,0))+IF(Classifiers!$D$9="",0,IF(ISNUMBER(SEARCH(Classifiers!$D$9,E111)),1,0))+IF(Classifiers!$E$9="",0,IF(ISNUMBER(SEARCH(Classifiers!$E$9,E111)),1,0))+IF(Classifiers!$F$9="",0,IF(ISNUMBER(SEARCH(Classifiers!$F$9,E111)),1,0))+IF(Classifiers!$G$9="",0,IF(ISNUMBER(SEARCH(Classifiers!$G$9,E111)),1,0)))&gt;0,1,0))</f>
        <v/>
      </c>
      <c r="O111" s="12">
        <f>IF(H111&lt;&gt;1,0,IF((IF(Classifiers!$B$10="",0,IF(ISNUMBER(SEARCH(Classifiers!$B$10,E111)),1,0))+IF(Classifiers!$C$10="",0,IF(ISNUMBER(SEARCH(Classifiers!$C$10,E111)),1,0))+IF(Classifiers!$D$10="",0,IF(ISNUMBER(SEARCH(Classifiers!$D$10,E111)),1,0))+IF(Classifiers!$E$10="",0,IF(ISNUMBER(SEARCH(Classifiers!$E$10,E111)),1,0))+IF(Classifiers!$F$10="",0,IF(ISNUMBER(SEARCH(Classifiers!$F$10,E111)),1,0))+IF(Classifiers!$G$10="",0,IF(ISNUMBER(SEARCH(Classifiers!$G$10,E111)),1,0)))&gt;0,1,0))</f>
        <v/>
      </c>
      <c r="P111" s="12">
        <f>IF(H111&lt;&gt;1,0,IF((IF(Classifiers!$B$11="",0,IF(ISNUMBER(SEARCH(Classifiers!$B$11,E111)),1,0))+IF(Classifiers!$C$11="",0,IF(ISNUMBER(SEARCH(Classifiers!$C$11,E111)),1,0))+IF(Classifiers!$D$11="",0,IF(ISNUMBER(SEARCH(Classifiers!$D$11,E111)),1,0))+IF(Classifiers!$E$11="",0,IF(ISNUMBER(SEARCH(Classifiers!$E$11,E111)),1,0))+IF(Classifiers!$F$11="",0,IF(ISNUMBER(SEARCH(Classifiers!$F$11,E111)),1,0))+IF(Classifiers!$G$11="",0,IF(ISNUMBER(SEARCH(Classifiers!$G$11,E111)),1,0)))&gt;0,1,0))</f>
        <v/>
      </c>
      <c r="Q111" s="12">
        <f>IF(H111&lt;&gt;1,0,IF((IF(Classifiers!$B$12="",0,IF(ISNUMBER(SEARCH(Classifiers!$B$12,E111)),1,0))+IF(Classifiers!$C$12="",0,IF(ISNUMBER(SEARCH(Classifiers!$C$12,E111)),1,0))+IF(Classifiers!$D$12="",0,IF(ISNUMBER(SEARCH(Classifiers!$D$12,E111)),1,0))+IF(Classifiers!$E$12="",0,IF(ISNUMBER(SEARCH(Classifiers!$E$12,E111)),1,0))+IF(Classifiers!$F$12="",0,IF(ISNUMBER(SEARCH(Classifiers!$F$12,E111)),1,0))+IF(Classifiers!$G$12="",0,IF(ISNUMBER(SEARCH(Classifiers!$G$12,E111)),1,0)))&gt;0,1,0))</f>
        <v/>
      </c>
      <c r="R111" s="12">
        <f>IF(H111&lt;&gt;1,0,IF((IF(Classifiers!$B$13="",0,IF(ISNUMBER(SEARCH(Classifiers!$B$13,E111)),1,0))+IF(Classifiers!$C$13="",0,IF(ISNUMBER(SEARCH(Classifiers!$C$13,E111)),1,0))+IF(Classifiers!$D$13="",0,IF(ISNUMBER(SEARCH(Classifiers!$D$13,E111)),1,0))+IF(Classifiers!$E$13="",0,IF(ISNUMBER(SEARCH(Classifiers!$E$13,E111)),1,0))+IF(Classifiers!$F$13="",0,IF(ISNUMBER(SEARCH(Classifiers!$F$13,E111)),1,0))+IF(Classifiers!$G$13="",0,IF(ISNUMBER(SEARCH(Classifiers!$G$13,E111)),1,0)))&gt;0,1,0))</f>
        <v/>
      </c>
      <c r="S111" s="12">
        <f>IF(H111&lt;&gt;1,0,IF((IF(Classifiers!$B$14="",0,IF(ISNUMBER(SEARCH(Classifiers!$B$14,E111)),1,0))+IF(Classifiers!$C$14="",0,IF(ISNUMBER(SEARCH(Classifiers!$C$14,E111)),1,0))+IF(Classifiers!$D$14="",0,IF(ISNUMBER(SEARCH(Classifiers!$D$14,E111)),1,0))+IF(Classifiers!$E$14="",0,IF(ISNUMBER(SEARCH(Classifiers!$E$14,E111)),1,0))+IF(Classifiers!$F$14="",0,IF(ISNUMBER(SEARCH(Classifiers!$F$14,E111)),1,0))+IF(Classifiers!$G$14="",0,IF(ISNUMBER(SEARCH(Classifiers!$G$14,E111)),1,0)))&gt;0,1,0))</f>
        <v/>
      </c>
      <c r="T111" s="12">
        <f>IF(H111&lt;&gt;1,0,IF((IF(Classifiers!$B$15="",0,IF(ISNUMBER(SEARCH(Classifiers!$B$15,E111)),1,0))+IF(Classifiers!$C$15="",0,IF(ISNUMBER(SEARCH(Classifiers!$C$15,E111)),1,0))+IF(Classifiers!$D$15="",0,IF(ISNUMBER(SEARCH(Classifiers!$D$15,E111)),1,0))+IF(Classifiers!$E$15="",0,IF(ISNUMBER(SEARCH(Classifiers!$E$15,E111)),1,0))+IF(Classifiers!$F$15="",0,IF(ISNUMBER(SEARCH(Classifiers!$F$15,E111)),1,0))+IF(Classifiers!$G$15="",0,IF(ISNUMBER(SEARCH(Classifiers!$G$15,E111)),1,0)))&gt;0,1,0))</f>
        <v/>
      </c>
      <c r="U111" s="12">
        <f>IF(H111&lt;&gt;1,0,IF((IF(Classifiers!$B$16="",0,IF(ISNUMBER(SEARCH(Classifiers!$B$16,E111)),1,0))+IF(Classifiers!$C$16="",0,IF(ISNUMBER(SEARCH(Classifiers!$C$16,E111)),1,0))+IF(Classifiers!$D$16="",0,IF(ISNUMBER(SEARCH(Classifiers!$D$16,E111)),1,0))+IF(Classifiers!$E$16="",0,IF(ISNUMBER(SEARCH(Classifiers!$E$16,E111)),1,0))+IF(Classifiers!$F$16="",0,IF(ISNUMBER(SEARCH(Classifiers!$F$16,E111)),1,0))+IF(Classifiers!$G$16="",0,IF(ISNUMBER(SEARCH(Classifiers!$G$16,E111)),1,0)))&gt;0,1,0))</f>
        <v/>
      </c>
      <c r="V111" s="12">
        <f>IF(H111&lt;&gt;1,0,IF((IF(Classifiers!$B$17="",0,IF(ISNUMBER(SEARCH(Classifiers!$B$17,E111)),1,0))+IF(Classifiers!$C$17="",0,IF(ISNUMBER(SEARCH(Classifiers!$C$17,E111)),1,0))+IF(Classifiers!$D$17="",0,IF(ISNUMBER(SEARCH(Classifiers!$D$17,E111)),1,0))+IF(Classifiers!$E$17="",0,IF(ISNUMBER(SEARCH(Classifiers!$E$17,E111)),1,0))+IF(Classifiers!$F$17="",0,IF(ISNUMBER(SEARCH(Classifiers!$F$17,E111)),1,0))+IF(Classifiers!$G$17="",0,IF(ISNUMBER(SEARCH(Classifiers!$G$17,E111)),1,0)))&gt;0,1,0))</f>
        <v/>
      </c>
      <c r="W111" s="12">
        <f>IF(H111&lt;&gt;1,0,IF((IF(Classifiers!$B$18="",0,IF(ISNUMBER(SEARCH(Classifiers!$B$18,E111)),1,0))+IF(Classifiers!$C$18="",0,IF(ISNUMBER(SEARCH(Classifiers!$C$18,E111)),1,0))+IF(Classifiers!$D$18="",0,IF(ISNUMBER(SEARCH(Classifiers!$D$18,E111)),1,0))+IF(Classifiers!$E$18="",0,IF(ISNUMBER(SEARCH(Classifiers!$E$18,E111)),1,0))+IF(Classifiers!$F$18="",0,IF(ISNUMBER(SEARCH(Classifiers!$F$18,E111)),1,0))+IF(Classifiers!$G$18="",0,IF(ISNUMBER(SEARCH(Classifiers!$G$18,E111)),1,0)))&gt;0,1,0))</f>
        <v/>
      </c>
    </row>
    <row r="112">
      <c r="A112" s="8" t="n"/>
      <c r="B112" s="11" t="n"/>
      <c r="C112" s="6">
        <f>IF(A112="","",TRIM(RIGHT(SUBSTITUTE(A112,"/",REPT(" ",250)),250)))</f>
        <v/>
      </c>
      <c r="D112" s="6">
        <f>IF(C112="","",IF(ISNUMBER(SEARCH(".",C112)),LOWER("."&amp;TRIM(RIGHT(SUBSTITUTE(C112,".",REPT(" ",250)),250))),""))</f>
        <v/>
      </c>
      <c r="E112" s="6">
        <f>IF(C112="","",TRIM(SUBSTITUTE(SUBSTITUTE(SUBSTITUTE(SUBSTITUTE(SUBSTITUTE(SUBSTITUTE(SUBSTITUTE(SUBSTITUTE(SUBSTITUTE(SUBSTITUTE(SUBSTITUTE(SUBSTITUTE(SUBSTITUTE(SUBSTITUTE(SUBSTITUTE(SUBSTITUTE(SUBSTITUTE(SUBSTITUTE(SUBSTITUTE(SUBSTITUTE(LOWER(LEFT(C112,LEN(C112)-LEN(D112))),"_"," "),"-"," "),"."," "),","," "),"("," "),")"," "),"["," "),"]"," "),"&amp;"," "),"+"," "),"@"," "),"#"," "),"!"," "),"'"," "),"/"," "),":"," "),";"," "),"="," "),"~"," "),"%"," ")))</f>
        <v/>
      </c>
      <c r="F112" s="6">
        <f>IF(C112="","",IF(COUNTIF(Classifiers!$A$23:$A$40,D112)&gt;0,1,0))</f>
        <v/>
      </c>
      <c r="G112" s="6">
        <f>IF(C112="","",IF(COUNTIF(Classifiers!$C$23:$C$30,D112)&gt;0,IF((IF(ISNUMBER(SEARCH(Classifiers!$E$23,E112)),1,0)+IF(ISNUMBER(SEARCH(Classifiers!$E$24,E112)),1,0)+IF(ISNUMBER(SEARCH(Classifiers!$E$25,E112)),1,0)+IF(ISNUMBER(SEARCH(Classifiers!$E$26,E112)),1,0)+IF(ISNUMBER(SEARCH(Classifiers!$E$27,E112)),1,0)+IF(ISNUMBER(SEARCH(Classifiers!$E$28,E112)),1,0)+IF(ISNUMBER(SEARCH(Classifiers!$E$29,E112)),1,0)+IF(ISNUMBER(SEARCH(Classifiers!$E$30,E112)),1,0))&gt;0,1,0),0))</f>
        <v/>
      </c>
      <c r="H112" s="6">
        <f>IF(C112="","",IF(OR(LEFT(C112,1)=".",AND(F112=0,G112=0)),0,1))</f>
        <v/>
      </c>
      <c r="I112" s="6">
        <f>IF(H112&lt;&gt;1,"",IF(SUM(J112:W112)=0,"unclassified",INDEX(Classifiers!$A$5:$A$18,MATCH(1,J112:W112,0),1)))</f>
        <v/>
      </c>
      <c r="J112" s="12">
        <f>IF(H112&lt;&gt;1,0,IF((IF(Classifiers!$B$5="",0,IF(ISNUMBER(SEARCH(Classifiers!$B$5,E112)),1,0))+IF(Classifiers!$C$5="",0,IF(ISNUMBER(SEARCH(Classifiers!$C$5,E112)),1,0))+IF(Classifiers!$D$5="",0,IF(ISNUMBER(SEARCH(Classifiers!$D$5,E112)),1,0))+IF(Classifiers!$E$5="",0,IF(ISNUMBER(SEARCH(Classifiers!$E$5,E112)),1,0))+IF(Classifiers!$F$5="",0,IF(ISNUMBER(SEARCH(Classifiers!$F$5,E112)),1,0))+IF(Classifiers!$G$5="",0,IF(ISNUMBER(SEARCH(Classifiers!$G$5,E112)),1,0)))&gt;0,1,0))</f>
        <v/>
      </c>
      <c r="K112" s="12">
        <f>IF(H112&lt;&gt;1,0,IF((IF(Classifiers!$B$6="",0,IF(ISNUMBER(SEARCH(Classifiers!$B$6,E112)),1,0))+IF(Classifiers!$C$6="",0,IF(ISNUMBER(SEARCH(Classifiers!$C$6,E112)),1,0))+IF(Classifiers!$D$6="",0,IF(ISNUMBER(SEARCH(Classifiers!$D$6,E112)),1,0))+IF(Classifiers!$E$6="",0,IF(ISNUMBER(SEARCH(Classifiers!$E$6,E112)),1,0))+IF(Classifiers!$F$6="",0,IF(ISNUMBER(SEARCH(Classifiers!$F$6,E112)),1,0))+IF(Classifiers!$G$6="",0,IF(ISNUMBER(SEARCH(Classifiers!$G$6,E112)),1,0)))&gt;0,1,0))</f>
        <v/>
      </c>
      <c r="L112" s="12">
        <f>IF(H112&lt;&gt;1,0,IF((IF(Classifiers!$B$7="",0,IF(ISNUMBER(SEARCH(Classifiers!$B$7,E112)),1,0))+IF(Classifiers!$C$7="",0,IF(ISNUMBER(SEARCH(Classifiers!$C$7,E112)),1,0))+IF(Classifiers!$D$7="",0,IF(ISNUMBER(SEARCH(Classifiers!$D$7,E112)),1,0))+IF(Classifiers!$E$7="",0,IF(ISNUMBER(SEARCH(Classifiers!$E$7,E112)),1,0))+IF(Classifiers!$F$7="",0,IF(ISNUMBER(SEARCH(Classifiers!$F$7,E112)),1,0))+IF(Classifiers!$G$7="",0,IF(ISNUMBER(SEARCH(Classifiers!$G$7,E112)),1,0)))&gt;0,1,0))</f>
        <v/>
      </c>
      <c r="M112" s="12">
        <f>IF(H112&lt;&gt;1,0,IF((IF(Classifiers!$B$8="",0,IF(ISNUMBER(SEARCH(Classifiers!$B$8,E112)),1,0))+IF(Classifiers!$C$8="",0,IF(ISNUMBER(SEARCH(Classifiers!$C$8,E112)),1,0))+IF(Classifiers!$D$8="",0,IF(ISNUMBER(SEARCH(Classifiers!$D$8,E112)),1,0))+IF(Classifiers!$E$8="",0,IF(ISNUMBER(SEARCH(Classifiers!$E$8,E112)),1,0))+IF(Classifiers!$F$8="",0,IF(ISNUMBER(SEARCH(Classifiers!$F$8,E112)),1,0))+IF(Classifiers!$G$8="",0,IF(ISNUMBER(SEARCH(Classifiers!$G$8,E112)),1,0)))&gt;0,1,0))</f>
        <v/>
      </c>
      <c r="N112" s="12">
        <f>IF(H112&lt;&gt;1,0,IF((IF(Classifiers!$B$9="",0,IF(ISNUMBER(SEARCH(Classifiers!$B$9,E112)),1,0))+IF(Classifiers!$C$9="",0,IF(ISNUMBER(SEARCH(Classifiers!$C$9,E112)),1,0))+IF(Classifiers!$D$9="",0,IF(ISNUMBER(SEARCH(Classifiers!$D$9,E112)),1,0))+IF(Classifiers!$E$9="",0,IF(ISNUMBER(SEARCH(Classifiers!$E$9,E112)),1,0))+IF(Classifiers!$F$9="",0,IF(ISNUMBER(SEARCH(Classifiers!$F$9,E112)),1,0))+IF(Classifiers!$G$9="",0,IF(ISNUMBER(SEARCH(Classifiers!$G$9,E112)),1,0)))&gt;0,1,0))</f>
        <v/>
      </c>
      <c r="O112" s="12">
        <f>IF(H112&lt;&gt;1,0,IF((IF(Classifiers!$B$10="",0,IF(ISNUMBER(SEARCH(Classifiers!$B$10,E112)),1,0))+IF(Classifiers!$C$10="",0,IF(ISNUMBER(SEARCH(Classifiers!$C$10,E112)),1,0))+IF(Classifiers!$D$10="",0,IF(ISNUMBER(SEARCH(Classifiers!$D$10,E112)),1,0))+IF(Classifiers!$E$10="",0,IF(ISNUMBER(SEARCH(Classifiers!$E$10,E112)),1,0))+IF(Classifiers!$F$10="",0,IF(ISNUMBER(SEARCH(Classifiers!$F$10,E112)),1,0))+IF(Classifiers!$G$10="",0,IF(ISNUMBER(SEARCH(Classifiers!$G$10,E112)),1,0)))&gt;0,1,0))</f>
        <v/>
      </c>
      <c r="P112" s="12">
        <f>IF(H112&lt;&gt;1,0,IF((IF(Classifiers!$B$11="",0,IF(ISNUMBER(SEARCH(Classifiers!$B$11,E112)),1,0))+IF(Classifiers!$C$11="",0,IF(ISNUMBER(SEARCH(Classifiers!$C$11,E112)),1,0))+IF(Classifiers!$D$11="",0,IF(ISNUMBER(SEARCH(Classifiers!$D$11,E112)),1,0))+IF(Classifiers!$E$11="",0,IF(ISNUMBER(SEARCH(Classifiers!$E$11,E112)),1,0))+IF(Classifiers!$F$11="",0,IF(ISNUMBER(SEARCH(Classifiers!$F$11,E112)),1,0))+IF(Classifiers!$G$11="",0,IF(ISNUMBER(SEARCH(Classifiers!$G$11,E112)),1,0)))&gt;0,1,0))</f>
        <v/>
      </c>
      <c r="Q112" s="12">
        <f>IF(H112&lt;&gt;1,0,IF((IF(Classifiers!$B$12="",0,IF(ISNUMBER(SEARCH(Classifiers!$B$12,E112)),1,0))+IF(Classifiers!$C$12="",0,IF(ISNUMBER(SEARCH(Classifiers!$C$12,E112)),1,0))+IF(Classifiers!$D$12="",0,IF(ISNUMBER(SEARCH(Classifiers!$D$12,E112)),1,0))+IF(Classifiers!$E$12="",0,IF(ISNUMBER(SEARCH(Classifiers!$E$12,E112)),1,0))+IF(Classifiers!$F$12="",0,IF(ISNUMBER(SEARCH(Classifiers!$F$12,E112)),1,0))+IF(Classifiers!$G$12="",0,IF(ISNUMBER(SEARCH(Classifiers!$G$12,E112)),1,0)))&gt;0,1,0))</f>
        <v/>
      </c>
      <c r="R112" s="12">
        <f>IF(H112&lt;&gt;1,0,IF((IF(Classifiers!$B$13="",0,IF(ISNUMBER(SEARCH(Classifiers!$B$13,E112)),1,0))+IF(Classifiers!$C$13="",0,IF(ISNUMBER(SEARCH(Classifiers!$C$13,E112)),1,0))+IF(Classifiers!$D$13="",0,IF(ISNUMBER(SEARCH(Classifiers!$D$13,E112)),1,0))+IF(Classifiers!$E$13="",0,IF(ISNUMBER(SEARCH(Classifiers!$E$13,E112)),1,0))+IF(Classifiers!$F$13="",0,IF(ISNUMBER(SEARCH(Classifiers!$F$13,E112)),1,0))+IF(Classifiers!$G$13="",0,IF(ISNUMBER(SEARCH(Classifiers!$G$13,E112)),1,0)))&gt;0,1,0))</f>
        <v/>
      </c>
      <c r="S112" s="12">
        <f>IF(H112&lt;&gt;1,0,IF((IF(Classifiers!$B$14="",0,IF(ISNUMBER(SEARCH(Classifiers!$B$14,E112)),1,0))+IF(Classifiers!$C$14="",0,IF(ISNUMBER(SEARCH(Classifiers!$C$14,E112)),1,0))+IF(Classifiers!$D$14="",0,IF(ISNUMBER(SEARCH(Classifiers!$D$14,E112)),1,0))+IF(Classifiers!$E$14="",0,IF(ISNUMBER(SEARCH(Classifiers!$E$14,E112)),1,0))+IF(Classifiers!$F$14="",0,IF(ISNUMBER(SEARCH(Classifiers!$F$14,E112)),1,0))+IF(Classifiers!$G$14="",0,IF(ISNUMBER(SEARCH(Classifiers!$G$14,E112)),1,0)))&gt;0,1,0))</f>
        <v/>
      </c>
      <c r="T112" s="12">
        <f>IF(H112&lt;&gt;1,0,IF((IF(Classifiers!$B$15="",0,IF(ISNUMBER(SEARCH(Classifiers!$B$15,E112)),1,0))+IF(Classifiers!$C$15="",0,IF(ISNUMBER(SEARCH(Classifiers!$C$15,E112)),1,0))+IF(Classifiers!$D$15="",0,IF(ISNUMBER(SEARCH(Classifiers!$D$15,E112)),1,0))+IF(Classifiers!$E$15="",0,IF(ISNUMBER(SEARCH(Classifiers!$E$15,E112)),1,0))+IF(Classifiers!$F$15="",0,IF(ISNUMBER(SEARCH(Classifiers!$F$15,E112)),1,0))+IF(Classifiers!$G$15="",0,IF(ISNUMBER(SEARCH(Classifiers!$G$15,E112)),1,0)))&gt;0,1,0))</f>
        <v/>
      </c>
      <c r="U112" s="12">
        <f>IF(H112&lt;&gt;1,0,IF((IF(Classifiers!$B$16="",0,IF(ISNUMBER(SEARCH(Classifiers!$B$16,E112)),1,0))+IF(Classifiers!$C$16="",0,IF(ISNUMBER(SEARCH(Classifiers!$C$16,E112)),1,0))+IF(Classifiers!$D$16="",0,IF(ISNUMBER(SEARCH(Classifiers!$D$16,E112)),1,0))+IF(Classifiers!$E$16="",0,IF(ISNUMBER(SEARCH(Classifiers!$E$16,E112)),1,0))+IF(Classifiers!$F$16="",0,IF(ISNUMBER(SEARCH(Classifiers!$F$16,E112)),1,0))+IF(Classifiers!$G$16="",0,IF(ISNUMBER(SEARCH(Classifiers!$G$16,E112)),1,0)))&gt;0,1,0))</f>
        <v/>
      </c>
      <c r="V112" s="12">
        <f>IF(H112&lt;&gt;1,0,IF((IF(Classifiers!$B$17="",0,IF(ISNUMBER(SEARCH(Classifiers!$B$17,E112)),1,0))+IF(Classifiers!$C$17="",0,IF(ISNUMBER(SEARCH(Classifiers!$C$17,E112)),1,0))+IF(Classifiers!$D$17="",0,IF(ISNUMBER(SEARCH(Classifiers!$D$17,E112)),1,0))+IF(Classifiers!$E$17="",0,IF(ISNUMBER(SEARCH(Classifiers!$E$17,E112)),1,0))+IF(Classifiers!$F$17="",0,IF(ISNUMBER(SEARCH(Classifiers!$F$17,E112)),1,0))+IF(Classifiers!$G$17="",0,IF(ISNUMBER(SEARCH(Classifiers!$G$17,E112)),1,0)))&gt;0,1,0))</f>
        <v/>
      </c>
      <c r="W112" s="12">
        <f>IF(H112&lt;&gt;1,0,IF((IF(Classifiers!$B$18="",0,IF(ISNUMBER(SEARCH(Classifiers!$B$18,E112)),1,0))+IF(Classifiers!$C$18="",0,IF(ISNUMBER(SEARCH(Classifiers!$C$18,E112)),1,0))+IF(Classifiers!$D$18="",0,IF(ISNUMBER(SEARCH(Classifiers!$D$18,E112)),1,0))+IF(Classifiers!$E$18="",0,IF(ISNUMBER(SEARCH(Classifiers!$E$18,E112)),1,0))+IF(Classifiers!$F$18="",0,IF(ISNUMBER(SEARCH(Classifiers!$F$18,E112)),1,0))+IF(Classifiers!$G$18="",0,IF(ISNUMBER(SEARCH(Classifiers!$G$18,E112)),1,0)))&gt;0,1,0))</f>
        <v/>
      </c>
    </row>
    <row r="113">
      <c r="A113" s="8" t="n"/>
      <c r="B113" s="11" t="n"/>
      <c r="C113" s="6">
        <f>IF(A113="","",TRIM(RIGHT(SUBSTITUTE(A113,"/",REPT(" ",250)),250)))</f>
        <v/>
      </c>
      <c r="D113" s="6">
        <f>IF(C113="","",IF(ISNUMBER(SEARCH(".",C113)),LOWER("."&amp;TRIM(RIGHT(SUBSTITUTE(C113,".",REPT(" ",250)),250))),""))</f>
        <v/>
      </c>
      <c r="E113" s="6">
        <f>IF(C113="","",TRIM(SUBSTITUTE(SUBSTITUTE(SUBSTITUTE(SUBSTITUTE(SUBSTITUTE(SUBSTITUTE(SUBSTITUTE(SUBSTITUTE(SUBSTITUTE(SUBSTITUTE(SUBSTITUTE(SUBSTITUTE(SUBSTITUTE(SUBSTITUTE(SUBSTITUTE(SUBSTITUTE(SUBSTITUTE(SUBSTITUTE(SUBSTITUTE(SUBSTITUTE(LOWER(LEFT(C113,LEN(C113)-LEN(D113))),"_"," "),"-"," "),"."," "),","," "),"("," "),")"," "),"["," "),"]"," "),"&amp;"," "),"+"," "),"@"," "),"#"," "),"!"," "),"'"," "),"/"," "),":"," "),";"," "),"="," "),"~"," "),"%"," ")))</f>
        <v/>
      </c>
      <c r="F113" s="6">
        <f>IF(C113="","",IF(COUNTIF(Classifiers!$A$23:$A$40,D113)&gt;0,1,0))</f>
        <v/>
      </c>
      <c r="G113" s="6">
        <f>IF(C113="","",IF(COUNTIF(Classifiers!$C$23:$C$30,D113)&gt;0,IF((IF(ISNUMBER(SEARCH(Classifiers!$E$23,E113)),1,0)+IF(ISNUMBER(SEARCH(Classifiers!$E$24,E113)),1,0)+IF(ISNUMBER(SEARCH(Classifiers!$E$25,E113)),1,0)+IF(ISNUMBER(SEARCH(Classifiers!$E$26,E113)),1,0)+IF(ISNUMBER(SEARCH(Classifiers!$E$27,E113)),1,0)+IF(ISNUMBER(SEARCH(Classifiers!$E$28,E113)),1,0)+IF(ISNUMBER(SEARCH(Classifiers!$E$29,E113)),1,0)+IF(ISNUMBER(SEARCH(Classifiers!$E$30,E113)),1,0))&gt;0,1,0),0))</f>
        <v/>
      </c>
      <c r="H113" s="6">
        <f>IF(C113="","",IF(OR(LEFT(C113,1)=".",AND(F113=0,G113=0)),0,1))</f>
        <v/>
      </c>
      <c r="I113" s="6">
        <f>IF(H113&lt;&gt;1,"",IF(SUM(J113:W113)=0,"unclassified",INDEX(Classifiers!$A$5:$A$18,MATCH(1,J113:W113,0),1)))</f>
        <v/>
      </c>
      <c r="J113" s="12">
        <f>IF(H113&lt;&gt;1,0,IF((IF(Classifiers!$B$5="",0,IF(ISNUMBER(SEARCH(Classifiers!$B$5,E113)),1,0))+IF(Classifiers!$C$5="",0,IF(ISNUMBER(SEARCH(Classifiers!$C$5,E113)),1,0))+IF(Classifiers!$D$5="",0,IF(ISNUMBER(SEARCH(Classifiers!$D$5,E113)),1,0))+IF(Classifiers!$E$5="",0,IF(ISNUMBER(SEARCH(Classifiers!$E$5,E113)),1,0))+IF(Classifiers!$F$5="",0,IF(ISNUMBER(SEARCH(Classifiers!$F$5,E113)),1,0))+IF(Classifiers!$G$5="",0,IF(ISNUMBER(SEARCH(Classifiers!$G$5,E113)),1,0)))&gt;0,1,0))</f>
        <v/>
      </c>
      <c r="K113" s="12">
        <f>IF(H113&lt;&gt;1,0,IF((IF(Classifiers!$B$6="",0,IF(ISNUMBER(SEARCH(Classifiers!$B$6,E113)),1,0))+IF(Classifiers!$C$6="",0,IF(ISNUMBER(SEARCH(Classifiers!$C$6,E113)),1,0))+IF(Classifiers!$D$6="",0,IF(ISNUMBER(SEARCH(Classifiers!$D$6,E113)),1,0))+IF(Classifiers!$E$6="",0,IF(ISNUMBER(SEARCH(Classifiers!$E$6,E113)),1,0))+IF(Classifiers!$F$6="",0,IF(ISNUMBER(SEARCH(Classifiers!$F$6,E113)),1,0))+IF(Classifiers!$G$6="",0,IF(ISNUMBER(SEARCH(Classifiers!$G$6,E113)),1,0)))&gt;0,1,0))</f>
        <v/>
      </c>
      <c r="L113" s="12">
        <f>IF(H113&lt;&gt;1,0,IF((IF(Classifiers!$B$7="",0,IF(ISNUMBER(SEARCH(Classifiers!$B$7,E113)),1,0))+IF(Classifiers!$C$7="",0,IF(ISNUMBER(SEARCH(Classifiers!$C$7,E113)),1,0))+IF(Classifiers!$D$7="",0,IF(ISNUMBER(SEARCH(Classifiers!$D$7,E113)),1,0))+IF(Classifiers!$E$7="",0,IF(ISNUMBER(SEARCH(Classifiers!$E$7,E113)),1,0))+IF(Classifiers!$F$7="",0,IF(ISNUMBER(SEARCH(Classifiers!$F$7,E113)),1,0))+IF(Classifiers!$G$7="",0,IF(ISNUMBER(SEARCH(Classifiers!$G$7,E113)),1,0)))&gt;0,1,0))</f>
        <v/>
      </c>
      <c r="M113" s="12">
        <f>IF(H113&lt;&gt;1,0,IF((IF(Classifiers!$B$8="",0,IF(ISNUMBER(SEARCH(Classifiers!$B$8,E113)),1,0))+IF(Classifiers!$C$8="",0,IF(ISNUMBER(SEARCH(Classifiers!$C$8,E113)),1,0))+IF(Classifiers!$D$8="",0,IF(ISNUMBER(SEARCH(Classifiers!$D$8,E113)),1,0))+IF(Classifiers!$E$8="",0,IF(ISNUMBER(SEARCH(Classifiers!$E$8,E113)),1,0))+IF(Classifiers!$F$8="",0,IF(ISNUMBER(SEARCH(Classifiers!$F$8,E113)),1,0))+IF(Classifiers!$G$8="",0,IF(ISNUMBER(SEARCH(Classifiers!$G$8,E113)),1,0)))&gt;0,1,0))</f>
        <v/>
      </c>
      <c r="N113" s="12">
        <f>IF(H113&lt;&gt;1,0,IF((IF(Classifiers!$B$9="",0,IF(ISNUMBER(SEARCH(Classifiers!$B$9,E113)),1,0))+IF(Classifiers!$C$9="",0,IF(ISNUMBER(SEARCH(Classifiers!$C$9,E113)),1,0))+IF(Classifiers!$D$9="",0,IF(ISNUMBER(SEARCH(Classifiers!$D$9,E113)),1,0))+IF(Classifiers!$E$9="",0,IF(ISNUMBER(SEARCH(Classifiers!$E$9,E113)),1,0))+IF(Classifiers!$F$9="",0,IF(ISNUMBER(SEARCH(Classifiers!$F$9,E113)),1,0))+IF(Classifiers!$G$9="",0,IF(ISNUMBER(SEARCH(Classifiers!$G$9,E113)),1,0)))&gt;0,1,0))</f>
        <v/>
      </c>
      <c r="O113" s="12">
        <f>IF(H113&lt;&gt;1,0,IF((IF(Classifiers!$B$10="",0,IF(ISNUMBER(SEARCH(Classifiers!$B$10,E113)),1,0))+IF(Classifiers!$C$10="",0,IF(ISNUMBER(SEARCH(Classifiers!$C$10,E113)),1,0))+IF(Classifiers!$D$10="",0,IF(ISNUMBER(SEARCH(Classifiers!$D$10,E113)),1,0))+IF(Classifiers!$E$10="",0,IF(ISNUMBER(SEARCH(Classifiers!$E$10,E113)),1,0))+IF(Classifiers!$F$10="",0,IF(ISNUMBER(SEARCH(Classifiers!$F$10,E113)),1,0))+IF(Classifiers!$G$10="",0,IF(ISNUMBER(SEARCH(Classifiers!$G$10,E113)),1,0)))&gt;0,1,0))</f>
        <v/>
      </c>
      <c r="P113" s="12">
        <f>IF(H113&lt;&gt;1,0,IF((IF(Classifiers!$B$11="",0,IF(ISNUMBER(SEARCH(Classifiers!$B$11,E113)),1,0))+IF(Classifiers!$C$11="",0,IF(ISNUMBER(SEARCH(Classifiers!$C$11,E113)),1,0))+IF(Classifiers!$D$11="",0,IF(ISNUMBER(SEARCH(Classifiers!$D$11,E113)),1,0))+IF(Classifiers!$E$11="",0,IF(ISNUMBER(SEARCH(Classifiers!$E$11,E113)),1,0))+IF(Classifiers!$F$11="",0,IF(ISNUMBER(SEARCH(Classifiers!$F$11,E113)),1,0))+IF(Classifiers!$G$11="",0,IF(ISNUMBER(SEARCH(Classifiers!$G$11,E113)),1,0)))&gt;0,1,0))</f>
        <v/>
      </c>
      <c r="Q113" s="12">
        <f>IF(H113&lt;&gt;1,0,IF((IF(Classifiers!$B$12="",0,IF(ISNUMBER(SEARCH(Classifiers!$B$12,E113)),1,0))+IF(Classifiers!$C$12="",0,IF(ISNUMBER(SEARCH(Classifiers!$C$12,E113)),1,0))+IF(Classifiers!$D$12="",0,IF(ISNUMBER(SEARCH(Classifiers!$D$12,E113)),1,0))+IF(Classifiers!$E$12="",0,IF(ISNUMBER(SEARCH(Classifiers!$E$12,E113)),1,0))+IF(Classifiers!$F$12="",0,IF(ISNUMBER(SEARCH(Classifiers!$F$12,E113)),1,0))+IF(Classifiers!$G$12="",0,IF(ISNUMBER(SEARCH(Classifiers!$G$12,E113)),1,0)))&gt;0,1,0))</f>
        <v/>
      </c>
      <c r="R113" s="12">
        <f>IF(H113&lt;&gt;1,0,IF((IF(Classifiers!$B$13="",0,IF(ISNUMBER(SEARCH(Classifiers!$B$13,E113)),1,0))+IF(Classifiers!$C$13="",0,IF(ISNUMBER(SEARCH(Classifiers!$C$13,E113)),1,0))+IF(Classifiers!$D$13="",0,IF(ISNUMBER(SEARCH(Classifiers!$D$13,E113)),1,0))+IF(Classifiers!$E$13="",0,IF(ISNUMBER(SEARCH(Classifiers!$E$13,E113)),1,0))+IF(Classifiers!$F$13="",0,IF(ISNUMBER(SEARCH(Classifiers!$F$13,E113)),1,0))+IF(Classifiers!$G$13="",0,IF(ISNUMBER(SEARCH(Classifiers!$G$13,E113)),1,0)))&gt;0,1,0))</f>
        <v/>
      </c>
      <c r="S113" s="12">
        <f>IF(H113&lt;&gt;1,0,IF((IF(Classifiers!$B$14="",0,IF(ISNUMBER(SEARCH(Classifiers!$B$14,E113)),1,0))+IF(Classifiers!$C$14="",0,IF(ISNUMBER(SEARCH(Classifiers!$C$14,E113)),1,0))+IF(Classifiers!$D$14="",0,IF(ISNUMBER(SEARCH(Classifiers!$D$14,E113)),1,0))+IF(Classifiers!$E$14="",0,IF(ISNUMBER(SEARCH(Classifiers!$E$14,E113)),1,0))+IF(Classifiers!$F$14="",0,IF(ISNUMBER(SEARCH(Classifiers!$F$14,E113)),1,0))+IF(Classifiers!$G$14="",0,IF(ISNUMBER(SEARCH(Classifiers!$G$14,E113)),1,0)))&gt;0,1,0))</f>
        <v/>
      </c>
      <c r="T113" s="12">
        <f>IF(H113&lt;&gt;1,0,IF((IF(Classifiers!$B$15="",0,IF(ISNUMBER(SEARCH(Classifiers!$B$15,E113)),1,0))+IF(Classifiers!$C$15="",0,IF(ISNUMBER(SEARCH(Classifiers!$C$15,E113)),1,0))+IF(Classifiers!$D$15="",0,IF(ISNUMBER(SEARCH(Classifiers!$D$15,E113)),1,0))+IF(Classifiers!$E$15="",0,IF(ISNUMBER(SEARCH(Classifiers!$E$15,E113)),1,0))+IF(Classifiers!$F$15="",0,IF(ISNUMBER(SEARCH(Classifiers!$F$15,E113)),1,0))+IF(Classifiers!$G$15="",0,IF(ISNUMBER(SEARCH(Classifiers!$G$15,E113)),1,0)))&gt;0,1,0))</f>
        <v/>
      </c>
      <c r="U113" s="12">
        <f>IF(H113&lt;&gt;1,0,IF((IF(Classifiers!$B$16="",0,IF(ISNUMBER(SEARCH(Classifiers!$B$16,E113)),1,0))+IF(Classifiers!$C$16="",0,IF(ISNUMBER(SEARCH(Classifiers!$C$16,E113)),1,0))+IF(Classifiers!$D$16="",0,IF(ISNUMBER(SEARCH(Classifiers!$D$16,E113)),1,0))+IF(Classifiers!$E$16="",0,IF(ISNUMBER(SEARCH(Classifiers!$E$16,E113)),1,0))+IF(Classifiers!$F$16="",0,IF(ISNUMBER(SEARCH(Classifiers!$F$16,E113)),1,0))+IF(Classifiers!$G$16="",0,IF(ISNUMBER(SEARCH(Classifiers!$G$16,E113)),1,0)))&gt;0,1,0))</f>
        <v/>
      </c>
      <c r="V113" s="12">
        <f>IF(H113&lt;&gt;1,0,IF((IF(Classifiers!$B$17="",0,IF(ISNUMBER(SEARCH(Classifiers!$B$17,E113)),1,0))+IF(Classifiers!$C$17="",0,IF(ISNUMBER(SEARCH(Classifiers!$C$17,E113)),1,0))+IF(Classifiers!$D$17="",0,IF(ISNUMBER(SEARCH(Classifiers!$D$17,E113)),1,0))+IF(Classifiers!$E$17="",0,IF(ISNUMBER(SEARCH(Classifiers!$E$17,E113)),1,0))+IF(Classifiers!$F$17="",0,IF(ISNUMBER(SEARCH(Classifiers!$F$17,E113)),1,0))+IF(Classifiers!$G$17="",0,IF(ISNUMBER(SEARCH(Classifiers!$G$17,E113)),1,0)))&gt;0,1,0))</f>
        <v/>
      </c>
      <c r="W113" s="12">
        <f>IF(H113&lt;&gt;1,0,IF((IF(Classifiers!$B$18="",0,IF(ISNUMBER(SEARCH(Classifiers!$B$18,E113)),1,0))+IF(Classifiers!$C$18="",0,IF(ISNUMBER(SEARCH(Classifiers!$C$18,E113)),1,0))+IF(Classifiers!$D$18="",0,IF(ISNUMBER(SEARCH(Classifiers!$D$18,E113)),1,0))+IF(Classifiers!$E$18="",0,IF(ISNUMBER(SEARCH(Classifiers!$E$18,E113)),1,0))+IF(Classifiers!$F$18="",0,IF(ISNUMBER(SEARCH(Classifiers!$F$18,E113)),1,0))+IF(Classifiers!$G$18="",0,IF(ISNUMBER(SEARCH(Classifiers!$G$18,E113)),1,0)))&gt;0,1,0))</f>
        <v/>
      </c>
    </row>
    <row r="114">
      <c r="A114" s="8" t="n"/>
      <c r="B114" s="11" t="n"/>
      <c r="C114" s="6">
        <f>IF(A114="","",TRIM(RIGHT(SUBSTITUTE(A114,"/",REPT(" ",250)),250)))</f>
        <v/>
      </c>
      <c r="D114" s="6">
        <f>IF(C114="","",IF(ISNUMBER(SEARCH(".",C114)),LOWER("."&amp;TRIM(RIGHT(SUBSTITUTE(C114,".",REPT(" ",250)),250))),""))</f>
        <v/>
      </c>
      <c r="E114" s="6">
        <f>IF(C114="","",TRIM(SUBSTITUTE(SUBSTITUTE(SUBSTITUTE(SUBSTITUTE(SUBSTITUTE(SUBSTITUTE(SUBSTITUTE(SUBSTITUTE(SUBSTITUTE(SUBSTITUTE(SUBSTITUTE(SUBSTITUTE(SUBSTITUTE(SUBSTITUTE(SUBSTITUTE(SUBSTITUTE(SUBSTITUTE(SUBSTITUTE(SUBSTITUTE(SUBSTITUTE(LOWER(LEFT(C114,LEN(C114)-LEN(D114))),"_"," "),"-"," "),"."," "),","," "),"("," "),")"," "),"["," "),"]"," "),"&amp;"," "),"+"," "),"@"," "),"#"," "),"!"," "),"'"," "),"/"," "),":"," "),";"," "),"="," "),"~"," "),"%"," ")))</f>
        <v/>
      </c>
      <c r="F114" s="6">
        <f>IF(C114="","",IF(COUNTIF(Classifiers!$A$23:$A$40,D114)&gt;0,1,0))</f>
        <v/>
      </c>
      <c r="G114" s="6">
        <f>IF(C114="","",IF(COUNTIF(Classifiers!$C$23:$C$30,D114)&gt;0,IF((IF(ISNUMBER(SEARCH(Classifiers!$E$23,E114)),1,0)+IF(ISNUMBER(SEARCH(Classifiers!$E$24,E114)),1,0)+IF(ISNUMBER(SEARCH(Classifiers!$E$25,E114)),1,0)+IF(ISNUMBER(SEARCH(Classifiers!$E$26,E114)),1,0)+IF(ISNUMBER(SEARCH(Classifiers!$E$27,E114)),1,0)+IF(ISNUMBER(SEARCH(Classifiers!$E$28,E114)),1,0)+IF(ISNUMBER(SEARCH(Classifiers!$E$29,E114)),1,0)+IF(ISNUMBER(SEARCH(Classifiers!$E$30,E114)),1,0))&gt;0,1,0),0))</f>
        <v/>
      </c>
      <c r="H114" s="6">
        <f>IF(C114="","",IF(OR(LEFT(C114,1)=".",AND(F114=0,G114=0)),0,1))</f>
        <v/>
      </c>
      <c r="I114" s="6">
        <f>IF(H114&lt;&gt;1,"",IF(SUM(J114:W114)=0,"unclassified",INDEX(Classifiers!$A$5:$A$18,MATCH(1,J114:W114,0),1)))</f>
        <v/>
      </c>
      <c r="J114" s="12">
        <f>IF(H114&lt;&gt;1,0,IF((IF(Classifiers!$B$5="",0,IF(ISNUMBER(SEARCH(Classifiers!$B$5,E114)),1,0))+IF(Classifiers!$C$5="",0,IF(ISNUMBER(SEARCH(Classifiers!$C$5,E114)),1,0))+IF(Classifiers!$D$5="",0,IF(ISNUMBER(SEARCH(Classifiers!$D$5,E114)),1,0))+IF(Classifiers!$E$5="",0,IF(ISNUMBER(SEARCH(Classifiers!$E$5,E114)),1,0))+IF(Classifiers!$F$5="",0,IF(ISNUMBER(SEARCH(Classifiers!$F$5,E114)),1,0))+IF(Classifiers!$G$5="",0,IF(ISNUMBER(SEARCH(Classifiers!$G$5,E114)),1,0)))&gt;0,1,0))</f>
        <v/>
      </c>
      <c r="K114" s="12">
        <f>IF(H114&lt;&gt;1,0,IF((IF(Classifiers!$B$6="",0,IF(ISNUMBER(SEARCH(Classifiers!$B$6,E114)),1,0))+IF(Classifiers!$C$6="",0,IF(ISNUMBER(SEARCH(Classifiers!$C$6,E114)),1,0))+IF(Classifiers!$D$6="",0,IF(ISNUMBER(SEARCH(Classifiers!$D$6,E114)),1,0))+IF(Classifiers!$E$6="",0,IF(ISNUMBER(SEARCH(Classifiers!$E$6,E114)),1,0))+IF(Classifiers!$F$6="",0,IF(ISNUMBER(SEARCH(Classifiers!$F$6,E114)),1,0))+IF(Classifiers!$G$6="",0,IF(ISNUMBER(SEARCH(Classifiers!$G$6,E114)),1,0)))&gt;0,1,0))</f>
        <v/>
      </c>
      <c r="L114" s="12">
        <f>IF(H114&lt;&gt;1,0,IF((IF(Classifiers!$B$7="",0,IF(ISNUMBER(SEARCH(Classifiers!$B$7,E114)),1,0))+IF(Classifiers!$C$7="",0,IF(ISNUMBER(SEARCH(Classifiers!$C$7,E114)),1,0))+IF(Classifiers!$D$7="",0,IF(ISNUMBER(SEARCH(Classifiers!$D$7,E114)),1,0))+IF(Classifiers!$E$7="",0,IF(ISNUMBER(SEARCH(Classifiers!$E$7,E114)),1,0))+IF(Classifiers!$F$7="",0,IF(ISNUMBER(SEARCH(Classifiers!$F$7,E114)),1,0))+IF(Classifiers!$G$7="",0,IF(ISNUMBER(SEARCH(Classifiers!$G$7,E114)),1,0)))&gt;0,1,0))</f>
        <v/>
      </c>
      <c r="M114" s="12">
        <f>IF(H114&lt;&gt;1,0,IF((IF(Classifiers!$B$8="",0,IF(ISNUMBER(SEARCH(Classifiers!$B$8,E114)),1,0))+IF(Classifiers!$C$8="",0,IF(ISNUMBER(SEARCH(Classifiers!$C$8,E114)),1,0))+IF(Classifiers!$D$8="",0,IF(ISNUMBER(SEARCH(Classifiers!$D$8,E114)),1,0))+IF(Classifiers!$E$8="",0,IF(ISNUMBER(SEARCH(Classifiers!$E$8,E114)),1,0))+IF(Classifiers!$F$8="",0,IF(ISNUMBER(SEARCH(Classifiers!$F$8,E114)),1,0))+IF(Classifiers!$G$8="",0,IF(ISNUMBER(SEARCH(Classifiers!$G$8,E114)),1,0)))&gt;0,1,0))</f>
        <v/>
      </c>
      <c r="N114" s="12">
        <f>IF(H114&lt;&gt;1,0,IF((IF(Classifiers!$B$9="",0,IF(ISNUMBER(SEARCH(Classifiers!$B$9,E114)),1,0))+IF(Classifiers!$C$9="",0,IF(ISNUMBER(SEARCH(Classifiers!$C$9,E114)),1,0))+IF(Classifiers!$D$9="",0,IF(ISNUMBER(SEARCH(Classifiers!$D$9,E114)),1,0))+IF(Classifiers!$E$9="",0,IF(ISNUMBER(SEARCH(Classifiers!$E$9,E114)),1,0))+IF(Classifiers!$F$9="",0,IF(ISNUMBER(SEARCH(Classifiers!$F$9,E114)),1,0))+IF(Classifiers!$G$9="",0,IF(ISNUMBER(SEARCH(Classifiers!$G$9,E114)),1,0)))&gt;0,1,0))</f>
        <v/>
      </c>
      <c r="O114" s="12">
        <f>IF(H114&lt;&gt;1,0,IF((IF(Classifiers!$B$10="",0,IF(ISNUMBER(SEARCH(Classifiers!$B$10,E114)),1,0))+IF(Classifiers!$C$10="",0,IF(ISNUMBER(SEARCH(Classifiers!$C$10,E114)),1,0))+IF(Classifiers!$D$10="",0,IF(ISNUMBER(SEARCH(Classifiers!$D$10,E114)),1,0))+IF(Classifiers!$E$10="",0,IF(ISNUMBER(SEARCH(Classifiers!$E$10,E114)),1,0))+IF(Classifiers!$F$10="",0,IF(ISNUMBER(SEARCH(Classifiers!$F$10,E114)),1,0))+IF(Classifiers!$G$10="",0,IF(ISNUMBER(SEARCH(Classifiers!$G$10,E114)),1,0)))&gt;0,1,0))</f>
        <v/>
      </c>
      <c r="P114" s="12">
        <f>IF(H114&lt;&gt;1,0,IF((IF(Classifiers!$B$11="",0,IF(ISNUMBER(SEARCH(Classifiers!$B$11,E114)),1,0))+IF(Classifiers!$C$11="",0,IF(ISNUMBER(SEARCH(Classifiers!$C$11,E114)),1,0))+IF(Classifiers!$D$11="",0,IF(ISNUMBER(SEARCH(Classifiers!$D$11,E114)),1,0))+IF(Classifiers!$E$11="",0,IF(ISNUMBER(SEARCH(Classifiers!$E$11,E114)),1,0))+IF(Classifiers!$F$11="",0,IF(ISNUMBER(SEARCH(Classifiers!$F$11,E114)),1,0))+IF(Classifiers!$G$11="",0,IF(ISNUMBER(SEARCH(Classifiers!$G$11,E114)),1,0)))&gt;0,1,0))</f>
        <v/>
      </c>
      <c r="Q114" s="12">
        <f>IF(H114&lt;&gt;1,0,IF((IF(Classifiers!$B$12="",0,IF(ISNUMBER(SEARCH(Classifiers!$B$12,E114)),1,0))+IF(Classifiers!$C$12="",0,IF(ISNUMBER(SEARCH(Classifiers!$C$12,E114)),1,0))+IF(Classifiers!$D$12="",0,IF(ISNUMBER(SEARCH(Classifiers!$D$12,E114)),1,0))+IF(Classifiers!$E$12="",0,IF(ISNUMBER(SEARCH(Classifiers!$E$12,E114)),1,0))+IF(Classifiers!$F$12="",0,IF(ISNUMBER(SEARCH(Classifiers!$F$12,E114)),1,0))+IF(Classifiers!$G$12="",0,IF(ISNUMBER(SEARCH(Classifiers!$G$12,E114)),1,0)))&gt;0,1,0))</f>
        <v/>
      </c>
      <c r="R114" s="12">
        <f>IF(H114&lt;&gt;1,0,IF((IF(Classifiers!$B$13="",0,IF(ISNUMBER(SEARCH(Classifiers!$B$13,E114)),1,0))+IF(Classifiers!$C$13="",0,IF(ISNUMBER(SEARCH(Classifiers!$C$13,E114)),1,0))+IF(Classifiers!$D$13="",0,IF(ISNUMBER(SEARCH(Classifiers!$D$13,E114)),1,0))+IF(Classifiers!$E$13="",0,IF(ISNUMBER(SEARCH(Classifiers!$E$13,E114)),1,0))+IF(Classifiers!$F$13="",0,IF(ISNUMBER(SEARCH(Classifiers!$F$13,E114)),1,0))+IF(Classifiers!$G$13="",0,IF(ISNUMBER(SEARCH(Classifiers!$G$13,E114)),1,0)))&gt;0,1,0))</f>
        <v/>
      </c>
      <c r="S114" s="12">
        <f>IF(H114&lt;&gt;1,0,IF((IF(Classifiers!$B$14="",0,IF(ISNUMBER(SEARCH(Classifiers!$B$14,E114)),1,0))+IF(Classifiers!$C$14="",0,IF(ISNUMBER(SEARCH(Classifiers!$C$14,E114)),1,0))+IF(Classifiers!$D$14="",0,IF(ISNUMBER(SEARCH(Classifiers!$D$14,E114)),1,0))+IF(Classifiers!$E$14="",0,IF(ISNUMBER(SEARCH(Classifiers!$E$14,E114)),1,0))+IF(Classifiers!$F$14="",0,IF(ISNUMBER(SEARCH(Classifiers!$F$14,E114)),1,0))+IF(Classifiers!$G$14="",0,IF(ISNUMBER(SEARCH(Classifiers!$G$14,E114)),1,0)))&gt;0,1,0))</f>
        <v/>
      </c>
      <c r="T114" s="12">
        <f>IF(H114&lt;&gt;1,0,IF((IF(Classifiers!$B$15="",0,IF(ISNUMBER(SEARCH(Classifiers!$B$15,E114)),1,0))+IF(Classifiers!$C$15="",0,IF(ISNUMBER(SEARCH(Classifiers!$C$15,E114)),1,0))+IF(Classifiers!$D$15="",0,IF(ISNUMBER(SEARCH(Classifiers!$D$15,E114)),1,0))+IF(Classifiers!$E$15="",0,IF(ISNUMBER(SEARCH(Classifiers!$E$15,E114)),1,0))+IF(Classifiers!$F$15="",0,IF(ISNUMBER(SEARCH(Classifiers!$F$15,E114)),1,0))+IF(Classifiers!$G$15="",0,IF(ISNUMBER(SEARCH(Classifiers!$G$15,E114)),1,0)))&gt;0,1,0))</f>
        <v/>
      </c>
      <c r="U114" s="12">
        <f>IF(H114&lt;&gt;1,0,IF((IF(Classifiers!$B$16="",0,IF(ISNUMBER(SEARCH(Classifiers!$B$16,E114)),1,0))+IF(Classifiers!$C$16="",0,IF(ISNUMBER(SEARCH(Classifiers!$C$16,E114)),1,0))+IF(Classifiers!$D$16="",0,IF(ISNUMBER(SEARCH(Classifiers!$D$16,E114)),1,0))+IF(Classifiers!$E$16="",0,IF(ISNUMBER(SEARCH(Classifiers!$E$16,E114)),1,0))+IF(Classifiers!$F$16="",0,IF(ISNUMBER(SEARCH(Classifiers!$F$16,E114)),1,0))+IF(Classifiers!$G$16="",0,IF(ISNUMBER(SEARCH(Classifiers!$G$16,E114)),1,0)))&gt;0,1,0))</f>
        <v/>
      </c>
      <c r="V114" s="12">
        <f>IF(H114&lt;&gt;1,0,IF((IF(Classifiers!$B$17="",0,IF(ISNUMBER(SEARCH(Classifiers!$B$17,E114)),1,0))+IF(Classifiers!$C$17="",0,IF(ISNUMBER(SEARCH(Classifiers!$C$17,E114)),1,0))+IF(Classifiers!$D$17="",0,IF(ISNUMBER(SEARCH(Classifiers!$D$17,E114)),1,0))+IF(Classifiers!$E$17="",0,IF(ISNUMBER(SEARCH(Classifiers!$E$17,E114)),1,0))+IF(Classifiers!$F$17="",0,IF(ISNUMBER(SEARCH(Classifiers!$F$17,E114)),1,0))+IF(Classifiers!$G$17="",0,IF(ISNUMBER(SEARCH(Classifiers!$G$17,E114)),1,0)))&gt;0,1,0))</f>
        <v/>
      </c>
      <c r="W114" s="12">
        <f>IF(H114&lt;&gt;1,0,IF((IF(Classifiers!$B$18="",0,IF(ISNUMBER(SEARCH(Classifiers!$B$18,E114)),1,0))+IF(Classifiers!$C$18="",0,IF(ISNUMBER(SEARCH(Classifiers!$C$18,E114)),1,0))+IF(Classifiers!$D$18="",0,IF(ISNUMBER(SEARCH(Classifiers!$D$18,E114)),1,0))+IF(Classifiers!$E$18="",0,IF(ISNUMBER(SEARCH(Classifiers!$E$18,E114)),1,0))+IF(Classifiers!$F$18="",0,IF(ISNUMBER(SEARCH(Classifiers!$F$18,E114)),1,0))+IF(Classifiers!$G$18="",0,IF(ISNUMBER(SEARCH(Classifiers!$G$18,E114)),1,0)))&gt;0,1,0))</f>
        <v/>
      </c>
    </row>
    <row r="115">
      <c r="A115" s="8" t="n"/>
      <c r="B115" s="11" t="n"/>
      <c r="C115" s="6">
        <f>IF(A115="","",TRIM(RIGHT(SUBSTITUTE(A115,"/",REPT(" ",250)),250)))</f>
        <v/>
      </c>
      <c r="D115" s="6">
        <f>IF(C115="","",IF(ISNUMBER(SEARCH(".",C115)),LOWER("."&amp;TRIM(RIGHT(SUBSTITUTE(C115,".",REPT(" ",250)),250))),""))</f>
        <v/>
      </c>
      <c r="E115" s="6">
        <f>IF(C115="","",TRIM(SUBSTITUTE(SUBSTITUTE(SUBSTITUTE(SUBSTITUTE(SUBSTITUTE(SUBSTITUTE(SUBSTITUTE(SUBSTITUTE(SUBSTITUTE(SUBSTITUTE(SUBSTITUTE(SUBSTITUTE(SUBSTITUTE(SUBSTITUTE(SUBSTITUTE(SUBSTITUTE(SUBSTITUTE(SUBSTITUTE(SUBSTITUTE(SUBSTITUTE(LOWER(LEFT(C115,LEN(C115)-LEN(D115))),"_"," "),"-"," "),"."," "),","," "),"("," "),")"," "),"["," "),"]"," "),"&amp;"," "),"+"," "),"@"," "),"#"," "),"!"," "),"'"," "),"/"," "),":"," "),";"," "),"="," "),"~"," "),"%"," ")))</f>
        <v/>
      </c>
      <c r="F115" s="6">
        <f>IF(C115="","",IF(COUNTIF(Classifiers!$A$23:$A$40,D115)&gt;0,1,0))</f>
        <v/>
      </c>
      <c r="G115" s="6">
        <f>IF(C115="","",IF(COUNTIF(Classifiers!$C$23:$C$30,D115)&gt;0,IF((IF(ISNUMBER(SEARCH(Classifiers!$E$23,E115)),1,0)+IF(ISNUMBER(SEARCH(Classifiers!$E$24,E115)),1,0)+IF(ISNUMBER(SEARCH(Classifiers!$E$25,E115)),1,0)+IF(ISNUMBER(SEARCH(Classifiers!$E$26,E115)),1,0)+IF(ISNUMBER(SEARCH(Classifiers!$E$27,E115)),1,0)+IF(ISNUMBER(SEARCH(Classifiers!$E$28,E115)),1,0)+IF(ISNUMBER(SEARCH(Classifiers!$E$29,E115)),1,0)+IF(ISNUMBER(SEARCH(Classifiers!$E$30,E115)),1,0))&gt;0,1,0),0))</f>
        <v/>
      </c>
      <c r="H115" s="6">
        <f>IF(C115="","",IF(OR(LEFT(C115,1)=".",AND(F115=0,G115=0)),0,1))</f>
        <v/>
      </c>
      <c r="I115" s="6">
        <f>IF(H115&lt;&gt;1,"",IF(SUM(J115:W115)=0,"unclassified",INDEX(Classifiers!$A$5:$A$18,MATCH(1,J115:W115,0),1)))</f>
        <v/>
      </c>
      <c r="J115" s="12">
        <f>IF(H115&lt;&gt;1,0,IF((IF(Classifiers!$B$5="",0,IF(ISNUMBER(SEARCH(Classifiers!$B$5,E115)),1,0))+IF(Classifiers!$C$5="",0,IF(ISNUMBER(SEARCH(Classifiers!$C$5,E115)),1,0))+IF(Classifiers!$D$5="",0,IF(ISNUMBER(SEARCH(Classifiers!$D$5,E115)),1,0))+IF(Classifiers!$E$5="",0,IF(ISNUMBER(SEARCH(Classifiers!$E$5,E115)),1,0))+IF(Classifiers!$F$5="",0,IF(ISNUMBER(SEARCH(Classifiers!$F$5,E115)),1,0))+IF(Classifiers!$G$5="",0,IF(ISNUMBER(SEARCH(Classifiers!$G$5,E115)),1,0)))&gt;0,1,0))</f>
        <v/>
      </c>
      <c r="K115" s="12">
        <f>IF(H115&lt;&gt;1,0,IF((IF(Classifiers!$B$6="",0,IF(ISNUMBER(SEARCH(Classifiers!$B$6,E115)),1,0))+IF(Classifiers!$C$6="",0,IF(ISNUMBER(SEARCH(Classifiers!$C$6,E115)),1,0))+IF(Classifiers!$D$6="",0,IF(ISNUMBER(SEARCH(Classifiers!$D$6,E115)),1,0))+IF(Classifiers!$E$6="",0,IF(ISNUMBER(SEARCH(Classifiers!$E$6,E115)),1,0))+IF(Classifiers!$F$6="",0,IF(ISNUMBER(SEARCH(Classifiers!$F$6,E115)),1,0))+IF(Classifiers!$G$6="",0,IF(ISNUMBER(SEARCH(Classifiers!$G$6,E115)),1,0)))&gt;0,1,0))</f>
        <v/>
      </c>
      <c r="L115" s="12">
        <f>IF(H115&lt;&gt;1,0,IF((IF(Classifiers!$B$7="",0,IF(ISNUMBER(SEARCH(Classifiers!$B$7,E115)),1,0))+IF(Classifiers!$C$7="",0,IF(ISNUMBER(SEARCH(Classifiers!$C$7,E115)),1,0))+IF(Classifiers!$D$7="",0,IF(ISNUMBER(SEARCH(Classifiers!$D$7,E115)),1,0))+IF(Classifiers!$E$7="",0,IF(ISNUMBER(SEARCH(Classifiers!$E$7,E115)),1,0))+IF(Classifiers!$F$7="",0,IF(ISNUMBER(SEARCH(Classifiers!$F$7,E115)),1,0))+IF(Classifiers!$G$7="",0,IF(ISNUMBER(SEARCH(Classifiers!$G$7,E115)),1,0)))&gt;0,1,0))</f>
        <v/>
      </c>
      <c r="M115" s="12">
        <f>IF(H115&lt;&gt;1,0,IF((IF(Classifiers!$B$8="",0,IF(ISNUMBER(SEARCH(Classifiers!$B$8,E115)),1,0))+IF(Classifiers!$C$8="",0,IF(ISNUMBER(SEARCH(Classifiers!$C$8,E115)),1,0))+IF(Classifiers!$D$8="",0,IF(ISNUMBER(SEARCH(Classifiers!$D$8,E115)),1,0))+IF(Classifiers!$E$8="",0,IF(ISNUMBER(SEARCH(Classifiers!$E$8,E115)),1,0))+IF(Classifiers!$F$8="",0,IF(ISNUMBER(SEARCH(Classifiers!$F$8,E115)),1,0))+IF(Classifiers!$G$8="",0,IF(ISNUMBER(SEARCH(Classifiers!$G$8,E115)),1,0)))&gt;0,1,0))</f>
        <v/>
      </c>
      <c r="N115" s="12">
        <f>IF(H115&lt;&gt;1,0,IF((IF(Classifiers!$B$9="",0,IF(ISNUMBER(SEARCH(Classifiers!$B$9,E115)),1,0))+IF(Classifiers!$C$9="",0,IF(ISNUMBER(SEARCH(Classifiers!$C$9,E115)),1,0))+IF(Classifiers!$D$9="",0,IF(ISNUMBER(SEARCH(Classifiers!$D$9,E115)),1,0))+IF(Classifiers!$E$9="",0,IF(ISNUMBER(SEARCH(Classifiers!$E$9,E115)),1,0))+IF(Classifiers!$F$9="",0,IF(ISNUMBER(SEARCH(Classifiers!$F$9,E115)),1,0))+IF(Classifiers!$G$9="",0,IF(ISNUMBER(SEARCH(Classifiers!$G$9,E115)),1,0)))&gt;0,1,0))</f>
        <v/>
      </c>
      <c r="O115" s="12">
        <f>IF(H115&lt;&gt;1,0,IF((IF(Classifiers!$B$10="",0,IF(ISNUMBER(SEARCH(Classifiers!$B$10,E115)),1,0))+IF(Classifiers!$C$10="",0,IF(ISNUMBER(SEARCH(Classifiers!$C$10,E115)),1,0))+IF(Classifiers!$D$10="",0,IF(ISNUMBER(SEARCH(Classifiers!$D$10,E115)),1,0))+IF(Classifiers!$E$10="",0,IF(ISNUMBER(SEARCH(Classifiers!$E$10,E115)),1,0))+IF(Classifiers!$F$10="",0,IF(ISNUMBER(SEARCH(Classifiers!$F$10,E115)),1,0))+IF(Classifiers!$G$10="",0,IF(ISNUMBER(SEARCH(Classifiers!$G$10,E115)),1,0)))&gt;0,1,0))</f>
        <v/>
      </c>
      <c r="P115" s="12">
        <f>IF(H115&lt;&gt;1,0,IF((IF(Classifiers!$B$11="",0,IF(ISNUMBER(SEARCH(Classifiers!$B$11,E115)),1,0))+IF(Classifiers!$C$11="",0,IF(ISNUMBER(SEARCH(Classifiers!$C$11,E115)),1,0))+IF(Classifiers!$D$11="",0,IF(ISNUMBER(SEARCH(Classifiers!$D$11,E115)),1,0))+IF(Classifiers!$E$11="",0,IF(ISNUMBER(SEARCH(Classifiers!$E$11,E115)),1,0))+IF(Classifiers!$F$11="",0,IF(ISNUMBER(SEARCH(Classifiers!$F$11,E115)),1,0))+IF(Classifiers!$G$11="",0,IF(ISNUMBER(SEARCH(Classifiers!$G$11,E115)),1,0)))&gt;0,1,0))</f>
        <v/>
      </c>
      <c r="Q115" s="12">
        <f>IF(H115&lt;&gt;1,0,IF((IF(Classifiers!$B$12="",0,IF(ISNUMBER(SEARCH(Classifiers!$B$12,E115)),1,0))+IF(Classifiers!$C$12="",0,IF(ISNUMBER(SEARCH(Classifiers!$C$12,E115)),1,0))+IF(Classifiers!$D$12="",0,IF(ISNUMBER(SEARCH(Classifiers!$D$12,E115)),1,0))+IF(Classifiers!$E$12="",0,IF(ISNUMBER(SEARCH(Classifiers!$E$12,E115)),1,0))+IF(Classifiers!$F$12="",0,IF(ISNUMBER(SEARCH(Classifiers!$F$12,E115)),1,0))+IF(Classifiers!$G$12="",0,IF(ISNUMBER(SEARCH(Classifiers!$G$12,E115)),1,0)))&gt;0,1,0))</f>
        <v/>
      </c>
      <c r="R115" s="12">
        <f>IF(H115&lt;&gt;1,0,IF((IF(Classifiers!$B$13="",0,IF(ISNUMBER(SEARCH(Classifiers!$B$13,E115)),1,0))+IF(Classifiers!$C$13="",0,IF(ISNUMBER(SEARCH(Classifiers!$C$13,E115)),1,0))+IF(Classifiers!$D$13="",0,IF(ISNUMBER(SEARCH(Classifiers!$D$13,E115)),1,0))+IF(Classifiers!$E$13="",0,IF(ISNUMBER(SEARCH(Classifiers!$E$13,E115)),1,0))+IF(Classifiers!$F$13="",0,IF(ISNUMBER(SEARCH(Classifiers!$F$13,E115)),1,0))+IF(Classifiers!$G$13="",0,IF(ISNUMBER(SEARCH(Classifiers!$G$13,E115)),1,0)))&gt;0,1,0))</f>
        <v/>
      </c>
      <c r="S115" s="12">
        <f>IF(H115&lt;&gt;1,0,IF((IF(Classifiers!$B$14="",0,IF(ISNUMBER(SEARCH(Classifiers!$B$14,E115)),1,0))+IF(Classifiers!$C$14="",0,IF(ISNUMBER(SEARCH(Classifiers!$C$14,E115)),1,0))+IF(Classifiers!$D$14="",0,IF(ISNUMBER(SEARCH(Classifiers!$D$14,E115)),1,0))+IF(Classifiers!$E$14="",0,IF(ISNUMBER(SEARCH(Classifiers!$E$14,E115)),1,0))+IF(Classifiers!$F$14="",0,IF(ISNUMBER(SEARCH(Classifiers!$F$14,E115)),1,0))+IF(Classifiers!$G$14="",0,IF(ISNUMBER(SEARCH(Classifiers!$G$14,E115)),1,0)))&gt;0,1,0))</f>
        <v/>
      </c>
      <c r="T115" s="12">
        <f>IF(H115&lt;&gt;1,0,IF((IF(Classifiers!$B$15="",0,IF(ISNUMBER(SEARCH(Classifiers!$B$15,E115)),1,0))+IF(Classifiers!$C$15="",0,IF(ISNUMBER(SEARCH(Classifiers!$C$15,E115)),1,0))+IF(Classifiers!$D$15="",0,IF(ISNUMBER(SEARCH(Classifiers!$D$15,E115)),1,0))+IF(Classifiers!$E$15="",0,IF(ISNUMBER(SEARCH(Classifiers!$E$15,E115)),1,0))+IF(Classifiers!$F$15="",0,IF(ISNUMBER(SEARCH(Classifiers!$F$15,E115)),1,0))+IF(Classifiers!$G$15="",0,IF(ISNUMBER(SEARCH(Classifiers!$G$15,E115)),1,0)))&gt;0,1,0))</f>
        <v/>
      </c>
      <c r="U115" s="12">
        <f>IF(H115&lt;&gt;1,0,IF((IF(Classifiers!$B$16="",0,IF(ISNUMBER(SEARCH(Classifiers!$B$16,E115)),1,0))+IF(Classifiers!$C$16="",0,IF(ISNUMBER(SEARCH(Classifiers!$C$16,E115)),1,0))+IF(Classifiers!$D$16="",0,IF(ISNUMBER(SEARCH(Classifiers!$D$16,E115)),1,0))+IF(Classifiers!$E$16="",0,IF(ISNUMBER(SEARCH(Classifiers!$E$16,E115)),1,0))+IF(Classifiers!$F$16="",0,IF(ISNUMBER(SEARCH(Classifiers!$F$16,E115)),1,0))+IF(Classifiers!$G$16="",0,IF(ISNUMBER(SEARCH(Classifiers!$G$16,E115)),1,0)))&gt;0,1,0))</f>
        <v/>
      </c>
      <c r="V115" s="12">
        <f>IF(H115&lt;&gt;1,0,IF((IF(Classifiers!$B$17="",0,IF(ISNUMBER(SEARCH(Classifiers!$B$17,E115)),1,0))+IF(Classifiers!$C$17="",0,IF(ISNUMBER(SEARCH(Classifiers!$C$17,E115)),1,0))+IF(Classifiers!$D$17="",0,IF(ISNUMBER(SEARCH(Classifiers!$D$17,E115)),1,0))+IF(Classifiers!$E$17="",0,IF(ISNUMBER(SEARCH(Classifiers!$E$17,E115)),1,0))+IF(Classifiers!$F$17="",0,IF(ISNUMBER(SEARCH(Classifiers!$F$17,E115)),1,0))+IF(Classifiers!$G$17="",0,IF(ISNUMBER(SEARCH(Classifiers!$G$17,E115)),1,0)))&gt;0,1,0))</f>
        <v/>
      </c>
      <c r="W115" s="12">
        <f>IF(H115&lt;&gt;1,0,IF((IF(Classifiers!$B$18="",0,IF(ISNUMBER(SEARCH(Classifiers!$B$18,E115)),1,0))+IF(Classifiers!$C$18="",0,IF(ISNUMBER(SEARCH(Classifiers!$C$18,E115)),1,0))+IF(Classifiers!$D$18="",0,IF(ISNUMBER(SEARCH(Classifiers!$D$18,E115)),1,0))+IF(Classifiers!$E$18="",0,IF(ISNUMBER(SEARCH(Classifiers!$E$18,E115)),1,0))+IF(Classifiers!$F$18="",0,IF(ISNUMBER(SEARCH(Classifiers!$F$18,E115)),1,0))+IF(Classifiers!$G$18="",0,IF(ISNUMBER(SEARCH(Classifiers!$G$18,E115)),1,0)))&gt;0,1,0))</f>
        <v/>
      </c>
    </row>
    <row r="116">
      <c r="A116" s="8" t="n"/>
      <c r="B116" s="11" t="n"/>
      <c r="C116" s="6">
        <f>IF(A116="","",TRIM(RIGHT(SUBSTITUTE(A116,"/",REPT(" ",250)),250)))</f>
        <v/>
      </c>
      <c r="D116" s="6">
        <f>IF(C116="","",IF(ISNUMBER(SEARCH(".",C116)),LOWER("."&amp;TRIM(RIGHT(SUBSTITUTE(C116,".",REPT(" ",250)),250))),""))</f>
        <v/>
      </c>
      <c r="E116" s="6">
        <f>IF(C116="","",TRIM(SUBSTITUTE(SUBSTITUTE(SUBSTITUTE(SUBSTITUTE(SUBSTITUTE(SUBSTITUTE(SUBSTITUTE(SUBSTITUTE(SUBSTITUTE(SUBSTITUTE(SUBSTITUTE(SUBSTITUTE(SUBSTITUTE(SUBSTITUTE(SUBSTITUTE(SUBSTITUTE(SUBSTITUTE(SUBSTITUTE(SUBSTITUTE(SUBSTITUTE(LOWER(LEFT(C116,LEN(C116)-LEN(D116))),"_"," "),"-"," "),"."," "),","," "),"("," "),")"," "),"["," "),"]"," "),"&amp;"," "),"+"," "),"@"," "),"#"," "),"!"," "),"'"," "),"/"," "),":"," "),";"," "),"="," "),"~"," "),"%"," ")))</f>
        <v/>
      </c>
      <c r="F116" s="6">
        <f>IF(C116="","",IF(COUNTIF(Classifiers!$A$23:$A$40,D116)&gt;0,1,0))</f>
        <v/>
      </c>
      <c r="G116" s="6">
        <f>IF(C116="","",IF(COUNTIF(Classifiers!$C$23:$C$30,D116)&gt;0,IF((IF(ISNUMBER(SEARCH(Classifiers!$E$23,E116)),1,0)+IF(ISNUMBER(SEARCH(Classifiers!$E$24,E116)),1,0)+IF(ISNUMBER(SEARCH(Classifiers!$E$25,E116)),1,0)+IF(ISNUMBER(SEARCH(Classifiers!$E$26,E116)),1,0)+IF(ISNUMBER(SEARCH(Classifiers!$E$27,E116)),1,0)+IF(ISNUMBER(SEARCH(Classifiers!$E$28,E116)),1,0)+IF(ISNUMBER(SEARCH(Classifiers!$E$29,E116)),1,0)+IF(ISNUMBER(SEARCH(Classifiers!$E$30,E116)),1,0))&gt;0,1,0),0))</f>
        <v/>
      </c>
      <c r="H116" s="6">
        <f>IF(C116="","",IF(OR(LEFT(C116,1)=".",AND(F116=0,G116=0)),0,1))</f>
        <v/>
      </c>
      <c r="I116" s="6">
        <f>IF(H116&lt;&gt;1,"",IF(SUM(J116:W116)=0,"unclassified",INDEX(Classifiers!$A$5:$A$18,MATCH(1,J116:W116,0),1)))</f>
        <v/>
      </c>
      <c r="J116" s="12">
        <f>IF(H116&lt;&gt;1,0,IF((IF(Classifiers!$B$5="",0,IF(ISNUMBER(SEARCH(Classifiers!$B$5,E116)),1,0))+IF(Classifiers!$C$5="",0,IF(ISNUMBER(SEARCH(Classifiers!$C$5,E116)),1,0))+IF(Classifiers!$D$5="",0,IF(ISNUMBER(SEARCH(Classifiers!$D$5,E116)),1,0))+IF(Classifiers!$E$5="",0,IF(ISNUMBER(SEARCH(Classifiers!$E$5,E116)),1,0))+IF(Classifiers!$F$5="",0,IF(ISNUMBER(SEARCH(Classifiers!$F$5,E116)),1,0))+IF(Classifiers!$G$5="",0,IF(ISNUMBER(SEARCH(Classifiers!$G$5,E116)),1,0)))&gt;0,1,0))</f>
        <v/>
      </c>
      <c r="K116" s="12">
        <f>IF(H116&lt;&gt;1,0,IF((IF(Classifiers!$B$6="",0,IF(ISNUMBER(SEARCH(Classifiers!$B$6,E116)),1,0))+IF(Classifiers!$C$6="",0,IF(ISNUMBER(SEARCH(Classifiers!$C$6,E116)),1,0))+IF(Classifiers!$D$6="",0,IF(ISNUMBER(SEARCH(Classifiers!$D$6,E116)),1,0))+IF(Classifiers!$E$6="",0,IF(ISNUMBER(SEARCH(Classifiers!$E$6,E116)),1,0))+IF(Classifiers!$F$6="",0,IF(ISNUMBER(SEARCH(Classifiers!$F$6,E116)),1,0))+IF(Classifiers!$G$6="",0,IF(ISNUMBER(SEARCH(Classifiers!$G$6,E116)),1,0)))&gt;0,1,0))</f>
        <v/>
      </c>
      <c r="L116" s="12">
        <f>IF(H116&lt;&gt;1,0,IF((IF(Classifiers!$B$7="",0,IF(ISNUMBER(SEARCH(Classifiers!$B$7,E116)),1,0))+IF(Classifiers!$C$7="",0,IF(ISNUMBER(SEARCH(Classifiers!$C$7,E116)),1,0))+IF(Classifiers!$D$7="",0,IF(ISNUMBER(SEARCH(Classifiers!$D$7,E116)),1,0))+IF(Classifiers!$E$7="",0,IF(ISNUMBER(SEARCH(Classifiers!$E$7,E116)),1,0))+IF(Classifiers!$F$7="",0,IF(ISNUMBER(SEARCH(Classifiers!$F$7,E116)),1,0))+IF(Classifiers!$G$7="",0,IF(ISNUMBER(SEARCH(Classifiers!$G$7,E116)),1,0)))&gt;0,1,0))</f>
        <v/>
      </c>
      <c r="M116" s="12">
        <f>IF(H116&lt;&gt;1,0,IF((IF(Classifiers!$B$8="",0,IF(ISNUMBER(SEARCH(Classifiers!$B$8,E116)),1,0))+IF(Classifiers!$C$8="",0,IF(ISNUMBER(SEARCH(Classifiers!$C$8,E116)),1,0))+IF(Classifiers!$D$8="",0,IF(ISNUMBER(SEARCH(Classifiers!$D$8,E116)),1,0))+IF(Classifiers!$E$8="",0,IF(ISNUMBER(SEARCH(Classifiers!$E$8,E116)),1,0))+IF(Classifiers!$F$8="",0,IF(ISNUMBER(SEARCH(Classifiers!$F$8,E116)),1,0))+IF(Classifiers!$G$8="",0,IF(ISNUMBER(SEARCH(Classifiers!$G$8,E116)),1,0)))&gt;0,1,0))</f>
        <v/>
      </c>
      <c r="N116" s="12">
        <f>IF(H116&lt;&gt;1,0,IF((IF(Classifiers!$B$9="",0,IF(ISNUMBER(SEARCH(Classifiers!$B$9,E116)),1,0))+IF(Classifiers!$C$9="",0,IF(ISNUMBER(SEARCH(Classifiers!$C$9,E116)),1,0))+IF(Classifiers!$D$9="",0,IF(ISNUMBER(SEARCH(Classifiers!$D$9,E116)),1,0))+IF(Classifiers!$E$9="",0,IF(ISNUMBER(SEARCH(Classifiers!$E$9,E116)),1,0))+IF(Classifiers!$F$9="",0,IF(ISNUMBER(SEARCH(Classifiers!$F$9,E116)),1,0))+IF(Classifiers!$G$9="",0,IF(ISNUMBER(SEARCH(Classifiers!$G$9,E116)),1,0)))&gt;0,1,0))</f>
        <v/>
      </c>
      <c r="O116" s="12">
        <f>IF(H116&lt;&gt;1,0,IF((IF(Classifiers!$B$10="",0,IF(ISNUMBER(SEARCH(Classifiers!$B$10,E116)),1,0))+IF(Classifiers!$C$10="",0,IF(ISNUMBER(SEARCH(Classifiers!$C$10,E116)),1,0))+IF(Classifiers!$D$10="",0,IF(ISNUMBER(SEARCH(Classifiers!$D$10,E116)),1,0))+IF(Classifiers!$E$10="",0,IF(ISNUMBER(SEARCH(Classifiers!$E$10,E116)),1,0))+IF(Classifiers!$F$10="",0,IF(ISNUMBER(SEARCH(Classifiers!$F$10,E116)),1,0))+IF(Classifiers!$G$10="",0,IF(ISNUMBER(SEARCH(Classifiers!$G$10,E116)),1,0)))&gt;0,1,0))</f>
        <v/>
      </c>
      <c r="P116" s="12">
        <f>IF(H116&lt;&gt;1,0,IF((IF(Classifiers!$B$11="",0,IF(ISNUMBER(SEARCH(Classifiers!$B$11,E116)),1,0))+IF(Classifiers!$C$11="",0,IF(ISNUMBER(SEARCH(Classifiers!$C$11,E116)),1,0))+IF(Classifiers!$D$11="",0,IF(ISNUMBER(SEARCH(Classifiers!$D$11,E116)),1,0))+IF(Classifiers!$E$11="",0,IF(ISNUMBER(SEARCH(Classifiers!$E$11,E116)),1,0))+IF(Classifiers!$F$11="",0,IF(ISNUMBER(SEARCH(Classifiers!$F$11,E116)),1,0))+IF(Classifiers!$G$11="",0,IF(ISNUMBER(SEARCH(Classifiers!$G$11,E116)),1,0)))&gt;0,1,0))</f>
        <v/>
      </c>
      <c r="Q116" s="12">
        <f>IF(H116&lt;&gt;1,0,IF((IF(Classifiers!$B$12="",0,IF(ISNUMBER(SEARCH(Classifiers!$B$12,E116)),1,0))+IF(Classifiers!$C$12="",0,IF(ISNUMBER(SEARCH(Classifiers!$C$12,E116)),1,0))+IF(Classifiers!$D$12="",0,IF(ISNUMBER(SEARCH(Classifiers!$D$12,E116)),1,0))+IF(Classifiers!$E$12="",0,IF(ISNUMBER(SEARCH(Classifiers!$E$12,E116)),1,0))+IF(Classifiers!$F$12="",0,IF(ISNUMBER(SEARCH(Classifiers!$F$12,E116)),1,0))+IF(Classifiers!$G$12="",0,IF(ISNUMBER(SEARCH(Classifiers!$G$12,E116)),1,0)))&gt;0,1,0))</f>
        <v/>
      </c>
      <c r="R116" s="12">
        <f>IF(H116&lt;&gt;1,0,IF((IF(Classifiers!$B$13="",0,IF(ISNUMBER(SEARCH(Classifiers!$B$13,E116)),1,0))+IF(Classifiers!$C$13="",0,IF(ISNUMBER(SEARCH(Classifiers!$C$13,E116)),1,0))+IF(Classifiers!$D$13="",0,IF(ISNUMBER(SEARCH(Classifiers!$D$13,E116)),1,0))+IF(Classifiers!$E$13="",0,IF(ISNUMBER(SEARCH(Classifiers!$E$13,E116)),1,0))+IF(Classifiers!$F$13="",0,IF(ISNUMBER(SEARCH(Classifiers!$F$13,E116)),1,0))+IF(Classifiers!$G$13="",0,IF(ISNUMBER(SEARCH(Classifiers!$G$13,E116)),1,0)))&gt;0,1,0))</f>
        <v/>
      </c>
      <c r="S116" s="12">
        <f>IF(H116&lt;&gt;1,0,IF((IF(Classifiers!$B$14="",0,IF(ISNUMBER(SEARCH(Classifiers!$B$14,E116)),1,0))+IF(Classifiers!$C$14="",0,IF(ISNUMBER(SEARCH(Classifiers!$C$14,E116)),1,0))+IF(Classifiers!$D$14="",0,IF(ISNUMBER(SEARCH(Classifiers!$D$14,E116)),1,0))+IF(Classifiers!$E$14="",0,IF(ISNUMBER(SEARCH(Classifiers!$E$14,E116)),1,0))+IF(Classifiers!$F$14="",0,IF(ISNUMBER(SEARCH(Classifiers!$F$14,E116)),1,0))+IF(Classifiers!$G$14="",0,IF(ISNUMBER(SEARCH(Classifiers!$G$14,E116)),1,0)))&gt;0,1,0))</f>
        <v/>
      </c>
      <c r="T116" s="12">
        <f>IF(H116&lt;&gt;1,0,IF((IF(Classifiers!$B$15="",0,IF(ISNUMBER(SEARCH(Classifiers!$B$15,E116)),1,0))+IF(Classifiers!$C$15="",0,IF(ISNUMBER(SEARCH(Classifiers!$C$15,E116)),1,0))+IF(Classifiers!$D$15="",0,IF(ISNUMBER(SEARCH(Classifiers!$D$15,E116)),1,0))+IF(Classifiers!$E$15="",0,IF(ISNUMBER(SEARCH(Classifiers!$E$15,E116)),1,0))+IF(Classifiers!$F$15="",0,IF(ISNUMBER(SEARCH(Classifiers!$F$15,E116)),1,0))+IF(Classifiers!$G$15="",0,IF(ISNUMBER(SEARCH(Classifiers!$G$15,E116)),1,0)))&gt;0,1,0))</f>
        <v/>
      </c>
      <c r="U116" s="12">
        <f>IF(H116&lt;&gt;1,0,IF((IF(Classifiers!$B$16="",0,IF(ISNUMBER(SEARCH(Classifiers!$B$16,E116)),1,0))+IF(Classifiers!$C$16="",0,IF(ISNUMBER(SEARCH(Classifiers!$C$16,E116)),1,0))+IF(Classifiers!$D$16="",0,IF(ISNUMBER(SEARCH(Classifiers!$D$16,E116)),1,0))+IF(Classifiers!$E$16="",0,IF(ISNUMBER(SEARCH(Classifiers!$E$16,E116)),1,0))+IF(Classifiers!$F$16="",0,IF(ISNUMBER(SEARCH(Classifiers!$F$16,E116)),1,0))+IF(Classifiers!$G$16="",0,IF(ISNUMBER(SEARCH(Classifiers!$G$16,E116)),1,0)))&gt;0,1,0))</f>
        <v/>
      </c>
      <c r="V116" s="12">
        <f>IF(H116&lt;&gt;1,0,IF((IF(Classifiers!$B$17="",0,IF(ISNUMBER(SEARCH(Classifiers!$B$17,E116)),1,0))+IF(Classifiers!$C$17="",0,IF(ISNUMBER(SEARCH(Classifiers!$C$17,E116)),1,0))+IF(Classifiers!$D$17="",0,IF(ISNUMBER(SEARCH(Classifiers!$D$17,E116)),1,0))+IF(Classifiers!$E$17="",0,IF(ISNUMBER(SEARCH(Classifiers!$E$17,E116)),1,0))+IF(Classifiers!$F$17="",0,IF(ISNUMBER(SEARCH(Classifiers!$F$17,E116)),1,0))+IF(Classifiers!$G$17="",0,IF(ISNUMBER(SEARCH(Classifiers!$G$17,E116)),1,0)))&gt;0,1,0))</f>
        <v/>
      </c>
      <c r="W116" s="12">
        <f>IF(H116&lt;&gt;1,0,IF((IF(Classifiers!$B$18="",0,IF(ISNUMBER(SEARCH(Classifiers!$B$18,E116)),1,0))+IF(Classifiers!$C$18="",0,IF(ISNUMBER(SEARCH(Classifiers!$C$18,E116)),1,0))+IF(Classifiers!$D$18="",0,IF(ISNUMBER(SEARCH(Classifiers!$D$18,E116)),1,0))+IF(Classifiers!$E$18="",0,IF(ISNUMBER(SEARCH(Classifiers!$E$18,E116)),1,0))+IF(Classifiers!$F$18="",0,IF(ISNUMBER(SEARCH(Classifiers!$F$18,E116)),1,0))+IF(Classifiers!$G$18="",0,IF(ISNUMBER(SEARCH(Classifiers!$G$18,E116)),1,0)))&gt;0,1,0))</f>
        <v/>
      </c>
    </row>
    <row r="117">
      <c r="A117" s="8" t="n"/>
      <c r="B117" s="11" t="n"/>
      <c r="C117" s="6">
        <f>IF(A117="","",TRIM(RIGHT(SUBSTITUTE(A117,"/",REPT(" ",250)),250)))</f>
        <v/>
      </c>
      <c r="D117" s="6">
        <f>IF(C117="","",IF(ISNUMBER(SEARCH(".",C117)),LOWER("."&amp;TRIM(RIGHT(SUBSTITUTE(C117,".",REPT(" ",250)),250))),""))</f>
        <v/>
      </c>
      <c r="E117" s="6">
        <f>IF(C117="","",TRIM(SUBSTITUTE(SUBSTITUTE(SUBSTITUTE(SUBSTITUTE(SUBSTITUTE(SUBSTITUTE(SUBSTITUTE(SUBSTITUTE(SUBSTITUTE(SUBSTITUTE(SUBSTITUTE(SUBSTITUTE(SUBSTITUTE(SUBSTITUTE(SUBSTITUTE(SUBSTITUTE(SUBSTITUTE(SUBSTITUTE(SUBSTITUTE(SUBSTITUTE(LOWER(LEFT(C117,LEN(C117)-LEN(D117))),"_"," "),"-"," "),"."," "),","," "),"("," "),")"," "),"["," "),"]"," "),"&amp;"," "),"+"," "),"@"," "),"#"," "),"!"," "),"'"," "),"/"," "),":"," "),";"," "),"="," "),"~"," "),"%"," ")))</f>
        <v/>
      </c>
      <c r="F117" s="6">
        <f>IF(C117="","",IF(COUNTIF(Classifiers!$A$23:$A$40,D117)&gt;0,1,0))</f>
        <v/>
      </c>
      <c r="G117" s="6">
        <f>IF(C117="","",IF(COUNTIF(Classifiers!$C$23:$C$30,D117)&gt;0,IF((IF(ISNUMBER(SEARCH(Classifiers!$E$23,E117)),1,0)+IF(ISNUMBER(SEARCH(Classifiers!$E$24,E117)),1,0)+IF(ISNUMBER(SEARCH(Classifiers!$E$25,E117)),1,0)+IF(ISNUMBER(SEARCH(Classifiers!$E$26,E117)),1,0)+IF(ISNUMBER(SEARCH(Classifiers!$E$27,E117)),1,0)+IF(ISNUMBER(SEARCH(Classifiers!$E$28,E117)),1,0)+IF(ISNUMBER(SEARCH(Classifiers!$E$29,E117)),1,0)+IF(ISNUMBER(SEARCH(Classifiers!$E$30,E117)),1,0))&gt;0,1,0),0))</f>
        <v/>
      </c>
      <c r="H117" s="6">
        <f>IF(C117="","",IF(OR(LEFT(C117,1)=".",AND(F117=0,G117=0)),0,1))</f>
        <v/>
      </c>
      <c r="I117" s="6">
        <f>IF(H117&lt;&gt;1,"",IF(SUM(J117:W117)=0,"unclassified",INDEX(Classifiers!$A$5:$A$18,MATCH(1,J117:W117,0),1)))</f>
        <v/>
      </c>
      <c r="J117" s="12">
        <f>IF(H117&lt;&gt;1,0,IF((IF(Classifiers!$B$5="",0,IF(ISNUMBER(SEARCH(Classifiers!$B$5,E117)),1,0))+IF(Classifiers!$C$5="",0,IF(ISNUMBER(SEARCH(Classifiers!$C$5,E117)),1,0))+IF(Classifiers!$D$5="",0,IF(ISNUMBER(SEARCH(Classifiers!$D$5,E117)),1,0))+IF(Classifiers!$E$5="",0,IF(ISNUMBER(SEARCH(Classifiers!$E$5,E117)),1,0))+IF(Classifiers!$F$5="",0,IF(ISNUMBER(SEARCH(Classifiers!$F$5,E117)),1,0))+IF(Classifiers!$G$5="",0,IF(ISNUMBER(SEARCH(Classifiers!$G$5,E117)),1,0)))&gt;0,1,0))</f>
        <v/>
      </c>
      <c r="K117" s="12">
        <f>IF(H117&lt;&gt;1,0,IF((IF(Classifiers!$B$6="",0,IF(ISNUMBER(SEARCH(Classifiers!$B$6,E117)),1,0))+IF(Classifiers!$C$6="",0,IF(ISNUMBER(SEARCH(Classifiers!$C$6,E117)),1,0))+IF(Classifiers!$D$6="",0,IF(ISNUMBER(SEARCH(Classifiers!$D$6,E117)),1,0))+IF(Classifiers!$E$6="",0,IF(ISNUMBER(SEARCH(Classifiers!$E$6,E117)),1,0))+IF(Classifiers!$F$6="",0,IF(ISNUMBER(SEARCH(Classifiers!$F$6,E117)),1,0))+IF(Classifiers!$G$6="",0,IF(ISNUMBER(SEARCH(Classifiers!$G$6,E117)),1,0)))&gt;0,1,0))</f>
        <v/>
      </c>
      <c r="L117" s="12">
        <f>IF(H117&lt;&gt;1,0,IF((IF(Classifiers!$B$7="",0,IF(ISNUMBER(SEARCH(Classifiers!$B$7,E117)),1,0))+IF(Classifiers!$C$7="",0,IF(ISNUMBER(SEARCH(Classifiers!$C$7,E117)),1,0))+IF(Classifiers!$D$7="",0,IF(ISNUMBER(SEARCH(Classifiers!$D$7,E117)),1,0))+IF(Classifiers!$E$7="",0,IF(ISNUMBER(SEARCH(Classifiers!$E$7,E117)),1,0))+IF(Classifiers!$F$7="",0,IF(ISNUMBER(SEARCH(Classifiers!$F$7,E117)),1,0))+IF(Classifiers!$G$7="",0,IF(ISNUMBER(SEARCH(Classifiers!$G$7,E117)),1,0)))&gt;0,1,0))</f>
        <v/>
      </c>
      <c r="M117" s="12">
        <f>IF(H117&lt;&gt;1,0,IF((IF(Classifiers!$B$8="",0,IF(ISNUMBER(SEARCH(Classifiers!$B$8,E117)),1,0))+IF(Classifiers!$C$8="",0,IF(ISNUMBER(SEARCH(Classifiers!$C$8,E117)),1,0))+IF(Classifiers!$D$8="",0,IF(ISNUMBER(SEARCH(Classifiers!$D$8,E117)),1,0))+IF(Classifiers!$E$8="",0,IF(ISNUMBER(SEARCH(Classifiers!$E$8,E117)),1,0))+IF(Classifiers!$F$8="",0,IF(ISNUMBER(SEARCH(Classifiers!$F$8,E117)),1,0))+IF(Classifiers!$G$8="",0,IF(ISNUMBER(SEARCH(Classifiers!$G$8,E117)),1,0)))&gt;0,1,0))</f>
        <v/>
      </c>
      <c r="N117" s="12">
        <f>IF(H117&lt;&gt;1,0,IF((IF(Classifiers!$B$9="",0,IF(ISNUMBER(SEARCH(Classifiers!$B$9,E117)),1,0))+IF(Classifiers!$C$9="",0,IF(ISNUMBER(SEARCH(Classifiers!$C$9,E117)),1,0))+IF(Classifiers!$D$9="",0,IF(ISNUMBER(SEARCH(Classifiers!$D$9,E117)),1,0))+IF(Classifiers!$E$9="",0,IF(ISNUMBER(SEARCH(Classifiers!$E$9,E117)),1,0))+IF(Classifiers!$F$9="",0,IF(ISNUMBER(SEARCH(Classifiers!$F$9,E117)),1,0))+IF(Classifiers!$G$9="",0,IF(ISNUMBER(SEARCH(Classifiers!$G$9,E117)),1,0)))&gt;0,1,0))</f>
        <v/>
      </c>
      <c r="O117" s="12">
        <f>IF(H117&lt;&gt;1,0,IF((IF(Classifiers!$B$10="",0,IF(ISNUMBER(SEARCH(Classifiers!$B$10,E117)),1,0))+IF(Classifiers!$C$10="",0,IF(ISNUMBER(SEARCH(Classifiers!$C$10,E117)),1,0))+IF(Classifiers!$D$10="",0,IF(ISNUMBER(SEARCH(Classifiers!$D$10,E117)),1,0))+IF(Classifiers!$E$10="",0,IF(ISNUMBER(SEARCH(Classifiers!$E$10,E117)),1,0))+IF(Classifiers!$F$10="",0,IF(ISNUMBER(SEARCH(Classifiers!$F$10,E117)),1,0))+IF(Classifiers!$G$10="",0,IF(ISNUMBER(SEARCH(Classifiers!$G$10,E117)),1,0)))&gt;0,1,0))</f>
        <v/>
      </c>
      <c r="P117" s="12">
        <f>IF(H117&lt;&gt;1,0,IF((IF(Classifiers!$B$11="",0,IF(ISNUMBER(SEARCH(Classifiers!$B$11,E117)),1,0))+IF(Classifiers!$C$11="",0,IF(ISNUMBER(SEARCH(Classifiers!$C$11,E117)),1,0))+IF(Classifiers!$D$11="",0,IF(ISNUMBER(SEARCH(Classifiers!$D$11,E117)),1,0))+IF(Classifiers!$E$11="",0,IF(ISNUMBER(SEARCH(Classifiers!$E$11,E117)),1,0))+IF(Classifiers!$F$11="",0,IF(ISNUMBER(SEARCH(Classifiers!$F$11,E117)),1,0))+IF(Classifiers!$G$11="",0,IF(ISNUMBER(SEARCH(Classifiers!$G$11,E117)),1,0)))&gt;0,1,0))</f>
        <v/>
      </c>
      <c r="Q117" s="12">
        <f>IF(H117&lt;&gt;1,0,IF((IF(Classifiers!$B$12="",0,IF(ISNUMBER(SEARCH(Classifiers!$B$12,E117)),1,0))+IF(Classifiers!$C$12="",0,IF(ISNUMBER(SEARCH(Classifiers!$C$12,E117)),1,0))+IF(Classifiers!$D$12="",0,IF(ISNUMBER(SEARCH(Classifiers!$D$12,E117)),1,0))+IF(Classifiers!$E$12="",0,IF(ISNUMBER(SEARCH(Classifiers!$E$12,E117)),1,0))+IF(Classifiers!$F$12="",0,IF(ISNUMBER(SEARCH(Classifiers!$F$12,E117)),1,0))+IF(Classifiers!$G$12="",0,IF(ISNUMBER(SEARCH(Classifiers!$G$12,E117)),1,0)))&gt;0,1,0))</f>
        <v/>
      </c>
      <c r="R117" s="12">
        <f>IF(H117&lt;&gt;1,0,IF((IF(Classifiers!$B$13="",0,IF(ISNUMBER(SEARCH(Classifiers!$B$13,E117)),1,0))+IF(Classifiers!$C$13="",0,IF(ISNUMBER(SEARCH(Classifiers!$C$13,E117)),1,0))+IF(Classifiers!$D$13="",0,IF(ISNUMBER(SEARCH(Classifiers!$D$13,E117)),1,0))+IF(Classifiers!$E$13="",0,IF(ISNUMBER(SEARCH(Classifiers!$E$13,E117)),1,0))+IF(Classifiers!$F$13="",0,IF(ISNUMBER(SEARCH(Classifiers!$F$13,E117)),1,0))+IF(Classifiers!$G$13="",0,IF(ISNUMBER(SEARCH(Classifiers!$G$13,E117)),1,0)))&gt;0,1,0))</f>
        <v/>
      </c>
      <c r="S117" s="12">
        <f>IF(H117&lt;&gt;1,0,IF((IF(Classifiers!$B$14="",0,IF(ISNUMBER(SEARCH(Classifiers!$B$14,E117)),1,0))+IF(Classifiers!$C$14="",0,IF(ISNUMBER(SEARCH(Classifiers!$C$14,E117)),1,0))+IF(Classifiers!$D$14="",0,IF(ISNUMBER(SEARCH(Classifiers!$D$14,E117)),1,0))+IF(Classifiers!$E$14="",0,IF(ISNUMBER(SEARCH(Classifiers!$E$14,E117)),1,0))+IF(Classifiers!$F$14="",0,IF(ISNUMBER(SEARCH(Classifiers!$F$14,E117)),1,0))+IF(Classifiers!$G$14="",0,IF(ISNUMBER(SEARCH(Classifiers!$G$14,E117)),1,0)))&gt;0,1,0))</f>
        <v/>
      </c>
      <c r="T117" s="12">
        <f>IF(H117&lt;&gt;1,0,IF((IF(Classifiers!$B$15="",0,IF(ISNUMBER(SEARCH(Classifiers!$B$15,E117)),1,0))+IF(Classifiers!$C$15="",0,IF(ISNUMBER(SEARCH(Classifiers!$C$15,E117)),1,0))+IF(Classifiers!$D$15="",0,IF(ISNUMBER(SEARCH(Classifiers!$D$15,E117)),1,0))+IF(Classifiers!$E$15="",0,IF(ISNUMBER(SEARCH(Classifiers!$E$15,E117)),1,0))+IF(Classifiers!$F$15="",0,IF(ISNUMBER(SEARCH(Classifiers!$F$15,E117)),1,0))+IF(Classifiers!$G$15="",0,IF(ISNUMBER(SEARCH(Classifiers!$G$15,E117)),1,0)))&gt;0,1,0))</f>
        <v/>
      </c>
      <c r="U117" s="12">
        <f>IF(H117&lt;&gt;1,0,IF((IF(Classifiers!$B$16="",0,IF(ISNUMBER(SEARCH(Classifiers!$B$16,E117)),1,0))+IF(Classifiers!$C$16="",0,IF(ISNUMBER(SEARCH(Classifiers!$C$16,E117)),1,0))+IF(Classifiers!$D$16="",0,IF(ISNUMBER(SEARCH(Classifiers!$D$16,E117)),1,0))+IF(Classifiers!$E$16="",0,IF(ISNUMBER(SEARCH(Classifiers!$E$16,E117)),1,0))+IF(Classifiers!$F$16="",0,IF(ISNUMBER(SEARCH(Classifiers!$F$16,E117)),1,0))+IF(Classifiers!$G$16="",0,IF(ISNUMBER(SEARCH(Classifiers!$G$16,E117)),1,0)))&gt;0,1,0))</f>
        <v/>
      </c>
      <c r="V117" s="12">
        <f>IF(H117&lt;&gt;1,0,IF((IF(Classifiers!$B$17="",0,IF(ISNUMBER(SEARCH(Classifiers!$B$17,E117)),1,0))+IF(Classifiers!$C$17="",0,IF(ISNUMBER(SEARCH(Classifiers!$C$17,E117)),1,0))+IF(Classifiers!$D$17="",0,IF(ISNUMBER(SEARCH(Classifiers!$D$17,E117)),1,0))+IF(Classifiers!$E$17="",0,IF(ISNUMBER(SEARCH(Classifiers!$E$17,E117)),1,0))+IF(Classifiers!$F$17="",0,IF(ISNUMBER(SEARCH(Classifiers!$F$17,E117)),1,0))+IF(Classifiers!$G$17="",0,IF(ISNUMBER(SEARCH(Classifiers!$G$17,E117)),1,0)))&gt;0,1,0))</f>
        <v/>
      </c>
      <c r="W117" s="12">
        <f>IF(H117&lt;&gt;1,0,IF((IF(Classifiers!$B$18="",0,IF(ISNUMBER(SEARCH(Classifiers!$B$18,E117)),1,0))+IF(Classifiers!$C$18="",0,IF(ISNUMBER(SEARCH(Classifiers!$C$18,E117)),1,0))+IF(Classifiers!$D$18="",0,IF(ISNUMBER(SEARCH(Classifiers!$D$18,E117)),1,0))+IF(Classifiers!$E$18="",0,IF(ISNUMBER(SEARCH(Classifiers!$E$18,E117)),1,0))+IF(Classifiers!$F$18="",0,IF(ISNUMBER(SEARCH(Classifiers!$F$18,E117)),1,0))+IF(Classifiers!$G$18="",0,IF(ISNUMBER(SEARCH(Classifiers!$G$18,E117)),1,0)))&gt;0,1,0))</f>
        <v/>
      </c>
    </row>
    <row r="118">
      <c r="A118" s="8" t="n"/>
      <c r="B118" s="11" t="n"/>
      <c r="C118" s="6">
        <f>IF(A118="","",TRIM(RIGHT(SUBSTITUTE(A118,"/",REPT(" ",250)),250)))</f>
        <v/>
      </c>
      <c r="D118" s="6">
        <f>IF(C118="","",IF(ISNUMBER(SEARCH(".",C118)),LOWER("."&amp;TRIM(RIGHT(SUBSTITUTE(C118,".",REPT(" ",250)),250))),""))</f>
        <v/>
      </c>
      <c r="E118" s="6">
        <f>IF(C118="","",TRIM(SUBSTITUTE(SUBSTITUTE(SUBSTITUTE(SUBSTITUTE(SUBSTITUTE(SUBSTITUTE(SUBSTITUTE(SUBSTITUTE(SUBSTITUTE(SUBSTITUTE(SUBSTITUTE(SUBSTITUTE(SUBSTITUTE(SUBSTITUTE(SUBSTITUTE(SUBSTITUTE(SUBSTITUTE(SUBSTITUTE(SUBSTITUTE(SUBSTITUTE(LOWER(LEFT(C118,LEN(C118)-LEN(D118))),"_"," "),"-"," "),"."," "),","," "),"("," "),")"," "),"["," "),"]"," "),"&amp;"," "),"+"," "),"@"," "),"#"," "),"!"," "),"'"," "),"/"," "),":"," "),";"," "),"="," "),"~"," "),"%"," ")))</f>
        <v/>
      </c>
      <c r="F118" s="6">
        <f>IF(C118="","",IF(COUNTIF(Classifiers!$A$23:$A$40,D118)&gt;0,1,0))</f>
        <v/>
      </c>
      <c r="G118" s="6">
        <f>IF(C118="","",IF(COUNTIF(Classifiers!$C$23:$C$30,D118)&gt;0,IF((IF(ISNUMBER(SEARCH(Classifiers!$E$23,E118)),1,0)+IF(ISNUMBER(SEARCH(Classifiers!$E$24,E118)),1,0)+IF(ISNUMBER(SEARCH(Classifiers!$E$25,E118)),1,0)+IF(ISNUMBER(SEARCH(Classifiers!$E$26,E118)),1,0)+IF(ISNUMBER(SEARCH(Classifiers!$E$27,E118)),1,0)+IF(ISNUMBER(SEARCH(Classifiers!$E$28,E118)),1,0)+IF(ISNUMBER(SEARCH(Classifiers!$E$29,E118)),1,0)+IF(ISNUMBER(SEARCH(Classifiers!$E$30,E118)),1,0))&gt;0,1,0),0))</f>
        <v/>
      </c>
      <c r="H118" s="6">
        <f>IF(C118="","",IF(OR(LEFT(C118,1)=".",AND(F118=0,G118=0)),0,1))</f>
        <v/>
      </c>
      <c r="I118" s="6">
        <f>IF(H118&lt;&gt;1,"",IF(SUM(J118:W118)=0,"unclassified",INDEX(Classifiers!$A$5:$A$18,MATCH(1,J118:W118,0),1)))</f>
        <v/>
      </c>
      <c r="J118" s="12">
        <f>IF(H118&lt;&gt;1,0,IF((IF(Classifiers!$B$5="",0,IF(ISNUMBER(SEARCH(Classifiers!$B$5,E118)),1,0))+IF(Classifiers!$C$5="",0,IF(ISNUMBER(SEARCH(Classifiers!$C$5,E118)),1,0))+IF(Classifiers!$D$5="",0,IF(ISNUMBER(SEARCH(Classifiers!$D$5,E118)),1,0))+IF(Classifiers!$E$5="",0,IF(ISNUMBER(SEARCH(Classifiers!$E$5,E118)),1,0))+IF(Classifiers!$F$5="",0,IF(ISNUMBER(SEARCH(Classifiers!$F$5,E118)),1,0))+IF(Classifiers!$G$5="",0,IF(ISNUMBER(SEARCH(Classifiers!$G$5,E118)),1,0)))&gt;0,1,0))</f>
        <v/>
      </c>
      <c r="K118" s="12">
        <f>IF(H118&lt;&gt;1,0,IF((IF(Classifiers!$B$6="",0,IF(ISNUMBER(SEARCH(Classifiers!$B$6,E118)),1,0))+IF(Classifiers!$C$6="",0,IF(ISNUMBER(SEARCH(Classifiers!$C$6,E118)),1,0))+IF(Classifiers!$D$6="",0,IF(ISNUMBER(SEARCH(Classifiers!$D$6,E118)),1,0))+IF(Classifiers!$E$6="",0,IF(ISNUMBER(SEARCH(Classifiers!$E$6,E118)),1,0))+IF(Classifiers!$F$6="",0,IF(ISNUMBER(SEARCH(Classifiers!$F$6,E118)),1,0))+IF(Classifiers!$G$6="",0,IF(ISNUMBER(SEARCH(Classifiers!$G$6,E118)),1,0)))&gt;0,1,0))</f>
        <v/>
      </c>
      <c r="L118" s="12">
        <f>IF(H118&lt;&gt;1,0,IF((IF(Classifiers!$B$7="",0,IF(ISNUMBER(SEARCH(Classifiers!$B$7,E118)),1,0))+IF(Classifiers!$C$7="",0,IF(ISNUMBER(SEARCH(Classifiers!$C$7,E118)),1,0))+IF(Classifiers!$D$7="",0,IF(ISNUMBER(SEARCH(Classifiers!$D$7,E118)),1,0))+IF(Classifiers!$E$7="",0,IF(ISNUMBER(SEARCH(Classifiers!$E$7,E118)),1,0))+IF(Classifiers!$F$7="",0,IF(ISNUMBER(SEARCH(Classifiers!$F$7,E118)),1,0))+IF(Classifiers!$G$7="",0,IF(ISNUMBER(SEARCH(Classifiers!$G$7,E118)),1,0)))&gt;0,1,0))</f>
        <v/>
      </c>
      <c r="M118" s="12">
        <f>IF(H118&lt;&gt;1,0,IF((IF(Classifiers!$B$8="",0,IF(ISNUMBER(SEARCH(Classifiers!$B$8,E118)),1,0))+IF(Classifiers!$C$8="",0,IF(ISNUMBER(SEARCH(Classifiers!$C$8,E118)),1,0))+IF(Classifiers!$D$8="",0,IF(ISNUMBER(SEARCH(Classifiers!$D$8,E118)),1,0))+IF(Classifiers!$E$8="",0,IF(ISNUMBER(SEARCH(Classifiers!$E$8,E118)),1,0))+IF(Classifiers!$F$8="",0,IF(ISNUMBER(SEARCH(Classifiers!$F$8,E118)),1,0))+IF(Classifiers!$G$8="",0,IF(ISNUMBER(SEARCH(Classifiers!$G$8,E118)),1,0)))&gt;0,1,0))</f>
        <v/>
      </c>
      <c r="N118" s="12">
        <f>IF(H118&lt;&gt;1,0,IF((IF(Classifiers!$B$9="",0,IF(ISNUMBER(SEARCH(Classifiers!$B$9,E118)),1,0))+IF(Classifiers!$C$9="",0,IF(ISNUMBER(SEARCH(Classifiers!$C$9,E118)),1,0))+IF(Classifiers!$D$9="",0,IF(ISNUMBER(SEARCH(Classifiers!$D$9,E118)),1,0))+IF(Classifiers!$E$9="",0,IF(ISNUMBER(SEARCH(Classifiers!$E$9,E118)),1,0))+IF(Classifiers!$F$9="",0,IF(ISNUMBER(SEARCH(Classifiers!$F$9,E118)),1,0))+IF(Classifiers!$G$9="",0,IF(ISNUMBER(SEARCH(Classifiers!$G$9,E118)),1,0)))&gt;0,1,0))</f>
        <v/>
      </c>
      <c r="O118" s="12">
        <f>IF(H118&lt;&gt;1,0,IF((IF(Classifiers!$B$10="",0,IF(ISNUMBER(SEARCH(Classifiers!$B$10,E118)),1,0))+IF(Classifiers!$C$10="",0,IF(ISNUMBER(SEARCH(Classifiers!$C$10,E118)),1,0))+IF(Classifiers!$D$10="",0,IF(ISNUMBER(SEARCH(Classifiers!$D$10,E118)),1,0))+IF(Classifiers!$E$10="",0,IF(ISNUMBER(SEARCH(Classifiers!$E$10,E118)),1,0))+IF(Classifiers!$F$10="",0,IF(ISNUMBER(SEARCH(Classifiers!$F$10,E118)),1,0))+IF(Classifiers!$G$10="",0,IF(ISNUMBER(SEARCH(Classifiers!$G$10,E118)),1,0)))&gt;0,1,0))</f>
        <v/>
      </c>
      <c r="P118" s="12">
        <f>IF(H118&lt;&gt;1,0,IF((IF(Classifiers!$B$11="",0,IF(ISNUMBER(SEARCH(Classifiers!$B$11,E118)),1,0))+IF(Classifiers!$C$11="",0,IF(ISNUMBER(SEARCH(Classifiers!$C$11,E118)),1,0))+IF(Classifiers!$D$11="",0,IF(ISNUMBER(SEARCH(Classifiers!$D$11,E118)),1,0))+IF(Classifiers!$E$11="",0,IF(ISNUMBER(SEARCH(Classifiers!$E$11,E118)),1,0))+IF(Classifiers!$F$11="",0,IF(ISNUMBER(SEARCH(Classifiers!$F$11,E118)),1,0))+IF(Classifiers!$G$11="",0,IF(ISNUMBER(SEARCH(Classifiers!$G$11,E118)),1,0)))&gt;0,1,0))</f>
        <v/>
      </c>
      <c r="Q118" s="12">
        <f>IF(H118&lt;&gt;1,0,IF((IF(Classifiers!$B$12="",0,IF(ISNUMBER(SEARCH(Classifiers!$B$12,E118)),1,0))+IF(Classifiers!$C$12="",0,IF(ISNUMBER(SEARCH(Classifiers!$C$12,E118)),1,0))+IF(Classifiers!$D$12="",0,IF(ISNUMBER(SEARCH(Classifiers!$D$12,E118)),1,0))+IF(Classifiers!$E$12="",0,IF(ISNUMBER(SEARCH(Classifiers!$E$12,E118)),1,0))+IF(Classifiers!$F$12="",0,IF(ISNUMBER(SEARCH(Classifiers!$F$12,E118)),1,0))+IF(Classifiers!$G$12="",0,IF(ISNUMBER(SEARCH(Classifiers!$G$12,E118)),1,0)))&gt;0,1,0))</f>
        <v/>
      </c>
      <c r="R118" s="12">
        <f>IF(H118&lt;&gt;1,0,IF((IF(Classifiers!$B$13="",0,IF(ISNUMBER(SEARCH(Classifiers!$B$13,E118)),1,0))+IF(Classifiers!$C$13="",0,IF(ISNUMBER(SEARCH(Classifiers!$C$13,E118)),1,0))+IF(Classifiers!$D$13="",0,IF(ISNUMBER(SEARCH(Classifiers!$D$13,E118)),1,0))+IF(Classifiers!$E$13="",0,IF(ISNUMBER(SEARCH(Classifiers!$E$13,E118)),1,0))+IF(Classifiers!$F$13="",0,IF(ISNUMBER(SEARCH(Classifiers!$F$13,E118)),1,0))+IF(Classifiers!$G$13="",0,IF(ISNUMBER(SEARCH(Classifiers!$G$13,E118)),1,0)))&gt;0,1,0))</f>
        <v/>
      </c>
      <c r="S118" s="12">
        <f>IF(H118&lt;&gt;1,0,IF((IF(Classifiers!$B$14="",0,IF(ISNUMBER(SEARCH(Classifiers!$B$14,E118)),1,0))+IF(Classifiers!$C$14="",0,IF(ISNUMBER(SEARCH(Classifiers!$C$14,E118)),1,0))+IF(Classifiers!$D$14="",0,IF(ISNUMBER(SEARCH(Classifiers!$D$14,E118)),1,0))+IF(Classifiers!$E$14="",0,IF(ISNUMBER(SEARCH(Classifiers!$E$14,E118)),1,0))+IF(Classifiers!$F$14="",0,IF(ISNUMBER(SEARCH(Classifiers!$F$14,E118)),1,0))+IF(Classifiers!$G$14="",0,IF(ISNUMBER(SEARCH(Classifiers!$G$14,E118)),1,0)))&gt;0,1,0))</f>
        <v/>
      </c>
      <c r="T118" s="12">
        <f>IF(H118&lt;&gt;1,0,IF((IF(Classifiers!$B$15="",0,IF(ISNUMBER(SEARCH(Classifiers!$B$15,E118)),1,0))+IF(Classifiers!$C$15="",0,IF(ISNUMBER(SEARCH(Classifiers!$C$15,E118)),1,0))+IF(Classifiers!$D$15="",0,IF(ISNUMBER(SEARCH(Classifiers!$D$15,E118)),1,0))+IF(Classifiers!$E$15="",0,IF(ISNUMBER(SEARCH(Classifiers!$E$15,E118)),1,0))+IF(Classifiers!$F$15="",0,IF(ISNUMBER(SEARCH(Classifiers!$F$15,E118)),1,0))+IF(Classifiers!$G$15="",0,IF(ISNUMBER(SEARCH(Classifiers!$G$15,E118)),1,0)))&gt;0,1,0))</f>
        <v/>
      </c>
      <c r="U118" s="12">
        <f>IF(H118&lt;&gt;1,0,IF((IF(Classifiers!$B$16="",0,IF(ISNUMBER(SEARCH(Classifiers!$B$16,E118)),1,0))+IF(Classifiers!$C$16="",0,IF(ISNUMBER(SEARCH(Classifiers!$C$16,E118)),1,0))+IF(Classifiers!$D$16="",0,IF(ISNUMBER(SEARCH(Classifiers!$D$16,E118)),1,0))+IF(Classifiers!$E$16="",0,IF(ISNUMBER(SEARCH(Classifiers!$E$16,E118)),1,0))+IF(Classifiers!$F$16="",0,IF(ISNUMBER(SEARCH(Classifiers!$F$16,E118)),1,0))+IF(Classifiers!$G$16="",0,IF(ISNUMBER(SEARCH(Classifiers!$G$16,E118)),1,0)))&gt;0,1,0))</f>
        <v/>
      </c>
      <c r="V118" s="12">
        <f>IF(H118&lt;&gt;1,0,IF((IF(Classifiers!$B$17="",0,IF(ISNUMBER(SEARCH(Classifiers!$B$17,E118)),1,0))+IF(Classifiers!$C$17="",0,IF(ISNUMBER(SEARCH(Classifiers!$C$17,E118)),1,0))+IF(Classifiers!$D$17="",0,IF(ISNUMBER(SEARCH(Classifiers!$D$17,E118)),1,0))+IF(Classifiers!$E$17="",0,IF(ISNUMBER(SEARCH(Classifiers!$E$17,E118)),1,0))+IF(Classifiers!$F$17="",0,IF(ISNUMBER(SEARCH(Classifiers!$F$17,E118)),1,0))+IF(Classifiers!$G$17="",0,IF(ISNUMBER(SEARCH(Classifiers!$G$17,E118)),1,0)))&gt;0,1,0))</f>
        <v/>
      </c>
      <c r="W118" s="12">
        <f>IF(H118&lt;&gt;1,0,IF((IF(Classifiers!$B$18="",0,IF(ISNUMBER(SEARCH(Classifiers!$B$18,E118)),1,0))+IF(Classifiers!$C$18="",0,IF(ISNUMBER(SEARCH(Classifiers!$C$18,E118)),1,0))+IF(Classifiers!$D$18="",0,IF(ISNUMBER(SEARCH(Classifiers!$D$18,E118)),1,0))+IF(Classifiers!$E$18="",0,IF(ISNUMBER(SEARCH(Classifiers!$E$18,E118)),1,0))+IF(Classifiers!$F$18="",0,IF(ISNUMBER(SEARCH(Classifiers!$F$18,E118)),1,0))+IF(Classifiers!$G$18="",0,IF(ISNUMBER(SEARCH(Classifiers!$G$18,E118)),1,0)))&gt;0,1,0))</f>
        <v/>
      </c>
    </row>
    <row r="119">
      <c r="A119" s="8" t="n"/>
      <c r="B119" s="11" t="n"/>
      <c r="C119" s="6">
        <f>IF(A119="","",TRIM(RIGHT(SUBSTITUTE(A119,"/",REPT(" ",250)),250)))</f>
        <v/>
      </c>
      <c r="D119" s="6">
        <f>IF(C119="","",IF(ISNUMBER(SEARCH(".",C119)),LOWER("."&amp;TRIM(RIGHT(SUBSTITUTE(C119,".",REPT(" ",250)),250))),""))</f>
        <v/>
      </c>
      <c r="E119" s="6">
        <f>IF(C119="","",TRIM(SUBSTITUTE(SUBSTITUTE(SUBSTITUTE(SUBSTITUTE(SUBSTITUTE(SUBSTITUTE(SUBSTITUTE(SUBSTITUTE(SUBSTITUTE(SUBSTITUTE(SUBSTITUTE(SUBSTITUTE(SUBSTITUTE(SUBSTITUTE(SUBSTITUTE(SUBSTITUTE(SUBSTITUTE(SUBSTITUTE(SUBSTITUTE(SUBSTITUTE(LOWER(LEFT(C119,LEN(C119)-LEN(D119))),"_"," "),"-"," "),"."," "),","," "),"("," "),")"," "),"["," "),"]"," "),"&amp;"," "),"+"," "),"@"," "),"#"," "),"!"," "),"'"," "),"/"," "),":"," "),";"," "),"="," "),"~"," "),"%"," ")))</f>
        <v/>
      </c>
      <c r="F119" s="6">
        <f>IF(C119="","",IF(COUNTIF(Classifiers!$A$23:$A$40,D119)&gt;0,1,0))</f>
        <v/>
      </c>
      <c r="G119" s="6">
        <f>IF(C119="","",IF(COUNTIF(Classifiers!$C$23:$C$30,D119)&gt;0,IF((IF(ISNUMBER(SEARCH(Classifiers!$E$23,E119)),1,0)+IF(ISNUMBER(SEARCH(Classifiers!$E$24,E119)),1,0)+IF(ISNUMBER(SEARCH(Classifiers!$E$25,E119)),1,0)+IF(ISNUMBER(SEARCH(Classifiers!$E$26,E119)),1,0)+IF(ISNUMBER(SEARCH(Classifiers!$E$27,E119)),1,0)+IF(ISNUMBER(SEARCH(Classifiers!$E$28,E119)),1,0)+IF(ISNUMBER(SEARCH(Classifiers!$E$29,E119)),1,0)+IF(ISNUMBER(SEARCH(Classifiers!$E$30,E119)),1,0))&gt;0,1,0),0))</f>
        <v/>
      </c>
      <c r="H119" s="6">
        <f>IF(C119="","",IF(OR(LEFT(C119,1)=".",AND(F119=0,G119=0)),0,1))</f>
        <v/>
      </c>
      <c r="I119" s="6">
        <f>IF(H119&lt;&gt;1,"",IF(SUM(J119:W119)=0,"unclassified",INDEX(Classifiers!$A$5:$A$18,MATCH(1,J119:W119,0),1)))</f>
        <v/>
      </c>
      <c r="J119" s="12">
        <f>IF(H119&lt;&gt;1,0,IF((IF(Classifiers!$B$5="",0,IF(ISNUMBER(SEARCH(Classifiers!$B$5,E119)),1,0))+IF(Classifiers!$C$5="",0,IF(ISNUMBER(SEARCH(Classifiers!$C$5,E119)),1,0))+IF(Classifiers!$D$5="",0,IF(ISNUMBER(SEARCH(Classifiers!$D$5,E119)),1,0))+IF(Classifiers!$E$5="",0,IF(ISNUMBER(SEARCH(Classifiers!$E$5,E119)),1,0))+IF(Classifiers!$F$5="",0,IF(ISNUMBER(SEARCH(Classifiers!$F$5,E119)),1,0))+IF(Classifiers!$G$5="",0,IF(ISNUMBER(SEARCH(Classifiers!$G$5,E119)),1,0)))&gt;0,1,0))</f>
        <v/>
      </c>
      <c r="K119" s="12">
        <f>IF(H119&lt;&gt;1,0,IF((IF(Classifiers!$B$6="",0,IF(ISNUMBER(SEARCH(Classifiers!$B$6,E119)),1,0))+IF(Classifiers!$C$6="",0,IF(ISNUMBER(SEARCH(Classifiers!$C$6,E119)),1,0))+IF(Classifiers!$D$6="",0,IF(ISNUMBER(SEARCH(Classifiers!$D$6,E119)),1,0))+IF(Classifiers!$E$6="",0,IF(ISNUMBER(SEARCH(Classifiers!$E$6,E119)),1,0))+IF(Classifiers!$F$6="",0,IF(ISNUMBER(SEARCH(Classifiers!$F$6,E119)),1,0))+IF(Classifiers!$G$6="",0,IF(ISNUMBER(SEARCH(Classifiers!$G$6,E119)),1,0)))&gt;0,1,0))</f>
        <v/>
      </c>
      <c r="L119" s="12">
        <f>IF(H119&lt;&gt;1,0,IF((IF(Classifiers!$B$7="",0,IF(ISNUMBER(SEARCH(Classifiers!$B$7,E119)),1,0))+IF(Classifiers!$C$7="",0,IF(ISNUMBER(SEARCH(Classifiers!$C$7,E119)),1,0))+IF(Classifiers!$D$7="",0,IF(ISNUMBER(SEARCH(Classifiers!$D$7,E119)),1,0))+IF(Classifiers!$E$7="",0,IF(ISNUMBER(SEARCH(Classifiers!$E$7,E119)),1,0))+IF(Classifiers!$F$7="",0,IF(ISNUMBER(SEARCH(Classifiers!$F$7,E119)),1,0))+IF(Classifiers!$G$7="",0,IF(ISNUMBER(SEARCH(Classifiers!$G$7,E119)),1,0)))&gt;0,1,0))</f>
        <v/>
      </c>
      <c r="M119" s="12">
        <f>IF(H119&lt;&gt;1,0,IF((IF(Classifiers!$B$8="",0,IF(ISNUMBER(SEARCH(Classifiers!$B$8,E119)),1,0))+IF(Classifiers!$C$8="",0,IF(ISNUMBER(SEARCH(Classifiers!$C$8,E119)),1,0))+IF(Classifiers!$D$8="",0,IF(ISNUMBER(SEARCH(Classifiers!$D$8,E119)),1,0))+IF(Classifiers!$E$8="",0,IF(ISNUMBER(SEARCH(Classifiers!$E$8,E119)),1,0))+IF(Classifiers!$F$8="",0,IF(ISNUMBER(SEARCH(Classifiers!$F$8,E119)),1,0))+IF(Classifiers!$G$8="",0,IF(ISNUMBER(SEARCH(Classifiers!$G$8,E119)),1,0)))&gt;0,1,0))</f>
        <v/>
      </c>
      <c r="N119" s="12">
        <f>IF(H119&lt;&gt;1,0,IF((IF(Classifiers!$B$9="",0,IF(ISNUMBER(SEARCH(Classifiers!$B$9,E119)),1,0))+IF(Classifiers!$C$9="",0,IF(ISNUMBER(SEARCH(Classifiers!$C$9,E119)),1,0))+IF(Classifiers!$D$9="",0,IF(ISNUMBER(SEARCH(Classifiers!$D$9,E119)),1,0))+IF(Classifiers!$E$9="",0,IF(ISNUMBER(SEARCH(Classifiers!$E$9,E119)),1,0))+IF(Classifiers!$F$9="",0,IF(ISNUMBER(SEARCH(Classifiers!$F$9,E119)),1,0))+IF(Classifiers!$G$9="",0,IF(ISNUMBER(SEARCH(Classifiers!$G$9,E119)),1,0)))&gt;0,1,0))</f>
        <v/>
      </c>
      <c r="O119" s="12">
        <f>IF(H119&lt;&gt;1,0,IF((IF(Classifiers!$B$10="",0,IF(ISNUMBER(SEARCH(Classifiers!$B$10,E119)),1,0))+IF(Classifiers!$C$10="",0,IF(ISNUMBER(SEARCH(Classifiers!$C$10,E119)),1,0))+IF(Classifiers!$D$10="",0,IF(ISNUMBER(SEARCH(Classifiers!$D$10,E119)),1,0))+IF(Classifiers!$E$10="",0,IF(ISNUMBER(SEARCH(Classifiers!$E$10,E119)),1,0))+IF(Classifiers!$F$10="",0,IF(ISNUMBER(SEARCH(Classifiers!$F$10,E119)),1,0))+IF(Classifiers!$G$10="",0,IF(ISNUMBER(SEARCH(Classifiers!$G$10,E119)),1,0)))&gt;0,1,0))</f>
        <v/>
      </c>
      <c r="P119" s="12">
        <f>IF(H119&lt;&gt;1,0,IF((IF(Classifiers!$B$11="",0,IF(ISNUMBER(SEARCH(Classifiers!$B$11,E119)),1,0))+IF(Classifiers!$C$11="",0,IF(ISNUMBER(SEARCH(Classifiers!$C$11,E119)),1,0))+IF(Classifiers!$D$11="",0,IF(ISNUMBER(SEARCH(Classifiers!$D$11,E119)),1,0))+IF(Classifiers!$E$11="",0,IF(ISNUMBER(SEARCH(Classifiers!$E$11,E119)),1,0))+IF(Classifiers!$F$11="",0,IF(ISNUMBER(SEARCH(Classifiers!$F$11,E119)),1,0))+IF(Classifiers!$G$11="",0,IF(ISNUMBER(SEARCH(Classifiers!$G$11,E119)),1,0)))&gt;0,1,0))</f>
        <v/>
      </c>
      <c r="Q119" s="12">
        <f>IF(H119&lt;&gt;1,0,IF((IF(Classifiers!$B$12="",0,IF(ISNUMBER(SEARCH(Classifiers!$B$12,E119)),1,0))+IF(Classifiers!$C$12="",0,IF(ISNUMBER(SEARCH(Classifiers!$C$12,E119)),1,0))+IF(Classifiers!$D$12="",0,IF(ISNUMBER(SEARCH(Classifiers!$D$12,E119)),1,0))+IF(Classifiers!$E$12="",0,IF(ISNUMBER(SEARCH(Classifiers!$E$12,E119)),1,0))+IF(Classifiers!$F$12="",0,IF(ISNUMBER(SEARCH(Classifiers!$F$12,E119)),1,0))+IF(Classifiers!$G$12="",0,IF(ISNUMBER(SEARCH(Classifiers!$G$12,E119)),1,0)))&gt;0,1,0))</f>
        <v/>
      </c>
      <c r="R119" s="12">
        <f>IF(H119&lt;&gt;1,0,IF((IF(Classifiers!$B$13="",0,IF(ISNUMBER(SEARCH(Classifiers!$B$13,E119)),1,0))+IF(Classifiers!$C$13="",0,IF(ISNUMBER(SEARCH(Classifiers!$C$13,E119)),1,0))+IF(Classifiers!$D$13="",0,IF(ISNUMBER(SEARCH(Classifiers!$D$13,E119)),1,0))+IF(Classifiers!$E$13="",0,IF(ISNUMBER(SEARCH(Classifiers!$E$13,E119)),1,0))+IF(Classifiers!$F$13="",0,IF(ISNUMBER(SEARCH(Classifiers!$F$13,E119)),1,0))+IF(Classifiers!$G$13="",0,IF(ISNUMBER(SEARCH(Classifiers!$G$13,E119)),1,0)))&gt;0,1,0))</f>
        <v/>
      </c>
      <c r="S119" s="12">
        <f>IF(H119&lt;&gt;1,0,IF((IF(Classifiers!$B$14="",0,IF(ISNUMBER(SEARCH(Classifiers!$B$14,E119)),1,0))+IF(Classifiers!$C$14="",0,IF(ISNUMBER(SEARCH(Classifiers!$C$14,E119)),1,0))+IF(Classifiers!$D$14="",0,IF(ISNUMBER(SEARCH(Classifiers!$D$14,E119)),1,0))+IF(Classifiers!$E$14="",0,IF(ISNUMBER(SEARCH(Classifiers!$E$14,E119)),1,0))+IF(Classifiers!$F$14="",0,IF(ISNUMBER(SEARCH(Classifiers!$F$14,E119)),1,0))+IF(Classifiers!$G$14="",0,IF(ISNUMBER(SEARCH(Classifiers!$G$14,E119)),1,0)))&gt;0,1,0))</f>
        <v/>
      </c>
      <c r="T119" s="12">
        <f>IF(H119&lt;&gt;1,0,IF((IF(Classifiers!$B$15="",0,IF(ISNUMBER(SEARCH(Classifiers!$B$15,E119)),1,0))+IF(Classifiers!$C$15="",0,IF(ISNUMBER(SEARCH(Classifiers!$C$15,E119)),1,0))+IF(Classifiers!$D$15="",0,IF(ISNUMBER(SEARCH(Classifiers!$D$15,E119)),1,0))+IF(Classifiers!$E$15="",0,IF(ISNUMBER(SEARCH(Classifiers!$E$15,E119)),1,0))+IF(Classifiers!$F$15="",0,IF(ISNUMBER(SEARCH(Classifiers!$F$15,E119)),1,0))+IF(Classifiers!$G$15="",0,IF(ISNUMBER(SEARCH(Classifiers!$G$15,E119)),1,0)))&gt;0,1,0))</f>
        <v/>
      </c>
      <c r="U119" s="12">
        <f>IF(H119&lt;&gt;1,0,IF((IF(Classifiers!$B$16="",0,IF(ISNUMBER(SEARCH(Classifiers!$B$16,E119)),1,0))+IF(Classifiers!$C$16="",0,IF(ISNUMBER(SEARCH(Classifiers!$C$16,E119)),1,0))+IF(Classifiers!$D$16="",0,IF(ISNUMBER(SEARCH(Classifiers!$D$16,E119)),1,0))+IF(Classifiers!$E$16="",0,IF(ISNUMBER(SEARCH(Classifiers!$E$16,E119)),1,0))+IF(Classifiers!$F$16="",0,IF(ISNUMBER(SEARCH(Classifiers!$F$16,E119)),1,0))+IF(Classifiers!$G$16="",0,IF(ISNUMBER(SEARCH(Classifiers!$G$16,E119)),1,0)))&gt;0,1,0))</f>
        <v/>
      </c>
      <c r="V119" s="12">
        <f>IF(H119&lt;&gt;1,0,IF((IF(Classifiers!$B$17="",0,IF(ISNUMBER(SEARCH(Classifiers!$B$17,E119)),1,0))+IF(Classifiers!$C$17="",0,IF(ISNUMBER(SEARCH(Classifiers!$C$17,E119)),1,0))+IF(Classifiers!$D$17="",0,IF(ISNUMBER(SEARCH(Classifiers!$D$17,E119)),1,0))+IF(Classifiers!$E$17="",0,IF(ISNUMBER(SEARCH(Classifiers!$E$17,E119)),1,0))+IF(Classifiers!$F$17="",0,IF(ISNUMBER(SEARCH(Classifiers!$F$17,E119)),1,0))+IF(Classifiers!$G$17="",0,IF(ISNUMBER(SEARCH(Classifiers!$G$17,E119)),1,0)))&gt;0,1,0))</f>
        <v/>
      </c>
      <c r="W119" s="12">
        <f>IF(H119&lt;&gt;1,0,IF((IF(Classifiers!$B$18="",0,IF(ISNUMBER(SEARCH(Classifiers!$B$18,E119)),1,0))+IF(Classifiers!$C$18="",0,IF(ISNUMBER(SEARCH(Classifiers!$C$18,E119)),1,0))+IF(Classifiers!$D$18="",0,IF(ISNUMBER(SEARCH(Classifiers!$D$18,E119)),1,0))+IF(Classifiers!$E$18="",0,IF(ISNUMBER(SEARCH(Classifiers!$E$18,E119)),1,0))+IF(Classifiers!$F$18="",0,IF(ISNUMBER(SEARCH(Classifiers!$F$18,E119)),1,0))+IF(Classifiers!$G$18="",0,IF(ISNUMBER(SEARCH(Classifiers!$G$18,E119)),1,0)))&gt;0,1,0))</f>
        <v/>
      </c>
    </row>
    <row r="120">
      <c r="A120" s="8" t="n"/>
      <c r="B120" s="11" t="n"/>
      <c r="C120" s="6">
        <f>IF(A120="","",TRIM(RIGHT(SUBSTITUTE(A120,"/",REPT(" ",250)),250)))</f>
        <v/>
      </c>
      <c r="D120" s="6">
        <f>IF(C120="","",IF(ISNUMBER(SEARCH(".",C120)),LOWER("."&amp;TRIM(RIGHT(SUBSTITUTE(C120,".",REPT(" ",250)),250))),""))</f>
        <v/>
      </c>
      <c r="E120" s="6">
        <f>IF(C120="","",TRIM(SUBSTITUTE(SUBSTITUTE(SUBSTITUTE(SUBSTITUTE(SUBSTITUTE(SUBSTITUTE(SUBSTITUTE(SUBSTITUTE(SUBSTITUTE(SUBSTITUTE(SUBSTITUTE(SUBSTITUTE(SUBSTITUTE(SUBSTITUTE(SUBSTITUTE(SUBSTITUTE(SUBSTITUTE(SUBSTITUTE(SUBSTITUTE(SUBSTITUTE(LOWER(LEFT(C120,LEN(C120)-LEN(D120))),"_"," "),"-"," "),"."," "),","," "),"("," "),")"," "),"["," "),"]"," "),"&amp;"," "),"+"," "),"@"," "),"#"," "),"!"," "),"'"," "),"/"," "),":"," "),";"," "),"="," "),"~"," "),"%"," ")))</f>
        <v/>
      </c>
      <c r="F120" s="6">
        <f>IF(C120="","",IF(COUNTIF(Classifiers!$A$23:$A$40,D120)&gt;0,1,0))</f>
        <v/>
      </c>
      <c r="G120" s="6">
        <f>IF(C120="","",IF(COUNTIF(Classifiers!$C$23:$C$30,D120)&gt;0,IF((IF(ISNUMBER(SEARCH(Classifiers!$E$23,E120)),1,0)+IF(ISNUMBER(SEARCH(Classifiers!$E$24,E120)),1,0)+IF(ISNUMBER(SEARCH(Classifiers!$E$25,E120)),1,0)+IF(ISNUMBER(SEARCH(Classifiers!$E$26,E120)),1,0)+IF(ISNUMBER(SEARCH(Classifiers!$E$27,E120)),1,0)+IF(ISNUMBER(SEARCH(Classifiers!$E$28,E120)),1,0)+IF(ISNUMBER(SEARCH(Classifiers!$E$29,E120)),1,0)+IF(ISNUMBER(SEARCH(Classifiers!$E$30,E120)),1,0))&gt;0,1,0),0))</f>
        <v/>
      </c>
      <c r="H120" s="6">
        <f>IF(C120="","",IF(OR(LEFT(C120,1)=".",AND(F120=0,G120=0)),0,1))</f>
        <v/>
      </c>
      <c r="I120" s="6">
        <f>IF(H120&lt;&gt;1,"",IF(SUM(J120:W120)=0,"unclassified",INDEX(Classifiers!$A$5:$A$18,MATCH(1,J120:W120,0),1)))</f>
        <v/>
      </c>
      <c r="J120" s="12">
        <f>IF(H120&lt;&gt;1,0,IF((IF(Classifiers!$B$5="",0,IF(ISNUMBER(SEARCH(Classifiers!$B$5,E120)),1,0))+IF(Classifiers!$C$5="",0,IF(ISNUMBER(SEARCH(Classifiers!$C$5,E120)),1,0))+IF(Classifiers!$D$5="",0,IF(ISNUMBER(SEARCH(Classifiers!$D$5,E120)),1,0))+IF(Classifiers!$E$5="",0,IF(ISNUMBER(SEARCH(Classifiers!$E$5,E120)),1,0))+IF(Classifiers!$F$5="",0,IF(ISNUMBER(SEARCH(Classifiers!$F$5,E120)),1,0))+IF(Classifiers!$G$5="",0,IF(ISNUMBER(SEARCH(Classifiers!$G$5,E120)),1,0)))&gt;0,1,0))</f>
        <v/>
      </c>
      <c r="K120" s="12">
        <f>IF(H120&lt;&gt;1,0,IF((IF(Classifiers!$B$6="",0,IF(ISNUMBER(SEARCH(Classifiers!$B$6,E120)),1,0))+IF(Classifiers!$C$6="",0,IF(ISNUMBER(SEARCH(Classifiers!$C$6,E120)),1,0))+IF(Classifiers!$D$6="",0,IF(ISNUMBER(SEARCH(Classifiers!$D$6,E120)),1,0))+IF(Classifiers!$E$6="",0,IF(ISNUMBER(SEARCH(Classifiers!$E$6,E120)),1,0))+IF(Classifiers!$F$6="",0,IF(ISNUMBER(SEARCH(Classifiers!$F$6,E120)),1,0))+IF(Classifiers!$G$6="",0,IF(ISNUMBER(SEARCH(Classifiers!$G$6,E120)),1,0)))&gt;0,1,0))</f>
        <v/>
      </c>
      <c r="L120" s="12">
        <f>IF(H120&lt;&gt;1,0,IF((IF(Classifiers!$B$7="",0,IF(ISNUMBER(SEARCH(Classifiers!$B$7,E120)),1,0))+IF(Classifiers!$C$7="",0,IF(ISNUMBER(SEARCH(Classifiers!$C$7,E120)),1,0))+IF(Classifiers!$D$7="",0,IF(ISNUMBER(SEARCH(Classifiers!$D$7,E120)),1,0))+IF(Classifiers!$E$7="",0,IF(ISNUMBER(SEARCH(Classifiers!$E$7,E120)),1,0))+IF(Classifiers!$F$7="",0,IF(ISNUMBER(SEARCH(Classifiers!$F$7,E120)),1,0))+IF(Classifiers!$G$7="",0,IF(ISNUMBER(SEARCH(Classifiers!$G$7,E120)),1,0)))&gt;0,1,0))</f>
        <v/>
      </c>
      <c r="M120" s="12">
        <f>IF(H120&lt;&gt;1,0,IF((IF(Classifiers!$B$8="",0,IF(ISNUMBER(SEARCH(Classifiers!$B$8,E120)),1,0))+IF(Classifiers!$C$8="",0,IF(ISNUMBER(SEARCH(Classifiers!$C$8,E120)),1,0))+IF(Classifiers!$D$8="",0,IF(ISNUMBER(SEARCH(Classifiers!$D$8,E120)),1,0))+IF(Classifiers!$E$8="",0,IF(ISNUMBER(SEARCH(Classifiers!$E$8,E120)),1,0))+IF(Classifiers!$F$8="",0,IF(ISNUMBER(SEARCH(Classifiers!$F$8,E120)),1,0))+IF(Classifiers!$G$8="",0,IF(ISNUMBER(SEARCH(Classifiers!$G$8,E120)),1,0)))&gt;0,1,0))</f>
        <v/>
      </c>
      <c r="N120" s="12">
        <f>IF(H120&lt;&gt;1,0,IF((IF(Classifiers!$B$9="",0,IF(ISNUMBER(SEARCH(Classifiers!$B$9,E120)),1,0))+IF(Classifiers!$C$9="",0,IF(ISNUMBER(SEARCH(Classifiers!$C$9,E120)),1,0))+IF(Classifiers!$D$9="",0,IF(ISNUMBER(SEARCH(Classifiers!$D$9,E120)),1,0))+IF(Classifiers!$E$9="",0,IF(ISNUMBER(SEARCH(Classifiers!$E$9,E120)),1,0))+IF(Classifiers!$F$9="",0,IF(ISNUMBER(SEARCH(Classifiers!$F$9,E120)),1,0))+IF(Classifiers!$G$9="",0,IF(ISNUMBER(SEARCH(Classifiers!$G$9,E120)),1,0)))&gt;0,1,0))</f>
        <v/>
      </c>
      <c r="O120" s="12">
        <f>IF(H120&lt;&gt;1,0,IF((IF(Classifiers!$B$10="",0,IF(ISNUMBER(SEARCH(Classifiers!$B$10,E120)),1,0))+IF(Classifiers!$C$10="",0,IF(ISNUMBER(SEARCH(Classifiers!$C$10,E120)),1,0))+IF(Classifiers!$D$10="",0,IF(ISNUMBER(SEARCH(Classifiers!$D$10,E120)),1,0))+IF(Classifiers!$E$10="",0,IF(ISNUMBER(SEARCH(Classifiers!$E$10,E120)),1,0))+IF(Classifiers!$F$10="",0,IF(ISNUMBER(SEARCH(Classifiers!$F$10,E120)),1,0))+IF(Classifiers!$G$10="",0,IF(ISNUMBER(SEARCH(Classifiers!$G$10,E120)),1,0)))&gt;0,1,0))</f>
        <v/>
      </c>
      <c r="P120" s="12">
        <f>IF(H120&lt;&gt;1,0,IF((IF(Classifiers!$B$11="",0,IF(ISNUMBER(SEARCH(Classifiers!$B$11,E120)),1,0))+IF(Classifiers!$C$11="",0,IF(ISNUMBER(SEARCH(Classifiers!$C$11,E120)),1,0))+IF(Classifiers!$D$11="",0,IF(ISNUMBER(SEARCH(Classifiers!$D$11,E120)),1,0))+IF(Classifiers!$E$11="",0,IF(ISNUMBER(SEARCH(Classifiers!$E$11,E120)),1,0))+IF(Classifiers!$F$11="",0,IF(ISNUMBER(SEARCH(Classifiers!$F$11,E120)),1,0))+IF(Classifiers!$G$11="",0,IF(ISNUMBER(SEARCH(Classifiers!$G$11,E120)),1,0)))&gt;0,1,0))</f>
        <v/>
      </c>
      <c r="Q120" s="12">
        <f>IF(H120&lt;&gt;1,0,IF((IF(Classifiers!$B$12="",0,IF(ISNUMBER(SEARCH(Classifiers!$B$12,E120)),1,0))+IF(Classifiers!$C$12="",0,IF(ISNUMBER(SEARCH(Classifiers!$C$12,E120)),1,0))+IF(Classifiers!$D$12="",0,IF(ISNUMBER(SEARCH(Classifiers!$D$12,E120)),1,0))+IF(Classifiers!$E$12="",0,IF(ISNUMBER(SEARCH(Classifiers!$E$12,E120)),1,0))+IF(Classifiers!$F$12="",0,IF(ISNUMBER(SEARCH(Classifiers!$F$12,E120)),1,0))+IF(Classifiers!$G$12="",0,IF(ISNUMBER(SEARCH(Classifiers!$G$12,E120)),1,0)))&gt;0,1,0))</f>
        <v/>
      </c>
      <c r="R120" s="12">
        <f>IF(H120&lt;&gt;1,0,IF((IF(Classifiers!$B$13="",0,IF(ISNUMBER(SEARCH(Classifiers!$B$13,E120)),1,0))+IF(Classifiers!$C$13="",0,IF(ISNUMBER(SEARCH(Classifiers!$C$13,E120)),1,0))+IF(Classifiers!$D$13="",0,IF(ISNUMBER(SEARCH(Classifiers!$D$13,E120)),1,0))+IF(Classifiers!$E$13="",0,IF(ISNUMBER(SEARCH(Classifiers!$E$13,E120)),1,0))+IF(Classifiers!$F$13="",0,IF(ISNUMBER(SEARCH(Classifiers!$F$13,E120)),1,0))+IF(Classifiers!$G$13="",0,IF(ISNUMBER(SEARCH(Classifiers!$G$13,E120)),1,0)))&gt;0,1,0))</f>
        <v/>
      </c>
      <c r="S120" s="12">
        <f>IF(H120&lt;&gt;1,0,IF((IF(Classifiers!$B$14="",0,IF(ISNUMBER(SEARCH(Classifiers!$B$14,E120)),1,0))+IF(Classifiers!$C$14="",0,IF(ISNUMBER(SEARCH(Classifiers!$C$14,E120)),1,0))+IF(Classifiers!$D$14="",0,IF(ISNUMBER(SEARCH(Classifiers!$D$14,E120)),1,0))+IF(Classifiers!$E$14="",0,IF(ISNUMBER(SEARCH(Classifiers!$E$14,E120)),1,0))+IF(Classifiers!$F$14="",0,IF(ISNUMBER(SEARCH(Classifiers!$F$14,E120)),1,0))+IF(Classifiers!$G$14="",0,IF(ISNUMBER(SEARCH(Classifiers!$G$14,E120)),1,0)))&gt;0,1,0))</f>
        <v/>
      </c>
      <c r="T120" s="12">
        <f>IF(H120&lt;&gt;1,0,IF((IF(Classifiers!$B$15="",0,IF(ISNUMBER(SEARCH(Classifiers!$B$15,E120)),1,0))+IF(Classifiers!$C$15="",0,IF(ISNUMBER(SEARCH(Classifiers!$C$15,E120)),1,0))+IF(Classifiers!$D$15="",0,IF(ISNUMBER(SEARCH(Classifiers!$D$15,E120)),1,0))+IF(Classifiers!$E$15="",0,IF(ISNUMBER(SEARCH(Classifiers!$E$15,E120)),1,0))+IF(Classifiers!$F$15="",0,IF(ISNUMBER(SEARCH(Classifiers!$F$15,E120)),1,0))+IF(Classifiers!$G$15="",0,IF(ISNUMBER(SEARCH(Classifiers!$G$15,E120)),1,0)))&gt;0,1,0))</f>
        <v/>
      </c>
      <c r="U120" s="12">
        <f>IF(H120&lt;&gt;1,0,IF((IF(Classifiers!$B$16="",0,IF(ISNUMBER(SEARCH(Classifiers!$B$16,E120)),1,0))+IF(Classifiers!$C$16="",0,IF(ISNUMBER(SEARCH(Classifiers!$C$16,E120)),1,0))+IF(Classifiers!$D$16="",0,IF(ISNUMBER(SEARCH(Classifiers!$D$16,E120)),1,0))+IF(Classifiers!$E$16="",0,IF(ISNUMBER(SEARCH(Classifiers!$E$16,E120)),1,0))+IF(Classifiers!$F$16="",0,IF(ISNUMBER(SEARCH(Classifiers!$F$16,E120)),1,0))+IF(Classifiers!$G$16="",0,IF(ISNUMBER(SEARCH(Classifiers!$G$16,E120)),1,0)))&gt;0,1,0))</f>
        <v/>
      </c>
      <c r="V120" s="12">
        <f>IF(H120&lt;&gt;1,0,IF((IF(Classifiers!$B$17="",0,IF(ISNUMBER(SEARCH(Classifiers!$B$17,E120)),1,0))+IF(Classifiers!$C$17="",0,IF(ISNUMBER(SEARCH(Classifiers!$C$17,E120)),1,0))+IF(Classifiers!$D$17="",0,IF(ISNUMBER(SEARCH(Classifiers!$D$17,E120)),1,0))+IF(Classifiers!$E$17="",0,IF(ISNUMBER(SEARCH(Classifiers!$E$17,E120)),1,0))+IF(Classifiers!$F$17="",0,IF(ISNUMBER(SEARCH(Classifiers!$F$17,E120)),1,0))+IF(Classifiers!$G$17="",0,IF(ISNUMBER(SEARCH(Classifiers!$G$17,E120)),1,0)))&gt;0,1,0))</f>
        <v/>
      </c>
      <c r="W120" s="12">
        <f>IF(H120&lt;&gt;1,0,IF((IF(Classifiers!$B$18="",0,IF(ISNUMBER(SEARCH(Classifiers!$B$18,E120)),1,0))+IF(Classifiers!$C$18="",0,IF(ISNUMBER(SEARCH(Classifiers!$C$18,E120)),1,0))+IF(Classifiers!$D$18="",0,IF(ISNUMBER(SEARCH(Classifiers!$D$18,E120)),1,0))+IF(Classifiers!$E$18="",0,IF(ISNUMBER(SEARCH(Classifiers!$E$18,E120)),1,0))+IF(Classifiers!$F$18="",0,IF(ISNUMBER(SEARCH(Classifiers!$F$18,E120)),1,0))+IF(Classifiers!$G$18="",0,IF(ISNUMBER(SEARCH(Classifiers!$G$18,E120)),1,0)))&gt;0,1,0))</f>
        <v/>
      </c>
    </row>
    <row r="121">
      <c r="A121" s="8" t="n"/>
      <c r="B121" s="11" t="n"/>
      <c r="C121" s="6">
        <f>IF(A121="","",TRIM(RIGHT(SUBSTITUTE(A121,"/",REPT(" ",250)),250)))</f>
        <v/>
      </c>
      <c r="D121" s="6">
        <f>IF(C121="","",IF(ISNUMBER(SEARCH(".",C121)),LOWER("."&amp;TRIM(RIGHT(SUBSTITUTE(C121,".",REPT(" ",250)),250))),""))</f>
        <v/>
      </c>
      <c r="E121" s="6">
        <f>IF(C121="","",TRIM(SUBSTITUTE(SUBSTITUTE(SUBSTITUTE(SUBSTITUTE(SUBSTITUTE(SUBSTITUTE(SUBSTITUTE(SUBSTITUTE(SUBSTITUTE(SUBSTITUTE(SUBSTITUTE(SUBSTITUTE(SUBSTITUTE(SUBSTITUTE(SUBSTITUTE(SUBSTITUTE(SUBSTITUTE(SUBSTITUTE(SUBSTITUTE(SUBSTITUTE(LOWER(LEFT(C121,LEN(C121)-LEN(D121))),"_"," "),"-"," "),"."," "),","," "),"("," "),")"," "),"["," "),"]"," "),"&amp;"," "),"+"," "),"@"," "),"#"," "),"!"," "),"'"," "),"/"," "),":"," "),";"," "),"="," "),"~"," "),"%"," ")))</f>
        <v/>
      </c>
      <c r="F121" s="6">
        <f>IF(C121="","",IF(COUNTIF(Classifiers!$A$23:$A$40,D121)&gt;0,1,0))</f>
        <v/>
      </c>
      <c r="G121" s="6">
        <f>IF(C121="","",IF(COUNTIF(Classifiers!$C$23:$C$30,D121)&gt;0,IF((IF(ISNUMBER(SEARCH(Classifiers!$E$23,E121)),1,0)+IF(ISNUMBER(SEARCH(Classifiers!$E$24,E121)),1,0)+IF(ISNUMBER(SEARCH(Classifiers!$E$25,E121)),1,0)+IF(ISNUMBER(SEARCH(Classifiers!$E$26,E121)),1,0)+IF(ISNUMBER(SEARCH(Classifiers!$E$27,E121)),1,0)+IF(ISNUMBER(SEARCH(Classifiers!$E$28,E121)),1,0)+IF(ISNUMBER(SEARCH(Classifiers!$E$29,E121)),1,0)+IF(ISNUMBER(SEARCH(Classifiers!$E$30,E121)),1,0))&gt;0,1,0),0))</f>
        <v/>
      </c>
      <c r="H121" s="6">
        <f>IF(C121="","",IF(OR(LEFT(C121,1)=".",AND(F121=0,G121=0)),0,1))</f>
        <v/>
      </c>
      <c r="I121" s="6">
        <f>IF(H121&lt;&gt;1,"",IF(SUM(J121:W121)=0,"unclassified",INDEX(Classifiers!$A$5:$A$18,MATCH(1,J121:W121,0),1)))</f>
        <v/>
      </c>
      <c r="J121" s="12">
        <f>IF(H121&lt;&gt;1,0,IF((IF(Classifiers!$B$5="",0,IF(ISNUMBER(SEARCH(Classifiers!$B$5,E121)),1,0))+IF(Classifiers!$C$5="",0,IF(ISNUMBER(SEARCH(Classifiers!$C$5,E121)),1,0))+IF(Classifiers!$D$5="",0,IF(ISNUMBER(SEARCH(Classifiers!$D$5,E121)),1,0))+IF(Classifiers!$E$5="",0,IF(ISNUMBER(SEARCH(Classifiers!$E$5,E121)),1,0))+IF(Classifiers!$F$5="",0,IF(ISNUMBER(SEARCH(Classifiers!$F$5,E121)),1,0))+IF(Classifiers!$G$5="",0,IF(ISNUMBER(SEARCH(Classifiers!$G$5,E121)),1,0)))&gt;0,1,0))</f>
        <v/>
      </c>
      <c r="K121" s="12">
        <f>IF(H121&lt;&gt;1,0,IF((IF(Classifiers!$B$6="",0,IF(ISNUMBER(SEARCH(Classifiers!$B$6,E121)),1,0))+IF(Classifiers!$C$6="",0,IF(ISNUMBER(SEARCH(Classifiers!$C$6,E121)),1,0))+IF(Classifiers!$D$6="",0,IF(ISNUMBER(SEARCH(Classifiers!$D$6,E121)),1,0))+IF(Classifiers!$E$6="",0,IF(ISNUMBER(SEARCH(Classifiers!$E$6,E121)),1,0))+IF(Classifiers!$F$6="",0,IF(ISNUMBER(SEARCH(Classifiers!$F$6,E121)),1,0))+IF(Classifiers!$G$6="",0,IF(ISNUMBER(SEARCH(Classifiers!$G$6,E121)),1,0)))&gt;0,1,0))</f>
        <v/>
      </c>
      <c r="L121" s="12">
        <f>IF(H121&lt;&gt;1,0,IF((IF(Classifiers!$B$7="",0,IF(ISNUMBER(SEARCH(Classifiers!$B$7,E121)),1,0))+IF(Classifiers!$C$7="",0,IF(ISNUMBER(SEARCH(Classifiers!$C$7,E121)),1,0))+IF(Classifiers!$D$7="",0,IF(ISNUMBER(SEARCH(Classifiers!$D$7,E121)),1,0))+IF(Classifiers!$E$7="",0,IF(ISNUMBER(SEARCH(Classifiers!$E$7,E121)),1,0))+IF(Classifiers!$F$7="",0,IF(ISNUMBER(SEARCH(Classifiers!$F$7,E121)),1,0))+IF(Classifiers!$G$7="",0,IF(ISNUMBER(SEARCH(Classifiers!$G$7,E121)),1,0)))&gt;0,1,0))</f>
        <v/>
      </c>
      <c r="M121" s="12">
        <f>IF(H121&lt;&gt;1,0,IF((IF(Classifiers!$B$8="",0,IF(ISNUMBER(SEARCH(Classifiers!$B$8,E121)),1,0))+IF(Classifiers!$C$8="",0,IF(ISNUMBER(SEARCH(Classifiers!$C$8,E121)),1,0))+IF(Classifiers!$D$8="",0,IF(ISNUMBER(SEARCH(Classifiers!$D$8,E121)),1,0))+IF(Classifiers!$E$8="",0,IF(ISNUMBER(SEARCH(Classifiers!$E$8,E121)),1,0))+IF(Classifiers!$F$8="",0,IF(ISNUMBER(SEARCH(Classifiers!$F$8,E121)),1,0))+IF(Classifiers!$G$8="",0,IF(ISNUMBER(SEARCH(Classifiers!$G$8,E121)),1,0)))&gt;0,1,0))</f>
        <v/>
      </c>
      <c r="N121" s="12">
        <f>IF(H121&lt;&gt;1,0,IF((IF(Classifiers!$B$9="",0,IF(ISNUMBER(SEARCH(Classifiers!$B$9,E121)),1,0))+IF(Classifiers!$C$9="",0,IF(ISNUMBER(SEARCH(Classifiers!$C$9,E121)),1,0))+IF(Classifiers!$D$9="",0,IF(ISNUMBER(SEARCH(Classifiers!$D$9,E121)),1,0))+IF(Classifiers!$E$9="",0,IF(ISNUMBER(SEARCH(Classifiers!$E$9,E121)),1,0))+IF(Classifiers!$F$9="",0,IF(ISNUMBER(SEARCH(Classifiers!$F$9,E121)),1,0))+IF(Classifiers!$G$9="",0,IF(ISNUMBER(SEARCH(Classifiers!$G$9,E121)),1,0)))&gt;0,1,0))</f>
        <v/>
      </c>
      <c r="O121" s="12">
        <f>IF(H121&lt;&gt;1,0,IF((IF(Classifiers!$B$10="",0,IF(ISNUMBER(SEARCH(Classifiers!$B$10,E121)),1,0))+IF(Classifiers!$C$10="",0,IF(ISNUMBER(SEARCH(Classifiers!$C$10,E121)),1,0))+IF(Classifiers!$D$10="",0,IF(ISNUMBER(SEARCH(Classifiers!$D$10,E121)),1,0))+IF(Classifiers!$E$10="",0,IF(ISNUMBER(SEARCH(Classifiers!$E$10,E121)),1,0))+IF(Classifiers!$F$10="",0,IF(ISNUMBER(SEARCH(Classifiers!$F$10,E121)),1,0))+IF(Classifiers!$G$10="",0,IF(ISNUMBER(SEARCH(Classifiers!$G$10,E121)),1,0)))&gt;0,1,0))</f>
        <v/>
      </c>
      <c r="P121" s="12">
        <f>IF(H121&lt;&gt;1,0,IF((IF(Classifiers!$B$11="",0,IF(ISNUMBER(SEARCH(Classifiers!$B$11,E121)),1,0))+IF(Classifiers!$C$11="",0,IF(ISNUMBER(SEARCH(Classifiers!$C$11,E121)),1,0))+IF(Classifiers!$D$11="",0,IF(ISNUMBER(SEARCH(Classifiers!$D$11,E121)),1,0))+IF(Classifiers!$E$11="",0,IF(ISNUMBER(SEARCH(Classifiers!$E$11,E121)),1,0))+IF(Classifiers!$F$11="",0,IF(ISNUMBER(SEARCH(Classifiers!$F$11,E121)),1,0))+IF(Classifiers!$G$11="",0,IF(ISNUMBER(SEARCH(Classifiers!$G$11,E121)),1,0)))&gt;0,1,0))</f>
        <v/>
      </c>
      <c r="Q121" s="12">
        <f>IF(H121&lt;&gt;1,0,IF((IF(Classifiers!$B$12="",0,IF(ISNUMBER(SEARCH(Classifiers!$B$12,E121)),1,0))+IF(Classifiers!$C$12="",0,IF(ISNUMBER(SEARCH(Classifiers!$C$12,E121)),1,0))+IF(Classifiers!$D$12="",0,IF(ISNUMBER(SEARCH(Classifiers!$D$12,E121)),1,0))+IF(Classifiers!$E$12="",0,IF(ISNUMBER(SEARCH(Classifiers!$E$12,E121)),1,0))+IF(Classifiers!$F$12="",0,IF(ISNUMBER(SEARCH(Classifiers!$F$12,E121)),1,0))+IF(Classifiers!$G$12="",0,IF(ISNUMBER(SEARCH(Classifiers!$G$12,E121)),1,0)))&gt;0,1,0))</f>
        <v/>
      </c>
      <c r="R121" s="12">
        <f>IF(H121&lt;&gt;1,0,IF((IF(Classifiers!$B$13="",0,IF(ISNUMBER(SEARCH(Classifiers!$B$13,E121)),1,0))+IF(Classifiers!$C$13="",0,IF(ISNUMBER(SEARCH(Classifiers!$C$13,E121)),1,0))+IF(Classifiers!$D$13="",0,IF(ISNUMBER(SEARCH(Classifiers!$D$13,E121)),1,0))+IF(Classifiers!$E$13="",0,IF(ISNUMBER(SEARCH(Classifiers!$E$13,E121)),1,0))+IF(Classifiers!$F$13="",0,IF(ISNUMBER(SEARCH(Classifiers!$F$13,E121)),1,0))+IF(Classifiers!$G$13="",0,IF(ISNUMBER(SEARCH(Classifiers!$G$13,E121)),1,0)))&gt;0,1,0))</f>
        <v/>
      </c>
      <c r="S121" s="12">
        <f>IF(H121&lt;&gt;1,0,IF((IF(Classifiers!$B$14="",0,IF(ISNUMBER(SEARCH(Classifiers!$B$14,E121)),1,0))+IF(Classifiers!$C$14="",0,IF(ISNUMBER(SEARCH(Classifiers!$C$14,E121)),1,0))+IF(Classifiers!$D$14="",0,IF(ISNUMBER(SEARCH(Classifiers!$D$14,E121)),1,0))+IF(Classifiers!$E$14="",0,IF(ISNUMBER(SEARCH(Classifiers!$E$14,E121)),1,0))+IF(Classifiers!$F$14="",0,IF(ISNUMBER(SEARCH(Classifiers!$F$14,E121)),1,0))+IF(Classifiers!$G$14="",0,IF(ISNUMBER(SEARCH(Classifiers!$G$14,E121)),1,0)))&gt;0,1,0))</f>
        <v/>
      </c>
      <c r="T121" s="12">
        <f>IF(H121&lt;&gt;1,0,IF((IF(Classifiers!$B$15="",0,IF(ISNUMBER(SEARCH(Classifiers!$B$15,E121)),1,0))+IF(Classifiers!$C$15="",0,IF(ISNUMBER(SEARCH(Classifiers!$C$15,E121)),1,0))+IF(Classifiers!$D$15="",0,IF(ISNUMBER(SEARCH(Classifiers!$D$15,E121)),1,0))+IF(Classifiers!$E$15="",0,IF(ISNUMBER(SEARCH(Classifiers!$E$15,E121)),1,0))+IF(Classifiers!$F$15="",0,IF(ISNUMBER(SEARCH(Classifiers!$F$15,E121)),1,0))+IF(Classifiers!$G$15="",0,IF(ISNUMBER(SEARCH(Classifiers!$G$15,E121)),1,0)))&gt;0,1,0))</f>
        <v/>
      </c>
      <c r="U121" s="12">
        <f>IF(H121&lt;&gt;1,0,IF((IF(Classifiers!$B$16="",0,IF(ISNUMBER(SEARCH(Classifiers!$B$16,E121)),1,0))+IF(Classifiers!$C$16="",0,IF(ISNUMBER(SEARCH(Classifiers!$C$16,E121)),1,0))+IF(Classifiers!$D$16="",0,IF(ISNUMBER(SEARCH(Classifiers!$D$16,E121)),1,0))+IF(Classifiers!$E$16="",0,IF(ISNUMBER(SEARCH(Classifiers!$E$16,E121)),1,0))+IF(Classifiers!$F$16="",0,IF(ISNUMBER(SEARCH(Classifiers!$F$16,E121)),1,0))+IF(Classifiers!$G$16="",0,IF(ISNUMBER(SEARCH(Classifiers!$G$16,E121)),1,0)))&gt;0,1,0))</f>
        <v/>
      </c>
      <c r="V121" s="12">
        <f>IF(H121&lt;&gt;1,0,IF((IF(Classifiers!$B$17="",0,IF(ISNUMBER(SEARCH(Classifiers!$B$17,E121)),1,0))+IF(Classifiers!$C$17="",0,IF(ISNUMBER(SEARCH(Classifiers!$C$17,E121)),1,0))+IF(Classifiers!$D$17="",0,IF(ISNUMBER(SEARCH(Classifiers!$D$17,E121)),1,0))+IF(Classifiers!$E$17="",0,IF(ISNUMBER(SEARCH(Classifiers!$E$17,E121)),1,0))+IF(Classifiers!$F$17="",0,IF(ISNUMBER(SEARCH(Classifiers!$F$17,E121)),1,0))+IF(Classifiers!$G$17="",0,IF(ISNUMBER(SEARCH(Classifiers!$G$17,E121)),1,0)))&gt;0,1,0))</f>
        <v/>
      </c>
      <c r="W121" s="12">
        <f>IF(H121&lt;&gt;1,0,IF((IF(Classifiers!$B$18="",0,IF(ISNUMBER(SEARCH(Classifiers!$B$18,E121)),1,0))+IF(Classifiers!$C$18="",0,IF(ISNUMBER(SEARCH(Classifiers!$C$18,E121)),1,0))+IF(Classifiers!$D$18="",0,IF(ISNUMBER(SEARCH(Classifiers!$D$18,E121)),1,0))+IF(Classifiers!$E$18="",0,IF(ISNUMBER(SEARCH(Classifiers!$E$18,E121)),1,0))+IF(Classifiers!$F$18="",0,IF(ISNUMBER(SEARCH(Classifiers!$F$18,E121)),1,0))+IF(Classifiers!$G$18="",0,IF(ISNUMBER(SEARCH(Classifiers!$G$18,E121)),1,0)))&gt;0,1,0))</f>
        <v/>
      </c>
    </row>
    <row r="122">
      <c r="A122" s="8" t="n"/>
      <c r="B122" s="11" t="n"/>
      <c r="C122" s="6">
        <f>IF(A122="","",TRIM(RIGHT(SUBSTITUTE(A122,"/",REPT(" ",250)),250)))</f>
        <v/>
      </c>
      <c r="D122" s="6">
        <f>IF(C122="","",IF(ISNUMBER(SEARCH(".",C122)),LOWER("."&amp;TRIM(RIGHT(SUBSTITUTE(C122,".",REPT(" ",250)),250))),""))</f>
        <v/>
      </c>
      <c r="E122" s="6">
        <f>IF(C122="","",TRIM(SUBSTITUTE(SUBSTITUTE(SUBSTITUTE(SUBSTITUTE(SUBSTITUTE(SUBSTITUTE(SUBSTITUTE(SUBSTITUTE(SUBSTITUTE(SUBSTITUTE(SUBSTITUTE(SUBSTITUTE(SUBSTITUTE(SUBSTITUTE(SUBSTITUTE(SUBSTITUTE(SUBSTITUTE(SUBSTITUTE(SUBSTITUTE(SUBSTITUTE(LOWER(LEFT(C122,LEN(C122)-LEN(D122))),"_"," "),"-"," "),"."," "),","," "),"("," "),")"," "),"["," "),"]"," "),"&amp;"," "),"+"," "),"@"," "),"#"," "),"!"," "),"'"," "),"/"," "),":"," "),";"," "),"="," "),"~"," "),"%"," ")))</f>
        <v/>
      </c>
      <c r="F122" s="6">
        <f>IF(C122="","",IF(COUNTIF(Classifiers!$A$23:$A$40,D122)&gt;0,1,0))</f>
        <v/>
      </c>
      <c r="G122" s="6">
        <f>IF(C122="","",IF(COUNTIF(Classifiers!$C$23:$C$30,D122)&gt;0,IF((IF(ISNUMBER(SEARCH(Classifiers!$E$23,E122)),1,0)+IF(ISNUMBER(SEARCH(Classifiers!$E$24,E122)),1,0)+IF(ISNUMBER(SEARCH(Classifiers!$E$25,E122)),1,0)+IF(ISNUMBER(SEARCH(Classifiers!$E$26,E122)),1,0)+IF(ISNUMBER(SEARCH(Classifiers!$E$27,E122)),1,0)+IF(ISNUMBER(SEARCH(Classifiers!$E$28,E122)),1,0)+IF(ISNUMBER(SEARCH(Classifiers!$E$29,E122)),1,0)+IF(ISNUMBER(SEARCH(Classifiers!$E$30,E122)),1,0))&gt;0,1,0),0))</f>
        <v/>
      </c>
      <c r="H122" s="6">
        <f>IF(C122="","",IF(OR(LEFT(C122,1)=".",AND(F122=0,G122=0)),0,1))</f>
        <v/>
      </c>
      <c r="I122" s="6">
        <f>IF(H122&lt;&gt;1,"",IF(SUM(J122:W122)=0,"unclassified",INDEX(Classifiers!$A$5:$A$18,MATCH(1,J122:W122,0),1)))</f>
        <v/>
      </c>
      <c r="J122" s="12">
        <f>IF(H122&lt;&gt;1,0,IF((IF(Classifiers!$B$5="",0,IF(ISNUMBER(SEARCH(Classifiers!$B$5,E122)),1,0))+IF(Classifiers!$C$5="",0,IF(ISNUMBER(SEARCH(Classifiers!$C$5,E122)),1,0))+IF(Classifiers!$D$5="",0,IF(ISNUMBER(SEARCH(Classifiers!$D$5,E122)),1,0))+IF(Classifiers!$E$5="",0,IF(ISNUMBER(SEARCH(Classifiers!$E$5,E122)),1,0))+IF(Classifiers!$F$5="",0,IF(ISNUMBER(SEARCH(Classifiers!$F$5,E122)),1,0))+IF(Classifiers!$G$5="",0,IF(ISNUMBER(SEARCH(Classifiers!$G$5,E122)),1,0)))&gt;0,1,0))</f>
        <v/>
      </c>
      <c r="K122" s="12">
        <f>IF(H122&lt;&gt;1,0,IF((IF(Classifiers!$B$6="",0,IF(ISNUMBER(SEARCH(Classifiers!$B$6,E122)),1,0))+IF(Classifiers!$C$6="",0,IF(ISNUMBER(SEARCH(Classifiers!$C$6,E122)),1,0))+IF(Classifiers!$D$6="",0,IF(ISNUMBER(SEARCH(Classifiers!$D$6,E122)),1,0))+IF(Classifiers!$E$6="",0,IF(ISNUMBER(SEARCH(Classifiers!$E$6,E122)),1,0))+IF(Classifiers!$F$6="",0,IF(ISNUMBER(SEARCH(Classifiers!$F$6,E122)),1,0))+IF(Classifiers!$G$6="",0,IF(ISNUMBER(SEARCH(Classifiers!$G$6,E122)),1,0)))&gt;0,1,0))</f>
        <v/>
      </c>
      <c r="L122" s="12">
        <f>IF(H122&lt;&gt;1,0,IF((IF(Classifiers!$B$7="",0,IF(ISNUMBER(SEARCH(Classifiers!$B$7,E122)),1,0))+IF(Classifiers!$C$7="",0,IF(ISNUMBER(SEARCH(Classifiers!$C$7,E122)),1,0))+IF(Classifiers!$D$7="",0,IF(ISNUMBER(SEARCH(Classifiers!$D$7,E122)),1,0))+IF(Classifiers!$E$7="",0,IF(ISNUMBER(SEARCH(Classifiers!$E$7,E122)),1,0))+IF(Classifiers!$F$7="",0,IF(ISNUMBER(SEARCH(Classifiers!$F$7,E122)),1,0))+IF(Classifiers!$G$7="",0,IF(ISNUMBER(SEARCH(Classifiers!$G$7,E122)),1,0)))&gt;0,1,0))</f>
        <v/>
      </c>
      <c r="M122" s="12">
        <f>IF(H122&lt;&gt;1,0,IF((IF(Classifiers!$B$8="",0,IF(ISNUMBER(SEARCH(Classifiers!$B$8,E122)),1,0))+IF(Classifiers!$C$8="",0,IF(ISNUMBER(SEARCH(Classifiers!$C$8,E122)),1,0))+IF(Classifiers!$D$8="",0,IF(ISNUMBER(SEARCH(Classifiers!$D$8,E122)),1,0))+IF(Classifiers!$E$8="",0,IF(ISNUMBER(SEARCH(Classifiers!$E$8,E122)),1,0))+IF(Classifiers!$F$8="",0,IF(ISNUMBER(SEARCH(Classifiers!$F$8,E122)),1,0))+IF(Classifiers!$G$8="",0,IF(ISNUMBER(SEARCH(Classifiers!$G$8,E122)),1,0)))&gt;0,1,0))</f>
        <v/>
      </c>
      <c r="N122" s="12">
        <f>IF(H122&lt;&gt;1,0,IF((IF(Classifiers!$B$9="",0,IF(ISNUMBER(SEARCH(Classifiers!$B$9,E122)),1,0))+IF(Classifiers!$C$9="",0,IF(ISNUMBER(SEARCH(Classifiers!$C$9,E122)),1,0))+IF(Classifiers!$D$9="",0,IF(ISNUMBER(SEARCH(Classifiers!$D$9,E122)),1,0))+IF(Classifiers!$E$9="",0,IF(ISNUMBER(SEARCH(Classifiers!$E$9,E122)),1,0))+IF(Classifiers!$F$9="",0,IF(ISNUMBER(SEARCH(Classifiers!$F$9,E122)),1,0))+IF(Classifiers!$G$9="",0,IF(ISNUMBER(SEARCH(Classifiers!$G$9,E122)),1,0)))&gt;0,1,0))</f>
        <v/>
      </c>
      <c r="O122" s="12">
        <f>IF(H122&lt;&gt;1,0,IF((IF(Classifiers!$B$10="",0,IF(ISNUMBER(SEARCH(Classifiers!$B$10,E122)),1,0))+IF(Classifiers!$C$10="",0,IF(ISNUMBER(SEARCH(Classifiers!$C$10,E122)),1,0))+IF(Classifiers!$D$10="",0,IF(ISNUMBER(SEARCH(Classifiers!$D$10,E122)),1,0))+IF(Classifiers!$E$10="",0,IF(ISNUMBER(SEARCH(Classifiers!$E$10,E122)),1,0))+IF(Classifiers!$F$10="",0,IF(ISNUMBER(SEARCH(Classifiers!$F$10,E122)),1,0))+IF(Classifiers!$G$10="",0,IF(ISNUMBER(SEARCH(Classifiers!$G$10,E122)),1,0)))&gt;0,1,0))</f>
        <v/>
      </c>
      <c r="P122" s="12">
        <f>IF(H122&lt;&gt;1,0,IF((IF(Classifiers!$B$11="",0,IF(ISNUMBER(SEARCH(Classifiers!$B$11,E122)),1,0))+IF(Classifiers!$C$11="",0,IF(ISNUMBER(SEARCH(Classifiers!$C$11,E122)),1,0))+IF(Classifiers!$D$11="",0,IF(ISNUMBER(SEARCH(Classifiers!$D$11,E122)),1,0))+IF(Classifiers!$E$11="",0,IF(ISNUMBER(SEARCH(Classifiers!$E$11,E122)),1,0))+IF(Classifiers!$F$11="",0,IF(ISNUMBER(SEARCH(Classifiers!$F$11,E122)),1,0))+IF(Classifiers!$G$11="",0,IF(ISNUMBER(SEARCH(Classifiers!$G$11,E122)),1,0)))&gt;0,1,0))</f>
        <v/>
      </c>
      <c r="Q122" s="12">
        <f>IF(H122&lt;&gt;1,0,IF((IF(Classifiers!$B$12="",0,IF(ISNUMBER(SEARCH(Classifiers!$B$12,E122)),1,0))+IF(Classifiers!$C$12="",0,IF(ISNUMBER(SEARCH(Classifiers!$C$12,E122)),1,0))+IF(Classifiers!$D$12="",0,IF(ISNUMBER(SEARCH(Classifiers!$D$12,E122)),1,0))+IF(Classifiers!$E$12="",0,IF(ISNUMBER(SEARCH(Classifiers!$E$12,E122)),1,0))+IF(Classifiers!$F$12="",0,IF(ISNUMBER(SEARCH(Classifiers!$F$12,E122)),1,0))+IF(Classifiers!$G$12="",0,IF(ISNUMBER(SEARCH(Classifiers!$G$12,E122)),1,0)))&gt;0,1,0))</f>
        <v/>
      </c>
      <c r="R122" s="12">
        <f>IF(H122&lt;&gt;1,0,IF((IF(Classifiers!$B$13="",0,IF(ISNUMBER(SEARCH(Classifiers!$B$13,E122)),1,0))+IF(Classifiers!$C$13="",0,IF(ISNUMBER(SEARCH(Classifiers!$C$13,E122)),1,0))+IF(Classifiers!$D$13="",0,IF(ISNUMBER(SEARCH(Classifiers!$D$13,E122)),1,0))+IF(Classifiers!$E$13="",0,IF(ISNUMBER(SEARCH(Classifiers!$E$13,E122)),1,0))+IF(Classifiers!$F$13="",0,IF(ISNUMBER(SEARCH(Classifiers!$F$13,E122)),1,0))+IF(Classifiers!$G$13="",0,IF(ISNUMBER(SEARCH(Classifiers!$G$13,E122)),1,0)))&gt;0,1,0))</f>
        <v/>
      </c>
      <c r="S122" s="12">
        <f>IF(H122&lt;&gt;1,0,IF((IF(Classifiers!$B$14="",0,IF(ISNUMBER(SEARCH(Classifiers!$B$14,E122)),1,0))+IF(Classifiers!$C$14="",0,IF(ISNUMBER(SEARCH(Classifiers!$C$14,E122)),1,0))+IF(Classifiers!$D$14="",0,IF(ISNUMBER(SEARCH(Classifiers!$D$14,E122)),1,0))+IF(Classifiers!$E$14="",0,IF(ISNUMBER(SEARCH(Classifiers!$E$14,E122)),1,0))+IF(Classifiers!$F$14="",0,IF(ISNUMBER(SEARCH(Classifiers!$F$14,E122)),1,0))+IF(Classifiers!$G$14="",0,IF(ISNUMBER(SEARCH(Classifiers!$G$14,E122)),1,0)))&gt;0,1,0))</f>
        <v/>
      </c>
      <c r="T122" s="12">
        <f>IF(H122&lt;&gt;1,0,IF((IF(Classifiers!$B$15="",0,IF(ISNUMBER(SEARCH(Classifiers!$B$15,E122)),1,0))+IF(Classifiers!$C$15="",0,IF(ISNUMBER(SEARCH(Classifiers!$C$15,E122)),1,0))+IF(Classifiers!$D$15="",0,IF(ISNUMBER(SEARCH(Classifiers!$D$15,E122)),1,0))+IF(Classifiers!$E$15="",0,IF(ISNUMBER(SEARCH(Classifiers!$E$15,E122)),1,0))+IF(Classifiers!$F$15="",0,IF(ISNUMBER(SEARCH(Classifiers!$F$15,E122)),1,0))+IF(Classifiers!$G$15="",0,IF(ISNUMBER(SEARCH(Classifiers!$G$15,E122)),1,0)))&gt;0,1,0))</f>
        <v/>
      </c>
      <c r="U122" s="12">
        <f>IF(H122&lt;&gt;1,0,IF((IF(Classifiers!$B$16="",0,IF(ISNUMBER(SEARCH(Classifiers!$B$16,E122)),1,0))+IF(Classifiers!$C$16="",0,IF(ISNUMBER(SEARCH(Classifiers!$C$16,E122)),1,0))+IF(Classifiers!$D$16="",0,IF(ISNUMBER(SEARCH(Classifiers!$D$16,E122)),1,0))+IF(Classifiers!$E$16="",0,IF(ISNUMBER(SEARCH(Classifiers!$E$16,E122)),1,0))+IF(Classifiers!$F$16="",0,IF(ISNUMBER(SEARCH(Classifiers!$F$16,E122)),1,0))+IF(Classifiers!$G$16="",0,IF(ISNUMBER(SEARCH(Classifiers!$G$16,E122)),1,0)))&gt;0,1,0))</f>
        <v/>
      </c>
      <c r="V122" s="12">
        <f>IF(H122&lt;&gt;1,0,IF((IF(Classifiers!$B$17="",0,IF(ISNUMBER(SEARCH(Classifiers!$B$17,E122)),1,0))+IF(Classifiers!$C$17="",0,IF(ISNUMBER(SEARCH(Classifiers!$C$17,E122)),1,0))+IF(Classifiers!$D$17="",0,IF(ISNUMBER(SEARCH(Classifiers!$D$17,E122)),1,0))+IF(Classifiers!$E$17="",0,IF(ISNUMBER(SEARCH(Classifiers!$E$17,E122)),1,0))+IF(Classifiers!$F$17="",0,IF(ISNUMBER(SEARCH(Classifiers!$F$17,E122)),1,0))+IF(Classifiers!$G$17="",0,IF(ISNUMBER(SEARCH(Classifiers!$G$17,E122)),1,0)))&gt;0,1,0))</f>
        <v/>
      </c>
      <c r="W122" s="12">
        <f>IF(H122&lt;&gt;1,0,IF((IF(Classifiers!$B$18="",0,IF(ISNUMBER(SEARCH(Classifiers!$B$18,E122)),1,0))+IF(Classifiers!$C$18="",0,IF(ISNUMBER(SEARCH(Classifiers!$C$18,E122)),1,0))+IF(Classifiers!$D$18="",0,IF(ISNUMBER(SEARCH(Classifiers!$D$18,E122)),1,0))+IF(Classifiers!$E$18="",0,IF(ISNUMBER(SEARCH(Classifiers!$E$18,E122)),1,0))+IF(Classifiers!$F$18="",0,IF(ISNUMBER(SEARCH(Classifiers!$F$18,E122)),1,0))+IF(Classifiers!$G$18="",0,IF(ISNUMBER(SEARCH(Classifiers!$G$18,E122)),1,0)))&gt;0,1,0))</f>
        <v/>
      </c>
    </row>
    <row r="123">
      <c r="A123" s="8" t="n"/>
      <c r="B123" s="11" t="n"/>
      <c r="C123" s="6">
        <f>IF(A123="","",TRIM(RIGHT(SUBSTITUTE(A123,"/",REPT(" ",250)),250)))</f>
        <v/>
      </c>
      <c r="D123" s="6">
        <f>IF(C123="","",IF(ISNUMBER(SEARCH(".",C123)),LOWER("."&amp;TRIM(RIGHT(SUBSTITUTE(C123,".",REPT(" ",250)),250))),""))</f>
        <v/>
      </c>
      <c r="E123" s="6">
        <f>IF(C123="","",TRIM(SUBSTITUTE(SUBSTITUTE(SUBSTITUTE(SUBSTITUTE(SUBSTITUTE(SUBSTITUTE(SUBSTITUTE(SUBSTITUTE(SUBSTITUTE(SUBSTITUTE(SUBSTITUTE(SUBSTITUTE(SUBSTITUTE(SUBSTITUTE(SUBSTITUTE(SUBSTITUTE(SUBSTITUTE(SUBSTITUTE(SUBSTITUTE(SUBSTITUTE(LOWER(LEFT(C123,LEN(C123)-LEN(D123))),"_"," "),"-"," "),"."," "),","," "),"("," "),")"," "),"["," "),"]"," "),"&amp;"," "),"+"," "),"@"," "),"#"," "),"!"," "),"'"," "),"/"," "),":"," "),";"," "),"="," "),"~"," "),"%"," ")))</f>
        <v/>
      </c>
      <c r="F123" s="6">
        <f>IF(C123="","",IF(COUNTIF(Classifiers!$A$23:$A$40,D123)&gt;0,1,0))</f>
        <v/>
      </c>
      <c r="G123" s="6">
        <f>IF(C123="","",IF(COUNTIF(Classifiers!$C$23:$C$30,D123)&gt;0,IF((IF(ISNUMBER(SEARCH(Classifiers!$E$23,E123)),1,0)+IF(ISNUMBER(SEARCH(Classifiers!$E$24,E123)),1,0)+IF(ISNUMBER(SEARCH(Classifiers!$E$25,E123)),1,0)+IF(ISNUMBER(SEARCH(Classifiers!$E$26,E123)),1,0)+IF(ISNUMBER(SEARCH(Classifiers!$E$27,E123)),1,0)+IF(ISNUMBER(SEARCH(Classifiers!$E$28,E123)),1,0)+IF(ISNUMBER(SEARCH(Classifiers!$E$29,E123)),1,0)+IF(ISNUMBER(SEARCH(Classifiers!$E$30,E123)),1,0))&gt;0,1,0),0))</f>
        <v/>
      </c>
      <c r="H123" s="6">
        <f>IF(C123="","",IF(OR(LEFT(C123,1)=".",AND(F123=0,G123=0)),0,1))</f>
        <v/>
      </c>
      <c r="I123" s="6">
        <f>IF(H123&lt;&gt;1,"",IF(SUM(J123:W123)=0,"unclassified",INDEX(Classifiers!$A$5:$A$18,MATCH(1,J123:W123,0),1)))</f>
        <v/>
      </c>
      <c r="J123" s="12">
        <f>IF(H123&lt;&gt;1,0,IF((IF(Classifiers!$B$5="",0,IF(ISNUMBER(SEARCH(Classifiers!$B$5,E123)),1,0))+IF(Classifiers!$C$5="",0,IF(ISNUMBER(SEARCH(Classifiers!$C$5,E123)),1,0))+IF(Classifiers!$D$5="",0,IF(ISNUMBER(SEARCH(Classifiers!$D$5,E123)),1,0))+IF(Classifiers!$E$5="",0,IF(ISNUMBER(SEARCH(Classifiers!$E$5,E123)),1,0))+IF(Classifiers!$F$5="",0,IF(ISNUMBER(SEARCH(Classifiers!$F$5,E123)),1,0))+IF(Classifiers!$G$5="",0,IF(ISNUMBER(SEARCH(Classifiers!$G$5,E123)),1,0)))&gt;0,1,0))</f>
        <v/>
      </c>
      <c r="K123" s="12">
        <f>IF(H123&lt;&gt;1,0,IF((IF(Classifiers!$B$6="",0,IF(ISNUMBER(SEARCH(Classifiers!$B$6,E123)),1,0))+IF(Classifiers!$C$6="",0,IF(ISNUMBER(SEARCH(Classifiers!$C$6,E123)),1,0))+IF(Classifiers!$D$6="",0,IF(ISNUMBER(SEARCH(Classifiers!$D$6,E123)),1,0))+IF(Classifiers!$E$6="",0,IF(ISNUMBER(SEARCH(Classifiers!$E$6,E123)),1,0))+IF(Classifiers!$F$6="",0,IF(ISNUMBER(SEARCH(Classifiers!$F$6,E123)),1,0))+IF(Classifiers!$G$6="",0,IF(ISNUMBER(SEARCH(Classifiers!$G$6,E123)),1,0)))&gt;0,1,0))</f>
        <v/>
      </c>
      <c r="L123" s="12">
        <f>IF(H123&lt;&gt;1,0,IF((IF(Classifiers!$B$7="",0,IF(ISNUMBER(SEARCH(Classifiers!$B$7,E123)),1,0))+IF(Classifiers!$C$7="",0,IF(ISNUMBER(SEARCH(Classifiers!$C$7,E123)),1,0))+IF(Classifiers!$D$7="",0,IF(ISNUMBER(SEARCH(Classifiers!$D$7,E123)),1,0))+IF(Classifiers!$E$7="",0,IF(ISNUMBER(SEARCH(Classifiers!$E$7,E123)),1,0))+IF(Classifiers!$F$7="",0,IF(ISNUMBER(SEARCH(Classifiers!$F$7,E123)),1,0))+IF(Classifiers!$G$7="",0,IF(ISNUMBER(SEARCH(Classifiers!$G$7,E123)),1,0)))&gt;0,1,0))</f>
        <v/>
      </c>
      <c r="M123" s="12">
        <f>IF(H123&lt;&gt;1,0,IF((IF(Classifiers!$B$8="",0,IF(ISNUMBER(SEARCH(Classifiers!$B$8,E123)),1,0))+IF(Classifiers!$C$8="",0,IF(ISNUMBER(SEARCH(Classifiers!$C$8,E123)),1,0))+IF(Classifiers!$D$8="",0,IF(ISNUMBER(SEARCH(Classifiers!$D$8,E123)),1,0))+IF(Classifiers!$E$8="",0,IF(ISNUMBER(SEARCH(Classifiers!$E$8,E123)),1,0))+IF(Classifiers!$F$8="",0,IF(ISNUMBER(SEARCH(Classifiers!$F$8,E123)),1,0))+IF(Classifiers!$G$8="",0,IF(ISNUMBER(SEARCH(Classifiers!$G$8,E123)),1,0)))&gt;0,1,0))</f>
        <v/>
      </c>
      <c r="N123" s="12">
        <f>IF(H123&lt;&gt;1,0,IF((IF(Classifiers!$B$9="",0,IF(ISNUMBER(SEARCH(Classifiers!$B$9,E123)),1,0))+IF(Classifiers!$C$9="",0,IF(ISNUMBER(SEARCH(Classifiers!$C$9,E123)),1,0))+IF(Classifiers!$D$9="",0,IF(ISNUMBER(SEARCH(Classifiers!$D$9,E123)),1,0))+IF(Classifiers!$E$9="",0,IF(ISNUMBER(SEARCH(Classifiers!$E$9,E123)),1,0))+IF(Classifiers!$F$9="",0,IF(ISNUMBER(SEARCH(Classifiers!$F$9,E123)),1,0))+IF(Classifiers!$G$9="",0,IF(ISNUMBER(SEARCH(Classifiers!$G$9,E123)),1,0)))&gt;0,1,0))</f>
        <v/>
      </c>
      <c r="O123" s="12">
        <f>IF(H123&lt;&gt;1,0,IF((IF(Classifiers!$B$10="",0,IF(ISNUMBER(SEARCH(Classifiers!$B$10,E123)),1,0))+IF(Classifiers!$C$10="",0,IF(ISNUMBER(SEARCH(Classifiers!$C$10,E123)),1,0))+IF(Classifiers!$D$10="",0,IF(ISNUMBER(SEARCH(Classifiers!$D$10,E123)),1,0))+IF(Classifiers!$E$10="",0,IF(ISNUMBER(SEARCH(Classifiers!$E$10,E123)),1,0))+IF(Classifiers!$F$10="",0,IF(ISNUMBER(SEARCH(Classifiers!$F$10,E123)),1,0))+IF(Classifiers!$G$10="",0,IF(ISNUMBER(SEARCH(Classifiers!$G$10,E123)),1,0)))&gt;0,1,0))</f>
        <v/>
      </c>
      <c r="P123" s="12">
        <f>IF(H123&lt;&gt;1,0,IF((IF(Classifiers!$B$11="",0,IF(ISNUMBER(SEARCH(Classifiers!$B$11,E123)),1,0))+IF(Classifiers!$C$11="",0,IF(ISNUMBER(SEARCH(Classifiers!$C$11,E123)),1,0))+IF(Classifiers!$D$11="",0,IF(ISNUMBER(SEARCH(Classifiers!$D$11,E123)),1,0))+IF(Classifiers!$E$11="",0,IF(ISNUMBER(SEARCH(Classifiers!$E$11,E123)),1,0))+IF(Classifiers!$F$11="",0,IF(ISNUMBER(SEARCH(Classifiers!$F$11,E123)),1,0))+IF(Classifiers!$G$11="",0,IF(ISNUMBER(SEARCH(Classifiers!$G$11,E123)),1,0)))&gt;0,1,0))</f>
        <v/>
      </c>
      <c r="Q123" s="12">
        <f>IF(H123&lt;&gt;1,0,IF((IF(Classifiers!$B$12="",0,IF(ISNUMBER(SEARCH(Classifiers!$B$12,E123)),1,0))+IF(Classifiers!$C$12="",0,IF(ISNUMBER(SEARCH(Classifiers!$C$12,E123)),1,0))+IF(Classifiers!$D$12="",0,IF(ISNUMBER(SEARCH(Classifiers!$D$12,E123)),1,0))+IF(Classifiers!$E$12="",0,IF(ISNUMBER(SEARCH(Classifiers!$E$12,E123)),1,0))+IF(Classifiers!$F$12="",0,IF(ISNUMBER(SEARCH(Classifiers!$F$12,E123)),1,0))+IF(Classifiers!$G$12="",0,IF(ISNUMBER(SEARCH(Classifiers!$G$12,E123)),1,0)))&gt;0,1,0))</f>
        <v/>
      </c>
      <c r="R123" s="12">
        <f>IF(H123&lt;&gt;1,0,IF((IF(Classifiers!$B$13="",0,IF(ISNUMBER(SEARCH(Classifiers!$B$13,E123)),1,0))+IF(Classifiers!$C$13="",0,IF(ISNUMBER(SEARCH(Classifiers!$C$13,E123)),1,0))+IF(Classifiers!$D$13="",0,IF(ISNUMBER(SEARCH(Classifiers!$D$13,E123)),1,0))+IF(Classifiers!$E$13="",0,IF(ISNUMBER(SEARCH(Classifiers!$E$13,E123)),1,0))+IF(Classifiers!$F$13="",0,IF(ISNUMBER(SEARCH(Classifiers!$F$13,E123)),1,0))+IF(Classifiers!$G$13="",0,IF(ISNUMBER(SEARCH(Classifiers!$G$13,E123)),1,0)))&gt;0,1,0))</f>
        <v/>
      </c>
      <c r="S123" s="12">
        <f>IF(H123&lt;&gt;1,0,IF((IF(Classifiers!$B$14="",0,IF(ISNUMBER(SEARCH(Classifiers!$B$14,E123)),1,0))+IF(Classifiers!$C$14="",0,IF(ISNUMBER(SEARCH(Classifiers!$C$14,E123)),1,0))+IF(Classifiers!$D$14="",0,IF(ISNUMBER(SEARCH(Classifiers!$D$14,E123)),1,0))+IF(Classifiers!$E$14="",0,IF(ISNUMBER(SEARCH(Classifiers!$E$14,E123)),1,0))+IF(Classifiers!$F$14="",0,IF(ISNUMBER(SEARCH(Classifiers!$F$14,E123)),1,0))+IF(Classifiers!$G$14="",0,IF(ISNUMBER(SEARCH(Classifiers!$G$14,E123)),1,0)))&gt;0,1,0))</f>
        <v/>
      </c>
      <c r="T123" s="12">
        <f>IF(H123&lt;&gt;1,0,IF((IF(Classifiers!$B$15="",0,IF(ISNUMBER(SEARCH(Classifiers!$B$15,E123)),1,0))+IF(Classifiers!$C$15="",0,IF(ISNUMBER(SEARCH(Classifiers!$C$15,E123)),1,0))+IF(Classifiers!$D$15="",0,IF(ISNUMBER(SEARCH(Classifiers!$D$15,E123)),1,0))+IF(Classifiers!$E$15="",0,IF(ISNUMBER(SEARCH(Classifiers!$E$15,E123)),1,0))+IF(Classifiers!$F$15="",0,IF(ISNUMBER(SEARCH(Classifiers!$F$15,E123)),1,0))+IF(Classifiers!$G$15="",0,IF(ISNUMBER(SEARCH(Classifiers!$G$15,E123)),1,0)))&gt;0,1,0))</f>
        <v/>
      </c>
      <c r="U123" s="12">
        <f>IF(H123&lt;&gt;1,0,IF((IF(Classifiers!$B$16="",0,IF(ISNUMBER(SEARCH(Classifiers!$B$16,E123)),1,0))+IF(Classifiers!$C$16="",0,IF(ISNUMBER(SEARCH(Classifiers!$C$16,E123)),1,0))+IF(Classifiers!$D$16="",0,IF(ISNUMBER(SEARCH(Classifiers!$D$16,E123)),1,0))+IF(Classifiers!$E$16="",0,IF(ISNUMBER(SEARCH(Classifiers!$E$16,E123)),1,0))+IF(Classifiers!$F$16="",0,IF(ISNUMBER(SEARCH(Classifiers!$F$16,E123)),1,0))+IF(Classifiers!$G$16="",0,IF(ISNUMBER(SEARCH(Classifiers!$G$16,E123)),1,0)))&gt;0,1,0))</f>
        <v/>
      </c>
      <c r="V123" s="12">
        <f>IF(H123&lt;&gt;1,0,IF((IF(Classifiers!$B$17="",0,IF(ISNUMBER(SEARCH(Classifiers!$B$17,E123)),1,0))+IF(Classifiers!$C$17="",0,IF(ISNUMBER(SEARCH(Classifiers!$C$17,E123)),1,0))+IF(Classifiers!$D$17="",0,IF(ISNUMBER(SEARCH(Classifiers!$D$17,E123)),1,0))+IF(Classifiers!$E$17="",0,IF(ISNUMBER(SEARCH(Classifiers!$E$17,E123)),1,0))+IF(Classifiers!$F$17="",0,IF(ISNUMBER(SEARCH(Classifiers!$F$17,E123)),1,0))+IF(Classifiers!$G$17="",0,IF(ISNUMBER(SEARCH(Classifiers!$G$17,E123)),1,0)))&gt;0,1,0))</f>
        <v/>
      </c>
      <c r="W123" s="12">
        <f>IF(H123&lt;&gt;1,0,IF((IF(Classifiers!$B$18="",0,IF(ISNUMBER(SEARCH(Classifiers!$B$18,E123)),1,0))+IF(Classifiers!$C$18="",0,IF(ISNUMBER(SEARCH(Classifiers!$C$18,E123)),1,0))+IF(Classifiers!$D$18="",0,IF(ISNUMBER(SEARCH(Classifiers!$D$18,E123)),1,0))+IF(Classifiers!$E$18="",0,IF(ISNUMBER(SEARCH(Classifiers!$E$18,E123)),1,0))+IF(Classifiers!$F$18="",0,IF(ISNUMBER(SEARCH(Classifiers!$F$18,E123)),1,0))+IF(Classifiers!$G$18="",0,IF(ISNUMBER(SEARCH(Classifiers!$G$18,E123)),1,0)))&gt;0,1,0))</f>
        <v/>
      </c>
    </row>
    <row r="124">
      <c r="A124" s="8" t="n"/>
      <c r="B124" s="11" t="n"/>
      <c r="C124" s="6">
        <f>IF(A124="","",TRIM(RIGHT(SUBSTITUTE(A124,"/",REPT(" ",250)),250)))</f>
        <v/>
      </c>
      <c r="D124" s="6">
        <f>IF(C124="","",IF(ISNUMBER(SEARCH(".",C124)),LOWER("."&amp;TRIM(RIGHT(SUBSTITUTE(C124,".",REPT(" ",250)),250))),""))</f>
        <v/>
      </c>
      <c r="E124" s="6">
        <f>IF(C124="","",TRIM(SUBSTITUTE(SUBSTITUTE(SUBSTITUTE(SUBSTITUTE(SUBSTITUTE(SUBSTITUTE(SUBSTITUTE(SUBSTITUTE(SUBSTITUTE(SUBSTITUTE(SUBSTITUTE(SUBSTITUTE(SUBSTITUTE(SUBSTITUTE(SUBSTITUTE(SUBSTITUTE(SUBSTITUTE(SUBSTITUTE(SUBSTITUTE(SUBSTITUTE(LOWER(LEFT(C124,LEN(C124)-LEN(D124))),"_"," "),"-"," "),"."," "),","," "),"("," "),")"," "),"["," "),"]"," "),"&amp;"," "),"+"," "),"@"," "),"#"," "),"!"," "),"'"," "),"/"," "),":"," "),";"," "),"="," "),"~"," "),"%"," ")))</f>
        <v/>
      </c>
      <c r="F124" s="6">
        <f>IF(C124="","",IF(COUNTIF(Classifiers!$A$23:$A$40,D124)&gt;0,1,0))</f>
        <v/>
      </c>
      <c r="G124" s="6">
        <f>IF(C124="","",IF(COUNTIF(Classifiers!$C$23:$C$30,D124)&gt;0,IF((IF(ISNUMBER(SEARCH(Classifiers!$E$23,E124)),1,0)+IF(ISNUMBER(SEARCH(Classifiers!$E$24,E124)),1,0)+IF(ISNUMBER(SEARCH(Classifiers!$E$25,E124)),1,0)+IF(ISNUMBER(SEARCH(Classifiers!$E$26,E124)),1,0)+IF(ISNUMBER(SEARCH(Classifiers!$E$27,E124)),1,0)+IF(ISNUMBER(SEARCH(Classifiers!$E$28,E124)),1,0)+IF(ISNUMBER(SEARCH(Classifiers!$E$29,E124)),1,0)+IF(ISNUMBER(SEARCH(Classifiers!$E$30,E124)),1,0))&gt;0,1,0),0))</f>
        <v/>
      </c>
      <c r="H124" s="6">
        <f>IF(C124="","",IF(OR(LEFT(C124,1)=".",AND(F124=0,G124=0)),0,1))</f>
        <v/>
      </c>
      <c r="I124" s="6">
        <f>IF(H124&lt;&gt;1,"",IF(SUM(J124:W124)=0,"unclassified",INDEX(Classifiers!$A$5:$A$18,MATCH(1,J124:W124,0),1)))</f>
        <v/>
      </c>
      <c r="J124" s="12">
        <f>IF(H124&lt;&gt;1,0,IF((IF(Classifiers!$B$5="",0,IF(ISNUMBER(SEARCH(Classifiers!$B$5,E124)),1,0))+IF(Classifiers!$C$5="",0,IF(ISNUMBER(SEARCH(Classifiers!$C$5,E124)),1,0))+IF(Classifiers!$D$5="",0,IF(ISNUMBER(SEARCH(Classifiers!$D$5,E124)),1,0))+IF(Classifiers!$E$5="",0,IF(ISNUMBER(SEARCH(Classifiers!$E$5,E124)),1,0))+IF(Classifiers!$F$5="",0,IF(ISNUMBER(SEARCH(Classifiers!$F$5,E124)),1,0))+IF(Classifiers!$G$5="",0,IF(ISNUMBER(SEARCH(Classifiers!$G$5,E124)),1,0)))&gt;0,1,0))</f>
        <v/>
      </c>
      <c r="K124" s="12">
        <f>IF(H124&lt;&gt;1,0,IF((IF(Classifiers!$B$6="",0,IF(ISNUMBER(SEARCH(Classifiers!$B$6,E124)),1,0))+IF(Classifiers!$C$6="",0,IF(ISNUMBER(SEARCH(Classifiers!$C$6,E124)),1,0))+IF(Classifiers!$D$6="",0,IF(ISNUMBER(SEARCH(Classifiers!$D$6,E124)),1,0))+IF(Classifiers!$E$6="",0,IF(ISNUMBER(SEARCH(Classifiers!$E$6,E124)),1,0))+IF(Classifiers!$F$6="",0,IF(ISNUMBER(SEARCH(Classifiers!$F$6,E124)),1,0))+IF(Classifiers!$G$6="",0,IF(ISNUMBER(SEARCH(Classifiers!$G$6,E124)),1,0)))&gt;0,1,0))</f>
        <v/>
      </c>
      <c r="L124" s="12">
        <f>IF(H124&lt;&gt;1,0,IF((IF(Classifiers!$B$7="",0,IF(ISNUMBER(SEARCH(Classifiers!$B$7,E124)),1,0))+IF(Classifiers!$C$7="",0,IF(ISNUMBER(SEARCH(Classifiers!$C$7,E124)),1,0))+IF(Classifiers!$D$7="",0,IF(ISNUMBER(SEARCH(Classifiers!$D$7,E124)),1,0))+IF(Classifiers!$E$7="",0,IF(ISNUMBER(SEARCH(Classifiers!$E$7,E124)),1,0))+IF(Classifiers!$F$7="",0,IF(ISNUMBER(SEARCH(Classifiers!$F$7,E124)),1,0))+IF(Classifiers!$G$7="",0,IF(ISNUMBER(SEARCH(Classifiers!$G$7,E124)),1,0)))&gt;0,1,0))</f>
        <v/>
      </c>
      <c r="M124" s="12">
        <f>IF(H124&lt;&gt;1,0,IF((IF(Classifiers!$B$8="",0,IF(ISNUMBER(SEARCH(Classifiers!$B$8,E124)),1,0))+IF(Classifiers!$C$8="",0,IF(ISNUMBER(SEARCH(Classifiers!$C$8,E124)),1,0))+IF(Classifiers!$D$8="",0,IF(ISNUMBER(SEARCH(Classifiers!$D$8,E124)),1,0))+IF(Classifiers!$E$8="",0,IF(ISNUMBER(SEARCH(Classifiers!$E$8,E124)),1,0))+IF(Classifiers!$F$8="",0,IF(ISNUMBER(SEARCH(Classifiers!$F$8,E124)),1,0))+IF(Classifiers!$G$8="",0,IF(ISNUMBER(SEARCH(Classifiers!$G$8,E124)),1,0)))&gt;0,1,0))</f>
        <v/>
      </c>
      <c r="N124" s="12">
        <f>IF(H124&lt;&gt;1,0,IF((IF(Classifiers!$B$9="",0,IF(ISNUMBER(SEARCH(Classifiers!$B$9,E124)),1,0))+IF(Classifiers!$C$9="",0,IF(ISNUMBER(SEARCH(Classifiers!$C$9,E124)),1,0))+IF(Classifiers!$D$9="",0,IF(ISNUMBER(SEARCH(Classifiers!$D$9,E124)),1,0))+IF(Classifiers!$E$9="",0,IF(ISNUMBER(SEARCH(Classifiers!$E$9,E124)),1,0))+IF(Classifiers!$F$9="",0,IF(ISNUMBER(SEARCH(Classifiers!$F$9,E124)),1,0))+IF(Classifiers!$G$9="",0,IF(ISNUMBER(SEARCH(Classifiers!$G$9,E124)),1,0)))&gt;0,1,0))</f>
        <v/>
      </c>
      <c r="O124" s="12">
        <f>IF(H124&lt;&gt;1,0,IF((IF(Classifiers!$B$10="",0,IF(ISNUMBER(SEARCH(Classifiers!$B$10,E124)),1,0))+IF(Classifiers!$C$10="",0,IF(ISNUMBER(SEARCH(Classifiers!$C$10,E124)),1,0))+IF(Classifiers!$D$10="",0,IF(ISNUMBER(SEARCH(Classifiers!$D$10,E124)),1,0))+IF(Classifiers!$E$10="",0,IF(ISNUMBER(SEARCH(Classifiers!$E$10,E124)),1,0))+IF(Classifiers!$F$10="",0,IF(ISNUMBER(SEARCH(Classifiers!$F$10,E124)),1,0))+IF(Classifiers!$G$10="",0,IF(ISNUMBER(SEARCH(Classifiers!$G$10,E124)),1,0)))&gt;0,1,0))</f>
        <v/>
      </c>
      <c r="P124" s="12">
        <f>IF(H124&lt;&gt;1,0,IF((IF(Classifiers!$B$11="",0,IF(ISNUMBER(SEARCH(Classifiers!$B$11,E124)),1,0))+IF(Classifiers!$C$11="",0,IF(ISNUMBER(SEARCH(Classifiers!$C$11,E124)),1,0))+IF(Classifiers!$D$11="",0,IF(ISNUMBER(SEARCH(Classifiers!$D$11,E124)),1,0))+IF(Classifiers!$E$11="",0,IF(ISNUMBER(SEARCH(Classifiers!$E$11,E124)),1,0))+IF(Classifiers!$F$11="",0,IF(ISNUMBER(SEARCH(Classifiers!$F$11,E124)),1,0))+IF(Classifiers!$G$11="",0,IF(ISNUMBER(SEARCH(Classifiers!$G$11,E124)),1,0)))&gt;0,1,0))</f>
        <v/>
      </c>
      <c r="Q124" s="12">
        <f>IF(H124&lt;&gt;1,0,IF((IF(Classifiers!$B$12="",0,IF(ISNUMBER(SEARCH(Classifiers!$B$12,E124)),1,0))+IF(Classifiers!$C$12="",0,IF(ISNUMBER(SEARCH(Classifiers!$C$12,E124)),1,0))+IF(Classifiers!$D$12="",0,IF(ISNUMBER(SEARCH(Classifiers!$D$12,E124)),1,0))+IF(Classifiers!$E$12="",0,IF(ISNUMBER(SEARCH(Classifiers!$E$12,E124)),1,0))+IF(Classifiers!$F$12="",0,IF(ISNUMBER(SEARCH(Classifiers!$F$12,E124)),1,0))+IF(Classifiers!$G$12="",0,IF(ISNUMBER(SEARCH(Classifiers!$G$12,E124)),1,0)))&gt;0,1,0))</f>
        <v/>
      </c>
      <c r="R124" s="12">
        <f>IF(H124&lt;&gt;1,0,IF((IF(Classifiers!$B$13="",0,IF(ISNUMBER(SEARCH(Classifiers!$B$13,E124)),1,0))+IF(Classifiers!$C$13="",0,IF(ISNUMBER(SEARCH(Classifiers!$C$13,E124)),1,0))+IF(Classifiers!$D$13="",0,IF(ISNUMBER(SEARCH(Classifiers!$D$13,E124)),1,0))+IF(Classifiers!$E$13="",0,IF(ISNUMBER(SEARCH(Classifiers!$E$13,E124)),1,0))+IF(Classifiers!$F$13="",0,IF(ISNUMBER(SEARCH(Classifiers!$F$13,E124)),1,0))+IF(Classifiers!$G$13="",0,IF(ISNUMBER(SEARCH(Classifiers!$G$13,E124)),1,0)))&gt;0,1,0))</f>
        <v/>
      </c>
      <c r="S124" s="12">
        <f>IF(H124&lt;&gt;1,0,IF((IF(Classifiers!$B$14="",0,IF(ISNUMBER(SEARCH(Classifiers!$B$14,E124)),1,0))+IF(Classifiers!$C$14="",0,IF(ISNUMBER(SEARCH(Classifiers!$C$14,E124)),1,0))+IF(Classifiers!$D$14="",0,IF(ISNUMBER(SEARCH(Classifiers!$D$14,E124)),1,0))+IF(Classifiers!$E$14="",0,IF(ISNUMBER(SEARCH(Classifiers!$E$14,E124)),1,0))+IF(Classifiers!$F$14="",0,IF(ISNUMBER(SEARCH(Classifiers!$F$14,E124)),1,0))+IF(Classifiers!$G$14="",0,IF(ISNUMBER(SEARCH(Classifiers!$G$14,E124)),1,0)))&gt;0,1,0))</f>
        <v/>
      </c>
      <c r="T124" s="12">
        <f>IF(H124&lt;&gt;1,0,IF((IF(Classifiers!$B$15="",0,IF(ISNUMBER(SEARCH(Classifiers!$B$15,E124)),1,0))+IF(Classifiers!$C$15="",0,IF(ISNUMBER(SEARCH(Classifiers!$C$15,E124)),1,0))+IF(Classifiers!$D$15="",0,IF(ISNUMBER(SEARCH(Classifiers!$D$15,E124)),1,0))+IF(Classifiers!$E$15="",0,IF(ISNUMBER(SEARCH(Classifiers!$E$15,E124)),1,0))+IF(Classifiers!$F$15="",0,IF(ISNUMBER(SEARCH(Classifiers!$F$15,E124)),1,0))+IF(Classifiers!$G$15="",0,IF(ISNUMBER(SEARCH(Classifiers!$G$15,E124)),1,0)))&gt;0,1,0))</f>
        <v/>
      </c>
      <c r="U124" s="12">
        <f>IF(H124&lt;&gt;1,0,IF((IF(Classifiers!$B$16="",0,IF(ISNUMBER(SEARCH(Classifiers!$B$16,E124)),1,0))+IF(Classifiers!$C$16="",0,IF(ISNUMBER(SEARCH(Classifiers!$C$16,E124)),1,0))+IF(Classifiers!$D$16="",0,IF(ISNUMBER(SEARCH(Classifiers!$D$16,E124)),1,0))+IF(Classifiers!$E$16="",0,IF(ISNUMBER(SEARCH(Classifiers!$E$16,E124)),1,0))+IF(Classifiers!$F$16="",0,IF(ISNUMBER(SEARCH(Classifiers!$F$16,E124)),1,0))+IF(Classifiers!$G$16="",0,IF(ISNUMBER(SEARCH(Classifiers!$G$16,E124)),1,0)))&gt;0,1,0))</f>
        <v/>
      </c>
      <c r="V124" s="12">
        <f>IF(H124&lt;&gt;1,0,IF((IF(Classifiers!$B$17="",0,IF(ISNUMBER(SEARCH(Classifiers!$B$17,E124)),1,0))+IF(Classifiers!$C$17="",0,IF(ISNUMBER(SEARCH(Classifiers!$C$17,E124)),1,0))+IF(Classifiers!$D$17="",0,IF(ISNUMBER(SEARCH(Classifiers!$D$17,E124)),1,0))+IF(Classifiers!$E$17="",0,IF(ISNUMBER(SEARCH(Classifiers!$E$17,E124)),1,0))+IF(Classifiers!$F$17="",0,IF(ISNUMBER(SEARCH(Classifiers!$F$17,E124)),1,0))+IF(Classifiers!$G$17="",0,IF(ISNUMBER(SEARCH(Classifiers!$G$17,E124)),1,0)))&gt;0,1,0))</f>
        <v/>
      </c>
      <c r="W124" s="12">
        <f>IF(H124&lt;&gt;1,0,IF((IF(Classifiers!$B$18="",0,IF(ISNUMBER(SEARCH(Classifiers!$B$18,E124)),1,0))+IF(Classifiers!$C$18="",0,IF(ISNUMBER(SEARCH(Classifiers!$C$18,E124)),1,0))+IF(Classifiers!$D$18="",0,IF(ISNUMBER(SEARCH(Classifiers!$D$18,E124)),1,0))+IF(Classifiers!$E$18="",0,IF(ISNUMBER(SEARCH(Classifiers!$E$18,E124)),1,0))+IF(Classifiers!$F$18="",0,IF(ISNUMBER(SEARCH(Classifiers!$F$18,E124)),1,0))+IF(Classifiers!$G$18="",0,IF(ISNUMBER(SEARCH(Classifiers!$G$18,E124)),1,0)))&gt;0,1,0))</f>
        <v/>
      </c>
    </row>
    <row r="125">
      <c r="A125" s="8" t="n"/>
      <c r="B125" s="11" t="n"/>
      <c r="C125" s="6">
        <f>IF(A125="","",TRIM(RIGHT(SUBSTITUTE(A125,"/",REPT(" ",250)),250)))</f>
        <v/>
      </c>
      <c r="D125" s="6">
        <f>IF(C125="","",IF(ISNUMBER(SEARCH(".",C125)),LOWER("."&amp;TRIM(RIGHT(SUBSTITUTE(C125,".",REPT(" ",250)),250))),""))</f>
        <v/>
      </c>
      <c r="E125" s="6">
        <f>IF(C125="","",TRIM(SUBSTITUTE(SUBSTITUTE(SUBSTITUTE(SUBSTITUTE(SUBSTITUTE(SUBSTITUTE(SUBSTITUTE(SUBSTITUTE(SUBSTITUTE(SUBSTITUTE(SUBSTITUTE(SUBSTITUTE(SUBSTITUTE(SUBSTITUTE(SUBSTITUTE(SUBSTITUTE(SUBSTITUTE(SUBSTITUTE(SUBSTITUTE(SUBSTITUTE(LOWER(LEFT(C125,LEN(C125)-LEN(D125))),"_"," "),"-"," "),"."," "),","," "),"("," "),")"," "),"["," "),"]"," "),"&amp;"," "),"+"," "),"@"," "),"#"," "),"!"," "),"'"," "),"/"," "),":"," "),";"," "),"="," "),"~"," "),"%"," ")))</f>
        <v/>
      </c>
      <c r="F125" s="6">
        <f>IF(C125="","",IF(COUNTIF(Classifiers!$A$23:$A$40,D125)&gt;0,1,0))</f>
        <v/>
      </c>
      <c r="G125" s="6">
        <f>IF(C125="","",IF(COUNTIF(Classifiers!$C$23:$C$30,D125)&gt;0,IF((IF(ISNUMBER(SEARCH(Classifiers!$E$23,E125)),1,0)+IF(ISNUMBER(SEARCH(Classifiers!$E$24,E125)),1,0)+IF(ISNUMBER(SEARCH(Classifiers!$E$25,E125)),1,0)+IF(ISNUMBER(SEARCH(Classifiers!$E$26,E125)),1,0)+IF(ISNUMBER(SEARCH(Classifiers!$E$27,E125)),1,0)+IF(ISNUMBER(SEARCH(Classifiers!$E$28,E125)),1,0)+IF(ISNUMBER(SEARCH(Classifiers!$E$29,E125)),1,0)+IF(ISNUMBER(SEARCH(Classifiers!$E$30,E125)),1,0))&gt;0,1,0),0))</f>
        <v/>
      </c>
      <c r="H125" s="6">
        <f>IF(C125="","",IF(OR(LEFT(C125,1)=".",AND(F125=0,G125=0)),0,1))</f>
        <v/>
      </c>
      <c r="I125" s="6">
        <f>IF(H125&lt;&gt;1,"",IF(SUM(J125:W125)=0,"unclassified",INDEX(Classifiers!$A$5:$A$18,MATCH(1,J125:W125,0),1)))</f>
        <v/>
      </c>
      <c r="J125" s="12">
        <f>IF(H125&lt;&gt;1,0,IF((IF(Classifiers!$B$5="",0,IF(ISNUMBER(SEARCH(Classifiers!$B$5,E125)),1,0))+IF(Classifiers!$C$5="",0,IF(ISNUMBER(SEARCH(Classifiers!$C$5,E125)),1,0))+IF(Classifiers!$D$5="",0,IF(ISNUMBER(SEARCH(Classifiers!$D$5,E125)),1,0))+IF(Classifiers!$E$5="",0,IF(ISNUMBER(SEARCH(Classifiers!$E$5,E125)),1,0))+IF(Classifiers!$F$5="",0,IF(ISNUMBER(SEARCH(Classifiers!$F$5,E125)),1,0))+IF(Classifiers!$G$5="",0,IF(ISNUMBER(SEARCH(Classifiers!$G$5,E125)),1,0)))&gt;0,1,0))</f>
        <v/>
      </c>
      <c r="K125" s="12">
        <f>IF(H125&lt;&gt;1,0,IF((IF(Classifiers!$B$6="",0,IF(ISNUMBER(SEARCH(Classifiers!$B$6,E125)),1,0))+IF(Classifiers!$C$6="",0,IF(ISNUMBER(SEARCH(Classifiers!$C$6,E125)),1,0))+IF(Classifiers!$D$6="",0,IF(ISNUMBER(SEARCH(Classifiers!$D$6,E125)),1,0))+IF(Classifiers!$E$6="",0,IF(ISNUMBER(SEARCH(Classifiers!$E$6,E125)),1,0))+IF(Classifiers!$F$6="",0,IF(ISNUMBER(SEARCH(Classifiers!$F$6,E125)),1,0))+IF(Classifiers!$G$6="",0,IF(ISNUMBER(SEARCH(Classifiers!$G$6,E125)),1,0)))&gt;0,1,0))</f>
        <v/>
      </c>
      <c r="L125" s="12">
        <f>IF(H125&lt;&gt;1,0,IF((IF(Classifiers!$B$7="",0,IF(ISNUMBER(SEARCH(Classifiers!$B$7,E125)),1,0))+IF(Classifiers!$C$7="",0,IF(ISNUMBER(SEARCH(Classifiers!$C$7,E125)),1,0))+IF(Classifiers!$D$7="",0,IF(ISNUMBER(SEARCH(Classifiers!$D$7,E125)),1,0))+IF(Classifiers!$E$7="",0,IF(ISNUMBER(SEARCH(Classifiers!$E$7,E125)),1,0))+IF(Classifiers!$F$7="",0,IF(ISNUMBER(SEARCH(Classifiers!$F$7,E125)),1,0))+IF(Classifiers!$G$7="",0,IF(ISNUMBER(SEARCH(Classifiers!$G$7,E125)),1,0)))&gt;0,1,0))</f>
        <v/>
      </c>
      <c r="M125" s="12">
        <f>IF(H125&lt;&gt;1,0,IF((IF(Classifiers!$B$8="",0,IF(ISNUMBER(SEARCH(Classifiers!$B$8,E125)),1,0))+IF(Classifiers!$C$8="",0,IF(ISNUMBER(SEARCH(Classifiers!$C$8,E125)),1,0))+IF(Classifiers!$D$8="",0,IF(ISNUMBER(SEARCH(Classifiers!$D$8,E125)),1,0))+IF(Classifiers!$E$8="",0,IF(ISNUMBER(SEARCH(Classifiers!$E$8,E125)),1,0))+IF(Classifiers!$F$8="",0,IF(ISNUMBER(SEARCH(Classifiers!$F$8,E125)),1,0))+IF(Classifiers!$G$8="",0,IF(ISNUMBER(SEARCH(Classifiers!$G$8,E125)),1,0)))&gt;0,1,0))</f>
        <v/>
      </c>
      <c r="N125" s="12">
        <f>IF(H125&lt;&gt;1,0,IF((IF(Classifiers!$B$9="",0,IF(ISNUMBER(SEARCH(Classifiers!$B$9,E125)),1,0))+IF(Classifiers!$C$9="",0,IF(ISNUMBER(SEARCH(Classifiers!$C$9,E125)),1,0))+IF(Classifiers!$D$9="",0,IF(ISNUMBER(SEARCH(Classifiers!$D$9,E125)),1,0))+IF(Classifiers!$E$9="",0,IF(ISNUMBER(SEARCH(Classifiers!$E$9,E125)),1,0))+IF(Classifiers!$F$9="",0,IF(ISNUMBER(SEARCH(Classifiers!$F$9,E125)),1,0))+IF(Classifiers!$G$9="",0,IF(ISNUMBER(SEARCH(Classifiers!$G$9,E125)),1,0)))&gt;0,1,0))</f>
        <v/>
      </c>
      <c r="O125" s="12">
        <f>IF(H125&lt;&gt;1,0,IF((IF(Classifiers!$B$10="",0,IF(ISNUMBER(SEARCH(Classifiers!$B$10,E125)),1,0))+IF(Classifiers!$C$10="",0,IF(ISNUMBER(SEARCH(Classifiers!$C$10,E125)),1,0))+IF(Classifiers!$D$10="",0,IF(ISNUMBER(SEARCH(Classifiers!$D$10,E125)),1,0))+IF(Classifiers!$E$10="",0,IF(ISNUMBER(SEARCH(Classifiers!$E$10,E125)),1,0))+IF(Classifiers!$F$10="",0,IF(ISNUMBER(SEARCH(Classifiers!$F$10,E125)),1,0))+IF(Classifiers!$G$10="",0,IF(ISNUMBER(SEARCH(Classifiers!$G$10,E125)),1,0)))&gt;0,1,0))</f>
        <v/>
      </c>
      <c r="P125" s="12">
        <f>IF(H125&lt;&gt;1,0,IF((IF(Classifiers!$B$11="",0,IF(ISNUMBER(SEARCH(Classifiers!$B$11,E125)),1,0))+IF(Classifiers!$C$11="",0,IF(ISNUMBER(SEARCH(Classifiers!$C$11,E125)),1,0))+IF(Classifiers!$D$11="",0,IF(ISNUMBER(SEARCH(Classifiers!$D$11,E125)),1,0))+IF(Classifiers!$E$11="",0,IF(ISNUMBER(SEARCH(Classifiers!$E$11,E125)),1,0))+IF(Classifiers!$F$11="",0,IF(ISNUMBER(SEARCH(Classifiers!$F$11,E125)),1,0))+IF(Classifiers!$G$11="",0,IF(ISNUMBER(SEARCH(Classifiers!$G$11,E125)),1,0)))&gt;0,1,0))</f>
        <v/>
      </c>
      <c r="Q125" s="12">
        <f>IF(H125&lt;&gt;1,0,IF((IF(Classifiers!$B$12="",0,IF(ISNUMBER(SEARCH(Classifiers!$B$12,E125)),1,0))+IF(Classifiers!$C$12="",0,IF(ISNUMBER(SEARCH(Classifiers!$C$12,E125)),1,0))+IF(Classifiers!$D$12="",0,IF(ISNUMBER(SEARCH(Classifiers!$D$12,E125)),1,0))+IF(Classifiers!$E$12="",0,IF(ISNUMBER(SEARCH(Classifiers!$E$12,E125)),1,0))+IF(Classifiers!$F$12="",0,IF(ISNUMBER(SEARCH(Classifiers!$F$12,E125)),1,0))+IF(Classifiers!$G$12="",0,IF(ISNUMBER(SEARCH(Classifiers!$G$12,E125)),1,0)))&gt;0,1,0))</f>
        <v/>
      </c>
      <c r="R125" s="12">
        <f>IF(H125&lt;&gt;1,0,IF((IF(Classifiers!$B$13="",0,IF(ISNUMBER(SEARCH(Classifiers!$B$13,E125)),1,0))+IF(Classifiers!$C$13="",0,IF(ISNUMBER(SEARCH(Classifiers!$C$13,E125)),1,0))+IF(Classifiers!$D$13="",0,IF(ISNUMBER(SEARCH(Classifiers!$D$13,E125)),1,0))+IF(Classifiers!$E$13="",0,IF(ISNUMBER(SEARCH(Classifiers!$E$13,E125)),1,0))+IF(Classifiers!$F$13="",0,IF(ISNUMBER(SEARCH(Classifiers!$F$13,E125)),1,0))+IF(Classifiers!$G$13="",0,IF(ISNUMBER(SEARCH(Classifiers!$G$13,E125)),1,0)))&gt;0,1,0))</f>
        <v/>
      </c>
      <c r="S125" s="12">
        <f>IF(H125&lt;&gt;1,0,IF((IF(Classifiers!$B$14="",0,IF(ISNUMBER(SEARCH(Classifiers!$B$14,E125)),1,0))+IF(Classifiers!$C$14="",0,IF(ISNUMBER(SEARCH(Classifiers!$C$14,E125)),1,0))+IF(Classifiers!$D$14="",0,IF(ISNUMBER(SEARCH(Classifiers!$D$14,E125)),1,0))+IF(Classifiers!$E$14="",0,IF(ISNUMBER(SEARCH(Classifiers!$E$14,E125)),1,0))+IF(Classifiers!$F$14="",0,IF(ISNUMBER(SEARCH(Classifiers!$F$14,E125)),1,0))+IF(Classifiers!$G$14="",0,IF(ISNUMBER(SEARCH(Classifiers!$G$14,E125)),1,0)))&gt;0,1,0))</f>
        <v/>
      </c>
      <c r="T125" s="12">
        <f>IF(H125&lt;&gt;1,0,IF((IF(Classifiers!$B$15="",0,IF(ISNUMBER(SEARCH(Classifiers!$B$15,E125)),1,0))+IF(Classifiers!$C$15="",0,IF(ISNUMBER(SEARCH(Classifiers!$C$15,E125)),1,0))+IF(Classifiers!$D$15="",0,IF(ISNUMBER(SEARCH(Classifiers!$D$15,E125)),1,0))+IF(Classifiers!$E$15="",0,IF(ISNUMBER(SEARCH(Classifiers!$E$15,E125)),1,0))+IF(Classifiers!$F$15="",0,IF(ISNUMBER(SEARCH(Classifiers!$F$15,E125)),1,0))+IF(Classifiers!$G$15="",0,IF(ISNUMBER(SEARCH(Classifiers!$G$15,E125)),1,0)))&gt;0,1,0))</f>
        <v/>
      </c>
      <c r="U125" s="12">
        <f>IF(H125&lt;&gt;1,0,IF((IF(Classifiers!$B$16="",0,IF(ISNUMBER(SEARCH(Classifiers!$B$16,E125)),1,0))+IF(Classifiers!$C$16="",0,IF(ISNUMBER(SEARCH(Classifiers!$C$16,E125)),1,0))+IF(Classifiers!$D$16="",0,IF(ISNUMBER(SEARCH(Classifiers!$D$16,E125)),1,0))+IF(Classifiers!$E$16="",0,IF(ISNUMBER(SEARCH(Classifiers!$E$16,E125)),1,0))+IF(Classifiers!$F$16="",0,IF(ISNUMBER(SEARCH(Classifiers!$F$16,E125)),1,0))+IF(Classifiers!$G$16="",0,IF(ISNUMBER(SEARCH(Classifiers!$G$16,E125)),1,0)))&gt;0,1,0))</f>
        <v/>
      </c>
      <c r="V125" s="12">
        <f>IF(H125&lt;&gt;1,0,IF((IF(Classifiers!$B$17="",0,IF(ISNUMBER(SEARCH(Classifiers!$B$17,E125)),1,0))+IF(Classifiers!$C$17="",0,IF(ISNUMBER(SEARCH(Classifiers!$C$17,E125)),1,0))+IF(Classifiers!$D$17="",0,IF(ISNUMBER(SEARCH(Classifiers!$D$17,E125)),1,0))+IF(Classifiers!$E$17="",0,IF(ISNUMBER(SEARCH(Classifiers!$E$17,E125)),1,0))+IF(Classifiers!$F$17="",0,IF(ISNUMBER(SEARCH(Classifiers!$F$17,E125)),1,0))+IF(Classifiers!$G$17="",0,IF(ISNUMBER(SEARCH(Classifiers!$G$17,E125)),1,0)))&gt;0,1,0))</f>
        <v/>
      </c>
      <c r="W125" s="12">
        <f>IF(H125&lt;&gt;1,0,IF((IF(Classifiers!$B$18="",0,IF(ISNUMBER(SEARCH(Classifiers!$B$18,E125)),1,0))+IF(Classifiers!$C$18="",0,IF(ISNUMBER(SEARCH(Classifiers!$C$18,E125)),1,0))+IF(Classifiers!$D$18="",0,IF(ISNUMBER(SEARCH(Classifiers!$D$18,E125)),1,0))+IF(Classifiers!$E$18="",0,IF(ISNUMBER(SEARCH(Classifiers!$E$18,E125)),1,0))+IF(Classifiers!$F$18="",0,IF(ISNUMBER(SEARCH(Classifiers!$F$18,E125)),1,0))+IF(Classifiers!$G$18="",0,IF(ISNUMBER(SEARCH(Classifiers!$G$18,E125)),1,0)))&gt;0,1,0))</f>
        <v/>
      </c>
    </row>
    <row r="126">
      <c r="A126" s="8" t="n"/>
      <c r="B126" s="11" t="n"/>
      <c r="C126" s="6">
        <f>IF(A126="","",TRIM(RIGHT(SUBSTITUTE(A126,"/",REPT(" ",250)),250)))</f>
        <v/>
      </c>
      <c r="D126" s="6">
        <f>IF(C126="","",IF(ISNUMBER(SEARCH(".",C126)),LOWER("."&amp;TRIM(RIGHT(SUBSTITUTE(C126,".",REPT(" ",250)),250))),""))</f>
        <v/>
      </c>
      <c r="E126" s="6">
        <f>IF(C126="","",TRIM(SUBSTITUTE(SUBSTITUTE(SUBSTITUTE(SUBSTITUTE(SUBSTITUTE(SUBSTITUTE(SUBSTITUTE(SUBSTITUTE(SUBSTITUTE(SUBSTITUTE(SUBSTITUTE(SUBSTITUTE(SUBSTITUTE(SUBSTITUTE(SUBSTITUTE(SUBSTITUTE(SUBSTITUTE(SUBSTITUTE(SUBSTITUTE(SUBSTITUTE(LOWER(LEFT(C126,LEN(C126)-LEN(D126))),"_"," "),"-"," "),"."," "),","," "),"("," "),")"," "),"["," "),"]"," "),"&amp;"," "),"+"," "),"@"," "),"#"," "),"!"," "),"'"," "),"/"," "),":"," "),";"," "),"="," "),"~"," "),"%"," ")))</f>
        <v/>
      </c>
      <c r="F126" s="6">
        <f>IF(C126="","",IF(COUNTIF(Classifiers!$A$23:$A$40,D126)&gt;0,1,0))</f>
        <v/>
      </c>
      <c r="G126" s="6">
        <f>IF(C126="","",IF(COUNTIF(Classifiers!$C$23:$C$30,D126)&gt;0,IF((IF(ISNUMBER(SEARCH(Classifiers!$E$23,E126)),1,0)+IF(ISNUMBER(SEARCH(Classifiers!$E$24,E126)),1,0)+IF(ISNUMBER(SEARCH(Classifiers!$E$25,E126)),1,0)+IF(ISNUMBER(SEARCH(Classifiers!$E$26,E126)),1,0)+IF(ISNUMBER(SEARCH(Classifiers!$E$27,E126)),1,0)+IF(ISNUMBER(SEARCH(Classifiers!$E$28,E126)),1,0)+IF(ISNUMBER(SEARCH(Classifiers!$E$29,E126)),1,0)+IF(ISNUMBER(SEARCH(Classifiers!$E$30,E126)),1,0))&gt;0,1,0),0))</f>
        <v/>
      </c>
      <c r="H126" s="6">
        <f>IF(C126="","",IF(OR(LEFT(C126,1)=".",AND(F126=0,G126=0)),0,1))</f>
        <v/>
      </c>
      <c r="I126" s="6">
        <f>IF(H126&lt;&gt;1,"",IF(SUM(J126:W126)=0,"unclassified",INDEX(Classifiers!$A$5:$A$18,MATCH(1,J126:W126,0),1)))</f>
        <v/>
      </c>
      <c r="J126" s="12">
        <f>IF(H126&lt;&gt;1,0,IF((IF(Classifiers!$B$5="",0,IF(ISNUMBER(SEARCH(Classifiers!$B$5,E126)),1,0))+IF(Classifiers!$C$5="",0,IF(ISNUMBER(SEARCH(Classifiers!$C$5,E126)),1,0))+IF(Classifiers!$D$5="",0,IF(ISNUMBER(SEARCH(Classifiers!$D$5,E126)),1,0))+IF(Classifiers!$E$5="",0,IF(ISNUMBER(SEARCH(Classifiers!$E$5,E126)),1,0))+IF(Classifiers!$F$5="",0,IF(ISNUMBER(SEARCH(Classifiers!$F$5,E126)),1,0))+IF(Classifiers!$G$5="",0,IF(ISNUMBER(SEARCH(Classifiers!$G$5,E126)),1,0)))&gt;0,1,0))</f>
        <v/>
      </c>
      <c r="K126" s="12">
        <f>IF(H126&lt;&gt;1,0,IF((IF(Classifiers!$B$6="",0,IF(ISNUMBER(SEARCH(Classifiers!$B$6,E126)),1,0))+IF(Classifiers!$C$6="",0,IF(ISNUMBER(SEARCH(Classifiers!$C$6,E126)),1,0))+IF(Classifiers!$D$6="",0,IF(ISNUMBER(SEARCH(Classifiers!$D$6,E126)),1,0))+IF(Classifiers!$E$6="",0,IF(ISNUMBER(SEARCH(Classifiers!$E$6,E126)),1,0))+IF(Classifiers!$F$6="",0,IF(ISNUMBER(SEARCH(Classifiers!$F$6,E126)),1,0))+IF(Classifiers!$G$6="",0,IF(ISNUMBER(SEARCH(Classifiers!$G$6,E126)),1,0)))&gt;0,1,0))</f>
        <v/>
      </c>
      <c r="L126" s="12">
        <f>IF(H126&lt;&gt;1,0,IF((IF(Classifiers!$B$7="",0,IF(ISNUMBER(SEARCH(Classifiers!$B$7,E126)),1,0))+IF(Classifiers!$C$7="",0,IF(ISNUMBER(SEARCH(Classifiers!$C$7,E126)),1,0))+IF(Classifiers!$D$7="",0,IF(ISNUMBER(SEARCH(Classifiers!$D$7,E126)),1,0))+IF(Classifiers!$E$7="",0,IF(ISNUMBER(SEARCH(Classifiers!$E$7,E126)),1,0))+IF(Classifiers!$F$7="",0,IF(ISNUMBER(SEARCH(Classifiers!$F$7,E126)),1,0))+IF(Classifiers!$G$7="",0,IF(ISNUMBER(SEARCH(Classifiers!$G$7,E126)),1,0)))&gt;0,1,0))</f>
        <v/>
      </c>
      <c r="M126" s="12">
        <f>IF(H126&lt;&gt;1,0,IF((IF(Classifiers!$B$8="",0,IF(ISNUMBER(SEARCH(Classifiers!$B$8,E126)),1,0))+IF(Classifiers!$C$8="",0,IF(ISNUMBER(SEARCH(Classifiers!$C$8,E126)),1,0))+IF(Classifiers!$D$8="",0,IF(ISNUMBER(SEARCH(Classifiers!$D$8,E126)),1,0))+IF(Classifiers!$E$8="",0,IF(ISNUMBER(SEARCH(Classifiers!$E$8,E126)),1,0))+IF(Classifiers!$F$8="",0,IF(ISNUMBER(SEARCH(Classifiers!$F$8,E126)),1,0))+IF(Classifiers!$G$8="",0,IF(ISNUMBER(SEARCH(Classifiers!$G$8,E126)),1,0)))&gt;0,1,0))</f>
        <v/>
      </c>
      <c r="N126" s="12">
        <f>IF(H126&lt;&gt;1,0,IF((IF(Classifiers!$B$9="",0,IF(ISNUMBER(SEARCH(Classifiers!$B$9,E126)),1,0))+IF(Classifiers!$C$9="",0,IF(ISNUMBER(SEARCH(Classifiers!$C$9,E126)),1,0))+IF(Classifiers!$D$9="",0,IF(ISNUMBER(SEARCH(Classifiers!$D$9,E126)),1,0))+IF(Classifiers!$E$9="",0,IF(ISNUMBER(SEARCH(Classifiers!$E$9,E126)),1,0))+IF(Classifiers!$F$9="",0,IF(ISNUMBER(SEARCH(Classifiers!$F$9,E126)),1,0))+IF(Classifiers!$G$9="",0,IF(ISNUMBER(SEARCH(Classifiers!$G$9,E126)),1,0)))&gt;0,1,0))</f>
        <v/>
      </c>
      <c r="O126" s="12">
        <f>IF(H126&lt;&gt;1,0,IF((IF(Classifiers!$B$10="",0,IF(ISNUMBER(SEARCH(Classifiers!$B$10,E126)),1,0))+IF(Classifiers!$C$10="",0,IF(ISNUMBER(SEARCH(Classifiers!$C$10,E126)),1,0))+IF(Classifiers!$D$10="",0,IF(ISNUMBER(SEARCH(Classifiers!$D$10,E126)),1,0))+IF(Classifiers!$E$10="",0,IF(ISNUMBER(SEARCH(Classifiers!$E$10,E126)),1,0))+IF(Classifiers!$F$10="",0,IF(ISNUMBER(SEARCH(Classifiers!$F$10,E126)),1,0))+IF(Classifiers!$G$10="",0,IF(ISNUMBER(SEARCH(Classifiers!$G$10,E126)),1,0)))&gt;0,1,0))</f>
        <v/>
      </c>
      <c r="P126" s="12">
        <f>IF(H126&lt;&gt;1,0,IF((IF(Classifiers!$B$11="",0,IF(ISNUMBER(SEARCH(Classifiers!$B$11,E126)),1,0))+IF(Classifiers!$C$11="",0,IF(ISNUMBER(SEARCH(Classifiers!$C$11,E126)),1,0))+IF(Classifiers!$D$11="",0,IF(ISNUMBER(SEARCH(Classifiers!$D$11,E126)),1,0))+IF(Classifiers!$E$11="",0,IF(ISNUMBER(SEARCH(Classifiers!$E$11,E126)),1,0))+IF(Classifiers!$F$11="",0,IF(ISNUMBER(SEARCH(Classifiers!$F$11,E126)),1,0))+IF(Classifiers!$G$11="",0,IF(ISNUMBER(SEARCH(Classifiers!$G$11,E126)),1,0)))&gt;0,1,0))</f>
        <v/>
      </c>
      <c r="Q126" s="12">
        <f>IF(H126&lt;&gt;1,0,IF((IF(Classifiers!$B$12="",0,IF(ISNUMBER(SEARCH(Classifiers!$B$12,E126)),1,0))+IF(Classifiers!$C$12="",0,IF(ISNUMBER(SEARCH(Classifiers!$C$12,E126)),1,0))+IF(Classifiers!$D$12="",0,IF(ISNUMBER(SEARCH(Classifiers!$D$12,E126)),1,0))+IF(Classifiers!$E$12="",0,IF(ISNUMBER(SEARCH(Classifiers!$E$12,E126)),1,0))+IF(Classifiers!$F$12="",0,IF(ISNUMBER(SEARCH(Classifiers!$F$12,E126)),1,0))+IF(Classifiers!$G$12="",0,IF(ISNUMBER(SEARCH(Classifiers!$G$12,E126)),1,0)))&gt;0,1,0))</f>
        <v/>
      </c>
      <c r="R126" s="12">
        <f>IF(H126&lt;&gt;1,0,IF((IF(Classifiers!$B$13="",0,IF(ISNUMBER(SEARCH(Classifiers!$B$13,E126)),1,0))+IF(Classifiers!$C$13="",0,IF(ISNUMBER(SEARCH(Classifiers!$C$13,E126)),1,0))+IF(Classifiers!$D$13="",0,IF(ISNUMBER(SEARCH(Classifiers!$D$13,E126)),1,0))+IF(Classifiers!$E$13="",0,IF(ISNUMBER(SEARCH(Classifiers!$E$13,E126)),1,0))+IF(Classifiers!$F$13="",0,IF(ISNUMBER(SEARCH(Classifiers!$F$13,E126)),1,0))+IF(Classifiers!$G$13="",0,IF(ISNUMBER(SEARCH(Classifiers!$G$13,E126)),1,0)))&gt;0,1,0))</f>
        <v/>
      </c>
      <c r="S126" s="12">
        <f>IF(H126&lt;&gt;1,0,IF((IF(Classifiers!$B$14="",0,IF(ISNUMBER(SEARCH(Classifiers!$B$14,E126)),1,0))+IF(Classifiers!$C$14="",0,IF(ISNUMBER(SEARCH(Classifiers!$C$14,E126)),1,0))+IF(Classifiers!$D$14="",0,IF(ISNUMBER(SEARCH(Classifiers!$D$14,E126)),1,0))+IF(Classifiers!$E$14="",0,IF(ISNUMBER(SEARCH(Classifiers!$E$14,E126)),1,0))+IF(Classifiers!$F$14="",0,IF(ISNUMBER(SEARCH(Classifiers!$F$14,E126)),1,0))+IF(Classifiers!$G$14="",0,IF(ISNUMBER(SEARCH(Classifiers!$G$14,E126)),1,0)))&gt;0,1,0))</f>
        <v/>
      </c>
      <c r="T126" s="12">
        <f>IF(H126&lt;&gt;1,0,IF((IF(Classifiers!$B$15="",0,IF(ISNUMBER(SEARCH(Classifiers!$B$15,E126)),1,0))+IF(Classifiers!$C$15="",0,IF(ISNUMBER(SEARCH(Classifiers!$C$15,E126)),1,0))+IF(Classifiers!$D$15="",0,IF(ISNUMBER(SEARCH(Classifiers!$D$15,E126)),1,0))+IF(Classifiers!$E$15="",0,IF(ISNUMBER(SEARCH(Classifiers!$E$15,E126)),1,0))+IF(Classifiers!$F$15="",0,IF(ISNUMBER(SEARCH(Classifiers!$F$15,E126)),1,0))+IF(Classifiers!$G$15="",0,IF(ISNUMBER(SEARCH(Classifiers!$G$15,E126)),1,0)))&gt;0,1,0))</f>
        <v/>
      </c>
      <c r="U126" s="12">
        <f>IF(H126&lt;&gt;1,0,IF((IF(Classifiers!$B$16="",0,IF(ISNUMBER(SEARCH(Classifiers!$B$16,E126)),1,0))+IF(Classifiers!$C$16="",0,IF(ISNUMBER(SEARCH(Classifiers!$C$16,E126)),1,0))+IF(Classifiers!$D$16="",0,IF(ISNUMBER(SEARCH(Classifiers!$D$16,E126)),1,0))+IF(Classifiers!$E$16="",0,IF(ISNUMBER(SEARCH(Classifiers!$E$16,E126)),1,0))+IF(Classifiers!$F$16="",0,IF(ISNUMBER(SEARCH(Classifiers!$F$16,E126)),1,0))+IF(Classifiers!$G$16="",0,IF(ISNUMBER(SEARCH(Classifiers!$G$16,E126)),1,0)))&gt;0,1,0))</f>
        <v/>
      </c>
      <c r="V126" s="12">
        <f>IF(H126&lt;&gt;1,0,IF((IF(Classifiers!$B$17="",0,IF(ISNUMBER(SEARCH(Classifiers!$B$17,E126)),1,0))+IF(Classifiers!$C$17="",0,IF(ISNUMBER(SEARCH(Classifiers!$C$17,E126)),1,0))+IF(Classifiers!$D$17="",0,IF(ISNUMBER(SEARCH(Classifiers!$D$17,E126)),1,0))+IF(Classifiers!$E$17="",0,IF(ISNUMBER(SEARCH(Classifiers!$E$17,E126)),1,0))+IF(Classifiers!$F$17="",0,IF(ISNUMBER(SEARCH(Classifiers!$F$17,E126)),1,0))+IF(Classifiers!$G$17="",0,IF(ISNUMBER(SEARCH(Classifiers!$G$17,E126)),1,0)))&gt;0,1,0))</f>
        <v/>
      </c>
      <c r="W126" s="12">
        <f>IF(H126&lt;&gt;1,0,IF((IF(Classifiers!$B$18="",0,IF(ISNUMBER(SEARCH(Classifiers!$B$18,E126)),1,0))+IF(Classifiers!$C$18="",0,IF(ISNUMBER(SEARCH(Classifiers!$C$18,E126)),1,0))+IF(Classifiers!$D$18="",0,IF(ISNUMBER(SEARCH(Classifiers!$D$18,E126)),1,0))+IF(Classifiers!$E$18="",0,IF(ISNUMBER(SEARCH(Classifiers!$E$18,E126)),1,0))+IF(Classifiers!$F$18="",0,IF(ISNUMBER(SEARCH(Classifiers!$F$18,E126)),1,0))+IF(Classifiers!$G$18="",0,IF(ISNUMBER(SEARCH(Classifiers!$G$18,E126)),1,0)))&gt;0,1,0))</f>
        <v/>
      </c>
    </row>
    <row r="127">
      <c r="A127" s="8" t="n"/>
      <c r="B127" s="11" t="n"/>
      <c r="C127" s="6">
        <f>IF(A127="","",TRIM(RIGHT(SUBSTITUTE(A127,"/",REPT(" ",250)),250)))</f>
        <v/>
      </c>
      <c r="D127" s="6">
        <f>IF(C127="","",IF(ISNUMBER(SEARCH(".",C127)),LOWER("."&amp;TRIM(RIGHT(SUBSTITUTE(C127,".",REPT(" ",250)),250))),""))</f>
        <v/>
      </c>
      <c r="E127" s="6">
        <f>IF(C127="","",TRIM(SUBSTITUTE(SUBSTITUTE(SUBSTITUTE(SUBSTITUTE(SUBSTITUTE(SUBSTITUTE(SUBSTITUTE(SUBSTITUTE(SUBSTITUTE(SUBSTITUTE(SUBSTITUTE(SUBSTITUTE(SUBSTITUTE(SUBSTITUTE(SUBSTITUTE(SUBSTITUTE(SUBSTITUTE(SUBSTITUTE(SUBSTITUTE(SUBSTITUTE(LOWER(LEFT(C127,LEN(C127)-LEN(D127))),"_"," "),"-"," "),"."," "),","," "),"("," "),")"," "),"["," "),"]"," "),"&amp;"," "),"+"," "),"@"," "),"#"," "),"!"," "),"'"," "),"/"," "),":"," "),";"," "),"="," "),"~"," "),"%"," ")))</f>
        <v/>
      </c>
      <c r="F127" s="6">
        <f>IF(C127="","",IF(COUNTIF(Classifiers!$A$23:$A$40,D127)&gt;0,1,0))</f>
        <v/>
      </c>
      <c r="G127" s="6">
        <f>IF(C127="","",IF(COUNTIF(Classifiers!$C$23:$C$30,D127)&gt;0,IF((IF(ISNUMBER(SEARCH(Classifiers!$E$23,E127)),1,0)+IF(ISNUMBER(SEARCH(Classifiers!$E$24,E127)),1,0)+IF(ISNUMBER(SEARCH(Classifiers!$E$25,E127)),1,0)+IF(ISNUMBER(SEARCH(Classifiers!$E$26,E127)),1,0)+IF(ISNUMBER(SEARCH(Classifiers!$E$27,E127)),1,0)+IF(ISNUMBER(SEARCH(Classifiers!$E$28,E127)),1,0)+IF(ISNUMBER(SEARCH(Classifiers!$E$29,E127)),1,0)+IF(ISNUMBER(SEARCH(Classifiers!$E$30,E127)),1,0))&gt;0,1,0),0))</f>
        <v/>
      </c>
      <c r="H127" s="6">
        <f>IF(C127="","",IF(OR(LEFT(C127,1)=".",AND(F127=0,G127=0)),0,1))</f>
        <v/>
      </c>
      <c r="I127" s="6">
        <f>IF(H127&lt;&gt;1,"",IF(SUM(J127:W127)=0,"unclassified",INDEX(Classifiers!$A$5:$A$18,MATCH(1,J127:W127,0),1)))</f>
        <v/>
      </c>
      <c r="J127" s="12">
        <f>IF(H127&lt;&gt;1,0,IF((IF(Classifiers!$B$5="",0,IF(ISNUMBER(SEARCH(Classifiers!$B$5,E127)),1,0))+IF(Classifiers!$C$5="",0,IF(ISNUMBER(SEARCH(Classifiers!$C$5,E127)),1,0))+IF(Classifiers!$D$5="",0,IF(ISNUMBER(SEARCH(Classifiers!$D$5,E127)),1,0))+IF(Classifiers!$E$5="",0,IF(ISNUMBER(SEARCH(Classifiers!$E$5,E127)),1,0))+IF(Classifiers!$F$5="",0,IF(ISNUMBER(SEARCH(Classifiers!$F$5,E127)),1,0))+IF(Classifiers!$G$5="",0,IF(ISNUMBER(SEARCH(Classifiers!$G$5,E127)),1,0)))&gt;0,1,0))</f>
        <v/>
      </c>
      <c r="K127" s="12">
        <f>IF(H127&lt;&gt;1,0,IF((IF(Classifiers!$B$6="",0,IF(ISNUMBER(SEARCH(Classifiers!$B$6,E127)),1,0))+IF(Classifiers!$C$6="",0,IF(ISNUMBER(SEARCH(Classifiers!$C$6,E127)),1,0))+IF(Classifiers!$D$6="",0,IF(ISNUMBER(SEARCH(Classifiers!$D$6,E127)),1,0))+IF(Classifiers!$E$6="",0,IF(ISNUMBER(SEARCH(Classifiers!$E$6,E127)),1,0))+IF(Classifiers!$F$6="",0,IF(ISNUMBER(SEARCH(Classifiers!$F$6,E127)),1,0))+IF(Classifiers!$G$6="",0,IF(ISNUMBER(SEARCH(Classifiers!$G$6,E127)),1,0)))&gt;0,1,0))</f>
        <v/>
      </c>
      <c r="L127" s="12">
        <f>IF(H127&lt;&gt;1,0,IF((IF(Classifiers!$B$7="",0,IF(ISNUMBER(SEARCH(Classifiers!$B$7,E127)),1,0))+IF(Classifiers!$C$7="",0,IF(ISNUMBER(SEARCH(Classifiers!$C$7,E127)),1,0))+IF(Classifiers!$D$7="",0,IF(ISNUMBER(SEARCH(Classifiers!$D$7,E127)),1,0))+IF(Classifiers!$E$7="",0,IF(ISNUMBER(SEARCH(Classifiers!$E$7,E127)),1,0))+IF(Classifiers!$F$7="",0,IF(ISNUMBER(SEARCH(Classifiers!$F$7,E127)),1,0))+IF(Classifiers!$G$7="",0,IF(ISNUMBER(SEARCH(Classifiers!$G$7,E127)),1,0)))&gt;0,1,0))</f>
        <v/>
      </c>
      <c r="M127" s="12">
        <f>IF(H127&lt;&gt;1,0,IF((IF(Classifiers!$B$8="",0,IF(ISNUMBER(SEARCH(Classifiers!$B$8,E127)),1,0))+IF(Classifiers!$C$8="",0,IF(ISNUMBER(SEARCH(Classifiers!$C$8,E127)),1,0))+IF(Classifiers!$D$8="",0,IF(ISNUMBER(SEARCH(Classifiers!$D$8,E127)),1,0))+IF(Classifiers!$E$8="",0,IF(ISNUMBER(SEARCH(Classifiers!$E$8,E127)),1,0))+IF(Classifiers!$F$8="",0,IF(ISNUMBER(SEARCH(Classifiers!$F$8,E127)),1,0))+IF(Classifiers!$G$8="",0,IF(ISNUMBER(SEARCH(Classifiers!$G$8,E127)),1,0)))&gt;0,1,0))</f>
        <v/>
      </c>
      <c r="N127" s="12">
        <f>IF(H127&lt;&gt;1,0,IF((IF(Classifiers!$B$9="",0,IF(ISNUMBER(SEARCH(Classifiers!$B$9,E127)),1,0))+IF(Classifiers!$C$9="",0,IF(ISNUMBER(SEARCH(Classifiers!$C$9,E127)),1,0))+IF(Classifiers!$D$9="",0,IF(ISNUMBER(SEARCH(Classifiers!$D$9,E127)),1,0))+IF(Classifiers!$E$9="",0,IF(ISNUMBER(SEARCH(Classifiers!$E$9,E127)),1,0))+IF(Classifiers!$F$9="",0,IF(ISNUMBER(SEARCH(Classifiers!$F$9,E127)),1,0))+IF(Classifiers!$G$9="",0,IF(ISNUMBER(SEARCH(Classifiers!$G$9,E127)),1,0)))&gt;0,1,0))</f>
        <v/>
      </c>
      <c r="O127" s="12">
        <f>IF(H127&lt;&gt;1,0,IF((IF(Classifiers!$B$10="",0,IF(ISNUMBER(SEARCH(Classifiers!$B$10,E127)),1,0))+IF(Classifiers!$C$10="",0,IF(ISNUMBER(SEARCH(Classifiers!$C$10,E127)),1,0))+IF(Classifiers!$D$10="",0,IF(ISNUMBER(SEARCH(Classifiers!$D$10,E127)),1,0))+IF(Classifiers!$E$10="",0,IF(ISNUMBER(SEARCH(Classifiers!$E$10,E127)),1,0))+IF(Classifiers!$F$10="",0,IF(ISNUMBER(SEARCH(Classifiers!$F$10,E127)),1,0))+IF(Classifiers!$G$10="",0,IF(ISNUMBER(SEARCH(Classifiers!$G$10,E127)),1,0)))&gt;0,1,0))</f>
        <v/>
      </c>
      <c r="P127" s="12">
        <f>IF(H127&lt;&gt;1,0,IF((IF(Classifiers!$B$11="",0,IF(ISNUMBER(SEARCH(Classifiers!$B$11,E127)),1,0))+IF(Classifiers!$C$11="",0,IF(ISNUMBER(SEARCH(Classifiers!$C$11,E127)),1,0))+IF(Classifiers!$D$11="",0,IF(ISNUMBER(SEARCH(Classifiers!$D$11,E127)),1,0))+IF(Classifiers!$E$11="",0,IF(ISNUMBER(SEARCH(Classifiers!$E$11,E127)),1,0))+IF(Classifiers!$F$11="",0,IF(ISNUMBER(SEARCH(Classifiers!$F$11,E127)),1,0))+IF(Classifiers!$G$11="",0,IF(ISNUMBER(SEARCH(Classifiers!$G$11,E127)),1,0)))&gt;0,1,0))</f>
        <v/>
      </c>
      <c r="Q127" s="12">
        <f>IF(H127&lt;&gt;1,0,IF((IF(Classifiers!$B$12="",0,IF(ISNUMBER(SEARCH(Classifiers!$B$12,E127)),1,0))+IF(Classifiers!$C$12="",0,IF(ISNUMBER(SEARCH(Classifiers!$C$12,E127)),1,0))+IF(Classifiers!$D$12="",0,IF(ISNUMBER(SEARCH(Classifiers!$D$12,E127)),1,0))+IF(Classifiers!$E$12="",0,IF(ISNUMBER(SEARCH(Classifiers!$E$12,E127)),1,0))+IF(Classifiers!$F$12="",0,IF(ISNUMBER(SEARCH(Classifiers!$F$12,E127)),1,0))+IF(Classifiers!$G$12="",0,IF(ISNUMBER(SEARCH(Classifiers!$G$12,E127)),1,0)))&gt;0,1,0))</f>
        <v/>
      </c>
      <c r="R127" s="12">
        <f>IF(H127&lt;&gt;1,0,IF((IF(Classifiers!$B$13="",0,IF(ISNUMBER(SEARCH(Classifiers!$B$13,E127)),1,0))+IF(Classifiers!$C$13="",0,IF(ISNUMBER(SEARCH(Classifiers!$C$13,E127)),1,0))+IF(Classifiers!$D$13="",0,IF(ISNUMBER(SEARCH(Classifiers!$D$13,E127)),1,0))+IF(Classifiers!$E$13="",0,IF(ISNUMBER(SEARCH(Classifiers!$E$13,E127)),1,0))+IF(Classifiers!$F$13="",0,IF(ISNUMBER(SEARCH(Classifiers!$F$13,E127)),1,0))+IF(Classifiers!$G$13="",0,IF(ISNUMBER(SEARCH(Classifiers!$G$13,E127)),1,0)))&gt;0,1,0))</f>
        <v/>
      </c>
      <c r="S127" s="12">
        <f>IF(H127&lt;&gt;1,0,IF((IF(Classifiers!$B$14="",0,IF(ISNUMBER(SEARCH(Classifiers!$B$14,E127)),1,0))+IF(Classifiers!$C$14="",0,IF(ISNUMBER(SEARCH(Classifiers!$C$14,E127)),1,0))+IF(Classifiers!$D$14="",0,IF(ISNUMBER(SEARCH(Classifiers!$D$14,E127)),1,0))+IF(Classifiers!$E$14="",0,IF(ISNUMBER(SEARCH(Classifiers!$E$14,E127)),1,0))+IF(Classifiers!$F$14="",0,IF(ISNUMBER(SEARCH(Classifiers!$F$14,E127)),1,0))+IF(Classifiers!$G$14="",0,IF(ISNUMBER(SEARCH(Classifiers!$G$14,E127)),1,0)))&gt;0,1,0))</f>
        <v/>
      </c>
      <c r="T127" s="12">
        <f>IF(H127&lt;&gt;1,0,IF((IF(Classifiers!$B$15="",0,IF(ISNUMBER(SEARCH(Classifiers!$B$15,E127)),1,0))+IF(Classifiers!$C$15="",0,IF(ISNUMBER(SEARCH(Classifiers!$C$15,E127)),1,0))+IF(Classifiers!$D$15="",0,IF(ISNUMBER(SEARCH(Classifiers!$D$15,E127)),1,0))+IF(Classifiers!$E$15="",0,IF(ISNUMBER(SEARCH(Classifiers!$E$15,E127)),1,0))+IF(Classifiers!$F$15="",0,IF(ISNUMBER(SEARCH(Classifiers!$F$15,E127)),1,0))+IF(Classifiers!$G$15="",0,IF(ISNUMBER(SEARCH(Classifiers!$G$15,E127)),1,0)))&gt;0,1,0))</f>
        <v/>
      </c>
      <c r="U127" s="12">
        <f>IF(H127&lt;&gt;1,0,IF((IF(Classifiers!$B$16="",0,IF(ISNUMBER(SEARCH(Classifiers!$B$16,E127)),1,0))+IF(Classifiers!$C$16="",0,IF(ISNUMBER(SEARCH(Classifiers!$C$16,E127)),1,0))+IF(Classifiers!$D$16="",0,IF(ISNUMBER(SEARCH(Classifiers!$D$16,E127)),1,0))+IF(Classifiers!$E$16="",0,IF(ISNUMBER(SEARCH(Classifiers!$E$16,E127)),1,0))+IF(Classifiers!$F$16="",0,IF(ISNUMBER(SEARCH(Classifiers!$F$16,E127)),1,0))+IF(Classifiers!$G$16="",0,IF(ISNUMBER(SEARCH(Classifiers!$G$16,E127)),1,0)))&gt;0,1,0))</f>
        <v/>
      </c>
      <c r="V127" s="12">
        <f>IF(H127&lt;&gt;1,0,IF((IF(Classifiers!$B$17="",0,IF(ISNUMBER(SEARCH(Classifiers!$B$17,E127)),1,0))+IF(Classifiers!$C$17="",0,IF(ISNUMBER(SEARCH(Classifiers!$C$17,E127)),1,0))+IF(Classifiers!$D$17="",0,IF(ISNUMBER(SEARCH(Classifiers!$D$17,E127)),1,0))+IF(Classifiers!$E$17="",0,IF(ISNUMBER(SEARCH(Classifiers!$E$17,E127)),1,0))+IF(Classifiers!$F$17="",0,IF(ISNUMBER(SEARCH(Classifiers!$F$17,E127)),1,0))+IF(Classifiers!$G$17="",0,IF(ISNUMBER(SEARCH(Classifiers!$G$17,E127)),1,0)))&gt;0,1,0))</f>
        <v/>
      </c>
      <c r="W127" s="12">
        <f>IF(H127&lt;&gt;1,0,IF((IF(Classifiers!$B$18="",0,IF(ISNUMBER(SEARCH(Classifiers!$B$18,E127)),1,0))+IF(Classifiers!$C$18="",0,IF(ISNUMBER(SEARCH(Classifiers!$C$18,E127)),1,0))+IF(Classifiers!$D$18="",0,IF(ISNUMBER(SEARCH(Classifiers!$D$18,E127)),1,0))+IF(Classifiers!$E$18="",0,IF(ISNUMBER(SEARCH(Classifiers!$E$18,E127)),1,0))+IF(Classifiers!$F$18="",0,IF(ISNUMBER(SEARCH(Classifiers!$F$18,E127)),1,0))+IF(Classifiers!$G$18="",0,IF(ISNUMBER(SEARCH(Classifiers!$G$18,E127)),1,0)))&gt;0,1,0))</f>
        <v/>
      </c>
    </row>
    <row r="128">
      <c r="A128" s="8" t="n"/>
      <c r="B128" s="11" t="n"/>
      <c r="C128" s="6">
        <f>IF(A128="","",TRIM(RIGHT(SUBSTITUTE(A128,"/",REPT(" ",250)),250)))</f>
        <v/>
      </c>
      <c r="D128" s="6">
        <f>IF(C128="","",IF(ISNUMBER(SEARCH(".",C128)),LOWER("."&amp;TRIM(RIGHT(SUBSTITUTE(C128,".",REPT(" ",250)),250))),""))</f>
        <v/>
      </c>
      <c r="E128" s="6">
        <f>IF(C128="","",TRIM(SUBSTITUTE(SUBSTITUTE(SUBSTITUTE(SUBSTITUTE(SUBSTITUTE(SUBSTITUTE(SUBSTITUTE(SUBSTITUTE(SUBSTITUTE(SUBSTITUTE(SUBSTITUTE(SUBSTITUTE(SUBSTITUTE(SUBSTITUTE(SUBSTITUTE(SUBSTITUTE(SUBSTITUTE(SUBSTITUTE(SUBSTITUTE(SUBSTITUTE(LOWER(LEFT(C128,LEN(C128)-LEN(D128))),"_"," "),"-"," "),"."," "),","," "),"("," "),")"," "),"["," "),"]"," "),"&amp;"," "),"+"," "),"@"," "),"#"," "),"!"," "),"'"," "),"/"," "),":"," "),";"," "),"="," "),"~"," "),"%"," ")))</f>
        <v/>
      </c>
      <c r="F128" s="6">
        <f>IF(C128="","",IF(COUNTIF(Classifiers!$A$23:$A$40,D128)&gt;0,1,0))</f>
        <v/>
      </c>
      <c r="G128" s="6">
        <f>IF(C128="","",IF(COUNTIF(Classifiers!$C$23:$C$30,D128)&gt;0,IF((IF(ISNUMBER(SEARCH(Classifiers!$E$23,E128)),1,0)+IF(ISNUMBER(SEARCH(Classifiers!$E$24,E128)),1,0)+IF(ISNUMBER(SEARCH(Classifiers!$E$25,E128)),1,0)+IF(ISNUMBER(SEARCH(Classifiers!$E$26,E128)),1,0)+IF(ISNUMBER(SEARCH(Classifiers!$E$27,E128)),1,0)+IF(ISNUMBER(SEARCH(Classifiers!$E$28,E128)),1,0)+IF(ISNUMBER(SEARCH(Classifiers!$E$29,E128)),1,0)+IF(ISNUMBER(SEARCH(Classifiers!$E$30,E128)),1,0))&gt;0,1,0),0))</f>
        <v/>
      </c>
      <c r="H128" s="6">
        <f>IF(C128="","",IF(OR(LEFT(C128,1)=".",AND(F128=0,G128=0)),0,1))</f>
        <v/>
      </c>
      <c r="I128" s="6">
        <f>IF(H128&lt;&gt;1,"",IF(SUM(J128:W128)=0,"unclassified",INDEX(Classifiers!$A$5:$A$18,MATCH(1,J128:W128,0),1)))</f>
        <v/>
      </c>
      <c r="J128" s="12">
        <f>IF(H128&lt;&gt;1,0,IF((IF(Classifiers!$B$5="",0,IF(ISNUMBER(SEARCH(Classifiers!$B$5,E128)),1,0))+IF(Classifiers!$C$5="",0,IF(ISNUMBER(SEARCH(Classifiers!$C$5,E128)),1,0))+IF(Classifiers!$D$5="",0,IF(ISNUMBER(SEARCH(Classifiers!$D$5,E128)),1,0))+IF(Classifiers!$E$5="",0,IF(ISNUMBER(SEARCH(Classifiers!$E$5,E128)),1,0))+IF(Classifiers!$F$5="",0,IF(ISNUMBER(SEARCH(Classifiers!$F$5,E128)),1,0))+IF(Classifiers!$G$5="",0,IF(ISNUMBER(SEARCH(Classifiers!$G$5,E128)),1,0)))&gt;0,1,0))</f>
        <v/>
      </c>
      <c r="K128" s="12">
        <f>IF(H128&lt;&gt;1,0,IF((IF(Classifiers!$B$6="",0,IF(ISNUMBER(SEARCH(Classifiers!$B$6,E128)),1,0))+IF(Classifiers!$C$6="",0,IF(ISNUMBER(SEARCH(Classifiers!$C$6,E128)),1,0))+IF(Classifiers!$D$6="",0,IF(ISNUMBER(SEARCH(Classifiers!$D$6,E128)),1,0))+IF(Classifiers!$E$6="",0,IF(ISNUMBER(SEARCH(Classifiers!$E$6,E128)),1,0))+IF(Classifiers!$F$6="",0,IF(ISNUMBER(SEARCH(Classifiers!$F$6,E128)),1,0))+IF(Classifiers!$G$6="",0,IF(ISNUMBER(SEARCH(Classifiers!$G$6,E128)),1,0)))&gt;0,1,0))</f>
        <v/>
      </c>
      <c r="L128" s="12">
        <f>IF(H128&lt;&gt;1,0,IF((IF(Classifiers!$B$7="",0,IF(ISNUMBER(SEARCH(Classifiers!$B$7,E128)),1,0))+IF(Classifiers!$C$7="",0,IF(ISNUMBER(SEARCH(Classifiers!$C$7,E128)),1,0))+IF(Classifiers!$D$7="",0,IF(ISNUMBER(SEARCH(Classifiers!$D$7,E128)),1,0))+IF(Classifiers!$E$7="",0,IF(ISNUMBER(SEARCH(Classifiers!$E$7,E128)),1,0))+IF(Classifiers!$F$7="",0,IF(ISNUMBER(SEARCH(Classifiers!$F$7,E128)),1,0))+IF(Classifiers!$G$7="",0,IF(ISNUMBER(SEARCH(Classifiers!$G$7,E128)),1,0)))&gt;0,1,0))</f>
        <v/>
      </c>
      <c r="M128" s="12">
        <f>IF(H128&lt;&gt;1,0,IF((IF(Classifiers!$B$8="",0,IF(ISNUMBER(SEARCH(Classifiers!$B$8,E128)),1,0))+IF(Classifiers!$C$8="",0,IF(ISNUMBER(SEARCH(Classifiers!$C$8,E128)),1,0))+IF(Classifiers!$D$8="",0,IF(ISNUMBER(SEARCH(Classifiers!$D$8,E128)),1,0))+IF(Classifiers!$E$8="",0,IF(ISNUMBER(SEARCH(Classifiers!$E$8,E128)),1,0))+IF(Classifiers!$F$8="",0,IF(ISNUMBER(SEARCH(Classifiers!$F$8,E128)),1,0))+IF(Classifiers!$G$8="",0,IF(ISNUMBER(SEARCH(Classifiers!$G$8,E128)),1,0)))&gt;0,1,0))</f>
        <v/>
      </c>
      <c r="N128" s="12">
        <f>IF(H128&lt;&gt;1,0,IF((IF(Classifiers!$B$9="",0,IF(ISNUMBER(SEARCH(Classifiers!$B$9,E128)),1,0))+IF(Classifiers!$C$9="",0,IF(ISNUMBER(SEARCH(Classifiers!$C$9,E128)),1,0))+IF(Classifiers!$D$9="",0,IF(ISNUMBER(SEARCH(Classifiers!$D$9,E128)),1,0))+IF(Classifiers!$E$9="",0,IF(ISNUMBER(SEARCH(Classifiers!$E$9,E128)),1,0))+IF(Classifiers!$F$9="",0,IF(ISNUMBER(SEARCH(Classifiers!$F$9,E128)),1,0))+IF(Classifiers!$G$9="",0,IF(ISNUMBER(SEARCH(Classifiers!$G$9,E128)),1,0)))&gt;0,1,0))</f>
        <v/>
      </c>
      <c r="O128" s="12">
        <f>IF(H128&lt;&gt;1,0,IF((IF(Classifiers!$B$10="",0,IF(ISNUMBER(SEARCH(Classifiers!$B$10,E128)),1,0))+IF(Classifiers!$C$10="",0,IF(ISNUMBER(SEARCH(Classifiers!$C$10,E128)),1,0))+IF(Classifiers!$D$10="",0,IF(ISNUMBER(SEARCH(Classifiers!$D$10,E128)),1,0))+IF(Classifiers!$E$10="",0,IF(ISNUMBER(SEARCH(Classifiers!$E$10,E128)),1,0))+IF(Classifiers!$F$10="",0,IF(ISNUMBER(SEARCH(Classifiers!$F$10,E128)),1,0))+IF(Classifiers!$G$10="",0,IF(ISNUMBER(SEARCH(Classifiers!$G$10,E128)),1,0)))&gt;0,1,0))</f>
        <v/>
      </c>
      <c r="P128" s="12">
        <f>IF(H128&lt;&gt;1,0,IF((IF(Classifiers!$B$11="",0,IF(ISNUMBER(SEARCH(Classifiers!$B$11,E128)),1,0))+IF(Classifiers!$C$11="",0,IF(ISNUMBER(SEARCH(Classifiers!$C$11,E128)),1,0))+IF(Classifiers!$D$11="",0,IF(ISNUMBER(SEARCH(Classifiers!$D$11,E128)),1,0))+IF(Classifiers!$E$11="",0,IF(ISNUMBER(SEARCH(Classifiers!$E$11,E128)),1,0))+IF(Classifiers!$F$11="",0,IF(ISNUMBER(SEARCH(Classifiers!$F$11,E128)),1,0))+IF(Classifiers!$G$11="",0,IF(ISNUMBER(SEARCH(Classifiers!$G$11,E128)),1,0)))&gt;0,1,0))</f>
        <v/>
      </c>
      <c r="Q128" s="12">
        <f>IF(H128&lt;&gt;1,0,IF((IF(Classifiers!$B$12="",0,IF(ISNUMBER(SEARCH(Classifiers!$B$12,E128)),1,0))+IF(Classifiers!$C$12="",0,IF(ISNUMBER(SEARCH(Classifiers!$C$12,E128)),1,0))+IF(Classifiers!$D$12="",0,IF(ISNUMBER(SEARCH(Classifiers!$D$12,E128)),1,0))+IF(Classifiers!$E$12="",0,IF(ISNUMBER(SEARCH(Classifiers!$E$12,E128)),1,0))+IF(Classifiers!$F$12="",0,IF(ISNUMBER(SEARCH(Classifiers!$F$12,E128)),1,0))+IF(Classifiers!$G$12="",0,IF(ISNUMBER(SEARCH(Classifiers!$G$12,E128)),1,0)))&gt;0,1,0))</f>
        <v/>
      </c>
      <c r="R128" s="12">
        <f>IF(H128&lt;&gt;1,0,IF((IF(Classifiers!$B$13="",0,IF(ISNUMBER(SEARCH(Classifiers!$B$13,E128)),1,0))+IF(Classifiers!$C$13="",0,IF(ISNUMBER(SEARCH(Classifiers!$C$13,E128)),1,0))+IF(Classifiers!$D$13="",0,IF(ISNUMBER(SEARCH(Classifiers!$D$13,E128)),1,0))+IF(Classifiers!$E$13="",0,IF(ISNUMBER(SEARCH(Classifiers!$E$13,E128)),1,0))+IF(Classifiers!$F$13="",0,IF(ISNUMBER(SEARCH(Classifiers!$F$13,E128)),1,0))+IF(Classifiers!$G$13="",0,IF(ISNUMBER(SEARCH(Classifiers!$G$13,E128)),1,0)))&gt;0,1,0))</f>
        <v/>
      </c>
      <c r="S128" s="12">
        <f>IF(H128&lt;&gt;1,0,IF((IF(Classifiers!$B$14="",0,IF(ISNUMBER(SEARCH(Classifiers!$B$14,E128)),1,0))+IF(Classifiers!$C$14="",0,IF(ISNUMBER(SEARCH(Classifiers!$C$14,E128)),1,0))+IF(Classifiers!$D$14="",0,IF(ISNUMBER(SEARCH(Classifiers!$D$14,E128)),1,0))+IF(Classifiers!$E$14="",0,IF(ISNUMBER(SEARCH(Classifiers!$E$14,E128)),1,0))+IF(Classifiers!$F$14="",0,IF(ISNUMBER(SEARCH(Classifiers!$F$14,E128)),1,0))+IF(Classifiers!$G$14="",0,IF(ISNUMBER(SEARCH(Classifiers!$G$14,E128)),1,0)))&gt;0,1,0))</f>
        <v/>
      </c>
      <c r="T128" s="12">
        <f>IF(H128&lt;&gt;1,0,IF((IF(Classifiers!$B$15="",0,IF(ISNUMBER(SEARCH(Classifiers!$B$15,E128)),1,0))+IF(Classifiers!$C$15="",0,IF(ISNUMBER(SEARCH(Classifiers!$C$15,E128)),1,0))+IF(Classifiers!$D$15="",0,IF(ISNUMBER(SEARCH(Classifiers!$D$15,E128)),1,0))+IF(Classifiers!$E$15="",0,IF(ISNUMBER(SEARCH(Classifiers!$E$15,E128)),1,0))+IF(Classifiers!$F$15="",0,IF(ISNUMBER(SEARCH(Classifiers!$F$15,E128)),1,0))+IF(Classifiers!$G$15="",0,IF(ISNUMBER(SEARCH(Classifiers!$G$15,E128)),1,0)))&gt;0,1,0))</f>
        <v/>
      </c>
      <c r="U128" s="12">
        <f>IF(H128&lt;&gt;1,0,IF((IF(Classifiers!$B$16="",0,IF(ISNUMBER(SEARCH(Classifiers!$B$16,E128)),1,0))+IF(Classifiers!$C$16="",0,IF(ISNUMBER(SEARCH(Classifiers!$C$16,E128)),1,0))+IF(Classifiers!$D$16="",0,IF(ISNUMBER(SEARCH(Classifiers!$D$16,E128)),1,0))+IF(Classifiers!$E$16="",0,IF(ISNUMBER(SEARCH(Classifiers!$E$16,E128)),1,0))+IF(Classifiers!$F$16="",0,IF(ISNUMBER(SEARCH(Classifiers!$F$16,E128)),1,0))+IF(Classifiers!$G$16="",0,IF(ISNUMBER(SEARCH(Classifiers!$G$16,E128)),1,0)))&gt;0,1,0))</f>
        <v/>
      </c>
      <c r="V128" s="12">
        <f>IF(H128&lt;&gt;1,0,IF((IF(Classifiers!$B$17="",0,IF(ISNUMBER(SEARCH(Classifiers!$B$17,E128)),1,0))+IF(Classifiers!$C$17="",0,IF(ISNUMBER(SEARCH(Classifiers!$C$17,E128)),1,0))+IF(Classifiers!$D$17="",0,IF(ISNUMBER(SEARCH(Classifiers!$D$17,E128)),1,0))+IF(Classifiers!$E$17="",0,IF(ISNUMBER(SEARCH(Classifiers!$E$17,E128)),1,0))+IF(Classifiers!$F$17="",0,IF(ISNUMBER(SEARCH(Classifiers!$F$17,E128)),1,0))+IF(Classifiers!$G$17="",0,IF(ISNUMBER(SEARCH(Classifiers!$G$17,E128)),1,0)))&gt;0,1,0))</f>
        <v/>
      </c>
      <c r="W128" s="12">
        <f>IF(H128&lt;&gt;1,0,IF((IF(Classifiers!$B$18="",0,IF(ISNUMBER(SEARCH(Classifiers!$B$18,E128)),1,0))+IF(Classifiers!$C$18="",0,IF(ISNUMBER(SEARCH(Classifiers!$C$18,E128)),1,0))+IF(Classifiers!$D$18="",0,IF(ISNUMBER(SEARCH(Classifiers!$D$18,E128)),1,0))+IF(Classifiers!$E$18="",0,IF(ISNUMBER(SEARCH(Classifiers!$E$18,E128)),1,0))+IF(Classifiers!$F$18="",0,IF(ISNUMBER(SEARCH(Classifiers!$F$18,E128)),1,0))+IF(Classifiers!$G$18="",0,IF(ISNUMBER(SEARCH(Classifiers!$G$18,E128)),1,0)))&gt;0,1,0))</f>
        <v/>
      </c>
    </row>
    <row r="129">
      <c r="A129" s="8" t="n"/>
      <c r="B129" s="11" t="n"/>
      <c r="C129" s="6">
        <f>IF(A129="","",TRIM(RIGHT(SUBSTITUTE(A129,"/",REPT(" ",250)),250)))</f>
        <v/>
      </c>
      <c r="D129" s="6">
        <f>IF(C129="","",IF(ISNUMBER(SEARCH(".",C129)),LOWER("."&amp;TRIM(RIGHT(SUBSTITUTE(C129,".",REPT(" ",250)),250))),""))</f>
        <v/>
      </c>
      <c r="E129" s="6">
        <f>IF(C129="","",TRIM(SUBSTITUTE(SUBSTITUTE(SUBSTITUTE(SUBSTITUTE(SUBSTITUTE(SUBSTITUTE(SUBSTITUTE(SUBSTITUTE(SUBSTITUTE(SUBSTITUTE(SUBSTITUTE(SUBSTITUTE(SUBSTITUTE(SUBSTITUTE(SUBSTITUTE(SUBSTITUTE(SUBSTITUTE(SUBSTITUTE(SUBSTITUTE(SUBSTITUTE(LOWER(LEFT(C129,LEN(C129)-LEN(D129))),"_"," "),"-"," "),"."," "),","," "),"("," "),")"," "),"["," "),"]"," "),"&amp;"," "),"+"," "),"@"," "),"#"," "),"!"," "),"'"," "),"/"," "),":"," "),";"," "),"="," "),"~"," "),"%"," ")))</f>
        <v/>
      </c>
      <c r="F129" s="6">
        <f>IF(C129="","",IF(COUNTIF(Classifiers!$A$23:$A$40,D129)&gt;0,1,0))</f>
        <v/>
      </c>
      <c r="G129" s="6">
        <f>IF(C129="","",IF(COUNTIF(Classifiers!$C$23:$C$30,D129)&gt;0,IF((IF(ISNUMBER(SEARCH(Classifiers!$E$23,E129)),1,0)+IF(ISNUMBER(SEARCH(Classifiers!$E$24,E129)),1,0)+IF(ISNUMBER(SEARCH(Classifiers!$E$25,E129)),1,0)+IF(ISNUMBER(SEARCH(Classifiers!$E$26,E129)),1,0)+IF(ISNUMBER(SEARCH(Classifiers!$E$27,E129)),1,0)+IF(ISNUMBER(SEARCH(Classifiers!$E$28,E129)),1,0)+IF(ISNUMBER(SEARCH(Classifiers!$E$29,E129)),1,0)+IF(ISNUMBER(SEARCH(Classifiers!$E$30,E129)),1,0))&gt;0,1,0),0))</f>
        <v/>
      </c>
      <c r="H129" s="6">
        <f>IF(C129="","",IF(OR(LEFT(C129,1)=".",AND(F129=0,G129=0)),0,1))</f>
        <v/>
      </c>
      <c r="I129" s="6">
        <f>IF(H129&lt;&gt;1,"",IF(SUM(J129:W129)=0,"unclassified",INDEX(Classifiers!$A$5:$A$18,MATCH(1,J129:W129,0),1)))</f>
        <v/>
      </c>
      <c r="J129" s="12">
        <f>IF(H129&lt;&gt;1,0,IF((IF(Classifiers!$B$5="",0,IF(ISNUMBER(SEARCH(Classifiers!$B$5,E129)),1,0))+IF(Classifiers!$C$5="",0,IF(ISNUMBER(SEARCH(Classifiers!$C$5,E129)),1,0))+IF(Classifiers!$D$5="",0,IF(ISNUMBER(SEARCH(Classifiers!$D$5,E129)),1,0))+IF(Classifiers!$E$5="",0,IF(ISNUMBER(SEARCH(Classifiers!$E$5,E129)),1,0))+IF(Classifiers!$F$5="",0,IF(ISNUMBER(SEARCH(Classifiers!$F$5,E129)),1,0))+IF(Classifiers!$G$5="",0,IF(ISNUMBER(SEARCH(Classifiers!$G$5,E129)),1,0)))&gt;0,1,0))</f>
        <v/>
      </c>
      <c r="K129" s="12">
        <f>IF(H129&lt;&gt;1,0,IF((IF(Classifiers!$B$6="",0,IF(ISNUMBER(SEARCH(Classifiers!$B$6,E129)),1,0))+IF(Classifiers!$C$6="",0,IF(ISNUMBER(SEARCH(Classifiers!$C$6,E129)),1,0))+IF(Classifiers!$D$6="",0,IF(ISNUMBER(SEARCH(Classifiers!$D$6,E129)),1,0))+IF(Classifiers!$E$6="",0,IF(ISNUMBER(SEARCH(Classifiers!$E$6,E129)),1,0))+IF(Classifiers!$F$6="",0,IF(ISNUMBER(SEARCH(Classifiers!$F$6,E129)),1,0))+IF(Classifiers!$G$6="",0,IF(ISNUMBER(SEARCH(Classifiers!$G$6,E129)),1,0)))&gt;0,1,0))</f>
        <v/>
      </c>
      <c r="L129" s="12">
        <f>IF(H129&lt;&gt;1,0,IF((IF(Classifiers!$B$7="",0,IF(ISNUMBER(SEARCH(Classifiers!$B$7,E129)),1,0))+IF(Classifiers!$C$7="",0,IF(ISNUMBER(SEARCH(Classifiers!$C$7,E129)),1,0))+IF(Classifiers!$D$7="",0,IF(ISNUMBER(SEARCH(Classifiers!$D$7,E129)),1,0))+IF(Classifiers!$E$7="",0,IF(ISNUMBER(SEARCH(Classifiers!$E$7,E129)),1,0))+IF(Classifiers!$F$7="",0,IF(ISNUMBER(SEARCH(Classifiers!$F$7,E129)),1,0))+IF(Classifiers!$G$7="",0,IF(ISNUMBER(SEARCH(Classifiers!$G$7,E129)),1,0)))&gt;0,1,0))</f>
        <v/>
      </c>
      <c r="M129" s="12">
        <f>IF(H129&lt;&gt;1,0,IF((IF(Classifiers!$B$8="",0,IF(ISNUMBER(SEARCH(Classifiers!$B$8,E129)),1,0))+IF(Classifiers!$C$8="",0,IF(ISNUMBER(SEARCH(Classifiers!$C$8,E129)),1,0))+IF(Classifiers!$D$8="",0,IF(ISNUMBER(SEARCH(Classifiers!$D$8,E129)),1,0))+IF(Classifiers!$E$8="",0,IF(ISNUMBER(SEARCH(Classifiers!$E$8,E129)),1,0))+IF(Classifiers!$F$8="",0,IF(ISNUMBER(SEARCH(Classifiers!$F$8,E129)),1,0))+IF(Classifiers!$G$8="",0,IF(ISNUMBER(SEARCH(Classifiers!$G$8,E129)),1,0)))&gt;0,1,0))</f>
        <v/>
      </c>
      <c r="N129" s="12">
        <f>IF(H129&lt;&gt;1,0,IF((IF(Classifiers!$B$9="",0,IF(ISNUMBER(SEARCH(Classifiers!$B$9,E129)),1,0))+IF(Classifiers!$C$9="",0,IF(ISNUMBER(SEARCH(Classifiers!$C$9,E129)),1,0))+IF(Classifiers!$D$9="",0,IF(ISNUMBER(SEARCH(Classifiers!$D$9,E129)),1,0))+IF(Classifiers!$E$9="",0,IF(ISNUMBER(SEARCH(Classifiers!$E$9,E129)),1,0))+IF(Classifiers!$F$9="",0,IF(ISNUMBER(SEARCH(Classifiers!$F$9,E129)),1,0))+IF(Classifiers!$G$9="",0,IF(ISNUMBER(SEARCH(Classifiers!$G$9,E129)),1,0)))&gt;0,1,0))</f>
        <v/>
      </c>
      <c r="O129" s="12">
        <f>IF(H129&lt;&gt;1,0,IF((IF(Classifiers!$B$10="",0,IF(ISNUMBER(SEARCH(Classifiers!$B$10,E129)),1,0))+IF(Classifiers!$C$10="",0,IF(ISNUMBER(SEARCH(Classifiers!$C$10,E129)),1,0))+IF(Classifiers!$D$10="",0,IF(ISNUMBER(SEARCH(Classifiers!$D$10,E129)),1,0))+IF(Classifiers!$E$10="",0,IF(ISNUMBER(SEARCH(Classifiers!$E$10,E129)),1,0))+IF(Classifiers!$F$10="",0,IF(ISNUMBER(SEARCH(Classifiers!$F$10,E129)),1,0))+IF(Classifiers!$G$10="",0,IF(ISNUMBER(SEARCH(Classifiers!$G$10,E129)),1,0)))&gt;0,1,0))</f>
        <v/>
      </c>
      <c r="P129" s="12">
        <f>IF(H129&lt;&gt;1,0,IF((IF(Classifiers!$B$11="",0,IF(ISNUMBER(SEARCH(Classifiers!$B$11,E129)),1,0))+IF(Classifiers!$C$11="",0,IF(ISNUMBER(SEARCH(Classifiers!$C$11,E129)),1,0))+IF(Classifiers!$D$11="",0,IF(ISNUMBER(SEARCH(Classifiers!$D$11,E129)),1,0))+IF(Classifiers!$E$11="",0,IF(ISNUMBER(SEARCH(Classifiers!$E$11,E129)),1,0))+IF(Classifiers!$F$11="",0,IF(ISNUMBER(SEARCH(Classifiers!$F$11,E129)),1,0))+IF(Classifiers!$G$11="",0,IF(ISNUMBER(SEARCH(Classifiers!$G$11,E129)),1,0)))&gt;0,1,0))</f>
        <v/>
      </c>
      <c r="Q129" s="12">
        <f>IF(H129&lt;&gt;1,0,IF((IF(Classifiers!$B$12="",0,IF(ISNUMBER(SEARCH(Classifiers!$B$12,E129)),1,0))+IF(Classifiers!$C$12="",0,IF(ISNUMBER(SEARCH(Classifiers!$C$12,E129)),1,0))+IF(Classifiers!$D$12="",0,IF(ISNUMBER(SEARCH(Classifiers!$D$12,E129)),1,0))+IF(Classifiers!$E$12="",0,IF(ISNUMBER(SEARCH(Classifiers!$E$12,E129)),1,0))+IF(Classifiers!$F$12="",0,IF(ISNUMBER(SEARCH(Classifiers!$F$12,E129)),1,0))+IF(Classifiers!$G$12="",0,IF(ISNUMBER(SEARCH(Classifiers!$G$12,E129)),1,0)))&gt;0,1,0))</f>
        <v/>
      </c>
      <c r="R129" s="12">
        <f>IF(H129&lt;&gt;1,0,IF((IF(Classifiers!$B$13="",0,IF(ISNUMBER(SEARCH(Classifiers!$B$13,E129)),1,0))+IF(Classifiers!$C$13="",0,IF(ISNUMBER(SEARCH(Classifiers!$C$13,E129)),1,0))+IF(Classifiers!$D$13="",0,IF(ISNUMBER(SEARCH(Classifiers!$D$13,E129)),1,0))+IF(Classifiers!$E$13="",0,IF(ISNUMBER(SEARCH(Classifiers!$E$13,E129)),1,0))+IF(Classifiers!$F$13="",0,IF(ISNUMBER(SEARCH(Classifiers!$F$13,E129)),1,0))+IF(Classifiers!$G$13="",0,IF(ISNUMBER(SEARCH(Classifiers!$G$13,E129)),1,0)))&gt;0,1,0))</f>
        <v/>
      </c>
      <c r="S129" s="12">
        <f>IF(H129&lt;&gt;1,0,IF((IF(Classifiers!$B$14="",0,IF(ISNUMBER(SEARCH(Classifiers!$B$14,E129)),1,0))+IF(Classifiers!$C$14="",0,IF(ISNUMBER(SEARCH(Classifiers!$C$14,E129)),1,0))+IF(Classifiers!$D$14="",0,IF(ISNUMBER(SEARCH(Classifiers!$D$14,E129)),1,0))+IF(Classifiers!$E$14="",0,IF(ISNUMBER(SEARCH(Classifiers!$E$14,E129)),1,0))+IF(Classifiers!$F$14="",0,IF(ISNUMBER(SEARCH(Classifiers!$F$14,E129)),1,0))+IF(Classifiers!$G$14="",0,IF(ISNUMBER(SEARCH(Classifiers!$G$14,E129)),1,0)))&gt;0,1,0))</f>
        <v/>
      </c>
      <c r="T129" s="12">
        <f>IF(H129&lt;&gt;1,0,IF((IF(Classifiers!$B$15="",0,IF(ISNUMBER(SEARCH(Classifiers!$B$15,E129)),1,0))+IF(Classifiers!$C$15="",0,IF(ISNUMBER(SEARCH(Classifiers!$C$15,E129)),1,0))+IF(Classifiers!$D$15="",0,IF(ISNUMBER(SEARCH(Classifiers!$D$15,E129)),1,0))+IF(Classifiers!$E$15="",0,IF(ISNUMBER(SEARCH(Classifiers!$E$15,E129)),1,0))+IF(Classifiers!$F$15="",0,IF(ISNUMBER(SEARCH(Classifiers!$F$15,E129)),1,0))+IF(Classifiers!$G$15="",0,IF(ISNUMBER(SEARCH(Classifiers!$G$15,E129)),1,0)))&gt;0,1,0))</f>
        <v/>
      </c>
      <c r="U129" s="12">
        <f>IF(H129&lt;&gt;1,0,IF((IF(Classifiers!$B$16="",0,IF(ISNUMBER(SEARCH(Classifiers!$B$16,E129)),1,0))+IF(Classifiers!$C$16="",0,IF(ISNUMBER(SEARCH(Classifiers!$C$16,E129)),1,0))+IF(Classifiers!$D$16="",0,IF(ISNUMBER(SEARCH(Classifiers!$D$16,E129)),1,0))+IF(Classifiers!$E$16="",0,IF(ISNUMBER(SEARCH(Classifiers!$E$16,E129)),1,0))+IF(Classifiers!$F$16="",0,IF(ISNUMBER(SEARCH(Classifiers!$F$16,E129)),1,0))+IF(Classifiers!$G$16="",0,IF(ISNUMBER(SEARCH(Classifiers!$G$16,E129)),1,0)))&gt;0,1,0))</f>
        <v/>
      </c>
      <c r="V129" s="12">
        <f>IF(H129&lt;&gt;1,0,IF((IF(Classifiers!$B$17="",0,IF(ISNUMBER(SEARCH(Classifiers!$B$17,E129)),1,0))+IF(Classifiers!$C$17="",0,IF(ISNUMBER(SEARCH(Classifiers!$C$17,E129)),1,0))+IF(Classifiers!$D$17="",0,IF(ISNUMBER(SEARCH(Classifiers!$D$17,E129)),1,0))+IF(Classifiers!$E$17="",0,IF(ISNUMBER(SEARCH(Classifiers!$E$17,E129)),1,0))+IF(Classifiers!$F$17="",0,IF(ISNUMBER(SEARCH(Classifiers!$F$17,E129)),1,0))+IF(Classifiers!$G$17="",0,IF(ISNUMBER(SEARCH(Classifiers!$G$17,E129)),1,0)))&gt;0,1,0))</f>
        <v/>
      </c>
      <c r="W129" s="12">
        <f>IF(H129&lt;&gt;1,0,IF((IF(Classifiers!$B$18="",0,IF(ISNUMBER(SEARCH(Classifiers!$B$18,E129)),1,0))+IF(Classifiers!$C$18="",0,IF(ISNUMBER(SEARCH(Classifiers!$C$18,E129)),1,0))+IF(Classifiers!$D$18="",0,IF(ISNUMBER(SEARCH(Classifiers!$D$18,E129)),1,0))+IF(Classifiers!$E$18="",0,IF(ISNUMBER(SEARCH(Classifiers!$E$18,E129)),1,0))+IF(Classifiers!$F$18="",0,IF(ISNUMBER(SEARCH(Classifiers!$F$18,E129)),1,0))+IF(Classifiers!$G$18="",0,IF(ISNUMBER(SEARCH(Classifiers!$G$18,E129)),1,0)))&gt;0,1,0))</f>
        <v/>
      </c>
    </row>
    <row r="130">
      <c r="A130" s="8" t="n"/>
      <c r="B130" s="11" t="n"/>
      <c r="C130" s="6">
        <f>IF(A130="","",TRIM(RIGHT(SUBSTITUTE(A130,"/",REPT(" ",250)),250)))</f>
        <v/>
      </c>
      <c r="D130" s="6">
        <f>IF(C130="","",IF(ISNUMBER(SEARCH(".",C130)),LOWER("."&amp;TRIM(RIGHT(SUBSTITUTE(C130,".",REPT(" ",250)),250))),""))</f>
        <v/>
      </c>
      <c r="E130" s="6">
        <f>IF(C130="","",TRIM(SUBSTITUTE(SUBSTITUTE(SUBSTITUTE(SUBSTITUTE(SUBSTITUTE(SUBSTITUTE(SUBSTITUTE(SUBSTITUTE(SUBSTITUTE(SUBSTITUTE(SUBSTITUTE(SUBSTITUTE(SUBSTITUTE(SUBSTITUTE(SUBSTITUTE(SUBSTITUTE(SUBSTITUTE(SUBSTITUTE(SUBSTITUTE(SUBSTITUTE(LOWER(LEFT(C130,LEN(C130)-LEN(D130))),"_"," "),"-"," "),"."," "),","," "),"("," "),")"," "),"["," "),"]"," "),"&amp;"," "),"+"," "),"@"," "),"#"," "),"!"," "),"'"," "),"/"," "),":"," "),";"," "),"="," "),"~"," "),"%"," ")))</f>
        <v/>
      </c>
      <c r="F130" s="6">
        <f>IF(C130="","",IF(COUNTIF(Classifiers!$A$23:$A$40,D130)&gt;0,1,0))</f>
        <v/>
      </c>
      <c r="G130" s="6">
        <f>IF(C130="","",IF(COUNTIF(Classifiers!$C$23:$C$30,D130)&gt;0,IF((IF(ISNUMBER(SEARCH(Classifiers!$E$23,E130)),1,0)+IF(ISNUMBER(SEARCH(Classifiers!$E$24,E130)),1,0)+IF(ISNUMBER(SEARCH(Classifiers!$E$25,E130)),1,0)+IF(ISNUMBER(SEARCH(Classifiers!$E$26,E130)),1,0)+IF(ISNUMBER(SEARCH(Classifiers!$E$27,E130)),1,0)+IF(ISNUMBER(SEARCH(Classifiers!$E$28,E130)),1,0)+IF(ISNUMBER(SEARCH(Classifiers!$E$29,E130)),1,0)+IF(ISNUMBER(SEARCH(Classifiers!$E$30,E130)),1,0))&gt;0,1,0),0))</f>
        <v/>
      </c>
      <c r="H130" s="6">
        <f>IF(C130="","",IF(OR(LEFT(C130,1)=".",AND(F130=0,G130=0)),0,1))</f>
        <v/>
      </c>
      <c r="I130" s="6">
        <f>IF(H130&lt;&gt;1,"",IF(SUM(J130:W130)=0,"unclassified",INDEX(Classifiers!$A$5:$A$18,MATCH(1,J130:W130,0),1)))</f>
        <v/>
      </c>
      <c r="J130" s="12">
        <f>IF(H130&lt;&gt;1,0,IF((IF(Classifiers!$B$5="",0,IF(ISNUMBER(SEARCH(Classifiers!$B$5,E130)),1,0))+IF(Classifiers!$C$5="",0,IF(ISNUMBER(SEARCH(Classifiers!$C$5,E130)),1,0))+IF(Classifiers!$D$5="",0,IF(ISNUMBER(SEARCH(Classifiers!$D$5,E130)),1,0))+IF(Classifiers!$E$5="",0,IF(ISNUMBER(SEARCH(Classifiers!$E$5,E130)),1,0))+IF(Classifiers!$F$5="",0,IF(ISNUMBER(SEARCH(Classifiers!$F$5,E130)),1,0))+IF(Classifiers!$G$5="",0,IF(ISNUMBER(SEARCH(Classifiers!$G$5,E130)),1,0)))&gt;0,1,0))</f>
        <v/>
      </c>
      <c r="K130" s="12">
        <f>IF(H130&lt;&gt;1,0,IF((IF(Classifiers!$B$6="",0,IF(ISNUMBER(SEARCH(Classifiers!$B$6,E130)),1,0))+IF(Classifiers!$C$6="",0,IF(ISNUMBER(SEARCH(Classifiers!$C$6,E130)),1,0))+IF(Classifiers!$D$6="",0,IF(ISNUMBER(SEARCH(Classifiers!$D$6,E130)),1,0))+IF(Classifiers!$E$6="",0,IF(ISNUMBER(SEARCH(Classifiers!$E$6,E130)),1,0))+IF(Classifiers!$F$6="",0,IF(ISNUMBER(SEARCH(Classifiers!$F$6,E130)),1,0))+IF(Classifiers!$G$6="",0,IF(ISNUMBER(SEARCH(Classifiers!$G$6,E130)),1,0)))&gt;0,1,0))</f>
        <v/>
      </c>
      <c r="L130" s="12">
        <f>IF(H130&lt;&gt;1,0,IF((IF(Classifiers!$B$7="",0,IF(ISNUMBER(SEARCH(Classifiers!$B$7,E130)),1,0))+IF(Classifiers!$C$7="",0,IF(ISNUMBER(SEARCH(Classifiers!$C$7,E130)),1,0))+IF(Classifiers!$D$7="",0,IF(ISNUMBER(SEARCH(Classifiers!$D$7,E130)),1,0))+IF(Classifiers!$E$7="",0,IF(ISNUMBER(SEARCH(Classifiers!$E$7,E130)),1,0))+IF(Classifiers!$F$7="",0,IF(ISNUMBER(SEARCH(Classifiers!$F$7,E130)),1,0))+IF(Classifiers!$G$7="",0,IF(ISNUMBER(SEARCH(Classifiers!$G$7,E130)),1,0)))&gt;0,1,0))</f>
        <v/>
      </c>
      <c r="M130" s="12">
        <f>IF(H130&lt;&gt;1,0,IF((IF(Classifiers!$B$8="",0,IF(ISNUMBER(SEARCH(Classifiers!$B$8,E130)),1,0))+IF(Classifiers!$C$8="",0,IF(ISNUMBER(SEARCH(Classifiers!$C$8,E130)),1,0))+IF(Classifiers!$D$8="",0,IF(ISNUMBER(SEARCH(Classifiers!$D$8,E130)),1,0))+IF(Classifiers!$E$8="",0,IF(ISNUMBER(SEARCH(Classifiers!$E$8,E130)),1,0))+IF(Classifiers!$F$8="",0,IF(ISNUMBER(SEARCH(Classifiers!$F$8,E130)),1,0))+IF(Classifiers!$G$8="",0,IF(ISNUMBER(SEARCH(Classifiers!$G$8,E130)),1,0)))&gt;0,1,0))</f>
        <v/>
      </c>
      <c r="N130" s="12">
        <f>IF(H130&lt;&gt;1,0,IF((IF(Classifiers!$B$9="",0,IF(ISNUMBER(SEARCH(Classifiers!$B$9,E130)),1,0))+IF(Classifiers!$C$9="",0,IF(ISNUMBER(SEARCH(Classifiers!$C$9,E130)),1,0))+IF(Classifiers!$D$9="",0,IF(ISNUMBER(SEARCH(Classifiers!$D$9,E130)),1,0))+IF(Classifiers!$E$9="",0,IF(ISNUMBER(SEARCH(Classifiers!$E$9,E130)),1,0))+IF(Classifiers!$F$9="",0,IF(ISNUMBER(SEARCH(Classifiers!$F$9,E130)),1,0))+IF(Classifiers!$G$9="",0,IF(ISNUMBER(SEARCH(Classifiers!$G$9,E130)),1,0)))&gt;0,1,0))</f>
        <v/>
      </c>
      <c r="O130" s="12">
        <f>IF(H130&lt;&gt;1,0,IF((IF(Classifiers!$B$10="",0,IF(ISNUMBER(SEARCH(Classifiers!$B$10,E130)),1,0))+IF(Classifiers!$C$10="",0,IF(ISNUMBER(SEARCH(Classifiers!$C$10,E130)),1,0))+IF(Classifiers!$D$10="",0,IF(ISNUMBER(SEARCH(Classifiers!$D$10,E130)),1,0))+IF(Classifiers!$E$10="",0,IF(ISNUMBER(SEARCH(Classifiers!$E$10,E130)),1,0))+IF(Classifiers!$F$10="",0,IF(ISNUMBER(SEARCH(Classifiers!$F$10,E130)),1,0))+IF(Classifiers!$G$10="",0,IF(ISNUMBER(SEARCH(Classifiers!$G$10,E130)),1,0)))&gt;0,1,0))</f>
        <v/>
      </c>
      <c r="P130" s="12">
        <f>IF(H130&lt;&gt;1,0,IF((IF(Classifiers!$B$11="",0,IF(ISNUMBER(SEARCH(Classifiers!$B$11,E130)),1,0))+IF(Classifiers!$C$11="",0,IF(ISNUMBER(SEARCH(Classifiers!$C$11,E130)),1,0))+IF(Classifiers!$D$11="",0,IF(ISNUMBER(SEARCH(Classifiers!$D$11,E130)),1,0))+IF(Classifiers!$E$11="",0,IF(ISNUMBER(SEARCH(Classifiers!$E$11,E130)),1,0))+IF(Classifiers!$F$11="",0,IF(ISNUMBER(SEARCH(Classifiers!$F$11,E130)),1,0))+IF(Classifiers!$G$11="",0,IF(ISNUMBER(SEARCH(Classifiers!$G$11,E130)),1,0)))&gt;0,1,0))</f>
        <v/>
      </c>
      <c r="Q130" s="12">
        <f>IF(H130&lt;&gt;1,0,IF((IF(Classifiers!$B$12="",0,IF(ISNUMBER(SEARCH(Classifiers!$B$12,E130)),1,0))+IF(Classifiers!$C$12="",0,IF(ISNUMBER(SEARCH(Classifiers!$C$12,E130)),1,0))+IF(Classifiers!$D$12="",0,IF(ISNUMBER(SEARCH(Classifiers!$D$12,E130)),1,0))+IF(Classifiers!$E$12="",0,IF(ISNUMBER(SEARCH(Classifiers!$E$12,E130)),1,0))+IF(Classifiers!$F$12="",0,IF(ISNUMBER(SEARCH(Classifiers!$F$12,E130)),1,0))+IF(Classifiers!$G$12="",0,IF(ISNUMBER(SEARCH(Classifiers!$G$12,E130)),1,0)))&gt;0,1,0))</f>
        <v/>
      </c>
      <c r="R130" s="12">
        <f>IF(H130&lt;&gt;1,0,IF((IF(Classifiers!$B$13="",0,IF(ISNUMBER(SEARCH(Classifiers!$B$13,E130)),1,0))+IF(Classifiers!$C$13="",0,IF(ISNUMBER(SEARCH(Classifiers!$C$13,E130)),1,0))+IF(Classifiers!$D$13="",0,IF(ISNUMBER(SEARCH(Classifiers!$D$13,E130)),1,0))+IF(Classifiers!$E$13="",0,IF(ISNUMBER(SEARCH(Classifiers!$E$13,E130)),1,0))+IF(Classifiers!$F$13="",0,IF(ISNUMBER(SEARCH(Classifiers!$F$13,E130)),1,0))+IF(Classifiers!$G$13="",0,IF(ISNUMBER(SEARCH(Classifiers!$G$13,E130)),1,0)))&gt;0,1,0))</f>
        <v/>
      </c>
      <c r="S130" s="12">
        <f>IF(H130&lt;&gt;1,0,IF((IF(Classifiers!$B$14="",0,IF(ISNUMBER(SEARCH(Classifiers!$B$14,E130)),1,0))+IF(Classifiers!$C$14="",0,IF(ISNUMBER(SEARCH(Classifiers!$C$14,E130)),1,0))+IF(Classifiers!$D$14="",0,IF(ISNUMBER(SEARCH(Classifiers!$D$14,E130)),1,0))+IF(Classifiers!$E$14="",0,IF(ISNUMBER(SEARCH(Classifiers!$E$14,E130)),1,0))+IF(Classifiers!$F$14="",0,IF(ISNUMBER(SEARCH(Classifiers!$F$14,E130)),1,0))+IF(Classifiers!$G$14="",0,IF(ISNUMBER(SEARCH(Classifiers!$G$14,E130)),1,0)))&gt;0,1,0))</f>
        <v/>
      </c>
      <c r="T130" s="12">
        <f>IF(H130&lt;&gt;1,0,IF((IF(Classifiers!$B$15="",0,IF(ISNUMBER(SEARCH(Classifiers!$B$15,E130)),1,0))+IF(Classifiers!$C$15="",0,IF(ISNUMBER(SEARCH(Classifiers!$C$15,E130)),1,0))+IF(Classifiers!$D$15="",0,IF(ISNUMBER(SEARCH(Classifiers!$D$15,E130)),1,0))+IF(Classifiers!$E$15="",0,IF(ISNUMBER(SEARCH(Classifiers!$E$15,E130)),1,0))+IF(Classifiers!$F$15="",0,IF(ISNUMBER(SEARCH(Classifiers!$F$15,E130)),1,0))+IF(Classifiers!$G$15="",0,IF(ISNUMBER(SEARCH(Classifiers!$G$15,E130)),1,0)))&gt;0,1,0))</f>
        <v/>
      </c>
      <c r="U130" s="12">
        <f>IF(H130&lt;&gt;1,0,IF((IF(Classifiers!$B$16="",0,IF(ISNUMBER(SEARCH(Classifiers!$B$16,E130)),1,0))+IF(Classifiers!$C$16="",0,IF(ISNUMBER(SEARCH(Classifiers!$C$16,E130)),1,0))+IF(Classifiers!$D$16="",0,IF(ISNUMBER(SEARCH(Classifiers!$D$16,E130)),1,0))+IF(Classifiers!$E$16="",0,IF(ISNUMBER(SEARCH(Classifiers!$E$16,E130)),1,0))+IF(Classifiers!$F$16="",0,IF(ISNUMBER(SEARCH(Classifiers!$F$16,E130)),1,0))+IF(Classifiers!$G$16="",0,IF(ISNUMBER(SEARCH(Classifiers!$G$16,E130)),1,0)))&gt;0,1,0))</f>
        <v/>
      </c>
      <c r="V130" s="12">
        <f>IF(H130&lt;&gt;1,0,IF((IF(Classifiers!$B$17="",0,IF(ISNUMBER(SEARCH(Classifiers!$B$17,E130)),1,0))+IF(Classifiers!$C$17="",0,IF(ISNUMBER(SEARCH(Classifiers!$C$17,E130)),1,0))+IF(Classifiers!$D$17="",0,IF(ISNUMBER(SEARCH(Classifiers!$D$17,E130)),1,0))+IF(Classifiers!$E$17="",0,IF(ISNUMBER(SEARCH(Classifiers!$E$17,E130)),1,0))+IF(Classifiers!$F$17="",0,IF(ISNUMBER(SEARCH(Classifiers!$F$17,E130)),1,0))+IF(Classifiers!$G$17="",0,IF(ISNUMBER(SEARCH(Classifiers!$G$17,E130)),1,0)))&gt;0,1,0))</f>
        <v/>
      </c>
      <c r="W130" s="12">
        <f>IF(H130&lt;&gt;1,0,IF((IF(Classifiers!$B$18="",0,IF(ISNUMBER(SEARCH(Classifiers!$B$18,E130)),1,0))+IF(Classifiers!$C$18="",0,IF(ISNUMBER(SEARCH(Classifiers!$C$18,E130)),1,0))+IF(Classifiers!$D$18="",0,IF(ISNUMBER(SEARCH(Classifiers!$D$18,E130)),1,0))+IF(Classifiers!$E$18="",0,IF(ISNUMBER(SEARCH(Classifiers!$E$18,E130)),1,0))+IF(Classifiers!$F$18="",0,IF(ISNUMBER(SEARCH(Classifiers!$F$18,E130)),1,0))+IF(Classifiers!$G$18="",0,IF(ISNUMBER(SEARCH(Classifiers!$G$18,E130)),1,0)))&gt;0,1,0))</f>
        <v/>
      </c>
    </row>
    <row r="131">
      <c r="A131" s="8" t="n"/>
      <c r="B131" s="11" t="n"/>
      <c r="C131" s="6">
        <f>IF(A131="","",TRIM(RIGHT(SUBSTITUTE(A131,"/",REPT(" ",250)),250)))</f>
        <v/>
      </c>
      <c r="D131" s="6">
        <f>IF(C131="","",IF(ISNUMBER(SEARCH(".",C131)),LOWER("."&amp;TRIM(RIGHT(SUBSTITUTE(C131,".",REPT(" ",250)),250))),""))</f>
        <v/>
      </c>
      <c r="E131" s="6">
        <f>IF(C131="","",TRIM(SUBSTITUTE(SUBSTITUTE(SUBSTITUTE(SUBSTITUTE(SUBSTITUTE(SUBSTITUTE(SUBSTITUTE(SUBSTITUTE(SUBSTITUTE(SUBSTITUTE(SUBSTITUTE(SUBSTITUTE(SUBSTITUTE(SUBSTITUTE(SUBSTITUTE(SUBSTITUTE(SUBSTITUTE(SUBSTITUTE(SUBSTITUTE(SUBSTITUTE(LOWER(LEFT(C131,LEN(C131)-LEN(D131))),"_"," "),"-"," "),"."," "),","," "),"("," "),")"," "),"["," "),"]"," "),"&amp;"," "),"+"," "),"@"," "),"#"," "),"!"," "),"'"," "),"/"," "),":"," "),";"," "),"="," "),"~"," "),"%"," ")))</f>
        <v/>
      </c>
      <c r="F131" s="6">
        <f>IF(C131="","",IF(COUNTIF(Classifiers!$A$23:$A$40,D131)&gt;0,1,0))</f>
        <v/>
      </c>
      <c r="G131" s="6">
        <f>IF(C131="","",IF(COUNTIF(Classifiers!$C$23:$C$30,D131)&gt;0,IF((IF(ISNUMBER(SEARCH(Classifiers!$E$23,E131)),1,0)+IF(ISNUMBER(SEARCH(Classifiers!$E$24,E131)),1,0)+IF(ISNUMBER(SEARCH(Classifiers!$E$25,E131)),1,0)+IF(ISNUMBER(SEARCH(Classifiers!$E$26,E131)),1,0)+IF(ISNUMBER(SEARCH(Classifiers!$E$27,E131)),1,0)+IF(ISNUMBER(SEARCH(Classifiers!$E$28,E131)),1,0)+IF(ISNUMBER(SEARCH(Classifiers!$E$29,E131)),1,0)+IF(ISNUMBER(SEARCH(Classifiers!$E$30,E131)),1,0))&gt;0,1,0),0))</f>
        <v/>
      </c>
      <c r="H131" s="6">
        <f>IF(C131="","",IF(OR(LEFT(C131,1)=".",AND(F131=0,G131=0)),0,1))</f>
        <v/>
      </c>
      <c r="I131" s="6">
        <f>IF(H131&lt;&gt;1,"",IF(SUM(J131:W131)=0,"unclassified",INDEX(Classifiers!$A$5:$A$18,MATCH(1,J131:W131,0),1)))</f>
        <v/>
      </c>
      <c r="J131" s="12">
        <f>IF(H131&lt;&gt;1,0,IF((IF(Classifiers!$B$5="",0,IF(ISNUMBER(SEARCH(Classifiers!$B$5,E131)),1,0))+IF(Classifiers!$C$5="",0,IF(ISNUMBER(SEARCH(Classifiers!$C$5,E131)),1,0))+IF(Classifiers!$D$5="",0,IF(ISNUMBER(SEARCH(Classifiers!$D$5,E131)),1,0))+IF(Classifiers!$E$5="",0,IF(ISNUMBER(SEARCH(Classifiers!$E$5,E131)),1,0))+IF(Classifiers!$F$5="",0,IF(ISNUMBER(SEARCH(Classifiers!$F$5,E131)),1,0))+IF(Classifiers!$G$5="",0,IF(ISNUMBER(SEARCH(Classifiers!$G$5,E131)),1,0)))&gt;0,1,0))</f>
        <v/>
      </c>
      <c r="K131" s="12">
        <f>IF(H131&lt;&gt;1,0,IF((IF(Classifiers!$B$6="",0,IF(ISNUMBER(SEARCH(Classifiers!$B$6,E131)),1,0))+IF(Classifiers!$C$6="",0,IF(ISNUMBER(SEARCH(Classifiers!$C$6,E131)),1,0))+IF(Classifiers!$D$6="",0,IF(ISNUMBER(SEARCH(Classifiers!$D$6,E131)),1,0))+IF(Classifiers!$E$6="",0,IF(ISNUMBER(SEARCH(Classifiers!$E$6,E131)),1,0))+IF(Classifiers!$F$6="",0,IF(ISNUMBER(SEARCH(Classifiers!$F$6,E131)),1,0))+IF(Classifiers!$G$6="",0,IF(ISNUMBER(SEARCH(Classifiers!$G$6,E131)),1,0)))&gt;0,1,0))</f>
        <v/>
      </c>
      <c r="L131" s="12">
        <f>IF(H131&lt;&gt;1,0,IF((IF(Classifiers!$B$7="",0,IF(ISNUMBER(SEARCH(Classifiers!$B$7,E131)),1,0))+IF(Classifiers!$C$7="",0,IF(ISNUMBER(SEARCH(Classifiers!$C$7,E131)),1,0))+IF(Classifiers!$D$7="",0,IF(ISNUMBER(SEARCH(Classifiers!$D$7,E131)),1,0))+IF(Classifiers!$E$7="",0,IF(ISNUMBER(SEARCH(Classifiers!$E$7,E131)),1,0))+IF(Classifiers!$F$7="",0,IF(ISNUMBER(SEARCH(Classifiers!$F$7,E131)),1,0))+IF(Classifiers!$G$7="",0,IF(ISNUMBER(SEARCH(Classifiers!$G$7,E131)),1,0)))&gt;0,1,0))</f>
        <v/>
      </c>
      <c r="M131" s="12">
        <f>IF(H131&lt;&gt;1,0,IF((IF(Classifiers!$B$8="",0,IF(ISNUMBER(SEARCH(Classifiers!$B$8,E131)),1,0))+IF(Classifiers!$C$8="",0,IF(ISNUMBER(SEARCH(Classifiers!$C$8,E131)),1,0))+IF(Classifiers!$D$8="",0,IF(ISNUMBER(SEARCH(Classifiers!$D$8,E131)),1,0))+IF(Classifiers!$E$8="",0,IF(ISNUMBER(SEARCH(Classifiers!$E$8,E131)),1,0))+IF(Classifiers!$F$8="",0,IF(ISNUMBER(SEARCH(Classifiers!$F$8,E131)),1,0))+IF(Classifiers!$G$8="",0,IF(ISNUMBER(SEARCH(Classifiers!$G$8,E131)),1,0)))&gt;0,1,0))</f>
        <v/>
      </c>
      <c r="N131" s="12">
        <f>IF(H131&lt;&gt;1,0,IF((IF(Classifiers!$B$9="",0,IF(ISNUMBER(SEARCH(Classifiers!$B$9,E131)),1,0))+IF(Classifiers!$C$9="",0,IF(ISNUMBER(SEARCH(Classifiers!$C$9,E131)),1,0))+IF(Classifiers!$D$9="",0,IF(ISNUMBER(SEARCH(Classifiers!$D$9,E131)),1,0))+IF(Classifiers!$E$9="",0,IF(ISNUMBER(SEARCH(Classifiers!$E$9,E131)),1,0))+IF(Classifiers!$F$9="",0,IF(ISNUMBER(SEARCH(Classifiers!$F$9,E131)),1,0))+IF(Classifiers!$G$9="",0,IF(ISNUMBER(SEARCH(Classifiers!$G$9,E131)),1,0)))&gt;0,1,0))</f>
        <v/>
      </c>
      <c r="O131" s="12">
        <f>IF(H131&lt;&gt;1,0,IF((IF(Classifiers!$B$10="",0,IF(ISNUMBER(SEARCH(Classifiers!$B$10,E131)),1,0))+IF(Classifiers!$C$10="",0,IF(ISNUMBER(SEARCH(Classifiers!$C$10,E131)),1,0))+IF(Classifiers!$D$10="",0,IF(ISNUMBER(SEARCH(Classifiers!$D$10,E131)),1,0))+IF(Classifiers!$E$10="",0,IF(ISNUMBER(SEARCH(Classifiers!$E$10,E131)),1,0))+IF(Classifiers!$F$10="",0,IF(ISNUMBER(SEARCH(Classifiers!$F$10,E131)),1,0))+IF(Classifiers!$G$10="",0,IF(ISNUMBER(SEARCH(Classifiers!$G$10,E131)),1,0)))&gt;0,1,0))</f>
        <v/>
      </c>
      <c r="P131" s="12">
        <f>IF(H131&lt;&gt;1,0,IF((IF(Classifiers!$B$11="",0,IF(ISNUMBER(SEARCH(Classifiers!$B$11,E131)),1,0))+IF(Classifiers!$C$11="",0,IF(ISNUMBER(SEARCH(Classifiers!$C$11,E131)),1,0))+IF(Classifiers!$D$11="",0,IF(ISNUMBER(SEARCH(Classifiers!$D$11,E131)),1,0))+IF(Classifiers!$E$11="",0,IF(ISNUMBER(SEARCH(Classifiers!$E$11,E131)),1,0))+IF(Classifiers!$F$11="",0,IF(ISNUMBER(SEARCH(Classifiers!$F$11,E131)),1,0))+IF(Classifiers!$G$11="",0,IF(ISNUMBER(SEARCH(Classifiers!$G$11,E131)),1,0)))&gt;0,1,0))</f>
        <v/>
      </c>
      <c r="Q131" s="12">
        <f>IF(H131&lt;&gt;1,0,IF((IF(Classifiers!$B$12="",0,IF(ISNUMBER(SEARCH(Classifiers!$B$12,E131)),1,0))+IF(Classifiers!$C$12="",0,IF(ISNUMBER(SEARCH(Classifiers!$C$12,E131)),1,0))+IF(Classifiers!$D$12="",0,IF(ISNUMBER(SEARCH(Classifiers!$D$12,E131)),1,0))+IF(Classifiers!$E$12="",0,IF(ISNUMBER(SEARCH(Classifiers!$E$12,E131)),1,0))+IF(Classifiers!$F$12="",0,IF(ISNUMBER(SEARCH(Classifiers!$F$12,E131)),1,0))+IF(Classifiers!$G$12="",0,IF(ISNUMBER(SEARCH(Classifiers!$G$12,E131)),1,0)))&gt;0,1,0))</f>
        <v/>
      </c>
      <c r="R131" s="12">
        <f>IF(H131&lt;&gt;1,0,IF((IF(Classifiers!$B$13="",0,IF(ISNUMBER(SEARCH(Classifiers!$B$13,E131)),1,0))+IF(Classifiers!$C$13="",0,IF(ISNUMBER(SEARCH(Classifiers!$C$13,E131)),1,0))+IF(Classifiers!$D$13="",0,IF(ISNUMBER(SEARCH(Classifiers!$D$13,E131)),1,0))+IF(Classifiers!$E$13="",0,IF(ISNUMBER(SEARCH(Classifiers!$E$13,E131)),1,0))+IF(Classifiers!$F$13="",0,IF(ISNUMBER(SEARCH(Classifiers!$F$13,E131)),1,0))+IF(Classifiers!$G$13="",0,IF(ISNUMBER(SEARCH(Classifiers!$G$13,E131)),1,0)))&gt;0,1,0))</f>
        <v/>
      </c>
      <c r="S131" s="12">
        <f>IF(H131&lt;&gt;1,0,IF((IF(Classifiers!$B$14="",0,IF(ISNUMBER(SEARCH(Classifiers!$B$14,E131)),1,0))+IF(Classifiers!$C$14="",0,IF(ISNUMBER(SEARCH(Classifiers!$C$14,E131)),1,0))+IF(Classifiers!$D$14="",0,IF(ISNUMBER(SEARCH(Classifiers!$D$14,E131)),1,0))+IF(Classifiers!$E$14="",0,IF(ISNUMBER(SEARCH(Classifiers!$E$14,E131)),1,0))+IF(Classifiers!$F$14="",0,IF(ISNUMBER(SEARCH(Classifiers!$F$14,E131)),1,0))+IF(Classifiers!$G$14="",0,IF(ISNUMBER(SEARCH(Classifiers!$G$14,E131)),1,0)))&gt;0,1,0))</f>
        <v/>
      </c>
      <c r="T131" s="12">
        <f>IF(H131&lt;&gt;1,0,IF((IF(Classifiers!$B$15="",0,IF(ISNUMBER(SEARCH(Classifiers!$B$15,E131)),1,0))+IF(Classifiers!$C$15="",0,IF(ISNUMBER(SEARCH(Classifiers!$C$15,E131)),1,0))+IF(Classifiers!$D$15="",0,IF(ISNUMBER(SEARCH(Classifiers!$D$15,E131)),1,0))+IF(Classifiers!$E$15="",0,IF(ISNUMBER(SEARCH(Classifiers!$E$15,E131)),1,0))+IF(Classifiers!$F$15="",0,IF(ISNUMBER(SEARCH(Classifiers!$F$15,E131)),1,0))+IF(Classifiers!$G$15="",0,IF(ISNUMBER(SEARCH(Classifiers!$G$15,E131)),1,0)))&gt;0,1,0))</f>
        <v/>
      </c>
      <c r="U131" s="12">
        <f>IF(H131&lt;&gt;1,0,IF((IF(Classifiers!$B$16="",0,IF(ISNUMBER(SEARCH(Classifiers!$B$16,E131)),1,0))+IF(Classifiers!$C$16="",0,IF(ISNUMBER(SEARCH(Classifiers!$C$16,E131)),1,0))+IF(Classifiers!$D$16="",0,IF(ISNUMBER(SEARCH(Classifiers!$D$16,E131)),1,0))+IF(Classifiers!$E$16="",0,IF(ISNUMBER(SEARCH(Classifiers!$E$16,E131)),1,0))+IF(Classifiers!$F$16="",0,IF(ISNUMBER(SEARCH(Classifiers!$F$16,E131)),1,0))+IF(Classifiers!$G$16="",0,IF(ISNUMBER(SEARCH(Classifiers!$G$16,E131)),1,0)))&gt;0,1,0))</f>
        <v/>
      </c>
      <c r="V131" s="12">
        <f>IF(H131&lt;&gt;1,0,IF((IF(Classifiers!$B$17="",0,IF(ISNUMBER(SEARCH(Classifiers!$B$17,E131)),1,0))+IF(Classifiers!$C$17="",0,IF(ISNUMBER(SEARCH(Classifiers!$C$17,E131)),1,0))+IF(Classifiers!$D$17="",0,IF(ISNUMBER(SEARCH(Classifiers!$D$17,E131)),1,0))+IF(Classifiers!$E$17="",0,IF(ISNUMBER(SEARCH(Classifiers!$E$17,E131)),1,0))+IF(Classifiers!$F$17="",0,IF(ISNUMBER(SEARCH(Classifiers!$F$17,E131)),1,0))+IF(Classifiers!$G$17="",0,IF(ISNUMBER(SEARCH(Classifiers!$G$17,E131)),1,0)))&gt;0,1,0))</f>
        <v/>
      </c>
      <c r="W131" s="12">
        <f>IF(H131&lt;&gt;1,0,IF((IF(Classifiers!$B$18="",0,IF(ISNUMBER(SEARCH(Classifiers!$B$18,E131)),1,0))+IF(Classifiers!$C$18="",0,IF(ISNUMBER(SEARCH(Classifiers!$C$18,E131)),1,0))+IF(Classifiers!$D$18="",0,IF(ISNUMBER(SEARCH(Classifiers!$D$18,E131)),1,0))+IF(Classifiers!$E$18="",0,IF(ISNUMBER(SEARCH(Classifiers!$E$18,E131)),1,0))+IF(Classifiers!$F$18="",0,IF(ISNUMBER(SEARCH(Classifiers!$F$18,E131)),1,0))+IF(Classifiers!$G$18="",0,IF(ISNUMBER(SEARCH(Classifiers!$G$18,E131)),1,0)))&gt;0,1,0))</f>
        <v/>
      </c>
    </row>
    <row r="132">
      <c r="A132" s="8" t="n"/>
      <c r="B132" s="11" t="n"/>
      <c r="C132" s="6">
        <f>IF(A132="","",TRIM(RIGHT(SUBSTITUTE(A132,"/",REPT(" ",250)),250)))</f>
        <v/>
      </c>
      <c r="D132" s="6">
        <f>IF(C132="","",IF(ISNUMBER(SEARCH(".",C132)),LOWER("."&amp;TRIM(RIGHT(SUBSTITUTE(C132,".",REPT(" ",250)),250))),""))</f>
        <v/>
      </c>
      <c r="E132" s="6">
        <f>IF(C132="","",TRIM(SUBSTITUTE(SUBSTITUTE(SUBSTITUTE(SUBSTITUTE(SUBSTITUTE(SUBSTITUTE(SUBSTITUTE(SUBSTITUTE(SUBSTITUTE(SUBSTITUTE(SUBSTITUTE(SUBSTITUTE(SUBSTITUTE(SUBSTITUTE(SUBSTITUTE(SUBSTITUTE(SUBSTITUTE(SUBSTITUTE(SUBSTITUTE(SUBSTITUTE(LOWER(LEFT(C132,LEN(C132)-LEN(D132))),"_"," "),"-"," "),"."," "),","," "),"("," "),")"," "),"["," "),"]"," "),"&amp;"," "),"+"," "),"@"," "),"#"," "),"!"," "),"'"," "),"/"," "),":"," "),";"," "),"="," "),"~"," "),"%"," ")))</f>
        <v/>
      </c>
      <c r="F132" s="6">
        <f>IF(C132="","",IF(COUNTIF(Classifiers!$A$23:$A$40,D132)&gt;0,1,0))</f>
        <v/>
      </c>
      <c r="G132" s="6">
        <f>IF(C132="","",IF(COUNTIF(Classifiers!$C$23:$C$30,D132)&gt;0,IF((IF(ISNUMBER(SEARCH(Classifiers!$E$23,E132)),1,0)+IF(ISNUMBER(SEARCH(Classifiers!$E$24,E132)),1,0)+IF(ISNUMBER(SEARCH(Classifiers!$E$25,E132)),1,0)+IF(ISNUMBER(SEARCH(Classifiers!$E$26,E132)),1,0)+IF(ISNUMBER(SEARCH(Classifiers!$E$27,E132)),1,0)+IF(ISNUMBER(SEARCH(Classifiers!$E$28,E132)),1,0)+IF(ISNUMBER(SEARCH(Classifiers!$E$29,E132)),1,0)+IF(ISNUMBER(SEARCH(Classifiers!$E$30,E132)),1,0))&gt;0,1,0),0))</f>
        <v/>
      </c>
      <c r="H132" s="6">
        <f>IF(C132="","",IF(OR(LEFT(C132,1)=".",AND(F132=0,G132=0)),0,1))</f>
        <v/>
      </c>
      <c r="I132" s="6">
        <f>IF(H132&lt;&gt;1,"",IF(SUM(J132:W132)=0,"unclassified",INDEX(Classifiers!$A$5:$A$18,MATCH(1,J132:W132,0),1)))</f>
        <v/>
      </c>
      <c r="J132" s="12">
        <f>IF(H132&lt;&gt;1,0,IF((IF(Classifiers!$B$5="",0,IF(ISNUMBER(SEARCH(Classifiers!$B$5,E132)),1,0))+IF(Classifiers!$C$5="",0,IF(ISNUMBER(SEARCH(Classifiers!$C$5,E132)),1,0))+IF(Classifiers!$D$5="",0,IF(ISNUMBER(SEARCH(Classifiers!$D$5,E132)),1,0))+IF(Classifiers!$E$5="",0,IF(ISNUMBER(SEARCH(Classifiers!$E$5,E132)),1,0))+IF(Classifiers!$F$5="",0,IF(ISNUMBER(SEARCH(Classifiers!$F$5,E132)),1,0))+IF(Classifiers!$G$5="",0,IF(ISNUMBER(SEARCH(Classifiers!$G$5,E132)),1,0)))&gt;0,1,0))</f>
        <v/>
      </c>
      <c r="K132" s="12">
        <f>IF(H132&lt;&gt;1,0,IF((IF(Classifiers!$B$6="",0,IF(ISNUMBER(SEARCH(Classifiers!$B$6,E132)),1,0))+IF(Classifiers!$C$6="",0,IF(ISNUMBER(SEARCH(Classifiers!$C$6,E132)),1,0))+IF(Classifiers!$D$6="",0,IF(ISNUMBER(SEARCH(Classifiers!$D$6,E132)),1,0))+IF(Classifiers!$E$6="",0,IF(ISNUMBER(SEARCH(Classifiers!$E$6,E132)),1,0))+IF(Classifiers!$F$6="",0,IF(ISNUMBER(SEARCH(Classifiers!$F$6,E132)),1,0))+IF(Classifiers!$G$6="",0,IF(ISNUMBER(SEARCH(Classifiers!$G$6,E132)),1,0)))&gt;0,1,0))</f>
        <v/>
      </c>
      <c r="L132" s="12">
        <f>IF(H132&lt;&gt;1,0,IF((IF(Classifiers!$B$7="",0,IF(ISNUMBER(SEARCH(Classifiers!$B$7,E132)),1,0))+IF(Classifiers!$C$7="",0,IF(ISNUMBER(SEARCH(Classifiers!$C$7,E132)),1,0))+IF(Classifiers!$D$7="",0,IF(ISNUMBER(SEARCH(Classifiers!$D$7,E132)),1,0))+IF(Classifiers!$E$7="",0,IF(ISNUMBER(SEARCH(Classifiers!$E$7,E132)),1,0))+IF(Classifiers!$F$7="",0,IF(ISNUMBER(SEARCH(Classifiers!$F$7,E132)),1,0))+IF(Classifiers!$G$7="",0,IF(ISNUMBER(SEARCH(Classifiers!$G$7,E132)),1,0)))&gt;0,1,0))</f>
        <v/>
      </c>
      <c r="M132" s="12">
        <f>IF(H132&lt;&gt;1,0,IF((IF(Classifiers!$B$8="",0,IF(ISNUMBER(SEARCH(Classifiers!$B$8,E132)),1,0))+IF(Classifiers!$C$8="",0,IF(ISNUMBER(SEARCH(Classifiers!$C$8,E132)),1,0))+IF(Classifiers!$D$8="",0,IF(ISNUMBER(SEARCH(Classifiers!$D$8,E132)),1,0))+IF(Classifiers!$E$8="",0,IF(ISNUMBER(SEARCH(Classifiers!$E$8,E132)),1,0))+IF(Classifiers!$F$8="",0,IF(ISNUMBER(SEARCH(Classifiers!$F$8,E132)),1,0))+IF(Classifiers!$G$8="",0,IF(ISNUMBER(SEARCH(Classifiers!$G$8,E132)),1,0)))&gt;0,1,0))</f>
        <v/>
      </c>
      <c r="N132" s="12">
        <f>IF(H132&lt;&gt;1,0,IF((IF(Classifiers!$B$9="",0,IF(ISNUMBER(SEARCH(Classifiers!$B$9,E132)),1,0))+IF(Classifiers!$C$9="",0,IF(ISNUMBER(SEARCH(Classifiers!$C$9,E132)),1,0))+IF(Classifiers!$D$9="",0,IF(ISNUMBER(SEARCH(Classifiers!$D$9,E132)),1,0))+IF(Classifiers!$E$9="",0,IF(ISNUMBER(SEARCH(Classifiers!$E$9,E132)),1,0))+IF(Classifiers!$F$9="",0,IF(ISNUMBER(SEARCH(Classifiers!$F$9,E132)),1,0))+IF(Classifiers!$G$9="",0,IF(ISNUMBER(SEARCH(Classifiers!$G$9,E132)),1,0)))&gt;0,1,0))</f>
        <v/>
      </c>
      <c r="O132" s="12">
        <f>IF(H132&lt;&gt;1,0,IF((IF(Classifiers!$B$10="",0,IF(ISNUMBER(SEARCH(Classifiers!$B$10,E132)),1,0))+IF(Classifiers!$C$10="",0,IF(ISNUMBER(SEARCH(Classifiers!$C$10,E132)),1,0))+IF(Classifiers!$D$10="",0,IF(ISNUMBER(SEARCH(Classifiers!$D$10,E132)),1,0))+IF(Classifiers!$E$10="",0,IF(ISNUMBER(SEARCH(Classifiers!$E$10,E132)),1,0))+IF(Classifiers!$F$10="",0,IF(ISNUMBER(SEARCH(Classifiers!$F$10,E132)),1,0))+IF(Classifiers!$G$10="",0,IF(ISNUMBER(SEARCH(Classifiers!$G$10,E132)),1,0)))&gt;0,1,0))</f>
        <v/>
      </c>
      <c r="P132" s="12">
        <f>IF(H132&lt;&gt;1,0,IF((IF(Classifiers!$B$11="",0,IF(ISNUMBER(SEARCH(Classifiers!$B$11,E132)),1,0))+IF(Classifiers!$C$11="",0,IF(ISNUMBER(SEARCH(Classifiers!$C$11,E132)),1,0))+IF(Classifiers!$D$11="",0,IF(ISNUMBER(SEARCH(Classifiers!$D$11,E132)),1,0))+IF(Classifiers!$E$11="",0,IF(ISNUMBER(SEARCH(Classifiers!$E$11,E132)),1,0))+IF(Classifiers!$F$11="",0,IF(ISNUMBER(SEARCH(Classifiers!$F$11,E132)),1,0))+IF(Classifiers!$G$11="",0,IF(ISNUMBER(SEARCH(Classifiers!$G$11,E132)),1,0)))&gt;0,1,0))</f>
        <v/>
      </c>
      <c r="Q132" s="12">
        <f>IF(H132&lt;&gt;1,0,IF((IF(Classifiers!$B$12="",0,IF(ISNUMBER(SEARCH(Classifiers!$B$12,E132)),1,0))+IF(Classifiers!$C$12="",0,IF(ISNUMBER(SEARCH(Classifiers!$C$12,E132)),1,0))+IF(Classifiers!$D$12="",0,IF(ISNUMBER(SEARCH(Classifiers!$D$12,E132)),1,0))+IF(Classifiers!$E$12="",0,IF(ISNUMBER(SEARCH(Classifiers!$E$12,E132)),1,0))+IF(Classifiers!$F$12="",0,IF(ISNUMBER(SEARCH(Classifiers!$F$12,E132)),1,0))+IF(Classifiers!$G$12="",0,IF(ISNUMBER(SEARCH(Classifiers!$G$12,E132)),1,0)))&gt;0,1,0))</f>
        <v/>
      </c>
      <c r="R132" s="12">
        <f>IF(H132&lt;&gt;1,0,IF((IF(Classifiers!$B$13="",0,IF(ISNUMBER(SEARCH(Classifiers!$B$13,E132)),1,0))+IF(Classifiers!$C$13="",0,IF(ISNUMBER(SEARCH(Classifiers!$C$13,E132)),1,0))+IF(Classifiers!$D$13="",0,IF(ISNUMBER(SEARCH(Classifiers!$D$13,E132)),1,0))+IF(Classifiers!$E$13="",0,IF(ISNUMBER(SEARCH(Classifiers!$E$13,E132)),1,0))+IF(Classifiers!$F$13="",0,IF(ISNUMBER(SEARCH(Classifiers!$F$13,E132)),1,0))+IF(Classifiers!$G$13="",0,IF(ISNUMBER(SEARCH(Classifiers!$G$13,E132)),1,0)))&gt;0,1,0))</f>
        <v/>
      </c>
      <c r="S132" s="12">
        <f>IF(H132&lt;&gt;1,0,IF((IF(Classifiers!$B$14="",0,IF(ISNUMBER(SEARCH(Classifiers!$B$14,E132)),1,0))+IF(Classifiers!$C$14="",0,IF(ISNUMBER(SEARCH(Classifiers!$C$14,E132)),1,0))+IF(Classifiers!$D$14="",0,IF(ISNUMBER(SEARCH(Classifiers!$D$14,E132)),1,0))+IF(Classifiers!$E$14="",0,IF(ISNUMBER(SEARCH(Classifiers!$E$14,E132)),1,0))+IF(Classifiers!$F$14="",0,IF(ISNUMBER(SEARCH(Classifiers!$F$14,E132)),1,0))+IF(Classifiers!$G$14="",0,IF(ISNUMBER(SEARCH(Classifiers!$G$14,E132)),1,0)))&gt;0,1,0))</f>
        <v/>
      </c>
      <c r="T132" s="12">
        <f>IF(H132&lt;&gt;1,0,IF((IF(Classifiers!$B$15="",0,IF(ISNUMBER(SEARCH(Classifiers!$B$15,E132)),1,0))+IF(Classifiers!$C$15="",0,IF(ISNUMBER(SEARCH(Classifiers!$C$15,E132)),1,0))+IF(Classifiers!$D$15="",0,IF(ISNUMBER(SEARCH(Classifiers!$D$15,E132)),1,0))+IF(Classifiers!$E$15="",0,IF(ISNUMBER(SEARCH(Classifiers!$E$15,E132)),1,0))+IF(Classifiers!$F$15="",0,IF(ISNUMBER(SEARCH(Classifiers!$F$15,E132)),1,0))+IF(Classifiers!$G$15="",0,IF(ISNUMBER(SEARCH(Classifiers!$G$15,E132)),1,0)))&gt;0,1,0))</f>
        <v/>
      </c>
      <c r="U132" s="12">
        <f>IF(H132&lt;&gt;1,0,IF((IF(Classifiers!$B$16="",0,IF(ISNUMBER(SEARCH(Classifiers!$B$16,E132)),1,0))+IF(Classifiers!$C$16="",0,IF(ISNUMBER(SEARCH(Classifiers!$C$16,E132)),1,0))+IF(Classifiers!$D$16="",0,IF(ISNUMBER(SEARCH(Classifiers!$D$16,E132)),1,0))+IF(Classifiers!$E$16="",0,IF(ISNUMBER(SEARCH(Classifiers!$E$16,E132)),1,0))+IF(Classifiers!$F$16="",0,IF(ISNUMBER(SEARCH(Classifiers!$F$16,E132)),1,0))+IF(Classifiers!$G$16="",0,IF(ISNUMBER(SEARCH(Classifiers!$G$16,E132)),1,0)))&gt;0,1,0))</f>
        <v/>
      </c>
      <c r="V132" s="12">
        <f>IF(H132&lt;&gt;1,0,IF((IF(Classifiers!$B$17="",0,IF(ISNUMBER(SEARCH(Classifiers!$B$17,E132)),1,0))+IF(Classifiers!$C$17="",0,IF(ISNUMBER(SEARCH(Classifiers!$C$17,E132)),1,0))+IF(Classifiers!$D$17="",0,IF(ISNUMBER(SEARCH(Classifiers!$D$17,E132)),1,0))+IF(Classifiers!$E$17="",0,IF(ISNUMBER(SEARCH(Classifiers!$E$17,E132)),1,0))+IF(Classifiers!$F$17="",0,IF(ISNUMBER(SEARCH(Classifiers!$F$17,E132)),1,0))+IF(Classifiers!$G$17="",0,IF(ISNUMBER(SEARCH(Classifiers!$G$17,E132)),1,0)))&gt;0,1,0))</f>
        <v/>
      </c>
      <c r="W132" s="12">
        <f>IF(H132&lt;&gt;1,0,IF((IF(Classifiers!$B$18="",0,IF(ISNUMBER(SEARCH(Classifiers!$B$18,E132)),1,0))+IF(Classifiers!$C$18="",0,IF(ISNUMBER(SEARCH(Classifiers!$C$18,E132)),1,0))+IF(Classifiers!$D$18="",0,IF(ISNUMBER(SEARCH(Classifiers!$D$18,E132)),1,0))+IF(Classifiers!$E$18="",0,IF(ISNUMBER(SEARCH(Classifiers!$E$18,E132)),1,0))+IF(Classifiers!$F$18="",0,IF(ISNUMBER(SEARCH(Classifiers!$F$18,E132)),1,0))+IF(Classifiers!$G$18="",0,IF(ISNUMBER(SEARCH(Classifiers!$G$18,E132)),1,0)))&gt;0,1,0))</f>
        <v/>
      </c>
    </row>
    <row r="133">
      <c r="A133" s="8" t="n"/>
      <c r="B133" s="11" t="n"/>
      <c r="C133" s="6">
        <f>IF(A133="","",TRIM(RIGHT(SUBSTITUTE(A133,"/",REPT(" ",250)),250)))</f>
        <v/>
      </c>
      <c r="D133" s="6">
        <f>IF(C133="","",IF(ISNUMBER(SEARCH(".",C133)),LOWER("."&amp;TRIM(RIGHT(SUBSTITUTE(C133,".",REPT(" ",250)),250))),""))</f>
        <v/>
      </c>
      <c r="E133" s="6">
        <f>IF(C133="","",TRIM(SUBSTITUTE(SUBSTITUTE(SUBSTITUTE(SUBSTITUTE(SUBSTITUTE(SUBSTITUTE(SUBSTITUTE(SUBSTITUTE(SUBSTITUTE(SUBSTITUTE(SUBSTITUTE(SUBSTITUTE(SUBSTITUTE(SUBSTITUTE(SUBSTITUTE(SUBSTITUTE(SUBSTITUTE(SUBSTITUTE(SUBSTITUTE(SUBSTITUTE(LOWER(LEFT(C133,LEN(C133)-LEN(D133))),"_"," "),"-"," "),"."," "),","," "),"("," "),")"," "),"["," "),"]"," "),"&amp;"," "),"+"," "),"@"," "),"#"," "),"!"," "),"'"," "),"/"," "),":"," "),";"," "),"="," "),"~"," "),"%"," ")))</f>
        <v/>
      </c>
      <c r="F133" s="6">
        <f>IF(C133="","",IF(COUNTIF(Classifiers!$A$23:$A$40,D133)&gt;0,1,0))</f>
        <v/>
      </c>
      <c r="G133" s="6">
        <f>IF(C133="","",IF(COUNTIF(Classifiers!$C$23:$C$30,D133)&gt;0,IF((IF(ISNUMBER(SEARCH(Classifiers!$E$23,E133)),1,0)+IF(ISNUMBER(SEARCH(Classifiers!$E$24,E133)),1,0)+IF(ISNUMBER(SEARCH(Classifiers!$E$25,E133)),1,0)+IF(ISNUMBER(SEARCH(Classifiers!$E$26,E133)),1,0)+IF(ISNUMBER(SEARCH(Classifiers!$E$27,E133)),1,0)+IF(ISNUMBER(SEARCH(Classifiers!$E$28,E133)),1,0)+IF(ISNUMBER(SEARCH(Classifiers!$E$29,E133)),1,0)+IF(ISNUMBER(SEARCH(Classifiers!$E$30,E133)),1,0))&gt;0,1,0),0))</f>
        <v/>
      </c>
      <c r="H133" s="6">
        <f>IF(C133="","",IF(OR(LEFT(C133,1)=".",AND(F133=0,G133=0)),0,1))</f>
        <v/>
      </c>
      <c r="I133" s="6">
        <f>IF(H133&lt;&gt;1,"",IF(SUM(J133:W133)=0,"unclassified",INDEX(Classifiers!$A$5:$A$18,MATCH(1,J133:W133,0),1)))</f>
        <v/>
      </c>
      <c r="J133" s="12">
        <f>IF(H133&lt;&gt;1,0,IF((IF(Classifiers!$B$5="",0,IF(ISNUMBER(SEARCH(Classifiers!$B$5,E133)),1,0))+IF(Classifiers!$C$5="",0,IF(ISNUMBER(SEARCH(Classifiers!$C$5,E133)),1,0))+IF(Classifiers!$D$5="",0,IF(ISNUMBER(SEARCH(Classifiers!$D$5,E133)),1,0))+IF(Classifiers!$E$5="",0,IF(ISNUMBER(SEARCH(Classifiers!$E$5,E133)),1,0))+IF(Classifiers!$F$5="",0,IF(ISNUMBER(SEARCH(Classifiers!$F$5,E133)),1,0))+IF(Classifiers!$G$5="",0,IF(ISNUMBER(SEARCH(Classifiers!$G$5,E133)),1,0)))&gt;0,1,0))</f>
        <v/>
      </c>
      <c r="K133" s="12">
        <f>IF(H133&lt;&gt;1,0,IF((IF(Classifiers!$B$6="",0,IF(ISNUMBER(SEARCH(Classifiers!$B$6,E133)),1,0))+IF(Classifiers!$C$6="",0,IF(ISNUMBER(SEARCH(Classifiers!$C$6,E133)),1,0))+IF(Classifiers!$D$6="",0,IF(ISNUMBER(SEARCH(Classifiers!$D$6,E133)),1,0))+IF(Classifiers!$E$6="",0,IF(ISNUMBER(SEARCH(Classifiers!$E$6,E133)),1,0))+IF(Classifiers!$F$6="",0,IF(ISNUMBER(SEARCH(Classifiers!$F$6,E133)),1,0))+IF(Classifiers!$G$6="",0,IF(ISNUMBER(SEARCH(Classifiers!$G$6,E133)),1,0)))&gt;0,1,0))</f>
        <v/>
      </c>
      <c r="L133" s="12">
        <f>IF(H133&lt;&gt;1,0,IF((IF(Classifiers!$B$7="",0,IF(ISNUMBER(SEARCH(Classifiers!$B$7,E133)),1,0))+IF(Classifiers!$C$7="",0,IF(ISNUMBER(SEARCH(Classifiers!$C$7,E133)),1,0))+IF(Classifiers!$D$7="",0,IF(ISNUMBER(SEARCH(Classifiers!$D$7,E133)),1,0))+IF(Classifiers!$E$7="",0,IF(ISNUMBER(SEARCH(Classifiers!$E$7,E133)),1,0))+IF(Classifiers!$F$7="",0,IF(ISNUMBER(SEARCH(Classifiers!$F$7,E133)),1,0))+IF(Classifiers!$G$7="",0,IF(ISNUMBER(SEARCH(Classifiers!$G$7,E133)),1,0)))&gt;0,1,0))</f>
        <v/>
      </c>
      <c r="M133" s="12">
        <f>IF(H133&lt;&gt;1,0,IF((IF(Classifiers!$B$8="",0,IF(ISNUMBER(SEARCH(Classifiers!$B$8,E133)),1,0))+IF(Classifiers!$C$8="",0,IF(ISNUMBER(SEARCH(Classifiers!$C$8,E133)),1,0))+IF(Classifiers!$D$8="",0,IF(ISNUMBER(SEARCH(Classifiers!$D$8,E133)),1,0))+IF(Classifiers!$E$8="",0,IF(ISNUMBER(SEARCH(Classifiers!$E$8,E133)),1,0))+IF(Classifiers!$F$8="",0,IF(ISNUMBER(SEARCH(Classifiers!$F$8,E133)),1,0))+IF(Classifiers!$G$8="",0,IF(ISNUMBER(SEARCH(Classifiers!$G$8,E133)),1,0)))&gt;0,1,0))</f>
        <v/>
      </c>
      <c r="N133" s="12">
        <f>IF(H133&lt;&gt;1,0,IF((IF(Classifiers!$B$9="",0,IF(ISNUMBER(SEARCH(Classifiers!$B$9,E133)),1,0))+IF(Classifiers!$C$9="",0,IF(ISNUMBER(SEARCH(Classifiers!$C$9,E133)),1,0))+IF(Classifiers!$D$9="",0,IF(ISNUMBER(SEARCH(Classifiers!$D$9,E133)),1,0))+IF(Classifiers!$E$9="",0,IF(ISNUMBER(SEARCH(Classifiers!$E$9,E133)),1,0))+IF(Classifiers!$F$9="",0,IF(ISNUMBER(SEARCH(Classifiers!$F$9,E133)),1,0))+IF(Classifiers!$G$9="",0,IF(ISNUMBER(SEARCH(Classifiers!$G$9,E133)),1,0)))&gt;0,1,0))</f>
        <v/>
      </c>
      <c r="O133" s="12">
        <f>IF(H133&lt;&gt;1,0,IF((IF(Classifiers!$B$10="",0,IF(ISNUMBER(SEARCH(Classifiers!$B$10,E133)),1,0))+IF(Classifiers!$C$10="",0,IF(ISNUMBER(SEARCH(Classifiers!$C$10,E133)),1,0))+IF(Classifiers!$D$10="",0,IF(ISNUMBER(SEARCH(Classifiers!$D$10,E133)),1,0))+IF(Classifiers!$E$10="",0,IF(ISNUMBER(SEARCH(Classifiers!$E$10,E133)),1,0))+IF(Classifiers!$F$10="",0,IF(ISNUMBER(SEARCH(Classifiers!$F$10,E133)),1,0))+IF(Classifiers!$G$10="",0,IF(ISNUMBER(SEARCH(Classifiers!$G$10,E133)),1,0)))&gt;0,1,0))</f>
        <v/>
      </c>
      <c r="P133" s="12">
        <f>IF(H133&lt;&gt;1,0,IF((IF(Classifiers!$B$11="",0,IF(ISNUMBER(SEARCH(Classifiers!$B$11,E133)),1,0))+IF(Classifiers!$C$11="",0,IF(ISNUMBER(SEARCH(Classifiers!$C$11,E133)),1,0))+IF(Classifiers!$D$11="",0,IF(ISNUMBER(SEARCH(Classifiers!$D$11,E133)),1,0))+IF(Classifiers!$E$11="",0,IF(ISNUMBER(SEARCH(Classifiers!$E$11,E133)),1,0))+IF(Classifiers!$F$11="",0,IF(ISNUMBER(SEARCH(Classifiers!$F$11,E133)),1,0))+IF(Classifiers!$G$11="",0,IF(ISNUMBER(SEARCH(Classifiers!$G$11,E133)),1,0)))&gt;0,1,0))</f>
        <v/>
      </c>
      <c r="Q133" s="12">
        <f>IF(H133&lt;&gt;1,0,IF((IF(Classifiers!$B$12="",0,IF(ISNUMBER(SEARCH(Classifiers!$B$12,E133)),1,0))+IF(Classifiers!$C$12="",0,IF(ISNUMBER(SEARCH(Classifiers!$C$12,E133)),1,0))+IF(Classifiers!$D$12="",0,IF(ISNUMBER(SEARCH(Classifiers!$D$12,E133)),1,0))+IF(Classifiers!$E$12="",0,IF(ISNUMBER(SEARCH(Classifiers!$E$12,E133)),1,0))+IF(Classifiers!$F$12="",0,IF(ISNUMBER(SEARCH(Classifiers!$F$12,E133)),1,0))+IF(Classifiers!$G$12="",0,IF(ISNUMBER(SEARCH(Classifiers!$G$12,E133)),1,0)))&gt;0,1,0))</f>
        <v/>
      </c>
      <c r="R133" s="12">
        <f>IF(H133&lt;&gt;1,0,IF((IF(Classifiers!$B$13="",0,IF(ISNUMBER(SEARCH(Classifiers!$B$13,E133)),1,0))+IF(Classifiers!$C$13="",0,IF(ISNUMBER(SEARCH(Classifiers!$C$13,E133)),1,0))+IF(Classifiers!$D$13="",0,IF(ISNUMBER(SEARCH(Classifiers!$D$13,E133)),1,0))+IF(Classifiers!$E$13="",0,IF(ISNUMBER(SEARCH(Classifiers!$E$13,E133)),1,0))+IF(Classifiers!$F$13="",0,IF(ISNUMBER(SEARCH(Classifiers!$F$13,E133)),1,0))+IF(Classifiers!$G$13="",0,IF(ISNUMBER(SEARCH(Classifiers!$G$13,E133)),1,0)))&gt;0,1,0))</f>
        <v/>
      </c>
      <c r="S133" s="12">
        <f>IF(H133&lt;&gt;1,0,IF((IF(Classifiers!$B$14="",0,IF(ISNUMBER(SEARCH(Classifiers!$B$14,E133)),1,0))+IF(Classifiers!$C$14="",0,IF(ISNUMBER(SEARCH(Classifiers!$C$14,E133)),1,0))+IF(Classifiers!$D$14="",0,IF(ISNUMBER(SEARCH(Classifiers!$D$14,E133)),1,0))+IF(Classifiers!$E$14="",0,IF(ISNUMBER(SEARCH(Classifiers!$E$14,E133)),1,0))+IF(Classifiers!$F$14="",0,IF(ISNUMBER(SEARCH(Classifiers!$F$14,E133)),1,0))+IF(Classifiers!$G$14="",0,IF(ISNUMBER(SEARCH(Classifiers!$G$14,E133)),1,0)))&gt;0,1,0))</f>
        <v/>
      </c>
      <c r="T133" s="12">
        <f>IF(H133&lt;&gt;1,0,IF((IF(Classifiers!$B$15="",0,IF(ISNUMBER(SEARCH(Classifiers!$B$15,E133)),1,0))+IF(Classifiers!$C$15="",0,IF(ISNUMBER(SEARCH(Classifiers!$C$15,E133)),1,0))+IF(Classifiers!$D$15="",0,IF(ISNUMBER(SEARCH(Classifiers!$D$15,E133)),1,0))+IF(Classifiers!$E$15="",0,IF(ISNUMBER(SEARCH(Classifiers!$E$15,E133)),1,0))+IF(Classifiers!$F$15="",0,IF(ISNUMBER(SEARCH(Classifiers!$F$15,E133)),1,0))+IF(Classifiers!$G$15="",0,IF(ISNUMBER(SEARCH(Classifiers!$G$15,E133)),1,0)))&gt;0,1,0))</f>
        <v/>
      </c>
      <c r="U133" s="12">
        <f>IF(H133&lt;&gt;1,0,IF((IF(Classifiers!$B$16="",0,IF(ISNUMBER(SEARCH(Classifiers!$B$16,E133)),1,0))+IF(Classifiers!$C$16="",0,IF(ISNUMBER(SEARCH(Classifiers!$C$16,E133)),1,0))+IF(Classifiers!$D$16="",0,IF(ISNUMBER(SEARCH(Classifiers!$D$16,E133)),1,0))+IF(Classifiers!$E$16="",0,IF(ISNUMBER(SEARCH(Classifiers!$E$16,E133)),1,0))+IF(Classifiers!$F$16="",0,IF(ISNUMBER(SEARCH(Classifiers!$F$16,E133)),1,0))+IF(Classifiers!$G$16="",0,IF(ISNUMBER(SEARCH(Classifiers!$G$16,E133)),1,0)))&gt;0,1,0))</f>
        <v/>
      </c>
      <c r="V133" s="12">
        <f>IF(H133&lt;&gt;1,0,IF((IF(Classifiers!$B$17="",0,IF(ISNUMBER(SEARCH(Classifiers!$B$17,E133)),1,0))+IF(Classifiers!$C$17="",0,IF(ISNUMBER(SEARCH(Classifiers!$C$17,E133)),1,0))+IF(Classifiers!$D$17="",0,IF(ISNUMBER(SEARCH(Classifiers!$D$17,E133)),1,0))+IF(Classifiers!$E$17="",0,IF(ISNUMBER(SEARCH(Classifiers!$E$17,E133)),1,0))+IF(Classifiers!$F$17="",0,IF(ISNUMBER(SEARCH(Classifiers!$F$17,E133)),1,0))+IF(Classifiers!$G$17="",0,IF(ISNUMBER(SEARCH(Classifiers!$G$17,E133)),1,0)))&gt;0,1,0))</f>
        <v/>
      </c>
      <c r="W133" s="12">
        <f>IF(H133&lt;&gt;1,0,IF((IF(Classifiers!$B$18="",0,IF(ISNUMBER(SEARCH(Classifiers!$B$18,E133)),1,0))+IF(Classifiers!$C$18="",0,IF(ISNUMBER(SEARCH(Classifiers!$C$18,E133)),1,0))+IF(Classifiers!$D$18="",0,IF(ISNUMBER(SEARCH(Classifiers!$D$18,E133)),1,0))+IF(Classifiers!$E$18="",0,IF(ISNUMBER(SEARCH(Classifiers!$E$18,E133)),1,0))+IF(Classifiers!$F$18="",0,IF(ISNUMBER(SEARCH(Classifiers!$F$18,E133)),1,0))+IF(Classifiers!$G$18="",0,IF(ISNUMBER(SEARCH(Classifiers!$G$18,E133)),1,0)))&gt;0,1,0))</f>
        <v/>
      </c>
    </row>
    <row r="134">
      <c r="A134" s="8" t="n"/>
      <c r="B134" s="11" t="n"/>
      <c r="C134" s="6">
        <f>IF(A134="","",TRIM(RIGHT(SUBSTITUTE(A134,"/",REPT(" ",250)),250)))</f>
        <v/>
      </c>
      <c r="D134" s="6">
        <f>IF(C134="","",IF(ISNUMBER(SEARCH(".",C134)),LOWER("."&amp;TRIM(RIGHT(SUBSTITUTE(C134,".",REPT(" ",250)),250))),""))</f>
        <v/>
      </c>
      <c r="E134" s="6">
        <f>IF(C134="","",TRIM(SUBSTITUTE(SUBSTITUTE(SUBSTITUTE(SUBSTITUTE(SUBSTITUTE(SUBSTITUTE(SUBSTITUTE(SUBSTITUTE(SUBSTITUTE(SUBSTITUTE(SUBSTITUTE(SUBSTITUTE(SUBSTITUTE(SUBSTITUTE(SUBSTITUTE(SUBSTITUTE(SUBSTITUTE(SUBSTITUTE(SUBSTITUTE(SUBSTITUTE(LOWER(LEFT(C134,LEN(C134)-LEN(D134))),"_"," "),"-"," "),"."," "),","," "),"("," "),")"," "),"["," "),"]"," "),"&amp;"," "),"+"," "),"@"," "),"#"," "),"!"," "),"'"," "),"/"," "),":"," "),";"," "),"="," "),"~"," "),"%"," ")))</f>
        <v/>
      </c>
      <c r="F134" s="6">
        <f>IF(C134="","",IF(COUNTIF(Classifiers!$A$23:$A$40,D134)&gt;0,1,0))</f>
        <v/>
      </c>
      <c r="G134" s="6">
        <f>IF(C134="","",IF(COUNTIF(Classifiers!$C$23:$C$30,D134)&gt;0,IF((IF(ISNUMBER(SEARCH(Classifiers!$E$23,E134)),1,0)+IF(ISNUMBER(SEARCH(Classifiers!$E$24,E134)),1,0)+IF(ISNUMBER(SEARCH(Classifiers!$E$25,E134)),1,0)+IF(ISNUMBER(SEARCH(Classifiers!$E$26,E134)),1,0)+IF(ISNUMBER(SEARCH(Classifiers!$E$27,E134)),1,0)+IF(ISNUMBER(SEARCH(Classifiers!$E$28,E134)),1,0)+IF(ISNUMBER(SEARCH(Classifiers!$E$29,E134)),1,0)+IF(ISNUMBER(SEARCH(Classifiers!$E$30,E134)),1,0))&gt;0,1,0),0))</f>
        <v/>
      </c>
      <c r="H134" s="6">
        <f>IF(C134="","",IF(OR(LEFT(C134,1)=".",AND(F134=0,G134=0)),0,1))</f>
        <v/>
      </c>
      <c r="I134" s="6">
        <f>IF(H134&lt;&gt;1,"",IF(SUM(J134:W134)=0,"unclassified",INDEX(Classifiers!$A$5:$A$18,MATCH(1,J134:W134,0),1)))</f>
        <v/>
      </c>
      <c r="J134" s="12">
        <f>IF(H134&lt;&gt;1,0,IF((IF(Classifiers!$B$5="",0,IF(ISNUMBER(SEARCH(Classifiers!$B$5,E134)),1,0))+IF(Classifiers!$C$5="",0,IF(ISNUMBER(SEARCH(Classifiers!$C$5,E134)),1,0))+IF(Classifiers!$D$5="",0,IF(ISNUMBER(SEARCH(Classifiers!$D$5,E134)),1,0))+IF(Classifiers!$E$5="",0,IF(ISNUMBER(SEARCH(Classifiers!$E$5,E134)),1,0))+IF(Classifiers!$F$5="",0,IF(ISNUMBER(SEARCH(Classifiers!$F$5,E134)),1,0))+IF(Classifiers!$G$5="",0,IF(ISNUMBER(SEARCH(Classifiers!$G$5,E134)),1,0)))&gt;0,1,0))</f>
        <v/>
      </c>
      <c r="K134" s="12">
        <f>IF(H134&lt;&gt;1,0,IF((IF(Classifiers!$B$6="",0,IF(ISNUMBER(SEARCH(Classifiers!$B$6,E134)),1,0))+IF(Classifiers!$C$6="",0,IF(ISNUMBER(SEARCH(Classifiers!$C$6,E134)),1,0))+IF(Classifiers!$D$6="",0,IF(ISNUMBER(SEARCH(Classifiers!$D$6,E134)),1,0))+IF(Classifiers!$E$6="",0,IF(ISNUMBER(SEARCH(Classifiers!$E$6,E134)),1,0))+IF(Classifiers!$F$6="",0,IF(ISNUMBER(SEARCH(Classifiers!$F$6,E134)),1,0))+IF(Classifiers!$G$6="",0,IF(ISNUMBER(SEARCH(Classifiers!$G$6,E134)),1,0)))&gt;0,1,0))</f>
        <v/>
      </c>
      <c r="L134" s="12">
        <f>IF(H134&lt;&gt;1,0,IF((IF(Classifiers!$B$7="",0,IF(ISNUMBER(SEARCH(Classifiers!$B$7,E134)),1,0))+IF(Classifiers!$C$7="",0,IF(ISNUMBER(SEARCH(Classifiers!$C$7,E134)),1,0))+IF(Classifiers!$D$7="",0,IF(ISNUMBER(SEARCH(Classifiers!$D$7,E134)),1,0))+IF(Classifiers!$E$7="",0,IF(ISNUMBER(SEARCH(Classifiers!$E$7,E134)),1,0))+IF(Classifiers!$F$7="",0,IF(ISNUMBER(SEARCH(Classifiers!$F$7,E134)),1,0))+IF(Classifiers!$G$7="",0,IF(ISNUMBER(SEARCH(Classifiers!$G$7,E134)),1,0)))&gt;0,1,0))</f>
        <v/>
      </c>
      <c r="M134" s="12">
        <f>IF(H134&lt;&gt;1,0,IF((IF(Classifiers!$B$8="",0,IF(ISNUMBER(SEARCH(Classifiers!$B$8,E134)),1,0))+IF(Classifiers!$C$8="",0,IF(ISNUMBER(SEARCH(Classifiers!$C$8,E134)),1,0))+IF(Classifiers!$D$8="",0,IF(ISNUMBER(SEARCH(Classifiers!$D$8,E134)),1,0))+IF(Classifiers!$E$8="",0,IF(ISNUMBER(SEARCH(Classifiers!$E$8,E134)),1,0))+IF(Classifiers!$F$8="",0,IF(ISNUMBER(SEARCH(Classifiers!$F$8,E134)),1,0))+IF(Classifiers!$G$8="",0,IF(ISNUMBER(SEARCH(Classifiers!$G$8,E134)),1,0)))&gt;0,1,0))</f>
        <v/>
      </c>
      <c r="N134" s="12">
        <f>IF(H134&lt;&gt;1,0,IF((IF(Classifiers!$B$9="",0,IF(ISNUMBER(SEARCH(Classifiers!$B$9,E134)),1,0))+IF(Classifiers!$C$9="",0,IF(ISNUMBER(SEARCH(Classifiers!$C$9,E134)),1,0))+IF(Classifiers!$D$9="",0,IF(ISNUMBER(SEARCH(Classifiers!$D$9,E134)),1,0))+IF(Classifiers!$E$9="",0,IF(ISNUMBER(SEARCH(Classifiers!$E$9,E134)),1,0))+IF(Classifiers!$F$9="",0,IF(ISNUMBER(SEARCH(Classifiers!$F$9,E134)),1,0))+IF(Classifiers!$G$9="",0,IF(ISNUMBER(SEARCH(Classifiers!$G$9,E134)),1,0)))&gt;0,1,0))</f>
        <v/>
      </c>
      <c r="O134" s="12">
        <f>IF(H134&lt;&gt;1,0,IF((IF(Classifiers!$B$10="",0,IF(ISNUMBER(SEARCH(Classifiers!$B$10,E134)),1,0))+IF(Classifiers!$C$10="",0,IF(ISNUMBER(SEARCH(Classifiers!$C$10,E134)),1,0))+IF(Classifiers!$D$10="",0,IF(ISNUMBER(SEARCH(Classifiers!$D$10,E134)),1,0))+IF(Classifiers!$E$10="",0,IF(ISNUMBER(SEARCH(Classifiers!$E$10,E134)),1,0))+IF(Classifiers!$F$10="",0,IF(ISNUMBER(SEARCH(Classifiers!$F$10,E134)),1,0))+IF(Classifiers!$G$10="",0,IF(ISNUMBER(SEARCH(Classifiers!$G$10,E134)),1,0)))&gt;0,1,0))</f>
        <v/>
      </c>
      <c r="P134" s="12">
        <f>IF(H134&lt;&gt;1,0,IF((IF(Classifiers!$B$11="",0,IF(ISNUMBER(SEARCH(Classifiers!$B$11,E134)),1,0))+IF(Classifiers!$C$11="",0,IF(ISNUMBER(SEARCH(Classifiers!$C$11,E134)),1,0))+IF(Classifiers!$D$11="",0,IF(ISNUMBER(SEARCH(Classifiers!$D$11,E134)),1,0))+IF(Classifiers!$E$11="",0,IF(ISNUMBER(SEARCH(Classifiers!$E$11,E134)),1,0))+IF(Classifiers!$F$11="",0,IF(ISNUMBER(SEARCH(Classifiers!$F$11,E134)),1,0))+IF(Classifiers!$G$11="",0,IF(ISNUMBER(SEARCH(Classifiers!$G$11,E134)),1,0)))&gt;0,1,0))</f>
        <v/>
      </c>
      <c r="Q134" s="12">
        <f>IF(H134&lt;&gt;1,0,IF((IF(Classifiers!$B$12="",0,IF(ISNUMBER(SEARCH(Classifiers!$B$12,E134)),1,0))+IF(Classifiers!$C$12="",0,IF(ISNUMBER(SEARCH(Classifiers!$C$12,E134)),1,0))+IF(Classifiers!$D$12="",0,IF(ISNUMBER(SEARCH(Classifiers!$D$12,E134)),1,0))+IF(Classifiers!$E$12="",0,IF(ISNUMBER(SEARCH(Classifiers!$E$12,E134)),1,0))+IF(Classifiers!$F$12="",0,IF(ISNUMBER(SEARCH(Classifiers!$F$12,E134)),1,0))+IF(Classifiers!$G$12="",0,IF(ISNUMBER(SEARCH(Classifiers!$G$12,E134)),1,0)))&gt;0,1,0))</f>
        <v/>
      </c>
      <c r="R134" s="12">
        <f>IF(H134&lt;&gt;1,0,IF((IF(Classifiers!$B$13="",0,IF(ISNUMBER(SEARCH(Classifiers!$B$13,E134)),1,0))+IF(Classifiers!$C$13="",0,IF(ISNUMBER(SEARCH(Classifiers!$C$13,E134)),1,0))+IF(Classifiers!$D$13="",0,IF(ISNUMBER(SEARCH(Classifiers!$D$13,E134)),1,0))+IF(Classifiers!$E$13="",0,IF(ISNUMBER(SEARCH(Classifiers!$E$13,E134)),1,0))+IF(Classifiers!$F$13="",0,IF(ISNUMBER(SEARCH(Classifiers!$F$13,E134)),1,0))+IF(Classifiers!$G$13="",0,IF(ISNUMBER(SEARCH(Classifiers!$G$13,E134)),1,0)))&gt;0,1,0))</f>
        <v/>
      </c>
      <c r="S134" s="12">
        <f>IF(H134&lt;&gt;1,0,IF((IF(Classifiers!$B$14="",0,IF(ISNUMBER(SEARCH(Classifiers!$B$14,E134)),1,0))+IF(Classifiers!$C$14="",0,IF(ISNUMBER(SEARCH(Classifiers!$C$14,E134)),1,0))+IF(Classifiers!$D$14="",0,IF(ISNUMBER(SEARCH(Classifiers!$D$14,E134)),1,0))+IF(Classifiers!$E$14="",0,IF(ISNUMBER(SEARCH(Classifiers!$E$14,E134)),1,0))+IF(Classifiers!$F$14="",0,IF(ISNUMBER(SEARCH(Classifiers!$F$14,E134)),1,0))+IF(Classifiers!$G$14="",0,IF(ISNUMBER(SEARCH(Classifiers!$G$14,E134)),1,0)))&gt;0,1,0))</f>
        <v/>
      </c>
      <c r="T134" s="12">
        <f>IF(H134&lt;&gt;1,0,IF((IF(Classifiers!$B$15="",0,IF(ISNUMBER(SEARCH(Classifiers!$B$15,E134)),1,0))+IF(Classifiers!$C$15="",0,IF(ISNUMBER(SEARCH(Classifiers!$C$15,E134)),1,0))+IF(Classifiers!$D$15="",0,IF(ISNUMBER(SEARCH(Classifiers!$D$15,E134)),1,0))+IF(Classifiers!$E$15="",0,IF(ISNUMBER(SEARCH(Classifiers!$E$15,E134)),1,0))+IF(Classifiers!$F$15="",0,IF(ISNUMBER(SEARCH(Classifiers!$F$15,E134)),1,0))+IF(Classifiers!$G$15="",0,IF(ISNUMBER(SEARCH(Classifiers!$G$15,E134)),1,0)))&gt;0,1,0))</f>
        <v/>
      </c>
      <c r="U134" s="12">
        <f>IF(H134&lt;&gt;1,0,IF((IF(Classifiers!$B$16="",0,IF(ISNUMBER(SEARCH(Classifiers!$B$16,E134)),1,0))+IF(Classifiers!$C$16="",0,IF(ISNUMBER(SEARCH(Classifiers!$C$16,E134)),1,0))+IF(Classifiers!$D$16="",0,IF(ISNUMBER(SEARCH(Classifiers!$D$16,E134)),1,0))+IF(Classifiers!$E$16="",0,IF(ISNUMBER(SEARCH(Classifiers!$E$16,E134)),1,0))+IF(Classifiers!$F$16="",0,IF(ISNUMBER(SEARCH(Classifiers!$F$16,E134)),1,0))+IF(Classifiers!$G$16="",0,IF(ISNUMBER(SEARCH(Classifiers!$G$16,E134)),1,0)))&gt;0,1,0))</f>
        <v/>
      </c>
      <c r="V134" s="12">
        <f>IF(H134&lt;&gt;1,0,IF((IF(Classifiers!$B$17="",0,IF(ISNUMBER(SEARCH(Classifiers!$B$17,E134)),1,0))+IF(Classifiers!$C$17="",0,IF(ISNUMBER(SEARCH(Classifiers!$C$17,E134)),1,0))+IF(Classifiers!$D$17="",0,IF(ISNUMBER(SEARCH(Classifiers!$D$17,E134)),1,0))+IF(Classifiers!$E$17="",0,IF(ISNUMBER(SEARCH(Classifiers!$E$17,E134)),1,0))+IF(Classifiers!$F$17="",0,IF(ISNUMBER(SEARCH(Classifiers!$F$17,E134)),1,0))+IF(Classifiers!$G$17="",0,IF(ISNUMBER(SEARCH(Classifiers!$G$17,E134)),1,0)))&gt;0,1,0))</f>
        <v/>
      </c>
      <c r="W134" s="12">
        <f>IF(H134&lt;&gt;1,0,IF((IF(Classifiers!$B$18="",0,IF(ISNUMBER(SEARCH(Classifiers!$B$18,E134)),1,0))+IF(Classifiers!$C$18="",0,IF(ISNUMBER(SEARCH(Classifiers!$C$18,E134)),1,0))+IF(Classifiers!$D$18="",0,IF(ISNUMBER(SEARCH(Classifiers!$D$18,E134)),1,0))+IF(Classifiers!$E$18="",0,IF(ISNUMBER(SEARCH(Classifiers!$E$18,E134)),1,0))+IF(Classifiers!$F$18="",0,IF(ISNUMBER(SEARCH(Classifiers!$F$18,E134)),1,0))+IF(Classifiers!$G$18="",0,IF(ISNUMBER(SEARCH(Classifiers!$G$18,E134)),1,0)))&gt;0,1,0))</f>
        <v/>
      </c>
    </row>
    <row r="135">
      <c r="A135" s="8" t="n"/>
      <c r="B135" s="11" t="n"/>
      <c r="C135" s="6">
        <f>IF(A135="","",TRIM(RIGHT(SUBSTITUTE(A135,"/",REPT(" ",250)),250)))</f>
        <v/>
      </c>
      <c r="D135" s="6">
        <f>IF(C135="","",IF(ISNUMBER(SEARCH(".",C135)),LOWER("."&amp;TRIM(RIGHT(SUBSTITUTE(C135,".",REPT(" ",250)),250))),""))</f>
        <v/>
      </c>
      <c r="E135" s="6">
        <f>IF(C135="","",TRIM(SUBSTITUTE(SUBSTITUTE(SUBSTITUTE(SUBSTITUTE(SUBSTITUTE(SUBSTITUTE(SUBSTITUTE(SUBSTITUTE(SUBSTITUTE(SUBSTITUTE(SUBSTITUTE(SUBSTITUTE(SUBSTITUTE(SUBSTITUTE(SUBSTITUTE(SUBSTITUTE(SUBSTITUTE(SUBSTITUTE(SUBSTITUTE(SUBSTITUTE(LOWER(LEFT(C135,LEN(C135)-LEN(D135))),"_"," "),"-"," "),"."," "),","," "),"("," "),")"," "),"["," "),"]"," "),"&amp;"," "),"+"," "),"@"," "),"#"," "),"!"," "),"'"," "),"/"," "),":"," "),";"," "),"="," "),"~"," "),"%"," ")))</f>
        <v/>
      </c>
      <c r="F135" s="6">
        <f>IF(C135="","",IF(COUNTIF(Classifiers!$A$23:$A$40,D135)&gt;0,1,0))</f>
        <v/>
      </c>
      <c r="G135" s="6">
        <f>IF(C135="","",IF(COUNTIF(Classifiers!$C$23:$C$30,D135)&gt;0,IF((IF(ISNUMBER(SEARCH(Classifiers!$E$23,E135)),1,0)+IF(ISNUMBER(SEARCH(Classifiers!$E$24,E135)),1,0)+IF(ISNUMBER(SEARCH(Classifiers!$E$25,E135)),1,0)+IF(ISNUMBER(SEARCH(Classifiers!$E$26,E135)),1,0)+IF(ISNUMBER(SEARCH(Classifiers!$E$27,E135)),1,0)+IF(ISNUMBER(SEARCH(Classifiers!$E$28,E135)),1,0)+IF(ISNUMBER(SEARCH(Classifiers!$E$29,E135)),1,0)+IF(ISNUMBER(SEARCH(Classifiers!$E$30,E135)),1,0))&gt;0,1,0),0))</f>
        <v/>
      </c>
      <c r="H135" s="6">
        <f>IF(C135="","",IF(OR(LEFT(C135,1)=".",AND(F135=0,G135=0)),0,1))</f>
        <v/>
      </c>
      <c r="I135" s="6">
        <f>IF(H135&lt;&gt;1,"",IF(SUM(J135:W135)=0,"unclassified",INDEX(Classifiers!$A$5:$A$18,MATCH(1,J135:W135,0),1)))</f>
        <v/>
      </c>
      <c r="J135" s="12">
        <f>IF(H135&lt;&gt;1,0,IF((IF(Classifiers!$B$5="",0,IF(ISNUMBER(SEARCH(Classifiers!$B$5,E135)),1,0))+IF(Classifiers!$C$5="",0,IF(ISNUMBER(SEARCH(Classifiers!$C$5,E135)),1,0))+IF(Classifiers!$D$5="",0,IF(ISNUMBER(SEARCH(Classifiers!$D$5,E135)),1,0))+IF(Classifiers!$E$5="",0,IF(ISNUMBER(SEARCH(Classifiers!$E$5,E135)),1,0))+IF(Classifiers!$F$5="",0,IF(ISNUMBER(SEARCH(Classifiers!$F$5,E135)),1,0))+IF(Classifiers!$G$5="",0,IF(ISNUMBER(SEARCH(Classifiers!$G$5,E135)),1,0)))&gt;0,1,0))</f>
        <v/>
      </c>
      <c r="K135" s="12">
        <f>IF(H135&lt;&gt;1,0,IF((IF(Classifiers!$B$6="",0,IF(ISNUMBER(SEARCH(Classifiers!$B$6,E135)),1,0))+IF(Classifiers!$C$6="",0,IF(ISNUMBER(SEARCH(Classifiers!$C$6,E135)),1,0))+IF(Classifiers!$D$6="",0,IF(ISNUMBER(SEARCH(Classifiers!$D$6,E135)),1,0))+IF(Classifiers!$E$6="",0,IF(ISNUMBER(SEARCH(Classifiers!$E$6,E135)),1,0))+IF(Classifiers!$F$6="",0,IF(ISNUMBER(SEARCH(Classifiers!$F$6,E135)),1,0))+IF(Classifiers!$G$6="",0,IF(ISNUMBER(SEARCH(Classifiers!$G$6,E135)),1,0)))&gt;0,1,0))</f>
        <v/>
      </c>
      <c r="L135" s="12">
        <f>IF(H135&lt;&gt;1,0,IF((IF(Classifiers!$B$7="",0,IF(ISNUMBER(SEARCH(Classifiers!$B$7,E135)),1,0))+IF(Classifiers!$C$7="",0,IF(ISNUMBER(SEARCH(Classifiers!$C$7,E135)),1,0))+IF(Classifiers!$D$7="",0,IF(ISNUMBER(SEARCH(Classifiers!$D$7,E135)),1,0))+IF(Classifiers!$E$7="",0,IF(ISNUMBER(SEARCH(Classifiers!$E$7,E135)),1,0))+IF(Classifiers!$F$7="",0,IF(ISNUMBER(SEARCH(Classifiers!$F$7,E135)),1,0))+IF(Classifiers!$G$7="",0,IF(ISNUMBER(SEARCH(Classifiers!$G$7,E135)),1,0)))&gt;0,1,0))</f>
        <v/>
      </c>
      <c r="M135" s="12">
        <f>IF(H135&lt;&gt;1,0,IF((IF(Classifiers!$B$8="",0,IF(ISNUMBER(SEARCH(Classifiers!$B$8,E135)),1,0))+IF(Classifiers!$C$8="",0,IF(ISNUMBER(SEARCH(Classifiers!$C$8,E135)),1,0))+IF(Classifiers!$D$8="",0,IF(ISNUMBER(SEARCH(Classifiers!$D$8,E135)),1,0))+IF(Classifiers!$E$8="",0,IF(ISNUMBER(SEARCH(Classifiers!$E$8,E135)),1,0))+IF(Classifiers!$F$8="",0,IF(ISNUMBER(SEARCH(Classifiers!$F$8,E135)),1,0))+IF(Classifiers!$G$8="",0,IF(ISNUMBER(SEARCH(Classifiers!$G$8,E135)),1,0)))&gt;0,1,0))</f>
        <v/>
      </c>
      <c r="N135" s="12">
        <f>IF(H135&lt;&gt;1,0,IF((IF(Classifiers!$B$9="",0,IF(ISNUMBER(SEARCH(Classifiers!$B$9,E135)),1,0))+IF(Classifiers!$C$9="",0,IF(ISNUMBER(SEARCH(Classifiers!$C$9,E135)),1,0))+IF(Classifiers!$D$9="",0,IF(ISNUMBER(SEARCH(Classifiers!$D$9,E135)),1,0))+IF(Classifiers!$E$9="",0,IF(ISNUMBER(SEARCH(Classifiers!$E$9,E135)),1,0))+IF(Classifiers!$F$9="",0,IF(ISNUMBER(SEARCH(Classifiers!$F$9,E135)),1,0))+IF(Classifiers!$G$9="",0,IF(ISNUMBER(SEARCH(Classifiers!$G$9,E135)),1,0)))&gt;0,1,0))</f>
        <v/>
      </c>
      <c r="O135" s="12">
        <f>IF(H135&lt;&gt;1,0,IF((IF(Classifiers!$B$10="",0,IF(ISNUMBER(SEARCH(Classifiers!$B$10,E135)),1,0))+IF(Classifiers!$C$10="",0,IF(ISNUMBER(SEARCH(Classifiers!$C$10,E135)),1,0))+IF(Classifiers!$D$10="",0,IF(ISNUMBER(SEARCH(Classifiers!$D$10,E135)),1,0))+IF(Classifiers!$E$10="",0,IF(ISNUMBER(SEARCH(Classifiers!$E$10,E135)),1,0))+IF(Classifiers!$F$10="",0,IF(ISNUMBER(SEARCH(Classifiers!$F$10,E135)),1,0))+IF(Classifiers!$G$10="",0,IF(ISNUMBER(SEARCH(Classifiers!$G$10,E135)),1,0)))&gt;0,1,0))</f>
        <v/>
      </c>
      <c r="P135" s="12">
        <f>IF(H135&lt;&gt;1,0,IF((IF(Classifiers!$B$11="",0,IF(ISNUMBER(SEARCH(Classifiers!$B$11,E135)),1,0))+IF(Classifiers!$C$11="",0,IF(ISNUMBER(SEARCH(Classifiers!$C$11,E135)),1,0))+IF(Classifiers!$D$11="",0,IF(ISNUMBER(SEARCH(Classifiers!$D$11,E135)),1,0))+IF(Classifiers!$E$11="",0,IF(ISNUMBER(SEARCH(Classifiers!$E$11,E135)),1,0))+IF(Classifiers!$F$11="",0,IF(ISNUMBER(SEARCH(Classifiers!$F$11,E135)),1,0))+IF(Classifiers!$G$11="",0,IF(ISNUMBER(SEARCH(Classifiers!$G$11,E135)),1,0)))&gt;0,1,0))</f>
        <v/>
      </c>
      <c r="Q135" s="12">
        <f>IF(H135&lt;&gt;1,0,IF((IF(Classifiers!$B$12="",0,IF(ISNUMBER(SEARCH(Classifiers!$B$12,E135)),1,0))+IF(Classifiers!$C$12="",0,IF(ISNUMBER(SEARCH(Classifiers!$C$12,E135)),1,0))+IF(Classifiers!$D$12="",0,IF(ISNUMBER(SEARCH(Classifiers!$D$12,E135)),1,0))+IF(Classifiers!$E$12="",0,IF(ISNUMBER(SEARCH(Classifiers!$E$12,E135)),1,0))+IF(Classifiers!$F$12="",0,IF(ISNUMBER(SEARCH(Classifiers!$F$12,E135)),1,0))+IF(Classifiers!$G$12="",0,IF(ISNUMBER(SEARCH(Classifiers!$G$12,E135)),1,0)))&gt;0,1,0))</f>
        <v/>
      </c>
      <c r="R135" s="12">
        <f>IF(H135&lt;&gt;1,0,IF((IF(Classifiers!$B$13="",0,IF(ISNUMBER(SEARCH(Classifiers!$B$13,E135)),1,0))+IF(Classifiers!$C$13="",0,IF(ISNUMBER(SEARCH(Classifiers!$C$13,E135)),1,0))+IF(Classifiers!$D$13="",0,IF(ISNUMBER(SEARCH(Classifiers!$D$13,E135)),1,0))+IF(Classifiers!$E$13="",0,IF(ISNUMBER(SEARCH(Classifiers!$E$13,E135)),1,0))+IF(Classifiers!$F$13="",0,IF(ISNUMBER(SEARCH(Classifiers!$F$13,E135)),1,0))+IF(Classifiers!$G$13="",0,IF(ISNUMBER(SEARCH(Classifiers!$G$13,E135)),1,0)))&gt;0,1,0))</f>
        <v/>
      </c>
      <c r="S135" s="12">
        <f>IF(H135&lt;&gt;1,0,IF((IF(Classifiers!$B$14="",0,IF(ISNUMBER(SEARCH(Classifiers!$B$14,E135)),1,0))+IF(Classifiers!$C$14="",0,IF(ISNUMBER(SEARCH(Classifiers!$C$14,E135)),1,0))+IF(Classifiers!$D$14="",0,IF(ISNUMBER(SEARCH(Classifiers!$D$14,E135)),1,0))+IF(Classifiers!$E$14="",0,IF(ISNUMBER(SEARCH(Classifiers!$E$14,E135)),1,0))+IF(Classifiers!$F$14="",0,IF(ISNUMBER(SEARCH(Classifiers!$F$14,E135)),1,0))+IF(Classifiers!$G$14="",0,IF(ISNUMBER(SEARCH(Classifiers!$G$14,E135)),1,0)))&gt;0,1,0))</f>
        <v/>
      </c>
      <c r="T135" s="12">
        <f>IF(H135&lt;&gt;1,0,IF((IF(Classifiers!$B$15="",0,IF(ISNUMBER(SEARCH(Classifiers!$B$15,E135)),1,0))+IF(Classifiers!$C$15="",0,IF(ISNUMBER(SEARCH(Classifiers!$C$15,E135)),1,0))+IF(Classifiers!$D$15="",0,IF(ISNUMBER(SEARCH(Classifiers!$D$15,E135)),1,0))+IF(Classifiers!$E$15="",0,IF(ISNUMBER(SEARCH(Classifiers!$E$15,E135)),1,0))+IF(Classifiers!$F$15="",0,IF(ISNUMBER(SEARCH(Classifiers!$F$15,E135)),1,0))+IF(Classifiers!$G$15="",0,IF(ISNUMBER(SEARCH(Classifiers!$G$15,E135)),1,0)))&gt;0,1,0))</f>
        <v/>
      </c>
      <c r="U135" s="12">
        <f>IF(H135&lt;&gt;1,0,IF((IF(Classifiers!$B$16="",0,IF(ISNUMBER(SEARCH(Classifiers!$B$16,E135)),1,0))+IF(Classifiers!$C$16="",0,IF(ISNUMBER(SEARCH(Classifiers!$C$16,E135)),1,0))+IF(Classifiers!$D$16="",0,IF(ISNUMBER(SEARCH(Classifiers!$D$16,E135)),1,0))+IF(Classifiers!$E$16="",0,IF(ISNUMBER(SEARCH(Classifiers!$E$16,E135)),1,0))+IF(Classifiers!$F$16="",0,IF(ISNUMBER(SEARCH(Classifiers!$F$16,E135)),1,0))+IF(Classifiers!$G$16="",0,IF(ISNUMBER(SEARCH(Classifiers!$G$16,E135)),1,0)))&gt;0,1,0))</f>
        <v/>
      </c>
      <c r="V135" s="12">
        <f>IF(H135&lt;&gt;1,0,IF((IF(Classifiers!$B$17="",0,IF(ISNUMBER(SEARCH(Classifiers!$B$17,E135)),1,0))+IF(Classifiers!$C$17="",0,IF(ISNUMBER(SEARCH(Classifiers!$C$17,E135)),1,0))+IF(Classifiers!$D$17="",0,IF(ISNUMBER(SEARCH(Classifiers!$D$17,E135)),1,0))+IF(Classifiers!$E$17="",0,IF(ISNUMBER(SEARCH(Classifiers!$E$17,E135)),1,0))+IF(Classifiers!$F$17="",0,IF(ISNUMBER(SEARCH(Classifiers!$F$17,E135)),1,0))+IF(Classifiers!$G$17="",0,IF(ISNUMBER(SEARCH(Classifiers!$G$17,E135)),1,0)))&gt;0,1,0))</f>
        <v/>
      </c>
      <c r="W135" s="12">
        <f>IF(H135&lt;&gt;1,0,IF((IF(Classifiers!$B$18="",0,IF(ISNUMBER(SEARCH(Classifiers!$B$18,E135)),1,0))+IF(Classifiers!$C$18="",0,IF(ISNUMBER(SEARCH(Classifiers!$C$18,E135)),1,0))+IF(Classifiers!$D$18="",0,IF(ISNUMBER(SEARCH(Classifiers!$D$18,E135)),1,0))+IF(Classifiers!$E$18="",0,IF(ISNUMBER(SEARCH(Classifiers!$E$18,E135)),1,0))+IF(Classifiers!$F$18="",0,IF(ISNUMBER(SEARCH(Classifiers!$F$18,E135)),1,0))+IF(Classifiers!$G$18="",0,IF(ISNUMBER(SEARCH(Classifiers!$G$18,E135)),1,0)))&gt;0,1,0))</f>
        <v/>
      </c>
    </row>
    <row r="136">
      <c r="A136" s="8" t="n"/>
      <c r="B136" s="11" t="n"/>
      <c r="C136" s="6">
        <f>IF(A136="","",TRIM(RIGHT(SUBSTITUTE(A136,"/",REPT(" ",250)),250)))</f>
        <v/>
      </c>
      <c r="D136" s="6">
        <f>IF(C136="","",IF(ISNUMBER(SEARCH(".",C136)),LOWER("."&amp;TRIM(RIGHT(SUBSTITUTE(C136,".",REPT(" ",250)),250))),""))</f>
        <v/>
      </c>
      <c r="E136" s="6">
        <f>IF(C136="","",TRIM(SUBSTITUTE(SUBSTITUTE(SUBSTITUTE(SUBSTITUTE(SUBSTITUTE(SUBSTITUTE(SUBSTITUTE(SUBSTITUTE(SUBSTITUTE(SUBSTITUTE(SUBSTITUTE(SUBSTITUTE(SUBSTITUTE(SUBSTITUTE(SUBSTITUTE(SUBSTITUTE(SUBSTITUTE(SUBSTITUTE(SUBSTITUTE(SUBSTITUTE(LOWER(LEFT(C136,LEN(C136)-LEN(D136))),"_"," "),"-"," "),"."," "),","," "),"("," "),")"," "),"["," "),"]"," "),"&amp;"," "),"+"," "),"@"," "),"#"," "),"!"," "),"'"," "),"/"," "),":"," "),";"," "),"="," "),"~"," "),"%"," ")))</f>
        <v/>
      </c>
      <c r="F136" s="6">
        <f>IF(C136="","",IF(COUNTIF(Classifiers!$A$23:$A$40,D136)&gt;0,1,0))</f>
        <v/>
      </c>
      <c r="G136" s="6">
        <f>IF(C136="","",IF(COUNTIF(Classifiers!$C$23:$C$30,D136)&gt;0,IF((IF(ISNUMBER(SEARCH(Classifiers!$E$23,E136)),1,0)+IF(ISNUMBER(SEARCH(Classifiers!$E$24,E136)),1,0)+IF(ISNUMBER(SEARCH(Classifiers!$E$25,E136)),1,0)+IF(ISNUMBER(SEARCH(Classifiers!$E$26,E136)),1,0)+IF(ISNUMBER(SEARCH(Classifiers!$E$27,E136)),1,0)+IF(ISNUMBER(SEARCH(Classifiers!$E$28,E136)),1,0)+IF(ISNUMBER(SEARCH(Classifiers!$E$29,E136)),1,0)+IF(ISNUMBER(SEARCH(Classifiers!$E$30,E136)),1,0))&gt;0,1,0),0))</f>
        <v/>
      </c>
      <c r="H136" s="6">
        <f>IF(C136="","",IF(OR(LEFT(C136,1)=".",AND(F136=0,G136=0)),0,1))</f>
        <v/>
      </c>
      <c r="I136" s="6">
        <f>IF(H136&lt;&gt;1,"",IF(SUM(J136:W136)=0,"unclassified",INDEX(Classifiers!$A$5:$A$18,MATCH(1,J136:W136,0),1)))</f>
        <v/>
      </c>
      <c r="J136" s="12">
        <f>IF(H136&lt;&gt;1,0,IF((IF(Classifiers!$B$5="",0,IF(ISNUMBER(SEARCH(Classifiers!$B$5,E136)),1,0))+IF(Classifiers!$C$5="",0,IF(ISNUMBER(SEARCH(Classifiers!$C$5,E136)),1,0))+IF(Classifiers!$D$5="",0,IF(ISNUMBER(SEARCH(Classifiers!$D$5,E136)),1,0))+IF(Classifiers!$E$5="",0,IF(ISNUMBER(SEARCH(Classifiers!$E$5,E136)),1,0))+IF(Classifiers!$F$5="",0,IF(ISNUMBER(SEARCH(Classifiers!$F$5,E136)),1,0))+IF(Classifiers!$G$5="",0,IF(ISNUMBER(SEARCH(Classifiers!$G$5,E136)),1,0)))&gt;0,1,0))</f>
        <v/>
      </c>
      <c r="K136" s="12">
        <f>IF(H136&lt;&gt;1,0,IF((IF(Classifiers!$B$6="",0,IF(ISNUMBER(SEARCH(Classifiers!$B$6,E136)),1,0))+IF(Classifiers!$C$6="",0,IF(ISNUMBER(SEARCH(Classifiers!$C$6,E136)),1,0))+IF(Classifiers!$D$6="",0,IF(ISNUMBER(SEARCH(Classifiers!$D$6,E136)),1,0))+IF(Classifiers!$E$6="",0,IF(ISNUMBER(SEARCH(Classifiers!$E$6,E136)),1,0))+IF(Classifiers!$F$6="",0,IF(ISNUMBER(SEARCH(Classifiers!$F$6,E136)),1,0))+IF(Classifiers!$G$6="",0,IF(ISNUMBER(SEARCH(Classifiers!$G$6,E136)),1,0)))&gt;0,1,0))</f>
        <v/>
      </c>
      <c r="L136" s="12">
        <f>IF(H136&lt;&gt;1,0,IF((IF(Classifiers!$B$7="",0,IF(ISNUMBER(SEARCH(Classifiers!$B$7,E136)),1,0))+IF(Classifiers!$C$7="",0,IF(ISNUMBER(SEARCH(Classifiers!$C$7,E136)),1,0))+IF(Classifiers!$D$7="",0,IF(ISNUMBER(SEARCH(Classifiers!$D$7,E136)),1,0))+IF(Classifiers!$E$7="",0,IF(ISNUMBER(SEARCH(Classifiers!$E$7,E136)),1,0))+IF(Classifiers!$F$7="",0,IF(ISNUMBER(SEARCH(Classifiers!$F$7,E136)),1,0))+IF(Classifiers!$G$7="",0,IF(ISNUMBER(SEARCH(Classifiers!$G$7,E136)),1,0)))&gt;0,1,0))</f>
        <v/>
      </c>
      <c r="M136" s="12">
        <f>IF(H136&lt;&gt;1,0,IF((IF(Classifiers!$B$8="",0,IF(ISNUMBER(SEARCH(Classifiers!$B$8,E136)),1,0))+IF(Classifiers!$C$8="",0,IF(ISNUMBER(SEARCH(Classifiers!$C$8,E136)),1,0))+IF(Classifiers!$D$8="",0,IF(ISNUMBER(SEARCH(Classifiers!$D$8,E136)),1,0))+IF(Classifiers!$E$8="",0,IF(ISNUMBER(SEARCH(Classifiers!$E$8,E136)),1,0))+IF(Classifiers!$F$8="",0,IF(ISNUMBER(SEARCH(Classifiers!$F$8,E136)),1,0))+IF(Classifiers!$G$8="",0,IF(ISNUMBER(SEARCH(Classifiers!$G$8,E136)),1,0)))&gt;0,1,0))</f>
        <v/>
      </c>
      <c r="N136" s="12">
        <f>IF(H136&lt;&gt;1,0,IF((IF(Classifiers!$B$9="",0,IF(ISNUMBER(SEARCH(Classifiers!$B$9,E136)),1,0))+IF(Classifiers!$C$9="",0,IF(ISNUMBER(SEARCH(Classifiers!$C$9,E136)),1,0))+IF(Classifiers!$D$9="",0,IF(ISNUMBER(SEARCH(Classifiers!$D$9,E136)),1,0))+IF(Classifiers!$E$9="",0,IF(ISNUMBER(SEARCH(Classifiers!$E$9,E136)),1,0))+IF(Classifiers!$F$9="",0,IF(ISNUMBER(SEARCH(Classifiers!$F$9,E136)),1,0))+IF(Classifiers!$G$9="",0,IF(ISNUMBER(SEARCH(Classifiers!$G$9,E136)),1,0)))&gt;0,1,0))</f>
        <v/>
      </c>
      <c r="O136" s="12">
        <f>IF(H136&lt;&gt;1,0,IF((IF(Classifiers!$B$10="",0,IF(ISNUMBER(SEARCH(Classifiers!$B$10,E136)),1,0))+IF(Classifiers!$C$10="",0,IF(ISNUMBER(SEARCH(Classifiers!$C$10,E136)),1,0))+IF(Classifiers!$D$10="",0,IF(ISNUMBER(SEARCH(Classifiers!$D$10,E136)),1,0))+IF(Classifiers!$E$10="",0,IF(ISNUMBER(SEARCH(Classifiers!$E$10,E136)),1,0))+IF(Classifiers!$F$10="",0,IF(ISNUMBER(SEARCH(Classifiers!$F$10,E136)),1,0))+IF(Classifiers!$G$10="",0,IF(ISNUMBER(SEARCH(Classifiers!$G$10,E136)),1,0)))&gt;0,1,0))</f>
        <v/>
      </c>
      <c r="P136" s="12">
        <f>IF(H136&lt;&gt;1,0,IF((IF(Classifiers!$B$11="",0,IF(ISNUMBER(SEARCH(Classifiers!$B$11,E136)),1,0))+IF(Classifiers!$C$11="",0,IF(ISNUMBER(SEARCH(Classifiers!$C$11,E136)),1,0))+IF(Classifiers!$D$11="",0,IF(ISNUMBER(SEARCH(Classifiers!$D$11,E136)),1,0))+IF(Classifiers!$E$11="",0,IF(ISNUMBER(SEARCH(Classifiers!$E$11,E136)),1,0))+IF(Classifiers!$F$11="",0,IF(ISNUMBER(SEARCH(Classifiers!$F$11,E136)),1,0))+IF(Classifiers!$G$11="",0,IF(ISNUMBER(SEARCH(Classifiers!$G$11,E136)),1,0)))&gt;0,1,0))</f>
        <v/>
      </c>
      <c r="Q136" s="12">
        <f>IF(H136&lt;&gt;1,0,IF((IF(Classifiers!$B$12="",0,IF(ISNUMBER(SEARCH(Classifiers!$B$12,E136)),1,0))+IF(Classifiers!$C$12="",0,IF(ISNUMBER(SEARCH(Classifiers!$C$12,E136)),1,0))+IF(Classifiers!$D$12="",0,IF(ISNUMBER(SEARCH(Classifiers!$D$12,E136)),1,0))+IF(Classifiers!$E$12="",0,IF(ISNUMBER(SEARCH(Classifiers!$E$12,E136)),1,0))+IF(Classifiers!$F$12="",0,IF(ISNUMBER(SEARCH(Classifiers!$F$12,E136)),1,0))+IF(Classifiers!$G$12="",0,IF(ISNUMBER(SEARCH(Classifiers!$G$12,E136)),1,0)))&gt;0,1,0))</f>
        <v/>
      </c>
      <c r="R136" s="12">
        <f>IF(H136&lt;&gt;1,0,IF((IF(Classifiers!$B$13="",0,IF(ISNUMBER(SEARCH(Classifiers!$B$13,E136)),1,0))+IF(Classifiers!$C$13="",0,IF(ISNUMBER(SEARCH(Classifiers!$C$13,E136)),1,0))+IF(Classifiers!$D$13="",0,IF(ISNUMBER(SEARCH(Classifiers!$D$13,E136)),1,0))+IF(Classifiers!$E$13="",0,IF(ISNUMBER(SEARCH(Classifiers!$E$13,E136)),1,0))+IF(Classifiers!$F$13="",0,IF(ISNUMBER(SEARCH(Classifiers!$F$13,E136)),1,0))+IF(Classifiers!$G$13="",0,IF(ISNUMBER(SEARCH(Classifiers!$G$13,E136)),1,0)))&gt;0,1,0))</f>
        <v/>
      </c>
      <c r="S136" s="12">
        <f>IF(H136&lt;&gt;1,0,IF((IF(Classifiers!$B$14="",0,IF(ISNUMBER(SEARCH(Classifiers!$B$14,E136)),1,0))+IF(Classifiers!$C$14="",0,IF(ISNUMBER(SEARCH(Classifiers!$C$14,E136)),1,0))+IF(Classifiers!$D$14="",0,IF(ISNUMBER(SEARCH(Classifiers!$D$14,E136)),1,0))+IF(Classifiers!$E$14="",0,IF(ISNUMBER(SEARCH(Classifiers!$E$14,E136)),1,0))+IF(Classifiers!$F$14="",0,IF(ISNUMBER(SEARCH(Classifiers!$F$14,E136)),1,0))+IF(Classifiers!$G$14="",0,IF(ISNUMBER(SEARCH(Classifiers!$G$14,E136)),1,0)))&gt;0,1,0))</f>
        <v/>
      </c>
      <c r="T136" s="12">
        <f>IF(H136&lt;&gt;1,0,IF((IF(Classifiers!$B$15="",0,IF(ISNUMBER(SEARCH(Classifiers!$B$15,E136)),1,0))+IF(Classifiers!$C$15="",0,IF(ISNUMBER(SEARCH(Classifiers!$C$15,E136)),1,0))+IF(Classifiers!$D$15="",0,IF(ISNUMBER(SEARCH(Classifiers!$D$15,E136)),1,0))+IF(Classifiers!$E$15="",0,IF(ISNUMBER(SEARCH(Classifiers!$E$15,E136)),1,0))+IF(Classifiers!$F$15="",0,IF(ISNUMBER(SEARCH(Classifiers!$F$15,E136)),1,0))+IF(Classifiers!$G$15="",0,IF(ISNUMBER(SEARCH(Classifiers!$G$15,E136)),1,0)))&gt;0,1,0))</f>
        <v/>
      </c>
      <c r="U136" s="12">
        <f>IF(H136&lt;&gt;1,0,IF((IF(Classifiers!$B$16="",0,IF(ISNUMBER(SEARCH(Classifiers!$B$16,E136)),1,0))+IF(Classifiers!$C$16="",0,IF(ISNUMBER(SEARCH(Classifiers!$C$16,E136)),1,0))+IF(Classifiers!$D$16="",0,IF(ISNUMBER(SEARCH(Classifiers!$D$16,E136)),1,0))+IF(Classifiers!$E$16="",0,IF(ISNUMBER(SEARCH(Classifiers!$E$16,E136)),1,0))+IF(Classifiers!$F$16="",0,IF(ISNUMBER(SEARCH(Classifiers!$F$16,E136)),1,0))+IF(Classifiers!$G$16="",0,IF(ISNUMBER(SEARCH(Classifiers!$G$16,E136)),1,0)))&gt;0,1,0))</f>
        <v/>
      </c>
      <c r="V136" s="12">
        <f>IF(H136&lt;&gt;1,0,IF((IF(Classifiers!$B$17="",0,IF(ISNUMBER(SEARCH(Classifiers!$B$17,E136)),1,0))+IF(Classifiers!$C$17="",0,IF(ISNUMBER(SEARCH(Classifiers!$C$17,E136)),1,0))+IF(Classifiers!$D$17="",0,IF(ISNUMBER(SEARCH(Classifiers!$D$17,E136)),1,0))+IF(Classifiers!$E$17="",0,IF(ISNUMBER(SEARCH(Classifiers!$E$17,E136)),1,0))+IF(Classifiers!$F$17="",0,IF(ISNUMBER(SEARCH(Classifiers!$F$17,E136)),1,0))+IF(Classifiers!$G$17="",0,IF(ISNUMBER(SEARCH(Classifiers!$G$17,E136)),1,0)))&gt;0,1,0))</f>
        <v/>
      </c>
      <c r="W136" s="12">
        <f>IF(H136&lt;&gt;1,0,IF((IF(Classifiers!$B$18="",0,IF(ISNUMBER(SEARCH(Classifiers!$B$18,E136)),1,0))+IF(Classifiers!$C$18="",0,IF(ISNUMBER(SEARCH(Classifiers!$C$18,E136)),1,0))+IF(Classifiers!$D$18="",0,IF(ISNUMBER(SEARCH(Classifiers!$D$18,E136)),1,0))+IF(Classifiers!$E$18="",0,IF(ISNUMBER(SEARCH(Classifiers!$E$18,E136)),1,0))+IF(Classifiers!$F$18="",0,IF(ISNUMBER(SEARCH(Classifiers!$F$18,E136)),1,0))+IF(Classifiers!$G$18="",0,IF(ISNUMBER(SEARCH(Classifiers!$G$18,E136)),1,0)))&gt;0,1,0))</f>
        <v/>
      </c>
    </row>
    <row r="137">
      <c r="A137" s="8" t="n"/>
      <c r="B137" s="11" t="n"/>
      <c r="C137" s="6">
        <f>IF(A137="","",TRIM(RIGHT(SUBSTITUTE(A137,"/",REPT(" ",250)),250)))</f>
        <v/>
      </c>
      <c r="D137" s="6">
        <f>IF(C137="","",IF(ISNUMBER(SEARCH(".",C137)),LOWER("."&amp;TRIM(RIGHT(SUBSTITUTE(C137,".",REPT(" ",250)),250))),""))</f>
        <v/>
      </c>
      <c r="E137" s="6">
        <f>IF(C137="","",TRIM(SUBSTITUTE(SUBSTITUTE(SUBSTITUTE(SUBSTITUTE(SUBSTITUTE(SUBSTITUTE(SUBSTITUTE(SUBSTITUTE(SUBSTITUTE(SUBSTITUTE(SUBSTITUTE(SUBSTITUTE(SUBSTITUTE(SUBSTITUTE(SUBSTITUTE(SUBSTITUTE(SUBSTITUTE(SUBSTITUTE(SUBSTITUTE(SUBSTITUTE(LOWER(LEFT(C137,LEN(C137)-LEN(D137))),"_"," "),"-"," "),"."," "),","," "),"("," "),")"," "),"["," "),"]"," "),"&amp;"," "),"+"," "),"@"," "),"#"," "),"!"," "),"'"," "),"/"," "),":"," "),";"," "),"="," "),"~"," "),"%"," ")))</f>
        <v/>
      </c>
      <c r="F137" s="6">
        <f>IF(C137="","",IF(COUNTIF(Classifiers!$A$23:$A$40,D137)&gt;0,1,0))</f>
        <v/>
      </c>
      <c r="G137" s="6">
        <f>IF(C137="","",IF(COUNTIF(Classifiers!$C$23:$C$30,D137)&gt;0,IF((IF(ISNUMBER(SEARCH(Classifiers!$E$23,E137)),1,0)+IF(ISNUMBER(SEARCH(Classifiers!$E$24,E137)),1,0)+IF(ISNUMBER(SEARCH(Classifiers!$E$25,E137)),1,0)+IF(ISNUMBER(SEARCH(Classifiers!$E$26,E137)),1,0)+IF(ISNUMBER(SEARCH(Classifiers!$E$27,E137)),1,0)+IF(ISNUMBER(SEARCH(Classifiers!$E$28,E137)),1,0)+IF(ISNUMBER(SEARCH(Classifiers!$E$29,E137)),1,0)+IF(ISNUMBER(SEARCH(Classifiers!$E$30,E137)),1,0))&gt;0,1,0),0))</f>
        <v/>
      </c>
      <c r="H137" s="6">
        <f>IF(C137="","",IF(OR(LEFT(C137,1)=".",AND(F137=0,G137=0)),0,1))</f>
        <v/>
      </c>
      <c r="I137" s="6">
        <f>IF(H137&lt;&gt;1,"",IF(SUM(J137:W137)=0,"unclassified",INDEX(Classifiers!$A$5:$A$18,MATCH(1,J137:W137,0),1)))</f>
        <v/>
      </c>
      <c r="J137" s="12">
        <f>IF(H137&lt;&gt;1,0,IF((IF(Classifiers!$B$5="",0,IF(ISNUMBER(SEARCH(Classifiers!$B$5,E137)),1,0))+IF(Classifiers!$C$5="",0,IF(ISNUMBER(SEARCH(Classifiers!$C$5,E137)),1,0))+IF(Classifiers!$D$5="",0,IF(ISNUMBER(SEARCH(Classifiers!$D$5,E137)),1,0))+IF(Classifiers!$E$5="",0,IF(ISNUMBER(SEARCH(Classifiers!$E$5,E137)),1,0))+IF(Classifiers!$F$5="",0,IF(ISNUMBER(SEARCH(Classifiers!$F$5,E137)),1,0))+IF(Classifiers!$G$5="",0,IF(ISNUMBER(SEARCH(Classifiers!$G$5,E137)),1,0)))&gt;0,1,0))</f>
        <v/>
      </c>
      <c r="K137" s="12">
        <f>IF(H137&lt;&gt;1,0,IF((IF(Classifiers!$B$6="",0,IF(ISNUMBER(SEARCH(Classifiers!$B$6,E137)),1,0))+IF(Classifiers!$C$6="",0,IF(ISNUMBER(SEARCH(Classifiers!$C$6,E137)),1,0))+IF(Classifiers!$D$6="",0,IF(ISNUMBER(SEARCH(Classifiers!$D$6,E137)),1,0))+IF(Classifiers!$E$6="",0,IF(ISNUMBER(SEARCH(Classifiers!$E$6,E137)),1,0))+IF(Classifiers!$F$6="",0,IF(ISNUMBER(SEARCH(Classifiers!$F$6,E137)),1,0))+IF(Classifiers!$G$6="",0,IF(ISNUMBER(SEARCH(Classifiers!$G$6,E137)),1,0)))&gt;0,1,0))</f>
        <v/>
      </c>
      <c r="L137" s="12">
        <f>IF(H137&lt;&gt;1,0,IF((IF(Classifiers!$B$7="",0,IF(ISNUMBER(SEARCH(Classifiers!$B$7,E137)),1,0))+IF(Classifiers!$C$7="",0,IF(ISNUMBER(SEARCH(Classifiers!$C$7,E137)),1,0))+IF(Classifiers!$D$7="",0,IF(ISNUMBER(SEARCH(Classifiers!$D$7,E137)),1,0))+IF(Classifiers!$E$7="",0,IF(ISNUMBER(SEARCH(Classifiers!$E$7,E137)),1,0))+IF(Classifiers!$F$7="",0,IF(ISNUMBER(SEARCH(Classifiers!$F$7,E137)),1,0))+IF(Classifiers!$G$7="",0,IF(ISNUMBER(SEARCH(Classifiers!$G$7,E137)),1,0)))&gt;0,1,0))</f>
        <v/>
      </c>
      <c r="M137" s="12">
        <f>IF(H137&lt;&gt;1,0,IF((IF(Classifiers!$B$8="",0,IF(ISNUMBER(SEARCH(Classifiers!$B$8,E137)),1,0))+IF(Classifiers!$C$8="",0,IF(ISNUMBER(SEARCH(Classifiers!$C$8,E137)),1,0))+IF(Classifiers!$D$8="",0,IF(ISNUMBER(SEARCH(Classifiers!$D$8,E137)),1,0))+IF(Classifiers!$E$8="",0,IF(ISNUMBER(SEARCH(Classifiers!$E$8,E137)),1,0))+IF(Classifiers!$F$8="",0,IF(ISNUMBER(SEARCH(Classifiers!$F$8,E137)),1,0))+IF(Classifiers!$G$8="",0,IF(ISNUMBER(SEARCH(Classifiers!$G$8,E137)),1,0)))&gt;0,1,0))</f>
        <v/>
      </c>
      <c r="N137" s="12">
        <f>IF(H137&lt;&gt;1,0,IF((IF(Classifiers!$B$9="",0,IF(ISNUMBER(SEARCH(Classifiers!$B$9,E137)),1,0))+IF(Classifiers!$C$9="",0,IF(ISNUMBER(SEARCH(Classifiers!$C$9,E137)),1,0))+IF(Classifiers!$D$9="",0,IF(ISNUMBER(SEARCH(Classifiers!$D$9,E137)),1,0))+IF(Classifiers!$E$9="",0,IF(ISNUMBER(SEARCH(Classifiers!$E$9,E137)),1,0))+IF(Classifiers!$F$9="",0,IF(ISNUMBER(SEARCH(Classifiers!$F$9,E137)),1,0))+IF(Classifiers!$G$9="",0,IF(ISNUMBER(SEARCH(Classifiers!$G$9,E137)),1,0)))&gt;0,1,0))</f>
        <v/>
      </c>
      <c r="O137" s="12">
        <f>IF(H137&lt;&gt;1,0,IF((IF(Classifiers!$B$10="",0,IF(ISNUMBER(SEARCH(Classifiers!$B$10,E137)),1,0))+IF(Classifiers!$C$10="",0,IF(ISNUMBER(SEARCH(Classifiers!$C$10,E137)),1,0))+IF(Classifiers!$D$10="",0,IF(ISNUMBER(SEARCH(Classifiers!$D$10,E137)),1,0))+IF(Classifiers!$E$10="",0,IF(ISNUMBER(SEARCH(Classifiers!$E$10,E137)),1,0))+IF(Classifiers!$F$10="",0,IF(ISNUMBER(SEARCH(Classifiers!$F$10,E137)),1,0))+IF(Classifiers!$G$10="",0,IF(ISNUMBER(SEARCH(Classifiers!$G$10,E137)),1,0)))&gt;0,1,0))</f>
        <v/>
      </c>
      <c r="P137" s="12">
        <f>IF(H137&lt;&gt;1,0,IF((IF(Classifiers!$B$11="",0,IF(ISNUMBER(SEARCH(Classifiers!$B$11,E137)),1,0))+IF(Classifiers!$C$11="",0,IF(ISNUMBER(SEARCH(Classifiers!$C$11,E137)),1,0))+IF(Classifiers!$D$11="",0,IF(ISNUMBER(SEARCH(Classifiers!$D$11,E137)),1,0))+IF(Classifiers!$E$11="",0,IF(ISNUMBER(SEARCH(Classifiers!$E$11,E137)),1,0))+IF(Classifiers!$F$11="",0,IF(ISNUMBER(SEARCH(Classifiers!$F$11,E137)),1,0))+IF(Classifiers!$G$11="",0,IF(ISNUMBER(SEARCH(Classifiers!$G$11,E137)),1,0)))&gt;0,1,0))</f>
        <v/>
      </c>
      <c r="Q137" s="12">
        <f>IF(H137&lt;&gt;1,0,IF((IF(Classifiers!$B$12="",0,IF(ISNUMBER(SEARCH(Classifiers!$B$12,E137)),1,0))+IF(Classifiers!$C$12="",0,IF(ISNUMBER(SEARCH(Classifiers!$C$12,E137)),1,0))+IF(Classifiers!$D$12="",0,IF(ISNUMBER(SEARCH(Classifiers!$D$12,E137)),1,0))+IF(Classifiers!$E$12="",0,IF(ISNUMBER(SEARCH(Classifiers!$E$12,E137)),1,0))+IF(Classifiers!$F$12="",0,IF(ISNUMBER(SEARCH(Classifiers!$F$12,E137)),1,0))+IF(Classifiers!$G$12="",0,IF(ISNUMBER(SEARCH(Classifiers!$G$12,E137)),1,0)))&gt;0,1,0))</f>
        <v/>
      </c>
      <c r="R137" s="12">
        <f>IF(H137&lt;&gt;1,0,IF((IF(Classifiers!$B$13="",0,IF(ISNUMBER(SEARCH(Classifiers!$B$13,E137)),1,0))+IF(Classifiers!$C$13="",0,IF(ISNUMBER(SEARCH(Classifiers!$C$13,E137)),1,0))+IF(Classifiers!$D$13="",0,IF(ISNUMBER(SEARCH(Classifiers!$D$13,E137)),1,0))+IF(Classifiers!$E$13="",0,IF(ISNUMBER(SEARCH(Classifiers!$E$13,E137)),1,0))+IF(Classifiers!$F$13="",0,IF(ISNUMBER(SEARCH(Classifiers!$F$13,E137)),1,0))+IF(Classifiers!$G$13="",0,IF(ISNUMBER(SEARCH(Classifiers!$G$13,E137)),1,0)))&gt;0,1,0))</f>
        <v/>
      </c>
      <c r="S137" s="12">
        <f>IF(H137&lt;&gt;1,0,IF((IF(Classifiers!$B$14="",0,IF(ISNUMBER(SEARCH(Classifiers!$B$14,E137)),1,0))+IF(Classifiers!$C$14="",0,IF(ISNUMBER(SEARCH(Classifiers!$C$14,E137)),1,0))+IF(Classifiers!$D$14="",0,IF(ISNUMBER(SEARCH(Classifiers!$D$14,E137)),1,0))+IF(Classifiers!$E$14="",0,IF(ISNUMBER(SEARCH(Classifiers!$E$14,E137)),1,0))+IF(Classifiers!$F$14="",0,IF(ISNUMBER(SEARCH(Classifiers!$F$14,E137)),1,0))+IF(Classifiers!$G$14="",0,IF(ISNUMBER(SEARCH(Classifiers!$G$14,E137)),1,0)))&gt;0,1,0))</f>
        <v/>
      </c>
      <c r="T137" s="12">
        <f>IF(H137&lt;&gt;1,0,IF((IF(Classifiers!$B$15="",0,IF(ISNUMBER(SEARCH(Classifiers!$B$15,E137)),1,0))+IF(Classifiers!$C$15="",0,IF(ISNUMBER(SEARCH(Classifiers!$C$15,E137)),1,0))+IF(Classifiers!$D$15="",0,IF(ISNUMBER(SEARCH(Classifiers!$D$15,E137)),1,0))+IF(Classifiers!$E$15="",0,IF(ISNUMBER(SEARCH(Classifiers!$E$15,E137)),1,0))+IF(Classifiers!$F$15="",0,IF(ISNUMBER(SEARCH(Classifiers!$F$15,E137)),1,0))+IF(Classifiers!$G$15="",0,IF(ISNUMBER(SEARCH(Classifiers!$G$15,E137)),1,0)))&gt;0,1,0))</f>
        <v/>
      </c>
      <c r="U137" s="12">
        <f>IF(H137&lt;&gt;1,0,IF((IF(Classifiers!$B$16="",0,IF(ISNUMBER(SEARCH(Classifiers!$B$16,E137)),1,0))+IF(Classifiers!$C$16="",0,IF(ISNUMBER(SEARCH(Classifiers!$C$16,E137)),1,0))+IF(Classifiers!$D$16="",0,IF(ISNUMBER(SEARCH(Classifiers!$D$16,E137)),1,0))+IF(Classifiers!$E$16="",0,IF(ISNUMBER(SEARCH(Classifiers!$E$16,E137)),1,0))+IF(Classifiers!$F$16="",0,IF(ISNUMBER(SEARCH(Classifiers!$F$16,E137)),1,0))+IF(Classifiers!$G$16="",0,IF(ISNUMBER(SEARCH(Classifiers!$G$16,E137)),1,0)))&gt;0,1,0))</f>
        <v/>
      </c>
      <c r="V137" s="12">
        <f>IF(H137&lt;&gt;1,0,IF((IF(Classifiers!$B$17="",0,IF(ISNUMBER(SEARCH(Classifiers!$B$17,E137)),1,0))+IF(Classifiers!$C$17="",0,IF(ISNUMBER(SEARCH(Classifiers!$C$17,E137)),1,0))+IF(Classifiers!$D$17="",0,IF(ISNUMBER(SEARCH(Classifiers!$D$17,E137)),1,0))+IF(Classifiers!$E$17="",0,IF(ISNUMBER(SEARCH(Classifiers!$E$17,E137)),1,0))+IF(Classifiers!$F$17="",0,IF(ISNUMBER(SEARCH(Classifiers!$F$17,E137)),1,0))+IF(Classifiers!$G$17="",0,IF(ISNUMBER(SEARCH(Classifiers!$G$17,E137)),1,0)))&gt;0,1,0))</f>
        <v/>
      </c>
      <c r="W137" s="12">
        <f>IF(H137&lt;&gt;1,0,IF((IF(Classifiers!$B$18="",0,IF(ISNUMBER(SEARCH(Classifiers!$B$18,E137)),1,0))+IF(Classifiers!$C$18="",0,IF(ISNUMBER(SEARCH(Classifiers!$C$18,E137)),1,0))+IF(Classifiers!$D$18="",0,IF(ISNUMBER(SEARCH(Classifiers!$D$18,E137)),1,0))+IF(Classifiers!$E$18="",0,IF(ISNUMBER(SEARCH(Classifiers!$E$18,E137)),1,0))+IF(Classifiers!$F$18="",0,IF(ISNUMBER(SEARCH(Classifiers!$F$18,E137)),1,0))+IF(Classifiers!$G$18="",0,IF(ISNUMBER(SEARCH(Classifiers!$G$18,E137)),1,0)))&gt;0,1,0))</f>
        <v/>
      </c>
    </row>
    <row r="138">
      <c r="A138" s="8" t="n"/>
      <c r="B138" s="11" t="n"/>
      <c r="C138" s="6">
        <f>IF(A138="","",TRIM(RIGHT(SUBSTITUTE(A138,"/",REPT(" ",250)),250)))</f>
        <v/>
      </c>
      <c r="D138" s="6">
        <f>IF(C138="","",IF(ISNUMBER(SEARCH(".",C138)),LOWER("."&amp;TRIM(RIGHT(SUBSTITUTE(C138,".",REPT(" ",250)),250))),""))</f>
        <v/>
      </c>
      <c r="E138" s="6">
        <f>IF(C138="","",TRIM(SUBSTITUTE(SUBSTITUTE(SUBSTITUTE(SUBSTITUTE(SUBSTITUTE(SUBSTITUTE(SUBSTITUTE(SUBSTITUTE(SUBSTITUTE(SUBSTITUTE(SUBSTITUTE(SUBSTITUTE(SUBSTITUTE(SUBSTITUTE(SUBSTITUTE(SUBSTITUTE(SUBSTITUTE(SUBSTITUTE(SUBSTITUTE(SUBSTITUTE(LOWER(LEFT(C138,LEN(C138)-LEN(D138))),"_"," "),"-"," "),"."," "),","," "),"("," "),")"," "),"["," "),"]"," "),"&amp;"," "),"+"," "),"@"," "),"#"," "),"!"," "),"'"," "),"/"," "),":"," "),";"," "),"="," "),"~"," "),"%"," ")))</f>
        <v/>
      </c>
      <c r="F138" s="6">
        <f>IF(C138="","",IF(COUNTIF(Classifiers!$A$23:$A$40,D138)&gt;0,1,0))</f>
        <v/>
      </c>
      <c r="G138" s="6">
        <f>IF(C138="","",IF(COUNTIF(Classifiers!$C$23:$C$30,D138)&gt;0,IF((IF(ISNUMBER(SEARCH(Classifiers!$E$23,E138)),1,0)+IF(ISNUMBER(SEARCH(Classifiers!$E$24,E138)),1,0)+IF(ISNUMBER(SEARCH(Classifiers!$E$25,E138)),1,0)+IF(ISNUMBER(SEARCH(Classifiers!$E$26,E138)),1,0)+IF(ISNUMBER(SEARCH(Classifiers!$E$27,E138)),1,0)+IF(ISNUMBER(SEARCH(Classifiers!$E$28,E138)),1,0)+IF(ISNUMBER(SEARCH(Classifiers!$E$29,E138)),1,0)+IF(ISNUMBER(SEARCH(Classifiers!$E$30,E138)),1,0))&gt;0,1,0),0))</f>
        <v/>
      </c>
      <c r="H138" s="6">
        <f>IF(C138="","",IF(OR(LEFT(C138,1)=".",AND(F138=0,G138=0)),0,1))</f>
        <v/>
      </c>
      <c r="I138" s="6">
        <f>IF(H138&lt;&gt;1,"",IF(SUM(J138:W138)=0,"unclassified",INDEX(Classifiers!$A$5:$A$18,MATCH(1,J138:W138,0),1)))</f>
        <v/>
      </c>
      <c r="J138" s="12">
        <f>IF(H138&lt;&gt;1,0,IF((IF(Classifiers!$B$5="",0,IF(ISNUMBER(SEARCH(Classifiers!$B$5,E138)),1,0))+IF(Classifiers!$C$5="",0,IF(ISNUMBER(SEARCH(Classifiers!$C$5,E138)),1,0))+IF(Classifiers!$D$5="",0,IF(ISNUMBER(SEARCH(Classifiers!$D$5,E138)),1,0))+IF(Classifiers!$E$5="",0,IF(ISNUMBER(SEARCH(Classifiers!$E$5,E138)),1,0))+IF(Classifiers!$F$5="",0,IF(ISNUMBER(SEARCH(Classifiers!$F$5,E138)),1,0))+IF(Classifiers!$G$5="",0,IF(ISNUMBER(SEARCH(Classifiers!$G$5,E138)),1,0)))&gt;0,1,0))</f>
        <v/>
      </c>
      <c r="K138" s="12">
        <f>IF(H138&lt;&gt;1,0,IF((IF(Classifiers!$B$6="",0,IF(ISNUMBER(SEARCH(Classifiers!$B$6,E138)),1,0))+IF(Classifiers!$C$6="",0,IF(ISNUMBER(SEARCH(Classifiers!$C$6,E138)),1,0))+IF(Classifiers!$D$6="",0,IF(ISNUMBER(SEARCH(Classifiers!$D$6,E138)),1,0))+IF(Classifiers!$E$6="",0,IF(ISNUMBER(SEARCH(Classifiers!$E$6,E138)),1,0))+IF(Classifiers!$F$6="",0,IF(ISNUMBER(SEARCH(Classifiers!$F$6,E138)),1,0))+IF(Classifiers!$G$6="",0,IF(ISNUMBER(SEARCH(Classifiers!$G$6,E138)),1,0)))&gt;0,1,0))</f>
        <v/>
      </c>
      <c r="L138" s="12">
        <f>IF(H138&lt;&gt;1,0,IF((IF(Classifiers!$B$7="",0,IF(ISNUMBER(SEARCH(Classifiers!$B$7,E138)),1,0))+IF(Classifiers!$C$7="",0,IF(ISNUMBER(SEARCH(Classifiers!$C$7,E138)),1,0))+IF(Classifiers!$D$7="",0,IF(ISNUMBER(SEARCH(Classifiers!$D$7,E138)),1,0))+IF(Classifiers!$E$7="",0,IF(ISNUMBER(SEARCH(Classifiers!$E$7,E138)),1,0))+IF(Classifiers!$F$7="",0,IF(ISNUMBER(SEARCH(Classifiers!$F$7,E138)),1,0))+IF(Classifiers!$G$7="",0,IF(ISNUMBER(SEARCH(Classifiers!$G$7,E138)),1,0)))&gt;0,1,0))</f>
        <v/>
      </c>
      <c r="M138" s="12">
        <f>IF(H138&lt;&gt;1,0,IF((IF(Classifiers!$B$8="",0,IF(ISNUMBER(SEARCH(Classifiers!$B$8,E138)),1,0))+IF(Classifiers!$C$8="",0,IF(ISNUMBER(SEARCH(Classifiers!$C$8,E138)),1,0))+IF(Classifiers!$D$8="",0,IF(ISNUMBER(SEARCH(Classifiers!$D$8,E138)),1,0))+IF(Classifiers!$E$8="",0,IF(ISNUMBER(SEARCH(Classifiers!$E$8,E138)),1,0))+IF(Classifiers!$F$8="",0,IF(ISNUMBER(SEARCH(Classifiers!$F$8,E138)),1,0))+IF(Classifiers!$G$8="",0,IF(ISNUMBER(SEARCH(Classifiers!$G$8,E138)),1,0)))&gt;0,1,0))</f>
        <v/>
      </c>
      <c r="N138" s="12">
        <f>IF(H138&lt;&gt;1,0,IF((IF(Classifiers!$B$9="",0,IF(ISNUMBER(SEARCH(Classifiers!$B$9,E138)),1,0))+IF(Classifiers!$C$9="",0,IF(ISNUMBER(SEARCH(Classifiers!$C$9,E138)),1,0))+IF(Classifiers!$D$9="",0,IF(ISNUMBER(SEARCH(Classifiers!$D$9,E138)),1,0))+IF(Classifiers!$E$9="",0,IF(ISNUMBER(SEARCH(Classifiers!$E$9,E138)),1,0))+IF(Classifiers!$F$9="",0,IF(ISNUMBER(SEARCH(Classifiers!$F$9,E138)),1,0))+IF(Classifiers!$G$9="",0,IF(ISNUMBER(SEARCH(Classifiers!$G$9,E138)),1,0)))&gt;0,1,0))</f>
        <v/>
      </c>
      <c r="O138" s="12">
        <f>IF(H138&lt;&gt;1,0,IF((IF(Classifiers!$B$10="",0,IF(ISNUMBER(SEARCH(Classifiers!$B$10,E138)),1,0))+IF(Classifiers!$C$10="",0,IF(ISNUMBER(SEARCH(Classifiers!$C$10,E138)),1,0))+IF(Classifiers!$D$10="",0,IF(ISNUMBER(SEARCH(Classifiers!$D$10,E138)),1,0))+IF(Classifiers!$E$10="",0,IF(ISNUMBER(SEARCH(Classifiers!$E$10,E138)),1,0))+IF(Classifiers!$F$10="",0,IF(ISNUMBER(SEARCH(Classifiers!$F$10,E138)),1,0))+IF(Classifiers!$G$10="",0,IF(ISNUMBER(SEARCH(Classifiers!$G$10,E138)),1,0)))&gt;0,1,0))</f>
        <v/>
      </c>
      <c r="P138" s="12">
        <f>IF(H138&lt;&gt;1,0,IF((IF(Classifiers!$B$11="",0,IF(ISNUMBER(SEARCH(Classifiers!$B$11,E138)),1,0))+IF(Classifiers!$C$11="",0,IF(ISNUMBER(SEARCH(Classifiers!$C$11,E138)),1,0))+IF(Classifiers!$D$11="",0,IF(ISNUMBER(SEARCH(Classifiers!$D$11,E138)),1,0))+IF(Classifiers!$E$11="",0,IF(ISNUMBER(SEARCH(Classifiers!$E$11,E138)),1,0))+IF(Classifiers!$F$11="",0,IF(ISNUMBER(SEARCH(Classifiers!$F$11,E138)),1,0))+IF(Classifiers!$G$11="",0,IF(ISNUMBER(SEARCH(Classifiers!$G$11,E138)),1,0)))&gt;0,1,0))</f>
        <v/>
      </c>
      <c r="Q138" s="12">
        <f>IF(H138&lt;&gt;1,0,IF((IF(Classifiers!$B$12="",0,IF(ISNUMBER(SEARCH(Classifiers!$B$12,E138)),1,0))+IF(Classifiers!$C$12="",0,IF(ISNUMBER(SEARCH(Classifiers!$C$12,E138)),1,0))+IF(Classifiers!$D$12="",0,IF(ISNUMBER(SEARCH(Classifiers!$D$12,E138)),1,0))+IF(Classifiers!$E$12="",0,IF(ISNUMBER(SEARCH(Classifiers!$E$12,E138)),1,0))+IF(Classifiers!$F$12="",0,IF(ISNUMBER(SEARCH(Classifiers!$F$12,E138)),1,0))+IF(Classifiers!$G$12="",0,IF(ISNUMBER(SEARCH(Classifiers!$G$12,E138)),1,0)))&gt;0,1,0))</f>
        <v/>
      </c>
      <c r="R138" s="12">
        <f>IF(H138&lt;&gt;1,0,IF((IF(Classifiers!$B$13="",0,IF(ISNUMBER(SEARCH(Classifiers!$B$13,E138)),1,0))+IF(Classifiers!$C$13="",0,IF(ISNUMBER(SEARCH(Classifiers!$C$13,E138)),1,0))+IF(Classifiers!$D$13="",0,IF(ISNUMBER(SEARCH(Classifiers!$D$13,E138)),1,0))+IF(Classifiers!$E$13="",0,IF(ISNUMBER(SEARCH(Classifiers!$E$13,E138)),1,0))+IF(Classifiers!$F$13="",0,IF(ISNUMBER(SEARCH(Classifiers!$F$13,E138)),1,0))+IF(Classifiers!$G$13="",0,IF(ISNUMBER(SEARCH(Classifiers!$G$13,E138)),1,0)))&gt;0,1,0))</f>
        <v/>
      </c>
      <c r="S138" s="12">
        <f>IF(H138&lt;&gt;1,0,IF((IF(Classifiers!$B$14="",0,IF(ISNUMBER(SEARCH(Classifiers!$B$14,E138)),1,0))+IF(Classifiers!$C$14="",0,IF(ISNUMBER(SEARCH(Classifiers!$C$14,E138)),1,0))+IF(Classifiers!$D$14="",0,IF(ISNUMBER(SEARCH(Classifiers!$D$14,E138)),1,0))+IF(Classifiers!$E$14="",0,IF(ISNUMBER(SEARCH(Classifiers!$E$14,E138)),1,0))+IF(Classifiers!$F$14="",0,IF(ISNUMBER(SEARCH(Classifiers!$F$14,E138)),1,0))+IF(Classifiers!$G$14="",0,IF(ISNUMBER(SEARCH(Classifiers!$G$14,E138)),1,0)))&gt;0,1,0))</f>
        <v/>
      </c>
      <c r="T138" s="12">
        <f>IF(H138&lt;&gt;1,0,IF((IF(Classifiers!$B$15="",0,IF(ISNUMBER(SEARCH(Classifiers!$B$15,E138)),1,0))+IF(Classifiers!$C$15="",0,IF(ISNUMBER(SEARCH(Classifiers!$C$15,E138)),1,0))+IF(Classifiers!$D$15="",0,IF(ISNUMBER(SEARCH(Classifiers!$D$15,E138)),1,0))+IF(Classifiers!$E$15="",0,IF(ISNUMBER(SEARCH(Classifiers!$E$15,E138)),1,0))+IF(Classifiers!$F$15="",0,IF(ISNUMBER(SEARCH(Classifiers!$F$15,E138)),1,0))+IF(Classifiers!$G$15="",0,IF(ISNUMBER(SEARCH(Classifiers!$G$15,E138)),1,0)))&gt;0,1,0))</f>
        <v/>
      </c>
      <c r="U138" s="12">
        <f>IF(H138&lt;&gt;1,0,IF((IF(Classifiers!$B$16="",0,IF(ISNUMBER(SEARCH(Classifiers!$B$16,E138)),1,0))+IF(Classifiers!$C$16="",0,IF(ISNUMBER(SEARCH(Classifiers!$C$16,E138)),1,0))+IF(Classifiers!$D$16="",0,IF(ISNUMBER(SEARCH(Classifiers!$D$16,E138)),1,0))+IF(Classifiers!$E$16="",0,IF(ISNUMBER(SEARCH(Classifiers!$E$16,E138)),1,0))+IF(Classifiers!$F$16="",0,IF(ISNUMBER(SEARCH(Classifiers!$F$16,E138)),1,0))+IF(Classifiers!$G$16="",0,IF(ISNUMBER(SEARCH(Classifiers!$G$16,E138)),1,0)))&gt;0,1,0))</f>
        <v/>
      </c>
      <c r="V138" s="12">
        <f>IF(H138&lt;&gt;1,0,IF((IF(Classifiers!$B$17="",0,IF(ISNUMBER(SEARCH(Classifiers!$B$17,E138)),1,0))+IF(Classifiers!$C$17="",0,IF(ISNUMBER(SEARCH(Classifiers!$C$17,E138)),1,0))+IF(Classifiers!$D$17="",0,IF(ISNUMBER(SEARCH(Classifiers!$D$17,E138)),1,0))+IF(Classifiers!$E$17="",0,IF(ISNUMBER(SEARCH(Classifiers!$E$17,E138)),1,0))+IF(Classifiers!$F$17="",0,IF(ISNUMBER(SEARCH(Classifiers!$F$17,E138)),1,0))+IF(Classifiers!$G$17="",0,IF(ISNUMBER(SEARCH(Classifiers!$G$17,E138)),1,0)))&gt;0,1,0))</f>
        <v/>
      </c>
      <c r="W138" s="12">
        <f>IF(H138&lt;&gt;1,0,IF((IF(Classifiers!$B$18="",0,IF(ISNUMBER(SEARCH(Classifiers!$B$18,E138)),1,0))+IF(Classifiers!$C$18="",0,IF(ISNUMBER(SEARCH(Classifiers!$C$18,E138)),1,0))+IF(Classifiers!$D$18="",0,IF(ISNUMBER(SEARCH(Classifiers!$D$18,E138)),1,0))+IF(Classifiers!$E$18="",0,IF(ISNUMBER(SEARCH(Classifiers!$E$18,E138)),1,0))+IF(Classifiers!$F$18="",0,IF(ISNUMBER(SEARCH(Classifiers!$F$18,E138)),1,0))+IF(Classifiers!$G$18="",0,IF(ISNUMBER(SEARCH(Classifiers!$G$18,E138)),1,0)))&gt;0,1,0))</f>
        <v/>
      </c>
    </row>
    <row r="139">
      <c r="A139" s="8" t="n"/>
      <c r="B139" s="11" t="n"/>
      <c r="C139" s="6">
        <f>IF(A139="","",TRIM(RIGHT(SUBSTITUTE(A139,"/",REPT(" ",250)),250)))</f>
        <v/>
      </c>
      <c r="D139" s="6">
        <f>IF(C139="","",IF(ISNUMBER(SEARCH(".",C139)),LOWER("."&amp;TRIM(RIGHT(SUBSTITUTE(C139,".",REPT(" ",250)),250))),""))</f>
        <v/>
      </c>
      <c r="E139" s="6">
        <f>IF(C139="","",TRIM(SUBSTITUTE(SUBSTITUTE(SUBSTITUTE(SUBSTITUTE(SUBSTITUTE(SUBSTITUTE(SUBSTITUTE(SUBSTITUTE(SUBSTITUTE(SUBSTITUTE(SUBSTITUTE(SUBSTITUTE(SUBSTITUTE(SUBSTITUTE(SUBSTITUTE(SUBSTITUTE(SUBSTITUTE(SUBSTITUTE(SUBSTITUTE(SUBSTITUTE(LOWER(LEFT(C139,LEN(C139)-LEN(D139))),"_"," "),"-"," "),"."," "),","," "),"("," "),")"," "),"["," "),"]"," "),"&amp;"," "),"+"," "),"@"," "),"#"," "),"!"," "),"'"," "),"/"," "),":"," "),";"," "),"="," "),"~"," "),"%"," ")))</f>
        <v/>
      </c>
      <c r="F139" s="6">
        <f>IF(C139="","",IF(COUNTIF(Classifiers!$A$23:$A$40,D139)&gt;0,1,0))</f>
        <v/>
      </c>
      <c r="G139" s="6">
        <f>IF(C139="","",IF(COUNTIF(Classifiers!$C$23:$C$30,D139)&gt;0,IF((IF(ISNUMBER(SEARCH(Classifiers!$E$23,E139)),1,0)+IF(ISNUMBER(SEARCH(Classifiers!$E$24,E139)),1,0)+IF(ISNUMBER(SEARCH(Classifiers!$E$25,E139)),1,0)+IF(ISNUMBER(SEARCH(Classifiers!$E$26,E139)),1,0)+IF(ISNUMBER(SEARCH(Classifiers!$E$27,E139)),1,0)+IF(ISNUMBER(SEARCH(Classifiers!$E$28,E139)),1,0)+IF(ISNUMBER(SEARCH(Classifiers!$E$29,E139)),1,0)+IF(ISNUMBER(SEARCH(Classifiers!$E$30,E139)),1,0))&gt;0,1,0),0))</f>
        <v/>
      </c>
      <c r="H139" s="6">
        <f>IF(C139="","",IF(OR(LEFT(C139,1)=".",AND(F139=0,G139=0)),0,1))</f>
        <v/>
      </c>
      <c r="I139" s="6">
        <f>IF(H139&lt;&gt;1,"",IF(SUM(J139:W139)=0,"unclassified",INDEX(Classifiers!$A$5:$A$18,MATCH(1,J139:W139,0),1)))</f>
        <v/>
      </c>
      <c r="J139" s="12">
        <f>IF(H139&lt;&gt;1,0,IF((IF(Classifiers!$B$5="",0,IF(ISNUMBER(SEARCH(Classifiers!$B$5,E139)),1,0))+IF(Classifiers!$C$5="",0,IF(ISNUMBER(SEARCH(Classifiers!$C$5,E139)),1,0))+IF(Classifiers!$D$5="",0,IF(ISNUMBER(SEARCH(Classifiers!$D$5,E139)),1,0))+IF(Classifiers!$E$5="",0,IF(ISNUMBER(SEARCH(Classifiers!$E$5,E139)),1,0))+IF(Classifiers!$F$5="",0,IF(ISNUMBER(SEARCH(Classifiers!$F$5,E139)),1,0))+IF(Classifiers!$G$5="",0,IF(ISNUMBER(SEARCH(Classifiers!$G$5,E139)),1,0)))&gt;0,1,0))</f>
        <v/>
      </c>
      <c r="K139" s="12">
        <f>IF(H139&lt;&gt;1,0,IF((IF(Classifiers!$B$6="",0,IF(ISNUMBER(SEARCH(Classifiers!$B$6,E139)),1,0))+IF(Classifiers!$C$6="",0,IF(ISNUMBER(SEARCH(Classifiers!$C$6,E139)),1,0))+IF(Classifiers!$D$6="",0,IF(ISNUMBER(SEARCH(Classifiers!$D$6,E139)),1,0))+IF(Classifiers!$E$6="",0,IF(ISNUMBER(SEARCH(Classifiers!$E$6,E139)),1,0))+IF(Classifiers!$F$6="",0,IF(ISNUMBER(SEARCH(Classifiers!$F$6,E139)),1,0))+IF(Classifiers!$G$6="",0,IF(ISNUMBER(SEARCH(Classifiers!$G$6,E139)),1,0)))&gt;0,1,0))</f>
        <v/>
      </c>
      <c r="L139" s="12">
        <f>IF(H139&lt;&gt;1,0,IF((IF(Classifiers!$B$7="",0,IF(ISNUMBER(SEARCH(Classifiers!$B$7,E139)),1,0))+IF(Classifiers!$C$7="",0,IF(ISNUMBER(SEARCH(Classifiers!$C$7,E139)),1,0))+IF(Classifiers!$D$7="",0,IF(ISNUMBER(SEARCH(Classifiers!$D$7,E139)),1,0))+IF(Classifiers!$E$7="",0,IF(ISNUMBER(SEARCH(Classifiers!$E$7,E139)),1,0))+IF(Classifiers!$F$7="",0,IF(ISNUMBER(SEARCH(Classifiers!$F$7,E139)),1,0))+IF(Classifiers!$G$7="",0,IF(ISNUMBER(SEARCH(Classifiers!$G$7,E139)),1,0)))&gt;0,1,0))</f>
        <v/>
      </c>
      <c r="M139" s="12">
        <f>IF(H139&lt;&gt;1,0,IF((IF(Classifiers!$B$8="",0,IF(ISNUMBER(SEARCH(Classifiers!$B$8,E139)),1,0))+IF(Classifiers!$C$8="",0,IF(ISNUMBER(SEARCH(Classifiers!$C$8,E139)),1,0))+IF(Classifiers!$D$8="",0,IF(ISNUMBER(SEARCH(Classifiers!$D$8,E139)),1,0))+IF(Classifiers!$E$8="",0,IF(ISNUMBER(SEARCH(Classifiers!$E$8,E139)),1,0))+IF(Classifiers!$F$8="",0,IF(ISNUMBER(SEARCH(Classifiers!$F$8,E139)),1,0))+IF(Classifiers!$G$8="",0,IF(ISNUMBER(SEARCH(Classifiers!$G$8,E139)),1,0)))&gt;0,1,0))</f>
        <v/>
      </c>
      <c r="N139" s="12">
        <f>IF(H139&lt;&gt;1,0,IF((IF(Classifiers!$B$9="",0,IF(ISNUMBER(SEARCH(Classifiers!$B$9,E139)),1,0))+IF(Classifiers!$C$9="",0,IF(ISNUMBER(SEARCH(Classifiers!$C$9,E139)),1,0))+IF(Classifiers!$D$9="",0,IF(ISNUMBER(SEARCH(Classifiers!$D$9,E139)),1,0))+IF(Classifiers!$E$9="",0,IF(ISNUMBER(SEARCH(Classifiers!$E$9,E139)),1,0))+IF(Classifiers!$F$9="",0,IF(ISNUMBER(SEARCH(Classifiers!$F$9,E139)),1,0))+IF(Classifiers!$G$9="",0,IF(ISNUMBER(SEARCH(Classifiers!$G$9,E139)),1,0)))&gt;0,1,0))</f>
        <v/>
      </c>
      <c r="O139" s="12">
        <f>IF(H139&lt;&gt;1,0,IF((IF(Classifiers!$B$10="",0,IF(ISNUMBER(SEARCH(Classifiers!$B$10,E139)),1,0))+IF(Classifiers!$C$10="",0,IF(ISNUMBER(SEARCH(Classifiers!$C$10,E139)),1,0))+IF(Classifiers!$D$10="",0,IF(ISNUMBER(SEARCH(Classifiers!$D$10,E139)),1,0))+IF(Classifiers!$E$10="",0,IF(ISNUMBER(SEARCH(Classifiers!$E$10,E139)),1,0))+IF(Classifiers!$F$10="",0,IF(ISNUMBER(SEARCH(Classifiers!$F$10,E139)),1,0))+IF(Classifiers!$G$10="",0,IF(ISNUMBER(SEARCH(Classifiers!$G$10,E139)),1,0)))&gt;0,1,0))</f>
        <v/>
      </c>
      <c r="P139" s="12">
        <f>IF(H139&lt;&gt;1,0,IF((IF(Classifiers!$B$11="",0,IF(ISNUMBER(SEARCH(Classifiers!$B$11,E139)),1,0))+IF(Classifiers!$C$11="",0,IF(ISNUMBER(SEARCH(Classifiers!$C$11,E139)),1,0))+IF(Classifiers!$D$11="",0,IF(ISNUMBER(SEARCH(Classifiers!$D$11,E139)),1,0))+IF(Classifiers!$E$11="",0,IF(ISNUMBER(SEARCH(Classifiers!$E$11,E139)),1,0))+IF(Classifiers!$F$11="",0,IF(ISNUMBER(SEARCH(Classifiers!$F$11,E139)),1,0))+IF(Classifiers!$G$11="",0,IF(ISNUMBER(SEARCH(Classifiers!$G$11,E139)),1,0)))&gt;0,1,0))</f>
        <v/>
      </c>
      <c r="Q139" s="12">
        <f>IF(H139&lt;&gt;1,0,IF((IF(Classifiers!$B$12="",0,IF(ISNUMBER(SEARCH(Classifiers!$B$12,E139)),1,0))+IF(Classifiers!$C$12="",0,IF(ISNUMBER(SEARCH(Classifiers!$C$12,E139)),1,0))+IF(Classifiers!$D$12="",0,IF(ISNUMBER(SEARCH(Classifiers!$D$12,E139)),1,0))+IF(Classifiers!$E$12="",0,IF(ISNUMBER(SEARCH(Classifiers!$E$12,E139)),1,0))+IF(Classifiers!$F$12="",0,IF(ISNUMBER(SEARCH(Classifiers!$F$12,E139)),1,0))+IF(Classifiers!$G$12="",0,IF(ISNUMBER(SEARCH(Classifiers!$G$12,E139)),1,0)))&gt;0,1,0))</f>
        <v/>
      </c>
      <c r="R139" s="12">
        <f>IF(H139&lt;&gt;1,0,IF((IF(Classifiers!$B$13="",0,IF(ISNUMBER(SEARCH(Classifiers!$B$13,E139)),1,0))+IF(Classifiers!$C$13="",0,IF(ISNUMBER(SEARCH(Classifiers!$C$13,E139)),1,0))+IF(Classifiers!$D$13="",0,IF(ISNUMBER(SEARCH(Classifiers!$D$13,E139)),1,0))+IF(Classifiers!$E$13="",0,IF(ISNUMBER(SEARCH(Classifiers!$E$13,E139)),1,0))+IF(Classifiers!$F$13="",0,IF(ISNUMBER(SEARCH(Classifiers!$F$13,E139)),1,0))+IF(Classifiers!$G$13="",0,IF(ISNUMBER(SEARCH(Classifiers!$G$13,E139)),1,0)))&gt;0,1,0))</f>
        <v/>
      </c>
      <c r="S139" s="12">
        <f>IF(H139&lt;&gt;1,0,IF((IF(Classifiers!$B$14="",0,IF(ISNUMBER(SEARCH(Classifiers!$B$14,E139)),1,0))+IF(Classifiers!$C$14="",0,IF(ISNUMBER(SEARCH(Classifiers!$C$14,E139)),1,0))+IF(Classifiers!$D$14="",0,IF(ISNUMBER(SEARCH(Classifiers!$D$14,E139)),1,0))+IF(Classifiers!$E$14="",0,IF(ISNUMBER(SEARCH(Classifiers!$E$14,E139)),1,0))+IF(Classifiers!$F$14="",0,IF(ISNUMBER(SEARCH(Classifiers!$F$14,E139)),1,0))+IF(Classifiers!$G$14="",0,IF(ISNUMBER(SEARCH(Classifiers!$G$14,E139)),1,0)))&gt;0,1,0))</f>
        <v/>
      </c>
      <c r="T139" s="12">
        <f>IF(H139&lt;&gt;1,0,IF((IF(Classifiers!$B$15="",0,IF(ISNUMBER(SEARCH(Classifiers!$B$15,E139)),1,0))+IF(Classifiers!$C$15="",0,IF(ISNUMBER(SEARCH(Classifiers!$C$15,E139)),1,0))+IF(Classifiers!$D$15="",0,IF(ISNUMBER(SEARCH(Classifiers!$D$15,E139)),1,0))+IF(Classifiers!$E$15="",0,IF(ISNUMBER(SEARCH(Classifiers!$E$15,E139)),1,0))+IF(Classifiers!$F$15="",0,IF(ISNUMBER(SEARCH(Classifiers!$F$15,E139)),1,0))+IF(Classifiers!$G$15="",0,IF(ISNUMBER(SEARCH(Classifiers!$G$15,E139)),1,0)))&gt;0,1,0))</f>
        <v/>
      </c>
      <c r="U139" s="12">
        <f>IF(H139&lt;&gt;1,0,IF((IF(Classifiers!$B$16="",0,IF(ISNUMBER(SEARCH(Classifiers!$B$16,E139)),1,0))+IF(Classifiers!$C$16="",0,IF(ISNUMBER(SEARCH(Classifiers!$C$16,E139)),1,0))+IF(Classifiers!$D$16="",0,IF(ISNUMBER(SEARCH(Classifiers!$D$16,E139)),1,0))+IF(Classifiers!$E$16="",0,IF(ISNUMBER(SEARCH(Classifiers!$E$16,E139)),1,0))+IF(Classifiers!$F$16="",0,IF(ISNUMBER(SEARCH(Classifiers!$F$16,E139)),1,0))+IF(Classifiers!$G$16="",0,IF(ISNUMBER(SEARCH(Classifiers!$G$16,E139)),1,0)))&gt;0,1,0))</f>
        <v/>
      </c>
      <c r="V139" s="12">
        <f>IF(H139&lt;&gt;1,0,IF((IF(Classifiers!$B$17="",0,IF(ISNUMBER(SEARCH(Classifiers!$B$17,E139)),1,0))+IF(Classifiers!$C$17="",0,IF(ISNUMBER(SEARCH(Classifiers!$C$17,E139)),1,0))+IF(Classifiers!$D$17="",0,IF(ISNUMBER(SEARCH(Classifiers!$D$17,E139)),1,0))+IF(Classifiers!$E$17="",0,IF(ISNUMBER(SEARCH(Classifiers!$E$17,E139)),1,0))+IF(Classifiers!$F$17="",0,IF(ISNUMBER(SEARCH(Classifiers!$F$17,E139)),1,0))+IF(Classifiers!$G$17="",0,IF(ISNUMBER(SEARCH(Classifiers!$G$17,E139)),1,0)))&gt;0,1,0))</f>
        <v/>
      </c>
      <c r="W139" s="12">
        <f>IF(H139&lt;&gt;1,0,IF((IF(Classifiers!$B$18="",0,IF(ISNUMBER(SEARCH(Classifiers!$B$18,E139)),1,0))+IF(Classifiers!$C$18="",0,IF(ISNUMBER(SEARCH(Classifiers!$C$18,E139)),1,0))+IF(Classifiers!$D$18="",0,IF(ISNUMBER(SEARCH(Classifiers!$D$18,E139)),1,0))+IF(Classifiers!$E$18="",0,IF(ISNUMBER(SEARCH(Classifiers!$E$18,E139)),1,0))+IF(Classifiers!$F$18="",0,IF(ISNUMBER(SEARCH(Classifiers!$F$18,E139)),1,0))+IF(Classifiers!$G$18="",0,IF(ISNUMBER(SEARCH(Classifiers!$G$18,E139)),1,0)))&gt;0,1,0))</f>
        <v/>
      </c>
    </row>
    <row r="140">
      <c r="A140" s="8" t="n"/>
      <c r="B140" s="11" t="n"/>
      <c r="C140" s="6">
        <f>IF(A140="","",TRIM(RIGHT(SUBSTITUTE(A140,"/",REPT(" ",250)),250)))</f>
        <v/>
      </c>
      <c r="D140" s="6">
        <f>IF(C140="","",IF(ISNUMBER(SEARCH(".",C140)),LOWER("."&amp;TRIM(RIGHT(SUBSTITUTE(C140,".",REPT(" ",250)),250))),""))</f>
        <v/>
      </c>
      <c r="E140" s="6">
        <f>IF(C140="","",TRIM(SUBSTITUTE(SUBSTITUTE(SUBSTITUTE(SUBSTITUTE(SUBSTITUTE(SUBSTITUTE(SUBSTITUTE(SUBSTITUTE(SUBSTITUTE(SUBSTITUTE(SUBSTITUTE(SUBSTITUTE(SUBSTITUTE(SUBSTITUTE(SUBSTITUTE(SUBSTITUTE(SUBSTITUTE(SUBSTITUTE(SUBSTITUTE(SUBSTITUTE(LOWER(LEFT(C140,LEN(C140)-LEN(D140))),"_"," "),"-"," "),"."," "),","," "),"("," "),")"," "),"["," "),"]"," "),"&amp;"," "),"+"," "),"@"," "),"#"," "),"!"," "),"'"," "),"/"," "),":"," "),";"," "),"="," "),"~"," "),"%"," ")))</f>
        <v/>
      </c>
      <c r="F140" s="6">
        <f>IF(C140="","",IF(COUNTIF(Classifiers!$A$23:$A$40,D140)&gt;0,1,0))</f>
        <v/>
      </c>
      <c r="G140" s="6">
        <f>IF(C140="","",IF(COUNTIF(Classifiers!$C$23:$C$30,D140)&gt;0,IF((IF(ISNUMBER(SEARCH(Classifiers!$E$23,E140)),1,0)+IF(ISNUMBER(SEARCH(Classifiers!$E$24,E140)),1,0)+IF(ISNUMBER(SEARCH(Classifiers!$E$25,E140)),1,0)+IF(ISNUMBER(SEARCH(Classifiers!$E$26,E140)),1,0)+IF(ISNUMBER(SEARCH(Classifiers!$E$27,E140)),1,0)+IF(ISNUMBER(SEARCH(Classifiers!$E$28,E140)),1,0)+IF(ISNUMBER(SEARCH(Classifiers!$E$29,E140)),1,0)+IF(ISNUMBER(SEARCH(Classifiers!$E$30,E140)),1,0))&gt;0,1,0),0))</f>
        <v/>
      </c>
      <c r="H140" s="6">
        <f>IF(C140="","",IF(OR(LEFT(C140,1)=".",AND(F140=0,G140=0)),0,1))</f>
        <v/>
      </c>
      <c r="I140" s="6">
        <f>IF(H140&lt;&gt;1,"",IF(SUM(J140:W140)=0,"unclassified",INDEX(Classifiers!$A$5:$A$18,MATCH(1,J140:W140,0),1)))</f>
        <v/>
      </c>
      <c r="J140" s="12">
        <f>IF(H140&lt;&gt;1,0,IF((IF(Classifiers!$B$5="",0,IF(ISNUMBER(SEARCH(Classifiers!$B$5,E140)),1,0))+IF(Classifiers!$C$5="",0,IF(ISNUMBER(SEARCH(Classifiers!$C$5,E140)),1,0))+IF(Classifiers!$D$5="",0,IF(ISNUMBER(SEARCH(Classifiers!$D$5,E140)),1,0))+IF(Classifiers!$E$5="",0,IF(ISNUMBER(SEARCH(Classifiers!$E$5,E140)),1,0))+IF(Classifiers!$F$5="",0,IF(ISNUMBER(SEARCH(Classifiers!$F$5,E140)),1,0))+IF(Classifiers!$G$5="",0,IF(ISNUMBER(SEARCH(Classifiers!$G$5,E140)),1,0)))&gt;0,1,0))</f>
        <v/>
      </c>
      <c r="K140" s="12">
        <f>IF(H140&lt;&gt;1,0,IF((IF(Classifiers!$B$6="",0,IF(ISNUMBER(SEARCH(Classifiers!$B$6,E140)),1,0))+IF(Classifiers!$C$6="",0,IF(ISNUMBER(SEARCH(Classifiers!$C$6,E140)),1,0))+IF(Classifiers!$D$6="",0,IF(ISNUMBER(SEARCH(Classifiers!$D$6,E140)),1,0))+IF(Classifiers!$E$6="",0,IF(ISNUMBER(SEARCH(Classifiers!$E$6,E140)),1,0))+IF(Classifiers!$F$6="",0,IF(ISNUMBER(SEARCH(Classifiers!$F$6,E140)),1,0))+IF(Classifiers!$G$6="",0,IF(ISNUMBER(SEARCH(Classifiers!$G$6,E140)),1,0)))&gt;0,1,0))</f>
        <v/>
      </c>
      <c r="L140" s="12">
        <f>IF(H140&lt;&gt;1,0,IF((IF(Classifiers!$B$7="",0,IF(ISNUMBER(SEARCH(Classifiers!$B$7,E140)),1,0))+IF(Classifiers!$C$7="",0,IF(ISNUMBER(SEARCH(Classifiers!$C$7,E140)),1,0))+IF(Classifiers!$D$7="",0,IF(ISNUMBER(SEARCH(Classifiers!$D$7,E140)),1,0))+IF(Classifiers!$E$7="",0,IF(ISNUMBER(SEARCH(Classifiers!$E$7,E140)),1,0))+IF(Classifiers!$F$7="",0,IF(ISNUMBER(SEARCH(Classifiers!$F$7,E140)),1,0))+IF(Classifiers!$G$7="",0,IF(ISNUMBER(SEARCH(Classifiers!$G$7,E140)),1,0)))&gt;0,1,0))</f>
        <v/>
      </c>
      <c r="M140" s="12">
        <f>IF(H140&lt;&gt;1,0,IF((IF(Classifiers!$B$8="",0,IF(ISNUMBER(SEARCH(Classifiers!$B$8,E140)),1,0))+IF(Classifiers!$C$8="",0,IF(ISNUMBER(SEARCH(Classifiers!$C$8,E140)),1,0))+IF(Classifiers!$D$8="",0,IF(ISNUMBER(SEARCH(Classifiers!$D$8,E140)),1,0))+IF(Classifiers!$E$8="",0,IF(ISNUMBER(SEARCH(Classifiers!$E$8,E140)),1,0))+IF(Classifiers!$F$8="",0,IF(ISNUMBER(SEARCH(Classifiers!$F$8,E140)),1,0))+IF(Classifiers!$G$8="",0,IF(ISNUMBER(SEARCH(Classifiers!$G$8,E140)),1,0)))&gt;0,1,0))</f>
        <v/>
      </c>
      <c r="N140" s="12">
        <f>IF(H140&lt;&gt;1,0,IF((IF(Classifiers!$B$9="",0,IF(ISNUMBER(SEARCH(Classifiers!$B$9,E140)),1,0))+IF(Classifiers!$C$9="",0,IF(ISNUMBER(SEARCH(Classifiers!$C$9,E140)),1,0))+IF(Classifiers!$D$9="",0,IF(ISNUMBER(SEARCH(Classifiers!$D$9,E140)),1,0))+IF(Classifiers!$E$9="",0,IF(ISNUMBER(SEARCH(Classifiers!$E$9,E140)),1,0))+IF(Classifiers!$F$9="",0,IF(ISNUMBER(SEARCH(Classifiers!$F$9,E140)),1,0))+IF(Classifiers!$G$9="",0,IF(ISNUMBER(SEARCH(Classifiers!$G$9,E140)),1,0)))&gt;0,1,0))</f>
        <v/>
      </c>
      <c r="O140" s="12">
        <f>IF(H140&lt;&gt;1,0,IF((IF(Classifiers!$B$10="",0,IF(ISNUMBER(SEARCH(Classifiers!$B$10,E140)),1,0))+IF(Classifiers!$C$10="",0,IF(ISNUMBER(SEARCH(Classifiers!$C$10,E140)),1,0))+IF(Classifiers!$D$10="",0,IF(ISNUMBER(SEARCH(Classifiers!$D$10,E140)),1,0))+IF(Classifiers!$E$10="",0,IF(ISNUMBER(SEARCH(Classifiers!$E$10,E140)),1,0))+IF(Classifiers!$F$10="",0,IF(ISNUMBER(SEARCH(Classifiers!$F$10,E140)),1,0))+IF(Classifiers!$G$10="",0,IF(ISNUMBER(SEARCH(Classifiers!$G$10,E140)),1,0)))&gt;0,1,0))</f>
        <v/>
      </c>
      <c r="P140" s="12">
        <f>IF(H140&lt;&gt;1,0,IF((IF(Classifiers!$B$11="",0,IF(ISNUMBER(SEARCH(Classifiers!$B$11,E140)),1,0))+IF(Classifiers!$C$11="",0,IF(ISNUMBER(SEARCH(Classifiers!$C$11,E140)),1,0))+IF(Classifiers!$D$11="",0,IF(ISNUMBER(SEARCH(Classifiers!$D$11,E140)),1,0))+IF(Classifiers!$E$11="",0,IF(ISNUMBER(SEARCH(Classifiers!$E$11,E140)),1,0))+IF(Classifiers!$F$11="",0,IF(ISNUMBER(SEARCH(Classifiers!$F$11,E140)),1,0))+IF(Classifiers!$G$11="",0,IF(ISNUMBER(SEARCH(Classifiers!$G$11,E140)),1,0)))&gt;0,1,0))</f>
        <v/>
      </c>
      <c r="Q140" s="12">
        <f>IF(H140&lt;&gt;1,0,IF((IF(Classifiers!$B$12="",0,IF(ISNUMBER(SEARCH(Classifiers!$B$12,E140)),1,0))+IF(Classifiers!$C$12="",0,IF(ISNUMBER(SEARCH(Classifiers!$C$12,E140)),1,0))+IF(Classifiers!$D$12="",0,IF(ISNUMBER(SEARCH(Classifiers!$D$12,E140)),1,0))+IF(Classifiers!$E$12="",0,IF(ISNUMBER(SEARCH(Classifiers!$E$12,E140)),1,0))+IF(Classifiers!$F$12="",0,IF(ISNUMBER(SEARCH(Classifiers!$F$12,E140)),1,0))+IF(Classifiers!$G$12="",0,IF(ISNUMBER(SEARCH(Classifiers!$G$12,E140)),1,0)))&gt;0,1,0))</f>
        <v/>
      </c>
      <c r="R140" s="12">
        <f>IF(H140&lt;&gt;1,0,IF((IF(Classifiers!$B$13="",0,IF(ISNUMBER(SEARCH(Classifiers!$B$13,E140)),1,0))+IF(Classifiers!$C$13="",0,IF(ISNUMBER(SEARCH(Classifiers!$C$13,E140)),1,0))+IF(Classifiers!$D$13="",0,IF(ISNUMBER(SEARCH(Classifiers!$D$13,E140)),1,0))+IF(Classifiers!$E$13="",0,IF(ISNUMBER(SEARCH(Classifiers!$E$13,E140)),1,0))+IF(Classifiers!$F$13="",0,IF(ISNUMBER(SEARCH(Classifiers!$F$13,E140)),1,0))+IF(Classifiers!$G$13="",0,IF(ISNUMBER(SEARCH(Classifiers!$G$13,E140)),1,0)))&gt;0,1,0))</f>
        <v/>
      </c>
      <c r="S140" s="12">
        <f>IF(H140&lt;&gt;1,0,IF((IF(Classifiers!$B$14="",0,IF(ISNUMBER(SEARCH(Classifiers!$B$14,E140)),1,0))+IF(Classifiers!$C$14="",0,IF(ISNUMBER(SEARCH(Classifiers!$C$14,E140)),1,0))+IF(Classifiers!$D$14="",0,IF(ISNUMBER(SEARCH(Classifiers!$D$14,E140)),1,0))+IF(Classifiers!$E$14="",0,IF(ISNUMBER(SEARCH(Classifiers!$E$14,E140)),1,0))+IF(Classifiers!$F$14="",0,IF(ISNUMBER(SEARCH(Classifiers!$F$14,E140)),1,0))+IF(Classifiers!$G$14="",0,IF(ISNUMBER(SEARCH(Classifiers!$G$14,E140)),1,0)))&gt;0,1,0))</f>
        <v/>
      </c>
      <c r="T140" s="12">
        <f>IF(H140&lt;&gt;1,0,IF((IF(Classifiers!$B$15="",0,IF(ISNUMBER(SEARCH(Classifiers!$B$15,E140)),1,0))+IF(Classifiers!$C$15="",0,IF(ISNUMBER(SEARCH(Classifiers!$C$15,E140)),1,0))+IF(Classifiers!$D$15="",0,IF(ISNUMBER(SEARCH(Classifiers!$D$15,E140)),1,0))+IF(Classifiers!$E$15="",0,IF(ISNUMBER(SEARCH(Classifiers!$E$15,E140)),1,0))+IF(Classifiers!$F$15="",0,IF(ISNUMBER(SEARCH(Classifiers!$F$15,E140)),1,0))+IF(Classifiers!$G$15="",0,IF(ISNUMBER(SEARCH(Classifiers!$G$15,E140)),1,0)))&gt;0,1,0))</f>
        <v/>
      </c>
      <c r="U140" s="12">
        <f>IF(H140&lt;&gt;1,0,IF((IF(Classifiers!$B$16="",0,IF(ISNUMBER(SEARCH(Classifiers!$B$16,E140)),1,0))+IF(Classifiers!$C$16="",0,IF(ISNUMBER(SEARCH(Classifiers!$C$16,E140)),1,0))+IF(Classifiers!$D$16="",0,IF(ISNUMBER(SEARCH(Classifiers!$D$16,E140)),1,0))+IF(Classifiers!$E$16="",0,IF(ISNUMBER(SEARCH(Classifiers!$E$16,E140)),1,0))+IF(Classifiers!$F$16="",0,IF(ISNUMBER(SEARCH(Classifiers!$F$16,E140)),1,0))+IF(Classifiers!$G$16="",0,IF(ISNUMBER(SEARCH(Classifiers!$G$16,E140)),1,0)))&gt;0,1,0))</f>
        <v/>
      </c>
      <c r="V140" s="12">
        <f>IF(H140&lt;&gt;1,0,IF((IF(Classifiers!$B$17="",0,IF(ISNUMBER(SEARCH(Classifiers!$B$17,E140)),1,0))+IF(Classifiers!$C$17="",0,IF(ISNUMBER(SEARCH(Classifiers!$C$17,E140)),1,0))+IF(Classifiers!$D$17="",0,IF(ISNUMBER(SEARCH(Classifiers!$D$17,E140)),1,0))+IF(Classifiers!$E$17="",0,IF(ISNUMBER(SEARCH(Classifiers!$E$17,E140)),1,0))+IF(Classifiers!$F$17="",0,IF(ISNUMBER(SEARCH(Classifiers!$F$17,E140)),1,0))+IF(Classifiers!$G$17="",0,IF(ISNUMBER(SEARCH(Classifiers!$G$17,E140)),1,0)))&gt;0,1,0))</f>
        <v/>
      </c>
      <c r="W140" s="12">
        <f>IF(H140&lt;&gt;1,0,IF((IF(Classifiers!$B$18="",0,IF(ISNUMBER(SEARCH(Classifiers!$B$18,E140)),1,0))+IF(Classifiers!$C$18="",0,IF(ISNUMBER(SEARCH(Classifiers!$C$18,E140)),1,0))+IF(Classifiers!$D$18="",0,IF(ISNUMBER(SEARCH(Classifiers!$D$18,E140)),1,0))+IF(Classifiers!$E$18="",0,IF(ISNUMBER(SEARCH(Classifiers!$E$18,E140)),1,0))+IF(Classifiers!$F$18="",0,IF(ISNUMBER(SEARCH(Classifiers!$F$18,E140)),1,0))+IF(Classifiers!$G$18="",0,IF(ISNUMBER(SEARCH(Classifiers!$G$18,E140)),1,0)))&gt;0,1,0))</f>
        <v/>
      </c>
    </row>
    <row r="141">
      <c r="A141" s="8" t="n"/>
      <c r="B141" s="11" t="n"/>
      <c r="C141" s="6">
        <f>IF(A141="","",TRIM(RIGHT(SUBSTITUTE(A141,"/",REPT(" ",250)),250)))</f>
        <v/>
      </c>
      <c r="D141" s="6">
        <f>IF(C141="","",IF(ISNUMBER(SEARCH(".",C141)),LOWER("."&amp;TRIM(RIGHT(SUBSTITUTE(C141,".",REPT(" ",250)),250))),""))</f>
        <v/>
      </c>
      <c r="E141" s="6">
        <f>IF(C141="","",TRIM(SUBSTITUTE(SUBSTITUTE(SUBSTITUTE(SUBSTITUTE(SUBSTITUTE(SUBSTITUTE(SUBSTITUTE(SUBSTITUTE(SUBSTITUTE(SUBSTITUTE(SUBSTITUTE(SUBSTITUTE(SUBSTITUTE(SUBSTITUTE(SUBSTITUTE(SUBSTITUTE(SUBSTITUTE(SUBSTITUTE(SUBSTITUTE(SUBSTITUTE(LOWER(LEFT(C141,LEN(C141)-LEN(D141))),"_"," "),"-"," "),"."," "),","," "),"("," "),")"," "),"["," "),"]"," "),"&amp;"," "),"+"," "),"@"," "),"#"," "),"!"," "),"'"," "),"/"," "),":"," "),";"," "),"="," "),"~"," "),"%"," ")))</f>
        <v/>
      </c>
      <c r="F141" s="6">
        <f>IF(C141="","",IF(COUNTIF(Classifiers!$A$23:$A$40,D141)&gt;0,1,0))</f>
        <v/>
      </c>
      <c r="G141" s="6">
        <f>IF(C141="","",IF(COUNTIF(Classifiers!$C$23:$C$30,D141)&gt;0,IF((IF(ISNUMBER(SEARCH(Classifiers!$E$23,E141)),1,0)+IF(ISNUMBER(SEARCH(Classifiers!$E$24,E141)),1,0)+IF(ISNUMBER(SEARCH(Classifiers!$E$25,E141)),1,0)+IF(ISNUMBER(SEARCH(Classifiers!$E$26,E141)),1,0)+IF(ISNUMBER(SEARCH(Classifiers!$E$27,E141)),1,0)+IF(ISNUMBER(SEARCH(Classifiers!$E$28,E141)),1,0)+IF(ISNUMBER(SEARCH(Classifiers!$E$29,E141)),1,0)+IF(ISNUMBER(SEARCH(Classifiers!$E$30,E141)),1,0))&gt;0,1,0),0))</f>
        <v/>
      </c>
      <c r="H141" s="6">
        <f>IF(C141="","",IF(OR(LEFT(C141,1)=".",AND(F141=0,G141=0)),0,1))</f>
        <v/>
      </c>
      <c r="I141" s="6">
        <f>IF(H141&lt;&gt;1,"",IF(SUM(J141:W141)=0,"unclassified",INDEX(Classifiers!$A$5:$A$18,MATCH(1,J141:W141,0),1)))</f>
        <v/>
      </c>
      <c r="J141" s="12">
        <f>IF(H141&lt;&gt;1,0,IF((IF(Classifiers!$B$5="",0,IF(ISNUMBER(SEARCH(Classifiers!$B$5,E141)),1,0))+IF(Classifiers!$C$5="",0,IF(ISNUMBER(SEARCH(Classifiers!$C$5,E141)),1,0))+IF(Classifiers!$D$5="",0,IF(ISNUMBER(SEARCH(Classifiers!$D$5,E141)),1,0))+IF(Classifiers!$E$5="",0,IF(ISNUMBER(SEARCH(Classifiers!$E$5,E141)),1,0))+IF(Classifiers!$F$5="",0,IF(ISNUMBER(SEARCH(Classifiers!$F$5,E141)),1,0))+IF(Classifiers!$G$5="",0,IF(ISNUMBER(SEARCH(Classifiers!$G$5,E141)),1,0)))&gt;0,1,0))</f>
        <v/>
      </c>
      <c r="K141" s="12">
        <f>IF(H141&lt;&gt;1,0,IF((IF(Classifiers!$B$6="",0,IF(ISNUMBER(SEARCH(Classifiers!$B$6,E141)),1,0))+IF(Classifiers!$C$6="",0,IF(ISNUMBER(SEARCH(Classifiers!$C$6,E141)),1,0))+IF(Classifiers!$D$6="",0,IF(ISNUMBER(SEARCH(Classifiers!$D$6,E141)),1,0))+IF(Classifiers!$E$6="",0,IF(ISNUMBER(SEARCH(Classifiers!$E$6,E141)),1,0))+IF(Classifiers!$F$6="",0,IF(ISNUMBER(SEARCH(Classifiers!$F$6,E141)),1,0))+IF(Classifiers!$G$6="",0,IF(ISNUMBER(SEARCH(Classifiers!$G$6,E141)),1,0)))&gt;0,1,0))</f>
        <v/>
      </c>
      <c r="L141" s="12">
        <f>IF(H141&lt;&gt;1,0,IF((IF(Classifiers!$B$7="",0,IF(ISNUMBER(SEARCH(Classifiers!$B$7,E141)),1,0))+IF(Classifiers!$C$7="",0,IF(ISNUMBER(SEARCH(Classifiers!$C$7,E141)),1,0))+IF(Classifiers!$D$7="",0,IF(ISNUMBER(SEARCH(Classifiers!$D$7,E141)),1,0))+IF(Classifiers!$E$7="",0,IF(ISNUMBER(SEARCH(Classifiers!$E$7,E141)),1,0))+IF(Classifiers!$F$7="",0,IF(ISNUMBER(SEARCH(Classifiers!$F$7,E141)),1,0))+IF(Classifiers!$G$7="",0,IF(ISNUMBER(SEARCH(Classifiers!$G$7,E141)),1,0)))&gt;0,1,0))</f>
        <v/>
      </c>
      <c r="M141" s="12">
        <f>IF(H141&lt;&gt;1,0,IF((IF(Classifiers!$B$8="",0,IF(ISNUMBER(SEARCH(Classifiers!$B$8,E141)),1,0))+IF(Classifiers!$C$8="",0,IF(ISNUMBER(SEARCH(Classifiers!$C$8,E141)),1,0))+IF(Classifiers!$D$8="",0,IF(ISNUMBER(SEARCH(Classifiers!$D$8,E141)),1,0))+IF(Classifiers!$E$8="",0,IF(ISNUMBER(SEARCH(Classifiers!$E$8,E141)),1,0))+IF(Classifiers!$F$8="",0,IF(ISNUMBER(SEARCH(Classifiers!$F$8,E141)),1,0))+IF(Classifiers!$G$8="",0,IF(ISNUMBER(SEARCH(Classifiers!$G$8,E141)),1,0)))&gt;0,1,0))</f>
        <v/>
      </c>
      <c r="N141" s="12">
        <f>IF(H141&lt;&gt;1,0,IF((IF(Classifiers!$B$9="",0,IF(ISNUMBER(SEARCH(Classifiers!$B$9,E141)),1,0))+IF(Classifiers!$C$9="",0,IF(ISNUMBER(SEARCH(Classifiers!$C$9,E141)),1,0))+IF(Classifiers!$D$9="",0,IF(ISNUMBER(SEARCH(Classifiers!$D$9,E141)),1,0))+IF(Classifiers!$E$9="",0,IF(ISNUMBER(SEARCH(Classifiers!$E$9,E141)),1,0))+IF(Classifiers!$F$9="",0,IF(ISNUMBER(SEARCH(Classifiers!$F$9,E141)),1,0))+IF(Classifiers!$G$9="",0,IF(ISNUMBER(SEARCH(Classifiers!$G$9,E141)),1,0)))&gt;0,1,0))</f>
        <v/>
      </c>
      <c r="O141" s="12">
        <f>IF(H141&lt;&gt;1,0,IF((IF(Classifiers!$B$10="",0,IF(ISNUMBER(SEARCH(Classifiers!$B$10,E141)),1,0))+IF(Classifiers!$C$10="",0,IF(ISNUMBER(SEARCH(Classifiers!$C$10,E141)),1,0))+IF(Classifiers!$D$10="",0,IF(ISNUMBER(SEARCH(Classifiers!$D$10,E141)),1,0))+IF(Classifiers!$E$10="",0,IF(ISNUMBER(SEARCH(Classifiers!$E$10,E141)),1,0))+IF(Classifiers!$F$10="",0,IF(ISNUMBER(SEARCH(Classifiers!$F$10,E141)),1,0))+IF(Classifiers!$G$10="",0,IF(ISNUMBER(SEARCH(Classifiers!$G$10,E141)),1,0)))&gt;0,1,0))</f>
        <v/>
      </c>
      <c r="P141" s="12">
        <f>IF(H141&lt;&gt;1,0,IF((IF(Classifiers!$B$11="",0,IF(ISNUMBER(SEARCH(Classifiers!$B$11,E141)),1,0))+IF(Classifiers!$C$11="",0,IF(ISNUMBER(SEARCH(Classifiers!$C$11,E141)),1,0))+IF(Classifiers!$D$11="",0,IF(ISNUMBER(SEARCH(Classifiers!$D$11,E141)),1,0))+IF(Classifiers!$E$11="",0,IF(ISNUMBER(SEARCH(Classifiers!$E$11,E141)),1,0))+IF(Classifiers!$F$11="",0,IF(ISNUMBER(SEARCH(Classifiers!$F$11,E141)),1,0))+IF(Classifiers!$G$11="",0,IF(ISNUMBER(SEARCH(Classifiers!$G$11,E141)),1,0)))&gt;0,1,0))</f>
        <v/>
      </c>
      <c r="Q141" s="12">
        <f>IF(H141&lt;&gt;1,0,IF((IF(Classifiers!$B$12="",0,IF(ISNUMBER(SEARCH(Classifiers!$B$12,E141)),1,0))+IF(Classifiers!$C$12="",0,IF(ISNUMBER(SEARCH(Classifiers!$C$12,E141)),1,0))+IF(Classifiers!$D$12="",0,IF(ISNUMBER(SEARCH(Classifiers!$D$12,E141)),1,0))+IF(Classifiers!$E$12="",0,IF(ISNUMBER(SEARCH(Classifiers!$E$12,E141)),1,0))+IF(Classifiers!$F$12="",0,IF(ISNUMBER(SEARCH(Classifiers!$F$12,E141)),1,0))+IF(Classifiers!$G$12="",0,IF(ISNUMBER(SEARCH(Classifiers!$G$12,E141)),1,0)))&gt;0,1,0))</f>
        <v/>
      </c>
      <c r="R141" s="12">
        <f>IF(H141&lt;&gt;1,0,IF((IF(Classifiers!$B$13="",0,IF(ISNUMBER(SEARCH(Classifiers!$B$13,E141)),1,0))+IF(Classifiers!$C$13="",0,IF(ISNUMBER(SEARCH(Classifiers!$C$13,E141)),1,0))+IF(Classifiers!$D$13="",0,IF(ISNUMBER(SEARCH(Classifiers!$D$13,E141)),1,0))+IF(Classifiers!$E$13="",0,IF(ISNUMBER(SEARCH(Classifiers!$E$13,E141)),1,0))+IF(Classifiers!$F$13="",0,IF(ISNUMBER(SEARCH(Classifiers!$F$13,E141)),1,0))+IF(Classifiers!$G$13="",0,IF(ISNUMBER(SEARCH(Classifiers!$G$13,E141)),1,0)))&gt;0,1,0))</f>
        <v/>
      </c>
      <c r="S141" s="12">
        <f>IF(H141&lt;&gt;1,0,IF((IF(Classifiers!$B$14="",0,IF(ISNUMBER(SEARCH(Classifiers!$B$14,E141)),1,0))+IF(Classifiers!$C$14="",0,IF(ISNUMBER(SEARCH(Classifiers!$C$14,E141)),1,0))+IF(Classifiers!$D$14="",0,IF(ISNUMBER(SEARCH(Classifiers!$D$14,E141)),1,0))+IF(Classifiers!$E$14="",0,IF(ISNUMBER(SEARCH(Classifiers!$E$14,E141)),1,0))+IF(Classifiers!$F$14="",0,IF(ISNUMBER(SEARCH(Classifiers!$F$14,E141)),1,0))+IF(Classifiers!$G$14="",0,IF(ISNUMBER(SEARCH(Classifiers!$G$14,E141)),1,0)))&gt;0,1,0))</f>
        <v/>
      </c>
      <c r="T141" s="12">
        <f>IF(H141&lt;&gt;1,0,IF((IF(Classifiers!$B$15="",0,IF(ISNUMBER(SEARCH(Classifiers!$B$15,E141)),1,0))+IF(Classifiers!$C$15="",0,IF(ISNUMBER(SEARCH(Classifiers!$C$15,E141)),1,0))+IF(Classifiers!$D$15="",0,IF(ISNUMBER(SEARCH(Classifiers!$D$15,E141)),1,0))+IF(Classifiers!$E$15="",0,IF(ISNUMBER(SEARCH(Classifiers!$E$15,E141)),1,0))+IF(Classifiers!$F$15="",0,IF(ISNUMBER(SEARCH(Classifiers!$F$15,E141)),1,0))+IF(Classifiers!$G$15="",0,IF(ISNUMBER(SEARCH(Classifiers!$G$15,E141)),1,0)))&gt;0,1,0))</f>
        <v/>
      </c>
      <c r="U141" s="12">
        <f>IF(H141&lt;&gt;1,0,IF((IF(Classifiers!$B$16="",0,IF(ISNUMBER(SEARCH(Classifiers!$B$16,E141)),1,0))+IF(Classifiers!$C$16="",0,IF(ISNUMBER(SEARCH(Classifiers!$C$16,E141)),1,0))+IF(Classifiers!$D$16="",0,IF(ISNUMBER(SEARCH(Classifiers!$D$16,E141)),1,0))+IF(Classifiers!$E$16="",0,IF(ISNUMBER(SEARCH(Classifiers!$E$16,E141)),1,0))+IF(Classifiers!$F$16="",0,IF(ISNUMBER(SEARCH(Classifiers!$F$16,E141)),1,0))+IF(Classifiers!$G$16="",0,IF(ISNUMBER(SEARCH(Classifiers!$G$16,E141)),1,0)))&gt;0,1,0))</f>
        <v/>
      </c>
      <c r="V141" s="12">
        <f>IF(H141&lt;&gt;1,0,IF((IF(Classifiers!$B$17="",0,IF(ISNUMBER(SEARCH(Classifiers!$B$17,E141)),1,0))+IF(Classifiers!$C$17="",0,IF(ISNUMBER(SEARCH(Classifiers!$C$17,E141)),1,0))+IF(Classifiers!$D$17="",0,IF(ISNUMBER(SEARCH(Classifiers!$D$17,E141)),1,0))+IF(Classifiers!$E$17="",0,IF(ISNUMBER(SEARCH(Classifiers!$E$17,E141)),1,0))+IF(Classifiers!$F$17="",0,IF(ISNUMBER(SEARCH(Classifiers!$F$17,E141)),1,0))+IF(Classifiers!$G$17="",0,IF(ISNUMBER(SEARCH(Classifiers!$G$17,E141)),1,0)))&gt;0,1,0))</f>
        <v/>
      </c>
      <c r="W141" s="12">
        <f>IF(H141&lt;&gt;1,0,IF((IF(Classifiers!$B$18="",0,IF(ISNUMBER(SEARCH(Classifiers!$B$18,E141)),1,0))+IF(Classifiers!$C$18="",0,IF(ISNUMBER(SEARCH(Classifiers!$C$18,E141)),1,0))+IF(Classifiers!$D$18="",0,IF(ISNUMBER(SEARCH(Classifiers!$D$18,E141)),1,0))+IF(Classifiers!$E$18="",0,IF(ISNUMBER(SEARCH(Classifiers!$E$18,E141)),1,0))+IF(Classifiers!$F$18="",0,IF(ISNUMBER(SEARCH(Classifiers!$F$18,E141)),1,0))+IF(Classifiers!$G$18="",0,IF(ISNUMBER(SEARCH(Classifiers!$G$18,E141)),1,0)))&gt;0,1,0))</f>
        <v/>
      </c>
    </row>
    <row r="142">
      <c r="A142" s="8" t="n"/>
      <c r="B142" s="11" t="n"/>
      <c r="C142" s="6">
        <f>IF(A142="","",TRIM(RIGHT(SUBSTITUTE(A142,"/",REPT(" ",250)),250)))</f>
        <v/>
      </c>
      <c r="D142" s="6">
        <f>IF(C142="","",IF(ISNUMBER(SEARCH(".",C142)),LOWER("."&amp;TRIM(RIGHT(SUBSTITUTE(C142,".",REPT(" ",250)),250))),""))</f>
        <v/>
      </c>
      <c r="E142" s="6">
        <f>IF(C142="","",TRIM(SUBSTITUTE(SUBSTITUTE(SUBSTITUTE(SUBSTITUTE(SUBSTITUTE(SUBSTITUTE(SUBSTITUTE(SUBSTITUTE(SUBSTITUTE(SUBSTITUTE(SUBSTITUTE(SUBSTITUTE(SUBSTITUTE(SUBSTITUTE(SUBSTITUTE(SUBSTITUTE(SUBSTITUTE(SUBSTITUTE(SUBSTITUTE(SUBSTITUTE(LOWER(LEFT(C142,LEN(C142)-LEN(D142))),"_"," "),"-"," "),"."," "),","," "),"("," "),")"," "),"["," "),"]"," "),"&amp;"," "),"+"," "),"@"," "),"#"," "),"!"," "),"'"," "),"/"," "),":"," "),";"," "),"="," "),"~"," "),"%"," ")))</f>
        <v/>
      </c>
      <c r="F142" s="6">
        <f>IF(C142="","",IF(COUNTIF(Classifiers!$A$23:$A$40,D142)&gt;0,1,0))</f>
        <v/>
      </c>
      <c r="G142" s="6">
        <f>IF(C142="","",IF(COUNTIF(Classifiers!$C$23:$C$30,D142)&gt;0,IF((IF(ISNUMBER(SEARCH(Classifiers!$E$23,E142)),1,0)+IF(ISNUMBER(SEARCH(Classifiers!$E$24,E142)),1,0)+IF(ISNUMBER(SEARCH(Classifiers!$E$25,E142)),1,0)+IF(ISNUMBER(SEARCH(Classifiers!$E$26,E142)),1,0)+IF(ISNUMBER(SEARCH(Classifiers!$E$27,E142)),1,0)+IF(ISNUMBER(SEARCH(Classifiers!$E$28,E142)),1,0)+IF(ISNUMBER(SEARCH(Classifiers!$E$29,E142)),1,0)+IF(ISNUMBER(SEARCH(Classifiers!$E$30,E142)),1,0))&gt;0,1,0),0))</f>
        <v/>
      </c>
      <c r="H142" s="6">
        <f>IF(C142="","",IF(OR(LEFT(C142,1)=".",AND(F142=0,G142=0)),0,1))</f>
        <v/>
      </c>
      <c r="I142" s="6">
        <f>IF(H142&lt;&gt;1,"",IF(SUM(J142:W142)=0,"unclassified",INDEX(Classifiers!$A$5:$A$18,MATCH(1,J142:W142,0),1)))</f>
        <v/>
      </c>
      <c r="J142" s="12">
        <f>IF(H142&lt;&gt;1,0,IF((IF(Classifiers!$B$5="",0,IF(ISNUMBER(SEARCH(Classifiers!$B$5,E142)),1,0))+IF(Classifiers!$C$5="",0,IF(ISNUMBER(SEARCH(Classifiers!$C$5,E142)),1,0))+IF(Classifiers!$D$5="",0,IF(ISNUMBER(SEARCH(Classifiers!$D$5,E142)),1,0))+IF(Classifiers!$E$5="",0,IF(ISNUMBER(SEARCH(Classifiers!$E$5,E142)),1,0))+IF(Classifiers!$F$5="",0,IF(ISNUMBER(SEARCH(Classifiers!$F$5,E142)),1,0))+IF(Classifiers!$G$5="",0,IF(ISNUMBER(SEARCH(Classifiers!$G$5,E142)),1,0)))&gt;0,1,0))</f>
        <v/>
      </c>
      <c r="K142" s="12">
        <f>IF(H142&lt;&gt;1,0,IF((IF(Classifiers!$B$6="",0,IF(ISNUMBER(SEARCH(Classifiers!$B$6,E142)),1,0))+IF(Classifiers!$C$6="",0,IF(ISNUMBER(SEARCH(Classifiers!$C$6,E142)),1,0))+IF(Classifiers!$D$6="",0,IF(ISNUMBER(SEARCH(Classifiers!$D$6,E142)),1,0))+IF(Classifiers!$E$6="",0,IF(ISNUMBER(SEARCH(Classifiers!$E$6,E142)),1,0))+IF(Classifiers!$F$6="",0,IF(ISNUMBER(SEARCH(Classifiers!$F$6,E142)),1,0))+IF(Classifiers!$G$6="",0,IF(ISNUMBER(SEARCH(Classifiers!$G$6,E142)),1,0)))&gt;0,1,0))</f>
        <v/>
      </c>
      <c r="L142" s="12">
        <f>IF(H142&lt;&gt;1,0,IF((IF(Classifiers!$B$7="",0,IF(ISNUMBER(SEARCH(Classifiers!$B$7,E142)),1,0))+IF(Classifiers!$C$7="",0,IF(ISNUMBER(SEARCH(Classifiers!$C$7,E142)),1,0))+IF(Classifiers!$D$7="",0,IF(ISNUMBER(SEARCH(Classifiers!$D$7,E142)),1,0))+IF(Classifiers!$E$7="",0,IF(ISNUMBER(SEARCH(Classifiers!$E$7,E142)),1,0))+IF(Classifiers!$F$7="",0,IF(ISNUMBER(SEARCH(Classifiers!$F$7,E142)),1,0))+IF(Classifiers!$G$7="",0,IF(ISNUMBER(SEARCH(Classifiers!$G$7,E142)),1,0)))&gt;0,1,0))</f>
        <v/>
      </c>
      <c r="M142" s="12">
        <f>IF(H142&lt;&gt;1,0,IF((IF(Classifiers!$B$8="",0,IF(ISNUMBER(SEARCH(Classifiers!$B$8,E142)),1,0))+IF(Classifiers!$C$8="",0,IF(ISNUMBER(SEARCH(Classifiers!$C$8,E142)),1,0))+IF(Classifiers!$D$8="",0,IF(ISNUMBER(SEARCH(Classifiers!$D$8,E142)),1,0))+IF(Classifiers!$E$8="",0,IF(ISNUMBER(SEARCH(Classifiers!$E$8,E142)),1,0))+IF(Classifiers!$F$8="",0,IF(ISNUMBER(SEARCH(Classifiers!$F$8,E142)),1,0))+IF(Classifiers!$G$8="",0,IF(ISNUMBER(SEARCH(Classifiers!$G$8,E142)),1,0)))&gt;0,1,0))</f>
        <v/>
      </c>
      <c r="N142" s="12">
        <f>IF(H142&lt;&gt;1,0,IF((IF(Classifiers!$B$9="",0,IF(ISNUMBER(SEARCH(Classifiers!$B$9,E142)),1,0))+IF(Classifiers!$C$9="",0,IF(ISNUMBER(SEARCH(Classifiers!$C$9,E142)),1,0))+IF(Classifiers!$D$9="",0,IF(ISNUMBER(SEARCH(Classifiers!$D$9,E142)),1,0))+IF(Classifiers!$E$9="",0,IF(ISNUMBER(SEARCH(Classifiers!$E$9,E142)),1,0))+IF(Classifiers!$F$9="",0,IF(ISNUMBER(SEARCH(Classifiers!$F$9,E142)),1,0))+IF(Classifiers!$G$9="",0,IF(ISNUMBER(SEARCH(Classifiers!$G$9,E142)),1,0)))&gt;0,1,0))</f>
        <v/>
      </c>
      <c r="O142" s="12">
        <f>IF(H142&lt;&gt;1,0,IF((IF(Classifiers!$B$10="",0,IF(ISNUMBER(SEARCH(Classifiers!$B$10,E142)),1,0))+IF(Classifiers!$C$10="",0,IF(ISNUMBER(SEARCH(Classifiers!$C$10,E142)),1,0))+IF(Classifiers!$D$10="",0,IF(ISNUMBER(SEARCH(Classifiers!$D$10,E142)),1,0))+IF(Classifiers!$E$10="",0,IF(ISNUMBER(SEARCH(Classifiers!$E$10,E142)),1,0))+IF(Classifiers!$F$10="",0,IF(ISNUMBER(SEARCH(Classifiers!$F$10,E142)),1,0))+IF(Classifiers!$G$10="",0,IF(ISNUMBER(SEARCH(Classifiers!$G$10,E142)),1,0)))&gt;0,1,0))</f>
        <v/>
      </c>
      <c r="P142" s="12">
        <f>IF(H142&lt;&gt;1,0,IF((IF(Classifiers!$B$11="",0,IF(ISNUMBER(SEARCH(Classifiers!$B$11,E142)),1,0))+IF(Classifiers!$C$11="",0,IF(ISNUMBER(SEARCH(Classifiers!$C$11,E142)),1,0))+IF(Classifiers!$D$11="",0,IF(ISNUMBER(SEARCH(Classifiers!$D$11,E142)),1,0))+IF(Classifiers!$E$11="",0,IF(ISNUMBER(SEARCH(Classifiers!$E$11,E142)),1,0))+IF(Classifiers!$F$11="",0,IF(ISNUMBER(SEARCH(Classifiers!$F$11,E142)),1,0))+IF(Classifiers!$G$11="",0,IF(ISNUMBER(SEARCH(Classifiers!$G$11,E142)),1,0)))&gt;0,1,0))</f>
        <v/>
      </c>
      <c r="Q142" s="12">
        <f>IF(H142&lt;&gt;1,0,IF((IF(Classifiers!$B$12="",0,IF(ISNUMBER(SEARCH(Classifiers!$B$12,E142)),1,0))+IF(Classifiers!$C$12="",0,IF(ISNUMBER(SEARCH(Classifiers!$C$12,E142)),1,0))+IF(Classifiers!$D$12="",0,IF(ISNUMBER(SEARCH(Classifiers!$D$12,E142)),1,0))+IF(Classifiers!$E$12="",0,IF(ISNUMBER(SEARCH(Classifiers!$E$12,E142)),1,0))+IF(Classifiers!$F$12="",0,IF(ISNUMBER(SEARCH(Classifiers!$F$12,E142)),1,0))+IF(Classifiers!$G$12="",0,IF(ISNUMBER(SEARCH(Classifiers!$G$12,E142)),1,0)))&gt;0,1,0))</f>
        <v/>
      </c>
      <c r="R142" s="12">
        <f>IF(H142&lt;&gt;1,0,IF((IF(Classifiers!$B$13="",0,IF(ISNUMBER(SEARCH(Classifiers!$B$13,E142)),1,0))+IF(Classifiers!$C$13="",0,IF(ISNUMBER(SEARCH(Classifiers!$C$13,E142)),1,0))+IF(Classifiers!$D$13="",0,IF(ISNUMBER(SEARCH(Classifiers!$D$13,E142)),1,0))+IF(Classifiers!$E$13="",0,IF(ISNUMBER(SEARCH(Classifiers!$E$13,E142)),1,0))+IF(Classifiers!$F$13="",0,IF(ISNUMBER(SEARCH(Classifiers!$F$13,E142)),1,0))+IF(Classifiers!$G$13="",0,IF(ISNUMBER(SEARCH(Classifiers!$G$13,E142)),1,0)))&gt;0,1,0))</f>
        <v/>
      </c>
      <c r="S142" s="12">
        <f>IF(H142&lt;&gt;1,0,IF((IF(Classifiers!$B$14="",0,IF(ISNUMBER(SEARCH(Classifiers!$B$14,E142)),1,0))+IF(Classifiers!$C$14="",0,IF(ISNUMBER(SEARCH(Classifiers!$C$14,E142)),1,0))+IF(Classifiers!$D$14="",0,IF(ISNUMBER(SEARCH(Classifiers!$D$14,E142)),1,0))+IF(Classifiers!$E$14="",0,IF(ISNUMBER(SEARCH(Classifiers!$E$14,E142)),1,0))+IF(Classifiers!$F$14="",0,IF(ISNUMBER(SEARCH(Classifiers!$F$14,E142)),1,0))+IF(Classifiers!$G$14="",0,IF(ISNUMBER(SEARCH(Classifiers!$G$14,E142)),1,0)))&gt;0,1,0))</f>
        <v/>
      </c>
      <c r="T142" s="12">
        <f>IF(H142&lt;&gt;1,0,IF((IF(Classifiers!$B$15="",0,IF(ISNUMBER(SEARCH(Classifiers!$B$15,E142)),1,0))+IF(Classifiers!$C$15="",0,IF(ISNUMBER(SEARCH(Classifiers!$C$15,E142)),1,0))+IF(Classifiers!$D$15="",0,IF(ISNUMBER(SEARCH(Classifiers!$D$15,E142)),1,0))+IF(Classifiers!$E$15="",0,IF(ISNUMBER(SEARCH(Classifiers!$E$15,E142)),1,0))+IF(Classifiers!$F$15="",0,IF(ISNUMBER(SEARCH(Classifiers!$F$15,E142)),1,0))+IF(Classifiers!$G$15="",0,IF(ISNUMBER(SEARCH(Classifiers!$G$15,E142)),1,0)))&gt;0,1,0))</f>
        <v/>
      </c>
      <c r="U142" s="12">
        <f>IF(H142&lt;&gt;1,0,IF((IF(Classifiers!$B$16="",0,IF(ISNUMBER(SEARCH(Classifiers!$B$16,E142)),1,0))+IF(Classifiers!$C$16="",0,IF(ISNUMBER(SEARCH(Classifiers!$C$16,E142)),1,0))+IF(Classifiers!$D$16="",0,IF(ISNUMBER(SEARCH(Classifiers!$D$16,E142)),1,0))+IF(Classifiers!$E$16="",0,IF(ISNUMBER(SEARCH(Classifiers!$E$16,E142)),1,0))+IF(Classifiers!$F$16="",0,IF(ISNUMBER(SEARCH(Classifiers!$F$16,E142)),1,0))+IF(Classifiers!$G$16="",0,IF(ISNUMBER(SEARCH(Classifiers!$G$16,E142)),1,0)))&gt;0,1,0))</f>
        <v/>
      </c>
      <c r="V142" s="12">
        <f>IF(H142&lt;&gt;1,0,IF((IF(Classifiers!$B$17="",0,IF(ISNUMBER(SEARCH(Classifiers!$B$17,E142)),1,0))+IF(Classifiers!$C$17="",0,IF(ISNUMBER(SEARCH(Classifiers!$C$17,E142)),1,0))+IF(Classifiers!$D$17="",0,IF(ISNUMBER(SEARCH(Classifiers!$D$17,E142)),1,0))+IF(Classifiers!$E$17="",0,IF(ISNUMBER(SEARCH(Classifiers!$E$17,E142)),1,0))+IF(Classifiers!$F$17="",0,IF(ISNUMBER(SEARCH(Classifiers!$F$17,E142)),1,0))+IF(Classifiers!$G$17="",0,IF(ISNUMBER(SEARCH(Classifiers!$G$17,E142)),1,0)))&gt;0,1,0))</f>
        <v/>
      </c>
      <c r="W142" s="12">
        <f>IF(H142&lt;&gt;1,0,IF((IF(Classifiers!$B$18="",0,IF(ISNUMBER(SEARCH(Classifiers!$B$18,E142)),1,0))+IF(Classifiers!$C$18="",0,IF(ISNUMBER(SEARCH(Classifiers!$C$18,E142)),1,0))+IF(Classifiers!$D$18="",0,IF(ISNUMBER(SEARCH(Classifiers!$D$18,E142)),1,0))+IF(Classifiers!$E$18="",0,IF(ISNUMBER(SEARCH(Classifiers!$E$18,E142)),1,0))+IF(Classifiers!$F$18="",0,IF(ISNUMBER(SEARCH(Classifiers!$F$18,E142)),1,0))+IF(Classifiers!$G$18="",0,IF(ISNUMBER(SEARCH(Classifiers!$G$18,E142)),1,0)))&gt;0,1,0))</f>
        <v/>
      </c>
    </row>
    <row r="143">
      <c r="A143" s="8" t="n"/>
      <c r="B143" s="11" t="n"/>
      <c r="C143" s="6">
        <f>IF(A143="","",TRIM(RIGHT(SUBSTITUTE(A143,"/",REPT(" ",250)),250)))</f>
        <v/>
      </c>
      <c r="D143" s="6">
        <f>IF(C143="","",IF(ISNUMBER(SEARCH(".",C143)),LOWER("."&amp;TRIM(RIGHT(SUBSTITUTE(C143,".",REPT(" ",250)),250))),""))</f>
        <v/>
      </c>
      <c r="E143" s="6">
        <f>IF(C143="","",TRIM(SUBSTITUTE(SUBSTITUTE(SUBSTITUTE(SUBSTITUTE(SUBSTITUTE(SUBSTITUTE(SUBSTITUTE(SUBSTITUTE(SUBSTITUTE(SUBSTITUTE(SUBSTITUTE(SUBSTITUTE(SUBSTITUTE(SUBSTITUTE(SUBSTITUTE(SUBSTITUTE(SUBSTITUTE(SUBSTITUTE(SUBSTITUTE(SUBSTITUTE(LOWER(LEFT(C143,LEN(C143)-LEN(D143))),"_"," "),"-"," "),"."," "),","," "),"("," "),")"," "),"["," "),"]"," "),"&amp;"," "),"+"," "),"@"," "),"#"," "),"!"," "),"'"," "),"/"," "),":"," "),";"," "),"="," "),"~"," "),"%"," ")))</f>
        <v/>
      </c>
      <c r="F143" s="6">
        <f>IF(C143="","",IF(COUNTIF(Classifiers!$A$23:$A$40,D143)&gt;0,1,0))</f>
        <v/>
      </c>
      <c r="G143" s="6">
        <f>IF(C143="","",IF(COUNTIF(Classifiers!$C$23:$C$30,D143)&gt;0,IF((IF(ISNUMBER(SEARCH(Classifiers!$E$23,E143)),1,0)+IF(ISNUMBER(SEARCH(Classifiers!$E$24,E143)),1,0)+IF(ISNUMBER(SEARCH(Classifiers!$E$25,E143)),1,0)+IF(ISNUMBER(SEARCH(Classifiers!$E$26,E143)),1,0)+IF(ISNUMBER(SEARCH(Classifiers!$E$27,E143)),1,0)+IF(ISNUMBER(SEARCH(Classifiers!$E$28,E143)),1,0)+IF(ISNUMBER(SEARCH(Classifiers!$E$29,E143)),1,0)+IF(ISNUMBER(SEARCH(Classifiers!$E$30,E143)),1,0))&gt;0,1,0),0))</f>
        <v/>
      </c>
      <c r="H143" s="6">
        <f>IF(C143="","",IF(OR(LEFT(C143,1)=".",AND(F143=0,G143=0)),0,1))</f>
        <v/>
      </c>
      <c r="I143" s="6">
        <f>IF(H143&lt;&gt;1,"",IF(SUM(J143:W143)=0,"unclassified",INDEX(Classifiers!$A$5:$A$18,MATCH(1,J143:W143,0),1)))</f>
        <v/>
      </c>
      <c r="J143" s="12">
        <f>IF(H143&lt;&gt;1,0,IF((IF(Classifiers!$B$5="",0,IF(ISNUMBER(SEARCH(Classifiers!$B$5,E143)),1,0))+IF(Classifiers!$C$5="",0,IF(ISNUMBER(SEARCH(Classifiers!$C$5,E143)),1,0))+IF(Classifiers!$D$5="",0,IF(ISNUMBER(SEARCH(Classifiers!$D$5,E143)),1,0))+IF(Classifiers!$E$5="",0,IF(ISNUMBER(SEARCH(Classifiers!$E$5,E143)),1,0))+IF(Classifiers!$F$5="",0,IF(ISNUMBER(SEARCH(Classifiers!$F$5,E143)),1,0))+IF(Classifiers!$G$5="",0,IF(ISNUMBER(SEARCH(Classifiers!$G$5,E143)),1,0)))&gt;0,1,0))</f>
        <v/>
      </c>
      <c r="K143" s="12">
        <f>IF(H143&lt;&gt;1,0,IF((IF(Classifiers!$B$6="",0,IF(ISNUMBER(SEARCH(Classifiers!$B$6,E143)),1,0))+IF(Classifiers!$C$6="",0,IF(ISNUMBER(SEARCH(Classifiers!$C$6,E143)),1,0))+IF(Classifiers!$D$6="",0,IF(ISNUMBER(SEARCH(Classifiers!$D$6,E143)),1,0))+IF(Classifiers!$E$6="",0,IF(ISNUMBER(SEARCH(Classifiers!$E$6,E143)),1,0))+IF(Classifiers!$F$6="",0,IF(ISNUMBER(SEARCH(Classifiers!$F$6,E143)),1,0))+IF(Classifiers!$G$6="",0,IF(ISNUMBER(SEARCH(Classifiers!$G$6,E143)),1,0)))&gt;0,1,0))</f>
        <v/>
      </c>
      <c r="L143" s="12">
        <f>IF(H143&lt;&gt;1,0,IF((IF(Classifiers!$B$7="",0,IF(ISNUMBER(SEARCH(Classifiers!$B$7,E143)),1,0))+IF(Classifiers!$C$7="",0,IF(ISNUMBER(SEARCH(Classifiers!$C$7,E143)),1,0))+IF(Classifiers!$D$7="",0,IF(ISNUMBER(SEARCH(Classifiers!$D$7,E143)),1,0))+IF(Classifiers!$E$7="",0,IF(ISNUMBER(SEARCH(Classifiers!$E$7,E143)),1,0))+IF(Classifiers!$F$7="",0,IF(ISNUMBER(SEARCH(Classifiers!$F$7,E143)),1,0))+IF(Classifiers!$G$7="",0,IF(ISNUMBER(SEARCH(Classifiers!$G$7,E143)),1,0)))&gt;0,1,0))</f>
        <v/>
      </c>
      <c r="M143" s="12">
        <f>IF(H143&lt;&gt;1,0,IF((IF(Classifiers!$B$8="",0,IF(ISNUMBER(SEARCH(Classifiers!$B$8,E143)),1,0))+IF(Classifiers!$C$8="",0,IF(ISNUMBER(SEARCH(Classifiers!$C$8,E143)),1,0))+IF(Classifiers!$D$8="",0,IF(ISNUMBER(SEARCH(Classifiers!$D$8,E143)),1,0))+IF(Classifiers!$E$8="",0,IF(ISNUMBER(SEARCH(Classifiers!$E$8,E143)),1,0))+IF(Classifiers!$F$8="",0,IF(ISNUMBER(SEARCH(Classifiers!$F$8,E143)),1,0))+IF(Classifiers!$G$8="",0,IF(ISNUMBER(SEARCH(Classifiers!$G$8,E143)),1,0)))&gt;0,1,0))</f>
        <v/>
      </c>
      <c r="N143" s="12">
        <f>IF(H143&lt;&gt;1,0,IF((IF(Classifiers!$B$9="",0,IF(ISNUMBER(SEARCH(Classifiers!$B$9,E143)),1,0))+IF(Classifiers!$C$9="",0,IF(ISNUMBER(SEARCH(Classifiers!$C$9,E143)),1,0))+IF(Classifiers!$D$9="",0,IF(ISNUMBER(SEARCH(Classifiers!$D$9,E143)),1,0))+IF(Classifiers!$E$9="",0,IF(ISNUMBER(SEARCH(Classifiers!$E$9,E143)),1,0))+IF(Classifiers!$F$9="",0,IF(ISNUMBER(SEARCH(Classifiers!$F$9,E143)),1,0))+IF(Classifiers!$G$9="",0,IF(ISNUMBER(SEARCH(Classifiers!$G$9,E143)),1,0)))&gt;0,1,0))</f>
        <v/>
      </c>
      <c r="O143" s="12">
        <f>IF(H143&lt;&gt;1,0,IF((IF(Classifiers!$B$10="",0,IF(ISNUMBER(SEARCH(Classifiers!$B$10,E143)),1,0))+IF(Classifiers!$C$10="",0,IF(ISNUMBER(SEARCH(Classifiers!$C$10,E143)),1,0))+IF(Classifiers!$D$10="",0,IF(ISNUMBER(SEARCH(Classifiers!$D$10,E143)),1,0))+IF(Classifiers!$E$10="",0,IF(ISNUMBER(SEARCH(Classifiers!$E$10,E143)),1,0))+IF(Classifiers!$F$10="",0,IF(ISNUMBER(SEARCH(Classifiers!$F$10,E143)),1,0))+IF(Classifiers!$G$10="",0,IF(ISNUMBER(SEARCH(Classifiers!$G$10,E143)),1,0)))&gt;0,1,0))</f>
        <v/>
      </c>
      <c r="P143" s="12">
        <f>IF(H143&lt;&gt;1,0,IF((IF(Classifiers!$B$11="",0,IF(ISNUMBER(SEARCH(Classifiers!$B$11,E143)),1,0))+IF(Classifiers!$C$11="",0,IF(ISNUMBER(SEARCH(Classifiers!$C$11,E143)),1,0))+IF(Classifiers!$D$11="",0,IF(ISNUMBER(SEARCH(Classifiers!$D$11,E143)),1,0))+IF(Classifiers!$E$11="",0,IF(ISNUMBER(SEARCH(Classifiers!$E$11,E143)),1,0))+IF(Classifiers!$F$11="",0,IF(ISNUMBER(SEARCH(Classifiers!$F$11,E143)),1,0))+IF(Classifiers!$G$11="",0,IF(ISNUMBER(SEARCH(Classifiers!$G$11,E143)),1,0)))&gt;0,1,0))</f>
        <v/>
      </c>
      <c r="Q143" s="12">
        <f>IF(H143&lt;&gt;1,0,IF((IF(Classifiers!$B$12="",0,IF(ISNUMBER(SEARCH(Classifiers!$B$12,E143)),1,0))+IF(Classifiers!$C$12="",0,IF(ISNUMBER(SEARCH(Classifiers!$C$12,E143)),1,0))+IF(Classifiers!$D$12="",0,IF(ISNUMBER(SEARCH(Classifiers!$D$12,E143)),1,0))+IF(Classifiers!$E$12="",0,IF(ISNUMBER(SEARCH(Classifiers!$E$12,E143)),1,0))+IF(Classifiers!$F$12="",0,IF(ISNUMBER(SEARCH(Classifiers!$F$12,E143)),1,0))+IF(Classifiers!$G$12="",0,IF(ISNUMBER(SEARCH(Classifiers!$G$12,E143)),1,0)))&gt;0,1,0))</f>
        <v/>
      </c>
      <c r="R143" s="12">
        <f>IF(H143&lt;&gt;1,0,IF((IF(Classifiers!$B$13="",0,IF(ISNUMBER(SEARCH(Classifiers!$B$13,E143)),1,0))+IF(Classifiers!$C$13="",0,IF(ISNUMBER(SEARCH(Classifiers!$C$13,E143)),1,0))+IF(Classifiers!$D$13="",0,IF(ISNUMBER(SEARCH(Classifiers!$D$13,E143)),1,0))+IF(Classifiers!$E$13="",0,IF(ISNUMBER(SEARCH(Classifiers!$E$13,E143)),1,0))+IF(Classifiers!$F$13="",0,IF(ISNUMBER(SEARCH(Classifiers!$F$13,E143)),1,0))+IF(Classifiers!$G$13="",0,IF(ISNUMBER(SEARCH(Classifiers!$G$13,E143)),1,0)))&gt;0,1,0))</f>
        <v/>
      </c>
      <c r="S143" s="12">
        <f>IF(H143&lt;&gt;1,0,IF((IF(Classifiers!$B$14="",0,IF(ISNUMBER(SEARCH(Classifiers!$B$14,E143)),1,0))+IF(Classifiers!$C$14="",0,IF(ISNUMBER(SEARCH(Classifiers!$C$14,E143)),1,0))+IF(Classifiers!$D$14="",0,IF(ISNUMBER(SEARCH(Classifiers!$D$14,E143)),1,0))+IF(Classifiers!$E$14="",0,IF(ISNUMBER(SEARCH(Classifiers!$E$14,E143)),1,0))+IF(Classifiers!$F$14="",0,IF(ISNUMBER(SEARCH(Classifiers!$F$14,E143)),1,0))+IF(Classifiers!$G$14="",0,IF(ISNUMBER(SEARCH(Classifiers!$G$14,E143)),1,0)))&gt;0,1,0))</f>
        <v/>
      </c>
      <c r="T143" s="12">
        <f>IF(H143&lt;&gt;1,0,IF((IF(Classifiers!$B$15="",0,IF(ISNUMBER(SEARCH(Classifiers!$B$15,E143)),1,0))+IF(Classifiers!$C$15="",0,IF(ISNUMBER(SEARCH(Classifiers!$C$15,E143)),1,0))+IF(Classifiers!$D$15="",0,IF(ISNUMBER(SEARCH(Classifiers!$D$15,E143)),1,0))+IF(Classifiers!$E$15="",0,IF(ISNUMBER(SEARCH(Classifiers!$E$15,E143)),1,0))+IF(Classifiers!$F$15="",0,IF(ISNUMBER(SEARCH(Classifiers!$F$15,E143)),1,0))+IF(Classifiers!$G$15="",0,IF(ISNUMBER(SEARCH(Classifiers!$G$15,E143)),1,0)))&gt;0,1,0))</f>
        <v/>
      </c>
      <c r="U143" s="12">
        <f>IF(H143&lt;&gt;1,0,IF((IF(Classifiers!$B$16="",0,IF(ISNUMBER(SEARCH(Classifiers!$B$16,E143)),1,0))+IF(Classifiers!$C$16="",0,IF(ISNUMBER(SEARCH(Classifiers!$C$16,E143)),1,0))+IF(Classifiers!$D$16="",0,IF(ISNUMBER(SEARCH(Classifiers!$D$16,E143)),1,0))+IF(Classifiers!$E$16="",0,IF(ISNUMBER(SEARCH(Classifiers!$E$16,E143)),1,0))+IF(Classifiers!$F$16="",0,IF(ISNUMBER(SEARCH(Classifiers!$F$16,E143)),1,0))+IF(Classifiers!$G$16="",0,IF(ISNUMBER(SEARCH(Classifiers!$G$16,E143)),1,0)))&gt;0,1,0))</f>
        <v/>
      </c>
      <c r="V143" s="12">
        <f>IF(H143&lt;&gt;1,0,IF((IF(Classifiers!$B$17="",0,IF(ISNUMBER(SEARCH(Classifiers!$B$17,E143)),1,0))+IF(Classifiers!$C$17="",0,IF(ISNUMBER(SEARCH(Classifiers!$C$17,E143)),1,0))+IF(Classifiers!$D$17="",0,IF(ISNUMBER(SEARCH(Classifiers!$D$17,E143)),1,0))+IF(Classifiers!$E$17="",0,IF(ISNUMBER(SEARCH(Classifiers!$E$17,E143)),1,0))+IF(Classifiers!$F$17="",0,IF(ISNUMBER(SEARCH(Classifiers!$F$17,E143)),1,0))+IF(Classifiers!$G$17="",0,IF(ISNUMBER(SEARCH(Classifiers!$G$17,E143)),1,0)))&gt;0,1,0))</f>
        <v/>
      </c>
      <c r="W143" s="12">
        <f>IF(H143&lt;&gt;1,0,IF((IF(Classifiers!$B$18="",0,IF(ISNUMBER(SEARCH(Classifiers!$B$18,E143)),1,0))+IF(Classifiers!$C$18="",0,IF(ISNUMBER(SEARCH(Classifiers!$C$18,E143)),1,0))+IF(Classifiers!$D$18="",0,IF(ISNUMBER(SEARCH(Classifiers!$D$18,E143)),1,0))+IF(Classifiers!$E$18="",0,IF(ISNUMBER(SEARCH(Classifiers!$E$18,E143)),1,0))+IF(Classifiers!$F$18="",0,IF(ISNUMBER(SEARCH(Classifiers!$F$18,E143)),1,0))+IF(Classifiers!$G$18="",0,IF(ISNUMBER(SEARCH(Classifiers!$G$18,E143)),1,0)))&gt;0,1,0))</f>
        <v/>
      </c>
    </row>
    <row r="144">
      <c r="A144" s="8" t="n"/>
      <c r="B144" s="11" t="n"/>
      <c r="C144" s="6">
        <f>IF(A144="","",TRIM(RIGHT(SUBSTITUTE(A144,"/",REPT(" ",250)),250)))</f>
        <v/>
      </c>
      <c r="D144" s="6">
        <f>IF(C144="","",IF(ISNUMBER(SEARCH(".",C144)),LOWER("."&amp;TRIM(RIGHT(SUBSTITUTE(C144,".",REPT(" ",250)),250))),""))</f>
        <v/>
      </c>
      <c r="E144" s="6">
        <f>IF(C144="","",TRIM(SUBSTITUTE(SUBSTITUTE(SUBSTITUTE(SUBSTITUTE(SUBSTITUTE(SUBSTITUTE(SUBSTITUTE(SUBSTITUTE(SUBSTITUTE(SUBSTITUTE(SUBSTITUTE(SUBSTITUTE(SUBSTITUTE(SUBSTITUTE(SUBSTITUTE(SUBSTITUTE(SUBSTITUTE(SUBSTITUTE(SUBSTITUTE(SUBSTITUTE(LOWER(LEFT(C144,LEN(C144)-LEN(D144))),"_"," "),"-"," "),"."," "),","," "),"("," "),")"," "),"["," "),"]"," "),"&amp;"," "),"+"," "),"@"," "),"#"," "),"!"," "),"'"," "),"/"," "),":"," "),";"," "),"="," "),"~"," "),"%"," ")))</f>
        <v/>
      </c>
      <c r="F144" s="6">
        <f>IF(C144="","",IF(COUNTIF(Classifiers!$A$23:$A$40,D144)&gt;0,1,0))</f>
        <v/>
      </c>
      <c r="G144" s="6">
        <f>IF(C144="","",IF(COUNTIF(Classifiers!$C$23:$C$30,D144)&gt;0,IF((IF(ISNUMBER(SEARCH(Classifiers!$E$23,E144)),1,0)+IF(ISNUMBER(SEARCH(Classifiers!$E$24,E144)),1,0)+IF(ISNUMBER(SEARCH(Classifiers!$E$25,E144)),1,0)+IF(ISNUMBER(SEARCH(Classifiers!$E$26,E144)),1,0)+IF(ISNUMBER(SEARCH(Classifiers!$E$27,E144)),1,0)+IF(ISNUMBER(SEARCH(Classifiers!$E$28,E144)),1,0)+IF(ISNUMBER(SEARCH(Classifiers!$E$29,E144)),1,0)+IF(ISNUMBER(SEARCH(Classifiers!$E$30,E144)),1,0))&gt;0,1,0),0))</f>
        <v/>
      </c>
      <c r="H144" s="6">
        <f>IF(C144="","",IF(OR(LEFT(C144,1)=".",AND(F144=0,G144=0)),0,1))</f>
        <v/>
      </c>
      <c r="I144" s="6">
        <f>IF(H144&lt;&gt;1,"",IF(SUM(J144:W144)=0,"unclassified",INDEX(Classifiers!$A$5:$A$18,MATCH(1,J144:W144,0),1)))</f>
        <v/>
      </c>
      <c r="J144" s="12">
        <f>IF(H144&lt;&gt;1,0,IF((IF(Classifiers!$B$5="",0,IF(ISNUMBER(SEARCH(Classifiers!$B$5,E144)),1,0))+IF(Classifiers!$C$5="",0,IF(ISNUMBER(SEARCH(Classifiers!$C$5,E144)),1,0))+IF(Classifiers!$D$5="",0,IF(ISNUMBER(SEARCH(Classifiers!$D$5,E144)),1,0))+IF(Classifiers!$E$5="",0,IF(ISNUMBER(SEARCH(Classifiers!$E$5,E144)),1,0))+IF(Classifiers!$F$5="",0,IF(ISNUMBER(SEARCH(Classifiers!$F$5,E144)),1,0))+IF(Classifiers!$G$5="",0,IF(ISNUMBER(SEARCH(Classifiers!$G$5,E144)),1,0)))&gt;0,1,0))</f>
        <v/>
      </c>
      <c r="K144" s="12">
        <f>IF(H144&lt;&gt;1,0,IF((IF(Classifiers!$B$6="",0,IF(ISNUMBER(SEARCH(Classifiers!$B$6,E144)),1,0))+IF(Classifiers!$C$6="",0,IF(ISNUMBER(SEARCH(Classifiers!$C$6,E144)),1,0))+IF(Classifiers!$D$6="",0,IF(ISNUMBER(SEARCH(Classifiers!$D$6,E144)),1,0))+IF(Classifiers!$E$6="",0,IF(ISNUMBER(SEARCH(Classifiers!$E$6,E144)),1,0))+IF(Classifiers!$F$6="",0,IF(ISNUMBER(SEARCH(Classifiers!$F$6,E144)),1,0))+IF(Classifiers!$G$6="",0,IF(ISNUMBER(SEARCH(Classifiers!$G$6,E144)),1,0)))&gt;0,1,0))</f>
        <v/>
      </c>
      <c r="L144" s="12">
        <f>IF(H144&lt;&gt;1,0,IF((IF(Classifiers!$B$7="",0,IF(ISNUMBER(SEARCH(Classifiers!$B$7,E144)),1,0))+IF(Classifiers!$C$7="",0,IF(ISNUMBER(SEARCH(Classifiers!$C$7,E144)),1,0))+IF(Classifiers!$D$7="",0,IF(ISNUMBER(SEARCH(Classifiers!$D$7,E144)),1,0))+IF(Classifiers!$E$7="",0,IF(ISNUMBER(SEARCH(Classifiers!$E$7,E144)),1,0))+IF(Classifiers!$F$7="",0,IF(ISNUMBER(SEARCH(Classifiers!$F$7,E144)),1,0))+IF(Classifiers!$G$7="",0,IF(ISNUMBER(SEARCH(Classifiers!$G$7,E144)),1,0)))&gt;0,1,0))</f>
        <v/>
      </c>
      <c r="M144" s="12">
        <f>IF(H144&lt;&gt;1,0,IF((IF(Classifiers!$B$8="",0,IF(ISNUMBER(SEARCH(Classifiers!$B$8,E144)),1,0))+IF(Classifiers!$C$8="",0,IF(ISNUMBER(SEARCH(Classifiers!$C$8,E144)),1,0))+IF(Classifiers!$D$8="",0,IF(ISNUMBER(SEARCH(Classifiers!$D$8,E144)),1,0))+IF(Classifiers!$E$8="",0,IF(ISNUMBER(SEARCH(Classifiers!$E$8,E144)),1,0))+IF(Classifiers!$F$8="",0,IF(ISNUMBER(SEARCH(Classifiers!$F$8,E144)),1,0))+IF(Classifiers!$G$8="",0,IF(ISNUMBER(SEARCH(Classifiers!$G$8,E144)),1,0)))&gt;0,1,0))</f>
        <v/>
      </c>
      <c r="N144" s="12">
        <f>IF(H144&lt;&gt;1,0,IF((IF(Classifiers!$B$9="",0,IF(ISNUMBER(SEARCH(Classifiers!$B$9,E144)),1,0))+IF(Classifiers!$C$9="",0,IF(ISNUMBER(SEARCH(Classifiers!$C$9,E144)),1,0))+IF(Classifiers!$D$9="",0,IF(ISNUMBER(SEARCH(Classifiers!$D$9,E144)),1,0))+IF(Classifiers!$E$9="",0,IF(ISNUMBER(SEARCH(Classifiers!$E$9,E144)),1,0))+IF(Classifiers!$F$9="",0,IF(ISNUMBER(SEARCH(Classifiers!$F$9,E144)),1,0))+IF(Classifiers!$G$9="",0,IF(ISNUMBER(SEARCH(Classifiers!$G$9,E144)),1,0)))&gt;0,1,0))</f>
        <v/>
      </c>
      <c r="O144" s="12">
        <f>IF(H144&lt;&gt;1,0,IF((IF(Classifiers!$B$10="",0,IF(ISNUMBER(SEARCH(Classifiers!$B$10,E144)),1,0))+IF(Classifiers!$C$10="",0,IF(ISNUMBER(SEARCH(Classifiers!$C$10,E144)),1,0))+IF(Classifiers!$D$10="",0,IF(ISNUMBER(SEARCH(Classifiers!$D$10,E144)),1,0))+IF(Classifiers!$E$10="",0,IF(ISNUMBER(SEARCH(Classifiers!$E$10,E144)),1,0))+IF(Classifiers!$F$10="",0,IF(ISNUMBER(SEARCH(Classifiers!$F$10,E144)),1,0))+IF(Classifiers!$G$10="",0,IF(ISNUMBER(SEARCH(Classifiers!$G$10,E144)),1,0)))&gt;0,1,0))</f>
        <v/>
      </c>
      <c r="P144" s="12">
        <f>IF(H144&lt;&gt;1,0,IF((IF(Classifiers!$B$11="",0,IF(ISNUMBER(SEARCH(Classifiers!$B$11,E144)),1,0))+IF(Classifiers!$C$11="",0,IF(ISNUMBER(SEARCH(Classifiers!$C$11,E144)),1,0))+IF(Classifiers!$D$11="",0,IF(ISNUMBER(SEARCH(Classifiers!$D$11,E144)),1,0))+IF(Classifiers!$E$11="",0,IF(ISNUMBER(SEARCH(Classifiers!$E$11,E144)),1,0))+IF(Classifiers!$F$11="",0,IF(ISNUMBER(SEARCH(Classifiers!$F$11,E144)),1,0))+IF(Classifiers!$G$11="",0,IF(ISNUMBER(SEARCH(Classifiers!$G$11,E144)),1,0)))&gt;0,1,0))</f>
        <v/>
      </c>
      <c r="Q144" s="12">
        <f>IF(H144&lt;&gt;1,0,IF((IF(Classifiers!$B$12="",0,IF(ISNUMBER(SEARCH(Classifiers!$B$12,E144)),1,0))+IF(Classifiers!$C$12="",0,IF(ISNUMBER(SEARCH(Classifiers!$C$12,E144)),1,0))+IF(Classifiers!$D$12="",0,IF(ISNUMBER(SEARCH(Classifiers!$D$12,E144)),1,0))+IF(Classifiers!$E$12="",0,IF(ISNUMBER(SEARCH(Classifiers!$E$12,E144)),1,0))+IF(Classifiers!$F$12="",0,IF(ISNUMBER(SEARCH(Classifiers!$F$12,E144)),1,0))+IF(Classifiers!$G$12="",0,IF(ISNUMBER(SEARCH(Classifiers!$G$12,E144)),1,0)))&gt;0,1,0))</f>
        <v/>
      </c>
      <c r="R144" s="12">
        <f>IF(H144&lt;&gt;1,0,IF((IF(Classifiers!$B$13="",0,IF(ISNUMBER(SEARCH(Classifiers!$B$13,E144)),1,0))+IF(Classifiers!$C$13="",0,IF(ISNUMBER(SEARCH(Classifiers!$C$13,E144)),1,0))+IF(Classifiers!$D$13="",0,IF(ISNUMBER(SEARCH(Classifiers!$D$13,E144)),1,0))+IF(Classifiers!$E$13="",0,IF(ISNUMBER(SEARCH(Classifiers!$E$13,E144)),1,0))+IF(Classifiers!$F$13="",0,IF(ISNUMBER(SEARCH(Classifiers!$F$13,E144)),1,0))+IF(Classifiers!$G$13="",0,IF(ISNUMBER(SEARCH(Classifiers!$G$13,E144)),1,0)))&gt;0,1,0))</f>
        <v/>
      </c>
      <c r="S144" s="12">
        <f>IF(H144&lt;&gt;1,0,IF((IF(Classifiers!$B$14="",0,IF(ISNUMBER(SEARCH(Classifiers!$B$14,E144)),1,0))+IF(Classifiers!$C$14="",0,IF(ISNUMBER(SEARCH(Classifiers!$C$14,E144)),1,0))+IF(Classifiers!$D$14="",0,IF(ISNUMBER(SEARCH(Classifiers!$D$14,E144)),1,0))+IF(Classifiers!$E$14="",0,IF(ISNUMBER(SEARCH(Classifiers!$E$14,E144)),1,0))+IF(Classifiers!$F$14="",0,IF(ISNUMBER(SEARCH(Classifiers!$F$14,E144)),1,0))+IF(Classifiers!$G$14="",0,IF(ISNUMBER(SEARCH(Classifiers!$G$14,E144)),1,0)))&gt;0,1,0))</f>
        <v/>
      </c>
      <c r="T144" s="12">
        <f>IF(H144&lt;&gt;1,0,IF((IF(Classifiers!$B$15="",0,IF(ISNUMBER(SEARCH(Classifiers!$B$15,E144)),1,0))+IF(Classifiers!$C$15="",0,IF(ISNUMBER(SEARCH(Classifiers!$C$15,E144)),1,0))+IF(Classifiers!$D$15="",0,IF(ISNUMBER(SEARCH(Classifiers!$D$15,E144)),1,0))+IF(Classifiers!$E$15="",0,IF(ISNUMBER(SEARCH(Classifiers!$E$15,E144)),1,0))+IF(Classifiers!$F$15="",0,IF(ISNUMBER(SEARCH(Classifiers!$F$15,E144)),1,0))+IF(Classifiers!$G$15="",0,IF(ISNUMBER(SEARCH(Classifiers!$G$15,E144)),1,0)))&gt;0,1,0))</f>
        <v/>
      </c>
      <c r="U144" s="12">
        <f>IF(H144&lt;&gt;1,0,IF((IF(Classifiers!$B$16="",0,IF(ISNUMBER(SEARCH(Classifiers!$B$16,E144)),1,0))+IF(Classifiers!$C$16="",0,IF(ISNUMBER(SEARCH(Classifiers!$C$16,E144)),1,0))+IF(Classifiers!$D$16="",0,IF(ISNUMBER(SEARCH(Classifiers!$D$16,E144)),1,0))+IF(Classifiers!$E$16="",0,IF(ISNUMBER(SEARCH(Classifiers!$E$16,E144)),1,0))+IF(Classifiers!$F$16="",0,IF(ISNUMBER(SEARCH(Classifiers!$F$16,E144)),1,0))+IF(Classifiers!$G$16="",0,IF(ISNUMBER(SEARCH(Classifiers!$G$16,E144)),1,0)))&gt;0,1,0))</f>
        <v/>
      </c>
      <c r="V144" s="12">
        <f>IF(H144&lt;&gt;1,0,IF((IF(Classifiers!$B$17="",0,IF(ISNUMBER(SEARCH(Classifiers!$B$17,E144)),1,0))+IF(Classifiers!$C$17="",0,IF(ISNUMBER(SEARCH(Classifiers!$C$17,E144)),1,0))+IF(Classifiers!$D$17="",0,IF(ISNUMBER(SEARCH(Classifiers!$D$17,E144)),1,0))+IF(Classifiers!$E$17="",0,IF(ISNUMBER(SEARCH(Classifiers!$E$17,E144)),1,0))+IF(Classifiers!$F$17="",0,IF(ISNUMBER(SEARCH(Classifiers!$F$17,E144)),1,0))+IF(Classifiers!$G$17="",0,IF(ISNUMBER(SEARCH(Classifiers!$G$17,E144)),1,0)))&gt;0,1,0))</f>
        <v/>
      </c>
      <c r="W144" s="12">
        <f>IF(H144&lt;&gt;1,0,IF((IF(Classifiers!$B$18="",0,IF(ISNUMBER(SEARCH(Classifiers!$B$18,E144)),1,0))+IF(Classifiers!$C$18="",0,IF(ISNUMBER(SEARCH(Classifiers!$C$18,E144)),1,0))+IF(Classifiers!$D$18="",0,IF(ISNUMBER(SEARCH(Classifiers!$D$18,E144)),1,0))+IF(Classifiers!$E$18="",0,IF(ISNUMBER(SEARCH(Classifiers!$E$18,E144)),1,0))+IF(Classifiers!$F$18="",0,IF(ISNUMBER(SEARCH(Classifiers!$F$18,E144)),1,0))+IF(Classifiers!$G$18="",0,IF(ISNUMBER(SEARCH(Classifiers!$G$18,E144)),1,0)))&gt;0,1,0))</f>
        <v/>
      </c>
    </row>
    <row r="145">
      <c r="A145" s="8" t="n"/>
      <c r="B145" s="11" t="n"/>
      <c r="C145" s="6">
        <f>IF(A145="","",TRIM(RIGHT(SUBSTITUTE(A145,"/",REPT(" ",250)),250)))</f>
        <v/>
      </c>
      <c r="D145" s="6">
        <f>IF(C145="","",IF(ISNUMBER(SEARCH(".",C145)),LOWER("."&amp;TRIM(RIGHT(SUBSTITUTE(C145,".",REPT(" ",250)),250))),""))</f>
        <v/>
      </c>
      <c r="E145" s="6">
        <f>IF(C145="","",TRIM(SUBSTITUTE(SUBSTITUTE(SUBSTITUTE(SUBSTITUTE(SUBSTITUTE(SUBSTITUTE(SUBSTITUTE(SUBSTITUTE(SUBSTITUTE(SUBSTITUTE(SUBSTITUTE(SUBSTITUTE(SUBSTITUTE(SUBSTITUTE(SUBSTITUTE(SUBSTITUTE(SUBSTITUTE(SUBSTITUTE(SUBSTITUTE(SUBSTITUTE(LOWER(LEFT(C145,LEN(C145)-LEN(D145))),"_"," "),"-"," "),"."," "),","," "),"("," "),")"," "),"["," "),"]"," "),"&amp;"," "),"+"," "),"@"," "),"#"," "),"!"," "),"'"," "),"/"," "),":"," "),";"," "),"="," "),"~"," "),"%"," ")))</f>
        <v/>
      </c>
      <c r="F145" s="6">
        <f>IF(C145="","",IF(COUNTIF(Classifiers!$A$23:$A$40,D145)&gt;0,1,0))</f>
        <v/>
      </c>
      <c r="G145" s="6">
        <f>IF(C145="","",IF(COUNTIF(Classifiers!$C$23:$C$30,D145)&gt;0,IF((IF(ISNUMBER(SEARCH(Classifiers!$E$23,E145)),1,0)+IF(ISNUMBER(SEARCH(Classifiers!$E$24,E145)),1,0)+IF(ISNUMBER(SEARCH(Classifiers!$E$25,E145)),1,0)+IF(ISNUMBER(SEARCH(Classifiers!$E$26,E145)),1,0)+IF(ISNUMBER(SEARCH(Classifiers!$E$27,E145)),1,0)+IF(ISNUMBER(SEARCH(Classifiers!$E$28,E145)),1,0)+IF(ISNUMBER(SEARCH(Classifiers!$E$29,E145)),1,0)+IF(ISNUMBER(SEARCH(Classifiers!$E$30,E145)),1,0))&gt;0,1,0),0))</f>
        <v/>
      </c>
      <c r="H145" s="6">
        <f>IF(C145="","",IF(OR(LEFT(C145,1)=".",AND(F145=0,G145=0)),0,1))</f>
        <v/>
      </c>
      <c r="I145" s="6">
        <f>IF(H145&lt;&gt;1,"",IF(SUM(J145:W145)=0,"unclassified",INDEX(Classifiers!$A$5:$A$18,MATCH(1,J145:W145,0),1)))</f>
        <v/>
      </c>
      <c r="J145" s="12">
        <f>IF(H145&lt;&gt;1,0,IF((IF(Classifiers!$B$5="",0,IF(ISNUMBER(SEARCH(Classifiers!$B$5,E145)),1,0))+IF(Classifiers!$C$5="",0,IF(ISNUMBER(SEARCH(Classifiers!$C$5,E145)),1,0))+IF(Classifiers!$D$5="",0,IF(ISNUMBER(SEARCH(Classifiers!$D$5,E145)),1,0))+IF(Classifiers!$E$5="",0,IF(ISNUMBER(SEARCH(Classifiers!$E$5,E145)),1,0))+IF(Classifiers!$F$5="",0,IF(ISNUMBER(SEARCH(Classifiers!$F$5,E145)),1,0))+IF(Classifiers!$G$5="",0,IF(ISNUMBER(SEARCH(Classifiers!$G$5,E145)),1,0)))&gt;0,1,0))</f>
        <v/>
      </c>
      <c r="K145" s="12">
        <f>IF(H145&lt;&gt;1,0,IF((IF(Classifiers!$B$6="",0,IF(ISNUMBER(SEARCH(Classifiers!$B$6,E145)),1,0))+IF(Classifiers!$C$6="",0,IF(ISNUMBER(SEARCH(Classifiers!$C$6,E145)),1,0))+IF(Classifiers!$D$6="",0,IF(ISNUMBER(SEARCH(Classifiers!$D$6,E145)),1,0))+IF(Classifiers!$E$6="",0,IF(ISNUMBER(SEARCH(Classifiers!$E$6,E145)),1,0))+IF(Classifiers!$F$6="",0,IF(ISNUMBER(SEARCH(Classifiers!$F$6,E145)),1,0))+IF(Classifiers!$G$6="",0,IF(ISNUMBER(SEARCH(Classifiers!$G$6,E145)),1,0)))&gt;0,1,0))</f>
        <v/>
      </c>
      <c r="L145" s="12">
        <f>IF(H145&lt;&gt;1,0,IF((IF(Classifiers!$B$7="",0,IF(ISNUMBER(SEARCH(Classifiers!$B$7,E145)),1,0))+IF(Classifiers!$C$7="",0,IF(ISNUMBER(SEARCH(Classifiers!$C$7,E145)),1,0))+IF(Classifiers!$D$7="",0,IF(ISNUMBER(SEARCH(Classifiers!$D$7,E145)),1,0))+IF(Classifiers!$E$7="",0,IF(ISNUMBER(SEARCH(Classifiers!$E$7,E145)),1,0))+IF(Classifiers!$F$7="",0,IF(ISNUMBER(SEARCH(Classifiers!$F$7,E145)),1,0))+IF(Classifiers!$G$7="",0,IF(ISNUMBER(SEARCH(Classifiers!$G$7,E145)),1,0)))&gt;0,1,0))</f>
        <v/>
      </c>
      <c r="M145" s="12">
        <f>IF(H145&lt;&gt;1,0,IF((IF(Classifiers!$B$8="",0,IF(ISNUMBER(SEARCH(Classifiers!$B$8,E145)),1,0))+IF(Classifiers!$C$8="",0,IF(ISNUMBER(SEARCH(Classifiers!$C$8,E145)),1,0))+IF(Classifiers!$D$8="",0,IF(ISNUMBER(SEARCH(Classifiers!$D$8,E145)),1,0))+IF(Classifiers!$E$8="",0,IF(ISNUMBER(SEARCH(Classifiers!$E$8,E145)),1,0))+IF(Classifiers!$F$8="",0,IF(ISNUMBER(SEARCH(Classifiers!$F$8,E145)),1,0))+IF(Classifiers!$G$8="",0,IF(ISNUMBER(SEARCH(Classifiers!$G$8,E145)),1,0)))&gt;0,1,0))</f>
        <v/>
      </c>
      <c r="N145" s="12">
        <f>IF(H145&lt;&gt;1,0,IF((IF(Classifiers!$B$9="",0,IF(ISNUMBER(SEARCH(Classifiers!$B$9,E145)),1,0))+IF(Classifiers!$C$9="",0,IF(ISNUMBER(SEARCH(Classifiers!$C$9,E145)),1,0))+IF(Classifiers!$D$9="",0,IF(ISNUMBER(SEARCH(Classifiers!$D$9,E145)),1,0))+IF(Classifiers!$E$9="",0,IF(ISNUMBER(SEARCH(Classifiers!$E$9,E145)),1,0))+IF(Classifiers!$F$9="",0,IF(ISNUMBER(SEARCH(Classifiers!$F$9,E145)),1,0))+IF(Classifiers!$G$9="",0,IF(ISNUMBER(SEARCH(Classifiers!$G$9,E145)),1,0)))&gt;0,1,0))</f>
        <v/>
      </c>
      <c r="O145" s="12">
        <f>IF(H145&lt;&gt;1,0,IF((IF(Classifiers!$B$10="",0,IF(ISNUMBER(SEARCH(Classifiers!$B$10,E145)),1,0))+IF(Classifiers!$C$10="",0,IF(ISNUMBER(SEARCH(Classifiers!$C$10,E145)),1,0))+IF(Classifiers!$D$10="",0,IF(ISNUMBER(SEARCH(Classifiers!$D$10,E145)),1,0))+IF(Classifiers!$E$10="",0,IF(ISNUMBER(SEARCH(Classifiers!$E$10,E145)),1,0))+IF(Classifiers!$F$10="",0,IF(ISNUMBER(SEARCH(Classifiers!$F$10,E145)),1,0))+IF(Classifiers!$G$10="",0,IF(ISNUMBER(SEARCH(Classifiers!$G$10,E145)),1,0)))&gt;0,1,0))</f>
        <v/>
      </c>
      <c r="P145" s="12">
        <f>IF(H145&lt;&gt;1,0,IF((IF(Classifiers!$B$11="",0,IF(ISNUMBER(SEARCH(Classifiers!$B$11,E145)),1,0))+IF(Classifiers!$C$11="",0,IF(ISNUMBER(SEARCH(Classifiers!$C$11,E145)),1,0))+IF(Classifiers!$D$11="",0,IF(ISNUMBER(SEARCH(Classifiers!$D$11,E145)),1,0))+IF(Classifiers!$E$11="",0,IF(ISNUMBER(SEARCH(Classifiers!$E$11,E145)),1,0))+IF(Classifiers!$F$11="",0,IF(ISNUMBER(SEARCH(Classifiers!$F$11,E145)),1,0))+IF(Classifiers!$G$11="",0,IF(ISNUMBER(SEARCH(Classifiers!$G$11,E145)),1,0)))&gt;0,1,0))</f>
        <v/>
      </c>
      <c r="Q145" s="12">
        <f>IF(H145&lt;&gt;1,0,IF((IF(Classifiers!$B$12="",0,IF(ISNUMBER(SEARCH(Classifiers!$B$12,E145)),1,0))+IF(Classifiers!$C$12="",0,IF(ISNUMBER(SEARCH(Classifiers!$C$12,E145)),1,0))+IF(Classifiers!$D$12="",0,IF(ISNUMBER(SEARCH(Classifiers!$D$12,E145)),1,0))+IF(Classifiers!$E$12="",0,IF(ISNUMBER(SEARCH(Classifiers!$E$12,E145)),1,0))+IF(Classifiers!$F$12="",0,IF(ISNUMBER(SEARCH(Classifiers!$F$12,E145)),1,0))+IF(Classifiers!$G$12="",0,IF(ISNUMBER(SEARCH(Classifiers!$G$12,E145)),1,0)))&gt;0,1,0))</f>
        <v/>
      </c>
      <c r="R145" s="12">
        <f>IF(H145&lt;&gt;1,0,IF((IF(Classifiers!$B$13="",0,IF(ISNUMBER(SEARCH(Classifiers!$B$13,E145)),1,0))+IF(Classifiers!$C$13="",0,IF(ISNUMBER(SEARCH(Classifiers!$C$13,E145)),1,0))+IF(Classifiers!$D$13="",0,IF(ISNUMBER(SEARCH(Classifiers!$D$13,E145)),1,0))+IF(Classifiers!$E$13="",0,IF(ISNUMBER(SEARCH(Classifiers!$E$13,E145)),1,0))+IF(Classifiers!$F$13="",0,IF(ISNUMBER(SEARCH(Classifiers!$F$13,E145)),1,0))+IF(Classifiers!$G$13="",0,IF(ISNUMBER(SEARCH(Classifiers!$G$13,E145)),1,0)))&gt;0,1,0))</f>
        <v/>
      </c>
      <c r="S145" s="12">
        <f>IF(H145&lt;&gt;1,0,IF((IF(Classifiers!$B$14="",0,IF(ISNUMBER(SEARCH(Classifiers!$B$14,E145)),1,0))+IF(Classifiers!$C$14="",0,IF(ISNUMBER(SEARCH(Classifiers!$C$14,E145)),1,0))+IF(Classifiers!$D$14="",0,IF(ISNUMBER(SEARCH(Classifiers!$D$14,E145)),1,0))+IF(Classifiers!$E$14="",0,IF(ISNUMBER(SEARCH(Classifiers!$E$14,E145)),1,0))+IF(Classifiers!$F$14="",0,IF(ISNUMBER(SEARCH(Classifiers!$F$14,E145)),1,0))+IF(Classifiers!$G$14="",0,IF(ISNUMBER(SEARCH(Classifiers!$G$14,E145)),1,0)))&gt;0,1,0))</f>
        <v/>
      </c>
      <c r="T145" s="12">
        <f>IF(H145&lt;&gt;1,0,IF((IF(Classifiers!$B$15="",0,IF(ISNUMBER(SEARCH(Classifiers!$B$15,E145)),1,0))+IF(Classifiers!$C$15="",0,IF(ISNUMBER(SEARCH(Classifiers!$C$15,E145)),1,0))+IF(Classifiers!$D$15="",0,IF(ISNUMBER(SEARCH(Classifiers!$D$15,E145)),1,0))+IF(Classifiers!$E$15="",0,IF(ISNUMBER(SEARCH(Classifiers!$E$15,E145)),1,0))+IF(Classifiers!$F$15="",0,IF(ISNUMBER(SEARCH(Classifiers!$F$15,E145)),1,0))+IF(Classifiers!$G$15="",0,IF(ISNUMBER(SEARCH(Classifiers!$G$15,E145)),1,0)))&gt;0,1,0))</f>
        <v/>
      </c>
      <c r="U145" s="12">
        <f>IF(H145&lt;&gt;1,0,IF((IF(Classifiers!$B$16="",0,IF(ISNUMBER(SEARCH(Classifiers!$B$16,E145)),1,0))+IF(Classifiers!$C$16="",0,IF(ISNUMBER(SEARCH(Classifiers!$C$16,E145)),1,0))+IF(Classifiers!$D$16="",0,IF(ISNUMBER(SEARCH(Classifiers!$D$16,E145)),1,0))+IF(Classifiers!$E$16="",0,IF(ISNUMBER(SEARCH(Classifiers!$E$16,E145)),1,0))+IF(Classifiers!$F$16="",0,IF(ISNUMBER(SEARCH(Classifiers!$F$16,E145)),1,0))+IF(Classifiers!$G$16="",0,IF(ISNUMBER(SEARCH(Classifiers!$G$16,E145)),1,0)))&gt;0,1,0))</f>
        <v/>
      </c>
      <c r="V145" s="12">
        <f>IF(H145&lt;&gt;1,0,IF((IF(Classifiers!$B$17="",0,IF(ISNUMBER(SEARCH(Classifiers!$B$17,E145)),1,0))+IF(Classifiers!$C$17="",0,IF(ISNUMBER(SEARCH(Classifiers!$C$17,E145)),1,0))+IF(Classifiers!$D$17="",0,IF(ISNUMBER(SEARCH(Classifiers!$D$17,E145)),1,0))+IF(Classifiers!$E$17="",0,IF(ISNUMBER(SEARCH(Classifiers!$E$17,E145)),1,0))+IF(Classifiers!$F$17="",0,IF(ISNUMBER(SEARCH(Classifiers!$F$17,E145)),1,0))+IF(Classifiers!$G$17="",0,IF(ISNUMBER(SEARCH(Classifiers!$G$17,E145)),1,0)))&gt;0,1,0))</f>
        <v/>
      </c>
      <c r="W145" s="12">
        <f>IF(H145&lt;&gt;1,0,IF((IF(Classifiers!$B$18="",0,IF(ISNUMBER(SEARCH(Classifiers!$B$18,E145)),1,0))+IF(Classifiers!$C$18="",0,IF(ISNUMBER(SEARCH(Classifiers!$C$18,E145)),1,0))+IF(Classifiers!$D$18="",0,IF(ISNUMBER(SEARCH(Classifiers!$D$18,E145)),1,0))+IF(Classifiers!$E$18="",0,IF(ISNUMBER(SEARCH(Classifiers!$E$18,E145)),1,0))+IF(Classifiers!$F$18="",0,IF(ISNUMBER(SEARCH(Classifiers!$F$18,E145)),1,0))+IF(Classifiers!$G$18="",0,IF(ISNUMBER(SEARCH(Classifiers!$G$18,E145)),1,0)))&gt;0,1,0))</f>
        <v/>
      </c>
    </row>
    <row r="146">
      <c r="A146" s="8" t="n"/>
      <c r="B146" s="11" t="n"/>
      <c r="C146" s="6">
        <f>IF(A146="","",TRIM(RIGHT(SUBSTITUTE(A146,"/",REPT(" ",250)),250)))</f>
        <v/>
      </c>
      <c r="D146" s="6">
        <f>IF(C146="","",IF(ISNUMBER(SEARCH(".",C146)),LOWER("."&amp;TRIM(RIGHT(SUBSTITUTE(C146,".",REPT(" ",250)),250))),""))</f>
        <v/>
      </c>
      <c r="E146" s="6">
        <f>IF(C146="","",TRIM(SUBSTITUTE(SUBSTITUTE(SUBSTITUTE(SUBSTITUTE(SUBSTITUTE(SUBSTITUTE(SUBSTITUTE(SUBSTITUTE(SUBSTITUTE(SUBSTITUTE(SUBSTITUTE(SUBSTITUTE(SUBSTITUTE(SUBSTITUTE(SUBSTITUTE(SUBSTITUTE(SUBSTITUTE(SUBSTITUTE(SUBSTITUTE(SUBSTITUTE(LOWER(LEFT(C146,LEN(C146)-LEN(D146))),"_"," "),"-"," "),"."," "),","," "),"("," "),")"," "),"["," "),"]"," "),"&amp;"," "),"+"," "),"@"," "),"#"," "),"!"," "),"'"," "),"/"," "),":"," "),";"," "),"="," "),"~"," "),"%"," ")))</f>
        <v/>
      </c>
      <c r="F146" s="6">
        <f>IF(C146="","",IF(COUNTIF(Classifiers!$A$23:$A$40,D146)&gt;0,1,0))</f>
        <v/>
      </c>
      <c r="G146" s="6">
        <f>IF(C146="","",IF(COUNTIF(Classifiers!$C$23:$C$30,D146)&gt;0,IF((IF(ISNUMBER(SEARCH(Classifiers!$E$23,E146)),1,0)+IF(ISNUMBER(SEARCH(Classifiers!$E$24,E146)),1,0)+IF(ISNUMBER(SEARCH(Classifiers!$E$25,E146)),1,0)+IF(ISNUMBER(SEARCH(Classifiers!$E$26,E146)),1,0)+IF(ISNUMBER(SEARCH(Classifiers!$E$27,E146)),1,0)+IF(ISNUMBER(SEARCH(Classifiers!$E$28,E146)),1,0)+IF(ISNUMBER(SEARCH(Classifiers!$E$29,E146)),1,0)+IF(ISNUMBER(SEARCH(Classifiers!$E$30,E146)),1,0))&gt;0,1,0),0))</f>
        <v/>
      </c>
      <c r="H146" s="6">
        <f>IF(C146="","",IF(OR(LEFT(C146,1)=".",AND(F146=0,G146=0)),0,1))</f>
        <v/>
      </c>
      <c r="I146" s="6">
        <f>IF(H146&lt;&gt;1,"",IF(SUM(J146:W146)=0,"unclassified",INDEX(Classifiers!$A$5:$A$18,MATCH(1,J146:W146,0),1)))</f>
        <v/>
      </c>
      <c r="J146" s="12">
        <f>IF(H146&lt;&gt;1,0,IF((IF(Classifiers!$B$5="",0,IF(ISNUMBER(SEARCH(Classifiers!$B$5,E146)),1,0))+IF(Classifiers!$C$5="",0,IF(ISNUMBER(SEARCH(Classifiers!$C$5,E146)),1,0))+IF(Classifiers!$D$5="",0,IF(ISNUMBER(SEARCH(Classifiers!$D$5,E146)),1,0))+IF(Classifiers!$E$5="",0,IF(ISNUMBER(SEARCH(Classifiers!$E$5,E146)),1,0))+IF(Classifiers!$F$5="",0,IF(ISNUMBER(SEARCH(Classifiers!$F$5,E146)),1,0))+IF(Classifiers!$G$5="",0,IF(ISNUMBER(SEARCH(Classifiers!$G$5,E146)),1,0)))&gt;0,1,0))</f>
        <v/>
      </c>
      <c r="K146" s="12">
        <f>IF(H146&lt;&gt;1,0,IF((IF(Classifiers!$B$6="",0,IF(ISNUMBER(SEARCH(Classifiers!$B$6,E146)),1,0))+IF(Classifiers!$C$6="",0,IF(ISNUMBER(SEARCH(Classifiers!$C$6,E146)),1,0))+IF(Classifiers!$D$6="",0,IF(ISNUMBER(SEARCH(Classifiers!$D$6,E146)),1,0))+IF(Classifiers!$E$6="",0,IF(ISNUMBER(SEARCH(Classifiers!$E$6,E146)),1,0))+IF(Classifiers!$F$6="",0,IF(ISNUMBER(SEARCH(Classifiers!$F$6,E146)),1,0))+IF(Classifiers!$G$6="",0,IF(ISNUMBER(SEARCH(Classifiers!$G$6,E146)),1,0)))&gt;0,1,0))</f>
        <v/>
      </c>
      <c r="L146" s="12">
        <f>IF(H146&lt;&gt;1,0,IF((IF(Classifiers!$B$7="",0,IF(ISNUMBER(SEARCH(Classifiers!$B$7,E146)),1,0))+IF(Classifiers!$C$7="",0,IF(ISNUMBER(SEARCH(Classifiers!$C$7,E146)),1,0))+IF(Classifiers!$D$7="",0,IF(ISNUMBER(SEARCH(Classifiers!$D$7,E146)),1,0))+IF(Classifiers!$E$7="",0,IF(ISNUMBER(SEARCH(Classifiers!$E$7,E146)),1,0))+IF(Classifiers!$F$7="",0,IF(ISNUMBER(SEARCH(Classifiers!$F$7,E146)),1,0))+IF(Classifiers!$G$7="",0,IF(ISNUMBER(SEARCH(Classifiers!$G$7,E146)),1,0)))&gt;0,1,0))</f>
        <v/>
      </c>
      <c r="M146" s="12">
        <f>IF(H146&lt;&gt;1,0,IF((IF(Classifiers!$B$8="",0,IF(ISNUMBER(SEARCH(Classifiers!$B$8,E146)),1,0))+IF(Classifiers!$C$8="",0,IF(ISNUMBER(SEARCH(Classifiers!$C$8,E146)),1,0))+IF(Classifiers!$D$8="",0,IF(ISNUMBER(SEARCH(Classifiers!$D$8,E146)),1,0))+IF(Classifiers!$E$8="",0,IF(ISNUMBER(SEARCH(Classifiers!$E$8,E146)),1,0))+IF(Classifiers!$F$8="",0,IF(ISNUMBER(SEARCH(Classifiers!$F$8,E146)),1,0))+IF(Classifiers!$G$8="",0,IF(ISNUMBER(SEARCH(Classifiers!$G$8,E146)),1,0)))&gt;0,1,0))</f>
        <v/>
      </c>
      <c r="N146" s="12">
        <f>IF(H146&lt;&gt;1,0,IF((IF(Classifiers!$B$9="",0,IF(ISNUMBER(SEARCH(Classifiers!$B$9,E146)),1,0))+IF(Classifiers!$C$9="",0,IF(ISNUMBER(SEARCH(Classifiers!$C$9,E146)),1,0))+IF(Classifiers!$D$9="",0,IF(ISNUMBER(SEARCH(Classifiers!$D$9,E146)),1,0))+IF(Classifiers!$E$9="",0,IF(ISNUMBER(SEARCH(Classifiers!$E$9,E146)),1,0))+IF(Classifiers!$F$9="",0,IF(ISNUMBER(SEARCH(Classifiers!$F$9,E146)),1,0))+IF(Classifiers!$G$9="",0,IF(ISNUMBER(SEARCH(Classifiers!$G$9,E146)),1,0)))&gt;0,1,0))</f>
        <v/>
      </c>
      <c r="O146" s="12">
        <f>IF(H146&lt;&gt;1,0,IF((IF(Classifiers!$B$10="",0,IF(ISNUMBER(SEARCH(Classifiers!$B$10,E146)),1,0))+IF(Classifiers!$C$10="",0,IF(ISNUMBER(SEARCH(Classifiers!$C$10,E146)),1,0))+IF(Classifiers!$D$10="",0,IF(ISNUMBER(SEARCH(Classifiers!$D$10,E146)),1,0))+IF(Classifiers!$E$10="",0,IF(ISNUMBER(SEARCH(Classifiers!$E$10,E146)),1,0))+IF(Classifiers!$F$10="",0,IF(ISNUMBER(SEARCH(Classifiers!$F$10,E146)),1,0))+IF(Classifiers!$G$10="",0,IF(ISNUMBER(SEARCH(Classifiers!$G$10,E146)),1,0)))&gt;0,1,0))</f>
        <v/>
      </c>
      <c r="P146" s="12">
        <f>IF(H146&lt;&gt;1,0,IF((IF(Classifiers!$B$11="",0,IF(ISNUMBER(SEARCH(Classifiers!$B$11,E146)),1,0))+IF(Classifiers!$C$11="",0,IF(ISNUMBER(SEARCH(Classifiers!$C$11,E146)),1,0))+IF(Classifiers!$D$11="",0,IF(ISNUMBER(SEARCH(Classifiers!$D$11,E146)),1,0))+IF(Classifiers!$E$11="",0,IF(ISNUMBER(SEARCH(Classifiers!$E$11,E146)),1,0))+IF(Classifiers!$F$11="",0,IF(ISNUMBER(SEARCH(Classifiers!$F$11,E146)),1,0))+IF(Classifiers!$G$11="",0,IF(ISNUMBER(SEARCH(Classifiers!$G$11,E146)),1,0)))&gt;0,1,0))</f>
        <v/>
      </c>
      <c r="Q146" s="12">
        <f>IF(H146&lt;&gt;1,0,IF((IF(Classifiers!$B$12="",0,IF(ISNUMBER(SEARCH(Classifiers!$B$12,E146)),1,0))+IF(Classifiers!$C$12="",0,IF(ISNUMBER(SEARCH(Classifiers!$C$12,E146)),1,0))+IF(Classifiers!$D$12="",0,IF(ISNUMBER(SEARCH(Classifiers!$D$12,E146)),1,0))+IF(Classifiers!$E$12="",0,IF(ISNUMBER(SEARCH(Classifiers!$E$12,E146)),1,0))+IF(Classifiers!$F$12="",0,IF(ISNUMBER(SEARCH(Classifiers!$F$12,E146)),1,0))+IF(Classifiers!$G$12="",0,IF(ISNUMBER(SEARCH(Classifiers!$G$12,E146)),1,0)))&gt;0,1,0))</f>
        <v/>
      </c>
      <c r="R146" s="12">
        <f>IF(H146&lt;&gt;1,0,IF((IF(Classifiers!$B$13="",0,IF(ISNUMBER(SEARCH(Classifiers!$B$13,E146)),1,0))+IF(Classifiers!$C$13="",0,IF(ISNUMBER(SEARCH(Classifiers!$C$13,E146)),1,0))+IF(Classifiers!$D$13="",0,IF(ISNUMBER(SEARCH(Classifiers!$D$13,E146)),1,0))+IF(Classifiers!$E$13="",0,IF(ISNUMBER(SEARCH(Classifiers!$E$13,E146)),1,0))+IF(Classifiers!$F$13="",0,IF(ISNUMBER(SEARCH(Classifiers!$F$13,E146)),1,0))+IF(Classifiers!$G$13="",0,IF(ISNUMBER(SEARCH(Classifiers!$G$13,E146)),1,0)))&gt;0,1,0))</f>
        <v/>
      </c>
      <c r="S146" s="12">
        <f>IF(H146&lt;&gt;1,0,IF((IF(Classifiers!$B$14="",0,IF(ISNUMBER(SEARCH(Classifiers!$B$14,E146)),1,0))+IF(Classifiers!$C$14="",0,IF(ISNUMBER(SEARCH(Classifiers!$C$14,E146)),1,0))+IF(Classifiers!$D$14="",0,IF(ISNUMBER(SEARCH(Classifiers!$D$14,E146)),1,0))+IF(Classifiers!$E$14="",0,IF(ISNUMBER(SEARCH(Classifiers!$E$14,E146)),1,0))+IF(Classifiers!$F$14="",0,IF(ISNUMBER(SEARCH(Classifiers!$F$14,E146)),1,0))+IF(Classifiers!$G$14="",0,IF(ISNUMBER(SEARCH(Classifiers!$G$14,E146)),1,0)))&gt;0,1,0))</f>
        <v/>
      </c>
      <c r="T146" s="12">
        <f>IF(H146&lt;&gt;1,0,IF((IF(Classifiers!$B$15="",0,IF(ISNUMBER(SEARCH(Classifiers!$B$15,E146)),1,0))+IF(Classifiers!$C$15="",0,IF(ISNUMBER(SEARCH(Classifiers!$C$15,E146)),1,0))+IF(Classifiers!$D$15="",0,IF(ISNUMBER(SEARCH(Classifiers!$D$15,E146)),1,0))+IF(Classifiers!$E$15="",0,IF(ISNUMBER(SEARCH(Classifiers!$E$15,E146)),1,0))+IF(Classifiers!$F$15="",0,IF(ISNUMBER(SEARCH(Classifiers!$F$15,E146)),1,0))+IF(Classifiers!$G$15="",0,IF(ISNUMBER(SEARCH(Classifiers!$G$15,E146)),1,0)))&gt;0,1,0))</f>
        <v/>
      </c>
      <c r="U146" s="12">
        <f>IF(H146&lt;&gt;1,0,IF((IF(Classifiers!$B$16="",0,IF(ISNUMBER(SEARCH(Classifiers!$B$16,E146)),1,0))+IF(Classifiers!$C$16="",0,IF(ISNUMBER(SEARCH(Classifiers!$C$16,E146)),1,0))+IF(Classifiers!$D$16="",0,IF(ISNUMBER(SEARCH(Classifiers!$D$16,E146)),1,0))+IF(Classifiers!$E$16="",0,IF(ISNUMBER(SEARCH(Classifiers!$E$16,E146)),1,0))+IF(Classifiers!$F$16="",0,IF(ISNUMBER(SEARCH(Classifiers!$F$16,E146)),1,0))+IF(Classifiers!$G$16="",0,IF(ISNUMBER(SEARCH(Classifiers!$G$16,E146)),1,0)))&gt;0,1,0))</f>
        <v/>
      </c>
      <c r="V146" s="12">
        <f>IF(H146&lt;&gt;1,0,IF((IF(Classifiers!$B$17="",0,IF(ISNUMBER(SEARCH(Classifiers!$B$17,E146)),1,0))+IF(Classifiers!$C$17="",0,IF(ISNUMBER(SEARCH(Classifiers!$C$17,E146)),1,0))+IF(Classifiers!$D$17="",0,IF(ISNUMBER(SEARCH(Classifiers!$D$17,E146)),1,0))+IF(Classifiers!$E$17="",0,IF(ISNUMBER(SEARCH(Classifiers!$E$17,E146)),1,0))+IF(Classifiers!$F$17="",0,IF(ISNUMBER(SEARCH(Classifiers!$F$17,E146)),1,0))+IF(Classifiers!$G$17="",0,IF(ISNUMBER(SEARCH(Classifiers!$G$17,E146)),1,0)))&gt;0,1,0))</f>
        <v/>
      </c>
      <c r="W146" s="12">
        <f>IF(H146&lt;&gt;1,0,IF((IF(Classifiers!$B$18="",0,IF(ISNUMBER(SEARCH(Classifiers!$B$18,E146)),1,0))+IF(Classifiers!$C$18="",0,IF(ISNUMBER(SEARCH(Classifiers!$C$18,E146)),1,0))+IF(Classifiers!$D$18="",0,IF(ISNUMBER(SEARCH(Classifiers!$D$18,E146)),1,0))+IF(Classifiers!$E$18="",0,IF(ISNUMBER(SEARCH(Classifiers!$E$18,E146)),1,0))+IF(Classifiers!$F$18="",0,IF(ISNUMBER(SEARCH(Classifiers!$F$18,E146)),1,0))+IF(Classifiers!$G$18="",0,IF(ISNUMBER(SEARCH(Classifiers!$G$18,E146)),1,0)))&gt;0,1,0))</f>
        <v/>
      </c>
    </row>
    <row r="147">
      <c r="A147" s="8" t="n"/>
      <c r="B147" s="11" t="n"/>
      <c r="C147" s="6">
        <f>IF(A147="","",TRIM(RIGHT(SUBSTITUTE(A147,"/",REPT(" ",250)),250)))</f>
        <v/>
      </c>
      <c r="D147" s="6">
        <f>IF(C147="","",IF(ISNUMBER(SEARCH(".",C147)),LOWER("."&amp;TRIM(RIGHT(SUBSTITUTE(C147,".",REPT(" ",250)),250))),""))</f>
        <v/>
      </c>
      <c r="E147" s="6">
        <f>IF(C147="","",TRIM(SUBSTITUTE(SUBSTITUTE(SUBSTITUTE(SUBSTITUTE(SUBSTITUTE(SUBSTITUTE(SUBSTITUTE(SUBSTITUTE(SUBSTITUTE(SUBSTITUTE(SUBSTITUTE(SUBSTITUTE(SUBSTITUTE(SUBSTITUTE(SUBSTITUTE(SUBSTITUTE(SUBSTITUTE(SUBSTITUTE(SUBSTITUTE(SUBSTITUTE(LOWER(LEFT(C147,LEN(C147)-LEN(D147))),"_"," "),"-"," "),"."," "),","," "),"("," "),")"," "),"["," "),"]"," "),"&amp;"," "),"+"," "),"@"," "),"#"," "),"!"," "),"'"," "),"/"," "),":"," "),";"," "),"="," "),"~"," "),"%"," ")))</f>
        <v/>
      </c>
      <c r="F147" s="6">
        <f>IF(C147="","",IF(COUNTIF(Classifiers!$A$23:$A$40,D147)&gt;0,1,0))</f>
        <v/>
      </c>
      <c r="G147" s="6">
        <f>IF(C147="","",IF(COUNTIF(Classifiers!$C$23:$C$30,D147)&gt;0,IF((IF(ISNUMBER(SEARCH(Classifiers!$E$23,E147)),1,0)+IF(ISNUMBER(SEARCH(Classifiers!$E$24,E147)),1,0)+IF(ISNUMBER(SEARCH(Classifiers!$E$25,E147)),1,0)+IF(ISNUMBER(SEARCH(Classifiers!$E$26,E147)),1,0)+IF(ISNUMBER(SEARCH(Classifiers!$E$27,E147)),1,0)+IF(ISNUMBER(SEARCH(Classifiers!$E$28,E147)),1,0)+IF(ISNUMBER(SEARCH(Classifiers!$E$29,E147)),1,0)+IF(ISNUMBER(SEARCH(Classifiers!$E$30,E147)),1,0))&gt;0,1,0),0))</f>
        <v/>
      </c>
      <c r="H147" s="6">
        <f>IF(C147="","",IF(OR(LEFT(C147,1)=".",AND(F147=0,G147=0)),0,1))</f>
        <v/>
      </c>
      <c r="I147" s="6">
        <f>IF(H147&lt;&gt;1,"",IF(SUM(J147:W147)=0,"unclassified",INDEX(Classifiers!$A$5:$A$18,MATCH(1,J147:W147,0),1)))</f>
        <v/>
      </c>
      <c r="J147" s="12">
        <f>IF(H147&lt;&gt;1,0,IF((IF(Classifiers!$B$5="",0,IF(ISNUMBER(SEARCH(Classifiers!$B$5,E147)),1,0))+IF(Classifiers!$C$5="",0,IF(ISNUMBER(SEARCH(Classifiers!$C$5,E147)),1,0))+IF(Classifiers!$D$5="",0,IF(ISNUMBER(SEARCH(Classifiers!$D$5,E147)),1,0))+IF(Classifiers!$E$5="",0,IF(ISNUMBER(SEARCH(Classifiers!$E$5,E147)),1,0))+IF(Classifiers!$F$5="",0,IF(ISNUMBER(SEARCH(Classifiers!$F$5,E147)),1,0))+IF(Classifiers!$G$5="",0,IF(ISNUMBER(SEARCH(Classifiers!$G$5,E147)),1,0)))&gt;0,1,0))</f>
        <v/>
      </c>
      <c r="K147" s="12">
        <f>IF(H147&lt;&gt;1,0,IF((IF(Classifiers!$B$6="",0,IF(ISNUMBER(SEARCH(Classifiers!$B$6,E147)),1,0))+IF(Classifiers!$C$6="",0,IF(ISNUMBER(SEARCH(Classifiers!$C$6,E147)),1,0))+IF(Classifiers!$D$6="",0,IF(ISNUMBER(SEARCH(Classifiers!$D$6,E147)),1,0))+IF(Classifiers!$E$6="",0,IF(ISNUMBER(SEARCH(Classifiers!$E$6,E147)),1,0))+IF(Classifiers!$F$6="",0,IF(ISNUMBER(SEARCH(Classifiers!$F$6,E147)),1,0))+IF(Classifiers!$G$6="",0,IF(ISNUMBER(SEARCH(Classifiers!$G$6,E147)),1,0)))&gt;0,1,0))</f>
        <v/>
      </c>
      <c r="L147" s="12">
        <f>IF(H147&lt;&gt;1,0,IF((IF(Classifiers!$B$7="",0,IF(ISNUMBER(SEARCH(Classifiers!$B$7,E147)),1,0))+IF(Classifiers!$C$7="",0,IF(ISNUMBER(SEARCH(Classifiers!$C$7,E147)),1,0))+IF(Classifiers!$D$7="",0,IF(ISNUMBER(SEARCH(Classifiers!$D$7,E147)),1,0))+IF(Classifiers!$E$7="",0,IF(ISNUMBER(SEARCH(Classifiers!$E$7,E147)),1,0))+IF(Classifiers!$F$7="",0,IF(ISNUMBER(SEARCH(Classifiers!$F$7,E147)),1,0))+IF(Classifiers!$G$7="",0,IF(ISNUMBER(SEARCH(Classifiers!$G$7,E147)),1,0)))&gt;0,1,0))</f>
        <v/>
      </c>
      <c r="M147" s="12">
        <f>IF(H147&lt;&gt;1,0,IF((IF(Classifiers!$B$8="",0,IF(ISNUMBER(SEARCH(Classifiers!$B$8,E147)),1,0))+IF(Classifiers!$C$8="",0,IF(ISNUMBER(SEARCH(Classifiers!$C$8,E147)),1,0))+IF(Classifiers!$D$8="",0,IF(ISNUMBER(SEARCH(Classifiers!$D$8,E147)),1,0))+IF(Classifiers!$E$8="",0,IF(ISNUMBER(SEARCH(Classifiers!$E$8,E147)),1,0))+IF(Classifiers!$F$8="",0,IF(ISNUMBER(SEARCH(Classifiers!$F$8,E147)),1,0))+IF(Classifiers!$G$8="",0,IF(ISNUMBER(SEARCH(Classifiers!$G$8,E147)),1,0)))&gt;0,1,0))</f>
        <v/>
      </c>
      <c r="N147" s="12">
        <f>IF(H147&lt;&gt;1,0,IF((IF(Classifiers!$B$9="",0,IF(ISNUMBER(SEARCH(Classifiers!$B$9,E147)),1,0))+IF(Classifiers!$C$9="",0,IF(ISNUMBER(SEARCH(Classifiers!$C$9,E147)),1,0))+IF(Classifiers!$D$9="",0,IF(ISNUMBER(SEARCH(Classifiers!$D$9,E147)),1,0))+IF(Classifiers!$E$9="",0,IF(ISNUMBER(SEARCH(Classifiers!$E$9,E147)),1,0))+IF(Classifiers!$F$9="",0,IF(ISNUMBER(SEARCH(Classifiers!$F$9,E147)),1,0))+IF(Classifiers!$G$9="",0,IF(ISNUMBER(SEARCH(Classifiers!$G$9,E147)),1,0)))&gt;0,1,0))</f>
        <v/>
      </c>
      <c r="O147" s="12">
        <f>IF(H147&lt;&gt;1,0,IF((IF(Classifiers!$B$10="",0,IF(ISNUMBER(SEARCH(Classifiers!$B$10,E147)),1,0))+IF(Classifiers!$C$10="",0,IF(ISNUMBER(SEARCH(Classifiers!$C$10,E147)),1,0))+IF(Classifiers!$D$10="",0,IF(ISNUMBER(SEARCH(Classifiers!$D$10,E147)),1,0))+IF(Classifiers!$E$10="",0,IF(ISNUMBER(SEARCH(Classifiers!$E$10,E147)),1,0))+IF(Classifiers!$F$10="",0,IF(ISNUMBER(SEARCH(Classifiers!$F$10,E147)),1,0))+IF(Classifiers!$G$10="",0,IF(ISNUMBER(SEARCH(Classifiers!$G$10,E147)),1,0)))&gt;0,1,0))</f>
        <v/>
      </c>
      <c r="P147" s="12">
        <f>IF(H147&lt;&gt;1,0,IF((IF(Classifiers!$B$11="",0,IF(ISNUMBER(SEARCH(Classifiers!$B$11,E147)),1,0))+IF(Classifiers!$C$11="",0,IF(ISNUMBER(SEARCH(Classifiers!$C$11,E147)),1,0))+IF(Classifiers!$D$11="",0,IF(ISNUMBER(SEARCH(Classifiers!$D$11,E147)),1,0))+IF(Classifiers!$E$11="",0,IF(ISNUMBER(SEARCH(Classifiers!$E$11,E147)),1,0))+IF(Classifiers!$F$11="",0,IF(ISNUMBER(SEARCH(Classifiers!$F$11,E147)),1,0))+IF(Classifiers!$G$11="",0,IF(ISNUMBER(SEARCH(Classifiers!$G$11,E147)),1,0)))&gt;0,1,0))</f>
        <v/>
      </c>
      <c r="Q147" s="12">
        <f>IF(H147&lt;&gt;1,0,IF((IF(Classifiers!$B$12="",0,IF(ISNUMBER(SEARCH(Classifiers!$B$12,E147)),1,0))+IF(Classifiers!$C$12="",0,IF(ISNUMBER(SEARCH(Classifiers!$C$12,E147)),1,0))+IF(Classifiers!$D$12="",0,IF(ISNUMBER(SEARCH(Classifiers!$D$12,E147)),1,0))+IF(Classifiers!$E$12="",0,IF(ISNUMBER(SEARCH(Classifiers!$E$12,E147)),1,0))+IF(Classifiers!$F$12="",0,IF(ISNUMBER(SEARCH(Classifiers!$F$12,E147)),1,0))+IF(Classifiers!$G$12="",0,IF(ISNUMBER(SEARCH(Classifiers!$G$12,E147)),1,0)))&gt;0,1,0))</f>
        <v/>
      </c>
      <c r="R147" s="12">
        <f>IF(H147&lt;&gt;1,0,IF((IF(Classifiers!$B$13="",0,IF(ISNUMBER(SEARCH(Classifiers!$B$13,E147)),1,0))+IF(Classifiers!$C$13="",0,IF(ISNUMBER(SEARCH(Classifiers!$C$13,E147)),1,0))+IF(Classifiers!$D$13="",0,IF(ISNUMBER(SEARCH(Classifiers!$D$13,E147)),1,0))+IF(Classifiers!$E$13="",0,IF(ISNUMBER(SEARCH(Classifiers!$E$13,E147)),1,0))+IF(Classifiers!$F$13="",0,IF(ISNUMBER(SEARCH(Classifiers!$F$13,E147)),1,0))+IF(Classifiers!$G$13="",0,IF(ISNUMBER(SEARCH(Classifiers!$G$13,E147)),1,0)))&gt;0,1,0))</f>
        <v/>
      </c>
      <c r="S147" s="12">
        <f>IF(H147&lt;&gt;1,0,IF((IF(Classifiers!$B$14="",0,IF(ISNUMBER(SEARCH(Classifiers!$B$14,E147)),1,0))+IF(Classifiers!$C$14="",0,IF(ISNUMBER(SEARCH(Classifiers!$C$14,E147)),1,0))+IF(Classifiers!$D$14="",0,IF(ISNUMBER(SEARCH(Classifiers!$D$14,E147)),1,0))+IF(Classifiers!$E$14="",0,IF(ISNUMBER(SEARCH(Classifiers!$E$14,E147)),1,0))+IF(Classifiers!$F$14="",0,IF(ISNUMBER(SEARCH(Classifiers!$F$14,E147)),1,0))+IF(Classifiers!$G$14="",0,IF(ISNUMBER(SEARCH(Classifiers!$G$14,E147)),1,0)))&gt;0,1,0))</f>
        <v/>
      </c>
      <c r="T147" s="12">
        <f>IF(H147&lt;&gt;1,0,IF((IF(Classifiers!$B$15="",0,IF(ISNUMBER(SEARCH(Classifiers!$B$15,E147)),1,0))+IF(Classifiers!$C$15="",0,IF(ISNUMBER(SEARCH(Classifiers!$C$15,E147)),1,0))+IF(Classifiers!$D$15="",0,IF(ISNUMBER(SEARCH(Classifiers!$D$15,E147)),1,0))+IF(Classifiers!$E$15="",0,IF(ISNUMBER(SEARCH(Classifiers!$E$15,E147)),1,0))+IF(Classifiers!$F$15="",0,IF(ISNUMBER(SEARCH(Classifiers!$F$15,E147)),1,0))+IF(Classifiers!$G$15="",0,IF(ISNUMBER(SEARCH(Classifiers!$G$15,E147)),1,0)))&gt;0,1,0))</f>
        <v/>
      </c>
      <c r="U147" s="12">
        <f>IF(H147&lt;&gt;1,0,IF((IF(Classifiers!$B$16="",0,IF(ISNUMBER(SEARCH(Classifiers!$B$16,E147)),1,0))+IF(Classifiers!$C$16="",0,IF(ISNUMBER(SEARCH(Classifiers!$C$16,E147)),1,0))+IF(Classifiers!$D$16="",0,IF(ISNUMBER(SEARCH(Classifiers!$D$16,E147)),1,0))+IF(Classifiers!$E$16="",0,IF(ISNUMBER(SEARCH(Classifiers!$E$16,E147)),1,0))+IF(Classifiers!$F$16="",0,IF(ISNUMBER(SEARCH(Classifiers!$F$16,E147)),1,0))+IF(Classifiers!$G$16="",0,IF(ISNUMBER(SEARCH(Classifiers!$G$16,E147)),1,0)))&gt;0,1,0))</f>
        <v/>
      </c>
      <c r="V147" s="12">
        <f>IF(H147&lt;&gt;1,0,IF((IF(Classifiers!$B$17="",0,IF(ISNUMBER(SEARCH(Classifiers!$B$17,E147)),1,0))+IF(Classifiers!$C$17="",0,IF(ISNUMBER(SEARCH(Classifiers!$C$17,E147)),1,0))+IF(Classifiers!$D$17="",0,IF(ISNUMBER(SEARCH(Classifiers!$D$17,E147)),1,0))+IF(Classifiers!$E$17="",0,IF(ISNUMBER(SEARCH(Classifiers!$E$17,E147)),1,0))+IF(Classifiers!$F$17="",0,IF(ISNUMBER(SEARCH(Classifiers!$F$17,E147)),1,0))+IF(Classifiers!$G$17="",0,IF(ISNUMBER(SEARCH(Classifiers!$G$17,E147)),1,0)))&gt;0,1,0))</f>
        <v/>
      </c>
      <c r="W147" s="12">
        <f>IF(H147&lt;&gt;1,0,IF((IF(Classifiers!$B$18="",0,IF(ISNUMBER(SEARCH(Classifiers!$B$18,E147)),1,0))+IF(Classifiers!$C$18="",0,IF(ISNUMBER(SEARCH(Classifiers!$C$18,E147)),1,0))+IF(Classifiers!$D$18="",0,IF(ISNUMBER(SEARCH(Classifiers!$D$18,E147)),1,0))+IF(Classifiers!$E$18="",0,IF(ISNUMBER(SEARCH(Classifiers!$E$18,E147)),1,0))+IF(Classifiers!$F$18="",0,IF(ISNUMBER(SEARCH(Classifiers!$F$18,E147)),1,0))+IF(Classifiers!$G$18="",0,IF(ISNUMBER(SEARCH(Classifiers!$G$18,E147)),1,0)))&gt;0,1,0))</f>
        <v/>
      </c>
    </row>
    <row r="148">
      <c r="A148" s="8" t="n"/>
      <c r="B148" s="11" t="n"/>
      <c r="C148" s="6">
        <f>IF(A148="","",TRIM(RIGHT(SUBSTITUTE(A148,"/",REPT(" ",250)),250)))</f>
        <v/>
      </c>
      <c r="D148" s="6">
        <f>IF(C148="","",IF(ISNUMBER(SEARCH(".",C148)),LOWER("."&amp;TRIM(RIGHT(SUBSTITUTE(C148,".",REPT(" ",250)),250))),""))</f>
        <v/>
      </c>
      <c r="E148" s="6">
        <f>IF(C148="","",TRIM(SUBSTITUTE(SUBSTITUTE(SUBSTITUTE(SUBSTITUTE(SUBSTITUTE(SUBSTITUTE(SUBSTITUTE(SUBSTITUTE(SUBSTITUTE(SUBSTITUTE(SUBSTITUTE(SUBSTITUTE(SUBSTITUTE(SUBSTITUTE(SUBSTITUTE(SUBSTITUTE(SUBSTITUTE(SUBSTITUTE(SUBSTITUTE(SUBSTITUTE(LOWER(LEFT(C148,LEN(C148)-LEN(D148))),"_"," "),"-"," "),"."," "),","," "),"("," "),")"," "),"["," "),"]"," "),"&amp;"," "),"+"," "),"@"," "),"#"," "),"!"," "),"'"," "),"/"," "),":"," "),";"," "),"="," "),"~"," "),"%"," ")))</f>
        <v/>
      </c>
      <c r="F148" s="6">
        <f>IF(C148="","",IF(COUNTIF(Classifiers!$A$23:$A$40,D148)&gt;0,1,0))</f>
        <v/>
      </c>
      <c r="G148" s="6">
        <f>IF(C148="","",IF(COUNTIF(Classifiers!$C$23:$C$30,D148)&gt;0,IF((IF(ISNUMBER(SEARCH(Classifiers!$E$23,E148)),1,0)+IF(ISNUMBER(SEARCH(Classifiers!$E$24,E148)),1,0)+IF(ISNUMBER(SEARCH(Classifiers!$E$25,E148)),1,0)+IF(ISNUMBER(SEARCH(Classifiers!$E$26,E148)),1,0)+IF(ISNUMBER(SEARCH(Classifiers!$E$27,E148)),1,0)+IF(ISNUMBER(SEARCH(Classifiers!$E$28,E148)),1,0)+IF(ISNUMBER(SEARCH(Classifiers!$E$29,E148)),1,0)+IF(ISNUMBER(SEARCH(Classifiers!$E$30,E148)),1,0))&gt;0,1,0),0))</f>
        <v/>
      </c>
      <c r="H148" s="6">
        <f>IF(C148="","",IF(OR(LEFT(C148,1)=".",AND(F148=0,G148=0)),0,1))</f>
        <v/>
      </c>
      <c r="I148" s="6">
        <f>IF(H148&lt;&gt;1,"",IF(SUM(J148:W148)=0,"unclassified",INDEX(Classifiers!$A$5:$A$18,MATCH(1,J148:W148,0),1)))</f>
        <v/>
      </c>
      <c r="J148" s="12">
        <f>IF(H148&lt;&gt;1,0,IF((IF(Classifiers!$B$5="",0,IF(ISNUMBER(SEARCH(Classifiers!$B$5,E148)),1,0))+IF(Classifiers!$C$5="",0,IF(ISNUMBER(SEARCH(Classifiers!$C$5,E148)),1,0))+IF(Classifiers!$D$5="",0,IF(ISNUMBER(SEARCH(Classifiers!$D$5,E148)),1,0))+IF(Classifiers!$E$5="",0,IF(ISNUMBER(SEARCH(Classifiers!$E$5,E148)),1,0))+IF(Classifiers!$F$5="",0,IF(ISNUMBER(SEARCH(Classifiers!$F$5,E148)),1,0))+IF(Classifiers!$G$5="",0,IF(ISNUMBER(SEARCH(Classifiers!$G$5,E148)),1,0)))&gt;0,1,0))</f>
        <v/>
      </c>
      <c r="K148" s="12">
        <f>IF(H148&lt;&gt;1,0,IF((IF(Classifiers!$B$6="",0,IF(ISNUMBER(SEARCH(Classifiers!$B$6,E148)),1,0))+IF(Classifiers!$C$6="",0,IF(ISNUMBER(SEARCH(Classifiers!$C$6,E148)),1,0))+IF(Classifiers!$D$6="",0,IF(ISNUMBER(SEARCH(Classifiers!$D$6,E148)),1,0))+IF(Classifiers!$E$6="",0,IF(ISNUMBER(SEARCH(Classifiers!$E$6,E148)),1,0))+IF(Classifiers!$F$6="",0,IF(ISNUMBER(SEARCH(Classifiers!$F$6,E148)),1,0))+IF(Classifiers!$G$6="",0,IF(ISNUMBER(SEARCH(Classifiers!$G$6,E148)),1,0)))&gt;0,1,0))</f>
        <v/>
      </c>
      <c r="L148" s="12">
        <f>IF(H148&lt;&gt;1,0,IF((IF(Classifiers!$B$7="",0,IF(ISNUMBER(SEARCH(Classifiers!$B$7,E148)),1,0))+IF(Classifiers!$C$7="",0,IF(ISNUMBER(SEARCH(Classifiers!$C$7,E148)),1,0))+IF(Classifiers!$D$7="",0,IF(ISNUMBER(SEARCH(Classifiers!$D$7,E148)),1,0))+IF(Classifiers!$E$7="",0,IF(ISNUMBER(SEARCH(Classifiers!$E$7,E148)),1,0))+IF(Classifiers!$F$7="",0,IF(ISNUMBER(SEARCH(Classifiers!$F$7,E148)),1,0))+IF(Classifiers!$G$7="",0,IF(ISNUMBER(SEARCH(Classifiers!$G$7,E148)),1,0)))&gt;0,1,0))</f>
        <v/>
      </c>
      <c r="M148" s="12">
        <f>IF(H148&lt;&gt;1,0,IF((IF(Classifiers!$B$8="",0,IF(ISNUMBER(SEARCH(Classifiers!$B$8,E148)),1,0))+IF(Classifiers!$C$8="",0,IF(ISNUMBER(SEARCH(Classifiers!$C$8,E148)),1,0))+IF(Classifiers!$D$8="",0,IF(ISNUMBER(SEARCH(Classifiers!$D$8,E148)),1,0))+IF(Classifiers!$E$8="",0,IF(ISNUMBER(SEARCH(Classifiers!$E$8,E148)),1,0))+IF(Classifiers!$F$8="",0,IF(ISNUMBER(SEARCH(Classifiers!$F$8,E148)),1,0))+IF(Classifiers!$G$8="",0,IF(ISNUMBER(SEARCH(Classifiers!$G$8,E148)),1,0)))&gt;0,1,0))</f>
        <v/>
      </c>
      <c r="N148" s="12">
        <f>IF(H148&lt;&gt;1,0,IF((IF(Classifiers!$B$9="",0,IF(ISNUMBER(SEARCH(Classifiers!$B$9,E148)),1,0))+IF(Classifiers!$C$9="",0,IF(ISNUMBER(SEARCH(Classifiers!$C$9,E148)),1,0))+IF(Classifiers!$D$9="",0,IF(ISNUMBER(SEARCH(Classifiers!$D$9,E148)),1,0))+IF(Classifiers!$E$9="",0,IF(ISNUMBER(SEARCH(Classifiers!$E$9,E148)),1,0))+IF(Classifiers!$F$9="",0,IF(ISNUMBER(SEARCH(Classifiers!$F$9,E148)),1,0))+IF(Classifiers!$G$9="",0,IF(ISNUMBER(SEARCH(Classifiers!$G$9,E148)),1,0)))&gt;0,1,0))</f>
        <v/>
      </c>
      <c r="O148" s="12">
        <f>IF(H148&lt;&gt;1,0,IF((IF(Classifiers!$B$10="",0,IF(ISNUMBER(SEARCH(Classifiers!$B$10,E148)),1,0))+IF(Classifiers!$C$10="",0,IF(ISNUMBER(SEARCH(Classifiers!$C$10,E148)),1,0))+IF(Classifiers!$D$10="",0,IF(ISNUMBER(SEARCH(Classifiers!$D$10,E148)),1,0))+IF(Classifiers!$E$10="",0,IF(ISNUMBER(SEARCH(Classifiers!$E$10,E148)),1,0))+IF(Classifiers!$F$10="",0,IF(ISNUMBER(SEARCH(Classifiers!$F$10,E148)),1,0))+IF(Classifiers!$G$10="",0,IF(ISNUMBER(SEARCH(Classifiers!$G$10,E148)),1,0)))&gt;0,1,0))</f>
        <v/>
      </c>
      <c r="P148" s="12">
        <f>IF(H148&lt;&gt;1,0,IF((IF(Classifiers!$B$11="",0,IF(ISNUMBER(SEARCH(Classifiers!$B$11,E148)),1,0))+IF(Classifiers!$C$11="",0,IF(ISNUMBER(SEARCH(Classifiers!$C$11,E148)),1,0))+IF(Classifiers!$D$11="",0,IF(ISNUMBER(SEARCH(Classifiers!$D$11,E148)),1,0))+IF(Classifiers!$E$11="",0,IF(ISNUMBER(SEARCH(Classifiers!$E$11,E148)),1,0))+IF(Classifiers!$F$11="",0,IF(ISNUMBER(SEARCH(Classifiers!$F$11,E148)),1,0))+IF(Classifiers!$G$11="",0,IF(ISNUMBER(SEARCH(Classifiers!$G$11,E148)),1,0)))&gt;0,1,0))</f>
        <v/>
      </c>
      <c r="Q148" s="12">
        <f>IF(H148&lt;&gt;1,0,IF((IF(Classifiers!$B$12="",0,IF(ISNUMBER(SEARCH(Classifiers!$B$12,E148)),1,0))+IF(Classifiers!$C$12="",0,IF(ISNUMBER(SEARCH(Classifiers!$C$12,E148)),1,0))+IF(Classifiers!$D$12="",0,IF(ISNUMBER(SEARCH(Classifiers!$D$12,E148)),1,0))+IF(Classifiers!$E$12="",0,IF(ISNUMBER(SEARCH(Classifiers!$E$12,E148)),1,0))+IF(Classifiers!$F$12="",0,IF(ISNUMBER(SEARCH(Classifiers!$F$12,E148)),1,0))+IF(Classifiers!$G$12="",0,IF(ISNUMBER(SEARCH(Classifiers!$G$12,E148)),1,0)))&gt;0,1,0))</f>
        <v/>
      </c>
      <c r="R148" s="12">
        <f>IF(H148&lt;&gt;1,0,IF((IF(Classifiers!$B$13="",0,IF(ISNUMBER(SEARCH(Classifiers!$B$13,E148)),1,0))+IF(Classifiers!$C$13="",0,IF(ISNUMBER(SEARCH(Classifiers!$C$13,E148)),1,0))+IF(Classifiers!$D$13="",0,IF(ISNUMBER(SEARCH(Classifiers!$D$13,E148)),1,0))+IF(Classifiers!$E$13="",0,IF(ISNUMBER(SEARCH(Classifiers!$E$13,E148)),1,0))+IF(Classifiers!$F$13="",0,IF(ISNUMBER(SEARCH(Classifiers!$F$13,E148)),1,0))+IF(Classifiers!$G$13="",0,IF(ISNUMBER(SEARCH(Classifiers!$G$13,E148)),1,0)))&gt;0,1,0))</f>
        <v/>
      </c>
      <c r="S148" s="12">
        <f>IF(H148&lt;&gt;1,0,IF((IF(Classifiers!$B$14="",0,IF(ISNUMBER(SEARCH(Classifiers!$B$14,E148)),1,0))+IF(Classifiers!$C$14="",0,IF(ISNUMBER(SEARCH(Classifiers!$C$14,E148)),1,0))+IF(Classifiers!$D$14="",0,IF(ISNUMBER(SEARCH(Classifiers!$D$14,E148)),1,0))+IF(Classifiers!$E$14="",0,IF(ISNUMBER(SEARCH(Classifiers!$E$14,E148)),1,0))+IF(Classifiers!$F$14="",0,IF(ISNUMBER(SEARCH(Classifiers!$F$14,E148)),1,0))+IF(Classifiers!$G$14="",0,IF(ISNUMBER(SEARCH(Classifiers!$G$14,E148)),1,0)))&gt;0,1,0))</f>
        <v/>
      </c>
      <c r="T148" s="12">
        <f>IF(H148&lt;&gt;1,0,IF((IF(Classifiers!$B$15="",0,IF(ISNUMBER(SEARCH(Classifiers!$B$15,E148)),1,0))+IF(Classifiers!$C$15="",0,IF(ISNUMBER(SEARCH(Classifiers!$C$15,E148)),1,0))+IF(Classifiers!$D$15="",0,IF(ISNUMBER(SEARCH(Classifiers!$D$15,E148)),1,0))+IF(Classifiers!$E$15="",0,IF(ISNUMBER(SEARCH(Classifiers!$E$15,E148)),1,0))+IF(Classifiers!$F$15="",0,IF(ISNUMBER(SEARCH(Classifiers!$F$15,E148)),1,0))+IF(Classifiers!$G$15="",0,IF(ISNUMBER(SEARCH(Classifiers!$G$15,E148)),1,0)))&gt;0,1,0))</f>
        <v/>
      </c>
      <c r="U148" s="12">
        <f>IF(H148&lt;&gt;1,0,IF((IF(Classifiers!$B$16="",0,IF(ISNUMBER(SEARCH(Classifiers!$B$16,E148)),1,0))+IF(Classifiers!$C$16="",0,IF(ISNUMBER(SEARCH(Classifiers!$C$16,E148)),1,0))+IF(Classifiers!$D$16="",0,IF(ISNUMBER(SEARCH(Classifiers!$D$16,E148)),1,0))+IF(Classifiers!$E$16="",0,IF(ISNUMBER(SEARCH(Classifiers!$E$16,E148)),1,0))+IF(Classifiers!$F$16="",0,IF(ISNUMBER(SEARCH(Classifiers!$F$16,E148)),1,0))+IF(Classifiers!$G$16="",0,IF(ISNUMBER(SEARCH(Classifiers!$G$16,E148)),1,0)))&gt;0,1,0))</f>
        <v/>
      </c>
      <c r="V148" s="12">
        <f>IF(H148&lt;&gt;1,0,IF((IF(Classifiers!$B$17="",0,IF(ISNUMBER(SEARCH(Classifiers!$B$17,E148)),1,0))+IF(Classifiers!$C$17="",0,IF(ISNUMBER(SEARCH(Classifiers!$C$17,E148)),1,0))+IF(Classifiers!$D$17="",0,IF(ISNUMBER(SEARCH(Classifiers!$D$17,E148)),1,0))+IF(Classifiers!$E$17="",0,IF(ISNUMBER(SEARCH(Classifiers!$E$17,E148)),1,0))+IF(Classifiers!$F$17="",0,IF(ISNUMBER(SEARCH(Classifiers!$F$17,E148)),1,0))+IF(Classifiers!$G$17="",0,IF(ISNUMBER(SEARCH(Classifiers!$G$17,E148)),1,0)))&gt;0,1,0))</f>
        <v/>
      </c>
      <c r="W148" s="12">
        <f>IF(H148&lt;&gt;1,0,IF((IF(Classifiers!$B$18="",0,IF(ISNUMBER(SEARCH(Classifiers!$B$18,E148)),1,0))+IF(Classifiers!$C$18="",0,IF(ISNUMBER(SEARCH(Classifiers!$C$18,E148)),1,0))+IF(Classifiers!$D$18="",0,IF(ISNUMBER(SEARCH(Classifiers!$D$18,E148)),1,0))+IF(Classifiers!$E$18="",0,IF(ISNUMBER(SEARCH(Classifiers!$E$18,E148)),1,0))+IF(Classifiers!$F$18="",0,IF(ISNUMBER(SEARCH(Classifiers!$F$18,E148)),1,0))+IF(Classifiers!$G$18="",0,IF(ISNUMBER(SEARCH(Classifiers!$G$18,E148)),1,0)))&gt;0,1,0))</f>
        <v/>
      </c>
    </row>
    <row r="149">
      <c r="A149" s="8" t="n"/>
      <c r="B149" s="11" t="n"/>
      <c r="C149" s="6">
        <f>IF(A149="","",TRIM(RIGHT(SUBSTITUTE(A149,"/",REPT(" ",250)),250)))</f>
        <v/>
      </c>
      <c r="D149" s="6">
        <f>IF(C149="","",IF(ISNUMBER(SEARCH(".",C149)),LOWER("."&amp;TRIM(RIGHT(SUBSTITUTE(C149,".",REPT(" ",250)),250))),""))</f>
        <v/>
      </c>
      <c r="E149" s="6">
        <f>IF(C149="","",TRIM(SUBSTITUTE(SUBSTITUTE(SUBSTITUTE(SUBSTITUTE(SUBSTITUTE(SUBSTITUTE(SUBSTITUTE(SUBSTITUTE(SUBSTITUTE(SUBSTITUTE(SUBSTITUTE(SUBSTITUTE(SUBSTITUTE(SUBSTITUTE(SUBSTITUTE(SUBSTITUTE(SUBSTITUTE(SUBSTITUTE(SUBSTITUTE(SUBSTITUTE(LOWER(LEFT(C149,LEN(C149)-LEN(D149))),"_"," "),"-"," "),"."," "),","," "),"("," "),")"," "),"["," "),"]"," "),"&amp;"," "),"+"," "),"@"," "),"#"," "),"!"," "),"'"," "),"/"," "),":"," "),";"," "),"="," "),"~"," "),"%"," ")))</f>
        <v/>
      </c>
      <c r="F149" s="6">
        <f>IF(C149="","",IF(COUNTIF(Classifiers!$A$23:$A$40,D149)&gt;0,1,0))</f>
        <v/>
      </c>
      <c r="G149" s="6">
        <f>IF(C149="","",IF(COUNTIF(Classifiers!$C$23:$C$30,D149)&gt;0,IF((IF(ISNUMBER(SEARCH(Classifiers!$E$23,E149)),1,0)+IF(ISNUMBER(SEARCH(Classifiers!$E$24,E149)),1,0)+IF(ISNUMBER(SEARCH(Classifiers!$E$25,E149)),1,0)+IF(ISNUMBER(SEARCH(Classifiers!$E$26,E149)),1,0)+IF(ISNUMBER(SEARCH(Classifiers!$E$27,E149)),1,0)+IF(ISNUMBER(SEARCH(Classifiers!$E$28,E149)),1,0)+IF(ISNUMBER(SEARCH(Classifiers!$E$29,E149)),1,0)+IF(ISNUMBER(SEARCH(Classifiers!$E$30,E149)),1,0))&gt;0,1,0),0))</f>
        <v/>
      </c>
      <c r="H149" s="6">
        <f>IF(C149="","",IF(OR(LEFT(C149,1)=".",AND(F149=0,G149=0)),0,1))</f>
        <v/>
      </c>
      <c r="I149" s="6">
        <f>IF(H149&lt;&gt;1,"",IF(SUM(J149:W149)=0,"unclassified",INDEX(Classifiers!$A$5:$A$18,MATCH(1,J149:W149,0),1)))</f>
        <v/>
      </c>
      <c r="J149" s="12">
        <f>IF(H149&lt;&gt;1,0,IF((IF(Classifiers!$B$5="",0,IF(ISNUMBER(SEARCH(Classifiers!$B$5,E149)),1,0))+IF(Classifiers!$C$5="",0,IF(ISNUMBER(SEARCH(Classifiers!$C$5,E149)),1,0))+IF(Classifiers!$D$5="",0,IF(ISNUMBER(SEARCH(Classifiers!$D$5,E149)),1,0))+IF(Classifiers!$E$5="",0,IF(ISNUMBER(SEARCH(Classifiers!$E$5,E149)),1,0))+IF(Classifiers!$F$5="",0,IF(ISNUMBER(SEARCH(Classifiers!$F$5,E149)),1,0))+IF(Classifiers!$G$5="",0,IF(ISNUMBER(SEARCH(Classifiers!$G$5,E149)),1,0)))&gt;0,1,0))</f>
        <v/>
      </c>
      <c r="K149" s="12">
        <f>IF(H149&lt;&gt;1,0,IF((IF(Classifiers!$B$6="",0,IF(ISNUMBER(SEARCH(Classifiers!$B$6,E149)),1,0))+IF(Classifiers!$C$6="",0,IF(ISNUMBER(SEARCH(Classifiers!$C$6,E149)),1,0))+IF(Classifiers!$D$6="",0,IF(ISNUMBER(SEARCH(Classifiers!$D$6,E149)),1,0))+IF(Classifiers!$E$6="",0,IF(ISNUMBER(SEARCH(Classifiers!$E$6,E149)),1,0))+IF(Classifiers!$F$6="",0,IF(ISNUMBER(SEARCH(Classifiers!$F$6,E149)),1,0))+IF(Classifiers!$G$6="",0,IF(ISNUMBER(SEARCH(Classifiers!$G$6,E149)),1,0)))&gt;0,1,0))</f>
        <v/>
      </c>
      <c r="L149" s="12">
        <f>IF(H149&lt;&gt;1,0,IF((IF(Classifiers!$B$7="",0,IF(ISNUMBER(SEARCH(Classifiers!$B$7,E149)),1,0))+IF(Classifiers!$C$7="",0,IF(ISNUMBER(SEARCH(Classifiers!$C$7,E149)),1,0))+IF(Classifiers!$D$7="",0,IF(ISNUMBER(SEARCH(Classifiers!$D$7,E149)),1,0))+IF(Classifiers!$E$7="",0,IF(ISNUMBER(SEARCH(Classifiers!$E$7,E149)),1,0))+IF(Classifiers!$F$7="",0,IF(ISNUMBER(SEARCH(Classifiers!$F$7,E149)),1,0))+IF(Classifiers!$G$7="",0,IF(ISNUMBER(SEARCH(Classifiers!$G$7,E149)),1,0)))&gt;0,1,0))</f>
        <v/>
      </c>
      <c r="M149" s="12">
        <f>IF(H149&lt;&gt;1,0,IF((IF(Classifiers!$B$8="",0,IF(ISNUMBER(SEARCH(Classifiers!$B$8,E149)),1,0))+IF(Classifiers!$C$8="",0,IF(ISNUMBER(SEARCH(Classifiers!$C$8,E149)),1,0))+IF(Classifiers!$D$8="",0,IF(ISNUMBER(SEARCH(Classifiers!$D$8,E149)),1,0))+IF(Classifiers!$E$8="",0,IF(ISNUMBER(SEARCH(Classifiers!$E$8,E149)),1,0))+IF(Classifiers!$F$8="",0,IF(ISNUMBER(SEARCH(Classifiers!$F$8,E149)),1,0))+IF(Classifiers!$G$8="",0,IF(ISNUMBER(SEARCH(Classifiers!$G$8,E149)),1,0)))&gt;0,1,0))</f>
        <v/>
      </c>
      <c r="N149" s="12">
        <f>IF(H149&lt;&gt;1,0,IF((IF(Classifiers!$B$9="",0,IF(ISNUMBER(SEARCH(Classifiers!$B$9,E149)),1,0))+IF(Classifiers!$C$9="",0,IF(ISNUMBER(SEARCH(Classifiers!$C$9,E149)),1,0))+IF(Classifiers!$D$9="",0,IF(ISNUMBER(SEARCH(Classifiers!$D$9,E149)),1,0))+IF(Classifiers!$E$9="",0,IF(ISNUMBER(SEARCH(Classifiers!$E$9,E149)),1,0))+IF(Classifiers!$F$9="",0,IF(ISNUMBER(SEARCH(Classifiers!$F$9,E149)),1,0))+IF(Classifiers!$G$9="",0,IF(ISNUMBER(SEARCH(Classifiers!$G$9,E149)),1,0)))&gt;0,1,0))</f>
        <v/>
      </c>
      <c r="O149" s="12">
        <f>IF(H149&lt;&gt;1,0,IF((IF(Classifiers!$B$10="",0,IF(ISNUMBER(SEARCH(Classifiers!$B$10,E149)),1,0))+IF(Classifiers!$C$10="",0,IF(ISNUMBER(SEARCH(Classifiers!$C$10,E149)),1,0))+IF(Classifiers!$D$10="",0,IF(ISNUMBER(SEARCH(Classifiers!$D$10,E149)),1,0))+IF(Classifiers!$E$10="",0,IF(ISNUMBER(SEARCH(Classifiers!$E$10,E149)),1,0))+IF(Classifiers!$F$10="",0,IF(ISNUMBER(SEARCH(Classifiers!$F$10,E149)),1,0))+IF(Classifiers!$G$10="",0,IF(ISNUMBER(SEARCH(Classifiers!$G$10,E149)),1,0)))&gt;0,1,0))</f>
        <v/>
      </c>
      <c r="P149" s="12">
        <f>IF(H149&lt;&gt;1,0,IF((IF(Classifiers!$B$11="",0,IF(ISNUMBER(SEARCH(Classifiers!$B$11,E149)),1,0))+IF(Classifiers!$C$11="",0,IF(ISNUMBER(SEARCH(Classifiers!$C$11,E149)),1,0))+IF(Classifiers!$D$11="",0,IF(ISNUMBER(SEARCH(Classifiers!$D$11,E149)),1,0))+IF(Classifiers!$E$11="",0,IF(ISNUMBER(SEARCH(Classifiers!$E$11,E149)),1,0))+IF(Classifiers!$F$11="",0,IF(ISNUMBER(SEARCH(Classifiers!$F$11,E149)),1,0))+IF(Classifiers!$G$11="",0,IF(ISNUMBER(SEARCH(Classifiers!$G$11,E149)),1,0)))&gt;0,1,0))</f>
        <v/>
      </c>
      <c r="Q149" s="12">
        <f>IF(H149&lt;&gt;1,0,IF((IF(Classifiers!$B$12="",0,IF(ISNUMBER(SEARCH(Classifiers!$B$12,E149)),1,0))+IF(Classifiers!$C$12="",0,IF(ISNUMBER(SEARCH(Classifiers!$C$12,E149)),1,0))+IF(Classifiers!$D$12="",0,IF(ISNUMBER(SEARCH(Classifiers!$D$12,E149)),1,0))+IF(Classifiers!$E$12="",0,IF(ISNUMBER(SEARCH(Classifiers!$E$12,E149)),1,0))+IF(Classifiers!$F$12="",0,IF(ISNUMBER(SEARCH(Classifiers!$F$12,E149)),1,0))+IF(Classifiers!$G$12="",0,IF(ISNUMBER(SEARCH(Classifiers!$G$12,E149)),1,0)))&gt;0,1,0))</f>
        <v/>
      </c>
      <c r="R149" s="12">
        <f>IF(H149&lt;&gt;1,0,IF((IF(Classifiers!$B$13="",0,IF(ISNUMBER(SEARCH(Classifiers!$B$13,E149)),1,0))+IF(Classifiers!$C$13="",0,IF(ISNUMBER(SEARCH(Classifiers!$C$13,E149)),1,0))+IF(Classifiers!$D$13="",0,IF(ISNUMBER(SEARCH(Classifiers!$D$13,E149)),1,0))+IF(Classifiers!$E$13="",0,IF(ISNUMBER(SEARCH(Classifiers!$E$13,E149)),1,0))+IF(Classifiers!$F$13="",0,IF(ISNUMBER(SEARCH(Classifiers!$F$13,E149)),1,0))+IF(Classifiers!$G$13="",0,IF(ISNUMBER(SEARCH(Classifiers!$G$13,E149)),1,0)))&gt;0,1,0))</f>
        <v/>
      </c>
      <c r="S149" s="12">
        <f>IF(H149&lt;&gt;1,0,IF((IF(Classifiers!$B$14="",0,IF(ISNUMBER(SEARCH(Classifiers!$B$14,E149)),1,0))+IF(Classifiers!$C$14="",0,IF(ISNUMBER(SEARCH(Classifiers!$C$14,E149)),1,0))+IF(Classifiers!$D$14="",0,IF(ISNUMBER(SEARCH(Classifiers!$D$14,E149)),1,0))+IF(Classifiers!$E$14="",0,IF(ISNUMBER(SEARCH(Classifiers!$E$14,E149)),1,0))+IF(Classifiers!$F$14="",0,IF(ISNUMBER(SEARCH(Classifiers!$F$14,E149)),1,0))+IF(Classifiers!$G$14="",0,IF(ISNUMBER(SEARCH(Classifiers!$G$14,E149)),1,0)))&gt;0,1,0))</f>
        <v/>
      </c>
      <c r="T149" s="12">
        <f>IF(H149&lt;&gt;1,0,IF((IF(Classifiers!$B$15="",0,IF(ISNUMBER(SEARCH(Classifiers!$B$15,E149)),1,0))+IF(Classifiers!$C$15="",0,IF(ISNUMBER(SEARCH(Classifiers!$C$15,E149)),1,0))+IF(Classifiers!$D$15="",0,IF(ISNUMBER(SEARCH(Classifiers!$D$15,E149)),1,0))+IF(Classifiers!$E$15="",0,IF(ISNUMBER(SEARCH(Classifiers!$E$15,E149)),1,0))+IF(Classifiers!$F$15="",0,IF(ISNUMBER(SEARCH(Classifiers!$F$15,E149)),1,0))+IF(Classifiers!$G$15="",0,IF(ISNUMBER(SEARCH(Classifiers!$G$15,E149)),1,0)))&gt;0,1,0))</f>
        <v/>
      </c>
      <c r="U149" s="12">
        <f>IF(H149&lt;&gt;1,0,IF((IF(Classifiers!$B$16="",0,IF(ISNUMBER(SEARCH(Classifiers!$B$16,E149)),1,0))+IF(Classifiers!$C$16="",0,IF(ISNUMBER(SEARCH(Classifiers!$C$16,E149)),1,0))+IF(Classifiers!$D$16="",0,IF(ISNUMBER(SEARCH(Classifiers!$D$16,E149)),1,0))+IF(Classifiers!$E$16="",0,IF(ISNUMBER(SEARCH(Classifiers!$E$16,E149)),1,0))+IF(Classifiers!$F$16="",0,IF(ISNUMBER(SEARCH(Classifiers!$F$16,E149)),1,0))+IF(Classifiers!$G$16="",0,IF(ISNUMBER(SEARCH(Classifiers!$G$16,E149)),1,0)))&gt;0,1,0))</f>
        <v/>
      </c>
      <c r="V149" s="12">
        <f>IF(H149&lt;&gt;1,0,IF((IF(Classifiers!$B$17="",0,IF(ISNUMBER(SEARCH(Classifiers!$B$17,E149)),1,0))+IF(Classifiers!$C$17="",0,IF(ISNUMBER(SEARCH(Classifiers!$C$17,E149)),1,0))+IF(Classifiers!$D$17="",0,IF(ISNUMBER(SEARCH(Classifiers!$D$17,E149)),1,0))+IF(Classifiers!$E$17="",0,IF(ISNUMBER(SEARCH(Classifiers!$E$17,E149)),1,0))+IF(Classifiers!$F$17="",0,IF(ISNUMBER(SEARCH(Classifiers!$F$17,E149)),1,0))+IF(Classifiers!$G$17="",0,IF(ISNUMBER(SEARCH(Classifiers!$G$17,E149)),1,0)))&gt;0,1,0))</f>
        <v/>
      </c>
      <c r="W149" s="12">
        <f>IF(H149&lt;&gt;1,0,IF((IF(Classifiers!$B$18="",0,IF(ISNUMBER(SEARCH(Classifiers!$B$18,E149)),1,0))+IF(Classifiers!$C$18="",0,IF(ISNUMBER(SEARCH(Classifiers!$C$18,E149)),1,0))+IF(Classifiers!$D$18="",0,IF(ISNUMBER(SEARCH(Classifiers!$D$18,E149)),1,0))+IF(Classifiers!$E$18="",0,IF(ISNUMBER(SEARCH(Classifiers!$E$18,E149)),1,0))+IF(Classifiers!$F$18="",0,IF(ISNUMBER(SEARCH(Classifiers!$F$18,E149)),1,0))+IF(Classifiers!$G$18="",0,IF(ISNUMBER(SEARCH(Classifiers!$G$18,E149)),1,0)))&gt;0,1,0))</f>
        <v/>
      </c>
    </row>
    <row r="150">
      <c r="A150" s="8" t="n"/>
      <c r="B150" s="11" t="n"/>
      <c r="C150" s="6">
        <f>IF(A150="","",TRIM(RIGHT(SUBSTITUTE(A150,"/",REPT(" ",250)),250)))</f>
        <v/>
      </c>
      <c r="D150" s="6">
        <f>IF(C150="","",IF(ISNUMBER(SEARCH(".",C150)),LOWER("."&amp;TRIM(RIGHT(SUBSTITUTE(C150,".",REPT(" ",250)),250))),""))</f>
        <v/>
      </c>
      <c r="E150" s="6">
        <f>IF(C150="","",TRIM(SUBSTITUTE(SUBSTITUTE(SUBSTITUTE(SUBSTITUTE(SUBSTITUTE(SUBSTITUTE(SUBSTITUTE(SUBSTITUTE(SUBSTITUTE(SUBSTITUTE(SUBSTITUTE(SUBSTITUTE(SUBSTITUTE(SUBSTITUTE(SUBSTITUTE(SUBSTITUTE(SUBSTITUTE(SUBSTITUTE(SUBSTITUTE(SUBSTITUTE(LOWER(LEFT(C150,LEN(C150)-LEN(D150))),"_"," "),"-"," "),"."," "),","," "),"("," "),")"," "),"["," "),"]"," "),"&amp;"," "),"+"," "),"@"," "),"#"," "),"!"," "),"'"," "),"/"," "),":"," "),";"," "),"="," "),"~"," "),"%"," ")))</f>
        <v/>
      </c>
      <c r="F150" s="6">
        <f>IF(C150="","",IF(COUNTIF(Classifiers!$A$23:$A$40,D150)&gt;0,1,0))</f>
        <v/>
      </c>
      <c r="G150" s="6">
        <f>IF(C150="","",IF(COUNTIF(Classifiers!$C$23:$C$30,D150)&gt;0,IF((IF(ISNUMBER(SEARCH(Classifiers!$E$23,E150)),1,0)+IF(ISNUMBER(SEARCH(Classifiers!$E$24,E150)),1,0)+IF(ISNUMBER(SEARCH(Classifiers!$E$25,E150)),1,0)+IF(ISNUMBER(SEARCH(Classifiers!$E$26,E150)),1,0)+IF(ISNUMBER(SEARCH(Classifiers!$E$27,E150)),1,0)+IF(ISNUMBER(SEARCH(Classifiers!$E$28,E150)),1,0)+IF(ISNUMBER(SEARCH(Classifiers!$E$29,E150)),1,0)+IF(ISNUMBER(SEARCH(Classifiers!$E$30,E150)),1,0))&gt;0,1,0),0))</f>
        <v/>
      </c>
      <c r="H150" s="6">
        <f>IF(C150="","",IF(OR(LEFT(C150,1)=".",AND(F150=0,G150=0)),0,1))</f>
        <v/>
      </c>
      <c r="I150" s="6">
        <f>IF(H150&lt;&gt;1,"",IF(SUM(J150:W150)=0,"unclassified",INDEX(Classifiers!$A$5:$A$18,MATCH(1,J150:W150,0),1)))</f>
        <v/>
      </c>
      <c r="J150" s="12">
        <f>IF(H150&lt;&gt;1,0,IF((IF(Classifiers!$B$5="",0,IF(ISNUMBER(SEARCH(Classifiers!$B$5,E150)),1,0))+IF(Classifiers!$C$5="",0,IF(ISNUMBER(SEARCH(Classifiers!$C$5,E150)),1,0))+IF(Classifiers!$D$5="",0,IF(ISNUMBER(SEARCH(Classifiers!$D$5,E150)),1,0))+IF(Classifiers!$E$5="",0,IF(ISNUMBER(SEARCH(Classifiers!$E$5,E150)),1,0))+IF(Classifiers!$F$5="",0,IF(ISNUMBER(SEARCH(Classifiers!$F$5,E150)),1,0))+IF(Classifiers!$G$5="",0,IF(ISNUMBER(SEARCH(Classifiers!$G$5,E150)),1,0)))&gt;0,1,0))</f>
        <v/>
      </c>
      <c r="K150" s="12">
        <f>IF(H150&lt;&gt;1,0,IF((IF(Classifiers!$B$6="",0,IF(ISNUMBER(SEARCH(Classifiers!$B$6,E150)),1,0))+IF(Classifiers!$C$6="",0,IF(ISNUMBER(SEARCH(Classifiers!$C$6,E150)),1,0))+IF(Classifiers!$D$6="",0,IF(ISNUMBER(SEARCH(Classifiers!$D$6,E150)),1,0))+IF(Classifiers!$E$6="",0,IF(ISNUMBER(SEARCH(Classifiers!$E$6,E150)),1,0))+IF(Classifiers!$F$6="",0,IF(ISNUMBER(SEARCH(Classifiers!$F$6,E150)),1,0))+IF(Classifiers!$G$6="",0,IF(ISNUMBER(SEARCH(Classifiers!$G$6,E150)),1,0)))&gt;0,1,0))</f>
        <v/>
      </c>
      <c r="L150" s="12">
        <f>IF(H150&lt;&gt;1,0,IF((IF(Classifiers!$B$7="",0,IF(ISNUMBER(SEARCH(Classifiers!$B$7,E150)),1,0))+IF(Classifiers!$C$7="",0,IF(ISNUMBER(SEARCH(Classifiers!$C$7,E150)),1,0))+IF(Classifiers!$D$7="",0,IF(ISNUMBER(SEARCH(Classifiers!$D$7,E150)),1,0))+IF(Classifiers!$E$7="",0,IF(ISNUMBER(SEARCH(Classifiers!$E$7,E150)),1,0))+IF(Classifiers!$F$7="",0,IF(ISNUMBER(SEARCH(Classifiers!$F$7,E150)),1,0))+IF(Classifiers!$G$7="",0,IF(ISNUMBER(SEARCH(Classifiers!$G$7,E150)),1,0)))&gt;0,1,0))</f>
        <v/>
      </c>
      <c r="M150" s="12">
        <f>IF(H150&lt;&gt;1,0,IF((IF(Classifiers!$B$8="",0,IF(ISNUMBER(SEARCH(Classifiers!$B$8,E150)),1,0))+IF(Classifiers!$C$8="",0,IF(ISNUMBER(SEARCH(Classifiers!$C$8,E150)),1,0))+IF(Classifiers!$D$8="",0,IF(ISNUMBER(SEARCH(Classifiers!$D$8,E150)),1,0))+IF(Classifiers!$E$8="",0,IF(ISNUMBER(SEARCH(Classifiers!$E$8,E150)),1,0))+IF(Classifiers!$F$8="",0,IF(ISNUMBER(SEARCH(Classifiers!$F$8,E150)),1,0))+IF(Classifiers!$G$8="",0,IF(ISNUMBER(SEARCH(Classifiers!$G$8,E150)),1,0)))&gt;0,1,0))</f>
        <v/>
      </c>
      <c r="N150" s="12">
        <f>IF(H150&lt;&gt;1,0,IF((IF(Classifiers!$B$9="",0,IF(ISNUMBER(SEARCH(Classifiers!$B$9,E150)),1,0))+IF(Classifiers!$C$9="",0,IF(ISNUMBER(SEARCH(Classifiers!$C$9,E150)),1,0))+IF(Classifiers!$D$9="",0,IF(ISNUMBER(SEARCH(Classifiers!$D$9,E150)),1,0))+IF(Classifiers!$E$9="",0,IF(ISNUMBER(SEARCH(Classifiers!$E$9,E150)),1,0))+IF(Classifiers!$F$9="",0,IF(ISNUMBER(SEARCH(Classifiers!$F$9,E150)),1,0))+IF(Classifiers!$G$9="",0,IF(ISNUMBER(SEARCH(Classifiers!$G$9,E150)),1,0)))&gt;0,1,0))</f>
        <v/>
      </c>
      <c r="O150" s="12">
        <f>IF(H150&lt;&gt;1,0,IF((IF(Classifiers!$B$10="",0,IF(ISNUMBER(SEARCH(Classifiers!$B$10,E150)),1,0))+IF(Classifiers!$C$10="",0,IF(ISNUMBER(SEARCH(Classifiers!$C$10,E150)),1,0))+IF(Classifiers!$D$10="",0,IF(ISNUMBER(SEARCH(Classifiers!$D$10,E150)),1,0))+IF(Classifiers!$E$10="",0,IF(ISNUMBER(SEARCH(Classifiers!$E$10,E150)),1,0))+IF(Classifiers!$F$10="",0,IF(ISNUMBER(SEARCH(Classifiers!$F$10,E150)),1,0))+IF(Classifiers!$G$10="",0,IF(ISNUMBER(SEARCH(Classifiers!$G$10,E150)),1,0)))&gt;0,1,0))</f>
        <v/>
      </c>
      <c r="P150" s="12">
        <f>IF(H150&lt;&gt;1,0,IF((IF(Classifiers!$B$11="",0,IF(ISNUMBER(SEARCH(Classifiers!$B$11,E150)),1,0))+IF(Classifiers!$C$11="",0,IF(ISNUMBER(SEARCH(Classifiers!$C$11,E150)),1,0))+IF(Classifiers!$D$11="",0,IF(ISNUMBER(SEARCH(Classifiers!$D$11,E150)),1,0))+IF(Classifiers!$E$11="",0,IF(ISNUMBER(SEARCH(Classifiers!$E$11,E150)),1,0))+IF(Classifiers!$F$11="",0,IF(ISNUMBER(SEARCH(Classifiers!$F$11,E150)),1,0))+IF(Classifiers!$G$11="",0,IF(ISNUMBER(SEARCH(Classifiers!$G$11,E150)),1,0)))&gt;0,1,0))</f>
        <v/>
      </c>
      <c r="Q150" s="12">
        <f>IF(H150&lt;&gt;1,0,IF((IF(Classifiers!$B$12="",0,IF(ISNUMBER(SEARCH(Classifiers!$B$12,E150)),1,0))+IF(Classifiers!$C$12="",0,IF(ISNUMBER(SEARCH(Classifiers!$C$12,E150)),1,0))+IF(Classifiers!$D$12="",0,IF(ISNUMBER(SEARCH(Classifiers!$D$12,E150)),1,0))+IF(Classifiers!$E$12="",0,IF(ISNUMBER(SEARCH(Classifiers!$E$12,E150)),1,0))+IF(Classifiers!$F$12="",0,IF(ISNUMBER(SEARCH(Classifiers!$F$12,E150)),1,0))+IF(Classifiers!$G$12="",0,IF(ISNUMBER(SEARCH(Classifiers!$G$12,E150)),1,0)))&gt;0,1,0))</f>
        <v/>
      </c>
      <c r="R150" s="12">
        <f>IF(H150&lt;&gt;1,0,IF((IF(Classifiers!$B$13="",0,IF(ISNUMBER(SEARCH(Classifiers!$B$13,E150)),1,0))+IF(Classifiers!$C$13="",0,IF(ISNUMBER(SEARCH(Classifiers!$C$13,E150)),1,0))+IF(Classifiers!$D$13="",0,IF(ISNUMBER(SEARCH(Classifiers!$D$13,E150)),1,0))+IF(Classifiers!$E$13="",0,IF(ISNUMBER(SEARCH(Classifiers!$E$13,E150)),1,0))+IF(Classifiers!$F$13="",0,IF(ISNUMBER(SEARCH(Classifiers!$F$13,E150)),1,0))+IF(Classifiers!$G$13="",0,IF(ISNUMBER(SEARCH(Classifiers!$G$13,E150)),1,0)))&gt;0,1,0))</f>
        <v/>
      </c>
      <c r="S150" s="12">
        <f>IF(H150&lt;&gt;1,0,IF((IF(Classifiers!$B$14="",0,IF(ISNUMBER(SEARCH(Classifiers!$B$14,E150)),1,0))+IF(Classifiers!$C$14="",0,IF(ISNUMBER(SEARCH(Classifiers!$C$14,E150)),1,0))+IF(Classifiers!$D$14="",0,IF(ISNUMBER(SEARCH(Classifiers!$D$14,E150)),1,0))+IF(Classifiers!$E$14="",0,IF(ISNUMBER(SEARCH(Classifiers!$E$14,E150)),1,0))+IF(Classifiers!$F$14="",0,IF(ISNUMBER(SEARCH(Classifiers!$F$14,E150)),1,0))+IF(Classifiers!$G$14="",0,IF(ISNUMBER(SEARCH(Classifiers!$G$14,E150)),1,0)))&gt;0,1,0))</f>
        <v/>
      </c>
      <c r="T150" s="12">
        <f>IF(H150&lt;&gt;1,0,IF((IF(Classifiers!$B$15="",0,IF(ISNUMBER(SEARCH(Classifiers!$B$15,E150)),1,0))+IF(Classifiers!$C$15="",0,IF(ISNUMBER(SEARCH(Classifiers!$C$15,E150)),1,0))+IF(Classifiers!$D$15="",0,IF(ISNUMBER(SEARCH(Classifiers!$D$15,E150)),1,0))+IF(Classifiers!$E$15="",0,IF(ISNUMBER(SEARCH(Classifiers!$E$15,E150)),1,0))+IF(Classifiers!$F$15="",0,IF(ISNUMBER(SEARCH(Classifiers!$F$15,E150)),1,0))+IF(Classifiers!$G$15="",0,IF(ISNUMBER(SEARCH(Classifiers!$G$15,E150)),1,0)))&gt;0,1,0))</f>
        <v/>
      </c>
      <c r="U150" s="12">
        <f>IF(H150&lt;&gt;1,0,IF((IF(Classifiers!$B$16="",0,IF(ISNUMBER(SEARCH(Classifiers!$B$16,E150)),1,0))+IF(Classifiers!$C$16="",0,IF(ISNUMBER(SEARCH(Classifiers!$C$16,E150)),1,0))+IF(Classifiers!$D$16="",0,IF(ISNUMBER(SEARCH(Classifiers!$D$16,E150)),1,0))+IF(Classifiers!$E$16="",0,IF(ISNUMBER(SEARCH(Classifiers!$E$16,E150)),1,0))+IF(Classifiers!$F$16="",0,IF(ISNUMBER(SEARCH(Classifiers!$F$16,E150)),1,0))+IF(Classifiers!$G$16="",0,IF(ISNUMBER(SEARCH(Classifiers!$G$16,E150)),1,0)))&gt;0,1,0))</f>
        <v/>
      </c>
      <c r="V150" s="12">
        <f>IF(H150&lt;&gt;1,0,IF((IF(Classifiers!$B$17="",0,IF(ISNUMBER(SEARCH(Classifiers!$B$17,E150)),1,0))+IF(Classifiers!$C$17="",0,IF(ISNUMBER(SEARCH(Classifiers!$C$17,E150)),1,0))+IF(Classifiers!$D$17="",0,IF(ISNUMBER(SEARCH(Classifiers!$D$17,E150)),1,0))+IF(Classifiers!$E$17="",0,IF(ISNUMBER(SEARCH(Classifiers!$E$17,E150)),1,0))+IF(Classifiers!$F$17="",0,IF(ISNUMBER(SEARCH(Classifiers!$F$17,E150)),1,0))+IF(Classifiers!$G$17="",0,IF(ISNUMBER(SEARCH(Classifiers!$G$17,E150)),1,0)))&gt;0,1,0))</f>
        <v/>
      </c>
      <c r="W150" s="12">
        <f>IF(H150&lt;&gt;1,0,IF((IF(Classifiers!$B$18="",0,IF(ISNUMBER(SEARCH(Classifiers!$B$18,E150)),1,0))+IF(Classifiers!$C$18="",0,IF(ISNUMBER(SEARCH(Classifiers!$C$18,E150)),1,0))+IF(Classifiers!$D$18="",0,IF(ISNUMBER(SEARCH(Classifiers!$D$18,E150)),1,0))+IF(Classifiers!$E$18="",0,IF(ISNUMBER(SEARCH(Classifiers!$E$18,E150)),1,0))+IF(Classifiers!$F$18="",0,IF(ISNUMBER(SEARCH(Classifiers!$F$18,E150)),1,0))+IF(Classifiers!$G$18="",0,IF(ISNUMBER(SEARCH(Classifiers!$G$18,E150)),1,0)))&gt;0,1,0))</f>
        <v/>
      </c>
    </row>
    <row r="151">
      <c r="A151" s="8" t="n"/>
      <c r="B151" s="11" t="n"/>
      <c r="C151" s="6">
        <f>IF(A151="","",TRIM(RIGHT(SUBSTITUTE(A151,"/",REPT(" ",250)),250)))</f>
        <v/>
      </c>
      <c r="D151" s="6">
        <f>IF(C151="","",IF(ISNUMBER(SEARCH(".",C151)),LOWER("."&amp;TRIM(RIGHT(SUBSTITUTE(C151,".",REPT(" ",250)),250))),""))</f>
        <v/>
      </c>
      <c r="E151" s="6">
        <f>IF(C151="","",TRIM(SUBSTITUTE(SUBSTITUTE(SUBSTITUTE(SUBSTITUTE(SUBSTITUTE(SUBSTITUTE(SUBSTITUTE(SUBSTITUTE(SUBSTITUTE(SUBSTITUTE(SUBSTITUTE(SUBSTITUTE(SUBSTITUTE(SUBSTITUTE(SUBSTITUTE(SUBSTITUTE(SUBSTITUTE(SUBSTITUTE(SUBSTITUTE(SUBSTITUTE(LOWER(LEFT(C151,LEN(C151)-LEN(D151))),"_"," "),"-"," "),"."," "),","," "),"("," "),")"," "),"["," "),"]"," "),"&amp;"," "),"+"," "),"@"," "),"#"," "),"!"," "),"'"," "),"/"," "),":"," "),";"," "),"="," "),"~"," "),"%"," ")))</f>
        <v/>
      </c>
      <c r="F151" s="6">
        <f>IF(C151="","",IF(COUNTIF(Classifiers!$A$23:$A$40,D151)&gt;0,1,0))</f>
        <v/>
      </c>
      <c r="G151" s="6">
        <f>IF(C151="","",IF(COUNTIF(Classifiers!$C$23:$C$30,D151)&gt;0,IF((IF(ISNUMBER(SEARCH(Classifiers!$E$23,E151)),1,0)+IF(ISNUMBER(SEARCH(Classifiers!$E$24,E151)),1,0)+IF(ISNUMBER(SEARCH(Classifiers!$E$25,E151)),1,0)+IF(ISNUMBER(SEARCH(Classifiers!$E$26,E151)),1,0)+IF(ISNUMBER(SEARCH(Classifiers!$E$27,E151)),1,0)+IF(ISNUMBER(SEARCH(Classifiers!$E$28,E151)),1,0)+IF(ISNUMBER(SEARCH(Classifiers!$E$29,E151)),1,0)+IF(ISNUMBER(SEARCH(Classifiers!$E$30,E151)),1,0))&gt;0,1,0),0))</f>
        <v/>
      </c>
      <c r="H151" s="6">
        <f>IF(C151="","",IF(OR(LEFT(C151,1)=".",AND(F151=0,G151=0)),0,1))</f>
        <v/>
      </c>
      <c r="I151" s="6">
        <f>IF(H151&lt;&gt;1,"",IF(SUM(J151:W151)=0,"unclassified",INDEX(Classifiers!$A$5:$A$18,MATCH(1,J151:W151,0),1)))</f>
        <v/>
      </c>
      <c r="J151" s="12">
        <f>IF(H151&lt;&gt;1,0,IF((IF(Classifiers!$B$5="",0,IF(ISNUMBER(SEARCH(Classifiers!$B$5,E151)),1,0))+IF(Classifiers!$C$5="",0,IF(ISNUMBER(SEARCH(Classifiers!$C$5,E151)),1,0))+IF(Classifiers!$D$5="",0,IF(ISNUMBER(SEARCH(Classifiers!$D$5,E151)),1,0))+IF(Classifiers!$E$5="",0,IF(ISNUMBER(SEARCH(Classifiers!$E$5,E151)),1,0))+IF(Classifiers!$F$5="",0,IF(ISNUMBER(SEARCH(Classifiers!$F$5,E151)),1,0))+IF(Classifiers!$G$5="",0,IF(ISNUMBER(SEARCH(Classifiers!$G$5,E151)),1,0)))&gt;0,1,0))</f>
        <v/>
      </c>
      <c r="K151" s="12">
        <f>IF(H151&lt;&gt;1,0,IF((IF(Classifiers!$B$6="",0,IF(ISNUMBER(SEARCH(Classifiers!$B$6,E151)),1,0))+IF(Classifiers!$C$6="",0,IF(ISNUMBER(SEARCH(Classifiers!$C$6,E151)),1,0))+IF(Classifiers!$D$6="",0,IF(ISNUMBER(SEARCH(Classifiers!$D$6,E151)),1,0))+IF(Classifiers!$E$6="",0,IF(ISNUMBER(SEARCH(Classifiers!$E$6,E151)),1,0))+IF(Classifiers!$F$6="",0,IF(ISNUMBER(SEARCH(Classifiers!$F$6,E151)),1,0))+IF(Classifiers!$G$6="",0,IF(ISNUMBER(SEARCH(Classifiers!$G$6,E151)),1,0)))&gt;0,1,0))</f>
        <v/>
      </c>
      <c r="L151" s="12">
        <f>IF(H151&lt;&gt;1,0,IF((IF(Classifiers!$B$7="",0,IF(ISNUMBER(SEARCH(Classifiers!$B$7,E151)),1,0))+IF(Classifiers!$C$7="",0,IF(ISNUMBER(SEARCH(Classifiers!$C$7,E151)),1,0))+IF(Classifiers!$D$7="",0,IF(ISNUMBER(SEARCH(Classifiers!$D$7,E151)),1,0))+IF(Classifiers!$E$7="",0,IF(ISNUMBER(SEARCH(Classifiers!$E$7,E151)),1,0))+IF(Classifiers!$F$7="",0,IF(ISNUMBER(SEARCH(Classifiers!$F$7,E151)),1,0))+IF(Classifiers!$G$7="",0,IF(ISNUMBER(SEARCH(Classifiers!$G$7,E151)),1,0)))&gt;0,1,0))</f>
        <v/>
      </c>
      <c r="M151" s="12">
        <f>IF(H151&lt;&gt;1,0,IF((IF(Classifiers!$B$8="",0,IF(ISNUMBER(SEARCH(Classifiers!$B$8,E151)),1,0))+IF(Classifiers!$C$8="",0,IF(ISNUMBER(SEARCH(Classifiers!$C$8,E151)),1,0))+IF(Classifiers!$D$8="",0,IF(ISNUMBER(SEARCH(Classifiers!$D$8,E151)),1,0))+IF(Classifiers!$E$8="",0,IF(ISNUMBER(SEARCH(Classifiers!$E$8,E151)),1,0))+IF(Classifiers!$F$8="",0,IF(ISNUMBER(SEARCH(Classifiers!$F$8,E151)),1,0))+IF(Classifiers!$G$8="",0,IF(ISNUMBER(SEARCH(Classifiers!$G$8,E151)),1,0)))&gt;0,1,0))</f>
        <v/>
      </c>
      <c r="N151" s="12">
        <f>IF(H151&lt;&gt;1,0,IF((IF(Classifiers!$B$9="",0,IF(ISNUMBER(SEARCH(Classifiers!$B$9,E151)),1,0))+IF(Classifiers!$C$9="",0,IF(ISNUMBER(SEARCH(Classifiers!$C$9,E151)),1,0))+IF(Classifiers!$D$9="",0,IF(ISNUMBER(SEARCH(Classifiers!$D$9,E151)),1,0))+IF(Classifiers!$E$9="",0,IF(ISNUMBER(SEARCH(Classifiers!$E$9,E151)),1,0))+IF(Classifiers!$F$9="",0,IF(ISNUMBER(SEARCH(Classifiers!$F$9,E151)),1,0))+IF(Classifiers!$G$9="",0,IF(ISNUMBER(SEARCH(Classifiers!$G$9,E151)),1,0)))&gt;0,1,0))</f>
        <v/>
      </c>
      <c r="O151" s="12">
        <f>IF(H151&lt;&gt;1,0,IF((IF(Classifiers!$B$10="",0,IF(ISNUMBER(SEARCH(Classifiers!$B$10,E151)),1,0))+IF(Classifiers!$C$10="",0,IF(ISNUMBER(SEARCH(Classifiers!$C$10,E151)),1,0))+IF(Classifiers!$D$10="",0,IF(ISNUMBER(SEARCH(Classifiers!$D$10,E151)),1,0))+IF(Classifiers!$E$10="",0,IF(ISNUMBER(SEARCH(Classifiers!$E$10,E151)),1,0))+IF(Classifiers!$F$10="",0,IF(ISNUMBER(SEARCH(Classifiers!$F$10,E151)),1,0))+IF(Classifiers!$G$10="",0,IF(ISNUMBER(SEARCH(Classifiers!$G$10,E151)),1,0)))&gt;0,1,0))</f>
        <v/>
      </c>
      <c r="P151" s="12">
        <f>IF(H151&lt;&gt;1,0,IF((IF(Classifiers!$B$11="",0,IF(ISNUMBER(SEARCH(Classifiers!$B$11,E151)),1,0))+IF(Classifiers!$C$11="",0,IF(ISNUMBER(SEARCH(Classifiers!$C$11,E151)),1,0))+IF(Classifiers!$D$11="",0,IF(ISNUMBER(SEARCH(Classifiers!$D$11,E151)),1,0))+IF(Classifiers!$E$11="",0,IF(ISNUMBER(SEARCH(Classifiers!$E$11,E151)),1,0))+IF(Classifiers!$F$11="",0,IF(ISNUMBER(SEARCH(Classifiers!$F$11,E151)),1,0))+IF(Classifiers!$G$11="",0,IF(ISNUMBER(SEARCH(Classifiers!$G$11,E151)),1,0)))&gt;0,1,0))</f>
        <v/>
      </c>
      <c r="Q151" s="12">
        <f>IF(H151&lt;&gt;1,0,IF((IF(Classifiers!$B$12="",0,IF(ISNUMBER(SEARCH(Classifiers!$B$12,E151)),1,0))+IF(Classifiers!$C$12="",0,IF(ISNUMBER(SEARCH(Classifiers!$C$12,E151)),1,0))+IF(Classifiers!$D$12="",0,IF(ISNUMBER(SEARCH(Classifiers!$D$12,E151)),1,0))+IF(Classifiers!$E$12="",0,IF(ISNUMBER(SEARCH(Classifiers!$E$12,E151)),1,0))+IF(Classifiers!$F$12="",0,IF(ISNUMBER(SEARCH(Classifiers!$F$12,E151)),1,0))+IF(Classifiers!$G$12="",0,IF(ISNUMBER(SEARCH(Classifiers!$G$12,E151)),1,0)))&gt;0,1,0))</f>
        <v/>
      </c>
      <c r="R151" s="12">
        <f>IF(H151&lt;&gt;1,0,IF((IF(Classifiers!$B$13="",0,IF(ISNUMBER(SEARCH(Classifiers!$B$13,E151)),1,0))+IF(Classifiers!$C$13="",0,IF(ISNUMBER(SEARCH(Classifiers!$C$13,E151)),1,0))+IF(Classifiers!$D$13="",0,IF(ISNUMBER(SEARCH(Classifiers!$D$13,E151)),1,0))+IF(Classifiers!$E$13="",0,IF(ISNUMBER(SEARCH(Classifiers!$E$13,E151)),1,0))+IF(Classifiers!$F$13="",0,IF(ISNUMBER(SEARCH(Classifiers!$F$13,E151)),1,0))+IF(Classifiers!$G$13="",0,IF(ISNUMBER(SEARCH(Classifiers!$G$13,E151)),1,0)))&gt;0,1,0))</f>
        <v/>
      </c>
      <c r="S151" s="12">
        <f>IF(H151&lt;&gt;1,0,IF((IF(Classifiers!$B$14="",0,IF(ISNUMBER(SEARCH(Classifiers!$B$14,E151)),1,0))+IF(Classifiers!$C$14="",0,IF(ISNUMBER(SEARCH(Classifiers!$C$14,E151)),1,0))+IF(Classifiers!$D$14="",0,IF(ISNUMBER(SEARCH(Classifiers!$D$14,E151)),1,0))+IF(Classifiers!$E$14="",0,IF(ISNUMBER(SEARCH(Classifiers!$E$14,E151)),1,0))+IF(Classifiers!$F$14="",0,IF(ISNUMBER(SEARCH(Classifiers!$F$14,E151)),1,0))+IF(Classifiers!$G$14="",0,IF(ISNUMBER(SEARCH(Classifiers!$G$14,E151)),1,0)))&gt;0,1,0))</f>
        <v/>
      </c>
      <c r="T151" s="12">
        <f>IF(H151&lt;&gt;1,0,IF((IF(Classifiers!$B$15="",0,IF(ISNUMBER(SEARCH(Classifiers!$B$15,E151)),1,0))+IF(Classifiers!$C$15="",0,IF(ISNUMBER(SEARCH(Classifiers!$C$15,E151)),1,0))+IF(Classifiers!$D$15="",0,IF(ISNUMBER(SEARCH(Classifiers!$D$15,E151)),1,0))+IF(Classifiers!$E$15="",0,IF(ISNUMBER(SEARCH(Classifiers!$E$15,E151)),1,0))+IF(Classifiers!$F$15="",0,IF(ISNUMBER(SEARCH(Classifiers!$F$15,E151)),1,0))+IF(Classifiers!$G$15="",0,IF(ISNUMBER(SEARCH(Classifiers!$G$15,E151)),1,0)))&gt;0,1,0))</f>
        <v/>
      </c>
      <c r="U151" s="12">
        <f>IF(H151&lt;&gt;1,0,IF((IF(Classifiers!$B$16="",0,IF(ISNUMBER(SEARCH(Classifiers!$B$16,E151)),1,0))+IF(Classifiers!$C$16="",0,IF(ISNUMBER(SEARCH(Classifiers!$C$16,E151)),1,0))+IF(Classifiers!$D$16="",0,IF(ISNUMBER(SEARCH(Classifiers!$D$16,E151)),1,0))+IF(Classifiers!$E$16="",0,IF(ISNUMBER(SEARCH(Classifiers!$E$16,E151)),1,0))+IF(Classifiers!$F$16="",0,IF(ISNUMBER(SEARCH(Classifiers!$F$16,E151)),1,0))+IF(Classifiers!$G$16="",0,IF(ISNUMBER(SEARCH(Classifiers!$G$16,E151)),1,0)))&gt;0,1,0))</f>
        <v/>
      </c>
      <c r="V151" s="12">
        <f>IF(H151&lt;&gt;1,0,IF((IF(Classifiers!$B$17="",0,IF(ISNUMBER(SEARCH(Classifiers!$B$17,E151)),1,0))+IF(Classifiers!$C$17="",0,IF(ISNUMBER(SEARCH(Classifiers!$C$17,E151)),1,0))+IF(Classifiers!$D$17="",0,IF(ISNUMBER(SEARCH(Classifiers!$D$17,E151)),1,0))+IF(Classifiers!$E$17="",0,IF(ISNUMBER(SEARCH(Classifiers!$E$17,E151)),1,0))+IF(Classifiers!$F$17="",0,IF(ISNUMBER(SEARCH(Classifiers!$F$17,E151)),1,0))+IF(Classifiers!$G$17="",0,IF(ISNUMBER(SEARCH(Classifiers!$G$17,E151)),1,0)))&gt;0,1,0))</f>
        <v/>
      </c>
      <c r="W151" s="12">
        <f>IF(H151&lt;&gt;1,0,IF((IF(Classifiers!$B$18="",0,IF(ISNUMBER(SEARCH(Classifiers!$B$18,E151)),1,0))+IF(Classifiers!$C$18="",0,IF(ISNUMBER(SEARCH(Classifiers!$C$18,E151)),1,0))+IF(Classifiers!$D$18="",0,IF(ISNUMBER(SEARCH(Classifiers!$D$18,E151)),1,0))+IF(Classifiers!$E$18="",0,IF(ISNUMBER(SEARCH(Classifiers!$E$18,E151)),1,0))+IF(Classifiers!$F$18="",0,IF(ISNUMBER(SEARCH(Classifiers!$F$18,E151)),1,0))+IF(Classifiers!$G$18="",0,IF(ISNUMBER(SEARCH(Classifiers!$G$18,E151)),1,0)))&gt;0,1,0))</f>
        <v/>
      </c>
    </row>
    <row r="152">
      <c r="A152" s="8" t="n"/>
      <c r="B152" s="11" t="n"/>
      <c r="C152" s="6">
        <f>IF(A152="","",TRIM(RIGHT(SUBSTITUTE(A152,"/",REPT(" ",250)),250)))</f>
        <v/>
      </c>
      <c r="D152" s="6">
        <f>IF(C152="","",IF(ISNUMBER(SEARCH(".",C152)),LOWER("."&amp;TRIM(RIGHT(SUBSTITUTE(C152,".",REPT(" ",250)),250))),""))</f>
        <v/>
      </c>
      <c r="E152" s="6">
        <f>IF(C152="","",TRIM(SUBSTITUTE(SUBSTITUTE(SUBSTITUTE(SUBSTITUTE(SUBSTITUTE(SUBSTITUTE(SUBSTITUTE(SUBSTITUTE(SUBSTITUTE(SUBSTITUTE(SUBSTITUTE(SUBSTITUTE(SUBSTITUTE(SUBSTITUTE(SUBSTITUTE(SUBSTITUTE(SUBSTITUTE(SUBSTITUTE(SUBSTITUTE(SUBSTITUTE(LOWER(LEFT(C152,LEN(C152)-LEN(D152))),"_"," "),"-"," "),"."," "),","," "),"("," "),")"," "),"["," "),"]"," "),"&amp;"," "),"+"," "),"@"," "),"#"," "),"!"," "),"'"," "),"/"," "),":"," "),";"," "),"="," "),"~"," "),"%"," ")))</f>
        <v/>
      </c>
      <c r="F152" s="6">
        <f>IF(C152="","",IF(COUNTIF(Classifiers!$A$23:$A$40,D152)&gt;0,1,0))</f>
        <v/>
      </c>
      <c r="G152" s="6">
        <f>IF(C152="","",IF(COUNTIF(Classifiers!$C$23:$C$30,D152)&gt;0,IF((IF(ISNUMBER(SEARCH(Classifiers!$E$23,E152)),1,0)+IF(ISNUMBER(SEARCH(Classifiers!$E$24,E152)),1,0)+IF(ISNUMBER(SEARCH(Classifiers!$E$25,E152)),1,0)+IF(ISNUMBER(SEARCH(Classifiers!$E$26,E152)),1,0)+IF(ISNUMBER(SEARCH(Classifiers!$E$27,E152)),1,0)+IF(ISNUMBER(SEARCH(Classifiers!$E$28,E152)),1,0)+IF(ISNUMBER(SEARCH(Classifiers!$E$29,E152)),1,0)+IF(ISNUMBER(SEARCH(Classifiers!$E$30,E152)),1,0))&gt;0,1,0),0))</f>
        <v/>
      </c>
      <c r="H152" s="6">
        <f>IF(C152="","",IF(OR(LEFT(C152,1)=".",AND(F152=0,G152=0)),0,1))</f>
        <v/>
      </c>
      <c r="I152" s="6">
        <f>IF(H152&lt;&gt;1,"",IF(SUM(J152:W152)=0,"unclassified",INDEX(Classifiers!$A$5:$A$18,MATCH(1,J152:W152,0),1)))</f>
        <v/>
      </c>
      <c r="J152" s="12">
        <f>IF(H152&lt;&gt;1,0,IF((IF(Classifiers!$B$5="",0,IF(ISNUMBER(SEARCH(Classifiers!$B$5,E152)),1,0))+IF(Classifiers!$C$5="",0,IF(ISNUMBER(SEARCH(Classifiers!$C$5,E152)),1,0))+IF(Classifiers!$D$5="",0,IF(ISNUMBER(SEARCH(Classifiers!$D$5,E152)),1,0))+IF(Classifiers!$E$5="",0,IF(ISNUMBER(SEARCH(Classifiers!$E$5,E152)),1,0))+IF(Classifiers!$F$5="",0,IF(ISNUMBER(SEARCH(Classifiers!$F$5,E152)),1,0))+IF(Classifiers!$G$5="",0,IF(ISNUMBER(SEARCH(Classifiers!$G$5,E152)),1,0)))&gt;0,1,0))</f>
        <v/>
      </c>
      <c r="K152" s="12">
        <f>IF(H152&lt;&gt;1,0,IF((IF(Classifiers!$B$6="",0,IF(ISNUMBER(SEARCH(Classifiers!$B$6,E152)),1,0))+IF(Classifiers!$C$6="",0,IF(ISNUMBER(SEARCH(Classifiers!$C$6,E152)),1,0))+IF(Classifiers!$D$6="",0,IF(ISNUMBER(SEARCH(Classifiers!$D$6,E152)),1,0))+IF(Classifiers!$E$6="",0,IF(ISNUMBER(SEARCH(Classifiers!$E$6,E152)),1,0))+IF(Classifiers!$F$6="",0,IF(ISNUMBER(SEARCH(Classifiers!$F$6,E152)),1,0))+IF(Classifiers!$G$6="",0,IF(ISNUMBER(SEARCH(Classifiers!$G$6,E152)),1,0)))&gt;0,1,0))</f>
        <v/>
      </c>
      <c r="L152" s="12">
        <f>IF(H152&lt;&gt;1,0,IF((IF(Classifiers!$B$7="",0,IF(ISNUMBER(SEARCH(Classifiers!$B$7,E152)),1,0))+IF(Classifiers!$C$7="",0,IF(ISNUMBER(SEARCH(Classifiers!$C$7,E152)),1,0))+IF(Classifiers!$D$7="",0,IF(ISNUMBER(SEARCH(Classifiers!$D$7,E152)),1,0))+IF(Classifiers!$E$7="",0,IF(ISNUMBER(SEARCH(Classifiers!$E$7,E152)),1,0))+IF(Classifiers!$F$7="",0,IF(ISNUMBER(SEARCH(Classifiers!$F$7,E152)),1,0))+IF(Classifiers!$G$7="",0,IF(ISNUMBER(SEARCH(Classifiers!$G$7,E152)),1,0)))&gt;0,1,0))</f>
        <v/>
      </c>
      <c r="M152" s="12">
        <f>IF(H152&lt;&gt;1,0,IF((IF(Classifiers!$B$8="",0,IF(ISNUMBER(SEARCH(Classifiers!$B$8,E152)),1,0))+IF(Classifiers!$C$8="",0,IF(ISNUMBER(SEARCH(Classifiers!$C$8,E152)),1,0))+IF(Classifiers!$D$8="",0,IF(ISNUMBER(SEARCH(Classifiers!$D$8,E152)),1,0))+IF(Classifiers!$E$8="",0,IF(ISNUMBER(SEARCH(Classifiers!$E$8,E152)),1,0))+IF(Classifiers!$F$8="",0,IF(ISNUMBER(SEARCH(Classifiers!$F$8,E152)),1,0))+IF(Classifiers!$G$8="",0,IF(ISNUMBER(SEARCH(Classifiers!$G$8,E152)),1,0)))&gt;0,1,0))</f>
        <v/>
      </c>
      <c r="N152" s="12">
        <f>IF(H152&lt;&gt;1,0,IF((IF(Classifiers!$B$9="",0,IF(ISNUMBER(SEARCH(Classifiers!$B$9,E152)),1,0))+IF(Classifiers!$C$9="",0,IF(ISNUMBER(SEARCH(Classifiers!$C$9,E152)),1,0))+IF(Classifiers!$D$9="",0,IF(ISNUMBER(SEARCH(Classifiers!$D$9,E152)),1,0))+IF(Classifiers!$E$9="",0,IF(ISNUMBER(SEARCH(Classifiers!$E$9,E152)),1,0))+IF(Classifiers!$F$9="",0,IF(ISNUMBER(SEARCH(Classifiers!$F$9,E152)),1,0))+IF(Classifiers!$G$9="",0,IF(ISNUMBER(SEARCH(Classifiers!$G$9,E152)),1,0)))&gt;0,1,0))</f>
        <v/>
      </c>
      <c r="O152" s="12">
        <f>IF(H152&lt;&gt;1,0,IF((IF(Classifiers!$B$10="",0,IF(ISNUMBER(SEARCH(Classifiers!$B$10,E152)),1,0))+IF(Classifiers!$C$10="",0,IF(ISNUMBER(SEARCH(Classifiers!$C$10,E152)),1,0))+IF(Classifiers!$D$10="",0,IF(ISNUMBER(SEARCH(Classifiers!$D$10,E152)),1,0))+IF(Classifiers!$E$10="",0,IF(ISNUMBER(SEARCH(Classifiers!$E$10,E152)),1,0))+IF(Classifiers!$F$10="",0,IF(ISNUMBER(SEARCH(Classifiers!$F$10,E152)),1,0))+IF(Classifiers!$G$10="",0,IF(ISNUMBER(SEARCH(Classifiers!$G$10,E152)),1,0)))&gt;0,1,0))</f>
        <v/>
      </c>
      <c r="P152" s="12">
        <f>IF(H152&lt;&gt;1,0,IF((IF(Classifiers!$B$11="",0,IF(ISNUMBER(SEARCH(Classifiers!$B$11,E152)),1,0))+IF(Classifiers!$C$11="",0,IF(ISNUMBER(SEARCH(Classifiers!$C$11,E152)),1,0))+IF(Classifiers!$D$11="",0,IF(ISNUMBER(SEARCH(Classifiers!$D$11,E152)),1,0))+IF(Classifiers!$E$11="",0,IF(ISNUMBER(SEARCH(Classifiers!$E$11,E152)),1,0))+IF(Classifiers!$F$11="",0,IF(ISNUMBER(SEARCH(Classifiers!$F$11,E152)),1,0))+IF(Classifiers!$G$11="",0,IF(ISNUMBER(SEARCH(Classifiers!$G$11,E152)),1,0)))&gt;0,1,0))</f>
        <v/>
      </c>
      <c r="Q152" s="12">
        <f>IF(H152&lt;&gt;1,0,IF((IF(Classifiers!$B$12="",0,IF(ISNUMBER(SEARCH(Classifiers!$B$12,E152)),1,0))+IF(Classifiers!$C$12="",0,IF(ISNUMBER(SEARCH(Classifiers!$C$12,E152)),1,0))+IF(Classifiers!$D$12="",0,IF(ISNUMBER(SEARCH(Classifiers!$D$12,E152)),1,0))+IF(Classifiers!$E$12="",0,IF(ISNUMBER(SEARCH(Classifiers!$E$12,E152)),1,0))+IF(Classifiers!$F$12="",0,IF(ISNUMBER(SEARCH(Classifiers!$F$12,E152)),1,0))+IF(Classifiers!$G$12="",0,IF(ISNUMBER(SEARCH(Classifiers!$G$12,E152)),1,0)))&gt;0,1,0))</f>
        <v/>
      </c>
      <c r="R152" s="12">
        <f>IF(H152&lt;&gt;1,0,IF((IF(Classifiers!$B$13="",0,IF(ISNUMBER(SEARCH(Classifiers!$B$13,E152)),1,0))+IF(Classifiers!$C$13="",0,IF(ISNUMBER(SEARCH(Classifiers!$C$13,E152)),1,0))+IF(Classifiers!$D$13="",0,IF(ISNUMBER(SEARCH(Classifiers!$D$13,E152)),1,0))+IF(Classifiers!$E$13="",0,IF(ISNUMBER(SEARCH(Classifiers!$E$13,E152)),1,0))+IF(Classifiers!$F$13="",0,IF(ISNUMBER(SEARCH(Classifiers!$F$13,E152)),1,0))+IF(Classifiers!$G$13="",0,IF(ISNUMBER(SEARCH(Classifiers!$G$13,E152)),1,0)))&gt;0,1,0))</f>
        <v/>
      </c>
      <c r="S152" s="12">
        <f>IF(H152&lt;&gt;1,0,IF((IF(Classifiers!$B$14="",0,IF(ISNUMBER(SEARCH(Classifiers!$B$14,E152)),1,0))+IF(Classifiers!$C$14="",0,IF(ISNUMBER(SEARCH(Classifiers!$C$14,E152)),1,0))+IF(Classifiers!$D$14="",0,IF(ISNUMBER(SEARCH(Classifiers!$D$14,E152)),1,0))+IF(Classifiers!$E$14="",0,IF(ISNUMBER(SEARCH(Classifiers!$E$14,E152)),1,0))+IF(Classifiers!$F$14="",0,IF(ISNUMBER(SEARCH(Classifiers!$F$14,E152)),1,0))+IF(Classifiers!$G$14="",0,IF(ISNUMBER(SEARCH(Classifiers!$G$14,E152)),1,0)))&gt;0,1,0))</f>
        <v/>
      </c>
      <c r="T152" s="12">
        <f>IF(H152&lt;&gt;1,0,IF((IF(Classifiers!$B$15="",0,IF(ISNUMBER(SEARCH(Classifiers!$B$15,E152)),1,0))+IF(Classifiers!$C$15="",0,IF(ISNUMBER(SEARCH(Classifiers!$C$15,E152)),1,0))+IF(Classifiers!$D$15="",0,IF(ISNUMBER(SEARCH(Classifiers!$D$15,E152)),1,0))+IF(Classifiers!$E$15="",0,IF(ISNUMBER(SEARCH(Classifiers!$E$15,E152)),1,0))+IF(Classifiers!$F$15="",0,IF(ISNUMBER(SEARCH(Classifiers!$F$15,E152)),1,0))+IF(Classifiers!$G$15="",0,IF(ISNUMBER(SEARCH(Classifiers!$G$15,E152)),1,0)))&gt;0,1,0))</f>
        <v/>
      </c>
      <c r="U152" s="12">
        <f>IF(H152&lt;&gt;1,0,IF((IF(Classifiers!$B$16="",0,IF(ISNUMBER(SEARCH(Classifiers!$B$16,E152)),1,0))+IF(Classifiers!$C$16="",0,IF(ISNUMBER(SEARCH(Classifiers!$C$16,E152)),1,0))+IF(Classifiers!$D$16="",0,IF(ISNUMBER(SEARCH(Classifiers!$D$16,E152)),1,0))+IF(Classifiers!$E$16="",0,IF(ISNUMBER(SEARCH(Classifiers!$E$16,E152)),1,0))+IF(Classifiers!$F$16="",0,IF(ISNUMBER(SEARCH(Classifiers!$F$16,E152)),1,0))+IF(Classifiers!$G$16="",0,IF(ISNUMBER(SEARCH(Classifiers!$G$16,E152)),1,0)))&gt;0,1,0))</f>
        <v/>
      </c>
      <c r="V152" s="12">
        <f>IF(H152&lt;&gt;1,0,IF((IF(Classifiers!$B$17="",0,IF(ISNUMBER(SEARCH(Classifiers!$B$17,E152)),1,0))+IF(Classifiers!$C$17="",0,IF(ISNUMBER(SEARCH(Classifiers!$C$17,E152)),1,0))+IF(Classifiers!$D$17="",0,IF(ISNUMBER(SEARCH(Classifiers!$D$17,E152)),1,0))+IF(Classifiers!$E$17="",0,IF(ISNUMBER(SEARCH(Classifiers!$E$17,E152)),1,0))+IF(Classifiers!$F$17="",0,IF(ISNUMBER(SEARCH(Classifiers!$F$17,E152)),1,0))+IF(Classifiers!$G$17="",0,IF(ISNUMBER(SEARCH(Classifiers!$G$17,E152)),1,0)))&gt;0,1,0))</f>
        <v/>
      </c>
      <c r="W152" s="12">
        <f>IF(H152&lt;&gt;1,0,IF((IF(Classifiers!$B$18="",0,IF(ISNUMBER(SEARCH(Classifiers!$B$18,E152)),1,0))+IF(Classifiers!$C$18="",0,IF(ISNUMBER(SEARCH(Classifiers!$C$18,E152)),1,0))+IF(Classifiers!$D$18="",0,IF(ISNUMBER(SEARCH(Classifiers!$D$18,E152)),1,0))+IF(Classifiers!$E$18="",0,IF(ISNUMBER(SEARCH(Classifiers!$E$18,E152)),1,0))+IF(Classifiers!$F$18="",0,IF(ISNUMBER(SEARCH(Classifiers!$F$18,E152)),1,0))+IF(Classifiers!$G$18="",0,IF(ISNUMBER(SEARCH(Classifiers!$G$18,E152)),1,0)))&gt;0,1,0))</f>
        <v/>
      </c>
    </row>
    <row r="153">
      <c r="A153" s="8" t="n"/>
      <c r="B153" s="11" t="n"/>
      <c r="C153" s="6">
        <f>IF(A153="","",TRIM(RIGHT(SUBSTITUTE(A153,"/",REPT(" ",250)),250)))</f>
        <v/>
      </c>
      <c r="D153" s="6">
        <f>IF(C153="","",IF(ISNUMBER(SEARCH(".",C153)),LOWER("."&amp;TRIM(RIGHT(SUBSTITUTE(C153,".",REPT(" ",250)),250))),""))</f>
        <v/>
      </c>
      <c r="E153" s="6">
        <f>IF(C153="","",TRIM(SUBSTITUTE(SUBSTITUTE(SUBSTITUTE(SUBSTITUTE(SUBSTITUTE(SUBSTITUTE(SUBSTITUTE(SUBSTITUTE(SUBSTITUTE(SUBSTITUTE(SUBSTITUTE(SUBSTITUTE(SUBSTITUTE(SUBSTITUTE(SUBSTITUTE(SUBSTITUTE(SUBSTITUTE(SUBSTITUTE(SUBSTITUTE(SUBSTITUTE(LOWER(LEFT(C153,LEN(C153)-LEN(D153))),"_"," "),"-"," "),"."," "),","," "),"("," "),")"," "),"["," "),"]"," "),"&amp;"," "),"+"," "),"@"," "),"#"," "),"!"," "),"'"," "),"/"," "),":"," "),";"," "),"="," "),"~"," "),"%"," ")))</f>
        <v/>
      </c>
      <c r="F153" s="6">
        <f>IF(C153="","",IF(COUNTIF(Classifiers!$A$23:$A$40,D153)&gt;0,1,0))</f>
        <v/>
      </c>
      <c r="G153" s="6">
        <f>IF(C153="","",IF(COUNTIF(Classifiers!$C$23:$C$30,D153)&gt;0,IF((IF(ISNUMBER(SEARCH(Classifiers!$E$23,E153)),1,0)+IF(ISNUMBER(SEARCH(Classifiers!$E$24,E153)),1,0)+IF(ISNUMBER(SEARCH(Classifiers!$E$25,E153)),1,0)+IF(ISNUMBER(SEARCH(Classifiers!$E$26,E153)),1,0)+IF(ISNUMBER(SEARCH(Classifiers!$E$27,E153)),1,0)+IF(ISNUMBER(SEARCH(Classifiers!$E$28,E153)),1,0)+IF(ISNUMBER(SEARCH(Classifiers!$E$29,E153)),1,0)+IF(ISNUMBER(SEARCH(Classifiers!$E$30,E153)),1,0))&gt;0,1,0),0))</f>
        <v/>
      </c>
      <c r="H153" s="6">
        <f>IF(C153="","",IF(OR(LEFT(C153,1)=".",AND(F153=0,G153=0)),0,1))</f>
        <v/>
      </c>
      <c r="I153" s="6">
        <f>IF(H153&lt;&gt;1,"",IF(SUM(J153:W153)=0,"unclassified",INDEX(Classifiers!$A$5:$A$18,MATCH(1,J153:W153,0),1)))</f>
        <v/>
      </c>
      <c r="J153" s="12">
        <f>IF(H153&lt;&gt;1,0,IF((IF(Classifiers!$B$5="",0,IF(ISNUMBER(SEARCH(Classifiers!$B$5,E153)),1,0))+IF(Classifiers!$C$5="",0,IF(ISNUMBER(SEARCH(Classifiers!$C$5,E153)),1,0))+IF(Classifiers!$D$5="",0,IF(ISNUMBER(SEARCH(Classifiers!$D$5,E153)),1,0))+IF(Classifiers!$E$5="",0,IF(ISNUMBER(SEARCH(Classifiers!$E$5,E153)),1,0))+IF(Classifiers!$F$5="",0,IF(ISNUMBER(SEARCH(Classifiers!$F$5,E153)),1,0))+IF(Classifiers!$G$5="",0,IF(ISNUMBER(SEARCH(Classifiers!$G$5,E153)),1,0)))&gt;0,1,0))</f>
        <v/>
      </c>
      <c r="K153" s="12">
        <f>IF(H153&lt;&gt;1,0,IF((IF(Classifiers!$B$6="",0,IF(ISNUMBER(SEARCH(Classifiers!$B$6,E153)),1,0))+IF(Classifiers!$C$6="",0,IF(ISNUMBER(SEARCH(Classifiers!$C$6,E153)),1,0))+IF(Classifiers!$D$6="",0,IF(ISNUMBER(SEARCH(Classifiers!$D$6,E153)),1,0))+IF(Classifiers!$E$6="",0,IF(ISNUMBER(SEARCH(Classifiers!$E$6,E153)),1,0))+IF(Classifiers!$F$6="",0,IF(ISNUMBER(SEARCH(Classifiers!$F$6,E153)),1,0))+IF(Classifiers!$G$6="",0,IF(ISNUMBER(SEARCH(Classifiers!$G$6,E153)),1,0)))&gt;0,1,0))</f>
        <v/>
      </c>
      <c r="L153" s="12">
        <f>IF(H153&lt;&gt;1,0,IF((IF(Classifiers!$B$7="",0,IF(ISNUMBER(SEARCH(Classifiers!$B$7,E153)),1,0))+IF(Classifiers!$C$7="",0,IF(ISNUMBER(SEARCH(Classifiers!$C$7,E153)),1,0))+IF(Classifiers!$D$7="",0,IF(ISNUMBER(SEARCH(Classifiers!$D$7,E153)),1,0))+IF(Classifiers!$E$7="",0,IF(ISNUMBER(SEARCH(Classifiers!$E$7,E153)),1,0))+IF(Classifiers!$F$7="",0,IF(ISNUMBER(SEARCH(Classifiers!$F$7,E153)),1,0))+IF(Classifiers!$G$7="",0,IF(ISNUMBER(SEARCH(Classifiers!$G$7,E153)),1,0)))&gt;0,1,0))</f>
        <v/>
      </c>
      <c r="M153" s="12">
        <f>IF(H153&lt;&gt;1,0,IF((IF(Classifiers!$B$8="",0,IF(ISNUMBER(SEARCH(Classifiers!$B$8,E153)),1,0))+IF(Classifiers!$C$8="",0,IF(ISNUMBER(SEARCH(Classifiers!$C$8,E153)),1,0))+IF(Classifiers!$D$8="",0,IF(ISNUMBER(SEARCH(Classifiers!$D$8,E153)),1,0))+IF(Classifiers!$E$8="",0,IF(ISNUMBER(SEARCH(Classifiers!$E$8,E153)),1,0))+IF(Classifiers!$F$8="",0,IF(ISNUMBER(SEARCH(Classifiers!$F$8,E153)),1,0))+IF(Classifiers!$G$8="",0,IF(ISNUMBER(SEARCH(Classifiers!$G$8,E153)),1,0)))&gt;0,1,0))</f>
        <v/>
      </c>
      <c r="N153" s="12">
        <f>IF(H153&lt;&gt;1,0,IF((IF(Classifiers!$B$9="",0,IF(ISNUMBER(SEARCH(Classifiers!$B$9,E153)),1,0))+IF(Classifiers!$C$9="",0,IF(ISNUMBER(SEARCH(Classifiers!$C$9,E153)),1,0))+IF(Classifiers!$D$9="",0,IF(ISNUMBER(SEARCH(Classifiers!$D$9,E153)),1,0))+IF(Classifiers!$E$9="",0,IF(ISNUMBER(SEARCH(Classifiers!$E$9,E153)),1,0))+IF(Classifiers!$F$9="",0,IF(ISNUMBER(SEARCH(Classifiers!$F$9,E153)),1,0))+IF(Classifiers!$G$9="",0,IF(ISNUMBER(SEARCH(Classifiers!$G$9,E153)),1,0)))&gt;0,1,0))</f>
        <v/>
      </c>
      <c r="O153" s="12">
        <f>IF(H153&lt;&gt;1,0,IF((IF(Classifiers!$B$10="",0,IF(ISNUMBER(SEARCH(Classifiers!$B$10,E153)),1,0))+IF(Classifiers!$C$10="",0,IF(ISNUMBER(SEARCH(Classifiers!$C$10,E153)),1,0))+IF(Classifiers!$D$10="",0,IF(ISNUMBER(SEARCH(Classifiers!$D$10,E153)),1,0))+IF(Classifiers!$E$10="",0,IF(ISNUMBER(SEARCH(Classifiers!$E$10,E153)),1,0))+IF(Classifiers!$F$10="",0,IF(ISNUMBER(SEARCH(Classifiers!$F$10,E153)),1,0))+IF(Classifiers!$G$10="",0,IF(ISNUMBER(SEARCH(Classifiers!$G$10,E153)),1,0)))&gt;0,1,0))</f>
        <v/>
      </c>
      <c r="P153" s="12">
        <f>IF(H153&lt;&gt;1,0,IF((IF(Classifiers!$B$11="",0,IF(ISNUMBER(SEARCH(Classifiers!$B$11,E153)),1,0))+IF(Classifiers!$C$11="",0,IF(ISNUMBER(SEARCH(Classifiers!$C$11,E153)),1,0))+IF(Classifiers!$D$11="",0,IF(ISNUMBER(SEARCH(Classifiers!$D$11,E153)),1,0))+IF(Classifiers!$E$11="",0,IF(ISNUMBER(SEARCH(Classifiers!$E$11,E153)),1,0))+IF(Classifiers!$F$11="",0,IF(ISNUMBER(SEARCH(Classifiers!$F$11,E153)),1,0))+IF(Classifiers!$G$11="",0,IF(ISNUMBER(SEARCH(Classifiers!$G$11,E153)),1,0)))&gt;0,1,0))</f>
        <v/>
      </c>
      <c r="Q153" s="12">
        <f>IF(H153&lt;&gt;1,0,IF((IF(Classifiers!$B$12="",0,IF(ISNUMBER(SEARCH(Classifiers!$B$12,E153)),1,0))+IF(Classifiers!$C$12="",0,IF(ISNUMBER(SEARCH(Classifiers!$C$12,E153)),1,0))+IF(Classifiers!$D$12="",0,IF(ISNUMBER(SEARCH(Classifiers!$D$12,E153)),1,0))+IF(Classifiers!$E$12="",0,IF(ISNUMBER(SEARCH(Classifiers!$E$12,E153)),1,0))+IF(Classifiers!$F$12="",0,IF(ISNUMBER(SEARCH(Classifiers!$F$12,E153)),1,0))+IF(Classifiers!$G$12="",0,IF(ISNUMBER(SEARCH(Classifiers!$G$12,E153)),1,0)))&gt;0,1,0))</f>
        <v/>
      </c>
      <c r="R153" s="12">
        <f>IF(H153&lt;&gt;1,0,IF((IF(Classifiers!$B$13="",0,IF(ISNUMBER(SEARCH(Classifiers!$B$13,E153)),1,0))+IF(Classifiers!$C$13="",0,IF(ISNUMBER(SEARCH(Classifiers!$C$13,E153)),1,0))+IF(Classifiers!$D$13="",0,IF(ISNUMBER(SEARCH(Classifiers!$D$13,E153)),1,0))+IF(Classifiers!$E$13="",0,IF(ISNUMBER(SEARCH(Classifiers!$E$13,E153)),1,0))+IF(Classifiers!$F$13="",0,IF(ISNUMBER(SEARCH(Classifiers!$F$13,E153)),1,0))+IF(Classifiers!$G$13="",0,IF(ISNUMBER(SEARCH(Classifiers!$G$13,E153)),1,0)))&gt;0,1,0))</f>
        <v/>
      </c>
      <c r="S153" s="12">
        <f>IF(H153&lt;&gt;1,0,IF((IF(Classifiers!$B$14="",0,IF(ISNUMBER(SEARCH(Classifiers!$B$14,E153)),1,0))+IF(Classifiers!$C$14="",0,IF(ISNUMBER(SEARCH(Classifiers!$C$14,E153)),1,0))+IF(Classifiers!$D$14="",0,IF(ISNUMBER(SEARCH(Classifiers!$D$14,E153)),1,0))+IF(Classifiers!$E$14="",0,IF(ISNUMBER(SEARCH(Classifiers!$E$14,E153)),1,0))+IF(Classifiers!$F$14="",0,IF(ISNUMBER(SEARCH(Classifiers!$F$14,E153)),1,0))+IF(Classifiers!$G$14="",0,IF(ISNUMBER(SEARCH(Classifiers!$G$14,E153)),1,0)))&gt;0,1,0))</f>
        <v/>
      </c>
      <c r="T153" s="12">
        <f>IF(H153&lt;&gt;1,0,IF((IF(Classifiers!$B$15="",0,IF(ISNUMBER(SEARCH(Classifiers!$B$15,E153)),1,0))+IF(Classifiers!$C$15="",0,IF(ISNUMBER(SEARCH(Classifiers!$C$15,E153)),1,0))+IF(Classifiers!$D$15="",0,IF(ISNUMBER(SEARCH(Classifiers!$D$15,E153)),1,0))+IF(Classifiers!$E$15="",0,IF(ISNUMBER(SEARCH(Classifiers!$E$15,E153)),1,0))+IF(Classifiers!$F$15="",0,IF(ISNUMBER(SEARCH(Classifiers!$F$15,E153)),1,0))+IF(Classifiers!$G$15="",0,IF(ISNUMBER(SEARCH(Classifiers!$G$15,E153)),1,0)))&gt;0,1,0))</f>
        <v/>
      </c>
      <c r="U153" s="12">
        <f>IF(H153&lt;&gt;1,0,IF((IF(Classifiers!$B$16="",0,IF(ISNUMBER(SEARCH(Classifiers!$B$16,E153)),1,0))+IF(Classifiers!$C$16="",0,IF(ISNUMBER(SEARCH(Classifiers!$C$16,E153)),1,0))+IF(Classifiers!$D$16="",0,IF(ISNUMBER(SEARCH(Classifiers!$D$16,E153)),1,0))+IF(Classifiers!$E$16="",0,IF(ISNUMBER(SEARCH(Classifiers!$E$16,E153)),1,0))+IF(Classifiers!$F$16="",0,IF(ISNUMBER(SEARCH(Classifiers!$F$16,E153)),1,0))+IF(Classifiers!$G$16="",0,IF(ISNUMBER(SEARCH(Classifiers!$G$16,E153)),1,0)))&gt;0,1,0))</f>
        <v/>
      </c>
      <c r="V153" s="12">
        <f>IF(H153&lt;&gt;1,0,IF((IF(Classifiers!$B$17="",0,IF(ISNUMBER(SEARCH(Classifiers!$B$17,E153)),1,0))+IF(Classifiers!$C$17="",0,IF(ISNUMBER(SEARCH(Classifiers!$C$17,E153)),1,0))+IF(Classifiers!$D$17="",0,IF(ISNUMBER(SEARCH(Classifiers!$D$17,E153)),1,0))+IF(Classifiers!$E$17="",0,IF(ISNUMBER(SEARCH(Classifiers!$E$17,E153)),1,0))+IF(Classifiers!$F$17="",0,IF(ISNUMBER(SEARCH(Classifiers!$F$17,E153)),1,0))+IF(Classifiers!$G$17="",0,IF(ISNUMBER(SEARCH(Classifiers!$G$17,E153)),1,0)))&gt;0,1,0))</f>
        <v/>
      </c>
      <c r="W153" s="12">
        <f>IF(H153&lt;&gt;1,0,IF((IF(Classifiers!$B$18="",0,IF(ISNUMBER(SEARCH(Classifiers!$B$18,E153)),1,0))+IF(Classifiers!$C$18="",0,IF(ISNUMBER(SEARCH(Classifiers!$C$18,E153)),1,0))+IF(Classifiers!$D$18="",0,IF(ISNUMBER(SEARCH(Classifiers!$D$18,E153)),1,0))+IF(Classifiers!$E$18="",0,IF(ISNUMBER(SEARCH(Classifiers!$E$18,E153)),1,0))+IF(Classifiers!$F$18="",0,IF(ISNUMBER(SEARCH(Classifiers!$F$18,E153)),1,0))+IF(Classifiers!$G$18="",0,IF(ISNUMBER(SEARCH(Classifiers!$G$18,E153)),1,0)))&gt;0,1,0))</f>
        <v/>
      </c>
    </row>
    <row r="154">
      <c r="A154" s="8" t="n"/>
      <c r="B154" s="11" t="n"/>
      <c r="C154" s="6">
        <f>IF(A154="","",TRIM(RIGHT(SUBSTITUTE(A154,"/",REPT(" ",250)),250)))</f>
        <v/>
      </c>
      <c r="D154" s="6">
        <f>IF(C154="","",IF(ISNUMBER(SEARCH(".",C154)),LOWER("."&amp;TRIM(RIGHT(SUBSTITUTE(C154,".",REPT(" ",250)),250))),""))</f>
        <v/>
      </c>
      <c r="E154" s="6">
        <f>IF(C154="","",TRIM(SUBSTITUTE(SUBSTITUTE(SUBSTITUTE(SUBSTITUTE(SUBSTITUTE(SUBSTITUTE(SUBSTITUTE(SUBSTITUTE(SUBSTITUTE(SUBSTITUTE(SUBSTITUTE(SUBSTITUTE(SUBSTITUTE(SUBSTITUTE(SUBSTITUTE(SUBSTITUTE(SUBSTITUTE(SUBSTITUTE(SUBSTITUTE(SUBSTITUTE(LOWER(LEFT(C154,LEN(C154)-LEN(D154))),"_"," "),"-"," "),"."," "),","," "),"("," "),")"," "),"["," "),"]"," "),"&amp;"," "),"+"," "),"@"," "),"#"," "),"!"," "),"'"," "),"/"," "),":"," "),";"," "),"="," "),"~"," "),"%"," ")))</f>
        <v/>
      </c>
      <c r="F154" s="6">
        <f>IF(C154="","",IF(COUNTIF(Classifiers!$A$23:$A$40,D154)&gt;0,1,0))</f>
        <v/>
      </c>
      <c r="G154" s="6">
        <f>IF(C154="","",IF(COUNTIF(Classifiers!$C$23:$C$30,D154)&gt;0,IF((IF(ISNUMBER(SEARCH(Classifiers!$E$23,E154)),1,0)+IF(ISNUMBER(SEARCH(Classifiers!$E$24,E154)),1,0)+IF(ISNUMBER(SEARCH(Classifiers!$E$25,E154)),1,0)+IF(ISNUMBER(SEARCH(Classifiers!$E$26,E154)),1,0)+IF(ISNUMBER(SEARCH(Classifiers!$E$27,E154)),1,0)+IF(ISNUMBER(SEARCH(Classifiers!$E$28,E154)),1,0)+IF(ISNUMBER(SEARCH(Classifiers!$E$29,E154)),1,0)+IF(ISNUMBER(SEARCH(Classifiers!$E$30,E154)),1,0))&gt;0,1,0),0))</f>
        <v/>
      </c>
      <c r="H154" s="6">
        <f>IF(C154="","",IF(OR(LEFT(C154,1)=".",AND(F154=0,G154=0)),0,1))</f>
        <v/>
      </c>
      <c r="I154" s="6">
        <f>IF(H154&lt;&gt;1,"",IF(SUM(J154:W154)=0,"unclassified",INDEX(Classifiers!$A$5:$A$18,MATCH(1,J154:W154,0),1)))</f>
        <v/>
      </c>
      <c r="J154" s="12">
        <f>IF(H154&lt;&gt;1,0,IF((IF(Classifiers!$B$5="",0,IF(ISNUMBER(SEARCH(Classifiers!$B$5,E154)),1,0))+IF(Classifiers!$C$5="",0,IF(ISNUMBER(SEARCH(Classifiers!$C$5,E154)),1,0))+IF(Classifiers!$D$5="",0,IF(ISNUMBER(SEARCH(Classifiers!$D$5,E154)),1,0))+IF(Classifiers!$E$5="",0,IF(ISNUMBER(SEARCH(Classifiers!$E$5,E154)),1,0))+IF(Classifiers!$F$5="",0,IF(ISNUMBER(SEARCH(Classifiers!$F$5,E154)),1,0))+IF(Classifiers!$G$5="",0,IF(ISNUMBER(SEARCH(Classifiers!$G$5,E154)),1,0)))&gt;0,1,0))</f>
        <v/>
      </c>
      <c r="K154" s="12">
        <f>IF(H154&lt;&gt;1,0,IF((IF(Classifiers!$B$6="",0,IF(ISNUMBER(SEARCH(Classifiers!$B$6,E154)),1,0))+IF(Classifiers!$C$6="",0,IF(ISNUMBER(SEARCH(Classifiers!$C$6,E154)),1,0))+IF(Classifiers!$D$6="",0,IF(ISNUMBER(SEARCH(Classifiers!$D$6,E154)),1,0))+IF(Classifiers!$E$6="",0,IF(ISNUMBER(SEARCH(Classifiers!$E$6,E154)),1,0))+IF(Classifiers!$F$6="",0,IF(ISNUMBER(SEARCH(Classifiers!$F$6,E154)),1,0))+IF(Classifiers!$G$6="",0,IF(ISNUMBER(SEARCH(Classifiers!$G$6,E154)),1,0)))&gt;0,1,0))</f>
        <v/>
      </c>
      <c r="L154" s="12">
        <f>IF(H154&lt;&gt;1,0,IF((IF(Classifiers!$B$7="",0,IF(ISNUMBER(SEARCH(Classifiers!$B$7,E154)),1,0))+IF(Classifiers!$C$7="",0,IF(ISNUMBER(SEARCH(Classifiers!$C$7,E154)),1,0))+IF(Classifiers!$D$7="",0,IF(ISNUMBER(SEARCH(Classifiers!$D$7,E154)),1,0))+IF(Classifiers!$E$7="",0,IF(ISNUMBER(SEARCH(Classifiers!$E$7,E154)),1,0))+IF(Classifiers!$F$7="",0,IF(ISNUMBER(SEARCH(Classifiers!$F$7,E154)),1,0))+IF(Classifiers!$G$7="",0,IF(ISNUMBER(SEARCH(Classifiers!$G$7,E154)),1,0)))&gt;0,1,0))</f>
        <v/>
      </c>
      <c r="M154" s="12">
        <f>IF(H154&lt;&gt;1,0,IF((IF(Classifiers!$B$8="",0,IF(ISNUMBER(SEARCH(Classifiers!$B$8,E154)),1,0))+IF(Classifiers!$C$8="",0,IF(ISNUMBER(SEARCH(Classifiers!$C$8,E154)),1,0))+IF(Classifiers!$D$8="",0,IF(ISNUMBER(SEARCH(Classifiers!$D$8,E154)),1,0))+IF(Classifiers!$E$8="",0,IF(ISNUMBER(SEARCH(Classifiers!$E$8,E154)),1,0))+IF(Classifiers!$F$8="",0,IF(ISNUMBER(SEARCH(Classifiers!$F$8,E154)),1,0))+IF(Classifiers!$G$8="",0,IF(ISNUMBER(SEARCH(Classifiers!$G$8,E154)),1,0)))&gt;0,1,0))</f>
        <v/>
      </c>
      <c r="N154" s="12">
        <f>IF(H154&lt;&gt;1,0,IF((IF(Classifiers!$B$9="",0,IF(ISNUMBER(SEARCH(Classifiers!$B$9,E154)),1,0))+IF(Classifiers!$C$9="",0,IF(ISNUMBER(SEARCH(Classifiers!$C$9,E154)),1,0))+IF(Classifiers!$D$9="",0,IF(ISNUMBER(SEARCH(Classifiers!$D$9,E154)),1,0))+IF(Classifiers!$E$9="",0,IF(ISNUMBER(SEARCH(Classifiers!$E$9,E154)),1,0))+IF(Classifiers!$F$9="",0,IF(ISNUMBER(SEARCH(Classifiers!$F$9,E154)),1,0))+IF(Classifiers!$G$9="",0,IF(ISNUMBER(SEARCH(Classifiers!$G$9,E154)),1,0)))&gt;0,1,0))</f>
        <v/>
      </c>
      <c r="O154" s="12">
        <f>IF(H154&lt;&gt;1,0,IF((IF(Classifiers!$B$10="",0,IF(ISNUMBER(SEARCH(Classifiers!$B$10,E154)),1,0))+IF(Classifiers!$C$10="",0,IF(ISNUMBER(SEARCH(Classifiers!$C$10,E154)),1,0))+IF(Classifiers!$D$10="",0,IF(ISNUMBER(SEARCH(Classifiers!$D$10,E154)),1,0))+IF(Classifiers!$E$10="",0,IF(ISNUMBER(SEARCH(Classifiers!$E$10,E154)),1,0))+IF(Classifiers!$F$10="",0,IF(ISNUMBER(SEARCH(Classifiers!$F$10,E154)),1,0))+IF(Classifiers!$G$10="",0,IF(ISNUMBER(SEARCH(Classifiers!$G$10,E154)),1,0)))&gt;0,1,0))</f>
        <v/>
      </c>
      <c r="P154" s="12">
        <f>IF(H154&lt;&gt;1,0,IF((IF(Classifiers!$B$11="",0,IF(ISNUMBER(SEARCH(Classifiers!$B$11,E154)),1,0))+IF(Classifiers!$C$11="",0,IF(ISNUMBER(SEARCH(Classifiers!$C$11,E154)),1,0))+IF(Classifiers!$D$11="",0,IF(ISNUMBER(SEARCH(Classifiers!$D$11,E154)),1,0))+IF(Classifiers!$E$11="",0,IF(ISNUMBER(SEARCH(Classifiers!$E$11,E154)),1,0))+IF(Classifiers!$F$11="",0,IF(ISNUMBER(SEARCH(Classifiers!$F$11,E154)),1,0))+IF(Classifiers!$G$11="",0,IF(ISNUMBER(SEARCH(Classifiers!$G$11,E154)),1,0)))&gt;0,1,0))</f>
        <v/>
      </c>
      <c r="Q154" s="12">
        <f>IF(H154&lt;&gt;1,0,IF((IF(Classifiers!$B$12="",0,IF(ISNUMBER(SEARCH(Classifiers!$B$12,E154)),1,0))+IF(Classifiers!$C$12="",0,IF(ISNUMBER(SEARCH(Classifiers!$C$12,E154)),1,0))+IF(Classifiers!$D$12="",0,IF(ISNUMBER(SEARCH(Classifiers!$D$12,E154)),1,0))+IF(Classifiers!$E$12="",0,IF(ISNUMBER(SEARCH(Classifiers!$E$12,E154)),1,0))+IF(Classifiers!$F$12="",0,IF(ISNUMBER(SEARCH(Classifiers!$F$12,E154)),1,0))+IF(Classifiers!$G$12="",0,IF(ISNUMBER(SEARCH(Classifiers!$G$12,E154)),1,0)))&gt;0,1,0))</f>
        <v/>
      </c>
      <c r="R154" s="12">
        <f>IF(H154&lt;&gt;1,0,IF((IF(Classifiers!$B$13="",0,IF(ISNUMBER(SEARCH(Classifiers!$B$13,E154)),1,0))+IF(Classifiers!$C$13="",0,IF(ISNUMBER(SEARCH(Classifiers!$C$13,E154)),1,0))+IF(Classifiers!$D$13="",0,IF(ISNUMBER(SEARCH(Classifiers!$D$13,E154)),1,0))+IF(Classifiers!$E$13="",0,IF(ISNUMBER(SEARCH(Classifiers!$E$13,E154)),1,0))+IF(Classifiers!$F$13="",0,IF(ISNUMBER(SEARCH(Classifiers!$F$13,E154)),1,0))+IF(Classifiers!$G$13="",0,IF(ISNUMBER(SEARCH(Classifiers!$G$13,E154)),1,0)))&gt;0,1,0))</f>
        <v/>
      </c>
      <c r="S154" s="12">
        <f>IF(H154&lt;&gt;1,0,IF((IF(Classifiers!$B$14="",0,IF(ISNUMBER(SEARCH(Classifiers!$B$14,E154)),1,0))+IF(Classifiers!$C$14="",0,IF(ISNUMBER(SEARCH(Classifiers!$C$14,E154)),1,0))+IF(Classifiers!$D$14="",0,IF(ISNUMBER(SEARCH(Classifiers!$D$14,E154)),1,0))+IF(Classifiers!$E$14="",0,IF(ISNUMBER(SEARCH(Classifiers!$E$14,E154)),1,0))+IF(Classifiers!$F$14="",0,IF(ISNUMBER(SEARCH(Classifiers!$F$14,E154)),1,0))+IF(Classifiers!$G$14="",0,IF(ISNUMBER(SEARCH(Classifiers!$G$14,E154)),1,0)))&gt;0,1,0))</f>
        <v/>
      </c>
      <c r="T154" s="12">
        <f>IF(H154&lt;&gt;1,0,IF((IF(Classifiers!$B$15="",0,IF(ISNUMBER(SEARCH(Classifiers!$B$15,E154)),1,0))+IF(Classifiers!$C$15="",0,IF(ISNUMBER(SEARCH(Classifiers!$C$15,E154)),1,0))+IF(Classifiers!$D$15="",0,IF(ISNUMBER(SEARCH(Classifiers!$D$15,E154)),1,0))+IF(Classifiers!$E$15="",0,IF(ISNUMBER(SEARCH(Classifiers!$E$15,E154)),1,0))+IF(Classifiers!$F$15="",0,IF(ISNUMBER(SEARCH(Classifiers!$F$15,E154)),1,0))+IF(Classifiers!$G$15="",0,IF(ISNUMBER(SEARCH(Classifiers!$G$15,E154)),1,0)))&gt;0,1,0))</f>
        <v/>
      </c>
      <c r="U154" s="12">
        <f>IF(H154&lt;&gt;1,0,IF((IF(Classifiers!$B$16="",0,IF(ISNUMBER(SEARCH(Classifiers!$B$16,E154)),1,0))+IF(Classifiers!$C$16="",0,IF(ISNUMBER(SEARCH(Classifiers!$C$16,E154)),1,0))+IF(Classifiers!$D$16="",0,IF(ISNUMBER(SEARCH(Classifiers!$D$16,E154)),1,0))+IF(Classifiers!$E$16="",0,IF(ISNUMBER(SEARCH(Classifiers!$E$16,E154)),1,0))+IF(Classifiers!$F$16="",0,IF(ISNUMBER(SEARCH(Classifiers!$F$16,E154)),1,0))+IF(Classifiers!$G$16="",0,IF(ISNUMBER(SEARCH(Classifiers!$G$16,E154)),1,0)))&gt;0,1,0))</f>
        <v/>
      </c>
      <c r="V154" s="12">
        <f>IF(H154&lt;&gt;1,0,IF((IF(Classifiers!$B$17="",0,IF(ISNUMBER(SEARCH(Classifiers!$B$17,E154)),1,0))+IF(Classifiers!$C$17="",0,IF(ISNUMBER(SEARCH(Classifiers!$C$17,E154)),1,0))+IF(Classifiers!$D$17="",0,IF(ISNUMBER(SEARCH(Classifiers!$D$17,E154)),1,0))+IF(Classifiers!$E$17="",0,IF(ISNUMBER(SEARCH(Classifiers!$E$17,E154)),1,0))+IF(Classifiers!$F$17="",0,IF(ISNUMBER(SEARCH(Classifiers!$F$17,E154)),1,0))+IF(Classifiers!$G$17="",0,IF(ISNUMBER(SEARCH(Classifiers!$G$17,E154)),1,0)))&gt;0,1,0))</f>
        <v/>
      </c>
      <c r="W154" s="12">
        <f>IF(H154&lt;&gt;1,0,IF((IF(Classifiers!$B$18="",0,IF(ISNUMBER(SEARCH(Classifiers!$B$18,E154)),1,0))+IF(Classifiers!$C$18="",0,IF(ISNUMBER(SEARCH(Classifiers!$C$18,E154)),1,0))+IF(Classifiers!$D$18="",0,IF(ISNUMBER(SEARCH(Classifiers!$D$18,E154)),1,0))+IF(Classifiers!$E$18="",0,IF(ISNUMBER(SEARCH(Classifiers!$E$18,E154)),1,0))+IF(Classifiers!$F$18="",0,IF(ISNUMBER(SEARCH(Classifiers!$F$18,E154)),1,0))+IF(Classifiers!$G$18="",0,IF(ISNUMBER(SEARCH(Classifiers!$G$18,E154)),1,0)))&gt;0,1,0))</f>
        <v/>
      </c>
    </row>
    <row r="155">
      <c r="A155" s="8" t="n"/>
      <c r="B155" s="11" t="n"/>
      <c r="C155" s="6">
        <f>IF(A155="","",TRIM(RIGHT(SUBSTITUTE(A155,"/",REPT(" ",250)),250)))</f>
        <v/>
      </c>
      <c r="D155" s="6">
        <f>IF(C155="","",IF(ISNUMBER(SEARCH(".",C155)),LOWER("."&amp;TRIM(RIGHT(SUBSTITUTE(C155,".",REPT(" ",250)),250))),""))</f>
        <v/>
      </c>
      <c r="E155" s="6">
        <f>IF(C155="","",TRIM(SUBSTITUTE(SUBSTITUTE(SUBSTITUTE(SUBSTITUTE(SUBSTITUTE(SUBSTITUTE(SUBSTITUTE(SUBSTITUTE(SUBSTITUTE(SUBSTITUTE(SUBSTITUTE(SUBSTITUTE(SUBSTITUTE(SUBSTITUTE(SUBSTITUTE(SUBSTITUTE(SUBSTITUTE(SUBSTITUTE(SUBSTITUTE(SUBSTITUTE(LOWER(LEFT(C155,LEN(C155)-LEN(D155))),"_"," "),"-"," "),"."," "),","," "),"("," "),")"," "),"["," "),"]"," "),"&amp;"," "),"+"," "),"@"," "),"#"," "),"!"," "),"'"," "),"/"," "),":"," "),";"," "),"="," "),"~"," "),"%"," ")))</f>
        <v/>
      </c>
      <c r="F155" s="6">
        <f>IF(C155="","",IF(COUNTIF(Classifiers!$A$23:$A$40,D155)&gt;0,1,0))</f>
        <v/>
      </c>
      <c r="G155" s="6">
        <f>IF(C155="","",IF(COUNTIF(Classifiers!$C$23:$C$30,D155)&gt;0,IF((IF(ISNUMBER(SEARCH(Classifiers!$E$23,E155)),1,0)+IF(ISNUMBER(SEARCH(Classifiers!$E$24,E155)),1,0)+IF(ISNUMBER(SEARCH(Classifiers!$E$25,E155)),1,0)+IF(ISNUMBER(SEARCH(Classifiers!$E$26,E155)),1,0)+IF(ISNUMBER(SEARCH(Classifiers!$E$27,E155)),1,0)+IF(ISNUMBER(SEARCH(Classifiers!$E$28,E155)),1,0)+IF(ISNUMBER(SEARCH(Classifiers!$E$29,E155)),1,0)+IF(ISNUMBER(SEARCH(Classifiers!$E$30,E155)),1,0))&gt;0,1,0),0))</f>
        <v/>
      </c>
      <c r="H155" s="6">
        <f>IF(C155="","",IF(OR(LEFT(C155,1)=".",AND(F155=0,G155=0)),0,1))</f>
        <v/>
      </c>
      <c r="I155" s="6">
        <f>IF(H155&lt;&gt;1,"",IF(SUM(J155:W155)=0,"unclassified",INDEX(Classifiers!$A$5:$A$18,MATCH(1,J155:W155,0),1)))</f>
        <v/>
      </c>
      <c r="J155" s="12">
        <f>IF(H155&lt;&gt;1,0,IF((IF(Classifiers!$B$5="",0,IF(ISNUMBER(SEARCH(Classifiers!$B$5,E155)),1,0))+IF(Classifiers!$C$5="",0,IF(ISNUMBER(SEARCH(Classifiers!$C$5,E155)),1,0))+IF(Classifiers!$D$5="",0,IF(ISNUMBER(SEARCH(Classifiers!$D$5,E155)),1,0))+IF(Classifiers!$E$5="",0,IF(ISNUMBER(SEARCH(Classifiers!$E$5,E155)),1,0))+IF(Classifiers!$F$5="",0,IF(ISNUMBER(SEARCH(Classifiers!$F$5,E155)),1,0))+IF(Classifiers!$G$5="",0,IF(ISNUMBER(SEARCH(Classifiers!$G$5,E155)),1,0)))&gt;0,1,0))</f>
        <v/>
      </c>
      <c r="K155" s="12">
        <f>IF(H155&lt;&gt;1,0,IF((IF(Classifiers!$B$6="",0,IF(ISNUMBER(SEARCH(Classifiers!$B$6,E155)),1,0))+IF(Classifiers!$C$6="",0,IF(ISNUMBER(SEARCH(Classifiers!$C$6,E155)),1,0))+IF(Classifiers!$D$6="",0,IF(ISNUMBER(SEARCH(Classifiers!$D$6,E155)),1,0))+IF(Classifiers!$E$6="",0,IF(ISNUMBER(SEARCH(Classifiers!$E$6,E155)),1,0))+IF(Classifiers!$F$6="",0,IF(ISNUMBER(SEARCH(Classifiers!$F$6,E155)),1,0))+IF(Classifiers!$G$6="",0,IF(ISNUMBER(SEARCH(Classifiers!$G$6,E155)),1,0)))&gt;0,1,0))</f>
        <v/>
      </c>
      <c r="L155" s="12">
        <f>IF(H155&lt;&gt;1,0,IF((IF(Classifiers!$B$7="",0,IF(ISNUMBER(SEARCH(Classifiers!$B$7,E155)),1,0))+IF(Classifiers!$C$7="",0,IF(ISNUMBER(SEARCH(Classifiers!$C$7,E155)),1,0))+IF(Classifiers!$D$7="",0,IF(ISNUMBER(SEARCH(Classifiers!$D$7,E155)),1,0))+IF(Classifiers!$E$7="",0,IF(ISNUMBER(SEARCH(Classifiers!$E$7,E155)),1,0))+IF(Classifiers!$F$7="",0,IF(ISNUMBER(SEARCH(Classifiers!$F$7,E155)),1,0))+IF(Classifiers!$G$7="",0,IF(ISNUMBER(SEARCH(Classifiers!$G$7,E155)),1,0)))&gt;0,1,0))</f>
        <v/>
      </c>
      <c r="M155" s="12">
        <f>IF(H155&lt;&gt;1,0,IF((IF(Classifiers!$B$8="",0,IF(ISNUMBER(SEARCH(Classifiers!$B$8,E155)),1,0))+IF(Classifiers!$C$8="",0,IF(ISNUMBER(SEARCH(Classifiers!$C$8,E155)),1,0))+IF(Classifiers!$D$8="",0,IF(ISNUMBER(SEARCH(Classifiers!$D$8,E155)),1,0))+IF(Classifiers!$E$8="",0,IF(ISNUMBER(SEARCH(Classifiers!$E$8,E155)),1,0))+IF(Classifiers!$F$8="",0,IF(ISNUMBER(SEARCH(Classifiers!$F$8,E155)),1,0))+IF(Classifiers!$G$8="",0,IF(ISNUMBER(SEARCH(Classifiers!$G$8,E155)),1,0)))&gt;0,1,0))</f>
        <v/>
      </c>
      <c r="N155" s="12">
        <f>IF(H155&lt;&gt;1,0,IF((IF(Classifiers!$B$9="",0,IF(ISNUMBER(SEARCH(Classifiers!$B$9,E155)),1,0))+IF(Classifiers!$C$9="",0,IF(ISNUMBER(SEARCH(Classifiers!$C$9,E155)),1,0))+IF(Classifiers!$D$9="",0,IF(ISNUMBER(SEARCH(Classifiers!$D$9,E155)),1,0))+IF(Classifiers!$E$9="",0,IF(ISNUMBER(SEARCH(Classifiers!$E$9,E155)),1,0))+IF(Classifiers!$F$9="",0,IF(ISNUMBER(SEARCH(Classifiers!$F$9,E155)),1,0))+IF(Classifiers!$G$9="",0,IF(ISNUMBER(SEARCH(Classifiers!$G$9,E155)),1,0)))&gt;0,1,0))</f>
        <v/>
      </c>
      <c r="O155" s="12">
        <f>IF(H155&lt;&gt;1,0,IF((IF(Classifiers!$B$10="",0,IF(ISNUMBER(SEARCH(Classifiers!$B$10,E155)),1,0))+IF(Classifiers!$C$10="",0,IF(ISNUMBER(SEARCH(Classifiers!$C$10,E155)),1,0))+IF(Classifiers!$D$10="",0,IF(ISNUMBER(SEARCH(Classifiers!$D$10,E155)),1,0))+IF(Classifiers!$E$10="",0,IF(ISNUMBER(SEARCH(Classifiers!$E$10,E155)),1,0))+IF(Classifiers!$F$10="",0,IF(ISNUMBER(SEARCH(Classifiers!$F$10,E155)),1,0))+IF(Classifiers!$G$10="",0,IF(ISNUMBER(SEARCH(Classifiers!$G$10,E155)),1,0)))&gt;0,1,0))</f>
        <v/>
      </c>
      <c r="P155" s="12">
        <f>IF(H155&lt;&gt;1,0,IF((IF(Classifiers!$B$11="",0,IF(ISNUMBER(SEARCH(Classifiers!$B$11,E155)),1,0))+IF(Classifiers!$C$11="",0,IF(ISNUMBER(SEARCH(Classifiers!$C$11,E155)),1,0))+IF(Classifiers!$D$11="",0,IF(ISNUMBER(SEARCH(Classifiers!$D$11,E155)),1,0))+IF(Classifiers!$E$11="",0,IF(ISNUMBER(SEARCH(Classifiers!$E$11,E155)),1,0))+IF(Classifiers!$F$11="",0,IF(ISNUMBER(SEARCH(Classifiers!$F$11,E155)),1,0))+IF(Classifiers!$G$11="",0,IF(ISNUMBER(SEARCH(Classifiers!$G$11,E155)),1,0)))&gt;0,1,0))</f>
        <v/>
      </c>
      <c r="Q155" s="12">
        <f>IF(H155&lt;&gt;1,0,IF((IF(Classifiers!$B$12="",0,IF(ISNUMBER(SEARCH(Classifiers!$B$12,E155)),1,0))+IF(Classifiers!$C$12="",0,IF(ISNUMBER(SEARCH(Classifiers!$C$12,E155)),1,0))+IF(Classifiers!$D$12="",0,IF(ISNUMBER(SEARCH(Classifiers!$D$12,E155)),1,0))+IF(Classifiers!$E$12="",0,IF(ISNUMBER(SEARCH(Classifiers!$E$12,E155)),1,0))+IF(Classifiers!$F$12="",0,IF(ISNUMBER(SEARCH(Classifiers!$F$12,E155)),1,0))+IF(Classifiers!$G$12="",0,IF(ISNUMBER(SEARCH(Classifiers!$G$12,E155)),1,0)))&gt;0,1,0))</f>
        <v/>
      </c>
      <c r="R155" s="12">
        <f>IF(H155&lt;&gt;1,0,IF((IF(Classifiers!$B$13="",0,IF(ISNUMBER(SEARCH(Classifiers!$B$13,E155)),1,0))+IF(Classifiers!$C$13="",0,IF(ISNUMBER(SEARCH(Classifiers!$C$13,E155)),1,0))+IF(Classifiers!$D$13="",0,IF(ISNUMBER(SEARCH(Classifiers!$D$13,E155)),1,0))+IF(Classifiers!$E$13="",0,IF(ISNUMBER(SEARCH(Classifiers!$E$13,E155)),1,0))+IF(Classifiers!$F$13="",0,IF(ISNUMBER(SEARCH(Classifiers!$F$13,E155)),1,0))+IF(Classifiers!$G$13="",0,IF(ISNUMBER(SEARCH(Classifiers!$G$13,E155)),1,0)))&gt;0,1,0))</f>
        <v/>
      </c>
      <c r="S155" s="12">
        <f>IF(H155&lt;&gt;1,0,IF((IF(Classifiers!$B$14="",0,IF(ISNUMBER(SEARCH(Classifiers!$B$14,E155)),1,0))+IF(Classifiers!$C$14="",0,IF(ISNUMBER(SEARCH(Classifiers!$C$14,E155)),1,0))+IF(Classifiers!$D$14="",0,IF(ISNUMBER(SEARCH(Classifiers!$D$14,E155)),1,0))+IF(Classifiers!$E$14="",0,IF(ISNUMBER(SEARCH(Classifiers!$E$14,E155)),1,0))+IF(Classifiers!$F$14="",0,IF(ISNUMBER(SEARCH(Classifiers!$F$14,E155)),1,0))+IF(Classifiers!$G$14="",0,IF(ISNUMBER(SEARCH(Classifiers!$G$14,E155)),1,0)))&gt;0,1,0))</f>
        <v/>
      </c>
      <c r="T155" s="12">
        <f>IF(H155&lt;&gt;1,0,IF((IF(Classifiers!$B$15="",0,IF(ISNUMBER(SEARCH(Classifiers!$B$15,E155)),1,0))+IF(Classifiers!$C$15="",0,IF(ISNUMBER(SEARCH(Classifiers!$C$15,E155)),1,0))+IF(Classifiers!$D$15="",0,IF(ISNUMBER(SEARCH(Classifiers!$D$15,E155)),1,0))+IF(Classifiers!$E$15="",0,IF(ISNUMBER(SEARCH(Classifiers!$E$15,E155)),1,0))+IF(Classifiers!$F$15="",0,IF(ISNUMBER(SEARCH(Classifiers!$F$15,E155)),1,0))+IF(Classifiers!$G$15="",0,IF(ISNUMBER(SEARCH(Classifiers!$G$15,E155)),1,0)))&gt;0,1,0))</f>
        <v/>
      </c>
      <c r="U155" s="12">
        <f>IF(H155&lt;&gt;1,0,IF((IF(Classifiers!$B$16="",0,IF(ISNUMBER(SEARCH(Classifiers!$B$16,E155)),1,0))+IF(Classifiers!$C$16="",0,IF(ISNUMBER(SEARCH(Classifiers!$C$16,E155)),1,0))+IF(Classifiers!$D$16="",0,IF(ISNUMBER(SEARCH(Classifiers!$D$16,E155)),1,0))+IF(Classifiers!$E$16="",0,IF(ISNUMBER(SEARCH(Classifiers!$E$16,E155)),1,0))+IF(Classifiers!$F$16="",0,IF(ISNUMBER(SEARCH(Classifiers!$F$16,E155)),1,0))+IF(Classifiers!$G$16="",0,IF(ISNUMBER(SEARCH(Classifiers!$G$16,E155)),1,0)))&gt;0,1,0))</f>
        <v/>
      </c>
      <c r="V155" s="12">
        <f>IF(H155&lt;&gt;1,0,IF((IF(Classifiers!$B$17="",0,IF(ISNUMBER(SEARCH(Classifiers!$B$17,E155)),1,0))+IF(Classifiers!$C$17="",0,IF(ISNUMBER(SEARCH(Classifiers!$C$17,E155)),1,0))+IF(Classifiers!$D$17="",0,IF(ISNUMBER(SEARCH(Classifiers!$D$17,E155)),1,0))+IF(Classifiers!$E$17="",0,IF(ISNUMBER(SEARCH(Classifiers!$E$17,E155)),1,0))+IF(Classifiers!$F$17="",0,IF(ISNUMBER(SEARCH(Classifiers!$F$17,E155)),1,0))+IF(Classifiers!$G$17="",0,IF(ISNUMBER(SEARCH(Classifiers!$G$17,E155)),1,0)))&gt;0,1,0))</f>
        <v/>
      </c>
      <c r="W155" s="12">
        <f>IF(H155&lt;&gt;1,0,IF((IF(Classifiers!$B$18="",0,IF(ISNUMBER(SEARCH(Classifiers!$B$18,E155)),1,0))+IF(Classifiers!$C$18="",0,IF(ISNUMBER(SEARCH(Classifiers!$C$18,E155)),1,0))+IF(Classifiers!$D$18="",0,IF(ISNUMBER(SEARCH(Classifiers!$D$18,E155)),1,0))+IF(Classifiers!$E$18="",0,IF(ISNUMBER(SEARCH(Classifiers!$E$18,E155)),1,0))+IF(Classifiers!$F$18="",0,IF(ISNUMBER(SEARCH(Classifiers!$F$18,E155)),1,0))+IF(Classifiers!$G$18="",0,IF(ISNUMBER(SEARCH(Classifiers!$G$18,E155)),1,0)))&gt;0,1,0))</f>
        <v/>
      </c>
    </row>
    <row r="156">
      <c r="A156" s="8" t="n"/>
      <c r="B156" s="11" t="n"/>
      <c r="C156" s="6">
        <f>IF(A156="","",TRIM(RIGHT(SUBSTITUTE(A156,"/",REPT(" ",250)),250)))</f>
        <v/>
      </c>
      <c r="D156" s="6">
        <f>IF(C156="","",IF(ISNUMBER(SEARCH(".",C156)),LOWER("."&amp;TRIM(RIGHT(SUBSTITUTE(C156,".",REPT(" ",250)),250))),""))</f>
        <v/>
      </c>
      <c r="E156" s="6">
        <f>IF(C156="","",TRIM(SUBSTITUTE(SUBSTITUTE(SUBSTITUTE(SUBSTITUTE(SUBSTITUTE(SUBSTITUTE(SUBSTITUTE(SUBSTITUTE(SUBSTITUTE(SUBSTITUTE(SUBSTITUTE(SUBSTITUTE(SUBSTITUTE(SUBSTITUTE(SUBSTITUTE(SUBSTITUTE(SUBSTITUTE(SUBSTITUTE(SUBSTITUTE(SUBSTITUTE(LOWER(LEFT(C156,LEN(C156)-LEN(D156))),"_"," "),"-"," "),"."," "),","," "),"("," "),")"," "),"["," "),"]"," "),"&amp;"," "),"+"," "),"@"," "),"#"," "),"!"," "),"'"," "),"/"," "),":"," "),";"," "),"="," "),"~"," "),"%"," ")))</f>
        <v/>
      </c>
      <c r="F156" s="6">
        <f>IF(C156="","",IF(COUNTIF(Classifiers!$A$23:$A$40,D156)&gt;0,1,0))</f>
        <v/>
      </c>
      <c r="G156" s="6">
        <f>IF(C156="","",IF(COUNTIF(Classifiers!$C$23:$C$30,D156)&gt;0,IF((IF(ISNUMBER(SEARCH(Classifiers!$E$23,E156)),1,0)+IF(ISNUMBER(SEARCH(Classifiers!$E$24,E156)),1,0)+IF(ISNUMBER(SEARCH(Classifiers!$E$25,E156)),1,0)+IF(ISNUMBER(SEARCH(Classifiers!$E$26,E156)),1,0)+IF(ISNUMBER(SEARCH(Classifiers!$E$27,E156)),1,0)+IF(ISNUMBER(SEARCH(Classifiers!$E$28,E156)),1,0)+IF(ISNUMBER(SEARCH(Classifiers!$E$29,E156)),1,0)+IF(ISNUMBER(SEARCH(Classifiers!$E$30,E156)),1,0))&gt;0,1,0),0))</f>
        <v/>
      </c>
      <c r="H156" s="6">
        <f>IF(C156="","",IF(OR(LEFT(C156,1)=".",AND(F156=0,G156=0)),0,1))</f>
        <v/>
      </c>
      <c r="I156" s="6">
        <f>IF(H156&lt;&gt;1,"",IF(SUM(J156:W156)=0,"unclassified",INDEX(Classifiers!$A$5:$A$18,MATCH(1,J156:W156,0),1)))</f>
        <v/>
      </c>
      <c r="J156" s="12">
        <f>IF(H156&lt;&gt;1,0,IF((IF(Classifiers!$B$5="",0,IF(ISNUMBER(SEARCH(Classifiers!$B$5,E156)),1,0))+IF(Classifiers!$C$5="",0,IF(ISNUMBER(SEARCH(Classifiers!$C$5,E156)),1,0))+IF(Classifiers!$D$5="",0,IF(ISNUMBER(SEARCH(Classifiers!$D$5,E156)),1,0))+IF(Classifiers!$E$5="",0,IF(ISNUMBER(SEARCH(Classifiers!$E$5,E156)),1,0))+IF(Classifiers!$F$5="",0,IF(ISNUMBER(SEARCH(Classifiers!$F$5,E156)),1,0))+IF(Classifiers!$G$5="",0,IF(ISNUMBER(SEARCH(Classifiers!$G$5,E156)),1,0)))&gt;0,1,0))</f>
        <v/>
      </c>
      <c r="K156" s="12">
        <f>IF(H156&lt;&gt;1,0,IF((IF(Classifiers!$B$6="",0,IF(ISNUMBER(SEARCH(Classifiers!$B$6,E156)),1,0))+IF(Classifiers!$C$6="",0,IF(ISNUMBER(SEARCH(Classifiers!$C$6,E156)),1,0))+IF(Classifiers!$D$6="",0,IF(ISNUMBER(SEARCH(Classifiers!$D$6,E156)),1,0))+IF(Classifiers!$E$6="",0,IF(ISNUMBER(SEARCH(Classifiers!$E$6,E156)),1,0))+IF(Classifiers!$F$6="",0,IF(ISNUMBER(SEARCH(Classifiers!$F$6,E156)),1,0))+IF(Classifiers!$G$6="",0,IF(ISNUMBER(SEARCH(Classifiers!$G$6,E156)),1,0)))&gt;0,1,0))</f>
        <v/>
      </c>
      <c r="L156" s="12">
        <f>IF(H156&lt;&gt;1,0,IF((IF(Classifiers!$B$7="",0,IF(ISNUMBER(SEARCH(Classifiers!$B$7,E156)),1,0))+IF(Classifiers!$C$7="",0,IF(ISNUMBER(SEARCH(Classifiers!$C$7,E156)),1,0))+IF(Classifiers!$D$7="",0,IF(ISNUMBER(SEARCH(Classifiers!$D$7,E156)),1,0))+IF(Classifiers!$E$7="",0,IF(ISNUMBER(SEARCH(Classifiers!$E$7,E156)),1,0))+IF(Classifiers!$F$7="",0,IF(ISNUMBER(SEARCH(Classifiers!$F$7,E156)),1,0))+IF(Classifiers!$G$7="",0,IF(ISNUMBER(SEARCH(Classifiers!$G$7,E156)),1,0)))&gt;0,1,0))</f>
        <v/>
      </c>
      <c r="M156" s="12">
        <f>IF(H156&lt;&gt;1,0,IF((IF(Classifiers!$B$8="",0,IF(ISNUMBER(SEARCH(Classifiers!$B$8,E156)),1,0))+IF(Classifiers!$C$8="",0,IF(ISNUMBER(SEARCH(Classifiers!$C$8,E156)),1,0))+IF(Classifiers!$D$8="",0,IF(ISNUMBER(SEARCH(Classifiers!$D$8,E156)),1,0))+IF(Classifiers!$E$8="",0,IF(ISNUMBER(SEARCH(Classifiers!$E$8,E156)),1,0))+IF(Classifiers!$F$8="",0,IF(ISNUMBER(SEARCH(Classifiers!$F$8,E156)),1,0))+IF(Classifiers!$G$8="",0,IF(ISNUMBER(SEARCH(Classifiers!$G$8,E156)),1,0)))&gt;0,1,0))</f>
        <v/>
      </c>
      <c r="N156" s="12">
        <f>IF(H156&lt;&gt;1,0,IF((IF(Classifiers!$B$9="",0,IF(ISNUMBER(SEARCH(Classifiers!$B$9,E156)),1,0))+IF(Classifiers!$C$9="",0,IF(ISNUMBER(SEARCH(Classifiers!$C$9,E156)),1,0))+IF(Classifiers!$D$9="",0,IF(ISNUMBER(SEARCH(Classifiers!$D$9,E156)),1,0))+IF(Classifiers!$E$9="",0,IF(ISNUMBER(SEARCH(Classifiers!$E$9,E156)),1,0))+IF(Classifiers!$F$9="",0,IF(ISNUMBER(SEARCH(Classifiers!$F$9,E156)),1,0))+IF(Classifiers!$G$9="",0,IF(ISNUMBER(SEARCH(Classifiers!$G$9,E156)),1,0)))&gt;0,1,0))</f>
        <v/>
      </c>
      <c r="O156" s="12">
        <f>IF(H156&lt;&gt;1,0,IF((IF(Classifiers!$B$10="",0,IF(ISNUMBER(SEARCH(Classifiers!$B$10,E156)),1,0))+IF(Classifiers!$C$10="",0,IF(ISNUMBER(SEARCH(Classifiers!$C$10,E156)),1,0))+IF(Classifiers!$D$10="",0,IF(ISNUMBER(SEARCH(Classifiers!$D$10,E156)),1,0))+IF(Classifiers!$E$10="",0,IF(ISNUMBER(SEARCH(Classifiers!$E$10,E156)),1,0))+IF(Classifiers!$F$10="",0,IF(ISNUMBER(SEARCH(Classifiers!$F$10,E156)),1,0))+IF(Classifiers!$G$10="",0,IF(ISNUMBER(SEARCH(Classifiers!$G$10,E156)),1,0)))&gt;0,1,0))</f>
        <v/>
      </c>
      <c r="P156" s="12">
        <f>IF(H156&lt;&gt;1,0,IF((IF(Classifiers!$B$11="",0,IF(ISNUMBER(SEARCH(Classifiers!$B$11,E156)),1,0))+IF(Classifiers!$C$11="",0,IF(ISNUMBER(SEARCH(Classifiers!$C$11,E156)),1,0))+IF(Classifiers!$D$11="",0,IF(ISNUMBER(SEARCH(Classifiers!$D$11,E156)),1,0))+IF(Classifiers!$E$11="",0,IF(ISNUMBER(SEARCH(Classifiers!$E$11,E156)),1,0))+IF(Classifiers!$F$11="",0,IF(ISNUMBER(SEARCH(Classifiers!$F$11,E156)),1,0))+IF(Classifiers!$G$11="",0,IF(ISNUMBER(SEARCH(Classifiers!$G$11,E156)),1,0)))&gt;0,1,0))</f>
        <v/>
      </c>
      <c r="Q156" s="12">
        <f>IF(H156&lt;&gt;1,0,IF((IF(Classifiers!$B$12="",0,IF(ISNUMBER(SEARCH(Classifiers!$B$12,E156)),1,0))+IF(Classifiers!$C$12="",0,IF(ISNUMBER(SEARCH(Classifiers!$C$12,E156)),1,0))+IF(Classifiers!$D$12="",0,IF(ISNUMBER(SEARCH(Classifiers!$D$12,E156)),1,0))+IF(Classifiers!$E$12="",0,IF(ISNUMBER(SEARCH(Classifiers!$E$12,E156)),1,0))+IF(Classifiers!$F$12="",0,IF(ISNUMBER(SEARCH(Classifiers!$F$12,E156)),1,0))+IF(Classifiers!$G$12="",0,IF(ISNUMBER(SEARCH(Classifiers!$G$12,E156)),1,0)))&gt;0,1,0))</f>
        <v/>
      </c>
      <c r="R156" s="12">
        <f>IF(H156&lt;&gt;1,0,IF((IF(Classifiers!$B$13="",0,IF(ISNUMBER(SEARCH(Classifiers!$B$13,E156)),1,0))+IF(Classifiers!$C$13="",0,IF(ISNUMBER(SEARCH(Classifiers!$C$13,E156)),1,0))+IF(Classifiers!$D$13="",0,IF(ISNUMBER(SEARCH(Classifiers!$D$13,E156)),1,0))+IF(Classifiers!$E$13="",0,IF(ISNUMBER(SEARCH(Classifiers!$E$13,E156)),1,0))+IF(Classifiers!$F$13="",0,IF(ISNUMBER(SEARCH(Classifiers!$F$13,E156)),1,0))+IF(Classifiers!$G$13="",0,IF(ISNUMBER(SEARCH(Classifiers!$G$13,E156)),1,0)))&gt;0,1,0))</f>
        <v/>
      </c>
      <c r="S156" s="12">
        <f>IF(H156&lt;&gt;1,0,IF((IF(Classifiers!$B$14="",0,IF(ISNUMBER(SEARCH(Classifiers!$B$14,E156)),1,0))+IF(Classifiers!$C$14="",0,IF(ISNUMBER(SEARCH(Classifiers!$C$14,E156)),1,0))+IF(Classifiers!$D$14="",0,IF(ISNUMBER(SEARCH(Classifiers!$D$14,E156)),1,0))+IF(Classifiers!$E$14="",0,IF(ISNUMBER(SEARCH(Classifiers!$E$14,E156)),1,0))+IF(Classifiers!$F$14="",0,IF(ISNUMBER(SEARCH(Classifiers!$F$14,E156)),1,0))+IF(Classifiers!$G$14="",0,IF(ISNUMBER(SEARCH(Classifiers!$G$14,E156)),1,0)))&gt;0,1,0))</f>
        <v/>
      </c>
      <c r="T156" s="12">
        <f>IF(H156&lt;&gt;1,0,IF((IF(Classifiers!$B$15="",0,IF(ISNUMBER(SEARCH(Classifiers!$B$15,E156)),1,0))+IF(Classifiers!$C$15="",0,IF(ISNUMBER(SEARCH(Classifiers!$C$15,E156)),1,0))+IF(Classifiers!$D$15="",0,IF(ISNUMBER(SEARCH(Classifiers!$D$15,E156)),1,0))+IF(Classifiers!$E$15="",0,IF(ISNUMBER(SEARCH(Classifiers!$E$15,E156)),1,0))+IF(Classifiers!$F$15="",0,IF(ISNUMBER(SEARCH(Classifiers!$F$15,E156)),1,0))+IF(Classifiers!$G$15="",0,IF(ISNUMBER(SEARCH(Classifiers!$G$15,E156)),1,0)))&gt;0,1,0))</f>
        <v/>
      </c>
      <c r="U156" s="12">
        <f>IF(H156&lt;&gt;1,0,IF((IF(Classifiers!$B$16="",0,IF(ISNUMBER(SEARCH(Classifiers!$B$16,E156)),1,0))+IF(Classifiers!$C$16="",0,IF(ISNUMBER(SEARCH(Classifiers!$C$16,E156)),1,0))+IF(Classifiers!$D$16="",0,IF(ISNUMBER(SEARCH(Classifiers!$D$16,E156)),1,0))+IF(Classifiers!$E$16="",0,IF(ISNUMBER(SEARCH(Classifiers!$E$16,E156)),1,0))+IF(Classifiers!$F$16="",0,IF(ISNUMBER(SEARCH(Classifiers!$F$16,E156)),1,0))+IF(Classifiers!$G$16="",0,IF(ISNUMBER(SEARCH(Classifiers!$G$16,E156)),1,0)))&gt;0,1,0))</f>
        <v/>
      </c>
      <c r="V156" s="12">
        <f>IF(H156&lt;&gt;1,0,IF((IF(Classifiers!$B$17="",0,IF(ISNUMBER(SEARCH(Classifiers!$B$17,E156)),1,0))+IF(Classifiers!$C$17="",0,IF(ISNUMBER(SEARCH(Classifiers!$C$17,E156)),1,0))+IF(Classifiers!$D$17="",0,IF(ISNUMBER(SEARCH(Classifiers!$D$17,E156)),1,0))+IF(Classifiers!$E$17="",0,IF(ISNUMBER(SEARCH(Classifiers!$E$17,E156)),1,0))+IF(Classifiers!$F$17="",0,IF(ISNUMBER(SEARCH(Classifiers!$F$17,E156)),1,0))+IF(Classifiers!$G$17="",0,IF(ISNUMBER(SEARCH(Classifiers!$G$17,E156)),1,0)))&gt;0,1,0))</f>
        <v/>
      </c>
      <c r="W156" s="12">
        <f>IF(H156&lt;&gt;1,0,IF((IF(Classifiers!$B$18="",0,IF(ISNUMBER(SEARCH(Classifiers!$B$18,E156)),1,0))+IF(Classifiers!$C$18="",0,IF(ISNUMBER(SEARCH(Classifiers!$C$18,E156)),1,0))+IF(Classifiers!$D$18="",0,IF(ISNUMBER(SEARCH(Classifiers!$D$18,E156)),1,0))+IF(Classifiers!$E$18="",0,IF(ISNUMBER(SEARCH(Classifiers!$E$18,E156)),1,0))+IF(Classifiers!$F$18="",0,IF(ISNUMBER(SEARCH(Classifiers!$F$18,E156)),1,0))+IF(Classifiers!$G$18="",0,IF(ISNUMBER(SEARCH(Classifiers!$G$18,E156)),1,0)))&gt;0,1,0))</f>
        <v/>
      </c>
    </row>
    <row r="157">
      <c r="A157" s="8" t="n"/>
      <c r="B157" s="11" t="n"/>
      <c r="C157" s="6">
        <f>IF(A157="","",TRIM(RIGHT(SUBSTITUTE(A157,"/",REPT(" ",250)),250)))</f>
        <v/>
      </c>
      <c r="D157" s="6">
        <f>IF(C157="","",IF(ISNUMBER(SEARCH(".",C157)),LOWER("."&amp;TRIM(RIGHT(SUBSTITUTE(C157,".",REPT(" ",250)),250))),""))</f>
        <v/>
      </c>
      <c r="E157" s="6">
        <f>IF(C157="","",TRIM(SUBSTITUTE(SUBSTITUTE(SUBSTITUTE(SUBSTITUTE(SUBSTITUTE(SUBSTITUTE(SUBSTITUTE(SUBSTITUTE(SUBSTITUTE(SUBSTITUTE(SUBSTITUTE(SUBSTITUTE(SUBSTITUTE(SUBSTITUTE(SUBSTITUTE(SUBSTITUTE(SUBSTITUTE(SUBSTITUTE(SUBSTITUTE(SUBSTITUTE(LOWER(LEFT(C157,LEN(C157)-LEN(D157))),"_"," "),"-"," "),"."," "),","," "),"("," "),")"," "),"["," "),"]"," "),"&amp;"," "),"+"," "),"@"," "),"#"," "),"!"," "),"'"," "),"/"," "),":"," "),";"," "),"="," "),"~"," "),"%"," ")))</f>
        <v/>
      </c>
      <c r="F157" s="6">
        <f>IF(C157="","",IF(COUNTIF(Classifiers!$A$23:$A$40,D157)&gt;0,1,0))</f>
        <v/>
      </c>
      <c r="G157" s="6">
        <f>IF(C157="","",IF(COUNTIF(Classifiers!$C$23:$C$30,D157)&gt;0,IF((IF(ISNUMBER(SEARCH(Classifiers!$E$23,E157)),1,0)+IF(ISNUMBER(SEARCH(Classifiers!$E$24,E157)),1,0)+IF(ISNUMBER(SEARCH(Classifiers!$E$25,E157)),1,0)+IF(ISNUMBER(SEARCH(Classifiers!$E$26,E157)),1,0)+IF(ISNUMBER(SEARCH(Classifiers!$E$27,E157)),1,0)+IF(ISNUMBER(SEARCH(Classifiers!$E$28,E157)),1,0)+IF(ISNUMBER(SEARCH(Classifiers!$E$29,E157)),1,0)+IF(ISNUMBER(SEARCH(Classifiers!$E$30,E157)),1,0))&gt;0,1,0),0))</f>
        <v/>
      </c>
      <c r="H157" s="6">
        <f>IF(C157="","",IF(OR(LEFT(C157,1)=".",AND(F157=0,G157=0)),0,1))</f>
        <v/>
      </c>
      <c r="I157" s="6">
        <f>IF(H157&lt;&gt;1,"",IF(SUM(J157:W157)=0,"unclassified",INDEX(Classifiers!$A$5:$A$18,MATCH(1,J157:W157,0),1)))</f>
        <v/>
      </c>
      <c r="J157" s="12">
        <f>IF(H157&lt;&gt;1,0,IF((IF(Classifiers!$B$5="",0,IF(ISNUMBER(SEARCH(Classifiers!$B$5,E157)),1,0))+IF(Classifiers!$C$5="",0,IF(ISNUMBER(SEARCH(Classifiers!$C$5,E157)),1,0))+IF(Classifiers!$D$5="",0,IF(ISNUMBER(SEARCH(Classifiers!$D$5,E157)),1,0))+IF(Classifiers!$E$5="",0,IF(ISNUMBER(SEARCH(Classifiers!$E$5,E157)),1,0))+IF(Classifiers!$F$5="",0,IF(ISNUMBER(SEARCH(Classifiers!$F$5,E157)),1,0))+IF(Classifiers!$G$5="",0,IF(ISNUMBER(SEARCH(Classifiers!$G$5,E157)),1,0)))&gt;0,1,0))</f>
        <v/>
      </c>
      <c r="K157" s="12">
        <f>IF(H157&lt;&gt;1,0,IF((IF(Classifiers!$B$6="",0,IF(ISNUMBER(SEARCH(Classifiers!$B$6,E157)),1,0))+IF(Classifiers!$C$6="",0,IF(ISNUMBER(SEARCH(Classifiers!$C$6,E157)),1,0))+IF(Classifiers!$D$6="",0,IF(ISNUMBER(SEARCH(Classifiers!$D$6,E157)),1,0))+IF(Classifiers!$E$6="",0,IF(ISNUMBER(SEARCH(Classifiers!$E$6,E157)),1,0))+IF(Classifiers!$F$6="",0,IF(ISNUMBER(SEARCH(Classifiers!$F$6,E157)),1,0))+IF(Classifiers!$G$6="",0,IF(ISNUMBER(SEARCH(Classifiers!$G$6,E157)),1,0)))&gt;0,1,0))</f>
        <v/>
      </c>
      <c r="L157" s="12">
        <f>IF(H157&lt;&gt;1,0,IF((IF(Classifiers!$B$7="",0,IF(ISNUMBER(SEARCH(Classifiers!$B$7,E157)),1,0))+IF(Classifiers!$C$7="",0,IF(ISNUMBER(SEARCH(Classifiers!$C$7,E157)),1,0))+IF(Classifiers!$D$7="",0,IF(ISNUMBER(SEARCH(Classifiers!$D$7,E157)),1,0))+IF(Classifiers!$E$7="",0,IF(ISNUMBER(SEARCH(Classifiers!$E$7,E157)),1,0))+IF(Classifiers!$F$7="",0,IF(ISNUMBER(SEARCH(Classifiers!$F$7,E157)),1,0))+IF(Classifiers!$G$7="",0,IF(ISNUMBER(SEARCH(Classifiers!$G$7,E157)),1,0)))&gt;0,1,0))</f>
        <v/>
      </c>
      <c r="M157" s="12">
        <f>IF(H157&lt;&gt;1,0,IF((IF(Classifiers!$B$8="",0,IF(ISNUMBER(SEARCH(Classifiers!$B$8,E157)),1,0))+IF(Classifiers!$C$8="",0,IF(ISNUMBER(SEARCH(Classifiers!$C$8,E157)),1,0))+IF(Classifiers!$D$8="",0,IF(ISNUMBER(SEARCH(Classifiers!$D$8,E157)),1,0))+IF(Classifiers!$E$8="",0,IF(ISNUMBER(SEARCH(Classifiers!$E$8,E157)),1,0))+IF(Classifiers!$F$8="",0,IF(ISNUMBER(SEARCH(Classifiers!$F$8,E157)),1,0))+IF(Classifiers!$G$8="",0,IF(ISNUMBER(SEARCH(Classifiers!$G$8,E157)),1,0)))&gt;0,1,0))</f>
        <v/>
      </c>
      <c r="N157" s="12">
        <f>IF(H157&lt;&gt;1,0,IF((IF(Classifiers!$B$9="",0,IF(ISNUMBER(SEARCH(Classifiers!$B$9,E157)),1,0))+IF(Classifiers!$C$9="",0,IF(ISNUMBER(SEARCH(Classifiers!$C$9,E157)),1,0))+IF(Classifiers!$D$9="",0,IF(ISNUMBER(SEARCH(Classifiers!$D$9,E157)),1,0))+IF(Classifiers!$E$9="",0,IF(ISNUMBER(SEARCH(Classifiers!$E$9,E157)),1,0))+IF(Classifiers!$F$9="",0,IF(ISNUMBER(SEARCH(Classifiers!$F$9,E157)),1,0))+IF(Classifiers!$G$9="",0,IF(ISNUMBER(SEARCH(Classifiers!$G$9,E157)),1,0)))&gt;0,1,0))</f>
        <v/>
      </c>
      <c r="O157" s="12">
        <f>IF(H157&lt;&gt;1,0,IF((IF(Classifiers!$B$10="",0,IF(ISNUMBER(SEARCH(Classifiers!$B$10,E157)),1,0))+IF(Classifiers!$C$10="",0,IF(ISNUMBER(SEARCH(Classifiers!$C$10,E157)),1,0))+IF(Classifiers!$D$10="",0,IF(ISNUMBER(SEARCH(Classifiers!$D$10,E157)),1,0))+IF(Classifiers!$E$10="",0,IF(ISNUMBER(SEARCH(Classifiers!$E$10,E157)),1,0))+IF(Classifiers!$F$10="",0,IF(ISNUMBER(SEARCH(Classifiers!$F$10,E157)),1,0))+IF(Classifiers!$G$10="",0,IF(ISNUMBER(SEARCH(Classifiers!$G$10,E157)),1,0)))&gt;0,1,0))</f>
        <v/>
      </c>
      <c r="P157" s="12">
        <f>IF(H157&lt;&gt;1,0,IF((IF(Classifiers!$B$11="",0,IF(ISNUMBER(SEARCH(Classifiers!$B$11,E157)),1,0))+IF(Classifiers!$C$11="",0,IF(ISNUMBER(SEARCH(Classifiers!$C$11,E157)),1,0))+IF(Classifiers!$D$11="",0,IF(ISNUMBER(SEARCH(Classifiers!$D$11,E157)),1,0))+IF(Classifiers!$E$11="",0,IF(ISNUMBER(SEARCH(Classifiers!$E$11,E157)),1,0))+IF(Classifiers!$F$11="",0,IF(ISNUMBER(SEARCH(Classifiers!$F$11,E157)),1,0))+IF(Classifiers!$G$11="",0,IF(ISNUMBER(SEARCH(Classifiers!$G$11,E157)),1,0)))&gt;0,1,0))</f>
        <v/>
      </c>
      <c r="Q157" s="12">
        <f>IF(H157&lt;&gt;1,0,IF((IF(Classifiers!$B$12="",0,IF(ISNUMBER(SEARCH(Classifiers!$B$12,E157)),1,0))+IF(Classifiers!$C$12="",0,IF(ISNUMBER(SEARCH(Classifiers!$C$12,E157)),1,0))+IF(Classifiers!$D$12="",0,IF(ISNUMBER(SEARCH(Classifiers!$D$12,E157)),1,0))+IF(Classifiers!$E$12="",0,IF(ISNUMBER(SEARCH(Classifiers!$E$12,E157)),1,0))+IF(Classifiers!$F$12="",0,IF(ISNUMBER(SEARCH(Classifiers!$F$12,E157)),1,0))+IF(Classifiers!$G$12="",0,IF(ISNUMBER(SEARCH(Classifiers!$G$12,E157)),1,0)))&gt;0,1,0))</f>
        <v/>
      </c>
      <c r="R157" s="12">
        <f>IF(H157&lt;&gt;1,0,IF((IF(Classifiers!$B$13="",0,IF(ISNUMBER(SEARCH(Classifiers!$B$13,E157)),1,0))+IF(Classifiers!$C$13="",0,IF(ISNUMBER(SEARCH(Classifiers!$C$13,E157)),1,0))+IF(Classifiers!$D$13="",0,IF(ISNUMBER(SEARCH(Classifiers!$D$13,E157)),1,0))+IF(Classifiers!$E$13="",0,IF(ISNUMBER(SEARCH(Classifiers!$E$13,E157)),1,0))+IF(Classifiers!$F$13="",0,IF(ISNUMBER(SEARCH(Classifiers!$F$13,E157)),1,0))+IF(Classifiers!$G$13="",0,IF(ISNUMBER(SEARCH(Classifiers!$G$13,E157)),1,0)))&gt;0,1,0))</f>
        <v/>
      </c>
      <c r="S157" s="12">
        <f>IF(H157&lt;&gt;1,0,IF((IF(Classifiers!$B$14="",0,IF(ISNUMBER(SEARCH(Classifiers!$B$14,E157)),1,0))+IF(Classifiers!$C$14="",0,IF(ISNUMBER(SEARCH(Classifiers!$C$14,E157)),1,0))+IF(Classifiers!$D$14="",0,IF(ISNUMBER(SEARCH(Classifiers!$D$14,E157)),1,0))+IF(Classifiers!$E$14="",0,IF(ISNUMBER(SEARCH(Classifiers!$E$14,E157)),1,0))+IF(Classifiers!$F$14="",0,IF(ISNUMBER(SEARCH(Classifiers!$F$14,E157)),1,0))+IF(Classifiers!$G$14="",0,IF(ISNUMBER(SEARCH(Classifiers!$G$14,E157)),1,0)))&gt;0,1,0))</f>
        <v/>
      </c>
      <c r="T157" s="12">
        <f>IF(H157&lt;&gt;1,0,IF((IF(Classifiers!$B$15="",0,IF(ISNUMBER(SEARCH(Classifiers!$B$15,E157)),1,0))+IF(Classifiers!$C$15="",0,IF(ISNUMBER(SEARCH(Classifiers!$C$15,E157)),1,0))+IF(Classifiers!$D$15="",0,IF(ISNUMBER(SEARCH(Classifiers!$D$15,E157)),1,0))+IF(Classifiers!$E$15="",0,IF(ISNUMBER(SEARCH(Classifiers!$E$15,E157)),1,0))+IF(Classifiers!$F$15="",0,IF(ISNUMBER(SEARCH(Classifiers!$F$15,E157)),1,0))+IF(Classifiers!$G$15="",0,IF(ISNUMBER(SEARCH(Classifiers!$G$15,E157)),1,0)))&gt;0,1,0))</f>
        <v/>
      </c>
      <c r="U157" s="12">
        <f>IF(H157&lt;&gt;1,0,IF((IF(Classifiers!$B$16="",0,IF(ISNUMBER(SEARCH(Classifiers!$B$16,E157)),1,0))+IF(Classifiers!$C$16="",0,IF(ISNUMBER(SEARCH(Classifiers!$C$16,E157)),1,0))+IF(Classifiers!$D$16="",0,IF(ISNUMBER(SEARCH(Classifiers!$D$16,E157)),1,0))+IF(Classifiers!$E$16="",0,IF(ISNUMBER(SEARCH(Classifiers!$E$16,E157)),1,0))+IF(Classifiers!$F$16="",0,IF(ISNUMBER(SEARCH(Classifiers!$F$16,E157)),1,0))+IF(Classifiers!$G$16="",0,IF(ISNUMBER(SEARCH(Classifiers!$G$16,E157)),1,0)))&gt;0,1,0))</f>
        <v/>
      </c>
      <c r="V157" s="12">
        <f>IF(H157&lt;&gt;1,0,IF((IF(Classifiers!$B$17="",0,IF(ISNUMBER(SEARCH(Classifiers!$B$17,E157)),1,0))+IF(Classifiers!$C$17="",0,IF(ISNUMBER(SEARCH(Classifiers!$C$17,E157)),1,0))+IF(Classifiers!$D$17="",0,IF(ISNUMBER(SEARCH(Classifiers!$D$17,E157)),1,0))+IF(Classifiers!$E$17="",0,IF(ISNUMBER(SEARCH(Classifiers!$E$17,E157)),1,0))+IF(Classifiers!$F$17="",0,IF(ISNUMBER(SEARCH(Classifiers!$F$17,E157)),1,0))+IF(Classifiers!$G$17="",0,IF(ISNUMBER(SEARCH(Classifiers!$G$17,E157)),1,0)))&gt;0,1,0))</f>
        <v/>
      </c>
      <c r="W157" s="12">
        <f>IF(H157&lt;&gt;1,0,IF((IF(Classifiers!$B$18="",0,IF(ISNUMBER(SEARCH(Classifiers!$B$18,E157)),1,0))+IF(Classifiers!$C$18="",0,IF(ISNUMBER(SEARCH(Classifiers!$C$18,E157)),1,0))+IF(Classifiers!$D$18="",0,IF(ISNUMBER(SEARCH(Classifiers!$D$18,E157)),1,0))+IF(Classifiers!$E$18="",0,IF(ISNUMBER(SEARCH(Classifiers!$E$18,E157)),1,0))+IF(Classifiers!$F$18="",0,IF(ISNUMBER(SEARCH(Classifiers!$F$18,E157)),1,0))+IF(Classifiers!$G$18="",0,IF(ISNUMBER(SEARCH(Classifiers!$G$18,E157)),1,0)))&gt;0,1,0))</f>
        <v/>
      </c>
    </row>
    <row r="158">
      <c r="A158" s="8" t="n"/>
      <c r="B158" s="11" t="n"/>
      <c r="C158" s="6">
        <f>IF(A158="","",TRIM(RIGHT(SUBSTITUTE(A158,"/",REPT(" ",250)),250)))</f>
        <v/>
      </c>
      <c r="D158" s="6">
        <f>IF(C158="","",IF(ISNUMBER(SEARCH(".",C158)),LOWER("."&amp;TRIM(RIGHT(SUBSTITUTE(C158,".",REPT(" ",250)),250))),""))</f>
        <v/>
      </c>
      <c r="E158" s="6">
        <f>IF(C158="","",TRIM(SUBSTITUTE(SUBSTITUTE(SUBSTITUTE(SUBSTITUTE(SUBSTITUTE(SUBSTITUTE(SUBSTITUTE(SUBSTITUTE(SUBSTITUTE(SUBSTITUTE(SUBSTITUTE(SUBSTITUTE(SUBSTITUTE(SUBSTITUTE(SUBSTITUTE(SUBSTITUTE(SUBSTITUTE(SUBSTITUTE(SUBSTITUTE(SUBSTITUTE(LOWER(LEFT(C158,LEN(C158)-LEN(D158))),"_"," "),"-"," "),"."," "),","," "),"("," "),")"," "),"["," "),"]"," "),"&amp;"," "),"+"," "),"@"," "),"#"," "),"!"," "),"'"," "),"/"," "),":"," "),";"," "),"="," "),"~"," "),"%"," ")))</f>
        <v/>
      </c>
      <c r="F158" s="6">
        <f>IF(C158="","",IF(COUNTIF(Classifiers!$A$23:$A$40,D158)&gt;0,1,0))</f>
        <v/>
      </c>
      <c r="G158" s="6">
        <f>IF(C158="","",IF(COUNTIF(Classifiers!$C$23:$C$30,D158)&gt;0,IF((IF(ISNUMBER(SEARCH(Classifiers!$E$23,E158)),1,0)+IF(ISNUMBER(SEARCH(Classifiers!$E$24,E158)),1,0)+IF(ISNUMBER(SEARCH(Classifiers!$E$25,E158)),1,0)+IF(ISNUMBER(SEARCH(Classifiers!$E$26,E158)),1,0)+IF(ISNUMBER(SEARCH(Classifiers!$E$27,E158)),1,0)+IF(ISNUMBER(SEARCH(Classifiers!$E$28,E158)),1,0)+IF(ISNUMBER(SEARCH(Classifiers!$E$29,E158)),1,0)+IF(ISNUMBER(SEARCH(Classifiers!$E$30,E158)),1,0))&gt;0,1,0),0))</f>
        <v/>
      </c>
      <c r="H158" s="6">
        <f>IF(C158="","",IF(OR(LEFT(C158,1)=".",AND(F158=0,G158=0)),0,1))</f>
        <v/>
      </c>
      <c r="I158" s="6">
        <f>IF(H158&lt;&gt;1,"",IF(SUM(J158:W158)=0,"unclassified",INDEX(Classifiers!$A$5:$A$18,MATCH(1,J158:W158,0),1)))</f>
        <v/>
      </c>
      <c r="J158" s="12">
        <f>IF(H158&lt;&gt;1,0,IF((IF(Classifiers!$B$5="",0,IF(ISNUMBER(SEARCH(Classifiers!$B$5,E158)),1,0))+IF(Classifiers!$C$5="",0,IF(ISNUMBER(SEARCH(Classifiers!$C$5,E158)),1,0))+IF(Classifiers!$D$5="",0,IF(ISNUMBER(SEARCH(Classifiers!$D$5,E158)),1,0))+IF(Classifiers!$E$5="",0,IF(ISNUMBER(SEARCH(Classifiers!$E$5,E158)),1,0))+IF(Classifiers!$F$5="",0,IF(ISNUMBER(SEARCH(Classifiers!$F$5,E158)),1,0))+IF(Classifiers!$G$5="",0,IF(ISNUMBER(SEARCH(Classifiers!$G$5,E158)),1,0)))&gt;0,1,0))</f>
        <v/>
      </c>
      <c r="K158" s="12">
        <f>IF(H158&lt;&gt;1,0,IF((IF(Classifiers!$B$6="",0,IF(ISNUMBER(SEARCH(Classifiers!$B$6,E158)),1,0))+IF(Classifiers!$C$6="",0,IF(ISNUMBER(SEARCH(Classifiers!$C$6,E158)),1,0))+IF(Classifiers!$D$6="",0,IF(ISNUMBER(SEARCH(Classifiers!$D$6,E158)),1,0))+IF(Classifiers!$E$6="",0,IF(ISNUMBER(SEARCH(Classifiers!$E$6,E158)),1,0))+IF(Classifiers!$F$6="",0,IF(ISNUMBER(SEARCH(Classifiers!$F$6,E158)),1,0))+IF(Classifiers!$G$6="",0,IF(ISNUMBER(SEARCH(Classifiers!$G$6,E158)),1,0)))&gt;0,1,0))</f>
        <v/>
      </c>
      <c r="L158" s="12">
        <f>IF(H158&lt;&gt;1,0,IF((IF(Classifiers!$B$7="",0,IF(ISNUMBER(SEARCH(Classifiers!$B$7,E158)),1,0))+IF(Classifiers!$C$7="",0,IF(ISNUMBER(SEARCH(Classifiers!$C$7,E158)),1,0))+IF(Classifiers!$D$7="",0,IF(ISNUMBER(SEARCH(Classifiers!$D$7,E158)),1,0))+IF(Classifiers!$E$7="",0,IF(ISNUMBER(SEARCH(Classifiers!$E$7,E158)),1,0))+IF(Classifiers!$F$7="",0,IF(ISNUMBER(SEARCH(Classifiers!$F$7,E158)),1,0))+IF(Classifiers!$G$7="",0,IF(ISNUMBER(SEARCH(Classifiers!$G$7,E158)),1,0)))&gt;0,1,0))</f>
        <v/>
      </c>
      <c r="M158" s="12">
        <f>IF(H158&lt;&gt;1,0,IF((IF(Classifiers!$B$8="",0,IF(ISNUMBER(SEARCH(Classifiers!$B$8,E158)),1,0))+IF(Classifiers!$C$8="",0,IF(ISNUMBER(SEARCH(Classifiers!$C$8,E158)),1,0))+IF(Classifiers!$D$8="",0,IF(ISNUMBER(SEARCH(Classifiers!$D$8,E158)),1,0))+IF(Classifiers!$E$8="",0,IF(ISNUMBER(SEARCH(Classifiers!$E$8,E158)),1,0))+IF(Classifiers!$F$8="",0,IF(ISNUMBER(SEARCH(Classifiers!$F$8,E158)),1,0))+IF(Classifiers!$G$8="",0,IF(ISNUMBER(SEARCH(Classifiers!$G$8,E158)),1,0)))&gt;0,1,0))</f>
        <v/>
      </c>
      <c r="N158" s="12">
        <f>IF(H158&lt;&gt;1,0,IF((IF(Classifiers!$B$9="",0,IF(ISNUMBER(SEARCH(Classifiers!$B$9,E158)),1,0))+IF(Classifiers!$C$9="",0,IF(ISNUMBER(SEARCH(Classifiers!$C$9,E158)),1,0))+IF(Classifiers!$D$9="",0,IF(ISNUMBER(SEARCH(Classifiers!$D$9,E158)),1,0))+IF(Classifiers!$E$9="",0,IF(ISNUMBER(SEARCH(Classifiers!$E$9,E158)),1,0))+IF(Classifiers!$F$9="",0,IF(ISNUMBER(SEARCH(Classifiers!$F$9,E158)),1,0))+IF(Classifiers!$G$9="",0,IF(ISNUMBER(SEARCH(Classifiers!$G$9,E158)),1,0)))&gt;0,1,0))</f>
        <v/>
      </c>
      <c r="O158" s="12">
        <f>IF(H158&lt;&gt;1,0,IF((IF(Classifiers!$B$10="",0,IF(ISNUMBER(SEARCH(Classifiers!$B$10,E158)),1,0))+IF(Classifiers!$C$10="",0,IF(ISNUMBER(SEARCH(Classifiers!$C$10,E158)),1,0))+IF(Classifiers!$D$10="",0,IF(ISNUMBER(SEARCH(Classifiers!$D$10,E158)),1,0))+IF(Classifiers!$E$10="",0,IF(ISNUMBER(SEARCH(Classifiers!$E$10,E158)),1,0))+IF(Classifiers!$F$10="",0,IF(ISNUMBER(SEARCH(Classifiers!$F$10,E158)),1,0))+IF(Classifiers!$G$10="",0,IF(ISNUMBER(SEARCH(Classifiers!$G$10,E158)),1,0)))&gt;0,1,0))</f>
        <v/>
      </c>
      <c r="P158" s="12">
        <f>IF(H158&lt;&gt;1,0,IF((IF(Classifiers!$B$11="",0,IF(ISNUMBER(SEARCH(Classifiers!$B$11,E158)),1,0))+IF(Classifiers!$C$11="",0,IF(ISNUMBER(SEARCH(Classifiers!$C$11,E158)),1,0))+IF(Classifiers!$D$11="",0,IF(ISNUMBER(SEARCH(Classifiers!$D$11,E158)),1,0))+IF(Classifiers!$E$11="",0,IF(ISNUMBER(SEARCH(Classifiers!$E$11,E158)),1,0))+IF(Classifiers!$F$11="",0,IF(ISNUMBER(SEARCH(Classifiers!$F$11,E158)),1,0))+IF(Classifiers!$G$11="",0,IF(ISNUMBER(SEARCH(Classifiers!$G$11,E158)),1,0)))&gt;0,1,0))</f>
        <v/>
      </c>
      <c r="Q158" s="12">
        <f>IF(H158&lt;&gt;1,0,IF((IF(Classifiers!$B$12="",0,IF(ISNUMBER(SEARCH(Classifiers!$B$12,E158)),1,0))+IF(Classifiers!$C$12="",0,IF(ISNUMBER(SEARCH(Classifiers!$C$12,E158)),1,0))+IF(Classifiers!$D$12="",0,IF(ISNUMBER(SEARCH(Classifiers!$D$12,E158)),1,0))+IF(Classifiers!$E$12="",0,IF(ISNUMBER(SEARCH(Classifiers!$E$12,E158)),1,0))+IF(Classifiers!$F$12="",0,IF(ISNUMBER(SEARCH(Classifiers!$F$12,E158)),1,0))+IF(Classifiers!$G$12="",0,IF(ISNUMBER(SEARCH(Classifiers!$G$12,E158)),1,0)))&gt;0,1,0))</f>
        <v/>
      </c>
      <c r="R158" s="12">
        <f>IF(H158&lt;&gt;1,0,IF((IF(Classifiers!$B$13="",0,IF(ISNUMBER(SEARCH(Classifiers!$B$13,E158)),1,0))+IF(Classifiers!$C$13="",0,IF(ISNUMBER(SEARCH(Classifiers!$C$13,E158)),1,0))+IF(Classifiers!$D$13="",0,IF(ISNUMBER(SEARCH(Classifiers!$D$13,E158)),1,0))+IF(Classifiers!$E$13="",0,IF(ISNUMBER(SEARCH(Classifiers!$E$13,E158)),1,0))+IF(Classifiers!$F$13="",0,IF(ISNUMBER(SEARCH(Classifiers!$F$13,E158)),1,0))+IF(Classifiers!$G$13="",0,IF(ISNUMBER(SEARCH(Classifiers!$G$13,E158)),1,0)))&gt;0,1,0))</f>
        <v/>
      </c>
      <c r="S158" s="12">
        <f>IF(H158&lt;&gt;1,0,IF((IF(Classifiers!$B$14="",0,IF(ISNUMBER(SEARCH(Classifiers!$B$14,E158)),1,0))+IF(Classifiers!$C$14="",0,IF(ISNUMBER(SEARCH(Classifiers!$C$14,E158)),1,0))+IF(Classifiers!$D$14="",0,IF(ISNUMBER(SEARCH(Classifiers!$D$14,E158)),1,0))+IF(Classifiers!$E$14="",0,IF(ISNUMBER(SEARCH(Classifiers!$E$14,E158)),1,0))+IF(Classifiers!$F$14="",0,IF(ISNUMBER(SEARCH(Classifiers!$F$14,E158)),1,0))+IF(Classifiers!$G$14="",0,IF(ISNUMBER(SEARCH(Classifiers!$G$14,E158)),1,0)))&gt;0,1,0))</f>
        <v/>
      </c>
      <c r="T158" s="12">
        <f>IF(H158&lt;&gt;1,0,IF((IF(Classifiers!$B$15="",0,IF(ISNUMBER(SEARCH(Classifiers!$B$15,E158)),1,0))+IF(Classifiers!$C$15="",0,IF(ISNUMBER(SEARCH(Classifiers!$C$15,E158)),1,0))+IF(Classifiers!$D$15="",0,IF(ISNUMBER(SEARCH(Classifiers!$D$15,E158)),1,0))+IF(Classifiers!$E$15="",0,IF(ISNUMBER(SEARCH(Classifiers!$E$15,E158)),1,0))+IF(Classifiers!$F$15="",0,IF(ISNUMBER(SEARCH(Classifiers!$F$15,E158)),1,0))+IF(Classifiers!$G$15="",0,IF(ISNUMBER(SEARCH(Classifiers!$G$15,E158)),1,0)))&gt;0,1,0))</f>
        <v/>
      </c>
      <c r="U158" s="12">
        <f>IF(H158&lt;&gt;1,0,IF((IF(Classifiers!$B$16="",0,IF(ISNUMBER(SEARCH(Classifiers!$B$16,E158)),1,0))+IF(Classifiers!$C$16="",0,IF(ISNUMBER(SEARCH(Classifiers!$C$16,E158)),1,0))+IF(Classifiers!$D$16="",0,IF(ISNUMBER(SEARCH(Classifiers!$D$16,E158)),1,0))+IF(Classifiers!$E$16="",0,IF(ISNUMBER(SEARCH(Classifiers!$E$16,E158)),1,0))+IF(Classifiers!$F$16="",0,IF(ISNUMBER(SEARCH(Classifiers!$F$16,E158)),1,0))+IF(Classifiers!$G$16="",0,IF(ISNUMBER(SEARCH(Classifiers!$G$16,E158)),1,0)))&gt;0,1,0))</f>
        <v/>
      </c>
      <c r="V158" s="12">
        <f>IF(H158&lt;&gt;1,0,IF((IF(Classifiers!$B$17="",0,IF(ISNUMBER(SEARCH(Classifiers!$B$17,E158)),1,0))+IF(Classifiers!$C$17="",0,IF(ISNUMBER(SEARCH(Classifiers!$C$17,E158)),1,0))+IF(Classifiers!$D$17="",0,IF(ISNUMBER(SEARCH(Classifiers!$D$17,E158)),1,0))+IF(Classifiers!$E$17="",0,IF(ISNUMBER(SEARCH(Classifiers!$E$17,E158)),1,0))+IF(Classifiers!$F$17="",0,IF(ISNUMBER(SEARCH(Classifiers!$F$17,E158)),1,0))+IF(Classifiers!$G$17="",0,IF(ISNUMBER(SEARCH(Classifiers!$G$17,E158)),1,0)))&gt;0,1,0))</f>
        <v/>
      </c>
      <c r="W158" s="12">
        <f>IF(H158&lt;&gt;1,0,IF((IF(Classifiers!$B$18="",0,IF(ISNUMBER(SEARCH(Classifiers!$B$18,E158)),1,0))+IF(Classifiers!$C$18="",0,IF(ISNUMBER(SEARCH(Classifiers!$C$18,E158)),1,0))+IF(Classifiers!$D$18="",0,IF(ISNUMBER(SEARCH(Classifiers!$D$18,E158)),1,0))+IF(Classifiers!$E$18="",0,IF(ISNUMBER(SEARCH(Classifiers!$E$18,E158)),1,0))+IF(Classifiers!$F$18="",0,IF(ISNUMBER(SEARCH(Classifiers!$F$18,E158)),1,0))+IF(Classifiers!$G$18="",0,IF(ISNUMBER(SEARCH(Classifiers!$G$18,E158)),1,0)))&gt;0,1,0))</f>
        <v/>
      </c>
    </row>
    <row r="159">
      <c r="A159" s="8" t="n"/>
      <c r="B159" s="11" t="n"/>
      <c r="C159" s="6">
        <f>IF(A159="","",TRIM(RIGHT(SUBSTITUTE(A159,"/",REPT(" ",250)),250)))</f>
        <v/>
      </c>
      <c r="D159" s="6">
        <f>IF(C159="","",IF(ISNUMBER(SEARCH(".",C159)),LOWER("."&amp;TRIM(RIGHT(SUBSTITUTE(C159,".",REPT(" ",250)),250))),""))</f>
        <v/>
      </c>
      <c r="E159" s="6">
        <f>IF(C159="","",TRIM(SUBSTITUTE(SUBSTITUTE(SUBSTITUTE(SUBSTITUTE(SUBSTITUTE(SUBSTITUTE(SUBSTITUTE(SUBSTITUTE(SUBSTITUTE(SUBSTITUTE(SUBSTITUTE(SUBSTITUTE(SUBSTITUTE(SUBSTITUTE(SUBSTITUTE(SUBSTITUTE(SUBSTITUTE(SUBSTITUTE(SUBSTITUTE(SUBSTITUTE(LOWER(LEFT(C159,LEN(C159)-LEN(D159))),"_"," "),"-"," "),"."," "),","," "),"("," "),")"," "),"["," "),"]"," "),"&amp;"," "),"+"," "),"@"," "),"#"," "),"!"," "),"'"," "),"/"," "),":"," "),";"," "),"="," "),"~"," "),"%"," ")))</f>
        <v/>
      </c>
      <c r="F159" s="6">
        <f>IF(C159="","",IF(COUNTIF(Classifiers!$A$23:$A$40,D159)&gt;0,1,0))</f>
        <v/>
      </c>
      <c r="G159" s="6">
        <f>IF(C159="","",IF(COUNTIF(Classifiers!$C$23:$C$30,D159)&gt;0,IF((IF(ISNUMBER(SEARCH(Classifiers!$E$23,E159)),1,0)+IF(ISNUMBER(SEARCH(Classifiers!$E$24,E159)),1,0)+IF(ISNUMBER(SEARCH(Classifiers!$E$25,E159)),1,0)+IF(ISNUMBER(SEARCH(Classifiers!$E$26,E159)),1,0)+IF(ISNUMBER(SEARCH(Classifiers!$E$27,E159)),1,0)+IF(ISNUMBER(SEARCH(Classifiers!$E$28,E159)),1,0)+IF(ISNUMBER(SEARCH(Classifiers!$E$29,E159)),1,0)+IF(ISNUMBER(SEARCH(Classifiers!$E$30,E159)),1,0))&gt;0,1,0),0))</f>
        <v/>
      </c>
      <c r="H159" s="6">
        <f>IF(C159="","",IF(OR(LEFT(C159,1)=".",AND(F159=0,G159=0)),0,1))</f>
        <v/>
      </c>
      <c r="I159" s="6">
        <f>IF(H159&lt;&gt;1,"",IF(SUM(J159:W159)=0,"unclassified",INDEX(Classifiers!$A$5:$A$18,MATCH(1,J159:W159,0),1)))</f>
        <v/>
      </c>
      <c r="J159" s="12">
        <f>IF(H159&lt;&gt;1,0,IF((IF(Classifiers!$B$5="",0,IF(ISNUMBER(SEARCH(Classifiers!$B$5,E159)),1,0))+IF(Classifiers!$C$5="",0,IF(ISNUMBER(SEARCH(Classifiers!$C$5,E159)),1,0))+IF(Classifiers!$D$5="",0,IF(ISNUMBER(SEARCH(Classifiers!$D$5,E159)),1,0))+IF(Classifiers!$E$5="",0,IF(ISNUMBER(SEARCH(Classifiers!$E$5,E159)),1,0))+IF(Classifiers!$F$5="",0,IF(ISNUMBER(SEARCH(Classifiers!$F$5,E159)),1,0))+IF(Classifiers!$G$5="",0,IF(ISNUMBER(SEARCH(Classifiers!$G$5,E159)),1,0)))&gt;0,1,0))</f>
        <v/>
      </c>
      <c r="K159" s="12">
        <f>IF(H159&lt;&gt;1,0,IF((IF(Classifiers!$B$6="",0,IF(ISNUMBER(SEARCH(Classifiers!$B$6,E159)),1,0))+IF(Classifiers!$C$6="",0,IF(ISNUMBER(SEARCH(Classifiers!$C$6,E159)),1,0))+IF(Classifiers!$D$6="",0,IF(ISNUMBER(SEARCH(Classifiers!$D$6,E159)),1,0))+IF(Classifiers!$E$6="",0,IF(ISNUMBER(SEARCH(Classifiers!$E$6,E159)),1,0))+IF(Classifiers!$F$6="",0,IF(ISNUMBER(SEARCH(Classifiers!$F$6,E159)),1,0))+IF(Classifiers!$G$6="",0,IF(ISNUMBER(SEARCH(Classifiers!$G$6,E159)),1,0)))&gt;0,1,0))</f>
        <v/>
      </c>
      <c r="L159" s="12">
        <f>IF(H159&lt;&gt;1,0,IF((IF(Classifiers!$B$7="",0,IF(ISNUMBER(SEARCH(Classifiers!$B$7,E159)),1,0))+IF(Classifiers!$C$7="",0,IF(ISNUMBER(SEARCH(Classifiers!$C$7,E159)),1,0))+IF(Classifiers!$D$7="",0,IF(ISNUMBER(SEARCH(Classifiers!$D$7,E159)),1,0))+IF(Classifiers!$E$7="",0,IF(ISNUMBER(SEARCH(Classifiers!$E$7,E159)),1,0))+IF(Classifiers!$F$7="",0,IF(ISNUMBER(SEARCH(Classifiers!$F$7,E159)),1,0))+IF(Classifiers!$G$7="",0,IF(ISNUMBER(SEARCH(Classifiers!$G$7,E159)),1,0)))&gt;0,1,0))</f>
        <v/>
      </c>
      <c r="M159" s="12">
        <f>IF(H159&lt;&gt;1,0,IF((IF(Classifiers!$B$8="",0,IF(ISNUMBER(SEARCH(Classifiers!$B$8,E159)),1,0))+IF(Classifiers!$C$8="",0,IF(ISNUMBER(SEARCH(Classifiers!$C$8,E159)),1,0))+IF(Classifiers!$D$8="",0,IF(ISNUMBER(SEARCH(Classifiers!$D$8,E159)),1,0))+IF(Classifiers!$E$8="",0,IF(ISNUMBER(SEARCH(Classifiers!$E$8,E159)),1,0))+IF(Classifiers!$F$8="",0,IF(ISNUMBER(SEARCH(Classifiers!$F$8,E159)),1,0))+IF(Classifiers!$G$8="",0,IF(ISNUMBER(SEARCH(Classifiers!$G$8,E159)),1,0)))&gt;0,1,0))</f>
        <v/>
      </c>
      <c r="N159" s="12">
        <f>IF(H159&lt;&gt;1,0,IF((IF(Classifiers!$B$9="",0,IF(ISNUMBER(SEARCH(Classifiers!$B$9,E159)),1,0))+IF(Classifiers!$C$9="",0,IF(ISNUMBER(SEARCH(Classifiers!$C$9,E159)),1,0))+IF(Classifiers!$D$9="",0,IF(ISNUMBER(SEARCH(Classifiers!$D$9,E159)),1,0))+IF(Classifiers!$E$9="",0,IF(ISNUMBER(SEARCH(Classifiers!$E$9,E159)),1,0))+IF(Classifiers!$F$9="",0,IF(ISNUMBER(SEARCH(Classifiers!$F$9,E159)),1,0))+IF(Classifiers!$G$9="",0,IF(ISNUMBER(SEARCH(Classifiers!$G$9,E159)),1,0)))&gt;0,1,0))</f>
        <v/>
      </c>
      <c r="O159" s="12">
        <f>IF(H159&lt;&gt;1,0,IF((IF(Classifiers!$B$10="",0,IF(ISNUMBER(SEARCH(Classifiers!$B$10,E159)),1,0))+IF(Classifiers!$C$10="",0,IF(ISNUMBER(SEARCH(Classifiers!$C$10,E159)),1,0))+IF(Classifiers!$D$10="",0,IF(ISNUMBER(SEARCH(Classifiers!$D$10,E159)),1,0))+IF(Classifiers!$E$10="",0,IF(ISNUMBER(SEARCH(Classifiers!$E$10,E159)),1,0))+IF(Classifiers!$F$10="",0,IF(ISNUMBER(SEARCH(Classifiers!$F$10,E159)),1,0))+IF(Classifiers!$G$10="",0,IF(ISNUMBER(SEARCH(Classifiers!$G$10,E159)),1,0)))&gt;0,1,0))</f>
        <v/>
      </c>
      <c r="P159" s="12">
        <f>IF(H159&lt;&gt;1,0,IF((IF(Classifiers!$B$11="",0,IF(ISNUMBER(SEARCH(Classifiers!$B$11,E159)),1,0))+IF(Classifiers!$C$11="",0,IF(ISNUMBER(SEARCH(Classifiers!$C$11,E159)),1,0))+IF(Classifiers!$D$11="",0,IF(ISNUMBER(SEARCH(Classifiers!$D$11,E159)),1,0))+IF(Classifiers!$E$11="",0,IF(ISNUMBER(SEARCH(Classifiers!$E$11,E159)),1,0))+IF(Classifiers!$F$11="",0,IF(ISNUMBER(SEARCH(Classifiers!$F$11,E159)),1,0))+IF(Classifiers!$G$11="",0,IF(ISNUMBER(SEARCH(Classifiers!$G$11,E159)),1,0)))&gt;0,1,0))</f>
        <v/>
      </c>
      <c r="Q159" s="12">
        <f>IF(H159&lt;&gt;1,0,IF((IF(Classifiers!$B$12="",0,IF(ISNUMBER(SEARCH(Classifiers!$B$12,E159)),1,0))+IF(Classifiers!$C$12="",0,IF(ISNUMBER(SEARCH(Classifiers!$C$12,E159)),1,0))+IF(Classifiers!$D$12="",0,IF(ISNUMBER(SEARCH(Classifiers!$D$12,E159)),1,0))+IF(Classifiers!$E$12="",0,IF(ISNUMBER(SEARCH(Classifiers!$E$12,E159)),1,0))+IF(Classifiers!$F$12="",0,IF(ISNUMBER(SEARCH(Classifiers!$F$12,E159)),1,0))+IF(Classifiers!$G$12="",0,IF(ISNUMBER(SEARCH(Classifiers!$G$12,E159)),1,0)))&gt;0,1,0))</f>
        <v/>
      </c>
      <c r="R159" s="12">
        <f>IF(H159&lt;&gt;1,0,IF((IF(Classifiers!$B$13="",0,IF(ISNUMBER(SEARCH(Classifiers!$B$13,E159)),1,0))+IF(Classifiers!$C$13="",0,IF(ISNUMBER(SEARCH(Classifiers!$C$13,E159)),1,0))+IF(Classifiers!$D$13="",0,IF(ISNUMBER(SEARCH(Classifiers!$D$13,E159)),1,0))+IF(Classifiers!$E$13="",0,IF(ISNUMBER(SEARCH(Classifiers!$E$13,E159)),1,0))+IF(Classifiers!$F$13="",0,IF(ISNUMBER(SEARCH(Classifiers!$F$13,E159)),1,0))+IF(Classifiers!$G$13="",0,IF(ISNUMBER(SEARCH(Classifiers!$G$13,E159)),1,0)))&gt;0,1,0))</f>
        <v/>
      </c>
      <c r="S159" s="12">
        <f>IF(H159&lt;&gt;1,0,IF((IF(Classifiers!$B$14="",0,IF(ISNUMBER(SEARCH(Classifiers!$B$14,E159)),1,0))+IF(Classifiers!$C$14="",0,IF(ISNUMBER(SEARCH(Classifiers!$C$14,E159)),1,0))+IF(Classifiers!$D$14="",0,IF(ISNUMBER(SEARCH(Classifiers!$D$14,E159)),1,0))+IF(Classifiers!$E$14="",0,IF(ISNUMBER(SEARCH(Classifiers!$E$14,E159)),1,0))+IF(Classifiers!$F$14="",0,IF(ISNUMBER(SEARCH(Classifiers!$F$14,E159)),1,0))+IF(Classifiers!$G$14="",0,IF(ISNUMBER(SEARCH(Classifiers!$G$14,E159)),1,0)))&gt;0,1,0))</f>
        <v/>
      </c>
      <c r="T159" s="12">
        <f>IF(H159&lt;&gt;1,0,IF((IF(Classifiers!$B$15="",0,IF(ISNUMBER(SEARCH(Classifiers!$B$15,E159)),1,0))+IF(Classifiers!$C$15="",0,IF(ISNUMBER(SEARCH(Classifiers!$C$15,E159)),1,0))+IF(Classifiers!$D$15="",0,IF(ISNUMBER(SEARCH(Classifiers!$D$15,E159)),1,0))+IF(Classifiers!$E$15="",0,IF(ISNUMBER(SEARCH(Classifiers!$E$15,E159)),1,0))+IF(Classifiers!$F$15="",0,IF(ISNUMBER(SEARCH(Classifiers!$F$15,E159)),1,0))+IF(Classifiers!$G$15="",0,IF(ISNUMBER(SEARCH(Classifiers!$G$15,E159)),1,0)))&gt;0,1,0))</f>
        <v/>
      </c>
      <c r="U159" s="12">
        <f>IF(H159&lt;&gt;1,0,IF((IF(Classifiers!$B$16="",0,IF(ISNUMBER(SEARCH(Classifiers!$B$16,E159)),1,0))+IF(Classifiers!$C$16="",0,IF(ISNUMBER(SEARCH(Classifiers!$C$16,E159)),1,0))+IF(Classifiers!$D$16="",0,IF(ISNUMBER(SEARCH(Classifiers!$D$16,E159)),1,0))+IF(Classifiers!$E$16="",0,IF(ISNUMBER(SEARCH(Classifiers!$E$16,E159)),1,0))+IF(Classifiers!$F$16="",0,IF(ISNUMBER(SEARCH(Classifiers!$F$16,E159)),1,0))+IF(Classifiers!$G$16="",0,IF(ISNUMBER(SEARCH(Classifiers!$G$16,E159)),1,0)))&gt;0,1,0))</f>
        <v/>
      </c>
      <c r="V159" s="12">
        <f>IF(H159&lt;&gt;1,0,IF((IF(Classifiers!$B$17="",0,IF(ISNUMBER(SEARCH(Classifiers!$B$17,E159)),1,0))+IF(Classifiers!$C$17="",0,IF(ISNUMBER(SEARCH(Classifiers!$C$17,E159)),1,0))+IF(Classifiers!$D$17="",0,IF(ISNUMBER(SEARCH(Classifiers!$D$17,E159)),1,0))+IF(Classifiers!$E$17="",0,IF(ISNUMBER(SEARCH(Classifiers!$E$17,E159)),1,0))+IF(Classifiers!$F$17="",0,IF(ISNUMBER(SEARCH(Classifiers!$F$17,E159)),1,0))+IF(Classifiers!$G$17="",0,IF(ISNUMBER(SEARCH(Classifiers!$G$17,E159)),1,0)))&gt;0,1,0))</f>
        <v/>
      </c>
      <c r="W159" s="12">
        <f>IF(H159&lt;&gt;1,0,IF((IF(Classifiers!$B$18="",0,IF(ISNUMBER(SEARCH(Classifiers!$B$18,E159)),1,0))+IF(Classifiers!$C$18="",0,IF(ISNUMBER(SEARCH(Classifiers!$C$18,E159)),1,0))+IF(Classifiers!$D$18="",0,IF(ISNUMBER(SEARCH(Classifiers!$D$18,E159)),1,0))+IF(Classifiers!$E$18="",0,IF(ISNUMBER(SEARCH(Classifiers!$E$18,E159)),1,0))+IF(Classifiers!$F$18="",0,IF(ISNUMBER(SEARCH(Classifiers!$F$18,E159)),1,0))+IF(Classifiers!$G$18="",0,IF(ISNUMBER(SEARCH(Classifiers!$G$18,E159)),1,0)))&gt;0,1,0))</f>
        <v/>
      </c>
    </row>
    <row r="160">
      <c r="A160" s="8" t="n"/>
      <c r="B160" s="11" t="n"/>
      <c r="C160" s="6">
        <f>IF(A160="","",TRIM(RIGHT(SUBSTITUTE(A160,"/",REPT(" ",250)),250)))</f>
        <v/>
      </c>
      <c r="D160" s="6">
        <f>IF(C160="","",IF(ISNUMBER(SEARCH(".",C160)),LOWER("."&amp;TRIM(RIGHT(SUBSTITUTE(C160,".",REPT(" ",250)),250))),""))</f>
        <v/>
      </c>
      <c r="E160" s="6">
        <f>IF(C160="","",TRIM(SUBSTITUTE(SUBSTITUTE(SUBSTITUTE(SUBSTITUTE(SUBSTITUTE(SUBSTITUTE(SUBSTITUTE(SUBSTITUTE(SUBSTITUTE(SUBSTITUTE(SUBSTITUTE(SUBSTITUTE(SUBSTITUTE(SUBSTITUTE(SUBSTITUTE(SUBSTITUTE(SUBSTITUTE(SUBSTITUTE(SUBSTITUTE(SUBSTITUTE(LOWER(LEFT(C160,LEN(C160)-LEN(D160))),"_"," "),"-"," "),"."," "),","," "),"("," "),")"," "),"["," "),"]"," "),"&amp;"," "),"+"," "),"@"," "),"#"," "),"!"," "),"'"," "),"/"," "),":"," "),";"," "),"="," "),"~"," "),"%"," ")))</f>
        <v/>
      </c>
      <c r="F160" s="6">
        <f>IF(C160="","",IF(COUNTIF(Classifiers!$A$23:$A$40,D160)&gt;0,1,0))</f>
        <v/>
      </c>
      <c r="G160" s="6">
        <f>IF(C160="","",IF(COUNTIF(Classifiers!$C$23:$C$30,D160)&gt;0,IF((IF(ISNUMBER(SEARCH(Classifiers!$E$23,E160)),1,0)+IF(ISNUMBER(SEARCH(Classifiers!$E$24,E160)),1,0)+IF(ISNUMBER(SEARCH(Classifiers!$E$25,E160)),1,0)+IF(ISNUMBER(SEARCH(Classifiers!$E$26,E160)),1,0)+IF(ISNUMBER(SEARCH(Classifiers!$E$27,E160)),1,0)+IF(ISNUMBER(SEARCH(Classifiers!$E$28,E160)),1,0)+IF(ISNUMBER(SEARCH(Classifiers!$E$29,E160)),1,0)+IF(ISNUMBER(SEARCH(Classifiers!$E$30,E160)),1,0))&gt;0,1,0),0))</f>
        <v/>
      </c>
      <c r="H160" s="6">
        <f>IF(C160="","",IF(OR(LEFT(C160,1)=".",AND(F160=0,G160=0)),0,1))</f>
        <v/>
      </c>
      <c r="I160" s="6">
        <f>IF(H160&lt;&gt;1,"",IF(SUM(J160:W160)=0,"unclassified",INDEX(Classifiers!$A$5:$A$18,MATCH(1,J160:W160,0),1)))</f>
        <v/>
      </c>
      <c r="J160" s="12">
        <f>IF(H160&lt;&gt;1,0,IF((IF(Classifiers!$B$5="",0,IF(ISNUMBER(SEARCH(Classifiers!$B$5,E160)),1,0))+IF(Classifiers!$C$5="",0,IF(ISNUMBER(SEARCH(Classifiers!$C$5,E160)),1,0))+IF(Classifiers!$D$5="",0,IF(ISNUMBER(SEARCH(Classifiers!$D$5,E160)),1,0))+IF(Classifiers!$E$5="",0,IF(ISNUMBER(SEARCH(Classifiers!$E$5,E160)),1,0))+IF(Classifiers!$F$5="",0,IF(ISNUMBER(SEARCH(Classifiers!$F$5,E160)),1,0))+IF(Classifiers!$G$5="",0,IF(ISNUMBER(SEARCH(Classifiers!$G$5,E160)),1,0)))&gt;0,1,0))</f>
        <v/>
      </c>
      <c r="K160" s="12">
        <f>IF(H160&lt;&gt;1,0,IF((IF(Classifiers!$B$6="",0,IF(ISNUMBER(SEARCH(Classifiers!$B$6,E160)),1,0))+IF(Classifiers!$C$6="",0,IF(ISNUMBER(SEARCH(Classifiers!$C$6,E160)),1,0))+IF(Classifiers!$D$6="",0,IF(ISNUMBER(SEARCH(Classifiers!$D$6,E160)),1,0))+IF(Classifiers!$E$6="",0,IF(ISNUMBER(SEARCH(Classifiers!$E$6,E160)),1,0))+IF(Classifiers!$F$6="",0,IF(ISNUMBER(SEARCH(Classifiers!$F$6,E160)),1,0))+IF(Classifiers!$G$6="",0,IF(ISNUMBER(SEARCH(Classifiers!$G$6,E160)),1,0)))&gt;0,1,0))</f>
        <v/>
      </c>
      <c r="L160" s="12">
        <f>IF(H160&lt;&gt;1,0,IF((IF(Classifiers!$B$7="",0,IF(ISNUMBER(SEARCH(Classifiers!$B$7,E160)),1,0))+IF(Classifiers!$C$7="",0,IF(ISNUMBER(SEARCH(Classifiers!$C$7,E160)),1,0))+IF(Classifiers!$D$7="",0,IF(ISNUMBER(SEARCH(Classifiers!$D$7,E160)),1,0))+IF(Classifiers!$E$7="",0,IF(ISNUMBER(SEARCH(Classifiers!$E$7,E160)),1,0))+IF(Classifiers!$F$7="",0,IF(ISNUMBER(SEARCH(Classifiers!$F$7,E160)),1,0))+IF(Classifiers!$G$7="",0,IF(ISNUMBER(SEARCH(Classifiers!$G$7,E160)),1,0)))&gt;0,1,0))</f>
        <v/>
      </c>
      <c r="M160" s="12">
        <f>IF(H160&lt;&gt;1,0,IF((IF(Classifiers!$B$8="",0,IF(ISNUMBER(SEARCH(Classifiers!$B$8,E160)),1,0))+IF(Classifiers!$C$8="",0,IF(ISNUMBER(SEARCH(Classifiers!$C$8,E160)),1,0))+IF(Classifiers!$D$8="",0,IF(ISNUMBER(SEARCH(Classifiers!$D$8,E160)),1,0))+IF(Classifiers!$E$8="",0,IF(ISNUMBER(SEARCH(Classifiers!$E$8,E160)),1,0))+IF(Classifiers!$F$8="",0,IF(ISNUMBER(SEARCH(Classifiers!$F$8,E160)),1,0))+IF(Classifiers!$G$8="",0,IF(ISNUMBER(SEARCH(Classifiers!$G$8,E160)),1,0)))&gt;0,1,0))</f>
        <v/>
      </c>
      <c r="N160" s="12">
        <f>IF(H160&lt;&gt;1,0,IF((IF(Classifiers!$B$9="",0,IF(ISNUMBER(SEARCH(Classifiers!$B$9,E160)),1,0))+IF(Classifiers!$C$9="",0,IF(ISNUMBER(SEARCH(Classifiers!$C$9,E160)),1,0))+IF(Classifiers!$D$9="",0,IF(ISNUMBER(SEARCH(Classifiers!$D$9,E160)),1,0))+IF(Classifiers!$E$9="",0,IF(ISNUMBER(SEARCH(Classifiers!$E$9,E160)),1,0))+IF(Classifiers!$F$9="",0,IF(ISNUMBER(SEARCH(Classifiers!$F$9,E160)),1,0))+IF(Classifiers!$G$9="",0,IF(ISNUMBER(SEARCH(Classifiers!$G$9,E160)),1,0)))&gt;0,1,0))</f>
        <v/>
      </c>
      <c r="O160" s="12">
        <f>IF(H160&lt;&gt;1,0,IF((IF(Classifiers!$B$10="",0,IF(ISNUMBER(SEARCH(Classifiers!$B$10,E160)),1,0))+IF(Classifiers!$C$10="",0,IF(ISNUMBER(SEARCH(Classifiers!$C$10,E160)),1,0))+IF(Classifiers!$D$10="",0,IF(ISNUMBER(SEARCH(Classifiers!$D$10,E160)),1,0))+IF(Classifiers!$E$10="",0,IF(ISNUMBER(SEARCH(Classifiers!$E$10,E160)),1,0))+IF(Classifiers!$F$10="",0,IF(ISNUMBER(SEARCH(Classifiers!$F$10,E160)),1,0))+IF(Classifiers!$G$10="",0,IF(ISNUMBER(SEARCH(Classifiers!$G$10,E160)),1,0)))&gt;0,1,0))</f>
        <v/>
      </c>
      <c r="P160" s="12">
        <f>IF(H160&lt;&gt;1,0,IF((IF(Classifiers!$B$11="",0,IF(ISNUMBER(SEARCH(Classifiers!$B$11,E160)),1,0))+IF(Classifiers!$C$11="",0,IF(ISNUMBER(SEARCH(Classifiers!$C$11,E160)),1,0))+IF(Classifiers!$D$11="",0,IF(ISNUMBER(SEARCH(Classifiers!$D$11,E160)),1,0))+IF(Classifiers!$E$11="",0,IF(ISNUMBER(SEARCH(Classifiers!$E$11,E160)),1,0))+IF(Classifiers!$F$11="",0,IF(ISNUMBER(SEARCH(Classifiers!$F$11,E160)),1,0))+IF(Classifiers!$G$11="",0,IF(ISNUMBER(SEARCH(Classifiers!$G$11,E160)),1,0)))&gt;0,1,0))</f>
        <v/>
      </c>
      <c r="Q160" s="12">
        <f>IF(H160&lt;&gt;1,0,IF((IF(Classifiers!$B$12="",0,IF(ISNUMBER(SEARCH(Classifiers!$B$12,E160)),1,0))+IF(Classifiers!$C$12="",0,IF(ISNUMBER(SEARCH(Classifiers!$C$12,E160)),1,0))+IF(Classifiers!$D$12="",0,IF(ISNUMBER(SEARCH(Classifiers!$D$12,E160)),1,0))+IF(Classifiers!$E$12="",0,IF(ISNUMBER(SEARCH(Classifiers!$E$12,E160)),1,0))+IF(Classifiers!$F$12="",0,IF(ISNUMBER(SEARCH(Classifiers!$F$12,E160)),1,0))+IF(Classifiers!$G$12="",0,IF(ISNUMBER(SEARCH(Classifiers!$G$12,E160)),1,0)))&gt;0,1,0))</f>
        <v/>
      </c>
      <c r="R160" s="12">
        <f>IF(H160&lt;&gt;1,0,IF((IF(Classifiers!$B$13="",0,IF(ISNUMBER(SEARCH(Classifiers!$B$13,E160)),1,0))+IF(Classifiers!$C$13="",0,IF(ISNUMBER(SEARCH(Classifiers!$C$13,E160)),1,0))+IF(Classifiers!$D$13="",0,IF(ISNUMBER(SEARCH(Classifiers!$D$13,E160)),1,0))+IF(Classifiers!$E$13="",0,IF(ISNUMBER(SEARCH(Classifiers!$E$13,E160)),1,0))+IF(Classifiers!$F$13="",0,IF(ISNUMBER(SEARCH(Classifiers!$F$13,E160)),1,0))+IF(Classifiers!$G$13="",0,IF(ISNUMBER(SEARCH(Classifiers!$G$13,E160)),1,0)))&gt;0,1,0))</f>
        <v/>
      </c>
      <c r="S160" s="12">
        <f>IF(H160&lt;&gt;1,0,IF((IF(Classifiers!$B$14="",0,IF(ISNUMBER(SEARCH(Classifiers!$B$14,E160)),1,0))+IF(Classifiers!$C$14="",0,IF(ISNUMBER(SEARCH(Classifiers!$C$14,E160)),1,0))+IF(Classifiers!$D$14="",0,IF(ISNUMBER(SEARCH(Classifiers!$D$14,E160)),1,0))+IF(Classifiers!$E$14="",0,IF(ISNUMBER(SEARCH(Classifiers!$E$14,E160)),1,0))+IF(Classifiers!$F$14="",0,IF(ISNUMBER(SEARCH(Classifiers!$F$14,E160)),1,0))+IF(Classifiers!$G$14="",0,IF(ISNUMBER(SEARCH(Classifiers!$G$14,E160)),1,0)))&gt;0,1,0))</f>
        <v/>
      </c>
      <c r="T160" s="12">
        <f>IF(H160&lt;&gt;1,0,IF((IF(Classifiers!$B$15="",0,IF(ISNUMBER(SEARCH(Classifiers!$B$15,E160)),1,0))+IF(Classifiers!$C$15="",0,IF(ISNUMBER(SEARCH(Classifiers!$C$15,E160)),1,0))+IF(Classifiers!$D$15="",0,IF(ISNUMBER(SEARCH(Classifiers!$D$15,E160)),1,0))+IF(Classifiers!$E$15="",0,IF(ISNUMBER(SEARCH(Classifiers!$E$15,E160)),1,0))+IF(Classifiers!$F$15="",0,IF(ISNUMBER(SEARCH(Classifiers!$F$15,E160)),1,0))+IF(Classifiers!$G$15="",0,IF(ISNUMBER(SEARCH(Classifiers!$G$15,E160)),1,0)))&gt;0,1,0))</f>
        <v/>
      </c>
      <c r="U160" s="12">
        <f>IF(H160&lt;&gt;1,0,IF((IF(Classifiers!$B$16="",0,IF(ISNUMBER(SEARCH(Classifiers!$B$16,E160)),1,0))+IF(Classifiers!$C$16="",0,IF(ISNUMBER(SEARCH(Classifiers!$C$16,E160)),1,0))+IF(Classifiers!$D$16="",0,IF(ISNUMBER(SEARCH(Classifiers!$D$16,E160)),1,0))+IF(Classifiers!$E$16="",0,IF(ISNUMBER(SEARCH(Classifiers!$E$16,E160)),1,0))+IF(Classifiers!$F$16="",0,IF(ISNUMBER(SEARCH(Classifiers!$F$16,E160)),1,0))+IF(Classifiers!$G$16="",0,IF(ISNUMBER(SEARCH(Classifiers!$G$16,E160)),1,0)))&gt;0,1,0))</f>
        <v/>
      </c>
      <c r="V160" s="12">
        <f>IF(H160&lt;&gt;1,0,IF((IF(Classifiers!$B$17="",0,IF(ISNUMBER(SEARCH(Classifiers!$B$17,E160)),1,0))+IF(Classifiers!$C$17="",0,IF(ISNUMBER(SEARCH(Classifiers!$C$17,E160)),1,0))+IF(Classifiers!$D$17="",0,IF(ISNUMBER(SEARCH(Classifiers!$D$17,E160)),1,0))+IF(Classifiers!$E$17="",0,IF(ISNUMBER(SEARCH(Classifiers!$E$17,E160)),1,0))+IF(Classifiers!$F$17="",0,IF(ISNUMBER(SEARCH(Classifiers!$F$17,E160)),1,0))+IF(Classifiers!$G$17="",0,IF(ISNUMBER(SEARCH(Classifiers!$G$17,E160)),1,0)))&gt;0,1,0))</f>
        <v/>
      </c>
      <c r="W160" s="12">
        <f>IF(H160&lt;&gt;1,0,IF((IF(Classifiers!$B$18="",0,IF(ISNUMBER(SEARCH(Classifiers!$B$18,E160)),1,0))+IF(Classifiers!$C$18="",0,IF(ISNUMBER(SEARCH(Classifiers!$C$18,E160)),1,0))+IF(Classifiers!$D$18="",0,IF(ISNUMBER(SEARCH(Classifiers!$D$18,E160)),1,0))+IF(Classifiers!$E$18="",0,IF(ISNUMBER(SEARCH(Classifiers!$E$18,E160)),1,0))+IF(Classifiers!$F$18="",0,IF(ISNUMBER(SEARCH(Classifiers!$F$18,E160)),1,0))+IF(Classifiers!$G$18="",0,IF(ISNUMBER(SEARCH(Classifiers!$G$18,E160)),1,0)))&gt;0,1,0))</f>
        <v/>
      </c>
    </row>
    <row r="161">
      <c r="A161" s="8" t="n"/>
      <c r="B161" s="11" t="n"/>
      <c r="C161" s="6">
        <f>IF(A161="","",TRIM(RIGHT(SUBSTITUTE(A161,"/",REPT(" ",250)),250)))</f>
        <v/>
      </c>
      <c r="D161" s="6">
        <f>IF(C161="","",IF(ISNUMBER(SEARCH(".",C161)),LOWER("."&amp;TRIM(RIGHT(SUBSTITUTE(C161,".",REPT(" ",250)),250))),""))</f>
        <v/>
      </c>
      <c r="E161" s="6">
        <f>IF(C161="","",TRIM(SUBSTITUTE(SUBSTITUTE(SUBSTITUTE(SUBSTITUTE(SUBSTITUTE(SUBSTITUTE(SUBSTITUTE(SUBSTITUTE(SUBSTITUTE(SUBSTITUTE(SUBSTITUTE(SUBSTITUTE(SUBSTITUTE(SUBSTITUTE(SUBSTITUTE(SUBSTITUTE(SUBSTITUTE(SUBSTITUTE(SUBSTITUTE(SUBSTITUTE(LOWER(LEFT(C161,LEN(C161)-LEN(D161))),"_"," "),"-"," "),"."," "),","," "),"("," "),")"," "),"["," "),"]"," "),"&amp;"," "),"+"," "),"@"," "),"#"," "),"!"," "),"'"," "),"/"," "),":"," "),";"," "),"="," "),"~"," "),"%"," ")))</f>
        <v/>
      </c>
      <c r="F161" s="6">
        <f>IF(C161="","",IF(COUNTIF(Classifiers!$A$23:$A$40,D161)&gt;0,1,0))</f>
        <v/>
      </c>
      <c r="G161" s="6">
        <f>IF(C161="","",IF(COUNTIF(Classifiers!$C$23:$C$30,D161)&gt;0,IF((IF(ISNUMBER(SEARCH(Classifiers!$E$23,E161)),1,0)+IF(ISNUMBER(SEARCH(Classifiers!$E$24,E161)),1,0)+IF(ISNUMBER(SEARCH(Classifiers!$E$25,E161)),1,0)+IF(ISNUMBER(SEARCH(Classifiers!$E$26,E161)),1,0)+IF(ISNUMBER(SEARCH(Classifiers!$E$27,E161)),1,0)+IF(ISNUMBER(SEARCH(Classifiers!$E$28,E161)),1,0)+IF(ISNUMBER(SEARCH(Classifiers!$E$29,E161)),1,0)+IF(ISNUMBER(SEARCH(Classifiers!$E$30,E161)),1,0))&gt;0,1,0),0))</f>
        <v/>
      </c>
      <c r="H161" s="6">
        <f>IF(C161="","",IF(OR(LEFT(C161,1)=".",AND(F161=0,G161=0)),0,1))</f>
        <v/>
      </c>
      <c r="I161" s="6">
        <f>IF(H161&lt;&gt;1,"",IF(SUM(J161:W161)=0,"unclassified",INDEX(Classifiers!$A$5:$A$18,MATCH(1,J161:W161,0),1)))</f>
        <v/>
      </c>
      <c r="J161" s="12">
        <f>IF(H161&lt;&gt;1,0,IF((IF(Classifiers!$B$5="",0,IF(ISNUMBER(SEARCH(Classifiers!$B$5,E161)),1,0))+IF(Classifiers!$C$5="",0,IF(ISNUMBER(SEARCH(Classifiers!$C$5,E161)),1,0))+IF(Classifiers!$D$5="",0,IF(ISNUMBER(SEARCH(Classifiers!$D$5,E161)),1,0))+IF(Classifiers!$E$5="",0,IF(ISNUMBER(SEARCH(Classifiers!$E$5,E161)),1,0))+IF(Classifiers!$F$5="",0,IF(ISNUMBER(SEARCH(Classifiers!$F$5,E161)),1,0))+IF(Classifiers!$G$5="",0,IF(ISNUMBER(SEARCH(Classifiers!$G$5,E161)),1,0)))&gt;0,1,0))</f>
        <v/>
      </c>
      <c r="K161" s="12">
        <f>IF(H161&lt;&gt;1,0,IF((IF(Classifiers!$B$6="",0,IF(ISNUMBER(SEARCH(Classifiers!$B$6,E161)),1,0))+IF(Classifiers!$C$6="",0,IF(ISNUMBER(SEARCH(Classifiers!$C$6,E161)),1,0))+IF(Classifiers!$D$6="",0,IF(ISNUMBER(SEARCH(Classifiers!$D$6,E161)),1,0))+IF(Classifiers!$E$6="",0,IF(ISNUMBER(SEARCH(Classifiers!$E$6,E161)),1,0))+IF(Classifiers!$F$6="",0,IF(ISNUMBER(SEARCH(Classifiers!$F$6,E161)),1,0))+IF(Classifiers!$G$6="",0,IF(ISNUMBER(SEARCH(Classifiers!$G$6,E161)),1,0)))&gt;0,1,0))</f>
        <v/>
      </c>
      <c r="L161" s="12">
        <f>IF(H161&lt;&gt;1,0,IF((IF(Classifiers!$B$7="",0,IF(ISNUMBER(SEARCH(Classifiers!$B$7,E161)),1,0))+IF(Classifiers!$C$7="",0,IF(ISNUMBER(SEARCH(Classifiers!$C$7,E161)),1,0))+IF(Classifiers!$D$7="",0,IF(ISNUMBER(SEARCH(Classifiers!$D$7,E161)),1,0))+IF(Classifiers!$E$7="",0,IF(ISNUMBER(SEARCH(Classifiers!$E$7,E161)),1,0))+IF(Classifiers!$F$7="",0,IF(ISNUMBER(SEARCH(Classifiers!$F$7,E161)),1,0))+IF(Classifiers!$G$7="",0,IF(ISNUMBER(SEARCH(Classifiers!$G$7,E161)),1,0)))&gt;0,1,0))</f>
        <v/>
      </c>
      <c r="M161" s="12">
        <f>IF(H161&lt;&gt;1,0,IF((IF(Classifiers!$B$8="",0,IF(ISNUMBER(SEARCH(Classifiers!$B$8,E161)),1,0))+IF(Classifiers!$C$8="",0,IF(ISNUMBER(SEARCH(Classifiers!$C$8,E161)),1,0))+IF(Classifiers!$D$8="",0,IF(ISNUMBER(SEARCH(Classifiers!$D$8,E161)),1,0))+IF(Classifiers!$E$8="",0,IF(ISNUMBER(SEARCH(Classifiers!$E$8,E161)),1,0))+IF(Classifiers!$F$8="",0,IF(ISNUMBER(SEARCH(Classifiers!$F$8,E161)),1,0))+IF(Classifiers!$G$8="",0,IF(ISNUMBER(SEARCH(Classifiers!$G$8,E161)),1,0)))&gt;0,1,0))</f>
        <v/>
      </c>
      <c r="N161" s="12">
        <f>IF(H161&lt;&gt;1,0,IF((IF(Classifiers!$B$9="",0,IF(ISNUMBER(SEARCH(Classifiers!$B$9,E161)),1,0))+IF(Classifiers!$C$9="",0,IF(ISNUMBER(SEARCH(Classifiers!$C$9,E161)),1,0))+IF(Classifiers!$D$9="",0,IF(ISNUMBER(SEARCH(Classifiers!$D$9,E161)),1,0))+IF(Classifiers!$E$9="",0,IF(ISNUMBER(SEARCH(Classifiers!$E$9,E161)),1,0))+IF(Classifiers!$F$9="",0,IF(ISNUMBER(SEARCH(Classifiers!$F$9,E161)),1,0))+IF(Classifiers!$G$9="",0,IF(ISNUMBER(SEARCH(Classifiers!$G$9,E161)),1,0)))&gt;0,1,0))</f>
        <v/>
      </c>
      <c r="O161" s="12">
        <f>IF(H161&lt;&gt;1,0,IF((IF(Classifiers!$B$10="",0,IF(ISNUMBER(SEARCH(Classifiers!$B$10,E161)),1,0))+IF(Classifiers!$C$10="",0,IF(ISNUMBER(SEARCH(Classifiers!$C$10,E161)),1,0))+IF(Classifiers!$D$10="",0,IF(ISNUMBER(SEARCH(Classifiers!$D$10,E161)),1,0))+IF(Classifiers!$E$10="",0,IF(ISNUMBER(SEARCH(Classifiers!$E$10,E161)),1,0))+IF(Classifiers!$F$10="",0,IF(ISNUMBER(SEARCH(Classifiers!$F$10,E161)),1,0))+IF(Classifiers!$G$10="",0,IF(ISNUMBER(SEARCH(Classifiers!$G$10,E161)),1,0)))&gt;0,1,0))</f>
        <v/>
      </c>
      <c r="P161" s="12">
        <f>IF(H161&lt;&gt;1,0,IF((IF(Classifiers!$B$11="",0,IF(ISNUMBER(SEARCH(Classifiers!$B$11,E161)),1,0))+IF(Classifiers!$C$11="",0,IF(ISNUMBER(SEARCH(Classifiers!$C$11,E161)),1,0))+IF(Classifiers!$D$11="",0,IF(ISNUMBER(SEARCH(Classifiers!$D$11,E161)),1,0))+IF(Classifiers!$E$11="",0,IF(ISNUMBER(SEARCH(Classifiers!$E$11,E161)),1,0))+IF(Classifiers!$F$11="",0,IF(ISNUMBER(SEARCH(Classifiers!$F$11,E161)),1,0))+IF(Classifiers!$G$11="",0,IF(ISNUMBER(SEARCH(Classifiers!$G$11,E161)),1,0)))&gt;0,1,0))</f>
        <v/>
      </c>
      <c r="Q161" s="12">
        <f>IF(H161&lt;&gt;1,0,IF((IF(Classifiers!$B$12="",0,IF(ISNUMBER(SEARCH(Classifiers!$B$12,E161)),1,0))+IF(Classifiers!$C$12="",0,IF(ISNUMBER(SEARCH(Classifiers!$C$12,E161)),1,0))+IF(Classifiers!$D$12="",0,IF(ISNUMBER(SEARCH(Classifiers!$D$12,E161)),1,0))+IF(Classifiers!$E$12="",0,IF(ISNUMBER(SEARCH(Classifiers!$E$12,E161)),1,0))+IF(Classifiers!$F$12="",0,IF(ISNUMBER(SEARCH(Classifiers!$F$12,E161)),1,0))+IF(Classifiers!$G$12="",0,IF(ISNUMBER(SEARCH(Classifiers!$G$12,E161)),1,0)))&gt;0,1,0))</f>
        <v/>
      </c>
      <c r="R161" s="12">
        <f>IF(H161&lt;&gt;1,0,IF((IF(Classifiers!$B$13="",0,IF(ISNUMBER(SEARCH(Classifiers!$B$13,E161)),1,0))+IF(Classifiers!$C$13="",0,IF(ISNUMBER(SEARCH(Classifiers!$C$13,E161)),1,0))+IF(Classifiers!$D$13="",0,IF(ISNUMBER(SEARCH(Classifiers!$D$13,E161)),1,0))+IF(Classifiers!$E$13="",0,IF(ISNUMBER(SEARCH(Classifiers!$E$13,E161)),1,0))+IF(Classifiers!$F$13="",0,IF(ISNUMBER(SEARCH(Classifiers!$F$13,E161)),1,0))+IF(Classifiers!$G$13="",0,IF(ISNUMBER(SEARCH(Classifiers!$G$13,E161)),1,0)))&gt;0,1,0))</f>
        <v/>
      </c>
      <c r="S161" s="12">
        <f>IF(H161&lt;&gt;1,0,IF((IF(Classifiers!$B$14="",0,IF(ISNUMBER(SEARCH(Classifiers!$B$14,E161)),1,0))+IF(Classifiers!$C$14="",0,IF(ISNUMBER(SEARCH(Classifiers!$C$14,E161)),1,0))+IF(Classifiers!$D$14="",0,IF(ISNUMBER(SEARCH(Classifiers!$D$14,E161)),1,0))+IF(Classifiers!$E$14="",0,IF(ISNUMBER(SEARCH(Classifiers!$E$14,E161)),1,0))+IF(Classifiers!$F$14="",0,IF(ISNUMBER(SEARCH(Classifiers!$F$14,E161)),1,0))+IF(Classifiers!$G$14="",0,IF(ISNUMBER(SEARCH(Classifiers!$G$14,E161)),1,0)))&gt;0,1,0))</f>
        <v/>
      </c>
      <c r="T161" s="12">
        <f>IF(H161&lt;&gt;1,0,IF((IF(Classifiers!$B$15="",0,IF(ISNUMBER(SEARCH(Classifiers!$B$15,E161)),1,0))+IF(Classifiers!$C$15="",0,IF(ISNUMBER(SEARCH(Classifiers!$C$15,E161)),1,0))+IF(Classifiers!$D$15="",0,IF(ISNUMBER(SEARCH(Classifiers!$D$15,E161)),1,0))+IF(Classifiers!$E$15="",0,IF(ISNUMBER(SEARCH(Classifiers!$E$15,E161)),1,0))+IF(Classifiers!$F$15="",0,IF(ISNUMBER(SEARCH(Classifiers!$F$15,E161)),1,0))+IF(Classifiers!$G$15="",0,IF(ISNUMBER(SEARCH(Classifiers!$G$15,E161)),1,0)))&gt;0,1,0))</f>
        <v/>
      </c>
      <c r="U161" s="12">
        <f>IF(H161&lt;&gt;1,0,IF((IF(Classifiers!$B$16="",0,IF(ISNUMBER(SEARCH(Classifiers!$B$16,E161)),1,0))+IF(Classifiers!$C$16="",0,IF(ISNUMBER(SEARCH(Classifiers!$C$16,E161)),1,0))+IF(Classifiers!$D$16="",0,IF(ISNUMBER(SEARCH(Classifiers!$D$16,E161)),1,0))+IF(Classifiers!$E$16="",0,IF(ISNUMBER(SEARCH(Classifiers!$E$16,E161)),1,0))+IF(Classifiers!$F$16="",0,IF(ISNUMBER(SEARCH(Classifiers!$F$16,E161)),1,0))+IF(Classifiers!$G$16="",0,IF(ISNUMBER(SEARCH(Classifiers!$G$16,E161)),1,0)))&gt;0,1,0))</f>
        <v/>
      </c>
      <c r="V161" s="12">
        <f>IF(H161&lt;&gt;1,0,IF((IF(Classifiers!$B$17="",0,IF(ISNUMBER(SEARCH(Classifiers!$B$17,E161)),1,0))+IF(Classifiers!$C$17="",0,IF(ISNUMBER(SEARCH(Classifiers!$C$17,E161)),1,0))+IF(Classifiers!$D$17="",0,IF(ISNUMBER(SEARCH(Classifiers!$D$17,E161)),1,0))+IF(Classifiers!$E$17="",0,IF(ISNUMBER(SEARCH(Classifiers!$E$17,E161)),1,0))+IF(Classifiers!$F$17="",0,IF(ISNUMBER(SEARCH(Classifiers!$F$17,E161)),1,0))+IF(Classifiers!$G$17="",0,IF(ISNUMBER(SEARCH(Classifiers!$G$17,E161)),1,0)))&gt;0,1,0))</f>
        <v/>
      </c>
      <c r="W161" s="12">
        <f>IF(H161&lt;&gt;1,0,IF((IF(Classifiers!$B$18="",0,IF(ISNUMBER(SEARCH(Classifiers!$B$18,E161)),1,0))+IF(Classifiers!$C$18="",0,IF(ISNUMBER(SEARCH(Classifiers!$C$18,E161)),1,0))+IF(Classifiers!$D$18="",0,IF(ISNUMBER(SEARCH(Classifiers!$D$18,E161)),1,0))+IF(Classifiers!$E$18="",0,IF(ISNUMBER(SEARCH(Classifiers!$E$18,E161)),1,0))+IF(Classifiers!$F$18="",0,IF(ISNUMBER(SEARCH(Classifiers!$F$18,E161)),1,0))+IF(Classifiers!$G$18="",0,IF(ISNUMBER(SEARCH(Classifiers!$G$18,E161)),1,0)))&gt;0,1,0))</f>
        <v/>
      </c>
    </row>
    <row r="162">
      <c r="A162" s="8" t="n"/>
      <c r="B162" s="11" t="n"/>
      <c r="C162" s="6">
        <f>IF(A162="","",TRIM(RIGHT(SUBSTITUTE(A162,"/",REPT(" ",250)),250)))</f>
        <v/>
      </c>
      <c r="D162" s="6">
        <f>IF(C162="","",IF(ISNUMBER(SEARCH(".",C162)),LOWER("."&amp;TRIM(RIGHT(SUBSTITUTE(C162,".",REPT(" ",250)),250))),""))</f>
        <v/>
      </c>
      <c r="E162" s="6">
        <f>IF(C162="","",TRIM(SUBSTITUTE(SUBSTITUTE(SUBSTITUTE(SUBSTITUTE(SUBSTITUTE(SUBSTITUTE(SUBSTITUTE(SUBSTITUTE(SUBSTITUTE(SUBSTITUTE(SUBSTITUTE(SUBSTITUTE(SUBSTITUTE(SUBSTITUTE(SUBSTITUTE(SUBSTITUTE(SUBSTITUTE(SUBSTITUTE(SUBSTITUTE(SUBSTITUTE(LOWER(LEFT(C162,LEN(C162)-LEN(D162))),"_"," "),"-"," "),"."," "),","," "),"("," "),")"," "),"["," "),"]"," "),"&amp;"," "),"+"," "),"@"," "),"#"," "),"!"," "),"'"," "),"/"," "),":"," "),";"," "),"="," "),"~"," "),"%"," ")))</f>
        <v/>
      </c>
      <c r="F162" s="6">
        <f>IF(C162="","",IF(COUNTIF(Classifiers!$A$23:$A$40,D162)&gt;0,1,0))</f>
        <v/>
      </c>
      <c r="G162" s="6">
        <f>IF(C162="","",IF(COUNTIF(Classifiers!$C$23:$C$30,D162)&gt;0,IF((IF(ISNUMBER(SEARCH(Classifiers!$E$23,E162)),1,0)+IF(ISNUMBER(SEARCH(Classifiers!$E$24,E162)),1,0)+IF(ISNUMBER(SEARCH(Classifiers!$E$25,E162)),1,0)+IF(ISNUMBER(SEARCH(Classifiers!$E$26,E162)),1,0)+IF(ISNUMBER(SEARCH(Classifiers!$E$27,E162)),1,0)+IF(ISNUMBER(SEARCH(Classifiers!$E$28,E162)),1,0)+IF(ISNUMBER(SEARCH(Classifiers!$E$29,E162)),1,0)+IF(ISNUMBER(SEARCH(Classifiers!$E$30,E162)),1,0))&gt;0,1,0),0))</f>
        <v/>
      </c>
      <c r="H162" s="6">
        <f>IF(C162="","",IF(OR(LEFT(C162,1)=".",AND(F162=0,G162=0)),0,1))</f>
        <v/>
      </c>
      <c r="I162" s="6">
        <f>IF(H162&lt;&gt;1,"",IF(SUM(J162:W162)=0,"unclassified",INDEX(Classifiers!$A$5:$A$18,MATCH(1,J162:W162,0),1)))</f>
        <v/>
      </c>
      <c r="J162" s="12">
        <f>IF(H162&lt;&gt;1,0,IF((IF(Classifiers!$B$5="",0,IF(ISNUMBER(SEARCH(Classifiers!$B$5,E162)),1,0))+IF(Classifiers!$C$5="",0,IF(ISNUMBER(SEARCH(Classifiers!$C$5,E162)),1,0))+IF(Classifiers!$D$5="",0,IF(ISNUMBER(SEARCH(Classifiers!$D$5,E162)),1,0))+IF(Classifiers!$E$5="",0,IF(ISNUMBER(SEARCH(Classifiers!$E$5,E162)),1,0))+IF(Classifiers!$F$5="",0,IF(ISNUMBER(SEARCH(Classifiers!$F$5,E162)),1,0))+IF(Classifiers!$G$5="",0,IF(ISNUMBER(SEARCH(Classifiers!$G$5,E162)),1,0)))&gt;0,1,0))</f>
        <v/>
      </c>
      <c r="K162" s="12">
        <f>IF(H162&lt;&gt;1,0,IF((IF(Classifiers!$B$6="",0,IF(ISNUMBER(SEARCH(Classifiers!$B$6,E162)),1,0))+IF(Classifiers!$C$6="",0,IF(ISNUMBER(SEARCH(Classifiers!$C$6,E162)),1,0))+IF(Classifiers!$D$6="",0,IF(ISNUMBER(SEARCH(Classifiers!$D$6,E162)),1,0))+IF(Classifiers!$E$6="",0,IF(ISNUMBER(SEARCH(Classifiers!$E$6,E162)),1,0))+IF(Classifiers!$F$6="",0,IF(ISNUMBER(SEARCH(Classifiers!$F$6,E162)),1,0))+IF(Classifiers!$G$6="",0,IF(ISNUMBER(SEARCH(Classifiers!$G$6,E162)),1,0)))&gt;0,1,0))</f>
        <v/>
      </c>
      <c r="L162" s="12">
        <f>IF(H162&lt;&gt;1,0,IF((IF(Classifiers!$B$7="",0,IF(ISNUMBER(SEARCH(Classifiers!$B$7,E162)),1,0))+IF(Classifiers!$C$7="",0,IF(ISNUMBER(SEARCH(Classifiers!$C$7,E162)),1,0))+IF(Classifiers!$D$7="",0,IF(ISNUMBER(SEARCH(Classifiers!$D$7,E162)),1,0))+IF(Classifiers!$E$7="",0,IF(ISNUMBER(SEARCH(Classifiers!$E$7,E162)),1,0))+IF(Classifiers!$F$7="",0,IF(ISNUMBER(SEARCH(Classifiers!$F$7,E162)),1,0))+IF(Classifiers!$G$7="",0,IF(ISNUMBER(SEARCH(Classifiers!$G$7,E162)),1,0)))&gt;0,1,0))</f>
        <v/>
      </c>
      <c r="M162" s="12">
        <f>IF(H162&lt;&gt;1,0,IF((IF(Classifiers!$B$8="",0,IF(ISNUMBER(SEARCH(Classifiers!$B$8,E162)),1,0))+IF(Classifiers!$C$8="",0,IF(ISNUMBER(SEARCH(Classifiers!$C$8,E162)),1,0))+IF(Classifiers!$D$8="",0,IF(ISNUMBER(SEARCH(Classifiers!$D$8,E162)),1,0))+IF(Classifiers!$E$8="",0,IF(ISNUMBER(SEARCH(Classifiers!$E$8,E162)),1,0))+IF(Classifiers!$F$8="",0,IF(ISNUMBER(SEARCH(Classifiers!$F$8,E162)),1,0))+IF(Classifiers!$G$8="",0,IF(ISNUMBER(SEARCH(Classifiers!$G$8,E162)),1,0)))&gt;0,1,0))</f>
        <v/>
      </c>
      <c r="N162" s="12">
        <f>IF(H162&lt;&gt;1,0,IF((IF(Classifiers!$B$9="",0,IF(ISNUMBER(SEARCH(Classifiers!$B$9,E162)),1,0))+IF(Classifiers!$C$9="",0,IF(ISNUMBER(SEARCH(Classifiers!$C$9,E162)),1,0))+IF(Classifiers!$D$9="",0,IF(ISNUMBER(SEARCH(Classifiers!$D$9,E162)),1,0))+IF(Classifiers!$E$9="",0,IF(ISNUMBER(SEARCH(Classifiers!$E$9,E162)),1,0))+IF(Classifiers!$F$9="",0,IF(ISNUMBER(SEARCH(Classifiers!$F$9,E162)),1,0))+IF(Classifiers!$G$9="",0,IF(ISNUMBER(SEARCH(Classifiers!$G$9,E162)),1,0)))&gt;0,1,0))</f>
        <v/>
      </c>
      <c r="O162" s="12">
        <f>IF(H162&lt;&gt;1,0,IF((IF(Classifiers!$B$10="",0,IF(ISNUMBER(SEARCH(Classifiers!$B$10,E162)),1,0))+IF(Classifiers!$C$10="",0,IF(ISNUMBER(SEARCH(Classifiers!$C$10,E162)),1,0))+IF(Classifiers!$D$10="",0,IF(ISNUMBER(SEARCH(Classifiers!$D$10,E162)),1,0))+IF(Classifiers!$E$10="",0,IF(ISNUMBER(SEARCH(Classifiers!$E$10,E162)),1,0))+IF(Classifiers!$F$10="",0,IF(ISNUMBER(SEARCH(Classifiers!$F$10,E162)),1,0))+IF(Classifiers!$G$10="",0,IF(ISNUMBER(SEARCH(Classifiers!$G$10,E162)),1,0)))&gt;0,1,0))</f>
        <v/>
      </c>
      <c r="P162" s="12">
        <f>IF(H162&lt;&gt;1,0,IF((IF(Classifiers!$B$11="",0,IF(ISNUMBER(SEARCH(Classifiers!$B$11,E162)),1,0))+IF(Classifiers!$C$11="",0,IF(ISNUMBER(SEARCH(Classifiers!$C$11,E162)),1,0))+IF(Classifiers!$D$11="",0,IF(ISNUMBER(SEARCH(Classifiers!$D$11,E162)),1,0))+IF(Classifiers!$E$11="",0,IF(ISNUMBER(SEARCH(Classifiers!$E$11,E162)),1,0))+IF(Classifiers!$F$11="",0,IF(ISNUMBER(SEARCH(Classifiers!$F$11,E162)),1,0))+IF(Classifiers!$G$11="",0,IF(ISNUMBER(SEARCH(Classifiers!$G$11,E162)),1,0)))&gt;0,1,0))</f>
        <v/>
      </c>
      <c r="Q162" s="12">
        <f>IF(H162&lt;&gt;1,0,IF((IF(Classifiers!$B$12="",0,IF(ISNUMBER(SEARCH(Classifiers!$B$12,E162)),1,0))+IF(Classifiers!$C$12="",0,IF(ISNUMBER(SEARCH(Classifiers!$C$12,E162)),1,0))+IF(Classifiers!$D$12="",0,IF(ISNUMBER(SEARCH(Classifiers!$D$12,E162)),1,0))+IF(Classifiers!$E$12="",0,IF(ISNUMBER(SEARCH(Classifiers!$E$12,E162)),1,0))+IF(Classifiers!$F$12="",0,IF(ISNUMBER(SEARCH(Classifiers!$F$12,E162)),1,0))+IF(Classifiers!$G$12="",0,IF(ISNUMBER(SEARCH(Classifiers!$G$12,E162)),1,0)))&gt;0,1,0))</f>
        <v/>
      </c>
      <c r="R162" s="12">
        <f>IF(H162&lt;&gt;1,0,IF((IF(Classifiers!$B$13="",0,IF(ISNUMBER(SEARCH(Classifiers!$B$13,E162)),1,0))+IF(Classifiers!$C$13="",0,IF(ISNUMBER(SEARCH(Classifiers!$C$13,E162)),1,0))+IF(Classifiers!$D$13="",0,IF(ISNUMBER(SEARCH(Classifiers!$D$13,E162)),1,0))+IF(Classifiers!$E$13="",0,IF(ISNUMBER(SEARCH(Classifiers!$E$13,E162)),1,0))+IF(Classifiers!$F$13="",0,IF(ISNUMBER(SEARCH(Classifiers!$F$13,E162)),1,0))+IF(Classifiers!$G$13="",0,IF(ISNUMBER(SEARCH(Classifiers!$G$13,E162)),1,0)))&gt;0,1,0))</f>
        <v/>
      </c>
      <c r="S162" s="12">
        <f>IF(H162&lt;&gt;1,0,IF((IF(Classifiers!$B$14="",0,IF(ISNUMBER(SEARCH(Classifiers!$B$14,E162)),1,0))+IF(Classifiers!$C$14="",0,IF(ISNUMBER(SEARCH(Classifiers!$C$14,E162)),1,0))+IF(Classifiers!$D$14="",0,IF(ISNUMBER(SEARCH(Classifiers!$D$14,E162)),1,0))+IF(Classifiers!$E$14="",0,IF(ISNUMBER(SEARCH(Classifiers!$E$14,E162)),1,0))+IF(Classifiers!$F$14="",0,IF(ISNUMBER(SEARCH(Classifiers!$F$14,E162)),1,0))+IF(Classifiers!$G$14="",0,IF(ISNUMBER(SEARCH(Classifiers!$G$14,E162)),1,0)))&gt;0,1,0))</f>
        <v/>
      </c>
      <c r="T162" s="12">
        <f>IF(H162&lt;&gt;1,0,IF((IF(Classifiers!$B$15="",0,IF(ISNUMBER(SEARCH(Classifiers!$B$15,E162)),1,0))+IF(Classifiers!$C$15="",0,IF(ISNUMBER(SEARCH(Classifiers!$C$15,E162)),1,0))+IF(Classifiers!$D$15="",0,IF(ISNUMBER(SEARCH(Classifiers!$D$15,E162)),1,0))+IF(Classifiers!$E$15="",0,IF(ISNUMBER(SEARCH(Classifiers!$E$15,E162)),1,0))+IF(Classifiers!$F$15="",0,IF(ISNUMBER(SEARCH(Classifiers!$F$15,E162)),1,0))+IF(Classifiers!$G$15="",0,IF(ISNUMBER(SEARCH(Classifiers!$G$15,E162)),1,0)))&gt;0,1,0))</f>
        <v/>
      </c>
      <c r="U162" s="12">
        <f>IF(H162&lt;&gt;1,0,IF((IF(Classifiers!$B$16="",0,IF(ISNUMBER(SEARCH(Classifiers!$B$16,E162)),1,0))+IF(Classifiers!$C$16="",0,IF(ISNUMBER(SEARCH(Classifiers!$C$16,E162)),1,0))+IF(Classifiers!$D$16="",0,IF(ISNUMBER(SEARCH(Classifiers!$D$16,E162)),1,0))+IF(Classifiers!$E$16="",0,IF(ISNUMBER(SEARCH(Classifiers!$E$16,E162)),1,0))+IF(Classifiers!$F$16="",0,IF(ISNUMBER(SEARCH(Classifiers!$F$16,E162)),1,0))+IF(Classifiers!$G$16="",0,IF(ISNUMBER(SEARCH(Classifiers!$G$16,E162)),1,0)))&gt;0,1,0))</f>
        <v/>
      </c>
      <c r="V162" s="12">
        <f>IF(H162&lt;&gt;1,0,IF((IF(Classifiers!$B$17="",0,IF(ISNUMBER(SEARCH(Classifiers!$B$17,E162)),1,0))+IF(Classifiers!$C$17="",0,IF(ISNUMBER(SEARCH(Classifiers!$C$17,E162)),1,0))+IF(Classifiers!$D$17="",0,IF(ISNUMBER(SEARCH(Classifiers!$D$17,E162)),1,0))+IF(Classifiers!$E$17="",0,IF(ISNUMBER(SEARCH(Classifiers!$E$17,E162)),1,0))+IF(Classifiers!$F$17="",0,IF(ISNUMBER(SEARCH(Classifiers!$F$17,E162)),1,0))+IF(Classifiers!$G$17="",0,IF(ISNUMBER(SEARCH(Classifiers!$G$17,E162)),1,0)))&gt;0,1,0))</f>
        <v/>
      </c>
      <c r="W162" s="12">
        <f>IF(H162&lt;&gt;1,0,IF((IF(Classifiers!$B$18="",0,IF(ISNUMBER(SEARCH(Classifiers!$B$18,E162)),1,0))+IF(Classifiers!$C$18="",0,IF(ISNUMBER(SEARCH(Classifiers!$C$18,E162)),1,0))+IF(Classifiers!$D$18="",0,IF(ISNUMBER(SEARCH(Classifiers!$D$18,E162)),1,0))+IF(Classifiers!$E$18="",0,IF(ISNUMBER(SEARCH(Classifiers!$E$18,E162)),1,0))+IF(Classifiers!$F$18="",0,IF(ISNUMBER(SEARCH(Classifiers!$F$18,E162)),1,0))+IF(Classifiers!$G$18="",0,IF(ISNUMBER(SEARCH(Classifiers!$G$18,E162)),1,0)))&gt;0,1,0))</f>
        <v/>
      </c>
    </row>
    <row r="163">
      <c r="A163" s="8" t="n"/>
      <c r="B163" s="11" t="n"/>
      <c r="C163" s="6">
        <f>IF(A163="","",TRIM(RIGHT(SUBSTITUTE(A163,"/",REPT(" ",250)),250)))</f>
        <v/>
      </c>
      <c r="D163" s="6">
        <f>IF(C163="","",IF(ISNUMBER(SEARCH(".",C163)),LOWER("."&amp;TRIM(RIGHT(SUBSTITUTE(C163,".",REPT(" ",250)),250))),""))</f>
        <v/>
      </c>
      <c r="E163" s="6">
        <f>IF(C163="","",TRIM(SUBSTITUTE(SUBSTITUTE(SUBSTITUTE(SUBSTITUTE(SUBSTITUTE(SUBSTITUTE(SUBSTITUTE(SUBSTITUTE(SUBSTITUTE(SUBSTITUTE(SUBSTITUTE(SUBSTITUTE(SUBSTITUTE(SUBSTITUTE(SUBSTITUTE(SUBSTITUTE(SUBSTITUTE(SUBSTITUTE(SUBSTITUTE(SUBSTITUTE(LOWER(LEFT(C163,LEN(C163)-LEN(D163))),"_"," "),"-"," "),"."," "),","," "),"("," "),")"," "),"["," "),"]"," "),"&amp;"," "),"+"," "),"@"," "),"#"," "),"!"," "),"'"," "),"/"," "),":"," "),";"," "),"="," "),"~"," "),"%"," ")))</f>
        <v/>
      </c>
      <c r="F163" s="6">
        <f>IF(C163="","",IF(COUNTIF(Classifiers!$A$23:$A$40,D163)&gt;0,1,0))</f>
        <v/>
      </c>
      <c r="G163" s="6">
        <f>IF(C163="","",IF(COUNTIF(Classifiers!$C$23:$C$30,D163)&gt;0,IF((IF(ISNUMBER(SEARCH(Classifiers!$E$23,E163)),1,0)+IF(ISNUMBER(SEARCH(Classifiers!$E$24,E163)),1,0)+IF(ISNUMBER(SEARCH(Classifiers!$E$25,E163)),1,0)+IF(ISNUMBER(SEARCH(Classifiers!$E$26,E163)),1,0)+IF(ISNUMBER(SEARCH(Classifiers!$E$27,E163)),1,0)+IF(ISNUMBER(SEARCH(Classifiers!$E$28,E163)),1,0)+IF(ISNUMBER(SEARCH(Classifiers!$E$29,E163)),1,0)+IF(ISNUMBER(SEARCH(Classifiers!$E$30,E163)),1,0))&gt;0,1,0),0))</f>
        <v/>
      </c>
      <c r="H163" s="6">
        <f>IF(C163="","",IF(OR(LEFT(C163,1)=".",AND(F163=0,G163=0)),0,1))</f>
        <v/>
      </c>
      <c r="I163" s="6">
        <f>IF(H163&lt;&gt;1,"",IF(SUM(J163:W163)=0,"unclassified",INDEX(Classifiers!$A$5:$A$18,MATCH(1,J163:W163,0),1)))</f>
        <v/>
      </c>
      <c r="J163" s="12">
        <f>IF(H163&lt;&gt;1,0,IF((IF(Classifiers!$B$5="",0,IF(ISNUMBER(SEARCH(Classifiers!$B$5,E163)),1,0))+IF(Classifiers!$C$5="",0,IF(ISNUMBER(SEARCH(Classifiers!$C$5,E163)),1,0))+IF(Classifiers!$D$5="",0,IF(ISNUMBER(SEARCH(Classifiers!$D$5,E163)),1,0))+IF(Classifiers!$E$5="",0,IF(ISNUMBER(SEARCH(Classifiers!$E$5,E163)),1,0))+IF(Classifiers!$F$5="",0,IF(ISNUMBER(SEARCH(Classifiers!$F$5,E163)),1,0))+IF(Classifiers!$G$5="",0,IF(ISNUMBER(SEARCH(Classifiers!$G$5,E163)),1,0)))&gt;0,1,0))</f>
        <v/>
      </c>
      <c r="K163" s="12">
        <f>IF(H163&lt;&gt;1,0,IF((IF(Classifiers!$B$6="",0,IF(ISNUMBER(SEARCH(Classifiers!$B$6,E163)),1,0))+IF(Classifiers!$C$6="",0,IF(ISNUMBER(SEARCH(Classifiers!$C$6,E163)),1,0))+IF(Classifiers!$D$6="",0,IF(ISNUMBER(SEARCH(Classifiers!$D$6,E163)),1,0))+IF(Classifiers!$E$6="",0,IF(ISNUMBER(SEARCH(Classifiers!$E$6,E163)),1,0))+IF(Classifiers!$F$6="",0,IF(ISNUMBER(SEARCH(Classifiers!$F$6,E163)),1,0))+IF(Classifiers!$G$6="",0,IF(ISNUMBER(SEARCH(Classifiers!$G$6,E163)),1,0)))&gt;0,1,0))</f>
        <v/>
      </c>
      <c r="L163" s="12">
        <f>IF(H163&lt;&gt;1,0,IF((IF(Classifiers!$B$7="",0,IF(ISNUMBER(SEARCH(Classifiers!$B$7,E163)),1,0))+IF(Classifiers!$C$7="",0,IF(ISNUMBER(SEARCH(Classifiers!$C$7,E163)),1,0))+IF(Classifiers!$D$7="",0,IF(ISNUMBER(SEARCH(Classifiers!$D$7,E163)),1,0))+IF(Classifiers!$E$7="",0,IF(ISNUMBER(SEARCH(Classifiers!$E$7,E163)),1,0))+IF(Classifiers!$F$7="",0,IF(ISNUMBER(SEARCH(Classifiers!$F$7,E163)),1,0))+IF(Classifiers!$G$7="",0,IF(ISNUMBER(SEARCH(Classifiers!$G$7,E163)),1,0)))&gt;0,1,0))</f>
        <v/>
      </c>
      <c r="M163" s="12">
        <f>IF(H163&lt;&gt;1,0,IF((IF(Classifiers!$B$8="",0,IF(ISNUMBER(SEARCH(Classifiers!$B$8,E163)),1,0))+IF(Classifiers!$C$8="",0,IF(ISNUMBER(SEARCH(Classifiers!$C$8,E163)),1,0))+IF(Classifiers!$D$8="",0,IF(ISNUMBER(SEARCH(Classifiers!$D$8,E163)),1,0))+IF(Classifiers!$E$8="",0,IF(ISNUMBER(SEARCH(Classifiers!$E$8,E163)),1,0))+IF(Classifiers!$F$8="",0,IF(ISNUMBER(SEARCH(Classifiers!$F$8,E163)),1,0))+IF(Classifiers!$G$8="",0,IF(ISNUMBER(SEARCH(Classifiers!$G$8,E163)),1,0)))&gt;0,1,0))</f>
        <v/>
      </c>
      <c r="N163" s="12">
        <f>IF(H163&lt;&gt;1,0,IF((IF(Classifiers!$B$9="",0,IF(ISNUMBER(SEARCH(Classifiers!$B$9,E163)),1,0))+IF(Classifiers!$C$9="",0,IF(ISNUMBER(SEARCH(Classifiers!$C$9,E163)),1,0))+IF(Classifiers!$D$9="",0,IF(ISNUMBER(SEARCH(Classifiers!$D$9,E163)),1,0))+IF(Classifiers!$E$9="",0,IF(ISNUMBER(SEARCH(Classifiers!$E$9,E163)),1,0))+IF(Classifiers!$F$9="",0,IF(ISNUMBER(SEARCH(Classifiers!$F$9,E163)),1,0))+IF(Classifiers!$G$9="",0,IF(ISNUMBER(SEARCH(Classifiers!$G$9,E163)),1,0)))&gt;0,1,0))</f>
        <v/>
      </c>
      <c r="O163" s="12">
        <f>IF(H163&lt;&gt;1,0,IF((IF(Classifiers!$B$10="",0,IF(ISNUMBER(SEARCH(Classifiers!$B$10,E163)),1,0))+IF(Classifiers!$C$10="",0,IF(ISNUMBER(SEARCH(Classifiers!$C$10,E163)),1,0))+IF(Classifiers!$D$10="",0,IF(ISNUMBER(SEARCH(Classifiers!$D$10,E163)),1,0))+IF(Classifiers!$E$10="",0,IF(ISNUMBER(SEARCH(Classifiers!$E$10,E163)),1,0))+IF(Classifiers!$F$10="",0,IF(ISNUMBER(SEARCH(Classifiers!$F$10,E163)),1,0))+IF(Classifiers!$G$10="",0,IF(ISNUMBER(SEARCH(Classifiers!$G$10,E163)),1,0)))&gt;0,1,0))</f>
        <v/>
      </c>
      <c r="P163" s="12">
        <f>IF(H163&lt;&gt;1,0,IF((IF(Classifiers!$B$11="",0,IF(ISNUMBER(SEARCH(Classifiers!$B$11,E163)),1,0))+IF(Classifiers!$C$11="",0,IF(ISNUMBER(SEARCH(Classifiers!$C$11,E163)),1,0))+IF(Classifiers!$D$11="",0,IF(ISNUMBER(SEARCH(Classifiers!$D$11,E163)),1,0))+IF(Classifiers!$E$11="",0,IF(ISNUMBER(SEARCH(Classifiers!$E$11,E163)),1,0))+IF(Classifiers!$F$11="",0,IF(ISNUMBER(SEARCH(Classifiers!$F$11,E163)),1,0))+IF(Classifiers!$G$11="",0,IF(ISNUMBER(SEARCH(Classifiers!$G$11,E163)),1,0)))&gt;0,1,0))</f>
        <v/>
      </c>
      <c r="Q163" s="12">
        <f>IF(H163&lt;&gt;1,0,IF((IF(Classifiers!$B$12="",0,IF(ISNUMBER(SEARCH(Classifiers!$B$12,E163)),1,0))+IF(Classifiers!$C$12="",0,IF(ISNUMBER(SEARCH(Classifiers!$C$12,E163)),1,0))+IF(Classifiers!$D$12="",0,IF(ISNUMBER(SEARCH(Classifiers!$D$12,E163)),1,0))+IF(Classifiers!$E$12="",0,IF(ISNUMBER(SEARCH(Classifiers!$E$12,E163)),1,0))+IF(Classifiers!$F$12="",0,IF(ISNUMBER(SEARCH(Classifiers!$F$12,E163)),1,0))+IF(Classifiers!$G$12="",0,IF(ISNUMBER(SEARCH(Classifiers!$G$12,E163)),1,0)))&gt;0,1,0))</f>
        <v/>
      </c>
      <c r="R163" s="12">
        <f>IF(H163&lt;&gt;1,0,IF((IF(Classifiers!$B$13="",0,IF(ISNUMBER(SEARCH(Classifiers!$B$13,E163)),1,0))+IF(Classifiers!$C$13="",0,IF(ISNUMBER(SEARCH(Classifiers!$C$13,E163)),1,0))+IF(Classifiers!$D$13="",0,IF(ISNUMBER(SEARCH(Classifiers!$D$13,E163)),1,0))+IF(Classifiers!$E$13="",0,IF(ISNUMBER(SEARCH(Classifiers!$E$13,E163)),1,0))+IF(Classifiers!$F$13="",0,IF(ISNUMBER(SEARCH(Classifiers!$F$13,E163)),1,0))+IF(Classifiers!$G$13="",0,IF(ISNUMBER(SEARCH(Classifiers!$G$13,E163)),1,0)))&gt;0,1,0))</f>
        <v/>
      </c>
      <c r="S163" s="12">
        <f>IF(H163&lt;&gt;1,0,IF((IF(Classifiers!$B$14="",0,IF(ISNUMBER(SEARCH(Classifiers!$B$14,E163)),1,0))+IF(Classifiers!$C$14="",0,IF(ISNUMBER(SEARCH(Classifiers!$C$14,E163)),1,0))+IF(Classifiers!$D$14="",0,IF(ISNUMBER(SEARCH(Classifiers!$D$14,E163)),1,0))+IF(Classifiers!$E$14="",0,IF(ISNUMBER(SEARCH(Classifiers!$E$14,E163)),1,0))+IF(Classifiers!$F$14="",0,IF(ISNUMBER(SEARCH(Classifiers!$F$14,E163)),1,0))+IF(Classifiers!$G$14="",0,IF(ISNUMBER(SEARCH(Classifiers!$G$14,E163)),1,0)))&gt;0,1,0))</f>
        <v/>
      </c>
      <c r="T163" s="12">
        <f>IF(H163&lt;&gt;1,0,IF((IF(Classifiers!$B$15="",0,IF(ISNUMBER(SEARCH(Classifiers!$B$15,E163)),1,0))+IF(Classifiers!$C$15="",0,IF(ISNUMBER(SEARCH(Classifiers!$C$15,E163)),1,0))+IF(Classifiers!$D$15="",0,IF(ISNUMBER(SEARCH(Classifiers!$D$15,E163)),1,0))+IF(Classifiers!$E$15="",0,IF(ISNUMBER(SEARCH(Classifiers!$E$15,E163)),1,0))+IF(Classifiers!$F$15="",0,IF(ISNUMBER(SEARCH(Classifiers!$F$15,E163)),1,0))+IF(Classifiers!$G$15="",0,IF(ISNUMBER(SEARCH(Classifiers!$G$15,E163)),1,0)))&gt;0,1,0))</f>
        <v/>
      </c>
      <c r="U163" s="12">
        <f>IF(H163&lt;&gt;1,0,IF((IF(Classifiers!$B$16="",0,IF(ISNUMBER(SEARCH(Classifiers!$B$16,E163)),1,0))+IF(Classifiers!$C$16="",0,IF(ISNUMBER(SEARCH(Classifiers!$C$16,E163)),1,0))+IF(Classifiers!$D$16="",0,IF(ISNUMBER(SEARCH(Classifiers!$D$16,E163)),1,0))+IF(Classifiers!$E$16="",0,IF(ISNUMBER(SEARCH(Classifiers!$E$16,E163)),1,0))+IF(Classifiers!$F$16="",0,IF(ISNUMBER(SEARCH(Classifiers!$F$16,E163)),1,0))+IF(Classifiers!$G$16="",0,IF(ISNUMBER(SEARCH(Classifiers!$G$16,E163)),1,0)))&gt;0,1,0))</f>
        <v/>
      </c>
      <c r="V163" s="12">
        <f>IF(H163&lt;&gt;1,0,IF((IF(Classifiers!$B$17="",0,IF(ISNUMBER(SEARCH(Classifiers!$B$17,E163)),1,0))+IF(Classifiers!$C$17="",0,IF(ISNUMBER(SEARCH(Classifiers!$C$17,E163)),1,0))+IF(Classifiers!$D$17="",0,IF(ISNUMBER(SEARCH(Classifiers!$D$17,E163)),1,0))+IF(Classifiers!$E$17="",0,IF(ISNUMBER(SEARCH(Classifiers!$E$17,E163)),1,0))+IF(Classifiers!$F$17="",0,IF(ISNUMBER(SEARCH(Classifiers!$F$17,E163)),1,0))+IF(Classifiers!$G$17="",0,IF(ISNUMBER(SEARCH(Classifiers!$G$17,E163)),1,0)))&gt;0,1,0))</f>
        <v/>
      </c>
      <c r="W163" s="12">
        <f>IF(H163&lt;&gt;1,0,IF((IF(Classifiers!$B$18="",0,IF(ISNUMBER(SEARCH(Classifiers!$B$18,E163)),1,0))+IF(Classifiers!$C$18="",0,IF(ISNUMBER(SEARCH(Classifiers!$C$18,E163)),1,0))+IF(Classifiers!$D$18="",0,IF(ISNUMBER(SEARCH(Classifiers!$D$18,E163)),1,0))+IF(Classifiers!$E$18="",0,IF(ISNUMBER(SEARCH(Classifiers!$E$18,E163)),1,0))+IF(Classifiers!$F$18="",0,IF(ISNUMBER(SEARCH(Classifiers!$F$18,E163)),1,0))+IF(Classifiers!$G$18="",0,IF(ISNUMBER(SEARCH(Classifiers!$G$18,E163)),1,0)))&gt;0,1,0))</f>
        <v/>
      </c>
    </row>
    <row r="164">
      <c r="A164" s="8" t="n"/>
      <c r="B164" s="11" t="n"/>
      <c r="C164" s="6">
        <f>IF(A164="","",TRIM(RIGHT(SUBSTITUTE(A164,"/",REPT(" ",250)),250)))</f>
        <v/>
      </c>
      <c r="D164" s="6">
        <f>IF(C164="","",IF(ISNUMBER(SEARCH(".",C164)),LOWER("."&amp;TRIM(RIGHT(SUBSTITUTE(C164,".",REPT(" ",250)),250))),""))</f>
        <v/>
      </c>
      <c r="E164" s="6">
        <f>IF(C164="","",TRIM(SUBSTITUTE(SUBSTITUTE(SUBSTITUTE(SUBSTITUTE(SUBSTITUTE(SUBSTITUTE(SUBSTITUTE(SUBSTITUTE(SUBSTITUTE(SUBSTITUTE(SUBSTITUTE(SUBSTITUTE(SUBSTITUTE(SUBSTITUTE(SUBSTITUTE(SUBSTITUTE(SUBSTITUTE(SUBSTITUTE(SUBSTITUTE(SUBSTITUTE(LOWER(LEFT(C164,LEN(C164)-LEN(D164))),"_"," "),"-"," "),"."," "),","," "),"("," "),")"," "),"["," "),"]"," "),"&amp;"," "),"+"," "),"@"," "),"#"," "),"!"," "),"'"," "),"/"," "),":"," "),";"," "),"="," "),"~"," "),"%"," ")))</f>
        <v/>
      </c>
      <c r="F164" s="6">
        <f>IF(C164="","",IF(COUNTIF(Classifiers!$A$23:$A$40,D164)&gt;0,1,0))</f>
        <v/>
      </c>
      <c r="G164" s="6">
        <f>IF(C164="","",IF(COUNTIF(Classifiers!$C$23:$C$30,D164)&gt;0,IF((IF(ISNUMBER(SEARCH(Classifiers!$E$23,E164)),1,0)+IF(ISNUMBER(SEARCH(Classifiers!$E$24,E164)),1,0)+IF(ISNUMBER(SEARCH(Classifiers!$E$25,E164)),1,0)+IF(ISNUMBER(SEARCH(Classifiers!$E$26,E164)),1,0)+IF(ISNUMBER(SEARCH(Classifiers!$E$27,E164)),1,0)+IF(ISNUMBER(SEARCH(Classifiers!$E$28,E164)),1,0)+IF(ISNUMBER(SEARCH(Classifiers!$E$29,E164)),1,0)+IF(ISNUMBER(SEARCH(Classifiers!$E$30,E164)),1,0))&gt;0,1,0),0))</f>
        <v/>
      </c>
      <c r="H164" s="6">
        <f>IF(C164="","",IF(OR(LEFT(C164,1)=".",AND(F164=0,G164=0)),0,1))</f>
        <v/>
      </c>
      <c r="I164" s="6">
        <f>IF(H164&lt;&gt;1,"",IF(SUM(J164:W164)=0,"unclassified",INDEX(Classifiers!$A$5:$A$18,MATCH(1,J164:W164,0),1)))</f>
        <v/>
      </c>
      <c r="J164" s="12">
        <f>IF(H164&lt;&gt;1,0,IF((IF(Classifiers!$B$5="",0,IF(ISNUMBER(SEARCH(Classifiers!$B$5,E164)),1,0))+IF(Classifiers!$C$5="",0,IF(ISNUMBER(SEARCH(Classifiers!$C$5,E164)),1,0))+IF(Classifiers!$D$5="",0,IF(ISNUMBER(SEARCH(Classifiers!$D$5,E164)),1,0))+IF(Classifiers!$E$5="",0,IF(ISNUMBER(SEARCH(Classifiers!$E$5,E164)),1,0))+IF(Classifiers!$F$5="",0,IF(ISNUMBER(SEARCH(Classifiers!$F$5,E164)),1,0))+IF(Classifiers!$G$5="",0,IF(ISNUMBER(SEARCH(Classifiers!$G$5,E164)),1,0)))&gt;0,1,0))</f>
        <v/>
      </c>
      <c r="K164" s="12">
        <f>IF(H164&lt;&gt;1,0,IF((IF(Classifiers!$B$6="",0,IF(ISNUMBER(SEARCH(Classifiers!$B$6,E164)),1,0))+IF(Classifiers!$C$6="",0,IF(ISNUMBER(SEARCH(Classifiers!$C$6,E164)),1,0))+IF(Classifiers!$D$6="",0,IF(ISNUMBER(SEARCH(Classifiers!$D$6,E164)),1,0))+IF(Classifiers!$E$6="",0,IF(ISNUMBER(SEARCH(Classifiers!$E$6,E164)),1,0))+IF(Classifiers!$F$6="",0,IF(ISNUMBER(SEARCH(Classifiers!$F$6,E164)),1,0))+IF(Classifiers!$G$6="",0,IF(ISNUMBER(SEARCH(Classifiers!$G$6,E164)),1,0)))&gt;0,1,0))</f>
        <v/>
      </c>
      <c r="L164" s="12">
        <f>IF(H164&lt;&gt;1,0,IF((IF(Classifiers!$B$7="",0,IF(ISNUMBER(SEARCH(Classifiers!$B$7,E164)),1,0))+IF(Classifiers!$C$7="",0,IF(ISNUMBER(SEARCH(Classifiers!$C$7,E164)),1,0))+IF(Classifiers!$D$7="",0,IF(ISNUMBER(SEARCH(Classifiers!$D$7,E164)),1,0))+IF(Classifiers!$E$7="",0,IF(ISNUMBER(SEARCH(Classifiers!$E$7,E164)),1,0))+IF(Classifiers!$F$7="",0,IF(ISNUMBER(SEARCH(Classifiers!$F$7,E164)),1,0))+IF(Classifiers!$G$7="",0,IF(ISNUMBER(SEARCH(Classifiers!$G$7,E164)),1,0)))&gt;0,1,0))</f>
        <v/>
      </c>
      <c r="M164" s="12">
        <f>IF(H164&lt;&gt;1,0,IF((IF(Classifiers!$B$8="",0,IF(ISNUMBER(SEARCH(Classifiers!$B$8,E164)),1,0))+IF(Classifiers!$C$8="",0,IF(ISNUMBER(SEARCH(Classifiers!$C$8,E164)),1,0))+IF(Classifiers!$D$8="",0,IF(ISNUMBER(SEARCH(Classifiers!$D$8,E164)),1,0))+IF(Classifiers!$E$8="",0,IF(ISNUMBER(SEARCH(Classifiers!$E$8,E164)),1,0))+IF(Classifiers!$F$8="",0,IF(ISNUMBER(SEARCH(Classifiers!$F$8,E164)),1,0))+IF(Classifiers!$G$8="",0,IF(ISNUMBER(SEARCH(Classifiers!$G$8,E164)),1,0)))&gt;0,1,0))</f>
        <v/>
      </c>
      <c r="N164" s="12">
        <f>IF(H164&lt;&gt;1,0,IF((IF(Classifiers!$B$9="",0,IF(ISNUMBER(SEARCH(Classifiers!$B$9,E164)),1,0))+IF(Classifiers!$C$9="",0,IF(ISNUMBER(SEARCH(Classifiers!$C$9,E164)),1,0))+IF(Classifiers!$D$9="",0,IF(ISNUMBER(SEARCH(Classifiers!$D$9,E164)),1,0))+IF(Classifiers!$E$9="",0,IF(ISNUMBER(SEARCH(Classifiers!$E$9,E164)),1,0))+IF(Classifiers!$F$9="",0,IF(ISNUMBER(SEARCH(Classifiers!$F$9,E164)),1,0))+IF(Classifiers!$G$9="",0,IF(ISNUMBER(SEARCH(Classifiers!$G$9,E164)),1,0)))&gt;0,1,0))</f>
        <v/>
      </c>
      <c r="O164" s="12">
        <f>IF(H164&lt;&gt;1,0,IF((IF(Classifiers!$B$10="",0,IF(ISNUMBER(SEARCH(Classifiers!$B$10,E164)),1,0))+IF(Classifiers!$C$10="",0,IF(ISNUMBER(SEARCH(Classifiers!$C$10,E164)),1,0))+IF(Classifiers!$D$10="",0,IF(ISNUMBER(SEARCH(Classifiers!$D$10,E164)),1,0))+IF(Classifiers!$E$10="",0,IF(ISNUMBER(SEARCH(Classifiers!$E$10,E164)),1,0))+IF(Classifiers!$F$10="",0,IF(ISNUMBER(SEARCH(Classifiers!$F$10,E164)),1,0))+IF(Classifiers!$G$10="",0,IF(ISNUMBER(SEARCH(Classifiers!$G$10,E164)),1,0)))&gt;0,1,0))</f>
        <v/>
      </c>
      <c r="P164" s="12">
        <f>IF(H164&lt;&gt;1,0,IF((IF(Classifiers!$B$11="",0,IF(ISNUMBER(SEARCH(Classifiers!$B$11,E164)),1,0))+IF(Classifiers!$C$11="",0,IF(ISNUMBER(SEARCH(Classifiers!$C$11,E164)),1,0))+IF(Classifiers!$D$11="",0,IF(ISNUMBER(SEARCH(Classifiers!$D$11,E164)),1,0))+IF(Classifiers!$E$11="",0,IF(ISNUMBER(SEARCH(Classifiers!$E$11,E164)),1,0))+IF(Classifiers!$F$11="",0,IF(ISNUMBER(SEARCH(Classifiers!$F$11,E164)),1,0))+IF(Classifiers!$G$11="",0,IF(ISNUMBER(SEARCH(Classifiers!$G$11,E164)),1,0)))&gt;0,1,0))</f>
        <v/>
      </c>
      <c r="Q164" s="12">
        <f>IF(H164&lt;&gt;1,0,IF((IF(Classifiers!$B$12="",0,IF(ISNUMBER(SEARCH(Classifiers!$B$12,E164)),1,0))+IF(Classifiers!$C$12="",0,IF(ISNUMBER(SEARCH(Classifiers!$C$12,E164)),1,0))+IF(Classifiers!$D$12="",0,IF(ISNUMBER(SEARCH(Classifiers!$D$12,E164)),1,0))+IF(Classifiers!$E$12="",0,IF(ISNUMBER(SEARCH(Classifiers!$E$12,E164)),1,0))+IF(Classifiers!$F$12="",0,IF(ISNUMBER(SEARCH(Classifiers!$F$12,E164)),1,0))+IF(Classifiers!$G$12="",0,IF(ISNUMBER(SEARCH(Classifiers!$G$12,E164)),1,0)))&gt;0,1,0))</f>
        <v/>
      </c>
      <c r="R164" s="12">
        <f>IF(H164&lt;&gt;1,0,IF((IF(Classifiers!$B$13="",0,IF(ISNUMBER(SEARCH(Classifiers!$B$13,E164)),1,0))+IF(Classifiers!$C$13="",0,IF(ISNUMBER(SEARCH(Classifiers!$C$13,E164)),1,0))+IF(Classifiers!$D$13="",0,IF(ISNUMBER(SEARCH(Classifiers!$D$13,E164)),1,0))+IF(Classifiers!$E$13="",0,IF(ISNUMBER(SEARCH(Classifiers!$E$13,E164)),1,0))+IF(Classifiers!$F$13="",0,IF(ISNUMBER(SEARCH(Classifiers!$F$13,E164)),1,0))+IF(Classifiers!$G$13="",0,IF(ISNUMBER(SEARCH(Classifiers!$G$13,E164)),1,0)))&gt;0,1,0))</f>
        <v/>
      </c>
      <c r="S164" s="12">
        <f>IF(H164&lt;&gt;1,0,IF((IF(Classifiers!$B$14="",0,IF(ISNUMBER(SEARCH(Classifiers!$B$14,E164)),1,0))+IF(Classifiers!$C$14="",0,IF(ISNUMBER(SEARCH(Classifiers!$C$14,E164)),1,0))+IF(Classifiers!$D$14="",0,IF(ISNUMBER(SEARCH(Classifiers!$D$14,E164)),1,0))+IF(Classifiers!$E$14="",0,IF(ISNUMBER(SEARCH(Classifiers!$E$14,E164)),1,0))+IF(Classifiers!$F$14="",0,IF(ISNUMBER(SEARCH(Classifiers!$F$14,E164)),1,0))+IF(Classifiers!$G$14="",0,IF(ISNUMBER(SEARCH(Classifiers!$G$14,E164)),1,0)))&gt;0,1,0))</f>
        <v/>
      </c>
      <c r="T164" s="12">
        <f>IF(H164&lt;&gt;1,0,IF((IF(Classifiers!$B$15="",0,IF(ISNUMBER(SEARCH(Classifiers!$B$15,E164)),1,0))+IF(Classifiers!$C$15="",0,IF(ISNUMBER(SEARCH(Classifiers!$C$15,E164)),1,0))+IF(Classifiers!$D$15="",0,IF(ISNUMBER(SEARCH(Classifiers!$D$15,E164)),1,0))+IF(Classifiers!$E$15="",0,IF(ISNUMBER(SEARCH(Classifiers!$E$15,E164)),1,0))+IF(Classifiers!$F$15="",0,IF(ISNUMBER(SEARCH(Classifiers!$F$15,E164)),1,0))+IF(Classifiers!$G$15="",0,IF(ISNUMBER(SEARCH(Classifiers!$G$15,E164)),1,0)))&gt;0,1,0))</f>
        <v/>
      </c>
      <c r="U164" s="12">
        <f>IF(H164&lt;&gt;1,0,IF((IF(Classifiers!$B$16="",0,IF(ISNUMBER(SEARCH(Classifiers!$B$16,E164)),1,0))+IF(Classifiers!$C$16="",0,IF(ISNUMBER(SEARCH(Classifiers!$C$16,E164)),1,0))+IF(Classifiers!$D$16="",0,IF(ISNUMBER(SEARCH(Classifiers!$D$16,E164)),1,0))+IF(Classifiers!$E$16="",0,IF(ISNUMBER(SEARCH(Classifiers!$E$16,E164)),1,0))+IF(Classifiers!$F$16="",0,IF(ISNUMBER(SEARCH(Classifiers!$F$16,E164)),1,0))+IF(Classifiers!$G$16="",0,IF(ISNUMBER(SEARCH(Classifiers!$G$16,E164)),1,0)))&gt;0,1,0))</f>
        <v/>
      </c>
      <c r="V164" s="12">
        <f>IF(H164&lt;&gt;1,0,IF((IF(Classifiers!$B$17="",0,IF(ISNUMBER(SEARCH(Classifiers!$B$17,E164)),1,0))+IF(Classifiers!$C$17="",0,IF(ISNUMBER(SEARCH(Classifiers!$C$17,E164)),1,0))+IF(Classifiers!$D$17="",0,IF(ISNUMBER(SEARCH(Classifiers!$D$17,E164)),1,0))+IF(Classifiers!$E$17="",0,IF(ISNUMBER(SEARCH(Classifiers!$E$17,E164)),1,0))+IF(Classifiers!$F$17="",0,IF(ISNUMBER(SEARCH(Classifiers!$F$17,E164)),1,0))+IF(Classifiers!$G$17="",0,IF(ISNUMBER(SEARCH(Classifiers!$G$17,E164)),1,0)))&gt;0,1,0))</f>
        <v/>
      </c>
      <c r="W164" s="12">
        <f>IF(H164&lt;&gt;1,0,IF((IF(Classifiers!$B$18="",0,IF(ISNUMBER(SEARCH(Classifiers!$B$18,E164)),1,0))+IF(Classifiers!$C$18="",0,IF(ISNUMBER(SEARCH(Classifiers!$C$18,E164)),1,0))+IF(Classifiers!$D$18="",0,IF(ISNUMBER(SEARCH(Classifiers!$D$18,E164)),1,0))+IF(Classifiers!$E$18="",0,IF(ISNUMBER(SEARCH(Classifiers!$E$18,E164)),1,0))+IF(Classifiers!$F$18="",0,IF(ISNUMBER(SEARCH(Classifiers!$F$18,E164)),1,0))+IF(Classifiers!$G$18="",0,IF(ISNUMBER(SEARCH(Classifiers!$G$18,E164)),1,0)))&gt;0,1,0))</f>
        <v/>
      </c>
    </row>
    <row r="165">
      <c r="A165" s="8" t="n"/>
      <c r="B165" s="11" t="n"/>
      <c r="C165" s="6">
        <f>IF(A165="","",TRIM(RIGHT(SUBSTITUTE(A165,"/",REPT(" ",250)),250)))</f>
        <v/>
      </c>
      <c r="D165" s="6">
        <f>IF(C165="","",IF(ISNUMBER(SEARCH(".",C165)),LOWER("."&amp;TRIM(RIGHT(SUBSTITUTE(C165,".",REPT(" ",250)),250))),""))</f>
        <v/>
      </c>
      <c r="E165" s="6">
        <f>IF(C165="","",TRIM(SUBSTITUTE(SUBSTITUTE(SUBSTITUTE(SUBSTITUTE(SUBSTITUTE(SUBSTITUTE(SUBSTITUTE(SUBSTITUTE(SUBSTITUTE(SUBSTITUTE(SUBSTITUTE(SUBSTITUTE(SUBSTITUTE(SUBSTITUTE(SUBSTITUTE(SUBSTITUTE(SUBSTITUTE(SUBSTITUTE(SUBSTITUTE(SUBSTITUTE(LOWER(LEFT(C165,LEN(C165)-LEN(D165))),"_"," "),"-"," "),"."," "),","," "),"("," "),")"," "),"["," "),"]"," "),"&amp;"," "),"+"," "),"@"," "),"#"," "),"!"," "),"'"," "),"/"," "),":"," "),";"," "),"="," "),"~"," "),"%"," ")))</f>
        <v/>
      </c>
      <c r="F165" s="6">
        <f>IF(C165="","",IF(COUNTIF(Classifiers!$A$23:$A$40,D165)&gt;0,1,0))</f>
        <v/>
      </c>
      <c r="G165" s="6">
        <f>IF(C165="","",IF(COUNTIF(Classifiers!$C$23:$C$30,D165)&gt;0,IF((IF(ISNUMBER(SEARCH(Classifiers!$E$23,E165)),1,0)+IF(ISNUMBER(SEARCH(Classifiers!$E$24,E165)),1,0)+IF(ISNUMBER(SEARCH(Classifiers!$E$25,E165)),1,0)+IF(ISNUMBER(SEARCH(Classifiers!$E$26,E165)),1,0)+IF(ISNUMBER(SEARCH(Classifiers!$E$27,E165)),1,0)+IF(ISNUMBER(SEARCH(Classifiers!$E$28,E165)),1,0)+IF(ISNUMBER(SEARCH(Classifiers!$E$29,E165)),1,0)+IF(ISNUMBER(SEARCH(Classifiers!$E$30,E165)),1,0))&gt;0,1,0),0))</f>
        <v/>
      </c>
      <c r="H165" s="6">
        <f>IF(C165="","",IF(OR(LEFT(C165,1)=".",AND(F165=0,G165=0)),0,1))</f>
        <v/>
      </c>
      <c r="I165" s="6">
        <f>IF(H165&lt;&gt;1,"",IF(SUM(J165:W165)=0,"unclassified",INDEX(Classifiers!$A$5:$A$18,MATCH(1,J165:W165,0),1)))</f>
        <v/>
      </c>
      <c r="J165" s="12">
        <f>IF(H165&lt;&gt;1,0,IF((IF(Classifiers!$B$5="",0,IF(ISNUMBER(SEARCH(Classifiers!$B$5,E165)),1,0))+IF(Classifiers!$C$5="",0,IF(ISNUMBER(SEARCH(Classifiers!$C$5,E165)),1,0))+IF(Classifiers!$D$5="",0,IF(ISNUMBER(SEARCH(Classifiers!$D$5,E165)),1,0))+IF(Classifiers!$E$5="",0,IF(ISNUMBER(SEARCH(Classifiers!$E$5,E165)),1,0))+IF(Classifiers!$F$5="",0,IF(ISNUMBER(SEARCH(Classifiers!$F$5,E165)),1,0))+IF(Classifiers!$G$5="",0,IF(ISNUMBER(SEARCH(Classifiers!$G$5,E165)),1,0)))&gt;0,1,0))</f>
        <v/>
      </c>
      <c r="K165" s="12">
        <f>IF(H165&lt;&gt;1,0,IF((IF(Classifiers!$B$6="",0,IF(ISNUMBER(SEARCH(Classifiers!$B$6,E165)),1,0))+IF(Classifiers!$C$6="",0,IF(ISNUMBER(SEARCH(Classifiers!$C$6,E165)),1,0))+IF(Classifiers!$D$6="",0,IF(ISNUMBER(SEARCH(Classifiers!$D$6,E165)),1,0))+IF(Classifiers!$E$6="",0,IF(ISNUMBER(SEARCH(Classifiers!$E$6,E165)),1,0))+IF(Classifiers!$F$6="",0,IF(ISNUMBER(SEARCH(Classifiers!$F$6,E165)),1,0))+IF(Classifiers!$G$6="",0,IF(ISNUMBER(SEARCH(Classifiers!$G$6,E165)),1,0)))&gt;0,1,0))</f>
        <v/>
      </c>
      <c r="L165" s="12">
        <f>IF(H165&lt;&gt;1,0,IF((IF(Classifiers!$B$7="",0,IF(ISNUMBER(SEARCH(Classifiers!$B$7,E165)),1,0))+IF(Classifiers!$C$7="",0,IF(ISNUMBER(SEARCH(Classifiers!$C$7,E165)),1,0))+IF(Classifiers!$D$7="",0,IF(ISNUMBER(SEARCH(Classifiers!$D$7,E165)),1,0))+IF(Classifiers!$E$7="",0,IF(ISNUMBER(SEARCH(Classifiers!$E$7,E165)),1,0))+IF(Classifiers!$F$7="",0,IF(ISNUMBER(SEARCH(Classifiers!$F$7,E165)),1,0))+IF(Classifiers!$G$7="",0,IF(ISNUMBER(SEARCH(Classifiers!$G$7,E165)),1,0)))&gt;0,1,0))</f>
        <v/>
      </c>
      <c r="M165" s="12">
        <f>IF(H165&lt;&gt;1,0,IF((IF(Classifiers!$B$8="",0,IF(ISNUMBER(SEARCH(Classifiers!$B$8,E165)),1,0))+IF(Classifiers!$C$8="",0,IF(ISNUMBER(SEARCH(Classifiers!$C$8,E165)),1,0))+IF(Classifiers!$D$8="",0,IF(ISNUMBER(SEARCH(Classifiers!$D$8,E165)),1,0))+IF(Classifiers!$E$8="",0,IF(ISNUMBER(SEARCH(Classifiers!$E$8,E165)),1,0))+IF(Classifiers!$F$8="",0,IF(ISNUMBER(SEARCH(Classifiers!$F$8,E165)),1,0))+IF(Classifiers!$G$8="",0,IF(ISNUMBER(SEARCH(Classifiers!$G$8,E165)),1,0)))&gt;0,1,0))</f>
        <v/>
      </c>
      <c r="N165" s="12">
        <f>IF(H165&lt;&gt;1,0,IF((IF(Classifiers!$B$9="",0,IF(ISNUMBER(SEARCH(Classifiers!$B$9,E165)),1,0))+IF(Classifiers!$C$9="",0,IF(ISNUMBER(SEARCH(Classifiers!$C$9,E165)),1,0))+IF(Classifiers!$D$9="",0,IF(ISNUMBER(SEARCH(Classifiers!$D$9,E165)),1,0))+IF(Classifiers!$E$9="",0,IF(ISNUMBER(SEARCH(Classifiers!$E$9,E165)),1,0))+IF(Classifiers!$F$9="",0,IF(ISNUMBER(SEARCH(Classifiers!$F$9,E165)),1,0))+IF(Classifiers!$G$9="",0,IF(ISNUMBER(SEARCH(Classifiers!$G$9,E165)),1,0)))&gt;0,1,0))</f>
        <v/>
      </c>
      <c r="O165" s="12">
        <f>IF(H165&lt;&gt;1,0,IF((IF(Classifiers!$B$10="",0,IF(ISNUMBER(SEARCH(Classifiers!$B$10,E165)),1,0))+IF(Classifiers!$C$10="",0,IF(ISNUMBER(SEARCH(Classifiers!$C$10,E165)),1,0))+IF(Classifiers!$D$10="",0,IF(ISNUMBER(SEARCH(Classifiers!$D$10,E165)),1,0))+IF(Classifiers!$E$10="",0,IF(ISNUMBER(SEARCH(Classifiers!$E$10,E165)),1,0))+IF(Classifiers!$F$10="",0,IF(ISNUMBER(SEARCH(Classifiers!$F$10,E165)),1,0))+IF(Classifiers!$G$10="",0,IF(ISNUMBER(SEARCH(Classifiers!$G$10,E165)),1,0)))&gt;0,1,0))</f>
        <v/>
      </c>
      <c r="P165" s="12">
        <f>IF(H165&lt;&gt;1,0,IF((IF(Classifiers!$B$11="",0,IF(ISNUMBER(SEARCH(Classifiers!$B$11,E165)),1,0))+IF(Classifiers!$C$11="",0,IF(ISNUMBER(SEARCH(Classifiers!$C$11,E165)),1,0))+IF(Classifiers!$D$11="",0,IF(ISNUMBER(SEARCH(Classifiers!$D$11,E165)),1,0))+IF(Classifiers!$E$11="",0,IF(ISNUMBER(SEARCH(Classifiers!$E$11,E165)),1,0))+IF(Classifiers!$F$11="",0,IF(ISNUMBER(SEARCH(Classifiers!$F$11,E165)),1,0))+IF(Classifiers!$G$11="",0,IF(ISNUMBER(SEARCH(Classifiers!$G$11,E165)),1,0)))&gt;0,1,0))</f>
        <v/>
      </c>
      <c r="Q165" s="12">
        <f>IF(H165&lt;&gt;1,0,IF((IF(Classifiers!$B$12="",0,IF(ISNUMBER(SEARCH(Classifiers!$B$12,E165)),1,0))+IF(Classifiers!$C$12="",0,IF(ISNUMBER(SEARCH(Classifiers!$C$12,E165)),1,0))+IF(Classifiers!$D$12="",0,IF(ISNUMBER(SEARCH(Classifiers!$D$12,E165)),1,0))+IF(Classifiers!$E$12="",0,IF(ISNUMBER(SEARCH(Classifiers!$E$12,E165)),1,0))+IF(Classifiers!$F$12="",0,IF(ISNUMBER(SEARCH(Classifiers!$F$12,E165)),1,0))+IF(Classifiers!$G$12="",0,IF(ISNUMBER(SEARCH(Classifiers!$G$12,E165)),1,0)))&gt;0,1,0))</f>
        <v/>
      </c>
      <c r="R165" s="12">
        <f>IF(H165&lt;&gt;1,0,IF((IF(Classifiers!$B$13="",0,IF(ISNUMBER(SEARCH(Classifiers!$B$13,E165)),1,0))+IF(Classifiers!$C$13="",0,IF(ISNUMBER(SEARCH(Classifiers!$C$13,E165)),1,0))+IF(Classifiers!$D$13="",0,IF(ISNUMBER(SEARCH(Classifiers!$D$13,E165)),1,0))+IF(Classifiers!$E$13="",0,IF(ISNUMBER(SEARCH(Classifiers!$E$13,E165)),1,0))+IF(Classifiers!$F$13="",0,IF(ISNUMBER(SEARCH(Classifiers!$F$13,E165)),1,0))+IF(Classifiers!$G$13="",0,IF(ISNUMBER(SEARCH(Classifiers!$G$13,E165)),1,0)))&gt;0,1,0))</f>
        <v/>
      </c>
      <c r="S165" s="12">
        <f>IF(H165&lt;&gt;1,0,IF((IF(Classifiers!$B$14="",0,IF(ISNUMBER(SEARCH(Classifiers!$B$14,E165)),1,0))+IF(Classifiers!$C$14="",0,IF(ISNUMBER(SEARCH(Classifiers!$C$14,E165)),1,0))+IF(Classifiers!$D$14="",0,IF(ISNUMBER(SEARCH(Classifiers!$D$14,E165)),1,0))+IF(Classifiers!$E$14="",0,IF(ISNUMBER(SEARCH(Classifiers!$E$14,E165)),1,0))+IF(Classifiers!$F$14="",0,IF(ISNUMBER(SEARCH(Classifiers!$F$14,E165)),1,0))+IF(Classifiers!$G$14="",0,IF(ISNUMBER(SEARCH(Classifiers!$G$14,E165)),1,0)))&gt;0,1,0))</f>
        <v/>
      </c>
      <c r="T165" s="12">
        <f>IF(H165&lt;&gt;1,0,IF((IF(Classifiers!$B$15="",0,IF(ISNUMBER(SEARCH(Classifiers!$B$15,E165)),1,0))+IF(Classifiers!$C$15="",0,IF(ISNUMBER(SEARCH(Classifiers!$C$15,E165)),1,0))+IF(Classifiers!$D$15="",0,IF(ISNUMBER(SEARCH(Classifiers!$D$15,E165)),1,0))+IF(Classifiers!$E$15="",0,IF(ISNUMBER(SEARCH(Classifiers!$E$15,E165)),1,0))+IF(Classifiers!$F$15="",0,IF(ISNUMBER(SEARCH(Classifiers!$F$15,E165)),1,0))+IF(Classifiers!$G$15="",0,IF(ISNUMBER(SEARCH(Classifiers!$G$15,E165)),1,0)))&gt;0,1,0))</f>
        <v/>
      </c>
      <c r="U165" s="12">
        <f>IF(H165&lt;&gt;1,0,IF((IF(Classifiers!$B$16="",0,IF(ISNUMBER(SEARCH(Classifiers!$B$16,E165)),1,0))+IF(Classifiers!$C$16="",0,IF(ISNUMBER(SEARCH(Classifiers!$C$16,E165)),1,0))+IF(Classifiers!$D$16="",0,IF(ISNUMBER(SEARCH(Classifiers!$D$16,E165)),1,0))+IF(Classifiers!$E$16="",0,IF(ISNUMBER(SEARCH(Classifiers!$E$16,E165)),1,0))+IF(Classifiers!$F$16="",0,IF(ISNUMBER(SEARCH(Classifiers!$F$16,E165)),1,0))+IF(Classifiers!$G$16="",0,IF(ISNUMBER(SEARCH(Classifiers!$G$16,E165)),1,0)))&gt;0,1,0))</f>
        <v/>
      </c>
      <c r="V165" s="12">
        <f>IF(H165&lt;&gt;1,0,IF((IF(Classifiers!$B$17="",0,IF(ISNUMBER(SEARCH(Classifiers!$B$17,E165)),1,0))+IF(Classifiers!$C$17="",0,IF(ISNUMBER(SEARCH(Classifiers!$C$17,E165)),1,0))+IF(Classifiers!$D$17="",0,IF(ISNUMBER(SEARCH(Classifiers!$D$17,E165)),1,0))+IF(Classifiers!$E$17="",0,IF(ISNUMBER(SEARCH(Classifiers!$E$17,E165)),1,0))+IF(Classifiers!$F$17="",0,IF(ISNUMBER(SEARCH(Classifiers!$F$17,E165)),1,0))+IF(Classifiers!$G$17="",0,IF(ISNUMBER(SEARCH(Classifiers!$G$17,E165)),1,0)))&gt;0,1,0))</f>
        <v/>
      </c>
      <c r="W165" s="12">
        <f>IF(H165&lt;&gt;1,0,IF((IF(Classifiers!$B$18="",0,IF(ISNUMBER(SEARCH(Classifiers!$B$18,E165)),1,0))+IF(Classifiers!$C$18="",0,IF(ISNUMBER(SEARCH(Classifiers!$C$18,E165)),1,0))+IF(Classifiers!$D$18="",0,IF(ISNUMBER(SEARCH(Classifiers!$D$18,E165)),1,0))+IF(Classifiers!$E$18="",0,IF(ISNUMBER(SEARCH(Classifiers!$E$18,E165)),1,0))+IF(Classifiers!$F$18="",0,IF(ISNUMBER(SEARCH(Classifiers!$F$18,E165)),1,0))+IF(Classifiers!$G$18="",0,IF(ISNUMBER(SEARCH(Classifiers!$G$18,E165)),1,0)))&gt;0,1,0))</f>
        <v/>
      </c>
    </row>
    <row r="166">
      <c r="A166" s="8" t="n"/>
      <c r="B166" s="11" t="n"/>
      <c r="C166" s="6">
        <f>IF(A166="","",TRIM(RIGHT(SUBSTITUTE(A166,"/",REPT(" ",250)),250)))</f>
        <v/>
      </c>
      <c r="D166" s="6">
        <f>IF(C166="","",IF(ISNUMBER(SEARCH(".",C166)),LOWER("."&amp;TRIM(RIGHT(SUBSTITUTE(C166,".",REPT(" ",250)),250))),""))</f>
        <v/>
      </c>
      <c r="E166" s="6">
        <f>IF(C166="","",TRIM(SUBSTITUTE(SUBSTITUTE(SUBSTITUTE(SUBSTITUTE(SUBSTITUTE(SUBSTITUTE(SUBSTITUTE(SUBSTITUTE(SUBSTITUTE(SUBSTITUTE(SUBSTITUTE(SUBSTITUTE(SUBSTITUTE(SUBSTITUTE(SUBSTITUTE(SUBSTITUTE(SUBSTITUTE(SUBSTITUTE(SUBSTITUTE(SUBSTITUTE(LOWER(LEFT(C166,LEN(C166)-LEN(D166))),"_"," "),"-"," "),"."," "),","," "),"("," "),")"," "),"["," "),"]"," "),"&amp;"," "),"+"," "),"@"," "),"#"," "),"!"," "),"'"," "),"/"," "),":"," "),";"," "),"="," "),"~"," "),"%"," ")))</f>
        <v/>
      </c>
      <c r="F166" s="6">
        <f>IF(C166="","",IF(COUNTIF(Classifiers!$A$23:$A$40,D166)&gt;0,1,0))</f>
        <v/>
      </c>
      <c r="G166" s="6">
        <f>IF(C166="","",IF(COUNTIF(Classifiers!$C$23:$C$30,D166)&gt;0,IF((IF(ISNUMBER(SEARCH(Classifiers!$E$23,E166)),1,0)+IF(ISNUMBER(SEARCH(Classifiers!$E$24,E166)),1,0)+IF(ISNUMBER(SEARCH(Classifiers!$E$25,E166)),1,0)+IF(ISNUMBER(SEARCH(Classifiers!$E$26,E166)),1,0)+IF(ISNUMBER(SEARCH(Classifiers!$E$27,E166)),1,0)+IF(ISNUMBER(SEARCH(Classifiers!$E$28,E166)),1,0)+IF(ISNUMBER(SEARCH(Classifiers!$E$29,E166)),1,0)+IF(ISNUMBER(SEARCH(Classifiers!$E$30,E166)),1,0))&gt;0,1,0),0))</f>
        <v/>
      </c>
      <c r="H166" s="6">
        <f>IF(C166="","",IF(OR(LEFT(C166,1)=".",AND(F166=0,G166=0)),0,1))</f>
        <v/>
      </c>
      <c r="I166" s="6">
        <f>IF(H166&lt;&gt;1,"",IF(SUM(J166:W166)=0,"unclassified",INDEX(Classifiers!$A$5:$A$18,MATCH(1,J166:W166,0),1)))</f>
        <v/>
      </c>
      <c r="J166" s="12">
        <f>IF(H166&lt;&gt;1,0,IF((IF(Classifiers!$B$5="",0,IF(ISNUMBER(SEARCH(Classifiers!$B$5,E166)),1,0))+IF(Classifiers!$C$5="",0,IF(ISNUMBER(SEARCH(Classifiers!$C$5,E166)),1,0))+IF(Classifiers!$D$5="",0,IF(ISNUMBER(SEARCH(Classifiers!$D$5,E166)),1,0))+IF(Classifiers!$E$5="",0,IF(ISNUMBER(SEARCH(Classifiers!$E$5,E166)),1,0))+IF(Classifiers!$F$5="",0,IF(ISNUMBER(SEARCH(Classifiers!$F$5,E166)),1,0))+IF(Classifiers!$G$5="",0,IF(ISNUMBER(SEARCH(Classifiers!$G$5,E166)),1,0)))&gt;0,1,0))</f>
        <v/>
      </c>
      <c r="K166" s="12">
        <f>IF(H166&lt;&gt;1,0,IF((IF(Classifiers!$B$6="",0,IF(ISNUMBER(SEARCH(Classifiers!$B$6,E166)),1,0))+IF(Classifiers!$C$6="",0,IF(ISNUMBER(SEARCH(Classifiers!$C$6,E166)),1,0))+IF(Classifiers!$D$6="",0,IF(ISNUMBER(SEARCH(Classifiers!$D$6,E166)),1,0))+IF(Classifiers!$E$6="",0,IF(ISNUMBER(SEARCH(Classifiers!$E$6,E166)),1,0))+IF(Classifiers!$F$6="",0,IF(ISNUMBER(SEARCH(Classifiers!$F$6,E166)),1,0))+IF(Classifiers!$G$6="",0,IF(ISNUMBER(SEARCH(Classifiers!$G$6,E166)),1,0)))&gt;0,1,0))</f>
        <v/>
      </c>
      <c r="L166" s="12">
        <f>IF(H166&lt;&gt;1,0,IF((IF(Classifiers!$B$7="",0,IF(ISNUMBER(SEARCH(Classifiers!$B$7,E166)),1,0))+IF(Classifiers!$C$7="",0,IF(ISNUMBER(SEARCH(Classifiers!$C$7,E166)),1,0))+IF(Classifiers!$D$7="",0,IF(ISNUMBER(SEARCH(Classifiers!$D$7,E166)),1,0))+IF(Classifiers!$E$7="",0,IF(ISNUMBER(SEARCH(Classifiers!$E$7,E166)),1,0))+IF(Classifiers!$F$7="",0,IF(ISNUMBER(SEARCH(Classifiers!$F$7,E166)),1,0))+IF(Classifiers!$G$7="",0,IF(ISNUMBER(SEARCH(Classifiers!$G$7,E166)),1,0)))&gt;0,1,0))</f>
        <v/>
      </c>
      <c r="M166" s="12">
        <f>IF(H166&lt;&gt;1,0,IF((IF(Classifiers!$B$8="",0,IF(ISNUMBER(SEARCH(Classifiers!$B$8,E166)),1,0))+IF(Classifiers!$C$8="",0,IF(ISNUMBER(SEARCH(Classifiers!$C$8,E166)),1,0))+IF(Classifiers!$D$8="",0,IF(ISNUMBER(SEARCH(Classifiers!$D$8,E166)),1,0))+IF(Classifiers!$E$8="",0,IF(ISNUMBER(SEARCH(Classifiers!$E$8,E166)),1,0))+IF(Classifiers!$F$8="",0,IF(ISNUMBER(SEARCH(Classifiers!$F$8,E166)),1,0))+IF(Classifiers!$G$8="",0,IF(ISNUMBER(SEARCH(Classifiers!$G$8,E166)),1,0)))&gt;0,1,0))</f>
        <v/>
      </c>
      <c r="N166" s="12">
        <f>IF(H166&lt;&gt;1,0,IF((IF(Classifiers!$B$9="",0,IF(ISNUMBER(SEARCH(Classifiers!$B$9,E166)),1,0))+IF(Classifiers!$C$9="",0,IF(ISNUMBER(SEARCH(Classifiers!$C$9,E166)),1,0))+IF(Classifiers!$D$9="",0,IF(ISNUMBER(SEARCH(Classifiers!$D$9,E166)),1,0))+IF(Classifiers!$E$9="",0,IF(ISNUMBER(SEARCH(Classifiers!$E$9,E166)),1,0))+IF(Classifiers!$F$9="",0,IF(ISNUMBER(SEARCH(Classifiers!$F$9,E166)),1,0))+IF(Classifiers!$G$9="",0,IF(ISNUMBER(SEARCH(Classifiers!$G$9,E166)),1,0)))&gt;0,1,0))</f>
        <v/>
      </c>
      <c r="O166" s="12">
        <f>IF(H166&lt;&gt;1,0,IF((IF(Classifiers!$B$10="",0,IF(ISNUMBER(SEARCH(Classifiers!$B$10,E166)),1,0))+IF(Classifiers!$C$10="",0,IF(ISNUMBER(SEARCH(Classifiers!$C$10,E166)),1,0))+IF(Classifiers!$D$10="",0,IF(ISNUMBER(SEARCH(Classifiers!$D$10,E166)),1,0))+IF(Classifiers!$E$10="",0,IF(ISNUMBER(SEARCH(Classifiers!$E$10,E166)),1,0))+IF(Classifiers!$F$10="",0,IF(ISNUMBER(SEARCH(Classifiers!$F$10,E166)),1,0))+IF(Classifiers!$G$10="",0,IF(ISNUMBER(SEARCH(Classifiers!$G$10,E166)),1,0)))&gt;0,1,0))</f>
        <v/>
      </c>
      <c r="P166" s="12">
        <f>IF(H166&lt;&gt;1,0,IF((IF(Classifiers!$B$11="",0,IF(ISNUMBER(SEARCH(Classifiers!$B$11,E166)),1,0))+IF(Classifiers!$C$11="",0,IF(ISNUMBER(SEARCH(Classifiers!$C$11,E166)),1,0))+IF(Classifiers!$D$11="",0,IF(ISNUMBER(SEARCH(Classifiers!$D$11,E166)),1,0))+IF(Classifiers!$E$11="",0,IF(ISNUMBER(SEARCH(Classifiers!$E$11,E166)),1,0))+IF(Classifiers!$F$11="",0,IF(ISNUMBER(SEARCH(Classifiers!$F$11,E166)),1,0))+IF(Classifiers!$G$11="",0,IF(ISNUMBER(SEARCH(Classifiers!$G$11,E166)),1,0)))&gt;0,1,0))</f>
        <v/>
      </c>
      <c r="Q166" s="12">
        <f>IF(H166&lt;&gt;1,0,IF((IF(Classifiers!$B$12="",0,IF(ISNUMBER(SEARCH(Classifiers!$B$12,E166)),1,0))+IF(Classifiers!$C$12="",0,IF(ISNUMBER(SEARCH(Classifiers!$C$12,E166)),1,0))+IF(Classifiers!$D$12="",0,IF(ISNUMBER(SEARCH(Classifiers!$D$12,E166)),1,0))+IF(Classifiers!$E$12="",0,IF(ISNUMBER(SEARCH(Classifiers!$E$12,E166)),1,0))+IF(Classifiers!$F$12="",0,IF(ISNUMBER(SEARCH(Classifiers!$F$12,E166)),1,0))+IF(Classifiers!$G$12="",0,IF(ISNUMBER(SEARCH(Classifiers!$G$12,E166)),1,0)))&gt;0,1,0))</f>
        <v/>
      </c>
      <c r="R166" s="12">
        <f>IF(H166&lt;&gt;1,0,IF((IF(Classifiers!$B$13="",0,IF(ISNUMBER(SEARCH(Classifiers!$B$13,E166)),1,0))+IF(Classifiers!$C$13="",0,IF(ISNUMBER(SEARCH(Classifiers!$C$13,E166)),1,0))+IF(Classifiers!$D$13="",0,IF(ISNUMBER(SEARCH(Classifiers!$D$13,E166)),1,0))+IF(Classifiers!$E$13="",0,IF(ISNUMBER(SEARCH(Classifiers!$E$13,E166)),1,0))+IF(Classifiers!$F$13="",0,IF(ISNUMBER(SEARCH(Classifiers!$F$13,E166)),1,0))+IF(Classifiers!$G$13="",0,IF(ISNUMBER(SEARCH(Classifiers!$G$13,E166)),1,0)))&gt;0,1,0))</f>
        <v/>
      </c>
      <c r="S166" s="12">
        <f>IF(H166&lt;&gt;1,0,IF((IF(Classifiers!$B$14="",0,IF(ISNUMBER(SEARCH(Classifiers!$B$14,E166)),1,0))+IF(Classifiers!$C$14="",0,IF(ISNUMBER(SEARCH(Classifiers!$C$14,E166)),1,0))+IF(Classifiers!$D$14="",0,IF(ISNUMBER(SEARCH(Classifiers!$D$14,E166)),1,0))+IF(Classifiers!$E$14="",0,IF(ISNUMBER(SEARCH(Classifiers!$E$14,E166)),1,0))+IF(Classifiers!$F$14="",0,IF(ISNUMBER(SEARCH(Classifiers!$F$14,E166)),1,0))+IF(Classifiers!$G$14="",0,IF(ISNUMBER(SEARCH(Classifiers!$G$14,E166)),1,0)))&gt;0,1,0))</f>
        <v/>
      </c>
      <c r="T166" s="12">
        <f>IF(H166&lt;&gt;1,0,IF((IF(Classifiers!$B$15="",0,IF(ISNUMBER(SEARCH(Classifiers!$B$15,E166)),1,0))+IF(Classifiers!$C$15="",0,IF(ISNUMBER(SEARCH(Classifiers!$C$15,E166)),1,0))+IF(Classifiers!$D$15="",0,IF(ISNUMBER(SEARCH(Classifiers!$D$15,E166)),1,0))+IF(Classifiers!$E$15="",0,IF(ISNUMBER(SEARCH(Classifiers!$E$15,E166)),1,0))+IF(Classifiers!$F$15="",0,IF(ISNUMBER(SEARCH(Classifiers!$F$15,E166)),1,0))+IF(Classifiers!$G$15="",0,IF(ISNUMBER(SEARCH(Classifiers!$G$15,E166)),1,0)))&gt;0,1,0))</f>
        <v/>
      </c>
      <c r="U166" s="12">
        <f>IF(H166&lt;&gt;1,0,IF((IF(Classifiers!$B$16="",0,IF(ISNUMBER(SEARCH(Classifiers!$B$16,E166)),1,0))+IF(Classifiers!$C$16="",0,IF(ISNUMBER(SEARCH(Classifiers!$C$16,E166)),1,0))+IF(Classifiers!$D$16="",0,IF(ISNUMBER(SEARCH(Classifiers!$D$16,E166)),1,0))+IF(Classifiers!$E$16="",0,IF(ISNUMBER(SEARCH(Classifiers!$E$16,E166)),1,0))+IF(Classifiers!$F$16="",0,IF(ISNUMBER(SEARCH(Classifiers!$F$16,E166)),1,0))+IF(Classifiers!$G$16="",0,IF(ISNUMBER(SEARCH(Classifiers!$G$16,E166)),1,0)))&gt;0,1,0))</f>
        <v/>
      </c>
      <c r="V166" s="12">
        <f>IF(H166&lt;&gt;1,0,IF((IF(Classifiers!$B$17="",0,IF(ISNUMBER(SEARCH(Classifiers!$B$17,E166)),1,0))+IF(Classifiers!$C$17="",0,IF(ISNUMBER(SEARCH(Classifiers!$C$17,E166)),1,0))+IF(Classifiers!$D$17="",0,IF(ISNUMBER(SEARCH(Classifiers!$D$17,E166)),1,0))+IF(Classifiers!$E$17="",0,IF(ISNUMBER(SEARCH(Classifiers!$E$17,E166)),1,0))+IF(Classifiers!$F$17="",0,IF(ISNUMBER(SEARCH(Classifiers!$F$17,E166)),1,0))+IF(Classifiers!$G$17="",0,IF(ISNUMBER(SEARCH(Classifiers!$G$17,E166)),1,0)))&gt;0,1,0))</f>
        <v/>
      </c>
      <c r="W166" s="12">
        <f>IF(H166&lt;&gt;1,0,IF((IF(Classifiers!$B$18="",0,IF(ISNUMBER(SEARCH(Classifiers!$B$18,E166)),1,0))+IF(Classifiers!$C$18="",0,IF(ISNUMBER(SEARCH(Classifiers!$C$18,E166)),1,0))+IF(Classifiers!$D$18="",0,IF(ISNUMBER(SEARCH(Classifiers!$D$18,E166)),1,0))+IF(Classifiers!$E$18="",0,IF(ISNUMBER(SEARCH(Classifiers!$E$18,E166)),1,0))+IF(Classifiers!$F$18="",0,IF(ISNUMBER(SEARCH(Classifiers!$F$18,E166)),1,0))+IF(Classifiers!$G$18="",0,IF(ISNUMBER(SEARCH(Classifiers!$G$18,E166)),1,0)))&gt;0,1,0))</f>
        <v/>
      </c>
    </row>
    <row r="167">
      <c r="A167" s="8" t="n"/>
      <c r="B167" s="11" t="n"/>
      <c r="C167" s="6">
        <f>IF(A167="","",TRIM(RIGHT(SUBSTITUTE(A167,"/",REPT(" ",250)),250)))</f>
        <v/>
      </c>
      <c r="D167" s="6">
        <f>IF(C167="","",IF(ISNUMBER(SEARCH(".",C167)),LOWER("."&amp;TRIM(RIGHT(SUBSTITUTE(C167,".",REPT(" ",250)),250))),""))</f>
        <v/>
      </c>
      <c r="E167" s="6">
        <f>IF(C167="","",TRIM(SUBSTITUTE(SUBSTITUTE(SUBSTITUTE(SUBSTITUTE(SUBSTITUTE(SUBSTITUTE(SUBSTITUTE(SUBSTITUTE(SUBSTITUTE(SUBSTITUTE(SUBSTITUTE(SUBSTITUTE(SUBSTITUTE(SUBSTITUTE(SUBSTITUTE(SUBSTITUTE(SUBSTITUTE(SUBSTITUTE(SUBSTITUTE(SUBSTITUTE(LOWER(LEFT(C167,LEN(C167)-LEN(D167))),"_"," "),"-"," "),"."," "),","," "),"("," "),")"," "),"["," "),"]"," "),"&amp;"," "),"+"," "),"@"," "),"#"," "),"!"," "),"'"," "),"/"," "),":"," "),";"," "),"="," "),"~"," "),"%"," ")))</f>
        <v/>
      </c>
      <c r="F167" s="6">
        <f>IF(C167="","",IF(COUNTIF(Classifiers!$A$23:$A$40,D167)&gt;0,1,0))</f>
        <v/>
      </c>
      <c r="G167" s="6">
        <f>IF(C167="","",IF(COUNTIF(Classifiers!$C$23:$C$30,D167)&gt;0,IF((IF(ISNUMBER(SEARCH(Classifiers!$E$23,E167)),1,0)+IF(ISNUMBER(SEARCH(Classifiers!$E$24,E167)),1,0)+IF(ISNUMBER(SEARCH(Classifiers!$E$25,E167)),1,0)+IF(ISNUMBER(SEARCH(Classifiers!$E$26,E167)),1,0)+IF(ISNUMBER(SEARCH(Classifiers!$E$27,E167)),1,0)+IF(ISNUMBER(SEARCH(Classifiers!$E$28,E167)),1,0)+IF(ISNUMBER(SEARCH(Classifiers!$E$29,E167)),1,0)+IF(ISNUMBER(SEARCH(Classifiers!$E$30,E167)),1,0))&gt;0,1,0),0))</f>
        <v/>
      </c>
      <c r="H167" s="6">
        <f>IF(C167="","",IF(OR(LEFT(C167,1)=".",AND(F167=0,G167=0)),0,1))</f>
        <v/>
      </c>
      <c r="I167" s="6">
        <f>IF(H167&lt;&gt;1,"",IF(SUM(J167:W167)=0,"unclassified",INDEX(Classifiers!$A$5:$A$18,MATCH(1,J167:W167,0),1)))</f>
        <v/>
      </c>
      <c r="J167" s="12">
        <f>IF(H167&lt;&gt;1,0,IF((IF(Classifiers!$B$5="",0,IF(ISNUMBER(SEARCH(Classifiers!$B$5,E167)),1,0))+IF(Classifiers!$C$5="",0,IF(ISNUMBER(SEARCH(Classifiers!$C$5,E167)),1,0))+IF(Classifiers!$D$5="",0,IF(ISNUMBER(SEARCH(Classifiers!$D$5,E167)),1,0))+IF(Classifiers!$E$5="",0,IF(ISNUMBER(SEARCH(Classifiers!$E$5,E167)),1,0))+IF(Classifiers!$F$5="",0,IF(ISNUMBER(SEARCH(Classifiers!$F$5,E167)),1,0))+IF(Classifiers!$G$5="",0,IF(ISNUMBER(SEARCH(Classifiers!$G$5,E167)),1,0)))&gt;0,1,0))</f>
        <v/>
      </c>
      <c r="K167" s="12">
        <f>IF(H167&lt;&gt;1,0,IF((IF(Classifiers!$B$6="",0,IF(ISNUMBER(SEARCH(Classifiers!$B$6,E167)),1,0))+IF(Classifiers!$C$6="",0,IF(ISNUMBER(SEARCH(Classifiers!$C$6,E167)),1,0))+IF(Classifiers!$D$6="",0,IF(ISNUMBER(SEARCH(Classifiers!$D$6,E167)),1,0))+IF(Classifiers!$E$6="",0,IF(ISNUMBER(SEARCH(Classifiers!$E$6,E167)),1,0))+IF(Classifiers!$F$6="",0,IF(ISNUMBER(SEARCH(Classifiers!$F$6,E167)),1,0))+IF(Classifiers!$G$6="",0,IF(ISNUMBER(SEARCH(Classifiers!$G$6,E167)),1,0)))&gt;0,1,0))</f>
        <v/>
      </c>
      <c r="L167" s="12">
        <f>IF(H167&lt;&gt;1,0,IF((IF(Classifiers!$B$7="",0,IF(ISNUMBER(SEARCH(Classifiers!$B$7,E167)),1,0))+IF(Classifiers!$C$7="",0,IF(ISNUMBER(SEARCH(Classifiers!$C$7,E167)),1,0))+IF(Classifiers!$D$7="",0,IF(ISNUMBER(SEARCH(Classifiers!$D$7,E167)),1,0))+IF(Classifiers!$E$7="",0,IF(ISNUMBER(SEARCH(Classifiers!$E$7,E167)),1,0))+IF(Classifiers!$F$7="",0,IF(ISNUMBER(SEARCH(Classifiers!$F$7,E167)),1,0))+IF(Classifiers!$G$7="",0,IF(ISNUMBER(SEARCH(Classifiers!$G$7,E167)),1,0)))&gt;0,1,0))</f>
        <v/>
      </c>
      <c r="M167" s="12">
        <f>IF(H167&lt;&gt;1,0,IF((IF(Classifiers!$B$8="",0,IF(ISNUMBER(SEARCH(Classifiers!$B$8,E167)),1,0))+IF(Classifiers!$C$8="",0,IF(ISNUMBER(SEARCH(Classifiers!$C$8,E167)),1,0))+IF(Classifiers!$D$8="",0,IF(ISNUMBER(SEARCH(Classifiers!$D$8,E167)),1,0))+IF(Classifiers!$E$8="",0,IF(ISNUMBER(SEARCH(Classifiers!$E$8,E167)),1,0))+IF(Classifiers!$F$8="",0,IF(ISNUMBER(SEARCH(Classifiers!$F$8,E167)),1,0))+IF(Classifiers!$G$8="",0,IF(ISNUMBER(SEARCH(Classifiers!$G$8,E167)),1,0)))&gt;0,1,0))</f>
        <v/>
      </c>
      <c r="N167" s="12">
        <f>IF(H167&lt;&gt;1,0,IF((IF(Classifiers!$B$9="",0,IF(ISNUMBER(SEARCH(Classifiers!$B$9,E167)),1,0))+IF(Classifiers!$C$9="",0,IF(ISNUMBER(SEARCH(Classifiers!$C$9,E167)),1,0))+IF(Classifiers!$D$9="",0,IF(ISNUMBER(SEARCH(Classifiers!$D$9,E167)),1,0))+IF(Classifiers!$E$9="",0,IF(ISNUMBER(SEARCH(Classifiers!$E$9,E167)),1,0))+IF(Classifiers!$F$9="",0,IF(ISNUMBER(SEARCH(Classifiers!$F$9,E167)),1,0))+IF(Classifiers!$G$9="",0,IF(ISNUMBER(SEARCH(Classifiers!$G$9,E167)),1,0)))&gt;0,1,0))</f>
        <v/>
      </c>
      <c r="O167" s="12">
        <f>IF(H167&lt;&gt;1,0,IF((IF(Classifiers!$B$10="",0,IF(ISNUMBER(SEARCH(Classifiers!$B$10,E167)),1,0))+IF(Classifiers!$C$10="",0,IF(ISNUMBER(SEARCH(Classifiers!$C$10,E167)),1,0))+IF(Classifiers!$D$10="",0,IF(ISNUMBER(SEARCH(Classifiers!$D$10,E167)),1,0))+IF(Classifiers!$E$10="",0,IF(ISNUMBER(SEARCH(Classifiers!$E$10,E167)),1,0))+IF(Classifiers!$F$10="",0,IF(ISNUMBER(SEARCH(Classifiers!$F$10,E167)),1,0))+IF(Classifiers!$G$10="",0,IF(ISNUMBER(SEARCH(Classifiers!$G$10,E167)),1,0)))&gt;0,1,0))</f>
        <v/>
      </c>
      <c r="P167" s="12">
        <f>IF(H167&lt;&gt;1,0,IF((IF(Classifiers!$B$11="",0,IF(ISNUMBER(SEARCH(Classifiers!$B$11,E167)),1,0))+IF(Classifiers!$C$11="",0,IF(ISNUMBER(SEARCH(Classifiers!$C$11,E167)),1,0))+IF(Classifiers!$D$11="",0,IF(ISNUMBER(SEARCH(Classifiers!$D$11,E167)),1,0))+IF(Classifiers!$E$11="",0,IF(ISNUMBER(SEARCH(Classifiers!$E$11,E167)),1,0))+IF(Classifiers!$F$11="",0,IF(ISNUMBER(SEARCH(Classifiers!$F$11,E167)),1,0))+IF(Classifiers!$G$11="",0,IF(ISNUMBER(SEARCH(Classifiers!$G$11,E167)),1,0)))&gt;0,1,0))</f>
        <v/>
      </c>
      <c r="Q167" s="12">
        <f>IF(H167&lt;&gt;1,0,IF((IF(Classifiers!$B$12="",0,IF(ISNUMBER(SEARCH(Classifiers!$B$12,E167)),1,0))+IF(Classifiers!$C$12="",0,IF(ISNUMBER(SEARCH(Classifiers!$C$12,E167)),1,0))+IF(Classifiers!$D$12="",0,IF(ISNUMBER(SEARCH(Classifiers!$D$12,E167)),1,0))+IF(Classifiers!$E$12="",0,IF(ISNUMBER(SEARCH(Classifiers!$E$12,E167)),1,0))+IF(Classifiers!$F$12="",0,IF(ISNUMBER(SEARCH(Classifiers!$F$12,E167)),1,0))+IF(Classifiers!$G$12="",0,IF(ISNUMBER(SEARCH(Classifiers!$G$12,E167)),1,0)))&gt;0,1,0))</f>
        <v/>
      </c>
      <c r="R167" s="12">
        <f>IF(H167&lt;&gt;1,0,IF((IF(Classifiers!$B$13="",0,IF(ISNUMBER(SEARCH(Classifiers!$B$13,E167)),1,0))+IF(Classifiers!$C$13="",0,IF(ISNUMBER(SEARCH(Classifiers!$C$13,E167)),1,0))+IF(Classifiers!$D$13="",0,IF(ISNUMBER(SEARCH(Classifiers!$D$13,E167)),1,0))+IF(Classifiers!$E$13="",0,IF(ISNUMBER(SEARCH(Classifiers!$E$13,E167)),1,0))+IF(Classifiers!$F$13="",0,IF(ISNUMBER(SEARCH(Classifiers!$F$13,E167)),1,0))+IF(Classifiers!$G$13="",0,IF(ISNUMBER(SEARCH(Classifiers!$G$13,E167)),1,0)))&gt;0,1,0))</f>
        <v/>
      </c>
      <c r="S167" s="12">
        <f>IF(H167&lt;&gt;1,0,IF((IF(Classifiers!$B$14="",0,IF(ISNUMBER(SEARCH(Classifiers!$B$14,E167)),1,0))+IF(Classifiers!$C$14="",0,IF(ISNUMBER(SEARCH(Classifiers!$C$14,E167)),1,0))+IF(Classifiers!$D$14="",0,IF(ISNUMBER(SEARCH(Classifiers!$D$14,E167)),1,0))+IF(Classifiers!$E$14="",0,IF(ISNUMBER(SEARCH(Classifiers!$E$14,E167)),1,0))+IF(Classifiers!$F$14="",0,IF(ISNUMBER(SEARCH(Classifiers!$F$14,E167)),1,0))+IF(Classifiers!$G$14="",0,IF(ISNUMBER(SEARCH(Classifiers!$G$14,E167)),1,0)))&gt;0,1,0))</f>
        <v/>
      </c>
      <c r="T167" s="12">
        <f>IF(H167&lt;&gt;1,0,IF((IF(Classifiers!$B$15="",0,IF(ISNUMBER(SEARCH(Classifiers!$B$15,E167)),1,0))+IF(Classifiers!$C$15="",0,IF(ISNUMBER(SEARCH(Classifiers!$C$15,E167)),1,0))+IF(Classifiers!$D$15="",0,IF(ISNUMBER(SEARCH(Classifiers!$D$15,E167)),1,0))+IF(Classifiers!$E$15="",0,IF(ISNUMBER(SEARCH(Classifiers!$E$15,E167)),1,0))+IF(Classifiers!$F$15="",0,IF(ISNUMBER(SEARCH(Classifiers!$F$15,E167)),1,0))+IF(Classifiers!$G$15="",0,IF(ISNUMBER(SEARCH(Classifiers!$G$15,E167)),1,0)))&gt;0,1,0))</f>
        <v/>
      </c>
      <c r="U167" s="12">
        <f>IF(H167&lt;&gt;1,0,IF((IF(Classifiers!$B$16="",0,IF(ISNUMBER(SEARCH(Classifiers!$B$16,E167)),1,0))+IF(Classifiers!$C$16="",0,IF(ISNUMBER(SEARCH(Classifiers!$C$16,E167)),1,0))+IF(Classifiers!$D$16="",0,IF(ISNUMBER(SEARCH(Classifiers!$D$16,E167)),1,0))+IF(Classifiers!$E$16="",0,IF(ISNUMBER(SEARCH(Classifiers!$E$16,E167)),1,0))+IF(Classifiers!$F$16="",0,IF(ISNUMBER(SEARCH(Classifiers!$F$16,E167)),1,0))+IF(Classifiers!$G$16="",0,IF(ISNUMBER(SEARCH(Classifiers!$G$16,E167)),1,0)))&gt;0,1,0))</f>
        <v/>
      </c>
      <c r="V167" s="12">
        <f>IF(H167&lt;&gt;1,0,IF((IF(Classifiers!$B$17="",0,IF(ISNUMBER(SEARCH(Classifiers!$B$17,E167)),1,0))+IF(Classifiers!$C$17="",0,IF(ISNUMBER(SEARCH(Classifiers!$C$17,E167)),1,0))+IF(Classifiers!$D$17="",0,IF(ISNUMBER(SEARCH(Classifiers!$D$17,E167)),1,0))+IF(Classifiers!$E$17="",0,IF(ISNUMBER(SEARCH(Classifiers!$E$17,E167)),1,0))+IF(Classifiers!$F$17="",0,IF(ISNUMBER(SEARCH(Classifiers!$F$17,E167)),1,0))+IF(Classifiers!$G$17="",0,IF(ISNUMBER(SEARCH(Classifiers!$G$17,E167)),1,0)))&gt;0,1,0))</f>
        <v/>
      </c>
      <c r="W167" s="12">
        <f>IF(H167&lt;&gt;1,0,IF((IF(Classifiers!$B$18="",0,IF(ISNUMBER(SEARCH(Classifiers!$B$18,E167)),1,0))+IF(Classifiers!$C$18="",0,IF(ISNUMBER(SEARCH(Classifiers!$C$18,E167)),1,0))+IF(Classifiers!$D$18="",0,IF(ISNUMBER(SEARCH(Classifiers!$D$18,E167)),1,0))+IF(Classifiers!$E$18="",0,IF(ISNUMBER(SEARCH(Classifiers!$E$18,E167)),1,0))+IF(Classifiers!$F$18="",0,IF(ISNUMBER(SEARCH(Classifiers!$F$18,E167)),1,0))+IF(Classifiers!$G$18="",0,IF(ISNUMBER(SEARCH(Classifiers!$G$18,E167)),1,0)))&gt;0,1,0))</f>
        <v/>
      </c>
    </row>
    <row r="168">
      <c r="A168" s="8" t="n"/>
      <c r="B168" s="11" t="n"/>
      <c r="C168" s="6">
        <f>IF(A168="","",TRIM(RIGHT(SUBSTITUTE(A168,"/",REPT(" ",250)),250)))</f>
        <v/>
      </c>
      <c r="D168" s="6">
        <f>IF(C168="","",IF(ISNUMBER(SEARCH(".",C168)),LOWER("."&amp;TRIM(RIGHT(SUBSTITUTE(C168,".",REPT(" ",250)),250))),""))</f>
        <v/>
      </c>
      <c r="E168" s="6">
        <f>IF(C168="","",TRIM(SUBSTITUTE(SUBSTITUTE(SUBSTITUTE(SUBSTITUTE(SUBSTITUTE(SUBSTITUTE(SUBSTITUTE(SUBSTITUTE(SUBSTITUTE(SUBSTITUTE(SUBSTITUTE(SUBSTITUTE(SUBSTITUTE(SUBSTITUTE(SUBSTITUTE(SUBSTITUTE(SUBSTITUTE(SUBSTITUTE(SUBSTITUTE(SUBSTITUTE(LOWER(LEFT(C168,LEN(C168)-LEN(D168))),"_"," "),"-"," "),"."," "),","," "),"("," "),")"," "),"["," "),"]"," "),"&amp;"," "),"+"," "),"@"," "),"#"," "),"!"," "),"'"," "),"/"," "),":"," "),";"," "),"="," "),"~"," "),"%"," ")))</f>
        <v/>
      </c>
      <c r="F168" s="6">
        <f>IF(C168="","",IF(COUNTIF(Classifiers!$A$23:$A$40,D168)&gt;0,1,0))</f>
        <v/>
      </c>
      <c r="G168" s="6">
        <f>IF(C168="","",IF(COUNTIF(Classifiers!$C$23:$C$30,D168)&gt;0,IF((IF(ISNUMBER(SEARCH(Classifiers!$E$23,E168)),1,0)+IF(ISNUMBER(SEARCH(Classifiers!$E$24,E168)),1,0)+IF(ISNUMBER(SEARCH(Classifiers!$E$25,E168)),1,0)+IF(ISNUMBER(SEARCH(Classifiers!$E$26,E168)),1,0)+IF(ISNUMBER(SEARCH(Classifiers!$E$27,E168)),1,0)+IF(ISNUMBER(SEARCH(Classifiers!$E$28,E168)),1,0)+IF(ISNUMBER(SEARCH(Classifiers!$E$29,E168)),1,0)+IF(ISNUMBER(SEARCH(Classifiers!$E$30,E168)),1,0))&gt;0,1,0),0))</f>
        <v/>
      </c>
      <c r="H168" s="6">
        <f>IF(C168="","",IF(OR(LEFT(C168,1)=".",AND(F168=0,G168=0)),0,1))</f>
        <v/>
      </c>
      <c r="I168" s="6">
        <f>IF(H168&lt;&gt;1,"",IF(SUM(J168:W168)=0,"unclassified",INDEX(Classifiers!$A$5:$A$18,MATCH(1,J168:W168,0),1)))</f>
        <v/>
      </c>
      <c r="J168" s="12">
        <f>IF(H168&lt;&gt;1,0,IF((IF(Classifiers!$B$5="",0,IF(ISNUMBER(SEARCH(Classifiers!$B$5,E168)),1,0))+IF(Classifiers!$C$5="",0,IF(ISNUMBER(SEARCH(Classifiers!$C$5,E168)),1,0))+IF(Classifiers!$D$5="",0,IF(ISNUMBER(SEARCH(Classifiers!$D$5,E168)),1,0))+IF(Classifiers!$E$5="",0,IF(ISNUMBER(SEARCH(Classifiers!$E$5,E168)),1,0))+IF(Classifiers!$F$5="",0,IF(ISNUMBER(SEARCH(Classifiers!$F$5,E168)),1,0))+IF(Classifiers!$G$5="",0,IF(ISNUMBER(SEARCH(Classifiers!$G$5,E168)),1,0)))&gt;0,1,0))</f>
        <v/>
      </c>
      <c r="K168" s="12">
        <f>IF(H168&lt;&gt;1,0,IF((IF(Classifiers!$B$6="",0,IF(ISNUMBER(SEARCH(Classifiers!$B$6,E168)),1,0))+IF(Classifiers!$C$6="",0,IF(ISNUMBER(SEARCH(Classifiers!$C$6,E168)),1,0))+IF(Classifiers!$D$6="",0,IF(ISNUMBER(SEARCH(Classifiers!$D$6,E168)),1,0))+IF(Classifiers!$E$6="",0,IF(ISNUMBER(SEARCH(Classifiers!$E$6,E168)),1,0))+IF(Classifiers!$F$6="",0,IF(ISNUMBER(SEARCH(Classifiers!$F$6,E168)),1,0))+IF(Classifiers!$G$6="",0,IF(ISNUMBER(SEARCH(Classifiers!$G$6,E168)),1,0)))&gt;0,1,0))</f>
        <v/>
      </c>
      <c r="L168" s="12">
        <f>IF(H168&lt;&gt;1,0,IF((IF(Classifiers!$B$7="",0,IF(ISNUMBER(SEARCH(Classifiers!$B$7,E168)),1,0))+IF(Classifiers!$C$7="",0,IF(ISNUMBER(SEARCH(Classifiers!$C$7,E168)),1,0))+IF(Classifiers!$D$7="",0,IF(ISNUMBER(SEARCH(Classifiers!$D$7,E168)),1,0))+IF(Classifiers!$E$7="",0,IF(ISNUMBER(SEARCH(Classifiers!$E$7,E168)),1,0))+IF(Classifiers!$F$7="",0,IF(ISNUMBER(SEARCH(Classifiers!$F$7,E168)),1,0))+IF(Classifiers!$G$7="",0,IF(ISNUMBER(SEARCH(Classifiers!$G$7,E168)),1,0)))&gt;0,1,0))</f>
        <v/>
      </c>
      <c r="M168" s="12">
        <f>IF(H168&lt;&gt;1,0,IF((IF(Classifiers!$B$8="",0,IF(ISNUMBER(SEARCH(Classifiers!$B$8,E168)),1,0))+IF(Classifiers!$C$8="",0,IF(ISNUMBER(SEARCH(Classifiers!$C$8,E168)),1,0))+IF(Classifiers!$D$8="",0,IF(ISNUMBER(SEARCH(Classifiers!$D$8,E168)),1,0))+IF(Classifiers!$E$8="",0,IF(ISNUMBER(SEARCH(Classifiers!$E$8,E168)),1,0))+IF(Classifiers!$F$8="",0,IF(ISNUMBER(SEARCH(Classifiers!$F$8,E168)),1,0))+IF(Classifiers!$G$8="",0,IF(ISNUMBER(SEARCH(Classifiers!$G$8,E168)),1,0)))&gt;0,1,0))</f>
        <v/>
      </c>
      <c r="N168" s="12">
        <f>IF(H168&lt;&gt;1,0,IF((IF(Classifiers!$B$9="",0,IF(ISNUMBER(SEARCH(Classifiers!$B$9,E168)),1,0))+IF(Classifiers!$C$9="",0,IF(ISNUMBER(SEARCH(Classifiers!$C$9,E168)),1,0))+IF(Classifiers!$D$9="",0,IF(ISNUMBER(SEARCH(Classifiers!$D$9,E168)),1,0))+IF(Classifiers!$E$9="",0,IF(ISNUMBER(SEARCH(Classifiers!$E$9,E168)),1,0))+IF(Classifiers!$F$9="",0,IF(ISNUMBER(SEARCH(Classifiers!$F$9,E168)),1,0))+IF(Classifiers!$G$9="",0,IF(ISNUMBER(SEARCH(Classifiers!$G$9,E168)),1,0)))&gt;0,1,0))</f>
        <v/>
      </c>
      <c r="O168" s="12">
        <f>IF(H168&lt;&gt;1,0,IF((IF(Classifiers!$B$10="",0,IF(ISNUMBER(SEARCH(Classifiers!$B$10,E168)),1,0))+IF(Classifiers!$C$10="",0,IF(ISNUMBER(SEARCH(Classifiers!$C$10,E168)),1,0))+IF(Classifiers!$D$10="",0,IF(ISNUMBER(SEARCH(Classifiers!$D$10,E168)),1,0))+IF(Classifiers!$E$10="",0,IF(ISNUMBER(SEARCH(Classifiers!$E$10,E168)),1,0))+IF(Classifiers!$F$10="",0,IF(ISNUMBER(SEARCH(Classifiers!$F$10,E168)),1,0))+IF(Classifiers!$G$10="",0,IF(ISNUMBER(SEARCH(Classifiers!$G$10,E168)),1,0)))&gt;0,1,0))</f>
        <v/>
      </c>
      <c r="P168" s="12">
        <f>IF(H168&lt;&gt;1,0,IF((IF(Classifiers!$B$11="",0,IF(ISNUMBER(SEARCH(Classifiers!$B$11,E168)),1,0))+IF(Classifiers!$C$11="",0,IF(ISNUMBER(SEARCH(Classifiers!$C$11,E168)),1,0))+IF(Classifiers!$D$11="",0,IF(ISNUMBER(SEARCH(Classifiers!$D$11,E168)),1,0))+IF(Classifiers!$E$11="",0,IF(ISNUMBER(SEARCH(Classifiers!$E$11,E168)),1,0))+IF(Classifiers!$F$11="",0,IF(ISNUMBER(SEARCH(Classifiers!$F$11,E168)),1,0))+IF(Classifiers!$G$11="",0,IF(ISNUMBER(SEARCH(Classifiers!$G$11,E168)),1,0)))&gt;0,1,0))</f>
        <v/>
      </c>
      <c r="Q168" s="12">
        <f>IF(H168&lt;&gt;1,0,IF((IF(Classifiers!$B$12="",0,IF(ISNUMBER(SEARCH(Classifiers!$B$12,E168)),1,0))+IF(Classifiers!$C$12="",0,IF(ISNUMBER(SEARCH(Classifiers!$C$12,E168)),1,0))+IF(Classifiers!$D$12="",0,IF(ISNUMBER(SEARCH(Classifiers!$D$12,E168)),1,0))+IF(Classifiers!$E$12="",0,IF(ISNUMBER(SEARCH(Classifiers!$E$12,E168)),1,0))+IF(Classifiers!$F$12="",0,IF(ISNUMBER(SEARCH(Classifiers!$F$12,E168)),1,0))+IF(Classifiers!$G$12="",0,IF(ISNUMBER(SEARCH(Classifiers!$G$12,E168)),1,0)))&gt;0,1,0))</f>
        <v/>
      </c>
      <c r="R168" s="12">
        <f>IF(H168&lt;&gt;1,0,IF((IF(Classifiers!$B$13="",0,IF(ISNUMBER(SEARCH(Classifiers!$B$13,E168)),1,0))+IF(Classifiers!$C$13="",0,IF(ISNUMBER(SEARCH(Classifiers!$C$13,E168)),1,0))+IF(Classifiers!$D$13="",0,IF(ISNUMBER(SEARCH(Classifiers!$D$13,E168)),1,0))+IF(Classifiers!$E$13="",0,IF(ISNUMBER(SEARCH(Classifiers!$E$13,E168)),1,0))+IF(Classifiers!$F$13="",0,IF(ISNUMBER(SEARCH(Classifiers!$F$13,E168)),1,0))+IF(Classifiers!$G$13="",0,IF(ISNUMBER(SEARCH(Classifiers!$G$13,E168)),1,0)))&gt;0,1,0))</f>
        <v/>
      </c>
      <c r="S168" s="12">
        <f>IF(H168&lt;&gt;1,0,IF((IF(Classifiers!$B$14="",0,IF(ISNUMBER(SEARCH(Classifiers!$B$14,E168)),1,0))+IF(Classifiers!$C$14="",0,IF(ISNUMBER(SEARCH(Classifiers!$C$14,E168)),1,0))+IF(Classifiers!$D$14="",0,IF(ISNUMBER(SEARCH(Classifiers!$D$14,E168)),1,0))+IF(Classifiers!$E$14="",0,IF(ISNUMBER(SEARCH(Classifiers!$E$14,E168)),1,0))+IF(Classifiers!$F$14="",0,IF(ISNUMBER(SEARCH(Classifiers!$F$14,E168)),1,0))+IF(Classifiers!$G$14="",0,IF(ISNUMBER(SEARCH(Classifiers!$G$14,E168)),1,0)))&gt;0,1,0))</f>
        <v/>
      </c>
      <c r="T168" s="12">
        <f>IF(H168&lt;&gt;1,0,IF((IF(Classifiers!$B$15="",0,IF(ISNUMBER(SEARCH(Classifiers!$B$15,E168)),1,0))+IF(Classifiers!$C$15="",0,IF(ISNUMBER(SEARCH(Classifiers!$C$15,E168)),1,0))+IF(Classifiers!$D$15="",0,IF(ISNUMBER(SEARCH(Classifiers!$D$15,E168)),1,0))+IF(Classifiers!$E$15="",0,IF(ISNUMBER(SEARCH(Classifiers!$E$15,E168)),1,0))+IF(Classifiers!$F$15="",0,IF(ISNUMBER(SEARCH(Classifiers!$F$15,E168)),1,0))+IF(Classifiers!$G$15="",0,IF(ISNUMBER(SEARCH(Classifiers!$G$15,E168)),1,0)))&gt;0,1,0))</f>
        <v/>
      </c>
      <c r="U168" s="12">
        <f>IF(H168&lt;&gt;1,0,IF((IF(Classifiers!$B$16="",0,IF(ISNUMBER(SEARCH(Classifiers!$B$16,E168)),1,0))+IF(Classifiers!$C$16="",0,IF(ISNUMBER(SEARCH(Classifiers!$C$16,E168)),1,0))+IF(Classifiers!$D$16="",0,IF(ISNUMBER(SEARCH(Classifiers!$D$16,E168)),1,0))+IF(Classifiers!$E$16="",0,IF(ISNUMBER(SEARCH(Classifiers!$E$16,E168)),1,0))+IF(Classifiers!$F$16="",0,IF(ISNUMBER(SEARCH(Classifiers!$F$16,E168)),1,0))+IF(Classifiers!$G$16="",0,IF(ISNUMBER(SEARCH(Classifiers!$G$16,E168)),1,0)))&gt;0,1,0))</f>
        <v/>
      </c>
      <c r="V168" s="12">
        <f>IF(H168&lt;&gt;1,0,IF((IF(Classifiers!$B$17="",0,IF(ISNUMBER(SEARCH(Classifiers!$B$17,E168)),1,0))+IF(Classifiers!$C$17="",0,IF(ISNUMBER(SEARCH(Classifiers!$C$17,E168)),1,0))+IF(Classifiers!$D$17="",0,IF(ISNUMBER(SEARCH(Classifiers!$D$17,E168)),1,0))+IF(Classifiers!$E$17="",0,IF(ISNUMBER(SEARCH(Classifiers!$E$17,E168)),1,0))+IF(Classifiers!$F$17="",0,IF(ISNUMBER(SEARCH(Classifiers!$F$17,E168)),1,0))+IF(Classifiers!$G$17="",0,IF(ISNUMBER(SEARCH(Classifiers!$G$17,E168)),1,0)))&gt;0,1,0))</f>
        <v/>
      </c>
      <c r="W168" s="12">
        <f>IF(H168&lt;&gt;1,0,IF((IF(Classifiers!$B$18="",0,IF(ISNUMBER(SEARCH(Classifiers!$B$18,E168)),1,0))+IF(Classifiers!$C$18="",0,IF(ISNUMBER(SEARCH(Classifiers!$C$18,E168)),1,0))+IF(Classifiers!$D$18="",0,IF(ISNUMBER(SEARCH(Classifiers!$D$18,E168)),1,0))+IF(Classifiers!$E$18="",0,IF(ISNUMBER(SEARCH(Classifiers!$E$18,E168)),1,0))+IF(Classifiers!$F$18="",0,IF(ISNUMBER(SEARCH(Classifiers!$F$18,E168)),1,0))+IF(Classifiers!$G$18="",0,IF(ISNUMBER(SEARCH(Classifiers!$G$18,E168)),1,0)))&gt;0,1,0))</f>
        <v/>
      </c>
    </row>
    <row r="169">
      <c r="A169" s="8" t="n"/>
      <c r="B169" s="11" t="n"/>
      <c r="C169" s="6">
        <f>IF(A169="","",TRIM(RIGHT(SUBSTITUTE(A169,"/",REPT(" ",250)),250)))</f>
        <v/>
      </c>
      <c r="D169" s="6">
        <f>IF(C169="","",IF(ISNUMBER(SEARCH(".",C169)),LOWER("."&amp;TRIM(RIGHT(SUBSTITUTE(C169,".",REPT(" ",250)),250))),""))</f>
        <v/>
      </c>
      <c r="E169" s="6">
        <f>IF(C169="","",TRIM(SUBSTITUTE(SUBSTITUTE(SUBSTITUTE(SUBSTITUTE(SUBSTITUTE(SUBSTITUTE(SUBSTITUTE(SUBSTITUTE(SUBSTITUTE(SUBSTITUTE(SUBSTITUTE(SUBSTITUTE(SUBSTITUTE(SUBSTITUTE(SUBSTITUTE(SUBSTITUTE(SUBSTITUTE(SUBSTITUTE(SUBSTITUTE(SUBSTITUTE(LOWER(LEFT(C169,LEN(C169)-LEN(D169))),"_"," "),"-"," "),"."," "),","," "),"("," "),")"," "),"["," "),"]"," "),"&amp;"," "),"+"," "),"@"," "),"#"," "),"!"," "),"'"," "),"/"," "),":"," "),";"," "),"="," "),"~"," "),"%"," ")))</f>
        <v/>
      </c>
      <c r="F169" s="6">
        <f>IF(C169="","",IF(COUNTIF(Classifiers!$A$23:$A$40,D169)&gt;0,1,0))</f>
        <v/>
      </c>
      <c r="G169" s="6">
        <f>IF(C169="","",IF(COUNTIF(Classifiers!$C$23:$C$30,D169)&gt;0,IF((IF(ISNUMBER(SEARCH(Classifiers!$E$23,E169)),1,0)+IF(ISNUMBER(SEARCH(Classifiers!$E$24,E169)),1,0)+IF(ISNUMBER(SEARCH(Classifiers!$E$25,E169)),1,0)+IF(ISNUMBER(SEARCH(Classifiers!$E$26,E169)),1,0)+IF(ISNUMBER(SEARCH(Classifiers!$E$27,E169)),1,0)+IF(ISNUMBER(SEARCH(Classifiers!$E$28,E169)),1,0)+IF(ISNUMBER(SEARCH(Classifiers!$E$29,E169)),1,0)+IF(ISNUMBER(SEARCH(Classifiers!$E$30,E169)),1,0))&gt;0,1,0),0))</f>
        <v/>
      </c>
      <c r="H169" s="6">
        <f>IF(C169="","",IF(OR(LEFT(C169,1)=".",AND(F169=0,G169=0)),0,1))</f>
        <v/>
      </c>
      <c r="I169" s="6">
        <f>IF(H169&lt;&gt;1,"",IF(SUM(J169:W169)=0,"unclassified",INDEX(Classifiers!$A$5:$A$18,MATCH(1,J169:W169,0),1)))</f>
        <v/>
      </c>
      <c r="J169" s="12">
        <f>IF(H169&lt;&gt;1,0,IF((IF(Classifiers!$B$5="",0,IF(ISNUMBER(SEARCH(Classifiers!$B$5,E169)),1,0))+IF(Classifiers!$C$5="",0,IF(ISNUMBER(SEARCH(Classifiers!$C$5,E169)),1,0))+IF(Classifiers!$D$5="",0,IF(ISNUMBER(SEARCH(Classifiers!$D$5,E169)),1,0))+IF(Classifiers!$E$5="",0,IF(ISNUMBER(SEARCH(Classifiers!$E$5,E169)),1,0))+IF(Classifiers!$F$5="",0,IF(ISNUMBER(SEARCH(Classifiers!$F$5,E169)),1,0))+IF(Classifiers!$G$5="",0,IF(ISNUMBER(SEARCH(Classifiers!$G$5,E169)),1,0)))&gt;0,1,0))</f>
        <v/>
      </c>
      <c r="K169" s="12">
        <f>IF(H169&lt;&gt;1,0,IF((IF(Classifiers!$B$6="",0,IF(ISNUMBER(SEARCH(Classifiers!$B$6,E169)),1,0))+IF(Classifiers!$C$6="",0,IF(ISNUMBER(SEARCH(Classifiers!$C$6,E169)),1,0))+IF(Classifiers!$D$6="",0,IF(ISNUMBER(SEARCH(Classifiers!$D$6,E169)),1,0))+IF(Classifiers!$E$6="",0,IF(ISNUMBER(SEARCH(Classifiers!$E$6,E169)),1,0))+IF(Classifiers!$F$6="",0,IF(ISNUMBER(SEARCH(Classifiers!$F$6,E169)),1,0))+IF(Classifiers!$G$6="",0,IF(ISNUMBER(SEARCH(Classifiers!$G$6,E169)),1,0)))&gt;0,1,0))</f>
        <v/>
      </c>
      <c r="L169" s="12">
        <f>IF(H169&lt;&gt;1,0,IF((IF(Classifiers!$B$7="",0,IF(ISNUMBER(SEARCH(Classifiers!$B$7,E169)),1,0))+IF(Classifiers!$C$7="",0,IF(ISNUMBER(SEARCH(Classifiers!$C$7,E169)),1,0))+IF(Classifiers!$D$7="",0,IF(ISNUMBER(SEARCH(Classifiers!$D$7,E169)),1,0))+IF(Classifiers!$E$7="",0,IF(ISNUMBER(SEARCH(Classifiers!$E$7,E169)),1,0))+IF(Classifiers!$F$7="",0,IF(ISNUMBER(SEARCH(Classifiers!$F$7,E169)),1,0))+IF(Classifiers!$G$7="",0,IF(ISNUMBER(SEARCH(Classifiers!$G$7,E169)),1,0)))&gt;0,1,0))</f>
        <v/>
      </c>
      <c r="M169" s="12">
        <f>IF(H169&lt;&gt;1,0,IF((IF(Classifiers!$B$8="",0,IF(ISNUMBER(SEARCH(Classifiers!$B$8,E169)),1,0))+IF(Classifiers!$C$8="",0,IF(ISNUMBER(SEARCH(Classifiers!$C$8,E169)),1,0))+IF(Classifiers!$D$8="",0,IF(ISNUMBER(SEARCH(Classifiers!$D$8,E169)),1,0))+IF(Classifiers!$E$8="",0,IF(ISNUMBER(SEARCH(Classifiers!$E$8,E169)),1,0))+IF(Classifiers!$F$8="",0,IF(ISNUMBER(SEARCH(Classifiers!$F$8,E169)),1,0))+IF(Classifiers!$G$8="",0,IF(ISNUMBER(SEARCH(Classifiers!$G$8,E169)),1,0)))&gt;0,1,0))</f>
        <v/>
      </c>
      <c r="N169" s="12">
        <f>IF(H169&lt;&gt;1,0,IF((IF(Classifiers!$B$9="",0,IF(ISNUMBER(SEARCH(Classifiers!$B$9,E169)),1,0))+IF(Classifiers!$C$9="",0,IF(ISNUMBER(SEARCH(Classifiers!$C$9,E169)),1,0))+IF(Classifiers!$D$9="",0,IF(ISNUMBER(SEARCH(Classifiers!$D$9,E169)),1,0))+IF(Classifiers!$E$9="",0,IF(ISNUMBER(SEARCH(Classifiers!$E$9,E169)),1,0))+IF(Classifiers!$F$9="",0,IF(ISNUMBER(SEARCH(Classifiers!$F$9,E169)),1,0))+IF(Classifiers!$G$9="",0,IF(ISNUMBER(SEARCH(Classifiers!$G$9,E169)),1,0)))&gt;0,1,0))</f>
        <v/>
      </c>
      <c r="O169" s="12">
        <f>IF(H169&lt;&gt;1,0,IF((IF(Classifiers!$B$10="",0,IF(ISNUMBER(SEARCH(Classifiers!$B$10,E169)),1,0))+IF(Classifiers!$C$10="",0,IF(ISNUMBER(SEARCH(Classifiers!$C$10,E169)),1,0))+IF(Classifiers!$D$10="",0,IF(ISNUMBER(SEARCH(Classifiers!$D$10,E169)),1,0))+IF(Classifiers!$E$10="",0,IF(ISNUMBER(SEARCH(Classifiers!$E$10,E169)),1,0))+IF(Classifiers!$F$10="",0,IF(ISNUMBER(SEARCH(Classifiers!$F$10,E169)),1,0))+IF(Classifiers!$G$10="",0,IF(ISNUMBER(SEARCH(Classifiers!$G$10,E169)),1,0)))&gt;0,1,0))</f>
        <v/>
      </c>
      <c r="P169" s="12">
        <f>IF(H169&lt;&gt;1,0,IF((IF(Classifiers!$B$11="",0,IF(ISNUMBER(SEARCH(Classifiers!$B$11,E169)),1,0))+IF(Classifiers!$C$11="",0,IF(ISNUMBER(SEARCH(Classifiers!$C$11,E169)),1,0))+IF(Classifiers!$D$11="",0,IF(ISNUMBER(SEARCH(Classifiers!$D$11,E169)),1,0))+IF(Classifiers!$E$11="",0,IF(ISNUMBER(SEARCH(Classifiers!$E$11,E169)),1,0))+IF(Classifiers!$F$11="",0,IF(ISNUMBER(SEARCH(Classifiers!$F$11,E169)),1,0))+IF(Classifiers!$G$11="",0,IF(ISNUMBER(SEARCH(Classifiers!$G$11,E169)),1,0)))&gt;0,1,0))</f>
        <v/>
      </c>
      <c r="Q169" s="12">
        <f>IF(H169&lt;&gt;1,0,IF((IF(Classifiers!$B$12="",0,IF(ISNUMBER(SEARCH(Classifiers!$B$12,E169)),1,0))+IF(Classifiers!$C$12="",0,IF(ISNUMBER(SEARCH(Classifiers!$C$12,E169)),1,0))+IF(Classifiers!$D$12="",0,IF(ISNUMBER(SEARCH(Classifiers!$D$12,E169)),1,0))+IF(Classifiers!$E$12="",0,IF(ISNUMBER(SEARCH(Classifiers!$E$12,E169)),1,0))+IF(Classifiers!$F$12="",0,IF(ISNUMBER(SEARCH(Classifiers!$F$12,E169)),1,0))+IF(Classifiers!$G$12="",0,IF(ISNUMBER(SEARCH(Classifiers!$G$12,E169)),1,0)))&gt;0,1,0))</f>
        <v/>
      </c>
      <c r="R169" s="12">
        <f>IF(H169&lt;&gt;1,0,IF((IF(Classifiers!$B$13="",0,IF(ISNUMBER(SEARCH(Classifiers!$B$13,E169)),1,0))+IF(Classifiers!$C$13="",0,IF(ISNUMBER(SEARCH(Classifiers!$C$13,E169)),1,0))+IF(Classifiers!$D$13="",0,IF(ISNUMBER(SEARCH(Classifiers!$D$13,E169)),1,0))+IF(Classifiers!$E$13="",0,IF(ISNUMBER(SEARCH(Classifiers!$E$13,E169)),1,0))+IF(Classifiers!$F$13="",0,IF(ISNUMBER(SEARCH(Classifiers!$F$13,E169)),1,0))+IF(Classifiers!$G$13="",0,IF(ISNUMBER(SEARCH(Classifiers!$G$13,E169)),1,0)))&gt;0,1,0))</f>
        <v/>
      </c>
      <c r="S169" s="12">
        <f>IF(H169&lt;&gt;1,0,IF((IF(Classifiers!$B$14="",0,IF(ISNUMBER(SEARCH(Classifiers!$B$14,E169)),1,0))+IF(Classifiers!$C$14="",0,IF(ISNUMBER(SEARCH(Classifiers!$C$14,E169)),1,0))+IF(Classifiers!$D$14="",0,IF(ISNUMBER(SEARCH(Classifiers!$D$14,E169)),1,0))+IF(Classifiers!$E$14="",0,IF(ISNUMBER(SEARCH(Classifiers!$E$14,E169)),1,0))+IF(Classifiers!$F$14="",0,IF(ISNUMBER(SEARCH(Classifiers!$F$14,E169)),1,0))+IF(Classifiers!$G$14="",0,IF(ISNUMBER(SEARCH(Classifiers!$G$14,E169)),1,0)))&gt;0,1,0))</f>
        <v/>
      </c>
      <c r="T169" s="12">
        <f>IF(H169&lt;&gt;1,0,IF((IF(Classifiers!$B$15="",0,IF(ISNUMBER(SEARCH(Classifiers!$B$15,E169)),1,0))+IF(Classifiers!$C$15="",0,IF(ISNUMBER(SEARCH(Classifiers!$C$15,E169)),1,0))+IF(Classifiers!$D$15="",0,IF(ISNUMBER(SEARCH(Classifiers!$D$15,E169)),1,0))+IF(Classifiers!$E$15="",0,IF(ISNUMBER(SEARCH(Classifiers!$E$15,E169)),1,0))+IF(Classifiers!$F$15="",0,IF(ISNUMBER(SEARCH(Classifiers!$F$15,E169)),1,0))+IF(Classifiers!$G$15="",0,IF(ISNUMBER(SEARCH(Classifiers!$G$15,E169)),1,0)))&gt;0,1,0))</f>
        <v/>
      </c>
      <c r="U169" s="12">
        <f>IF(H169&lt;&gt;1,0,IF((IF(Classifiers!$B$16="",0,IF(ISNUMBER(SEARCH(Classifiers!$B$16,E169)),1,0))+IF(Classifiers!$C$16="",0,IF(ISNUMBER(SEARCH(Classifiers!$C$16,E169)),1,0))+IF(Classifiers!$D$16="",0,IF(ISNUMBER(SEARCH(Classifiers!$D$16,E169)),1,0))+IF(Classifiers!$E$16="",0,IF(ISNUMBER(SEARCH(Classifiers!$E$16,E169)),1,0))+IF(Classifiers!$F$16="",0,IF(ISNUMBER(SEARCH(Classifiers!$F$16,E169)),1,0))+IF(Classifiers!$G$16="",0,IF(ISNUMBER(SEARCH(Classifiers!$G$16,E169)),1,0)))&gt;0,1,0))</f>
        <v/>
      </c>
      <c r="V169" s="12">
        <f>IF(H169&lt;&gt;1,0,IF((IF(Classifiers!$B$17="",0,IF(ISNUMBER(SEARCH(Classifiers!$B$17,E169)),1,0))+IF(Classifiers!$C$17="",0,IF(ISNUMBER(SEARCH(Classifiers!$C$17,E169)),1,0))+IF(Classifiers!$D$17="",0,IF(ISNUMBER(SEARCH(Classifiers!$D$17,E169)),1,0))+IF(Classifiers!$E$17="",0,IF(ISNUMBER(SEARCH(Classifiers!$E$17,E169)),1,0))+IF(Classifiers!$F$17="",0,IF(ISNUMBER(SEARCH(Classifiers!$F$17,E169)),1,0))+IF(Classifiers!$G$17="",0,IF(ISNUMBER(SEARCH(Classifiers!$G$17,E169)),1,0)))&gt;0,1,0))</f>
        <v/>
      </c>
      <c r="W169" s="12">
        <f>IF(H169&lt;&gt;1,0,IF((IF(Classifiers!$B$18="",0,IF(ISNUMBER(SEARCH(Classifiers!$B$18,E169)),1,0))+IF(Classifiers!$C$18="",0,IF(ISNUMBER(SEARCH(Classifiers!$C$18,E169)),1,0))+IF(Classifiers!$D$18="",0,IF(ISNUMBER(SEARCH(Classifiers!$D$18,E169)),1,0))+IF(Classifiers!$E$18="",0,IF(ISNUMBER(SEARCH(Classifiers!$E$18,E169)),1,0))+IF(Classifiers!$F$18="",0,IF(ISNUMBER(SEARCH(Classifiers!$F$18,E169)),1,0))+IF(Classifiers!$G$18="",0,IF(ISNUMBER(SEARCH(Classifiers!$G$18,E169)),1,0)))&gt;0,1,0))</f>
        <v/>
      </c>
    </row>
    <row r="170">
      <c r="A170" s="8" t="n"/>
      <c r="B170" s="11" t="n"/>
      <c r="C170" s="6">
        <f>IF(A170="","",TRIM(RIGHT(SUBSTITUTE(A170,"/",REPT(" ",250)),250)))</f>
        <v/>
      </c>
      <c r="D170" s="6">
        <f>IF(C170="","",IF(ISNUMBER(SEARCH(".",C170)),LOWER("."&amp;TRIM(RIGHT(SUBSTITUTE(C170,".",REPT(" ",250)),250))),""))</f>
        <v/>
      </c>
      <c r="E170" s="6">
        <f>IF(C170="","",TRIM(SUBSTITUTE(SUBSTITUTE(SUBSTITUTE(SUBSTITUTE(SUBSTITUTE(SUBSTITUTE(SUBSTITUTE(SUBSTITUTE(SUBSTITUTE(SUBSTITUTE(SUBSTITUTE(SUBSTITUTE(SUBSTITUTE(SUBSTITUTE(SUBSTITUTE(SUBSTITUTE(SUBSTITUTE(SUBSTITUTE(SUBSTITUTE(SUBSTITUTE(LOWER(LEFT(C170,LEN(C170)-LEN(D170))),"_"," "),"-"," "),"."," "),","," "),"("," "),")"," "),"["," "),"]"," "),"&amp;"," "),"+"," "),"@"," "),"#"," "),"!"," "),"'"," "),"/"," "),":"," "),";"," "),"="," "),"~"," "),"%"," ")))</f>
        <v/>
      </c>
      <c r="F170" s="6">
        <f>IF(C170="","",IF(COUNTIF(Classifiers!$A$23:$A$40,D170)&gt;0,1,0))</f>
        <v/>
      </c>
      <c r="G170" s="6">
        <f>IF(C170="","",IF(COUNTIF(Classifiers!$C$23:$C$30,D170)&gt;0,IF((IF(ISNUMBER(SEARCH(Classifiers!$E$23,E170)),1,0)+IF(ISNUMBER(SEARCH(Classifiers!$E$24,E170)),1,0)+IF(ISNUMBER(SEARCH(Classifiers!$E$25,E170)),1,0)+IF(ISNUMBER(SEARCH(Classifiers!$E$26,E170)),1,0)+IF(ISNUMBER(SEARCH(Classifiers!$E$27,E170)),1,0)+IF(ISNUMBER(SEARCH(Classifiers!$E$28,E170)),1,0)+IF(ISNUMBER(SEARCH(Classifiers!$E$29,E170)),1,0)+IF(ISNUMBER(SEARCH(Classifiers!$E$30,E170)),1,0))&gt;0,1,0),0))</f>
        <v/>
      </c>
      <c r="H170" s="6">
        <f>IF(C170="","",IF(OR(LEFT(C170,1)=".",AND(F170=0,G170=0)),0,1))</f>
        <v/>
      </c>
      <c r="I170" s="6">
        <f>IF(H170&lt;&gt;1,"",IF(SUM(J170:W170)=0,"unclassified",INDEX(Classifiers!$A$5:$A$18,MATCH(1,J170:W170,0),1)))</f>
        <v/>
      </c>
      <c r="J170" s="12">
        <f>IF(H170&lt;&gt;1,0,IF((IF(Classifiers!$B$5="",0,IF(ISNUMBER(SEARCH(Classifiers!$B$5,E170)),1,0))+IF(Classifiers!$C$5="",0,IF(ISNUMBER(SEARCH(Classifiers!$C$5,E170)),1,0))+IF(Classifiers!$D$5="",0,IF(ISNUMBER(SEARCH(Classifiers!$D$5,E170)),1,0))+IF(Classifiers!$E$5="",0,IF(ISNUMBER(SEARCH(Classifiers!$E$5,E170)),1,0))+IF(Classifiers!$F$5="",0,IF(ISNUMBER(SEARCH(Classifiers!$F$5,E170)),1,0))+IF(Classifiers!$G$5="",0,IF(ISNUMBER(SEARCH(Classifiers!$G$5,E170)),1,0)))&gt;0,1,0))</f>
        <v/>
      </c>
      <c r="K170" s="12">
        <f>IF(H170&lt;&gt;1,0,IF((IF(Classifiers!$B$6="",0,IF(ISNUMBER(SEARCH(Classifiers!$B$6,E170)),1,0))+IF(Classifiers!$C$6="",0,IF(ISNUMBER(SEARCH(Classifiers!$C$6,E170)),1,0))+IF(Classifiers!$D$6="",0,IF(ISNUMBER(SEARCH(Classifiers!$D$6,E170)),1,0))+IF(Classifiers!$E$6="",0,IF(ISNUMBER(SEARCH(Classifiers!$E$6,E170)),1,0))+IF(Classifiers!$F$6="",0,IF(ISNUMBER(SEARCH(Classifiers!$F$6,E170)),1,0))+IF(Classifiers!$G$6="",0,IF(ISNUMBER(SEARCH(Classifiers!$G$6,E170)),1,0)))&gt;0,1,0))</f>
        <v/>
      </c>
      <c r="L170" s="12">
        <f>IF(H170&lt;&gt;1,0,IF((IF(Classifiers!$B$7="",0,IF(ISNUMBER(SEARCH(Classifiers!$B$7,E170)),1,0))+IF(Classifiers!$C$7="",0,IF(ISNUMBER(SEARCH(Classifiers!$C$7,E170)),1,0))+IF(Classifiers!$D$7="",0,IF(ISNUMBER(SEARCH(Classifiers!$D$7,E170)),1,0))+IF(Classifiers!$E$7="",0,IF(ISNUMBER(SEARCH(Classifiers!$E$7,E170)),1,0))+IF(Classifiers!$F$7="",0,IF(ISNUMBER(SEARCH(Classifiers!$F$7,E170)),1,0))+IF(Classifiers!$G$7="",0,IF(ISNUMBER(SEARCH(Classifiers!$G$7,E170)),1,0)))&gt;0,1,0))</f>
        <v/>
      </c>
      <c r="M170" s="12">
        <f>IF(H170&lt;&gt;1,0,IF((IF(Classifiers!$B$8="",0,IF(ISNUMBER(SEARCH(Classifiers!$B$8,E170)),1,0))+IF(Classifiers!$C$8="",0,IF(ISNUMBER(SEARCH(Classifiers!$C$8,E170)),1,0))+IF(Classifiers!$D$8="",0,IF(ISNUMBER(SEARCH(Classifiers!$D$8,E170)),1,0))+IF(Classifiers!$E$8="",0,IF(ISNUMBER(SEARCH(Classifiers!$E$8,E170)),1,0))+IF(Classifiers!$F$8="",0,IF(ISNUMBER(SEARCH(Classifiers!$F$8,E170)),1,0))+IF(Classifiers!$G$8="",0,IF(ISNUMBER(SEARCH(Classifiers!$G$8,E170)),1,0)))&gt;0,1,0))</f>
        <v/>
      </c>
      <c r="N170" s="12">
        <f>IF(H170&lt;&gt;1,0,IF((IF(Classifiers!$B$9="",0,IF(ISNUMBER(SEARCH(Classifiers!$B$9,E170)),1,0))+IF(Classifiers!$C$9="",0,IF(ISNUMBER(SEARCH(Classifiers!$C$9,E170)),1,0))+IF(Classifiers!$D$9="",0,IF(ISNUMBER(SEARCH(Classifiers!$D$9,E170)),1,0))+IF(Classifiers!$E$9="",0,IF(ISNUMBER(SEARCH(Classifiers!$E$9,E170)),1,0))+IF(Classifiers!$F$9="",0,IF(ISNUMBER(SEARCH(Classifiers!$F$9,E170)),1,0))+IF(Classifiers!$G$9="",0,IF(ISNUMBER(SEARCH(Classifiers!$G$9,E170)),1,0)))&gt;0,1,0))</f>
        <v/>
      </c>
      <c r="O170" s="12">
        <f>IF(H170&lt;&gt;1,0,IF((IF(Classifiers!$B$10="",0,IF(ISNUMBER(SEARCH(Classifiers!$B$10,E170)),1,0))+IF(Classifiers!$C$10="",0,IF(ISNUMBER(SEARCH(Classifiers!$C$10,E170)),1,0))+IF(Classifiers!$D$10="",0,IF(ISNUMBER(SEARCH(Classifiers!$D$10,E170)),1,0))+IF(Classifiers!$E$10="",0,IF(ISNUMBER(SEARCH(Classifiers!$E$10,E170)),1,0))+IF(Classifiers!$F$10="",0,IF(ISNUMBER(SEARCH(Classifiers!$F$10,E170)),1,0))+IF(Classifiers!$G$10="",0,IF(ISNUMBER(SEARCH(Classifiers!$G$10,E170)),1,0)))&gt;0,1,0))</f>
        <v/>
      </c>
      <c r="P170" s="12">
        <f>IF(H170&lt;&gt;1,0,IF((IF(Classifiers!$B$11="",0,IF(ISNUMBER(SEARCH(Classifiers!$B$11,E170)),1,0))+IF(Classifiers!$C$11="",0,IF(ISNUMBER(SEARCH(Classifiers!$C$11,E170)),1,0))+IF(Classifiers!$D$11="",0,IF(ISNUMBER(SEARCH(Classifiers!$D$11,E170)),1,0))+IF(Classifiers!$E$11="",0,IF(ISNUMBER(SEARCH(Classifiers!$E$11,E170)),1,0))+IF(Classifiers!$F$11="",0,IF(ISNUMBER(SEARCH(Classifiers!$F$11,E170)),1,0))+IF(Classifiers!$G$11="",0,IF(ISNUMBER(SEARCH(Classifiers!$G$11,E170)),1,0)))&gt;0,1,0))</f>
        <v/>
      </c>
      <c r="Q170" s="12">
        <f>IF(H170&lt;&gt;1,0,IF((IF(Classifiers!$B$12="",0,IF(ISNUMBER(SEARCH(Classifiers!$B$12,E170)),1,0))+IF(Classifiers!$C$12="",0,IF(ISNUMBER(SEARCH(Classifiers!$C$12,E170)),1,0))+IF(Classifiers!$D$12="",0,IF(ISNUMBER(SEARCH(Classifiers!$D$12,E170)),1,0))+IF(Classifiers!$E$12="",0,IF(ISNUMBER(SEARCH(Classifiers!$E$12,E170)),1,0))+IF(Classifiers!$F$12="",0,IF(ISNUMBER(SEARCH(Classifiers!$F$12,E170)),1,0))+IF(Classifiers!$G$12="",0,IF(ISNUMBER(SEARCH(Classifiers!$G$12,E170)),1,0)))&gt;0,1,0))</f>
        <v/>
      </c>
      <c r="R170" s="12">
        <f>IF(H170&lt;&gt;1,0,IF((IF(Classifiers!$B$13="",0,IF(ISNUMBER(SEARCH(Classifiers!$B$13,E170)),1,0))+IF(Classifiers!$C$13="",0,IF(ISNUMBER(SEARCH(Classifiers!$C$13,E170)),1,0))+IF(Classifiers!$D$13="",0,IF(ISNUMBER(SEARCH(Classifiers!$D$13,E170)),1,0))+IF(Classifiers!$E$13="",0,IF(ISNUMBER(SEARCH(Classifiers!$E$13,E170)),1,0))+IF(Classifiers!$F$13="",0,IF(ISNUMBER(SEARCH(Classifiers!$F$13,E170)),1,0))+IF(Classifiers!$G$13="",0,IF(ISNUMBER(SEARCH(Classifiers!$G$13,E170)),1,0)))&gt;0,1,0))</f>
        <v/>
      </c>
      <c r="S170" s="12">
        <f>IF(H170&lt;&gt;1,0,IF((IF(Classifiers!$B$14="",0,IF(ISNUMBER(SEARCH(Classifiers!$B$14,E170)),1,0))+IF(Classifiers!$C$14="",0,IF(ISNUMBER(SEARCH(Classifiers!$C$14,E170)),1,0))+IF(Classifiers!$D$14="",0,IF(ISNUMBER(SEARCH(Classifiers!$D$14,E170)),1,0))+IF(Classifiers!$E$14="",0,IF(ISNUMBER(SEARCH(Classifiers!$E$14,E170)),1,0))+IF(Classifiers!$F$14="",0,IF(ISNUMBER(SEARCH(Classifiers!$F$14,E170)),1,0))+IF(Classifiers!$G$14="",0,IF(ISNUMBER(SEARCH(Classifiers!$G$14,E170)),1,0)))&gt;0,1,0))</f>
        <v/>
      </c>
      <c r="T170" s="12">
        <f>IF(H170&lt;&gt;1,0,IF((IF(Classifiers!$B$15="",0,IF(ISNUMBER(SEARCH(Classifiers!$B$15,E170)),1,0))+IF(Classifiers!$C$15="",0,IF(ISNUMBER(SEARCH(Classifiers!$C$15,E170)),1,0))+IF(Classifiers!$D$15="",0,IF(ISNUMBER(SEARCH(Classifiers!$D$15,E170)),1,0))+IF(Classifiers!$E$15="",0,IF(ISNUMBER(SEARCH(Classifiers!$E$15,E170)),1,0))+IF(Classifiers!$F$15="",0,IF(ISNUMBER(SEARCH(Classifiers!$F$15,E170)),1,0))+IF(Classifiers!$G$15="",0,IF(ISNUMBER(SEARCH(Classifiers!$G$15,E170)),1,0)))&gt;0,1,0))</f>
        <v/>
      </c>
      <c r="U170" s="12">
        <f>IF(H170&lt;&gt;1,0,IF((IF(Classifiers!$B$16="",0,IF(ISNUMBER(SEARCH(Classifiers!$B$16,E170)),1,0))+IF(Classifiers!$C$16="",0,IF(ISNUMBER(SEARCH(Classifiers!$C$16,E170)),1,0))+IF(Classifiers!$D$16="",0,IF(ISNUMBER(SEARCH(Classifiers!$D$16,E170)),1,0))+IF(Classifiers!$E$16="",0,IF(ISNUMBER(SEARCH(Classifiers!$E$16,E170)),1,0))+IF(Classifiers!$F$16="",0,IF(ISNUMBER(SEARCH(Classifiers!$F$16,E170)),1,0))+IF(Classifiers!$G$16="",0,IF(ISNUMBER(SEARCH(Classifiers!$G$16,E170)),1,0)))&gt;0,1,0))</f>
        <v/>
      </c>
      <c r="V170" s="12">
        <f>IF(H170&lt;&gt;1,0,IF((IF(Classifiers!$B$17="",0,IF(ISNUMBER(SEARCH(Classifiers!$B$17,E170)),1,0))+IF(Classifiers!$C$17="",0,IF(ISNUMBER(SEARCH(Classifiers!$C$17,E170)),1,0))+IF(Classifiers!$D$17="",0,IF(ISNUMBER(SEARCH(Classifiers!$D$17,E170)),1,0))+IF(Classifiers!$E$17="",0,IF(ISNUMBER(SEARCH(Classifiers!$E$17,E170)),1,0))+IF(Classifiers!$F$17="",0,IF(ISNUMBER(SEARCH(Classifiers!$F$17,E170)),1,0))+IF(Classifiers!$G$17="",0,IF(ISNUMBER(SEARCH(Classifiers!$G$17,E170)),1,0)))&gt;0,1,0))</f>
        <v/>
      </c>
      <c r="W170" s="12">
        <f>IF(H170&lt;&gt;1,0,IF((IF(Classifiers!$B$18="",0,IF(ISNUMBER(SEARCH(Classifiers!$B$18,E170)),1,0))+IF(Classifiers!$C$18="",0,IF(ISNUMBER(SEARCH(Classifiers!$C$18,E170)),1,0))+IF(Classifiers!$D$18="",0,IF(ISNUMBER(SEARCH(Classifiers!$D$18,E170)),1,0))+IF(Classifiers!$E$18="",0,IF(ISNUMBER(SEARCH(Classifiers!$E$18,E170)),1,0))+IF(Classifiers!$F$18="",0,IF(ISNUMBER(SEARCH(Classifiers!$F$18,E170)),1,0))+IF(Classifiers!$G$18="",0,IF(ISNUMBER(SEARCH(Classifiers!$G$18,E170)),1,0)))&gt;0,1,0))</f>
        <v/>
      </c>
    </row>
    <row r="171">
      <c r="A171" s="8" t="n"/>
      <c r="B171" s="11" t="n"/>
      <c r="C171" s="6">
        <f>IF(A171="","",TRIM(RIGHT(SUBSTITUTE(A171,"/",REPT(" ",250)),250)))</f>
        <v/>
      </c>
      <c r="D171" s="6">
        <f>IF(C171="","",IF(ISNUMBER(SEARCH(".",C171)),LOWER("."&amp;TRIM(RIGHT(SUBSTITUTE(C171,".",REPT(" ",250)),250))),""))</f>
        <v/>
      </c>
      <c r="E171" s="6">
        <f>IF(C171="","",TRIM(SUBSTITUTE(SUBSTITUTE(SUBSTITUTE(SUBSTITUTE(SUBSTITUTE(SUBSTITUTE(SUBSTITUTE(SUBSTITUTE(SUBSTITUTE(SUBSTITUTE(SUBSTITUTE(SUBSTITUTE(SUBSTITUTE(SUBSTITUTE(SUBSTITUTE(SUBSTITUTE(SUBSTITUTE(SUBSTITUTE(SUBSTITUTE(SUBSTITUTE(LOWER(LEFT(C171,LEN(C171)-LEN(D171))),"_"," "),"-"," "),"."," "),","," "),"("," "),")"," "),"["," "),"]"," "),"&amp;"," "),"+"," "),"@"," "),"#"," "),"!"," "),"'"," "),"/"," "),":"," "),";"," "),"="," "),"~"," "),"%"," ")))</f>
        <v/>
      </c>
      <c r="F171" s="6">
        <f>IF(C171="","",IF(COUNTIF(Classifiers!$A$23:$A$40,D171)&gt;0,1,0))</f>
        <v/>
      </c>
      <c r="G171" s="6">
        <f>IF(C171="","",IF(COUNTIF(Classifiers!$C$23:$C$30,D171)&gt;0,IF((IF(ISNUMBER(SEARCH(Classifiers!$E$23,E171)),1,0)+IF(ISNUMBER(SEARCH(Classifiers!$E$24,E171)),1,0)+IF(ISNUMBER(SEARCH(Classifiers!$E$25,E171)),1,0)+IF(ISNUMBER(SEARCH(Classifiers!$E$26,E171)),1,0)+IF(ISNUMBER(SEARCH(Classifiers!$E$27,E171)),1,0)+IF(ISNUMBER(SEARCH(Classifiers!$E$28,E171)),1,0)+IF(ISNUMBER(SEARCH(Classifiers!$E$29,E171)),1,0)+IF(ISNUMBER(SEARCH(Classifiers!$E$30,E171)),1,0))&gt;0,1,0),0))</f>
        <v/>
      </c>
      <c r="H171" s="6">
        <f>IF(C171="","",IF(OR(LEFT(C171,1)=".",AND(F171=0,G171=0)),0,1))</f>
        <v/>
      </c>
      <c r="I171" s="6">
        <f>IF(H171&lt;&gt;1,"",IF(SUM(J171:W171)=0,"unclassified",INDEX(Classifiers!$A$5:$A$18,MATCH(1,J171:W171,0),1)))</f>
        <v/>
      </c>
      <c r="J171" s="12">
        <f>IF(H171&lt;&gt;1,0,IF((IF(Classifiers!$B$5="",0,IF(ISNUMBER(SEARCH(Classifiers!$B$5,E171)),1,0))+IF(Classifiers!$C$5="",0,IF(ISNUMBER(SEARCH(Classifiers!$C$5,E171)),1,0))+IF(Classifiers!$D$5="",0,IF(ISNUMBER(SEARCH(Classifiers!$D$5,E171)),1,0))+IF(Classifiers!$E$5="",0,IF(ISNUMBER(SEARCH(Classifiers!$E$5,E171)),1,0))+IF(Classifiers!$F$5="",0,IF(ISNUMBER(SEARCH(Classifiers!$F$5,E171)),1,0))+IF(Classifiers!$G$5="",0,IF(ISNUMBER(SEARCH(Classifiers!$G$5,E171)),1,0)))&gt;0,1,0))</f>
        <v/>
      </c>
      <c r="K171" s="12">
        <f>IF(H171&lt;&gt;1,0,IF((IF(Classifiers!$B$6="",0,IF(ISNUMBER(SEARCH(Classifiers!$B$6,E171)),1,0))+IF(Classifiers!$C$6="",0,IF(ISNUMBER(SEARCH(Classifiers!$C$6,E171)),1,0))+IF(Classifiers!$D$6="",0,IF(ISNUMBER(SEARCH(Classifiers!$D$6,E171)),1,0))+IF(Classifiers!$E$6="",0,IF(ISNUMBER(SEARCH(Classifiers!$E$6,E171)),1,0))+IF(Classifiers!$F$6="",0,IF(ISNUMBER(SEARCH(Classifiers!$F$6,E171)),1,0))+IF(Classifiers!$G$6="",0,IF(ISNUMBER(SEARCH(Classifiers!$G$6,E171)),1,0)))&gt;0,1,0))</f>
        <v/>
      </c>
      <c r="L171" s="12">
        <f>IF(H171&lt;&gt;1,0,IF((IF(Classifiers!$B$7="",0,IF(ISNUMBER(SEARCH(Classifiers!$B$7,E171)),1,0))+IF(Classifiers!$C$7="",0,IF(ISNUMBER(SEARCH(Classifiers!$C$7,E171)),1,0))+IF(Classifiers!$D$7="",0,IF(ISNUMBER(SEARCH(Classifiers!$D$7,E171)),1,0))+IF(Classifiers!$E$7="",0,IF(ISNUMBER(SEARCH(Classifiers!$E$7,E171)),1,0))+IF(Classifiers!$F$7="",0,IF(ISNUMBER(SEARCH(Classifiers!$F$7,E171)),1,0))+IF(Classifiers!$G$7="",0,IF(ISNUMBER(SEARCH(Classifiers!$G$7,E171)),1,0)))&gt;0,1,0))</f>
        <v/>
      </c>
      <c r="M171" s="12">
        <f>IF(H171&lt;&gt;1,0,IF((IF(Classifiers!$B$8="",0,IF(ISNUMBER(SEARCH(Classifiers!$B$8,E171)),1,0))+IF(Classifiers!$C$8="",0,IF(ISNUMBER(SEARCH(Classifiers!$C$8,E171)),1,0))+IF(Classifiers!$D$8="",0,IF(ISNUMBER(SEARCH(Classifiers!$D$8,E171)),1,0))+IF(Classifiers!$E$8="",0,IF(ISNUMBER(SEARCH(Classifiers!$E$8,E171)),1,0))+IF(Classifiers!$F$8="",0,IF(ISNUMBER(SEARCH(Classifiers!$F$8,E171)),1,0))+IF(Classifiers!$G$8="",0,IF(ISNUMBER(SEARCH(Classifiers!$G$8,E171)),1,0)))&gt;0,1,0))</f>
        <v/>
      </c>
      <c r="N171" s="12">
        <f>IF(H171&lt;&gt;1,0,IF((IF(Classifiers!$B$9="",0,IF(ISNUMBER(SEARCH(Classifiers!$B$9,E171)),1,0))+IF(Classifiers!$C$9="",0,IF(ISNUMBER(SEARCH(Classifiers!$C$9,E171)),1,0))+IF(Classifiers!$D$9="",0,IF(ISNUMBER(SEARCH(Classifiers!$D$9,E171)),1,0))+IF(Classifiers!$E$9="",0,IF(ISNUMBER(SEARCH(Classifiers!$E$9,E171)),1,0))+IF(Classifiers!$F$9="",0,IF(ISNUMBER(SEARCH(Classifiers!$F$9,E171)),1,0))+IF(Classifiers!$G$9="",0,IF(ISNUMBER(SEARCH(Classifiers!$G$9,E171)),1,0)))&gt;0,1,0))</f>
        <v/>
      </c>
      <c r="O171" s="12">
        <f>IF(H171&lt;&gt;1,0,IF((IF(Classifiers!$B$10="",0,IF(ISNUMBER(SEARCH(Classifiers!$B$10,E171)),1,0))+IF(Classifiers!$C$10="",0,IF(ISNUMBER(SEARCH(Classifiers!$C$10,E171)),1,0))+IF(Classifiers!$D$10="",0,IF(ISNUMBER(SEARCH(Classifiers!$D$10,E171)),1,0))+IF(Classifiers!$E$10="",0,IF(ISNUMBER(SEARCH(Classifiers!$E$10,E171)),1,0))+IF(Classifiers!$F$10="",0,IF(ISNUMBER(SEARCH(Classifiers!$F$10,E171)),1,0))+IF(Classifiers!$G$10="",0,IF(ISNUMBER(SEARCH(Classifiers!$G$10,E171)),1,0)))&gt;0,1,0))</f>
        <v/>
      </c>
      <c r="P171" s="12">
        <f>IF(H171&lt;&gt;1,0,IF((IF(Classifiers!$B$11="",0,IF(ISNUMBER(SEARCH(Classifiers!$B$11,E171)),1,0))+IF(Classifiers!$C$11="",0,IF(ISNUMBER(SEARCH(Classifiers!$C$11,E171)),1,0))+IF(Classifiers!$D$11="",0,IF(ISNUMBER(SEARCH(Classifiers!$D$11,E171)),1,0))+IF(Classifiers!$E$11="",0,IF(ISNUMBER(SEARCH(Classifiers!$E$11,E171)),1,0))+IF(Classifiers!$F$11="",0,IF(ISNUMBER(SEARCH(Classifiers!$F$11,E171)),1,0))+IF(Classifiers!$G$11="",0,IF(ISNUMBER(SEARCH(Classifiers!$G$11,E171)),1,0)))&gt;0,1,0))</f>
        <v/>
      </c>
      <c r="Q171" s="12">
        <f>IF(H171&lt;&gt;1,0,IF((IF(Classifiers!$B$12="",0,IF(ISNUMBER(SEARCH(Classifiers!$B$12,E171)),1,0))+IF(Classifiers!$C$12="",0,IF(ISNUMBER(SEARCH(Classifiers!$C$12,E171)),1,0))+IF(Classifiers!$D$12="",0,IF(ISNUMBER(SEARCH(Classifiers!$D$12,E171)),1,0))+IF(Classifiers!$E$12="",0,IF(ISNUMBER(SEARCH(Classifiers!$E$12,E171)),1,0))+IF(Classifiers!$F$12="",0,IF(ISNUMBER(SEARCH(Classifiers!$F$12,E171)),1,0))+IF(Classifiers!$G$12="",0,IF(ISNUMBER(SEARCH(Classifiers!$G$12,E171)),1,0)))&gt;0,1,0))</f>
        <v/>
      </c>
      <c r="R171" s="12">
        <f>IF(H171&lt;&gt;1,0,IF((IF(Classifiers!$B$13="",0,IF(ISNUMBER(SEARCH(Classifiers!$B$13,E171)),1,0))+IF(Classifiers!$C$13="",0,IF(ISNUMBER(SEARCH(Classifiers!$C$13,E171)),1,0))+IF(Classifiers!$D$13="",0,IF(ISNUMBER(SEARCH(Classifiers!$D$13,E171)),1,0))+IF(Classifiers!$E$13="",0,IF(ISNUMBER(SEARCH(Classifiers!$E$13,E171)),1,0))+IF(Classifiers!$F$13="",0,IF(ISNUMBER(SEARCH(Classifiers!$F$13,E171)),1,0))+IF(Classifiers!$G$13="",0,IF(ISNUMBER(SEARCH(Classifiers!$G$13,E171)),1,0)))&gt;0,1,0))</f>
        <v/>
      </c>
      <c r="S171" s="12">
        <f>IF(H171&lt;&gt;1,0,IF((IF(Classifiers!$B$14="",0,IF(ISNUMBER(SEARCH(Classifiers!$B$14,E171)),1,0))+IF(Classifiers!$C$14="",0,IF(ISNUMBER(SEARCH(Classifiers!$C$14,E171)),1,0))+IF(Classifiers!$D$14="",0,IF(ISNUMBER(SEARCH(Classifiers!$D$14,E171)),1,0))+IF(Classifiers!$E$14="",0,IF(ISNUMBER(SEARCH(Classifiers!$E$14,E171)),1,0))+IF(Classifiers!$F$14="",0,IF(ISNUMBER(SEARCH(Classifiers!$F$14,E171)),1,0))+IF(Classifiers!$G$14="",0,IF(ISNUMBER(SEARCH(Classifiers!$G$14,E171)),1,0)))&gt;0,1,0))</f>
        <v/>
      </c>
      <c r="T171" s="12">
        <f>IF(H171&lt;&gt;1,0,IF((IF(Classifiers!$B$15="",0,IF(ISNUMBER(SEARCH(Classifiers!$B$15,E171)),1,0))+IF(Classifiers!$C$15="",0,IF(ISNUMBER(SEARCH(Classifiers!$C$15,E171)),1,0))+IF(Classifiers!$D$15="",0,IF(ISNUMBER(SEARCH(Classifiers!$D$15,E171)),1,0))+IF(Classifiers!$E$15="",0,IF(ISNUMBER(SEARCH(Classifiers!$E$15,E171)),1,0))+IF(Classifiers!$F$15="",0,IF(ISNUMBER(SEARCH(Classifiers!$F$15,E171)),1,0))+IF(Classifiers!$G$15="",0,IF(ISNUMBER(SEARCH(Classifiers!$G$15,E171)),1,0)))&gt;0,1,0))</f>
        <v/>
      </c>
      <c r="U171" s="12">
        <f>IF(H171&lt;&gt;1,0,IF((IF(Classifiers!$B$16="",0,IF(ISNUMBER(SEARCH(Classifiers!$B$16,E171)),1,0))+IF(Classifiers!$C$16="",0,IF(ISNUMBER(SEARCH(Classifiers!$C$16,E171)),1,0))+IF(Classifiers!$D$16="",0,IF(ISNUMBER(SEARCH(Classifiers!$D$16,E171)),1,0))+IF(Classifiers!$E$16="",0,IF(ISNUMBER(SEARCH(Classifiers!$E$16,E171)),1,0))+IF(Classifiers!$F$16="",0,IF(ISNUMBER(SEARCH(Classifiers!$F$16,E171)),1,0))+IF(Classifiers!$G$16="",0,IF(ISNUMBER(SEARCH(Classifiers!$G$16,E171)),1,0)))&gt;0,1,0))</f>
        <v/>
      </c>
      <c r="V171" s="12">
        <f>IF(H171&lt;&gt;1,0,IF((IF(Classifiers!$B$17="",0,IF(ISNUMBER(SEARCH(Classifiers!$B$17,E171)),1,0))+IF(Classifiers!$C$17="",0,IF(ISNUMBER(SEARCH(Classifiers!$C$17,E171)),1,0))+IF(Classifiers!$D$17="",0,IF(ISNUMBER(SEARCH(Classifiers!$D$17,E171)),1,0))+IF(Classifiers!$E$17="",0,IF(ISNUMBER(SEARCH(Classifiers!$E$17,E171)),1,0))+IF(Classifiers!$F$17="",0,IF(ISNUMBER(SEARCH(Classifiers!$F$17,E171)),1,0))+IF(Classifiers!$G$17="",0,IF(ISNUMBER(SEARCH(Classifiers!$G$17,E171)),1,0)))&gt;0,1,0))</f>
        <v/>
      </c>
      <c r="W171" s="12">
        <f>IF(H171&lt;&gt;1,0,IF((IF(Classifiers!$B$18="",0,IF(ISNUMBER(SEARCH(Classifiers!$B$18,E171)),1,0))+IF(Classifiers!$C$18="",0,IF(ISNUMBER(SEARCH(Classifiers!$C$18,E171)),1,0))+IF(Classifiers!$D$18="",0,IF(ISNUMBER(SEARCH(Classifiers!$D$18,E171)),1,0))+IF(Classifiers!$E$18="",0,IF(ISNUMBER(SEARCH(Classifiers!$E$18,E171)),1,0))+IF(Classifiers!$F$18="",0,IF(ISNUMBER(SEARCH(Classifiers!$F$18,E171)),1,0))+IF(Classifiers!$G$18="",0,IF(ISNUMBER(SEARCH(Classifiers!$G$18,E171)),1,0)))&gt;0,1,0))</f>
        <v/>
      </c>
    </row>
    <row r="172">
      <c r="A172" s="8" t="n"/>
      <c r="B172" s="11" t="n"/>
      <c r="C172" s="6">
        <f>IF(A172="","",TRIM(RIGHT(SUBSTITUTE(A172,"/",REPT(" ",250)),250)))</f>
        <v/>
      </c>
      <c r="D172" s="6">
        <f>IF(C172="","",IF(ISNUMBER(SEARCH(".",C172)),LOWER("."&amp;TRIM(RIGHT(SUBSTITUTE(C172,".",REPT(" ",250)),250))),""))</f>
        <v/>
      </c>
      <c r="E172" s="6">
        <f>IF(C172="","",TRIM(SUBSTITUTE(SUBSTITUTE(SUBSTITUTE(SUBSTITUTE(SUBSTITUTE(SUBSTITUTE(SUBSTITUTE(SUBSTITUTE(SUBSTITUTE(SUBSTITUTE(SUBSTITUTE(SUBSTITUTE(SUBSTITUTE(SUBSTITUTE(SUBSTITUTE(SUBSTITUTE(SUBSTITUTE(SUBSTITUTE(SUBSTITUTE(SUBSTITUTE(LOWER(LEFT(C172,LEN(C172)-LEN(D172))),"_"," "),"-"," "),"."," "),","," "),"("," "),")"," "),"["," "),"]"," "),"&amp;"," "),"+"," "),"@"," "),"#"," "),"!"," "),"'"," "),"/"," "),":"," "),";"," "),"="," "),"~"," "),"%"," ")))</f>
        <v/>
      </c>
      <c r="F172" s="6">
        <f>IF(C172="","",IF(COUNTIF(Classifiers!$A$23:$A$40,D172)&gt;0,1,0))</f>
        <v/>
      </c>
      <c r="G172" s="6">
        <f>IF(C172="","",IF(COUNTIF(Classifiers!$C$23:$C$30,D172)&gt;0,IF((IF(ISNUMBER(SEARCH(Classifiers!$E$23,E172)),1,0)+IF(ISNUMBER(SEARCH(Classifiers!$E$24,E172)),1,0)+IF(ISNUMBER(SEARCH(Classifiers!$E$25,E172)),1,0)+IF(ISNUMBER(SEARCH(Classifiers!$E$26,E172)),1,0)+IF(ISNUMBER(SEARCH(Classifiers!$E$27,E172)),1,0)+IF(ISNUMBER(SEARCH(Classifiers!$E$28,E172)),1,0)+IF(ISNUMBER(SEARCH(Classifiers!$E$29,E172)),1,0)+IF(ISNUMBER(SEARCH(Classifiers!$E$30,E172)),1,0))&gt;0,1,0),0))</f>
        <v/>
      </c>
      <c r="H172" s="6">
        <f>IF(C172="","",IF(OR(LEFT(C172,1)=".",AND(F172=0,G172=0)),0,1))</f>
        <v/>
      </c>
      <c r="I172" s="6">
        <f>IF(H172&lt;&gt;1,"",IF(SUM(J172:W172)=0,"unclassified",INDEX(Classifiers!$A$5:$A$18,MATCH(1,J172:W172,0),1)))</f>
        <v/>
      </c>
      <c r="J172" s="12">
        <f>IF(H172&lt;&gt;1,0,IF((IF(Classifiers!$B$5="",0,IF(ISNUMBER(SEARCH(Classifiers!$B$5,E172)),1,0))+IF(Classifiers!$C$5="",0,IF(ISNUMBER(SEARCH(Classifiers!$C$5,E172)),1,0))+IF(Classifiers!$D$5="",0,IF(ISNUMBER(SEARCH(Classifiers!$D$5,E172)),1,0))+IF(Classifiers!$E$5="",0,IF(ISNUMBER(SEARCH(Classifiers!$E$5,E172)),1,0))+IF(Classifiers!$F$5="",0,IF(ISNUMBER(SEARCH(Classifiers!$F$5,E172)),1,0))+IF(Classifiers!$G$5="",0,IF(ISNUMBER(SEARCH(Classifiers!$G$5,E172)),1,0)))&gt;0,1,0))</f>
        <v/>
      </c>
      <c r="K172" s="12">
        <f>IF(H172&lt;&gt;1,0,IF((IF(Classifiers!$B$6="",0,IF(ISNUMBER(SEARCH(Classifiers!$B$6,E172)),1,0))+IF(Classifiers!$C$6="",0,IF(ISNUMBER(SEARCH(Classifiers!$C$6,E172)),1,0))+IF(Classifiers!$D$6="",0,IF(ISNUMBER(SEARCH(Classifiers!$D$6,E172)),1,0))+IF(Classifiers!$E$6="",0,IF(ISNUMBER(SEARCH(Classifiers!$E$6,E172)),1,0))+IF(Classifiers!$F$6="",0,IF(ISNUMBER(SEARCH(Classifiers!$F$6,E172)),1,0))+IF(Classifiers!$G$6="",0,IF(ISNUMBER(SEARCH(Classifiers!$G$6,E172)),1,0)))&gt;0,1,0))</f>
        <v/>
      </c>
      <c r="L172" s="12">
        <f>IF(H172&lt;&gt;1,0,IF((IF(Classifiers!$B$7="",0,IF(ISNUMBER(SEARCH(Classifiers!$B$7,E172)),1,0))+IF(Classifiers!$C$7="",0,IF(ISNUMBER(SEARCH(Classifiers!$C$7,E172)),1,0))+IF(Classifiers!$D$7="",0,IF(ISNUMBER(SEARCH(Classifiers!$D$7,E172)),1,0))+IF(Classifiers!$E$7="",0,IF(ISNUMBER(SEARCH(Classifiers!$E$7,E172)),1,0))+IF(Classifiers!$F$7="",0,IF(ISNUMBER(SEARCH(Classifiers!$F$7,E172)),1,0))+IF(Classifiers!$G$7="",0,IF(ISNUMBER(SEARCH(Classifiers!$G$7,E172)),1,0)))&gt;0,1,0))</f>
        <v/>
      </c>
      <c r="M172" s="12">
        <f>IF(H172&lt;&gt;1,0,IF((IF(Classifiers!$B$8="",0,IF(ISNUMBER(SEARCH(Classifiers!$B$8,E172)),1,0))+IF(Classifiers!$C$8="",0,IF(ISNUMBER(SEARCH(Classifiers!$C$8,E172)),1,0))+IF(Classifiers!$D$8="",0,IF(ISNUMBER(SEARCH(Classifiers!$D$8,E172)),1,0))+IF(Classifiers!$E$8="",0,IF(ISNUMBER(SEARCH(Classifiers!$E$8,E172)),1,0))+IF(Classifiers!$F$8="",0,IF(ISNUMBER(SEARCH(Classifiers!$F$8,E172)),1,0))+IF(Classifiers!$G$8="",0,IF(ISNUMBER(SEARCH(Classifiers!$G$8,E172)),1,0)))&gt;0,1,0))</f>
        <v/>
      </c>
      <c r="N172" s="12">
        <f>IF(H172&lt;&gt;1,0,IF((IF(Classifiers!$B$9="",0,IF(ISNUMBER(SEARCH(Classifiers!$B$9,E172)),1,0))+IF(Classifiers!$C$9="",0,IF(ISNUMBER(SEARCH(Classifiers!$C$9,E172)),1,0))+IF(Classifiers!$D$9="",0,IF(ISNUMBER(SEARCH(Classifiers!$D$9,E172)),1,0))+IF(Classifiers!$E$9="",0,IF(ISNUMBER(SEARCH(Classifiers!$E$9,E172)),1,0))+IF(Classifiers!$F$9="",0,IF(ISNUMBER(SEARCH(Classifiers!$F$9,E172)),1,0))+IF(Classifiers!$G$9="",0,IF(ISNUMBER(SEARCH(Classifiers!$G$9,E172)),1,0)))&gt;0,1,0))</f>
        <v/>
      </c>
      <c r="O172" s="12">
        <f>IF(H172&lt;&gt;1,0,IF((IF(Classifiers!$B$10="",0,IF(ISNUMBER(SEARCH(Classifiers!$B$10,E172)),1,0))+IF(Classifiers!$C$10="",0,IF(ISNUMBER(SEARCH(Classifiers!$C$10,E172)),1,0))+IF(Classifiers!$D$10="",0,IF(ISNUMBER(SEARCH(Classifiers!$D$10,E172)),1,0))+IF(Classifiers!$E$10="",0,IF(ISNUMBER(SEARCH(Classifiers!$E$10,E172)),1,0))+IF(Classifiers!$F$10="",0,IF(ISNUMBER(SEARCH(Classifiers!$F$10,E172)),1,0))+IF(Classifiers!$G$10="",0,IF(ISNUMBER(SEARCH(Classifiers!$G$10,E172)),1,0)))&gt;0,1,0))</f>
        <v/>
      </c>
      <c r="P172" s="12">
        <f>IF(H172&lt;&gt;1,0,IF((IF(Classifiers!$B$11="",0,IF(ISNUMBER(SEARCH(Classifiers!$B$11,E172)),1,0))+IF(Classifiers!$C$11="",0,IF(ISNUMBER(SEARCH(Classifiers!$C$11,E172)),1,0))+IF(Classifiers!$D$11="",0,IF(ISNUMBER(SEARCH(Classifiers!$D$11,E172)),1,0))+IF(Classifiers!$E$11="",0,IF(ISNUMBER(SEARCH(Classifiers!$E$11,E172)),1,0))+IF(Classifiers!$F$11="",0,IF(ISNUMBER(SEARCH(Classifiers!$F$11,E172)),1,0))+IF(Classifiers!$G$11="",0,IF(ISNUMBER(SEARCH(Classifiers!$G$11,E172)),1,0)))&gt;0,1,0))</f>
        <v/>
      </c>
      <c r="Q172" s="12">
        <f>IF(H172&lt;&gt;1,0,IF((IF(Classifiers!$B$12="",0,IF(ISNUMBER(SEARCH(Classifiers!$B$12,E172)),1,0))+IF(Classifiers!$C$12="",0,IF(ISNUMBER(SEARCH(Classifiers!$C$12,E172)),1,0))+IF(Classifiers!$D$12="",0,IF(ISNUMBER(SEARCH(Classifiers!$D$12,E172)),1,0))+IF(Classifiers!$E$12="",0,IF(ISNUMBER(SEARCH(Classifiers!$E$12,E172)),1,0))+IF(Classifiers!$F$12="",0,IF(ISNUMBER(SEARCH(Classifiers!$F$12,E172)),1,0))+IF(Classifiers!$G$12="",0,IF(ISNUMBER(SEARCH(Classifiers!$G$12,E172)),1,0)))&gt;0,1,0))</f>
        <v/>
      </c>
      <c r="R172" s="12">
        <f>IF(H172&lt;&gt;1,0,IF((IF(Classifiers!$B$13="",0,IF(ISNUMBER(SEARCH(Classifiers!$B$13,E172)),1,0))+IF(Classifiers!$C$13="",0,IF(ISNUMBER(SEARCH(Classifiers!$C$13,E172)),1,0))+IF(Classifiers!$D$13="",0,IF(ISNUMBER(SEARCH(Classifiers!$D$13,E172)),1,0))+IF(Classifiers!$E$13="",0,IF(ISNUMBER(SEARCH(Classifiers!$E$13,E172)),1,0))+IF(Classifiers!$F$13="",0,IF(ISNUMBER(SEARCH(Classifiers!$F$13,E172)),1,0))+IF(Classifiers!$G$13="",0,IF(ISNUMBER(SEARCH(Classifiers!$G$13,E172)),1,0)))&gt;0,1,0))</f>
        <v/>
      </c>
      <c r="S172" s="12">
        <f>IF(H172&lt;&gt;1,0,IF((IF(Classifiers!$B$14="",0,IF(ISNUMBER(SEARCH(Classifiers!$B$14,E172)),1,0))+IF(Classifiers!$C$14="",0,IF(ISNUMBER(SEARCH(Classifiers!$C$14,E172)),1,0))+IF(Classifiers!$D$14="",0,IF(ISNUMBER(SEARCH(Classifiers!$D$14,E172)),1,0))+IF(Classifiers!$E$14="",0,IF(ISNUMBER(SEARCH(Classifiers!$E$14,E172)),1,0))+IF(Classifiers!$F$14="",0,IF(ISNUMBER(SEARCH(Classifiers!$F$14,E172)),1,0))+IF(Classifiers!$G$14="",0,IF(ISNUMBER(SEARCH(Classifiers!$G$14,E172)),1,0)))&gt;0,1,0))</f>
        <v/>
      </c>
      <c r="T172" s="12">
        <f>IF(H172&lt;&gt;1,0,IF((IF(Classifiers!$B$15="",0,IF(ISNUMBER(SEARCH(Classifiers!$B$15,E172)),1,0))+IF(Classifiers!$C$15="",0,IF(ISNUMBER(SEARCH(Classifiers!$C$15,E172)),1,0))+IF(Classifiers!$D$15="",0,IF(ISNUMBER(SEARCH(Classifiers!$D$15,E172)),1,0))+IF(Classifiers!$E$15="",0,IF(ISNUMBER(SEARCH(Classifiers!$E$15,E172)),1,0))+IF(Classifiers!$F$15="",0,IF(ISNUMBER(SEARCH(Classifiers!$F$15,E172)),1,0))+IF(Classifiers!$G$15="",0,IF(ISNUMBER(SEARCH(Classifiers!$G$15,E172)),1,0)))&gt;0,1,0))</f>
        <v/>
      </c>
      <c r="U172" s="12">
        <f>IF(H172&lt;&gt;1,0,IF((IF(Classifiers!$B$16="",0,IF(ISNUMBER(SEARCH(Classifiers!$B$16,E172)),1,0))+IF(Classifiers!$C$16="",0,IF(ISNUMBER(SEARCH(Classifiers!$C$16,E172)),1,0))+IF(Classifiers!$D$16="",0,IF(ISNUMBER(SEARCH(Classifiers!$D$16,E172)),1,0))+IF(Classifiers!$E$16="",0,IF(ISNUMBER(SEARCH(Classifiers!$E$16,E172)),1,0))+IF(Classifiers!$F$16="",0,IF(ISNUMBER(SEARCH(Classifiers!$F$16,E172)),1,0))+IF(Classifiers!$G$16="",0,IF(ISNUMBER(SEARCH(Classifiers!$G$16,E172)),1,0)))&gt;0,1,0))</f>
        <v/>
      </c>
      <c r="V172" s="12">
        <f>IF(H172&lt;&gt;1,0,IF((IF(Classifiers!$B$17="",0,IF(ISNUMBER(SEARCH(Classifiers!$B$17,E172)),1,0))+IF(Classifiers!$C$17="",0,IF(ISNUMBER(SEARCH(Classifiers!$C$17,E172)),1,0))+IF(Classifiers!$D$17="",0,IF(ISNUMBER(SEARCH(Classifiers!$D$17,E172)),1,0))+IF(Classifiers!$E$17="",0,IF(ISNUMBER(SEARCH(Classifiers!$E$17,E172)),1,0))+IF(Classifiers!$F$17="",0,IF(ISNUMBER(SEARCH(Classifiers!$F$17,E172)),1,0))+IF(Classifiers!$G$17="",0,IF(ISNUMBER(SEARCH(Classifiers!$G$17,E172)),1,0)))&gt;0,1,0))</f>
        <v/>
      </c>
      <c r="W172" s="12">
        <f>IF(H172&lt;&gt;1,0,IF((IF(Classifiers!$B$18="",0,IF(ISNUMBER(SEARCH(Classifiers!$B$18,E172)),1,0))+IF(Classifiers!$C$18="",0,IF(ISNUMBER(SEARCH(Classifiers!$C$18,E172)),1,0))+IF(Classifiers!$D$18="",0,IF(ISNUMBER(SEARCH(Classifiers!$D$18,E172)),1,0))+IF(Classifiers!$E$18="",0,IF(ISNUMBER(SEARCH(Classifiers!$E$18,E172)),1,0))+IF(Classifiers!$F$18="",0,IF(ISNUMBER(SEARCH(Classifiers!$F$18,E172)),1,0))+IF(Classifiers!$G$18="",0,IF(ISNUMBER(SEARCH(Classifiers!$G$18,E172)),1,0)))&gt;0,1,0))</f>
        <v/>
      </c>
    </row>
    <row r="173">
      <c r="A173" s="8" t="n"/>
      <c r="B173" s="11" t="n"/>
      <c r="C173" s="6">
        <f>IF(A173="","",TRIM(RIGHT(SUBSTITUTE(A173,"/",REPT(" ",250)),250)))</f>
        <v/>
      </c>
      <c r="D173" s="6">
        <f>IF(C173="","",IF(ISNUMBER(SEARCH(".",C173)),LOWER("."&amp;TRIM(RIGHT(SUBSTITUTE(C173,".",REPT(" ",250)),250))),""))</f>
        <v/>
      </c>
      <c r="E173" s="6">
        <f>IF(C173="","",TRIM(SUBSTITUTE(SUBSTITUTE(SUBSTITUTE(SUBSTITUTE(SUBSTITUTE(SUBSTITUTE(SUBSTITUTE(SUBSTITUTE(SUBSTITUTE(SUBSTITUTE(SUBSTITUTE(SUBSTITUTE(SUBSTITUTE(SUBSTITUTE(SUBSTITUTE(SUBSTITUTE(SUBSTITUTE(SUBSTITUTE(SUBSTITUTE(SUBSTITUTE(LOWER(LEFT(C173,LEN(C173)-LEN(D173))),"_"," "),"-"," "),"."," "),","," "),"("," "),")"," "),"["," "),"]"," "),"&amp;"," "),"+"," "),"@"," "),"#"," "),"!"," "),"'"," "),"/"," "),":"," "),";"," "),"="," "),"~"," "),"%"," ")))</f>
        <v/>
      </c>
      <c r="F173" s="6">
        <f>IF(C173="","",IF(COUNTIF(Classifiers!$A$23:$A$40,D173)&gt;0,1,0))</f>
        <v/>
      </c>
      <c r="G173" s="6">
        <f>IF(C173="","",IF(COUNTIF(Classifiers!$C$23:$C$30,D173)&gt;0,IF((IF(ISNUMBER(SEARCH(Classifiers!$E$23,E173)),1,0)+IF(ISNUMBER(SEARCH(Classifiers!$E$24,E173)),1,0)+IF(ISNUMBER(SEARCH(Classifiers!$E$25,E173)),1,0)+IF(ISNUMBER(SEARCH(Classifiers!$E$26,E173)),1,0)+IF(ISNUMBER(SEARCH(Classifiers!$E$27,E173)),1,0)+IF(ISNUMBER(SEARCH(Classifiers!$E$28,E173)),1,0)+IF(ISNUMBER(SEARCH(Classifiers!$E$29,E173)),1,0)+IF(ISNUMBER(SEARCH(Classifiers!$E$30,E173)),1,0))&gt;0,1,0),0))</f>
        <v/>
      </c>
      <c r="H173" s="6">
        <f>IF(C173="","",IF(OR(LEFT(C173,1)=".",AND(F173=0,G173=0)),0,1))</f>
        <v/>
      </c>
      <c r="I173" s="6">
        <f>IF(H173&lt;&gt;1,"",IF(SUM(J173:W173)=0,"unclassified",INDEX(Classifiers!$A$5:$A$18,MATCH(1,J173:W173,0),1)))</f>
        <v/>
      </c>
      <c r="J173" s="12">
        <f>IF(H173&lt;&gt;1,0,IF((IF(Classifiers!$B$5="",0,IF(ISNUMBER(SEARCH(Classifiers!$B$5,E173)),1,0))+IF(Classifiers!$C$5="",0,IF(ISNUMBER(SEARCH(Classifiers!$C$5,E173)),1,0))+IF(Classifiers!$D$5="",0,IF(ISNUMBER(SEARCH(Classifiers!$D$5,E173)),1,0))+IF(Classifiers!$E$5="",0,IF(ISNUMBER(SEARCH(Classifiers!$E$5,E173)),1,0))+IF(Classifiers!$F$5="",0,IF(ISNUMBER(SEARCH(Classifiers!$F$5,E173)),1,0))+IF(Classifiers!$G$5="",0,IF(ISNUMBER(SEARCH(Classifiers!$G$5,E173)),1,0)))&gt;0,1,0))</f>
        <v/>
      </c>
      <c r="K173" s="12">
        <f>IF(H173&lt;&gt;1,0,IF((IF(Classifiers!$B$6="",0,IF(ISNUMBER(SEARCH(Classifiers!$B$6,E173)),1,0))+IF(Classifiers!$C$6="",0,IF(ISNUMBER(SEARCH(Classifiers!$C$6,E173)),1,0))+IF(Classifiers!$D$6="",0,IF(ISNUMBER(SEARCH(Classifiers!$D$6,E173)),1,0))+IF(Classifiers!$E$6="",0,IF(ISNUMBER(SEARCH(Classifiers!$E$6,E173)),1,0))+IF(Classifiers!$F$6="",0,IF(ISNUMBER(SEARCH(Classifiers!$F$6,E173)),1,0))+IF(Classifiers!$G$6="",0,IF(ISNUMBER(SEARCH(Classifiers!$G$6,E173)),1,0)))&gt;0,1,0))</f>
        <v/>
      </c>
      <c r="L173" s="12">
        <f>IF(H173&lt;&gt;1,0,IF((IF(Classifiers!$B$7="",0,IF(ISNUMBER(SEARCH(Classifiers!$B$7,E173)),1,0))+IF(Classifiers!$C$7="",0,IF(ISNUMBER(SEARCH(Classifiers!$C$7,E173)),1,0))+IF(Classifiers!$D$7="",0,IF(ISNUMBER(SEARCH(Classifiers!$D$7,E173)),1,0))+IF(Classifiers!$E$7="",0,IF(ISNUMBER(SEARCH(Classifiers!$E$7,E173)),1,0))+IF(Classifiers!$F$7="",0,IF(ISNUMBER(SEARCH(Classifiers!$F$7,E173)),1,0))+IF(Classifiers!$G$7="",0,IF(ISNUMBER(SEARCH(Classifiers!$G$7,E173)),1,0)))&gt;0,1,0))</f>
        <v/>
      </c>
      <c r="M173" s="12">
        <f>IF(H173&lt;&gt;1,0,IF((IF(Classifiers!$B$8="",0,IF(ISNUMBER(SEARCH(Classifiers!$B$8,E173)),1,0))+IF(Classifiers!$C$8="",0,IF(ISNUMBER(SEARCH(Classifiers!$C$8,E173)),1,0))+IF(Classifiers!$D$8="",0,IF(ISNUMBER(SEARCH(Classifiers!$D$8,E173)),1,0))+IF(Classifiers!$E$8="",0,IF(ISNUMBER(SEARCH(Classifiers!$E$8,E173)),1,0))+IF(Classifiers!$F$8="",0,IF(ISNUMBER(SEARCH(Classifiers!$F$8,E173)),1,0))+IF(Classifiers!$G$8="",0,IF(ISNUMBER(SEARCH(Classifiers!$G$8,E173)),1,0)))&gt;0,1,0))</f>
        <v/>
      </c>
      <c r="N173" s="12">
        <f>IF(H173&lt;&gt;1,0,IF((IF(Classifiers!$B$9="",0,IF(ISNUMBER(SEARCH(Classifiers!$B$9,E173)),1,0))+IF(Classifiers!$C$9="",0,IF(ISNUMBER(SEARCH(Classifiers!$C$9,E173)),1,0))+IF(Classifiers!$D$9="",0,IF(ISNUMBER(SEARCH(Classifiers!$D$9,E173)),1,0))+IF(Classifiers!$E$9="",0,IF(ISNUMBER(SEARCH(Classifiers!$E$9,E173)),1,0))+IF(Classifiers!$F$9="",0,IF(ISNUMBER(SEARCH(Classifiers!$F$9,E173)),1,0))+IF(Classifiers!$G$9="",0,IF(ISNUMBER(SEARCH(Classifiers!$G$9,E173)),1,0)))&gt;0,1,0))</f>
        <v/>
      </c>
      <c r="O173" s="12">
        <f>IF(H173&lt;&gt;1,0,IF((IF(Classifiers!$B$10="",0,IF(ISNUMBER(SEARCH(Classifiers!$B$10,E173)),1,0))+IF(Classifiers!$C$10="",0,IF(ISNUMBER(SEARCH(Classifiers!$C$10,E173)),1,0))+IF(Classifiers!$D$10="",0,IF(ISNUMBER(SEARCH(Classifiers!$D$10,E173)),1,0))+IF(Classifiers!$E$10="",0,IF(ISNUMBER(SEARCH(Classifiers!$E$10,E173)),1,0))+IF(Classifiers!$F$10="",0,IF(ISNUMBER(SEARCH(Classifiers!$F$10,E173)),1,0))+IF(Classifiers!$G$10="",0,IF(ISNUMBER(SEARCH(Classifiers!$G$10,E173)),1,0)))&gt;0,1,0))</f>
        <v/>
      </c>
      <c r="P173" s="12">
        <f>IF(H173&lt;&gt;1,0,IF((IF(Classifiers!$B$11="",0,IF(ISNUMBER(SEARCH(Classifiers!$B$11,E173)),1,0))+IF(Classifiers!$C$11="",0,IF(ISNUMBER(SEARCH(Classifiers!$C$11,E173)),1,0))+IF(Classifiers!$D$11="",0,IF(ISNUMBER(SEARCH(Classifiers!$D$11,E173)),1,0))+IF(Classifiers!$E$11="",0,IF(ISNUMBER(SEARCH(Classifiers!$E$11,E173)),1,0))+IF(Classifiers!$F$11="",0,IF(ISNUMBER(SEARCH(Classifiers!$F$11,E173)),1,0))+IF(Classifiers!$G$11="",0,IF(ISNUMBER(SEARCH(Classifiers!$G$11,E173)),1,0)))&gt;0,1,0))</f>
        <v/>
      </c>
      <c r="Q173" s="12">
        <f>IF(H173&lt;&gt;1,0,IF((IF(Classifiers!$B$12="",0,IF(ISNUMBER(SEARCH(Classifiers!$B$12,E173)),1,0))+IF(Classifiers!$C$12="",0,IF(ISNUMBER(SEARCH(Classifiers!$C$12,E173)),1,0))+IF(Classifiers!$D$12="",0,IF(ISNUMBER(SEARCH(Classifiers!$D$12,E173)),1,0))+IF(Classifiers!$E$12="",0,IF(ISNUMBER(SEARCH(Classifiers!$E$12,E173)),1,0))+IF(Classifiers!$F$12="",0,IF(ISNUMBER(SEARCH(Classifiers!$F$12,E173)),1,0))+IF(Classifiers!$G$12="",0,IF(ISNUMBER(SEARCH(Classifiers!$G$12,E173)),1,0)))&gt;0,1,0))</f>
        <v/>
      </c>
      <c r="R173" s="12">
        <f>IF(H173&lt;&gt;1,0,IF((IF(Classifiers!$B$13="",0,IF(ISNUMBER(SEARCH(Classifiers!$B$13,E173)),1,0))+IF(Classifiers!$C$13="",0,IF(ISNUMBER(SEARCH(Classifiers!$C$13,E173)),1,0))+IF(Classifiers!$D$13="",0,IF(ISNUMBER(SEARCH(Classifiers!$D$13,E173)),1,0))+IF(Classifiers!$E$13="",0,IF(ISNUMBER(SEARCH(Classifiers!$E$13,E173)),1,0))+IF(Classifiers!$F$13="",0,IF(ISNUMBER(SEARCH(Classifiers!$F$13,E173)),1,0))+IF(Classifiers!$G$13="",0,IF(ISNUMBER(SEARCH(Classifiers!$G$13,E173)),1,0)))&gt;0,1,0))</f>
        <v/>
      </c>
      <c r="S173" s="12">
        <f>IF(H173&lt;&gt;1,0,IF((IF(Classifiers!$B$14="",0,IF(ISNUMBER(SEARCH(Classifiers!$B$14,E173)),1,0))+IF(Classifiers!$C$14="",0,IF(ISNUMBER(SEARCH(Classifiers!$C$14,E173)),1,0))+IF(Classifiers!$D$14="",0,IF(ISNUMBER(SEARCH(Classifiers!$D$14,E173)),1,0))+IF(Classifiers!$E$14="",0,IF(ISNUMBER(SEARCH(Classifiers!$E$14,E173)),1,0))+IF(Classifiers!$F$14="",0,IF(ISNUMBER(SEARCH(Classifiers!$F$14,E173)),1,0))+IF(Classifiers!$G$14="",0,IF(ISNUMBER(SEARCH(Classifiers!$G$14,E173)),1,0)))&gt;0,1,0))</f>
        <v/>
      </c>
      <c r="T173" s="12">
        <f>IF(H173&lt;&gt;1,0,IF((IF(Classifiers!$B$15="",0,IF(ISNUMBER(SEARCH(Classifiers!$B$15,E173)),1,0))+IF(Classifiers!$C$15="",0,IF(ISNUMBER(SEARCH(Classifiers!$C$15,E173)),1,0))+IF(Classifiers!$D$15="",0,IF(ISNUMBER(SEARCH(Classifiers!$D$15,E173)),1,0))+IF(Classifiers!$E$15="",0,IF(ISNUMBER(SEARCH(Classifiers!$E$15,E173)),1,0))+IF(Classifiers!$F$15="",0,IF(ISNUMBER(SEARCH(Classifiers!$F$15,E173)),1,0))+IF(Classifiers!$G$15="",0,IF(ISNUMBER(SEARCH(Classifiers!$G$15,E173)),1,0)))&gt;0,1,0))</f>
        <v/>
      </c>
      <c r="U173" s="12">
        <f>IF(H173&lt;&gt;1,0,IF((IF(Classifiers!$B$16="",0,IF(ISNUMBER(SEARCH(Classifiers!$B$16,E173)),1,0))+IF(Classifiers!$C$16="",0,IF(ISNUMBER(SEARCH(Classifiers!$C$16,E173)),1,0))+IF(Classifiers!$D$16="",0,IF(ISNUMBER(SEARCH(Classifiers!$D$16,E173)),1,0))+IF(Classifiers!$E$16="",0,IF(ISNUMBER(SEARCH(Classifiers!$E$16,E173)),1,0))+IF(Classifiers!$F$16="",0,IF(ISNUMBER(SEARCH(Classifiers!$F$16,E173)),1,0))+IF(Classifiers!$G$16="",0,IF(ISNUMBER(SEARCH(Classifiers!$G$16,E173)),1,0)))&gt;0,1,0))</f>
        <v/>
      </c>
      <c r="V173" s="12">
        <f>IF(H173&lt;&gt;1,0,IF((IF(Classifiers!$B$17="",0,IF(ISNUMBER(SEARCH(Classifiers!$B$17,E173)),1,0))+IF(Classifiers!$C$17="",0,IF(ISNUMBER(SEARCH(Classifiers!$C$17,E173)),1,0))+IF(Classifiers!$D$17="",0,IF(ISNUMBER(SEARCH(Classifiers!$D$17,E173)),1,0))+IF(Classifiers!$E$17="",0,IF(ISNUMBER(SEARCH(Classifiers!$E$17,E173)),1,0))+IF(Classifiers!$F$17="",0,IF(ISNUMBER(SEARCH(Classifiers!$F$17,E173)),1,0))+IF(Classifiers!$G$17="",0,IF(ISNUMBER(SEARCH(Classifiers!$G$17,E173)),1,0)))&gt;0,1,0))</f>
        <v/>
      </c>
      <c r="W173" s="12">
        <f>IF(H173&lt;&gt;1,0,IF((IF(Classifiers!$B$18="",0,IF(ISNUMBER(SEARCH(Classifiers!$B$18,E173)),1,0))+IF(Classifiers!$C$18="",0,IF(ISNUMBER(SEARCH(Classifiers!$C$18,E173)),1,0))+IF(Classifiers!$D$18="",0,IF(ISNUMBER(SEARCH(Classifiers!$D$18,E173)),1,0))+IF(Classifiers!$E$18="",0,IF(ISNUMBER(SEARCH(Classifiers!$E$18,E173)),1,0))+IF(Classifiers!$F$18="",0,IF(ISNUMBER(SEARCH(Classifiers!$F$18,E173)),1,0))+IF(Classifiers!$G$18="",0,IF(ISNUMBER(SEARCH(Classifiers!$G$18,E173)),1,0)))&gt;0,1,0))</f>
        <v/>
      </c>
    </row>
    <row r="174">
      <c r="A174" s="8" t="n"/>
      <c r="B174" s="11" t="n"/>
      <c r="C174" s="6">
        <f>IF(A174="","",TRIM(RIGHT(SUBSTITUTE(A174,"/",REPT(" ",250)),250)))</f>
        <v/>
      </c>
      <c r="D174" s="6">
        <f>IF(C174="","",IF(ISNUMBER(SEARCH(".",C174)),LOWER("."&amp;TRIM(RIGHT(SUBSTITUTE(C174,".",REPT(" ",250)),250))),""))</f>
        <v/>
      </c>
      <c r="E174" s="6">
        <f>IF(C174="","",TRIM(SUBSTITUTE(SUBSTITUTE(SUBSTITUTE(SUBSTITUTE(SUBSTITUTE(SUBSTITUTE(SUBSTITUTE(SUBSTITUTE(SUBSTITUTE(SUBSTITUTE(SUBSTITUTE(SUBSTITUTE(SUBSTITUTE(SUBSTITUTE(SUBSTITUTE(SUBSTITUTE(SUBSTITUTE(SUBSTITUTE(SUBSTITUTE(SUBSTITUTE(LOWER(LEFT(C174,LEN(C174)-LEN(D174))),"_"," "),"-"," "),"."," "),","," "),"("," "),")"," "),"["," "),"]"," "),"&amp;"," "),"+"," "),"@"," "),"#"," "),"!"," "),"'"," "),"/"," "),":"," "),";"," "),"="," "),"~"," "),"%"," ")))</f>
        <v/>
      </c>
      <c r="F174" s="6">
        <f>IF(C174="","",IF(COUNTIF(Classifiers!$A$23:$A$40,D174)&gt;0,1,0))</f>
        <v/>
      </c>
      <c r="G174" s="6">
        <f>IF(C174="","",IF(COUNTIF(Classifiers!$C$23:$C$30,D174)&gt;0,IF((IF(ISNUMBER(SEARCH(Classifiers!$E$23,E174)),1,0)+IF(ISNUMBER(SEARCH(Classifiers!$E$24,E174)),1,0)+IF(ISNUMBER(SEARCH(Classifiers!$E$25,E174)),1,0)+IF(ISNUMBER(SEARCH(Classifiers!$E$26,E174)),1,0)+IF(ISNUMBER(SEARCH(Classifiers!$E$27,E174)),1,0)+IF(ISNUMBER(SEARCH(Classifiers!$E$28,E174)),1,0)+IF(ISNUMBER(SEARCH(Classifiers!$E$29,E174)),1,0)+IF(ISNUMBER(SEARCH(Classifiers!$E$30,E174)),1,0))&gt;0,1,0),0))</f>
        <v/>
      </c>
      <c r="H174" s="6">
        <f>IF(C174="","",IF(OR(LEFT(C174,1)=".",AND(F174=0,G174=0)),0,1))</f>
        <v/>
      </c>
      <c r="I174" s="6">
        <f>IF(H174&lt;&gt;1,"",IF(SUM(J174:W174)=0,"unclassified",INDEX(Classifiers!$A$5:$A$18,MATCH(1,J174:W174,0),1)))</f>
        <v/>
      </c>
      <c r="J174" s="12">
        <f>IF(H174&lt;&gt;1,0,IF((IF(Classifiers!$B$5="",0,IF(ISNUMBER(SEARCH(Classifiers!$B$5,E174)),1,0))+IF(Classifiers!$C$5="",0,IF(ISNUMBER(SEARCH(Classifiers!$C$5,E174)),1,0))+IF(Classifiers!$D$5="",0,IF(ISNUMBER(SEARCH(Classifiers!$D$5,E174)),1,0))+IF(Classifiers!$E$5="",0,IF(ISNUMBER(SEARCH(Classifiers!$E$5,E174)),1,0))+IF(Classifiers!$F$5="",0,IF(ISNUMBER(SEARCH(Classifiers!$F$5,E174)),1,0))+IF(Classifiers!$G$5="",0,IF(ISNUMBER(SEARCH(Classifiers!$G$5,E174)),1,0)))&gt;0,1,0))</f>
        <v/>
      </c>
      <c r="K174" s="12">
        <f>IF(H174&lt;&gt;1,0,IF((IF(Classifiers!$B$6="",0,IF(ISNUMBER(SEARCH(Classifiers!$B$6,E174)),1,0))+IF(Classifiers!$C$6="",0,IF(ISNUMBER(SEARCH(Classifiers!$C$6,E174)),1,0))+IF(Classifiers!$D$6="",0,IF(ISNUMBER(SEARCH(Classifiers!$D$6,E174)),1,0))+IF(Classifiers!$E$6="",0,IF(ISNUMBER(SEARCH(Classifiers!$E$6,E174)),1,0))+IF(Classifiers!$F$6="",0,IF(ISNUMBER(SEARCH(Classifiers!$F$6,E174)),1,0))+IF(Classifiers!$G$6="",0,IF(ISNUMBER(SEARCH(Classifiers!$G$6,E174)),1,0)))&gt;0,1,0))</f>
        <v/>
      </c>
      <c r="L174" s="12">
        <f>IF(H174&lt;&gt;1,0,IF((IF(Classifiers!$B$7="",0,IF(ISNUMBER(SEARCH(Classifiers!$B$7,E174)),1,0))+IF(Classifiers!$C$7="",0,IF(ISNUMBER(SEARCH(Classifiers!$C$7,E174)),1,0))+IF(Classifiers!$D$7="",0,IF(ISNUMBER(SEARCH(Classifiers!$D$7,E174)),1,0))+IF(Classifiers!$E$7="",0,IF(ISNUMBER(SEARCH(Classifiers!$E$7,E174)),1,0))+IF(Classifiers!$F$7="",0,IF(ISNUMBER(SEARCH(Classifiers!$F$7,E174)),1,0))+IF(Classifiers!$G$7="",0,IF(ISNUMBER(SEARCH(Classifiers!$G$7,E174)),1,0)))&gt;0,1,0))</f>
        <v/>
      </c>
      <c r="M174" s="12">
        <f>IF(H174&lt;&gt;1,0,IF((IF(Classifiers!$B$8="",0,IF(ISNUMBER(SEARCH(Classifiers!$B$8,E174)),1,0))+IF(Classifiers!$C$8="",0,IF(ISNUMBER(SEARCH(Classifiers!$C$8,E174)),1,0))+IF(Classifiers!$D$8="",0,IF(ISNUMBER(SEARCH(Classifiers!$D$8,E174)),1,0))+IF(Classifiers!$E$8="",0,IF(ISNUMBER(SEARCH(Classifiers!$E$8,E174)),1,0))+IF(Classifiers!$F$8="",0,IF(ISNUMBER(SEARCH(Classifiers!$F$8,E174)),1,0))+IF(Classifiers!$G$8="",0,IF(ISNUMBER(SEARCH(Classifiers!$G$8,E174)),1,0)))&gt;0,1,0))</f>
        <v/>
      </c>
      <c r="N174" s="12">
        <f>IF(H174&lt;&gt;1,0,IF((IF(Classifiers!$B$9="",0,IF(ISNUMBER(SEARCH(Classifiers!$B$9,E174)),1,0))+IF(Classifiers!$C$9="",0,IF(ISNUMBER(SEARCH(Classifiers!$C$9,E174)),1,0))+IF(Classifiers!$D$9="",0,IF(ISNUMBER(SEARCH(Classifiers!$D$9,E174)),1,0))+IF(Classifiers!$E$9="",0,IF(ISNUMBER(SEARCH(Classifiers!$E$9,E174)),1,0))+IF(Classifiers!$F$9="",0,IF(ISNUMBER(SEARCH(Classifiers!$F$9,E174)),1,0))+IF(Classifiers!$G$9="",0,IF(ISNUMBER(SEARCH(Classifiers!$G$9,E174)),1,0)))&gt;0,1,0))</f>
        <v/>
      </c>
      <c r="O174" s="12">
        <f>IF(H174&lt;&gt;1,0,IF((IF(Classifiers!$B$10="",0,IF(ISNUMBER(SEARCH(Classifiers!$B$10,E174)),1,0))+IF(Classifiers!$C$10="",0,IF(ISNUMBER(SEARCH(Classifiers!$C$10,E174)),1,0))+IF(Classifiers!$D$10="",0,IF(ISNUMBER(SEARCH(Classifiers!$D$10,E174)),1,0))+IF(Classifiers!$E$10="",0,IF(ISNUMBER(SEARCH(Classifiers!$E$10,E174)),1,0))+IF(Classifiers!$F$10="",0,IF(ISNUMBER(SEARCH(Classifiers!$F$10,E174)),1,0))+IF(Classifiers!$G$10="",0,IF(ISNUMBER(SEARCH(Classifiers!$G$10,E174)),1,0)))&gt;0,1,0))</f>
        <v/>
      </c>
      <c r="P174" s="12">
        <f>IF(H174&lt;&gt;1,0,IF((IF(Classifiers!$B$11="",0,IF(ISNUMBER(SEARCH(Classifiers!$B$11,E174)),1,0))+IF(Classifiers!$C$11="",0,IF(ISNUMBER(SEARCH(Classifiers!$C$11,E174)),1,0))+IF(Classifiers!$D$11="",0,IF(ISNUMBER(SEARCH(Classifiers!$D$11,E174)),1,0))+IF(Classifiers!$E$11="",0,IF(ISNUMBER(SEARCH(Classifiers!$E$11,E174)),1,0))+IF(Classifiers!$F$11="",0,IF(ISNUMBER(SEARCH(Classifiers!$F$11,E174)),1,0))+IF(Classifiers!$G$11="",0,IF(ISNUMBER(SEARCH(Classifiers!$G$11,E174)),1,0)))&gt;0,1,0))</f>
        <v/>
      </c>
      <c r="Q174" s="12">
        <f>IF(H174&lt;&gt;1,0,IF((IF(Classifiers!$B$12="",0,IF(ISNUMBER(SEARCH(Classifiers!$B$12,E174)),1,0))+IF(Classifiers!$C$12="",0,IF(ISNUMBER(SEARCH(Classifiers!$C$12,E174)),1,0))+IF(Classifiers!$D$12="",0,IF(ISNUMBER(SEARCH(Classifiers!$D$12,E174)),1,0))+IF(Classifiers!$E$12="",0,IF(ISNUMBER(SEARCH(Classifiers!$E$12,E174)),1,0))+IF(Classifiers!$F$12="",0,IF(ISNUMBER(SEARCH(Classifiers!$F$12,E174)),1,0))+IF(Classifiers!$G$12="",0,IF(ISNUMBER(SEARCH(Classifiers!$G$12,E174)),1,0)))&gt;0,1,0))</f>
        <v/>
      </c>
      <c r="R174" s="12">
        <f>IF(H174&lt;&gt;1,0,IF((IF(Classifiers!$B$13="",0,IF(ISNUMBER(SEARCH(Classifiers!$B$13,E174)),1,0))+IF(Classifiers!$C$13="",0,IF(ISNUMBER(SEARCH(Classifiers!$C$13,E174)),1,0))+IF(Classifiers!$D$13="",0,IF(ISNUMBER(SEARCH(Classifiers!$D$13,E174)),1,0))+IF(Classifiers!$E$13="",0,IF(ISNUMBER(SEARCH(Classifiers!$E$13,E174)),1,0))+IF(Classifiers!$F$13="",0,IF(ISNUMBER(SEARCH(Classifiers!$F$13,E174)),1,0))+IF(Classifiers!$G$13="",0,IF(ISNUMBER(SEARCH(Classifiers!$G$13,E174)),1,0)))&gt;0,1,0))</f>
        <v/>
      </c>
      <c r="S174" s="12">
        <f>IF(H174&lt;&gt;1,0,IF((IF(Classifiers!$B$14="",0,IF(ISNUMBER(SEARCH(Classifiers!$B$14,E174)),1,0))+IF(Classifiers!$C$14="",0,IF(ISNUMBER(SEARCH(Classifiers!$C$14,E174)),1,0))+IF(Classifiers!$D$14="",0,IF(ISNUMBER(SEARCH(Classifiers!$D$14,E174)),1,0))+IF(Classifiers!$E$14="",0,IF(ISNUMBER(SEARCH(Classifiers!$E$14,E174)),1,0))+IF(Classifiers!$F$14="",0,IF(ISNUMBER(SEARCH(Classifiers!$F$14,E174)),1,0))+IF(Classifiers!$G$14="",0,IF(ISNUMBER(SEARCH(Classifiers!$G$14,E174)),1,0)))&gt;0,1,0))</f>
        <v/>
      </c>
      <c r="T174" s="12">
        <f>IF(H174&lt;&gt;1,0,IF((IF(Classifiers!$B$15="",0,IF(ISNUMBER(SEARCH(Classifiers!$B$15,E174)),1,0))+IF(Classifiers!$C$15="",0,IF(ISNUMBER(SEARCH(Classifiers!$C$15,E174)),1,0))+IF(Classifiers!$D$15="",0,IF(ISNUMBER(SEARCH(Classifiers!$D$15,E174)),1,0))+IF(Classifiers!$E$15="",0,IF(ISNUMBER(SEARCH(Classifiers!$E$15,E174)),1,0))+IF(Classifiers!$F$15="",0,IF(ISNUMBER(SEARCH(Classifiers!$F$15,E174)),1,0))+IF(Classifiers!$G$15="",0,IF(ISNUMBER(SEARCH(Classifiers!$G$15,E174)),1,0)))&gt;0,1,0))</f>
        <v/>
      </c>
      <c r="U174" s="12">
        <f>IF(H174&lt;&gt;1,0,IF((IF(Classifiers!$B$16="",0,IF(ISNUMBER(SEARCH(Classifiers!$B$16,E174)),1,0))+IF(Classifiers!$C$16="",0,IF(ISNUMBER(SEARCH(Classifiers!$C$16,E174)),1,0))+IF(Classifiers!$D$16="",0,IF(ISNUMBER(SEARCH(Classifiers!$D$16,E174)),1,0))+IF(Classifiers!$E$16="",0,IF(ISNUMBER(SEARCH(Classifiers!$E$16,E174)),1,0))+IF(Classifiers!$F$16="",0,IF(ISNUMBER(SEARCH(Classifiers!$F$16,E174)),1,0))+IF(Classifiers!$G$16="",0,IF(ISNUMBER(SEARCH(Classifiers!$G$16,E174)),1,0)))&gt;0,1,0))</f>
        <v/>
      </c>
      <c r="V174" s="12">
        <f>IF(H174&lt;&gt;1,0,IF((IF(Classifiers!$B$17="",0,IF(ISNUMBER(SEARCH(Classifiers!$B$17,E174)),1,0))+IF(Classifiers!$C$17="",0,IF(ISNUMBER(SEARCH(Classifiers!$C$17,E174)),1,0))+IF(Classifiers!$D$17="",0,IF(ISNUMBER(SEARCH(Classifiers!$D$17,E174)),1,0))+IF(Classifiers!$E$17="",0,IF(ISNUMBER(SEARCH(Classifiers!$E$17,E174)),1,0))+IF(Classifiers!$F$17="",0,IF(ISNUMBER(SEARCH(Classifiers!$F$17,E174)),1,0))+IF(Classifiers!$G$17="",0,IF(ISNUMBER(SEARCH(Classifiers!$G$17,E174)),1,0)))&gt;0,1,0))</f>
        <v/>
      </c>
      <c r="W174" s="12">
        <f>IF(H174&lt;&gt;1,0,IF((IF(Classifiers!$B$18="",0,IF(ISNUMBER(SEARCH(Classifiers!$B$18,E174)),1,0))+IF(Classifiers!$C$18="",0,IF(ISNUMBER(SEARCH(Classifiers!$C$18,E174)),1,0))+IF(Classifiers!$D$18="",0,IF(ISNUMBER(SEARCH(Classifiers!$D$18,E174)),1,0))+IF(Classifiers!$E$18="",0,IF(ISNUMBER(SEARCH(Classifiers!$E$18,E174)),1,0))+IF(Classifiers!$F$18="",0,IF(ISNUMBER(SEARCH(Classifiers!$F$18,E174)),1,0))+IF(Classifiers!$G$18="",0,IF(ISNUMBER(SEARCH(Classifiers!$G$18,E174)),1,0)))&gt;0,1,0))</f>
        <v/>
      </c>
    </row>
    <row r="175">
      <c r="A175" s="8" t="n"/>
      <c r="B175" s="11" t="n"/>
      <c r="C175" s="6">
        <f>IF(A175="","",TRIM(RIGHT(SUBSTITUTE(A175,"/",REPT(" ",250)),250)))</f>
        <v/>
      </c>
      <c r="D175" s="6">
        <f>IF(C175="","",IF(ISNUMBER(SEARCH(".",C175)),LOWER("."&amp;TRIM(RIGHT(SUBSTITUTE(C175,".",REPT(" ",250)),250))),""))</f>
        <v/>
      </c>
      <c r="E175" s="6">
        <f>IF(C175="","",TRIM(SUBSTITUTE(SUBSTITUTE(SUBSTITUTE(SUBSTITUTE(SUBSTITUTE(SUBSTITUTE(SUBSTITUTE(SUBSTITUTE(SUBSTITUTE(SUBSTITUTE(SUBSTITUTE(SUBSTITUTE(SUBSTITUTE(SUBSTITUTE(SUBSTITUTE(SUBSTITUTE(SUBSTITUTE(SUBSTITUTE(SUBSTITUTE(SUBSTITUTE(LOWER(LEFT(C175,LEN(C175)-LEN(D175))),"_"," "),"-"," "),"."," "),","," "),"("," "),")"," "),"["," "),"]"," "),"&amp;"," "),"+"," "),"@"," "),"#"," "),"!"," "),"'"," "),"/"," "),":"," "),";"," "),"="," "),"~"," "),"%"," ")))</f>
        <v/>
      </c>
      <c r="F175" s="6">
        <f>IF(C175="","",IF(COUNTIF(Classifiers!$A$23:$A$40,D175)&gt;0,1,0))</f>
        <v/>
      </c>
      <c r="G175" s="6">
        <f>IF(C175="","",IF(COUNTIF(Classifiers!$C$23:$C$30,D175)&gt;0,IF((IF(ISNUMBER(SEARCH(Classifiers!$E$23,E175)),1,0)+IF(ISNUMBER(SEARCH(Classifiers!$E$24,E175)),1,0)+IF(ISNUMBER(SEARCH(Classifiers!$E$25,E175)),1,0)+IF(ISNUMBER(SEARCH(Classifiers!$E$26,E175)),1,0)+IF(ISNUMBER(SEARCH(Classifiers!$E$27,E175)),1,0)+IF(ISNUMBER(SEARCH(Classifiers!$E$28,E175)),1,0)+IF(ISNUMBER(SEARCH(Classifiers!$E$29,E175)),1,0)+IF(ISNUMBER(SEARCH(Classifiers!$E$30,E175)),1,0))&gt;0,1,0),0))</f>
        <v/>
      </c>
      <c r="H175" s="6">
        <f>IF(C175="","",IF(OR(LEFT(C175,1)=".",AND(F175=0,G175=0)),0,1))</f>
        <v/>
      </c>
      <c r="I175" s="6">
        <f>IF(H175&lt;&gt;1,"",IF(SUM(J175:W175)=0,"unclassified",INDEX(Classifiers!$A$5:$A$18,MATCH(1,J175:W175,0),1)))</f>
        <v/>
      </c>
      <c r="J175" s="12">
        <f>IF(H175&lt;&gt;1,0,IF((IF(Classifiers!$B$5="",0,IF(ISNUMBER(SEARCH(Classifiers!$B$5,E175)),1,0))+IF(Classifiers!$C$5="",0,IF(ISNUMBER(SEARCH(Classifiers!$C$5,E175)),1,0))+IF(Classifiers!$D$5="",0,IF(ISNUMBER(SEARCH(Classifiers!$D$5,E175)),1,0))+IF(Classifiers!$E$5="",0,IF(ISNUMBER(SEARCH(Classifiers!$E$5,E175)),1,0))+IF(Classifiers!$F$5="",0,IF(ISNUMBER(SEARCH(Classifiers!$F$5,E175)),1,0))+IF(Classifiers!$G$5="",0,IF(ISNUMBER(SEARCH(Classifiers!$G$5,E175)),1,0)))&gt;0,1,0))</f>
        <v/>
      </c>
      <c r="K175" s="12">
        <f>IF(H175&lt;&gt;1,0,IF((IF(Classifiers!$B$6="",0,IF(ISNUMBER(SEARCH(Classifiers!$B$6,E175)),1,0))+IF(Classifiers!$C$6="",0,IF(ISNUMBER(SEARCH(Classifiers!$C$6,E175)),1,0))+IF(Classifiers!$D$6="",0,IF(ISNUMBER(SEARCH(Classifiers!$D$6,E175)),1,0))+IF(Classifiers!$E$6="",0,IF(ISNUMBER(SEARCH(Classifiers!$E$6,E175)),1,0))+IF(Classifiers!$F$6="",0,IF(ISNUMBER(SEARCH(Classifiers!$F$6,E175)),1,0))+IF(Classifiers!$G$6="",0,IF(ISNUMBER(SEARCH(Classifiers!$G$6,E175)),1,0)))&gt;0,1,0))</f>
        <v/>
      </c>
      <c r="L175" s="12">
        <f>IF(H175&lt;&gt;1,0,IF((IF(Classifiers!$B$7="",0,IF(ISNUMBER(SEARCH(Classifiers!$B$7,E175)),1,0))+IF(Classifiers!$C$7="",0,IF(ISNUMBER(SEARCH(Classifiers!$C$7,E175)),1,0))+IF(Classifiers!$D$7="",0,IF(ISNUMBER(SEARCH(Classifiers!$D$7,E175)),1,0))+IF(Classifiers!$E$7="",0,IF(ISNUMBER(SEARCH(Classifiers!$E$7,E175)),1,0))+IF(Classifiers!$F$7="",0,IF(ISNUMBER(SEARCH(Classifiers!$F$7,E175)),1,0))+IF(Classifiers!$G$7="",0,IF(ISNUMBER(SEARCH(Classifiers!$G$7,E175)),1,0)))&gt;0,1,0))</f>
        <v/>
      </c>
      <c r="M175" s="12">
        <f>IF(H175&lt;&gt;1,0,IF((IF(Classifiers!$B$8="",0,IF(ISNUMBER(SEARCH(Classifiers!$B$8,E175)),1,0))+IF(Classifiers!$C$8="",0,IF(ISNUMBER(SEARCH(Classifiers!$C$8,E175)),1,0))+IF(Classifiers!$D$8="",0,IF(ISNUMBER(SEARCH(Classifiers!$D$8,E175)),1,0))+IF(Classifiers!$E$8="",0,IF(ISNUMBER(SEARCH(Classifiers!$E$8,E175)),1,0))+IF(Classifiers!$F$8="",0,IF(ISNUMBER(SEARCH(Classifiers!$F$8,E175)),1,0))+IF(Classifiers!$G$8="",0,IF(ISNUMBER(SEARCH(Classifiers!$G$8,E175)),1,0)))&gt;0,1,0))</f>
        <v/>
      </c>
      <c r="N175" s="12">
        <f>IF(H175&lt;&gt;1,0,IF((IF(Classifiers!$B$9="",0,IF(ISNUMBER(SEARCH(Classifiers!$B$9,E175)),1,0))+IF(Classifiers!$C$9="",0,IF(ISNUMBER(SEARCH(Classifiers!$C$9,E175)),1,0))+IF(Classifiers!$D$9="",0,IF(ISNUMBER(SEARCH(Classifiers!$D$9,E175)),1,0))+IF(Classifiers!$E$9="",0,IF(ISNUMBER(SEARCH(Classifiers!$E$9,E175)),1,0))+IF(Classifiers!$F$9="",0,IF(ISNUMBER(SEARCH(Classifiers!$F$9,E175)),1,0))+IF(Classifiers!$G$9="",0,IF(ISNUMBER(SEARCH(Classifiers!$G$9,E175)),1,0)))&gt;0,1,0))</f>
        <v/>
      </c>
      <c r="O175" s="12">
        <f>IF(H175&lt;&gt;1,0,IF((IF(Classifiers!$B$10="",0,IF(ISNUMBER(SEARCH(Classifiers!$B$10,E175)),1,0))+IF(Classifiers!$C$10="",0,IF(ISNUMBER(SEARCH(Classifiers!$C$10,E175)),1,0))+IF(Classifiers!$D$10="",0,IF(ISNUMBER(SEARCH(Classifiers!$D$10,E175)),1,0))+IF(Classifiers!$E$10="",0,IF(ISNUMBER(SEARCH(Classifiers!$E$10,E175)),1,0))+IF(Classifiers!$F$10="",0,IF(ISNUMBER(SEARCH(Classifiers!$F$10,E175)),1,0))+IF(Classifiers!$G$10="",0,IF(ISNUMBER(SEARCH(Classifiers!$G$10,E175)),1,0)))&gt;0,1,0))</f>
        <v/>
      </c>
      <c r="P175" s="12">
        <f>IF(H175&lt;&gt;1,0,IF((IF(Classifiers!$B$11="",0,IF(ISNUMBER(SEARCH(Classifiers!$B$11,E175)),1,0))+IF(Classifiers!$C$11="",0,IF(ISNUMBER(SEARCH(Classifiers!$C$11,E175)),1,0))+IF(Classifiers!$D$11="",0,IF(ISNUMBER(SEARCH(Classifiers!$D$11,E175)),1,0))+IF(Classifiers!$E$11="",0,IF(ISNUMBER(SEARCH(Classifiers!$E$11,E175)),1,0))+IF(Classifiers!$F$11="",0,IF(ISNUMBER(SEARCH(Classifiers!$F$11,E175)),1,0))+IF(Classifiers!$G$11="",0,IF(ISNUMBER(SEARCH(Classifiers!$G$11,E175)),1,0)))&gt;0,1,0))</f>
        <v/>
      </c>
      <c r="Q175" s="12">
        <f>IF(H175&lt;&gt;1,0,IF((IF(Classifiers!$B$12="",0,IF(ISNUMBER(SEARCH(Classifiers!$B$12,E175)),1,0))+IF(Classifiers!$C$12="",0,IF(ISNUMBER(SEARCH(Classifiers!$C$12,E175)),1,0))+IF(Classifiers!$D$12="",0,IF(ISNUMBER(SEARCH(Classifiers!$D$12,E175)),1,0))+IF(Classifiers!$E$12="",0,IF(ISNUMBER(SEARCH(Classifiers!$E$12,E175)),1,0))+IF(Classifiers!$F$12="",0,IF(ISNUMBER(SEARCH(Classifiers!$F$12,E175)),1,0))+IF(Classifiers!$G$12="",0,IF(ISNUMBER(SEARCH(Classifiers!$G$12,E175)),1,0)))&gt;0,1,0))</f>
        <v/>
      </c>
      <c r="R175" s="12">
        <f>IF(H175&lt;&gt;1,0,IF((IF(Classifiers!$B$13="",0,IF(ISNUMBER(SEARCH(Classifiers!$B$13,E175)),1,0))+IF(Classifiers!$C$13="",0,IF(ISNUMBER(SEARCH(Classifiers!$C$13,E175)),1,0))+IF(Classifiers!$D$13="",0,IF(ISNUMBER(SEARCH(Classifiers!$D$13,E175)),1,0))+IF(Classifiers!$E$13="",0,IF(ISNUMBER(SEARCH(Classifiers!$E$13,E175)),1,0))+IF(Classifiers!$F$13="",0,IF(ISNUMBER(SEARCH(Classifiers!$F$13,E175)),1,0))+IF(Classifiers!$G$13="",0,IF(ISNUMBER(SEARCH(Classifiers!$G$13,E175)),1,0)))&gt;0,1,0))</f>
        <v/>
      </c>
      <c r="S175" s="12">
        <f>IF(H175&lt;&gt;1,0,IF((IF(Classifiers!$B$14="",0,IF(ISNUMBER(SEARCH(Classifiers!$B$14,E175)),1,0))+IF(Classifiers!$C$14="",0,IF(ISNUMBER(SEARCH(Classifiers!$C$14,E175)),1,0))+IF(Classifiers!$D$14="",0,IF(ISNUMBER(SEARCH(Classifiers!$D$14,E175)),1,0))+IF(Classifiers!$E$14="",0,IF(ISNUMBER(SEARCH(Classifiers!$E$14,E175)),1,0))+IF(Classifiers!$F$14="",0,IF(ISNUMBER(SEARCH(Classifiers!$F$14,E175)),1,0))+IF(Classifiers!$G$14="",0,IF(ISNUMBER(SEARCH(Classifiers!$G$14,E175)),1,0)))&gt;0,1,0))</f>
        <v/>
      </c>
      <c r="T175" s="12">
        <f>IF(H175&lt;&gt;1,0,IF((IF(Classifiers!$B$15="",0,IF(ISNUMBER(SEARCH(Classifiers!$B$15,E175)),1,0))+IF(Classifiers!$C$15="",0,IF(ISNUMBER(SEARCH(Classifiers!$C$15,E175)),1,0))+IF(Classifiers!$D$15="",0,IF(ISNUMBER(SEARCH(Classifiers!$D$15,E175)),1,0))+IF(Classifiers!$E$15="",0,IF(ISNUMBER(SEARCH(Classifiers!$E$15,E175)),1,0))+IF(Classifiers!$F$15="",0,IF(ISNUMBER(SEARCH(Classifiers!$F$15,E175)),1,0))+IF(Classifiers!$G$15="",0,IF(ISNUMBER(SEARCH(Classifiers!$G$15,E175)),1,0)))&gt;0,1,0))</f>
        <v/>
      </c>
      <c r="U175" s="12">
        <f>IF(H175&lt;&gt;1,0,IF((IF(Classifiers!$B$16="",0,IF(ISNUMBER(SEARCH(Classifiers!$B$16,E175)),1,0))+IF(Classifiers!$C$16="",0,IF(ISNUMBER(SEARCH(Classifiers!$C$16,E175)),1,0))+IF(Classifiers!$D$16="",0,IF(ISNUMBER(SEARCH(Classifiers!$D$16,E175)),1,0))+IF(Classifiers!$E$16="",0,IF(ISNUMBER(SEARCH(Classifiers!$E$16,E175)),1,0))+IF(Classifiers!$F$16="",0,IF(ISNUMBER(SEARCH(Classifiers!$F$16,E175)),1,0))+IF(Classifiers!$G$16="",0,IF(ISNUMBER(SEARCH(Classifiers!$G$16,E175)),1,0)))&gt;0,1,0))</f>
        <v/>
      </c>
      <c r="V175" s="12">
        <f>IF(H175&lt;&gt;1,0,IF((IF(Classifiers!$B$17="",0,IF(ISNUMBER(SEARCH(Classifiers!$B$17,E175)),1,0))+IF(Classifiers!$C$17="",0,IF(ISNUMBER(SEARCH(Classifiers!$C$17,E175)),1,0))+IF(Classifiers!$D$17="",0,IF(ISNUMBER(SEARCH(Classifiers!$D$17,E175)),1,0))+IF(Classifiers!$E$17="",0,IF(ISNUMBER(SEARCH(Classifiers!$E$17,E175)),1,0))+IF(Classifiers!$F$17="",0,IF(ISNUMBER(SEARCH(Classifiers!$F$17,E175)),1,0))+IF(Classifiers!$G$17="",0,IF(ISNUMBER(SEARCH(Classifiers!$G$17,E175)),1,0)))&gt;0,1,0))</f>
        <v/>
      </c>
      <c r="W175" s="12">
        <f>IF(H175&lt;&gt;1,0,IF((IF(Classifiers!$B$18="",0,IF(ISNUMBER(SEARCH(Classifiers!$B$18,E175)),1,0))+IF(Classifiers!$C$18="",0,IF(ISNUMBER(SEARCH(Classifiers!$C$18,E175)),1,0))+IF(Classifiers!$D$18="",0,IF(ISNUMBER(SEARCH(Classifiers!$D$18,E175)),1,0))+IF(Classifiers!$E$18="",0,IF(ISNUMBER(SEARCH(Classifiers!$E$18,E175)),1,0))+IF(Classifiers!$F$18="",0,IF(ISNUMBER(SEARCH(Classifiers!$F$18,E175)),1,0))+IF(Classifiers!$G$18="",0,IF(ISNUMBER(SEARCH(Classifiers!$G$18,E175)),1,0)))&gt;0,1,0))</f>
        <v/>
      </c>
    </row>
    <row r="176">
      <c r="A176" s="8" t="n"/>
      <c r="B176" s="11" t="n"/>
      <c r="C176" s="6">
        <f>IF(A176="","",TRIM(RIGHT(SUBSTITUTE(A176,"/",REPT(" ",250)),250)))</f>
        <v/>
      </c>
      <c r="D176" s="6">
        <f>IF(C176="","",IF(ISNUMBER(SEARCH(".",C176)),LOWER("."&amp;TRIM(RIGHT(SUBSTITUTE(C176,".",REPT(" ",250)),250))),""))</f>
        <v/>
      </c>
      <c r="E176" s="6">
        <f>IF(C176="","",TRIM(SUBSTITUTE(SUBSTITUTE(SUBSTITUTE(SUBSTITUTE(SUBSTITUTE(SUBSTITUTE(SUBSTITUTE(SUBSTITUTE(SUBSTITUTE(SUBSTITUTE(SUBSTITUTE(SUBSTITUTE(SUBSTITUTE(SUBSTITUTE(SUBSTITUTE(SUBSTITUTE(SUBSTITUTE(SUBSTITUTE(SUBSTITUTE(SUBSTITUTE(LOWER(LEFT(C176,LEN(C176)-LEN(D176))),"_"," "),"-"," "),"."," "),","," "),"("," "),")"," "),"["," "),"]"," "),"&amp;"," "),"+"," "),"@"," "),"#"," "),"!"," "),"'"," "),"/"," "),":"," "),";"," "),"="," "),"~"," "),"%"," ")))</f>
        <v/>
      </c>
      <c r="F176" s="6">
        <f>IF(C176="","",IF(COUNTIF(Classifiers!$A$23:$A$40,D176)&gt;0,1,0))</f>
        <v/>
      </c>
      <c r="G176" s="6">
        <f>IF(C176="","",IF(COUNTIF(Classifiers!$C$23:$C$30,D176)&gt;0,IF((IF(ISNUMBER(SEARCH(Classifiers!$E$23,E176)),1,0)+IF(ISNUMBER(SEARCH(Classifiers!$E$24,E176)),1,0)+IF(ISNUMBER(SEARCH(Classifiers!$E$25,E176)),1,0)+IF(ISNUMBER(SEARCH(Classifiers!$E$26,E176)),1,0)+IF(ISNUMBER(SEARCH(Classifiers!$E$27,E176)),1,0)+IF(ISNUMBER(SEARCH(Classifiers!$E$28,E176)),1,0)+IF(ISNUMBER(SEARCH(Classifiers!$E$29,E176)),1,0)+IF(ISNUMBER(SEARCH(Classifiers!$E$30,E176)),1,0))&gt;0,1,0),0))</f>
        <v/>
      </c>
      <c r="H176" s="6">
        <f>IF(C176="","",IF(OR(LEFT(C176,1)=".",AND(F176=0,G176=0)),0,1))</f>
        <v/>
      </c>
      <c r="I176" s="6">
        <f>IF(H176&lt;&gt;1,"",IF(SUM(J176:W176)=0,"unclassified",INDEX(Classifiers!$A$5:$A$18,MATCH(1,J176:W176,0),1)))</f>
        <v/>
      </c>
      <c r="J176" s="12">
        <f>IF(H176&lt;&gt;1,0,IF((IF(Classifiers!$B$5="",0,IF(ISNUMBER(SEARCH(Classifiers!$B$5,E176)),1,0))+IF(Classifiers!$C$5="",0,IF(ISNUMBER(SEARCH(Classifiers!$C$5,E176)),1,0))+IF(Classifiers!$D$5="",0,IF(ISNUMBER(SEARCH(Classifiers!$D$5,E176)),1,0))+IF(Classifiers!$E$5="",0,IF(ISNUMBER(SEARCH(Classifiers!$E$5,E176)),1,0))+IF(Classifiers!$F$5="",0,IF(ISNUMBER(SEARCH(Classifiers!$F$5,E176)),1,0))+IF(Classifiers!$G$5="",0,IF(ISNUMBER(SEARCH(Classifiers!$G$5,E176)),1,0)))&gt;0,1,0))</f>
        <v/>
      </c>
      <c r="K176" s="12">
        <f>IF(H176&lt;&gt;1,0,IF((IF(Classifiers!$B$6="",0,IF(ISNUMBER(SEARCH(Classifiers!$B$6,E176)),1,0))+IF(Classifiers!$C$6="",0,IF(ISNUMBER(SEARCH(Classifiers!$C$6,E176)),1,0))+IF(Classifiers!$D$6="",0,IF(ISNUMBER(SEARCH(Classifiers!$D$6,E176)),1,0))+IF(Classifiers!$E$6="",0,IF(ISNUMBER(SEARCH(Classifiers!$E$6,E176)),1,0))+IF(Classifiers!$F$6="",0,IF(ISNUMBER(SEARCH(Classifiers!$F$6,E176)),1,0))+IF(Classifiers!$G$6="",0,IF(ISNUMBER(SEARCH(Classifiers!$G$6,E176)),1,0)))&gt;0,1,0))</f>
        <v/>
      </c>
      <c r="L176" s="12">
        <f>IF(H176&lt;&gt;1,0,IF((IF(Classifiers!$B$7="",0,IF(ISNUMBER(SEARCH(Classifiers!$B$7,E176)),1,0))+IF(Classifiers!$C$7="",0,IF(ISNUMBER(SEARCH(Classifiers!$C$7,E176)),1,0))+IF(Classifiers!$D$7="",0,IF(ISNUMBER(SEARCH(Classifiers!$D$7,E176)),1,0))+IF(Classifiers!$E$7="",0,IF(ISNUMBER(SEARCH(Classifiers!$E$7,E176)),1,0))+IF(Classifiers!$F$7="",0,IF(ISNUMBER(SEARCH(Classifiers!$F$7,E176)),1,0))+IF(Classifiers!$G$7="",0,IF(ISNUMBER(SEARCH(Classifiers!$G$7,E176)),1,0)))&gt;0,1,0))</f>
        <v/>
      </c>
      <c r="M176" s="12">
        <f>IF(H176&lt;&gt;1,0,IF((IF(Classifiers!$B$8="",0,IF(ISNUMBER(SEARCH(Classifiers!$B$8,E176)),1,0))+IF(Classifiers!$C$8="",0,IF(ISNUMBER(SEARCH(Classifiers!$C$8,E176)),1,0))+IF(Classifiers!$D$8="",0,IF(ISNUMBER(SEARCH(Classifiers!$D$8,E176)),1,0))+IF(Classifiers!$E$8="",0,IF(ISNUMBER(SEARCH(Classifiers!$E$8,E176)),1,0))+IF(Classifiers!$F$8="",0,IF(ISNUMBER(SEARCH(Classifiers!$F$8,E176)),1,0))+IF(Classifiers!$G$8="",0,IF(ISNUMBER(SEARCH(Classifiers!$G$8,E176)),1,0)))&gt;0,1,0))</f>
        <v/>
      </c>
      <c r="N176" s="12">
        <f>IF(H176&lt;&gt;1,0,IF((IF(Classifiers!$B$9="",0,IF(ISNUMBER(SEARCH(Classifiers!$B$9,E176)),1,0))+IF(Classifiers!$C$9="",0,IF(ISNUMBER(SEARCH(Classifiers!$C$9,E176)),1,0))+IF(Classifiers!$D$9="",0,IF(ISNUMBER(SEARCH(Classifiers!$D$9,E176)),1,0))+IF(Classifiers!$E$9="",0,IF(ISNUMBER(SEARCH(Classifiers!$E$9,E176)),1,0))+IF(Classifiers!$F$9="",0,IF(ISNUMBER(SEARCH(Classifiers!$F$9,E176)),1,0))+IF(Classifiers!$G$9="",0,IF(ISNUMBER(SEARCH(Classifiers!$G$9,E176)),1,0)))&gt;0,1,0))</f>
        <v/>
      </c>
      <c r="O176" s="12">
        <f>IF(H176&lt;&gt;1,0,IF((IF(Classifiers!$B$10="",0,IF(ISNUMBER(SEARCH(Classifiers!$B$10,E176)),1,0))+IF(Classifiers!$C$10="",0,IF(ISNUMBER(SEARCH(Classifiers!$C$10,E176)),1,0))+IF(Classifiers!$D$10="",0,IF(ISNUMBER(SEARCH(Classifiers!$D$10,E176)),1,0))+IF(Classifiers!$E$10="",0,IF(ISNUMBER(SEARCH(Classifiers!$E$10,E176)),1,0))+IF(Classifiers!$F$10="",0,IF(ISNUMBER(SEARCH(Classifiers!$F$10,E176)),1,0))+IF(Classifiers!$G$10="",0,IF(ISNUMBER(SEARCH(Classifiers!$G$10,E176)),1,0)))&gt;0,1,0))</f>
        <v/>
      </c>
      <c r="P176" s="12">
        <f>IF(H176&lt;&gt;1,0,IF((IF(Classifiers!$B$11="",0,IF(ISNUMBER(SEARCH(Classifiers!$B$11,E176)),1,0))+IF(Classifiers!$C$11="",0,IF(ISNUMBER(SEARCH(Classifiers!$C$11,E176)),1,0))+IF(Classifiers!$D$11="",0,IF(ISNUMBER(SEARCH(Classifiers!$D$11,E176)),1,0))+IF(Classifiers!$E$11="",0,IF(ISNUMBER(SEARCH(Classifiers!$E$11,E176)),1,0))+IF(Classifiers!$F$11="",0,IF(ISNUMBER(SEARCH(Classifiers!$F$11,E176)),1,0))+IF(Classifiers!$G$11="",0,IF(ISNUMBER(SEARCH(Classifiers!$G$11,E176)),1,0)))&gt;0,1,0))</f>
        <v/>
      </c>
      <c r="Q176" s="12">
        <f>IF(H176&lt;&gt;1,0,IF((IF(Classifiers!$B$12="",0,IF(ISNUMBER(SEARCH(Classifiers!$B$12,E176)),1,0))+IF(Classifiers!$C$12="",0,IF(ISNUMBER(SEARCH(Classifiers!$C$12,E176)),1,0))+IF(Classifiers!$D$12="",0,IF(ISNUMBER(SEARCH(Classifiers!$D$12,E176)),1,0))+IF(Classifiers!$E$12="",0,IF(ISNUMBER(SEARCH(Classifiers!$E$12,E176)),1,0))+IF(Classifiers!$F$12="",0,IF(ISNUMBER(SEARCH(Classifiers!$F$12,E176)),1,0))+IF(Classifiers!$G$12="",0,IF(ISNUMBER(SEARCH(Classifiers!$G$12,E176)),1,0)))&gt;0,1,0))</f>
        <v/>
      </c>
      <c r="R176" s="12">
        <f>IF(H176&lt;&gt;1,0,IF((IF(Classifiers!$B$13="",0,IF(ISNUMBER(SEARCH(Classifiers!$B$13,E176)),1,0))+IF(Classifiers!$C$13="",0,IF(ISNUMBER(SEARCH(Classifiers!$C$13,E176)),1,0))+IF(Classifiers!$D$13="",0,IF(ISNUMBER(SEARCH(Classifiers!$D$13,E176)),1,0))+IF(Classifiers!$E$13="",0,IF(ISNUMBER(SEARCH(Classifiers!$E$13,E176)),1,0))+IF(Classifiers!$F$13="",0,IF(ISNUMBER(SEARCH(Classifiers!$F$13,E176)),1,0))+IF(Classifiers!$G$13="",0,IF(ISNUMBER(SEARCH(Classifiers!$G$13,E176)),1,0)))&gt;0,1,0))</f>
        <v/>
      </c>
      <c r="S176" s="12">
        <f>IF(H176&lt;&gt;1,0,IF((IF(Classifiers!$B$14="",0,IF(ISNUMBER(SEARCH(Classifiers!$B$14,E176)),1,0))+IF(Classifiers!$C$14="",0,IF(ISNUMBER(SEARCH(Classifiers!$C$14,E176)),1,0))+IF(Classifiers!$D$14="",0,IF(ISNUMBER(SEARCH(Classifiers!$D$14,E176)),1,0))+IF(Classifiers!$E$14="",0,IF(ISNUMBER(SEARCH(Classifiers!$E$14,E176)),1,0))+IF(Classifiers!$F$14="",0,IF(ISNUMBER(SEARCH(Classifiers!$F$14,E176)),1,0))+IF(Classifiers!$G$14="",0,IF(ISNUMBER(SEARCH(Classifiers!$G$14,E176)),1,0)))&gt;0,1,0))</f>
        <v/>
      </c>
      <c r="T176" s="12">
        <f>IF(H176&lt;&gt;1,0,IF((IF(Classifiers!$B$15="",0,IF(ISNUMBER(SEARCH(Classifiers!$B$15,E176)),1,0))+IF(Classifiers!$C$15="",0,IF(ISNUMBER(SEARCH(Classifiers!$C$15,E176)),1,0))+IF(Classifiers!$D$15="",0,IF(ISNUMBER(SEARCH(Classifiers!$D$15,E176)),1,0))+IF(Classifiers!$E$15="",0,IF(ISNUMBER(SEARCH(Classifiers!$E$15,E176)),1,0))+IF(Classifiers!$F$15="",0,IF(ISNUMBER(SEARCH(Classifiers!$F$15,E176)),1,0))+IF(Classifiers!$G$15="",0,IF(ISNUMBER(SEARCH(Classifiers!$G$15,E176)),1,0)))&gt;0,1,0))</f>
        <v/>
      </c>
      <c r="U176" s="12">
        <f>IF(H176&lt;&gt;1,0,IF((IF(Classifiers!$B$16="",0,IF(ISNUMBER(SEARCH(Classifiers!$B$16,E176)),1,0))+IF(Classifiers!$C$16="",0,IF(ISNUMBER(SEARCH(Classifiers!$C$16,E176)),1,0))+IF(Classifiers!$D$16="",0,IF(ISNUMBER(SEARCH(Classifiers!$D$16,E176)),1,0))+IF(Classifiers!$E$16="",0,IF(ISNUMBER(SEARCH(Classifiers!$E$16,E176)),1,0))+IF(Classifiers!$F$16="",0,IF(ISNUMBER(SEARCH(Classifiers!$F$16,E176)),1,0))+IF(Classifiers!$G$16="",0,IF(ISNUMBER(SEARCH(Classifiers!$G$16,E176)),1,0)))&gt;0,1,0))</f>
        <v/>
      </c>
      <c r="V176" s="12">
        <f>IF(H176&lt;&gt;1,0,IF((IF(Classifiers!$B$17="",0,IF(ISNUMBER(SEARCH(Classifiers!$B$17,E176)),1,0))+IF(Classifiers!$C$17="",0,IF(ISNUMBER(SEARCH(Classifiers!$C$17,E176)),1,0))+IF(Classifiers!$D$17="",0,IF(ISNUMBER(SEARCH(Classifiers!$D$17,E176)),1,0))+IF(Classifiers!$E$17="",0,IF(ISNUMBER(SEARCH(Classifiers!$E$17,E176)),1,0))+IF(Classifiers!$F$17="",0,IF(ISNUMBER(SEARCH(Classifiers!$F$17,E176)),1,0))+IF(Classifiers!$G$17="",0,IF(ISNUMBER(SEARCH(Classifiers!$G$17,E176)),1,0)))&gt;0,1,0))</f>
        <v/>
      </c>
      <c r="W176" s="12">
        <f>IF(H176&lt;&gt;1,0,IF((IF(Classifiers!$B$18="",0,IF(ISNUMBER(SEARCH(Classifiers!$B$18,E176)),1,0))+IF(Classifiers!$C$18="",0,IF(ISNUMBER(SEARCH(Classifiers!$C$18,E176)),1,0))+IF(Classifiers!$D$18="",0,IF(ISNUMBER(SEARCH(Classifiers!$D$18,E176)),1,0))+IF(Classifiers!$E$18="",0,IF(ISNUMBER(SEARCH(Classifiers!$E$18,E176)),1,0))+IF(Classifiers!$F$18="",0,IF(ISNUMBER(SEARCH(Classifiers!$F$18,E176)),1,0))+IF(Classifiers!$G$18="",0,IF(ISNUMBER(SEARCH(Classifiers!$G$18,E176)),1,0)))&gt;0,1,0))</f>
        <v/>
      </c>
    </row>
    <row r="177">
      <c r="A177" s="8" t="n"/>
      <c r="B177" s="11" t="n"/>
      <c r="C177" s="6">
        <f>IF(A177="","",TRIM(RIGHT(SUBSTITUTE(A177,"/",REPT(" ",250)),250)))</f>
        <v/>
      </c>
      <c r="D177" s="6">
        <f>IF(C177="","",IF(ISNUMBER(SEARCH(".",C177)),LOWER("."&amp;TRIM(RIGHT(SUBSTITUTE(C177,".",REPT(" ",250)),250))),""))</f>
        <v/>
      </c>
      <c r="E177" s="6">
        <f>IF(C177="","",TRIM(SUBSTITUTE(SUBSTITUTE(SUBSTITUTE(SUBSTITUTE(SUBSTITUTE(SUBSTITUTE(SUBSTITUTE(SUBSTITUTE(SUBSTITUTE(SUBSTITUTE(SUBSTITUTE(SUBSTITUTE(SUBSTITUTE(SUBSTITUTE(SUBSTITUTE(SUBSTITUTE(SUBSTITUTE(SUBSTITUTE(SUBSTITUTE(SUBSTITUTE(LOWER(LEFT(C177,LEN(C177)-LEN(D177))),"_"," "),"-"," "),"."," "),","," "),"("," "),")"," "),"["," "),"]"," "),"&amp;"," "),"+"," "),"@"," "),"#"," "),"!"," "),"'"," "),"/"," "),":"," "),";"," "),"="," "),"~"," "),"%"," ")))</f>
        <v/>
      </c>
      <c r="F177" s="6">
        <f>IF(C177="","",IF(COUNTIF(Classifiers!$A$23:$A$40,D177)&gt;0,1,0))</f>
        <v/>
      </c>
      <c r="G177" s="6">
        <f>IF(C177="","",IF(COUNTIF(Classifiers!$C$23:$C$30,D177)&gt;0,IF((IF(ISNUMBER(SEARCH(Classifiers!$E$23,E177)),1,0)+IF(ISNUMBER(SEARCH(Classifiers!$E$24,E177)),1,0)+IF(ISNUMBER(SEARCH(Classifiers!$E$25,E177)),1,0)+IF(ISNUMBER(SEARCH(Classifiers!$E$26,E177)),1,0)+IF(ISNUMBER(SEARCH(Classifiers!$E$27,E177)),1,0)+IF(ISNUMBER(SEARCH(Classifiers!$E$28,E177)),1,0)+IF(ISNUMBER(SEARCH(Classifiers!$E$29,E177)),1,0)+IF(ISNUMBER(SEARCH(Classifiers!$E$30,E177)),1,0))&gt;0,1,0),0))</f>
        <v/>
      </c>
      <c r="H177" s="6">
        <f>IF(C177="","",IF(OR(LEFT(C177,1)=".",AND(F177=0,G177=0)),0,1))</f>
        <v/>
      </c>
      <c r="I177" s="6">
        <f>IF(H177&lt;&gt;1,"",IF(SUM(J177:W177)=0,"unclassified",INDEX(Classifiers!$A$5:$A$18,MATCH(1,J177:W177,0),1)))</f>
        <v/>
      </c>
      <c r="J177" s="12">
        <f>IF(H177&lt;&gt;1,0,IF((IF(Classifiers!$B$5="",0,IF(ISNUMBER(SEARCH(Classifiers!$B$5,E177)),1,0))+IF(Classifiers!$C$5="",0,IF(ISNUMBER(SEARCH(Classifiers!$C$5,E177)),1,0))+IF(Classifiers!$D$5="",0,IF(ISNUMBER(SEARCH(Classifiers!$D$5,E177)),1,0))+IF(Classifiers!$E$5="",0,IF(ISNUMBER(SEARCH(Classifiers!$E$5,E177)),1,0))+IF(Classifiers!$F$5="",0,IF(ISNUMBER(SEARCH(Classifiers!$F$5,E177)),1,0))+IF(Classifiers!$G$5="",0,IF(ISNUMBER(SEARCH(Classifiers!$G$5,E177)),1,0)))&gt;0,1,0))</f>
        <v/>
      </c>
      <c r="K177" s="12">
        <f>IF(H177&lt;&gt;1,0,IF((IF(Classifiers!$B$6="",0,IF(ISNUMBER(SEARCH(Classifiers!$B$6,E177)),1,0))+IF(Classifiers!$C$6="",0,IF(ISNUMBER(SEARCH(Classifiers!$C$6,E177)),1,0))+IF(Classifiers!$D$6="",0,IF(ISNUMBER(SEARCH(Classifiers!$D$6,E177)),1,0))+IF(Classifiers!$E$6="",0,IF(ISNUMBER(SEARCH(Classifiers!$E$6,E177)),1,0))+IF(Classifiers!$F$6="",0,IF(ISNUMBER(SEARCH(Classifiers!$F$6,E177)),1,0))+IF(Classifiers!$G$6="",0,IF(ISNUMBER(SEARCH(Classifiers!$G$6,E177)),1,0)))&gt;0,1,0))</f>
        <v/>
      </c>
      <c r="L177" s="12">
        <f>IF(H177&lt;&gt;1,0,IF((IF(Classifiers!$B$7="",0,IF(ISNUMBER(SEARCH(Classifiers!$B$7,E177)),1,0))+IF(Classifiers!$C$7="",0,IF(ISNUMBER(SEARCH(Classifiers!$C$7,E177)),1,0))+IF(Classifiers!$D$7="",0,IF(ISNUMBER(SEARCH(Classifiers!$D$7,E177)),1,0))+IF(Classifiers!$E$7="",0,IF(ISNUMBER(SEARCH(Classifiers!$E$7,E177)),1,0))+IF(Classifiers!$F$7="",0,IF(ISNUMBER(SEARCH(Classifiers!$F$7,E177)),1,0))+IF(Classifiers!$G$7="",0,IF(ISNUMBER(SEARCH(Classifiers!$G$7,E177)),1,0)))&gt;0,1,0))</f>
        <v/>
      </c>
      <c r="M177" s="12">
        <f>IF(H177&lt;&gt;1,0,IF((IF(Classifiers!$B$8="",0,IF(ISNUMBER(SEARCH(Classifiers!$B$8,E177)),1,0))+IF(Classifiers!$C$8="",0,IF(ISNUMBER(SEARCH(Classifiers!$C$8,E177)),1,0))+IF(Classifiers!$D$8="",0,IF(ISNUMBER(SEARCH(Classifiers!$D$8,E177)),1,0))+IF(Classifiers!$E$8="",0,IF(ISNUMBER(SEARCH(Classifiers!$E$8,E177)),1,0))+IF(Classifiers!$F$8="",0,IF(ISNUMBER(SEARCH(Classifiers!$F$8,E177)),1,0))+IF(Classifiers!$G$8="",0,IF(ISNUMBER(SEARCH(Classifiers!$G$8,E177)),1,0)))&gt;0,1,0))</f>
        <v/>
      </c>
      <c r="N177" s="12">
        <f>IF(H177&lt;&gt;1,0,IF((IF(Classifiers!$B$9="",0,IF(ISNUMBER(SEARCH(Classifiers!$B$9,E177)),1,0))+IF(Classifiers!$C$9="",0,IF(ISNUMBER(SEARCH(Classifiers!$C$9,E177)),1,0))+IF(Classifiers!$D$9="",0,IF(ISNUMBER(SEARCH(Classifiers!$D$9,E177)),1,0))+IF(Classifiers!$E$9="",0,IF(ISNUMBER(SEARCH(Classifiers!$E$9,E177)),1,0))+IF(Classifiers!$F$9="",0,IF(ISNUMBER(SEARCH(Classifiers!$F$9,E177)),1,0))+IF(Classifiers!$G$9="",0,IF(ISNUMBER(SEARCH(Classifiers!$G$9,E177)),1,0)))&gt;0,1,0))</f>
        <v/>
      </c>
      <c r="O177" s="12">
        <f>IF(H177&lt;&gt;1,0,IF((IF(Classifiers!$B$10="",0,IF(ISNUMBER(SEARCH(Classifiers!$B$10,E177)),1,0))+IF(Classifiers!$C$10="",0,IF(ISNUMBER(SEARCH(Classifiers!$C$10,E177)),1,0))+IF(Classifiers!$D$10="",0,IF(ISNUMBER(SEARCH(Classifiers!$D$10,E177)),1,0))+IF(Classifiers!$E$10="",0,IF(ISNUMBER(SEARCH(Classifiers!$E$10,E177)),1,0))+IF(Classifiers!$F$10="",0,IF(ISNUMBER(SEARCH(Classifiers!$F$10,E177)),1,0))+IF(Classifiers!$G$10="",0,IF(ISNUMBER(SEARCH(Classifiers!$G$10,E177)),1,0)))&gt;0,1,0))</f>
        <v/>
      </c>
      <c r="P177" s="12">
        <f>IF(H177&lt;&gt;1,0,IF((IF(Classifiers!$B$11="",0,IF(ISNUMBER(SEARCH(Classifiers!$B$11,E177)),1,0))+IF(Classifiers!$C$11="",0,IF(ISNUMBER(SEARCH(Classifiers!$C$11,E177)),1,0))+IF(Classifiers!$D$11="",0,IF(ISNUMBER(SEARCH(Classifiers!$D$11,E177)),1,0))+IF(Classifiers!$E$11="",0,IF(ISNUMBER(SEARCH(Classifiers!$E$11,E177)),1,0))+IF(Classifiers!$F$11="",0,IF(ISNUMBER(SEARCH(Classifiers!$F$11,E177)),1,0))+IF(Classifiers!$G$11="",0,IF(ISNUMBER(SEARCH(Classifiers!$G$11,E177)),1,0)))&gt;0,1,0))</f>
        <v/>
      </c>
      <c r="Q177" s="12">
        <f>IF(H177&lt;&gt;1,0,IF((IF(Classifiers!$B$12="",0,IF(ISNUMBER(SEARCH(Classifiers!$B$12,E177)),1,0))+IF(Classifiers!$C$12="",0,IF(ISNUMBER(SEARCH(Classifiers!$C$12,E177)),1,0))+IF(Classifiers!$D$12="",0,IF(ISNUMBER(SEARCH(Classifiers!$D$12,E177)),1,0))+IF(Classifiers!$E$12="",0,IF(ISNUMBER(SEARCH(Classifiers!$E$12,E177)),1,0))+IF(Classifiers!$F$12="",0,IF(ISNUMBER(SEARCH(Classifiers!$F$12,E177)),1,0))+IF(Classifiers!$G$12="",0,IF(ISNUMBER(SEARCH(Classifiers!$G$12,E177)),1,0)))&gt;0,1,0))</f>
        <v/>
      </c>
      <c r="R177" s="12">
        <f>IF(H177&lt;&gt;1,0,IF((IF(Classifiers!$B$13="",0,IF(ISNUMBER(SEARCH(Classifiers!$B$13,E177)),1,0))+IF(Classifiers!$C$13="",0,IF(ISNUMBER(SEARCH(Classifiers!$C$13,E177)),1,0))+IF(Classifiers!$D$13="",0,IF(ISNUMBER(SEARCH(Classifiers!$D$13,E177)),1,0))+IF(Classifiers!$E$13="",0,IF(ISNUMBER(SEARCH(Classifiers!$E$13,E177)),1,0))+IF(Classifiers!$F$13="",0,IF(ISNUMBER(SEARCH(Classifiers!$F$13,E177)),1,0))+IF(Classifiers!$G$13="",0,IF(ISNUMBER(SEARCH(Classifiers!$G$13,E177)),1,0)))&gt;0,1,0))</f>
        <v/>
      </c>
      <c r="S177" s="12">
        <f>IF(H177&lt;&gt;1,0,IF((IF(Classifiers!$B$14="",0,IF(ISNUMBER(SEARCH(Classifiers!$B$14,E177)),1,0))+IF(Classifiers!$C$14="",0,IF(ISNUMBER(SEARCH(Classifiers!$C$14,E177)),1,0))+IF(Classifiers!$D$14="",0,IF(ISNUMBER(SEARCH(Classifiers!$D$14,E177)),1,0))+IF(Classifiers!$E$14="",0,IF(ISNUMBER(SEARCH(Classifiers!$E$14,E177)),1,0))+IF(Classifiers!$F$14="",0,IF(ISNUMBER(SEARCH(Classifiers!$F$14,E177)),1,0))+IF(Classifiers!$G$14="",0,IF(ISNUMBER(SEARCH(Classifiers!$G$14,E177)),1,0)))&gt;0,1,0))</f>
        <v/>
      </c>
      <c r="T177" s="12">
        <f>IF(H177&lt;&gt;1,0,IF((IF(Classifiers!$B$15="",0,IF(ISNUMBER(SEARCH(Classifiers!$B$15,E177)),1,0))+IF(Classifiers!$C$15="",0,IF(ISNUMBER(SEARCH(Classifiers!$C$15,E177)),1,0))+IF(Classifiers!$D$15="",0,IF(ISNUMBER(SEARCH(Classifiers!$D$15,E177)),1,0))+IF(Classifiers!$E$15="",0,IF(ISNUMBER(SEARCH(Classifiers!$E$15,E177)),1,0))+IF(Classifiers!$F$15="",0,IF(ISNUMBER(SEARCH(Classifiers!$F$15,E177)),1,0))+IF(Classifiers!$G$15="",0,IF(ISNUMBER(SEARCH(Classifiers!$G$15,E177)),1,0)))&gt;0,1,0))</f>
        <v/>
      </c>
      <c r="U177" s="12">
        <f>IF(H177&lt;&gt;1,0,IF((IF(Classifiers!$B$16="",0,IF(ISNUMBER(SEARCH(Classifiers!$B$16,E177)),1,0))+IF(Classifiers!$C$16="",0,IF(ISNUMBER(SEARCH(Classifiers!$C$16,E177)),1,0))+IF(Classifiers!$D$16="",0,IF(ISNUMBER(SEARCH(Classifiers!$D$16,E177)),1,0))+IF(Classifiers!$E$16="",0,IF(ISNUMBER(SEARCH(Classifiers!$E$16,E177)),1,0))+IF(Classifiers!$F$16="",0,IF(ISNUMBER(SEARCH(Classifiers!$F$16,E177)),1,0))+IF(Classifiers!$G$16="",0,IF(ISNUMBER(SEARCH(Classifiers!$G$16,E177)),1,0)))&gt;0,1,0))</f>
        <v/>
      </c>
      <c r="V177" s="12">
        <f>IF(H177&lt;&gt;1,0,IF((IF(Classifiers!$B$17="",0,IF(ISNUMBER(SEARCH(Classifiers!$B$17,E177)),1,0))+IF(Classifiers!$C$17="",0,IF(ISNUMBER(SEARCH(Classifiers!$C$17,E177)),1,0))+IF(Classifiers!$D$17="",0,IF(ISNUMBER(SEARCH(Classifiers!$D$17,E177)),1,0))+IF(Classifiers!$E$17="",0,IF(ISNUMBER(SEARCH(Classifiers!$E$17,E177)),1,0))+IF(Classifiers!$F$17="",0,IF(ISNUMBER(SEARCH(Classifiers!$F$17,E177)),1,0))+IF(Classifiers!$G$17="",0,IF(ISNUMBER(SEARCH(Classifiers!$G$17,E177)),1,0)))&gt;0,1,0))</f>
        <v/>
      </c>
      <c r="W177" s="12">
        <f>IF(H177&lt;&gt;1,0,IF((IF(Classifiers!$B$18="",0,IF(ISNUMBER(SEARCH(Classifiers!$B$18,E177)),1,0))+IF(Classifiers!$C$18="",0,IF(ISNUMBER(SEARCH(Classifiers!$C$18,E177)),1,0))+IF(Classifiers!$D$18="",0,IF(ISNUMBER(SEARCH(Classifiers!$D$18,E177)),1,0))+IF(Classifiers!$E$18="",0,IF(ISNUMBER(SEARCH(Classifiers!$E$18,E177)),1,0))+IF(Classifiers!$F$18="",0,IF(ISNUMBER(SEARCH(Classifiers!$F$18,E177)),1,0))+IF(Classifiers!$G$18="",0,IF(ISNUMBER(SEARCH(Classifiers!$G$18,E177)),1,0)))&gt;0,1,0))</f>
        <v/>
      </c>
    </row>
    <row r="178">
      <c r="A178" s="8" t="n"/>
      <c r="B178" s="11" t="n"/>
      <c r="C178" s="6">
        <f>IF(A178="","",TRIM(RIGHT(SUBSTITUTE(A178,"/",REPT(" ",250)),250)))</f>
        <v/>
      </c>
      <c r="D178" s="6">
        <f>IF(C178="","",IF(ISNUMBER(SEARCH(".",C178)),LOWER("."&amp;TRIM(RIGHT(SUBSTITUTE(C178,".",REPT(" ",250)),250))),""))</f>
        <v/>
      </c>
      <c r="E178" s="6">
        <f>IF(C178="","",TRIM(SUBSTITUTE(SUBSTITUTE(SUBSTITUTE(SUBSTITUTE(SUBSTITUTE(SUBSTITUTE(SUBSTITUTE(SUBSTITUTE(SUBSTITUTE(SUBSTITUTE(SUBSTITUTE(SUBSTITUTE(SUBSTITUTE(SUBSTITUTE(SUBSTITUTE(SUBSTITUTE(SUBSTITUTE(SUBSTITUTE(SUBSTITUTE(SUBSTITUTE(LOWER(LEFT(C178,LEN(C178)-LEN(D178))),"_"," "),"-"," "),"."," "),","," "),"("," "),")"," "),"["," "),"]"," "),"&amp;"," "),"+"," "),"@"," "),"#"," "),"!"," "),"'"," "),"/"," "),":"," "),";"," "),"="," "),"~"," "),"%"," ")))</f>
        <v/>
      </c>
      <c r="F178" s="6">
        <f>IF(C178="","",IF(COUNTIF(Classifiers!$A$23:$A$40,D178)&gt;0,1,0))</f>
        <v/>
      </c>
      <c r="G178" s="6">
        <f>IF(C178="","",IF(COUNTIF(Classifiers!$C$23:$C$30,D178)&gt;0,IF((IF(ISNUMBER(SEARCH(Classifiers!$E$23,E178)),1,0)+IF(ISNUMBER(SEARCH(Classifiers!$E$24,E178)),1,0)+IF(ISNUMBER(SEARCH(Classifiers!$E$25,E178)),1,0)+IF(ISNUMBER(SEARCH(Classifiers!$E$26,E178)),1,0)+IF(ISNUMBER(SEARCH(Classifiers!$E$27,E178)),1,0)+IF(ISNUMBER(SEARCH(Classifiers!$E$28,E178)),1,0)+IF(ISNUMBER(SEARCH(Classifiers!$E$29,E178)),1,0)+IF(ISNUMBER(SEARCH(Classifiers!$E$30,E178)),1,0))&gt;0,1,0),0))</f>
        <v/>
      </c>
      <c r="H178" s="6">
        <f>IF(C178="","",IF(OR(LEFT(C178,1)=".",AND(F178=0,G178=0)),0,1))</f>
        <v/>
      </c>
      <c r="I178" s="6">
        <f>IF(H178&lt;&gt;1,"",IF(SUM(J178:W178)=0,"unclassified",INDEX(Classifiers!$A$5:$A$18,MATCH(1,J178:W178,0),1)))</f>
        <v/>
      </c>
      <c r="J178" s="12">
        <f>IF(H178&lt;&gt;1,0,IF((IF(Classifiers!$B$5="",0,IF(ISNUMBER(SEARCH(Classifiers!$B$5,E178)),1,0))+IF(Classifiers!$C$5="",0,IF(ISNUMBER(SEARCH(Classifiers!$C$5,E178)),1,0))+IF(Classifiers!$D$5="",0,IF(ISNUMBER(SEARCH(Classifiers!$D$5,E178)),1,0))+IF(Classifiers!$E$5="",0,IF(ISNUMBER(SEARCH(Classifiers!$E$5,E178)),1,0))+IF(Classifiers!$F$5="",0,IF(ISNUMBER(SEARCH(Classifiers!$F$5,E178)),1,0))+IF(Classifiers!$G$5="",0,IF(ISNUMBER(SEARCH(Classifiers!$G$5,E178)),1,0)))&gt;0,1,0))</f>
        <v/>
      </c>
      <c r="K178" s="12">
        <f>IF(H178&lt;&gt;1,0,IF((IF(Classifiers!$B$6="",0,IF(ISNUMBER(SEARCH(Classifiers!$B$6,E178)),1,0))+IF(Classifiers!$C$6="",0,IF(ISNUMBER(SEARCH(Classifiers!$C$6,E178)),1,0))+IF(Classifiers!$D$6="",0,IF(ISNUMBER(SEARCH(Classifiers!$D$6,E178)),1,0))+IF(Classifiers!$E$6="",0,IF(ISNUMBER(SEARCH(Classifiers!$E$6,E178)),1,0))+IF(Classifiers!$F$6="",0,IF(ISNUMBER(SEARCH(Classifiers!$F$6,E178)),1,0))+IF(Classifiers!$G$6="",0,IF(ISNUMBER(SEARCH(Classifiers!$G$6,E178)),1,0)))&gt;0,1,0))</f>
        <v/>
      </c>
      <c r="L178" s="12">
        <f>IF(H178&lt;&gt;1,0,IF((IF(Classifiers!$B$7="",0,IF(ISNUMBER(SEARCH(Classifiers!$B$7,E178)),1,0))+IF(Classifiers!$C$7="",0,IF(ISNUMBER(SEARCH(Classifiers!$C$7,E178)),1,0))+IF(Classifiers!$D$7="",0,IF(ISNUMBER(SEARCH(Classifiers!$D$7,E178)),1,0))+IF(Classifiers!$E$7="",0,IF(ISNUMBER(SEARCH(Classifiers!$E$7,E178)),1,0))+IF(Classifiers!$F$7="",0,IF(ISNUMBER(SEARCH(Classifiers!$F$7,E178)),1,0))+IF(Classifiers!$G$7="",0,IF(ISNUMBER(SEARCH(Classifiers!$G$7,E178)),1,0)))&gt;0,1,0))</f>
        <v/>
      </c>
      <c r="M178" s="12">
        <f>IF(H178&lt;&gt;1,0,IF((IF(Classifiers!$B$8="",0,IF(ISNUMBER(SEARCH(Classifiers!$B$8,E178)),1,0))+IF(Classifiers!$C$8="",0,IF(ISNUMBER(SEARCH(Classifiers!$C$8,E178)),1,0))+IF(Classifiers!$D$8="",0,IF(ISNUMBER(SEARCH(Classifiers!$D$8,E178)),1,0))+IF(Classifiers!$E$8="",0,IF(ISNUMBER(SEARCH(Classifiers!$E$8,E178)),1,0))+IF(Classifiers!$F$8="",0,IF(ISNUMBER(SEARCH(Classifiers!$F$8,E178)),1,0))+IF(Classifiers!$G$8="",0,IF(ISNUMBER(SEARCH(Classifiers!$G$8,E178)),1,0)))&gt;0,1,0))</f>
        <v/>
      </c>
      <c r="N178" s="12">
        <f>IF(H178&lt;&gt;1,0,IF((IF(Classifiers!$B$9="",0,IF(ISNUMBER(SEARCH(Classifiers!$B$9,E178)),1,0))+IF(Classifiers!$C$9="",0,IF(ISNUMBER(SEARCH(Classifiers!$C$9,E178)),1,0))+IF(Classifiers!$D$9="",0,IF(ISNUMBER(SEARCH(Classifiers!$D$9,E178)),1,0))+IF(Classifiers!$E$9="",0,IF(ISNUMBER(SEARCH(Classifiers!$E$9,E178)),1,0))+IF(Classifiers!$F$9="",0,IF(ISNUMBER(SEARCH(Classifiers!$F$9,E178)),1,0))+IF(Classifiers!$G$9="",0,IF(ISNUMBER(SEARCH(Classifiers!$G$9,E178)),1,0)))&gt;0,1,0))</f>
        <v/>
      </c>
      <c r="O178" s="12">
        <f>IF(H178&lt;&gt;1,0,IF((IF(Classifiers!$B$10="",0,IF(ISNUMBER(SEARCH(Classifiers!$B$10,E178)),1,0))+IF(Classifiers!$C$10="",0,IF(ISNUMBER(SEARCH(Classifiers!$C$10,E178)),1,0))+IF(Classifiers!$D$10="",0,IF(ISNUMBER(SEARCH(Classifiers!$D$10,E178)),1,0))+IF(Classifiers!$E$10="",0,IF(ISNUMBER(SEARCH(Classifiers!$E$10,E178)),1,0))+IF(Classifiers!$F$10="",0,IF(ISNUMBER(SEARCH(Classifiers!$F$10,E178)),1,0))+IF(Classifiers!$G$10="",0,IF(ISNUMBER(SEARCH(Classifiers!$G$10,E178)),1,0)))&gt;0,1,0))</f>
        <v/>
      </c>
      <c r="P178" s="12">
        <f>IF(H178&lt;&gt;1,0,IF((IF(Classifiers!$B$11="",0,IF(ISNUMBER(SEARCH(Classifiers!$B$11,E178)),1,0))+IF(Classifiers!$C$11="",0,IF(ISNUMBER(SEARCH(Classifiers!$C$11,E178)),1,0))+IF(Classifiers!$D$11="",0,IF(ISNUMBER(SEARCH(Classifiers!$D$11,E178)),1,0))+IF(Classifiers!$E$11="",0,IF(ISNUMBER(SEARCH(Classifiers!$E$11,E178)),1,0))+IF(Classifiers!$F$11="",0,IF(ISNUMBER(SEARCH(Classifiers!$F$11,E178)),1,0))+IF(Classifiers!$G$11="",0,IF(ISNUMBER(SEARCH(Classifiers!$G$11,E178)),1,0)))&gt;0,1,0))</f>
        <v/>
      </c>
      <c r="Q178" s="12">
        <f>IF(H178&lt;&gt;1,0,IF((IF(Classifiers!$B$12="",0,IF(ISNUMBER(SEARCH(Classifiers!$B$12,E178)),1,0))+IF(Classifiers!$C$12="",0,IF(ISNUMBER(SEARCH(Classifiers!$C$12,E178)),1,0))+IF(Classifiers!$D$12="",0,IF(ISNUMBER(SEARCH(Classifiers!$D$12,E178)),1,0))+IF(Classifiers!$E$12="",0,IF(ISNUMBER(SEARCH(Classifiers!$E$12,E178)),1,0))+IF(Classifiers!$F$12="",0,IF(ISNUMBER(SEARCH(Classifiers!$F$12,E178)),1,0))+IF(Classifiers!$G$12="",0,IF(ISNUMBER(SEARCH(Classifiers!$G$12,E178)),1,0)))&gt;0,1,0))</f>
        <v/>
      </c>
      <c r="R178" s="12">
        <f>IF(H178&lt;&gt;1,0,IF((IF(Classifiers!$B$13="",0,IF(ISNUMBER(SEARCH(Classifiers!$B$13,E178)),1,0))+IF(Classifiers!$C$13="",0,IF(ISNUMBER(SEARCH(Classifiers!$C$13,E178)),1,0))+IF(Classifiers!$D$13="",0,IF(ISNUMBER(SEARCH(Classifiers!$D$13,E178)),1,0))+IF(Classifiers!$E$13="",0,IF(ISNUMBER(SEARCH(Classifiers!$E$13,E178)),1,0))+IF(Classifiers!$F$13="",0,IF(ISNUMBER(SEARCH(Classifiers!$F$13,E178)),1,0))+IF(Classifiers!$G$13="",0,IF(ISNUMBER(SEARCH(Classifiers!$G$13,E178)),1,0)))&gt;0,1,0))</f>
        <v/>
      </c>
      <c r="S178" s="12">
        <f>IF(H178&lt;&gt;1,0,IF((IF(Classifiers!$B$14="",0,IF(ISNUMBER(SEARCH(Classifiers!$B$14,E178)),1,0))+IF(Classifiers!$C$14="",0,IF(ISNUMBER(SEARCH(Classifiers!$C$14,E178)),1,0))+IF(Classifiers!$D$14="",0,IF(ISNUMBER(SEARCH(Classifiers!$D$14,E178)),1,0))+IF(Classifiers!$E$14="",0,IF(ISNUMBER(SEARCH(Classifiers!$E$14,E178)),1,0))+IF(Classifiers!$F$14="",0,IF(ISNUMBER(SEARCH(Classifiers!$F$14,E178)),1,0))+IF(Classifiers!$G$14="",0,IF(ISNUMBER(SEARCH(Classifiers!$G$14,E178)),1,0)))&gt;0,1,0))</f>
        <v/>
      </c>
      <c r="T178" s="12">
        <f>IF(H178&lt;&gt;1,0,IF((IF(Classifiers!$B$15="",0,IF(ISNUMBER(SEARCH(Classifiers!$B$15,E178)),1,0))+IF(Classifiers!$C$15="",0,IF(ISNUMBER(SEARCH(Classifiers!$C$15,E178)),1,0))+IF(Classifiers!$D$15="",0,IF(ISNUMBER(SEARCH(Classifiers!$D$15,E178)),1,0))+IF(Classifiers!$E$15="",0,IF(ISNUMBER(SEARCH(Classifiers!$E$15,E178)),1,0))+IF(Classifiers!$F$15="",0,IF(ISNUMBER(SEARCH(Classifiers!$F$15,E178)),1,0))+IF(Classifiers!$G$15="",0,IF(ISNUMBER(SEARCH(Classifiers!$G$15,E178)),1,0)))&gt;0,1,0))</f>
        <v/>
      </c>
      <c r="U178" s="12">
        <f>IF(H178&lt;&gt;1,0,IF((IF(Classifiers!$B$16="",0,IF(ISNUMBER(SEARCH(Classifiers!$B$16,E178)),1,0))+IF(Classifiers!$C$16="",0,IF(ISNUMBER(SEARCH(Classifiers!$C$16,E178)),1,0))+IF(Classifiers!$D$16="",0,IF(ISNUMBER(SEARCH(Classifiers!$D$16,E178)),1,0))+IF(Classifiers!$E$16="",0,IF(ISNUMBER(SEARCH(Classifiers!$E$16,E178)),1,0))+IF(Classifiers!$F$16="",0,IF(ISNUMBER(SEARCH(Classifiers!$F$16,E178)),1,0))+IF(Classifiers!$G$16="",0,IF(ISNUMBER(SEARCH(Classifiers!$G$16,E178)),1,0)))&gt;0,1,0))</f>
        <v/>
      </c>
      <c r="V178" s="12">
        <f>IF(H178&lt;&gt;1,0,IF((IF(Classifiers!$B$17="",0,IF(ISNUMBER(SEARCH(Classifiers!$B$17,E178)),1,0))+IF(Classifiers!$C$17="",0,IF(ISNUMBER(SEARCH(Classifiers!$C$17,E178)),1,0))+IF(Classifiers!$D$17="",0,IF(ISNUMBER(SEARCH(Classifiers!$D$17,E178)),1,0))+IF(Classifiers!$E$17="",0,IF(ISNUMBER(SEARCH(Classifiers!$E$17,E178)),1,0))+IF(Classifiers!$F$17="",0,IF(ISNUMBER(SEARCH(Classifiers!$F$17,E178)),1,0))+IF(Classifiers!$G$17="",0,IF(ISNUMBER(SEARCH(Classifiers!$G$17,E178)),1,0)))&gt;0,1,0))</f>
        <v/>
      </c>
      <c r="W178" s="12">
        <f>IF(H178&lt;&gt;1,0,IF((IF(Classifiers!$B$18="",0,IF(ISNUMBER(SEARCH(Classifiers!$B$18,E178)),1,0))+IF(Classifiers!$C$18="",0,IF(ISNUMBER(SEARCH(Classifiers!$C$18,E178)),1,0))+IF(Classifiers!$D$18="",0,IF(ISNUMBER(SEARCH(Classifiers!$D$18,E178)),1,0))+IF(Classifiers!$E$18="",0,IF(ISNUMBER(SEARCH(Classifiers!$E$18,E178)),1,0))+IF(Classifiers!$F$18="",0,IF(ISNUMBER(SEARCH(Classifiers!$F$18,E178)),1,0))+IF(Classifiers!$G$18="",0,IF(ISNUMBER(SEARCH(Classifiers!$G$18,E178)),1,0)))&gt;0,1,0))</f>
        <v/>
      </c>
    </row>
    <row r="179">
      <c r="A179" s="8" t="n"/>
      <c r="B179" s="11" t="n"/>
      <c r="C179" s="6">
        <f>IF(A179="","",TRIM(RIGHT(SUBSTITUTE(A179,"/",REPT(" ",250)),250)))</f>
        <v/>
      </c>
      <c r="D179" s="6">
        <f>IF(C179="","",IF(ISNUMBER(SEARCH(".",C179)),LOWER("."&amp;TRIM(RIGHT(SUBSTITUTE(C179,".",REPT(" ",250)),250))),""))</f>
        <v/>
      </c>
      <c r="E179" s="6">
        <f>IF(C179="","",TRIM(SUBSTITUTE(SUBSTITUTE(SUBSTITUTE(SUBSTITUTE(SUBSTITUTE(SUBSTITUTE(SUBSTITUTE(SUBSTITUTE(SUBSTITUTE(SUBSTITUTE(SUBSTITUTE(SUBSTITUTE(SUBSTITUTE(SUBSTITUTE(SUBSTITUTE(SUBSTITUTE(SUBSTITUTE(SUBSTITUTE(SUBSTITUTE(SUBSTITUTE(LOWER(LEFT(C179,LEN(C179)-LEN(D179))),"_"," "),"-"," "),"."," "),","," "),"("," "),")"," "),"["," "),"]"," "),"&amp;"," "),"+"," "),"@"," "),"#"," "),"!"," "),"'"," "),"/"," "),":"," "),";"," "),"="," "),"~"," "),"%"," ")))</f>
        <v/>
      </c>
      <c r="F179" s="6">
        <f>IF(C179="","",IF(COUNTIF(Classifiers!$A$23:$A$40,D179)&gt;0,1,0))</f>
        <v/>
      </c>
      <c r="G179" s="6">
        <f>IF(C179="","",IF(COUNTIF(Classifiers!$C$23:$C$30,D179)&gt;0,IF((IF(ISNUMBER(SEARCH(Classifiers!$E$23,E179)),1,0)+IF(ISNUMBER(SEARCH(Classifiers!$E$24,E179)),1,0)+IF(ISNUMBER(SEARCH(Classifiers!$E$25,E179)),1,0)+IF(ISNUMBER(SEARCH(Classifiers!$E$26,E179)),1,0)+IF(ISNUMBER(SEARCH(Classifiers!$E$27,E179)),1,0)+IF(ISNUMBER(SEARCH(Classifiers!$E$28,E179)),1,0)+IF(ISNUMBER(SEARCH(Classifiers!$E$29,E179)),1,0)+IF(ISNUMBER(SEARCH(Classifiers!$E$30,E179)),1,0))&gt;0,1,0),0))</f>
        <v/>
      </c>
      <c r="H179" s="6">
        <f>IF(C179="","",IF(OR(LEFT(C179,1)=".",AND(F179=0,G179=0)),0,1))</f>
        <v/>
      </c>
      <c r="I179" s="6">
        <f>IF(H179&lt;&gt;1,"",IF(SUM(J179:W179)=0,"unclassified",INDEX(Classifiers!$A$5:$A$18,MATCH(1,J179:W179,0),1)))</f>
        <v/>
      </c>
      <c r="J179" s="12">
        <f>IF(H179&lt;&gt;1,0,IF((IF(Classifiers!$B$5="",0,IF(ISNUMBER(SEARCH(Classifiers!$B$5,E179)),1,0))+IF(Classifiers!$C$5="",0,IF(ISNUMBER(SEARCH(Classifiers!$C$5,E179)),1,0))+IF(Classifiers!$D$5="",0,IF(ISNUMBER(SEARCH(Classifiers!$D$5,E179)),1,0))+IF(Classifiers!$E$5="",0,IF(ISNUMBER(SEARCH(Classifiers!$E$5,E179)),1,0))+IF(Classifiers!$F$5="",0,IF(ISNUMBER(SEARCH(Classifiers!$F$5,E179)),1,0))+IF(Classifiers!$G$5="",0,IF(ISNUMBER(SEARCH(Classifiers!$G$5,E179)),1,0)))&gt;0,1,0))</f>
        <v/>
      </c>
      <c r="K179" s="12">
        <f>IF(H179&lt;&gt;1,0,IF((IF(Classifiers!$B$6="",0,IF(ISNUMBER(SEARCH(Classifiers!$B$6,E179)),1,0))+IF(Classifiers!$C$6="",0,IF(ISNUMBER(SEARCH(Classifiers!$C$6,E179)),1,0))+IF(Classifiers!$D$6="",0,IF(ISNUMBER(SEARCH(Classifiers!$D$6,E179)),1,0))+IF(Classifiers!$E$6="",0,IF(ISNUMBER(SEARCH(Classifiers!$E$6,E179)),1,0))+IF(Classifiers!$F$6="",0,IF(ISNUMBER(SEARCH(Classifiers!$F$6,E179)),1,0))+IF(Classifiers!$G$6="",0,IF(ISNUMBER(SEARCH(Classifiers!$G$6,E179)),1,0)))&gt;0,1,0))</f>
        <v/>
      </c>
      <c r="L179" s="12">
        <f>IF(H179&lt;&gt;1,0,IF((IF(Classifiers!$B$7="",0,IF(ISNUMBER(SEARCH(Classifiers!$B$7,E179)),1,0))+IF(Classifiers!$C$7="",0,IF(ISNUMBER(SEARCH(Classifiers!$C$7,E179)),1,0))+IF(Classifiers!$D$7="",0,IF(ISNUMBER(SEARCH(Classifiers!$D$7,E179)),1,0))+IF(Classifiers!$E$7="",0,IF(ISNUMBER(SEARCH(Classifiers!$E$7,E179)),1,0))+IF(Classifiers!$F$7="",0,IF(ISNUMBER(SEARCH(Classifiers!$F$7,E179)),1,0))+IF(Classifiers!$G$7="",0,IF(ISNUMBER(SEARCH(Classifiers!$G$7,E179)),1,0)))&gt;0,1,0))</f>
        <v/>
      </c>
      <c r="M179" s="12">
        <f>IF(H179&lt;&gt;1,0,IF((IF(Classifiers!$B$8="",0,IF(ISNUMBER(SEARCH(Classifiers!$B$8,E179)),1,0))+IF(Classifiers!$C$8="",0,IF(ISNUMBER(SEARCH(Classifiers!$C$8,E179)),1,0))+IF(Classifiers!$D$8="",0,IF(ISNUMBER(SEARCH(Classifiers!$D$8,E179)),1,0))+IF(Classifiers!$E$8="",0,IF(ISNUMBER(SEARCH(Classifiers!$E$8,E179)),1,0))+IF(Classifiers!$F$8="",0,IF(ISNUMBER(SEARCH(Classifiers!$F$8,E179)),1,0))+IF(Classifiers!$G$8="",0,IF(ISNUMBER(SEARCH(Classifiers!$G$8,E179)),1,0)))&gt;0,1,0))</f>
        <v/>
      </c>
      <c r="N179" s="12">
        <f>IF(H179&lt;&gt;1,0,IF((IF(Classifiers!$B$9="",0,IF(ISNUMBER(SEARCH(Classifiers!$B$9,E179)),1,0))+IF(Classifiers!$C$9="",0,IF(ISNUMBER(SEARCH(Classifiers!$C$9,E179)),1,0))+IF(Classifiers!$D$9="",0,IF(ISNUMBER(SEARCH(Classifiers!$D$9,E179)),1,0))+IF(Classifiers!$E$9="",0,IF(ISNUMBER(SEARCH(Classifiers!$E$9,E179)),1,0))+IF(Classifiers!$F$9="",0,IF(ISNUMBER(SEARCH(Classifiers!$F$9,E179)),1,0))+IF(Classifiers!$G$9="",0,IF(ISNUMBER(SEARCH(Classifiers!$G$9,E179)),1,0)))&gt;0,1,0))</f>
        <v/>
      </c>
      <c r="O179" s="12">
        <f>IF(H179&lt;&gt;1,0,IF((IF(Classifiers!$B$10="",0,IF(ISNUMBER(SEARCH(Classifiers!$B$10,E179)),1,0))+IF(Classifiers!$C$10="",0,IF(ISNUMBER(SEARCH(Classifiers!$C$10,E179)),1,0))+IF(Classifiers!$D$10="",0,IF(ISNUMBER(SEARCH(Classifiers!$D$10,E179)),1,0))+IF(Classifiers!$E$10="",0,IF(ISNUMBER(SEARCH(Classifiers!$E$10,E179)),1,0))+IF(Classifiers!$F$10="",0,IF(ISNUMBER(SEARCH(Classifiers!$F$10,E179)),1,0))+IF(Classifiers!$G$10="",0,IF(ISNUMBER(SEARCH(Classifiers!$G$10,E179)),1,0)))&gt;0,1,0))</f>
        <v/>
      </c>
      <c r="P179" s="12">
        <f>IF(H179&lt;&gt;1,0,IF((IF(Classifiers!$B$11="",0,IF(ISNUMBER(SEARCH(Classifiers!$B$11,E179)),1,0))+IF(Classifiers!$C$11="",0,IF(ISNUMBER(SEARCH(Classifiers!$C$11,E179)),1,0))+IF(Classifiers!$D$11="",0,IF(ISNUMBER(SEARCH(Classifiers!$D$11,E179)),1,0))+IF(Classifiers!$E$11="",0,IF(ISNUMBER(SEARCH(Classifiers!$E$11,E179)),1,0))+IF(Classifiers!$F$11="",0,IF(ISNUMBER(SEARCH(Classifiers!$F$11,E179)),1,0))+IF(Classifiers!$G$11="",0,IF(ISNUMBER(SEARCH(Classifiers!$G$11,E179)),1,0)))&gt;0,1,0))</f>
        <v/>
      </c>
      <c r="Q179" s="12">
        <f>IF(H179&lt;&gt;1,0,IF((IF(Classifiers!$B$12="",0,IF(ISNUMBER(SEARCH(Classifiers!$B$12,E179)),1,0))+IF(Classifiers!$C$12="",0,IF(ISNUMBER(SEARCH(Classifiers!$C$12,E179)),1,0))+IF(Classifiers!$D$12="",0,IF(ISNUMBER(SEARCH(Classifiers!$D$12,E179)),1,0))+IF(Classifiers!$E$12="",0,IF(ISNUMBER(SEARCH(Classifiers!$E$12,E179)),1,0))+IF(Classifiers!$F$12="",0,IF(ISNUMBER(SEARCH(Classifiers!$F$12,E179)),1,0))+IF(Classifiers!$G$12="",0,IF(ISNUMBER(SEARCH(Classifiers!$G$12,E179)),1,0)))&gt;0,1,0))</f>
        <v/>
      </c>
      <c r="R179" s="12">
        <f>IF(H179&lt;&gt;1,0,IF((IF(Classifiers!$B$13="",0,IF(ISNUMBER(SEARCH(Classifiers!$B$13,E179)),1,0))+IF(Classifiers!$C$13="",0,IF(ISNUMBER(SEARCH(Classifiers!$C$13,E179)),1,0))+IF(Classifiers!$D$13="",0,IF(ISNUMBER(SEARCH(Classifiers!$D$13,E179)),1,0))+IF(Classifiers!$E$13="",0,IF(ISNUMBER(SEARCH(Classifiers!$E$13,E179)),1,0))+IF(Classifiers!$F$13="",0,IF(ISNUMBER(SEARCH(Classifiers!$F$13,E179)),1,0))+IF(Classifiers!$G$13="",0,IF(ISNUMBER(SEARCH(Classifiers!$G$13,E179)),1,0)))&gt;0,1,0))</f>
        <v/>
      </c>
      <c r="S179" s="12">
        <f>IF(H179&lt;&gt;1,0,IF((IF(Classifiers!$B$14="",0,IF(ISNUMBER(SEARCH(Classifiers!$B$14,E179)),1,0))+IF(Classifiers!$C$14="",0,IF(ISNUMBER(SEARCH(Classifiers!$C$14,E179)),1,0))+IF(Classifiers!$D$14="",0,IF(ISNUMBER(SEARCH(Classifiers!$D$14,E179)),1,0))+IF(Classifiers!$E$14="",0,IF(ISNUMBER(SEARCH(Classifiers!$E$14,E179)),1,0))+IF(Classifiers!$F$14="",0,IF(ISNUMBER(SEARCH(Classifiers!$F$14,E179)),1,0))+IF(Classifiers!$G$14="",0,IF(ISNUMBER(SEARCH(Classifiers!$G$14,E179)),1,0)))&gt;0,1,0))</f>
        <v/>
      </c>
      <c r="T179" s="12">
        <f>IF(H179&lt;&gt;1,0,IF((IF(Classifiers!$B$15="",0,IF(ISNUMBER(SEARCH(Classifiers!$B$15,E179)),1,0))+IF(Classifiers!$C$15="",0,IF(ISNUMBER(SEARCH(Classifiers!$C$15,E179)),1,0))+IF(Classifiers!$D$15="",0,IF(ISNUMBER(SEARCH(Classifiers!$D$15,E179)),1,0))+IF(Classifiers!$E$15="",0,IF(ISNUMBER(SEARCH(Classifiers!$E$15,E179)),1,0))+IF(Classifiers!$F$15="",0,IF(ISNUMBER(SEARCH(Classifiers!$F$15,E179)),1,0))+IF(Classifiers!$G$15="",0,IF(ISNUMBER(SEARCH(Classifiers!$G$15,E179)),1,0)))&gt;0,1,0))</f>
        <v/>
      </c>
      <c r="U179" s="12">
        <f>IF(H179&lt;&gt;1,0,IF((IF(Classifiers!$B$16="",0,IF(ISNUMBER(SEARCH(Classifiers!$B$16,E179)),1,0))+IF(Classifiers!$C$16="",0,IF(ISNUMBER(SEARCH(Classifiers!$C$16,E179)),1,0))+IF(Classifiers!$D$16="",0,IF(ISNUMBER(SEARCH(Classifiers!$D$16,E179)),1,0))+IF(Classifiers!$E$16="",0,IF(ISNUMBER(SEARCH(Classifiers!$E$16,E179)),1,0))+IF(Classifiers!$F$16="",0,IF(ISNUMBER(SEARCH(Classifiers!$F$16,E179)),1,0))+IF(Classifiers!$G$16="",0,IF(ISNUMBER(SEARCH(Classifiers!$G$16,E179)),1,0)))&gt;0,1,0))</f>
        <v/>
      </c>
      <c r="V179" s="12">
        <f>IF(H179&lt;&gt;1,0,IF((IF(Classifiers!$B$17="",0,IF(ISNUMBER(SEARCH(Classifiers!$B$17,E179)),1,0))+IF(Classifiers!$C$17="",0,IF(ISNUMBER(SEARCH(Classifiers!$C$17,E179)),1,0))+IF(Classifiers!$D$17="",0,IF(ISNUMBER(SEARCH(Classifiers!$D$17,E179)),1,0))+IF(Classifiers!$E$17="",0,IF(ISNUMBER(SEARCH(Classifiers!$E$17,E179)),1,0))+IF(Classifiers!$F$17="",0,IF(ISNUMBER(SEARCH(Classifiers!$F$17,E179)),1,0))+IF(Classifiers!$G$17="",0,IF(ISNUMBER(SEARCH(Classifiers!$G$17,E179)),1,0)))&gt;0,1,0))</f>
        <v/>
      </c>
      <c r="W179" s="12">
        <f>IF(H179&lt;&gt;1,0,IF((IF(Classifiers!$B$18="",0,IF(ISNUMBER(SEARCH(Classifiers!$B$18,E179)),1,0))+IF(Classifiers!$C$18="",0,IF(ISNUMBER(SEARCH(Classifiers!$C$18,E179)),1,0))+IF(Classifiers!$D$18="",0,IF(ISNUMBER(SEARCH(Classifiers!$D$18,E179)),1,0))+IF(Classifiers!$E$18="",0,IF(ISNUMBER(SEARCH(Classifiers!$E$18,E179)),1,0))+IF(Classifiers!$F$18="",0,IF(ISNUMBER(SEARCH(Classifiers!$F$18,E179)),1,0))+IF(Classifiers!$G$18="",0,IF(ISNUMBER(SEARCH(Classifiers!$G$18,E179)),1,0)))&gt;0,1,0))</f>
        <v/>
      </c>
    </row>
    <row r="180">
      <c r="A180" s="8" t="n"/>
      <c r="B180" s="11" t="n"/>
      <c r="C180" s="6">
        <f>IF(A180="","",TRIM(RIGHT(SUBSTITUTE(A180,"/",REPT(" ",250)),250)))</f>
        <v/>
      </c>
      <c r="D180" s="6">
        <f>IF(C180="","",IF(ISNUMBER(SEARCH(".",C180)),LOWER("."&amp;TRIM(RIGHT(SUBSTITUTE(C180,".",REPT(" ",250)),250))),""))</f>
        <v/>
      </c>
      <c r="E180" s="6">
        <f>IF(C180="","",TRIM(SUBSTITUTE(SUBSTITUTE(SUBSTITUTE(SUBSTITUTE(SUBSTITUTE(SUBSTITUTE(SUBSTITUTE(SUBSTITUTE(SUBSTITUTE(SUBSTITUTE(SUBSTITUTE(SUBSTITUTE(SUBSTITUTE(SUBSTITUTE(SUBSTITUTE(SUBSTITUTE(SUBSTITUTE(SUBSTITUTE(SUBSTITUTE(SUBSTITUTE(LOWER(LEFT(C180,LEN(C180)-LEN(D180))),"_"," "),"-"," "),"."," "),","," "),"("," "),")"," "),"["," "),"]"," "),"&amp;"," "),"+"," "),"@"," "),"#"," "),"!"," "),"'"," "),"/"," "),":"," "),";"," "),"="," "),"~"," "),"%"," ")))</f>
        <v/>
      </c>
      <c r="F180" s="6">
        <f>IF(C180="","",IF(COUNTIF(Classifiers!$A$23:$A$40,D180)&gt;0,1,0))</f>
        <v/>
      </c>
      <c r="G180" s="6">
        <f>IF(C180="","",IF(COUNTIF(Classifiers!$C$23:$C$30,D180)&gt;0,IF((IF(ISNUMBER(SEARCH(Classifiers!$E$23,E180)),1,0)+IF(ISNUMBER(SEARCH(Classifiers!$E$24,E180)),1,0)+IF(ISNUMBER(SEARCH(Classifiers!$E$25,E180)),1,0)+IF(ISNUMBER(SEARCH(Classifiers!$E$26,E180)),1,0)+IF(ISNUMBER(SEARCH(Classifiers!$E$27,E180)),1,0)+IF(ISNUMBER(SEARCH(Classifiers!$E$28,E180)),1,0)+IF(ISNUMBER(SEARCH(Classifiers!$E$29,E180)),1,0)+IF(ISNUMBER(SEARCH(Classifiers!$E$30,E180)),1,0))&gt;0,1,0),0))</f>
        <v/>
      </c>
      <c r="H180" s="6">
        <f>IF(C180="","",IF(OR(LEFT(C180,1)=".",AND(F180=0,G180=0)),0,1))</f>
        <v/>
      </c>
      <c r="I180" s="6">
        <f>IF(H180&lt;&gt;1,"",IF(SUM(J180:W180)=0,"unclassified",INDEX(Classifiers!$A$5:$A$18,MATCH(1,J180:W180,0),1)))</f>
        <v/>
      </c>
      <c r="J180" s="12">
        <f>IF(H180&lt;&gt;1,0,IF((IF(Classifiers!$B$5="",0,IF(ISNUMBER(SEARCH(Classifiers!$B$5,E180)),1,0))+IF(Classifiers!$C$5="",0,IF(ISNUMBER(SEARCH(Classifiers!$C$5,E180)),1,0))+IF(Classifiers!$D$5="",0,IF(ISNUMBER(SEARCH(Classifiers!$D$5,E180)),1,0))+IF(Classifiers!$E$5="",0,IF(ISNUMBER(SEARCH(Classifiers!$E$5,E180)),1,0))+IF(Classifiers!$F$5="",0,IF(ISNUMBER(SEARCH(Classifiers!$F$5,E180)),1,0))+IF(Classifiers!$G$5="",0,IF(ISNUMBER(SEARCH(Classifiers!$G$5,E180)),1,0)))&gt;0,1,0))</f>
        <v/>
      </c>
      <c r="K180" s="12">
        <f>IF(H180&lt;&gt;1,0,IF((IF(Classifiers!$B$6="",0,IF(ISNUMBER(SEARCH(Classifiers!$B$6,E180)),1,0))+IF(Classifiers!$C$6="",0,IF(ISNUMBER(SEARCH(Classifiers!$C$6,E180)),1,0))+IF(Classifiers!$D$6="",0,IF(ISNUMBER(SEARCH(Classifiers!$D$6,E180)),1,0))+IF(Classifiers!$E$6="",0,IF(ISNUMBER(SEARCH(Classifiers!$E$6,E180)),1,0))+IF(Classifiers!$F$6="",0,IF(ISNUMBER(SEARCH(Classifiers!$F$6,E180)),1,0))+IF(Classifiers!$G$6="",0,IF(ISNUMBER(SEARCH(Classifiers!$G$6,E180)),1,0)))&gt;0,1,0))</f>
        <v/>
      </c>
      <c r="L180" s="12">
        <f>IF(H180&lt;&gt;1,0,IF((IF(Classifiers!$B$7="",0,IF(ISNUMBER(SEARCH(Classifiers!$B$7,E180)),1,0))+IF(Classifiers!$C$7="",0,IF(ISNUMBER(SEARCH(Classifiers!$C$7,E180)),1,0))+IF(Classifiers!$D$7="",0,IF(ISNUMBER(SEARCH(Classifiers!$D$7,E180)),1,0))+IF(Classifiers!$E$7="",0,IF(ISNUMBER(SEARCH(Classifiers!$E$7,E180)),1,0))+IF(Classifiers!$F$7="",0,IF(ISNUMBER(SEARCH(Classifiers!$F$7,E180)),1,0))+IF(Classifiers!$G$7="",0,IF(ISNUMBER(SEARCH(Classifiers!$G$7,E180)),1,0)))&gt;0,1,0))</f>
        <v/>
      </c>
      <c r="M180" s="12">
        <f>IF(H180&lt;&gt;1,0,IF((IF(Classifiers!$B$8="",0,IF(ISNUMBER(SEARCH(Classifiers!$B$8,E180)),1,0))+IF(Classifiers!$C$8="",0,IF(ISNUMBER(SEARCH(Classifiers!$C$8,E180)),1,0))+IF(Classifiers!$D$8="",0,IF(ISNUMBER(SEARCH(Classifiers!$D$8,E180)),1,0))+IF(Classifiers!$E$8="",0,IF(ISNUMBER(SEARCH(Classifiers!$E$8,E180)),1,0))+IF(Classifiers!$F$8="",0,IF(ISNUMBER(SEARCH(Classifiers!$F$8,E180)),1,0))+IF(Classifiers!$G$8="",0,IF(ISNUMBER(SEARCH(Classifiers!$G$8,E180)),1,0)))&gt;0,1,0))</f>
        <v/>
      </c>
      <c r="N180" s="12">
        <f>IF(H180&lt;&gt;1,0,IF((IF(Classifiers!$B$9="",0,IF(ISNUMBER(SEARCH(Classifiers!$B$9,E180)),1,0))+IF(Classifiers!$C$9="",0,IF(ISNUMBER(SEARCH(Classifiers!$C$9,E180)),1,0))+IF(Classifiers!$D$9="",0,IF(ISNUMBER(SEARCH(Classifiers!$D$9,E180)),1,0))+IF(Classifiers!$E$9="",0,IF(ISNUMBER(SEARCH(Classifiers!$E$9,E180)),1,0))+IF(Classifiers!$F$9="",0,IF(ISNUMBER(SEARCH(Classifiers!$F$9,E180)),1,0))+IF(Classifiers!$G$9="",0,IF(ISNUMBER(SEARCH(Classifiers!$G$9,E180)),1,0)))&gt;0,1,0))</f>
        <v/>
      </c>
      <c r="O180" s="12">
        <f>IF(H180&lt;&gt;1,0,IF((IF(Classifiers!$B$10="",0,IF(ISNUMBER(SEARCH(Classifiers!$B$10,E180)),1,0))+IF(Classifiers!$C$10="",0,IF(ISNUMBER(SEARCH(Classifiers!$C$10,E180)),1,0))+IF(Classifiers!$D$10="",0,IF(ISNUMBER(SEARCH(Classifiers!$D$10,E180)),1,0))+IF(Classifiers!$E$10="",0,IF(ISNUMBER(SEARCH(Classifiers!$E$10,E180)),1,0))+IF(Classifiers!$F$10="",0,IF(ISNUMBER(SEARCH(Classifiers!$F$10,E180)),1,0))+IF(Classifiers!$G$10="",0,IF(ISNUMBER(SEARCH(Classifiers!$G$10,E180)),1,0)))&gt;0,1,0))</f>
        <v/>
      </c>
      <c r="P180" s="12">
        <f>IF(H180&lt;&gt;1,0,IF((IF(Classifiers!$B$11="",0,IF(ISNUMBER(SEARCH(Classifiers!$B$11,E180)),1,0))+IF(Classifiers!$C$11="",0,IF(ISNUMBER(SEARCH(Classifiers!$C$11,E180)),1,0))+IF(Classifiers!$D$11="",0,IF(ISNUMBER(SEARCH(Classifiers!$D$11,E180)),1,0))+IF(Classifiers!$E$11="",0,IF(ISNUMBER(SEARCH(Classifiers!$E$11,E180)),1,0))+IF(Classifiers!$F$11="",0,IF(ISNUMBER(SEARCH(Classifiers!$F$11,E180)),1,0))+IF(Classifiers!$G$11="",0,IF(ISNUMBER(SEARCH(Classifiers!$G$11,E180)),1,0)))&gt;0,1,0))</f>
        <v/>
      </c>
      <c r="Q180" s="12">
        <f>IF(H180&lt;&gt;1,0,IF((IF(Classifiers!$B$12="",0,IF(ISNUMBER(SEARCH(Classifiers!$B$12,E180)),1,0))+IF(Classifiers!$C$12="",0,IF(ISNUMBER(SEARCH(Classifiers!$C$12,E180)),1,0))+IF(Classifiers!$D$12="",0,IF(ISNUMBER(SEARCH(Classifiers!$D$12,E180)),1,0))+IF(Classifiers!$E$12="",0,IF(ISNUMBER(SEARCH(Classifiers!$E$12,E180)),1,0))+IF(Classifiers!$F$12="",0,IF(ISNUMBER(SEARCH(Classifiers!$F$12,E180)),1,0))+IF(Classifiers!$G$12="",0,IF(ISNUMBER(SEARCH(Classifiers!$G$12,E180)),1,0)))&gt;0,1,0))</f>
        <v/>
      </c>
      <c r="R180" s="12">
        <f>IF(H180&lt;&gt;1,0,IF((IF(Classifiers!$B$13="",0,IF(ISNUMBER(SEARCH(Classifiers!$B$13,E180)),1,0))+IF(Classifiers!$C$13="",0,IF(ISNUMBER(SEARCH(Classifiers!$C$13,E180)),1,0))+IF(Classifiers!$D$13="",0,IF(ISNUMBER(SEARCH(Classifiers!$D$13,E180)),1,0))+IF(Classifiers!$E$13="",0,IF(ISNUMBER(SEARCH(Classifiers!$E$13,E180)),1,0))+IF(Classifiers!$F$13="",0,IF(ISNUMBER(SEARCH(Classifiers!$F$13,E180)),1,0))+IF(Classifiers!$G$13="",0,IF(ISNUMBER(SEARCH(Classifiers!$G$13,E180)),1,0)))&gt;0,1,0))</f>
        <v/>
      </c>
      <c r="S180" s="12">
        <f>IF(H180&lt;&gt;1,0,IF((IF(Classifiers!$B$14="",0,IF(ISNUMBER(SEARCH(Classifiers!$B$14,E180)),1,0))+IF(Classifiers!$C$14="",0,IF(ISNUMBER(SEARCH(Classifiers!$C$14,E180)),1,0))+IF(Classifiers!$D$14="",0,IF(ISNUMBER(SEARCH(Classifiers!$D$14,E180)),1,0))+IF(Classifiers!$E$14="",0,IF(ISNUMBER(SEARCH(Classifiers!$E$14,E180)),1,0))+IF(Classifiers!$F$14="",0,IF(ISNUMBER(SEARCH(Classifiers!$F$14,E180)),1,0))+IF(Classifiers!$G$14="",0,IF(ISNUMBER(SEARCH(Classifiers!$G$14,E180)),1,0)))&gt;0,1,0))</f>
        <v/>
      </c>
      <c r="T180" s="12">
        <f>IF(H180&lt;&gt;1,0,IF((IF(Classifiers!$B$15="",0,IF(ISNUMBER(SEARCH(Classifiers!$B$15,E180)),1,0))+IF(Classifiers!$C$15="",0,IF(ISNUMBER(SEARCH(Classifiers!$C$15,E180)),1,0))+IF(Classifiers!$D$15="",0,IF(ISNUMBER(SEARCH(Classifiers!$D$15,E180)),1,0))+IF(Classifiers!$E$15="",0,IF(ISNUMBER(SEARCH(Classifiers!$E$15,E180)),1,0))+IF(Classifiers!$F$15="",0,IF(ISNUMBER(SEARCH(Classifiers!$F$15,E180)),1,0))+IF(Classifiers!$G$15="",0,IF(ISNUMBER(SEARCH(Classifiers!$G$15,E180)),1,0)))&gt;0,1,0))</f>
        <v/>
      </c>
      <c r="U180" s="12">
        <f>IF(H180&lt;&gt;1,0,IF((IF(Classifiers!$B$16="",0,IF(ISNUMBER(SEARCH(Classifiers!$B$16,E180)),1,0))+IF(Classifiers!$C$16="",0,IF(ISNUMBER(SEARCH(Classifiers!$C$16,E180)),1,0))+IF(Classifiers!$D$16="",0,IF(ISNUMBER(SEARCH(Classifiers!$D$16,E180)),1,0))+IF(Classifiers!$E$16="",0,IF(ISNUMBER(SEARCH(Classifiers!$E$16,E180)),1,0))+IF(Classifiers!$F$16="",0,IF(ISNUMBER(SEARCH(Classifiers!$F$16,E180)),1,0))+IF(Classifiers!$G$16="",0,IF(ISNUMBER(SEARCH(Classifiers!$G$16,E180)),1,0)))&gt;0,1,0))</f>
        <v/>
      </c>
      <c r="V180" s="12">
        <f>IF(H180&lt;&gt;1,0,IF((IF(Classifiers!$B$17="",0,IF(ISNUMBER(SEARCH(Classifiers!$B$17,E180)),1,0))+IF(Classifiers!$C$17="",0,IF(ISNUMBER(SEARCH(Classifiers!$C$17,E180)),1,0))+IF(Classifiers!$D$17="",0,IF(ISNUMBER(SEARCH(Classifiers!$D$17,E180)),1,0))+IF(Classifiers!$E$17="",0,IF(ISNUMBER(SEARCH(Classifiers!$E$17,E180)),1,0))+IF(Classifiers!$F$17="",0,IF(ISNUMBER(SEARCH(Classifiers!$F$17,E180)),1,0))+IF(Classifiers!$G$17="",0,IF(ISNUMBER(SEARCH(Classifiers!$G$17,E180)),1,0)))&gt;0,1,0))</f>
        <v/>
      </c>
      <c r="W180" s="12">
        <f>IF(H180&lt;&gt;1,0,IF((IF(Classifiers!$B$18="",0,IF(ISNUMBER(SEARCH(Classifiers!$B$18,E180)),1,0))+IF(Classifiers!$C$18="",0,IF(ISNUMBER(SEARCH(Classifiers!$C$18,E180)),1,0))+IF(Classifiers!$D$18="",0,IF(ISNUMBER(SEARCH(Classifiers!$D$18,E180)),1,0))+IF(Classifiers!$E$18="",0,IF(ISNUMBER(SEARCH(Classifiers!$E$18,E180)),1,0))+IF(Classifiers!$F$18="",0,IF(ISNUMBER(SEARCH(Classifiers!$F$18,E180)),1,0))+IF(Classifiers!$G$18="",0,IF(ISNUMBER(SEARCH(Classifiers!$G$18,E180)),1,0)))&gt;0,1,0))</f>
        <v/>
      </c>
    </row>
    <row r="181">
      <c r="A181" s="8" t="n"/>
      <c r="B181" s="11" t="n"/>
      <c r="C181" s="6">
        <f>IF(A181="","",TRIM(RIGHT(SUBSTITUTE(A181,"/",REPT(" ",250)),250)))</f>
        <v/>
      </c>
      <c r="D181" s="6">
        <f>IF(C181="","",IF(ISNUMBER(SEARCH(".",C181)),LOWER("."&amp;TRIM(RIGHT(SUBSTITUTE(C181,".",REPT(" ",250)),250))),""))</f>
        <v/>
      </c>
      <c r="E181" s="6">
        <f>IF(C181="","",TRIM(SUBSTITUTE(SUBSTITUTE(SUBSTITUTE(SUBSTITUTE(SUBSTITUTE(SUBSTITUTE(SUBSTITUTE(SUBSTITUTE(SUBSTITUTE(SUBSTITUTE(SUBSTITUTE(SUBSTITUTE(SUBSTITUTE(SUBSTITUTE(SUBSTITUTE(SUBSTITUTE(SUBSTITUTE(SUBSTITUTE(SUBSTITUTE(SUBSTITUTE(LOWER(LEFT(C181,LEN(C181)-LEN(D181))),"_"," "),"-"," "),"."," "),","," "),"("," "),")"," "),"["," "),"]"," "),"&amp;"," "),"+"," "),"@"," "),"#"," "),"!"," "),"'"," "),"/"," "),":"," "),";"," "),"="," "),"~"," "),"%"," ")))</f>
        <v/>
      </c>
      <c r="F181" s="6">
        <f>IF(C181="","",IF(COUNTIF(Classifiers!$A$23:$A$40,D181)&gt;0,1,0))</f>
        <v/>
      </c>
      <c r="G181" s="6">
        <f>IF(C181="","",IF(COUNTIF(Classifiers!$C$23:$C$30,D181)&gt;0,IF((IF(ISNUMBER(SEARCH(Classifiers!$E$23,E181)),1,0)+IF(ISNUMBER(SEARCH(Classifiers!$E$24,E181)),1,0)+IF(ISNUMBER(SEARCH(Classifiers!$E$25,E181)),1,0)+IF(ISNUMBER(SEARCH(Classifiers!$E$26,E181)),1,0)+IF(ISNUMBER(SEARCH(Classifiers!$E$27,E181)),1,0)+IF(ISNUMBER(SEARCH(Classifiers!$E$28,E181)),1,0)+IF(ISNUMBER(SEARCH(Classifiers!$E$29,E181)),1,0)+IF(ISNUMBER(SEARCH(Classifiers!$E$30,E181)),1,0))&gt;0,1,0),0))</f>
        <v/>
      </c>
      <c r="H181" s="6">
        <f>IF(C181="","",IF(OR(LEFT(C181,1)=".",AND(F181=0,G181=0)),0,1))</f>
        <v/>
      </c>
      <c r="I181" s="6">
        <f>IF(H181&lt;&gt;1,"",IF(SUM(J181:W181)=0,"unclassified",INDEX(Classifiers!$A$5:$A$18,MATCH(1,J181:W181,0),1)))</f>
        <v/>
      </c>
      <c r="J181" s="12">
        <f>IF(H181&lt;&gt;1,0,IF((IF(Classifiers!$B$5="",0,IF(ISNUMBER(SEARCH(Classifiers!$B$5,E181)),1,0))+IF(Classifiers!$C$5="",0,IF(ISNUMBER(SEARCH(Classifiers!$C$5,E181)),1,0))+IF(Classifiers!$D$5="",0,IF(ISNUMBER(SEARCH(Classifiers!$D$5,E181)),1,0))+IF(Classifiers!$E$5="",0,IF(ISNUMBER(SEARCH(Classifiers!$E$5,E181)),1,0))+IF(Classifiers!$F$5="",0,IF(ISNUMBER(SEARCH(Classifiers!$F$5,E181)),1,0))+IF(Classifiers!$G$5="",0,IF(ISNUMBER(SEARCH(Classifiers!$G$5,E181)),1,0)))&gt;0,1,0))</f>
        <v/>
      </c>
      <c r="K181" s="12">
        <f>IF(H181&lt;&gt;1,0,IF((IF(Classifiers!$B$6="",0,IF(ISNUMBER(SEARCH(Classifiers!$B$6,E181)),1,0))+IF(Classifiers!$C$6="",0,IF(ISNUMBER(SEARCH(Classifiers!$C$6,E181)),1,0))+IF(Classifiers!$D$6="",0,IF(ISNUMBER(SEARCH(Classifiers!$D$6,E181)),1,0))+IF(Classifiers!$E$6="",0,IF(ISNUMBER(SEARCH(Classifiers!$E$6,E181)),1,0))+IF(Classifiers!$F$6="",0,IF(ISNUMBER(SEARCH(Classifiers!$F$6,E181)),1,0))+IF(Classifiers!$G$6="",0,IF(ISNUMBER(SEARCH(Classifiers!$G$6,E181)),1,0)))&gt;0,1,0))</f>
        <v/>
      </c>
      <c r="L181" s="12">
        <f>IF(H181&lt;&gt;1,0,IF((IF(Classifiers!$B$7="",0,IF(ISNUMBER(SEARCH(Classifiers!$B$7,E181)),1,0))+IF(Classifiers!$C$7="",0,IF(ISNUMBER(SEARCH(Classifiers!$C$7,E181)),1,0))+IF(Classifiers!$D$7="",0,IF(ISNUMBER(SEARCH(Classifiers!$D$7,E181)),1,0))+IF(Classifiers!$E$7="",0,IF(ISNUMBER(SEARCH(Classifiers!$E$7,E181)),1,0))+IF(Classifiers!$F$7="",0,IF(ISNUMBER(SEARCH(Classifiers!$F$7,E181)),1,0))+IF(Classifiers!$G$7="",0,IF(ISNUMBER(SEARCH(Classifiers!$G$7,E181)),1,0)))&gt;0,1,0))</f>
        <v/>
      </c>
      <c r="M181" s="12">
        <f>IF(H181&lt;&gt;1,0,IF((IF(Classifiers!$B$8="",0,IF(ISNUMBER(SEARCH(Classifiers!$B$8,E181)),1,0))+IF(Classifiers!$C$8="",0,IF(ISNUMBER(SEARCH(Classifiers!$C$8,E181)),1,0))+IF(Classifiers!$D$8="",0,IF(ISNUMBER(SEARCH(Classifiers!$D$8,E181)),1,0))+IF(Classifiers!$E$8="",0,IF(ISNUMBER(SEARCH(Classifiers!$E$8,E181)),1,0))+IF(Classifiers!$F$8="",0,IF(ISNUMBER(SEARCH(Classifiers!$F$8,E181)),1,0))+IF(Classifiers!$G$8="",0,IF(ISNUMBER(SEARCH(Classifiers!$G$8,E181)),1,0)))&gt;0,1,0))</f>
        <v/>
      </c>
      <c r="N181" s="12">
        <f>IF(H181&lt;&gt;1,0,IF((IF(Classifiers!$B$9="",0,IF(ISNUMBER(SEARCH(Classifiers!$B$9,E181)),1,0))+IF(Classifiers!$C$9="",0,IF(ISNUMBER(SEARCH(Classifiers!$C$9,E181)),1,0))+IF(Classifiers!$D$9="",0,IF(ISNUMBER(SEARCH(Classifiers!$D$9,E181)),1,0))+IF(Classifiers!$E$9="",0,IF(ISNUMBER(SEARCH(Classifiers!$E$9,E181)),1,0))+IF(Classifiers!$F$9="",0,IF(ISNUMBER(SEARCH(Classifiers!$F$9,E181)),1,0))+IF(Classifiers!$G$9="",0,IF(ISNUMBER(SEARCH(Classifiers!$G$9,E181)),1,0)))&gt;0,1,0))</f>
        <v/>
      </c>
      <c r="O181" s="12">
        <f>IF(H181&lt;&gt;1,0,IF((IF(Classifiers!$B$10="",0,IF(ISNUMBER(SEARCH(Classifiers!$B$10,E181)),1,0))+IF(Classifiers!$C$10="",0,IF(ISNUMBER(SEARCH(Classifiers!$C$10,E181)),1,0))+IF(Classifiers!$D$10="",0,IF(ISNUMBER(SEARCH(Classifiers!$D$10,E181)),1,0))+IF(Classifiers!$E$10="",0,IF(ISNUMBER(SEARCH(Classifiers!$E$10,E181)),1,0))+IF(Classifiers!$F$10="",0,IF(ISNUMBER(SEARCH(Classifiers!$F$10,E181)),1,0))+IF(Classifiers!$G$10="",0,IF(ISNUMBER(SEARCH(Classifiers!$G$10,E181)),1,0)))&gt;0,1,0))</f>
        <v/>
      </c>
      <c r="P181" s="12">
        <f>IF(H181&lt;&gt;1,0,IF((IF(Classifiers!$B$11="",0,IF(ISNUMBER(SEARCH(Classifiers!$B$11,E181)),1,0))+IF(Classifiers!$C$11="",0,IF(ISNUMBER(SEARCH(Classifiers!$C$11,E181)),1,0))+IF(Classifiers!$D$11="",0,IF(ISNUMBER(SEARCH(Classifiers!$D$11,E181)),1,0))+IF(Classifiers!$E$11="",0,IF(ISNUMBER(SEARCH(Classifiers!$E$11,E181)),1,0))+IF(Classifiers!$F$11="",0,IF(ISNUMBER(SEARCH(Classifiers!$F$11,E181)),1,0))+IF(Classifiers!$G$11="",0,IF(ISNUMBER(SEARCH(Classifiers!$G$11,E181)),1,0)))&gt;0,1,0))</f>
        <v/>
      </c>
      <c r="Q181" s="12">
        <f>IF(H181&lt;&gt;1,0,IF((IF(Classifiers!$B$12="",0,IF(ISNUMBER(SEARCH(Classifiers!$B$12,E181)),1,0))+IF(Classifiers!$C$12="",0,IF(ISNUMBER(SEARCH(Classifiers!$C$12,E181)),1,0))+IF(Classifiers!$D$12="",0,IF(ISNUMBER(SEARCH(Classifiers!$D$12,E181)),1,0))+IF(Classifiers!$E$12="",0,IF(ISNUMBER(SEARCH(Classifiers!$E$12,E181)),1,0))+IF(Classifiers!$F$12="",0,IF(ISNUMBER(SEARCH(Classifiers!$F$12,E181)),1,0))+IF(Classifiers!$G$12="",0,IF(ISNUMBER(SEARCH(Classifiers!$G$12,E181)),1,0)))&gt;0,1,0))</f>
        <v/>
      </c>
      <c r="R181" s="12">
        <f>IF(H181&lt;&gt;1,0,IF((IF(Classifiers!$B$13="",0,IF(ISNUMBER(SEARCH(Classifiers!$B$13,E181)),1,0))+IF(Classifiers!$C$13="",0,IF(ISNUMBER(SEARCH(Classifiers!$C$13,E181)),1,0))+IF(Classifiers!$D$13="",0,IF(ISNUMBER(SEARCH(Classifiers!$D$13,E181)),1,0))+IF(Classifiers!$E$13="",0,IF(ISNUMBER(SEARCH(Classifiers!$E$13,E181)),1,0))+IF(Classifiers!$F$13="",0,IF(ISNUMBER(SEARCH(Classifiers!$F$13,E181)),1,0))+IF(Classifiers!$G$13="",0,IF(ISNUMBER(SEARCH(Classifiers!$G$13,E181)),1,0)))&gt;0,1,0))</f>
        <v/>
      </c>
      <c r="S181" s="12">
        <f>IF(H181&lt;&gt;1,0,IF((IF(Classifiers!$B$14="",0,IF(ISNUMBER(SEARCH(Classifiers!$B$14,E181)),1,0))+IF(Classifiers!$C$14="",0,IF(ISNUMBER(SEARCH(Classifiers!$C$14,E181)),1,0))+IF(Classifiers!$D$14="",0,IF(ISNUMBER(SEARCH(Classifiers!$D$14,E181)),1,0))+IF(Classifiers!$E$14="",0,IF(ISNUMBER(SEARCH(Classifiers!$E$14,E181)),1,0))+IF(Classifiers!$F$14="",0,IF(ISNUMBER(SEARCH(Classifiers!$F$14,E181)),1,0))+IF(Classifiers!$G$14="",0,IF(ISNUMBER(SEARCH(Classifiers!$G$14,E181)),1,0)))&gt;0,1,0))</f>
        <v/>
      </c>
      <c r="T181" s="12">
        <f>IF(H181&lt;&gt;1,0,IF((IF(Classifiers!$B$15="",0,IF(ISNUMBER(SEARCH(Classifiers!$B$15,E181)),1,0))+IF(Classifiers!$C$15="",0,IF(ISNUMBER(SEARCH(Classifiers!$C$15,E181)),1,0))+IF(Classifiers!$D$15="",0,IF(ISNUMBER(SEARCH(Classifiers!$D$15,E181)),1,0))+IF(Classifiers!$E$15="",0,IF(ISNUMBER(SEARCH(Classifiers!$E$15,E181)),1,0))+IF(Classifiers!$F$15="",0,IF(ISNUMBER(SEARCH(Classifiers!$F$15,E181)),1,0))+IF(Classifiers!$G$15="",0,IF(ISNUMBER(SEARCH(Classifiers!$G$15,E181)),1,0)))&gt;0,1,0))</f>
        <v/>
      </c>
      <c r="U181" s="12">
        <f>IF(H181&lt;&gt;1,0,IF((IF(Classifiers!$B$16="",0,IF(ISNUMBER(SEARCH(Classifiers!$B$16,E181)),1,0))+IF(Classifiers!$C$16="",0,IF(ISNUMBER(SEARCH(Classifiers!$C$16,E181)),1,0))+IF(Classifiers!$D$16="",0,IF(ISNUMBER(SEARCH(Classifiers!$D$16,E181)),1,0))+IF(Classifiers!$E$16="",0,IF(ISNUMBER(SEARCH(Classifiers!$E$16,E181)),1,0))+IF(Classifiers!$F$16="",0,IF(ISNUMBER(SEARCH(Classifiers!$F$16,E181)),1,0))+IF(Classifiers!$G$16="",0,IF(ISNUMBER(SEARCH(Classifiers!$G$16,E181)),1,0)))&gt;0,1,0))</f>
        <v/>
      </c>
      <c r="V181" s="12">
        <f>IF(H181&lt;&gt;1,0,IF((IF(Classifiers!$B$17="",0,IF(ISNUMBER(SEARCH(Classifiers!$B$17,E181)),1,0))+IF(Classifiers!$C$17="",0,IF(ISNUMBER(SEARCH(Classifiers!$C$17,E181)),1,0))+IF(Classifiers!$D$17="",0,IF(ISNUMBER(SEARCH(Classifiers!$D$17,E181)),1,0))+IF(Classifiers!$E$17="",0,IF(ISNUMBER(SEARCH(Classifiers!$E$17,E181)),1,0))+IF(Classifiers!$F$17="",0,IF(ISNUMBER(SEARCH(Classifiers!$F$17,E181)),1,0))+IF(Classifiers!$G$17="",0,IF(ISNUMBER(SEARCH(Classifiers!$G$17,E181)),1,0)))&gt;0,1,0))</f>
        <v/>
      </c>
      <c r="W181" s="12">
        <f>IF(H181&lt;&gt;1,0,IF((IF(Classifiers!$B$18="",0,IF(ISNUMBER(SEARCH(Classifiers!$B$18,E181)),1,0))+IF(Classifiers!$C$18="",0,IF(ISNUMBER(SEARCH(Classifiers!$C$18,E181)),1,0))+IF(Classifiers!$D$18="",0,IF(ISNUMBER(SEARCH(Classifiers!$D$18,E181)),1,0))+IF(Classifiers!$E$18="",0,IF(ISNUMBER(SEARCH(Classifiers!$E$18,E181)),1,0))+IF(Classifiers!$F$18="",0,IF(ISNUMBER(SEARCH(Classifiers!$F$18,E181)),1,0))+IF(Classifiers!$G$18="",0,IF(ISNUMBER(SEARCH(Classifiers!$G$18,E181)),1,0)))&gt;0,1,0))</f>
        <v/>
      </c>
    </row>
    <row r="182">
      <c r="A182" s="8" t="n"/>
      <c r="B182" s="11" t="n"/>
      <c r="C182" s="6">
        <f>IF(A182="","",TRIM(RIGHT(SUBSTITUTE(A182,"/",REPT(" ",250)),250)))</f>
        <v/>
      </c>
      <c r="D182" s="6">
        <f>IF(C182="","",IF(ISNUMBER(SEARCH(".",C182)),LOWER("."&amp;TRIM(RIGHT(SUBSTITUTE(C182,".",REPT(" ",250)),250))),""))</f>
        <v/>
      </c>
      <c r="E182" s="6">
        <f>IF(C182="","",TRIM(SUBSTITUTE(SUBSTITUTE(SUBSTITUTE(SUBSTITUTE(SUBSTITUTE(SUBSTITUTE(SUBSTITUTE(SUBSTITUTE(SUBSTITUTE(SUBSTITUTE(SUBSTITUTE(SUBSTITUTE(SUBSTITUTE(SUBSTITUTE(SUBSTITUTE(SUBSTITUTE(SUBSTITUTE(SUBSTITUTE(SUBSTITUTE(SUBSTITUTE(LOWER(LEFT(C182,LEN(C182)-LEN(D182))),"_"," "),"-"," "),"."," "),","," "),"("," "),")"," "),"["," "),"]"," "),"&amp;"," "),"+"," "),"@"," "),"#"," "),"!"," "),"'"," "),"/"," "),":"," "),";"," "),"="," "),"~"," "),"%"," ")))</f>
        <v/>
      </c>
      <c r="F182" s="6">
        <f>IF(C182="","",IF(COUNTIF(Classifiers!$A$23:$A$40,D182)&gt;0,1,0))</f>
        <v/>
      </c>
      <c r="G182" s="6">
        <f>IF(C182="","",IF(COUNTIF(Classifiers!$C$23:$C$30,D182)&gt;0,IF((IF(ISNUMBER(SEARCH(Classifiers!$E$23,E182)),1,0)+IF(ISNUMBER(SEARCH(Classifiers!$E$24,E182)),1,0)+IF(ISNUMBER(SEARCH(Classifiers!$E$25,E182)),1,0)+IF(ISNUMBER(SEARCH(Classifiers!$E$26,E182)),1,0)+IF(ISNUMBER(SEARCH(Classifiers!$E$27,E182)),1,0)+IF(ISNUMBER(SEARCH(Classifiers!$E$28,E182)),1,0)+IF(ISNUMBER(SEARCH(Classifiers!$E$29,E182)),1,0)+IF(ISNUMBER(SEARCH(Classifiers!$E$30,E182)),1,0))&gt;0,1,0),0))</f>
        <v/>
      </c>
      <c r="H182" s="6">
        <f>IF(C182="","",IF(OR(LEFT(C182,1)=".",AND(F182=0,G182=0)),0,1))</f>
        <v/>
      </c>
      <c r="I182" s="6">
        <f>IF(H182&lt;&gt;1,"",IF(SUM(J182:W182)=0,"unclassified",INDEX(Classifiers!$A$5:$A$18,MATCH(1,J182:W182,0),1)))</f>
        <v/>
      </c>
      <c r="J182" s="12">
        <f>IF(H182&lt;&gt;1,0,IF((IF(Classifiers!$B$5="",0,IF(ISNUMBER(SEARCH(Classifiers!$B$5,E182)),1,0))+IF(Classifiers!$C$5="",0,IF(ISNUMBER(SEARCH(Classifiers!$C$5,E182)),1,0))+IF(Classifiers!$D$5="",0,IF(ISNUMBER(SEARCH(Classifiers!$D$5,E182)),1,0))+IF(Classifiers!$E$5="",0,IF(ISNUMBER(SEARCH(Classifiers!$E$5,E182)),1,0))+IF(Classifiers!$F$5="",0,IF(ISNUMBER(SEARCH(Classifiers!$F$5,E182)),1,0))+IF(Classifiers!$G$5="",0,IF(ISNUMBER(SEARCH(Classifiers!$G$5,E182)),1,0)))&gt;0,1,0))</f>
        <v/>
      </c>
      <c r="K182" s="12">
        <f>IF(H182&lt;&gt;1,0,IF((IF(Classifiers!$B$6="",0,IF(ISNUMBER(SEARCH(Classifiers!$B$6,E182)),1,0))+IF(Classifiers!$C$6="",0,IF(ISNUMBER(SEARCH(Classifiers!$C$6,E182)),1,0))+IF(Classifiers!$D$6="",0,IF(ISNUMBER(SEARCH(Classifiers!$D$6,E182)),1,0))+IF(Classifiers!$E$6="",0,IF(ISNUMBER(SEARCH(Classifiers!$E$6,E182)),1,0))+IF(Classifiers!$F$6="",0,IF(ISNUMBER(SEARCH(Classifiers!$F$6,E182)),1,0))+IF(Classifiers!$G$6="",0,IF(ISNUMBER(SEARCH(Classifiers!$G$6,E182)),1,0)))&gt;0,1,0))</f>
        <v/>
      </c>
      <c r="L182" s="12">
        <f>IF(H182&lt;&gt;1,0,IF((IF(Classifiers!$B$7="",0,IF(ISNUMBER(SEARCH(Classifiers!$B$7,E182)),1,0))+IF(Classifiers!$C$7="",0,IF(ISNUMBER(SEARCH(Classifiers!$C$7,E182)),1,0))+IF(Classifiers!$D$7="",0,IF(ISNUMBER(SEARCH(Classifiers!$D$7,E182)),1,0))+IF(Classifiers!$E$7="",0,IF(ISNUMBER(SEARCH(Classifiers!$E$7,E182)),1,0))+IF(Classifiers!$F$7="",0,IF(ISNUMBER(SEARCH(Classifiers!$F$7,E182)),1,0))+IF(Classifiers!$G$7="",0,IF(ISNUMBER(SEARCH(Classifiers!$G$7,E182)),1,0)))&gt;0,1,0))</f>
        <v/>
      </c>
      <c r="M182" s="12">
        <f>IF(H182&lt;&gt;1,0,IF((IF(Classifiers!$B$8="",0,IF(ISNUMBER(SEARCH(Classifiers!$B$8,E182)),1,0))+IF(Classifiers!$C$8="",0,IF(ISNUMBER(SEARCH(Classifiers!$C$8,E182)),1,0))+IF(Classifiers!$D$8="",0,IF(ISNUMBER(SEARCH(Classifiers!$D$8,E182)),1,0))+IF(Classifiers!$E$8="",0,IF(ISNUMBER(SEARCH(Classifiers!$E$8,E182)),1,0))+IF(Classifiers!$F$8="",0,IF(ISNUMBER(SEARCH(Classifiers!$F$8,E182)),1,0))+IF(Classifiers!$G$8="",0,IF(ISNUMBER(SEARCH(Classifiers!$G$8,E182)),1,0)))&gt;0,1,0))</f>
        <v/>
      </c>
      <c r="N182" s="12">
        <f>IF(H182&lt;&gt;1,0,IF((IF(Classifiers!$B$9="",0,IF(ISNUMBER(SEARCH(Classifiers!$B$9,E182)),1,0))+IF(Classifiers!$C$9="",0,IF(ISNUMBER(SEARCH(Classifiers!$C$9,E182)),1,0))+IF(Classifiers!$D$9="",0,IF(ISNUMBER(SEARCH(Classifiers!$D$9,E182)),1,0))+IF(Classifiers!$E$9="",0,IF(ISNUMBER(SEARCH(Classifiers!$E$9,E182)),1,0))+IF(Classifiers!$F$9="",0,IF(ISNUMBER(SEARCH(Classifiers!$F$9,E182)),1,0))+IF(Classifiers!$G$9="",0,IF(ISNUMBER(SEARCH(Classifiers!$G$9,E182)),1,0)))&gt;0,1,0))</f>
        <v/>
      </c>
      <c r="O182" s="12">
        <f>IF(H182&lt;&gt;1,0,IF((IF(Classifiers!$B$10="",0,IF(ISNUMBER(SEARCH(Classifiers!$B$10,E182)),1,0))+IF(Classifiers!$C$10="",0,IF(ISNUMBER(SEARCH(Classifiers!$C$10,E182)),1,0))+IF(Classifiers!$D$10="",0,IF(ISNUMBER(SEARCH(Classifiers!$D$10,E182)),1,0))+IF(Classifiers!$E$10="",0,IF(ISNUMBER(SEARCH(Classifiers!$E$10,E182)),1,0))+IF(Classifiers!$F$10="",0,IF(ISNUMBER(SEARCH(Classifiers!$F$10,E182)),1,0))+IF(Classifiers!$G$10="",0,IF(ISNUMBER(SEARCH(Classifiers!$G$10,E182)),1,0)))&gt;0,1,0))</f>
        <v/>
      </c>
      <c r="P182" s="12">
        <f>IF(H182&lt;&gt;1,0,IF((IF(Classifiers!$B$11="",0,IF(ISNUMBER(SEARCH(Classifiers!$B$11,E182)),1,0))+IF(Classifiers!$C$11="",0,IF(ISNUMBER(SEARCH(Classifiers!$C$11,E182)),1,0))+IF(Classifiers!$D$11="",0,IF(ISNUMBER(SEARCH(Classifiers!$D$11,E182)),1,0))+IF(Classifiers!$E$11="",0,IF(ISNUMBER(SEARCH(Classifiers!$E$11,E182)),1,0))+IF(Classifiers!$F$11="",0,IF(ISNUMBER(SEARCH(Classifiers!$F$11,E182)),1,0))+IF(Classifiers!$G$11="",0,IF(ISNUMBER(SEARCH(Classifiers!$G$11,E182)),1,0)))&gt;0,1,0))</f>
        <v/>
      </c>
      <c r="Q182" s="12">
        <f>IF(H182&lt;&gt;1,0,IF((IF(Classifiers!$B$12="",0,IF(ISNUMBER(SEARCH(Classifiers!$B$12,E182)),1,0))+IF(Classifiers!$C$12="",0,IF(ISNUMBER(SEARCH(Classifiers!$C$12,E182)),1,0))+IF(Classifiers!$D$12="",0,IF(ISNUMBER(SEARCH(Classifiers!$D$12,E182)),1,0))+IF(Classifiers!$E$12="",0,IF(ISNUMBER(SEARCH(Classifiers!$E$12,E182)),1,0))+IF(Classifiers!$F$12="",0,IF(ISNUMBER(SEARCH(Classifiers!$F$12,E182)),1,0))+IF(Classifiers!$G$12="",0,IF(ISNUMBER(SEARCH(Classifiers!$G$12,E182)),1,0)))&gt;0,1,0))</f>
        <v/>
      </c>
      <c r="R182" s="12">
        <f>IF(H182&lt;&gt;1,0,IF((IF(Classifiers!$B$13="",0,IF(ISNUMBER(SEARCH(Classifiers!$B$13,E182)),1,0))+IF(Classifiers!$C$13="",0,IF(ISNUMBER(SEARCH(Classifiers!$C$13,E182)),1,0))+IF(Classifiers!$D$13="",0,IF(ISNUMBER(SEARCH(Classifiers!$D$13,E182)),1,0))+IF(Classifiers!$E$13="",0,IF(ISNUMBER(SEARCH(Classifiers!$E$13,E182)),1,0))+IF(Classifiers!$F$13="",0,IF(ISNUMBER(SEARCH(Classifiers!$F$13,E182)),1,0))+IF(Classifiers!$G$13="",0,IF(ISNUMBER(SEARCH(Classifiers!$G$13,E182)),1,0)))&gt;0,1,0))</f>
        <v/>
      </c>
      <c r="S182" s="12">
        <f>IF(H182&lt;&gt;1,0,IF((IF(Classifiers!$B$14="",0,IF(ISNUMBER(SEARCH(Classifiers!$B$14,E182)),1,0))+IF(Classifiers!$C$14="",0,IF(ISNUMBER(SEARCH(Classifiers!$C$14,E182)),1,0))+IF(Classifiers!$D$14="",0,IF(ISNUMBER(SEARCH(Classifiers!$D$14,E182)),1,0))+IF(Classifiers!$E$14="",0,IF(ISNUMBER(SEARCH(Classifiers!$E$14,E182)),1,0))+IF(Classifiers!$F$14="",0,IF(ISNUMBER(SEARCH(Classifiers!$F$14,E182)),1,0))+IF(Classifiers!$G$14="",0,IF(ISNUMBER(SEARCH(Classifiers!$G$14,E182)),1,0)))&gt;0,1,0))</f>
        <v/>
      </c>
      <c r="T182" s="12">
        <f>IF(H182&lt;&gt;1,0,IF((IF(Classifiers!$B$15="",0,IF(ISNUMBER(SEARCH(Classifiers!$B$15,E182)),1,0))+IF(Classifiers!$C$15="",0,IF(ISNUMBER(SEARCH(Classifiers!$C$15,E182)),1,0))+IF(Classifiers!$D$15="",0,IF(ISNUMBER(SEARCH(Classifiers!$D$15,E182)),1,0))+IF(Classifiers!$E$15="",0,IF(ISNUMBER(SEARCH(Classifiers!$E$15,E182)),1,0))+IF(Classifiers!$F$15="",0,IF(ISNUMBER(SEARCH(Classifiers!$F$15,E182)),1,0))+IF(Classifiers!$G$15="",0,IF(ISNUMBER(SEARCH(Classifiers!$G$15,E182)),1,0)))&gt;0,1,0))</f>
        <v/>
      </c>
      <c r="U182" s="12">
        <f>IF(H182&lt;&gt;1,0,IF((IF(Classifiers!$B$16="",0,IF(ISNUMBER(SEARCH(Classifiers!$B$16,E182)),1,0))+IF(Classifiers!$C$16="",0,IF(ISNUMBER(SEARCH(Classifiers!$C$16,E182)),1,0))+IF(Classifiers!$D$16="",0,IF(ISNUMBER(SEARCH(Classifiers!$D$16,E182)),1,0))+IF(Classifiers!$E$16="",0,IF(ISNUMBER(SEARCH(Classifiers!$E$16,E182)),1,0))+IF(Classifiers!$F$16="",0,IF(ISNUMBER(SEARCH(Classifiers!$F$16,E182)),1,0))+IF(Classifiers!$G$16="",0,IF(ISNUMBER(SEARCH(Classifiers!$G$16,E182)),1,0)))&gt;0,1,0))</f>
        <v/>
      </c>
      <c r="V182" s="12">
        <f>IF(H182&lt;&gt;1,0,IF((IF(Classifiers!$B$17="",0,IF(ISNUMBER(SEARCH(Classifiers!$B$17,E182)),1,0))+IF(Classifiers!$C$17="",0,IF(ISNUMBER(SEARCH(Classifiers!$C$17,E182)),1,0))+IF(Classifiers!$D$17="",0,IF(ISNUMBER(SEARCH(Classifiers!$D$17,E182)),1,0))+IF(Classifiers!$E$17="",0,IF(ISNUMBER(SEARCH(Classifiers!$E$17,E182)),1,0))+IF(Classifiers!$F$17="",0,IF(ISNUMBER(SEARCH(Classifiers!$F$17,E182)),1,0))+IF(Classifiers!$G$17="",0,IF(ISNUMBER(SEARCH(Classifiers!$G$17,E182)),1,0)))&gt;0,1,0))</f>
        <v/>
      </c>
      <c r="W182" s="12">
        <f>IF(H182&lt;&gt;1,0,IF((IF(Classifiers!$B$18="",0,IF(ISNUMBER(SEARCH(Classifiers!$B$18,E182)),1,0))+IF(Classifiers!$C$18="",0,IF(ISNUMBER(SEARCH(Classifiers!$C$18,E182)),1,0))+IF(Classifiers!$D$18="",0,IF(ISNUMBER(SEARCH(Classifiers!$D$18,E182)),1,0))+IF(Classifiers!$E$18="",0,IF(ISNUMBER(SEARCH(Classifiers!$E$18,E182)),1,0))+IF(Classifiers!$F$18="",0,IF(ISNUMBER(SEARCH(Classifiers!$F$18,E182)),1,0))+IF(Classifiers!$G$18="",0,IF(ISNUMBER(SEARCH(Classifiers!$G$18,E182)),1,0)))&gt;0,1,0))</f>
        <v/>
      </c>
    </row>
    <row r="183">
      <c r="A183" s="8" t="n"/>
      <c r="B183" s="11" t="n"/>
      <c r="C183" s="6">
        <f>IF(A183="","",TRIM(RIGHT(SUBSTITUTE(A183,"/",REPT(" ",250)),250)))</f>
        <v/>
      </c>
      <c r="D183" s="6">
        <f>IF(C183="","",IF(ISNUMBER(SEARCH(".",C183)),LOWER("."&amp;TRIM(RIGHT(SUBSTITUTE(C183,".",REPT(" ",250)),250))),""))</f>
        <v/>
      </c>
      <c r="E183" s="6">
        <f>IF(C183="","",TRIM(SUBSTITUTE(SUBSTITUTE(SUBSTITUTE(SUBSTITUTE(SUBSTITUTE(SUBSTITUTE(SUBSTITUTE(SUBSTITUTE(SUBSTITUTE(SUBSTITUTE(SUBSTITUTE(SUBSTITUTE(SUBSTITUTE(SUBSTITUTE(SUBSTITUTE(SUBSTITUTE(SUBSTITUTE(SUBSTITUTE(SUBSTITUTE(SUBSTITUTE(LOWER(LEFT(C183,LEN(C183)-LEN(D183))),"_"," "),"-"," "),"."," "),","," "),"("," "),")"," "),"["," "),"]"," "),"&amp;"," "),"+"," "),"@"," "),"#"," "),"!"," "),"'"," "),"/"," "),":"," "),";"," "),"="," "),"~"," "),"%"," ")))</f>
        <v/>
      </c>
      <c r="F183" s="6">
        <f>IF(C183="","",IF(COUNTIF(Classifiers!$A$23:$A$40,D183)&gt;0,1,0))</f>
        <v/>
      </c>
      <c r="G183" s="6">
        <f>IF(C183="","",IF(COUNTIF(Classifiers!$C$23:$C$30,D183)&gt;0,IF((IF(ISNUMBER(SEARCH(Classifiers!$E$23,E183)),1,0)+IF(ISNUMBER(SEARCH(Classifiers!$E$24,E183)),1,0)+IF(ISNUMBER(SEARCH(Classifiers!$E$25,E183)),1,0)+IF(ISNUMBER(SEARCH(Classifiers!$E$26,E183)),1,0)+IF(ISNUMBER(SEARCH(Classifiers!$E$27,E183)),1,0)+IF(ISNUMBER(SEARCH(Classifiers!$E$28,E183)),1,0)+IF(ISNUMBER(SEARCH(Classifiers!$E$29,E183)),1,0)+IF(ISNUMBER(SEARCH(Classifiers!$E$30,E183)),1,0))&gt;0,1,0),0))</f>
        <v/>
      </c>
      <c r="H183" s="6">
        <f>IF(C183="","",IF(OR(LEFT(C183,1)=".",AND(F183=0,G183=0)),0,1))</f>
        <v/>
      </c>
      <c r="I183" s="6">
        <f>IF(H183&lt;&gt;1,"",IF(SUM(J183:W183)=0,"unclassified",INDEX(Classifiers!$A$5:$A$18,MATCH(1,J183:W183,0),1)))</f>
        <v/>
      </c>
      <c r="J183" s="12">
        <f>IF(H183&lt;&gt;1,0,IF((IF(Classifiers!$B$5="",0,IF(ISNUMBER(SEARCH(Classifiers!$B$5,E183)),1,0))+IF(Classifiers!$C$5="",0,IF(ISNUMBER(SEARCH(Classifiers!$C$5,E183)),1,0))+IF(Classifiers!$D$5="",0,IF(ISNUMBER(SEARCH(Classifiers!$D$5,E183)),1,0))+IF(Classifiers!$E$5="",0,IF(ISNUMBER(SEARCH(Classifiers!$E$5,E183)),1,0))+IF(Classifiers!$F$5="",0,IF(ISNUMBER(SEARCH(Classifiers!$F$5,E183)),1,0))+IF(Classifiers!$G$5="",0,IF(ISNUMBER(SEARCH(Classifiers!$G$5,E183)),1,0)))&gt;0,1,0))</f>
        <v/>
      </c>
      <c r="K183" s="12">
        <f>IF(H183&lt;&gt;1,0,IF((IF(Classifiers!$B$6="",0,IF(ISNUMBER(SEARCH(Classifiers!$B$6,E183)),1,0))+IF(Classifiers!$C$6="",0,IF(ISNUMBER(SEARCH(Classifiers!$C$6,E183)),1,0))+IF(Classifiers!$D$6="",0,IF(ISNUMBER(SEARCH(Classifiers!$D$6,E183)),1,0))+IF(Classifiers!$E$6="",0,IF(ISNUMBER(SEARCH(Classifiers!$E$6,E183)),1,0))+IF(Classifiers!$F$6="",0,IF(ISNUMBER(SEARCH(Classifiers!$F$6,E183)),1,0))+IF(Classifiers!$G$6="",0,IF(ISNUMBER(SEARCH(Classifiers!$G$6,E183)),1,0)))&gt;0,1,0))</f>
        <v/>
      </c>
      <c r="L183" s="12">
        <f>IF(H183&lt;&gt;1,0,IF((IF(Classifiers!$B$7="",0,IF(ISNUMBER(SEARCH(Classifiers!$B$7,E183)),1,0))+IF(Classifiers!$C$7="",0,IF(ISNUMBER(SEARCH(Classifiers!$C$7,E183)),1,0))+IF(Classifiers!$D$7="",0,IF(ISNUMBER(SEARCH(Classifiers!$D$7,E183)),1,0))+IF(Classifiers!$E$7="",0,IF(ISNUMBER(SEARCH(Classifiers!$E$7,E183)),1,0))+IF(Classifiers!$F$7="",0,IF(ISNUMBER(SEARCH(Classifiers!$F$7,E183)),1,0))+IF(Classifiers!$G$7="",0,IF(ISNUMBER(SEARCH(Classifiers!$G$7,E183)),1,0)))&gt;0,1,0))</f>
        <v/>
      </c>
      <c r="M183" s="12">
        <f>IF(H183&lt;&gt;1,0,IF((IF(Classifiers!$B$8="",0,IF(ISNUMBER(SEARCH(Classifiers!$B$8,E183)),1,0))+IF(Classifiers!$C$8="",0,IF(ISNUMBER(SEARCH(Classifiers!$C$8,E183)),1,0))+IF(Classifiers!$D$8="",0,IF(ISNUMBER(SEARCH(Classifiers!$D$8,E183)),1,0))+IF(Classifiers!$E$8="",0,IF(ISNUMBER(SEARCH(Classifiers!$E$8,E183)),1,0))+IF(Classifiers!$F$8="",0,IF(ISNUMBER(SEARCH(Classifiers!$F$8,E183)),1,0))+IF(Classifiers!$G$8="",0,IF(ISNUMBER(SEARCH(Classifiers!$G$8,E183)),1,0)))&gt;0,1,0))</f>
        <v/>
      </c>
      <c r="N183" s="12">
        <f>IF(H183&lt;&gt;1,0,IF((IF(Classifiers!$B$9="",0,IF(ISNUMBER(SEARCH(Classifiers!$B$9,E183)),1,0))+IF(Classifiers!$C$9="",0,IF(ISNUMBER(SEARCH(Classifiers!$C$9,E183)),1,0))+IF(Classifiers!$D$9="",0,IF(ISNUMBER(SEARCH(Classifiers!$D$9,E183)),1,0))+IF(Classifiers!$E$9="",0,IF(ISNUMBER(SEARCH(Classifiers!$E$9,E183)),1,0))+IF(Classifiers!$F$9="",0,IF(ISNUMBER(SEARCH(Classifiers!$F$9,E183)),1,0))+IF(Classifiers!$G$9="",0,IF(ISNUMBER(SEARCH(Classifiers!$G$9,E183)),1,0)))&gt;0,1,0))</f>
        <v/>
      </c>
      <c r="O183" s="12">
        <f>IF(H183&lt;&gt;1,0,IF((IF(Classifiers!$B$10="",0,IF(ISNUMBER(SEARCH(Classifiers!$B$10,E183)),1,0))+IF(Classifiers!$C$10="",0,IF(ISNUMBER(SEARCH(Classifiers!$C$10,E183)),1,0))+IF(Classifiers!$D$10="",0,IF(ISNUMBER(SEARCH(Classifiers!$D$10,E183)),1,0))+IF(Classifiers!$E$10="",0,IF(ISNUMBER(SEARCH(Classifiers!$E$10,E183)),1,0))+IF(Classifiers!$F$10="",0,IF(ISNUMBER(SEARCH(Classifiers!$F$10,E183)),1,0))+IF(Classifiers!$G$10="",0,IF(ISNUMBER(SEARCH(Classifiers!$G$10,E183)),1,0)))&gt;0,1,0))</f>
        <v/>
      </c>
      <c r="P183" s="12">
        <f>IF(H183&lt;&gt;1,0,IF((IF(Classifiers!$B$11="",0,IF(ISNUMBER(SEARCH(Classifiers!$B$11,E183)),1,0))+IF(Classifiers!$C$11="",0,IF(ISNUMBER(SEARCH(Classifiers!$C$11,E183)),1,0))+IF(Classifiers!$D$11="",0,IF(ISNUMBER(SEARCH(Classifiers!$D$11,E183)),1,0))+IF(Classifiers!$E$11="",0,IF(ISNUMBER(SEARCH(Classifiers!$E$11,E183)),1,0))+IF(Classifiers!$F$11="",0,IF(ISNUMBER(SEARCH(Classifiers!$F$11,E183)),1,0))+IF(Classifiers!$G$11="",0,IF(ISNUMBER(SEARCH(Classifiers!$G$11,E183)),1,0)))&gt;0,1,0))</f>
        <v/>
      </c>
      <c r="Q183" s="12">
        <f>IF(H183&lt;&gt;1,0,IF((IF(Classifiers!$B$12="",0,IF(ISNUMBER(SEARCH(Classifiers!$B$12,E183)),1,0))+IF(Classifiers!$C$12="",0,IF(ISNUMBER(SEARCH(Classifiers!$C$12,E183)),1,0))+IF(Classifiers!$D$12="",0,IF(ISNUMBER(SEARCH(Classifiers!$D$12,E183)),1,0))+IF(Classifiers!$E$12="",0,IF(ISNUMBER(SEARCH(Classifiers!$E$12,E183)),1,0))+IF(Classifiers!$F$12="",0,IF(ISNUMBER(SEARCH(Classifiers!$F$12,E183)),1,0))+IF(Classifiers!$G$12="",0,IF(ISNUMBER(SEARCH(Classifiers!$G$12,E183)),1,0)))&gt;0,1,0))</f>
        <v/>
      </c>
      <c r="R183" s="12">
        <f>IF(H183&lt;&gt;1,0,IF((IF(Classifiers!$B$13="",0,IF(ISNUMBER(SEARCH(Classifiers!$B$13,E183)),1,0))+IF(Classifiers!$C$13="",0,IF(ISNUMBER(SEARCH(Classifiers!$C$13,E183)),1,0))+IF(Classifiers!$D$13="",0,IF(ISNUMBER(SEARCH(Classifiers!$D$13,E183)),1,0))+IF(Classifiers!$E$13="",0,IF(ISNUMBER(SEARCH(Classifiers!$E$13,E183)),1,0))+IF(Classifiers!$F$13="",0,IF(ISNUMBER(SEARCH(Classifiers!$F$13,E183)),1,0))+IF(Classifiers!$G$13="",0,IF(ISNUMBER(SEARCH(Classifiers!$G$13,E183)),1,0)))&gt;0,1,0))</f>
        <v/>
      </c>
      <c r="S183" s="12">
        <f>IF(H183&lt;&gt;1,0,IF((IF(Classifiers!$B$14="",0,IF(ISNUMBER(SEARCH(Classifiers!$B$14,E183)),1,0))+IF(Classifiers!$C$14="",0,IF(ISNUMBER(SEARCH(Classifiers!$C$14,E183)),1,0))+IF(Classifiers!$D$14="",0,IF(ISNUMBER(SEARCH(Classifiers!$D$14,E183)),1,0))+IF(Classifiers!$E$14="",0,IF(ISNUMBER(SEARCH(Classifiers!$E$14,E183)),1,0))+IF(Classifiers!$F$14="",0,IF(ISNUMBER(SEARCH(Classifiers!$F$14,E183)),1,0))+IF(Classifiers!$G$14="",0,IF(ISNUMBER(SEARCH(Classifiers!$G$14,E183)),1,0)))&gt;0,1,0))</f>
        <v/>
      </c>
      <c r="T183" s="12">
        <f>IF(H183&lt;&gt;1,0,IF((IF(Classifiers!$B$15="",0,IF(ISNUMBER(SEARCH(Classifiers!$B$15,E183)),1,0))+IF(Classifiers!$C$15="",0,IF(ISNUMBER(SEARCH(Classifiers!$C$15,E183)),1,0))+IF(Classifiers!$D$15="",0,IF(ISNUMBER(SEARCH(Classifiers!$D$15,E183)),1,0))+IF(Classifiers!$E$15="",0,IF(ISNUMBER(SEARCH(Classifiers!$E$15,E183)),1,0))+IF(Classifiers!$F$15="",0,IF(ISNUMBER(SEARCH(Classifiers!$F$15,E183)),1,0))+IF(Classifiers!$G$15="",0,IF(ISNUMBER(SEARCH(Classifiers!$G$15,E183)),1,0)))&gt;0,1,0))</f>
        <v/>
      </c>
      <c r="U183" s="12">
        <f>IF(H183&lt;&gt;1,0,IF((IF(Classifiers!$B$16="",0,IF(ISNUMBER(SEARCH(Classifiers!$B$16,E183)),1,0))+IF(Classifiers!$C$16="",0,IF(ISNUMBER(SEARCH(Classifiers!$C$16,E183)),1,0))+IF(Classifiers!$D$16="",0,IF(ISNUMBER(SEARCH(Classifiers!$D$16,E183)),1,0))+IF(Classifiers!$E$16="",0,IF(ISNUMBER(SEARCH(Classifiers!$E$16,E183)),1,0))+IF(Classifiers!$F$16="",0,IF(ISNUMBER(SEARCH(Classifiers!$F$16,E183)),1,0))+IF(Classifiers!$G$16="",0,IF(ISNUMBER(SEARCH(Classifiers!$G$16,E183)),1,0)))&gt;0,1,0))</f>
        <v/>
      </c>
      <c r="V183" s="12">
        <f>IF(H183&lt;&gt;1,0,IF((IF(Classifiers!$B$17="",0,IF(ISNUMBER(SEARCH(Classifiers!$B$17,E183)),1,0))+IF(Classifiers!$C$17="",0,IF(ISNUMBER(SEARCH(Classifiers!$C$17,E183)),1,0))+IF(Classifiers!$D$17="",0,IF(ISNUMBER(SEARCH(Classifiers!$D$17,E183)),1,0))+IF(Classifiers!$E$17="",0,IF(ISNUMBER(SEARCH(Classifiers!$E$17,E183)),1,0))+IF(Classifiers!$F$17="",0,IF(ISNUMBER(SEARCH(Classifiers!$F$17,E183)),1,0))+IF(Classifiers!$G$17="",0,IF(ISNUMBER(SEARCH(Classifiers!$G$17,E183)),1,0)))&gt;0,1,0))</f>
        <v/>
      </c>
      <c r="W183" s="12">
        <f>IF(H183&lt;&gt;1,0,IF((IF(Classifiers!$B$18="",0,IF(ISNUMBER(SEARCH(Classifiers!$B$18,E183)),1,0))+IF(Classifiers!$C$18="",0,IF(ISNUMBER(SEARCH(Classifiers!$C$18,E183)),1,0))+IF(Classifiers!$D$18="",0,IF(ISNUMBER(SEARCH(Classifiers!$D$18,E183)),1,0))+IF(Classifiers!$E$18="",0,IF(ISNUMBER(SEARCH(Classifiers!$E$18,E183)),1,0))+IF(Classifiers!$F$18="",0,IF(ISNUMBER(SEARCH(Classifiers!$F$18,E183)),1,0))+IF(Classifiers!$G$18="",0,IF(ISNUMBER(SEARCH(Classifiers!$G$18,E183)),1,0)))&gt;0,1,0))</f>
        <v/>
      </c>
    </row>
    <row r="184">
      <c r="A184" s="8" t="n"/>
      <c r="B184" s="11" t="n"/>
      <c r="C184" s="6">
        <f>IF(A184="","",TRIM(RIGHT(SUBSTITUTE(A184,"/",REPT(" ",250)),250)))</f>
        <v/>
      </c>
      <c r="D184" s="6">
        <f>IF(C184="","",IF(ISNUMBER(SEARCH(".",C184)),LOWER("."&amp;TRIM(RIGHT(SUBSTITUTE(C184,".",REPT(" ",250)),250))),""))</f>
        <v/>
      </c>
      <c r="E184" s="6">
        <f>IF(C184="","",TRIM(SUBSTITUTE(SUBSTITUTE(SUBSTITUTE(SUBSTITUTE(SUBSTITUTE(SUBSTITUTE(SUBSTITUTE(SUBSTITUTE(SUBSTITUTE(SUBSTITUTE(SUBSTITUTE(SUBSTITUTE(SUBSTITUTE(SUBSTITUTE(SUBSTITUTE(SUBSTITUTE(SUBSTITUTE(SUBSTITUTE(SUBSTITUTE(SUBSTITUTE(LOWER(LEFT(C184,LEN(C184)-LEN(D184))),"_"," "),"-"," "),"."," "),","," "),"("," "),")"," "),"["," "),"]"," "),"&amp;"," "),"+"," "),"@"," "),"#"," "),"!"," "),"'"," "),"/"," "),":"," "),";"," "),"="," "),"~"," "),"%"," ")))</f>
        <v/>
      </c>
      <c r="F184" s="6">
        <f>IF(C184="","",IF(COUNTIF(Classifiers!$A$23:$A$40,D184)&gt;0,1,0))</f>
        <v/>
      </c>
      <c r="G184" s="6">
        <f>IF(C184="","",IF(COUNTIF(Classifiers!$C$23:$C$30,D184)&gt;0,IF((IF(ISNUMBER(SEARCH(Classifiers!$E$23,E184)),1,0)+IF(ISNUMBER(SEARCH(Classifiers!$E$24,E184)),1,0)+IF(ISNUMBER(SEARCH(Classifiers!$E$25,E184)),1,0)+IF(ISNUMBER(SEARCH(Classifiers!$E$26,E184)),1,0)+IF(ISNUMBER(SEARCH(Classifiers!$E$27,E184)),1,0)+IF(ISNUMBER(SEARCH(Classifiers!$E$28,E184)),1,0)+IF(ISNUMBER(SEARCH(Classifiers!$E$29,E184)),1,0)+IF(ISNUMBER(SEARCH(Classifiers!$E$30,E184)),1,0))&gt;0,1,0),0))</f>
        <v/>
      </c>
      <c r="H184" s="6">
        <f>IF(C184="","",IF(OR(LEFT(C184,1)=".",AND(F184=0,G184=0)),0,1))</f>
        <v/>
      </c>
      <c r="I184" s="6">
        <f>IF(H184&lt;&gt;1,"",IF(SUM(J184:W184)=0,"unclassified",INDEX(Classifiers!$A$5:$A$18,MATCH(1,J184:W184,0),1)))</f>
        <v/>
      </c>
      <c r="J184" s="12">
        <f>IF(H184&lt;&gt;1,0,IF((IF(Classifiers!$B$5="",0,IF(ISNUMBER(SEARCH(Classifiers!$B$5,E184)),1,0))+IF(Classifiers!$C$5="",0,IF(ISNUMBER(SEARCH(Classifiers!$C$5,E184)),1,0))+IF(Classifiers!$D$5="",0,IF(ISNUMBER(SEARCH(Classifiers!$D$5,E184)),1,0))+IF(Classifiers!$E$5="",0,IF(ISNUMBER(SEARCH(Classifiers!$E$5,E184)),1,0))+IF(Classifiers!$F$5="",0,IF(ISNUMBER(SEARCH(Classifiers!$F$5,E184)),1,0))+IF(Classifiers!$G$5="",0,IF(ISNUMBER(SEARCH(Classifiers!$G$5,E184)),1,0)))&gt;0,1,0))</f>
        <v/>
      </c>
      <c r="K184" s="12">
        <f>IF(H184&lt;&gt;1,0,IF((IF(Classifiers!$B$6="",0,IF(ISNUMBER(SEARCH(Classifiers!$B$6,E184)),1,0))+IF(Classifiers!$C$6="",0,IF(ISNUMBER(SEARCH(Classifiers!$C$6,E184)),1,0))+IF(Classifiers!$D$6="",0,IF(ISNUMBER(SEARCH(Classifiers!$D$6,E184)),1,0))+IF(Classifiers!$E$6="",0,IF(ISNUMBER(SEARCH(Classifiers!$E$6,E184)),1,0))+IF(Classifiers!$F$6="",0,IF(ISNUMBER(SEARCH(Classifiers!$F$6,E184)),1,0))+IF(Classifiers!$G$6="",0,IF(ISNUMBER(SEARCH(Classifiers!$G$6,E184)),1,0)))&gt;0,1,0))</f>
        <v/>
      </c>
      <c r="L184" s="12">
        <f>IF(H184&lt;&gt;1,0,IF((IF(Classifiers!$B$7="",0,IF(ISNUMBER(SEARCH(Classifiers!$B$7,E184)),1,0))+IF(Classifiers!$C$7="",0,IF(ISNUMBER(SEARCH(Classifiers!$C$7,E184)),1,0))+IF(Classifiers!$D$7="",0,IF(ISNUMBER(SEARCH(Classifiers!$D$7,E184)),1,0))+IF(Classifiers!$E$7="",0,IF(ISNUMBER(SEARCH(Classifiers!$E$7,E184)),1,0))+IF(Classifiers!$F$7="",0,IF(ISNUMBER(SEARCH(Classifiers!$F$7,E184)),1,0))+IF(Classifiers!$G$7="",0,IF(ISNUMBER(SEARCH(Classifiers!$G$7,E184)),1,0)))&gt;0,1,0))</f>
        <v/>
      </c>
      <c r="M184" s="12">
        <f>IF(H184&lt;&gt;1,0,IF((IF(Classifiers!$B$8="",0,IF(ISNUMBER(SEARCH(Classifiers!$B$8,E184)),1,0))+IF(Classifiers!$C$8="",0,IF(ISNUMBER(SEARCH(Classifiers!$C$8,E184)),1,0))+IF(Classifiers!$D$8="",0,IF(ISNUMBER(SEARCH(Classifiers!$D$8,E184)),1,0))+IF(Classifiers!$E$8="",0,IF(ISNUMBER(SEARCH(Classifiers!$E$8,E184)),1,0))+IF(Classifiers!$F$8="",0,IF(ISNUMBER(SEARCH(Classifiers!$F$8,E184)),1,0))+IF(Classifiers!$G$8="",0,IF(ISNUMBER(SEARCH(Classifiers!$G$8,E184)),1,0)))&gt;0,1,0))</f>
        <v/>
      </c>
      <c r="N184" s="12">
        <f>IF(H184&lt;&gt;1,0,IF((IF(Classifiers!$B$9="",0,IF(ISNUMBER(SEARCH(Classifiers!$B$9,E184)),1,0))+IF(Classifiers!$C$9="",0,IF(ISNUMBER(SEARCH(Classifiers!$C$9,E184)),1,0))+IF(Classifiers!$D$9="",0,IF(ISNUMBER(SEARCH(Classifiers!$D$9,E184)),1,0))+IF(Classifiers!$E$9="",0,IF(ISNUMBER(SEARCH(Classifiers!$E$9,E184)),1,0))+IF(Classifiers!$F$9="",0,IF(ISNUMBER(SEARCH(Classifiers!$F$9,E184)),1,0))+IF(Classifiers!$G$9="",0,IF(ISNUMBER(SEARCH(Classifiers!$G$9,E184)),1,0)))&gt;0,1,0))</f>
        <v/>
      </c>
      <c r="O184" s="12">
        <f>IF(H184&lt;&gt;1,0,IF((IF(Classifiers!$B$10="",0,IF(ISNUMBER(SEARCH(Classifiers!$B$10,E184)),1,0))+IF(Classifiers!$C$10="",0,IF(ISNUMBER(SEARCH(Classifiers!$C$10,E184)),1,0))+IF(Classifiers!$D$10="",0,IF(ISNUMBER(SEARCH(Classifiers!$D$10,E184)),1,0))+IF(Classifiers!$E$10="",0,IF(ISNUMBER(SEARCH(Classifiers!$E$10,E184)),1,0))+IF(Classifiers!$F$10="",0,IF(ISNUMBER(SEARCH(Classifiers!$F$10,E184)),1,0))+IF(Classifiers!$G$10="",0,IF(ISNUMBER(SEARCH(Classifiers!$G$10,E184)),1,0)))&gt;0,1,0))</f>
        <v/>
      </c>
      <c r="P184" s="12">
        <f>IF(H184&lt;&gt;1,0,IF((IF(Classifiers!$B$11="",0,IF(ISNUMBER(SEARCH(Classifiers!$B$11,E184)),1,0))+IF(Classifiers!$C$11="",0,IF(ISNUMBER(SEARCH(Classifiers!$C$11,E184)),1,0))+IF(Classifiers!$D$11="",0,IF(ISNUMBER(SEARCH(Classifiers!$D$11,E184)),1,0))+IF(Classifiers!$E$11="",0,IF(ISNUMBER(SEARCH(Classifiers!$E$11,E184)),1,0))+IF(Classifiers!$F$11="",0,IF(ISNUMBER(SEARCH(Classifiers!$F$11,E184)),1,0))+IF(Classifiers!$G$11="",0,IF(ISNUMBER(SEARCH(Classifiers!$G$11,E184)),1,0)))&gt;0,1,0))</f>
        <v/>
      </c>
      <c r="Q184" s="12">
        <f>IF(H184&lt;&gt;1,0,IF((IF(Classifiers!$B$12="",0,IF(ISNUMBER(SEARCH(Classifiers!$B$12,E184)),1,0))+IF(Classifiers!$C$12="",0,IF(ISNUMBER(SEARCH(Classifiers!$C$12,E184)),1,0))+IF(Classifiers!$D$12="",0,IF(ISNUMBER(SEARCH(Classifiers!$D$12,E184)),1,0))+IF(Classifiers!$E$12="",0,IF(ISNUMBER(SEARCH(Classifiers!$E$12,E184)),1,0))+IF(Classifiers!$F$12="",0,IF(ISNUMBER(SEARCH(Classifiers!$F$12,E184)),1,0))+IF(Classifiers!$G$12="",0,IF(ISNUMBER(SEARCH(Classifiers!$G$12,E184)),1,0)))&gt;0,1,0))</f>
        <v/>
      </c>
      <c r="R184" s="12">
        <f>IF(H184&lt;&gt;1,0,IF((IF(Classifiers!$B$13="",0,IF(ISNUMBER(SEARCH(Classifiers!$B$13,E184)),1,0))+IF(Classifiers!$C$13="",0,IF(ISNUMBER(SEARCH(Classifiers!$C$13,E184)),1,0))+IF(Classifiers!$D$13="",0,IF(ISNUMBER(SEARCH(Classifiers!$D$13,E184)),1,0))+IF(Classifiers!$E$13="",0,IF(ISNUMBER(SEARCH(Classifiers!$E$13,E184)),1,0))+IF(Classifiers!$F$13="",0,IF(ISNUMBER(SEARCH(Classifiers!$F$13,E184)),1,0))+IF(Classifiers!$G$13="",0,IF(ISNUMBER(SEARCH(Classifiers!$G$13,E184)),1,0)))&gt;0,1,0))</f>
        <v/>
      </c>
      <c r="S184" s="12">
        <f>IF(H184&lt;&gt;1,0,IF((IF(Classifiers!$B$14="",0,IF(ISNUMBER(SEARCH(Classifiers!$B$14,E184)),1,0))+IF(Classifiers!$C$14="",0,IF(ISNUMBER(SEARCH(Classifiers!$C$14,E184)),1,0))+IF(Classifiers!$D$14="",0,IF(ISNUMBER(SEARCH(Classifiers!$D$14,E184)),1,0))+IF(Classifiers!$E$14="",0,IF(ISNUMBER(SEARCH(Classifiers!$E$14,E184)),1,0))+IF(Classifiers!$F$14="",0,IF(ISNUMBER(SEARCH(Classifiers!$F$14,E184)),1,0))+IF(Classifiers!$G$14="",0,IF(ISNUMBER(SEARCH(Classifiers!$G$14,E184)),1,0)))&gt;0,1,0))</f>
        <v/>
      </c>
      <c r="T184" s="12">
        <f>IF(H184&lt;&gt;1,0,IF((IF(Classifiers!$B$15="",0,IF(ISNUMBER(SEARCH(Classifiers!$B$15,E184)),1,0))+IF(Classifiers!$C$15="",0,IF(ISNUMBER(SEARCH(Classifiers!$C$15,E184)),1,0))+IF(Classifiers!$D$15="",0,IF(ISNUMBER(SEARCH(Classifiers!$D$15,E184)),1,0))+IF(Classifiers!$E$15="",0,IF(ISNUMBER(SEARCH(Classifiers!$E$15,E184)),1,0))+IF(Classifiers!$F$15="",0,IF(ISNUMBER(SEARCH(Classifiers!$F$15,E184)),1,0))+IF(Classifiers!$G$15="",0,IF(ISNUMBER(SEARCH(Classifiers!$G$15,E184)),1,0)))&gt;0,1,0))</f>
        <v/>
      </c>
      <c r="U184" s="12">
        <f>IF(H184&lt;&gt;1,0,IF((IF(Classifiers!$B$16="",0,IF(ISNUMBER(SEARCH(Classifiers!$B$16,E184)),1,0))+IF(Classifiers!$C$16="",0,IF(ISNUMBER(SEARCH(Classifiers!$C$16,E184)),1,0))+IF(Classifiers!$D$16="",0,IF(ISNUMBER(SEARCH(Classifiers!$D$16,E184)),1,0))+IF(Classifiers!$E$16="",0,IF(ISNUMBER(SEARCH(Classifiers!$E$16,E184)),1,0))+IF(Classifiers!$F$16="",0,IF(ISNUMBER(SEARCH(Classifiers!$F$16,E184)),1,0))+IF(Classifiers!$G$16="",0,IF(ISNUMBER(SEARCH(Classifiers!$G$16,E184)),1,0)))&gt;0,1,0))</f>
        <v/>
      </c>
      <c r="V184" s="12">
        <f>IF(H184&lt;&gt;1,0,IF((IF(Classifiers!$B$17="",0,IF(ISNUMBER(SEARCH(Classifiers!$B$17,E184)),1,0))+IF(Classifiers!$C$17="",0,IF(ISNUMBER(SEARCH(Classifiers!$C$17,E184)),1,0))+IF(Classifiers!$D$17="",0,IF(ISNUMBER(SEARCH(Classifiers!$D$17,E184)),1,0))+IF(Classifiers!$E$17="",0,IF(ISNUMBER(SEARCH(Classifiers!$E$17,E184)),1,0))+IF(Classifiers!$F$17="",0,IF(ISNUMBER(SEARCH(Classifiers!$F$17,E184)),1,0))+IF(Classifiers!$G$17="",0,IF(ISNUMBER(SEARCH(Classifiers!$G$17,E184)),1,0)))&gt;0,1,0))</f>
        <v/>
      </c>
      <c r="W184" s="12">
        <f>IF(H184&lt;&gt;1,0,IF((IF(Classifiers!$B$18="",0,IF(ISNUMBER(SEARCH(Classifiers!$B$18,E184)),1,0))+IF(Classifiers!$C$18="",0,IF(ISNUMBER(SEARCH(Classifiers!$C$18,E184)),1,0))+IF(Classifiers!$D$18="",0,IF(ISNUMBER(SEARCH(Classifiers!$D$18,E184)),1,0))+IF(Classifiers!$E$18="",0,IF(ISNUMBER(SEARCH(Classifiers!$E$18,E184)),1,0))+IF(Classifiers!$F$18="",0,IF(ISNUMBER(SEARCH(Classifiers!$F$18,E184)),1,0))+IF(Classifiers!$G$18="",0,IF(ISNUMBER(SEARCH(Classifiers!$G$18,E184)),1,0)))&gt;0,1,0))</f>
        <v/>
      </c>
    </row>
    <row r="185">
      <c r="A185" s="8" t="n"/>
      <c r="B185" s="11" t="n"/>
      <c r="C185" s="6">
        <f>IF(A185="","",TRIM(RIGHT(SUBSTITUTE(A185,"/",REPT(" ",250)),250)))</f>
        <v/>
      </c>
      <c r="D185" s="6">
        <f>IF(C185="","",IF(ISNUMBER(SEARCH(".",C185)),LOWER("."&amp;TRIM(RIGHT(SUBSTITUTE(C185,".",REPT(" ",250)),250))),""))</f>
        <v/>
      </c>
      <c r="E185" s="6">
        <f>IF(C185="","",TRIM(SUBSTITUTE(SUBSTITUTE(SUBSTITUTE(SUBSTITUTE(SUBSTITUTE(SUBSTITUTE(SUBSTITUTE(SUBSTITUTE(SUBSTITUTE(SUBSTITUTE(SUBSTITUTE(SUBSTITUTE(SUBSTITUTE(SUBSTITUTE(SUBSTITUTE(SUBSTITUTE(SUBSTITUTE(SUBSTITUTE(SUBSTITUTE(SUBSTITUTE(LOWER(LEFT(C185,LEN(C185)-LEN(D185))),"_"," "),"-"," "),"."," "),","," "),"("," "),")"," "),"["," "),"]"," "),"&amp;"," "),"+"," "),"@"," "),"#"," "),"!"," "),"'"," "),"/"," "),":"," "),";"," "),"="," "),"~"," "),"%"," ")))</f>
        <v/>
      </c>
      <c r="F185" s="6">
        <f>IF(C185="","",IF(COUNTIF(Classifiers!$A$23:$A$40,D185)&gt;0,1,0))</f>
        <v/>
      </c>
      <c r="G185" s="6">
        <f>IF(C185="","",IF(COUNTIF(Classifiers!$C$23:$C$30,D185)&gt;0,IF((IF(ISNUMBER(SEARCH(Classifiers!$E$23,E185)),1,0)+IF(ISNUMBER(SEARCH(Classifiers!$E$24,E185)),1,0)+IF(ISNUMBER(SEARCH(Classifiers!$E$25,E185)),1,0)+IF(ISNUMBER(SEARCH(Classifiers!$E$26,E185)),1,0)+IF(ISNUMBER(SEARCH(Classifiers!$E$27,E185)),1,0)+IF(ISNUMBER(SEARCH(Classifiers!$E$28,E185)),1,0)+IF(ISNUMBER(SEARCH(Classifiers!$E$29,E185)),1,0)+IF(ISNUMBER(SEARCH(Classifiers!$E$30,E185)),1,0))&gt;0,1,0),0))</f>
        <v/>
      </c>
      <c r="H185" s="6">
        <f>IF(C185="","",IF(OR(LEFT(C185,1)=".",AND(F185=0,G185=0)),0,1))</f>
        <v/>
      </c>
      <c r="I185" s="6">
        <f>IF(H185&lt;&gt;1,"",IF(SUM(J185:W185)=0,"unclassified",INDEX(Classifiers!$A$5:$A$18,MATCH(1,J185:W185,0),1)))</f>
        <v/>
      </c>
      <c r="J185" s="12">
        <f>IF(H185&lt;&gt;1,0,IF((IF(Classifiers!$B$5="",0,IF(ISNUMBER(SEARCH(Classifiers!$B$5,E185)),1,0))+IF(Classifiers!$C$5="",0,IF(ISNUMBER(SEARCH(Classifiers!$C$5,E185)),1,0))+IF(Classifiers!$D$5="",0,IF(ISNUMBER(SEARCH(Classifiers!$D$5,E185)),1,0))+IF(Classifiers!$E$5="",0,IF(ISNUMBER(SEARCH(Classifiers!$E$5,E185)),1,0))+IF(Classifiers!$F$5="",0,IF(ISNUMBER(SEARCH(Classifiers!$F$5,E185)),1,0))+IF(Classifiers!$G$5="",0,IF(ISNUMBER(SEARCH(Classifiers!$G$5,E185)),1,0)))&gt;0,1,0))</f>
        <v/>
      </c>
      <c r="K185" s="12">
        <f>IF(H185&lt;&gt;1,0,IF((IF(Classifiers!$B$6="",0,IF(ISNUMBER(SEARCH(Classifiers!$B$6,E185)),1,0))+IF(Classifiers!$C$6="",0,IF(ISNUMBER(SEARCH(Classifiers!$C$6,E185)),1,0))+IF(Classifiers!$D$6="",0,IF(ISNUMBER(SEARCH(Classifiers!$D$6,E185)),1,0))+IF(Classifiers!$E$6="",0,IF(ISNUMBER(SEARCH(Classifiers!$E$6,E185)),1,0))+IF(Classifiers!$F$6="",0,IF(ISNUMBER(SEARCH(Classifiers!$F$6,E185)),1,0))+IF(Classifiers!$G$6="",0,IF(ISNUMBER(SEARCH(Classifiers!$G$6,E185)),1,0)))&gt;0,1,0))</f>
        <v/>
      </c>
      <c r="L185" s="12">
        <f>IF(H185&lt;&gt;1,0,IF((IF(Classifiers!$B$7="",0,IF(ISNUMBER(SEARCH(Classifiers!$B$7,E185)),1,0))+IF(Classifiers!$C$7="",0,IF(ISNUMBER(SEARCH(Classifiers!$C$7,E185)),1,0))+IF(Classifiers!$D$7="",0,IF(ISNUMBER(SEARCH(Classifiers!$D$7,E185)),1,0))+IF(Classifiers!$E$7="",0,IF(ISNUMBER(SEARCH(Classifiers!$E$7,E185)),1,0))+IF(Classifiers!$F$7="",0,IF(ISNUMBER(SEARCH(Classifiers!$F$7,E185)),1,0))+IF(Classifiers!$G$7="",0,IF(ISNUMBER(SEARCH(Classifiers!$G$7,E185)),1,0)))&gt;0,1,0))</f>
        <v/>
      </c>
      <c r="M185" s="12">
        <f>IF(H185&lt;&gt;1,0,IF((IF(Classifiers!$B$8="",0,IF(ISNUMBER(SEARCH(Classifiers!$B$8,E185)),1,0))+IF(Classifiers!$C$8="",0,IF(ISNUMBER(SEARCH(Classifiers!$C$8,E185)),1,0))+IF(Classifiers!$D$8="",0,IF(ISNUMBER(SEARCH(Classifiers!$D$8,E185)),1,0))+IF(Classifiers!$E$8="",0,IF(ISNUMBER(SEARCH(Classifiers!$E$8,E185)),1,0))+IF(Classifiers!$F$8="",0,IF(ISNUMBER(SEARCH(Classifiers!$F$8,E185)),1,0))+IF(Classifiers!$G$8="",0,IF(ISNUMBER(SEARCH(Classifiers!$G$8,E185)),1,0)))&gt;0,1,0))</f>
        <v/>
      </c>
      <c r="N185" s="12">
        <f>IF(H185&lt;&gt;1,0,IF((IF(Classifiers!$B$9="",0,IF(ISNUMBER(SEARCH(Classifiers!$B$9,E185)),1,0))+IF(Classifiers!$C$9="",0,IF(ISNUMBER(SEARCH(Classifiers!$C$9,E185)),1,0))+IF(Classifiers!$D$9="",0,IF(ISNUMBER(SEARCH(Classifiers!$D$9,E185)),1,0))+IF(Classifiers!$E$9="",0,IF(ISNUMBER(SEARCH(Classifiers!$E$9,E185)),1,0))+IF(Classifiers!$F$9="",0,IF(ISNUMBER(SEARCH(Classifiers!$F$9,E185)),1,0))+IF(Classifiers!$G$9="",0,IF(ISNUMBER(SEARCH(Classifiers!$G$9,E185)),1,0)))&gt;0,1,0))</f>
        <v/>
      </c>
      <c r="O185" s="12">
        <f>IF(H185&lt;&gt;1,0,IF((IF(Classifiers!$B$10="",0,IF(ISNUMBER(SEARCH(Classifiers!$B$10,E185)),1,0))+IF(Classifiers!$C$10="",0,IF(ISNUMBER(SEARCH(Classifiers!$C$10,E185)),1,0))+IF(Classifiers!$D$10="",0,IF(ISNUMBER(SEARCH(Classifiers!$D$10,E185)),1,0))+IF(Classifiers!$E$10="",0,IF(ISNUMBER(SEARCH(Classifiers!$E$10,E185)),1,0))+IF(Classifiers!$F$10="",0,IF(ISNUMBER(SEARCH(Classifiers!$F$10,E185)),1,0))+IF(Classifiers!$G$10="",0,IF(ISNUMBER(SEARCH(Classifiers!$G$10,E185)),1,0)))&gt;0,1,0))</f>
        <v/>
      </c>
      <c r="P185" s="12">
        <f>IF(H185&lt;&gt;1,0,IF((IF(Classifiers!$B$11="",0,IF(ISNUMBER(SEARCH(Classifiers!$B$11,E185)),1,0))+IF(Classifiers!$C$11="",0,IF(ISNUMBER(SEARCH(Classifiers!$C$11,E185)),1,0))+IF(Classifiers!$D$11="",0,IF(ISNUMBER(SEARCH(Classifiers!$D$11,E185)),1,0))+IF(Classifiers!$E$11="",0,IF(ISNUMBER(SEARCH(Classifiers!$E$11,E185)),1,0))+IF(Classifiers!$F$11="",0,IF(ISNUMBER(SEARCH(Classifiers!$F$11,E185)),1,0))+IF(Classifiers!$G$11="",0,IF(ISNUMBER(SEARCH(Classifiers!$G$11,E185)),1,0)))&gt;0,1,0))</f>
        <v/>
      </c>
      <c r="Q185" s="12">
        <f>IF(H185&lt;&gt;1,0,IF((IF(Classifiers!$B$12="",0,IF(ISNUMBER(SEARCH(Classifiers!$B$12,E185)),1,0))+IF(Classifiers!$C$12="",0,IF(ISNUMBER(SEARCH(Classifiers!$C$12,E185)),1,0))+IF(Classifiers!$D$12="",0,IF(ISNUMBER(SEARCH(Classifiers!$D$12,E185)),1,0))+IF(Classifiers!$E$12="",0,IF(ISNUMBER(SEARCH(Classifiers!$E$12,E185)),1,0))+IF(Classifiers!$F$12="",0,IF(ISNUMBER(SEARCH(Classifiers!$F$12,E185)),1,0))+IF(Classifiers!$G$12="",0,IF(ISNUMBER(SEARCH(Classifiers!$G$12,E185)),1,0)))&gt;0,1,0))</f>
        <v/>
      </c>
      <c r="R185" s="12">
        <f>IF(H185&lt;&gt;1,0,IF((IF(Classifiers!$B$13="",0,IF(ISNUMBER(SEARCH(Classifiers!$B$13,E185)),1,0))+IF(Classifiers!$C$13="",0,IF(ISNUMBER(SEARCH(Classifiers!$C$13,E185)),1,0))+IF(Classifiers!$D$13="",0,IF(ISNUMBER(SEARCH(Classifiers!$D$13,E185)),1,0))+IF(Classifiers!$E$13="",0,IF(ISNUMBER(SEARCH(Classifiers!$E$13,E185)),1,0))+IF(Classifiers!$F$13="",0,IF(ISNUMBER(SEARCH(Classifiers!$F$13,E185)),1,0))+IF(Classifiers!$G$13="",0,IF(ISNUMBER(SEARCH(Classifiers!$G$13,E185)),1,0)))&gt;0,1,0))</f>
        <v/>
      </c>
      <c r="S185" s="12">
        <f>IF(H185&lt;&gt;1,0,IF((IF(Classifiers!$B$14="",0,IF(ISNUMBER(SEARCH(Classifiers!$B$14,E185)),1,0))+IF(Classifiers!$C$14="",0,IF(ISNUMBER(SEARCH(Classifiers!$C$14,E185)),1,0))+IF(Classifiers!$D$14="",0,IF(ISNUMBER(SEARCH(Classifiers!$D$14,E185)),1,0))+IF(Classifiers!$E$14="",0,IF(ISNUMBER(SEARCH(Classifiers!$E$14,E185)),1,0))+IF(Classifiers!$F$14="",0,IF(ISNUMBER(SEARCH(Classifiers!$F$14,E185)),1,0))+IF(Classifiers!$G$14="",0,IF(ISNUMBER(SEARCH(Classifiers!$G$14,E185)),1,0)))&gt;0,1,0))</f>
        <v/>
      </c>
      <c r="T185" s="12">
        <f>IF(H185&lt;&gt;1,0,IF((IF(Classifiers!$B$15="",0,IF(ISNUMBER(SEARCH(Classifiers!$B$15,E185)),1,0))+IF(Classifiers!$C$15="",0,IF(ISNUMBER(SEARCH(Classifiers!$C$15,E185)),1,0))+IF(Classifiers!$D$15="",0,IF(ISNUMBER(SEARCH(Classifiers!$D$15,E185)),1,0))+IF(Classifiers!$E$15="",0,IF(ISNUMBER(SEARCH(Classifiers!$E$15,E185)),1,0))+IF(Classifiers!$F$15="",0,IF(ISNUMBER(SEARCH(Classifiers!$F$15,E185)),1,0))+IF(Classifiers!$G$15="",0,IF(ISNUMBER(SEARCH(Classifiers!$G$15,E185)),1,0)))&gt;0,1,0))</f>
        <v/>
      </c>
      <c r="U185" s="12">
        <f>IF(H185&lt;&gt;1,0,IF((IF(Classifiers!$B$16="",0,IF(ISNUMBER(SEARCH(Classifiers!$B$16,E185)),1,0))+IF(Classifiers!$C$16="",0,IF(ISNUMBER(SEARCH(Classifiers!$C$16,E185)),1,0))+IF(Classifiers!$D$16="",0,IF(ISNUMBER(SEARCH(Classifiers!$D$16,E185)),1,0))+IF(Classifiers!$E$16="",0,IF(ISNUMBER(SEARCH(Classifiers!$E$16,E185)),1,0))+IF(Classifiers!$F$16="",0,IF(ISNUMBER(SEARCH(Classifiers!$F$16,E185)),1,0))+IF(Classifiers!$G$16="",0,IF(ISNUMBER(SEARCH(Classifiers!$G$16,E185)),1,0)))&gt;0,1,0))</f>
        <v/>
      </c>
      <c r="V185" s="12">
        <f>IF(H185&lt;&gt;1,0,IF((IF(Classifiers!$B$17="",0,IF(ISNUMBER(SEARCH(Classifiers!$B$17,E185)),1,0))+IF(Classifiers!$C$17="",0,IF(ISNUMBER(SEARCH(Classifiers!$C$17,E185)),1,0))+IF(Classifiers!$D$17="",0,IF(ISNUMBER(SEARCH(Classifiers!$D$17,E185)),1,0))+IF(Classifiers!$E$17="",0,IF(ISNUMBER(SEARCH(Classifiers!$E$17,E185)),1,0))+IF(Classifiers!$F$17="",0,IF(ISNUMBER(SEARCH(Classifiers!$F$17,E185)),1,0))+IF(Classifiers!$G$17="",0,IF(ISNUMBER(SEARCH(Classifiers!$G$17,E185)),1,0)))&gt;0,1,0))</f>
        <v/>
      </c>
      <c r="W185" s="12">
        <f>IF(H185&lt;&gt;1,0,IF((IF(Classifiers!$B$18="",0,IF(ISNUMBER(SEARCH(Classifiers!$B$18,E185)),1,0))+IF(Classifiers!$C$18="",0,IF(ISNUMBER(SEARCH(Classifiers!$C$18,E185)),1,0))+IF(Classifiers!$D$18="",0,IF(ISNUMBER(SEARCH(Classifiers!$D$18,E185)),1,0))+IF(Classifiers!$E$18="",0,IF(ISNUMBER(SEARCH(Classifiers!$E$18,E185)),1,0))+IF(Classifiers!$F$18="",0,IF(ISNUMBER(SEARCH(Classifiers!$F$18,E185)),1,0))+IF(Classifiers!$G$18="",0,IF(ISNUMBER(SEARCH(Classifiers!$G$18,E185)),1,0)))&gt;0,1,0))</f>
        <v/>
      </c>
    </row>
    <row r="186">
      <c r="A186" s="8" t="n"/>
      <c r="B186" s="11" t="n"/>
      <c r="C186" s="6">
        <f>IF(A186="","",TRIM(RIGHT(SUBSTITUTE(A186,"/",REPT(" ",250)),250)))</f>
        <v/>
      </c>
      <c r="D186" s="6">
        <f>IF(C186="","",IF(ISNUMBER(SEARCH(".",C186)),LOWER("."&amp;TRIM(RIGHT(SUBSTITUTE(C186,".",REPT(" ",250)),250))),""))</f>
        <v/>
      </c>
      <c r="E186" s="6">
        <f>IF(C186="","",TRIM(SUBSTITUTE(SUBSTITUTE(SUBSTITUTE(SUBSTITUTE(SUBSTITUTE(SUBSTITUTE(SUBSTITUTE(SUBSTITUTE(SUBSTITUTE(SUBSTITUTE(SUBSTITUTE(SUBSTITUTE(SUBSTITUTE(SUBSTITUTE(SUBSTITUTE(SUBSTITUTE(SUBSTITUTE(SUBSTITUTE(SUBSTITUTE(SUBSTITUTE(LOWER(LEFT(C186,LEN(C186)-LEN(D186))),"_"," "),"-"," "),"."," "),","," "),"("," "),")"," "),"["," "),"]"," "),"&amp;"," "),"+"," "),"@"," "),"#"," "),"!"," "),"'"," "),"/"," "),":"," "),";"," "),"="," "),"~"," "),"%"," ")))</f>
        <v/>
      </c>
      <c r="F186" s="6">
        <f>IF(C186="","",IF(COUNTIF(Classifiers!$A$23:$A$40,D186)&gt;0,1,0))</f>
        <v/>
      </c>
      <c r="G186" s="6">
        <f>IF(C186="","",IF(COUNTIF(Classifiers!$C$23:$C$30,D186)&gt;0,IF((IF(ISNUMBER(SEARCH(Classifiers!$E$23,E186)),1,0)+IF(ISNUMBER(SEARCH(Classifiers!$E$24,E186)),1,0)+IF(ISNUMBER(SEARCH(Classifiers!$E$25,E186)),1,0)+IF(ISNUMBER(SEARCH(Classifiers!$E$26,E186)),1,0)+IF(ISNUMBER(SEARCH(Classifiers!$E$27,E186)),1,0)+IF(ISNUMBER(SEARCH(Classifiers!$E$28,E186)),1,0)+IF(ISNUMBER(SEARCH(Classifiers!$E$29,E186)),1,0)+IF(ISNUMBER(SEARCH(Classifiers!$E$30,E186)),1,0))&gt;0,1,0),0))</f>
        <v/>
      </c>
      <c r="H186" s="6">
        <f>IF(C186="","",IF(OR(LEFT(C186,1)=".",AND(F186=0,G186=0)),0,1))</f>
        <v/>
      </c>
      <c r="I186" s="6">
        <f>IF(H186&lt;&gt;1,"",IF(SUM(J186:W186)=0,"unclassified",INDEX(Classifiers!$A$5:$A$18,MATCH(1,J186:W186,0),1)))</f>
        <v/>
      </c>
      <c r="J186" s="12">
        <f>IF(H186&lt;&gt;1,0,IF((IF(Classifiers!$B$5="",0,IF(ISNUMBER(SEARCH(Classifiers!$B$5,E186)),1,0))+IF(Classifiers!$C$5="",0,IF(ISNUMBER(SEARCH(Classifiers!$C$5,E186)),1,0))+IF(Classifiers!$D$5="",0,IF(ISNUMBER(SEARCH(Classifiers!$D$5,E186)),1,0))+IF(Classifiers!$E$5="",0,IF(ISNUMBER(SEARCH(Classifiers!$E$5,E186)),1,0))+IF(Classifiers!$F$5="",0,IF(ISNUMBER(SEARCH(Classifiers!$F$5,E186)),1,0))+IF(Classifiers!$G$5="",0,IF(ISNUMBER(SEARCH(Classifiers!$G$5,E186)),1,0)))&gt;0,1,0))</f>
        <v/>
      </c>
      <c r="K186" s="12">
        <f>IF(H186&lt;&gt;1,0,IF((IF(Classifiers!$B$6="",0,IF(ISNUMBER(SEARCH(Classifiers!$B$6,E186)),1,0))+IF(Classifiers!$C$6="",0,IF(ISNUMBER(SEARCH(Classifiers!$C$6,E186)),1,0))+IF(Classifiers!$D$6="",0,IF(ISNUMBER(SEARCH(Classifiers!$D$6,E186)),1,0))+IF(Classifiers!$E$6="",0,IF(ISNUMBER(SEARCH(Classifiers!$E$6,E186)),1,0))+IF(Classifiers!$F$6="",0,IF(ISNUMBER(SEARCH(Classifiers!$F$6,E186)),1,0))+IF(Classifiers!$G$6="",0,IF(ISNUMBER(SEARCH(Classifiers!$G$6,E186)),1,0)))&gt;0,1,0))</f>
        <v/>
      </c>
      <c r="L186" s="12">
        <f>IF(H186&lt;&gt;1,0,IF((IF(Classifiers!$B$7="",0,IF(ISNUMBER(SEARCH(Classifiers!$B$7,E186)),1,0))+IF(Classifiers!$C$7="",0,IF(ISNUMBER(SEARCH(Classifiers!$C$7,E186)),1,0))+IF(Classifiers!$D$7="",0,IF(ISNUMBER(SEARCH(Classifiers!$D$7,E186)),1,0))+IF(Classifiers!$E$7="",0,IF(ISNUMBER(SEARCH(Classifiers!$E$7,E186)),1,0))+IF(Classifiers!$F$7="",0,IF(ISNUMBER(SEARCH(Classifiers!$F$7,E186)),1,0))+IF(Classifiers!$G$7="",0,IF(ISNUMBER(SEARCH(Classifiers!$G$7,E186)),1,0)))&gt;0,1,0))</f>
        <v/>
      </c>
      <c r="M186" s="12">
        <f>IF(H186&lt;&gt;1,0,IF((IF(Classifiers!$B$8="",0,IF(ISNUMBER(SEARCH(Classifiers!$B$8,E186)),1,0))+IF(Classifiers!$C$8="",0,IF(ISNUMBER(SEARCH(Classifiers!$C$8,E186)),1,0))+IF(Classifiers!$D$8="",0,IF(ISNUMBER(SEARCH(Classifiers!$D$8,E186)),1,0))+IF(Classifiers!$E$8="",0,IF(ISNUMBER(SEARCH(Classifiers!$E$8,E186)),1,0))+IF(Classifiers!$F$8="",0,IF(ISNUMBER(SEARCH(Classifiers!$F$8,E186)),1,0))+IF(Classifiers!$G$8="",0,IF(ISNUMBER(SEARCH(Classifiers!$G$8,E186)),1,0)))&gt;0,1,0))</f>
        <v/>
      </c>
      <c r="N186" s="12">
        <f>IF(H186&lt;&gt;1,0,IF((IF(Classifiers!$B$9="",0,IF(ISNUMBER(SEARCH(Classifiers!$B$9,E186)),1,0))+IF(Classifiers!$C$9="",0,IF(ISNUMBER(SEARCH(Classifiers!$C$9,E186)),1,0))+IF(Classifiers!$D$9="",0,IF(ISNUMBER(SEARCH(Classifiers!$D$9,E186)),1,0))+IF(Classifiers!$E$9="",0,IF(ISNUMBER(SEARCH(Classifiers!$E$9,E186)),1,0))+IF(Classifiers!$F$9="",0,IF(ISNUMBER(SEARCH(Classifiers!$F$9,E186)),1,0))+IF(Classifiers!$G$9="",0,IF(ISNUMBER(SEARCH(Classifiers!$G$9,E186)),1,0)))&gt;0,1,0))</f>
        <v/>
      </c>
      <c r="O186" s="12">
        <f>IF(H186&lt;&gt;1,0,IF((IF(Classifiers!$B$10="",0,IF(ISNUMBER(SEARCH(Classifiers!$B$10,E186)),1,0))+IF(Classifiers!$C$10="",0,IF(ISNUMBER(SEARCH(Classifiers!$C$10,E186)),1,0))+IF(Classifiers!$D$10="",0,IF(ISNUMBER(SEARCH(Classifiers!$D$10,E186)),1,0))+IF(Classifiers!$E$10="",0,IF(ISNUMBER(SEARCH(Classifiers!$E$10,E186)),1,0))+IF(Classifiers!$F$10="",0,IF(ISNUMBER(SEARCH(Classifiers!$F$10,E186)),1,0))+IF(Classifiers!$G$10="",0,IF(ISNUMBER(SEARCH(Classifiers!$G$10,E186)),1,0)))&gt;0,1,0))</f>
        <v/>
      </c>
      <c r="P186" s="12">
        <f>IF(H186&lt;&gt;1,0,IF((IF(Classifiers!$B$11="",0,IF(ISNUMBER(SEARCH(Classifiers!$B$11,E186)),1,0))+IF(Classifiers!$C$11="",0,IF(ISNUMBER(SEARCH(Classifiers!$C$11,E186)),1,0))+IF(Classifiers!$D$11="",0,IF(ISNUMBER(SEARCH(Classifiers!$D$11,E186)),1,0))+IF(Classifiers!$E$11="",0,IF(ISNUMBER(SEARCH(Classifiers!$E$11,E186)),1,0))+IF(Classifiers!$F$11="",0,IF(ISNUMBER(SEARCH(Classifiers!$F$11,E186)),1,0))+IF(Classifiers!$G$11="",0,IF(ISNUMBER(SEARCH(Classifiers!$G$11,E186)),1,0)))&gt;0,1,0))</f>
        <v/>
      </c>
      <c r="Q186" s="12">
        <f>IF(H186&lt;&gt;1,0,IF((IF(Classifiers!$B$12="",0,IF(ISNUMBER(SEARCH(Classifiers!$B$12,E186)),1,0))+IF(Classifiers!$C$12="",0,IF(ISNUMBER(SEARCH(Classifiers!$C$12,E186)),1,0))+IF(Classifiers!$D$12="",0,IF(ISNUMBER(SEARCH(Classifiers!$D$12,E186)),1,0))+IF(Classifiers!$E$12="",0,IF(ISNUMBER(SEARCH(Classifiers!$E$12,E186)),1,0))+IF(Classifiers!$F$12="",0,IF(ISNUMBER(SEARCH(Classifiers!$F$12,E186)),1,0))+IF(Classifiers!$G$12="",0,IF(ISNUMBER(SEARCH(Classifiers!$G$12,E186)),1,0)))&gt;0,1,0))</f>
        <v/>
      </c>
      <c r="R186" s="12">
        <f>IF(H186&lt;&gt;1,0,IF((IF(Classifiers!$B$13="",0,IF(ISNUMBER(SEARCH(Classifiers!$B$13,E186)),1,0))+IF(Classifiers!$C$13="",0,IF(ISNUMBER(SEARCH(Classifiers!$C$13,E186)),1,0))+IF(Classifiers!$D$13="",0,IF(ISNUMBER(SEARCH(Classifiers!$D$13,E186)),1,0))+IF(Classifiers!$E$13="",0,IF(ISNUMBER(SEARCH(Classifiers!$E$13,E186)),1,0))+IF(Classifiers!$F$13="",0,IF(ISNUMBER(SEARCH(Classifiers!$F$13,E186)),1,0))+IF(Classifiers!$G$13="",0,IF(ISNUMBER(SEARCH(Classifiers!$G$13,E186)),1,0)))&gt;0,1,0))</f>
        <v/>
      </c>
      <c r="S186" s="12">
        <f>IF(H186&lt;&gt;1,0,IF((IF(Classifiers!$B$14="",0,IF(ISNUMBER(SEARCH(Classifiers!$B$14,E186)),1,0))+IF(Classifiers!$C$14="",0,IF(ISNUMBER(SEARCH(Classifiers!$C$14,E186)),1,0))+IF(Classifiers!$D$14="",0,IF(ISNUMBER(SEARCH(Classifiers!$D$14,E186)),1,0))+IF(Classifiers!$E$14="",0,IF(ISNUMBER(SEARCH(Classifiers!$E$14,E186)),1,0))+IF(Classifiers!$F$14="",0,IF(ISNUMBER(SEARCH(Classifiers!$F$14,E186)),1,0))+IF(Classifiers!$G$14="",0,IF(ISNUMBER(SEARCH(Classifiers!$G$14,E186)),1,0)))&gt;0,1,0))</f>
        <v/>
      </c>
      <c r="T186" s="12">
        <f>IF(H186&lt;&gt;1,0,IF((IF(Classifiers!$B$15="",0,IF(ISNUMBER(SEARCH(Classifiers!$B$15,E186)),1,0))+IF(Classifiers!$C$15="",0,IF(ISNUMBER(SEARCH(Classifiers!$C$15,E186)),1,0))+IF(Classifiers!$D$15="",0,IF(ISNUMBER(SEARCH(Classifiers!$D$15,E186)),1,0))+IF(Classifiers!$E$15="",0,IF(ISNUMBER(SEARCH(Classifiers!$E$15,E186)),1,0))+IF(Classifiers!$F$15="",0,IF(ISNUMBER(SEARCH(Classifiers!$F$15,E186)),1,0))+IF(Classifiers!$G$15="",0,IF(ISNUMBER(SEARCH(Classifiers!$G$15,E186)),1,0)))&gt;0,1,0))</f>
        <v/>
      </c>
      <c r="U186" s="12">
        <f>IF(H186&lt;&gt;1,0,IF((IF(Classifiers!$B$16="",0,IF(ISNUMBER(SEARCH(Classifiers!$B$16,E186)),1,0))+IF(Classifiers!$C$16="",0,IF(ISNUMBER(SEARCH(Classifiers!$C$16,E186)),1,0))+IF(Classifiers!$D$16="",0,IF(ISNUMBER(SEARCH(Classifiers!$D$16,E186)),1,0))+IF(Classifiers!$E$16="",0,IF(ISNUMBER(SEARCH(Classifiers!$E$16,E186)),1,0))+IF(Classifiers!$F$16="",0,IF(ISNUMBER(SEARCH(Classifiers!$F$16,E186)),1,0))+IF(Classifiers!$G$16="",0,IF(ISNUMBER(SEARCH(Classifiers!$G$16,E186)),1,0)))&gt;0,1,0))</f>
        <v/>
      </c>
      <c r="V186" s="12">
        <f>IF(H186&lt;&gt;1,0,IF((IF(Classifiers!$B$17="",0,IF(ISNUMBER(SEARCH(Classifiers!$B$17,E186)),1,0))+IF(Classifiers!$C$17="",0,IF(ISNUMBER(SEARCH(Classifiers!$C$17,E186)),1,0))+IF(Classifiers!$D$17="",0,IF(ISNUMBER(SEARCH(Classifiers!$D$17,E186)),1,0))+IF(Classifiers!$E$17="",0,IF(ISNUMBER(SEARCH(Classifiers!$E$17,E186)),1,0))+IF(Classifiers!$F$17="",0,IF(ISNUMBER(SEARCH(Classifiers!$F$17,E186)),1,0))+IF(Classifiers!$G$17="",0,IF(ISNUMBER(SEARCH(Classifiers!$G$17,E186)),1,0)))&gt;0,1,0))</f>
        <v/>
      </c>
      <c r="W186" s="12">
        <f>IF(H186&lt;&gt;1,0,IF((IF(Classifiers!$B$18="",0,IF(ISNUMBER(SEARCH(Classifiers!$B$18,E186)),1,0))+IF(Classifiers!$C$18="",0,IF(ISNUMBER(SEARCH(Classifiers!$C$18,E186)),1,0))+IF(Classifiers!$D$18="",0,IF(ISNUMBER(SEARCH(Classifiers!$D$18,E186)),1,0))+IF(Classifiers!$E$18="",0,IF(ISNUMBER(SEARCH(Classifiers!$E$18,E186)),1,0))+IF(Classifiers!$F$18="",0,IF(ISNUMBER(SEARCH(Classifiers!$F$18,E186)),1,0))+IF(Classifiers!$G$18="",0,IF(ISNUMBER(SEARCH(Classifiers!$G$18,E186)),1,0)))&gt;0,1,0))</f>
        <v/>
      </c>
    </row>
    <row r="187">
      <c r="A187" s="8" t="n"/>
      <c r="B187" s="11" t="n"/>
      <c r="C187" s="6">
        <f>IF(A187="","",TRIM(RIGHT(SUBSTITUTE(A187,"/",REPT(" ",250)),250)))</f>
        <v/>
      </c>
      <c r="D187" s="6">
        <f>IF(C187="","",IF(ISNUMBER(SEARCH(".",C187)),LOWER("."&amp;TRIM(RIGHT(SUBSTITUTE(C187,".",REPT(" ",250)),250))),""))</f>
        <v/>
      </c>
      <c r="E187" s="6">
        <f>IF(C187="","",TRIM(SUBSTITUTE(SUBSTITUTE(SUBSTITUTE(SUBSTITUTE(SUBSTITUTE(SUBSTITUTE(SUBSTITUTE(SUBSTITUTE(SUBSTITUTE(SUBSTITUTE(SUBSTITUTE(SUBSTITUTE(SUBSTITUTE(SUBSTITUTE(SUBSTITUTE(SUBSTITUTE(SUBSTITUTE(SUBSTITUTE(SUBSTITUTE(SUBSTITUTE(LOWER(LEFT(C187,LEN(C187)-LEN(D187))),"_"," "),"-"," "),"."," "),","," "),"("," "),")"," "),"["," "),"]"," "),"&amp;"," "),"+"," "),"@"," "),"#"," "),"!"," "),"'"," "),"/"," "),":"," "),";"," "),"="," "),"~"," "),"%"," ")))</f>
        <v/>
      </c>
      <c r="F187" s="6">
        <f>IF(C187="","",IF(COUNTIF(Classifiers!$A$23:$A$40,D187)&gt;0,1,0))</f>
        <v/>
      </c>
      <c r="G187" s="6">
        <f>IF(C187="","",IF(COUNTIF(Classifiers!$C$23:$C$30,D187)&gt;0,IF((IF(ISNUMBER(SEARCH(Classifiers!$E$23,E187)),1,0)+IF(ISNUMBER(SEARCH(Classifiers!$E$24,E187)),1,0)+IF(ISNUMBER(SEARCH(Classifiers!$E$25,E187)),1,0)+IF(ISNUMBER(SEARCH(Classifiers!$E$26,E187)),1,0)+IF(ISNUMBER(SEARCH(Classifiers!$E$27,E187)),1,0)+IF(ISNUMBER(SEARCH(Classifiers!$E$28,E187)),1,0)+IF(ISNUMBER(SEARCH(Classifiers!$E$29,E187)),1,0)+IF(ISNUMBER(SEARCH(Classifiers!$E$30,E187)),1,0))&gt;0,1,0),0))</f>
        <v/>
      </c>
      <c r="H187" s="6">
        <f>IF(C187="","",IF(OR(LEFT(C187,1)=".",AND(F187=0,G187=0)),0,1))</f>
        <v/>
      </c>
      <c r="I187" s="6">
        <f>IF(H187&lt;&gt;1,"",IF(SUM(J187:W187)=0,"unclassified",INDEX(Classifiers!$A$5:$A$18,MATCH(1,J187:W187,0),1)))</f>
        <v/>
      </c>
      <c r="J187" s="12">
        <f>IF(H187&lt;&gt;1,0,IF((IF(Classifiers!$B$5="",0,IF(ISNUMBER(SEARCH(Classifiers!$B$5,E187)),1,0))+IF(Classifiers!$C$5="",0,IF(ISNUMBER(SEARCH(Classifiers!$C$5,E187)),1,0))+IF(Classifiers!$D$5="",0,IF(ISNUMBER(SEARCH(Classifiers!$D$5,E187)),1,0))+IF(Classifiers!$E$5="",0,IF(ISNUMBER(SEARCH(Classifiers!$E$5,E187)),1,0))+IF(Classifiers!$F$5="",0,IF(ISNUMBER(SEARCH(Classifiers!$F$5,E187)),1,0))+IF(Classifiers!$G$5="",0,IF(ISNUMBER(SEARCH(Classifiers!$G$5,E187)),1,0)))&gt;0,1,0))</f>
        <v/>
      </c>
      <c r="K187" s="12">
        <f>IF(H187&lt;&gt;1,0,IF((IF(Classifiers!$B$6="",0,IF(ISNUMBER(SEARCH(Classifiers!$B$6,E187)),1,0))+IF(Classifiers!$C$6="",0,IF(ISNUMBER(SEARCH(Classifiers!$C$6,E187)),1,0))+IF(Classifiers!$D$6="",0,IF(ISNUMBER(SEARCH(Classifiers!$D$6,E187)),1,0))+IF(Classifiers!$E$6="",0,IF(ISNUMBER(SEARCH(Classifiers!$E$6,E187)),1,0))+IF(Classifiers!$F$6="",0,IF(ISNUMBER(SEARCH(Classifiers!$F$6,E187)),1,0))+IF(Classifiers!$G$6="",0,IF(ISNUMBER(SEARCH(Classifiers!$G$6,E187)),1,0)))&gt;0,1,0))</f>
        <v/>
      </c>
      <c r="L187" s="12">
        <f>IF(H187&lt;&gt;1,0,IF((IF(Classifiers!$B$7="",0,IF(ISNUMBER(SEARCH(Classifiers!$B$7,E187)),1,0))+IF(Classifiers!$C$7="",0,IF(ISNUMBER(SEARCH(Classifiers!$C$7,E187)),1,0))+IF(Classifiers!$D$7="",0,IF(ISNUMBER(SEARCH(Classifiers!$D$7,E187)),1,0))+IF(Classifiers!$E$7="",0,IF(ISNUMBER(SEARCH(Classifiers!$E$7,E187)),1,0))+IF(Classifiers!$F$7="",0,IF(ISNUMBER(SEARCH(Classifiers!$F$7,E187)),1,0))+IF(Classifiers!$G$7="",0,IF(ISNUMBER(SEARCH(Classifiers!$G$7,E187)),1,0)))&gt;0,1,0))</f>
        <v/>
      </c>
      <c r="M187" s="12">
        <f>IF(H187&lt;&gt;1,0,IF((IF(Classifiers!$B$8="",0,IF(ISNUMBER(SEARCH(Classifiers!$B$8,E187)),1,0))+IF(Classifiers!$C$8="",0,IF(ISNUMBER(SEARCH(Classifiers!$C$8,E187)),1,0))+IF(Classifiers!$D$8="",0,IF(ISNUMBER(SEARCH(Classifiers!$D$8,E187)),1,0))+IF(Classifiers!$E$8="",0,IF(ISNUMBER(SEARCH(Classifiers!$E$8,E187)),1,0))+IF(Classifiers!$F$8="",0,IF(ISNUMBER(SEARCH(Classifiers!$F$8,E187)),1,0))+IF(Classifiers!$G$8="",0,IF(ISNUMBER(SEARCH(Classifiers!$G$8,E187)),1,0)))&gt;0,1,0))</f>
        <v/>
      </c>
      <c r="N187" s="12">
        <f>IF(H187&lt;&gt;1,0,IF((IF(Classifiers!$B$9="",0,IF(ISNUMBER(SEARCH(Classifiers!$B$9,E187)),1,0))+IF(Classifiers!$C$9="",0,IF(ISNUMBER(SEARCH(Classifiers!$C$9,E187)),1,0))+IF(Classifiers!$D$9="",0,IF(ISNUMBER(SEARCH(Classifiers!$D$9,E187)),1,0))+IF(Classifiers!$E$9="",0,IF(ISNUMBER(SEARCH(Classifiers!$E$9,E187)),1,0))+IF(Classifiers!$F$9="",0,IF(ISNUMBER(SEARCH(Classifiers!$F$9,E187)),1,0))+IF(Classifiers!$G$9="",0,IF(ISNUMBER(SEARCH(Classifiers!$G$9,E187)),1,0)))&gt;0,1,0))</f>
        <v/>
      </c>
      <c r="O187" s="12">
        <f>IF(H187&lt;&gt;1,0,IF((IF(Classifiers!$B$10="",0,IF(ISNUMBER(SEARCH(Classifiers!$B$10,E187)),1,0))+IF(Classifiers!$C$10="",0,IF(ISNUMBER(SEARCH(Classifiers!$C$10,E187)),1,0))+IF(Classifiers!$D$10="",0,IF(ISNUMBER(SEARCH(Classifiers!$D$10,E187)),1,0))+IF(Classifiers!$E$10="",0,IF(ISNUMBER(SEARCH(Classifiers!$E$10,E187)),1,0))+IF(Classifiers!$F$10="",0,IF(ISNUMBER(SEARCH(Classifiers!$F$10,E187)),1,0))+IF(Classifiers!$G$10="",0,IF(ISNUMBER(SEARCH(Classifiers!$G$10,E187)),1,0)))&gt;0,1,0))</f>
        <v/>
      </c>
      <c r="P187" s="12">
        <f>IF(H187&lt;&gt;1,0,IF((IF(Classifiers!$B$11="",0,IF(ISNUMBER(SEARCH(Classifiers!$B$11,E187)),1,0))+IF(Classifiers!$C$11="",0,IF(ISNUMBER(SEARCH(Classifiers!$C$11,E187)),1,0))+IF(Classifiers!$D$11="",0,IF(ISNUMBER(SEARCH(Classifiers!$D$11,E187)),1,0))+IF(Classifiers!$E$11="",0,IF(ISNUMBER(SEARCH(Classifiers!$E$11,E187)),1,0))+IF(Classifiers!$F$11="",0,IF(ISNUMBER(SEARCH(Classifiers!$F$11,E187)),1,0))+IF(Classifiers!$G$11="",0,IF(ISNUMBER(SEARCH(Classifiers!$G$11,E187)),1,0)))&gt;0,1,0))</f>
        <v/>
      </c>
      <c r="Q187" s="12">
        <f>IF(H187&lt;&gt;1,0,IF((IF(Classifiers!$B$12="",0,IF(ISNUMBER(SEARCH(Classifiers!$B$12,E187)),1,0))+IF(Classifiers!$C$12="",0,IF(ISNUMBER(SEARCH(Classifiers!$C$12,E187)),1,0))+IF(Classifiers!$D$12="",0,IF(ISNUMBER(SEARCH(Classifiers!$D$12,E187)),1,0))+IF(Classifiers!$E$12="",0,IF(ISNUMBER(SEARCH(Classifiers!$E$12,E187)),1,0))+IF(Classifiers!$F$12="",0,IF(ISNUMBER(SEARCH(Classifiers!$F$12,E187)),1,0))+IF(Classifiers!$G$12="",0,IF(ISNUMBER(SEARCH(Classifiers!$G$12,E187)),1,0)))&gt;0,1,0))</f>
        <v/>
      </c>
      <c r="R187" s="12">
        <f>IF(H187&lt;&gt;1,0,IF((IF(Classifiers!$B$13="",0,IF(ISNUMBER(SEARCH(Classifiers!$B$13,E187)),1,0))+IF(Classifiers!$C$13="",0,IF(ISNUMBER(SEARCH(Classifiers!$C$13,E187)),1,0))+IF(Classifiers!$D$13="",0,IF(ISNUMBER(SEARCH(Classifiers!$D$13,E187)),1,0))+IF(Classifiers!$E$13="",0,IF(ISNUMBER(SEARCH(Classifiers!$E$13,E187)),1,0))+IF(Classifiers!$F$13="",0,IF(ISNUMBER(SEARCH(Classifiers!$F$13,E187)),1,0))+IF(Classifiers!$G$13="",0,IF(ISNUMBER(SEARCH(Classifiers!$G$13,E187)),1,0)))&gt;0,1,0))</f>
        <v/>
      </c>
      <c r="S187" s="12">
        <f>IF(H187&lt;&gt;1,0,IF((IF(Classifiers!$B$14="",0,IF(ISNUMBER(SEARCH(Classifiers!$B$14,E187)),1,0))+IF(Classifiers!$C$14="",0,IF(ISNUMBER(SEARCH(Classifiers!$C$14,E187)),1,0))+IF(Classifiers!$D$14="",0,IF(ISNUMBER(SEARCH(Classifiers!$D$14,E187)),1,0))+IF(Classifiers!$E$14="",0,IF(ISNUMBER(SEARCH(Classifiers!$E$14,E187)),1,0))+IF(Classifiers!$F$14="",0,IF(ISNUMBER(SEARCH(Classifiers!$F$14,E187)),1,0))+IF(Classifiers!$G$14="",0,IF(ISNUMBER(SEARCH(Classifiers!$G$14,E187)),1,0)))&gt;0,1,0))</f>
        <v/>
      </c>
      <c r="T187" s="12">
        <f>IF(H187&lt;&gt;1,0,IF((IF(Classifiers!$B$15="",0,IF(ISNUMBER(SEARCH(Classifiers!$B$15,E187)),1,0))+IF(Classifiers!$C$15="",0,IF(ISNUMBER(SEARCH(Classifiers!$C$15,E187)),1,0))+IF(Classifiers!$D$15="",0,IF(ISNUMBER(SEARCH(Classifiers!$D$15,E187)),1,0))+IF(Classifiers!$E$15="",0,IF(ISNUMBER(SEARCH(Classifiers!$E$15,E187)),1,0))+IF(Classifiers!$F$15="",0,IF(ISNUMBER(SEARCH(Classifiers!$F$15,E187)),1,0))+IF(Classifiers!$G$15="",0,IF(ISNUMBER(SEARCH(Classifiers!$G$15,E187)),1,0)))&gt;0,1,0))</f>
        <v/>
      </c>
      <c r="U187" s="12">
        <f>IF(H187&lt;&gt;1,0,IF((IF(Classifiers!$B$16="",0,IF(ISNUMBER(SEARCH(Classifiers!$B$16,E187)),1,0))+IF(Classifiers!$C$16="",0,IF(ISNUMBER(SEARCH(Classifiers!$C$16,E187)),1,0))+IF(Classifiers!$D$16="",0,IF(ISNUMBER(SEARCH(Classifiers!$D$16,E187)),1,0))+IF(Classifiers!$E$16="",0,IF(ISNUMBER(SEARCH(Classifiers!$E$16,E187)),1,0))+IF(Classifiers!$F$16="",0,IF(ISNUMBER(SEARCH(Classifiers!$F$16,E187)),1,0))+IF(Classifiers!$G$16="",0,IF(ISNUMBER(SEARCH(Classifiers!$G$16,E187)),1,0)))&gt;0,1,0))</f>
        <v/>
      </c>
      <c r="V187" s="12">
        <f>IF(H187&lt;&gt;1,0,IF((IF(Classifiers!$B$17="",0,IF(ISNUMBER(SEARCH(Classifiers!$B$17,E187)),1,0))+IF(Classifiers!$C$17="",0,IF(ISNUMBER(SEARCH(Classifiers!$C$17,E187)),1,0))+IF(Classifiers!$D$17="",0,IF(ISNUMBER(SEARCH(Classifiers!$D$17,E187)),1,0))+IF(Classifiers!$E$17="",0,IF(ISNUMBER(SEARCH(Classifiers!$E$17,E187)),1,0))+IF(Classifiers!$F$17="",0,IF(ISNUMBER(SEARCH(Classifiers!$F$17,E187)),1,0))+IF(Classifiers!$G$17="",0,IF(ISNUMBER(SEARCH(Classifiers!$G$17,E187)),1,0)))&gt;0,1,0))</f>
        <v/>
      </c>
      <c r="W187" s="12">
        <f>IF(H187&lt;&gt;1,0,IF((IF(Classifiers!$B$18="",0,IF(ISNUMBER(SEARCH(Classifiers!$B$18,E187)),1,0))+IF(Classifiers!$C$18="",0,IF(ISNUMBER(SEARCH(Classifiers!$C$18,E187)),1,0))+IF(Classifiers!$D$18="",0,IF(ISNUMBER(SEARCH(Classifiers!$D$18,E187)),1,0))+IF(Classifiers!$E$18="",0,IF(ISNUMBER(SEARCH(Classifiers!$E$18,E187)),1,0))+IF(Classifiers!$F$18="",0,IF(ISNUMBER(SEARCH(Classifiers!$F$18,E187)),1,0))+IF(Classifiers!$G$18="",0,IF(ISNUMBER(SEARCH(Classifiers!$G$18,E187)),1,0)))&gt;0,1,0))</f>
        <v/>
      </c>
    </row>
    <row r="188">
      <c r="A188" s="8" t="n"/>
      <c r="B188" s="11" t="n"/>
      <c r="C188" s="6">
        <f>IF(A188="","",TRIM(RIGHT(SUBSTITUTE(A188,"/",REPT(" ",250)),250)))</f>
        <v/>
      </c>
      <c r="D188" s="6">
        <f>IF(C188="","",IF(ISNUMBER(SEARCH(".",C188)),LOWER("."&amp;TRIM(RIGHT(SUBSTITUTE(C188,".",REPT(" ",250)),250))),""))</f>
        <v/>
      </c>
      <c r="E188" s="6">
        <f>IF(C188="","",TRIM(SUBSTITUTE(SUBSTITUTE(SUBSTITUTE(SUBSTITUTE(SUBSTITUTE(SUBSTITUTE(SUBSTITUTE(SUBSTITUTE(SUBSTITUTE(SUBSTITUTE(SUBSTITUTE(SUBSTITUTE(SUBSTITUTE(SUBSTITUTE(SUBSTITUTE(SUBSTITUTE(SUBSTITUTE(SUBSTITUTE(SUBSTITUTE(SUBSTITUTE(LOWER(LEFT(C188,LEN(C188)-LEN(D188))),"_"," "),"-"," "),"."," "),","," "),"("," "),")"," "),"["," "),"]"," "),"&amp;"," "),"+"," "),"@"," "),"#"," "),"!"," "),"'"," "),"/"," "),":"," "),";"," "),"="," "),"~"," "),"%"," ")))</f>
        <v/>
      </c>
      <c r="F188" s="6">
        <f>IF(C188="","",IF(COUNTIF(Classifiers!$A$23:$A$40,D188)&gt;0,1,0))</f>
        <v/>
      </c>
      <c r="G188" s="6">
        <f>IF(C188="","",IF(COUNTIF(Classifiers!$C$23:$C$30,D188)&gt;0,IF((IF(ISNUMBER(SEARCH(Classifiers!$E$23,E188)),1,0)+IF(ISNUMBER(SEARCH(Classifiers!$E$24,E188)),1,0)+IF(ISNUMBER(SEARCH(Classifiers!$E$25,E188)),1,0)+IF(ISNUMBER(SEARCH(Classifiers!$E$26,E188)),1,0)+IF(ISNUMBER(SEARCH(Classifiers!$E$27,E188)),1,0)+IF(ISNUMBER(SEARCH(Classifiers!$E$28,E188)),1,0)+IF(ISNUMBER(SEARCH(Classifiers!$E$29,E188)),1,0)+IF(ISNUMBER(SEARCH(Classifiers!$E$30,E188)),1,0))&gt;0,1,0),0))</f>
        <v/>
      </c>
      <c r="H188" s="6">
        <f>IF(C188="","",IF(OR(LEFT(C188,1)=".",AND(F188=0,G188=0)),0,1))</f>
        <v/>
      </c>
      <c r="I188" s="6">
        <f>IF(H188&lt;&gt;1,"",IF(SUM(J188:W188)=0,"unclassified",INDEX(Classifiers!$A$5:$A$18,MATCH(1,J188:W188,0),1)))</f>
        <v/>
      </c>
      <c r="J188" s="12">
        <f>IF(H188&lt;&gt;1,0,IF((IF(Classifiers!$B$5="",0,IF(ISNUMBER(SEARCH(Classifiers!$B$5,E188)),1,0))+IF(Classifiers!$C$5="",0,IF(ISNUMBER(SEARCH(Classifiers!$C$5,E188)),1,0))+IF(Classifiers!$D$5="",0,IF(ISNUMBER(SEARCH(Classifiers!$D$5,E188)),1,0))+IF(Classifiers!$E$5="",0,IF(ISNUMBER(SEARCH(Classifiers!$E$5,E188)),1,0))+IF(Classifiers!$F$5="",0,IF(ISNUMBER(SEARCH(Classifiers!$F$5,E188)),1,0))+IF(Classifiers!$G$5="",0,IF(ISNUMBER(SEARCH(Classifiers!$G$5,E188)),1,0)))&gt;0,1,0))</f>
        <v/>
      </c>
      <c r="K188" s="12">
        <f>IF(H188&lt;&gt;1,0,IF((IF(Classifiers!$B$6="",0,IF(ISNUMBER(SEARCH(Classifiers!$B$6,E188)),1,0))+IF(Classifiers!$C$6="",0,IF(ISNUMBER(SEARCH(Classifiers!$C$6,E188)),1,0))+IF(Classifiers!$D$6="",0,IF(ISNUMBER(SEARCH(Classifiers!$D$6,E188)),1,0))+IF(Classifiers!$E$6="",0,IF(ISNUMBER(SEARCH(Classifiers!$E$6,E188)),1,0))+IF(Classifiers!$F$6="",0,IF(ISNUMBER(SEARCH(Classifiers!$F$6,E188)),1,0))+IF(Classifiers!$G$6="",0,IF(ISNUMBER(SEARCH(Classifiers!$G$6,E188)),1,0)))&gt;0,1,0))</f>
        <v/>
      </c>
      <c r="L188" s="12">
        <f>IF(H188&lt;&gt;1,0,IF((IF(Classifiers!$B$7="",0,IF(ISNUMBER(SEARCH(Classifiers!$B$7,E188)),1,0))+IF(Classifiers!$C$7="",0,IF(ISNUMBER(SEARCH(Classifiers!$C$7,E188)),1,0))+IF(Classifiers!$D$7="",0,IF(ISNUMBER(SEARCH(Classifiers!$D$7,E188)),1,0))+IF(Classifiers!$E$7="",0,IF(ISNUMBER(SEARCH(Classifiers!$E$7,E188)),1,0))+IF(Classifiers!$F$7="",0,IF(ISNUMBER(SEARCH(Classifiers!$F$7,E188)),1,0))+IF(Classifiers!$G$7="",0,IF(ISNUMBER(SEARCH(Classifiers!$G$7,E188)),1,0)))&gt;0,1,0))</f>
        <v/>
      </c>
      <c r="M188" s="12">
        <f>IF(H188&lt;&gt;1,0,IF((IF(Classifiers!$B$8="",0,IF(ISNUMBER(SEARCH(Classifiers!$B$8,E188)),1,0))+IF(Classifiers!$C$8="",0,IF(ISNUMBER(SEARCH(Classifiers!$C$8,E188)),1,0))+IF(Classifiers!$D$8="",0,IF(ISNUMBER(SEARCH(Classifiers!$D$8,E188)),1,0))+IF(Classifiers!$E$8="",0,IF(ISNUMBER(SEARCH(Classifiers!$E$8,E188)),1,0))+IF(Classifiers!$F$8="",0,IF(ISNUMBER(SEARCH(Classifiers!$F$8,E188)),1,0))+IF(Classifiers!$G$8="",0,IF(ISNUMBER(SEARCH(Classifiers!$G$8,E188)),1,0)))&gt;0,1,0))</f>
        <v/>
      </c>
      <c r="N188" s="12">
        <f>IF(H188&lt;&gt;1,0,IF((IF(Classifiers!$B$9="",0,IF(ISNUMBER(SEARCH(Classifiers!$B$9,E188)),1,0))+IF(Classifiers!$C$9="",0,IF(ISNUMBER(SEARCH(Classifiers!$C$9,E188)),1,0))+IF(Classifiers!$D$9="",0,IF(ISNUMBER(SEARCH(Classifiers!$D$9,E188)),1,0))+IF(Classifiers!$E$9="",0,IF(ISNUMBER(SEARCH(Classifiers!$E$9,E188)),1,0))+IF(Classifiers!$F$9="",0,IF(ISNUMBER(SEARCH(Classifiers!$F$9,E188)),1,0))+IF(Classifiers!$G$9="",0,IF(ISNUMBER(SEARCH(Classifiers!$G$9,E188)),1,0)))&gt;0,1,0))</f>
        <v/>
      </c>
      <c r="O188" s="12">
        <f>IF(H188&lt;&gt;1,0,IF((IF(Classifiers!$B$10="",0,IF(ISNUMBER(SEARCH(Classifiers!$B$10,E188)),1,0))+IF(Classifiers!$C$10="",0,IF(ISNUMBER(SEARCH(Classifiers!$C$10,E188)),1,0))+IF(Classifiers!$D$10="",0,IF(ISNUMBER(SEARCH(Classifiers!$D$10,E188)),1,0))+IF(Classifiers!$E$10="",0,IF(ISNUMBER(SEARCH(Classifiers!$E$10,E188)),1,0))+IF(Classifiers!$F$10="",0,IF(ISNUMBER(SEARCH(Classifiers!$F$10,E188)),1,0))+IF(Classifiers!$G$10="",0,IF(ISNUMBER(SEARCH(Classifiers!$G$10,E188)),1,0)))&gt;0,1,0))</f>
        <v/>
      </c>
      <c r="P188" s="12">
        <f>IF(H188&lt;&gt;1,0,IF((IF(Classifiers!$B$11="",0,IF(ISNUMBER(SEARCH(Classifiers!$B$11,E188)),1,0))+IF(Classifiers!$C$11="",0,IF(ISNUMBER(SEARCH(Classifiers!$C$11,E188)),1,0))+IF(Classifiers!$D$11="",0,IF(ISNUMBER(SEARCH(Classifiers!$D$11,E188)),1,0))+IF(Classifiers!$E$11="",0,IF(ISNUMBER(SEARCH(Classifiers!$E$11,E188)),1,0))+IF(Classifiers!$F$11="",0,IF(ISNUMBER(SEARCH(Classifiers!$F$11,E188)),1,0))+IF(Classifiers!$G$11="",0,IF(ISNUMBER(SEARCH(Classifiers!$G$11,E188)),1,0)))&gt;0,1,0))</f>
        <v/>
      </c>
      <c r="Q188" s="12">
        <f>IF(H188&lt;&gt;1,0,IF((IF(Classifiers!$B$12="",0,IF(ISNUMBER(SEARCH(Classifiers!$B$12,E188)),1,0))+IF(Classifiers!$C$12="",0,IF(ISNUMBER(SEARCH(Classifiers!$C$12,E188)),1,0))+IF(Classifiers!$D$12="",0,IF(ISNUMBER(SEARCH(Classifiers!$D$12,E188)),1,0))+IF(Classifiers!$E$12="",0,IF(ISNUMBER(SEARCH(Classifiers!$E$12,E188)),1,0))+IF(Classifiers!$F$12="",0,IF(ISNUMBER(SEARCH(Classifiers!$F$12,E188)),1,0))+IF(Classifiers!$G$12="",0,IF(ISNUMBER(SEARCH(Classifiers!$G$12,E188)),1,0)))&gt;0,1,0))</f>
        <v/>
      </c>
      <c r="R188" s="12">
        <f>IF(H188&lt;&gt;1,0,IF((IF(Classifiers!$B$13="",0,IF(ISNUMBER(SEARCH(Classifiers!$B$13,E188)),1,0))+IF(Classifiers!$C$13="",0,IF(ISNUMBER(SEARCH(Classifiers!$C$13,E188)),1,0))+IF(Classifiers!$D$13="",0,IF(ISNUMBER(SEARCH(Classifiers!$D$13,E188)),1,0))+IF(Classifiers!$E$13="",0,IF(ISNUMBER(SEARCH(Classifiers!$E$13,E188)),1,0))+IF(Classifiers!$F$13="",0,IF(ISNUMBER(SEARCH(Classifiers!$F$13,E188)),1,0))+IF(Classifiers!$G$13="",0,IF(ISNUMBER(SEARCH(Classifiers!$G$13,E188)),1,0)))&gt;0,1,0))</f>
        <v/>
      </c>
      <c r="S188" s="12">
        <f>IF(H188&lt;&gt;1,0,IF((IF(Classifiers!$B$14="",0,IF(ISNUMBER(SEARCH(Classifiers!$B$14,E188)),1,0))+IF(Classifiers!$C$14="",0,IF(ISNUMBER(SEARCH(Classifiers!$C$14,E188)),1,0))+IF(Classifiers!$D$14="",0,IF(ISNUMBER(SEARCH(Classifiers!$D$14,E188)),1,0))+IF(Classifiers!$E$14="",0,IF(ISNUMBER(SEARCH(Classifiers!$E$14,E188)),1,0))+IF(Classifiers!$F$14="",0,IF(ISNUMBER(SEARCH(Classifiers!$F$14,E188)),1,0))+IF(Classifiers!$G$14="",0,IF(ISNUMBER(SEARCH(Classifiers!$G$14,E188)),1,0)))&gt;0,1,0))</f>
        <v/>
      </c>
      <c r="T188" s="12">
        <f>IF(H188&lt;&gt;1,0,IF((IF(Classifiers!$B$15="",0,IF(ISNUMBER(SEARCH(Classifiers!$B$15,E188)),1,0))+IF(Classifiers!$C$15="",0,IF(ISNUMBER(SEARCH(Classifiers!$C$15,E188)),1,0))+IF(Classifiers!$D$15="",0,IF(ISNUMBER(SEARCH(Classifiers!$D$15,E188)),1,0))+IF(Classifiers!$E$15="",0,IF(ISNUMBER(SEARCH(Classifiers!$E$15,E188)),1,0))+IF(Classifiers!$F$15="",0,IF(ISNUMBER(SEARCH(Classifiers!$F$15,E188)),1,0))+IF(Classifiers!$G$15="",0,IF(ISNUMBER(SEARCH(Classifiers!$G$15,E188)),1,0)))&gt;0,1,0))</f>
        <v/>
      </c>
      <c r="U188" s="12">
        <f>IF(H188&lt;&gt;1,0,IF((IF(Classifiers!$B$16="",0,IF(ISNUMBER(SEARCH(Classifiers!$B$16,E188)),1,0))+IF(Classifiers!$C$16="",0,IF(ISNUMBER(SEARCH(Classifiers!$C$16,E188)),1,0))+IF(Classifiers!$D$16="",0,IF(ISNUMBER(SEARCH(Classifiers!$D$16,E188)),1,0))+IF(Classifiers!$E$16="",0,IF(ISNUMBER(SEARCH(Classifiers!$E$16,E188)),1,0))+IF(Classifiers!$F$16="",0,IF(ISNUMBER(SEARCH(Classifiers!$F$16,E188)),1,0))+IF(Classifiers!$G$16="",0,IF(ISNUMBER(SEARCH(Classifiers!$G$16,E188)),1,0)))&gt;0,1,0))</f>
        <v/>
      </c>
      <c r="V188" s="12">
        <f>IF(H188&lt;&gt;1,0,IF((IF(Classifiers!$B$17="",0,IF(ISNUMBER(SEARCH(Classifiers!$B$17,E188)),1,0))+IF(Classifiers!$C$17="",0,IF(ISNUMBER(SEARCH(Classifiers!$C$17,E188)),1,0))+IF(Classifiers!$D$17="",0,IF(ISNUMBER(SEARCH(Classifiers!$D$17,E188)),1,0))+IF(Classifiers!$E$17="",0,IF(ISNUMBER(SEARCH(Classifiers!$E$17,E188)),1,0))+IF(Classifiers!$F$17="",0,IF(ISNUMBER(SEARCH(Classifiers!$F$17,E188)),1,0))+IF(Classifiers!$G$17="",0,IF(ISNUMBER(SEARCH(Classifiers!$G$17,E188)),1,0)))&gt;0,1,0))</f>
        <v/>
      </c>
      <c r="W188" s="12">
        <f>IF(H188&lt;&gt;1,0,IF((IF(Classifiers!$B$18="",0,IF(ISNUMBER(SEARCH(Classifiers!$B$18,E188)),1,0))+IF(Classifiers!$C$18="",0,IF(ISNUMBER(SEARCH(Classifiers!$C$18,E188)),1,0))+IF(Classifiers!$D$18="",0,IF(ISNUMBER(SEARCH(Classifiers!$D$18,E188)),1,0))+IF(Classifiers!$E$18="",0,IF(ISNUMBER(SEARCH(Classifiers!$E$18,E188)),1,0))+IF(Classifiers!$F$18="",0,IF(ISNUMBER(SEARCH(Classifiers!$F$18,E188)),1,0))+IF(Classifiers!$G$18="",0,IF(ISNUMBER(SEARCH(Classifiers!$G$18,E188)),1,0)))&gt;0,1,0))</f>
        <v/>
      </c>
    </row>
    <row r="189">
      <c r="A189" s="8" t="n"/>
      <c r="B189" s="11" t="n"/>
      <c r="C189" s="6">
        <f>IF(A189="","",TRIM(RIGHT(SUBSTITUTE(A189,"/",REPT(" ",250)),250)))</f>
        <v/>
      </c>
      <c r="D189" s="6">
        <f>IF(C189="","",IF(ISNUMBER(SEARCH(".",C189)),LOWER("."&amp;TRIM(RIGHT(SUBSTITUTE(C189,".",REPT(" ",250)),250))),""))</f>
        <v/>
      </c>
      <c r="E189" s="6">
        <f>IF(C189="","",TRIM(SUBSTITUTE(SUBSTITUTE(SUBSTITUTE(SUBSTITUTE(SUBSTITUTE(SUBSTITUTE(SUBSTITUTE(SUBSTITUTE(SUBSTITUTE(SUBSTITUTE(SUBSTITUTE(SUBSTITUTE(SUBSTITUTE(SUBSTITUTE(SUBSTITUTE(SUBSTITUTE(SUBSTITUTE(SUBSTITUTE(SUBSTITUTE(SUBSTITUTE(LOWER(LEFT(C189,LEN(C189)-LEN(D189))),"_"," "),"-"," "),"."," "),","," "),"("," "),")"," "),"["," "),"]"," "),"&amp;"," "),"+"," "),"@"," "),"#"," "),"!"," "),"'"," "),"/"," "),":"," "),";"," "),"="," "),"~"," "),"%"," ")))</f>
        <v/>
      </c>
      <c r="F189" s="6">
        <f>IF(C189="","",IF(COUNTIF(Classifiers!$A$23:$A$40,D189)&gt;0,1,0))</f>
        <v/>
      </c>
      <c r="G189" s="6">
        <f>IF(C189="","",IF(COUNTIF(Classifiers!$C$23:$C$30,D189)&gt;0,IF((IF(ISNUMBER(SEARCH(Classifiers!$E$23,E189)),1,0)+IF(ISNUMBER(SEARCH(Classifiers!$E$24,E189)),1,0)+IF(ISNUMBER(SEARCH(Classifiers!$E$25,E189)),1,0)+IF(ISNUMBER(SEARCH(Classifiers!$E$26,E189)),1,0)+IF(ISNUMBER(SEARCH(Classifiers!$E$27,E189)),1,0)+IF(ISNUMBER(SEARCH(Classifiers!$E$28,E189)),1,0)+IF(ISNUMBER(SEARCH(Classifiers!$E$29,E189)),1,0)+IF(ISNUMBER(SEARCH(Classifiers!$E$30,E189)),1,0))&gt;0,1,0),0))</f>
        <v/>
      </c>
      <c r="H189" s="6">
        <f>IF(C189="","",IF(OR(LEFT(C189,1)=".",AND(F189=0,G189=0)),0,1))</f>
        <v/>
      </c>
      <c r="I189" s="6">
        <f>IF(H189&lt;&gt;1,"",IF(SUM(J189:W189)=0,"unclassified",INDEX(Classifiers!$A$5:$A$18,MATCH(1,J189:W189,0),1)))</f>
        <v/>
      </c>
      <c r="J189" s="12">
        <f>IF(H189&lt;&gt;1,0,IF((IF(Classifiers!$B$5="",0,IF(ISNUMBER(SEARCH(Classifiers!$B$5,E189)),1,0))+IF(Classifiers!$C$5="",0,IF(ISNUMBER(SEARCH(Classifiers!$C$5,E189)),1,0))+IF(Classifiers!$D$5="",0,IF(ISNUMBER(SEARCH(Classifiers!$D$5,E189)),1,0))+IF(Classifiers!$E$5="",0,IF(ISNUMBER(SEARCH(Classifiers!$E$5,E189)),1,0))+IF(Classifiers!$F$5="",0,IF(ISNUMBER(SEARCH(Classifiers!$F$5,E189)),1,0))+IF(Classifiers!$G$5="",0,IF(ISNUMBER(SEARCH(Classifiers!$G$5,E189)),1,0)))&gt;0,1,0))</f>
        <v/>
      </c>
      <c r="K189" s="12">
        <f>IF(H189&lt;&gt;1,0,IF((IF(Classifiers!$B$6="",0,IF(ISNUMBER(SEARCH(Classifiers!$B$6,E189)),1,0))+IF(Classifiers!$C$6="",0,IF(ISNUMBER(SEARCH(Classifiers!$C$6,E189)),1,0))+IF(Classifiers!$D$6="",0,IF(ISNUMBER(SEARCH(Classifiers!$D$6,E189)),1,0))+IF(Classifiers!$E$6="",0,IF(ISNUMBER(SEARCH(Classifiers!$E$6,E189)),1,0))+IF(Classifiers!$F$6="",0,IF(ISNUMBER(SEARCH(Classifiers!$F$6,E189)),1,0))+IF(Classifiers!$G$6="",0,IF(ISNUMBER(SEARCH(Classifiers!$G$6,E189)),1,0)))&gt;0,1,0))</f>
        <v/>
      </c>
      <c r="L189" s="12">
        <f>IF(H189&lt;&gt;1,0,IF((IF(Classifiers!$B$7="",0,IF(ISNUMBER(SEARCH(Classifiers!$B$7,E189)),1,0))+IF(Classifiers!$C$7="",0,IF(ISNUMBER(SEARCH(Classifiers!$C$7,E189)),1,0))+IF(Classifiers!$D$7="",0,IF(ISNUMBER(SEARCH(Classifiers!$D$7,E189)),1,0))+IF(Classifiers!$E$7="",0,IF(ISNUMBER(SEARCH(Classifiers!$E$7,E189)),1,0))+IF(Classifiers!$F$7="",0,IF(ISNUMBER(SEARCH(Classifiers!$F$7,E189)),1,0))+IF(Classifiers!$G$7="",0,IF(ISNUMBER(SEARCH(Classifiers!$G$7,E189)),1,0)))&gt;0,1,0))</f>
        <v/>
      </c>
      <c r="M189" s="12">
        <f>IF(H189&lt;&gt;1,0,IF((IF(Classifiers!$B$8="",0,IF(ISNUMBER(SEARCH(Classifiers!$B$8,E189)),1,0))+IF(Classifiers!$C$8="",0,IF(ISNUMBER(SEARCH(Classifiers!$C$8,E189)),1,0))+IF(Classifiers!$D$8="",0,IF(ISNUMBER(SEARCH(Classifiers!$D$8,E189)),1,0))+IF(Classifiers!$E$8="",0,IF(ISNUMBER(SEARCH(Classifiers!$E$8,E189)),1,0))+IF(Classifiers!$F$8="",0,IF(ISNUMBER(SEARCH(Classifiers!$F$8,E189)),1,0))+IF(Classifiers!$G$8="",0,IF(ISNUMBER(SEARCH(Classifiers!$G$8,E189)),1,0)))&gt;0,1,0))</f>
        <v/>
      </c>
      <c r="N189" s="12">
        <f>IF(H189&lt;&gt;1,0,IF((IF(Classifiers!$B$9="",0,IF(ISNUMBER(SEARCH(Classifiers!$B$9,E189)),1,0))+IF(Classifiers!$C$9="",0,IF(ISNUMBER(SEARCH(Classifiers!$C$9,E189)),1,0))+IF(Classifiers!$D$9="",0,IF(ISNUMBER(SEARCH(Classifiers!$D$9,E189)),1,0))+IF(Classifiers!$E$9="",0,IF(ISNUMBER(SEARCH(Classifiers!$E$9,E189)),1,0))+IF(Classifiers!$F$9="",0,IF(ISNUMBER(SEARCH(Classifiers!$F$9,E189)),1,0))+IF(Classifiers!$G$9="",0,IF(ISNUMBER(SEARCH(Classifiers!$G$9,E189)),1,0)))&gt;0,1,0))</f>
        <v/>
      </c>
      <c r="O189" s="12">
        <f>IF(H189&lt;&gt;1,0,IF((IF(Classifiers!$B$10="",0,IF(ISNUMBER(SEARCH(Classifiers!$B$10,E189)),1,0))+IF(Classifiers!$C$10="",0,IF(ISNUMBER(SEARCH(Classifiers!$C$10,E189)),1,0))+IF(Classifiers!$D$10="",0,IF(ISNUMBER(SEARCH(Classifiers!$D$10,E189)),1,0))+IF(Classifiers!$E$10="",0,IF(ISNUMBER(SEARCH(Classifiers!$E$10,E189)),1,0))+IF(Classifiers!$F$10="",0,IF(ISNUMBER(SEARCH(Classifiers!$F$10,E189)),1,0))+IF(Classifiers!$G$10="",0,IF(ISNUMBER(SEARCH(Classifiers!$G$10,E189)),1,0)))&gt;0,1,0))</f>
        <v/>
      </c>
      <c r="P189" s="12">
        <f>IF(H189&lt;&gt;1,0,IF((IF(Classifiers!$B$11="",0,IF(ISNUMBER(SEARCH(Classifiers!$B$11,E189)),1,0))+IF(Classifiers!$C$11="",0,IF(ISNUMBER(SEARCH(Classifiers!$C$11,E189)),1,0))+IF(Classifiers!$D$11="",0,IF(ISNUMBER(SEARCH(Classifiers!$D$11,E189)),1,0))+IF(Classifiers!$E$11="",0,IF(ISNUMBER(SEARCH(Classifiers!$E$11,E189)),1,0))+IF(Classifiers!$F$11="",0,IF(ISNUMBER(SEARCH(Classifiers!$F$11,E189)),1,0))+IF(Classifiers!$G$11="",0,IF(ISNUMBER(SEARCH(Classifiers!$G$11,E189)),1,0)))&gt;0,1,0))</f>
        <v/>
      </c>
      <c r="Q189" s="12">
        <f>IF(H189&lt;&gt;1,0,IF((IF(Classifiers!$B$12="",0,IF(ISNUMBER(SEARCH(Classifiers!$B$12,E189)),1,0))+IF(Classifiers!$C$12="",0,IF(ISNUMBER(SEARCH(Classifiers!$C$12,E189)),1,0))+IF(Classifiers!$D$12="",0,IF(ISNUMBER(SEARCH(Classifiers!$D$12,E189)),1,0))+IF(Classifiers!$E$12="",0,IF(ISNUMBER(SEARCH(Classifiers!$E$12,E189)),1,0))+IF(Classifiers!$F$12="",0,IF(ISNUMBER(SEARCH(Classifiers!$F$12,E189)),1,0))+IF(Classifiers!$G$12="",0,IF(ISNUMBER(SEARCH(Classifiers!$G$12,E189)),1,0)))&gt;0,1,0))</f>
        <v/>
      </c>
      <c r="R189" s="12">
        <f>IF(H189&lt;&gt;1,0,IF((IF(Classifiers!$B$13="",0,IF(ISNUMBER(SEARCH(Classifiers!$B$13,E189)),1,0))+IF(Classifiers!$C$13="",0,IF(ISNUMBER(SEARCH(Classifiers!$C$13,E189)),1,0))+IF(Classifiers!$D$13="",0,IF(ISNUMBER(SEARCH(Classifiers!$D$13,E189)),1,0))+IF(Classifiers!$E$13="",0,IF(ISNUMBER(SEARCH(Classifiers!$E$13,E189)),1,0))+IF(Classifiers!$F$13="",0,IF(ISNUMBER(SEARCH(Classifiers!$F$13,E189)),1,0))+IF(Classifiers!$G$13="",0,IF(ISNUMBER(SEARCH(Classifiers!$G$13,E189)),1,0)))&gt;0,1,0))</f>
        <v/>
      </c>
      <c r="S189" s="12">
        <f>IF(H189&lt;&gt;1,0,IF((IF(Classifiers!$B$14="",0,IF(ISNUMBER(SEARCH(Classifiers!$B$14,E189)),1,0))+IF(Classifiers!$C$14="",0,IF(ISNUMBER(SEARCH(Classifiers!$C$14,E189)),1,0))+IF(Classifiers!$D$14="",0,IF(ISNUMBER(SEARCH(Classifiers!$D$14,E189)),1,0))+IF(Classifiers!$E$14="",0,IF(ISNUMBER(SEARCH(Classifiers!$E$14,E189)),1,0))+IF(Classifiers!$F$14="",0,IF(ISNUMBER(SEARCH(Classifiers!$F$14,E189)),1,0))+IF(Classifiers!$G$14="",0,IF(ISNUMBER(SEARCH(Classifiers!$G$14,E189)),1,0)))&gt;0,1,0))</f>
        <v/>
      </c>
      <c r="T189" s="12">
        <f>IF(H189&lt;&gt;1,0,IF((IF(Classifiers!$B$15="",0,IF(ISNUMBER(SEARCH(Classifiers!$B$15,E189)),1,0))+IF(Classifiers!$C$15="",0,IF(ISNUMBER(SEARCH(Classifiers!$C$15,E189)),1,0))+IF(Classifiers!$D$15="",0,IF(ISNUMBER(SEARCH(Classifiers!$D$15,E189)),1,0))+IF(Classifiers!$E$15="",0,IF(ISNUMBER(SEARCH(Classifiers!$E$15,E189)),1,0))+IF(Classifiers!$F$15="",0,IF(ISNUMBER(SEARCH(Classifiers!$F$15,E189)),1,0))+IF(Classifiers!$G$15="",0,IF(ISNUMBER(SEARCH(Classifiers!$G$15,E189)),1,0)))&gt;0,1,0))</f>
        <v/>
      </c>
      <c r="U189" s="12">
        <f>IF(H189&lt;&gt;1,0,IF((IF(Classifiers!$B$16="",0,IF(ISNUMBER(SEARCH(Classifiers!$B$16,E189)),1,0))+IF(Classifiers!$C$16="",0,IF(ISNUMBER(SEARCH(Classifiers!$C$16,E189)),1,0))+IF(Classifiers!$D$16="",0,IF(ISNUMBER(SEARCH(Classifiers!$D$16,E189)),1,0))+IF(Classifiers!$E$16="",0,IF(ISNUMBER(SEARCH(Classifiers!$E$16,E189)),1,0))+IF(Classifiers!$F$16="",0,IF(ISNUMBER(SEARCH(Classifiers!$F$16,E189)),1,0))+IF(Classifiers!$G$16="",0,IF(ISNUMBER(SEARCH(Classifiers!$G$16,E189)),1,0)))&gt;0,1,0))</f>
        <v/>
      </c>
      <c r="V189" s="12">
        <f>IF(H189&lt;&gt;1,0,IF((IF(Classifiers!$B$17="",0,IF(ISNUMBER(SEARCH(Classifiers!$B$17,E189)),1,0))+IF(Classifiers!$C$17="",0,IF(ISNUMBER(SEARCH(Classifiers!$C$17,E189)),1,0))+IF(Classifiers!$D$17="",0,IF(ISNUMBER(SEARCH(Classifiers!$D$17,E189)),1,0))+IF(Classifiers!$E$17="",0,IF(ISNUMBER(SEARCH(Classifiers!$E$17,E189)),1,0))+IF(Classifiers!$F$17="",0,IF(ISNUMBER(SEARCH(Classifiers!$F$17,E189)),1,0))+IF(Classifiers!$G$17="",0,IF(ISNUMBER(SEARCH(Classifiers!$G$17,E189)),1,0)))&gt;0,1,0))</f>
        <v/>
      </c>
      <c r="W189" s="12">
        <f>IF(H189&lt;&gt;1,0,IF((IF(Classifiers!$B$18="",0,IF(ISNUMBER(SEARCH(Classifiers!$B$18,E189)),1,0))+IF(Classifiers!$C$18="",0,IF(ISNUMBER(SEARCH(Classifiers!$C$18,E189)),1,0))+IF(Classifiers!$D$18="",0,IF(ISNUMBER(SEARCH(Classifiers!$D$18,E189)),1,0))+IF(Classifiers!$E$18="",0,IF(ISNUMBER(SEARCH(Classifiers!$E$18,E189)),1,0))+IF(Classifiers!$F$18="",0,IF(ISNUMBER(SEARCH(Classifiers!$F$18,E189)),1,0))+IF(Classifiers!$G$18="",0,IF(ISNUMBER(SEARCH(Classifiers!$G$18,E189)),1,0)))&gt;0,1,0))</f>
        <v/>
      </c>
    </row>
    <row r="190">
      <c r="A190" s="8" t="n"/>
      <c r="B190" s="11" t="n"/>
      <c r="C190" s="6">
        <f>IF(A190="","",TRIM(RIGHT(SUBSTITUTE(A190,"/",REPT(" ",250)),250)))</f>
        <v/>
      </c>
      <c r="D190" s="6">
        <f>IF(C190="","",IF(ISNUMBER(SEARCH(".",C190)),LOWER("."&amp;TRIM(RIGHT(SUBSTITUTE(C190,".",REPT(" ",250)),250))),""))</f>
        <v/>
      </c>
      <c r="E190" s="6">
        <f>IF(C190="","",TRIM(SUBSTITUTE(SUBSTITUTE(SUBSTITUTE(SUBSTITUTE(SUBSTITUTE(SUBSTITUTE(SUBSTITUTE(SUBSTITUTE(SUBSTITUTE(SUBSTITUTE(SUBSTITUTE(SUBSTITUTE(SUBSTITUTE(SUBSTITUTE(SUBSTITUTE(SUBSTITUTE(SUBSTITUTE(SUBSTITUTE(SUBSTITUTE(SUBSTITUTE(LOWER(LEFT(C190,LEN(C190)-LEN(D190))),"_"," "),"-"," "),"."," "),","," "),"("," "),")"," "),"["," "),"]"," "),"&amp;"," "),"+"," "),"@"," "),"#"," "),"!"," "),"'"," "),"/"," "),":"," "),";"," "),"="," "),"~"," "),"%"," ")))</f>
        <v/>
      </c>
      <c r="F190" s="6">
        <f>IF(C190="","",IF(COUNTIF(Classifiers!$A$23:$A$40,D190)&gt;0,1,0))</f>
        <v/>
      </c>
      <c r="G190" s="6">
        <f>IF(C190="","",IF(COUNTIF(Classifiers!$C$23:$C$30,D190)&gt;0,IF((IF(ISNUMBER(SEARCH(Classifiers!$E$23,E190)),1,0)+IF(ISNUMBER(SEARCH(Classifiers!$E$24,E190)),1,0)+IF(ISNUMBER(SEARCH(Classifiers!$E$25,E190)),1,0)+IF(ISNUMBER(SEARCH(Classifiers!$E$26,E190)),1,0)+IF(ISNUMBER(SEARCH(Classifiers!$E$27,E190)),1,0)+IF(ISNUMBER(SEARCH(Classifiers!$E$28,E190)),1,0)+IF(ISNUMBER(SEARCH(Classifiers!$E$29,E190)),1,0)+IF(ISNUMBER(SEARCH(Classifiers!$E$30,E190)),1,0))&gt;0,1,0),0))</f>
        <v/>
      </c>
      <c r="H190" s="6">
        <f>IF(C190="","",IF(OR(LEFT(C190,1)=".",AND(F190=0,G190=0)),0,1))</f>
        <v/>
      </c>
      <c r="I190" s="6">
        <f>IF(H190&lt;&gt;1,"",IF(SUM(J190:W190)=0,"unclassified",INDEX(Classifiers!$A$5:$A$18,MATCH(1,J190:W190,0),1)))</f>
        <v/>
      </c>
      <c r="J190" s="12">
        <f>IF(H190&lt;&gt;1,0,IF((IF(Classifiers!$B$5="",0,IF(ISNUMBER(SEARCH(Classifiers!$B$5,E190)),1,0))+IF(Classifiers!$C$5="",0,IF(ISNUMBER(SEARCH(Classifiers!$C$5,E190)),1,0))+IF(Classifiers!$D$5="",0,IF(ISNUMBER(SEARCH(Classifiers!$D$5,E190)),1,0))+IF(Classifiers!$E$5="",0,IF(ISNUMBER(SEARCH(Classifiers!$E$5,E190)),1,0))+IF(Classifiers!$F$5="",0,IF(ISNUMBER(SEARCH(Classifiers!$F$5,E190)),1,0))+IF(Classifiers!$G$5="",0,IF(ISNUMBER(SEARCH(Classifiers!$G$5,E190)),1,0)))&gt;0,1,0))</f>
        <v/>
      </c>
      <c r="K190" s="12">
        <f>IF(H190&lt;&gt;1,0,IF((IF(Classifiers!$B$6="",0,IF(ISNUMBER(SEARCH(Classifiers!$B$6,E190)),1,0))+IF(Classifiers!$C$6="",0,IF(ISNUMBER(SEARCH(Classifiers!$C$6,E190)),1,0))+IF(Classifiers!$D$6="",0,IF(ISNUMBER(SEARCH(Classifiers!$D$6,E190)),1,0))+IF(Classifiers!$E$6="",0,IF(ISNUMBER(SEARCH(Classifiers!$E$6,E190)),1,0))+IF(Classifiers!$F$6="",0,IF(ISNUMBER(SEARCH(Classifiers!$F$6,E190)),1,0))+IF(Classifiers!$G$6="",0,IF(ISNUMBER(SEARCH(Classifiers!$G$6,E190)),1,0)))&gt;0,1,0))</f>
        <v/>
      </c>
      <c r="L190" s="12">
        <f>IF(H190&lt;&gt;1,0,IF((IF(Classifiers!$B$7="",0,IF(ISNUMBER(SEARCH(Classifiers!$B$7,E190)),1,0))+IF(Classifiers!$C$7="",0,IF(ISNUMBER(SEARCH(Classifiers!$C$7,E190)),1,0))+IF(Classifiers!$D$7="",0,IF(ISNUMBER(SEARCH(Classifiers!$D$7,E190)),1,0))+IF(Classifiers!$E$7="",0,IF(ISNUMBER(SEARCH(Classifiers!$E$7,E190)),1,0))+IF(Classifiers!$F$7="",0,IF(ISNUMBER(SEARCH(Classifiers!$F$7,E190)),1,0))+IF(Classifiers!$G$7="",0,IF(ISNUMBER(SEARCH(Classifiers!$G$7,E190)),1,0)))&gt;0,1,0))</f>
        <v/>
      </c>
      <c r="M190" s="12">
        <f>IF(H190&lt;&gt;1,0,IF((IF(Classifiers!$B$8="",0,IF(ISNUMBER(SEARCH(Classifiers!$B$8,E190)),1,0))+IF(Classifiers!$C$8="",0,IF(ISNUMBER(SEARCH(Classifiers!$C$8,E190)),1,0))+IF(Classifiers!$D$8="",0,IF(ISNUMBER(SEARCH(Classifiers!$D$8,E190)),1,0))+IF(Classifiers!$E$8="",0,IF(ISNUMBER(SEARCH(Classifiers!$E$8,E190)),1,0))+IF(Classifiers!$F$8="",0,IF(ISNUMBER(SEARCH(Classifiers!$F$8,E190)),1,0))+IF(Classifiers!$G$8="",0,IF(ISNUMBER(SEARCH(Classifiers!$G$8,E190)),1,0)))&gt;0,1,0))</f>
        <v/>
      </c>
      <c r="N190" s="12">
        <f>IF(H190&lt;&gt;1,0,IF((IF(Classifiers!$B$9="",0,IF(ISNUMBER(SEARCH(Classifiers!$B$9,E190)),1,0))+IF(Classifiers!$C$9="",0,IF(ISNUMBER(SEARCH(Classifiers!$C$9,E190)),1,0))+IF(Classifiers!$D$9="",0,IF(ISNUMBER(SEARCH(Classifiers!$D$9,E190)),1,0))+IF(Classifiers!$E$9="",0,IF(ISNUMBER(SEARCH(Classifiers!$E$9,E190)),1,0))+IF(Classifiers!$F$9="",0,IF(ISNUMBER(SEARCH(Classifiers!$F$9,E190)),1,0))+IF(Classifiers!$G$9="",0,IF(ISNUMBER(SEARCH(Classifiers!$G$9,E190)),1,0)))&gt;0,1,0))</f>
        <v/>
      </c>
      <c r="O190" s="12">
        <f>IF(H190&lt;&gt;1,0,IF((IF(Classifiers!$B$10="",0,IF(ISNUMBER(SEARCH(Classifiers!$B$10,E190)),1,0))+IF(Classifiers!$C$10="",0,IF(ISNUMBER(SEARCH(Classifiers!$C$10,E190)),1,0))+IF(Classifiers!$D$10="",0,IF(ISNUMBER(SEARCH(Classifiers!$D$10,E190)),1,0))+IF(Classifiers!$E$10="",0,IF(ISNUMBER(SEARCH(Classifiers!$E$10,E190)),1,0))+IF(Classifiers!$F$10="",0,IF(ISNUMBER(SEARCH(Classifiers!$F$10,E190)),1,0))+IF(Classifiers!$G$10="",0,IF(ISNUMBER(SEARCH(Classifiers!$G$10,E190)),1,0)))&gt;0,1,0))</f>
        <v/>
      </c>
      <c r="P190" s="12">
        <f>IF(H190&lt;&gt;1,0,IF((IF(Classifiers!$B$11="",0,IF(ISNUMBER(SEARCH(Classifiers!$B$11,E190)),1,0))+IF(Classifiers!$C$11="",0,IF(ISNUMBER(SEARCH(Classifiers!$C$11,E190)),1,0))+IF(Classifiers!$D$11="",0,IF(ISNUMBER(SEARCH(Classifiers!$D$11,E190)),1,0))+IF(Classifiers!$E$11="",0,IF(ISNUMBER(SEARCH(Classifiers!$E$11,E190)),1,0))+IF(Classifiers!$F$11="",0,IF(ISNUMBER(SEARCH(Classifiers!$F$11,E190)),1,0))+IF(Classifiers!$G$11="",0,IF(ISNUMBER(SEARCH(Classifiers!$G$11,E190)),1,0)))&gt;0,1,0))</f>
        <v/>
      </c>
      <c r="Q190" s="12">
        <f>IF(H190&lt;&gt;1,0,IF((IF(Classifiers!$B$12="",0,IF(ISNUMBER(SEARCH(Classifiers!$B$12,E190)),1,0))+IF(Classifiers!$C$12="",0,IF(ISNUMBER(SEARCH(Classifiers!$C$12,E190)),1,0))+IF(Classifiers!$D$12="",0,IF(ISNUMBER(SEARCH(Classifiers!$D$12,E190)),1,0))+IF(Classifiers!$E$12="",0,IF(ISNUMBER(SEARCH(Classifiers!$E$12,E190)),1,0))+IF(Classifiers!$F$12="",0,IF(ISNUMBER(SEARCH(Classifiers!$F$12,E190)),1,0))+IF(Classifiers!$G$12="",0,IF(ISNUMBER(SEARCH(Classifiers!$G$12,E190)),1,0)))&gt;0,1,0))</f>
        <v/>
      </c>
      <c r="R190" s="12">
        <f>IF(H190&lt;&gt;1,0,IF((IF(Classifiers!$B$13="",0,IF(ISNUMBER(SEARCH(Classifiers!$B$13,E190)),1,0))+IF(Classifiers!$C$13="",0,IF(ISNUMBER(SEARCH(Classifiers!$C$13,E190)),1,0))+IF(Classifiers!$D$13="",0,IF(ISNUMBER(SEARCH(Classifiers!$D$13,E190)),1,0))+IF(Classifiers!$E$13="",0,IF(ISNUMBER(SEARCH(Classifiers!$E$13,E190)),1,0))+IF(Classifiers!$F$13="",0,IF(ISNUMBER(SEARCH(Classifiers!$F$13,E190)),1,0))+IF(Classifiers!$G$13="",0,IF(ISNUMBER(SEARCH(Classifiers!$G$13,E190)),1,0)))&gt;0,1,0))</f>
        <v/>
      </c>
      <c r="S190" s="12">
        <f>IF(H190&lt;&gt;1,0,IF((IF(Classifiers!$B$14="",0,IF(ISNUMBER(SEARCH(Classifiers!$B$14,E190)),1,0))+IF(Classifiers!$C$14="",0,IF(ISNUMBER(SEARCH(Classifiers!$C$14,E190)),1,0))+IF(Classifiers!$D$14="",0,IF(ISNUMBER(SEARCH(Classifiers!$D$14,E190)),1,0))+IF(Classifiers!$E$14="",0,IF(ISNUMBER(SEARCH(Classifiers!$E$14,E190)),1,0))+IF(Classifiers!$F$14="",0,IF(ISNUMBER(SEARCH(Classifiers!$F$14,E190)),1,0))+IF(Classifiers!$G$14="",0,IF(ISNUMBER(SEARCH(Classifiers!$G$14,E190)),1,0)))&gt;0,1,0))</f>
        <v/>
      </c>
      <c r="T190" s="12">
        <f>IF(H190&lt;&gt;1,0,IF((IF(Classifiers!$B$15="",0,IF(ISNUMBER(SEARCH(Classifiers!$B$15,E190)),1,0))+IF(Classifiers!$C$15="",0,IF(ISNUMBER(SEARCH(Classifiers!$C$15,E190)),1,0))+IF(Classifiers!$D$15="",0,IF(ISNUMBER(SEARCH(Classifiers!$D$15,E190)),1,0))+IF(Classifiers!$E$15="",0,IF(ISNUMBER(SEARCH(Classifiers!$E$15,E190)),1,0))+IF(Classifiers!$F$15="",0,IF(ISNUMBER(SEARCH(Classifiers!$F$15,E190)),1,0))+IF(Classifiers!$G$15="",0,IF(ISNUMBER(SEARCH(Classifiers!$G$15,E190)),1,0)))&gt;0,1,0))</f>
        <v/>
      </c>
      <c r="U190" s="12">
        <f>IF(H190&lt;&gt;1,0,IF((IF(Classifiers!$B$16="",0,IF(ISNUMBER(SEARCH(Classifiers!$B$16,E190)),1,0))+IF(Classifiers!$C$16="",0,IF(ISNUMBER(SEARCH(Classifiers!$C$16,E190)),1,0))+IF(Classifiers!$D$16="",0,IF(ISNUMBER(SEARCH(Classifiers!$D$16,E190)),1,0))+IF(Classifiers!$E$16="",0,IF(ISNUMBER(SEARCH(Classifiers!$E$16,E190)),1,0))+IF(Classifiers!$F$16="",0,IF(ISNUMBER(SEARCH(Classifiers!$F$16,E190)),1,0))+IF(Classifiers!$G$16="",0,IF(ISNUMBER(SEARCH(Classifiers!$G$16,E190)),1,0)))&gt;0,1,0))</f>
        <v/>
      </c>
      <c r="V190" s="12">
        <f>IF(H190&lt;&gt;1,0,IF((IF(Classifiers!$B$17="",0,IF(ISNUMBER(SEARCH(Classifiers!$B$17,E190)),1,0))+IF(Classifiers!$C$17="",0,IF(ISNUMBER(SEARCH(Classifiers!$C$17,E190)),1,0))+IF(Classifiers!$D$17="",0,IF(ISNUMBER(SEARCH(Classifiers!$D$17,E190)),1,0))+IF(Classifiers!$E$17="",0,IF(ISNUMBER(SEARCH(Classifiers!$E$17,E190)),1,0))+IF(Classifiers!$F$17="",0,IF(ISNUMBER(SEARCH(Classifiers!$F$17,E190)),1,0))+IF(Classifiers!$G$17="",0,IF(ISNUMBER(SEARCH(Classifiers!$G$17,E190)),1,0)))&gt;0,1,0))</f>
        <v/>
      </c>
      <c r="W190" s="12">
        <f>IF(H190&lt;&gt;1,0,IF((IF(Classifiers!$B$18="",0,IF(ISNUMBER(SEARCH(Classifiers!$B$18,E190)),1,0))+IF(Classifiers!$C$18="",0,IF(ISNUMBER(SEARCH(Classifiers!$C$18,E190)),1,0))+IF(Classifiers!$D$18="",0,IF(ISNUMBER(SEARCH(Classifiers!$D$18,E190)),1,0))+IF(Classifiers!$E$18="",0,IF(ISNUMBER(SEARCH(Classifiers!$E$18,E190)),1,0))+IF(Classifiers!$F$18="",0,IF(ISNUMBER(SEARCH(Classifiers!$F$18,E190)),1,0))+IF(Classifiers!$G$18="",0,IF(ISNUMBER(SEARCH(Classifiers!$G$18,E190)),1,0)))&gt;0,1,0))</f>
        <v/>
      </c>
    </row>
    <row r="191">
      <c r="A191" s="8" t="n"/>
      <c r="B191" s="11" t="n"/>
      <c r="C191" s="6">
        <f>IF(A191="","",TRIM(RIGHT(SUBSTITUTE(A191,"/",REPT(" ",250)),250)))</f>
        <v/>
      </c>
      <c r="D191" s="6">
        <f>IF(C191="","",IF(ISNUMBER(SEARCH(".",C191)),LOWER("."&amp;TRIM(RIGHT(SUBSTITUTE(C191,".",REPT(" ",250)),250))),""))</f>
        <v/>
      </c>
      <c r="E191" s="6">
        <f>IF(C191="","",TRIM(SUBSTITUTE(SUBSTITUTE(SUBSTITUTE(SUBSTITUTE(SUBSTITUTE(SUBSTITUTE(SUBSTITUTE(SUBSTITUTE(SUBSTITUTE(SUBSTITUTE(SUBSTITUTE(SUBSTITUTE(SUBSTITUTE(SUBSTITUTE(SUBSTITUTE(SUBSTITUTE(SUBSTITUTE(SUBSTITUTE(SUBSTITUTE(SUBSTITUTE(LOWER(LEFT(C191,LEN(C191)-LEN(D191))),"_"," "),"-"," "),"."," "),","," "),"("," "),")"," "),"["," "),"]"," "),"&amp;"," "),"+"," "),"@"," "),"#"," "),"!"," "),"'"," "),"/"," "),":"," "),";"," "),"="," "),"~"," "),"%"," ")))</f>
        <v/>
      </c>
      <c r="F191" s="6">
        <f>IF(C191="","",IF(COUNTIF(Classifiers!$A$23:$A$40,D191)&gt;0,1,0))</f>
        <v/>
      </c>
      <c r="G191" s="6">
        <f>IF(C191="","",IF(COUNTIF(Classifiers!$C$23:$C$30,D191)&gt;0,IF((IF(ISNUMBER(SEARCH(Classifiers!$E$23,E191)),1,0)+IF(ISNUMBER(SEARCH(Classifiers!$E$24,E191)),1,0)+IF(ISNUMBER(SEARCH(Classifiers!$E$25,E191)),1,0)+IF(ISNUMBER(SEARCH(Classifiers!$E$26,E191)),1,0)+IF(ISNUMBER(SEARCH(Classifiers!$E$27,E191)),1,0)+IF(ISNUMBER(SEARCH(Classifiers!$E$28,E191)),1,0)+IF(ISNUMBER(SEARCH(Classifiers!$E$29,E191)),1,0)+IF(ISNUMBER(SEARCH(Classifiers!$E$30,E191)),1,0))&gt;0,1,0),0))</f>
        <v/>
      </c>
      <c r="H191" s="6">
        <f>IF(C191="","",IF(OR(LEFT(C191,1)=".",AND(F191=0,G191=0)),0,1))</f>
        <v/>
      </c>
      <c r="I191" s="6">
        <f>IF(H191&lt;&gt;1,"",IF(SUM(J191:W191)=0,"unclassified",INDEX(Classifiers!$A$5:$A$18,MATCH(1,J191:W191,0),1)))</f>
        <v/>
      </c>
      <c r="J191" s="12">
        <f>IF(H191&lt;&gt;1,0,IF((IF(Classifiers!$B$5="",0,IF(ISNUMBER(SEARCH(Classifiers!$B$5,E191)),1,0))+IF(Classifiers!$C$5="",0,IF(ISNUMBER(SEARCH(Classifiers!$C$5,E191)),1,0))+IF(Classifiers!$D$5="",0,IF(ISNUMBER(SEARCH(Classifiers!$D$5,E191)),1,0))+IF(Classifiers!$E$5="",0,IF(ISNUMBER(SEARCH(Classifiers!$E$5,E191)),1,0))+IF(Classifiers!$F$5="",0,IF(ISNUMBER(SEARCH(Classifiers!$F$5,E191)),1,0))+IF(Classifiers!$G$5="",0,IF(ISNUMBER(SEARCH(Classifiers!$G$5,E191)),1,0)))&gt;0,1,0))</f>
        <v/>
      </c>
      <c r="K191" s="12">
        <f>IF(H191&lt;&gt;1,0,IF((IF(Classifiers!$B$6="",0,IF(ISNUMBER(SEARCH(Classifiers!$B$6,E191)),1,0))+IF(Classifiers!$C$6="",0,IF(ISNUMBER(SEARCH(Classifiers!$C$6,E191)),1,0))+IF(Classifiers!$D$6="",0,IF(ISNUMBER(SEARCH(Classifiers!$D$6,E191)),1,0))+IF(Classifiers!$E$6="",0,IF(ISNUMBER(SEARCH(Classifiers!$E$6,E191)),1,0))+IF(Classifiers!$F$6="",0,IF(ISNUMBER(SEARCH(Classifiers!$F$6,E191)),1,0))+IF(Classifiers!$G$6="",0,IF(ISNUMBER(SEARCH(Classifiers!$G$6,E191)),1,0)))&gt;0,1,0))</f>
        <v/>
      </c>
      <c r="L191" s="12">
        <f>IF(H191&lt;&gt;1,0,IF((IF(Classifiers!$B$7="",0,IF(ISNUMBER(SEARCH(Classifiers!$B$7,E191)),1,0))+IF(Classifiers!$C$7="",0,IF(ISNUMBER(SEARCH(Classifiers!$C$7,E191)),1,0))+IF(Classifiers!$D$7="",0,IF(ISNUMBER(SEARCH(Classifiers!$D$7,E191)),1,0))+IF(Classifiers!$E$7="",0,IF(ISNUMBER(SEARCH(Classifiers!$E$7,E191)),1,0))+IF(Classifiers!$F$7="",0,IF(ISNUMBER(SEARCH(Classifiers!$F$7,E191)),1,0))+IF(Classifiers!$G$7="",0,IF(ISNUMBER(SEARCH(Classifiers!$G$7,E191)),1,0)))&gt;0,1,0))</f>
        <v/>
      </c>
      <c r="M191" s="12">
        <f>IF(H191&lt;&gt;1,0,IF((IF(Classifiers!$B$8="",0,IF(ISNUMBER(SEARCH(Classifiers!$B$8,E191)),1,0))+IF(Classifiers!$C$8="",0,IF(ISNUMBER(SEARCH(Classifiers!$C$8,E191)),1,0))+IF(Classifiers!$D$8="",0,IF(ISNUMBER(SEARCH(Classifiers!$D$8,E191)),1,0))+IF(Classifiers!$E$8="",0,IF(ISNUMBER(SEARCH(Classifiers!$E$8,E191)),1,0))+IF(Classifiers!$F$8="",0,IF(ISNUMBER(SEARCH(Classifiers!$F$8,E191)),1,0))+IF(Classifiers!$G$8="",0,IF(ISNUMBER(SEARCH(Classifiers!$G$8,E191)),1,0)))&gt;0,1,0))</f>
        <v/>
      </c>
      <c r="N191" s="12">
        <f>IF(H191&lt;&gt;1,0,IF((IF(Classifiers!$B$9="",0,IF(ISNUMBER(SEARCH(Classifiers!$B$9,E191)),1,0))+IF(Classifiers!$C$9="",0,IF(ISNUMBER(SEARCH(Classifiers!$C$9,E191)),1,0))+IF(Classifiers!$D$9="",0,IF(ISNUMBER(SEARCH(Classifiers!$D$9,E191)),1,0))+IF(Classifiers!$E$9="",0,IF(ISNUMBER(SEARCH(Classifiers!$E$9,E191)),1,0))+IF(Classifiers!$F$9="",0,IF(ISNUMBER(SEARCH(Classifiers!$F$9,E191)),1,0))+IF(Classifiers!$G$9="",0,IF(ISNUMBER(SEARCH(Classifiers!$G$9,E191)),1,0)))&gt;0,1,0))</f>
        <v/>
      </c>
      <c r="O191" s="12">
        <f>IF(H191&lt;&gt;1,0,IF((IF(Classifiers!$B$10="",0,IF(ISNUMBER(SEARCH(Classifiers!$B$10,E191)),1,0))+IF(Classifiers!$C$10="",0,IF(ISNUMBER(SEARCH(Classifiers!$C$10,E191)),1,0))+IF(Classifiers!$D$10="",0,IF(ISNUMBER(SEARCH(Classifiers!$D$10,E191)),1,0))+IF(Classifiers!$E$10="",0,IF(ISNUMBER(SEARCH(Classifiers!$E$10,E191)),1,0))+IF(Classifiers!$F$10="",0,IF(ISNUMBER(SEARCH(Classifiers!$F$10,E191)),1,0))+IF(Classifiers!$G$10="",0,IF(ISNUMBER(SEARCH(Classifiers!$G$10,E191)),1,0)))&gt;0,1,0))</f>
        <v/>
      </c>
      <c r="P191" s="12">
        <f>IF(H191&lt;&gt;1,0,IF((IF(Classifiers!$B$11="",0,IF(ISNUMBER(SEARCH(Classifiers!$B$11,E191)),1,0))+IF(Classifiers!$C$11="",0,IF(ISNUMBER(SEARCH(Classifiers!$C$11,E191)),1,0))+IF(Classifiers!$D$11="",0,IF(ISNUMBER(SEARCH(Classifiers!$D$11,E191)),1,0))+IF(Classifiers!$E$11="",0,IF(ISNUMBER(SEARCH(Classifiers!$E$11,E191)),1,0))+IF(Classifiers!$F$11="",0,IF(ISNUMBER(SEARCH(Classifiers!$F$11,E191)),1,0))+IF(Classifiers!$G$11="",0,IF(ISNUMBER(SEARCH(Classifiers!$G$11,E191)),1,0)))&gt;0,1,0))</f>
        <v/>
      </c>
      <c r="Q191" s="12">
        <f>IF(H191&lt;&gt;1,0,IF((IF(Classifiers!$B$12="",0,IF(ISNUMBER(SEARCH(Classifiers!$B$12,E191)),1,0))+IF(Classifiers!$C$12="",0,IF(ISNUMBER(SEARCH(Classifiers!$C$12,E191)),1,0))+IF(Classifiers!$D$12="",0,IF(ISNUMBER(SEARCH(Classifiers!$D$12,E191)),1,0))+IF(Classifiers!$E$12="",0,IF(ISNUMBER(SEARCH(Classifiers!$E$12,E191)),1,0))+IF(Classifiers!$F$12="",0,IF(ISNUMBER(SEARCH(Classifiers!$F$12,E191)),1,0))+IF(Classifiers!$G$12="",0,IF(ISNUMBER(SEARCH(Classifiers!$G$12,E191)),1,0)))&gt;0,1,0))</f>
        <v/>
      </c>
      <c r="R191" s="12">
        <f>IF(H191&lt;&gt;1,0,IF((IF(Classifiers!$B$13="",0,IF(ISNUMBER(SEARCH(Classifiers!$B$13,E191)),1,0))+IF(Classifiers!$C$13="",0,IF(ISNUMBER(SEARCH(Classifiers!$C$13,E191)),1,0))+IF(Classifiers!$D$13="",0,IF(ISNUMBER(SEARCH(Classifiers!$D$13,E191)),1,0))+IF(Classifiers!$E$13="",0,IF(ISNUMBER(SEARCH(Classifiers!$E$13,E191)),1,0))+IF(Classifiers!$F$13="",0,IF(ISNUMBER(SEARCH(Classifiers!$F$13,E191)),1,0))+IF(Classifiers!$G$13="",0,IF(ISNUMBER(SEARCH(Classifiers!$G$13,E191)),1,0)))&gt;0,1,0))</f>
        <v/>
      </c>
      <c r="S191" s="12">
        <f>IF(H191&lt;&gt;1,0,IF((IF(Classifiers!$B$14="",0,IF(ISNUMBER(SEARCH(Classifiers!$B$14,E191)),1,0))+IF(Classifiers!$C$14="",0,IF(ISNUMBER(SEARCH(Classifiers!$C$14,E191)),1,0))+IF(Classifiers!$D$14="",0,IF(ISNUMBER(SEARCH(Classifiers!$D$14,E191)),1,0))+IF(Classifiers!$E$14="",0,IF(ISNUMBER(SEARCH(Classifiers!$E$14,E191)),1,0))+IF(Classifiers!$F$14="",0,IF(ISNUMBER(SEARCH(Classifiers!$F$14,E191)),1,0))+IF(Classifiers!$G$14="",0,IF(ISNUMBER(SEARCH(Classifiers!$G$14,E191)),1,0)))&gt;0,1,0))</f>
        <v/>
      </c>
      <c r="T191" s="12">
        <f>IF(H191&lt;&gt;1,0,IF((IF(Classifiers!$B$15="",0,IF(ISNUMBER(SEARCH(Classifiers!$B$15,E191)),1,0))+IF(Classifiers!$C$15="",0,IF(ISNUMBER(SEARCH(Classifiers!$C$15,E191)),1,0))+IF(Classifiers!$D$15="",0,IF(ISNUMBER(SEARCH(Classifiers!$D$15,E191)),1,0))+IF(Classifiers!$E$15="",0,IF(ISNUMBER(SEARCH(Classifiers!$E$15,E191)),1,0))+IF(Classifiers!$F$15="",0,IF(ISNUMBER(SEARCH(Classifiers!$F$15,E191)),1,0))+IF(Classifiers!$G$15="",0,IF(ISNUMBER(SEARCH(Classifiers!$G$15,E191)),1,0)))&gt;0,1,0))</f>
        <v/>
      </c>
      <c r="U191" s="12">
        <f>IF(H191&lt;&gt;1,0,IF((IF(Classifiers!$B$16="",0,IF(ISNUMBER(SEARCH(Classifiers!$B$16,E191)),1,0))+IF(Classifiers!$C$16="",0,IF(ISNUMBER(SEARCH(Classifiers!$C$16,E191)),1,0))+IF(Classifiers!$D$16="",0,IF(ISNUMBER(SEARCH(Classifiers!$D$16,E191)),1,0))+IF(Classifiers!$E$16="",0,IF(ISNUMBER(SEARCH(Classifiers!$E$16,E191)),1,0))+IF(Classifiers!$F$16="",0,IF(ISNUMBER(SEARCH(Classifiers!$F$16,E191)),1,0))+IF(Classifiers!$G$16="",0,IF(ISNUMBER(SEARCH(Classifiers!$G$16,E191)),1,0)))&gt;0,1,0))</f>
        <v/>
      </c>
      <c r="V191" s="12">
        <f>IF(H191&lt;&gt;1,0,IF((IF(Classifiers!$B$17="",0,IF(ISNUMBER(SEARCH(Classifiers!$B$17,E191)),1,0))+IF(Classifiers!$C$17="",0,IF(ISNUMBER(SEARCH(Classifiers!$C$17,E191)),1,0))+IF(Classifiers!$D$17="",0,IF(ISNUMBER(SEARCH(Classifiers!$D$17,E191)),1,0))+IF(Classifiers!$E$17="",0,IF(ISNUMBER(SEARCH(Classifiers!$E$17,E191)),1,0))+IF(Classifiers!$F$17="",0,IF(ISNUMBER(SEARCH(Classifiers!$F$17,E191)),1,0))+IF(Classifiers!$G$17="",0,IF(ISNUMBER(SEARCH(Classifiers!$G$17,E191)),1,0)))&gt;0,1,0))</f>
        <v/>
      </c>
      <c r="W191" s="12">
        <f>IF(H191&lt;&gt;1,0,IF((IF(Classifiers!$B$18="",0,IF(ISNUMBER(SEARCH(Classifiers!$B$18,E191)),1,0))+IF(Classifiers!$C$18="",0,IF(ISNUMBER(SEARCH(Classifiers!$C$18,E191)),1,0))+IF(Classifiers!$D$18="",0,IF(ISNUMBER(SEARCH(Classifiers!$D$18,E191)),1,0))+IF(Classifiers!$E$18="",0,IF(ISNUMBER(SEARCH(Classifiers!$E$18,E191)),1,0))+IF(Classifiers!$F$18="",0,IF(ISNUMBER(SEARCH(Classifiers!$F$18,E191)),1,0))+IF(Classifiers!$G$18="",0,IF(ISNUMBER(SEARCH(Classifiers!$G$18,E191)),1,0)))&gt;0,1,0))</f>
        <v/>
      </c>
    </row>
    <row r="192">
      <c r="A192" s="8" t="n"/>
      <c r="B192" s="11" t="n"/>
      <c r="C192" s="6">
        <f>IF(A192="","",TRIM(RIGHT(SUBSTITUTE(A192,"/",REPT(" ",250)),250)))</f>
        <v/>
      </c>
      <c r="D192" s="6">
        <f>IF(C192="","",IF(ISNUMBER(SEARCH(".",C192)),LOWER("."&amp;TRIM(RIGHT(SUBSTITUTE(C192,".",REPT(" ",250)),250))),""))</f>
        <v/>
      </c>
      <c r="E192" s="6">
        <f>IF(C192="","",TRIM(SUBSTITUTE(SUBSTITUTE(SUBSTITUTE(SUBSTITUTE(SUBSTITUTE(SUBSTITUTE(SUBSTITUTE(SUBSTITUTE(SUBSTITUTE(SUBSTITUTE(SUBSTITUTE(SUBSTITUTE(SUBSTITUTE(SUBSTITUTE(SUBSTITUTE(SUBSTITUTE(SUBSTITUTE(SUBSTITUTE(SUBSTITUTE(SUBSTITUTE(LOWER(LEFT(C192,LEN(C192)-LEN(D192))),"_"," "),"-"," "),"."," "),","," "),"("," "),")"," "),"["," "),"]"," "),"&amp;"," "),"+"," "),"@"," "),"#"," "),"!"," "),"'"," "),"/"," "),":"," "),";"," "),"="," "),"~"," "),"%"," ")))</f>
        <v/>
      </c>
      <c r="F192" s="6">
        <f>IF(C192="","",IF(COUNTIF(Classifiers!$A$23:$A$40,D192)&gt;0,1,0))</f>
        <v/>
      </c>
      <c r="G192" s="6">
        <f>IF(C192="","",IF(COUNTIF(Classifiers!$C$23:$C$30,D192)&gt;0,IF((IF(ISNUMBER(SEARCH(Classifiers!$E$23,E192)),1,0)+IF(ISNUMBER(SEARCH(Classifiers!$E$24,E192)),1,0)+IF(ISNUMBER(SEARCH(Classifiers!$E$25,E192)),1,0)+IF(ISNUMBER(SEARCH(Classifiers!$E$26,E192)),1,0)+IF(ISNUMBER(SEARCH(Classifiers!$E$27,E192)),1,0)+IF(ISNUMBER(SEARCH(Classifiers!$E$28,E192)),1,0)+IF(ISNUMBER(SEARCH(Classifiers!$E$29,E192)),1,0)+IF(ISNUMBER(SEARCH(Classifiers!$E$30,E192)),1,0))&gt;0,1,0),0))</f>
        <v/>
      </c>
      <c r="H192" s="6">
        <f>IF(C192="","",IF(OR(LEFT(C192,1)=".",AND(F192=0,G192=0)),0,1))</f>
        <v/>
      </c>
      <c r="I192" s="6">
        <f>IF(H192&lt;&gt;1,"",IF(SUM(J192:W192)=0,"unclassified",INDEX(Classifiers!$A$5:$A$18,MATCH(1,J192:W192,0),1)))</f>
        <v/>
      </c>
      <c r="J192" s="12">
        <f>IF(H192&lt;&gt;1,0,IF((IF(Classifiers!$B$5="",0,IF(ISNUMBER(SEARCH(Classifiers!$B$5,E192)),1,0))+IF(Classifiers!$C$5="",0,IF(ISNUMBER(SEARCH(Classifiers!$C$5,E192)),1,0))+IF(Classifiers!$D$5="",0,IF(ISNUMBER(SEARCH(Classifiers!$D$5,E192)),1,0))+IF(Classifiers!$E$5="",0,IF(ISNUMBER(SEARCH(Classifiers!$E$5,E192)),1,0))+IF(Classifiers!$F$5="",0,IF(ISNUMBER(SEARCH(Classifiers!$F$5,E192)),1,0))+IF(Classifiers!$G$5="",0,IF(ISNUMBER(SEARCH(Classifiers!$G$5,E192)),1,0)))&gt;0,1,0))</f>
        <v/>
      </c>
      <c r="K192" s="12">
        <f>IF(H192&lt;&gt;1,0,IF((IF(Classifiers!$B$6="",0,IF(ISNUMBER(SEARCH(Classifiers!$B$6,E192)),1,0))+IF(Classifiers!$C$6="",0,IF(ISNUMBER(SEARCH(Classifiers!$C$6,E192)),1,0))+IF(Classifiers!$D$6="",0,IF(ISNUMBER(SEARCH(Classifiers!$D$6,E192)),1,0))+IF(Classifiers!$E$6="",0,IF(ISNUMBER(SEARCH(Classifiers!$E$6,E192)),1,0))+IF(Classifiers!$F$6="",0,IF(ISNUMBER(SEARCH(Classifiers!$F$6,E192)),1,0))+IF(Classifiers!$G$6="",0,IF(ISNUMBER(SEARCH(Classifiers!$G$6,E192)),1,0)))&gt;0,1,0))</f>
        <v/>
      </c>
      <c r="L192" s="12">
        <f>IF(H192&lt;&gt;1,0,IF((IF(Classifiers!$B$7="",0,IF(ISNUMBER(SEARCH(Classifiers!$B$7,E192)),1,0))+IF(Classifiers!$C$7="",0,IF(ISNUMBER(SEARCH(Classifiers!$C$7,E192)),1,0))+IF(Classifiers!$D$7="",0,IF(ISNUMBER(SEARCH(Classifiers!$D$7,E192)),1,0))+IF(Classifiers!$E$7="",0,IF(ISNUMBER(SEARCH(Classifiers!$E$7,E192)),1,0))+IF(Classifiers!$F$7="",0,IF(ISNUMBER(SEARCH(Classifiers!$F$7,E192)),1,0))+IF(Classifiers!$G$7="",0,IF(ISNUMBER(SEARCH(Classifiers!$G$7,E192)),1,0)))&gt;0,1,0))</f>
        <v/>
      </c>
      <c r="M192" s="12">
        <f>IF(H192&lt;&gt;1,0,IF((IF(Classifiers!$B$8="",0,IF(ISNUMBER(SEARCH(Classifiers!$B$8,E192)),1,0))+IF(Classifiers!$C$8="",0,IF(ISNUMBER(SEARCH(Classifiers!$C$8,E192)),1,0))+IF(Classifiers!$D$8="",0,IF(ISNUMBER(SEARCH(Classifiers!$D$8,E192)),1,0))+IF(Classifiers!$E$8="",0,IF(ISNUMBER(SEARCH(Classifiers!$E$8,E192)),1,0))+IF(Classifiers!$F$8="",0,IF(ISNUMBER(SEARCH(Classifiers!$F$8,E192)),1,0))+IF(Classifiers!$G$8="",0,IF(ISNUMBER(SEARCH(Classifiers!$G$8,E192)),1,0)))&gt;0,1,0))</f>
        <v/>
      </c>
      <c r="N192" s="12">
        <f>IF(H192&lt;&gt;1,0,IF((IF(Classifiers!$B$9="",0,IF(ISNUMBER(SEARCH(Classifiers!$B$9,E192)),1,0))+IF(Classifiers!$C$9="",0,IF(ISNUMBER(SEARCH(Classifiers!$C$9,E192)),1,0))+IF(Classifiers!$D$9="",0,IF(ISNUMBER(SEARCH(Classifiers!$D$9,E192)),1,0))+IF(Classifiers!$E$9="",0,IF(ISNUMBER(SEARCH(Classifiers!$E$9,E192)),1,0))+IF(Classifiers!$F$9="",0,IF(ISNUMBER(SEARCH(Classifiers!$F$9,E192)),1,0))+IF(Classifiers!$G$9="",0,IF(ISNUMBER(SEARCH(Classifiers!$G$9,E192)),1,0)))&gt;0,1,0))</f>
        <v/>
      </c>
      <c r="O192" s="12">
        <f>IF(H192&lt;&gt;1,0,IF((IF(Classifiers!$B$10="",0,IF(ISNUMBER(SEARCH(Classifiers!$B$10,E192)),1,0))+IF(Classifiers!$C$10="",0,IF(ISNUMBER(SEARCH(Classifiers!$C$10,E192)),1,0))+IF(Classifiers!$D$10="",0,IF(ISNUMBER(SEARCH(Classifiers!$D$10,E192)),1,0))+IF(Classifiers!$E$10="",0,IF(ISNUMBER(SEARCH(Classifiers!$E$10,E192)),1,0))+IF(Classifiers!$F$10="",0,IF(ISNUMBER(SEARCH(Classifiers!$F$10,E192)),1,0))+IF(Classifiers!$G$10="",0,IF(ISNUMBER(SEARCH(Classifiers!$G$10,E192)),1,0)))&gt;0,1,0))</f>
        <v/>
      </c>
      <c r="P192" s="12">
        <f>IF(H192&lt;&gt;1,0,IF((IF(Classifiers!$B$11="",0,IF(ISNUMBER(SEARCH(Classifiers!$B$11,E192)),1,0))+IF(Classifiers!$C$11="",0,IF(ISNUMBER(SEARCH(Classifiers!$C$11,E192)),1,0))+IF(Classifiers!$D$11="",0,IF(ISNUMBER(SEARCH(Classifiers!$D$11,E192)),1,0))+IF(Classifiers!$E$11="",0,IF(ISNUMBER(SEARCH(Classifiers!$E$11,E192)),1,0))+IF(Classifiers!$F$11="",0,IF(ISNUMBER(SEARCH(Classifiers!$F$11,E192)),1,0))+IF(Classifiers!$G$11="",0,IF(ISNUMBER(SEARCH(Classifiers!$G$11,E192)),1,0)))&gt;0,1,0))</f>
        <v/>
      </c>
      <c r="Q192" s="12">
        <f>IF(H192&lt;&gt;1,0,IF((IF(Classifiers!$B$12="",0,IF(ISNUMBER(SEARCH(Classifiers!$B$12,E192)),1,0))+IF(Classifiers!$C$12="",0,IF(ISNUMBER(SEARCH(Classifiers!$C$12,E192)),1,0))+IF(Classifiers!$D$12="",0,IF(ISNUMBER(SEARCH(Classifiers!$D$12,E192)),1,0))+IF(Classifiers!$E$12="",0,IF(ISNUMBER(SEARCH(Classifiers!$E$12,E192)),1,0))+IF(Classifiers!$F$12="",0,IF(ISNUMBER(SEARCH(Classifiers!$F$12,E192)),1,0))+IF(Classifiers!$G$12="",0,IF(ISNUMBER(SEARCH(Classifiers!$G$12,E192)),1,0)))&gt;0,1,0))</f>
        <v/>
      </c>
      <c r="R192" s="12">
        <f>IF(H192&lt;&gt;1,0,IF((IF(Classifiers!$B$13="",0,IF(ISNUMBER(SEARCH(Classifiers!$B$13,E192)),1,0))+IF(Classifiers!$C$13="",0,IF(ISNUMBER(SEARCH(Classifiers!$C$13,E192)),1,0))+IF(Classifiers!$D$13="",0,IF(ISNUMBER(SEARCH(Classifiers!$D$13,E192)),1,0))+IF(Classifiers!$E$13="",0,IF(ISNUMBER(SEARCH(Classifiers!$E$13,E192)),1,0))+IF(Classifiers!$F$13="",0,IF(ISNUMBER(SEARCH(Classifiers!$F$13,E192)),1,0))+IF(Classifiers!$G$13="",0,IF(ISNUMBER(SEARCH(Classifiers!$G$13,E192)),1,0)))&gt;0,1,0))</f>
        <v/>
      </c>
      <c r="S192" s="12">
        <f>IF(H192&lt;&gt;1,0,IF((IF(Classifiers!$B$14="",0,IF(ISNUMBER(SEARCH(Classifiers!$B$14,E192)),1,0))+IF(Classifiers!$C$14="",0,IF(ISNUMBER(SEARCH(Classifiers!$C$14,E192)),1,0))+IF(Classifiers!$D$14="",0,IF(ISNUMBER(SEARCH(Classifiers!$D$14,E192)),1,0))+IF(Classifiers!$E$14="",0,IF(ISNUMBER(SEARCH(Classifiers!$E$14,E192)),1,0))+IF(Classifiers!$F$14="",0,IF(ISNUMBER(SEARCH(Classifiers!$F$14,E192)),1,0))+IF(Classifiers!$G$14="",0,IF(ISNUMBER(SEARCH(Classifiers!$G$14,E192)),1,0)))&gt;0,1,0))</f>
        <v/>
      </c>
      <c r="T192" s="12">
        <f>IF(H192&lt;&gt;1,0,IF((IF(Classifiers!$B$15="",0,IF(ISNUMBER(SEARCH(Classifiers!$B$15,E192)),1,0))+IF(Classifiers!$C$15="",0,IF(ISNUMBER(SEARCH(Classifiers!$C$15,E192)),1,0))+IF(Classifiers!$D$15="",0,IF(ISNUMBER(SEARCH(Classifiers!$D$15,E192)),1,0))+IF(Classifiers!$E$15="",0,IF(ISNUMBER(SEARCH(Classifiers!$E$15,E192)),1,0))+IF(Classifiers!$F$15="",0,IF(ISNUMBER(SEARCH(Classifiers!$F$15,E192)),1,0))+IF(Classifiers!$G$15="",0,IF(ISNUMBER(SEARCH(Classifiers!$G$15,E192)),1,0)))&gt;0,1,0))</f>
        <v/>
      </c>
      <c r="U192" s="12">
        <f>IF(H192&lt;&gt;1,0,IF((IF(Classifiers!$B$16="",0,IF(ISNUMBER(SEARCH(Classifiers!$B$16,E192)),1,0))+IF(Classifiers!$C$16="",0,IF(ISNUMBER(SEARCH(Classifiers!$C$16,E192)),1,0))+IF(Classifiers!$D$16="",0,IF(ISNUMBER(SEARCH(Classifiers!$D$16,E192)),1,0))+IF(Classifiers!$E$16="",0,IF(ISNUMBER(SEARCH(Classifiers!$E$16,E192)),1,0))+IF(Classifiers!$F$16="",0,IF(ISNUMBER(SEARCH(Classifiers!$F$16,E192)),1,0))+IF(Classifiers!$G$16="",0,IF(ISNUMBER(SEARCH(Classifiers!$G$16,E192)),1,0)))&gt;0,1,0))</f>
        <v/>
      </c>
      <c r="V192" s="12">
        <f>IF(H192&lt;&gt;1,0,IF((IF(Classifiers!$B$17="",0,IF(ISNUMBER(SEARCH(Classifiers!$B$17,E192)),1,0))+IF(Classifiers!$C$17="",0,IF(ISNUMBER(SEARCH(Classifiers!$C$17,E192)),1,0))+IF(Classifiers!$D$17="",0,IF(ISNUMBER(SEARCH(Classifiers!$D$17,E192)),1,0))+IF(Classifiers!$E$17="",0,IF(ISNUMBER(SEARCH(Classifiers!$E$17,E192)),1,0))+IF(Classifiers!$F$17="",0,IF(ISNUMBER(SEARCH(Classifiers!$F$17,E192)),1,0))+IF(Classifiers!$G$17="",0,IF(ISNUMBER(SEARCH(Classifiers!$G$17,E192)),1,0)))&gt;0,1,0))</f>
        <v/>
      </c>
      <c r="W192" s="12">
        <f>IF(H192&lt;&gt;1,0,IF((IF(Classifiers!$B$18="",0,IF(ISNUMBER(SEARCH(Classifiers!$B$18,E192)),1,0))+IF(Classifiers!$C$18="",0,IF(ISNUMBER(SEARCH(Classifiers!$C$18,E192)),1,0))+IF(Classifiers!$D$18="",0,IF(ISNUMBER(SEARCH(Classifiers!$D$18,E192)),1,0))+IF(Classifiers!$E$18="",0,IF(ISNUMBER(SEARCH(Classifiers!$E$18,E192)),1,0))+IF(Classifiers!$F$18="",0,IF(ISNUMBER(SEARCH(Classifiers!$F$18,E192)),1,0))+IF(Classifiers!$G$18="",0,IF(ISNUMBER(SEARCH(Classifiers!$G$18,E192)),1,0)))&gt;0,1,0))</f>
        <v/>
      </c>
    </row>
    <row r="193">
      <c r="A193" s="8" t="n"/>
      <c r="B193" s="11" t="n"/>
      <c r="C193" s="6">
        <f>IF(A193="","",TRIM(RIGHT(SUBSTITUTE(A193,"/",REPT(" ",250)),250)))</f>
        <v/>
      </c>
      <c r="D193" s="6">
        <f>IF(C193="","",IF(ISNUMBER(SEARCH(".",C193)),LOWER("."&amp;TRIM(RIGHT(SUBSTITUTE(C193,".",REPT(" ",250)),250))),""))</f>
        <v/>
      </c>
      <c r="E193" s="6">
        <f>IF(C193="","",TRIM(SUBSTITUTE(SUBSTITUTE(SUBSTITUTE(SUBSTITUTE(SUBSTITUTE(SUBSTITUTE(SUBSTITUTE(SUBSTITUTE(SUBSTITUTE(SUBSTITUTE(SUBSTITUTE(SUBSTITUTE(SUBSTITUTE(SUBSTITUTE(SUBSTITUTE(SUBSTITUTE(SUBSTITUTE(SUBSTITUTE(SUBSTITUTE(SUBSTITUTE(LOWER(LEFT(C193,LEN(C193)-LEN(D193))),"_"," "),"-"," "),"."," "),","," "),"("," "),")"," "),"["," "),"]"," "),"&amp;"," "),"+"," "),"@"," "),"#"," "),"!"," "),"'"," "),"/"," "),":"," "),";"," "),"="," "),"~"," "),"%"," ")))</f>
        <v/>
      </c>
      <c r="F193" s="6">
        <f>IF(C193="","",IF(COUNTIF(Classifiers!$A$23:$A$40,D193)&gt;0,1,0))</f>
        <v/>
      </c>
      <c r="G193" s="6">
        <f>IF(C193="","",IF(COUNTIF(Classifiers!$C$23:$C$30,D193)&gt;0,IF((IF(ISNUMBER(SEARCH(Classifiers!$E$23,E193)),1,0)+IF(ISNUMBER(SEARCH(Classifiers!$E$24,E193)),1,0)+IF(ISNUMBER(SEARCH(Classifiers!$E$25,E193)),1,0)+IF(ISNUMBER(SEARCH(Classifiers!$E$26,E193)),1,0)+IF(ISNUMBER(SEARCH(Classifiers!$E$27,E193)),1,0)+IF(ISNUMBER(SEARCH(Classifiers!$E$28,E193)),1,0)+IF(ISNUMBER(SEARCH(Classifiers!$E$29,E193)),1,0)+IF(ISNUMBER(SEARCH(Classifiers!$E$30,E193)),1,0))&gt;0,1,0),0))</f>
        <v/>
      </c>
      <c r="H193" s="6">
        <f>IF(C193="","",IF(OR(LEFT(C193,1)=".",AND(F193=0,G193=0)),0,1))</f>
        <v/>
      </c>
      <c r="I193" s="6">
        <f>IF(H193&lt;&gt;1,"",IF(SUM(J193:W193)=0,"unclassified",INDEX(Classifiers!$A$5:$A$18,MATCH(1,J193:W193,0),1)))</f>
        <v/>
      </c>
      <c r="J193" s="12">
        <f>IF(H193&lt;&gt;1,0,IF((IF(Classifiers!$B$5="",0,IF(ISNUMBER(SEARCH(Classifiers!$B$5,E193)),1,0))+IF(Classifiers!$C$5="",0,IF(ISNUMBER(SEARCH(Classifiers!$C$5,E193)),1,0))+IF(Classifiers!$D$5="",0,IF(ISNUMBER(SEARCH(Classifiers!$D$5,E193)),1,0))+IF(Classifiers!$E$5="",0,IF(ISNUMBER(SEARCH(Classifiers!$E$5,E193)),1,0))+IF(Classifiers!$F$5="",0,IF(ISNUMBER(SEARCH(Classifiers!$F$5,E193)),1,0))+IF(Classifiers!$G$5="",0,IF(ISNUMBER(SEARCH(Classifiers!$G$5,E193)),1,0)))&gt;0,1,0))</f>
        <v/>
      </c>
      <c r="K193" s="12">
        <f>IF(H193&lt;&gt;1,0,IF((IF(Classifiers!$B$6="",0,IF(ISNUMBER(SEARCH(Classifiers!$B$6,E193)),1,0))+IF(Classifiers!$C$6="",0,IF(ISNUMBER(SEARCH(Classifiers!$C$6,E193)),1,0))+IF(Classifiers!$D$6="",0,IF(ISNUMBER(SEARCH(Classifiers!$D$6,E193)),1,0))+IF(Classifiers!$E$6="",0,IF(ISNUMBER(SEARCH(Classifiers!$E$6,E193)),1,0))+IF(Classifiers!$F$6="",0,IF(ISNUMBER(SEARCH(Classifiers!$F$6,E193)),1,0))+IF(Classifiers!$G$6="",0,IF(ISNUMBER(SEARCH(Classifiers!$G$6,E193)),1,0)))&gt;0,1,0))</f>
        <v/>
      </c>
      <c r="L193" s="12">
        <f>IF(H193&lt;&gt;1,0,IF((IF(Classifiers!$B$7="",0,IF(ISNUMBER(SEARCH(Classifiers!$B$7,E193)),1,0))+IF(Classifiers!$C$7="",0,IF(ISNUMBER(SEARCH(Classifiers!$C$7,E193)),1,0))+IF(Classifiers!$D$7="",0,IF(ISNUMBER(SEARCH(Classifiers!$D$7,E193)),1,0))+IF(Classifiers!$E$7="",0,IF(ISNUMBER(SEARCH(Classifiers!$E$7,E193)),1,0))+IF(Classifiers!$F$7="",0,IF(ISNUMBER(SEARCH(Classifiers!$F$7,E193)),1,0))+IF(Classifiers!$G$7="",0,IF(ISNUMBER(SEARCH(Classifiers!$G$7,E193)),1,0)))&gt;0,1,0))</f>
        <v/>
      </c>
      <c r="M193" s="12">
        <f>IF(H193&lt;&gt;1,0,IF((IF(Classifiers!$B$8="",0,IF(ISNUMBER(SEARCH(Classifiers!$B$8,E193)),1,0))+IF(Classifiers!$C$8="",0,IF(ISNUMBER(SEARCH(Classifiers!$C$8,E193)),1,0))+IF(Classifiers!$D$8="",0,IF(ISNUMBER(SEARCH(Classifiers!$D$8,E193)),1,0))+IF(Classifiers!$E$8="",0,IF(ISNUMBER(SEARCH(Classifiers!$E$8,E193)),1,0))+IF(Classifiers!$F$8="",0,IF(ISNUMBER(SEARCH(Classifiers!$F$8,E193)),1,0))+IF(Classifiers!$G$8="",0,IF(ISNUMBER(SEARCH(Classifiers!$G$8,E193)),1,0)))&gt;0,1,0))</f>
        <v/>
      </c>
      <c r="N193" s="12">
        <f>IF(H193&lt;&gt;1,0,IF((IF(Classifiers!$B$9="",0,IF(ISNUMBER(SEARCH(Classifiers!$B$9,E193)),1,0))+IF(Classifiers!$C$9="",0,IF(ISNUMBER(SEARCH(Classifiers!$C$9,E193)),1,0))+IF(Classifiers!$D$9="",0,IF(ISNUMBER(SEARCH(Classifiers!$D$9,E193)),1,0))+IF(Classifiers!$E$9="",0,IF(ISNUMBER(SEARCH(Classifiers!$E$9,E193)),1,0))+IF(Classifiers!$F$9="",0,IF(ISNUMBER(SEARCH(Classifiers!$F$9,E193)),1,0))+IF(Classifiers!$G$9="",0,IF(ISNUMBER(SEARCH(Classifiers!$G$9,E193)),1,0)))&gt;0,1,0))</f>
        <v/>
      </c>
      <c r="O193" s="12">
        <f>IF(H193&lt;&gt;1,0,IF((IF(Classifiers!$B$10="",0,IF(ISNUMBER(SEARCH(Classifiers!$B$10,E193)),1,0))+IF(Classifiers!$C$10="",0,IF(ISNUMBER(SEARCH(Classifiers!$C$10,E193)),1,0))+IF(Classifiers!$D$10="",0,IF(ISNUMBER(SEARCH(Classifiers!$D$10,E193)),1,0))+IF(Classifiers!$E$10="",0,IF(ISNUMBER(SEARCH(Classifiers!$E$10,E193)),1,0))+IF(Classifiers!$F$10="",0,IF(ISNUMBER(SEARCH(Classifiers!$F$10,E193)),1,0))+IF(Classifiers!$G$10="",0,IF(ISNUMBER(SEARCH(Classifiers!$G$10,E193)),1,0)))&gt;0,1,0))</f>
        <v/>
      </c>
      <c r="P193" s="12">
        <f>IF(H193&lt;&gt;1,0,IF((IF(Classifiers!$B$11="",0,IF(ISNUMBER(SEARCH(Classifiers!$B$11,E193)),1,0))+IF(Classifiers!$C$11="",0,IF(ISNUMBER(SEARCH(Classifiers!$C$11,E193)),1,0))+IF(Classifiers!$D$11="",0,IF(ISNUMBER(SEARCH(Classifiers!$D$11,E193)),1,0))+IF(Classifiers!$E$11="",0,IF(ISNUMBER(SEARCH(Classifiers!$E$11,E193)),1,0))+IF(Classifiers!$F$11="",0,IF(ISNUMBER(SEARCH(Classifiers!$F$11,E193)),1,0))+IF(Classifiers!$G$11="",0,IF(ISNUMBER(SEARCH(Classifiers!$G$11,E193)),1,0)))&gt;0,1,0))</f>
        <v/>
      </c>
      <c r="Q193" s="12">
        <f>IF(H193&lt;&gt;1,0,IF((IF(Classifiers!$B$12="",0,IF(ISNUMBER(SEARCH(Classifiers!$B$12,E193)),1,0))+IF(Classifiers!$C$12="",0,IF(ISNUMBER(SEARCH(Classifiers!$C$12,E193)),1,0))+IF(Classifiers!$D$12="",0,IF(ISNUMBER(SEARCH(Classifiers!$D$12,E193)),1,0))+IF(Classifiers!$E$12="",0,IF(ISNUMBER(SEARCH(Classifiers!$E$12,E193)),1,0))+IF(Classifiers!$F$12="",0,IF(ISNUMBER(SEARCH(Classifiers!$F$12,E193)),1,0))+IF(Classifiers!$G$12="",0,IF(ISNUMBER(SEARCH(Classifiers!$G$12,E193)),1,0)))&gt;0,1,0))</f>
        <v/>
      </c>
      <c r="R193" s="12">
        <f>IF(H193&lt;&gt;1,0,IF((IF(Classifiers!$B$13="",0,IF(ISNUMBER(SEARCH(Classifiers!$B$13,E193)),1,0))+IF(Classifiers!$C$13="",0,IF(ISNUMBER(SEARCH(Classifiers!$C$13,E193)),1,0))+IF(Classifiers!$D$13="",0,IF(ISNUMBER(SEARCH(Classifiers!$D$13,E193)),1,0))+IF(Classifiers!$E$13="",0,IF(ISNUMBER(SEARCH(Classifiers!$E$13,E193)),1,0))+IF(Classifiers!$F$13="",0,IF(ISNUMBER(SEARCH(Classifiers!$F$13,E193)),1,0))+IF(Classifiers!$G$13="",0,IF(ISNUMBER(SEARCH(Classifiers!$G$13,E193)),1,0)))&gt;0,1,0))</f>
        <v/>
      </c>
      <c r="S193" s="12">
        <f>IF(H193&lt;&gt;1,0,IF((IF(Classifiers!$B$14="",0,IF(ISNUMBER(SEARCH(Classifiers!$B$14,E193)),1,0))+IF(Classifiers!$C$14="",0,IF(ISNUMBER(SEARCH(Classifiers!$C$14,E193)),1,0))+IF(Classifiers!$D$14="",0,IF(ISNUMBER(SEARCH(Classifiers!$D$14,E193)),1,0))+IF(Classifiers!$E$14="",0,IF(ISNUMBER(SEARCH(Classifiers!$E$14,E193)),1,0))+IF(Classifiers!$F$14="",0,IF(ISNUMBER(SEARCH(Classifiers!$F$14,E193)),1,0))+IF(Classifiers!$G$14="",0,IF(ISNUMBER(SEARCH(Classifiers!$G$14,E193)),1,0)))&gt;0,1,0))</f>
        <v/>
      </c>
      <c r="T193" s="12">
        <f>IF(H193&lt;&gt;1,0,IF((IF(Classifiers!$B$15="",0,IF(ISNUMBER(SEARCH(Classifiers!$B$15,E193)),1,0))+IF(Classifiers!$C$15="",0,IF(ISNUMBER(SEARCH(Classifiers!$C$15,E193)),1,0))+IF(Classifiers!$D$15="",0,IF(ISNUMBER(SEARCH(Classifiers!$D$15,E193)),1,0))+IF(Classifiers!$E$15="",0,IF(ISNUMBER(SEARCH(Classifiers!$E$15,E193)),1,0))+IF(Classifiers!$F$15="",0,IF(ISNUMBER(SEARCH(Classifiers!$F$15,E193)),1,0))+IF(Classifiers!$G$15="",0,IF(ISNUMBER(SEARCH(Classifiers!$G$15,E193)),1,0)))&gt;0,1,0))</f>
        <v/>
      </c>
      <c r="U193" s="12">
        <f>IF(H193&lt;&gt;1,0,IF((IF(Classifiers!$B$16="",0,IF(ISNUMBER(SEARCH(Classifiers!$B$16,E193)),1,0))+IF(Classifiers!$C$16="",0,IF(ISNUMBER(SEARCH(Classifiers!$C$16,E193)),1,0))+IF(Classifiers!$D$16="",0,IF(ISNUMBER(SEARCH(Classifiers!$D$16,E193)),1,0))+IF(Classifiers!$E$16="",0,IF(ISNUMBER(SEARCH(Classifiers!$E$16,E193)),1,0))+IF(Classifiers!$F$16="",0,IF(ISNUMBER(SEARCH(Classifiers!$F$16,E193)),1,0))+IF(Classifiers!$G$16="",0,IF(ISNUMBER(SEARCH(Classifiers!$G$16,E193)),1,0)))&gt;0,1,0))</f>
        <v/>
      </c>
      <c r="V193" s="12">
        <f>IF(H193&lt;&gt;1,0,IF((IF(Classifiers!$B$17="",0,IF(ISNUMBER(SEARCH(Classifiers!$B$17,E193)),1,0))+IF(Classifiers!$C$17="",0,IF(ISNUMBER(SEARCH(Classifiers!$C$17,E193)),1,0))+IF(Classifiers!$D$17="",0,IF(ISNUMBER(SEARCH(Classifiers!$D$17,E193)),1,0))+IF(Classifiers!$E$17="",0,IF(ISNUMBER(SEARCH(Classifiers!$E$17,E193)),1,0))+IF(Classifiers!$F$17="",0,IF(ISNUMBER(SEARCH(Classifiers!$F$17,E193)),1,0))+IF(Classifiers!$G$17="",0,IF(ISNUMBER(SEARCH(Classifiers!$G$17,E193)),1,0)))&gt;0,1,0))</f>
        <v/>
      </c>
      <c r="W193" s="12">
        <f>IF(H193&lt;&gt;1,0,IF((IF(Classifiers!$B$18="",0,IF(ISNUMBER(SEARCH(Classifiers!$B$18,E193)),1,0))+IF(Classifiers!$C$18="",0,IF(ISNUMBER(SEARCH(Classifiers!$C$18,E193)),1,0))+IF(Classifiers!$D$18="",0,IF(ISNUMBER(SEARCH(Classifiers!$D$18,E193)),1,0))+IF(Classifiers!$E$18="",0,IF(ISNUMBER(SEARCH(Classifiers!$E$18,E193)),1,0))+IF(Classifiers!$F$18="",0,IF(ISNUMBER(SEARCH(Classifiers!$F$18,E193)),1,0))+IF(Classifiers!$G$18="",0,IF(ISNUMBER(SEARCH(Classifiers!$G$18,E193)),1,0)))&gt;0,1,0))</f>
        <v/>
      </c>
    </row>
    <row r="194">
      <c r="A194" s="8" t="n"/>
      <c r="B194" s="11" t="n"/>
      <c r="C194" s="6">
        <f>IF(A194="","",TRIM(RIGHT(SUBSTITUTE(A194,"/",REPT(" ",250)),250)))</f>
        <v/>
      </c>
      <c r="D194" s="6">
        <f>IF(C194="","",IF(ISNUMBER(SEARCH(".",C194)),LOWER("."&amp;TRIM(RIGHT(SUBSTITUTE(C194,".",REPT(" ",250)),250))),""))</f>
        <v/>
      </c>
      <c r="E194" s="6">
        <f>IF(C194="","",TRIM(SUBSTITUTE(SUBSTITUTE(SUBSTITUTE(SUBSTITUTE(SUBSTITUTE(SUBSTITUTE(SUBSTITUTE(SUBSTITUTE(SUBSTITUTE(SUBSTITUTE(SUBSTITUTE(SUBSTITUTE(SUBSTITUTE(SUBSTITUTE(SUBSTITUTE(SUBSTITUTE(SUBSTITUTE(SUBSTITUTE(SUBSTITUTE(SUBSTITUTE(LOWER(LEFT(C194,LEN(C194)-LEN(D194))),"_"," "),"-"," "),"."," "),","," "),"("," "),")"," "),"["," "),"]"," "),"&amp;"," "),"+"," "),"@"," "),"#"," "),"!"," "),"'"," "),"/"," "),":"," "),";"," "),"="," "),"~"," "),"%"," ")))</f>
        <v/>
      </c>
      <c r="F194" s="6">
        <f>IF(C194="","",IF(COUNTIF(Classifiers!$A$23:$A$40,D194)&gt;0,1,0))</f>
        <v/>
      </c>
      <c r="G194" s="6">
        <f>IF(C194="","",IF(COUNTIF(Classifiers!$C$23:$C$30,D194)&gt;0,IF((IF(ISNUMBER(SEARCH(Classifiers!$E$23,E194)),1,0)+IF(ISNUMBER(SEARCH(Classifiers!$E$24,E194)),1,0)+IF(ISNUMBER(SEARCH(Classifiers!$E$25,E194)),1,0)+IF(ISNUMBER(SEARCH(Classifiers!$E$26,E194)),1,0)+IF(ISNUMBER(SEARCH(Classifiers!$E$27,E194)),1,0)+IF(ISNUMBER(SEARCH(Classifiers!$E$28,E194)),1,0)+IF(ISNUMBER(SEARCH(Classifiers!$E$29,E194)),1,0)+IF(ISNUMBER(SEARCH(Classifiers!$E$30,E194)),1,0))&gt;0,1,0),0))</f>
        <v/>
      </c>
      <c r="H194" s="6">
        <f>IF(C194="","",IF(OR(LEFT(C194,1)=".",AND(F194=0,G194=0)),0,1))</f>
        <v/>
      </c>
      <c r="I194" s="6">
        <f>IF(H194&lt;&gt;1,"",IF(SUM(J194:W194)=0,"unclassified",INDEX(Classifiers!$A$5:$A$18,MATCH(1,J194:W194,0),1)))</f>
        <v/>
      </c>
      <c r="J194" s="12">
        <f>IF(H194&lt;&gt;1,0,IF((IF(Classifiers!$B$5="",0,IF(ISNUMBER(SEARCH(Classifiers!$B$5,E194)),1,0))+IF(Classifiers!$C$5="",0,IF(ISNUMBER(SEARCH(Classifiers!$C$5,E194)),1,0))+IF(Classifiers!$D$5="",0,IF(ISNUMBER(SEARCH(Classifiers!$D$5,E194)),1,0))+IF(Classifiers!$E$5="",0,IF(ISNUMBER(SEARCH(Classifiers!$E$5,E194)),1,0))+IF(Classifiers!$F$5="",0,IF(ISNUMBER(SEARCH(Classifiers!$F$5,E194)),1,0))+IF(Classifiers!$G$5="",0,IF(ISNUMBER(SEARCH(Classifiers!$G$5,E194)),1,0)))&gt;0,1,0))</f>
        <v/>
      </c>
      <c r="K194" s="12">
        <f>IF(H194&lt;&gt;1,0,IF((IF(Classifiers!$B$6="",0,IF(ISNUMBER(SEARCH(Classifiers!$B$6,E194)),1,0))+IF(Classifiers!$C$6="",0,IF(ISNUMBER(SEARCH(Classifiers!$C$6,E194)),1,0))+IF(Classifiers!$D$6="",0,IF(ISNUMBER(SEARCH(Classifiers!$D$6,E194)),1,0))+IF(Classifiers!$E$6="",0,IF(ISNUMBER(SEARCH(Classifiers!$E$6,E194)),1,0))+IF(Classifiers!$F$6="",0,IF(ISNUMBER(SEARCH(Classifiers!$F$6,E194)),1,0))+IF(Classifiers!$G$6="",0,IF(ISNUMBER(SEARCH(Classifiers!$G$6,E194)),1,0)))&gt;0,1,0))</f>
        <v/>
      </c>
      <c r="L194" s="12">
        <f>IF(H194&lt;&gt;1,0,IF((IF(Classifiers!$B$7="",0,IF(ISNUMBER(SEARCH(Classifiers!$B$7,E194)),1,0))+IF(Classifiers!$C$7="",0,IF(ISNUMBER(SEARCH(Classifiers!$C$7,E194)),1,0))+IF(Classifiers!$D$7="",0,IF(ISNUMBER(SEARCH(Classifiers!$D$7,E194)),1,0))+IF(Classifiers!$E$7="",0,IF(ISNUMBER(SEARCH(Classifiers!$E$7,E194)),1,0))+IF(Classifiers!$F$7="",0,IF(ISNUMBER(SEARCH(Classifiers!$F$7,E194)),1,0))+IF(Classifiers!$G$7="",0,IF(ISNUMBER(SEARCH(Classifiers!$G$7,E194)),1,0)))&gt;0,1,0))</f>
        <v/>
      </c>
      <c r="M194" s="12">
        <f>IF(H194&lt;&gt;1,0,IF((IF(Classifiers!$B$8="",0,IF(ISNUMBER(SEARCH(Classifiers!$B$8,E194)),1,0))+IF(Classifiers!$C$8="",0,IF(ISNUMBER(SEARCH(Classifiers!$C$8,E194)),1,0))+IF(Classifiers!$D$8="",0,IF(ISNUMBER(SEARCH(Classifiers!$D$8,E194)),1,0))+IF(Classifiers!$E$8="",0,IF(ISNUMBER(SEARCH(Classifiers!$E$8,E194)),1,0))+IF(Classifiers!$F$8="",0,IF(ISNUMBER(SEARCH(Classifiers!$F$8,E194)),1,0))+IF(Classifiers!$G$8="",0,IF(ISNUMBER(SEARCH(Classifiers!$G$8,E194)),1,0)))&gt;0,1,0))</f>
        <v/>
      </c>
      <c r="N194" s="12">
        <f>IF(H194&lt;&gt;1,0,IF((IF(Classifiers!$B$9="",0,IF(ISNUMBER(SEARCH(Classifiers!$B$9,E194)),1,0))+IF(Classifiers!$C$9="",0,IF(ISNUMBER(SEARCH(Classifiers!$C$9,E194)),1,0))+IF(Classifiers!$D$9="",0,IF(ISNUMBER(SEARCH(Classifiers!$D$9,E194)),1,0))+IF(Classifiers!$E$9="",0,IF(ISNUMBER(SEARCH(Classifiers!$E$9,E194)),1,0))+IF(Classifiers!$F$9="",0,IF(ISNUMBER(SEARCH(Classifiers!$F$9,E194)),1,0))+IF(Classifiers!$G$9="",0,IF(ISNUMBER(SEARCH(Classifiers!$G$9,E194)),1,0)))&gt;0,1,0))</f>
        <v/>
      </c>
      <c r="O194" s="12">
        <f>IF(H194&lt;&gt;1,0,IF((IF(Classifiers!$B$10="",0,IF(ISNUMBER(SEARCH(Classifiers!$B$10,E194)),1,0))+IF(Classifiers!$C$10="",0,IF(ISNUMBER(SEARCH(Classifiers!$C$10,E194)),1,0))+IF(Classifiers!$D$10="",0,IF(ISNUMBER(SEARCH(Classifiers!$D$10,E194)),1,0))+IF(Classifiers!$E$10="",0,IF(ISNUMBER(SEARCH(Classifiers!$E$10,E194)),1,0))+IF(Classifiers!$F$10="",0,IF(ISNUMBER(SEARCH(Classifiers!$F$10,E194)),1,0))+IF(Classifiers!$G$10="",0,IF(ISNUMBER(SEARCH(Classifiers!$G$10,E194)),1,0)))&gt;0,1,0))</f>
        <v/>
      </c>
      <c r="P194" s="12">
        <f>IF(H194&lt;&gt;1,0,IF((IF(Classifiers!$B$11="",0,IF(ISNUMBER(SEARCH(Classifiers!$B$11,E194)),1,0))+IF(Classifiers!$C$11="",0,IF(ISNUMBER(SEARCH(Classifiers!$C$11,E194)),1,0))+IF(Classifiers!$D$11="",0,IF(ISNUMBER(SEARCH(Classifiers!$D$11,E194)),1,0))+IF(Classifiers!$E$11="",0,IF(ISNUMBER(SEARCH(Classifiers!$E$11,E194)),1,0))+IF(Classifiers!$F$11="",0,IF(ISNUMBER(SEARCH(Classifiers!$F$11,E194)),1,0))+IF(Classifiers!$G$11="",0,IF(ISNUMBER(SEARCH(Classifiers!$G$11,E194)),1,0)))&gt;0,1,0))</f>
        <v/>
      </c>
      <c r="Q194" s="12">
        <f>IF(H194&lt;&gt;1,0,IF((IF(Classifiers!$B$12="",0,IF(ISNUMBER(SEARCH(Classifiers!$B$12,E194)),1,0))+IF(Classifiers!$C$12="",0,IF(ISNUMBER(SEARCH(Classifiers!$C$12,E194)),1,0))+IF(Classifiers!$D$12="",0,IF(ISNUMBER(SEARCH(Classifiers!$D$12,E194)),1,0))+IF(Classifiers!$E$12="",0,IF(ISNUMBER(SEARCH(Classifiers!$E$12,E194)),1,0))+IF(Classifiers!$F$12="",0,IF(ISNUMBER(SEARCH(Classifiers!$F$12,E194)),1,0))+IF(Classifiers!$G$12="",0,IF(ISNUMBER(SEARCH(Classifiers!$G$12,E194)),1,0)))&gt;0,1,0))</f>
        <v/>
      </c>
      <c r="R194" s="12">
        <f>IF(H194&lt;&gt;1,0,IF((IF(Classifiers!$B$13="",0,IF(ISNUMBER(SEARCH(Classifiers!$B$13,E194)),1,0))+IF(Classifiers!$C$13="",0,IF(ISNUMBER(SEARCH(Classifiers!$C$13,E194)),1,0))+IF(Classifiers!$D$13="",0,IF(ISNUMBER(SEARCH(Classifiers!$D$13,E194)),1,0))+IF(Classifiers!$E$13="",0,IF(ISNUMBER(SEARCH(Classifiers!$E$13,E194)),1,0))+IF(Classifiers!$F$13="",0,IF(ISNUMBER(SEARCH(Classifiers!$F$13,E194)),1,0))+IF(Classifiers!$G$13="",0,IF(ISNUMBER(SEARCH(Classifiers!$G$13,E194)),1,0)))&gt;0,1,0))</f>
        <v/>
      </c>
      <c r="S194" s="12">
        <f>IF(H194&lt;&gt;1,0,IF((IF(Classifiers!$B$14="",0,IF(ISNUMBER(SEARCH(Classifiers!$B$14,E194)),1,0))+IF(Classifiers!$C$14="",0,IF(ISNUMBER(SEARCH(Classifiers!$C$14,E194)),1,0))+IF(Classifiers!$D$14="",0,IF(ISNUMBER(SEARCH(Classifiers!$D$14,E194)),1,0))+IF(Classifiers!$E$14="",0,IF(ISNUMBER(SEARCH(Classifiers!$E$14,E194)),1,0))+IF(Classifiers!$F$14="",0,IF(ISNUMBER(SEARCH(Classifiers!$F$14,E194)),1,0))+IF(Classifiers!$G$14="",0,IF(ISNUMBER(SEARCH(Classifiers!$G$14,E194)),1,0)))&gt;0,1,0))</f>
        <v/>
      </c>
      <c r="T194" s="12">
        <f>IF(H194&lt;&gt;1,0,IF((IF(Classifiers!$B$15="",0,IF(ISNUMBER(SEARCH(Classifiers!$B$15,E194)),1,0))+IF(Classifiers!$C$15="",0,IF(ISNUMBER(SEARCH(Classifiers!$C$15,E194)),1,0))+IF(Classifiers!$D$15="",0,IF(ISNUMBER(SEARCH(Classifiers!$D$15,E194)),1,0))+IF(Classifiers!$E$15="",0,IF(ISNUMBER(SEARCH(Classifiers!$E$15,E194)),1,0))+IF(Classifiers!$F$15="",0,IF(ISNUMBER(SEARCH(Classifiers!$F$15,E194)),1,0))+IF(Classifiers!$G$15="",0,IF(ISNUMBER(SEARCH(Classifiers!$G$15,E194)),1,0)))&gt;0,1,0))</f>
        <v/>
      </c>
      <c r="U194" s="12">
        <f>IF(H194&lt;&gt;1,0,IF((IF(Classifiers!$B$16="",0,IF(ISNUMBER(SEARCH(Classifiers!$B$16,E194)),1,0))+IF(Classifiers!$C$16="",0,IF(ISNUMBER(SEARCH(Classifiers!$C$16,E194)),1,0))+IF(Classifiers!$D$16="",0,IF(ISNUMBER(SEARCH(Classifiers!$D$16,E194)),1,0))+IF(Classifiers!$E$16="",0,IF(ISNUMBER(SEARCH(Classifiers!$E$16,E194)),1,0))+IF(Classifiers!$F$16="",0,IF(ISNUMBER(SEARCH(Classifiers!$F$16,E194)),1,0))+IF(Classifiers!$G$16="",0,IF(ISNUMBER(SEARCH(Classifiers!$G$16,E194)),1,0)))&gt;0,1,0))</f>
        <v/>
      </c>
      <c r="V194" s="12">
        <f>IF(H194&lt;&gt;1,0,IF((IF(Classifiers!$B$17="",0,IF(ISNUMBER(SEARCH(Classifiers!$B$17,E194)),1,0))+IF(Classifiers!$C$17="",0,IF(ISNUMBER(SEARCH(Classifiers!$C$17,E194)),1,0))+IF(Classifiers!$D$17="",0,IF(ISNUMBER(SEARCH(Classifiers!$D$17,E194)),1,0))+IF(Classifiers!$E$17="",0,IF(ISNUMBER(SEARCH(Classifiers!$E$17,E194)),1,0))+IF(Classifiers!$F$17="",0,IF(ISNUMBER(SEARCH(Classifiers!$F$17,E194)),1,0))+IF(Classifiers!$G$17="",0,IF(ISNUMBER(SEARCH(Classifiers!$G$17,E194)),1,0)))&gt;0,1,0))</f>
        <v/>
      </c>
      <c r="W194" s="12">
        <f>IF(H194&lt;&gt;1,0,IF((IF(Classifiers!$B$18="",0,IF(ISNUMBER(SEARCH(Classifiers!$B$18,E194)),1,0))+IF(Classifiers!$C$18="",0,IF(ISNUMBER(SEARCH(Classifiers!$C$18,E194)),1,0))+IF(Classifiers!$D$18="",0,IF(ISNUMBER(SEARCH(Classifiers!$D$18,E194)),1,0))+IF(Classifiers!$E$18="",0,IF(ISNUMBER(SEARCH(Classifiers!$E$18,E194)),1,0))+IF(Classifiers!$F$18="",0,IF(ISNUMBER(SEARCH(Classifiers!$F$18,E194)),1,0))+IF(Classifiers!$G$18="",0,IF(ISNUMBER(SEARCH(Classifiers!$G$18,E194)),1,0)))&gt;0,1,0))</f>
        <v/>
      </c>
    </row>
    <row r="195">
      <c r="A195" s="8" t="n"/>
      <c r="B195" s="11" t="n"/>
      <c r="C195" s="6">
        <f>IF(A195="","",TRIM(RIGHT(SUBSTITUTE(A195,"/",REPT(" ",250)),250)))</f>
        <v/>
      </c>
      <c r="D195" s="6">
        <f>IF(C195="","",IF(ISNUMBER(SEARCH(".",C195)),LOWER("."&amp;TRIM(RIGHT(SUBSTITUTE(C195,".",REPT(" ",250)),250))),""))</f>
        <v/>
      </c>
      <c r="E195" s="6">
        <f>IF(C195="","",TRIM(SUBSTITUTE(SUBSTITUTE(SUBSTITUTE(SUBSTITUTE(SUBSTITUTE(SUBSTITUTE(SUBSTITUTE(SUBSTITUTE(SUBSTITUTE(SUBSTITUTE(SUBSTITUTE(SUBSTITUTE(SUBSTITUTE(SUBSTITUTE(SUBSTITUTE(SUBSTITUTE(SUBSTITUTE(SUBSTITUTE(SUBSTITUTE(SUBSTITUTE(LOWER(LEFT(C195,LEN(C195)-LEN(D195))),"_"," "),"-"," "),"."," "),","," "),"("," "),")"," "),"["," "),"]"," "),"&amp;"," "),"+"," "),"@"," "),"#"," "),"!"," "),"'"," "),"/"," "),":"," "),";"," "),"="," "),"~"," "),"%"," ")))</f>
        <v/>
      </c>
      <c r="F195" s="6">
        <f>IF(C195="","",IF(COUNTIF(Classifiers!$A$23:$A$40,D195)&gt;0,1,0))</f>
        <v/>
      </c>
      <c r="G195" s="6">
        <f>IF(C195="","",IF(COUNTIF(Classifiers!$C$23:$C$30,D195)&gt;0,IF((IF(ISNUMBER(SEARCH(Classifiers!$E$23,E195)),1,0)+IF(ISNUMBER(SEARCH(Classifiers!$E$24,E195)),1,0)+IF(ISNUMBER(SEARCH(Classifiers!$E$25,E195)),1,0)+IF(ISNUMBER(SEARCH(Classifiers!$E$26,E195)),1,0)+IF(ISNUMBER(SEARCH(Classifiers!$E$27,E195)),1,0)+IF(ISNUMBER(SEARCH(Classifiers!$E$28,E195)),1,0)+IF(ISNUMBER(SEARCH(Classifiers!$E$29,E195)),1,0)+IF(ISNUMBER(SEARCH(Classifiers!$E$30,E195)),1,0))&gt;0,1,0),0))</f>
        <v/>
      </c>
      <c r="H195" s="6">
        <f>IF(C195="","",IF(OR(LEFT(C195,1)=".",AND(F195=0,G195=0)),0,1))</f>
        <v/>
      </c>
      <c r="I195" s="6">
        <f>IF(H195&lt;&gt;1,"",IF(SUM(J195:W195)=0,"unclassified",INDEX(Classifiers!$A$5:$A$18,MATCH(1,J195:W195,0),1)))</f>
        <v/>
      </c>
      <c r="J195" s="12">
        <f>IF(H195&lt;&gt;1,0,IF((IF(Classifiers!$B$5="",0,IF(ISNUMBER(SEARCH(Classifiers!$B$5,E195)),1,0))+IF(Classifiers!$C$5="",0,IF(ISNUMBER(SEARCH(Classifiers!$C$5,E195)),1,0))+IF(Classifiers!$D$5="",0,IF(ISNUMBER(SEARCH(Classifiers!$D$5,E195)),1,0))+IF(Classifiers!$E$5="",0,IF(ISNUMBER(SEARCH(Classifiers!$E$5,E195)),1,0))+IF(Classifiers!$F$5="",0,IF(ISNUMBER(SEARCH(Classifiers!$F$5,E195)),1,0))+IF(Classifiers!$G$5="",0,IF(ISNUMBER(SEARCH(Classifiers!$G$5,E195)),1,0)))&gt;0,1,0))</f>
        <v/>
      </c>
      <c r="K195" s="12">
        <f>IF(H195&lt;&gt;1,0,IF((IF(Classifiers!$B$6="",0,IF(ISNUMBER(SEARCH(Classifiers!$B$6,E195)),1,0))+IF(Classifiers!$C$6="",0,IF(ISNUMBER(SEARCH(Classifiers!$C$6,E195)),1,0))+IF(Classifiers!$D$6="",0,IF(ISNUMBER(SEARCH(Classifiers!$D$6,E195)),1,0))+IF(Classifiers!$E$6="",0,IF(ISNUMBER(SEARCH(Classifiers!$E$6,E195)),1,0))+IF(Classifiers!$F$6="",0,IF(ISNUMBER(SEARCH(Classifiers!$F$6,E195)),1,0))+IF(Classifiers!$G$6="",0,IF(ISNUMBER(SEARCH(Classifiers!$G$6,E195)),1,0)))&gt;0,1,0))</f>
        <v/>
      </c>
      <c r="L195" s="12">
        <f>IF(H195&lt;&gt;1,0,IF((IF(Classifiers!$B$7="",0,IF(ISNUMBER(SEARCH(Classifiers!$B$7,E195)),1,0))+IF(Classifiers!$C$7="",0,IF(ISNUMBER(SEARCH(Classifiers!$C$7,E195)),1,0))+IF(Classifiers!$D$7="",0,IF(ISNUMBER(SEARCH(Classifiers!$D$7,E195)),1,0))+IF(Classifiers!$E$7="",0,IF(ISNUMBER(SEARCH(Classifiers!$E$7,E195)),1,0))+IF(Classifiers!$F$7="",0,IF(ISNUMBER(SEARCH(Classifiers!$F$7,E195)),1,0))+IF(Classifiers!$G$7="",0,IF(ISNUMBER(SEARCH(Classifiers!$G$7,E195)),1,0)))&gt;0,1,0))</f>
        <v/>
      </c>
      <c r="M195" s="12">
        <f>IF(H195&lt;&gt;1,0,IF((IF(Classifiers!$B$8="",0,IF(ISNUMBER(SEARCH(Classifiers!$B$8,E195)),1,0))+IF(Classifiers!$C$8="",0,IF(ISNUMBER(SEARCH(Classifiers!$C$8,E195)),1,0))+IF(Classifiers!$D$8="",0,IF(ISNUMBER(SEARCH(Classifiers!$D$8,E195)),1,0))+IF(Classifiers!$E$8="",0,IF(ISNUMBER(SEARCH(Classifiers!$E$8,E195)),1,0))+IF(Classifiers!$F$8="",0,IF(ISNUMBER(SEARCH(Classifiers!$F$8,E195)),1,0))+IF(Classifiers!$G$8="",0,IF(ISNUMBER(SEARCH(Classifiers!$G$8,E195)),1,0)))&gt;0,1,0))</f>
        <v/>
      </c>
      <c r="N195" s="12">
        <f>IF(H195&lt;&gt;1,0,IF((IF(Classifiers!$B$9="",0,IF(ISNUMBER(SEARCH(Classifiers!$B$9,E195)),1,0))+IF(Classifiers!$C$9="",0,IF(ISNUMBER(SEARCH(Classifiers!$C$9,E195)),1,0))+IF(Classifiers!$D$9="",0,IF(ISNUMBER(SEARCH(Classifiers!$D$9,E195)),1,0))+IF(Classifiers!$E$9="",0,IF(ISNUMBER(SEARCH(Classifiers!$E$9,E195)),1,0))+IF(Classifiers!$F$9="",0,IF(ISNUMBER(SEARCH(Classifiers!$F$9,E195)),1,0))+IF(Classifiers!$G$9="",0,IF(ISNUMBER(SEARCH(Classifiers!$G$9,E195)),1,0)))&gt;0,1,0))</f>
        <v/>
      </c>
      <c r="O195" s="12">
        <f>IF(H195&lt;&gt;1,0,IF((IF(Classifiers!$B$10="",0,IF(ISNUMBER(SEARCH(Classifiers!$B$10,E195)),1,0))+IF(Classifiers!$C$10="",0,IF(ISNUMBER(SEARCH(Classifiers!$C$10,E195)),1,0))+IF(Classifiers!$D$10="",0,IF(ISNUMBER(SEARCH(Classifiers!$D$10,E195)),1,0))+IF(Classifiers!$E$10="",0,IF(ISNUMBER(SEARCH(Classifiers!$E$10,E195)),1,0))+IF(Classifiers!$F$10="",0,IF(ISNUMBER(SEARCH(Classifiers!$F$10,E195)),1,0))+IF(Classifiers!$G$10="",0,IF(ISNUMBER(SEARCH(Classifiers!$G$10,E195)),1,0)))&gt;0,1,0))</f>
        <v/>
      </c>
      <c r="P195" s="12">
        <f>IF(H195&lt;&gt;1,0,IF((IF(Classifiers!$B$11="",0,IF(ISNUMBER(SEARCH(Classifiers!$B$11,E195)),1,0))+IF(Classifiers!$C$11="",0,IF(ISNUMBER(SEARCH(Classifiers!$C$11,E195)),1,0))+IF(Classifiers!$D$11="",0,IF(ISNUMBER(SEARCH(Classifiers!$D$11,E195)),1,0))+IF(Classifiers!$E$11="",0,IF(ISNUMBER(SEARCH(Classifiers!$E$11,E195)),1,0))+IF(Classifiers!$F$11="",0,IF(ISNUMBER(SEARCH(Classifiers!$F$11,E195)),1,0))+IF(Classifiers!$G$11="",0,IF(ISNUMBER(SEARCH(Classifiers!$G$11,E195)),1,0)))&gt;0,1,0))</f>
        <v/>
      </c>
      <c r="Q195" s="12">
        <f>IF(H195&lt;&gt;1,0,IF((IF(Classifiers!$B$12="",0,IF(ISNUMBER(SEARCH(Classifiers!$B$12,E195)),1,0))+IF(Classifiers!$C$12="",0,IF(ISNUMBER(SEARCH(Classifiers!$C$12,E195)),1,0))+IF(Classifiers!$D$12="",0,IF(ISNUMBER(SEARCH(Classifiers!$D$12,E195)),1,0))+IF(Classifiers!$E$12="",0,IF(ISNUMBER(SEARCH(Classifiers!$E$12,E195)),1,0))+IF(Classifiers!$F$12="",0,IF(ISNUMBER(SEARCH(Classifiers!$F$12,E195)),1,0))+IF(Classifiers!$G$12="",0,IF(ISNUMBER(SEARCH(Classifiers!$G$12,E195)),1,0)))&gt;0,1,0))</f>
        <v/>
      </c>
      <c r="R195" s="12">
        <f>IF(H195&lt;&gt;1,0,IF((IF(Classifiers!$B$13="",0,IF(ISNUMBER(SEARCH(Classifiers!$B$13,E195)),1,0))+IF(Classifiers!$C$13="",0,IF(ISNUMBER(SEARCH(Classifiers!$C$13,E195)),1,0))+IF(Classifiers!$D$13="",0,IF(ISNUMBER(SEARCH(Classifiers!$D$13,E195)),1,0))+IF(Classifiers!$E$13="",0,IF(ISNUMBER(SEARCH(Classifiers!$E$13,E195)),1,0))+IF(Classifiers!$F$13="",0,IF(ISNUMBER(SEARCH(Classifiers!$F$13,E195)),1,0))+IF(Classifiers!$G$13="",0,IF(ISNUMBER(SEARCH(Classifiers!$G$13,E195)),1,0)))&gt;0,1,0))</f>
        <v/>
      </c>
      <c r="S195" s="12">
        <f>IF(H195&lt;&gt;1,0,IF((IF(Classifiers!$B$14="",0,IF(ISNUMBER(SEARCH(Classifiers!$B$14,E195)),1,0))+IF(Classifiers!$C$14="",0,IF(ISNUMBER(SEARCH(Classifiers!$C$14,E195)),1,0))+IF(Classifiers!$D$14="",0,IF(ISNUMBER(SEARCH(Classifiers!$D$14,E195)),1,0))+IF(Classifiers!$E$14="",0,IF(ISNUMBER(SEARCH(Classifiers!$E$14,E195)),1,0))+IF(Classifiers!$F$14="",0,IF(ISNUMBER(SEARCH(Classifiers!$F$14,E195)),1,0))+IF(Classifiers!$G$14="",0,IF(ISNUMBER(SEARCH(Classifiers!$G$14,E195)),1,0)))&gt;0,1,0))</f>
        <v/>
      </c>
      <c r="T195" s="12">
        <f>IF(H195&lt;&gt;1,0,IF((IF(Classifiers!$B$15="",0,IF(ISNUMBER(SEARCH(Classifiers!$B$15,E195)),1,0))+IF(Classifiers!$C$15="",0,IF(ISNUMBER(SEARCH(Classifiers!$C$15,E195)),1,0))+IF(Classifiers!$D$15="",0,IF(ISNUMBER(SEARCH(Classifiers!$D$15,E195)),1,0))+IF(Classifiers!$E$15="",0,IF(ISNUMBER(SEARCH(Classifiers!$E$15,E195)),1,0))+IF(Classifiers!$F$15="",0,IF(ISNUMBER(SEARCH(Classifiers!$F$15,E195)),1,0))+IF(Classifiers!$G$15="",0,IF(ISNUMBER(SEARCH(Classifiers!$G$15,E195)),1,0)))&gt;0,1,0))</f>
        <v/>
      </c>
      <c r="U195" s="12">
        <f>IF(H195&lt;&gt;1,0,IF((IF(Classifiers!$B$16="",0,IF(ISNUMBER(SEARCH(Classifiers!$B$16,E195)),1,0))+IF(Classifiers!$C$16="",0,IF(ISNUMBER(SEARCH(Classifiers!$C$16,E195)),1,0))+IF(Classifiers!$D$16="",0,IF(ISNUMBER(SEARCH(Classifiers!$D$16,E195)),1,0))+IF(Classifiers!$E$16="",0,IF(ISNUMBER(SEARCH(Classifiers!$E$16,E195)),1,0))+IF(Classifiers!$F$16="",0,IF(ISNUMBER(SEARCH(Classifiers!$F$16,E195)),1,0))+IF(Classifiers!$G$16="",0,IF(ISNUMBER(SEARCH(Classifiers!$G$16,E195)),1,0)))&gt;0,1,0))</f>
        <v/>
      </c>
      <c r="V195" s="12">
        <f>IF(H195&lt;&gt;1,0,IF((IF(Classifiers!$B$17="",0,IF(ISNUMBER(SEARCH(Classifiers!$B$17,E195)),1,0))+IF(Classifiers!$C$17="",0,IF(ISNUMBER(SEARCH(Classifiers!$C$17,E195)),1,0))+IF(Classifiers!$D$17="",0,IF(ISNUMBER(SEARCH(Classifiers!$D$17,E195)),1,0))+IF(Classifiers!$E$17="",0,IF(ISNUMBER(SEARCH(Classifiers!$E$17,E195)),1,0))+IF(Classifiers!$F$17="",0,IF(ISNUMBER(SEARCH(Classifiers!$F$17,E195)),1,0))+IF(Classifiers!$G$17="",0,IF(ISNUMBER(SEARCH(Classifiers!$G$17,E195)),1,0)))&gt;0,1,0))</f>
        <v/>
      </c>
      <c r="W195" s="12">
        <f>IF(H195&lt;&gt;1,0,IF((IF(Classifiers!$B$18="",0,IF(ISNUMBER(SEARCH(Classifiers!$B$18,E195)),1,0))+IF(Classifiers!$C$18="",0,IF(ISNUMBER(SEARCH(Classifiers!$C$18,E195)),1,0))+IF(Classifiers!$D$18="",0,IF(ISNUMBER(SEARCH(Classifiers!$D$18,E195)),1,0))+IF(Classifiers!$E$18="",0,IF(ISNUMBER(SEARCH(Classifiers!$E$18,E195)),1,0))+IF(Classifiers!$F$18="",0,IF(ISNUMBER(SEARCH(Classifiers!$F$18,E195)),1,0))+IF(Classifiers!$G$18="",0,IF(ISNUMBER(SEARCH(Classifiers!$G$18,E195)),1,0)))&gt;0,1,0))</f>
        <v/>
      </c>
    </row>
    <row r="196">
      <c r="A196" s="8" t="n"/>
      <c r="B196" s="11" t="n"/>
      <c r="C196" s="6">
        <f>IF(A196="","",TRIM(RIGHT(SUBSTITUTE(A196,"/",REPT(" ",250)),250)))</f>
        <v/>
      </c>
      <c r="D196" s="6">
        <f>IF(C196="","",IF(ISNUMBER(SEARCH(".",C196)),LOWER("."&amp;TRIM(RIGHT(SUBSTITUTE(C196,".",REPT(" ",250)),250))),""))</f>
        <v/>
      </c>
      <c r="E196" s="6">
        <f>IF(C196="","",TRIM(SUBSTITUTE(SUBSTITUTE(SUBSTITUTE(SUBSTITUTE(SUBSTITUTE(SUBSTITUTE(SUBSTITUTE(SUBSTITUTE(SUBSTITUTE(SUBSTITUTE(SUBSTITUTE(SUBSTITUTE(SUBSTITUTE(SUBSTITUTE(SUBSTITUTE(SUBSTITUTE(SUBSTITUTE(SUBSTITUTE(SUBSTITUTE(SUBSTITUTE(LOWER(LEFT(C196,LEN(C196)-LEN(D196))),"_"," "),"-"," "),"."," "),","," "),"("," "),")"," "),"["," "),"]"," "),"&amp;"," "),"+"," "),"@"," "),"#"," "),"!"," "),"'"," "),"/"," "),":"," "),";"," "),"="," "),"~"," "),"%"," ")))</f>
        <v/>
      </c>
      <c r="F196" s="6">
        <f>IF(C196="","",IF(COUNTIF(Classifiers!$A$23:$A$40,D196)&gt;0,1,0))</f>
        <v/>
      </c>
      <c r="G196" s="6">
        <f>IF(C196="","",IF(COUNTIF(Classifiers!$C$23:$C$30,D196)&gt;0,IF((IF(ISNUMBER(SEARCH(Classifiers!$E$23,E196)),1,0)+IF(ISNUMBER(SEARCH(Classifiers!$E$24,E196)),1,0)+IF(ISNUMBER(SEARCH(Classifiers!$E$25,E196)),1,0)+IF(ISNUMBER(SEARCH(Classifiers!$E$26,E196)),1,0)+IF(ISNUMBER(SEARCH(Classifiers!$E$27,E196)),1,0)+IF(ISNUMBER(SEARCH(Classifiers!$E$28,E196)),1,0)+IF(ISNUMBER(SEARCH(Classifiers!$E$29,E196)),1,0)+IF(ISNUMBER(SEARCH(Classifiers!$E$30,E196)),1,0))&gt;0,1,0),0))</f>
        <v/>
      </c>
      <c r="H196" s="6">
        <f>IF(C196="","",IF(OR(LEFT(C196,1)=".",AND(F196=0,G196=0)),0,1))</f>
        <v/>
      </c>
      <c r="I196" s="6">
        <f>IF(H196&lt;&gt;1,"",IF(SUM(J196:W196)=0,"unclassified",INDEX(Classifiers!$A$5:$A$18,MATCH(1,J196:W196,0),1)))</f>
        <v/>
      </c>
      <c r="J196" s="12">
        <f>IF(H196&lt;&gt;1,0,IF((IF(Classifiers!$B$5="",0,IF(ISNUMBER(SEARCH(Classifiers!$B$5,E196)),1,0))+IF(Classifiers!$C$5="",0,IF(ISNUMBER(SEARCH(Classifiers!$C$5,E196)),1,0))+IF(Classifiers!$D$5="",0,IF(ISNUMBER(SEARCH(Classifiers!$D$5,E196)),1,0))+IF(Classifiers!$E$5="",0,IF(ISNUMBER(SEARCH(Classifiers!$E$5,E196)),1,0))+IF(Classifiers!$F$5="",0,IF(ISNUMBER(SEARCH(Classifiers!$F$5,E196)),1,0))+IF(Classifiers!$G$5="",0,IF(ISNUMBER(SEARCH(Classifiers!$G$5,E196)),1,0)))&gt;0,1,0))</f>
        <v/>
      </c>
      <c r="K196" s="12">
        <f>IF(H196&lt;&gt;1,0,IF((IF(Classifiers!$B$6="",0,IF(ISNUMBER(SEARCH(Classifiers!$B$6,E196)),1,0))+IF(Classifiers!$C$6="",0,IF(ISNUMBER(SEARCH(Classifiers!$C$6,E196)),1,0))+IF(Classifiers!$D$6="",0,IF(ISNUMBER(SEARCH(Classifiers!$D$6,E196)),1,0))+IF(Classifiers!$E$6="",0,IF(ISNUMBER(SEARCH(Classifiers!$E$6,E196)),1,0))+IF(Classifiers!$F$6="",0,IF(ISNUMBER(SEARCH(Classifiers!$F$6,E196)),1,0))+IF(Classifiers!$G$6="",0,IF(ISNUMBER(SEARCH(Classifiers!$G$6,E196)),1,0)))&gt;0,1,0))</f>
        <v/>
      </c>
      <c r="L196" s="12">
        <f>IF(H196&lt;&gt;1,0,IF((IF(Classifiers!$B$7="",0,IF(ISNUMBER(SEARCH(Classifiers!$B$7,E196)),1,0))+IF(Classifiers!$C$7="",0,IF(ISNUMBER(SEARCH(Classifiers!$C$7,E196)),1,0))+IF(Classifiers!$D$7="",0,IF(ISNUMBER(SEARCH(Classifiers!$D$7,E196)),1,0))+IF(Classifiers!$E$7="",0,IF(ISNUMBER(SEARCH(Classifiers!$E$7,E196)),1,0))+IF(Classifiers!$F$7="",0,IF(ISNUMBER(SEARCH(Classifiers!$F$7,E196)),1,0))+IF(Classifiers!$G$7="",0,IF(ISNUMBER(SEARCH(Classifiers!$G$7,E196)),1,0)))&gt;0,1,0))</f>
        <v/>
      </c>
      <c r="M196" s="12">
        <f>IF(H196&lt;&gt;1,0,IF((IF(Classifiers!$B$8="",0,IF(ISNUMBER(SEARCH(Classifiers!$B$8,E196)),1,0))+IF(Classifiers!$C$8="",0,IF(ISNUMBER(SEARCH(Classifiers!$C$8,E196)),1,0))+IF(Classifiers!$D$8="",0,IF(ISNUMBER(SEARCH(Classifiers!$D$8,E196)),1,0))+IF(Classifiers!$E$8="",0,IF(ISNUMBER(SEARCH(Classifiers!$E$8,E196)),1,0))+IF(Classifiers!$F$8="",0,IF(ISNUMBER(SEARCH(Classifiers!$F$8,E196)),1,0))+IF(Classifiers!$G$8="",0,IF(ISNUMBER(SEARCH(Classifiers!$G$8,E196)),1,0)))&gt;0,1,0))</f>
        <v/>
      </c>
      <c r="N196" s="12">
        <f>IF(H196&lt;&gt;1,0,IF((IF(Classifiers!$B$9="",0,IF(ISNUMBER(SEARCH(Classifiers!$B$9,E196)),1,0))+IF(Classifiers!$C$9="",0,IF(ISNUMBER(SEARCH(Classifiers!$C$9,E196)),1,0))+IF(Classifiers!$D$9="",0,IF(ISNUMBER(SEARCH(Classifiers!$D$9,E196)),1,0))+IF(Classifiers!$E$9="",0,IF(ISNUMBER(SEARCH(Classifiers!$E$9,E196)),1,0))+IF(Classifiers!$F$9="",0,IF(ISNUMBER(SEARCH(Classifiers!$F$9,E196)),1,0))+IF(Classifiers!$G$9="",0,IF(ISNUMBER(SEARCH(Classifiers!$G$9,E196)),1,0)))&gt;0,1,0))</f>
        <v/>
      </c>
      <c r="O196" s="12">
        <f>IF(H196&lt;&gt;1,0,IF((IF(Classifiers!$B$10="",0,IF(ISNUMBER(SEARCH(Classifiers!$B$10,E196)),1,0))+IF(Classifiers!$C$10="",0,IF(ISNUMBER(SEARCH(Classifiers!$C$10,E196)),1,0))+IF(Classifiers!$D$10="",0,IF(ISNUMBER(SEARCH(Classifiers!$D$10,E196)),1,0))+IF(Classifiers!$E$10="",0,IF(ISNUMBER(SEARCH(Classifiers!$E$10,E196)),1,0))+IF(Classifiers!$F$10="",0,IF(ISNUMBER(SEARCH(Classifiers!$F$10,E196)),1,0))+IF(Classifiers!$G$10="",0,IF(ISNUMBER(SEARCH(Classifiers!$G$10,E196)),1,0)))&gt;0,1,0))</f>
        <v/>
      </c>
      <c r="P196" s="12">
        <f>IF(H196&lt;&gt;1,0,IF((IF(Classifiers!$B$11="",0,IF(ISNUMBER(SEARCH(Classifiers!$B$11,E196)),1,0))+IF(Classifiers!$C$11="",0,IF(ISNUMBER(SEARCH(Classifiers!$C$11,E196)),1,0))+IF(Classifiers!$D$11="",0,IF(ISNUMBER(SEARCH(Classifiers!$D$11,E196)),1,0))+IF(Classifiers!$E$11="",0,IF(ISNUMBER(SEARCH(Classifiers!$E$11,E196)),1,0))+IF(Classifiers!$F$11="",0,IF(ISNUMBER(SEARCH(Classifiers!$F$11,E196)),1,0))+IF(Classifiers!$G$11="",0,IF(ISNUMBER(SEARCH(Classifiers!$G$11,E196)),1,0)))&gt;0,1,0))</f>
        <v/>
      </c>
      <c r="Q196" s="12">
        <f>IF(H196&lt;&gt;1,0,IF((IF(Classifiers!$B$12="",0,IF(ISNUMBER(SEARCH(Classifiers!$B$12,E196)),1,0))+IF(Classifiers!$C$12="",0,IF(ISNUMBER(SEARCH(Classifiers!$C$12,E196)),1,0))+IF(Classifiers!$D$12="",0,IF(ISNUMBER(SEARCH(Classifiers!$D$12,E196)),1,0))+IF(Classifiers!$E$12="",0,IF(ISNUMBER(SEARCH(Classifiers!$E$12,E196)),1,0))+IF(Classifiers!$F$12="",0,IF(ISNUMBER(SEARCH(Classifiers!$F$12,E196)),1,0))+IF(Classifiers!$G$12="",0,IF(ISNUMBER(SEARCH(Classifiers!$G$12,E196)),1,0)))&gt;0,1,0))</f>
        <v/>
      </c>
      <c r="R196" s="12">
        <f>IF(H196&lt;&gt;1,0,IF((IF(Classifiers!$B$13="",0,IF(ISNUMBER(SEARCH(Classifiers!$B$13,E196)),1,0))+IF(Classifiers!$C$13="",0,IF(ISNUMBER(SEARCH(Classifiers!$C$13,E196)),1,0))+IF(Classifiers!$D$13="",0,IF(ISNUMBER(SEARCH(Classifiers!$D$13,E196)),1,0))+IF(Classifiers!$E$13="",0,IF(ISNUMBER(SEARCH(Classifiers!$E$13,E196)),1,0))+IF(Classifiers!$F$13="",0,IF(ISNUMBER(SEARCH(Classifiers!$F$13,E196)),1,0))+IF(Classifiers!$G$13="",0,IF(ISNUMBER(SEARCH(Classifiers!$G$13,E196)),1,0)))&gt;0,1,0))</f>
        <v/>
      </c>
      <c r="S196" s="12">
        <f>IF(H196&lt;&gt;1,0,IF((IF(Classifiers!$B$14="",0,IF(ISNUMBER(SEARCH(Classifiers!$B$14,E196)),1,0))+IF(Classifiers!$C$14="",0,IF(ISNUMBER(SEARCH(Classifiers!$C$14,E196)),1,0))+IF(Classifiers!$D$14="",0,IF(ISNUMBER(SEARCH(Classifiers!$D$14,E196)),1,0))+IF(Classifiers!$E$14="",0,IF(ISNUMBER(SEARCH(Classifiers!$E$14,E196)),1,0))+IF(Classifiers!$F$14="",0,IF(ISNUMBER(SEARCH(Classifiers!$F$14,E196)),1,0))+IF(Classifiers!$G$14="",0,IF(ISNUMBER(SEARCH(Classifiers!$G$14,E196)),1,0)))&gt;0,1,0))</f>
        <v/>
      </c>
      <c r="T196" s="12">
        <f>IF(H196&lt;&gt;1,0,IF((IF(Classifiers!$B$15="",0,IF(ISNUMBER(SEARCH(Classifiers!$B$15,E196)),1,0))+IF(Classifiers!$C$15="",0,IF(ISNUMBER(SEARCH(Classifiers!$C$15,E196)),1,0))+IF(Classifiers!$D$15="",0,IF(ISNUMBER(SEARCH(Classifiers!$D$15,E196)),1,0))+IF(Classifiers!$E$15="",0,IF(ISNUMBER(SEARCH(Classifiers!$E$15,E196)),1,0))+IF(Classifiers!$F$15="",0,IF(ISNUMBER(SEARCH(Classifiers!$F$15,E196)),1,0))+IF(Classifiers!$G$15="",0,IF(ISNUMBER(SEARCH(Classifiers!$G$15,E196)),1,0)))&gt;0,1,0))</f>
        <v/>
      </c>
      <c r="U196" s="12">
        <f>IF(H196&lt;&gt;1,0,IF((IF(Classifiers!$B$16="",0,IF(ISNUMBER(SEARCH(Classifiers!$B$16,E196)),1,0))+IF(Classifiers!$C$16="",0,IF(ISNUMBER(SEARCH(Classifiers!$C$16,E196)),1,0))+IF(Classifiers!$D$16="",0,IF(ISNUMBER(SEARCH(Classifiers!$D$16,E196)),1,0))+IF(Classifiers!$E$16="",0,IF(ISNUMBER(SEARCH(Classifiers!$E$16,E196)),1,0))+IF(Classifiers!$F$16="",0,IF(ISNUMBER(SEARCH(Classifiers!$F$16,E196)),1,0))+IF(Classifiers!$G$16="",0,IF(ISNUMBER(SEARCH(Classifiers!$G$16,E196)),1,0)))&gt;0,1,0))</f>
        <v/>
      </c>
      <c r="V196" s="12">
        <f>IF(H196&lt;&gt;1,0,IF((IF(Classifiers!$B$17="",0,IF(ISNUMBER(SEARCH(Classifiers!$B$17,E196)),1,0))+IF(Classifiers!$C$17="",0,IF(ISNUMBER(SEARCH(Classifiers!$C$17,E196)),1,0))+IF(Classifiers!$D$17="",0,IF(ISNUMBER(SEARCH(Classifiers!$D$17,E196)),1,0))+IF(Classifiers!$E$17="",0,IF(ISNUMBER(SEARCH(Classifiers!$E$17,E196)),1,0))+IF(Classifiers!$F$17="",0,IF(ISNUMBER(SEARCH(Classifiers!$F$17,E196)),1,0))+IF(Classifiers!$G$17="",0,IF(ISNUMBER(SEARCH(Classifiers!$G$17,E196)),1,0)))&gt;0,1,0))</f>
        <v/>
      </c>
      <c r="W196" s="12">
        <f>IF(H196&lt;&gt;1,0,IF((IF(Classifiers!$B$18="",0,IF(ISNUMBER(SEARCH(Classifiers!$B$18,E196)),1,0))+IF(Classifiers!$C$18="",0,IF(ISNUMBER(SEARCH(Classifiers!$C$18,E196)),1,0))+IF(Classifiers!$D$18="",0,IF(ISNUMBER(SEARCH(Classifiers!$D$18,E196)),1,0))+IF(Classifiers!$E$18="",0,IF(ISNUMBER(SEARCH(Classifiers!$E$18,E196)),1,0))+IF(Classifiers!$F$18="",0,IF(ISNUMBER(SEARCH(Classifiers!$F$18,E196)),1,0))+IF(Classifiers!$G$18="",0,IF(ISNUMBER(SEARCH(Classifiers!$G$18,E196)),1,0)))&gt;0,1,0))</f>
        <v/>
      </c>
    </row>
    <row r="197">
      <c r="A197" s="8" t="n"/>
      <c r="B197" s="11" t="n"/>
      <c r="C197" s="6">
        <f>IF(A197="","",TRIM(RIGHT(SUBSTITUTE(A197,"/",REPT(" ",250)),250)))</f>
        <v/>
      </c>
      <c r="D197" s="6">
        <f>IF(C197="","",IF(ISNUMBER(SEARCH(".",C197)),LOWER("."&amp;TRIM(RIGHT(SUBSTITUTE(C197,".",REPT(" ",250)),250))),""))</f>
        <v/>
      </c>
      <c r="E197" s="6">
        <f>IF(C197="","",TRIM(SUBSTITUTE(SUBSTITUTE(SUBSTITUTE(SUBSTITUTE(SUBSTITUTE(SUBSTITUTE(SUBSTITUTE(SUBSTITUTE(SUBSTITUTE(SUBSTITUTE(SUBSTITUTE(SUBSTITUTE(SUBSTITUTE(SUBSTITUTE(SUBSTITUTE(SUBSTITUTE(SUBSTITUTE(SUBSTITUTE(SUBSTITUTE(SUBSTITUTE(LOWER(LEFT(C197,LEN(C197)-LEN(D197))),"_"," "),"-"," "),"."," "),","," "),"("," "),")"," "),"["," "),"]"," "),"&amp;"," "),"+"," "),"@"," "),"#"," "),"!"," "),"'"," "),"/"," "),":"," "),";"," "),"="," "),"~"," "),"%"," ")))</f>
        <v/>
      </c>
      <c r="F197" s="6">
        <f>IF(C197="","",IF(COUNTIF(Classifiers!$A$23:$A$40,D197)&gt;0,1,0))</f>
        <v/>
      </c>
      <c r="G197" s="6">
        <f>IF(C197="","",IF(COUNTIF(Classifiers!$C$23:$C$30,D197)&gt;0,IF((IF(ISNUMBER(SEARCH(Classifiers!$E$23,E197)),1,0)+IF(ISNUMBER(SEARCH(Classifiers!$E$24,E197)),1,0)+IF(ISNUMBER(SEARCH(Classifiers!$E$25,E197)),1,0)+IF(ISNUMBER(SEARCH(Classifiers!$E$26,E197)),1,0)+IF(ISNUMBER(SEARCH(Classifiers!$E$27,E197)),1,0)+IF(ISNUMBER(SEARCH(Classifiers!$E$28,E197)),1,0)+IF(ISNUMBER(SEARCH(Classifiers!$E$29,E197)),1,0)+IF(ISNUMBER(SEARCH(Classifiers!$E$30,E197)),1,0))&gt;0,1,0),0))</f>
        <v/>
      </c>
      <c r="H197" s="6">
        <f>IF(C197="","",IF(OR(LEFT(C197,1)=".",AND(F197=0,G197=0)),0,1))</f>
        <v/>
      </c>
      <c r="I197" s="6">
        <f>IF(H197&lt;&gt;1,"",IF(SUM(J197:W197)=0,"unclassified",INDEX(Classifiers!$A$5:$A$18,MATCH(1,J197:W197,0),1)))</f>
        <v/>
      </c>
      <c r="J197" s="12">
        <f>IF(H197&lt;&gt;1,0,IF((IF(Classifiers!$B$5="",0,IF(ISNUMBER(SEARCH(Classifiers!$B$5,E197)),1,0))+IF(Classifiers!$C$5="",0,IF(ISNUMBER(SEARCH(Classifiers!$C$5,E197)),1,0))+IF(Classifiers!$D$5="",0,IF(ISNUMBER(SEARCH(Classifiers!$D$5,E197)),1,0))+IF(Classifiers!$E$5="",0,IF(ISNUMBER(SEARCH(Classifiers!$E$5,E197)),1,0))+IF(Classifiers!$F$5="",0,IF(ISNUMBER(SEARCH(Classifiers!$F$5,E197)),1,0))+IF(Classifiers!$G$5="",0,IF(ISNUMBER(SEARCH(Classifiers!$G$5,E197)),1,0)))&gt;0,1,0))</f>
        <v/>
      </c>
      <c r="K197" s="12">
        <f>IF(H197&lt;&gt;1,0,IF((IF(Classifiers!$B$6="",0,IF(ISNUMBER(SEARCH(Classifiers!$B$6,E197)),1,0))+IF(Classifiers!$C$6="",0,IF(ISNUMBER(SEARCH(Classifiers!$C$6,E197)),1,0))+IF(Classifiers!$D$6="",0,IF(ISNUMBER(SEARCH(Classifiers!$D$6,E197)),1,0))+IF(Classifiers!$E$6="",0,IF(ISNUMBER(SEARCH(Classifiers!$E$6,E197)),1,0))+IF(Classifiers!$F$6="",0,IF(ISNUMBER(SEARCH(Classifiers!$F$6,E197)),1,0))+IF(Classifiers!$G$6="",0,IF(ISNUMBER(SEARCH(Classifiers!$G$6,E197)),1,0)))&gt;0,1,0))</f>
        <v/>
      </c>
      <c r="L197" s="12">
        <f>IF(H197&lt;&gt;1,0,IF((IF(Classifiers!$B$7="",0,IF(ISNUMBER(SEARCH(Classifiers!$B$7,E197)),1,0))+IF(Classifiers!$C$7="",0,IF(ISNUMBER(SEARCH(Classifiers!$C$7,E197)),1,0))+IF(Classifiers!$D$7="",0,IF(ISNUMBER(SEARCH(Classifiers!$D$7,E197)),1,0))+IF(Classifiers!$E$7="",0,IF(ISNUMBER(SEARCH(Classifiers!$E$7,E197)),1,0))+IF(Classifiers!$F$7="",0,IF(ISNUMBER(SEARCH(Classifiers!$F$7,E197)),1,0))+IF(Classifiers!$G$7="",0,IF(ISNUMBER(SEARCH(Classifiers!$G$7,E197)),1,0)))&gt;0,1,0))</f>
        <v/>
      </c>
      <c r="M197" s="12">
        <f>IF(H197&lt;&gt;1,0,IF((IF(Classifiers!$B$8="",0,IF(ISNUMBER(SEARCH(Classifiers!$B$8,E197)),1,0))+IF(Classifiers!$C$8="",0,IF(ISNUMBER(SEARCH(Classifiers!$C$8,E197)),1,0))+IF(Classifiers!$D$8="",0,IF(ISNUMBER(SEARCH(Classifiers!$D$8,E197)),1,0))+IF(Classifiers!$E$8="",0,IF(ISNUMBER(SEARCH(Classifiers!$E$8,E197)),1,0))+IF(Classifiers!$F$8="",0,IF(ISNUMBER(SEARCH(Classifiers!$F$8,E197)),1,0))+IF(Classifiers!$G$8="",0,IF(ISNUMBER(SEARCH(Classifiers!$G$8,E197)),1,0)))&gt;0,1,0))</f>
        <v/>
      </c>
      <c r="N197" s="12">
        <f>IF(H197&lt;&gt;1,0,IF((IF(Classifiers!$B$9="",0,IF(ISNUMBER(SEARCH(Classifiers!$B$9,E197)),1,0))+IF(Classifiers!$C$9="",0,IF(ISNUMBER(SEARCH(Classifiers!$C$9,E197)),1,0))+IF(Classifiers!$D$9="",0,IF(ISNUMBER(SEARCH(Classifiers!$D$9,E197)),1,0))+IF(Classifiers!$E$9="",0,IF(ISNUMBER(SEARCH(Classifiers!$E$9,E197)),1,0))+IF(Classifiers!$F$9="",0,IF(ISNUMBER(SEARCH(Classifiers!$F$9,E197)),1,0))+IF(Classifiers!$G$9="",0,IF(ISNUMBER(SEARCH(Classifiers!$G$9,E197)),1,0)))&gt;0,1,0))</f>
        <v/>
      </c>
      <c r="O197" s="12">
        <f>IF(H197&lt;&gt;1,0,IF((IF(Classifiers!$B$10="",0,IF(ISNUMBER(SEARCH(Classifiers!$B$10,E197)),1,0))+IF(Classifiers!$C$10="",0,IF(ISNUMBER(SEARCH(Classifiers!$C$10,E197)),1,0))+IF(Classifiers!$D$10="",0,IF(ISNUMBER(SEARCH(Classifiers!$D$10,E197)),1,0))+IF(Classifiers!$E$10="",0,IF(ISNUMBER(SEARCH(Classifiers!$E$10,E197)),1,0))+IF(Classifiers!$F$10="",0,IF(ISNUMBER(SEARCH(Classifiers!$F$10,E197)),1,0))+IF(Classifiers!$G$10="",0,IF(ISNUMBER(SEARCH(Classifiers!$G$10,E197)),1,0)))&gt;0,1,0))</f>
        <v/>
      </c>
      <c r="P197" s="12">
        <f>IF(H197&lt;&gt;1,0,IF((IF(Classifiers!$B$11="",0,IF(ISNUMBER(SEARCH(Classifiers!$B$11,E197)),1,0))+IF(Classifiers!$C$11="",0,IF(ISNUMBER(SEARCH(Classifiers!$C$11,E197)),1,0))+IF(Classifiers!$D$11="",0,IF(ISNUMBER(SEARCH(Classifiers!$D$11,E197)),1,0))+IF(Classifiers!$E$11="",0,IF(ISNUMBER(SEARCH(Classifiers!$E$11,E197)),1,0))+IF(Classifiers!$F$11="",0,IF(ISNUMBER(SEARCH(Classifiers!$F$11,E197)),1,0))+IF(Classifiers!$G$11="",0,IF(ISNUMBER(SEARCH(Classifiers!$G$11,E197)),1,0)))&gt;0,1,0))</f>
        <v/>
      </c>
      <c r="Q197" s="12">
        <f>IF(H197&lt;&gt;1,0,IF((IF(Classifiers!$B$12="",0,IF(ISNUMBER(SEARCH(Classifiers!$B$12,E197)),1,0))+IF(Classifiers!$C$12="",0,IF(ISNUMBER(SEARCH(Classifiers!$C$12,E197)),1,0))+IF(Classifiers!$D$12="",0,IF(ISNUMBER(SEARCH(Classifiers!$D$12,E197)),1,0))+IF(Classifiers!$E$12="",0,IF(ISNUMBER(SEARCH(Classifiers!$E$12,E197)),1,0))+IF(Classifiers!$F$12="",0,IF(ISNUMBER(SEARCH(Classifiers!$F$12,E197)),1,0))+IF(Classifiers!$G$12="",0,IF(ISNUMBER(SEARCH(Classifiers!$G$12,E197)),1,0)))&gt;0,1,0))</f>
        <v/>
      </c>
      <c r="R197" s="12">
        <f>IF(H197&lt;&gt;1,0,IF((IF(Classifiers!$B$13="",0,IF(ISNUMBER(SEARCH(Classifiers!$B$13,E197)),1,0))+IF(Classifiers!$C$13="",0,IF(ISNUMBER(SEARCH(Classifiers!$C$13,E197)),1,0))+IF(Classifiers!$D$13="",0,IF(ISNUMBER(SEARCH(Classifiers!$D$13,E197)),1,0))+IF(Classifiers!$E$13="",0,IF(ISNUMBER(SEARCH(Classifiers!$E$13,E197)),1,0))+IF(Classifiers!$F$13="",0,IF(ISNUMBER(SEARCH(Classifiers!$F$13,E197)),1,0))+IF(Classifiers!$G$13="",0,IF(ISNUMBER(SEARCH(Classifiers!$G$13,E197)),1,0)))&gt;0,1,0))</f>
        <v/>
      </c>
      <c r="S197" s="12">
        <f>IF(H197&lt;&gt;1,0,IF((IF(Classifiers!$B$14="",0,IF(ISNUMBER(SEARCH(Classifiers!$B$14,E197)),1,0))+IF(Classifiers!$C$14="",0,IF(ISNUMBER(SEARCH(Classifiers!$C$14,E197)),1,0))+IF(Classifiers!$D$14="",0,IF(ISNUMBER(SEARCH(Classifiers!$D$14,E197)),1,0))+IF(Classifiers!$E$14="",0,IF(ISNUMBER(SEARCH(Classifiers!$E$14,E197)),1,0))+IF(Classifiers!$F$14="",0,IF(ISNUMBER(SEARCH(Classifiers!$F$14,E197)),1,0))+IF(Classifiers!$G$14="",0,IF(ISNUMBER(SEARCH(Classifiers!$G$14,E197)),1,0)))&gt;0,1,0))</f>
        <v/>
      </c>
      <c r="T197" s="12">
        <f>IF(H197&lt;&gt;1,0,IF((IF(Classifiers!$B$15="",0,IF(ISNUMBER(SEARCH(Classifiers!$B$15,E197)),1,0))+IF(Classifiers!$C$15="",0,IF(ISNUMBER(SEARCH(Classifiers!$C$15,E197)),1,0))+IF(Classifiers!$D$15="",0,IF(ISNUMBER(SEARCH(Classifiers!$D$15,E197)),1,0))+IF(Classifiers!$E$15="",0,IF(ISNUMBER(SEARCH(Classifiers!$E$15,E197)),1,0))+IF(Classifiers!$F$15="",0,IF(ISNUMBER(SEARCH(Classifiers!$F$15,E197)),1,0))+IF(Classifiers!$G$15="",0,IF(ISNUMBER(SEARCH(Classifiers!$G$15,E197)),1,0)))&gt;0,1,0))</f>
        <v/>
      </c>
      <c r="U197" s="12">
        <f>IF(H197&lt;&gt;1,0,IF((IF(Classifiers!$B$16="",0,IF(ISNUMBER(SEARCH(Classifiers!$B$16,E197)),1,0))+IF(Classifiers!$C$16="",0,IF(ISNUMBER(SEARCH(Classifiers!$C$16,E197)),1,0))+IF(Classifiers!$D$16="",0,IF(ISNUMBER(SEARCH(Classifiers!$D$16,E197)),1,0))+IF(Classifiers!$E$16="",0,IF(ISNUMBER(SEARCH(Classifiers!$E$16,E197)),1,0))+IF(Classifiers!$F$16="",0,IF(ISNUMBER(SEARCH(Classifiers!$F$16,E197)),1,0))+IF(Classifiers!$G$16="",0,IF(ISNUMBER(SEARCH(Classifiers!$G$16,E197)),1,0)))&gt;0,1,0))</f>
        <v/>
      </c>
      <c r="V197" s="12">
        <f>IF(H197&lt;&gt;1,0,IF((IF(Classifiers!$B$17="",0,IF(ISNUMBER(SEARCH(Classifiers!$B$17,E197)),1,0))+IF(Classifiers!$C$17="",0,IF(ISNUMBER(SEARCH(Classifiers!$C$17,E197)),1,0))+IF(Classifiers!$D$17="",0,IF(ISNUMBER(SEARCH(Classifiers!$D$17,E197)),1,0))+IF(Classifiers!$E$17="",0,IF(ISNUMBER(SEARCH(Classifiers!$E$17,E197)),1,0))+IF(Classifiers!$F$17="",0,IF(ISNUMBER(SEARCH(Classifiers!$F$17,E197)),1,0))+IF(Classifiers!$G$17="",0,IF(ISNUMBER(SEARCH(Classifiers!$G$17,E197)),1,0)))&gt;0,1,0))</f>
        <v/>
      </c>
      <c r="W197" s="12">
        <f>IF(H197&lt;&gt;1,0,IF((IF(Classifiers!$B$18="",0,IF(ISNUMBER(SEARCH(Classifiers!$B$18,E197)),1,0))+IF(Classifiers!$C$18="",0,IF(ISNUMBER(SEARCH(Classifiers!$C$18,E197)),1,0))+IF(Classifiers!$D$18="",0,IF(ISNUMBER(SEARCH(Classifiers!$D$18,E197)),1,0))+IF(Classifiers!$E$18="",0,IF(ISNUMBER(SEARCH(Classifiers!$E$18,E197)),1,0))+IF(Classifiers!$F$18="",0,IF(ISNUMBER(SEARCH(Classifiers!$F$18,E197)),1,0))+IF(Classifiers!$G$18="",0,IF(ISNUMBER(SEARCH(Classifiers!$G$18,E197)),1,0)))&gt;0,1,0))</f>
        <v/>
      </c>
    </row>
    <row r="198">
      <c r="A198" s="8" t="n"/>
      <c r="B198" s="11" t="n"/>
      <c r="C198" s="6">
        <f>IF(A198="","",TRIM(RIGHT(SUBSTITUTE(A198,"/",REPT(" ",250)),250)))</f>
        <v/>
      </c>
      <c r="D198" s="6">
        <f>IF(C198="","",IF(ISNUMBER(SEARCH(".",C198)),LOWER("."&amp;TRIM(RIGHT(SUBSTITUTE(C198,".",REPT(" ",250)),250))),""))</f>
        <v/>
      </c>
      <c r="E198" s="6">
        <f>IF(C198="","",TRIM(SUBSTITUTE(SUBSTITUTE(SUBSTITUTE(SUBSTITUTE(SUBSTITUTE(SUBSTITUTE(SUBSTITUTE(SUBSTITUTE(SUBSTITUTE(SUBSTITUTE(SUBSTITUTE(SUBSTITUTE(SUBSTITUTE(SUBSTITUTE(SUBSTITUTE(SUBSTITUTE(SUBSTITUTE(SUBSTITUTE(SUBSTITUTE(SUBSTITUTE(LOWER(LEFT(C198,LEN(C198)-LEN(D198))),"_"," "),"-"," "),"."," "),","," "),"("," "),")"," "),"["," "),"]"," "),"&amp;"," "),"+"," "),"@"," "),"#"," "),"!"," "),"'"," "),"/"," "),":"," "),";"," "),"="," "),"~"," "),"%"," ")))</f>
        <v/>
      </c>
      <c r="F198" s="6">
        <f>IF(C198="","",IF(COUNTIF(Classifiers!$A$23:$A$40,D198)&gt;0,1,0))</f>
        <v/>
      </c>
      <c r="G198" s="6">
        <f>IF(C198="","",IF(COUNTIF(Classifiers!$C$23:$C$30,D198)&gt;0,IF((IF(ISNUMBER(SEARCH(Classifiers!$E$23,E198)),1,0)+IF(ISNUMBER(SEARCH(Classifiers!$E$24,E198)),1,0)+IF(ISNUMBER(SEARCH(Classifiers!$E$25,E198)),1,0)+IF(ISNUMBER(SEARCH(Classifiers!$E$26,E198)),1,0)+IF(ISNUMBER(SEARCH(Classifiers!$E$27,E198)),1,0)+IF(ISNUMBER(SEARCH(Classifiers!$E$28,E198)),1,0)+IF(ISNUMBER(SEARCH(Classifiers!$E$29,E198)),1,0)+IF(ISNUMBER(SEARCH(Classifiers!$E$30,E198)),1,0))&gt;0,1,0),0))</f>
        <v/>
      </c>
      <c r="H198" s="6">
        <f>IF(C198="","",IF(OR(LEFT(C198,1)=".",AND(F198=0,G198=0)),0,1))</f>
        <v/>
      </c>
      <c r="I198" s="6">
        <f>IF(H198&lt;&gt;1,"",IF(SUM(J198:W198)=0,"unclassified",INDEX(Classifiers!$A$5:$A$18,MATCH(1,J198:W198,0),1)))</f>
        <v/>
      </c>
      <c r="J198" s="12">
        <f>IF(H198&lt;&gt;1,0,IF((IF(Classifiers!$B$5="",0,IF(ISNUMBER(SEARCH(Classifiers!$B$5,E198)),1,0))+IF(Classifiers!$C$5="",0,IF(ISNUMBER(SEARCH(Classifiers!$C$5,E198)),1,0))+IF(Classifiers!$D$5="",0,IF(ISNUMBER(SEARCH(Classifiers!$D$5,E198)),1,0))+IF(Classifiers!$E$5="",0,IF(ISNUMBER(SEARCH(Classifiers!$E$5,E198)),1,0))+IF(Classifiers!$F$5="",0,IF(ISNUMBER(SEARCH(Classifiers!$F$5,E198)),1,0))+IF(Classifiers!$G$5="",0,IF(ISNUMBER(SEARCH(Classifiers!$G$5,E198)),1,0)))&gt;0,1,0))</f>
        <v/>
      </c>
      <c r="K198" s="12">
        <f>IF(H198&lt;&gt;1,0,IF((IF(Classifiers!$B$6="",0,IF(ISNUMBER(SEARCH(Classifiers!$B$6,E198)),1,0))+IF(Classifiers!$C$6="",0,IF(ISNUMBER(SEARCH(Classifiers!$C$6,E198)),1,0))+IF(Classifiers!$D$6="",0,IF(ISNUMBER(SEARCH(Classifiers!$D$6,E198)),1,0))+IF(Classifiers!$E$6="",0,IF(ISNUMBER(SEARCH(Classifiers!$E$6,E198)),1,0))+IF(Classifiers!$F$6="",0,IF(ISNUMBER(SEARCH(Classifiers!$F$6,E198)),1,0))+IF(Classifiers!$G$6="",0,IF(ISNUMBER(SEARCH(Classifiers!$G$6,E198)),1,0)))&gt;0,1,0))</f>
        <v/>
      </c>
      <c r="L198" s="12">
        <f>IF(H198&lt;&gt;1,0,IF((IF(Classifiers!$B$7="",0,IF(ISNUMBER(SEARCH(Classifiers!$B$7,E198)),1,0))+IF(Classifiers!$C$7="",0,IF(ISNUMBER(SEARCH(Classifiers!$C$7,E198)),1,0))+IF(Classifiers!$D$7="",0,IF(ISNUMBER(SEARCH(Classifiers!$D$7,E198)),1,0))+IF(Classifiers!$E$7="",0,IF(ISNUMBER(SEARCH(Classifiers!$E$7,E198)),1,0))+IF(Classifiers!$F$7="",0,IF(ISNUMBER(SEARCH(Classifiers!$F$7,E198)),1,0))+IF(Classifiers!$G$7="",0,IF(ISNUMBER(SEARCH(Classifiers!$G$7,E198)),1,0)))&gt;0,1,0))</f>
        <v/>
      </c>
      <c r="M198" s="12">
        <f>IF(H198&lt;&gt;1,0,IF((IF(Classifiers!$B$8="",0,IF(ISNUMBER(SEARCH(Classifiers!$B$8,E198)),1,0))+IF(Classifiers!$C$8="",0,IF(ISNUMBER(SEARCH(Classifiers!$C$8,E198)),1,0))+IF(Classifiers!$D$8="",0,IF(ISNUMBER(SEARCH(Classifiers!$D$8,E198)),1,0))+IF(Classifiers!$E$8="",0,IF(ISNUMBER(SEARCH(Classifiers!$E$8,E198)),1,0))+IF(Classifiers!$F$8="",0,IF(ISNUMBER(SEARCH(Classifiers!$F$8,E198)),1,0))+IF(Classifiers!$G$8="",0,IF(ISNUMBER(SEARCH(Classifiers!$G$8,E198)),1,0)))&gt;0,1,0))</f>
        <v/>
      </c>
      <c r="N198" s="12">
        <f>IF(H198&lt;&gt;1,0,IF((IF(Classifiers!$B$9="",0,IF(ISNUMBER(SEARCH(Classifiers!$B$9,E198)),1,0))+IF(Classifiers!$C$9="",0,IF(ISNUMBER(SEARCH(Classifiers!$C$9,E198)),1,0))+IF(Classifiers!$D$9="",0,IF(ISNUMBER(SEARCH(Classifiers!$D$9,E198)),1,0))+IF(Classifiers!$E$9="",0,IF(ISNUMBER(SEARCH(Classifiers!$E$9,E198)),1,0))+IF(Classifiers!$F$9="",0,IF(ISNUMBER(SEARCH(Classifiers!$F$9,E198)),1,0))+IF(Classifiers!$G$9="",0,IF(ISNUMBER(SEARCH(Classifiers!$G$9,E198)),1,0)))&gt;0,1,0))</f>
        <v/>
      </c>
      <c r="O198" s="12">
        <f>IF(H198&lt;&gt;1,0,IF((IF(Classifiers!$B$10="",0,IF(ISNUMBER(SEARCH(Classifiers!$B$10,E198)),1,0))+IF(Classifiers!$C$10="",0,IF(ISNUMBER(SEARCH(Classifiers!$C$10,E198)),1,0))+IF(Classifiers!$D$10="",0,IF(ISNUMBER(SEARCH(Classifiers!$D$10,E198)),1,0))+IF(Classifiers!$E$10="",0,IF(ISNUMBER(SEARCH(Classifiers!$E$10,E198)),1,0))+IF(Classifiers!$F$10="",0,IF(ISNUMBER(SEARCH(Classifiers!$F$10,E198)),1,0))+IF(Classifiers!$G$10="",0,IF(ISNUMBER(SEARCH(Classifiers!$G$10,E198)),1,0)))&gt;0,1,0))</f>
        <v/>
      </c>
      <c r="P198" s="12">
        <f>IF(H198&lt;&gt;1,0,IF((IF(Classifiers!$B$11="",0,IF(ISNUMBER(SEARCH(Classifiers!$B$11,E198)),1,0))+IF(Classifiers!$C$11="",0,IF(ISNUMBER(SEARCH(Classifiers!$C$11,E198)),1,0))+IF(Classifiers!$D$11="",0,IF(ISNUMBER(SEARCH(Classifiers!$D$11,E198)),1,0))+IF(Classifiers!$E$11="",0,IF(ISNUMBER(SEARCH(Classifiers!$E$11,E198)),1,0))+IF(Classifiers!$F$11="",0,IF(ISNUMBER(SEARCH(Classifiers!$F$11,E198)),1,0))+IF(Classifiers!$G$11="",0,IF(ISNUMBER(SEARCH(Classifiers!$G$11,E198)),1,0)))&gt;0,1,0))</f>
        <v/>
      </c>
      <c r="Q198" s="12">
        <f>IF(H198&lt;&gt;1,0,IF((IF(Classifiers!$B$12="",0,IF(ISNUMBER(SEARCH(Classifiers!$B$12,E198)),1,0))+IF(Classifiers!$C$12="",0,IF(ISNUMBER(SEARCH(Classifiers!$C$12,E198)),1,0))+IF(Classifiers!$D$12="",0,IF(ISNUMBER(SEARCH(Classifiers!$D$12,E198)),1,0))+IF(Classifiers!$E$12="",0,IF(ISNUMBER(SEARCH(Classifiers!$E$12,E198)),1,0))+IF(Classifiers!$F$12="",0,IF(ISNUMBER(SEARCH(Classifiers!$F$12,E198)),1,0))+IF(Classifiers!$G$12="",0,IF(ISNUMBER(SEARCH(Classifiers!$G$12,E198)),1,0)))&gt;0,1,0))</f>
        <v/>
      </c>
      <c r="R198" s="12">
        <f>IF(H198&lt;&gt;1,0,IF((IF(Classifiers!$B$13="",0,IF(ISNUMBER(SEARCH(Classifiers!$B$13,E198)),1,0))+IF(Classifiers!$C$13="",0,IF(ISNUMBER(SEARCH(Classifiers!$C$13,E198)),1,0))+IF(Classifiers!$D$13="",0,IF(ISNUMBER(SEARCH(Classifiers!$D$13,E198)),1,0))+IF(Classifiers!$E$13="",0,IF(ISNUMBER(SEARCH(Classifiers!$E$13,E198)),1,0))+IF(Classifiers!$F$13="",0,IF(ISNUMBER(SEARCH(Classifiers!$F$13,E198)),1,0))+IF(Classifiers!$G$13="",0,IF(ISNUMBER(SEARCH(Classifiers!$G$13,E198)),1,0)))&gt;0,1,0))</f>
        <v/>
      </c>
      <c r="S198" s="12">
        <f>IF(H198&lt;&gt;1,0,IF((IF(Classifiers!$B$14="",0,IF(ISNUMBER(SEARCH(Classifiers!$B$14,E198)),1,0))+IF(Classifiers!$C$14="",0,IF(ISNUMBER(SEARCH(Classifiers!$C$14,E198)),1,0))+IF(Classifiers!$D$14="",0,IF(ISNUMBER(SEARCH(Classifiers!$D$14,E198)),1,0))+IF(Classifiers!$E$14="",0,IF(ISNUMBER(SEARCH(Classifiers!$E$14,E198)),1,0))+IF(Classifiers!$F$14="",0,IF(ISNUMBER(SEARCH(Classifiers!$F$14,E198)),1,0))+IF(Classifiers!$G$14="",0,IF(ISNUMBER(SEARCH(Classifiers!$G$14,E198)),1,0)))&gt;0,1,0))</f>
        <v/>
      </c>
      <c r="T198" s="12">
        <f>IF(H198&lt;&gt;1,0,IF((IF(Classifiers!$B$15="",0,IF(ISNUMBER(SEARCH(Classifiers!$B$15,E198)),1,0))+IF(Classifiers!$C$15="",0,IF(ISNUMBER(SEARCH(Classifiers!$C$15,E198)),1,0))+IF(Classifiers!$D$15="",0,IF(ISNUMBER(SEARCH(Classifiers!$D$15,E198)),1,0))+IF(Classifiers!$E$15="",0,IF(ISNUMBER(SEARCH(Classifiers!$E$15,E198)),1,0))+IF(Classifiers!$F$15="",0,IF(ISNUMBER(SEARCH(Classifiers!$F$15,E198)),1,0))+IF(Classifiers!$G$15="",0,IF(ISNUMBER(SEARCH(Classifiers!$G$15,E198)),1,0)))&gt;0,1,0))</f>
        <v/>
      </c>
      <c r="U198" s="12">
        <f>IF(H198&lt;&gt;1,0,IF((IF(Classifiers!$B$16="",0,IF(ISNUMBER(SEARCH(Classifiers!$B$16,E198)),1,0))+IF(Classifiers!$C$16="",0,IF(ISNUMBER(SEARCH(Classifiers!$C$16,E198)),1,0))+IF(Classifiers!$D$16="",0,IF(ISNUMBER(SEARCH(Classifiers!$D$16,E198)),1,0))+IF(Classifiers!$E$16="",0,IF(ISNUMBER(SEARCH(Classifiers!$E$16,E198)),1,0))+IF(Classifiers!$F$16="",0,IF(ISNUMBER(SEARCH(Classifiers!$F$16,E198)),1,0))+IF(Classifiers!$G$16="",0,IF(ISNUMBER(SEARCH(Classifiers!$G$16,E198)),1,0)))&gt;0,1,0))</f>
        <v/>
      </c>
      <c r="V198" s="12">
        <f>IF(H198&lt;&gt;1,0,IF((IF(Classifiers!$B$17="",0,IF(ISNUMBER(SEARCH(Classifiers!$B$17,E198)),1,0))+IF(Classifiers!$C$17="",0,IF(ISNUMBER(SEARCH(Classifiers!$C$17,E198)),1,0))+IF(Classifiers!$D$17="",0,IF(ISNUMBER(SEARCH(Classifiers!$D$17,E198)),1,0))+IF(Classifiers!$E$17="",0,IF(ISNUMBER(SEARCH(Classifiers!$E$17,E198)),1,0))+IF(Classifiers!$F$17="",0,IF(ISNUMBER(SEARCH(Classifiers!$F$17,E198)),1,0))+IF(Classifiers!$G$17="",0,IF(ISNUMBER(SEARCH(Classifiers!$G$17,E198)),1,0)))&gt;0,1,0))</f>
        <v/>
      </c>
      <c r="W198" s="12">
        <f>IF(H198&lt;&gt;1,0,IF((IF(Classifiers!$B$18="",0,IF(ISNUMBER(SEARCH(Classifiers!$B$18,E198)),1,0))+IF(Classifiers!$C$18="",0,IF(ISNUMBER(SEARCH(Classifiers!$C$18,E198)),1,0))+IF(Classifiers!$D$18="",0,IF(ISNUMBER(SEARCH(Classifiers!$D$18,E198)),1,0))+IF(Classifiers!$E$18="",0,IF(ISNUMBER(SEARCH(Classifiers!$E$18,E198)),1,0))+IF(Classifiers!$F$18="",0,IF(ISNUMBER(SEARCH(Classifiers!$F$18,E198)),1,0))+IF(Classifiers!$G$18="",0,IF(ISNUMBER(SEARCH(Classifiers!$G$18,E198)),1,0)))&gt;0,1,0))</f>
        <v/>
      </c>
    </row>
    <row r="199">
      <c r="A199" s="8" t="n"/>
      <c r="B199" s="11" t="n"/>
      <c r="C199" s="6">
        <f>IF(A199="","",TRIM(RIGHT(SUBSTITUTE(A199,"/",REPT(" ",250)),250)))</f>
        <v/>
      </c>
      <c r="D199" s="6">
        <f>IF(C199="","",IF(ISNUMBER(SEARCH(".",C199)),LOWER("."&amp;TRIM(RIGHT(SUBSTITUTE(C199,".",REPT(" ",250)),250))),""))</f>
        <v/>
      </c>
      <c r="E199" s="6">
        <f>IF(C199="","",TRIM(SUBSTITUTE(SUBSTITUTE(SUBSTITUTE(SUBSTITUTE(SUBSTITUTE(SUBSTITUTE(SUBSTITUTE(SUBSTITUTE(SUBSTITUTE(SUBSTITUTE(SUBSTITUTE(SUBSTITUTE(SUBSTITUTE(SUBSTITUTE(SUBSTITUTE(SUBSTITUTE(SUBSTITUTE(SUBSTITUTE(SUBSTITUTE(SUBSTITUTE(LOWER(LEFT(C199,LEN(C199)-LEN(D199))),"_"," "),"-"," "),"."," "),","," "),"("," "),")"," "),"["," "),"]"," "),"&amp;"," "),"+"," "),"@"," "),"#"," "),"!"," "),"'"," "),"/"," "),":"," "),";"," "),"="," "),"~"," "),"%"," ")))</f>
        <v/>
      </c>
      <c r="F199" s="6">
        <f>IF(C199="","",IF(COUNTIF(Classifiers!$A$23:$A$40,D199)&gt;0,1,0))</f>
        <v/>
      </c>
      <c r="G199" s="6">
        <f>IF(C199="","",IF(COUNTIF(Classifiers!$C$23:$C$30,D199)&gt;0,IF((IF(ISNUMBER(SEARCH(Classifiers!$E$23,E199)),1,0)+IF(ISNUMBER(SEARCH(Classifiers!$E$24,E199)),1,0)+IF(ISNUMBER(SEARCH(Classifiers!$E$25,E199)),1,0)+IF(ISNUMBER(SEARCH(Classifiers!$E$26,E199)),1,0)+IF(ISNUMBER(SEARCH(Classifiers!$E$27,E199)),1,0)+IF(ISNUMBER(SEARCH(Classifiers!$E$28,E199)),1,0)+IF(ISNUMBER(SEARCH(Classifiers!$E$29,E199)),1,0)+IF(ISNUMBER(SEARCH(Classifiers!$E$30,E199)),1,0))&gt;0,1,0),0))</f>
        <v/>
      </c>
      <c r="H199" s="6">
        <f>IF(C199="","",IF(OR(LEFT(C199,1)=".",AND(F199=0,G199=0)),0,1))</f>
        <v/>
      </c>
      <c r="I199" s="6">
        <f>IF(H199&lt;&gt;1,"",IF(SUM(J199:W199)=0,"unclassified",INDEX(Classifiers!$A$5:$A$18,MATCH(1,J199:W199,0),1)))</f>
        <v/>
      </c>
      <c r="J199" s="12">
        <f>IF(H199&lt;&gt;1,0,IF((IF(Classifiers!$B$5="",0,IF(ISNUMBER(SEARCH(Classifiers!$B$5,E199)),1,0))+IF(Classifiers!$C$5="",0,IF(ISNUMBER(SEARCH(Classifiers!$C$5,E199)),1,0))+IF(Classifiers!$D$5="",0,IF(ISNUMBER(SEARCH(Classifiers!$D$5,E199)),1,0))+IF(Classifiers!$E$5="",0,IF(ISNUMBER(SEARCH(Classifiers!$E$5,E199)),1,0))+IF(Classifiers!$F$5="",0,IF(ISNUMBER(SEARCH(Classifiers!$F$5,E199)),1,0))+IF(Classifiers!$G$5="",0,IF(ISNUMBER(SEARCH(Classifiers!$G$5,E199)),1,0)))&gt;0,1,0))</f>
        <v/>
      </c>
      <c r="K199" s="12">
        <f>IF(H199&lt;&gt;1,0,IF((IF(Classifiers!$B$6="",0,IF(ISNUMBER(SEARCH(Classifiers!$B$6,E199)),1,0))+IF(Classifiers!$C$6="",0,IF(ISNUMBER(SEARCH(Classifiers!$C$6,E199)),1,0))+IF(Classifiers!$D$6="",0,IF(ISNUMBER(SEARCH(Classifiers!$D$6,E199)),1,0))+IF(Classifiers!$E$6="",0,IF(ISNUMBER(SEARCH(Classifiers!$E$6,E199)),1,0))+IF(Classifiers!$F$6="",0,IF(ISNUMBER(SEARCH(Classifiers!$F$6,E199)),1,0))+IF(Classifiers!$G$6="",0,IF(ISNUMBER(SEARCH(Classifiers!$G$6,E199)),1,0)))&gt;0,1,0))</f>
        <v/>
      </c>
      <c r="L199" s="12">
        <f>IF(H199&lt;&gt;1,0,IF((IF(Classifiers!$B$7="",0,IF(ISNUMBER(SEARCH(Classifiers!$B$7,E199)),1,0))+IF(Classifiers!$C$7="",0,IF(ISNUMBER(SEARCH(Classifiers!$C$7,E199)),1,0))+IF(Classifiers!$D$7="",0,IF(ISNUMBER(SEARCH(Classifiers!$D$7,E199)),1,0))+IF(Classifiers!$E$7="",0,IF(ISNUMBER(SEARCH(Classifiers!$E$7,E199)),1,0))+IF(Classifiers!$F$7="",0,IF(ISNUMBER(SEARCH(Classifiers!$F$7,E199)),1,0))+IF(Classifiers!$G$7="",0,IF(ISNUMBER(SEARCH(Classifiers!$G$7,E199)),1,0)))&gt;0,1,0))</f>
        <v/>
      </c>
      <c r="M199" s="12">
        <f>IF(H199&lt;&gt;1,0,IF((IF(Classifiers!$B$8="",0,IF(ISNUMBER(SEARCH(Classifiers!$B$8,E199)),1,0))+IF(Classifiers!$C$8="",0,IF(ISNUMBER(SEARCH(Classifiers!$C$8,E199)),1,0))+IF(Classifiers!$D$8="",0,IF(ISNUMBER(SEARCH(Classifiers!$D$8,E199)),1,0))+IF(Classifiers!$E$8="",0,IF(ISNUMBER(SEARCH(Classifiers!$E$8,E199)),1,0))+IF(Classifiers!$F$8="",0,IF(ISNUMBER(SEARCH(Classifiers!$F$8,E199)),1,0))+IF(Classifiers!$G$8="",0,IF(ISNUMBER(SEARCH(Classifiers!$G$8,E199)),1,0)))&gt;0,1,0))</f>
        <v/>
      </c>
      <c r="N199" s="12">
        <f>IF(H199&lt;&gt;1,0,IF((IF(Classifiers!$B$9="",0,IF(ISNUMBER(SEARCH(Classifiers!$B$9,E199)),1,0))+IF(Classifiers!$C$9="",0,IF(ISNUMBER(SEARCH(Classifiers!$C$9,E199)),1,0))+IF(Classifiers!$D$9="",0,IF(ISNUMBER(SEARCH(Classifiers!$D$9,E199)),1,0))+IF(Classifiers!$E$9="",0,IF(ISNUMBER(SEARCH(Classifiers!$E$9,E199)),1,0))+IF(Classifiers!$F$9="",0,IF(ISNUMBER(SEARCH(Classifiers!$F$9,E199)),1,0))+IF(Classifiers!$G$9="",0,IF(ISNUMBER(SEARCH(Classifiers!$G$9,E199)),1,0)))&gt;0,1,0))</f>
        <v/>
      </c>
      <c r="O199" s="12">
        <f>IF(H199&lt;&gt;1,0,IF((IF(Classifiers!$B$10="",0,IF(ISNUMBER(SEARCH(Classifiers!$B$10,E199)),1,0))+IF(Classifiers!$C$10="",0,IF(ISNUMBER(SEARCH(Classifiers!$C$10,E199)),1,0))+IF(Classifiers!$D$10="",0,IF(ISNUMBER(SEARCH(Classifiers!$D$10,E199)),1,0))+IF(Classifiers!$E$10="",0,IF(ISNUMBER(SEARCH(Classifiers!$E$10,E199)),1,0))+IF(Classifiers!$F$10="",0,IF(ISNUMBER(SEARCH(Classifiers!$F$10,E199)),1,0))+IF(Classifiers!$G$10="",0,IF(ISNUMBER(SEARCH(Classifiers!$G$10,E199)),1,0)))&gt;0,1,0))</f>
        <v/>
      </c>
      <c r="P199" s="12">
        <f>IF(H199&lt;&gt;1,0,IF((IF(Classifiers!$B$11="",0,IF(ISNUMBER(SEARCH(Classifiers!$B$11,E199)),1,0))+IF(Classifiers!$C$11="",0,IF(ISNUMBER(SEARCH(Classifiers!$C$11,E199)),1,0))+IF(Classifiers!$D$11="",0,IF(ISNUMBER(SEARCH(Classifiers!$D$11,E199)),1,0))+IF(Classifiers!$E$11="",0,IF(ISNUMBER(SEARCH(Classifiers!$E$11,E199)),1,0))+IF(Classifiers!$F$11="",0,IF(ISNUMBER(SEARCH(Classifiers!$F$11,E199)),1,0))+IF(Classifiers!$G$11="",0,IF(ISNUMBER(SEARCH(Classifiers!$G$11,E199)),1,0)))&gt;0,1,0))</f>
        <v/>
      </c>
      <c r="Q199" s="12">
        <f>IF(H199&lt;&gt;1,0,IF((IF(Classifiers!$B$12="",0,IF(ISNUMBER(SEARCH(Classifiers!$B$12,E199)),1,0))+IF(Classifiers!$C$12="",0,IF(ISNUMBER(SEARCH(Classifiers!$C$12,E199)),1,0))+IF(Classifiers!$D$12="",0,IF(ISNUMBER(SEARCH(Classifiers!$D$12,E199)),1,0))+IF(Classifiers!$E$12="",0,IF(ISNUMBER(SEARCH(Classifiers!$E$12,E199)),1,0))+IF(Classifiers!$F$12="",0,IF(ISNUMBER(SEARCH(Classifiers!$F$12,E199)),1,0))+IF(Classifiers!$G$12="",0,IF(ISNUMBER(SEARCH(Classifiers!$G$12,E199)),1,0)))&gt;0,1,0))</f>
        <v/>
      </c>
      <c r="R199" s="12">
        <f>IF(H199&lt;&gt;1,0,IF((IF(Classifiers!$B$13="",0,IF(ISNUMBER(SEARCH(Classifiers!$B$13,E199)),1,0))+IF(Classifiers!$C$13="",0,IF(ISNUMBER(SEARCH(Classifiers!$C$13,E199)),1,0))+IF(Classifiers!$D$13="",0,IF(ISNUMBER(SEARCH(Classifiers!$D$13,E199)),1,0))+IF(Classifiers!$E$13="",0,IF(ISNUMBER(SEARCH(Classifiers!$E$13,E199)),1,0))+IF(Classifiers!$F$13="",0,IF(ISNUMBER(SEARCH(Classifiers!$F$13,E199)),1,0))+IF(Classifiers!$G$13="",0,IF(ISNUMBER(SEARCH(Classifiers!$G$13,E199)),1,0)))&gt;0,1,0))</f>
        <v/>
      </c>
      <c r="S199" s="12">
        <f>IF(H199&lt;&gt;1,0,IF((IF(Classifiers!$B$14="",0,IF(ISNUMBER(SEARCH(Classifiers!$B$14,E199)),1,0))+IF(Classifiers!$C$14="",0,IF(ISNUMBER(SEARCH(Classifiers!$C$14,E199)),1,0))+IF(Classifiers!$D$14="",0,IF(ISNUMBER(SEARCH(Classifiers!$D$14,E199)),1,0))+IF(Classifiers!$E$14="",0,IF(ISNUMBER(SEARCH(Classifiers!$E$14,E199)),1,0))+IF(Classifiers!$F$14="",0,IF(ISNUMBER(SEARCH(Classifiers!$F$14,E199)),1,0))+IF(Classifiers!$G$14="",0,IF(ISNUMBER(SEARCH(Classifiers!$G$14,E199)),1,0)))&gt;0,1,0))</f>
        <v/>
      </c>
      <c r="T199" s="12">
        <f>IF(H199&lt;&gt;1,0,IF((IF(Classifiers!$B$15="",0,IF(ISNUMBER(SEARCH(Classifiers!$B$15,E199)),1,0))+IF(Classifiers!$C$15="",0,IF(ISNUMBER(SEARCH(Classifiers!$C$15,E199)),1,0))+IF(Classifiers!$D$15="",0,IF(ISNUMBER(SEARCH(Classifiers!$D$15,E199)),1,0))+IF(Classifiers!$E$15="",0,IF(ISNUMBER(SEARCH(Classifiers!$E$15,E199)),1,0))+IF(Classifiers!$F$15="",0,IF(ISNUMBER(SEARCH(Classifiers!$F$15,E199)),1,0))+IF(Classifiers!$G$15="",0,IF(ISNUMBER(SEARCH(Classifiers!$G$15,E199)),1,0)))&gt;0,1,0))</f>
        <v/>
      </c>
      <c r="U199" s="12">
        <f>IF(H199&lt;&gt;1,0,IF((IF(Classifiers!$B$16="",0,IF(ISNUMBER(SEARCH(Classifiers!$B$16,E199)),1,0))+IF(Classifiers!$C$16="",0,IF(ISNUMBER(SEARCH(Classifiers!$C$16,E199)),1,0))+IF(Classifiers!$D$16="",0,IF(ISNUMBER(SEARCH(Classifiers!$D$16,E199)),1,0))+IF(Classifiers!$E$16="",0,IF(ISNUMBER(SEARCH(Classifiers!$E$16,E199)),1,0))+IF(Classifiers!$F$16="",0,IF(ISNUMBER(SEARCH(Classifiers!$F$16,E199)),1,0))+IF(Classifiers!$G$16="",0,IF(ISNUMBER(SEARCH(Classifiers!$G$16,E199)),1,0)))&gt;0,1,0))</f>
        <v/>
      </c>
      <c r="V199" s="12">
        <f>IF(H199&lt;&gt;1,0,IF((IF(Classifiers!$B$17="",0,IF(ISNUMBER(SEARCH(Classifiers!$B$17,E199)),1,0))+IF(Classifiers!$C$17="",0,IF(ISNUMBER(SEARCH(Classifiers!$C$17,E199)),1,0))+IF(Classifiers!$D$17="",0,IF(ISNUMBER(SEARCH(Classifiers!$D$17,E199)),1,0))+IF(Classifiers!$E$17="",0,IF(ISNUMBER(SEARCH(Classifiers!$E$17,E199)),1,0))+IF(Classifiers!$F$17="",0,IF(ISNUMBER(SEARCH(Classifiers!$F$17,E199)),1,0))+IF(Classifiers!$G$17="",0,IF(ISNUMBER(SEARCH(Classifiers!$G$17,E199)),1,0)))&gt;0,1,0))</f>
        <v/>
      </c>
      <c r="W199" s="12">
        <f>IF(H199&lt;&gt;1,0,IF((IF(Classifiers!$B$18="",0,IF(ISNUMBER(SEARCH(Classifiers!$B$18,E199)),1,0))+IF(Classifiers!$C$18="",0,IF(ISNUMBER(SEARCH(Classifiers!$C$18,E199)),1,0))+IF(Classifiers!$D$18="",0,IF(ISNUMBER(SEARCH(Classifiers!$D$18,E199)),1,0))+IF(Classifiers!$E$18="",0,IF(ISNUMBER(SEARCH(Classifiers!$E$18,E199)),1,0))+IF(Classifiers!$F$18="",0,IF(ISNUMBER(SEARCH(Classifiers!$F$18,E199)),1,0))+IF(Classifiers!$G$18="",0,IF(ISNUMBER(SEARCH(Classifiers!$G$18,E199)),1,0)))&gt;0,1,0))</f>
        <v/>
      </c>
    </row>
    <row r="200">
      <c r="A200" s="8" t="n"/>
      <c r="B200" s="11" t="n"/>
      <c r="C200" s="6">
        <f>IF(A200="","",TRIM(RIGHT(SUBSTITUTE(A200,"/",REPT(" ",250)),250)))</f>
        <v/>
      </c>
      <c r="D200" s="6">
        <f>IF(C200="","",IF(ISNUMBER(SEARCH(".",C200)),LOWER("."&amp;TRIM(RIGHT(SUBSTITUTE(C200,".",REPT(" ",250)),250))),""))</f>
        <v/>
      </c>
      <c r="E200" s="6">
        <f>IF(C200="","",TRIM(SUBSTITUTE(SUBSTITUTE(SUBSTITUTE(SUBSTITUTE(SUBSTITUTE(SUBSTITUTE(SUBSTITUTE(SUBSTITUTE(SUBSTITUTE(SUBSTITUTE(SUBSTITUTE(SUBSTITUTE(SUBSTITUTE(SUBSTITUTE(SUBSTITUTE(SUBSTITUTE(SUBSTITUTE(SUBSTITUTE(SUBSTITUTE(SUBSTITUTE(LOWER(LEFT(C200,LEN(C200)-LEN(D200))),"_"," "),"-"," "),"."," "),","," "),"("," "),")"," "),"["," "),"]"," "),"&amp;"," "),"+"," "),"@"," "),"#"," "),"!"," "),"'"," "),"/"," "),":"," "),";"," "),"="," "),"~"," "),"%"," ")))</f>
        <v/>
      </c>
      <c r="F200" s="6">
        <f>IF(C200="","",IF(COUNTIF(Classifiers!$A$23:$A$40,D200)&gt;0,1,0))</f>
        <v/>
      </c>
      <c r="G200" s="6">
        <f>IF(C200="","",IF(COUNTIF(Classifiers!$C$23:$C$30,D200)&gt;0,IF((IF(ISNUMBER(SEARCH(Classifiers!$E$23,E200)),1,0)+IF(ISNUMBER(SEARCH(Classifiers!$E$24,E200)),1,0)+IF(ISNUMBER(SEARCH(Classifiers!$E$25,E200)),1,0)+IF(ISNUMBER(SEARCH(Classifiers!$E$26,E200)),1,0)+IF(ISNUMBER(SEARCH(Classifiers!$E$27,E200)),1,0)+IF(ISNUMBER(SEARCH(Classifiers!$E$28,E200)),1,0)+IF(ISNUMBER(SEARCH(Classifiers!$E$29,E200)),1,0)+IF(ISNUMBER(SEARCH(Classifiers!$E$30,E200)),1,0))&gt;0,1,0),0))</f>
        <v/>
      </c>
      <c r="H200" s="6">
        <f>IF(C200="","",IF(OR(LEFT(C200,1)=".",AND(F200=0,G200=0)),0,1))</f>
        <v/>
      </c>
      <c r="I200" s="6">
        <f>IF(H200&lt;&gt;1,"",IF(SUM(J200:W200)=0,"unclassified",INDEX(Classifiers!$A$5:$A$18,MATCH(1,J200:W200,0),1)))</f>
        <v/>
      </c>
      <c r="J200" s="12">
        <f>IF(H200&lt;&gt;1,0,IF((IF(Classifiers!$B$5="",0,IF(ISNUMBER(SEARCH(Classifiers!$B$5,E200)),1,0))+IF(Classifiers!$C$5="",0,IF(ISNUMBER(SEARCH(Classifiers!$C$5,E200)),1,0))+IF(Classifiers!$D$5="",0,IF(ISNUMBER(SEARCH(Classifiers!$D$5,E200)),1,0))+IF(Classifiers!$E$5="",0,IF(ISNUMBER(SEARCH(Classifiers!$E$5,E200)),1,0))+IF(Classifiers!$F$5="",0,IF(ISNUMBER(SEARCH(Classifiers!$F$5,E200)),1,0))+IF(Classifiers!$G$5="",0,IF(ISNUMBER(SEARCH(Classifiers!$G$5,E200)),1,0)))&gt;0,1,0))</f>
        <v/>
      </c>
      <c r="K200" s="12">
        <f>IF(H200&lt;&gt;1,0,IF((IF(Classifiers!$B$6="",0,IF(ISNUMBER(SEARCH(Classifiers!$B$6,E200)),1,0))+IF(Classifiers!$C$6="",0,IF(ISNUMBER(SEARCH(Classifiers!$C$6,E200)),1,0))+IF(Classifiers!$D$6="",0,IF(ISNUMBER(SEARCH(Classifiers!$D$6,E200)),1,0))+IF(Classifiers!$E$6="",0,IF(ISNUMBER(SEARCH(Classifiers!$E$6,E200)),1,0))+IF(Classifiers!$F$6="",0,IF(ISNUMBER(SEARCH(Classifiers!$F$6,E200)),1,0))+IF(Classifiers!$G$6="",0,IF(ISNUMBER(SEARCH(Classifiers!$G$6,E200)),1,0)))&gt;0,1,0))</f>
        <v/>
      </c>
      <c r="L200" s="12">
        <f>IF(H200&lt;&gt;1,0,IF((IF(Classifiers!$B$7="",0,IF(ISNUMBER(SEARCH(Classifiers!$B$7,E200)),1,0))+IF(Classifiers!$C$7="",0,IF(ISNUMBER(SEARCH(Classifiers!$C$7,E200)),1,0))+IF(Classifiers!$D$7="",0,IF(ISNUMBER(SEARCH(Classifiers!$D$7,E200)),1,0))+IF(Classifiers!$E$7="",0,IF(ISNUMBER(SEARCH(Classifiers!$E$7,E200)),1,0))+IF(Classifiers!$F$7="",0,IF(ISNUMBER(SEARCH(Classifiers!$F$7,E200)),1,0))+IF(Classifiers!$G$7="",0,IF(ISNUMBER(SEARCH(Classifiers!$G$7,E200)),1,0)))&gt;0,1,0))</f>
        <v/>
      </c>
      <c r="M200" s="12">
        <f>IF(H200&lt;&gt;1,0,IF((IF(Classifiers!$B$8="",0,IF(ISNUMBER(SEARCH(Classifiers!$B$8,E200)),1,0))+IF(Classifiers!$C$8="",0,IF(ISNUMBER(SEARCH(Classifiers!$C$8,E200)),1,0))+IF(Classifiers!$D$8="",0,IF(ISNUMBER(SEARCH(Classifiers!$D$8,E200)),1,0))+IF(Classifiers!$E$8="",0,IF(ISNUMBER(SEARCH(Classifiers!$E$8,E200)),1,0))+IF(Classifiers!$F$8="",0,IF(ISNUMBER(SEARCH(Classifiers!$F$8,E200)),1,0))+IF(Classifiers!$G$8="",0,IF(ISNUMBER(SEARCH(Classifiers!$G$8,E200)),1,0)))&gt;0,1,0))</f>
        <v/>
      </c>
      <c r="N200" s="12">
        <f>IF(H200&lt;&gt;1,0,IF((IF(Classifiers!$B$9="",0,IF(ISNUMBER(SEARCH(Classifiers!$B$9,E200)),1,0))+IF(Classifiers!$C$9="",0,IF(ISNUMBER(SEARCH(Classifiers!$C$9,E200)),1,0))+IF(Classifiers!$D$9="",0,IF(ISNUMBER(SEARCH(Classifiers!$D$9,E200)),1,0))+IF(Classifiers!$E$9="",0,IF(ISNUMBER(SEARCH(Classifiers!$E$9,E200)),1,0))+IF(Classifiers!$F$9="",0,IF(ISNUMBER(SEARCH(Classifiers!$F$9,E200)),1,0))+IF(Classifiers!$G$9="",0,IF(ISNUMBER(SEARCH(Classifiers!$G$9,E200)),1,0)))&gt;0,1,0))</f>
        <v/>
      </c>
      <c r="O200" s="12">
        <f>IF(H200&lt;&gt;1,0,IF((IF(Classifiers!$B$10="",0,IF(ISNUMBER(SEARCH(Classifiers!$B$10,E200)),1,0))+IF(Classifiers!$C$10="",0,IF(ISNUMBER(SEARCH(Classifiers!$C$10,E200)),1,0))+IF(Classifiers!$D$10="",0,IF(ISNUMBER(SEARCH(Classifiers!$D$10,E200)),1,0))+IF(Classifiers!$E$10="",0,IF(ISNUMBER(SEARCH(Classifiers!$E$10,E200)),1,0))+IF(Classifiers!$F$10="",0,IF(ISNUMBER(SEARCH(Classifiers!$F$10,E200)),1,0))+IF(Classifiers!$G$10="",0,IF(ISNUMBER(SEARCH(Classifiers!$G$10,E200)),1,0)))&gt;0,1,0))</f>
        <v/>
      </c>
      <c r="P200" s="12">
        <f>IF(H200&lt;&gt;1,0,IF((IF(Classifiers!$B$11="",0,IF(ISNUMBER(SEARCH(Classifiers!$B$11,E200)),1,0))+IF(Classifiers!$C$11="",0,IF(ISNUMBER(SEARCH(Classifiers!$C$11,E200)),1,0))+IF(Classifiers!$D$11="",0,IF(ISNUMBER(SEARCH(Classifiers!$D$11,E200)),1,0))+IF(Classifiers!$E$11="",0,IF(ISNUMBER(SEARCH(Classifiers!$E$11,E200)),1,0))+IF(Classifiers!$F$11="",0,IF(ISNUMBER(SEARCH(Classifiers!$F$11,E200)),1,0))+IF(Classifiers!$G$11="",0,IF(ISNUMBER(SEARCH(Classifiers!$G$11,E200)),1,0)))&gt;0,1,0))</f>
        <v/>
      </c>
      <c r="Q200" s="12">
        <f>IF(H200&lt;&gt;1,0,IF((IF(Classifiers!$B$12="",0,IF(ISNUMBER(SEARCH(Classifiers!$B$12,E200)),1,0))+IF(Classifiers!$C$12="",0,IF(ISNUMBER(SEARCH(Classifiers!$C$12,E200)),1,0))+IF(Classifiers!$D$12="",0,IF(ISNUMBER(SEARCH(Classifiers!$D$12,E200)),1,0))+IF(Classifiers!$E$12="",0,IF(ISNUMBER(SEARCH(Classifiers!$E$12,E200)),1,0))+IF(Classifiers!$F$12="",0,IF(ISNUMBER(SEARCH(Classifiers!$F$12,E200)),1,0))+IF(Classifiers!$G$12="",0,IF(ISNUMBER(SEARCH(Classifiers!$G$12,E200)),1,0)))&gt;0,1,0))</f>
        <v/>
      </c>
      <c r="R200" s="12">
        <f>IF(H200&lt;&gt;1,0,IF((IF(Classifiers!$B$13="",0,IF(ISNUMBER(SEARCH(Classifiers!$B$13,E200)),1,0))+IF(Classifiers!$C$13="",0,IF(ISNUMBER(SEARCH(Classifiers!$C$13,E200)),1,0))+IF(Classifiers!$D$13="",0,IF(ISNUMBER(SEARCH(Classifiers!$D$13,E200)),1,0))+IF(Classifiers!$E$13="",0,IF(ISNUMBER(SEARCH(Classifiers!$E$13,E200)),1,0))+IF(Classifiers!$F$13="",0,IF(ISNUMBER(SEARCH(Classifiers!$F$13,E200)),1,0))+IF(Classifiers!$G$13="",0,IF(ISNUMBER(SEARCH(Classifiers!$G$13,E200)),1,0)))&gt;0,1,0))</f>
        <v/>
      </c>
      <c r="S200" s="12">
        <f>IF(H200&lt;&gt;1,0,IF((IF(Classifiers!$B$14="",0,IF(ISNUMBER(SEARCH(Classifiers!$B$14,E200)),1,0))+IF(Classifiers!$C$14="",0,IF(ISNUMBER(SEARCH(Classifiers!$C$14,E200)),1,0))+IF(Classifiers!$D$14="",0,IF(ISNUMBER(SEARCH(Classifiers!$D$14,E200)),1,0))+IF(Classifiers!$E$14="",0,IF(ISNUMBER(SEARCH(Classifiers!$E$14,E200)),1,0))+IF(Classifiers!$F$14="",0,IF(ISNUMBER(SEARCH(Classifiers!$F$14,E200)),1,0))+IF(Classifiers!$G$14="",0,IF(ISNUMBER(SEARCH(Classifiers!$G$14,E200)),1,0)))&gt;0,1,0))</f>
        <v/>
      </c>
      <c r="T200" s="12">
        <f>IF(H200&lt;&gt;1,0,IF((IF(Classifiers!$B$15="",0,IF(ISNUMBER(SEARCH(Classifiers!$B$15,E200)),1,0))+IF(Classifiers!$C$15="",0,IF(ISNUMBER(SEARCH(Classifiers!$C$15,E200)),1,0))+IF(Classifiers!$D$15="",0,IF(ISNUMBER(SEARCH(Classifiers!$D$15,E200)),1,0))+IF(Classifiers!$E$15="",0,IF(ISNUMBER(SEARCH(Classifiers!$E$15,E200)),1,0))+IF(Classifiers!$F$15="",0,IF(ISNUMBER(SEARCH(Classifiers!$F$15,E200)),1,0))+IF(Classifiers!$G$15="",0,IF(ISNUMBER(SEARCH(Classifiers!$G$15,E200)),1,0)))&gt;0,1,0))</f>
        <v/>
      </c>
      <c r="U200" s="12">
        <f>IF(H200&lt;&gt;1,0,IF((IF(Classifiers!$B$16="",0,IF(ISNUMBER(SEARCH(Classifiers!$B$16,E200)),1,0))+IF(Classifiers!$C$16="",0,IF(ISNUMBER(SEARCH(Classifiers!$C$16,E200)),1,0))+IF(Classifiers!$D$16="",0,IF(ISNUMBER(SEARCH(Classifiers!$D$16,E200)),1,0))+IF(Classifiers!$E$16="",0,IF(ISNUMBER(SEARCH(Classifiers!$E$16,E200)),1,0))+IF(Classifiers!$F$16="",0,IF(ISNUMBER(SEARCH(Classifiers!$F$16,E200)),1,0))+IF(Classifiers!$G$16="",0,IF(ISNUMBER(SEARCH(Classifiers!$G$16,E200)),1,0)))&gt;0,1,0))</f>
        <v/>
      </c>
      <c r="V200" s="12">
        <f>IF(H200&lt;&gt;1,0,IF((IF(Classifiers!$B$17="",0,IF(ISNUMBER(SEARCH(Classifiers!$B$17,E200)),1,0))+IF(Classifiers!$C$17="",0,IF(ISNUMBER(SEARCH(Classifiers!$C$17,E200)),1,0))+IF(Classifiers!$D$17="",0,IF(ISNUMBER(SEARCH(Classifiers!$D$17,E200)),1,0))+IF(Classifiers!$E$17="",0,IF(ISNUMBER(SEARCH(Classifiers!$E$17,E200)),1,0))+IF(Classifiers!$F$17="",0,IF(ISNUMBER(SEARCH(Classifiers!$F$17,E200)),1,0))+IF(Classifiers!$G$17="",0,IF(ISNUMBER(SEARCH(Classifiers!$G$17,E200)),1,0)))&gt;0,1,0))</f>
        <v/>
      </c>
      <c r="W200" s="12">
        <f>IF(H200&lt;&gt;1,0,IF((IF(Classifiers!$B$18="",0,IF(ISNUMBER(SEARCH(Classifiers!$B$18,E200)),1,0))+IF(Classifiers!$C$18="",0,IF(ISNUMBER(SEARCH(Classifiers!$C$18,E200)),1,0))+IF(Classifiers!$D$18="",0,IF(ISNUMBER(SEARCH(Classifiers!$D$18,E200)),1,0))+IF(Classifiers!$E$18="",0,IF(ISNUMBER(SEARCH(Classifiers!$E$18,E200)),1,0))+IF(Classifiers!$F$18="",0,IF(ISNUMBER(SEARCH(Classifiers!$F$18,E200)),1,0))+IF(Classifiers!$G$18="",0,IF(ISNUMBER(SEARCH(Classifiers!$G$18,E200)),1,0)))&gt;0,1,0))</f>
        <v/>
      </c>
    </row>
    <row r="201">
      <c r="A201" s="8" t="n"/>
      <c r="B201" s="11" t="n"/>
      <c r="C201" s="6">
        <f>IF(A201="","",TRIM(RIGHT(SUBSTITUTE(A201,"/",REPT(" ",250)),250)))</f>
        <v/>
      </c>
      <c r="D201" s="6">
        <f>IF(C201="","",IF(ISNUMBER(SEARCH(".",C201)),LOWER("."&amp;TRIM(RIGHT(SUBSTITUTE(C201,".",REPT(" ",250)),250))),""))</f>
        <v/>
      </c>
      <c r="E201" s="6">
        <f>IF(C201="","",TRIM(SUBSTITUTE(SUBSTITUTE(SUBSTITUTE(SUBSTITUTE(SUBSTITUTE(SUBSTITUTE(SUBSTITUTE(SUBSTITUTE(SUBSTITUTE(SUBSTITUTE(SUBSTITUTE(SUBSTITUTE(SUBSTITUTE(SUBSTITUTE(SUBSTITUTE(SUBSTITUTE(SUBSTITUTE(SUBSTITUTE(SUBSTITUTE(SUBSTITUTE(LOWER(LEFT(C201,LEN(C201)-LEN(D201))),"_"," "),"-"," "),"."," "),","," "),"("," "),")"," "),"["," "),"]"," "),"&amp;"," "),"+"," "),"@"," "),"#"," "),"!"," "),"'"," "),"/"," "),":"," "),";"," "),"="," "),"~"," "),"%"," ")))</f>
        <v/>
      </c>
      <c r="F201" s="6">
        <f>IF(C201="","",IF(COUNTIF(Classifiers!$A$23:$A$40,D201)&gt;0,1,0))</f>
        <v/>
      </c>
      <c r="G201" s="6">
        <f>IF(C201="","",IF(COUNTIF(Classifiers!$C$23:$C$30,D201)&gt;0,IF((IF(ISNUMBER(SEARCH(Classifiers!$E$23,E201)),1,0)+IF(ISNUMBER(SEARCH(Classifiers!$E$24,E201)),1,0)+IF(ISNUMBER(SEARCH(Classifiers!$E$25,E201)),1,0)+IF(ISNUMBER(SEARCH(Classifiers!$E$26,E201)),1,0)+IF(ISNUMBER(SEARCH(Classifiers!$E$27,E201)),1,0)+IF(ISNUMBER(SEARCH(Classifiers!$E$28,E201)),1,0)+IF(ISNUMBER(SEARCH(Classifiers!$E$29,E201)),1,0)+IF(ISNUMBER(SEARCH(Classifiers!$E$30,E201)),1,0))&gt;0,1,0),0))</f>
        <v/>
      </c>
      <c r="H201" s="6">
        <f>IF(C201="","",IF(OR(LEFT(C201,1)=".",AND(F201=0,G201=0)),0,1))</f>
        <v/>
      </c>
      <c r="I201" s="6">
        <f>IF(H201&lt;&gt;1,"",IF(SUM(J201:W201)=0,"unclassified",INDEX(Classifiers!$A$5:$A$18,MATCH(1,J201:W201,0),1)))</f>
        <v/>
      </c>
      <c r="J201" s="12">
        <f>IF(H201&lt;&gt;1,0,IF((IF(Classifiers!$B$5="",0,IF(ISNUMBER(SEARCH(Classifiers!$B$5,E201)),1,0))+IF(Classifiers!$C$5="",0,IF(ISNUMBER(SEARCH(Classifiers!$C$5,E201)),1,0))+IF(Classifiers!$D$5="",0,IF(ISNUMBER(SEARCH(Classifiers!$D$5,E201)),1,0))+IF(Classifiers!$E$5="",0,IF(ISNUMBER(SEARCH(Classifiers!$E$5,E201)),1,0))+IF(Classifiers!$F$5="",0,IF(ISNUMBER(SEARCH(Classifiers!$F$5,E201)),1,0))+IF(Classifiers!$G$5="",0,IF(ISNUMBER(SEARCH(Classifiers!$G$5,E201)),1,0)))&gt;0,1,0))</f>
        <v/>
      </c>
      <c r="K201" s="12">
        <f>IF(H201&lt;&gt;1,0,IF((IF(Classifiers!$B$6="",0,IF(ISNUMBER(SEARCH(Classifiers!$B$6,E201)),1,0))+IF(Classifiers!$C$6="",0,IF(ISNUMBER(SEARCH(Classifiers!$C$6,E201)),1,0))+IF(Classifiers!$D$6="",0,IF(ISNUMBER(SEARCH(Classifiers!$D$6,E201)),1,0))+IF(Classifiers!$E$6="",0,IF(ISNUMBER(SEARCH(Classifiers!$E$6,E201)),1,0))+IF(Classifiers!$F$6="",0,IF(ISNUMBER(SEARCH(Classifiers!$F$6,E201)),1,0))+IF(Classifiers!$G$6="",0,IF(ISNUMBER(SEARCH(Classifiers!$G$6,E201)),1,0)))&gt;0,1,0))</f>
        <v/>
      </c>
      <c r="L201" s="12">
        <f>IF(H201&lt;&gt;1,0,IF((IF(Classifiers!$B$7="",0,IF(ISNUMBER(SEARCH(Classifiers!$B$7,E201)),1,0))+IF(Classifiers!$C$7="",0,IF(ISNUMBER(SEARCH(Classifiers!$C$7,E201)),1,0))+IF(Classifiers!$D$7="",0,IF(ISNUMBER(SEARCH(Classifiers!$D$7,E201)),1,0))+IF(Classifiers!$E$7="",0,IF(ISNUMBER(SEARCH(Classifiers!$E$7,E201)),1,0))+IF(Classifiers!$F$7="",0,IF(ISNUMBER(SEARCH(Classifiers!$F$7,E201)),1,0))+IF(Classifiers!$G$7="",0,IF(ISNUMBER(SEARCH(Classifiers!$G$7,E201)),1,0)))&gt;0,1,0))</f>
        <v/>
      </c>
      <c r="M201" s="12">
        <f>IF(H201&lt;&gt;1,0,IF((IF(Classifiers!$B$8="",0,IF(ISNUMBER(SEARCH(Classifiers!$B$8,E201)),1,0))+IF(Classifiers!$C$8="",0,IF(ISNUMBER(SEARCH(Classifiers!$C$8,E201)),1,0))+IF(Classifiers!$D$8="",0,IF(ISNUMBER(SEARCH(Classifiers!$D$8,E201)),1,0))+IF(Classifiers!$E$8="",0,IF(ISNUMBER(SEARCH(Classifiers!$E$8,E201)),1,0))+IF(Classifiers!$F$8="",0,IF(ISNUMBER(SEARCH(Classifiers!$F$8,E201)),1,0))+IF(Classifiers!$G$8="",0,IF(ISNUMBER(SEARCH(Classifiers!$G$8,E201)),1,0)))&gt;0,1,0))</f>
        <v/>
      </c>
      <c r="N201" s="12">
        <f>IF(H201&lt;&gt;1,0,IF((IF(Classifiers!$B$9="",0,IF(ISNUMBER(SEARCH(Classifiers!$B$9,E201)),1,0))+IF(Classifiers!$C$9="",0,IF(ISNUMBER(SEARCH(Classifiers!$C$9,E201)),1,0))+IF(Classifiers!$D$9="",0,IF(ISNUMBER(SEARCH(Classifiers!$D$9,E201)),1,0))+IF(Classifiers!$E$9="",0,IF(ISNUMBER(SEARCH(Classifiers!$E$9,E201)),1,0))+IF(Classifiers!$F$9="",0,IF(ISNUMBER(SEARCH(Classifiers!$F$9,E201)),1,0))+IF(Classifiers!$G$9="",0,IF(ISNUMBER(SEARCH(Classifiers!$G$9,E201)),1,0)))&gt;0,1,0))</f>
        <v/>
      </c>
      <c r="O201" s="12">
        <f>IF(H201&lt;&gt;1,0,IF((IF(Classifiers!$B$10="",0,IF(ISNUMBER(SEARCH(Classifiers!$B$10,E201)),1,0))+IF(Classifiers!$C$10="",0,IF(ISNUMBER(SEARCH(Classifiers!$C$10,E201)),1,0))+IF(Classifiers!$D$10="",0,IF(ISNUMBER(SEARCH(Classifiers!$D$10,E201)),1,0))+IF(Classifiers!$E$10="",0,IF(ISNUMBER(SEARCH(Classifiers!$E$10,E201)),1,0))+IF(Classifiers!$F$10="",0,IF(ISNUMBER(SEARCH(Classifiers!$F$10,E201)),1,0))+IF(Classifiers!$G$10="",0,IF(ISNUMBER(SEARCH(Classifiers!$G$10,E201)),1,0)))&gt;0,1,0))</f>
        <v/>
      </c>
      <c r="P201" s="12">
        <f>IF(H201&lt;&gt;1,0,IF((IF(Classifiers!$B$11="",0,IF(ISNUMBER(SEARCH(Classifiers!$B$11,E201)),1,0))+IF(Classifiers!$C$11="",0,IF(ISNUMBER(SEARCH(Classifiers!$C$11,E201)),1,0))+IF(Classifiers!$D$11="",0,IF(ISNUMBER(SEARCH(Classifiers!$D$11,E201)),1,0))+IF(Classifiers!$E$11="",0,IF(ISNUMBER(SEARCH(Classifiers!$E$11,E201)),1,0))+IF(Classifiers!$F$11="",0,IF(ISNUMBER(SEARCH(Classifiers!$F$11,E201)),1,0))+IF(Classifiers!$G$11="",0,IF(ISNUMBER(SEARCH(Classifiers!$G$11,E201)),1,0)))&gt;0,1,0))</f>
        <v/>
      </c>
      <c r="Q201" s="12">
        <f>IF(H201&lt;&gt;1,0,IF((IF(Classifiers!$B$12="",0,IF(ISNUMBER(SEARCH(Classifiers!$B$12,E201)),1,0))+IF(Classifiers!$C$12="",0,IF(ISNUMBER(SEARCH(Classifiers!$C$12,E201)),1,0))+IF(Classifiers!$D$12="",0,IF(ISNUMBER(SEARCH(Classifiers!$D$12,E201)),1,0))+IF(Classifiers!$E$12="",0,IF(ISNUMBER(SEARCH(Classifiers!$E$12,E201)),1,0))+IF(Classifiers!$F$12="",0,IF(ISNUMBER(SEARCH(Classifiers!$F$12,E201)),1,0))+IF(Classifiers!$G$12="",0,IF(ISNUMBER(SEARCH(Classifiers!$G$12,E201)),1,0)))&gt;0,1,0))</f>
        <v/>
      </c>
      <c r="R201" s="12">
        <f>IF(H201&lt;&gt;1,0,IF((IF(Classifiers!$B$13="",0,IF(ISNUMBER(SEARCH(Classifiers!$B$13,E201)),1,0))+IF(Classifiers!$C$13="",0,IF(ISNUMBER(SEARCH(Classifiers!$C$13,E201)),1,0))+IF(Classifiers!$D$13="",0,IF(ISNUMBER(SEARCH(Classifiers!$D$13,E201)),1,0))+IF(Classifiers!$E$13="",0,IF(ISNUMBER(SEARCH(Classifiers!$E$13,E201)),1,0))+IF(Classifiers!$F$13="",0,IF(ISNUMBER(SEARCH(Classifiers!$F$13,E201)),1,0))+IF(Classifiers!$G$13="",0,IF(ISNUMBER(SEARCH(Classifiers!$G$13,E201)),1,0)))&gt;0,1,0))</f>
        <v/>
      </c>
      <c r="S201" s="12">
        <f>IF(H201&lt;&gt;1,0,IF((IF(Classifiers!$B$14="",0,IF(ISNUMBER(SEARCH(Classifiers!$B$14,E201)),1,0))+IF(Classifiers!$C$14="",0,IF(ISNUMBER(SEARCH(Classifiers!$C$14,E201)),1,0))+IF(Classifiers!$D$14="",0,IF(ISNUMBER(SEARCH(Classifiers!$D$14,E201)),1,0))+IF(Classifiers!$E$14="",0,IF(ISNUMBER(SEARCH(Classifiers!$E$14,E201)),1,0))+IF(Classifiers!$F$14="",0,IF(ISNUMBER(SEARCH(Classifiers!$F$14,E201)),1,0))+IF(Classifiers!$G$14="",0,IF(ISNUMBER(SEARCH(Classifiers!$G$14,E201)),1,0)))&gt;0,1,0))</f>
        <v/>
      </c>
      <c r="T201" s="12">
        <f>IF(H201&lt;&gt;1,0,IF((IF(Classifiers!$B$15="",0,IF(ISNUMBER(SEARCH(Classifiers!$B$15,E201)),1,0))+IF(Classifiers!$C$15="",0,IF(ISNUMBER(SEARCH(Classifiers!$C$15,E201)),1,0))+IF(Classifiers!$D$15="",0,IF(ISNUMBER(SEARCH(Classifiers!$D$15,E201)),1,0))+IF(Classifiers!$E$15="",0,IF(ISNUMBER(SEARCH(Classifiers!$E$15,E201)),1,0))+IF(Classifiers!$F$15="",0,IF(ISNUMBER(SEARCH(Classifiers!$F$15,E201)),1,0))+IF(Classifiers!$G$15="",0,IF(ISNUMBER(SEARCH(Classifiers!$G$15,E201)),1,0)))&gt;0,1,0))</f>
        <v/>
      </c>
      <c r="U201" s="12">
        <f>IF(H201&lt;&gt;1,0,IF((IF(Classifiers!$B$16="",0,IF(ISNUMBER(SEARCH(Classifiers!$B$16,E201)),1,0))+IF(Classifiers!$C$16="",0,IF(ISNUMBER(SEARCH(Classifiers!$C$16,E201)),1,0))+IF(Classifiers!$D$16="",0,IF(ISNUMBER(SEARCH(Classifiers!$D$16,E201)),1,0))+IF(Classifiers!$E$16="",0,IF(ISNUMBER(SEARCH(Classifiers!$E$16,E201)),1,0))+IF(Classifiers!$F$16="",0,IF(ISNUMBER(SEARCH(Classifiers!$F$16,E201)),1,0))+IF(Classifiers!$G$16="",0,IF(ISNUMBER(SEARCH(Classifiers!$G$16,E201)),1,0)))&gt;0,1,0))</f>
        <v/>
      </c>
      <c r="V201" s="12">
        <f>IF(H201&lt;&gt;1,0,IF((IF(Classifiers!$B$17="",0,IF(ISNUMBER(SEARCH(Classifiers!$B$17,E201)),1,0))+IF(Classifiers!$C$17="",0,IF(ISNUMBER(SEARCH(Classifiers!$C$17,E201)),1,0))+IF(Classifiers!$D$17="",0,IF(ISNUMBER(SEARCH(Classifiers!$D$17,E201)),1,0))+IF(Classifiers!$E$17="",0,IF(ISNUMBER(SEARCH(Classifiers!$E$17,E201)),1,0))+IF(Classifiers!$F$17="",0,IF(ISNUMBER(SEARCH(Classifiers!$F$17,E201)),1,0))+IF(Classifiers!$G$17="",0,IF(ISNUMBER(SEARCH(Classifiers!$G$17,E201)),1,0)))&gt;0,1,0))</f>
        <v/>
      </c>
      <c r="W201" s="12">
        <f>IF(H201&lt;&gt;1,0,IF((IF(Classifiers!$B$18="",0,IF(ISNUMBER(SEARCH(Classifiers!$B$18,E201)),1,0))+IF(Classifiers!$C$18="",0,IF(ISNUMBER(SEARCH(Classifiers!$C$18,E201)),1,0))+IF(Classifiers!$D$18="",0,IF(ISNUMBER(SEARCH(Classifiers!$D$18,E201)),1,0))+IF(Classifiers!$E$18="",0,IF(ISNUMBER(SEARCH(Classifiers!$E$18,E201)),1,0))+IF(Classifiers!$F$18="",0,IF(ISNUMBER(SEARCH(Classifiers!$F$18,E201)),1,0))+IF(Classifiers!$G$18="",0,IF(ISNUMBER(SEARCH(Classifiers!$G$18,E201)),1,0)))&gt;0,1,0))</f>
        <v/>
      </c>
    </row>
    <row r="202">
      <c r="A202" s="8" t="n"/>
      <c r="B202" s="11" t="n"/>
      <c r="C202" s="6">
        <f>IF(A202="","",TRIM(RIGHT(SUBSTITUTE(A202,"/",REPT(" ",250)),250)))</f>
        <v/>
      </c>
      <c r="D202" s="6">
        <f>IF(C202="","",IF(ISNUMBER(SEARCH(".",C202)),LOWER("."&amp;TRIM(RIGHT(SUBSTITUTE(C202,".",REPT(" ",250)),250))),""))</f>
        <v/>
      </c>
      <c r="E202" s="6">
        <f>IF(C202="","",TRIM(SUBSTITUTE(SUBSTITUTE(SUBSTITUTE(SUBSTITUTE(SUBSTITUTE(SUBSTITUTE(SUBSTITUTE(SUBSTITUTE(SUBSTITUTE(SUBSTITUTE(SUBSTITUTE(SUBSTITUTE(SUBSTITUTE(SUBSTITUTE(SUBSTITUTE(SUBSTITUTE(SUBSTITUTE(SUBSTITUTE(SUBSTITUTE(SUBSTITUTE(LOWER(LEFT(C202,LEN(C202)-LEN(D202))),"_"," "),"-"," "),"."," "),","," "),"("," "),")"," "),"["," "),"]"," "),"&amp;"," "),"+"," "),"@"," "),"#"," "),"!"," "),"'"," "),"/"," "),":"," "),";"," "),"="," "),"~"," "),"%"," ")))</f>
        <v/>
      </c>
      <c r="F202" s="6">
        <f>IF(C202="","",IF(COUNTIF(Classifiers!$A$23:$A$40,D202)&gt;0,1,0))</f>
        <v/>
      </c>
      <c r="G202" s="6">
        <f>IF(C202="","",IF(COUNTIF(Classifiers!$C$23:$C$30,D202)&gt;0,IF((IF(ISNUMBER(SEARCH(Classifiers!$E$23,E202)),1,0)+IF(ISNUMBER(SEARCH(Classifiers!$E$24,E202)),1,0)+IF(ISNUMBER(SEARCH(Classifiers!$E$25,E202)),1,0)+IF(ISNUMBER(SEARCH(Classifiers!$E$26,E202)),1,0)+IF(ISNUMBER(SEARCH(Classifiers!$E$27,E202)),1,0)+IF(ISNUMBER(SEARCH(Classifiers!$E$28,E202)),1,0)+IF(ISNUMBER(SEARCH(Classifiers!$E$29,E202)),1,0)+IF(ISNUMBER(SEARCH(Classifiers!$E$30,E202)),1,0))&gt;0,1,0),0))</f>
        <v/>
      </c>
      <c r="H202" s="6">
        <f>IF(C202="","",IF(OR(LEFT(C202,1)=".",AND(F202=0,G202=0)),0,1))</f>
        <v/>
      </c>
      <c r="I202" s="6">
        <f>IF(H202&lt;&gt;1,"",IF(SUM(J202:W202)=0,"unclassified",INDEX(Classifiers!$A$5:$A$18,MATCH(1,J202:W202,0),1)))</f>
        <v/>
      </c>
      <c r="J202" s="12">
        <f>IF(H202&lt;&gt;1,0,IF((IF(Classifiers!$B$5="",0,IF(ISNUMBER(SEARCH(Classifiers!$B$5,E202)),1,0))+IF(Classifiers!$C$5="",0,IF(ISNUMBER(SEARCH(Classifiers!$C$5,E202)),1,0))+IF(Classifiers!$D$5="",0,IF(ISNUMBER(SEARCH(Classifiers!$D$5,E202)),1,0))+IF(Classifiers!$E$5="",0,IF(ISNUMBER(SEARCH(Classifiers!$E$5,E202)),1,0))+IF(Classifiers!$F$5="",0,IF(ISNUMBER(SEARCH(Classifiers!$F$5,E202)),1,0))+IF(Classifiers!$G$5="",0,IF(ISNUMBER(SEARCH(Classifiers!$G$5,E202)),1,0)))&gt;0,1,0))</f>
        <v/>
      </c>
      <c r="K202" s="12">
        <f>IF(H202&lt;&gt;1,0,IF((IF(Classifiers!$B$6="",0,IF(ISNUMBER(SEARCH(Classifiers!$B$6,E202)),1,0))+IF(Classifiers!$C$6="",0,IF(ISNUMBER(SEARCH(Classifiers!$C$6,E202)),1,0))+IF(Classifiers!$D$6="",0,IF(ISNUMBER(SEARCH(Classifiers!$D$6,E202)),1,0))+IF(Classifiers!$E$6="",0,IF(ISNUMBER(SEARCH(Classifiers!$E$6,E202)),1,0))+IF(Classifiers!$F$6="",0,IF(ISNUMBER(SEARCH(Classifiers!$F$6,E202)),1,0))+IF(Classifiers!$G$6="",0,IF(ISNUMBER(SEARCH(Classifiers!$G$6,E202)),1,0)))&gt;0,1,0))</f>
        <v/>
      </c>
      <c r="L202" s="12">
        <f>IF(H202&lt;&gt;1,0,IF((IF(Classifiers!$B$7="",0,IF(ISNUMBER(SEARCH(Classifiers!$B$7,E202)),1,0))+IF(Classifiers!$C$7="",0,IF(ISNUMBER(SEARCH(Classifiers!$C$7,E202)),1,0))+IF(Classifiers!$D$7="",0,IF(ISNUMBER(SEARCH(Classifiers!$D$7,E202)),1,0))+IF(Classifiers!$E$7="",0,IF(ISNUMBER(SEARCH(Classifiers!$E$7,E202)),1,0))+IF(Classifiers!$F$7="",0,IF(ISNUMBER(SEARCH(Classifiers!$F$7,E202)),1,0))+IF(Classifiers!$G$7="",0,IF(ISNUMBER(SEARCH(Classifiers!$G$7,E202)),1,0)))&gt;0,1,0))</f>
        <v/>
      </c>
      <c r="M202" s="12">
        <f>IF(H202&lt;&gt;1,0,IF((IF(Classifiers!$B$8="",0,IF(ISNUMBER(SEARCH(Classifiers!$B$8,E202)),1,0))+IF(Classifiers!$C$8="",0,IF(ISNUMBER(SEARCH(Classifiers!$C$8,E202)),1,0))+IF(Classifiers!$D$8="",0,IF(ISNUMBER(SEARCH(Classifiers!$D$8,E202)),1,0))+IF(Classifiers!$E$8="",0,IF(ISNUMBER(SEARCH(Classifiers!$E$8,E202)),1,0))+IF(Classifiers!$F$8="",0,IF(ISNUMBER(SEARCH(Classifiers!$F$8,E202)),1,0))+IF(Classifiers!$G$8="",0,IF(ISNUMBER(SEARCH(Classifiers!$G$8,E202)),1,0)))&gt;0,1,0))</f>
        <v/>
      </c>
      <c r="N202" s="12">
        <f>IF(H202&lt;&gt;1,0,IF((IF(Classifiers!$B$9="",0,IF(ISNUMBER(SEARCH(Classifiers!$B$9,E202)),1,0))+IF(Classifiers!$C$9="",0,IF(ISNUMBER(SEARCH(Classifiers!$C$9,E202)),1,0))+IF(Classifiers!$D$9="",0,IF(ISNUMBER(SEARCH(Classifiers!$D$9,E202)),1,0))+IF(Classifiers!$E$9="",0,IF(ISNUMBER(SEARCH(Classifiers!$E$9,E202)),1,0))+IF(Classifiers!$F$9="",0,IF(ISNUMBER(SEARCH(Classifiers!$F$9,E202)),1,0))+IF(Classifiers!$G$9="",0,IF(ISNUMBER(SEARCH(Classifiers!$G$9,E202)),1,0)))&gt;0,1,0))</f>
        <v/>
      </c>
      <c r="O202" s="12">
        <f>IF(H202&lt;&gt;1,0,IF((IF(Classifiers!$B$10="",0,IF(ISNUMBER(SEARCH(Classifiers!$B$10,E202)),1,0))+IF(Classifiers!$C$10="",0,IF(ISNUMBER(SEARCH(Classifiers!$C$10,E202)),1,0))+IF(Classifiers!$D$10="",0,IF(ISNUMBER(SEARCH(Classifiers!$D$10,E202)),1,0))+IF(Classifiers!$E$10="",0,IF(ISNUMBER(SEARCH(Classifiers!$E$10,E202)),1,0))+IF(Classifiers!$F$10="",0,IF(ISNUMBER(SEARCH(Classifiers!$F$10,E202)),1,0))+IF(Classifiers!$G$10="",0,IF(ISNUMBER(SEARCH(Classifiers!$G$10,E202)),1,0)))&gt;0,1,0))</f>
        <v/>
      </c>
      <c r="P202" s="12">
        <f>IF(H202&lt;&gt;1,0,IF((IF(Classifiers!$B$11="",0,IF(ISNUMBER(SEARCH(Classifiers!$B$11,E202)),1,0))+IF(Classifiers!$C$11="",0,IF(ISNUMBER(SEARCH(Classifiers!$C$11,E202)),1,0))+IF(Classifiers!$D$11="",0,IF(ISNUMBER(SEARCH(Classifiers!$D$11,E202)),1,0))+IF(Classifiers!$E$11="",0,IF(ISNUMBER(SEARCH(Classifiers!$E$11,E202)),1,0))+IF(Classifiers!$F$11="",0,IF(ISNUMBER(SEARCH(Classifiers!$F$11,E202)),1,0))+IF(Classifiers!$G$11="",0,IF(ISNUMBER(SEARCH(Classifiers!$G$11,E202)),1,0)))&gt;0,1,0))</f>
        <v/>
      </c>
      <c r="Q202" s="12">
        <f>IF(H202&lt;&gt;1,0,IF((IF(Classifiers!$B$12="",0,IF(ISNUMBER(SEARCH(Classifiers!$B$12,E202)),1,0))+IF(Classifiers!$C$12="",0,IF(ISNUMBER(SEARCH(Classifiers!$C$12,E202)),1,0))+IF(Classifiers!$D$12="",0,IF(ISNUMBER(SEARCH(Classifiers!$D$12,E202)),1,0))+IF(Classifiers!$E$12="",0,IF(ISNUMBER(SEARCH(Classifiers!$E$12,E202)),1,0))+IF(Classifiers!$F$12="",0,IF(ISNUMBER(SEARCH(Classifiers!$F$12,E202)),1,0))+IF(Classifiers!$G$12="",0,IF(ISNUMBER(SEARCH(Classifiers!$G$12,E202)),1,0)))&gt;0,1,0))</f>
        <v/>
      </c>
      <c r="R202" s="12">
        <f>IF(H202&lt;&gt;1,0,IF((IF(Classifiers!$B$13="",0,IF(ISNUMBER(SEARCH(Classifiers!$B$13,E202)),1,0))+IF(Classifiers!$C$13="",0,IF(ISNUMBER(SEARCH(Classifiers!$C$13,E202)),1,0))+IF(Classifiers!$D$13="",0,IF(ISNUMBER(SEARCH(Classifiers!$D$13,E202)),1,0))+IF(Classifiers!$E$13="",0,IF(ISNUMBER(SEARCH(Classifiers!$E$13,E202)),1,0))+IF(Classifiers!$F$13="",0,IF(ISNUMBER(SEARCH(Classifiers!$F$13,E202)),1,0))+IF(Classifiers!$G$13="",0,IF(ISNUMBER(SEARCH(Classifiers!$G$13,E202)),1,0)))&gt;0,1,0))</f>
        <v/>
      </c>
      <c r="S202" s="12">
        <f>IF(H202&lt;&gt;1,0,IF((IF(Classifiers!$B$14="",0,IF(ISNUMBER(SEARCH(Classifiers!$B$14,E202)),1,0))+IF(Classifiers!$C$14="",0,IF(ISNUMBER(SEARCH(Classifiers!$C$14,E202)),1,0))+IF(Classifiers!$D$14="",0,IF(ISNUMBER(SEARCH(Classifiers!$D$14,E202)),1,0))+IF(Classifiers!$E$14="",0,IF(ISNUMBER(SEARCH(Classifiers!$E$14,E202)),1,0))+IF(Classifiers!$F$14="",0,IF(ISNUMBER(SEARCH(Classifiers!$F$14,E202)),1,0))+IF(Classifiers!$G$14="",0,IF(ISNUMBER(SEARCH(Classifiers!$G$14,E202)),1,0)))&gt;0,1,0))</f>
        <v/>
      </c>
      <c r="T202" s="12">
        <f>IF(H202&lt;&gt;1,0,IF((IF(Classifiers!$B$15="",0,IF(ISNUMBER(SEARCH(Classifiers!$B$15,E202)),1,0))+IF(Classifiers!$C$15="",0,IF(ISNUMBER(SEARCH(Classifiers!$C$15,E202)),1,0))+IF(Classifiers!$D$15="",0,IF(ISNUMBER(SEARCH(Classifiers!$D$15,E202)),1,0))+IF(Classifiers!$E$15="",0,IF(ISNUMBER(SEARCH(Classifiers!$E$15,E202)),1,0))+IF(Classifiers!$F$15="",0,IF(ISNUMBER(SEARCH(Classifiers!$F$15,E202)),1,0))+IF(Classifiers!$G$15="",0,IF(ISNUMBER(SEARCH(Classifiers!$G$15,E202)),1,0)))&gt;0,1,0))</f>
        <v/>
      </c>
      <c r="U202" s="12">
        <f>IF(H202&lt;&gt;1,0,IF((IF(Classifiers!$B$16="",0,IF(ISNUMBER(SEARCH(Classifiers!$B$16,E202)),1,0))+IF(Classifiers!$C$16="",0,IF(ISNUMBER(SEARCH(Classifiers!$C$16,E202)),1,0))+IF(Classifiers!$D$16="",0,IF(ISNUMBER(SEARCH(Classifiers!$D$16,E202)),1,0))+IF(Classifiers!$E$16="",0,IF(ISNUMBER(SEARCH(Classifiers!$E$16,E202)),1,0))+IF(Classifiers!$F$16="",0,IF(ISNUMBER(SEARCH(Classifiers!$F$16,E202)),1,0))+IF(Classifiers!$G$16="",0,IF(ISNUMBER(SEARCH(Classifiers!$G$16,E202)),1,0)))&gt;0,1,0))</f>
        <v/>
      </c>
      <c r="V202" s="12">
        <f>IF(H202&lt;&gt;1,0,IF((IF(Classifiers!$B$17="",0,IF(ISNUMBER(SEARCH(Classifiers!$B$17,E202)),1,0))+IF(Classifiers!$C$17="",0,IF(ISNUMBER(SEARCH(Classifiers!$C$17,E202)),1,0))+IF(Classifiers!$D$17="",0,IF(ISNUMBER(SEARCH(Classifiers!$D$17,E202)),1,0))+IF(Classifiers!$E$17="",0,IF(ISNUMBER(SEARCH(Classifiers!$E$17,E202)),1,0))+IF(Classifiers!$F$17="",0,IF(ISNUMBER(SEARCH(Classifiers!$F$17,E202)),1,0))+IF(Classifiers!$G$17="",0,IF(ISNUMBER(SEARCH(Classifiers!$G$17,E202)),1,0)))&gt;0,1,0))</f>
        <v/>
      </c>
      <c r="W202" s="12">
        <f>IF(H202&lt;&gt;1,0,IF((IF(Classifiers!$B$18="",0,IF(ISNUMBER(SEARCH(Classifiers!$B$18,E202)),1,0))+IF(Classifiers!$C$18="",0,IF(ISNUMBER(SEARCH(Classifiers!$C$18,E202)),1,0))+IF(Classifiers!$D$18="",0,IF(ISNUMBER(SEARCH(Classifiers!$D$18,E202)),1,0))+IF(Classifiers!$E$18="",0,IF(ISNUMBER(SEARCH(Classifiers!$E$18,E202)),1,0))+IF(Classifiers!$F$18="",0,IF(ISNUMBER(SEARCH(Classifiers!$F$18,E202)),1,0))+IF(Classifiers!$G$18="",0,IF(ISNUMBER(SEARCH(Classifiers!$G$18,E202)),1,0)))&gt;0,1,0))</f>
        <v/>
      </c>
    </row>
    <row r="203">
      <c r="A203" s="8" t="n"/>
      <c r="B203" s="11" t="n"/>
      <c r="C203" s="6">
        <f>IF(A203="","",TRIM(RIGHT(SUBSTITUTE(A203,"/",REPT(" ",250)),250)))</f>
        <v/>
      </c>
      <c r="D203" s="6">
        <f>IF(C203="","",IF(ISNUMBER(SEARCH(".",C203)),LOWER("."&amp;TRIM(RIGHT(SUBSTITUTE(C203,".",REPT(" ",250)),250))),""))</f>
        <v/>
      </c>
      <c r="E203" s="6">
        <f>IF(C203="","",TRIM(SUBSTITUTE(SUBSTITUTE(SUBSTITUTE(SUBSTITUTE(SUBSTITUTE(SUBSTITUTE(SUBSTITUTE(SUBSTITUTE(SUBSTITUTE(SUBSTITUTE(SUBSTITUTE(SUBSTITUTE(SUBSTITUTE(SUBSTITUTE(SUBSTITUTE(SUBSTITUTE(SUBSTITUTE(SUBSTITUTE(SUBSTITUTE(SUBSTITUTE(LOWER(LEFT(C203,LEN(C203)-LEN(D203))),"_"," "),"-"," "),"."," "),","," "),"("," "),")"," "),"["," "),"]"," "),"&amp;"," "),"+"," "),"@"," "),"#"," "),"!"," "),"'"," "),"/"," "),":"," "),";"," "),"="," "),"~"," "),"%"," ")))</f>
        <v/>
      </c>
      <c r="F203" s="6">
        <f>IF(C203="","",IF(COUNTIF(Classifiers!$A$23:$A$40,D203)&gt;0,1,0))</f>
        <v/>
      </c>
      <c r="G203" s="6">
        <f>IF(C203="","",IF(COUNTIF(Classifiers!$C$23:$C$30,D203)&gt;0,IF((IF(ISNUMBER(SEARCH(Classifiers!$E$23,E203)),1,0)+IF(ISNUMBER(SEARCH(Classifiers!$E$24,E203)),1,0)+IF(ISNUMBER(SEARCH(Classifiers!$E$25,E203)),1,0)+IF(ISNUMBER(SEARCH(Classifiers!$E$26,E203)),1,0)+IF(ISNUMBER(SEARCH(Classifiers!$E$27,E203)),1,0)+IF(ISNUMBER(SEARCH(Classifiers!$E$28,E203)),1,0)+IF(ISNUMBER(SEARCH(Classifiers!$E$29,E203)),1,0)+IF(ISNUMBER(SEARCH(Classifiers!$E$30,E203)),1,0))&gt;0,1,0),0))</f>
        <v/>
      </c>
      <c r="H203" s="6">
        <f>IF(C203="","",IF(OR(LEFT(C203,1)=".",AND(F203=0,G203=0)),0,1))</f>
        <v/>
      </c>
      <c r="I203" s="6">
        <f>IF(H203&lt;&gt;1,"",IF(SUM(J203:W203)=0,"unclassified",INDEX(Classifiers!$A$5:$A$18,MATCH(1,J203:W203,0),1)))</f>
        <v/>
      </c>
      <c r="J203" s="12">
        <f>IF(H203&lt;&gt;1,0,IF((IF(Classifiers!$B$5="",0,IF(ISNUMBER(SEARCH(Classifiers!$B$5,E203)),1,0))+IF(Classifiers!$C$5="",0,IF(ISNUMBER(SEARCH(Classifiers!$C$5,E203)),1,0))+IF(Classifiers!$D$5="",0,IF(ISNUMBER(SEARCH(Classifiers!$D$5,E203)),1,0))+IF(Classifiers!$E$5="",0,IF(ISNUMBER(SEARCH(Classifiers!$E$5,E203)),1,0))+IF(Classifiers!$F$5="",0,IF(ISNUMBER(SEARCH(Classifiers!$F$5,E203)),1,0))+IF(Classifiers!$G$5="",0,IF(ISNUMBER(SEARCH(Classifiers!$G$5,E203)),1,0)))&gt;0,1,0))</f>
        <v/>
      </c>
      <c r="K203" s="12">
        <f>IF(H203&lt;&gt;1,0,IF((IF(Classifiers!$B$6="",0,IF(ISNUMBER(SEARCH(Classifiers!$B$6,E203)),1,0))+IF(Classifiers!$C$6="",0,IF(ISNUMBER(SEARCH(Classifiers!$C$6,E203)),1,0))+IF(Classifiers!$D$6="",0,IF(ISNUMBER(SEARCH(Classifiers!$D$6,E203)),1,0))+IF(Classifiers!$E$6="",0,IF(ISNUMBER(SEARCH(Classifiers!$E$6,E203)),1,0))+IF(Classifiers!$F$6="",0,IF(ISNUMBER(SEARCH(Classifiers!$F$6,E203)),1,0))+IF(Classifiers!$G$6="",0,IF(ISNUMBER(SEARCH(Classifiers!$G$6,E203)),1,0)))&gt;0,1,0))</f>
        <v/>
      </c>
      <c r="L203" s="12">
        <f>IF(H203&lt;&gt;1,0,IF((IF(Classifiers!$B$7="",0,IF(ISNUMBER(SEARCH(Classifiers!$B$7,E203)),1,0))+IF(Classifiers!$C$7="",0,IF(ISNUMBER(SEARCH(Classifiers!$C$7,E203)),1,0))+IF(Classifiers!$D$7="",0,IF(ISNUMBER(SEARCH(Classifiers!$D$7,E203)),1,0))+IF(Classifiers!$E$7="",0,IF(ISNUMBER(SEARCH(Classifiers!$E$7,E203)),1,0))+IF(Classifiers!$F$7="",0,IF(ISNUMBER(SEARCH(Classifiers!$F$7,E203)),1,0))+IF(Classifiers!$G$7="",0,IF(ISNUMBER(SEARCH(Classifiers!$G$7,E203)),1,0)))&gt;0,1,0))</f>
        <v/>
      </c>
      <c r="M203" s="12">
        <f>IF(H203&lt;&gt;1,0,IF((IF(Classifiers!$B$8="",0,IF(ISNUMBER(SEARCH(Classifiers!$B$8,E203)),1,0))+IF(Classifiers!$C$8="",0,IF(ISNUMBER(SEARCH(Classifiers!$C$8,E203)),1,0))+IF(Classifiers!$D$8="",0,IF(ISNUMBER(SEARCH(Classifiers!$D$8,E203)),1,0))+IF(Classifiers!$E$8="",0,IF(ISNUMBER(SEARCH(Classifiers!$E$8,E203)),1,0))+IF(Classifiers!$F$8="",0,IF(ISNUMBER(SEARCH(Classifiers!$F$8,E203)),1,0))+IF(Classifiers!$G$8="",0,IF(ISNUMBER(SEARCH(Classifiers!$G$8,E203)),1,0)))&gt;0,1,0))</f>
        <v/>
      </c>
      <c r="N203" s="12">
        <f>IF(H203&lt;&gt;1,0,IF((IF(Classifiers!$B$9="",0,IF(ISNUMBER(SEARCH(Classifiers!$B$9,E203)),1,0))+IF(Classifiers!$C$9="",0,IF(ISNUMBER(SEARCH(Classifiers!$C$9,E203)),1,0))+IF(Classifiers!$D$9="",0,IF(ISNUMBER(SEARCH(Classifiers!$D$9,E203)),1,0))+IF(Classifiers!$E$9="",0,IF(ISNUMBER(SEARCH(Classifiers!$E$9,E203)),1,0))+IF(Classifiers!$F$9="",0,IF(ISNUMBER(SEARCH(Classifiers!$F$9,E203)),1,0))+IF(Classifiers!$G$9="",0,IF(ISNUMBER(SEARCH(Classifiers!$G$9,E203)),1,0)))&gt;0,1,0))</f>
        <v/>
      </c>
      <c r="O203" s="12">
        <f>IF(H203&lt;&gt;1,0,IF((IF(Classifiers!$B$10="",0,IF(ISNUMBER(SEARCH(Classifiers!$B$10,E203)),1,0))+IF(Classifiers!$C$10="",0,IF(ISNUMBER(SEARCH(Classifiers!$C$10,E203)),1,0))+IF(Classifiers!$D$10="",0,IF(ISNUMBER(SEARCH(Classifiers!$D$10,E203)),1,0))+IF(Classifiers!$E$10="",0,IF(ISNUMBER(SEARCH(Classifiers!$E$10,E203)),1,0))+IF(Classifiers!$F$10="",0,IF(ISNUMBER(SEARCH(Classifiers!$F$10,E203)),1,0))+IF(Classifiers!$G$10="",0,IF(ISNUMBER(SEARCH(Classifiers!$G$10,E203)),1,0)))&gt;0,1,0))</f>
        <v/>
      </c>
      <c r="P203" s="12">
        <f>IF(H203&lt;&gt;1,0,IF((IF(Classifiers!$B$11="",0,IF(ISNUMBER(SEARCH(Classifiers!$B$11,E203)),1,0))+IF(Classifiers!$C$11="",0,IF(ISNUMBER(SEARCH(Classifiers!$C$11,E203)),1,0))+IF(Classifiers!$D$11="",0,IF(ISNUMBER(SEARCH(Classifiers!$D$11,E203)),1,0))+IF(Classifiers!$E$11="",0,IF(ISNUMBER(SEARCH(Classifiers!$E$11,E203)),1,0))+IF(Classifiers!$F$11="",0,IF(ISNUMBER(SEARCH(Classifiers!$F$11,E203)),1,0))+IF(Classifiers!$G$11="",0,IF(ISNUMBER(SEARCH(Classifiers!$G$11,E203)),1,0)))&gt;0,1,0))</f>
        <v/>
      </c>
      <c r="Q203" s="12">
        <f>IF(H203&lt;&gt;1,0,IF((IF(Classifiers!$B$12="",0,IF(ISNUMBER(SEARCH(Classifiers!$B$12,E203)),1,0))+IF(Classifiers!$C$12="",0,IF(ISNUMBER(SEARCH(Classifiers!$C$12,E203)),1,0))+IF(Classifiers!$D$12="",0,IF(ISNUMBER(SEARCH(Classifiers!$D$12,E203)),1,0))+IF(Classifiers!$E$12="",0,IF(ISNUMBER(SEARCH(Classifiers!$E$12,E203)),1,0))+IF(Classifiers!$F$12="",0,IF(ISNUMBER(SEARCH(Classifiers!$F$12,E203)),1,0))+IF(Classifiers!$G$12="",0,IF(ISNUMBER(SEARCH(Classifiers!$G$12,E203)),1,0)))&gt;0,1,0))</f>
        <v/>
      </c>
      <c r="R203" s="12">
        <f>IF(H203&lt;&gt;1,0,IF((IF(Classifiers!$B$13="",0,IF(ISNUMBER(SEARCH(Classifiers!$B$13,E203)),1,0))+IF(Classifiers!$C$13="",0,IF(ISNUMBER(SEARCH(Classifiers!$C$13,E203)),1,0))+IF(Classifiers!$D$13="",0,IF(ISNUMBER(SEARCH(Classifiers!$D$13,E203)),1,0))+IF(Classifiers!$E$13="",0,IF(ISNUMBER(SEARCH(Classifiers!$E$13,E203)),1,0))+IF(Classifiers!$F$13="",0,IF(ISNUMBER(SEARCH(Classifiers!$F$13,E203)),1,0))+IF(Classifiers!$G$13="",0,IF(ISNUMBER(SEARCH(Classifiers!$G$13,E203)),1,0)))&gt;0,1,0))</f>
        <v/>
      </c>
      <c r="S203" s="12">
        <f>IF(H203&lt;&gt;1,0,IF((IF(Classifiers!$B$14="",0,IF(ISNUMBER(SEARCH(Classifiers!$B$14,E203)),1,0))+IF(Classifiers!$C$14="",0,IF(ISNUMBER(SEARCH(Classifiers!$C$14,E203)),1,0))+IF(Classifiers!$D$14="",0,IF(ISNUMBER(SEARCH(Classifiers!$D$14,E203)),1,0))+IF(Classifiers!$E$14="",0,IF(ISNUMBER(SEARCH(Classifiers!$E$14,E203)),1,0))+IF(Classifiers!$F$14="",0,IF(ISNUMBER(SEARCH(Classifiers!$F$14,E203)),1,0))+IF(Classifiers!$G$14="",0,IF(ISNUMBER(SEARCH(Classifiers!$G$14,E203)),1,0)))&gt;0,1,0))</f>
        <v/>
      </c>
      <c r="T203" s="12">
        <f>IF(H203&lt;&gt;1,0,IF((IF(Classifiers!$B$15="",0,IF(ISNUMBER(SEARCH(Classifiers!$B$15,E203)),1,0))+IF(Classifiers!$C$15="",0,IF(ISNUMBER(SEARCH(Classifiers!$C$15,E203)),1,0))+IF(Classifiers!$D$15="",0,IF(ISNUMBER(SEARCH(Classifiers!$D$15,E203)),1,0))+IF(Classifiers!$E$15="",0,IF(ISNUMBER(SEARCH(Classifiers!$E$15,E203)),1,0))+IF(Classifiers!$F$15="",0,IF(ISNUMBER(SEARCH(Classifiers!$F$15,E203)),1,0))+IF(Classifiers!$G$15="",0,IF(ISNUMBER(SEARCH(Classifiers!$G$15,E203)),1,0)))&gt;0,1,0))</f>
        <v/>
      </c>
      <c r="U203" s="12">
        <f>IF(H203&lt;&gt;1,0,IF((IF(Classifiers!$B$16="",0,IF(ISNUMBER(SEARCH(Classifiers!$B$16,E203)),1,0))+IF(Classifiers!$C$16="",0,IF(ISNUMBER(SEARCH(Classifiers!$C$16,E203)),1,0))+IF(Classifiers!$D$16="",0,IF(ISNUMBER(SEARCH(Classifiers!$D$16,E203)),1,0))+IF(Classifiers!$E$16="",0,IF(ISNUMBER(SEARCH(Classifiers!$E$16,E203)),1,0))+IF(Classifiers!$F$16="",0,IF(ISNUMBER(SEARCH(Classifiers!$F$16,E203)),1,0))+IF(Classifiers!$G$16="",0,IF(ISNUMBER(SEARCH(Classifiers!$G$16,E203)),1,0)))&gt;0,1,0))</f>
        <v/>
      </c>
      <c r="V203" s="12">
        <f>IF(H203&lt;&gt;1,0,IF((IF(Classifiers!$B$17="",0,IF(ISNUMBER(SEARCH(Classifiers!$B$17,E203)),1,0))+IF(Classifiers!$C$17="",0,IF(ISNUMBER(SEARCH(Classifiers!$C$17,E203)),1,0))+IF(Classifiers!$D$17="",0,IF(ISNUMBER(SEARCH(Classifiers!$D$17,E203)),1,0))+IF(Classifiers!$E$17="",0,IF(ISNUMBER(SEARCH(Classifiers!$E$17,E203)),1,0))+IF(Classifiers!$F$17="",0,IF(ISNUMBER(SEARCH(Classifiers!$F$17,E203)),1,0))+IF(Classifiers!$G$17="",0,IF(ISNUMBER(SEARCH(Classifiers!$G$17,E203)),1,0)))&gt;0,1,0))</f>
        <v/>
      </c>
      <c r="W203" s="12">
        <f>IF(H203&lt;&gt;1,0,IF((IF(Classifiers!$B$18="",0,IF(ISNUMBER(SEARCH(Classifiers!$B$18,E203)),1,0))+IF(Classifiers!$C$18="",0,IF(ISNUMBER(SEARCH(Classifiers!$C$18,E203)),1,0))+IF(Classifiers!$D$18="",0,IF(ISNUMBER(SEARCH(Classifiers!$D$18,E203)),1,0))+IF(Classifiers!$E$18="",0,IF(ISNUMBER(SEARCH(Classifiers!$E$18,E203)),1,0))+IF(Classifiers!$F$18="",0,IF(ISNUMBER(SEARCH(Classifiers!$F$18,E203)),1,0))+IF(Classifiers!$G$18="",0,IF(ISNUMBER(SEARCH(Classifiers!$G$18,E203)),1,0)))&gt;0,1,0))</f>
        <v/>
      </c>
    </row>
    <row r="204">
      <c r="A204" s="8" t="n"/>
      <c r="B204" s="11" t="n"/>
      <c r="C204" s="6">
        <f>IF(A204="","",TRIM(RIGHT(SUBSTITUTE(A204,"/",REPT(" ",250)),250)))</f>
        <v/>
      </c>
      <c r="D204" s="6">
        <f>IF(C204="","",IF(ISNUMBER(SEARCH(".",C204)),LOWER("."&amp;TRIM(RIGHT(SUBSTITUTE(C204,".",REPT(" ",250)),250))),""))</f>
        <v/>
      </c>
      <c r="E204" s="6">
        <f>IF(C204="","",TRIM(SUBSTITUTE(SUBSTITUTE(SUBSTITUTE(SUBSTITUTE(SUBSTITUTE(SUBSTITUTE(SUBSTITUTE(SUBSTITUTE(SUBSTITUTE(SUBSTITUTE(SUBSTITUTE(SUBSTITUTE(SUBSTITUTE(SUBSTITUTE(SUBSTITUTE(SUBSTITUTE(SUBSTITUTE(SUBSTITUTE(SUBSTITUTE(SUBSTITUTE(LOWER(LEFT(C204,LEN(C204)-LEN(D204))),"_"," "),"-"," "),"."," "),","," "),"("," "),")"," "),"["," "),"]"," "),"&amp;"," "),"+"," "),"@"," "),"#"," "),"!"," "),"'"," "),"/"," "),":"," "),";"," "),"="," "),"~"," "),"%"," ")))</f>
        <v/>
      </c>
      <c r="F204" s="6">
        <f>IF(C204="","",IF(COUNTIF(Classifiers!$A$23:$A$40,D204)&gt;0,1,0))</f>
        <v/>
      </c>
      <c r="G204" s="6">
        <f>IF(C204="","",IF(COUNTIF(Classifiers!$C$23:$C$30,D204)&gt;0,IF((IF(ISNUMBER(SEARCH(Classifiers!$E$23,E204)),1,0)+IF(ISNUMBER(SEARCH(Classifiers!$E$24,E204)),1,0)+IF(ISNUMBER(SEARCH(Classifiers!$E$25,E204)),1,0)+IF(ISNUMBER(SEARCH(Classifiers!$E$26,E204)),1,0)+IF(ISNUMBER(SEARCH(Classifiers!$E$27,E204)),1,0)+IF(ISNUMBER(SEARCH(Classifiers!$E$28,E204)),1,0)+IF(ISNUMBER(SEARCH(Classifiers!$E$29,E204)),1,0)+IF(ISNUMBER(SEARCH(Classifiers!$E$30,E204)),1,0))&gt;0,1,0),0))</f>
        <v/>
      </c>
      <c r="H204" s="6">
        <f>IF(C204="","",IF(OR(LEFT(C204,1)=".",AND(F204=0,G204=0)),0,1))</f>
        <v/>
      </c>
      <c r="I204" s="6">
        <f>IF(H204&lt;&gt;1,"",IF(SUM(J204:W204)=0,"unclassified",INDEX(Classifiers!$A$5:$A$18,MATCH(1,J204:W204,0),1)))</f>
        <v/>
      </c>
      <c r="J204" s="12">
        <f>IF(H204&lt;&gt;1,0,IF((IF(Classifiers!$B$5="",0,IF(ISNUMBER(SEARCH(Classifiers!$B$5,E204)),1,0))+IF(Classifiers!$C$5="",0,IF(ISNUMBER(SEARCH(Classifiers!$C$5,E204)),1,0))+IF(Classifiers!$D$5="",0,IF(ISNUMBER(SEARCH(Classifiers!$D$5,E204)),1,0))+IF(Classifiers!$E$5="",0,IF(ISNUMBER(SEARCH(Classifiers!$E$5,E204)),1,0))+IF(Classifiers!$F$5="",0,IF(ISNUMBER(SEARCH(Classifiers!$F$5,E204)),1,0))+IF(Classifiers!$G$5="",0,IF(ISNUMBER(SEARCH(Classifiers!$G$5,E204)),1,0)))&gt;0,1,0))</f>
        <v/>
      </c>
      <c r="K204" s="12">
        <f>IF(H204&lt;&gt;1,0,IF((IF(Classifiers!$B$6="",0,IF(ISNUMBER(SEARCH(Classifiers!$B$6,E204)),1,0))+IF(Classifiers!$C$6="",0,IF(ISNUMBER(SEARCH(Classifiers!$C$6,E204)),1,0))+IF(Classifiers!$D$6="",0,IF(ISNUMBER(SEARCH(Classifiers!$D$6,E204)),1,0))+IF(Classifiers!$E$6="",0,IF(ISNUMBER(SEARCH(Classifiers!$E$6,E204)),1,0))+IF(Classifiers!$F$6="",0,IF(ISNUMBER(SEARCH(Classifiers!$F$6,E204)),1,0))+IF(Classifiers!$G$6="",0,IF(ISNUMBER(SEARCH(Classifiers!$G$6,E204)),1,0)))&gt;0,1,0))</f>
        <v/>
      </c>
      <c r="L204" s="12">
        <f>IF(H204&lt;&gt;1,0,IF((IF(Classifiers!$B$7="",0,IF(ISNUMBER(SEARCH(Classifiers!$B$7,E204)),1,0))+IF(Classifiers!$C$7="",0,IF(ISNUMBER(SEARCH(Classifiers!$C$7,E204)),1,0))+IF(Classifiers!$D$7="",0,IF(ISNUMBER(SEARCH(Classifiers!$D$7,E204)),1,0))+IF(Classifiers!$E$7="",0,IF(ISNUMBER(SEARCH(Classifiers!$E$7,E204)),1,0))+IF(Classifiers!$F$7="",0,IF(ISNUMBER(SEARCH(Classifiers!$F$7,E204)),1,0))+IF(Classifiers!$G$7="",0,IF(ISNUMBER(SEARCH(Classifiers!$G$7,E204)),1,0)))&gt;0,1,0))</f>
        <v/>
      </c>
      <c r="M204" s="12">
        <f>IF(H204&lt;&gt;1,0,IF((IF(Classifiers!$B$8="",0,IF(ISNUMBER(SEARCH(Classifiers!$B$8,E204)),1,0))+IF(Classifiers!$C$8="",0,IF(ISNUMBER(SEARCH(Classifiers!$C$8,E204)),1,0))+IF(Classifiers!$D$8="",0,IF(ISNUMBER(SEARCH(Classifiers!$D$8,E204)),1,0))+IF(Classifiers!$E$8="",0,IF(ISNUMBER(SEARCH(Classifiers!$E$8,E204)),1,0))+IF(Classifiers!$F$8="",0,IF(ISNUMBER(SEARCH(Classifiers!$F$8,E204)),1,0))+IF(Classifiers!$G$8="",0,IF(ISNUMBER(SEARCH(Classifiers!$G$8,E204)),1,0)))&gt;0,1,0))</f>
        <v/>
      </c>
      <c r="N204" s="12">
        <f>IF(H204&lt;&gt;1,0,IF((IF(Classifiers!$B$9="",0,IF(ISNUMBER(SEARCH(Classifiers!$B$9,E204)),1,0))+IF(Classifiers!$C$9="",0,IF(ISNUMBER(SEARCH(Classifiers!$C$9,E204)),1,0))+IF(Classifiers!$D$9="",0,IF(ISNUMBER(SEARCH(Classifiers!$D$9,E204)),1,0))+IF(Classifiers!$E$9="",0,IF(ISNUMBER(SEARCH(Classifiers!$E$9,E204)),1,0))+IF(Classifiers!$F$9="",0,IF(ISNUMBER(SEARCH(Classifiers!$F$9,E204)),1,0))+IF(Classifiers!$G$9="",0,IF(ISNUMBER(SEARCH(Classifiers!$G$9,E204)),1,0)))&gt;0,1,0))</f>
        <v/>
      </c>
      <c r="O204" s="12">
        <f>IF(H204&lt;&gt;1,0,IF((IF(Classifiers!$B$10="",0,IF(ISNUMBER(SEARCH(Classifiers!$B$10,E204)),1,0))+IF(Classifiers!$C$10="",0,IF(ISNUMBER(SEARCH(Classifiers!$C$10,E204)),1,0))+IF(Classifiers!$D$10="",0,IF(ISNUMBER(SEARCH(Classifiers!$D$10,E204)),1,0))+IF(Classifiers!$E$10="",0,IF(ISNUMBER(SEARCH(Classifiers!$E$10,E204)),1,0))+IF(Classifiers!$F$10="",0,IF(ISNUMBER(SEARCH(Classifiers!$F$10,E204)),1,0))+IF(Classifiers!$G$10="",0,IF(ISNUMBER(SEARCH(Classifiers!$G$10,E204)),1,0)))&gt;0,1,0))</f>
        <v/>
      </c>
      <c r="P204" s="12">
        <f>IF(H204&lt;&gt;1,0,IF((IF(Classifiers!$B$11="",0,IF(ISNUMBER(SEARCH(Classifiers!$B$11,E204)),1,0))+IF(Classifiers!$C$11="",0,IF(ISNUMBER(SEARCH(Classifiers!$C$11,E204)),1,0))+IF(Classifiers!$D$11="",0,IF(ISNUMBER(SEARCH(Classifiers!$D$11,E204)),1,0))+IF(Classifiers!$E$11="",0,IF(ISNUMBER(SEARCH(Classifiers!$E$11,E204)),1,0))+IF(Classifiers!$F$11="",0,IF(ISNUMBER(SEARCH(Classifiers!$F$11,E204)),1,0))+IF(Classifiers!$G$11="",0,IF(ISNUMBER(SEARCH(Classifiers!$G$11,E204)),1,0)))&gt;0,1,0))</f>
        <v/>
      </c>
      <c r="Q204" s="12">
        <f>IF(H204&lt;&gt;1,0,IF((IF(Classifiers!$B$12="",0,IF(ISNUMBER(SEARCH(Classifiers!$B$12,E204)),1,0))+IF(Classifiers!$C$12="",0,IF(ISNUMBER(SEARCH(Classifiers!$C$12,E204)),1,0))+IF(Classifiers!$D$12="",0,IF(ISNUMBER(SEARCH(Classifiers!$D$12,E204)),1,0))+IF(Classifiers!$E$12="",0,IF(ISNUMBER(SEARCH(Classifiers!$E$12,E204)),1,0))+IF(Classifiers!$F$12="",0,IF(ISNUMBER(SEARCH(Classifiers!$F$12,E204)),1,0))+IF(Classifiers!$G$12="",0,IF(ISNUMBER(SEARCH(Classifiers!$G$12,E204)),1,0)))&gt;0,1,0))</f>
        <v/>
      </c>
      <c r="R204" s="12">
        <f>IF(H204&lt;&gt;1,0,IF((IF(Classifiers!$B$13="",0,IF(ISNUMBER(SEARCH(Classifiers!$B$13,E204)),1,0))+IF(Classifiers!$C$13="",0,IF(ISNUMBER(SEARCH(Classifiers!$C$13,E204)),1,0))+IF(Classifiers!$D$13="",0,IF(ISNUMBER(SEARCH(Classifiers!$D$13,E204)),1,0))+IF(Classifiers!$E$13="",0,IF(ISNUMBER(SEARCH(Classifiers!$E$13,E204)),1,0))+IF(Classifiers!$F$13="",0,IF(ISNUMBER(SEARCH(Classifiers!$F$13,E204)),1,0))+IF(Classifiers!$G$13="",0,IF(ISNUMBER(SEARCH(Classifiers!$G$13,E204)),1,0)))&gt;0,1,0))</f>
        <v/>
      </c>
      <c r="S204" s="12">
        <f>IF(H204&lt;&gt;1,0,IF((IF(Classifiers!$B$14="",0,IF(ISNUMBER(SEARCH(Classifiers!$B$14,E204)),1,0))+IF(Classifiers!$C$14="",0,IF(ISNUMBER(SEARCH(Classifiers!$C$14,E204)),1,0))+IF(Classifiers!$D$14="",0,IF(ISNUMBER(SEARCH(Classifiers!$D$14,E204)),1,0))+IF(Classifiers!$E$14="",0,IF(ISNUMBER(SEARCH(Classifiers!$E$14,E204)),1,0))+IF(Classifiers!$F$14="",0,IF(ISNUMBER(SEARCH(Classifiers!$F$14,E204)),1,0))+IF(Classifiers!$G$14="",0,IF(ISNUMBER(SEARCH(Classifiers!$G$14,E204)),1,0)))&gt;0,1,0))</f>
        <v/>
      </c>
      <c r="T204" s="12">
        <f>IF(H204&lt;&gt;1,0,IF((IF(Classifiers!$B$15="",0,IF(ISNUMBER(SEARCH(Classifiers!$B$15,E204)),1,0))+IF(Classifiers!$C$15="",0,IF(ISNUMBER(SEARCH(Classifiers!$C$15,E204)),1,0))+IF(Classifiers!$D$15="",0,IF(ISNUMBER(SEARCH(Classifiers!$D$15,E204)),1,0))+IF(Classifiers!$E$15="",0,IF(ISNUMBER(SEARCH(Classifiers!$E$15,E204)),1,0))+IF(Classifiers!$F$15="",0,IF(ISNUMBER(SEARCH(Classifiers!$F$15,E204)),1,0))+IF(Classifiers!$G$15="",0,IF(ISNUMBER(SEARCH(Classifiers!$G$15,E204)),1,0)))&gt;0,1,0))</f>
        <v/>
      </c>
      <c r="U204" s="12">
        <f>IF(H204&lt;&gt;1,0,IF((IF(Classifiers!$B$16="",0,IF(ISNUMBER(SEARCH(Classifiers!$B$16,E204)),1,0))+IF(Classifiers!$C$16="",0,IF(ISNUMBER(SEARCH(Classifiers!$C$16,E204)),1,0))+IF(Classifiers!$D$16="",0,IF(ISNUMBER(SEARCH(Classifiers!$D$16,E204)),1,0))+IF(Classifiers!$E$16="",0,IF(ISNUMBER(SEARCH(Classifiers!$E$16,E204)),1,0))+IF(Classifiers!$F$16="",0,IF(ISNUMBER(SEARCH(Classifiers!$F$16,E204)),1,0))+IF(Classifiers!$G$16="",0,IF(ISNUMBER(SEARCH(Classifiers!$G$16,E204)),1,0)))&gt;0,1,0))</f>
        <v/>
      </c>
      <c r="V204" s="12">
        <f>IF(H204&lt;&gt;1,0,IF((IF(Classifiers!$B$17="",0,IF(ISNUMBER(SEARCH(Classifiers!$B$17,E204)),1,0))+IF(Classifiers!$C$17="",0,IF(ISNUMBER(SEARCH(Classifiers!$C$17,E204)),1,0))+IF(Classifiers!$D$17="",0,IF(ISNUMBER(SEARCH(Classifiers!$D$17,E204)),1,0))+IF(Classifiers!$E$17="",0,IF(ISNUMBER(SEARCH(Classifiers!$E$17,E204)),1,0))+IF(Classifiers!$F$17="",0,IF(ISNUMBER(SEARCH(Classifiers!$F$17,E204)),1,0))+IF(Classifiers!$G$17="",0,IF(ISNUMBER(SEARCH(Classifiers!$G$17,E204)),1,0)))&gt;0,1,0))</f>
        <v/>
      </c>
      <c r="W204" s="12">
        <f>IF(H204&lt;&gt;1,0,IF((IF(Classifiers!$B$18="",0,IF(ISNUMBER(SEARCH(Classifiers!$B$18,E204)),1,0))+IF(Classifiers!$C$18="",0,IF(ISNUMBER(SEARCH(Classifiers!$C$18,E204)),1,0))+IF(Classifiers!$D$18="",0,IF(ISNUMBER(SEARCH(Classifiers!$D$18,E204)),1,0))+IF(Classifiers!$E$18="",0,IF(ISNUMBER(SEARCH(Classifiers!$E$18,E204)),1,0))+IF(Classifiers!$F$18="",0,IF(ISNUMBER(SEARCH(Classifiers!$F$18,E204)),1,0))+IF(Classifiers!$G$18="",0,IF(ISNUMBER(SEARCH(Classifiers!$G$18,E204)),1,0)))&gt;0,1,0))</f>
        <v/>
      </c>
    </row>
    <row r="205">
      <c r="A205" s="8" t="n"/>
      <c r="B205" s="11" t="n"/>
      <c r="C205" s="6">
        <f>IF(A205="","",TRIM(RIGHT(SUBSTITUTE(A205,"/",REPT(" ",250)),250)))</f>
        <v/>
      </c>
      <c r="D205" s="6">
        <f>IF(C205="","",IF(ISNUMBER(SEARCH(".",C205)),LOWER("."&amp;TRIM(RIGHT(SUBSTITUTE(C205,".",REPT(" ",250)),250))),""))</f>
        <v/>
      </c>
      <c r="E205" s="6">
        <f>IF(C205="","",TRIM(SUBSTITUTE(SUBSTITUTE(SUBSTITUTE(SUBSTITUTE(SUBSTITUTE(SUBSTITUTE(SUBSTITUTE(SUBSTITUTE(SUBSTITUTE(SUBSTITUTE(SUBSTITUTE(SUBSTITUTE(SUBSTITUTE(SUBSTITUTE(SUBSTITUTE(SUBSTITUTE(SUBSTITUTE(SUBSTITUTE(SUBSTITUTE(SUBSTITUTE(LOWER(LEFT(C205,LEN(C205)-LEN(D205))),"_"," "),"-"," "),"."," "),","," "),"("," "),")"," "),"["," "),"]"," "),"&amp;"," "),"+"," "),"@"," "),"#"," "),"!"," "),"'"," "),"/"," "),":"," "),";"," "),"="," "),"~"," "),"%"," ")))</f>
        <v/>
      </c>
      <c r="F205" s="6">
        <f>IF(C205="","",IF(COUNTIF(Classifiers!$A$23:$A$40,D205)&gt;0,1,0))</f>
        <v/>
      </c>
      <c r="G205" s="6">
        <f>IF(C205="","",IF(COUNTIF(Classifiers!$C$23:$C$30,D205)&gt;0,IF((IF(ISNUMBER(SEARCH(Classifiers!$E$23,E205)),1,0)+IF(ISNUMBER(SEARCH(Classifiers!$E$24,E205)),1,0)+IF(ISNUMBER(SEARCH(Classifiers!$E$25,E205)),1,0)+IF(ISNUMBER(SEARCH(Classifiers!$E$26,E205)),1,0)+IF(ISNUMBER(SEARCH(Classifiers!$E$27,E205)),1,0)+IF(ISNUMBER(SEARCH(Classifiers!$E$28,E205)),1,0)+IF(ISNUMBER(SEARCH(Classifiers!$E$29,E205)),1,0)+IF(ISNUMBER(SEARCH(Classifiers!$E$30,E205)),1,0))&gt;0,1,0),0))</f>
        <v/>
      </c>
      <c r="H205" s="6">
        <f>IF(C205="","",IF(OR(LEFT(C205,1)=".",AND(F205=0,G205=0)),0,1))</f>
        <v/>
      </c>
      <c r="I205" s="6">
        <f>IF(H205&lt;&gt;1,"",IF(SUM(J205:W205)=0,"unclassified",INDEX(Classifiers!$A$5:$A$18,MATCH(1,J205:W205,0),1)))</f>
        <v/>
      </c>
      <c r="J205" s="12">
        <f>IF(H205&lt;&gt;1,0,IF((IF(Classifiers!$B$5="",0,IF(ISNUMBER(SEARCH(Classifiers!$B$5,E205)),1,0))+IF(Classifiers!$C$5="",0,IF(ISNUMBER(SEARCH(Classifiers!$C$5,E205)),1,0))+IF(Classifiers!$D$5="",0,IF(ISNUMBER(SEARCH(Classifiers!$D$5,E205)),1,0))+IF(Classifiers!$E$5="",0,IF(ISNUMBER(SEARCH(Classifiers!$E$5,E205)),1,0))+IF(Classifiers!$F$5="",0,IF(ISNUMBER(SEARCH(Classifiers!$F$5,E205)),1,0))+IF(Classifiers!$G$5="",0,IF(ISNUMBER(SEARCH(Classifiers!$G$5,E205)),1,0)))&gt;0,1,0))</f>
        <v/>
      </c>
      <c r="K205" s="12">
        <f>IF(H205&lt;&gt;1,0,IF((IF(Classifiers!$B$6="",0,IF(ISNUMBER(SEARCH(Classifiers!$B$6,E205)),1,0))+IF(Classifiers!$C$6="",0,IF(ISNUMBER(SEARCH(Classifiers!$C$6,E205)),1,0))+IF(Classifiers!$D$6="",0,IF(ISNUMBER(SEARCH(Classifiers!$D$6,E205)),1,0))+IF(Classifiers!$E$6="",0,IF(ISNUMBER(SEARCH(Classifiers!$E$6,E205)),1,0))+IF(Classifiers!$F$6="",0,IF(ISNUMBER(SEARCH(Classifiers!$F$6,E205)),1,0))+IF(Classifiers!$G$6="",0,IF(ISNUMBER(SEARCH(Classifiers!$G$6,E205)),1,0)))&gt;0,1,0))</f>
        <v/>
      </c>
      <c r="L205" s="12">
        <f>IF(H205&lt;&gt;1,0,IF((IF(Classifiers!$B$7="",0,IF(ISNUMBER(SEARCH(Classifiers!$B$7,E205)),1,0))+IF(Classifiers!$C$7="",0,IF(ISNUMBER(SEARCH(Classifiers!$C$7,E205)),1,0))+IF(Classifiers!$D$7="",0,IF(ISNUMBER(SEARCH(Classifiers!$D$7,E205)),1,0))+IF(Classifiers!$E$7="",0,IF(ISNUMBER(SEARCH(Classifiers!$E$7,E205)),1,0))+IF(Classifiers!$F$7="",0,IF(ISNUMBER(SEARCH(Classifiers!$F$7,E205)),1,0))+IF(Classifiers!$G$7="",0,IF(ISNUMBER(SEARCH(Classifiers!$G$7,E205)),1,0)))&gt;0,1,0))</f>
        <v/>
      </c>
      <c r="M205" s="12">
        <f>IF(H205&lt;&gt;1,0,IF((IF(Classifiers!$B$8="",0,IF(ISNUMBER(SEARCH(Classifiers!$B$8,E205)),1,0))+IF(Classifiers!$C$8="",0,IF(ISNUMBER(SEARCH(Classifiers!$C$8,E205)),1,0))+IF(Classifiers!$D$8="",0,IF(ISNUMBER(SEARCH(Classifiers!$D$8,E205)),1,0))+IF(Classifiers!$E$8="",0,IF(ISNUMBER(SEARCH(Classifiers!$E$8,E205)),1,0))+IF(Classifiers!$F$8="",0,IF(ISNUMBER(SEARCH(Classifiers!$F$8,E205)),1,0))+IF(Classifiers!$G$8="",0,IF(ISNUMBER(SEARCH(Classifiers!$G$8,E205)),1,0)))&gt;0,1,0))</f>
        <v/>
      </c>
      <c r="N205" s="12">
        <f>IF(H205&lt;&gt;1,0,IF((IF(Classifiers!$B$9="",0,IF(ISNUMBER(SEARCH(Classifiers!$B$9,E205)),1,0))+IF(Classifiers!$C$9="",0,IF(ISNUMBER(SEARCH(Classifiers!$C$9,E205)),1,0))+IF(Classifiers!$D$9="",0,IF(ISNUMBER(SEARCH(Classifiers!$D$9,E205)),1,0))+IF(Classifiers!$E$9="",0,IF(ISNUMBER(SEARCH(Classifiers!$E$9,E205)),1,0))+IF(Classifiers!$F$9="",0,IF(ISNUMBER(SEARCH(Classifiers!$F$9,E205)),1,0))+IF(Classifiers!$G$9="",0,IF(ISNUMBER(SEARCH(Classifiers!$G$9,E205)),1,0)))&gt;0,1,0))</f>
        <v/>
      </c>
      <c r="O205" s="12">
        <f>IF(H205&lt;&gt;1,0,IF((IF(Classifiers!$B$10="",0,IF(ISNUMBER(SEARCH(Classifiers!$B$10,E205)),1,0))+IF(Classifiers!$C$10="",0,IF(ISNUMBER(SEARCH(Classifiers!$C$10,E205)),1,0))+IF(Classifiers!$D$10="",0,IF(ISNUMBER(SEARCH(Classifiers!$D$10,E205)),1,0))+IF(Classifiers!$E$10="",0,IF(ISNUMBER(SEARCH(Classifiers!$E$10,E205)),1,0))+IF(Classifiers!$F$10="",0,IF(ISNUMBER(SEARCH(Classifiers!$F$10,E205)),1,0))+IF(Classifiers!$G$10="",0,IF(ISNUMBER(SEARCH(Classifiers!$G$10,E205)),1,0)))&gt;0,1,0))</f>
        <v/>
      </c>
      <c r="P205" s="12">
        <f>IF(H205&lt;&gt;1,0,IF((IF(Classifiers!$B$11="",0,IF(ISNUMBER(SEARCH(Classifiers!$B$11,E205)),1,0))+IF(Classifiers!$C$11="",0,IF(ISNUMBER(SEARCH(Classifiers!$C$11,E205)),1,0))+IF(Classifiers!$D$11="",0,IF(ISNUMBER(SEARCH(Classifiers!$D$11,E205)),1,0))+IF(Classifiers!$E$11="",0,IF(ISNUMBER(SEARCH(Classifiers!$E$11,E205)),1,0))+IF(Classifiers!$F$11="",0,IF(ISNUMBER(SEARCH(Classifiers!$F$11,E205)),1,0))+IF(Classifiers!$G$11="",0,IF(ISNUMBER(SEARCH(Classifiers!$G$11,E205)),1,0)))&gt;0,1,0))</f>
        <v/>
      </c>
      <c r="Q205" s="12">
        <f>IF(H205&lt;&gt;1,0,IF((IF(Classifiers!$B$12="",0,IF(ISNUMBER(SEARCH(Classifiers!$B$12,E205)),1,0))+IF(Classifiers!$C$12="",0,IF(ISNUMBER(SEARCH(Classifiers!$C$12,E205)),1,0))+IF(Classifiers!$D$12="",0,IF(ISNUMBER(SEARCH(Classifiers!$D$12,E205)),1,0))+IF(Classifiers!$E$12="",0,IF(ISNUMBER(SEARCH(Classifiers!$E$12,E205)),1,0))+IF(Classifiers!$F$12="",0,IF(ISNUMBER(SEARCH(Classifiers!$F$12,E205)),1,0))+IF(Classifiers!$G$12="",0,IF(ISNUMBER(SEARCH(Classifiers!$G$12,E205)),1,0)))&gt;0,1,0))</f>
        <v/>
      </c>
      <c r="R205" s="12">
        <f>IF(H205&lt;&gt;1,0,IF((IF(Classifiers!$B$13="",0,IF(ISNUMBER(SEARCH(Classifiers!$B$13,E205)),1,0))+IF(Classifiers!$C$13="",0,IF(ISNUMBER(SEARCH(Classifiers!$C$13,E205)),1,0))+IF(Classifiers!$D$13="",0,IF(ISNUMBER(SEARCH(Classifiers!$D$13,E205)),1,0))+IF(Classifiers!$E$13="",0,IF(ISNUMBER(SEARCH(Classifiers!$E$13,E205)),1,0))+IF(Classifiers!$F$13="",0,IF(ISNUMBER(SEARCH(Classifiers!$F$13,E205)),1,0))+IF(Classifiers!$G$13="",0,IF(ISNUMBER(SEARCH(Classifiers!$G$13,E205)),1,0)))&gt;0,1,0))</f>
        <v/>
      </c>
      <c r="S205" s="12">
        <f>IF(H205&lt;&gt;1,0,IF((IF(Classifiers!$B$14="",0,IF(ISNUMBER(SEARCH(Classifiers!$B$14,E205)),1,0))+IF(Classifiers!$C$14="",0,IF(ISNUMBER(SEARCH(Classifiers!$C$14,E205)),1,0))+IF(Classifiers!$D$14="",0,IF(ISNUMBER(SEARCH(Classifiers!$D$14,E205)),1,0))+IF(Classifiers!$E$14="",0,IF(ISNUMBER(SEARCH(Classifiers!$E$14,E205)),1,0))+IF(Classifiers!$F$14="",0,IF(ISNUMBER(SEARCH(Classifiers!$F$14,E205)),1,0))+IF(Classifiers!$G$14="",0,IF(ISNUMBER(SEARCH(Classifiers!$G$14,E205)),1,0)))&gt;0,1,0))</f>
        <v/>
      </c>
      <c r="T205" s="12">
        <f>IF(H205&lt;&gt;1,0,IF((IF(Classifiers!$B$15="",0,IF(ISNUMBER(SEARCH(Classifiers!$B$15,E205)),1,0))+IF(Classifiers!$C$15="",0,IF(ISNUMBER(SEARCH(Classifiers!$C$15,E205)),1,0))+IF(Classifiers!$D$15="",0,IF(ISNUMBER(SEARCH(Classifiers!$D$15,E205)),1,0))+IF(Classifiers!$E$15="",0,IF(ISNUMBER(SEARCH(Classifiers!$E$15,E205)),1,0))+IF(Classifiers!$F$15="",0,IF(ISNUMBER(SEARCH(Classifiers!$F$15,E205)),1,0))+IF(Classifiers!$G$15="",0,IF(ISNUMBER(SEARCH(Classifiers!$G$15,E205)),1,0)))&gt;0,1,0))</f>
        <v/>
      </c>
      <c r="U205" s="12">
        <f>IF(H205&lt;&gt;1,0,IF((IF(Classifiers!$B$16="",0,IF(ISNUMBER(SEARCH(Classifiers!$B$16,E205)),1,0))+IF(Classifiers!$C$16="",0,IF(ISNUMBER(SEARCH(Classifiers!$C$16,E205)),1,0))+IF(Classifiers!$D$16="",0,IF(ISNUMBER(SEARCH(Classifiers!$D$16,E205)),1,0))+IF(Classifiers!$E$16="",0,IF(ISNUMBER(SEARCH(Classifiers!$E$16,E205)),1,0))+IF(Classifiers!$F$16="",0,IF(ISNUMBER(SEARCH(Classifiers!$F$16,E205)),1,0))+IF(Classifiers!$G$16="",0,IF(ISNUMBER(SEARCH(Classifiers!$G$16,E205)),1,0)))&gt;0,1,0))</f>
        <v/>
      </c>
      <c r="V205" s="12">
        <f>IF(H205&lt;&gt;1,0,IF((IF(Classifiers!$B$17="",0,IF(ISNUMBER(SEARCH(Classifiers!$B$17,E205)),1,0))+IF(Classifiers!$C$17="",0,IF(ISNUMBER(SEARCH(Classifiers!$C$17,E205)),1,0))+IF(Classifiers!$D$17="",0,IF(ISNUMBER(SEARCH(Classifiers!$D$17,E205)),1,0))+IF(Classifiers!$E$17="",0,IF(ISNUMBER(SEARCH(Classifiers!$E$17,E205)),1,0))+IF(Classifiers!$F$17="",0,IF(ISNUMBER(SEARCH(Classifiers!$F$17,E205)),1,0))+IF(Classifiers!$G$17="",0,IF(ISNUMBER(SEARCH(Classifiers!$G$17,E205)),1,0)))&gt;0,1,0))</f>
        <v/>
      </c>
      <c r="W205" s="12">
        <f>IF(H205&lt;&gt;1,0,IF((IF(Classifiers!$B$18="",0,IF(ISNUMBER(SEARCH(Classifiers!$B$18,E205)),1,0))+IF(Classifiers!$C$18="",0,IF(ISNUMBER(SEARCH(Classifiers!$C$18,E205)),1,0))+IF(Classifiers!$D$18="",0,IF(ISNUMBER(SEARCH(Classifiers!$D$18,E205)),1,0))+IF(Classifiers!$E$18="",0,IF(ISNUMBER(SEARCH(Classifiers!$E$18,E205)),1,0))+IF(Classifiers!$F$18="",0,IF(ISNUMBER(SEARCH(Classifiers!$F$18,E205)),1,0))+IF(Classifiers!$G$18="",0,IF(ISNUMBER(SEARCH(Classifiers!$G$18,E205)),1,0)))&gt;0,1,0))</f>
        <v/>
      </c>
    </row>
    <row r="206">
      <c r="A206" s="8" t="n"/>
      <c r="B206" s="11" t="n"/>
      <c r="C206" s="6">
        <f>IF(A206="","",TRIM(RIGHT(SUBSTITUTE(A206,"/",REPT(" ",250)),250)))</f>
        <v/>
      </c>
      <c r="D206" s="6">
        <f>IF(C206="","",IF(ISNUMBER(SEARCH(".",C206)),LOWER("."&amp;TRIM(RIGHT(SUBSTITUTE(C206,".",REPT(" ",250)),250))),""))</f>
        <v/>
      </c>
      <c r="E206" s="6">
        <f>IF(C206="","",TRIM(SUBSTITUTE(SUBSTITUTE(SUBSTITUTE(SUBSTITUTE(SUBSTITUTE(SUBSTITUTE(SUBSTITUTE(SUBSTITUTE(SUBSTITUTE(SUBSTITUTE(SUBSTITUTE(SUBSTITUTE(SUBSTITUTE(SUBSTITUTE(SUBSTITUTE(SUBSTITUTE(SUBSTITUTE(SUBSTITUTE(SUBSTITUTE(SUBSTITUTE(LOWER(LEFT(C206,LEN(C206)-LEN(D206))),"_"," "),"-"," "),"."," "),","," "),"("," "),")"," "),"["," "),"]"," "),"&amp;"," "),"+"," "),"@"," "),"#"," "),"!"," "),"'"," "),"/"," "),":"," "),";"," "),"="," "),"~"," "),"%"," ")))</f>
        <v/>
      </c>
      <c r="F206" s="6">
        <f>IF(C206="","",IF(COUNTIF(Classifiers!$A$23:$A$40,D206)&gt;0,1,0))</f>
        <v/>
      </c>
      <c r="G206" s="6">
        <f>IF(C206="","",IF(COUNTIF(Classifiers!$C$23:$C$30,D206)&gt;0,IF((IF(ISNUMBER(SEARCH(Classifiers!$E$23,E206)),1,0)+IF(ISNUMBER(SEARCH(Classifiers!$E$24,E206)),1,0)+IF(ISNUMBER(SEARCH(Classifiers!$E$25,E206)),1,0)+IF(ISNUMBER(SEARCH(Classifiers!$E$26,E206)),1,0)+IF(ISNUMBER(SEARCH(Classifiers!$E$27,E206)),1,0)+IF(ISNUMBER(SEARCH(Classifiers!$E$28,E206)),1,0)+IF(ISNUMBER(SEARCH(Classifiers!$E$29,E206)),1,0)+IF(ISNUMBER(SEARCH(Classifiers!$E$30,E206)),1,0))&gt;0,1,0),0))</f>
        <v/>
      </c>
      <c r="H206" s="6">
        <f>IF(C206="","",IF(OR(LEFT(C206,1)=".",AND(F206=0,G206=0)),0,1))</f>
        <v/>
      </c>
      <c r="I206" s="6">
        <f>IF(H206&lt;&gt;1,"",IF(SUM(J206:W206)=0,"unclassified",INDEX(Classifiers!$A$5:$A$18,MATCH(1,J206:W206,0),1)))</f>
        <v/>
      </c>
      <c r="J206" s="12">
        <f>IF(H206&lt;&gt;1,0,IF((IF(Classifiers!$B$5="",0,IF(ISNUMBER(SEARCH(Classifiers!$B$5,E206)),1,0))+IF(Classifiers!$C$5="",0,IF(ISNUMBER(SEARCH(Classifiers!$C$5,E206)),1,0))+IF(Classifiers!$D$5="",0,IF(ISNUMBER(SEARCH(Classifiers!$D$5,E206)),1,0))+IF(Classifiers!$E$5="",0,IF(ISNUMBER(SEARCH(Classifiers!$E$5,E206)),1,0))+IF(Classifiers!$F$5="",0,IF(ISNUMBER(SEARCH(Classifiers!$F$5,E206)),1,0))+IF(Classifiers!$G$5="",0,IF(ISNUMBER(SEARCH(Classifiers!$G$5,E206)),1,0)))&gt;0,1,0))</f>
        <v/>
      </c>
      <c r="K206" s="12">
        <f>IF(H206&lt;&gt;1,0,IF((IF(Classifiers!$B$6="",0,IF(ISNUMBER(SEARCH(Classifiers!$B$6,E206)),1,0))+IF(Classifiers!$C$6="",0,IF(ISNUMBER(SEARCH(Classifiers!$C$6,E206)),1,0))+IF(Classifiers!$D$6="",0,IF(ISNUMBER(SEARCH(Classifiers!$D$6,E206)),1,0))+IF(Classifiers!$E$6="",0,IF(ISNUMBER(SEARCH(Classifiers!$E$6,E206)),1,0))+IF(Classifiers!$F$6="",0,IF(ISNUMBER(SEARCH(Classifiers!$F$6,E206)),1,0))+IF(Classifiers!$G$6="",0,IF(ISNUMBER(SEARCH(Classifiers!$G$6,E206)),1,0)))&gt;0,1,0))</f>
        <v/>
      </c>
      <c r="L206" s="12">
        <f>IF(H206&lt;&gt;1,0,IF((IF(Classifiers!$B$7="",0,IF(ISNUMBER(SEARCH(Classifiers!$B$7,E206)),1,0))+IF(Classifiers!$C$7="",0,IF(ISNUMBER(SEARCH(Classifiers!$C$7,E206)),1,0))+IF(Classifiers!$D$7="",0,IF(ISNUMBER(SEARCH(Classifiers!$D$7,E206)),1,0))+IF(Classifiers!$E$7="",0,IF(ISNUMBER(SEARCH(Classifiers!$E$7,E206)),1,0))+IF(Classifiers!$F$7="",0,IF(ISNUMBER(SEARCH(Classifiers!$F$7,E206)),1,0))+IF(Classifiers!$G$7="",0,IF(ISNUMBER(SEARCH(Classifiers!$G$7,E206)),1,0)))&gt;0,1,0))</f>
        <v/>
      </c>
      <c r="M206" s="12">
        <f>IF(H206&lt;&gt;1,0,IF((IF(Classifiers!$B$8="",0,IF(ISNUMBER(SEARCH(Classifiers!$B$8,E206)),1,0))+IF(Classifiers!$C$8="",0,IF(ISNUMBER(SEARCH(Classifiers!$C$8,E206)),1,0))+IF(Classifiers!$D$8="",0,IF(ISNUMBER(SEARCH(Classifiers!$D$8,E206)),1,0))+IF(Classifiers!$E$8="",0,IF(ISNUMBER(SEARCH(Classifiers!$E$8,E206)),1,0))+IF(Classifiers!$F$8="",0,IF(ISNUMBER(SEARCH(Classifiers!$F$8,E206)),1,0))+IF(Classifiers!$G$8="",0,IF(ISNUMBER(SEARCH(Classifiers!$G$8,E206)),1,0)))&gt;0,1,0))</f>
        <v/>
      </c>
      <c r="N206" s="12">
        <f>IF(H206&lt;&gt;1,0,IF((IF(Classifiers!$B$9="",0,IF(ISNUMBER(SEARCH(Classifiers!$B$9,E206)),1,0))+IF(Classifiers!$C$9="",0,IF(ISNUMBER(SEARCH(Classifiers!$C$9,E206)),1,0))+IF(Classifiers!$D$9="",0,IF(ISNUMBER(SEARCH(Classifiers!$D$9,E206)),1,0))+IF(Classifiers!$E$9="",0,IF(ISNUMBER(SEARCH(Classifiers!$E$9,E206)),1,0))+IF(Classifiers!$F$9="",0,IF(ISNUMBER(SEARCH(Classifiers!$F$9,E206)),1,0))+IF(Classifiers!$G$9="",0,IF(ISNUMBER(SEARCH(Classifiers!$G$9,E206)),1,0)))&gt;0,1,0))</f>
        <v/>
      </c>
      <c r="O206" s="12">
        <f>IF(H206&lt;&gt;1,0,IF((IF(Classifiers!$B$10="",0,IF(ISNUMBER(SEARCH(Classifiers!$B$10,E206)),1,0))+IF(Classifiers!$C$10="",0,IF(ISNUMBER(SEARCH(Classifiers!$C$10,E206)),1,0))+IF(Classifiers!$D$10="",0,IF(ISNUMBER(SEARCH(Classifiers!$D$10,E206)),1,0))+IF(Classifiers!$E$10="",0,IF(ISNUMBER(SEARCH(Classifiers!$E$10,E206)),1,0))+IF(Classifiers!$F$10="",0,IF(ISNUMBER(SEARCH(Classifiers!$F$10,E206)),1,0))+IF(Classifiers!$G$10="",0,IF(ISNUMBER(SEARCH(Classifiers!$G$10,E206)),1,0)))&gt;0,1,0))</f>
        <v/>
      </c>
      <c r="P206" s="12">
        <f>IF(H206&lt;&gt;1,0,IF((IF(Classifiers!$B$11="",0,IF(ISNUMBER(SEARCH(Classifiers!$B$11,E206)),1,0))+IF(Classifiers!$C$11="",0,IF(ISNUMBER(SEARCH(Classifiers!$C$11,E206)),1,0))+IF(Classifiers!$D$11="",0,IF(ISNUMBER(SEARCH(Classifiers!$D$11,E206)),1,0))+IF(Classifiers!$E$11="",0,IF(ISNUMBER(SEARCH(Classifiers!$E$11,E206)),1,0))+IF(Classifiers!$F$11="",0,IF(ISNUMBER(SEARCH(Classifiers!$F$11,E206)),1,0))+IF(Classifiers!$G$11="",0,IF(ISNUMBER(SEARCH(Classifiers!$G$11,E206)),1,0)))&gt;0,1,0))</f>
        <v/>
      </c>
      <c r="Q206" s="12">
        <f>IF(H206&lt;&gt;1,0,IF((IF(Classifiers!$B$12="",0,IF(ISNUMBER(SEARCH(Classifiers!$B$12,E206)),1,0))+IF(Classifiers!$C$12="",0,IF(ISNUMBER(SEARCH(Classifiers!$C$12,E206)),1,0))+IF(Classifiers!$D$12="",0,IF(ISNUMBER(SEARCH(Classifiers!$D$12,E206)),1,0))+IF(Classifiers!$E$12="",0,IF(ISNUMBER(SEARCH(Classifiers!$E$12,E206)),1,0))+IF(Classifiers!$F$12="",0,IF(ISNUMBER(SEARCH(Classifiers!$F$12,E206)),1,0))+IF(Classifiers!$G$12="",0,IF(ISNUMBER(SEARCH(Classifiers!$G$12,E206)),1,0)))&gt;0,1,0))</f>
        <v/>
      </c>
      <c r="R206" s="12">
        <f>IF(H206&lt;&gt;1,0,IF((IF(Classifiers!$B$13="",0,IF(ISNUMBER(SEARCH(Classifiers!$B$13,E206)),1,0))+IF(Classifiers!$C$13="",0,IF(ISNUMBER(SEARCH(Classifiers!$C$13,E206)),1,0))+IF(Classifiers!$D$13="",0,IF(ISNUMBER(SEARCH(Classifiers!$D$13,E206)),1,0))+IF(Classifiers!$E$13="",0,IF(ISNUMBER(SEARCH(Classifiers!$E$13,E206)),1,0))+IF(Classifiers!$F$13="",0,IF(ISNUMBER(SEARCH(Classifiers!$F$13,E206)),1,0))+IF(Classifiers!$G$13="",0,IF(ISNUMBER(SEARCH(Classifiers!$G$13,E206)),1,0)))&gt;0,1,0))</f>
        <v/>
      </c>
      <c r="S206" s="12">
        <f>IF(H206&lt;&gt;1,0,IF((IF(Classifiers!$B$14="",0,IF(ISNUMBER(SEARCH(Classifiers!$B$14,E206)),1,0))+IF(Classifiers!$C$14="",0,IF(ISNUMBER(SEARCH(Classifiers!$C$14,E206)),1,0))+IF(Classifiers!$D$14="",0,IF(ISNUMBER(SEARCH(Classifiers!$D$14,E206)),1,0))+IF(Classifiers!$E$14="",0,IF(ISNUMBER(SEARCH(Classifiers!$E$14,E206)),1,0))+IF(Classifiers!$F$14="",0,IF(ISNUMBER(SEARCH(Classifiers!$F$14,E206)),1,0))+IF(Classifiers!$G$14="",0,IF(ISNUMBER(SEARCH(Classifiers!$G$14,E206)),1,0)))&gt;0,1,0))</f>
        <v/>
      </c>
      <c r="T206" s="12">
        <f>IF(H206&lt;&gt;1,0,IF((IF(Classifiers!$B$15="",0,IF(ISNUMBER(SEARCH(Classifiers!$B$15,E206)),1,0))+IF(Classifiers!$C$15="",0,IF(ISNUMBER(SEARCH(Classifiers!$C$15,E206)),1,0))+IF(Classifiers!$D$15="",0,IF(ISNUMBER(SEARCH(Classifiers!$D$15,E206)),1,0))+IF(Classifiers!$E$15="",0,IF(ISNUMBER(SEARCH(Classifiers!$E$15,E206)),1,0))+IF(Classifiers!$F$15="",0,IF(ISNUMBER(SEARCH(Classifiers!$F$15,E206)),1,0))+IF(Classifiers!$G$15="",0,IF(ISNUMBER(SEARCH(Classifiers!$G$15,E206)),1,0)))&gt;0,1,0))</f>
        <v/>
      </c>
      <c r="U206" s="12">
        <f>IF(H206&lt;&gt;1,0,IF((IF(Classifiers!$B$16="",0,IF(ISNUMBER(SEARCH(Classifiers!$B$16,E206)),1,0))+IF(Classifiers!$C$16="",0,IF(ISNUMBER(SEARCH(Classifiers!$C$16,E206)),1,0))+IF(Classifiers!$D$16="",0,IF(ISNUMBER(SEARCH(Classifiers!$D$16,E206)),1,0))+IF(Classifiers!$E$16="",0,IF(ISNUMBER(SEARCH(Classifiers!$E$16,E206)),1,0))+IF(Classifiers!$F$16="",0,IF(ISNUMBER(SEARCH(Classifiers!$F$16,E206)),1,0))+IF(Classifiers!$G$16="",0,IF(ISNUMBER(SEARCH(Classifiers!$G$16,E206)),1,0)))&gt;0,1,0))</f>
        <v/>
      </c>
      <c r="V206" s="12">
        <f>IF(H206&lt;&gt;1,0,IF((IF(Classifiers!$B$17="",0,IF(ISNUMBER(SEARCH(Classifiers!$B$17,E206)),1,0))+IF(Classifiers!$C$17="",0,IF(ISNUMBER(SEARCH(Classifiers!$C$17,E206)),1,0))+IF(Classifiers!$D$17="",0,IF(ISNUMBER(SEARCH(Classifiers!$D$17,E206)),1,0))+IF(Classifiers!$E$17="",0,IF(ISNUMBER(SEARCH(Classifiers!$E$17,E206)),1,0))+IF(Classifiers!$F$17="",0,IF(ISNUMBER(SEARCH(Classifiers!$F$17,E206)),1,0))+IF(Classifiers!$G$17="",0,IF(ISNUMBER(SEARCH(Classifiers!$G$17,E206)),1,0)))&gt;0,1,0))</f>
        <v/>
      </c>
      <c r="W206" s="12">
        <f>IF(H206&lt;&gt;1,0,IF((IF(Classifiers!$B$18="",0,IF(ISNUMBER(SEARCH(Classifiers!$B$18,E206)),1,0))+IF(Classifiers!$C$18="",0,IF(ISNUMBER(SEARCH(Classifiers!$C$18,E206)),1,0))+IF(Classifiers!$D$18="",0,IF(ISNUMBER(SEARCH(Classifiers!$D$18,E206)),1,0))+IF(Classifiers!$E$18="",0,IF(ISNUMBER(SEARCH(Classifiers!$E$18,E206)),1,0))+IF(Classifiers!$F$18="",0,IF(ISNUMBER(SEARCH(Classifiers!$F$18,E206)),1,0))+IF(Classifiers!$G$18="",0,IF(ISNUMBER(SEARCH(Classifiers!$G$18,E206)),1,0)))&gt;0,1,0))</f>
        <v/>
      </c>
    </row>
    <row r="207">
      <c r="A207" s="8" t="n"/>
      <c r="B207" s="11" t="n"/>
      <c r="C207" s="6">
        <f>IF(A207="","",TRIM(RIGHT(SUBSTITUTE(A207,"/",REPT(" ",250)),250)))</f>
        <v/>
      </c>
      <c r="D207" s="6">
        <f>IF(C207="","",IF(ISNUMBER(SEARCH(".",C207)),LOWER("."&amp;TRIM(RIGHT(SUBSTITUTE(C207,".",REPT(" ",250)),250))),""))</f>
        <v/>
      </c>
      <c r="E207" s="6">
        <f>IF(C207="","",TRIM(SUBSTITUTE(SUBSTITUTE(SUBSTITUTE(SUBSTITUTE(SUBSTITUTE(SUBSTITUTE(SUBSTITUTE(SUBSTITUTE(SUBSTITUTE(SUBSTITUTE(SUBSTITUTE(SUBSTITUTE(SUBSTITUTE(SUBSTITUTE(SUBSTITUTE(SUBSTITUTE(SUBSTITUTE(SUBSTITUTE(SUBSTITUTE(SUBSTITUTE(LOWER(LEFT(C207,LEN(C207)-LEN(D207))),"_"," "),"-"," "),"."," "),","," "),"("," "),")"," "),"["," "),"]"," "),"&amp;"," "),"+"," "),"@"," "),"#"," "),"!"," "),"'"," "),"/"," "),":"," "),";"," "),"="," "),"~"," "),"%"," ")))</f>
        <v/>
      </c>
      <c r="F207" s="6">
        <f>IF(C207="","",IF(COUNTIF(Classifiers!$A$23:$A$40,D207)&gt;0,1,0))</f>
        <v/>
      </c>
      <c r="G207" s="6">
        <f>IF(C207="","",IF(COUNTIF(Classifiers!$C$23:$C$30,D207)&gt;0,IF((IF(ISNUMBER(SEARCH(Classifiers!$E$23,E207)),1,0)+IF(ISNUMBER(SEARCH(Classifiers!$E$24,E207)),1,0)+IF(ISNUMBER(SEARCH(Classifiers!$E$25,E207)),1,0)+IF(ISNUMBER(SEARCH(Classifiers!$E$26,E207)),1,0)+IF(ISNUMBER(SEARCH(Classifiers!$E$27,E207)),1,0)+IF(ISNUMBER(SEARCH(Classifiers!$E$28,E207)),1,0)+IF(ISNUMBER(SEARCH(Classifiers!$E$29,E207)),1,0)+IF(ISNUMBER(SEARCH(Classifiers!$E$30,E207)),1,0))&gt;0,1,0),0))</f>
        <v/>
      </c>
      <c r="H207" s="6">
        <f>IF(C207="","",IF(OR(LEFT(C207,1)=".",AND(F207=0,G207=0)),0,1))</f>
        <v/>
      </c>
      <c r="I207" s="6">
        <f>IF(H207&lt;&gt;1,"",IF(SUM(J207:W207)=0,"unclassified",INDEX(Classifiers!$A$5:$A$18,MATCH(1,J207:W207,0),1)))</f>
        <v/>
      </c>
      <c r="J207" s="12">
        <f>IF(H207&lt;&gt;1,0,IF((IF(Classifiers!$B$5="",0,IF(ISNUMBER(SEARCH(Classifiers!$B$5,E207)),1,0))+IF(Classifiers!$C$5="",0,IF(ISNUMBER(SEARCH(Classifiers!$C$5,E207)),1,0))+IF(Classifiers!$D$5="",0,IF(ISNUMBER(SEARCH(Classifiers!$D$5,E207)),1,0))+IF(Classifiers!$E$5="",0,IF(ISNUMBER(SEARCH(Classifiers!$E$5,E207)),1,0))+IF(Classifiers!$F$5="",0,IF(ISNUMBER(SEARCH(Classifiers!$F$5,E207)),1,0))+IF(Classifiers!$G$5="",0,IF(ISNUMBER(SEARCH(Classifiers!$G$5,E207)),1,0)))&gt;0,1,0))</f>
        <v/>
      </c>
      <c r="K207" s="12">
        <f>IF(H207&lt;&gt;1,0,IF((IF(Classifiers!$B$6="",0,IF(ISNUMBER(SEARCH(Classifiers!$B$6,E207)),1,0))+IF(Classifiers!$C$6="",0,IF(ISNUMBER(SEARCH(Classifiers!$C$6,E207)),1,0))+IF(Classifiers!$D$6="",0,IF(ISNUMBER(SEARCH(Classifiers!$D$6,E207)),1,0))+IF(Classifiers!$E$6="",0,IF(ISNUMBER(SEARCH(Classifiers!$E$6,E207)),1,0))+IF(Classifiers!$F$6="",0,IF(ISNUMBER(SEARCH(Classifiers!$F$6,E207)),1,0))+IF(Classifiers!$G$6="",0,IF(ISNUMBER(SEARCH(Classifiers!$G$6,E207)),1,0)))&gt;0,1,0))</f>
        <v/>
      </c>
      <c r="L207" s="12">
        <f>IF(H207&lt;&gt;1,0,IF((IF(Classifiers!$B$7="",0,IF(ISNUMBER(SEARCH(Classifiers!$B$7,E207)),1,0))+IF(Classifiers!$C$7="",0,IF(ISNUMBER(SEARCH(Classifiers!$C$7,E207)),1,0))+IF(Classifiers!$D$7="",0,IF(ISNUMBER(SEARCH(Classifiers!$D$7,E207)),1,0))+IF(Classifiers!$E$7="",0,IF(ISNUMBER(SEARCH(Classifiers!$E$7,E207)),1,0))+IF(Classifiers!$F$7="",0,IF(ISNUMBER(SEARCH(Classifiers!$F$7,E207)),1,0))+IF(Classifiers!$G$7="",0,IF(ISNUMBER(SEARCH(Classifiers!$G$7,E207)),1,0)))&gt;0,1,0))</f>
        <v/>
      </c>
      <c r="M207" s="12">
        <f>IF(H207&lt;&gt;1,0,IF((IF(Classifiers!$B$8="",0,IF(ISNUMBER(SEARCH(Classifiers!$B$8,E207)),1,0))+IF(Classifiers!$C$8="",0,IF(ISNUMBER(SEARCH(Classifiers!$C$8,E207)),1,0))+IF(Classifiers!$D$8="",0,IF(ISNUMBER(SEARCH(Classifiers!$D$8,E207)),1,0))+IF(Classifiers!$E$8="",0,IF(ISNUMBER(SEARCH(Classifiers!$E$8,E207)),1,0))+IF(Classifiers!$F$8="",0,IF(ISNUMBER(SEARCH(Classifiers!$F$8,E207)),1,0))+IF(Classifiers!$G$8="",0,IF(ISNUMBER(SEARCH(Classifiers!$G$8,E207)),1,0)))&gt;0,1,0))</f>
        <v/>
      </c>
      <c r="N207" s="12">
        <f>IF(H207&lt;&gt;1,0,IF((IF(Classifiers!$B$9="",0,IF(ISNUMBER(SEARCH(Classifiers!$B$9,E207)),1,0))+IF(Classifiers!$C$9="",0,IF(ISNUMBER(SEARCH(Classifiers!$C$9,E207)),1,0))+IF(Classifiers!$D$9="",0,IF(ISNUMBER(SEARCH(Classifiers!$D$9,E207)),1,0))+IF(Classifiers!$E$9="",0,IF(ISNUMBER(SEARCH(Classifiers!$E$9,E207)),1,0))+IF(Classifiers!$F$9="",0,IF(ISNUMBER(SEARCH(Classifiers!$F$9,E207)),1,0))+IF(Classifiers!$G$9="",0,IF(ISNUMBER(SEARCH(Classifiers!$G$9,E207)),1,0)))&gt;0,1,0))</f>
        <v/>
      </c>
      <c r="O207" s="12">
        <f>IF(H207&lt;&gt;1,0,IF((IF(Classifiers!$B$10="",0,IF(ISNUMBER(SEARCH(Classifiers!$B$10,E207)),1,0))+IF(Classifiers!$C$10="",0,IF(ISNUMBER(SEARCH(Classifiers!$C$10,E207)),1,0))+IF(Classifiers!$D$10="",0,IF(ISNUMBER(SEARCH(Classifiers!$D$10,E207)),1,0))+IF(Classifiers!$E$10="",0,IF(ISNUMBER(SEARCH(Classifiers!$E$10,E207)),1,0))+IF(Classifiers!$F$10="",0,IF(ISNUMBER(SEARCH(Classifiers!$F$10,E207)),1,0))+IF(Classifiers!$G$10="",0,IF(ISNUMBER(SEARCH(Classifiers!$G$10,E207)),1,0)))&gt;0,1,0))</f>
        <v/>
      </c>
      <c r="P207" s="12">
        <f>IF(H207&lt;&gt;1,0,IF((IF(Classifiers!$B$11="",0,IF(ISNUMBER(SEARCH(Classifiers!$B$11,E207)),1,0))+IF(Classifiers!$C$11="",0,IF(ISNUMBER(SEARCH(Classifiers!$C$11,E207)),1,0))+IF(Classifiers!$D$11="",0,IF(ISNUMBER(SEARCH(Classifiers!$D$11,E207)),1,0))+IF(Classifiers!$E$11="",0,IF(ISNUMBER(SEARCH(Classifiers!$E$11,E207)),1,0))+IF(Classifiers!$F$11="",0,IF(ISNUMBER(SEARCH(Classifiers!$F$11,E207)),1,0))+IF(Classifiers!$G$11="",0,IF(ISNUMBER(SEARCH(Classifiers!$G$11,E207)),1,0)))&gt;0,1,0))</f>
        <v/>
      </c>
      <c r="Q207" s="12">
        <f>IF(H207&lt;&gt;1,0,IF((IF(Classifiers!$B$12="",0,IF(ISNUMBER(SEARCH(Classifiers!$B$12,E207)),1,0))+IF(Classifiers!$C$12="",0,IF(ISNUMBER(SEARCH(Classifiers!$C$12,E207)),1,0))+IF(Classifiers!$D$12="",0,IF(ISNUMBER(SEARCH(Classifiers!$D$12,E207)),1,0))+IF(Classifiers!$E$12="",0,IF(ISNUMBER(SEARCH(Classifiers!$E$12,E207)),1,0))+IF(Classifiers!$F$12="",0,IF(ISNUMBER(SEARCH(Classifiers!$F$12,E207)),1,0))+IF(Classifiers!$G$12="",0,IF(ISNUMBER(SEARCH(Classifiers!$G$12,E207)),1,0)))&gt;0,1,0))</f>
        <v/>
      </c>
      <c r="R207" s="12">
        <f>IF(H207&lt;&gt;1,0,IF((IF(Classifiers!$B$13="",0,IF(ISNUMBER(SEARCH(Classifiers!$B$13,E207)),1,0))+IF(Classifiers!$C$13="",0,IF(ISNUMBER(SEARCH(Classifiers!$C$13,E207)),1,0))+IF(Classifiers!$D$13="",0,IF(ISNUMBER(SEARCH(Classifiers!$D$13,E207)),1,0))+IF(Classifiers!$E$13="",0,IF(ISNUMBER(SEARCH(Classifiers!$E$13,E207)),1,0))+IF(Classifiers!$F$13="",0,IF(ISNUMBER(SEARCH(Classifiers!$F$13,E207)),1,0))+IF(Classifiers!$G$13="",0,IF(ISNUMBER(SEARCH(Classifiers!$G$13,E207)),1,0)))&gt;0,1,0))</f>
        <v/>
      </c>
      <c r="S207" s="12">
        <f>IF(H207&lt;&gt;1,0,IF((IF(Classifiers!$B$14="",0,IF(ISNUMBER(SEARCH(Classifiers!$B$14,E207)),1,0))+IF(Classifiers!$C$14="",0,IF(ISNUMBER(SEARCH(Classifiers!$C$14,E207)),1,0))+IF(Classifiers!$D$14="",0,IF(ISNUMBER(SEARCH(Classifiers!$D$14,E207)),1,0))+IF(Classifiers!$E$14="",0,IF(ISNUMBER(SEARCH(Classifiers!$E$14,E207)),1,0))+IF(Classifiers!$F$14="",0,IF(ISNUMBER(SEARCH(Classifiers!$F$14,E207)),1,0))+IF(Classifiers!$G$14="",0,IF(ISNUMBER(SEARCH(Classifiers!$G$14,E207)),1,0)))&gt;0,1,0))</f>
        <v/>
      </c>
      <c r="T207" s="12">
        <f>IF(H207&lt;&gt;1,0,IF((IF(Classifiers!$B$15="",0,IF(ISNUMBER(SEARCH(Classifiers!$B$15,E207)),1,0))+IF(Classifiers!$C$15="",0,IF(ISNUMBER(SEARCH(Classifiers!$C$15,E207)),1,0))+IF(Classifiers!$D$15="",0,IF(ISNUMBER(SEARCH(Classifiers!$D$15,E207)),1,0))+IF(Classifiers!$E$15="",0,IF(ISNUMBER(SEARCH(Classifiers!$E$15,E207)),1,0))+IF(Classifiers!$F$15="",0,IF(ISNUMBER(SEARCH(Classifiers!$F$15,E207)),1,0))+IF(Classifiers!$G$15="",0,IF(ISNUMBER(SEARCH(Classifiers!$G$15,E207)),1,0)))&gt;0,1,0))</f>
        <v/>
      </c>
      <c r="U207" s="12">
        <f>IF(H207&lt;&gt;1,0,IF((IF(Classifiers!$B$16="",0,IF(ISNUMBER(SEARCH(Classifiers!$B$16,E207)),1,0))+IF(Classifiers!$C$16="",0,IF(ISNUMBER(SEARCH(Classifiers!$C$16,E207)),1,0))+IF(Classifiers!$D$16="",0,IF(ISNUMBER(SEARCH(Classifiers!$D$16,E207)),1,0))+IF(Classifiers!$E$16="",0,IF(ISNUMBER(SEARCH(Classifiers!$E$16,E207)),1,0))+IF(Classifiers!$F$16="",0,IF(ISNUMBER(SEARCH(Classifiers!$F$16,E207)),1,0))+IF(Classifiers!$G$16="",0,IF(ISNUMBER(SEARCH(Classifiers!$G$16,E207)),1,0)))&gt;0,1,0))</f>
        <v/>
      </c>
      <c r="V207" s="12">
        <f>IF(H207&lt;&gt;1,0,IF((IF(Classifiers!$B$17="",0,IF(ISNUMBER(SEARCH(Classifiers!$B$17,E207)),1,0))+IF(Classifiers!$C$17="",0,IF(ISNUMBER(SEARCH(Classifiers!$C$17,E207)),1,0))+IF(Classifiers!$D$17="",0,IF(ISNUMBER(SEARCH(Classifiers!$D$17,E207)),1,0))+IF(Classifiers!$E$17="",0,IF(ISNUMBER(SEARCH(Classifiers!$E$17,E207)),1,0))+IF(Classifiers!$F$17="",0,IF(ISNUMBER(SEARCH(Classifiers!$F$17,E207)),1,0))+IF(Classifiers!$G$17="",0,IF(ISNUMBER(SEARCH(Classifiers!$G$17,E207)),1,0)))&gt;0,1,0))</f>
        <v/>
      </c>
      <c r="W207" s="12">
        <f>IF(H207&lt;&gt;1,0,IF((IF(Classifiers!$B$18="",0,IF(ISNUMBER(SEARCH(Classifiers!$B$18,E207)),1,0))+IF(Classifiers!$C$18="",0,IF(ISNUMBER(SEARCH(Classifiers!$C$18,E207)),1,0))+IF(Classifiers!$D$18="",0,IF(ISNUMBER(SEARCH(Classifiers!$D$18,E207)),1,0))+IF(Classifiers!$E$18="",0,IF(ISNUMBER(SEARCH(Classifiers!$E$18,E207)),1,0))+IF(Classifiers!$F$18="",0,IF(ISNUMBER(SEARCH(Classifiers!$F$18,E207)),1,0))+IF(Classifiers!$G$18="",0,IF(ISNUMBER(SEARCH(Classifiers!$G$18,E207)),1,0)))&gt;0,1,0))</f>
        <v/>
      </c>
    </row>
    <row r="208">
      <c r="A208" s="8" t="n"/>
      <c r="B208" s="11" t="n"/>
      <c r="C208" s="6">
        <f>IF(A208="","",TRIM(RIGHT(SUBSTITUTE(A208,"/",REPT(" ",250)),250)))</f>
        <v/>
      </c>
      <c r="D208" s="6">
        <f>IF(C208="","",IF(ISNUMBER(SEARCH(".",C208)),LOWER("."&amp;TRIM(RIGHT(SUBSTITUTE(C208,".",REPT(" ",250)),250))),""))</f>
        <v/>
      </c>
      <c r="E208" s="6">
        <f>IF(C208="","",TRIM(SUBSTITUTE(SUBSTITUTE(SUBSTITUTE(SUBSTITUTE(SUBSTITUTE(SUBSTITUTE(SUBSTITUTE(SUBSTITUTE(SUBSTITUTE(SUBSTITUTE(SUBSTITUTE(SUBSTITUTE(SUBSTITUTE(SUBSTITUTE(SUBSTITUTE(SUBSTITUTE(SUBSTITUTE(SUBSTITUTE(SUBSTITUTE(SUBSTITUTE(LOWER(LEFT(C208,LEN(C208)-LEN(D208))),"_"," "),"-"," "),"."," "),","," "),"("," "),")"," "),"["," "),"]"," "),"&amp;"," "),"+"," "),"@"," "),"#"," "),"!"," "),"'"," "),"/"," "),":"," "),";"," "),"="," "),"~"," "),"%"," ")))</f>
        <v/>
      </c>
      <c r="F208" s="6">
        <f>IF(C208="","",IF(COUNTIF(Classifiers!$A$23:$A$40,D208)&gt;0,1,0))</f>
        <v/>
      </c>
      <c r="G208" s="6">
        <f>IF(C208="","",IF(COUNTIF(Classifiers!$C$23:$C$30,D208)&gt;0,IF((IF(ISNUMBER(SEARCH(Classifiers!$E$23,E208)),1,0)+IF(ISNUMBER(SEARCH(Classifiers!$E$24,E208)),1,0)+IF(ISNUMBER(SEARCH(Classifiers!$E$25,E208)),1,0)+IF(ISNUMBER(SEARCH(Classifiers!$E$26,E208)),1,0)+IF(ISNUMBER(SEARCH(Classifiers!$E$27,E208)),1,0)+IF(ISNUMBER(SEARCH(Classifiers!$E$28,E208)),1,0)+IF(ISNUMBER(SEARCH(Classifiers!$E$29,E208)),1,0)+IF(ISNUMBER(SEARCH(Classifiers!$E$30,E208)),1,0))&gt;0,1,0),0))</f>
        <v/>
      </c>
      <c r="H208" s="6">
        <f>IF(C208="","",IF(OR(LEFT(C208,1)=".",AND(F208=0,G208=0)),0,1))</f>
        <v/>
      </c>
      <c r="I208" s="6">
        <f>IF(H208&lt;&gt;1,"",IF(SUM(J208:W208)=0,"unclassified",INDEX(Classifiers!$A$5:$A$18,MATCH(1,J208:W208,0),1)))</f>
        <v/>
      </c>
      <c r="J208" s="12">
        <f>IF(H208&lt;&gt;1,0,IF((IF(Classifiers!$B$5="",0,IF(ISNUMBER(SEARCH(Classifiers!$B$5,E208)),1,0))+IF(Classifiers!$C$5="",0,IF(ISNUMBER(SEARCH(Classifiers!$C$5,E208)),1,0))+IF(Classifiers!$D$5="",0,IF(ISNUMBER(SEARCH(Classifiers!$D$5,E208)),1,0))+IF(Classifiers!$E$5="",0,IF(ISNUMBER(SEARCH(Classifiers!$E$5,E208)),1,0))+IF(Classifiers!$F$5="",0,IF(ISNUMBER(SEARCH(Classifiers!$F$5,E208)),1,0))+IF(Classifiers!$G$5="",0,IF(ISNUMBER(SEARCH(Classifiers!$G$5,E208)),1,0)))&gt;0,1,0))</f>
        <v/>
      </c>
      <c r="K208" s="12">
        <f>IF(H208&lt;&gt;1,0,IF((IF(Classifiers!$B$6="",0,IF(ISNUMBER(SEARCH(Classifiers!$B$6,E208)),1,0))+IF(Classifiers!$C$6="",0,IF(ISNUMBER(SEARCH(Classifiers!$C$6,E208)),1,0))+IF(Classifiers!$D$6="",0,IF(ISNUMBER(SEARCH(Classifiers!$D$6,E208)),1,0))+IF(Classifiers!$E$6="",0,IF(ISNUMBER(SEARCH(Classifiers!$E$6,E208)),1,0))+IF(Classifiers!$F$6="",0,IF(ISNUMBER(SEARCH(Classifiers!$F$6,E208)),1,0))+IF(Classifiers!$G$6="",0,IF(ISNUMBER(SEARCH(Classifiers!$G$6,E208)),1,0)))&gt;0,1,0))</f>
        <v/>
      </c>
      <c r="L208" s="12">
        <f>IF(H208&lt;&gt;1,0,IF((IF(Classifiers!$B$7="",0,IF(ISNUMBER(SEARCH(Classifiers!$B$7,E208)),1,0))+IF(Classifiers!$C$7="",0,IF(ISNUMBER(SEARCH(Classifiers!$C$7,E208)),1,0))+IF(Classifiers!$D$7="",0,IF(ISNUMBER(SEARCH(Classifiers!$D$7,E208)),1,0))+IF(Classifiers!$E$7="",0,IF(ISNUMBER(SEARCH(Classifiers!$E$7,E208)),1,0))+IF(Classifiers!$F$7="",0,IF(ISNUMBER(SEARCH(Classifiers!$F$7,E208)),1,0))+IF(Classifiers!$G$7="",0,IF(ISNUMBER(SEARCH(Classifiers!$G$7,E208)),1,0)))&gt;0,1,0))</f>
        <v/>
      </c>
      <c r="M208" s="12">
        <f>IF(H208&lt;&gt;1,0,IF((IF(Classifiers!$B$8="",0,IF(ISNUMBER(SEARCH(Classifiers!$B$8,E208)),1,0))+IF(Classifiers!$C$8="",0,IF(ISNUMBER(SEARCH(Classifiers!$C$8,E208)),1,0))+IF(Classifiers!$D$8="",0,IF(ISNUMBER(SEARCH(Classifiers!$D$8,E208)),1,0))+IF(Classifiers!$E$8="",0,IF(ISNUMBER(SEARCH(Classifiers!$E$8,E208)),1,0))+IF(Classifiers!$F$8="",0,IF(ISNUMBER(SEARCH(Classifiers!$F$8,E208)),1,0))+IF(Classifiers!$G$8="",0,IF(ISNUMBER(SEARCH(Classifiers!$G$8,E208)),1,0)))&gt;0,1,0))</f>
        <v/>
      </c>
      <c r="N208" s="12">
        <f>IF(H208&lt;&gt;1,0,IF((IF(Classifiers!$B$9="",0,IF(ISNUMBER(SEARCH(Classifiers!$B$9,E208)),1,0))+IF(Classifiers!$C$9="",0,IF(ISNUMBER(SEARCH(Classifiers!$C$9,E208)),1,0))+IF(Classifiers!$D$9="",0,IF(ISNUMBER(SEARCH(Classifiers!$D$9,E208)),1,0))+IF(Classifiers!$E$9="",0,IF(ISNUMBER(SEARCH(Classifiers!$E$9,E208)),1,0))+IF(Classifiers!$F$9="",0,IF(ISNUMBER(SEARCH(Classifiers!$F$9,E208)),1,0))+IF(Classifiers!$G$9="",0,IF(ISNUMBER(SEARCH(Classifiers!$G$9,E208)),1,0)))&gt;0,1,0))</f>
        <v/>
      </c>
      <c r="O208" s="12">
        <f>IF(H208&lt;&gt;1,0,IF((IF(Classifiers!$B$10="",0,IF(ISNUMBER(SEARCH(Classifiers!$B$10,E208)),1,0))+IF(Classifiers!$C$10="",0,IF(ISNUMBER(SEARCH(Classifiers!$C$10,E208)),1,0))+IF(Classifiers!$D$10="",0,IF(ISNUMBER(SEARCH(Classifiers!$D$10,E208)),1,0))+IF(Classifiers!$E$10="",0,IF(ISNUMBER(SEARCH(Classifiers!$E$10,E208)),1,0))+IF(Classifiers!$F$10="",0,IF(ISNUMBER(SEARCH(Classifiers!$F$10,E208)),1,0))+IF(Classifiers!$G$10="",0,IF(ISNUMBER(SEARCH(Classifiers!$G$10,E208)),1,0)))&gt;0,1,0))</f>
        <v/>
      </c>
      <c r="P208" s="12">
        <f>IF(H208&lt;&gt;1,0,IF((IF(Classifiers!$B$11="",0,IF(ISNUMBER(SEARCH(Classifiers!$B$11,E208)),1,0))+IF(Classifiers!$C$11="",0,IF(ISNUMBER(SEARCH(Classifiers!$C$11,E208)),1,0))+IF(Classifiers!$D$11="",0,IF(ISNUMBER(SEARCH(Classifiers!$D$11,E208)),1,0))+IF(Classifiers!$E$11="",0,IF(ISNUMBER(SEARCH(Classifiers!$E$11,E208)),1,0))+IF(Classifiers!$F$11="",0,IF(ISNUMBER(SEARCH(Classifiers!$F$11,E208)),1,0))+IF(Classifiers!$G$11="",0,IF(ISNUMBER(SEARCH(Classifiers!$G$11,E208)),1,0)))&gt;0,1,0))</f>
        <v/>
      </c>
      <c r="Q208" s="12">
        <f>IF(H208&lt;&gt;1,0,IF((IF(Classifiers!$B$12="",0,IF(ISNUMBER(SEARCH(Classifiers!$B$12,E208)),1,0))+IF(Classifiers!$C$12="",0,IF(ISNUMBER(SEARCH(Classifiers!$C$12,E208)),1,0))+IF(Classifiers!$D$12="",0,IF(ISNUMBER(SEARCH(Classifiers!$D$12,E208)),1,0))+IF(Classifiers!$E$12="",0,IF(ISNUMBER(SEARCH(Classifiers!$E$12,E208)),1,0))+IF(Classifiers!$F$12="",0,IF(ISNUMBER(SEARCH(Classifiers!$F$12,E208)),1,0))+IF(Classifiers!$G$12="",0,IF(ISNUMBER(SEARCH(Classifiers!$G$12,E208)),1,0)))&gt;0,1,0))</f>
        <v/>
      </c>
      <c r="R208" s="12">
        <f>IF(H208&lt;&gt;1,0,IF((IF(Classifiers!$B$13="",0,IF(ISNUMBER(SEARCH(Classifiers!$B$13,E208)),1,0))+IF(Classifiers!$C$13="",0,IF(ISNUMBER(SEARCH(Classifiers!$C$13,E208)),1,0))+IF(Classifiers!$D$13="",0,IF(ISNUMBER(SEARCH(Classifiers!$D$13,E208)),1,0))+IF(Classifiers!$E$13="",0,IF(ISNUMBER(SEARCH(Classifiers!$E$13,E208)),1,0))+IF(Classifiers!$F$13="",0,IF(ISNUMBER(SEARCH(Classifiers!$F$13,E208)),1,0))+IF(Classifiers!$G$13="",0,IF(ISNUMBER(SEARCH(Classifiers!$G$13,E208)),1,0)))&gt;0,1,0))</f>
        <v/>
      </c>
      <c r="S208" s="12">
        <f>IF(H208&lt;&gt;1,0,IF((IF(Classifiers!$B$14="",0,IF(ISNUMBER(SEARCH(Classifiers!$B$14,E208)),1,0))+IF(Classifiers!$C$14="",0,IF(ISNUMBER(SEARCH(Classifiers!$C$14,E208)),1,0))+IF(Classifiers!$D$14="",0,IF(ISNUMBER(SEARCH(Classifiers!$D$14,E208)),1,0))+IF(Classifiers!$E$14="",0,IF(ISNUMBER(SEARCH(Classifiers!$E$14,E208)),1,0))+IF(Classifiers!$F$14="",0,IF(ISNUMBER(SEARCH(Classifiers!$F$14,E208)),1,0))+IF(Classifiers!$G$14="",0,IF(ISNUMBER(SEARCH(Classifiers!$G$14,E208)),1,0)))&gt;0,1,0))</f>
        <v/>
      </c>
      <c r="T208" s="12">
        <f>IF(H208&lt;&gt;1,0,IF((IF(Classifiers!$B$15="",0,IF(ISNUMBER(SEARCH(Classifiers!$B$15,E208)),1,0))+IF(Classifiers!$C$15="",0,IF(ISNUMBER(SEARCH(Classifiers!$C$15,E208)),1,0))+IF(Classifiers!$D$15="",0,IF(ISNUMBER(SEARCH(Classifiers!$D$15,E208)),1,0))+IF(Classifiers!$E$15="",0,IF(ISNUMBER(SEARCH(Classifiers!$E$15,E208)),1,0))+IF(Classifiers!$F$15="",0,IF(ISNUMBER(SEARCH(Classifiers!$F$15,E208)),1,0))+IF(Classifiers!$G$15="",0,IF(ISNUMBER(SEARCH(Classifiers!$G$15,E208)),1,0)))&gt;0,1,0))</f>
        <v/>
      </c>
      <c r="U208" s="12">
        <f>IF(H208&lt;&gt;1,0,IF((IF(Classifiers!$B$16="",0,IF(ISNUMBER(SEARCH(Classifiers!$B$16,E208)),1,0))+IF(Classifiers!$C$16="",0,IF(ISNUMBER(SEARCH(Classifiers!$C$16,E208)),1,0))+IF(Classifiers!$D$16="",0,IF(ISNUMBER(SEARCH(Classifiers!$D$16,E208)),1,0))+IF(Classifiers!$E$16="",0,IF(ISNUMBER(SEARCH(Classifiers!$E$16,E208)),1,0))+IF(Classifiers!$F$16="",0,IF(ISNUMBER(SEARCH(Classifiers!$F$16,E208)),1,0))+IF(Classifiers!$G$16="",0,IF(ISNUMBER(SEARCH(Classifiers!$G$16,E208)),1,0)))&gt;0,1,0))</f>
        <v/>
      </c>
      <c r="V208" s="12">
        <f>IF(H208&lt;&gt;1,0,IF((IF(Classifiers!$B$17="",0,IF(ISNUMBER(SEARCH(Classifiers!$B$17,E208)),1,0))+IF(Classifiers!$C$17="",0,IF(ISNUMBER(SEARCH(Classifiers!$C$17,E208)),1,0))+IF(Classifiers!$D$17="",0,IF(ISNUMBER(SEARCH(Classifiers!$D$17,E208)),1,0))+IF(Classifiers!$E$17="",0,IF(ISNUMBER(SEARCH(Classifiers!$E$17,E208)),1,0))+IF(Classifiers!$F$17="",0,IF(ISNUMBER(SEARCH(Classifiers!$F$17,E208)),1,0))+IF(Classifiers!$G$17="",0,IF(ISNUMBER(SEARCH(Classifiers!$G$17,E208)),1,0)))&gt;0,1,0))</f>
        <v/>
      </c>
      <c r="W208" s="12">
        <f>IF(H208&lt;&gt;1,0,IF((IF(Classifiers!$B$18="",0,IF(ISNUMBER(SEARCH(Classifiers!$B$18,E208)),1,0))+IF(Classifiers!$C$18="",0,IF(ISNUMBER(SEARCH(Classifiers!$C$18,E208)),1,0))+IF(Classifiers!$D$18="",0,IF(ISNUMBER(SEARCH(Classifiers!$D$18,E208)),1,0))+IF(Classifiers!$E$18="",0,IF(ISNUMBER(SEARCH(Classifiers!$E$18,E208)),1,0))+IF(Classifiers!$F$18="",0,IF(ISNUMBER(SEARCH(Classifiers!$F$18,E208)),1,0))+IF(Classifiers!$G$18="",0,IF(ISNUMBER(SEARCH(Classifiers!$G$18,E208)),1,0)))&gt;0,1,0))</f>
        <v/>
      </c>
    </row>
    <row r="209">
      <c r="A209" s="8" t="n"/>
      <c r="B209" s="11" t="n"/>
      <c r="C209" s="6">
        <f>IF(A209="","",TRIM(RIGHT(SUBSTITUTE(A209,"/",REPT(" ",250)),250)))</f>
        <v/>
      </c>
      <c r="D209" s="6">
        <f>IF(C209="","",IF(ISNUMBER(SEARCH(".",C209)),LOWER("."&amp;TRIM(RIGHT(SUBSTITUTE(C209,".",REPT(" ",250)),250))),""))</f>
        <v/>
      </c>
      <c r="E209" s="6">
        <f>IF(C209="","",TRIM(SUBSTITUTE(SUBSTITUTE(SUBSTITUTE(SUBSTITUTE(SUBSTITUTE(SUBSTITUTE(SUBSTITUTE(SUBSTITUTE(SUBSTITUTE(SUBSTITUTE(SUBSTITUTE(SUBSTITUTE(SUBSTITUTE(SUBSTITUTE(SUBSTITUTE(SUBSTITUTE(SUBSTITUTE(SUBSTITUTE(SUBSTITUTE(SUBSTITUTE(LOWER(LEFT(C209,LEN(C209)-LEN(D209))),"_"," "),"-"," "),"."," "),","," "),"("," "),")"," "),"["," "),"]"," "),"&amp;"," "),"+"," "),"@"," "),"#"," "),"!"," "),"'"," "),"/"," "),":"," "),";"," "),"="," "),"~"," "),"%"," ")))</f>
        <v/>
      </c>
      <c r="F209" s="6">
        <f>IF(C209="","",IF(COUNTIF(Classifiers!$A$23:$A$40,D209)&gt;0,1,0))</f>
        <v/>
      </c>
      <c r="G209" s="6">
        <f>IF(C209="","",IF(COUNTIF(Classifiers!$C$23:$C$30,D209)&gt;0,IF((IF(ISNUMBER(SEARCH(Classifiers!$E$23,E209)),1,0)+IF(ISNUMBER(SEARCH(Classifiers!$E$24,E209)),1,0)+IF(ISNUMBER(SEARCH(Classifiers!$E$25,E209)),1,0)+IF(ISNUMBER(SEARCH(Classifiers!$E$26,E209)),1,0)+IF(ISNUMBER(SEARCH(Classifiers!$E$27,E209)),1,0)+IF(ISNUMBER(SEARCH(Classifiers!$E$28,E209)),1,0)+IF(ISNUMBER(SEARCH(Classifiers!$E$29,E209)),1,0)+IF(ISNUMBER(SEARCH(Classifiers!$E$30,E209)),1,0))&gt;0,1,0),0))</f>
        <v/>
      </c>
      <c r="H209" s="6">
        <f>IF(C209="","",IF(OR(LEFT(C209,1)=".",AND(F209=0,G209=0)),0,1))</f>
        <v/>
      </c>
      <c r="I209" s="6">
        <f>IF(H209&lt;&gt;1,"",IF(SUM(J209:W209)=0,"unclassified",INDEX(Classifiers!$A$5:$A$18,MATCH(1,J209:W209,0),1)))</f>
        <v/>
      </c>
      <c r="J209" s="12">
        <f>IF(H209&lt;&gt;1,0,IF((IF(Classifiers!$B$5="",0,IF(ISNUMBER(SEARCH(Classifiers!$B$5,E209)),1,0))+IF(Classifiers!$C$5="",0,IF(ISNUMBER(SEARCH(Classifiers!$C$5,E209)),1,0))+IF(Classifiers!$D$5="",0,IF(ISNUMBER(SEARCH(Classifiers!$D$5,E209)),1,0))+IF(Classifiers!$E$5="",0,IF(ISNUMBER(SEARCH(Classifiers!$E$5,E209)),1,0))+IF(Classifiers!$F$5="",0,IF(ISNUMBER(SEARCH(Classifiers!$F$5,E209)),1,0))+IF(Classifiers!$G$5="",0,IF(ISNUMBER(SEARCH(Classifiers!$G$5,E209)),1,0)))&gt;0,1,0))</f>
        <v/>
      </c>
      <c r="K209" s="12">
        <f>IF(H209&lt;&gt;1,0,IF((IF(Classifiers!$B$6="",0,IF(ISNUMBER(SEARCH(Classifiers!$B$6,E209)),1,0))+IF(Classifiers!$C$6="",0,IF(ISNUMBER(SEARCH(Classifiers!$C$6,E209)),1,0))+IF(Classifiers!$D$6="",0,IF(ISNUMBER(SEARCH(Classifiers!$D$6,E209)),1,0))+IF(Classifiers!$E$6="",0,IF(ISNUMBER(SEARCH(Classifiers!$E$6,E209)),1,0))+IF(Classifiers!$F$6="",0,IF(ISNUMBER(SEARCH(Classifiers!$F$6,E209)),1,0))+IF(Classifiers!$G$6="",0,IF(ISNUMBER(SEARCH(Classifiers!$G$6,E209)),1,0)))&gt;0,1,0))</f>
        <v/>
      </c>
      <c r="L209" s="12">
        <f>IF(H209&lt;&gt;1,0,IF((IF(Classifiers!$B$7="",0,IF(ISNUMBER(SEARCH(Classifiers!$B$7,E209)),1,0))+IF(Classifiers!$C$7="",0,IF(ISNUMBER(SEARCH(Classifiers!$C$7,E209)),1,0))+IF(Classifiers!$D$7="",0,IF(ISNUMBER(SEARCH(Classifiers!$D$7,E209)),1,0))+IF(Classifiers!$E$7="",0,IF(ISNUMBER(SEARCH(Classifiers!$E$7,E209)),1,0))+IF(Classifiers!$F$7="",0,IF(ISNUMBER(SEARCH(Classifiers!$F$7,E209)),1,0))+IF(Classifiers!$G$7="",0,IF(ISNUMBER(SEARCH(Classifiers!$G$7,E209)),1,0)))&gt;0,1,0))</f>
        <v/>
      </c>
      <c r="M209" s="12">
        <f>IF(H209&lt;&gt;1,0,IF((IF(Classifiers!$B$8="",0,IF(ISNUMBER(SEARCH(Classifiers!$B$8,E209)),1,0))+IF(Classifiers!$C$8="",0,IF(ISNUMBER(SEARCH(Classifiers!$C$8,E209)),1,0))+IF(Classifiers!$D$8="",0,IF(ISNUMBER(SEARCH(Classifiers!$D$8,E209)),1,0))+IF(Classifiers!$E$8="",0,IF(ISNUMBER(SEARCH(Classifiers!$E$8,E209)),1,0))+IF(Classifiers!$F$8="",0,IF(ISNUMBER(SEARCH(Classifiers!$F$8,E209)),1,0))+IF(Classifiers!$G$8="",0,IF(ISNUMBER(SEARCH(Classifiers!$G$8,E209)),1,0)))&gt;0,1,0))</f>
        <v/>
      </c>
      <c r="N209" s="12">
        <f>IF(H209&lt;&gt;1,0,IF((IF(Classifiers!$B$9="",0,IF(ISNUMBER(SEARCH(Classifiers!$B$9,E209)),1,0))+IF(Classifiers!$C$9="",0,IF(ISNUMBER(SEARCH(Classifiers!$C$9,E209)),1,0))+IF(Classifiers!$D$9="",0,IF(ISNUMBER(SEARCH(Classifiers!$D$9,E209)),1,0))+IF(Classifiers!$E$9="",0,IF(ISNUMBER(SEARCH(Classifiers!$E$9,E209)),1,0))+IF(Classifiers!$F$9="",0,IF(ISNUMBER(SEARCH(Classifiers!$F$9,E209)),1,0))+IF(Classifiers!$G$9="",0,IF(ISNUMBER(SEARCH(Classifiers!$G$9,E209)),1,0)))&gt;0,1,0))</f>
        <v/>
      </c>
      <c r="O209" s="12">
        <f>IF(H209&lt;&gt;1,0,IF((IF(Classifiers!$B$10="",0,IF(ISNUMBER(SEARCH(Classifiers!$B$10,E209)),1,0))+IF(Classifiers!$C$10="",0,IF(ISNUMBER(SEARCH(Classifiers!$C$10,E209)),1,0))+IF(Classifiers!$D$10="",0,IF(ISNUMBER(SEARCH(Classifiers!$D$10,E209)),1,0))+IF(Classifiers!$E$10="",0,IF(ISNUMBER(SEARCH(Classifiers!$E$10,E209)),1,0))+IF(Classifiers!$F$10="",0,IF(ISNUMBER(SEARCH(Classifiers!$F$10,E209)),1,0))+IF(Classifiers!$G$10="",0,IF(ISNUMBER(SEARCH(Classifiers!$G$10,E209)),1,0)))&gt;0,1,0))</f>
        <v/>
      </c>
      <c r="P209" s="12">
        <f>IF(H209&lt;&gt;1,0,IF((IF(Classifiers!$B$11="",0,IF(ISNUMBER(SEARCH(Classifiers!$B$11,E209)),1,0))+IF(Classifiers!$C$11="",0,IF(ISNUMBER(SEARCH(Classifiers!$C$11,E209)),1,0))+IF(Classifiers!$D$11="",0,IF(ISNUMBER(SEARCH(Classifiers!$D$11,E209)),1,0))+IF(Classifiers!$E$11="",0,IF(ISNUMBER(SEARCH(Classifiers!$E$11,E209)),1,0))+IF(Classifiers!$F$11="",0,IF(ISNUMBER(SEARCH(Classifiers!$F$11,E209)),1,0))+IF(Classifiers!$G$11="",0,IF(ISNUMBER(SEARCH(Classifiers!$G$11,E209)),1,0)))&gt;0,1,0))</f>
        <v/>
      </c>
      <c r="Q209" s="12">
        <f>IF(H209&lt;&gt;1,0,IF((IF(Classifiers!$B$12="",0,IF(ISNUMBER(SEARCH(Classifiers!$B$12,E209)),1,0))+IF(Classifiers!$C$12="",0,IF(ISNUMBER(SEARCH(Classifiers!$C$12,E209)),1,0))+IF(Classifiers!$D$12="",0,IF(ISNUMBER(SEARCH(Classifiers!$D$12,E209)),1,0))+IF(Classifiers!$E$12="",0,IF(ISNUMBER(SEARCH(Classifiers!$E$12,E209)),1,0))+IF(Classifiers!$F$12="",0,IF(ISNUMBER(SEARCH(Classifiers!$F$12,E209)),1,0))+IF(Classifiers!$G$12="",0,IF(ISNUMBER(SEARCH(Classifiers!$G$12,E209)),1,0)))&gt;0,1,0))</f>
        <v/>
      </c>
      <c r="R209" s="12">
        <f>IF(H209&lt;&gt;1,0,IF((IF(Classifiers!$B$13="",0,IF(ISNUMBER(SEARCH(Classifiers!$B$13,E209)),1,0))+IF(Classifiers!$C$13="",0,IF(ISNUMBER(SEARCH(Classifiers!$C$13,E209)),1,0))+IF(Classifiers!$D$13="",0,IF(ISNUMBER(SEARCH(Classifiers!$D$13,E209)),1,0))+IF(Classifiers!$E$13="",0,IF(ISNUMBER(SEARCH(Classifiers!$E$13,E209)),1,0))+IF(Classifiers!$F$13="",0,IF(ISNUMBER(SEARCH(Classifiers!$F$13,E209)),1,0))+IF(Classifiers!$G$13="",0,IF(ISNUMBER(SEARCH(Classifiers!$G$13,E209)),1,0)))&gt;0,1,0))</f>
        <v/>
      </c>
      <c r="S209" s="12">
        <f>IF(H209&lt;&gt;1,0,IF((IF(Classifiers!$B$14="",0,IF(ISNUMBER(SEARCH(Classifiers!$B$14,E209)),1,0))+IF(Classifiers!$C$14="",0,IF(ISNUMBER(SEARCH(Classifiers!$C$14,E209)),1,0))+IF(Classifiers!$D$14="",0,IF(ISNUMBER(SEARCH(Classifiers!$D$14,E209)),1,0))+IF(Classifiers!$E$14="",0,IF(ISNUMBER(SEARCH(Classifiers!$E$14,E209)),1,0))+IF(Classifiers!$F$14="",0,IF(ISNUMBER(SEARCH(Classifiers!$F$14,E209)),1,0))+IF(Classifiers!$G$14="",0,IF(ISNUMBER(SEARCH(Classifiers!$G$14,E209)),1,0)))&gt;0,1,0))</f>
        <v/>
      </c>
      <c r="T209" s="12">
        <f>IF(H209&lt;&gt;1,0,IF((IF(Classifiers!$B$15="",0,IF(ISNUMBER(SEARCH(Classifiers!$B$15,E209)),1,0))+IF(Classifiers!$C$15="",0,IF(ISNUMBER(SEARCH(Classifiers!$C$15,E209)),1,0))+IF(Classifiers!$D$15="",0,IF(ISNUMBER(SEARCH(Classifiers!$D$15,E209)),1,0))+IF(Classifiers!$E$15="",0,IF(ISNUMBER(SEARCH(Classifiers!$E$15,E209)),1,0))+IF(Classifiers!$F$15="",0,IF(ISNUMBER(SEARCH(Classifiers!$F$15,E209)),1,0))+IF(Classifiers!$G$15="",0,IF(ISNUMBER(SEARCH(Classifiers!$G$15,E209)),1,0)))&gt;0,1,0))</f>
        <v/>
      </c>
      <c r="U209" s="12">
        <f>IF(H209&lt;&gt;1,0,IF((IF(Classifiers!$B$16="",0,IF(ISNUMBER(SEARCH(Classifiers!$B$16,E209)),1,0))+IF(Classifiers!$C$16="",0,IF(ISNUMBER(SEARCH(Classifiers!$C$16,E209)),1,0))+IF(Classifiers!$D$16="",0,IF(ISNUMBER(SEARCH(Classifiers!$D$16,E209)),1,0))+IF(Classifiers!$E$16="",0,IF(ISNUMBER(SEARCH(Classifiers!$E$16,E209)),1,0))+IF(Classifiers!$F$16="",0,IF(ISNUMBER(SEARCH(Classifiers!$F$16,E209)),1,0))+IF(Classifiers!$G$16="",0,IF(ISNUMBER(SEARCH(Classifiers!$G$16,E209)),1,0)))&gt;0,1,0))</f>
        <v/>
      </c>
      <c r="V209" s="12">
        <f>IF(H209&lt;&gt;1,0,IF((IF(Classifiers!$B$17="",0,IF(ISNUMBER(SEARCH(Classifiers!$B$17,E209)),1,0))+IF(Classifiers!$C$17="",0,IF(ISNUMBER(SEARCH(Classifiers!$C$17,E209)),1,0))+IF(Classifiers!$D$17="",0,IF(ISNUMBER(SEARCH(Classifiers!$D$17,E209)),1,0))+IF(Classifiers!$E$17="",0,IF(ISNUMBER(SEARCH(Classifiers!$E$17,E209)),1,0))+IF(Classifiers!$F$17="",0,IF(ISNUMBER(SEARCH(Classifiers!$F$17,E209)),1,0))+IF(Classifiers!$G$17="",0,IF(ISNUMBER(SEARCH(Classifiers!$G$17,E209)),1,0)))&gt;0,1,0))</f>
        <v/>
      </c>
      <c r="W209" s="12">
        <f>IF(H209&lt;&gt;1,0,IF((IF(Classifiers!$B$18="",0,IF(ISNUMBER(SEARCH(Classifiers!$B$18,E209)),1,0))+IF(Classifiers!$C$18="",0,IF(ISNUMBER(SEARCH(Classifiers!$C$18,E209)),1,0))+IF(Classifiers!$D$18="",0,IF(ISNUMBER(SEARCH(Classifiers!$D$18,E209)),1,0))+IF(Classifiers!$E$18="",0,IF(ISNUMBER(SEARCH(Classifiers!$E$18,E209)),1,0))+IF(Classifiers!$F$18="",0,IF(ISNUMBER(SEARCH(Classifiers!$F$18,E209)),1,0))+IF(Classifiers!$G$18="",0,IF(ISNUMBER(SEARCH(Classifiers!$G$18,E209)),1,0)))&gt;0,1,0))</f>
        <v/>
      </c>
    </row>
    <row r="210">
      <c r="A210" s="8" t="n"/>
      <c r="B210" s="11" t="n"/>
      <c r="C210" s="6">
        <f>IF(A210="","",TRIM(RIGHT(SUBSTITUTE(A210,"/",REPT(" ",250)),250)))</f>
        <v/>
      </c>
      <c r="D210" s="6">
        <f>IF(C210="","",IF(ISNUMBER(SEARCH(".",C210)),LOWER("."&amp;TRIM(RIGHT(SUBSTITUTE(C210,".",REPT(" ",250)),250))),""))</f>
        <v/>
      </c>
      <c r="E210" s="6">
        <f>IF(C210="","",TRIM(SUBSTITUTE(SUBSTITUTE(SUBSTITUTE(SUBSTITUTE(SUBSTITUTE(SUBSTITUTE(SUBSTITUTE(SUBSTITUTE(SUBSTITUTE(SUBSTITUTE(SUBSTITUTE(SUBSTITUTE(SUBSTITUTE(SUBSTITUTE(SUBSTITUTE(SUBSTITUTE(SUBSTITUTE(SUBSTITUTE(SUBSTITUTE(SUBSTITUTE(LOWER(LEFT(C210,LEN(C210)-LEN(D210))),"_"," "),"-"," "),"."," "),","," "),"("," "),")"," "),"["," "),"]"," "),"&amp;"," "),"+"," "),"@"," "),"#"," "),"!"," "),"'"," "),"/"," "),":"," "),";"," "),"="," "),"~"," "),"%"," ")))</f>
        <v/>
      </c>
      <c r="F210" s="6">
        <f>IF(C210="","",IF(COUNTIF(Classifiers!$A$23:$A$40,D210)&gt;0,1,0))</f>
        <v/>
      </c>
      <c r="G210" s="6">
        <f>IF(C210="","",IF(COUNTIF(Classifiers!$C$23:$C$30,D210)&gt;0,IF((IF(ISNUMBER(SEARCH(Classifiers!$E$23,E210)),1,0)+IF(ISNUMBER(SEARCH(Classifiers!$E$24,E210)),1,0)+IF(ISNUMBER(SEARCH(Classifiers!$E$25,E210)),1,0)+IF(ISNUMBER(SEARCH(Classifiers!$E$26,E210)),1,0)+IF(ISNUMBER(SEARCH(Classifiers!$E$27,E210)),1,0)+IF(ISNUMBER(SEARCH(Classifiers!$E$28,E210)),1,0)+IF(ISNUMBER(SEARCH(Classifiers!$E$29,E210)),1,0)+IF(ISNUMBER(SEARCH(Classifiers!$E$30,E210)),1,0))&gt;0,1,0),0))</f>
        <v/>
      </c>
      <c r="H210" s="6">
        <f>IF(C210="","",IF(OR(LEFT(C210,1)=".",AND(F210=0,G210=0)),0,1))</f>
        <v/>
      </c>
      <c r="I210" s="6">
        <f>IF(H210&lt;&gt;1,"",IF(SUM(J210:W210)=0,"unclassified",INDEX(Classifiers!$A$5:$A$18,MATCH(1,J210:W210,0),1)))</f>
        <v/>
      </c>
      <c r="J210" s="12">
        <f>IF(H210&lt;&gt;1,0,IF((IF(Classifiers!$B$5="",0,IF(ISNUMBER(SEARCH(Classifiers!$B$5,E210)),1,0))+IF(Classifiers!$C$5="",0,IF(ISNUMBER(SEARCH(Classifiers!$C$5,E210)),1,0))+IF(Classifiers!$D$5="",0,IF(ISNUMBER(SEARCH(Classifiers!$D$5,E210)),1,0))+IF(Classifiers!$E$5="",0,IF(ISNUMBER(SEARCH(Classifiers!$E$5,E210)),1,0))+IF(Classifiers!$F$5="",0,IF(ISNUMBER(SEARCH(Classifiers!$F$5,E210)),1,0))+IF(Classifiers!$G$5="",0,IF(ISNUMBER(SEARCH(Classifiers!$G$5,E210)),1,0)))&gt;0,1,0))</f>
        <v/>
      </c>
      <c r="K210" s="12">
        <f>IF(H210&lt;&gt;1,0,IF((IF(Classifiers!$B$6="",0,IF(ISNUMBER(SEARCH(Classifiers!$B$6,E210)),1,0))+IF(Classifiers!$C$6="",0,IF(ISNUMBER(SEARCH(Classifiers!$C$6,E210)),1,0))+IF(Classifiers!$D$6="",0,IF(ISNUMBER(SEARCH(Classifiers!$D$6,E210)),1,0))+IF(Classifiers!$E$6="",0,IF(ISNUMBER(SEARCH(Classifiers!$E$6,E210)),1,0))+IF(Classifiers!$F$6="",0,IF(ISNUMBER(SEARCH(Classifiers!$F$6,E210)),1,0))+IF(Classifiers!$G$6="",0,IF(ISNUMBER(SEARCH(Classifiers!$G$6,E210)),1,0)))&gt;0,1,0))</f>
        <v/>
      </c>
      <c r="L210" s="12">
        <f>IF(H210&lt;&gt;1,0,IF((IF(Classifiers!$B$7="",0,IF(ISNUMBER(SEARCH(Classifiers!$B$7,E210)),1,0))+IF(Classifiers!$C$7="",0,IF(ISNUMBER(SEARCH(Classifiers!$C$7,E210)),1,0))+IF(Classifiers!$D$7="",0,IF(ISNUMBER(SEARCH(Classifiers!$D$7,E210)),1,0))+IF(Classifiers!$E$7="",0,IF(ISNUMBER(SEARCH(Classifiers!$E$7,E210)),1,0))+IF(Classifiers!$F$7="",0,IF(ISNUMBER(SEARCH(Classifiers!$F$7,E210)),1,0))+IF(Classifiers!$G$7="",0,IF(ISNUMBER(SEARCH(Classifiers!$G$7,E210)),1,0)))&gt;0,1,0))</f>
        <v/>
      </c>
      <c r="M210" s="12">
        <f>IF(H210&lt;&gt;1,0,IF((IF(Classifiers!$B$8="",0,IF(ISNUMBER(SEARCH(Classifiers!$B$8,E210)),1,0))+IF(Classifiers!$C$8="",0,IF(ISNUMBER(SEARCH(Classifiers!$C$8,E210)),1,0))+IF(Classifiers!$D$8="",0,IF(ISNUMBER(SEARCH(Classifiers!$D$8,E210)),1,0))+IF(Classifiers!$E$8="",0,IF(ISNUMBER(SEARCH(Classifiers!$E$8,E210)),1,0))+IF(Classifiers!$F$8="",0,IF(ISNUMBER(SEARCH(Classifiers!$F$8,E210)),1,0))+IF(Classifiers!$G$8="",0,IF(ISNUMBER(SEARCH(Classifiers!$G$8,E210)),1,0)))&gt;0,1,0))</f>
        <v/>
      </c>
      <c r="N210" s="12">
        <f>IF(H210&lt;&gt;1,0,IF((IF(Classifiers!$B$9="",0,IF(ISNUMBER(SEARCH(Classifiers!$B$9,E210)),1,0))+IF(Classifiers!$C$9="",0,IF(ISNUMBER(SEARCH(Classifiers!$C$9,E210)),1,0))+IF(Classifiers!$D$9="",0,IF(ISNUMBER(SEARCH(Classifiers!$D$9,E210)),1,0))+IF(Classifiers!$E$9="",0,IF(ISNUMBER(SEARCH(Classifiers!$E$9,E210)),1,0))+IF(Classifiers!$F$9="",0,IF(ISNUMBER(SEARCH(Classifiers!$F$9,E210)),1,0))+IF(Classifiers!$G$9="",0,IF(ISNUMBER(SEARCH(Classifiers!$G$9,E210)),1,0)))&gt;0,1,0))</f>
        <v/>
      </c>
      <c r="O210" s="12">
        <f>IF(H210&lt;&gt;1,0,IF((IF(Classifiers!$B$10="",0,IF(ISNUMBER(SEARCH(Classifiers!$B$10,E210)),1,0))+IF(Classifiers!$C$10="",0,IF(ISNUMBER(SEARCH(Classifiers!$C$10,E210)),1,0))+IF(Classifiers!$D$10="",0,IF(ISNUMBER(SEARCH(Classifiers!$D$10,E210)),1,0))+IF(Classifiers!$E$10="",0,IF(ISNUMBER(SEARCH(Classifiers!$E$10,E210)),1,0))+IF(Classifiers!$F$10="",0,IF(ISNUMBER(SEARCH(Classifiers!$F$10,E210)),1,0))+IF(Classifiers!$G$10="",0,IF(ISNUMBER(SEARCH(Classifiers!$G$10,E210)),1,0)))&gt;0,1,0))</f>
        <v/>
      </c>
      <c r="P210" s="12">
        <f>IF(H210&lt;&gt;1,0,IF((IF(Classifiers!$B$11="",0,IF(ISNUMBER(SEARCH(Classifiers!$B$11,E210)),1,0))+IF(Classifiers!$C$11="",0,IF(ISNUMBER(SEARCH(Classifiers!$C$11,E210)),1,0))+IF(Classifiers!$D$11="",0,IF(ISNUMBER(SEARCH(Classifiers!$D$11,E210)),1,0))+IF(Classifiers!$E$11="",0,IF(ISNUMBER(SEARCH(Classifiers!$E$11,E210)),1,0))+IF(Classifiers!$F$11="",0,IF(ISNUMBER(SEARCH(Classifiers!$F$11,E210)),1,0))+IF(Classifiers!$G$11="",0,IF(ISNUMBER(SEARCH(Classifiers!$G$11,E210)),1,0)))&gt;0,1,0))</f>
        <v/>
      </c>
      <c r="Q210" s="12">
        <f>IF(H210&lt;&gt;1,0,IF((IF(Classifiers!$B$12="",0,IF(ISNUMBER(SEARCH(Classifiers!$B$12,E210)),1,0))+IF(Classifiers!$C$12="",0,IF(ISNUMBER(SEARCH(Classifiers!$C$12,E210)),1,0))+IF(Classifiers!$D$12="",0,IF(ISNUMBER(SEARCH(Classifiers!$D$12,E210)),1,0))+IF(Classifiers!$E$12="",0,IF(ISNUMBER(SEARCH(Classifiers!$E$12,E210)),1,0))+IF(Classifiers!$F$12="",0,IF(ISNUMBER(SEARCH(Classifiers!$F$12,E210)),1,0))+IF(Classifiers!$G$12="",0,IF(ISNUMBER(SEARCH(Classifiers!$G$12,E210)),1,0)))&gt;0,1,0))</f>
        <v/>
      </c>
      <c r="R210" s="12">
        <f>IF(H210&lt;&gt;1,0,IF((IF(Classifiers!$B$13="",0,IF(ISNUMBER(SEARCH(Classifiers!$B$13,E210)),1,0))+IF(Classifiers!$C$13="",0,IF(ISNUMBER(SEARCH(Classifiers!$C$13,E210)),1,0))+IF(Classifiers!$D$13="",0,IF(ISNUMBER(SEARCH(Classifiers!$D$13,E210)),1,0))+IF(Classifiers!$E$13="",0,IF(ISNUMBER(SEARCH(Classifiers!$E$13,E210)),1,0))+IF(Classifiers!$F$13="",0,IF(ISNUMBER(SEARCH(Classifiers!$F$13,E210)),1,0))+IF(Classifiers!$G$13="",0,IF(ISNUMBER(SEARCH(Classifiers!$G$13,E210)),1,0)))&gt;0,1,0))</f>
        <v/>
      </c>
      <c r="S210" s="12">
        <f>IF(H210&lt;&gt;1,0,IF((IF(Classifiers!$B$14="",0,IF(ISNUMBER(SEARCH(Classifiers!$B$14,E210)),1,0))+IF(Classifiers!$C$14="",0,IF(ISNUMBER(SEARCH(Classifiers!$C$14,E210)),1,0))+IF(Classifiers!$D$14="",0,IF(ISNUMBER(SEARCH(Classifiers!$D$14,E210)),1,0))+IF(Classifiers!$E$14="",0,IF(ISNUMBER(SEARCH(Classifiers!$E$14,E210)),1,0))+IF(Classifiers!$F$14="",0,IF(ISNUMBER(SEARCH(Classifiers!$F$14,E210)),1,0))+IF(Classifiers!$G$14="",0,IF(ISNUMBER(SEARCH(Classifiers!$G$14,E210)),1,0)))&gt;0,1,0))</f>
        <v/>
      </c>
      <c r="T210" s="12">
        <f>IF(H210&lt;&gt;1,0,IF((IF(Classifiers!$B$15="",0,IF(ISNUMBER(SEARCH(Classifiers!$B$15,E210)),1,0))+IF(Classifiers!$C$15="",0,IF(ISNUMBER(SEARCH(Classifiers!$C$15,E210)),1,0))+IF(Classifiers!$D$15="",0,IF(ISNUMBER(SEARCH(Classifiers!$D$15,E210)),1,0))+IF(Classifiers!$E$15="",0,IF(ISNUMBER(SEARCH(Classifiers!$E$15,E210)),1,0))+IF(Classifiers!$F$15="",0,IF(ISNUMBER(SEARCH(Classifiers!$F$15,E210)),1,0))+IF(Classifiers!$G$15="",0,IF(ISNUMBER(SEARCH(Classifiers!$G$15,E210)),1,0)))&gt;0,1,0))</f>
        <v/>
      </c>
      <c r="U210" s="12">
        <f>IF(H210&lt;&gt;1,0,IF((IF(Classifiers!$B$16="",0,IF(ISNUMBER(SEARCH(Classifiers!$B$16,E210)),1,0))+IF(Classifiers!$C$16="",0,IF(ISNUMBER(SEARCH(Classifiers!$C$16,E210)),1,0))+IF(Classifiers!$D$16="",0,IF(ISNUMBER(SEARCH(Classifiers!$D$16,E210)),1,0))+IF(Classifiers!$E$16="",0,IF(ISNUMBER(SEARCH(Classifiers!$E$16,E210)),1,0))+IF(Classifiers!$F$16="",0,IF(ISNUMBER(SEARCH(Classifiers!$F$16,E210)),1,0))+IF(Classifiers!$G$16="",0,IF(ISNUMBER(SEARCH(Classifiers!$G$16,E210)),1,0)))&gt;0,1,0))</f>
        <v/>
      </c>
      <c r="V210" s="12">
        <f>IF(H210&lt;&gt;1,0,IF((IF(Classifiers!$B$17="",0,IF(ISNUMBER(SEARCH(Classifiers!$B$17,E210)),1,0))+IF(Classifiers!$C$17="",0,IF(ISNUMBER(SEARCH(Classifiers!$C$17,E210)),1,0))+IF(Classifiers!$D$17="",0,IF(ISNUMBER(SEARCH(Classifiers!$D$17,E210)),1,0))+IF(Classifiers!$E$17="",0,IF(ISNUMBER(SEARCH(Classifiers!$E$17,E210)),1,0))+IF(Classifiers!$F$17="",0,IF(ISNUMBER(SEARCH(Classifiers!$F$17,E210)),1,0))+IF(Classifiers!$G$17="",0,IF(ISNUMBER(SEARCH(Classifiers!$G$17,E210)),1,0)))&gt;0,1,0))</f>
        <v/>
      </c>
      <c r="W210" s="12">
        <f>IF(H210&lt;&gt;1,0,IF((IF(Classifiers!$B$18="",0,IF(ISNUMBER(SEARCH(Classifiers!$B$18,E210)),1,0))+IF(Classifiers!$C$18="",0,IF(ISNUMBER(SEARCH(Classifiers!$C$18,E210)),1,0))+IF(Classifiers!$D$18="",0,IF(ISNUMBER(SEARCH(Classifiers!$D$18,E210)),1,0))+IF(Classifiers!$E$18="",0,IF(ISNUMBER(SEARCH(Classifiers!$E$18,E210)),1,0))+IF(Classifiers!$F$18="",0,IF(ISNUMBER(SEARCH(Classifiers!$F$18,E210)),1,0))+IF(Classifiers!$G$18="",0,IF(ISNUMBER(SEARCH(Classifiers!$G$18,E210)),1,0)))&gt;0,1,0))</f>
        <v/>
      </c>
    </row>
    <row r="211">
      <c r="A211" s="8" t="n"/>
      <c r="B211" s="11" t="n"/>
      <c r="C211" s="6">
        <f>IF(A211="","",TRIM(RIGHT(SUBSTITUTE(A211,"/",REPT(" ",250)),250)))</f>
        <v/>
      </c>
      <c r="D211" s="6">
        <f>IF(C211="","",IF(ISNUMBER(SEARCH(".",C211)),LOWER("."&amp;TRIM(RIGHT(SUBSTITUTE(C211,".",REPT(" ",250)),250))),""))</f>
        <v/>
      </c>
      <c r="E211" s="6">
        <f>IF(C211="","",TRIM(SUBSTITUTE(SUBSTITUTE(SUBSTITUTE(SUBSTITUTE(SUBSTITUTE(SUBSTITUTE(SUBSTITUTE(SUBSTITUTE(SUBSTITUTE(SUBSTITUTE(SUBSTITUTE(SUBSTITUTE(SUBSTITUTE(SUBSTITUTE(SUBSTITUTE(SUBSTITUTE(SUBSTITUTE(SUBSTITUTE(SUBSTITUTE(SUBSTITUTE(LOWER(LEFT(C211,LEN(C211)-LEN(D211))),"_"," "),"-"," "),"."," "),","," "),"("," "),")"," "),"["," "),"]"," "),"&amp;"," "),"+"," "),"@"," "),"#"," "),"!"," "),"'"," "),"/"," "),":"," "),";"," "),"="," "),"~"," "),"%"," ")))</f>
        <v/>
      </c>
      <c r="F211" s="6">
        <f>IF(C211="","",IF(COUNTIF(Classifiers!$A$23:$A$40,D211)&gt;0,1,0))</f>
        <v/>
      </c>
      <c r="G211" s="6">
        <f>IF(C211="","",IF(COUNTIF(Classifiers!$C$23:$C$30,D211)&gt;0,IF((IF(ISNUMBER(SEARCH(Classifiers!$E$23,E211)),1,0)+IF(ISNUMBER(SEARCH(Classifiers!$E$24,E211)),1,0)+IF(ISNUMBER(SEARCH(Classifiers!$E$25,E211)),1,0)+IF(ISNUMBER(SEARCH(Classifiers!$E$26,E211)),1,0)+IF(ISNUMBER(SEARCH(Classifiers!$E$27,E211)),1,0)+IF(ISNUMBER(SEARCH(Classifiers!$E$28,E211)),1,0)+IF(ISNUMBER(SEARCH(Classifiers!$E$29,E211)),1,0)+IF(ISNUMBER(SEARCH(Classifiers!$E$30,E211)),1,0))&gt;0,1,0),0))</f>
        <v/>
      </c>
      <c r="H211" s="6">
        <f>IF(C211="","",IF(OR(LEFT(C211,1)=".",AND(F211=0,G211=0)),0,1))</f>
        <v/>
      </c>
      <c r="I211" s="6">
        <f>IF(H211&lt;&gt;1,"",IF(SUM(J211:W211)=0,"unclassified",INDEX(Classifiers!$A$5:$A$18,MATCH(1,J211:W211,0),1)))</f>
        <v/>
      </c>
      <c r="J211" s="12">
        <f>IF(H211&lt;&gt;1,0,IF((IF(Classifiers!$B$5="",0,IF(ISNUMBER(SEARCH(Classifiers!$B$5,E211)),1,0))+IF(Classifiers!$C$5="",0,IF(ISNUMBER(SEARCH(Classifiers!$C$5,E211)),1,0))+IF(Classifiers!$D$5="",0,IF(ISNUMBER(SEARCH(Classifiers!$D$5,E211)),1,0))+IF(Classifiers!$E$5="",0,IF(ISNUMBER(SEARCH(Classifiers!$E$5,E211)),1,0))+IF(Classifiers!$F$5="",0,IF(ISNUMBER(SEARCH(Classifiers!$F$5,E211)),1,0))+IF(Classifiers!$G$5="",0,IF(ISNUMBER(SEARCH(Classifiers!$G$5,E211)),1,0)))&gt;0,1,0))</f>
        <v/>
      </c>
      <c r="K211" s="12">
        <f>IF(H211&lt;&gt;1,0,IF((IF(Classifiers!$B$6="",0,IF(ISNUMBER(SEARCH(Classifiers!$B$6,E211)),1,0))+IF(Classifiers!$C$6="",0,IF(ISNUMBER(SEARCH(Classifiers!$C$6,E211)),1,0))+IF(Classifiers!$D$6="",0,IF(ISNUMBER(SEARCH(Classifiers!$D$6,E211)),1,0))+IF(Classifiers!$E$6="",0,IF(ISNUMBER(SEARCH(Classifiers!$E$6,E211)),1,0))+IF(Classifiers!$F$6="",0,IF(ISNUMBER(SEARCH(Classifiers!$F$6,E211)),1,0))+IF(Classifiers!$G$6="",0,IF(ISNUMBER(SEARCH(Classifiers!$G$6,E211)),1,0)))&gt;0,1,0))</f>
        <v/>
      </c>
      <c r="L211" s="12">
        <f>IF(H211&lt;&gt;1,0,IF((IF(Classifiers!$B$7="",0,IF(ISNUMBER(SEARCH(Classifiers!$B$7,E211)),1,0))+IF(Classifiers!$C$7="",0,IF(ISNUMBER(SEARCH(Classifiers!$C$7,E211)),1,0))+IF(Classifiers!$D$7="",0,IF(ISNUMBER(SEARCH(Classifiers!$D$7,E211)),1,0))+IF(Classifiers!$E$7="",0,IF(ISNUMBER(SEARCH(Classifiers!$E$7,E211)),1,0))+IF(Classifiers!$F$7="",0,IF(ISNUMBER(SEARCH(Classifiers!$F$7,E211)),1,0))+IF(Classifiers!$G$7="",0,IF(ISNUMBER(SEARCH(Classifiers!$G$7,E211)),1,0)))&gt;0,1,0))</f>
        <v/>
      </c>
      <c r="M211" s="12">
        <f>IF(H211&lt;&gt;1,0,IF((IF(Classifiers!$B$8="",0,IF(ISNUMBER(SEARCH(Classifiers!$B$8,E211)),1,0))+IF(Classifiers!$C$8="",0,IF(ISNUMBER(SEARCH(Classifiers!$C$8,E211)),1,0))+IF(Classifiers!$D$8="",0,IF(ISNUMBER(SEARCH(Classifiers!$D$8,E211)),1,0))+IF(Classifiers!$E$8="",0,IF(ISNUMBER(SEARCH(Classifiers!$E$8,E211)),1,0))+IF(Classifiers!$F$8="",0,IF(ISNUMBER(SEARCH(Classifiers!$F$8,E211)),1,0))+IF(Classifiers!$G$8="",0,IF(ISNUMBER(SEARCH(Classifiers!$G$8,E211)),1,0)))&gt;0,1,0))</f>
        <v/>
      </c>
      <c r="N211" s="12">
        <f>IF(H211&lt;&gt;1,0,IF((IF(Classifiers!$B$9="",0,IF(ISNUMBER(SEARCH(Classifiers!$B$9,E211)),1,0))+IF(Classifiers!$C$9="",0,IF(ISNUMBER(SEARCH(Classifiers!$C$9,E211)),1,0))+IF(Classifiers!$D$9="",0,IF(ISNUMBER(SEARCH(Classifiers!$D$9,E211)),1,0))+IF(Classifiers!$E$9="",0,IF(ISNUMBER(SEARCH(Classifiers!$E$9,E211)),1,0))+IF(Classifiers!$F$9="",0,IF(ISNUMBER(SEARCH(Classifiers!$F$9,E211)),1,0))+IF(Classifiers!$G$9="",0,IF(ISNUMBER(SEARCH(Classifiers!$G$9,E211)),1,0)))&gt;0,1,0))</f>
        <v/>
      </c>
      <c r="O211" s="12">
        <f>IF(H211&lt;&gt;1,0,IF((IF(Classifiers!$B$10="",0,IF(ISNUMBER(SEARCH(Classifiers!$B$10,E211)),1,0))+IF(Classifiers!$C$10="",0,IF(ISNUMBER(SEARCH(Classifiers!$C$10,E211)),1,0))+IF(Classifiers!$D$10="",0,IF(ISNUMBER(SEARCH(Classifiers!$D$10,E211)),1,0))+IF(Classifiers!$E$10="",0,IF(ISNUMBER(SEARCH(Classifiers!$E$10,E211)),1,0))+IF(Classifiers!$F$10="",0,IF(ISNUMBER(SEARCH(Classifiers!$F$10,E211)),1,0))+IF(Classifiers!$G$10="",0,IF(ISNUMBER(SEARCH(Classifiers!$G$10,E211)),1,0)))&gt;0,1,0))</f>
        <v/>
      </c>
      <c r="P211" s="12">
        <f>IF(H211&lt;&gt;1,0,IF((IF(Classifiers!$B$11="",0,IF(ISNUMBER(SEARCH(Classifiers!$B$11,E211)),1,0))+IF(Classifiers!$C$11="",0,IF(ISNUMBER(SEARCH(Classifiers!$C$11,E211)),1,0))+IF(Classifiers!$D$11="",0,IF(ISNUMBER(SEARCH(Classifiers!$D$11,E211)),1,0))+IF(Classifiers!$E$11="",0,IF(ISNUMBER(SEARCH(Classifiers!$E$11,E211)),1,0))+IF(Classifiers!$F$11="",0,IF(ISNUMBER(SEARCH(Classifiers!$F$11,E211)),1,0))+IF(Classifiers!$G$11="",0,IF(ISNUMBER(SEARCH(Classifiers!$G$11,E211)),1,0)))&gt;0,1,0))</f>
        <v/>
      </c>
      <c r="Q211" s="12">
        <f>IF(H211&lt;&gt;1,0,IF((IF(Classifiers!$B$12="",0,IF(ISNUMBER(SEARCH(Classifiers!$B$12,E211)),1,0))+IF(Classifiers!$C$12="",0,IF(ISNUMBER(SEARCH(Classifiers!$C$12,E211)),1,0))+IF(Classifiers!$D$12="",0,IF(ISNUMBER(SEARCH(Classifiers!$D$12,E211)),1,0))+IF(Classifiers!$E$12="",0,IF(ISNUMBER(SEARCH(Classifiers!$E$12,E211)),1,0))+IF(Classifiers!$F$12="",0,IF(ISNUMBER(SEARCH(Classifiers!$F$12,E211)),1,0))+IF(Classifiers!$G$12="",0,IF(ISNUMBER(SEARCH(Classifiers!$G$12,E211)),1,0)))&gt;0,1,0))</f>
        <v/>
      </c>
      <c r="R211" s="12">
        <f>IF(H211&lt;&gt;1,0,IF((IF(Classifiers!$B$13="",0,IF(ISNUMBER(SEARCH(Classifiers!$B$13,E211)),1,0))+IF(Classifiers!$C$13="",0,IF(ISNUMBER(SEARCH(Classifiers!$C$13,E211)),1,0))+IF(Classifiers!$D$13="",0,IF(ISNUMBER(SEARCH(Classifiers!$D$13,E211)),1,0))+IF(Classifiers!$E$13="",0,IF(ISNUMBER(SEARCH(Classifiers!$E$13,E211)),1,0))+IF(Classifiers!$F$13="",0,IF(ISNUMBER(SEARCH(Classifiers!$F$13,E211)),1,0))+IF(Classifiers!$G$13="",0,IF(ISNUMBER(SEARCH(Classifiers!$G$13,E211)),1,0)))&gt;0,1,0))</f>
        <v/>
      </c>
      <c r="S211" s="12">
        <f>IF(H211&lt;&gt;1,0,IF((IF(Classifiers!$B$14="",0,IF(ISNUMBER(SEARCH(Classifiers!$B$14,E211)),1,0))+IF(Classifiers!$C$14="",0,IF(ISNUMBER(SEARCH(Classifiers!$C$14,E211)),1,0))+IF(Classifiers!$D$14="",0,IF(ISNUMBER(SEARCH(Classifiers!$D$14,E211)),1,0))+IF(Classifiers!$E$14="",0,IF(ISNUMBER(SEARCH(Classifiers!$E$14,E211)),1,0))+IF(Classifiers!$F$14="",0,IF(ISNUMBER(SEARCH(Classifiers!$F$14,E211)),1,0))+IF(Classifiers!$G$14="",0,IF(ISNUMBER(SEARCH(Classifiers!$G$14,E211)),1,0)))&gt;0,1,0))</f>
        <v/>
      </c>
      <c r="T211" s="12">
        <f>IF(H211&lt;&gt;1,0,IF((IF(Classifiers!$B$15="",0,IF(ISNUMBER(SEARCH(Classifiers!$B$15,E211)),1,0))+IF(Classifiers!$C$15="",0,IF(ISNUMBER(SEARCH(Classifiers!$C$15,E211)),1,0))+IF(Classifiers!$D$15="",0,IF(ISNUMBER(SEARCH(Classifiers!$D$15,E211)),1,0))+IF(Classifiers!$E$15="",0,IF(ISNUMBER(SEARCH(Classifiers!$E$15,E211)),1,0))+IF(Classifiers!$F$15="",0,IF(ISNUMBER(SEARCH(Classifiers!$F$15,E211)),1,0))+IF(Classifiers!$G$15="",0,IF(ISNUMBER(SEARCH(Classifiers!$G$15,E211)),1,0)))&gt;0,1,0))</f>
        <v/>
      </c>
      <c r="U211" s="12">
        <f>IF(H211&lt;&gt;1,0,IF((IF(Classifiers!$B$16="",0,IF(ISNUMBER(SEARCH(Classifiers!$B$16,E211)),1,0))+IF(Classifiers!$C$16="",0,IF(ISNUMBER(SEARCH(Classifiers!$C$16,E211)),1,0))+IF(Classifiers!$D$16="",0,IF(ISNUMBER(SEARCH(Classifiers!$D$16,E211)),1,0))+IF(Classifiers!$E$16="",0,IF(ISNUMBER(SEARCH(Classifiers!$E$16,E211)),1,0))+IF(Classifiers!$F$16="",0,IF(ISNUMBER(SEARCH(Classifiers!$F$16,E211)),1,0))+IF(Classifiers!$G$16="",0,IF(ISNUMBER(SEARCH(Classifiers!$G$16,E211)),1,0)))&gt;0,1,0))</f>
        <v/>
      </c>
      <c r="V211" s="12">
        <f>IF(H211&lt;&gt;1,0,IF((IF(Classifiers!$B$17="",0,IF(ISNUMBER(SEARCH(Classifiers!$B$17,E211)),1,0))+IF(Classifiers!$C$17="",0,IF(ISNUMBER(SEARCH(Classifiers!$C$17,E211)),1,0))+IF(Classifiers!$D$17="",0,IF(ISNUMBER(SEARCH(Classifiers!$D$17,E211)),1,0))+IF(Classifiers!$E$17="",0,IF(ISNUMBER(SEARCH(Classifiers!$E$17,E211)),1,0))+IF(Classifiers!$F$17="",0,IF(ISNUMBER(SEARCH(Classifiers!$F$17,E211)),1,0))+IF(Classifiers!$G$17="",0,IF(ISNUMBER(SEARCH(Classifiers!$G$17,E211)),1,0)))&gt;0,1,0))</f>
        <v/>
      </c>
      <c r="W211" s="12">
        <f>IF(H211&lt;&gt;1,0,IF((IF(Classifiers!$B$18="",0,IF(ISNUMBER(SEARCH(Classifiers!$B$18,E211)),1,0))+IF(Classifiers!$C$18="",0,IF(ISNUMBER(SEARCH(Classifiers!$C$18,E211)),1,0))+IF(Classifiers!$D$18="",0,IF(ISNUMBER(SEARCH(Classifiers!$D$18,E211)),1,0))+IF(Classifiers!$E$18="",0,IF(ISNUMBER(SEARCH(Classifiers!$E$18,E211)),1,0))+IF(Classifiers!$F$18="",0,IF(ISNUMBER(SEARCH(Classifiers!$F$18,E211)),1,0))+IF(Classifiers!$G$18="",0,IF(ISNUMBER(SEARCH(Classifiers!$G$18,E211)),1,0)))&gt;0,1,0))</f>
        <v/>
      </c>
    </row>
    <row r="212">
      <c r="A212" s="8" t="n"/>
      <c r="B212" s="11" t="n"/>
      <c r="C212" s="6">
        <f>IF(A212="","",TRIM(RIGHT(SUBSTITUTE(A212,"/",REPT(" ",250)),250)))</f>
        <v/>
      </c>
      <c r="D212" s="6">
        <f>IF(C212="","",IF(ISNUMBER(SEARCH(".",C212)),LOWER("."&amp;TRIM(RIGHT(SUBSTITUTE(C212,".",REPT(" ",250)),250))),""))</f>
        <v/>
      </c>
      <c r="E212" s="6">
        <f>IF(C212="","",TRIM(SUBSTITUTE(SUBSTITUTE(SUBSTITUTE(SUBSTITUTE(SUBSTITUTE(SUBSTITUTE(SUBSTITUTE(SUBSTITUTE(SUBSTITUTE(SUBSTITUTE(SUBSTITUTE(SUBSTITUTE(SUBSTITUTE(SUBSTITUTE(SUBSTITUTE(SUBSTITUTE(SUBSTITUTE(SUBSTITUTE(SUBSTITUTE(SUBSTITUTE(LOWER(LEFT(C212,LEN(C212)-LEN(D212))),"_"," "),"-"," "),"."," "),","," "),"("," "),")"," "),"["," "),"]"," "),"&amp;"," "),"+"," "),"@"," "),"#"," "),"!"," "),"'"," "),"/"," "),":"," "),";"," "),"="," "),"~"," "),"%"," ")))</f>
        <v/>
      </c>
      <c r="F212" s="6">
        <f>IF(C212="","",IF(COUNTIF(Classifiers!$A$23:$A$40,D212)&gt;0,1,0))</f>
        <v/>
      </c>
      <c r="G212" s="6">
        <f>IF(C212="","",IF(COUNTIF(Classifiers!$C$23:$C$30,D212)&gt;0,IF((IF(ISNUMBER(SEARCH(Classifiers!$E$23,E212)),1,0)+IF(ISNUMBER(SEARCH(Classifiers!$E$24,E212)),1,0)+IF(ISNUMBER(SEARCH(Classifiers!$E$25,E212)),1,0)+IF(ISNUMBER(SEARCH(Classifiers!$E$26,E212)),1,0)+IF(ISNUMBER(SEARCH(Classifiers!$E$27,E212)),1,0)+IF(ISNUMBER(SEARCH(Classifiers!$E$28,E212)),1,0)+IF(ISNUMBER(SEARCH(Classifiers!$E$29,E212)),1,0)+IF(ISNUMBER(SEARCH(Classifiers!$E$30,E212)),1,0))&gt;0,1,0),0))</f>
        <v/>
      </c>
      <c r="H212" s="6">
        <f>IF(C212="","",IF(OR(LEFT(C212,1)=".",AND(F212=0,G212=0)),0,1))</f>
        <v/>
      </c>
      <c r="I212" s="6">
        <f>IF(H212&lt;&gt;1,"",IF(SUM(J212:W212)=0,"unclassified",INDEX(Classifiers!$A$5:$A$18,MATCH(1,J212:W212,0),1)))</f>
        <v/>
      </c>
      <c r="J212" s="12">
        <f>IF(H212&lt;&gt;1,0,IF((IF(Classifiers!$B$5="",0,IF(ISNUMBER(SEARCH(Classifiers!$B$5,E212)),1,0))+IF(Classifiers!$C$5="",0,IF(ISNUMBER(SEARCH(Classifiers!$C$5,E212)),1,0))+IF(Classifiers!$D$5="",0,IF(ISNUMBER(SEARCH(Classifiers!$D$5,E212)),1,0))+IF(Classifiers!$E$5="",0,IF(ISNUMBER(SEARCH(Classifiers!$E$5,E212)),1,0))+IF(Classifiers!$F$5="",0,IF(ISNUMBER(SEARCH(Classifiers!$F$5,E212)),1,0))+IF(Classifiers!$G$5="",0,IF(ISNUMBER(SEARCH(Classifiers!$G$5,E212)),1,0)))&gt;0,1,0))</f>
        <v/>
      </c>
      <c r="K212" s="12">
        <f>IF(H212&lt;&gt;1,0,IF((IF(Classifiers!$B$6="",0,IF(ISNUMBER(SEARCH(Classifiers!$B$6,E212)),1,0))+IF(Classifiers!$C$6="",0,IF(ISNUMBER(SEARCH(Classifiers!$C$6,E212)),1,0))+IF(Classifiers!$D$6="",0,IF(ISNUMBER(SEARCH(Classifiers!$D$6,E212)),1,0))+IF(Classifiers!$E$6="",0,IF(ISNUMBER(SEARCH(Classifiers!$E$6,E212)),1,0))+IF(Classifiers!$F$6="",0,IF(ISNUMBER(SEARCH(Classifiers!$F$6,E212)),1,0))+IF(Classifiers!$G$6="",0,IF(ISNUMBER(SEARCH(Classifiers!$G$6,E212)),1,0)))&gt;0,1,0))</f>
        <v/>
      </c>
      <c r="L212" s="12">
        <f>IF(H212&lt;&gt;1,0,IF((IF(Classifiers!$B$7="",0,IF(ISNUMBER(SEARCH(Classifiers!$B$7,E212)),1,0))+IF(Classifiers!$C$7="",0,IF(ISNUMBER(SEARCH(Classifiers!$C$7,E212)),1,0))+IF(Classifiers!$D$7="",0,IF(ISNUMBER(SEARCH(Classifiers!$D$7,E212)),1,0))+IF(Classifiers!$E$7="",0,IF(ISNUMBER(SEARCH(Classifiers!$E$7,E212)),1,0))+IF(Classifiers!$F$7="",0,IF(ISNUMBER(SEARCH(Classifiers!$F$7,E212)),1,0))+IF(Classifiers!$G$7="",0,IF(ISNUMBER(SEARCH(Classifiers!$G$7,E212)),1,0)))&gt;0,1,0))</f>
        <v/>
      </c>
      <c r="M212" s="12">
        <f>IF(H212&lt;&gt;1,0,IF((IF(Classifiers!$B$8="",0,IF(ISNUMBER(SEARCH(Classifiers!$B$8,E212)),1,0))+IF(Classifiers!$C$8="",0,IF(ISNUMBER(SEARCH(Classifiers!$C$8,E212)),1,0))+IF(Classifiers!$D$8="",0,IF(ISNUMBER(SEARCH(Classifiers!$D$8,E212)),1,0))+IF(Classifiers!$E$8="",0,IF(ISNUMBER(SEARCH(Classifiers!$E$8,E212)),1,0))+IF(Classifiers!$F$8="",0,IF(ISNUMBER(SEARCH(Classifiers!$F$8,E212)),1,0))+IF(Classifiers!$G$8="",0,IF(ISNUMBER(SEARCH(Classifiers!$G$8,E212)),1,0)))&gt;0,1,0))</f>
        <v/>
      </c>
      <c r="N212" s="12">
        <f>IF(H212&lt;&gt;1,0,IF((IF(Classifiers!$B$9="",0,IF(ISNUMBER(SEARCH(Classifiers!$B$9,E212)),1,0))+IF(Classifiers!$C$9="",0,IF(ISNUMBER(SEARCH(Classifiers!$C$9,E212)),1,0))+IF(Classifiers!$D$9="",0,IF(ISNUMBER(SEARCH(Classifiers!$D$9,E212)),1,0))+IF(Classifiers!$E$9="",0,IF(ISNUMBER(SEARCH(Classifiers!$E$9,E212)),1,0))+IF(Classifiers!$F$9="",0,IF(ISNUMBER(SEARCH(Classifiers!$F$9,E212)),1,0))+IF(Classifiers!$G$9="",0,IF(ISNUMBER(SEARCH(Classifiers!$G$9,E212)),1,0)))&gt;0,1,0))</f>
        <v/>
      </c>
      <c r="O212" s="12">
        <f>IF(H212&lt;&gt;1,0,IF((IF(Classifiers!$B$10="",0,IF(ISNUMBER(SEARCH(Classifiers!$B$10,E212)),1,0))+IF(Classifiers!$C$10="",0,IF(ISNUMBER(SEARCH(Classifiers!$C$10,E212)),1,0))+IF(Classifiers!$D$10="",0,IF(ISNUMBER(SEARCH(Classifiers!$D$10,E212)),1,0))+IF(Classifiers!$E$10="",0,IF(ISNUMBER(SEARCH(Classifiers!$E$10,E212)),1,0))+IF(Classifiers!$F$10="",0,IF(ISNUMBER(SEARCH(Classifiers!$F$10,E212)),1,0))+IF(Classifiers!$G$10="",0,IF(ISNUMBER(SEARCH(Classifiers!$G$10,E212)),1,0)))&gt;0,1,0))</f>
        <v/>
      </c>
      <c r="P212" s="12">
        <f>IF(H212&lt;&gt;1,0,IF((IF(Classifiers!$B$11="",0,IF(ISNUMBER(SEARCH(Classifiers!$B$11,E212)),1,0))+IF(Classifiers!$C$11="",0,IF(ISNUMBER(SEARCH(Classifiers!$C$11,E212)),1,0))+IF(Classifiers!$D$11="",0,IF(ISNUMBER(SEARCH(Classifiers!$D$11,E212)),1,0))+IF(Classifiers!$E$11="",0,IF(ISNUMBER(SEARCH(Classifiers!$E$11,E212)),1,0))+IF(Classifiers!$F$11="",0,IF(ISNUMBER(SEARCH(Classifiers!$F$11,E212)),1,0))+IF(Classifiers!$G$11="",0,IF(ISNUMBER(SEARCH(Classifiers!$G$11,E212)),1,0)))&gt;0,1,0))</f>
        <v/>
      </c>
      <c r="Q212" s="12">
        <f>IF(H212&lt;&gt;1,0,IF((IF(Classifiers!$B$12="",0,IF(ISNUMBER(SEARCH(Classifiers!$B$12,E212)),1,0))+IF(Classifiers!$C$12="",0,IF(ISNUMBER(SEARCH(Classifiers!$C$12,E212)),1,0))+IF(Classifiers!$D$12="",0,IF(ISNUMBER(SEARCH(Classifiers!$D$12,E212)),1,0))+IF(Classifiers!$E$12="",0,IF(ISNUMBER(SEARCH(Classifiers!$E$12,E212)),1,0))+IF(Classifiers!$F$12="",0,IF(ISNUMBER(SEARCH(Classifiers!$F$12,E212)),1,0))+IF(Classifiers!$G$12="",0,IF(ISNUMBER(SEARCH(Classifiers!$G$12,E212)),1,0)))&gt;0,1,0))</f>
        <v/>
      </c>
      <c r="R212" s="12">
        <f>IF(H212&lt;&gt;1,0,IF((IF(Classifiers!$B$13="",0,IF(ISNUMBER(SEARCH(Classifiers!$B$13,E212)),1,0))+IF(Classifiers!$C$13="",0,IF(ISNUMBER(SEARCH(Classifiers!$C$13,E212)),1,0))+IF(Classifiers!$D$13="",0,IF(ISNUMBER(SEARCH(Classifiers!$D$13,E212)),1,0))+IF(Classifiers!$E$13="",0,IF(ISNUMBER(SEARCH(Classifiers!$E$13,E212)),1,0))+IF(Classifiers!$F$13="",0,IF(ISNUMBER(SEARCH(Classifiers!$F$13,E212)),1,0))+IF(Classifiers!$G$13="",0,IF(ISNUMBER(SEARCH(Classifiers!$G$13,E212)),1,0)))&gt;0,1,0))</f>
        <v/>
      </c>
      <c r="S212" s="12">
        <f>IF(H212&lt;&gt;1,0,IF((IF(Classifiers!$B$14="",0,IF(ISNUMBER(SEARCH(Classifiers!$B$14,E212)),1,0))+IF(Classifiers!$C$14="",0,IF(ISNUMBER(SEARCH(Classifiers!$C$14,E212)),1,0))+IF(Classifiers!$D$14="",0,IF(ISNUMBER(SEARCH(Classifiers!$D$14,E212)),1,0))+IF(Classifiers!$E$14="",0,IF(ISNUMBER(SEARCH(Classifiers!$E$14,E212)),1,0))+IF(Classifiers!$F$14="",0,IF(ISNUMBER(SEARCH(Classifiers!$F$14,E212)),1,0))+IF(Classifiers!$G$14="",0,IF(ISNUMBER(SEARCH(Classifiers!$G$14,E212)),1,0)))&gt;0,1,0))</f>
        <v/>
      </c>
      <c r="T212" s="12">
        <f>IF(H212&lt;&gt;1,0,IF((IF(Classifiers!$B$15="",0,IF(ISNUMBER(SEARCH(Classifiers!$B$15,E212)),1,0))+IF(Classifiers!$C$15="",0,IF(ISNUMBER(SEARCH(Classifiers!$C$15,E212)),1,0))+IF(Classifiers!$D$15="",0,IF(ISNUMBER(SEARCH(Classifiers!$D$15,E212)),1,0))+IF(Classifiers!$E$15="",0,IF(ISNUMBER(SEARCH(Classifiers!$E$15,E212)),1,0))+IF(Classifiers!$F$15="",0,IF(ISNUMBER(SEARCH(Classifiers!$F$15,E212)),1,0))+IF(Classifiers!$G$15="",0,IF(ISNUMBER(SEARCH(Classifiers!$G$15,E212)),1,0)))&gt;0,1,0))</f>
        <v/>
      </c>
      <c r="U212" s="12">
        <f>IF(H212&lt;&gt;1,0,IF((IF(Classifiers!$B$16="",0,IF(ISNUMBER(SEARCH(Classifiers!$B$16,E212)),1,0))+IF(Classifiers!$C$16="",0,IF(ISNUMBER(SEARCH(Classifiers!$C$16,E212)),1,0))+IF(Classifiers!$D$16="",0,IF(ISNUMBER(SEARCH(Classifiers!$D$16,E212)),1,0))+IF(Classifiers!$E$16="",0,IF(ISNUMBER(SEARCH(Classifiers!$E$16,E212)),1,0))+IF(Classifiers!$F$16="",0,IF(ISNUMBER(SEARCH(Classifiers!$F$16,E212)),1,0))+IF(Classifiers!$G$16="",0,IF(ISNUMBER(SEARCH(Classifiers!$G$16,E212)),1,0)))&gt;0,1,0))</f>
        <v/>
      </c>
      <c r="V212" s="12">
        <f>IF(H212&lt;&gt;1,0,IF((IF(Classifiers!$B$17="",0,IF(ISNUMBER(SEARCH(Classifiers!$B$17,E212)),1,0))+IF(Classifiers!$C$17="",0,IF(ISNUMBER(SEARCH(Classifiers!$C$17,E212)),1,0))+IF(Classifiers!$D$17="",0,IF(ISNUMBER(SEARCH(Classifiers!$D$17,E212)),1,0))+IF(Classifiers!$E$17="",0,IF(ISNUMBER(SEARCH(Classifiers!$E$17,E212)),1,0))+IF(Classifiers!$F$17="",0,IF(ISNUMBER(SEARCH(Classifiers!$F$17,E212)),1,0))+IF(Classifiers!$G$17="",0,IF(ISNUMBER(SEARCH(Classifiers!$G$17,E212)),1,0)))&gt;0,1,0))</f>
        <v/>
      </c>
      <c r="W212" s="12">
        <f>IF(H212&lt;&gt;1,0,IF((IF(Classifiers!$B$18="",0,IF(ISNUMBER(SEARCH(Classifiers!$B$18,E212)),1,0))+IF(Classifiers!$C$18="",0,IF(ISNUMBER(SEARCH(Classifiers!$C$18,E212)),1,0))+IF(Classifiers!$D$18="",0,IF(ISNUMBER(SEARCH(Classifiers!$D$18,E212)),1,0))+IF(Classifiers!$E$18="",0,IF(ISNUMBER(SEARCH(Classifiers!$E$18,E212)),1,0))+IF(Classifiers!$F$18="",0,IF(ISNUMBER(SEARCH(Classifiers!$F$18,E212)),1,0))+IF(Classifiers!$G$18="",0,IF(ISNUMBER(SEARCH(Classifiers!$G$18,E212)),1,0)))&gt;0,1,0))</f>
        <v/>
      </c>
    </row>
    <row r="213">
      <c r="A213" s="8" t="n"/>
      <c r="B213" s="11" t="n"/>
      <c r="C213" s="6">
        <f>IF(A213="","",TRIM(RIGHT(SUBSTITUTE(A213,"/",REPT(" ",250)),250)))</f>
        <v/>
      </c>
      <c r="D213" s="6">
        <f>IF(C213="","",IF(ISNUMBER(SEARCH(".",C213)),LOWER("."&amp;TRIM(RIGHT(SUBSTITUTE(C213,".",REPT(" ",250)),250))),""))</f>
        <v/>
      </c>
      <c r="E213" s="6">
        <f>IF(C213="","",TRIM(SUBSTITUTE(SUBSTITUTE(SUBSTITUTE(SUBSTITUTE(SUBSTITUTE(SUBSTITUTE(SUBSTITUTE(SUBSTITUTE(SUBSTITUTE(SUBSTITUTE(SUBSTITUTE(SUBSTITUTE(SUBSTITUTE(SUBSTITUTE(SUBSTITUTE(SUBSTITUTE(SUBSTITUTE(SUBSTITUTE(SUBSTITUTE(SUBSTITUTE(LOWER(LEFT(C213,LEN(C213)-LEN(D213))),"_"," "),"-"," "),"."," "),","," "),"("," "),")"," "),"["," "),"]"," "),"&amp;"," "),"+"," "),"@"," "),"#"," "),"!"," "),"'"," "),"/"," "),":"," "),";"," "),"="," "),"~"," "),"%"," ")))</f>
        <v/>
      </c>
      <c r="F213" s="6">
        <f>IF(C213="","",IF(COUNTIF(Classifiers!$A$23:$A$40,D213)&gt;0,1,0))</f>
        <v/>
      </c>
      <c r="G213" s="6">
        <f>IF(C213="","",IF(COUNTIF(Classifiers!$C$23:$C$30,D213)&gt;0,IF((IF(ISNUMBER(SEARCH(Classifiers!$E$23,E213)),1,0)+IF(ISNUMBER(SEARCH(Classifiers!$E$24,E213)),1,0)+IF(ISNUMBER(SEARCH(Classifiers!$E$25,E213)),1,0)+IF(ISNUMBER(SEARCH(Classifiers!$E$26,E213)),1,0)+IF(ISNUMBER(SEARCH(Classifiers!$E$27,E213)),1,0)+IF(ISNUMBER(SEARCH(Classifiers!$E$28,E213)),1,0)+IF(ISNUMBER(SEARCH(Classifiers!$E$29,E213)),1,0)+IF(ISNUMBER(SEARCH(Classifiers!$E$30,E213)),1,0))&gt;0,1,0),0))</f>
        <v/>
      </c>
      <c r="H213" s="6">
        <f>IF(C213="","",IF(OR(LEFT(C213,1)=".",AND(F213=0,G213=0)),0,1))</f>
        <v/>
      </c>
      <c r="I213" s="6">
        <f>IF(H213&lt;&gt;1,"",IF(SUM(J213:W213)=0,"unclassified",INDEX(Classifiers!$A$5:$A$18,MATCH(1,J213:W213,0),1)))</f>
        <v/>
      </c>
      <c r="J213" s="12">
        <f>IF(H213&lt;&gt;1,0,IF((IF(Classifiers!$B$5="",0,IF(ISNUMBER(SEARCH(Classifiers!$B$5,E213)),1,0))+IF(Classifiers!$C$5="",0,IF(ISNUMBER(SEARCH(Classifiers!$C$5,E213)),1,0))+IF(Classifiers!$D$5="",0,IF(ISNUMBER(SEARCH(Classifiers!$D$5,E213)),1,0))+IF(Classifiers!$E$5="",0,IF(ISNUMBER(SEARCH(Classifiers!$E$5,E213)),1,0))+IF(Classifiers!$F$5="",0,IF(ISNUMBER(SEARCH(Classifiers!$F$5,E213)),1,0))+IF(Classifiers!$G$5="",0,IF(ISNUMBER(SEARCH(Classifiers!$G$5,E213)),1,0)))&gt;0,1,0))</f>
        <v/>
      </c>
      <c r="K213" s="12">
        <f>IF(H213&lt;&gt;1,0,IF((IF(Classifiers!$B$6="",0,IF(ISNUMBER(SEARCH(Classifiers!$B$6,E213)),1,0))+IF(Classifiers!$C$6="",0,IF(ISNUMBER(SEARCH(Classifiers!$C$6,E213)),1,0))+IF(Classifiers!$D$6="",0,IF(ISNUMBER(SEARCH(Classifiers!$D$6,E213)),1,0))+IF(Classifiers!$E$6="",0,IF(ISNUMBER(SEARCH(Classifiers!$E$6,E213)),1,0))+IF(Classifiers!$F$6="",0,IF(ISNUMBER(SEARCH(Classifiers!$F$6,E213)),1,0))+IF(Classifiers!$G$6="",0,IF(ISNUMBER(SEARCH(Classifiers!$G$6,E213)),1,0)))&gt;0,1,0))</f>
        <v/>
      </c>
      <c r="L213" s="12">
        <f>IF(H213&lt;&gt;1,0,IF((IF(Classifiers!$B$7="",0,IF(ISNUMBER(SEARCH(Classifiers!$B$7,E213)),1,0))+IF(Classifiers!$C$7="",0,IF(ISNUMBER(SEARCH(Classifiers!$C$7,E213)),1,0))+IF(Classifiers!$D$7="",0,IF(ISNUMBER(SEARCH(Classifiers!$D$7,E213)),1,0))+IF(Classifiers!$E$7="",0,IF(ISNUMBER(SEARCH(Classifiers!$E$7,E213)),1,0))+IF(Classifiers!$F$7="",0,IF(ISNUMBER(SEARCH(Classifiers!$F$7,E213)),1,0))+IF(Classifiers!$G$7="",0,IF(ISNUMBER(SEARCH(Classifiers!$G$7,E213)),1,0)))&gt;0,1,0))</f>
        <v/>
      </c>
      <c r="M213" s="12">
        <f>IF(H213&lt;&gt;1,0,IF((IF(Classifiers!$B$8="",0,IF(ISNUMBER(SEARCH(Classifiers!$B$8,E213)),1,0))+IF(Classifiers!$C$8="",0,IF(ISNUMBER(SEARCH(Classifiers!$C$8,E213)),1,0))+IF(Classifiers!$D$8="",0,IF(ISNUMBER(SEARCH(Classifiers!$D$8,E213)),1,0))+IF(Classifiers!$E$8="",0,IF(ISNUMBER(SEARCH(Classifiers!$E$8,E213)),1,0))+IF(Classifiers!$F$8="",0,IF(ISNUMBER(SEARCH(Classifiers!$F$8,E213)),1,0))+IF(Classifiers!$G$8="",0,IF(ISNUMBER(SEARCH(Classifiers!$G$8,E213)),1,0)))&gt;0,1,0))</f>
        <v/>
      </c>
      <c r="N213" s="12">
        <f>IF(H213&lt;&gt;1,0,IF((IF(Classifiers!$B$9="",0,IF(ISNUMBER(SEARCH(Classifiers!$B$9,E213)),1,0))+IF(Classifiers!$C$9="",0,IF(ISNUMBER(SEARCH(Classifiers!$C$9,E213)),1,0))+IF(Classifiers!$D$9="",0,IF(ISNUMBER(SEARCH(Classifiers!$D$9,E213)),1,0))+IF(Classifiers!$E$9="",0,IF(ISNUMBER(SEARCH(Classifiers!$E$9,E213)),1,0))+IF(Classifiers!$F$9="",0,IF(ISNUMBER(SEARCH(Classifiers!$F$9,E213)),1,0))+IF(Classifiers!$G$9="",0,IF(ISNUMBER(SEARCH(Classifiers!$G$9,E213)),1,0)))&gt;0,1,0))</f>
        <v/>
      </c>
      <c r="O213" s="12">
        <f>IF(H213&lt;&gt;1,0,IF((IF(Classifiers!$B$10="",0,IF(ISNUMBER(SEARCH(Classifiers!$B$10,E213)),1,0))+IF(Classifiers!$C$10="",0,IF(ISNUMBER(SEARCH(Classifiers!$C$10,E213)),1,0))+IF(Classifiers!$D$10="",0,IF(ISNUMBER(SEARCH(Classifiers!$D$10,E213)),1,0))+IF(Classifiers!$E$10="",0,IF(ISNUMBER(SEARCH(Classifiers!$E$10,E213)),1,0))+IF(Classifiers!$F$10="",0,IF(ISNUMBER(SEARCH(Classifiers!$F$10,E213)),1,0))+IF(Classifiers!$G$10="",0,IF(ISNUMBER(SEARCH(Classifiers!$G$10,E213)),1,0)))&gt;0,1,0))</f>
        <v/>
      </c>
      <c r="P213" s="12">
        <f>IF(H213&lt;&gt;1,0,IF((IF(Classifiers!$B$11="",0,IF(ISNUMBER(SEARCH(Classifiers!$B$11,E213)),1,0))+IF(Classifiers!$C$11="",0,IF(ISNUMBER(SEARCH(Classifiers!$C$11,E213)),1,0))+IF(Classifiers!$D$11="",0,IF(ISNUMBER(SEARCH(Classifiers!$D$11,E213)),1,0))+IF(Classifiers!$E$11="",0,IF(ISNUMBER(SEARCH(Classifiers!$E$11,E213)),1,0))+IF(Classifiers!$F$11="",0,IF(ISNUMBER(SEARCH(Classifiers!$F$11,E213)),1,0))+IF(Classifiers!$G$11="",0,IF(ISNUMBER(SEARCH(Classifiers!$G$11,E213)),1,0)))&gt;0,1,0))</f>
        <v/>
      </c>
      <c r="Q213" s="12">
        <f>IF(H213&lt;&gt;1,0,IF((IF(Classifiers!$B$12="",0,IF(ISNUMBER(SEARCH(Classifiers!$B$12,E213)),1,0))+IF(Classifiers!$C$12="",0,IF(ISNUMBER(SEARCH(Classifiers!$C$12,E213)),1,0))+IF(Classifiers!$D$12="",0,IF(ISNUMBER(SEARCH(Classifiers!$D$12,E213)),1,0))+IF(Classifiers!$E$12="",0,IF(ISNUMBER(SEARCH(Classifiers!$E$12,E213)),1,0))+IF(Classifiers!$F$12="",0,IF(ISNUMBER(SEARCH(Classifiers!$F$12,E213)),1,0))+IF(Classifiers!$G$12="",0,IF(ISNUMBER(SEARCH(Classifiers!$G$12,E213)),1,0)))&gt;0,1,0))</f>
        <v/>
      </c>
      <c r="R213" s="12">
        <f>IF(H213&lt;&gt;1,0,IF((IF(Classifiers!$B$13="",0,IF(ISNUMBER(SEARCH(Classifiers!$B$13,E213)),1,0))+IF(Classifiers!$C$13="",0,IF(ISNUMBER(SEARCH(Classifiers!$C$13,E213)),1,0))+IF(Classifiers!$D$13="",0,IF(ISNUMBER(SEARCH(Classifiers!$D$13,E213)),1,0))+IF(Classifiers!$E$13="",0,IF(ISNUMBER(SEARCH(Classifiers!$E$13,E213)),1,0))+IF(Classifiers!$F$13="",0,IF(ISNUMBER(SEARCH(Classifiers!$F$13,E213)),1,0))+IF(Classifiers!$G$13="",0,IF(ISNUMBER(SEARCH(Classifiers!$G$13,E213)),1,0)))&gt;0,1,0))</f>
        <v/>
      </c>
      <c r="S213" s="12">
        <f>IF(H213&lt;&gt;1,0,IF((IF(Classifiers!$B$14="",0,IF(ISNUMBER(SEARCH(Classifiers!$B$14,E213)),1,0))+IF(Classifiers!$C$14="",0,IF(ISNUMBER(SEARCH(Classifiers!$C$14,E213)),1,0))+IF(Classifiers!$D$14="",0,IF(ISNUMBER(SEARCH(Classifiers!$D$14,E213)),1,0))+IF(Classifiers!$E$14="",0,IF(ISNUMBER(SEARCH(Classifiers!$E$14,E213)),1,0))+IF(Classifiers!$F$14="",0,IF(ISNUMBER(SEARCH(Classifiers!$F$14,E213)),1,0))+IF(Classifiers!$G$14="",0,IF(ISNUMBER(SEARCH(Classifiers!$G$14,E213)),1,0)))&gt;0,1,0))</f>
        <v/>
      </c>
      <c r="T213" s="12">
        <f>IF(H213&lt;&gt;1,0,IF((IF(Classifiers!$B$15="",0,IF(ISNUMBER(SEARCH(Classifiers!$B$15,E213)),1,0))+IF(Classifiers!$C$15="",0,IF(ISNUMBER(SEARCH(Classifiers!$C$15,E213)),1,0))+IF(Classifiers!$D$15="",0,IF(ISNUMBER(SEARCH(Classifiers!$D$15,E213)),1,0))+IF(Classifiers!$E$15="",0,IF(ISNUMBER(SEARCH(Classifiers!$E$15,E213)),1,0))+IF(Classifiers!$F$15="",0,IF(ISNUMBER(SEARCH(Classifiers!$F$15,E213)),1,0))+IF(Classifiers!$G$15="",0,IF(ISNUMBER(SEARCH(Classifiers!$G$15,E213)),1,0)))&gt;0,1,0))</f>
        <v/>
      </c>
      <c r="U213" s="12">
        <f>IF(H213&lt;&gt;1,0,IF((IF(Classifiers!$B$16="",0,IF(ISNUMBER(SEARCH(Classifiers!$B$16,E213)),1,0))+IF(Classifiers!$C$16="",0,IF(ISNUMBER(SEARCH(Classifiers!$C$16,E213)),1,0))+IF(Classifiers!$D$16="",0,IF(ISNUMBER(SEARCH(Classifiers!$D$16,E213)),1,0))+IF(Classifiers!$E$16="",0,IF(ISNUMBER(SEARCH(Classifiers!$E$16,E213)),1,0))+IF(Classifiers!$F$16="",0,IF(ISNUMBER(SEARCH(Classifiers!$F$16,E213)),1,0))+IF(Classifiers!$G$16="",0,IF(ISNUMBER(SEARCH(Classifiers!$G$16,E213)),1,0)))&gt;0,1,0))</f>
        <v/>
      </c>
      <c r="V213" s="12">
        <f>IF(H213&lt;&gt;1,0,IF((IF(Classifiers!$B$17="",0,IF(ISNUMBER(SEARCH(Classifiers!$B$17,E213)),1,0))+IF(Classifiers!$C$17="",0,IF(ISNUMBER(SEARCH(Classifiers!$C$17,E213)),1,0))+IF(Classifiers!$D$17="",0,IF(ISNUMBER(SEARCH(Classifiers!$D$17,E213)),1,0))+IF(Classifiers!$E$17="",0,IF(ISNUMBER(SEARCH(Classifiers!$E$17,E213)),1,0))+IF(Classifiers!$F$17="",0,IF(ISNUMBER(SEARCH(Classifiers!$F$17,E213)),1,0))+IF(Classifiers!$G$17="",0,IF(ISNUMBER(SEARCH(Classifiers!$G$17,E213)),1,0)))&gt;0,1,0))</f>
        <v/>
      </c>
      <c r="W213" s="12">
        <f>IF(H213&lt;&gt;1,0,IF((IF(Classifiers!$B$18="",0,IF(ISNUMBER(SEARCH(Classifiers!$B$18,E213)),1,0))+IF(Classifiers!$C$18="",0,IF(ISNUMBER(SEARCH(Classifiers!$C$18,E213)),1,0))+IF(Classifiers!$D$18="",0,IF(ISNUMBER(SEARCH(Classifiers!$D$18,E213)),1,0))+IF(Classifiers!$E$18="",0,IF(ISNUMBER(SEARCH(Classifiers!$E$18,E213)),1,0))+IF(Classifiers!$F$18="",0,IF(ISNUMBER(SEARCH(Classifiers!$F$18,E213)),1,0))+IF(Classifiers!$G$18="",0,IF(ISNUMBER(SEARCH(Classifiers!$G$18,E213)),1,0)))&gt;0,1,0))</f>
        <v/>
      </c>
    </row>
    <row r="214">
      <c r="A214" s="8" t="n"/>
      <c r="B214" s="11" t="n"/>
      <c r="C214" s="6">
        <f>IF(A214="","",TRIM(RIGHT(SUBSTITUTE(A214,"/",REPT(" ",250)),250)))</f>
        <v/>
      </c>
      <c r="D214" s="6">
        <f>IF(C214="","",IF(ISNUMBER(SEARCH(".",C214)),LOWER("."&amp;TRIM(RIGHT(SUBSTITUTE(C214,".",REPT(" ",250)),250))),""))</f>
        <v/>
      </c>
      <c r="E214" s="6">
        <f>IF(C214="","",TRIM(SUBSTITUTE(SUBSTITUTE(SUBSTITUTE(SUBSTITUTE(SUBSTITUTE(SUBSTITUTE(SUBSTITUTE(SUBSTITUTE(SUBSTITUTE(SUBSTITUTE(SUBSTITUTE(SUBSTITUTE(SUBSTITUTE(SUBSTITUTE(SUBSTITUTE(SUBSTITUTE(SUBSTITUTE(SUBSTITUTE(SUBSTITUTE(SUBSTITUTE(LOWER(LEFT(C214,LEN(C214)-LEN(D214))),"_"," "),"-"," "),"."," "),","," "),"("," "),")"," "),"["," "),"]"," "),"&amp;"," "),"+"," "),"@"," "),"#"," "),"!"," "),"'"," "),"/"," "),":"," "),";"," "),"="," "),"~"," "),"%"," ")))</f>
        <v/>
      </c>
      <c r="F214" s="6">
        <f>IF(C214="","",IF(COUNTIF(Classifiers!$A$23:$A$40,D214)&gt;0,1,0))</f>
        <v/>
      </c>
      <c r="G214" s="6">
        <f>IF(C214="","",IF(COUNTIF(Classifiers!$C$23:$C$30,D214)&gt;0,IF((IF(ISNUMBER(SEARCH(Classifiers!$E$23,E214)),1,0)+IF(ISNUMBER(SEARCH(Classifiers!$E$24,E214)),1,0)+IF(ISNUMBER(SEARCH(Classifiers!$E$25,E214)),1,0)+IF(ISNUMBER(SEARCH(Classifiers!$E$26,E214)),1,0)+IF(ISNUMBER(SEARCH(Classifiers!$E$27,E214)),1,0)+IF(ISNUMBER(SEARCH(Classifiers!$E$28,E214)),1,0)+IF(ISNUMBER(SEARCH(Classifiers!$E$29,E214)),1,0)+IF(ISNUMBER(SEARCH(Classifiers!$E$30,E214)),1,0))&gt;0,1,0),0))</f>
        <v/>
      </c>
      <c r="H214" s="6">
        <f>IF(C214="","",IF(OR(LEFT(C214,1)=".",AND(F214=0,G214=0)),0,1))</f>
        <v/>
      </c>
      <c r="I214" s="6">
        <f>IF(H214&lt;&gt;1,"",IF(SUM(J214:W214)=0,"unclassified",INDEX(Classifiers!$A$5:$A$18,MATCH(1,J214:W214,0),1)))</f>
        <v/>
      </c>
      <c r="J214" s="12">
        <f>IF(H214&lt;&gt;1,0,IF((IF(Classifiers!$B$5="",0,IF(ISNUMBER(SEARCH(Classifiers!$B$5,E214)),1,0))+IF(Classifiers!$C$5="",0,IF(ISNUMBER(SEARCH(Classifiers!$C$5,E214)),1,0))+IF(Classifiers!$D$5="",0,IF(ISNUMBER(SEARCH(Classifiers!$D$5,E214)),1,0))+IF(Classifiers!$E$5="",0,IF(ISNUMBER(SEARCH(Classifiers!$E$5,E214)),1,0))+IF(Classifiers!$F$5="",0,IF(ISNUMBER(SEARCH(Classifiers!$F$5,E214)),1,0))+IF(Classifiers!$G$5="",0,IF(ISNUMBER(SEARCH(Classifiers!$G$5,E214)),1,0)))&gt;0,1,0))</f>
        <v/>
      </c>
      <c r="K214" s="12">
        <f>IF(H214&lt;&gt;1,0,IF((IF(Classifiers!$B$6="",0,IF(ISNUMBER(SEARCH(Classifiers!$B$6,E214)),1,0))+IF(Classifiers!$C$6="",0,IF(ISNUMBER(SEARCH(Classifiers!$C$6,E214)),1,0))+IF(Classifiers!$D$6="",0,IF(ISNUMBER(SEARCH(Classifiers!$D$6,E214)),1,0))+IF(Classifiers!$E$6="",0,IF(ISNUMBER(SEARCH(Classifiers!$E$6,E214)),1,0))+IF(Classifiers!$F$6="",0,IF(ISNUMBER(SEARCH(Classifiers!$F$6,E214)),1,0))+IF(Classifiers!$G$6="",0,IF(ISNUMBER(SEARCH(Classifiers!$G$6,E214)),1,0)))&gt;0,1,0))</f>
        <v/>
      </c>
      <c r="L214" s="12">
        <f>IF(H214&lt;&gt;1,0,IF((IF(Classifiers!$B$7="",0,IF(ISNUMBER(SEARCH(Classifiers!$B$7,E214)),1,0))+IF(Classifiers!$C$7="",0,IF(ISNUMBER(SEARCH(Classifiers!$C$7,E214)),1,0))+IF(Classifiers!$D$7="",0,IF(ISNUMBER(SEARCH(Classifiers!$D$7,E214)),1,0))+IF(Classifiers!$E$7="",0,IF(ISNUMBER(SEARCH(Classifiers!$E$7,E214)),1,0))+IF(Classifiers!$F$7="",0,IF(ISNUMBER(SEARCH(Classifiers!$F$7,E214)),1,0))+IF(Classifiers!$G$7="",0,IF(ISNUMBER(SEARCH(Classifiers!$G$7,E214)),1,0)))&gt;0,1,0))</f>
        <v/>
      </c>
      <c r="M214" s="12">
        <f>IF(H214&lt;&gt;1,0,IF((IF(Classifiers!$B$8="",0,IF(ISNUMBER(SEARCH(Classifiers!$B$8,E214)),1,0))+IF(Classifiers!$C$8="",0,IF(ISNUMBER(SEARCH(Classifiers!$C$8,E214)),1,0))+IF(Classifiers!$D$8="",0,IF(ISNUMBER(SEARCH(Classifiers!$D$8,E214)),1,0))+IF(Classifiers!$E$8="",0,IF(ISNUMBER(SEARCH(Classifiers!$E$8,E214)),1,0))+IF(Classifiers!$F$8="",0,IF(ISNUMBER(SEARCH(Classifiers!$F$8,E214)),1,0))+IF(Classifiers!$G$8="",0,IF(ISNUMBER(SEARCH(Classifiers!$G$8,E214)),1,0)))&gt;0,1,0))</f>
        <v/>
      </c>
      <c r="N214" s="12">
        <f>IF(H214&lt;&gt;1,0,IF((IF(Classifiers!$B$9="",0,IF(ISNUMBER(SEARCH(Classifiers!$B$9,E214)),1,0))+IF(Classifiers!$C$9="",0,IF(ISNUMBER(SEARCH(Classifiers!$C$9,E214)),1,0))+IF(Classifiers!$D$9="",0,IF(ISNUMBER(SEARCH(Classifiers!$D$9,E214)),1,0))+IF(Classifiers!$E$9="",0,IF(ISNUMBER(SEARCH(Classifiers!$E$9,E214)),1,0))+IF(Classifiers!$F$9="",0,IF(ISNUMBER(SEARCH(Classifiers!$F$9,E214)),1,0))+IF(Classifiers!$G$9="",0,IF(ISNUMBER(SEARCH(Classifiers!$G$9,E214)),1,0)))&gt;0,1,0))</f>
        <v/>
      </c>
      <c r="O214" s="12">
        <f>IF(H214&lt;&gt;1,0,IF((IF(Classifiers!$B$10="",0,IF(ISNUMBER(SEARCH(Classifiers!$B$10,E214)),1,0))+IF(Classifiers!$C$10="",0,IF(ISNUMBER(SEARCH(Classifiers!$C$10,E214)),1,0))+IF(Classifiers!$D$10="",0,IF(ISNUMBER(SEARCH(Classifiers!$D$10,E214)),1,0))+IF(Classifiers!$E$10="",0,IF(ISNUMBER(SEARCH(Classifiers!$E$10,E214)),1,0))+IF(Classifiers!$F$10="",0,IF(ISNUMBER(SEARCH(Classifiers!$F$10,E214)),1,0))+IF(Classifiers!$G$10="",0,IF(ISNUMBER(SEARCH(Classifiers!$G$10,E214)),1,0)))&gt;0,1,0))</f>
        <v/>
      </c>
      <c r="P214" s="12">
        <f>IF(H214&lt;&gt;1,0,IF((IF(Classifiers!$B$11="",0,IF(ISNUMBER(SEARCH(Classifiers!$B$11,E214)),1,0))+IF(Classifiers!$C$11="",0,IF(ISNUMBER(SEARCH(Classifiers!$C$11,E214)),1,0))+IF(Classifiers!$D$11="",0,IF(ISNUMBER(SEARCH(Classifiers!$D$11,E214)),1,0))+IF(Classifiers!$E$11="",0,IF(ISNUMBER(SEARCH(Classifiers!$E$11,E214)),1,0))+IF(Classifiers!$F$11="",0,IF(ISNUMBER(SEARCH(Classifiers!$F$11,E214)),1,0))+IF(Classifiers!$G$11="",0,IF(ISNUMBER(SEARCH(Classifiers!$G$11,E214)),1,0)))&gt;0,1,0))</f>
        <v/>
      </c>
      <c r="Q214" s="12">
        <f>IF(H214&lt;&gt;1,0,IF((IF(Classifiers!$B$12="",0,IF(ISNUMBER(SEARCH(Classifiers!$B$12,E214)),1,0))+IF(Classifiers!$C$12="",0,IF(ISNUMBER(SEARCH(Classifiers!$C$12,E214)),1,0))+IF(Classifiers!$D$12="",0,IF(ISNUMBER(SEARCH(Classifiers!$D$12,E214)),1,0))+IF(Classifiers!$E$12="",0,IF(ISNUMBER(SEARCH(Classifiers!$E$12,E214)),1,0))+IF(Classifiers!$F$12="",0,IF(ISNUMBER(SEARCH(Classifiers!$F$12,E214)),1,0))+IF(Classifiers!$G$12="",0,IF(ISNUMBER(SEARCH(Classifiers!$G$12,E214)),1,0)))&gt;0,1,0))</f>
        <v/>
      </c>
      <c r="R214" s="12">
        <f>IF(H214&lt;&gt;1,0,IF((IF(Classifiers!$B$13="",0,IF(ISNUMBER(SEARCH(Classifiers!$B$13,E214)),1,0))+IF(Classifiers!$C$13="",0,IF(ISNUMBER(SEARCH(Classifiers!$C$13,E214)),1,0))+IF(Classifiers!$D$13="",0,IF(ISNUMBER(SEARCH(Classifiers!$D$13,E214)),1,0))+IF(Classifiers!$E$13="",0,IF(ISNUMBER(SEARCH(Classifiers!$E$13,E214)),1,0))+IF(Classifiers!$F$13="",0,IF(ISNUMBER(SEARCH(Classifiers!$F$13,E214)),1,0))+IF(Classifiers!$G$13="",0,IF(ISNUMBER(SEARCH(Classifiers!$G$13,E214)),1,0)))&gt;0,1,0))</f>
        <v/>
      </c>
      <c r="S214" s="12">
        <f>IF(H214&lt;&gt;1,0,IF((IF(Classifiers!$B$14="",0,IF(ISNUMBER(SEARCH(Classifiers!$B$14,E214)),1,0))+IF(Classifiers!$C$14="",0,IF(ISNUMBER(SEARCH(Classifiers!$C$14,E214)),1,0))+IF(Classifiers!$D$14="",0,IF(ISNUMBER(SEARCH(Classifiers!$D$14,E214)),1,0))+IF(Classifiers!$E$14="",0,IF(ISNUMBER(SEARCH(Classifiers!$E$14,E214)),1,0))+IF(Classifiers!$F$14="",0,IF(ISNUMBER(SEARCH(Classifiers!$F$14,E214)),1,0))+IF(Classifiers!$G$14="",0,IF(ISNUMBER(SEARCH(Classifiers!$G$14,E214)),1,0)))&gt;0,1,0))</f>
        <v/>
      </c>
      <c r="T214" s="12">
        <f>IF(H214&lt;&gt;1,0,IF((IF(Classifiers!$B$15="",0,IF(ISNUMBER(SEARCH(Classifiers!$B$15,E214)),1,0))+IF(Classifiers!$C$15="",0,IF(ISNUMBER(SEARCH(Classifiers!$C$15,E214)),1,0))+IF(Classifiers!$D$15="",0,IF(ISNUMBER(SEARCH(Classifiers!$D$15,E214)),1,0))+IF(Classifiers!$E$15="",0,IF(ISNUMBER(SEARCH(Classifiers!$E$15,E214)),1,0))+IF(Classifiers!$F$15="",0,IF(ISNUMBER(SEARCH(Classifiers!$F$15,E214)),1,0))+IF(Classifiers!$G$15="",0,IF(ISNUMBER(SEARCH(Classifiers!$G$15,E214)),1,0)))&gt;0,1,0))</f>
        <v/>
      </c>
      <c r="U214" s="12">
        <f>IF(H214&lt;&gt;1,0,IF((IF(Classifiers!$B$16="",0,IF(ISNUMBER(SEARCH(Classifiers!$B$16,E214)),1,0))+IF(Classifiers!$C$16="",0,IF(ISNUMBER(SEARCH(Classifiers!$C$16,E214)),1,0))+IF(Classifiers!$D$16="",0,IF(ISNUMBER(SEARCH(Classifiers!$D$16,E214)),1,0))+IF(Classifiers!$E$16="",0,IF(ISNUMBER(SEARCH(Classifiers!$E$16,E214)),1,0))+IF(Classifiers!$F$16="",0,IF(ISNUMBER(SEARCH(Classifiers!$F$16,E214)),1,0))+IF(Classifiers!$G$16="",0,IF(ISNUMBER(SEARCH(Classifiers!$G$16,E214)),1,0)))&gt;0,1,0))</f>
        <v/>
      </c>
      <c r="V214" s="12">
        <f>IF(H214&lt;&gt;1,0,IF((IF(Classifiers!$B$17="",0,IF(ISNUMBER(SEARCH(Classifiers!$B$17,E214)),1,0))+IF(Classifiers!$C$17="",0,IF(ISNUMBER(SEARCH(Classifiers!$C$17,E214)),1,0))+IF(Classifiers!$D$17="",0,IF(ISNUMBER(SEARCH(Classifiers!$D$17,E214)),1,0))+IF(Classifiers!$E$17="",0,IF(ISNUMBER(SEARCH(Classifiers!$E$17,E214)),1,0))+IF(Classifiers!$F$17="",0,IF(ISNUMBER(SEARCH(Classifiers!$F$17,E214)),1,0))+IF(Classifiers!$G$17="",0,IF(ISNUMBER(SEARCH(Classifiers!$G$17,E214)),1,0)))&gt;0,1,0))</f>
        <v/>
      </c>
      <c r="W214" s="12">
        <f>IF(H214&lt;&gt;1,0,IF((IF(Classifiers!$B$18="",0,IF(ISNUMBER(SEARCH(Classifiers!$B$18,E214)),1,0))+IF(Classifiers!$C$18="",0,IF(ISNUMBER(SEARCH(Classifiers!$C$18,E214)),1,0))+IF(Classifiers!$D$18="",0,IF(ISNUMBER(SEARCH(Classifiers!$D$18,E214)),1,0))+IF(Classifiers!$E$18="",0,IF(ISNUMBER(SEARCH(Classifiers!$E$18,E214)),1,0))+IF(Classifiers!$F$18="",0,IF(ISNUMBER(SEARCH(Classifiers!$F$18,E214)),1,0))+IF(Classifiers!$G$18="",0,IF(ISNUMBER(SEARCH(Classifiers!$G$18,E214)),1,0)))&gt;0,1,0))</f>
        <v/>
      </c>
    </row>
    <row r="215">
      <c r="A215" s="8" t="n"/>
      <c r="B215" s="11" t="n"/>
      <c r="C215" s="6">
        <f>IF(A215="","",TRIM(RIGHT(SUBSTITUTE(A215,"/",REPT(" ",250)),250)))</f>
        <v/>
      </c>
      <c r="D215" s="6">
        <f>IF(C215="","",IF(ISNUMBER(SEARCH(".",C215)),LOWER("."&amp;TRIM(RIGHT(SUBSTITUTE(C215,".",REPT(" ",250)),250))),""))</f>
        <v/>
      </c>
      <c r="E215" s="6">
        <f>IF(C215="","",TRIM(SUBSTITUTE(SUBSTITUTE(SUBSTITUTE(SUBSTITUTE(SUBSTITUTE(SUBSTITUTE(SUBSTITUTE(SUBSTITUTE(SUBSTITUTE(SUBSTITUTE(SUBSTITUTE(SUBSTITUTE(SUBSTITUTE(SUBSTITUTE(SUBSTITUTE(SUBSTITUTE(SUBSTITUTE(SUBSTITUTE(SUBSTITUTE(SUBSTITUTE(LOWER(LEFT(C215,LEN(C215)-LEN(D215))),"_"," "),"-"," "),"."," "),","," "),"("," "),")"," "),"["," "),"]"," "),"&amp;"," "),"+"," "),"@"," "),"#"," "),"!"," "),"'"," "),"/"," "),":"," "),";"," "),"="," "),"~"," "),"%"," ")))</f>
        <v/>
      </c>
      <c r="F215" s="6">
        <f>IF(C215="","",IF(COUNTIF(Classifiers!$A$23:$A$40,D215)&gt;0,1,0))</f>
        <v/>
      </c>
      <c r="G215" s="6">
        <f>IF(C215="","",IF(COUNTIF(Classifiers!$C$23:$C$30,D215)&gt;0,IF((IF(ISNUMBER(SEARCH(Classifiers!$E$23,E215)),1,0)+IF(ISNUMBER(SEARCH(Classifiers!$E$24,E215)),1,0)+IF(ISNUMBER(SEARCH(Classifiers!$E$25,E215)),1,0)+IF(ISNUMBER(SEARCH(Classifiers!$E$26,E215)),1,0)+IF(ISNUMBER(SEARCH(Classifiers!$E$27,E215)),1,0)+IF(ISNUMBER(SEARCH(Classifiers!$E$28,E215)),1,0)+IF(ISNUMBER(SEARCH(Classifiers!$E$29,E215)),1,0)+IF(ISNUMBER(SEARCH(Classifiers!$E$30,E215)),1,0))&gt;0,1,0),0))</f>
        <v/>
      </c>
      <c r="H215" s="6">
        <f>IF(C215="","",IF(OR(LEFT(C215,1)=".",AND(F215=0,G215=0)),0,1))</f>
        <v/>
      </c>
      <c r="I215" s="6">
        <f>IF(H215&lt;&gt;1,"",IF(SUM(J215:W215)=0,"unclassified",INDEX(Classifiers!$A$5:$A$18,MATCH(1,J215:W215,0),1)))</f>
        <v/>
      </c>
      <c r="J215" s="12">
        <f>IF(H215&lt;&gt;1,0,IF((IF(Classifiers!$B$5="",0,IF(ISNUMBER(SEARCH(Classifiers!$B$5,E215)),1,0))+IF(Classifiers!$C$5="",0,IF(ISNUMBER(SEARCH(Classifiers!$C$5,E215)),1,0))+IF(Classifiers!$D$5="",0,IF(ISNUMBER(SEARCH(Classifiers!$D$5,E215)),1,0))+IF(Classifiers!$E$5="",0,IF(ISNUMBER(SEARCH(Classifiers!$E$5,E215)),1,0))+IF(Classifiers!$F$5="",0,IF(ISNUMBER(SEARCH(Classifiers!$F$5,E215)),1,0))+IF(Classifiers!$G$5="",0,IF(ISNUMBER(SEARCH(Classifiers!$G$5,E215)),1,0)))&gt;0,1,0))</f>
        <v/>
      </c>
      <c r="K215" s="12">
        <f>IF(H215&lt;&gt;1,0,IF((IF(Classifiers!$B$6="",0,IF(ISNUMBER(SEARCH(Classifiers!$B$6,E215)),1,0))+IF(Classifiers!$C$6="",0,IF(ISNUMBER(SEARCH(Classifiers!$C$6,E215)),1,0))+IF(Classifiers!$D$6="",0,IF(ISNUMBER(SEARCH(Classifiers!$D$6,E215)),1,0))+IF(Classifiers!$E$6="",0,IF(ISNUMBER(SEARCH(Classifiers!$E$6,E215)),1,0))+IF(Classifiers!$F$6="",0,IF(ISNUMBER(SEARCH(Classifiers!$F$6,E215)),1,0))+IF(Classifiers!$G$6="",0,IF(ISNUMBER(SEARCH(Classifiers!$G$6,E215)),1,0)))&gt;0,1,0))</f>
        <v/>
      </c>
      <c r="L215" s="12">
        <f>IF(H215&lt;&gt;1,0,IF((IF(Classifiers!$B$7="",0,IF(ISNUMBER(SEARCH(Classifiers!$B$7,E215)),1,0))+IF(Classifiers!$C$7="",0,IF(ISNUMBER(SEARCH(Classifiers!$C$7,E215)),1,0))+IF(Classifiers!$D$7="",0,IF(ISNUMBER(SEARCH(Classifiers!$D$7,E215)),1,0))+IF(Classifiers!$E$7="",0,IF(ISNUMBER(SEARCH(Classifiers!$E$7,E215)),1,0))+IF(Classifiers!$F$7="",0,IF(ISNUMBER(SEARCH(Classifiers!$F$7,E215)),1,0))+IF(Classifiers!$G$7="",0,IF(ISNUMBER(SEARCH(Classifiers!$G$7,E215)),1,0)))&gt;0,1,0))</f>
        <v/>
      </c>
      <c r="M215" s="12">
        <f>IF(H215&lt;&gt;1,0,IF((IF(Classifiers!$B$8="",0,IF(ISNUMBER(SEARCH(Classifiers!$B$8,E215)),1,0))+IF(Classifiers!$C$8="",0,IF(ISNUMBER(SEARCH(Classifiers!$C$8,E215)),1,0))+IF(Classifiers!$D$8="",0,IF(ISNUMBER(SEARCH(Classifiers!$D$8,E215)),1,0))+IF(Classifiers!$E$8="",0,IF(ISNUMBER(SEARCH(Classifiers!$E$8,E215)),1,0))+IF(Classifiers!$F$8="",0,IF(ISNUMBER(SEARCH(Classifiers!$F$8,E215)),1,0))+IF(Classifiers!$G$8="",0,IF(ISNUMBER(SEARCH(Classifiers!$G$8,E215)),1,0)))&gt;0,1,0))</f>
        <v/>
      </c>
      <c r="N215" s="12">
        <f>IF(H215&lt;&gt;1,0,IF((IF(Classifiers!$B$9="",0,IF(ISNUMBER(SEARCH(Classifiers!$B$9,E215)),1,0))+IF(Classifiers!$C$9="",0,IF(ISNUMBER(SEARCH(Classifiers!$C$9,E215)),1,0))+IF(Classifiers!$D$9="",0,IF(ISNUMBER(SEARCH(Classifiers!$D$9,E215)),1,0))+IF(Classifiers!$E$9="",0,IF(ISNUMBER(SEARCH(Classifiers!$E$9,E215)),1,0))+IF(Classifiers!$F$9="",0,IF(ISNUMBER(SEARCH(Classifiers!$F$9,E215)),1,0))+IF(Classifiers!$G$9="",0,IF(ISNUMBER(SEARCH(Classifiers!$G$9,E215)),1,0)))&gt;0,1,0))</f>
        <v/>
      </c>
      <c r="O215" s="12">
        <f>IF(H215&lt;&gt;1,0,IF((IF(Classifiers!$B$10="",0,IF(ISNUMBER(SEARCH(Classifiers!$B$10,E215)),1,0))+IF(Classifiers!$C$10="",0,IF(ISNUMBER(SEARCH(Classifiers!$C$10,E215)),1,0))+IF(Classifiers!$D$10="",0,IF(ISNUMBER(SEARCH(Classifiers!$D$10,E215)),1,0))+IF(Classifiers!$E$10="",0,IF(ISNUMBER(SEARCH(Classifiers!$E$10,E215)),1,0))+IF(Classifiers!$F$10="",0,IF(ISNUMBER(SEARCH(Classifiers!$F$10,E215)),1,0))+IF(Classifiers!$G$10="",0,IF(ISNUMBER(SEARCH(Classifiers!$G$10,E215)),1,0)))&gt;0,1,0))</f>
        <v/>
      </c>
      <c r="P215" s="12">
        <f>IF(H215&lt;&gt;1,0,IF((IF(Classifiers!$B$11="",0,IF(ISNUMBER(SEARCH(Classifiers!$B$11,E215)),1,0))+IF(Classifiers!$C$11="",0,IF(ISNUMBER(SEARCH(Classifiers!$C$11,E215)),1,0))+IF(Classifiers!$D$11="",0,IF(ISNUMBER(SEARCH(Classifiers!$D$11,E215)),1,0))+IF(Classifiers!$E$11="",0,IF(ISNUMBER(SEARCH(Classifiers!$E$11,E215)),1,0))+IF(Classifiers!$F$11="",0,IF(ISNUMBER(SEARCH(Classifiers!$F$11,E215)),1,0))+IF(Classifiers!$G$11="",0,IF(ISNUMBER(SEARCH(Classifiers!$G$11,E215)),1,0)))&gt;0,1,0))</f>
        <v/>
      </c>
      <c r="Q215" s="12">
        <f>IF(H215&lt;&gt;1,0,IF((IF(Classifiers!$B$12="",0,IF(ISNUMBER(SEARCH(Classifiers!$B$12,E215)),1,0))+IF(Classifiers!$C$12="",0,IF(ISNUMBER(SEARCH(Classifiers!$C$12,E215)),1,0))+IF(Classifiers!$D$12="",0,IF(ISNUMBER(SEARCH(Classifiers!$D$12,E215)),1,0))+IF(Classifiers!$E$12="",0,IF(ISNUMBER(SEARCH(Classifiers!$E$12,E215)),1,0))+IF(Classifiers!$F$12="",0,IF(ISNUMBER(SEARCH(Classifiers!$F$12,E215)),1,0))+IF(Classifiers!$G$12="",0,IF(ISNUMBER(SEARCH(Classifiers!$G$12,E215)),1,0)))&gt;0,1,0))</f>
        <v/>
      </c>
      <c r="R215" s="12">
        <f>IF(H215&lt;&gt;1,0,IF((IF(Classifiers!$B$13="",0,IF(ISNUMBER(SEARCH(Classifiers!$B$13,E215)),1,0))+IF(Classifiers!$C$13="",0,IF(ISNUMBER(SEARCH(Classifiers!$C$13,E215)),1,0))+IF(Classifiers!$D$13="",0,IF(ISNUMBER(SEARCH(Classifiers!$D$13,E215)),1,0))+IF(Classifiers!$E$13="",0,IF(ISNUMBER(SEARCH(Classifiers!$E$13,E215)),1,0))+IF(Classifiers!$F$13="",0,IF(ISNUMBER(SEARCH(Classifiers!$F$13,E215)),1,0))+IF(Classifiers!$G$13="",0,IF(ISNUMBER(SEARCH(Classifiers!$G$13,E215)),1,0)))&gt;0,1,0))</f>
        <v/>
      </c>
      <c r="S215" s="12">
        <f>IF(H215&lt;&gt;1,0,IF((IF(Classifiers!$B$14="",0,IF(ISNUMBER(SEARCH(Classifiers!$B$14,E215)),1,0))+IF(Classifiers!$C$14="",0,IF(ISNUMBER(SEARCH(Classifiers!$C$14,E215)),1,0))+IF(Classifiers!$D$14="",0,IF(ISNUMBER(SEARCH(Classifiers!$D$14,E215)),1,0))+IF(Classifiers!$E$14="",0,IF(ISNUMBER(SEARCH(Classifiers!$E$14,E215)),1,0))+IF(Classifiers!$F$14="",0,IF(ISNUMBER(SEARCH(Classifiers!$F$14,E215)),1,0))+IF(Classifiers!$G$14="",0,IF(ISNUMBER(SEARCH(Classifiers!$G$14,E215)),1,0)))&gt;0,1,0))</f>
        <v/>
      </c>
      <c r="T215" s="12">
        <f>IF(H215&lt;&gt;1,0,IF((IF(Classifiers!$B$15="",0,IF(ISNUMBER(SEARCH(Classifiers!$B$15,E215)),1,0))+IF(Classifiers!$C$15="",0,IF(ISNUMBER(SEARCH(Classifiers!$C$15,E215)),1,0))+IF(Classifiers!$D$15="",0,IF(ISNUMBER(SEARCH(Classifiers!$D$15,E215)),1,0))+IF(Classifiers!$E$15="",0,IF(ISNUMBER(SEARCH(Classifiers!$E$15,E215)),1,0))+IF(Classifiers!$F$15="",0,IF(ISNUMBER(SEARCH(Classifiers!$F$15,E215)),1,0))+IF(Classifiers!$G$15="",0,IF(ISNUMBER(SEARCH(Classifiers!$G$15,E215)),1,0)))&gt;0,1,0))</f>
        <v/>
      </c>
      <c r="U215" s="12">
        <f>IF(H215&lt;&gt;1,0,IF((IF(Classifiers!$B$16="",0,IF(ISNUMBER(SEARCH(Classifiers!$B$16,E215)),1,0))+IF(Classifiers!$C$16="",0,IF(ISNUMBER(SEARCH(Classifiers!$C$16,E215)),1,0))+IF(Classifiers!$D$16="",0,IF(ISNUMBER(SEARCH(Classifiers!$D$16,E215)),1,0))+IF(Classifiers!$E$16="",0,IF(ISNUMBER(SEARCH(Classifiers!$E$16,E215)),1,0))+IF(Classifiers!$F$16="",0,IF(ISNUMBER(SEARCH(Classifiers!$F$16,E215)),1,0))+IF(Classifiers!$G$16="",0,IF(ISNUMBER(SEARCH(Classifiers!$G$16,E215)),1,0)))&gt;0,1,0))</f>
        <v/>
      </c>
      <c r="V215" s="12">
        <f>IF(H215&lt;&gt;1,0,IF((IF(Classifiers!$B$17="",0,IF(ISNUMBER(SEARCH(Classifiers!$B$17,E215)),1,0))+IF(Classifiers!$C$17="",0,IF(ISNUMBER(SEARCH(Classifiers!$C$17,E215)),1,0))+IF(Classifiers!$D$17="",0,IF(ISNUMBER(SEARCH(Classifiers!$D$17,E215)),1,0))+IF(Classifiers!$E$17="",0,IF(ISNUMBER(SEARCH(Classifiers!$E$17,E215)),1,0))+IF(Classifiers!$F$17="",0,IF(ISNUMBER(SEARCH(Classifiers!$F$17,E215)),1,0))+IF(Classifiers!$G$17="",0,IF(ISNUMBER(SEARCH(Classifiers!$G$17,E215)),1,0)))&gt;0,1,0))</f>
        <v/>
      </c>
      <c r="W215" s="12">
        <f>IF(H215&lt;&gt;1,0,IF((IF(Classifiers!$B$18="",0,IF(ISNUMBER(SEARCH(Classifiers!$B$18,E215)),1,0))+IF(Classifiers!$C$18="",0,IF(ISNUMBER(SEARCH(Classifiers!$C$18,E215)),1,0))+IF(Classifiers!$D$18="",0,IF(ISNUMBER(SEARCH(Classifiers!$D$18,E215)),1,0))+IF(Classifiers!$E$18="",0,IF(ISNUMBER(SEARCH(Classifiers!$E$18,E215)),1,0))+IF(Classifiers!$F$18="",0,IF(ISNUMBER(SEARCH(Classifiers!$F$18,E215)),1,0))+IF(Classifiers!$G$18="",0,IF(ISNUMBER(SEARCH(Classifiers!$G$18,E215)),1,0)))&gt;0,1,0))</f>
        <v/>
      </c>
    </row>
    <row r="216">
      <c r="A216" s="8" t="n"/>
      <c r="B216" s="11" t="n"/>
      <c r="C216" s="6">
        <f>IF(A216="","",TRIM(RIGHT(SUBSTITUTE(A216,"/",REPT(" ",250)),250)))</f>
        <v/>
      </c>
      <c r="D216" s="6">
        <f>IF(C216="","",IF(ISNUMBER(SEARCH(".",C216)),LOWER("."&amp;TRIM(RIGHT(SUBSTITUTE(C216,".",REPT(" ",250)),250))),""))</f>
        <v/>
      </c>
      <c r="E216" s="6">
        <f>IF(C216="","",TRIM(SUBSTITUTE(SUBSTITUTE(SUBSTITUTE(SUBSTITUTE(SUBSTITUTE(SUBSTITUTE(SUBSTITUTE(SUBSTITUTE(SUBSTITUTE(SUBSTITUTE(SUBSTITUTE(SUBSTITUTE(SUBSTITUTE(SUBSTITUTE(SUBSTITUTE(SUBSTITUTE(SUBSTITUTE(SUBSTITUTE(SUBSTITUTE(SUBSTITUTE(LOWER(LEFT(C216,LEN(C216)-LEN(D216))),"_"," "),"-"," "),"."," "),","," "),"("," "),")"," "),"["," "),"]"," "),"&amp;"," "),"+"," "),"@"," "),"#"," "),"!"," "),"'"," "),"/"," "),":"," "),";"," "),"="," "),"~"," "),"%"," ")))</f>
        <v/>
      </c>
      <c r="F216" s="6">
        <f>IF(C216="","",IF(COUNTIF(Classifiers!$A$23:$A$40,D216)&gt;0,1,0))</f>
        <v/>
      </c>
      <c r="G216" s="6">
        <f>IF(C216="","",IF(COUNTIF(Classifiers!$C$23:$C$30,D216)&gt;0,IF((IF(ISNUMBER(SEARCH(Classifiers!$E$23,E216)),1,0)+IF(ISNUMBER(SEARCH(Classifiers!$E$24,E216)),1,0)+IF(ISNUMBER(SEARCH(Classifiers!$E$25,E216)),1,0)+IF(ISNUMBER(SEARCH(Classifiers!$E$26,E216)),1,0)+IF(ISNUMBER(SEARCH(Classifiers!$E$27,E216)),1,0)+IF(ISNUMBER(SEARCH(Classifiers!$E$28,E216)),1,0)+IF(ISNUMBER(SEARCH(Classifiers!$E$29,E216)),1,0)+IF(ISNUMBER(SEARCH(Classifiers!$E$30,E216)),1,0))&gt;0,1,0),0))</f>
        <v/>
      </c>
      <c r="H216" s="6">
        <f>IF(C216="","",IF(OR(LEFT(C216,1)=".",AND(F216=0,G216=0)),0,1))</f>
        <v/>
      </c>
      <c r="I216" s="6">
        <f>IF(H216&lt;&gt;1,"",IF(SUM(J216:W216)=0,"unclassified",INDEX(Classifiers!$A$5:$A$18,MATCH(1,J216:W216,0),1)))</f>
        <v/>
      </c>
      <c r="J216" s="12">
        <f>IF(H216&lt;&gt;1,0,IF((IF(Classifiers!$B$5="",0,IF(ISNUMBER(SEARCH(Classifiers!$B$5,E216)),1,0))+IF(Classifiers!$C$5="",0,IF(ISNUMBER(SEARCH(Classifiers!$C$5,E216)),1,0))+IF(Classifiers!$D$5="",0,IF(ISNUMBER(SEARCH(Classifiers!$D$5,E216)),1,0))+IF(Classifiers!$E$5="",0,IF(ISNUMBER(SEARCH(Classifiers!$E$5,E216)),1,0))+IF(Classifiers!$F$5="",0,IF(ISNUMBER(SEARCH(Classifiers!$F$5,E216)),1,0))+IF(Classifiers!$G$5="",0,IF(ISNUMBER(SEARCH(Classifiers!$G$5,E216)),1,0)))&gt;0,1,0))</f>
        <v/>
      </c>
      <c r="K216" s="12">
        <f>IF(H216&lt;&gt;1,0,IF((IF(Classifiers!$B$6="",0,IF(ISNUMBER(SEARCH(Classifiers!$B$6,E216)),1,0))+IF(Classifiers!$C$6="",0,IF(ISNUMBER(SEARCH(Classifiers!$C$6,E216)),1,0))+IF(Classifiers!$D$6="",0,IF(ISNUMBER(SEARCH(Classifiers!$D$6,E216)),1,0))+IF(Classifiers!$E$6="",0,IF(ISNUMBER(SEARCH(Classifiers!$E$6,E216)),1,0))+IF(Classifiers!$F$6="",0,IF(ISNUMBER(SEARCH(Classifiers!$F$6,E216)),1,0))+IF(Classifiers!$G$6="",0,IF(ISNUMBER(SEARCH(Classifiers!$G$6,E216)),1,0)))&gt;0,1,0))</f>
        <v/>
      </c>
      <c r="L216" s="12">
        <f>IF(H216&lt;&gt;1,0,IF((IF(Classifiers!$B$7="",0,IF(ISNUMBER(SEARCH(Classifiers!$B$7,E216)),1,0))+IF(Classifiers!$C$7="",0,IF(ISNUMBER(SEARCH(Classifiers!$C$7,E216)),1,0))+IF(Classifiers!$D$7="",0,IF(ISNUMBER(SEARCH(Classifiers!$D$7,E216)),1,0))+IF(Classifiers!$E$7="",0,IF(ISNUMBER(SEARCH(Classifiers!$E$7,E216)),1,0))+IF(Classifiers!$F$7="",0,IF(ISNUMBER(SEARCH(Classifiers!$F$7,E216)),1,0))+IF(Classifiers!$G$7="",0,IF(ISNUMBER(SEARCH(Classifiers!$G$7,E216)),1,0)))&gt;0,1,0))</f>
        <v/>
      </c>
      <c r="M216" s="12">
        <f>IF(H216&lt;&gt;1,0,IF((IF(Classifiers!$B$8="",0,IF(ISNUMBER(SEARCH(Classifiers!$B$8,E216)),1,0))+IF(Classifiers!$C$8="",0,IF(ISNUMBER(SEARCH(Classifiers!$C$8,E216)),1,0))+IF(Classifiers!$D$8="",0,IF(ISNUMBER(SEARCH(Classifiers!$D$8,E216)),1,0))+IF(Classifiers!$E$8="",0,IF(ISNUMBER(SEARCH(Classifiers!$E$8,E216)),1,0))+IF(Classifiers!$F$8="",0,IF(ISNUMBER(SEARCH(Classifiers!$F$8,E216)),1,0))+IF(Classifiers!$G$8="",0,IF(ISNUMBER(SEARCH(Classifiers!$G$8,E216)),1,0)))&gt;0,1,0))</f>
        <v/>
      </c>
      <c r="N216" s="12">
        <f>IF(H216&lt;&gt;1,0,IF((IF(Classifiers!$B$9="",0,IF(ISNUMBER(SEARCH(Classifiers!$B$9,E216)),1,0))+IF(Classifiers!$C$9="",0,IF(ISNUMBER(SEARCH(Classifiers!$C$9,E216)),1,0))+IF(Classifiers!$D$9="",0,IF(ISNUMBER(SEARCH(Classifiers!$D$9,E216)),1,0))+IF(Classifiers!$E$9="",0,IF(ISNUMBER(SEARCH(Classifiers!$E$9,E216)),1,0))+IF(Classifiers!$F$9="",0,IF(ISNUMBER(SEARCH(Classifiers!$F$9,E216)),1,0))+IF(Classifiers!$G$9="",0,IF(ISNUMBER(SEARCH(Classifiers!$G$9,E216)),1,0)))&gt;0,1,0))</f>
        <v/>
      </c>
      <c r="O216" s="12">
        <f>IF(H216&lt;&gt;1,0,IF((IF(Classifiers!$B$10="",0,IF(ISNUMBER(SEARCH(Classifiers!$B$10,E216)),1,0))+IF(Classifiers!$C$10="",0,IF(ISNUMBER(SEARCH(Classifiers!$C$10,E216)),1,0))+IF(Classifiers!$D$10="",0,IF(ISNUMBER(SEARCH(Classifiers!$D$10,E216)),1,0))+IF(Classifiers!$E$10="",0,IF(ISNUMBER(SEARCH(Classifiers!$E$10,E216)),1,0))+IF(Classifiers!$F$10="",0,IF(ISNUMBER(SEARCH(Classifiers!$F$10,E216)),1,0))+IF(Classifiers!$G$10="",0,IF(ISNUMBER(SEARCH(Classifiers!$G$10,E216)),1,0)))&gt;0,1,0))</f>
        <v/>
      </c>
      <c r="P216" s="12">
        <f>IF(H216&lt;&gt;1,0,IF((IF(Classifiers!$B$11="",0,IF(ISNUMBER(SEARCH(Classifiers!$B$11,E216)),1,0))+IF(Classifiers!$C$11="",0,IF(ISNUMBER(SEARCH(Classifiers!$C$11,E216)),1,0))+IF(Classifiers!$D$11="",0,IF(ISNUMBER(SEARCH(Classifiers!$D$11,E216)),1,0))+IF(Classifiers!$E$11="",0,IF(ISNUMBER(SEARCH(Classifiers!$E$11,E216)),1,0))+IF(Classifiers!$F$11="",0,IF(ISNUMBER(SEARCH(Classifiers!$F$11,E216)),1,0))+IF(Classifiers!$G$11="",0,IF(ISNUMBER(SEARCH(Classifiers!$G$11,E216)),1,0)))&gt;0,1,0))</f>
        <v/>
      </c>
      <c r="Q216" s="12">
        <f>IF(H216&lt;&gt;1,0,IF((IF(Classifiers!$B$12="",0,IF(ISNUMBER(SEARCH(Classifiers!$B$12,E216)),1,0))+IF(Classifiers!$C$12="",0,IF(ISNUMBER(SEARCH(Classifiers!$C$12,E216)),1,0))+IF(Classifiers!$D$12="",0,IF(ISNUMBER(SEARCH(Classifiers!$D$12,E216)),1,0))+IF(Classifiers!$E$12="",0,IF(ISNUMBER(SEARCH(Classifiers!$E$12,E216)),1,0))+IF(Classifiers!$F$12="",0,IF(ISNUMBER(SEARCH(Classifiers!$F$12,E216)),1,0))+IF(Classifiers!$G$12="",0,IF(ISNUMBER(SEARCH(Classifiers!$G$12,E216)),1,0)))&gt;0,1,0))</f>
        <v/>
      </c>
      <c r="R216" s="12">
        <f>IF(H216&lt;&gt;1,0,IF((IF(Classifiers!$B$13="",0,IF(ISNUMBER(SEARCH(Classifiers!$B$13,E216)),1,0))+IF(Classifiers!$C$13="",0,IF(ISNUMBER(SEARCH(Classifiers!$C$13,E216)),1,0))+IF(Classifiers!$D$13="",0,IF(ISNUMBER(SEARCH(Classifiers!$D$13,E216)),1,0))+IF(Classifiers!$E$13="",0,IF(ISNUMBER(SEARCH(Classifiers!$E$13,E216)),1,0))+IF(Classifiers!$F$13="",0,IF(ISNUMBER(SEARCH(Classifiers!$F$13,E216)),1,0))+IF(Classifiers!$G$13="",0,IF(ISNUMBER(SEARCH(Classifiers!$G$13,E216)),1,0)))&gt;0,1,0))</f>
        <v/>
      </c>
      <c r="S216" s="12">
        <f>IF(H216&lt;&gt;1,0,IF((IF(Classifiers!$B$14="",0,IF(ISNUMBER(SEARCH(Classifiers!$B$14,E216)),1,0))+IF(Classifiers!$C$14="",0,IF(ISNUMBER(SEARCH(Classifiers!$C$14,E216)),1,0))+IF(Classifiers!$D$14="",0,IF(ISNUMBER(SEARCH(Classifiers!$D$14,E216)),1,0))+IF(Classifiers!$E$14="",0,IF(ISNUMBER(SEARCH(Classifiers!$E$14,E216)),1,0))+IF(Classifiers!$F$14="",0,IF(ISNUMBER(SEARCH(Classifiers!$F$14,E216)),1,0))+IF(Classifiers!$G$14="",0,IF(ISNUMBER(SEARCH(Classifiers!$G$14,E216)),1,0)))&gt;0,1,0))</f>
        <v/>
      </c>
      <c r="T216" s="12">
        <f>IF(H216&lt;&gt;1,0,IF((IF(Classifiers!$B$15="",0,IF(ISNUMBER(SEARCH(Classifiers!$B$15,E216)),1,0))+IF(Classifiers!$C$15="",0,IF(ISNUMBER(SEARCH(Classifiers!$C$15,E216)),1,0))+IF(Classifiers!$D$15="",0,IF(ISNUMBER(SEARCH(Classifiers!$D$15,E216)),1,0))+IF(Classifiers!$E$15="",0,IF(ISNUMBER(SEARCH(Classifiers!$E$15,E216)),1,0))+IF(Classifiers!$F$15="",0,IF(ISNUMBER(SEARCH(Classifiers!$F$15,E216)),1,0))+IF(Classifiers!$G$15="",0,IF(ISNUMBER(SEARCH(Classifiers!$G$15,E216)),1,0)))&gt;0,1,0))</f>
        <v/>
      </c>
      <c r="U216" s="12">
        <f>IF(H216&lt;&gt;1,0,IF((IF(Classifiers!$B$16="",0,IF(ISNUMBER(SEARCH(Classifiers!$B$16,E216)),1,0))+IF(Classifiers!$C$16="",0,IF(ISNUMBER(SEARCH(Classifiers!$C$16,E216)),1,0))+IF(Classifiers!$D$16="",0,IF(ISNUMBER(SEARCH(Classifiers!$D$16,E216)),1,0))+IF(Classifiers!$E$16="",0,IF(ISNUMBER(SEARCH(Classifiers!$E$16,E216)),1,0))+IF(Classifiers!$F$16="",0,IF(ISNUMBER(SEARCH(Classifiers!$F$16,E216)),1,0))+IF(Classifiers!$G$16="",0,IF(ISNUMBER(SEARCH(Classifiers!$G$16,E216)),1,0)))&gt;0,1,0))</f>
        <v/>
      </c>
      <c r="V216" s="12">
        <f>IF(H216&lt;&gt;1,0,IF((IF(Classifiers!$B$17="",0,IF(ISNUMBER(SEARCH(Classifiers!$B$17,E216)),1,0))+IF(Classifiers!$C$17="",0,IF(ISNUMBER(SEARCH(Classifiers!$C$17,E216)),1,0))+IF(Classifiers!$D$17="",0,IF(ISNUMBER(SEARCH(Classifiers!$D$17,E216)),1,0))+IF(Classifiers!$E$17="",0,IF(ISNUMBER(SEARCH(Classifiers!$E$17,E216)),1,0))+IF(Classifiers!$F$17="",0,IF(ISNUMBER(SEARCH(Classifiers!$F$17,E216)),1,0))+IF(Classifiers!$G$17="",0,IF(ISNUMBER(SEARCH(Classifiers!$G$17,E216)),1,0)))&gt;0,1,0))</f>
        <v/>
      </c>
      <c r="W216" s="12">
        <f>IF(H216&lt;&gt;1,0,IF((IF(Classifiers!$B$18="",0,IF(ISNUMBER(SEARCH(Classifiers!$B$18,E216)),1,0))+IF(Classifiers!$C$18="",0,IF(ISNUMBER(SEARCH(Classifiers!$C$18,E216)),1,0))+IF(Classifiers!$D$18="",0,IF(ISNUMBER(SEARCH(Classifiers!$D$18,E216)),1,0))+IF(Classifiers!$E$18="",0,IF(ISNUMBER(SEARCH(Classifiers!$E$18,E216)),1,0))+IF(Classifiers!$F$18="",0,IF(ISNUMBER(SEARCH(Classifiers!$F$18,E216)),1,0))+IF(Classifiers!$G$18="",0,IF(ISNUMBER(SEARCH(Classifiers!$G$18,E216)),1,0)))&gt;0,1,0))</f>
        <v/>
      </c>
    </row>
    <row r="217">
      <c r="A217" s="8" t="n"/>
      <c r="B217" s="11" t="n"/>
      <c r="C217" s="6">
        <f>IF(A217="","",TRIM(RIGHT(SUBSTITUTE(A217,"/",REPT(" ",250)),250)))</f>
        <v/>
      </c>
      <c r="D217" s="6">
        <f>IF(C217="","",IF(ISNUMBER(SEARCH(".",C217)),LOWER("."&amp;TRIM(RIGHT(SUBSTITUTE(C217,".",REPT(" ",250)),250))),""))</f>
        <v/>
      </c>
      <c r="E217" s="6">
        <f>IF(C217="","",TRIM(SUBSTITUTE(SUBSTITUTE(SUBSTITUTE(SUBSTITUTE(SUBSTITUTE(SUBSTITUTE(SUBSTITUTE(SUBSTITUTE(SUBSTITUTE(SUBSTITUTE(SUBSTITUTE(SUBSTITUTE(SUBSTITUTE(SUBSTITUTE(SUBSTITUTE(SUBSTITUTE(SUBSTITUTE(SUBSTITUTE(SUBSTITUTE(SUBSTITUTE(LOWER(LEFT(C217,LEN(C217)-LEN(D217))),"_"," "),"-"," "),"."," "),","," "),"("," "),")"," "),"["," "),"]"," "),"&amp;"," "),"+"," "),"@"," "),"#"," "),"!"," "),"'"," "),"/"," "),":"," "),";"," "),"="," "),"~"," "),"%"," ")))</f>
        <v/>
      </c>
      <c r="F217" s="6">
        <f>IF(C217="","",IF(COUNTIF(Classifiers!$A$23:$A$40,D217)&gt;0,1,0))</f>
        <v/>
      </c>
      <c r="G217" s="6">
        <f>IF(C217="","",IF(COUNTIF(Classifiers!$C$23:$C$30,D217)&gt;0,IF((IF(ISNUMBER(SEARCH(Classifiers!$E$23,E217)),1,0)+IF(ISNUMBER(SEARCH(Classifiers!$E$24,E217)),1,0)+IF(ISNUMBER(SEARCH(Classifiers!$E$25,E217)),1,0)+IF(ISNUMBER(SEARCH(Classifiers!$E$26,E217)),1,0)+IF(ISNUMBER(SEARCH(Classifiers!$E$27,E217)),1,0)+IF(ISNUMBER(SEARCH(Classifiers!$E$28,E217)),1,0)+IF(ISNUMBER(SEARCH(Classifiers!$E$29,E217)),1,0)+IF(ISNUMBER(SEARCH(Classifiers!$E$30,E217)),1,0))&gt;0,1,0),0))</f>
        <v/>
      </c>
      <c r="H217" s="6">
        <f>IF(C217="","",IF(OR(LEFT(C217,1)=".",AND(F217=0,G217=0)),0,1))</f>
        <v/>
      </c>
      <c r="I217" s="6">
        <f>IF(H217&lt;&gt;1,"",IF(SUM(J217:W217)=0,"unclassified",INDEX(Classifiers!$A$5:$A$18,MATCH(1,J217:W217,0),1)))</f>
        <v/>
      </c>
      <c r="J217" s="12">
        <f>IF(H217&lt;&gt;1,0,IF((IF(Classifiers!$B$5="",0,IF(ISNUMBER(SEARCH(Classifiers!$B$5,E217)),1,0))+IF(Classifiers!$C$5="",0,IF(ISNUMBER(SEARCH(Classifiers!$C$5,E217)),1,0))+IF(Classifiers!$D$5="",0,IF(ISNUMBER(SEARCH(Classifiers!$D$5,E217)),1,0))+IF(Classifiers!$E$5="",0,IF(ISNUMBER(SEARCH(Classifiers!$E$5,E217)),1,0))+IF(Classifiers!$F$5="",0,IF(ISNUMBER(SEARCH(Classifiers!$F$5,E217)),1,0))+IF(Classifiers!$G$5="",0,IF(ISNUMBER(SEARCH(Classifiers!$G$5,E217)),1,0)))&gt;0,1,0))</f>
        <v/>
      </c>
      <c r="K217" s="12">
        <f>IF(H217&lt;&gt;1,0,IF((IF(Classifiers!$B$6="",0,IF(ISNUMBER(SEARCH(Classifiers!$B$6,E217)),1,0))+IF(Classifiers!$C$6="",0,IF(ISNUMBER(SEARCH(Classifiers!$C$6,E217)),1,0))+IF(Classifiers!$D$6="",0,IF(ISNUMBER(SEARCH(Classifiers!$D$6,E217)),1,0))+IF(Classifiers!$E$6="",0,IF(ISNUMBER(SEARCH(Classifiers!$E$6,E217)),1,0))+IF(Classifiers!$F$6="",0,IF(ISNUMBER(SEARCH(Classifiers!$F$6,E217)),1,0))+IF(Classifiers!$G$6="",0,IF(ISNUMBER(SEARCH(Classifiers!$G$6,E217)),1,0)))&gt;0,1,0))</f>
        <v/>
      </c>
      <c r="L217" s="12">
        <f>IF(H217&lt;&gt;1,0,IF((IF(Classifiers!$B$7="",0,IF(ISNUMBER(SEARCH(Classifiers!$B$7,E217)),1,0))+IF(Classifiers!$C$7="",0,IF(ISNUMBER(SEARCH(Classifiers!$C$7,E217)),1,0))+IF(Classifiers!$D$7="",0,IF(ISNUMBER(SEARCH(Classifiers!$D$7,E217)),1,0))+IF(Classifiers!$E$7="",0,IF(ISNUMBER(SEARCH(Classifiers!$E$7,E217)),1,0))+IF(Classifiers!$F$7="",0,IF(ISNUMBER(SEARCH(Classifiers!$F$7,E217)),1,0))+IF(Classifiers!$G$7="",0,IF(ISNUMBER(SEARCH(Classifiers!$G$7,E217)),1,0)))&gt;0,1,0))</f>
        <v/>
      </c>
      <c r="M217" s="12">
        <f>IF(H217&lt;&gt;1,0,IF((IF(Classifiers!$B$8="",0,IF(ISNUMBER(SEARCH(Classifiers!$B$8,E217)),1,0))+IF(Classifiers!$C$8="",0,IF(ISNUMBER(SEARCH(Classifiers!$C$8,E217)),1,0))+IF(Classifiers!$D$8="",0,IF(ISNUMBER(SEARCH(Classifiers!$D$8,E217)),1,0))+IF(Classifiers!$E$8="",0,IF(ISNUMBER(SEARCH(Classifiers!$E$8,E217)),1,0))+IF(Classifiers!$F$8="",0,IF(ISNUMBER(SEARCH(Classifiers!$F$8,E217)),1,0))+IF(Classifiers!$G$8="",0,IF(ISNUMBER(SEARCH(Classifiers!$G$8,E217)),1,0)))&gt;0,1,0))</f>
        <v/>
      </c>
      <c r="N217" s="12">
        <f>IF(H217&lt;&gt;1,0,IF((IF(Classifiers!$B$9="",0,IF(ISNUMBER(SEARCH(Classifiers!$B$9,E217)),1,0))+IF(Classifiers!$C$9="",0,IF(ISNUMBER(SEARCH(Classifiers!$C$9,E217)),1,0))+IF(Classifiers!$D$9="",0,IF(ISNUMBER(SEARCH(Classifiers!$D$9,E217)),1,0))+IF(Classifiers!$E$9="",0,IF(ISNUMBER(SEARCH(Classifiers!$E$9,E217)),1,0))+IF(Classifiers!$F$9="",0,IF(ISNUMBER(SEARCH(Classifiers!$F$9,E217)),1,0))+IF(Classifiers!$G$9="",0,IF(ISNUMBER(SEARCH(Classifiers!$G$9,E217)),1,0)))&gt;0,1,0))</f>
        <v/>
      </c>
      <c r="O217" s="12">
        <f>IF(H217&lt;&gt;1,0,IF((IF(Classifiers!$B$10="",0,IF(ISNUMBER(SEARCH(Classifiers!$B$10,E217)),1,0))+IF(Classifiers!$C$10="",0,IF(ISNUMBER(SEARCH(Classifiers!$C$10,E217)),1,0))+IF(Classifiers!$D$10="",0,IF(ISNUMBER(SEARCH(Classifiers!$D$10,E217)),1,0))+IF(Classifiers!$E$10="",0,IF(ISNUMBER(SEARCH(Classifiers!$E$10,E217)),1,0))+IF(Classifiers!$F$10="",0,IF(ISNUMBER(SEARCH(Classifiers!$F$10,E217)),1,0))+IF(Classifiers!$G$10="",0,IF(ISNUMBER(SEARCH(Classifiers!$G$10,E217)),1,0)))&gt;0,1,0))</f>
        <v/>
      </c>
      <c r="P217" s="12">
        <f>IF(H217&lt;&gt;1,0,IF((IF(Classifiers!$B$11="",0,IF(ISNUMBER(SEARCH(Classifiers!$B$11,E217)),1,0))+IF(Classifiers!$C$11="",0,IF(ISNUMBER(SEARCH(Classifiers!$C$11,E217)),1,0))+IF(Classifiers!$D$11="",0,IF(ISNUMBER(SEARCH(Classifiers!$D$11,E217)),1,0))+IF(Classifiers!$E$11="",0,IF(ISNUMBER(SEARCH(Classifiers!$E$11,E217)),1,0))+IF(Classifiers!$F$11="",0,IF(ISNUMBER(SEARCH(Classifiers!$F$11,E217)),1,0))+IF(Classifiers!$G$11="",0,IF(ISNUMBER(SEARCH(Classifiers!$G$11,E217)),1,0)))&gt;0,1,0))</f>
        <v/>
      </c>
      <c r="Q217" s="12">
        <f>IF(H217&lt;&gt;1,0,IF((IF(Classifiers!$B$12="",0,IF(ISNUMBER(SEARCH(Classifiers!$B$12,E217)),1,0))+IF(Classifiers!$C$12="",0,IF(ISNUMBER(SEARCH(Classifiers!$C$12,E217)),1,0))+IF(Classifiers!$D$12="",0,IF(ISNUMBER(SEARCH(Classifiers!$D$12,E217)),1,0))+IF(Classifiers!$E$12="",0,IF(ISNUMBER(SEARCH(Classifiers!$E$12,E217)),1,0))+IF(Classifiers!$F$12="",0,IF(ISNUMBER(SEARCH(Classifiers!$F$12,E217)),1,0))+IF(Classifiers!$G$12="",0,IF(ISNUMBER(SEARCH(Classifiers!$G$12,E217)),1,0)))&gt;0,1,0))</f>
        <v/>
      </c>
      <c r="R217" s="12">
        <f>IF(H217&lt;&gt;1,0,IF((IF(Classifiers!$B$13="",0,IF(ISNUMBER(SEARCH(Classifiers!$B$13,E217)),1,0))+IF(Classifiers!$C$13="",0,IF(ISNUMBER(SEARCH(Classifiers!$C$13,E217)),1,0))+IF(Classifiers!$D$13="",0,IF(ISNUMBER(SEARCH(Classifiers!$D$13,E217)),1,0))+IF(Classifiers!$E$13="",0,IF(ISNUMBER(SEARCH(Classifiers!$E$13,E217)),1,0))+IF(Classifiers!$F$13="",0,IF(ISNUMBER(SEARCH(Classifiers!$F$13,E217)),1,0))+IF(Classifiers!$G$13="",0,IF(ISNUMBER(SEARCH(Classifiers!$G$13,E217)),1,0)))&gt;0,1,0))</f>
        <v/>
      </c>
      <c r="S217" s="12">
        <f>IF(H217&lt;&gt;1,0,IF((IF(Classifiers!$B$14="",0,IF(ISNUMBER(SEARCH(Classifiers!$B$14,E217)),1,0))+IF(Classifiers!$C$14="",0,IF(ISNUMBER(SEARCH(Classifiers!$C$14,E217)),1,0))+IF(Classifiers!$D$14="",0,IF(ISNUMBER(SEARCH(Classifiers!$D$14,E217)),1,0))+IF(Classifiers!$E$14="",0,IF(ISNUMBER(SEARCH(Classifiers!$E$14,E217)),1,0))+IF(Classifiers!$F$14="",0,IF(ISNUMBER(SEARCH(Classifiers!$F$14,E217)),1,0))+IF(Classifiers!$G$14="",0,IF(ISNUMBER(SEARCH(Classifiers!$G$14,E217)),1,0)))&gt;0,1,0))</f>
        <v/>
      </c>
      <c r="T217" s="12">
        <f>IF(H217&lt;&gt;1,0,IF((IF(Classifiers!$B$15="",0,IF(ISNUMBER(SEARCH(Classifiers!$B$15,E217)),1,0))+IF(Classifiers!$C$15="",0,IF(ISNUMBER(SEARCH(Classifiers!$C$15,E217)),1,0))+IF(Classifiers!$D$15="",0,IF(ISNUMBER(SEARCH(Classifiers!$D$15,E217)),1,0))+IF(Classifiers!$E$15="",0,IF(ISNUMBER(SEARCH(Classifiers!$E$15,E217)),1,0))+IF(Classifiers!$F$15="",0,IF(ISNUMBER(SEARCH(Classifiers!$F$15,E217)),1,0))+IF(Classifiers!$G$15="",0,IF(ISNUMBER(SEARCH(Classifiers!$G$15,E217)),1,0)))&gt;0,1,0))</f>
        <v/>
      </c>
      <c r="U217" s="12">
        <f>IF(H217&lt;&gt;1,0,IF((IF(Classifiers!$B$16="",0,IF(ISNUMBER(SEARCH(Classifiers!$B$16,E217)),1,0))+IF(Classifiers!$C$16="",0,IF(ISNUMBER(SEARCH(Classifiers!$C$16,E217)),1,0))+IF(Classifiers!$D$16="",0,IF(ISNUMBER(SEARCH(Classifiers!$D$16,E217)),1,0))+IF(Classifiers!$E$16="",0,IF(ISNUMBER(SEARCH(Classifiers!$E$16,E217)),1,0))+IF(Classifiers!$F$16="",0,IF(ISNUMBER(SEARCH(Classifiers!$F$16,E217)),1,0))+IF(Classifiers!$G$16="",0,IF(ISNUMBER(SEARCH(Classifiers!$G$16,E217)),1,0)))&gt;0,1,0))</f>
        <v/>
      </c>
      <c r="V217" s="12">
        <f>IF(H217&lt;&gt;1,0,IF((IF(Classifiers!$B$17="",0,IF(ISNUMBER(SEARCH(Classifiers!$B$17,E217)),1,0))+IF(Classifiers!$C$17="",0,IF(ISNUMBER(SEARCH(Classifiers!$C$17,E217)),1,0))+IF(Classifiers!$D$17="",0,IF(ISNUMBER(SEARCH(Classifiers!$D$17,E217)),1,0))+IF(Classifiers!$E$17="",0,IF(ISNUMBER(SEARCH(Classifiers!$E$17,E217)),1,0))+IF(Classifiers!$F$17="",0,IF(ISNUMBER(SEARCH(Classifiers!$F$17,E217)),1,0))+IF(Classifiers!$G$17="",0,IF(ISNUMBER(SEARCH(Classifiers!$G$17,E217)),1,0)))&gt;0,1,0))</f>
        <v/>
      </c>
      <c r="W217" s="12">
        <f>IF(H217&lt;&gt;1,0,IF((IF(Classifiers!$B$18="",0,IF(ISNUMBER(SEARCH(Classifiers!$B$18,E217)),1,0))+IF(Classifiers!$C$18="",0,IF(ISNUMBER(SEARCH(Classifiers!$C$18,E217)),1,0))+IF(Classifiers!$D$18="",0,IF(ISNUMBER(SEARCH(Classifiers!$D$18,E217)),1,0))+IF(Classifiers!$E$18="",0,IF(ISNUMBER(SEARCH(Classifiers!$E$18,E217)),1,0))+IF(Classifiers!$F$18="",0,IF(ISNUMBER(SEARCH(Classifiers!$F$18,E217)),1,0))+IF(Classifiers!$G$18="",0,IF(ISNUMBER(SEARCH(Classifiers!$G$18,E217)),1,0)))&gt;0,1,0))</f>
        <v/>
      </c>
    </row>
    <row r="218">
      <c r="A218" s="8" t="n"/>
      <c r="B218" s="11" t="n"/>
      <c r="C218" s="6">
        <f>IF(A218="","",TRIM(RIGHT(SUBSTITUTE(A218,"/",REPT(" ",250)),250)))</f>
        <v/>
      </c>
      <c r="D218" s="6">
        <f>IF(C218="","",IF(ISNUMBER(SEARCH(".",C218)),LOWER("."&amp;TRIM(RIGHT(SUBSTITUTE(C218,".",REPT(" ",250)),250))),""))</f>
        <v/>
      </c>
      <c r="E218" s="6">
        <f>IF(C218="","",TRIM(SUBSTITUTE(SUBSTITUTE(SUBSTITUTE(SUBSTITUTE(SUBSTITUTE(SUBSTITUTE(SUBSTITUTE(SUBSTITUTE(SUBSTITUTE(SUBSTITUTE(SUBSTITUTE(SUBSTITUTE(SUBSTITUTE(SUBSTITUTE(SUBSTITUTE(SUBSTITUTE(SUBSTITUTE(SUBSTITUTE(SUBSTITUTE(SUBSTITUTE(LOWER(LEFT(C218,LEN(C218)-LEN(D218))),"_"," "),"-"," "),"."," "),","," "),"("," "),")"," "),"["," "),"]"," "),"&amp;"," "),"+"," "),"@"," "),"#"," "),"!"," "),"'"," "),"/"," "),":"," "),";"," "),"="," "),"~"," "),"%"," ")))</f>
        <v/>
      </c>
      <c r="F218" s="6">
        <f>IF(C218="","",IF(COUNTIF(Classifiers!$A$23:$A$40,D218)&gt;0,1,0))</f>
        <v/>
      </c>
      <c r="G218" s="6">
        <f>IF(C218="","",IF(COUNTIF(Classifiers!$C$23:$C$30,D218)&gt;0,IF((IF(ISNUMBER(SEARCH(Classifiers!$E$23,E218)),1,0)+IF(ISNUMBER(SEARCH(Classifiers!$E$24,E218)),1,0)+IF(ISNUMBER(SEARCH(Classifiers!$E$25,E218)),1,0)+IF(ISNUMBER(SEARCH(Classifiers!$E$26,E218)),1,0)+IF(ISNUMBER(SEARCH(Classifiers!$E$27,E218)),1,0)+IF(ISNUMBER(SEARCH(Classifiers!$E$28,E218)),1,0)+IF(ISNUMBER(SEARCH(Classifiers!$E$29,E218)),1,0)+IF(ISNUMBER(SEARCH(Classifiers!$E$30,E218)),1,0))&gt;0,1,0),0))</f>
        <v/>
      </c>
      <c r="H218" s="6">
        <f>IF(C218="","",IF(OR(LEFT(C218,1)=".",AND(F218=0,G218=0)),0,1))</f>
        <v/>
      </c>
      <c r="I218" s="6">
        <f>IF(H218&lt;&gt;1,"",IF(SUM(J218:W218)=0,"unclassified",INDEX(Classifiers!$A$5:$A$18,MATCH(1,J218:W218,0),1)))</f>
        <v/>
      </c>
      <c r="J218" s="12">
        <f>IF(H218&lt;&gt;1,0,IF((IF(Classifiers!$B$5="",0,IF(ISNUMBER(SEARCH(Classifiers!$B$5,E218)),1,0))+IF(Classifiers!$C$5="",0,IF(ISNUMBER(SEARCH(Classifiers!$C$5,E218)),1,0))+IF(Classifiers!$D$5="",0,IF(ISNUMBER(SEARCH(Classifiers!$D$5,E218)),1,0))+IF(Classifiers!$E$5="",0,IF(ISNUMBER(SEARCH(Classifiers!$E$5,E218)),1,0))+IF(Classifiers!$F$5="",0,IF(ISNUMBER(SEARCH(Classifiers!$F$5,E218)),1,0))+IF(Classifiers!$G$5="",0,IF(ISNUMBER(SEARCH(Classifiers!$G$5,E218)),1,0)))&gt;0,1,0))</f>
        <v/>
      </c>
      <c r="K218" s="12">
        <f>IF(H218&lt;&gt;1,0,IF((IF(Classifiers!$B$6="",0,IF(ISNUMBER(SEARCH(Classifiers!$B$6,E218)),1,0))+IF(Classifiers!$C$6="",0,IF(ISNUMBER(SEARCH(Classifiers!$C$6,E218)),1,0))+IF(Classifiers!$D$6="",0,IF(ISNUMBER(SEARCH(Classifiers!$D$6,E218)),1,0))+IF(Classifiers!$E$6="",0,IF(ISNUMBER(SEARCH(Classifiers!$E$6,E218)),1,0))+IF(Classifiers!$F$6="",0,IF(ISNUMBER(SEARCH(Classifiers!$F$6,E218)),1,0))+IF(Classifiers!$G$6="",0,IF(ISNUMBER(SEARCH(Classifiers!$G$6,E218)),1,0)))&gt;0,1,0))</f>
        <v/>
      </c>
      <c r="L218" s="12">
        <f>IF(H218&lt;&gt;1,0,IF((IF(Classifiers!$B$7="",0,IF(ISNUMBER(SEARCH(Classifiers!$B$7,E218)),1,0))+IF(Classifiers!$C$7="",0,IF(ISNUMBER(SEARCH(Classifiers!$C$7,E218)),1,0))+IF(Classifiers!$D$7="",0,IF(ISNUMBER(SEARCH(Classifiers!$D$7,E218)),1,0))+IF(Classifiers!$E$7="",0,IF(ISNUMBER(SEARCH(Classifiers!$E$7,E218)),1,0))+IF(Classifiers!$F$7="",0,IF(ISNUMBER(SEARCH(Classifiers!$F$7,E218)),1,0))+IF(Classifiers!$G$7="",0,IF(ISNUMBER(SEARCH(Classifiers!$G$7,E218)),1,0)))&gt;0,1,0))</f>
        <v/>
      </c>
      <c r="M218" s="12">
        <f>IF(H218&lt;&gt;1,0,IF((IF(Classifiers!$B$8="",0,IF(ISNUMBER(SEARCH(Classifiers!$B$8,E218)),1,0))+IF(Classifiers!$C$8="",0,IF(ISNUMBER(SEARCH(Classifiers!$C$8,E218)),1,0))+IF(Classifiers!$D$8="",0,IF(ISNUMBER(SEARCH(Classifiers!$D$8,E218)),1,0))+IF(Classifiers!$E$8="",0,IF(ISNUMBER(SEARCH(Classifiers!$E$8,E218)),1,0))+IF(Classifiers!$F$8="",0,IF(ISNUMBER(SEARCH(Classifiers!$F$8,E218)),1,0))+IF(Classifiers!$G$8="",0,IF(ISNUMBER(SEARCH(Classifiers!$G$8,E218)),1,0)))&gt;0,1,0))</f>
        <v/>
      </c>
      <c r="N218" s="12">
        <f>IF(H218&lt;&gt;1,0,IF((IF(Classifiers!$B$9="",0,IF(ISNUMBER(SEARCH(Classifiers!$B$9,E218)),1,0))+IF(Classifiers!$C$9="",0,IF(ISNUMBER(SEARCH(Classifiers!$C$9,E218)),1,0))+IF(Classifiers!$D$9="",0,IF(ISNUMBER(SEARCH(Classifiers!$D$9,E218)),1,0))+IF(Classifiers!$E$9="",0,IF(ISNUMBER(SEARCH(Classifiers!$E$9,E218)),1,0))+IF(Classifiers!$F$9="",0,IF(ISNUMBER(SEARCH(Classifiers!$F$9,E218)),1,0))+IF(Classifiers!$G$9="",0,IF(ISNUMBER(SEARCH(Classifiers!$G$9,E218)),1,0)))&gt;0,1,0))</f>
        <v/>
      </c>
      <c r="O218" s="12">
        <f>IF(H218&lt;&gt;1,0,IF((IF(Classifiers!$B$10="",0,IF(ISNUMBER(SEARCH(Classifiers!$B$10,E218)),1,0))+IF(Classifiers!$C$10="",0,IF(ISNUMBER(SEARCH(Classifiers!$C$10,E218)),1,0))+IF(Classifiers!$D$10="",0,IF(ISNUMBER(SEARCH(Classifiers!$D$10,E218)),1,0))+IF(Classifiers!$E$10="",0,IF(ISNUMBER(SEARCH(Classifiers!$E$10,E218)),1,0))+IF(Classifiers!$F$10="",0,IF(ISNUMBER(SEARCH(Classifiers!$F$10,E218)),1,0))+IF(Classifiers!$G$10="",0,IF(ISNUMBER(SEARCH(Classifiers!$G$10,E218)),1,0)))&gt;0,1,0))</f>
        <v/>
      </c>
      <c r="P218" s="12">
        <f>IF(H218&lt;&gt;1,0,IF((IF(Classifiers!$B$11="",0,IF(ISNUMBER(SEARCH(Classifiers!$B$11,E218)),1,0))+IF(Classifiers!$C$11="",0,IF(ISNUMBER(SEARCH(Classifiers!$C$11,E218)),1,0))+IF(Classifiers!$D$11="",0,IF(ISNUMBER(SEARCH(Classifiers!$D$11,E218)),1,0))+IF(Classifiers!$E$11="",0,IF(ISNUMBER(SEARCH(Classifiers!$E$11,E218)),1,0))+IF(Classifiers!$F$11="",0,IF(ISNUMBER(SEARCH(Classifiers!$F$11,E218)),1,0))+IF(Classifiers!$G$11="",0,IF(ISNUMBER(SEARCH(Classifiers!$G$11,E218)),1,0)))&gt;0,1,0))</f>
        <v/>
      </c>
      <c r="Q218" s="12">
        <f>IF(H218&lt;&gt;1,0,IF((IF(Classifiers!$B$12="",0,IF(ISNUMBER(SEARCH(Classifiers!$B$12,E218)),1,0))+IF(Classifiers!$C$12="",0,IF(ISNUMBER(SEARCH(Classifiers!$C$12,E218)),1,0))+IF(Classifiers!$D$12="",0,IF(ISNUMBER(SEARCH(Classifiers!$D$12,E218)),1,0))+IF(Classifiers!$E$12="",0,IF(ISNUMBER(SEARCH(Classifiers!$E$12,E218)),1,0))+IF(Classifiers!$F$12="",0,IF(ISNUMBER(SEARCH(Classifiers!$F$12,E218)),1,0))+IF(Classifiers!$G$12="",0,IF(ISNUMBER(SEARCH(Classifiers!$G$12,E218)),1,0)))&gt;0,1,0))</f>
        <v/>
      </c>
      <c r="R218" s="12">
        <f>IF(H218&lt;&gt;1,0,IF((IF(Classifiers!$B$13="",0,IF(ISNUMBER(SEARCH(Classifiers!$B$13,E218)),1,0))+IF(Classifiers!$C$13="",0,IF(ISNUMBER(SEARCH(Classifiers!$C$13,E218)),1,0))+IF(Classifiers!$D$13="",0,IF(ISNUMBER(SEARCH(Classifiers!$D$13,E218)),1,0))+IF(Classifiers!$E$13="",0,IF(ISNUMBER(SEARCH(Classifiers!$E$13,E218)),1,0))+IF(Classifiers!$F$13="",0,IF(ISNUMBER(SEARCH(Classifiers!$F$13,E218)),1,0))+IF(Classifiers!$G$13="",0,IF(ISNUMBER(SEARCH(Classifiers!$G$13,E218)),1,0)))&gt;0,1,0))</f>
        <v/>
      </c>
      <c r="S218" s="12">
        <f>IF(H218&lt;&gt;1,0,IF((IF(Classifiers!$B$14="",0,IF(ISNUMBER(SEARCH(Classifiers!$B$14,E218)),1,0))+IF(Classifiers!$C$14="",0,IF(ISNUMBER(SEARCH(Classifiers!$C$14,E218)),1,0))+IF(Classifiers!$D$14="",0,IF(ISNUMBER(SEARCH(Classifiers!$D$14,E218)),1,0))+IF(Classifiers!$E$14="",0,IF(ISNUMBER(SEARCH(Classifiers!$E$14,E218)),1,0))+IF(Classifiers!$F$14="",0,IF(ISNUMBER(SEARCH(Classifiers!$F$14,E218)),1,0))+IF(Classifiers!$G$14="",0,IF(ISNUMBER(SEARCH(Classifiers!$G$14,E218)),1,0)))&gt;0,1,0))</f>
        <v/>
      </c>
      <c r="T218" s="12">
        <f>IF(H218&lt;&gt;1,0,IF((IF(Classifiers!$B$15="",0,IF(ISNUMBER(SEARCH(Classifiers!$B$15,E218)),1,0))+IF(Classifiers!$C$15="",0,IF(ISNUMBER(SEARCH(Classifiers!$C$15,E218)),1,0))+IF(Classifiers!$D$15="",0,IF(ISNUMBER(SEARCH(Classifiers!$D$15,E218)),1,0))+IF(Classifiers!$E$15="",0,IF(ISNUMBER(SEARCH(Classifiers!$E$15,E218)),1,0))+IF(Classifiers!$F$15="",0,IF(ISNUMBER(SEARCH(Classifiers!$F$15,E218)),1,0))+IF(Classifiers!$G$15="",0,IF(ISNUMBER(SEARCH(Classifiers!$G$15,E218)),1,0)))&gt;0,1,0))</f>
        <v/>
      </c>
      <c r="U218" s="12">
        <f>IF(H218&lt;&gt;1,0,IF((IF(Classifiers!$B$16="",0,IF(ISNUMBER(SEARCH(Classifiers!$B$16,E218)),1,0))+IF(Classifiers!$C$16="",0,IF(ISNUMBER(SEARCH(Classifiers!$C$16,E218)),1,0))+IF(Classifiers!$D$16="",0,IF(ISNUMBER(SEARCH(Classifiers!$D$16,E218)),1,0))+IF(Classifiers!$E$16="",0,IF(ISNUMBER(SEARCH(Classifiers!$E$16,E218)),1,0))+IF(Classifiers!$F$16="",0,IF(ISNUMBER(SEARCH(Classifiers!$F$16,E218)),1,0))+IF(Classifiers!$G$16="",0,IF(ISNUMBER(SEARCH(Classifiers!$G$16,E218)),1,0)))&gt;0,1,0))</f>
        <v/>
      </c>
      <c r="V218" s="12">
        <f>IF(H218&lt;&gt;1,0,IF((IF(Classifiers!$B$17="",0,IF(ISNUMBER(SEARCH(Classifiers!$B$17,E218)),1,0))+IF(Classifiers!$C$17="",0,IF(ISNUMBER(SEARCH(Classifiers!$C$17,E218)),1,0))+IF(Classifiers!$D$17="",0,IF(ISNUMBER(SEARCH(Classifiers!$D$17,E218)),1,0))+IF(Classifiers!$E$17="",0,IF(ISNUMBER(SEARCH(Classifiers!$E$17,E218)),1,0))+IF(Classifiers!$F$17="",0,IF(ISNUMBER(SEARCH(Classifiers!$F$17,E218)),1,0))+IF(Classifiers!$G$17="",0,IF(ISNUMBER(SEARCH(Classifiers!$G$17,E218)),1,0)))&gt;0,1,0))</f>
        <v/>
      </c>
      <c r="W218" s="12">
        <f>IF(H218&lt;&gt;1,0,IF((IF(Classifiers!$B$18="",0,IF(ISNUMBER(SEARCH(Classifiers!$B$18,E218)),1,0))+IF(Classifiers!$C$18="",0,IF(ISNUMBER(SEARCH(Classifiers!$C$18,E218)),1,0))+IF(Classifiers!$D$18="",0,IF(ISNUMBER(SEARCH(Classifiers!$D$18,E218)),1,0))+IF(Classifiers!$E$18="",0,IF(ISNUMBER(SEARCH(Classifiers!$E$18,E218)),1,0))+IF(Classifiers!$F$18="",0,IF(ISNUMBER(SEARCH(Classifiers!$F$18,E218)),1,0))+IF(Classifiers!$G$18="",0,IF(ISNUMBER(SEARCH(Classifiers!$G$18,E218)),1,0)))&gt;0,1,0))</f>
        <v/>
      </c>
    </row>
    <row r="219">
      <c r="A219" s="8" t="n"/>
      <c r="B219" s="11" t="n"/>
      <c r="C219" s="6">
        <f>IF(A219="","",TRIM(RIGHT(SUBSTITUTE(A219,"/",REPT(" ",250)),250)))</f>
        <v/>
      </c>
      <c r="D219" s="6">
        <f>IF(C219="","",IF(ISNUMBER(SEARCH(".",C219)),LOWER("."&amp;TRIM(RIGHT(SUBSTITUTE(C219,".",REPT(" ",250)),250))),""))</f>
        <v/>
      </c>
      <c r="E219" s="6">
        <f>IF(C219="","",TRIM(SUBSTITUTE(SUBSTITUTE(SUBSTITUTE(SUBSTITUTE(SUBSTITUTE(SUBSTITUTE(SUBSTITUTE(SUBSTITUTE(SUBSTITUTE(SUBSTITUTE(SUBSTITUTE(SUBSTITUTE(SUBSTITUTE(SUBSTITUTE(SUBSTITUTE(SUBSTITUTE(SUBSTITUTE(SUBSTITUTE(SUBSTITUTE(SUBSTITUTE(LOWER(LEFT(C219,LEN(C219)-LEN(D219))),"_"," "),"-"," "),"."," "),","," "),"("," "),")"," "),"["," "),"]"," "),"&amp;"," "),"+"," "),"@"," "),"#"," "),"!"," "),"'"," "),"/"," "),":"," "),";"," "),"="," "),"~"," "),"%"," ")))</f>
        <v/>
      </c>
      <c r="F219" s="6">
        <f>IF(C219="","",IF(COUNTIF(Classifiers!$A$23:$A$40,D219)&gt;0,1,0))</f>
        <v/>
      </c>
      <c r="G219" s="6">
        <f>IF(C219="","",IF(COUNTIF(Classifiers!$C$23:$C$30,D219)&gt;0,IF((IF(ISNUMBER(SEARCH(Classifiers!$E$23,E219)),1,0)+IF(ISNUMBER(SEARCH(Classifiers!$E$24,E219)),1,0)+IF(ISNUMBER(SEARCH(Classifiers!$E$25,E219)),1,0)+IF(ISNUMBER(SEARCH(Classifiers!$E$26,E219)),1,0)+IF(ISNUMBER(SEARCH(Classifiers!$E$27,E219)),1,0)+IF(ISNUMBER(SEARCH(Classifiers!$E$28,E219)),1,0)+IF(ISNUMBER(SEARCH(Classifiers!$E$29,E219)),1,0)+IF(ISNUMBER(SEARCH(Classifiers!$E$30,E219)),1,0))&gt;0,1,0),0))</f>
        <v/>
      </c>
      <c r="H219" s="6">
        <f>IF(C219="","",IF(OR(LEFT(C219,1)=".",AND(F219=0,G219=0)),0,1))</f>
        <v/>
      </c>
      <c r="I219" s="6">
        <f>IF(H219&lt;&gt;1,"",IF(SUM(J219:W219)=0,"unclassified",INDEX(Classifiers!$A$5:$A$18,MATCH(1,J219:W219,0),1)))</f>
        <v/>
      </c>
      <c r="J219" s="12">
        <f>IF(H219&lt;&gt;1,0,IF((IF(Classifiers!$B$5="",0,IF(ISNUMBER(SEARCH(Classifiers!$B$5,E219)),1,0))+IF(Classifiers!$C$5="",0,IF(ISNUMBER(SEARCH(Classifiers!$C$5,E219)),1,0))+IF(Classifiers!$D$5="",0,IF(ISNUMBER(SEARCH(Classifiers!$D$5,E219)),1,0))+IF(Classifiers!$E$5="",0,IF(ISNUMBER(SEARCH(Classifiers!$E$5,E219)),1,0))+IF(Classifiers!$F$5="",0,IF(ISNUMBER(SEARCH(Classifiers!$F$5,E219)),1,0))+IF(Classifiers!$G$5="",0,IF(ISNUMBER(SEARCH(Classifiers!$G$5,E219)),1,0)))&gt;0,1,0))</f>
        <v/>
      </c>
      <c r="K219" s="12">
        <f>IF(H219&lt;&gt;1,0,IF((IF(Classifiers!$B$6="",0,IF(ISNUMBER(SEARCH(Classifiers!$B$6,E219)),1,0))+IF(Classifiers!$C$6="",0,IF(ISNUMBER(SEARCH(Classifiers!$C$6,E219)),1,0))+IF(Classifiers!$D$6="",0,IF(ISNUMBER(SEARCH(Classifiers!$D$6,E219)),1,0))+IF(Classifiers!$E$6="",0,IF(ISNUMBER(SEARCH(Classifiers!$E$6,E219)),1,0))+IF(Classifiers!$F$6="",0,IF(ISNUMBER(SEARCH(Classifiers!$F$6,E219)),1,0))+IF(Classifiers!$G$6="",0,IF(ISNUMBER(SEARCH(Classifiers!$G$6,E219)),1,0)))&gt;0,1,0))</f>
        <v/>
      </c>
      <c r="L219" s="12">
        <f>IF(H219&lt;&gt;1,0,IF((IF(Classifiers!$B$7="",0,IF(ISNUMBER(SEARCH(Classifiers!$B$7,E219)),1,0))+IF(Classifiers!$C$7="",0,IF(ISNUMBER(SEARCH(Classifiers!$C$7,E219)),1,0))+IF(Classifiers!$D$7="",0,IF(ISNUMBER(SEARCH(Classifiers!$D$7,E219)),1,0))+IF(Classifiers!$E$7="",0,IF(ISNUMBER(SEARCH(Classifiers!$E$7,E219)),1,0))+IF(Classifiers!$F$7="",0,IF(ISNUMBER(SEARCH(Classifiers!$F$7,E219)),1,0))+IF(Classifiers!$G$7="",0,IF(ISNUMBER(SEARCH(Classifiers!$G$7,E219)),1,0)))&gt;0,1,0))</f>
        <v/>
      </c>
      <c r="M219" s="12">
        <f>IF(H219&lt;&gt;1,0,IF((IF(Classifiers!$B$8="",0,IF(ISNUMBER(SEARCH(Classifiers!$B$8,E219)),1,0))+IF(Classifiers!$C$8="",0,IF(ISNUMBER(SEARCH(Classifiers!$C$8,E219)),1,0))+IF(Classifiers!$D$8="",0,IF(ISNUMBER(SEARCH(Classifiers!$D$8,E219)),1,0))+IF(Classifiers!$E$8="",0,IF(ISNUMBER(SEARCH(Classifiers!$E$8,E219)),1,0))+IF(Classifiers!$F$8="",0,IF(ISNUMBER(SEARCH(Classifiers!$F$8,E219)),1,0))+IF(Classifiers!$G$8="",0,IF(ISNUMBER(SEARCH(Classifiers!$G$8,E219)),1,0)))&gt;0,1,0))</f>
        <v/>
      </c>
      <c r="N219" s="12">
        <f>IF(H219&lt;&gt;1,0,IF((IF(Classifiers!$B$9="",0,IF(ISNUMBER(SEARCH(Classifiers!$B$9,E219)),1,0))+IF(Classifiers!$C$9="",0,IF(ISNUMBER(SEARCH(Classifiers!$C$9,E219)),1,0))+IF(Classifiers!$D$9="",0,IF(ISNUMBER(SEARCH(Classifiers!$D$9,E219)),1,0))+IF(Classifiers!$E$9="",0,IF(ISNUMBER(SEARCH(Classifiers!$E$9,E219)),1,0))+IF(Classifiers!$F$9="",0,IF(ISNUMBER(SEARCH(Classifiers!$F$9,E219)),1,0))+IF(Classifiers!$G$9="",0,IF(ISNUMBER(SEARCH(Classifiers!$G$9,E219)),1,0)))&gt;0,1,0))</f>
        <v/>
      </c>
      <c r="O219" s="12">
        <f>IF(H219&lt;&gt;1,0,IF((IF(Classifiers!$B$10="",0,IF(ISNUMBER(SEARCH(Classifiers!$B$10,E219)),1,0))+IF(Classifiers!$C$10="",0,IF(ISNUMBER(SEARCH(Classifiers!$C$10,E219)),1,0))+IF(Classifiers!$D$10="",0,IF(ISNUMBER(SEARCH(Classifiers!$D$10,E219)),1,0))+IF(Classifiers!$E$10="",0,IF(ISNUMBER(SEARCH(Classifiers!$E$10,E219)),1,0))+IF(Classifiers!$F$10="",0,IF(ISNUMBER(SEARCH(Classifiers!$F$10,E219)),1,0))+IF(Classifiers!$G$10="",0,IF(ISNUMBER(SEARCH(Classifiers!$G$10,E219)),1,0)))&gt;0,1,0))</f>
        <v/>
      </c>
      <c r="P219" s="12">
        <f>IF(H219&lt;&gt;1,0,IF((IF(Classifiers!$B$11="",0,IF(ISNUMBER(SEARCH(Classifiers!$B$11,E219)),1,0))+IF(Classifiers!$C$11="",0,IF(ISNUMBER(SEARCH(Classifiers!$C$11,E219)),1,0))+IF(Classifiers!$D$11="",0,IF(ISNUMBER(SEARCH(Classifiers!$D$11,E219)),1,0))+IF(Classifiers!$E$11="",0,IF(ISNUMBER(SEARCH(Classifiers!$E$11,E219)),1,0))+IF(Classifiers!$F$11="",0,IF(ISNUMBER(SEARCH(Classifiers!$F$11,E219)),1,0))+IF(Classifiers!$G$11="",0,IF(ISNUMBER(SEARCH(Classifiers!$G$11,E219)),1,0)))&gt;0,1,0))</f>
        <v/>
      </c>
      <c r="Q219" s="12">
        <f>IF(H219&lt;&gt;1,0,IF((IF(Classifiers!$B$12="",0,IF(ISNUMBER(SEARCH(Classifiers!$B$12,E219)),1,0))+IF(Classifiers!$C$12="",0,IF(ISNUMBER(SEARCH(Classifiers!$C$12,E219)),1,0))+IF(Classifiers!$D$12="",0,IF(ISNUMBER(SEARCH(Classifiers!$D$12,E219)),1,0))+IF(Classifiers!$E$12="",0,IF(ISNUMBER(SEARCH(Classifiers!$E$12,E219)),1,0))+IF(Classifiers!$F$12="",0,IF(ISNUMBER(SEARCH(Classifiers!$F$12,E219)),1,0))+IF(Classifiers!$G$12="",0,IF(ISNUMBER(SEARCH(Classifiers!$G$12,E219)),1,0)))&gt;0,1,0))</f>
        <v/>
      </c>
      <c r="R219" s="12">
        <f>IF(H219&lt;&gt;1,0,IF((IF(Classifiers!$B$13="",0,IF(ISNUMBER(SEARCH(Classifiers!$B$13,E219)),1,0))+IF(Classifiers!$C$13="",0,IF(ISNUMBER(SEARCH(Classifiers!$C$13,E219)),1,0))+IF(Classifiers!$D$13="",0,IF(ISNUMBER(SEARCH(Classifiers!$D$13,E219)),1,0))+IF(Classifiers!$E$13="",0,IF(ISNUMBER(SEARCH(Classifiers!$E$13,E219)),1,0))+IF(Classifiers!$F$13="",0,IF(ISNUMBER(SEARCH(Classifiers!$F$13,E219)),1,0))+IF(Classifiers!$G$13="",0,IF(ISNUMBER(SEARCH(Classifiers!$G$13,E219)),1,0)))&gt;0,1,0))</f>
        <v/>
      </c>
      <c r="S219" s="12">
        <f>IF(H219&lt;&gt;1,0,IF((IF(Classifiers!$B$14="",0,IF(ISNUMBER(SEARCH(Classifiers!$B$14,E219)),1,0))+IF(Classifiers!$C$14="",0,IF(ISNUMBER(SEARCH(Classifiers!$C$14,E219)),1,0))+IF(Classifiers!$D$14="",0,IF(ISNUMBER(SEARCH(Classifiers!$D$14,E219)),1,0))+IF(Classifiers!$E$14="",0,IF(ISNUMBER(SEARCH(Classifiers!$E$14,E219)),1,0))+IF(Classifiers!$F$14="",0,IF(ISNUMBER(SEARCH(Classifiers!$F$14,E219)),1,0))+IF(Classifiers!$G$14="",0,IF(ISNUMBER(SEARCH(Classifiers!$G$14,E219)),1,0)))&gt;0,1,0))</f>
        <v/>
      </c>
      <c r="T219" s="12">
        <f>IF(H219&lt;&gt;1,0,IF((IF(Classifiers!$B$15="",0,IF(ISNUMBER(SEARCH(Classifiers!$B$15,E219)),1,0))+IF(Classifiers!$C$15="",0,IF(ISNUMBER(SEARCH(Classifiers!$C$15,E219)),1,0))+IF(Classifiers!$D$15="",0,IF(ISNUMBER(SEARCH(Classifiers!$D$15,E219)),1,0))+IF(Classifiers!$E$15="",0,IF(ISNUMBER(SEARCH(Classifiers!$E$15,E219)),1,0))+IF(Classifiers!$F$15="",0,IF(ISNUMBER(SEARCH(Classifiers!$F$15,E219)),1,0))+IF(Classifiers!$G$15="",0,IF(ISNUMBER(SEARCH(Classifiers!$G$15,E219)),1,0)))&gt;0,1,0))</f>
        <v/>
      </c>
      <c r="U219" s="12">
        <f>IF(H219&lt;&gt;1,0,IF((IF(Classifiers!$B$16="",0,IF(ISNUMBER(SEARCH(Classifiers!$B$16,E219)),1,0))+IF(Classifiers!$C$16="",0,IF(ISNUMBER(SEARCH(Classifiers!$C$16,E219)),1,0))+IF(Classifiers!$D$16="",0,IF(ISNUMBER(SEARCH(Classifiers!$D$16,E219)),1,0))+IF(Classifiers!$E$16="",0,IF(ISNUMBER(SEARCH(Classifiers!$E$16,E219)),1,0))+IF(Classifiers!$F$16="",0,IF(ISNUMBER(SEARCH(Classifiers!$F$16,E219)),1,0))+IF(Classifiers!$G$16="",0,IF(ISNUMBER(SEARCH(Classifiers!$G$16,E219)),1,0)))&gt;0,1,0))</f>
        <v/>
      </c>
      <c r="V219" s="12">
        <f>IF(H219&lt;&gt;1,0,IF((IF(Classifiers!$B$17="",0,IF(ISNUMBER(SEARCH(Classifiers!$B$17,E219)),1,0))+IF(Classifiers!$C$17="",0,IF(ISNUMBER(SEARCH(Classifiers!$C$17,E219)),1,0))+IF(Classifiers!$D$17="",0,IF(ISNUMBER(SEARCH(Classifiers!$D$17,E219)),1,0))+IF(Classifiers!$E$17="",0,IF(ISNUMBER(SEARCH(Classifiers!$E$17,E219)),1,0))+IF(Classifiers!$F$17="",0,IF(ISNUMBER(SEARCH(Classifiers!$F$17,E219)),1,0))+IF(Classifiers!$G$17="",0,IF(ISNUMBER(SEARCH(Classifiers!$G$17,E219)),1,0)))&gt;0,1,0))</f>
        <v/>
      </c>
      <c r="W219" s="12">
        <f>IF(H219&lt;&gt;1,0,IF((IF(Classifiers!$B$18="",0,IF(ISNUMBER(SEARCH(Classifiers!$B$18,E219)),1,0))+IF(Classifiers!$C$18="",0,IF(ISNUMBER(SEARCH(Classifiers!$C$18,E219)),1,0))+IF(Classifiers!$D$18="",0,IF(ISNUMBER(SEARCH(Classifiers!$D$18,E219)),1,0))+IF(Classifiers!$E$18="",0,IF(ISNUMBER(SEARCH(Classifiers!$E$18,E219)),1,0))+IF(Classifiers!$F$18="",0,IF(ISNUMBER(SEARCH(Classifiers!$F$18,E219)),1,0))+IF(Classifiers!$G$18="",0,IF(ISNUMBER(SEARCH(Classifiers!$G$18,E219)),1,0)))&gt;0,1,0))</f>
        <v/>
      </c>
    </row>
    <row r="220">
      <c r="A220" s="8" t="n"/>
      <c r="B220" s="11" t="n"/>
      <c r="C220" s="6">
        <f>IF(A220="","",TRIM(RIGHT(SUBSTITUTE(A220,"/",REPT(" ",250)),250)))</f>
        <v/>
      </c>
      <c r="D220" s="6">
        <f>IF(C220="","",IF(ISNUMBER(SEARCH(".",C220)),LOWER("."&amp;TRIM(RIGHT(SUBSTITUTE(C220,".",REPT(" ",250)),250))),""))</f>
        <v/>
      </c>
      <c r="E220" s="6">
        <f>IF(C220="","",TRIM(SUBSTITUTE(SUBSTITUTE(SUBSTITUTE(SUBSTITUTE(SUBSTITUTE(SUBSTITUTE(SUBSTITUTE(SUBSTITUTE(SUBSTITUTE(SUBSTITUTE(SUBSTITUTE(SUBSTITUTE(SUBSTITUTE(SUBSTITUTE(SUBSTITUTE(SUBSTITUTE(SUBSTITUTE(SUBSTITUTE(SUBSTITUTE(SUBSTITUTE(LOWER(LEFT(C220,LEN(C220)-LEN(D220))),"_"," "),"-"," "),"."," "),","," "),"("," "),")"," "),"["," "),"]"," "),"&amp;"," "),"+"," "),"@"," "),"#"," "),"!"," "),"'"," "),"/"," "),":"," "),";"," "),"="," "),"~"," "),"%"," ")))</f>
        <v/>
      </c>
      <c r="F220" s="6">
        <f>IF(C220="","",IF(COUNTIF(Classifiers!$A$23:$A$40,D220)&gt;0,1,0))</f>
        <v/>
      </c>
      <c r="G220" s="6">
        <f>IF(C220="","",IF(COUNTIF(Classifiers!$C$23:$C$30,D220)&gt;0,IF((IF(ISNUMBER(SEARCH(Classifiers!$E$23,E220)),1,0)+IF(ISNUMBER(SEARCH(Classifiers!$E$24,E220)),1,0)+IF(ISNUMBER(SEARCH(Classifiers!$E$25,E220)),1,0)+IF(ISNUMBER(SEARCH(Classifiers!$E$26,E220)),1,0)+IF(ISNUMBER(SEARCH(Classifiers!$E$27,E220)),1,0)+IF(ISNUMBER(SEARCH(Classifiers!$E$28,E220)),1,0)+IF(ISNUMBER(SEARCH(Classifiers!$E$29,E220)),1,0)+IF(ISNUMBER(SEARCH(Classifiers!$E$30,E220)),1,0))&gt;0,1,0),0))</f>
        <v/>
      </c>
      <c r="H220" s="6">
        <f>IF(C220="","",IF(OR(LEFT(C220,1)=".",AND(F220=0,G220=0)),0,1))</f>
        <v/>
      </c>
      <c r="I220" s="6">
        <f>IF(H220&lt;&gt;1,"",IF(SUM(J220:W220)=0,"unclassified",INDEX(Classifiers!$A$5:$A$18,MATCH(1,J220:W220,0),1)))</f>
        <v/>
      </c>
      <c r="J220" s="12">
        <f>IF(H220&lt;&gt;1,0,IF((IF(Classifiers!$B$5="",0,IF(ISNUMBER(SEARCH(Classifiers!$B$5,E220)),1,0))+IF(Classifiers!$C$5="",0,IF(ISNUMBER(SEARCH(Classifiers!$C$5,E220)),1,0))+IF(Classifiers!$D$5="",0,IF(ISNUMBER(SEARCH(Classifiers!$D$5,E220)),1,0))+IF(Classifiers!$E$5="",0,IF(ISNUMBER(SEARCH(Classifiers!$E$5,E220)),1,0))+IF(Classifiers!$F$5="",0,IF(ISNUMBER(SEARCH(Classifiers!$F$5,E220)),1,0))+IF(Classifiers!$G$5="",0,IF(ISNUMBER(SEARCH(Classifiers!$G$5,E220)),1,0)))&gt;0,1,0))</f>
        <v/>
      </c>
      <c r="K220" s="12">
        <f>IF(H220&lt;&gt;1,0,IF((IF(Classifiers!$B$6="",0,IF(ISNUMBER(SEARCH(Classifiers!$B$6,E220)),1,0))+IF(Classifiers!$C$6="",0,IF(ISNUMBER(SEARCH(Classifiers!$C$6,E220)),1,0))+IF(Classifiers!$D$6="",0,IF(ISNUMBER(SEARCH(Classifiers!$D$6,E220)),1,0))+IF(Classifiers!$E$6="",0,IF(ISNUMBER(SEARCH(Classifiers!$E$6,E220)),1,0))+IF(Classifiers!$F$6="",0,IF(ISNUMBER(SEARCH(Classifiers!$F$6,E220)),1,0))+IF(Classifiers!$G$6="",0,IF(ISNUMBER(SEARCH(Classifiers!$G$6,E220)),1,0)))&gt;0,1,0))</f>
        <v/>
      </c>
      <c r="L220" s="12">
        <f>IF(H220&lt;&gt;1,0,IF((IF(Classifiers!$B$7="",0,IF(ISNUMBER(SEARCH(Classifiers!$B$7,E220)),1,0))+IF(Classifiers!$C$7="",0,IF(ISNUMBER(SEARCH(Classifiers!$C$7,E220)),1,0))+IF(Classifiers!$D$7="",0,IF(ISNUMBER(SEARCH(Classifiers!$D$7,E220)),1,0))+IF(Classifiers!$E$7="",0,IF(ISNUMBER(SEARCH(Classifiers!$E$7,E220)),1,0))+IF(Classifiers!$F$7="",0,IF(ISNUMBER(SEARCH(Classifiers!$F$7,E220)),1,0))+IF(Classifiers!$G$7="",0,IF(ISNUMBER(SEARCH(Classifiers!$G$7,E220)),1,0)))&gt;0,1,0))</f>
        <v/>
      </c>
      <c r="M220" s="12">
        <f>IF(H220&lt;&gt;1,0,IF((IF(Classifiers!$B$8="",0,IF(ISNUMBER(SEARCH(Classifiers!$B$8,E220)),1,0))+IF(Classifiers!$C$8="",0,IF(ISNUMBER(SEARCH(Classifiers!$C$8,E220)),1,0))+IF(Classifiers!$D$8="",0,IF(ISNUMBER(SEARCH(Classifiers!$D$8,E220)),1,0))+IF(Classifiers!$E$8="",0,IF(ISNUMBER(SEARCH(Classifiers!$E$8,E220)),1,0))+IF(Classifiers!$F$8="",0,IF(ISNUMBER(SEARCH(Classifiers!$F$8,E220)),1,0))+IF(Classifiers!$G$8="",0,IF(ISNUMBER(SEARCH(Classifiers!$G$8,E220)),1,0)))&gt;0,1,0))</f>
        <v/>
      </c>
      <c r="N220" s="12">
        <f>IF(H220&lt;&gt;1,0,IF((IF(Classifiers!$B$9="",0,IF(ISNUMBER(SEARCH(Classifiers!$B$9,E220)),1,0))+IF(Classifiers!$C$9="",0,IF(ISNUMBER(SEARCH(Classifiers!$C$9,E220)),1,0))+IF(Classifiers!$D$9="",0,IF(ISNUMBER(SEARCH(Classifiers!$D$9,E220)),1,0))+IF(Classifiers!$E$9="",0,IF(ISNUMBER(SEARCH(Classifiers!$E$9,E220)),1,0))+IF(Classifiers!$F$9="",0,IF(ISNUMBER(SEARCH(Classifiers!$F$9,E220)),1,0))+IF(Classifiers!$G$9="",0,IF(ISNUMBER(SEARCH(Classifiers!$G$9,E220)),1,0)))&gt;0,1,0))</f>
        <v/>
      </c>
      <c r="O220" s="12">
        <f>IF(H220&lt;&gt;1,0,IF((IF(Classifiers!$B$10="",0,IF(ISNUMBER(SEARCH(Classifiers!$B$10,E220)),1,0))+IF(Classifiers!$C$10="",0,IF(ISNUMBER(SEARCH(Classifiers!$C$10,E220)),1,0))+IF(Classifiers!$D$10="",0,IF(ISNUMBER(SEARCH(Classifiers!$D$10,E220)),1,0))+IF(Classifiers!$E$10="",0,IF(ISNUMBER(SEARCH(Classifiers!$E$10,E220)),1,0))+IF(Classifiers!$F$10="",0,IF(ISNUMBER(SEARCH(Classifiers!$F$10,E220)),1,0))+IF(Classifiers!$G$10="",0,IF(ISNUMBER(SEARCH(Classifiers!$G$10,E220)),1,0)))&gt;0,1,0))</f>
        <v/>
      </c>
      <c r="P220" s="12">
        <f>IF(H220&lt;&gt;1,0,IF((IF(Classifiers!$B$11="",0,IF(ISNUMBER(SEARCH(Classifiers!$B$11,E220)),1,0))+IF(Classifiers!$C$11="",0,IF(ISNUMBER(SEARCH(Classifiers!$C$11,E220)),1,0))+IF(Classifiers!$D$11="",0,IF(ISNUMBER(SEARCH(Classifiers!$D$11,E220)),1,0))+IF(Classifiers!$E$11="",0,IF(ISNUMBER(SEARCH(Classifiers!$E$11,E220)),1,0))+IF(Classifiers!$F$11="",0,IF(ISNUMBER(SEARCH(Classifiers!$F$11,E220)),1,0))+IF(Classifiers!$G$11="",0,IF(ISNUMBER(SEARCH(Classifiers!$G$11,E220)),1,0)))&gt;0,1,0))</f>
        <v/>
      </c>
      <c r="Q220" s="12">
        <f>IF(H220&lt;&gt;1,0,IF((IF(Classifiers!$B$12="",0,IF(ISNUMBER(SEARCH(Classifiers!$B$12,E220)),1,0))+IF(Classifiers!$C$12="",0,IF(ISNUMBER(SEARCH(Classifiers!$C$12,E220)),1,0))+IF(Classifiers!$D$12="",0,IF(ISNUMBER(SEARCH(Classifiers!$D$12,E220)),1,0))+IF(Classifiers!$E$12="",0,IF(ISNUMBER(SEARCH(Classifiers!$E$12,E220)),1,0))+IF(Classifiers!$F$12="",0,IF(ISNUMBER(SEARCH(Classifiers!$F$12,E220)),1,0))+IF(Classifiers!$G$12="",0,IF(ISNUMBER(SEARCH(Classifiers!$G$12,E220)),1,0)))&gt;0,1,0))</f>
        <v/>
      </c>
      <c r="R220" s="12">
        <f>IF(H220&lt;&gt;1,0,IF((IF(Classifiers!$B$13="",0,IF(ISNUMBER(SEARCH(Classifiers!$B$13,E220)),1,0))+IF(Classifiers!$C$13="",0,IF(ISNUMBER(SEARCH(Classifiers!$C$13,E220)),1,0))+IF(Classifiers!$D$13="",0,IF(ISNUMBER(SEARCH(Classifiers!$D$13,E220)),1,0))+IF(Classifiers!$E$13="",0,IF(ISNUMBER(SEARCH(Classifiers!$E$13,E220)),1,0))+IF(Classifiers!$F$13="",0,IF(ISNUMBER(SEARCH(Classifiers!$F$13,E220)),1,0))+IF(Classifiers!$G$13="",0,IF(ISNUMBER(SEARCH(Classifiers!$G$13,E220)),1,0)))&gt;0,1,0))</f>
        <v/>
      </c>
      <c r="S220" s="12">
        <f>IF(H220&lt;&gt;1,0,IF((IF(Classifiers!$B$14="",0,IF(ISNUMBER(SEARCH(Classifiers!$B$14,E220)),1,0))+IF(Classifiers!$C$14="",0,IF(ISNUMBER(SEARCH(Classifiers!$C$14,E220)),1,0))+IF(Classifiers!$D$14="",0,IF(ISNUMBER(SEARCH(Classifiers!$D$14,E220)),1,0))+IF(Classifiers!$E$14="",0,IF(ISNUMBER(SEARCH(Classifiers!$E$14,E220)),1,0))+IF(Classifiers!$F$14="",0,IF(ISNUMBER(SEARCH(Classifiers!$F$14,E220)),1,0))+IF(Classifiers!$G$14="",0,IF(ISNUMBER(SEARCH(Classifiers!$G$14,E220)),1,0)))&gt;0,1,0))</f>
        <v/>
      </c>
      <c r="T220" s="12">
        <f>IF(H220&lt;&gt;1,0,IF((IF(Classifiers!$B$15="",0,IF(ISNUMBER(SEARCH(Classifiers!$B$15,E220)),1,0))+IF(Classifiers!$C$15="",0,IF(ISNUMBER(SEARCH(Classifiers!$C$15,E220)),1,0))+IF(Classifiers!$D$15="",0,IF(ISNUMBER(SEARCH(Classifiers!$D$15,E220)),1,0))+IF(Classifiers!$E$15="",0,IF(ISNUMBER(SEARCH(Classifiers!$E$15,E220)),1,0))+IF(Classifiers!$F$15="",0,IF(ISNUMBER(SEARCH(Classifiers!$F$15,E220)),1,0))+IF(Classifiers!$G$15="",0,IF(ISNUMBER(SEARCH(Classifiers!$G$15,E220)),1,0)))&gt;0,1,0))</f>
        <v/>
      </c>
      <c r="U220" s="12">
        <f>IF(H220&lt;&gt;1,0,IF((IF(Classifiers!$B$16="",0,IF(ISNUMBER(SEARCH(Classifiers!$B$16,E220)),1,0))+IF(Classifiers!$C$16="",0,IF(ISNUMBER(SEARCH(Classifiers!$C$16,E220)),1,0))+IF(Classifiers!$D$16="",0,IF(ISNUMBER(SEARCH(Classifiers!$D$16,E220)),1,0))+IF(Classifiers!$E$16="",0,IF(ISNUMBER(SEARCH(Classifiers!$E$16,E220)),1,0))+IF(Classifiers!$F$16="",0,IF(ISNUMBER(SEARCH(Classifiers!$F$16,E220)),1,0))+IF(Classifiers!$G$16="",0,IF(ISNUMBER(SEARCH(Classifiers!$G$16,E220)),1,0)))&gt;0,1,0))</f>
        <v/>
      </c>
      <c r="V220" s="12">
        <f>IF(H220&lt;&gt;1,0,IF((IF(Classifiers!$B$17="",0,IF(ISNUMBER(SEARCH(Classifiers!$B$17,E220)),1,0))+IF(Classifiers!$C$17="",0,IF(ISNUMBER(SEARCH(Classifiers!$C$17,E220)),1,0))+IF(Classifiers!$D$17="",0,IF(ISNUMBER(SEARCH(Classifiers!$D$17,E220)),1,0))+IF(Classifiers!$E$17="",0,IF(ISNUMBER(SEARCH(Classifiers!$E$17,E220)),1,0))+IF(Classifiers!$F$17="",0,IF(ISNUMBER(SEARCH(Classifiers!$F$17,E220)),1,0))+IF(Classifiers!$G$17="",0,IF(ISNUMBER(SEARCH(Classifiers!$G$17,E220)),1,0)))&gt;0,1,0))</f>
        <v/>
      </c>
      <c r="W220" s="12">
        <f>IF(H220&lt;&gt;1,0,IF((IF(Classifiers!$B$18="",0,IF(ISNUMBER(SEARCH(Classifiers!$B$18,E220)),1,0))+IF(Classifiers!$C$18="",0,IF(ISNUMBER(SEARCH(Classifiers!$C$18,E220)),1,0))+IF(Classifiers!$D$18="",0,IF(ISNUMBER(SEARCH(Classifiers!$D$18,E220)),1,0))+IF(Classifiers!$E$18="",0,IF(ISNUMBER(SEARCH(Classifiers!$E$18,E220)),1,0))+IF(Classifiers!$F$18="",0,IF(ISNUMBER(SEARCH(Classifiers!$F$18,E220)),1,0))+IF(Classifiers!$G$18="",0,IF(ISNUMBER(SEARCH(Classifiers!$G$18,E220)),1,0)))&gt;0,1,0))</f>
        <v/>
      </c>
    </row>
    <row r="221">
      <c r="A221" s="8" t="n"/>
      <c r="B221" s="11" t="n"/>
      <c r="C221" s="6">
        <f>IF(A221="","",TRIM(RIGHT(SUBSTITUTE(A221,"/",REPT(" ",250)),250)))</f>
        <v/>
      </c>
      <c r="D221" s="6">
        <f>IF(C221="","",IF(ISNUMBER(SEARCH(".",C221)),LOWER("."&amp;TRIM(RIGHT(SUBSTITUTE(C221,".",REPT(" ",250)),250))),""))</f>
        <v/>
      </c>
      <c r="E221" s="6">
        <f>IF(C221="","",TRIM(SUBSTITUTE(SUBSTITUTE(SUBSTITUTE(SUBSTITUTE(SUBSTITUTE(SUBSTITUTE(SUBSTITUTE(SUBSTITUTE(SUBSTITUTE(SUBSTITUTE(SUBSTITUTE(SUBSTITUTE(SUBSTITUTE(SUBSTITUTE(SUBSTITUTE(SUBSTITUTE(SUBSTITUTE(SUBSTITUTE(SUBSTITUTE(SUBSTITUTE(LOWER(LEFT(C221,LEN(C221)-LEN(D221))),"_"," "),"-"," "),"."," "),","," "),"("," "),")"," "),"["," "),"]"," "),"&amp;"," "),"+"," "),"@"," "),"#"," "),"!"," "),"'"," "),"/"," "),":"," "),";"," "),"="," "),"~"," "),"%"," ")))</f>
        <v/>
      </c>
      <c r="F221" s="6">
        <f>IF(C221="","",IF(COUNTIF(Classifiers!$A$23:$A$40,D221)&gt;0,1,0))</f>
        <v/>
      </c>
      <c r="G221" s="6">
        <f>IF(C221="","",IF(COUNTIF(Classifiers!$C$23:$C$30,D221)&gt;0,IF((IF(ISNUMBER(SEARCH(Classifiers!$E$23,E221)),1,0)+IF(ISNUMBER(SEARCH(Classifiers!$E$24,E221)),1,0)+IF(ISNUMBER(SEARCH(Classifiers!$E$25,E221)),1,0)+IF(ISNUMBER(SEARCH(Classifiers!$E$26,E221)),1,0)+IF(ISNUMBER(SEARCH(Classifiers!$E$27,E221)),1,0)+IF(ISNUMBER(SEARCH(Classifiers!$E$28,E221)),1,0)+IF(ISNUMBER(SEARCH(Classifiers!$E$29,E221)),1,0)+IF(ISNUMBER(SEARCH(Classifiers!$E$30,E221)),1,0))&gt;0,1,0),0))</f>
        <v/>
      </c>
      <c r="H221" s="6">
        <f>IF(C221="","",IF(OR(LEFT(C221,1)=".",AND(F221=0,G221=0)),0,1))</f>
        <v/>
      </c>
      <c r="I221" s="6">
        <f>IF(H221&lt;&gt;1,"",IF(SUM(J221:W221)=0,"unclassified",INDEX(Classifiers!$A$5:$A$18,MATCH(1,J221:W221,0),1)))</f>
        <v/>
      </c>
      <c r="J221" s="12">
        <f>IF(H221&lt;&gt;1,0,IF((IF(Classifiers!$B$5="",0,IF(ISNUMBER(SEARCH(Classifiers!$B$5,E221)),1,0))+IF(Classifiers!$C$5="",0,IF(ISNUMBER(SEARCH(Classifiers!$C$5,E221)),1,0))+IF(Classifiers!$D$5="",0,IF(ISNUMBER(SEARCH(Classifiers!$D$5,E221)),1,0))+IF(Classifiers!$E$5="",0,IF(ISNUMBER(SEARCH(Classifiers!$E$5,E221)),1,0))+IF(Classifiers!$F$5="",0,IF(ISNUMBER(SEARCH(Classifiers!$F$5,E221)),1,0))+IF(Classifiers!$G$5="",0,IF(ISNUMBER(SEARCH(Classifiers!$G$5,E221)),1,0)))&gt;0,1,0))</f>
        <v/>
      </c>
      <c r="K221" s="12">
        <f>IF(H221&lt;&gt;1,0,IF((IF(Classifiers!$B$6="",0,IF(ISNUMBER(SEARCH(Classifiers!$B$6,E221)),1,0))+IF(Classifiers!$C$6="",0,IF(ISNUMBER(SEARCH(Classifiers!$C$6,E221)),1,0))+IF(Classifiers!$D$6="",0,IF(ISNUMBER(SEARCH(Classifiers!$D$6,E221)),1,0))+IF(Classifiers!$E$6="",0,IF(ISNUMBER(SEARCH(Classifiers!$E$6,E221)),1,0))+IF(Classifiers!$F$6="",0,IF(ISNUMBER(SEARCH(Classifiers!$F$6,E221)),1,0))+IF(Classifiers!$G$6="",0,IF(ISNUMBER(SEARCH(Classifiers!$G$6,E221)),1,0)))&gt;0,1,0))</f>
        <v/>
      </c>
      <c r="L221" s="12">
        <f>IF(H221&lt;&gt;1,0,IF((IF(Classifiers!$B$7="",0,IF(ISNUMBER(SEARCH(Classifiers!$B$7,E221)),1,0))+IF(Classifiers!$C$7="",0,IF(ISNUMBER(SEARCH(Classifiers!$C$7,E221)),1,0))+IF(Classifiers!$D$7="",0,IF(ISNUMBER(SEARCH(Classifiers!$D$7,E221)),1,0))+IF(Classifiers!$E$7="",0,IF(ISNUMBER(SEARCH(Classifiers!$E$7,E221)),1,0))+IF(Classifiers!$F$7="",0,IF(ISNUMBER(SEARCH(Classifiers!$F$7,E221)),1,0))+IF(Classifiers!$G$7="",0,IF(ISNUMBER(SEARCH(Classifiers!$G$7,E221)),1,0)))&gt;0,1,0))</f>
        <v/>
      </c>
      <c r="M221" s="12">
        <f>IF(H221&lt;&gt;1,0,IF((IF(Classifiers!$B$8="",0,IF(ISNUMBER(SEARCH(Classifiers!$B$8,E221)),1,0))+IF(Classifiers!$C$8="",0,IF(ISNUMBER(SEARCH(Classifiers!$C$8,E221)),1,0))+IF(Classifiers!$D$8="",0,IF(ISNUMBER(SEARCH(Classifiers!$D$8,E221)),1,0))+IF(Classifiers!$E$8="",0,IF(ISNUMBER(SEARCH(Classifiers!$E$8,E221)),1,0))+IF(Classifiers!$F$8="",0,IF(ISNUMBER(SEARCH(Classifiers!$F$8,E221)),1,0))+IF(Classifiers!$G$8="",0,IF(ISNUMBER(SEARCH(Classifiers!$G$8,E221)),1,0)))&gt;0,1,0))</f>
        <v/>
      </c>
      <c r="N221" s="12">
        <f>IF(H221&lt;&gt;1,0,IF((IF(Classifiers!$B$9="",0,IF(ISNUMBER(SEARCH(Classifiers!$B$9,E221)),1,0))+IF(Classifiers!$C$9="",0,IF(ISNUMBER(SEARCH(Classifiers!$C$9,E221)),1,0))+IF(Classifiers!$D$9="",0,IF(ISNUMBER(SEARCH(Classifiers!$D$9,E221)),1,0))+IF(Classifiers!$E$9="",0,IF(ISNUMBER(SEARCH(Classifiers!$E$9,E221)),1,0))+IF(Classifiers!$F$9="",0,IF(ISNUMBER(SEARCH(Classifiers!$F$9,E221)),1,0))+IF(Classifiers!$G$9="",0,IF(ISNUMBER(SEARCH(Classifiers!$G$9,E221)),1,0)))&gt;0,1,0))</f>
        <v/>
      </c>
      <c r="O221" s="12">
        <f>IF(H221&lt;&gt;1,0,IF((IF(Classifiers!$B$10="",0,IF(ISNUMBER(SEARCH(Classifiers!$B$10,E221)),1,0))+IF(Classifiers!$C$10="",0,IF(ISNUMBER(SEARCH(Classifiers!$C$10,E221)),1,0))+IF(Classifiers!$D$10="",0,IF(ISNUMBER(SEARCH(Classifiers!$D$10,E221)),1,0))+IF(Classifiers!$E$10="",0,IF(ISNUMBER(SEARCH(Classifiers!$E$10,E221)),1,0))+IF(Classifiers!$F$10="",0,IF(ISNUMBER(SEARCH(Classifiers!$F$10,E221)),1,0))+IF(Classifiers!$G$10="",0,IF(ISNUMBER(SEARCH(Classifiers!$G$10,E221)),1,0)))&gt;0,1,0))</f>
        <v/>
      </c>
      <c r="P221" s="12">
        <f>IF(H221&lt;&gt;1,0,IF((IF(Classifiers!$B$11="",0,IF(ISNUMBER(SEARCH(Classifiers!$B$11,E221)),1,0))+IF(Classifiers!$C$11="",0,IF(ISNUMBER(SEARCH(Classifiers!$C$11,E221)),1,0))+IF(Classifiers!$D$11="",0,IF(ISNUMBER(SEARCH(Classifiers!$D$11,E221)),1,0))+IF(Classifiers!$E$11="",0,IF(ISNUMBER(SEARCH(Classifiers!$E$11,E221)),1,0))+IF(Classifiers!$F$11="",0,IF(ISNUMBER(SEARCH(Classifiers!$F$11,E221)),1,0))+IF(Classifiers!$G$11="",0,IF(ISNUMBER(SEARCH(Classifiers!$G$11,E221)),1,0)))&gt;0,1,0))</f>
        <v/>
      </c>
      <c r="Q221" s="12">
        <f>IF(H221&lt;&gt;1,0,IF((IF(Classifiers!$B$12="",0,IF(ISNUMBER(SEARCH(Classifiers!$B$12,E221)),1,0))+IF(Classifiers!$C$12="",0,IF(ISNUMBER(SEARCH(Classifiers!$C$12,E221)),1,0))+IF(Classifiers!$D$12="",0,IF(ISNUMBER(SEARCH(Classifiers!$D$12,E221)),1,0))+IF(Classifiers!$E$12="",0,IF(ISNUMBER(SEARCH(Classifiers!$E$12,E221)),1,0))+IF(Classifiers!$F$12="",0,IF(ISNUMBER(SEARCH(Classifiers!$F$12,E221)),1,0))+IF(Classifiers!$G$12="",0,IF(ISNUMBER(SEARCH(Classifiers!$G$12,E221)),1,0)))&gt;0,1,0))</f>
        <v/>
      </c>
      <c r="R221" s="12">
        <f>IF(H221&lt;&gt;1,0,IF((IF(Classifiers!$B$13="",0,IF(ISNUMBER(SEARCH(Classifiers!$B$13,E221)),1,0))+IF(Classifiers!$C$13="",0,IF(ISNUMBER(SEARCH(Classifiers!$C$13,E221)),1,0))+IF(Classifiers!$D$13="",0,IF(ISNUMBER(SEARCH(Classifiers!$D$13,E221)),1,0))+IF(Classifiers!$E$13="",0,IF(ISNUMBER(SEARCH(Classifiers!$E$13,E221)),1,0))+IF(Classifiers!$F$13="",0,IF(ISNUMBER(SEARCH(Classifiers!$F$13,E221)),1,0))+IF(Classifiers!$G$13="",0,IF(ISNUMBER(SEARCH(Classifiers!$G$13,E221)),1,0)))&gt;0,1,0))</f>
        <v/>
      </c>
      <c r="S221" s="12">
        <f>IF(H221&lt;&gt;1,0,IF((IF(Classifiers!$B$14="",0,IF(ISNUMBER(SEARCH(Classifiers!$B$14,E221)),1,0))+IF(Classifiers!$C$14="",0,IF(ISNUMBER(SEARCH(Classifiers!$C$14,E221)),1,0))+IF(Classifiers!$D$14="",0,IF(ISNUMBER(SEARCH(Classifiers!$D$14,E221)),1,0))+IF(Classifiers!$E$14="",0,IF(ISNUMBER(SEARCH(Classifiers!$E$14,E221)),1,0))+IF(Classifiers!$F$14="",0,IF(ISNUMBER(SEARCH(Classifiers!$F$14,E221)),1,0))+IF(Classifiers!$G$14="",0,IF(ISNUMBER(SEARCH(Classifiers!$G$14,E221)),1,0)))&gt;0,1,0))</f>
        <v/>
      </c>
      <c r="T221" s="12">
        <f>IF(H221&lt;&gt;1,0,IF((IF(Classifiers!$B$15="",0,IF(ISNUMBER(SEARCH(Classifiers!$B$15,E221)),1,0))+IF(Classifiers!$C$15="",0,IF(ISNUMBER(SEARCH(Classifiers!$C$15,E221)),1,0))+IF(Classifiers!$D$15="",0,IF(ISNUMBER(SEARCH(Classifiers!$D$15,E221)),1,0))+IF(Classifiers!$E$15="",0,IF(ISNUMBER(SEARCH(Classifiers!$E$15,E221)),1,0))+IF(Classifiers!$F$15="",0,IF(ISNUMBER(SEARCH(Classifiers!$F$15,E221)),1,0))+IF(Classifiers!$G$15="",0,IF(ISNUMBER(SEARCH(Classifiers!$G$15,E221)),1,0)))&gt;0,1,0))</f>
        <v/>
      </c>
      <c r="U221" s="12">
        <f>IF(H221&lt;&gt;1,0,IF((IF(Classifiers!$B$16="",0,IF(ISNUMBER(SEARCH(Classifiers!$B$16,E221)),1,0))+IF(Classifiers!$C$16="",0,IF(ISNUMBER(SEARCH(Classifiers!$C$16,E221)),1,0))+IF(Classifiers!$D$16="",0,IF(ISNUMBER(SEARCH(Classifiers!$D$16,E221)),1,0))+IF(Classifiers!$E$16="",0,IF(ISNUMBER(SEARCH(Classifiers!$E$16,E221)),1,0))+IF(Classifiers!$F$16="",0,IF(ISNUMBER(SEARCH(Classifiers!$F$16,E221)),1,0))+IF(Classifiers!$G$16="",0,IF(ISNUMBER(SEARCH(Classifiers!$G$16,E221)),1,0)))&gt;0,1,0))</f>
        <v/>
      </c>
      <c r="V221" s="12">
        <f>IF(H221&lt;&gt;1,0,IF((IF(Classifiers!$B$17="",0,IF(ISNUMBER(SEARCH(Classifiers!$B$17,E221)),1,0))+IF(Classifiers!$C$17="",0,IF(ISNUMBER(SEARCH(Classifiers!$C$17,E221)),1,0))+IF(Classifiers!$D$17="",0,IF(ISNUMBER(SEARCH(Classifiers!$D$17,E221)),1,0))+IF(Classifiers!$E$17="",0,IF(ISNUMBER(SEARCH(Classifiers!$E$17,E221)),1,0))+IF(Classifiers!$F$17="",0,IF(ISNUMBER(SEARCH(Classifiers!$F$17,E221)),1,0))+IF(Classifiers!$G$17="",0,IF(ISNUMBER(SEARCH(Classifiers!$G$17,E221)),1,0)))&gt;0,1,0))</f>
        <v/>
      </c>
      <c r="W221" s="12">
        <f>IF(H221&lt;&gt;1,0,IF((IF(Classifiers!$B$18="",0,IF(ISNUMBER(SEARCH(Classifiers!$B$18,E221)),1,0))+IF(Classifiers!$C$18="",0,IF(ISNUMBER(SEARCH(Classifiers!$C$18,E221)),1,0))+IF(Classifiers!$D$18="",0,IF(ISNUMBER(SEARCH(Classifiers!$D$18,E221)),1,0))+IF(Classifiers!$E$18="",0,IF(ISNUMBER(SEARCH(Classifiers!$E$18,E221)),1,0))+IF(Classifiers!$F$18="",0,IF(ISNUMBER(SEARCH(Classifiers!$F$18,E221)),1,0))+IF(Classifiers!$G$18="",0,IF(ISNUMBER(SEARCH(Classifiers!$G$18,E221)),1,0)))&gt;0,1,0))</f>
        <v/>
      </c>
    </row>
    <row r="222">
      <c r="A222" s="8" t="n"/>
      <c r="B222" s="11" t="n"/>
      <c r="C222" s="6">
        <f>IF(A222="","",TRIM(RIGHT(SUBSTITUTE(A222,"/",REPT(" ",250)),250)))</f>
        <v/>
      </c>
      <c r="D222" s="6">
        <f>IF(C222="","",IF(ISNUMBER(SEARCH(".",C222)),LOWER("."&amp;TRIM(RIGHT(SUBSTITUTE(C222,".",REPT(" ",250)),250))),""))</f>
        <v/>
      </c>
      <c r="E222" s="6">
        <f>IF(C222="","",TRIM(SUBSTITUTE(SUBSTITUTE(SUBSTITUTE(SUBSTITUTE(SUBSTITUTE(SUBSTITUTE(SUBSTITUTE(SUBSTITUTE(SUBSTITUTE(SUBSTITUTE(SUBSTITUTE(SUBSTITUTE(SUBSTITUTE(SUBSTITUTE(SUBSTITUTE(SUBSTITUTE(SUBSTITUTE(SUBSTITUTE(SUBSTITUTE(SUBSTITUTE(LOWER(LEFT(C222,LEN(C222)-LEN(D222))),"_"," "),"-"," "),"."," "),","," "),"("," "),")"," "),"["," "),"]"," "),"&amp;"," "),"+"," "),"@"," "),"#"," "),"!"," "),"'"," "),"/"," "),":"," "),";"," "),"="," "),"~"," "),"%"," ")))</f>
        <v/>
      </c>
      <c r="F222" s="6">
        <f>IF(C222="","",IF(COUNTIF(Classifiers!$A$23:$A$40,D222)&gt;0,1,0))</f>
        <v/>
      </c>
      <c r="G222" s="6">
        <f>IF(C222="","",IF(COUNTIF(Classifiers!$C$23:$C$30,D222)&gt;0,IF((IF(ISNUMBER(SEARCH(Classifiers!$E$23,E222)),1,0)+IF(ISNUMBER(SEARCH(Classifiers!$E$24,E222)),1,0)+IF(ISNUMBER(SEARCH(Classifiers!$E$25,E222)),1,0)+IF(ISNUMBER(SEARCH(Classifiers!$E$26,E222)),1,0)+IF(ISNUMBER(SEARCH(Classifiers!$E$27,E222)),1,0)+IF(ISNUMBER(SEARCH(Classifiers!$E$28,E222)),1,0)+IF(ISNUMBER(SEARCH(Classifiers!$E$29,E222)),1,0)+IF(ISNUMBER(SEARCH(Classifiers!$E$30,E222)),1,0))&gt;0,1,0),0))</f>
        <v/>
      </c>
      <c r="H222" s="6">
        <f>IF(C222="","",IF(OR(LEFT(C222,1)=".",AND(F222=0,G222=0)),0,1))</f>
        <v/>
      </c>
      <c r="I222" s="6">
        <f>IF(H222&lt;&gt;1,"",IF(SUM(J222:W222)=0,"unclassified",INDEX(Classifiers!$A$5:$A$18,MATCH(1,J222:W222,0),1)))</f>
        <v/>
      </c>
      <c r="J222" s="12">
        <f>IF(H222&lt;&gt;1,0,IF((IF(Classifiers!$B$5="",0,IF(ISNUMBER(SEARCH(Classifiers!$B$5,E222)),1,0))+IF(Classifiers!$C$5="",0,IF(ISNUMBER(SEARCH(Classifiers!$C$5,E222)),1,0))+IF(Classifiers!$D$5="",0,IF(ISNUMBER(SEARCH(Classifiers!$D$5,E222)),1,0))+IF(Classifiers!$E$5="",0,IF(ISNUMBER(SEARCH(Classifiers!$E$5,E222)),1,0))+IF(Classifiers!$F$5="",0,IF(ISNUMBER(SEARCH(Classifiers!$F$5,E222)),1,0))+IF(Classifiers!$G$5="",0,IF(ISNUMBER(SEARCH(Classifiers!$G$5,E222)),1,0)))&gt;0,1,0))</f>
        <v/>
      </c>
      <c r="K222" s="12">
        <f>IF(H222&lt;&gt;1,0,IF((IF(Classifiers!$B$6="",0,IF(ISNUMBER(SEARCH(Classifiers!$B$6,E222)),1,0))+IF(Classifiers!$C$6="",0,IF(ISNUMBER(SEARCH(Classifiers!$C$6,E222)),1,0))+IF(Classifiers!$D$6="",0,IF(ISNUMBER(SEARCH(Classifiers!$D$6,E222)),1,0))+IF(Classifiers!$E$6="",0,IF(ISNUMBER(SEARCH(Classifiers!$E$6,E222)),1,0))+IF(Classifiers!$F$6="",0,IF(ISNUMBER(SEARCH(Classifiers!$F$6,E222)),1,0))+IF(Classifiers!$G$6="",0,IF(ISNUMBER(SEARCH(Classifiers!$G$6,E222)),1,0)))&gt;0,1,0))</f>
        <v/>
      </c>
      <c r="L222" s="12">
        <f>IF(H222&lt;&gt;1,0,IF((IF(Classifiers!$B$7="",0,IF(ISNUMBER(SEARCH(Classifiers!$B$7,E222)),1,0))+IF(Classifiers!$C$7="",0,IF(ISNUMBER(SEARCH(Classifiers!$C$7,E222)),1,0))+IF(Classifiers!$D$7="",0,IF(ISNUMBER(SEARCH(Classifiers!$D$7,E222)),1,0))+IF(Classifiers!$E$7="",0,IF(ISNUMBER(SEARCH(Classifiers!$E$7,E222)),1,0))+IF(Classifiers!$F$7="",0,IF(ISNUMBER(SEARCH(Classifiers!$F$7,E222)),1,0))+IF(Classifiers!$G$7="",0,IF(ISNUMBER(SEARCH(Classifiers!$G$7,E222)),1,0)))&gt;0,1,0))</f>
        <v/>
      </c>
      <c r="M222" s="12">
        <f>IF(H222&lt;&gt;1,0,IF((IF(Classifiers!$B$8="",0,IF(ISNUMBER(SEARCH(Classifiers!$B$8,E222)),1,0))+IF(Classifiers!$C$8="",0,IF(ISNUMBER(SEARCH(Classifiers!$C$8,E222)),1,0))+IF(Classifiers!$D$8="",0,IF(ISNUMBER(SEARCH(Classifiers!$D$8,E222)),1,0))+IF(Classifiers!$E$8="",0,IF(ISNUMBER(SEARCH(Classifiers!$E$8,E222)),1,0))+IF(Classifiers!$F$8="",0,IF(ISNUMBER(SEARCH(Classifiers!$F$8,E222)),1,0))+IF(Classifiers!$G$8="",0,IF(ISNUMBER(SEARCH(Classifiers!$G$8,E222)),1,0)))&gt;0,1,0))</f>
        <v/>
      </c>
      <c r="N222" s="12">
        <f>IF(H222&lt;&gt;1,0,IF((IF(Classifiers!$B$9="",0,IF(ISNUMBER(SEARCH(Classifiers!$B$9,E222)),1,0))+IF(Classifiers!$C$9="",0,IF(ISNUMBER(SEARCH(Classifiers!$C$9,E222)),1,0))+IF(Classifiers!$D$9="",0,IF(ISNUMBER(SEARCH(Classifiers!$D$9,E222)),1,0))+IF(Classifiers!$E$9="",0,IF(ISNUMBER(SEARCH(Classifiers!$E$9,E222)),1,0))+IF(Classifiers!$F$9="",0,IF(ISNUMBER(SEARCH(Classifiers!$F$9,E222)),1,0))+IF(Classifiers!$G$9="",0,IF(ISNUMBER(SEARCH(Classifiers!$G$9,E222)),1,0)))&gt;0,1,0))</f>
        <v/>
      </c>
      <c r="O222" s="12">
        <f>IF(H222&lt;&gt;1,0,IF((IF(Classifiers!$B$10="",0,IF(ISNUMBER(SEARCH(Classifiers!$B$10,E222)),1,0))+IF(Classifiers!$C$10="",0,IF(ISNUMBER(SEARCH(Classifiers!$C$10,E222)),1,0))+IF(Classifiers!$D$10="",0,IF(ISNUMBER(SEARCH(Classifiers!$D$10,E222)),1,0))+IF(Classifiers!$E$10="",0,IF(ISNUMBER(SEARCH(Classifiers!$E$10,E222)),1,0))+IF(Classifiers!$F$10="",0,IF(ISNUMBER(SEARCH(Classifiers!$F$10,E222)),1,0))+IF(Classifiers!$G$10="",0,IF(ISNUMBER(SEARCH(Classifiers!$G$10,E222)),1,0)))&gt;0,1,0))</f>
        <v/>
      </c>
      <c r="P222" s="12">
        <f>IF(H222&lt;&gt;1,0,IF((IF(Classifiers!$B$11="",0,IF(ISNUMBER(SEARCH(Classifiers!$B$11,E222)),1,0))+IF(Classifiers!$C$11="",0,IF(ISNUMBER(SEARCH(Classifiers!$C$11,E222)),1,0))+IF(Classifiers!$D$11="",0,IF(ISNUMBER(SEARCH(Classifiers!$D$11,E222)),1,0))+IF(Classifiers!$E$11="",0,IF(ISNUMBER(SEARCH(Classifiers!$E$11,E222)),1,0))+IF(Classifiers!$F$11="",0,IF(ISNUMBER(SEARCH(Classifiers!$F$11,E222)),1,0))+IF(Classifiers!$G$11="",0,IF(ISNUMBER(SEARCH(Classifiers!$G$11,E222)),1,0)))&gt;0,1,0))</f>
        <v/>
      </c>
      <c r="Q222" s="12">
        <f>IF(H222&lt;&gt;1,0,IF((IF(Classifiers!$B$12="",0,IF(ISNUMBER(SEARCH(Classifiers!$B$12,E222)),1,0))+IF(Classifiers!$C$12="",0,IF(ISNUMBER(SEARCH(Classifiers!$C$12,E222)),1,0))+IF(Classifiers!$D$12="",0,IF(ISNUMBER(SEARCH(Classifiers!$D$12,E222)),1,0))+IF(Classifiers!$E$12="",0,IF(ISNUMBER(SEARCH(Classifiers!$E$12,E222)),1,0))+IF(Classifiers!$F$12="",0,IF(ISNUMBER(SEARCH(Classifiers!$F$12,E222)),1,0))+IF(Classifiers!$G$12="",0,IF(ISNUMBER(SEARCH(Classifiers!$G$12,E222)),1,0)))&gt;0,1,0))</f>
        <v/>
      </c>
      <c r="R222" s="12">
        <f>IF(H222&lt;&gt;1,0,IF((IF(Classifiers!$B$13="",0,IF(ISNUMBER(SEARCH(Classifiers!$B$13,E222)),1,0))+IF(Classifiers!$C$13="",0,IF(ISNUMBER(SEARCH(Classifiers!$C$13,E222)),1,0))+IF(Classifiers!$D$13="",0,IF(ISNUMBER(SEARCH(Classifiers!$D$13,E222)),1,0))+IF(Classifiers!$E$13="",0,IF(ISNUMBER(SEARCH(Classifiers!$E$13,E222)),1,0))+IF(Classifiers!$F$13="",0,IF(ISNUMBER(SEARCH(Classifiers!$F$13,E222)),1,0))+IF(Classifiers!$G$13="",0,IF(ISNUMBER(SEARCH(Classifiers!$G$13,E222)),1,0)))&gt;0,1,0))</f>
        <v/>
      </c>
      <c r="S222" s="12">
        <f>IF(H222&lt;&gt;1,0,IF((IF(Classifiers!$B$14="",0,IF(ISNUMBER(SEARCH(Classifiers!$B$14,E222)),1,0))+IF(Classifiers!$C$14="",0,IF(ISNUMBER(SEARCH(Classifiers!$C$14,E222)),1,0))+IF(Classifiers!$D$14="",0,IF(ISNUMBER(SEARCH(Classifiers!$D$14,E222)),1,0))+IF(Classifiers!$E$14="",0,IF(ISNUMBER(SEARCH(Classifiers!$E$14,E222)),1,0))+IF(Classifiers!$F$14="",0,IF(ISNUMBER(SEARCH(Classifiers!$F$14,E222)),1,0))+IF(Classifiers!$G$14="",0,IF(ISNUMBER(SEARCH(Classifiers!$G$14,E222)),1,0)))&gt;0,1,0))</f>
        <v/>
      </c>
      <c r="T222" s="12">
        <f>IF(H222&lt;&gt;1,0,IF((IF(Classifiers!$B$15="",0,IF(ISNUMBER(SEARCH(Classifiers!$B$15,E222)),1,0))+IF(Classifiers!$C$15="",0,IF(ISNUMBER(SEARCH(Classifiers!$C$15,E222)),1,0))+IF(Classifiers!$D$15="",0,IF(ISNUMBER(SEARCH(Classifiers!$D$15,E222)),1,0))+IF(Classifiers!$E$15="",0,IF(ISNUMBER(SEARCH(Classifiers!$E$15,E222)),1,0))+IF(Classifiers!$F$15="",0,IF(ISNUMBER(SEARCH(Classifiers!$F$15,E222)),1,0))+IF(Classifiers!$G$15="",0,IF(ISNUMBER(SEARCH(Classifiers!$G$15,E222)),1,0)))&gt;0,1,0))</f>
        <v/>
      </c>
      <c r="U222" s="12">
        <f>IF(H222&lt;&gt;1,0,IF((IF(Classifiers!$B$16="",0,IF(ISNUMBER(SEARCH(Classifiers!$B$16,E222)),1,0))+IF(Classifiers!$C$16="",0,IF(ISNUMBER(SEARCH(Classifiers!$C$16,E222)),1,0))+IF(Classifiers!$D$16="",0,IF(ISNUMBER(SEARCH(Classifiers!$D$16,E222)),1,0))+IF(Classifiers!$E$16="",0,IF(ISNUMBER(SEARCH(Classifiers!$E$16,E222)),1,0))+IF(Classifiers!$F$16="",0,IF(ISNUMBER(SEARCH(Classifiers!$F$16,E222)),1,0))+IF(Classifiers!$G$16="",0,IF(ISNUMBER(SEARCH(Classifiers!$G$16,E222)),1,0)))&gt;0,1,0))</f>
        <v/>
      </c>
      <c r="V222" s="12">
        <f>IF(H222&lt;&gt;1,0,IF((IF(Classifiers!$B$17="",0,IF(ISNUMBER(SEARCH(Classifiers!$B$17,E222)),1,0))+IF(Classifiers!$C$17="",0,IF(ISNUMBER(SEARCH(Classifiers!$C$17,E222)),1,0))+IF(Classifiers!$D$17="",0,IF(ISNUMBER(SEARCH(Classifiers!$D$17,E222)),1,0))+IF(Classifiers!$E$17="",0,IF(ISNUMBER(SEARCH(Classifiers!$E$17,E222)),1,0))+IF(Classifiers!$F$17="",0,IF(ISNUMBER(SEARCH(Classifiers!$F$17,E222)),1,0))+IF(Classifiers!$G$17="",0,IF(ISNUMBER(SEARCH(Classifiers!$G$17,E222)),1,0)))&gt;0,1,0))</f>
        <v/>
      </c>
      <c r="W222" s="12">
        <f>IF(H222&lt;&gt;1,0,IF((IF(Classifiers!$B$18="",0,IF(ISNUMBER(SEARCH(Classifiers!$B$18,E222)),1,0))+IF(Classifiers!$C$18="",0,IF(ISNUMBER(SEARCH(Classifiers!$C$18,E222)),1,0))+IF(Classifiers!$D$18="",0,IF(ISNUMBER(SEARCH(Classifiers!$D$18,E222)),1,0))+IF(Classifiers!$E$18="",0,IF(ISNUMBER(SEARCH(Classifiers!$E$18,E222)),1,0))+IF(Classifiers!$F$18="",0,IF(ISNUMBER(SEARCH(Classifiers!$F$18,E222)),1,0))+IF(Classifiers!$G$18="",0,IF(ISNUMBER(SEARCH(Classifiers!$G$18,E222)),1,0)))&gt;0,1,0))</f>
        <v/>
      </c>
    </row>
    <row r="223">
      <c r="A223" s="8" t="n"/>
      <c r="B223" s="11" t="n"/>
      <c r="C223" s="6">
        <f>IF(A223="","",TRIM(RIGHT(SUBSTITUTE(A223,"/",REPT(" ",250)),250)))</f>
        <v/>
      </c>
      <c r="D223" s="6">
        <f>IF(C223="","",IF(ISNUMBER(SEARCH(".",C223)),LOWER("."&amp;TRIM(RIGHT(SUBSTITUTE(C223,".",REPT(" ",250)),250))),""))</f>
        <v/>
      </c>
      <c r="E223" s="6">
        <f>IF(C223="","",TRIM(SUBSTITUTE(SUBSTITUTE(SUBSTITUTE(SUBSTITUTE(SUBSTITUTE(SUBSTITUTE(SUBSTITUTE(SUBSTITUTE(SUBSTITUTE(SUBSTITUTE(SUBSTITUTE(SUBSTITUTE(SUBSTITUTE(SUBSTITUTE(SUBSTITUTE(SUBSTITUTE(SUBSTITUTE(SUBSTITUTE(SUBSTITUTE(SUBSTITUTE(LOWER(LEFT(C223,LEN(C223)-LEN(D223))),"_"," "),"-"," "),"."," "),","," "),"("," "),")"," "),"["," "),"]"," "),"&amp;"," "),"+"," "),"@"," "),"#"," "),"!"," "),"'"," "),"/"," "),":"," "),";"," "),"="," "),"~"," "),"%"," ")))</f>
        <v/>
      </c>
      <c r="F223" s="6">
        <f>IF(C223="","",IF(COUNTIF(Classifiers!$A$23:$A$40,D223)&gt;0,1,0))</f>
        <v/>
      </c>
      <c r="G223" s="6">
        <f>IF(C223="","",IF(COUNTIF(Classifiers!$C$23:$C$30,D223)&gt;0,IF((IF(ISNUMBER(SEARCH(Classifiers!$E$23,E223)),1,0)+IF(ISNUMBER(SEARCH(Classifiers!$E$24,E223)),1,0)+IF(ISNUMBER(SEARCH(Classifiers!$E$25,E223)),1,0)+IF(ISNUMBER(SEARCH(Classifiers!$E$26,E223)),1,0)+IF(ISNUMBER(SEARCH(Classifiers!$E$27,E223)),1,0)+IF(ISNUMBER(SEARCH(Classifiers!$E$28,E223)),1,0)+IF(ISNUMBER(SEARCH(Classifiers!$E$29,E223)),1,0)+IF(ISNUMBER(SEARCH(Classifiers!$E$30,E223)),1,0))&gt;0,1,0),0))</f>
        <v/>
      </c>
      <c r="H223" s="6">
        <f>IF(C223="","",IF(OR(LEFT(C223,1)=".",AND(F223=0,G223=0)),0,1))</f>
        <v/>
      </c>
      <c r="I223" s="6">
        <f>IF(H223&lt;&gt;1,"",IF(SUM(J223:W223)=0,"unclassified",INDEX(Classifiers!$A$5:$A$18,MATCH(1,J223:W223,0),1)))</f>
        <v/>
      </c>
      <c r="J223" s="12">
        <f>IF(H223&lt;&gt;1,0,IF((IF(Classifiers!$B$5="",0,IF(ISNUMBER(SEARCH(Classifiers!$B$5,E223)),1,0))+IF(Classifiers!$C$5="",0,IF(ISNUMBER(SEARCH(Classifiers!$C$5,E223)),1,0))+IF(Classifiers!$D$5="",0,IF(ISNUMBER(SEARCH(Classifiers!$D$5,E223)),1,0))+IF(Classifiers!$E$5="",0,IF(ISNUMBER(SEARCH(Classifiers!$E$5,E223)),1,0))+IF(Classifiers!$F$5="",0,IF(ISNUMBER(SEARCH(Classifiers!$F$5,E223)),1,0))+IF(Classifiers!$G$5="",0,IF(ISNUMBER(SEARCH(Classifiers!$G$5,E223)),1,0)))&gt;0,1,0))</f>
        <v/>
      </c>
      <c r="K223" s="12">
        <f>IF(H223&lt;&gt;1,0,IF((IF(Classifiers!$B$6="",0,IF(ISNUMBER(SEARCH(Classifiers!$B$6,E223)),1,0))+IF(Classifiers!$C$6="",0,IF(ISNUMBER(SEARCH(Classifiers!$C$6,E223)),1,0))+IF(Classifiers!$D$6="",0,IF(ISNUMBER(SEARCH(Classifiers!$D$6,E223)),1,0))+IF(Classifiers!$E$6="",0,IF(ISNUMBER(SEARCH(Classifiers!$E$6,E223)),1,0))+IF(Classifiers!$F$6="",0,IF(ISNUMBER(SEARCH(Classifiers!$F$6,E223)),1,0))+IF(Classifiers!$G$6="",0,IF(ISNUMBER(SEARCH(Classifiers!$G$6,E223)),1,0)))&gt;0,1,0))</f>
        <v/>
      </c>
      <c r="L223" s="12">
        <f>IF(H223&lt;&gt;1,0,IF((IF(Classifiers!$B$7="",0,IF(ISNUMBER(SEARCH(Classifiers!$B$7,E223)),1,0))+IF(Classifiers!$C$7="",0,IF(ISNUMBER(SEARCH(Classifiers!$C$7,E223)),1,0))+IF(Classifiers!$D$7="",0,IF(ISNUMBER(SEARCH(Classifiers!$D$7,E223)),1,0))+IF(Classifiers!$E$7="",0,IF(ISNUMBER(SEARCH(Classifiers!$E$7,E223)),1,0))+IF(Classifiers!$F$7="",0,IF(ISNUMBER(SEARCH(Classifiers!$F$7,E223)),1,0))+IF(Classifiers!$G$7="",0,IF(ISNUMBER(SEARCH(Classifiers!$G$7,E223)),1,0)))&gt;0,1,0))</f>
        <v/>
      </c>
      <c r="M223" s="12">
        <f>IF(H223&lt;&gt;1,0,IF((IF(Classifiers!$B$8="",0,IF(ISNUMBER(SEARCH(Classifiers!$B$8,E223)),1,0))+IF(Classifiers!$C$8="",0,IF(ISNUMBER(SEARCH(Classifiers!$C$8,E223)),1,0))+IF(Classifiers!$D$8="",0,IF(ISNUMBER(SEARCH(Classifiers!$D$8,E223)),1,0))+IF(Classifiers!$E$8="",0,IF(ISNUMBER(SEARCH(Classifiers!$E$8,E223)),1,0))+IF(Classifiers!$F$8="",0,IF(ISNUMBER(SEARCH(Classifiers!$F$8,E223)),1,0))+IF(Classifiers!$G$8="",0,IF(ISNUMBER(SEARCH(Classifiers!$G$8,E223)),1,0)))&gt;0,1,0))</f>
        <v/>
      </c>
      <c r="N223" s="12">
        <f>IF(H223&lt;&gt;1,0,IF((IF(Classifiers!$B$9="",0,IF(ISNUMBER(SEARCH(Classifiers!$B$9,E223)),1,0))+IF(Classifiers!$C$9="",0,IF(ISNUMBER(SEARCH(Classifiers!$C$9,E223)),1,0))+IF(Classifiers!$D$9="",0,IF(ISNUMBER(SEARCH(Classifiers!$D$9,E223)),1,0))+IF(Classifiers!$E$9="",0,IF(ISNUMBER(SEARCH(Classifiers!$E$9,E223)),1,0))+IF(Classifiers!$F$9="",0,IF(ISNUMBER(SEARCH(Classifiers!$F$9,E223)),1,0))+IF(Classifiers!$G$9="",0,IF(ISNUMBER(SEARCH(Classifiers!$G$9,E223)),1,0)))&gt;0,1,0))</f>
        <v/>
      </c>
      <c r="O223" s="12">
        <f>IF(H223&lt;&gt;1,0,IF((IF(Classifiers!$B$10="",0,IF(ISNUMBER(SEARCH(Classifiers!$B$10,E223)),1,0))+IF(Classifiers!$C$10="",0,IF(ISNUMBER(SEARCH(Classifiers!$C$10,E223)),1,0))+IF(Classifiers!$D$10="",0,IF(ISNUMBER(SEARCH(Classifiers!$D$10,E223)),1,0))+IF(Classifiers!$E$10="",0,IF(ISNUMBER(SEARCH(Classifiers!$E$10,E223)),1,0))+IF(Classifiers!$F$10="",0,IF(ISNUMBER(SEARCH(Classifiers!$F$10,E223)),1,0))+IF(Classifiers!$G$10="",0,IF(ISNUMBER(SEARCH(Classifiers!$G$10,E223)),1,0)))&gt;0,1,0))</f>
        <v/>
      </c>
      <c r="P223" s="12">
        <f>IF(H223&lt;&gt;1,0,IF((IF(Classifiers!$B$11="",0,IF(ISNUMBER(SEARCH(Classifiers!$B$11,E223)),1,0))+IF(Classifiers!$C$11="",0,IF(ISNUMBER(SEARCH(Classifiers!$C$11,E223)),1,0))+IF(Classifiers!$D$11="",0,IF(ISNUMBER(SEARCH(Classifiers!$D$11,E223)),1,0))+IF(Classifiers!$E$11="",0,IF(ISNUMBER(SEARCH(Classifiers!$E$11,E223)),1,0))+IF(Classifiers!$F$11="",0,IF(ISNUMBER(SEARCH(Classifiers!$F$11,E223)),1,0))+IF(Classifiers!$G$11="",0,IF(ISNUMBER(SEARCH(Classifiers!$G$11,E223)),1,0)))&gt;0,1,0))</f>
        <v/>
      </c>
      <c r="Q223" s="12">
        <f>IF(H223&lt;&gt;1,0,IF((IF(Classifiers!$B$12="",0,IF(ISNUMBER(SEARCH(Classifiers!$B$12,E223)),1,0))+IF(Classifiers!$C$12="",0,IF(ISNUMBER(SEARCH(Classifiers!$C$12,E223)),1,0))+IF(Classifiers!$D$12="",0,IF(ISNUMBER(SEARCH(Classifiers!$D$12,E223)),1,0))+IF(Classifiers!$E$12="",0,IF(ISNUMBER(SEARCH(Classifiers!$E$12,E223)),1,0))+IF(Classifiers!$F$12="",0,IF(ISNUMBER(SEARCH(Classifiers!$F$12,E223)),1,0))+IF(Classifiers!$G$12="",0,IF(ISNUMBER(SEARCH(Classifiers!$G$12,E223)),1,0)))&gt;0,1,0))</f>
        <v/>
      </c>
      <c r="R223" s="12">
        <f>IF(H223&lt;&gt;1,0,IF((IF(Classifiers!$B$13="",0,IF(ISNUMBER(SEARCH(Classifiers!$B$13,E223)),1,0))+IF(Classifiers!$C$13="",0,IF(ISNUMBER(SEARCH(Classifiers!$C$13,E223)),1,0))+IF(Classifiers!$D$13="",0,IF(ISNUMBER(SEARCH(Classifiers!$D$13,E223)),1,0))+IF(Classifiers!$E$13="",0,IF(ISNUMBER(SEARCH(Classifiers!$E$13,E223)),1,0))+IF(Classifiers!$F$13="",0,IF(ISNUMBER(SEARCH(Classifiers!$F$13,E223)),1,0))+IF(Classifiers!$G$13="",0,IF(ISNUMBER(SEARCH(Classifiers!$G$13,E223)),1,0)))&gt;0,1,0))</f>
        <v/>
      </c>
      <c r="S223" s="12">
        <f>IF(H223&lt;&gt;1,0,IF((IF(Classifiers!$B$14="",0,IF(ISNUMBER(SEARCH(Classifiers!$B$14,E223)),1,0))+IF(Classifiers!$C$14="",0,IF(ISNUMBER(SEARCH(Classifiers!$C$14,E223)),1,0))+IF(Classifiers!$D$14="",0,IF(ISNUMBER(SEARCH(Classifiers!$D$14,E223)),1,0))+IF(Classifiers!$E$14="",0,IF(ISNUMBER(SEARCH(Classifiers!$E$14,E223)),1,0))+IF(Classifiers!$F$14="",0,IF(ISNUMBER(SEARCH(Classifiers!$F$14,E223)),1,0))+IF(Classifiers!$G$14="",0,IF(ISNUMBER(SEARCH(Classifiers!$G$14,E223)),1,0)))&gt;0,1,0))</f>
        <v/>
      </c>
      <c r="T223" s="12">
        <f>IF(H223&lt;&gt;1,0,IF((IF(Classifiers!$B$15="",0,IF(ISNUMBER(SEARCH(Classifiers!$B$15,E223)),1,0))+IF(Classifiers!$C$15="",0,IF(ISNUMBER(SEARCH(Classifiers!$C$15,E223)),1,0))+IF(Classifiers!$D$15="",0,IF(ISNUMBER(SEARCH(Classifiers!$D$15,E223)),1,0))+IF(Classifiers!$E$15="",0,IF(ISNUMBER(SEARCH(Classifiers!$E$15,E223)),1,0))+IF(Classifiers!$F$15="",0,IF(ISNUMBER(SEARCH(Classifiers!$F$15,E223)),1,0))+IF(Classifiers!$G$15="",0,IF(ISNUMBER(SEARCH(Classifiers!$G$15,E223)),1,0)))&gt;0,1,0))</f>
        <v/>
      </c>
      <c r="U223" s="12">
        <f>IF(H223&lt;&gt;1,0,IF((IF(Classifiers!$B$16="",0,IF(ISNUMBER(SEARCH(Classifiers!$B$16,E223)),1,0))+IF(Classifiers!$C$16="",0,IF(ISNUMBER(SEARCH(Classifiers!$C$16,E223)),1,0))+IF(Classifiers!$D$16="",0,IF(ISNUMBER(SEARCH(Classifiers!$D$16,E223)),1,0))+IF(Classifiers!$E$16="",0,IF(ISNUMBER(SEARCH(Classifiers!$E$16,E223)),1,0))+IF(Classifiers!$F$16="",0,IF(ISNUMBER(SEARCH(Classifiers!$F$16,E223)),1,0))+IF(Classifiers!$G$16="",0,IF(ISNUMBER(SEARCH(Classifiers!$G$16,E223)),1,0)))&gt;0,1,0))</f>
        <v/>
      </c>
      <c r="V223" s="12">
        <f>IF(H223&lt;&gt;1,0,IF((IF(Classifiers!$B$17="",0,IF(ISNUMBER(SEARCH(Classifiers!$B$17,E223)),1,0))+IF(Classifiers!$C$17="",0,IF(ISNUMBER(SEARCH(Classifiers!$C$17,E223)),1,0))+IF(Classifiers!$D$17="",0,IF(ISNUMBER(SEARCH(Classifiers!$D$17,E223)),1,0))+IF(Classifiers!$E$17="",0,IF(ISNUMBER(SEARCH(Classifiers!$E$17,E223)),1,0))+IF(Classifiers!$F$17="",0,IF(ISNUMBER(SEARCH(Classifiers!$F$17,E223)),1,0))+IF(Classifiers!$G$17="",0,IF(ISNUMBER(SEARCH(Classifiers!$G$17,E223)),1,0)))&gt;0,1,0))</f>
        <v/>
      </c>
      <c r="W223" s="12">
        <f>IF(H223&lt;&gt;1,0,IF((IF(Classifiers!$B$18="",0,IF(ISNUMBER(SEARCH(Classifiers!$B$18,E223)),1,0))+IF(Classifiers!$C$18="",0,IF(ISNUMBER(SEARCH(Classifiers!$C$18,E223)),1,0))+IF(Classifiers!$D$18="",0,IF(ISNUMBER(SEARCH(Classifiers!$D$18,E223)),1,0))+IF(Classifiers!$E$18="",0,IF(ISNUMBER(SEARCH(Classifiers!$E$18,E223)),1,0))+IF(Classifiers!$F$18="",0,IF(ISNUMBER(SEARCH(Classifiers!$F$18,E223)),1,0))+IF(Classifiers!$G$18="",0,IF(ISNUMBER(SEARCH(Classifiers!$G$18,E223)),1,0)))&gt;0,1,0))</f>
        <v/>
      </c>
    </row>
    <row r="224">
      <c r="A224" s="8" t="n"/>
      <c r="B224" s="11" t="n"/>
      <c r="C224" s="6">
        <f>IF(A224="","",TRIM(RIGHT(SUBSTITUTE(A224,"/",REPT(" ",250)),250)))</f>
        <v/>
      </c>
      <c r="D224" s="6">
        <f>IF(C224="","",IF(ISNUMBER(SEARCH(".",C224)),LOWER("."&amp;TRIM(RIGHT(SUBSTITUTE(C224,".",REPT(" ",250)),250))),""))</f>
        <v/>
      </c>
      <c r="E224" s="6">
        <f>IF(C224="","",TRIM(SUBSTITUTE(SUBSTITUTE(SUBSTITUTE(SUBSTITUTE(SUBSTITUTE(SUBSTITUTE(SUBSTITUTE(SUBSTITUTE(SUBSTITUTE(SUBSTITUTE(SUBSTITUTE(SUBSTITUTE(SUBSTITUTE(SUBSTITUTE(SUBSTITUTE(SUBSTITUTE(SUBSTITUTE(SUBSTITUTE(SUBSTITUTE(SUBSTITUTE(LOWER(LEFT(C224,LEN(C224)-LEN(D224))),"_"," "),"-"," "),"."," "),","," "),"("," "),")"," "),"["," "),"]"," "),"&amp;"," "),"+"," "),"@"," "),"#"," "),"!"," "),"'"," "),"/"," "),":"," "),";"," "),"="," "),"~"," "),"%"," ")))</f>
        <v/>
      </c>
      <c r="F224" s="6">
        <f>IF(C224="","",IF(COUNTIF(Classifiers!$A$23:$A$40,D224)&gt;0,1,0))</f>
        <v/>
      </c>
      <c r="G224" s="6">
        <f>IF(C224="","",IF(COUNTIF(Classifiers!$C$23:$C$30,D224)&gt;0,IF((IF(ISNUMBER(SEARCH(Classifiers!$E$23,E224)),1,0)+IF(ISNUMBER(SEARCH(Classifiers!$E$24,E224)),1,0)+IF(ISNUMBER(SEARCH(Classifiers!$E$25,E224)),1,0)+IF(ISNUMBER(SEARCH(Classifiers!$E$26,E224)),1,0)+IF(ISNUMBER(SEARCH(Classifiers!$E$27,E224)),1,0)+IF(ISNUMBER(SEARCH(Classifiers!$E$28,E224)),1,0)+IF(ISNUMBER(SEARCH(Classifiers!$E$29,E224)),1,0)+IF(ISNUMBER(SEARCH(Classifiers!$E$30,E224)),1,0))&gt;0,1,0),0))</f>
        <v/>
      </c>
      <c r="H224" s="6">
        <f>IF(C224="","",IF(OR(LEFT(C224,1)=".",AND(F224=0,G224=0)),0,1))</f>
        <v/>
      </c>
      <c r="I224" s="6">
        <f>IF(H224&lt;&gt;1,"",IF(SUM(J224:W224)=0,"unclassified",INDEX(Classifiers!$A$5:$A$18,MATCH(1,J224:W224,0),1)))</f>
        <v/>
      </c>
      <c r="J224" s="12">
        <f>IF(H224&lt;&gt;1,0,IF((IF(Classifiers!$B$5="",0,IF(ISNUMBER(SEARCH(Classifiers!$B$5,E224)),1,0))+IF(Classifiers!$C$5="",0,IF(ISNUMBER(SEARCH(Classifiers!$C$5,E224)),1,0))+IF(Classifiers!$D$5="",0,IF(ISNUMBER(SEARCH(Classifiers!$D$5,E224)),1,0))+IF(Classifiers!$E$5="",0,IF(ISNUMBER(SEARCH(Classifiers!$E$5,E224)),1,0))+IF(Classifiers!$F$5="",0,IF(ISNUMBER(SEARCH(Classifiers!$F$5,E224)),1,0))+IF(Classifiers!$G$5="",0,IF(ISNUMBER(SEARCH(Classifiers!$G$5,E224)),1,0)))&gt;0,1,0))</f>
        <v/>
      </c>
      <c r="K224" s="12">
        <f>IF(H224&lt;&gt;1,0,IF((IF(Classifiers!$B$6="",0,IF(ISNUMBER(SEARCH(Classifiers!$B$6,E224)),1,0))+IF(Classifiers!$C$6="",0,IF(ISNUMBER(SEARCH(Classifiers!$C$6,E224)),1,0))+IF(Classifiers!$D$6="",0,IF(ISNUMBER(SEARCH(Classifiers!$D$6,E224)),1,0))+IF(Classifiers!$E$6="",0,IF(ISNUMBER(SEARCH(Classifiers!$E$6,E224)),1,0))+IF(Classifiers!$F$6="",0,IF(ISNUMBER(SEARCH(Classifiers!$F$6,E224)),1,0))+IF(Classifiers!$G$6="",0,IF(ISNUMBER(SEARCH(Classifiers!$G$6,E224)),1,0)))&gt;0,1,0))</f>
        <v/>
      </c>
      <c r="L224" s="12">
        <f>IF(H224&lt;&gt;1,0,IF((IF(Classifiers!$B$7="",0,IF(ISNUMBER(SEARCH(Classifiers!$B$7,E224)),1,0))+IF(Classifiers!$C$7="",0,IF(ISNUMBER(SEARCH(Classifiers!$C$7,E224)),1,0))+IF(Classifiers!$D$7="",0,IF(ISNUMBER(SEARCH(Classifiers!$D$7,E224)),1,0))+IF(Classifiers!$E$7="",0,IF(ISNUMBER(SEARCH(Classifiers!$E$7,E224)),1,0))+IF(Classifiers!$F$7="",0,IF(ISNUMBER(SEARCH(Classifiers!$F$7,E224)),1,0))+IF(Classifiers!$G$7="",0,IF(ISNUMBER(SEARCH(Classifiers!$G$7,E224)),1,0)))&gt;0,1,0))</f>
        <v/>
      </c>
      <c r="M224" s="12">
        <f>IF(H224&lt;&gt;1,0,IF((IF(Classifiers!$B$8="",0,IF(ISNUMBER(SEARCH(Classifiers!$B$8,E224)),1,0))+IF(Classifiers!$C$8="",0,IF(ISNUMBER(SEARCH(Classifiers!$C$8,E224)),1,0))+IF(Classifiers!$D$8="",0,IF(ISNUMBER(SEARCH(Classifiers!$D$8,E224)),1,0))+IF(Classifiers!$E$8="",0,IF(ISNUMBER(SEARCH(Classifiers!$E$8,E224)),1,0))+IF(Classifiers!$F$8="",0,IF(ISNUMBER(SEARCH(Classifiers!$F$8,E224)),1,0))+IF(Classifiers!$G$8="",0,IF(ISNUMBER(SEARCH(Classifiers!$G$8,E224)),1,0)))&gt;0,1,0))</f>
        <v/>
      </c>
      <c r="N224" s="12">
        <f>IF(H224&lt;&gt;1,0,IF((IF(Classifiers!$B$9="",0,IF(ISNUMBER(SEARCH(Classifiers!$B$9,E224)),1,0))+IF(Classifiers!$C$9="",0,IF(ISNUMBER(SEARCH(Classifiers!$C$9,E224)),1,0))+IF(Classifiers!$D$9="",0,IF(ISNUMBER(SEARCH(Classifiers!$D$9,E224)),1,0))+IF(Classifiers!$E$9="",0,IF(ISNUMBER(SEARCH(Classifiers!$E$9,E224)),1,0))+IF(Classifiers!$F$9="",0,IF(ISNUMBER(SEARCH(Classifiers!$F$9,E224)),1,0))+IF(Classifiers!$G$9="",0,IF(ISNUMBER(SEARCH(Classifiers!$G$9,E224)),1,0)))&gt;0,1,0))</f>
        <v/>
      </c>
      <c r="O224" s="12">
        <f>IF(H224&lt;&gt;1,0,IF((IF(Classifiers!$B$10="",0,IF(ISNUMBER(SEARCH(Classifiers!$B$10,E224)),1,0))+IF(Classifiers!$C$10="",0,IF(ISNUMBER(SEARCH(Classifiers!$C$10,E224)),1,0))+IF(Classifiers!$D$10="",0,IF(ISNUMBER(SEARCH(Classifiers!$D$10,E224)),1,0))+IF(Classifiers!$E$10="",0,IF(ISNUMBER(SEARCH(Classifiers!$E$10,E224)),1,0))+IF(Classifiers!$F$10="",0,IF(ISNUMBER(SEARCH(Classifiers!$F$10,E224)),1,0))+IF(Classifiers!$G$10="",0,IF(ISNUMBER(SEARCH(Classifiers!$G$10,E224)),1,0)))&gt;0,1,0))</f>
        <v/>
      </c>
      <c r="P224" s="12">
        <f>IF(H224&lt;&gt;1,0,IF((IF(Classifiers!$B$11="",0,IF(ISNUMBER(SEARCH(Classifiers!$B$11,E224)),1,0))+IF(Classifiers!$C$11="",0,IF(ISNUMBER(SEARCH(Classifiers!$C$11,E224)),1,0))+IF(Classifiers!$D$11="",0,IF(ISNUMBER(SEARCH(Classifiers!$D$11,E224)),1,0))+IF(Classifiers!$E$11="",0,IF(ISNUMBER(SEARCH(Classifiers!$E$11,E224)),1,0))+IF(Classifiers!$F$11="",0,IF(ISNUMBER(SEARCH(Classifiers!$F$11,E224)),1,0))+IF(Classifiers!$G$11="",0,IF(ISNUMBER(SEARCH(Classifiers!$G$11,E224)),1,0)))&gt;0,1,0))</f>
        <v/>
      </c>
      <c r="Q224" s="12">
        <f>IF(H224&lt;&gt;1,0,IF((IF(Classifiers!$B$12="",0,IF(ISNUMBER(SEARCH(Classifiers!$B$12,E224)),1,0))+IF(Classifiers!$C$12="",0,IF(ISNUMBER(SEARCH(Classifiers!$C$12,E224)),1,0))+IF(Classifiers!$D$12="",0,IF(ISNUMBER(SEARCH(Classifiers!$D$12,E224)),1,0))+IF(Classifiers!$E$12="",0,IF(ISNUMBER(SEARCH(Classifiers!$E$12,E224)),1,0))+IF(Classifiers!$F$12="",0,IF(ISNUMBER(SEARCH(Classifiers!$F$12,E224)),1,0))+IF(Classifiers!$G$12="",0,IF(ISNUMBER(SEARCH(Classifiers!$G$12,E224)),1,0)))&gt;0,1,0))</f>
        <v/>
      </c>
      <c r="R224" s="12">
        <f>IF(H224&lt;&gt;1,0,IF((IF(Classifiers!$B$13="",0,IF(ISNUMBER(SEARCH(Classifiers!$B$13,E224)),1,0))+IF(Classifiers!$C$13="",0,IF(ISNUMBER(SEARCH(Classifiers!$C$13,E224)),1,0))+IF(Classifiers!$D$13="",0,IF(ISNUMBER(SEARCH(Classifiers!$D$13,E224)),1,0))+IF(Classifiers!$E$13="",0,IF(ISNUMBER(SEARCH(Classifiers!$E$13,E224)),1,0))+IF(Classifiers!$F$13="",0,IF(ISNUMBER(SEARCH(Classifiers!$F$13,E224)),1,0))+IF(Classifiers!$G$13="",0,IF(ISNUMBER(SEARCH(Classifiers!$G$13,E224)),1,0)))&gt;0,1,0))</f>
        <v/>
      </c>
      <c r="S224" s="12">
        <f>IF(H224&lt;&gt;1,0,IF((IF(Classifiers!$B$14="",0,IF(ISNUMBER(SEARCH(Classifiers!$B$14,E224)),1,0))+IF(Classifiers!$C$14="",0,IF(ISNUMBER(SEARCH(Classifiers!$C$14,E224)),1,0))+IF(Classifiers!$D$14="",0,IF(ISNUMBER(SEARCH(Classifiers!$D$14,E224)),1,0))+IF(Classifiers!$E$14="",0,IF(ISNUMBER(SEARCH(Classifiers!$E$14,E224)),1,0))+IF(Classifiers!$F$14="",0,IF(ISNUMBER(SEARCH(Classifiers!$F$14,E224)),1,0))+IF(Classifiers!$G$14="",0,IF(ISNUMBER(SEARCH(Classifiers!$G$14,E224)),1,0)))&gt;0,1,0))</f>
        <v/>
      </c>
      <c r="T224" s="12">
        <f>IF(H224&lt;&gt;1,0,IF((IF(Classifiers!$B$15="",0,IF(ISNUMBER(SEARCH(Classifiers!$B$15,E224)),1,0))+IF(Classifiers!$C$15="",0,IF(ISNUMBER(SEARCH(Classifiers!$C$15,E224)),1,0))+IF(Classifiers!$D$15="",0,IF(ISNUMBER(SEARCH(Classifiers!$D$15,E224)),1,0))+IF(Classifiers!$E$15="",0,IF(ISNUMBER(SEARCH(Classifiers!$E$15,E224)),1,0))+IF(Classifiers!$F$15="",0,IF(ISNUMBER(SEARCH(Classifiers!$F$15,E224)),1,0))+IF(Classifiers!$G$15="",0,IF(ISNUMBER(SEARCH(Classifiers!$G$15,E224)),1,0)))&gt;0,1,0))</f>
        <v/>
      </c>
      <c r="U224" s="12">
        <f>IF(H224&lt;&gt;1,0,IF((IF(Classifiers!$B$16="",0,IF(ISNUMBER(SEARCH(Classifiers!$B$16,E224)),1,0))+IF(Classifiers!$C$16="",0,IF(ISNUMBER(SEARCH(Classifiers!$C$16,E224)),1,0))+IF(Classifiers!$D$16="",0,IF(ISNUMBER(SEARCH(Classifiers!$D$16,E224)),1,0))+IF(Classifiers!$E$16="",0,IF(ISNUMBER(SEARCH(Classifiers!$E$16,E224)),1,0))+IF(Classifiers!$F$16="",0,IF(ISNUMBER(SEARCH(Classifiers!$F$16,E224)),1,0))+IF(Classifiers!$G$16="",0,IF(ISNUMBER(SEARCH(Classifiers!$G$16,E224)),1,0)))&gt;0,1,0))</f>
        <v/>
      </c>
      <c r="V224" s="12">
        <f>IF(H224&lt;&gt;1,0,IF((IF(Classifiers!$B$17="",0,IF(ISNUMBER(SEARCH(Classifiers!$B$17,E224)),1,0))+IF(Classifiers!$C$17="",0,IF(ISNUMBER(SEARCH(Classifiers!$C$17,E224)),1,0))+IF(Classifiers!$D$17="",0,IF(ISNUMBER(SEARCH(Classifiers!$D$17,E224)),1,0))+IF(Classifiers!$E$17="",0,IF(ISNUMBER(SEARCH(Classifiers!$E$17,E224)),1,0))+IF(Classifiers!$F$17="",0,IF(ISNUMBER(SEARCH(Classifiers!$F$17,E224)),1,0))+IF(Classifiers!$G$17="",0,IF(ISNUMBER(SEARCH(Classifiers!$G$17,E224)),1,0)))&gt;0,1,0))</f>
        <v/>
      </c>
      <c r="W224" s="12">
        <f>IF(H224&lt;&gt;1,0,IF((IF(Classifiers!$B$18="",0,IF(ISNUMBER(SEARCH(Classifiers!$B$18,E224)),1,0))+IF(Classifiers!$C$18="",0,IF(ISNUMBER(SEARCH(Classifiers!$C$18,E224)),1,0))+IF(Classifiers!$D$18="",0,IF(ISNUMBER(SEARCH(Classifiers!$D$18,E224)),1,0))+IF(Classifiers!$E$18="",0,IF(ISNUMBER(SEARCH(Classifiers!$E$18,E224)),1,0))+IF(Classifiers!$F$18="",0,IF(ISNUMBER(SEARCH(Classifiers!$F$18,E224)),1,0))+IF(Classifiers!$G$18="",0,IF(ISNUMBER(SEARCH(Classifiers!$G$18,E224)),1,0)))&gt;0,1,0))</f>
        <v/>
      </c>
    </row>
    <row r="225">
      <c r="A225" s="8" t="n"/>
      <c r="B225" s="11" t="n"/>
      <c r="C225" s="6">
        <f>IF(A225="","",TRIM(RIGHT(SUBSTITUTE(A225,"/",REPT(" ",250)),250)))</f>
        <v/>
      </c>
      <c r="D225" s="6">
        <f>IF(C225="","",IF(ISNUMBER(SEARCH(".",C225)),LOWER("."&amp;TRIM(RIGHT(SUBSTITUTE(C225,".",REPT(" ",250)),250))),""))</f>
        <v/>
      </c>
      <c r="E225" s="6">
        <f>IF(C225="","",TRIM(SUBSTITUTE(SUBSTITUTE(SUBSTITUTE(SUBSTITUTE(SUBSTITUTE(SUBSTITUTE(SUBSTITUTE(SUBSTITUTE(SUBSTITUTE(SUBSTITUTE(SUBSTITUTE(SUBSTITUTE(SUBSTITUTE(SUBSTITUTE(SUBSTITUTE(SUBSTITUTE(SUBSTITUTE(SUBSTITUTE(SUBSTITUTE(SUBSTITUTE(LOWER(LEFT(C225,LEN(C225)-LEN(D225))),"_"," "),"-"," "),"."," "),","," "),"("," "),")"," "),"["," "),"]"," "),"&amp;"," "),"+"," "),"@"," "),"#"," "),"!"," "),"'"," "),"/"," "),":"," "),";"," "),"="," "),"~"," "),"%"," ")))</f>
        <v/>
      </c>
      <c r="F225" s="6">
        <f>IF(C225="","",IF(COUNTIF(Classifiers!$A$23:$A$40,D225)&gt;0,1,0))</f>
        <v/>
      </c>
      <c r="G225" s="6">
        <f>IF(C225="","",IF(COUNTIF(Classifiers!$C$23:$C$30,D225)&gt;0,IF((IF(ISNUMBER(SEARCH(Classifiers!$E$23,E225)),1,0)+IF(ISNUMBER(SEARCH(Classifiers!$E$24,E225)),1,0)+IF(ISNUMBER(SEARCH(Classifiers!$E$25,E225)),1,0)+IF(ISNUMBER(SEARCH(Classifiers!$E$26,E225)),1,0)+IF(ISNUMBER(SEARCH(Classifiers!$E$27,E225)),1,0)+IF(ISNUMBER(SEARCH(Classifiers!$E$28,E225)),1,0)+IF(ISNUMBER(SEARCH(Classifiers!$E$29,E225)),1,0)+IF(ISNUMBER(SEARCH(Classifiers!$E$30,E225)),1,0))&gt;0,1,0),0))</f>
        <v/>
      </c>
      <c r="H225" s="6">
        <f>IF(C225="","",IF(OR(LEFT(C225,1)=".",AND(F225=0,G225=0)),0,1))</f>
        <v/>
      </c>
      <c r="I225" s="6">
        <f>IF(H225&lt;&gt;1,"",IF(SUM(J225:W225)=0,"unclassified",INDEX(Classifiers!$A$5:$A$18,MATCH(1,J225:W225,0),1)))</f>
        <v/>
      </c>
      <c r="J225" s="12">
        <f>IF(H225&lt;&gt;1,0,IF((IF(Classifiers!$B$5="",0,IF(ISNUMBER(SEARCH(Classifiers!$B$5,E225)),1,0))+IF(Classifiers!$C$5="",0,IF(ISNUMBER(SEARCH(Classifiers!$C$5,E225)),1,0))+IF(Classifiers!$D$5="",0,IF(ISNUMBER(SEARCH(Classifiers!$D$5,E225)),1,0))+IF(Classifiers!$E$5="",0,IF(ISNUMBER(SEARCH(Classifiers!$E$5,E225)),1,0))+IF(Classifiers!$F$5="",0,IF(ISNUMBER(SEARCH(Classifiers!$F$5,E225)),1,0))+IF(Classifiers!$G$5="",0,IF(ISNUMBER(SEARCH(Classifiers!$G$5,E225)),1,0)))&gt;0,1,0))</f>
        <v/>
      </c>
      <c r="K225" s="12">
        <f>IF(H225&lt;&gt;1,0,IF((IF(Classifiers!$B$6="",0,IF(ISNUMBER(SEARCH(Classifiers!$B$6,E225)),1,0))+IF(Classifiers!$C$6="",0,IF(ISNUMBER(SEARCH(Classifiers!$C$6,E225)),1,0))+IF(Classifiers!$D$6="",0,IF(ISNUMBER(SEARCH(Classifiers!$D$6,E225)),1,0))+IF(Classifiers!$E$6="",0,IF(ISNUMBER(SEARCH(Classifiers!$E$6,E225)),1,0))+IF(Classifiers!$F$6="",0,IF(ISNUMBER(SEARCH(Classifiers!$F$6,E225)),1,0))+IF(Classifiers!$G$6="",0,IF(ISNUMBER(SEARCH(Classifiers!$G$6,E225)),1,0)))&gt;0,1,0))</f>
        <v/>
      </c>
      <c r="L225" s="12">
        <f>IF(H225&lt;&gt;1,0,IF((IF(Classifiers!$B$7="",0,IF(ISNUMBER(SEARCH(Classifiers!$B$7,E225)),1,0))+IF(Classifiers!$C$7="",0,IF(ISNUMBER(SEARCH(Classifiers!$C$7,E225)),1,0))+IF(Classifiers!$D$7="",0,IF(ISNUMBER(SEARCH(Classifiers!$D$7,E225)),1,0))+IF(Classifiers!$E$7="",0,IF(ISNUMBER(SEARCH(Classifiers!$E$7,E225)),1,0))+IF(Classifiers!$F$7="",0,IF(ISNUMBER(SEARCH(Classifiers!$F$7,E225)),1,0))+IF(Classifiers!$G$7="",0,IF(ISNUMBER(SEARCH(Classifiers!$G$7,E225)),1,0)))&gt;0,1,0))</f>
        <v/>
      </c>
      <c r="M225" s="12">
        <f>IF(H225&lt;&gt;1,0,IF((IF(Classifiers!$B$8="",0,IF(ISNUMBER(SEARCH(Classifiers!$B$8,E225)),1,0))+IF(Classifiers!$C$8="",0,IF(ISNUMBER(SEARCH(Classifiers!$C$8,E225)),1,0))+IF(Classifiers!$D$8="",0,IF(ISNUMBER(SEARCH(Classifiers!$D$8,E225)),1,0))+IF(Classifiers!$E$8="",0,IF(ISNUMBER(SEARCH(Classifiers!$E$8,E225)),1,0))+IF(Classifiers!$F$8="",0,IF(ISNUMBER(SEARCH(Classifiers!$F$8,E225)),1,0))+IF(Classifiers!$G$8="",0,IF(ISNUMBER(SEARCH(Classifiers!$G$8,E225)),1,0)))&gt;0,1,0))</f>
        <v/>
      </c>
      <c r="N225" s="12">
        <f>IF(H225&lt;&gt;1,0,IF((IF(Classifiers!$B$9="",0,IF(ISNUMBER(SEARCH(Classifiers!$B$9,E225)),1,0))+IF(Classifiers!$C$9="",0,IF(ISNUMBER(SEARCH(Classifiers!$C$9,E225)),1,0))+IF(Classifiers!$D$9="",0,IF(ISNUMBER(SEARCH(Classifiers!$D$9,E225)),1,0))+IF(Classifiers!$E$9="",0,IF(ISNUMBER(SEARCH(Classifiers!$E$9,E225)),1,0))+IF(Classifiers!$F$9="",0,IF(ISNUMBER(SEARCH(Classifiers!$F$9,E225)),1,0))+IF(Classifiers!$G$9="",0,IF(ISNUMBER(SEARCH(Classifiers!$G$9,E225)),1,0)))&gt;0,1,0))</f>
        <v/>
      </c>
      <c r="O225" s="12">
        <f>IF(H225&lt;&gt;1,0,IF((IF(Classifiers!$B$10="",0,IF(ISNUMBER(SEARCH(Classifiers!$B$10,E225)),1,0))+IF(Classifiers!$C$10="",0,IF(ISNUMBER(SEARCH(Classifiers!$C$10,E225)),1,0))+IF(Classifiers!$D$10="",0,IF(ISNUMBER(SEARCH(Classifiers!$D$10,E225)),1,0))+IF(Classifiers!$E$10="",0,IF(ISNUMBER(SEARCH(Classifiers!$E$10,E225)),1,0))+IF(Classifiers!$F$10="",0,IF(ISNUMBER(SEARCH(Classifiers!$F$10,E225)),1,0))+IF(Classifiers!$G$10="",0,IF(ISNUMBER(SEARCH(Classifiers!$G$10,E225)),1,0)))&gt;0,1,0))</f>
        <v/>
      </c>
      <c r="P225" s="12">
        <f>IF(H225&lt;&gt;1,0,IF((IF(Classifiers!$B$11="",0,IF(ISNUMBER(SEARCH(Classifiers!$B$11,E225)),1,0))+IF(Classifiers!$C$11="",0,IF(ISNUMBER(SEARCH(Classifiers!$C$11,E225)),1,0))+IF(Classifiers!$D$11="",0,IF(ISNUMBER(SEARCH(Classifiers!$D$11,E225)),1,0))+IF(Classifiers!$E$11="",0,IF(ISNUMBER(SEARCH(Classifiers!$E$11,E225)),1,0))+IF(Classifiers!$F$11="",0,IF(ISNUMBER(SEARCH(Classifiers!$F$11,E225)),1,0))+IF(Classifiers!$G$11="",0,IF(ISNUMBER(SEARCH(Classifiers!$G$11,E225)),1,0)))&gt;0,1,0))</f>
        <v/>
      </c>
      <c r="Q225" s="12">
        <f>IF(H225&lt;&gt;1,0,IF((IF(Classifiers!$B$12="",0,IF(ISNUMBER(SEARCH(Classifiers!$B$12,E225)),1,0))+IF(Classifiers!$C$12="",0,IF(ISNUMBER(SEARCH(Classifiers!$C$12,E225)),1,0))+IF(Classifiers!$D$12="",0,IF(ISNUMBER(SEARCH(Classifiers!$D$12,E225)),1,0))+IF(Classifiers!$E$12="",0,IF(ISNUMBER(SEARCH(Classifiers!$E$12,E225)),1,0))+IF(Classifiers!$F$12="",0,IF(ISNUMBER(SEARCH(Classifiers!$F$12,E225)),1,0))+IF(Classifiers!$G$12="",0,IF(ISNUMBER(SEARCH(Classifiers!$G$12,E225)),1,0)))&gt;0,1,0))</f>
        <v/>
      </c>
      <c r="R225" s="12">
        <f>IF(H225&lt;&gt;1,0,IF((IF(Classifiers!$B$13="",0,IF(ISNUMBER(SEARCH(Classifiers!$B$13,E225)),1,0))+IF(Classifiers!$C$13="",0,IF(ISNUMBER(SEARCH(Classifiers!$C$13,E225)),1,0))+IF(Classifiers!$D$13="",0,IF(ISNUMBER(SEARCH(Classifiers!$D$13,E225)),1,0))+IF(Classifiers!$E$13="",0,IF(ISNUMBER(SEARCH(Classifiers!$E$13,E225)),1,0))+IF(Classifiers!$F$13="",0,IF(ISNUMBER(SEARCH(Classifiers!$F$13,E225)),1,0))+IF(Classifiers!$G$13="",0,IF(ISNUMBER(SEARCH(Classifiers!$G$13,E225)),1,0)))&gt;0,1,0))</f>
        <v/>
      </c>
      <c r="S225" s="12">
        <f>IF(H225&lt;&gt;1,0,IF((IF(Classifiers!$B$14="",0,IF(ISNUMBER(SEARCH(Classifiers!$B$14,E225)),1,0))+IF(Classifiers!$C$14="",0,IF(ISNUMBER(SEARCH(Classifiers!$C$14,E225)),1,0))+IF(Classifiers!$D$14="",0,IF(ISNUMBER(SEARCH(Classifiers!$D$14,E225)),1,0))+IF(Classifiers!$E$14="",0,IF(ISNUMBER(SEARCH(Classifiers!$E$14,E225)),1,0))+IF(Classifiers!$F$14="",0,IF(ISNUMBER(SEARCH(Classifiers!$F$14,E225)),1,0))+IF(Classifiers!$G$14="",0,IF(ISNUMBER(SEARCH(Classifiers!$G$14,E225)),1,0)))&gt;0,1,0))</f>
        <v/>
      </c>
      <c r="T225" s="12">
        <f>IF(H225&lt;&gt;1,0,IF((IF(Classifiers!$B$15="",0,IF(ISNUMBER(SEARCH(Classifiers!$B$15,E225)),1,0))+IF(Classifiers!$C$15="",0,IF(ISNUMBER(SEARCH(Classifiers!$C$15,E225)),1,0))+IF(Classifiers!$D$15="",0,IF(ISNUMBER(SEARCH(Classifiers!$D$15,E225)),1,0))+IF(Classifiers!$E$15="",0,IF(ISNUMBER(SEARCH(Classifiers!$E$15,E225)),1,0))+IF(Classifiers!$F$15="",0,IF(ISNUMBER(SEARCH(Classifiers!$F$15,E225)),1,0))+IF(Classifiers!$G$15="",0,IF(ISNUMBER(SEARCH(Classifiers!$G$15,E225)),1,0)))&gt;0,1,0))</f>
        <v/>
      </c>
      <c r="U225" s="12">
        <f>IF(H225&lt;&gt;1,0,IF((IF(Classifiers!$B$16="",0,IF(ISNUMBER(SEARCH(Classifiers!$B$16,E225)),1,0))+IF(Classifiers!$C$16="",0,IF(ISNUMBER(SEARCH(Classifiers!$C$16,E225)),1,0))+IF(Classifiers!$D$16="",0,IF(ISNUMBER(SEARCH(Classifiers!$D$16,E225)),1,0))+IF(Classifiers!$E$16="",0,IF(ISNUMBER(SEARCH(Classifiers!$E$16,E225)),1,0))+IF(Classifiers!$F$16="",0,IF(ISNUMBER(SEARCH(Classifiers!$F$16,E225)),1,0))+IF(Classifiers!$G$16="",0,IF(ISNUMBER(SEARCH(Classifiers!$G$16,E225)),1,0)))&gt;0,1,0))</f>
        <v/>
      </c>
      <c r="V225" s="12">
        <f>IF(H225&lt;&gt;1,0,IF((IF(Classifiers!$B$17="",0,IF(ISNUMBER(SEARCH(Classifiers!$B$17,E225)),1,0))+IF(Classifiers!$C$17="",0,IF(ISNUMBER(SEARCH(Classifiers!$C$17,E225)),1,0))+IF(Classifiers!$D$17="",0,IF(ISNUMBER(SEARCH(Classifiers!$D$17,E225)),1,0))+IF(Classifiers!$E$17="",0,IF(ISNUMBER(SEARCH(Classifiers!$E$17,E225)),1,0))+IF(Classifiers!$F$17="",0,IF(ISNUMBER(SEARCH(Classifiers!$F$17,E225)),1,0))+IF(Classifiers!$G$17="",0,IF(ISNUMBER(SEARCH(Classifiers!$G$17,E225)),1,0)))&gt;0,1,0))</f>
        <v/>
      </c>
      <c r="W225" s="12">
        <f>IF(H225&lt;&gt;1,0,IF((IF(Classifiers!$B$18="",0,IF(ISNUMBER(SEARCH(Classifiers!$B$18,E225)),1,0))+IF(Classifiers!$C$18="",0,IF(ISNUMBER(SEARCH(Classifiers!$C$18,E225)),1,0))+IF(Classifiers!$D$18="",0,IF(ISNUMBER(SEARCH(Classifiers!$D$18,E225)),1,0))+IF(Classifiers!$E$18="",0,IF(ISNUMBER(SEARCH(Classifiers!$E$18,E225)),1,0))+IF(Classifiers!$F$18="",0,IF(ISNUMBER(SEARCH(Classifiers!$F$18,E225)),1,0))+IF(Classifiers!$G$18="",0,IF(ISNUMBER(SEARCH(Classifiers!$G$18,E225)),1,0)))&gt;0,1,0))</f>
        <v/>
      </c>
    </row>
    <row r="226">
      <c r="A226" s="8" t="n"/>
      <c r="B226" s="11" t="n"/>
      <c r="C226" s="6">
        <f>IF(A226="","",TRIM(RIGHT(SUBSTITUTE(A226,"/",REPT(" ",250)),250)))</f>
        <v/>
      </c>
      <c r="D226" s="6">
        <f>IF(C226="","",IF(ISNUMBER(SEARCH(".",C226)),LOWER("."&amp;TRIM(RIGHT(SUBSTITUTE(C226,".",REPT(" ",250)),250))),""))</f>
        <v/>
      </c>
      <c r="E226" s="6">
        <f>IF(C226="","",TRIM(SUBSTITUTE(SUBSTITUTE(SUBSTITUTE(SUBSTITUTE(SUBSTITUTE(SUBSTITUTE(SUBSTITUTE(SUBSTITUTE(SUBSTITUTE(SUBSTITUTE(SUBSTITUTE(SUBSTITUTE(SUBSTITUTE(SUBSTITUTE(SUBSTITUTE(SUBSTITUTE(SUBSTITUTE(SUBSTITUTE(SUBSTITUTE(SUBSTITUTE(LOWER(LEFT(C226,LEN(C226)-LEN(D226))),"_"," "),"-"," "),"."," "),","," "),"("," "),")"," "),"["," "),"]"," "),"&amp;"," "),"+"," "),"@"," "),"#"," "),"!"," "),"'"," "),"/"," "),":"," "),";"," "),"="," "),"~"," "),"%"," ")))</f>
        <v/>
      </c>
      <c r="F226" s="6">
        <f>IF(C226="","",IF(COUNTIF(Classifiers!$A$23:$A$40,D226)&gt;0,1,0))</f>
        <v/>
      </c>
      <c r="G226" s="6">
        <f>IF(C226="","",IF(COUNTIF(Classifiers!$C$23:$C$30,D226)&gt;0,IF((IF(ISNUMBER(SEARCH(Classifiers!$E$23,E226)),1,0)+IF(ISNUMBER(SEARCH(Classifiers!$E$24,E226)),1,0)+IF(ISNUMBER(SEARCH(Classifiers!$E$25,E226)),1,0)+IF(ISNUMBER(SEARCH(Classifiers!$E$26,E226)),1,0)+IF(ISNUMBER(SEARCH(Classifiers!$E$27,E226)),1,0)+IF(ISNUMBER(SEARCH(Classifiers!$E$28,E226)),1,0)+IF(ISNUMBER(SEARCH(Classifiers!$E$29,E226)),1,0)+IF(ISNUMBER(SEARCH(Classifiers!$E$30,E226)),1,0))&gt;0,1,0),0))</f>
        <v/>
      </c>
      <c r="H226" s="6">
        <f>IF(C226="","",IF(OR(LEFT(C226,1)=".",AND(F226=0,G226=0)),0,1))</f>
        <v/>
      </c>
      <c r="I226" s="6">
        <f>IF(H226&lt;&gt;1,"",IF(SUM(J226:W226)=0,"unclassified",INDEX(Classifiers!$A$5:$A$18,MATCH(1,J226:W226,0),1)))</f>
        <v/>
      </c>
      <c r="J226" s="12">
        <f>IF(H226&lt;&gt;1,0,IF((IF(Classifiers!$B$5="",0,IF(ISNUMBER(SEARCH(Classifiers!$B$5,E226)),1,0))+IF(Classifiers!$C$5="",0,IF(ISNUMBER(SEARCH(Classifiers!$C$5,E226)),1,0))+IF(Classifiers!$D$5="",0,IF(ISNUMBER(SEARCH(Classifiers!$D$5,E226)),1,0))+IF(Classifiers!$E$5="",0,IF(ISNUMBER(SEARCH(Classifiers!$E$5,E226)),1,0))+IF(Classifiers!$F$5="",0,IF(ISNUMBER(SEARCH(Classifiers!$F$5,E226)),1,0))+IF(Classifiers!$G$5="",0,IF(ISNUMBER(SEARCH(Classifiers!$G$5,E226)),1,0)))&gt;0,1,0))</f>
        <v/>
      </c>
      <c r="K226" s="12">
        <f>IF(H226&lt;&gt;1,0,IF((IF(Classifiers!$B$6="",0,IF(ISNUMBER(SEARCH(Classifiers!$B$6,E226)),1,0))+IF(Classifiers!$C$6="",0,IF(ISNUMBER(SEARCH(Classifiers!$C$6,E226)),1,0))+IF(Classifiers!$D$6="",0,IF(ISNUMBER(SEARCH(Classifiers!$D$6,E226)),1,0))+IF(Classifiers!$E$6="",0,IF(ISNUMBER(SEARCH(Classifiers!$E$6,E226)),1,0))+IF(Classifiers!$F$6="",0,IF(ISNUMBER(SEARCH(Classifiers!$F$6,E226)),1,0))+IF(Classifiers!$G$6="",0,IF(ISNUMBER(SEARCH(Classifiers!$G$6,E226)),1,0)))&gt;0,1,0))</f>
        <v/>
      </c>
      <c r="L226" s="12">
        <f>IF(H226&lt;&gt;1,0,IF((IF(Classifiers!$B$7="",0,IF(ISNUMBER(SEARCH(Classifiers!$B$7,E226)),1,0))+IF(Classifiers!$C$7="",0,IF(ISNUMBER(SEARCH(Classifiers!$C$7,E226)),1,0))+IF(Classifiers!$D$7="",0,IF(ISNUMBER(SEARCH(Classifiers!$D$7,E226)),1,0))+IF(Classifiers!$E$7="",0,IF(ISNUMBER(SEARCH(Classifiers!$E$7,E226)),1,0))+IF(Classifiers!$F$7="",0,IF(ISNUMBER(SEARCH(Classifiers!$F$7,E226)),1,0))+IF(Classifiers!$G$7="",0,IF(ISNUMBER(SEARCH(Classifiers!$G$7,E226)),1,0)))&gt;0,1,0))</f>
        <v/>
      </c>
      <c r="M226" s="12">
        <f>IF(H226&lt;&gt;1,0,IF((IF(Classifiers!$B$8="",0,IF(ISNUMBER(SEARCH(Classifiers!$B$8,E226)),1,0))+IF(Classifiers!$C$8="",0,IF(ISNUMBER(SEARCH(Classifiers!$C$8,E226)),1,0))+IF(Classifiers!$D$8="",0,IF(ISNUMBER(SEARCH(Classifiers!$D$8,E226)),1,0))+IF(Classifiers!$E$8="",0,IF(ISNUMBER(SEARCH(Classifiers!$E$8,E226)),1,0))+IF(Classifiers!$F$8="",0,IF(ISNUMBER(SEARCH(Classifiers!$F$8,E226)),1,0))+IF(Classifiers!$G$8="",0,IF(ISNUMBER(SEARCH(Classifiers!$G$8,E226)),1,0)))&gt;0,1,0))</f>
        <v/>
      </c>
      <c r="N226" s="12">
        <f>IF(H226&lt;&gt;1,0,IF((IF(Classifiers!$B$9="",0,IF(ISNUMBER(SEARCH(Classifiers!$B$9,E226)),1,0))+IF(Classifiers!$C$9="",0,IF(ISNUMBER(SEARCH(Classifiers!$C$9,E226)),1,0))+IF(Classifiers!$D$9="",0,IF(ISNUMBER(SEARCH(Classifiers!$D$9,E226)),1,0))+IF(Classifiers!$E$9="",0,IF(ISNUMBER(SEARCH(Classifiers!$E$9,E226)),1,0))+IF(Classifiers!$F$9="",0,IF(ISNUMBER(SEARCH(Classifiers!$F$9,E226)),1,0))+IF(Classifiers!$G$9="",0,IF(ISNUMBER(SEARCH(Classifiers!$G$9,E226)),1,0)))&gt;0,1,0))</f>
        <v/>
      </c>
      <c r="O226" s="12">
        <f>IF(H226&lt;&gt;1,0,IF((IF(Classifiers!$B$10="",0,IF(ISNUMBER(SEARCH(Classifiers!$B$10,E226)),1,0))+IF(Classifiers!$C$10="",0,IF(ISNUMBER(SEARCH(Classifiers!$C$10,E226)),1,0))+IF(Classifiers!$D$10="",0,IF(ISNUMBER(SEARCH(Classifiers!$D$10,E226)),1,0))+IF(Classifiers!$E$10="",0,IF(ISNUMBER(SEARCH(Classifiers!$E$10,E226)),1,0))+IF(Classifiers!$F$10="",0,IF(ISNUMBER(SEARCH(Classifiers!$F$10,E226)),1,0))+IF(Classifiers!$G$10="",0,IF(ISNUMBER(SEARCH(Classifiers!$G$10,E226)),1,0)))&gt;0,1,0))</f>
        <v/>
      </c>
      <c r="P226" s="12">
        <f>IF(H226&lt;&gt;1,0,IF((IF(Classifiers!$B$11="",0,IF(ISNUMBER(SEARCH(Classifiers!$B$11,E226)),1,0))+IF(Classifiers!$C$11="",0,IF(ISNUMBER(SEARCH(Classifiers!$C$11,E226)),1,0))+IF(Classifiers!$D$11="",0,IF(ISNUMBER(SEARCH(Classifiers!$D$11,E226)),1,0))+IF(Classifiers!$E$11="",0,IF(ISNUMBER(SEARCH(Classifiers!$E$11,E226)),1,0))+IF(Classifiers!$F$11="",0,IF(ISNUMBER(SEARCH(Classifiers!$F$11,E226)),1,0))+IF(Classifiers!$G$11="",0,IF(ISNUMBER(SEARCH(Classifiers!$G$11,E226)),1,0)))&gt;0,1,0))</f>
        <v/>
      </c>
      <c r="Q226" s="12">
        <f>IF(H226&lt;&gt;1,0,IF((IF(Classifiers!$B$12="",0,IF(ISNUMBER(SEARCH(Classifiers!$B$12,E226)),1,0))+IF(Classifiers!$C$12="",0,IF(ISNUMBER(SEARCH(Classifiers!$C$12,E226)),1,0))+IF(Classifiers!$D$12="",0,IF(ISNUMBER(SEARCH(Classifiers!$D$12,E226)),1,0))+IF(Classifiers!$E$12="",0,IF(ISNUMBER(SEARCH(Classifiers!$E$12,E226)),1,0))+IF(Classifiers!$F$12="",0,IF(ISNUMBER(SEARCH(Classifiers!$F$12,E226)),1,0))+IF(Classifiers!$G$12="",0,IF(ISNUMBER(SEARCH(Classifiers!$G$12,E226)),1,0)))&gt;0,1,0))</f>
        <v/>
      </c>
      <c r="R226" s="12">
        <f>IF(H226&lt;&gt;1,0,IF((IF(Classifiers!$B$13="",0,IF(ISNUMBER(SEARCH(Classifiers!$B$13,E226)),1,0))+IF(Classifiers!$C$13="",0,IF(ISNUMBER(SEARCH(Classifiers!$C$13,E226)),1,0))+IF(Classifiers!$D$13="",0,IF(ISNUMBER(SEARCH(Classifiers!$D$13,E226)),1,0))+IF(Classifiers!$E$13="",0,IF(ISNUMBER(SEARCH(Classifiers!$E$13,E226)),1,0))+IF(Classifiers!$F$13="",0,IF(ISNUMBER(SEARCH(Classifiers!$F$13,E226)),1,0))+IF(Classifiers!$G$13="",0,IF(ISNUMBER(SEARCH(Classifiers!$G$13,E226)),1,0)))&gt;0,1,0))</f>
        <v/>
      </c>
      <c r="S226" s="12">
        <f>IF(H226&lt;&gt;1,0,IF((IF(Classifiers!$B$14="",0,IF(ISNUMBER(SEARCH(Classifiers!$B$14,E226)),1,0))+IF(Classifiers!$C$14="",0,IF(ISNUMBER(SEARCH(Classifiers!$C$14,E226)),1,0))+IF(Classifiers!$D$14="",0,IF(ISNUMBER(SEARCH(Classifiers!$D$14,E226)),1,0))+IF(Classifiers!$E$14="",0,IF(ISNUMBER(SEARCH(Classifiers!$E$14,E226)),1,0))+IF(Classifiers!$F$14="",0,IF(ISNUMBER(SEARCH(Classifiers!$F$14,E226)),1,0))+IF(Classifiers!$G$14="",0,IF(ISNUMBER(SEARCH(Classifiers!$G$14,E226)),1,0)))&gt;0,1,0))</f>
        <v/>
      </c>
      <c r="T226" s="12">
        <f>IF(H226&lt;&gt;1,0,IF((IF(Classifiers!$B$15="",0,IF(ISNUMBER(SEARCH(Classifiers!$B$15,E226)),1,0))+IF(Classifiers!$C$15="",0,IF(ISNUMBER(SEARCH(Classifiers!$C$15,E226)),1,0))+IF(Classifiers!$D$15="",0,IF(ISNUMBER(SEARCH(Classifiers!$D$15,E226)),1,0))+IF(Classifiers!$E$15="",0,IF(ISNUMBER(SEARCH(Classifiers!$E$15,E226)),1,0))+IF(Classifiers!$F$15="",0,IF(ISNUMBER(SEARCH(Classifiers!$F$15,E226)),1,0))+IF(Classifiers!$G$15="",0,IF(ISNUMBER(SEARCH(Classifiers!$G$15,E226)),1,0)))&gt;0,1,0))</f>
        <v/>
      </c>
      <c r="U226" s="12">
        <f>IF(H226&lt;&gt;1,0,IF((IF(Classifiers!$B$16="",0,IF(ISNUMBER(SEARCH(Classifiers!$B$16,E226)),1,0))+IF(Classifiers!$C$16="",0,IF(ISNUMBER(SEARCH(Classifiers!$C$16,E226)),1,0))+IF(Classifiers!$D$16="",0,IF(ISNUMBER(SEARCH(Classifiers!$D$16,E226)),1,0))+IF(Classifiers!$E$16="",0,IF(ISNUMBER(SEARCH(Classifiers!$E$16,E226)),1,0))+IF(Classifiers!$F$16="",0,IF(ISNUMBER(SEARCH(Classifiers!$F$16,E226)),1,0))+IF(Classifiers!$G$16="",0,IF(ISNUMBER(SEARCH(Classifiers!$G$16,E226)),1,0)))&gt;0,1,0))</f>
        <v/>
      </c>
      <c r="V226" s="12">
        <f>IF(H226&lt;&gt;1,0,IF((IF(Classifiers!$B$17="",0,IF(ISNUMBER(SEARCH(Classifiers!$B$17,E226)),1,0))+IF(Classifiers!$C$17="",0,IF(ISNUMBER(SEARCH(Classifiers!$C$17,E226)),1,0))+IF(Classifiers!$D$17="",0,IF(ISNUMBER(SEARCH(Classifiers!$D$17,E226)),1,0))+IF(Classifiers!$E$17="",0,IF(ISNUMBER(SEARCH(Classifiers!$E$17,E226)),1,0))+IF(Classifiers!$F$17="",0,IF(ISNUMBER(SEARCH(Classifiers!$F$17,E226)),1,0))+IF(Classifiers!$G$17="",0,IF(ISNUMBER(SEARCH(Classifiers!$G$17,E226)),1,0)))&gt;0,1,0))</f>
        <v/>
      </c>
      <c r="W226" s="12">
        <f>IF(H226&lt;&gt;1,0,IF((IF(Classifiers!$B$18="",0,IF(ISNUMBER(SEARCH(Classifiers!$B$18,E226)),1,0))+IF(Classifiers!$C$18="",0,IF(ISNUMBER(SEARCH(Classifiers!$C$18,E226)),1,0))+IF(Classifiers!$D$18="",0,IF(ISNUMBER(SEARCH(Classifiers!$D$18,E226)),1,0))+IF(Classifiers!$E$18="",0,IF(ISNUMBER(SEARCH(Classifiers!$E$18,E226)),1,0))+IF(Classifiers!$F$18="",0,IF(ISNUMBER(SEARCH(Classifiers!$F$18,E226)),1,0))+IF(Classifiers!$G$18="",0,IF(ISNUMBER(SEARCH(Classifiers!$G$18,E226)),1,0)))&gt;0,1,0))</f>
        <v/>
      </c>
    </row>
    <row r="227">
      <c r="A227" s="8" t="n"/>
      <c r="B227" s="11" t="n"/>
      <c r="C227" s="6">
        <f>IF(A227="","",TRIM(RIGHT(SUBSTITUTE(A227,"/",REPT(" ",250)),250)))</f>
        <v/>
      </c>
      <c r="D227" s="6">
        <f>IF(C227="","",IF(ISNUMBER(SEARCH(".",C227)),LOWER("."&amp;TRIM(RIGHT(SUBSTITUTE(C227,".",REPT(" ",250)),250))),""))</f>
        <v/>
      </c>
      <c r="E227" s="6">
        <f>IF(C227="","",TRIM(SUBSTITUTE(SUBSTITUTE(SUBSTITUTE(SUBSTITUTE(SUBSTITUTE(SUBSTITUTE(SUBSTITUTE(SUBSTITUTE(SUBSTITUTE(SUBSTITUTE(SUBSTITUTE(SUBSTITUTE(SUBSTITUTE(SUBSTITUTE(SUBSTITUTE(SUBSTITUTE(SUBSTITUTE(SUBSTITUTE(SUBSTITUTE(SUBSTITUTE(LOWER(LEFT(C227,LEN(C227)-LEN(D227))),"_"," "),"-"," "),"."," "),","," "),"("," "),")"," "),"["," "),"]"," "),"&amp;"," "),"+"," "),"@"," "),"#"," "),"!"," "),"'"," "),"/"," "),":"," "),";"," "),"="," "),"~"," "),"%"," ")))</f>
        <v/>
      </c>
      <c r="F227" s="6">
        <f>IF(C227="","",IF(COUNTIF(Classifiers!$A$23:$A$40,D227)&gt;0,1,0))</f>
        <v/>
      </c>
      <c r="G227" s="6">
        <f>IF(C227="","",IF(COUNTIF(Classifiers!$C$23:$C$30,D227)&gt;0,IF((IF(ISNUMBER(SEARCH(Classifiers!$E$23,E227)),1,0)+IF(ISNUMBER(SEARCH(Classifiers!$E$24,E227)),1,0)+IF(ISNUMBER(SEARCH(Classifiers!$E$25,E227)),1,0)+IF(ISNUMBER(SEARCH(Classifiers!$E$26,E227)),1,0)+IF(ISNUMBER(SEARCH(Classifiers!$E$27,E227)),1,0)+IF(ISNUMBER(SEARCH(Classifiers!$E$28,E227)),1,0)+IF(ISNUMBER(SEARCH(Classifiers!$E$29,E227)),1,0)+IF(ISNUMBER(SEARCH(Classifiers!$E$30,E227)),1,0))&gt;0,1,0),0))</f>
        <v/>
      </c>
      <c r="H227" s="6">
        <f>IF(C227="","",IF(OR(LEFT(C227,1)=".",AND(F227=0,G227=0)),0,1))</f>
        <v/>
      </c>
      <c r="I227" s="6">
        <f>IF(H227&lt;&gt;1,"",IF(SUM(J227:W227)=0,"unclassified",INDEX(Classifiers!$A$5:$A$18,MATCH(1,J227:W227,0),1)))</f>
        <v/>
      </c>
      <c r="J227" s="12">
        <f>IF(H227&lt;&gt;1,0,IF((IF(Classifiers!$B$5="",0,IF(ISNUMBER(SEARCH(Classifiers!$B$5,E227)),1,0))+IF(Classifiers!$C$5="",0,IF(ISNUMBER(SEARCH(Classifiers!$C$5,E227)),1,0))+IF(Classifiers!$D$5="",0,IF(ISNUMBER(SEARCH(Classifiers!$D$5,E227)),1,0))+IF(Classifiers!$E$5="",0,IF(ISNUMBER(SEARCH(Classifiers!$E$5,E227)),1,0))+IF(Classifiers!$F$5="",0,IF(ISNUMBER(SEARCH(Classifiers!$F$5,E227)),1,0))+IF(Classifiers!$G$5="",0,IF(ISNUMBER(SEARCH(Classifiers!$G$5,E227)),1,0)))&gt;0,1,0))</f>
        <v/>
      </c>
      <c r="K227" s="12">
        <f>IF(H227&lt;&gt;1,0,IF((IF(Classifiers!$B$6="",0,IF(ISNUMBER(SEARCH(Classifiers!$B$6,E227)),1,0))+IF(Classifiers!$C$6="",0,IF(ISNUMBER(SEARCH(Classifiers!$C$6,E227)),1,0))+IF(Classifiers!$D$6="",0,IF(ISNUMBER(SEARCH(Classifiers!$D$6,E227)),1,0))+IF(Classifiers!$E$6="",0,IF(ISNUMBER(SEARCH(Classifiers!$E$6,E227)),1,0))+IF(Classifiers!$F$6="",0,IF(ISNUMBER(SEARCH(Classifiers!$F$6,E227)),1,0))+IF(Classifiers!$G$6="",0,IF(ISNUMBER(SEARCH(Classifiers!$G$6,E227)),1,0)))&gt;0,1,0))</f>
        <v/>
      </c>
      <c r="L227" s="12">
        <f>IF(H227&lt;&gt;1,0,IF((IF(Classifiers!$B$7="",0,IF(ISNUMBER(SEARCH(Classifiers!$B$7,E227)),1,0))+IF(Classifiers!$C$7="",0,IF(ISNUMBER(SEARCH(Classifiers!$C$7,E227)),1,0))+IF(Classifiers!$D$7="",0,IF(ISNUMBER(SEARCH(Classifiers!$D$7,E227)),1,0))+IF(Classifiers!$E$7="",0,IF(ISNUMBER(SEARCH(Classifiers!$E$7,E227)),1,0))+IF(Classifiers!$F$7="",0,IF(ISNUMBER(SEARCH(Classifiers!$F$7,E227)),1,0))+IF(Classifiers!$G$7="",0,IF(ISNUMBER(SEARCH(Classifiers!$G$7,E227)),1,0)))&gt;0,1,0))</f>
        <v/>
      </c>
      <c r="M227" s="12">
        <f>IF(H227&lt;&gt;1,0,IF((IF(Classifiers!$B$8="",0,IF(ISNUMBER(SEARCH(Classifiers!$B$8,E227)),1,0))+IF(Classifiers!$C$8="",0,IF(ISNUMBER(SEARCH(Classifiers!$C$8,E227)),1,0))+IF(Classifiers!$D$8="",0,IF(ISNUMBER(SEARCH(Classifiers!$D$8,E227)),1,0))+IF(Classifiers!$E$8="",0,IF(ISNUMBER(SEARCH(Classifiers!$E$8,E227)),1,0))+IF(Classifiers!$F$8="",0,IF(ISNUMBER(SEARCH(Classifiers!$F$8,E227)),1,0))+IF(Classifiers!$G$8="",0,IF(ISNUMBER(SEARCH(Classifiers!$G$8,E227)),1,0)))&gt;0,1,0))</f>
        <v/>
      </c>
      <c r="N227" s="12">
        <f>IF(H227&lt;&gt;1,0,IF((IF(Classifiers!$B$9="",0,IF(ISNUMBER(SEARCH(Classifiers!$B$9,E227)),1,0))+IF(Classifiers!$C$9="",0,IF(ISNUMBER(SEARCH(Classifiers!$C$9,E227)),1,0))+IF(Classifiers!$D$9="",0,IF(ISNUMBER(SEARCH(Classifiers!$D$9,E227)),1,0))+IF(Classifiers!$E$9="",0,IF(ISNUMBER(SEARCH(Classifiers!$E$9,E227)),1,0))+IF(Classifiers!$F$9="",0,IF(ISNUMBER(SEARCH(Classifiers!$F$9,E227)),1,0))+IF(Classifiers!$G$9="",0,IF(ISNUMBER(SEARCH(Classifiers!$G$9,E227)),1,0)))&gt;0,1,0))</f>
        <v/>
      </c>
      <c r="O227" s="12">
        <f>IF(H227&lt;&gt;1,0,IF((IF(Classifiers!$B$10="",0,IF(ISNUMBER(SEARCH(Classifiers!$B$10,E227)),1,0))+IF(Classifiers!$C$10="",0,IF(ISNUMBER(SEARCH(Classifiers!$C$10,E227)),1,0))+IF(Classifiers!$D$10="",0,IF(ISNUMBER(SEARCH(Classifiers!$D$10,E227)),1,0))+IF(Classifiers!$E$10="",0,IF(ISNUMBER(SEARCH(Classifiers!$E$10,E227)),1,0))+IF(Classifiers!$F$10="",0,IF(ISNUMBER(SEARCH(Classifiers!$F$10,E227)),1,0))+IF(Classifiers!$G$10="",0,IF(ISNUMBER(SEARCH(Classifiers!$G$10,E227)),1,0)))&gt;0,1,0))</f>
        <v/>
      </c>
      <c r="P227" s="12">
        <f>IF(H227&lt;&gt;1,0,IF((IF(Classifiers!$B$11="",0,IF(ISNUMBER(SEARCH(Classifiers!$B$11,E227)),1,0))+IF(Classifiers!$C$11="",0,IF(ISNUMBER(SEARCH(Classifiers!$C$11,E227)),1,0))+IF(Classifiers!$D$11="",0,IF(ISNUMBER(SEARCH(Classifiers!$D$11,E227)),1,0))+IF(Classifiers!$E$11="",0,IF(ISNUMBER(SEARCH(Classifiers!$E$11,E227)),1,0))+IF(Classifiers!$F$11="",0,IF(ISNUMBER(SEARCH(Classifiers!$F$11,E227)),1,0))+IF(Classifiers!$G$11="",0,IF(ISNUMBER(SEARCH(Classifiers!$G$11,E227)),1,0)))&gt;0,1,0))</f>
        <v/>
      </c>
      <c r="Q227" s="12">
        <f>IF(H227&lt;&gt;1,0,IF((IF(Classifiers!$B$12="",0,IF(ISNUMBER(SEARCH(Classifiers!$B$12,E227)),1,0))+IF(Classifiers!$C$12="",0,IF(ISNUMBER(SEARCH(Classifiers!$C$12,E227)),1,0))+IF(Classifiers!$D$12="",0,IF(ISNUMBER(SEARCH(Classifiers!$D$12,E227)),1,0))+IF(Classifiers!$E$12="",0,IF(ISNUMBER(SEARCH(Classifiers!$E$12,E227)),1,0))+IF(Classifiers!$F$12="",0,IF(ISNUMBER(SEARCH(Classifiers!$F$12,E227)),1,0))+IF(Classifiers!$G$12="",0,IF(ISNUMBER(SEARCH(Classifiers!$G$12,E227)),1,0)))&gt;0,1,0))</f>
        <v/>
      </c>
      <c r="R227" s="12">
        <f>IF(H227&lt;&gt;1,0,IF((IF(Classifiers!$B$13="",0,IF(ISNUMBER(SEARCH(Classifiers!$B$13,E227)),1,0))+IF(Classifiers!$C$13="",0,IF(ISNUMBER(SEARCH(Classifiers!$C$13,E227)),1,0))+IF(Classifiers!$D$13="",0,IF(ISNUMBER(SEARCH(Classifiers!$D$13,E227)),1,0))+IF(Classifiers!$E$13="",0,IF(ISNUMBER(SEARCH(Classifiers!$E$13,E227)),1,0))+IF(Classifiers!$F$13="",0,IF(ISNUMBER(SEARCH(Classifiers!$F$13,E227)),1,0))+IF(Classifiers!$G$13="",0,IF(ISNUMBER(SEARCH(Classifiers!$G$13,E227)),1,0)))&gt;0,1,0))</f>
        <v/>
      </c>
      <c r="S227" s="12">
        <f>IF(H227&lt;&gt;1,0,IF((IF(Classifiers!$B$14="",0,IF(ISNUMBER(SEARCH(Classifiers!$B$14,E227)),1,0))+IF(Classifiers!$C$14="",0,IF(ISNUMBER(SEARCH(Classifiers!$C$14,E227)),1,0))+IF(Classifiers!$D$14="",0,IF(ISNUMBER(SEARCH(Classifiers!$D$14,E227)),1,0))+IF(Classifiers!$E$14="",0,IF(ISNUMBER(SEARCH(Classifiers!$E$14,E227)),1,0))+IF(Classifiers!$F$14="",0,IF(ISNUMBER(SEARCH(Classifiers!$F$14,E227)),1,0))+IF(Classifiers!$G$14="",0,IF(ISNUMBER(SEARCH(Classifiers!$G$14,E227)),1,0)))&gt;0,1,0))</f>
        <v/>
      </c>
      <c r="T227" s="12">
        <f>IF(H227&lt;&gt;1,0,IF((IF(Classifiers!$B$15="",0,IF(ISNUMBER(SEARCH(Classifiers!$B$15,E227)),1,0))+IF(Classifiers!$C$15="",0,IF(ISNUMBER(SEARCH(Classifiers!$C$15,E227)),1,0))+IF(Classifiers!$D$15="",0,IF(ISNUMBER(SEARCH(Classifiers!$D$15,E227)),1,0))+IF(Classifiers!$E$15="",0,IF(ISNUMBER(SEARCH(Classifiers!$E$15,E227)),1,0))+IF(Classifiers!$F$15="",0,IF(ISNUMBER(SEARCH(Classifiers!$F$15,E227)),1,0))+IF(Classifiers!$G$15="",0,IF(ISNUMBER(SEARCH(Classifiers!$G$15,E227)),1,0)))&gt;0,1,0))</f>
        <v/>
      </c>
      <c r="U227" s="12">
        <f>IF(H227&lt;&gt;1,0,IF((IF(Classifiers!$B$16="",0,IF(ISNUMBER(SEARCH(Classifiers!$B$16,E227)),1,0))+IF(Classifiers!$C$16="",0,IF(ISNUMBER(SEARCH(Classifiers!$C$16,E227)),1,0))+IF(Classifiers!$D$16="",0,IF(ISNUMBER(SEARCH(Classifiers!$D$16,E227)),1,0))+IF(Classifiers!$E$16="",0,IF(ISNUMBER(SEARCH(Classifiers!$E$16,E227)),1,0))+IF(Classifiers!$F$16="",0,IF(ISNUMBER(SEARCH(Classifiers!$F$16,E227)),1,0))+IF(Classifiers!$G$16="",0,IF(ISNUMBER(SEARCH(Classifiers!$G$16,E227)),1,0)))&gt;0,1,0))</f>
        <v/>
      </c>
      <c r="V227" s="12">
        <f>IF(H227&lt;&gt;1,0,IF((IF(Classifiers!$B$17="",0,IF(ISNUMBER(SEARCH(Classifiers!$B$17,E227)),1,0))+IF(Classifiers!$C$17="",0,IF(ISNUMBER(SEARCH(Classifiers!$C$17,E227)),1,0))+IF(Classifiers!$D$17="",0,IF(ISNUMBER(SEARCH(Classifiers!$D$17,E227)),1,0))+IF(Classifiers!$E$17="",0,IF(ISNUMBER(SEARCH(Classifiers!$E$17,E227)),1,0))+IF(Classifiers!$F$17="",0,IF(ISNUMBER(SEARCH(Classifiers!$F$17,E227)),1,0))+IF(Classifiers!$G$17="",0,IF(ISNUMBER(SEARCH(Classifiers!$G$17,E227)),1,0)))&gt;0,1,0))</f>
        <v/>
      </c>
      <c r="W227" s="12">
        <f>IF(H227&lt;&gt;1,0,IF((IF(Classifiers!$B$18="",0,IF(ISNUMBER(SEARCH(Classifiers!$B$18,E227)),1,0))+IF(Classifiers!$C$18="",0,IF(ISNUMBER(SEARCH(Classifiers!$C$18,E227)),1,0))+IF(Classifiers!$D$18="",0,IF(ISNUMBER(SEARCH(Classifiers!$D$18,E227)),1,0))+IF(Classifiers!$E$18="",0,IF(ISNUMBER(SEARCH(Classifiers!$E$18,E227)),1,0))+IF(Classifiers!$F$18="",0,IF(ISNUMBER(SEARCH(Classifiers!$F$18,E227)),1,0))+IF(Classifiers!$G$18="",0,IF(ISNUMBER(SEARCH(Classifiers!$G$18,E227)),1,0)))&gt;0,1,0))</f>
        <v/>
      </c>
    </row>
    <row r="228">
      <c r="A228" s="8" t="n"/>
      <c r="B228" s="11" t="n"/>
      <c r="C228" s="6">
        <f>IF(A228="","",TRIM(RIGHT(SUBSTITUTE(A228,"/",REPT(" ",250)),250)))</f>
        <v/>
      </c>
      <c r="D228" s="6">
        <f>IF(C228="","",IF(ISNUMBER(SEARCH(".",C228)),LOWER("."&amp;TRIM(RIGHT(SUBSTITUTE(C228,".",REPT(" ",250)),250))),""))</f>
        <v/>
      </c>
      <c r="E228" s="6">
        <f>IF(C228="","",TRIM(SUBSTITUTE(SUBSTITUTE(SUBSTITUTE(SUBSTITUTE(SUBSTITUTE(SUBSTITUTE(SUBSTITUTE(SUBSTITUTE(SUBSTITUTE(SUBSTITUTE(SUBSTITUTE(SUBSTITUTE(SUBSTITUTE(SUBSTITUTE(SUBSTITUTE(SUBSTITUTE(SUBSTITUTE(SUBSTITUTE(SUBSTITUTE(SUBSTITUTE(LOWER(LEFT(C228,LEN(C228)-LEN(D228))),"_"," "),"-"," "),"."," "),","," "),"("," "),")"," "),"["," "),"]"," "),"&amp;"," "),"+"," "),"@"," "),"#"," "),"!"," "),"'"," "),"/"," "),":"," "),";"," "),"="," "),"~"," "),"%"," ")))</f>
        <v/>
      </c>
      <c r="F228" s="6">
        <f>IF(C228="","",IF(COUNTIF(Classifiers!$A$23:$A$40,D228)&gt;0,1,0))</f>
        <v/>
      </c>
      <c r="G228" s="6">
        <f>IF(C228="","",IF(COUNTIF(Classifiers!$C$23:$C$30,D228)&gt;0,IF((IF(ISNUMBER(SEARCH(Classifiers!$E$23,E228)),1,0)+IF(ISNUMBER(SEARCH(Classifiers!$E$24,E228)),1,0)+IF(ISNUMBER(SEARCH(Classifiers!$E$25,E228)),1,0)+IF(ISNUMBER(SEARCH(Classifiers!$E$26,E228)),1,0)+IF(ISNUMBER(SEARCH(Classifiers!$E$27,E228)),1,0)+IF(ISNUMBER(SEARCH(Classifiers!$E$28,E228)),1,0)+IF(ISNUMBER(SEARCH(Classifiers!$E$29,E228)),1,0)+IF(ISNUMBER(SEARCH(Classifiers!$E$30,E228)),1,0))&gt;0,1,0),0))</f>
        <v/>
      </c>
      <c r="H228" s="6">
        <f>IF(C228="","",IF(OR(LEFT(C228,1)=".",AND(F228=0,G228=0)),0,1))</f>
        <v/>
      </c>
      <c r="I228" s="6">
        <f>IF(H228&lt;&gt;1,"",IF(SUM(J228:W228)=0,"unclassified",INDEX(Classifiers!$A$5:$A$18,MATCH(1,J228:W228,0),1)))</f>
        <v/>
      </c>
      <c r="J228" s="12">
        <f>IF(H228&lt;&gt;1,0,IF((IF(Classifiers!$B$5="",0,IF(ISNUMBER(SEARCH(Classifiers!$B$5,E228)),1,0))+IF(Classifiers!$C$5="",0,IF(ISNUMBER(SEARCH(Classifiers!$C$5,E228)),1,0))+IF(Classifiers!$D$5="",0,IF(ISNUMBER(SEARCH(Classifiers!$D$5,E228)),1,0))+IF(Classifiers!$E$5="",0,IF(ISNUMBER(SEARCH(Classifiers!$E$5,E228)),1,0))+IF(Classifiers!$F$5="",0,IF(ISNUMBER(SEARCH(Classifiers!$F$5,E228)),1,0))+IF(Classifiers!$G$5="",0,IF(ISNUMBER(SEARCH(Classifiers!$G$5,E228)),1,0)))&gt;0,1,0))</f>
        <v/>
      </c>
      <c r="K228" s="12">
        <f>IF(H228&lt;&gt;1,0,IF((IF(Classifiers!$B$6="",0,IF(ISNUMBER(SEARCH(Classifiers!$B$6,E228)),1,0))+IF(Classifiers!$C$6="",0,IF(ISNUMBER(SEARCH(Classifiers!$C$6,E228)),1,0))+IF(Classifiers!$D$6="",0,IF(ISNUMBER(SEARCH(Classifiers!$D$6,E228)),1,0))+IF(Classifiers!$E$6="",0,IF(ISNUMBER(SEARCH(Classifiers!$E$6,E228)),1,0))+IF(Classifiers!$F$6="",0,IF(ISNUMBER(SEARCH(Classifiers!$F$6,E228)),1,0))+IF(Classifiers!$G$6="",0,IF(ISNUMBER(SEARCH(Classifiers!$G$6,E228)),1,0)))&gt;0,1,0))</f>
        <v/>
      </c>
      <c r="L228" s="12">
        <f>IF(H228&lt;&gt;1,0,IF((IF(Classifiers!$B$7="",0,IF(ISNUMBER(SEARCH(Classifiers!$B$7,E228)),1,0))+IF(Classifiers!$C$7="",0,IF(ISNUMBER(SEARCH(Classifiers!$C$7,E228)),1,0))+IF(Classifiers!$D$7="",0,IF(ISNUMBER(SEARCH(Classifiers!$D$7,E228)),1,0))+IF(Classifiers!$E$7="",0,IF(ISNUMBER(SEARCH(Classifiers!$E$7,E228)),1,0))+IF(Classifiers!$F$7="",0,IF(ISNUMBER(SEARCH(Classifiers!$F$7,E228)),1,0))+IF(Classifiers!$G$7="",0,IF(ISNUMBER(SEARCH(Classifiers!$G$7,E228)),1,0)))&gt;0,1,0))</f>
        <v/>
      </c>
      <c r="M228" s="12">
        <f>IF(H228&lt;&gt;1,0,IF((IF(Classifiers!$B$8="",0,IF(ISNUMBER(SEARCH(Classifiers!$B$8,E228)),1,0))+IF(Classifiers!$C$8="",0,IF(ISNUMBER(SEARCH(Classifiers!$C$8,E228)),1,0))+IF(Classifiers!$D$8="",0,IF(ISNUMBER(SEARCH(Classifiers!$D$8,E228)),1,0))+IF(Classifiers!$E$8="",0,IF(ISNUMBER(SEARCH(Classifiers!$E$8,E228)),1,0))+IF(Classifiers!$F$8="",0,IF(ISNUMBER(SEARCH(Classifiers!$F$8,E228)),1,0))+IF(Classifiers!$G$8="",0,IF(ISNUMBER(SEARCH(Classifiers!$G$8,E228)),1,0)))&gt;0,1,0))</f>
        <v/>
      </c>
      <c r="N228" s="12">
        <f>IF(H228&lt;&gt;1,0,IF((IF(Classifiers!$B$9="",0,IF(ISNUMBER(SEARCH(Classifiers!$B$9,E228)),1,0))+IF(Classifiers!$C$9="",0,IF(ISNUMBER(SEARCH(Classifiers!$C$9,E228)),1,0))+IF(Classifiers!$D$9="",0,IF(ISNUMBER(SEARCH(Classifiers!$D$9,E228)),1,0))+IF(Classifiers!$E$9="",0,IF(ISNUMBER(SEARCH(Classifiers!$E$9,E228)),1,0))+IF(Classifiers!$F$9="",0,IF(ISNUMBER(SEARCH(Classifiers!$F$9,E228)),1,0))+IF(Classifiers!$G$9="",0,IF(ISNUMBER(SEARCH(Classifiers!$G$9,E228)),1,0)))&gt;0,1,0))</f>
        <v/>
      </c>
      <c r="O228" s="12">
        <f>IF(H228&lt;&gt;1,0,IF((IF(Classifiers!$B$10="",0,IF(ISNUMBER(SEARCH(Classifiers!$B$10,E228)),1,0))+IF(Classifiers!$C$10="",0,IF(ISNUMBER(SEARCH(Classifiers!$C$10,E228)),1,0))+IF(Classifiers!$D$10="",0,IF(ISNUMBER(SEARCH(Classifiers!$D$10,E228)),1,0))+IF(Classifiers!$E$10="",0,IF(ISNUMBER(SEARCH(Classifiers!$E$10,E228)),1,0))+IF(Classifiers!$F$10="",0,IF(ISNUMBER(SEARCH(Classifiers!$F$10,E228)),1,0))+IF(Classifiers!$G$10="",0,IF(ISNUMBER(SEARCH(Classifiers!$G$10,E228)),1,0)))&gt;0,1,0))</f>
        <v/>
      </c>
      <c r="P228" s="12">
        <f>IF(H228&lt;&gt;1,0,IF((IF(Classifiers!$B$11="",0,IF(ISNUMBER(SEARCH(Classifiers!$B$11,E228)),1,0))+IF(Classifiers!$C$11="",0,IF(ISNUMBER(SEARCH(Classifiers!$C$11,E228)),1,0))+IF(Classifiers!$D$11="",0,IF(ISNUMBER(SEARCH(Classifiers!$D$11,E228)),1,0))+IF(Classifiers!$E$11="",0,IF(ISNUMBER(SEARCH(Classifiers!$E$11,E228)),1,0))+IF(Classifiers!$F$11="",0,IF(ISNUMBER(SEARCH(Classifiers!$F$11,E228)),1,0))+IF(Classifiers!$G$11="",0,IF(ISNUMBER(SEARCH(Classifiers!$G$11,E228)),1,0)))&gt;0,1,0))</f>
        <v/>
      </c>
      <c r="Q228" s="12">
        <f>IF(H228&lt;&gt;1,0,IF((IF(Classifiers!$B$12="",0,IF(ISNUMBER(SEARCH(Classifiers!$B$12,E228)),1,0))+IF(Classifiers!$C$12="",0,IF(ISNUMBER(SEARCH(Classifiers!$C$12,E228)),1,0))+IF(Classifiers!$D$12="",0,IF(ISNUMBER(SEARCH(Classifiers!$D$12,E228)),1,0))+IF(Classifiers!$E$12="",0,IF(ISNUMBER(SEARCH(Classifiers!$E$12,E228)),1,0))+IF(Classifiers!$F$12="",0,IF(ISNUMBER(SEARCH(Classifiers!$F$12,E228)),1,0))+IF(Classifiers!$G$12="",0,IF(ISNUMBER(SEARCH(Classifiers!$G$12,E228)),1,0)))&gt;0,1,0))</f>
        <v/>
      </c>
      <c r="R228" s="12">
        <f>IF(H228&lt;&gt;1,0,IF((IF(Classifiers!$B$13="",0,IF(ISNUMBER(SEARCH(Classifiers!$B$13,E228)),1,0))+IF(Classifiers!$C$13="",0,IF(ISNUMBER(SEARCH(Classifiers!$C$13,E228)),1,0))+IF(Classifiers!$D$13="",0,IF(ISNUMBER(SEARCH(Classifiers!$D$13,E228)),1,0))+IF(Classifiers!$E$13="",0,IF(ISNUMBER(SEARCH(Classifiers!$E$13,E228)),1,0))+IF(Classifiers!$F$13="",0,IF(ISNUMBER(SEARCH(Classifiers!$F$13,E228)),1,0))+IF(Classifiers!$G$13="",0,IF(ISNUMBER(SEARCH(Classifiers!$G$13,E228)),1,0)))&gt;0,1,0))</f>
        <v/>
      </c>
      <c r="S228" s="12">
        <f>IF(H228&lt;&gt;1,0,IF((IF(Classifiers!$B$14="",0,IF(ISNUMBER(SEARCH(Classifiers!$B$14,E228)),1,0))+IF(Classifiers!$C$14="",0,IF(ISNUMBER(SEARCH(Classifiers!$C$14,E228)),1,0))+IF(Classifiers!$D$14="",0,IF(ISNUMBER(SEARCH(Classifiers!$D$14,E228)),1,0))+IF(Classifiers!$E$14="",0,IF(ISNUMBER(SEARCH(Classifiers!$E$14,E228)),1,0))+IF(Classifiers!$F$14="",0,IF(ISNUMBER(SEARCH(Classifiers!$F$14,E228)),1,0))+IF(Classifiers!$G$14="",0,IF(ISNUMBER(SEARCH(Classifiers!$G$14,E228)),1,0)))&gt;0,1,0))</f>
        <v/>
      </c>
      <c r="T228" s="12">
        <f>IF(H228&lt;&gt;1,0,IF((IF(Classifiers!$B$15="",0,IF(ISNUMBER(SEARCH(Classifiers!$B$15,E228)),1,0))+IF(Classifiers!$C$15="",0,IF(ISNUMBER(SEARCH(Classifiers!$C$15,E228)),1,0))+IF(Classifiers!$D$15="",0,IF(ISNUMBER(SEARCH(Classifiers!$D$15,E228)),1,0))+IF(Classifiers!$E$15="",0,IF(ISNUMBER(SEARCH(Classifiers!$E$15,E228)),1,0))+IF(Classifiers!$F$15="",0,IF(ISNUMBER(SEARCH(Classifiers!$F$15,E228)),1,0))+IF(Classifiers!$G$15="",0,IF(ISNUMBER(SEARCH(Classifiers!$G$15,E228)),1,0)))&gt;0,1,0))</f>
        <v/>
      </c>
      <c r="U228" s="12">
        <f>IF(H228&lt;&gt;1,0,IF((IF(Classifiers!$B$16="",0,IF(ISNUMBER(SEARCH(Classifiers!$B$16,E228)),1,0))+IF(Classifiers!$C$16="",0,IF(ISNUMBER(SEARCH(Classifiers!$C$16,E228)),1,0))+IF(Classifiers!$D$16="",0,IF(ISNUMBER(SEARCH(Classifiers!$D$16,E228)),1,0))+IF(Classifiers!$E$16="",0,IF(ISNUMBER(SEARCH(Classifiers!$E$16,E228)),1,0))+IF(Classifiers!$F$16="",0,IF(ISNUMBER(SEARCH(Classifiers!$F$16,E228)),1,0))+IF(Classifiers!$G$16="",0,IF(ISNUMBER(SEARCH(Classifiers!$G$16,E228)),1,0)))&gt;0,1,0))</f>
        <v/>
      </c>
      <c r="V228" s="12">
        <f>IF(H228&lt;&gt;1,0,IF((IF(Classifiers!$B$17="",0,IF(ISNUMBER(SEARCH(Classifiers!$B$17,E228)),1,0))+IF(Classifiers!$C$17="",0,IF(ISNUMBER(SEARCH(Classifiers!$C$17,E228)),1,0))+IF(Classifiers!$D$17="",0,IF(ISNUMBER(SEARCH(Classifiers!$D$17,E228)),1,0))+IF(Classifiers!$E$17="",0,IF(ISNUMBER(SEARCH(Classifiers!$E$17,E228)),1,0))+IF(Classifiers!$F$17="",0,IF(ISNUMBER(SEARCH(Classifiers!$F$17,E228)),1,0))+IF(Classifiers!$G$17="",0,IF(ISNUMBER(SEARCH(Classifiers!$G$17,E228)),1,0)))&gt;0,1,0))</f>
        <v/>
      </c>
      <c r="W228" s="12">
        <f>IF(H228&lt;&gt;1,0,IF((IF(Classifiers!$B$18="",0,IF(ISNUMBER(SEARCH(Classifiers!$B$18,E228)),1,0))+IF(Classifiers!$C$18="",0,IF(ISNUMBER(SEARCH(Classifiers!$C$18,E228)),1,0))+IF(Classifiers!$D$18="",0,IF(ISNUMBER(SEARCH(Classifiers!$D$18,E228)),1,0))+IF(Classifiers!$E$18="",0,IF(ISNUMBER(SEARCH(Classifiers!$E$18,E228)),1,0))+IF(Classifiers!$F$18="",0,IF(ISNUMBER(SEARCH(Classifiers!$F$18,E228)),1,0))+IF(Classifiers!$G$18="",0,IF(ISNUMBER(SEARCH(Classifiers!$G$18,E228)),1,0)))&gt;0,1,0))</f>
        <v/>
      </c>
    </row>
    <row r="229">
      <c r="A229" s="8" t="n"/>
      <c r="B229" s="11" t="n"/>
      <c r="C229" s="6">
        <f>IF(A229="","",TRIM(RIGHT(SUBSTITUTE(A229,"/",REPT(" ",250)),250)))</f>
        <v/>
      </c>
      <c r="D229" s="6">
        <f>IF(C229="","",IF(ISNUMBER(SEARCH(".",C229)),LOWER("."&amp;TRIM(RIGHT(SUBSTITUTE(C229,".",REPT(" ",250)),250))),""))</f>
        <v/>
      </c>
      <c r="E229" s="6">
        <f>IF(C229="","",TRIM(SUBSTITUTE(SUBSTITUTE(SUBSTITUTE(SUBSTITUTE(SUBSTITUTE(SUBSTITUTE(SUBSTITUTE(SUBSTITUTE(SUBSTITUTE(SUBSTITUTE(SUBSTITUTE(SUBSTITUTE(SUBSTITUTE(SUBSTITUTE(SUBSTITUTE(SUBSTITUTE(SUBSTITUTE(SUBSTITUTE(SUBSTITUTE(SUBSTITUTE(LOWER(LEFT(C229,LEN(C229)-LEN(D229))),"_"," "),"-"," "),"."," "),","," "),"("," "),")"," "),"["," "),"]"," "),"&amp;"," "),"+"," "),"@"," "),"#"," "),"!"," "),"'"," "),"/"," "),":"," "),";"," "),"="," "),"~"," "),"%"," ")))</f>
        <v/>
      </c>
      <c r="F229" s="6">
        <f>IF(C229="","",IF(COUNTIF(Classifiers!$A$23:$A$40,D229)&gt;0,1,0))</f>
        <v/>
      </c>
      <c r="G229" s="6">
        <f>IF(C229="","",IF(COUNTIF(Classifiers!$C$23:$C$30,D229)&gt;0,IF((IF(ISNUMBER(SEARCH(Classifiers!$E$23,E229)),1,0)+IF(ISNUMBER(SEARCH(Classifiers!$E$24,E229)),1,0)+IF(ISNUMBER(SEARCH(Classifiers!$E$25,E229)),1,0)+IF(ISNUMBER(SEARCH(Classifiers!$E$26,E229)),1,0)+IF(ISNUMBER(SEARCH(Classifiers!$E$27,E229)),1,0)+IF(ISNUMBER(SEARCH(Classifiers!$E$28,E229)),1,0)+IF(ISNUMBER(SEARCH(Classifiers!$E$29,E229)),1,0)+IF(ISNUMBER(SEARCH(Classifiers!$E$30,E229)),1,0))&gt;0,1,0),0))</f>
        <v/>
      </c>
      <c r="H229" s="6">
        <f>IF(C229="","",IF(OR(LEFT(C229,1)=".",AND(F229=0,G229=0)),0,1))</f>
        <v/>
      </c>
      <c r="I229" s="6">
        <f>IF(H229&lt;&gt;1,"",IF(SUM(J229:W229)=0,"unclassified",INDEX(Classifiers!$A$5:$A$18,MATCH(1,J229:W229,0),1)))</f>
        <v/>
      </c>
      <c r="J229" s="12">
        <f>IF(H229&lt;&gt;1,0,IF((IF(Classifiers!$B$5="",0,IF(ISNUMBER(SEARCH(Classifiers!$B$5,E229)),1,0))+IF(Classifiers!$C$5="",0,IF(ISNUMBER(SEARCH(Classifiers!$C$5,E229)),1,0))+IF(Classifiers!$D$5="",0,IF(ISNUMBER(SEARCH(Classifiers!$D$5,E229)),1,0))+IF(Classifiers!$E$5="",0,IF(ISNUMBER(SEARCH(Classifiers!$E$5,E229)),1,0))+IF(Classifiers!$F$5="",0,IF(ISNUMBER(SEARCH(Classifiers!$F$5,E229)),1,0))+IF(Classifiers!$G$5="",0,IF(ISNUMBER(SEARCH(Classifiers!$G$5,E229)),1,0)))&gt;0,1,0))</f>
        <v/>
      </c>
      <c r="K229" s="12">
        <f>IF(H229&lt;&gt;1,0,IF((IF(Classifiers!$B$6="",0,IF(ISNUMBER(SEARCH(Classifiers!$B$6,E229)),1,0))+IF(Classifiers!$C$6="",0,IF(ISNUMBER(SEARCH(Classifiers!$C$6,E229)),1,0))+IF(Classifiers!$D$6="",0,IF(ISNUMBER(SEARCH(Classifiers!$D$6,E229)),1,0))+IF(Classifiers!$E$6="",0,IF(ISNUMBER(SEARCH(Classifiers!$E$6,E229)),1,0))+IF(Classifiers!$F$6="",0,IF(ISNUMBER(SEARCH(Classifiers!$F$6,E229)),1,0))+IF(Classifiers!$G$6="",0,IF(ISNUMBER(SEARCH(Classifiers!$G$6,E229)),1,0)))&gt;0,1,0))</f>
        <v/>
      </c>
      <c r="L229" s="12">
        <f>IF(H229&lt;&gt;1,0,IF((IF(Classifiers!$B$7="",0,IF(ISNUMBER(SEARCH(Classifiers!$B$7,E229)),1,0))+IF(Classifiers!$C$7="",0,IF(ISNUMBER(SEARCH(Classifiers!$C$7,E229)),1,0))+IF(Classifiers!$D$7="",0,IF(ISNUMBER(SEARCH(Classifiers!$D$7,E229)),1,0))+IF(Classifiers!$E$7="",0,IF(ISNUMBER(SEARCH(Classifiers!$E$7,E229)),1,0))+IF(Classifiers!$F$7="",0,IF(ISNUMBER(SEARCH(Classifiers!$F$7,E229)),1,0))+IF(Classifiers!$G$7="",0,IF(ISNUMBER(SEARCH(Classifiers!$G$7,E229)),1,0)))&gt;0,1,0))</f>
        <v/>
      </c>
      <c r="M229" s="12">
        <f>IF(H229&lt;&gt;1,0,IF((IF(Classifiers!$B$8="",0,IF(ISNUMBER(SEARCH(Classifiers!$B$8,E229)),1,0))+IF(Classifiers!$C$8="",0,IF(ISNUMBER(SEARCH(Classifiers!$C$8,E229)),1,0))+IF(Classifiers!$D$8="",0,IF(ISNUMBER(SEARCH(Classifiers!$D$8,E229)),1,0))+IF(Classifiers!$E$8="",0,IF(ISNUMBER(SEARCH(Classifiers!$E$8,E229)),1,0))+IF(Classifiers!$F$8="",0,IF(ISNUMBER(SEARCH(Classifiers!$F$8,E229)),1,0))+IF(Classifiers!$G$8="",0,IF(ISNUMBER(SEARCH(Classifiers!$G$8,E229)),1,0)))&gt;0,1,0))</f>
        <v/>
      </c>
      <c r="N229" s="12">
        <f>IF(H229&lt;&gt;1,0,IF((IF(Classifiers!$B$9="",0,IF(ISNUMBER(SEARCH(Classifiers!$B$9,E229)),1,0))+IF(Classifiers!$C$9="",0,IF(ISNUMBER(SEARCH(Classifiers!$C$9,E229)),1,0))+IF(Classifiers!$D$9="",0,IF(ISNUMBER(SEARCH(Classifiers!$D$9,E229)),1,0))+IF(Classifiers!$E$9="",0,IF(ISNUMBER(SEARCH(Classifiers!$E$9,E229)),1,0))+IF(Classifiers!$F$9="",0,IF(ISNUMBER(SEARCH(Classifiers!$F$9,E229)),1,0))+IF(Classifiers!$G$9="",0,IF(ISNUMBER(SEARCH(Classifiers!$G$9,E229)),1,0)))&gt;0,1,0))</f>
        <v/>
      </c>
      <c r="O229" s="12">
        <f>IF(H229&lt;&gt;1,0,IF((IF(Classifiers!$B$10="",0,IF(ISNUMBER(SEARCH(Classifiers!$B$10,E229)),1,0))+IF(Classifiers!$C$10="",0,IF(ISNUMBER(SEARCH(Classifiers!$C$10,E229)),1,0))+IF(Classifiers!$D$10="",0,IF(ISNUMBER(SEARCH(Classifiers!$D$10,E229)),1,0))+IF(Classifiers!$E$10="",0,IF(ISNUMBER(SEARCH(Classifiers!$E$10,E229)),1,0))+IF(Classifiers!$F$10="",0,IF(ISNUMBER(SEARCH(Classifiers!$F$10,E229)),1,0))+IF(Classifiers!$G$10="",0,IF(ISNUMBER(SEARCH(Classifiers!$G$10,E229)),1,0)))&gt;0,1,0))</f>
        <v/>
      </c>
      <c r="P229" s="12">
        <f>IF(H229&lt;&gt;1,0,IF((IF(Classifiers!$B$11="",0,IF(ISNUMBER(SEARCH(Classifiers!$B$11,E229)),1,0))+IF(Classifiers!$C$11="",0,IF(ISNUMBER(SEARCH(Classifiers!$C$11,E229)),1,0))+IF(Classifiers!$D$11="",0,IF(ISNUMBER(SEARCH(Classifiers!$D$11,E229)),1,0))+IF(Classifiers!$E$11="",0,IF(ISNUMBER(SEARCH(Classifiers!$E$11,E229)),1,0))+IF(Classifiers!$F$11="",0,IF(ISNUMBER(SEARCH(Classifiers!$F$11,E229)),1,0))+IF(Classifiers!$G$11="",0,IF(ISNUMBER(SEARCH(Classifiers!$G$11,E229)),1,0)))&gt;0,1,0))</f>
        <v/>
      </c>
      <c r="Q229" s="12">
        <f>IF(H229&lt;&gt;1,0,IF((IF(Classifiers!$B$12="",0,IF(ISNUMBER(SEARCH(Classifiers!$B$12,E229)),1,0))+IF(Classifiers!$C$12="",0,IF(ISNUMBER(SEARCH(Classifiers!$C$12,E229)),1,0))+IF(Classifiers!$D$12="",0,IF(ISNUMBER(SEARCH(Classifiers!$D$12,E229)),1,0))+IF(Classifiers!$E$12="",0,IF(ISNUMBER(SEARCH(Classifiers!$E$12,E229)),1,0))+IF(Classifiers!$F$12="",0,IF(ISNUMBER(SEARCH(Classifiers!$F$12,E229)),1,0))+IF(Classifiers!$G$12="",0,IF(ISNUMBER(SEARCH(Classifiers!$G$12,E229)),1,0)))&gt;0,1,0))</f>
        <v/>
      </c>
      <c r="R229" s="12">
        <f>IF(H229&lt;&gt;1,0,IF((IF(Classifiers!$B$13="",0,IF(ISNUMBER(SEARCH(Classifiers!$B$13,E229)),1,0))+IF(Classifiers!$C$13="",0,IF(ISNUMBER(SEARCH(Classifiers!$C$13,E229)),1,0))+IF(Classifiers!$D$13="",0,IF(ISNUMBER(SEARCH(Classifiers!$D$13,E229)),1,0))+IF(Classifiers!$E$13="",0,IF(ISNUMBER(SEARCH(Classifiers!$E$13,E229)),1,0))+IF(Classifiers!$F$13="",0,IF(ISNUMBER(SEARCH(Classifiers!$F$13,E229)),1,0))+IF(Classifiers!$G$13="",0,IF(ISNUMBER(SEARCH(Classifiers!$G$13,E229)),1,0)))&gt;0,1,0))</f>
        <v/>
      </c>
      <c r="S229" s="12">
        <f>IF(H229&lt;&gt;1,0,IF((IF(Classifiers!$B$14="",0,IF(ISNUMBER(SEARCH(Classifiers!$B$14,E229)),1,0))+IF(Classifiers!$C$14="",0,IF(ISNUMBER(SEARCH(Classifiers!$C$14,E229)),1,0))+IF(Classifiers!$D$14="",0,IF(ISNUMBER(SEARCH(Classifiers!$D$14,E229)),1,0))+IF(Classifiers!$E$14="",0,IF(ISNUMBER(SEARCH(Classifiers!$E$14,E229)),1,0))+IF(Classifiers!$F$14="",0,IF(ISNUMBER(SEARCH(Classifiers!$F$14,E229)),1,0))+IF(Classifiers!$G$14="",0,IF(ISNUMBER(SEARCH(Classifiers!$G$14,E229)),1,0)))&gt;0,1,0))</f>
        <v/>
      </c>
      <c r="T229" s="12">
        <f>IF(H229&lt;&gt;1,0,IF((IF(Classifiers!$B$15="",0,IF(ISNUMBER(SEARCH(Classifiers!$B$15,E229)),1,0))+IF(Classifiers!$C$15="",0,IF(ISNUMBER(SEARCH(Classifiers!$C$15,E229)),1,0))+IF(Classifiers!$D$15="",0,IF(ISNUMBER(SEARCH(Classifiers!$D$15,E229)),1,0))+IF(Classifiers!$E$15="",0,IF(ISNUMBER(SEARCH(Classifiers!$E$15,E229)),1,0))+IF(Classifiers!$F$15="",0,IF(ISNUMBER(SEARCH(Classifiers!$F$15,E229)),1,0))+IF(Classifiers!$G$15="",0,IF(ISNUMBER(SEARCH(Classifiers!$G$15,E229)),1,0)))&gt;0,1,0))</f>
        <v/>
      </c>
      <c r="U229" s="12">
        <f>IF(H229&lt;&gt;1,0,IF((IF(Classifiers!$B$16="",0,IF(ISNUMBER(SEARCH(Classifiers!$B$16,E229)),1,0))+IF(Classifiers!$C$16="",0,IF(ISNUMBER(SEARCH(Classifiers!$C$16,E229)),1,0))+IF(Classifiers!$D$16="",0,IF(ISNUMBER(SEARCH(Classifiers!$D$16,E229)),1,0))+IF(Classifiers!$E$16="",0,IF(ISNUMBER(SEARCH(Classifiers!$E$16,E229)),1,0))+IF(Classifiers!$F$16="",0,IF(ISNUMBER(SEARCH(Classifiers!$F$16,E229)),1,0))+IF(Classifiers!$G$16="",0,IF(ISNUMBER(SEARCH(Classifiers!$G$16,E229)),1,0)))&gt;0,1,0))</f>
        <v/>
      </c>
      <c r="V229" s="12">
        <f>IF(H229&lt;&gt;1,0,IF((IF(Classifiers!$B$17="",0,IF(ISNUMBER(SEARCH(Classifiers!$B$17,E229)),1,0))+IF(Classifiers!$C$17="",0,IF(ISNUMBER(SEARCH(Classifiers!$C$17,E229)),1,0))+IF(Classifiers!$D$17="",0,IF(ISNUMBER(SEARCH(Classifiers!$D$17,E229)),1,0))+IF(Classifiers!$E$17="",0,IF(ISNUMBER(SEARCH(Classifiers!$E$17,E229)),1,0))+IF(Classifiers!$F$17="",0,IF(ISNUMBER(SEARCH(Classifiers!$F$17,E229)),1,0))+IF(Classifiers!$G$17="",0,IF(ISNUMBER(SEARCH(Classifiers!$G$17,E229)),1,0)))&gt;0,1,0))</f>
        <v/>
      </c>
      <c r="W229" s="12">
        <f>IF(H229&lt;&gt;1,0,IF((IF(Classifiers!$B$18="",0,IF(ISNUMBER(SEARCH(Classifiers!$B$18,E229)),1,0))+IF(Classifiers!$C$18="",0,IF(ISNUMBER(SEARCH(Classifiers!$C$18,E229)),1,0))+IF(Classifiers!$D$18="",0,IF(ISNUMBER(SEARCH(Classifiers!$D$18,E229)),1,0))+IF(Classifiers!$E$18="",0,IF(ISNUMBER(SEARCH(Classifiers!$E$18,E229)),1,0))+IF(Classifiers!$F$18="",0,IF(ISNUMBER(SEARCH(Classifiers!$F$18,E229)),1,0))+IF(Classifiers!$G$18="",0,IF(ISNUMBER(SEARCH(Classifiers!$G$18,E229)),1,0)))&gt;0,1,0))</f>
        <v/>
      </c>
    </row>
    <row r="230">
      <c r="A230" s="8" t="n"/>
      <c r="B230" s="11" t="n"/>
      <c r="C230" s="6">
        <f>IF(A230="","",TRIM(RIGHT(SUBSTITUTE(A230,"/",REPT(" ",250)),250)))</f>
        <v/>
      </c>
      <c r="D230" s="6">
        <f>IF(C230="","",IF(ISNUMBER(SEARCH(".",C230)),LOWER("."&amp;TRIM(RIGHT(SUBSTITUTE(C230,".",REPT(" ",250)),250))),""))</f>
        <v/>
      </c>
      <c r="E230" s="6">
        <f>IF(C230="","",TRIM(SUBSTITUTE(SUBSTITUTE(SUBSTITUTE(SUBSTITUTE(SUBSTITUTE(SUBSTITUTE(SUBSTITUTE(SUBSTITUTE(SUBSTITUTE(SUBSTITUTE(SUBSTITUTE(SUBSTITUTE(SUBSTITUTE(SUBSTITUTE(SUBSTITUTE(SUBSTITUTE(SUBSTITUTE(SUBSTITUTE(SUBSTITUTE(SUBSTITUTE(LOWER(LEFT(C230,LEN(C230)-LEN(D230))),"_"," "),"-"," "),"."," "),","," "),"("," "),")"," "),"["," "),"]"," "),"&amp;"," "),"+"," "),"@"," "),"#"," "),"!"," "),"'"," "),"/"," "),":"," "),";"," "),"="," "),"~"," "),"%"," ")))</f>
        <v/>
      </c>
      <c r="F230" s="6">
        <f>IF(C230="","",IF(COUNTIF(Classifiers!$A$23:$A$40,D230)&gt;0,1,0))</f>
        <v/>
      </c>
      <c r="G230" s="6">
        <f>IF(C230="","",IF(COUNTIF(Classifiers!$C$23:$C$30,D230)&gt;0,IF((IF(ISNUMBER(SEARCH(Classifiers!$E$23,E230)),1,0)+IF(ISNUMBER(SEARCH(Classifiers!$E$24,E230)),1,0)+IF(ISNUMBER(SEARCH(Classifiers!$E$25,E230)),1,0)+IF(ISNUMBER(SEARCH(Classifiers!$E$26,E230)),1,0)+IF(ISNUMBER(SEARCH(Classifiers!$E$27,E230)),1,0)+IF(ISNUMBER(SEARCH(Classifiers!$E$28,E230)),1,0)+IF(ISNUMBER(SEARCH(Classifiers!$E$29,E230)),1,0)+IF(ISNUMBER(SEARCH(Classifiers!$E$30,E230)),1,0))&gt;0,1,0),0))</f>
        <v/>
      </c>
      <c r="H230" s="6">
        <f>IF(C230="","",IF(OR(LEFT(C230,1)=".",AND(F230=0,G230=0)),0,1))</f>
        <v/>
      </c>
      <c r="I230" s="6">
        <f>IF(H230&lt;&gt;1,"",IF(SUM(J230:W230)=0,"unclassified",INDEX(Classifiers!$A$5:$A$18,MATCH(1,J230:W230,0),1)))</f>
        <v/>
      </c>
      <c r="J230" s="12">
        <f>IF(H230&lt;&gt;1,0,IF((IF(Classifiers!$B$5="",0,IF(ISNUMBER(SEARCH(Classifiers!$B$5,E230)),1,0))+IF(Classifiers!$C$5="",0,IF(ISNUMBER(SEARCH(Classifiers!$C$5,E230)),1,0))+IF(Classifiers!$D$5="",0,IF(ISNUMBER(SEARCH(Classifiers!$D$5,E230)),1,0))+IF(Classifiers!$E$5="",0,IF(ISNUMBER(SEARCH(Classifiers!$E$5,E230)),1,0))+IF(Classifiers!$F$5="",0,IF(ISNUMBER(SEARCH(Classifiers!$F$5,E230)),1,0))+IF(Classifiers!$G$5="",0,IF(ISNUMBER(SEARCH(Classifiers!$G$5,E230)),1,0)))&gt;0,1,0))</f>
        <v/>
      </c>
      <c r="K230" s="12">
        <f>IF(H230&lt;&gt;1,0,IF((IF(Classifiers!$B$6="",0,IF(ISNUMBER(SEARCH(Classifiers!$B$6,E230)),1,0))+IF(Classifiers!$C$6="",0,IF(ISNUMBER(SEARCH(Classifiers!$C$6,E230)),1,0))+IF(Classifiers!$D$6="",0,IF(ISNUMBER(SEARCH(Classifiers!$D$6,E230)),1,0))+IF(Classifiers!$E$6="",0,IF(ISNUMBER(SEARCH(Classifiers!$E$6,E230)),1,0))+IF(Classifiers!$F$6="",0,IF(ISNUMBER(SEARCH(Classifiers!$F$6,E230)),1,0))+IF(Classifiers!$G$6="",0,IF(ISNUMBER(SEARCH(Classifiers!$G$6,E230)),1,0)))&gt;0,1,0))</f>
        <v/>
      </c>
      <c r="L230" s="12">
        <f>IF(H230&lt;&gt;1,0,IF((IF(Classifiers!$B$7="",0,IF(ISNUMBER(SEARCH(Classifiers!$B$7,E230)),1,0))+IF(Classifiers!$C$7="",0,IF(ISNUMBER(SEARCH(Classifiers!$C$7,E230)),1,0))+IF(Classifiers!$D$7="",0,IF(ISNUMBER(SEARCH(Classifiers!$D$7,E230)),1,0))+IF(Classifiers!$E$7="",0,IF(ISNUMBER(SEARCH(Classifiers!$E$7,E230)),1,0))+IF(Classifiers!$F$7="",0,IF(ISNUMBER(SEARCH(Classifiers!$F$7,E230)),1,0))+IF(Classifiers!$G$7="",0,IF(ISNUMBER(SEARCH(Classifiers!$G$7,E230)),1,0)))&gt;0,1,0))</f>
        <v/>
      </c>
      <c r="M230" s="12">
        <f>IF(H230&lt;&gt;1,0,IF((IF(Classifiers!$B$8="",0,IF(ISNUMBER(SEARCH(Classifiers!$B$8,E230)),1,0))+IF(Classifiers!$C$8="",0,IF(ISNUMBER(SEARCH(Classifiers!$C$8,E230)),1,0))+IF(Classifiers!$D$8="",0,IF(ISNUMBER(SEARCH(Classifiers!$D$8,E230)),1,0))+IF(Classifiers!$E$8="",0,IF(ISNUMBER(SEARCH(Classifiers!$E$8,E230)),1,0))+IF(Classifiers!$F$8="",0,IF(ISNUMBER(SEARCH(Classifiers!$F$8,E230)),1,0))+IF(Classifiers!$G$8="",0,IF(ISNUMBER(SEARCH(Classifiers!$G$8,E230)),1,0)))&gt;0,1,0))</f>
        <v/>
      </c>
      <c r="N230" s="12">
        <f>IF(H230&lt;&gt;1,0,IF((IF(Classifiers!$B$9="",0,IF(ISNUMBER(SEARCH(Classifiers!$B$9,E230)),1,0))+IF(Classifiers!$C$9="",0,IF(ISNUMBER(SEARCH(Classifiers!$C$9,E230)),1,0))+IF(Classifiers!$D$9="",0,IF(ISNUMBER(SEARCH(Classifiers!$D$9,E230)),1,0))+IF(Classifiers!$E$9="",0,IF(ISNUMBER(SEARCH(Classifiers!$E$9,E230)),1,0))+IF(Classifiers!$F$9="",0,IF(ISNUMBER(SEARCH(Classifiers!$F$9,E230)),1,0))+IF(Classifiers!$G$9="",0,IF(ISNUMBER(SEARCH(Classifiers!$G$9,E230)),1,0)))&gt;0,1,0))</f>
        <v/>
      </c>
      <c r="O230" s="12">
        <f>IF(H230&lt;&gt;1,0,IF((IF(Classifiers!$B$10="",0,IF(ISNUMBER(SEARCH(Classifiers!$B$10,E230)),1,0))+IF(Classifiers!$C$10="",0,IF(ISNUMBER(SEARCH(Classifiers!$C$10,E230)),1,0))+IF(Classifiers!$D$10="",0,IF(ISNUMBER(SEARCH(Classifiers!$D$10,E230)),1,0))+IF(Classifiers!$E$10="",0,IF(ISNUMBER(SEARCH(Classifiers!$E$10,E230)),1,0))+IF(Classifiers!$F$10="",0,IF(ISNUMBER(SEARCH(Classifiers!$F$10,E230)),1,0))+IF(Classifiers!$G$10="",0,IF(ISNUMBER(SEARCH(Classifiers!$G$10,E230)),1,0)))&gt;0,1,0))</f>
        <v/>
      </c>
      <c r="P230" s="12">
        <f>IF(H230&lt;&gt;1,0,IF((IF(Classifiers!$B$11="",0,IF(ISNUMBER(SEARCH(Classifiers!$B$11,E230)),1,0))+IF(Classifiers!$C$11="",0,IF(ISNUMBER(SEARCH(Classifiers!$C$11,E230)),1,0))+IF(Classifiers!$D$11="",0,IF(ISNUMBER(SEARCH(Classifiers!$D$11,E230)),1,0))+IF(Classifiers!$E$11="",0,IF(ISNUMBER(SEARCH(Classifiers!$E$11,E230)),1,0))+IF(Classifiers!$F$11="",0,IF(ISNUMBER(SEARCH(Classifiers!$F$11,E230)),1,0))+IF(Classifiers!$G$11="",0,IF(ISNUMBER(SEARCH(Classifiers!$G$11,E230)),1,0)))&gt;0,1,0))</f>
        <v/>
      </c>
      <c r="Q230" s="12">
        <f>IF(H230&lt;&gt;1,0,IF((IF(Classifiers!$B$12="",0,IF(ISNUMBER(SEARCH(Classifiers!$B$12,E230)),1,0))+IF(Classifiers!$C$12="",0,IF(ISNUMBER(SEARCH(Classifiers!$C$12,E230)),1,0))+IF(Classifiers!$D$12="",0,IF(ISNUMBER(SEARCH(Classifiers!$D$12,E230)),1,0))+IF(Classifiers!$E$12="",0,IF(ISNUMBER(SEARCH(Classifiers!$E$12,E230)),1,0))+IF(Classifiers!$F$12="",0,IF(ISNUMBER(SEARCH(Classifiers!$F$12,E230)),1,0))+IF(Classifiers!$G$12="",0,IF(ISNUMBER(SEARCH(Classifiers!$G$12,E230)),1,0)))&gt;0,1,0))</f>
        <v/>
      </c>
      <c r="R230" s="12">
        <f>IF(H230&lt;&gt;1,0,IF((IF(Classifiers!$B$13="",0,IF(ISNUMBER(SEARCH(Classifiers!$B$13,E230)),1,0))+IF(Classifiers!$C$13="",0,IF(ISNUMBER(SEARCH(Classifiers!$C$13,E230)),1,0))+IF(Classifiers!$D$13="",0,IF(ISNUMBER(SEARCH(Classifiers!$D$13,E230)),1,0))+IF(Classifiers!$E$13="",0,IF(ISNUMBER(SEARCH(Classifiers!$E$13,E230)),1,0))+IF(Classifiers!$F$13="",0,IF(ISNUMBER(SEARCH(Classifiers!$F$13,E230)),1,0))+IF(Classifiers!$G$13="",0,IF(ISNUMBER(SEARCH(Classifiers!$G$13,E230)),1,0)))&gt;0,1,0))</f>
        <v/>
      </c>
      <c r="S230" s="12">
        <f>IF(H230&lt;&gt;1,0,IF((IF(Classifiers!$B$14="",0,IF(ISNUMBER(SEARCH(Classifiers!$B$14,E230)),1,0))+IF(Classifiers!$C$14="",0,IF(ISNUMBER(SEARCH(Classifiers!$C$14,E230)),1,0))+IF(Classifiers!$D$14="",0,IF(ISNUMBER(SEARCH(Classifiers!$D$14,E230)),1,0))+IF(Classifiers!$E$14="",0,IF(ISNUMBER(SEARCH(Classifiers!$E$14,E230)),1,0))+IF(Classifiers!$F$14="",0,IF(ISNUMBER(SEARCH(Classifiers!$F$14,E230)),1,0))+IF(Classifiers!$G$14="",0,IF(ISNUMBER(SEARCH(Classifiers!$G$14,E230)),1,0)))&gt;0,1,0))</f>
        <v/>
      </c>
      <c r="T230" s="12">
        <f>IF(H230&lt;&gt;1,0,IF((IF(Classifiers!$B$15="",0,IF(ISNUMBER(SEARCH(Classifiers!$B$15,E230)),1,0))+IF(Classifiers!$C$15="",0,IF(ISNUMBER(SEARCH(Classifiers!$C$15,E230)),1,0))+IF(Classifiers!$D$15="",0,IF(ISNUMBER(SEARCH(Classifiers!$D$15,E230)),1,0))+IF(Classifiers!$E$15="",0,IF(ISNUMBER(SEARCH(Classifiers!$E$15,E230)),1,0))+IF(Classifiers!$F$15="",0,IF(ISNUMBER(SEARCH(Classifiers!$F$15,E230)),1,0))+IF(Classifiers!$G$15="",0,IF(ISNUMBER(SEARCH(Classifiers!$G$15,E230)),1,0)))&gt;0,1,0))</f>
        <v/>
      </c>
      <c r="U230" s="12">
        <f>IF(H230&lt;&gt;1,0,IF((IF(Classifiers!$B$16="",0,IF(ISNUMBER(SEARCH(Classifiers!$B$16,E230)),1,0))+IF(Classifiers!$C$16="",0,IF(ISNUMBER(SEARCH(Classifiers!$C$16,E230)),1,0))+IF(Classifiers!$D$16="",0,IF(ISNUMBER(SEARCH(Classifiers!$D$16,E230)),1,0))+IF(Classifiers!$E$16="",0,IF(ISNUMBER(SEARCH(Classifiers!$E$16,E230)),1,0))+IF(Classifiers!$F$16="",0,IF(ISNUMBER(SEARCH(Classifiers!$F$16,E230)),1,0))+IF(Classifiers!$G$16="",0,IF(ISNUMBER(SEARCH(Classifiers!$G$16,E230)),1,0)))&gt;0,1,0))</f>
        <v/>
      </c>
      <c r="V230" s="12">
        <f>IF(H230&lt;&gt;1,0,IF((IF(Classifiers!$B$17="",0,IF(ISNUMBER(SEARCH(Classifiers!$B$17,E230)),1,0))+IF(Classifiers!$C$17="",0,IF(ISNUMBER(SEARCH(Classifiers!$C$17,E230)),1,0))+IF(Classifiers!$D$17="",0,IF(ISNUMBER(SEARCH(Classifiers!$D$17,E230)),1,0))+IF(Classifiers!$E$17="",0,IF(ISNUMBER(SEARCH(Classifiers!$E$17,E230)),1,0))+IF(Classifiers!$F$17="",0,IF(ISNUMBER(SEARCH(Classifiers!$F$17,E230)),1,0))+IF(Classifiers!$G$17="",0,IF(ISNUMBER(SEARCH(Classifiers!$G$17,E230)),1,0)))&gt;0,1,0))</f>
        <v/>
      </c>
      <c r="W230" s="12">
        <f>IF(H230&lt;&gt;1,0,IF((IF(Classifiers!$B$18="",0,IF(ISNUMBER(SEARCH(Classifiers!$B$18,E230)),1,0))+IF(Classifiers!$C$18="",0,IF(ISNUMBER(SEARCH(Classifiers!$C$18,E230)),1,0))+IF(Classifiers!$D$18="",0,IF(ISNUMBER(SEARCH(Classifiers!$D$18,E230)),1,0))+IF(Classifiers!$E$18="",0,IF(ISNUMBER(SEARCH(Classifiers!$E$18,E230)),1,0))+IF(Classifiers!$F$18="",0,IF(ISNUMBER(SEARCH(Classifiers!$F$18,E230)),1,0))+IF(Classifiers!$G$18="",0,IF(ISNUMBER(SEARCH(Classifiers!$G$18,E230)),1,0)))&gt;0,1,0))</f>
        <v/>
      </c>
    </row>
    <row r="231">
      <c r="A231" s="8" t="n"/>
      <c r="B231" s="11" t="n"/>
      <c r="C231" s="6">
        <f>IF(A231="","",TRIM(RIGHT(SUBSTITUTE(A231,"/",REPT(" ",250)),250)))</f>
        <v/>
      </c>
      <c r="D231" s="6">
        <f>IF(C231="","",IF(ISNUMBER(SEARCH(".",C231)),LOWER("."&amp;TRIM(RIGHT(SUBSTITUTE(C231,".",REPT(" ",250)),250))),""))</f>
        <v/>
      </c>
      <c r="E231" s="6">
        <f>IF(C231="","",TRIM(SUBSTITUTE(SUBSTITUTE(SUBSTITUTE(SUBSTITUTE(SUBSTITUTE(SUBSTITUTE(SUBSTITUTE(SUBSTITUTE(SUBSTITUTE(SUBSTITUTE(SUBSTITUTE(SUBSTITUTE(SUBSTITUTE(SUBSTITUTE(SUBSTITUTE(SUBSTITUTE(SUBSTITUTE(SUBSTITUTE(SUBSTITUTE(SUBSTITUTE(LOWER(LEFT(C231,LEN(C231)-LEN(D231))),"_"," "),"-"," "),"."," "),","," "),"("," "),")"," "),"["," "),"]"," "),"&amp;"," "),"+"," "),"@"," "),"#"," "),"!"," "),"'"," "),"/"," "),":"," "),";"," "),"="," "),"~"," "),"%"," ")))</f>
        <v/>
      </c>
      <c r="F231" s="6">
        <f>IF(C231="","",IF(COUNTIF(Classifiers!$A$23:$A$40,D231)&gt;0,1,0))</f>
        <v/>
      </c>
      <c r="G231" s="6">
        <f>IF(C231="","",IF(COUNTIF(Classifiers!$C$23:$C$30,D231)&gt;0,IF((IF(ISNUMBER(SEARCH(Classifiers!$E$23,E231)),1,0)+IF(ISNUMBER(SEARCH(Classifiers!$E$24,E231)),1,0)+IF(ISNUMBER(SEARCH(Classifiers!$E$25,E231)),1,0)+IF(ISNUMBER(SEARCH(Classifiers!$E$26,E231)),1,0)+IF(ISNUMBER(SEARCH(Classifiers!$E$27,E231)),1,0)+IF(ISNUMBER(SEARCH(Classifiers!$E$28,E231)),1,0)+IF(ISNUMBER(SEARCH(Classifiers!$E$29,E231)),1,0)+IF(ISNUMBER(SEARCH(Classifiers!$E$30,E231)),1,0))&gt;0,1,0),0))</f>
        <v/>
      </c>
      <c r="H231" s="6">
        <f>IF(C231="","",IF(OR(LEFT(C231,1)=".",AND(F231=0,G231=0)),0,1))</f>
        <v/>
      </c>
      <c r="I231" s="6">
        <f>IF(H231&lt;&gt;1,"",IF(SUM(J231:W231)=0,"unclassified",INDEX(Classifiers!$A$5:$A$18,MATCH(1,J231:W231,0),1)))</f>
        <v/>
      </c>
      <c r="J231" s="12">
        <f>IF(H231&lt;&gt;1,0,IF((IF(Classifiers!$B$5="",0,IF(ISNUMBER(SEARCH(Classifiers!$B$5,E231)),1,0))+IF(Classifiers!$C$5="",0,IF(ISNUMBER(SEARCH(Classifiers!$C$5,E231)),1,0))+IF(Classifiers!$D$5="",0,IF(ISNUMBER(SEARCH(Classifiers!$D$5,E231)),1,0))+IF(Classifiers!$E$5="",0,IF(ISNUMBER(SEARCH(Classifiers!$E$5,E231)),1,0))+IF(Classifiers!$F$5="",0,IF(ISNUMBER(SEARCH(Classifiers!$F$5,E231)),1,0))+IF(Classifiers!$G$5="",0,IF(ISNUMBER(SEARCH(Classifiers!$G$5,E231)),1,0)))&gt;0,1,0))</f>
        <v/>
      </c>
      <c r="K231" s="12">
        <f>IF(H231&lt;&gt;1,0,IF((IF(Classifiers!$B$6="",0,IF(ISNUMBER(SEARCH(Classifiers!$B$6,E231)),1,0))+IF(Classifiers!$C$6="",0,IF(ISNUMBER(SEARCH(Classifiers!$C$6,E231)),1,0))+IF(Classifiers!$D$6="",0,IF(ISNUMBER(SEARCH(Classifiers!$D$6,E231)),1,0))+IF(Classifiers!$E$6="",0,IF(ISNUMBER(SEARCH(Classifiers!$E$6,E231)),1,0))+IF(Classifiers!$F$6="",0,IF(ISNUMBER(SEARCH(Classifiers!$F$6,E231)),1,0))+IF(Classifiers!$G$6="",0,IF(ISNUMBER(SEARCH(Classifiers!$G$6,E231)),1,0)))&gt;0,1,0))</f>
        <v/>
      </c>
      <c r="L231" s="12">
        <f>IF(H231&lt;&gt;1,0,IF((IF(Classifiers!$B$7="",0,IF(ISNUMBER(SEARCH(Classifiers!$B$7,E231)),1,0))+IF(Classifiers!$C$7="",0,IF(ISNUMBER(SEARCH(Classifiers!$C$7,E231)),1,0))+IF(Classifiers!$D$7="",0,IF(ISNUMBER(SEARCH(Classifiers!$D$7,E231)),1,0))+IF(Classifiers!$E$7="",0,IF(ISNUMBER(SEARCH(Classifiers!$E$7,E231)),1,0))+IF(Classifiers!$F$7="",0,IF(ISNUMBER(SEARCH(Classifiers!$F$7,E231)),1,0))+IF(Classifiers!$G$7="",0,IF(ISNUMBER(SEARCH(Classifiers!$G$7,E231)),1,0)))&gt;0,1,0))</f>
        <v/>
      </c>
      <c r="M231" s="12">
        <f>IF(H231&lt;&gt;1,0,IF((IF(Classifiers!$B$8="",0,IF(ISNUMBER(SEARCH(Classifiers!$B$8,E231)),1,0))+IF(Classifiers!$C$8="",0,IF(ISNUMBER(SEARCH(Classifiers!$C$8,E231)),1,0))+IF(Classifiers!$D$8="",0,IF(ISNUMBER(SEARCH(Classifiers!$D$8,E231)),1,0))+IF(Classifiers!$E$8="",0,IF(ISNUMBER(SEARCH(Classifiers!$E$8,E231)),1,0))+IF(Classifiers!$F$8="",0,IF(ISNUMBER(SEARCH(Classifiers!$F$8,E231)),1,0))+IF(Classifiers!$G$8="",0,IF(ISNUMBER(SEARCH(Classifiers!$G$8,E231)),1,0)))&gt;0,1,0))</f>
        <v/>
      </c>
      <c r="N231" s="12">
        <f>IF(H231&lt;&gt;1,0,IF((IF(Classifiers!$B$9="",0,IF(ISNUMBER(SEARCH(Classifiers!$B$9,E231)),1,0))+IF(Classifiers!$C$9="",0,IF(ISNUMBER(SEARCH(Classifiers!$C$9,E231)),1,0))+IF(Classifiers!$D$9="",0,IF(ISNUMBER(SEARCH(Classifiers!$D$9,E231)),1,0))+IF(Classifiers!$E$9="",0,IF(ISNUMBER(SEARCH(Classifiers!$E$9,E231)),1,0))+IF(Classifiers!$F$9="",0,IF(ISNUMBER(SEARCH(Classifiers!$F$9,E231)),1,0))+IF(Classifiers!$G$9="",0,IF(ISNUMBER(SEARCH(Classifiers!$G$9,E231)),1,0)))&gt;0,1,0))</f>
        <v/>
      </c>
      <c r="O231" s="12">
        <f>IF(H231&lt;&gt;1,0,IF((IF(Classifiers!$B$10="",0,IF(ISNUMBER(SEARCH(Classifiers!$B$10,E231)),1,0))+IF(Classifiers!$C$10="",0,IF(ISNUMBER(SEARCH(Classifiers!$C$10,E231)),1,0))+IF(Classifiers!$D$10="",0,IF(ISNUMBER(SEARCH(Classifiers!$D$10,E231)),1,0))+IF(Classifiers!$E$10="",0,IF(ISNUMBER(SEARCH(Classifiers!$E$10,E231)),1,0))+IF(Classifiers!$F$10="",0,IF(ISNUMBER(SEARCH(Classifiers!$F$10,E231)),1,0))+IF(Classifiers!$G$10="",0,IF(ISNUMBER(SEARCH(Classifiers!$G$10,E231)),1,0)))&gt;0,1,0))</f>
        <v/>
      </c>
      <c r="P231" s="12">
        <f>IF(H231&lt;&gt;1,0,IF((IF(Classifiers!$B$11="",0,IF(ISNUMBER(SEARCH(Classifiers!$B$11,E231)),1,0))+IF(Classifiers!$C$11="",0,IF(ISNUMBER(SEARCH(Classifiers!$C$11,E231)),1,0))+IF(Classifiers!$D$11="",0,IF(ISNUMBER(SEARCH(Classifiers!$D$11,E231)),1,0))+IF(Classifiers!$E$11="",0,IF(ISNUMBER(SEARCH(Classifiers!$E$11,E231)),1,0))+IF(Classifiers!$F$11="",0,IF(ISNUMBER(SEARCH(Classifiers!$F$11,E231)),1,0))+IF(Classifiers!$G$11="",0,IF(ISNUMBER(SEARCH(Classifiers!$G$11,E231)),1,0)))&gt;0,1,0))</f>
        <v/>
      </c>
      <c r="Q231" s="12">
        <f>IF(H231&lt;&gt;1,0,IF((IF(Classifiers!$B$12="",0,IF(ISNUMBER(SEARCH(Classifiers!$B$12,E231)),1,0))+IF(Classifiers!$C$12="",0,IF(ISNUMBER(SEARCH(Classifiers!$C$12,E231)),1,0))+IF(Classifiers!$D$12="",0,IF(ISNUMBER(SEARCH(Classifiers!$D$12,E231)),1,0))+IF(Classifiers!$E$12="",0,IF(ISNUMBER(SEARCH(Classifiers!$E$12,E231)),1,0))+IF(Classifiers!$F$12="",0,IF(ISNUMBER(SEARCH(Classifiers!$F$12,E231)),1,0))+IF(Classifiers!$G$12="",0,IF(ISNUMBER(SEARCH(Classifiers!$G$12,E231)),1,0)))&gt;0,1,0))</f>
        <v/>
      </c>
      <c r="R231" s="12">
        <f>IF(H231&lt;&gt;1,0,IF((IF(Classifiers!$B$13="",0,IF(ISNUMBER(SEARCH(Classifiers!$B$13,E231)),1,0))+IF(Classifiers!$C$13="",0,IF(ISNUMBER(SEARCH(Classifiers!$C$13,E231)),1,0))+IF(Classifiers!$D$13="",0,IF(ISNUMBER(SEARCH(Classifiers!$D$13,E231)),1,0))+IF(Classifiers!$E$13="",0,IF(ISNUMBER(SEARCH(Classifiers!$E$13,E231)),1,0))+IF(Classifiers!$F$13="",0,IF(ISNUMBER(SEARCH(Classifiers!$F$13,E231)),1,0))+IF(Classifiers!$G$13="",0,IF(ISNUMBER(SEARCH(Classifiers!$G$13,E231)),1,0)))&gt;0,1,0))</f>
        <v/>
      </c>
      <c r="S231" s="12">
        <f>IF(H231&lt;&gt;1,0,IF((IF(Classifiers!$B$14="",0,IF(ISNUMBER(SEARCH(Classifiers!$B$14,E231)),1,0))+IF(Classifiers!$C$14="",0,IF(ISNUMBER(SEARCH(Classifiers!$C$14,E231)),1,0))+IF(Classifiers!$D$14="",0,IF(ISNUMBER(SEARCH(Classifiers!$D$14,E231)),1,0))+IF(Classifiers!$E$14="",0,IF(ISNUMBER(SEARCH(Classifiers!$E$14,E231)),1,0))+IF(Classifiers!$F$14="",0,IF(ISNUMBER(SEARCH(Classifiers!$F$14,E231)),1,0))+IF(Classifiers!$G$14="",0,IF(ISNUMBER(SEARCH(Classifiers!$G$14,E231)),1,0)))&gt;0,1,0))</f>
        <v/>
      </c>
      <c r="T231" s="12">
        <f>IF(H231&lt;&gt;1,0,IF((IF(Classifiers!$B$15="",0,IF(ISNUMBER(SEARCH(Classifiers!$B$15,E231)),1,0))+IF(Classifiers!$C$15="",0,IF(ISNUMBER(SEARCH(Classifiers!$C$15,E231)),1,0))+IF(Classifiers!$D$15="",0,IF(ISNUMBER(SEARCH(Classifiers!$D$15,E231)),1,0))+IF(Classifiers!$E$15="",0,IF(ISNUMBER(SEARCH(Classifiers!$E$15,E231)),1,0))+IF(Classifiers!$F$15="",0,IF(ISNUMBER(SEARCH(Classifiers!$F$15,E231)),1,0))+IF(Classifiers!$G$15="",0,IF(ISNUMBER(SEARCH(Classifiers!$G$15,E231)),1,0)))&gt;0,1,0))</f>
        <v/>
      </c>
      <c r="U231" s="12">
        <f>IF(H231&lt;&gt;1,0,IF((IF(Classifiers!$B$16="",0,IF(ISNUMBER(SEARCH(Classifiers!$B$16,E231)),1,0))+IF(Classifiers!$C$16="",0,IF(ISNUMBER(SEARCH(Classifiers!$C$16,E231)),1,0))+IF(Classifiers!$D$16="",0,IF(ISNUMBER(SEARCH(Classifiers!$D$16,E231)),1,0))+IF(Classifiers!$E$16="",0,IF(ISNUMBER(SEARCH(Classifiers!$E$16,E231)),1,0))+IF(Classifiers!$F$16="",0,IF(ISNUMBER(SEARCH(Classifiers!$F$16,E231)),1,0))+IF(Classifiers!$G$16="",0,IF(ISNUMBER(SEARCH(Classifiers!$G$16,E231)),1,0)))&gt;0,1,0))</f>
        <v/>
      </c>
      <c r="V231" s="12">
        <f>IF(H231&lt;&gt;1,0,IF((IF(Classifiers!$B$17="",0,IF(ISNUMBER(SEARCH(Classifiers!$B$17,E231)),1,0))+IF(Classifiers!$C$17="",0,IF(ISNUMBER(SEARCH(Classifiers!$C$17,E231)),1,0))+IF(Classifiers!$D$17="",0,IF(ISNUMBER(SEARCH(Classifiers!$D$17,E231)),1,0))+IF(Classifiers!$E$17="",0,IF(ISNUMBER(SEARCH(Classifiers!$E$17,E231)),1,0))+IF(Classifiers!$F$17="",0,IF(ISNUMBER(SEARCH(Classifiers!$F$17,E231)),1,0))+IF(Classifiers!$G$17="",0,IF(ISNUMBER(SEARCH(Classifiers!$G$17,E231)),1,0)))&gt;0,1,0))</f>
        <v/>
      </c>
      <c r="W231" s="12">
        <f>IF(H231&lt;&gt;1,0,IF((IF(Classifiers!$B$18="",0,IF(ISNUMBER(SEARCH(Classifiers!$B$18,E231)),1,0))+IF(Classifiers!$C$18="",0,IF(ISNUMBER(SEARCH(Classifiers!$C$18,E231)),1,0))+IF(Classifiers!$D$18="",0,IF(ISNUMBER(SEARCH(Classifiers!$D$18,E231)),1,0))+IF(Classifiers!$E$18="",0,IF(ISNUMBER(SEARCH(Classifiers!$E$18,E231)),1,0))+IF(Classifiers!$F$18="",0,IF(ISNUMBER(SEARCH(Classifiers!$F$18,E231)),1,0))+IF(Classifiers!$G$18="",0,IF(ISNUMBER(SEARCH(Classifiers!$G$18,E231)),1,0)))&gt;0,1,0))</f>
        <v/>
      </c>
    </row>
    <row r="232">
      <c r="A232" s="8" t="n"/>
      <c r="B232" s="11" t="n"/>
      <c r="C232" s="6">
        <f>IF(A232="","",TRIM(RIGHT(SUBSTITUTE(A232,"/",REPT(" ",250)),250)))</f>
        <v/>
      </c>
      <c r="D232" s="6">
        <f>IF(C232="","",IF(ISNUMBER(SEARCH(".",C232)),LOWER("."&amp;TRIM(RIGHT(SUBSTITUTE(C232,".",REPT(" ",250)),250))),""))</f>
        <v/>
      </c>
      <c r="E232" s="6">
        <f>IF(C232="","",TRIM(SUBSTITUTE(SUBSTITUTE(SUBSTITUTE(SUBSTITUTE(SUBSTITUTE(SUBSTITUTE(SUBSTITUTE(SUBSTITUTE(SUBSTITUTE(SUBSTITUTE(SUBSTITUTE(SUBSTITUTE(SUBSTITUTE(SUBSTITUTE(SUBSTITUTE(SUBSTITUTE(SUBSTITUTE(SUBSTITUTE(SUBSTITUTE(SUBSTITUTE(LOWER(LEFT(C232,LEN(C232)-LEN(D232))),"_"," "),"-"," "),"."," "),","," "),"("," "),")"," "),"["," "),"]"," "),"&amp;"," "),"+"," "),"@"," "),"#"," "),"!"," "),"'"," "),"/"," "),":"," "),";"," "),"="," "),"~"," "),"%"," ")))</f>
        <v/>
      </c>
      <c r="F232" s="6">
        <f>IF(C232="","",IF(COUNTIF(Classifiers!$A$23:$A$40,D232)&gt;0,1,0))</f>
        <v/>
      </c>
      <c r="G232" s="6">
        <f>IF(C232="","",IF(COUNTIF(Classifiers!$C$23:$C$30,D232)&gt;0,IF((IF(ISNUMBER(SEARCH(Classifiers!$E$23,E232)),1,0)+IF(ISNUMBER(SEARCH(Classifiers!$E$24,E232)),1,0)+IF(ISNUMBER(SEARCH(Classifiers!$E$25,E232)),1,0)+IF(ISNUMBER(SEARCH(Classifiers!$E$26,E232)),1,0)+IF(ISNUMBER(SEARCH(Classifiers!$E$27,E232)),1,0)+IF(ISNUMBER(SEARCH(Classifiers!$E$28,E232)),1,0)+IF(ISNUMBER(SEARCH(Classifiers!$E$29,E232)),1,0)+IF(ISNUMBER(SEARCH(Classifiers!$E$30,E232)),1,0))&gt;0,1,0),0))</f>
        <v/>
      </c>
      <c r="H232" s="6">
        <f>IF(C232="","",IF(OR(LEFT(C232,1)=".",AND(F232=0,G232=0)),0,1))</f>
        <v/>
      </c>
      <c r="I232" s="6">
        <f>IF(H232&lt;&gt;1,"",IF(SUM(J232:W232)=0,"unclassified",INDEX(Classifiers!$A$5:$A$18,MATCH(1,J232:W232,0),1)))</f>
        <v/>
      </c>
      <c r="J232" s="12">
        <f>IF(H232&lt;&gt;1,0,IF((IF(Classifiers!$B$5="",0,IF(ISNUMBER(SEARCH(Classifiers!$B$5,E232)),1,0))+IF(Classifiers!$C$5="",0,IF(ISNUMBER(SEARCH(Classifiers!$C$5,E232)),1,0))+IF(Classifiers!$D$5="",0,IF(ISNUMBER(SEARCH(Classifiers!$D$5,E232)),1,0))+IF(Classifiers!$E$5="",0,IF(ISNUMBER(SEARCH(Classifiers!$E$5,E232)),1,0))+IF(Classifiers!$F$5="",0,IF(ISNUMBER(SEARCH(Classifiers!$F$5,E232)),1,0))+IF(Classifiers!$G$5="",0,IF(ISNUMBER(SEARCH(Classifiers!$G$5,E232)),1,0)))&gt;0,1,0))</f>
        <v/>
      </c>
      <c r="K232" s="12">
        <f>IF(H232&lt;&gt;1,0,IF((IF(Classifiers!$B$6="",0,IF(ISNUMBER(SEARCH(Classifiers!$B$6,E232)),1,0))+IF(Classifiers!$C$6="",0,IF(ISNUMBER(SEARCH(Classifiers!$C$6,E232)),1,0))+IF(Classifiers!$D$6="",0,IF(ISNUMBER(SEARCH(Classifiers!$D$6,E232)),1,0))+IF(Classifiers!$E$6="",0,IF(ISNUMBER(SEARCH(Classifiers!$E$6,E232)),1,0))+IF(Classifiers!$F$6="",0,IF(ISNUMBER(SEARCH(Classifiers!$F$6,E232)),1,0))+IF(Classifiers!$G$6="",0,IF(ISNUMBER(SEARCH(Classifiers!$G$6,E232)),1,0)))&gt;0,1,0))</f>
        <v/>
      </c>
      <c r="L232" s="12">
        <f>IF(H232&lt;&gt;1,0,IF((IF(Classifiers!$B$7="",0,IF(ISNUMBER(SEARCH(Classifiers!$B$7,E232)),1,0))+IF(Classifiers!$C$7="",0,IF(ISNUMBER(SEARCH(Classifiers!$C$7,E232)),1,0))+IF(Classifiers!$D$7="",0,IF(ISNUMBER(SEARCH(Classifiers!$D$7,E232)),1,0))+IF(Classifiers!$E$7="",0,IF(ISNUMBER(SEARCH(Classifiers!$E$7,E232)),1,0))+IF(Classifiers!$F$7="",0,IF(ISNUMBER(SEARCH(Classifiers!$F$7,E232)),1,0))+IF(Classifiers!$G$7="",0,IF(ISNUMBER(SEARCH(Classifiers!$G$7,E232)),1,0)))&gt;0,1,0))</f>
        <v/>
      </c>
      <c r="M232" s="12">
        <f>IF(H232&lt;&gt;1,0,IF((IF(Classifiers!$B$8="",0,IF(ISNUMBER(SEARCH(Classifiers!$B$8,E232)),1,0))+IF(Classifiers!$C$8="",0,IF(ISNUMBER(SEARCH(Classifiers!$C$8,E232)),1,0))+IF(Classifiers!$D$8="",0,IF(ISNUMBER(SEARCH(Classifiers!$D$8,E232)),1,0))+IF(Classifiers!$E$8="",0,IF(ISNUMBER(SEARCH(Classifiers!$E$8,E232)),1,0))+IF(Classifiers!$F$8="",0,IF(ISNUMBER(SEARCH(Classifiers!$F$8,E232)),1,0))+IF(Classifiers!$G$8="",0,IF(ISNUMBER(SEARCH(Classifiers!$G$8,E232)),1,0)))&gt;0,1,0))</f>
        <v/>
      </c>
      <c r="N232" s="12">
        <f>IF(H232&lt;&gt;1,0,IF((IF(Classifiers!$B$9="",0,IF(ISNUMBER(SEARCH(Classifiers!$B$9,E232)),1,0))+IF(Classifiers!$C$9="",0,IF(ISNUMBER(SEARCH(Classifiers!$C$9,E232)),1,0))+IF(Classifiers!$D$9="",0,IF(ISNUMBER(SEARCH(Classifiers!$D$9,E232)),1,0))+IF(Classifiers!$E$9="",0,IF(ISNUMBER(SEARCH(Classifiers!$E$9,E232)),1,0))+IF(Classifiers!$F$9="",0,IF(ISNUMBER(SEARCH(Classifiers!$F$9,E232)),1,0))+IF(Classifiers!$G$9="",0,IF(ISNUMBER(SEARCH(Classifiers!$G$9,E232)),1,0)))&gt;0,1,0))</f>
        <v/>
      </c>
      <c r="O232" s="12">
        <f>IF(H232&lt;&gt;1,0,IF((IF(Classifiers!$B$10="",0,IF(ISNUMBER(SEARCH(Classifiers!$B$10,E232)),1,0))+IF(Classifiers!$C$10="",0,IF(ISNUMBER(SEARCH(Classifiers!$C$10,E232)),1,0))+IF(Classifiers!$D$10="",0,IF(ISNUMBER(SEARCH(Classifiers!$D$10,E232)),1,0))+IF(Classifiers!$E$10="",0,IF(ISNUMBER(SEARCH(Classifiers!$E$10,E232)),1,0))+IF(Classifiers!$F$10="",0,IF(ISNUMBER(SEARCH(Classifiers!$F$10,E232)),1,0))+IF(Classifiers!$G$10="",0,IF(ISNUMBER(SEARCH(Classifiers!$G$10,E232)),1,0)))&gt;0,1,0))</f>
        <v/>
      </c>
      <c r="P232" s="12">
        <f>IF(H232&lt;&gt;1,0,IF((IF(Classifiers!$B$11="",0,IF(ISNUMBER(SEARCH(Classifiers!$B$11,E232)),1,0))+IF(Classifiers!$C$11="",0,IF(ISNUMBER(SEARCH(Classifiers!$C$11,E232)),1,0))+IF(Classifiers!$D$11="",0,IF(ISNUMBER(SEARCH(Classifiers!$D$11,E232)),1,0))+IF(Classifiers!$E$11="",0,IF(ISNUMBER(SEARCH(Classifiers!$E$11,E232)),1,0))+IF(Classifiers!$F$11="",0,IF(ISNUMBER(SEARCH(Classifiers!$F$11,E232)),1,0))+IF(Classifiers!$G$11="",0,IF(ISNUMBER(SEARCH(Classifiers!$G$11,E232)),1,0)))&gt;0,1,0))</f>
        <v/>
      </c>
      <c r="Q232" s="12">
        <f>IF(H232&lt;&gt;1,0,IF((IF(Classifiers!$B$12="",0,IF(ISNUMBER(SEARCH(Classifiers!$B$12,E232)),1,0))+IF(Classifiers!$C$12="",0,IF(ISNUMBER(SEARCH(Classifiers!$C$12,E232)),1,0))+IF(Classifiers!$D$12="",0,IF(ISNUMBER(SEARCH(Classifiers!$D$12,E232)),1,0))+IF(Classifiers!$E$12="",0,IF(ISNUMBER(SEARCH(Classifiers!$E$12,E232)),1,0))+IF(Classifiers!$F$12="",0,IF(ISNUMBER(SEARCH(Classifiers!$F$12,E232)),1,0))+IF(Classifiers!$G$12="",0,IF(ISNUMBER(SEARCH(Classifiers!$G$12,E232)),1,0)))&gt;0,1,0))</f>
        <v/>
      </c>
      <c r="R232" s="12">
        <f>IF(H232&lt;&gt;1,0,IF((IF(Classifiers!$B$13="",0,IF(ISNUMBER(SEARCH(Classifiers!$B$13,E232)),1,0))+IF(Classifiers!$C$13="",0,IF(ISNUMBER(SEARCH(Classifiers!$C$13,E232)),1,0))+IF(Classifiers!$D$13="",0,IF(ISNUMBER(SEARCH(Classifiers!$D$13,E232)),1,0))+IF(Classifiers!$E$13="",0,IF(ISNUMBER(SEARCH(Classifiers!$E$13,E232)),1,0))+IF(Classifiers!$F$13="",0,IF(ISNUMBER(SEARCH(Classifiers!$F$13,E232)),1,0))+IF(Classifiers!$G$13="",0,IF(ISNUMBER(SEARCH(Classifiers!$G$13,E232)),1,0)))&gt;0,1,0))</f>
        <v/>
      </c>
      <c r="S232" s="12">
        <f>IF(H232&lt;&gt;1,0,IF((IF(Classifiers!$B$14="",0,IF(ISNUMBER(SEARCH(Classifiers!$B$14,E232)),1,0))+IF(Classifiers!$C$14="",0,IF(ISNUMBER(SEARCH(Classifiers!$C$14,E232)),1,0))+IF(Classifiers!$D$14="",0,IF(ISNUMBER(SEARCH(Classifiers!$D$14,E232)),1,0))+IF(Classifiers!$E$14="",0,IF(ISNUMBER(SEARCH(Classifiers!$E$14,E232)),1,0))+IF(Classifiers!$F$14="",0,IF(ISNUMBER(SEARCH(Classifiers!$F$14,E232)),1,0))+IF(Classifiers!$G$14="",0,IF(ISNUMBER(SEARCH(Classifiers!$G$14,E232)),1,0)))&gt;0,1,0))</f>
        <v/>
      </c>
      <c r="T232" s="12">
        <f>IF(H232&lt;&gt;1,0,IF((IF(Classifiers!$B$15="",0,IF(ISNUMBER(SEARCH(Classifiers!$B$15,E232)),1,0))+IF(Classifiers!$C$15="",0,IF(ISNUMBER(SEARCH(Classifiers!$C$15,E232)),1,0))+IF(Classifiers!$D$15="",0,IF(ISNUMBER(SEARCH(Classifiers!$D$15,E232)),1,0))+IF(Classifiers!$E$15="",0,IF(ISNUMBER(SEARCH(Classifiers!$E$15,E232)),1,0))+IF(Classifiers!$F$15="",0,IF(ISNUMBER(SEARCH(Classifiers!$F$15,E232)),1,0))+IF(Classifiers!$G$15="",0,IF(ISNUMBER(SEARCH(Classifiers!$G$15,E232)),1,0)))&gt;0,1,0))</f>
        <v/>
      </c>
      <c r="U232" s="12">
        <f>IF(H232&lt;&gt;1,0,IF((IF(Classifiers!$B$16="",0,IF(ISNUMBER(SEARCH(Classifiers!$B$16,E232)),1,0))+IF(Classifiers!$C$16="",0,IF(ISNUMBER(SEARCH(Classifiers!$C$16,E232)),1,0))+IF(Classifiers!$D$16="",0,IF(ISNUMBER(SEARCH(Classifiers!$D$16,E232)),1,0))+IF(Classifiers!$E$16="",0,IF(ISNUMBER(SEARCH(Classifiers!$E$16,E232)),1,0))+IF(Classifiers!$F$16="",0,IF(ISNUMBER(SEARCH(Classifiers!$F$16,E232)),1,0))+IF(Classifiers!$G$16="",0,IF(ISNUMBER(SEARCH(Classifiers!$G$16,E232)),1,0)))&gt;0,1,0))</f>
        <v/>
      </c>
      <c r="V232" s="12">
        <f>IF(H232&lt;&gt;1,0,IF((IF(Classifiers!$B$17="",0,IF(ISNUMBER(SEARCH(Classifiers!$B$17,E232)),1,0))+IF(Classifiers!$C$17="",0,IF(ISNUMBER(SEARCH(Classifiers!$C$17,E232)),1,0))+IF(Classifiers!$D$17="",0,IF(ISNUMBER(SEARCH(Classifiers!$D$17,E232)),1,0))+IF(Classifiers!$E$17="",0,IF(ISNUMBER(SEARCH(Classifiers!$E$17,E232)),1,0))+IF(Classifiers!$F$17="",0,IF(ISNUMBER(SEARCH(Classifiers!$F$17,E232)),1,0))+IF(Classifiers!$G$17="",0,IF(ISNUMBER(SEARCH(Classifiers!$G$17,E232)),1,0)))&gt;0,1,0))</f>
        <v/>
      </c>
      <c r="W232" s="12">
        <f>IF(H232&lt;&gt;1,0,IF((IF(Classifiers!$B$18="",0,IF(ISNUMBER(SEARCH(Classifiers!$B$18,E232)),1,0))+IF(Classifiers!$C$18="",0,IF(ISNUMBER(SEARCH(Classifiers!$C$18,E232)),1,0))+IF(Classifiers!$D$18="",0,IF(ISNUMBER(SEARCH(Classifiers!$D$18,E232)),1,0))+IF(Classifiers!$E$18="",0,IF(ISNUMBER(SEARCH(Classifiers!$E$18,E232)),1,0))+IF(Classifiers!$F$18="",0,IF(ISNUMBER(SEARCH(Classifiers!$F$18,E232)),1,0))+IF(Classifiers!$G$18="",0,IF(ISNUMBER(SEARCH(Classifiers!$G$18,E232)),1,0)))&gt;0,1,0))</f>
        <v/>
      </c>
    </row>
    <row r="233">
      <c r="A233" s="8" t="n"/>
      <c r="B233" s="11" t="n"/>
      <c r="C233" s="6">
        <f>IF(A233="","",TRIM(RIGHT(SUBSTITUTE(A233,"/",REPT(" ",250)),250)))</f>
        <v/>
      </c>
      <c r="D233" s="6">
        <f>IF(C233="","",IF(ISNUMBER(SEARCH(".",C233)),LOWER("."&amp;TRIM(RIGHT(SUBSTITUTE(C233,".",REPT(" ",250)),250))),""))</f>
        <v/>
      </c>
      <c r="E233" s="6">
        <f>IF(C233="","",TRIM(SUBSTITUTE(SUBSTITUTE(SUBSTITUTE(SUBSTITUTE(SUBSTITUTE(SUBSTITUTE(SUBSTITUTE(SUBSTITUTE(SUBSTITUTE(SUBSTITUTE(SUBSTITUTE(SUBSTITUTE(SUBSTITUTE(SUBSTITUTE(SUBSTITUTE(SUBSTITUTE(SUBSTITUTE(SUBSTITUTE(SUBSTITUTE(SUBSTITUTE(LOWER(LEFT(C233,LEN(C233)-LEN(D233))),"_"," "),"-"," "),"."," "),","," "),"("," "),")"," "),"["," "),"]"," "),"&amp;"," "),"+"," "),"@"," "),"#"," "),"!"," "),"'"," "),"/"," "),":"," "),";"," "),"="," "),"~"," "),"%"," ")))</f>
        <v/>
      </c>
      <c r="F233" s="6">
        <f>IF(C233="","",IF(COUNTIF(Classifiers!$A$23:$A$40,D233)&gt;0,1,0))</f>
        <v/>
      </c>
      <c r="G233" s="6">
        <f>IF(C233="","",IF(COUNTIF(Classifiers!$C$23:$C$30,D233)&gt;0,IF((IF(ISNUMBER(SEARCH(Classifiers!$E$23,E233)),1,0)+IF(ISNUMBER(SEARCH(Classifiers!$E$24,E233)),1,0)+IF(ISNUMBER(SEARCH(Classifiers!$E$25,E233)),1,0)+IF(ISNUMBER(SEARCH(Classifiers!$E$26,E233)),1,0)+IF(ISNUMBER(SEARCH(Classifiers!$E$27,E233)),1,0)+IF(ISNUMBER(SEARCH(Classifiers!$E$28,E233)),1,0)+IF(ISNUMBER(SEARCH(Classifiers!$E$29,E233)),1,0)+IF(ISNUMBER(SEARCH(Classifiers!$E$30,E233)),1,0))&gt;0,1,0),0))</f>
        <v/>
      </c>
      <c r="H233" s="6">
        <f>IF(C233="","",IF(OR(LEFT(C233,1)=".",AND(F233=0,G233=0)),0,1))</f>
        <v/>
      </c>
      <c r="I233" s="6">
        <f>IF(H233&lt;&gt;1,"",IF(SUM(J233:W233)=0,"unclassified",INDEX(Classifiers!$A$5:$A$18,MATCH(1,J233:W233,0),1)))</f>
        <v/>
      </c>
      <c r="J233" s="12">
        <f>IF(H233&lt;&gt;1,0,IF((IF(Classifiers!$B$5="",0,IF(ISNUMBER(SEARCH(Classifiers!$B$5,E233)),1,0))+IF(Classifiers!$C$5="",0,IF(ISNUMBER(SEARCH(Classifiers!$C$5,E233)),1,0))+IF(Classifiers!$D$5="",0,IF(ISNUMBER(SEARCH(Classifiers!$D$5,E233)),1,0))+IF(Classifiers!$E$5="",0,IF(ISNUMBER(SEARCH(Classifiers!$E$5,E233)),1,0))+IF(Classifiers!$F$5="",0,IF(ISNUMBER(SEARCH(Classifiers!$F$5,E233)),1,0))+IF(Classifiers!$G$5="",0,IF(ISNUMBER(SEARCH(Classifiers!$G$5,E233)),1,0)))&gt;0,1,0))</f>
        <v/>
      </c>
      <c r="K233" s="12">
        <f>IF(H233&lt;&gt;1,0,IF((IF(Classifiers!$B$6="",0,IF(ISNUMBER(SEARCH(Classifiers!$B$6,E233)),1,0))+IF(Classifiers!$C$6="",0,IF(ISNUMBER(SEARCH(Classifiers!$C$6,E233)),1,0))+IF(Classifiers!$D$6="",0,IF(ISNUMBER(SEARCH(Classifiers!$D$6,E233)),1,0))+IF(Classifiers!$E$6="",0,IF(ISNUMBER(SEARCH(Classifiers!$E$6,E233)),1,0))+IF(Classifiers!$F$6="",0,IF(ISNUMBER(SEARCH(Classifiers!$F$6,E233)),1,0))+IF(Classifiers!$G$6="",0,IF(ISNUMBER(SEARCH(Classifiers!$G$6,E233)),1,0)))&gt;0,1,0))</f>
        <v/>
      </c>
      <c r="L233" s="12">
        <f>IF(H233&lt;&gt;1,0,IF((IF(Classifiers!$B$7="",0,IF(ISNUMBER(SEARCH(Classifiers!$B$7,E233)),1,0))+IF(Classifiers!$C$7="",0,IF(ISNUMBER(SEARCH(Classifiers!$C$7,E233)),1,0))+IF(Classifiers!$D$7="",0,IF(ISNUMBER(SEARCH(Classifiers!$D$7,E233)),1,0))+IF(Classifiers!$E$7="",0,IF(ISNUMBER(SEARCH(Classifiers!$E$7,E233)),1,0))+IF(Classifiers!$F$7="",0,IF(ISNUMBER(SEARCH(Classifiers!$F$7,E233)),1,0))+IF(Classifiers!$G$7="",0,IF(ISNUMBER(SEARCH(Classifiers!$G$7,E233)),1,0)))&gt;0,1,0))</f>
        <v/>
      </c>
      <c r="M233" s="12">
        <f>IF(H233&lt;&gt;1,0,IF((IF(Classifiers!$B$8="",0,IF(ISNUMBER(SEARCH(Classifiers!$B$8,E233)),1,0))+IF(Classifiers!$C$8="",0,IF(ISNUMBER(SEARCH(Classifiers!$C$8,E233)),1,0))+IF(Classifiers!$D$8="",0,IF(ISNUMBER(SEARCH(Classifiers!$D$8,E233)),1,0))+IF(Classifiers!$E$8="",0,IF(ISNUMBER(SEARCH(Classifiers!$E$8,E233)),1,0))+IF(Classifiers!$F$8="",0,IF(ISNUMBER(SEARCH(Classifiers!$F$8,E233)),1,0))+IF(Classifiers!$G$8="",0,IF(ISNUMBER(SEARCH(Classifiers!$G$8,E233)),1,0)))&gt;0,1,0))</f>
        <v/>
      </c>
      <c r="N233" s="12">
        <f>IF(H233&lt;&gt;1,0,IF((IF(Classifiers!$B$9="",0,IF(ISNUMBER(SEARCH(Classifiers!$B$9,E233)),1,0))+IF(Classifiers!$C$9="",0,IF(ISNUMBER(SEARCH(Classifiers!$C$9,E233)),1,0))+IF(Classifiers!$D$9="",0,IF(ISNUMBER(SEARCH(Classifiers!$D$9,E233)),1,0))+IF(Classifiers!$E$9="",0,IF(ISNUMBER(SEARCH(Classifiers!$E$9,E233)),1,0))+IF(Classifiers!$F$9="",0,IF(ISNUMBER(SEARCH(Classifiers!$F$9,E233)),1,0))+IF(Classifiers!$G$9="",0,IF(ISNUMBER(SEARCH(Classifiers!$G$9,E233)),1,0)))&gt;0,1,0))</f>
        <v/>
      </c>
      <c r="O233" s="12">
        <f>IF(H233&lt;&gt;1,0,IF((IF(Classifiers!$B$10="",0,IF(ISNUMBER(SEARCH(Classifiers!$B$10,E233)),1,0))+IF(Classifiers!$C$10="",0,IF(ISNUMBER(SEARCH(Classifiers!$C$10,E233)),1,0))+IF(Classifiers!$D$10="",0,IF(ISNUMBER(SEARCH(Classifiers!$D$10,E233)),1,0))+IF(Classifiers!$E$10="",0,IF(ISNUMBER(SEARCH(Classifiers!$E$10,E233)),1,0))+IF(Classifiers!$F$10="",0,IF(ISNUMBER(SEARCH(Classifiers!$F$10,E233)),1,0))+IF(Classifiers!$G$10="",0,IF(ISNUMBER(SEARCH(Classifiers!$G$10,E233)),1,0)))&gt;0,1,0))</f>
        <v/>
      </c>
      <c r="P233" s="12">
        <f>IF(H233&lt;&gt;1,0,IF((IF(Classifiers!$B$11="",0,IF(ISNUMBER(SEARCH(Classifiers!$B$11,E233)),1,0))+IF(Classifiers!$C$11="",0,IF(ISNUMBER(SEARCH(Classifiers!$C$11,E233)),1,0))+IF(Classifiers!$D$11="",0,IF(ISNUMBER(SEARCH(Classifiers!$D$11,E233)),1,0))+IF(Classifiers!$E$11="",0,IF(ISNUMBER(SEARCH(Classifiers!$E$11,E233)),1,0))+IF(Classifiers!$F$11="",0,IF(ISNUMBER(SEARCH(Classifiers!$F$11,E233)),1,0))+IF(Classifiers!$G$11="",0,IF(ISNUMBER(SEARCH(Classifiers!$G$11,E233)),1,0)))&gt;0,1,0))</f>
        <v/>
      </c>
      <c r="Q233" s="12">
        <f>IF(H233&lt;&gt;1,0,IF((IF(Classifiers!$B$12="",0,IF(ISNUMBER(SEARCH(Classifiers!$B$12,E233)),1,0))+IF(Classifiers!$C$12="",0,IF(ISNUMBER(SEARCH(Classifiers!$C$12,E233)),1,0))+IF(Classifiers!$D$12="",0,IF(ISNUMBER(SEARCH(Classifiers!$D$12,E233)),1,0))+IF(Classifiers!$E$12="",0,IF(ISNUMBER(SEARCH(Classifiers!$E$12,E233)),1,0))+IF(Classifiers!$F$12="",0,IF(ISNUMBER(SEARCH(Classifiers!$F$12,E233)),1,0))+IF(Classifiers!$G$12="",0,IF(ISNUMBER(SEARCH(Classifiers!$G$12,E233)),1,0)))&gt;0,1,0))</f>
        <v/>
      </c>
      <c r="R233" s="12">
        <f>IF(H233&lt;&gt;1,0,IF((IF(Classifiers!$B$13="",0,IF(ISNUMBER(SEARCH(Classifiers!$B$13,E233)),1,0))+IF(Classifiers!$C$13="",0,IF(ISNUMBER(SEARCH(Classifiers!$C$13,E233)),1,0))+IF(Classifiers!$D$13="",0,IF(ISNUMBER(SEARCH(Classifiers!$D$13,E233)),1,0))+IF(Classifiers!$E$13="",0,IF(ISNUMBER(SEARCH(Classifiers!$E$13,E233)),1,0))+IF(Classifiers!$F$13="",0,IF(ISNUMBER(SEARCH(Classifiers!$F$13,E233)),1,0))+IF(Classifiers!$G$13="",0,IF(ISNUMBER(SEARCH(Classifiers!$G$13,E233)),1,0)))&gt;0,1,0))</f>
        <v/>
      </c>
      <c r="S233" s="12">
        <f>IF(H233&lt;&gt;1,0,IF((IF(Classifiers!$B$14="",0,IF(ISNUMBER(SEARCH(Classifiers!$B$14,E233)),1,0))+IF(Classifiers!$C$14="",0,IF(ISNUMBER(SEARCH(Classifiers!$C$14,E233)),1,0))+IF(Classifiers!$D$14="",0,IF(ISNUMBER(SEARCH(Classifiers!$D$14,E233)),1,0))+IF(Classifiers!$E$14="",0,IF(ISNUMBER(SEARCH(Classifiers!$E$14,E233)),1,0))+IF(Classifiers!$F$14="",0,IF(ISNUMBER(SEARCH(Classifiers!$F$14,E233)),1,0))+IF(Classifiers!$G$14="",0,IF(ISNUMBER(SEARCH(Classifiers!$G$14,E233)),1,0)))&gt;0,1,0))</f>
        <v/>
      </c>
      <c r="T233" s="12">
        <f>IF(H233&lt;&gt;1,0,IF((IF(Classifiers!$B$15="",0,IF(ISNUMBER(SEARCH(Classifiers!$B$15,E233)),1,0))+IF(Classifiers!$C$15="",0,IF(ISNUMBER(SEARCH(Classifiers!$C$15,E233)),1,0))+IF(Classifiers!$D$15="",0,IF(ISNUMBER(SEARCH(Classifiers!$D$15,E233)),1,0))+IF(Classifiers!$E$15="",0,IF(ISNUMBER(SEARCH(Classifiers!$E$15,E233)),1,0))+IF(Classifiers!$F$15="",0,IF(ISNUMBER(SEARCH(Classifiers!$F$15,E233)),1,0))+IF(Classifiers!$G$15="",0,IF(ISNUMBER(SEARCH(Classifiers!$G$15,E233)),1,0)))&gt;0,1,0))</f>
        <v/>
      </c>
      <c r="U233" s="12">
        <f>IF(H233&lt;&gt;1,0,IF((IF(Classifiers!$B$16="",0,IF(ISNUMBER(SEARCH(Classifiers!$B$16,E233)),1,0))+IF(Classifiers!$C$16="",0,IF(ISNUMBER(SEARCH(Classifiers!$C$16,E233)),1,0))+IF(Classifiers!$D$16="",0,IF(ISNUMBER(SEARCH(Classifiers!$D$16,E233)),1,0))+IF(Classifiers!$E$16="",0,IF(ISNUMBER(SEARCH(Classifiers!$E$16,E233)),1,0))+IF(Classifiers!$F$16="",0,IF(ISNUMBER(SEARCH(Classifiers!$F$16,E233)),1,0))+IF(Classifiers!$G$16="",0,IF(ISNUMBER(SEARCH(Classifiers!$G$16,E233)),1,0)))&gt;0,1,0))</f>
        <v/>
      </c>
      <c r="V233" s="12">
        <f>IF(H233&lt;&gt;1,0,IF((IF(Classifiers!$B$17="",0,IF(ISNUMBER(SEARCH(Classifiers!$B$17,E233)),1,0))+IF(Classifiers!$C$17="",0,IF(ISNUMBER(SEARCH(Classifiers!$C$17,E233)),1,0))+IF(Classifiers!$D$17="",0,IF(ISNUMBER(SEARCH(Classifiers!$D$17,E233)),1,0))+IF(Classifiers!$E$17="",0,IF(ISNUMBER(SEARCH(Classifiers!$E$17,E233)),1,0))+IF(Classifiers!$F$17="",0,IF(ISNUMBER(SEARCH(Classifiers!$F$17,E233)),1,0))+IF(Classifiers!$G$17="",0,IF(ISNUMBER(SEARCH(Classifiers!$G$17,E233)),1,0)))&gt;0,1,0))</f>
        <v/>
      </c>
      <c r="W233" s="12">
        <f>IF(H233&lt;&gt;1,0,IF((IF(Classifiers!$B$18="",0,IF(ISNUMBER(SEARCH(Classifiers!$B$18,E233)),1,0))+IF(Classifiers!$C$18="",0,IF(ISNUMBER(SEARCH(Classifiers!$C$18,E233)),1,0))+IF(Classifiers!$D$18="",0,IF(ISNUMBER(SEARCH(Classifiers!$D$18,E233)),1,0))+IF(Classifiers!$E$18="",0,IF(ISNUMBER(SEARCH(Classifiers!$E$18,E233)),1,0))+IF(Classifiers!$F$18="",0,IF(ISNUMBER(SEARCH(Classifiers!$F$18,E233)),1,0))+IF(Classifiers!$G$18="",0,IF(ISNUMBER(SEARCH(Classifiers!$G$18,E233)),1,0)))&gt;0,1,0))</f>
        <v/>
      </c>
    </row>
    <row r="234">
      <c r="A234" s="8" t="n"/>
      <c r="B234" s="11" t="n"/>
      <c r="C234" s="6">
        <f>IF(A234="","",TRIM(RIGHT(SUBSTITUTE(A234,"/",REPT(" ",250)),250)))</f>
        <v/>
      </c>
      <c r="D234" s="6">
        <f>IF(C234="","",IF(ISNUMBER(SEARCH(".",C234)),LOWER("."&amp;TRIM(RIGHT(SUBSTITUTE(C234,".",REPT(" ",250)),250))),""))</f>
        <v/>
      </c>
      <c r="E234" s="6">
        <f>IF(C234="","",TRIM(SUBSTITUTE(SUBSTITUTE(SUBSTITUTE(SUBSTITUTE(SUBSTITUTE(SUBSTITUTE(SUBSTITUTE(SUBSTITUTE(SUBSTITUTE(SUBSTITUTE(SUBSTITUTE(SUBSTITUTE(SUBSTITUTE(SUBSTITUTE(SUBSTITUTE(SUBSTITUTE(SUBSTITUTE(SUBSTITUTE(SUBSTITUTE(SUBSTITUTE(LOWER(LEFT(C234,LEN(C234)-LEN(D234))),"_"," "),"-"," "),"."," "),","," "),"("," "),")"," "),"["," "),"]"," "),"&amp;"," "),"+"," "),"@"," "),"#"," "),"!"," "),"'"," "),"/"," "),":"," "),";"," "),"="," "),"~"," "),"%"," ")))</f>
        <v/>
      </c>
      <c r="F234" s="6">
        <f>IF(C234="","",IF(COUNTIF(Classifiers!$A$23:$A$40,D234)&gt;0,1,0))</f>
        <v/>
      </c>
      <c r="G234" s="6">
        <f>IF(C234="","",IF(COUNTIF(Classifiers!$C$23:$C$30,D234)&gt;0,IF((IF(ISNUMBER(SEARCH(Classifiers!$E$23,E234)),1,0)+IF(ISNUMBER(SEARCH(Classifiers!$E$24,E234)),1,0)+IF(ISNUMBER(SEARCH(Classifiers!$E$25,E234)),1,0)+IF(ISNUMBER(SEARCH(Classifiers!$E$26,E234)),1,0)+IF(ISNUMBER(SEARCH(Classifiers!$E$27,E234)),1,0)+IF(ISNUMBER(SEARCH(Classifiers!$E$28,E234)),1,0)+IF(ISNUMBER(SEARCH(Classifiers!$E$29,E234)),1,0)+IF(ISNUMBER(SEARCH(Classifiers!$E$30,E234)),1,0))&gt;0,1,0),0))</f>
        <v/>
      </c>
      <c r="H234" s="6">
        <f>IF(C234="","",IF(OR(LEFT(C234,1)=".",AND(F234=0,G234=0)),0,1))</f>
        <v/>
      </c>
      <c r="I234" s="6">
        <f>IF(H234&lt;&gt;1,"",IF(SUM(J234:W234)=0,"unclassified",INDEX(Classifiers!$A$5:$A$18,MATCH(1,J234:W234,0),1)))</f>
        <v/>
      </c>
      <c r="J234" s="12">
        <f>IF(H234&lt;&gt;1,0,IF((IF(Classifiers!$B$5="",0,IF(ISNUMBER(SEARCH(Classifiers!$B$5,E234)),1,0))+IF(Classifiers!$C$5="",0,IF(ISNUMBER(SEARCH(Classifiers!$C$5,E234)),1,0))+IF(Classifiers!$D$5="",0,IF(ISNUMBER(SEARCH(Classifiers!$D$5,E234)),1,0))+IF(Classifiers!$E$5="",0,IF(ISNUMBER(SEARCH(Classifiers!$E$5,E234)),1,0))+IF(Classifiers!$F$5="",0,IF(ISNUMBER(SEARCH(Classifiers!$F$5,E234)),1,0))+IF(Classifiers!$G$5="",0,IF(ISNUMBER(SEARCH(Classifiers!$G$5,E234)),1,0)))&gt;0,1,0))</f>
        <v/>
      </c>
      <c r="K234" s="12">
        <f>IF(H234&lt;&gt;1,0,IF((IF(Classifiers!$B$6="",0,IF(ISNUMBER(SEARCH(Classifiers!$B$6,E234)),1,0))+IF(Classifiers!$C$6="",0,IF(ISNUMBER(SEARCH(Classifiers!$C$6,E234)),1,0))+IF(Classifiers!$D$6="",0,IF(ISNUMBER(SEARCH(Classifiers!$D$6,E234)),1,0))+IF(Classifiers!$E$6="",0,IF(ISNUMBER(SEARCH(Classifiers!$E$6,E234)),1,0))+IF(Classifiers!$F$6="",0,IF(ISNUMBER(SEARCH(Classifiers!$F$6,E234)),1,0))+IF(Classifiers!$G$6="",0,IF(ISNUMBER(SEARCH(Classifiers!$G$6,E234)),1,0)))&gt;0,1,0))</f>
        <v/>
      </c>
      <c r="L234" s="12">
        <f>IF(H234&lt;&gt;1,0,IF((IF(Classifiers!$B$7="",0,IF(ISNUMBER(SEARCH(Classifiers!$B$7,E234)),1,0))+IF(Classifiers!$C$7="",0,IF(ISNUMBER(SEARCH(Classifiers!$C$7,E234)),1,0))+IF(Classifiers!$D$7="",0,IF(ISNUMBER(SEARCH(Classifiers!$D$7,E234)),1,0))+IF(Classifiers!$E$7="",0,IF(ISNUMBER(SEARCH(Classifiers!$E$7,E234)),1,0))+IF(Classifiers!$F$7="",0,IF(ISNUMBER(SEARCH(Classifiers!$F$7,E234)),1,0))+IF(Classifiers!$G$7="",0,IF(ISNUMBER(SEARCH(Classifiers!$G$7,E234)),1,0)))&gt;0,1,0))</f>
        <v/>
      </c>
      <c r="M234" s="12">
        <f>IF(H234&lt;&gt;1,0,IF((IF(Classifiers!$B$8="",0,IF(ISNUMBER(SEARCH(Classifiers!$B$8,E234)),1,0))+IF(Classifiers!$C$8="",0,IF(ISNUMBER(SEARCH(Classifiers!$C$8,E234)),1,0))+IF(Classifiers!$D$8="",0,IF(ISNUMBER(SEARCH(Classifiers!$D$8,E234)),1,0))+IF(Classifiers!$E$8="",0,IF(ISNUMBER(SEARCH(Classifiers!$E$8,E234)),1,0))+IF(Classifiers!$F$8="",0,IF(ISNUMBER(SEARCH(Classifiers!$F$8,E234)),1,0))+IF(Classifiers!$G$8="",0,IF(ISNUMBER(SEARCH(Classifiers!$G$8,E234)),1,0)))&gt;0,1,0))</f>
        <v/>
      </c>
      <c r="N234" s="12">
        <f>IF(H234&lt;&gt;1,0,IF((IF(Classifiers!$B$9="",0,IF(ISNUMBER(SEARCH(Classifiers!$B$9,E234)),1,0))+IF(Classifiers!$C$9="",0,IF(ISNUMBER(SEARCH(Classifiers!$C$9,E234)),1,0))+IF(Classifiers!$D$9="",0,IF(ISNUMBER(SEARCH(Classifiers!$D$9,E234)),1,0))+IF(Classifiers!$E$9="",0,IF(ISNUMBER(SEARCH(Classifiers!$E$9,E234)),1,0))+IF(Classifiers!$F$9="",0,IF(ISNUMBER(SEARCH(Classifiers!$F$9,E234)),1,0))+IF(Classifiers!$G$9="",0,IF(ISNUMBER(SEARCH(Classifiers!$G$9,E234)),1,0)))&gt;0,1,0))</f>
        <v/>
      </c>
      <c r="O234" s="12">
        <f>IF(H234&lt;&gt;1,0,IF((IF(Classifiers!$B$10="",0,IF(ISNUMBER(SEARCH(Classifiers!$B$10,E234)),1,0))+IF(Classifiers!$C$10="",0,IF(ISNUMBER(SEARCH(Classifiers!$C$10,E234)),1,0))+IF(Classifiers!$D$10="",0,IF(ISNUMBER(SEARCH(Classifiers!$D$10,E234)),1,0))+IF(Classifiers!$E$10="",0,IF(ISNUMBER(SEARCH(Classifiers!$E$10,E234)),1,0))+IF(Classifiers!$F$10="",0,IF(ISNUMBER(SEARCH(Classifiers!$F$10,E234)),1,0))+IF(Classifiers!$G$10="",0,IF(ISNUMBER(SEARCH(Classifiers!$G$10,E234)),1,0)))&gt;0,1,0))</f>
        <v/>
      </c>
      <c r="P234" s="12">
        <f>IF(H234&lt;&gt;1,0,IF((IF(Classifiers!$B$11="",0,IF(ISNUMBER(SEARCH(Classifiers!$B$11,E234)),1,0))+IF(Classifiers!$C$11="",0,IF(ISNUMBER(SEARCH(Classifiers!$C$11,E234)),1,0))+IF(Classifiers!$D$11="",0,IF(ISNUMBER(SEARCH(Classifiers!$D$11,E234)),1,0))+IF(Classifiers!$E$11="",0,IF(ISNUMBER(SEARCH(Classifiers!$E$11,E234)),1,0))+IF(Classifiers!$F$11="",0,IF(ISNUMBER(SEARCH(Classifiers!$F$11,E234)),1,0))+IF(Classifiers!$G$11="",0,IF(ISNUMBER(SEARCH(Classifiers!$G$11,E234)),1,0)))&gt;0,1,0))</f>
        <v/>
      </c>
      <c r="Q234" s="12">
        <f>IF(H234&lt;&gt;1,0,IF((IF(Classifiers!$B$12="",0,IF(ISNUMBER(SEARCH(Classifiers!$B$12,E234)),1,0))+IF(Classifiers!$C$12="",0,IF(ISNUMBER(SEARCH(Classifiers!$C$12,E234)),1,0))+IF(Classifiers!$D$12="",0,IF(ISNUMBER(SEARCH(Classifiers!$D$12,E234)),1,0))+IF(Classifiers!$E$12="",0,IF(ISNUMBER(SEARCH(Classifiers!$E$12,E234)),1,0))+IF(Classifiers!$F$12="",0,IF(ISNUMBER(SEARCH(Classifiers!$F$12,E234)),1,0))+IF(Classifiers!$G$12="",0,IF(ISNUMBER(SEARCH(Classifiers!$G$12,E234)),1,0)))&gt;0,1,0))</f>
        <v/>
      </c>
      <c r="R234" s="12">
        <f>IF(H234&lt;&gt;1,0,IF((IF(Classifiers!$B$13="",0,IF(ISNUMBER(SEARCH(Classifiers!$B$13,E234)),1,0))+IF(Classifiers!$C$13="",0,IF(ISNUMBER(SEARCH(Classifiers!$C$13,E234)),1,0))+IF(Classifiers!$D$13="",0,IF(ISNUMBER(SEARCH(Classifiers!$D$13,E234)),1,0))+IF(Classifiers!$E$13="",0,IF(ISNUMBER(SEARCH(Classifiers!$E$13,E234)),1,0))+IF(Classifiers!$F$13="",0,IF(ISNUMBER(SEARCH(Classifiers!$F$13,E234)),1,0))+IF(Classifiers!$G$13="",0,IF(ISNUMBER(SEARCH(Classifiers!$G$13,E234)),1,0)))&gt;0,1,0))</f>
        <v/>
      </c>
      <c r="S234" s="12">
        <f>IF(H234&lt;&gt;1,0,IF((IF(Classifiers!$B$14="",0,IF(ISNUMBER(SEARCH(Classifiers!$B$14,E234)),1,0))+IF(Classifiers!$C$14="",0,IF(ISNUMBER(SEARCH(Classifiers!$C$14,E234)),1,0))+IF(Classifiers!$D$14="",0,IF(ISNUMBER(SEARCH(Classifiers!$D$14,E234)),1,0))+IF(Classifiers!$E$14="",0,IF(ISNUMBER(SEARCH(Classifiers!$E$14,E234)),1,0))+IF(Classifiers!$F$14="",0,IF(ISNUMBER(SEARCH(Classifiers!$F$14,E234)),1,0))+IF(Classifiers!$G$14="",0,IF(ISNUMBER(SEARCH(Classifiers!$G$14,E234)),1,0)))&gt;0,1,0))</f>
        <v/>
      </c>
      <c r="T234" s="12">
        <f>IF(H234&lt;&gt;1,0,IF((IF(Classifiers!$B$15="",0,IF(ISNUMBER(SEARCH(Classifiers!$B$15,E234)),1,0))+IF(Classifiers!$C$15="",0,IF(ISNUMBER(SEARCH(Classifiers!$C$15,E234)),1,0))+IF(Classifiers!$D$15="",0,IF(ISNUMBER(SEARCH(Classifiers!$D$15,E234)),1,0))+IF(Classifiers!$E$15="",0,IF(ISNUMBER(SEARCH(Classifiers!$E$15,E234)),1,0))+IF(Classifiers!$F$15="",0,IF(ISNUMBER(SEARCH(Classifiers!$F$15,E234)),1,0))+IF(Classifiers!$G$15="",0,IF(ISNUMBER(SEARCH(Classifiers!$G$15,E234)),1,0)))&gt;0,1,0))</f>
        <v/>
      </c>
      <c r="U234" s="12">
        <f>IF(H234&lt;&gt;1,0,IF((IF(Classifiers!$B$16="",0,IF(ISNUMBER(SEARCH(Classifiers!$B$16,E234)),1,0))+IF(Classifiers!$C$16="",0,IF(ISNUMBER(SEARCH(Classifiers!$C$16,E234)),1,0))+IF(Classifiers!$D$16="",0,IF(ISNUMBER(SEARCH(Classifiers!$D$16,E234)),1,0))+IF(Classifiers!$E$16="",0,IF(ISNUMBER(SEARCH(Classifiers!$E$16,E234)),1,0))+IF(Classifiers!$F$16="",0,IF(ISNUMBER(SEARCH(Classifiers!$F$16,E234)),1,0))+IF(Classifiers!$G$16="",0,IF(ISNUMBER(SEARCH(Classifiers!$G$16,E234)),1,0)))&gt;0,1,0))</f>
        <v/>
      </c>
      <c r="V234" s="12">
        <f>IF(H234&lt;&gt;1,0,IF((IF(Classifiers!$B$17="",0,IF(ISNUMBER(SEARCH(Classifiers!$B$17,E234)),1,0))+IF(Classifiers!$C$17="",0,IF(ISNUMBER(SEARCH(Classifiers!$C$17,E234)),1,0))+IF(Classifiers!$D$17="",0,IF(ISNUMBER(SEARCH(Classifiers!$D$17,E234)),1,0))+IF(Classifiers!$E$17="",0,IF(ISNUMBER(SEARCH(Classifiers!$E$17,E234)),1,0))+IF(Classifiers!$F$17="",0,IF(ISNUMBER(SEARCH(Classifiers!$F$17,E234)),1,0))+IF(Classifiers!$G$17="",0,IF(ISNUMBER(SEARCH(Classifiers!$G$17,E234)),1,0)))&gt;0,1,0))</f>
        <v/>
      </c>
      <c r="W234" s="12">
        <f>IF(H234&lt;&gt;1,0,IF((IF(Classifiers!$B$18="",0,IF(ISNUMBER(SEARCH(Classifiers!$B$18,E234)),1,0))+IF(Classifiers!$C$18="",0,IF(ISNUMBER(SEARCH(Classifiers!$C$18,E234)),1,0))+IF(Classifiers!$D$18="",0,IF(ISNUMBER(SEARCH(Classifiers!$D$18,E234)),1,0))+IF(Classifiers!$E$18="",0,IF(ISNUMBER(SEARCH(Classifiers!$E$18,E234)),1,0))+IF(Classifiers!$F$18="",0,IF(ISNUMBER(SEARCH(Classifiers!$F$18,E234)),1,0))+IF(Classifiers!$G$18="",0,IF(ISNUMBER(SEARCH(Classifiers!$G$18,E234)),1,0)))&gt;0,1,0))</f>
        <v/>
      </c>
    </row>
    <row r="235">
      <c r="A235" s="8" t="n"/>
      <c r="B235" s="11" t="n"/>
      <c r="C235" s="6">
        <f>IF(A235="","",TRIM(RIGHT(SUBSTITUTE(A235,"/",REPT(" ",250)),250)))</f>
        <v/>
      </c>
      <c r="D235" s="6">
        <f>IF(C235="","",IF(ISNUMBER(SEARCH(".",C235)),LOWER("."&amp;TRIM(RIGHT(SUBSTITUTE(C235,".",REPT(" ",250)),250))),""))</f>
        <v/>
      </c>
      <c r="E235" s="6">
        <f>IF(C235="","",TRIM(SUBSTITUTE(SUBSTITUTE(SUBSTITUTE(SUBSTITUTE(SUBSTITUTE(SUBSTITUTE(SUBSTITUTE(SUBSTITUTE(SUBSTITUTE(SUBSTITUTE(SUBSTITUTE(SUBSTITUTE(SUBSTITUTE(SUBSTITUTE(SUBSTITUTE(SUBSTITUTE(SUBSTITUTE(SUBSTITUTE(SUBSTITUTE(SUBSTITUTE(LOWER(LEFT(C235,LEN(C235)-LEN(D235))),"_"," "),"-"," "),"."," "),","," "),"("," "),")"," "),"["," "),"]"," "),"&amp;"," "),"+"," "),"@"," "),"#"," "),"!"," "),"'"," "),"/"," "),":"," "),";"," "),"="," "),"~"," "),"%"," ")))</f>
        <v/>
      </c>
      <c r="F235" s="6">
        <f>IF(C235="","",IF(COUNTIF(Classifiers!$A$23:$A$40,D235)&gt;0,1,0))</f>
        <v/>
      </c>
      <c r="G235" s="6">
        <f>IF(C235="","",IF(COUNTIF(Classifiers!$C$23:$C$30,D235)&gt;0,IF((IF(ISNUMBER(SEARCH(Classifiers!$E$23,E235)),1,0)+IF(ISNUMBER(SEARCH(Classifiers!$E$24,E235)),1,0)+IF(ISNUMBER(SEARCH(Classifiers!$E$25,E235)),1,0)+IF(ISNUMBER(SEARCH(Classifiers!$E$26,E235)),1,0)+IF(ISNUMBER(SEARCH(Classifiers!$E$27,E235)),1,0)+IF(ISNUMBER(SEARCH(Classifiers!$E$28,E235)),1,0)+IF(ISNUMBER(SEARCH(Classifiers!$E$29,E235)),1,0)+IF(ISNUMBER(SEARCH(Classifiers!$E$30,E235)),1,0))&gt;0,1,0),0))</f>
        <v/>
      </c>
      <c r="H235" s="6">
        <f>IF(C235="","",IF(OR(LEFT(C235,1)=".",AND(F235=0,G235=0)),0,1))</f>
        <v/>
      </c>
      <c r="I235" s="6">
        <f>IF(H235&lt;&gt;1,"",IF(SUM(J235:W235)=0,"unclassified",INDEX(Classifiers!$A$5:$A$18,MATCH(1,J235:W235,0),1)))</f>
        <v/>
      </c>
      <c r="J235" s="12">
        <f>IF(H235&lt;&gt;1,0,IF((IF(Classifiers!$B$5="",0,IF(ISNUMBER(SEARCH(Classifiers!$B$5,E235)),1,0))+IF(Classifiers!$C$5="",0,IF(ISNUMBER(SEARCH(Classifiers!$C$5,E235)),1,0))+IF(Classifiers!$D$5="",0,IF(ISNUMBER(SEARCH(Classifiers!$D$5,E235)),1,0))+IF(Classifiers!$E$5="",0,IF(ISNUMBER(SEARCH(Classifiers!$E$5,E235)),1,0))+IF(Classifiers!$F$5="",0,IF(ISNUMBER(SEARCH(Classifiers!$F$5,E235)),1,0))+IF(Classifiers!$G$5="",0,IF(ISNUMBER(SEARCH(Classifiers!$G$5,E235)),1,0)))&gt;0,1,0))</f>
        <v/>
      </c>
      <c r="K235" s="12">
        <f>IF(H235&lt;&gt;1,0,IF((IF(Classifiers!$B$6="",0,IF(ISNUMBER(SEARCH(Classifiers!$B$6,E235)),1,0))+IF(Classifiers!$C$6="",0,IF(ISNUMBER(SEARCH(Classifiers!$C$6,E235)),1,0))+IF(Classifiers!$D$6="",0,IF(ISNUMBER(SEARCH(Classifiers!$D$6,E235)),1,0))+IF(Classifiers!$E$6="",0,IF(ISNUMBER(SEARCH(Classifiers!$E$6,E235)),1,0))+IF(Classifiers!$F$6="",0,IF(ISNUMBER(SEARCH(Classifiers!$F$6,E235)),1,0))+IF(Classifiers!$G$6="",0,IF(ISNUMBER(SEARCH(Classifiers!$G$6,E235)),1,0)))&gt;0,1,0))</f>
        <v/>
      </c>
      <c r="L235" s="12">
        <f>IF(H235&lt;&gt;1,0,IF((IF(Classifiers!$B$7="",0,IF(ISNUMBER(SEARCH(Classifiers!$B$7,E235)),1,0))+IF(Classifiers!$C$7="",0,IF(ISNUMBER(SEARCH(Classifiers!$C$7,E235)),1,0))+IF(Classifiers!$D$7="",0,IF(ISNUMBER(SEARCH(Classifiers!$D$7,E235)),1,0))+IF(Classifiers!$E$7="",0,IF(ISNUMBER(SEARCH(Classifiers!$E$7,E235)),1,0))+IF(Classifiers!$F$7="",0,IF(ISNUMBER(SEARCH(Classifiers!$F$7,E235)),1,0))+IF(Classifiers!$G$7="",0,IF(ISNUMBER(SEARCH(Classifiers!$G$7,E235)),1,0)))&gt;0,1,0))</f>
        <v/>
      </c>
      <c r="M235" s="12">
        <f>IF(H235&lt;&gt;1,0,IF((IF(Classifiers!$B$8="",0,IF(ISNUMBER(SEARCH(Classifiers!$B$8,E235)),1,0))+IF(Classifiers!$C$8="",0,IF(ISNUMBER(SEARCH(Classifiers!$C$8,E235)),1,0))+IF(Classifiers!$D$8="",0,IF(ISNUMBER(SEARCH(Classifiers!$D$8,E235)),1,0))+IF(Classifiers!$E$8="",0,IF(ISNUMBER(SEARCH(Classifiers!$E$8,E235)),1,0))+IF(Classifiers!$F$8="",0,IF(ISNUMBER(SEARCH(Classifiers!$F$8,E235)),1,0))+IF(Classifiers!$G$8="",0,IF(ISNUMBER(SEARCH(Classifiers!$G$8,E235)),1,0)))&gt;0,1,0))</f>
        <v/>
      </c>
      <c r="N235" s="12">
        <f>IF(H235&lt;&gt;1,0,IF((IF(Classifiers!$B$9="",0,IF(ISNUMBER(SEARCH(Classifiers!$B$9,E235)),1,0))+IF(Classifiers!$C$9="",0,IF(ISNUMBER(SEARCH(Classifiers!$C$9,E235)),1,0))+IF(Classifiers!$D$9="",0,IF(ISNUMBER(SEARCH(Classifiers!$D$9,E235)),1,0))+IF(Classifiers!$E$9="",0,IF(ISNUMBER(SEARCH(Classifiers!$E$9,E235)),1,0))+IF(Classifiers!$F$9="",0,IF(ISNUMBER(SEARCH(Classifiers!$F$9,E235)),1,0))+IF(Classifiers!$G$9="",0,IF(ISNUMBER(SEARCH(Classifiers!$G$9,E235)),1,0)))&gt;0,1,0))</f>
        <v/>
      </c>
      <c r="O235" s="12">
        <f>IF(H235&lt;&gt;1,0,IF((IF(Classifiers!$B$10="",0,IF(ISNUMBER(SEARCH(Classifiers!$B$10,E235)),1,0))+IF(Classifiers!$C$10="",0,IF(ISNUMBER(SEARCH(Classifiers!$C$10,E235)),1,0))+IF(Classifiers!$D$10="",0,IF(ISNUMBER(SEARCH(Classifiers!$D$10,E235)),1,0))+IF(Classifiers!$E$10="",0,IF(ISNUMBER(SEARCH(Classifiers!$E$10,E235)),1,0))+IF(Classifiers!$F$10="",0,IF(ISNUMBER(SEARCH(Classifiers!$F$10,E235)),1,0))+IF(Classifiers!$G$10="",0,IF(ISNUMBER(SEARCH(Classifiers!$G$10,E235)),1,0)))&gt;0,1,0))</f>
        <v/>
      </c>
      <c r="P235" s="12">
        <f>IF(H235&lt;&gt;1,0,IF((IF(Classifiers!$B$11="",0,IF(ISNUMBER(SEARCH(Classifiers!$B$11,E235)),1,0))+IF(Classifiers!$C$11="",0,IF(ISNUMBER(SEARCH(Classifiers!$C$11,E235)),1,0))+IF(Classifiers!$D$11="",0,IF(ISNUMBER(SEARCH(Classifiers!$D$11,E235)),1,0))+IF(Classifiers!$E$11="",0,IF(ISNUMBER(SEARCH(Classifiers!$E$11,E235)),1,0))+IF(Classifiers!$F$11="",0,IF(ISNUMBER(SEARCH(Classifiers!$F$11,E235)),1,0))+IF(Classifiers!$G$11="",0,IF(ISNUMBER(SEARCH(Classifiers!$G$11,E235)),1,0)))&gt;0,1,0))</f>
        <v/>
      </c>
      <c r="Q235" s="12">
        <f>IF(H235&lt;&gt;1,0,IF((IF(Classifiers!$B$12="",0,IF(ISNUMBER(SEARCH(Classifiers!$B$12,E235)),1,0))+IF(Classifiers!$C$12="",0,IF(ISNUMBER(SEARCH(Classifiers!$C$12,E235)),1,0))+IF(Classifiers!$D$12="",0,IF(ISNUMBER(SEARCH(Classifiers!$D$12,E235)),1,0))+IF(Classifiers!$E$12="",0,IF(ISNUMBER(SEARCH(Classifiers!$E$12,E235)),1,0))+IF(Classifiers!$F$12="",0,IF(ISNUMBER(SEARCH(Classifiers!$F$12,E235)),1,0))+IF(Classifiers!$G$12="",0,IF(ISNUMBER(SEARCH(Classifiers!$G$12,E235)),1,0)))&gt;0,1,0))</f>
        <v/>
      </c>
      <c r="R235" s="12">
        <f>IF(H235&lt;&gt;1,0,IF((IF(Classifiers!$B$13="",0,IF(ISNUMBER(SEARCH(Classifiers!$B$13,E235)),1,0))+IF(Classifiers!$C$13="",0,IF(ISNUMBER(SEARCH(Classifiers!$C$13,E235)),1,0))+IF(Classifiers!$D$13="",0,IF(ISNUMBER(SEARCH(Classifiers!$D$13,E235)),1,0))+IF(Classifiers!$E$13="",0,IF(ISNUMBER(SEARCH(Classifiers!$E$13,E235)),1,0))+IF(Classifiers!$F$13="",0,IF(ISNUMBER(SEARCH(Classifiers!$F$13,E235)),1,0))+IF(Classifiers!$G$13="",0,IF(ISNUMBER(SEARCH(Classifiers!$G$13,E235)),1,0)))&gt;0,1,0))</f>
        <v/>
      </c>
      <c r="S235" s="12">
        <f>IF(H235&lt;&gt;1,0,IF((IF(Classifiers!$B$14="",0,IF(ISNUMBER(SEARCH(Classifiers!$B$14,E235)),1,0))+IF(Classifiers!$C$14="",0,IF(ISNUMBER(SEARCH(Classifiers!$C$14,E235)),1,0))+IF(Classifiers!$D$14="",0,IF(ISNUMBER(SEARCH(Classifiers!$D$14,E235)),1,0))+IF(Classifiers!$E$14="",0,IF(ISNUMBER(SEARCH(Classifiers!$E$14,E235)),1,0))+IF(Classifiers!$F$14="",0,IF(ISNUMBER(SEARCH(Classifiers!$F$14,E235)),1,0))+IF(Classifiers!$G$14="",0,IF(ISNUMBER(SEARCH(Classifiers!$G$14,E235)),1,0)))&gt;0,1,0))</f>
        <v/>
      </c>
      <c r="T235" s="12">
        <f>IF(H235&lt;&gt;1,0,IF((IF(Classifiers!$B$15="",0,IF(ISNUMBER(SEARCH(Classifiers!$B$15,E235)),1,0))+IF(Classifiers!$C$15="",0,IF(ISNUMBER(SEARCH(Classifiers!$C$15,E235)),1,0))+IF(Classifiers!$D$15="",0,IF(ISNUMBER(SEARCH(Classifiers!$D$15,E235)),1,0))+IF(Classifiers!$E$15="",0,IF(ISNUMBER(SEARCH(Classifiers!$E$15,E235)),1,0))+IF(Classifiers!$F$15="",0,IF(ISNUMBER(SEARCH(Classifiers!$F$15,E235)),1,0))+IF(Classifiers!$G$15="",0,IF(ISNUMBER(SEARCH(Classifiers!$G$15,E235)),1,0)))&gt;0,1,0))</f>
        <v/>
      </c>
      <c r="U235" s="12">
        <f>IF(H235&lt;&gt;1,0,IF((IF(Classifiers!$B$16="",0,IF(ISNUMBER(SEARCH(Classifiers!$B$16,E235)),1,0))+IF(Classifiers!$C$16="",0,IF(ISNUMBER(SEARCH(Classifiers!$C$16,E235)),1,0))+IF(Classifiers!$D$16="",0,IF(ISNUMBER(SEARCH(Classifiers!$D$16,E235)),1,0))+IF(Classifiers!$E$16="",0,IF(ISNUMBER(SEARCH(Classifiers!$E$16,E235)),1,0))+IF(Classifiers!$F$16="",0,IF(ISNUMBER(SEARCH(Classifiers!$F$16,E235)),1,0))+IF(Classifiers!$G$16="",0,IF(ISNUMBER(SEARCH(Classifiers!$G$16,E235)),1,0)))&gt;0,1,0))</f>
        <v/>
      </c>
      <c r="V235" s="12">
        <f>IF(H235&lt;&gt;1,0,IF((IF(Classifiers!$B$17="",0,IF(ISNUMBER(SEARCH(Classifiers!$B$17,E235)),1,0))+IF(Classifiers!$C$17="",0,IF(ISNUMBER(SEARCH(Classifiers!$C$17,E235)),1,0))+IF(Classifiers!$D$17="",0,IF(ISNUMBER(SEARCH(Classifiers!$D$17,E235)),1,0))+IF(Classifiers!$E$17="",0,IF(ISNUMBER(SEARCH(Classifiers!$E$17,E235)),1,0))+IF(Classifiers!$F$17="",0,IF(ISNUMBER(SEARCH(Classifiers!$F$17,E235)),1,0))+IF(Classifiers!$G$17="",0,IF(ISNUMBER(SEARCH(Classifiers!$G$17,E235)),1,0)))&gt;0,1,0))</f>
        <v/>
      </c>
      <c r="W235" s="12">
        <f>IF(H235&lt;&gt;1,0,IF((IF(Classifiers!$B$18="",0,IF(ISNUMBER(SEARCH(Classifiers!$B$18,E235)),1,0))+IF(Classifiers!$C$18="",0,IF(ISNUMBER(SEARCH(Classifiers!$C$18,E235)),1,0))+IF(Classifiers!$D$18="",0,IF(ISNUMBER(SEARCH(Classifiers!$D$18,E235)),1,0))+IF(Classifiers!$E$18="",0,IF(ISNUMBER(SEARCH(Classifiers!$E$18,E235)),1,0))+IF(Classifiers!$F$18="",0,IF(ISNUMBER(SEARCH(Classifiers!$F$18,E235)),1,0))+IF(Classifiers!$G$18="",0,IF(ISNUMBER(SEARCH(Classifiers!$G$18,E235)),1,0)))&gt;0,1,0))</f>
        <v/>
      </c>
    </row>
    <row r="236">
      <c r="A236" s="8" t="n"/>
      <c r="B236" s="11" t="n"/>
      <c r="C236" s="6">
        <f>IF(A236="","",TRIM(RIGHT(SUBSTITUTE(A236,"/",REPT(" ",250)),250)))</f>
        <v/>
      </c>
      <c r="D236" s="6">
        <f>IF(C236="","",IF(ISNUMBER(SEARCH(".",C236)),LOWER("."&amp;TRIM(RIGHT(SUBSTITUTE(C236,".",REPT(" ",250)),250))),""))</f>
        <v/>
      </c>
      <c r="E236" s="6">
        <f>IF(C236="","",TRIM(SUBSTITUTE(SUBSTITUTE(SUBSTITUTE(SUBSTITUTE(SUBSTITUTE(SUBSTITUTE(SUBSTITUTE(SUBSTITUTE(SUBSTITUTE(SUBSTITUTE(SUBSTITUTE(SUBSTITUTE(SUBSTITUTE(SUBSTITUTE(SUBSTITUTE(SUBSTITUTE(SUBSTITUTE(SUBSTITUTE(SUBSTITUTE(SUBSTITUTE(LOWER(LEFT(C236,LEN(C236)-LEN(D236))),"_"," "),"-"," "),"."," "),","," "),"("," "),")"," "),"["," "),"]"," "),"&amp;"," "),"+"," "),"@"," "),"#"," "),"!"," "),"'"," "),"/"," "),":"," "),";"," "),"="," "),"~"," "),"%"," ")))</f>
        <v/>
      </c>
      <c r="F236" s="6">
        <f>IF(C236="","",IF(COUNTIF(Classifiers!$A$23:$A$40,D236)&gt;0,1,0))</f>
        <v/>
      </c>
      <c r="G236" s="6">
        <f>IF(C236="","",IF(COUNTIF(Classifiers!$C$23:$C$30,D236)&gt;0,IF((IF(ISNUMBER(SEARCH(Classifiers!$E$23,E236)),1,0)+IF(ISNUMBER(SEARCH(Classifiers!$E$24,E236)),1,0)+IF(ISNUMBER(SEARCH(Classifiers!$E$25,E236)),1,0)+IF(ISNUMBER(SEARCH(Classifiers!$E$26,E236)),1,0)+IF(ISNUMBER(SEARCH(Classifiers!$E$27,E236)),1,0)+IF(ISNUMBER(SEARCH(Classifiers!$E$28,E236)),1,0)+IF(ISNUMBER(SEARCH(Classifiers!$E$29,E236)),1,0)+IF(ISNUMBER(SEARCH(Classifiers!$E$30,E236)),1,0))&gt;0,1,0),0))</f>
        <v/>
      </c>
      <c r="H236" s="6">
        <f>IF(C236="","",IF(OR(LEFT(C236,1)=".",AND(F236=0,G236=0)),0,1))</f>
        <v/>
      </c>
      <c r="I236" s="6">
        <f>IF(H236&lt;&gt;1,"",IF(SUM(J236:W236)=0,"unclassified",INDEX(Classifiers!$A$5:$A$18,MATCH(1,J236:W236,0),1)))</f>
        <v/>
      </c>
      <c r="J236" s="12">
        <f>IF(H236&lt;&gt;1,0,IF((IF(Classifiers!$B$5="",0,IF(ISNUMBER(SEARCH(Classifiers!$B$5,E236)),1,0))+IF(Classifiers!$C$5="",0,IF(ISNUMBER(SEARCH(Classifiers!$C$5,E236)),1,0))+IF(Classifiers!$D$5="",0,IF(ISNUMBER(SEARCH(Classifiers!$D$5,E236)),1,0))+IF(Classifiers!$E$5="",0,IF(ISNUMBER(SEARCH(Classifiers!$E$5,E236)),1,0))+IF(Classifiers!$F$5="",0,IF(ISNUMBER(SEARCH(Classifiers!$F$5,E236)),1,0))+IF(Classifiers!$G$5="",0,IF(ISNUMBER(SEARCH(Classifiers!$G$5,E236)),1,0)))&gt;0,1,0))</f>
        <v/>
      </c>
      <c r="K236" s="12">
        <f>IF(H236&lt;&gt;1,0,IF((IF(Classifiers!$B$6="",0,IF(ISNUMBER(SEARCH(Classifiers!$B$6,E236)),1,0))+IF(Classifiers!$C$6="",0,IF(ISNUMBER(SEARCH(Classifiers!$C$6,E236)),1,0))+IF(Classifiers!$D$6="",0,IF(ISNUMBER(SEARCH(Classifiers!$D$6,E236)),1,0))+IF(Classifiers!$E$6="",0,IF(ISNUMBER(SEARCH(Classifiers!$E$6,E236)),1,0))+IF(Classifiers!$F$6="",0,IF(ISNUMBER(SEARCH(Classifiers!$F$6,E236)),1,0))+IF(Classifiers!$G$6="",0,IF(ISNUMBER(SEARCH(Classifiers!$G$6,E236)),1,0)))&gt;0,1,0))</f>
        <v/>
      </c>
      <c r="L236" s="12">
        <f>IF(H236&lt;&gt;1,0,IF((IF(Classifiers!$B$7="",0,IF(ISNUMBER(SEARCH(Classifiers!$B$7,E236)),1,0))+IF(Classifiers!$C$7="",0,IF(ISNUMBER(SEARCH(Classifiers!$C$7,E236)),1,0))+IF(Classifiers!$D$7="",0,IF(ISNUMBER(SEARCH(Classifiers!$D$7,E236)),1,0))+IF(Classifiers!$E$7="",0,IF(ISNUMBER(SEARCH(Classifiers!$E$7,E236)),1,0))+IF(Classifiers!$F$7="",0,IF(ISNUMBER(SEARCH(Classifiers!$F$7,E236)),1,0))+IF(Classifiers!$G$7="",0,IF(ISNUMBER(SEARCH(Classifiers!$G$7,E236)),1,0)))&gt;0,1,0))</f>
        <v/>
      </c>
      <c r="M236" s="12">
        <f>IF(H236&lt;&gt;1,0,IF((IF(Classifiers!$B$8="",0,IF(ISNUMBER(SEARCH(Classifiers!$B$8,E236)),1,0))+IF(Classifiers!$C$8="",0,IF(ISNUMBER(SEARCH(Classifiers!$C$8,E236)),1,0))+IF(Classifiers!$D$8="",0,IF(ISNUMBER(SEARCH(Classifiers!$D$8,E236)),1,0))+IF(Classifiers!$E$8="",0,IF(ISNUMBER(SEARCH(Classifiers!$E$8,E236)),1,0))+IF(Classifiers!$F$8="",0,IF(ISNUMBER(SEARCH(Classifiers!$F$8,E236)),1,0))+IF(Classifiers!$G$8="",0,IF(ISNUMBER(SEARCH(Classifiers!$G$8,E236)),1,0)))&gt;0,1,0))</f>
        <v/>
      </c>
      <c r="N236" s="12">
        <f>IF(H236&lt;&gt;1,0,IF((IF(Classifiers!$B$9="",0,IF(ISNUMBER(SEARCH(Classifiers!$B$9,E236)),1,0))+IF(Classifiers!$C$9="",0,IF(ISNUMBER(SEARCH(Classifiers!$C$9,E236)),1,0))+IF(Classifiers!$D$9="",0,IF(ISNUMBER(SEARCH(Classifiers!$D$9,E236)),1,0))+IF(Classifiers!$E$9="",0,IF(ISNUMBER(SEARCH(Classifiers!$E$9,E236)),1,0))+IF(Classifiers!$F$9="",0,IF(ISNUMBER(SEARCH(Classifiers!$F$9,E236)),1,0))+IF(Classifiers!$G$9="",0,IF(ISNUMBER(SEARCH(Classifiers!$G$9,E236)),1,0)))&gt;0,1,0))</f>
        <v/>
      </c>
      <c r="O236" s="12">
        <f>IF(H236&lt;&gt;1,0,IF((IF(Classifiers!$B$10="",0,IF(ISNUMBER(SEARCH(Classifiers!$B$10,E236)),1,0))+IF(Classifiers!$C$10="",0,IF(ISNUMBER(SEARCH(Classifiers!$C$10,E236)),1,0))+IF(Classifiers!$D$10="",0,IF(ISNUMBER(SEARCH(Classifiers!$D$10,E236)),1,0))+IF(Classifiers!$E$10="",0,IF(ISNUMBER(SEARCH(Classifiers!$E$10,E236)),1,0))+IF(Classifiers!$F$10="",0,IF(ISNUMBER(SEARCH(Classifiers!$F$10,E236)),1,0))+IF(Classifiers!$G$10="",0,IF(ISNUMBER(SEARCH(Classifiers!$G$10,E236)),1,0)))&gt;0,1,0))</f>
        <v/>
      </c>
      <c r="P236" s="12">
        <f>IF(H236&lt;&gt;1,0,IF((IF(Classifiers!$B$11="",0,IF(ISNUMBER(SEARCH(Classifiers!$B$11,E236)),1,0))+IF(Classifiers!$C$11="",0,IF(ISNUMBER(SEARCH(Classifiers!$C$11,E236)),1,0))+IF(Classifiers!$D$11="",0,IF(ISNUMBER(SEARCH(Classifiers!$D$11,E236)),1,0))+IF(Classifiers!$E$11="",0,IF(ISNUMBER(SEARCH(Classifiers!$E$11,E236)),1,0))+IF(Classifiers!$F$11="",0,IF(ISNUMBER(SEARCH(Classifiers!$F$11,E236)),1,0))+IF(Classifiers!$G$11="",0,IF(ISNUMBER(SEARCH(Classifiers!$G$11,E236)),1,0)))&gt;0,1,0))</f>
        <v/>
      </c>
      <c r="Q236" s="12">
        <f>IF(H236&lt;&gt;1,0,IF((IF(Classifiers!$B$12="",0,IF(ISNUMBER(SEARCH(Classifiers!$B$12,E236)),1,0))+IF(Classifiers!$C$12="",0,IF(ISNUMBER(SEARCH(Classifiers!$C$12,E236)),1,0))+IF(Classifiers!$D$12="",0,IF(ISNUMBER(SEARCH(Classifiers!$D$12,E236)),1,0))+IF(Classifiers!$E$12="",0,IF(ISNUMBER(SEARCH(Classifiers!$E$12,E236)),1,0))+IF(Classifiers!$F$12="",0,IF(ISNUMBER(SEARCH(Classifiers!$F$12,E236)),1,0))+IF(Classifiers!$G$12="",0,IF(ISNUMBER(SEARCH(Classifiers!$G$12,E236)),1,0)))&gt;0,1,0))</f>
        <v/>
      </c>
      <c r="R236" s="12">
        <f>IF(H236&lt;&gt;1,0,IF((IF(Classifiers!$B$13="",0,IF(ISNUMBER(SEARCH(Classifiers!$B$13,E236)),1,0))+IF(Classifiers!$C$13="",0,IF(ISNUMBER(SEARCH(Classifiers!$C$13,E236)),1,0))+IF(Classifiers!$D$13="",0,IF(ISNUMBER(SEARCH(Classifiers!$D$13,E236)),1,0))+IF(Classifiers!$E$13="",0,IF(ISNUMBER(SEARCH(Classifiers!$E$13,E236)),1,0))+IF(Classifiers!$F$13="",0,IF(ISNUMBER(SEARCH(Classifiers!$F$13,E236)),1,0))+IF(Classifiers!$G$13="",0,IF(ISNUMBER(SEARCH(Classifiers!$G$13,E236)),1,0)))&gt;0,1,0))</f>
        <v/>
      </c>
      <c r="S236" s="12">
        <f>IF(H236&lt;&gt;1,0,IF((IF(Classifiers!$B$14="",0,IF(ISNUMBER(SEARCH(Classifiers!$B$14,E236)),1,0))+IF(Classifiers!$C$14="",0,IF(ISNUMBER(SEARCH(Classifiers!$C$14,E236)),1,0))+IF(Classifiers!$D$14="",0,IF(ISNUMBER(SEARCH(Classifiers!$D$14,E236)),1,0))+IF(Classifiers!$E$14="",0,IF(ISNUMBER(SEARCH(Classifiers!$E$14,E236)),1,0))+IF(Classifiers!$F$14="",0,IF(ISNUMBER(SEARCH(Classifiers!$F$14,E236)),1,0))+IF(Classifiers!$G$14="",0,IF(ISNUMBER(SEARCH(Classifiers!$G$14,E236)),1,0)))&gt;0,1,0))</f>
        <v/>
      </c>
      <c r="T236" s="12">
        <f>IF(H236&lt;&gt;1,0,IF((IF(Classifiers!$B$15="",0,IF(ISNUMBER(SEARCH(Classifiers!$B$15,E236)),1,0))+IF(Classifiers!$C$15="",0,IF(ISNUMBER(SEARCH(Classifiers!$C$15,E236)),1,0))+IF(Classifiers!$D$15="",0,IF(ISNUMBER(SEARCH(Classifiers!$D$15,E236)),1,0))+IF(Classifiers!$E$15="",0,IF(ISNUMBER(SEARCH(Classifiers!$E$15,E236)),1,0))+IF(Classifiers!$F$15="",0,IF(ISNUMBER(SEARCH(Classifiers!$F$15,E236)),1,0))+IF(Classifiers!$G$15="",0,IF(ISNUMBER(SEARCH(Classifiers!$G$15,E236)),1,0)))&gt;0,1,0))</f>
        <v/>
      </c>
      <c r="U236" s="12">
        <f>IF(H236&lt;&gt;1,0,IF((IF(Classifiers!$B$16="",0,IF(ISNUMBER(SEARCH(Classifiers!$B$16,E236)),1,0))+IF(Classifiers!$C$16="",0,IF(ISNUMBER(SEARCH(Classifiers!$C$16,E236)),1,0))+IF(Classifiers!$D$16="",0,IF(ISNUMBER(SEARCH(Classifiers!$D$16,E236)),1,0))+IF(Classifiers!$E$16="",0,IF(ISNUMBER(SEARCH(Classifiers!$E$16,E236)),1,0))+IF(Classifiers!$F$16="",0,IF(ISNUMBER(SEARCH(Classifiers!$F$16,E236)),1,0))+IF(Classifiers!$G$16="",0,IF(ISNUMBER(SEARCH(Classifiers!$G$16,E236)),1,0)))&gt;0,1,0))</f>
        <v/>
      </c>
      <c r="V236" s="12">
        <f>IF(H236&lt;&gt;1,0,IF((IF(Classifiers!$B$17="",0,IF(ISNUMBER(SEARCH(Classifiers!$B$17,E236)),1,0))+IF(Classifiers!$C$17="",0,IF(ISNUMBER(SEARCH(Classifiers!$C$17,E236)),1,0))+IF(Classifiers!$D$17="",0,IF(ISNUMBER(SEARCH(Classifiers!$D$17,E236)),1,0))+IF(Classifiers!$E$17="",0,IF(ISNUMBER(SEARCH(Classifiers!$E$17,E236)),1,0))+IF(Classifiers!$F$17="",0,IF(ISNUMBER(SEARCH(Classifiers!$F$17,E236)),1,0))+IF(Classifiers!$G$17="",0,IF(ISNUMBER(SEARCH(Classifiers!$G$17,E236)),1,0)))&gt;0,1,0))</f>
        <v/>
      </c>
      <c r="W236" s="12">
        <f>IF(H236&lt;&gt;1,0,IF((IF(Classifiers!$B$18="",0,IF(ISNUMBER(SEARCH(Classifiers!$B$18,E236)),1,0))+IF(Classifiers!$C$18="",0,IF(ISNUMBER(SEARCH(Classifiers!$C$18,E236)),1,0))+IF(Classifiers!$D$18="",0,IF(ISNUMBER(SEARCH(Classifiers!$D$18,E236)),1,0))+IF(Classifiers!$E$18="",0,IF(ISNUMBER(SEARCH(Classifiers!$E$18,E236)),1,0))+IF(Classifiers!$F$18="",0,IF(ISNUMBER(SEARCH(Classifiers!$F$18,E236)),1,0))+IF(Classifiers!$G$18="",0,IF(ISNUMBER(SEARCH(Classifiers!$G$18,E236)),1,0)))&gt;0,1,0))</f>
        <v/>
      </c>
    </row>
    <row r="237">
      <c r="A237" s="8" t="n"/>
      <c r="B237" s="11" t="n"/>
      <c r="C237" s="6">
        <f>IF(A237="","",TRIM(RIGHT(SUBSTITUTE(A237,"/",REPT(" ",250)),250)))</f>
        <v/>
      </c>
      <c r="D237" s="6">
        <f>IF(C237="","",IF(ISNUMBER(SEARCH(".",C237)),LOWER("."&amp;TRIM(RIGHT(SUBSTITUTE(C237,".",REPT(" ",250)),250))),""))</f>
        <v/>
      </c>
      <c r="E237" s="6">
        <f>IF(C237="","",TRIM(SUBSTITUTE(SUBSTITUTE(SUBSTITUTE(SUBSTITUTE(SUBSTITUTE(SUBSTITUTE(SUBSTITUTE(SUBSTITUTE(SUBSTITUTE(SUBSTITUTE(SUBSTITUTE(SUBSTITUTE(SUBSTITUTE(SUBSTITUTE(SUBSTITUTE(SUBSTITUTE(SUBSTITUTE(SUBSTITUTE(SUBSTITUTE(SUBSTITUTE(LOWER(LEFT(C237,LEN(C237)-LEN(D237))),"_"," "),"-"," "),"."," "),","," "),"("," "),")"," "),"["," "),"]"," "),"&amp;"," "),"+"," "),"@"," "),"#"," "),"!"," "),"'"," "),"/"," "),":"," "),";"," "),"="," "),"~"," "),"%"," ")))</f>
        <v/>
      </c>
      <c r="F237" s="6">
        <f>IF(C237="","",IF(COUNTIF(Classifiers!$A$23:$A$40,D237)&gt;0,1,0))</f>
        <v/>
      </c>
      <c r="G237" s="6">
        <f>IF(C237="","",IF(COUNTIF(Classifiers!$C$23:$C$30,D237)&gt;0,IF((IF(ISNUMBER(SEARCH(Classifiers!$E$23,E237)),1,0)+IF(ISNUMBER(SEARCH(Classifiers!$E$24,E237)),1,0)+IF(ISNUMBER(SEARCH(Classifiers!$E$25,E237)),1,0)+IF(ISNUMBER(SEARCH(Classifiers!$E$26,E237)),1,0)+IF(ISNUMBER(SEARCH(Classifiers!$E$27,E237)),1,0)+IF(ISNUMBER(SEARCH(Classifiers!$E$28,E237)),1,0)+IF(ISNUMBER(SEARCH(Classifiers!$E$29,E237)),1,0)+IF(ISNUMBER(SEARCH(Classifiers!$E$30,E237)),1,0))&gt;0,1,0),0))</f>
        <v/>
      </c>
      <c r="H237" s="6">
        <f>IF(C237="","",IF(OR(LEFT(C237,1)=".",AND(F237=0,G237=0)),0,1))</f>
        <v/>
      </c>
      <c r="I237" s="6">
        <f>IF(H237&lt;&gt;1,"",IF(SUM(J237:W237)=0,"unclassified",INDEX(Classifiers!$A$5:$A$18,MATCH(1,J237:W237,0),1)))</f>
        <v/>
      </c>
      <c r="J237" s="12">
        <f>IF(H237&lt;&gt;1,0,IF((IF(Classifiers!$B$5="",0,IF(ISNUMBER(SEARCH(Classifiers!$B$5,E237)),1,0))+IF(Classifiers!$C$5="",0,IF(ISNUMBER(SEARCH(Classifiers!$C$5,E237)),1,0))+IF(Classifiers!$D$5="",0,IF(ISNUMBER(SEARCH(Classifiers!$D$5,E237)),1,0))+IF(Classifiers!$E$5="",0,IF(ISNUMBER(SEARCH(Classifiers!$E$5,E237)),1,0))+IF(Classifiers!$F$5="",0,IF(ISNUMBER(SEARCH(Classifiers!$F$5,E237)),1,0))+IF(Classifiers!$G$5="",0,IF(ISNUMBER(SEARCH(Classifiers!$G$5,E237)),1,0)))&gt;0,1,0))</f>
        <v/>
      </c>
      <c r="K237" s="12">
        <f>IF(H237&lt;&gt;1,0,IF((IF(Classifiers!$B$6="",0,IF(ISNUMBER(SEARCH(Classifiers!$B$6,E237)),1,0))+IF(Classifiers!$C$6="",0,IF(ISNUMBER(SEARCH(Classifiers!$C$6,E237)),1,0))+IF(Classifiers!$D$6="",0,IF(ISNUMBER(SEARCH(Classifiers!$D$6,E237)),1,0))+IF(Classifiers!$E$6="",0,IF(ISNUMBER(SEARCH(Classifiers!$E$6,E237)),1,0))+IF(Classifiers!$F$6="",0,IF(ISNUMBER(SEARCH(Classifiers!$F$6,E237)),1,0))+IF(Classifiers!$G$6="",0,IF(ISNUMBER(SEARCH(Classifiers!$G$6,E237)),1,0)))&gt;0,1,0))</f>
        <v/>
      </c>
      <c r="L237" s="12">
        <f>IF(H237&lt;&gt;1,0,IF((IF(Classifiers!$B$7="",0,IF(ISNUMBER(SEARCH(Classifiers!$B$7,E237)),1,0))+IF(Classifiers!$C$7="",0,IF(ISNUMBER(SEARCH(Classifiers!$C$7,E237)),1,0))+IF(Classifiers!$D$7="",0,IF(ISNUMBER(SEARCH(Classifiers!$D$7,E237)),1,0))+IF(Classifiers!$E$7="",0,IF(ISNUMBER(SEARCH(Classifiers!$E$7,E237)),1,0))+IF(Classifiers!$F$7="",0,IF(ISNUMBER(SEARCH(Classifiers!$F$7,E237)),1,0))+IF(Classifiers!$G$7="",0,IF(ISNUMBER(SEARCH(Classifiers!$G$7,E237)),1,0)))&gt;0,1,0))</f>
        <v/>
      </c>
      <c r="M237" s="12">
        <f>IF(H237&lt;&gt;1,0,IF((IF(Classifiers!$B$8="",0,IF(ISNUMBER(SEARCH(Classifiers!$B$8,E237)),1,0))+IF(Classifiers!$C$8="",0,IF(ISNUMBER(SEARCH(Classifiers!$C$8,E237)),1,0))+IF(Classifiers!$D$8="",0,IF(ISNUMBER(SEARCH(Classifiers!$D$8,E237)),1,0))+IF(Classifiers!$E$8="",0,IF(ISNUMBER(SEARCH(Classifiers!$E$8,E237)),1,0))+IF(Classifiers!$F$8="",0,IF(ISNUMBER(SEARCH(Classifiers!$F$8,E237)),1,0))+IF(Classifiers!$G$8="",0,IF(ISNUMBER(SEARCH(Classifiers!$G$8,E237)),1,0)))&gt;0,1,0))</f>
        <v/>
      </c>
      <c r="N237" s="12">
        <f>IF(H237&lt;&gt;1,0,IF((IF(Classifiers!$B$9="",0,IF(ISNUMBER(SEARCH(Classifiers!$B$9,E237)),1,0))+IF(Classifiers!$C$9="",0,IF(ISNUMBER(SEARCH(Classifiers!$C$9,E237)),1,0))+IF(Classifiers!$D$9="",0,IF(ISNUMBER(SEARCH(Classifiers!$D$9,E237)),1,0))+IF(Classifiers!$E$9="",0,IF(ISNUMBER(SEARCH(Classifiers!$E$9,E237)),1,0))+IF(Classifiers!$F$9="",0,IF(ISNUMBER(SEARCH(Classifiers!$F$9,E237)),1,0))+IF(Classifiers!$G$9="",0,IF(ISNUMBER(SEARCH(Classifiers!$G$9,E237)),1,0)))&gt;0,1,0))</f>
        <v/>
      </c>
      <c r="O237" s="12">
        <f>IF(H237&lt;&gt;1,0,IF((IF(Classifiers!$B$10="",0,IF(ISNUMBER(SEARCH(Classifiers!$B$10,E237)),1,0))+IF(Classifiers!$C$10="",0,IF(ISNUMBER(SEARCH(Classifiers!$C$10,E237)),1,0))+IF(Classifiers!$D$10="",0,IF(ISNUMBER(SEARCH(Classifiers!$D$10,E237)),1,0))+IF(Classifiers!$E$10="",0,IF(ISNUMBER(SEARCH(Classifiers!$E$10,E237)),1,0))+IF(Classifiers!$F$10="",0,IF(ISNUMBER(SEARCH(Classifiers!$F$10,E237)),1,0))+IF(Classifiers!$G$10="",0,IF(ISNUMBER(SEARCH(Classifiers!$G$10,E237)),1,0)))&gt;0,1,0))</f>
        <v/>
      </c>
      <c r="P237" s="12">
        <f>IF(H237&lt;&gt;1,0,IF((IF(Classifiers!$B$11="",0,IF(ISNUMBER(SEARCH(Classifiers!$B$11,E237)),1,0))+IF(Classifiers!$C$11="",0,IF(ISNUMBER(SEARCH(Classifiers!$C$11,E237)),1,0))+IF(Classifiers!$D$11="",0,IF(ISNUMBER(SEARCH(Classifiers!$D$11,E237)),1,0))+IF(Classifiers!$E$11="",0,IF(ISNUMBER(SEARCH(Classifiers!$E$11,E237)),1,0))+IF(Classifiers!$F$11="",0,IF(ISNUMBER(SEARCH(Classifiers!$F$11,E237)),1,0))+IF(Classifiers!$G$11="",0,IF(ISNUMBER(SEARCH(Classifiers!$G$11,E237)),1,0)))&gt;0,1,0))</f>
        <v/>
      </c>
      <c r="Q237" s="12">
        <f>IF(H237&lt;&gt;1,0,IF((IF(Classifiers!$B$12="",0,IF(ISNUMBER(SEARCH(Classifiers!$B$12,E237)),1,0))+IF(Classifiers!$C$12="",0,IF(ISNUMBER(SEARCH(Classifiers!$C$12,E237)),1,0))+IF(Classifiers!$D$12="",0,IF(ISNUMBER(SEARCH(Classifiers!$D$12,E237)),1,0))+IF(Classifiers!$E$12="",0,IF(ISNUMBER(SEARCH(Classifiers!$E$12,E237)),1,0))+IF(Classifiers!$F$12="",0,IF(ISNUMBER(SEARCH(Classifiers!$F$12,E237)),1,0))+IF(Classifiers!$G$12="",0,IF(ISNUMBER(SEARCH(Classifiers!$G$12,E237)),1,0)))&gt;0,1,0))</f>
        <v/>
      </c>
      <c r="R237" s="12">
        <f>IF(H237&lt;&gt;1,0,IF((IF(Classifiers!$B$13="",0,IF(ISNUMBER(SEARCH(Classifiers!$B$13,E237)),1,0))+IF(Classifiers!$C$13="",0,IF(ISNUMBER(SEARCH(Classifiers!$C$13,E237)),1,0))+IF(Classifiers!$D$13="",0,IF(ISNUMBER(SEARCH(Classifiers!$D$13,E237)),1,0))+IF(Classifiers!$E$13="",0,IF(ISNUMBER(SEARCH(Classifiers!$E$13,E237)),1,0))+IF(Classifiers!$F$13="",0,IF(ISNUMBER(SEARCH(Classifiers!$F$13,E237)),1,0))+IF(Classifiers!$G$13="",0,IF(ISNUMBER(SEARCH(Classifiers!$G$13,E237)),1,0)))&gt;0,1,0))</f>
        <v/>
      </c>
      <c r="S237" s="12">
        <f>IF(H237&lt;&gt;1,0,IF((IF(Classifiers!$B$14="",0,IF(ISNUMBER(SEARCH(Classifiers!$B$14,E237)),1,0))+IF(Classifiers!$C$14="",0,IF(ISNUMBER(SEARCH(Classifiers!$C$14,E237)),1,0))+IF(Classifiers!$D$14="",0,IF(ISNUMBER(SEARCH(Classifiers!$D$14,E237)),1,0))+IF(Classifiers!$E$14="",0,IF(ISNUMBER(SEARCH(Classifiers!$E$14,E237)),1,0))+IF(Classifiers!$F$14="",0,IF(ISNUMBER(SEARCH(Classifiers!$F$14,E237)),1,0))+IF(Classifiers!$G$14="",0,IF(ISNUMBER(SEARCH(Classifiers!$G$14,E237)),1,0)))&gt;0,1,0))</f>
        <v/>
      </c>
      <c r="T237" s="12">
        <f>IF(H237&lt;&gt;1,0,IF((IF(Classifiers!$B$15="",0,IF(ISNUMBER(SEARCH(Classifiers!$B$15,E237)),1,0))+IF(Classifiers!$C$15="",0,IF(ISNUMBER(SEARCH(Classifiers!$C$15,E237)),1,0))+IF(Classifiers!$D$15="",0,IF(ISNUMBER(SEARCH(Classifiers!$D$15,E237)),1,0))+IF(Classifiers!$E$15="",0,IF(ISNUMBER(SEARCH(Classifiers!$E$15,E237)),1,0))+IF(Classifiers!$F$15="",0,IF(ISNUMBER(SEARCH(Classifiers!$F$15,E237)),1,0))+IF(Classifiers!$G$15="",0,IF(ISNUMBER(SEARCH(Classifiers!$G$15,E237)),1,0)))&gt;0,1,0))</f>
        <v/>
      </c>
      <c r="U237" s="12">
        <f>IF(H237&lt;&gt;1,0,IF((IF(Classifiers!$B$16="",0,IF(ISNUMBER(SEARCH(Classifiers!$B$16,E237)),1,0))+IF(Classifiers!$C$16="",0,IF(ISNUMBER(SEARCH(Classifiers!$C$16,E237)),1,0))+IF(Classifiers!$D$16="",0,IF(ISNUMBER(SEARCH(Classifiers!$D$16,E237)),1,0))+IF(Classifiers!$E$16="",0,IF(ISNUMBER(SEARCH(Classifiers!$E$16,E237)),1,0))+IF(Classifiers!$F$16="",0,IF(ISNUMBER(SEARCH(Classifiers!$F$16,E237)),1,0))+IF(Classifiers!$G$16="",0,IF(ISNUMBER(SEARCH(Classifiers!$G$16,E237)),1,0)))&gt;0,1,0))</f>
        <v/>
      </c>
      <c r="V237" s="12">
        <f>IF(H237&lt;&gt;1,0,IF((IF(Classifiers!$B$17="",0,IF(ISNUMBER(SEARCH(Classifiers!$B$17,E237)),1,0))+IF(Classifiers!$C$17="",0,IF(ISNUMBER(SEARCH(Classifiers!$C$17,E237)),1,0))+IF(Classifiers!$D$17="",0,IF(ISNUMBER(SEARCH(Classifiers!$D$17,E237)),1,0))+IF(Classifiers!$E$17="",0,IF(ISNUMBER(SEARCH(Classifiers!$E$17,E237)),1,0))+IF(Classifiers!$F$17="",0,IF(ISNUMBER(SEARCH(Classifiers!$F$17,E237)),1,0))+IF(Classifiers!$G$17="",0,IF(ISNUMBER(SEARCH(Classifiers!$G$17,E237)),1,0)))&gt;0,1,0))</f>
        <v/>
      </c>
      <c r="W237" s="12">
        <f>IF(H237&lt;&gt;1,0,IF((IF(Classifiers!$B$18="",0,IF(ISNUMBER(SEARCH(Classifiers!$B$18,E237)),1,0))+IF(Classifiers!$C$18="",0,IF(ISNUMBER(SEARCH(Classifiers!$C$18,E237)),1,0))+IF(Classifiers!$D$18="",0,IF(ISNUMBER(SEARCH(Classifiers!$D$18,E237)),1,0))+IF(Classifiers!$E$18="",0,IF(ISNUMBER(SEARCH(Classifiers!$E$18,E237)),1,0))+IF(Classifiers!$F$18="",0,IF(ISNUMBER(SEARCH(Classifiers!$F$18,E237)),1,0))+IF(Classifiers!$G$18="",0,IF(ISNUMBER(SEARCH(Classifiers!$G$18,E237)),1,0)))&gt;0,1,0))</f>
        <v/>
      </c>
    </row>
    <row r="238">
      <c r="A238" s="8" t="n"/>
      <c r="B238" s="11" t="n"/>
      <c r="C238" s="6">
        <f>IF(A238="","",TRIM(RIGHT(SUBSTITUTE(A238,"/",REPT(" ",250)),250)))</f>
        <v/>
      </c>
      <c r="D238" s="6">
        <f>IF(C238="","",IF(ISNUMBER(SEARCH(".",C238)),LOWER("."&amp;TRIM(RIGHT(SUBSTITUTE(C238,".",REPT(" ",250)),250))),""))</f>
        <v/>
      </c>
      <c r="E238" s="6">
        <f>IF(C238="","",TRIM(SUBSTITUTE(SUBSTITUTE(SUBSTITUTE(SUBSTITUTE(SUBSTITUTE(SUBSTITUTE(SUBSTITUTE(SUBSTITUTE(SUBSTITUTE(SUBSTITUTE(SUBSTITUTE(SUBSTITUTE(SUBSTITUTE(SUBSTITUTE(SUBSTITUTE(SUBSTITUTE(SUBSTITUTE(SUBSTITUTE(SUBSTITUTE(SUBSTITUTE(LOWER(LEFT(C238,LEN(C238)-LEN(D238))),"_"," "),"-"," "),"."," "),","," "),"("," "),")"," "),"["," "),"]"," "),"&amp;"," "),"+"," "),"@"," "),"#"," "),"!"," "),"'"," "),"/"," "),":"," "),";"," "),"="," "),"~"," "),"%"," ")))</f>
        <v/>
      </c>
      <c r="F238" s="6">
        <f>IF(C238="","",IF(COUNTIF(Classifiers!$A$23:$A$40,D238)&gt;0,1,0))</f>
        <v/>
      </c>
      <c r="G238" s="6">
        <f>IF(C238="","",IF(COUNTIF(Classifiers!$C$23:$C$30,D238)&gt;0,IF((IF(ISNUMBER(SEARCH(Classifiers!$E$23,E238)),1,0)+IF(ISNUMBER(SEARCH(Classifiers!$E$24,E238)),1,0)+IF(ISNUMBER(SEARCH(Classifiers!$E$25,E238)),1,0)+IF(ISNUMBER(SEARCH(Classifiers!$E$26,E238)),1,0)+IF(ISNUMBER(SEARCH(Classifiers!$E$27,E238)),1,0)+IF(ISNUMBER(SEARCH(Classifiers!$E$28,E238)),1,0)+IF(ISNUMBER(SEARCH(Classifiers!$E$29,E238)),1,0)+IF(ISNUMBER(SEARCH(Classifiers!$E$30,E238)),1,0))&gt;0,1,0),0))</f>
        <v/>
      </c>
      <c r="H238" s="6">
        <f>IF(C238="","",IF(OR(LEFT(C238,1)=".",AND(F238=0,G238=0)),0,1))</f>
        <v/>
      </c>
      <c r="I238" s="6">
        <f>IF(H238&lt;&gt;1,"",IF(SUM(J238:W238)=0,"unclassified",INDEX(Classifiers!$A$5:$A$18,MATCH(1,J238:W238,0),1)))</f>
        <v/>
      </c>
      <c r="J238" s="12">
        <f>IF(H238&lt;&gt;1,0,IF((IF(Classifiers!$B$5="",0,IF(ISNUMBER(SEARCH(Classifiers!$B$5,E238)),1,0))+IF(Classifiers!$C$5="",0,IF(ISNUMBER(SEARCH(Classifiers!$C$5,E238)),1,0))+IF(Classifiers!$D$5="",0,IF(ISNUMBER(SEARCH(Classifiers!$D$5,E238)),1,0))+IF(Classifiers!$E$5="",0,IF(ISNUMBER(SEARCH(Classifiers!$E$5,E238)),1,0))+IF(Classifiers!$F$5="",0,IF(ISNUMBER(SEARCH(Classifiers!$F$5,E238)),1,0))+IF(Classifiers!$G$5="",0,IF(ISNUMBER(SEARCH(Classifiers!$G$5,E238)),1,0)))&gt;0,1,0))</f>
        <v/>
      </c>
      <c r="K238" s="12">
        <f>IF(H238&lt;&gt;1,0,IF((IF(Classifiers!$B$6="",0,IF(ISNUMBER(SEARCH(Classifiers!$B$6,E238)),1,0))+IF(Classifiers!$C$6="",0,IF(ISNUMBER(SEARCH(Classifiers!$C$6,E238)),1,0))+IF(Classifiers!$D$6="",0,IF(ISNUMBER(SEARCH(Classifiers!$D$6,E238)),1,0))+IF(Classifiers!$E$6="",0,IF(ISNUMBER(SEARCH(Classifiers!$E$6,E238)),1,0))+IF(Classifiers!$F$6="",0,IF(ISNUMBER(SEARCH(Classifiers!$F$6,E238)),1,0))+IF(Classifiers!$G$6="",0,IF(ISNUMBER(SEARCH(Classifiers!$G$6,E238)),1,0)))&gt;0,1,0))</f>
        <v/>
      </c>
      <c r="L238" s="12">
        <f>IF(H238&lt;&gt;1,0,IF((IF(Classifiers!$B$7="",0,IF(ISNUMBER(SEARCH(Classifiers!$B$7,E238)),1,0))+IF(Classifiers!$C$7="",0,IF(ISNUMBER(SEARCH(Classifiers!$C$7,E238)),1,0))+IF(Classifiers!$D$7="",0,IF(ISNUMBER(SEARCH(Classifiers!$D$7,E238)),1,0))+IF(Classifiers!$E$7="",0,IF(ISNUMBER(SEARCH(Classifiers!$E$7,E238)),1,0))+IF(Classifiers!$F$7="",0,IF(ISNUMBER(SEARCH(Classifiers!$F$7,E238)),1,0))+IF(Classifiers!$G$7="",0,IF(ISNUMBER(SEARCH(Classifiers!$G$7,E238)),1,0)))&gt;0,1,0))</f>
        <v/>
      </c>
      <c r="M238" s="12">
        <f>IF(H238&lt;&gt;1,0,IF((IF(Classifiers!$B$8="",0,IF(ISNUMBER(SEARCH(Classifiers!$B$8,E238)),1,0))+IF(Classifiers!$C$8="",0,IF(ISNUMBER(SEARCH(Classifiers!$C$8,E238)),1,0))+IF(Classifiers!$D$8="",0,IF(ISNUMBER(SEARCH(Classifiers!$D$8,E238)),1,0))+IF(Classifiers!$E$8="",0,IF(ISNUMBER(SEARCH(Classifiers!$E$8,E238)),1,0))+IF(Classifiers!$F$8="",0,IF(ISNUMBER(SEARCH(Classifiers!$F$8,E238)),1,0))+IF(Classifiers!$G$8="",0,IF(ISNUMBER(SEARCH(Classifiers!$G$8,E238)),1,0)))&gt;0,1,0))</f>
        <v/>
      </c>
      <c r="N238" s="12">
        <f>IF(H238&lt;&gt;1,0,IF((IF(Classifiers!$B$9="",0,IF(ISNUMBER(SEARCH(Classifiers!$B$9,E238)),1,0))+IF(Classifiers!$C$9="",0,IF(ISNUMBER(SEARCH(Classifiers!$C$9,E238)),1,0))+IF(Classifiers!$D$9="",0,IF(ISNUMBER(SEARCH(Classifiers!$D$9,E238)),1,0))+IF(Classifiers!$E$9="",0,IF(ISNUMBER(SEARCH(Classifiers!$E$9,E238)),1,0))+IF(Classifiers!$F$9="",0,IF(ISNUMBER(SEARCH(Classifiers!$F$9,E238)),1,0))+IF(Classifiers!$G$9="",0,IF(ISNUMBER(SEARCH(Classifiers!$G$9,E238)),1,0)))&gt;0,1,0))</f>
        <v/>
      </c>
      <c r="O238" s="12">
        <f>IF(H238&lt;&gt;1,0,IF((IF(Classifiers!$B$10="",0,IF(ISNUMBER(SEARCH(Classifiers!$B$10,E238)),1,0))+IF(Classifiers!$C$10="",0,IF(ISNUMBER(SEARCH(Classifiers!$C$10,E238)),1,0))+IF(Classifiers!$D$10="",0,IF(ISNUMBER(SEARCH(Classifiers!$D$10,E238)),1,0))+IF(Classifiers!$E$10="",0,IF(ISNUMBER(SEARCH(Classifiers!$E$10,E238)),1,0))+IF(Classifiers!$F$10="",0,IF(ISNUMBER(SEARCH(Classifiers!$F$10,E238)),1,0))+IF(Classifiers!$G$10="",0,IF(ISNUMBER(SEARCH(Classifiers!$G$10,E238)),1,0)))&gt;0,1,0))</f>
        <v/>
      </c>
      <c r="P238" s="12">
        <f>IF(H238&lt;&gt;1,0,IF((IF(Classifiers!$B$11="",0,IF(ISNUMBER(SEARCH(Classifiers!$B$11,E238)),1,0))+IF(Classifiers!$C$11="",0,IF(ISNUMBER(SEARCH(Classifiers!$C$11,E238)),1,0))+IF(Classifiers!$D$11="",0,IF(ISNUMBER(SEARCH(Classifiers!$D$11,E238)),1,0))+IF(Classifiers!$E$11="",0,IF(ISNUMBER(SEARCH(Classifiers!$E$11,E238)),1,0))+IF(Classifiers!$F$11="",0,IF(ISNUMBER(SEARCH(Classifiers!$F$11,E238)),1,0))+IF(Classifiers!$G$11="",0,IF(ISNUMBER(SEARCH(Classifiers!$G$11,E238)),1,0)))&gt;0,1,0))</f>
        <v/>
      </c>
      <c r="Q238" s="12">
        <f>IF(H238&lt;&gt;1,0,IF((IF(Classifiers!$B$12="",0,IF(ISNUMBER(SEARCH(Classifiers!$B$12,E238)),1,0))+IF(Classifiers!$C$12="",0,IF(ISNUMBER(SEARCH(Classifiers!$C$12,E238)),1,0))+IF(Classifiers!$D$12="",0,IF(ISNUMBER(SEARCH(Classifiers!$D$12,E238)),1,0))+IF(Classifiers!$E$12="",0,IF(ISNUMBER(SEARCH(Classifiers!$E$12,E238)),1,0))+IF(Classifiers!$F$12="",0,IF(ISNUMBER(SEARCH(Classifiers!$F$12,E238)),1,0))+IF(Classifiers!$G$12="",0,IF(ISNUMBER(SEARCH(Classifiers!$G$12,E238)),1,0)))&gt;0,1,0))</f>
        <v/>
      </c>
      <c r="R238" s="12">
        <f>IF(H238&lt;&gt;1,0,IF((IF(Classifiers!$B$13="",0,IF(ISNUMBER(SEARCH(Classifiers!$B$13,E238)),1,0))+IF(Classifiers!$C$13="",0,IF(ISNUMBER(SEARCH(Classifiers!$C$13,E238)),1,0))+IF(Classifiers!$D$13="",0,IF(ISNUMBER(SEARCH(Classifiers!$D$13,E238)),1,0))+IF(Classifiers!$E$13="",0,IF(ISNUMBER(SEARCH(Classifiers!$E$13,E238)),1,0))+IF(Classifiers!$F$13="",0,IF(ISNUMBER(SEARCH(Classifiers!$F$13,E238)),1,0))+IF(Classifiers!$G$13="",0,IF(ISNUMBER(SEARCH(Classifiers!$G$13,E238)),1,0)))&gt;0,1,0))</f>
        <v/>
      </c>
      <c r="S238" s="12">
        <f>IF(H238&lt;&gt;1,0,IF((IF(Classifiers!$B$14="",0,IF(ISNUMBER(SEARCH(Classifiers!$B$14,E238)),1,0))+IF(Classifiers!$C$14="",0,IF(ISNUMBER(SEARCH(Classifiers!$C$14,E238)),1,0))+IF(Classifiers!$D$14="",0,IF(ISNUMBER(SEARCH(Classifiers!$D$14,E238)),1,0))+IF(Classifiers!$E$14="",0,IF(ISNUMBER(SEARCH(Classifiers!$E$14,E238)),1,0))+IF(Classifiers!$F$14="",0,IF(ISNUMBER(SEARCH(Classifiers!$F$14,E238)),1,0))+IF(Classifiers!$G$14="",0,IF(ISNUMBER(SEARCH(Classifiers!$G$14,E238)),1,0)))&gt;0,1,0))</f>
        <v/>
      </c>
      <c r="T238" s="12">
        <f>IF(H238&lt;&gt;1,0,IF((IF(Classifiers!$B$15="",0,IF(ISNUMBER(SEARCH(Classifiers!$B$15,E238)),1,0))+IF(Classifiers!$C$15="",0,IF(ISNUMBER(SEARCH(Classifiers!$C$15,E238)),1,0))+IF(Classifiers!$D$15="",0,IF(ISNUMBER(SEARCH(Classifiers!$D$15,E238)),1,0))+IF(Classifiers!$E$15="",0,IF(ISNUMBER(SEARCH(Classifiers!$E$15,E238)),1,0))+IF(Classifiers!$F$15="",0,IF(ISNUMBER(SEARCH(Classifiers!$F$15,E238)),1,0))+IF(Classifiers!$G$15="",0,IF(ISNUMBER(SEARCH(Classifiers!$G$15,E238)),1,0)))&gt;0,1,0))</f>
        <v/>
      </c>
      <c r="U238" s="12">
        <f>IF(H238&lt;&gt;1,0,IF((IF(Classifiers!$B$16="",0,IF(ISNUMBER(SEARCH(Classifiers!$B$16,E238)),1,0))+IF(Classifiers!$C$16="",0,IF(ISNUMBER(SEARCH(Classifiers!$C$16,E238)),1,0))+IF(Classifiers!$D$16="",0,IF(ISNUMBER(SEARCH(Classifiers!$D$16,E238)),1,0))+IF(Classifiers!$E$16="",0,IF(ISNUMBER(SEARCH(Classifiers!$E$16,E238)),1,0))+IF(Classifiers!$F$16="",0,IF(ISNUMBER(SEARCH(Classifiers!$F$16,E238)),1,0))+IF(Classifiers!$G$16="",0,IF(ISNUMBER(SEARCH(Classifiers!$G$16,E238)),1,0)))&gt;0,1,0))</f>
        <v/>
      </c>
      <c r="V238" s="12">
        <f>IF(H238&lt;&gt;1,0,IF((IF(Classifiers!$B$17="",0,IF(ISNUMBER(SEARCH(Classifiers!$B$17,E238)),1,0))+IF(Classifiers!$C$17="",0,IF(ISNUMBER(SEARCH(Classifiers!$C$17,E238)),1,0))+IF(Classifiers!$D$17="",0,IF(ISNUMBER(SEARCH(Classifiers!$D$17,E238)),1,0))+IF(Classifiers!$E$17="",0,IF(ISNUMBER(SEARCH(Classifiers!$E$17,E238)),1,0))+IF(Classifiers!$F$17="",0,IF(ISNUMBER(SEARCH(Classifiers!$F$17,E238)),1,0))+IF(Classifiers!$G$17="",0,IF(ISNUMBER(SEARCH(Classifiers!$G$17,E238)),1,0)))&gt;0,1,0))</f>
        <v/>
      </c>
      <c r="W238" s="12">
        <f>IF(H238&lt;&gt;1,0,IF((IF(Classifiers!$B$18="",0,IF(ISNUMBER(SEARCH(Classifiers!$B$18,E238)),1,0))+IF(Classifiers!$C$18="",0,IF(ISNUMBER(SEARCH(Classifiers!$C$18,E238)),1,0))+IF(Classifiers!$D$18="",0,IF(ISNUMBER(SEARCH(Classifiers!$D$18,E238)),1,0))+IF(Classifiers!$E$18="",0,IF(ISNUMBER(SEARCH(Classifiers!$E$18,E238)),1,0))+IF(Classifiers!$F$18="",0,IF(ISNUMBER(SEARCH(Classifiers!$F$18,E238)),1,0))+IF(Classifiers!$G$18="",0,IF(ISNUMBER(SEARCH(Classifiers!$G$18,E238)),1,0)))&gt;0,1,0))</f>
        <v/>
      </c>
    </row>
    <row r="239">
      <c r="A239" s="8" t="n"/>
      <c r="B239" s="11" t="n"/>
      <c r="C239" s="6">
        <f>IF(A239="","",TRIM(RIGHT(SUBSTITUTE(A239,"/",REPT(" ",250)),250)))</f>
        <v/>
      </c>
      <c r="D239" s="6">
        <f>IF(C239="","",IF(ISNUMBER(SEARCH(".",C239)),LOWER("."&amp;TRIM(RIGHT(SUBSTITUTE(C239,".",REPT(" ",250)),250))),""))</f>
        <v/>
      </c>
      <c r="E239" s="6">
        <f>IF(C239="","",TRIM(SUBSTITUTE(SUBSTITUTE(SUBSTITUTE(SUBSTITUTE(SUBSTITUTE(SUBSTITUTE(SUBSTITUTE(SUBSTITUTE(SUBSTITUTE(SUBSTITUTE(SUBSTITUTE(SUBSTITUTE(SUBSTITUTE(SUBSTITUTE(SUBSTITUTE(SUBSTITUTE(SUBSTITUTE(SUBSTITUTE(SUBSTITUTE(SUBSTITUTE(LOWER(LEFT(C239,LEN(C239)-LEN(D239))),"_"," "),"-"," "),"."," "),","," "),"("," "),")"," "),"["," "),"]"," "),"&amp;"," "),"+"," "),"@"," "),"#"," "),"!"," "),"'"," "),"/"," "),":"," "),";"," "),"="," "),"~"," "),"%"," ")))</f>
        <v/>
      </c>
      <c r="F239" s="6">
        <f>IF(C239="","",IF(COUNTIF(Classifiers!$A$23:$A$40,D239)&gt;0,1,0))</f>
        <v/>
      </c>
      <c r="G239" s="6">
        <f>IF(C239="","",IF(COUNTIF(Classifiers!$C$23:$C$30,D239)&gt;0,IF((IF(ISNUMBER(SEARCH(Classifiers!$E$23,E239)),1,0)+IF(ISNUMBER(SEARCH(Classifiers!$E$24,E239)),1,0)+IF(ISNUMBER(SEARCH(Classifiers!$E$25,E239)),1,0)+IF(ISNUMBER(SEARCH(Classifiers!$E$26,E239)),1,0)+IF(ISNUMBER(SEARCH(Classifiers!$E$27,E239)),1,0)+IF(ISNUMBER(SEARCH(Classifiers!$E$28,E239)),1,0)+IF(ISNUMBER(SEARCH(Classifiers!$E$29,E239)),1,0)+IF(ISNUMBER(SEARCH(Classifiers!$E$30,E239)),1,0))&gt;0,1,0),0))</f>
        <v/>
      </c>
      <c r="H239" s="6">
        <f>IF(C239="","",IF(OR(LEFT(C239,1)=".",AND(F239=0,G239=0)),0,1))</f>
        <v/>
      </c>
      <c r="I239" s="6">
        <f>IF(H239&lt;&gt;1,"",IF(SUM(J239:W239)=0,"unclassified",INDEX(Classifiers!$A$5:$A$18,MATCH(1,J239:W239,0),1)))</f>
        <v/>
      </c>
      <c r="J239" s="12">
        <f>IF(H239&lt;&gt;1,0,IF((IF(Classifiers!$B$5="",0,IF(ISNUMBER(SEARCH(Classifiers!$B$5,E239)),1,0))+IF(Classifiers!$C$5="",0,IF(ISNUMBER(SEARCH(Classifiers!$C$5,E239)),1,0))+IF(Classifiers!$D$5="",0,IF(ISNUMBER(SEARCH(Classifiers!$D$5,E239)),1,0))+IF(Classifiers!$E$5="",0,IF(ISNUMBER(SEARCH(Classifiers!$E$5,E239)),1,0))+IF(Classifiers!$F$5="",0,IF(ISNUMBER(SEARCH(Classifiers!$F$5,E239)),1,0))+IF(Classifiers!$G$5="",0,IF(ISNUMBER(SEARCH(Classifiers!$G$5,E239)),1,0)))&gt;0,1,0))</f>
        <v/>
      </c>
      <c r="K239" s="12">
        <f>IF(H239&lt;&gt;1,0,IF((IF(Classifiers!$B$6="",0,IF(ISNUMBER(SEARCH(Classifiers!$B$6,E239)),1,0))+IF(Classifiers!$C$6="",0,IF(ISNUMBER(SEARCH(Classifiers!$C$6,E239)),1,0))+IF(Classifiers!$D$6="",0,IF(ISNUMBER(SEARCH(Classifiers!$D$6,E239)),1,0))+IF(Classifiers!$E$6="",0,IF(ISNUMBER(SEARCH(Classifiers!$E$6,E239)),1,0))+IF(Classifiers!$F$6="",0,IF(ISNUMBER(SEARCH(Classifiers!$F$6,E239)),1,0))+IF(Classifiers!$G$6="",0,IF(ISNUMBER(SEARCH(Classifiers!$G$6,E239)),1,0)))&gt;0,1,0))</f>
        <v/>
      </c>
      <c r="L239" s="12">
        <f>IF(H239&lt;&gt;1,0,IF((IF(Classifiers!$B$7="",0,IF(ISNUMBER(SEARCH(Classifiers!$B$7,E239)),1,0))+IF(Classifiers!$C$7="",0,IF(ISNUMBER(SEARCH(Classifiers!$C$7,E239)),1,0))+IF(Classifiers!$D$7="",0,IF(ISNUMBER(SEARCH(Classifiers!$D$7,E239)),1,0))+IF(Classifiers!$E$7="",0,IF(ISNUMBER(SEARCH(Classifiers!$E$7,E239)),1,0))+IF(Classifiers!$F$7="",0,IF(ISNUMBER(SEARCH(Classifiers!$F$7,E239)),1,0))+IF(Classifiers!$G$7="",0,IF(ISNUMBER(SEARCH(Classifiers!$G$7,E239)),1,0)))&gt;0,1,0))</f>
        <v/>
      </c>
      <c r="M239" s="12">
        <f>IF(H239&lt;&gt;1,0,IF((IF(Classifiers!$B$8="",0,IF(ISNUMBER(SEARCH(Classifiers!$B$8,E239)),1,0))+IF(Classifiers!$C$8="",0,IF(ISNUMBER(SEARCH(Classifiers!$C$8,E239)),1,0))+IF(Classifiers!$D$8="",0,IF(ISNUMBER(SEARCH(Classifiers!$D$8,E239)),1,0))+IF(Classifiers!$E$8="",0,IF(ISNUMBER(SEARCH(Classifiers!$E$8,E239)),1,0))+IF(Classifiers!$F$8="",0,IF(ISNUMBER(SEARCH(Classifiers!$F$8,E239)),1,0))+IF(Classifiers!$G$8="",0,IF(ISNUMBER(SEARCH(Classifiers!$G$8,E239)),1,0)))&gt;0,1,0))</f>
        <v/>
      </c>
      <c r="N239" s="12">
        <f>IF(H239&lt;&gt;1,0,IF((IF(Classifiers!$B$9="",0,IF(ISNUMBER(SEARCH(Classifiers!$B$9,E239)),1,0))+IF(Classifiers!$C$9="",0,IF(ISNUMBER(SEARCH(Classifiers!$C$9,E239)),1,0))+IF(Classifiers!$D$9="",0,IF(ISNUMBER(SEARCH(Classifiers!$D$9,E239)),1,0))+IF(Classifiers!$E$9="",0,IF(ISNUMBER(SEARCH(Classifiers!$E$9,E239)),1,0))+IF(Classifiers!$F$9="",0,IF(ISNUMBER(SEARCH(Classifiers!$F$9,E239)),1,0))+IF(Classifiers!$G$9="",0,IF(ISNUMBER(SEARCH(Classifiers!$G$9,E239)),1,0)))&gt;0,1,0))</f>
        <v/>
      </c>
      <c r="O239" s="12">
        <f>IF(H239&lt;&gt;1,0,IF((IF(Classifiers!$B$10="",0,IF(ISNUMBER(SEARCH(Classifiers!$B$10,E239)),1,0))+IF(Classifiers!$C$10="",0,IF(ISNUMBER(SEARCH(Classifiers!$C$10,E239)),1,0))+IF(Classifiers!$D$10="",0,IF(ISNUMBER(SEARCH(Classifiers!$D$10,E239)),1,0))+IF(Classifiers!$E$10="",0,IF(ISNUMBER(SEARCH(Classifiers!$E$10,E239)),1,0))+IF(Classifiers!$F$10="",0,IF(ISNUMBER(SEARCH(Classifiers!$F$10,E239)),1,0))+IF(Classifiers!$G$10="",0,IF(ISNUMBER(SEARCH(Classifiers!$G$10,E239)),1,0)))&gt;0,1,0))</f>
        <v/>
      </c>
      <c r="P239" s="12">
        <f>IF(H239&lt;&gt;1,0,IF((IF(Classifiers!$B$11="",0,IF(ISNUMBER(SEARCH(Classifiers!$B$11,E239)),1,0))+IF(Classifiers!$C$11="",0,IF(ISNUMBER(SEARCH(Classifiers!$C$11,E239)),1,0))+IF(Classifiers!$D$11="",0,IF(ISNUMBER(SEARCH(Classifiers!$D$11,E239)),1,0))+IF(Classifiers!$E$11="",0,IF(ISNUMBER(SEARCH(Classifiers!$E$11,E239)),1,0))+IF(Classifiers!$F$11="",0,IF(ISNUMBER(SEARCH(Classifiers!$F$11,E239)),1,0))+IF(Classifiers!$G$11="",0,IF(ISNUMBER(SEARCH(Classifiers!$G$11,E239)),1,0)))&gt;0,1,0))</f>
        <v/>
      </c>
      <c r="Q239" s="12">
        <f>IF(H239&lt;&gt;1,0,IF((IF(Classifiers!$B$12="",0,IF(ISNUMBER(SEARCH(Classifiers!$B$12,E239)),1,0))+IF(Classifiers!$C$12="",0,IF(ISNUMBER(SEARCH(Classifiers!$C$12,E239)),1,0))+IF(Classifiers!$D$12="",0,IF(ISNUMBER(SEARCH(Classifiers!$D$12,E239)),1,0))+IF(Classifiers!$E$12="",0,IF(ISNUMBER(SEARCH(Classifiers!$E$12,E239)),1,0))+IF(Classifiers!$F$12="",0,IF(ISNUMBER(SEARCH(Classifiers!$F$12,E239)),1,0))+IF(Classifiers!$G$12="",0,IF(ISNUMBER(SEARCH(Classifiers!$G$12,E239)),1,0)))&gt;0,1,0))</f>
        <v/>
      </c>
      <c r="R239" s="12">
        <f>IF(H239&lt;&gt;1,0,IF((IF(Classifiers!$B$13="",0,IF(ISNUMBER(SEARCH(Classifiers!$B$13,E239)),1,0))+IF(Classifiers!$C$13="",0,IF(ISNUMBER(SEARCH(Classifiers!$C$13,E239)),1,0))+IF(Classifiers!$D$13="",0,IF(ISNUMBER(SEARCH(Classifiers!$D$13,E239)),1,0))+IF(Classifiers!$E$13="",0,IF(ISNUMBER(SEARCH(Classifiers!$E$13,E239)),1,0))+IF(Classifiers!$F$13="",0,IF(ISNUMBER(SEARCH(Classifiers!$F$13,E239)),1,0))+IF(Classifiers!$G$13="",0,IF(ISNUMBER(SEARCH(Classifiers!$G$13,E239)),1,0)))&gt;0,1,0))</f>
        <v/>
      </c>
      <c r="S239" s="12">
        <f>IF(H239&lt;&gt;1,0,IF((IF(Classifiers!$B$14="",0,IF(ISNUMBER(SEARCH(Classifiers!$B$14,E239)),1,0))+IF(Classifiers!$C$14="",0,IF(ISNUMBER(SEARCH(Classifiers!$C$14,E239)),1,0))+IF(Classifiers!$D$14="",0,IF(ISNUMBER(SEARCH(Classifiers!$D$14,E239)),1,0))+IF(Classifiers!$E$14="",0,IF(ISNUMBER(SEARCH(Classifiers!$E$14,E239)),1,0))+IF(Classifiers!$F$14="",0,IF(ISNUMBER(SEARCH(Classifiers!$F$14,E239)),1,0))+IF(Classifiers!$G$14="",0,IF(ISNUMBER(SEARCH(Classifiers!$G$14,E239)),1,0)))&gt;0,1,0))</f>
        <v/>
      </c>
      <c r="T239" s="12">
        <f>IF(H239&lt;&gt;1,0,IF((IF(Classifiers!$B$15="",0,IF(ISNUMBER(SEARCH(Classifiers!$B$15,E239)),1,0))+IF(Classifiers!$C$15="",0,IF(ISNUMBER(SEARCH(Classifiers!$C$15,E239)),1,0))+IF(Classifiers!$D$15="",0,IF(ISNUMBER(SEARCH(Classifiers!$D$15,E239)),1,0))+IF(Classifiers!$E$15="",0,IF(ISNUMBER(SEARCH(Classifiers!$E$15,E239)),1,0))+IF(Classifiers!$F$15="",0,IF(ISNUMBER(SEARCH(Classifiers!$F$15,E239)),1,0))+IF(Classifiers!$G$15="",0,IF(ISNUMBER(SEARCH(Classifiers!$G$15,E239)),1,0)))&gt;0,1,0))</f>
        <v/>
      </c>
      <c r="U239" s="12">
        <f>IF(H239&lt;&gt;1,0,IF((IF(Classifiers!$B$16="",0,IF(ISNUMBER(SEARCH(Classifiers!$B$16,E239)),1,0))+IF(Classifiers!$C$16="",0,IF(ISNUMBER(SEARCH(Classifiers!$C$16,E239)),1,0))+IF(Classifiers!$D$16="",0,IF(ISNUMBER(SEARCH(Classifiers!$D$16,E239)),1,0))+IF(Classifiers!$E$16="",0,IF(ISNUMBER(SEARCH(Classifiers!$E$16,E239)),1,0))+IF(Classifiers!$F$16="",0,IF(ISNUMBER(SEARCH(Classifiers!$F$16,E239)),1,0))+IF(Classifiers!$G$16="",0,IF(ISNUMBER(SEARCH(Classifiers!$G$16,E239)),1,0)))&gt;0,1,0))</f>
        <v/>
      </c>
      <c r="V239" s="12">
        <f>IF(H239&lt;&gt;1,0,IF((IF(Classifiers!$B$17="",0,IF(ISNUMBER(SEARCH(Classifiers!$B$17,E239)),1,0))+IF(Classifiers!$C$17="",0,IF(ISNUMBER(SEARCH(Classifiers!$C$17,E239)),1,0))+IF(Classifiers!$D$17="",0,IF(ISNUMBER(SEARCH(Classifiers!$D$17,E239)),1,0))+IF(Classifiers!$E$17="",0,IF(ISNUMBER(SEARCH(Classifiers!$E$17,E239)),1,0))+IF(Classifiers!$F$17="",0,IF(ISNUMBER(SEARCH(Classifiers!$F$17,E239)),1,0))+IF(Classifiers!$G$17="",0,IF(ISNUMBER(SEARCH(Classifiers!$G$17,E239)),1,0)))&gt;0,1,0))</f>
        <v/>
      </c>
      <c r="W239" s="12">
        <f>IF(H239&lt;&gt;1,0,IF((IF(Classifiers!$B$18="",0,IF(ISNUMBER(SEARCH(Classifiers!$B$18,E239)),1,0))+IF(Classifiers!$C$18="",0,IF(ISNUMBER(SEARCH(Classifiers!$C$18,E239)),1,0))+IF(Classifiers!$D$18="",0,IF(ISNUMBER(SEARCH(Classifiers!$D$18,E239)),1,0))+IF(Classifiers!$E$18="",0,IF(ISNUMBER(SEARCH(Classifiers!$E$18,E239)),1,0))+IF(Classifiers!$F$18="",0,IF(ISNUMBER(SEARCH(Classifiers!$F$18,E239)),1,0))+IF(Classifiers!$G$18="",0,IF(ISNUMBER(SEARCH(Classifiers!$G$18,E239)),1,0)))&gt;0,1,0))</f>
        <v/>
      </c>
    </row>
    <row r="240">
      <c r="A240" s="8" t="n"/>
      <c r="B240" s="11" t="n"/>
      <c r="C240" s="6">
        <f>IF(A240="","",TRIM(RIGHT(SUBSTITUTE(A240,"/",REPT(" ",250)),250)))</f>
        <v/>
      </c>
      <c r="D240" s="6">
        <f>IF(C240="","",IF(ISNUMBER(SEARCH(".",C240)),LOWER("."&amp;TRIM(RIGHT(SUBSTITUTE(C240,".",REPT(" ",250)),250))),""))</f>
        <v/>
      </c>
      <c r="E240" s="6">
        <f>IF(C240="","",TRIM(SUBSTITUTE(SUBSTITUTE(SUBSTITUTE(SUBSTITUTE(SUBSTITUTE(SUBSTITUTE(SUBSTITUTE(SUBSTITUTE(SUBSTITUTE(SUBSTITUTE(SUBSTITUTE(SUBSTITUTE(SUBSTITUTE(SUBSTITUTE(SUBSTITUTE(SUBSTITUTE(SUBSTITUTE(SUBSTITUTE(SUBSTITUTE(SUBSTITUTE(LOWER(LEFT(C240,LEN(C240)-LEN(D240))),"_"," "),"-"," "),"."," "),","," "),"("," "),")"," "),"["," "),"]"," "),"&amp;"," "),"+"," "),"@"," "),"#"," "),"!"," "),"'"," "),"/"," "),":"," "),";"," "),"="," "),"~"," "),"%"," ")))</f>
        <v/>
      </c>
      <c r="F240" s="6">
        <f>IF(C240="","",IF(COUNTIF(Classifiers!$A$23:$A$40,D240)&gt;0,1,0))</f>
        <v/>
      </c>
      <c r="G240" s="6">
        <f>IF(C240="","",IF(COUNTIF(Classifiers!$C$23:$C$30,D240)&gt;0,IF((IF(ISNUMBER(SEARCH(Classifiers!$E$23,E240)),1,0)+IF(ISNUMBER(SEARCH(Classifiers!$E$24,E240)),1,0)+IF(ISNUMBER(SEARCH(Classifiers!$E$25,E240)),1,0)+IF(ISNUMBER(SEARCH(Classifiers!$E$26,E240)),1,0)+IF(ISNUMBER(SEARCH(Classifiers!$E$27,E240)),1,0)+IF(ISNUMBER(SEARCH(Classifiers!$E$28,E240)),1,0)+IF(ISNUMBER(SEARCH(Classifiers!$E$29,E240)),1,0)+IF(ISNUMBER(SEARCH(Classifiers!$E$30,E240)),1,0))&gt;0,1,0),0))</f>
        <v/>
      </c>
      <c r="H240" s="6">
        <f>IF(C240="","",IF(OR(LEFT(C240,1)=".",AND(F240=0,G240=0)),0,1))</f>
        <v/>
      </c>
      <c r="I240" s="6">
        <f>IF(H240&lt;&gt;1,"",IF(SUM(J240:W240)=0,"unclassified",INDEX(Classifiers!$A$5:$A$18,MATCH(1,J240:W240,0),1)))</f>
        <v/>
      </c>
      <c r="J240" s="12">
        <f>IF(H240&lt;&gt;1,0,IF((IF(Classifiers!$B$5="",0,IF(ISNUMBER(SEARCH(Classifiers!$B$5,E240)),1,0))+IF(Classifiers!$C$5="",0,IF(ISNUMBER(SEARCH(Classifiers!$C$5,E240)),1,0))+IF(Classifiers!$D$5="",0,IF(ISNUMBER(SEARCH(Classifiers!$D$5,E240)),1,0))+IF(Classifiers!$E$5="",0,IF(ISNUMBER(SEARCH(Classifiers!$E$5,E240)),1,0))+IF(Classifiers!$F$5="",0,IF(ISNUMBER(SEARCH(Classifiers!$F$5,E240)),1,0))+IF(Classifiers!$G$5="",0,IF(ISNUMBER(SEARCH(Classifiers!$G$5,E240)),1,0)))&gt;0,1,0))</f>
        <v/>
      </c>
      <c r="K240" s="12">
        <f>IF(H240&lt;&gt;1,0,IF((IF(Classifiers!$B$6="",0,IF(ISNUMBER(SEARCH(Classifiers!$B$6,E240)),1,0))+IF(Classifiers!$C$6="",0,IF(ISNUMBER(SEARCH(Classifiers!$C$6,E240)),1,0))+IF(Classifiers!$D$6="",0,IF(ISNUMBER(SEARCH(Classifiers!$D$6,E240)),1,0))+IF(Classifiers!$E$6="",0,IF(ISNUMBER(SEARCH(Classifiers!$E$6,E240)),1,0))+IF(Classifiers!$F$6="",0,IF(ISNUMBER(SEARCH(Classifiers!$F$6,E240)),1,0))+IF(Classifiers!$G$6="",0,IF(ISNUMBER(SEARCH(Classifiers!$G$6,E240)),1,0)))&gt;0,1,0))</f>
        <v/>
      </c>
      <c r="L240" s="12">
        <f>IF(H240&lt;&gt;1,0,IF((IF(Classifiers!$B$7="",0,IF(ISNUMBER(SEARCH(Classifiers!$B$7,E240)),1,0))+IF(Classifiers!$C$7="",0,IF(ISNUMBER(SEARCH(Classifiers!$C$7,E240)),1,0))+IF(Classifiers!$D$7="",0,IF(ISNUMBER(SEARCH(Classifiers!$D$7,E240)),1,0))+IF(Classifiers!$E$7="",0,IF(ISNUMBER(SEARCH(Classifiers!$E$7,E240)),1,0))+IF(Classifiers!$F$7="",0,IF(ISNUMBER(SEARCH(Classifiers!$F$7,E240)),1,0))+IF(Classifiers!$G$7="",0,IF(ISNUMBER(SEARCH(Classifiers!$G$7,E240)),1,0)))&gt;0,1,0))</f>
        <v/>
      </c>
      <c r="M240" s="12">
        <f>IF(H240&lt;&gt;1,0,IF((IF(Classifiers!$B$8="",0,IF(ISNUMBER(SEARCH(Classifiers!$B$8,E240)),1,0))+IF(Classifiers!$C$8="",0,IF(ISNUMBER(SEARCH(Classifiers!$C$8,E240)),1,0))+IF(Classifiers!$D$8="",0,IF(ISNUMBER(SEARCH(Classifiers!$D$8,E240)),1,0))+IF(Classifiers!$E$8="",0,IF(ISNUMBER(SEARCH(Classifiers!$E$8,E240)),1,0))+IF(Classifiers!$F$8="",0,IF(ISNUMBER(SEARCH(Classifiers!$F$8,E240)),1,0))+IF(Classifiers!$G$8="",0,IF(ISNUMBER(SEARCH(Classifiers!$G$8,E240)),1,0)))&gt;0,1,0))</f>
        <v/>
      </c>
      <c r="N240" s="12">
        <f>IF(H240&lt;&gt;1,0,IF((IF(Classifiers!$B$9="",0,IF(ISNUMBER(SEARCH(Classifiers!$B$9,E240)),1,0))+IF(Classifiers!$C$9="",0,IF(ISNUMBER(SEARCH(Classifiers!$C$9,E240)),1,0))+IF(Classifiers!$D$9="",0,IF(ISNUMBER(SEARCH(Classifiers!$D$9,E240)),1,0))+IF(Classifiers!$E$9="",0,IF(ISNUMBER(SEARCH(Classifiers!$E$9,E240)),1,0))+IF(Classifiers!$F$9="",0,IF(ISNUMBER(SEARCH(Classifiers!$F$9,E240)),1,0))+IF(Classifiers!$G$9="",0,IF(ISNUMBER(SEARCH(Classifiers!$G$9,E240)),1,0)))&gt;0,1,0))</f>
        <v/>
      </c>
      <c r="O240" s="12">
        <f>IF(H240&lt;&gt;1,0,IF((IF(Classifiers!$B$10="",0,IF(ISNUMBER(SEARCH(Classifiers!$B$10,E240)),1,0))+IF(Classifiers!$C$10="",0,IF(ISNUMBER(SEARCH(Classifiers!$C$10,E240)),1,0))+IF(Classifiers!$D$10="",0,IF(ISNUMBER(SEARCH(Classifiers!$D$10,E240)),1,0))+IF(Classifiers!$E$10="",0,IF(ISNUMBER(SEARCH(Classifiers!$E$10,E240)),1,0))+IF(Classifiers!$F$10="",0,IF(ISNUMBER(SEARCH(Classifiers!$F$10,E240)),1,0))+IF(Classifiers!$G$10="",0,IF(ISNUMBER(SEARCH(Classifiers!$G$10,E240)),1,0)))&gt;0,1,0))</f>
        <v/>
      </c>
      <c r="P240" s="12">
        <f>IF(H240&lt;&gt;1,0,IF((IF(Classifiers!$B$11="",0,IF(ISNUMBER(SEARCH(Classifiers!$B$11,E240)),1,0))+IF(Classifiers!$C$11="",0,IF(ISNUMBER(SEARCH(Classifiers!$C$11,E240)),1,0))+IF(Classifiers!$D$11="",0,IF(ISNUMBER(SEARCH(Classifiers!$D$11,E240)),1,0))+IF(Classifiers!$E$11="",0,IF(ISNUMBER(SEARCH(Classifiers!$E$11,E240)),1,0))+IF(Classifiers!$F$11="",0,IF(ISNUMBER(SEARCH(Classifiers!$F$11,E240)),1,0))+IF(Classifiers!$G$11="",0,IF(ISNUMBER(SEARCH(Classifiers!$G$11,E240)),1,0)))&gt;0,1,0))</f>
        <v/>
      </c>
      <c r="Q240" s="12">
        <f>IF(H240&lt;&gt;1,0,IF((IF(Classifiers!$B$12="",0,IF(ISNUMBER(SEARCH(Classifiers!$B$12,E240)),1,0))+IF(Classifiers!$C$12="",0,IF(ISNUMBER(SEARCH(Classifiers!$C$12,E240)),1,0))+IF(Classifiers!$D$12="",0,IF(ISNUMBER(SEARCH(Classifiers!$D$12,E240)),1,0))+IF(Classifiers!$E$12="",0,IF(ISNUMBER(SEARCH(Classifiers!$E$12,E240)),1,0))+IF(Classifiers!$F$12="",0,IF(ISNUMBER(SEARCH(Classifiers!$F$12,E240)),1,0))+IF(Classifiers!$G$12="",0,IF(ISNUMBER(SEARCH(Classifiers!$G$12,E240)),1,0)))&gt;0,1,0))</f>
        <v/>
      </c>
      <c r="R240" s="12">
        <f>IF(H240&lt;&gt;1,0,IF((IF(Classifiers!$B$13="",0,IF(ISNUMBER(SEARCH(Classifiers!$B$13,E240)),1,0))+IF(Classifiers!$C$13="",0,IF(ISNUMBER(SEARCH(Classifiers!$C$13,E240)),1,0))+IF(Classifiers!$D$13="",0,IF(ISNUMBER(SEARCH(Classifiers!$D$13,E240)),1,0))+IF(Classifiers!$E$13="",0,IF(ISNUMBER(SEARCH(Classifiers!$E$13,E240)),1,0))+IF(Classifiers!$F$13="",0,IF(ISNUMBER(SEARCH(Classifiers!$F$13,E240)),1,0))+IF(Classifiers!$G$13="",0,IF(ISNUMBER(SEARCH(Classifiers!$G$13,E240)),1,0)))&gt;0,1,0))</f>
        <v/>
      </c>
      <c r="S240" s="12">
        <f>IF(H240&lt;&gt;1,0,IF((IF(Classifiers!$B$14="",0,IF(ISNUMBER(SEARCH(Classifiers!$B$14,E240)),1,0))+IF(Classifiers!$C$14="",0,IF(ISNUMBER(SEARCH(Classifiers!$C$14,E240)),1,0))+IF(Classifiers!$D$14="",0,IF(ISNUMBER(SEARCH(Classifiers!$D$14,E240)),1,0))+IF(Classifiers!$E$14="",0,IF(ISNUMBER(SEARCH(Classifiers!$E$14,E240)),1,0))+IF(Classifiers!$F$14="",0,IF(ISNUMBER(SEARCH(Classifiers!$F$14,E240)),1,0))+IF(Classifiers!$G$14="",0,IF(ISNUMBER(SEARCH(Classifiers!$G$14,E240)),1,0)))&gt;0,1,0))</f>
        <v/>
      </c>
      <c r="T240" s="12">
        <f>IF(H240&lt;&gt;1,0,IF((IF(Classifiers!$B$15="",0,IF(ISNUMBER(SEARCH(Classifiers!$B$15,E240)),1,0))+IF(Classifiers!$C$15="",0,IF(ISNUMBER(SEARCH(Classifiers!$C$15,E240)),1,0))+IF(Classifiers!$D$15="",0,IF(ISNUMBER(SEARCH(Classifiers!$D$15,E240)),1,0))+IF(Classifiers!$E$15="",0,IF(ISNUMBER(SEARCH(Classifiers!$E$15,E240)),1,0))+IF(Classifiers!$F$15="",0,IF(ISNUMBER(SEARCH(Classifiers!$F$15,E240)),1,0))+IF(Classifiers!$G$15="",0,IF(ISNUMBER(SEARCH(Classifiers!$G$15,E240)),1,0)))&gt;0,1,0))</f>
        <v/>
      </c>
      <c r="U240" s="12">
        <f>IF(H240&lt;&gt;1,0,IF((IF(Classifiers!$B$16="",0,IF(ISNUMBER(SEARCH(Classifiers!$B$16,E240)),1,0))+IF(Classifiers!$C$16="",0,IF(ISNUMBER(SEARCH(Classifiers!$C$16,E240)),1,0))+IF(Classifiers!$D$16="",0,IF(ISNUMBER(SEARCH(Classifiers!$D$16,E240)),1,0))+IF(Classifiers!$E$16="",0,IF(ISNUMBER(SEARCH(Classifiers!$E$16,E240)),1,0))+IF(Classifiers!$F$16="",0,IF(ISNUMBER(SEARCH(Classifiers!$F$16,E240)),1,0))+IF(Classifiers!$G$16="",0,IF(ISNUMBER(SEARCH(Classifiers!$G$16,E240)),1,0)))&gt;0,1,0))</f>
        <v/>
      </c>
      <c r="V240" s="12">
        <f>IF(H240&lt;&gt;1,0,IF((IF(Classifiers!$B$17="",0,IF(ISNUMBER(SEARCH(Classifiers!$B$17,E240)),1,0))+IF(Classifiers!$C$17="",0,IF(ISNUMBER(SEARCH(Classifiers!$C$17,E240)),1,0))+IF(Classifiers!$D$17="",0,IF(ISNUMBER(SEARCH(Classifiers!$D$17,E240)),1,0))+IF(Classifiers!$E$17="",0,IF(ISNUMBER(SEARCH(Classifiers!$E$17,E240)),1,0))+IF(Classifiers!$F$17="",0,IF(ISNUMBER(SEARCH(Classifiers!$F$17,E240)),1,0))+IF(Classifiers!$G$17="",0,IF(ISNUMBER(SEARCH(Classifiers!$G$17,E240)),1,0)))&gt;0,1,0))</f>
        <v/>
      </c>
      <c r="W240" s="12">
        <f>IF(H240&lt;&gt;1,0,IF((IF(Classifiers!$B$18="",0,IF(ISNUMBER(SEARCH(Classifiers!$B$18,E240)),1,0))+IF(Classifiers!$C$18="",0,IF(ISNUMBER(SEARCH(Classifiers!$C$18,E240)),1,0))+IF(Classifiers!$D$18="",0,IF(ISNUMBER(SEARCH(Classifiers!$D$18,E240)),1,0))+IF(Classifiers!$E$18="",0,IF(ISNUMBER(SEARCH(Classifiers!$E$18,E240)),1,0))+IF(Classifiers!$F$18="",0,IF(ISNUMBER(SEARCH(Classifiers!$F$18,E240)),1,0))+IF(Classifiers!$G$18="",0,IF(ISNUMBER(SEARCH(Classifiers!$G$18,E240)),1,0)))&gt;0,1,0))</f>
        <v/>
      </c>
    </row>
    <row r="241">
      <c r="A241" s="8" t="n"/>
      <c r="B241" s="11" t="n"/>
      <c r="C241" s="6">
        <f>IF(A241="","",TRIM(RIGHT(SUBSTITUTE(A241,"/",REPT(" ",250)),250)))</f>
        <v/>
      </c>
      <c r="D241" s="6">
        <f>IF(C241="","",IF(ISNUMBER(SEARCH(".",C241)),LOWER("."&amp;TRIM(RIGHT(SUBSTITUTE(C241,".",REPT(" ",250)),250))),""))</f>
        <v/>
      </c>
      <c r="E241" s="6">
        <f>IF(C241="","",TRIM(SUBSTITUTE(SUBSTITUTE(SUBSTITUTE(SUBSTITUTE(SUBSTITUTE(SUBSTITUTE(SUBSTITUTE(SUBSTITUTE(SUBSTITUTE(SUBSTITUTE(SUBSTITUTE(SUBSTITUTE(SUBSTITUTE(SUBSTITUTE(SUBSTITUTE(SUBSTITUTE(SUBSTITUTE(SUBSTITUTE(SUBSTITUTE(SUBSTITUTE(LOWER(LEFT(C241,LEN(C241)-LEN(D241))),"_"," "),"-"," "),"."," "),","," "),"("," "),")"," "),"["," "),"]"," "),"&amp;"," "),"+"," "),"@"," "),"#"," "),"!"," "),"'"," "),"/"," "),":"," "),";"," "),"="," "),"~"," "),"%"," ")))</f>
        <v/>
      </c>
      <c r="F241" s="6">
        <f>IF(C241="","",IF(COUNTIF(Classifiers!$A$23:$A$40,D241)&gt;0,1,0))</f>
        <v/>
      </c>
      <c r="G241" s="6">
        <f>IF(C241="","",IF(COUNTIF(Classifiers!$C$23:$C$30,D241)&gt;0,IF((IF(ISNUMBER(SEARCH(Classifiers!$E$23,E241)),1,0)+IF(ISNUMBER(SEARCH(Classifiers!$E$24,E241)),1,0)+IF(ISNUMBER(SEARCH(Classifiers!$E$25,E241)),1,0)+IF(ISNUMBER(SEARCH(Classifiers!$E$26,E241)),1,0)+IF(ISNUMBER(SEARCH(Classifiers!$E$27,E241)),1,0)+IF(ISNUMBER(SEARCH(Classifiers!$E$28,E241)),1,0)+IF(ISNUMBER(SEARCH(Classifiers!$E$29,E241)),1,0)+IF(ISNUMBER(SEARCH(Classifiers!$E$30,E241)),1,0))&gt;0,1,0),0))</f>
        <v/>
      </c>
      <c r="H241" s="6">
        <f>IF(C241="","",IF(OR(LEFT(C241,1)=".",AND(F241=0,G241=0)),0,1))</f>
        <v/>
      </c>
      <c r="I241" s="6">
        <f>IF(H241&lt;&gt;1,"",IF(SUM(J241:W241)=0,"unclassified",INDEX(Classifiers!$A$5:$A$18,MATCH(1,J241:W241,0),1)))</f>
        <v/>
      </c>
      <c r="J241" s="12">
        <f>IF(H241&lt;&gt;1,0,IF((IF(Classifiers!$B$5="",0,IF(ISNUMBER(SEARCH(Classifiers!$B$5,E241)),1,0))+IF(Classifiers!$C$5="",0,IF(ISNUMBER(SEARCH(Classifiers!$C$5,E241)),1,0))+IF(Classifiers!$D$5="",0,IF(ISNUMBER(SEARCH(Classifiers!$D$5,E241)),1,0))+IF(Classifiers!$E$5="",0,IF(ISNUMBER(SEARCH(Classifiers!$E$5,E241)),1,0))+IF(Classifiers!$F$5="",0,IF(ISNUMBER(SEARCH(Classifiers!$F$5,E241)),1,0))+IF(Classifiers!$G$5="",0,IF(ISNUMBER(SEARCH(Classifiers!$G$5,E241)),1,0)))&gt;0,1,0))</f>
        <v/>
      </c>
      <c r="K241" s="12">
        <f>IF(H241&lt;&gt;1,0,IF((IF(Classifiers!$B$6="",0,IF(ISNUMBER(SEARCH(Classifiers!$B$6,E241)),1,0))+IF(Classifiers!$C$6="",0,IF(ISNUMBER(SEARCH(Classifiers!$C$6,E241)),1,0))+IF(Classifiers!$D$6="",0,IF(ISNUMBER(SEARCH(Classifiers!$D$6,E241)),1,0))+IF(Classifiers!$E$6="",0,IF(ISNUMBER(SEARCH(Classifiers!$E$6,E241)),1,0))+IF(Classifiers!$F$6="",0,IF(ISNUMBER(SEARCH(Classifiers!$F$6,E241)),1,0))+IF(Classifiers!$G$6="",0,IF(ISNUMBER(SEARCH(Classifiers!$G$6,E241)),1,0)))&gt;0,1,0))</f>
        <v/>
      </c>
      <c r="L241" s="12">
        <f>IF(H241&lt;&gt;1,0,IF((IF(Classifiers!$B$7="",0,IF(ISNUMBER(SEARCH(Classifiers!$B$7,E241)),1,0))+IF(Classifiers!$C$7="",0,IF(ISNUMBER(SEARCH(Classifiers!$C$7,E241)),1,0))+IF(Classifiers!$D$7="",0,IF(ISNUMBER(SEARCH(Classifiers!$D$7,E241)),1,0))+IF(Classifiers!$E$7="",0,IF(ISNUMBER(SEARCH(Classifiers!$E$7,E241)),1,0))+IF(Classifiers!$F$7="",0,IF(ISNUMBER(SEARCH(Classifiers!$F$7,E241)),1,0))+IF(Classifiers!$G$7="",0,IF(ISNUMBER(SEARCH(Classifiers!$G$7,E241)),1,0)))&gt;0,1,0))</f>
        <v/>
      </c>
      <c r="M241" s="12">
        <f>IF(H241&lt;&gt;1,0,IF((IF(Classifiers!$B$8="",0,IF(ISNUMBER(SEARCH(Classifiers!$B$8,E241)),1,0))+IF(Classifiers!$C$8="",0,IF(ISNUMBER(SEARCH(Classifiers!$C$8,E241)),1,0))+IF(Classifiers!$D$8="",0,IF(ISNUMBER(SEARCH(Classifiers!$D$8,E241)),1,0))+IF(Classifiers!$E$8="",0,IF(ISNUMBER(SEARCH(Classifiers!$E$8,E241)),1,0))+IF(Classifiers!$F$8="",0,IF(ISNUMBER(SEARCH(Classifiers!$F$8,E241)),1,0))+IF(Classifiers!$G$8="",0,IF(ISNUMBER(SEARCH(Classifiers!$G$8,E241)),1,0)))&gt;0,1,0))</f>
        <v/>
      </c>
      <c r="N241" s="12">
        <f>IF(H241&lt;&gt;1,0,IF((IF(Classifiers!$B$9="",0,IF(ISNUMBER(SEARCH(Classifiers!$B$9,E241)),1,0))+IF(Classifiers!$C$9="",0,IF(ISNUMBER(SEARCH(Classifiers!$C$9,E241)),1,0))+IF(Classifiers!$D$9="",0,IF(ISNUMBER(SEARCH(Classifiers!$D$9,E241)),1,0))+IF(Classifiers!$E$9="",0,IF(ISNUMBER(SEARCH(Classifiers!$E$9,E241)),1,0))+IF(Classifiers!$F$9="",0,IF(ISNUMBER(SEARCH(Classifiers!$F$9,E241)),1,0))+IF(Classifiers!$G$9="",0,IF(ISNUMBER(SEARCH(Classifiers!$G$9,E241)),1,0)))&gt;0,1,0))</f>
        <v/>
      </c>
      <c r="O241" s="12">
        <f>IF(H241&lt;&gt;1,0,IF((IF(Classifiers!$B$10="",0,IF(ISNUMBER(SEARCH(Classifiers!$B$10,E241)),1,0))+IF(Classifiers!$C$10="",0,IF(ISNUMBER(SEARCH(Classifiers!$C$10,E241)),1,0))+IF(Classifiers!$D$10="",0,IF(ISNUMBER(SEARCH(Classifiers!$D$10,E241)),1,0))+IF(Classifiers!$E$10="",0,IF(ISNUMBER(SEARCH(Classifiers!$E$10,E241)),1,0))+IF(Classifiers!$F$10="",0,IF(ISNUMBER(SEARCH(Classifiers!$F$10,E241)),1,0))+IF(Classifiers!$G$10="",0,IF(ISNUMBER(SEARCH(Classifiers!$G$10,E241)),1,0)))&gt;0,1,0))</f>
        <v/>
      </c>
      <c r="P241" s="12">
        <f>IF(H241&lt;&gt;1,0,IF((IF(Classifiers!$B$11="",0,IF(ISNUMBER(SEARCH(Classifiers!$B$11,E241)),1,0))+IF(Classifiers!$C$11="",0,IF(ISNUMBER(SEARCH(Classifiers!$C$11,E241)),1,0))+IF(Classifiers!$D$11="",0,IF(ISNUMBER(SEARCH(Classifiers!$D$11,E241)),1,0))+IF(Classifiers!$E$11="",0,IF(ISNUMBER(SEARCH(Classifiers!$E$11,E241)),1,0))+IF(Classifiers!$F$11="",0,IF(ISNUMBER(SEARCH(Classifiers!$F$11,E241)),1,0))+IF(Classifiers!$G$11="",0,IF(ISNUMBER(SEARCH(Classifiers!$G$11,E241)),1,0)))&gt;0,1,0))</f>
        <v/>
      </c>
      <c r="Q241" s="12">
        <f>IF(H241&lt;&gt;1,0,IF((IF(Classifiers!$B$12="",0,IF(ISNUMBER(SEARCH(Classifiers!$B$12,E241)),1,0))+IF(Classifiers!$C$12="",0,IF(ISNUMBER(SEARCH(Classifiers!$C$12,E241)),1,0))+IF(Classifiers!$D$12="",0,IF(ISNUMBER(SEARCH(Classifiers!$D$12,E241)),1,0))+IF(Classifiers!$E$12="",0,IF(ISNUMBER(SEARCH(Classifiers!$E$12,E241)),1,0))+IF(Classifiers!$F$12="",0,IF(ISNUMBER(SEARCH(Classifiers!$F$12,E241)),1,0))+IF(Classifiers!$G$12="",0,IF(ISNUMBER(SEARCH(Classifiers!$G$12,E241)),1,0)))&gt;0,1,0))</f>
        <v/>
      </c>
      <c r="R241" s="12">
        <f>IF(H241&lt;&gt;1,0,IF((IF(Classifiers!$B$13="",0,IF(ISNUMBER(SEARCH(Classifiers!$B$13,E241)),1,0))+IF(Classifiers!$C$13="",0,IF(ISNUMBER(SEARCH(Classifiers!$C$13,E241)),1,0))+IF(Classifiers!$D$13="",0,IF(ISNUMBER(SEARCH(Classifiers!$D$13,E241)),1,0))+IF(Classifiers!$E$13="",0,IF(ISNUMBER(SEARCH(Classifiers!$E$13,E241)),1,0))+IF(Classifiers!$F$13="",0,IF(ISNUMBER(SEARCH(Classifiers!$F$13,E241)),1,0))+IF(Classifiers!$G$13="",0,IF(ISNUMBER(SEARCH(Classifiers!$G$13,E241)),1,0)))&gt;0,1,0))</f>
        <v/>
      </c>
      <c r="S241" s="12">
        <f>IF(H241&lt;&gt;1,0,IF((IF(Classifiers!$B$14="",0,IF(ISNUMBER(SEARCH(Classifiers!$B$14,E241)),1,0))+IF(Classifiers!$C$14="",0,IF(ISNUMBER(SEARCH(Classifiers!$C$14,E241)),1,0))+IF(Classifiers!$D$14="",0,IF(ISNUMBER(SEARCH(Classifiers!$D$14,E241)),1,0))+IF(Classifiers!$E$14="",0,IF(ISNUMBER(SEARCH(Classifiers!$E$14,E241)),1,0))+IF(Classifiers!$F$14="",0,IF(ISNUMBER(SEARCH(Classifiers!$F$14,E241)),1,0))+IF(Classifiers!$G$14="",0,IF(ISNUMBER(SEARCH(Classifiers!$G$14,E241)),1,0)))&gt;0,1,0))</f>
        <v/>
      </c>
      <c r="T241" s="12">
        <f>IF(H241&lt;&gt;1,0,IF((IF(Classifiers!$B$15="",0,IF(ISNUMBER(SEARCH(Classifiers!$B$15,E241)),1,0))+IF(Classifiers!$C$15="",0,IF(ISNUMBER(SEARCH(Classifiers!$C$15,E241)),1,0))+IF(Classifiers!$D$15="",0,IF(ISNUMBER(SEARCH(Classifiers!$D$15,E241)),1,0))+IF(Classifiers!$E$15="",0,IF(ISNUMBER(SEARCH(Classifiers!$E$15,E241)),1,0))+IF(Classifiers!$F$15="",0,IF(ISNUMBER(SEARCH(Classifiers!$F$15,E241)),1,0))+IF(Classifiers!$G$15="",0,IF(ISNUMBER(SEARCH(Classifiers!$G$15,E241)),1,0)))&gt;0,1,0))</f>
        <v/>
      </c>
      <c r="U241" s="12">
        <f>IF(H241&lt;&gt;1,0,IF((IF(Classifiers!$B$16="",0,IF(ISNUMBER(SEARCH(Classifiers!$B$16,E241)),1,0))+IF(Classifiers!$C$16="",0,IF(ISNUMBER(SEARCH(Classifiers!$C$16,E241)),1,0))+IF(Classifiers!$D$16="",0,IF(ISNUMBER(SEARCH(Classifiers!$D$16,E241)),1,0))+IF(Classifiers!$E$16="",0,IF(ISNUMBER(SEARCH(Classifiers!$E$16,E241)),1,0))+IF(Classifiers!$F$16="",0,IF(ISNUMBER(SEARCH(Classifiers!$F$16,E241)),1,0))+IF(Classifiers!$G$16="",0,IF(ISNUMBER(SEARCH(Classifiers!$G$16,E241)),1,0)))&gt;0,1,0))</f>
        <v/>
      </c>
      <c r="V241" s="12">
        <f>IF(H241&lt;&gt;1,0,IF((IF(Classifiers!$B$17="",0,IF(ISNUMBER(SEARCH(Classifiers!$B$17,E241)),1,0))+IF(Classifiers!$C$17="",0,IF(ISNUMBER(SEARCH(Classifiers!$C$17,E241)),1,0))+IF(Classifiers!$D$17="",0,IF(ISNUMBER(SEARCH(Classifiers!$D$17,E241)),1,0))+IF(Classifiers!$E$17="",0,IF(ISNUMBER(SEARCH(Classifiers!$E$17,E241)),1,0))+IF(Classifiers!$F$17="",0,IF(ISNUMBER(SEARCH(Classifiers!$F$17,E241)),1,0))+IF(Classifiers!$G$17="",0,IF(ISNUMBER(SEARCH(Classifiers!$G$17,E241)),1,0)))&gt;0,1,0))</f>
        <v/>
      </c>
      <c r="W241" s="12">
        <f>IF(H241&lt;&gt;1,0,IF((IF(Classifiers!$B$18="",0,IF(ISNUMBER(SEARCH(Classifiers!$B$18,E241)),1,0))+IF(Classifiers!$C$18="",0,IF(ISNUMBER(SEARCH(Classifiers!$C$18,E241)),1,0))+IF(Classifiers!$D$18="",0,IF(ISNUMBER(SEARCH(Classifiers!$D$18,E241)),1,0))+IF(Classifiers!$E$18="",0,IF(ISNUMBER(SEARCH(Classifiers!$E$18,E241)),1,0))+IF(Classifiers!$F$18="",0,IF(ISNUMBER(SEARCH(Classifiers!$F$18,E241)),1,0))+IF(Classifiers!$G$18="",0,IF(ISNUMBER(SEARCH(Classifiers!$G$18,E241)),1,0)))&gt;0,1,0))</f>
        <v/>
      </c>
    </row>
    <row r="242">
      <c r="A242" s="8" t="n"/>
      <c r="B242" s="11" t="n"/>
      <c r="C242" s="6">
        <f>IF(A242="","",TRIM(RIGHT(SUBSTITUTE(A242,"/",REPT(" ",250)),250)))</f>
        <v/>
      </c>
      <c r="D242" s="6">
        <f>IF(C242="","",IF(ISNUMBER(SEARCH(".",C242)),LOWER("."&amp;TRIM(RIGHT(SUBSTITUTE(C242,".",REPT(" ",250)),250))),""))</f>
        <v/>
      </c>
      <c r="E242" s="6">
        <f>IF(C242="","",TRIM(SUBSTITUTE(SUBSTITUTE(SUBSTITUTE(SUBSTITUTE(SUBSTITUTE(SUBSTITUTE(SUBSTITUTE(SUBSTITUTE(SUBSTITUTE(SUBSTITUTE(SUBSTITUTE(SUBSTITUTE(SUBSTITUTE(SUBSTITUTE(SUBSTITUTE(SUBSTITUTE(SUBSTITUTE(SUBSTITUTE(SUBSTITUTE(SUBSTITUTE(LOWER(LEFT(C242,LEN(C242)-LEN(D242))),"_"," "),"-"," "),"."," "),","," "),"("," "),")"," "),"["," "),"]"," "),"&amp;"," "),"+"," "),"@"," "),"#"," "),"!"," "),"'"," "),"/"," "),":"," "),";"," "),"="," "),"~"," "),"%"," ")))</f>
        <v/>
      </c>
      <c r="F242" s="6">
        <f>IF(C242="","",IF(COUNTIF(Classifiers!$A$23:$A$40,D242)&gt;0,1,0))</f>
        <v/>
      </c>
      <c r="G242" s="6">
        <f>IF(C242="","",IF(COUNTIF(Classifiers!$C$23:$C$30,D242)&gt;0,IF((IF(ISNUMBER(SEARCH(Classifiers!$E$23,E242)),1,0)+IF(ISNUMBER(SEARCH(Classifiers!$E$24,E242)),1,0)+IF(ISNUMBER(SEARCH(Classifiers!$E$25,E242)),1,0)+IF(ISNUMBER(SEARCH(Classifiers!$E$26,E242)),1,0)+IF(ISNUMBER(SEARCH(Classifiers!$E$27,E242)),1,0)+IF(ISNUMBER(SEARCH(Classifiers!$E$28,E242)),1,0)+IF(ISNUMBER(SEARCH(Classifiers!$E$29,E242)),1,0)+IF(ISNUMBER(SEARCH(Classifiers!$E$30,E242)),1,0))&gt;0,1,0),0))</f>
        <v/>
      </c>
      <c r="H242" s="6">
        <f>IF(C242="","",IF(OR(LEFT(C242,1)=".",AND(F242=0,G242=0)),0,1))</f>
        <v/>
      </c>
      <c r="I242" s="6">
        <f>IF(H242&lt;&gt;1,"",IF(SUM(J242:W242)=0,"unclassified",INDEX(Classifiers!$A$5:$A$18,MATCH(1,J242:W242,0),1)))</f>
        <v/>
      </c>
      <c r="J242" s="12">
        <f>IF(H242&lt;&gt;1,0,IF((IF(Classifiers!$B$5="",0,IF(ISNUMBER(SEARCH(Classifiers!$B$5,E242)),1,0))+IF(Classifiers!$C$5="",0,IF(ISNUMBER(SEARCH(Classifiers!$C$5,E242)),1,0))+IF(Classifiers!$D$5="",0,IF(ISNUMBER(SEARCH(Classifiers!$D$5,E242)),1,0))+IF(Classifiers!$E$5="",0,IF(ISNUMBER(SEARCH(Classifiers!$E$5,E242)),1,0))+IF(Classifiers!$F$5="",0,IF(ISNUMBER(SEARCH(Classifiers!$F$5,E242)),1,0))+IF(Classifiers!$G$5="",0,IF(ISNUMBER(SEARCH(Classifiers!$G$5,E242)),1,0)))&gt;0,1,0))</f>
        <v/>
      </c>
      <c r="K242" s="12">
        <f>IF(H242&lt;&gt;1,0,IF((IF(Classifiers!$B$6="",0,IF(ISNUMBER(SEARCH(Classifiers!$B$6,E242)),1,0))+IF(Classifiers!$C$6="",0,IF(ISNUMBER(SEARCH(Classifiers!$C$6,E242)),1,0))+IF(Classifiers!$D$6="",0,IF(ISNUMBER(SEARCH(Classifiers!$D$6,E242)),1,0))+IF(Classifiers!$E$6="",0,IF(ISNUMBER(SEARCH(Classifiers!$E$6,E242)),1,0))+IF(Classifiers!$F$6="",0,IF(ISNUMBER(SEARCH(Classifiers!$F$6,E242)),1,0))+IF(Classifiers!$G$6="",0,IF(ISNUMBER(SEARCH(Classifiers!$G$6,E242)),1,0)))&gt;0,1,0))</f>
        <v/>
      </c>
      <c r="L242" s="12">
        <f>IF(H242&lt;&gt;1,0,IF((IF(Classifiers!$B$7="",0,IF(ISNUMBER(SEARCH(Classifiers!$B$7,E242)),1,0))+IF(Classifiers!$C$7="",0,IF(ISNUMBER(SEARCH(Classifiers!$C$7,E242)),1,0))+IF(Classifiers!$D$7="",0,IF(ISNUMBER(SEARCH(Classifiers!$D$7,E242)),1,0))+IF(Classifiers!$E$7="",0,IF(ISNUMBER(SEARCH(Classifiers!$E$7,E242)),1,0))+IF(Classifiers!$F$7="",0,IF(ISNUMBER(SEARCH(Classifiers!$F$7,E242)),1,0))+IF(Classifiers!$G$7="",0,IF(ISNUMBER(SEARCH(Classifiers!$G$7,E242)),1,0)))&gt;0,1,0))</f>
        <v/>
      </c>
      <c r="M242" s="12">
        <f>IF(H242&lt;&gt;1,0,IF((IF(Classifiers!$B$8="",0,IF(ISNUMBER(SEARCH(Classifiers!$B$8,E242)),1,0))+IF(Classifiers!$C$8="",0,IF(ISNUMBER(SEARCH(Classifiers!$C$8,E242)),1,0))+IF(Classifiers!$D$8="",0,IF(ISNUMBER(SEARCH(Classifiers!$D$8,E242)),1,0))+IF(Classifiers!$E$8="",0,IF(ISNUMBER(SEARCH(Classifiers!$E$8,E242)),1,0))+IF(Classifiers!$F$8="",0,IF(ISNUMBER(SEARCH(Classifiers!$F$8,E242)),1,0))+IF(Classifiers!$G$8="",0,IF(ISNUMBER(SEARCH(Classifiers!$G$8,E242)),1,0)))&gt;0,1,0))</f>
        <v/>
      </c>
      <c r="N242" s="12">
        <f>IF(H242&lt;&gt;1,0,IF((IF(Classifiers!$B$9="",0,IF(ISNUMBER(SEARCH(Classifiers!$B$9,E242)),1,0))+IF(Classifiers!$C$9="",0,IF(ISNUMBER(SEARCH(Classifiers!$C$9,E242)),1,0))+IF(Classifiers!$D$9="",0,IF(ISNUMBER(SEARCH(Classifiers!$D$9,E242)),1,0))+IF(Classifiers!$E$9="",0,IF(ISNUMBER(SEARCH(Classifiers!$E$9,E242)),1,0))+IF(Classifiers!$F$9="",0,IF(ISNUMBER(SEARCH(Classifiers!$F$9,E242)),1,0))+IF(Classifiers!$G$9="",0,IF(ISNUMBER(SEARCH(Classifiers!$G$9,E242)),1,0)))&gt;0,1,0))</f>
        <v/>
      </c>
      <c r="O242" s="12">
        <f>IF(H242&lt;&gt;1,0,IF((IF(Classifiers!$B$10="",0,IF(ISNUMBER(SEARCH(Classifiers!$B$10,E242)),1,0))+IF(Classifiers!$C$10="",0,IF(ISNUMBER(SEARCH(Classifiers!$C$10,E242)),1,0))+IF(Classifiers!$D$10="",0,IF(ISNUMBER(SEARCH(Classifiers!$D$10,E242)),1,0))+IF(Classifiers!$E$10="",0,IF(ISNUMBER(SEARCH(Classifiers!$E$10,E242)),1,0))+IF(Classifiers!$F$10="",0,IF(ISNUMBER(SEARCH(Classifiers!$F$10,E242)),1,0))+IF(Classifiers!$G$10="",0,IF(ISNUMBER(SEARCH(Classifiers!$G$10,E242)),1,0)))&gt;0,1,0))</f>
        <v/>
      </c>
      <c r="P242" s="12">
        <f>IF(H242&lt;&gt;1,0,IF((IF(Classifiers!$B$11="",0,IF(ISNUMBER(SEARCH(Classifiers!$B$11,E242)),1,0))+IF(Classifiers!$C$11="",0,IF(ISNUMBER(SEARCH(Classifiers!$C$11,E242)),1,0))+IF(Classifiers!$D$11="",0,IF(ISNUMBER(SEARCH(Classifiers!$D$11,E242)),1,0))+IF(Classifiers!$E$11="",0,IF(ISNUMBER(SEARCH(Classifiers!$E$11,E242)),1,0))+IF(Classifiers!$F$11="",0,IF(ISNUMBER(SEARCH(Classifiers!$F$11,E242)),1,0))+IF(Classifiers!$G$11="",0,IF(ISNUMBER(SEARCH(Classifiers!$G$11,E242)),1,0)))&gt;0,1,0))</f>
        <v/>
      </c>
      <c r="Q242" s="12">
        <f>IF(H242&lt;&gt;1,0,IF((IF(Classifiers!$B$12="",0,IF(ISNUMBER(SEARCH(Classifiers!$B$12,E242)),1,0))+IF(Classifiers!$C$12="",0,IF(ISNUMBER(SEARCH(Classifiers!$C$12,E242)),1,0))+IF(Classifiers!$D$12="",0,IF(ISNUMBER(SEARCH(Classifiers!$D$12,E242)),1,0))+IF(Classifiers!$E$12="",0,IF(ISNUMBER(SEARCH(Classifiers!$E$12,E242)),1,0))+IF(Classifiers!$F$12="",0,IF(ISNUMBER(SEARCH(Classifiers!$F$12,E242)),1,0))+IF(Classifiers!$G$12="",0,IF(ISNUMBER(SEARCH(Classifiers!$G$12,E242)),1,0)))&gt;0,1,0))</f>
        <v/>
      </c>
      <c r="R242" s="12">
        <f>IF(H242&lt;&gt;1,0,IF((IF(Classifiers!$B$13="",0,IF(ISNUMBER(SEARCH(Classifiers!$B$13,E242)),1,0))+IF(Classifiers!$C$13="",0,IF(ISNUMBER(SEARCH(Classifiers!$C$13,E242)),1,0))+IF(Classifiers!$D$13="",0,IF(ISNUMBER(SEARCH(Classifiers!$D$13,E242)),1,0))+IF(Classifiers!$E$13="",0,IF(ISNUMBER(SEARCH(Classifiers!$E$13,E242)),1,0))+IF(Classifiers!$F$13="",0,IF(ISNUMBER(SEARCH(Classifiers!$F$13,E242)),1,0))+IF(Classifiers!$G$13="",0,IF(ISNUMBER(SEARCH(Classifiers!$G$13,E242)),1,0)))&gt;0,1,0))</f>
        <v/>
      </c>
      <c r="S242" s="12">
        <f>IF(H242&lt;&gt;1,0,IF((IF(Classifiers!$B$14="",0,IF(ISNUMBER(SEARCH(Classifiers!$B$14,E242)),1,0))+IF(Classifiers!$C$14="",0,IF(ISNUMBER(SEARCH(Classifiers!$C$14,E242)),1,0))+IF(Classifiers!$D$14="",0,IF(ISNUMBER(SEARCH(Classifiers!$D$14,E242)),1,0))+IF(Classifiers!$E$14="",0,IF(ISNUMBER(SEARCH(Classifiers!$E$14,E242)),1,0))+IF(Classifiers!$F$14="",0,IF(ISNUMBER(SEARCH(Classifiers!$F$14,E242)),1,0))+IF(Classifiers!$G$14="",0,IF(ISNUMBER(SEARCH(Classifiers!$G$14,E242)),1,0)))&gt;0,1,0))</f>
        <v/>
      </c>
      <c r="T242" s="12">
        <f>IF(H242&lt;&gt;1,0,IF((IF(Classifiers!$B$15="",0,IF(ISNUMBER(SEARCH(Classifiers!$B$15,E242)),1,0))+IF(Classifiers!$C$15="",0,IF(ISNUMBER(SEARCH(Classifiers!$C$15,E242)),1,0))+IF(Classifiers!$D$15="",0,IF(ISNUMBER(SEARCH(Classifiers!$D$15,E242)),1,0))+IF(Classifiers!$E$15="",0,IF(ISNUMBER(SEARCH(Classifiers!$E$15,E242)),1,0))+IF(Classifiers!$F$15="",0,IF(ISNUMBER(SEARCH(Classifiers!$F$15,E242)),1,0))+IF(Classifiers!$G$15="",0,IF(ISNUMBER(SEARCH(Classifiers!$G$15,E242)),1,0)))&gt;0,1,0))</f>
        <v/>
      </c>
      <c r="U242" s="12">
        <f>IF(H242&lt;&gt;1,0,IF((IF(Classifiers!$B$16="",0,IF(ISNUMBER(SEARCH(Classifiers!$B$16,E242)),1,0))+IF(Classifiers!$C$16="",0,IF(ISNUMBER(SEARCH(Classifiers!$C$16,E242)),1,0))+IF(Classifiers!$D$16="",0,IF(ISNUMBER(SEARCH(Classifiers!$D$16,E242)),1,0))+IF(Classifiers!$E$16="",0,IF(ISNUMBER(SEARCH(Classifiers!$E$16,E242)),1,0))+IF(Classifiers!$F$16="",0,IF(ISNUMBER(SEARCH(Classifiers!$F$16,E242)),1,0))+IF(Classifiers!$G$16="",0,IF(ISNUMBER(SEARCH(Classifiers!$G$16,E242)),1,0)))&gt;0,1,0))</f>
        <v/>
      </c>
      <c r="V242" s="12">
        <f>IF(H242&lt;&gt;1,0,IF((IF(Classifiers!$B$17="",0,IF(ISNUMBER(SEARCH(Classifiers!$B$17,E242)),1,0))+IF(Classifiers!$C$17="",0,IF(ISNUMBER(SEARCH(Classifiers!$C$17,E242)),1,0))+IF(Classifiers!$D$17="",0,IF(ISNUMBER(SEARCH(Classifiers!$D$17,E242)),1,0))+IF(Classifiers!$E$17="",0,IF(ISNUMBER(SEARCH(Classifiers!$E$17,E242)),1,0))+IF(Classifiers!$F$17="",0,IF(ISNUMBER(SEARCH(Classifiers!$F$17,E242)),1,0))+IF(Classifiers!$G$17="",0,IF(ISNUMBER(SEARCH(Classifiers!$G$17,E242)),1,0)))&gt;0,1,0))</f>
        <v/>
      </c>
      <c r="W242" s="12">
        <f>IF(H242&lt;&gt;1,0,IF((IF(Classifiers!$B$18="",0,IF(ISNUMBER(SEARCH(Classifiers!$B$18,E242)),1,0))+IF(Classifiers!$C$18="",0,IF(ISNUMBER(SEARCH(Classifiers!$C$18,E242)),1,0))+IF(Classifiers!$D$18="",0,IF(ISNUMBER(SEARCH(Classifiers!$D$18,E242)),1,0))+IF(Classifiers!$E$18="",0,IF(ISNUMBER(SEARCH(Classifiers!$E$18,E242)),1,0))+IF(Classifiers!$F$18="",0,IF(ISNUMBER(SEARCH(Classifiers!$F$18,E242)),1,0))+IF(Classifiers!$G$18="",0,IF(ISNUMBER(SEARCH(Classifiers!$G$18,E242)),1,0)))&gt;0,1,0))</f>
        <v/>
      </c>
    </row>
    <row r="243">
      <c r="A243" s="8" t="n"/>
      <c r="B243" s="11" t="n"/>
      <c r="C243" s="6">
        <f>IF(A243="","",TRIM(RIGHT(SUBSTITUTE(A243,"/",REPT(" ",250)),250)))</f>
        <v/>
      </c>
      <c r="D243" s="6">
        <f>IF(C243="","",IF(ISNUMBER(SEARCH(".",C243)),LOWER("."&amp;TRIM(RIGHT(SUBSTITUTE(C243,".",REPT(" ",250)),250))),""))</f>
        <v/>
      </c>
      <c r="E243" s="6">
        <f>IF(C243="","",TRIM(SUBSTITUTE(SUBSTITUTE(SUBSTITUTE(SUBSTITUTE(SUBSTITUTE(SUBSTITUTE(SUBSTITUTE(SUBSTITUTE(SUBSTITUTE(SUBSTITUTE(SUBSTITUTE(SUBSTITUTE(SUBSTITUTE(SUBSTITUTE(SUBSTITUTE(SUBSTITUTE(SUBSTITUTE(SUBSTITUTE(SUBSTITUTE(SUBSTITUTE(LOWER(LEFT(C243,LEN(C243)-LEN(D243))),"_"," "),"-"," "),"."," "),","," "),"("," "),")"," "),"["," "),"]"," "),"&amp;"," "),"+"," "),"@"," "),"#"," "),"!"," "),"'"," "),"/"," "),":"," "),";"," "),"="," "),"~"," "),"%"," ")))</f>
        <v/>
      </c>
      <c r="F243" s="6">
        <f>IF(C243="","",IF(COUNTIF(Classifiers!$A$23:$A$40,D243)&gt;0,1,0))</f>
        <v/>
      </c>
      <c r="G243" s="6">
        <f>IF(C243="","",IF(COUNTIF(Classifiers!$C$23:$C$30,D243)&gt;0,IF((IF(ISNUMBER(SEARCH(Classifiers!$E$23,E243)),1,0)+IF(ISNUMBER(SEARCH(Classifiers!$E$24,E243)),1,0)+IF(ISNUMBER(SEARCH(Classifiers!$E$25,E243)),1,0)+IF(ISNUMBER(SEARCH(Classifiers!$E$26,E243)),1,0)+IF(ISNUMBER(SEARCH(Classifiers!$E$27,E243)),1,0)+IF(ISNUMBER(SEARCH(Classifiers!$E$28,E243)),1,0)+IF(ISNUMBER(SEARCH(Classifiers!$E$29,E243)),1,0)+IF(ISNUMBER(SEARCH(Classifiers!$E$30,E243)),1,0))&gt;0,1,0),0))</f>
        <v/>
      </c>
      <c r="H243" s="6">
        <f>IF(C243="","",IF(OR(LEFT(C243,1)=".",AND(F243=0,G243=0)),0,1))</f>
        <v/>
      </c>
      <c r="I243" s="6">
        <f>IF(H243&lt;&gt;1,"",IF(SUM(J243:W243)=0,"unclassified",INDEX(Classifiers!$A$5:$A$18,MATCH(1,J243:W243,0),1)))</f>
        <v/>
      </c>
      <c r="J243" s="12">
        <f>IF(H243&lt;&gt;1,0,IF((IF(Classifiers!$B$5="",0,IF(ISNUMBER(SEARCH(Classifiers!$B$5,E243)),1,0))+IF(Classifiers!$C$5="",0,IF(ISNUMBER(SEARCH(Classifiers!$C$5,E243)),1,0))+IF(Classifiers!$D$5="",0,IF(ISNUMBER(SEARCH(Classifiers!$D$5,E243)),1,0))+IF(Classifiers!$E$5="",0,IF(ISNUMBER(SEARCH(Classifiers!$E$5,E243)),1,0))+IF(Classifiers!$F$5="",0,IF(ISNUMBER(SEARCH(Classifiers!$F$5,E243)),1,0))+IF(Classifiers!$G$5="",0,IF(ISNUMBER(SEARCH(Classifiers!$G$5,E243)),1,0)))&gt;0,1,0))</f>
        <v/>
      </c>
      <c r="K243" s="12">
        <f>IF(H243&lt;&gt;1,0,IF((IF(Classifiers!$B$6="",0,IF(ISNUMBER(SEARCH(Classifiers!$B$6,E243)),1,0))+IF(Classifiers!$C$6="",0,IF(ISNUMBER(SEARCH(Classifiers!$C$6,E243)),1,0))+IF(Classifiers!$D$6="",0,IF(ISNUMBER(SEARCH(Classifiers!$D$6,E243)),1,0))+IF(Classifiers!$E$6="",0,IF(ISNUMBER(SEARCH(Classifiers!$E$6,E243)),1,0))+IF(Classifiers!$F$6="",0,IF(ISNUMBER(SEARCH(Classifiers!$F$6,E243)),1,0))+IF(Classifiers!$G$6="",0,IF(ISNUMBER(SEARCH(Classifiers!$G$6,E243)),1,0)))&gt;0,1,0))</f>
        <v/>
      </c>
      <c r="L243" s="12">
        <f>IF(H243&lt;&gt;1,0,IF((IF(Classifiers!$B$7="",0,IF(ISNUMBER(SEARCH(Classifiers!$B$7,E243)),1,0))+IF(Classifiers!$C$7="",0,IF(ISNUMBER(SEARCH(Classifiers!$C$7,E243)),1,0))+IF(Classifiers!$D$7="",0,IF(ISNUMBER(SEARCH(Classifiers!$D$7,E243)),1,0))+IF(Classifiers!$E$7="",0,IF(ISNUMBER(SEARCH(Classifiers!$E$7,E243)),1,0))+IF(Classifiers!$F$7="",0,IF(ISNUMBER(SEARCH(Classifiers!$F$7,E243)),1,0))+IF(Classifiers!$G$7="",0,IF(ISNUMBER(SEARCH(Classifiers!$G$7,E243)),1,0)))&gt;0,1,0))</f>
        <v/>
      </c>
      <c r="M243" s="12">
        <f>IF(H243&lt;&gt;1,0,IF((IF(Classifiers!$B$8="",0,IF(ISNUMBER(SEARCH(Classifiers!$B$8,E243)),1,0))+IF(Classifiers!$C$8="",0,IF(ISNUMBER(SEARCH(Classifiers!$C$8,E243)),1,0))+IF(Classifiers!$D$8="",0,IF(ISNUMBER(SEARCH(Classifiers!$D$8,E243)),1,0))+IF(Classifiers!$E$8="",0,IF(ISNUMBER(SEARCH(Classifiers!$E$8,E243)),1,0))+IF(Classifiers!$F$8="",0,IF(ISNUMBER(SEARCH(Classifiers!$F$8,E243)),1,0))+IF(Classifiers!$G$8="",0,IF(ISNUMBER(SEARCH(Classifiers!$G$8,E243)),1,0)))&gt;0,1,0))</f>
        <v/>
      </c>
      <c r="N243" s="12">
        <f>IF(H243&lt;&gt;1,0,IF((IF(Classifiers!$B$9="",0,IF(ISNUMBER(SEARCH(Classifiers!$B$9,E243)),1,0))+IF(Classifiers!$C$9="",0,IF(ISNUMBER(SEARCH(Classifiers!$C$9,E243)),1,0))+IF(Classifiers!$D$9="",0,IF(ISNUMBER(SEARCH(Classifiers!$D$9,E243)),1,0))+IF(Classifiers!$E$9="",0,IF(ISNUMBER(SEARCH(Classifiers!$E$9,E243)),1,0))+IF(Classifiers!$F$9="",0,IF(ISNUMBER(SEARCH(Classifiers!$F$9,E243)),1,0))+IF(Classifiers!$G$9="",0,IF(ISNUMBER(SEARCH(Classifiers!$G$9,E243)),1,0)))&gt;0,1,0))</f>
        <v/>
      </c>
      <c r="O243" s="12">
        <f>IF(H243&lt;&gt;1,0,IF((IF(Classifiers!$B$10="",0,IF(ISNUMBER(SEARCH(Classifiers!$B$10,E243)),1,0))+IF(Classifiers!$C$10="",0,IF(ISNUMBER(SEARCH(Classifiers!$C$10,E243)),1,0))+IF(Classifiers!$D$10="",0,IF(ISNUMBER(SEARCH(Classifiers!$D$10,E243)),1,0))+IF(Classifiers!$E$10="",0,IF(ISNUMBER(SEARCH(Classifiers!$E$10,E243)),1,0))+IF(Classifiers!$F$10="",0,IF(ISNUMBER(SEARCH(Classifiers!$F$10,E243)),1,0))+IF(Classifiers!$G$10="",0,IF(ISNUMBER(SEARCH(Classifiers!$G$10,E243)),1,0)))&gt;0,1,0))</f>
        <v/>
      </c>
      <c r="P243" s="12">
        <f>IF(H243&lt;&gt;1,0,IF((IF(Classifiers!$B$11="",0,IF(ISNUMBER(SEARCH(Classifiers!$B$11,E243)),1,0))+IF(Classifiers!$C$11="",0,IF(ISNUMBER(SEARCH(Classifiers!$C$11,E243)),1,0))+IF(Classifiers!$D$11="",0,IF(ISNUMBER(SEARCH(Classifiers!$D$11,E243)),1,0))+IF(Classifiers!$E$11="",0,IF(ISNUMBER(SEARCH(Classifiers!$E$11,E243)),1,0))+IF(Classifiers!$F$11="",0,IF(ISNUMBER(SEARCH(Classifiers!$F$11,E243)),1,0))+IF(Classifiers!$G$11="",0,IF(ISNUMBER(SEARCH(Classifiers!$G$11,E243)),1,0)))&gt;0,1,0))</f>
        <v/>
      </c>
      <c r="Q243" s="12">
        <f>IF(H243&lt;&gt;1,0,IF((IF(Classifiers!$B$12="",0,IF(ISNUMBER(SEARCH(Classifiers!$B$12,E243)),1,0))+IF(Classifiers!$C$12="",0,IF(ISNUMBER(SEARCH(Classifiers!$C$12,E243)),1,0))+IF(Classifiers!$D$12="",0,IF(ISNUMBER(SEARCH(Classifiers!$D$12,E243)),1,0))+IF(Classifiers!$E$12="",0,IF(ISNUMBER(SEARCH(Classifiers!$E$12,E243)),1,0))+IF(Classifiers!$F$12="",0,IF(ISNUMBER(SEARCH(Classifiers!$F$12,E243)),1,0))+IF(Classifiers!$G$12="",0,IF(ISNUMBER(SEARCH(Classifiers!$G$12,E243)),1,0)))&gt;0,1,0))</f>
        <v/>
      </c>
      <c r="R243" s="12">
        <f>IF(H243&lt;&gt;1,0,IF((IF(Classifiers!$B$13="",0,IF(ISNUMBER(SEARCH(Classifiers!$B$13,E243)),1,0))+IF(Classifiers!$C$13="",0,IF(ISNUMBER(SEARCH(Classifiers!$C$13,E243)),1,0))+IF(Classifiers!$D$13="",0,IF(ISNUMBER(SEARCH(Classifiers!$D$13,E243)),1,0))+IF(Classifiers!$E$13="",0,IF(ISNUMBER(SEARCH(Classifiers!$E$13,E243)),1,0))+IF(Classifiers!$F$13="",0,IF(ISNUMBER(SEARCH(Classifiers!$F$13,E243)),1,0))+IF(Classifiers!$G$13="",0,IF(ISNUMBER(SEARCH(Classifiers!$G$13,E243)),1,0)))&gt;0,1,0))</f>
        <v/>
      </c>
      <c r="S243" s="12">
        <f>IF(H243&lt;&gt;1,0,IF((IF(Classifiers!$B$14="",0,IF(ISNUMBER(SEARCH(Classifiers!$B$14,E243)),1,0))+IF(Classifiers!$C$14="",0,IF(ISNUMBER(SEARCH(Classifiers!$C$14,E243)),1,0))+IF(Classifiers!$D$14="",0,IF(ISNUMBER(SEARCH(Classifiers!$D$14,E243)),1,0))+IF(Classifiers!$E$14="",0,IF(ISNUMBER(SEARCH(Classifiers!$E$14,E243)),1,0))+IF(Classifiers!$F$14="",0,IF(ISNUMBER(SEARCH(Classifiers!$F$14,E243)),1,0))+IF(Classifiers!$G$14="",0,IF(ISNUMBER(SEARCH(Classifiers!$G$14,E243)),1,0)))&gt;0,1,0))</f>
        <v/>
      </c>
      <c r="T243" s="12">
        <f>IF(H243&lt;&gt;1,0,IF((IF(Classifiers!$B$15="",0,IF(ISNUMBER(SEARCH(Classifiers!$B$15,E243)),1,0))+IF(Classifiers!$C$15="",0,IF(ISNUMBER(SEARCH(Classifiers!$C$15,E243)),1,0))+IF(Classifiers!$D$15="",0,IF(ISNUMBER(SEARCH(Classifiers!$D$15,E243)),1,0))+IF(Classifiers!$E$15="",0,IF(ISNUMBER(SEARCH(Classifiers!$E$15,E243)),1,0))+IF(Classifiers!$F$15="",0,IF(ISNUMBER(SEARCH(Classifiers!$F$15,E243)),1,0))+IF(Classifiers!$G$15="",0,IF(ISNUMBER(SEARCH(Classifiers!$G$15,E243)),1,0)))&gt;0,1,0))</f>
        <v/>
      </c>
      <c r="U243" s="12">
        <f>IF(H243&lt;&gt;1,0,IF((IF(Classifiers!$B$16="",0,IF(ISNUMBER(SEARCH(Classifiers!$B$16,E243)),1,0))+IF(Classifiers!$C$16="",0,IF(ISNUMBER(SEARCH(Classifiers!$C$16,E243)),1,0))+IF(Classifiers!$D$16="",0,IF(ISNUMBER(SEARCH(Classifiers!$D$16,E243)),1,0))+IF(Classifiers!$E$16="",0,IF(ISNUMBER(SEARCH(Classifiers!$E$16,E243)),1,0))+IF(Classifiers!$F$16="",0,IF(ISNUMBER(SEARCH(Classifiers!$F$16,E243)),1,0))+IF(Classifiers!$G$16="",0,IF(ISNUMBER(SEARCH(Classifiers!$G$16,E243)),1,0)))&gt;0,1,0))</f>
        <v/>
      </c>
      <c r="V243" s="12">
        <f>IF(H243&lt;&gt;1,0,IF((IF(Classifiers!$B$17="",0,IF(ISNUMBER(SEARCH(Classifiers!$B$17,E243)),1,0))+IF(Classifiers!$C$17="",0,IF(ISNUMBER(SEARCH(Classifiers!$C$17,E243)),1,0))+IF(Classifiers!$D$17="",0,IF(ISNUMBER(SEARCH(Classifiers!$D$17,E243)),1,0))+IF(Classifiers!$E$17="",0,IF(ISNUMBER(SEARCH(Classifiers!$E$17,E243)),1,0))+IF(Classifiers!$F$17="",0,IF(ISNUMBER(SEARCH(Classifiers!$F$17,E243)),1,0))+IF(Classifiers!$G$17="",0,IF(ISNUMBER(SEARCH(Classifiers!$G$17,E243)),1,0)))&gt;0,1,0))</f>
        <v/>
      </c>
      <c r="W243" s="12">
        <f>IF(H243&lt;&gt;1,0,IF((IF(Classifiers!$B$18="",0,IF(ISNUMBER(SEARCH(Classifiers!$B$18,E243)),1,0))+IF(Classifiers!$C$18="",0,IF(ISNUMBER(SEARCH(Classifiers!$C$18,E243)),1,0))+IF(Classifiers!$D$18="",0,IF(ISNUMBER(SEARCH(Classifiers!$D$18,E243)),1,0))+IF(Classifiers!$E$18="",0,IF(ISNUMBER(SEARCH(Classifiers!$E$18,E243)),1,0))+IF(Classifiers!$F$18="",0,IF(ISNUMBER(SEARCH(Classifiers!$F$18,E243)),1,0))+IF(Classifiers!$G$18="",0,IF(ISNUMBER(SEARCH(Classifiers!$G$18,E243)),1,0)))&gt;0,1,0))</f>
        <v/>
      </c>
    </row>
    <row r="244">
      <c r="A244" s="8" t="n"/>
      <c r="B244" s="11" t="n"/>
      <c r="C244" s="6">
        <f>IF(A244="","",TRIM(RIGHT(SUBSTITUTE(A244,"/",REPT(" ",250)),250)))</f>
        <v/>
      </c>
      <c r="D244" s="6">
        <f>IF(C244="","",IF(ISNUMBER(SEARCH(".",C244)),LOWER("."&amp;TRIM(RIGHT(SUBSTITUTE(C244,".",REPT(" ",250)),250))),""))</f>
        <v/>
      </c>
      <c r="E244" s="6">
        <f>IF(C244="","",TRIM(SUBSTITUTE(SUBSTITUTE(SUBSTITUTE(SUBSTITUTE(SUBSTITUTE(SUBSTITUTE(SUBSTITUTE(SUBSTITUTE(SUBSTITUTE(SUBSTITUTE(SUBSTITUTE(SUBSTITUTE(SUBSTITUTE(SUBSTITUTE(SUBSTITUTE(SUBSTITUTE(SUBSTITUTE(SUBSTITUTE(SUBSTITUTE(SUBSTITUTE(LOWER(LEFT(C244,LEN(C244)-LEN(D244))),"_"," "),"-"," "),"."," "),","," "),"("," "),")"," "),"["," "),"]"," "),"&amp;"," "),"+"," "),"@"," "),"#"," "),"!"," "),"'"," "),"/"," "),":"," "),";"," "),"="," "),"~"," "),"%"," ")))</f>
        <v/>
      </c>
      <c r="F244" s="6">
        <f>IF(C244="","",IF(COUNTIF(Classifiers!$A$23:$A$40,D244)&gt;0,1,0))</f>
        <v/>
      </c>
      <c r="G244" s="6">
        <f>IF(C244="","",IF(COUNTIF(Classifiers!$C$23:$C$30,D244)&gt;0,IF((IF(ISNUMBER(SEARCH(Classifiers!$E$23,E244)),1,0)+IF(ISNUMBER(SEARCH(Classifiers!$E$24,E244)),1,0)+IF(ISNUMBER(SEARCH(Classifiers!$E$25,E244)),1,0)+IF(ISNUMBER(SEARCH(Classifiers!$E$26,E244)),1,0)+IF(ISNUMBER(SEARCH(Classifiers!$E$27,E244)),1,0)+IF(ISNUMBER(SEARCH(Classifiers!$E$28,E244)),1,0)+IF(ISNUMBER(SEARCH(Classifiers!$E$29,E244)),1,0)+IF(ISNUMBER(SEARCH(Classifiers!$E$30,E244)),1,0))&gt;0,1,0),0))</f>
        <v/>
      </c>
      <c r="H244" s="6">
        <f>IF(C244="","",IF(OR(LEFT(C244,1)=".",AND(F244=0,G244=0)),0,1))</f>
        <v/>
      </c>
      <c r="I244" s="6">
        <f>IF(H244&lt;&gt;1,"",IF(SUM(J244:W244)=0,"unclassified",INDEX(Classifiers!$A$5:$A$18,MATCH(1,J244:W244,0),1)))</f>
        <v/>
      </c>
      <c r="J244" s="12">
        <f>IF(H244&lt;&gt;1,0,IF((IF(Classifiers!$B$5="",0,IF(ISNUMBER(SEARCH(Classifiers!$B$5,E244)),1,0))+IF(Classifiers!$C$5="",0,IF(ISNUMBER(SEARCH(Classifiers!$C$5,E244)),1,0))+IF(Classifiers!$D$5="",0,IF(ISNUMBER(SEARCH(Classifiers!$D$5,E244)),1,0))+IF(Classifiers!$E$5="",0,IF(ISNUMBER(SEARCH(Classifiers!$E$5,E244)),1,0))+IF(Classifiers!$F$5="",0,IF(ISNUMBER(SEARCH(Classifiers!$F$5,E244)),1,0))+IF(Classifiers!$G$5="",0,IF(ISNUMBER(SEARCH(Classifiers!$G$5,E244)),1,0)))&gt;0,1,0))</f>
        <v/>
      </c>
      <c r="K244" s="12">
        <f>IF(H244&lt;&gt;1,0,IF((IF(Classifiers!$B$6="",0,IF(ISNUMBER(SEARCH(Classifiers!$B$6,E244)),1,0))+IF(Classifiers!$C$6="",0,IF(ISNUMBER(SEARCH(Classifiers!$C$6,E244)),1,0))+IF(Classifiers!$D$6="",0,IF(ISNUMBER(SEARCH(Classifiers!$D$6,E244)),1,0))+IF(Classifiers!$E$6="",0,IF(ISNUMBER(SEARCH(Classifiers!$E$6,E244)),1,0))+IF(Classifiers!$F$6="",0,IF(ISNUMBER(SEARCH(Classifiers!$F$6,E244)),1,0))+IF(Classifiers!$G$6="",0,IF(ISNUMBER(SEARCH(Classifiers!$G$6,E244)),1,0)))&gt;0,1,0))</f>
        <v/>
      </c>
      <c r="L244" s="12">
        <f>IF(H244&lt;&gt;1,0,IF((IF(Classifiers!$B$7="",0,IF(ISNUMBER(SEARCH(Classifiers!$B$7,E244)),1,0))+IF(Classifiers!$C$7="",0,IF(ISNUMBER(SEARCH(Classifiers!$C$7,E244)),1,0))+IF(Classifiers!$D$7="",0,IF(ISNUMBER(SEARCH(Classifiers!$D$7,E244)),1,0))+IF(Classifiers!$E$7="",0,IF(ISNUMBER(SEARCH(Classifiers!$E$7,E244)),1,0))+IF(Classifiers!$F$7="",0,IF(ISNUMBER(SEARCH(Classifiers!$F$7,E244)),1,0))+IF(Classifiers!$G$7="",0,IF(ISNUMBER(SEARCH(Classifiers!$G$7,E244)),1,0)))&gt;0,1,0))</f>
        <v/>
      </c>
      <c r="M244" s="12">
        <f>IF(H244&lt;&gt;1,0,IF((IF(Classifiers!$B$8="",0,IF(ISNUMBER(SEARCH(Classifiers!$B$8,E244)),1,0))+IF(Classifiers!$C$8="",0,IF(ISNUMBER(SEARCH(Classifiers!$C$8,E244)),1,0))+IF(Classifiers!$D$8="",0,IF(ISNUMBER(SEARCH(Classifiers!$D$8,E244)),1,0))+IF(Classifiers!$E$8="",0,IF(ISNUMBER(SEARCH(Classifiers!$E$8,E244)),1,0))+IF(Classifiers!$F$8="",0,IF(ISNUMBER(SEARCH(Classifiers!$F$8,E244)),1,0))+IF(Classifiers!$G$8="",0,IF(ISNUMBER(SEARCH(Classifiers!$G$8,E244)),1,0)))&gt;0,1,0))</f>
        <v/>
      </c>
      <c r="N244" s="12">
        <f>IF(H244&lt;&gt;1,0,IF((IF(Classifiers!$B$9="",0,IF(ISNUMBER(SEARCH(Classifiers!$B$9,E244)),1,0))+IF(Classifiers!$C$9="",0,IF(ISNUMBER(SEARCH(Classifiers!$C$9,E244)),1,0))+IF(Classifiers!$D$9="",0,IF(ISNUMBER(SEARCH(Classifiers!$D$9,E244)),1,0))+IF(Classifiers!$E$9="",0,IF(ISNUMBER(SEARCH(Classifiers!$E$9,E244)),1,0))+IF(Classifiers!$F$9="",0,IF(ISNUMBER(SEARCH(Classifiers!$F$9,E244)),1,0))+IF(Classifiers!$G$9="",0,IF(ISNUMBER(SEARCH(Classifiers!$G$9,E244)),1,0)))&gt;0,1,0))</f>
        <v/>
      </c>
      <c r="O244" s="12">
        <f>IF(H244&lt;&gt;1,0,IF((IF(Classifiers!$B$10="",0,IF(ISNUMBER(SEARCH(Classifiers!$B$10,E244)),1,0))+IF(Classifiers!$C$10="",0,IF(ISNUMBER(SEARCH(Classifiers!$C$10,E244)),1,0))+IF(Classifiers!$D$10="",0,IF(ISNUMBER(SEARCH(Classifiers!$D$10,E244)),1,0))+IF(Classifiers!$E$10="",0,IF(ISNUMBER(SEARCH(Classifiers!$E$10,E244)),1,0))+IF(Classifiers!$F$10="",0,IF(ISNUMBER(SEARCH(Classifiers!$F$10,E244)),1,0))+IF(Classifiers!$G$10="",0,IF(ISNUMBER(SEARCH(Classifiers!$G$10,E244)),1,0)))&gt;0,1,0))</f>
        <v/>
      </c>
      <c r="P244" s="12">
        <f>IF(H244&lt;&gt;1,0,IF((IF(Classifiers!$B$11="",0,IF(ISNUMBER(SEARCH(Classifiers!$B$11,E244)),1,0))+IF(Classifiers!$C$11="",0,IF(ISNUMBER(SEARCH(Classifiers!$C$11,E244)),1,0))+IF(Classifiers!$D$11="",0,IF(ISNUMBER(SEARCH(Classifiers!$D$11,E244)),1,0))+IF(Classifiers!$E$11="",0,IF(ISNUMBER(SEARCH(Classifiers!$E$11,E244)),1,0))+IF(Classifiers!$F$11="",0,IF(ISNUMBER(SEARCH(Classifiers!$F$11,E244)),1,0))+IF(Classifiers!$G$11="",0,IF(ISNUMBER(SEARCH(Classifiers!$G$11,E244)),1,0)))&gt;0,1,0))</f>
        <v/>
      </c>
      <c r="Q244" s="12">
        <f>IF(H244&lt;&gt;1,0,IF((IF(Classifiers!$B$12="",0,IF(ISNUMBER(SEARCH(Classifiers!$B$12,E244)),1,0))+IF(Classifiers!$C$12="",0,IF(ISNUMBER(SEARCH(Classifiers!$C$12,E244)),1,0))+IF(Classifiers!$D$12="",0,IF(ISNUMBER(SEARCH(Classifiers!$D$12,E244)),1,0))+IF(Classifiers!$E$12="",0,IF(ISNUMBER(SEARCH(Classifiers!$E$12,E244)),1,0))+IF(Classifiers!$F$12="",0,IF(ISNUMBER(SEARCH(Classifiers!$F$12,E244)),1,0))+IF(Classifiers!$G$12="",0,IF(ISNUMBER(SEARCH(Classifiers!$G$12,E244)),1,0)))&gt;0,1,0))</f>
        <v/>
      </c>
      <c r="R244" s="12">
        <f>IF(H244&lt;&gt;1,0,IF((IF(Classifiers!$B$13="",0,IF(ISNUMBER(SEARCH(Classifiers!$B$13,E244)),1,0))+IF(Classifiers!$C$13="",0,IF(ISNUMBER(SEARCH(Classifiers!$C$13,E244)),1,0))+IF(Classifiers!$D$13="",0,IF(ISNUMBER(SEARCH(Classifiers!$D$13,E244)),1,0))+IF(Classifiers!$E$13="",0,IF(ISNUMBER(SEARCH(Classifiers!$E$13,E244)),1,0))+IF(Classifiers!$F$13="",0,IF(ISNUMBER(SEARCH(Classifiers!$F$13,E244)),1,0))+IF(Classifiers!$G$13="",0,IF(ISNUMBER(SEARCH(Classifiers!$G$13,E244)),1,0)))&gt;0,1,0))</f>
        <v/>
      </c>
      <c r="S244" s="12">
        <f>IF(H244&lt;&gt;1,0,IF((IF(Classifiers!$B$14="",0,IF(ISNUMBER(SEARCH(Classifiers!$B$14,E244)),1,0))+IF(Classifiers!$C$14="",0,IF(ISNUMBER(SEARCH(Classifiers!$C$14,E244)),1,0))+IF(Classifiers!$D$14="",0,IF(ISNUMBER(SEARCH(Classifiers!$D$14,E244)),1,0))+IF(Classifiers!$E$14="",0,IF(ISNUMBER(SEARCH(Classifiers!$E$14,E244)),1,0))+IF(Classifiers!$F$14="",0,IF(ISNUMBER(SEARCH(Classifiers!$F$14,E244)),1,0))+IF(Classifiers!$G$14="",0,IF(ISNUMBER(SEARCH(Classifiers!$G$14,E244)),1,0)))&gt;0,1,0))</f>
        <v/>
      </c>
      <c r="T244" s="12">
        <f>IF(H244&lt;&gt;1,0,IF((IF(Classifiers!$B$15="",0,IF(ISNUMBER(SEARCH(Classifiers!$B$15,E244)),1,0))+IF(Classifiers!$C$15="",0,IF(ISNUMBER(SEARCH(Classifiers!$C$15,E244)),1,0))+IF(Classifiers!$D$15="",0,IF(ISNUMBER(SEARCH(Classifiers!$D$15,E244)),1,0))+IF(Classifiers!$E$15="",0,IF(ISNUMBER(SEARCH(Classifiers!$E$15,E244)),1,0))+IF(Classifiers!$F$15="",0,IF(ISNUMBER(SEARCH(Classifiers!$F$15,E244)),1,0))+IF(Classifiers!$G$15="",0,IF(ISNUMBER(SEARCH(Classifiers!$G$15,E244)),1,0)))&gt;0,1,0))</f>
        <v/>
      </c>
      <c r="U244" s="12">
        <f>IF(H244&lt;&gt;1,0,IF((IF(Classifiers!$B$16="",0,IF(ISNUMBER(SEARCH(Classifiers!$B$16,E244)),1,0))+IF(Classifiers!$C$16="",0,IF(ISNUMBER(SEARCH(Classifiers!$C$16,E244)),1,0))+IF(Classifiers!$D$16="",0,IF(ISNUMBER(SEARCH(Classifiers!$D$16,E244)),1,0))+IF(Classifiers!$E$16="",0,IF(ISNUMBER(SEARCH(Classifiers!$E$16,E244)),1,0))+IF(Classifiers!$F$16="",0,IF(ISNUMBER(SEARCH(Classifiers!$F$16,E244)),1,0))+IF(Classifiers!$G$16="",0,IF(ISNUMBER(SEARCH(Classifiers!$G$16,E244)),1,0)))&gt;0,1,0))</f>
        <v/>
      </c>
      <c r="V244" s="12">
        <f>IF(H244&lt;&gt;1,0,IF((IF(Classifiers!$B$17="",0,IF(ISNUMBER(SEARCH(Classifiers!$B$17,E244)),1,0))+IF(Classifiers!$C$17="",0,IF(ISNUMBER(SEARCH(Classifiers!$C$17,E244)),1,0))+IF(Classifiers!$D$17="",0,IF(ISNUMBER(SEARCH(Classifiers!$D$17,E244)),1,0))+IF(Classifiers!$E$17="",0,IF(ISNUMBER(SEARCH(Classifiers!$E$17,E244)),1,0))+IF(Classifiers!$F$17="",0,IF(ISNUMBER(SEARCH(Classifiers!$F$17,E244)),1,0))+IF(Classifiers!$G$17="",0,IF(ISNUMBER(SEARCH(Classifiers!$G$17,E244)),1,0)))&gt;0,1,0))</f>
        <v/>
      </c>
      <c r="W244" s="12">
        <f>IF(H244&lt;&gt;1,0,IF((IF(Classifiers!$B$18="",0,IF(ISNUMBER(SEARCH(Classifiers!$B$18,E244)),1,0))+IF(Classifiers!$C$18="",0,IF(ISNUMBER(SEARCH(Classifiers!$C$18,E244)),1,0))+IF(Classifiers!$D$18="",0,IF(ISNUMBER(SEARCH(Classifiers!$D$18,E244)),1,0))+IF(Classifiers!$E$18="",0,IF(ISNUMBER(SEARCH(Classifiers!$E$18,E244)),1,0))+IF(Classifiers!$F$18="",0,IF(ISNUMBER(SEARCH(Classifiers!$F$18,E244)),1,0))+IF(Classifiers!$G$18="",0,IF(ISNUMBER(SEARCH(Classifiers!$G$18,E244)),1,0)))&gt;0,1,0))</f>
        <v/>
      </c>
    </row>
    <row r="245">
      <c r="A245" s="8" t="n"/>
      <c r="B245" s="11" t="n"/>
      <c r="C245" s="6">
        <f>IF(A245="","",TRIM(RIGHT(SUBSTITUTE(A245,"/",REPT(" ",250)),250)))</f>
        <v/>
      </c>
      <c r="D245" s="6">
        <f>IF(C245="","",IF(ISNUMBER(SEARCH(".",C245)),LOWER("."&amp;TRIM(RIGHT(SUBSTITUTE(C245,".",REPT(" ",250)),250))),""))</f>
        <v/>
      </c>
      <c r="E245" s="6">
        <f>IF(C245="","",TRIM(SUBSTITUTE(SUBSTITUTE(SUBSTITUTE(SUBSTITUTE(SUBSTITUTE(SUBSTITUTE(SUBSTITUTE(SUBSTITUTE(SUBSTITUTE(SUBSTITUTE(SUBSTITUTE(SUBSTITUTE(SUBSTITUTE(SUBSTITUTE(SUBSTITUTE(SUBSTITUTE(SUBSTITUTE(SUBSTITUTE(SUBSTITUTE(SUBSTITUTE(LOWER(LEFT(C245,LEN(C245)-LEN(D245))),"_"," "),"-"," "),"."," "),","," "),"("," "),")"," "),"["," "),"]"," "),"&amp;"," "),"+"," "),"@"," "),"#"," "),"!"," "),"'"," "),"/"," "),":"," "),";"," "),"="," "),"~"," "),"%"," ")))</f>
        <v/>
      </c>
      <c r="F245" s="6">
        <f>IF(C245="","",IF(COUNTIF(Classifiers!$A$23:$A$40,D245)&gt;0,1,0))</f>
        <v/>
      </c>
      <c r="G245" s="6">
        <f>IF(C245="","",IF(COUNTIF(Classifiers!$C$23:$C$30,D245)&gt;0,IF((IF(ISNUMBER(SEARCH(Classifiers!$E$23,E245)),1,0)+IF(ISNUMBER(SEARCH(Classifiers!$E$24,E245)),1,0)+IF(ISNUMBER(SEARCH(Classifiers!$E$25,E245)),1,0)+IF(ISNUMBER(SEARCH(Classifiers!$E$26,E245)),1,0)+IF(ISNUMBER(SEARCH(Classifiers!$E$27,E245)),1,0)+IF(ISNUMBER(SEARCH(Classifiers!$E$28,E245)),1,0)+IF(ISNUMBER(SEARCH(Classifiers!$E$29,E245)),1,0)+IF(ISNUMBER(SEARCH(Classifiers!$E$30,E245)),1,0))&gt;0,1,0),0))</f>
        <v/>
      </c>
      <c r="H245" s="6">
        <f>IF(C245="","",IF(OR(LEFT(C245,1)=".",AND(F245=0,G245=0)),0,1))</f>
        <v/>
      </c>
      <c r="I245" s="6">
        <f>IF(H245&lt;&gt;1,"",IF(SUM(J245:W245)=0,"unclassified",INDEX(Classifiers!$A$5:$A$18,MATCH(1,J245:W245,0),1)))</f>
        <v/>
      </c>
      <c r="J245" s="12">
        <f>IF(H245&lt;&gt;1,0,IF((IF(Classifiers!$B$5="",0,IF(ISNUMBER(SEARCH(Classifiers!$B$5,E245)),1,0))+IF(Classifiers!$C$5="",0,IF(ISNUMBER(SEARCH(Classifiers!$C$5,E245)),1,0))+IF(Classifiers!$D$5="",0,IF(ISNUMBER(SEARCH(Classifiers!$D$5,E245)),1,0))+IF(Classifiers!$E$5="",0,IF(ISNUMBER(SEARCH(Classifiers!$E$5,E245)),1,0))+IF(Classifiers!$F$5="",0,IF(ISNUMBER(SEARCH(Classifiers!$F$5,E245)),1,0))+IF(Classifiers!$G$5="",0,IF(ISNUMBER(SEARCH(Classifiers!$G$5,E245)),1,0)))&gt;0,1,0))</f>
        <v/>
      </c>
      <c r="K245" s="12">
        <f>IF(H245&lt;&gt;1,0,IF((IF(Classifiers!$B$6="",0,IF(ISNUMBER(SEARCH(Classifiers!$B$6,E245)),1,0))+IF(Classifiers!$C$6="",0,IF(ISNUMBER(SEARCH(Classifiers!$C$6,E245)),1,0))+IF(Classifiers!$D$6="",0,IF(ISNUMBER(SEARCH(Classifiers!$D$6,E245)),1,0))+IF(Classifiers!$E$6="",0,IF(ISNUMBER(SEARCH(Classifiers!$E$6,E245)),1,0))+IF(Classifiers!$F$6="",0,IF(ISNUMBER(SEARCH(Classifiers!$F$6,E245)),1,0))+IF(Classifiers!$G$6="",0,IF(ISNUMBER(SEARCH(Classifiers!$G$6,E245)),1,0)))&gt;0,1,0))</f>
        <v/>
      </c>
      <c r="L245" s="12">
        <f>IF(H245&lt;&gt;1,0,IF((IF(Classifiers!$B$7="",0,IF(ISNUMBER(SEARCH(Classifiers!$B$7,E245)),1,0))+IF(Classifiers!$C$7="",0,IF(ISNUMBER(SEARCH(Classifiers!$C$7,E245)),1,0))+IF(Classifiers!$D$7="",0,IF(ISNUMBER(SEARCH(Classifiers!$D$7,E245)),1,0))+IF(Classifiers!$E$7="",0,IF(ISNUMBER(SEARCH(Classifiers!$E$7,E245)),1,0))+IF(Classifiers!$F$7="",0,IF(ISNUMBER(SEARCH(Classifiers!$F$7,E245)),1,0))+IF(Classifiers!$G$7="",0,IF(ISNUMBER(SEARCH(Classifiers!$G$7,E245)),1,0)))&gt;0,1,0))</f>
        <v/>
      </c>
      <c r="M245" s="12">
        <f>IF(H245&lt;&gt;1,0,IF((IF(Classifiers!$B$8="",0,IF(ISNUMBER(SEARCH(Classifiers!$B$8,E245)),1,0))+IF(Classifiers!$C$8="",0,IF(ISNUMBER(SEARCH(Classifiers!$C$8,E245)),1,0))+IF(Classifiers!$D$8="",0,IF(ISNUMBER(SEARCH(Classifiers!$D$8,E245)),1,0))+IF(Classifiers!$E$8="",0,IF(ISNUMBER(SEARCH(Classifiers!$E$8,E245)),1,0))+IF(Classifiers!$F$8="",0,IF(ISNUMBER(SEARCH(Classifiers!$F$8,E245)),1,0))+IF(Classifiers!$G$8="",0,IF(ISNUMBER(SEARCH(Classifiers!$G$8,E245)),1,0)))&gt;0,1,0))</f>
        <v/>
      </c>
      <c r="N245" s="12">
        <f>IF(H245&lt;&gt;1,0,IF((IF(Classifiers!$B$9="",0,IF(ISNUMBER(SEARCH(Classifiers!$B$9,E245)),1,0))+IF(Classifiers!$C$9="",0,IF(ISNUMBER(SEARCH(Classifiers!$C$9,E245)),1,0))+IF(Classifiers!$D$9="",0,IF(ISNUMBER(SEARCH(Classifiers!$D$9,E245)),1,0))+IF(Classifiers!$E$9="",0,IF(ISNUMBER(SEARCH(Classifiers!$E$9,E245)),1,0))+IF(Classifiers!$F$9="",0,IF(ISNUMBER(SEARCH(Classifiers!$F$9,E245)),1,0))+IF(Classifiers!$G$9="",0,IF(ISNUMBER(SEARCH(Classifiers!$G$9,E245)),1,0)))&gt;0,1,0))</f>
        <v/>
      </c>
      <c r="O245" s="12">
        <f>IF(H245&lt;&gt;1,0,IF((IF(Classifiers!$B$10="",0,IF(ISNUMBER(SEARCH(Classifiers!$B$10,E245)),1,0))+IF(Classifiers!$C$10="",0,IF(ISNUMBER(SEARCH(Classifiers!$C$10,E245)),1,0))+IF(Classifiers!$D$10="",0,IF(ISNUMBER(SEARCH(Classifiers!$D$10,E245)),1,0))+IF(Classifiers!$E$10="",0,IF(ISNUMBER(SEARCH(Classifiers!$E$10,E245)),1,0))+IF(Classifiers!$F$10="",0,IF(ISNUMBER(SEARCH(Classifiers!$F$10,E245)),1,0))+IF(Classifiers!$G$10="",0,IF(ISNUMBER(SEARCH(Classifiers!$G$10,E245)),1,0)))&gt;0,1,0))</f>
        <v/>
      </c>
      <c r="P245" s="12">
        <f>IF(H245&lt;&gt;1,0,IF((IF(Classifiers!$B$11="",0,IF(ISNUMBER(SEARCH(Classifiers!$B$11,E245)),1,0))+IF(Classifiers!$C$11="",0,IF(ISNUMBER(SEARCH(Classifiers!$C$11,E245)),1,0))+IF(Classifiers!$D$11="",0,IF(ISNUMBER(SEARCH(Classifiers!$D$11,E245)),1,0))+IF(Classifiers!$E$11="",0,IF(ISNUMBER(SEARCH(Classifiers!$E$11,E245)),1,0))+IF(Classifiers!$F$11="",0,IF(ISNUMBER(SEARCH(Classifiers!$F$11,E245)),1,0))+IF(Classifiers!$G$11="",0,IF(ISNUMBER(SEARCH(Classifiers!$G$11,E245)),1,0)))&gt;0,1,0))</f>
        <v/>
      </c>
      <c r="Q245" s="12">
        <f>IF(H245&lt;&gt;1,0,IF((IF(Classifiers!$B$12="",0,IF(ISNUMBER(SEARCH(Classifiers!$B$12,E245)),1,0))+IF(Classifiers!$C$12="",0,IF(ISNUMBER(SEARCH(Classifiers!$C$12,E245)),1,0))+IF(Classifiers!$D$12="",0,IF(ISNUMBER(SEARCH(Classifiers!$D$12,E245)),1,0))+IF(Classifiers!$E$12="",0,IF(ISNUMBER(SEARCH(Classifiers!$E$12,E245)),1,0))+IF(Classifiers!$F$12="",0,IF(ISNUMBER(SEARCH(Classifiers!$F$12,E245)),1,0))+IF(Classifiers!$G$12="",0,IF(ISNUMBER(SEARCH(Classifiers!$G$12,E245)),1,0)))&gt;0,1,0))</f>
        <v/>
      </c>
      <c r="R245" s="12">
        <f>IF(H245&lt;&gt;1,0,IF((IF(Classifiers!$B$13="",0,IF(ISNUMBER(SEARCH(Classifiers!$B$13,E245)),1,0))+IF(Classifiers!$C$13="",0,IF(ISNUMBER(SEARCH(Classifiers!$C$13,E245)),1,0))+IF(Classifiers!$D$13="",0,IF(ISNUMBER(SEARCH(Classifiers!$D$13,E245)),1,0))+IF(Classifiers!$E$13="",0,IF(ISNUMBER(SEARCH(Classifiers!$E$13,E245)),1,0))+IF(Classifiers!$F$13="",0,IF(ISNUMBER(SEARCH(Classifiers!$F$13,E245)),1,0))+IF(Classifiers!$G$13="",0,IF(ISNUMBER(SEARCH(Classifiers!$G$13,E245)),1,0)))&gt;0,1,0))</f>
        <v/>
      </c>
      <c r="S245" s="12">
        <f>IF(H245&lt;&gt;1,0,IF((IF(Classifiers!$B$14="",0,IF(ISNUMBER(SEARCH(Classifiers!$B$14,E245)),1,0))+IF(Classifiers!$C$14="",0,IF(ISNUMBER(SEARCH(Classifiers!$C$14,E245)),1,0))+IF(Classifiers!$D$14="",0,IF(ISNUMBER(SEARCH(Classifiers!$D$14,E245)),1,0))+IF(Classifiers!$E$14="",0,IF(ISNUMBER(SEARCH(Classifiers!$E$14,E245)),1,0))+IF(Classifiers!$F$14="",0,IF(ISNUMBER(SEARCH(Classifiers!$F$14,E245)),1,0))+IF(Classifiers!$G$14="",0,IF(ISNUMBER(SEARCH(Classifiers!$G$14,E245)),1,0)))&gt;0,1,0))</f>
        <v/>
      </c>
      <c r="T245" s="12">
        <f>IF(H245&lt;&gt;1,0,IF((IF(Classifiers!$B$15="",0,IF(ISNUMBER(SEARCH(Classifiers!$B$15,E245)),1,0))+IF(Classifiers!$C$15="",0,IF(ISNUMBER(SEARCH(Classifiers!$C$15,E245)),1,0))+IF(Classifiers!$D$15="",0,IF(ISNUMBER(SEARCH(Classifiers!$D$15,E245)),1,0))+IF(Classifiers!$E$15="",0,IF(ISNUMBER(SEARCH(Classifiers!$E$15,E245)),1,0))+IF(Classifiers!$F$15="",0,IF(ISNUMBER(SEARCH(Classifiers!$F$15,E245)),1,0))+IF(Classifiers!$G$15="",0,IF(ISNUMBER(SEARCH(Classifiers!$G$15,E245)),1,0)))&gt;0,1,0))</f>
        <v/>
      </c>
      <c r="U245" s="12">
        <f>IF(H245&lt;&gt;1,0,IF((IF(Classifiers!$B$16="",0,IF(ISNUMBER(SEARCH(Classifiers!$B$16,E245)),1,0))+IF(Classifiers!$C$16="",0,IF(ISNUMBER(SEARCH(Classifiers!$C$16,E245)),1,0))+IF(Classifiers!$D$16="",0,IF(ISNUMBER(SEARCH(Classifiers!$D$16,E245)),1,0))+IF(Classifiers!$E$16="",0,IF(ISNUMBER(SEARCH(Classifiers!$E$16,E245)),1,0))+IF(Classifiers!$F$16="",0,IF(ISNUMBER(SEARCH(Classifiers!$F$16,E245)),1,0))+IF(Classifiers!$G$16="",0,IF(ISNUMBER(SEARCH(Classifiers!$G$16,E245)),1,0)))&gt;0,1,0))</f>
        <v/>
      </c>
      <c r="V245" s="12">
        <f>IF(H245&lt;&gt;1,0,IF((IF(Classifiers!$B$17="",0,IF(ISNUMBER(SEARCH(Classifiers!$B$17,E245)),1,0))+IF(Classifiers!$C$17="",0,IF(ISNUMBER(SEARCH(Classifiers!$C$17,E245)),1,0))+IF(Classifiers!$D$17="",0,IF(ISNUMBER(SEARCH(Classifiers!$D$17,E245)),1,0))+IF(Classifiers!$E$17="",0,IF(ISNUMBER(SEARCH(Classifiers!$E$17,E245)),1,0))+IF(Classifiers!$F$17="",0,IF(ISNUMBER(SEARCH(Classifiers!$F$17,E245)),1,0))+IF(Classifiers!$G$17="",0,IF(ISNUMBER(SEARCH(Classifiers!$G$17,E245)),1,0)))&gt;0,1,0))</f>
        <v/>
      </c>
      <c r="W245" s="12">
        <f>IF(H245&lt;&gt;1,0,IF((IF(Classifiers!$B$18="",0,IF(ISNUMBER(SEARCH(Classifiers!$B$18,E245)),1,0))+IF(Classifiers!$C$18="",0,IF(ISNUMBER(SEARCH(Classifiers!$C$18,E245)),1,0))+IF(Classifiers!$D$18="",0,IF(ISNUMBER(SEARCH(Classifiers!$D$18,E245)),1,0))+IF(Classifiers!$E$18="",0,IF(ISNUMBER(SEARCH(Classifiers!$E$18,E245)),1,0))+IF(Classifiers!$F$18="",0,IF(ISNUMBER(SEARCH(Classifiers!$F$18,E245)),1,0))+IF(Classifiers!$G$18="",0,IF(ISNUMBER(SEARCH(Classifiers!$G$18,E245)),1,0)))&gt;0,1,0))</f>
        <v/>
      </c>
    </row>
    <row r="246">
      <c r="A246" s="8" t="n"/>
      <c r="B246" s="11" t="n"/>
      <c r="C246" s="6">
        <f>IF(A246="","",TRIM(RIGHT(SUBSTITUTE(A246,"/",REPT(" ",250)),250)))</f>
        <v/>
      </c>
      <c r="D246" s="6">
        <f>IF(C246="","",IF(ISNUMBER(SEARCH(".",C246)),LOWER("."&amp;TRIM(RIGHT(SUBSTITUTE(C246,".",REPT(" ",250)),250))),""))</f>
        <v/>
      </c>
      <c r="E246" s="6">
        <f>IF(C246="","",TRIM(SUBSTITUTE(SUBSTITUTE(SUBSTITUTE(SUBSTITUTE(SUBSTITUTE(SUBSTITUTE(SUBSTITUTE(SUBSTITUTE(SUBSTITUTE(SUBSTITUTE(SUBSTITUTE(SUBSTITUTE(SUBSTITUTE(SUBSTITUTE(SUBSTITUTE(SUBSTITUTE(SUBSTITUTE(SUBSTITUTE(SUBSTITUTE(SUBSTITUTE(LOWER(LEFT(C246,LEN(C246)-LEN(D246))),"_"," "),"-"," "),"."," "),","," "),"("," "),")"," "),"["," "),"]"," "),"&amp;"," "),"+"," "),"@"," "),"#"," "),"!"," "),"'"," "),"/"," "),":"," "),";"," "),"="," "),"~"," "),"%"," ")))</f>
        <v/>
      </c>
      <c r="F246" s="6">
        <f>IF(C246="","",IF(COUNTIF(Classifiers!$A$23:$A$40,D246)&gt;0,1,0))</f>
        <v/>
      </c>
      <c r="G246" s="6">
        <f>IF(C246="","",IF(COUNTIF(Classifiers!$C$23:$C$30,D246)&gt;0,IF((IF(ISNUMBER(SEARCH(Classifiers!$E$23,E246)),1,0)+IF(ISNUMBER(SEARCH(Classifiers!$E$24,E246)),1,0)+IF(ISNUMBER(SEARCH(Classifiers!$E$25,E246)),1,0)+IF(ISNUMBER(SEARCH(Classifiers!$E$26,E246)),1,0)+IF(ISNUMBER(SEARCH(Classifiers!$E$27,E246)),1,0)+IF(ISNUMBER(SEARCH(Classifiers!$E$28,E246)),1,0)+IF(ISNUMBER(SEARCH(Classifiers!$E$29,E246)),1,0)+IF(ISNUMBER(SEARCH(Classifiers!$E$30,E246)),1,0))&gt;0,1,0),0))</f>
        <v/>
      </c>
      <c r="H246" s="6">
        <f>IF(C246="","",IF(OR(LEFT(C246,1)=".",AND(F246=0,G246=0)),0,1))</f>
        <v/>
      </c>
      <c r="I246" s="6">
        <f>IF(H246&lt;&gt;1,"",IF(SUM(J246:W246)=0,"unclassified",INDEX(Classifiers!$A$5:$A$18,MATCH(1,J246:W246,0),1)))</f>
        <v/>
      </c>
      <c r="J246" s="12">
        <f>IF(H246&lt;&gt;1,0,IF((IF(Classifiers!$B$5="",0,IF(ISNUMBER(SEARCH(Classifiers!$B$5,E246)),1,0))+IF(Classifiers!$C$5="",0,IF(ISNUMBER(SEARCH(Classifiers!$C$5,E246)),1,0))+IF(Classifiers!$D$5="",0,IF(ISNUMBER(SEARCH(Classifiers!$D$5,E246)),1,0))+IF(Classifiers!$E$5="",0,IF(ISNUMBER(SEARCH(Classifiers!$E$5,E246)),1,0))+IF(Classifiers!$F$5="",0,IF(ISNUMBER(SEARCH(Classifiers!$F$5,E246)),1,0))+IF(Classifiers!$G$5="",0,IF(ISNUMBER(SEARCH(Classifiers!$G$5,E246)),1,0)))&gt;0,1,0))</f>
        <v/>
      </c>
      <c r="K246" s="12">
        <f>IF(H246&lt;&gt;1,0,IF((IF(Classifiers!$B$6="",0,IF(ISNUMBER(SEARCH(Classifiers!$B$6,E246)),1,0))+IF(Classifiers!$C$6="",0,IF(ISNUMBER(SEARCH(Classifiers!$C$6,E246)),1,0))+IF(Classifiers!$D$6="",0,IF(ISNUMBER(SEARCH(Classifiers!$D$6,E246)),1,0))+IF(Classifiers!$E$6="",0,IF(ISNUMBER(SEARCH(Classifiers!$E$6,E246)),1,0))+IF(Classifiers!$F$6="",0,IF(ISNUMBER(SEARCH(Classifiers!$F$6,E246)),1,0))+IF(Classifiers!$G$6="",0,IF(ISNUMBER(SEARCH(Classifiers!$G$6,E246)),1,0)))&gt;0,1,0))</f>
        <v/>
      </c>
      <c r="L246" s="12">
        <f>IF(H246&lt;&gt;1,0,IF((IF(Classifiers!$B$7="",0,IF(ISNUMBER(SEARCH(Classifiers!$B$7,E246)),1,0))+IF(Classifiers!$C$7="",0,IF(ISNUMBER(SEARCH(Classifiers!$C$7,E246)),1,0))+IF(Classifiers!$D$7="",0,IF(ISNUMBER(SEARCH(Classifiers!$D$7,E246)),1,0))+IF(Classifiers!$E$7="",0,IF(ISNUMBER(SEARCH(Classifiers!$E$7,E246)),1,0))+IF(Classifiers!$F$7="",0,IF(ISNUMBER(SEARCH(Classifiers!$F$7,E246)),1,0))+IF(Classifiers!$G$7="",0,IF(ISNUMBER(SEARCH(Classifiers!$G$7,E246)),1,0)))&gt;0,1,0))</f>
        <v/>
      </c>
      <c r="M246" s="12">
        <f>IF(H246&lt;&gt;1,0,IF((IF(Classifiers!$B$8="",0,IF(ISNUMBER(SEARCH(Classifiers!$B$8,E246)),1,0))+IF(Classifiers!$C$8="",0,IF(ISNUMBER(SEARCH(Classifiers!$C$8,E246)),1,0))+IF(Classifiers!$D$8="",0,IF(ISNUMBER(SEARCH(Classifiers!$D$8,E246)),1,0))+IF(Classifiers!$E$8="",0,IF(ISNUMBER(SEARCH(Classifiers!$E$8,E246)),1,0))+IF(Classifiers!$F$8="",0,IF(ISNUMBER(SEARCH(Classifiers!$F$8,E246)),1,0))+IF(Classifiers!$G$8="",0,IF(ISNUMBER(SEARCH(Classifiers!$G$8,E246)),1,0)))&gt;0,1,0))</f>
        <v/>
      </c>
      <c r="N246" s="12">
        <f>IF(H246&lt;&gt;1,0,IF((IF(Classifiers!$B$9="",0,IF(ISNUMBER(SEARCH(Classifiers!$B$9,E246)),1,0))+IF(Classifiers!$C$9="",0,IF(ISNUMBER(SEARCH(Classifiers!$C$9,E246)),1,0))+IF(Classifiers!$D$9="",0,IF(ISNUMBER(SEARCH(Classifiers!$D$9,E246)),1,0))+IF(Classifiers!$E$9="",0,IF(ISNUMBER(SEARCH(Classifiers!$E$9,E246)),1,0))+IF(Classifiers!$F$9="",0,IF(ISNUMBER(SEARCH(Classifiers!$F$9,E246)),1,0))+IF(Classifiers!$G$9="",0,IF(ISNUMBER(SEARCH(Classifiers!$G$9,E246)),1,0)))&gt;0,1,0))</f>
        <v/>
      </c>
      <c r="O246" s="12">
        <f>IF(H246&lt;&gt;1,0,IF((IF(Classifiers!$B$10="",0,IF(ISNUMBER(SEARCH(Classifiers!$B$10,E246)),1,0))+IF(Classifiers!$C$10="",0,IF(ISNUMBER(SEARCH(Classifiers!$C$10,E246)),1,0))+IF(Classifiers!$D$10="",0,IF(ISNUMBER(SEARCH(Classifiers!$D$10,E246)),1,0))+IF(Classifiers!$E$10="",0,IF(ISNUMBER(SEARCH(Classifiers!$E$10,E246)),1,0))+IF(Classifiers!$F$10="",0,IF(ISNUMBER(SEARCH(Classifiers!$F$10,E246)),1,0))+IF(Classifiers!$G$10="",0,IF(ISNUMBER(SEARCH(Classifiers!$G$10,E246)),1,0)))&gt;0,1,0))</f>
        <v/>
      </c>
      <c r="P246" s="12">
        <f>IF(H246&lt;&gt;1,0,IF((IF(Classifiers!$B$11="",0,IF(ISNUMBER(SEARCH(Classifiers!$B$11,E246)),1,0))+IF(Classifiers!$C$11="",0,IF(ISNUMBER(SEARCH(Classifiers!$C$11,E246)),1,0))+IF(Classifiers!$D$11="",0,IF(ISNUMBER(SEARCH(Classifiers!$D$11,E246)),1,0))+IF(Classifiers!$E$11="",0,IF(ISNUMBER(SEARCH(Classifiers!$E$11,E246)),1,0))+IF(Classifiers!$F$11="",0,IF(ISNUMBER(SEARCH(Classifiers!$F$11,E246)),1,0))+IF(Classifiers!$G$11="",0,IF(ISNUMBER(SEARCH(Classifiers!$G$11,E246)),1,0)))&gt;0,1,0))</f>
        <v/>
      </c>
      <c r="Q246" s="12">
        <f>IF(H246&lt;&gt;1,0,IF((IF(Classifiers!$B$12="",0,IF(ISNUMBER(SEARCH(Classifiers!$B$12,E246)),1,0))+IF(Classifiers!$C$12="",0,IF(ISNUMBER(SEARCH(Classifiers!$C$12,E246)),1,0))+IF(Classifiers!$D$12="",0,IF(ISNUMBER(SEARCH(Classifiers!$D$12,E246)),1,0))+IF(Classifiers!$E$12="",0,IF(ISNUMBER(SEARCH(Classifiers!$E$12,E246)),1,0))+IF(Classifiers!$F$12="",0,IF(ISNUMBER(SEARCH(Classifiers!$F$12,E246)),1,0))+IF(Classifiers!$G$12="",0,IF(ISNUMBER(SEARCH(Classifiers!$G$12,E246)),1,0)))&gt;0,1,0))</f>
        <v/>
      </c>
      <c r="R246" s="12">
        <f>IF(H246&lt;&gt;1,0,IF((IF(Classifiers!$B$13="",0,IF(ISNUMBER(SEARCH(Classifiers!$B$13,E246)),1,0))+IF(Classifiers!$C$13="",0,IF(ISNUMBER(SEARCH(Classifiers!$C$13,E246)),1,0))+IF(Classifiers!$D$13="",0,IF(ISNUMBER(SEARCH(Classifiers!$D$13,E246)),1,0))+IF(Classifiers!$E$13="",0,IF(ISNUMBER(SEARCH(Classifiers!$E$13,E246)),1,0))+IF(Classifiers!$F$13="",0,IF(ISNUMBER(SEARCH(Classifiers!$F$13,E246)),1,0))+IF(Classifiers!$G$13="",0,IF(ISNUMBER(SEARCH(Classifiers!$G$13,E246)),1,0)))&gt;0,1,0))</f>
        <v/>
      </c>
      <c r="S246" s="12">
        <f>IF(H246&lt;&gt;1,0,IF((IF(Classifiers!$B$14="",0,IF(ISNUMBER(SEARCH(Classifiers!$B$14,E246)),1,0))+IF(Classifiers!$C$14="",0,IF(ISNUMBER(SEARCH(Classifiers!$C$14,E246)),1,0))+IF(Classifiers!$D$14="",0,IF(ISNUMBER(SEARCH(Classifiers!$D$14,E246)),1,0))+IF(Classifiers!$E$14="",0,IF(ISNUMBER(SEARCH(Classifiers!$E$14,E246)),1,0))+IF(Classifiers!$F$14="",0,IF(ISNUMBER(SEARCH(Classifiers!$F$14,E246)),1,0))+IF(Classifiers!$G$14="",0,IF(ISNUMBER(SEARCH(Classifiers!$G$14,E246)),1,0)))&gt;0,1,0))</f>
        <v/>
      </c>
      <c r="T246" s="12">
        <f>IF(H246&lt;&gt;1,0,IF((IF(Classifiers!$B$15="",0,IF(ISNUMBER(SEARCH(Classifiers!$B$15,E246)),1,0))+IF(Classifiers!$C$15="",0,IF(ISNUMBER(SEARCH(Classifiers!$C$15,E246)),1,0))+IF(Classifiers!$D$15="",0,IF(ISNUMBER(SEARCH(Classifiers!$D$15,E246)),1,0))+IF(Classifiers!$E$15="",0,IF(ISNUMBER(SEARCH(Classifiers!$E$15,E246)),1,0))+IF(Classifiers!$F$15="",0,IF(ISNUMBER(SEARCH(Classifiers!$F$15,E246)),1,0))+IF(Classifiers!$G$15="",0,IF(ISNUMBER(SEARCH(Classifiers!$G$15,E246)),1,0)))&gt;0,1,0))</f>
        <v/>
      </c>
      <c r="U246" s="12">
        <f>IF(H246&lt;&gt;1,0,IF((IF(Classifiers!$B$16="",0,IF(ISNUMBER(SEARCH(Classifiers!$B$16,E246)),1,0))+IF(Classifiers!$C$16="",0,IF(ISNUMBER(SEARCH(Classifiers!$C$16,E246)),1,0))+IF(Classifiers!$D$16="",0,IF(ISNUMBER(SEARCH(Classifiers!$D$16,E246)),1,0))+IF(Classifiers!$E$16="",0,IF(ISNUMBER(SEARCH(Classifiers!$E$16,E246)),1,0))+IF(Classifiers!$F$16="",0,IF(ISNUMBER(SEARCH(Classifiers!$F$16,E246)),1,0))+IF(Classifiers!$G$16="",0,IF(ISNUMBER(SEARCH(Classifiers!$G$16,E246)),1,0)))&gt;0,1,0))</f>
        <v/>
      </c>
      <c r="V246" s="12">
        <f>IF(H246&lt;&gt;1,0,IF((IF(Classifiers!$B$17="",0,IF(ISNUMBER(SEARCH(Classifiers!$B$17,E246)),1,0))+IF(Classifiers!$C$17="",0,IF(ISNUMBER(SEARCH(Classifiers!$C$17,E246)),1,0))+IF(Classifiers!$D$17="",0,IF(ISNUMBER(SEARCH(Classifiers!$D$17,E246)),1,0))+IF(Classifiers!$E$17="",0,IF(ISNUMBER(SEARCH(Classifiers!$E$17,E246)),1,0))+IF(Classifiers!$F$17="",0,IF(ISNUMBER(SEARCH(Classifiers!$F$17,E246)),1,0))+IF(Classifiers!$G$17="",0,IF(ISNUMBER(SEARCH(Classifiers!$G$17,E246)),1,0)))&gt;0,1,0))</f>
        <v/>
      </c>
      <c r="W246" s="12">
        <f>IF(H246&lt;&gt;1,0,IF((IF(Classifiers!$B$18="",0,IF(ISNUMBER(SEARCH(Classifiers!$B$18,E246)),1,0))+IF(Classifiers!$C$18="",0,IF(ISNUMBER(SEARCH(Classifiers!$C$18,E246)),1,0))+IF(Classifiers!$D$18="",0,IF(ISNUMBER(SEARCH(Classifiers!$D$18,E246)),1,0))+IF(Classifiers!$E$18="",0,IF(ISNUMBER(SEARCH(Classifiers!$E$18,E246)),1,0))+IF(Classifiers!$F$18="",0,IF(ISNUMBER(SEARCH(Classifiers!$F$18,E246)),1,0))+IF(Classifiers!$G$18="",0,IF(ISNUMBER(SEARCH(Classifiers!$G$18,E246)),1,0)))&gt;0,1,0))</f>
        <v/>
      </c>
    </row>
    <row r="247">
      <c r="A247" s="8" t="n"/>
      <c r="B247" s="11" t="n"/>
      <c r="C247" s="6">
        <f>IF(A247="","",TRIM(RIGHT(SUBSTITUTE(A247,"/",REPT(" ",250)),250)))</f>
        <v/>
      </c>
      <c r="D247" s="6">
        <f>IF(C247="","",IF(ISNUMBER(SEARCH(".",C247)),LOWER("."&amp;TRIM(RIGHT(SUBSTITUTE(C247,".",REPT(" ",250)),250))),""))</f>
        <v/>
      </c>
      <c r="E247" s="6">
        <f>IF(C247="","",TRIM(SUBSTITUTE(SUBSTITUTE(SUBSTITUTE(SUBSTITUTE(SUBSTITUTE(SUBSTITUTE(SUBSTITUTE(SUBSTITUTE(SUBSTITUTE(SUBSTITUTE(SUBSTITUTE(SUBSTITUTE(SUBSTITUTE(SUBSTITUTE(SUBSTITUTE(SUBSTITUTE(SUBSTITUTE(SUBSTITUTE(SUBSTITUTE(SUBSTITUTE(LOWER(LEFT(C247,LEN(C247)-LEN(D247))),"_"," "),"-"," "),"."," "),","," "),"("," "),")"," "),"["," "),"]"," "),"&amp;"," "),"+"," "),"@"," "),"#"," "),"!"," "),"'"," "),"/"," "),":"," "),";"," "),"="," "),"~"," "),"%"," ")))</f>
        <v/>
      </c>
      <c r="F247" s="6">
        <f>IF(C247="","",IF(COUNTIF(Classifiers!$A$23:$A$40,D247)&gt;0,1,0))</f>
        <v/>
      </c>
      <c r="G247" s="6">
        <f>IF(C247="","",IF(COUNTIF(Classifiers!$C$23:$C$30,D247)&gt;0,IF((IF(ISNUMBER(SEARCH(Classifiers!$E$23,E247)),1,0)+IF(ISNUMBER(SEARCH(Classifiers!$E$24,E247)),1,0)+IF(ISNUMBER(SEARCH(Classifiers!$E$25,E247)),1,0)+IF(ISNUMBER(SEARCH(Classifiers!$E$26,E247)),1,0)+IF(ISNUMBER(SEARCH(Classifiers!$E$27,E247)),1,0)+IF(ISNUMBER(SEARCH(Classifiers!$E$28,E247)),1,0)+IF(ISNUMBER(SEARCH(Classifiers!$E$29,E247)),1,0)+IF(ISNUMBER(SEARCH(Classifiers!$E$30,E247)),1,0))&gt;0,1,0),0))</f>
        <v/>
      </c>
      <c r="H247" s="6">
        <f>IF(C247="","",IF(OR(LEFT(C247,1)=".",AND(F247=0,G247=0)),0,1))</f>
        <v/>
      </c>
      <c r="I247" s="6">
        <f>IF(H247&lt;&gt;1,"",IF(SUM(J247:W247)=0,"unclassified",INDEX(Classifiers!$A$5:$A$18,MATCH(1,J247:W247,0),1)))</f>
        <v/>
      </c>
      <c r="J247" s="12">
        <f>IF(H247&lt;&gt;1,0,IF((IF(Classifiers!$B$5="",0,IF(ISNUMBER(SEARCH(Classifiers!$B$5,E247)),1,0))+IF(Classifiers!$C$5="",0,IF(ISNUMBER(SEARCH(Classifiers!$C$5,E247)),1,0))+IF(Classifiers!$D$5="",0,IF(ISNUMBER(SEARCH(Classifiers!$D$5,E247)),1,0))+IF(Classifiers!$E$5="",0,IF(ISNUMBER(SEARCH(Classifiers!$E$5,E247)),1,0))+IF(Classifiers!$F$5="",0,IF(ISNUMBER(SEARCH(Classifiers!$F$5,E247)),1,0))+IF(Classifiers!$G$5="",0,IF(ISNUMBER(SEARCH(Classifiers!$G$5,E247)),1,0)))&gt;0,1,0))</f>
        <v/>
      </c>
      <c r="K247" s="12">
        <f>IF(H247&lt;&gt;1,0,IF((IF(Classifiers!$B$6="",0,IF(ISNUMBER(SEARCH(Classifiers!$B$6,E247)),1,0))+IF(Classifiers!$C$6="",0,IF(ISNUMBER(SEARCH(Classifiers!$C$6,E247)),1,0))+IF(Classifiers!$D$6="",0,IF(ISNUMBER(SEARCH(Classifiers!$D$6,E247)),1,0))+IF(Classifiers!$E$6="",0,IF(ISNUMBER(SEARCH(Classifiers!$E$6,E247)),1,0))+IF(Classifiers!$F$6="",0,IF(ISNUMBER(SEARCH(Classifiers!$F$6,E247)),1,0))+IF(Classifiers!$G$6="",0,IF(ISNUMBER(SEARCH(Classifiers!$G$6,E247)),1,0)))&gt;0,1,0))</f>
        <v/>
      </c>
      <c r="L247" s="12">
        <f>IF(H247&lt;&gt;1,0,IF((IF(Classifiers!$B$7="",0,IF(ISNUMBER(SEARCH(Classifiers!$B$7,E247)),1,0))+IF(Classifiers!$C$7="",0,IF(ISNUMBER(SEARCH(Classifiers!$C$7,E247)),1,0))+IF(Classifiers!$D$7="",0,IF(ISNUMBER(SEARCH(Classifiers!$D$7,E247)),1,0))+IF(Classifiers!$E$7="",0,IF(ISNUMBER(SEARCH(Classifiers!$E$7,E247)),1,0))+IF(Classifiers!$F$7="",0,IF(ISNUMBER(SEARCH(Classifiers!$F$7,E247)),1,0))+IF(Classifiers!$G$7="",0,IF(ISNUMBER(SEARCH(Classifiers!$G$7,E247)),1,0)))&gt;0,1,0))</f>
        <v/>
      </c>
      <c r="M247" s="12">
        <f>IF(H247&lt;&gt;1,0,IF((IF(Classifiers!$B$8="",0,IF(ISNUMBER(SEARCH(Classifiers!$B$8,E247)),1,0))+IF(Classifiers!$C$8="",0,IF(ISNUMBER(SEARCH(Classifiers!$C$8,E247)),1,0))+IF(Classifiers!$D$8="",0,IF(ISNUMBER(SEARCH(Classifiers!$D$8,E247)),1,0))+IF(Classifiers!$E$8="",0,IF(ISNUMBER(SEARCH(Classifiers!$E$8,E247)),1,0))+IF(Classifiers!$F$8="",0,IF(ISNUMBER(SEARCH(Classifiers!$F$8,E247)),1,0))+IF(Classifiers!$G$8="",0,IF(ISNUMBER(SEARCH(Classifiers!$G$8,E247)),1,0)))&gt;0,1,0))</f>
        <v/>
      </c>
      <c r="N247" s="12">
        <f>IF(H247&lt;&gt;1,0,IF((IF(Classifiers!$B$9="",0,IF(ISNUMBER(SEARCH(Classifiers!$B$9,E247)),1,0))+IF(Classifiers!$C$9="",0,IF(ISNUMBER(SEARCH(Classifiers!$C$9,E247)),1,0))+IF(Classifiers!$D$9="",0,IF(ISNUMBER(SEARCH(Classifiers!$D$9,E247)),1,0))+IF(Classifiers!$E$9="",0,IF(ISNUMBER(SEARCH(Classifiers!$E$9,E247)),1,0))+IF(Classifiers!$F$9="",0,IF(ISNUMBER(SEARCH(Classifiers!$F$9,E247)),1,0))+IF(Classifiers!$G$9="",0,IF(ISNUMBER(SEARCH(Classifiers!$G$9,E247)),1,0)))&gt;0,1,0))</f>
        <v/>
      </c>
      <c r="O247" s="12">
        <f>IF(H247&lt;&gt;1,0,IF((IF(Classifiers!$B$10="",0,IF(ISNUMBER(SEARCH(Classifiers!$B$10,E247)),1,0))+IF(Classifiers!$C$10="",0,IF(ISNUMBER(SEARCH(Classifiers!$C$10,E247)),1,0))+IF(Classifiers!$D$10="",0,IF(ISNUMBER(SEARCH(Classifiers!$D$10,E247)),1,0))+IF(Classifiers!$E$10="",0,IF(ISNUMBER(SEARCH(Classifiers!$E$10,E247)),1,0))+IF(Classifiers!$F$10="",0,IF(ISNUMBER(SEARCH(Classifiers!$F$10,E247)),1,0))+IF(Classifiers!$G$10="",0,IF(ISNUMBER(SEARCH(Classifiers!$G$10,E247)),1,0)))&gt;0,1,0))</f>
        <v/>
      </c>
      <c r="P247" s="12">
        <f>IF(H247&lt;&gt;1,0,IF((IF(Classifiers!$B$11="",0,IF(ISNUMBER(SEARCH(Classifiers!$B$11,E247)),1,0))+IF(Classifiers!$C$11="",0,IF(ISNUMBER(SEARCH(Classifiers!$C$11,E247)),1,0))+IF(Classifiers!$D$11="",0,IF(ISNUMBER(SEARCH(Classifiers!$D$11,E247)),1,0))+IF(Classifiers!$E$11="",0,IF(ISNUMBER(SEARCH(Classifiers!$E$11,E247)),1,0))+IF(Classifiers!$F$11="",0,IF(ISNUMBER(SEARCH(Classifiers!$F$11,E247)),1,0))+IF(Classifiers!$G$11="",0,IF(ISNUMBER(SEARCH(Classifiers!$G$11,E247)),1,0)))&gt;0,1,0))</f>
        <v/>
      </c>
      <c r="Q247" s="12">
        <f>IF(H247&lt;&gt;1,0,IF((IF(Classifiers!$B$12="",0,IF(ISNUMBER(SEARCH(Classifiers!$B$12,E247)),1,0))+IF(Classifiers!$C$12="",0,IF(ISNUMBER(SEARCH(Classifiers!$C$12,E247)),1,0))+IF(Classifiers!$D$12="",0,IF(ISNUMBER(SEARCH(Classifiers!$D$12,E247)),1,0))+IF(Classifiers!$E$12="",0,IF(ISNUMBER(SEARCH(Classifiers!$E$12,E247)),1,0))+IF(Classifiers!$F$12="",0,IF(ISNUMBER(SEARCH(Classifiers!$F$12,E247)),1,0))+IF(Classifiers!$G$12="",0,IF(ISNUMBER(SEARCH(Classifiers!$G$12,E247)),1,0)))&gt;0,1,0))</f>
        <v/>
      </c>
      <c r="R247" s="12">
        <f>IF(H247&lt;&gt;1,0,IF((IF(Classifiers!$B$13="",0,IF(ISNUMBER(SEARCH(Classifiers!$B$13,E247)),1,0))+IF(Classifiers!$C$13="",0,IF(ISNUMBER(SEARCH(Classifiers!$C$13,E247)),1,0))+IF(Classifiers!$D$13="",0,IF(ISNUMBER(SEARCH(Classifiers!$D$13,E247)),1,0))+IF(Classifiers!$E$13="",0,IF(ISNUMBER(SEARCH(Classifiers!$E$13,E247)),1,0))+IF(Classifiers!$F$13="",0,IF(ISNUMBER(SEARCH(Classifiers!$F$13,E247)),1,0))+IF(Classifiers!$G$13="",0,IF(ISNUMBER(SEARCH(Classifiers!$G$13,E247)),1,0)))&gt;0,1,0))</f>
        <v/>
      </c>
      <c r="S247" s="12">
        <f>IF(H247&lt;&gt;1,0,IF((IF(Classifiers!$B$14="",0,IF(ISNUMBER(SEARCH(Classifiers!$B$14,E247)),1,0))+IF(Classifiers!$C$14="",0,IF(ISNUMBER(SEARCH(Classifiers!$C$14,E247)),1,0))+IF(Classifiers!$D$14="",0,IF(ISNUMBER(SEARCH(Classifiers!$D$14,E247)),1,0))+IF(Classifiers!$E$14="",0,IF(ISNUMBER(SEARCH(Classifiers!$E$14,E247)),1,0))+IF(Classifiers!$F$14="",0,IF(ISNUMBER(SEARCH(Classifiers!$F$14,E247)),1,0))+IF(Classifiers!$G$14="",0,IF(ISNUMBER(SEARCH(Classifiers!$G$14,E247)),1,0)))&gt;0,1,0))</f>
        <v/>
      </c>
      <c r="T247" s="12">
        <f>IF(H247&lt;&gt;1,0,IF((IF(Classifiers!$B$15="",0,IF(ISNUMBER(SEARCH(Classifiers!$B$15,E247)),1,0))+IF(Classifiers!$C$15="",0,IF(ISNUMBER(SEARCH(Classifiers!$C$15,E247)),1,0))+IF(Classifiers!$D$15="",0,IF(ISNUMBER(SEARCH(Classifiers!$D$15,E247)),1,0))+IF(Classifiers!$E$15="",0,IF(ISNUMBER(SEARCH(Classifiers!$E$15,E247)),1,0))+IF(Classifiers!$F$15="",0,IF(ISNUMBER(SEARCH(Classifiers!$F$15,E247)),1,0))+IF(Classifiers!$G$15="",0,IF(ISNUMBER(SEARCH(Classifiers!$G$15,E247)),1,0)))&gt;0,1,0))</f>
        <v/>
      </c>
      <c r="U247" s="12">
        <f>IF(H247&lt;&gt;1,0,IF((IF(Classifiers!$B$16="",0,IF(ISNUMBER(SEARCH(Classifiers!$B$16,E247)),1,0))+IF(Classifiers!$C$16="",0,IF(ISNUMBER(SEARCH(Classifiers!$C$16,E247)),1,0))+IF(Classifiers!$D$16="",0,IF(ISNUMBER(SEARCH(Classifiers!$D$16,E247)),1,0))+IF(Classifiers!$E$16="",0,IF(ISNUMBER(SEARCH(Classifiers!$E$16,E247)),1,0))+IF(Classifiers!$F$16="",0,IF(ISNUMBER(SEARCH(Classifiers!$F$16,E247)),1,0))+IF(Classifiers!$G$16="",0,IF(ISNUMBER(SEARCH(Classifiers!$G$16,E247)),1,0)))&gt;0,1,0))</f>
        <v/>
      </c>
      <c r="V247" s="12">
        <f>IF(H247&lt;&gt;1,0,IF((IF(Classifiers!$B$17="",0,IF(ISNUMBER(SEARCH(Classifiers!$B$17,E247)),1,0))+IF(Classifiers!$C$17="",0,IF(ISNUMBER(SEARCH(Classifiers!$C$17,E247)),1,0))+IF(Classifiers!$D$17="",0,IF(ISNUMBER(SEARCH(Classifiers!$D$17,E247)),1,0))+IF(Classifiers!$E$17="",0,IF(ISNUMBER(SEARCH(Classifiers!$E$17,E247)),1,0))+IF(Classifiers!$F$17="",0,IF(ISNUMBER(SEARCH(Classifiers!$F$17,E247)),1,0))+IF(Classifiers!$G$17="",0,IF(ISNUMBER(SEARCH(Classifiers!$G$17,E247)),1,0)))&gt;0,1,0))</f>
        <v/>
      </c>
      <c r="W247" s="12">
        <f>IF(H247&lt;&gt;1,0,IF((IF(Classifiers!$B$18="",0,IF(ISNUMBER(SEARCH(Classifiers!$B$18,E247)),1,0))+IF(Classifiers!$C$18="",0,IF(ISNUMBER(SEARCH(Classifiers!$C$18,E247)),1,0))+IF(Classifiers!$D$18="",0,IF(ISNUMBER(SEARCH(Classifiers!$D$18,E247)),1,0))+IF(Classifiers!$E$18="",0,IF(ISNUMBER(SEARCH(Classifiers!$E$18,E247)),1,0))+IF(Classifiers!$F$18="",0,IF(ISNUMBER(SEARCH(Classifiers!$F$18,E247)),1,0))+IF(Classifiers!$G$18="",0,IF(ISNUMBER(SEARCH(Classifiers!$G$18,E247)),1,0)))&gt;0,1,0))</f>
        <v/>
      </c>
    </row>
    <row r="248">
      <c r="A248" s="8" t="n"/>
      <c r="B248" s="11" t="n"/>
      <c r="C248" s="6">
        <f>IF(A248="","",TRIM(RIGHT(SUBSTITUTE(A248,"/",REPT(" ",250)),250)))</f>
        <v/>
      </c>
      <c r="D248" s="6">
        <f>IF(C248="","",IF(ISNUMBER(SEARCH(".",C248)),LOWER("."&amp;TRIM(RIGHT(SUBSTITUTE(C248,".",REPT(" ",250)),250))),""))</f>
        <v/>
      </c>
      <c r="E248" s="6">
        <f>IF(C248="","",TRIM(SUBSTITUTE(SUBSTITUTE(SUBSTITUTE(SUBSTITUTE(SUBSTITUTE(SUBSTITUTE(SUBSTITUTE(SUBSTITUTE(SUBSTITUTE(SUBSTITUTE(SUBSTITUTE(SUBSTITUTE(SUBSTITUTE(SUBSTITUTE(SUBSTITUTE(SUBSTITUTE(SUBSTITUTE(SUBSTITUTE(SUBSTITUTE(SUBSTITUTE(LOWER(LEFT(C248,LEN(C248)-LEN(D248))),"_"," "),"-"," "),"."," "),","," "),"("," "),")"," "),"["," "),"]"," "),"&amp;"," "),"+"," "),"@"," "),"#"," "),"!"," "),"'"," "),"/"," "),":"," "),";"," "),"="," "),"~"," "),"%"," ")))</f>
        <v/>
      </c>
      <c r="F248" s="6">
        <f>IF(C248="","",IF(COUNTIF(Classifiers!$A$23:$A$40,D248)&gt;0,1,0))</f>
        <v/>
      </c>
      <c r="G248" s="6">
        <f>IF(C248="","",IF(COUNTIF(Classifiers!$C$23:$C$30,D248)&gt;0,IF((IF(ISNUMBER(SEARCH(Classifiers!$E$23,E248)),1,0)+IF(ISNUMBER(SEARCH(Classifiers!$E$24,E248)),1,0)+IF(ISNUMBER(SEARCH(Classifiers!$E$25,E248)),1,0)+IF(ISNUMBER(SEARCH(Classifiers!$E$26,E248)),1,0)+IF(ISNUMBER(SEARCH(Classifiers!$E$27,E248)),1,0)+IF(ISNUMBER(SEARCH(Classifiers!$E$28,E248)),1,0)+IF(ISNUMBER(SEARCH(Classifiers!$E$29,E248)),1,0)+IF(ISNUMBER(SEARCH(Classifiers!$E$30,E248)),1,0))&gt;0,1,0),0))</f>
        <v/>
      </c>
      <c r="H248" s="6">
        <f>IF(C248="","",IF(OR(LEFT(C248,1)=".",AND(F248=0,G248=0)),0,1))</f>
        <v/>
      </c>
      <c r="I248" s="6">
        <f>IF(H248&lt;&gt;1,"",IF(SUM(J248:W248)=0,"unclassified",INDEX(Classifiers!$A$5:$A$18,MATCH(1,J248:W248,0),1)))</f>
        <v/>
      </c>
      <c r="J248" s="12">
        <f>IF(H248&lt;&gt;1,0,IF((IF(Classifiers!$B$5="",0,IF(ISNUMBER(SEARCH(Classifiers!$B$5,E248)),1,0))+IF(Classifiers!$C$5="",0,IF(ISNUMBER(SEARCH(Classifiers!$C$5,E248)),1,0))+IF(Classifiers!$D$5="",0,IF(ISNUMBER(SEARCH(Classifiers!$D$5,E248)),1,0))+IF(Classifiers!$E$5="",0,IF(ISNUMBER(SEARCH(Classifiers!$E$5,E248)),1,0))+IF(Classifiers!$F$5="",0,IF(ISNUMBER(SEARCH(Classifiers!$F$5,E248)),1,0))+IF(Classifiers!$G$5="",0,IF(ISNUMBER(SEARCH(Classifiers!$G$5,E248)),1,0)))&gt;0,1,0))</f>
        <v/>
      </c>
      <c r="K248" s="12">
        <f>IF(H248&lt;&gt;1,0,IF((IF(Classifiers!$B$6="",0,IF(ISNUMBER(SEARCH(Classifiers!$B$6,E248)),1,0))+IF(Classifiers!$C$6="",0,IF(ISNUMBER(SEARCH(Classifiers!$C$6,E248)),1,0))+IF(Classifiers!$D$6="",0,IF(ISNUMBER(SEARCH(Classifiers!$D$6,E248)),1,0))+IF(Classifiers!$E$6="",0,IF(ISNUMBER(SEARCH(Classifiers!$E$6,E248)),1,0))+IF(Classifiers!$F$6="",0,IF(ISNUMBER(SEARCH(Classifiers!$F$6,E248)),1,0))+IF(Classifiers!$G$6="",0,IF(ISNUMBER(SEARCH(Classifiers!$G$6,E248)),1,0)))&gt;0,1,0))</f>
        <v/>
      </c>
      <c r="L248" s="12">
        <f>IF(H248&lt;&gt;1,0,IF((IF(Classifiers!$B$7="",0,IF(ISNUMBER(SEARCH(Classifiers!$B$7,E248)),1,0))+IF(Classifiers!$C$7="",0,IF(ISNUMBER(SEARCH(Classifiers!$C$7,E248)),1,0))+IF(Classifiers!$D$7="",0,IF(ISNUMBER(SEARCH(Classifiers!$D$7,E248)),1,0))+IF(Classifiers!$E$7="",0,IF(ISNUMBER(SEARCH(Classifiers!$E$7,E248)),1,0))+IF(Classifiers!$F$7="",0,IF(ISNUMBER(SEARCH(Classifiers!$F$7,E248)),1,0))+IF(Classifiers!$G$7="",0,IF(ISNUMBER(SEARCH(Classifiers!$G$7,E248)),1,0)))&gt;0,1,0))</f>
        <v/>
      </c>
      <c r="M248" s="12">
        <f>IF(H248&lt;&gt;1,0,IF((IF(Classifiers!$B$8="",0,IF(ISNUMBER(SEARCH(Classifiers!$B$8,E248)),1,0))+IF(Classifiers!$C$8="",0,IF(ISNUMBER(SEARCH(Classifiers!$C$8,E248)),1,0))+IF(Classifiers!$D$8="",0,IF(ISNUMBER(SEARCH(Classifiers!$D$8,E248)),1,0))+IF(Classifiers!$E$8="",0,IF(ISNUMBER(SEARCH(Classifiers!$E$8,E248)),1,0))+IF(Classifiers!$F$8="",0,IF(ISNUMBER(SEARCH(Classifiers!$F$8,E248)),1,0))+IF(Classifiers!$G$8="",0,IF(ISNUMBER(SEARCH(Classifiers!$G$8,E248)),1,0)))&gt;0,1,0))</f>
        <v/>
      </c>
      <c r="N248" s="12">
        <f>IF(H248&lt;&gt;1,0,IF((IF(Classifiers!$B$9="",0,IF(ISNUMBER(SEARCH(Classifiers!$B$9,E248)),1,0))+IF(Classifiers!$C$9="",0,IF(ISNUMBER(SEARCH(Classifiers!$C$9,E248)),1,0))+IF(Classifiers!$D$9="",0,IF(ISNUMBER(SEARCH(Classifiers!$D$9,E248)),1,0))+IF(Classifiers!$E$9="",0,IF(ISNUMBER(SEARCH(Classifiers!$E$9,E248)),1,0))+IF(Classifiers!$F$9="",0,IF(ISNUMBER(SEARCH(Classifiers!$F$9,E248)),1,0))+IF(Classifiers!$G$9="",0,IF(ISNUMBER(SEARCH(Classifiers!$G$9,E248)),1,0)))&gt;0,1,0))</f>
        <v/>
      </c>
      <c r="O248" s="12">
        <f>IF(H248&lt;&gt;1,0,IF((IF(Classifiers!$B$10="",0,IF(ISNUMBER(SEARCH(Classifiers!$B$10,E248)),1,0))+IF(Classifiers!$C$10="",0,IF(ISNUMBER(SEARCH(Classifiers!$C$10,E248)),1,0))+IF(Classifiers!$D$10="",0,IF(ISNUMBER(SEARCH(Classifiers!$D$10,E248)),1,0))+IF(Classifiers!$E$10="",0,IF(ISNUMBER(SEARCH(Classifiers!$E$10,E248)),1,0))+IF(Classifiers!$F$10="",0,IF(ISNUMBER(SEARCH(Classifiers!$F$10,E248)),1,0))+IF(Classifiers!$G$10="",0,IF(ISNUMBER(SEARCH(Classifiers!$G$10,E248)),1,0)))&gt;0,1,0))</f>
        <v/>
      </c>
      <c r="P248" s="12">
        <f>IF(H248&lt;&gt;1,0,IF((IF(Classifiers!$B$11="",0,IF(ISNUMBER(SEARCH(Classifiers!$B$11,E248)),1,0))+IF(Classifiers!$C$11="",0,IF(ISNUMBER(SEARCH(Classifiers!$C$11,E248)),1,0))+IF(Classifiers!$D$11="",0,IF(ISNUMBER(SEARCH(Classifiers!$D$11,E248)),1,0))+IF(Classifiers!$E$11="",0,IF(ISNUMBER(SEARCH(Classifiers!$E$11,E248)),1,0))+IF(Classifiers!$F$11="",0,IF(ISNUMBER(SEARCH(Classifiers!$F$11,E248)),1,0))+IF(Classifiers!$G$11="",0,IF(ISNUMBER(SEARCH(Classifiers!$G$11,E248)),1,0)))&gt;0,1,0))</f>
        <v/>
      </c>
      <c r="Q248" s="12">
        <f>IF(H248&lt;&gt;1,0,IF((IF(Classifiers!$B$12="",0,IF(ISNUMBER(SEARCH(Classifiers!$B$12,E248)),1,0))+IF(Classifiers!$C$12="",0,IF(ISNUMBER(SEARCH(Classifiers!$C$12,E248)),1,0))+IF(Classifiers!$D$12="",0,IF(ISNUMBER(SEARCH(Classifiers!$D$12,E248)),1,0))+IF(Classifiers!$E$12="",0,IF(ISNUMBER(SEARCH(Classifiers!$E$12,E248)),1,0))+IF(Classifiers!$F$12="",0,IF(ISNUMBER(SEARCH(Classifiers!$F$12,E248)),1,0))+IF(Classifiers!$G$12="",0,IF(ISNUMBER(SEARCH(Classifiers!$G$12,E248)),1,0)))&gt;0,1,0))</f>
        <v/>
      </c>
      <c r="R248" s="12">
        <f>IF(H248&lt;&gt;1,0,IF((IF(Classifiers!$B$13="",0,IF(ISNUMBER(SEARCH(Classifiers!$B$13,E248)),1,0))+IF(Classifiers!$C$13="",0,IF(ISNUMBER(SEARCH(Classifiers!$C$13,E248)),1,0))+IF(Classifiers!$D$13="",0,IF(ISNUMBER(SEARCH(Classifiers!$D$13,E248)),1,0))+IF(Classifiers!$E$13="",0,IF(ISNUMBER(SEARCH(Classifiers!$E$13,E248)),1,0))+IF(Classifiers!$F$13="",0,IF(ISNUMBER(SEARCH(Classifiers!$F$13,E248)),1,0))+IF(Classifiers!$G$13="",0,IF(ISNUMBER(SEARCH(Classifiers!$G$13,E248)),1,0)))&gt;0,1,0))</f>
        <v/>
      </c>
      <c r="S248" s="12">
        <f>IF(H248&lt;&gt;1,0,IF((IF(Classifiers!$B$14="",0,IF(ISNUMBER(SEARCH(Classifiers!$B$14,E248)),1,0))+IF(Classifiers!$C$14="",0,IF(ISNUMBER(SEARCH(Classifiers!$C$14,E248)),1,0))+IF(Classifiers!$D$14="",0,IF(ISNUMBER(SEARCH(Classifiers!$D$14,E248)),1,0))+IF(Classifiers!$E$14="",0,IF(ISNUMBER(SEARCH(Classifiers!$E$14,E248)),1,0))+IF(Classifiers!$F$14="",0,IF(ISNUMBER(SEARCH(Classifiers!$F$14,E248)),1,0))+IF(Classifiers!$G$14="",0,IF(ISNUMBER(SEARCH(Classifiers!$G$14,E248)),1,0)))&gt;0,1,0))</f>
        <v/>
      </c>
      <c r="T248" s="12">
        <f>IF(H248&lt;&gt;1,0,IF((IF(Classifiers!$B$15="",0,IF(ISNUMBER(SEARCH(Classifiers!$B$15,E248)),1,0))+IF(Classifiers!$C$15="",0,IF(ISNUMBER(SEARCH(Classifiers!$C$15,E248)),1,0))+IF(Classifiers!$D$15="",0,IF(ISNUMBER(SEARCH(Classifiers!$D$15,E248)),1,0))+IF(Classifiers!$E$15="",0,IF(ISNUMBER(SEARCH(Classifiers!$E$15,E248)),1,0))+IF(Classifiers!$F$15="",0,IF(ISNUMBER(SEARCH(Classifiers!$F$15,E248)),1,0))+IF(Classifiers!$G$15="",0,IF(ISNUMBER(SEARCH(Classifiers!$G$15,E248)),1,0)))&gt;0,1,0))</f>
        <v/>
      </c>
      <c r="U248" s="12">
        <f>IF(H248&lt;&gt;1,0,IF((IF(Classifiers!$B$16="",0,IF(ISNUMBER(SEARCH(Classifiers!$B$16,E248)),1,0))+IF(Classifiers!$C$16="",0,IF(ISNUMBER(SEARCH(Classifiers!$C$16,E248)),1,0))+IF(Classifiers!$D$16="",0,IF(ISNUMBER(SEARCH(Classifiers!$D$16,E248)),1,0))+IF(Classifiers!$E$16="",0,IF(ISNUMBER(SEARCH(Classifiers!$E$16,E248)),1,0))+IF(Classifiers!$F$16="",0,IF(ISNUMBER(SEARCH(Classifiers!$F$16,E248)),1,0))+IF(Classifiers!$G$16="",0,IF(ISNUMBER(SEARCH(Classifiers!$G$16,E248)),1,0)))&gt;0,1,0))</f>
        <v/>
      </c>
      <c r="V248" s="12">
        <f>IF(H248&lt;&gt;1,0,IF((IF(Classifiers!$B$17="",0,IF(ISNUMBER(SEARCH(Classifiers!$B$17,E248)),1,0))+IF(Classifiers!$C$17="",0,IF(ISNUMBER(SEARCH(Classifiers!$C$17,E248)),1,0))+IF(Classifiers!$D$17="",0,IF(ISNUMBER(SEARCH(Classifiers!$D$17,E248)),1,0))+IF(Classifiers!$E$17="",0,IF(ISNUMBER(SEARCH(Classifiers!$E$17,E248)),1,0))+IF(Classifiers!$F$17="",0,IF(ISNUMBER(SEARCH(Classifiers!$F$17,E248)),1,0))+IF(Classifiers!$G$17="",0,IF(ISNUMBER(SEARCH(Classifiers!$G$17,E248)),1,0)))&gt;0,1,0))</f>
        <v/>
      </c>
      <c r="W248" s="12">
        <f>IF(H248&lt;&gt;1,0,IF((IF(Classifiers!$B$18="",0,IF(ISNUMBER(SEARCH(Classifiers!$B$18,E248)),1,0))+IF(Classifiers!$C$18="",0,IF(ISNUMBER(SEARCH(Classifiers!$C$18,E248)),1,0))+IF(Classifiers!$D$18="",0,IF(ISNUMBER(SEARCH(Classifiers!$D$18,E248)),1,0))+IF(Classifiers!$E$18="",0,IF(ISNUMBER(SEARCH(Classifiers!$E$18,E248)),1,0))+IF(Classifiers!$F$18="",0,IF(ISNUMBER(SEARCH(Classifiers!$F$18,E248)),1,0))+IF(Classifiers!$G$18="",0,IF(ISNUMBER(SEARCH(Classifiers!$G$18,E248)),1,0)))&gt;0,1,0))</f>
        <v/>
      </c>
    </row>
    <row r="249">
      <c r="A249" s="8" t="n"/>
      <c r="B249" s="11" t="n"/>
      <c r="C249" s="6">
        <f>IF(A249="","",TRIM(RIGHT(SUBSTITUTE(A249,"/",REPT(" ",250)),250)))</f>
        <v/>
      </c>
      <c r="D249" s="6">
        <f>IF(C249="","",IF(ISNUMBER(SEARCH(".",C249)),LOWER("."&amp;TRIM(RIGHT(SUBSTITUTE(C249,".",REPT(" ",250)),250))),""))</f>
        <v/>
      </c>
      <c r="E249" s="6">
        <f>IF(C249="","",TRIM(SUBSTITUTE(SUBSTITUTE(SUBSTITUTE(SUBSTITUTE(SUBSTITUTE(SUBSTITUTE(SUBSTITUTE(SUBSTITUTE(SUBSTITUTE(SUBSTITUTE(SUBSTITUTE(SUBSTITUTE(SUBSTITUTE(SUBSTITUTE(SUBSTITUTE(SUBSTITUTE(SUBSTITUTE(SUBSTITUTE(SUBSTITUTE(SUBSTITUTE(LOWER(LEFT(C249,LEN(C249)-LEN(D249))),"_"," "),"-"," "),"."," "),","," "),"("," "),")"," "),"["," "),"]"," "),"&amp;"," "),"+"," "),"@"," "),"#"," "),"!"," "),"'"," "),"/"," "),":"," "),";"," "),"="," "),"~"," "),"%"," ")))</f>
        <v/>
      </c>
      <c r="F249" s="6">
        <f>IF(C249="","",IF(COUNTIF(Classifiers!$A$23:$A$40,D249)&gt;0,1,0))</f>
        <v/>
      </c>
      <c r="G249" s="6">
        <f>IF(C249="","",IF(COUNTIF(Classifiers!$C$23:$C$30,D249)&gt;0,IF((IF(ISNUMBER(SEARCH(Classifiers!$E$23,E249)),1,0)+IF(ISNUMBER(SEARCH(Classifiers!$E$24,E249)),1,0)+IF(ISNUMBER(SEARCH(Classifiers!$E$25,E249)),1,0)+IF(ISNUMBER(SEARCH(Classifiers!$E$26,E249)),1,0)+IF(ISNUMBER(SEARCH(Classifiers!$E$27,E249)),1,0)+IF(ISNUMBER(SEARCH(Classifiers!$E$28,E249)),1,0)+IF(ISNUMBER(SEARCH(Classifiers!$E$29,E249)),1,0)+IF(ISNUMBER(SEARCH(Classifiers!$E$30,E249)),1,0))&gt;0,1,0),0))</f>
        <v/>
      </c>
      <c r="H249" s="6">
        <f>IF(C249="","",IF(OR(LEFT(C249,1)=".",AND(F249=0,G249=0)),0,1))</f>
        <v/>
      </c>
      <c r="I249" s="6">
        <f>IF(H249&lt;&gt;1,"",IF(SUM(J249:W249)=0,"unclassified",INDEX(Classifiers!$A$5:$A$18,MATCH(1,J249:W249,0),1)))</f>
        <v/>
      </c>
      <c r="J249" s="12">
        <f>IF(H249&lt;&gt;1,0,IF((IF(Classifiers!$B$5="",0,IF(ISNUMBER(SEARCH(Classifiers!$B$5,E249)),1,0))+IF(Classifiers!$C$5="",0,IF(ISNUMBER(SEARCH(Classifiers!$C$5,E249)),1,0))+IF(Classifiers!$D$5="",0,IF(ISNUMBER(SEARCH(Classifiers!$D$5,E249)),1,0))+IF(Classifiers!$E$5="",0,IF(ISNUMBER(SEARCH(Classifiers!$E$5,E249)),1,0))+IF(Classifiers!$F$5="",0,IF(ISNUMBER(SEARCH(Classifiers!$F$5,E249)),1,0))+IF(Classifiers!$G$5="",0,IF(ISNUMBER(SEARCH(Classifiers!$G$5,E249)),1,0)))&gt;0,1,0))</f>
        <v/>
      </c>
      <c r="K249" s="12">
        <f>IF(H249&lt;&gt;1,0,IF((IF(Classifiers!$B$6="",0,IF(ISNUMBER(SEARCH(Classifiers!$B$6,E249)),1,0))+IF(Classifiers!$C$6="",0,IF(ISNUMBER(SEARCH(Classifiers!$C$6,E249)),1,0))+IF(Classifiers!$D$6="",0,IF(ISNUMBER(SEARCH(Classifiers!$D$6,E249)),1,0))+IF(Classifiers!$E$6="",0,IF(ISNUMBER(SEARCH(Classifiers!$E$6,E249)),1,0))+IF(Classifiers!$F$6="",0,IF(ISNUMBER(SEARCH(Classifiers!$F$6,E249)),1,0))+IF(Classifiers!$G$6="",0,IF(ISNUMBER(SEARCH(Classifiers!$G$6,E249)),1,0)))&gt;0,1,0))</f>
        <v/>
      </c>
      <c r="L249" s="12">
        <f>IF(H249&lt;&gt;1,0,IF((IF(Classifiers!$B$7="",0,IF(ISNUMBER(SEARCH(Classifiers!$B$7,E249)),1,0))+IF(Classifiers!$C$7="",0,IF(ISNUMBER(SEARCH(Classifiers!$C$7,E249)),1,0))+IF(Classifiers!$D$7="",0,IF(ISNUMBER(SEARCH(Classifiers!$D$7,E249)),1,0))+IF(Classifiers!$E$7="",0,IF(ISNUMBER(SEARCH(Classifiers!$E$7,E249)),1,0))+IF(Classifiers!$F$7="",0,IF(ISNUMBER(SEARCH(Classifiers!$F$7,E249)),1,0))+IF(Classifiers!$G$7="",0,IF(ISNUMBER(SEARCH(Classifiers!$G$7,E249)),1,0)))&gt;0,1,0))</f>
        <v/>
      </c>
      <c r="M249" s="12">
        <f>IF(H249&lt;&gt;1,0,IF((IF(Classifiers!$B$8="",0,IF(ISNUMBER(SEARCH(Classifiers!$B$8,E249)),1,0))+IF(Classifiers!$C$8="",0,IF(ISNUMBER(SEARCH(Classifiers!$C$8,E249)),1,0))+IF(Classifiers!$D$8="",0,IF(ISNUMBER(SEARCH(Classifiers!$D$8,E249)),1,0))+IF(Classifiers!$E$8="",0,IF(ISNUMBER(SEARCH(Classifiers!$E$8,E249)),1,0))+IF(Classifiers!$F$8="",0,IF(ISNUMBER(SEARCH(Classifiers!$F$8,E249)),1,0))+IF(Classifiers!$G$8="",0,IF(ISNUMBER(SEARCH(Classifiers!$G$8,E249)),1,0)))&gt;0,1,0))</f>
        <v/>
      </c>
      <c r="N249" s="12">
        <f>IF(H249&lt;&gt;1,0,IF((IF(Classifiers!$B$9="",0,IF(ISNUMBER(SEARCH(Classifiers!$B$9,E249)),1,0))+IF(Classifiers!$C$9="",0,IF(ISNUMBER(SEARCH(Classifiers!$C$9,E249)),1,0))+IF(Classifiers!$D$9="",0,IF(ISNUMBER(SEARCH(Classifiers!$D$9,E249)),1,0))+IF(Classifiers!$E$9="",0,IF(ISNUMBER(SEARCH(Classifiers!$E$9,E249)),1,0))+IF(Classifiers!$F$9="",0,IF(ISNUMBER(SEARCH(Classifiers!$F$9,E249)),1,0))+IF(Classifiers!$G$9="",0,IF(ISNUMBER(SEARCH(Classifiers!$G$9,E249)),1,0)))&gt;0,1,0))</f>
        <v/>
      </c>
      <c r="O249" s="12">
        <f>IF(H249&lt;&gt;1,0,IF((IF(Classifiers!$B$10="",0,IF(ISNUMBER(SEARCH(Classifiers!$B$10,E249)),1,0))+IF(Classifiers!$C$10="",0,IF(ISNUMBER(SEARCH(Classifiers!$C$10,E249)),1,0))+IF(Classifiers!$D$10="",0,IF(ISNUMBER(SEARCH(Classifiers!$D$10,E249)),1,0))+IF(Classifiers!$E$10="",0,IF(ISNUMBER(SEARCH(Classifiers!$E$10,E249)),1,0))+IF(Classifiers!$F$10="",0,IF(ISNUMBER(SEARCH(Classifiers!$F$10,E249)),1,0))+IF(Classifiers!$G$10="",0,IF(ISNUMBER(SEARCH(Classifiers!$G$10,E249)),1,0)))&gt;0,1,0))</f>
        <v/>
      </c>
      <c r="P249" s="12">
        <f>IF(H249&lt;&gt;1,0,IF((IF(Classifiers!$B$11="",0,IF(ISNUMBER(SEARCH(Classifiers!$B$11,E249)),1,0))+IF(Classifiers!$C$11="",0,IF(ISNUMBER(SEARCH(Classifiers!$C$11,E249)),1,0))+IF(Classifiers!$D$11="",0,IF(ISNUMBER(SEARCH(Classifiers!$D$11,E249)),1,0))+IF(Classifiers!$E$11="",0,IF(ISNUMBER(SEARCH(Classifiers!$E$11,E249)),1,0))+IF(Classifiers!$F$11="",0,IF(ISNUMBER(SEARCH(Classifiers!$F$11,E249)),1,0))+IF(Classifiers!$G$11="",0,IF(ISNUMBER(SEARCH(Classifiers!$G$11,E249)),1,0)))&gt;0,1,0))</f>
        <v/>
      </c>
      <c r="Q249" s="12">
        <f>IF(H249&lt;&gt;1,0,IF((IF(Classifiers!$B$12="",0,IF(ISNUMBER(SEARCH(Classifiers!$B$12,E249)),1,0))+IF(Classifiers!$C$12="",0,IF(ISNUMBER(SEARCH(Classifiers!$C$12,E249)),1,0))+IF(Classifiers!$D$12="",0,IF(ISNUMBER(SEARCH(Classifiers!$D$12,E249)),1,0))+IF(Classifiers!$E$12="",0,IF(ISNUMBER(SEARCH(Classifiers!$E$12,E249)),1,0))+IF(Classifiers!$F$12="",0,IF(ISNUMBER(SEARCH(Classifiers!$F$12,E249)),1,0))+IF(Classifiers!$G$12="",0,IF(ISNUMBER(SEARCH(Classifiers!$G$12,E249)),1,0)))&gt;0,1,0))</f>
        <v/>
      </c>
      <c r="R249" s="12">
        <f>IF(H249&lt;&gt;1,0,IF((IF(Classifiers!$B$13="",0,IF(ISNUMBER(SEARCH(Classifiers!$B$13,E249)),1,0))+IF(Classifiers!$C$13="",0,IF(ISNUMBER(SEARCH(Classifiers!$C$13,E249)),1,0))+IF(Classifiers!$D$13="",0,IF(ISNUMBER(SEARCH(Classifiers!$D$13,E249)),1,0))+IF(Classifiers!$E$13="",0,IF(ISNUMBER(SEARCH(Classifiers!$E$13,E249)),1,0))+IF(Classifiers!$F$13="",0,IF(ISNUMBER(SEARCH(Classifiers!$F$13,E249)),1,0))+IF(Classifiers!$G$13="",0,IF(ISNUMBER(SEARCH(Classifiers!$G$13,E249)),1,0)))&gt;0,1,0))</f>
        <v/>
      </c>
      <c r="S249" s="12">
        <f>IF(H249&lt;&gt;1,0,IF((IF(Classifiers!$B$14="",0,IF(ISNUMBER(SEARCH(Classifiers!$B$14,E249)),1,0))+IF(Classifiers!$C$14="",0,IF(ISNUMBER(SEARCH(Classifiers!$C$14,E249)),1,0))+IF(Classifiers!$D$14="",0,IF(ISNUMBER(SEARCH(Classifiers!$D$14,E249)),1,0))+IF(Classifiers!$E$14="",0,IF(ISNUMBER(SEARCH(Classifiers!$E$14,E249)),1,0))+IF(Classifiers!$F$14="",0,IF(ISNUMBER(SEARCH(Classifiers!$F$14,E249)),1,0))+IF(Classifiers!$G$14="",0,IF(ISNUMBER(SEARCH(Classifiers!$G$14,E249)),1,0)))&gt;0,1,0))</f>
        <v/>
      </c>
      <c r="T249" s="12">
        <f>IF(H249&lt;&gt;1,0,IF((IF(Classifiers!$B$15="",0,IF(ISNUMBER(SEARCH(Classifiers!$B$15,E249)),1,0))+IF(Classifiers!$C$15="",0,IF(ISNUMBER(SEARCH(Classifiers!$C$15,E249)),1,0))+IF(Classifiers!$D$15="",0,IF(ISNUMBER(SEARCH(Classifiers!$D$15,E249)),1,0))+IF(Classifiers!$E$15="",0,IF(ISNUMBER(SEARCH(Classifiers!$E$15,E249)),1,0))+IF(Classifiers!$F$15="",0,IF(ISNUMBER(SEARCH(Classifiers!$F$15,E249)),1,0))+IF(Classifiers!$G$15="",0,IF(ISNUMBER(SEARCH(Classifiers!$G$15,E249)),1,0)))&gt;0,1,0))</f>
        <v/>
      </c>
      <c r="U249" s="12">
        <f>IF(H249&lt;&gt;1,0,IF((IF(Classifiers!$B$16="",0,IF(ISNUMBER(SEARCH(Classifiers!$B$16,E249)),1,0))+IF(Classifiers!$C$16="",0,IF(ISNUMBER(SEARCH(Classifiers!$C$16,E249)),1,0))+IF(Classifiers!$D$16="",0,IF(ISNUMBER(SEARCH(Classifiers!$D$16,E249)),1,0))+IF(Classifiers!$E$16="",0,IF(ISNUMBER(SEARCH(Classifiers!$E$16,E249)),1,0))+IF(Classifiers!$F$16="",0,IF(ISNUMBER(SEARCH(Classifiers!$F$16,E249)),1,0))+IF(Classifiers!$G$16="",0,IF(ISNUMBER(SEARCH(Classifiers!$G$16,E249)),1,0)))&gt;0,1,0))</f>
        <v/>
      </c>
      <c r="V249" s="12">
        <f>IF(H249&lt;&gt;1,0,IF((IF(Classifiers!$B$17="",0,IF(ISNUMBER(SEARCH(Classifiers!$B$17,E249)),1,0))+IF(Classifiers!$C$17="",0,IF(ISNUMBER(SEARCH(Classifiers!$C$17,E249)),1,0))+IF(Classifiers!$D$17="",0,IF(ISNUMBER(SEARCH(Classifiers!$D$17,E249)),1,0))+IF(Classifiers!$E$17="",0,IF(ISNUMBER(SEARCH(Classifiers!$E$17,E249)),1,0))+IF(Classifiers!$F$17="",0,IF(ISNUMBER(SEARCH(Classifiers!$F$17,E249)),1,0))+IF(Classifiers!$G$17="",0,IF(ISNUMBER(SEARCH(Classifiers!$G$17,E249)),1,0)))&gt;0,1,0))</f>
        <v/>
      </c>
      <c r="W249" s="12">
        <f>IF(H249&lt;&gt;1,0,IF((IF(Classifiers!$B$18="",0,IF(ISNUMBER(SEARCH(Classifiers!$B$18,E249)),1,0))+IF(Classifiers!$C$18="",0,IF(ISNUMBER(SEARCH(Classifiers!$C$18,E249)),1,0))+IF(Classifiers!$D$18="",0,IF(ISNUMBER(SEARCH(Classifiers!$D$18,E249)),1,0))+IF(Classifiers!$E$18="",0,IF(ISNUMBER(SEARCH(Classifiers!$E$18,E249)),1,0))+IF(Classifiers!$F$18="",0,IF(ISNUMBER(SEARCH(Classifiers!$F$18,E249)),1,0))+IF(Classifiers!$G$18="",0,IF(ISNUMBER(SEARCH(Classifiers!$G$18,E249)),1,0)))&gt;0,1,0))</f>
        <v/>
      </c>
    </row>
    <row r="250">
      <c r="A250" s="8" t="n"/>
      <c r="B250" s="11" t="n"/>
      <c r="C250" s="6">
        <f>IF(A250="","",TRIM(RIGHT(SUBSTITUTE(A250,"/",REPT(" ",250)),250)))</f>
        <v/>
      </c>
      <c r="D250" s="6">
        <f>IF(C250="","",IF(ISNUMBER(SEARCH(".",C250)),LOWER("."&amp;TRIM(RIGHT(SUBSTITUTE(C250,".",REPT(" ",250)),250))),""))</f>
        <v/>
      </c>
      <c r="E250" s="6">
        <f>IF(C250="","",TRIM(SUBSTITUTE(SUBSTITUTE(SUBSTITUTE(SUBSTITUTE(SUBSTITUTE(SUBSTITUTE(SUBSTITUTE(SUBSTITUTE(SUBSTITUTE(SUBSTITUTE(SUBSTITUTE(SUBSTITUTE(SUBSTITUTE(SUBSTITUTE(SUBSTITUTE(SUBSTITUTE(SUBSTITUTE(SUBSTITUTE(SUBSTITUTE(SUBSTITUTE(LOWER(LEFT(C250,LEN(C250)-LEN(D250))),"_"," "),"-"," "),"."," "),","," "),"("," "),")"," "),"["," "),"]"," "),"&amp;"," "),"+"," "),"@"," "),"#"," "),"!"," "),"'"," "),"/"," "),":"," "),";"," "),"="," "),"~"," "),"%"," ")))</f>
        <v/>
      </c>
      <c r="F250" s="6">
        <f>IF(C250="","",IF(COUNTIF(Classifiers!$A$23:$A$40,D250)&gt;0,1,0))</f>
        <v/>
      </c>
      <c r="G250" s="6">
        <f>IF(C250="","",IF(COUNTIF(Classifiers!$C$23:$C$30,D250)&gt;0,IF((IF(ISNUMBER(SEARCH(Classifiers!$E$23,E250)),1,0)+IF(ISNUMBER(SEARCH(Classifiers!$E$24,E250)),1,0)+IF(ISNUMBER(SEARCH(Classifiers!$E$25,E250)),1,0)+IF(ISNUMBER(SEARCH(Classifiers!$E$26,E250)),1,0)+IF(ISNUMBER(SEARCH(Classifiers!$E$27,E250)),1,0)+IF(ISNUMBER(SEARCH(Classifiers!$E$28,E250)),1,0)+IF(ISNUMBER(SEARCH(Classifiers!$E$29,E250)),1,0)+IF(ISNUMBER(SEARCH(Classifiers!$E$30,E250)),1,0))&gt;0,1,0),0))</f>
        <v/>
      </c>
      <c r="H250" s="6">
        <f>IF(C250="","",IF(OR(LEFT(C250,1)=".",AND(F250=0,G250=0)),0,1))</f>
        <v/>
      </c>
      <c r="I250" s="6">
        <f>IF(H250&lt;&gt;1,"",IF(SUM(J250:W250)=0,"unclassified",INDEX(Classifiers!$A$5:$A$18,MATCH(1,J250:W250,0),1)))</f>
        <v/>
      </c>
      <c r="J250" s="12">
        <f>IF(H250&lt;&gt;1,0,IF((IF(Classifiers!$B$5="",0,IF(ISNUMBER(SEARCH(Classifiers!$B$5,E250)),1,0))+IF(Classifiers!$C$5="",0,IF(ISNUMBER(SEARCH(Classifiers!$C$5,E250)),1,0))+IF(Classifiers!$D$5="",0,IF(ISNUMBER(SEARCH(Classifiers!$D$5,E250)),1,0))+IF(Classifiers!$E$5="",0,IF(ISNUMBER(SEARCH(Classifiers!$E$5,E250)),1,0))+IF(Classifiers!$F$5="",0,IF(ISNUMBER(SEARCH(Classifiers!$F$5,E250)),1,0))+IF(Classifiers!$G$5="",0,IF(ISNUMBER(SEARCH(Classifiers!$G$5,E250)),1,0)))&gt;0,1,0))</f>
        <v/>
      </c>
      <c r="K250" s="12">
        <f>IF(H250&lt;&gt;1,0,IF((IF(Classifiers!$B$6="",0,IF(ISNUMBER(SEARCH(Classifiers!$B$6,E250)),1,0))+IF(Classifiers!$C$6="",0,IF(ISNUMBER(SEARCH(Classifiers!$C$6,E250)),1,0))+IF(Classifiers!$D$6="",0,IF(ISNUMBER(SEARCH(Classifiers!$D$6,E250)),1,0))+IF(Classifiers!$E$6="",0,IF(ISNUMBER(SEARCH(Classifiers!$E$6,E250)),1,0))+IF(Classifiers!$F$6="",0,IF(ISNUMBER(SEARCH(Classifiers!$F$6,E250)),1,0))+IF(Classifiers!$G$6="",0,IF(ISNUMBER(SEARCH(Classifiers!$G$6,E250)),1,0)))&gt;0,1,0))</f>
        <v/>
      </c>
      <c r="L250" s="12">
        <f>IF(H250&lt;&gt;1,0,IF((IF(Classifiers!$B$7="",0,IF(ISNUMBER(SEARCH(Classifiers!$B$7,E250)),1,0))+IF(Classifiers!$C$7="",0,IF(ISNUMBER(SEARCH(Classifiers!$C$7,E250)),1,0))+IF(Classifiers!$D$7="",0,IF(ISNUMBER(SEARCH(Classifiers!$D$7,E250)),1,0))+IF(Classifiers!$E$7="",0,IF(ISNUMBER(SEARCH(Classifiers!$E$7,E250)),1,0))+IF(Classifiers!$F$7="",0,IF(ISNUMBER(SEARCH(Classifiers!$F$7,E250)),1,0))+IF(Classifiers!$G$7="",0,IF(ISNUMBER(SEARCH(Classifiers!$G$7,E250)),1,0)))&gt;0,1,0))</f>
        <v/>
      </c>
      <c r="M250" s="12">
        <f>IF(H250&lt;&gt;1,0,IF((IF(Classifiers!$B$8="",0,IF(ISNUMBER(SEARCH(Classifiers!$B$8,E250)),1,0))+IF(Classifiers!$C$8="",0,IF(ISNUMBER(SEARCH(Classifiers!$C$8,E250)),1,0))+IF(Classifiers!$D$8="",0,IF(ISNUMBER(SEARCH(Classifiers!$D$8,E250)),1,0))+IF(Classifiers!$E$8="",0,IF(ISNUMBER(SEARCH(Classifiers!$E$8,E250)),1,0))+IF(Classifiers!$F$8="",0,IF(ISNUMBER(SEARCH(Classifiers!$F$8,E250)),1,0))+IF(Classifiers!$G$8="",0,IF(ISNUMBER(SEARCH(Classifiers!$G$8,E250)),1,0)))&gt;0,1,0))</f>
        <v/>
      </c>
      <c r="N250" s="12">
        <f>IF(H250&lt;&gt;1,0,IF((IF(Classifiers!$B$9="",0,IF(ISNUMBER(SEARCH(Classifiers!$B$9,E250)),1,0))+IF(Classifiers!$C$9="",0,IF(ISNUMBER(SEARCH(Classifiers!$C$9,E250)),1,0))+IF(Classifiers!$D$9="",0,IF(ISNUMBER(SEARCH(Classifiers!$D$9,E250)),1,0))+IF(Classifiers!$E$9="",0,IF(ISNUMBER(SEARCH(Classifiers!$E$9,E250)),1,0))+IF(Classifiers!$F$9="",0,IF(ISNUMBER(SEARCH(Classifiers!$F$9,E250)),1,0))+IF(Classifiers!$G$9="",0,IF(ISNUMBER(SEARCH(Classifiers!$G$9,E250)),1,0)))&gt;0,1,0))</f>
        <v/>
      </c>
      <c r="O250" s="12">
        <f>IF(H250&lt;&gt;1,0,IF((IF(Classifiers!$B$10="",0,IF(ISNUMBER(SEARCH(Classifiers!$B$10,E250)),1,0))+IF(Classifiers!$C$10="",0,IF(ISNUMBER(SEARCH(Classifiers!$C$10,E250)),1,0))+IF(Classifiers!$D$10="",0,IF(ISNUMBER(SEARCH(Classifiers!$D$10,E250)),1,0))+IF(Classifiers!$E$10="",0,IF(ISNUMBER(SEARCH(Classifiers!$E$10,E250)),1,0))+IF(Classifiers!$F$10="",0,IF(ISNUMBER(SEARCH(Classifiers!$F$10,E250)),1,0))+IF(Classifiers!$G$10="",0,IF(ISNUMBER(SEARCH(Classifiers!$G$10,E250)),1,0)))&gt;0,1,0))</f>
        <v/>
      </c>
      <c r="P250" s="12">
        <f>IF(H250&lt;&gt;1,0,IF((IF(Classifiers!$B$11="",0,IF(ISNUMBER(SEARCH(Classifiers!$B$11,E250)),1,0))+IF(Classifiers!$C$11="",0,IF(ISNUMBER(SEARCH(Classifiers!$C$11,E250)),1,0))+IF(Classifiers!$D$11="",0,IF(ISNUMBER(SEARCH(Classifiers!$D$11,E250)),1,0))+IF(Classifiers!$E$11="",0,IF(ISNUMBER(SEARCH(Classifiers!$E$11,E250)),1,0))+IF(Classifiers!$F$11="",0,IF(ISNUMBER(SEARCH(Classifiers!$F$11,E250)),1,0))+IF(Classifiers!$G$11="",0,IF(ISNUMBER(SEARCH(Classifiers!$G$11,E250)),1,0)))&gt;0,1,0))</f>
        <v/>
      </c>
      <c r="Q250" s="12">
        <f>IF(H250&lt;&gt;1,0,IF((IF(Classifiers!$B$12="",0,IF(ISNUMBER(SEARCH(Classifiers!$B$12,E250)),1,0))+IF(Classifiers!$C$12="",0,IF(ISNUMBER(SEARCH(Classifiers!$C$12,E250)),1,0))+IF(Classifiers!$D$12="",0,IF(ISNUMBER(SEARCH(Classifiers!$D$12,E250)),1,0))+IF(Classifiers!$E$12="",0,IF(ISNUMBER(SEARCH(Classifiers!$E$12,E250)),1,0))+IF(Classifiers!$F$12="",0,IF(ISNUMBER(SEARCH(Classifiers!$F$12,E250)),1,0))+IF(Classifiers!$G$12="",0,IF(ISNUMBER(SEARCH(Classifiers!$G$12,E250)),1,0)))&gt;0,1,0))</f>
        <v/>
      </c>
      <c r="R250" s="12">
        <f>IF(H250&lt;&gt;1,0,IF((IF(Classifiers!$B$13="",0,IF(ISNUMBER(SEARCH(Classifiers!$B$13,E250)),1,0))+IF(Classifiers!$C$13="",0,IF(ISNUMBER(SEARCH(Classifiers!$C$13,E250)),1,0))+IF(Classifiers!$D$13="",0,IF(ISNUMBER(SEARCH(Classifiers!$D$13,E250)),1,0))+IF(Classifiers!$E$13="",0,IF(ISNUMBER(SEARCH(Classifiers!$E$13,E250)),1,0))+IF(Classifiers!$F$13="",0,IF(ISNUMBER(SEARCH(Classifiers!$F$13,E250)),1,0))+IF(Classifiers!$G$13="",0,IF(ISNUMBER(SEARCH(Classifiers!$G$13,E250)),1,0)))&gt;0,1,0))</f>
        <v/>
      </c>
      <c r="S250" s="12">
        <f>IF(H250&lt;&gt;1,0,IF((IF(Classifiers!$B$14="",0,IF(ISNUMBER(SEARCH(Classifiers!$B$14,E250)),1,0))+IF(Classifiers!$C$14="",0,IF(ISNUMBER(SEARCH(Classifiers!$C$14,E250)),1,0))+IF(Classifiers!$D$14="",0,IF(ISNUMBER(SEARCH(Classifiers!$D$14,E250)),1,0))+IF(Classifiers!$E$14="",0,IF(ISNUMBER(SEARCH(Classifiers!$E$14,E250)),1,0))+IF(Classifiers!$F$14="",0,IF(ISNUMBER(SEARCH(Classifiers!$F$14,E250)),1,0))+IF(Classifiers!$G$14="",0,IF(ISNUMBER(SEARCH(Classifiers!$G$14,E250)),1,0)))&gt;0,1,0))</f>
        <v/>
      </c>
      <c r="T250" s="12">
        <f>IF(H250&lt;&gt;1,0,IF((IF(Classifiers!$B$15="",0,IF(ISNUMBER(SEARCH(Classifiers!$B$15,E250)),1,0))+IF(Classifiers!$C$15="",0,IF(ISNUMBER(SEARCH(Classifiers!$C$15,E250)),1,0))+IF(Classifiers!$D$15="",0,IF(ISNUMBER(SEARCH(Classifiers!$D$15,E250)),1,0))+IF(Classifiers!$E$15="",0,IF(ISNUMBER(SEARCH(Classifiers!$E$15,E250)),1,0))+IF(Classifiers!$F$15="",0,IF(ISNUMBER(SEARCH(Classifiers!$F$15,E250)),1,0))+IF(Classifiers!$G$15="",0,IF(ISNUMBER(SEARCH(Classifiers!$G$15,E250)),1,0)))&gt;0,1,0))</f>
        <v/>
      </c>
      <c r="U250" s="12">
        <f>IF(H250&lt;&gt;1,0,IF((IF(Classifiers!$B$16="",0,IF(ISNUMBER(SEARCH(Classifiers!$B$16,E250)),1,0))+IF(Classifiers!$C$16="",0,IF(ISNUMBER(SEARCH(Classifiers!$C$16,E250)),1,0))+IF(Classifiers!$D$16="",0,IF(ISNUMBER(SEARCH(Classifiers!$D$16,E250)),1,0))+IF(Classifiers!$E$16="",0,IF(ISNUMBER(SEARCH(Classifiers!$E$16,E250)),1,0))+IF(Classifiers!$F$16="",0,IF(ISNUMBER(SEARCH(Classifiers!$F$16,E250)),1,0))+IF(Classifiers!$G$16="",0,IF(ISNUMBER(SEARCH(Classifiers!$G$16,E250)),1,0)))&gt;0,1,0))</f>
        <v/>
      </c>
      <c r="V250" s="12">
        <f>IF(H250&lt;&gt;1,0,IF((IF(Classifiers!$B$17="",0,IF(ISNUMBER(SEARCH(Classifiers!$B$17,E250)),1,0))+IF(Classifiers!$C$17="",0,IF(ISNUMBER(SEARCH(Classifiers!$C$17,E250)),1,0))+IF(Classifiers!$D$17="",0,IF(ISNUMBER(SEARCH(Classifiers!$D$17,E250)),1,0))+IF(Classifiers!$E$17="",0,IF(ISNUMBER(SEARCH(Classifiers!$E$17,E250)),1,0))+IF(Classifiers!$F$17="",0,IF(ISNUMBER(SEARCH(Classifiers!$F$17,E250)),1,0))+IF(Classifiers!$G$17="",0,IF(ISNUMBER(SEARCH(Classifiers!$G$17,E250)),1,0)))&gt;0,1,0))</f>
        <v/>
      </c>
      <c r="W250" s="12">
        <f>IF(H250&lt;&gt;1,0,IF((IF(Classifiers!$B$18="",0,IF(ISNUMBER(SEARCH(Classifiers!$B$18,E250)),1,0))+IF(Classifiers!$C$18="",0,IF(ISNUMBER(SEARCH(Classifiers!$C$18,E250)),1,0))+IF(Classifiers!$D$18="",0,IF(ISNUMBER(SEARCH(Classifiers!$D$18,E250)),1,0))+IF(Classifiers!$E$18="",0,IF(ISNUMBER(SEARCH(Classifiers!$E$18,E250)),1,0))+IF(Classifiers!$F$18="",0,IF(ISNUMBER(SEARCH(Classifiers!$F$18,E250)),1,0))+IF(Classifiers!$G$18="",0,IF(ISNUMBER(SEARCH(Classifiers!$G$18,E250)),1,0)))&gt;0,1,0))</f>
        <v/>
      </c>
    </row>
    <row r="251">
      <c r="A251" s="8" t="n"/>
      <c r="B251" s="11" t="n"/>
      <c r="C251" s="6">
        <f>IF(A251="","",TRIM(RIGHT(SUBSTITUTE(A251,"/",REPT(" ",250)),250)))</f>
        <v/>
      </c>
      <c r="D251" s="6">
        <f>IF(C251="","",IF(ISNUMBER(SEARCH(".",C251)),LOWER("."&amp;TRIM(RIGHT(SUBSTITUTE(C251,".",REPT(" ",250)),250))),""))</f>
        <v/>
      </c>
      <c r="E251" s="6">
        <f>IF(C251="","",TRIM(SUBSTITUTE(SUBSTITUTE(SUBSTITUTE(SUBSTITUTE(SUBSTITUTE(SUBSTITUTE(SUBSTITUTE(SUBSTITUTE(SUBSTITUTE(SUBSTITUTE(SUBSTITUTE(SUBSTITUTE(SUBSTITUTE(SUBSTITUTE(SUBSTITUTE(SUBSTITUTE(SUBSTITUTE(SUBSTITUTE(SUBSTITUTE(SUBSTITUTE(LOWER(LEFT(C251,LEN(C251)-LEN(D251))),"_"," "),"-"," "),"."," "),","," "),"("," "),")"," "),"["," "),"]"," "),"&amp;"," "),"+"," "),"@"," "),"#"," "),"!"," "),"'"," "),"/"," "),":"," "),";"," "),"="," "),"~"," "),"%"," ")))</f>
        <v/>
      </c>
      <c r="F251" s="6">
        <f>IF(C251="","",IF(COUNTIF(Classifiers!$A$23:$A$40,D251)&gt;0,1,0))</f>
        <v/>
      </c>
      <c r="G251" s="6">
        <f>IF(C251="","",IF(COUNTIF(Classifiers!$C$23:$C$30,D251)&gt;0,IF((IF(ISNUMBER(SEARCH(Classifiers!$E$23,E251)),1,0)+IF(ISNUMBER(SEARCH(Classifiers!$E$24,E251)),1,0)+IF(ISNUMBER(SEARCH(Classifiers!$E$25,E251)),1,0)+IF(ISNUMBER(SEARCH(Classifiers!$E$26,E251)),1,0)+IF(ISNUMBER(SEARCH(Classifiers!$E$27,E251)),1,0)+IF(ISNUMBER(SEARCH(Classifiers!$E$28,E251)),1,0)+IF(ISNUMBER(SEARCH(Classifiers!$E$29,E251)),1,0)+IF(ISNUMBER(SEARCH(Classifiers!$E$30,E251)),1,0))&gt;0,1,0),0))</f>
        <v/>
      </c>
      <c r="H251" s="6">
        <f>IF(C251="","",IF(OR(LEFT(C251,1)=".",AND(F251=0,G251=0)),0,1))</f>
        <v/>
      </c>
      <c r="I251" s="6">
        <f>IF(H251&lt;&gt;1,"",IF(SUM(J251:W251)=0,"unclassified",INDEX(Classifiers!$A$5:$A$18,MATCH(1,J251:W251,0),1)))</f>
        <v/>
      </c>
      <c r="J251" s="12">
        <f>IF(H251&lt;&gt;1,0,IF((IF(Classifiers!$B$5="",0,IF(ISNUMBER(SEARCH(Classifiers!$B$5,E251)),1,0))+IF(Classifiers!$C$5="",0,IF(ISNUMBER(SEARCH(Classifiers!$C$5,E251)),1,0))+IF(Classifiers!$D$5="",0,IF(ISNUMBER(SEARCH(Classifiers!$D$5,E251)),1,0))+IF(Classifiers!$E$5="",0,IF(ISNUMBER(SEARCH(Classifiers!$E$5,E251)),1,0))+IF(Classifiers!$F$5="",0,IF(ISNUMBER(SEARCH(Classifiers!$F$5,E251)),1,0))+IF(Classifiers!$G$5="",0,IF(ISNUMBER(SEARCH(Classifiers!$G$5,E251)),1,0)))&gt;0,1,0))</f>
        <v/>
      </c>
      <c r="K251" s="12">
        <f>IF(H251&lt;&gt;1,0,IF((IF(Classifiers!$B$6="",0,IF(ISNUMBER(SEARCH(Classifiers!$B$6,E251)),1,0))+IF(Classifiers!$C$6="",0,IF(ISNUMBER(SEARCH(Classifiers!$C$6,E251)),1,0))+IF(Classifiers!$D$6="",0,IF(ISNUMBER(SEARCH(Classifiers!$D$6,E251)),1,0))+IF(Classifiers!$E$6="",0,IF(ISNUMBER(SEARCH(Classifiers!$E$6,E251)),1,0))+IF(Classifiers!$F$6="",0,IF(ISNUMBER(SEARCH(Classifiers!$F$6,E251)),1,0))+IF(Classifiers!$G$6="",0,IF(ISNUMBER(SEARCH(Classifiers!$G$6,E251)),1,0)))&gt;0,1,0))</f>
        <v/>
      </c>
      <c r="L251" s="12">
        <f>IF(H251&lt;&gt;1,0,IF((IF(Classifiers!$B$7="",0,IF(ISNUMBER(SEARCH(Classifiers!$B$7,E251)),1,0))+IF(Classifiers!$C$7="",0,IF(ISNUMBER(SEARCH(Classifiers!$C$7,E251)),1,0))+IF(Classifiers!$D$7="",0,IF(ISNUMBER(SEARCH(Classifiers!$D$7,E251)),1,0))+IF(Classifiers!$E$7="",0,IF(ISNUMBER(SEARCH(Classifiers!$E$7,E251)),1,0))+IF(Classifiers!$F$7="",0,IF(ISNUMBER(SEARCH(Classifiers!$F$7,E251)),1,0))+IF(Classifiers!$G$7="",0,IF(ISNUMBER(SEARCH(Classifiers!$G$7,E251)),1,0)))&gt;0,1,0))</f>
        <v/>
      </c>
      <c r="M251" s="12">
        <f>IF(H251&lt;&gt;1,0,IF((IF(Classifiers!$B$8="",0,IF(ISNUMBER(SEARCH(Classifiers!$B$8,E251)),1,0))+IF(Classifiers!$C$8="",0,IF(ISNUMBER(SEARCH(Classifiers!$C$8,E251)),1,0))+IF(Classifiers!$D$8="",0,IF(ISNUMBER(SEARCH(Classifiers!$D$8,E251)),1,0))+IF(Classifiers!$E$8="",0,IF(ISNUMBER(SEARCH(Classifiers!$E$8,E251)),1,0))+IF(Classifiers!$F$8="",0,IF(ISNUMBER(SEARCH(Classifiers!$F$8,E251)),1,0))+IF(Classifiers!$G$8="",0,IF(ISNUMBER(SEARCH(Classifiers!$G$8,E251)),1,0)))&gt;0,1,0))</f>
        <v/>
      </c>
      <c r="N251" s="12">
        <f>IF(H251&lt;&gt;1,0,IF((IF(Classifiers!$B$9="",0,IF(ISNUMBER(SEARCH(Classifiers!$B$9,E251)),1,0))+IF(Classifiers!$C$9="",0,IF(ISNUMBER(SEARCH(Classifiers!$C$9,E251)),1,0))+IF(Classifiers!$D$9="",0,IF(ISNUMBER(SEARCH(Classifiers!$D$9,E251)),1,0))+IF(Classifiers!$E$9="",0,IF(ISNUMBER(SEARCH(Classifiers!$E$9,E251)),1,0))+IF(Classifiers!$F$9="",0,IF(ISNUMBER(SEARCH(Classifiers!$F$9,E251)),1,0))+IF(Classifiers!$G$9="",0,IF(ISNUMBER(SEARCH(Classifiers!$G$9,E251)),1,0)))&gt;0,1,0))</f>
        <v/>
      </c>
      <c r="O251" s="12">
        <f>IF(H251&lt;&gt;1,0,IF((IF(Classifiers!$B$10="",0,IF(ISNUMBER(SEARCH(Classifiers!$B$10,E251)),1,0))+IF(Classifiers!$C$10="",0,IF(ISNUMBER(SEARCH(Classifiers!$C$10,E251)),1,0))+IF(Classifiers!$D$10="",0,IF(ISNUMBER(SEARCH(Classifiers!$D$10,E251)),1,0))+IF(Classifiers!$E$10="",0,IF(ISNUMBER(SEARCH(Classifiers!$E$10,E251)),1,0))+IF(Classifiers!$F$10="",0,IF(ISNUMBER(SEARCH(Classifiers!$F$10,E251)),1,0))+IF(Classifiers!$G$10="",0,IF(ISNUMBER(SEARCH(Classifiers!$G$10,E251)),1,0)))&gt;0,1,0))</f>
        <v/>
      </c>
      <c r="P251" s="12">
        <f>IF(H251&lt;&gt;1,0,IF((IF(Classifiers!$B$11="",0,IF(ISNUMBER(SEARCH(Classifiers!$B$11,E251)),1,0))+IF(Classifiers!$C$11="",0,IF(ISNUMBER(SEARCH(Classifiers!$C$11,E251)),1,0))+IF(Classifiers!$D$11="",0,IF(ISNUMBER(SEARCH(Classifiers!$D$11,E251)),1,0))+IF(Classifiers!$E$11="",0,IF(ISNUMBER(SEARCH(Classifiers!$E$11,E251)),1,0))+IF(Classifiers!$F$11="",0,IF(ISNUMBER(SEARCH(Classifiers!$F$11,E251)),1,0))+IF(Classifiers!$G$11="",0,IF(ISNUMBER(SEARCH(Classifiers!$G$11,E251)),1,0)))&gt;0,1,0))</f>
        <v/>
      </c>
      <c r="Q251" s="12">
        <f>IF(H251&lt;&gt;1,0,IF((IF(Classifiers!$B$12="",0,IF(ISNUMBER(SEARCH(Classifiers!$B$12,E251)),1,0))+IF(Classifiers!$C$12="",0,IF(ISNUMBER(SEARCH(Classifiers!$C$12,E251)),1,0))+IF(Classifiers!$D$12="",0,IF(ISNUMBER(SEARCH(Classifiers!$D$12,E251)),1,0))+IF(Classifiers!$E$12="",0,IF(ISNUMBER(SEARCH(Classifiers!$E$12,E251)),1,0))+IF(Classifiers!$F$12="",0,IF(ISNUMBER(SEARCH(Classifiers!$F$12,E251)),1,0))+IF(Classifiers!$G$12="",0,IF(ISNUMBER(SEARCH(Classifiers!$G$12,E251)),1,0)))&gt;0,1,0))</f>
        <v/>
      </c>
      <c r="R251" s="12">
        <f>IF(H251&lt;&gt;1,0,IF((IF(Classifiers!$B$13="",0,IF(ISNUMBER(SEARCH(Classifiers!$B$13,E251)),1,0))+IF(Classifiers!$C$13="",0,IF(ISNUMBER(SEARCH(Classifiers!$C$13,E251)),1,0))+IF(Classifiers!$D$13="",0,IF(ISNUMBER(SEARCH(Classifiers!$D$13,E251)),1,0))+IF(Classifiers!$E$13="",0,IF(ISNUMBER(SEARCH(Classifiers!$E$13,E251)),1,0))+IF(Classifiers!$F$13="",0,IF(ISNUMBER(SEARCH(Classifiers!$F$13,E251)),1,0))+IF(Classifiers!$G$13="",0,IF(ISNUMBER(SEARCH(Classifiers!$G$13,E251)),1,0)))&gt;0,1,0))</f>
        <v/>
      </c>
      <c r="S251" s="12">
        <f>IF(H251&lt;&gt;1,0,IF((IF(Classifiers!$B$14="",0,IF(ISNUMBER(SEARCH(Classifiers!$B$14,E251)),1,0))+IF(Classifiers!$C$14="",0,IF(ISNUMBER(SEARCH(Classifiers!$C$14,E251)),1,0))+IF(Classifiers!$D$14="",0,IF(ISNUMBER(SEARCH(Classifiers!$D$14,E251)),1,0))+IF(Classifiers!$E$14="",0,IF(ISNUMBER(SEARCH(Classifiers!$E$14,E251)),1,0))+IF(Classifiers!$F$14="",0,IF(ISNUMBER(SEARCH(Classifiers!$F$14,E251)),1,0))+IF(Classifiers!$G$14="",0,IF(ISNUMBER(SEARCH(Classifiers!$G$14,E251)),1,0)))&gt;0,1,0))</f>
        <v/>
      </c>
      <c r="T251" s="12">
        <f>IF(H251&lt;&gt;1,0,IF((IF(Classifiers!$B$15="",0,IF(ISNUMBER(SEARCH(Classifiers!$B$15,E251)),1,0))+IF(Classifiers!$C$15="",0,IF(ISNUMBER(SEARCH(Classifiers!$C$15,E251)),1,0))+IF(Classifiers!$D$15="",0,IF(ISNUMBER(SEARCH(Classifiers!$D$15,E251)),1,0))+IF(Classifiers!$E$15="",0,IF(ISNUMBER(SEARCH(Classifiers!$E$15,E251)),1,0))+IF(Classifiers!$F$15="",0,IF(ISNUMBER(SEARCH(Classifiers!$F$15,E251)),1,0))+IF(Classifiers!$G$15="",0,IF(ISNUMBER(SEARCH(Classifiers!$G$15,E251)),1,0)))&gt;0,1,0))</f>
        <v/>
      </c>
      <c r="U251" s="12">
        <f>IF(H251&lt;&gt;1,0,IF((IF(Classifiers!$B$16="",0,IF(ISNUMBER(SEARCH(Classifiers!$B$16,E251)),1,0))+IF(Classifiers!$C$16="",0,IF(ISNUMBER(SEARCH(Classifiers!$C$16,E251)),1,0))+IF(Classifiers!$D$16="",0,IF(ISNUMBER(SEARCH(Classifiers!$D$16,E251)),1,0))+IF(Classifiers!$E$16="",0,IF(ISNUMBER(SEARCH(Classifiers!$E$16,E251)),1,0))+IF(Classifiers!$F$16="",0,IF(ISNUMBER(SEARCH(Classifiers!$F$16,E251)),1,0))+IF(Classifiers!$G$16="",0,IF(ISNUMBER(SEARCH(Classifiers!$G$16,E251)),1,0)))&gt;0,1,0))</f>
        <v/>
      </c>
      <c r="V251" s="12">
        <f>IF(H251&lt;&gt;1,0,IF((IF(Classifiers!$B$17="",0,IF(ISNUMBER(SEARCH(Classifiers!$B$17,E251)),1,0))+IF(Classifiers!$C$17="",0,IF(ISNUMBER(SEARCH(Classifiers!$C$17,E251)),1,0))+IF(Classifiers!$D$17="",0,IF(ISNUMBER(SEARCH(Classifiers!$D$17,E251)),1,0))+IF(Classifiers!$E$17="",0,IF(ISNUMBER(SEARCH(Classifiers!$E$17,E251)),1,0))+IF(Classifiers!$F$17="",0,IF(ISNUMBER(SEARCH(Classifiers!$F$17,E251)),1,0))+IF(Classifiers!$G$17="",0,IF(ISNUMBER(SEARCH(Classifiers!$G$17,E251)),1,0)))&gt;0,1,0))</f>
        <v/>
      </c>
      <c r="W251" s="12">
        <f>IF(H251&lt;&gt;1,0,IF((IF(Classifiers!$B$18="",0,IF(ISNUMBER(SEARCH(Classifiers!$B$18,E251)),1,0))+IF(Classifiers!$C$18="",0,IF(ISNUMBER(SEARCH(Classifiers!$C$18,E251)),1,0))+IF(Classifiers!$D$18="",0,IF(ISNUMBER(SEARCH(Classifiers!$D$18,E251)),1,0))+IF(Classifiers!$E$18="",0,IF(ISNUMBER(SEARCH(Classifiers!$E$18,E251)),1,0))+IF(Classifiers!$F$18="",0,IF(ISNUMBER(SEARCH(Classifiers!$F$18,E251)),1,0))+IF(Classifiers!$G$18="",0,IF(ISNUMBER(SEARCH(Classifiers!$G$18,E251)),1,0)))&gt;0,1,0))</f>
        <v/>
      </c>
    </row>
    <row r="252">
      <c r="A252" s="8" t="n"/>
      <c r="B252" s="11" t="n"/>
      <c r="C252" s="6">
        <f>IF(A252="","",TRIM(RIGHT(SUBSTITUTE(A252,"/",REPT(" ",250)),250)))</f>
        <v/>
      </c>
      <c r="D252" s="6">
        <f>IF(C252="","",IF(ISNUMBER(SEARCH(".",C252)),LOWER("."&amp;TRIM(RIGHT(SUBSTITUTE(C252,".",REPT(" ",250)),250))),""))</f>
        <v/>
      </c>
      <c r="E252" s="6">
        <f>IF(C252="","",TRIM(SUBSTITUTE(SUBSTITUTE(SUBSTITUTE(SUBSTITUTE(SUBSTITUTE(SUBSTITUTE(SUBSTITUTE(SUBSTITUTE(SUBSTITUTE(SUBSTITUTE(SUBSTITUTE(SUBSTITUTE(SUBSTITUTE(SUBSTITUTE(SUBSTITUTE(SUBSTITUTE(SUBSTITUTE(SUBSTITUTE(SUBSTITUTE(SUBSTITUTE(LOWER(LEFT(C252,LEN(C252)-LEN(D252))),"_"," "),"-"," "),"."," "),","," "),"("," "),")"," "),"["," "),"]"," "),"&amp;"," "),"+"," "),"@"," "),"#"," "),"!"," "),"'"," "),"/"," "),":"," "),";"," "),"="," "),"~"," "),"%"," ")))</f>
        <v/>
      </c>
      <c r="F252" s="6">
        <f>IF(C252="","",IF(COUNTIF(Classifiers!$A$23:$A$40,D252)&gt;0,1,0))</f>
        <v/>
      </c>
      <c r="G252" s="6">
        <f>IF(C252="","",IF(COUNTIF(Classifiers!$C$23:$C$30,D252)&gt;0,IF((IF(ISNUMBER(SEARCH(Classifiers!$E$23,E252)),1,0)+IF(ISNUMBER(SEARCH(Classifiers!$E$24,E252)),1,0)+IF(ISNUMBER(SEARCH(Classifiers!$E$25,E252)),1,0)+IF(ISNUMBER(SEARCH(Classifiers!$E$26,E252)),1,0)+IF(ISNUMBER(SEARCH(Classifiers!$E$27,E252)),1,0)+IF(ISNUMBER(SEARCH(Classifiers!$E$28,E252)),1,0)+IF(ISNUMBER(SEARCH(Classifiers!$E$29,E252)),1,0)+IF(ISNUMBER(SEARCH(Classifiers!$E$30,E252)),1,0))&gt;0,1,0),0))</f>
        <v/>
      </c>
      <c r="H252" s="6">
        <f>IF(C252="","",IF(OR(LEFT(C252,1)=".",AND(F252=0,G252=0)),0,1))</f>
        <v/>
      </c>
      <c r="I252" s="6">
        <f>IF(H252&lt;&gt;1,"",IF(SUM(J252:W252)=0,"unclassified",INDEX(Classifiers!$A$5:$A$18,MATCH(1,J252:W252,0),1)))</f>
        <v/>
      </c>
      <c r="J252" s="12">
        <f>IF(H252&lt;&gt;1,0,IF((IF(Classifiers!$B$5="",0,IF(ISNUMBER(SEARCH(Classifiers!$B$5,E252)),1,0))+IF(Classifiers!$C$5="",0,IF(ISNUMBER(SEARCH(Classifiers!$C$5,E252)),1,0))+IF(Classifiers!$D$5="",0,IF(ISNUMBER(SEARCH(Classifiers!$D$5,E252)),1,0))+IF(Classifiers!$E$5="",0,IF(ISNUMBER(SEARCH(Classifiers!$E$5,E252)),1,0))+IF(Classifiers!$F$5="",0,IF(ISNUMBER(SEARCH(Classifiers!$F$5,E252)),1,0))+IF(Classifiers!$G$5="",0,IF(ISNUMBER(SEARCH(Classifiers!$G$5,E252)),1,0)))&gt;0,1,0))</f>
        <v/>
      </c>
      <c r="K252" s="12">
        <f>IF(H252&lt;&gt;1,0,IF((IF(Classifiers!$B$6="",0,IF(ISNUMBER(SEARCH(Classifiers!$B$6,E252)),1,0))+IF(Classifiers!$C$6="",0,IF(ISNUMBER(SEARCH(Classifiers!$C$6,E252)),1,0))+IF(Classifiers!$D$6="",0,IF(ISNUMBER(SEARCH(Classifiers!$D$6,E252)),1,0))+IF(Classifiers!$E$6="",0,IF(ISNUMBER(SEARCH(Classifiers!$E$6,E252)),1,0))+IF(Classifiers!$F$6="",0,IF(ISNUMBER(SEARCH(Classifiers!$F$6,E252)),1,0))+IF(Classifiers!$G$6="",0,IF(ISNUMBER(SEARCH(Classifiers!$G$6,E252)),1,0)))&gt;0,1,0))</f>
        <v/>
      </c>
      <c r="L252" s="12">
        <f>IF(H252&lt;&gt;1,0,IF((IF(Classifiers!$B$7="",0,IF(ISNUMBER(SEARCH(Classifiers!$B$7,E252)),1,0))+IF(Classifiers!$C$7="",0,IF(ISNUMBER(SEARCH(Classifiers!$C$7,E252)),1,0))+IF(Classifiers!$D$7="",0,IF(ISNUMBER(SEARCH(Classifiers!$D$7,E252)),1,0))+IF(Classifiers!$E$7="",0,IF(ISNUMBER(SEARCH(Classifiers!$E$7,E252)),1,0))+IF(Classifiers!$F$7="",0,IF(ISNUMBER(SEARCH(Classifiers!$F$7,E252)),1,0))+IF(Classifiers!$G$7="",0,IF(ISNUMBER(SEARCH(Classifiers!$G$7,E252)),1,0)))&gt;0,1,0))</f>
        <v/>
      </c>
      <c r="M252" s="12">
        <f>IF(H252&lt;&gt;1,0,IF((IF(Classifiers!$B$8="",0,IF(ISNUMBER(SEARCH(Classifiers!$B$8,E252)),1,0))+IF(Classifiers!$C$8="",0,IF(ISNUMBER(SEARCH(Classifiers!$C$8,E252)),1,0))+IF(Classifiers!$D$8="",0,IF(ISNUMBER(SEARCH(Classifiers!$D$8,E252)),1,0))+IF(Classifiers!$E$8="",0,IF(ISNUMBER(SEARCH(Classifiers!$E$8,E252)),1,0))+IF(Classifiers!$F$8="",0,IF(ISNUMBER(SEARCH(Classifiers!$F$8,E252)),1,0))+IF(Classifiers!$G$8="",0,IF(ISNUMBER(SEARCH(Classifiers!$G$8,E252)),1,0)))&gt;0,1,0))</f>
        <v/>
      </c>
      <c r="N252" s="12">
        <f>IF(H252&lt;&gt;1,0,IF((IF(Classifiers!$B$9="",0,IF(ISNUMBER(SEARCH(Classifiers!$B$9,E252)),1,0))+IF(Classifiers!$C$9="",0,IF(ISNUMBER(SEARCH(Classifiers!$C$9,E252)),1,0))+IF(Classifiers!$D$9="",0,IF(ISNUMBER(SEARCH(Classifiers!$D$9,E252)),1,0))+IF(Classifiers!$E$9="",0,IF(ISNUMBER(SEARCH(Classifiers!$E$9,E252)),1,0))+IF(Classifiers!$F$9="",0,IF(ISNUMBER(SEARCH(Classifiers!$F$9,E252)),1,0))+IF(Classifiers!$G$9="",0,IF(ISNUMBER(SEARCH(Classifiers!$G$9,E252)),1,0)))&gt;0,1,0))</f>
        <v/>
      </c>
      <c r="O252" s="12">
        <f>IF(H252&lt;&gt;1,0,IF((IF(Classifiers!$B$10="",0,IF(ISNUMBER(SEARCH(Classifiers!$B$10,E252)),1,0))+IF(Classifiers!$C$10="",0,IF(ISNUMBER(SEARCH(Classifiers!$C$10,E252)),1,0))+IF(Classifiers!$D$10="",0,IF(ISNUMBER(SEARCH(Classifiers!$D$10,E252)),1,0))+IF(Classifiers!$E$10="",0,IF(ISNUMBER(SEARCH(Classifiers!$E$10,E252)),1,0))+IF(Classifiers!$F$10="",0,IF(ISNUMBER(SEARCH(Classifiers!$F$10,E252)),1,0))+IF(Classifiers!$G$10="",0,IF(ISNUMBER(SEARCH(Classifiers!$G$10,E252)),1,0)))&gt;0,1,0))</f>
        <v/>
      </c>
      <c r="P252" s="12">
        <f>IF(H252&lt;&gt;1,0,IF((IF(Classifiers!$B$11="",0,IF(ISNUMBER(SEARCH(Classifiers!$B$11,E252)),1,0))+IF(Classifiers!$C$11="",0,IF(ISNUMBER(SEARCH(Classifiers!$C$11,E252)),1,0))+IF(Classifiers!$D$11="",0,IF(ISNUMBER(SEARCH(Classifiers!$D$11,E252)),1,0))+IF(Classifiers!$E$11="",0,IF(ISNUMBER(SEARCH(Classifiers!$E$11,E252)),1,0))+IF(Classifiers!$F$11="",0,IF(ISNUMBER(SEARCH(Classifiers!$F$11,E252)),1,0))+IF(Classifiers!$G$11="",0,IF(ISNUMBER(SEARCH(Classifiers!$G$11,E252)),1,0)))&gt;0,1,0))</f>
        <v/>
      </c>
      <c r="Q252" s="12">
        <f>IF(H252&lt;&gt;1,0,IF((IF(Classifiers!$B$12="",0,IF(ISNUMBER(SEARCH(Classifiers!$B$12,E252)),1,0))+IF(Classifiers!$C$12="",0,IF(ISNUMBER(SEARCH(Classifiers!$C$12,E252)),1,0))+IF(Classifiers!$D$12="",0,IF(ISNUMBER(SEARCH(Classifiers!$D$12,E252)),1,0))+IF(Classifiers!$E$12="",0,IF(ISNUMBER(SEARCH(Classifiers!$E$12,E252)),1,0))+IF(Classifiers!$F$12="",0,IF(ISNUMBER(SEARCH(Classifiers!$F$12,E252)),1,0))+IF(Classifiers!$G$12="",0,IF(ISNUMBER(SEARCH(Classifiers!$G$12,E252)),1,0)))&gt;0,1,0))</f>
        <v/>
      </c>
      <c r="R252" s="12">
        <f>IF(H252&lt;&gt;1,0,IF((IF(Classifiers!$B$13="",0,IF(ISNUMBER(SEARCH(Classifiers!$B$13,E252)),1,0))+IF(Classifiers!$C$13="",0,IF(ISNUMBER(SEARCH(Classifiers!$C$13,E252)),1,0))+IF(Classifiers!$D$13="",0,IF(ISNUMBER(SEARCH(Classifiers!$D$13,E252)),1,0))+IF(Classifiers!$E$13="",0,IF(ISNUMBER(SEARCH(Classifiers!$E$13,E252)),1,0))+IF(Classifiers!$F$13="",0,IF(ISNUMBER(SEARCH(Classifiers!$F$13,E252)),1,0))+IF(Classifiers!$G$13="",0,IF(ISNUMBER(SEARCH(Classifiers!$G$13,E252)),1,0)))&gt;0,1,0))</f>
        <v/>
      </c>
      <c r="S252" s="12">
        <f>IF(H252&lt;&gt;1,0,IF((IF(Classifiers!$B$14="",0,IF(ISNUMBER(SEARCH(Classifiers!$B$14,E252)),1,0))+IF(Classifiers!$C$14="",0,IF(ISNUMBER(SEARCH(Classifiers!$C$14,E252)),1,0))+IF(Classifiers!$D$14="",0,IF(ISNUMBER(SEARCH(Classifiers!$D$14,E252)),1,0))+IF(Classifiers!$E$14="",0,IF(ISNUMBER(SEARCH(Classifiers!$E$14,E252)),1,0))+IF(Classifiers!$F$14="",0,IF(ISNUMBER(SEARCH(Classifiers!$F$14,E252)),1,0))+IF(Classifiers!$G$14="",0,IF(ISNUMBER(SEARCH(Classifiers!$G$14,E252)),1,0)))&gt;0,1,0))</f>
        <v/>
      </c>
      <c r="T252" s="12">
        <f>IF(H252&lt;&gt;1,0,IF((IF(Classifiers!$B$15="",0,IF(ISNUMBER(SEARCH(Classifiers!$B$15,E252)),1,0))+IF(Classifiers!$C$15="",0,IF(ISNUMBER(SEARCH(Classifiers!$C$15,E252)),1,0))+IF(Classifiers!$D$15="",0,IF(ISNUMBER(SEARCH(Classifiers!$D$15,E252)),1,0))+IF(Classifiers!$E$15="",0,IF(ISNUMBER(SEARCH(Classifiers!$E$15,E252)),1,0))+IF(Classifiers!$F$15="",0,IF(ISNUMBER(SEARCH(Classifiers!$F$15,E252)),1,0))+IF(Classifiers!$G$15="",0,IF(ISNUMBER(SEARCH(Classifiers!$G$15,E252)),1,0)))&gt;0,1,0))</f>
        <v/>
      </c>
      <c r="U252" s="12">
        <f>IF(H252&lt;&gt;1,0,IF((IF(Classifiers!$B$16="",0,IF(ISNUMBER(SEARCH(Classifiers!$B$16,E252)),1,0))+IF(Classifiers!$C$16="",0,IF(ISNUMBER(SEARCH(Classifiers!$C$16,E252)),1,0))+IF(Classifiers!$D$16="",0,IF(ISNUMBER(SEARCH(Classifiers!$D$16,E252)),1,0))+IF(Classifiers!$E$16="",0,IF(ISNUMBER(SEARCH(Classifiers!$E$16,E252)),1,0))+IF(Classifiers!$F$16="",0,IF(ISNUMBER(SEARCH(Classifiers!$F$16,E252)),1,0))+IF(Classifiers!$G$16="",0,IF(ISNUMBER(SEARCH(Classifiers!$G$16,E252)),1,0)))&gt;0,1,0))</f>
        <v/>
      </c>
      <c r="V252" s="12">
        <f>IF(H252&lt;&gt;1,0,IF((IF(Classifiers!$B$17="",0,IF(ISNUMBER(SEARCH(Classifiers!$B$17,E252)),1,0))+IF(Classifiers!$C$17="",0,IF(ISNUMBER(SEARCH(Classifiers!$C$17,E252)),1,0))+IF(Classifiers!$D$17="",0,IF(ISNUMBER(SEARCH(Classifiers!$D$17,E252)),1,0))+IF(Classifiers!$E$17="",0,IF(ISNUMBER(SEARCH(Classifiers!$E$17,E252)),1,0))+IF(Classifiers!$F$17="",0,IF(ISNUMBER(SEARCH(Classifiers!$F$17,E252)),1,0))+IF(Classifiers!$G$17="",0,IF(ISNUMBER(SEARCH(Classifiers!$G$17,E252)),1,0)))&gt;0,1,0))</f>
        <v/>
      </c>
      <c r="W252" s="12">
        <f>IF(H252&lt;&gt;1,0,IF((IF(Classifiers!$B$18="",0,IF(ISNUMBER(SEARCH(Classifiers!$B$18,E252)),1,0))+IF(Classifiers!$C$18="",0,IF(ISNUMBER(SEARCH(Classifiers!$C$18,E252)),1,0))+IF(Classifiers!$D$18="",0,IF(ISNUMBER(SEARCH(Classifiers!$D$18,E252)),1,0))+IF(Classifiers!$E$18="",0,IF(ISNUMBER(SEARCH(Classifiers!$E$18,E252)),1,0))+IF(Classifiers!$F$18="",0,IF(ISNUMBER(SEARCH(Classifiers!$F$18,E252)),1,0))+IF(Classifiers!$G$18="",0,IF(ISNUMBER(SEARCH(Classifiers!$G$18,E252)),1,0)))&gt;0,1,0))</f>
        <v/>
      </c>
    </row>
    <row r="253">
      <c r="A253" s="8" t="n"/>
      <c r="B253" s="11" t="n"/>
      <c r="C253" s="6">
        <f>IF(A253="","",TRIM(RIGHT(SUBSTITUTE(A253,"/",REPT(" ",250)),250)))</f>
        <v/>
      </c>
      <c r="D253" s="6">
        <f>IF(C253="","",IF(ISNUMBER(SEARCH(".",C253)),LOWER("."&amp;TRIM(RIGHT(SUBSTITUTE(C253,".",REPT(" ",250)),250))),""))</f>
        <v/>
      </c>
      <c r="E253" s="6">
        <f>IF(C253="","",TRIM(SUBSTITUTE(SUBSTITUTE(SUBSTITUTE(SUBSTITUTE(SUBSTITUTE(SUBSTITUTE(SUBSTITUTE(SUBSTITUTE(SUBSTITUTE(SUBSTITUTE(SUBSTITUTE(SUBSTITUTE(SUBSTITUTE(SUBSTITUTE(SUBSTITUTE(SUBSTITUTE(SUBSTITUTE(SUBSTITUTE(SUBSTITUTE(SUBSTITUTE(LOWER(LEFT(C253,LEN(C253)-LEN(D253))),"_"," "),"-"," "),"."," "),","," "),"("," "),")"," "),"["," "),"]"," "),"&amp;"," "),"+"," "),"@"," "),"#"," "),"!"," "),"'"," "),"/"," "),":"," "),";"," "),"="," "),"~"," "),"%"," ")))</f>
        <v/>
      </c>
      <c r="F253" s="6">
        <f>IF(C253="","",IF(COUNTIF(Classifiers!$A$23:$A$40,D253)&gt;0,1,0))</f>
        <v/>
      </c>
      <c r="G253" s="6">
        <f>IF(C253="","",IF(COUNTIF(Classifiers!$C$23:$C$30,D253)&gt;0,IF((IF(ISNUMBER(SEARCH(Classifiers!$E$23,E253)),1,0)+IF(ISNUMBER(SEARCH(Classifiers!$E$24,E253)),1,0)+IF(ISNUMBER(SEARCH(Classifiers!$E$25,E253)),1,0)+IF(ISNUMBER(SEARCH(Classifiers!$E$26,E253)),1,0)+IF(ISNUMBER(SEARCH(Classifiers!$E$27,E253)),1,0)+IF(ISNUMBER(SEARCH(Classifiers!$E$28,E253)),1,0)+IF(ISNUMBER(SEARCH(Classifiers!$E$29,E253)),1,0)+IF(ISNUMBER(SEARCH(Classifiers!$E$30,E253)),1,0))&gt;0,1,0),0))</f>
        <v/>
      </c>
      <c r="H253" s="6">
        <f>IF(C253="","",IF(OR(LEFT(C253,1)=".",AND(F253=0,G253=0)),0,1))</f>
        <v/>
      </c>
      <c r="I253" s="6">
        <f>IF(H253&lt;&gt;1,"",IF(SUM(J253:W253)=0,"unclassified",INDEX(Classifiers!$A$5:$A$18,MATCH(1,J253:W253,0),1)))</f>
        <v/>
      </c>
      <c r="J253" s="12">
        <f>IF(H253&lt;&gt;1,0,IF((IF(Classifiers!$B$5="",0,IF(ISNUMBER(SEARCH(Classifiers!$B$5,E253)),1,0))+IF(Classifiers!$C$5="",0,IF(ISNUMBER(SEARCH(Classifiers!$C$5,E253)),1,0))+IF(Classifiers!$D$5="",0,IF(ISNUMBER(SEARCH(Classifiers!$D$5,E253)),1,0))+IF(Classifiers!$E$5="",0,IF(ISNUMBER(SEARCH(Classifiers!$E$5,E253)),1,0))+IF(Classifiers!$F$5="",0,IF(ISNUMBER(SEARCH(Classifiers!$F$5,E253)),1,0))+IF(Classifiers!$G$5="",0,IF(ISNUMBER(SEARCH(Classifiers!$G$5,E253)),1,0)))&gt;0,1,0))</f>
        <v/>
      </c>
      <c r="K253" s="12">
        <f>IF(H253&lt;&gt;1,0,IF((IF(Classifiers!$B$6="",0,IF(ISNUMBER(SEARCH(Classifiers!$B$6,E253)),1,0))+IF(Classifiers!$C$6="",0,IF(ISNUMBER(SEARCH(Classifiers!$C$6,E253)),1,0))+IF(Classifiers!$D$6="",0,IF(ISNUMBER(SEARCH(Classifiers!$D$6,E253)),1,0))+IF(Classifiers!$E$6="",0,IF(ISNUMBER(SEARCH(Classifiers!$E$6,E253)),1,0))+IF(Classifiers!$F$6="",0,IF(ISNUMBER(SEARCH(Classifiers!$F$6,E253)),1,0))+IF(Classifiers!$G$6="",0,IF(ISNUMBER(SEARCH(Classifiers!$G$6,E253)),1,0)))&gt;0,1,0))</f>
        <v/>
      </c>
      <c r="L253" s="12">
        <f>IF(H253&lt;&gt;1,0,IF((IF(Classifiers!$B$7="",0,IF(ISNUMBER(SEARCH(Classifiers!$B$7,E253)),1,0))+IF(Classifiers!$C$7="",0,IF(ISNUMBER(SEARCH(Classifiers!$C$7,E253)),1,0))+IF(Classifiers!$D$7="",0,IF(ISNUMBER(SEARCH(Classifiers!$D$7,E253)),1,0))+IF(Classifiers!$E$7="",0,IF(ISNUMBER(SEARCH(Classifiers!$E$7,E253)),1,0))+IF(Classifiers!$F$7="",0,IF(ISNUMBER(SEARCH(Classifiers!$F$7,E253)),1,0))+IF(Classifiers!$G$7="",0,IF(ISNUMBER(SEARCH(Classifiers!$G$7,E253)),1,0)))&gt;0,1,0))</f>
        <v/>
      </c>
      <c r="M253" s="12">
        <f>IF(H253&lt;&gt;1,0,IF((IF(Classifiers!$B$8="",0,IF(ISNUMBER(SEARCH(Classifiers!$B$8,E253)),1,0))+IF(Classifiers!$C$8="",0,IF(ISNUMBER(SEARCH(Classifiers!$C$8,E253)),1,0))+IF(Classifiers!$D$8="",0,IF(ISNUMBER(SEARCH(Classifiers!$D$8,E253)),1,0))+IF(Classifiers!$E$8="",0,IF(ISNUMBER(SEARCH(Classifiers!$E$8,E253)),1,0))+IF(Classifiers!$F$8="",0,IF(ISNUMBER(SEARCH(Classifiers!$F$8,E253)),1,0))+IF(Classifiers!$G$8="",0,IF(ISNUMBER(SEARCH(Classifiers!$G$8,E253)),1,0)))&gt;0,1,0))</f>
        <v/>
      </c>
      <c r="N253" s="12">
        <f>IF(H253&lt;&gt;1,0,IF((IF(Classifiers!$B$9="",0,IF(ISNUMBER(SEARCH(Classifiers!$B$9,E253)),1,0))+IF(Classifiers!$C$9="",0,IF(ISNUMBER(SEARCH(Classifiers!$C$9,E253)),1,0))+IF(Classifiers!$D$9="",0,IF(ISNUMBER(SEARCH(Classifiers!$D$9,E253)),1,0))+IF(Classifiers!$E$9="",0,IF(ISNUMBER(SEARCH(Classifiers!$E$9,E253)),1,0))+IF(Classifiers!$F$9="",0,IF(ISNUMBER(SEARCH(Classifiers!$F$9,E253)),1,0))+IF(Classifiers!$G$9="",0,IF(ISNUMBER(SEARCH(Classifiers!$G$9,E253)),1,0)))&gt;0,1,0))</f>
        <v/>
      </c>
      <c r="O253" s="12">
        <f>IF(H253&lt;&gt;1,0,IF((IF(Classifiers!$B$10="",0,IF(ISNUMBER(SEARCH(Classifiers!$B$10,E253)),1,0))+IF(Classifiers!$C$10="",0,IF(ISNUMBER(SEARCH(Classifiers!$C$10,E253)),1,0))+IF(Classifiers!$D$10="",0,IF(ISNUMBER(SEARCH(Classifiers!$D$10,E253)),1,0))+IF(Classifiers!$E$10="",0,IF(ISNUMBER(SEARCH(Classifiers!$E$10,E253)),1,0))+IF(Classifiers!$F$10="",0,IF(ISNUMBER(SEARCH(Classifiers!$F$10,E253)),1,0))+IF(Classifiers!$G$10="",0,IF(ISNUMBER(SEARCH(Classifiers!$G$10,E253)),1,0)))&gt;0,1,0))</f>
        <v/>
      </c>
      <c r="P253" s="12">
        <f>IF(H253&lt;&gt;1,0,IF((IF(Classifiers!$B$11="",0,IF(ISNUMBER(SEARCH(Classifiers!$B$11,E253)),1,0))+IF(Classifiers!$C$11="",0,IF(ISNUMBER(SEARCH(Classifiers!$C$11,E253)),1,0))+IF(Classifiers!$D$11="",0,IF(ISNUMBER(SEARCH(Classifiers!$D$11,E253)),1,0))+IF(Classifiers!$E$11="",0,IF(ISNUMBER(SEARCH(Classifiers!$E$11,E253)),1,0))+IF(Classifiers!$F$11="",0,IF(ISNUMBER(SEARCH(Classifiers!$F$11,E253)),1,0))+IF(Classifiers!$G$11="",0,IF(ISNUMBER(SEARCH(Classifiers!$G$11,E253)),1,0)))&gt;0,1,0))</f>
        <v/>
      </c>
      <c r="Q253" s="12">
        <f>IF(H253&lt;&gt;1,0,IF((IF(Classifiers!$B$12="",0,IF(ISNUMBER(SEARCH(Classifiers!$B$12,E253)),1,0))+IF(Classifiers!$C$12="",0,IF(ISNUMBER(SEARCH(Classifiers!$C$12,E253)),1,0))+IF(Classifiers!$D$12="",0,IF(ISNUMBER(SEARCH(Classifiers!$D$12,E253)),1,0))+IF(Classifiers!$E$12="",0,IF(ISNUMBER(SEARCH(Classifiers!$E$12,E253)),1,0))+IF(Classifiers!$F$12="",0,IF(ISNUMBER(SEARCH(Classifiers!$F$12,E253)),1,0))+IF(Classifiers!$G$12="",0,IF(ISNUMBER(SEARCH(Classifiers!$G$12,E253)),1,0)))&gt;0,1,0))</f>
        <v/>
      </c>
      <c r="R253" s="12">
        <f>IF(H253&lt;&gt;1,0,IF((IF(Classifiers!$B$13="",0,IF(ISNUMBER(SEARCH(Classifiers!$B$13,E253)),1,0))+IF(Classifiers!$C$13="",0,IF(ISNUMBER(SEARCH(Classifiers!$C$13,E253)),1,0))+IF(Classifiers!$D$13="",0,IF(ISNUMBER(SEARCH(Classifiers!$D$13,E253)),1,0))+IF(Classifiers!$E$13="",0,IF(ISNUMBER(SEARCH(Classifiers!$E$13,E253)),1,0))+IF(Classifiers!$F$13="",0,IF(ISNUMBER(SEARCH(Classifiers!$F$13,E253)),1,0))+IF(Classifiers!$G$13="",0,IF(ISNUMBER(SEARCH(Classifiers!$G$13,E253)),1,0)))&gt;0,1,0))</f>
        <v/>
      </c>
      <c r="S253" s="12">
        <f>IF(H253&lt;&gt;1,0,IF((IF(Classifiers!$B$14="",0,IF(ISNUMBER(SEARCH(Classifiers!$B$14,E253)),1,0))+IF(Classifiers!$C$14="",0,IF(ISNUMBER(SEARCH(Classifiers!$C$14,E253)),1,0))+IF(Classifiers!$D$14="",0,IF(ISNUMBER(SEARCH(Classifiers!$D$14,E253)),1,0))+IF(Classifiers!$E$14="",0,IF(ISNUMBER(SEARCH(Classifiers!$E$14,E253)),1,0))+IF(Classifiers!$F$14="",0,IF(ISNUMBER(SEARCH(Classifiers!$F$14,E253)),1,0))+IF(Classifiers!$G$14="",0,IF(ISNUMBER(SEARCH(Classifiers!$G$14,E253)),1,0)))&gt;0,1,0))</f>
        <v/>
      </c>
      <c r="T253" s="12">
        <f>IF(H253&lt;&gt;1,0,IF((IF(Classifiers!$B$15="",0,IF(ISNUMBER(SEARCH(Classifiers!$B$15,E253)),1,0))+IF(Classifiers!$C$15="",0,IF(ISNUMBER(SEARCH(Classifiers!$C$15,E253)),1,0))+IF(Classifiers!$D$15="",0,IF(ISNUMBER(SEARCH(Classifiers!$D$15,E253)),1,0))+IF(Classifiers!$E$15="",0,IF(ISNUMBER(SEARCH(Classifiers!$E$15,E253)),1,0))+IF(Classifiers!$F$15="",0,IF(ISNUMBER(SEARCH(Classifiers!$F$15,E253)),1,0))+IF(Classifiers!$G$15="",0,IF(ISNUMBER(SEARCH(Classifiers!$G$15,E253)),1,0)))&gt;0,1,0))</f>
        <v/>
      </c>
      <c r="U253" s="12">
        <f>IF(H253&lt;&gt;1,0,IF((IF(Classifiers!$B$16="",0,IF(ISNUMBER(SEARCH(Classifiers!$B$16,E253)),1,0))+IF(Classifiers!$C$16="",0,IF(ISNUMBER(SEARCH(Classifiers!$C$16,E253)),1,0))+IF(Classifiers!$D$16="",0,IF(ISNUMBER(SEARCH(Classifiers!$D$16,E253)),1,0))+IF(Classifiers!$E$16="",0,IF(ISNUMBER(SEARCH(Classifiers!$E$16,E253)),1,0))+IF(Classifiers!$F$16="",0,IF(ISNUMBER(SEARCH(Classifiers!$F$16,E253)),1,0))+IF(Classifiers!$G$16="",0,IF(ISNUMBER(SEARCH(Classifiers!$G$16,E253)),1,0)))&gt;0,1,0))</f>
        <v/>
      </c>
      <c r="V253" s="12">
        <f>IF(H253&lt;&gt;1,0,IF((IF(Classifiers!$B$17="",0,IF(ISNUMBER(SEARCH(Classifiers!$B$17,E253)),1,0))+IF(Classifiers!$C$17="",0,IF(ISNUMBER(SEARCH(Classifiers!$C$17,E253)),1,0))+IF(Classifiers!$D$17="",0,IF(ISNUMBER(SEARCH(Classifiers!$D$17,E253)),1,0))+IF(Classifiers!$E$17="",0,IF(ISNUMBER(SEARCH(Classifiers!$E$17,E253)),1,0))+IF(Classifiers!$F$17="",0,IF(ISNUMBER(SEARCH(Classifiers!$F$17,E253)),1,0))+IF(Classifiers!$G$17="",0,IF(ISNUMBER(SEARCH(Classifiers!$G$17,E253)),1,0)))&gt;0,1,0))</f>
        <v/>
      </c>
      <c r="W253" s="12">
        <f>IF(H253&lt;&gt;1,0,IF((IF(Classifiers!$B$18="",0,IF(ISNUMBER(SEARCH(Classifiers!$B$18,E253)),1,0))+IF(Classifiers!$C$18="",0,IF(ISNUMBER(SEARCH(Classifiers!$C$18,E253)),1,0))+IF(Classifiers!$D$18="",0,IF(ISNUMBER(SEARCH(Classifiers!$D$18,E253)),1,0))+IF(Classifiers!$E$18="",0,IF(ISNUMBER(SEARCH(Classifiers!$E$18,E253)),1,0))+IF(Classifiers!$F$18="",0,IF(ISNUMBER(SEARCH(Classifiers!$F$18,E253)),1,0))+IF(Classifiers!$G$18="",0,IF(ISNUMBER(SEARCH(Classifiers!$G$18,E253)),1,0)))&gt;0,1,0))</f>
        <v/>
      </c>
    </row>
    <row r="254">
      <c r="A254" s="8" t="n"/>
      <c r="B254" s="11" t="n"/>
      <c r="C254" s="6">
        <f>IF(A254="","",TRIM(RIGHT(SUBSTITUTE(A254,"/",REPT(" ",250)),250)))</f>
        <v/>
      </c>
      <c r="D254" s="6">
        <f>IF(C254="","",IF(ISNUMBER(SEARCH(".",C254)),LOWER("."&amp;TRIM(RIGHT(SUBSTITUTE(C254,".",REPT(" ",250)),250))),""))</f>
        <v/>
      </c>
      <c r="E254" s="6">
        <f>IF(C254="","",TRIM(SUBSTITUTE(SUBSTITUTE(SUBSTITUTE(SUBSTITUTE(SUBSTITUTE(SUBSTITUTE(SUBSTITUTE(SUBSTITUTE(SUBSTITUTE(SUBSTITUTE(SUBSTITUTE(SUBSTITUTE(SUBSTITUTE(SUBSTITUTE(SUBSTITUTE(SUBSTITUTE(SUBSTITUTE(SUBSTITUTE(SUBSTITUTE(SUBSTITUTE(LOWER(LEFT(C254,LEN(C254)-LEN(D254))),"_"," "),"-"," "),"."," "),","," "),"("," "),")"," "),"["," "),"]"," "),"&amp;"," "),"+"," "),"@"," "),"#"," "),"!"," "),"'"," "),"/"," "),":"," "),";"," "),"="," "),"~"," "),"%"," ")))</f>
        <v/>
      </c>
      <c r="F254" s="6">
        <f>IF(C254="","",IF(COUNTIF(Classifiers!$A$23:$A$40,D254)&gt;0,1,0))</f>
        <v/>
      </c>
      <c r="G254" s="6">
        <f>IF(C254="","",IF(COUNTIF(Classifiers!$C$23:$C$30,D254)&gt;0,IF((IF(ISNUMBER(SEARCH(Classifiers!$E$23,E254)),1,0)+IF(ISNUMBER(SEARCH(Classifiers!$E$24,E254)),1,0)+IF(ISNUMBER(SEARCH(Classifiers!$E$25,E254)),1,0)+IF(ISNUMBER(SEARCH(Classifiers!$E$26,E254)),1,0)+IF(ISNUMBER(SEARCH(Classifiers!$E$27,E254)),1,0)+IF(ISNUMBER(SEARCH(Classifiers!$E$28,E254)),1,0)+IF(ISNUMBER(SEARCH(Classifiers!$E$29,E254)),1,0)+IF(ISNUMBER(SEARCH(Classifiers!$E$30,E254)),1,0))&gt;0,1,0),0))</f>
        <v/>
      </c>
      <c r="H254" s="6">
        <f>IF(C254="","",IF(OR(LEFT(C254,1)=".",AND(F254=0,G254=0)),0,1))</f>
        <v/>
      </c>
      <c r="I254" s="6">
        <f>IF(H254&lt;&gt;1,"",IF(SUM(J254:W254)=0,"unclassified",INDEX(Classifiers!$A$5:$A$18,MATCH(1,J254:W254,0),1)))</f>
        <v/>
      </c>
      <c r="J254" s="12">
        <f>IF(H254&lt;&gt;1,0,IF((IF(Classifiers!$B$5="",0,IF(ISNUMBER(SEARCH(Classifiers!$B$5,E254)),1,0))+IF(Classifiers!$C$5="",0,IF(ISNUMBER(SEARCH(Classifiers!$C$5,E254)),1,0))+IF(Classifiers!$D$5="",0,IF(ISNUMBER(SEARCH(Classifiers!$D$5,E254)),1,0))+IF(Classifiers!$E$5="",0,IF(ISNUMBER(SEARCH(Classifiers!$E$5,E254)),1,0))+IF(Classifiers!$F$5="",0,IF(ISNUMBER(SEARCH(Classifiers!$F$5,E254)),1,0))+IF(Classifiers!$G$5="",0,IF(ISNUMBER(SEARCH(Classifiers!$G$5,E254)),1,0)))&gt;0,1,0))</f>
        <v/>
      </c>
      <c r="K254" s="12">
        <f>IF(H254&lt;&gt;1,0,IF((IF(Classifiers!$B$6="",0,IF(ISNUMBER(SEARCH(Classifiers!$B$6,E254)),1,0))+IF(Classifiers!$C$6="",0,IF(ISNUMBER(SEARCH(Classifiers!$C$6,E254)),1,0))+IF(Classifiers!$D$6="",0,IF(ISNUMBER(SEARCH(Classifiers!$D$6,E254)),1,0))+IF(Classifiers!$E$6="",0,IF(ISNUMBER(SEARCH(Classifiers!$E$6,E254)),1,0))+IF(Classifiers!$F$6="",0,IF(ISNUMBER(SEARCH(Classifiers!$F$6,E254)),1,0))+IF(Classifiers!$G$6="",0,IF(ISNUMBER(SEARCH(Classifiers!$G$6,E254)),1,0)))&gt;0,1,0))</f>
        <v/>
      </c>
      <c r="L254" s="12">
        <f>IF(H254&lt;&gt;1,0,IF((IF(Classifiers!$B$7="",0,IF(ISNUMBER(SEARCH(Classifiers!$B$7,E254)),1,0))+IF(Classifiers!$C$7="",0,IF(ISNUMBER(SEARCH(Classifiers!$C$7,E254)),1,0))+IF(Classifiers!$D$7="",0,IF(ISNUMBER(SEARCH(Classifiers!$D$7,E254)),1,0))+IF(Classifiers!$E$7="",0,IF(ISNUMBER(SEARCH(Classifiers!$E$7,E254)),1,0))+IF(Classifiers!$F$7="",0,IF(ISNUMBER(SEARCH(Classifiers!$F$7,E254)),1,0))+IF(Classifiers!$G$7="",0,IF(ISNUMBER(SEARCH(Classifiers!$G$7,E254)),1,0)))&gt;0,1,0))</f>
        <v/>
      </c>
      <c r="M254" s="12">
        <f>IF(H254&lt;&gt;1,0,IF((IF(Classifiers!$B$8="",0,IF(ISNUMBER(SEARCH(Classifiers!$B$8,E254)),1,0))+IF(Classifiers!$C$8="",0,IF(ISNUMBER(SEARCH(Classifiers!$C$8,E254)),1,0))+IF(Classifiers!$D$8="",0,IF(ISNUMBER(SEARCH(Classifiers!$D$8,E254)),1,0))+IF(Classifiers!$E$8="",0,IF(ISNUMBER(SEARCH(Classifiers!$E$8,E254)),1,0))+IF(Classifiers!$F$8="",0,IF(ISNUMBER(SEARCH(Classifiers!$F$8,E254)),1,0))+IF(Classifiers!$G$8="",0,IF(ISNUMBER(SEARCH(Classifiers!$G$8,E254)),1,0)))&gt;0,1,0))</f>
        <v/>
      </c>
      <c r="N254" s="12">
        <f>IF(H254&lt;&gt;1,0,IF((IF(Classifiers!$B$9="",0,IF(ISNUMBER(SEARCH(Classifiers!$B$9,E254)),1,0))+IF(Classifiers!$C$9="",0,IF(ISNUMBER(SEARCH(Classifiers!$C$9,E254)),1,0))+IF(Classifiers!$D$9="",0,IF(ISNUMBER(SEARCH(Classifiers!$D$9,E254)),1,0))+IF(Classifiers!$E$9="",0,IF(ISNUMBER(SEARCH(Classifiers!$E$9,E254)),1,0))+IF(Classifiers!$F$9="",0,IF(ISNUMBER(SEARCH(Classifiers!$F$9,E254)),1,0))+IF(Classifiers!$G$9="",0,IF(ISNUMBER(SEARCH(Classifiers!$G$9,E254)),1,0)))&gt;0,1,0))</f>
        <v/>
      </c>
      <c r="O254" s="12">
        <f>IF(H254&lt;&gt;1,0,IF((IF(Classifiers!$B$10="",0,IF(ISNUMBER(SEARCH(Classifiers!$B$10,E254)),1,0))+IF(Classifiers!$C$10="",0,IF(ISNUMBER(SEARCH(Classifiers!$C$10,E254)),1,0))+IF(Classifiers!$D$10="",0,IF(ISNUMBER(SEARCH(Classifiers!$D$10,E254)),1,0))+IF(Classifiers!$E$10="",0,IF(ISNUMBER(SEARCH(Classifiers!$E$10,E254)),1,0))+IF(Classifiers!$F$10="",0,IF(ISNUMBER(SEARCH(Classifiers!$F$10,E254)),1,0))+IF(Classifiers!$G$10="",0,IF(ISNUMBER(SEARCH(Classifiers!$G$10,E254)),1,0)))&gt;0,1,0))</f>
        <v/>
      </c>
      <c r="P254" s="12">
        <f>IF(H254&lt;&gt;1,0,IF((IF(Classifiers!$B$11="",0,IF(ISNUMBER(SEARCH(Classifiers!$B$11,E254)),1,0))+IF(Classifiers!$C$11="",0,IF(ISNUMBER(SEARCH(Classifiers!$C$11,E254)),1,0))+IF(Classifiers!$D$11="",0,IF(ISNUMBER(SEARCH(Classifiers!$D$11,E254)),1,0))+IF(Classifiers!$E$11="",0,IF(ISNUMBER(SEARCH(Classifiers!$E$11,E254)),1,0))+IF(Classifiers!$F$11="",0,IF(ISNUMBER(SEARCH(Classifiers!$F$11,E254)),1,0))+IF(Classifiers!$G$11="",0,IF(ISNUMBER(SEARCH(Classifiers!$G$11,E254)),1,0)))&gt;0,1,0))</f>
        <v/>
      </c>
      <c r="Q254" s="12">
        <f>IF(H254&lt;&gt;1,0,IF((IF(Classifiers!$B$12="",0,IF(ISNUMBER(SEARCH(Classifiers!$B$12,E254)),1,0))+IF(Classifiers!$C$12="",0,IF(ISNUMBER(SEARCH(Classifiers!$C$12,E254)),1,0))+IF(Classifiers!$D$12="",0,IF(ISNUMBER(SEARCH(Classifiers!$D$12,E254)),1,0))+IF(Classifiers!$E$12="",0,IF(ISNUMBER(SEARCH(Classifiers!$E$12,E254)),1,0))+IF(Classifiers!$F$12="",0,IF(ISNUMBER(SEARCH(Classifiers!$F$12,E254)),1,0))+IF(Classifiers!$G$12="",0,IF(ISNUMBER(SEARCH(Classifiers!$G$12,E254)),1,0)))&gt;0,1,0))</f>
        <v/>
      </c>
      <c r="R254" s="12">
        <f>IF(H254&lt;&gt;1,0,IF((IF(Classifiers!$B$13="",0,IF(ISNUMBER(SEARCH(Classifiers!$B$13,E254)),1,0))+IF(Classifiers!$C$13="",0,IF(ISNUMBER(SEARCH(Classifiers!$C$13,E254)),1,0))+IF(Classifiers!$D$13="",0,IF(ISNUMBER(SEARCH(Classifiers!$D$13,E254)),1,0))+IF(Classifiers!$E$13="",0,IF(ISNUMBER(SEARCH(Classifiers!$E$13,E254)),1,0))+IF(Classifiers!$F$13="",0,IF(ISNUMBER(SEARCH(Classifiers!$F$13,E254)),1,0))+IF(Classifiers!$G$13="",0,IF(ISNUMBER(SEARCH(Classifiers!$G$13,E254)),1,0)))&gt;0,1,0))</f>
        <v/>
      </c>
      <c r="S254" s="12">
        <f>IF(H254&lt;&gt;1,0,IF((IF(Classifiers!$B$14="",0,IF(ISNUMBER(SEARCH(Classifiers!$B$14,E254)),1,0))+IF(Classifiers!$C$14="",0,IF(ISNUMBER(SEARCH(Classifiers!$C$14,E254)),1,0))+IF(Classifiers!$D$14="",0,IF(ISNUMBER(SEARCH(Classifiers!$D$14,E254)),1,0))+IF(Classifiers!$E$14="",0,IF(ISNUMBER(SEARCH(Classifiers!$E$14,E254)),1,0))+IF(Classifiers!$F$14="",0,IF(ISNUMBER(SEARCH(Classifiers!$F$14,E254)),1,0))+IF(Classifiers!$G$14="",0,IF(ISNUMBER(SEARCH(Classifiers!$G$14,E254)),1,0)))&gt;0,1,0))</f>
        <v/>
      </c>
      <c r="T254" s="12">
        <f>IF(H254&lt;&gt;1,0,IF((IF(Classifiers!$B$15="",0,IF(ISNUMBER(SEARCH(Classifiers!$B$15,E254)),1,0))+IF(Classifiers!$C$15="",0,IF(ISNUMBER(SEARCH(Classifiers!$C$15,E254)),1,0))+IF(Classifiers!$D$15="",0,IF(ISNUMBER(SEARCH(Classifiers!$D$15,E254)),1,0))+IF(Classifiers!$E$15="",0,IF(ISNUMBER(SEARCH(Classifiers!$E$15,E254)),1,0))+IF(Classifiers!$F$15="",0,IF(ISNUMBER(SEARCH(Classifiers!$F$15,E254)),1,0))+IF(Classifiers!$G$15="",0,IF(ISNUMBER(SEARCH(Classifiers!$G$15,E254)),1,0)))&gt;0,1,0))</f>
        <v/>
      </c>
      <c r="U254" s="12">
        <f>IF(H254&lt;&gt;1,0,IF((IF(Classifiers!$B$16="",0,IF(ISNUMBER(SEARCH(Classifiers!$B$16,E254)),1,0))+IF(Classifiers!$C$16="",0,IF(ISNUMBER(SEARCH(Classifiers!$C$16,E254)),1,0))+IF(Classifiers!$D$16="",0,IF(ISNUMBER(SEARCH(Classifiers!$D$16,E254)),1,0))+IF(Classifiers!$E$16="",0,IF(ISNUMBER(SEARCH(Classifiers!$E$16,E254)),1,0))+IF(Classifiers!$F$16="",0,IF(ISNUMBER(SEARCH(Classifiers!$F$16,E254)),1,0))+IF(Classifiers!$G$16="",0,IF(ISNUMBER(SEARCH(Classifiers!$G$16,E254)),1,0)))&gt;0,1,0))</f>
        <v/>
      </c>
      <c r="V254" s="12">
        <f>IF(H254&lt;&gt;1,0,IF((IF(Classifiers!$B$17="",0,IF(ISNUMBER(SEARCH(Classifiers!$B$17,E254)),1,0))+IF(Classifiers!$C$17="",0,IF(ISNUMBER(SEARCH(Classifiers!$C$17,E254)),1,0))+IF(Classifiers!$D$17="",0,IF(ISNUMBER(SEARCH(Classifiers!$D$17,E254)),1,0))+IF(Classifiers!$E$17="",0,IF(ISNUMBER(SEARCH(Classifiers!$E$17,E254)),1,0))+IF(Classifiers!$F$17="",0,IF(ISNUMBER(SEARCH(Classifiers!$F$17,E254)),1,0))+IF(Classifiers!$G$17="",0,IF(ISNUMBER(SEARCH(Classifiers!$G$17,E254)),1,0)))&gt;0,1,0))</f>
        <v/>
      </c>
      <c r="W254" s="12">
        <f>IF(H254&lt;&gt;1,0,IF((IF(Classifiers!$B$18="",0,IF(ISNUMBER(SEARCH(Classifiers!$B$18,E254)),1,0))+IF(Classifiers!$C$18="",0,IF(ISNUMBER(SEARCH(Classifiers!$C$18,E254)),1,0))+IF(Classifiers!$D$18="",0,IF(ISNUMBER(SEARCH(Classifiers!$D$18,E254)),1,0))+IF(Classifiers!$E$18="",0,IF(ISNUMBER(SEARCH(Classifiers!$E$18,E254)),1,0))+IF(Classifiers!$F$18="",0,IF(ISNUMBER(SEARCH(Classifiers!$F$18,E254)),1,0))+IF(Classifiers!$G$18="",0,IF(ISNUMBER(SEARCH(Classifiers!$G$18,E254)),1,0)))&gt;0,1,0))</f>
        <v/>
      </c>
    </row>
    <row r="255">
      <c r="A255" s="8" t="n"/>
      <c r="B255" s="11" t="n"/>
      <c r="C255" s="6">
        <f>IF(A255="","",TRIM(RIGHT(SUBSTITUTE(A255,"/",REPT(" ",250)),250)))</f>
        <v/>
      </c>
      <c r="D255" s="6">
        <f>IF(C255="","",IF(ISNUMBER(SEARCH(".",C255)),LOWER("."&amp;TRIM(RIGHT(SUBSTITUTE(C255,".",REPT(" ",250)),250))),""))</f>
        <v/>
      </c>
      <c r="E255" s="6">
        <f>IF(C255="","",TRIM(SUBSTITUTE(SUBSTITUTE(SUBSTITUTE(SUBSTITUTE(SUBSTITUTE(SUBSTITUTE(SUBSTITUTE(SUBSTITUTE(SUBSTITUTE(SUBSTITUTE(SUBSTITUTE(SUBSTITUTE(SUBSTITUTE(SUBSTITUTE(SUBSTITUTE(SUBSTITUTE(SUBSTITUTE(SUBSTITUTE(SUBSTITUTE(SUBSTITUTE(LOWER(LEFT(C255,LEN(C255)-LEN(D255))),"_"," "),"-"," "),"."," "),","," "),"("," "),")"," "),"["," "),"]"," "),"&amp;"," "),"+"," "),"@"," "),"#"," "),"!"," "),"'"," "),"/"," "),":"," "),";"," "),"="," "),"~"," "),"%"," ")))</f>
        <v/>
      </c>
      <c r="F255" s="6">
        <f>IF(C255="","",IF(COUNTIF(Classifiers!$A$23:$A$40,D255)&gt;0,1,0))</f>
        <v/>
      </c>
      <c r="G255" s="6">
        <f>IF(C255="","",IF(COUNTIF(Classifiers!$C$23:$C$30,D255)&gt;0,IF((IF(ISNUMBER(SEARCH(Classifiers!$E$23,E255)),1,0)+IF(ISNUMBER(SEARCH(Classifiers!$E$24,E255)),1,0)+IF(ISNUMBER(SEARCH(Classifiers!$E$25,E255)),1,0)+IF(ISNUMBER(SEARCH(Classifiers!$E$26,E255)),1,0)+IF(ISNUMBER(SEARCH(Classifiers!$E$27,E255)),1,0)+IF(ISNUMBER(SEARCH(Classifiers!$E$28,E255)),1,0)+IF(ISNUMBER(SEARCH(Classifiers!$E$29,E255)),1,0)+IF(ISNUMBER(SEARCH(Classifiers!$E$30,E255)),1,0))&gt;0,1,0),0))</f>
        <v/>
      </c>
      <c r="H255" s="6">
        <f>IF(C255="","",IF(OR(LEFT(C255,1)=".",AND(F255=0,G255=0)),0,1))</f>
        <v/>
      </c>
      <c r="I255" s="6">
        <f>IF(H255&lt;&gt;1,"",IF(SUM(J255:W255)=0,"unclassified",INDEX(Classifiers!$A$5:$A$18,MATCH(1,J255:W255,0),1)))</f>
        <v/>
      </c>
      <c r="J255" s="12">
        <f>IF(H255&lt;&gt;1,0,IF((IF(Classifiers!$B$5="",0,IF(ISNUMBER(SEARCH(Classifiers!$B$5,E255)),1,0))+IF(Classifiers!$C$5="",0,IF(ISNUMBER(SEARCH(Classifiers!$C$5,E255)),1,0))+IF(Classifiers!$D$5="",0,IF(ISNUMBER(SEARCH(Classifiers!$D$5,E255)),1,0))+IF(Classifiers!$E$5="",0,IF(ISNUMBER(SEARCH(Classifiers!$E$5,E255)),1,0))+IF(Classifiers!$F$5="",0,IF(ISNUMBER(SEARCH(Classifiers!$F$5,E255)),1,0))+IF(Classifiers!$G$5="",0,IF(ISNUMBER(SEARCH(Classifiers!$G$5,E255)),1,0)))&gt;0,1,0))</f>
        <v/>
      </c>
      <c r="K255" s="12">
        <f>IF(H255&lt;&gt;1,0,IF((IF(Classifiers!$B$6="",0,IF(ISNUMBER(SEARCH(Classifiers!$B$6,E255)),1,0))+IF(Classifiers!$C$6="",0,IF(ISNUMBER(SEARCH(Classifiers!$C$6,E255)),1,0))+IF(Classifiers!$D$6="",0,IF(ISNUMBER(SEARCH(Classifiers!$D$6,E255)),1,0))+IF(Classifiers!$E$6="",0,IF(ISNUMBER(SEARCH(Classifiers!$E$6,E255)),1,0))+IF(Classifiers!$F$6="",0,IF(ISNUMBER(SEARCH(Classifiers!$F$6,E255)),1,0))+IF(Classifiers!$G$6="",0,IF(ISNUMBER(SEARCH(Classifiers!$G$6,E255)),1,0)))&gt;0,1,0))</f>
        <v/>
      </c>
      <c r="L255" s="12">
        <f>IF(H255&lt;&gt;1,0,IF((IF(Classifiers!$B$7="",0,IF(ISNUMBER(SEARCH(Classifiers!$B$7,E255)),1,0))+IF(Classifiers!$C$7="",0,IF(ISNUMBER(SEARCH(Classifiers!$C$7,E255)),1,0))+IF(Classifiers!$D$7="",0,IF(ISNUMBER(SEARCH(Classifiers!$D$7,E255)),1,0))+IF(Classifiers!$E$7="",0,IF(ISNUMBER(SEARCH(Classifiers!$E$7,E255)),1,0))+IF(Classifiers!$F$7="",0,IF(ISNUMBER(SEARCH(Classifiers!$F$7,E255)),1,0))+IF(Classifiers!$G$7="",0,IF(ISNUMBER(SEARCH(Classifiers!$G$7,E255)),1,0)))&gt;0,1,0))</f>
        <v/>
      </c>
      <c r="M255" s="12">
        <f>IF(H255&lt;&gt;1,0,IF((IF(Classifiers!$B$8="",0,IF(ISNUMBER(SEARCH(Classifiers!$B$8,E255)),1,0))+IF(Classifiers!$C$8="",0,IF(ISNUMBER(SEARCH(Classifiers!$C$8,E255)),1,0))+IF(Classifiers!$D$8="",0,IF(ISNUMBER(SEARCH(Classifiers!$D$8,E255)),1,0))+IF(Classifiers!$E$8="",0,IF(ISNUMBER(SEARCH(Classifiers!$E$8,E255)),1,0))+IF(Classifiers!$F$8="",0,IF(ISNUMBER(SEARCH(Classifiers!$F$8,E255)),1,0))+IF(Classifiers!$G$8="",0,IF(ISNUMBER(SEARCH(Classifiers!$G$8,E255)),1,0)))&gt;0,1,0))</f>
        <v/>
      </c>
      <c r="N255" s="12">
        <f>IF(H255&lt;&gt;1,0,IF((IF(Classifiers!$B$9="",0,IF(ISNUMBER(SEARCH(Classifiers!$B$9,E255)),1,0))+IF(Classifiers!$C$9="",0,IF(ISNUMBER(SEARCH(Classifiers!$C$9,E255)),1,0))+IF(Classifiers!$D$9="",0,IF(ISNUMBER(SEARCH(Classifiers!$D$9,E255)),1,0))+IF(Classifiers!$E$9="",0,IF(ISNUMBER(SEARCH(Classifiers!$E$9,E255)),1,0))+IF(Classifiers!$F$9="",0,IF(ISNUMBER(SEARCH(Classifiers!$F$9,E255)),1,0))+IF(Classifiers!$G$9="",0,IF(ISNUMBER(SEARCH(Classifiers!$G$9,E255)),1,0)))&gt;0,1,0))</f>
        <v/>
      </c>
      <c r="O255" s="12">
        <f>IF(H255&lt;&gt;1,0,IF((IF(Classifiers!$B$10="",0,IF(ISNUMBER(SEARCH(Classifiers!$B$10,E255)),1,0))+IF(Classifiers!$C$10="",0,IF(ISNUMBER(SEARCH(Classifiers!$C$10,E255)),1,0))+IF(Classifiers!$D$10="",0,IF(ISNUMBER(SEARCH(Classifiers!$D$10,E255)),1,0))+IF(Classifiers!$E$10="",0,IF(ISNUMBER(SEARCH(Classifiers!$E$10,E255)),1,0))+IF(Classifiers!$F$10="",0,IF(ISNUMBER(SEARCH(Classifiers!$F$10,E255)),1,0))+IF(Classifiers!$G$10="",0,IF(ISNUMBER(SEARCH(Classifiers!$G$10,E255)),1,0)))&gt;0,1,0))</f>
        <v/>
      </c>
      <c r="P255" s="12">
        <f>IF(H255&lt;&gt;1,0,IF((IF(Classifiers!$B$11="",0,IF(ISNUMBER(SEARCH(Classifiers!$B$11,E255)),1,0))+IF(Classifiers!$C$11="",0,IF(ISNUMBER(SEARCH(Classifiers!$C$11,E255)),1,0))+IF(Classifiers!$D$11="",0,IF(ISNUMBER(SEARCH(Classifiers!$D$11,E255)),1,0))+IF(Classifiers!$E$11="",0,IF(ISNUMBER(SEARCH(Classifiers!$E$11,E255)),1,0))+IF(Classifiers!$F$11="",0,IF(ISNUMBER(SEARCH(Classifiers!$F$11,E255)),1,0))+IF(Classifiers!$G$11="",0,IF(ISNUMBER(SEARCH(Classifiers!$G$11,E255)),1,0)))&gt;0,1,0))</f>
        <v/>
      </c>
      <c r="Q255" s="12">
        <f>IF(H255&lt;&gt;1,0,IF((IF(Classifiers!$B$12="",0,IF(ISNUMBER(SEARCH(Classifiers!$B$12,E255)),1,0))+IF(Classifiers!$C$12="",0,IF(ISNUMBER(SEARCH(Classifiers!$C$12,E255)),1,0))+IF(Classifiers!$D$12="",0,IF(ISNUMBER(SEARCH(Classifiers!$D$12,E255)),1,0))+IF(Classifiers!$E$12="",0,IF(ISNUMBER(SEARCH(Classifiers!$E$12,E255)),1,0))+IF(Classifiers!$F$12="",0,IF(ISNUMBER(SEARCH(Classifiers!$F$12,E255)),1,0))+IF(Classifiers!$G$12="",0,IF(ISNUMBER(SEARCH(Classifiers!$G$12,E255)),1,0)))&gt;0,1,0))</f>
        <v/>
      </c>
      <c r="R255" s="12">
        <f>IF(H255&lt;&gt;1,0,IF((IF(Classifiers!$B$13="",0,IF(ISNUMBER(SEARCH(Classifiers!$B$13,E255)),1,0))+IF(Classifiers!$C$13="",0,IF(ISNUMBER(SEARCH(Classifiers!$C$13,E255)),1,0))+IF(Classifiers!$D$13="",0,IF(ISNUMBER(SEARCH(Classifiers!$D$13,E255)),1,0))+IF(Classifiers!$E$13="",0,IF(ISNUMBER(SEARCH(Classifiers!$E$13,E255)),1,0))+IF(Classifiers!$F$13="",0,IF(ISNUMBER(SEARCH(Classifiers!$F$13,E255)),1,0))+IF(Classifiers!$G$13="",0,IF(ISNUMBER(SEARCH(Classifiers!$G$13,E255)),1,0)))&gt;0,1,0))</f>
        <v/>
      </c>
      <c r="S255" s="12">
        <f>IF(H255&lt;&gt;1,0,IF((IF(Classifiers!$B$14="",0,IF(ISNUMBER(SEARCH(Classifiers!$B$14,E255)),1,0))+IF(Classifiers!$C$14="",0,IF(ISNUMBER(SEARCH(Classifiers!$C$14,E255)),1,0))+IF(Classifiers!$D$14="",0,IF(ISNUMBER(SEARCH(Classifiers!$D$14,E255)),1,0))+IF(Classifiers!$E$14="",0,IF(ISNUMBER(SEARCH(Classifiers!$E$14,E255)),1,0))+IF(Classifiers!$F$14="",0,IF(ISNUMBER(SEARCH(Classifiers!$F$14,E255)),1,0))+IF(Classifiers!$G$14="",0,IF(ISNUMBER(SEARCH(Classifiers!$G$14,E255)),1,0)))&gt;0,1,0))</f>
        <v/>
      </c>
      <c r="T255" s="12">
        <f>IF(H255&lt;&gt;1,0,IF((IF(Classifiers!$B$15="",0,IF(ISNUMBER(SEARCH(Classifiers!$B$15,E255)),1,0))+IF(Classifiers!$C$15="",0,IF(ISNUMBER(SEARCH(Classifiers!$C$15,E255)),1,0))+IF(Classifiers!$D$15="",0,IF(ISNUMBER(SEARCH(Classifiers!$D$15,E255)),1,0))+IF(Classifiers!$E$15="",0,IF(ISNUMBER(SEARCH(Classifiers!$E$15,E255)),1,0))+IF(Classifiers!$F$15="",0,IF(ISNUMBER(SEARCH(Classifiers!$F$15,E255)),1,0))+IF(Classifiers!$G$15="",0,IF(ISNUMBER(SEARCH(Classifiers!$G$15,E255)),1,0)))&gt;0,1,0))</f>
        <v/>
      </c>
      <c r="U255" s="12">
        <f>IF(H255&lt;&gt;1,0,IF((IF(Classifiers!$B$16="",0,IF(ISNUMBER(SEARCH(Classifiers!$B$16,E255)),1,0))+IF(Classifiers!$C$16="",0,IF(ISNUMBER(SEARCH(Classifiers!$C$16,E255)),1,0))+IF(Classifiers!$D$16="",0,IF(ISNUMBER(SEARCH(Classifiers!$D$16,E255)),1,0))+IF(Classifiers!$E$16="",0,IF(ISNUMBER(SEARCH(Classifiers!$E$16,E255)),1,0))+IF(Classifiers!$F$16="",0,IF(ISNUMBER(SEARCH(Classifiers!$F$16,E255)),1,0))+IF(Classifiers!$G$16="",0,IF(ISNUMBER(SEARCH(Classifiers!$G$16,E255)),1,0)))&gt;0,1,0))</f>
        <v/>
      </c>
      <c r="V255" s="12">
        <f>IF(H255&lt;&gt;1,0,IF((IF(Classifiers!$B$17="",0,IF(ISNUMBER(SEARCH(Classifiers!$B$17,E255)),1,0))+IF(Classifiers!$C$17="",0,IF(ISNUMBER(SEARCH(Classifiers!$C$17,E255)),1,0))+IF(Classifiers!$D$17="",0,IF(ISNUMBER(SEARCH(Classifiers!$D$17,E255)),1,0))+IF(Classifiers!$E$17="",0,IF(ISNUMBER(SEARCH(Classifiers!$E$17,E255)),1,0))+IF(Classifiers!$F$17="",0,IF(ISNUMBER(SEARCH(Classifiers!$F$17,E255)),1,0))+IF(Classifiers!$G$17="",0,IF(ISNUMBER(SEARCH(Classifiers!$G$17,E255)),1,0)))&gt;0,1,0))</f>
        <v/>
      </c>
      <c r="W255" s="12">
        <f>IF(H255&lt;&gt;1,0,IF((IF(Classifiers!$B$18="",0,IF(ISNUMBER(SEARCH(Classifiers!$B$18,E255)),1,0))+IF(Classifiers!$C$18="",0,IF(ISNUMBER(SEARCH(Classifiers!$C$18,E255)),1,0))+IF(Classifiers!$D$18="",0,IF(ISNUMBER(SEARCH(Classifiers!$D$18,E255)),1,0))+IF(Classifiers!$E$18="",0,IF(ISNUMBER(SEARCH(Classifiers!$E$18,E255)),1,0))+IF(Classifiers!$F$18="",0,IF(ISNUMBER(SEARCH(Classifiers!$F$18,E255)),1,0))+IF(Classifiers!$G$18="",0,IF(ISNUMBER(SEARCH(Classifiers!$G$18,E255)),1,0)))&gt;0,1,0))</f>
        <v/>
      </c>
    </row>
    <row r="256">
      <c r="A256" s="8" t="n"/>
      <c r="B256" s="11" t="n"/>
      <c r="C256" s="6">
        <f>IF(A256="","",TRIM(RIGHT(SUBSTITUTE(A256,"/",REPT(" ",250)),250)))</f>
        <v/>
      </c>
      <c r="D256" s="6">
        <f>IF(C256="","",IF(ISNUMBER(SEARCH(".",C256)),LOWER("."&amp;TRIM(RIGHT(SUBSTITUTE(C256,".",REPT(" ",250)),250))),""))</f>
        <v/>
      </c>
      <c r="E256" s="6">
        <f>IF(C256="","",TRIM(SUBSTITUTE(SUBSTITUTE(SUBSTITUTE(SUBSTITUTE(SUBSTITUTE(SUBSTITUTE(SUBSTITUTE(SUBSTITUTE(SUBSTITUTE(SUBSTITUTE(SUBSTITUTE(SUBSTITUTE(SUBSTITUTE(SUBSTITUTE(SUBSTITUTE(SUBSTITUTE(SUBSTITUTE(SUBSTITUTE(SUBSTITUTE(SUBSTITUTE(LOWER(LEFT(C256,LEN(C256)-LEN(D256))),"_"," "),"-"," "),"."," "),","," "),"("," "),")"," "),"["," "),"]"," "),"&amp;"," "),"+"," "),"@"," "),"#"," "),"!"," "),"'"," "),"/"," "),":"," "),";"," "),"="," "),"~"," "),"%"," ")))</f>
        <v/>
      </c>
      <c r="F256" s="6">
        <f>IF(C256="","",IF(COUNTIF(Classifiers!$A$23:$A$40,D256)&gt;0,1,0))</f>
        <v/>
      </c>
      <c r="G256" s="6">
        <f>IF(C256="","",IF(COUNTIF(Classifiers!$C$23:$C$30,D256)&gt;0,IF((IF(ISNUMBER(SEARCH(Classifiers!$E$23,E256)),1,0)+IF(ISNUMBER(SEARCH(Classifiers!$E$24,E256)),1,0)+IF(ISNUMBER(SEARCH(Classifiers!$E$25,E256)),1,0)+IF(ISNUMBER(SEARCH(Classifiers!$E$26,E256)),1,0)+IF(ISNUMBER(SEARCH(Classifiers!$E$27,E256)),1,0)+IF(ISNUMBER(SEARCH(Classifiers!$E$28,E256)),1,0)+IF(ISNUMBER(SEARCH(Classifiers!$E$29,E256)),1,0)+IF(ISNUMBER(SEARCH(Classifiers!$E$30,E256)),1,0))&gt;0,1,0),0))</f>
        <v/>
      </c>
      <c r="H256" s="6">
        <f>IF(C256="","",IF(OR(LEFT(C256,1)=".",AND(F256=0,G256=0)),0,1))</f>
        <v/>
      </c>
      <c r="I256" s="6">
        <f>IF(H256&lt;&gt;1,"",IF(SUM(J256:W256)=0,"unclassified",INDEX(Classifiers!$A$5:$A$18,MATCH(1,J256:W256,0),1)))</f>
        <v/>
      </c>
      <c r="J256" s="12">
        <f>IF(H256&lt;&gt;1,0,IF((IF(Classifiers!$B$5="",0,IF(ISNUMBER(SEARCH(Classifiers!$B$5,E256)),1,0))+IF(Classifiers!$C$5="",0,IF(ISNUMBER(SEARCH(Classifiers!$C$5,E256)),1,0))+IF(Classifiers!$D$5="",0,IF(ISNUMBER(SEARCH(Classifiers!$D$5,E256)),1,0))+IF(Classifiers!$E$5="",0,IF(ISNUMBER(SEARCH(Classifiers!$E$5,E256)),1,0))+IF(Classifiers!$F$5="",0,IF(ISNUMBER(SEARCH(Classifiers!$F$5,E256)),1,0))+IF(Classifiers!$G$5="",0,IF(ISNUMBER(SEARCH(Classifiers!$G$5,E256)),1,0)))&gt;0,1,0))</f>
        <v/>
      </c>
      <c r="K256" s="12">
        <f>IF(H256&lt;&gt;1,0,IF((IF(Classifiers!$B$6="",0,IF(ISNUMBER(SEARCH(Classifiers!$B$6,E256)),1,0))+IF(Classifiers!$C$6="",0,IF(ISNUMBER(SEARCH(Classifiers!$C$6,E256)),1,0))+IF(Classifiers!$D$6="",0,IF(ISNUMBER(SEARCH(Classifiers!$D$6,E256)),1,0))+IF(Classifiers!$E$6="",0,IF(ISNUMBER(SEARCH(Classifiers!$E$6,E256)),1,0))+IF(Classifiers!$F$6="",0,IF(ISNUMBER(SEARCH(Classifiers!$F$6,E256)),1,0))+IF(Classifiers!$G$6="",0,IF(ISNUMBER(SEARCH(Classifiers!$G$6,E256)),1,0)))&gt;0,1,0))</f>
        <v/>
      </c>
      <c r="L256" s="12">
        <f>IF(H256&lt;&gt;1,0,IF((IF(Classifiers!$B$7="",0,IF(ISNUMBER(SEARCH(Classifiers!$B$7,E256)),1,0))+IF(Classifiers!$C$7="",0,IF(ISNUMBER(SEARCH(Classifiers!$C$7,E256)),1,0))+IF(Classifiers!$D$7="",0,IF(ISNUMBER(SEARCH(Classifiers!$D$7,E256)),1,0))+IF(Classifiers!$E$7="",0,IF(ISNUMBER(SEARCH(Classifiers!$E$7,E256)),1,0))+IF(Classifiers!$F$7="",0,IF(ISNUMBER(SEARCH(Classifiers!$F$7,E256)),1,0))+IF(Classifiers!$G$7="",0,IF(ISNUMBER(SEARCH(Classifiers!$G$7,E256)),1,0)))&gt;0,1,0))</f>
        <v/>
      </c>
      <c r="M256" s="12">
        <f>IF(H256&lt;&gt;1,0,IF((IF(Classifiers!$B$8="",0,IF(ISNUMBER(SEARCH(Classifiers!$B$8,E256)),1,0))+IF(Classifiers!$C$8="",0,IF(ISNUMBER(SEARCH(Classifiers!$C$8,E256)),1,0))+IF(Classifiers!$D$8="",0,IF(ISNUMBER(SEARCH(Classifiers!$D$8,E256)),1,0))+IF(Classifiers!$E$8="",0,IF(ISNUMBER(SEARCH(Classifiers!$E$8,E256)),1,0))+IF(Classifiers!$F$8="",0,IF(ISNUMBER(SEARCH(Classifiers!$F$8,E256)),1,0))+IF(Classifiers!$G$8="",0,IF(ISNUMBER(SEARCH(Classifiers!$G$8,E256)),1,0)))&gt;0,1,0))</f>
        <v/>
      </c>
      <c r="N256" s="12">
        <f>IF(H256&lt;&gt;1,0,IF((IF(Classifiers!$B$9="",0,IF(ISNUMBER(SEARCH(Classifiers!$B$9,E256)),1,0))+IF(Classifiers!$C$9="",0,IF(ISNUMBER(SEARCH(Classifiers!$C$9,E256)),1,0))+IF(Classifiers!$D$9="",0,IF(ISNUMBER(SEARCH(Classifiers!$D$9,E256)),1,0))+IF(Classifiers!$E$9="",0,IF(ISNUMBER(SEARCH(Classifiers!$E$9,E256)),1,0))+IF(Classifiers!$F$9="",0,IF(ISNUMBER(SEARCH(Classifiers!$F$9,E256)),1,0))+IF(Classifiers!$G$9="",0,IF(ISNUMBER(SEARCH(Classifiers!$G$9,E256)),1,0)))&gt;0,1,0))</f>
        <v/>
      </c>
      <c r="O256" s="12">
        <f>IF(H256&lt;&gt;1,0,IF((IF(Classifiers!$B$10="",0,IF(ISNUMBER(SEARCH(Classifiers!$B$10,E256)),1,0))+IF(Classifiers!$C$10="",0,IF(ISNUMBER(SEARCH(Classifiers!$C$10,E256)),1,0))+IF(Classifiers!$D$10="",0,IF(ISNUMBER(SEARCH(Classifiers!$D$10,E256)),1,0))+IF(Classifiers!$E$10="",0,IF(ISNUMBER(SEARCH(Classifiers!$E$10,E256)),1,0))+IF(Classifiers!$F$10="",0,IF(ISNUMBER(SEARCH(Classifiers!$F$10,E256)),1,0))+IF(Classifiers!$G$10="",0,IF(ISNUMBER(SEARCH(Classifiers!$G$10,E256)),1,0)))&gt;0,1,0))</f>
        <v/>
      </c>
      <c r="P256" s="12">
        <f>IF(H256&lt;&gt;1,0,IF((IF(Classifiers!$B$11="",0,IF(ISNUMBER(SEARCH(Classifiers!$B$11,E256)),1,0))+IF(Classifiers!$C$11="",0,IF(ISNUMBER(SEARCH(Classifiers!$C$11,E256)),1,0))+IF(Classifiers!$D$11="",0,IF(ISNUMBER(SEARCH(Classifiers!$D$11,E256)),1,0))+IF(Classifiers!$E$11="",0,IF(ISNUMBER(SEARCH(Classifiers!$E$11,E256)),1,0))+IF(Classifiers!$F$11="",0,IF(ISNUMBER(SEARCH(Classifiers!$F$11,E256)),1,0))+IF(Classifiers!$G$11="",0,IF(ISNUMBER(SEARCH(Classifiers!$G$11,E256)),1,0)))&gt;0,1,0))</f>
        <v/>
      </c>
      <c r="Q256" s="12">
        <f>IF(H256&lt;&gt;1,0,IF((IF(Classifiers!$B$12="",0,IF(ISNUMBER(SEARCH(Classifiers!$B$12,E256)),1,0))+IF(Classifiers!$C$12="",0,IF(ISNUMBER(SEARCH(Classifiers!$C$12,E256)),1,0))+IF(Classifiers!$D$12="",0,IF(ISNUMBER(SEARCH(Classifiers!$D$12,E256)),1,0))+IF(Classifiers!$E$12="",0,IF(ISNUMBER(SEARCH(Classifiers!$E$12,E256)),1,0))+IF(Classifiers!$F$12="",0,IF(ISNUMBER(SEARCH(Classifiers!$F$12,E256)),1,0))+IF(Classifiers!$G$12="",0,IF(ISNUMBER(SEARCH(Classifiers!$G$12,E256)),1,0)))&gt;0,1,0))</f>
        <v/>
      </c>
      <c r="R256" s="12">
        <f>IF(H256&lt;&gt;1,0,IF((IF(Classifiers!$B$13="",0,IF(ISNUMBER(SEARCH(Classifiers!$B$13,E256)),1,0))+IF(Classifiers!$C$13="",0,IF(ISNUMBER(SEARCH(Classifiers!$C$13,E256)),1,0))+IF(Classifiers!$D$13="",0,IF(ISNUMBER(SEARCH(Classifiers!$D$13,E256)),1,0))+IF(Classifiers!$E$13="",0,IF(ISNUMBER(SEARCH(Classifiers!$E$13,E256)),1,0))+IF(Classifiers!$F$13="",0,IF(ISNUMBER(SEARCH(Classifiers!$F$13,E256)),1,0))+IF(Classifiers!$G$13="",0,IF(ISNUMBER(SEARCH(Classifiers!$G$13,E256)),1,0)))&gt;0,1,0))</f>
        <v/>
      </c>
      <c r="S256" s="12">
        <f>IF(H256&lt;&gt;1,0,IF((IF(Classifiers!$B$14="",0,IF(ISNUMBER(SEARCH(Classifiers!$B$14,E256)),1,0))+IF(Classifiers!$C$14="",0,IF(ISNUMBER(SEARCH(Classifiers!$C$14,E256)),1,0))+IF(Classifiers!$D$14="",0,IF(ISNUMBER(SEARCH(Classifiers!$D$14,E256)),1,0))+IF(Classifiers!$E$14="",0,IF(ISNUMBER(SEARCH(Classifiers!$E$14,E256)),1,0))+IF(Classifiers!$F$14="",0,IF(ISNUMBER(SEARCH(Classifiers!$F$14,E256)),1,0))+IF(Classifiers!$G$14="",0,IF(ISNUMBER(SEARCH(Classifiers!$G$14,E256)),1,0)))&gt;0,1,0))</f>
        <v/>
      </c>
      <c r="T256" s="12">
        <f>IF(H256&lt;&gt;1,0,IF((IF(Classifiers!$B$15="",0,IF(ISNUMBER(SEARCH(Classifiers!$B$15,E256)),1,0))+IF(Classifiers!$C$15="",0,IF(ISNUMBER(SEARCH(Classifiers!$C$15,E256)),1,0))+IF(Classifiers!$D$15="",0,IF(ISNUMBER(SEARCH(Classifiers!$D$15,E256)),1,0))+IF(Classifiers!$E$15="",0,IF(ISNUMBER(SEARCH(Classifiers!$E$15,E256)),1,0))+IF(Classifiers!$F$15="",0,IF(ISNUMBER(SEARCH(Classifiers!$F$15,E256)),1,0))+IF(Classifiers!$G$15="",0,IF(ISNUMBER(SEARCH(Classifiers!$G$15,E256)),1,0)))&gt;0,1,0))</f>
        <v/>
      </c>
      <c r="U256" s="12">
        <f>IF(H256&lt;&gt;1,0,IF((IF(Classifiers!$B$16="",0,IF(ISNUMBER(SEARCH(Classifiers!$B$16,E256)),1,0))+IF(Classifiers!$C$16="",0,IF(ISNUMBER(SEARCH(Classifiers!$C$16,E256)),1,0))+IF(Classifiers!$D$16="",0,IF(ISNUMBER(SEARCH(Classifiers!$D$16,E256)),1,0))+IF(Classifiers!$E$16="",0,IF(ISNUMBER(SEARCH(Classifiers!$E$16,E256)),1,0))+IF(Classifiers!$F$16="",0,IF(ISNUMBER(SEARCH(Classifiers!$F$16,E256)),1,0))+IF(Classifiers!$G$16="",0,IF(ISNUMBER(SEARCH(Classifiers!$G$16,E256)),1,0)))&gt;0,1,0))</f>
        <v/>
      </c>
      <c r="V256" s="12">
        <f>IF(H256&lt;&gt;1,0,IF((IF(Classifiers!$B$17="",0,IF(ISNUMBER(SEARCH(Classifiers!$B$17,E256)),1,0))+IF(Classifiers!$C$17="",0,IF(ISNUMBER(SEARCH(Classifiers!$C$17,E256)),1,0))+IF(Classifiers!$D$17="",0,IF(ISNUMBER(SEARCH(Classifiers!$D$17,E256)),1,0))+IF(Classifiers!$E$17="",0,IF(ISNUMBER(SEARCH(Classifiers!$E$17,E256)),1,0))+IF(Classifiers!$F$17="",0,IF(ISNUMBER(SEARCH(Classifiers!$F$17,E256)),1,0))+IF(Classifiers!$G$17="",0,IF(ISNUMBER(SEARCH(Classifiers!$G$17,E256)),1,0)))&gt;0,1,0))</f>
        <v/>
      </c>
      <c r="W256" s="12">
        <f>IF(H256&lt;&gt;1,0,IF((IF(Classifiers!$B$18="",0,IF(ISNUMBER(SEARCH(Classifiers!$B$18,E256)),1,0))+IF(Classifiers!$C$18="",0,IF(ISNUMBER(SEARCH(Classifiers!$C$18,E256)),1,0))+IF(Classifiers!$D$18="",0,IF(ISNUMBER(SEARCH(Classifiers!$D$18,E256)),1,0))+IF(Classifiers!$E$18="",0,IF(ISNUMBER(SEARCH(Classifiers!$E$18,E256)),1,0))+IF(Classifiers!$F$18="",0,IF(ISNUMBER(SEARCH(Classifiers!$F$18,E256)),1,0))+IF(Classifiers!$G$18="",0,IF(ISNUMBER(SEARCH(Classifiers!$G$18,E256)),1,0)))&gt;0,1,0))</f>
        <v/>
      </c>
    </row>
    <row r="257">
      <c r="A257" s="8" t="n"/>
      <c r="B257" s="11" t="n"/>
      <c r="C257" s="6">
        <f>IF(A257="","",TRIM(RIGHT(SUBSTITUTE(A257,"/",REPT(" ",250)),250)))</f>
        <v/>
      </c>
      <c r="D257" s="6">
        <f>IF(C257="","",IF(ISNUMBER(SEARCH(".",C257)),LOWER("."&amp;TRIM(RIGHT(SUBSTITUTE(C257,".",REPT(" ",250)),250))),""))</f>
        <v/>
      </c>
      <c r="E257" s="6">
        <f>IF(C257="","",TRIM(SUBSTITUTE(SUBSTITUTE(SUBSTITUTE(SUBSTITUTE(SUBSTITUTE(SUBSTITUTE(SUBSTITUTE(SUBSTITUTE(SUBSTITUTE(SUBSTITUTE(SUBSTITUTE(SUBSTITUTE(SUBSTITUTE(SUBSTITUTE(SUBSTITUTE(SUBSTITUTE(SUBSTITUTE(SUBSTITUTE(SUBSTITUTE(SUBSTITUTE(LOWER(LEFT(C257,LEN(C257)-LEN(D257))),"_"," "),"-"," "),"."," "),","," "),"("," "),")"," "),"["," "),"]"," "),"&amp;"," "),"+"," "),"@"," "),"#"," "),"!"," "),"'"," "),"/"," "),":"," "),";"," "),"="," "),"~"," "),"%"," ")))</f>
        <v/>
      </c>
      <c r="F257" s="6">
        <f>IF(C257="","",IF(COUNTIF(Classifiers!$A$23:$A$40,D257)&gt;0,1,0))</f>
        <v/>
      </c>
      <c r="G257" s="6">
        <f>IF(C257="","",IF(COUNTIF(Classifiers!$C$23:$C$30,D257)&gt;0,IF((IF(ISNUMBER(SEARCH(Classifiers!$E$23,E257)),1,0)+IF(ISNUMBER(SEARCH(Classifiers!$E$24,E257)),1,0)+IF(ISNUMBER(SEARCH(Classifiers!$E$25,E257)),1,0)+IF(ISNUMBER(SEARCH(Classifiers!$E$26,E257)),1,0)+IF(ISNUMBER(SEARCH(Classifiers!$E$27,E257)),1,0)+IF(ISNUMBER(SEARCH(Classifiers!$E$28,E257)),1,0)+IF(ISNUMBER(SEARCH(Classifiers!$E$29,E257)),1,0)+IF(ISNUMBER(SEARCH(Classifiers!$E$30,E257)),1,0))&gt;0,1,0),0))</f>
        <v/>
      </c>
      <c r="H257" s="6">
        <f>IF(C257="","",IF(OR(LEFT(C257,1)=".",AND(F257=0,G257=0)),0,1))</f>
        <v/>
      </c>
      <c r="I257" s="6">
        <f>IF(H257&lt;&gt;1,"",IF(SUM(J257:W257)=0,"unclassified",INDEX(Classifiers!$A$5:$A$18,MATCH(1,J257:W257,0),1)))</f>
        <v/>
      </c>
      <c r="J257" s="12">
        <f>IF(H257&lt;&gt;1,0,IF((IF(Classifiers!$B$5="",0,IF(ISNUMBER(SEARCH(Classifiers!$B$5,E257)),1,0))+IF(Classifiers!$C$5="",0,IF(ISNUMBER(SEARCH(Classifiers!$C$5,E257)),1,0))+IF(Classifiers!$D$5="",0,IF(ISNUMBER(SEARCH(Classifiers!$D$5,E257)),1,0))+IF(Classifiers!$E$5="",0,IF(ISNUMBER(SEARCH(Classifiers!$E$5,E257)),1,0))+IF(Classifiers!$F$5="",0,IF(ISNUMBER(SEARCH(Classifiers!$F$5,E257)),1,0))+IF(Classifiers!$G$5="",0,IF(ISNUMBER(SEARCH(Classifiers!$G$5,E257)),1,0)))&gt;0,1,0))</f>
        <v/>
      </c>
      <c r="K257" s="12">
        <f>IF(H257&lt;&gt;1,0,IF((IF(Classifiers!$B$6="",0,IF(ISNUMBER(SEARCH(Classifiers!$B$6,E257)),1,0))+IF(Classifiers!$C$6="",0,IF(ISNUMBER(SEARCH(Classifiers!$C$6,E257)),1,0))+IF(Classifiers!$D$6="",0,IF(ISNUMBER(SEARCH(Classifiers!$D$6,E257)),1,0))+IF(Classifiers!$E$6="",0,IF(ISNUMBER(SEARCH(Classifiers!$E$6,E257)),1,0))+IF(Classifiers!$F$6="",0,IF(ISNUMBER(SEARCH(Classifiers!$F$6,E257)),1,0))+IF(Classifiers!$G$6="",0,IF(ISNUMBER(SEARCH(Classifiers!$G$6,E257)),1,0)))&gt;0,1,0))</f>
        <v/>
      </c>
      <c r="L257" s="12">
        <f>IF(H257&lt;&gt;1,0,IF((IF(Classifiers!$B$7="",0,IF(ISNUMBER(SEARCH(Classifiers!$B$7,E257)),1,0))+IF(Classifiers!$C$7="",0,IF(ISNUMBER(SEARCH(Classifiers!$C$7,E257)),1,0))+IF(Classifiers!$D$7="",0,IF(ISNUMBER(SEARCH(Classifiers!$D$7,E257)),1,0))+IF(Classifiers!$E$7="",0,IF(ISNUMBER(SEARCH(Classifiers!$E$7,E257)),1,0))+IF(Classifiers!$F$7="",0,IF(ISNUMBER(SEARCH(Classifiers!$F$7,E257)),1,0))+IF(Classifiers!$G$7="",0,IF(ISNUMBER(SEARCH(Classifiers!$G$7,E257)),1,0)))&gt;0,1,0))</f>
        <v/>
      </c>
      <c r="M257" s="12">
        <f>IF(H257&lt;&gt;1,0,IF((IF(Classifiers!$B$8="",0,IF(ISNUMBER(SEARCH(Classifiers!$B$8,E257)),1,0))+IF(Classifiers!$C$8="",0,IF(ISNUMBER(SEARCH(Classifiers!$C$8,E257)),1,0))+IF(Classifiers!$D$8="",0,IF(ISNUMBER(SEARCH(Classifiers!$D$8,E257)),1,0))+IF(Classifiers!$E$8="",0,IF(ISNUMBER(SEARCH(Classifiers!$E$8,E257)),1,0))+IF(Classifiers!$F$8="",0,IF(ISNUMBER(SEARCH(Classifiers!$F$8,E257)),1,0))+IF(Classifiers!$G$8="",0,IF(ISNUMBER(SEARCH(Classifiers!$G$8,E257)),1,0)))&gt;0,1,0))</f>
        <v/>
      </c>
      <c r="N257" s="12">
        <f>IF(H257&lt;&gt;1,0,IF((IF(Classifiers!$B$9="",0,IF(ISNUMBER(SEARCH(Classifiers!$B$9,E257)),1,0))+IF(Classifiers!$C$9="",0,IF(ISNUMBER(SEARCH(Classifiers!$C$9,E257)),1,0))+IF(Classifiers!$D$9="",0,IF(ISNUMBER(SEARCH(Classifiers!$D$9,E257)),1,0))+IF(Classifiers!$E$9="",0,IF(ISNUMBER(SEARCH(Classifiers!$E$9,E257)),1,0))+IF(Classifiers!$F$9="",0,IF(ISNUMBER(SEARCH(Classifiers!$F$9,E257)),1,0))+IF(Classifiers!$G$9="",0,IF(ISNUMBER(SEARCH(Classifiers!$G$9,E257)),1,0)))&gt;0,1,0))</f>
        <v/>
      </c>
      <c r="O257" s="12">
        <f>IF(H257&lt;&gt;1,0,IF((IF(Classifiers!$B$10="",0,IF(ISNUMBER(SEARCH(Classifiers!$B$10,E257)),1,0))+IF(Classifiers!$C$10="",0,IF(ISNUMBER(SEARCH(Classifiers!$C$10,E257)),1,0))+IF(Classifiers!$D$10="",0,IF(ISNUMBER(SEARCH(Classifiers!$D$10,E257)),1,0))+IF(Classifiers!$E$10="",0,IF(ISNUMBER(SEARCH(Classifiers!$E$10,E257)),1,0))+IF(Classifiers!$F$10="",0,IF(ISNUMBER(SEARCH(Classifiers!$F$10,E257)),1,0))+IF(Classifiers!$G$10="",0,IF(ISNUMBER(SEARCH(Classifiers!$G$10,E257)),1,0)))&gt;0,1,0))</f>
        <v/>
      </c>
      <c r="P257" s="12">
        <f>IF(H257&lt;&gt;1,0,IF((IF(Classifiers!$B$11="",0,IF(ISNUMBER(SEARCH(Classifiers!$B$11,E257)),1,0))+IF(Classifiers!$C$11="",0,IF(ISNUMBER(SEARCH(Classifiers!$C$11,E257)),1,0))+IF(Classifiers!$D$11="",0,IF(ISNUMBER(SEARCH(Classifiers!$D$11,E257)),1,0))+IF(Classifiers!$E$11="",0,IF(ISNUMBER(SEARCH(Classifiers!$E$11,E257)),1,0))+IF(Classifiers!$F$11="",0,IF(ISNUMBER(SEARCH(Classifiers!$F$11,E257)),1,0))+IF(Classifiers!$G$11="",0,IF(ISNUMBER(SEARCH(Classifiers!$G$11,E257)),1,0)))&gt;0,1,0))</f>
        <v/>
      </c>
      <c r="Q257" s="12">
        <f>IF(H257&lt;&gt;1,0,IF((IF(Classifiers!$B$12="",0,IF(ISNUMBER(SEARCH(Classifiers!$B$12,E257)),1,0))+IF(Classifiers!$C$12="",0,IF(ISNUMBER(SEARCH(Classifiers!$C$12,E257)),1,0))+IF(Classifiers!$D$12="",0,IF(ISNUMBER(SEARCH(Classifiers!$D$12,E257)),1,0))+IF(Classifiers!$E$12="",0,IF(ISNUMBER(SEARCH(Classifiers!$E$12,E257)),1,0))+IF(Classifiers!$F$12="",0,IF(ISNUMBER(SEARCH(Classifiers!$F$12,E257)),1,0))+IF(Classifiers!$G$12="",0,IF(ISNUMBER(SEARCH(Classifiers!$G$12,E257)),1,0)))&gt;0,1,0))</f>
        <v/>
      </c>
      <c r="R257" s="12">
        <f>IF(H257&lt;&gt;1,0,IF((IF(Classifiers!$B$13="",0,IF(ISNUMBER(SEARCH(Classifiers!$B$13,E257)),1,0))+IF(Classifiers!$C$13="",0,IF(ISNUMBER(SEARCH(Classifiers!$C$13,E257)),1,0))+IF(Classifiers!$D$13="",0,IF(ISNUMBER(SEARCH(Classifiers!$D$13,E257)),1,0))+IF(Classifiers!$E$13="",0,IF(ISNUMBER(SEARCH(Classifiers!$E$13,E257)),1,0))+IF(Classifiers!$F$13="",0,IF(ISNUMBER(SEARCH(Classifiers!$F$13,E257)),1,0))+IF(Classifiers!$G$13="",0,IF(ISNUMBER(SEARCH(Classifiers!$G$13,E257)),1,0)))&gt;0,1,0))</f>
        <v/>
      </c>
      <c r="S257" s="12">
        <f>IF(H257&lt;&gt;1,0,IF((IF(Classifiers!$B$14="",0,IF(ISNUMBER(SEARCH(Classifiers!$B$14,E257)),1,0))+IF(Classifiers!$C$14="",0,IF(ISNUMBER(SEARCH(Classifiers!$C$14,E257)),1,0))+IF(Classifiers!$D$14="",0,IF(ISNUMBER(SEARCH(Classifiers!$D$14,E257)),1,0))+IF(Classifiers!$E$14="",0,IF(ISNUMBER(SEARCH(Classifiers!$E$14,E257)),1,0))+IF(Classifiers!$F$14="",0,IF(ISNUMBER(SEARCH(Classifiers!$F$14,E257)),1,0))+IF(Classifiers!$G$14="",0,IF(ISNUMBER(SEARCH(Classifiers!$G$14,E257)),1,0)))&gt;0,1,0))</f>
        <v/>
      </c>
      <c r="T257" s="12">
        <f>IF(H257&lt;&gt;1,0,IF((IF(Classifiers!$B$15="",0,IF(ISNUMBER(SEARCH(Classifiers!$B$15,E257)),1,0))+IF(Classifiers!$C$15="",0,IF(ISNUMBER(SEARCH(Classifiers!$C$15,E257)),1,0))+IF(Classifiers!$D$15="",0,IF(ISNUMBER(SEARCH(Classifiers!$D$15,E257)),1,0))+IF(Classifiers!$E$15="",0,IF(ISNUMBER(SEARCH(Classifiers!$E$15,E257)),1,0))+IF(Classifiers!$F$15="",0,IF(ISNUMBER(SEARCH(Classifiers!$F$15,E257)),1,0))+IF(Classifiers!$G$15="",0,IF(ISNUMBER(SEARCH(Classifiers!$G$15,E257)),1,0)))&gt;0,1,0))</f>
        <v/>
      </c>
      <c r="U257" s="12">
        <f>IF(H257&lt;&gt;1,0,IF((IF(Classifiers!$B$16="",0,IF(ISNUMBER(SEARCH(Classifiers!$B$16,E257)),1,0))+IF(Classifiers!$C$16="",0,IF(ISNUMBER(SEARCH(Classifiers!$C$16,E257)),1,0))+IF(Classifiers!$D$16="",0,IF(ISNUMBER(SEARCH(Classifiers!$D$16,E257)),1,0))+IF(Classifiers!$E$16="",0,IF(ISNUMBER(SEARCH(Classifiers!$E$16,E257)),1,0))+IF(Classifiers!$F$16="",0,IF(ISNUMBER(SEARCH(Classifiers!$F$16,E257)),1,0))+IF(Classifiers!$G$16="",0,IF(ISNUMBER(SEARCH(Classifiers!$G$16,E257)),1,0)))&gt;0,1,0))</f>
        <v/>
      </c>
      <c r="V257" s="12">
        <f>IF(H257&lt;&gt;1,0,IF((IF(Classifiers!$B$17="",0,IF(ISNUMBER(SEARCH(Classifiers!$B$17,E257)),1,0))+IF(Classifiers!$C$17="",0,IF(ISNUMBER(SEARCH(Classifiers!$C$17,E257)),1,0))+IF(Classifiers!$D$17="",0,IF(ISNUMBER(SEARCH(Classifiers!$D$17,E257)),1,0))+IF(Classifiers!$E$17="",0,IF(ISNUMBER(SEARCH(Classifiers!$E$17,E257)),1,0))+IF(Classifiers!$F$17="",0,IF(ISNUMBER(SEARCH(Classifiers!$F$17,E257)),1,0))+IF(Classifiers!$G$17="",0,IF(ISNUMBER(SEARCH(Classifiers!$G$17,E257)),1,0)))&gt;0,1,0))</f>
        <v/>
      </c>
      <c r="W257" s="12">
        <f>IF(H257&lt;&gt;1,0,IF((IF(Classifiers!$B$18="",0,IF(ISNUMBER(SEARCH(Classifiers!$B$18,E257)),1,0))+IF(Classifiers!$C$18="",0,IF(ISNUMBER(SEARCH(Classifiers!$C$18,E257)),1,0))+IF(Classifiers!$D$18="",0,IF(ISNUMBER(SEARCH(Classifiers!$D$18,E257)),1,0))+IF(Classifiers!$E$18="",0,IF(ISNUMBER(SEARCH(Classifiers!$E$18,E257)),1,0))+IF(Classifiers!$F$18="",0,IF(ISNUMBER(SEARCH(Classifiers!$F$18,E257)),1,0))+IF(Classifiers!$G$18="",0,IF(ISNUMBER(SEARCH(Classifiers!$G$18,E257)),1,0)))&gt;0,1,0))</f>
        <v/>
      </c>
    </row>
    <row r="258">
      <c r="A258" s="8" t="n"/>
      <c r="B258" s="11" t="n"/>
      <c r="C258" s="6">
        <f>IF(A258="","",TRIM(RIGHT(SUBSTITUTE(A258,"/",REPT(" ",250)),250)))</f>
        <v/>
      </c>
      <c r="D258" s="6">
        <f>IF(C258="","",IF(ISNUMBER(SEARCH(".",C258)),LOWER("."&amp;TRIM(RIGHT(SUBSTITUTE(C258,".",REPT(" ",250)),250))),""))</f>
        <v/>
      </c>
      <c r="E258" s="6">
        <f>IF(C258="","",TRIM(SUBSTITUTE(SUBSTITUTE(SUBSTITUTE(SUBSTITUTE(SUBSTITUTE(SUBSTITUTE(SUBSTITUTE(SUBSTITUTE(SUBSTITUTE(SUBSTITUTE(SUBSTITUTE(SUBSTITUTE(SUBSTITUTE(SUBSTITUTE(SUBSTITUTE(SUBSTITUTE(SUBSTITUTE(SUBSTITUTE(SUBSTITUTE(SUBSTITUTE(LOWER(LEFT(C258,LEN(C258)-LEN(D258))),"_"," "),"-"," "),"."," "),","," "),"("," "),")"," "),"["," "),"]"," "),"&amp;"," "),"+"," "),"@"," "),"#"," "),"!"," "),"'"," "),"/"," "),":"," "),";"," "),"="," "),"~"," "),"%"," ")))</f>
        <v/>
      </c>
      <c r="F258" s="6">
        <f>IF(C258="","",IF(COUNTIF(Classifiers!$A$23:$A$40,D258)&gt;0,1,0))</f>
        <v/>
      </c>
      <c r="G258" s="6">
        <f>IF(C258="","",IF(COUNTIF(Classifiers!$C$23:$C$30,D258)&gt;0,IF((IF(ISNUMBER(SEARCH(Classifiers!$E$23,E258)),1,0)+IF(ISNUMBER(SEARCH(Classifiers!$E$24,E258)),1,0)+IF(ISNUMBER(SEARCH(Classifiers!$E$25,E258)),1,0)+IF(ISNUMBER(SEARCH(Classifiers!$E$26,E258)),1,0)+IF(ISNUMBER(SEARCH(Classifiers!$E$27,E258)),1,0)+IF(ISNUMBER(SEARCH(Classifiers!$E$28,E258)),1,0)+IF(ISNUMBER(SEARCH(Classifiers!$E$29,E258)),1,0)+IF(ISNUMBER(SEARCH(Classifiers!$E$30,E258)),1,0))&gt;0,1,0),0))</f>
        <v/>
      </c>
      <c r="H258" s="6">
        <f>IF(C258="","",IF(OR(LEFT(C258,1)=".",AND(F258=0,G258=0)),0,1))</f>
        <v/>
      </c>
      <c r="I258" s="6">
        <f>IF(H258&lt;&gt;1,"",IF(SUM(J258:W258)=0,"unclassified",INDEX(Classifiers!$A$5:$A$18,MATCH(1,J258:W258,0),1)))</f>
        <v/>
      </c>
      <c r="J258" s="12">
        <f>IF(H258&lt;&gt;1,0,IF((IF(Classifiers!$B$5="",0,IF(ISNUMBER(SEARCH(Classifiers!$B$5,E258)),1,0))+IF(Classifiers!$C$5="",0,IF(ISNUMBER(SEARCH(Classifiers!$C$5,E258)),1,0))+IF(Classifiers!$D$5="",0,IF(ISNUMBER(SEARCH(Classifiers!$D$5,E258)),1,0))+IF(Classifiers!$E$5="",0,IF(ISNUMBER(SEARCH(Classifiers!$E$5,E258)),1,0))+IF(Classifiers!$F$5="",0,IF(ISNUMBER(SEARCH(Classifiers!$F$5,E258)),1,0))+IF(Classifiers!$G$5="",0,IF(ISNUMBER(SEARCH(Classifiers!$G$5,E258)),1,0)))&gt;0,1,0))</f>
        <v/>
      </c>
      <c r="K258" s="12">
        <f>IF(H258&lt;&gt;1,0,IF((IF(Classifiers!$B$6="",0,IF(ISNUMBER(SEARCH(Classifiers!$B$6,E258)),1,0))+IF(Classifiers!$C$6="",0,IF(ISNUMBER(SEARCH(Classifiers!$C$6,E258)),1,0))+IF(Classifiers!$D$6="",0,IF(ISNUMBER(SEARCH(Classifiers!$D$6,E258)),1,0))+IF(Classifiers!$E$6="",0,IF(ISNUMBER(SEARCH(Classifiers!$E$6,E258)),1,0))+IF(Classifiers!$F$6="",0,IF(ISNUMBER(SEARCH(Classifiers!$F$6,E258)),1,0))+IF(Classifiers!$G$6="",0,IF(ISNUMBER(SEARCH(Classifiers!$G$6,E258)),1,0)))&gt;0,1,0))</f>
        <v/>
      </c>
      <c r="L258" s="12">
        <f>IF(H258&lt;&gt;1,0,IF((IF(Classifiers!$B$7="",0,IF(ISNUMBER(SEARCH(Classifiers!$B$7,E258)),1,0))+IF(Classifiers!$C$7="",0,IF(ISNUMBER(SEARCH(Classifiers!$C$7,E258)),1,0))+IF(Classifiers!$D$7="",0,IF(ISNUMBER(SEARCH(Classifiers!$D$7,E258)),1,0))+IF(Classifiers!$E$7="",0,IF(ISNUMBER(SEARCH(Classifiers!$E$7,E258)),1,0))+IF(Classifiers!$F$7="",0,IF(ISNUMBER(SEARCH(Classifiers!$F$7,E258)),1,0))+IF(Classifiers!$G$7="",0,IF(ISNUMBER(SEARCH(Classifiers!$G$7,E258)),1,0)))&gt;0,1,0))</f>
        <v/>
      </c>
      <c r="M258" s="12">
        <f>IF(H258&lt;&gt;1,0,IF((IF(Classifiers!$B$8="",0,IF(ISNUMBER(SEARCH(Classifiers!$B$8,E258)),1,0))+IF(Classifiers!$C$8="",0,IF(ISNUMBER(SEARCH(Classifiers!$C$8,E258)),1,0))+IF(Classifiers!$D$8="",0,IF(ISNUMBER(SEARCH(Classifiers!$D$8,E258)),1,0))+IF(Classifiers!$E$8="",0,IF(ISNUMBER(SEARCH(Classifiers!$E$8,E258)),1,0))+IF(Classifiers!$F$8="",0,IF(ISNUMBER(SEARCH(Classifiers!$F$8,E258)),1,0))+IF(Classifiers!$G$8="",0,IF(ISNUMBER(SEARCH(Classifiers!$G$8,E258)),1,0)))&gt;0,1,0))</f>
        <v/>
      </c>
      <c r="N258" s="12">
        <f>IF(H258&lt;&gt;1,0,IF((IF(Classifiers!$B$9="",0,IF(ISNUMBER(SEARCH(Classifiers!$B$9,E258)),1,0))+IF(Classifiers!$C$9="",0,IF(ISNUMBER(SEARCH(Classifiers!$C$9,E258)),1,0))+IF(Classifiers!$D$9="",0,IF(ISNUMBER(SEARCH(Classifiers!$D$9,E258)),1,0))+IF(Classifiers!$E$9="",0,IF(ISNUMBER(SEARCH(Classifiers!$E$9,E258)),1,0))+IF(Classifiers!$F$9="",0,IF(ISNUMBER(SEARCH(Classifiers!$F$9,E258)),1,0))+IF(Classifiers!$G$9="",0,IF(ISNUMBER(SEARCH(Classifiers!$G$9,E258)),1,0)))&gt;0,1,0))</f>
        <v/>
      </c>
      <c r="O258" s="12">
        <f>IF(H258&lt;&gt;1,0,IF((IF(Classifiers!$B$10="",0,IF(ISNUMBER(SEARCH(Classifiers!$B$10,E258)),1,0))+IF(Classifiers!$C$10="",0,IF(ISNUMBER(SEARCH(Classifiers!$C$10,E258)),1,0))+IF(Classifiers!$D$10="",0,IF(ISNUMBER(SEARCH(Classifiers!$D$10,E258)),1,0))+IF(Classifiers!$E$10="",0,IF(ISNUMBER(SEARCH(Classifiers!$E$10,E258)),1,0))+IF(Classifiers!$F$10="",0,IF(ISNUMBER(SEARCH(Classifiers!$F$10,E258)),1,0))+IF(Classifiers!$G$10="",0,IF(ISNUMBER(SEARCH(Classifiers!$G$10,E258)),1,0)))&gt;0,1,0))</f>
        <v/>
      </c>
      <c r="P258" s="12">
        <f>IF(H258&lt;&gt;1,0,IF((IF(Classifiers!$B$11="",0,IF(ISNUMBER(SEARCH(Classifiers!$B$11,E258)),1,0))+IF(Classifiers!$C$11="",0,IF(ISNUMBER(SEARCH(Classifiers!$C$11,E258)),1,0))+IF(Classifiers!$D$11="",0,IF(ISNUMBER(SEARCH(Classifiers!$D$11,E258)),1,0))+IF(Classifiers!$E$11="",0,IF(ISNUMBER(SEARCH(Classifiers!$E$11,E258)),1,0))+IF(Classifiers!$F$11="",0,IF(ISNUMBER(SEARCH(Classifiers!$F$11,E258)),1,0))+IF(Classifiers!$G$11="",0,IF(ISNUMBER(SEARCH(Classifiers!$G$11,E258)),1,0)))&gt;0,1,0))</f>
        <v/>
      </c>
      <c r="Q258" s="12">
        <f>IF(H258&lt;&gt;1,0,IF((IF(Classifiers!$B$12="",0,IF(ISNUMBER(SEARCH(Classifiers!$B$12,E258)),1,0))+IF(Classifiers!$C$12="",0,IF(ISNUMBER(SEARCH(Classifiers!$C$12,E258)),1,0))+IF(Classifiers!$D$12="",0,IF(ISNUMBER(SEARCH(Classifiers!$D$12,E258)),1,0))+IF(Classifiers!$E$12="",0,IF(ISNUMBER(SEARCH(Classifiers!$E$12,E258)),1,0))+IF(Classifiers!$F$12="",0,IF(ISNUMBER(SEARCH(Classifiers!$F$12,E258)),1,0))+IF(Classifiers!$G$12="",0,IF(ISNUMBER(SEARCH(Classifiers!$G$12,E258)),1,0)))&gt;0,1,0))</f>
        <v/>
      </c>
      <c r="R258" s="12">
        <f>IF(H258&lt;&gt;1,0,IF((IF(Classifiers!$B$13="",0,IF(ISNUMBER(SEARCH(Classifiers!$B$13,E258)),1,0))+IF(Classifiers!$C$13="",0,IF(ISNUMBER(SEARCH(Classifiers!$C$13,E258)),1,0))+IF(Classifiers!$D$13="",0,IF(ISNUMBER(SEARCH(Classifiers!$D$13,E258)),1,0))+IF(Classifiers!$E$13="",0,IF(ISNUMBER(SEARCH(Classifiers!$E$13,E258)),1,0))+IF(Classifiers!$F$13="",0,IF(ISNUMBER(SEARCH(Classifiers!$F$13,E258)),1,0))+IF(Classifiers!$G$13="",0,IF(ISNUMBER(SEARCH(Classifiers!$G$13,E258)),1,0)))&gt;0,1,0))</f>
        <v/>
      </c>
      <c r="S258" s="12">
        <f>IF(H258&lt;&gt;1,0,IF((IF(Classifiers!$B$14="",0,IF(ISNUMBER(SEARCH(Classifiers!$B$14,E258)),1,0))+IF(Classifiers!$C$14="",0,IF(ISNUMBER(SEARCH(Classifiers!$C$14,E258)),1,0))+IF(Classifiers!$D$14="",0,IF(ISNUMBER(SEARCH(Classifiers!$D$14,E258)),1,0))+IF(Classifiers!$E$14="",0,IF(ISNUMBER(SEARCH(Classifiers!$E$14,E258)),1,0))+IF(Classifiers!$F$14="",0,IF(ISNUMBER(SEARCH(Classifiers!$F$14,E258)),1,0))+IF(Classifiers!$G$14="",0,IF(ISNUMBER(SEARCH(Classifiers!$G$14,E258)),1,0)))&gt;0,1,0))</f>
        <v/>
      </c>
      <c r="T258" s="12">
        <f>IF(H258&lt;&gt;1,0,IF((IF(Classifiers!$B$15="",0,IF(ISNUMBER(SEARCH(Classifiers!$B$15,E258)),1,0))+IF(Classifiers!$C$15="",0,IF(ISNUMBER(SEARCH(Classifiers!$C$15,E258)),1,0))+IF(Classifiers!$D$15="",0,IF(ISNUMBER(SEARCH(Classifiers!$D$15,E258)),1,0))+IF(Classifiers!$E$15="",0,IF(ISNUMBER(SEARCH(Classifiers!$E$15,E258)),1,0))+IF(Classifiers!$F$15="",0,IF(ISNUMBER(SEARCH(Classifiers!$F$15,E258)),1,0))+IF(Classifiers!$G$15="",0,IF(ISNUMBER(SEARCH(Classifiers!$G$15,E258)),1,0)))&gt;0,1,0))</f>
        <v/>
      </c>
      <c r="U258" s="12">
        <f>IF(H258&lt;&gt;1,0,IF((IF(Classifiers!$B$16="",0,IF(ISNUMBER(SEARCH(Classifiers!$B$16,E258)),1,0))+IF(Classifiers!$C$16="",0,IF(ISNUMBER(SEARCH(Classifiers!$C$16,E258)),1,0))+IF(Classifiers!$D$16="",0,IF(ISNUMBER(SEARCH(Classifiers!$D$16,E258)),1,0))+IF(Classifiers!$E$16="",0,IF(ISNUMBER(SEARCH(Classifiers!$E$16,E258)),1,0))+IF(Classifiers!$F$16="",0,IF(ISNUMBER(SEARCH(Classifiers!$F$16,E258)),1,0))+IF(Classifiers!$G$16="",0,IF(ISNUMBER(SEARCH(Classifiers!$G$16,E258)),1,0)))&gt;0,1,0))</f>
        <v/>
      </c>
      <c r="V258" s="12">
        <f>IF(H258&lt;&gt;1,0,IF((IF(Classifiers!$B$17="",0,IF(ISNUMBER(SEARCH(Classifiers!$B$17,E258)),1,0))+IF(Classifiers!$C$17="",0,IF(ISNUMBER(SEARCH(Classifiers!$C$17,E258)),1,0))+IF(Classifiers!$D$17="",0,IF(ISNUMBER(SEARCH(Classifiers!$D$17,E258)),1,0))+IF(Classifiers!$E$17="",0,IF(ISNUMBER(SEARCH(Classifiers!$E$17,E258)),1,0))+IF(Classifiers!$F$17="",0,IF(ISNUMBER(SEARCH(Classifiers!$F$17,E258)),1,0))+IF(Classifiers!$G$17="",0,IF(ISNUMBER(SEARCH(Classifiers!$G$17,E258)),1,0)))&gt;0,1,0))</f>
        <v/>
      </c>
      <c r="W258" s="12">
        <f>IF(H258&lt;&gt;1,0,IF((IF(Classifiers!$B$18="",0,IF(ISNUMBER(SEARCH(Classifiers!$B$18,E258)),1,0))+IF(Classifiers!$C$18="",0,IF(ISNUMBER(SEARCH(Classifiers!$C$18,E258)),1,0))+IF(Classifiers!$D$18="",0,IF(ISNUMBER(SEARCH(Classifiers!$D$18,E258)),1,0))+IF(Classifiers!$E$18="",0,IF(ISNUMBER(SEARCH(Classifiers!$E$18,E258)),1,0))+IF(Classifiers!$F$18="",0,IF(ISNUMBER(SEARCH(Classifiers!$F$18,E258)),1,0))+IF(Classifiers!$G$18="",0,IF(ISNUMBER(SEARCH(Classifiers!$G$18,E258)),1,0)))&gt;0,1,0))</f>
        <v/>
      </c>
    </row>
    <row r="259">
      <c r="A259" s="8" t="n"/>
      <c r="B259" s="11" t="n"/>
      <c r="C259" s="6">
        <f>IF(A259="","",TRIM(RIGHT(SUBSTITUTE(A259,"/",REPT(" ",250)),250)))</f>
        <v/>
      </c>
      <c r="D259" s="6">
        <f>IF(C259="","",IF(ISNUMBER(SEARCH(".",C259)),LOWER("."&amp;TRIM(RIGHT(SUBSTITUTE(C259,".",REPT(" ",250)),250))),""))</f>
        <v/>
      </c>
      <c r="E259" s="6">
        <f>IF(C259="","",TRIM(SUBSTITUTE(SUBSTITUTE(SUBSTITUTE(SUBSTITUTE(SUBSTITUTE(SUBSTITUTE(SUBSTITUTE(SUBSTITUTE(SUBSTITUTE(SUBSTITUTE(SUBSTITUTE(SUBSTITUTE(SUBSTITUTE(SUBSTITUTE(SUBSTITUTE(SUBSTITUTE(SUBSTITUTE(SUBSTITUTE(SUBSTITUTE(SUBSTITUTE(LOWER(LEFT(C259,LEN(C259)-LEN(D259))),"_"," "),"-"," "),"."," "),","," "),"("," "),")"," "),"["," "),"]"," "),"&amp;"," "),"+"," "),"@"," "),"#"," "),"!"," "),"'"," "),"/"," "),":"," "),";"," "),"="," "),"~"," "),"%"," ")))</f>
        <v/>
      </c>
      <c r="F259" s="6">
        <f>IF(C259="","",IF(COUNTIF(Classifiers!$A$23:$A$40,D259)&gt;0,1,0))</f>
        <v/>
      </c>
      <c r="G259" s="6">
        <f>IF(C259="","",IF(COUNTIF(Classifiers!$C$23:$C$30,D259)&gt;0,IF((IF(ISNUMBER(SEARCH(Classifiers!$E$23,E259)),1,0)+IF(ISNUMBER(SEARCH(Classifiers!$E$24,E259)),1,0)+IF(ISNUMBER(SEARCH(Classifiers!$E$25,E259)),1,0)+IF(ISNUMBER(SEARCH(Classifiers!$E$26,E259)),1,0)+IF(ISNUMBER(SEARCH(Classifiers!$E$27,E259)),1,0)+IF(ISNUMBER(SEARCH(Classifiers!$E$28,E259)),1,0)+IF(ISNUMBER(SEARCH(Classifiers!$E$29,E259)),1,0)+IF(ISNUMBER(SEARCH(Classifiers!$E$30,E259)),1,0))&gt;0,1,0),0))</f>
        <v/>
      </c>
      <c r="H259" s="6">
        <f>IF(C259="","",IF(OR(LEFT(C259,1)=".",AND(F259=0,G259=0)),0,1))</f>
        <v/>
      </c>
      <c r="I259" s="6">
        <f>IF(H259&lt;&gt;1,"",IF(SUM(J259:W259)=0,"unclassified",INDEX(Classifiers!$A$5:$A$18,MATCH(1,J259:W259,0),1)))</f>
        <v/>
      </c>
      <c r="J259" s="12">
        <f>IF(H259&lt;&gt;1,0,IF((IF(Classifiers!$B$5="",0,IF(ISNUMBER(SEARCH(Classifiers!$B$5,E259)),1,0))+IF(Classifiers!$C$5="",0,IF(ISNUMBER(SEARCH(Classifiers!$C$5,E259)),1,0))+IF(Classifiers!$D$5="",0,IF(ISNUMBER(SEARCH(Classifiers!$D$5,E259)),1,0))+IF(Classifiers!$E$5="",0,IF(ISNUMBER(SEARCH(Classifiers!$E$5,E259)),1,0))+IF(Classifiers!$F$5="",0,IF(ISNUMBER(SEARCH(Classifiers!$F$5,E259)),1,0))+IF(Classifiers!$G$5="",0,IF(ISNUMBER(SEARCH(Classifiers!$G$5,E259)),1,0)))&gt;0,1,0))</f>
        <v/>
      </c>
      <c r="K259" s="12">
        <f>IF(H259&lt;&gt;1,0,IF((IF(Classifiers!$B$6="",0,IF(ISNUMBER(SEARCH(Classifiers!$B$6,E259)),1,0))+IF(Classifiers!$C$6="",0,IF(ISNUMBER(SEARCH(Classifiers!$C$6,E259)),1,0))+IF(Classifiers!$D$6="",0,IF(ISNUMBER(SEARCH(Classifiers!$D$6,E259)),1,0))+IF(Classifiers!$E$6="",0,IF(ISNUMBER(SEARCH(Classifiers!$E$6,E259)),1,0))+IF(Classifiers!$F$6="",0,IF(ISNUMBER(SEARCH(Classifiers!$F$6,E259)),1,0))+IF(Classifiers!$G$6="",0,IF(ISNUMBER(SEARCH(Classifiers!$G$6,E259)),1,0)))&gt;0,1,0))</f>
        <v/>
      </c>
      <c r="L259" s="12">
        <f>IF(H259&lt;&gt;1,0,IF((IF(Classifiers!$B$7="",0,IF(ISNUMBER(SEARCH(Classifiers!$B$7,E259)),1,0))+IF(Classifiers!$C$7="",0,IF(ISNUMBER(SEARCH(Classifiers!$C$7,E259)),1,0))+IF(Classifiers!$D$7="",0,IF(ISNUMBER(SEARCH(Classifiers!$D$7,E259)),1,0))+IF(Classifiers!$E$7="",0,IF(ISNUMBER(SEARCH(Classifiers!$E$7,E259)),1,0))+IF(Classifiers!$F$7="",0,IF(ISNUMBER(SEARCH(Classifiers!$F$7,E259)),1,0))+IF(Classifiers!$G$7="",0,IF(ISNUMBER(SEARCH(Classifiers!$G$7,E259)),1,0)))&gt;0,1,0))</f>
        <v/>
      </c>
      <c r="M259" s="12">
        <f>IF(H259&lt;&gt;1,0,IF((IF(Classifiers!$B$8="",0,IF(ISNUMBER(SEARCH(Classifiers!$B$8,E259)),1,0))+IF(Classifiers!$C$8="",0,IF(ISNUMBER(SEARCH(Classifiers!$C$8,E259)),1,0))+IF(Classifiers!$D$8="",0,IF(ISNUMBER(SEARCH(Classifiers!$D$8,E259)),1,0))+IF(Classifiers!$E$8="",0,IF(ISNUMBER(SEARCH(Classifiers!$E$8,E259)),1,0))+IF(Classifiers!$F$8="",0,IF(ISNUMBER(SEARCH(Classifiers!$F$8,E259)),1,0))+IF(Classifiers!$G$8="",0,IF(ISNUMBER(SEARCH(Classifiers!$G$8,E259)),1,0)))&gt;0,1,0))</f>
        <v/>
      </c>
      <c r="N259" s="12">
        <f>IF(H259&lt;&gt;1,0,IF((IF(Classifiers!$B$9="",0,IF(ISNUMBER(SEARCH(Classifiers!$B$9,E259)),1,0))+IF(Classifiers!$C$9="",0,IF(ISNUMBER(SEARCH(Classifiers!$C$9,E259)),1,0))+IF(Classifiers!$D$9="",0,IF(ISNUMBER(SEARCH(Classifiers!$D$9,E259)),1,0))+IF(Classifiers!$E$9="",0,IF(ISNUMBER(SEARCH(Classifiers!$E$9,E259)),1,0))+IF(Classifiers!$F$9="",0,IF(ISNUMBER(SEARCH(Classifiers!$F$9,E259)),1,0))+IF(Classifiers!$G$9="",0,IF(ISNUMBER(SEARCH(Classifiers!$G$9,E259)),1,0)))&gt;0,1,0))</f>
        <v/>
      </c>
      <c r="O259" s="12">
        <f>IF(H259&lt;&gt;1,0,IF((IF(Classifiers!$B$10="",0,IF(ISNUMBER(SEARCH(Classifiers!$B$10,E259)),1,0))+IF(Classifiers!$C$10="",0,IF(ISNUMBER(SEARCH(Classifiers!$C$10,E259)),1,0))+IF(Classifiers!$D$10="",0,IF(ISNUMBER(SEARCH(Classifiers!$D$10,E259)),1,0))+IF(Classifiers!$E$10="",0,IF(ISNUMBER(SEARCH(Classifiers!$E$10,E259)),1,0))+IF(Classifiers!$F$10="",0,IF(ISNUMBER(SEARCH(Classifiers!$F$10,E259)),1,0))+IF(Classifiers!$G$10="",0,IF(ISNUMBER(SEARCH(Classifiers!$G$10,E259)),1,0)))&gt;0,1,0))</f>
        <v/>
      </c>
      <c r="P259" s="12">
        <f>IF(H259&lt;&gt;1,0,IF((IF(Classifiers!$B$11="",0,IF(ISNUMBER(SEARCH(Classifiers!$B$11,E259)),1,0))+IF(Classifiers!$C$11="",0,IF(ISNUMBER(SEARCH(Classifiers!$C$11,E259)),1,0))+IF(Classifiers!$D$11="",0,IF(ISNUMBER(SEARCH(Classifiers!$D$11,E259)),1,0))+IF(Classifiers!$E$11="",0,IF(ISNUMBER(SEARCH(Classifiers!$E$11,E259)),1,0))+IF(Classifiers!$F$11="",0,IF(ISNUMBER(SEARCH(Classifiers!$F$11,E259)),1,0))+IF(Classifiers!$G$11="",0,IF(ISNUMBER(SEARCH(Classifiers!$G$11,E259)),1,0)))&gt;0,1,0))</f>
        <v/>
      </c>
      <c r="Q259" s="12">
        <f>IF(H259&lt;&gt;1,0,IF((IF(Classifiers!$B$12="",0,IF(ISNUMBER(SEARCH(Classifiers!$B$12,E259)),1,0))+IF(Classifiers!$C$12="",0,IF(ISNUMBER(SEARCH(Classifiers!$C$12,E259)),1,0))+IF(Classifiers!$D$12="",0,IF(ISNUMBER(SEARCH(Classifiers!$D$12,E259)),1,0))+IF(Classifiers!$E$12="",0,IF(ISNUMBER(SEARCH(Classifiers!$E$12,E259)),1,0))+IF(Classifiers!$F$12="",0,IF(ISNUMBER(SEARCH(Classifiers!$F$12,E259)),1,0))+IF(Classifiers!$G$12="",0,IF(ISNUMBER(SEARCH(Classifiers!$G$12,E259)),1,0)))&gt;0,1,0))</f>
        <v/>
      </c>
      <c r="R259" s="12">
        <f>IF(H259&lt;&gt;1,0,IF((IF(Classifiers!$B$13="",0,IF(ISNUMBER(SEARCH(Classifiers!$B$13,E259)),1,0))+IF(Classifiers!$C$13="",0,IF(ISNUMBER(SEARCH(Classifiers!$C$13,E259)),1,0))+IF(Classifiers!$D$13="",0,IF(ISNUMBER(SEARCH(Classifiers!$D$13,E259)),1,0))+IF(Classifiers!$E$13="",0,IF(ISNUMBER(SEARCH(Classifiers!$E$13,E259)),1,0))+IF(Classifiers!$F$13="",0,IF(ISNUMBER(SEARCH(Classifiers!$F$13,E259)),1,0))+IF(Classifiers!$G$13="",0,IF(ISNUMBER(SEARCH(Classifiers!$G$13,E259)),1,0)))&gt;0,1,0))</f>
        <v/>
      </c>
      <c r="S259" s="12">
        <f>IF(H259&lt;&gt;1,0,IF((IF(Classifiers!$B$14="",0,IF(ISNUMBER(SEARCH(Classifiers!$B$14,E259)),1,0))+IF(Classifiers!$C$14="",0,IF(ISNUMBER(SEARCH(Classifiers!$C$14,E259)),1,0))+IF(Classifiers!$D$14="",0,IF(ISNUMBER(SEARCH(Classifiers!$D$14,E259)),1,0))+IF(Classifiers!$E$14="",0,IF(ISNUMBER(SEARCH(Classifiers!$E$14,E259)),1,0))+IF(Classifiers!$F$14="",0,IF(ISNUMBER(SEARCH(Classifiers!$F$14,E259)),1,0))+IF(Classifiers!$G$14="",0,IF(ISNUMBER(SEARCH(Classifiers!$G$14,E259)),1,0)))&gt;0,1,0))</f>
        <v/>
      </c>
      <c r="T259" s="12">
        <f>IF(H259&lt;&gt;1,0,IF((IF(Classifiers!$B$15="",0,IF(ISNUMBER(SEARCH(Classifiers!$B$15,E259)),1,0))+IF(Classifiers!$C$15="",0,IF(ISNUMBER(SEARCH(Classifiers!$C$15,E259)),1,0))+IF(Classifiers!$D$15="",0,IF(ISNUMBER(SEARCH(Classifiers!$D$15,E259)),1,0))+IF(Classifiers!$E$15="",0,IF(ISNUMBER(SEARCH(Classifiers!$E$15,E259)),1,0))+IF(Classifiers!$F$15="",0,IF(ISNUMBER(SEARCH(Classifiers!$F$15,E259)),1,0))+IF(Classifiers!$G$15="",0,IF(ISNUMBER(SEARCH(Classifiers!$G$15,E259)),1,0)))&gt;0,1,0))</f>
        <v/>
      </c>
      <c r="U259" s="12">
        <f>IF(H259&lt;&gt;1,0,IF((IF(Classifiers!$B$16="",0,IF(ISNUMBER(SEARCH(Classifiers!$B$16,E259)),1,0))+IF(Classifiers!$C$16="",0,IF(ISNUMBER(SEARCH(Classifiers!$C$16,E259)),1,0))+IF(Classifiers!$D$16="",0,IF(ISNUMBER(SEARCH(Classifiers!$D$16,E259)),1,0))+IF(Classifiers!$E$16="",0,IF(ISNUMBER(SEARCH(Classifiers!$E$16,E259)),1,0))+IF(Classifiers!$F$16="",0,IF(ISNUMBER(SEARCH(Classifiers!$F$16,E259)),1,0))+IF(Classifiers!$G$16="",0,IF(ISNUMBER(SEARCH(Classifiers!$G$16,E259)),1,0)))&gt;0,1,0))</f>
        <v/>
      </c>
      <c r="V259" s="12">
        <f>IF(H259&lt;&gt;1,0,IF((IF(Classifiers!$B$17="",0,IF(ISNUMBER(SEARCH(Classifiers!$B$17,E259)),1,0))+IF(Classifiers!$C$17="",0,IF(ISNUMBER(SEARCH(Classifiers!$C$17,E259)),1,0))+IF(Classifiers!$D$17="",0,IF(ISNUMBER(SEARCH(Classifiers!$D$17,E259)),1,0))+IF(Classifiers!$E$17="",0,IF(ISNUMBER(SEARCH(Classifiers!$E$17,E259)),1,0))+IF(Classifiers!$F$17="",0,IF(ISNUMBER(SEARCH(Classifiers!$F$17,E259)),1,0))+IF(Classifiers!$G$17="",0,IF(ISNUMBER(SEARCH(Classifiers!$G$17,E259)),1,0)))&gt;0,1,0))</f>
        <v/>
      </c>
      <c r="W259" s="12">
        <f>IF(H259&lt;&gt;1,0,IF((IF(Classifiers!$B$18="",0,IF(ISNUMBER(SEARCH(Classifiers!$B$18,E259)),1,0))+IF(Classifiers!$C$18="",0,IF(ISNUMBER(SEARCH(Classifiers!$C$18,E259)),1,0))+IF(Classifiers!$D$18="",0,IF(ISNUMBER(SEARCH(Classifiers!$D$18,E259)),1,0))+IF(Classifiers!$E$18="",0,IF(ISNUMBER(SEARCH(Classifiers!$E$18,E259)),1,0))+IF(Classifiers!$F$18="",0,IF(ISNUMBER(SEARCH(Classifiers!$F$18,E259)),1,0))+IF(Classifiers!$G$18="",0,IF(ISNUMBER(SEARCH(Classifiers!$G$18,E259)),1,0)))&gt;0,1,0))</f>
        <v/>
      </c>
    </row>
    <row r="260">
      <c r="A260" s="8" t="n"/>
      <c r="B260" s="11" t="n"/>
      <c r="C260" s="6">
        <f>IF(A260="","",TRIM(RIGHT(SUBSTITUTE(A260,"/",REPT(" ",250)),250)))</f>
        <v/>
      </c>
      <c r="D260" s="6">
        <f>IF(C260="","",IF(ISNUMBER(SEARCH(".",C260)),LOWER("."&amp;TRIM(RIGHT(SUBSTITUTE(C260,".",REPT(" ",250)),250))),""))</f>
        <v/>
      </c>
      <c r="E260" s="6">
        <f>IF(C260="","",TRIM(SUBSTITUTE(SUBSTITUTE(SUBSTITUTE(SUBSTITUTE(SUBSTITUTE(SUBSTITUTE(SUBSTITUTE(SUBSTITUTE(SUBSTITUTE(SUBSTITUTE(SUBSTITUTE(SUBSTITUTE(SUBSTITUTE(SUBSTITUTE(SUBSTITUTE(SUBSTITUTE(SUBSTITUTE(SUBSTITUTE(SUBSTITUTE(SUBSTITUTE(LOWER(LEFT(C260,LEN(C260)-LEN(D260))),"_"," "),"-"," "),"."," "),","," "),"("," "),")"," "),"["," "),"]"," "),"&amp;"," "),"+"," "),"@"," "),"#"," "),"!"," "),"'"," "),"/"," "),":"," "),";"," "),"="," "),"~"," "),"%"," ")))</f>
        <v/>
      </c>
      <c r="F260" s="6">
        <f>IF(C260="","",IF(COUNTIF(Classifiers!$A$23:$A$40,D260)&gt;0,1,0))</f>
        <v/>
      </c>
      <c r="G260" s="6">
        <f>IF(C260="","",IF(COUNTIF(Classifiers!$C$23:$C$30,D260)&gt;0,IF((IF(ISNUMBER(SEARCH(Classifiers!$E$23,E260)),1,0)+IF(ISNUMBER(SEARCH(Classifiers!$E$24,E260)),1,0)+IF(ISNUMBER(SEARCH(Classifiers!$E$25,E260)),1,0)+IF(ISNUMBER(SEARCH(Classifiers!$E$26,E260)),1,0)+IF(ISNUMBER(SEARCH(Classifiers!$E$27,E260)),1,0)+IF(ISNUMBER(SEARCH(Classifiers!$E$28,E260)),1,0)+IF(ISNUMBER(SEARCH(Classifiers!$E$29,E260)),1,0)+IF(ISNUMBER(SEARCH(Classifiers!$E$30,E260)),1,0))&gt;0,1,0),0))</f>
        <v/>
      </c>
      <c r="H260" s="6">
        <f>IF(C260="","",IF(OR(LEFT(C260,1)=".",AND(F260=0,G260=0)),0,1))</f>
        <v/>
      </c>
      <c r="I260" s="6">
        <f>IF(H260&lt;&gt;1,"",IF(SUM(J260:W260)=0,"unclassified",INDEX(Classifiers!$A$5:$A$18,MATCH(1,J260:W260,0),1)))</f>
        <v/>
      </c>
      <c r="J260" s="12">
        <f>IF(H260&lt;&gt;1,0,IF((IF(Classifiers!$B$5="",0,IF(ISNUMBER(SEARCH(Classifiers!$B$5,E260)),1,0))+IF(Classifiers!$C$5="",0,IF(ISNUMBER(SEARCH(Classifiers!$C$5,E260)),1,0))+IF(Classifiers!$D$5="",0,IF(ISNUMBER(SEARCH(Classifiers!$D$5,E260)),1,0))+IF(Classifiers!$E$5="",0,IF(ISNUMBER(SEARCH(Classifiers!$E$5,E260)),1,0))+IF(Classifiers!$F$5="",0,IF(ISNUMBER(SEARCH(Classifiers!$F$5,E260)),1,0))+IF(Classifiers!$G$5="",0,IF(ISNUMBER(SEARCH(Classifiers!$G$5,E260)),1,0)))&gt;0,1,0))</f>
        <v/>
      </c>
      <c r="K260" s="12">
        <f>IF(H260&lt;&gt;1,0,IF((IF(Classifiers!$B$6="",0,IF(ISNUMBER(SEARCH(Classifiers!$B$6,E260)),1,0))+IF(Classifiers!$C$6="",0,IF(ISNUMBER(SEARCH(Classifiers!$C$6,E260)),1,0))+IF(Classifiers!$D$6="",0,IF(ISNUMBER(SEARCH(Classifiers!$D$6,E260)),1,0))+IF(Classifiers!$E$6="",0,IF(ISNUMBER(SEARCH(Classifiers!$E$6,E260)),1,0))+IF(Classifiers!$F$6="",0,IF(ISNUMBER(SEARCH(Classifiers!$F$6,E260)),1,0))+IF(Classifiers!$G$6="",0,IF(ISNUMBER(SEARCH(Classifiers!$G$6,E260)),1,0)))&gt;0,1,0))</f>
        <v/>
      </c>
      <c r="L260" s="12">
        <f>IF(H260&lt;&gt;1,0,IF((IF(Classifiers!$B$7="",0,IF(ISNUMBER(SEARCH(Classifiers!$B$7,E260)),1,0))+IF(Classifiers!$C$7="",0,IF(ISNUMBER(SEARCH(Classifiers!$C$7,E260)),1,0))+IF(Classifiers!$D$7="",0,IF(ISNUMBER(SEARCH(Classifiers!$D$7,E260)),1,0))+IF(Classifiers!$E$7="",0,IF(ISNUMBER(SEARCH(Classifiers!$E$7,E260)),1,0))+IF(Classifiers!$F$7="",0,IF(ISNUMBER(SEARCH(Classifiers!$F$7,E260)),1,0))+IF(Classifiers!$G$7="",0,IF(ISNUMBER(SEARCH(Classifiers!$G$7,E260)),1,0)))&gt;0,1,0))</f>
        <v/>
      </c>
      <c r="M260" s="12">
        <f>IF(H260&lt;&gt;1,0,IF((IF(Classifiers!$B$8="",0,IF(ISNUMBER(SEARCH(Classifiers!$B$8,E260)),1,0))+IF(Classifiers!$C$8="",0,IF(ISNUMBER(SEARCH(Classifiers!$C$8,E260)),1,0))+IF(Classifiers!$D$8="",0,IF(ISNUMBER(SEARCH(Classifiers!$D$8,E260)),1,0))+IF(Classifiers!$E$8="",0,IF(ISNUMBER(SEARCH(Classifiers!$E$8,E260)),1,0))+IF(Classifiers!$F$8="",0,IF(ISNUMBER(SEARCH(Classifiers!$F$8,E260)),1,0))+IF(Classifiers!$G$8="",0,IF(ISNUMBER(SEARCH(Classifiers!$G$8,E260)),1,0)))&gt;0,1,0))</f>
        <v/>
      </c>
      <c r="N260" s="12">
        <f>IF(H260&lt;&gt;1,0,IF((IF(Classifiers!$B$9="",0,IF(ISNUMBER(SEARCH(Classifiers!$B$9,E260)),1,0))+IF(Classifiers!$C$9="",0,IF(ISNUMBER(SEARCH(Classifiers!$C$9,E260)),1,0))+IF(Classifiers!$D$9="",0,IF(ISNUMBER(SEARCH(Classifiers!$D$9,E260)),1,0))+IF(Classifiers!$E$9="",0,IF(ISNUMBER(SEARCH(Classifiers!$E$9,E260)),1,0))+IF(Classifiers!$F$9="",0,IF(ISNUMBER(SEARCH(Classifiers!$F$9,E260)),1,0))+IF(Classifiers!$G$9="",0,IF(ISNUMBER(SEARCH(Classifiers!$G$9,E260)),1,0)))&gt;0,1,0))</f>
        <v/>
      </c>
      <c r="O260" s="12">
        <f>IF(H260&lt;&gt;1,0,IF((IF(Classifiers!$B$10="",0,IF(ISNUMBER(SEARCH(Classifiers!$B$10,E260)),1,0))+IF(Classifiers!$C$10="",0,IF(ISNUMBER(SEARCH(Classifiers!$C$10,E260)),1,0))+IF(Classifiers!$D$10="",0,IF(ISNUMBER(SEARCH(Classifiers!$D$10,E260)),1,0))+IF(Classifiers!$E$10="",0,IF(ISNUMBER(SEARCH(Classifiers!$E$10,E260)),1,0))+IF(Classifiers!$F$10="",0,IF(ISNUMBER(SEARCH(Classifiers!$F$10,E260)),1,0))+IF(Classifiers!$G$10="",0,IF(ISNUMBER(SEARCH(Classifiers!$G$10,E260)),1,0)))&gt;0,1,0))</f>
        <v/>
      </c>
      <c r="P260" s="12">
        <f>IF(H260&lt;&gt;1,0,IF((IF(Classifiers!$B$11="",0,IF(ISNUMBER(SEARCH(Classifiers!$B$11,E260)),1,0))+IF(Classifiers!$C$11="",0,IF(ISNUMBER(SEARCH(Classifiers!$C$11,E260)),1,0))+IF(Classifiers!$D$11="",0,IF(ISNUMBER(SEARCH(Classifiers!$D$11,E260)),1,0))+IF(Classifiers!$E$11="",0,IF(ISNUMBER(SEARCH(Classifiers!$E$11,E260)),1,0))+IF(Classifiers!$F$11="",0,IF(ISNUMBER(SEARCH(Classifiers!$F$11,E260)),1,0))+IF(Classifiers!$G$11="",0,IF(ISNUMBER(SEARCH(Classifiers!$G$11,E260)),1,0)))&gt;0,1,0))</f>
        <v/>
      </c>
      <c r="Q260" s="12">
        <f>IF(H260&lt;&gt;1,0,IF((IF(Classifiers!$B$12="",0,IF(ISNUMBER(SEARCH(Classifiers!$B$12,E260)),1,0))+IF(Classifiers!$C$12="",0,IF(ISNUMBER(SEARCH(Classifiers!$C$12,E260)),1,0))+IF(Classifiers!$D$12="",0,IF(ISNUMBER(SEARCH(Classifiers!$D$12,E260)),1,0))+IF(Classifiers!$E$12="",0,IF(ISNUMBER(SEARCH(Classifiers!$E$12,E260)),1,0))+IF(Classifiers!$F$12="",0,IF(ISNUMBER(SEARCH(Classifiers!$F$12,E260)),1,0))+IF(Classifiers!$G$12="",0,IF(ISNUMBER(SEARCH(Classifiers!$G$12,E260)),1,0)))&gt;0,1,0))</f>
        <v/>
      </c>
      <c r="R260" s="12">
        <f>IF(H260&lt;&gt;1,0,IF((IF(Classifiers!$B$13="",0,IF(ISNUMBER(SEARCH(Classifiers!$B$13,E260)),1,0))+IF(Classifiers!$C$13="",0,IF(ISNUMBER(SEARCH(Classifiers!$C$13,E260)),1,0))+IF(Classifiers!$D$13="",0,IF(ISNUMBER(SEARCH(Classifiers!$D$13,E260)),1,0))+IF(Classifiers!$E$13="",0,IF(ISNUMBER(SEARCH(Classifiers!$E$13,E260)),1,0))+IF(Classifiers!$F$13="",0,IF(ISNUMBER(SEARCH(Classifiers!$F$13,E260)),1,0))+IF(Classifiers!$G$13="",0,IF(ISNUMBER(SEARCH(Classifiers!$G$13,E260)),1,0)))&gt;0,1,0))</f>
        <v/>
      </c>
      <c r="S260" s="12">
        <f>IF(H260&lt;&gt;1,0,IF((IF(Classifiers!$B$14="",0,IF(ISNUMBER(SEARCH(Classifiers!$B$14,E260)),1,0))+IF(Classifiers!$C$14="",0,IF(ISNUMBER(SEARCH(Classifiers!$C$14,E260)),1,0))+IF(Classifiers!$D$14="",0,IF(ISNUMBER(SEARCH(Classifiers!$D$14,E260)),1,0))+IF(Classifiers!$E$14="",0,IF(ISNUMBER(SEARCH(Classifiers!$E$14,E260)),1,0))+IF(Classifiers!$F$14="",0,IF(ISNUMBER(SEARCH(Classifiers!$F$14,E260)),1,0))+IF(Classifiers!$G$14="",0,IF(ISNUMBER(SEARCH(Classifiers!$G$14,E260)),1,0)))&gt;0,1,0))</f>
        <v/>
      </c>
      <c r="T260" s="12">
        <f>IF(H260&lt;&gt;1,0,IF((IF(Classifiers!$B$15="",0,IF(ISNUMBER(SEARCH(Classifiers!$B$15,E260)),1,0))+IF(Classifiers!$C$15="",0,IF(ISNUMBER(SEARCH(Classifiers!$C$15,E260)),1,0))+IF(Classifiers!$D$15="",0,IF(ISNUMBER(SEARCH(Classifiers!$D$15,E260)),1,0))+IF(Classifiers!$E$15="",0,IF(ISNUMBER(SEARCH(Classifiers!$E$15,E260)),1,0))+IF(Classifiers!$F$15="",0,IF(ISNUMBER(SEARCH(Classifiers!$F$15,E260)),1,0))+IF(Classifiers!$G$15="",0,IF(ISNUMBER(SEARCH(Classifiers!$G$15,E260)),1,0)))&gt;0,1,0))</f>
        <v/>
      </c>
      <c r="U260" s="12">
        <f>IF(H260&lt;&gt;1,0,IF((IF(Classifiers!$B$16="",0,IF(ISNUMBER(SEARCH(Classifiers!$B$16,E260)),1,0))+IF(Classifiers!$C$16="",0,IF(ISNUMBER(SEARCH(Classifiers!$C$16,E260)),1,0))+IF(Classifiers!$D$16="",0,IF(ISNUMBER(SEARCH(Classifiers!$D$16,E260)),1,0))+IF(Classifiers!$E$16="",0,IF(ISNUMBER(SEARCH(Classifiers!$E$16,E260)),1,0))+IF(Classifiers!$F$16="",0,IF(ISNUMBER(SEARCH(Classifiers!$F$16,E260)),1,0))+IF(Classifiers!$G$16="",0,IF(ISNUMBER(SEARCH(Classifiers!$G$16,E260)),1,0)))&gt;0,1,0))</f>
        <v/>
      </c>
      <c r="V260" s="12">
        <f>IF(H260&lt;&gt;1,0,IF((IF(Classifiers!$B$17="",0,IF(ISNUMBER(SEARCH(Classifiers!$B$17,E260)),1,0))+IF(Classifiers!$C$17="",0,IF(ISNUMBER(SEARCH(Classifiers!$C$17,E260)),1,0))+IF(Classifiers!$D$17="",0,IF(ISNUMBER(SEARCH(Classifiers!$D$17,E260)),1,0))+IF(Classifiers!$E$17="",0,IF(ISNUMBER(SEARCH(Classifiers!$E$17,E260)),1,0))+IF(Classifiers!$F$17="",0,IF(ISNUMBER(SEARCH(Classifiers!$F$17,E260)),1,0))+IF(Classifiers!$G$17="",0,IF(ISNUMBER(SEARCH(Classifiers!$G$17,E260)),1,0)))&gt;0,1,0))</f>
        <v/>
      </c>
      <c r="W260" s="12">
        <f>IF(H260&lt;&gt;1,0,IF((IF(Classifiers!$B$18="",0,IF(ISNUMBER(SEARCH(Classifiers!$B$18,E260)),1,0))+IF(Classifiers!$C$18="",0,IF(ISNUMBER(SEARCH(Classifiers!$C$18,E260)),1,0))+IF(Classifiers!$D$18="",0,IF(ISNUMBER(SEARCH(Classifiers!$D$18,E260)),1,0))+IF(Classifiers!$E$18="",0,IF(ISNUMBER(SEARCH(Classifiers!$E$18,E260)),1,0))+IF(Classifiers!$F$18="",0,IF(ISNUMBER(SEARCH(Classifiers!$F$18,E260)),1,0))+IF(Classifiers!$G$18="",0,IF(ISNUMBER(SEARCH(Classifiers!$G$18,E260)),1,0)))&gt;0,1,0))</f>
        <v/>
      </c>
    </row>
    <row r="261">
      <c r="A261" s="8" t="n"/>
      <c r="B261" s="11" t="n"/>
      <c r="C261" s="6">
        <f>IF(A261="","",TRIM(RIGHT(SUBSTITUTE(A261,"/",REPT(" ",250)),250)))</f>
        <v/>
      </c>
      <c r="D261" s="6">
        <f>IF(C261="","",IF(ISNUMBER(SEARCH(".",C261)),LOWER("."&amp;TRIM(RIGHT(SUBSTITUTE(C261,".",REPT(" ",250)),250))),""))</f>
        <v/>
      </c>
      <c r="E261" s="6">
        <f>IF(C261="","",TRIM(SUBSTITUTE(SUBSTITUTE(SUBSTITUTE(SUBSTITUTE(SUBSTITUTE(SUBSTITUTE(SUBSTITUTE(SUBSTITUTE(SUBSTITUTE(SUBSTITUTE(SUBSTITUTE(SUBSTITUTE(SUBSTITUTE(SUBSTITUTE(SUBSTITUTE(SUBSTITUTE(SUBSTITUTE(SUBSTITUTE(SUBSTITUTE(SUBSTITUTE(LOWER(LEFT(C261,LEN(C261)-LEN(D261))),"_"," "),"-"," "),"."," "),","," "),"("," "),")"," "),"["," "),"]"," "),"&amp;"," "),"+"," "),"@"," "),"#"," "),"!"," "),"'"," "),"/"," "),":"," "),";"," "),"="," "),"~"," "),"%"," ")))</f>
        <v/>
      </c>
      <c r="F261" s="6">
        <f>IF(C261="","",IF(COUNTIF(Classifiers!$A$23:$A$40,D261)&gt;0,1,0))</f>
        <v/>
      </c>
      <c r="G261" s="6">
        <f>IF(C261="","",IF(COUNTIF(Classifiers!$C$23:$C$30,D261)&gt;0,IF((IF(ISNUMBER(SEARCH(Classifiers!$E$23,E261)),1,0)+IF(ISNUMBER(SEARCH(Classifiers!$E$24,E261)),1,0)+IF(ISNUMBER(SEARCH(Classifiers!$E$25,E261)),1,0)+IF(ISNUMBER(SEARCH(Classifiers!$E$26,E261)),1,0)+IF(ISNUMBER(SEARCH(Classifiers!$E$27,E261)),1,0)+IF(ISNUMBER(SEARCH(Classifiers!$E$28,E261)),1,0)+IF(ISNUMBER(SEARCH(Classifiers!$E$29,E261)),1,0)+IF(ISNUMBER(SEARCH(Classifiers!$E$30,E261)),1,0))&gt;0,1,0),0))</f>
        <v/>
      </c>
      <c r="H261" s="6">
        <f>IF(C261="","",IF(OR(LEFT(C261,1)=".",AND(F261=0,G261=0)),0,1))</f>
        <v/>
      </c>
      <c r="I261" s="6">
        <f>IF(H261&lt;&gt;1,"",IF(SUM(J261:W261)=0,"unclassified",INDEX(Classifiers!$A$5:$A$18,MATCH(1,J261:W261,0),1)))</f>
        <v/>
      </c>
      <c r="J261" s="12">
        <f>IF(H261&lt;&gt;1,0,IF((IF(Classifiers!$B$5="",0,IF(ISNUMBER(SEARCH(Classifiers!$B$5,E261)),1,0))+IF(Classifiers!$C$5="",0,IF(ISNUMBER(SEARCH(Classifiers!$C$5,E261)),1,0))+IF(Classifiers!$D$5="",0,IF(ISNUMBER(SEARCH(Classifiers!$D$5,E261)),1,0))+IF(Classifiers!$E$5="",0,IF(ISNUMBER(SEARCH(Classifiers!$E$5,E261)),1,0))+IF(Classifiers!$F$5="",0,IF(ISNUMBER(SEARCH(Classifiers!$F$5,E261)),1,0))+IF(Classifiers!$G$5="",0,IF(ISNUMBER(SEARCH(Classifiers!$G$5,E261)),1,0)))&gt;0,1,0))</f>
        <v/>
      </c>
      <c r="K261" s="12">
        <f>IF(H261&lt;&gt;1,0,IF((IF(Classifiers!$B$6="",0,IF(ISNUMBER(SEARCH(Classifiers!$B$6,E261)),1,0))+IF(Classifiers!$C$6="",0,IF(ISNUMBER(SEARCH(Classifiers!$C$6,E261)),1,0))+IF(Classifiers!$D$6="",0,IF(ISNUMBER(SEARCH(Classifiers!$D$6,E261)),1,0))+IF(Classifiers!$E$6="",0,IF(ISNUMBER(SEARCH(Classifiers!$E$6,E261)),1,0))+IF(Classifiers!$F$6="",0,IF(ISNUMBER(SEARCH(Classifiers!$F$6,E261)),1,0))+IF(Classifiers!$G$6="",0,IF(ISNUMBER(SEARCH(Classifiers!$G$6,E261)),1,0)))&gt;0,1,0))</f>
        <v/>
      </c>
      <c r="L261" s="12">
        <f>IF(H261&lt;&gt;1,0,IF((IF(Classifiers!$B$7="",0,IF(ISNUMBER(SEARCH(Classifiers!$B$7,E261)),1,0))+IF(Classifiers!$C$7="",0,IF(ISNUMBER(SEARCH(Classifiers!$C$7,E261)),1,0))+IF(Classifiers!$D$7="",0,IF(ISNUMBER(SEARCH(Classifiers!$D$7,E261)),1,0))+IF(Classifiers!$E$7="",0,IF(ISNUMBER(SEARCH(Classifiers!$E$7,E261)),1,0))+IF(Classifiers!$F$7="",0,IF(ISNUMBER(SEARCH(Classifiers!$F$7,E261)),1,0))+IF(Classifiers!$G$7="",0,IF(ISNUMBER(SEARCH(Classifiers!$G$7,E261)),1,0)))&gt;0,1,0))</f>
        <v/>
      </c>
      <c r="M261" s="12">
        <f>IF(H261&lt;&gt;1,0,IF((IF(Classifiers!$B$8="",0,IF(ISNUMBER(SEARCH(Classifiers!$B$8,E261)),1,0))+IF(Classifiers!$C$8="",0,IF(ISNUMBER(SEARCH(Classifiers!$C$8,E261)),1,0))+IF(Classifiers!$D$8="",0,IF(ISNUMBER(SEARCH(Classifiers!$D$8,E261)),1,0))+IF(Classifiers!$E$8="",0,IF(ISNUMBER(SEARCH(Classifiers!$E$8,E261)),1,0))+IF(Classifiers!$F$8="",0,IF(ISNUMBER(SEARCH(Classifiers!$F$8,E261)),1,0))+IF(Classifiers!$G$8="",0,IF(ISNUMBER(SEARCH(Classifiers!$G$8,E261)),1,0)))&gt;0,1,0))</f>
        <v/>
      </c>
      <c r="N261" s="12">
        <f>IF(H261&lt;&gt;1,0,IF((IF(Classifiers!$B$9="",0,IF(ISNUMBER(SEARCH(Classifiers!$B$9,E261)),1,0))+IF(Classifiers!$C$9="",0,IF(ISNUMBER(SEARCH(Classifiers!$C$9,E261)),1,0))+IF(Classifiers!$D$9="",0,IF(ISNUMBER(SEARCH(Classifiers!$D$9,E261)),1,0))+IF(Classifiers!$E$9="",0,IF(ISNUMBER(SEARCH(Classifiers!$E$9,E261)),1,0))+IF(Classifiers!$F$9="",0,IF(ISNUMBER(SEARCH(Classifiers!$F$9,E261)),1,0))+IF(Classifiers!$G$9="",0,IF(ISNUMBER(SEARCH(Classifiers!$G$9,E261)),1,0)))&gt;0,1,0))</f>
        <v/>
      </c>
      <c r="O261" s="12">
        <f>IF(H261&lt;&gt;1,0,IF((IF(Classifiers!$B$10="",0,IF(ISNUMBER(SEARCH(Classifiers!$B$10,E261)),1,0))+IF(Classifiers!$C$10="",0,IF(ISNUMBER(SEARCH(Classifiers!$C$10,E261)),1,0))+IF(Classifiers!$D$10="",0,IF(ISNUMBER(SEARCH(Classifiers!$D$10,E261)),1,0))+IF(Classifiers!$E$10="",0,IF(ISNUMBER(SEARCH(Classifiers!$E$10,E261)),1,0))+IF(Classifiers!$F$10="",0,IF(ISNUMBER(SEARCH(Classifiers!$F$10,E261)),1,0))+IF(Classifiers!$G$10="",0,IF(ISNUMBER(SEARCH(Classifiers!$G$10,E261)),1,0)))&gt;0,1,0))</f>
        <v/>
      </c>
      <c r="P261" s="12">
        <f>IF(H261&lt;&gt;1,0,IF((IF(Classifiers!$B$11="",0,IF(ISNUMBER(SEARCH(Classifiers!$B$11,E261)),1,0))+IF(Classifiers!$C$11="",0,IF(ISNUMBER(SEARCH(Classifiers!$C$11,E261)),1,0))+IF(Classifiers!$D$11="",0,IF(ISNUMBER(SEARCH(Classifiers!$D$11,E261)),1,0))+IF(Classifiers!$E$11="",0,IF(ISNUMBER(SEARCH(Classifiers!$E$11,E261)),1,0))+IF(Classifiers!$F$11="",0,IF(ISNUMBER(SEARCH(Classifiers!$F$11,E261)),1,0))+IF(Classifiers!$G$11="",0,IF(ISNUMBER(SEARCH(Classifiers!$G$11,E261)),1,0)))&gt;0,1,0))</f>
        <v/>
      </c>
      <c r="Q261" s="12">
        <f>IF(H261&lt;&gt;1,0,IF((IF(Classifiers!$B$12="",0,IF(ISNUMBER(SEARCH(Classifiers!$B$12,E261)),1,0))+IF(Classifiers!$C$12="",0,IF(ISNUMBER(SEARCH(Classifiers!$C$12,E261)),1,0))+IF(Classifiers!$D$12="",0,IF(ISNUMBER(SEARCH(Classifiers!$D$12,E261)),1,0))+IF(Classifiers!$E$12="",0,IF(ISNUMBER(SEARCH(Classifiers!$E$12,E261)),1,0))+IF(Classifiers!$F$12="",0,IF(ISNUMBER(SEARCH(Classifiers!$F$12,E261)),1,0))+IF(Classifiers!$G$12="",0,IF(ISNUMBER(SEARCH(Classifiers!$G$12,E261)),1,0)))&gt;0,1,0))</f>
        <v/>
      </c>
      <c r="R261" s="12">
        <f>IF(H261&lt;&gt;1,0,IF((IF(Classifiers!$B$13="",0,IF(ISNUMBER(SEARCH(Classifiers!$B$13,E261)),1,0))+IF(Classifiers!$C$13="",0,IF(ISNUMBER(SEARCH(Classifiers!$C$13,E261)),1,0))+IF(Classifiers!$D$13="",0,IF(ISNUMBER(SEARCH(Classifiers!$D$13,E261)),1,0))+IF(Classifiers!$E$13="",0,IF(ISNUMBER(SEARCH(Classifiers!$E$13,E261)),1,0))+IF(Classifiers!$F$13="",0,IF(ISNUMBER(SEARCH(Classifiers!$F$13,E261)),1,0))+IF(Classifiers!$G$13="",0,IF(ISNUMBER(SEARCH(Classifiers!$G$13,E261)),1,0)))&gt;0,1,0))</f>
        <v/>
      </c>
      <c r="S261" s="12">
        <f>IF(H261&lt;&gt;1,0,IF((IF(Classifiers!$B$14="",0,IF(ISNUMBER(SEARCH(Classifiers!$B$14,E261)),1,0))+IF(Classifiers!$C$14="",0,IF(ISNUMBER(SEARCH(Classifiers!$C$14,E261)),1,0))+IF(Classifiers!$D$14="",0,IF(ISNUMBER(SEARCH(Classifiers!$D$14,E261)),1,0))+IF(Classifiers!$E$14="",0,IF(ISNUMBER(SEARCH(Classifiers!$E$14,E261)),1,0))+IF(Classifiers!$F$14="",0,IF(ISNUMBER(SEARCH(Classifiers!$F$14,E261)),1,0))+IF(Classifiers!$G$14="",0,IF(ISNUMBER(SEARCH(Classifiers!$G$14,E261)),1,0)))&gt;0,1,0))</f>
        <v/>
      </c>
      <c r="T261" s="12">
        <f>IF(H261&lt;&gt;1,0,IF((IF(Classifiers!$B$15="",0,IF(ISNUMBER(SEARCH(Classifiers!$B$15,E261)),1,0))+IF(Classifiers!$C$15="",0,IF(ISNUMBER(SEARCH(Classifiers!$C$15,E261)),1,0))+IF(Classifiers!$D$15="",0,IF(ISNUMBER(SEARCH(Classifiers!$D$15,E261)),1,0))+IF(Classifiers!$E$15="",0,IF(ISNUMBER(SEARCH(Classifiers!$E$15,E261)),1,0))+IF(Classifiers!$F$15="",0,IF(ISNUMBER(SEARCH(Classifiers!$F$15,E261)),1,0))+IF(Classifiers!$G$15="",0,IF(ISNUMBER(SEARCH(Classifiers!$G$15,E261)),1,0)))&gt;0,1,0))</f>
        <v/>
      </c>
      <c r="U261" s="12">
        <f>IF(H261&lt;&gt;1,0,IF((IF(Classifiers!$B$16="",0,IF(ISNUMBER(SEARCH(Classifiers!$B$16,E261)),1,0))+IF(Classifiers!$C$16="",0,IF(ISNUMBER(SEARCH(Classifiers!$C$16,E261)),1,0))+IF(Classifiers!$D$16="",0,IF(ISNUMBER(SEARCH(Classifiers!$D$16,E261)),1,0))+IF(Classifiers!$E$16="",0,IF(ISNUMBER(SEARCH(Classifiers!$E$16,E261)),1,0))+IF(Classifiers!$F$16="",0,IF(ISNUMBER(SEARCH(Classifiers!$F$16,E261)),1,0))+IF(Classifiers!$G$16="",0,IF(ISNUMBER(SEARCH(Classifiers!$G$16,E261)),1,0)))&gt;0,1,0))</f>
        <v/>
      </c>
      <c r="V261" s="12">
        <f>IF(H261&lt;&gt;1,0,IF((IF(Classifiers!$B$17="",0,IF(ISNUMBER(SEARCH(Classifiers!$B$17,E261)),1,0))+IF(Classifiers!$C$17="",0,IF(ISNUMBER(SEARCH(Classifiers!$C$17,E261)),1,0))+IF(Classifiers!$D$17="",0,IF(ISNUMBER(SEARCH(Classifiers!$D$17,E261)),1,0))+IF(Classifiers!$E$17="",0,IF(ISNUMBER(SEARCH(Classifiers!$E$17,E261)),1,0))+IF(Classifiers!$F$17="",0,IF(ISNUMBER(SEARCH(Classifiers!$F$17,E261)),1,0))+IF(Classifiers!$G$17="",0,IF(ISNUMBER(SEARCH(Classifiers!$G$17,E261)),1,0)))&gt;0,1,0))</f>
        <v/>
      </c>
      <c r="W261" s="12">
        <f>IF(H261&lt;&gt;1,0,IF((IF(Classifiers!$B$18="",0,IF(ISNUMBER(SEARCH(Classifiers!$B$18,E261)),1,0))+IF(Classifiers!$C$18="",0,IF(ISNUMBER(SEARCH(Classifiers!$C$18,E261)),1,0))+IF(Classifiers!$D$18="",0,IF(ISNUMBER(SEARCH(Classifiers!$D$18,E261)),1,0))+IF(Classifiers!$E$18="",0,IF(ISNUMBER(SEARCH(Classifiers!$E$18,E261)),1,0))+IF(Classifiers!$F$18="",0,IF(ISNUMBER(SEARCH(Classifiers!$F$18,E261)),1,0))+IF(Classifiers!$G$18="",0,IF(ISNUMBER(SEARCH(Classifiers!$G$18,E261)),1,0)))&gt;0,1,0))</f>
        <v/>
      </c>
    </row>
    <row r="262">
      <c r="A262" s="8" t="n"/>
      <c r="B262" s="11" t="n"/>
      <c r="C262" s="6">
        <f>IF(A262="","",TRIM(RIGHT(SUBSTITUTE(A262,"/",REPT(" ",250)),250)))</f>
        <v/>
      </c>
      <c r="D262" s="6">
        <f>IF(C262="","",IF(ISNUMBER(SEARCH(".",C262)),LOWER("."&amp;TRIM(RIGHT(SUBSTITUTE(C262,".",REPT(" ",250)),250))),""))</f>
        <v/>
      </c>
      <c r="E262" s="6">
        <f>IF(C262="","",TRIM(SUBSTITUTE(SUBSTITUTE(SUBSTITUTE(SUBSTITUTE(SUBSTITUTE(SUBSTITUTE(SUBSTITUTE(SUBSTITUTE(SUBSTITUTE(SUBSTITUTE(SUBSTITUTE(SUBSTITUTE(SUBSTITUTE(SUBSTITUTE(SUBSTITUTE(SUBSTITUTE(SUBSTITUTE(SUBSTITUTE(SUBSTITUTE(SUBSTITUTE(LOWER(LEFT(C262,LEN(C262)-LEN(D262))),"_"," "),"-"," "),"."," "),","," "),"("," "),")"," "),"["," "),"]"," "),"&amp;"," "),"+"," "),"@"," "),"#"," "),"!"," "),"'"," "),"/"," "),":"," "),";"," "),"="," "),"~"," "),"%"," ")))</f>
        <v/>
      </c>
      <c r="F262" s="6">
        <f>IF(C262="","",IF(COUNTIF(Classifiers!$A$23:$A$40,D262)&gt;0,1,0))</f>
        <v/>
      </c>
      <c r="G262" s="6">
        <f>IF(C262="","",IF(COUNTIF(Classifiers!$C$23:$C$30,D262)&gt;0,IF((IF(ISNUMBER(SEARCH(Classifiers!$E$23,E262)),1,0)+IF(ISNUMBER(SEARCH(Classifiers!$E$24,E262)),1,0)+IF(ISNUMBER(SEARCH(Classifiers!$E$25,E262)),1,0)+IF(ISNUMBER(SEARCH(Classifiers!$E$26,E262)),1,0)+IF(ISNUMBER(SEARCH(Classifiers!$E$27,E262)),1,0)+IF(ISNUMBER(SEARCH(Classifiers!$E$28,E262)),1,0)+IF(ISNUMBER(SEARCH(Classifiers!$E$29,E262)),1,0)+IF(ISNUMBER(SEARCH(Classifiers!$E$30,E262)),1,0))&gt;0,1,0),0))</f>
        <v/>
      </c>
      <c r="H262" s="6">
        <f>IF(C262="","",IF(OR(LEFT(C262,1)=".",AND(F262=0,G262=0)),0,1))</f>
        <v/>
      </c>
      <c r="I262" s="6">
        <f>IF(H262&lt;&gt;1,"",IF(SUM(J262:W262)=0,"unclassified",INDEX(Classifiers!$A$5:$A$18,MATCH(1,J262:W262,0),1)))</f>
        <v/>
      </c>
      <c r="J262" s="12">
        <f>IF(H262&lt;&gt;1,0,IF((IF(Classifiers!$B$5="",0,IF(ISNUMBER(SEARCH(Classifiers!$B$5,E262)),1,0))+IF(Classifiers!$C$5="",0,IF(ISNUMBER(SEARCH(Classifiers!$C$5,E262)),1,0))+IF(Classifiers!$D$5="",0,IF(ISNUMBER(SEARCH(Classifiers!$D$5,E262)),1,0))+IF(Classifiers!$E$5="",0,IF(ISNUMBER(SEARCH(Classifiers!$E$5,E262)),1,0))+IF(Classifiers!$F$5="",0,IF(ISNUMBER(SEARCH(Classifiers!$F$5,E262)),1,0))+IF(Classifiers!$G$5="",0,IF(ISNUMBER(SEARCH(Classifiers!$G$5,E262)),1,0)))&gt;0,1,0))</f>
        <v/>
      </c>
      <c r="K262" s="12">
        <f>IF(H262&lt;&gt;1,0,IF((IF(Classifiers!$B$6="",0,IF(ISNUMBER(SEARCH(Classifiers!$B$6,E262)),1,0))+IF(Classifiers!$C$6="",0,IF(ISNUMBER(SEARCH(Classifiers!$C$6,E262)),1,0))+IF(Classifiers!$D$6="",0,IF(ISNUMBER(SEARCH(Classifiers!$D$6,E262)),1,0))+IF(Classifiers!$E$6="",0,IF(ISNUMBER(SEARCH(Classifiers!$E$6,E262)),1,0))+IF(Classifiers!$F$6="",0,IF(ISNUMBER(SEARCH(Classifiers!$F$6,E262)),1,0))+IF(Classifiers!$G$6="",0,IF(ISNUMBER(SEARCH(Classifiers!$G$6,E262)),1,0)))&gt;0,1,0))</f>
        <v/>
      </c>
      <c r="L262" s="12">
        <f>IF(H262&lt;&gt;1,0,IF((IF(Classifiers!$B$7="",0,IF(ISNUMBER(SEARCH(Classifiers!$B$7,E262)),1,0))+IF(Classifiers!$C$7="",0,IF(ISNUMBER(SEARCH(Classifiers!$C$7,E262)),1,0))+IF(Classifiers!$D$7="",0,IF(ISNUMBER(SEARCH(Classifiers!$D$7,E262)),1,0))+IF(Classifiers!$E$7="",0,IF(ISNUMBER(SEARCH(Classifiers!$E$7,E262)),1,0))+IF(Classifiers!$F$7="",0,IF(ISNUMBER(SEARCH(Classifiers!$F$7,E262)),1,0))+IF(Classifiers!$G$7="",0,IF(ISNUMBER(SEARCH(Classifiers!$G$7,E262)),1,0)))&gt;0,1,0))</f>
        <v/>
      </c>
      <c r="M262" s="12">
        <f>IF(H262&lt;&gt;1,0,IF((IF(Classifiers!$B$8="",0,IF(ISNUMBER(SEARCH(Classifiers!$B$8,E262)),1,0))+IF(Classifiers!$C$8="",0,IF(ISNUMBER(SEARCH(Classifiers!$C$8,E262)),1,0))+IF(Classifiers!$D$8="",0,IF(ISNUMBER(SEARCH(Classifiers!$D$8,E262)),1,0))+IF(Classifiers!$E$8="",0,IF(ISNUMBER(SEARCH(Classifiers!$E$8,E262)),1,0))+IF(Classifiers!$F$8="",0,IF(ISNUMBER(SEARCH(Classifiers!$F$8,E262)),1,0))+IF(Classifiers!$G$8="",0,IF(ISNUMBER(SEARCH(Classifiers!$G$8,E262)),1,0)))&gt;0,1,0))</f>
        <v/>
      </c>
      <c r="N262" s="12">
        <f>IF(H262&lt;&gt;1,0,IF((IF(Classifiers!$B$9="",0,IF(ISNUMBER(SEARCH(Classifiers!$B$9,E262)),1,0))+IF(Classifiers!$C$9="",0,IF(ISNUMBER(SEARCH(Classifiers!$C$9,E262)),1,0))+IF(Classifiers!$D$9="",0,IF(ISNUMBER(SEARCH(Classifiers!$D$9,E262)),1,0))+IF(Classifiers!$E$9="",0,IF(ISNUMBER(SEARCH(Classifiers!$E$9,E262)),1,0))+IF(Classifiers!$F$9="",0,IF(ISNUMBER(SEARCH(Classifiers!$F$9,E262)),1,0))+IF(Classifiers!$G$9="",0,IF(ISNUMBER(SEARCH(Classifiers!$G$9,E262)),1,0)))&gt;0,1,0))</f>
        <v/>
      </c>
      <c r="O262" s="12">
        <f>IF(H262&lt;&gt;1,0,IF((IF(Classifiers!$B$10="",0,IF(ISNUMBER(SEARCH(Classifiers!$B$10,E262)),1,0))+IF(Classifiers!$C$10="",0,IF(ISNUMBER(SEARCH(Classifiers!$C$10,E262)),1,0))+IF(Classifiers!$D$10="",0,IF(ISNUMBER(SEARCH(Classifiers!$D$10,E262)),1,0))+IF(Classifiers!$E$10="",0,IF(ISNUMBER(SEARCH(Classifiers!$E$10,E262)),1,0))+IF(Classifiers!$F$10="",0,IF(ISNUMBER(SEARCH(Classifiers!$F$10,E262)),1,0))+IF(Classifiers!$G$10="",0,IF(ISNUMBER(SEARCH(Classifiers!$G$10,E262)),1,0)))&gt;0,1,0))</f>
        <v/>
      </c>
      <c r="P262" s="12">
        <f>IF(H262&lt;&gt;1,0,IF((IF(Classifiers!$B$11="",0,IF(ISNUMBER(SEARCH(Classifiers!$B$11,E262)),1,0))+IF(Classifiers!$C$11="",0,IF(ISNUMBER(SEARCH(Classifiers!$C$11,E262)),1,0))+IF(Classifiers!$D$11="",0,IF(ISNUMBER(SEARCH(Classifiers!$D$11,E262)),1,0))+IF(Classifiers!$E$11="",0,IF(ISNUMBER(SEARCH(Classifiers!$E$11,E262)),1,0))+IF(Classifiers!$F$11="",0,IF(ISNUMBER(SEARCH(Classifiers!$F$11,E262)),1,0))+IF(Classifiers!$G$11="",0,IF(ISNUMBER(SEARCH(Classifiers!$G$11,E262)),1,0)))&gt;0,1,0))</f>
        <v/>
      </c>
      <c r="Q262" s="12">
        <f>IF(H262&lt;&gt;1,0,IF((IF(Classifiers!$B$12="",0,IF(ISNUMBER(SEARCH(Classifiers!$B$12,E262)),1,0))+IF(Classifiers!$C$12="",0,IF(ISNUMBER(SEARCH(Classifiers!$C$12,E262)),1,0))+IF(Classifiers!$D$12="",0,IF(ISNUMBER(SEARCH(Classifiers!$D$12,E262)),1,0))+IF(Classifiers!$E$12="",0,IF(ISNUMBER(SEARCH(Classifiers!$E$12,E262)),1,0))+IF(Classifiers!$F$12="",0,IF(ISNUMBER(SEARCH(Classifiers!$F$12,E262)),1,0))+IF(Classifiers!$G$12="",0,IF(ISNUMBER(SEARCH(Classifiers!$G$12,E262)),1,0)))&gt;0,1,0))</f>
        <v/>
      </c>
      <c r="R262" s="12">
        <f>IF(H262&lt;&gt;1,0,IF((IF(Classifiers!$B$13="",0,IF(ISNUMBER(SEARCH(Classifiers!$B$13,E262)),1,0))+IF(Classifiers!$C$13="",0,IF(ISNUMBER(SEARCH(Classifiers!$C$13,E262)),1,0))+IF(Classifiers!$D$13="",0,IF(ISNUMBER(SEARCH(Classifiers!$D$13,E262)),1,0))+IF(Classifiers!$E$13="",0,IF(ISNUMBER(SEARCH(Classifiers!$E$13,E262)),1,0))+IF(Classifiers!$F$13="",0,IF(ISNUMBER(SEARCH(Classifiers!$F$13,E262)),1,0))+IF(Classifiers!$G$13="",0,IF(ISNUMBER(SEARCH(Classifiers!$G$13,E262)),1,0)))&gt;0,1,0))</f>
        <v/>
      </c>
      <c r="S262" s="12">
        <f>IF(H262&lt;&gt;1,0,IF((IF(Classifiers!$B$14="",0,IF(ISNUMBER(SEARCH(Classifiers!$B$14,E262)),1,0))+IF(Classifiers!$C$14="",0,IF(ISNUMBER(SEARCH(Classifiers!$C$14,E262)),1,0))+IF(Classifiers!$D$14="",0,IF(ISNUMBER(SEARCH(Classifiers!$D$14,E262)),1,0))+IF(Classifiers!$E$14="",0,IF(ISNUMBER(SEARCH(Classifiers!$E$14,E262)),1,0))+IF(Classifiers!$F$14="",0,IF(ISNUMBER(SEARCH(Classifiers!$F$14,E262)),1,0))+IF(Classifiers!$G$14="",0,IF(ISNUMBER(SEARCH(Classifiers!$G$14,E262)),1,0)))&gt;0,1,0))</f>
        <v/>
      </c>
      <c r="T262" s="12">
        <f>IF(H262&lt;&gt;1,0,IF((IF(Classifiers!$B$15="",0,IF(ISNUMBER(SEARCH(Classifiers!$B$15,E262)),1,0))+IF(Classifiers!$C$15="",0,IF(ISNUMBER(SEARCH(Classifiers!$C$15,E262)),1,0))+IF(Classifiers!$D$15="",0,IF(ISNUMBER(SEARCH(Classifiers!$D$15,E262)),1,0))+IF(Classifiers!$E$15="",0,IF(ISNUMBER(SEARCH(Classifiers!$E$15,E262)),1,0))+IF(Classifiers!$F$15="",0,IF(ISNUMBER(SEARCH(Classifiers!$F$15,E262)),1,0))+IF(Classifiers!$G$15="",0,IF(ISNUMBER(SEARCH(Classifiers!$G$15,E262)),1,0)))&gt;0,1,0))</f>
        <v/>
      </c>
      <c r="U262" s="12">
        <f>IF(H262&lt;&gt;1,0,IF((IF(Classifiers!$B$16="",0,IF(ISNUMBER(SEARCH(Classifiers!$B$16,E262)),1,0))+IF(Classifiers!$C$16="",0,IF(ISNUMBER(SEARCH(Classifiers!$C$16,E262)),1,0))+IF(Classifiers!$D$16="",0,IF(ISNUMBER(SEARCH(Classifiers!$D$16,E262)),1,0))+IF(Classifiers!$E$16="",0,IF(ISNUMBER(SEARCH(Classifiers!$E$16,E262)),1,0))+IF(Classifiers!$F$16="",0,IF(ISNUMBER(SEARCH(Classifiers!$F$16,E262)),1,0))+IF(Classifiers!$G$16="",0,IF(ISNUMBER(SEARCH(Classifiers!$G$16,E262)),1,0)))&gt;0,1,0))</f>
        <v/>
      </c>
      <c r="V262" s="12">
        <f>IF(H262&lt;&gt;1,0,IF((IF(Classifiers!$B$17="",0,IF(ISNUMBER(SEARCH(Classifiers!$B$17,E262)),1,0))+IF(Classifiers!$C$17="",0,IF(ISNUMBER(SEARCH(Classifiers!$C$17,E262)),1,0))+IF(Classifiers!$D$17="",0,IF(ISNUMBER(SEARCH(Classifiers!$D$17,E262)),1,0))+IF(Classifiers!$E$17="",0,IF(ISNUMBER(SEARCH(Classifiers!$E$17,E262)),1,0))+IF(Classifiers!$F$17="",0,IF(ISNUMBER(SEARCH(Classifiers!$F$17,E262)),1,0))+IF(Classifiers!$G$17="",0,IF(ISNUMBER(SEARCH(Classifiers!$G$17,E262)),1,0)))&gt;0,1,0))</f>
        <v/>
      </c>
      <c r="W262" s="12">
        <f>IF(H262&lt;&gt;1,0,IF((IF(Classifiers!$B$18="",0,IF(ISNUMBER(SEARCH(Classifiers!$B$18,E262)),1,0))+IF(Classifiers!$C$18="",0,IF(ISNUMBER(SEARCH(Classifiers!$C$18,E262)),1,0))+IF(Classifiers!$D$18="",0,IF(ISNUMBER(SEARCH(Classifiers!$D$18,E262)),1,0))+IF(Classifiers!$E$18="",0,IF(ISNUMBER(SEARCH(Classifiers!$E$18,E262)),1,0))+IF(Classifiers!$F$18="",0,IF(ISNUMBER(SEARCH(Classifiers!$F$18,E262)),1,0))+IF(Classifiers!$G$18="",0,IF(ISNUMBER(SEARCH(Classifiers!$G$18,E262)),1,0)))&gt;0,1,0))</f>
        <v/>
      </c>
    </row>
    <row r="263">
      <c r="A263" s="8" t="n"/>
      <c r="B263" s="11" t="n"/>
      <c r="C263" s="6">
        <f>IF(A263="","",TRIM(RIGHT(SUBSTITUTE(A263,"/",REPT(" ",250)),250)))</f>
        <v/>
      </c>
      <c r="D263" s="6">
        <f>IF(C263="","",IF(ISNUMBER(SEARCH(".",C263)),LOWER("."&amp;TRIM(RIGHT(SUBSTITUTE(C263,".",REPT(" ",250)),250))),""))</f>
        <v/>
      </c>
      <c r="E263" s="6">
        <f>IF(C263="","",TRIM(SUBSTITUTE(SUBSTITUTE(SUBSTITUTE(SUBSTITUTE(SUBSTITUTE(SUBSTITUTE(SUBSTITUTE(SUBSTITUTE(SUBSTITUTE(SUBSTITUTE(SUBSTITUTE(SUBSTITUTE(SUBSTITUTE(SUBSTITUTE(SUBSTITUTE(SUBSTITUTE(SUBSTITUTE(SUBSTITUTE(SUBSTITUTE(SUBSTITUTE(LOWER(LEFT(C263,LEN(C263)-LEN(D263))),"_"," "),"-"," "),"."," "),","," "),"("," "),")"," "),"["," "),"]"," "),"&amp;"," "),"+"," "),"@"," "),"#"," "),"!"," "),"'"," "),"/"," "),":"," "),";"," "),"="," "),"~"," "),"%"," ")))</f>
        <v/>
      </c>
      <c r="F263" s="6">
        <f>IF(C263="","",IF(COUNTIF(Classifiers!$A$23:$A$40,D263)&gt;0,1,0))</f>
        <v/>
      </c>
      <c r="G263" s="6">
        <f>IF(C263="","",IF(COUNTIF(Classifiers!$C$23:$C$30,D263)&gt;0,IF((IF(ISNUMBER(SEARCH(Classifiers!$E$23,E263)),1,0)+IF(ISNUMBER(SEARCH(Classifiers!$E$24,E263)),1,0)+IF(ISNUMBER(SEARCH(Classifiers!$E$25,E263)),1,0)+IF(ISNUMBER(SEARCH(Classifiers!$E$26,E263)),1,0)+IF(ISNUMBER(SEARCH(Classifiers!$E$27,E263)),1,0)+IF(ISNUMBER(SEARCH(Classifiers!$E$28,E263)),1,0)+IF(ISNUMBER(SEARCH(Classifiers!$E$29,E263)),1,0)+IF(ISNUMBER(SEARCH(Classifiers!$E$30,E263)),1,0))&gt;0,1,0),0))</f>
        <v/>
      </c>
      <c r="H263" s="6">
        <f>IF(C263="","",IF(OR(LEFT(C263,1)=".",AND(F263=0,G263=0)),0,1))</f>
        <v/>
      </c>
      <c r="I263" s="6">
        <f>IF(H263&lt;&gt;1,"",IF(SUM(J263:W263)=0,"unclassified",INDEX(Classifiers!$A$5:$A$18,MATCH(1,J263:W263,0),1)))</f>
        <v/>
      </c>
      <c r="J263" s="12">
        <f>IF(H263&lt;&gt;1,0,IF((IF(Classifiers!$B$5="",0,IF(ISNUMBER(SEARCH(Classifiers!$B$5,E263)),1,0))+IF(Classifiers!$C$5="",0,IF(ISNUMBER(SEARCH(Classifiers!$C$5,E263)),1,0))+IF(Classifiers!$D$5="",0,IF(ISNUMBER(SEARCH(Classifiers!$D$5,E263)),1,0))+IF(Classifiers!$E$5="",0,IF(ISNUMBER(SEARCH(Classifiers!$E$5,E263)),1,0))+IF(Classifiers!$F$5="",0,IF(ISNUMBER(SEARCH(Classifiers!$F$5,E263)),1,0))+IF(Classifiers!$G$5="",0,IF(ISNUMBER(SEARCH(Classifiers!$G$5,E263)),1,0)))&gt;0,1,0))</f>
        <v/>
      </c>
      <c r="K263" s="12">
        <f>IF(H263&lt;&gt;1,0,IF((IF(Classifiers!$B$6="",0,IF(ISNUMBER(SEARCH(Classifiers!$B$6,E263)),1,0))+IF(Classifiers!$C$6="",0,IF(ISNUMBER(SEARCH(Classifiers!$C$6,E263)),1,0))+IF(Classifiers!$D$6="",0,IF(ISNUMBER(SEARCH(Classifiers!$D$6,E263)),1,0))+IF(Classifiers!$E$6="",0,IF(ISNUMBER(SEARCH(Classifiers!$E$6,E263)),1,0))+IF(Classifiers!$F$6="",0,IF(ISNUMBER(SEARCH(Classifiers!$F$6,E263)),1,0))+IF(Classifiers!$G$6="",0,IF(ISNUMBER(SEARCH(Classifiers!$G$6,E263)),1,0)))&gt;0,1,0))</f>
        <v/>
      </c>
      <c r="L263" s="12">
        <f>IF(H263&lt;&gt;1,0,IF((IF(Classifiers!$B$7="",0,IF(ISNUMBER(SEARCH(Classifiers!$B$7,E263)),1,0))+IF(Classifiers!$C$7="",0,IF(ISNUMBER(SEARCH(Classifiers!$C$7,E263)),1,0))+IF(Classifiers!$D$7="",0,IF(ISNUMBER(SEARCH(Classifiers!$D$7,E263)),1,0))+IF(Classifiers!$E$7="",0,IF(ISNUMBER(SEARCH(Classifiers!$E$7,E263)),1,0))+IF(Classifiers!$F$7="",0,IF(ISNUMBER(SEARCH(Classifiers!$F$7,E263)),1,0))+IF(Classifiers!$G$7="",0,IF(ISNUMBER(SEARCH(Classifiers!$G$7,E263)),1,0)))&gt;0,1,0))</f>
        <v/>
      </c>
      <c r="M263" s="12">
        <f>IF(H263&lt;&gt;1,0,IF((IF(Classifiers!$B$8="",0,IF(ISNUMBER(SEARCH(Classifiers!$B$8,E263)),1,0))+IF(Classifiers!$C$8="",0,IF(ISNUMBER(SEARCH(Classifiers!$C$8,E263)),1,0))+IF(Classifiers!$D$8="",0,IF(ISNUMBER(SEARCH(Classifiers!$D$8,E263)),1,0))+IF(Classifiers!$E$8="",0,IF(ISNUMBER(SEARCH(Classifiers!$E$8,E263)),1,0))+IF(Classifiers!$F$8="",0,IF(ISNUMBER(SEARCH(Classifiers!$F$8,E263)),1,0))+IF(Classifiers!$G$8="",0,IF(ISNUMBER(SEARCH(Classifiers!$G$8,E263)),1,0)))&gt;0,1,0))</f>
        <v/>
      </c>
      <c r="N263" s="12">
        <f>IF(H263&lt;&gt;1,0,IF((IF(Classifiers!$B$9="",0,IF(ISNUMBER(SEARCH(Classifiers!$B$9,E263)),1,0))+IF(Classifiers!$C$9="",0,IF(ISNUMBER(SEARCH(Classifiers!$C$9,E263)),1,0))+IF(Classifiers!$D$9="",0,IF(ISNUMBER(SEARCH(Classifiers!$D$9,E263)),1,0))+IF(Classifiers!$E$9="",0,IF(ISNUMBER(SEARCH(Classifiers!$E$9,E263)),1,0))+IF(Classifiers!$F$9="",0,IF(ISNUMBER(SEARCH(Classifiers!$F$9,E263)),1,0))+IF(Classifiers!$G$9="",0,IF(ISNUMBER(SEARCH(Classifiers!$G$9,E263)),1,0)))&gt;0,1,0))</f>
        <v/>
      </c>
      <c r="O263" s="12">
        <f>IF(H263&lt;&gt;1,0,IF((IF(Classifiers!$B$10="",0,IF(ISNUMBER(SEARCH(Classifiers!$B$10,E263)),1,0))+IF(Classifiers!$C$10="",0,IF(ISNUMBER(SEARCH(Classifiers!$C$10,E263)),1,0))+IF(Classifiers!$D$10="",0,IF(ISNUMBER(SEARCH(Classifiers!$D$10,E263)),1,0))+IF(Classifiers!$E$10="",0,IF(ISNUMBER(SEARCH(Classifiers!$E$10,E263)),1,0))+IF(Classifiers!$F$10="",0,IF(ISNUMBER(SEARCH(Classifiers!$F$10,E263)),1,0))+IF(Classifiers!$G$10="",0,IF(ISNUMBER(SEARCH(Classifiers!$G$10,E263)),1,0)))&gt;0,1,0))</f>
        <v/>
      </c>
      <c r="P263" s="12">
        <f>IF(H263&lt;&gt;1,0,IF((IF(Classifiers!$B$11="",0,IF(ISNUMBER(SEARCH(Classifiers!$B$11,E263)),1,0))+IF(Classifiers!$C$11="",0,IF(ISNUMBER(SEARCH(Classifiers!$C$11,E263)),1,0))+IF(Classifiers!$D$11="",0,IF(ISNUMBER(SEARCH(Classifiers!$D$11,E263)),1,0))+IF(Classifiers!$E$11="",0,IF(ISNUMBER(SEARCH(Classifiers!$E$11,E263)),1,0))+IF(Classifiers!$F$11="",0,IF(ISNUMBER(SEARCH(Classifiers!$F$11,E263)),1,0))+IF(Classifiers!$G$11="",0,IF(ISNUMBER(SEARCH(Classifiers!$G$11,E263)),1,0)))&gt;0,1,0))</f>
        <v/>
      </c>
      <c r="Q263" s="12">
        <f>IF(H263&lt;&gt;1,0,IF((IF(Classifiers!$B$12="",0,IF(ISNUMBER(SEARCH(Classifiers!$B$12,E263)),1,0))+IF(Classifiers!$C$12="",0,IF(ISNUMBER(SEARCH(Classifiers!$C$12,E263)),1,0))+IF(Classifiers!$D$12="",0,IF(ISNUMBER(SEARCH(Classifiers!$D$12,E263)),1,0))+IF(Classifiers!$E$12="",0,IF(ISNUMBER(SEARCH(Classifiers!$E$12,E263)),1,0))+IF(Classifiers!$F$12="",0,IF(ISNUMBER(SEARCH(Classifiers!$F$12,E263)),1,0))+IF(Classifiers!$G$12="",0,IF(ISNUMBER(SEARCH(Classifiers!$G$12,E263)),1,0)))&gt;0,1,0))</f>
        <v/>
      </c>
      <c r="R263" s="12">
        <f>IF(H263&lt;&gt;1,0,IF((IF(Classifiers!$B$13="",0,IF(ISNUMBER(SEARCH(Classifiers!$B$13,E263)),1,0))+IF(Classifiers!$C$13="",0,IF(ISNUMBER(SEARCH(Classifiers!$C$13,E263)),1,0))+IF(Classifiers!$D$13="",0,IF(ISNUMBER(SEARCH(Classifiers!$D$13,E263)),1,0))+IF(Classifiers!$E$13="",0,IF(ISNUMBER(SEARCH(Classifiers!$E$13,E263)),1,0))+IF(Classifiers!$F$13="",0,IF(ISNUMBER(SEARCH(Classifiers!$F$13,E263)),1,0))+IF(Classifiers!$G$13="",0,IF(ISNUMBER(SEARCH(Classifiers!$G$13,E263)),1,0)))&gt;0,1,0))</f>
        <v/>
      </c>
      <c r="S263" s="12">
        <f>IF(H263&lt;&gt;1,0,IF((IF(Classifiers!$B$14="",0,IF(ISNUMBER(SEARCH(Classifiers!$B$14,E263)),1,0))+IF(Classifiers!$C$14="",0,IF(ISNUMBER(SEARCH(Classifiers!$C$14,E263)),1,0))+IF(Classifiers!$D$14="",0,IF(ISNUMBER(SEARCH(Classifiers!$D$14,E263)),1,0))+IF(Classifiers!$E$14="",0,IF(ISNUMBER(SEARCH(Classifiers!$E$14,E263)),1,0))+IF(Classifiers!$F$14="",0,IF(ISNUMBER(SEARCH(Classifiers!$F$14,E263)),1,0))+IF(Classifiers!$G$14="",0,IF(ISNUMBER(SEARCH(Classifiers!$G$14,E263)),1,0)))&gt;0,1,0))</f>
        <v/>
      </c>
      <c r="T263" s="12">
        <f>IF(H263&lt;&gt;1,0,IF((IF(Classifiers!$B$15="",0,IF(ISNUMBER(SEARCH(Classifiers!$B$15,E263)),1,0))+IF(Classifiers!$C$15="",0,IF(ISNUMBER(SEARCH(Classifiers!$C$15,E263)),1,0))+IF(Classifiers!$D$15="",0,IF(ISNUMBER(SEARCH(Classifiers!$D$15,E263)),1,0))+IF(Classifiers!$E$15="",0,IF(ISNUMBER(SEARCH(Classifiers!$E$15,E263)),1,0))+IF(Classifiers!$F$15="",0,IF(ISNUMBER(SEARCH(Classifiers!$F$15,E263)),1,0))+IF(Classifiers!$G$15="",0,IF(ISNUMBER(SEARCH(Classifiers!$G$15,E263)),1,0)))&gt;0,1,0))</f>
        <v/>
      </c>
      <c r="U263" s="12">
        <f>IF(H263&lt;&gt;1,0,IF((IF(Classifiers!$B$16="",0,IF(ISNUMBER(SEARCH(Classifiers!$B$16,E263)),1,0))+IF(Classifiers!$C$16="",0,IF(ISNUMBER(SEARCH(Classifiers!$C$16,E263)),1,0))+IF(Classifiers!$D$16="",0,IF(ISNUMBER(SEARCH(Classifiers!$D$16,E263)),1,0))+IF(Classifiers!$E$16="",0,IF(ISNUMBER(SEARCH(Classifiers!$E$16,E263)),1,0))+IF(Classifiers!$F$16="",0,IF(ISNUMBER(SEARCH(Classifiers!$F$16,E263)),1,0))+IF(Classifiers!$G$16="",0,IF(ISNUMBER(SEARCH(Classifiers!$G$16,E263)),1,0)))&gt;0,1,0))</f>
        <v/>
      </c>
      <c r="V263" s="12">
        <f>IF(H263&lt;&gt;1,0,IF((IF(Classifiers!$B$17="",0,IF(ISNUMBER(SEARCH(Classifiers!$B$17,E263)),1,0))+IF(Classifiers!$C$17="",0,IF(ISNUMBER(SEARCH(Classifiers!$C$17,E263)),1,0))+IF(Classifiers!$D$17="",0,IF(ISNUMBER(SEARCH(Classifiers!$D$17,E263)),1,0))+IF(Classifiers!$E$17="",0,IF(ISNUMBER(SEARCH(Classifiers!$E$17,E263)),1,0))+IF(Classifiers!$F$17="",0,IF(ISNUMBER(SEARCH(Classifiers!$F$17,E263)),1,0))+IF(Classifiers!$G$17="",0,IF(ISNUMBER(SEARCH(Classifiers!$G$17,E263)),1,0)))&gt;0,1,0))</f>
        <v/>
      </c>
      <c r="W263" s="12">
        <f>IF(H263&lt;&gt;1,0,IF((IF(Classifiers!$B$18="",0,IF(ISNUMBER(SEARCH(Classifiers!$B$18,E263)),1,0))+IF(Classifiers!$C$18="",0,IF(ISNUMBER(SEARCH(Classifiers!$C$18,E263)),1,0))+IF(Classifiers!$D$18="",0,IF(ISNUMBER(SEARCH(Classifiers!$D$18,E263)),1,0))+IF(Classifiers!$E$18="",0,IF(ISNUMBER(SEARCH(Classifiers!$E$18,E263)),1,0))+IF(Classifiers!$F$18="",0,IF(ISNUMBER(SEARCH(Classifiers!$F$18,E263)),1,0))+IF(Classifiers!$G$18="",0,IF(ISNUMBER(SEARCH(Classifiers!$G$18,E263)),1,0)))&gt;0,1,0))</f>
        <v/>
      </c>
    </row>
    <row r="264">
      <c r="A264" s="8" t="n"/>
      <c r="B264" s="11" t="n"/>
      <c r="C264" s="6">
        <f>IF(A264="","",TRIM(RIGHT(SUBSTITUTE(A264,"/",REPT(" ",250)),250)))</f>
        <v/>
      </c>
      <c r="D264" s="6">
        <f>IF(C264="","",IF(ISNUMBER(SEARCH(".",C264)),LOWER("."&amp;TRIM(RIGHT(SUBSTITUTE(C264,".",REPT(" ",250)),250))),""))</f>
        <v/>
      </c>
      <c r="E264" s="6">
        <f>IF(C264="","",TRIM(SUBSTITUTE(SUBSTITUTE(SUBSTITUTE(SUBSTITUTE(SUBSTITUTE(SUBSTITUTE(SUBSTITUTE(SUBSTITUTE(SUBSTITUTE(SUBSTITUTE(SUBSTITUTE(SUBSTITUTE(SUBSTITUTE(SUBSTITUTE(SUBSTITUTE(SUBSTITUTE(SUBSTITUTE(SUBSTITUTE(SUBSTITUTE(SUBSTITUTE(LOWER(LEFT(C264,LEN(C264)-LEN(D264))),"_"," "),"-"," "),"."," "),","," "),"("," "),")"," "),"["," "),"]"," "),"&amp;"," "),"+"," "),"@"," "),"#"," "),"!"," "),"'"," "),"/"," "),":"," "),";"," "),"="," "),"~"," "),"%"," ")))</f>
        <v/>
      </c>
      <c r="F264" s="6">
        <f>IF(C264="","",IF(COUNTIF(Classifiers!$A$23:$A$40,D264)&gt;0,1,0))</f>
        <v/>
      </c>
      <c r="G264" s="6">
        <f>IF(C264="","",IF(COUNTIF(Classifiers!$C$23:$C$30,D264)&gt;0,IF((IF(ISNUMBER(SEARCH(Classifiers!$E$23,E264)),1,0)+IF(ISNUMBER(SEARCH(Classifiers!$E$24,E264)),1,0)+IF(ISNUMBER(SEARCH(Classifiers!$E$25,E264)),1,0)+IF(ISNUMBER(SEARCH(Classifiers!$E$26,E264)),1,0)+IF(ISNUMBER(SEARCH(Classifiers!$E$27,E264)),1,0)+IF(ISNUMBER(SEARCH(Classifiers!$E$28,E264)),1,0)+IF(ISNUMBER(SEARCH(Classifiers!$E$29,E264)),1,0)+IF(ISNUMBER(SEARCH(Classifiers!$E$30,E264)),1,0))&gt;0,1,0),0))</f>
        <v/>
      </c>
      <c r="H264" s="6">
        <f>IF(C264="","",IF(OR(LEFT(C264,1)=".",AND(F264=0,G264=0)),0,1))</f>
        <v/>
      </c>
      <c r="I264" s="6">
        <f>IF(H264&lt;&gt;1,"",IF(SUM(J264:W264)=0,"unclassified",INDEX(Classifiers!$A$5:$A$18,MATCH(1,J264:W264,0),1)))</f>
        <v/>
      </c>
      <c r="J264" s="12">
        <f>IF(H264&lt;&gt;1,0,IF((IF(Classifiers!$B$5="",0,IF(ISNUMBER(SEARCH(Classifiers!$B$5,E264)),1,0))+IF(Classifiers!$C$5="",0,IF(ISNUMBER(SEARCH(Classifiers!$C$5,E264)),1,0))+IF(Classifiers!$D$5="",0,IF(ISNUMBER(SEARCH(Classifiers!$D$5,E264)),1,0))+IF(Classifiers!$E$5="",0,IF(ISNUMBER(SEARCH(Classifiers!$E$5,E264)),1,0))+IF(Classifiers!$F$5="",0,IF(ISNUMBER(SEARCH(Classifiers!$F$5,E264)),1,0))+IF(Classifiers!$G$5="",0,IF(ISNUMBER(SEARCH(Classifiers!$G$5,E264)),1,0)))&gt;0,1,0))</f>
        <v/>
      </c>
      <c r="K264" s="12">
        <f>IF(H264&lt;&gt;1,0,IF((IF(Classifiers!$B$6="",0,IF(ISNUMBER(SEARCH(Classifiers!$B$6,E264)),1,0))+IF(Classifiers!$C$6="",0,IF(ISNUMBER(SEARCH(Classifiers!$C$6,E264)),1,0))+IF(Classifiers!$D$6="",0,IF(ISNUMBER(SEARCH(Classifiers!$D$6,E264)),1,0))+IF(Classifiers!$E$6="",0,IF(ISNUMBER(SEARCH(Classifiers!$E$6,E264)),1,0))+IF(Classifiers!$F$6="",0,IF(ISNUMBER(SEARCH(Classifiers!$F$6,E264)),1,0))+IF(Classifiers!$G$6="",0,IF(ISNUMBER(SEARCH(Classifiers!$G$6,E264)),1,0)))&gt;0,1,0))</f>
        <v/>
      </c>
      <c r="L264" s="12">
        <f>IF(H264&lt;&gt;1,0,IF((IF(Classifiers!$B$7="",0,IF(ISNUMBER(SEARCH(Classifiers!$B$7,E264)),1,0))+IF(Classifiers!$C$7="",0,IF(ISNUMBER(SEARCH(Classifiers!$C$7,E264)),1,0))+IF(Classifiers!$D$7="",0,IF(ISNUMBER(SEARCH(Classifiers!$D$7,E264)),1,0))+IF(Classifiers!$E$7="",0,IF(ISNUMBER(SEARCH(Classifiers!$E$7,E264)),1,0))+IF(Classifiers!$F$7="",0,IF(ISNUMBER(SEARCH(Classifiers!$F$7,E264)),1,0))+IF(Classifiers!$G$7="",0,IF(ISNUMBER(SEARCH(Classifiers!$G$7,E264)),1,0)))&gt;0,1,0))</f>
        <v/>
      </c>
      <c r="M264" s="12">
        <f>IF(H264&lt;&gt;1,0,IF((IF(Classifiers!$B$8="",0,IF(ISNUMBER(SEARCH(Classifiers!$B$8,E264)),1,0))+IF(Classifiers!$C$8="",0,IF(ISNUMBER(SEARCH(Classifiers!$C$8,E264)),1,0))+IF(Classifiers!$D$8="",0,IF(ISNUMBER(SEARCH(Classifiers!$D$8,E264)),1,0))+IF(Classifiers!$E$8="",0,IF(ISNUMBER(SEARCH(Classifiers!$E$8,E264)),1,0))+IF(Classifiers!$F$8="",0,IF(ISNUMBER(SEARCH(Classifiers!$F$8,E264)),1,0))+IF(Classifiers!$G$8="",0,IF(ISNUMBER(SEARCH(Classifiers!$G$8,E264)),1,0)))&gt;0,1,0))</f>
        <v/>
      </c>
      <c r="N264" s="12">
        <f>IF(H264&lt;&gt;1,0,IF((IF(Classifiers!$B$9="",0,IF(ISNUMBER(SEARCH(Classifiers!$B$9,E264)),1,0))+IF(Classifiers!$C$9="",0,IF(ISNUMBER(SEARCH(Classifiers!$C$9,E264)),1,0))+IF(Classifiers!$D$9="",0,IF(ISNUMBER(SEARCH(Classifiers!$D$9,E264)),1,0))+IF(Classifiers!$E$9="",0,IF(ISNUMBER(SEARCH(Classifiers!$E$9,E264)),1,0))+IF(Classifiers!$F$9="",0,IF(ISNUMBER(SEARCH(Classifiers!$F$9,E264)),1,0))+IF(Classifiers!$G$9="",0,IF(ISNUMBER(SEARCH(Classifiers!$G$9,E264)),1,0)))&gt;0,1,0))</f>
        <v/>
      </c>
      <c r="O264" s="12">
        <f>IF(H264&lt;&gt;1,0,IF((IF(Classifiers!$B$10="",0,IF(ISNUMBER(SEARCH(Classifiers!$B$10,E264)),1,0))+IF(Classifiers!$C$10="",0,IF(ISNUMBER(SEARCH(Classifiers!$C$10,E264)),1,0))+IF(Classifiers!$D$10="",0,IF(ISNUMBER(SEARCH(Classifiers!$D$10,E264)),1,0))+IF(Classifiers!$E$10="",0,IF(ISNUMBER(SEARCH(Classifiers!$E$10,E264)),1,0))+IF(Classifiers!$F$10="",0,IF(ISNUMBER(SEARCH(Classifiers!$F$10,E264)),1,0))+IF(Classifiers!$G$10="",0,IF(ISNUMBER(SEARCH(Classifiers!$G$10,E264)),1,0)))&gt;0,1,0))</f>
        <v/>
      </c>
      <c r="P264" s="12">
        <f>IF(H264&lt;&gt;1,0,IF((IF(Classifiers!$B$11="",0,IF(ISNUMBER(SEARCH(Classifiers!$B$11,E264)),1,0))+IF(Classifiers!$C$11="",0,IF(ISNUMBER(SEARCH(Classifiers!$C$11,E264)),1,0))+IF(Classifiers!$D$11="",0,IF(ISNUMBER(SEARCH(Classifiers!$D$11,E264)),1,0))+IF(Classifiers!$E$11="",0,IF(ISNUMBER(SEARCH(Classifiers!$E$11,E264)),1,0))+IF(Classifiers!$F$11="",0,IF(ISNUMBER(SEARCH(Classifiers!$F$11,E264)),1,0))+IF(Classifiers!$G$11="",0,IF(ISNUMBER(SEARCH(Classifiers!$G$11,E264)),1,0)))&gt;0,1,0))</f>
        <v/>
      </c>
      <c r="Q264" s="12">
        <f>IF(H264&lt;&gt;1,0,IF((IF(Classifiers!$B$12="",0,IF(ISNUMBER(SEARCH(Classifiers!$B$12,E264)),1,0))+IF(Classifiers!$C$12="",0,IF(ISNUMBER(SEARCH(Classifiers!$C$12,E264)),1,0))+IF(Classifiers!$D$12="",0,IF(ISNUMBER(SEARCH(Classifiers!$D$12,E264)),1,0))+IF(Classifiers!$E$12="",0,IF(ISNUMBER(SEARCH(Classifiers!$E$12,E264)),1,0))+IF(Classifiers!$F$12="",0,IF(ISNUMBER(SEARCH(Classifiers!$F$12,E264)),1,0))+IF(Classifiers!$G$12="",0,IF(ISNUMBER(SEARCH(Classifiers!$G$12,E264)),1,0)))&gt;0,1,0))</f>
        <v/>
      </c>
      <c r="R264" s="12">
        <f>IF(H264&lt;&gt;1,0,IF((IF(Classifiers!$B$13="",0,IF(ISNUMBER(SEARCH(Classifiers!$B$13,E264)),1,0))+IF(Classifiers!$C$13="",0,IF(ISNUMBER(SEARCH(Classifiers!$C$13,E264)),1,0))+IF(Classifiers!$D$13="",0,IF(ISNUMBER(SEARCH(Classifiers!$D$13,E264)),1,0))+IF(Classifiers!$E$13="",0,IF(ISNUMBER(SEARCH(Classifiers!$E$13,E264)),1,0))+IF(Classifiers!$F$13="",0,IF(ISNUMBER(SEARCH(Classifiers!$F$13,E264)),1,0))+IF(Classifiers!$G$13="",0,IF(ISNUMBER(SEARCH(Classifiers!$G$13,E264)),1,0)))&gt;0,1,0))</f>
        <v/>
      </c>
      <c r="S264" s="12">
        <f>IF(H264&lt;&gt;1,0,IF((IF(Classifiers!$B$14="",0,IF(ISNUMBER(SEARCH(Classifiers!$B$14,E264)),1,0))+IF(Classifiers!$C$14="",0,IF(ISNUMBER(SEARCH(Classifiers!$C$14,E264)),1,0))+IF(Classifiers!$D$14="",0,IF(ISNUMBER(SEARCH(Classifiers!$D$14,E264)),1,0))+IF(Classifiers!$E$14="",0,IF(ISNUMBER(SEARCH(Classifiers!$E$14,E264)),1,0))+IF(Classifiers!$F$14="",0,IF(ISNUMBER(SEARCH(Classifiers!$F$14,E264)),1,0))+IF(Classifiers!$G$14="",0,IF(ISNUMBER(SEARCH(Classifiers!$G$14,E264)),1,0)))&gt;0,1,0))</f>
        <v/>
      </c>
      <c r="T264" s="12">
        <f>IF(H264&lt;&gt;1,0,IF((IF(Classifiers!$B$15="",0,IF(ISNUMBER(SEARCH(Classifiers!$B$15,E264)),1,0))+IF(Classifiers!$C$15="",0,IF(ISNUMBER(SEARCH(Classifiers!$C$15,E264)),1,0))+IF(Classifiers!$D$15="",0,IF(ISNUMBER(SEARCH(Classifiers!$D$15,E264)),1,0))+IF(Classifiers!$E$15="",0,IF(ISNUMBER(SEARCH(Classifiers!$E$15,E264)),1,0))+IF(Classifiers!$F$15="",0,IF(ISNUMBER(SEARCH(Classifiers!$F$15,E264)),1,0))+IF(Classifiers!$G$15="",0,IF(ISNUMBER(SEARCH(Classifiers!$G$15,E264)),1,0)))&gt;0,1,0))</f>
        <v/>
      </c>
      <c r="U264" s="12">
        <f>IF(H264&lt;&gt;1,0,IF((IF(Classifiers!$B$16="",0,IF(ISNUMBER(SEARCH(Classifiers!$B$16,E264)),1,0))+IF(Classifiers!$C$16="",0,IF(ISNUMBER(SEARCH(Classifiers!$C$16,E264)),1,0))+IF(Classifiers!$D$16="",0,IF(ISNUMBER(SEARCH(Classifiers!$D$16,E264)),1,0))+IF(Classifiers!$E$16="",0,IF(ISNUMBER(SEARCH(Classifiers!$E$16,E264)),1,0))+IF(Classifiers!$F$16="",0,IF(ISNUMBER(SEARCH(Classifiers!$F$16,E264)),1,0))+IF(Classifiers!$G$16="",0,IF(ISNUMBER(SEARCH(Classifiers!$G$16,E264)),1,0)))&gt;0,1,0))</f>
        <v/>
      </c>
      <c r="V264" s="12">
        <f>IF(H264&lt;&gt;1,0,IF((IF(Classifiers!$B$17="",0,IF(ISNUMBER(SEARCH(Classifiers!$B$17,E264)),1,0))+IF(Classifiers!$C$17="",0,IF(ISNUMBER(SEARCH(Classifiers!$C$17,E264)),1,0))+IF(Classifiers!$D$17="",0,IF(ISNUMBER(SEARCH(Classifiers!$D$17,E264)),1,0))+IF(Classifiers!$E$17="",0,IF(ISNUMBER(SEARCH(Classifiers!$E$17,E264)),1,0))+IF(Classifiers!$F$17="",0,IF(ISNUMBER(SEARCH(Classifiers!$F$17,E264)),1,0))+IF(Classifiers!$G$17="",0,IF(ISNUMBER(SEARCH(Classifiers!$G$17,E264)),1,0)))&gt;0,1,0))</f>
        <v/>
      </c>
      <c r="W264" s="12">
        <f>IF(H264&lt;&gt;1,0,IF((IF(Classifiers!$B$18="",0,IF(ISNUMBER(SEARCH(Classifiers!$B$18,E264)),1,0))+IF(Classifiers!$C$18="",0,IF(ISNUMBER(SEARCH(Classifiers!$C$18,E264)),1,0))+IF(Classifiers!$D$18="",0,IF(ISNUMBER(SEARCH(Classifiers!$D$18,E264)),1,0))+IF(Classifiers!$E$18="",0,IF(ISNUMBER(SEARCH(Classifiers!$E$18,E264)),1,0))+IF(Classifiers!$F$18="",0,IF(ISNUMBER(SEARCH(Classifiers!$F$18,E264)),1,0))+IF(Classifiers!$G$18="",0,IF(ISNUMBER(SEARCH(Classifiers!$G$18,E264)),1,0)))&gt;0,1,0))</f>
        <v/>
      </c>
    </row>
    <row r="265">
      <c r="A265" s="8" t="n"/>
      <c r="B265" s="11" t="n"/>
      <c r="C265" s="6">
        <f>IF(A265="","",TRIM(RIGHT(SUBSTITUTE(A265,"/",REPT(" ",250)),250)))</f>
        <v/>
      </c>
      <c r="D265" s="6">
        <f>IF(C265="","",IF(ISNUMBER(SEARCH(".",C265)),LOWER("."&amp;TRIM(RIGHT(SUBSTITUTE(C265,".",REPT(" ",250)),250))),""))</f>
        <v/>
      </c>
      <c r="E265" s="6">
        <f>IF(C265="","",TRIM(SUBSTITUTE(SUBSTITUTE(SUBSTITUTE(SUBSTITUTE(SUBSTITUTE(SUBSTITUTE(SUBSTITUTE(SUBSTITUTE(SUBSTITUTE(SUBSTITUTE(SUBSTITUTE(SUBSTITUTE(SUBSTITUTE(SUBSTITUTE(SUBSTITUTE(SUBSTITUTE(SUBSTITUTE(SUBSTITUTE(SUBSTITUTE(SUBSTITUTE(LOWER(LEFT(C265,LEN(C265)-LEN(D265))),"_"," "),"-"," "),"."," "),","," "),"("," "),")"," "),"["," "),"]"," "),"&amp;"," "),"+"," "),"@"," "),"#"," "),"!"," "),"'"," "),"/"," "),":"," "),";"," "),"="," "),"~"," "),"%"," ")))</f>
        <v/>
      </c>
      <c r="F265" s="6">
        <f>IF(C265="","",IF(COUNTIF(Classifiers!$A$23:$A$40,D265)&gt;0,1,0))</f>
        <v/>
      </c>
      <c r="G265" s="6">
        <f>IF(C265="","",IF(COUNTIF(Classifiers!$C$23:$C$30,D265)&gt;0,IF((IF(ISNUMBER(SEARCH(Classifiers!$E$23,E265)),1,0)+IF(ISNUMBER(SEARCH(Classifiers!$E$24,E265)),1,0)+IF(ISNUMBER(SEARCH(Classifiers!$E$25,E265)),1,0)+IF(ISNUMBER(SEARCH(Classifiers!$E$26,E265)),1,0)+IF(ISNUMBER(SEARCH(Classifiers!$E$27,E265)),1,0)+IF(ISNUMBER(SEARCH(Classifiers!$E$28,E265)),1,0)+IF(ISNUMBER(SEARCH(Classifiers!$E$29,E265)),1,0)+IF(ISNUMBER(SEARCH(Classifiers!$E$30,E265)),1,0))&gt;0,1,0),0))</f>
        <v/>
      </c>
      <c r="H265" s="6">
        <f>IF(C265="","",IF(OR(LEFT(C265,1)=".",AND(F265=0,G265=0)),0,1))</f>
        <v/>
      </c>
      <c r="I265" s="6">
        <f>IF(H265&lt;&gt;1,"",IF(SUM(J265:W265)=0,"unclassified",INDEX(Classifiers!$A$5:$A$18,MATCH(1,J265:W265,0),1)))</f>
        <v/>
      </c>
      <c r="J265" s="12">
        <f>IF(H265&lt;&gt;1,0,IF((IF(Classifiers!$B$5="",0,IF(ISNUMBER(SEARCH(Classifiers!$B$5,E265)),1,0))+IF(Classifiers!$C$5="",0,IF(ISNUMBER(SEARCH(Classifiers!$C$5,E265)),1,0))+IF(Classifiers!$D$5="",0,IF(ISNUMBER(SEARCH(Classifiers!$D$5,E265)),1,0))+IF(Classifiers!$E$5="",0,IF(ISNUMBER(SEARCH(Classifiers!$E$5,E265)),1,0))+IF(Classifiers!$F$5="",0,IF(ISNUMBER(SEARCH(Classifiers!$F$5,E265)),1,0))+IF(Classifiers!$G$5="",0,IF(ISNUMBER(SEARCH(Classifiers!$G$5,E265)),1,0)))&gt;0,1,0))</f>
        <v/>
      </c>
      <c r="K265" s="12">
        <f>IF(H265&lt;&gt;1,0,IF((IF(Classifiers!$B$6="",0,IF(ISNUMBER(SEARCH(Classifiers!$B$6,E265)),1,0))+IF(Classifiers!$C$6="",0,IF(ISNUMBER(SEARCH(Classifiers!$C$6,E265)),1,0))+IF(Classifiers!$D$6="",0,IF(ISNUMBER(SEARCH(Classifiers!$D$6,E265)),1,0))+IF(Classifiers!$E$6="",0,IF(ISNUMBER(SEARCH(Classifiers!$E$6,E265)),1,0))+IF(Classifiers!$F$6="",0,IF(ISNUMBER(SEARCH(Classifiers!$F$6,E265)),1,0))+IF(Classifiers!$G$6="",0,IF(ISNUMBER(SEARCH(Classifiers!$G$6,E265)),1,0)))&gt;0,1,0))</f>
        <v/>
      </c>
      <c r="L265" s="12">
        <f>IF(H265&lt;&gt;1,0,IF((IF(Classifiers!$B$7="",0,IF(ISNUMBER(SEARCH(Classifiers!$B$7,E265)),1,0))+IF(Classifiers!$C$7="",0,IF(ISNUMBER(SEARCH(Classifiers!$C$7,E265)),1,0))+IF(Classifiers!$D$7="",0,IF(ISNUMBER(SEARCH(Classifiers!$D$7,E265)),1,0))+IF(Classifiers!$E$7="",0,IF(ISNUMBER(SEARCH(Classifiers!$E$7,E265)),1,0))+IF(Classifiers!$F$7="",0,IF(ISNUMBER(SEARCH(Classifiers!$F$7,E265)),1,0))+IF(Classifiers!$G$7="",0,IF(ISNUMBER(SEARCH(Classifiers!$G$7,E265)),1,0)))&gt;0,1,0))</f>
        <v/>
      </c>
      <c r="M265" s="12">
        <f>IF(H265&lt;&gt;1,0,IF((IF(Classifiers!$B$8="",0,IF(ISNUMBER(SEARCH(Classifiers!$B$8,E265)),1,0))+IF(Classifiers!$C$8="",0,IF(ISNUMBER(SEARCH(Classifiers!$C$8,E265)),1,0))+IF(Classifiers!$D$8="",0,IF(ISNUMBER(SEARCH(Classifiers!$D$8,E265)),1,0))+IF(Classifiers!$E$8="",0,IF(ISNUMBER(SEARCH(Classifiers!$E$8,E265)),1,0))+IF(Classifiers!$F$8="",0,IF(ISNUMBER(SEARCH(Classifiers!$F$8,E265)),1,0))+IF(Classifiers!$G$8="",0,IF(ISNUMBER(SEARCH(Classifiers!$G$8,E265)),1,0)))&gt;0,1,0))</f>
        <v/>
      </c>
      <c r="N265" s="12">
        <f>IF(H265&lt;&gt;1,0,IF((IF(Classifiers!$B$9="",0,IF(ISNUMBER(SEARCH(Classifiers!$B$9,E265)),1,0))+IF(Classifiers!$C$9="",0,IF(ISNUMBER(SEARCH(Classifiers!$C$9,E265)),1,0))+IF(Classifiers!$D$9="",0,IF(ISNUMBER(SEARCH(Classifiers!$D$9,E265)),1,0))+IF(Classifiers!$E$9="",0,IF(ISNUMBER(SEARCH(Classifiers!$E$9,E265)),1,0))+IF(Classifiers!$F$9="",0,IF(ISNUMBER(SEARCH(Classifiers!$F$9,E265)),1,0))+IF(Classifiers!$G$9="",0,IF(ISNUMBER(SEARCH(Classifiers!$G$9,E265)),1,0)))&gt;0,1,0))</f>
        <v/>
      </c>
      <c r="O265" s="12">
        <f>IF(H265&lt;&gt;1,0,IF((IF(Classifiers!$B$10="",0,IF(ISNUMBER(SEARCH(Classifiers!$B$10,E265)),1,0))+IF(Classifiers!$C$10="",0,IF(ISNUMBER(SEARCH(Classifiers!$C$10,E265)),1,0))+IF(Classifiers!$D$10="",0,IF(ISNUMBER(SEARCH(Classifiers!$D$10,E265)),1,0))+IF(Classifiers!$E$10="",0,IF(ISNUMBER(SEARCH(Classifiers!$E$10,E265)),1,0))+IF(Classifiers!$F$10="",0,IF(ISNUMBER(SEARCH(Classifiers!$F$10,E265)),1,0))+IF(Classifiers!$G$10="",0,IF(ISNUMBER(SEARCH(Classifiers!$G$10,E265)),1,0)))&gt;0,1,0))</f>
        <v/>
      </c>
      <c r="P265" s="12">
        <f>IF(H265&lt;&gt;1,0,IF((IF(Classifiers!$B$11="",0,IF(ISNUMBER(SEARCH(Classifiers!$B$11,E265)),1,0))+IF(Classifiers!$C$11="",0,IF(ISNUMBER(SEARCH(Classifiers!$C$11,E265)),1,0))+IF(Classifiers!$D$11="",0,IF(ISNUMBER(SEARCH(Classifiers!$D$11,E265)),1,0))+IF(Classifiers!$E$11="",0,IF(ISNUMBER(SEARCH(Classifiers!$E$11,E265)),1,0))+IF(Classifiers!$F$11="",0,IF(ISNUMBER(SEARCH(Classifiers!$F$11,E265)),1,0))+IF(Classifiers!$G$11="",0,IF(ISNUMBER(SEARCH(Classifiers!$G$11,E265)),1,0)))&gt;0,1,0))</f>
        <v/>
      </c>
      <c r="Q265" s="12">
        <f>IF(H265&lt;&gt;1,0,IF((IF(Classifiers!$B$12="",0,IF(ISNUMBER(SEARCH(Classifiers!$B$12,E265)),1,0))+IF(Classifiers!$C$12="",0,IF(ISNUMBER(SEARCH(Classifiers!$C$12,E265)),1,0))+IF(Classifiers!$D$12="",0,IF(ISNUMBER(SEARCH(Classifiers!$D$12,E265)),1,0))+IF(Classifiers!$E$12="",0,IF(ISNUMBER(SEARCH(Classifiers!$E$12,E265)),1,0))+IF(Classifiers!$F$12="",0,IF(ISNUMBER(SEARCH(Classifiers!$F$12,E265)),1,0))+IF(Classifiers!$G$12="",0,IF(ISNUMBER(SEARCH(Classifiers!$G$12,E265)),1,0)))&gt;0,1,0))</f>
        <v/>
      </c>
      <c r="R265" s="12">
        <f>IF(H265&lt;&gt;1,0,IF((IF(Classifiers!$B$13="",0,IF(ISNUMBER(SEARCH(Classifiers!$B$13,E265)),1,0))+IF(Classifiers!$C$13="",0,IF(ISNUMBER(SEARCH(Classifiers!$C$13,E265)),1,0))+IF(Classifiers!$D$13="",0,IF(ISNUMBER(SEARCH(Classifiers!$D$13,E265)),1,0))+IF(Classifiers!$E$13="",0,IF(ISNUMBER(SEARCH(Classifiers!$E$13,E265)),1,0))+IF(Classifiers!$F$13="",0,IF(ISNUMBER(SEARCH(Classifiers!$F$13,E265)),1,0))+IF(Classifiers!$G$13="",0,IF(ISNUMBER(SEARCH(Classifiers!$G$13,E265)),1,0)))&gt;0,1,0))</f>
        <v/>
      </c>
      <c r="S265" s="12">
        <f>IF(H265&lt;&gt;1,0,IF((IF(Classifiers!$B$14="",0,IF(ISNUMBER(SEARCH(Classifiers!$B$14,E265)),1,0))+IF(Classifiers!$C$14="",0,IF(ISNUMBER(SEARCH(Classifiers!$C$14,E265)),1,0))+IF(Classifiers!$D$14="",0,IF(ISNUMBER(SEARCH(Classifiers!$D$14,E265)),1,0))+IF(Classifiers!$E$14="",0,IF(ISNUMBER(SEARCH(Classifiers!$E$14,E265)),1,0))+IF(Classifiers!$F$14="",0,IF(ISNUMBER(SEARCH(Classifiers!$F$14,E265)),1,0))+IF(Classifiers!$G$14="",0,IF(ISNUMBER(SEARCH(Classifiers!$G$14,E265)),1,0)))&gt;0,1,0))</f>
        <v/>
      </c>
      <c r="T265" s="12">
        <f>IF(H265&lt;&gt;1,0,IF((IF(Classifiers!$B$15="",0,IF(ISNUMBER(SEARCH(Classifiers!$B$15,E265)),1,0))+IF(Classifiers!$C$15="",0,IF(ISNUMBER(SEARCH(Classifiers!$C$15,E265)),1,0))+IF(Classifiers!$D$15="",0,IF(ISNUMBER(SEARCH(Classifiers!$D$15,E265)),1,0))+IF(Classifiers!$E$15="",0,IF(ISNUMBER(SEARCH(Classifiers!$E$15,E265)),1,0))+IF(Classifiers!$F$15="",0,IF(ISNUMBER(SEARCH(Classifiers!$F$15,E265)),1,0))+IF(Classifiers!$G$15="",0,IF(ISNUMBER(SEARCH(Classifiers!$G$15,E265)),1,0)))&gt;0,1,0))</f>
        <v/>
      </c>
      <c r="U265" s="12">
        <f>IF(H265&lt;&gt;1,0,IF((IF(Classifiers!$B$16="",0,IF(ISNUMBER(SEARCH(Classifiers!$B$16,E265)),1,0))+IF(Classifiers!$C$16="",0,IF(ISNUMBER(SEARCH(Classifiers!$C$16,E265)),1,0))+IF(Classifiers!$D$16="",0,IF(ISNUMBER(SEARCH(Classifiers!$D$16,E265)),1,0))+IF(Classifiers!$E$16="",0,IF(ISNUMBER(SEARCH(Classifiers!$E$16,E265)),1,0))+IF(Classifiers!$F$16="",0,IF(ISNUMBER(SEARCH(Classifiers!$F$16,E265)),1,0))+IF(Classifiers!$G$16="",0,IF(ISNUMBER(SEARCH(Classifiers!$G$16,E265)),1,0)))&gt;0,1,0))</f>
        <v/>
      </c>
      <c r="V265" s="12">
        <f>IF(H265&lt;&gt;1,0,IF((IF(Classifiers!$B$17="",0,IF(ISNUMBER(SEARCH(Classifiers!$B$17,E265)),1,0))+IF(Classifiers!$C$17="",0,IF(ISNUMBER(SEARCH(Classifiers!$C$17,E265)),1,0))+IF(Classifiers!$D$17="",0,IF(ISNUMBER(SEARCH(Classifiers!$D$17,E265)),1,0))+IF(Classifiers!$E$17="",0,IF(ISNUMBER(SEARCH(Classifiers!$E$17,E265)),1,0))+IF(Classifiers!$F$17="",0,IF(ISNUMBER(SEARCH(Classifiers!$F$17,E265)),1,0))+IF(Classifiers!$G$17="",0,IF(ISNUMBER(SEARCH(Classifiers!$G$17,E265)),1,0)))&gt;0,1,0))</f>
        <v/>
      </c>
      <c r="W265" s="12">
        <f>IF(H265&lt;&gt;1,0,IF((IF(Classifiers!$B$18="",0,IF(ISNUMBER(SEARCH(Classifiers!$B$18,E265)),1,0))+IF(Classifiers!$C$18="",0,IF(ISNUMBER(SEARCH(Classifiers!$C$18,E265)),1,0))+IF(Classifiers!$D$18="",0,IF(ISNUMBER(SEARCH(Classifiers!$D$18,E265)),1,0))+IF(Classifiers!$E$18="",0,IF(ISNUMBER(SEARCH(Classifiers!$E$18,E265)),1,0))+IF(Classifiers!$F$18="",0,IF(ISNUMBER(SEARCH(Classifiers!$F$18,E265)),1,0))+IF(Classifiers!$G$18="",0,IF(ISNUMBER(SEARCH(Classifiers!$G$18,E265)),1,0)))&gt;0,1,0))</f>
        <v/>
      </c>
    </row>
    <row r="266">
      <c r="A266" s="8" t="n"/>
      <c r="B266" s="11" t="n"/>
      <c r="C266" s="6">
        <f>IF(A266="","",TRIM(RIGHT(SUBSTITUTE(A266,"/",REPT(" ",250)),250)))</f>
        <v/>
      </c>
      <c r="D266" s="6">
        <f>IF(C266="","",IF(ISNUMBER(SEARCH(".",C266)),LOWER("."&amp;TRIM(RIGHT(SUBSTITUTE(C266,".",REPT(" ",250)),250))),""))</f>
        <v/>
      </c>
      <c r="E266" s="6">
        <f>IF(C266="","",TRIM(SUBSTITUTE(SUBSTITUTE(SUBSTITUTE(SUBSTITUTE(SUBSTITUTE(SUBSTITUTE(SUBSTITUTE(SUBSTITUTE(SUBSTITUTE(SUBSTITUTE(SUBSTITUTE(SUBSTITUTE(SUBSTITUTE(SUBSTITUTE(SUBSTITUTE(SUBSTITUTE(SUBSTITUTE(SUBSTITUTE(SUBSTITUTE(SUBSTITUTE(LOWER(LEFT(C266,LEN(C266)-LEN(D266))),"_"," "),"-"," "),"."," "),","," "),"("," "),")"," "),"["," "),"]"," "),"&amp;"," "),"+"," "),"@"," "),"#"," "),"!"," "),"'"," "),"/"," "),":"," "),";"," "),"="," "),"~"," "),"%"," ")))</f>
        <v/>
      </c>
      <c r="F266" s="6">
        <f>IF(C266="","",IF(COUNTIF(Classifiers!$A$23:$A$40,D266)&gt;0,1,0))</f>
        <v/>
      </c>
      <c r="G266" s="6">
        <f>IF(C266="","",IF(COUNTIF(Classifiers!$C$23:$C$30,D266)&gt;0,IF((IF(ISNUMBER(SEARCH(Classifiers!$E$23,E266)),1,0)+IF(ISNUMBER(SEARCH(Classifiers!$E$24,E266)),1,0)+IF(ISNUMBER(SEARCH(Classifiers!$E$25,E266)),1,0)+IF(ISNUMBER(SEARCH(Classifiers!$E$26,E266)),1,0)+IF(ISNUMBER(SEARCH(Classifiers!$E$27,E266)),1,0)+IF(ISNUMBER(SEARCH(Classifiers!$E$28,E266)),1,0)+IF(ISNUMBER(SEARCH(Classifiers!$E$29,E266)),1,0)+IF(ISNUMBER(SEARCH(Classifiers!$E$30,E266)),1,0))&gt;0,1,0),0))</f>
        <v/>
      </c>
      <c r="H266" s="6">
        <f>IF(C266="","",IF(OR(LEFT(C266,1)=".",AND(F266=0,G266=0)),0,1))</f>
        <v/>
      </c>
      <c r="I266" s="6">
        <f>IF(H266&lt;&gt;1,"",IF(SUM(J266:W266)=0,"unclassified",INDEX(Classifiers!$A$5:$A$18,MATCH(1,J266:W266,0),1)))</f>
        <v/>
      </c>
      <c r="J266" s="12">
        <f>IF(H266&lt;&gt;1,0,IF((IF(Classifiers!$B$5="",0,IF(ISNUMBER(SEARCH(Classifiers!$B$5,E266)),1,0))+IF(Classifiers!$C$5="",0,IF(ISNUMBER(SEARCH(Classifiers!$C$5,E266)),1,0))+IF(Classifiers!$D$5="",0,IF(ISNUMBER(SEARCH(Classifiers!$D$5,E266)),1,0))+IF(Classifiers!$E$5="",0,IF(ISNUMBER(SEARCH(Classifiers!$E$5,E266)),1,0))+IF(Classifiers!$F$5="",0,IF(ISNUMBER(SEARCH(Classifiers!$F$5,E266)),1,0))+IF(Classifiers!$G$5="",0,IF(ISNUMBER(SEARCH(Classifiers!$G$5,E266)),1,0)))&gt;0,1,0))</f>
        <v/>
      </c>
      <c r="K266" s="12">
        <f>IF(H266&lt;&gt;1,0,IF((IF(Classifiers!$B$6="",0,IF(ISNUMBER(SEARCH(Classifiers!$B$6,E266)),1,0))+IF(Classifiers!$C$6="",0,IF(ISNUMBER(SEARCH(Classifiers!$C$6,E266)),1,0))+IF(Classifiers!$D$6="",0,IF(ISNUMBER(SEARCH(Classifiers!$D$6,E266)),1,0))+IF(Classifiers!$E$6="",0,IF(ISNUMBER(SEARCH(Classifiers!$E$6,E266)),1,0))+IF(Classifiers!$F$6="",0,IF(ISNUMBER(SEARCH(Classifiers!$F$6,E266)),1,0))+IF(Classifiers!$G$6="",0,IF(ISNUMBER(SEARCH(Classifiers!$G$6,E266)),1,0)))&gt;0,1,0))</f>
        <v/>
      </c>
      <c r="L266" s="12">
        <f>IF(H266&lt;&gt;1,0,IF((IF(Classifiers!$B$7="",0,IF(ISNUMBER(SEARCH(Classifiers!$B$7,E266)),1,0))+IF(Classifiers!$C$7="",0,IF(ISNUMBER(SEARCH(Classifiers!$C$7,E266)),1,0))+IF(Classifiers!$D$7="",0,IF(ISNUMBER(SEARCH(Classifiers!$D$7,E266)),1,0))+IF(Classifiers!$E$7="",0,IF(ISNUMBER(SEARCH(Classifiers!$E$7,E266)),1,0))+IF(Classifiers!$F$7="",0,IF(ISNUMBER(SEARCH(Classifiers!$F$7,E266)),1,0))+IF(Classifiers!$G$7="",0,IF(ISNUMBER(SEARCH(Classifiers!$G$7,E266)),1,0)))&gt;0,1,0))</f>
        <v/>
      </c>
      <c r="M266" s="12">
        <f>IF(H266&lt;&gt;1,0,IF((IF(Classifiers!$B$8="",0,IF(ISNUMBER(SEARCH(Classifiers!$B$8,E266)),1,0))+IF(Classifiers!$C$8="",0,IF(ISNUMBER(SEARCH(Classifiers!$C$8,E266)),1,0))+IF(Classifiers!$D$8="",0,IF(ISNUMBER(SEARCH(Classifiers!$D$8,E266)),1,0))+IF(Classifiers!$E$8="",0,IF(ISNUMBER(SEARCH(Classifiers!$E$8,E266)),1,0))+IF(Classifiers!$F$8="",0,IF(ISNUMBER(SEARCH(Classifiers!$F$8,E266)),1,0))+IF(Classifiers!$G$8="",0,IF(ISNUMBER(SEARCH(Classifiers!$G$8,E266)),1,0)))&gt;0,1,0))</f>
        <v/>
      </c>
      <c r="N266" s="12">
        <f>IF(H266&lt;&gt;1,0,IF((IF(Classifiers!$B$9="",0,IF(ISNUMBER(SEARCH(Classifiers!$B$9,E266)),1,0))+IF(Classifiers!$C$9="",0,IF(ISNUMBER(SEARCH(Classifiers!$C$9,E266)),1,0))+IF(Classifiers!$D$9="",0,IF(ISNUMBER(SEARCH(Classifiers!$D$9,E266)),1,0))+IF(Classifiers!$E$9="",0,IF(ISNUMBER(SEARCH(Classifiers!$E$9,E266)),1,0))+IF(Classifiers!$F$9="",0,IF(ISNUMBER(SEARCH(Classifiers!$F$9,E266)),1,0))+IF(Classifiers!$G$9="",0,IF(ISNUMBER(SEARCH(Classifiers!$G$9,E266)),1,0)))&gt;0,1,0))</f>
        <v/>
      </c>
      <c r="O266" s="12">
        <f>IF(H266&lt;&gt;1,0,IF((IF(Classifiers!$B$10="",0,IF(ISNUMBER(SEARCH(Classifiers!$B$10,E266)),1,0))+IF(Classifiers!$C$10="",0,IF(ISNUMBER(SEARCH(Classifiers!$C$10,E266)),1,0))+IF(Classifiers!$D$10="",0,IF(ISNUMBER(SEARCH(Classifiers!$D$10,E266)),1,0))+IF(Classifiers!$E$10="",0,IF(ISNUMBER(SEARCH(Classifiers!$E$10,E266)),1,0))+IF(Classifiers!$F$10="",0,IF(ISNUMBER(SEARCH(Classifiers!$F$10,E266)),1,0))+IF(Classifiers!$G$10="",0,IF(ISNUMBER(SEARCH(Classifiers!$G$10,E266)),1,0)))&gt;0,1,0))</f>
        <v/>
      </c>
      <c r="P266" s="12">
        <f>IF(H266&lt;&gt;1,0,IF((IF(Classifiers!$B$11="",0,IF(ISNUMBER(SEARCH(Classifiers!$B$11,E266)),1,0))+IF(Classifiers!$C$11="",0,IF(ISNUMBER(SEARCH(Classifiers!$C$11,E266)),1,0))+IF(Classifiers!$D$11="",0,IF(ISNUMBER(SEARCH(Classifiers!$D$11,E266)),1,0))+IF(Classifiers!$E$11="",0,IF(ISNUMBER(SEARCH(Classifiers!$E$11,E266)),1,0))+IF(Classifiers!$F$11="",0,IF(ISNUMBER(SEARCH(Classifiers!$F$11,E266)),1,0))+IF(Classifiers!$G$11="",0,IF(ISNUMBER(SEARCH(Classifiers!$G$11,E266)),1,0)))&gt;0,1,0))</f>
        <v/>
      </c>
      <c r="Q266" s="12">
        <f>IF(H266&lt;&gt;1,0,IF((IF(Classifiers!$B$12="",0,IF(ISNUMBER(SEARCH(Classifiers!$B$12,E266)),1,0))+IF(Classifiers!$C$12="",0,IF(ISNUMBER(SEARCH(Classifiers!$C$12,E266)),1,0))+IF(Classifiers!$D$12="",0,IF(ISNUMBER(SEARCH(Classifiers!$D$12,E266)),1,0))+IF(Classifiers!$E$12="",0,IF(ISNUMBER(SEARCH(Classifiers!$E$12,E266)),1,0))+IF(Classifiers!$F$12="",0,IF(ISNUMBER(SEARCH(Classifiers!$F$12,E266)),1,0))+IF(Classifiers!$G$12="",0,IF(ISNUMBER(SEARCH(Classifiers!$G$12,E266)),1,0)))&gt;0,1,0))</f>
        <v/>
      </c>
      <c r="R266" s="12">
        <f>IF(H266&lt;&gt;1,0,IF((IF(Classifiers!$B$13="",0,IF(ISNUMBER(SEARCH(Classifiers!$B$13,E266)),1,0))+IF(Classifiers!$C$13="",0,IF(ISNUMBER(SEARCH(Classifiers!$C$13,E266)),1,0))+IF(Classifiers!$D$13="",0,IF(ISNUMBER(SEARCH(Classifiers!$D$13,E266)),1,0))+IF(Classifiers!$E$13="",0,IF(ISNUMBER(SEARCH(Classifiers!$E$13,E266)),1,0))+IF(Classifiers!$F$13="",0,IF(ISNUMBER(SEARCH(Classifiers!$F$13,E266)),1,0))+IF(Classifiers!$G$13="",0,IF(ISNUMBER(SEARCH(Classifiers!$G$13,E266)),1,0)))&gt;0,1,0))</f>
        <v/>
      </c>
      <c r="S266" s="12">
        <f>IF(H266&lt;&gt;1,0,IF((IF(Classifiers!$B$14="",0,IF(ISNUMBER(SEARCH(Classifiers!$B$14,E266)),1,0))+IF(Classifiers!$C$14="",0,IF(ISNUMBER(SEARCH(Classifiers!$C$14,E266)),1,0))+IF(Classifiers!$D$14="",0,IF(ISNUMBER(SEARCH(Classifiers!$D$14,E266)),1,0))+IF(Classifiers!$E$14="",0,IF(ISNUMBER(SEARCH(Classifiers!$E$14,E266)),1,0))+IF(Classifiers!$F$14="",0,IF(ISNUMBER(SEARCH(Classifiers!$F$14,E266)),1,0))+IF(Classifiers!$G$14="",0,IF(ISNUMBER(SEARCH(Classifiers!$G$14,E266)),1,0)))&gt;0,1,0))</f>
        <v/>
      </c>
      <c r="T266" s="12">
        <f>IF(H266&lt;&gt;1,0,IF((IF(Classifiers!$B$15="",0,IF(ISNUMBER(SEARCH(Classifiers!$B$15,E266)),1,0))+IF(Classifiers!$C$15="",0,IF(ISNUMBER(SEARCH(Classifiers!$C$15,E266)),1,0))+IF(Classifiers!$D$15="",0,IF(ISNUMBER(SEARCH(Classifiers!$D$15,E266)),1,0))+IF(Classifiers!$E$15="",0,IF(ISNUMBER(SEARCH(Classifiers!$E$15,E266)),1,0))+IF(Classifiers!$F$15="",0,IF(ISNUMBER(SEARCH(Classifiers!$F$15,E266)),1,0))+IF(Classifiers!$G$15="",0,IF(ISNUMBER(SEARCH(Classifiers!$G$15,E266)),1,0)))&gt;0,1,0))</f>
        <v/>
      </c>
      <c r="U266" s="12">
        <f>IF(H266&lt;&gt;1,0,IF((IF(Classifiers!$B$16="",0,IF(ISNUMBER(SEARCH(Classifiers!$B$16,E266)),1,0))+IF(Classifiers!$C$16="",0,IF(ISNUMBER(SEARCH(Classifiers!$C$16,E266)),1,0))+IF(Classifiers!$D$16="",0,IF(ISNUMBER(SEARCH(Classifiers!$D$16,E266)),1,0))+IF(Classifiers!$E$16="",0,IF(ISNUMBER(SEARCH(Classifiers!$E$16,E266)),1,0))+IF(Classifiers!$F$16="",0,IF(ISNUMBER(SEARCH(Classifiers!$F$16,E266)),1,0))+IF(Classifiers!$G$16="",0,IF(ISNUMBER(SEARCH(Classifiers!$G$16,E266)),1,0)))&gt;0,1,0))</f>
        <v/>
      </c>
      <c r="V266" s="12">
        <f>IF(H266&lt;&gt;1,0,IF((IF(Classifiers!$B$17="",0,IF(ISNUMBER(SEARCH(Classifiers!$B$17,E266)),1,0))+IF(Classifiers!$C$17="",0,IF(ISNUMBER(SEARCH(Classifiers!$C$17,E266)),1,0))+IF(Classifiers!$D$17="",0,IF(ISNUMBER(SEARCH(Classifiers!$D$17,E266)),1,0))+IF(Classifiers!$E$17="",0,IF(ISNUMBER(SEARCH(Classifiers!$E$17,E266)),1,0))+IF(Classifiers!$F$17="",0,IF(ISNUMBER(SEARCH(Classifiers!$F$17,E266)),1,0))+IF(Classifiers!$G$17="",0,IF(ISNUMBER(SEARCH(Classifiers!$G$17,E266)),1,0)))&gt;0,1,0))</f>
        <v/>
      </c>
      <c r="W266" s="12">
        <f>IF(H266&lt;&gt;1,0,IF((IF(Classifiers!$B$18="",0,IF(ISNUMBER(SEARCH(Classifiers!$B$18,E266)),1,0))+IF(Classifiers!$C$18="",0,IF(ISNUMBER(SEARCH(Classifiers!$C$18,E266)),1,0))+IF(Classifiers!$D$18="",0,IF(ISNUMBER(SEARCH(Classifiers!$D$18,E266)),1,0))+IF(Classifiers!$E$18="",0,IF(ISNUMBER(SEARCH(Classifiers!$E$18,E266)),1,0))+IF(Classifiers!$F$18="",0,IF(ISNUMBER(SEARCH(Classifiers!$F$18,E266)),1,0))+IF(Classifiers!$G$18="",0,IF(ISNUMBER(SEARCH(Classifiers!$G$18,E266)),1,0)))&gt;0,1,0))</f>
        <v/>
      </c>
    </row>
    <row r="267">
      <c r="A267" s="8" t="n"/>
      <c r="B267" s="11" t="n"/>
      <c r="C267" s="6">
        <f>IF(A267="","",TRIM(RIGHT(SUBSTITUTE(A267,"/",REPT(" ",250)),250)))</f>
        <v/>
      </c>
      <c r="D267" s="6">
        <f>IF(C267="","",IF(ISNUMBER(SEARCH(".",C267)),LOWER("."&amp;TRIM(RIGHT(SUBSTITUTE(C267,".",REPT(" ",250)),250))),""))</f>
        <v/>
      </c>
      <c r="E267" s="6">
        <f>IF(C267="","",TRIM(SUBSTITUTE(SUBSTITUTE(SUBSTITUTE(SUBSTITUTE(SUBSTITUTE(SUBSTITUTE(SUBSTITUTE(SUBSTITUTE(SUBSTITUTE(SUBSTITUTE(SUBSTITUTE(SUBSTITUTE(SUBSTITUTE(SUBSTITUTE(SUBSTITUTE(SUBSTITUTE(SUBSTITUTE(SUBSTITUTE(SUBSTITUTE(SUBSTITUTE(LOWER(LEFT(C267,LEN(C267)-LEN(D267))),"_"," "),"-"," "),"."," "),","," "),"("," "),")"," "),"["," "),"]"," "),"&amp;"," "),"+"," "),"@"," "),"#"," "),"!"," "),"'"," "),"/"," "),":"," "),";"," "),"="," "),"~"," "),"%"," ")))</f>
        <v/>
      </c>
      <c r="F267" s="6">
        <f>IF(C267="","",IF(COUNTIF(Classifiers!$A$23:$A$40,D267)&gt;0,1,0))</f>
        <v/>
      </c>
      <c r="G267" s="6">
        <f>IF(C267="","",IF(COUNTIF(Classifiers!$C$23:$C$30,D267)&gt;0,IF((IF(ISNUMBER(SEARCH(Classifiers!$E$23,E267)),1,0)+IF(ISNUMBER(SEARCH(Classifiers!$E$24,E267)),1,0)+IF(ISNUMBER(SEARCH(Classifiers!$E$25,E267)),1,0)+IF(ISNUMBER(SEARCH(Classifiers!$E$26,E267)),1,0)+IF(ISNUMBER(SEARCH(Classifiers!$E$27,E267)),1,0)+IF(ISNUMBER(SEARCH(Classifiers!$E$28,E267)),1,0)+IF(ISNUMBER(SEARCH(Classifiers!$E$29,E267)),1,0)+IF(ISNUMBER(SEARCH(Classifiers!$E$30,E267)),1,0))&gt;0,1,0),0))</f>
        <v/>
      </c>
      <c r="H267" s="6">
        <f>IF(C267="","",IF(OR(LEFT(C267,1)=".",AND(F267=0,G267=0)),0,1))</f>
        <v/>
      </c>
      <c r="I267" s="6">
        <f>IF(H267&lt;&gt;1,"",IF(SUM(J267:W267)=0,"unclassified",INDEX(Classifiers!$A$5:$A$18,MATCH(1,J267:W267,0),1)))</f>
        <v/>
      </c>
      <c r="J267" s="12">
        <f>IF(H267&lt;&gt;1,0,IF((IF(Classifiers!$B$5="",0,IF(ISNUMBER(SEARCH(Classifiers!$B$5,E267)),1,0))+IF(Classifiers!$C$5="",0,IF(ISNUMBER(SEARCH(Classifiers!$C$5,E267)),1,0))+IF(Classifiers!$D$5="",0,IF(ISNUMBER(SEARCH(Classifiers!$D$5,E267)),1,0))+IF(Classifiers!$E$5="",0,IF(ISNUMBER(SEARCH(Classifiers!$E$5,E267)),1,0))+IF(Classifiers!$F$5="",0,IF(ISNUMBER(SEARCH(Classifiers!$F$5,E267)),1,0))+IF(Classifiers!$G$5="",0,IF(ISNUMBER(SEARCH(Classifiers!$G$5,E267)),1,0)))&gt;0,1,0))</f>
        <v/>
      </c>
      <c r="K267" s="12">
        <f>IF(H267&lt;&gt;1,0,IF((IF(Classifiers!$B$6="",0,IF(ISNUMBER(SEARCH(Classifiers!$B$6,E267)),1,0))+IF(Classifiers!$C$6="",0,IF(ISNUMBER(SEARCH(Classifiers!$C$6,E267)),1,0))+IF(Classifiers!$D$6="",0,IF(ISNUMBER(SEARCH(Classifiers!$D$6,E267)),1,0))+IF(Classifiers!$E$6="",0,IF(ISNUMBER(SEARCH(Classifiers!$E$6,E267)),1,0))+IF(Classifiers!$F$6="",0,IF(ISNUMBER(SEARCH(Classifiers!$F$6,E267)),1,0))+IF(Classifiers!$G$6="",0,IF(ISNUMBER(SEARCH(Classifiers!$G$6,E267)),1,0)))&gt;0,1,0))</f>
        <v/>
      </c>
      <c r="L267" s="12">
        <f>IF(H267&lt;&gt;1,0,IF((IF(Classifiers!$B$7="",0,IF(ISNUMBER(SEARCH(Classifiers!$B$7,E267)),1,0))+IF(Classifiers!$C$7="",0,IF(ISNUMBER(SEARCH(Classifiers!$C$7,E267)),1,0))+IF(Classifiers!$D$7="",0,IF(ISNUMBER(SEARCH(Classifiers!$D$7,E267)),1,0))+IF(Classifiers!$E$7="",0,IF(ISNUMBER(SEARCH(Classifiers!$E$7,E267)),1,0))+IF(Classifiers!$F$7="",0,IF(ISNUMBER(SEARCH(Classifiers!$F$7,E267)),1,0))+IF(Classifiers!$G$7="",0,IF(ISNUMBER(SEARCH(Classifiers!$G$7,E267)),1,0)))&gt;0,1,0))</f>
        <v/>
      </c>
      <c r="M267" s="12">
        <f>IF(H267&lt;&gt;1,0,IF((IF(Classifiers!$B$8="",0,IF(ISNUMBER(SEARCH(Classifiers!$B$8,E267)),1,0))+IF(Classifiers!$C$8="",0,IF(ISNUMBER(SEARCH(Classifiers!$C$8,E267)),1,0))+IF(Classifiers!$D$8="",0,IF(ISNUMBER(SEARCH(Classifiers!$D$8,E267)),1,0))+IF(Classifiers!$E$8="",0,IF(ISNUMBER(SEARCH(Classifiers!$E$8,E267)),1,0))+IF(Classifiers!$F$8="",0,IF(ISNUMBER(SEARCH(Classifiers!$F$8,E267)),1,0))+IF(Classifiers!$G$8="",0,IF(ISNUMBER(SEARCH(Classifiers!$G$8,E267)),1,0)))&gt;0,1,0))</f>
        <v/>
      </c>
      <c r="N267" s="12">
        <f>IF(H267&lt;&gt;1,0,IF((IF(Classifiers!$B$9="",0,IF(ISNUMBER(SEARCH(Classifiers!$B$9,E267)),1,0))+IF(Classifiers!$C$9="",0,IF(ISNUMBER(SEARCH(Classifiers!$C$9,E267)),1,0))+IF(Classifiers!$D$9="",0,IF(ISNUMBER(SEARCH(Classifiers!$D$9,E267)),1,0))+IF(Classifiers!$E$9="",0,IF(ISNUMBER(SEARCH(Classifiers!$E$9,E267)),1,0))+IF(Classifiers!$F$9="",0,IF(ISNUMBER(SEARCH(Classifiers!$F$9,E267)),1,0))+IF(Classifiers!$G$9="",0,IF(ISNUMBER(SEARCH(Classifiers!$G$9,E267)),1,0)))&gt;0,1,0))</f>
        <v/>
      </c>
      <c r="O267" s="12">
        <f>IF(H267&lt;&gt;1,0,IF((IF(Classifiers!$B$10="",0,IF(ISNUMBER(SEARCH(Classifiers!$B$10,E267)),1,0))+IF(Classifiers!$C$10="",0,IF(ISNUMBER(SEARCH(Classifiers!$C$10,E267)),1,0))+IF(Classifiers!$D$10="",0,IF(ISNUMBER(SEARCH(Classifiers!$D$10,E267)),1,0))+IF(Classifiers!$E$10="",0,IF(ISNUMBER(SEARCH(Classifiers!$E$10,E267)),1,0))+IF(Classifiers!$F$10="",0,IF(ISNUMBER(SEARCH(Classifiers!$F$10,E267)),1,0))+IF(Classifiers!$G$10="",0,IF(ISNUMBER(SEARCH(Classifiers!$G$10,E267)),1,0)))&gt;0,1,0))</f>
        <v/>
      </c>
      <c r="P267" s="12">
        <f>IF(H267&lt;&gt;1,0,IF((IF(Classifiers!$B$11="",0,IF(ISNUMBER(SEARCH(Classifiers!$B$11,E267)),1,0))+IF(Classifiers!$C$11="",0,IF(ISNUMBER(SEARCH(Classifiers!$C$11,E267)),1,0))+IF(Classifiers!$D$11="",0,IF(ISNUMBER(SEARCH(Classifiers!$D$11,E267)),1,0))+IF(Classifiers!$E$11="",0,IF(ISNUMBER(SEARCH(Classifiers!$E$11,E267)),1,0))+IF(Classifiers!$F$11="",0,IF(ISNUMBER(SEARCH(Classifiers!$F$11,E267)),1,0))+IF(Classifiers!$G$11="",0,IF(ISNUMBER(SEARCH(Classifiers!$G$11,E267)),1,0)))&gt;0,1,0))</f>
        <v/>
      </c>
      <c r="Q267" s="12">
        <f>IF(H267&lt;&gt;1,0,IF((IF(Classifiers!$B$12="",0,IF(ISNUMBER(SEARCH(Classifiers!$B$12,E267)),1,0))+IF(Classifiers!$C$12="",0,IF(ISNUMBER(SEARCH(Classifiers!$C$12,E267)),1,0))+IF(Classifiers!$D$12="",0,IF(ISNUMBER(SEARCH(Classifiers!$D$12,E267)),1,0))+IF(Classifiers!$E$12="",0,IF(ISNUMBER(SEARCH(Classifiers!$E$12,E267)),1,0))+IF(Classifiers!$F$12="",0,IF(ISNUMBER(SEARCH(Classifiers!$F$12,E267)),1,0))+IF(Classifiers!$G$12="",0,IF(ISNUMBER(SEARCH(Classifiers!$G$12,E267)),1,0)))&gt;0,1,0))</f>
        <v/>
      </c>
      <c r="R267" s="12">
        <f>IF(H267&lt;&gt;1,0,IF((IF(Classifiers!$B$13="",0,IF(ISNUMBER(SEARCH(Classifiers!$B$13,E267)),1,0))+IF(Classifiers!$C$13="",0,IF(ISNUMBER(SEARCH(Classifiers!$C$13,E267)),1,0))+IF(Classifiers!$D$13="",0,IF(ISNUMBER(SEARCH(Classifiers!$D$13,E267)),1,0))+IF(Classifiers!$E$13="",0,IF(ISNUMBER(SEARCH(Classifiers!$E$13,E267)),1,0))+IF(Classifiers!$F$13="",0,IF(ISNUMBER(SEARCH(Classifiers!$F$13,E267)),1,0))+IF(Classifiers!$G$13="",0,IF(ISNUMBER(SEARCH(Classifiers!$G$13,E267)),1,0)))&gt;0,1,0))</f>
        <v/>
      </c>
      <c r="S267" s="12">
        <f>IF(H267&lt;&gt;1,0,IF((IF(Classifiers!$B$14="",0,IF(ISNUMBER(SEARCH(Classifiers!$B$14,E267)),1,0))+IF(Classifiers!$C$14="",0,IF(ISNUMBER(SEARCH(Classifiers!$C$14,E267)),1,0))+IF(Classifiers!$D$14="",0,IF(ISNUMBER(SEARCH(Classifiers!$D$14,E267)),1,0))+IF(Classifiers!$E$14="",0,IF(ISNUMBER(SEARCH(Classifiers!$E$14,E267)),1,0))+IF(Classifiers!$F$14="",0,IF(ISNUMBER(SEARCH(Classifiers!$F$14,E267)),1,0))+IF(Classifiers!$G$14="",0,IF(ISNUMBER(SEARCH(Classifiers!$G$14,E267)),1,0)))&gt;0,1,0))</f>
        <v/>
      </c>
      <c r="T267" s="12">
        <f>IF(H267&lt;&gt;1,0,IF((IF(Classifiers!$B$15="",0,IF(ISNUMBER(SEARCH(Classifiers!$B$15,E267)),1,0))+IF(Classifiers!$C$15="",0,IF(ISNUMBER(SEARCH(Classifiers!$C$15,E267)),1,0))+IF(Classifiers!$D$15="",0,IF(ISNUMBER(SEARCH(Classifiers!$D$15,E267)),1,0))+IF(Classifiers!$E$15="",0,IF(ISNUMBER(SEARCH(Classifiers!$E$15,E267)),1,0))+IF(Classifiers!$F$15="",0,IF(ISNUMBER(SEARCH(Classifiers!$F$15,E267)),1,0))+IF(Classifiers!$G$15="",0,IF(ISNUMBER(SEARCH(Classifiers!$G$15,E267)),1,0)))&gt;0,1,0))</f>
        <v/>
      </c>
      <c r="U267" s="12">
        <f>IF(H267&lt;&gt;1,0,IF((IF(Classifiers!$B$16="",0,IF(ISNUMBER(SEARCH(Classifiers!$B$16,E267)),1,0))+IF(Classifiers!$C$16="",0,IF(ISNUMBER(SEARCH(Classifiers!$C$16,E267)),1,0))+IF(Classifiers!$D$16="",0,IF(ISNUMBER(SEARCH(Classifiers!$D$16,E267)),1,0))+IF(Classifiers!$E$16="",0,IF(ISNUMBER(SEARCH(Classifiers!$E$16,E267)),1,0))+IF(Classifiers!$F$16="",0,IF(ISNUMBER(SEARCH(Classifiers!$F$16,E267)),1,0))+IF(Classifiers!$G$16="",0,IF(ISNUMBER(SEARCH(Classifiers!$G$16,E267)),1,0)))&gt;0,1,0))</f>
        <v/>
      </c>
      <c r="V267" s="12">
        <f>IF(H267&lt;&gt;1,0,IF((IF(Classifiers!$B$17="",0,IF(ISNUMBER(SEARCH(Classifiers!$B$17,E267)),1,0))+IF(Classifiers!$C$17="",0,IF(ISNUMBER(SEARCH(Classifiers!$C$17,E267)),1,0))+IF(Classifiers!$D$17="",0,IF(ISNUMBER(SEARCH(Classifiers!$D$17,E267)),1,0))+IF(Classifiers!$E$17="",0,IF(ISNUMBER(SEARCH(Classifiers!$E$17,E267)),1,0))+IF(Classifiers!$F$17="",0,IF(ISNUMBER(SEARCH(Classifiers!$F$17,E267)),1,0))+IF(Classifiers!$G$17="",0,IF(ISNUMBER(SEARCH(Classifiers!$G$17,E267)),1,0)))&gt;0,1,0))</f>
        <v/>
      </c>
      <c r="W267" s="12">
        <f>IF(H267&lt;&gt;1,0,IF((IF(Classifiers!$B$18="",0,IF(ISNUMBER(SEARCH(Classifiers!$B$18,E267)),1,0))+IF(Classifiers!$C$18="",0,IF(ISNUMBER(SEARCH(Classifiers!$C$18,E267)),1,0))+IF(Classifiers!$D$18="",0,IF(ISNUMBER(SEARCH(Classifiers!$D$18,E267)),1,0))+IF(Classifiers!$E$18="",0,IF(ISNUMBER(SEARCH(Classifiers!$E$18,E267)),1,0))+IF(Classifiers!$F$18="",0,IF(ISNUMBER(SEARCH(Classifiers!$F$18,E267)),1,0))+IF(Classifiers!$G$18="",0,IF(ISNUMBER(SEARCH(Classifiers!$G$18,E267)),1,0)))&gt;0,1,0))</f>
        <v/>
      </c>
    </row>
    <row r="268">
      <c r="A268" s="8" t="n"/>
      <c r="B268" s="11" t="n"/>
      <c r="C268" s="6">
        <f>IF(A268="","",TRIM(RIGHT(SUBSTITUTE(A268,"/",REPT(" ",250)),250)))</f>
        <v/>
      </c>
      <c r="D268" s="6">
        <f>IF(C268="","",IF(ISNUMBER(SEARCH(".",C268)),LOWER("."&amp;TRIM(RIGHT(SUBSTITUTE(C268,".",REPT(" ",250)),250))),""))</f>
        <v/>
      </c>
      <c r="E268" s="6">
        <f>IF(C268="","",TRIM(SUBSTITUTE(SUBSTITUTE(SUBSTITUTE(SUBSTITUTE(SUBSTITUTE(SUBSTITUTE(SUBSTITUTE(SUBSTITUTE(SUBSTITUTE(SUBSTITUTE(SUBSTITUTE(SUBSTITUTE(SUBSTITUTE(SUBSTITUTE(SUBSTITUTE(SUBSTITUTE(SUBSTITUTE(SUBSTITUTE(SUBSTITUTE(SUBSTITUTE(LOWER(LEFT(C268,LEN(C268)-LEN(D268))),"_"," "),"-"," "),"."," "),","," "),"("," "),")"," "),"["," "),"]"," "),"&amp;"," "),"+"," "),"@"," "),"#"," "),"!"," "),"'"," "),"/"," "),":"," "),";"," "),"="," "),"~"," "),"%"," ")))</f>
        <v/>
      </c>
      <c r="F268" s="6">
        <f>IF(C268="","",IF(COUNTIF(Classifiers!$A$23:$A$40,D268)&gt;0,1,0))</f>
        <v/>
      </c>
      <c r="G268" s="6">
        <f>IF(C268="","",IF(COUNTIF(Classifiers!$C$23:$C$30,D268)&gt;0,IF((IF(ISNUMBER(SEARCH(Classifiers!$E$23,E268)),1,0)+IF(ISNUMBER(SEARCH(Classifiers!$E$24,E268)),1,0)+IF(ISNUMBER(SEARCH(Classifiers!$E$25,E268)),1,0)+IF(ISNUMBER(SEARCH(Classifiers!$E$26,E268)),1,0)+IF(ISNUMBER(SEARCH(Classifiers!$E$27,E268)),1,0)+IF(ISNUMBER(SEARCH(Classifiers!$E$28,E268)),1,0)+IF(ISNUMBER(SEARCH(Classifiers!$E$29,E268)),1,0)+IF(ISNUMBER(SEARCH(Classifiers!$E$30,E268)),1,0))&gt;0,1,0),0))</f>
        <v/>
      </c>
      <c r="H268" s="6">
        <f>IF(C268="","",IF(OR(LEFT(C268,1)=".",AND(F268=0,G268=0)),0,1))</f>
        <v/>
      </c>
      <c r="I268" s="6">
        <f>IF(H268&lt;&gt;1,"",IF(SUM(J268:W268)=0,"unclassified",INDEX(Classifiers!$A$5:$A$18,MATCH(1,J268:W268,0),1)))</f>
        <v/>
      </c>
      <c r="J268" s="12">
        <f>IF(H268&lt;&gt;1,0,IF((IF(Classifiers!$B$5="",0,IF(ISNUMBER(SEARCH(Classifiers!$B$5,E268)),1,0))+IF(Classifiers!$C$5="",0,IF(ISNUMBER(SEARCH(Classifiers!$C$5,E268)),1,0))+IF(Classifiers!$D$5="",0,IF(ISNUMBER(SEARCH(Classifiers!$D$5,E268)),1,0))+IF(Classifiers!$E$5="",0,IF(ISNUMBER(SEARCH(Classifiers!$E$5,E268)),1,0))+IF(Classifiers!$F$5="",0,IF(ISNUMBER(SEARCH(Classifiers!$F$5,E268)),1,0))+IF(Classifiers!$G$5="",0,IF(ISNUMBER(SEARCH(Classifiers!$G$5,E268)),1,0)))&gt;0,1,0))</f>
        <v/>
      </c>
      <c r="K268" s="12">
        <f>IF(H268&lt;&gt;1,0,IF((IF(Classifiers!$B$6="",0,IF(ISNUMBER(SEARCH(Classifiers!$B$6,E268)),1,0))+IF(Classifiers!$C$6="",0,IF(ISNUMBER(SEARCH(Classifiers!$C$6,E268)),1,0))+IF(Classifiers!$D$6="",0,IF(ISNUMBER(SEARCH(Classifiers!$D$6,E268)),1,0))+IF(Classifiers!$E$6="",0,IF(ISNUMBER(SEARCH(Classifiers!$E$6,E268)),1,0))+IF(Classifiers!$F$6="",0,IF(ISNUMBER(SEARCH(Classifiers!$F$6,E268)),1,0))+IF(Classifiers!$G$6="",0,IF(ISNUMBER(SEARCH(Classifiers!$G$6,E268)),1,0)))&gt;0,1,0))</f>
        <v/>
      </c>
      <c r="L268" s="12">
        <f>IF(H268&lt;&gt;1,0,IF((IF(Classifiers!$B$7="",0,IF(ISNUMBER(SEARCH(Classifiers!$B$7,E268)),1,0))+IF(Classifiers!$C$7="",0,IF(ISNUMBER(SEARCH(Classifiers!$C$7,E268)),1,0))+IF(Classifiers!$D$7="",0,IF(ISNUMBER(SEARCH(Classifiers!$D$7,E268)),1,0))+IF(Classifiers!$E$7="",0,IF(ISNUMBER(SEARCH(Classifiers!$E$7,E268)),1,0))+IF(Classifiers!$F$7="",0,IF(ISNUMBER(SEARCH(Classifiers!$F$7,E268)),1,0))+IF(Classifiers!$G$7="",0,IF(ISNUMBER(SEARCH(Classifiers!$G$7,E268)),1,0)))&gt;0,1,0))</f>
        <v/>
      </c>
      <c r="M268" s="12">
        <f>IF(H268&lt;&gt;1,0,IF((IF(Classifiers!$B$8="",0,IF(ISNUMBER(SEARCH(Classifiers!$B$8,E268)),1,0))+IF(Classifiers!$C$8="",0,IF(ISNUMBER(SEARCH(Classifiers!$C$8,E268)),1,0))+IF(Classifiers!$D$8="",0,IF(ISNUMBER(SEARCH(Classifiers!$D$8,E268)),1,0))+IF(Classifiers!$E$8="",0,IF(ISNUMBER(SEARCH(Classifiers!$E$8,E268)),1,0))+IF(Classifiers!$F$8="",0,IF(ISNUMBER(SEARCH(Classifiers!$F$8,E268)),1,0))+IF(Classifiers!$G$8="",0,IF(ISNUMBER(SEARCH(Classifiers!$G$8,E268)),1,0)))&gt;0,1,0))</f>
        <v/>
      </c>
      <c r="N268" s="12">
        <f>IF(H268&lt;&gt;1,0,IF((IF(Classifiers!$B$9="",0,IF(ISNUMBER(SEARCH(Classifiers!$B$9,E268)),1,0))+IF(Classifiers!$C$9="",0,IF(ISNUMBER(SEARCH(Classifiers!$C$9,E268)),1,0))+IF(Classifiers!$D$9="",0,IF(ISNUMBER(SEARCH(Classifiers!$D$9,E268)),1,0))+IF(Classifiers!$E$9="",0,IF(ISNUMBER(SEARCH(Classifiers!$E$9,E268)),1,0))+IF(Classifiers!$F$9="",0,IF(ISNUMBER(SEARCH(Classifiers!$F$9,E268)),1,0))+IF(Classifiers!$G$9="",0,IF(ISNUMBER(SEARCH(Classifiers!$G$9,E268)),1,0)))&gt;0,1,0))</f>
        <v/>
      </c>
      <c r="O268" s="12">
        <f>IF(H268&lt;&gt;1,0,IF((IF(Classifiers!$B$10="",0,IF(ISNUMBER(SEARCH(Classifiers!$B$10,E268)),1,0))+IF(Classifiers!$C$10="",0,IF(ISNUMBER(SEARCH(Classifiers!$C$10,E268)),1,0))+IF(Classifiers!$D$10="",0,IF(ISNUMBER(SEARCH(Classifiers!$D$10,E268)),1,0))+IF(Classifiers!$E$10="",0,IF(ISNUMBER(SEARCH(Classifiers!$E$10,E268)),1,0))+IF(Classifiers!$F$10="",0,IF(ISNUMBER(SEARCH(Classifiers!$F$10,E268)),1,0))+IF(Classifiers!$G$10="",0,IF(ISNUMBER(SEARCH(Classifiers!$G$10,E268)),1,0)))&gt;0,1,0))</f>
        <v/>
      </c>
      <c r="P268" s="12">
        <f>IF(H268&lt;&gt;1,0,IF((IF(Classifiers!$B$11="",0,IF(ISNUMBER(SEARCH(Classifiers!$B$11,E268)),1,0))+IF(Classifiers!$C$11="",0,IF(ISNUMBER(SEARCH(Classifiers!$C$11,E268)),1,0))+IF(Classifiers!$D$11="",0,IF(ISNUMBER(SEARCH(Classifiers!$D$11,E268)),1,0))+IF(Classifiers!$E$11="",0,IF(ISNUMBER(SEARCH(Classifiers!$E$11,E268)),1,0))+IF(Classifiers!$F$11="",0,IF(ISNUMBER(SEARCH(Classifiers!$F$11,E268)),1,0))+IF(Classifiers!$G$11="",0,IF(ISNUMBER(SEARCH(Classifiers!$G$11,E268)),1,0)))&gt;0,1,0))</f>
        <v/>
      </c>
      <c r="Q268" s="12">
        <f>IF(H268&lt;&gt;1,0,IF((IF(Classifiers!$B$12="",0,IF(ISNUMBER(SEARCH(Classifiers!$B$12,E268)),1,0))+IF(Classifiers!$C$12="",0,IF(ISNUMBER(SEARCH(Classifiers!$C$12,E268)),1,0))+IF(Classifiers!$D$12="",0,IF(ISNUMBER(SEARCH(Classifiers!$D$12,E268)),1,0))+IF(Classifiers!$E$12="",0,IF(ISNUMBER(SEARCH(Classifiers!$E$12,E268)),1,0))+IF(Classifiers!$F$12="",0,IF(ISNUMBER(SEARCH(Classifiers!$F$12,E268)),1,0))+IF(Classifiers!$G$12="",0,IF(ISNUMBER(SEARCH(Classifiers!$G$12,E268)),1,0)))&gt;0,1,0))</f>
        <v/>
      </c>
      <c r="R268" s="12">
        <f>IF(H268&lt;&gt;1,0,IF((IF(Classifiers!$B$13="",0,IF(ISNUMBER(SEARCH(Classifiers!$B$13,E268)),1,0))+IF(Classifiers!$C$13="",0,IF(ISNUMBER(SEARCH(Classifiers!$C$13,E268)),1,0))+IF(Classifiers!$D$13="",0,IF(ISNUMBER(SEARCH(Classifiers!$D$13,E268)),1,0))+IF(Classifiers!$E$13="",0,IF(ISNUMBER(SEARCH(Classifiers!$E$13,E268)),1,0))+IF(Classifiers!$F$13="",0,IF(ISNUMBER(SEARCH(Classifiers!$F$13,E268)),1,0))+IF(Classifiers!$G$13="",0,IF(ISNUMBER(SEARCH(Classifiers!$G$13,E268)),1,0)))&gt;0,1,0))</f>
        <v/>
      </c>
      <c r="S268" s="12">
        <f>IF(H268&lt;&gt;1,0,IF((IF(Classifiers!$B$14="",0,IF(ISNUMBER(SEARCH(Classifiers!$B$14,E268)),1,0))+IF(Classifiers!$C$14="",0,IF(ISNUMBER(SEARCH(Classifiers!$C$14,E268)),1,0))+IF(Classifiers!$D$14="",0,IF(ISNUMBER(SEARCH(Classifiers!$D$14,E268)),1,0))+IF(Classifiers!$E$14="",0,IF(ISNUMBER(SEARCH(Classifiers!$E$14,E268)),1,0))+IF(Classifiers!$F$14="",0,IF(ISNUMBER(SEARCH(Classifiers!$F$14,E268)),1,0))+IF(Classifiers!$G$14="",0,IF(ISNUMBER(SEARCH(Classifiers!$G$14,E268)),1,0)))&gt;0,1,0))</f>
        <v/>
      </c>
      <c r="T268" s="12">
        <f>IF(H268&lt;&gt;1,0,IF((IF(Classifiers!$B$15="",0,IF(ISNUMBER(SEARCH(Classifiers!$B$15,E268)),1,0))+IF(Classifiers!$C$15="",0,IF(ISNUMBER(SEARCH(Classifiers!$C$15,E268)),1,0))+IF(Classifiers!$D$15="",0,IF(ISNUMBER(SEARCH(Classifiers!$D$15,E268)),1,0))+IF(Classifiers!$E$15="",0,IF(ISNUMBER(SEARCH(Classifiers!$E$15,E268)),1,0))+IF(Classifiers!$F$15="",0,IF(ISNUMBER(SEARCH(Classifiers!$F$15,E268)),1,0))+IF(Classifiers!$G$15="",0,IF(ISNUMBER(SEARCH(Classifiers!$G$15,E268)),1,0)))&gt;0,1,0))</f>
        <v/>
      </c>
      <c r="U268" s="12">
        <f>IF(H268&lt;&gt;1,0,IF((IF(Classifiers!$B$16="",0,IF(ISNUMBER(SEARCH(Classifiers!$B$16,E268)),1,0))+IF(Classifiers!$C$16="",0,IF(ISNUMBER(SEARCH(Classifiers!$C$16,E268)),1,0))+IF(Classifiers!$D$16="",0,IF(ISNUMBER(SEARCH(Classifiers!$D$16,E268)),1,0))+IF(Classifiers!$E$16="",0,IF(ISNUMBER(SEARCH(Classifiers!$E$16,E268)),1,0))+IF(Classifiers!$F$16="",0,IF(ISNUMBER(SEARCH(Classifiers!$F$16,E268)),1,0))+IF(Classifiers!$G$16="",0,IF(ISNUMBER(SEARCH(Classifiers!$G$16,E268)),1,0)))&gt;0,1,0))</f>
        <v/>
      </c>
      <c r="V268" s="12">
        <f>IF(H268&lt;&gt;1,0,IF((IF(Classifiers!$B$17="",0,IF(ISNUMBER(SEARCH(Classifiers!$B$17,E268)),1,0))+IF(Classifiers!$C$17="",0,IF(ISNUMBER(SEARCH(Classifiers!$C$17,E268)),1,0))+IF(Classifiers!$D$17="",0,IF(ISNUMBER(SEARCH(Classifiers!$D$17,E268)),1,0))+IF(Classifiers!$E$17="",0,IF(ISNUMBER(SEARCH(Classifiers!$E$17,E268)),1,0))+IF(Classifiers!$F$17="",0,IF(ISNUMBER(SEARCH(Classifiers!$F$17,E268)),1,0))+IF(Classifiers!$G$17="",0,IF(ISNUMBER(SEARCH(Classifiers!$G$17,E268)),1,0)))&gt;0,1,0))</f>
        <v/>
      </c>
      <c r="W268" s="12">
        <f>IF(H268&lt;&gt;1,0,IF((IF(Classifiers!$B$18="",0,IF(ISNUMBER(SEARCH(Classifiers!$B$18,E268)),1,0))+IF(Classifiers!$C$18="",0,IF(ISNUMBER(SEARCH(Classifiers!$C$18,E268)),1,0))+IF(Classifiers!$D$18="",0,IF(ISNUMBER(SEARCH(Classifiers!$D$18,E268)),1,0))+IF(Classifiers!$E$18="",0,IF(ISNUMBER(SEARCH(Classifiers!$E$18,E268)),1,0))+IF(Classifiers!$F$18="",0,IF(ISNUMBER(SEARCH(Classifiers!$F$18,E268)),1,0))+IF(Classifiers!$G$18="",0,IF(ISNUMBER(SEARCH(Classifiers!$G$18,E268)),1,0)))&gt;0,1,0))</f>
        <v/>
      </c>
    </row>
    <row r="269">
      <c r="A269" s="8" t="n"/>
      <c r="B269" s="11" t="n"/>
      <c r="C269" s="6">
        <f>IF(A269="","",TRIM(RIGHT(SUBSTITUTE(A269,"/",REPT(" ",250)),250)))</f>
        <v/>
      </c>
      <c r="D269" s="6">
        <f>IF(C269="","",IF(ISNUMBER(SEARCH(".",C269)),LOWER("."&amp;TRIM(RIGHT(SUBSTITUTE(C269,".",REPT(" ",250)),250))),""))</f>
        <v/>
      </c>
      <c r="E269" s="6">
        <f>IF(C269="","",TRIM(SUBSTITUTE(SUBSTITUTE(SUBSTITUTE(SUBSTITUTE(SUBSTITUTE(SUBSTITUTE(SUBSTITUTE(SUBSTITUTE(SUBSTITUTE(SUBSTITUTE(SUBSTITUTE(SUBSTITUTE(SUBSTITUTE(SUBSTITUTE(SUBSTITUTE(SUBSTITUTE(SUBSTITUTE(SUBSTITUTE(SUBSTITUTE(SUBSTITUTE(LOWER(LEFT(C269,LEN(C269)-LEN(D269))),"_"," "),"-"," "),"."," "),","," "),"("," "),")"," "),"["," "),"]"," "),"&amp;"," "),"+"," "),"@"," "),"#"," "),"!"," "),"'"," "),"/"," "),":"," "),";"," "),"="," "),"~"," "),"%"," ")))</f>
        <v/>
      </c>
      <c r="F269" s="6">
        <f>IF(C269="","",IF(COUNTIF(Classifiers!$A$23:$A$40,D269)&gt;0,1,0))</f>
        <v/>
      </c>
      <c r="G269" s="6">
        <f>IF(C269="","",IF(COUNTIF(Classifiers!$C$23:$C$30,D269)&gt;0,IF((IF(ISNUMBER(SEARCH(Classifiers!$E$23,E269)),1,0)+IF(ISNUMBER(SEARCH(Classifiers!$E$24,E269)),1,0)+IF(ISNUMBER(SEARCH(Classifiers!$E$25,E269)),1,0)+IF(ISNUMBER(SEARCH(Classifiers!$E$26,E269)),1,0)+IF(ISNUMBER(SEARCH(Classifiers!$E$27,E269)),1,0)+IF(ISNUMBER(SEARCH(Classifiers!$E$28,E269)),1,0)+IF(ISNUMBER(SEARCH(Classifiers!$E$29,E269)),1,0)+IF(ISNUMBER(SEARCH(Classifiers!$E$30,E269)),1,0))&gt;0,1,0),0))</f>
        <v/>
      </c>
      <c r="H269" s="6">
        <f>IF(C269="","",IF(OR(LEFT(C269,1)=".",AND(F269=0,G269=0)),0,1))</f>
        <v/>
      </c>
      <c r="I269" s="6">
        <f>IF(H269&lt;&gt;1,"",IF(SUM(J269:W269)=0,"unclassified",INDEX(Classifiers!$A$5:$A$18,MATCH(1,J269:W269,0),1)))</f>
        <v/>
      </c>
      <c r="J269" s="12">
        <f>IF(H269&lt;&gt;1,0,IF((IF(Classifiers!$B$5="",0,IF(ISNUMBER(SEARCH(Classifiers!$B$5,E269)),1,0))+IF(Classifiers!$C$5="",0,IF(ISNUMBER(SEARCH(Classifiers!$C$5,E269)),1,0))+IF(Classifiers!$D$5="",0,IF(ISNUMBER(SEARCH(Classifiers!$D$5,E269)),1,0))+IF(Classifiers!$E$5="",0,IF(ISNUMBER(SEARCH(Classifiers!$E$5,E269)),1,0))+IF(Classifiers!$F$5="",0,IF(ISNUMBER(SEARCH(Classifiers!$F$5,E269)),1,0))+IF(Classifiers!$G$5="",0,IF(ISNUMBER(SEARCH(Classifiers!$G$5,E269)),1,0)))&gt;0,1,0))</f>
        <v/>
      </c>
      <c r="K269" s="12">
        <f>IF(H269&lt;&gt;1,0,IF((IF(Classifiers!$B$6="",0,IF(ISNUMBER(SEARCH(Classifiers!$B$6,E269)),1,0))+IF(Classifiers!$C$6="",0,IF(ISNUMBER(SEARCH(Classifiers!$C$6,E269)),1,0))+IF(Classifiers!$D$6="",0,IF(ISNUMBER(SEARCH(Classifiers!$D$6,E269)),1,0))+IF(Classifiers!$E$6="",0,IF(ISNUMBER(SEARCH(Classifiers!$E$6,E269)),1,0))+IF(Classifiers!$F$6="",0,IF(ISNUMBER(SEARCH(Classifiers!$F$6,E269)),1,0))+IF(Classifiers!$G$6="",0,IF(ISNUMBER(SEARCH(Classifiers!$G$6,E269)),1,0)))&gt;0,1,0))</f>
        <v/>
      </c>
      <c r="L269" s="12">
        <f>IF(H269&lt;&gt;1,0,IF((IF(Classifiers!$B$7="",0,IF(ISNUMBER(SEARCH(Classifiers!$B$7,E269)),1,0))+IF(Classifiers!$C$7="",0,IF(ISNUMBER(SEARCH(Classifiers!$C$7,E269)),1,0))+IF(Classifiers!$D$7="",0,IF(ISNUMBER(SEARCH(Classifiers!$D$7,E269)),1,0))+IF(Classifiers!$E$7="",0,IF(ISNUMBER(SEARCH(Classifiers!$E$7,E269)),1,0))+IF(Classifiers!$F$7="",0,IF(ISNUMBER(SEARCH(Classifiers!$F$7,E269)),1,0))+IF(Classifiers!$G$7="",0,IF(ISNUMBER(SEARCH(Classifiers!$G$7,E269)),1,0)))&gt;0,1,0))</f>
        <v/>
      </c>
      <c r="M269" s="12">
        <f>IF(H269&lt;&gt;1,0,IF((IF(Classifiers!$B$8="",0,IF(ISNUMBER(SEARCH(Classifiers!$B$8,E269)),1,0))+IF(Classifiers!$C$8="",0,IF(ISNUMBER(SEARCH(Classifiers!$C$8,E269)),1,0))+IF(Classifiers!$D$8="",0,IF(ISNUMBER(SEARCH(Classifiers!$D$8,E269)),1,0))+IF(Classifiers!$E$8="",0,IF(ISNUMBER(SEARCH(Classifiers!$E$8,E269)),1,0))+IF(Classifiers!$F$8="",0,IF(ISNUMBER(SEARCH(Classifiers!$F$8,E269)),1,0))+IF(Classifiers!$G$8="",0,IF(ISNUMBER(SEARCH(Classifiers!$G$8,E269)),1,0)))&gt;0,1,0))</f>
        <v/>
      </c>
      <c r="N269" s="12">
        <f>IF(H269&lt;&gt;1,0,IF((IF(Classifiers!$B$9="",0,IF(ISNUMBER(SEARCH(Classifiers!$B$9,E269)),1,0))+IF(Classifiers!$C$9="",0,IF(ISNUMBER(SEARCH(Classifiers!$C$9,E269)),1,0))+IF(Classifiers!$D$9="",0,IF(ISNUMBER(SEARCH(Classifiers!$D$9,E269)),1,0))+IF(Classifiers!$E$9="",0,IF(ISNUMBER(SEARCH(Classifiers!$E$9,E269)),1,0))+IF(Classifiers!$F$9="",0,IF(ISNUMBER(SEARCH(Classifiers!$F$9,E269)),1,0))+IF(Classifiers!$G$9="",0,IF(ISNUMBER(SEARCH(Classifiers!$G$9,E269)),1,0)))&gt;0,1,0))</f>
        <v/>
      </c>
      <c r="O269" s="12">
        <f>IF(H269&lt;&gt;1,0,IF((IF(Classifiers!$B$10="",0,IF(ISNUMBER(SEARCH(Classifiers!$B$10,E269)),1,0))+IF(Classifiers!$C$10="",0,IF(ISNUMBER(SEARCH(Classifiers!$C$10,E269)),1,0))+IF(Classifiers!$D$10="",0,IF(ISNUMBER(SEARCH(Classifiers!$D$10,E269)),1,0))+IF(Classifiers!$E$10="",0,IF(ISNUMBER(SEARCH(Classifiers!$E$10,E269)),1,0))+IF(Classifiers!$F$10="",0,IF(ISNUMBER(SEARCH(Classifiers!$F$10,E269)),1,0))+IF(Classifiers!$G$10="",0,IF(ISNUMBER(SEARCH(Classifiers!$G$10,E269)),1,0)))&gt;0,1,0))</f>
        <v/>
      </c>
      <c r="P269" s="12">
        <f>IF(H269&lt;&gt;1,0,IF((IF(Classifiers!$B$11="",0,IF(ISNUMBER(SEARCH(Classifiers!$B$11,E269)),1,0))+IF(Classifiers!$C$11="",0,IF(ISNUMBER(SEARCH(Classifiers!$C$11,E269)),1,0))+IF(Classifiers!$D$11="",0,IF(ISNUMBER(SEARCH(Classifiers!$D$11,E269)),1,0))+IF(Classifiers!$E$11="",0,IF(ISNUMBER(SEARCH(Classifiers!$E$11,E269)),1,0))+IF(Classifiers!$F$11="",0,IF(ISNUMBER(SEARCH(Classifiers!$F$11,E269)),1,0))+IF(Classifiers!$G$11="",0,IF(ISNUMBER(SEARCH(Classifiers!$G$11,E269)),1,0)))&gt;0,1,0))</f>
        <v/>
      </c>
      <c r="Q269" s="12">
        <f>IF(H269&lt;&gt;1,0,IF((IF(Classifiers!$B$12="",0,IF(ISNUMBER(SEARCH(Classifiers!$B$12,E269)),1,0))+IF(Classifiers!$C$12="",0,IF(ISNUMBER(SEARCH(Classifiers!$C$12,E269)),1,0))+IF(Classifiers!$D$12="",0,IF(ISNUMBER(SEARCH(Classifiers!$D$12,E269)),1,0))+IF(Classifiers!$E$12="",0,IF(ISNUMBER(SEARCH(Classifiers!$E$12,E269)),1,0))+IF(Classifiers!$F$12="",0,IF(ISNUMBER(SEARCH(Classifiers!$F$12,E269)),1,0))+IF(Classifiers!$G$12="",0,IF(ISNUMBER(SEARCH(Classifiers!$G$12,E269)),1,0)))&gt;0,1,0))</f>
        <v/>
      </c>
      <c r="R269" s="12">
        <f>IF(H269&lt;&gt;1,0,IF((IF(Classifiers!$B$13="",0,IF(ISNUMBER(SEARCH(Classifiers!$B$13,E269)),1,0))+IF(Classifiers!$C$13="",0,IF(ISNUMBER(SEARCH(Classifiers!$C$13,E269)),1,0))+IF(Classifiers!$D$13="",0,IF(ISNUMBER(SEARCH(Classifiers!$D$13,E269)),1,0))+IF(Classifiers!$E$13="",0,IF(ISNUMBER(SEARCH(Classifiers!$E$13,E269)),1,0))+IF(Classifiers!$F$13="",0,IF(ISNUMBER(SEARCH(Classifiers!$F$13,E269)),1,0))+IF(Classifiers!$G$13="",0,IF(ISNUMBER(SEARCH(Classifiers!$G$13,E269)),1,0)))&gt;0,1,0))</f>
        <v/>
      </c>
      <c r="S269" s="12">
        <f>IF(H269&lt;&gt;1,0,IF((IF(Classifiers!$B$14="",0,IF(ISNUMBER(SEARCH(Classifiers!$B$14,E269)),1,0))+IF(Classifiers!$C$14="",0,IF(ISNUMBER(SEARCH(Classifiers!$C$14,E269)),1,0))+IF(Classifiers!$D$14="",0,IF(ISNUMBER(SEARCH(Classifiers!$D$14,E269)),1,0))+IF(Classifiers!$E$14="",0,IF(ISNUMBER(SEARCH(Classifiers!$E$14,E269)),1,0))+IF(Classifiers!$F$14="",0,IF(ISNUMBER(SEARCH(Classifiers!$F$14,E269)),1,0))+IF(Classifiers!$G$14="",0,IF(ISNUMBER(SEARCH(Classifiers!$G$14,E269)),1,0)))&gt;0,1,0))</f>
        <v/>
      </c>
      <c r="T269" s="12">
        <f>IF(H269&lt;&gt;1,0,IF((IF(Classifiers!$B$15="",0,IF(ISNUMBER(SEARCH(Classifiers!$B$15,E269)),1,0))+IF(Classifiers!$C$15="",0,IF(ISNUMBER(SEARCH(Classifiers!$C$15,E269)),1,0))+IF(Classifiers!$D$15="",0,IF(ISNUMBER(SEARCH(Classifiers!$D$15,E269)),1,0))+IF(Classifiers!$E$15="",0,IF(ISNUMBER(SEARCH(Classifiers!$E$15,E269)),1,0))+IF(Classifiers!$F$15="",0,IF(ISNUMBER(SEARCH(Classifiers!$F$15,E269)),1,0))+IF(Classifiers!$G$15="",0,IF(ISNUMBER(SEARCH(Classifiers!$G$15,E269)),1,0)))&gt;0,1,0))</f>
        <v/>
      </c>
      <c r="U269" s="12">
        <f>IF(H269&lt;&gt;1,0,IF((IF(Classifiers!$B$16="",0,IF(ISNUMBER(SEARCH(Classifiers!$B$16,E269)),1,0))+IF(Classifiers!$C$16="",0,IF(ISNUMBER(SEARCH(Classifiers!$C$16,E269)),1,0))+IF(Classifiers!$D$16="",0,IF(ISNUMBER(SEARCH(Classifiers!$D$16,E269)),1,0))+IF(Classifiers!$E$16="",0,IF(ISNUMBER(SEARCH(Classifiers!$E$16,E269)),1,0))+IF(Classifiers!$F$16="",0,IF(ISNUMBER(SEARCH(Classifiers!$F$16,E269)),1,0))+IF(Classifiers!$G$16="",0,IF(ISNUMBER(SEARCH(Classifiers!$G$16,E269)),1,0)))&gt;0,1,0))</f>
        <v/>
      </c>
      <c r="V269" s="12">
        <f>IF(H269&lt;&gt;1,0,IF((IF(Classifiers!$B$17="",0,IF(ISNUMBER(SEARCH(Classifiers!$B$17,E269)),1,0))+IF(Classifiers!$C$17="",0,IF(ISNUMBER(SEARCH(Classifiers!$C$17,E269)),1,0))+IF(Classifiers!$D$17="",0,IF(ISNUMBER(SEARCH(Classifiers!$D$17,E269)),1,0))+IF(Classifiers!$E$17="",0,IF(ISNUMBER(SEARCH(Classifiers!$E$17,E269)),1,0))+IF(Classifiers!$F$17="",0,IF(ISNUMBER(SEARCH(Classifiers!$F$17,E269)),1,0))+IF(Classifiers!$G$17="",0,IF(ISNUMBER(SEARCH(Classifiers!$G$17,E269)),1,0)))&gt;0,1,0))</f>
        <v/>
      </c>
      <c r="W269" s="12">
        <f>IF(H269&lt;&gt;1,0,IF((IF(Classifiers!$B$18="",0,IF(ISNUMBER(SEARCH(Classifiers!$B$18,E269)),1,0))+IF(Classifiers!$C$18="",0,IF(ISNUMBER(SEARCH(Classifiers!$C$18,E269)),1,0))+IF(Classifiers!$D$18="",0,IF(ISNUMBER(SEARCH(Classifiers!$D$18,E269)),1,0))+IF(Classifiers!$E$18="",0,IF(ISNUMBER(SEARCH(Classifiers!$E$18,E269)),1,0))+IF(Classifiers!$F$18="",0,IF(ISNUMBER(SEARCH(Classifiers!$F$18,E269)),1,0))+IF(Classifiers!$G$18="",0,IF(ISNUMBER(SEARCH(Classifiers!$G$18,E269)),1,0)))&gt;0,1,0))</f>
        <v/>
      </c>
    </row>
    <row r="270">
      <c r="A270" s="8" t="n"/>
      <c r="B270" s="11" t="n"/>
      <c r="C270" s="6">
        <f>IF(A270="","",TRIM(RIGHT(SUBSTITUTE(A270,"/",REPT(" ",250)),250)))</f>
        <v/>
      </c>
      <c r="D270" s="6">
        <f>IF(C270="","",IF(ISNUMBER(SEARCH(".",C270)),LOWER("."&amp;TRIM(RIGHT(SUBSTITUTE(C270,".",REPT(" ",250)),250))),""))</f>
        <v/>
      </c>
      <c r="E270" s="6">
        <f>IF(C270="","",TRIM(SUBSTITUTE(SUBSTITUTE(SUBSTITUTE(SUBSTITUTE(SUBSTITUTE(SUBSTITUTE(SUBSTITUTE(SUBSTITUTE(SUBSTITUTE(SUBSTITUTE(SUBSTITUTE(SUBSTITUTE(SUBSTITUTE(SUBSTITUTE(SUBSTITUTE(SUBSTITUTE(SUBSTITUTE(SUBSTITUTE(SUBSTITUTE(SUBSTITUTE(LOWER(LEFT(C270,LEN(C270)-LEN(D270))),"_"," "),"-"," "),"."," "),","," "),"("," "),")"," "),"["," "),"]"," "),"&amp;"," "),"+"," "),"@"," "),"#"," "),"!"," "),"'"," "),"/"," "),":"," "),";"," "),"="," "),"~"," "),"%"," ")))</f>
        <v/>
      </c>
      <c r="F270" s="6">
        <f>IF(C270="","",IF(COUNTIF(Classifiers!$A$23:$A$40,D270)&gt;0,1,0))</f>
        <v/>
      </c>
      <c r="G270" s="6">
        <f>IF(C270="","",IF(COUNTIF(Classifiers!$C$23:$C$30,D270)&gt;0,IF((IF(ISNUMBER(SEARCH(Classifiers!$E$23,E270)),1,0)+IF(ISNUMBER(SEARCH(Classifiers!$E$24,E270)),1,0)+IF(ISNUMBER(SEARCH(Classifiers!$E$25,E270)),1,0)+IF(ISNUMBER(SEARCH(Classifiers!$E$26,E270)),1,0)+IF(ISNUMBER(SEARCH(Classifiers!$E$27,E270)),1,0)+IF(ISNUMBER(SEARCH(Classifiers!$E$28,E270)),1,0)+IF(ISNUMBER(SEARCH(Classifiers!$E$29,E270)),1,0)+IF(ISNUMBER(SEARCH(Classifiers!$E$30,E270)),1,0))&gt;0,1,0),0))</f>
        <v/>
      </c>
      <c r="H270" s="6">
        <f>IF(C270="","",IF(OR(LEFT(C270,1)=".",AND(F270=0,G270=0)),0,1))</f>
        <v/>
      </c>
      <c r="I270" s="6">
        <f>IF(H270&lt;&gt;1,"",IF(SUM(J270:W270)=0,"unclassified",INDEX(Classifiers!$A$5:$A$18,MATCH(1,J270:W270,0),1)))</f>
        <v/>
      </c>
      <c r="J270" s="12">
        <f>IF(H270&lt;&gt;1,0,IF((IF(Classifiers!$B$5="",0,IF(ISNUMBER(SEARCH(Classifiers!$B$5,E270)),1,0))+IF(Classifiers!$C$5="",0,IF(ISNUMBER(SEARCH(Classifiers!$C$5,E270)),1,0))+IF(Classifiers!$D$5="",0,IF(ISNUMBER(SEARCH(Classifiers!$D$5,E270)),1,0))+IF(Classifiers!$E$5="",0,IF(ISNUMBER(SEARCH(Classifiers!$E$5,E270)),1,0))+IF(Classifiers!$F$5="",0,IF(ISNUMBER(SEARCH(Classifiers!$F$5,E270)),1,0))+IF(Classifiers!$G$5="",0,IF(ISNUMBER(SEARCH(Classifiers!$G$5,E270)),1,0)))&gt;0,1,0))</f>
        <v/>
      </c>
      <c r="K270" s="12">
        <f>IF(H270&lt;&gt;1,0,IF((IF(Classifiers!$B$6="",0,IF(ISNUMBER(SEARCH(Classifiers!$B$6,E270)),1,0))+IF(Classifiers!$C$6="",0,IF(ISNUMBER(SEARCH(Classifiers!$C$6,E270)),1,0))+IF(Classifiers!$D$6="",0,IF(ISNUMBER(SEARCH(Classifiers!$D$6,E270)),1,0))+IF(Classifiers!$E$6="",0,IF(ISNUMBER(SEARCH(Classifiers!$E$6,E270)),1,0))+IF(Classifiers!$F$6="",0,IF(ISNUMBER(SEARCH(Classifiers!$F$6,E270)),1,0))+IF(Classifiers!$G$6="",0,IF(ISNUMBER(SEARCH(Classifiers!$G$6,E270)),1,0)))&gt;0,1,0))</f>
        <v/>
      </c>
      <c r="L270" s="12">
        <f>IF(H270&lt;&gt;1,0,IF((IF(Classifiers!$B$7="",0,IF(ISNUMBER(SEARCH(Classifiers!$B$7,E270)),1,0))+IF(Classifiers!$C$7="",0,IF(ISNUMBER(SEARCH(Classifiers!$C$7,E270)),1,0))+IF(Classifiers!$D$7="",0,IF(ISNUMBER(SEARCH(Classifiers!$D$7,E270)),1,0))+IF(Classifiers!$E$7="",0,IF(ISNUMBER(SEARCH(Classifiers!$E$7,E270)),1,0))+IF(Classifiers!$F$7="",0,IF(ISNUMBER(SEARCH(Classifiers!$F$7,E270)),1,0))+IF(Classifiers!$G$7="",0,IF(ISNUMBER(SEARCH(Classifiers!$G$7,E270)),1,0)))&gt;0,1,0))</f>
        <v/>
      </c>
      <c r="M270" s="12">
        <f>IF(H270&lt;&gt;1,0,IF((IF(Classifiers!$B$8="",0,IF(ISNUMBER(SEARCH(Classifiers!$B$8,E270)),1,0))+IF(Classifiers!$C$8="",0,IF(ISNUMBER(SEARCH(Classifiers!$C$8,E270)),1,0))+IF(Classifiers!$D$8="",0,IF(ISNUMBER(SEARCH(Classifiers!$D$8,E270)),1,0))+IF(Classifiers!$E$8="",0,IF(ISNUMBER(SEARCH(Classifiers!$E$8,E270)),1,0))+IF(Classifiers!$F$8="",0,IF(ISNUMBER(SEARCH(Classifiers!$F$8,E270)),1,0))+IF(Classifiers!$G$8="",0,IF(ISNUMBER(SEARCH(Classifiers!$G$8,E270)),1,0)))&gt;0,1,0))</f>
        <v/>
      </c>
      <c r="N270" s="12">
        <f>IF(H270&lt;&gt;1,0,IF((IF(Classifiers!$B$9="",0,IF(ISNUMBER(SEARCH(Classifiers!$B$9,E270)),1,0))+IF(Classifiers!$C$9="",0,IF(ISNUMBER(SEARCH(Classifiers!$C$9,E270)),1,0))+IF(Classifiers!$D$9="",0,IF(ISNUMBER(SEARCH(Classifiers!$D$9,E270)),1,0))+IF(Classifiers!$E$9="",0,IF(ISNUMBER(SEARCH(Classifiers!$E$9,E270)),1,0))+IF(Classifiers!$F$9="",0,IF(ISNUMBER(SEARCH(Classifiers!$F$9,E270)),1,0))+IF(Classifiers!$G$9="",0,IF(ISNUMBER(SEARCH(Classifiers!$G$9,E270)),1,0)))&gt;0,1,0))</f>
        <v/>
      </c>
      <c r="O270" s="12">
        <f>IF(H270&lt;&gt;1,0,IF((IF(Classifiers!$B$10="",0,IF(ISNUMBER(SEARCH(Classifiers!$B$10,E270)),1,0))+IF(Classifiers!$C$10="",0,IF(ISNUMBER(SEARCH(Classifiers!$C$10,E270)),1,0))+IF(Classifiers!$D$10="",0,IF(ISNUMBER(SEARCH(Classifiers!$D$10,E270)),1,0))+IF(Classifiers!$E$10="",0,IF(ISNUMBER(SEARCH(Classifiers!$E$10,E270)),1,0))+IF(Classifiers!$F$10="",0,IF(ISNUMBER(SEARCH(Classifiers!$F$10,E270)),1,0))+IF(Classifiers!$G$10="",0,IF(ISNUMBER(SEARCH(Classifiers!$G$10,E270)),1,0)))&gt;0,1,0))</f>
        <v/>
      </c>
      <c r="P270" s="12">
        <f>IF(H270&lt;&gt;1,0,IF((IF(Classifiers!$B$11="",0,IF(ISNUMBER(SEARCH(Classifiers!$B$11,E270)),1,0))+IF(Classifiers!$C$11="",0,IF(ISNUMBER(SEARCH(Classifiers!$C$11,E270)),1,0))+IF(Classifiers!$D$11="",0,IF(ISNUMBER(SEARCH(Classifiers!$D$11,E270)),1,0))+IF(Classifiers!$E$11="",0,IF(ISNUMBER(SEARCH(Classifiers!$E$11,E270)),1,0))+IF(Classifiers!$F$11="",0,IF(ISNUMBER(SEARCH(Classifiers!$F$11,E270)),1,0))+IF(Classifiers!$G$11="",0,IF(ISNUMBER(SEARCH(Classifiers!$G$11,E270)),1,0)))&gt;0,1,0))</f>
        <v/>
      </c>
      <c r="Q270" s="12">
        <f>IF(H270&lt;&gt;1,0,IF((IF(Classifiers!$B$12="",0,IF(ISNUMBER(SEARCH(Classifiers!$B$12,E270)),1,0))+IF(Classifiers!$C$12="",0,IF(ISNUMBER(SEARCH(Classifiers!$C$12,E270)),1,0))+IF(Classifiers!$D$12="",0,IF(ISNUMBER(SEARCH(Classifiers!$D$12,E270)),1,0))+IF(Classifiers!$E$12="",0,IF(ISNUMBER(SEARCH(Classifiers!$E$12,E270)),1,0))+IF(Classifiers!$F$12="",0,IF(ISNUMBER(SEARCH(Classifiers!$F$12,E270)),1,0))+IF(Classifiers!$G$12="",0,IF(ISNUMBER(SEARCH(Classifiers!$G$12,E270)),1,0)))&gt;0,1,0))</f>
        <v/>
      </c>
      <c r="R270" s="12">
        <f>IF(H270&lt;&gt;1,0,IF((IF(Classifiers!$B$13="",0,IF(ISNUMBER(SEARCH(Classifiers!$B$13,E270)),1,0))+IF(Classifiers!$C$13="",0,IF(ISNUMBER(SEARCH(Classifiers!$C$13,E270)),1,0))+IF(Classifiers!$D$13="",0,IF(ISNUMBER(SEARCH(Classifiers!$D$13,E270)),1,0))+IF(Classifiers!$E$13="",0,IF(ISNUMBER(SEARCH(Classifiers!$E$13,E270)),1,0))+IF(Classifiers!$F$13="",0,IF(ISNUMBER(SEARCH(Classifiers!$F$13,E270)),1,0))+IF(Classifiers!$G$13="",0,IF(ISNUMBER(SEARCH(Classifiers!$G$13,E270)),1,0)))&gt;0,1,0))</f>
        <v/>
      </c>
      <c r="S270" s="12">
        <f>IF(H270&lt;&gt;1,0,IF((IF(Classifiers!$B$14="",0,IF(ISNUMBER(SEARCH(Classifiers!$B$14,E270)),1,0))+IF(Classifiers!$C$14="",0,IF(ISNUMBER(SEARCH(Classifiers!$C$14,E270)),1,0))+IF(Classifiers!$D$14="",0,IF(ISNUMBER(SEARCH(Classifiers!$D$14,E270)),1,0))+IF(Classifiers!$E$14="",0,IF(ISNUMBER(SEARCH(Classifiers!$E$14,E270)),1,0))+IF(Classifiers!$F$14="",0,IF(ISNUMBER(SEARCH(Classifiers!$F$14,E270)),1,0))+IF(Classifiers!$G$14="",0,IF(ISNUMBER(SEARCH(Classifiers!$G$14,E270)),1,0)))&gt;0,1,0))</f>
        <v/>
      </c>
      <c r="T270" s="12">
        <f>IF(H270&lt;&gt;1,0,IF((IF(Classifiers!$B$15="",0,IF(ISNUMBER(SEARCH(Classifiers!$B$15,E270)),1,0))+IF(Classifiers!$C$15="",0,IF(ISNUMBER(SEARCH(Classifiers!$C$15,E270)),1,0))+IF(Classifiers!$D$15="",0,IF(ISNUMBER(SEARCH(Classifiers!$D$15,E270)),1,0))+IF(Classifiers!$E$15="",0,IF(ISNUMBER(SEARCH(Classifiers!$E$15,E270)),1,0))+IF(Classifiers!$F$15="",0,IF(ISNUMBER(SEARCH(Classifiers!$F$15,E270)),1,0))+IF(Classifiers!$G$15="",0,IF(ISNUMBER(SEARCH(Classifiers!$G$15,E270)),1,0)))&gt;0,1,0))</f>
        <v/>
      </c>
      <c r="U270" s="12">
        <f>IF(H270&lt;&gt;1,0,IF((IF(Classifiers!$B$16="",0,IF(ISNUMBER(SEARCH(Classifiers!$B$16,E270)),1,0))+IF(Classifiers!$C$16="",0,IF(ISNUMBER(SEARCH(Classifiers!$C$16,E270)),1,0))+IF(Classifiers!$D$16="",0,IF(ISNUMBER(SEARCH(Classifiers!$D$16,E270)),1,0))+IF(Classifiers!$E$16="",0,IF(ISNUMBER(SEARCH(Classifiers!$E$16,E270)),1,0))+IF(Classifiers!$F$16="",0,IF(ISNUMBER(SEARCH(Classifiers!$F$16,E270)),1,0))+IF(Classifiers!$G$16="",0,IF(ISNUMBER(SEARCH(Classifiers!$G$16,E270)),1,0)))&gt;0,1,0))</f>
        <v/>
      </c>
      <c r="V270" s="12">
        <f>IF(H270&lt;&gt;1,0,IF((IF(Classifiers!$B$17="",0,IF(ISNUMBER(SEARCH(Classifiers!$B$17,E270)),1,0))+IF(Classifiers!$C$17="",0,IF(ISNUMBER(SEARCH(Classifiers!$C$17,E270)),1,0))+IF(Classifiers!$D$17="",0,IF(ISNUMBER(SEARCH(Classifiers!$D$17,E270)),1,0))+IF(Classifiers!$E$17="",0,IF(ISNUMBER(SEARCH(Classifiers!$E$17,E270)),1,0))+IF(Classifiers!$F$17="",0,IF(ISNUMBER(SEARCH(Classifiers!$F$17,E270)),1,0))+IF(Classifiers!$G$17="",0,IF(ISNUMBER(SEARCH(Classifiers!$G$17,E270)),1,0)))&gt;0,1,0))</f>
        <v/>
      </c>
      <c r="W270" s="12">
        <f>IF(H270&lt;&gt;1,0,IF((IF(Classifiers!$B$18="",0,IF(ISNUMBER(SEARCH(Classifiers!$B$18,E270)),1,0))+IF(Classifiers!$C$18="",0,IF(ISNUMBER(SEARCH(Classifiers!$C$18,E270)),1,0))+IF(Classifiers!$D$18="",0,IF(ISNUMBER(SEARCH(Classifiers!$D$18,E270)),1,0))+IF(Classifiers!$E$18="",0,IF(ISNUMBER(SEARCH(Classifiers!$E$18,E270)),1,0))+IF(Classifiers!$F$18="",0,IF(ISNUMBER(SEARCH(Classifiers!$F$18,E270)),1,0))+IF(Classifiers!$G$18="",0,IF(ISNUMBER(SEARCH(Classifiers!$G$18,E270)),1,0)))&gt;0,1,0))</f>
        <v/>
      </c>
    </row>
    <row r="271">
      <c r="A271" s="8" t="n"/>
      <c r="B271" s="11" t="n"/>
      <c r="C271" s="6">
        <f>IF(A271="","",TRIM(RIGHT(SUBSTITUTE(A271,"/",REPT(" ",250)),250)))</f>
        <v/>
      </c>
      <c r="D271" s="6">
        <f>IF(C271="","",IF(ISNUMBER(SEARCH(".",C271)),LOWER("."&amp;TRIM(RIGHT(SUBSTITUTE(C271,".",REPT(" ",250)),250))),""))</f>
        <v/>
      </c>
      <c r="E271" s="6">
        <f>IF(C271="","",TRIM(SUBSTITUTE(SUBSTITUTE(SUBSTITUTE(SUBSTITUTE(SUBSTITUTE(SUBSTITUTE(SUBSTITUTE(SUBSTITUTE(SUBSTITUTE(SUBSTITUTE(SUBSTITUTE(SUBSTITUTE(SUBSTITUTE(SUBSTITUTE(SUBSTITUTE(SUBSTITUTE(SUBSTITUTE(SUBSTITUTE(SUBSTITUTE(SUBSTITUTE(LOWER(LEFT(C271,LEN(C271)-LEN(D271))),"_"," "),"-"," "),"."," "),","," "),"("," "),")"," "),"["," "),"]"," "),"&amp;"," "),"+"," "),"@"," "),"#"," "),"!"," "),"'"," "),"/"," "),":"," "),";"," "),"="," "),"~"," "),"%"," ")))</f>
        <v/>
      </c>
      <c r="F271" s="6">
        <f>IF(C271="","",IF(COUNTIF(Classifiers!$A$23:$A$40,D271)&gt;0,1,0))</f>
        <v/>
      </c>
      <c r="G271" s="6">
        <f>IF(C271="","",IF(COUNTIF(Classifiers!$C$23:$C$30,D271)&gt;0,IF((IF(ISNUMBER(SEARCH(Classifiers!$E$23,E271)),1,0)+IF(ISNUMBER(SEARCH(Classifiers!$E$24,E271)),1,0)+IF(ISNUMBER(SEARCH(Classifiers!$E$25,E271)),1,0)+IF(ISNUMBER(SEARCH(Classifiers!$E$26,E271)),1,0)+IF(ISNUMBER(SEARCH(Classifiers!$E$27,E271)),1,0)+IF(ISNUMBER(SEARCH(Classifiers!$E$28,E271)),1,0)+IF(ISNUMBER(SEARCH(Classifiers!$E$29,E271)),1,0)+IF(ISNUMBER(SEARCH(Classifiers!$E$30,E271)),1,0))&gt;0,1,0),0))</f>
        <v/>
      </c>
      <c r="H271" s="6">
        <f>IF(C271="","",IF(OR(LEFT(C271,1)=".",AND(F271=0,G271=0)),0,1))</f>
        <v/>
      </c>
      <c r="I271" s="6">
        <f>IF(H271&lt;&gt;1,"",IF(SUM(J271:W271)=0,"unclassified",INDEX(Classifiers!$A$5:$A$18,MATCH(1,J271:W271,0),1)))</f>
        <v/>
      </c>
      <c r="J271" s="12">
        <f>IF(H271&lt;&gt;1,0,IF((IF(Classifiers!$B$5="",0,IF(ISNUMBER(SEARCH(Classifiers!$B$5,E271)),1,0))+IF(Classifiers!$C$5="",0,IF(ISNUMBER(SEARCH(Classifiers!$C$5,E271)),1,0))+IF(Classifiers!$D$5="",0,IF(ISNUMBER(SEARCH(Classifiers!$D$5,E271)),1,0))+IF(Classifiers!$E$5="",0,IF(ISNUMBER(SEARCH(Classifiers!$E$5,E271)),1,0))+IF(Classifiers!$F$5="",0,IF(ISNUMBER(SEARCH(Classifiers!$F$5,E271)),1,0))+IF(Classifiers!$G$5="",0,IF(ISNUMBER(SEARCH(Classifiers!$G$5,E271)),1,0)))&gt;0,1,0))</f>
        <v/>
      </c>
      <c r="K271" s="12">
        <f>IF(H271&lt;&gt;1,0,IF((IF(Classifiers!$B$6="",0,IF(ISNUMBER(SEARCH(Classifiers!$B$6,E271)),1,0))+IF(Classifiers!$C$6="",0,IF(ISNUMBER(SEARCH(Classifiers!$C$6,E271)),1,0))+IF(Classifiers!$D$6="",0,IF(ISNUMBER(SEARCH(Classifiers!$D$6,E271)),1,0))+IF(Classifiers!$E$6="",0,IF(ISNUMBER(SEARCH(Classifiers!$E$6,E271)),1,0))+IF(Classifiers!$F$6="",0,IF(ISNUMBER(SEARCH(Classifiers!$F$6,E271)),1,0))+IF(Classifiers!$G$6="",0,IF(ISNUMBER(SEARCH(Classifiers!$G$6,E271)),1,0)))&gt;0,1,0))</f>
        <v/>
      </c>
      <c r="L271" s="12">
        <f>IF(H271&lt;&gt;1,0,IF((IF(Classifiers!$B$7="",0,IF(ISNUMBER(SEARCH(Classifiers!$B$7,E271)),1,0))+IF(Classifiers!$C$7="",0,IF(ISNUMBER(SEARCH(Classifiers!$C$7,E271)),1,0))+IF(Classifiers!$D$7="",0,IF(ISNUMBER(SEARCH(Classifiers!$D$7,E271)),1,0))+IF(Classifiers!$E$7="",0,IF(ISNUMBER(SEARCH(Classifiers!$E$7,E271)),1,0))+IF(Classifiers!$F$7="",0,IF(ISNUMBER(SEARCH(Classifiers!$F$7,E271)),1,0))+IF(Classifiers!$G$7="",0,IF(ISNUMBER(SEARCH(Classifiers!$G$7,E271)),1,0)))&gt;0,1,0))</f>
        <v/>
      </c>
      <c r="M271" s="12">
        <f>IF(H271&lt;&gt;1,0,IF((IF(Classifiers!$B$8="",0,IF(ISNUMBER(SEARCH(Classifiers!$B$8,E271)),1,0))+IF(Classifiers!$C$8="",0,IF(ISNUMBER(SEARCH(Classifiers!$C$8,E271)),1,0))+IF(Classifiers!$D$8="",0,IF(ISNUMBER(SEARCH(Classifiers!$D$8,E271)),1,0))+IF(Classifiers!$E$8="",0,IF(ISNUMBER(SEARCH(Classifiers!$E$8,E271)),1,0))+IF(Classifiers!$F$8="",0,IF(ISNUMBER(SEARCH(Classifiers!$F$8,E271)),1,0))+IF(Classifiers!$G$8="",0,IF(ISNUMBER(SEARCH(Classifiers!$G$8,E271)),1,0)))&gt;0,1,0))</f>
        <v/>
      </c>
      <c r="N271" s="12">
        <f>IF(H271&lt;&gt;1,0,IF((IF(Classifiers!$B$9="",0,IF(ISNUMBER(SEARCH(Classifiers!$B$9,E271)),1,0))+IF(Classifiers!$C$9="",0,IF(ISNUMBER(SEARCH(Classifiers!$C$9,E271)),1,0))+IF(Classifiers!$D$9="",0,IF(ISNUMBER(SEARCH(Classifiers!$D$9,E271)),1,0))+IF(Classifiers!$E$9="",0,IF(ISNUMBER(SEARCH(Classifiers!$E$9,E271)),1,0))+IF(Classifiers!$F$9="",0,IF(ISNUMBER(SEARCH(Classifiers!$F$9,E271)),1,0))+IF(Classifiers!$G$9="",0,IF(ISNUMBER(SEARCH(Classifiers!$G$9,E271)),1,0)))&gt;0,1,0))</f>
        <v/>
      </c>
      <c r="O271" s="12">
        <f>IF(H271&lt;&gt;1,0,IF((IF(Classifiers!$B$10="",0,IF(ISNUMBER(SEARCH(Classifiers!$B$10,E271)),1,0))+IF(Classifiers!$C$10="",0,IF(ISNUMBER(SEARCH(Classifiers!$C$10,E271)),1,0))+IF(Classifiers!$D$10="",0,IF(ISNUMBER(SEARCH(Classifiers!$D$10,E271)),1,0))+IF(Classifiers!$E$10="",0,IF(ISNUMBER(SEARCH(Classifiers!$E$10,E271)),1,0))+IF(Classifiers!$F$10="",0,IF(ISNUMBER(SEARCH(Classifiers!$F$10,E271)),1,0))+IF(Classifiers!$G$10="",0,IF(ISNUMBER(SEARCH(Classifiers!$G$10,E271)),1,0)))&gt;0,1,0))</f>
        <v/>
      </c>
      <c r="P271" s="12">
        <f>IF(H271&lt;&gt;1,0,IF((IF(Classifiers!$B$11="",0,IF(ISNUMBER(SEARCH(Classifiers!$B$11,E271)),1,0))+IF(Classifiers!$C$11="",0,IF(ISNUMBER(SEARCH(Classifiers!$C$11,E271)),1,0))+IF(Classifiers!$D$11="",0,IF(ISNUMBER(SEARCH(Classifiers!$D$11,E271)),1,0))+IF(Classifiers!$E$11="",0,IF(ISNUMBER(SEARCH(Classifiers!$E$11,E271)),1,0))+IF(Classifiers!$F$11="",0,IF(ISNUMBER(SEARCH(Classifiers!$F$11,E271)),1,0))+IF(Classifiers!$G$11="",0,IF(ISNUMBER(SEARCH(Classifiers!$G$11,E271)),1,0)))&gt;0,1,0))</f>
        <v/>
      </c>
      <c r="Q271" s="12">
        <f>IF(H271&lt;&gt;1,0,IF((IF(Classifiers!$B$12="",0,IF(ISNUMBER(SEARCH(Classifiers!$B$12,E271)),1,0))+IF(Classifiers!$C$12="",0,IF(ISNUMBER(SEARCH(Classifiers!$C$12,E271)),1,0))+IF(Classifiers!$D$12="",0,IF(ISNUMBER(SEARCH(Classifiers!$D$12,E271)),1,0))+IF(Classifiers!$E$12="",0,IF(ISNUMBER(SEARCH(Classifiers!$E$12,E271)),1,0))+IF(Classifiers!$F$12="",0,IF(ISNUMBER(SEARCH(Classifiers!$F$12,E271)),1,0))+IF(Classifiers!$G$12="",0,IF(ISNUMBER(SEARCH(Classifiers!$G$12,E271)),1,0)))&gt;0,1,0))</f>
        <v/>
      </c>
      <c r="R271" s="12">
        <f>IF(H271&lt;&gt;1,0,IF((IF(Classifiers!$B$13="",0,IF(ISNUMBER(SEARCH(Classifiers!$B$13,E271)),1,0))+IF(Classifiers!$C$13="",0,IF(ISNUMBER(SEARCH(Classifiers!$C$13,E271)),1,0))+IF(Classifiers!$D$13="",0,IF(ISNUMBER(SEARCH(Classifiers!$D$13,E271)),1,0))+IF(Classifiers!$E$13="",0,IF(ISNUMBER(SEARCH(Classifiers!$E$13,E271)),1,0))+IF(Classifiers!$F$13="",0,IF(ISNUMBER(SEARCH(Classifiers!$F$13,E271)),1,0))+IF(Classifiers!$G$13="",0,IF(ISNUMBER(SEARCH(Classifiers!$G$13,E271)),1,0)))&gt;0,1,0))</f>
        <v/>
      </c>
      <c r="S271" s="12">
        <f>IF(H271&lt;&gt;1,0,IF((IF(Classifiers!$B$14="",0,IF(ISNUMBER(SEARCH(Classifiers!$B$14,E271)),1,0))+IF(Classifiers!$C$14="",0,IF(ISNUMBER(SEARCH(Classifiers!$C$14,E271)),1,0))+IF(Classifiers!$D$14="",0,IF(ISNUMBER(SEARCH(Classifiers!$D$14,E271)),1,0))+IF(Classifiers!$E$14="",0,IF(ISNUMBER(SEARCH(Classifiers!$E$14,E271)),1,0))+IF(Classifiers!$F$14="",0,IF(ISNUMBER(SEARCH(Classifiers!$F$14,E271)),1,0))+IF(Classifiers!$G$14="",0,IF(ISNUMBER(SEARCH(Classifiers!$G$14,E271)),1,0)))&gt;0,1,0))</f>
        <v/>
      </c>
      <c r="T271" s="12">
        <f>IF(H271&lt;&gt;1,0,IF((IF(Classifiers!$B$15="",0,IF(ISNUMBER(SEARCH(Classifiers!$B$15,E271)),1,0))+IF(Classifiers!$C$15="",0,IF(ISNUMBER(SEARCH(Classifiers!$C$15,E271)),1,0))+IF(Classifiers!$D$15="",0,IF(ISNUMBER(SEARCH(Classifiers!$D$15,E271)),1,0))+IF(Classifiers!$E$15="",0,IF(ISNUMBER(SEARCH(Classifiers!$E$15,E271)),1,0))+IF(Classifiers!$F$15="",0,IF(ISNUMBER(SEARCH(Classifiers!$F$15,E271)),1,0))+IF(Classifiers!$G$15="",0,IF(ISNUMBER(SEARCH(Classifiers!$G$15,E271)),1,0)))&gt;0,1,0))</f>
        <v/>
      </c>
      <c r="U271" s="12">
        <f>IF(H271&lt;&gt;1,0,IF((IF(Classifiers!$B$16="",0,IF(ISNUMBER(SEARCH(Classifiers!$B$16,E271)),1,0))+IF(Classifiers!$C$16="",0,IF(ISNUMBER(SEARCH(Classifiers!$C$16,E271)),1,0))+IF(Classifiers!$D$16="",0,IF(ISNUMBER(SEARCH(Classifiers!$D$16,E271)),1,0))+IF(Classifiers!$E$16="",0,IF(ISNUMBER(SEARCH(Classifiers!$E$16,E271)),1,0))+IF(Classifiers!$F$16="",0,IF(ISNUMBER(SEARCH(Classifiers!$F$16,E271)),1,0))+IF(Classifiers!$G$16="",0,IF(ISNUMBER(SEARCH(Classifiers!$G$16,E271)),1,0)))&gt;0,1,0))</f>
        <v/>
      </c>
      <c r="V271" s="12">
        <f>IF(H271&lt;&gt;1,0,IF((IF(Classifiers!$B$17="",0,IF(ISNUMBER(SEARCH(Classifiers!$B$17,E271)),1,0))+IF(Classifiers!$C$17="",0,IF(ISNUMBER(SEARCH(Classifiers!$C$17,E271)),1,0))+IF(Classifiers!$D$17="",0,IF(ISNUMBER(SEARCH(Classifiers!$D$17,E271)),1,0))+IF(Classifiers!$E$17="",0,IF(ISNUMBER(SEARCH(Classifiers!$E$17,E271)),1,0))+IF(Classifiers!$F$17="",0,IF(ISNUMBER(SEARCH(Classifiers!$F$17,E271)),1,0))+IF(Classifiers!$G$17="",0,IF(ISNUMBER(SEARCH(Classifiers!$G$17,E271)),1,0)))&gt;0,1,0))</f>
        <v/>
      </c>
      <c r="W271" s="12">
        <f>IF(H271&lt;&gt;1,0,IF((IF(Classifiers!$B$18="",0,IF(ISNUMBER(SEARCH(Classifiers!$B$18,E271)),1,0))+IF(Classifiers!$C$18="",0,IF(ISNUMBER(SEARCH(Classifiers!$C$18,E271)),1,0))+IF(Classifiers!$D$18="",0,IF(ISNUMBER(SEARCH(Classifiers!$D$18,E271)),1,0))+IF(Classifiers!$E$18="",0,IF(ISNUMBER(SEARCH(Classifiers!$E$18,E271)),1,0))+IF(Classifiers!$F$18="",0,IF(ISNUMBER(SEARCH(Classifiers!$F$18,E271)),1,0))+IF(Classifiers!$G$18="",0,IF(ISNUMBER(SEARCH(Classifiers!$G$18,E271)),1,0)))&gt;0,1,0))</f>
        <v/>
      </c>
    </row>
    <row r="272">
      <c r="A272" s="8" t="n"/>
      <c r="B272" s="11" t="n"/>
      <c r="C272" s="6">
        <f>IF(A272="","",TRIM(RIGHT(SUBSTITUTE(A272,"/",REPT(" ",250)),250)))</f>
        <v/>
      </c>
      <c r="D272" s="6">
        <f>IF(C272="","",IF(ISNUMBER(SEARCH(".",C272)),LOWER("."&amp;TRIM(RIGHT(SUBSTITUTE(C272,".",REPT(" ",250)),250))),""))</f>
        <v/>
      </c>
      <c r="E272" s="6">
        <f>IF(C272="","",TRIM(SUBSTITUTE(SUBSTITUTE(SUBSTITUTE(SUBSTITUTE(SUBSTITUTE(SUBSTITUTE(SUBSTITUTE(SUBSTITUTE(SUBSTITUTE(SUBSTITUTE(SUBSTITUTE(SUBSTITUTE(SUBSTITUTE(SUBSTITUTE(SUBSTITUTE(SUBSTITUTE(SUBSTITUTE(SUBSTITUTE(SUBSTITUTE(SUBSTITUTE(LOWER(LEFT(C272,LEN(C272)-LEN(D272))),"_"," "),"-"," "),"."," "),","," "),"("," "),")"," "),"["," "),"]"," "),"&amp;"," "),"+"," "),"@"," "),"#"," "),"!"," "),"'"," "),"/"," "),":"," "),";"," "),"="," "),"~"," "),"%"," ")))</f>
        <v/>
      </c>
      <c r="F272" s="6">
        <f>IF(C272="","",IF(COUNTIF(Classifiers!$A$23:$A$40,D272)&gt;0,1,0))</f>
        <v/>
      </c>
      <c r="G272" s="6">
        <f>IF(C272="","",IF(COUNTIF(Classifiers!$C$23:$C$30,D272)&gt;0,IF((IF(ISNUMBER(SEARCH(Classifiers!$E$23,E272)),1,0)+IF(ISNUMBER(SEARCH(Classifiers!$E$24,E272)),1,0)+IF(ISNUMBER(SEARCH(Classifiers!$E$25,E272)),1,0)+IF(ISNUMBER(SEARCH(Classifiers!$E$26,E272)),1,0)+IF(ISNUMBER(SEARCH(Classifiers!$E$27,E272)),1,0)+IF(ISNUMBER(SEARCH(Classifiers!$E$28,E272)),1,0)+IF(ISNUMBER(SEARCH(Classifiers!$E$29,E272)),1,0)+IF(ISNUMBER(SEARCH(Classifiers!$E$30,E272)),1,0))&gt;0,1,0),0))</f>
        <v/>
      </c>
      <c r="H272" s="6">
        <f>IF(C272="","",IF(OR(LEFT(C272,1)=".",AND(F272=0,G272=0)),0,1))</f>
        <v/>
      </c>
      <c r="I272" s="6">
        <f>IF(H272&lt;&gt;1,"",IF(SUM(J272:W272)=0,"unclassified",INDEX(Classifiers!$A$5:$A$18,MATCH(1,J272:W272,0),1)))</f>
        <v/>
      </c>
      <c r="J272" s="12">
        <f>IF(H272&lt;&gt;1,0,IF((IF(Classifiers!$B$5="",0,IF(ISNUMBER(SEARCH(Classifiers!$B$5,E272)),1,0))+IF(Classifiers!$C$5="",0,IF(ISNUMBER(SEARCH(Classifiers!$C$5,E272)),1,0))+IF(Classifiers!$D$5="",0,IF(ISNUMBER(SEARCH(Classifiers!$D$5,E272)),1,0))+IF(Classifiers!$E$5="",0,IF(ISNUMBER(SEARCH(Classifiers!$E$5,E272)),1,0))+IF(Classifiers!$F$5="",0,IF(ISNUMBER(SEARCH(Classifiers!$F$5,E272)),1,0))+IF(Classifiers!$G$5="",0,IF(ISNUMBER(SEARCH(Classifiers!$G$5,E272)),1,0)))&gt;0,1,0))</f>
        <v/>
      </c>
      <c r="K272" s="12">
        <f>IF(H272&lt;&gt;1,0,IF((IF(Classifiers!$B$6="",0,IF(ISNUMBER(SEARCH(Classifiers!$B$6,E272)),1,0))+IF(Classifiers!$C$6="",0,IF(ISNUMBER(SEARCH(Classifiers!$C$6,E272)),1,0))+IF(Classifiers!$D$6="",0,IF(ISNUMBER(SEARCH(Classifiers!$D$6,E272)),1,0))+IF(Classifiers!$E$6="",0,IF(ISNUMBER(SEARCH(Classifiers!$E$6,E272)),1,0))+IF(Classifiers!$F$6="",0,IF(ISNUMBER(SEARCH(Classifiers!$F$6,E272)),1,0))+IF(Classifiers!$G$6="",0,IF(ISNUMBER(SEARCH(Classifiers!$G$6,E272)),1,0)))&gt;0,1,0))</f>
        <v/>
      </c>
      <c r="L272" s="12">
        <f>IF(H272&lt;&gt;1,0,IF((IF(Classifiers!$B$7="",0,IF(ISNUMBER(SEARCH(Classifiers!$B$7,E272)),1,0))+IF(Classifiers!$C$7="",0,IF(ISNUMBER(SEARCH(Classifiers!$C$7,E272)),1,0))+IF(Classifiers!$D$7="",0,IF(ISNUMBER(SEARCH(Classifiers!$D$7,E272)),1,0))+IF(Classifiers!$E$7="",0,IF(ISNUMBER(SEARCH(Classifiers!$E$7,E272)),1,0))+IF(Classifiers!$F$7="",0,IF(ISNUMBER(SEARCH(Classifiers!$F$7,E272)),1,0))+IF(Classifiers!$G$7="",0,IF(ISNUMBER(SEARCH(Classifiers!$G$7,E272)),1,0)))&gt;0,1,0))</f>
        <v/>
      </c>
      <c r="M272" s="12">
        <f>IF(H272&lt;&gt;1,0,IF((IF(Classifiers!$B$8="",0,IF(ISNUMBER(SEARCH(Classifiers!$B$8,E272)),1,0))+IF(Classifiers!$C$8="",0,IF(ISNUMBER(SEARCH(Classifiers!$C$8,E272)),1,0))+IF(Classifiers!$D$8="",0,IF(ISNUMBER(SEARCH(Classifiers!$D$8,E272)),1,0))+IF(Classifiers!$E$8="",0,IF(ISNUMBER(SEARCH(Classifiers!$E$8,E272)),1,0))+IF(Classifiers!$F$8="",0,IF(ISNUMBER(SEARCH(Classifiers!$F$8,E272)),1,0))+IF(Classifiers!$G$8="",0,IF(ISNUMBER(SEARCH(Classifiers!$G$8,E272)),1,0)))&gt;0,1,0))</f>
        <v/>
      </c>
      <c r="N272" s="12">
        <f>IF(H272&lt;&gt;1,0,IF((IF(Classifiers!$B$9="",0,IF(ISNUMBER(SEARCH(Classifiers!$B$9,E272)),1,0))+IF(Classifiers!$C$9="",0,IF(ISNUMBER(SEARCH(Classifiers!$C$9,E272)),1,0))+IF(Classifiers!$D$9="",0,IF(ISNUMBER(SEARCH(Classifiers!$D$9,E272)),1,0))+IF(Classifiers!$E$9="",0,IF(ISNUMBER(SEARCH(Classifiers!$E$9,E272)),1,0))+IF(Classifiers!$F$9="",0,IF(ISNUMBER(SEARCH(Classifiers!$F$9,E272)),1,0))+IF(Classifiers!$G$9="",0,IF(ISNUMBER(SEARCH(Classifiers!$G$9,E272)),1,0)))&gt;0,1,0))</f>
        <v/>
      </c>
      <c r="O272" s="12">
        <f>IF(H272&lt;&gt;1,0,IF((IF(Classifiers!$B$10="",0,IF(ISNUMBER(SEARCH(Classifiers!$B$10,E272)),1,0))+IF(Classifiers!$C$10="",0,IF(ISNUMBER(SEARCH(Classifiers!$C$10,E272)),1,0))+IF(Classifiers!$D$10="",0,IF(ISNUMBER(SEARCH(Classifiers!$D$10,E272)),1,0))+IF(Classifiers!$E$10="",0,IF(ISNUMBER(SEARCH(Classifiers!$E$10,E272)),1,0))+IF(Classifiers!$F$10="",0,IF(ISNUMBER(SEARCH(Classifiers!$F$10,E272)),1,0))+IF(Classifiers!$G$10="",0,IF(ISNUMBER(SEARCH(Classifiers!$G$10,E272)),1,0)))&gt;0,1,0))</f>
        <v/>
      </c>
      <c r="P272" s="12">
        <f>IF(H272&lt;&gt;1,0,IF((IF(Classifiers!$B$11="",0,IF(ISNUMBER(SEARCH(Classifiers!$B$11,E272)),1,0))+IF(Classifiers!$C$11="",0,IF(ISNUMBER(SEARCH(Classifiers!$C$11,E272)),1,0))+IF(Classifiers!$D$11="",0,IF(ISNUMBER(SEARCH(Classifiers!$D$11,E272)),1,0))+IF(Classifiers!$E$11="",0,IF(ISNUMBER(SEARCH(Classifiers!$E$11,E272)),1,0))+IF(Classifiers!$F$11="",0,IF(ISNUMBER(SEARCH(Classifiers!$F$11,E272)),1,0))+IF(Classifiers!$G$11="",0,IF(ISNUMBER(SEARCH(Classifiers!$G$11,E272)),1,0)))&gt;0,1,0))</f>
        <v/>
      </c>
      <c r="Q272" s="12">
        <f>IF(H272&lt;&gt;1,0,IF((IF(Classifiers!$B$12="",0,IF(ISNUMBER(SEARCH(Classifiers!$B$12,E272)),1,0))+IF(Classifiers!$C$12="",0,IF(ISNUMBER(SEARCH(Classifiers!$C$12,E272)),1,0))+IF(Classifiers!$D$12="",0,IF(ISNUMBER(SEARCH(Classifiers!$D$12,E272)),1,0))+IF(Classifiers!$E$12="",0,IF(ISNUMBER(SEARCH(Classifiers!$E$12,E272)),1,0))+IF(Classifiers!$F$12="",0,IF(ISNUMBER(SEARCH(Classifiers!$F$12,E272)),1,0))+IF(Classifiers!$G$12="",0,IF(ISNUMBER(SEARCH(Classifiers!$G$12,E272)),1,0)))&gt;0,1,0))</f>
        <v/>
      </c>
      <c r="R272" s="12">
        <f>IF(H272&lt;&gt;1,0,IF((IF(Classifiers!$B$13="",0,IF(ISNUMBER(SEARCH(Classifiers!$B$13,E272)),1,0))+IF(Classifiers!$C$13="",0,IF(ISNUMBER(SEARCH(Classifiers!$C$13,E272)),1,0))+IF(Classifiers!$D$13="",0,IF(ISNUMBER(SEARCH(Classifiers!$D$13,E272)),1,0))+IF(Classifiers!$E$13="",0,IF(ISNUMBER(SEARCH(Classifiers!$E$13,E272)),1,0))+IF(Classifiers!$F$13="",0,IF(ISNUMBER(SEARCH(Classifiers!$F$13,E272)),1,0))+IF(Classifiers!$G$13="",0,IF(ISNUMBER(SEARCH(Classifiers!$G$13,E272)),1,0)))&gt;0,1,0))</f>
        <v/>
      </c>
      <c r="S272" s="12">
        <f>IF(H272&lt;&gt;1,0,IF((IF(Classifiers!$B$14="",0,IF(ISNUMBER(SEARCH(Classifiers!$B$14,E272)),1,0))+IF(Classifiers!$C$14="",0,IF(ISNUMBER(SEARCH(Classifiers!$C$14,E272)),1,0))+IF(Classifiers!$D$14="",0,IF(ISNUMBER(SEARCH(Classifiers!$D$14,E272)),1,0))+IF(Classifiers!$E$14="",0,IF(ISNUMBER(SEARCH(Classifiers!$E$14,E272)),1,0))+IF(Classifiers!$F$14="",0,IF(ISNUMBER(SEARCH(Classifiers!$F$14,E272)),1,0))+IF(Classifiers!$G$14="",0,IF(ISNUMBER(SEARCH(Classifiers!$G$14,E272)),1,0)))&gt;0,1,0))</f>
        <v/>
      </c>
      <c r="T272" s="12">
        <f>IF(H272&lt;&gt;1,0,IF((IF(Classifiers!$B$15="",0,IF(ISNUMBER(SEARCH(Classifiers!$B$15,E272)),1,0))+IF(Classifiers!$C$15="",0,IF(ISNUMBER(SEARCH(Classifiers!$C$15,E272)),1,0))+IF(Classifiers!$D$15="",0,IF(ISNUMBER(SEARCH(Classifiers!$D$15,E272)),1,0))+IF(Classifiers!$E$15="",0,IF(ISNUMBER(SEARCH(Classifiers!$E$15,E272)),1,0))+IF(Classifiers!$F$15="",0,IF(ISNUMBER(SEARCH(Classifiers!$F$15,E272)),1,0))+IF(Classifiers!$G$15="",0,IF(ISNUMBER(SEARCH(Classifiers!$G$15,E272)),1,0)))&gt;0,1,0))</f>
        <v/>
      </c>
      <c r="U272" s="12">
        <f>IF(H272&lt;&gt;1,0,IF((IF(Classifiers!$B$16="",0,IF(ISNUMBER(SEARCH(Classifiers!$B$16,E272)),1,0))+IF(Classifiers!$C$16="",0,IF(ISNUMBER(SEARCH(Classifiers!$C$16,E272)),1,0))+IF(Classifiers!$D$16="",0,IF(ISNUMBER(SEARCH(Classifiers!$D$16,E272)),1,0))+IF(Classifiers!$E$16="",0,IF(ISNUMBER(SEARCH(Classifiers!$E$16,E272)),1,0))+IF(Classifiers!$F$16="",0,IF(ISNUMBER(SEARCH(Classifiers!$F$16,E272)),1,0))+IF(Classifiers!$G$16="",0,IF(ISNUMBER(SEARCH(Classifiers!$G$16,E272)),1,0)))&gt;0,1,0))</f>
        <v/>
      </c>
      <c r="V272" s="12">
        <f>IF(H272&lt;&gt;1,0,IF((IF(Classifiers!$B$17="",0,IF(ISNUMBER(SEARCH(Classifiers!$B$17,E272)),1,0))+IF(Classifiers!$C$17="",0,IF(ISNUMBER(SEARCH(Classifiers!$C$17,E272)),1,0))+IF(Classifiers!$D$17="",0,IF(ISNUMBER(SEARCH(Classifiers!$D$17,E272)),1,0))+IF(Classifiers!$E$17="",0,IF(ISNUMBER(SEARCH(Classifiers!$E$17,E272)),1,0))+IF(Classifiers!$F$17="",0,IF(ISNUMBER(SEARCH(Classifiers!$F$17,E272)),1,0))+IF(Classifiers!$G$17="",0,IF(ISNUMBER(SEARCH(Classifiers!$G$17,E272)),1,0)))&gt;0,1,0))</f>
        <v/>
      </c>
      <c r="W272" s="12">
        <f>IF(H272&lt;&gt;1,0,IF((IF(Classifiers!$B$18="",0,IF(ISNUMBER(SEARCH(Classifiers!$B$18,E272)),1,0))+IF(Classifiers!$C$18="",0,IF(ISNUMBER(SEARCH(Classifiers!$C$18,E272)),1,0))+IF(Classifiers!$D$18="",0,IF(ISNUMBER(SEARCH(Classifiers!$D$18,E272)),1,0))+IF(Classifiers!$E$18="",0,IF(ISNUMBER(SEARCH(Classifiers!$E$18,E272)),1,0))+IF(Classifiers!$F$18="",0,IF(ISNUMBER(SEARCH(Classifiers!$F$18,E272)),1,0))+IF(Classifiers!$G$18="",0,IF(ISNUMBER(SEARCH(Classifiers!$G$18,E272)),1,0)))&gt;0,1,0))</f>
        <v/>
      </c>
    </row>
    <row r="273">
      <c r="A273" s="8" t="n"/>
      <c r="B273" s="11" t="n"/>
      <c r="C273" s="6">
        <f>IF(A273="","",TRIM(RIGHT(SUBSTITUTE(A273,"/",REPT(" ",250)),250)))</f>
        <v/>
      </c>
      <c r="D273" s="6">
        <f>IF(C273="","",IF(ISNUMBER(SEARCH(".",C273)),LOWER("."&amp;TRIM(RIGHT(SUBSTITUTE(C273,".",REPT(" ",250)),250))),""))</f>
        <v/>
      </c>
      <c r="E273" s="6">
        <f>IF(C273="","",TRIM(SUBSTITUTE(SUBSTITUTE(SUBSTITUTE(SUBSTITUTE(SUBSTITUTE(SUBSTITUTE(SUBSTITUTE(SUBSTITUTE(SUBSTITUTE(SUBSTITUTE(SUBSTITUTE(SUBSTITUTE(SUBSTITUTE(SUBSTITUTE(SUBSTITUTE(SUBSTITUTE(SUBSTITUTE(SUBSTITUTE(SUBSTITUTE(SUBSTITUTE(LOWER(LEFT(C273,LEN(C273)-LEN(D273))),"_"," "),"-"," "),"."," "),","," "),"("," "),")"," "),"["," "),"]"," "),"&amp;"," "),"+"," "),"@"," "),"#"," "),"!"," "),"'"," "),"/"," "),":"," "),";"," "),"="," "),"~"," "),"%"," ")))</f>
        <v/>
      </c>
      <c r="F273" s="6">
        <f>IF(C273="","",IF(COUNTIF(Classifiers!$A$23:$A$40,D273)&gt;0,1,0))</f>
        <v/>
      </c>
      <c r="G273" s="6">
        <f>IF(C273="","",IF(COUNTIF(Classifiers!$C$23:$C$30,D273)&gt;0,IF((IF(ISNUMBER(SEARCH(Classifiers!$E$23,E273)),1,0)+IF(ISNUMBER(SEARCH(Classifiers!$E$24,E273)),1,0)+IF(ISNUMBER(SEARCH(Classifiers!$E$25,E273)),1,0)+IF(ISNUMBER(SEARCH(Classifiers!$E$26,E273)),1,0)+IF(ISNUMBER(SEARCH(Classifiers!$E$27,E273)),1,0)+IF(ISNUMBER(SEARCH(Classifiers!$E$28,E273)),1,0)+IF(ISNUMBER(SEARCH(Classifiers!$E$29,E273)),1,0)+IF(ISNUMBER(SEARCH(Classifiers!$E$30,E273)),1,0))&gt;0,1,0),0))</f>
        <v/>
      </c>
      <c r="H273" s="6">
        <f>IF(C273="","",IF(OR(LEFT(C273,1)=".",AND(F273=0,G273=0)),0,1))</f>
        <v/>
      </c>
      <c r="I273" s="6">
        <f>IF(H273&lt;&gt;1,"",IF(SUM(J273:W273)=0,"unclassified",INDEX(Classifiers!$A$5:$A$18,MATCH(1,J273:W273,0),1)))</f>
        <v/>
      </c>
      <c r="J273" s="12">
        <f>IF(H273&lt;&gt;1,0,IF((IF(Classifiers!$B$5="",0,IF(ISNUMBER(SEARCH(Classifiers!$B$5,E273)),1,0))+IF(Classifiers!$C$5="",0,IF(ISNUMBER(SEARCH(Classifiers!$C$5,E273)),1,0))+IF(Classifiers!$D$5="",0,IF(ISNUMBER(SEARCH(Classifiers!$D$5,E273)),1,0))+IF(Classifiers!$E$5="",0,IF(ISNUMBER(SEARCH(Classifiers!$E$5,E273)),1,0))+IF(Classifiers!$F$5="",0,IF(ISNUMBER(SEARCH(Classifiers!$F$5,E273)),1,0))+IF(Classifiers!$G$5="",0,IF(ISNUMBER(SEARCH(Classifiers!$G$5,E273)),1,0)))&gt;0,1,0))</f>
        <v/>
      </c>
      <c r="K273" s="12">
        <f>IF(H273&lt;&gt;1,0,IF((IF(Classifiers!$B$6="",0,IF(ISNUMBER(SEARCH(Classifiers!$B$6,E273)),1,0))+IF(Classifiers!$C$6="",0,IF(ISNUMBER(SEARCH(Classifiers!$C$6,E273)),1,0))+IF(Classifiers!$D$6="",0,IF(ISNUMBER(SEARCH(Classifiers!$D$6,E273)),1,0))+IF(Classifiers!$E$6="",0,IF(ISNUMBER(SEARCH(Classifiers!$E$6,E273)),1,0))+IF(Classifiers!$F$6="",0,IF(ISNUMBER(SEARCH(Classifiers!$F$6,E273)),1,0))+IF(Classifiers!$G$6="",0,IF(ISNUMBER(SEARCH(Classifiers!$G$6,E273)),1,0)))&gt;0,1,0))</f>
        <v/>
      </c>
      <c r="L273" s="12">
        <f>IF(H273&lt;&gt;1,0,IF((IF(Classifiers!$B$7="",0,IF(ISNUMBER(SEARCH(Classifiers!$B$7,E273)),1,0))+IF(Classifiers!$C$7="",0,IF(ISNUMBER(SEARCH(Classifiers!$C$7,E273)),1,0))+IF(Classifiers!$D$7="",0,IF(ISNUMBER(SEARCH(Classifiers!$D$7,E273)),1,0))+IF(Classifiers!$E$7="",0,IF(ISNUMBER(SEARCH(Classifiers!$E$7,E273)),1,0))+IF(Classifiers!$F$7="",0,IF(ISNUMBER(SEARCH(Classifiers!$F$7,E273)),1,0))+IF(Classifiers!$G$7="",0,IF(ISNUMBER(SEARCH(Classifiers!$G$7,E273)),1,0)))&gt;0,1,0))</f>
        <v/>
      </c>
      <c r="M273" s="12">
        <f>IF(H273&lt;&gt;1,0,IF((IF(Classifiers!$B$8="",0,IF(ISNUMBER(SEARCH(Classifiers!$B$8,E273)),1,0))+IF(Classifiers!$C$8="",0,IF(ISNUMBER(SEARCH(Classifiers!$C$8,E273)),1,0))+IF(Classifiers!$D$8="",0,IF(ISNUMBER(SEARCH(Classifiers!$D$8,E273)),1,0))+IF(Classifiers!$E$8="",0,IF(ISNUMBER(SEARCH(Classifiers!$E$8,E273)),1,0))+IF(Classifiers!$F$8="",0,IF(ISNUMBER(SEARCH(Classifiers!$F$8,E273)),1,0))+IF(Classifiers!$G$8="",0,IF(ISNUMBER(SEARCH(Classifiers!$G$8,E273)),1,0)))&gt;0,1,0))</f>
        <v/>
      </c>
      <c r="N273" s="12">
        <f>IF(H273&lt;&gt;1,0,IF((IF(Classifiers!$B$9="",0,IF(ISNUMBER(SEARCH(Classifiers!$B$9,E273)),1,0))+IF(Classifiers!$C$9="",0,IF(ISNUMBER(SEARCH(Classifiers!$C$9,E273)),1,0))+IF(Classifiers!$D$9="",0,IF(ISNUMBER(SEARCH(Classifiers!$D$9,E273)),1,0))+IF(Classifiers!$E$9="",0,IF(ISNUMBER(SEARCH(Classifiers!$E$9,E273)),1,0))+IF(Classifiers!$F$9="",0,IF(ISNUMBER(SEARCH(Classifiers!$F$9,E273)),1,0))+IF(Classifiers!$G$9="",0,IF(ISNUMBER(SEARCH(Classifiers!$G$9,E273)),1,0)))&gt;0,1,0))</f>
        <v/>
      </c>
      <c r="O273" s="12">
        <f>IF(H273&lt;&gt;1,0,IF((IF(Classifiers!$B$10="",0,IF(ISNUMBER(SEARCH(Classifiers!$B$10,E273)),1,0))+IF(Classifiers!$C$10="",0,IF(ISNUMBER(SEARCH(Classifiers!$C$10,E273)),1,0))+IF(Classifiers!$D$10="",0,IF(ISNUMBER(SEARCH(Classifiers!$D$10,E273)),1,0))+IF(Classifiers!$E$10="",0,IF(ISNUMBER(SEARCH(Classifiers!$E$10,E273)),1,0))+IF(Classifiers!$F$10="",0,IF(ISNUMBER(SEARCH(Classifiers!$F$10,E273)),1,0))+IF(Classifiers!$G$10="",0,IF(ISNUMBER(SEARCH(Classifiers!$G$10,E273)),1,0)))&gt;0,1,0))</f>
        <v/>
      </c>
      <c r="P273" s="12">
        <f>IF(H273&lt;&gt;1,0,IF((IF(Classifiers!$B$11="",0,IF(ISNUMBER(SEARCH(Classifiers!$B$11,E273)),1,0))+IF(Classifiers!$C$11="",0,IF(ISNUMBER(SEARCH(Classifiers!$C$11,E273)),1,0))+IF(Classifiers!$D$11="",0,IF(ISNUMBER(SEARCH(Classifiers!$D$11,E273)),1,0))+IF(Classifiers!$E$11="",0,IF(ISNUMBER(SEARCH(Classifiers!$E$11,E273)),1,0))+IF(Classifiers!$F$11="",0,IF(ISNUMBER(SEARCH(Classifiers!$F$11,E273)),1,0))+IF(Classifiers!$G$11="",0,IF(ISNUMBER(SEARCH(Classifiers!$G$11,E273)),1,0)))&gt;0,1,0))</f>
        <v/>
      </c>
      <c r="Q273" s="12">
        <f>IF(H273&lt;&gt;1,0,IF((IF(Classifiers!$B$12="",0,IF(ISNUMBER(SEARCH(Classifiers!$B$12,E273)),1,0))+IF(Classifiers!$C$12="",0,IF(ISNUMBER(SEARCH(Classifiers!$C$12,E273)),1,0))+IF(Classifiers!$D$12="",0,IF(ISNUMBER(SEARCH(Classifiers!$D$12,E273)),1,0))+IF(Classifiers!$E$12="",0,IF(ISNUMBER(SEARCH(Classifiers!$E$12,E273)),1,0))+IF(Classifiers!$F$12="",0,IF(ISNUMBER(SEARCH(Classifiers!$F$12,E273)),1,0))+IF(Classifiers!$G$12="",0,IF(ISNUMBER(SEARCH(Classifiers!$G$12,E273)),1,0)))&gt;0,1,0))</f>
        <v/>
      </c>
      <c r="R273" s="12">
        <f>IF(H273&lt;&gt;1,0,IF((IF(Classifiers!$B$13="",0,IF(ISNUMBER(SEARCH(Classifiers!$B$13,E273)),1,0))+IF(Classifiers!$C$13="",0,IF(ISNUMBER(SEARCH(Classifiers!$C$13,E273)),1,0))+IF(Classifiers!$D$13="",0,IF(ISNUMBER(SEARCH(Classifiers!$D$13,E273)),1,0))+IF(Classifiers!$E$13="",0,IF(ISNUMBER(SEARCH(Classifiers!$E$13,E273)),1,0))+IF(Classifiers!$F$13="",0,IF(ISNUMBER(SEARCH(Classifiers!$F$13,E273)),1,0))+IF(Classifiers!$G$13="",0,IF(ISNUMBER(SEARCH(Classifiers!$G$13,E273)),1,0)))&gt;0,1,0))</f>
        <v/>
      </c>
      <c r="S273" s="12">
        <f>IF(H273&lt;&gt;1,0,IF((IF(Classifiers!$B$14="",0,IF(ISNUMBER(SEARCH(Classifiers!$B$14,E273)),1,0))+IF(Classifiers!$C$14="",0,IF(ISNUMBER(SEARCH(Classifiers!$C$14,E273)),1,0))+IF(Classifiers!$D$14="",0,IF(ISNUMBER(SEARCH(Classifiers!$D$14,E273)),1,0))+IF(Classifiers!$E$14="",0,IF(ISNUMBER(SEARCH(Classifiers!$E$14,E273)),1,0))+IF(Classifiers!$F$14="",0,IF(ISNUMBER(SEARCH(Classifiers!$F$14,E273)),1,0))+IF(Classifiers!$G$14="",0,IF(ISNUMBER(SEARCH(Classifiers!$G$14,E273)),1,0)))&gt;0,1,0))</f>
        <v/>
      </c>
      <c r="T273" s="12">
        <f>IF(H273&lt;&gt;1,0,IF((IF(Classifiers!$B$15="",0,IF(ISNUMBER(SEARCH(Classifiers!$B$15,E273)),1,0))+IF(Classifiers!$C$15="",0,IF(ISNUMBER(SEARCH(Classifiers!$C$15,E273)),1,0))+IF(Classifiers!$D$15="",0,IF(ISNUMBER(SEARCH(Classifiers!$D$15,E273)),1,0))+IF(Classifiers!$E$15="",0,IF(ISNUMBER(SEARCH(Classifiers!$E$15,E273)),1,0))+IF(Classifiers!$F$15="",0,IF(ISNUMBER(SEARCH(Classifiers!$F$15,E273)),1,0))+IF(Classifiers!$G$15="",0,IF(ISNUMBER(SEARCH(Classifiers!$G$15,E273)),1,0)))&gt;0,1,0))</f>
        <v/>
      </c>
      <c r="U273" s="12">
        <f>IF(H273&lt;&gt;1,0,IF((IF(Classifiers!$B$16="",0,IF(ISNUMBER(SEARCH(Classifiers!$B$16,E273)),1,0))+IF(Classifiers!$C$16="",0,IF(ISNUMBER(SEARCH(Classifiers!$C$16,E273)),1,0))+IF(Classifiers!$D$16="",0,IF(ISNUMBER(SEARCH(Classifiers!$D$16,E273)),1,0))+IF(Classifiers!$E$16="",0,IF(ISNUMBER(SEARCH(Classifiers!$E$16,E273)),1,0))+IF(Classifiers!$F$16="",0,IF(ISNUMBER(SEARCH(Classifiers!$F$16,E273)),1,0))+IF(Classifiers!$G$16="",0,IF(ISNUMBER(SEARCH(Classifiers!$G$16,E273)),1,0)))&gt;0,1,0))</f>
        <v/>
      </c>
      <c r="V273" s="12">
        <f>IF(H273&lt;&gt;1,0,IF((IF(Classifiers!$B$17="",0,IF(ISNUMBER(SEARCH(Classifiers!$B$17,E273)),1,0))+IF(Classifiers!$C$17="",0,IF(ISNUMBER(SEARCH(Classifiers!$C$17,E273)),1,0))+IF(Classifiers!$D$17="",0,IF(ISNUMBER(SEARCH(Classifiers!$D$17,E273)),1,0))+IF(Classifiers!$E$17="",0,IF(ISNUMBER(SEARCH(Classifiers!$E$17,E273)),1,0))+IF(Classifiers!$F$17="",0,IF(ISNUMBER(SEARCH(Classifiers!$F$17,E273)),1,0))+IF(Classifiers!$G$17="",0,IF(ISNUMBER(SEARCH(Classifiers!$G$17,E273)),1,0)))&gt;0,1,0))</f>
        <v/>
      </c>
      <c r="W273" s="12">
        <f>IF(H273&lt;&gt;1,0,IF((IF(Classifiers!$B$18="",0,IF(ISNUMBER(SEARCH(Classifiers!$B$18,E273)),1,0))+IF(Classifiers!$C$18="",0,IF(ISNUMBER(SEARCH(Classifiers!$C$18,E273)),1,0))+IF(Classifiers!$D$18="",0,IF(ISNUMBER(SEARCH(Classifiers!$D$18,E273)),1,0))+IF(Classifiers!$E$18="",0,IF(ISNUMBER(SEARCH(Classifiers!$E$18,E273)),1,0))+IF(Classifiers!$F$18="",0,IF(ISNUMBER(SEARCH(Classifiers!$F$18,E273)),1,0))+IF(Classifiers!$G$18="",0,IF(ISNUMBER(SEARCH(Classifiers!$G$18,E273)),1,0)))&gt;0,1,0))</f>
        <v/>
      </c>
    </row>
    <row r="274">
      <c r="A274" s="8" t="n"/>
      <c r="B274" s="11" t="n"/>
      <c r="C274" s="6">
        <f>IF(A274="","",TRIM(RIGHT(SUBSTITUTE(A274,"/",REPT(" ",250)),250)))</f>
        <v/>
      </c>
      <c r="D274" s="6">
        <f>IF(C274="","",IF(ISNUMBER(SEARCH(".",C274)),LOWER("."&amp;TRIM(RIGHT(SUBSTITUTE(C274,".",REPT(" ",250)),250))),""))</f>
        <v/>
      </c>
      <c r="E274" s="6">
        <f>IF(C274="","",TRIM(SUBSTITUTE(SUBSTITUTE(SUBSTITUTE(SUBSTITUTE(SUBSTITUTE(SUBSTITUTE(SUBSTITUTE(SUBSTITUTE(SUBSTITUTE(SUBSTITUTE(SUBSTITUTE(SUBSTITUTE(SUBSTITUTE(SUBSTITUTE(SUBSTITUTE(SUBSTITUTE(SUBSTITUTE(SUBSTITUTE(SUBSTITUTE(SUBSTITUTE(LOWER(LEFT(C274,LEN(C274)-LEN(D274))),"_"," "),"-"," "),"."," "),","," "),"("," "),")"," "),"["," "),"]"," "),"&amp;"," "),"+"," "),"@"," "),"#"," "),"!"," "),"'"," "),"/"," "),":"," "),";"," "),"="," "),"~"," "),"%"," ")))</f>
        <v/>
      </c>
      <c r="F274" s="6">
        <f>IF(C274="","",IF(COUNTIF(Classifiers!$A$23:$A$40,D274)&gt;0,1,0))</f>
        <v/>
      </c>
      <c r="G274" s="6">
        <f>IF(C274="","",IF(COUNTIF(Classifiers!$C$23:$C$30,D274)&gt;0,IF((IF(ISNUMBER(SEARCH(Classifiers!$E$23,E274)),1,0)+IF(ISNUMBER(SEARCH(Classifiers!$E$24,E274)),1,0)+IF(ISNUMBER(SEARCH(Classifiers!$E$25,E274)),1,0)+IF(ISNUMBER(SEARCH(Classifiers!$E$26,E274)),1,0)+IF(ISNUMBER(SEARCH(Classifiers!$E$27,E274)),1,0)+IF(ISNUMBER(SEARCH(Classifiers!$E$28,E274)),1,0)+IF(ISNUMBER(SEARCH(Classifiers!$E$29,E274)),1,0)+IF(ISNUMBER(SEARCH(Classifiers!$E$30,E274)),1,0))&gt;0,1,0),0))</f>
        <v/>
      </c>
      <c r="H274" s="6">
        <f>IF(C274="","",IF(OR(LEFT(C274,1)=".",AND(F274=0,G274=0)),0,1))</f>
        <v/>
      </c>
      <c r="I274" s="6">
        <f>IF(H274&lt;&gt;1,"",IF(SUM(J274:W274)=0,"unclassified",INDEX(Classifiers!$A$5:$A$18,MATCH(1,J274:W274,0),1)))</f>
        <v/>
      </c>
      <c r="J274" s="12">
        <f>IF(H274&lt;&gt;1,0,IF((IF(Classifiers!$B$5="",0,IF(ISNUMBER(SEARCH(Classifiers!$B$5,E274)),1,0))+IF(Classifiers!$C$5="",0,IF(ISNUMBER(SEARCH(Classifiers!$C$5,E274)),1,0))+IF(Classifiers!$D$5="",0,IF(ISNUMBER(SEARCH(Classifiers!$D$5,E274)),1,0))+IF(Classifiers!$E$5="",0,IF(ISNUMBER(SEARCH(Classifiers!$E$5,E274)),1,0))+IF(Classifiers!$F$5="",0,IF(ISNUMBER(SEARCH(Classifiers!$F$5,E274)),1,0))+IF(Classifiers!$G$5="",0,IF(ISNUMBER(SEARCH(Classifiers!$G$5,E274)),1,0)))&gt;0,1,0))</f>
        <v/>
      </c>
      <c r="K274" s="12">
        <f>IF(H274&lt;&gt;1,0,IF((IF(Classifiers!$B$6="",0,IF(ISNUMBER(SEARCH(Classifiers!$B$6,E274)),1,0))+IF(Classifiers!$C$6="",0,IF(ISNUMBER(SEARCH(Classifiers!$C$6,E274)),1,0))+IF(Classifiers!$D$6="",0,IF(ISNUMBER(SEARCH(Classifiers!$D$6,E274)),1,0))+IF(Classifiers!$E$6="",0,IF(ISNUMBER(SEARCH(Classifiers!$E$6,E274)),1,0))+IF(Classifiers!$F$6="",0,IF(ISNUMBER(SEARCH(Classifiers!$F$6,E274)),1,0))+IF(Classifiers!$G$6="",0,IF(ISNUMBER(SEARCH(Classifiers!$G$6,E274)),1,0)))&gt;0,1,0))</f>
        <v/>
      </c>
      <c r="L274" s="12">
        <f>IF(H274&lt;&gt;1,0,IF((IF(Classifiers!$B$7="",0,IF(ISNUMBER(SEARCH(Classifiers!$B$7,E274)),1,0))+IF(Classifiers!$C$7="",0,IF(ISNUMBER(SEARCH(Classifiers!$C$7,E274)),1,0))+IF(Classifiers!$D$7="",0,IF(ISNUMBER(SEARCH(Classifiers!$D$7,E274)),1,0))+IF(Classifiers!$E$7="",0,IF(ISNUMBER(SEARCH(Classifiers!$E$7,E274)),1,0))+IF(Classifiers!$F$7="",0,IF(ISNUMBER(SEARCH(Classifiers!$F$7,E274)),1,0))+IF(Classifiers!$G$7="",0,IF(ISNUMBER(SEARCH(Classifiers!$G$7,E274)),1,0)))&gt;0,1,0))</f>
        <v/>
      </c>
      <c r="M274" s="12">
        <f>IF(H274&lt;&gt;1,0,IF((IF(Classifiers!$B$8="",0,IF(ISNUMBER(SEARCH(Classifiers!$B$8,E274)),1,0))+IF(Classifiers!$C$8="",0,IF(ISNUMBER(SEARCH(Classifiers!$C$8,E274)),1,0))+IF(Classifiers!$D$8="",0,IF(ISNUMBER(SEARCH(Classifiers!$D$8,E274)),1,0))+IF(Classifiers!$E$8="",0,IF(ISNUMBER(SEARCH(Classifiers!$E$8,E274)),1,0))+IF(Classifiers!$F$8="",0,IF(ISNUMBER(SEARCH(Classifiers!$F$8,E274)),1,0))+IF(Classifiers!$G$8="",0,IF(ISNUMBER(SEARCH(Classifiers!$G$8,E274)),1,0)))&gt;0,1,0))</f>
        <v/>
      </c>
      <c r="N274" s="12">
        <f>IF(H274&lt;&gt;1,0,IF((IF(Classifiers!$B$9="",0,IF(ISNUMBER(SEARCH(Classifiers!$B$9,E274)),1,0))+IF(Classifiers!$C$9="",0,IF(ISNUMBER(SEARCH(Classifiers!$C$9,E274)),1,0))+IF(Classifiers!$D$9="",0,IF(ISNUMBER(SEARCH(Classifiers!$D$9,E274)),1,0))+IF(Classifiers!$E$9="",0,IF(ISNUMBER(SEARCH(Classifiers!$E$9,E274)),1,0))+IF(Classifiers!$F$9="",0,IF(ISNUMBER(SEARCH(Classifiers!$F$9,E274)),1,0))+IF(Classifiers!$G$9="",0,IF(ISNUMBER(SEARCH(Classifiers!$G$9,E274)),1,0)))&gt;0,1,0))</f>
        <v/>
      </c>
      <c r="O274" s="12">
        <f>IF(H274&lt;&gt;1,0,IF((IF(Classifiers!$B$10="",0,IF(ISNUMBER(SEARCH(Classifiers!$B$10,E274)),1,0))+IF(Classifiers!$C$10="",0,IF(ISNUMBER(SEARCH(Classifiers!$C$10,E274)),1,0))+IF(Classifiers!$D$10="",0,IF(ISNUMBER(SEARCH(Classifiers!$D$10,E274)),1,0))+IF(Classifiers!$E$10="",0,IF(ISNUMBER(SEARCH(Classifiers!$E$10,E274)),1,0))+IF(Classifiers!$F$10="",0,IF(ISNUMBER(SEARCH(Classifiers!$F$10,E274)),1,0))+IF(Classifiers!$G$10="",0,IF(ISNUMBER(SEARCH(Classifiers!$G$10,E274)),1,0)))&gt;0,1,0))</f>
        <v/>
      </c>
      <c r="P274" s="12">
        <f>IF(H274&lt;&gt;1,0,IF((IF(Classifiers!$B$11="",0,IF(ISNUMBER(SEARCH(Classifiers!$B$11,E274)),1,0))+IF(Classifiers!$C$11="",0,IF(ISNUMBER(SEARCH(Classifiers!$C$11,E274)),1,0))+IF(Classifiers!$D$11="",0,IF(ISNUMBER(SEARCH(Classifiers!$D$11,E274)),1,0))+IF(Classifiers!$E$11="",0,IF(ISNUMBER(SEARCH(Classifiers!$E$11,E274)),1,0))+IF(Classifiers!$F$11="",0,IF(ISNUMBER(SEARCH(Classifiers!$F$11,E274)),1,0))+IF(Classifiers!$G$11="",0,IF(ISNUMBER(SEARCH(Classifiers!$G$11,E274)),1,0)))&gt;0,1,0))</f>
        <v/>
      </c>
      <c r="Q274" s="12">
        <f>IF(H274&lt;&gt;1,0,IF((IF(Classifiers!$B$12="",0,IF(ISNUMBER(SEARCH(Classifiers!$B$12,E274)),1,0))+IF(Classifiers!$C$12="",0,IF(ISNUMBER(SEARCH(Classifiers!$C$12,E274)),1,0))+IF(Classifiers!$D$12="",0,IF(ISNUMBER(SEARCH(Classifiers!$D$12,E274)),1,0))+IF(Classifiers!$E$12="",0,IF(ISNUMBER(SEARCH(Classifiers!$E$12,E274)),1,0))+IF(Classifiers!$F$12="",0,IF(ISNUMBER(SEARCH(Classifiers!$F$12,E274)),1,0))+IF(Classifiers!$G$12="",0,IF(ISNUMBER(SEARCH(Classifiers!$G$12,E274)),1,0)))&gt;0,1,0))</f>
        <v/>
      </c>
      <c r="R274" s="12">
        <f>IF(H274&lt;&gt;1,0,IF((IF(Classifiers!$B$13="",0,IF(ISNUMBER(SEARCH(Classifiers!$B$13,E274)),1,0))+IF(Classifiers!$C$13="",0,IF(ISNUMBER(SEARCH(Classifiers!$C$13,E274)),1,0))+IF(Classifiers!$D$13="",0,IF(ISNUMBER(SEARCH(Classifiers!$D$13,E274)),1,0))+IF(Classifiers!$E$13="",0,IF(ISNUMBER(SEARCH(Classifiers!$E$13,E274)),1,0))+IF(Classifiers!$F$13="",0,IF(ISNUMBER(SEARCH(Classifiers!$F$13,E274)),1,0))+IF(Classifiers!$G$13="",0,IF(ISNUMBER(SEARCH(Classifiers!$G$13,E274)),1,0)))&gt;0,1,0))</f>
        <v/>
      </c>
      <c r="S274" s="12">
        <f>IF(H274&lt;&gt;1,0,IF((IF(Classifiers!$B$14="",0,IF(ISNUMBER(SEARCH(Classifiers!$B$14,E274)),1,0))+IF(Classifiers!$C$14="",0,IF(ISNUMBER(SEARCH(Classifiers!$C$14,E274)),1,0))+IF(Classifiers!$D$14="",0,IF(ISNUMBER(SEARCH(Classifiers!$D$14,E274)),1,0))+IF(Classifiers!$E$14="",0,IF(ISNUMBER(SEARCH(Classifiers!$E$14,E274)),1,0))+IF(Classifiers!$F$14="",0,IF(ISNUMBER(SEARCH(Classifiers!$F$14,E274)),1,0))+IF(Classifiers!$G$14="",0,IF(ISNUMBER(SEARCH(Classifiers!$G$14,E274)),1,0)))&gt;0,1,0))</f>
        <v/>
      </c>
      <c r="T274" s="12">
        <f>IF(H274&lt;&gt;1,0,IF((IF(Classifiers!$B$15="",0,IF(ISNUMBER(SEARCH(Classifiers!$B$15,E274)),1,0))+IF(Classifiers!$C$15="",0,IF(ISNUMBER(SEARCH(Classifiers!$C$15,E274)),1,0))+IF(Classifiers!$D$15="",0,IF(ISNUMBER(SEARCH(Classifiers!$D$15,E274)),1,0))+IF(Classifiers!$E$15="",0,IF(ISNUMBER(SEARCH(Classifiers!$E$15,E274)),1,0))+IF(Classifiers!$F$15="",0,IF(ISNUMBER(SEARCH(Classifiers!$F$15,E274)),1,0))+IF(Classifiers!$G$15="",0,IF(ISNUMBER(SEARCH(Classifiers!$G$15,E274)),1,0)))&gt;0,1,0))</f>
        <v/>
      </c>
      <c r="U274" s="12">
        <f>IF(H274&lt;&gt;1,0,IF((IF(Classifiers!$B$16="",0,IF(ISNUMBER(SEARCH(Classifiers!$B$16,E274)),1,0))+IF(Classifiers!$C$16="",0,IF(ISNUMBER(SEARCH(Classifiers!$C$16,E274)),1,0))+IF(Classifiers!$D$16="",0,IF(ISNUMBER(SEARCH(Classifiers!$D$16,E274)),1,0))+IF(Classifiers!$E$16="",0,IF(ISNUMBER(SEARCH(Classifiers!$E$16,E274)),1,0))+IF(Classifiers!$F$16="",0,IF(ISNUMBER(SEARCH(Classifiers!$F$16,E274)),1,0))+IF(Classifiers!$G$16="",0,IF(ISNUMBER(SEARCH(Classifiers!$G$16,E274)),1,0)))&gt;0,1,0))</f>
        <v/>
      </c>
      <c r="V274" s="12">
        <f>IF(H274&lt;&gt;1,0,IF((IF(Classifiers!$B$17="",0,IF(ISNUMBER(SEARCH(Classifiers!$B$17,E274)),1,0))+IF(Classifiers!$C$17="",0,IF(ISNUMBER(SEARCH(Classifiers!$C$17,E274)),1,0))+IF(Classifiers!$D$17="",0,IF(ISNUMBER(SEARCH(Classifiers!$D$17,E274)),1,0))+IF(Classifiers!$E$17="",0,IF(ISNUMBER(SEARCH(Classifiers!$E$17,E274)),1,0))+IF(Classifiers!$F$17="",0,IF(ISNUMBER(SEARCH(Classifiers!$F$17,E274)),1,0))+IF(Classifiers!$G$17="",0,IF(ISNUMBER(SEARCH(Classifiers!$G$17,E274)),1,0)))&gt;0,1,0))</f>
        <v/>
      </c>
      <c r="W274" s="12">
        <f>IF(H274&lt;&gt;1,0,IF((IF(Classifiers!$B$18="",0,IF(ISNUMBER(SEARCH(Classifiers!$B$18,E274)),1,0))+IF(Classifiers!$C$18="",0,IF(ISNUMBER(SEARCH(Classifiers!$C$18,E274)),1,0))+IF(Classifiers!$D$18="",0,IF(ISNUMBER(SEARCH(Classifiers!$D$18,E274)),1,0))+IF(Classifiers!$E$18="",0,IF(ISNUMBER(SEARCH(Classifiers!$E$18,E274)),1,0))+IF(Classifiers!$F$18="",0,IF(ISNUMBER(SEARCH(Classifiers!$F$18,E274)),1,0))+IF(Classifiers!$G$18="",0,IF(ISNUMBER(SEARCH(Classifiers!$G$18,E274)),1,0)))&gt;0,1,0))</f>
        <v/>
      </c>
    </row>
    <row r="275">
      <c r="A275" s="8" t="n"/>
      <c r="B275" s="11" t="n"/>
      <c r="C275" s="6">
        <f>IF(A275="","",TRIM(RIGHT(SUBSTITUTE(A275,"/",REPT(" ",250)),250)))</f>
        <v/>
      </c>
      <c r="D275" s="6">
        <f>IF(C275="","",IF(ISNUMBER(SEARCH(".",C275)),LOWER("."&amp;TRIM(RIGHT(SUBSTITUTE(C275,".",REPT(" ",250)),250))),""))</f>
        <v/>
      </c>
      <c r="E275" s="6">
        <f>IF(C275="","",TRIM(SUBSTITUTE(SUBSTITUTE(SUBSTITUTE(SUBSTITUTE(SUBSTITUTE(SUBSTITUTE(SUBSTITUTE(SUBSTITUTE(SUBSTITUTE(SUBSTITUTE(SUBSTITUTE(SUBSTITUTE(SUBSTITUTE(SUBSTITUTE(SUBSTITUTE(SUBSTITUTE(SUBSTITUTE(SUBSTITUTE(SUBSTITUTE(SUBSTITUTE(LOWER(LEFT(C275,LEN(C275)-LEN(D275))),"_"," "),"-"," "),"."," "),","," "),"("," "),")"," "),"["," "),"]"," "),"&amp;"," "),"+"," "),"@"," "),"#"," "),"!"," "),"'"," "),"/"," "),":"," "),";"," "),"="," "),"~"," "),"%"," ")))</f>
        <v/>
      </c>
      <c r="F275" s="6">
        <f>IF(C275="","",IF(COUNTIF(Classifiers!$A$23:$A$40,D275)&gt;0,1,0))</f>
        <v/>
      </c>
      <c r="G275" s="6">
        <f>IF(C275="","",IF(COUNTIF(Classifiers!$C$23:$C$30,D275)&gt;0,IF((IF(ISNUMBER(SEARCH(Classifiers!$E$23,E275)),1,0)+IF(ISNUMBER(SEARCH(Classifiers!$E$24,E275)),1,0)+IF(ISNUMBER(SEARCH(Classifiers!$E$25,E275)),1,0)+IF(ISNUMBER(SEARCH(Classifiers!$E$26,E275)),1,0)+IF(ISNUMBER(SEARCH(Classifiers!$E$27,E275)),1,0)+IF(ISNUMBER(SEARCH(Classifiers!$E$28,E275)),1,0)+IF(ISNUMBER(SEARCH(Classifiers!$E$29,E275)),1,0)+IF(ISNUMBER(SEARCH(Classifiers!$E$30,E275)),1,0))&gt;0,1,0),0))</f>
        <v/>
      </c>
      <c r="H275" s="6">
        <f>IF(C275="","",IF(OR(LEFT(C275,1)=".",AND(F275=0,G275=0)),0,1))</f>
        <v/>
      </c>
      <c r="I275" s="6">
        <f>IF(H275&lt;&gt;1,"",IF(SUM(J275:W275)=0,"unclassified",INDEX(Classifiers!$A$5:$A$18,MATCH(1,J275:W275,0),1)))</f>
        <v/>
      </c>
      <c r="J275" s="12">
        <f>IF(H275&lt;&gt;1,0,IF((IF(Classifiers!$B$5="",0,IF(ISNUMBER(SEARCH(Classifiers!$B$5,E275)),1,0))+IF(Classifiers!$C$5="",0,IF(ISNUMBER(SEARCH(Classifiers!$C$5,E275)),1,0))+IF(Classifiers!$D$5="",0,IF(ISNUMBER(SEARCH(Classifiers!$D$5,E275)),1,0))+IF(Classifiers!$E$5="",0,IF(ISNUMBER(SEARCH(Classifiers!$E$5,E275)),1,0))+IF(Classifiers!$F$5="",0,IF(ISNUMBER(SEARCH(Classifiers!$F$5,E275)),1,0))+IF(Classifiers!$G$5="",0,IF(ISNUMBER(SEARCH(Classifiers!$G$5,E275)),1,0)))&gt;0,1,0))</f>
        <v/>
      </c>
      <c r="K275" s="12">
        <f>IF(H275&lt;&gt;1,0,IF((IF(Classifiers!$B$6="",0,IF(ISNUMBER(SEARCH(Classifiers!$B$6,E275)),1,0))+IF(Classifiers!$C$6="",0,IF(ISNUMBER(SEARCH(Classifiers!$C$6,E275)),1,0))+IF(Classifiers!$D$6="",0,IF(ISNUMBER(SEARCH(Classifiers!$D$6,E275)),1,0))+IF(Classifiers!$E$6="",0,IF(ISNUMBER(SEARCH(Classifiers!$E$6,E275)),1,0))+IF(Classifiers!$F$6="",0,IF(ISNUMBER(SEARCH(Classifiers!$F$6,E275)),1,0))+IF(Classifiers!$G$6="",0,IF(ISNUMBER(SEARCH(Classifiers!$G$6,E275)),1,0)))&gt;0,1,0))</f>
        <v/>
      </c>
      <c r="L275" s="12">
        <f>IF(H275&lt;&gt;1,0,IF((IF(Classifiers!$B$7="",0,IF(ISNUMBER(SEARCH(Classifiers!$B$7,E275)),1,0))+IF(Classifiers!$C$7="",0,IF(ISNUMBER(SEARCH(Classifiers!$C$7,E275)),1,0))+IF(Classifiers!$D$7="",0,IF(ISNUMBER(SEARCH(Classifiers!$D$7,E275)),1,0))+IF(Classifiers!$E$7="",0,IF(ISNUMBER(SEARCH(Classifiers!$E$7,E275)),1,0))+IF(Classifiers!$F$7="",0,IF(ISNUMBER(SEARCH(Classifiers!$F$7,E275)),1,0))+IF(Classifiers!$G$7="",0,IF(ISNUMBER(SEARCH(Classifiers!$G$7,E275)),1,0)))&gt;0,1,0))</f>
        <v/>
      </c>
      <c r="M275" s="12">
        <f>IF(H275&lt;&gt;1,0,IF((IF(Classifiers!$B$8="",0,IF(ISNUMBER(SEARCH(Classifiers!$B$8,E275)),1,0))+IF(Classifiers!$C$8="",0,IF(ISNUMBER(SEARCH(Classifiers!$C$8,E275)),1,0))+IF(Classifiers!$D$8="",0,IF(ISNUMBER(SEARCH(Classifiers!$D$8,E275)),1,0))+IF(Classifiers!$E$8="",0,IF(ISNUMBER(SEARCH(Classifiers!$E$8,E275)),1,0))+IF(Classifiers!$F$8="",0,IF(ISNUMBER(SEARCH(Classifiers!$F$8,E275)),1,0))+IF(Classifiers!$G$8="",0,IF(ISNUMBER(SEARCH(Classifiers!$G$8,E275)),1,0)))&gt;0,1,0))</f>
        <v/>
      </c>
      <c r="N275" s="12">
        <f>IF(H275&lt;&gt;1,0,IF((IF(Classifiers!$B$9="",0,IF(ISNUMBER(SEARCH(Classifiers!$B$9,E275)),1,0))+IF(Classifiers!$C$9="",0,IF(ISNUMBER(SEARCH(Classifiers!$C$9,E275)),1,0))+IF(Classifiers!$D$9="",0,IF(ISNUMBER(SEARCH(Classifiers!$D$9,E275)),1,0))+IF(Classifiers!$E$9="",0,IF(ISNUMBER(SEARCH(Classifiers!$E$9,E275)),1,0))+IF(Classifiers!$F$9="",0,IF(ISNUMBER(SEARCH(Classifiers!$F$9,E275)),1,0))+IF(Classifiers!$G$9="",0,IF(ISNUMBER(SEARCH(Classifiers!$G$9,E275)),1,0)))&gt;0,1,0))</f>
        <v/>
      </c>
      <c r="O275" s="12">
        <f>IF(H275&lt;&gt;1,0,IF((IF(Classifiers!$B$10="",0,IF(ISNUMBER(SEARCH(Classifiers!$B$10,E275)),1,0))+IF(Classifiers!$C$10="",0,IF(ISNUMBER(SEARCH(Classifiers!$C$10,E275)),1,0))+IF(Classifiers!$D$10="",0,IF(ISNUMBER(SEARCH(Classifiers!$D$10,E275)),1,0))+IF(Classifiers!$E$10="",0,IF(ISNUMBER(SEARCH(Classifiers!$E$10,E275)),1,0))+IF(Classifiers!$F$10="",0,IF(ISNUMBER(SEARCH(Classifiers!$F$10,E275)),1,0))+IF(Classifiers!$G$10="",0,IF(ISNUMBER(SEARCH(Classifiers!$G$10,E275)),1,0)))&gt;0,1,0))</f>
        <v/>
      </c>
      <c r="P275" s="12">
        <f>IF(H275&lt;&gt;1,0,IF((IF(Classifiers!$B$11="",0,IF(ISNUMBER(SEARCH(Classifiers!$B$11,E275)),1,0))+IF(Classifiers!$C$11="",0,IF(ISNUMBER(SEARCH(Classifiers!$C$11,E275)),1,0))+IF(Classifiers!$D$11="",0,IF(ISNUMBER(SEARCH(Classifiers!$D$11,E275)),1,0))+IF(Classifiers!$E$11="",0,IF(ISNUMBER(SEARCH(Classifiers!$E$11,E275)),1,0))+IF(Classifiers!$F$11="",0,IF(ISNUMBER(SEARCH(Classifiers!$F$11,E275)),1,0))+IF(Classifiers!$G$11="",0,IF(ISNUMBER(SEARCH(Classifiers!$G$11,E275)),1,0)))&gt;0,1,0))</f>
        <v/>
      </c>
      <c r="Q275" s="12">
        <f>IF(H275&lt;&gt;1,0,IF((IF(Classifiers!$B$12="",0,IF(ISNUMBER(SEARCH(Classifiers!$B$12,E275)),1,0))+IF(Classifiers!$C$12="",0,IF(ISNUMBER(SEARCH(Classifiers!$C$12,E275)),1,0))+IF(Classifiers!$D$12="",0,IF(ISNUMBER(SEARCH(Classifiers!$D$12,E275)),1,0))+IF(Classifiers!$E$12="",0,IF(ISNUMBER(SEARCH(Classifiers!$E$12,E275)),1,0))+IF(Classifiers!$F$12="",0,IF(ISNUMBER(SEARCH(Classifiers!$F$12,E275)),1,0))+IF(Classifiers!$G$12="",0,IF(ISNUMBER(SEARCH(Classifiers!$G$12,E275)),1,0)))&gt;0,1,0))</f>
        <v/>
      </c>
      <c r="R275" s="12">
        <f>IF(H275&lt;&gt;1,0,IF((IF(Classifiers!$B$13="",0,IF(ISNUMBER(SEARCH(Classifiers!$B$13,E275)),1,0))+IF(Classifiers!$C$13="",0,IF(ISNUMBER(SEARCH(Classifiers!$C$13,E275)),1,0))+IF(Classifiers!$D$13="",0,IF(ISNUMBER(SEARCH(Classifiers!$D$13,E275)),1,0))+IF(Classifiers!$E$13="",0,IF(ISNUMBER(SEARCH(Classifiers!$E$13,E275)),1,0))+IF(Classifiers!$F$13="",0,IF(ISNUMBER(SEARCH(Classifiers!$F$13,E275)),1,0))+IF(Classifiers!$G$13="",0,IF(ISNUMBER(SEARCH(Classifiers!$G$13,E275)),1,0)))&gt;0,1,0))</f>
        <v/>
      </c>
      <c r="S275" s="12">
        <f>IF(H275&lt;&gt;1,0,IF((IF(Classifiers!$B$14="",0,IF(ISNUMBER(SEARCH(Classifiers!$B$14,E275)),1,0))+IF(Classifiers!$C$14="",0,IF(ISNUMBER(SEARCH(Classifiers!$C$14,E275)),1,0))+IF(Classifiers!$D$14="",0,IF(ISNUMBER(SEARCH(Classifiers!$D$14,E275)),1,0))+IF(Classifiers!$E$14="",0,IF(ISNUMBER(SEARCH(Classifiers!$E$14,E275)),1,0))+IF(Classifiers!$F$14="",0,IF(ISNUMBER(SEARCH(Classifiers!$F$14,E275)),1,0))+IF(Classifiers!$G$14="",0,IF(ISNUMBER(SEARCH(Classifiers!$G$14,E275)),1,0)))&gt;0,1,0))</f>
        <v/>
      </c>
      <c r="T275" s="12">
        <f>IF(H275&lt;&gt;1,0,IF((IF(Classifiers!$B$15="",0,IF(ISNUMBER(SEARCH(Classifiers!$B$15,E275)),1,0))+IF(Classifiers!$C$15="",0,IF(ISNUMBER(SEARCH(Classifiers!$C$15,E275)),1,0))+IF(Classifiers!$D$15="",0,IF(ISNUMBER(SEARCH(Classifiers!$D$15,E275)),1,0))+IF(Classifiers!$E$15="",0,IF(ISNUMBER(SEARCH(Classifiers!$E$15,E275)),1,0))+IF(Classifiers!$F$15="",0,IF(ISNUMBER(SEARCH(Classifiers!$F$15,E275)),1,0))+IF(Classifiers!$G$15="",0,IF(ISNUMBER(SEARCH(Classifiers!$G$15,E275)),1,0)))&gt;0,1,0))</f>
        <v/>
      </c>
      <c r="U275" s="12">
        <f>IF(H275&lt;&gt;1,0,IF((IF(Classifiers!$B$16="",0,IF(ISNUMBER(SEARCH(Classifiers!$B$16,E275)),1,0))+IF(Classifiers!$C$16="",0,IF(ISNUMBER(SEARCH(Classifiers!$C$16,E275)),1,0))+IF(Classifiers!$D$16="",0,IF(ISNUMBER(SEARCH(Classifiers!$D$16,E275)),1,0))+IF(Classifiers!$E$16="",0,IF(ISNUMBER(SEARCH(Classifiers!$E$16,E275)),1,0))+IF(Classifiers!$F$16="",0,IF(ISNUMBER(SEARCH(Classifiers!$F$16,E275)),1,0))+IF(Classifiers!$G$16="",0,IF(ISNUMBER(SEARCH(Classifiers!$G$16,E275)),1,0)))&gt;0,1,0))</f>
        <v/>
      </c>
      <c r="V275" s="12">
        <f>IF(H275&lt;&gt;1,0,IF((IF(Classifiers!$B$17="",0,IF(ISNUMBER(SEARCH(Classifiers!$B$17,E275)),1,0))+IF(Classifiers!$C$17="",0,IF(ISNUMBER(SEARCH(Classifiers!$C$17,E275)),1,0))+IF(Classifiers!$D$17="",0,IF(ISNUMBER(SEARCH(Classifiers!$D$17,E275)),1,0))+IF(Classifiers!$E$17="",0,IF(ISNUMBER(SEARCH(Classifiers!$E$17,E275)),1,0))+IF(Classifiers!$F$17="",0,IF(ISNUMBER(SEARCH(Classifiers!$F$17,E275)),1,0))+IF(Classifiers!$G$17="",0,IF(ISNUMBER(SEARCH(Classifiers!$G$17,E275)),1,0)))&gt;0,1,0))</f>
        <v/>
      </c>
      <c r="W275" s="12">
        <f>IF(H275&lt;&gt;1,0,IF((IF(Classifiers!$B$18="",0,IF(ISNUMBER(SEARCH(Classifiers!$B$18,E275)),1,0))+IF(Classifiers!$C$18="",0,IF(ISNUMBER(SEARCH(Classifiers!$C$18,E275)),1,0))+IF(Classifiers!$D$18="",0,IF(ISNUMBER(SEARCH(Classifiers!$D$18,E275)),1,0))+IF(Classifiers!$E$18="",0,IF(ISNUMBER(SEARCH(Classifiers!$E$18,E275)),1,0))+IF(Classifiers!$F$18="",0,IF(ISNUMBER(SEARCH(Classifiers!$F$18,E275)),1,0))+IF(Classifiers!$G$18="",0,IF(ISNUMBER(SEARCH(Classifiers!$G$18,E275)),1,0)))&gt;0,1,0))</f>
        <v/>
      </c>
    </row>
    <row r="276">
      <c r="A276" s="8" t="n"/>
      <c r="B276" s="11" t="n"/>
      <c r="C276" s="6">
        <f>IF(A276="","",TRIM(RIGHT(SUBSTITUTE(A276,"/",REPT(" ",250)),250)))</f>
        <v/>
      </c>
      <c r="D276" s="6">
        <f>IF(C276="","",IF(ISNUMBER(SEARCH(".",C276)),LOWER("."&amp;TRIM(RIGHT(SUBSTITUTE(C276,".",REPT(" ",250)),250))),""))</f>
        <v/>
      </c>
      <c r="E276" s="6">
        <f>IF(C276="","",TRIM(SUBSTITUTE(SUBSTITUTE(SUBSTITUTE(SUBSTITUTE(SUBSTITUTE(SUBSTITUTE(SUBSTITUTE(SUBSTITUTE(SUBSTITUTE(SUBSTITUTE(SUBSTITUTE(SUBSTITUTE(SUBSTITUTE(SUBSTITUTE(SUBSTITUTE(SUBSTITUTE(SUBSTITUTE(SUBSTITUTE(SUBSTITUTE(SUBSTITUTE(LOWER(LEFT(C276,LEN(C276)-LEN(D276))),"_"," "),"-"," "),"."," "),","," "),"("," "),")"," "),"["," "),"]"," "),"&amp;"," "),"+"," "),"@"," "),"#"," "),"!"," "),"'"," "),"/"," "),":"," "),";"," "),"="," "),"~"," "),"%"," ")))</f>
        <v/>
      </c>
      <c r="F276" s="6">
        <f>IF(C276="","",IF(COUNTIF(Classifiers!$A$23:$A$40,D276)&gt;0,1,0))</f>
        <v/>
      </c>
      <c r="G276" s="6">
        <f>IF(C276="","",IF(COUNTIF(Classifiers!$C$23:$C$30,D276)&gt;0,IF((IF(ISNUMBER(SEARCH(Classifiers!$E$23,E276)),1,0)+IF(ISNUMBER(SEARCH(Classifiers!$E$24,E276)),1,0)+IF(ISNUMBER(SEARCH(Classifiers!$E$25,E276)),1,0)+IF(ISNUMBER(SEARCH(Classifiers!$E$26,E276)),1,0)+IF(ISNUMBER(SEARCH(Classifiers!$E$27,E276)),1,0)+IF(ISNUMBER(SEARCH(Classifiers!$E$28,E276)),1,0)+IF(ISNUMBER(SEARCH(Classifiers!$E$29,E276)),1,0)+IF(ISNUMBER(SEARCH(Classifiers!$E$30,E276)),1,0))&gt;0,1,0),0))</f>
        <v/>
      </c>
      <c r="H276" s="6">
        <f>IF(C276="","",IF(OR(LEFT(C276,1)=".",AND(F276=0,G276=0)),0,1))</f>
        <v/>
      </c>
      <c r="I276" s="6">
        <f>IF(H276&lt;&gt;1,"",IF(SUM(J276:W276)=0,"unclassified",INDEX(Classifiers!$A$5:$A$18,MATCH(1,J276:W276,0),1)))</f>
        <v/>
      </c>
      <c r="J276" s="12">
        <f>IF(H276&lt;&gt;1,0,IF((IF(Classifiers!$B$5="",0,IF(ISNUMBER(SEARCH(Classifiers!$B$5,E276)),1,0))+IF(Classifiers!$C$5="",0,IF(ISNUMBER(SEARCH(Classifiers!$C$5,E276)),1,0))+IF(Classifiers!$D$5="",0,IF(ISNUMBER(SEARCH(Classifiers!$D$5,E276)),1,0))+IF(Classifiers!$E$5="",0,IF(ISNUMBER(SEARCH(Classifiers!$E$5,E276)),1,0))+IF(Classifiers!$F$5="",0,IF(ISNUMBER(SEARCH(Classifiers!$F$5,E276)),1,0))+IF(Classifiers!$G$5="",0,IF(ISNUMBER(SEARCH(Classifiers!$G$5,E276)),1,0)))&gt;0,1,0))</f>
        <v/>
      </c>
      <c r="K276" s="12">
        <f>IF(H276&lt;&gt;1,0,IF((IF(Classifiers!$B$6="",0,IF(ISNUMBER(SEARCH(Classifiers!$B$6,E276)),1,0))+IF(Classifiers!$C$6="",0,IF(ISNUMBER(SEARCH(Classifiers!$C$6,E276)),1,0))+IF(Classifiers!$D$6="",0,IF(ISNUMBER(SEARCH(Classifiers!$D$6,E276)),1,0))+IF(Classifiers!$E$6="",0,IF(ISNUMBER(SEARCH(Classifiers!$E$6,E276)),1,0))+IF(Classifiers!$F$6="",0,IF(ISNUMBER(SEARCH(Classifiers!$F$6,E276)),1,0))+IF(Classifiers!$G$6="",0,IF(ISNUMBER(SEARCH(Classifiers!$G$6,E276)),1,0)))&gt;0,1,0))</f>
        <v/>
      </c>
      <c r="L276" s="12">
        <f>IF(H276&lt;&gt;1,0,IF((IF(Classifiers!$B$7="",0,IF(ISNUMBER(SEARCH(Classifiers!$B$7,E276)),1,0))+IF(Classifiers!$C$7="",0,IF(ISNUMBER(SEARCH(Classifiers!$C$7,E276)),1,0))+IF(Classifiers!$D$7="",0,IF(ISNUMBER(SEARCH(Classifiers!$D$7,E276)),1,0))+IF(Classifiers!$E$7="",0,IF(ISNUMBER(SEARCH(Classifiers!$E$7,E276)),1,0))+IF(Classifiers!$F$7="",0,IF(ISNUMBER(SEARCH(Classifiers!$F$7,E276)),1,0))+IF(Classifiers!$G$7="",0,IF(ISNUMBER(SEARCH(Classifiers!$G$7,E276)),1,0)))&gt;0,1,0))</f>
        <v/>
      </c>
      <c r="M276" s="12">
        <f>IF(H276&lt;&gt;1,0,IF((IF(Classifiers!$B$8="",0,IF(ISNUMBER(SEARCH(Classifiers!$B$8,E276)),1,0))+IF(Classifiers!$C$8="",0,IF(ISNUMBER(SEARCH(Classifiers!$C$8,E276)),1,0))+IF(Classifiers!$D$8="",0,IF(ISNUMBER(SEARCH(Classifiers!$D$8,E276)),1,0))+IF(Classifiers!$E$8="",0,IF(ISNUMBER(SEARCH(Classifiers!$E$8,E276)),1,0))+IF(Classifiers!$F$8="",0,IF(ISNUMBER(SEARCH(Classifiers!$F$8,E276)),1,0))+IF(Classifiers!$G$8="",0,IF(ISNUMBER(SEARCH(Classifiers!$G$8,E276)),1,0)))&gt;0,1,0))</f>
        <v/>
      </c>
      <c r="N276" s="12">
        <f>IF(H276&lt;&gt;1,0,IF((IF(Classifiers!$B$9="",0,IF(ISNUMBER(SEARCH(Classifiers!$B$9,E276)),1,0))+IF(Classifiers!$C$9="",0,IF(ISNUMBER(SEARCH(Classifiers!$C$9,E276)),1,0))+IF(Classifiers!$D$9="",0,IF(ISNUMBER(SEARCH(Classifiers!$D$9,E276)),1,0))+IF(Classifiers!$E$9="",0,IF(ISNUMBER(SEARCH(Classifiers!$E$9,E276)),1,0))+IF(Classifiers!$F$9="",0,IF(ISNUMBER(SEARCH(Classifiers!$F$9,E276)),1,0))+IF(Classifiers!$G$9="",0,IF(ISNUMBER(SEARCH(Classifiers!$G$9,E276)),1,0)))&gt;0,1,0))</f>
        <v/>
      </c>
      <c r="O276" s="12">
        <f>IF(H276&lt;&gt;1,0,IF((IF(Classifiers!$B$10="",0,IF(ISNUMBER(SEARCH(Classifiers!$B$10,E276)),1,0))+IF(Classifiers!$C$10="",0,IF(ISNUMBER(SEARCH(Classifiers!$C$10,E276)),1,0))+IF(Classifiers!$D$10="",0,IF(ISNUMBER(SEARCH(Classifiers!$D$10,E276)),1,0))+IF(Classifiers!$E$10="",0,IF(ISNUMBER(SEARCH(Classifiers!$E$10,E276)),1,0))+IF(Classifiers!$F$10="",0,IF(ISNUMBER(SEARCH(Classifiers!$F$10,E276)),1,0))+IF(Classifiers!$G$10="",0,IF(ISNUMBER(SEARCH(Classifiers!$G$10,E276)),1,0)))&gt;0,1,0))</f>
        <v/>
      </c>
      <c r="P276" s="12">
        <f>IF(H276&lt;&gt;1,0,IF((IF(Classifiers!$B$11="",0,IF(ISNUMBER(SEARCH(Classifiers!$B$11,E276)),1,0))+IF(Classifiers!$C$11="",0,IF(ISNUMBER(SEARCH(Classifiers!$C$11,E276)),1,0))+IF(Classifiers!$D$11="",0,IF(ISNUMBER(SEARCH(Classifiers!$D$11,E276)),1,0))+IF(Classifiers!$E$11="",0,IF(ISNUMBER(SEARCH(Classifiers!$E$11,E276)),1,0))+IF(Classifiers!$F$11="",0,IF(ISNUMBER(SEARCH(Classifiers!$F$11,E276)),1,0))+IF(Classifiers!$G$11="",0,IF(ISNUMBER(SEARCH(Classifiers!$G$11,E276)),1,0)))&gt;0,1,0))</f>
        <v/>
      </c>
      <c r="Q276" s="12">
        <f>IF(H276&lt;&gt;1,0,IF((IF(Classifiers!$B$12="",0,IF(ISNUMBER(SEARCH(Classifiers!$B$12,E276)),1,0))+IF(Classifiers!$C$12="",0,IF(ISNUMBER(SEARCH(Classifiers!$C$12,E276)),1,0))+IF(Classifiers!$D$12="",0,IF(ISNUMBER(SEARCH(Classifiers!$D$12,E276)),1,0))+IF(Classifiers!$E$12="",0,IF(ISNUMBER(SEARCH(Classifiers!$E$12,E276)),1,0))+IF(Classifiers!$F$12="",0,IF(ISNUMBER(SEARCH(Classifiers!$F$12,E276)),1,0))+IF(Classifiers!$G$12="",0,IF(ISNUMBER(SEARCH(Classifiers!$G$12,E276)),1,0)))&gt;0,1,0))</f>
        <v/>
      </c>
      <c r="R276" s="12">
        <f>IF(H276&lt;&gt;1,0,IF((IF(Classifiers!$B$13="",0,IF(ISNUMBER(SEARCH(Classifiers!$B$13,E276)),1,0))+IF(Classifiers!$C$13="",0,IF(ISNUMBER(SEARCH(Classifiers!$C$13,E276)),1,0))+IF(Classifiers!$D$13="",0,IF(ISNUMBER(SEARCH(Classifiers!$D$13,E276)),1,0))+IF(Classifiers!$E$13="",0,IF(ISNUMBER(SEARCH(Classifiers!$E$13,E276)),1,0))+IF(Classifiers!$F$13="",0,IF(ISNUMBER(SEARCH(Classifiers!$F$13,E276)),1,0))+IF(Classifiers!$G$13="",0,IF(ISNUMBER(SEARCH(Classifiers!$G$13,E276)),1,0)))&gt;0,1,0))</f>
        <v/>
      </c>
      <c r="S276" s="12">
        <f>IF(H276&lt;&gt;1,0,IF((IF(Classifiers!$B$14="",0,IF(ISNUMBER(SEARCH(Classifiers!$B$14,E276)),1,0))+IF(Classifiers!$C$14="",0,IF(ISNUMBER(SEARCH(Classifiers!$C$14,E276)),1,0))+IF(Classifiers!$D$14="",0,IF(ISNUMBER(SEARCH(Classifiers!$D$14,E276)),1,0))+IF(Classifiers!$E$14="",0,IF(ISNUMBER(SEARCH(Classifiers!$E$14,E276)),1,0))+IF(Classifiers!$F$14="",0,IF(ISNUMBER(SEARCH(Classifiers!$F$14,E276)),1,0))+IF(Classifiers!$G$14="",0,IF(ISNUMBER(SEARCH(Classifiers!$G$14,E276)),1,0)))&gt;0,1,0))</f>
        <v/>
      </c>
      <c r="T276" s="12">
        <f>IF(H276&lt;&gt;1,0,IF((IF(Classifiers!$B$15="",0,IF(ISNUMBER(SEARCH(Classifiers!$B$15,E276)),1,0))+IF(Classifiers!$C$15="",0,IF(ISNUMBER(SEARCH(Classifiers!$C$15,E276)),1,0))+IF(Classifiers!$D$15="",0,IF(ISNUMBER(SEARCH(Classifiers!$D$15,E276)),1,0))+IF(Classifiers!$E$15="",0,IF(ISNUMBER(SEARCH(Classifiers!$E$15,E276)),1,0))+IF(Classifiers!$F$15="",0,IF(ISNUMBER(SEARCH(Classifiers!$F$15,E276)),1,0))+IF(Classifiers!$G$15="",0,IF(ISNUMBER(SEARCH(Classifiers!$G$15,E276)),1,0)))&gt;0,1,0))</f>
        <v/>
      </c>
      <c r="U276" s="12">
        <f>IF(H276&lt;&gt;1,0,IF((IF(Classifiers!$B$16="",0,IF(ISNUMBER(SEARCH(Classifiers!$B$16,E276)),1,0))+IF(Classifiers!$C$16="",0,IF(ISNUMBER(SEARCH(Classifiers!$C$16,E276)),1,0))+IF(Classifiers!$D$16="",0,IF(ISNUMBER(SEARCH(Classifiers!$D$16,E276)),1,0))+IF(Classifiers!$E$16="",0,IF(ISNUMBER(SEARCH(Classifiers!$E$16,E276)),1,0))+IF(Classifiers!$F$16="",0,IF(ISNUMBER(SEARCH(Classifiers!$F$16,E276)),1,0))+IF(Classifiers!$G$16="",0,IF(ISNUMBER(SEARCH(Classifiers!$G$16,E276)),1,0)))&gt;0,1,0))</f>
        <v/>
      </c>
      <c r="V276" s="12">
        <f>IF(H276&lt;&gt;1,0,IF((IF(Classifiers!$B$17="",0,IF(ISNUMBER(SEARCH(Classifiers!$B$17,E276)),1,0))+IF(Classifiers!$C$17="",0,IF(ISNUMBER(SEARCH(Classifiers!$C$17,E276)),1,0))+IF(Classifiers!$D$17="",0,IF(ISNUMBER(SEARCH(Classifiers!$D$17,E276)),1,0))+IF(Classifiers!$E$17="",0,IF(ISNUMBER(SEARCH(Classifiers!$E$17,E276)),1,0))+IF(Classifiers!$F$17="",0,IF(ISNUMBER(SEARCH(Classifiers!$F$17,E276)),1,0))+IF(Classifiers!$G$17="",0,IF(ISNUMBER(SEARCH(Classifiers!$G$17,E276)),1,0)))&gt;0,1,0))</f>
        <v/>
      </c>
      <c r="W276" s="12">
        <f>IF(H276&lt;&gt;1,0,IF((IF(Classifiers!$B$18="",0,IF(ISNUMBER(SEARCH(Classifiers!$B$18,E276)),1,0))+IF(Classifiers!$C$18="",0,IF(ISNUMBER(SEARCH(Classifiers!$C$18,E276)),1,0))+IF(Classifiers!$D$18="",0,IF(ISNUMBER(SEARCH(Classifiers!$D$18,E276)),1,0))+IF(Classifiers!$E$18="",0,IF(ISNUMBER(SEARCH(Classifiers!$E$18,E276)),1,0))+IF(Classifiers!$F$18="",0,IF(ISNUMBER(SEARCH(Classifiers!$F$18,E276)),1,0))+IF(Classifiers!$G$18="",0,IF(ISNUMBER(SEARCH(Classifiers!$G$18,E276)),1,0)))&gt;0,1,0))</f>
        <v/>
      </c>
    </row>
    <row r="277">
      <c r="A277" s="8" t="n"/>
      <c r="B277" s="11" t="n"/>
      <c r="C277" s="6">
        <f>IF(A277="","",TRIM(RIGHT(SUBSTITUTE(A277,"/",REPT(" ",250)),250)))</f>
        <v/>
      </c>
      <c r="D277" s="6">
        <f>IF(C277="","",IF(ISNUMBER(SEARCH(".",C277)),LOWER("."&amp;TRIM(RIGHT(SUBSTITUTE(C277,".",REPT(" ",250)),250))),""))</f>
        <v/>
      </c>
      <c r="E277" s="6">
        <f>IF(C277="","",TRIM(SUBSTITUTE(SUBSTITUTE(SUBSTITUTE(SUBSTITUTE(SUBSTITUTE(SUBSTITUTE(SUBSTITUTE(SUBSTITUTE(SUBSTITUTE(SUBSTITUTE(SUBSTITUTE(SUBSTITUTE(SUBSTITUTE(SUBSTITUTE(SUBSTITUTE(SUBSTITUTE(SUBSTITUTE(SUBSTITUTE(SUBSTITUTE(SUBSTITUTE(LOWER(LEFT(C277,LEN(C277)-LEN(D277))),"_"," "),"-"," "),"."," "),","," "),"("," "),")"," "),"["," "),"]"," "),"&amp;"," "),"+"," "),"@"," "),"#"," "),"!"," "),"'"," "),"/"," "),":"," "),";"," "),"="," "),"~"," "),"%"," ")))</f>
        <v/>
      </c>
      <c r="F277" s="6">
        <f>IF(C277="","",IF(COUNTIF(Classifiers!$A$23:$A$40,D277)&gt;0,1,0))</f>
        <v/>
      </c>
      <c r="G277" s="6">
        <f>IF(C277="","",IF(COUNTIF(Classifiers!$C$23:$C$30,D277)&gt;0,IF((IF(ISNUMBER(SEARCH(Classifiers!$E$23,E277)),1,0)+IF(ISNUMBER(SEARCH(Classifiers!$E$24,E277)),1,0)+IF(ISNUMBER(SEARCH(Classifiers!$E$25,E277)),1,0)+IF(ISNUMBER(SEARCH(Classifiers!$E$26,E277)),1,0)+IF(ISNUMBER(SEARCH(Classifiers!$E$27,E277)),1,0)+IF(ISNUMBER(SEARCH(Classifiers!$E$28,E277)),1,0)+IF(ISNUMBER(SEARCH(Classifiers!$E$29,E277)),1,0)+IF(ISNUMBER(SEARCH(Classifiers!$E$30,E277)),1,0))&gt;0,1,0),0))</f>
        <v/>
      </c>
      <c r="H277" s="6">
        <f>IF(C277="","",IF(OR(LEFT(C277,1)=".",AND(F277=0,G277=0)),0,1))</f>
        <v/>
      </c>
      <c r="I277" s="6">
        <f>IF(H277&lt;&gt;1,"",IF(SUM(J277:W277)=0,"unclassified",INDEX(Classifiers!$A$5:$A$18,MATCH(1,J277:W277,0),1)))</f>
        <v/>
      </c>
      <c r="J277" s="12">
        <f>IF(H277&lt;&gt;1,0,IF((IF(Classifiers!$B$5="",0,IF(ISNUMBER(SEARCH(Classifiers!$B$5,E277)),1,0))+IF(Classifiers!$C$5="",0,IF(ISNUMBER(SEARCH(Classifiers!$C$5,E277)),1,0))+IF(Classifiers!$D$5="",0,IF(ISNUMBER(SEARCH(Classifiers!$D$5,E277)),1,0))+IF(Classifiers!$E$5="",0,IF(ISNUMBER(SEARCH(Classifiers!$E$5,E277)),1,0))+IF(Classifiers!$F$5="",0,IF(ISNUMBER(SEARCH(Classifiers!$F$5,E277)),1,0))+IF(Classifiers!$G$5="",0,IF(ISNUMBER(SEARCH(Classifiers!$G$5,E277)),1,0)))&gt;0,1,0))</f>
        <v/>
      </c>
      <c r="K277" s="12">
        <f>IF(H277&lt;&gt;1,0,IF((IF(Classifiers!$B$6="",0,IF(ISNUMBER(SEARCH(Classifiers!$B$6,E277)),1,0))+IF(Classifiers!$C$6="",0,IF(ISNUMBER(SEARCH(Classifiers!$C$6,E277)),1,0))+IF(Classifiers!$D$6="",0,IF(ISNUMBER(SEARCH(Classifiers!$D$6,E277)),1,0))+IF(Classifiers!$E$6="",0,IF(ISNUMBER(SEARCH(Classifiers!$E$6,E277)),1,0))+IF(Classifiers!$F$6="",0,IF(ISNUMBER(SEARCH(Classifiers!$F$6,E277)),1,0))+IF(Classifiers!$G$6="",0,IF(ISNUMBER(SEARCH(Classifiers!$G$6,E277)),1,0)))&gt;0,1,0))</f>
        <v/>
      </c>
      <c r="L277" s="12">
        <f>IF(H277&lt;&gt;1,0,IF((IF(Classifiers!$B$7="",0,IF(ISNUMBER(SEARCH(Classifiers!$B$7,E277)),1,0))+IF(Classifiers!$C$7="",0,IF(ISNUMBER(SEARCH(Classifiers!$C$7,E277)),1,0))+IF(Classifiers!$D$7="",0,IF(ISNUMBER(SEARCH(Classifiers!$D$7,E277)),1,0))+IF(Classifiers!$E$7="",0,IF(ISNUMBER(SEARCH(Classifiers!$E$7,E277)),1,0))+IF(Classifiers!$F$7="",0,IF(ISNUMBER(SEARCH(Classifiers!$F$7,E277)),1,0))+IF(Classifiers!$G$7="",0,IF(ISNUMBER(SEARCH(Classifiers!$G$7,E277)),1,0)))&gt;0,1,0))</f>
        <v/>
      </c>
      <c r="M277" s="12">
        <f>IF(H277&lt;&gt;1,0,IF((IF(Classifiers!$B$8="",0,IF(ISNUMBER(SEARCH(Classifiers!$B$8,E277)),1,0))+IF(Classifiers!$C$8="",0,IF(ISNUMBER(SEARCH(Classifiers!$C$8,E277)),1,0))+IF(Classifiers!$D$8="",0,IF(ISNUMBER(SEARCH(Classifiers!$D$8,E277)),1,0))+IF(Classifiers!$E$8="",0,IF(ISNUMBER(SEARCH(Classifiers!$E$8,E277)),1,0))+IF(Classifiers!$F$8="",0,IF(ISNUMBER(SEARCH(Classifiers!$F$8,E277)),1,0))+IF(Classifiers!$G$8="",0,IF(ISNUMBER(SEARCH(Classifiers!$G$8,E277)),1,0)))&gt;0,1,0))</f>
        <v/>
      </c>
      <c r="N277" s="12">
        <f>IF(H277&lt;&gt;1,0,IF((IF(Classifiers!$B$9="",0,IF(ISNUMBER(SEARCH(Classifiers!$B$9,E277)),1,0))+IF(Classifiers!$C$9="",0,IF(ISNUMBER(SEARCH(Classifiers!$C$9,E277)),1,0))+IF(Classifiers!$D$9="",0,IF(ISNUMBER(SEARCH(Classifiers!$D$9,E277)),1,0))+IF(Classifiers!$E$9="",0,IF(ISNUMBER(SEARCH(Classifiers!$E$9,E277)),1,0))+IF(Classifiers!$F$9="",0,IF(ISNUMBER(SEARCH(Classifiers!$F$9,E277)),1,0))+IF(Classifiers!$G$9="",0,IF(ISNUMBER(SEARCH(Classifiers!$G$9,E277)),1,0)))&gt;0,1,0))</f>
        <v/>
      </c>
      <c r="O277" s="12">
        <f>IF(H277&lt;&gt;1,0,IF((IF(Classifiers!$B$10="",0,IF(ISNUMBER(SEARCH(Classifiers!$B$10,E277)),1,0))+IF(Classifiers!$C$10="",0,IF(ISNUMBER(SEARCH(Classifiers!$C$10,E277)),1,0))+IF(Classifiers!$D$10="",0,IF(ISNUMBER(SEARCH(Classifiers!$D$10,E277)),1,0))+IF(Classifiers!$E$10="",0,IF(ISNUMBER(SEARCH(Classifiers!$E$10,E277)),1,0))+IF(Classifiers!$F$10="",0,IF(ISNUMBER(SEARCH(Classifiers!$F$10,E277)),1,0))+IF(Classifiers!$G$10="",0,IF(ISNUMBER(SEARCH(Classifiers!$G$10,E277)),1,0)))&gt;0,1,0))</f>
        <v/>
      </c>
      <c r="P277" s="12">
        <f>IF(H277&lt;&gt;1,0,IF((IF(Classifiers!$B$11="",0,IF(ISNUMBER(SEARCH(Classifiers!$B$11,E277)),1,0))+IF(Classifiers!$C$11="",0,IF(ISNUMBER(SEARCH(Classifiers!$C$11,E277)),1,0))+IF(Classifiers!$D$11="",0,IF(ISNUMBER(SEARCH(Classifiers!$D$11,E277)),1,0))+IF(Classifiers!$E$11="",0,IF(ISNUMBER(SEARCH(Classifiers!$E$11,E277)),1,0))+IF(Classifiers!$F$11="",0,IF(ISNUMBER(SEARCH(Classifiers!$F$11,E277)),1,0))+IF(Classifiers!$G$11="",0,IF(ISNUMBER(SEARCH(Classifiers!$G$11,E277)),1,0)))&gt;0,1,0))</f>
        <v/>
      </c>
      <c r="Q277" s="12">
        <f>IF(H277&lt;&gt;1,0,IF((IF(Classifiers!$B$12="",0,IF(ISNUMBER(SEARCH(Classifiers!$B$12,E277)),1,0))+IF(Classifiers!$C$12="",0,IF(ISNUMBER(SEARCH(Classifiers!$C$12,E277)),1,0))+IF(Classifiers!$D$12="",0,IF(ISNUMBER(SEARCH(Classifiers!$D$12,E277)),1,0))+IF(Classifiers!$E$12="",0,IF(ISNUMBER(SEARCH(Classifiers!$E$12,E277)),1,0))+IF(Classifiers!$F$12="",0,IF(ISNUMBER(SEARCH(Classifiers!$F$12,E277)),1,0))+IF(Classifiers!$G$12="",0,IF(ISNUMBER(SEARCH(Classifiers!$G$12,E277)),1,0)))&gt;0,1,0))</f>
        <v/>
      </c>
      <c r="R277" s="12">
        <f>IF(H277&lt;&gt;1,0,IF((IF(Classifiers!$B$13="",0,IF(ISNUMBER(SEARCH(Classifiers!$B$13,E277)),1,0))+IF(Classifiers!$C$13="",0,IF(ISNUMBER(SEARCH(Classifiers!$C$13,E277)),1,0))+IF(Classifiers!$D$13="",0,IF(ISNUMBER(SEARCH(Classifiers!$D$13,E277)),1,0))+IF(Classifiers!$E$13="",0,IF(ISNUMBER(SEARCH(Classifiers!$E$13,E277)),1,0))+IF(Classifiers!$F$13="",0,IF(ISNUMBER(SEARCH(Classifiers!$F$13,E277)),1,0))+IF(Classifiers!$G$13="",0,IF(ISNUMBER(SEARCH(Classifiers!$G$13,E277)),1,0)))&gt;0,1,0))</f>
        <v/>
      </c>
      <c r="S277" s="12">
        <f>IF(H277&lt;&gt;1,0,IF((IF(Classifiers!$B$14="",0,IF(ISNUMBER(SEARCH(Classifiers!$B$14,E277)),1,0))+IF(Classifiers!$C$14="",0,IF(ISNUMBER(SEARCH(Classifiers!$C$14,E277)),1,0))+IF(Classifiers!$D$14="",0,IF(ISNUMBER(SEARCH(Classifiers!$D$14,E277)),1,0))+IF(Classifiers!$E$14="",0,IF(ISNUMBER(SEARCH(Classifiers!$E$14,E277)),1,0))+IF(Classifiers!$F$14="",0,IF(ISNUMBER(SEARCH(Classifiers!$F$14,E277)),1,0))+IF(Classifiers!$G$14="",0,IF(ISNUMBER(SEARCH(Classifiers!$G$14,E277)),1,0)))&gt;0,1,0))</f>
        <v/>
      </c>
      <c r="T277" s="12">
        <f>IF(H277&lt;&gt;1,0,IF((IF(Classifiers!$B$15="",0,IF(ISNUMBER(SEARCH(Classifiers!$B$15,E277)),1,0))+IF(Classifiers!$C$15="",0,IF(ISNUMBER(SEARCH(Classifiers!$C$15,E277)),1,0))+IF(Classifiers!$D$15="",0,IF(ISNUMBER(SEARCH(Classifiers!$D$15,E277)),1,0))+IF(Classifiers!$E$15="",0,IF(ISNUMBER(SEARCH(Classifiers!$E$15,E277)),1,0))+IF(Classifiers!$F$15="",0,IF(ISNUMBER(SEARCH(Classifiers!$F$15,E277)),1,0))+IF(Classifiers!$G$15="",0,IF(ISNUMBER(SEARCH(Classifiers!$G$15,E277)),1,0)))&gt;0,1,0))</f>
        <v/>
      </c>
      <c r="U277" s="12">
        <f>IF(H277&lt;&gt;1,0,IF((IF(Classifiers!$B$16="",0,IF(ISNUMBER(SEARCH(Classifiers!$B$16,E277)),1,0))+IF(Classifiers!$C$16="",0,IF(ISNUMBER(SEARCH(Classifiers!$C$16,E277)),1,0))+IF(Classifiers!$D$16="",0,IF(ISNUMBER(SEARCH(Classifiers!$D$16,E277)),1,0))+IF(Classifiers!$E$16="",0,IF(ISNUMBER(SEARCH(Classifiers!$E$16,E277)),1,0))+IF(Classifiers!$F$16="",0,IF(ISNUMBER(SEARCH(Classifiers!$F$16,E277)),1,0))+IF(Classifiers!$G$16="",0,IF(ISNUMBER(SEARCH(Classifiers!$G$16,E277)),1,0)))&gt;0,1,0))</f>
        <v/>
      </c>
      <c r="V277" s="12">
        <f>IF(H277&lt;&gt;1,0,IF((IF(Classifiers!$B$17="",0,IF(ISNUMBER(SEARCH(Classifiers!$B$17,E277)),1,0))+IF(Classifiers!$C$17="",0,IF(ISNUMBER(SEARCH(Classifiers!$C$17,E277)),1,0))+IF(Classifiers!$D$17="",0,IF(ISNUMBER(SEARCH(Classifiers!$D$17,E277)),1,0))+IF(Classifiers!$E$17="",0,IF(ISNUMBER(SEARCH(Classifiers!$E$17,E277)),1,0))+IF(Classifiers!$F$17="",0,IF(ISNUMBER(SEARCH(Classifiers!$F$17,E277)),1,0))+IF(Classifiers!$G$17="",0,IF(ISNUMBER(SEARCH(Classifiers!$G$17,E277)),1,0)))&gt;0,1,0))</f>
        <v/>
      </c>
      <c r="W277" s="12">
        <f>IF(H277&lt;&gt;1,0,IF((IF(Classifiers!$B$18="",0,IF(ISNUMBER(SEARCH(Classifiers!$B$18,E277)),1,0))+IF(Classifiers!$C$18="",0,IF(ISNUMBER(SEARCH(Classifiers!$C$18,E277)),1,0))+IF(Classifiers!$D$18="",0,IF(ISNUMBER(SEARCH(Classifiers!$D$18,E277)),1,0))+IF(Classifiers!$E$18="",0,IF(ISNUMBER(SEARCH(Classifiers!$E$18,E277)),1,0))+IF(Classifiers!$F$18="",0,IF(ISNUMBER(SEARCH(Classifiers!$F$18,E277)),1,0))+IF(Classifiers!$G$18="",0,IF(ISNUMBER(SEARCH(Classifiers!$G$18,E277)),1,0)))&gt;0,1,0))</f>
        <v/>
      </c>
    </row>
    <row r="278">
      <c r="A278" s="8" t="n"/>
      <c r="B278" s="11" t="n"/>
      <c r="C278" s="6">
        <f>IF(A278="","",TRIM(RIGHT(SUBSTITUTE(A278,"/",REPT(" ",250)),250)))</f>
        <v/>
      </c>
      <c r="D278" s="6">
        <f>IF(C278="","",IF(ISNUMBER(SEARCH(".",C278)),LOWER("."&amp;TRIM(RIGHT(SUBSTITUTE(C278,".",REPT(" ",250)),250))),""))</f>
        <v/>
      </c>
      <c r="E278" s="6">
        <f>IF(C278="","",TRIM(SUBSTITUTE(SUBSTITUTE(SUBSTITUTE(SUBSTITUTE(SUBSTITUTE(SUBSTITUTE(SUBSTITUTE(SUBSTITUTE(SUBSTITUTE(SUBSTITUTE(SUBSTITUTE(SUBSTITUTE(SUBSTITUTE(SUBSTITUTE(SUBSTITUTE(SUBSTITUTE(SUBSTITUTE(SUBSTITUTE(SUBSTITUTE(SUBSTITUTE(LOWER(LEFT(C278,LEN(C278)-LEN(D278))),"_"," "),"-"," "),"."," "),","," "),"("," "),")"," "),"["," "),"]"," "),"&amp;"," "),"+"," "),"@"," "),"#"," "),"!"," "),"'"," "),"/"," "),":"," "),";"," "),"="," "),"~"," "),"%"," ")))</f>
        <v/>
      </c>
      <c r="F278" s="6">
        <f>IF(C278="","",IF(COUNTIF(Classifiers!$A$23:$A$40,D278)&gt;0,1,0))</f>
        <v/>
      </c>
      <c r="G278" s="6">
        <f>IF(C278="","",IF(COUNTIF(Classifiers!$C$23:$C$30,D278)&gt;0,IF((IF(ISNUMBER(SEARCH(Classifiers!$E$23,E278)),1,0)+IF(ISNUMBER(SEARCH(Classifiers!$E$24,E278)),1,0)+IF(ISNUMBER(SEARCH(Classifiers!$E$25,E278)),1,0)+IF(ISNUMBER(SEARCH(Classifiers!$E$26,E278)),1,0)+IF(ISNUMBER(SEARCH(Classifiers!$E$27,E278)),1,0)+IF(ISNUMBER(SEARCH(Classifiers!$E$28,E278)),1,0)+IF(ISNUMBER(SEARCH(Classifiers!$E$29,E278)),1,0)+IF(ISNUMBER(SEARCH(Classifiers!$E$30,E278)),1,0))&gt;0,1,0),0))</f>
        <v/>
      </c>
      <c r="H278" s="6">
        <f>IF(C278="","",IF(OR(LEFT(C278,1)=".",AND(F278=0,G278=0)),0,1))</f>
        <v/>
      </c>
      <c r="I278" s="6">
        <f>IF(H278&lt;&gt;1,"",IF(SUM(J278:W278)=0,"unclassified",INDEX(Classifiers!$A$5:$A$18,MATCH(1,J278:W278,0),1)))</f>
        <v/>
      </c>
      <c r="J278" s="12">
        <f>IF(H278&lt;&gt;1,0,IF((IF(Classifiers!$B$5="",0,IF(ISNUMBER(SEARCH(Classifiers!$B$5,E278)),1,0))+IF(Classifiers!$C$5="",0,IF(ISNUMBER(SEARCH(Classifiers!$C$5,E278)),1,0))+IF(Classifiers!$D$5="",0,IF(ISNUMBER(SEARCH(Classifiers!$D$5,E278)),1,0))+IF(Classifiers!$E$5="",0,IF(ISNUMBER(SEARCH(Classifiers!$E$5,E278)),1,0))+IF(Classifiers!$F$5="",0,IF(ISNUMBER(SEARCH(Classifiers!$F$5,E278)),1,0))+IF(Classifiers!$G$5="",0,IF(ISNUMBER(SEARCH(Classifiers!$G$5,E278)),1,0)))&gt;0,1,0))</f>
        <v/>
      </c>
      <c r="K278" s="12">
        <f>IF(H278&lt;&gt;1,0,IF((IF(Classifiers!$B$6="",0,IF(ISNUMBER(SEARCH(Classifiers!$B$6,E278)),1,0))+IF(Classifiers!$C$6="",0,IF(ISNUMBER(SEARCH(Classifiers!$C$6,E278)),1,0))+IF(Classifiers!$D$6="",0,IF(ISNUMBER(SEARCH(Classifiers!$D$6,E278)),1,0))+IF(Classifiers!$E$6="",0,IF(ISNUMBER(SEARCH(Classifiers!$E$6,E278)),1,0))+IF(Classifiers!$F$6="",0,IF(ISNUMBER(SEARCH(Classifiers!$F$6,E278)),1,0))+IF(Classifiers!$G$6="",0,IF(ISNUMBER(SEARCH(Classifiers!$G$6,E278)),1,0)))&gt;0,1,0))</f>
        <v/>
      </c>
      <c r="L278" s="12">
        <f>IF(H278&lt;&gt;1,0,IF((IF(Classifiers!$B$7="",0,IF(ISNUMBER(SEARCH(Classifiers!$B$7,E278)),1,0))+IF(Classifiers!$C$7="",0,IF(ISNUMBER(SEARCH(Classifiers!$C$7,E278)),1,0))+IF(Classifiers!$D$7="",0,IF(ISNUMBER(SEARCH(Classifiers!$D$7,E278)),1,0))+IF(Classifiers!$E$7="",0,IF(ISNUMBER(SEARCH(Classifiers!$E$7,E278)),1,0))+IF(Classifiers!$F$7="",0,IF(ISNUMBER(SEARCH(Classifiers!$F$7,E278)),1,0))+IF(Classifiers!$G$7="",0,IF(ISNUMBER(SEARCH(Classifiers!$G$7,E278)),1,0)))&gt;0,1,0))</f>
        <v/>
      </c>
      <c r="M278" s="12">
        <f>IF(H278&lt;&gt;1,0,IF((IF(Classifiers!$B$8="",0,IF(ISNUMBER(SEARCH(Classifiers!$B$8,E278)),1,0))+IF(Classifiers!$C$8="",0,IF(ISNUMBER(SEARCH(Classifiers!$C$8,E278)),1,0))+IF(Classifiers!$D$8="",0,IF(ISNUMBER(SEARCH(Classifiers!$D$8,E278)),1,0))+IF(Classifiers!$E$8="",0,IF(ISNUMBER(SEARCH(Classifiers!$E$8,E278)),1,0))+IF(Classifiers!$F$8="",0,IF(ISNUMBER(SEARCH(Classifiers!$F$8,E278)),1,0))+IF(Classifiers!$G$8="",0,IF(ISNUMBER(SEARCH(Classifiers!$G$8,E278)),1,0)))&gt;0,1,0))</f>
        <v/>
      </c>
      <c r="N278" s="12">
        <f>IF(H278&lt;&gt;1,0,IF((IF(Classifiers!$B$9="",0,IF(ISNUMBER(SEARCH(Classifiers!$B$9,E278)),1,0))+IF(Classifiers!$C$9="",0,IF(ISNUMBER(SEARCH(Classifiers!$C$9,E278)),1,0))+IF(Classifiers!$D$9="",0,IF(ISNUMBER(SEARCH(Classifiers!$D$9,E278)),1,0))+IF(Classifiers!$E$9="",0,IF(ISNUMBER(SEARCH(Classifiers!$E$9,E278)),1,0))+IF(Classifiers!$F$9="",0,IF(ISNUMBER(SEARCH(Classifiers!$F$9,E278)),1,0))+IF(Classifiers!$G$9="",0,IF(ISNUMBER(SEARCH(Classifiers!$G$9,E278)),1,0)))&gt;0,1,0))</f>
        <v/>
      </c>
      <c r="O278" s="12">
        <f>IF(H278&lt;&gt;1,0,IF((IF(Classifiers!$B$10="",0,IF(ISNUMBER(SEARCH(Classifiers!$B$10,E278)),1,0))+IF(Classifiers!$C$10="",0,IF(ISNUMBER(SEARCH(Classifiers!$C$10,E278)),1,0))+IF(Classifiers!$D$10="",0,IF(ISNUMBER(SEARCH(Classifiers!$D$10,E278)),1,0))+IF(Classifiers!$E$10="",0,IF(ISNUMBER(SEARCH(Classifiers!$E$10,E278)),1,0))+IF(Classifiers!$F$10="",0,IF(ISNUMBER(SEARCH(Classifiers!$F$10,E278)),1,0))+IF(Classifiers!$G$10="",0,IF(ISNUMBER(SEARCH(Classifiers!$G$10,E278)),1,0)))&gt;0,1,0))</f>
        <v/>
      </c>
      <c r="P278" s="12">
        <f>IF(H278&lt;&gt;1,0,IF((IF(Classifiers!$B$11="",0,IF(ISNUMBER(SEARCH(Classifiers!$B$11,E278)),1,0))+IF(Classifiers!$C$11="",0,IF(ISNUMBER(SEARCH(Classifiers!$C$11,E278)),1,0))+IF(Classifiers!$D$11="",0,IF(ISNUMBER(SEARCH(Classifiers!$D$11,E278)),1,0))+IF(Classifiers!$E$11="",0,IF(ISNUMBER(SEARCH(Classifiers!$E$11,E278)),1,0))+IF(Classifiers!$F$11="",0,IF(ISNUMBER(SEARCH(Classifiers!$F$11,E278)),1,0))+IF(Classifiers!$G$11="",0,IF(ISNUMBER(SEARCH(Classifiers!$G$11,E278)),1,0)))&gt;0,1,0))</f>
        <v/>
      </c>
      <c r="Q278" s="12">
        <f>IF(H278&lt;&gt;1,0,IF((IF(Classifiers!$B$12="",0,IF(ISNUMBER(SEARCH(Classifiers!$B$12,E278)),1,0))+IF(Classifiers!$C$12="",0,IF(ISNUMBER(SEARCH(Classifiers!$C$12,E278)),1,0))+IF(Classifiers!$D$12="",0,IF(ISNUMBER(SEARCH(Classifiers!$D$12,E278)),1,0))+IF(Classifiers!$E$12="",0,IF(ISNUMBER(SEARCH(Classifiers!$E$12,E278)),1,0))+IF(Classifiers!$F$12="",0,IF(ISNUMBER(SEARCH(Classifiers!$F$12,E278)),1,0))+IF(Classifiers!$G$12="",0,IF(ISNUMBER(SEARCH(Classifiers!$G$12,E278)),1,0)))&gt;0,1,0))</f>
        <v/>
      </c>
      <c r="R278" s="12">
        <f>IF(H278&lt;&gt;1,0,IF((IF(Classifiers!$B$13="",0,IF(ISNUMBER(SEARCH(Classifiers!$B$13,E278)),1,0))+IF(Classifiers!$C$13="",0,IF(ISNUMBER(SEARCH(Classifiers!$C$13,E278)),1,0))+IF(Classifiers!$D$13="",0,IF(ISNUMBER(SEARCH(Classifiers!$D$13,E278)),1,0))+IF(Classifiers!$E$13="",0,IF(ISNUMBER(SEARCH(Classifiers!$E$13,E278)),1,0))+IF(Classifiers!$F$13="",0,IF(ISNUMBER(SEARCH(Classifiers!$F$13,E278)),1,0))+IF(Classifiers!$G$13="",0,IF(ISNUMBER(SEARCH(Classifiers!$G$13,E278)),1,0)))&gt;0,1,0))</f>
        <v/>
      </c>
      <c r="S278" s="12">
        <f>IF(H278&lt;&gt;1,0,IF((IF(Classifiers!$B$14="",0,IF(ISNUMBER(SEARCH(Classifiers!$B$14,E278)),1,0))+IF(Classifiers!$C$14="",0,IF(ISNUMBER(SEARCH(Classifiers!$C$14,E278)),1,0))+IF(Classifiers!$D$14="",0,IF(ISNUMBER(SEARCH(Classifiers!$D$14,E278)),1,0))+IF(Classifiers!$E$14="",0,IF(ISNUMBER(SEARCH(Classifiers!$E$14,E278)),1,0))+IF(Classifiers!$F$14="",0,IF(ISNUMBER(SEARCH(Classifiers!$F$14,E278)),1,0))+IF(Classifiers!$G$14="",0,IF(ISNUMBER(SEARCH(Classifiers!$G$14,E278)),1,0)))&gt;0,1,0))</f>
        <v/>
      </c>
      <c r="T278" s="12">
        <f>IF(H278&lt;&gt;1,0,IF((IF(Classifiers!$B$15="",0,IF(ISNUMBER(SEARCH(Classifiers!$B$15,E278)),1,0))+IF(Classifiers!$C$15="",0,IF(ISNUMBER(SEARCH(Classifiers!$C$15,E278)),1,0))+IF(Classifiers!$D$15="",0,IF(ISNUMBER(SEARCH(Classifiers!$D$15,E278)),1,0))+IF(Classifiers!$E$15="",0,IF(ISNUMBER(SEARCH(Classifiers!$E$15,E278)),1,0))+IF(Classifiers!$F$15="",0,IF(ISNUMBER(SEARCH(Classifiers!$F$15,E278)),1,0))+IF(Classifiers!$G$15="",0,IF(ISNUMBER(SEARCH(Classifiers!$G$15,E278)),1,0)))&gt;0,1,0))</f>
        <v/>
      </c>
      <c r="U278" s="12">
        <f>IF(H278&lt;&gt;1,0,IF((IF(Classifiers!$B$16="",0,IF(ISNUMBER(SEARCH(Classifiers!$B$16,E278)),1,0))+IF(Classifiers!$C$16="",0,IF(ISNUMBER(SEARCH(Classifiers!$C$16,E278)),1,0))+IF(Classifiers!$D$16="",0,IF(ISNUMBER(SEARCH(Classifiers!$D$16,E278)),1,0))+IF(Classifiers!$E$16="",0,IF(ISNUMBER(SEARCH(Classifiers!$E$16,E278)),1,0))+IF(Classifiers!$F$16="",0,IF(ISNUMBER(SEARCH(Classifiers!$F$16,E278)),1,0))+IF(Classifiers!$G$16="",0,IF(ISNUMBER(SEARCH(Classifiers!$G$16,E278)),1,0)))&gt;0,1,0))</f>
        <v/>
      </c>
      <c r="V278" s="12">
        <f>IF(H278&lt;&gt;1,0,IF((IF(Classifiers!$B$17="",0,IF(ISNUMBER(SEARCH(Classifiers!$B$17,E278)),1,0))+IF(Classifiers!$C$17="",0,IF(ISNUMBER(SEARCH(Classifiers!$C$17,E278)),1,0))+IF(Classifiers!$D$17="",0,IF(ISNUMBER(SEARCH(Classifiers!$D$17,E278)),1,0))+IF(Classifiers!$E$17="",0,IF(ISNUMBER(SEARCH(Classifiers!$E$17,E278)),1,0))+IF(Classifiers!$F$17="",0,IF(ISNUMBER(SEARCH(Classifiers!$F$17,E278)),1,0))+IF(Classifiers!$G$17="",0,IF(ISNUMBER(SEARCH(Classifiers!$G$17,E278)),1,0)))&gt;0,1,0))</f>
        <v/>
      </c>
      <c r="W278" s="12">
        <f>IF(H278&lt;&gt;1,0,IF((IF(Classifiers!$B$18="",0,IF(ISNUMBER(SEARCH(Classifiers!$B$18,E278)),1,0))+IF(Classifiers!$C$18="",0,IF(ISNUMBER(SEARCH(Classifiers!$C$18,E278)),1,0))+IF(Classifiers!$D$18="",0,IF(ISNUMBER(SEARCH(Classifiers!$D$18,E278)),1,0))+IF(Classifiers!$E$18="",0,IF(ISNUMBER(SEARCH(Classifiers!$E$18,E278)),1,0))+IF(Classifiers!$F$18="",0,IF(ISNUMBER(SEARCH(Classifiers!$F$18,E278)),1,0))+IF(Classifiers!$G$18="",0,IF(ISNUMBER(SEARCH(Classifiers!$G$18,E278)),1,0)))&gt;0,1,0))</f>
        <v/>
      </c>
    </row>
    <row r="279">
      <c r="A279" s="8" t="n"/>
      <c r="B279" s="11" t="n"/>
      <c r="C279" s="6">
        <f>IF(A279="","",TRIM(RIGHT(SUBSTITUTE(A279,"/",REPT(" ",250)),250)))</f>
        <v/>
      </c>
      <c r="D279" s="6">
        <f>IF(C279="","",IF(ISNUMBER(SEARCH(".",C279)),LOWER("."&amp;TRIM(RIGHT(SUBSTITUTE(C279,".",REPT(" ",250)),250))),""))</f>
        <v/>
      </c>
      <c r="E279" s="6">
        <f>IF(C279="","",TRIM(SUBSTITUTE(SUBSTITUTE(SUBSTITUTE(SUBSTITUTE(SUBSTITUTE(SUBSTITUTE(SUBSTITUTE(SUBSTITUTE(SUBSTITUTE(SUBSTITUTE(SUBSTITUTE(SUBSTITUTE(SUBSTITUTE(SUBSTITUTE(SUBSTITUTE(SUBSTITUTE(SUBSTITUTE(SUBSTITUTE(SUBSTITUTE(SUBSTITUTE(LOWER(LEFT(C279,LEN(C279)-LEN(D279))),"_"," "),"-"," "),"."," "),","," "),"("," "),")"," "),"["," "),"]"," "),"&amp;"," "),"+"," "),"@"," "),"#"," "),"!"," "),"'"," "),"/"," "),":"," "),";"," "),"="," "),"~"," "),"%"," ")))</f>
        <v/>
      </c>
      <c r="F279" s="6">
        <f>IF(C279="","",IF(COUNTIF(Classifiers!$A$23:$A$40,D279)&gt;0,1,0))</f>
        <v/>
      </c>
      <c r="G279" s="6">
        <f>IF(C279="","",IF(COUNTIF(Classifiers!$C$23:$C$30,D279)&gt;0,IF((IF(ISNUMBER(SEARCH(Classifiers!$E$23,E279)),1,0)+IF(ISNUMBER(SEARCH(Classifiers!$E$24,E279)),1,0)+IF(ISNUMBER(SEARCH(Classifiers!$E$25,E279)),1,0)+IF(ISNUMBER(SEARCH(Classifiers!$E$26,E279)),1,0)+IF(ISNUMBER(SEARCH(Classifiers!$E$27,E279)),1,0)+IF(ISNUMBER(SEARCH(Classifiers!$E$28,E279)),1,0)+IF(ISNUMBER(SEARCH(Classifiers!$E$29,E279)),1,0)+IF(ISNUMBER(SEARCH(Classifiers!$E$30,E279)),1,0))&gt;0,1,0),0))</f>
        <v/>
      </c>
      <c r="H279" s="6">
        <f>IF(C279="","",IF(OR(LEFT(C279,1)=".",AND(F279=0,G279=0)),0,1))</f>
        <v/>
      </c>
      <c r="I279" s="6">
        <f>IF(H279&lt;&gt;1,"",IF(SUM(J279:W279)=0,"unclassified",INDEX(Classifiers!$A$5:$A$18,MATCH(1,J279:W279,0),1)))</f>
        <v/>
      </c>
      <c r="J279" s="12">
        <f>IF(H279&lt;&gt;1,0,IF((IF(Classifiers!$B$5="",0,IF(ISNUMBER(SEARCH(Classifiers!$B$5,E279)),1,0))+IF(Classifiers!$C$5="",0,IF(ISNUMBER(SEARCH(Classifiers!$C$5,E279)),1,0))+IF(Classifiers!$D$5="",0,IF(ISNUMBER(SEARCH(Classifiers!$D$5,E279)),1,0))+IF(Classifiers!$E$5="",0,IF(ISNUMBER(SEARCH(Classifiers!$E$5,E279)),1,0))+IF(Classifiers!$F$5="",0,IF(ISNUMBER(SEARCH(Classifiers!$F$5,E279)),1,0))+IF(Classifiers!$G$5="",0,IF(ISNUMBER(SEARCH(Classifiers!$G$5,E279)),1,0)))&gt;0,1,0))</f>
        <v/>
      </c>
      <c r="K279" s="12">
        <f>IF(H279&lt;&gt;1,0,IF((IF(Classifiers!$B$6="",0,IF(ISNUMBER(SEARCH(Classifiers!$B$6,E279)),1,0))+IF(Classifiers!$C$6="",0,IF(ISNUMBER(SEARCH(Classifiers!$C$6,E279)),1,0))+IF(Classifiers!$D$6="",0,IF(ISNUMBER(SEARCH(Classifiers!$D$6,E279)),1,0))+IF(Classifiers!$E$6="",0,IF(ISNUMBER(SEARCH(Classifiers!$E$6,E279)),1,0))+IF(Classifiers!$F$6="",0,IF(ISNUMBER(SEARCH(Classifiers!$F$6,E279)),1,0))+IF(Classifiers!$G$6="",0,IF(ISNUMBER(SEARCH(Classifiers!$G$6,E279)),1,0)))&gt;0,1,0))</f>
        <v/>
      </c>
      <c r="L279" s="12">
        <f>IF(H279&lt;&gt;1,0,IF((IF(Classifiers!$B$7="",0,IF(ISNUMBER(SEARCH(Classifiers!$B$7,E279)),1,0))+IF(Classifiers!$C$7="",0,IF(ISNUMBER(SEARCH(Classifiers!$C$7,E279)),1,0))+IF(Classifiers!$D$7="",0,IF(ISNUMBER(SEARCH(Classifiers!$D$7,E279)),1,0))+IF(Classifiers!$E$7="",0,IF(ISNUMBER(SEARCH(Classifiers!$E$7,E279)),1,0))+IF(Classifiers!$F$7="",0,IF(ISNUMBER(SEARCH(Classifiers!$F$7,E279)),1,0))+IF(Classifiers!$G$7="",0,IF(ISNUMBER(SEARCH(Classifiers!$G$7,E279)),1,0)))&gt;0,1,0))</f>
        <v/>
      </c>
      <c r="M279" s="12">
        <f>IF(H279&lt;&gt;1,0,IF((IF(Classifiers!$B$8="",0,IF(ISNUMBER(SEARCH(Classifiers!$B$8,E279)),1,0))+IF(Classifiers!$C$8="",0,IF(ISNUMBER(SEARCH(Classifiers!$C$8,E279)),1,0))+IF(Classifiers!$D$8="",0,IF(ISNUMBER(SEARCH(Classifiers!$D$8,E279)),1,0))+IF(Classifiers!$E$8="",0,IF(ISNUMBER(SEARCH(Classifiers!$E$8,E279)),1,0))+IF(Classifiers!$F$8="",0,IF(ISNUMBER(SEARCH(Classifiers!$F$8,E279)),1,0))+IF(Classifiers!$G$8="",0,IF(ISNUMBER(SEARCH(Classifiers!$G$8,E279)),1,0)))&gt;0,1,0))</f>
        <v/>
      </c>
      <c r="N279" s="12">
        <f>IF(H279&lt;&gt;1,0,IF((IF(Classifiers!$B$9="",0,IF(ISNUMBER(SEARCH(Classifiers!$B$9,E279)),1,0))+IF(Classifiers!$C$9="",0,IF(ISNUMBER(SEARCH(Classifiers!$C$9,E279)),1,0))+IF(Classifiers!$D$9="",0,IF(ISNUMBER(SEARCH(Classifiers!$D$9,E279)),1,0))+IF(Classifiers!$E$9="",0,IF(ISNUMBER(SEARCH(Classifiers!$E$9,E279)),1,0))+IF(Classifiers!$F$9="",0,IF(ISNUMBER(SEARCH(Classifiers!$F$9,E279)),1,0))+IF(Classifiers!$G$9="",0,IF(ISNUMBER(SEARCH(Classifiers!$G$9,E279)),1,0)))&gt;0,1,0))</f>
        <v/>
      </c>
      <c r="O279" s="12">
        <f>IF(H279&lt;&gt;1,0,IF((IF(Classifiers!$B$10="",0,IF(ISNUMBER(SEARCH(Classifiers!$B$10,E279)),1,0))+IF(Classifiers!$C$10="",0,IF(ISNUMBER(SEARCH(Classifiers!$C$10,E279)),1,0))+IF(Classifiers!$D$10="",0,IF(ISNUMBER(SEARCH(Classifiers!$D$10,E279)),1,0))+IF(Classifiers!$E$10="",0,IF(ISNUMBER(SEARCH(Classifiers!$E$10,E279)),1,0))+IF(Classifiers!$F$10="",0,IF(ISNUMBER(SEARCH(Classifiers!$F$10,E279)),1,0))+IF(Classifiers!$G$10="",0,IF(ISNUMBER(SEARCH(Classifiers!$G$10,E279)),1,0)))&gt;0,1,0))</f>
        <v/>
      </c>
      <c r="P279" s="12">
        <f>IF(H279&lt;&gt;1,0,IF((IF(Classifiers!$B$11="",0,IF(ISNUMBER(SEARCH(Classifiers!$B$11,E279)),1,0))+IF(Classifiers!$C$11="",0,IF(ISNUMBER(SEARCH(Classifiers!$C$11,E279)),1,0))+IF(Classifiers!$D$11="",0,IF(ISNUMBER(SEARCH(Classifiers!$D$11,E279)),1,0))+IF(Classifiers!$E$11="",0,IF(ISNUMBER(SEARCH(Classifiers!$E$11,E279)),1,0))+IF(Classifiers!$F$11="",0,IF(ISNUMBER(SEARCH(Classifiers!$F$11,E279)),1,0))+IF(Classifiers!$G$11="",0,IF(ISNUMBER(SEARCH(Classifiers!$G$11,E279)),1,0)))&gt;0,1,0))</f>
        <v/>
      </c>
      <c r="Q279" s="12">
        <f>IF(H279&lt;&gt;1,0,IF((IF(Classifiers!$B$12="",0,IF(ISNUMBER(SEARCH(Classifiers!$B$12,E279)),1,0))+IF(Classifiers!$C$12="",0,IF(ISNUMBER(SEARCH(Classifiers!$C$12,E279)),1,0))+IF(Classifiers!$D$12="",0,IF(ISNUMBER(SEARCH(Classifiers!$D$12,E279)),1,0))+IF(Classifiers!$E$12="",0,IF(ISNUMBER(SEARCH(Classifiers!$E$12,E279)),1,0))+IF(Classifiers!$F$12="",0,IF(ISNUMBER(SEARCH(Classifiers!$F$12,E279)),1,0))+IF(Classifiers!$G$12="",0,IF(ISNUMBER(SEARCH(Classifiers!$G$12,E279)),1,0)))&gt;0,1,0))</f>
        <v/>
      </c>
      <c r="R279" s="12">
        <f>IF(H279&lt;&gt;1,0,IF((IF(Classifiers!$B$13="",0,IF(ISNUMBER(SEARCH(Classifiers!$B$13,E279)),1,0))+IF(Classifiers!$C$13="",0,IF(ISNUMBER(SEARCH(Classifiers!$C$13,E279)),1,0))+IF(Classifiers!$D$13="",0,IF(ISNUMBER(SEARCH(Classifiers!$D$13,E279)),1,0))+IF(Classifiers!$E$13="",0,IF(ISNUMBER(SEARCH(Classifiers!$E$13,E279)),1,0))+IF(Classifiers!$F$13="",0,IF(ISNUMBER(SEARCH(Classifiers!$F$13,E279)),1,0))+IF(Classifiers!$G$13="",0,IF(ISNUMBER(SEARCH(Classifiers!$G$13,E279)),1,0)))&gt;0,1,0))</f>
        <v/>
      </c>
      <c r="S279" s="12">
        <f>IF(H279&lt;&gt;1,0,IF((IF(Classifiers!$B$14="",0,IF(ISNUMBER(SEARCH(Classifiers!$B$14,E279)),1,0))+IF(Classifiers!$C$14="",0,IF(ISNUMBER(SEARCH(Classifiers!$C$14,E279)),1,0))+IF(Classifiers!$D$14="",0,IF(ISNUMBER(SEARCH(Classifiers!$D$14,E279)),1,0))+IF(Classifiers!$E$14="",0,IF(ISNUMBER(SEARCH(Classifiers!$E$14,E279)),1,0))+IF(Classifiers!$F$14="",0,IF(ISNUMBER(SEARCH(Classifiers!$F$14,E279)),1,0))+IF(Classifiers!$G$14="",0,IF(ISNUMBER(SEARCH(Classifiers!$G$14,E279)),1,0)))&gt;0,1,0))</f>
        <v/>
      </c>
      <c r="T279" s="12">
        <f>IF(H279&lt;&gt;1,0,IF((IF(Classifiers!$B$15="",0,IF(ISNUMBER(SEARCH(Classifiers!$B$15,E279)),1,0))+IF(Classifiers!$C$15="",0,IF(ISNUMBER(SEARCH(Classifiers!$C$15,E279)),1,0))+IF(Classifiers!$D$15="",0,IF(ISNUMBER(SEARCH(Classifiers!$D$15,E279)),1,0))+IF(Classifiers!$E$15="",0,IF(ISNUMBER(SEARCH(Classifiers!$E$15,E279)),1,0))+IF(Classifiers!$F$15="",0,IF(ISNUMBER(SEARCH(Classifiers!$F$15,E279)),1,0))+IF(Classifiers!$G$15="",0,IF(ISNUMBER(SEARCH(Classifiers!$G$15,E279)),1,0)))&gt;0,1,0))</f>
        <v/>
      </c>
      <c r="U279" s="12">
        <f>IF(H279&lt;&gt;1,0,IF((IF(Classifiers!$B$16="",0,IF(ISNUMBER(SEARCH(Classifiers!$B$16,E279)),1,0))+IF(Classifiers!$C$16="",0,IF(ISNUMBER(SEARCH(Classifiers!$C$16,E279)),1,0))+IF(Classifiers!$D$16="",0,IF(ISNUMBER(SEARCH(Classifiers!$D$16,E279)),1,0))+IF(Classifiers!$E$16="",0,IF(ISNUMBER(SEARCH(Classifiers!$E$16,E279)),1,0))+IF(Classifiers!$F$16="",0,IF(ISNUMBER(SEARCH(Classifiers!$F$16,E279)),1,0))+IF(Classifiers!$G$16="",0,IF(ISNUMBER(SEARCH(Classifiers!$G$16,E279)),1,0)))&gt;0,1,0))</f>
        <v/>
      </c>
      <c r="V279" s="12">
        <f>IF(H279&lt;&gt;1,0,IF((IF(Classifiers!$B$17="",0,IF(ISNUMBER(SEARCH(Classifiers!$B$17,E279)),1,0))+IF(Classifiers!$C$17="",0,IF(ISNUMBER(SEARCH(Classifiers!$C$17,E279)),1,0))+IF(Classifiers!$D$17="",0,IF(ISNUMBER(SEARCH(Classifiers!$D$17,E279)),1,0))+IF(Classifiers!$E$17="",0,IF(ISNUMBER(SEARCH(Classifiers!$E$17,E279)),1,0))+IF(Classifiers!$F$17="",0,IF(ISNUMBER(SEARCH(Classifiers!$F$17,E279)),1,0))+IF(Classifiers!$G$17="",0,IF(ISNUMBER(SEARCH(Classifiers!$G$17,E279)),1,0)))&gt;0,1,0))</f>
        <v/>
      </c>
      <c r="W279" s="12">
        <f>IF(H279&lt;&gt;1,0,IF((IF(Classifiers!$B$18="",0,IF(ISNUMBER(SEARCH(Classifiers!$B$18,E279)),1,0))+IF(Classifiers!$C$18="",0,IF(ISNUMBER(SEARCH(Classifiers!$C$18,E279)),1,0))+IF(Classifiers!$D$18="",0,IF(ISNUMBER(SEARCH(Classifiers!$D$18,E279)),1,0))+IF(Classifiers!$E$18="",0,IF(ISNUMBER(SEARCH(Classifiers!$E$18,E279)),1,0))+IF(Classifiers!$F$18="",0,IF(ISNUMBER(SEARCH(Classifiers!$F$18,E279)),1,0))+IF(Classifiers!$G$18="",0,IF(ISNUMBER(SEARCH(Classifiers!$G$18,E279)),1,0)))&gt;0,1,0))</f>
        <v/>
      </c>
    </row>
    <row r="280">
      <c r="A280" s="8" t="n"/>
      <c r="B280" s="11" t="n"/>
      <c r="C280" s="6">
        <f>IF(A280="","",TRIM(RIGHT(SUBSTITUTE(A280,"/",REPT(" ",250)),250)))</f>
        <v/>
      </c>
      <c r="D280" s="6">
        <f>IF(C280="","",IF(ISNUMBER(SEARCH(".",C280)),LOWER("."&amp;TRIM(RIGHT(SUBSTITUTE(C280,".",REPT(" ",250)),250))),""))</f>
        <v/>
      </c>
      <c r="E280" s="6">
        <f>IF(C280="","",TRIM(SUBSTITUTE(SUBSTITUTE(SUBSTITUTE(SUBSTITUTE(SUBSTITUTE(SUBSTITUTE(SUBSTITUTE(SUBSTITUTE(SUBSTITUTE(SUBSTITUTE(SUBSTITUTE(SUBSTITUTE(SUBSTITUTE(SUBSTITUTE(SUBSTITUTE(SUBSTITUTE(SUBSTITUTE(SUBSTITUTE(SUBSTITUTE(SUBSTITUTE(LOWER(LEFT(C280,LEN(C280)-LEN(D280))),"_"," "),"-"," "),"."," "),","," "),"("," "),")"," "),"["," "),"]"," "),"&amp;"," "),"+"," "),"@"," "),"#"," "),"!"," "),"'"," "),"/"," "),":"," "),";"," "),"="," "),"~"," "),"%"," ")))</f>
        <v/>
      </c>
      <c r="F280" s="6">
        <f>IF(C280="","",IF(COUNTIF(Classifiers!$A$23:$A$40,D280)&gt;0,1,0))</f>
        <v/>
      </c>
      <c r="G280" s="6">
        <f>IF(C280="","",IF(COUNTIF(Classifiers!$C$23:$C$30,D280)&gt;0,IF((IF(ISNUMBER(SEARCH(Classifiers!$E$23,E280)),1,0)+IF(ISNUMBER(SEARCH(Classifiers!$E$24,E280)),1,0)+IF(ISNUMBER(SEARCH(Classifiers!$E$25,E280)),1,0)+IF(ISNUMBER(SEARCH(Classifiers!$E$26,E280)),1,0)+IF(ISNUMBER(SEARCH(Classifiers!$E$27,E280)),1,0)+IF(ISNUMBER(SEARCH(Classifiers!$E$28,E280)),1,0)+IF(ISNUMBER(SEARCH(Classifiers!$E$29,E280)),1,0)+IF(ISNUMBER(SEARCH(Classifiers!$E$30,E280)),1,0))&gt;0,1,0),0))</f>
        <v/>
      </c>
      <c r="H280" s="6">
        <f>IF(C280="","",IF(OR(LEFT(C280,1)=".",AND(F280=0,G280=0)),0,1))</f>
        <v/>
      </c>
      <c r="I280" s="6">
        <f>IF(H280&lt;&gt;1,"",IF(SUM(J280:W280)=0,"unclassified",INDEX(Classifiers!$A$5:$A$18,MATCH(1,J280:W280,0),1)))</f>
        <v/>
      </c>
      <c r="J280" s="12">
        <f>IF(H280&lt;&gt;1,0,IF((IF(Classifiers!$B$5="",0,IF(ISNUMBER(SEARCH(Classifiers!$B$5,E280)),1,0))+IF(Classifiers!$C$5="",0,IF(ISNUMBER(SEARCH(Classifiers!$C$5,E280)),1,0))+IF(Classifiers!$D$5="",0,IF(ISNUMBER(SEARCH(Classifiers!$D$5,E280)),1,0))+IF(Classifiers!$E$5="",0,IF(ISNUMBER(SEARCH(Classifiers!$E$5,E280)),1,0))+IF(Classifiers!$F$5="",0,IF(ISNUMBER(SEARCH(Classifiers!$F$5,E280)),1,0))+IF(Classifiers!$G$5="",0,IF(ISNUMBER(SEARCH(Classifiers!$G$5,E280)),1,0)))&gt;0,1,0))</f>
        <v/>
      </c>
      <c r="K280" s="12">
        <f>IF(H280&lt;&gt;1,0,IF((IF(Classifiers!$B$6="",0,IF(ISNUMBER(SEARCH(Classifiers!$B$6,E280)),1,0))+IF(Classifiers!$C$6="",0,IF(ISNUMBER(SEARCH(Classifiers!$C$6,E280)),1,0))+IF(Classifiers!$D$6="",0,IF(ISNUMBER(SEARCH(Classifiers!$D$6,E280)),1,0))+IF(Classifiers!$E$6="",0,IF(ISNUMBER(SEARCH(Classifiers!$E$6,E280)),1,0))+IF(Classifiers!$F$6="",0,IF(ISNUMBER(SEARCH(Classifiers!$F$6,E280)),1,0))+IF(Classifiers!$G$6="",0,IF(ISNUMBER(SEARCH(Classifiers!$G$6,E280)),1,0)))&gt;0,1,0))</f>
        <v/>
      </c>
      <c r="L280" s="12">
        <f>IF(H280&lt;&gt;1,0,IF((IF(Classifiers!$B$7="",0,IF(ISNUMBER(SEARCH(Classifiers!$B$7,E280)),1,0))+IF(Classifiers!$C$7="",0,IF(ISNUMBER(SEARCH(Classifiers!$C$7,E280)),1,0))+IF(Classifiers!$D$7="",0,IF(ISNUMBER(SEARCH(Classifiers!$D$7,E280)),1,0))+IF(Classifiers!$E$7="",0,IF(ISNUMBER(SEARCH(Classifiers!$E$7,E280)),1,0))+IF(Classifiers!$F$7="",0,IF(ISNUMBER(SEARCH(Classifiers!$F$7,E280)),1,0))+IF(Classifiers!$G$7="",0,IF(ISNUMBER(SEARCH(Classifiers!$G$7,E280)),1,0)))&gt;0,1,0))</f>
        <v/>
      </c>
      <c r="M280" s="12">
        <f>IF(H280&lt;&gt;1,0,IF((IF(Classifiers!$B$8="",0,IF(ISNUMBER(SEARCH(Classifiers!$B$8,E280)),1,0))+IF(Classifiers!$C$8="",0,IF(ISNUMBER(SEARCH(Classifiers!$C$8,E280)),1,0))+IF(Classifiers!$D$8="",0,IF(ISNUMBER(SEARCH(Classifiers!$D$8,E280)),1,0))+IF(Classifiers!$E$8="",0,IF(ISNUMBER(SEARCH(Classifiers!$E$8,E280)),1,0))+IF(Classifiers!$F$8="",0,IF(ISNUMBER(SEARCH(Classifiers!$F$8,E280)),1,0))+IF(Classifiers!$G$8="",0,IF(ISNUMBER(SEARCH(Classifiers!$G$8,E280)),1,0)))&gt;0,1,0))</f>
        <v/>
      </c>
      <c r="N280" s="12">
        <f>IF(H280&lt;&gt;1,0,IF((IF(Classifiers!$B$9="",0,IF(ISNUMBER(SEARCH(Classifiers!$B$9,E280)),1,0))+IF(Classifiers!$C$9="",0,IF(ISNUMBER(SEARCH(Classifiers!$C$9,E280)),1,0))+IF(Classifiers!$D$9="",0,IF(ISNUMBER(SEARCH(Classifiers!$D$9,E280)),1,0))+IF(Classifiers!$E$9="",0,IF(ISNUMBER(SEARCH(Classifiers!$E$9,E280)),1,0))+IF(Classifiers!$F$9="",0,IF(ISNUMBER(SEARCH(Classifiers!$F$9,E280)),1,0))+IF(Classifiers!$G$9="",0,IF(ISNUMBER(SEARCH(Classifiers!$G$9,E280)),1,0)))&gt;0,1,0))</f>
        <v/>
      </c>
      <c r="O280" s="12">
        <f>IF(H280&lt;&gt;1,0,IF((IF(Classifiers!$B$10="",0,IF(ISNUMBER(SEARCH(Classifiers!$B$10,E280)),1,0))+IF(Classifiers!$C$10="",0,IF(ISNUMBER(SEARCH(Classifiers!$C$10,E280)),1,0))+IF(Classifiers!$D$10="",0,IF(ISNUMBER(SEARCH(Classifiers!$D$10,E280)),1,0))+IF(Classifiers!$E$10="",0,IF(ISNUMBER(SEARCH(Classifiers!$E$10,E280)),1,0))+IF(Classifiers!$F$10="",0,IF(ISNUMBER(SEARCH(Classifiers!$F$10,E280)),1,0))+IF(Classifiers!$G$10="",0,IF(ISNUMBER(SEARCH(Classifiers!$G$10,E280)),1,0)))&gt;0,1,0))</f>
        <v/>
      </c>
      <c r="P280" s="12">
        <f>IF(H280&lt;&gt;1,0,IF((IF(Classifiers!$B$11="",0,IF(ISNUMBER(SEARCH(Classifiers!$B$11,E280)),1,0))+IF(Classifiers!$C$11="",0,IF(ISNUMBER(SEARCH(Classifiers!$C$11,E280)),1,0))+IF(Classifiers!$D$11="",0,IF(ISNUMBER(SEARCH(Classifiers!$D$11,E280)),1,0))+IF(Classifiers!$E$11="",0,IF(ISNUMBER(SEARCH(Classifiers!$E$11,E280)),1,0))+IF(Classifiers!$F$11="",0,IF(ISNUMBER(SEARCH(Classifiers!$F$11,E280)),1,0))+IF(Classifiers!$G$11="",0,IF(ISNUMBER(SEARCH(Classifiers!$G$11,E280)),1,0)))&gt;0,1,0))</f>
        <v/>
      </c>
      <c r="Q280" s="12">
        <f>IF(H280&lt;&gt;1,0,IF((IF(Classifiers!$B$12="",0,IF(ISNUMBER(SEARCH(Classifiers!$B$12,E280)),1,0))+IF(Classifiers!$C$12="",0,IF(ISNUMBER(SEARCH(Classifiers!$C$12,E280)),1,0))+IF(Classifiers!$D$12="",0,IF(ISNUMBER(SEARCH(Classifiers!$D$12,E280)),1,0))+IF(Classifiers!$E$12="",0,IF(ISNUMBER(SEARCH(Classifiers!$E$12,E280)),1,0))+IF(Classifiers!$F$12="",0,IF(ISNUMBER(SEARCH(Classifiers!$F$12,E280)),1,0))+IF(Classifiers!$G$12="",0,IF(ISNUMBER(SEARCH(Classifiers!$G$12,E280)),1,0)))&gt;0,1,0))</f>
        <v/>
      </c>
      <c r="R280" s="12">
        <f>IF(H280&lt;&gt;1,0,IF((IF(Classifiers!$B$13="",0,IF(ISNUMBER(SEARCH(Classifiers!$B$13,E280)),1,0))+IF(Classifiers!$C$13="",0,IF(ISNUMBER(SEARCH(Classifiers!$C$13,E280)),1,0))+IF(Classifiers!$D$13="",0,IF(ISNUMBER(SEARCH(Classifiers!$D$13,E280)),1,0))+IF(Classifiers!$E$13="",0,IF(ISNUMBER(SEARCH(Classifiers!$E$13,E280)),1,0))+IF(Classifiers!$F$13="",0,IF(ISNUMBER(SEARCH(Classifiers!$F$13,E280)),1,0))+IF(Classifiers!$G$13="",0,IF(ISNUMBER(SEARCH(Classifiers!$G$13,E280)),1,0)))&gt;0,1,0))</f>
        <v/>
      </c>
      <c r="S280" s="12">
        <f>IF(H280&lt;&gt;1,0,IF((IF(Classifiers!$B$14="",0,IF(ISNUMBER(SEARCH(Classifiers!$B$14,E280)),1,0))+IF(Classifiers!$C$14="",0,IF(ISNUMBER(SEARCH(Classifiers!$C$14,E280)),1,0))+IF(Classifiers!$D$14="",0,IF(ISNUMBER(SEARCH(Classifiers!$D$14,E280)),1,0))+IF(Classifiers!$E$14="",0,IF(ISNUMBER(SEARCH(Classifiers!$E$14,E280)),1,0))+IF(Classifiers!$F$14="",0,IF(ISNUMBER(SEARCH(Classifiers!$F$14,E280)),1,0))+IF(Classifiers!$G$14="",0,IF(ISNUMBER(SEARCH(Classifiers!$G$14,E280)),1,0)))&gt;0,1,0))</f>
        <v/>
      </c>
      <c r="T280" s="12">
        <f>IF(H280&lt;&gt;1,0,IF((IF(Classifiers!$B$15="",0,IF(ISNUMBER(SEARCH(Classifiers!$B$15,E280)),1,0))+IF(Classifiers!$C$15="",0,IF(ISNUMBER(SEARCH(Classifiers!$C$15,E280)),1,0))+IF(Classifiers!$D$15="",0,IF(ISNUMBER(SEARCH(Classifiers!$D$15,E280)),1,0))+IF(Classifiers!$E$15="",0,IF(ISNUMBER(SEARCH(Classifiers!$E$15,E280)),1,0))+IF(Classifiers!$F$15="",0,IF(ISNUMBER(SEARCH(Classifiers!$F$15,E280)),1,0))+IF(Classifiers!$G$15="",0,IF(ISNUMBER(SEARCH(Classifiers!$G$15,E280)),1,0)))&gt;0,1,0))</f>
        <v/>
      </c>
      <c r="U280" s="12">
        <f>IF(H280&lt;&gt;1,0,IF((IF(Classifiers!$B$16="",0,IF(ISNUMBER(SEARCH(Classifiers!$B$16,E280)),1,0))+IF(Classifiers!$C$16="",0,IF(ISNUMBER(SEARCH(Classifiers!$C$16,E280)),1,0))+IF(Classifiers!$D$16="",0,IF(ISNUMBER(SEARCH(Classifiers!$D$16,E280)),1,0))+IF(Classifiers!$E$16="",0,IF(ISNUMBER(SEARCH(Classifiers!$E$16,E280)),1,0))+IF(Classifiers!$F$16="",0,IF(ISNUMBER(SEARCH(Classifiers!$F$16,E280)),1,0))+IF(Classifiers!$G$16="",0,IF(ISNUMBER(SEARCH(Classifiers!$G$16,E280)),1,0)))&gt;0,1,0))</f>
        <v/>
      </c>
      <c r="V280" s="12">
        <f>IF(H280&lt;&gt;1,0,IF((IF(Classifiers!$B$17="",0,IF(ISNUMBER(SEARCH(Classifiers!$B$17,E280)),1,0))+IF(Classifiers!$C$17="",0,IF(ISNUMBER(SEARCH(Classifiers!$C$17,E280)),1,0))+IF(Classifiers!$D$17="",0,IF(ISNUMBER(SEARCH(Classifiers!$D$17,E280)),1,0))+IF(Classifiers!$E$17="",0,IF(ISNUMBER(SEARCH(Classifiers!$E$17,E280)),1,0))+IF(Classifiers!$F$17="",0,IF(ISNUMBER(SEARCH(Classifiers!$F$17,E280)),1,0))+IF(Classifiers!$G$17="",0,IF(ISNUMBER(SEARCH(Classifiers!$G$17,E280)),1,0)))&gt;0,1,0))</f>
        <v/>
      </c>
      <c r="W280" s="12">
        <f>IF(H280&lt;&gt;1,0,IF((IF(Classifiers!$B$18="",0,IF(ISNUMBER(SEARCH(Classifiers!$B$18,E280)),1,0))+IF(Classifiers!$C$18="",0,IF(ISNUMBER(SEARCH(Classifiers!$C$18,E280)),1,0))+IF(Classifiers!$D$18="",0,IF(ISNUMBER(SEARCH(Classifiers!$D$18,E280)),1,0))+IF(Classifiers!$E$18="",0,IF(ISNUMBER(SEARCH(Classifiers!$E$18,E280)),1,0))+IF(Classifiers!$F$18="",0,IF(ISNUMBER(SEARCH(Classifiers!$F$18,E280)),1,0))+IF(Classifiers!$G$18="",0,IF(ISNUMBER(SEARCH(Classifiers!$G$18,E280)),1,0)))&gt;0,1,0))</f>
        <v/>
      </c>
    </row>
    <row r="281">
      <c r="A281" s="8" t="n"/>
      <c r="B281" s="11" t="n"/>
      <c r="C281" s="6">
        <f>IF(A281="","",TRIM(RIGHT(SUBSTITUTE(A281,"/",REPT(" ",250)),250)))</f>
        <v/>
      </c>
      <c r="D281" s="6">
        <f>IF(C281="","",IF(ISNUMBER(SEARCH(".",C281)),LOWER("."&amp;TRIM(RIGHT(SUBSTITUTE(C281,".",REPT(" ",250)),250))),""))</f>
        <v/>
      </c>
      <c r="E281" s="6">
        <f>IF(C281="","",TRIM(SUBSTITUTE(SUBSTITUTE(SUBSTITUTE(SUBSTITUTE(SUBSTITUTE(SUBSTITUTE(SUBSTITUTE(SUBSTITUTE(SUBSTITUTE(SUBSTITUTE(SUBSTITUTE(SUBSTITUTE(SUBSTITUTE(SUBSTITUTE(SUBSTITUTE(SUBSTITUTE(SUBSTITUTE(SUBSTITUTE(SUBSTITUTE(SUBSTITUTE(LOWER(LEFT(C281,LEN(C281)-LEN(D281))),"_"," "),"-"," "),"."," "),","," "),"("," "),")"," "),"["," "),"]"," "),"&amp;"," "),"+"," "),"@"," "),"#"," "),"!"," "),"'"," "),"/"," "),":"," "),";"," "),"="," "),"~"," "),"%"," ")))</f>
        <v/>
      </c>
      <c r="F281" s="6">
        <f>IF(C281="","",IF(COUNTIF(Classifiers!$A$23:$A$40,D281)&gt;0,1,0))</f>
        <v/>
      </c>
      <c r="G281" s="6">
        <f>IF(C281="","",IF(COUNTIF(Classifiers!$C$23:$C$30,D281)&gt;0,IF((IF(ISNUMBER(SEARCH(Classifiers!$E$23,E281)),1,0)+IF(ISNUMBER(SEARCH(Classifiers!$E$24,E281)),1,0)+IF(ISNUMBER(SEARCH(Classifiers!$E$25,E281)),1,0)+IF(ISNUMBER(SEARCH(Classifiers!$E$26,E281)),1,0)+IF(ISNUMBER(SEARCH(Classifiers!$E$27,E281)),1,0)+IF(ISNUMBER(SEARCH(Classifiers!$E$28,E281)),1,0)+IF(ISNUMBER(SEARCH(Classifiers!$E$29,E281)),1,0)+IF(ISNUMBER(SEARCH(Classifiers!$E$30,E281)),1,0))&gt;0,1,0),0))</f>
        <v/>
      </c>
      <c r="H281" s="6">
        <f>IF(C281="","",IF(OR(LEFT(C281,1)=".",AND(F281=0,G281=0)),0,1))</f>
        <v/>
      </c>
      <c r="I281" s="6">
        <f>IF(H281&lt;&gt;1,"",IF(SUM(J281:W281)=0,"unclassified",INDEX(Classifiers!$A$5:$A$18,MATCH(1,J281:W281,0),1)))</f>
        <v/>
      </c>
      <c r="J281" s="12">
        <f>IF(H281&lt;&gt;1,0,IF((IF(Classifiers!$B$5="",0,IF(ISNUMBER(SEARCH(Classifiers!$B$5,E281)),1,0))+IF(Classifiers!$C$5="",0,IF(ISNUMBER(SEARCH(Classifiers!$C$5,E281)),1,0))+IF(Classifiers!$D$5="",0,IF(ISNUMBER(SEARCH(Classifiers!$D$5,E281)),1,0))+IF(Classifiers!$E$5="",0,IF(ISNUMBER(SEARCH(Classifiers!$E$5,E281)),1,0))+IF(Classifiers!$F$5="",0,IF(ISNUMBER(SEARCH(Classifiers!$F$5,E281)),1,0))+IF(Classifiers!$G$5="",0,IF(ISNUMBER(SEARCH(Classifiers!$G$5,E281)),1,0)))&gt;0,1,0))</f>
        <v/>
      </c>
      <c r="K281" s="12">
        <f>IF(H281&lt;&gt;1,0,IF((IF(Classifiers!$B$6="",0,IF(ISNUMBER(SEARCH(Classifiers!$B$6,E281)),1,0))+IF(Classifiers!$C$6="",0,IF(ISNUMBER(SEARCH(Classifiers!$C$6,E281)),1,0))+IF(Classifiers!$D$6="",0,IF(ISNUMBER(SEARCH(Classifiers!$D$6,E281)),1,0))+IF(Classifiers!$E$6="",0,IF(ISNUMBER(SEARCH(Classifiers!$E$6,E281)),1,0))+IF(Classifiers!$F$6="",0,IF(ISNUMBER(SEARCH(Classifiers!$F$6,E281)),1,0))+IF(Classifiers!$G$6="",0,IF(ISNUMBER(SEARCH(Classifiers!$G$6,E281)),1,0)))&gt;0,1,0))</f>
        <v/>
      </c>
      <c r="L281" s="12">
        <f>IF(H281&lt;&gt;1,0,IF((IF(Classifiers!$B$7="",0,IF(ISNUMBER(SEARCH(Classifiers!$B$7,E281)),1,0))+IF(Classifiers!$C$7="",0,IF(ISNUMBER(SEARCH(Classifiers!$C$7,E281)),1,0))+IF(Classifiers!$D$7="",0,IF(ISNUMBER(SEARCH(Classifiers!$D$7,E281)),1,0))+IF(Classifiers!$E$7="",0,IF(ISNUMBER(SEARCH(Classifiers!$E$7,E281)),1,0))+IF(Classifiers!$F$7="",0,IF(ISNUMBER(SEARCH(Classifiers!$F$7,E281)),1,0))+IF(Classifiers!$G$7="",0,IF(ISNUMBER(SEARCH(Classifiers!$G$7,E281)),1,0)))&gt;0,1,0))</f>
        <v/>
      </c>
      <c r="M281" s="12">
        <f>IF(H281&lt;&gt;1,0,IF((IF(Classifiers!$B$8="",0,IF(ISNUMBER(SEARCH(Classifiers!$B$8,E281)),1,0))+IF(Classifiers!$C$8="",0,IF(ISNUMBER(SEARCH(Classifiers!$C$8,E281)),1,0))+IF(Classifiers!$D$8="",0,IF(ISNUMBER(SEARCH(Classifiers!$D$8,E281)),1,0))+IF(Classifiers!$E$8="",0,IF(ISNUMBER(SEARCH(Classifiers!$E$8,E281)),1,0))+IF(Classifiers!$F$8="",0,IF(ISNUMBER(SEARCH(Classifiers!$F$8,E281)),1,0))+IF(Classifiers!$G$8="",0,IF(ISNUMBER(SEARCH(Classifiers!$G$8,E281)),1,0)))&gt;0,1,0))</f>
        <v/>
      </c>
      <c r="N281" s="12">
        <f>IF(H281&lt;&gt;1,0,IF((IF(Classifiers!$B$9="",0,IF(ISNUMBER(SEARCH(Classifiers!$B$9,E281)),1,0))+IF(Classifiers!$C$9="",0,IF(ISNUMBER(SEARCH(Classifiers!$C$9,E281)),1,0))+IF(Classifiers!$D$9="",0,IF(ISNUMBER(SEARCH(Classifiers!$D$9,E281)),1,0))+IF(Classifiers!$E$9="",0,IF(ISNUMBER(SEARCH(Classifiers!$E$9,E281)),1,0))+IF(Classifiers!$F$9="",0,IF(ISNUMBER(SEARCH(Classifiers!$F$9,E281)),1,0))+IF(Classifiers!$G$9="",0,IF(ISNUMBER(SEARCH(Classifiers!$G$9,E281)),1,0)))&gt;0,1,0))</f>
        <v/>
      </c>
      <c r="O281" s="12">
        <f>IF(H281&lt;&gt;1,0,IF((IF(Classifiers!$B$10="",0,IF(ISNUMBER(SEARCH(Classifiers!$B$10,E281)),1,0))+IF(Classifiers!$C$10="",0,IF(ISNUMBER(SEARCH(Classifiers!$C$10,E281)),1,0))+IF(Classifiers!$D$10="",0,IF(ISNUMBER(SEARCH(Classifiers!$D$10,E281)),1,0))+IF(Classifiers!$E$10="",0,IF(ISNUMBER(SEARCH(Classifiers!$E$10,E281)),1,0))+IF(Classifiers!$F$10="",0,IF(ISNUMBER(SEARCH(Classifiers!$F$10,E281)),1,0))+IF(Classifiers!$G$10="",0,IF(ISNUMBER(SEARCH(Classifiers!$G$10,E281)),1,0)))&gt;0,1,0))</f>
        <v/>
      </c>
      <c r="P281" s="12">
        <f>IF(H281&lt;&gt;1,0,IF((IF(Classifiers!$B$11="",0,IF(ISNUMBER(SEARCH(Classifiers!$B$11,E281)),1,0))+IF(Classifiers!$C$11="",0,IF(ISNUMBER(SEARCH(Classifiers!$C$11,E281)),1,0))+IF(Classifiers!$D$11="",0,IF(ISNUMBER(SEARCH(Classifiers!$D$11,E281)),1,0))+IF(Classifiers!$E$11="",0,IF(ISNUMBER(SEARCH(Classifiers!$E$11,E281)),1,0))+IF(Classifiers!$F$11="",0,IF(ISNUMBER(SEARCH(Classifiers!$F$11,E281)),1,0))+IF(Classifiers!$G$11="",0,IF(ISNUMBER(SEARCH(Classifiers!$G$11,E281)),1,0)))&gt;0,1,0))</f>
        <v/>
      </c>
      <c r="Q281" s="12">
        <f>IF(H281&lt;&gt;1,0,IF((IF(Classifiers!$B$12="",0,IF(ISNUMBER(SEARCH(Classifiers!$B$12,E281)),1,0))+IF(Classifiers!$C$12="",0,IF(ISNUMBER(SEARCH(Classifiers!$C$12,E281)),1,0))+IF(Classifiers!$D$12="",0,IF(ISNUMBER(SEARCH(Classifiers!$D$12,E281)),1,0))+IF(Classifiers!$E$12="",0,IF(ISNUMBER(SEARCH(Classifiers!$E$12,E281)),1,0))+IF(Classifiers!$F$12="",0,IF(ISNUMBER(SEARCH(Classifiers!$F$12,E281)),1,0))+IF(Classifiers!$G$12="",0,IF(ISNUMBER(SEARCH(Classifiers!$G$12,E281)),1,0)))&gt;0,1,0))</f>
        <v/>
      </c>
      <c r="R281" s="12">
        <f>IF(H281&lt;&gt;1,0,IF((IF(Classifiers!$B$13="",0,IF(ISNUMBER(SEARCH(Classifiers!$B$13,E281)),1,0))+IF(Classifiers!$C$13="",0,IF(ISNUMBER(SEARCH(Classifiers!$C$13,E281)),1,0))+IF(Classifiers!$D$13="",0,IF(ISNUMBER(SEARCH(Classifiers!$D$13,E281)),1,0))+IF(Classifiers!$E$13="",0,IF(ISNUMBER(SEARCH(Classifiers!$E$13,E281)),1,0))+IF(Classifiers!$F$13="",0,IF(ISNUMBER(SEARCH(Classifiers!$F$13,E281)),1,0))+IF(Classifiers!$G$13="",0,IF(ISNUMBER(SEARCH(Classifiers!$G$13,E281)),1,0)))&gt;0,1,0))</f>
        <v/>
      </c>
      <c r="S281" s="12">
        <f>IF(H281&lt;&gt;1,0,IF((IF(Classifiers!$B$14="",0,IF(ISNUMBER(SEARCH(Classifiers!$B$14,E281)),1,0))+IF(Classifiers!$C$14="",0,IF(ISNUMBER(SEARCH(Classifiers!$C$14,E281)),1,0))+IF(Classifiers!$D$14="",0,IF(ISNUMBER(SEARCH(Classifiers!$D$14,E281)),1,0))+IF(Classifiers!$E$14="",0,IF(ISNUMBER(SEARCH(Classifiers!$E$14,E281)),1,0))+IF(Classifiers!$F$14="",0,IF(ISNUMBER(SEARCH(Classifiers!$F$14,E281)),1,0))+IF(Classifiers!$G$14="",0,IF(ISNUMBER(SEARCH(Classifiers!$G$14,E281)),1,0)))&gt;0,1,0))</f>
        <v/>
      </c>
      <c r="T281" s="12">
        <f>IF(H281&lt;&gt;1,0,IF((IF(Classifiers!$B$15="",0,IF(ISNUMBER(SEARCH(Classifiers!$B$15,E281)),1,0))+IF(Classifiers!$C$15="",0,IF(ISNUMBER(SEARCH(Classifiers!$C$15,E281)),1,0))+IF(Classifiers!$D$15="",0,IF(ISNUMBER(SEARCH(Classifiers!$D$15,E281)),1,0))+IF(Classifiers!$E$15="",0,IF(ISNUMBER(SEARCH(Classifiers!$E$15,E281)),1,0))+IF(Classifiers!$F$15="",0,IF(ISNUMBER(SEARCH(Classifiers!$F$15,E281)),1,0))+IF(Classifiers!$G$15="",0,IF(ISNUMBER(SEARCH(Classifiers!$G$15,E281)),1,0)))&gt;0,1,0))</f>
        <v/>
      </c>
      <c r="U281" s="12">
        <f>IF(H281&lt;&gt;1,0,IF((IF(Classifiers!$B$16="",0,IF(ISNUMBER(SEARCH(Classifiers!$B$16,E281)),1,0))+IF(Classifiers!$C$16="",0,IF(ISNUMBER(SEARCH(Classifiers!$C$16,E281)),1,0))+IF(Classifiers!$D$16="",0,IF(ISNUMBER(SEARCH(Classifiers!$D$16,E281)),1,0))+IF(Classifiers!$E$16="",0,IF(ISNUMBER(SEARCH(Classifiers!$E$16,E281)),1,0))+IF(Classifiers!$F$16="",0,IF(ISNUMBER(SEARCH(Classifiers!$F$16,E281)),1,0))+IF(Classifiers!$G$16="",0,IF(ISNUMBER(SEARCH(Classifiers!$G$16,E281)),1,0)))&gt;0,1,0))</f>
        <v/>
      </c>
      <c r="V281" s="12">
        <f>IF(H281&lt;&gt;1,0,IF((IF(Classifiers!$B$17="",0,IF(ISNUMBER(SEARCH(Classifiers!$B$17,E281)),1,0))+IF(Classifiers!$C$17="",0,IF(ISNUMBER(SEARCH(Classifiers!$C$17,E281)),1,0))+IF(Classifiers!$D$17="",0,IF(ISNUMBER(SEARCH(Classifiers!$D$17,E281)),1,0))+IF(Classifiers!$E$17="",0,IF(ISNUMBER(SEARCH(Classifiers!$E$17,E281)),1,0))+IF(Classifiers!$F$17="",0,IF(ISNUMBER(SEARCH(Classifiers!$F$17,E281)),1,0))+IF(Classifiers!$G$17="",0,IF(ISNUMBER(SEARCH(Classifiers!$G$17,E281)),1,0)))&gt;0,1,0))</f>
        <v/>
      </c>
      <c r="W281" s="12">
        <f>IF(H281&lt;&gt;1,0,IF((IF(Classifiers!$B$18="",0,IF(ISNUMBER(SEARCH(Classifiers!$B$18,E281)),1,0))+IF(Classifiers!$C$18="",0,IF(ISNUMBER(SEARCH(Classifiers!$C$18,E281)),1,0))+IF(Classifiers!$D$18="",0,IF(ISNUMBER(SEARCH(Classifiers!$D$18,E281)),1,0))+IF(Classifiers!$E$18="",0,IF(ISNUMBER(SEARCH(Classifiers!$E$18,E281)),1,0))+IF(Classifiers!$F$18="",0,IF(ISNUMBER(SEARCH(Classifiers!$F$18,E281)),1,0))+IF(Classifiers!$G$18="",0,IF(ISNUMBER(SEARCH(Classifiers!$G$18,E281)),1,0)))&gt;0,1,0))</f>
        <v/>
      </c>
    </row>
    <row r="282">
      <c r="A282" s="8" t="n"/>
      <c r="B282" s="11" t="n"/>
      <c r="C282" s="6">
        <f>IF(A282="","",TRIM(RIGHT(SUBSTITUTE(A282,"/",REPT(" ",250)),250)))</f>
        <v/>
      </c>
      <c r="D282" s="6">
        <f>IF(C282="","",IF(ISNUMBER(SEARCH(".",C282)),LOWER("."&amp;TRIM(RIGHT(SUBSTITUTE(C282,".",REPT(" ",250)),250))),""))</f>
        <v/>
      </c>
      <c r="E282" s="6">
        <f>IF(C282="","",TRIM(SUBSTITUTE(SUBSTITUTE(SUBSTITUTE(SUBSTITUTE(SUBSTITUTE(SUBSTITUTE(SUBSTITUTE(SUBSTITUTE(SUBSTITUTE(SUBSTITUTE(SUBSTITUTE(SUBSTITUTE(SUBSTITUTE(SUBSTITUTE(SUBSTITUTE(SUBSTITUTE(SUBSTITUTE(SUBSTITUTE(SUBSTITUTE(SUBSTITUTE(LOWER(LEFT(C282,LEN(C282)-LEN(D282))),"_"," "),"-"," "),"."," "),","," "),"("," "),")"," "),"["," "),"]"," "),"&amp;"," "),"+"," "),"@"," "),"#"," "),"!"," "),"'"," "),"/"," "),":"," "),";"," "),"="," "),"~"," "),"%"," ")))</f>
        <v/>
      </c>
      <c r="F282" s="6">
        <f>IF(C282="","",IF(COUNTIF(Classifiers!$A$23:$A$40,D282)&gt;0,1,0))</f>
        <v/>
      </c>
      <c r="G282" s="6">
        <f>IF(C282="","",IF(COUNTIF(Classifiers!$C$23:$C$30,D282)&gt;0,IF((IF(ISNUMBER(SEARCH(Classifiers!$E$23,E282)),1,0)+IF(ISNUMBER(SEARCH(Classifiers!$E$24,E282)),1,0)+IF(ISNUMBER(SEARCH(Classifiers!$E$25,E282)),1,0)+IF(ISNUMBER(SEARCH(Classifiers!$E$26,E282)),1,0)+IF(ISNUMBER(SEARCH(Classifiers!$E$27,E282)),1,0)+IF(ISNUMBER(SEARCH(Classifiers!$E$28,E282)),1,0)+IF(ISNUMBER(SEARCH(Classifiers!$E$29,E282)),1,0)+IF(ISNUMBER(SEARCH(Classifiers!$E$30,E282)),1,0))&gt;0,1,0),0))</f>
        <v/>
      </c>
      <c r="H282" s="6">
        <f>IF(C282="","",IF(OR(LEFT(C282,1)=".",AND(F282=0,G282=0)),0,1))</f>
        <v/>
      </c>
      <c r="I282" s="6">
        <f>IF(H282&lt;&gt;1,"",IF(SUM(J282:W282)=0,"unclassified",INDEX(Classifiers!$A$5:$A$18,MATCH(1,J282:W282,0),1)))</f>
        <v/>
      </c>
      <c r="J282" s="12">
        <f>IF(H282&lt;&gt;1,0,IF((IF(Classifiers!$B$5="",0,IF(ISNUMBER(SEARCH(Classifiers!$B$5,E282)),1,0))+IF(Classifiers!$C$5="",0,IF(ISNUMBER(SEARCH(Classifiers!$C$5,E282)),1,0))+IF(Classifiers!$D$5="",0,IF(ISNUMBER(SEARCH(Classifiers!$D$5,E282)),1,0))+IF(Classifiers!$E$5="",0,IF(ISNUMBER(SEARCH(Classifiers!$E$5,E282)),1,0))+IF(Classifiers!$F$5="",0,IF(ISNUMBER(SEARCH(Classifiers!$F$5,E282)),1,0))+IF(Classifiers!$G$5="",0,IF(ISNUMBER(SEARCH(Classifiers!$G$5,E282)),1,0)))&gt;0,1,0))</f>
        <v/>
      </c>
      <c r="K282" s="12">
        <f>IF(H282&lt;&gt;1,0,IF((IF(Classifiers!$B$6="",0,IF(ISNUMBER(SEARCH(Classifiers!$B$6,E282)),1,0))+IF(Classifiers!$C$6="",0,IF(ISNUMBER(SEARCH(Classifiers!$C$6,E282)),1,0))+IF(Classifiers!$D$6="",0,IF(ISNUMBER(SEARCH(Classifiers!$D$6,E282)),1,0))+IF(Classifiers!$E$6="",0,IF(ISNUMBER(SEARCH(Classifiers!$E$6,E282)),1,0))+IF(Classifiers!$F$6="",0,IF(ISNUMBER(SEARCH(Classifiers!$F$6,E282)),1,0))+IF(Classifiers!$G$6="",0,IF(ISNUMBER(SEARCH(Classifiers!$G$6,E282)),1,0)))&gt;0,1,0))</f>
        <v/>
      </c>
      <c r="L282" s="12">
        <f>IF(H282&lt;&gt;1,0,IF((IF(Classifiers!$B$7="",0,IF(ISNUMBER(SEARCH(Classifiers!$B$7,E282)),1,0))+IF(Classifiers!$C$7="",0,IF(ISNUMBER(SEARCH(Classifiers!$C$7,E282)),1,0))+IF(Classifiers!$D$7="",0,IF(ISNUMBER(SEARCH(Classifiers!$D$7,E282)),1,0))+IF(Classifiers!$E$7="",0,IF(ISNUMBER(SEARCH(Classifiers!$E$7,E282)),1,0))+IF(Classifiers!$F$7="",0,IF(ISNUMBER(SEARCH(Classifiers!$F$7,E282)),1,0))+IF(Classifiers!$G$7="",0,IF(ISNUMBER(SEARCH(Classifiers!$G$7,E282)),1,0)))&gt;0,1,0))</f>
        <v/>
      </c>
      <c r="M282" s="12">
        <f>IF(H282&lt;&gt;1,0,IF((IF(Classifiers!$B$8="",0,IF(ISNUMBER(SEARCH(Classifiers!$B$8,E282)),1,0))+IF(Classifiers!$C$8="",0,IF(ISNUMBER(SEARCH(Classifiers!$C$8,E282)),1,0))+IF(Classifiers!$D$8="",0,IF(ISNUMBER(SEARCH(Classifiers!$D$8,E282)),1,0))+IF(Classifiers!$E$8="",0,IF(ISNUMBER(SEARCH(Classifiers!$E$8,E282)),1,0))+IF(Classifiers!$F$8="",0,IF(ISNUMBER(SEARCH(Classifiers!$F$8,E282)),1,0))+IF(Classifiers!$G$8="",0,IF(ISNUMBER(SEARCH(Classifiers!$G$8,E282)),1,0)))&gt;0,1,0))</f>
        <v/>
      </c>
      <c r="N282" s="12">
        <f>IF(H282&lt;&gt;1,0,IF((IF(Classifiers!$B$9="",0,IF(ISNUMBER(SEARCH(Classifiers!$B$9,E282)),1,0))+IF(Classifiers!$C$9="",0,IF(ISNUMBER(SEARCH(Classifiers!$C$9,E282)),1,0))+IF(Classifiers!$D$9="",0,IF(ISNUMBER(SEARCH(Classifiers!$D$9,E282)),1,0))+IF(Classifiers!$E$9="",0,IF(ISNUMBER(SEARCH(Classifiers!$E$9,E282)),1,0))+IF(Classifiers!$F$9="",0,IF(ISNUMBER(SEARCH(Classifiers!$F$9,E282)),1,0))+IF(Classifiers!$G$9="",0,IF(ISNUMBER(SEARCH(Classifiers!$G$9,E282)),1,0)))&gt;0,1,0))</f>
        <v/>
      </c>
      <c r="O282" s="12">
        <f>IF(H282&lt;&gt;1,0,IF((IF(Classifiers!$B$10="",0,IF(ISNUMBER(SEARCH(Classifiers!$B$10,E282)),1,0))+IF(Classifiers!$C$10="",0,IF(ISNUMBER(SEARCH(Classifiers!$C$10,E282)),1,0))+IF(Classifiers!$D$10="",0,IF(ISNUMBER(SEARCH(Classifiers!$D$10,E282)),1,0))+IF(Classifiers!$E$10="",0,IF(ISNUMBER(SEARCH(Classifiers!$E$10,E282)),1,0))+IF(Classifiers!$F$10="",0,IF(ISNUMBER(SEARCH(Classifiers!$F$10,E282)),1,0))+IF(Classifiers!$G$10="",0,IF(ISNUMBER(SEARCH(Classifiers!$G$10,E282)),1,0)))&gt;0,1,0))</f>
        <v/>
      </c>
      <c r="P282" s="12">
        <f>IF(H282&lt;&gt;1,0,IF((IF(Classifiers!$B$11="",0,IF(ISNUMBER(SEARCH(Classifiers!$B$11,E282)),1,0))+IF(Classifiers!$C$11="",0,IF(ISNUMBER(SEARCH(Classifiers!$C$11,E282)),1,0))+IF(Classifiers!$D$11="",0,IF(ISNUMBER(SEARCH(Classifiers!$D$11,E282)),1,0))+IF(Classifiers!$E$11="",0,IF(ISNUMBER(SEARCH(Classifiers!$E$11,E282)),1,0))+IF(Classifiers!$F$11="",0,IF(ISNUMBER(SEARCH(Classifiers!$F$11,E282)),1,0))+IF(Classifiers!$G$11="",0,IF(ISNUMBER(SEARCH(Classifiers!$G$11,E282)),1,0)))&gt;0,1,0))</f>
        <v/>
      </c>
      <c r="Q282" s="12">
        <f>IF(H282&lt;&gt;1,0,IF((IF(Classifiers!$B$12="",0,IF(ISNUMBER(SEARCH(Classifiers!$B$12,E282)),1,0))+IF(Classifiers!$C$12="",0,IF(ISNUMBER(SEARCH(Classifiers!$C$12,E282)),1,0))+IF(Classifiers!$D$12="",0,IF(ISNUMBER(SEARCH(Classifiers!$D$12,E282)),1,0))+IF(Classifiers!$E$12="",0,IF(ISNUMBER(SEARCH(Classifiers!$E$12,E282)),1,0))+IF(Classifiers!$F$12="",0,IF(ISNUMBER(SEARCH(Classifiers!$F$12,E282)),1,0))+IF(Classifiers!$G$12="",0,IF(ISNUMBER(SEARCH(Classifiers!$G$12,E282)),1,0)))&gt;0,1,0))</f>
        <v/>
      </c>
      <c r="R282" s="12">
        <f>IF(H282&lt;&gt;1,0,IF((IF(Classifiers!$B$13="",0,IF(ISNUMBER(SEARCH(Classifiers!$B$13,E282)),1,0))+IF(Classifiers!$C$13="",0,IF(ISNUMBER(SEARCH(Classifiers!$C$13,E282)),1,0))+IF(Classifiers!$D$13="",0,IF(ISNUMBER(SEARCH(Classifiers!$D$13,E282)),1,0))+IF(Classifiers!$E$13="",0,IF(ISNUMBER(SEARCH(Classifiers!$E$13,E282)),1,0))+IF(Classifiers!$F$13="",0,IF(ISNUMBER(SEARCH(Classifiers!$F$13,E282)),1,0))+IF(Classifiers!$G$13="",0,IF(ISNUMBER(SEARCH(Classifiers!$G$13,E282)),1,0)))&gt;0,1,0))</f>
        <v/>
      </c>
      <c r="S282" s="12">
        <f>IF(H282&lt;&gt;1,0,IF((IF(Classifiers!$B$14="",0,IF(ISNUMBER(SEARCH(Classifiers!$B$14,E282)),1,0))+IF(Classifiers!$C$14="",0,IF(ISNUMBER(SEARCH(Classifiers!$C$14,E282)),1,0))+IF(Classifiers!$D$14="",0,IF(ISNUMBER(SEARCH(Classifiers!$D$14,E282)),1,0))+IF(Classifiers!$E$14="",0,IF(ISNUMBER(SEARCH(Classifiers!$E$14,E282)),1,0))+IF(Classifiers!$F$14="",0,IF(ISNUMBER(SEARCH(Classifiers!$F$14,E282)),1,0))+IF(Classifiers!$G$14="",0,IF(ISNUMBER(SEARCH(Classifiers!$G$14,E282)),1,0)))&gt;0,1,0))</f>
        <v/>
      </c>
      <c r="T282" s="12">
        <f>IF(H282&lt;&gt;1,0,IF((IF(Classifiers!$B$15="",0,IF(ISNUMBER(SEARCH(Classifiers!$B$15,E282)),1,0))+IF(Classifiers!$C$15="",0,IF(ISNUMBER(SEARCH(Classifiers!$C$15,E282)),1,0))+IF(Classifiers!$D$15="",0,IF(ISNUMBER(SEARCH(Classifiers!$D$15,E282)),1,0))+IF(Classifiers!$E$15="",0,IF(ISNUMBER(SEARCH(Classifiers!$E$15,E282)),1,0))+IF(Classifiers!$F$15="",0,IF(ISNUMBER(SEARCH(Classifiers!$F$15,E282)),1,0))+IF(Classifiers!$G$15="",0,IF(ISNUMBER(SEARCH(Classifiers!$G$15,E282)),1,0)))&gt;0,1,0))</f>
        <v/>
      </c>
      <c r="U282" s="12">
        <f>IF(H282&lt;&gt;1,0,IF((IF(Classifiers!$B$16="",0,IF(ISNUMBER(SEARCH(Classifiers!$B$16,E282)),1,0))+IF(Classifiers!$C$16="",0,IF(ISNUMBER(SEARCH(Classifiers!$C$16,E282)),1,0))+IF(Classifiers!$D$16="",0,IF(ISNUMBER(SEARCH(Classifiers!$D$16,E282)),1,0))+IF(Classifiers!$E$16="",0,IF(ISNUMBER(SEARCH(Classifiers!$E$16,E282)),1,0))+IF(Classifiers!$F$16="",0,IF(ISNUMBER(SEARCH(Classifiers!$F$16,E282)),1,0))+IF(Classifiers!$G$16="",0,IF(ISNUMBER(SEARCH(Classifiers!$G$16,E282)),1,0)))&gt;0,1,0))</f>
        <v/>
      </c>
      <c r="V282" s="12">
        <f>IF(H282&lt;&gt;1,0,IF((IF(Classifiers!$B$17="",0,IF(ISNUMBER(SEARCH(Classifiers!$B$17,E282)),1,0))+IF(Classifiers!$C$17="",0,IF(ISNUMBER(SEARCH(Classifiers!$C$17,E282)),1,0))+IF(Classifiers!$D$17="",0,IF(ISNUMBER(SEARCH(Classifiers!$D$17,E282)),1,0))+IF(Classifiers!$E$17="",0,IF(ISNUMBER(SEARCH(Classifiers!$E$17,E282)),1,0))+IF(Classifiers!$F$17="",0,IF(ISNUMBER(SEARCH(Classifiers!$F$17,E282)),1,0))+IF(Classifiers!$G$17="",0,IF(ISNUMBER(SEARCH(Classifiers!$G$17,E282)),1,0)))&gt;0,1,0))</f>
        <v/>
      </c>
      <c r="W282" s="12">
        <f>IF(H282&lt;&gt;1,0,IF((IF(Classifiers!$B$18="",0,IF(ISNUMBER(SEARCH(Classifiers!$B$18,E282)),1,0))+IF(Classifiers!$C$18="",0,IF(ISNUMBER(SEARCH(Classifiers!$C$18,E282)),1,0))+IF(Classifiers!$D$18="",0,IF(ISNUMBER(SEARCH(Classifiers!$D$18,E282)),1,0))+IF(Classifiers!$E$18="",0,IF(ISNUMBER(SEARCH(Classifiers!$E$18,E282)),1,0))+IF(Classifiers!$F$18="",0,IF(ISNUMBER(SEARCH(Classifiers!$F$18,E282)),1,0))+IF(Classifiers!$G$18="",0,IF(ISNUMBER(SEARCH(Classifiers!$G$18,E282)),1,0)))&gt;0,1,0))</f>
        <v/>
      </c>
    </row>
    <row r="283">
      <c r="A283" s="8" t="n"/>
      <c r="B283" s="11" t="n"/>
      <c r="C283" s="6">
        <f>IF(A283="","",TRIM(RIGHT(SUBSTITUTE(A283,"/",REPT(" ",250)),250)))</f>
        <v/>
      </c>
      <c r="D283" s="6">
        <f>IF(C283="","",IF(ISNUMBER(SEARCH(".",C283)),LOWER("."&amp;TRIM(RIGHT(SUBSTITUTE(C283,".",REPT(" ",250)),250))),""))</f>
        <v/>
      </c>
      <c r="E283" s="6">
        <f>IF(C283="","",TRIM(SUBSTITUTE(SUBSTITUTE(SUBSTITUTE(SUBSTITUTE(SUBSTITUTE(SUBSTITUTE(SUBSTITUTE(SUBSTITUTE(SUBSTITUTE(SUBSTITUTE(SUBSTITUTE(SUBSTITUTE(SUBSTITUTE(SUBSTITUTE(SUBSTITUTE(SUBSTITUTE(SUBSTITUTE(SUBSTITUTE(SUBSTITUTE(SUBSTITUTE(LOWER(LEFT(C283,LEN(C283)-LEN(D283))),"_"," "),"-"," "),"."," "),","," "),"("," "),")"," "),"["," "),"]"," "),"&amp;"," "),"+"," "),"@"," "),"#"," "),"!"," "),"'"," "),"/"," "),":"," "),";"," "),"="," "),"~"," "),"%"," ")))</f>
        <v/>
      </c>
      <c r="F283" s="6">
        <f>IF(C283="","",IF(COUNTIF(Classifiers!$A$23:$A$40,D283)&gt;0,1,0))</f>
        <v/>
      </c>
      <c r="G283" s="6">
        <f>IF(C283="","",IF(COUNTIF(Classifiers!$C$23:$C$30,D283)&gt;0,IF((IF(ISNUMBER(SEARCH(Classifiers!$E$23,E283)),1,0)+IF(ISNUMBER(SEARCH(Classifiers!$E$24,E283)),1,0)+IF(ISNUMBER(SEARCH(Classifiers!$E$25,E283)),1,0)+IF(ISNUMBER(SEARCH(Classifiers!$E$26,E283)),1,0)+IF(ISNUMBER(SEARCH(Classifiers!$E$27,E283)),1,0)+IF(ISNUMBER(SEARCH(Classifiers!$E$28,E283)),1,0)+IF(ISNUMBER(SEARCH(Classifiers!$E$29,E283)),1,0)+IF(ISNUMBER(SEARCH(Classifiers!$E$30,E283)),1,0))&gt;0,1,0),0))</f>
        <v/>
      </c>
      <c r="H283" s="6">
        <f>IF(C283="","",IF(OR(LEFT(C283,1)=".",AND(F283=0,G283=0)),0,1))</f>
        <v/>
      </c>
      <c r="I283" s="6">
        <f>IF(H283&lt;&gt;1,"",IF(SUM(J283:W283)=0,"unclassified",INDEX(Classifiers!$A$5:$A$18,MATCH(1,J283:W283,0),1)))</f>
        <v/>
      </c>
      <c r="J283" s="12">
        <f>IF(H283&lt;&gt;1,0,IF((IF(Classifiers!$B$5="",0,IF(ISNUMBER(SEARCH(Classifiers!$B$5,E283)),1,0))+IF(Classifiers!$C$5="",0,IF(ISNUMBER(SEARCH(Classifiers!$C$5,E283)),1,0))+IF(Classifiers!$D$5="",0,IF(ISNUMBER(SEARCH(Classifiers!$D$5,E283)),1,0))+IF(Classifiers!$E$5="",0,IF(ISNUMBER(SEARCH(Classifiers!$E$5,E283)),1,0))+IF(Classifiers!$F$5="",0,IF(ISNUMBER(SEARCH(Classifiers!$F$5,E283)),1,0))+IF(Classifiers!$G$5="",0,IF(ISNUMBER(SEARCH(Classifiers!$G$5,E283)),1,0)))&gt;0,1,0))</f>
        <v/>
      </c>
      <c r="K283" s="12">
        <f>IF(H283&lt;&gt;1,0,IF((IF(Classifiers!$B$6="",0,IF(ISNUMBER(SEARCH(Classifiers!$B$6,E283)),1,0))+IF(Classifiers!$C$6="",0,IF(ISNUMBER(SEARCH(Classifiers!$C$6,E283)),1,0))+IF(Classifiers!$D$6="",0,IF(ISNUMBER(SEARCH(Classifiers!$D$6,E283)),1,0))+IF(Classifiers!$E$6="",0,IF(ISNUMBER(SEARCH(Classifiers!$E$6,E283)),1,0))+IF(Classifiers!$F$6="",0,IF(ISNUMBER(SEARCH(Classifiers!$F$6,E283)),1,0))+IF(Classifiers!$G$6="",0,IF(ISNUMBER(SEARCH(Classifiers!$G$6,E283)),1,0)))&gt;0,1,0))</f>
        <v/>
      </c>
      <c r="L283" s="12">
        <f>IF(H283&lt;&gt;1,0,IF((IF(Classifiers!$B$7="",0,IF(ISNUMBER(SEARCH(Classifiers!$B$7,E283)),1,0))+IF(Classifiers!$C$7="",0,IF(ISNUMBER(SEARCH(Classifiers!$C$7,E283)),1,0))+IF(Classifiers!$D$7="",0,IF(ISNUMBER(SEARCH(Classifiers!$D$7,E283)),1,0))+IF(Classifiers!$E$7="",0,IF(ISNUMBER(SEARCH(Classifiers!$E$7,E283)),1,0))+IF(Classifiers!$F$7="",0,IF(ISNUMBER(SEARCH(Classifiers!$F$7,E283)),1,0))+IF(Classifiers!$G$7="",0,IF(ISNUMBER(SEARCH(Classifiers!$G$7,E283)),1,0)))&gt;0,1,0))</f>
        <v/>
      </c>
      <c r="M283" s="12">
        <f>IF(H283&lt;&gt;1,0,IF((IF(Classifiers!$B$8="",0,IF(ISNUMBER(SEARCH(Classifiers!$B$8,E283)),1,0))+IF(Classifiers!$C$8="",0,IF(ISNUMBER(SEARCH(Classifiers!$C$8,E283)),1,0))+IF(Classifiers!$D$8="",0,IF(ISNUMBER(SEARCH(Classifiers!$D$8,E283)),1,0))+IF(Classifiers!$E$8="",0,IF(ISNUMBER(SEARCH(Classifiers!$E$8,E283)),1,0))+IF(Classifiers!$F$8="",0,IF(ISNUMBER(SEARCH(Classifiers!$F$8,E283)),1,0))+IF(Classifiers!$G$8="",0,IF(ISNUMBER(SEARCH(Classifiers!$G$8,E283)),1,0)))&gt;0,1,0))</f>
        <v/>
      </c>
      <c r="N283" s="12">
        <f>IF(H283&lt;&gt;1,0,IF((IF(Classifiers!$B$9="",0,IF(ISNUMBER(SEARCH(Classifiers!$B$9,E283)),1,0))+IF(Classifiers!$C$9="",0,IF(ISNUMBER(SEARCH(Classifiers!$C$9,E283)),1,0))+IF(Classifiers!$D$9="",0,IF(ISNUMBER(SEARCH(Classifiers!$D$9,E283)),1,0))+IF(Classifiers!$E$9="",0,IF(ISNUMBER(SEARCH(Classifiers!$E$9,E283)),1,0))+IF(Classifiers!$F$9="",0,IF(ISNUMBER(SEARCH(Classifiers!$F$9,E283)),1,0))+IF(Classifiers!$G$9="",0,IF(ISNUMBER(SEARCH(Classifiers!$G$9,E283)),1,0)))&gt;0,1,0))</f>
        <v/>
      </c>
      <c r="O283" s="12">
        <f>IF(H283&lt;&gt;1,0,IF((IF(Classifiers!$B$10="",0,IF(ISNUMBER(SEARCH(Classifiers!$B$10,E283)),1,0))+IF(Classifiers!$C$10="",0,IF(ISNUMBER(SEARCH(Classifiers!$C$10,E283)),1,0))+IF(Classifiers!$D$10="",0,IF(ISNUMBER(SEARCH(Classifiers!$D$10,E283)),1,0))+IF(Classifiers!$E$10="",0,IF(ISNUMBER(SEARCH(Classifiers!$E$10,E283)),1,0))+IF(Classifiers!$F$10="",0,IF(ISNUMBER(SEARCH(Classifiers!$F$10,E283)),1,0))+IF(Classifiers!$G$10="",0,IF(ISNUMBER(SEARCH(Classifiers!$G$10,E283)),1,0)))&gt;0,1,0))</f>
        <v/>
      </c>
      <c r="P283" s="12">
        <f>IF(H283&lt;&gt;1,0,IF((IF(Classifiers!$B$11="",0,IF(ISNUMBER(SEARCH(Classifiers!$B$11,E283)),1,0))+IF(Classifiers!$C$11="",0,IF(ISNUMBER(SEARCH(Classifiers!$C$11,E283)),1,0))+IF(Classifiers!$D$11="",0,IF(ISNUMBER(SEARCH(Classifiers!$D$11,E283)),1,0))+IF(Classifiers!$E$11="",0,IF(ISNUMBER(SEARCH(Classifiers!$E$11,E283)),1,0))+IF(Classifiers!$F$11="",0,IF(ISNUMBER(SEARCH(Classifiers!$F$11,E283)),1,0))+IF(Classifiers!$G$11="",0,IF(ISNUMBER(SEARCH(Classifiers!$G$11,E283)),1,0)))&gt;0,1,0))</f>
        <v/>
      </c>
      <c r="Q283" s="12">
        <f>IF(H283&lt;&gt;1,0,IF((IF(Classifiers!$B$12="",0,IF(ISNUMBER(SEARCH(Classifiers!$B$12,E283)),1,0))+IF(Classifiers!$C$12="",0,IF(ISNUMBER(SEARCH(Classifiers!$C$12,E283)),1,0))+IF(Classifiers!$D$12="",0,IF(ISNUMBER(SEARCH(Classifiers!$D$12,E283)),1,0))+IF(Classifiers!$E$12="",0,IF(ISNUMBER(SEARCH(Classifiers!$E$12,E283)),1,0))+IF(Classifiers!$F$12="",0,IF(ISNUMBER(SEARCH(Classifiers!$F$12,E283)),1,0))+IF(Classifiers!$G$12="",0,IF(ISNUMBER(SEARCH(Classifiers!$G$12,E283)),1,0)))&gt;0,1,0))</f>
        <v/>
      </c>
      <c r="R283" s="12">
        <f>IF(H283&lt;&gt;1,0,IF((IF(Classifiers!$B$13="",0,IF(ISNUMBER(SEARCH(Classifiers!$B$13,E283)),1,0))+IF(Classifiers!$C$13="",0,IF(ISNUMBER(SEARCH(Classifiers!$C$13,E283)),1,0))+IF(Classifiers!$D$13="",0,IF(ISNUMBER(SEARCH(Classifiers!$D$13,E283)),1,0))+IF(Classifiers!$E$13="",0,IF(ISNUMBER(SEARCH(Classifiers!$E$13,E283)),1,0))+IF(Classifiers!$F$13="",0,IF(ISNUMBER(SEARCH(Classifiers!$F$13,E283)),1,0))+IF(Classifiers!$G$13="",0,IF(ISNUMBER(SEARCH(Classifiers!$G$13,E283)),1,0)))&gt;0,1,0))</f>
        <v/>
      </c>
      <c r="S283" s="12">
        <f>IF(H283&lt;&gt;1,0,IF((IF(Classifiers!$B$14="",0,IF(ISNUMBER(SEARCH(Classifiers!$B$14,E283)),1,0))+IF(Classifiers!$C$14="",0,IF(ISNUMBER(SEARCH(Classifiers!$C$14,E283)),1,0))+IF(Classifiers!$D$14="",0,IF(ISNUMBER(SEARCH(Classifiers!$D$14,E283)),1,0))+IF(Classifiers!$E$14="",0,IF(ISNUMBER(SEARCH(Classifiers!$E$14,E283)),1,0))+IF(Classifiers!$F$14="",0,IF(ISNUMBER(SEARCH(Classifiers!$F$14,E283)),1,0))+IF(Classifiers!$G$14="",0,IF(ISNUMBER(SEARCH(Classifiers!$G$14,E283)),1,0)))&gt;0,1,0))</f>
        <v/>
      </c>
      <c r="T283" s="12">
        <f>IF(H283&lt;&gt;1,0,IF((IF(Classifiers!$B$15="",0,IF(ISNUMBER(SEARCH(Classifiers!$B$15,E283)),1,0))+IF(Classifiers!$C$15="",0,IF(ISNUMBER(SEARCH(Classifiers!$C$15,E283)),1,0))+IF(Classifiers!$D$15="",0,IF(ISNUMBER(SEARCH(Classifiers!$D$15,E283)),1,0))+IF(Classifiers!$E$15="",0,IF(ISNUMBER(SEARCH(Classifiers!$E$15,E283)),1,0))+IF(Classifiers!$F$15="",0,IF(ISNUMBER(SEARCH(Classifiers!$F$15,E283)),1,0))+IF(Classifiers!$G$15="",0,IF(ISNUMBER(SEARCH(Classifiers!$G$15,E283)),1,0)))&gt;0,1,0))</f>
        <v/>
      </c>
      <c r="U283" s="12">
        <f>IF(H283&lt;&gt;1,0,IF((IF(Classifiers!$B$16="",0,IF(ISNUMBER(SEARCH(Classifiers!$B$16,E283)),1,0))+IF(Classifiers!$C$16="",0,IF(ISNUMBER(SEARCH(Classifiers!$C$16,E283)),1,0))+IF(Classifiers!$D$16="",0,IF(ISNUMBER(SEARCH(Classifiers!$D$16,E283)),1,0))+IF(Classifiers!$E$16="",0,IF(ISNUMBER(SEARCH(Classifiers!$E$16,E283)),1,0))+IF(Classifiers!$F$16="",0,IF(ISNUMBER(SEARCH(Classifiers!$F$16,E283)),1,0))+IF(Classifiers!$G$16="",0,IF(ISNUMBER(SEARCH(Classifiers!$G$16,E283)),1,0)))&gt;0,1,0))</f>
        <v/>
      </c>
      <c r="V283" s="12">
        <f>IF(H283&lt;&gt;1,0,IF((IF(Classifiers!$B$17="",0,IF(ISNUMBER(SEARCH(Classifiers!$B$17,E283)),1,0))+IF(Classifiers!$C$17="",0,IF(ISNUMBER(SEARCH(Classifiers!$C$17,E283)),1,0))+IF(Classifiers!$D$17="",0,IF(ISNUMBER(SEARCH(Classifiers!$D$17,E283)),1,0))+IF(Classifiers!$E$17="",0,IF(ISNUMBER(SEARCH(Classifiers!$E$17,E283)),1,0))+IF(Classifiers!$F$17="",0,IF(ISNUMBER(SEARCH(Classifiers!$F$17,E283)),1,0))+IF(Classifiers!$G$17="",0,IF(ISNUMBER(SEARCH(Classifiers!$G$17,E283)),1,0)))&gt;0,1,0))</f>
        <v/>
      </c>
      <c r="W283" s="12">
        <f>IF(H283&lt;&gt;1,0,IF((IF(Classifiers!$B$18="",0,IF(ISNUMBER(SEARCH(Classifiers!$B$18,E283)),1,0))+IF(Classifiers!$C$18="",0,IF(ISNUMBER(SEARCH(Classifiers!$C$18,E283)),1,0))+IF(Classifiers!$D$18="",0,IF(ISNUMBER(SEARCH(Classifiers!$D$18,E283)),1,0))+IF(Classifiers!$E$18="",0,IF(ISNUMBER(SEARCH(Classifiers!$E$18,E283)),1,0))+IF(Classifiers!$F$18="",0,IF(ISNUMBER(SEARCH(Classifiers!$F$18,E283)),1,0))+IF(Classifiers!$G$18="",0,IF(ISNUMBER(SEARCH(Classifiers!$G$18,E283)),1,0)))&gt;0,1,0))</f>
        <v/>
      </c>
    </row>
    <row r="284">
      <c r="A284" s="8" t="n"/>
      <c r="B284" s="11" t="n"/>
      <c r="C284" s="6">
        <f>IF(A284="","",TRIM(RIGHT(SUBSTITUTE(A284,"/",REPT(" ",250)),250)))</f>
        <v/>
      </c>
      <c r="D284" s="6">
        <f>IF(C284="","",IF(ISNUMBER(SEARCH(".",C284)),LOWER("."&amp;TRIM(RIGHT(SUBSTITUTE(C284,".",REPT(" ",250)),250))),""))</f>
        <v/>
      </c>
      <c r="E284" s="6">
        <f>IF(C284="","",TRIM(SUBSTITUTE(SUBSTITUTE(SUBSTITUTE(SUBSTITUTE(SUBSTITUTE(SUBSTITUTE(SUBSTITUTE(SUBSTITUTE(SUBSTITUTE(SUBSTITUTE(SUBSTITUTE(SUBSTITUTE(SUBSTITUTE(SUBSTITUTE(SUBSTITUTE(SUBSTITUTE(SUBSTITUTE(SUBSTITUTE(SUBSTITUTE(SUBSTITUTE(LOWER(LEFT(C284,LEN(C284)-LEN(D284))),"_"," "),"-"," "),"."," "),","," "),"("," "),")"," "),"["," "),"]"," "),"&amp;"," "),"+"," "),"@"," "),"#"," "),"!"," "),"'"," "),"/"," "),":"," "),";"," "),"="," "),"~"," "),"%"," ")))</f>
        <v/>
      </c>
      <c r="F284" s="6">
        <f>IF(C284="","",IF(COUNTIF(Classifiers!$A$23:$A$40,D284)&gt;0,1,0))</f>
        <v/>
      </c>
      <c r="G284" s="6">
        <f>IF(C284="","",IF(COUNTIF(Classifiers!$C$23:$C$30,D284)&gt;0,IF((IF(ISNUMBER(SEARCH(Classifiers!$E$23,E284)),1,0)+IF(ISNUMBER(SEARCH(Classifiers!$E$24,E284)),1,0)+IF(ISNUMBER(SEARCH(Classifiers!$E$25,E284)),1,0)+IF(ISNUMBER(SEARCH(Classifiers!$E$26,E284)),1,0)+IF(ISNUMBER(SEARCH(Classifiers!$E$27,E284)),1,0)+IF(ISNUMBER(SEARCH(Classifiers!$E$28,E284)),1,0)+IF(ISNUMBER(SEARCH(Classifiers!$E$29,E284)),1,0)+IF(ISNUMBER(SEARCH(Classifiers!$E$30,E284)),1,0))&gt;0,1,0),0))</f>
        <v/>
      </c>
      <c r="H284" s="6">
        <f>IF(C284="","",IF(OR(LEFT(C284,1)=".",AND(F284=0,G284=0)),0,1))</f>
        <v/>
      </c>
      <c r="I284" s="6">
        <f>IF(H284&lt;&gt;1,"",IF(SUM(J284:W284)=0,"unclassified",INDEX(Classifiers!$A$5:$A$18,MATCH(1,J284:W284,0),1)))</f>
        <v/>
      </c>
      <c r="J284" s="12">
        <f>IF(H284&lt;&gt;1,0,IF((IF(Classifiers!$B$5="",0,IF(ISNUMBER(SEARCH(Classifiers!$B$5,E284)),1,0))+IF(Classifiers!$C$5="",0,IF(ISNUMBER(SEARCH(Classifiers!$C$5,E284)),1,0))+IF(Classifiers!$D$5="",0,IF(ISNUMBER(SEARCH(Classifiers!$D$5,E284)),1,0))+IF(Classifiers!$E$5="",0,IF(ISNUMBER(SEARCH(Classifiers!$E$5,E284)),1,0))+IF(Classifiers!$F$5="",0,IF(ISNUMBER(SEARCH(Classifiers!$F$5,E284)),1,0))+IF(Classifiers!$G$5="",0,IF(ISNUMBER(SEARCH(Classifiers!$G$5,E284)),1,0)))&gt;0,1,0))</f>
        <v/>
      </c>
      <c r="K284" s="12">
        <f>IF(H284&lt;&gt;1,0,IF((IF(Classifiers!$B$6="",0,IF(ISNUMBER(SEARCH(Classifiers!$B$6,E284)),1,0))+IF(Classifiers!$C$6="",0,IF(ISNUMBER(SEARCH(Classifiers!$C$6,E284)),1,0))+IF(Classifiers!$D$6="",0,IF(ISNUMBER(SEARCH(Classifiers!$D$6,E284)),1,0))+IF(Classifiers!$E$6="",0,IF(ISNUMBER(SEARCH(Classifiers!$E$6,E284)),1,0))+IF(Classifiers!$F$6="",0,IF(ISNUMBER(SEARCH(Classifiers!$F$6,E284)),1,0))+IF(Classifiers!$G$6="",0,IF(ISNUMBER(SEARCH(Classifiers!$G$6,E284)),1,0)))&gt;0,1,0))</f>
        <v/>
      </c>
      <c r="L284" s="12">
        <f>IF(H284&lt;&gt;1,0,IF((IF(Classifiers!$B$7="",0,IF(ISNUMBER(SEARCH(Classifiers!$B$7,E284)),1,0))+IF(Classifiers!$C$7="",0,IF(ISNUMBER(SEARCH(Classifiers!$C$7,E284)),1,0))+IF(Classifiers!$D$7="",0,IF(ISNUMBER(SEARCH(Classifiers!$D$7,E284)),1,0))+IF(Classifiers!$E$7="",0,IF(ISNUMBER(SEARCH(Classifiers!$E$7,E284)),1,0))+IF(Classifiers!$F$7="",0,IF(ISNUMBER(SEARCH(Classifiers!$F$7,E284)),1,0))+IF(Classifiers!$G$7="",0,IF(ISNUMBER(SEARCH(Classifiers!$G$7,E284)),1,0)))&gt;0,1,0))</f>
        <v/>
      </c>
      <c r="M284" s="12">
        <f>IF(H284&lt;&gt;1,0,IF((IF(Classifiers!$B$8="",0,IF(ISNUMBER(SEARCH(Classifiers!$B$8,E284)),1,0))+IF(Classifiers!$C$8="",0,IF(ISNUMBER(SEARCH(Classifiers!$C$8,E284)),1,0))+IF(Classifiers!$D$8="",0,IF(ISNUMBER(SEARCH(Classifiers!$D$8,E284)),1,0))+IF(Classifiers!$E$8="",0,IF(ISNUMBER(SEARCH(Classifiers!$E$8,E284)),1,0))+IF(Classifiers!$F$8="",0,IF(ISNUMBER(SEARCH(Classifiers!$F$8,E284)),1,0))+IF(Classifiers!$G$8="",0,IF(ISNUMBER(SEARCH(Classifiers!$G$8,E284)),1,0)))&gt;0,1,0))</f>
        <v/>
      </c>
      <c r="N284" s="12">
        <f>IF(H284&lt;&gt;1,0,IF((IF(Classifiers!$B$9="",0,IF(ISNUMBER(SEARCH(Classifiers!$B$9,E284)),1,0))+IF(Classifiers!$C$9="",0,IF(ISNUMBER(SEARCH(Classifiers!$C$9,E284)),1,0))+IF(Classifiers!$D$9="",0,IF(ISNUMBER(SEARCH(Classifiers!$D$9,E284)),1,0))+IF(Classifiers!$E$9="",0,IF(ISNUMBER(SEARCH(Classifiers!$E$9,E284)),1,0))+IF(Classifiers!$F$9="",0,IF(ISNUMBER(SEARCH(Classifiers!$F$9,E284)),1,0))+IF(Classifiers!$G$9="",0,IF(ISNUMBER(SEARCH(Classifiers!$G$9,E284)),1,0)))&gt;0,1,0))</f>
        <v/>
      </c>
      <c r="O284" s="12">
        <f>IF(H284&lt;&gt;1,0,IF((IF(Classifiers!$B$10="",0,IF(ISNUMBER(SEARCH(Classifiers!$B$10,E284)),1,0))+IF(Classifiers!$C$10="",0,IF(ISNUMBER(SEARCH(Classifiers!$C$10,E284)),1,0))+IF(Classifiers!$D$10="",0,IF(ISNUMBER(SEARCH(Classifiers!$D$10,E284)),1,0))+IF(Classifiers!$E$10="",0,IF(ISNUMBER(SEARCH(Classifiers!$E$10,E284)),1,0))+IF(Classifiers!$F$10="",0,IF(ISNUMBER(SEARCH(Classifiers!$F$10,E284)),1,0))+IF(Classifiers!$G$10="",0,IF(ISNUMBER(SEARCH(Classifiers!$G$10,E284)),1,0)))&gt;0,1,0))</f>
        <v/>
      </c>
      <c r="P284" s="12">
        <f>IF(H284&lt;&gt;1,0,IF((IF(Classifiers!$B$11="",0,IF(ISNUMBER(SEARCH(Classifiers!$B$11,E284)),1,0))+IF(Classifiers!$C$11="",0,IF(ISNUMBER(SEARCH(Classifiers!$C$11,E284)),1,0))+IF(Classifiers!$D$11="",0,IF(ISNUMBER(SEARCH(Classifiers!$D$11,E284)),1,0))+IF(Classifiers!$E$11="",0,IF(ISNUMBER(SEARCH(Classifiers!$E$11,E284)),1,0))+IF(Classifiers!$F$11="",0,IF(ISNUMBER(SEARCH(Classifiers!$F$11,E284)),1,0))+IF(Classifiers!$G$11="",0,IF(ISNUMBER(SEARCH(Classifiers!$G$11,E284)),1,0)))&gt;0,1,0))</f>
        <v/>
      </c>
      <c r="Q284" s="12">
        <f>IF(H284&lt;&gt;1,0,IF((IF(Classifiers!$B$12="",0,IF(ISNUMBER(SEARCH(Classifiers!$B$12,E284)),1,0))+IF(Classifiers!$C$12="",0,IF(ISNUMBER(SEARCH(Classifiers!$C$12,E284)),1,0))+IF(Classifiers!$D$12="",0,IF(ISNUMBER(SEARCH(Classifiers!$D$12,E284)),1,0))+IF(Classifiers!$E$12="",0,IF(ISNUMBER(SEARCH(Classifiers!$E$12,E284)),1,0))+IF(Classifiers!$F$12="",0,IF(ISNUMBER(SEARCH(Classifiers!$F$12,E284)),1,0))+IF(Classifiers!$G$12="",0,IF(ISNUMBER(SEARCH(Classifiers!$G$12,E284)),1,0)))&gt;0,1,0))</f>
        <v/>
      </c>
      <c r="R284" s="12">
        <f>IF(H284&lt;&gt;1,0,IF((IF(Classifiers!$B$13="",0,IF(ISNUMBER(SEARCH(Classifiers!$B$13,E284)),1,0))+IF(Classifiers!$C$13="",0,IF(ISNUMBER(SEARCH(Classifiers!$C$13,E284)),1,0))+IF(Classifiers!$D$13="",0,IF(ISNUMBER(SEARCH(Classifiers!$D$13,E284)),1,0))+IF(Classifiers!$E$13="",0,IF(ISNUMBER(SEARCH(Classifiers!$E$13,E284)),1,0))+IF(Classifiers!$F$13="",0,IF(ISNUMBER(SEARCH(Classifiers!$F$13,E284)),1,0))+IF(Classifiers!$G$13="",0,IF(ISNUMBER(SEARCH(Classifiers!$G$13,E284)),1,0)))&gt;0,1,0))</f>
        <v/>
      </c>
      <c r="S284" s="12">
        <f>IF(H284&lt;&gt;1,0,IF((IF(Classifiers!$B$14="",0,IF(ISNUMBER(SEARCH(Classifiers!$B$14,E284)),1,0))+IF(Classifiers!$C$14="",0,IF(ISNUMBER(SEARCH(Classifiers!$C$14,E284)),1,0))+IF(Classifiers!$D$14="",0,IF(ISNUMBER(SEARCH(Classifiers!$D$14,E284)),1,0))+IF(Classifiers!$E$14="",0,IF(ISNUMBER(SEARCH(Classifiers!$E$14,E284)),1,0))+IF(Classifiers!$F$14="",0,IF(ISNUMBER(SEARCH(Classifiers!$F$14,E284)),1,0))+IF(Classifiers!$G$14="",0,IF(ISNUMBER(SEARCH(Classifiers!$G$14,E284)),1,0)))&gt;0,1,0))</f>
        <v/>
      </c>
      <c r="T284" s="12">
        <f>IF(H284&lt;&gt;1,0,IF((IF(Classifiers!$B$15="",0,IF(ISNUMBER(SEARCH(Classifiers!$B$15,E284)),1,0))+IF(Classifiers!$C$15="",0,IF(ISNUMBER(SEARCH(Classifiers!$C$15,E284)),1,0))+IF(Classifiers!$D$15="",0,IF(ISNUMBER(SEARCH(Classifiers!$D$15,E284)),1,0))+IF(Classifiers!$E$15="",0,IF(ISNUMBER(SEARCH(Classifiers!$E$15,E284)),1,0))+IF(Classifiers!$F$15="",0,IF(ISNUMBER(SEARCH(Classifiers!$F$15,E284)),1,0))+IF(Classifiers!$G$15="",0,IF(ISNUMBER(SEARCH(Classifiers!$G$15,E284)),1,0)))&gt;0,1,0))</f>
        <v/>
      </c>
      <c r="U284" s="12">
        <f>IF(H284&lt;&gt;1,0,IF((IF(Classifiers!$B$16="",0,IF(ISNUMBER(SEARCH(Classifiers!$B$16,E284)),1,0))+IF(Classifiers!$C$16="",0,IF(ISNUMBER(SEARCH(Classifiers!$C$16,E284)),1,0))+IF(Classifiers!$D$16="",0,IF(ISNUMBER(SEARCH(Classifiers!$D$16,E284)),1,0))+IF(Classifiers!$E$16="",0,IF(ISNUMBER(SEARCH(Classifiers!$E$16,E284)),1,0))+IF(Classifiers!$F$16="",0,IF(ISNUMBER(SEARCH(Classifiers!$F$16,E284)),1,0))+IF(Classifiers!$G$16="",0,IF(ISNUMBER(SEARCH(Classifiers!$G$16,E284)),1,0)))&gt;0,1,0))</f>
        <v/>
      </c>
      <c r="V284" s="12">
        <f>IF(H284&lt;&gt;1,0,IF((IF(Classifiers!$B$17="",0,IF(ISNUMBER(SEARCH(Classifiers!$B$17,E284)),1,0))+IF(Classifiers!$C$17="",0,IF(ISNUMBER(SEARCH(Classifiers!$C$17,E284)),1,0))+IF(Classifiers!$D$17="",0,IF(ISNUMBER(SEARCH(Classifiers!$D$17,E284)),1,0))+IF(Classifiers!$E$17="",0,IF(ISNUMBER(SEARCH(Classifiers!$E$17,E284)),1,0))+IF(Classifiers!$F$17="",0,IF(ISNUMBER(SEARCH(Classifiers!$F$17,E284)),1,0))+IF(Classifiers!$G$17="",0,IF(ISNUMBER(SEARCH(Classifiers!$G$17,E284)),1,0)))&gt;0,1,0))</f>
        <v/>
      </c>
      <c r="W284" s="12">
        <f>IF(H284&lt;&gt;1,0,IF((IF(Classifiers!$B$18="",0,IF(ISNUMBER(SEARCH(Classifiers!$B$18,E284)),1,0))+IF(Classifiers!$C$18="",0,IF(ISNUMBER(SEARCH(Classifiers!$C$18,E284)),1,0))+IF(Classifiers!$D$18="",0,IF(ISNUMBER(SEARCH(Classifiers!$D$18,E284)),1,0))+IF(Classifiers!$E$18="",0,IF(ISNUMBER(SEARCH(Classifiers!$E$18,E284)),1,0))+IF(Classifiers!$F$18="",0,IF(ISNUMBER(SEARCH(Classifiers!$F$18,E284)),1,0))+IF(Classifiers!$G$18="",0,IF(ISNUMBER(SEARCH(Classifiers!$G$18,E284)),1,0)))&gt;0,1,0))</f>
        <v/>
      </c>
    </row>
    <row r="285">
      <c r="A285" s="8" t="n"/>
      <c r="B285" s="11" t="n"/>
      <c r="C285" s="6">
        <f>IF(A285="","",TRIM(RIGHT(SUBSTITUTE(A285,"/",REPT(" ",250)),250)))</f>
        <v/>
      </c>
      <c r="D285" s="6">
        <f>IF(C285="","",IF(ISNUMBER(SEARCH(".",C285)),LOWER("."&amp;TRIM(RIGHT(SUBSTITUTE(C285,".",REPT(" ",250)),250))),""))</f>
        <v/>
      </c>
      <c r="E285" s="6">
        <f>IF(C285="","",TRIM(SUBSTITUTE(SUBSTITUTE(SUBSTITUTE(SUBSTITUTE(SUBSTITUTE(SUBSTITUTE(SUBSTITUTE(SUBSTITUTE(SUBSTITUTE(SUBSTITUTE(SUBSTITUTE(SUBSTITUTE(SUBSTITUTE(SUBSTITUTE(SUBSTITUTE(SUBSTITUTE(SUBSTITUTE(SUBSTITUTE(SUBSTITUTE(SUBSTITUTE(LOWER(LEFT(C285,LEN(C285)-LEN(D285))),"_"," "),"-"," "),"."," "),","," "),"("," "),")"," "),"["," "),"]"," "),"&amp;"," "),"+"," "),"@"," "),"#"," "),"!"," "),"'"," "),"/"," "),":"," "),";"," "),"="," "),"~"," "),"%"," ")))</f>
        <v/>
      </c>
      <c r="F285" s="6">
        <f>IF(C285="","",IF(COUNTIF(Classifiers!$A$23:$A$40,D285)&gt;0,1,0))</f>
        <v/>
      </c>
      <c r="G285" s="6">
        <f>IF(C285="","",IF(COUNTIF(Classifiers!$C$23:$C$30,D285)&gt;0,IF((IF(ISNUMBER(SEARCH(Classifiers!$E$23,E285)),1,0)+IF(ISNUMBER(SEARCH(Classifiers!$E$24,E285)),1,0)+IF(ISNUMBER(SEARCH(Classifiers!$E$25,E285)),1,0)+IF(ISNUMBER(SEARCH(Classifiers!$E$26,E285)),1,0)+IF(ISNUMBER(SEARCH(Classifiers!$E$27,E285)),1,0)+IF(ISNUMBER(SEARCH(Classifiers!$E$28,E285)),1,0)+IF(ISNUMBER(SEARCH(Classifiers!$E$29,E285)),1,0)+IF(ISNUMBER(SEARCH(Classifiers!$E$30,E285)),1,0))&gt;0,1,0),0))</f>
        <v/>
      </c>
      <c r="H285" s="6">
        <f>IF(C285="","",IF(OR(LEFT(C285,1)=".",AND(F285=0,G285=0)),0,1))</f>
        <v/>
      </c>
      <c r="I285" s="6">
        <f>IF(H285&lt;&gt;1,"",IF(SUM(J285:W285)=0,"unclassified",INDEX(Classifiers!$A$5:$A$18,MATCH(1,J285:W285,0),1)))</f>
        <v/>
      </c>
      <c r="J285" s="12">
        <f>IF(H285&lt;&gt;1,0,IF((IF(Classifiers!$B$5="",0,IF(ISNUMBER(SEARCH(Classifiers!$B$5,E285)),1,0))+IF(Classifiers!$C$5="",0,IF(ISNUMBER(SEARCH(Classifiers!$C$5,E285)),1,0))+IF(Classifiers!$D$5="",0,IF(ISNUMBER(SEARCH(Classifiers!$D$5,E285)),1,0))+IF(Classifiers!$E$5="",0,IF(ISNUMBER(SEARCH(Classifiers!$E$5,E285)),1,0))+IF(Classifiers!$F$5="",0,IF(ISNUMBER(SEARCH(Classifiers!$F$5,E285)),1,0))+IF(Classifiers!$G$5="",0,IF(ISNUMBER(SEARCH(Classifiers!$G$5,E285)),1,0)))&gt;0,1,0))</f>
        <v/>
      </c>
      <c r="K285" s="12">
        <f>IF(H285&lt;&gt;1,0,IF((IF(Classifiers!$B$6="",0,IF(ISNUMBER(SEARCH(Classifiers!$B$6,E285)),1,0))+IF(Classifiers!$C$6="",0,IF(ISNUMBER(SEARCH(Classifiers!$C$6,E285)),1,0))+IF(Classifiers!$D$6="",0,IF(ISNUMBER(SEARCH(Classifiers!$D$6,E285)),1,0))+IF(Classifiers!$E$6="",0,IF(ISNUMBER(SEARCH(Classifiers!$E$6,E285)),1,0))+IF(Classifiers!$F$6="",0,IF(ISNUMBER(SEARCH(Classifiers!$F$6,E285)),1,0))+IF(Classifiers!$G$6="",0,IF(ISNUMBER(SEARCH(Classifiers!$G$6,E285)),1,0)))&gt;0,1,0))</f>
        <v/>
      </c>
      <c r="L285" s="12">
        <f>IF(H285&lt;&gt;1,0,IF((IF(Classifiers!$B$7="",0,IF(ISNUMBER(SEARCH(Classifiers!$B$7,E285)),1,0))+IF(Classifiers!$C$7="",0,IF(ISNUMBER(SEARCH(Classifiers!$C$7,E285)),1,0))+IF(Classifiers!$D$7="",0,IF(ISNUMBER(SEARCH(Classifiers!$D$7,E285)),1,0))+IF(Classifiers!$E$7="",0,IF(ISNUMBER(SEARCH(Classifiers!$E$7,E285)),1,0))+IF(Classifiers!$F$7="",0,IF(ISNUMBER(SEARCH(Classifiers!$F$7,E285)),1,0))+IF(Classifiers!$G$7="",0,IF(ISNUMBER(SEARCH(Classifiers!$G$7,E285)),1,0)))&gt;0,1,0))</f>
        <v/>
      </c>
      <c r="M285" s="12">
        <f>IF(H285&lt;&gt;1,0,IF((IF(Classifiers!$B$8="",0,IF(ISNUMBER(SEARCH(Classifiers!$B$8,E285)),1,0))+IF(Classifiers!$C$8="",0,IF(ISNUMBER(SEARCH(Classifiers!$C$8,E285)),1,0))+IF(Classifiers!$D$8="",0,IF(ISNUMBER(SEARCH(Classifiers!$D$8,E285)),1,0))+IF(Classifiers!$E$8="",0,IF(ISNUMBER(SEARCH(Classifiers!$E$8,E285)),1,0))+IF(Classifiers!$F$8="",0,IF(ISNUMBER(SEARCH(Classifiers!$F$8,E285)),1,0))+IF(Classifiers!$G$8="",0,IF(ISNUMBER(SEARCH(Classifiers!$G$8,E285)),1,0)))&gt;0,1,0))</f>
        <v/>
      </c>
      <c r="N285" s="12">
        <f>IF(H285&lt;&gt;1,0,IF((IF(Classifiers!$B$9="",0,IF(ISNUMBER(SEARCH(Classifiers!$B$9,E285)),1,0))+IF(Classifiers!$C$9="",0,IF(ISNUMBER(SEARCH(Classifiers!$C$9,E285)),1,0))+IF(Classifiers!$D$9="",0,IF(ISNUMBER(SEARCH(Classifiers!$D$9,E285)),1,0))+IF(Classifiers!$E$9="",0,IF(ISNUMBER(SEARCH(Classifiers!$E$9,E285)),1,0))+IF(Classifiers!$F$9="",0,IF(ISNUMBER(SEARCH(Classifiers!$F$9,E285)),1,0))+IF(Classifiers!$G$9="",0,IF(ISNUMBER(SEARCH(Classifiers!$G$9,E285)),1,0)))&gt;0,1,0))</f>
        <v/>
      </c>
      <c r="O285" s="12">
        <f>IF(H285&lt;&gt;1,0,IF((IF(Classifiers!$B$10="",0,IF(ISNUMBER(SEARCH(Classifiers!$B$10,E285)),1,0))+IF(Classifiers!$C$10="",0,IF(ISNUMBER(SEARCH(Classifiers!$C$10,E285)),1,0))+IF(Classifiers!$D$10="",0,IF(ISNUMBER(SEARCH(Classifiers!$D$10,E285)),1,0))+IF(Classifiers!$E$10="",0,IF(ISNUMBER(SEARCH(Classifiers!$E$10,E285)),1,0))+IF(Classifiers!$F$10="",0,IF(ISNUMBER(SEARCH(Classifiers!$F$10,E285)),1,0))+IF(Classifiers!$G$10="",0,IF(ISNUMBER(SEARCH(Classifiers!$G$10,E285)),1,0)))&gt;0,1,0))</f>
        <v/>
      </c>
      <c r="P285" s="12">
        <f>IF(H285&lt;&gt;1,0,IF((IF(Classifiers!$B$11="",0,IF(ISNUMBER(SEARCH(Classifiers!$B$11,E285)),1,0))+IF(Classifiers!$C$11="",0,IF(ISNUMBER(SEARCH(Classifiers!$C$11,E285)),1,0))+IF(Classifiers!$D$11="",0,IF(ISNUMBER(SEARCH(Classifiers!$D$11,E285)),1,0))+IF(Classifiers!$E$11="",0,IF(ISNUMBER(SEARCH(Classifiers!$E$11,E285)),1,0))+IF(Classifiers!$F$11="",0,IF(ISNUMBER(SEARCH(Classifiers!$F$11,E285)),1,0))+IF(Classifiers!$G$11="",0,IF(ISNUMBER(SEARCH(Classifiers!$G$11,E285)),1,0)))&gt;0,1,0))</f>
        <v/>
      </c>
      <c r="Q285" s="12">
        <f>IF(H285&lt;&gt;1,0,IF((IF(Classifiers!$B$12="",0,IF(ISNUMBER(SEARCH(Classifiers!$B$12,E285)),1,0))+IF(Classifiers!$C$12="",0,IF(ISNUMBER(SEARCH(Classifiers!$C$12,E285)),1,0))+IF(Classifiers!$D$12="",0,IF(ISNUMBER(SEARCH(Classifiers!$D$12,E285)),1,0))+IF(Classifiers!$E$12="",0,IF(ISNUMBER(SEARCH(Classifiers!$E$12,E285)),1,0))+IF(Classifiers!$F$12="",0,IF(ISNUMBER(SEARCH(Classifiers!$F$12,E285)),1,0))+IF(Classifiers!$G$12="",0,IF(ISNUMBER(SEARCH(Classifiers!$G$12,E285)),1,0)))&gt;0,1,0))</f>
        <v/>
      </c>
      <c r="R285" s="12">
        <f>IF(H285&lt;&gt;1,0,IF((IF(Classifiers!$B$13="",0,IF(ISNUMBER(SEARCH(Classifiers!$B$13,E285)),1,0))+IF(Classifiers!$C$13="",0,IF(ISNUMBER(SEARCH(Classifiers!$C$13,E285)),1,0))+IF(Classifiers!$D$13="",0,IF(ISNUMBER(SEARCH(Classifiers!$D$13,E285)),1,0))+IF(Classifiers!$E$13="",0,IF(ISNUMBER(SEARCH(Classifiers!$E$13,E285)),1,0))+IF(Classifiers!$F$13="",0,IF(ISNUMBER(SEARCH(Classifiers!$F$13,E285)),1,0))+IF(Classifiers!$G$13="",0,IF(ISNUMBER(SEARCH(Classifiers!$G$13,E285)),1,0)))&gt;0,1,0))</f>
        <v/>
      </c>
      <c r="S285" s="12">
        <f>IF(H285&lt;&gt;1,0,IF((IF(Classifiers!$B$14="",0,IF(ISNUMBER(SEARCH(Classifiers!$B$14,E285)),1,0))+IF(Classifiers!$C$14="",0,IF(ISNUMBER(SEARCH(Classifiers!$C$14,E285)),1,0))+IF(Classifiers!$D$14="",0,IF(ISNUMBER(SEARCH(Classifiers!$D$14,E285)),1,0))+IF(Classifiers!$E$14="",0,IF(ISNUMBER(SEARCH(Classifiers!$E$14,E285)),1,0))+IF(Classifiers!$F$14="",0,IF(ISNUMBER(SEARCH(Classifiers!$F$14,E285)),1,0))+IF(Classifiers!$G$14="",0,IF(ISNUMBER(SEARCH(Classifiers!$G$14,E285)),1,0)))&gt;0,1,0))</f>
        <v/>
      </c>
      <c r="T285" s="12">
        <f>IF(H285&lt;&gt;1,0,IF((IF(Classifiers!$B$15="",0,IF(ISNUMBER(SEARCH(Classifiers!$B$15,E285)),1,0))+IF(Classifiers!$C$15="",0,IF(ISNUMBER(SEARCH(Classifiers!$C$15,E285)),1,0))+IF(Classifiers!$D$15="",0,IF(ISNUMBER(SEARCH(Classifiers!$D$15,E285)),1,0))+IF(Classifiers!$E$15="",0,IF(ISNUMBER(SEARCH(Classifiers!$E$15,E285)),1,0))+IF(Classifiers!$F$15="",0,IF(ISNUMBER(SEARCH(Classifiers!$F$15,E285)),1,0))+IF(Classifiers!$G$15="",0,IF(ISNUMBER(SEARCH(Classifiers!$G$15,E285)),1,0)))&gt;0,1,0))</f>
        <v/>
      </c>
      <c r="U285" s="12">
        <f>IF(H285&lt;&gt;1,0,IF((IF(Classifiers!$B$16="",0,IF(ISNUMBER(SEARCH(Classifiers!$B$16,E285)),1,0))+IF(Classifiers!$C$16="",0,IF(ISNUMBER(SEARCH(Classifiers!$C$16,E285)),1,0))+IF(Classifiers!$D$16="",0,IF(ISNUMBER(SEARCH(Classifiers!$D$16,E285)),1,0))+IF(Classifiers!$E$16="",0,IF(ISNUMBER(SEARCH(Classifiers!$E$16,E285)),1,0))+IF(Classifiers!$F$16="",0,IF(ISNUMBER(SEARCH(Classifiers!$F$16,E285)),1,0))+IF(Classifiers!$G$16="",0,IF(ISNUMBER(SEARCH(Classifiers!$G$16,E285)),1,0)))&gt;0,1,0))</f>
        <v/>
      </c>
      <c r="V285" s="12">
        <f>IF(H285&lt;&gt;1,0,IF((IF(Classifiers!$B$17="",0,IF(ISNUMBER(SEARCH(Classifiers!$B$17,E285)),1,0))+IF(Classifiers!$C$17="",0,IF(ISNUMBER(SEARCH(Classifiers!$C$17,E285)),1,0))+IF(Classifiers!$D$17="",0,IF(ISNUMBER(SEARCH(Classifiers!$D$17,E285)),1,0))+IF(Classifiers!$E$17="",0,IF(ISNUMBER(SEARCH(Classifiers!$E$17,E285)),1,0))+IF(Classifiers!$F$17="",0,IF(ISNUMBER(SEARCH(Classifiers!$F$17,E285)),1,0))+IF(Classifiers!$G$17="",0,IF(ISNUMBER(SEARCH(Classifiers!$G$17,E285)),1,0)))&gt;0,1,0))</f>
        <v/>
      </c>
      <c r="W285" s="12">
        <f>IF(H285&lt;&gt;1,0,IF((IF(Classifiers!$B$18="",0,IF(ISNUMBER(SEARCH(Classifiers!$B$18,E285)),1,0))+IF(Classifiers!$C$18="",0,IF(ISNUMBER(SEARCH(Classifiers!$C$18,E285)),1,0))+IF(Classifiers!$D$18="",0,IF(ISNUMBER(SEARCH(Classifiers!$D$18,E285)),1,0))+IF(Classifiers!$E$18="",0,IF(ISNUMBER(SEARCH(Classifiers!$E$18,E285)),1,0))+IF(Classifiers!$F$18="",0,IF(ISNUMBER(SEARCH(Classifiers!$F$18,E285)),1,0))+IF(Classifiers!$G$18="",0,IF(ISNUMBER(SEARCH(Classifiers!$G$18,E285)),1,0)))&gt;0,1,0))</f>
        <v/>
      </c>
    </row>
    <row r="286">
      <c r="A286" s="8" t="n"/>
      <c r="B286" s="11" t="n"/>
      <c r="C286" s="6">
        <f>IF(A286="","",TRIM(RIGHT(SUBSTITUTE(A286,"/",REPT(" ",250)),250)))</f>
        <v/>
      </c>
      <c r="D286" s="6">
        <f>IF(C286="","",IF(ISNUMBER(SEARCH(".",C286)),LOWER("."&amp;TRIM(RIGHT(SUBSTITUTE(C286,".",REPT(" ",250)),250))),""))</f>
        <v/>
      </c>
      <c r="E286" s="6">
        <f>IF(C286="","",TRIM(SUBSTITUTE(SUBSTITUTE(SUBSTITUTE(SUBSTITUTE(SUBSTITUTE(SUBSTITUTE(SUBSTITUTE(SUBSTITUTE(SUBSTITUTE(SUBSTITUTE(SUBSTITUTE(SUBSTITUTE(SUBSTITUTE(SUBSTITUTE(SUBSTITUTE(SUBSTITUTE(SUBSTITUTE(SUBSTITUTE(SUBSTITUTE(SUBSTITUTE(LOWER(LEFT(C286,LEN(C286)-LEN(D286))),"_"," "),"-"," "),"."," "),","," "),"("," "),")"," "),"["," "),"]"," "),"&amp;"," "),"+"," "),"@"," "),"#"," "),"!"," "),"'"," "),"/"," "),":"," "),";"," "),"="," "),"~"," "),"%"," ")))</f>
        <v/>
      </c>
      <c r="F286" s="6">
        <f>IF(C286="","",IF(COUNTIF(Classifiers!$A$23:$A$40,D286)&gt;0,1,0))</f>
        <v/>
      </c>
      <c r="G286" s="6">
        <f>IF(C286="","",IF(COUNTIF(Classifiers!$C$23:$C$30,D286)&gt;0,IF((IF(ISNUMBER(SEARCH(Classifiers!$E$23,E286)),1,0)+IF(ISNUMBER(SEARCH(Classifiers!$E$24,E286)),1,0)+IF(ISNUMBER(SEARCH(Classifiers!$E$25,E286)),1,0)+IF(ISNUMBER(SEARCH(Classifiers!$E$26,E286)),1,0)+IF(ISNUMBER(SEARCH(Classifiers!$E$27,E286)),1,0)+IF(ISNUMBER(SEARCH(Classifiers!$E$28,E286)),1,0)+IF(ISNUMBER(SEARCH(Classifiers!$E$29,E286)),1,0)+IF(ISNUMBER(SEARCH(Classifiers!$E$30,E286)),1,0))&gt;0,1,0),0))</f>
        <v/>
      </c>
      <c r="H286" s="6">
        <f>IF(C286="","",IF(OR(LEFT(C286,1)=".",AND(F286=0,G286=0)),0,1))</f>
        <v/>
      </c>
      <c r="I286" s="6">
        <f>IF(H286&lt;&gt;1,"",IF(SUM(J286:W286)=0,"unclassified",INDEX(Classifiers!$A$5:$A$18,MATCH(1,J286:W286,0),1)))</f>
        <v/>
      </c>
      <c r="J286" s="12">
        <f>IF(H286&lt;&gt;1,0,IF((IF(Classifiers!$B$5="",0,IF(ISNUMBER(SEARCH(Classifiers!$B$5,E286)),1,0))+IF(Classifiers!$C$5="",0,IF(ISNUMBER(SEARCH(Classifiers!$C$5,E286)),1,0))+IF(Classifiers!$D$5="",0,IF(ISNUMBER(SEARCH(Classifiers!$D$5,E286)),1,0))+IF(Classifiers!$E$5="",0,IF(ISNUMBER(SEARCH(Classifiers!$E$5,E286)),1,0))+IF(Classifiers!$F$5="",0,IF(ISNUMBER(SEARCH(Classifiers!$F$5,E286)),1,0))+IF(Classifiers!$G$5="",0,IF(ISNUMBER(SEARCH(Classifiers!$G$5,E286)),1,0)))&gt;0,1,0))</f>
        <v/>
      </c>
      <c r="K286" s="12">
        <f>IF(H286&lt;&gt;1,0,IF((IF(Classifiers!$B$6="",0,IF(ISNUMBER(SEARCH(Classifiers!$B$6,E286)),1,0))+IF(Classifiers!$C$6="",0,IF(ISNUMBER(SEARCH(Classifiers!$C$6,E286)),1,0))+IF(Classifiers!$D$6="",0,IF(ISNUMBER(SEARCH(Classifiers!$D$6,E286)),1,0))+IF(Classifiers!$E$6="",0,IF(ISNUMBER(SEARCH(Classifiers!$E$6,E286)),1,0))+IF(Classifiers!$F$6="",0,IF(ISNUMBER(SEARCH(Classifiers!$F$6,E286)),1,0))+IF(Classifiers!$G$6="",0,IF(ISNUMBER(SEARCH(Classifiers!$G$6,E286)),1,0)))&gt;0,1,0))</f>
        <v/>
      </c>
      <c r="L286" s="12">
        <f>IF(H286&lt;&gt;1,0,IF((IF(Classifiers!$B$7="",0,IF(ISNUMBER(SEARCH(Classifiers!$B$7,E286)),1,0))+IF(Classifiers!$C$7="",0,IF(ISNUMBER(SEARCH(Classifiers!$C$7,E286)),1,0))+IF(Classifiers!$D$7="",0,IF(ISNUMBER(SEARCH(Classifiers!$D$7,E286)),1,0))+IF(Classifiers!$E$7="",0,IF(ISNUMBER(SEARCH(Classifiers!$E$7,E286)),1,0))+IF(Classifiers!$F$7="",0,IF(ISNUMBER(SEARCH(Classifiers!$F$7,E286)),1,0))+IF(Classifiers!$G$7="",0,IF(ISNUMBER(SEARCH(Classifiers!$G$7,E286)),1,0)))&gt;0,1,0))</f>
        <v/>
      </c>
      <c r="M286" s="12">
        <f>IF(H286&lt;&gt;1,0,IF((IF(Classifiers!$B$8="",0,IF(ISNUMBER(SEARCH(Classifiers!$B$8,E286)),1,0))+IF(Classifiers!$C$8="",0,IF(ISNUMBER(SEARCH(Classifiers!$C$8,E286)),1,0))+IF(Classifiers!$D$8="",0,IF(ISNUMBER(SEARCH(Classifiers!$D$8,E286)),1,0))+IF(Classifiers!$E$8="",0,IF(ISNUMBER(SEARCH(Classifiers!$E$8,E286)),1,0))+IF(Classifiers!$F$8="",0,IF(ISNUMBER(SEARCH(Classifiers!$F$8,E286)),1,0))+IF(Classifiers!$G$8="",0,IF(ISNUMBER(SEARCH(Classifiers!$G$8,E286)),1,0)))&gt;0,1,0))</f>
        <v/>
      </c>
      <c r="N286" s="12">
        <f>IF(H286&lt;&gt;1,0,IF((IF(Classifiers!$B$9="",0,IF(ISNUMBER(SEARCH(Classifiers!$B$9,E286)),1,0))+IF(Classifiers!$C$9="",0,IF(ISNUMBER(SEARCH(Classifiers!$C$9,E286)),1,0))+IF(Classifiers!$D$9="",0,IF(ISNUMBER(SEARCH(Classifiers!$D$9,E286)),1,0))+IF(Classifiers!$E$9="",0,IF(ISNUMBER(SEARCH(Classifiers!$E$9,E286)),1,0))+IF(Classifiers!$F$9="",0,IF(ISNUMBER(SEARCH(Classifiers!$F$9,E286)),1,0))+IF(Classifiers!$G$9="",0,IF(ISNUMBER(SEARCH(Classifiers!$G$9,E286)),1,0)))&gt;0,1,0))</f>
        <v/>
      </c>
      <c r="O286" s="12">
        <f>IF(H286&lt;&gt;1,0,IF((IF(Classifiers!$B$10="",0,IF(ISNUMBER(SEARCH(Classifiers!$B$10,E286)),1,0))+IF(Classifiers!$C$10="",0,IF(ISNUMBER(SEARCH(Classifiers!$C$10,E286)),1,0))+IF(Classifiers!$D$10="",0,IF(ISNUMBER(SEARCH(Classifiers!$D$10,E286)),1,0))+IF(Classifiers!$E$10="",0,IF(ISNUMBER(SEARCH(Classifiers!$E$10,E286)),1,0))+IF(Classifiers!$F$10="",0,IF(ISNUMBER(SEARCH(Classifiers!$F$10,E286)),1,0))+IF(Classifiers!$G$10="",0,IF(ISNUMBER(SEARCH(Classifiers!$G$10,E286)),1,0)))&gt;0,1,0))</f>
        <v/>
      </c>
      <c r="P286" s="12">
        <f>IF(H286&lt;&gt;1,0,IF((IF(Classifiers!$B$11="",0,IF(ISNUMBER(SEARCH(Classifiers!$B$11,E286)),1,0))+IF(Classifiers!$C$11="",0,IF(ISNUMBER(SEARCH(Classifiers!$C$11,E286)),1,0))+IF(Classifiers!$D$11="",0,IF(ISNUMBER(SEARCH(Classifiers!$D$11,E286)),1,0))+IF(Classifiers!$E$11="",0,IF(ISNUMBER(SEARCH(Classifiers!$E$11,E286)),1,0))+IF(Classifiers!$F$11="",0,IF(ISNUMBER(SEARCH(Classifiers!$F$11,E286)),1,0))+IF(Classifiers!$G$11="",0,IF(ISNUMBER(SEARCH(Classifiers!$G$11,E286)),1,0)))&gt;0,1,0))</f>
        <v/>
      </c>
      <c r="Q286" s="12">
        <f>IF(H286&lt;&gt;1,0,IF((IF(Classifiers!$B$12="",0,IF(ISNUMBER(SEARCH(Classifiers!$B$12,E286)),1,0))+IF(Classifiers!$C$12="",0,IF(ISNUMBER(SEARCH(Classifiers!$C$12,E286)),1,0))+IF(Classifiers!$D$12="",0,IF(ISNUMBER(SEARCH(Classifiers!$D$12,E286)),1,0))+IF(Classifiers!$E$12="",0,IF(ISNUMBER(SEARCH(Classifiers!$E$12,E286)),1,0))+IF(Classifiers!$F$12="",0,IF(ISNUMBER(SEARCH(Classifiers!$F$12,E286)),1,0))+IF(Classifiers!$G$12="",0,IF(ISNUMBER(SEARCH(Classifiers!$G$12,E286)),1,0)))&gt;0,1,0))</f>
        <v/>
      </c>
      <c r="R286" s="12">
        <f>IF(H286&lt;&gt;1,0,IF((IF(Classifiers!$B$13="",0,IF(ISNUMBER(SEARCH(Classifiers!$B$13,E286)),1,0))+IF(Classifiers!$C$13="",0,IF(ISNUMBER(SEARCH(Classifiers!$C$13,E286)),1,0))+IF(Classifiers!$D$13="",0,IF(ISNUMBER(SEARCH(Classifiers!$D$13,E286)),1,0))+IF(Classifiers!$E$13="",0,IF(ISNUMBER(SEARCH(Classifiers!$E$13,E286)),1,0))+IF(Classifiers!$F$13="",0,IF(ISNUMBER(SEARCH(Classifiers!$F$13,E286)),1,0))+IF(Classifiers!$G$13="",0,IF(ISNUMBER(SEARCH(Classifiers!$G$13,E286)),1,0)))&gt;0,1,0))</f>
        <v/>
      </c>
      <c r="S286" s="12">
        <f>IF(H286&lt;&gt;1,0,IF((IF(Classifiers!$B$14="",0,IF(ISNUMBER(SEARCH(Classifiers!$B$14,E286)),1,0))+IF(Classifiers!$C$14="",0,IF(ISNUMBER(SEARCH(Classifiers!$C$14,E286)),1,0))+IF(Classifiers!$D$14="",0,IF(ISNUMBER(SEARCH(Classifiers!$D$14,E286)),1,0))+IF(Classifiers!$E$14="",0,IF(ISNUMBER(SEARCH(Classifiers!$E$14,E286)),1,0))+IF(Classifiers!$F$14="",0,IF(ISNUMBER(SEARCH(Classifiers!$F$14,E286)),1,0))+IF(Classifiers!$G$14="",0,IF(ISNUMBER(SEARCH(Classifiers!$G$14,E286)),1,0)))&gt;0,1,0))</f>
        <v/>
      </c>
      <c r="T286" s="12">
        <f>IF(H286&lt;&gt;1,0,IF((IF(Classifiers!$B$15="",0,IF(ISNUMBER(SEARCH(Classifiers!$B$15,E286)),1,0))+IF(Classifiers!$C$15="",0,IF(ISNUMBER(SEARCH(Classifiers!$C$15,E286)),1,0))+IF(Classifiers!$D$15="",0,IF(ISNUMBER(SEARCH(Classifiers!$D$15,E286)),1,0))+IF(Classifiers!$E$15="",0,IF(ISNUMBER(SEARCH(Classifiers!$E$15,E286)),1,0))+IF(Classifiers!$F$15="",0,IF(ISNUMBER(SEARCH(Classifiers!$F$15,E286)),1,0))+IF(Classifiers!$G$15="",0,IF(ISNUMBER(SEARCH(Classifiers!$G$15,E286)),1,0)))&gt;0,1,0))</f>
        <v/>
      </c>
      <c r="U286" s="12">
        <f>IF(H286&lt;&gt;1,0,IF((IF(Classifiers!$B$16="",0,IF(ISNUMBER(SEARCH(Classifiers!$B$16,E286)),1,0))+IF(Classifiers!$C$16="",0,IF(ISNUMBER(SEARCH(Classifiers!$C$16,E286)),1,0))+IF(Classifiers!$D$16="",0,IF(ISNUMBER(SEARCH(Classifiers!$D$16,E286)),1,0))+IF(Classifiers!$E$16="",0,IF(ISNUMBER(SEARCH(Classifiers!$E$16,E286)),1,0))+IF(Classifiers!$F$16="",0,IF(ISNUMBER(SEARCH(Classifiers!$F$16,E286)),1,0))+IF(Classifiers!$G$16="",0,IF(ISNUMBER(SEARCH(Classifiers!$G$16,E286)),1,0)))&gt;0,1,0))</f>
        <v/>
      </c>
      <c r="V286" s="12">
        <f>IF(H286&lt;&gt;1,0,IF((IF(Classifiers!$B$17="",0,IF(ISNUMBER(SEARCH(Classifiers!$B$17,E286)),1,0))+IF(Classifiers!$C$17="",0,IF(ISNUMBER(SEARCH(Classifiers!$C$17,E286)),1,0))+IF(Classifiers!$D$17="",0,IF(ISNUMBER(SEARCH(Classifiers!$D$17,E286)),1,0))+IF(Classifiers!$E$17="",0,IF(ISNUMBER(SEARCH(Classifiers!$E$17,E286)),1,0))+IF(Classifiers!$F$17="",0,IF(ISNUMBER(SEARCH(Classifiers!$F$17,E286)),1,0))+IF(Classifiers!$G$17="",0,IF(ISNUMBER(SEARCH(Classifiers!$G$17,E286)),1,0)))&gt;0,1,0))</f>
        <v/>
      </c>
      <c r="W286" s="12">
        <f>IF(H286&lt;&gt;1,0,IF((IF(Classifiers!$B$18="",0,IF(ISNUMBER(SEARCH(Classifiers!$B$18,E286)),1,0))+IF(Classifiers!$C$18="",0,IF(ISNUMBER(SEARCH(Classifiers!$C$18,E286)),1,0))+IF(Classifiers!$D$18="",0,IF(ISNUMBER(SEARCH(Classifiers!$D$18,E286)),1,0))+IF(Classifiers!$E$18="",0,IF(ISNUMBER(SEARCH(Classifiers!$E$18,E286)),1,0))+IF(Classifiers!$F$18="",0,IF(ISNUMBER(SEARCH(Classifiers!$F$18,E286)),1,0))+IF(Classifiers!$G$18="",0,IF(ISNUMBER(SEARCH(Classifiers!$G$18,E286)),1,0)))&gt;0,1,0))</f>
        <v/>
      </c>
    </row>
    <row r="287">
      <c r="A287" s="8" t="n"/>
      <c r="B287" s="11" t="n"/>
      <c r="C287" s="6">
        <f>IF(A287="","",TRIM(RIGHT(SUBSTITUTE(A287,"/",REPT(" ",250)),250)))</f>
        <v/>
      </c>
      <c r="D287" s="6">
        <f>IF(C287="","",IF(ISNUMBER(SEARCH(".",C287)),LOWER("."&amp;TRIM(RIGHT(SUBSTITUTE(C287,".",REPT(" ",250)),250))),""))</f>
        <v/>
      </c>
      <c r="E287" s="6">
        <f>IF(C287="","",TRIM(SUBSTITUTE(SUBSTITUTE(SUBSTITUTE(SUBSTITUTE(SUBSTITUTE(SUBSTITUTE(SUBSTITUTE(SUBSTITUTE(SUBSTITUTE(SUBSTITUTE(SUBSTITUTE(SUBSTITUTE(SUBSTITUTE(SUBSTITUTE(SUBSTITUTE(SUBSTITUTE(SUBSTITUTE(SUBSTITUTE(SUBSTITUTE(SUBSTITUTE(LOWER(LEFT(C287,LEN(C287)-LEN(D287))),"_"," "),"-"," "),"."," "),","," "),"("," "),")"," "),"["," "),"]"," "),"&amp;"," "),"+"," "),"@"," "),"#"," "),"!"," "),"'"," "),"/"," "),":"," "),";"," "),"="," "),"~"," "),"%"," ")))</f>
        <v/>
      </c>
      <c r="F287" s="6">
        <f>IF(C287="","",IF(COUNTIF(Classifiers!$A$23:$A$40,D287)&gt;0,1,0))</f>
        <v/>
      </c>
      <c r="G287" s="6">
        <f>IF(C287="","",IF(COUNTIF(Classifiers!$C$23:$C$30,D287)&gt;0,IF((IF(ISNUMBER(SEARCH(Classifiers!$E$23,E287)),1,0)+IF(ISNUMBER(SEARCH(Classifiers!$E$24,E287)),1,0)+IF(ISNUMBER(SEARCH(Classifiers!$E$25,E287)),1,0)+IF(ISNUMBER(SEARCH(Classifiers!$E$26,E287)),1,0)+IF(ISNUMBER(SEARCH(Classifiers!$E$27,E287)),1,0)+IF(ISNUMBER(SEARCH(Classifiers!$E$28,E287)),1,0)+IF(ISNUMBER(SEARCH(Classifiers!$E$29,E287)),1,0)+IF(ISNUMBER(SEARCH(Classifiers!$E$30,E287)),1,0))&gt;0,1,0),0))</f>
        <v/>
      </c>
      <c r="H287" s="6">
        <f>IF(C287="","",IF(OR(LEFT(C287,1)=".",AND(F287=0,G287=0)),0,1))</f>
        <v/>
      </c>
      <c r="I287" s="6">
        <f>IF(H287&lt;&gt;1,"",IF(SUM(J287:W287)=0,"unclassified",INDEX(Classifiers!$A$5:$A$18,MATCH(1,J287:W287,0),1)))</f>
        <v/>
      </c>
      <c r="J287" s="12">
        <f>IF(H287&lt;&gt;1,0,IF((IF(Classifiers!$B$5="",0,IF(ISNUMBER(SEARCH(Classifiers!$B$5,E287)),1,0))+IF(Classifiers!$C$5="",0,IF(ISNUMBER(SEARCH(Classifiers!$C$5,E287)),1,0))+IF(Classifiers!$D$5="",0,IF(ISNUMBER(SEARCH(Classifiers!$D$5,E287)),1,0))+IF(Classifiers!$E$5="",0,IF(ISNUMBER(SEARCH(Classifiers!$E$5,E287)),1,0))+IF(Classifiers!$F$5="",0,IF(ISNUMBER(SEARCH(Classifiers!$F$5,E287)),1,0))+IF(Classifiers!$G$5="",0,IF(ISNUMBER(SEARCH(Classifiers!$G$5,E287)),1,0)))&gt;0,1,0))</f>
        <v/>
      </c>
      <c r="K287" s="12">
        <f>IF(H287&lt;&gt;1,0,IF((IF(Classifiers!$B$6="",0,IF(ISNUMBER(SEARCH(Classifiers!$B$6,E287)),1,0))+IF(Classifiers!$C$6="",0,IF(ISNUMBER(SEARCH(Classifiers!$C$6,E287)),1,0))+IF(Classifiers!$D$6="",0,IF(ISNUMBER(SEARCH(Classifiers!$D$6,E287)),1,0))+IF(Classifiers!$E$6="",0,IF(ISNUMBER(SEARCH(Classifiers!$E$6,E287)),1,0))+IF(Classifiers!$F$6="",0,IF(ISNUMBER(SEARCH(Classifiers!$F$6,E287)),1,0))+IF(Classifiers!$G$6="",0,IF(ISNUMBER(SEARCH(Classifiers!$G$6,E287)),1,0)))&gt;0,1,0))</f>
        <v/>
      </c>
      <c r="L287" s="12">
        <f>IF(H287&lt;&gt;1,0,IF((IF(Classifiers!$B$7="",0,IF(ISNUMBER(SEARCH(Classifiers!$B$7,E287)),1,0))+IF(Classifiers!$C$7="",0,IF(ISNUMBER(SEARCH(Classifiers!$C$7,E287)),1,0))+IF(Classifiers!$D$7="",0,IF(ISNUMBER(SEARCH(Classifiers!$D$7,E287)),1,0))+IF(Classifiers!$E$7="",0,IF(ISNUMBER(SEARCH(Classifiers!$E$7,E287)),1,0))+IF(Classifiers!$F$7="",0,IF(ISNUMBER(SEARCH(Classifiers!$F$7,E287)),1,0))+IF(Classifiers!$G$7="",0,IF(ISNUMBER(SEARCH(Classifiers!$G$7,E287)),1,0)))&gt;0,1,0))</f>
        <v/>
      </c>
      <c r="M287" s="12">
        <f>IF(H287&lt;&gt;1,0,IF((IF(Classifiers!$B$8="",0,IF(ISNUMBER(SEARCH(Classifiers!$B$8,E287)),1,0))+IF(Classifiers!$C$8="",0,IF(ISNUMBER(SEARCH(Classifiers!$C$8,E287)),1,0))+IF(Classifiers!$D$8="",0,IF(ISNUMBER(SEARCH(Classifiers!$D$8,E287)),1,0))+IF(Classifiers!$E$8="",0,IF(ISNUMBER(SEARCH(Classifiers!$E$8,E287)),1,0))+IF(Classifiers!$F$8="",0,IF(ISNUMBER(SEARCH(Classifiers!$F$8,E287)),1,0))+IF(Classifiers!$G$8="",0,IF(ISNUMBER(SEARCH(Classifiers!$G$8,E287)),1,0)))&gt;0,1,0))</f>
        <v/>
      </c>
      <c r="N287" s="12">
        <f>IF(H287&lt;&gt;1,0,IF((IF(Classifiers!$B$9="",0,IF(ISNUMBER(SEARCH(Classifiers!$B$9,E287)),1,0))+IF(Classifiers!$C$9="",0,IF(ISNUMBER(SEARCH(Classifiers!$C$9,E287)),1,0))+IF(Classifiers!$D$9="",0,IF(ISNUMBER(SEARCH(Classifiers!$D$9,E287)),1,0))+IF(Classifiers!$E$9="",0,IF(ISNUMBER(SEARCH(Classifiers!$E$9,E287)),1,0))+IF(Classifiers!$F$9="",0,IF(ISNUMBER(SEARCH(Classifiers!$F$9,E287)),1,0))+IF(Classifiers!$G$9="",0,IF(ISNUMBER(SEARCH(Classifiers!$G$9,E287)),1,0)))&gt;0,1,0))</f>
        <v/>
      </c>
      <c r="O287" s="12">
        <f>IF(H287&lt;&gt;1,0,IF((IF(Classifiers!$B$10="",0,IF(ISNUMBER(SEARCH(Classifiers!$B$10,E287)),1,0))+IF(Classifiers!$C$10="",0,IF(ISNUMBER(SEARCH(Classifiers!$C$10,E287)),1,0))+IF(Classifiers!$D$10="",0,IF(ISNUMBER(SEARCH(Classifiers!$D$10,E287)),1,0))+IF(Classifiers!$E$10="",0,IF(ISNUMBER(SEARCH(Classifiers!$E$10,E287)),1,0))+IF(Classifiers!$F$10="",0,IF(ISNUMBER(SEARCH(Classifiers!$F$10,E287)),1,0))+IF(Classifiers!$G$10="",0,IF(ISNUMBER(SEARCH(Classifiers!$G$10,E287)),1,0)))&gt;0,1,0))</f>
        <v/>
      </c>
      <c r="P287" s="12">
        <f>IF(H287&lt;&gt;1,0,IF((IF(Classifiers!$B$11="",0,IF(ISNUMBER(SEARCH(Classifiers!$B$11,E287)),1,0))+IF(Classifiers!$C$11="",0,IF(ISNUMBER(SEARCH(Classifiers!$C$11,E287)),1,0))+IF(Classifiers!$D$11="",0,IF(ISNUMBER(SEARCH(Classifiers!$D$11,E287)),1,0))+IF(Classifiers!$E$11="",0,IF(ISNUMBER(SEARCH(Classifiers!$E$11,E287)),1,0))+IF(Classifiers!$F$11="",0,IF(ISNUMBER(SEARCH(Classifiers!$F$11,E287)),1,0))+IF(Classifiers!$G$11="",0,IF(ISNUMBER(SEARCH(Classifiers!$G$11,E287)),1,0)))&gt;0,1,0))</f>
        <v/>
      </c>
      <c r="Q287" s="12">
        <f>IF(H287&lt;&gt;1,0,IF((IF(Classifiers!$B$12="",0,IF(ISNUMBER(SEARCH(Classifiers!$B$12,E287)),1,0))+IF(Classifiers!$C$12="",0,IF(ISNUMBER(SEARCH(Classifiers!$C$12,E287)),1,0))+IF(Classifiers!$D$12="",0,IF(ISNUMBER(SEARCH(Classifiers!$D$12,E287)),1,0))+IF(Classifiers!$E$12="",0,IF(ISNUMBER(SEARCH(Classifiers!$E$12,E287)),1,0))+IF(Classifiers!$F$12="",0,IF(ISNUMBER(SEARCH(Classifiers!$F$12,E287)),1,0))+IF(Classifiers!$G$12="",0,IF(ISNUMBER(SEARCH(Classifiers!$G$12,E287)),1,0)))&gt;0,1,0))</f>
        <v/>
      </c>
      <c r="R287" s="12">
        <f>IF(H287&lt;&gt;1,0,IF((IF(Classifiers!$B$13="",0,IF(ISNUMBER(SEARCH(Classifiers!$B$13,E287)),1,0))+IF(Classifiers!$C$13="",0,IF(ISNUMBER(SEARCH(Classifiers!$C$13,E287)),1,0))+IF(Classifiers!$D$13="",0,IF(ISNUMBER(SEARCH(Classifiers!$D$13,E287)),1,0))+IF(Classifiers!$E$13="",0,IF(ISNUMBER(SEARCH(Classifiers!$E$13,E287)),1,0))+IF(Classifiers!$F$13="",0,IF(ISNUMBER(SEARCH(Classifiers!$F$13,E287)),1,0))+IF(Classifiers!$G$13="",0,IF(ISNUMBER(SEARCH(Classifiers!$G$13,E287)),1,0)))&gt;0,1,0))</f>
        <v/>
      </c>
      <c r="S287" s="12">
        <f>IF(H287&lt;&gt;1,0,IF((IF(Classifiers!$B$14="",0,IF(ISNUMBER(SEARCH(Classifiers!$B$14,E287)),1,0))+IF(Classifiers!$C$14="",0,IF(ISNUMBER(SEARCH(Classifiers!$C$14,E287)),1,0))+IF(Classifiers!$D$14="",0,IF(ISNUMBER(SEARCH(Classifiers!$D$14,E287)),1,0))+IF(Classifiers!$E$14="",0,IF(ISNUMBER(SEARCH(Classifiers!$E$14,E287)),1,0))+IF(Classifiers!$F$14="",0,IF(ISNUMBER(SEARCH(Classifiers!$F$14,E287)),1,0))+IF(Classifiers!$G$14="",0,IF(ISNUMBER(SEARCH(Classifiers!$G$14,E287)),1,0)))&gt;0,1,0))</f>
        <v/>
      </c>
      <c r="T287" s="12">
        <f>IF(H287&lt;&gt;1,0,IF((IF(Classifiers!$B$15="",0,IF(ISNUMBER(SEARCH(Classifiers!$B$15,E287)),1,0))+IF(Classifiers!$C$15="",0,IF(ISNUMBER(SEARCH(Classifiers!$C$15,E287)),1,0))+IF(Classifiers!$D$15="",0,IF(ISNUMBER(SEARCH(Classifiers!$D$15,E287)),1,0))+IF(Classifiers!$E$15="",0,IF(ISNUMBER(SEARCH(Classifiers!$E$15,E287)),1,0))+IF(Classifiers!$F$15="",0,IF(ISNUMBER(SEARCH(Classifiers!$F$15,E287)),1,0))+IF(Classifiers!$G$15="",0,IF(ISNUMBER(SEARCH(Classifiers!$G$15,E287)),1,0)))&gt;0,1,0))</f>
        <v/>
      </c>
      <c r="U287" s="12">
        <f>IF(H287&lt;&gt;1,0,IF((IF(Classifiers!$B$16="",0,IF(ISNUMBER(SEARCH(Classifiers!$B$16,E287)),1,0))+IF(Classifiers!$C$16="",0,IF(ISNUMBER(SEARCH(Classifiers!$C$16,E287)),1,0))+IF(Classifiers!$D$16="",0,IF(ISNUMBER(SEARCH(Classifiers!$D$16,E287)),1,0))+IF(Classifiers!$E$16="",0,IF(ISNUMBER(SEARCH(Classifiers!$E$16,E287)),1,0))+IF(Classifiers!$F$16="",0,IF(ISNUMBER(SEARCH(Classifiers!$F$16,E287)),1,0))+IF(Classifiers!$G$16="",0,IF(ISNUMBER(SEARCH(Classifiers!$G$16,E287)),1,0)))&gt;0,1,0))</f>
        <v/>
      </c>
      <c r="V287" s="12">
        <f>IF(H287&lt;&gt;1,0,IF((IF(Classifiers!$B$17="",0,IF(ISNUMBER(SEARCH(Classifiers!$B$17,E287)),1,0))+IF(Classifiers!$C$17="",0,IF(ISNUMBER(SEARCH(Classifiers!$C$17,E287)),1,0))+IF(Classifiers!$D$17="",0,IF(ISNUMBER(SEARCH(Classifiers!$D$17,E287)),1,0))+IF(Classifiers!$E$17="",0,IF(ISNUMBER(SEARCH(Classifiers!$E$17,E287)),1,0))+IF(Classifiers!$F$17="",0,IF(ISNUMBER(SEARCH(Classifiers!$F$17,E287)),1,0))+IF(Classifiers!$G$17="",0,IF(ISNUMBER(SEARCH(Classifiers!$G$17,E287)),1,0)))&gt;0,1,0))</f>
        <v/>
      </c>
      <c r="W287" s="12">
        <f>IF(H287&lt;&gt;1,0,IF((IF(Classifiers!$B$18="",0,IF(ISNUMBER(SEARCH(Classifiers!$B$18,E287)),1,0))+IF(Classifiers!$C$18="",0,IF(ISNUMBER(SEARCH(Classifiers!$C$18,E287)),1,0))+IF(Classifiers!$D$18="",0,IF(ISNUMBER(SEARCH(Classifiers!$D$18,E287)),1,0))+IF(Classifiers!$E$18="",0,IF(ISNUMBER(SEARCH(Classifiers!$E$18,E287)),1,0))+IF(Classifiers!$F$18="",0,IF(ISNUMBER(SEARCH(Classifiers!$F$18,E287)),1,0))+IF(Classifiers!$G$18="",0,IF(ISNUMBER(SEARCH(Classifiers!$G$18,E287)),1,0)))&gt;0,1,0))</f>
        <v/>
      </c>
    </row>
    <row r="288">
      <c r="A288" s="8" t="n"/>
      <c r="B288" s="11" t="n"/>
      <c r="C288" s="6">
        <f>IF(A288="","",TRIM(RIGHT(SUBSTITUTE(A288,"/",REPT(" ",250)),250)))</f>
        <v/>
      </c>
      <c r="D288" s="6">
        <f>IF(C288="","",IF(ISNUMBER(SEARCH(".",C288)),LOWER("."&amp;TRIM(RIGHT(SUBSTITUTE(C288,".",REPT(" ",250)),250))),""))</f>
        <v/>
      </c>
      <c r="E288" s="6">
        <f>IF(C288="","",TRIM(SUBSTITUTE(SUBSTITUTE(SUBSTITUTE(SUBSTITUTE(SUBSTITUTE(SUBSTITUTE(SUBSTITUTE(SUBSTITUTE(SUBSTITUTE(SUBSTITUTE(SUBSTITUTE(SUBSTITUTE(SUBSTITUTE(SUBSTITUTE(SUBSTITUTE(SUBSTITUTE(SUBSTITUTE(SUBSTITUTE(SUBSTITUTE(SUBSTITUTE(LOWER(LEFT(C288,LEN(C288)-LEN(D288))),"_"," "),"-"," "),"."," "),","," "),"("," "),")"," "),"["," "),"]"," "),"&amp;"," "),"+"," "),"@"," "),"#"," "),"!"," "),"'"," "),"/"," "),":"," "),";"," "),"="," "),"~"," "),"%"," ")))</f>
        <v/>
      </c>
      <c r="F288" s="6">
        <f>IF(C288="","",IF(COUNTIF(Classifiers!$A$23:$A$40,D288)&gt;0,1,0))</f>
        <v/>
      </c>
      <c r="G288" s="6">
        <f>IF(C288="","",IF(COUNTIF(Classifiers!$C$23:$C$30,D288)&gt;0,IF((IF(ISNUMBER(SEARCH(Classifiers!$E$23,E288)),1,0)+IF(ISNUMBER(SEARCH(Classifiers!$E$24,E288)),1,0)+IF(ISNUMBER(SEARCH(Classifiers!$E$25,E288)),1,0)+IF(ISNUMBER(SEARCH(Classifiers!$E$26,E288)),1,0)+IF(ISNUMBER(SEARCH(Classifiers!$E$27,E288)),1,0)+IF(ISNUMBER(SEARCH(Classifiers!$E$28,E288)),1,0)+IF(ISNUMBER(SEARCH(Classifiers!$E$29,E288)),1,0)+IF(ISNUMBER(SEARCH(Classifiers!$E$30,E288)),1,0))&gt;0,1,0),0))</f>
        <v/>
      </c>
      <c r="H288" s="6">
        <f>IF(C288="","",IF(OR(LEFT(C288,1)=".",AND(F288=0,G288=0)),0,1))</f>
        <v/>
      </c>
      <c r="I288" s="6">
        <f>IF(H288&lt;&gt;1,"",IF(SUM(J288:W288)=0,"unclassified",INDEX(Classifiers!$A$5:$A$18,MATCH(1,J288:W288,0),1)))</f>
        <v/>
      </c>
      <c r="J288" s="12">
        <f>IF(H288&lt;&gt;1,0,IF((IF(Classifiers!$B$5="",0,IF(ISNUMBER(SEARCH(Classifiers!$B$5,E288)),1,0))+IF(Classifiers!$C$5="",0,IF(ISNUMBER(SEARCH(Classifiers!$C$5,E288)),1,0))+IF(Classifiers!$D$5="",0,IF(ISNUMBER(SEARCH(Classifiers!$D$5,E288)),1,0))+IF(Classifiers!$E$5="",0,IF(ISNUMBER(SEARCH(Classifiers!$E$5,E288)),1,0))+IF(Classifiers!$F$5="",0,IF(ISNUMBER(SEARCH(Classifiers!$F$5,E288)),1,0))+IF(Classifiers!$G$5="",0,IF(ISNUMBER(SEARCH(Classifiers!$G$5,E288)),1,0)))&gt;0,1,0))</f>
        <v/>
      </c>
      <c r="K288" s="12">
        <f>IF(H288&lt;&gt;1,0,IF((IF(Classifiers!$B$6="",0,IF(ISNUMBER(SEARCH(Classifiers!$B$6,E288)),1,0))+IF(Classifiers!$C$6="",0,IF(ISNUMBER(SEARCH(Classifiers!$C$6,E288)),1,0))+IF(Classifiers!$D$6="",0,IF(ISNUMBER(SEARCH(Classifiers!$D$6,E288)),1,0))+IF(Classifiers!$E$6="",0,IF(ISNUMBER(SEARCH(Classifiers!$E$6,E288)),1,0))+IF(Classifiers!$F$6="",0,IF(ISNUMBER(SEARCH(Classifiers!$F$6,E288)),1,0))+IF(Classifiers!$G$6="",0,IF(ISNUMBER(SEARCH(Classifiers!$G$6,E288)),1,0)))&gt;0,1,0))</f>
        <v/>
      </c>
      <c r="L288" s="12">
        <f>IF(H288&lt;&gt;1,0,IF((IF(Classifiers!$B$7="",0,IF(ISNUMBER(SEARCH(Classifiers!$B$7,E288)),1,0))+IF(Classifiers!$C$7="",0,IF(ISNUMBER(SEARCH(Classifiers!$C$7,E288)),1,0))+IF(Classifiers!$D$7="",0,IF(ISNUMBER(SEARCH(Classifiers!$D$7,E288)),1,0))+IF(Classifiers!$E$7="",0,IF(ISNUMBER(SEARCH(Classifiers!$E$7,E288)),1,0))+IF(Classifiers!$F$7="",0,IF(ISNUMBER(SEARCH(Classifiers!$F$7,E288)),1,0))+IF(Classifiers!$G$7="",0,IF(ISNUMBER(SEARCH(Classifiers!$G$7,E288)),1,0)))&gt;0,1,0))</f>
        <v/>
      </c>
      <c r="M288" s="12">
        <f>IF(H288&lt;&gt;1,0,IF((IF(Classifiers!$B$8="",0,IF(ISNUMBER(SEARCH(Classifiers!$B$8,E288)),1,0))+IF(Classifiers!$C$8="",0,IF(ISNUMBER(SEARCH(Classifiers!$C$8,E288)),1,0))+IF(Classifiers!$D$8="",0,IF(ISNUMBER(SEARCH(Classifiers!$D$8,E288)),1,0))+IF(Classifiers!$E$8="",0,IF(ISNUMBER(SEARCH(Classifiers!$E$8,E288)),1,0))+IF(Classifiers!$F$8="",0,IF(ISNUMBER(SEARCH(Classifiers!$F$8,E288)),1,0))+IF(Classifiers!$G$8="",0,IF(ISNUMBER(SEARCH(Classifiers!$G$8,E288)),1,0)))&gt;0,1,0))</f>
        <v/>
      </c>
      <c r="N288" s="12">
        <f>IF(H288&lt;&gt;1,0,IF((IF(Classifiers!$B$9="",0,IF(ISNUMBER(SEARCH(Classifiers!$B$9,E288)),1,0))+IF(Classifiers!$C$9="",0,IF(ISNUMBER(SEARCH(Classifiers!$C$9,E288)),1,0))+IF(Classifiers!$D$9="",0,IF(ISNUMBER(SEARCH(Classifiers!$D$9,E288)),1,0))+IF(Classifiers!$E$9="",0,IF(ISNUMBER(SEARCH(Classifiers!$E$9,E288)),1,0))+IF(Classifiers!$F$9="",0,IF(ISNUMBER(SEARCH(Classifiers!$F$9,E288)),1,0))+IF(Classifiers!$G$9="",0,IF(ISNUMBER(SEARCH(Classifiers!$G$9,E288)),1,0)))&gt;0,1,0))</f>
        <v/>
      </c>
      <c r="O288" s="12">
        <f>IF(H288&lt;&gt;1,0,IF((IF(Classifiers!$B$10="",0,IF(ISNUMBER(SEARCH(Classifiers!$B$10,E288)),1,0))+IF(Classifiers!$C$10="",0,IF(ISNUMBER(SEARCH(Classifiers!$C$10,E288)),1,0))+IF(Classifiers!$D$10="",0,IF(ISNUMBER(SEARCH(Classifiers!$D$10,E288)),1,0))+IF(Classifiers!$E$10="",0,IF(ISNUMBER(SEARCH(Classifiers!$E$10,E288)),1,0))+IF(Classifiers!$F$10="",0,IF(ISNUMBER(SEARCH(Classifiers!$F$10,E288)),1,0))+IF(Classifiers!$G$10="",0,IF(ISNUMBER(SEARCH(Classifiers!$G$10,E288)),1,0)))&gt;0,1,0))</f>
        <v/>
      </c>
      <c r="P288" s="12">
        <f>IF(H288&lt;&gt;1,0,IF((IF(Classifiers!$B$11="",0,IF(ISNUMBER(SEARCH(Classifiers!$B$11,E288)),1,0))+IF(Classifiers!$C$11="",0,IF(ISNUMBER(SEARCH(Classifiers!$C$11,E288)),1,0))+IF(Classifiers!$D$11="",0,IF(ISNUMBER(SEARCH(Classifiers!$D$11,E288)),1,0))+IF(Classifiers!$E$11="",0,IF(ISNUMBER(SEARCH(Classifiers!$E$11,E288)),1,0))+IF(Classifiers!$F$11="",0,IF(ISNUMBER(SEARCH(Classifiers!$F$11,E288)),1,0))+IF(Classifiers!$G$11="",0,IF(ISNUMBER(SEARCH(Classifiers!$G$11,E288)),1,0)))&gt;0,1,0))</f>
        <v/>
      </c>
      <c r="Q288" s="12">
        <f>IF(H288&lt;&gt;1,0,IF((IF(Classifiers!$B$12="",0,IF(ISNUMBER(SEARCH(Classifiers!$B$12,E288)),1,0))+IF(Classifiers!$C$12="",0,IF(ISNUMBER(SEARCH(Classifiers!$C$12,E288)),1,0))+IF(Classifiers!$D$12="",0,IF(ISNUMBER(SEARCH(Classifiers!$D$12,E288)),1,0))+IF(Classifiers!$E$12="",0,IF(ISNUMBER(SEARCH(Classifiers!$E$12,E288)),1,0))+IF(Classifiers!$F$12="",0,IF(ISNUMBER(SEARCH(Classifiers!$F$12,E288)),1,0))+IF(Classifiers!$G$12="",0,IF(ISNUMBER(SEARCH(Classifiers!$G$12,E288)),1,0)))&gt;0,1,0))</f>
        <v/>
      </c>
      <c r="R288" s="12">
        <f>IF(H288&lt;&gt;1,0,IF((IF(Classifiers!$B$13="",0,IF(ISNUMBER(SEARCH(Classifiers!$B$13,E288)),1,0))+IF(Classifiers!$C$13="",0,IF(ISNUMBER(SEARCH(Classifiers!$C$13,E288)),1,0))+IF(Classifiers!$D$13="",0,IF(ISNUMBER(SEARCH(Classifiers!$D$13,E288)),1,0))+IF(Classifiers!$E$13="",0,IF(ISNUMBER(SEARCH(Classifiers!$E$13,E288)),1,0))+IF(Classifiers!$F$13="",0,IF(ISNUMBER(SEARCH(Classifiers!$F$13,E288)),1,0))+IF(Classifiers!$G$13="",0,IF(ISNUMBER(SEARCH(Classifiers!$G$13,E288)),1,0)))&gt;0,1,0))</f>
        <v/>
      </c>
      <c r="S288" s="12">
        <f>IF(H288&lt;&gt;1,0,IF((IF(Classifiers!$B$14="",0,IF(ISNUMBER(SEARCH(Classifiers!$B$14,E288)),1,0))+IF(Classifiers!$C$14="",0,IF(ISNUMBER(SEARCH(Classifiers!$C$14,E288)),1,0))+IF(Classifiers!$D$14="",0,IF(ISNUMBER(SEARCH(Classifiers!$D$14,E288)),1,0))+IF(Classifiers!$E$14="",0,IF(ISNUMBER(SEARCH(Classifiers!$E$14,E288)),1,0))+IF(Classifiers!$F$14="",0,IF(ISNUMBER(SEARCH(Classifiers!$F$14,E288)),1,0))+IF(Classifiers!$G$14="",0,IF(ISNUMBER(SEARCH(Classifiers!$G$14,E288)),1,0)))&gt;0,1,0))</f>
        <v/>
      </c>
      <c r="T288" s="12">
        <f>IF(H288&lt;&gt;1,0,IF((IF(Classifiers!$B$15="",0,IF(ISNUMBER(SEARCH(Classifiers!$B$15,E288)),1,0))+IF(Classifiers!$C$15="",0,IF(ISNUMBER(SEARCH(Classifiers!$C$15,E288)),1,0))+IF(Classifiers!$D$15="",0,IF(ISNUMBER(SEARCH(Classifiers!$D$15,E288)),1,0))+IF(Classifiers!$E$15="",0,IF(ISNUMBER(SEARCH(Classifiers!$E$15,E288)),1,0))+IF(Classifiers!$F$15="",0,IF(ISNUMBER(SEARCH(Classifiers!$F$15,E288)),1,0))+IF(Classifiers!$G$15="",0,IF(ISNUMBER(SEARCH(Classifiers!$G$15,E288)),1,0)))&gt;0,1,0))</f>
        <v/>
      </c>
      <c r="U288" s="12">
        <f>IF(H288&lt;&gt;1,0,IF((IF(Classifiers!$B$16="",0,IF(ISNUMBER(SEARCH(Classifiers!$B$16,E288)),1,0))+IF(Classifiers!$C$16="",0,IF(ISNUMBER(SEARCH(Classifiers!$C$16,E288)),1,0))+IF(Classifiers!$D$16="",0,IF(ISNUMBER(SEARCH(Classifiers!$D$16,E288)),1,0))+IF(Classifiers!$E$16="",0,IF(ISNUMBER(SEARCH(Classifiers!$E$16,E288)),1,0))+IF(Classifiers!$F$16="",0,IF(ISNUMBER(SEARCH(Classifiers!$F$16,E288)),1,0))+IF(Classifiers!$G$16="",0,IF(ISNUMBER(SEARCH(Classifiers!$G$16,E288)),1,0)))&gt;0,1,0))</f>
        <v/>
      </c>
      <c r="V288" s="12">
        <f>IF(H288&lt;&gt;1,0,IF((IF(Classifiers!$B$17="",0,IF(ISNUMBER(SEARCH(Classifiers!$B$17,E288)),1,0))+IF(Classifiers!$C$17="",0,IF(ISNUMBER(SEARCH(Classifiers!$C$17,E288)),1,0))+IF(Classifiers!$D$17="",0,IF(ISNUMBER(SEARCH(Classifiers!$D$17,E288)),1,0))+IF(Classifiers!$E$17="",0,IF(ISNUMBER(SEARCH(Classifiers!$E$17,E288)),1,0))+IF(Classifiers!$F$17="",0,IF(ISNUMBER(SEARCH(Classifiers!$F$17,E288)),1,0))+IF(Classifiers!$G$17="",0,IF(ISNUMBER(SEARCH(Classifiers!$G$17,E288)),1,0)))&gt;0,1,0))</f>
        <v/>
      </c>
      <c r="W288" s="12">
        <f>IF(H288&lt;&gt;1,0,IF((IF(Classifiers!$B$18="",0,IF(ISNUMBER(SEARCH(Classifiers!$B$18,E288)),1,0))+IF(Classifiers!$C$18="",0,IF(ISNUMBER(SEARCH(Classifiers!$C$18,E288)),1,0))+IF(Classifiers!$D$18="",0,IF(ISNUMBER(SEARCH(Classifiers!$D$18,E288)),1,0))+IF(Classifiers!$E$18="",0,IF(ISNUMBER(SEARCH(Classifiers!$E$18,E288)),1,0))+IF(Classifiers!$F$18="",0,IF(ISNUMBER(SEARCH(Classifiers!$F$18,E288)),1,0))+IF(Classifiers!$G$18="",0,IF(ISNUMBER(SEARCH(Classifiers!$G$18,E288)),1,0)))&gt;0,1,0))</f>
        <v/>
      </c>
    </row>
    <row r="289">
      <c r="A289" s="8" t="n"/>
      <c r="B289" s="11" t="n"/>
      <c r="C289" s="6">
        <f>IF(A289="","",TRIM(RIGHT(SUBSTITUTE(A289,"/",REPT(" ",250)),250)))</f>
        <v/>
      </c>
      <c r="D289" s="6">
        <f>IF(C289="","",IF(ISNUMBER(SEARCH(".",C289)),LOWER("."&amp;TRIM(RIGHT(SUBSTITUTE(C289,".",REPT(" ",250)),250))),""))</f>
        <v/>
      </c>
      <c r="E289" s="6">
        <f>IF(C289="","",TRIM(SUBSTITUTE(SUBSTITUTE(SUBSTITUTE(SUBSTITUTE(SUBSTITUTE(SUBSTITUTE(SUBSTITUTE(SUBSTITUTE(SUBSTITUTE(SUBSTITUTE(SUBSTITUTE(SUBSTITUTE(SUBSTITUTE(SUBSTITUTE(SUBSTITUTE(SUBSTITUTE(SUBSTITUTE(SUBSTITUTE(SUBSTITUTE(SUBSTITUTE(LOWER(LEFT(C289,LEN(C289)-LEN(D289))),"_"," "),"-"," "),"."," "),","," "),"("," "),")"," "),"["," "),"]"," "),"&amp;"," "),"+"," "),"@"," "),"#"," "),"!"," "),"'"," "),"/"," "),":"," "),";"," "),"="," "),"~"," "),"%"," ")))</f>
        <v/>
      </c>
      <c r="F289" s="6">
        <f>IF(C289="","",IF(COUNTIF(Classifiers!$A$23:$A$40,D289)&gt;0,1,0))</f>
        <v/>
      </c>
      <c r="G289" s="6">
        <f>IF(C289="","",IF(COUNTIF(Classifiers!$C$23:$C$30,D289)&gt;0,IF((IF(ISNUMBER(SEARCH(Classifiers!$E$23,E289)),1,0)+IF(ISNUMBER(SEARCH(Classifiers!$E$24,E289)),1,0)+IF(ISNUMBER(SEARCH(Classifiers!$E$25,E289)),1,0)+IF(ISNUMBER(SEARCH(Classifiers!$E$26,E289)),1,0)+IF(ISNUMBER(SEARCH(Classifiers!$E$27,E289)),1,0)+IF(ISNUMBER(SEARCH(Classifiers!$E$28,E289)),1,0)+IF(ISNUMBER(SEARCH(Classifiers!$E$29,E289)),1,0)+IF(ISNUMBER(SEARCH(Classifiers!$E$30,E289)),1,0))&gt;0,1,0),0))</f>
        <v/>
      </c>
      <c r="H289" s="6">
        <f>IF(C289="","",IF(OR(LEFT(C289,1)=".",AND(F289=0,G289=0)),0,1))</f>
        <v/>
      </c>
      <c r="I289" s="6">
        <f>IF(H289&lt;&gt;1,"",IF(SUM(J289:W289)=0,"unclassified",INDEX(Classifiers!$A$5:$A$18,MATCH(1,J289:W289,0),1)))</f>
        <v/>
      </c>
      <c r="J289" s="12">
        <f>IF(H289&lt;&gt;1,0,IF((IF(Classifiers!$B$5="",0,IF(ISNUMBER(SEARCH(Classifiers!$B$5,E289)),1,0))+IF(Classifiers!$C$5="",0,IF(ISNUMBER(SEARCH(Classifiers!$C$5,E289)),1,0))+IF(Classifiers!$D$5="",0,IF(ISNUMBER(SEARCH(Classifiers!$D$5,E289)),1,0))+IF(Classifiers!$E$5="",0,IF(ISNUMBER(SEARCH(Classifiers!$E$5,E289)),1,0))+IF(Classifiers!$F$5="",0,IF(ISNUMBER(SEARCH(Classifiers!$F$5,E289)),1,0))+IF(Classifiers!$G$5="",0,IF(ISNUMBER(SEARCH(Classifiers!$G$5,E289)),1,0)))&gt;0,1,0))</f>
        <v/>
      </c>
      <c r="K289" s="12">
        <f>IF(H289&lt;&gt;1,0,IF((IF(Classifiers!$B$6="",0,IF(ISNUMBER(SEARCH(Classifiers!$B$6,E289)),1,0))+IF(Classifiers!$C$6="",0,IF(ISNUMBER(SEARCH(Classifiers!$C$6,E289)),1,0))+IF(Classifiers!$D$6="",0,IF(ISNUMBER(SEARCH(Classifiers!$D$6,E289)),1,0))+IF(Classifiers!$E$6="",0,IF(ISNUMBER(SEARCH(Classifiers!$E$6,E289)),1,0))+IF(Classifiers!$F$6="",0,IF(ISNUMBER(SEARCH(Classifiers!$F$6,E289)),1,0))+IF(Classifiers!$G$6="",0,IF(ISNUMBER(SEARCH(Classifiers!$G$6,E289)),1,0)))&gt;0,1,0))</f>
        <v/>
      </c>
      <c r="L289" s="12">
        <f>IF(H289&lt;&gt;1,0,IF((IF(Classifiers!$B$7="",0,IF(ISNUMBER(SEARCH(Classifiers!$B$7,E289)),1,0))+IF(Classifiers!$C$7="",0,IF(ISNUMBER(SEARCH(Classifiers!$C$7,E289)),1,0))+IF(Classifiers!$D$7="",0,IF(ISNUMBER(SEARCH(Classifiers!$D$7,E289)),1,0))+IF(Classifiers!$E$7="",0,IF(ISNUMBER(SEARCH(Classifiers!$E$7,E289)),1,0))+IF(Classifiers!$F$7="",0,IF(ISNUMBER(SEARCH(Classifiers!$F$7,E289)),1,0))+IF(Classifiers!$G$7="",0,IF(ISNUMBER(SEARCH(Classifiers!$G$7,E289)),1,0)))&gt;0,1,0))</f>
        <v/>
      </c>
      <c r="M289" s="12">
        <f>IF(H289&lt;&gt;1,0,IF((IF(Classifiers!$B$8="",0,IF(ISNUMBER(SEARCH(Classifiers!$B$8,E289)),1,0))+IF(Classifiers!$C$8="",0,IF(ISNUMBER(SEARCH(Classifiers!$C$8,E289)),1,0))+IF(Classifiers!$D$8="",0,IF(ISNUMBER(SEARCH(Classifiers!$D$8,E289)),1,0))+IF(Classifiers!$E$8="",0,IF(ISNUMBER(SEARCH(Classifiers!$E$8,E289)),1,0))+IF(Classifiers!$F$8="",0,IF(ISNUMBER(SEARCH(Classifiers!$F$8,E289)),1,0))+IF(Classifiers!$G$8="",0,IF(ISNUMBER(SEARCH(Classifiers!$G$8,E289)),1,0)))&gt;0,1,0))</f>
        <v/>
      </c>
      <c r="N289" s="12">
        <f>IF(H289&lt;&gt;1,0,IF((IF(Classifiers!$B$9="",0,IF(ISNUMBER(SEARCH(Classifiers!$B$9,E289)),1,0))+IF(Classifiers!$C$9="",0,IF(ISNUMBER(SEARCH(Classifiers!$C$9,E289)),1,0))+IF(Classifiers!$D$9="",0,IF(ISNUMBER(SEARCH(Classifiers!$D$9,E289)),1,0))+IF(Classifiers!$E$9="",0,IF(ISNUMBER(SEARCH(Classifiers!$E$9,E289)),1,0))+IF(Classifiers!$F$9="",0,IF(ISNUMBER(SEARCH(Classifiers!$F$9,E289)),1,0))+IF(Classifiers!$G$9="",0,IF(ISNUMBER(SEARCH(Classifiers!$G$9,E289)),1,0)))&gt;0,1,0))</f>
        <v/>
      </c>
      <c r="O289" s="12">
        <f>IF(H289&lt;&gt;1,0,IF((IF(Classifiers!$B$10="",0,IF(ISNUMBER(SEARCH(Classifiers!$B$10,E289)),1,0))+IF(Classifiers!$C$10="",0,IF(ISNUMBER(SEARCH(Classifiers!$C$10,E289)),1,0))+IF(Classifiers!$D$10="",0,IF(ISNUMBER(SEARCH(Classifiers!$D$10,E289)),1,0))+IF(Classifiers!$E$10="",0,IF(ISNUMBER(SEARCH(Classifiers!$E$10,E289)),1,0))+IF(Classifiers!$F$10="",0,IF(ISNUMBER(SEARCH(Classifiers!$F$10,E289)),1,0))+IF(Classifiers!$G$10="",0,IF(ISNUMBER(SEARCH(Classifiers!$G$10,E289)),1,0)))&gt;0,1,0))</f>
        <v/>
      </c>
      <c r="P289" s="12">
        <f>IF(H289&lt;&gt;1,0,IF((IF(Classifiers!$B$11="",0,IF(ISNUMBER(SEARCH(Classifiers!$B$11,E289)),1,0))+IF(Classifiers!$C$11="",0,IF(ISNUMBER(SEARCH(Classifiers!$C$11,E289)),1,0))+IF(Classifiers!$D$11="",0,IF(ISNUMBER(SEARCH(Classifiers!$D$11,E289)),1,0))+IF(Classifiers!$E$11="",0,IF(ISNUMBER(SEARCH(Classifiers!$E$11,E289)),1,0))+IF(Classifiers!$F$11="",0,IF(ISNUMBER(SEARCH(Classifiers!$F$11,E289)),1,0))+IF(Classifiers!$G$11="",0,IF(ISNUMBER(SEARCH(Classifiers!$G$11,E289)),1,0)))&gt;0,1,0))</f>
        <v/>
      </c>
      <c r="Q289" s="12">
        <f>IF(H289&lt;&gt;1,0,IF((IF(Classifiers!$B$12="",0,IF(ISNUMBER(SEARCH(Classifiers!$B$12,E289)),1,0))+IF(Classifiers!$C$12="",0,IF(ISNUMBER(SEARCH(Classifiers!$C$12,E289)),1,0))+IF(Classifiers!$D$12="",0,IF(ISNUMBER(SEARCH(Classifiers!$D$12,E289)),1,0))+IF(Classifiers!$E$12="",0,IF(ISNUMBER(SEARCH(Classifiers!$E$12,E289)),1,0))+IF(Classifiers!$F$12="",0,IF(ISNUMBER(SEARCH(Classifiers!$F$12,E289)),1,0))+IF(Classifiers!$G$12="",0,IF(ISNUMBER(SEARCH(Classifiers!$G$12,E289)),1,0)))&gt;0,1,0))</f>
        <v/>
      </c>
      <c r="R289" s="12">
        <f>IF(H289&lt;&gt;1,0,IF((IF(Classifiers!$B$13="",0,IF(ISNUMBER(SEARCH(Classifiers!$B$13,E289)),1,0))+IF(Classifiers!$C$13="",0,IF(ISNUMBER(SEARCH(Classifiers!$C$13,E289)),1,0))+IF(Classifiers!$D$13="",0,IF(ISNUMBER(SEARCH(Classifiers!$D$13,E289)),1,0))+IF(Classifiers!$E$13="",0,IF(ISNUMBER(SEARCH(Classifiers!$E$13,E289)),1,0))+IF(Classifiers!$F$13="",0,IF(ISNUMBER(SEARCH(Classifiers!$F$13,E289)),1,0))+IF(Classifiers!$G$13="",0,IF(ISNUMBER(SEARCH(Classifiers!$G$13,E289)),1,0)))&gt;0,1,0))</f>
        <v/>
      </c>
      <c r="S289" s="12">
        <f>IF(H289&lt;&gt;1,0,IF((IF(Classifiers!$B$14="",0,IF(ISNUMBER(SEARCH(Classifiers!$B$14,E289)),1,0))+IF(Classifiers!$C$14="",0,IF(ISNUMBER(SEARCH(Classifiers!$C$14,E289)),1,0))+IF(Classifiers!$D$14="",0,IF(ISNUMBER(SEARCH(Classifiers!$D$14,E289)),1,0))+IF(Classifiers!$E$14="",0,IF(ISNUMBER(SEARCH(Classifiers!$E$14,E289)),1,0))+IF(Classifiers!$F$14="",0,IF(ISNUMBER(SEARCH(Classifiers!$F$14,E289)),1,0))+IF(Classifiers!$G$14="",0,IF(ISNUMBER(SEARCH(Classifiers!$G$14,E289)),1,0)))&gt;0,1,0))</f>
        <v/>
      </c>
      <c r="T289" s="12">
        <f>IF(H289&lt;&gt;1,0,IF((IF(Classifiers!$B$15="",0,IF(ISNUMBER(SEARCH(Classifiers!$B$15,E289)),1,0))+IF(Classifiers!$C$15="",0,IF(ISNUMBER(SEARCH(Classifiers!$C$15,E289)),1,0))+IF(Classifiers!$D$15="",0,IF(ISNUMBER(SEARCH(Classifiers!$D$15,E289)),1,0))+IF(Classifiers!$E$15="",0,IF(ISNUMBER(SEARCH(Classifiers!$E$15,E289)),1,0))+IF(Classifiers!$F$15="",0,IF(ISNUMBER(SEARCH(Classifiers!$F$15,E289)),1,0))+IF(Classifiers!$G$15="",0,IF(ISNUMBER(SEARCH(Classifiers!$G$15,E289)),1,0)))&gt;0,1,0))</f>
        <v/>
      </c>
      <c r="U289" s="12">
        <f>IF(H289&lt;&gt;1,0,IF((IF(Classifiers!$B$16="",0,IF(ISNUMBER(SEARCH(Classifiers!$B$16,E289)),1,0))+IF(Classifiers!$C$16="",0,IF(ISNUMBER(SEARCH(Classifiers!$C$16,E289)),1,0))+IF(Classifiers!$D$16="",0,IF(ISNUMBER(SEARCH(Classifiers!$D$16,E289)),1,0))+IF(Classifiers!$E$16="",0,IF(ISNUMBER(SEARCH(Classifiers!$E$16,E289)),1,0))+IF(Classifiers!$F$16="",0,IF(ISNUMBER(SEARCH(Classifiers!$F$16,E289)),1,0))+IF(Classifiers!$G$16="",0,IF(ISNUMBER(SEARCH(Classifiers!$G$16,E289)),1,0)))&gt;0,1,0))</f>
        <v/>
      </c>
      <c r="V289" s="12">
        <f>IF(H289&lt;&gt;1,0,IF((IF(Classifiers!$B$17="",0,IF(ISNUMBER(SEARCH(Classifiers!$B$17,E289)),1,0))+IF(Classifiers!$C$17="",0,IF(ISNUMBER(SEARCH(Classifiers!$C$17,E289)),1,0))+IF(Classifiers!$D$17="",0,IF(ISNUMBER(SEARCH(Classifiers!$D$17,E289)),1,0))+IF(Classifiers!$E$17="",0,IF(ISNUMBER(SEARCH(Classifiers!$E$17,E289)),1,0))+IF(Classifiers!$F$17="",0,IF(ISNUMBER(SEARCH(Classifiers!$F$17,E289)),1,0))+IF(Classifiers!$G$17="",0,IF(ISNUMBER(SEARCH(Classifiers!$G$17,E289)),1,0)))&gt;0,1,0))</f>
        <v/>
      </c>
      <c r="W289" s="12">
        <f>IF(H289&lt;&gt;1,0,IF((IF(Classifiers!$B$18="",0,IF(ISNUMBER(SEARCH(Classifiers!$B$18,E289)),1,0))+IF(Classifiers!$C$18="",0,IF(ISNUMBER(SEARCH(Classifiers!$C$18,E289)),1,0))+IF(Classifiers!$D$18="",0,IF(ISNUMBER(SEARCH(Classifiers!$D$18,E289)),1,0))+IF(Classifiers!$E$18="",0,IF(ISNUMBER(SEARCH(Classifiers!$E$18,E289)),1,0))+IF(Classifiers!$F$18="",0,IF(ISNUMBER(SEARCH(Classifiers!$F$18,E289)),1,0))+IF(Classifiers!$G$18="",0,IF(ISNUMBER(SEARCH(Classifiers!$G$18,E289)),1,0)))&gt;0,1,0))</f>
        <v/>
      </c>
    </row>
    <row r="290">
      <c r="A290" s="8" t="n"/>
      <c r="B290" s="11" t="n"/>
      <c r="C290" s="6">
        <f>IF(A290="","",TRIM(RIGHT(SUBSTITUTE(A290,"/",REPT(" ",250)),250)))</f>
        <v/>
      </c>
      <c r="D290" s="6">
        <f>IF(C290="","",IF(ISNUMBER(SEARCH(".",C290)),LOWER("."&amp;TRIM(RIGHT(SUBSTITUTE(C290,".",REPT(" ",250)),250))),""))</f>
        <v/>
      </c>
      <c r="E290" s="6">
        <f>IF(C290="","",TRIM(SUBSTITUTE(SUBSTITUTE(SUBSTITUTE(SUBSTITUTE(SUBSTITUTE(SUBSTITUTE(SUBSTITUTE(SUBSTITUTE(SUBSTITUTE(SUBSTITUTE(SUBSTITUTE(SUBSTITUTE(SUBSTITUTE(SUBSTITUTE(SUBSTITUTE(SUBSTITUTE(SUBSTITUTE(SUBSTITUTE(SUBSTITUTE(SUBSTITUTE(LOWER(LEFT(C290,LEN(C290)-LEN(D290))),"_"," "),"-"," "),"."," "),","," "),"("," "),")"," "),"["," "),"]"," "),"&amp;"," "),"+"," "),"@"," "),"#"," "),"!"," "),"'"," "),"/"," "),":"," "),";"," "),"="," "),"~"," "),"%"," ")))</f>
        <v/>
      </c>
      <c r="F290" s="6">
        <f>IF(C290="","",IF(COUNTIF(Classifiers!$A$23:$A$40,D290)&gt;0,1,0))</f>
        <v/>
      </c>
      <c r="G290" s="6">
        <f>IF(C290="","",IF(COUNTIF(Classifiers!$C$23:$C$30,D290)&gt;0,IF((IF(ISNUMBER(SEARCH(Classifiers!$E$23,E290)),1,0)+IF(ISNUMBER(SEARCH(Classifiers!$E$24,E290)),1,0)+IF(ISNUMBER(SEARCH(Classifiers!$E$25,E290)),1,0)+IF(ISNUMBER(SEARCH(Classifiers!$E$26,E290)),1,0)+IF(ISNUMBER(SEARCH(Classifiers!$E$27,E290)),1,0)+IF(ISNUMBER(SEARCH(Classifiers!$E$28,E290)),1,0)+IF(ISNUMBER(SEARCH(Classifiers!$E$29,E290)),1,0)+IF(ISNUMBER(SEARCH(Classifiers!$E$30,E290)),1,0))&gt;0,1,0),0))</f>
        <v/>
      </c>
      <c r="H290" s="6">
        <f>IF(C290="","",IF(OR(LEFT(C290,1)=".",AND(F290=0,G290=0)),0,1))</f>
        <v/>
      </c>
      <c r="I290" s="6">
        <f>IF(H290&lt;&gt;1,"",IF(SUM(J290:W290)=0,"unclassified",INDEX(Classifiers!$A$5:$A$18,MATCH(1,J290:W290,0),1)))</f>
        <v/>
      </c>
      <c r="J290" s="12">
        <f>IF(H290&lt;&gt;1,0,IF((IF(Classifiers!$B$5="",0,IF(ISNUMBER(SEARCH(Classifiers!$B$5,E290)),1,0))+IF(Classifiers!$C$5="",0,IF(ISNUMBER(SEARCH(Classifiers!$C$5,E290)),1,0))+IF(Classifiers!$D$5="",0,IF(ISNUMBER(SEARCH(Classifiers!$D$5,E290)),1,0))+IF(Classifiers!$E$5="",0,IF(ISNUMBER(SEARCH(Classifiers!$E$5,E290)),1,0))+IF(Classifiers!$F$5="",0,IF(ISNUMBER(SEARCH(Classifiers!$F$5,E290)),1,0))+IF(Classifiers!$G$5="",0,IF(ISNUMBER(SEARCH(Classifiers!$G$5,E290)),1,0)))&gt;0,1,0))</f>
        <v/>
      </c>
      <c r="K290" s="12">
        <f>IF(H290&lt;&gt;1,0,IF((IF(Classifiers!$B$6="",0,IF(ISNUMBER(SEARCH(Classifiers!$B$6,E290)),1,0))+IF(Classifiers!$C$6="",0,IF(ISNUMBER(SEARCH(Classifiers!$C$6,E290)),1,0))+IF(Classifiers!$D$6="",0,IF(ISNUMBER(SEARCH(Classifiers!$D$6,E290)),1,0))+IF(Classifiers!$E$6="",0,IF(ISNUMBER(SEARCH(Classifiers!$E$6,E290)),1,0))+IF(Classifiers!$F$6="",0,IF(ISNUMBER(SEARCH(Classifiers!$F$6,E290)),1,0))+IF(Classifiers!$G$6="",0,IF(ISNUMBER(SEARCH(Classifiers!$G$6,E290)),1,0)))&gt;0,1,0))</f>
        <v/>
      </c>
      <c r="L290" s="12">
        <f>IF(H290&lt;&gt;1,0,IF((IF(Classifiers!$B$7="",0,IF(ISNUMBER(SEARCH(Classifiers!$B$7,E290)),1,0))+IF(Classifiers!$C$7="",0,IF(ISNUMBER(SEARCH(Classifiers!$C$7,E290)),1,0))+IF(Classifiers!$D$7="",0,IF(ISNUMBER(SEARCH(Classifiers!$D$7,E290)),1,0))+IF(Classifiers!$E$7="",0,IF(ISNUMBER(SEARCH(Classifiers!$E$7,E290)),1,0))+IF(Classifiers!$F$7="",0,IF(ISNUMBER(SEARCH(Classifiers!$F$7,E290)),1,0))+IF(Classifiers!$G$7="",0,IF(ISNUMBER(SEARCH(Classifiers!$G$7,E290)),1,0)))&gt;0,1,0))</f>
        <v/>
      </c>
      <c r="M290" s="12">
        <f>IF(H290&lt;&gt;1,0,IF((IF(Classifiers!$B$8="",0,IF(ISNUMBER(SEARCH(Classifiers!$B$8,E290)),1,0))+IF(Classifiers!$C$8="",0,IF(ISNUMBER(SEARCH(Classifiers!$C$8,E290)),1,0))+IF(Classifiers!$D$8="",0,IF(ISNUMBER(SEARCH(Classifiers!$D$8,E290)),1,0))+IF(Classifiers!$E$8="",0,IF(ISNUMBER(SEARCH(Classifiers!$E$8,E290)),1,0))+IF(Classifiers!$F$8="",0,IF(ISNUMBER(SEARCH(Classifiers!$F$8,E290)),1,0))+IF(Classifiers!$G$8="",0,IF(ISNUMBER(SEARCH(Classifiers!$G$8,E290)),1,0)))&gt;0,1,0))</f>
        <v/>
      </c>
      <c r="N290" s="12">
        <f>IF(H290&lt;&gt;1,0,IF((IF(Classifiers!$B$9="",0,IF(ISNUMBER(SEARCH(Classifiers!$B$9,E290)),1,0))+IF(Classifiers!$C$9="",0,IF(ISNUMBER(SEARCH(Classifiers!$C$9,E290)),1,0))+IF(Classifiers!$D$9="",0,IF(ISNUMBER(SEARCH(Classifiers!$D$9,E290)),1,0))+IF(Classifiers!$E$9="",0,IF(ISNUMBER(SEARCH(Classifiers!$E$9,E290)),1,0))+IF(Classifiers!$F$9="",0,IF(ISNUMBER(SEARCH(Classifiers!$F$9,E290)),1,0))+IF(Classifiers!$G$9="",0,IF(ISNUMBER(SEARCH(Classifiers!$G$9,E290)),1,0)))&gt;0,1,0))</f>
        <v/>
      </c>
      <c r="O290" s="12">
        <f>IF(H290&lt;&gt;1,0,IF((IF(Classifiers!$B$10="",0,IF(ISNUMBER(SEARCH(Classifiers!$B$10,E290)),1,0))+IF(Classifiers!$C$10="",0,IF(ISNUMBER(SEARCH(Classifiers!$C$10,E290)),1,0))+IF(Classifiers!$D$10="",0,IF(ISNUMBER(SEARCH(Classifiers!$D$10,E290)),1,0))+IF(Classifiers!$E$10="",0,IF(ISNUMBER(SEARCH(Classifiers!$E$10,E290)),1,0))+IF(Classifiers!$F$10="",0,IF(ISNUMBER(SEARCH(Classifiers!$F$10,E290)),1,0))+IF(Classifiers!$G$10="",0,IF(ISNUMBER(SEARCH(Classifiers!$G$10,E290)),1,0)))&gt;0,1,0))</f>
        <v/>
      </c>
      <c r="P290" s="12">
        <f>IF(H290&lt;&gt;1,0,IF((IF(Classifiers!$B$11="",0,IF(ISNUMBER(SEARCH(Classifiers!$B$11,E290)),1,0))+IF(Classifiers!$C$11="",0,IF(ISNUMBER(SEARCH(Classifiers!$C$11,E290)),1,0))+IF(Classifiers!$D$11="",0,IF(ISNUMBER(SEARCH(Classifiers!$D$11,E290)),1,0))+IF(Classifiers!$E$11="",0,IF(ISNUMBER(SEARCH(Classifiers!$E$11,E290)),1,0))+IF(Classifiers!$F$11="",0,IF(ISNUMBER(SEARCH(Classifiers!$F$11,E290)),1,0))+IF(Classifiers!$G$11="",0,IF(ISNUMBER(SEARCH(Classifiers!$G$11,E290)),1,0)))&gt;0,1,0))</f>
        <v/>
      </c>
      <c r="Q290" s="12">
        <f>IF(H290&lt;&gt;1,0,IF((IF(Classifiers!$B$12="",0,IF(ISNUMBER(SEARCH(Classifiers!$B$12,E290)),1,0))+IF(Classifiers!$C$12="",0,IF(ISNUMBER(SEARCH(Classifiers!$C$12,E290)),1,0))+IF(Classifiers!$D$12="",0,IF(ISNUMBER(SEARCH(Classifiers!$D$12,E290)),1,0))+IF(Classifiers!$E$12="",0,IF(ISNUMBER(SEARCH(Classifiers!$E$12,E290)),1,0))+IF(Classifiers!$F$12="",0,IF(ISNUMBER(SEARCH(Classifiers!$F$12,E290)),1,0))+IF(Classifiers!$G$12="",0,IF(ISNUMBER(SEARCH(Classifiers!$G$12,E290)),1,0)))&gt;0,1,0))</f>
        <v/>
      </c>
      <c r="R290" s="12">
        <f>IF(H290&lt;&gt;1,0,IF((IF(Classifiers!$B$13="",0,IF(ISNUMBER(SEARCH(Classifiers!$B$13,E290)),1,0))+IF(Classifiers!$C$13="",0,IF(ISNUMBER(SEARCH(Classifiers!$C$13,E290)),1,0))+IF(Classifiers!$D$13="",0,IF(ISNUMBER(SEARCH(Classifiers!$D$13,E290)),1,0))+IF(Classifiers!$E$13="",0,IF(ISNUMBER(SEARCH(Classifiers!$E$13,E290)),1,0))+IF(Classifiers!$F$13="",0,IF(ISNUMBER(SEARCH(Classifiers!$F$13,E290)),1,0))+IF(Classifiers!$G$13="",0,IF(ISNUMBER(SEARCH(Classifiers!$G$13,E290)),1,0)))&gt;0,1,0))</f>
        <v/>
      </c>
      <c r="S290" s="12">
        <f>IF(H290&lt;&gt;1,0,IF((IF(Classifiers!$B$14="",0,IF(ISNUMBER(SEARCH(Classifiers!$B$14,E290)),1,0))+IF(Classifiers!$C$14="",0,IF(ISNUMBER(SEARCH(Classifiers!$C$14,E290)),1,0))+IF(Classifiers!$D$14="",0,IF(ISNUMBER(SEARCH(Classifiers!$D$14,E290)),1,0))+IF(Classifiers!$E$14="",0,IF(ISNUMBER(SEARCH(Classifiers!$E$14,E290)),1,0))+IF(Classifiers!$F$14="",0,IF(ISNUMBER(SEARCH(Classifiers!$F$14,E290)),1,0))+IF(Classifiers!$G$14="",0,IF(ISNUMBER(SEARCH(Classifiers!$G$14,E290)),1,0)))&gt;0,1,0))</f>
        <v/>
      </c>
      <c r="T290" s="12">
        <f>IF(H290&lt;&gt;1,0,IF((IF(Classifiers!$B$15="",0,IF(ISNUMBER(SEARCH(Classifiers!$B$15,E290)),1,0))+IF(Classifiers!$C$15="",0,IF(ISNUMBER(SEARCH(Classifiers!$C$15,E290)),1,0))+IF(Classifiers!$D$15="",0,IF(ISNUMBER(SEARCH(Classifiers!$D$15,E290)),1,0))+IF(Classifiers!$E$15="",0,IF(ISNUMBER(SEARCH(Classifiers!$E$15,E290)),1,0))+IF(Classifiers!$F$15="",0,IF(ISNUMBER(SEARCH(Classifiers!$F$15,E290)),1,0))+IF(Classifiers!$G$15="",0,IF(ISNUMBER(SEARCH(Classifiers!$G$15,E290)),1,0)))&gt;0,1,0))</f>
        <v/>
      </c>
      <c r="U290" s="12">
        <f>IF(H290&lt;&gt;1,0,IF((IF(Classifiers!$B$16="",0,IF(ISNUMBER(SEARCH(Classifiers!$B$16,E290)),1,0))+IF(Classifiers!$C$16="",0,IF(ISNUMBER(SEARCH(Classifiers!$C$16,E290)),1,0))+IF(Classifiers!$D$16="",0,IF(ISNUMBER(SEARCH(Classifiers!$D$16,E290)),1,0))+IF(Classifiers!$E$16="",0,IF(ISNUMBER(SEARCH(Classifiers!$E$16,E290)),1,0))+IF(Classifiers!$F$16="",0,IF(ISNUMBER(SEARCH(Classifiers!$F$16,E290)),1,0))+IF(Classifiers!$G$16="",0,IF(ISNUMBER(SEARCH(Classifiers!$G$16,E290)),1,0)))&gt;0,1,0))</f>
        <v/>
      </c>
      <c r="V290" s="12">
        <f>IF(H290&lt;&gt;1,0,IF((IF(Classifiers!$B$17="",0,IF(ISNUMBER(SEARCH(Classifiers!$B$17,E290)),1,0))+IF(Classifiers!$C$17="",0,IF(ISNUMBER(SEARCH(Classifiers!$C$17,E290)),1,0))+IF(Classifiers!$D$17="",0,IF(ISNUMBER(SEARCH(Classifiers!$D$17,E290)),1,0))+IF(Classifiers!$E$17="",0,IF(ISNUMBER(SEARCH(Classifiers!$E$17,E290)),1,0))+IF(Classifiers!$F$17="",0,IF(ISNUMBER(SEARCH(Classifiers!$F$17,E290)),1,0))+IF(Classifiers!$G$17="",0,IF(ISNUMBER(SEARCH(Classifiers!$G$17,E290)),1,0)))&gt;0,1,0))</f>
        <v/>
      </c>
      <c r="W290" s="12">
        <f>IF(H290&lt;&gt;1,0,IF((IF(Classifiers!$B$18="",0,IF(ISNUMBER(SEARCH(Classifiers!$B$18,E290)),1,0))+IF(Classifiers!$C$18="",0,IF(ISNUMBER(SEARCH(Classifiers!$C$18,E290)),1,0))+IF(Classifiers!$D$18="",0,IF(ISNUMBER(SEARCH(Classifiers!$D$18,E290)),1,0))+IF(Classifiers!$E$18="",0,IF(ISNUMBER(SEARCH(Classifiers!$E$18,E290)),1,0))+IF(Classifiers!$F$18="",0,IF(ISNUMBER(SEARCH(Classifiers!$F$18,E290)),1,0))+IF(Classifiers!$G$18="",0,IF(ISNUMBER(SEARCH(Classifiers!$G$18,E290)),1,0)))&gt;0,1,0))</f>
        <v/>
      </c>
    </row>
    <row r="291">
      <c r="A291" s="8" t="n"/>
      <c r="B291" s="11" t="n"/>
      <c r="C291" s="6">
        <f>IF(A291="","",TRIM(RIGHT(SUBSTITUTE(A291,"/",REPT(" ",250)),250)))</f>
        <v/>
      </c>
      <c r="D291" s="6">
        <f>IF(C291="","",IF(ISNUMBER(SEARCH(".",C291)),LOWER("."&amp;TRIM(RIGHT(SUBSTITUTE(C291,".",REPT(" ",250)),250))),""))</f>
        <v/>
      </c>
      <c r="E291" s="6">
        <f>IF(C291="","",TRIM(SUBSTITUTE(SUBSTITUTE(SUBSTITUTE(SUBSTITUTE(SUBSTITUTE(SUBSTITUTE(SUBSTITUTE(SUBSTITUTE(SUBSTITUTE(SUBSTITUTE(SUBSTITUTE(SUBSTITUTE(SUBSTITUTE(SUBSTITUTE(SUBSTITUTE(SUBSTITUTE(SUBSTITUTE(SUBSTITUTE(SUBSTITUTE(SUBSTITUTE(LOWER(LEFT(C291,LEN(C291)-LEN(D291))),"_"," "),"-"," "),"."," "),","," "),"("," "),")"," "),"["," "),"]"," "),"&amp;"," "),"+"," "),"@"," "),"#"," "),"!"," "),"'"," "),"/"," "),":"," "),";"," "),"="," "),"~"," "),"%"," ")))</f>
        <v/>
      </c>
      <c r="F291" s="6">
        <f>IF(C291="","",IF(COUNTIF(Classifiers!$A$23:$A$40,D291)&gt;0,1,0))</f>
        <v/>
      </c>
      <c r="G291" s="6">
        <f>IF(C291="","",IF(COUNTIF(Classifiers!$C$23:$C$30,D291)&gt;0,IF((IF(ISNUMBER(SEARCH(Classifiers!$E$23,E291)),1,0)+IF(ISNUMBER(SEARCH(Classifiers!$E$24,E291)),1,0)+IF(ISNUMBER(SEARCH(Classifiers!$E$25,E291)),1,0)+IF(ISNUMBER(SEARCH(Classifiers!$E$26,E291)),1,0)+IF(ISNUMBER(SEARCH(Classifiers!$E$27,E291)),1,0)+IF(ISNUMBER(SEARCH(Classifiers!$E$28,E291)),1,0)+IF(ISNUMBER(SEARCH(Classifiers!$E$29,E291)),1,0)+IF(ISNUMBER(SEARCH(Classifiers!$E$30,E291)),1,0))&gt;0,1,0),0))</f>
        <v/>
      </c>
      <c r="H291" s="6">
        <f>IF(C291="","",IF(OR(LEFT(C291,1)=".",AND(F291=0,G291=0)),0,1))</f>
        <v/>
      </c>
      <c r="I291" s="6">
        <f>IF(H291&lt;&gt;1,"",IF(SUM(J291:W291)=0,"unclassified",INDEX(Classifiers!$A$5:$A$18,MATCH(1,J291:W291,0),1)))</f>
        <v/>
      </c>
      <c r="J291" s="12">
        <f>IF(H291&lt;&gt;1,0,IF((IF(Classifiers!$B$5="",0,IF(ISNUMBER(SEARCH(Classifiers!$B$5,E291)),1,0))+IF(Classifiers!$C$5="",0,IF(ISNUMBER(SEARCH(Classifiers!$C$5,E291)),1,0))+IF(Classifiers!$D$5="",0,IF(ISNUMBER(SEARCH(Classifiers!$D$5,E291)),1,0))+IF(Classifiers!$E$5="",0,IF(ISNUMBER(SEARCH(Classifiers!$E$5,E291)),1,0))+IF(Classifiers!$F$5="",0,IF(ISNUMBER(SEARCH(Classifiers!$F$5,E291)),1,0))+IF(Classifiers!$G$5="",0,IF(ISNUMBER(SEARCH(Classifiers!$G$5,E291)),1,0)))&gt;0,1,0))</f>
        <v/>
      </c>
      <c r="K291" s="12">
        <f>IF(H291&lt;&gt;1,0,IF((IF(Classifiers!$B$6="",0,IF(ISNUMBER(SEARCH(Classifiers!$B$6,E291)),1,0))+IF(Classifiers!$C$6="",0,IF(ISNUMBER(SEARCH(Classifiers!$C$6,E291)),1,0))+IF(Classifiers!$D$6="",0,IF(ISNUMBER(SEARCH(Classifiers!$D$6,E291)),1,0))+IF(Classifiers!$E$6="",0,IF(ISNUMBER(SEARCH(Classifiers!$E$6,E291)),1,0))+IF(Classifiers!$F$6="",0,IF(ISNUMBER(SEARCH(Classifiers!$F$6,E291)),1,0))+IF(Classifiers!$G$6="",0,IF(ISNUMBER(SEARCH(Classifiers!$G$6,E291)),1,0)))&gt;0,1,0))</f>
        <v/>
      </c>
      <c r="L291" s="12">
        <f>IF(H291&lt;&gt;1,0,IF((IF(Classifiers!$B$7="",0,IF(ISNUMBER(SEARCH(Classifiers!$B$7,E291)),1,0))+IF(Classifiers!$C$7="",0,IF(ISNUMBER(SEARCH(Classifiers!$C$7,E291)),1,0))+IF(Classifiers!$D$7="",0,IF(ISNUMBER(SEARCH(Classifiers!$D$7,E291)),1,0))+IF(Classifiers!$E$7="",0,IF(ISNUMBER(SEARCH(Classifiers!$E$7,E291)),1,0))+IF(Classifiers!$F$7="",0,IF(ISNUMBER(SEARCH(Classifiers!$F$7,E291)),1,0))+IF(Classifiers!$G$7="",0,IF(ISNUMBER(SEARCH(Classifiers!$G$7,E291)),1,0)))&gt;0,1,0))</f>
        <v/>
      </c>
      <c r="M291" s="12">
        <f>IF(H291&lt;&gt;1,0,IF((IF(Classifiers!$B$8="",0,IF(ISNUMBER(SEARCH(Classifiers!$B$8,E291)),1,0))+IF(Classifiers!$C$8="",0,IF(ISNUMBER(SEARCH(Classifiers!$C$8,E291)),1,0))+IF(Classifiers!$D$8="",0,IF(ISNUMBER(SEARCH(Classifiers!$D$8,E291)),1,0))+IF(Classifiers!$E$8="",0,IF(ISNUMBER(SEARCH(Classifiers!$E$8,E291)),1,0))+IF(Classifiers!$F$8="",0,IF(ISNUMBER(SEARCH(Classifiers!$F$8,E291)),1,0))+IF(Classifiers!$G$8="",0,IF(ISNUMBER(SEARCH(Classifiers!$G$8,E291)),1,0)))&gt;0,1,0))</f>
        <v/>
      </c>
      <c r="N291" s="12">
        <f>IF(H291&lt;&gt;1,0,IF((IF(Classifiers!$B$9="",0,IF(ISNUMBER(SEARCH(Classifiers!$B$9,E291)),1,0))+IF(Classifiers!$C$9="",0,IF(ISNUMBER(SEARCH(Classifiers!$C$9,E291)),1,0))+IF(Classifiers!$D$9="",0,IF(ISNUMBER(SEARCH(Classifiers!$D$9,E291)),1,0))+IF(Classifiers!$E$9="",0,IF(ISNUMBER(SEARCH(Classifiers!$E$9,E291)),1,0))+IF(Classifiers!$F$9="",0,IF(ISNUMBER(SEARCH(Classifiers!$F$9,E291)),1,0))+IF(Classifiers!$G$9="",0,IF(ISNUMBER(SEARCH(Classifiers!$G$9,E291)),1,0)))&gt;0,1,0))</f>
        <v/>
      </c>
      <c r="O291" s="12">
        <f>IF(H291&lt;&gt;1,0,IF((IF(Classifiers!$B$10="",0,IF(ISNUMBER(SEARCH(Classifiers!$B$10,E291)),1,0))+IF(Classifiers!$C$10="",0,IF(ISNUMBER(SEARCH(Classifiers!$C$10,E291)),1,0))+IF(Classifiers!$D$10="",0,IF(ISNUMBER(SEARCH(Classifiers!$D$10,E291)),1,0))+IF(Classifiers!$E$10="",0,IF(ISNUMBER(SEARCH(Classifiers!$E$10,E291)),1,0))+IF(Classifiers!$F$10="",0,IF(ISNUMBER(SEARCH(Classifiers!$F$10,E291)),1,0))+IF(Classifiers!$G$10="",0,IF(ISNUMBER(SEARCH(Classifiers!$G$10,E291)),1,0)))&gt;0,1,0))</f>
        <v/>
      </c>
      <c r="P291" s="12">
        <f>IF(H291&lt;&gt;1,0,IF((IF(Classifiers!$B$11="",0,IF(ISNUMBER(SEARCH(Classifiers!$B$11,E291)),1,0))+IF(Classifiers!$C$11="",0,IF(ISNUMBER(SEARCH(Classifiers!$C$11,E291)),1,0))+IF(Classifiers!$D$11="",0,IF(ISNUMBER(SEARCH(Classifiers!$D$11,E291)),1,0))+IF(Classifiers!$E$11="",0,IF(ISNUMBER(SEARCH(Classifiers!$E$11,E291)),1,0))+IF(Classifiers!$F$11="",0,IF(ISNUMBER(SEARCH(Classifiers!$F$11,E291)),1,0))+IF(Classifiers!$G$11="",0,IF(ISNUMBER(SEARCH(Classifiers!$G$11,E291)),1,0)))&gt;0,1,0))</f>
        <v/>
      </c>
      <c r="Q291" s="12">
        <f>IF(H291&lt;&gt;1,0,IF((IF(Classifiers!$B$12="",0,IF(ISNUMBER(SEARCH(Classifiers!$B$12,E291)),1,0))+IF(Classifiers!$C$12="",0,IF(ISNUMBER(SEARCH(Classifiers!$C$12,E291)),1,0))+IF(Classifiers!$D$12="",0,IF(ISNUMBER(SEARCH(Classifiers!$D$12,E291)),1,0))+IF(Classifiers!$E$12="",0,IF(ISNUMBER(SEARCH(Classifiers!$E$12,E291)),1,0))+IF(Classifiers!$F$12="",0,IF(ISNUMBER(SEARCH(Classifiers!$F$12,E291)),1,0))+IF(Classifiers!$G$12="",0,IF(ISNUMBER(SEARCH(Classifiers!$G$12,E291)),1,0)))&gt;0,1,0))</f>
        <v/>
      </c>
      <c r="R291" s="12">
        <f>IF(H291&lt;&gt;1,0,IF((IF(Classifiers!$B$13="",0,IF(ISNUMBER(SEARCH(Classifiers!$B$13,E291)),1,0))+IF(Classifiers!$C$13="",0,IF(ISNUMBER(SEARCH(Classifiers!$C$13,E291)),1,0))+IF(Classifiers!$D$13="",0,IF(ISNUMBER(SEARCH(Classifiers!$D$13,E291)),1,0))+IF(Classifiers!$E$13="",0,IF(ISNUMBER(SEARCH(Classifiers!$E$13,E291)),1,0))+IF(Classifiers!$F$13="",0,IF(ISNUMBER(SEARCH(Classifiers!$F$13,E291)),1,0))+IF(Classifiers!$G$13="",0,IF(ISNUMBER(SEARCH(Classifiers!$G$13,E291)),1,0)))&gt;0,1,0))</f>
        <v/>
      </c>
      <c r="S291" s="12">
        <f>IF(H291&lt;&gt;1,0,IF((IF(Classifiers!$B$14="",0,IF(ISNUMBER(SEARCH(Classifiers!$B$14,E291)),1,0))+IF(Classifiers!$C$14="",0,IF(ISNUMBER(SEARCH(Classifiers!$C$14,E291)),1,0))+IF(Classifiers!$D$14="",0,IF(ISNUMBER(SEARCH(Classifiers!$D$14,E291)),1,0))+IF(Classifiers!$E$14="",0,IF(ISNUMBER(SEARCH(Classifiers!$E$14,E291)),1,0))+IF(Classifiers!$F$14="",0,IF(ISNUMBER(SEARCH(Classifiers!$F$14,E291)),1,0))+IF(Classifiers!$G$14="",0,IF(ISNUMBER(SEARCH(Classifiers!$G$14,E291)),1,0)))&gt;0,1,0))</f>
        <v/>
      </c>
      <c r="T291" s="12">
        <f>IF(H291&lt;&gt;1,0,IF((IF(Classifiers!$B$15="",0,IF(ISNUMBER(SEARCH(Classifiers!$B$15,E291)),1,0))+IF(Classifiers!$C$15="",0,IF(ISNUMBER(SEARCH(Classifiers!$C$15,E291)),1,0))+IF(Classifiers!$D$15="",0,IF(ISNUMBER(SEARCH(Classifiers!$D$15,E291)),1,0))+IF(Classifiers!$E$15="",0,IF(ISNUMBER(SEARCH(Classifiers!$E$15,E291)),1,0))+IF(Classifiers!$F$15="",0,IF(ISNUMBER(SEARCH(Classifiers!$F$15,E291)),1,0))+IF(Classifiers!$G$15="",0,IF(ISNUMBER(SEARCH(Classifiers!$G$15,E291)),1,0)))&gt;0,1,0))</f>
        <v/>
      </c>
      <c r="U291" s="12">
        <f>IF(H291&lt;&gt;1,0,IF((IF(Classifiers!$B$16="",0,IF(ISNUMBER(SEARCH(Classifiers!$B$16,E291)),1,0))+IF(Classifiers!$C$16="",0,IF(ISNUMBER(SEARCH(Classifiers!$C$16,E291)),1,0))+IF(Classifiers!$D$16="",0,IF(ISNUMBER(SEARCH(Classifiers!$D$16,E291)),1,0))+IF(Classifiers!$E$16="",0,IF(ISNUMBER(SEARCH(Classifiers!$E$16,E291)),1,0))+IF(Classifiers!$F$16="",0,IF(ISNUMBER(SEARCH(Classifiers!$F$16,E291)),1,0))+IF(Classifiers!$G$16="",0,IF(ISNUMBER(SEARCH(Classifiers!$G$16,E291)),1,0)))&gt;0,1,0))</f>
        <v/>
      </c>
      <c r="V291" s="12">
        <f>IF(H291&lt;&gt;1,0,IF((IF(Classifiers!$B$17="",0,IF(ISNUMBER(SEARCH(Classifiers!$B$17,E291)),1,0))+IF(Classifiers!$C$17="",0,IF(ISNUMBER(SEARCH(Classifiers!$C$17,E291)),1,0))+IF(Classifiers!$D$17="",0,IF(ISNUMBER(SEARCH(Classifiers!$D$17,E291)),1,0))+IF(Classifiers!$E$17="",0,IF(ISNUMBER(SEARCH(Classifiers!$E$17,E291)),1,0))+IF(Classifiers!$F$17="",0,IF(ISNUMBER(SEARCH(Classifiers!$F$17,E291)),1,0))+IF(Classifiers!$G$17="",0,IF(ISNUMBER(SEARCH(Classifiers!$G$17,E291)),1,0)))&gt;0,1,0))</f>
        <v/>
      </c>
      <c r="W291" s="12">
        <f>IF(H291&lt;&gt;1,0,IF((IF(Classifiers!$B$18="",0,IF(ISNUMBER(SEARCH(Classifiers!$B$18,E291)),1,0))+IF(Classifiers!$C$18="",0,IF(ISNUMBER(SEARCH(Classifiers!$C$18,E291)),1,0))+IF(Classifiers!$D$18="",0,IF(ISNUMBER(SEARCH(Classifiers!$D$18,E291)),1,0))+IF(Classifiers!$E$18="",0,IF(ISNUMBER(SEARCH(Classifiers!$E$18,E291)),1,0))+IF(Classifiers!$F$18="",0,IF(ISNUMBER(SEARCH(Classifiers!$F$18,E291)),1,0))+IF(Classifiers!$G$18="",0,IF(ISNUMBER(SEARCH(Classifiers!$G$18,E291)),1,0)))&gt;0,1,0))</f>
        <v/>
      </c>
    </row>
    <row r="292">
      <c r="A292" s="8" t="n"/>
      <c r="B292" s="11" t="n"/>
      <c r="C292" s="6">
        <f>IF(A292="","",TRIM(RIGHT(SUBSTITUTE(A292,"/",REPT(" ",250)),250)))</f>
        <v/>
      </c>
      <c r="D292" s="6">
        <f>IF(C292="","",IF(ISNUMBER(SEARCH(".",C292)),LOWER("."&amp;TRIM(RIGHT(SUBSTITUTE(C292,".",REPT(" ",250)),250))),""))</f>
        <v/>
      </c>
      <c r="E292" s="6">
        <f>IF(C292="","",TRIM(SUBSTITUTE(SUBSTITUTE(SUBSTITUTE(SUBSTITUTE(SUBSTITUTE(SUBSTITUTE(SUBSTITUTE(SUBSTITUTE(SUBSTITUTE(SUBSTITUTE(SUBSTITUTE(SUBSTITUTE(SUBSTITUTE(SUBSTITUTE(SUBSTITUTE(SUBSTITUTE(SUBSTITUTE(SUBSTITUTE(SUBSTITUTE(SUBSTITUTE(LOWER(LEFT(C292,LEN(C292)-LEN(D292))),"_"," "),"-"," "),"."," "),","," "),"("," "),")"," "),"["," "),"]"," "),"&amp;"," "),"+"," "),"@"," "),"#"," "),"!"," "),"'"," "),"/"," "),":"," "),";"," "),"="," "),"~"," "),"%"," ")))</f>
        <v/>
      </c>
      <c r="F292" s="6">
        <f>IF(C292="","",IF(COUNTIF(Classifiers!$A$23:$A$40,D292)&gt;0,1,0))</f>
        <v/>
      </c>
      <c r="G292" s="6">
        <f>IF(C292="","",IF(COUNTIF(Classifiers!$C$23:$C$30,D292)&gt;0,IF((IF(ISNUMBER(SEARCH(Classifiers!$E$23,E292)),1,0)+IF(ISNUMBER(SEARCH(Classifiers!$E$24,E292)),1,0)+IF(ISNUMBER(SEARCH(Classifiers!$E$25,E292)),1,0)+IF(ISNUMBER(SEARCH(Classifiers!$E$26,E292)),1,0)+IF(ISNUMBER(SEARCH(Classifiers!$E$27,E292)),1,0)+IF(ISNUMBER(SEARCH(Classifiers!$E$28,E292)),1,0)+IF(ISNUMBER(SEARCH(Classifiers!$E$29,E292)),1,0)+IF(ISNUMBER(SEARCH(Classifiers!$E$30,E292)),1,0))&gt;0,1,0),0))</f>
        <v/>
      </c>
      <c r="H292" s="6">
        <f>IF(C292="","",IF(OR(LEFT(C292,1)=".",AND(F292=0,G292=0)),0,1))</f>
        <v/>
      </c>
      <c r="I292" s="6">
        <f>IF(H292&lt;&gt;1,"",IF(SUM(J292:W292)=0,"unclassified",INDEX(Classifiers!$A$5:$A$18,MATCH(1,J292:W292,0),1)))</f>
        <v/>
      </c>
      <c r="J292" s="12">
        <f>IF(H292&lt;&gt;1,0,IF((IF(Classifiers!$B$5="",0,IF(ISNUMBER(SEARCH(Classifiers!$B$5,E292)),1,0))+IF(Classifiers!$C$5="",0,IF(ISNUMBER(SEARCH(Classifiers!$C$5,E292)),1,0))+IF(Classifiers!$D$5="",0,IF(ISNUMBER(SEARCH(Classifiers!$D$5,E292)),1,0))+IF(Classifiers!$E$5="",0,IF(ISNUMBER(SEARCH(Classifiers!$E$5,E292)),1,0))+IF(Classifiers!$F$5="",0,IF(ISNUMBER(SEARCH(Classifiers!$F$5,E292)),1,0))+IF(Classifiers!$G$5="",0,IF(ISNUMBER(SEARCH(Classifiers!$G$5,E292)),1,0)))&gt;0,1,0))</f>
        <v/>
      </c>
      <c r="K292" s="12">
        <f>IF(H292&lt;&gt;1,0,IF((IF(Classifiers!$B$6="",0,IF(ISNUMBER(SEARCH(Classifiers!$B$6,E292)),1,0))+IF(Classifiers!$C$6="",0,IF(ISNUMBER(SEARCH(Classifiers!$C$6,E292)),1,0))+IF(Classifiers!$D$6="",0,IF(ISNUMBER(SEARCH(Classifiers!$D$6,E292)),1,0))+IF(Classifiers!$E$6="",0,IF(ISNUMBER(SEARCH(Classifiers!$E$6,E292)),1,0))+IF(Classifiers!$F$6="",0,IF(ISNUMBER(SEARCH(Classifiers!$F$6,E292)),1,0))+IF(Classifiers!$G$6="",0,IF(ISNUMBER(SEARCH(Classifiers!$G$6,E292)),1,0)))&gt;0,1,0))</f>
        <v/>
      </c>
      <c r="L292" s="12">
        <f>IF(H292&lt;&gt;1,0,IF((IF(Classifiers!$B$7="",0,IF(ISNUMBER(SEARCH(Classifiers!$B$7,E292)),1,0))+IF(Classifiers!$C$7="",0,IF(ISNUMBER(SEARCH(Classifiers!$C$7,E292)),1,0))+IF(Classifiers!$D$7="",0,IF(ISNUMBER(SEARCH(Classifiers!$D$7,E292)),1,0))+IF(Classifiers!$E$7="",0,IF(ISNUMBER(SEARCH(Classifiers!$E$7,E292)),1,0))+IF(Classifiers!$F$7="",0,IF(ISNUMBER(SEARCH(Classifiers!$F$7,E292)),1,0))+IF(Classifiers!$G$7="",0,IF(ISNUMBER(SEARCH(Classifiers!$G$7,E292)),1,0)))&gt;0,1,0))</f>
        <v/>
      </c>
      <c r="M292" s="12">
        <f>IF(H292&lt;&gt;1,0,IF((IF(Classifiers!$B$8="",0,IF(ISNUMBER(SEARCH(Classifiers!$B$8,E292)),1,0))+IF(Classifiers!$C$8="",0,IF(ISNUMBER(SEARCH(Classifiers!$C$8,E292)),1,0))+IF(Classifiers!$D$8="",0,IF(ISNUMBER(SEARCH(Classifiers!$D$8,E292)),1,0))+IF(Classifiers!$E$8="",0,IF(ISNUMBER(SEARCH(Classifiers!$E$8,E292)),1,0))+IF(Classifiers!$F$8="",0,IF(ISNUMBER(SEARCH(Classifiers!$F$8,E292)),1,0))+IF(Classifiers!$G$8="",0,IF(ISNUMBER(SEARCH(Classifiers!$G$8,E292)),1,0)))&gt;0,1,0))</f>
        <v/>
      </c>
      <c r="N292" s="12">
        <f>IF(H292&lt;&gt;1,0,IF((IF(Classifiers!$B$9="",0,IF(ISNUMBER(SEARCH(Classifiers!$B$9,E292)),1,0))+IF(Classifiers!$C$9="",0,IF(ISNUMBER(SEARCH(Classifiers!$C$9,E292)),1,0))+IF(Classifiers!$D$9="",0,IF(ISNUMBER(SEARCH(Classifiers!$D$9,E292)),1,0))+IF(Classifiers!$E$9="",0,IF(ISNUMBER(SEARCH(Classifiers!$E$9,E292)),1,0))+IF(Classifiers!$F$9="",0,IF(ISNUMBER(SEARCH(Classifiers!$F$9,E292)),1,0))+IF(Classifiers!$G$9="",0,IF(ISNUMBER(SEARCH(Classifiers!$G$9,E292)),1,0)))&gt;0,1,0))</f>
        <v/>
      </c>
      <c r="O292" s="12">
        <f>IF(H292&lt;&gt;1,0,IF((IF(Classifiers!$B$10="",0,IF(ISNUMBER(SEARCH(Classifiers!$B$10,E292)),1,0))+IF(Classifiers!$C$10="",0,IF(ISNUMBER(SEARCH(Classifiers!$C$10,E292)),1,0))+IF(Classifiers!$D$10="",0,IF(ISNUMBER(SEARCH(Classifiers!$D$10,E292)),1,0))+IF(Classifiers!$E$10="",0,IF(ISNUMBER(SEARCH(Classifiers!$E$10,E292)),1,0))+IF(Classifiers!$F$10="",0,IF(ISNUMBER(SEARCH(Classifiers!$F$10,E292)),1,0))+IF(Classifiers!$G$10="",0,IF(ISNUMBER(SEARCH(Classifiers!$G$10,E292)),1,0)))&gt;0,1,0))</f>
        <v/>
      </c>
      <c r="P292" s="12">
        <f>IF(H292&lt;&gt;1,0,IF((IF(Classifiers!$B$11="",0,IF(ISNUMBER(SEARCH(Classifiers!$B$11,E292)),1,0))+IF(Classifiers!$C$11="",0,IF(ISNUMBER(SEARCH(Classifiers!$C$11,E292)),1,0))+IF(Classifiers!$D$11="",0,IF(ISNUMBER(SEARCH(Classifiers!$D$11,E292)),1,0))+IF(Classifiers!$E$11="",0,IF(ISNUMBER(SEARCH(Classifiers!$E$11,E292)),1,0))+IF(Classifiers!$F$11="",0,IF(ISNUMBER(SEARCH(Classifiers!$F$11,E292)),1,0))+IF(Classifiers!$G$11="",0,IF(ISNUMBER(SEARCH(Classifiers!$G$11,E292)),1,0)))&gt;0,1,0))</f>
        <v/>
      </c>
      <c r="Q292" s="12">
        <f>IF(H292&lt;&gt;1,0,IF((IF(Classifiers!$B$12="",0,IF(ISNUMBER(SEARCH(Classifiers!$B$12,E292)),1,0))+IF(Classifiers!$C$12="",0,IF(ISNUMBER(SEARCH(Classifiers!$C$12,E292)),1,0))+IF(Classifiers!$D$12="",0,IF(ISNUMBER(SEARCH(Classifiers!$D$12,E292)),1,0))+IF(Classifiers!$E$12="",0,IF(ISNUMBER(SEARCH(Classifiers!$E$12,E292)),1,0))+IF(Classifiers!$F$12="",0,IF(ISNUMBER(SEARCH(Classifiers!$F$12,E292)),1,0))+IF(Classifiers!$G$12="",0,IF(ISNUMBER(SEARCH(Classifiers!$G$12,E292)),1,0)))&gt;0,1,0))</f>
        <v/>
      </c>
      <c r="R292" s="12">
        <f>IF(H292&lt;&gt;1,0,IF((IF(Classifiers!$B$13="",0,IF(ISNUMBER(SEARCH(Classifiers!$B$13,E292)),1,0))+IF(Classifiers!$C$13="",0,IF(ISNUMBER(SEARCH(Classifiers!$C$13,E292)),1,0))+IF(Classifiers!$D$13="",0,IF(ISNUMBER(SEARCH(Classifiers!$D$13,E292)),1,0))+IF(Classifiers!$E$13="",0,IF(ISNUMBER(SEARCH(Classifiers!$E$13,E292)),1,0))+IF(Classifiers!$F$13="",0,IF(ISNUMBER(SEARCH(Classifiers!$F$13,E292)),1,0))+IF(Classifiers!$G$13="",0,IF(ISNUMBER(SEARCH(Classifiers!$G$13,E292)),1,0)))&gt;0,1,0))</f>
        <v/>
      </c>
      <c r="S292" s="12">
        <f>IF(H292&lt;&gt;1,0,IF((IF(Classifiers!$B$14="",0,IF(ISNUMBER(SEARCH(Classifiers!$B$14,E292)),1,0))+IF(Classifiers!$C$14="",0,IF(ISNUMBER(SEARCH(Classifiers!$C$14,E292)),1,0))+IF(Classifiers!$D$14="",0,IF(ISNUMBER(SEARCH(Classifiers!$D$14,E292)),1,0))+IF(Classifiers!$E$14="",0,IF(ISNUMBER(SEARCH(Classifiers!$E$14,E292)),1,0))+IF(Classifiers!$F$14="",0,IF(ISNUMBER(SEARCH(Classifiers!$F$14,E292)),1,0))+IF(Classifiers!$G$14="",0,IF(ISNUMBER(SEARCH(Classifiers!$G$14,E292)),1,0)))&gt;0,1,0))</f>
        <v/>
      </c>
      <c r="T292" s="12">
        <f>IF(H292&lt;&gt;1,0,IF((IF(Classifiers!$B$15="",0,IF(ISNUMBER(SEARCH(Classifiers!$B$15,E292)),1,0))+IF(Classifiers!$C$15="",0,IF(ISNUMBER(SEARCH(Classifiers!$C$15,E292)),1,0))+IF(Classifiers!$D$15="",0,IF(ISNUMBER(SEARCH(Classifiers!$D$15,E292)),1,0))+IF(Classifiers!$E$15="",0,IF(ISNUMBER(SEARCH(Classifiers!$E$15,E292)),1,0))+IF(Classifiers!$F$15="",0,IF(ISNUMBER(SEARCH(Classifiers!$F$15,E292)),1,0))+IF(Classifiers!$G$15="",0,IF(ISNUMBER(SEARCH(Classifiers!$G$15,E292)),1,0)))&gt;0,1,0))</f>
        <v/>
      </c>
      <c r="U292" s="12">
        <f>IF(H292&lt;&gt;1,0,IF((IF(Classifiers!$B$16="",0,IF(ISNUMBER(SEARCH(Classifiers!$B$16,E292)),1,0))+IF(Classifiers!$C$16="",0,IF(ISNUMBER(SEARCH(Classifiers!$C$16,E292)),1,0))+IF(Classifiers!$D$16="",0,IF(ISNUMBER(SEARCH(Classifiers!$D$16,E292)),1,0))+IF(Classifiers!$E$16="",0,IF(ISNUMBER(SEARCH(Classifiers!$E$16,E292)),1,0))+IF(Classifiers!$F$16="",0,IF(ISNUMBER(SEARCH(Classifiers!$F$16,E292)),1,0))+IF(Classifiers!$G$16="",0,IF(ISNUMBER(SEARCH(Classifiers!$G$16,E292)),1,0)))&gt;0,1,0))</f>
        <v/>
      </c>
      <c r="V292" s="12">
        <f>IF(H292&lt;&gt;1,0,IF((IF(Classifiers!$B$17="",0,IF(ISNUMBER(SEARCH(Classifiers!$B$17,E292)),1,0))+IF(Classifiers!$C$17="",0,IF(ISNUMBER(SEARCH(Classifiers!$C$17,E292)),1,0))+IF(Classifiers!$D$17="",0,IF(ISNUMBER(SEARCH(Classifiers!$D$17,E292)),1,0))+IF(Classifiers!$E$17="",0,IF(ISNUMBER(SEARCH(Classifiers!$E$17,E292)),1,0))+IF(Classifiers!$F$17="",0,IF(ISNUMBER(SEARCH(Classifiers!$F$17,E292)),1,0))+IF(Classifiers!$G$17="",0,IF(ISNUMBER(SEARCH(Classifiers!$G$17,E292)),1,0)))&gt;0,1,0))</f>
        <v/>
      </c>
      <c r="W292" s="12">
        <f>IF(H292&lt;&gt;1,0,IF((IF(Classifiers!$B$18="",0,IF(ISNUMBER(SEARCH(Classifiers!$B$18,E292)),1,0))+IF(Classifiers!$C$18="",0,IF(ISNUMBER(SEARCH(Classifiers!$C$18,E292)),1,0))+IF(Classifiers!$D$18="",0,IF(ISNUMBER(SEARCH(Classifiers!$D$18,E292)),1,0))+IF(Classifiers!$E$18="",0,IF(ISNUMBER(SEARCH(Classifiers!$E$18,E292)),1,0))+IF(Classifiers!$F$18="",0,IF(ISNUMBER(SEARCH(Classifiers!$F$18,E292)),1,0))+IF(Classifiers!$G$18="",0,IF(ISNUMBER(SEARCH(Classifiers!$G$18,E292)),1,0)))&gt;0,1,0))</f>
        <v/>
      </c>
    </row>
    <row r="293">
      <c r="A293" s="8" t="n"/>
      <c r="B293" s="11" t="n"/>
      <c r="C293" s="6">
        <f>IF(A293="","",TRIM(RIGHT(SUBSTITUTE(A293,"/",REPT(" ",250)),250)))</f>
        <v/>
      </c>
      <c r="D293" s="6">
        <f>IF(C293="","",IF(ISNUMBER(SEARCH(".",C293)),LOWER("."&amp;TRIM(RIGHT(SUBSTITUTE(C293,".",REPT(" ",250)),250))),""))</f>
        <v/>
      </c>
      <c r="E293" s="6">
        <f>IF(C293="","",TRIM(SUBSTITUTE(SUBSTITUTE(SUBSTITUTE(SUBSTITUTE(SUBSTITUTE(SUBSTITUTE(SUBSTITUTE(SUBSTITUTE(SUBSTITUTE(SUBSTITUTE(SUBSTITUTE(SUBSTITUTE(SUBSTITUTE(SUBSTITUTE(SUBSTITUTE(SUBSTITUTE(SUBSTITUTE(SUBSTITUTE(SUBSTITUTE(SUBSTITUTE(LOWER(LEFT(C293,LEN(C293)-LEN(D293))),"_"," "),"-"," "),"."," "),","," "),"("," "),")"," "),"["," "),"]"," "),"&amp;"," "),"+"," "),"@"," "),"#"," "),"!"," "),"'"," "),"/"," "),":"," "),";"," "),"="," "),"~"," "),"%"," ")))</f>
        <v/>
      </c>
      <c r="F293" s="6">
        <f>IF(C293="","",IF(COUNTIF(Classifiers!$A$23:$A$40,D293)&gt;0,1,0))</f>
        <v/>
      </c>
      <c r="G293" s="6">
        <f>IF(C293="","",IF(COUNTIF(Classifiers!$C$23:$C$30,D293)&gt;0,IF((IF(ISNUMBER(SEARCH(Classifiers!$E$23,E293)),1,0)+IF(ISNUMBER(SEARCH(Classifiers!$E$24,E293)),1,0)+IF(ISNUMBER(SEARCH(Classifiers!$E$25,E293)),1,0)+IF(ISNUMBER(SEARCH(Classifiers!$E$26,E293)),1,0)+IF(ISNUMBER(SEARCH(Classifiers!$E$27,E293)),1,0)+IF(ISNUMBER(SEARCH(Classifiers!$E$28,E293)),1,0)+IF(ISNUMBER(SEARCH(Classifiers!$E$29,E293)),1,0)+IF(ISNUMBER(SEARCH(Classifiers!$E$30,E293)),1,0))&gt;0,1,0),0))</f>
        <v/>
      </c>
      <c r="H293" s="6">
        <f>IF(C293="","",IF(OR(LEFT(C293,1)=".",AND(F293=0,G293=0)),0,1))</f>
        <v/>
      </c>
      <c r="I293" s="6">
        <f>IF(H293&lt;&gt;1,"",IF(SUM(J293:W293)=0,"unclassified",INDEX(Classifiers!$A$5:$A$18,MATCH(1,J293:W293,0),1)))</f>
        <v/>
      </c>
      <c r="J293" s="12">
        <f>IF(H293&lt;&gt;1,0,IF((IF(Classifiers!$B$5="",0,IF(ISNUMBER(SEARCH(Classifiers!$B$5,E293)),1,0))+IF(Classifiers!$C$5="",0,IF(ISNUMBER(SEARCH(Classifiers!$C$5,E293)),1,0))+IF(Classifiers!$D$5="",0,IF(ISNUMBER(SEARCH(Classifiers!$D$5,E293)),1,0))+IF(Classifiers!$E$5="",0,IF(ISNUMBER(SEARCH(Classifiers!$E$5,E293)),1,0))+IF(Classifiers!$F$5="",0,IF(ISNUMBER(SEARCH(Classifiers!$F$5,E293)),1,0))+IF(Classifiers!$G$5="",0,IF(ISNUMBER(SEARCH(Classifiers!$G$5,E293)),1,0)))&gt;0,1,0))</f>
        <v/>
      </c>
      <c r="K293" s="12">
        <f>IF(H293&lt;&gt;1,0,IF((IF(Classifiers!$B$6="",0,IF(ISNUMBER(SEARCH(Classifiers!$B$6,E293)),1,0))+IF(Classifiers!$C$6="",0,IF(ISNUMBER(SEARCH(Classifiers!$C$6,E293)),1,0))+IF(Classifiers!$D$6="",0,IF(ISNUMBER(SEARCH(Classifiers!$D$6,E293)),1,0))+IF(Classifiers!$E$6="",0,IF(ISNUMBER(SEARCH(Classifiers!$E$6,E293)),1,0))+IF(Classifiers!$F$6="",0,IF(ISNUMBER(SEARCH(Classifiers!$F$6,E293)),1,0))+IF(Classifiers!$G$6="",0,IF(ISNUMBER(SEARCH(Classifiers!$G$6,E293)),1,0)))&gt;0,1,0))</f>
        <v/>
      </c>
      <c r="L293" s="12">
        <f>IF(H293&lt;&gt;1,0,IF((IF(Classifiers!$B$7="",0,IF(ISNUMBER(SEARCH(Classifiers!$B$7,E293)),1,0))+IF(Classifiers!$C$7="",0,IF(ISNUMBER(SEARCH(Classifiers!$C$7,E293)),1,0))+IF(Classifiers!$D$7="",0,IF(ISNUMBER(SEARCH(Classifiers!$D$7,E293)),1,0))+IF(Classifiers!$E$7="",0,IF(ISNUMBER(SEARCH(Classifiers!$E$7,E293)),1,0))+IF(Classifiers!$F$7="",0,IF(ISNUMBER(SEARCH(Classifiers!$F$7,E293)),1,0))+IF(Classifiers!$G$7="",0,IF(ISNUMBER(SEARCH(Classifiers!$G$7,E293)),1,0)))&gt;0,1,0))</f>
        <v/>
      </c>
      <c r="M293" s="12">
        <f>IF(H293&lt;&gt;1,0,IF((IF(Classifiers!$B$8="",0,IF(ISNUMBER(SEARCH(Classifiers!$B$8,E293)),1,0))+IF(Classifiers!$C$8="",0,IF(ISNUMBER(SEARCH(Classifiers!$C$8,E293)),1,0))+IF(Classifiers!$D$8="",0,IF(ISNUMBER(SEARCH(Classifiers!$D$8,E293)),1,0))+IF(Classifiers!$E$8="",0,IF(ISNUMBER(SEARCH(Classifiers!$E$8,E293)),1,0))+IF(Classifiers!$F$8="",0,IF(ISNUMBER(SEARCH(Classifiers!$F$8,E293)),1,0))+IF(Classifiers!$G$8="",0,IF(ISNUMBER(SEARCH(Classifiers!$G$8,E293)),1,0)))&gt;0,1,0))</f>
        <v/>
      </c>
      <c r="N293" s="12">
        <f>IF(H293&lt;&gt;1,0,IF((IF(Classifiers!$B$9="",0,IF(ISNUMBER(SEARCH(Classifiers!$B$9,E293)),1,0))+IF(Classifiers!$C$9="",0,IF(ISNUMBER(SEARCH(Classifiers!$C$9,E293)),1,0))+IF(Classifiers!$D$9="",0,IF(ISNUMBER(SEARCH(Classifiers!$D$9,E293)),1,0))+IF(Classifiers!$E$9="",0,IF(ISNUMBER(SEARCH(Classifiers!$E$9,E293)),1,0))+IF(Classifiers!$F$9="",0,IF(ISNUMBER(SEARCH(Classifiers!$F$9,E293)),1,0))+IF(Classifiers!$G$9="",0,IF(ISNUMBER(SEARCH(Classifiers!$G$9,E293)),1,0)))&gt;0,1,0))</f>
        <v/>
      </c>
      <c r="O293" s="12">
        <f>IF(H293&lt;&gt;1,0,IF((IF(Classifiers!$B$10="",0,IF(ISNUMBER(SEARCH(Classifiers!$B$10,E293)),1,0))+IF(Classifiers!$C$10="",0,IF(ISNUMBER(SEARCH(Classifiers!$C$10,E293)),1,0))+IF(Classifiers!$D$10="",0,IF(ISNUMBER(SEARCH(Classifiers!$D$10,E293)),1,0))+IF(Classifiers!$E$10="",0,IF(ISNUMBER(SEARCH(Classifiers!$E$10,E293)),1,0))+IF(Classifiers!$F$10="",0,IF(ISNUMBER(SEARCH(Classifiers!$F$10,E293)),1,0))+IF(Classifiers!$G$10="",0,IF(ISNUMBER(SEARCH(Classifiers!$G$10,E293)),1,0)))&gt;0,1,0))</f>
        <v/>
      </c>
      <c r="P293" s="12">
        <f>IF(H293&lt;&gt;1,0,IF((IF(Classifiers!$B$11="",0,IF(ISNUMBER(SEARCH(Classifiers!$B$11,E293)),1,0))+IF(Classifiers!$C$11="",0,IF(ISNUMBER(SEARCH(Classifiers!$C$11,E293)),1,0))+IF(Classifiers!$D$11="",0,IF(ISNUMBER(SEARCH(Classifiers!$D$11,E293)),1,0))+IF(Classifiers!$E$11="",0,IF(ISNUMBER(SEARCH(Classifiers!$E$11,E293)),1,0))+IF(Classifiers!$F$11="",0,IF(ISNUMBER(SEARCH(Classifiers!$F$11,E293)),1,0))+IF(Classifiers!$G$11="",0,IF(ISNUMBER(SEARCH(Classifiers!$G$11,E293)),1,0)))&gt;0,1,0))</f>
        <v/>
      </c>
      <c r="Q293" s="12">
        <f>IF(H293&lt;&gt;1,0,IF((IF(Classifiers!$B$12="",0,IF(ISNUMBER(SEARCH(Classifiers!$B$12,E293)),1,0))+IF(Classifiers!$C$12="",0,IF(ISNUMBER(SEARCH(Classifiers!$C$12,E293)),1,0))+IF(Classifiers!$D$12="",0,IF(ISNUMBER(SEARCH(Classifiers!$D$12,E293)),1,0))+IF(Classifiers!$E$12="",0,IF(ISNUMBER(SEARCH(Classifiers!$E$12,E293)),1,0))+IF(Classifiers!$F$12="",0,IF(ISNUMBER(SEARCH(Classifiers!$F$12,E293)),1,0))+IF(Classifiers!$G$12="",0,IF(ISNUMBER(SEARCH(Classifiers!$G$12,E293)),1,0)))&gt;0,1,0))</f>
        <v/>
      </c>
      <c r="R293" s="12">
        <f>IF(H293&lt;&gt;1,0,IF((IF(Classifiers!$B$13="",0,IF(ISNUMBER(SEARCH(Classifiers!$B$13,E293)),1,0))+IF(Classifiers!$C$13="",0,IF(ISNUMBER(SEARCH(Classifiers!$C$13,E293)),1,0))+IF(Classifiers!$D$13="",0,IF(ISNUMBER(SEARCH(Classifiers!$D$13,E293)),1,0))+IF(Classifiers!$E$13="",0,IF(ISNUMBER(SEARCH(Classifiers!$E$13,E293)),1,0))+IF(Classifiers!$F$13="",0,IF(ISNUMBER(SEARCH(Classifiers!$F$13,E293)),1,0))+IF(Classifiers!$G$13="",0,IF(ISNUMBER(SEARCH(Classifiers!$G$13,E293)),1,0)))&gt;0,1,0))</f>
        <v/>
      </c>
      <c r="S293" s="12">
        <f>IF(H293&lt;&gt;1,0,IF((IF(Classifiers!$B$14="",0,IF(ISNUMBER(SEARCH(Classifiers!$B$14,E293)),1,0))+IF(Classifiers!$C$14="",0,IF(ISNUMBER(SEARCH(Classifiers!$C$14,E293)),1,0))+IF(Classifiers!$D$14="",0,IF(ISNUMBER(SEARCH(Classifiers!$D$14,E293)),1,0))+IF(Classifiers!$E$14="",0,IF(ISNUMBER(SEARCH(Classifiers!$E$14,E293)),1,0))+IF(Classifiers!$F$14="",0,IF(ISNUMBER(SEARCH(Classifiers!$F$14,E293)),1,0))+IF(Classifiers!$G$14="",0,IF(ISNUMBER(SEARCH(Classifiers!$G$14,E293)),1,0)))&gt;0,1,0))</f>
        <v/>
      </c>
      <c r="T293" s="12">
        <f>IF(H293&lt;&gt;1,0,IF((IF(Classifiers!$B$15="",0,IF(ISNUMBER(SEARCH(Classifiers!$B$15,E293)),1,0))+IF(Classifiers!$C$15="",0,IF(ISNUMBER(SEARCH(Classifiers!$C$15,E293)),1,0))+IF(Classifiers!$D$15="",0,IF(ISNUMBER(SEARCH(Classifiers!$D$15,E293)),1,0))+IF(Classifiers!$E$15="",0,IF(ISNUMBER(SEARCH(Classifiers!$E$15,E293)),1,0))+IF(Classifiers!$F$15="",0,IF(ISNUMBER(SEARCH(Classifiers!$F$15,E293)),1,0))+IF(Classifiers!$G$15="",0,IF(ISNUMBER(SEARCH(Classifiers!$G$15,E293)),1,0)))&gt;0,1,0))</f>
        <v/>
      </c>
      <c r="U293" s="12">
        <f>IF(H293&lt;&gt;1,0,IF((IF(Classifiers!$B$16="",0,IF(ISNUMBER(SEARCH(Classifiers!$B$16,E293)),1,0))+IF(Classifiers!$C$16="",0,IF(ISNUMBER(SEARCH(Classifiers!$C$16,E293)),1,0))+IF(Classifiers!$D$16="",0,IF(ISNUMBER(SEARCH(Classifiers!$D$16,E293)),1,0))+IF(Classifiers!$E$16="",0,IF(ISNUMBER(SEARCH(Classifiers!$E$16,E293)),1,0))+IF(Classifiers!$F$16="",0,IF(ISNUMBER(SEARCH(Classifiers!$F$16,E293)),1,0))+IF(Classifiers!$G$16="",0,IF(ISNUMBER(SEARCH(Classifiers!$G$16,E293)),1,0)))&gt;0,1,0))</f>
        <v/>
      </c>
      <c r="V293" s="12">
        <f>IF(H293&lt;&gt;1,0,IF((IF(Classifiers!$B$17="",0,IF(ISNUMBER(SEARCH(Classifiers!$B$17,E293)),1,0))+IF(Classifiers!$C$17="",0,IF(ISNUMBER(SEARCH(Classifiers!$C$17,E293)),1,0))+IF(Classifiers!$D$17="",0,IF(ISNUMBER(SEARCH(Classifiers!$D$17,E293)),1,0))+IF(Classifiers!$E$17="",0,IF(ISNUMBER(SEARCH(Classifiers!$E$17,E293)),1,0))+IF(Classifiers!$F$17="",0,IF(ISNUMBER(SEARCH(Classifiers!$F$17,E293)),1,0))+IF(Classifiers!$G$17="",0,IF(ISNUMBER(SEARCH(Classifiers!$G$17,E293)),1,0)))&gt;0,1,0))</f>
        <v/>
      </c>
      <c r="W293" s="12">
        <f>IF(H293&lt;&gt;1,0,IF((IF(Classifiers!$B$18="",0,IF(ISNUMBER(SEARCH(Classifiers!$B$18,E293)),1,0))+IF(Classifiers!$C$18="",0,IF(ISNUMBER(SEARCH(Classifiers!$C$18,E293)),1,0))+IF(Classifiers!$D$18="",0,IF(ISNUMBER(SEARCH(Classifiers!$D$18,E293)),1,0))+IF(Classifiers!$E$18="",0,IF(ISNUMBER(SEARCH(Classifiers!$E$18,E293)),1,0))+IF(Classifiers!$F$18="",0,IF(ISNUMBER(SEARCH(Classifiers!$F$18,E293)),1,0))+IF(Classifiers!$G$18="",0,IF(ISNUMBER(SEARCH(Classifiers!$G$18,E293)),1,0)))&gt;0,1,0))</f>
        <v/>
      </c>
    </row>
    <row r="294">
      <c r="A294" s="8" t="n"/>
      <c r="B294" s="11" t="n"/>
      <c r="C294" s="6">
        <f>IF(A294="","",TRIM(RIGHT(SUBSTITUTE(A294,"/",REPT(" ",250)),250)))</f>
        <v/>
      </c>
      <c r="D294" s="6">
        <f>IF(C294="","",IF(ISNUMBER(SEARCH(".",C294)),LOWER("."&amp;TRIM(RIGHT(SUBSTITUTE(C294,".",REPT(" ",250)),250))),""))</f>
        <v/>
      </c>
      <c r="E294" s="6">
        <f>IF(C294="","",TRIM(SUBSTITUTE(SUBSTITUTE(SUBSTITUTE(SUBSTITUTE(SUBSTITUTE(SUBSTITUTE(SUBSTITUTE(SUBSTITUTE(SUBSTITUTE(SUBSTITUTE(SUBSTITUTE(SUBSTITUTE(SUBSTITUTE(SUBSTITUTE(SUBSTITUTE(SUBSTITUTE(SUBSTITUTE(SUBSTITUTE(SUBSTITUTE(SUBSTITUTE(LOWER(LEFT(C294,LEN(C294)-LEN(D294))),"_"," "),"-"," "),"."," "),","," "),"("," "),")"," "),"["," "),"]"," "),"&amp;"," "),"+"," "),"@"," "),"#"," "),"!"," "),"'"," "),"/"," "),":"," "),";"," "),"="," "),"~"," "),"%"," ")))</f>
        <v/>
      </c>
      <c r="F294" s="6">
        <f>IF(C294="","",IF(COUNTIF(Classifiers!$A$23:$A$40,D294)&gt;0,1,0))</f>
        <v/>
      </c>
      <c r="G294" s="6">
        <f>IF(C294="","",IF(COUNTIF(Classifiers!$C$23:$C$30,D294)&gt;0,IF((IF(ISNUMBER(SEARCH(Classifiers!$E$23,E294)),1,0)+IF(ISNUMBER(SEARCH(Classifiers!$E$24,E294)),1,0)+IF(ISNUMBER(SEARCH(Classifiers!$E$25,E294)),1,0)+IF(ISNUMBER(SEARCH(Classifiers!$E$26,E294)),1,0)+IF(ISNUMBER(SEARCH(Classifiers!$E$27,E294)),1,0)+IF(ISNUMBER(SEARCH(Classifiers!$E$28,E294)),1,0)+IF(ISNUMBER(SEARCH(Classifiers!$E$29,E294)),1,0)+IF(ISNUMBER(SEARCH(Classifiers!$E$30,E294)),1,0))&gt;0,1,0),0))</f>
        <v/>
      </c>
      <c r="H294" s="6">
        <f>IF(C294="","",IF(OR(LEFT(C294,1)=".",AND(F294=0,G294=0)),0,1))</f>
        <v/>
      </c>
      <c r="I294" s="6">
        <f>IF(H294&lt;&gt;1,"",IF(SUM(J294:W294)=0,"unclassified",INDEX(Classifiers!$A$5:$A$18,MATCH(1,J294:W294,0),1)))</f>
        <v/>
      </c>
      <c r="J294" s="12">
        <f>IF(H294&lt;&gt;1,0,IF((IF(Classifiers!$B$5="",0,IF(ISNUMBER(SEARCH(Classifiers!$B$5,E294)),1,0))+IF(Classifiers!$C$5="",0,IF(ISNUMBER(SEARCH(Classifiers!$C$5,E294)),1,0))+IF(Classifiers!$D$5="",0,IF(ISNUMBER(SEARCH(Classifiers!$D$5,E294)),1,0))+IF(Classifiers!$E$5="",0,IF(ISNUMBER(SEARCH(Classifiers!$E$5,E294)),1,0))+IF(Classifiers!$F$5="",0,IF(ISNUMBER(SEARCH(Classifiers!$F$5,E294)),1,0))+IF(Classifiers!$G$5="",0,IF(ISNUMBER(SEARCH(Classifiers!$G$5,E294)),1,0)))&gt;0,1,0))</f>
        <v/>
      </c>
      <c r="K294" s="12">
        <f>IF(H294&lt;&gt;1,0,IF((IF(Classifiers!$B$6="",0,IF(ISNUMBER(SEARCH(Classifiers!$B$6,E294)),1,0))+IF(Classifiers!$C$6="",0,IF(ISNUMBER(SEARCH(Classifiers!$C$6,E294)),1,0))+IF(Classifiers!$D$6="",0,IF(ISNUMBER(SEARCH(Classifiers!$D$6,E294)),1,0))+IF(Classifiers!$E$6="",0,IF(ISNUMBER(SEARCH(Classifiers!$E$6,E294)),1,0))+IF(Classifiers!$F$6="",0,IF(ISNUMBER(SEARCH(Classifiers!$F$6,E294)),1,0))+IF(Classifiers!$G$6="",0,IF(ISNUMBER(SEARCH(Classifiers!$G$6,E294)),1,0)))&gt;0,1,0))</f>
        <v/>
      </c>
      <c r="L294" s="12">
        <f>IF(H294&lt;&gt;1,0,IF((IF(Classifiers!$B$7="",0,IF(ISNUMBER(SEARCH(Classifiers!$B$7,E294)),1,0))+IF(Classifiers!$C$7="",0,IF(ISNUMBER(SEARCH(Classifiers!$C$7,E294)),1,0))+IF(Classifiers!$D$7="",0,IF(ISNUMBER(SEARCH(Classifiers!$D$7,E294)),1,0))+IF(Classifiers!$E$7="",0,IF(ISNUMBER(SEARCH(Classifiers!$E$7,E294)),1,0))+IF(Classifiers!$F$7="",0,IF(ISNUMBER(SEARCH(Classifiers!$F$7,E294)),1,0))+IF(Classifiers!$G$7="",0,IF(ISNUMBER(SEARCH(Classifiers!$G$7,E294)),1,0)))&gt;0,1,0))</f>
        <v/>
      </c>
      <c r="M294" s="12">
        <f>IF(H294&lt;&gt;1,0,IF((IF(Classifiers!$B$8="",0,IF(ISNUMBER(SEARCH(Classifiers!$B$8,E294)),1,0))+IF(Classifiers!$C$8="",0,IF(ISNUMBER(SEARCH(Classifiers!$C$8,E294)),1,0))+IF(Classifiers!$D$8="",0,IF(ISNUMBER(SEARCH(Classifiers!$D$8,E294)),1,0))+IF(Classifiers!$E$8="",0,IF(ISNUMBER(SEARCH(Classifiers!$E$8,E294)),1,0))+IF(Classifiers!$F$8="",0,IF(ISNUMBER(SEARCH(Classifiers!$F$8,E294)),1,0))+IF(Classifiers!$G$8="",0,IF(ISNUMBER(SEARCH(Classifiers!$G$8,E294)),1,0)))&gt;0,1,0))</f>
        <v/>
      </c>
      <c r="N294" s="12">
        <f>IF(H294&lt;&gt;1,0,IF((IF(Classifiers!$B$9="",0,IF(ISNUMBER(SEARCH(Classifiers!$B$9,E294)),1,0))+IF(Classifiers!$C$9="",0,IF(ISNUMBER(SEARCH(Classifiers!$C$9,E294)),1,0))+IF(Classifiers!$D$9="",0,IF(ISNUMBER(SEARCH(Classifiers!$D$9,E294)),1,0))+IF(Classifiers!$E$9="",0,IF(ISNUMBER(SEARCH(Classifiers!$E$9,E294)),1,0))+IF(Classifiers!$F$9="",0,IF(ISNUMBER(SEARCH(Classifiers!$F$9,E294)),1,0))+IF(Classifiers!$G$9="",0,IF(ISNUMBER(SEARCH(Classifiers!$G$9,E294)),1,0)))&gt;0,1,0))</f>
        <v/>
      </c>
      <c r="O294" s="12">
        <f>IF(H294&lt;&gt;1,0,IF((IF(Classifiers!$B$10="",0,IF(ISNUMBER(SEARCH(Classifiers!$B$10,E294)),1,0))+IF(Classifiers!$C$10="",0,IF(ISNUMBER(SEARCH(Classifiers!$C$10,E294)),1,0))+IF(Classifiers!$D$10="",0,IF(ISNUMBER(SEARCH(Classifiers!$D$10,E294)),1,0))+IF(Classifiers!$E$10="",0,IF(ISNUMBER(SEARCH(Classifiers!$E$10,E294)),1,0))+IF(Classifiers!$F$10="",0,IF(ISNUMBER(SEARCH(Classifiers!$F$10,E294)),1,0))+IF(Classifiers!$G$10="",0,IF(ISNUMBER(SEARCH(Classifiers!$G$10,E294)),1,0)))&gt;0,1,0))</f>
        <v/>
      </c>
      <c r="P294" s="12">
        <f>IF(H294&lt;&gt;1,0,IF((IF(Classifiers!$B$11="",0,IF(ISNUMBER(SEARCH(Classifiers!$B$11,E294)),1,0))+IF(Classifiers!$C$11="",0,IF(ISNUMBER(SEARCH(Classifiers!$C$11,E294)),1,0))+IF(Classifiers!$D$11="",0,IF(ISNUMBER(SEARCH(Classifiers!$D$11,E294)),1,0))+IF(Classifiers!$E$11="",0,IF(ISNUMBER(SEARCH(Classifiers!$E$11,E294)),1,0))+IF(Classifiers!$F$11="",0,IF(ISNUMBER(SEARCH(Classifiers!$F$11,E294)),1,0))+IF(Classifiers!$G$11="",0,IF(ISNUMBER(SEARCH(Classifiers!$G$11,E294)),1,0)))&gt;0,1,0))</f>
        <v/>
      </c>
      <c r="Q294" s="12">
        <f>IF(H294&lt;&gt;1,0,IF((IF(Classifiers!$B$12="",0,IF(ISNUMBER(SEARCH(Classifiers!$B$12,E294)),1,0))+IF(Classifiers!$C$12="",0,IF(ISNUMBER(SEARCH(Classifiers!$C$12,E294)),1,0))+IF(Classifiers!$D$12="",0,IF(ISNUMBER(SEARCH(Classifiers!$D$12,E294)),1,0))+IF(Classifiers!$E$12="",0,IF(ISNUMBER(SEARCH(Classifiers!$E$12,E294)),1,0))+IF(Classifiers!$F$12="",0,IF(ISNUMBER(SEARCH(Classifiers!$F$12,E294)),1,0))+IF(Classifiers!$G$12="",0,IF(ISNUMBER(SEARCH(Classifiers!$G$12,E294)),1,0)))&gt;0,1,0))</f>
        <v/>
      </c>
      <c r="R294" s="12">
        <f>IF(H294&lt;&gt;1,0,IF((IF(Classifiers!$B$13="",0,IF(ISNUMBER(SEARCH(Classifiers!$B$13,E294)),1,0))+IF(Classifiers!$C$13="",0,IF(ISNUMBER(SEARCH(Classifiers!$C$13,E294)),1,0))+IF(Classifiers!$D$13="",0,IF(ISNUMBER(SEARCH(Classifiers!$D$13,E294)),1,0))+IF(Classifiers!$E$13="",0,IF(ISNUMBER(SEARCH(Classifiers!$E$13,E294)),1,0))+IF(Classifiers!$F$13="",0,IF(ISNUMBER(SEARCH(Classifiers!$F$13,E294)),1,0))+IF(Classifiers!$G$13="",0,IF(ISNUMBER(SEARCH(Classifiers!$G$13,E294)),1,0)))&gt;0,1,0))</f>
        <v/>
      </c>
      <c r="S294" s="12">
        <f>IF(H294&lt;&gt;1,0,IF((IF(Classifiers!$B$14="",0,IF(ISNUMBER(SEARCH(Classifiers!$B$14,E294)),1,0))+IF(Classifiers!$C$14="",0,IF(ISNUMBER(SEARCH(Classifiers!$C$14,E294)),1,0))+IF(Classifiers!$D$14="",0,IF(ISNUMBER(SEARCH(Classifiers!$D$14,E294)),1,0))+IF(Classifiers!$E$14="",0,IF(ISNUMBER(SEARCH(Classifiers!$E$14,E294)),1,0))+IF(Classifiers!$F$14="",0,IF(ISNUMBER(SEARCH(Classifiers!$F$14,E294)),1,0))+IF(Classifiers!$G$14="",0,IF(ISNUMBER(SEARCH(Classifiers!$G$14,E294)),1,0)))&gt;0,1,0))</f>
        <v/>
      </c>
      <c r="T294" s="12">
        <f>IF(H294&lt;&gt;1,0,IF((IF(Classifiers!$B$15="",0,IF(ISNUMBER(SEARCH(Classifiers!$B$15,E294)),1,0))+IF(Classifiers!$C$15="",0,IF(ISNUMBER(SEARCH(Classifiers!$C$15,E294)),1,0))+IF(Classifiers!$D$15="",0,IF(ISNUMBER(SEARCH(Classifiers!$D$15,E294)),1,0))+IF(Classifiers!$E$15="",0,IF(ISNUMBER(SEARCH(Classifiers!$E$15,E294)),1,0))+IF(Classifiers!$F$15="",0,IF(ISNUMBER(SEARCH(Classifiers!$F$15,E294)),1,0))+IF(Classifiers!$G$15="",0,IF(ISNUMBER(SEARCH(Classifiers!$G$15,E294)),1,0)))&gt;0,1,0))</f>
        <v/>
      </c>
      <c r="U294" s="12">
        <f>IF(H294&lt;&gt;1,0,IF((IF(Classifiers!$B$16="",0,IF(ISNUMBER(SEARCH(Classifiers!$B$16,E294)),1,0))+IF(Classifiers!$C$16="",0,IF(ISNUMBER(SEARCH(Classifiers!$C$16,E294)),1,0))+IF(Classifiers!$D$16="",0,IF(ISNUMBER(SEARCH(Classifiers!$D$16,E294)),1,0))+IF(Classifiers!$E$16="",0,IF(ISNUMBER(SEARCH(Classifiers!$E$16,E294)),1,0))+IF(Classifiers!$F$16="",0,IF(ISNUMBER(SEARCH(Classifiers!$F$16,E294)),1,0))+IF(Classifiers!$G$16="",0,IF(ISNUMBER(SEARCH(Classifiers!$G$16,E294)),1,0)))&gt;0,1,0))</f>
        <v/>
      </c>
      <c r="V294" s="12">
        <f>IF(H294&lt;&gt;1,0,IF((IF(Classifiers!$B$17="",0,IF(ISNUMBER(SEARCH(Classifiers!$B$17,E294)),1,0))+IF(Classifiers!$C$17="",0,IF(ISNUMBER(SEARCH(Classifiers!$C$17,E294)),1,0))+IF(Classifiers!$D$17="",0,IF(ISNUMBER(SEARCH(Classifiers!$D$17,E294)),1,0))+IF(Classifiers!$E$17="",0,IF(ISNUMBER(SEARCH(Classifiers!$E$17,E294)),1,0))+IF(Classifiers!$F$17="",0,IF(ISNUMBER(SEARCH(Classifiers!$F$17,E294)),1,0))+IF(Classifiers!$G$17="",0,IF(ISNUMBER(SEARCH(Classifiers!$G$17,E294)),1,0)))&gt;0,1,0))</f>
        <v/>
      </c>
      <c r="W294" s="12">
        <f>IF(H294&lt;&gt;1,0,IF((IF(Classifiers!$B$18="",0,IF(ISNUMBER(SEARCH(Classifiers!$B$18,E294)),1,0))+IF(Classifiers!$C$18="",0,IF(ISNUMBER(SEARCH(Classifiers!$C$18,E294)),1,0))+IF(Classifiers!$D$18="",0,IF(ISNUMBER(SEARCH(Classifiers!$D$18,E294)),1,0))+IF(Classifiers!$E$18="",0,IF(ISNUMBER(SEARCH(Classifiers!$E$18,E294)),1,0))+IF(Classifiers!$F$18="",0,IF(ISNUMBER(SEARCH(Classifiers!$F$18,E294)),1,0))+IF(Classifiers!$G$18="",0,IF(ISNUMBER(SEARCH(Classifiers!$G$18,E294)),1,0)))&gt;0,1,0))</f>
        <v/>
      </c>
    </row>
    <row r="295">
      <c r="A295" s="8" t="n"/>
      <c r="B295" s="11" t="n"/>
      <c r="C295" s="6">
        <f>IF(A295="","",TRIM(RIGHT(SUBSTITUTE(A295,"/",REPT(" ",250)),250)))</f>
        <v/>
      </c>
      <c r="D295" s="6">
        <f>IF(C295="","",IF(ISNUMBER(SEARCH(".",C295)),LOWER("."&amp;TRIM(RIGHT(SUBSTITUTE(C295,".",REPT(" ",250)),250))),""))</f>
        <v/>
      </c>
      <c r="E295" s="6">
        <f>IF(C295="","",TRIM(SUBSTITUTE(SUBSTITUTE(SUBSTITUTE(SUBSTITUTE(SUBSTITUTE(SUBSTITUTE(SUBSTITUTE(SUBSTITUTE(SUBSTITUTE(SUBSTITUTE(SUBSTITUTE(SUBSTITUTE(SUBSTITUTE(SUBSTITUTE(SUBSTITUTE(SUBSTITUTE(SUBSTITUTE(SUBSTITUTE(SUBSTITUTE(SUBSTITUTE(LOWER(LEFT(C295,LEN(C295)-LEN(D295))),"_"," "),"-"," "),"."," "),","," "),"("," "),")"," "),"["," "),"]"," "),"&amp;"," "),"+"," "),"@"," "),"#"," "),"!"," "),"'"," "),"/"," "),":"," "),";"," "),"="," "),"~"," "),"%"," ")))</f>
        <v/>
      </c>
      <c r="F295" s="6">
        <f>IF(C295="","",IF(COUNTIF(Classifiers!$A$23:$A$40,D295)&gt;0,1,0))</f>
        <v/>
      </c>
      <c r="G295" s="6">
        <f>IF(C295="","",IF(COUNTIF(Classifiers!$C$23:$C$30,D295)&gt;0,IF((IF(ISNUMBER(SEARCH(Classifiers!$E$23,E295)),1,0)+IF(ISNUMBER(SEARCH(Classifiers!$E$24,E295)),1,0)+IF(ISNUMBER(SEARCH(Classifiers!$E$25,E295)),1,0)+IF(ISNUMBER(SEARCH(Classifiers!$E$26,E295)),1,0)+IF(ISNUMBER(SEARCH(Classifiers!$E$27,E295)),1,0)+IF(ISNUMBER(SEARCH(Classifiers!$E$28,E295)),1,0)+IF(ISNUMBER(SEARCH(Classifiers!$E$29,E295)),1,0)+IF(ISNUMBER(SEARCH(Classifiers!$E$30,E295)),1,0))&gt;0,1,0),0))</f>
        <v/>
      </c>
      <c r="H295" s="6">
        <f>IF(C295="","",IF(OR(LEFT(C295,1)=".",AND(F295=0,G295=0)),0,1))</f>
        <v/>
      </c>
      <c r="I295" s="6">
        <f>IF(H295&lt;&gt;1,"",IF(SUM(J295:W295)=0,"unclassified",INDEX(Classifiers!$A$5:$A$18,MATCH(1,J295:W295,0),1)))</f>
        <v/>
      </c>
      <c r="J295" s="12">
        <f>IF(H295&lt;&gt;1,0,IF((IF(Classifiers!$B$5="",0,IF(ISNUMBER(SEARCH(Classifiers!$B$5,E295)),1,0))+IF(Classifiers!$C$5="",0,IF(ISNUMBER(SEARCH(Classifiers!$C$5,E295)),1,0))+IF(Classifiers!$D$5="",0,IF(ISNUMBER(SEARCH(Classifiers!$D$5,E295)),1,0))+IF(Classifiers!$E$5="",0,IF(ISNUMBER(SEARCH(Classifiers!$E$5,E295)),1,0))+IF(Classifiers!$F$5="",0,IF(ISNUMBER(SEARCH(Classifiers!$F$5,E295)),1,0))+IF(Classifiers!$G$5="",0,IF(ISNUMBER(SEARCH(Classifiers!$G$5,E295)),1,0)))&gt;0,1,0))</f>
        <v/>
      </c>
      <c r="K295" s="12">
        <f>IF(H295&lt;&gt;1,0,IF((IF(Classifiers!$B$6="",0,IF(ISNUMBER(SEARCH(Classifiers!$B$6,E295)),1,0))+IF(Classifiers!$C$6="",0,IF(ISNUMBER(SEARCH(Classifiers!$C$6,E295)),1,0))+IF(Classifiers!$D$6="",0,IF(ISNUMBER(SEARCH(Classifiers!$D$6,E295)),1,0))+IF(Classifiers!$E$6="",0,IF(ISNUMBER(SEARCH(Classifiers!$E$6,E295)),1,0))+IF(Classifiers!$F$6="",0,IF(ISNUMBER(SEARCH(Classifiers!$F$6,E295)),1,0))+IF(Classifiers!$G$6="",0,IF(ISNUMBER(SEARCH(Classifiers!$G$6,E295)),1,0)))&gt;0,1,0))</f>
        <v/>
      </c>
      <c r="L295" s="12">
        <f>IF(H295&lt;&gt;1,0,IF((IF(Classifiers!$B$7="",0,IF(ISNUMBER(SEARCH(Classifiers!$B$7,E295)),1,0))+IF(Classifiers!$C$7="",0,IF(ISNUMBER(SEARCH(Classifiers!$C$7,E295)),1,0))+IF(Classifiers!$D$7="",0,IF(ISNUMBER(SEARCH(Classifiers!$D$7,E295)),1,0))+IF(Classifiers!$E$7="",0,IF(ISNUMBER(SEARCH(Classifiers!$E$7,E295)),1,0))+IF(Classifiers!$F$7="",0,IF(ISNUMBER(SEARCH(Classifiers!$F$7,E295)),1,0))+IF(Classifiers!$G$7="",0,IF(ISNUMBER(SEARCH(Classifiers!$G$7,E295)),1,0)))&gt;0,1,0))</f>
        <v/>
      </c>
      <c r="M295" s="12">
        <f>IF(H295&lt;&gt;1,0,IF((IF(Classifiers!$B$8="",0,IF(ISNUMBER(SEARCH(Classifiers!$B$8,E295)),1,0))+IF(Classifiers!$C$8="",0,IF(ISNUMBER(SEARCH(Classifiers!$C$8,E295)),1,0))+IF(Classifiers!$D$8="",0,IF(ISNUMBER(SEARCH(Classifiers!$D$8,E295)),1,0))+IF(Classifiers!$E$8="",0,IF(ISNUMBER(SEARCH(Classifiers!$E$8,E295)),1,0))+IF(Classifiers!$F$8="",0,IF(ISNUMBER(SEARCH(Classifiers!$F$8,E295)),1,0))+IF(Classifiers!$G$8="",0,IF(ISNUMBER(SEARCH(Classifiers!$G$8,E295)),1,0)))&gt;0,1,0))</f>
        <v/>
      </c>
      <c r="N295" s="12">
        <f>IF(H295&lt;&gt;1,0,IF((IF(Classifiers!$B$9="",0,IF(ISNUMBER(SEARCH(Classifiers!$B$9,E295)),1,0))+IF(Classifiers!$C$9="",0,IF(ISNUMBER(SEARCH(Classifiers!$C$9,E295)),1,0))+IF(Classifiers!$D$9="",0,IF(ISNUMBER(SEARCH(Classifiers!$D$9,E295)),1,0))+IF(Classifiers!$E$9="",0,IF(ISNUMBER(SEARCH(Classifiers!$E$9,E295)),1,0))+IF(Classifiers!$F$9="",0,IF(ISNUMBER(SEARCH(Classifiers!$F$9,E295)),1,0))+IF(Classifiers!$G$9="",0,IF(ISNUMBER(SEARCH(Classifiers!$G$9,E295)),1,0)))&gt;0,1,0))</f>
        <v/>
      </c>
      <c r="O295" s="12">
        <f>IF(H295&lt;&gt;1,0,IF((IF(Classifiers!$B$10="",0,IF(ISNUMBER(SEARCH(Classifiers!$B$10,E295)),1,0))+IF(Classifiers!$C$10="",0,IF(ISNUMBER(SEARCH(Classifiers!$C$10,E295)),1,0))+IF(Classifiers!$D$10="",0,IF(ISNUMBER(SEARCH(Classifiers!$D$10,E295)),1,0))+IF(Classifiers!$E$10="",0,IF(ISNUMBER(SEARCH(Classifiers!$E$10,E295)),1,0))+IF(Classifiers!$F$10="",0,IF(ISNUMBER(SEARCH(Classifiers!$F$10,E295)),1,0))+IF(Classifiers!$G$10="",0,IF(ISNUMBER(SEARCH(Classifiers!$G$10,E295)),1,0)))&gt;0,1,0))</f>
        <v/>
      </c>
      <c r="P295" s="12">
        <f>IF(H295&lt;&gt;1,0,IF((IF(Classifiers!$B$11="",0,IF(ISNUMBER(SEARCH(Classifiers!$B$11,E295)),1,0))+IF(Classifiers!$C$11="",0,IF(ISNUMBER(SEARCH(Classifiers!$C$11,E295)),1,0))+IF(Classifiers!$D$11="",0,IF(ISNUMBER(SEARCH(Classifiers!$D$11,E295)),1,0))+IF(Classifiers!$E$11="",0,IF(ISNUMBER(SEARCH(Classifiers!$E$11,E295)),1,0))+IF(Classifiers!$F$11="",0,IF(ISNUMBER(SEARCH(Classifiers!$F$11,E295)),1,0))+IF(Classifiers!$G$11="",0,IF(ISNUMBER(SEARCH(Classifiers!$G$11,E295)),1,0)))&gt;0,1,0))</f>
        <v/>
      </c>
      <c r="Q295" s="12">
        <f>IF(H295&lt;&gt;1,0,IF((IF(Classifiers!$B$12="",0,IF(ISNUMBER(SEARCH(Classifiers!$B$12,E295)),1,0))+IF(Classifiers!$C$12="",0,IF(ISNUMBER(SEARCH(Classifiers!$C$12,E295)),1,0))+IF(Classifiers!$D$12="",0,IF(ISNUMBER(SEARCH(Classifiers!$D$12,E295)),1,0))+IF(Classifiers!$E$12="",0,IF(ISNUMBER(SEARCH(Classifiers!$E$12,E295)),1,0))+IF(Classifiers!$F$12="",0,IF(ISNUMBER(SEARCH(Classifiers!$F$12,E295)),1,0))+IF(Classifiers!$G$12="",0,IF(ISNUMBER(SEARCH(Classifiers!$G$12,E295)),1,0)))&gt;0,1,0))</f>
        <v/>
      </c>
      <c r="R295" s="12">
        <f>IF(H295&lt;&gt;1,0,IF((IF(Classifiers!$B$13="",0,IF(ISNUMBER(SEARCH(Classifiers!$B$13,E295)),1,0))+IF(Classifiers!$C$13="",0,IF(ISNUMBER(SEARCH(Classifiers!$C$13,E295)),1,0))+IF(Classifiers!$D$13="",0,IF(ISNUMBER(SEARCH(Classifiers!$D$13,E295)),1,0))+IF(Classifiers!$E$13="",0,IF(ISNUMBER(SEARCH(Classifiers!$E$13,E295)),1,0))+IF(Classifiers!$F$13="",0,IF(ISNUMBER(SEARCH(Classifiers!$F$13,E295)),1,0))+IF(Classifiers!$G$13="",0,IF(ISNUMBER(SEARCH(Classifiers!$G$13,E295)),1,0)))&gt;0,1,0))</f>
        <v/>
      </c>
      <c r="S295" s="12">
        <f>IF(H295&lt;&gt;1,0,IF((IF(Classifiers!$B$14="",0,IF(ISNUMBER(SEARCH(Classifiers!$B$14,E295)),1,0))+IF(Classifiers!$C$14="",0,IF(ISNUMBER(SEARCH(Classifiers!$C$14,E295)),1,0))+IF(Classifiers!$D$14="",0,IF(ISNUMBER(SEARCH(Classifiers!$D$14,E295)),1,0))+IF(Classifiers!$E$14="",0,IF(ISNUMBER(SEARCH(Classifiers!$E$14,E295)),1,0))+IF(Classifiers!$F$14="",0,IF(ISNUMBER(SEARCH(Classifiers!$F$14,E295)),1,0))+IF(Classifiers!$G$14="",0,IF(ISNUMBER(SEARCH(Classifiers!$G$14,E295)),1,0)))&gt;0,1,0))</f>
        <v/>
      </c>
      <c r="T295" s="12">
        <f>IF(H295&lt;&gt;1,0,IF((IF(Classifiers!$B$15="",0,IF(ISNUMBER(SEARCH(Classifiers!$B$15,E295)),1,0))+IF(Classifiers!$C$15="",0,IF(ISNUMBER(SEARCH(Classifiers!$C$15,E295)),1,0))+IF(Classifiers!$D$15="",0,IF(ISNUMBER(SEARCH(Classifiers!$D$15,E295)),1,0))+IF(Classifiers!$E$15="",0,IF(ISNUMBER(SEARCH(Classifiers!$E$15,E295)),1,0))+IF(Classifiers!$F$15="",0,IF(ISNUMBER(SEARCH(Classifiers!$F$15,E295)),1,0))+IF(Classifiers!$G$15="",0,IF(ISNUMBER(SEARCH(Classifiers!$G$15,E295)),1,0)))&gt;0,1,0))</f>
        <v/>
      </c>
      <c r="U295" s="12">
        <f>IF(H295&lt;&gt;1,0,IF((IF(Classifiers!$B$16="",0,IF(ISNUMBER(SEARCH(Classifiers!$B$16,E295)),1,0))+IF(Classifiers!$C$16="",0,IF(ISNUMBER(SEARCH(Classifiers!$C$16,E295)),1,0))+IF(Classifiers!$D$16="",0,IF(ISNUMBER(SEARCH(Classifiers!$D$16,E295)),1,0))+IF(Classifiers!$E$16="",0,IF(ISNUMBER(SEARCH(Classifiers!$E$16,E295)),1,0))+IF(Classifiers!$F$16="",0,IF(ISNUMBER(SEARCH(Classifiers!$F$16,E295)),1,0))+IF(Classifiers!$G$16="",0,IF(ISNUMBER(SEARCH(Classifiers!$G$16,E295)),1,0)))&gt;0,1,0))</f>
        <v/>
      </c>
      <c r="V295" s="12">
        <f>IF(H295&lt;&gt;1,0,IF((IF(Classifiers!$B$17="",0,IF(ISNUMBER(SEARCH(Classifiers!$B$17,E295)),1,0))+IF(Classifiers!$C$17="",0,IF(ISNUMBER(SEARCH(Classifiers!$C$17,E295)),1,0))+IF(Classifiers!$D$17="",0,IF(ISNUMBER(SEARCH(Classifiers!$D$17,E295)),1,0))+IF(Classifiers!$E$17="",0,IF(ISNUMBER(SEARCH(Classifiers!$E$17,E295)),1,0))+IF(Classifiers!$F$17="",0,IF(ISNUMBER(SEARCH(Classifiers!$F$17,E295)),1,0))+IF(Classifiers!$G$17="",0,IF(ISNUMBER(SEARCH(Classifiers!$G$17,E295)),1,0)))&gt;0,1,0))</f>
        <v/>
      </c>
      <c r="W295" s="12">
        <f>IF(H295&lt;&gt;1,0,IF((IF(Classifiers!$B$18="",0,IF(ISNUMBER(SEARCH(Classifiers!$B$18,E295)),1,0))+IF(Classifiers!$C$18="",0,IF(ISNUMBER(SEARCH(Classifiers!$C$18,E295)),1,0))+IF(Classifiers!$D$18="",0,IF(ISNUMBER(SEARCH(Classifiers!$D$18,E295)),1,0))+IF(Classifiers!$E$18="",0,IF(ISNUMBER(SEARCH(Classifiers!$E$18,E295)),1,0))+IF(Classifiers!$F$18="",0,IF(ISNUMBER(SEARCH(Classifiers!$F$18,E295)),1,0))+IF(Classifiers!$G$18="",0,IF(ISNUMBER(SEARCH(Classifiers!$G$18,E295)),1,0)))&gt;0,1,0))</f>
        <v/>
      </c>
    </row>
    <row r="296">
      <c r="A296" s="8" t="n"/>
      <c r="B296" s="11" t="n"/>
      <c r="C296" s="6">
        <f>IF(A296="","",TRIM(RIGHT(SUBSTITUTE(A296,"/",REPT(" ",250)),250)))</f>
        <v/>
      </c>
      <c r="D296" s="6">
        <f>IF(C296="","",IF(ISNUMBER(SEARCH(".",C296)),LOWER("."&amp;TRIM(RIGHT(SUBSTITUTE(C296,".",REPT(" ",250)),250))),""))</f>
        <v/>
      </c>
      <c r="E296" s="6">
        <f>IF(C296="","",TRIM(SUBSTITUTE(SUBSTITUTE(SUBSTITUTE(SUBSTITUTE(SUBSTITUTE(SUBSTITUTE(SUBSTITUTE(SUBSTITUTE(SUBSTITUTE(SUBSTITUTE(SUBSTITUTE(SUBSTITUTE(SUBSTITUTE(SUBSTITUTE(SUBSTITUTE(SUBSTITUTE(SUBSTITUTE(SUBSTITUTE(SUBSTITUTE(SUBSTITUTE(LOWER(LEFT(C296,LEN(C296)-LEN(D296))),"_"," "),"-"," "),"."," "),","," "),"("," "),")"," "),"["," "),"]"," "),"&amp;"," "),"+"," "),"@"," "),"#"," "),"!"," "),"'"," "),"/"," "),":"," "),";"," "),"="," "),"~"," "),"%"," ")))</f>
        <v/>
      </c>
      <c r="F296" s="6">
        <f>IF(C296="","",IF(COUNTIF(Classifiers!$A$23:$A$40,D296)&gt;0,1,0))</f>
        <v/>
      </c>
      <c r="G296" s="6">
        <f>IF(C296="","",IF(COUNTIF(Classifiers!$C$23:$C$30,D296)&gt;0,IF((IF(ISNUMBER(SEARCH(Classifiers!$E$23,E296)),1,0)+IF(ISNUMBER(SEARCH(Classifiers!$E$24,E296)),1,0)+IF(ISNUMBER(SEARCH(Classifiers!$E$25,E296)),1,0)+IF(ISNUMBER(SEARCH(Classifiers!$E$26,E296)),1,0)+IF(ISNUMBER(SEARCH(Classifiers!$E$27,E296)),1,0)+IF(ISNUMBER(SEARCH(Classifiers!$E$28,E296)),1,0)+IF(ISNUMBER(SEARCH(Classifiers!$E$29,E296)),1,0)+IF(ISNUMBER(SEARCH(Classifiers!$E$30,E296)),1,0))&gt;0,1,0),0))</f>
        <v/>
      </c>
      <c r="H296" s="6">
        <f>IF(C296="","",IF(OR(LEFT(C296,1)=".",AND(F296=0,G296=0)),0,1))</f>
        <v/>
      </c>
      <c r="I296" s="6">
        <f>IF(H296&lt;&gt;1,"",IF(SUM(J296:W296)=0,"unclassified",INDEX(Classifiers!$A$5:$A$18,MATCH(1,J296:W296,0),1)))</f>
        <v/>
      </c>
      <c r="J296" s="12">
        <f>IF(H296&lt;&gt;1,0,IF((IF(Classifiers!$B$5="",0,IF(ISNUMBER(SEARCH(Classifiers!$B$5,E296)),1,0))+IF(Classifiers!$C$5="",0,IF(ISNUMBER(SEARCH(Classifiers!$C$5,E296)),1,0))+IF(Classifiers!$D$5="",0,IF(ISNUMBER(SEARCH(Classifiers!$D$5,E296)),1,0))+IF(Classifiers!$E$5="",0,IF(ISNUMBER(SEARCH(Classifiers!$E$5,E296)),1,0))+IF(Classifiers!$F$5="",0,IF(ISNUMBER(SEARCH(Classifiers!$F$5,E296)),1,0))+IF(Classifiers!$G$5="",0,IF(ISNUMBER(SEARCH(Classifiers!$G$5,E296)),1,0)))&gt;0,1,0))</f>
        <v/>
      </c>
      <c r="K296" s="12">
        <f>IF(H296&lt;&gt;1,0,IF((IF(Classifiers!$B$6="",0,IF(ISNUMBER(SEARCH(Classifiers!$B$6,E296)),1,0))+IF(Classifiers!$C$6="",0,IF(ISNUMBER(SEARCH(Classifiers!$C$6,E296)),1,0))+IF(Classifiers!$D$6="",0,IF(ISNUMBER(SEARCH(Classifiers!$D$6,E296)),1,0))+IF(Classifiers!$E$6="",0,IF(ISNUMBER(SEARCH(Classifiers!$E$6,E296)),1,0))+IF(Classifiers!$F$6="",0,IF(ISNUMBER(SEARCH(Classifiers!$F$6,E296)),1,0))+IF(Classifiers!$G$6="",0,IF(ISNUMBER(SEARCH(Classifiers!$G$6,E296)),1,0)))&gt;0,1,0))</f>
        <v/>
      </c>
      <c r="L296" s="12">
        <f>IF(H296&lt;&gt;1,0,IF((IF(Classifiers!$B$7="",0,IF(ISNUMBER(SEARCH(Classifiers!$B$7,E296)),1,0))+IF(Classifiers!$C$7="",0,IF(ISNUMBER(SEARCH(Classifiers!$C$7,E296)),1,0))+IF(Classifiers!$D$7="",0,IF(ISNUMBER(SEARCH(Classifiers!$D$7,E296)),1,0))+IF(Classifiers!$E$7="",0,IF(ISNUMBER(SEARCH(Classifiers!$E$7,E296)),1,0))+IF(Classifiers!$F$7="",0,IF(ISNUMBER(SEARCH(Classifiers!$F$7,E296)),1,0))+IF(Classifiers!$G$7="",0,IF(ISNUMBER(SEARCH(Classifiers!$G$7,E296)),1,0)))&gt;0,1,0))</f>
        <v/>
      </c>
      <c r="M296" s="12">
        <f>IF(H296&lt;&gt;1,0,IF((IF(Classifiers!$B$8="",0,IF(ISNUMBER(SEARCH(Classifiers!$B$8,E296)),1,0))+IF(Classifiers!$C$8="",0,IF(ISNUMBER(SEARCH(Classifiers!$C$8,E296)),1,0))+IF(Classifiers!$D$8="",0,IF(ISNUMBER(SEARCH(Classifiers!$D$8,E296)),1,0))+IF(Classifiers!$E$8="",0,IF(ISNUMBER(SEARCH(Classifiers!$E$8,E296)),1,0))+IF(Classifiers!$F$8="",0,IF(ISNUMBER(SEARCH(Classifiers!$F$8,E296)),1,0))+IF(Classifiers!$G$8="",0,IF(ISNUMBER(SEARCH(Classifiers!$G$8,E296)),1,0)))&gt;0,1,0))</f>
        <v/>
      </c>
      <c r="N296" s="12">
        <f>IF(H296&lt;&gt;1,0,IF((IF(Classifiers!$B$9="",0,IF(ISNUMBER(SEARCH(Classifiers!$B$9,E296)),1,0))+IF(Classifiers!$C$9="",0,IF(ISNUMBER(SEARCH(Classifiers!$C$9,E296)),1,0))+IF(Classifiers!$D$9="",0,IF(ISNUMBER(SEARCH(Classifiers!$D$9,E296)),1,0))+IF(Classifiers!$E$9="",0,IF(ISNUMBER(SEARCH(Classifiers!$E$9,E296)),1,0))+IF(Classifiers!$F$9="",0,IF(ISNUMBER(SEARCH(Classifiers!$F$9,E296)),1,0))+IF(Classifiers!$G$9="",0,IF(ISNUMBER(SEARCH(Classifiers!$G$9,E296)),1,0)))&gt;0,1,0))</f>
        <v/>
      </c>
      <c r="O296" s="12">
        <f>IF(H296&lt;&gt;1,0,IF((IF(Classifiers!$B$10="",0,IF(ISNUMBER(SEARCH(Classifiers!$B$10,E296)),1,0))+IF(Classifiers!$C$10="",0,IF(ISNUMBER(SEARCH(Classifiers!$C$10,E296)),1,0))+IF(Classifiers!$D$10="",0,IF(ISNUMBER(SEARCH(Classifiers!$D$10,E296)),1,0))+IF(Classifiers!$E$10="",0,IF(ISNUMBER(SEARCH(Classifiers!$E$10,E296)),1,0))+IF(Classifiers!$F$10="",0,IF(ISNUMBER(SEARCH(Classifiers!$F$10,E296)),1,0))+IF(Classifiers!$G$10="",0,IF(ISNUMBER(SEARCH(Classifiers!$G$10,E296)),1,0)))&gt;0,1,0))</f>
        <v/>
      </c>
      <c r="P296" s="12">
        <f>IF(H296&lt;&gt;1,0,IF((IF(Classifiers!$B$11="",0,IF(ISNUMBER(SEARCH(Classifiers!$B$11,E296)),1,0))+IF(Classifiers!$C$11="",0,IF(ISNUMBER(SEARCH(Classifiers!$C$11,E296)),1,0))+IF(Classifiers!$D$11="",0,IF(ISNUMBER(SEARCH(Classifiers!$D$11,E296)),1,0))+IF(Classifiers!$E$11="",0,IF(ISNUMBER(SEARCH(Classifiers!$E$11,E296)),1,0))+IF(Classifiers!$F$11="",0,IF(ISNUMBER(SEARCH(Classifiers!$F$11,E296)),1,0))+IF(Classifiers!$G$11="",0,IF(ISNUMBER(SEARCH(Classifiers!$G$11,E296)),1,0)))&gt;0,1,0))</f>
        <v/>
      </c>
      <c r="Q296" s="12">
        <f>IF(H296&lt;&gt;1,0,IF((IF(Classifiers!$B$12="",0,IF(ISNUMBER(SEARCH(Classifiers!$B$12,E296)),1,0))+IF(Classifiers!$C$12="",0,IF(ISNUMBER(SEARCH(Classifiers!$C$12,E296)),1,0))+IF(Classifiers!$D$12="",0,IF(ISNUMBER(SEARCH(Classifiers!$D$12,E296)),1,0))+IF(Classifiers!$E$12="",0,IF(ISNUMBER(SEARCH(Classifiers!$E$12,E296)),1,0))+IF(Classifiers!$F$12="",0,IF(ISNUMBER(SEARCH(Classifiers!$F$12,E296)),1,0))+IF(Classifiers!$G$12="",0,IF(ISNUMBER(SEARCH(Classifiers!$G$12,E296)),1,0)))&gt;0,1,0))</f>
        <v/>
      </c>
      <c r="R296" s="12">
        <f>IF(H296&lt;&gt;1,0,IF((IF(Classifiers!$B$13="",0,IF(ISNUMBER(SEARCH(Classifiers!$B$13,E296)),1,0))+IF(Classifiers!$C$13="",0,IF(ISNUMBER(SEARCH(Classifiers!$C$13,E296)),1,0))+IF(Classifiers!$D$13="",0,IF(ISNUMBER(SEARCH(Classifiers!$D$13,E296)),1,0))+IF(Classifiers!$E$13="",0,IF(ISNUMBER(SEARCH(Classifiers!$E$13,E296)),1,0))+IF(Classifiers!$F$13="",0,IF(ISNUMBER(SEARCH(Classifiers!$F$13,E296)),1,0))+IF(Classifiers!$G$13="",0,IF(ISNUMBER(SEARCH(Classifiers!$G$13,E296)),1,0)))&gt;0,1,0))</f>
        <v/>
      </c>
      <c r="S296" s="12">
        <f>IF(H296&lt;&gt;1,0,IF((IF(Classifiers!$B$14="",0,IF(ISNUMBER(SEARCH(Classifiers!$B$14,E296)),1,0))+IF(Classifiers!$C$14="",0,IF(ISNUMBER(SEARCH(Classifiers!$C$14,E296)),1,0))+IF(Classifiers!$D$14="",0,IF(ISNUMBER(SEARCH(Classifiers!$D$14,E296)),1,0))+IF(Classifiers!$E$14="",0,IF(ISNUMBER(SEARCH(Classifiers!$E$14,E296)),1,0))+IF(Classifiers!$F$14="",0,IF(ISNUMBER(SEARCH(Classifiers!$F$14,E296)),1,0))+IF(Classifiers!$G$14="",0,IF(ISNUMBER(SEARCH(Classifiers!$G$14,E296)),1,0)))&gt;0,1,0))</f>
        <v/>
      </c>
      <c r="T296" s="12">
        <f>IF(H296&lt;&gt;1,0,IF((IF(Classifiers!$B$15="",0,IF(ISNUMBER(SEARCH(Classifiers!$B$15,E296)),1,0))+IF(Classifiers!$C$15="",0,IF(ISNUMBER(SEARCH(Classifiers!$C$15,E296)),1,0))+IF(Classifiers!$D$15="",0,IF(ISNUMBER(SEARCH(Classifiers!$D$15,E296)),1,0))+IF(Classifiers!$E$15="",0,IF(ISNUMBER(SEARCH(Classifiers!$E$15,E296)),1,0))+IF(Classifiers!$F$15="",0,IF(ISNUMBER(SEARCH(Classifiers!$F$15,E296)),1,0))+IF(Classifiers!$G$15="",0,IF(ISNUMBER(SEARCH(Classifiers!$G$15,E296)),1,0)))&gt;0,1,0))</f>
        <v/>
      </c>
      <c r="U296" s="12">
        <f>IF(H296&lt;&gt;1,0,IF((IF(Classifiers!$B$16="",0,IF(ISNUMBER(SEARCH(Classifiers!$B$16,E296)),1,0))+IF(Classifiers!$C$16="",0,IF(ISNUMBER(SEARCH(Classifiers!$C$16,E296)),1,0))+IF(Classifiers!$D$16="",0,IF(ISNUMBER(SEARCH(Classifiers!$D$16,E296)),1,0))+IF(Classifiers!$E$16="",0,IF(ISNUMBER(SEARCH(Classifiers!$E$16,E296)),1,0))+IF(Classifiers!$F$16="",0,IF(ISNUMBER(SEARCH(Classifiers!$F$16,E296)),1,0))+IF(Classifiers!$G$16="",0,IF(ISNUMBER(SEARCH(Classifiers!$G$16,E296)),1,0)))&gt;0,1,0))</f>
        <v/>
      </c>
      <c r="V296" s="12">
        <f>IF(H296&lt;&gt;1,0,IF((IF(Classifiers!$B$17="",0,IF(ISNUMBER(SEARCH(Classifiers!$B$17,E296)),1,0))+IF(Classifiers!$C$17="",0,IF(ISNUMBER(SEARCH(Classifiers!$C$17,E296)),1,0))+IF(Classifiers!$D$17="",0,IF(ISNUMBER(SEARCH(Classifiers!$D$17,E296)),1,0))+IF(Classifiers!$E$17="",0,IF(ISNUMBER(SEARCH(Classifiers!$E$17,E296)),1,0))+IF(Classifiers!$F$17="",0,IF(ISNUMBER(SEARCH(Classifiers!$F$17,E296)),1,0))+IF(Classifiers!$G$17="",0,IF(ISNUMBER(SEARCH(Classifiers!$G$17,E296)),1,0)))&gt;0,1,0))</f>
        <v/>
      </c>
      <c r="W296" s="12">
        <f>IF(H296&lt;&gt;1,0,IF((IF(Classifiers!$B$18="",0,IF(ISNUMBER(SEARCH(Classifiers!$B$18,E296)),1,0))+IF(Classifiers!$C$18="",0,IF(ISNUMBER(SEARCH(Classifiers!$C$18,E296)),1,0))+IF(Classifiers!$D$18="",0,IF(ISNUMBER(SEARCH(Classifiers!$D$18,E296)),1,0))+IF(Classifiers!$E$18="",0,IF(ISNUMBER(SEARCH(Classifiers!$E$18,E296)),1,0))+IF(Classifiers!$F$18="",0,IF(ISNUMBER(SEARCH(Classifiers!$F$18,E296)),1,0))+IF(Classifiers!$G$18="",0,IF(ISNUMBER(SEARCH(Classifiers!$G$18,E296)),1,0)))&gt;0,1,0))</f>
        <v/>
      </c>
    </row>
    <row r="297">
      <c r="A297" s="8" t="n"/>
      <c r="B297" s="11" t="n"/>
      <c r="C297" s="6">
        <f>IF(A297="","",TRIM(RIGHT(SUBSTITUTE(A297,"/",REPT(" ",250)),250)))</f>
        <v/>
      </c>
      <c r="D297" s="6">
        <f>IF(C297="","",IF(ISNUMBER(SEARCH(".",C297)),LOWER("."&amp;TRIM(RIGHT(SUBSTITUTE(C297,".",REPT(" ",250)),250))),""))</f>
        <v/>
      </c>
      <c r="E297" s="6">
        <f>IF(C297="","",TRIM(SUBSTITUTE(SUBSTITUTE(SUBSTITUTE(SUBSTITUTE(SUBSTITUTE(SUBSTITUTE(SUBSTITUTE(SUBSTITUTE(SUBSTITUTE(SUBSTITUTE(SUBSTITUTE(SUBSTITUTE(SUBSTITUTE(SUBSTITUTE(SUBSTITUTE(SUBSTITUTE(SUBSTITUTE(SUBSTITUTE(SUBSTITUTE(SUBSTITUTE(LOWER(LEFT(C297,LEN(C297)-LEN(D297))),"_"," "),"-"," "),"."," "),","," "),"("," "),")"," "),"["," "),"]"," "),"&amp;"," "),"+"," "),"@"," "),"#"," "),"!"," "),"'"," "),"/"," "),":"," "),";"," "),"="," "),"~"," "),"%"," ")))</f>
        <v/>
      </c>
      <c r="F297" s="6">
        <f>IF(C297="","",IF(COUNTIF(Classifiers!$A$23:$A$40,D297)&gt;0,1,0))</f>
        <v/>
      </c>
      <c r="G297" s="6">
        <f>IF(C297="","",IF(COUNTIF(Classifiers!$C$23:$C$30,D297)&gt;0,IF((IF(ISNUMBER(SEARCH(Classifiers!$E$23,E297)),1,0)+IF(ISNUMBER(SEARCH(Classifiers!$E$24,E297)),1,0)+IF(ISNUMBER(SEARCH(Classifiers!$E$25,E297)),1,0)+IF(ISNUMBER(SEARCH(Classifiers!$E$26,E297)),1,0)+IF(ISNUMBER(SEARCH(Classifiers!$E$27,E297)),1,0)+IF(ISNUMBER(SEARCH(Classifiers!$E$28,E297)),1,0)+IF(ISNUMBER(SEARCH(Classifiers!$E$29,E297)),1,0)+IF(ISNUMBER(SEARCH(Classifiers!$E$30,E297)),1,0))&gt;0,1,0),0))</f>
        <v/>
      </c>
      <c r="H297" s="6">
        <f>IF(C297="","",IF(OR(LEFT(C297,1)=".",AND(F297=0,G297=0)),0,1))</f>
        <v/>
      </c>
      <c r="I297" s="6">
        <f>IF(H297&lt;&gt;1,"",IF(SUM(J297:W297)=0,"unclassified",INDEX(Classifiers!$A$5:$A$18,MATCH(1,J297:W297,0),1)))</f>
        <v/>
      </c>
      <c r="J297" s="12">
        <f>IF(H297&lt;&gt;1,0,IF((IF(Classifiers!$B$5="",0,IF(ISNUMBER(SEARCH(Classifiers!$B$5,E297)),1,0))+IF(Classifiers!$C$5="",0,IF(ISNUMBER(SEARCH(Classifiers!$C$5,E297)),1,0))+IF(Classifiers!$D$5="",0,IF(ISNUMBER(SEARCH(Classifiers!$D$5,E297)),1,0))+IF(Classifiers!$E$5="",0,IF(ISNUMBER(SEARCH(Classifiers!$E$5,E297)),1,0))+IF(Classifiers!$F$5="",0,IF(ISNUMBER(SEARCH(Classifiers!$F$5,E297)),1,0))+IF(Classifiers!$G$5="",0,IF(ISNUMBER(SEARCH(Classifiers!$G$5,E297)),1,0)))&gt;0,1,0))</f>
        <v/>
      </c>
      <c r="K297" s="12">
        <f>IF(H297&lt;&gt;1,0,IF((IF(Classifiers!$B$6="",0,IF(ISNUMBER(SEARCH(Classifiers!$B$6,E297)),1,0))+IF(Classifiers!$C$6="",0,IF(ISNUMBER(SEARCH(Classifiers!$C$6,E297)),1,0))+IF(Classifiers!$D$6="",0,IF(ISNUMBER(SEARCH(Classifiers!$D$6,E297)),1,0))+IF(Classifiers!$E$6="",0,IF(ISNUMBER(SEARCH(Classifiers!$E$6,E297)),1,0))+IF(Classifiers!$F$6="",0,IF(ISNUMBER(SEARCH(Classifiers!$F$6,E297)),1,0))+IF(Classifiers!$G$6="",0,IF(ISNUMBER(SEARCH(Classifiers!$G$6,E297)),1,0)))&gt;0,1,0))</f>
        <v/>
      </c>
      <c r="L297" s="12">
        <f>IF(H297&lt;&gt;1,0,IF((IF(Classifiers!$B$7="",0,IF(ISNUMBER(SEARCH(Classifiers!$B$7,E297)),1,0))+IF(Classifiers!$C$7="",0,IF(ISNUMBER(SEARCH(Classifiers!$C$7,E297)),1,0))+IF(Classifiers!$D$7="",0,IF(ISNUMBER(SEARCH(Classifiers!$D$7,E297)),1,0))+IF(Classifiers!$E$7="",0,IF(ISNUMBER(SEARCH(Classifiers!$E$7,E297)),1,0))+IF(Classifiers!$F$7="",0,IF(ISNUMBER(SEARCH(Classifiers!$F$7,E297)),1,0))+IF(Classifiers!$G$7="",0,IF(ISNUMBER(SEARCH(Classifiers!$G$7,E297)),1,0)))&gt;0,1,0))</f>
        <v/>
      </c>
      <c r="M297" s="12">
        <f>IF(H297&lt;&gt;1,0,IF((IF(Classifiers!$B$8="",0,IF(ISNUMBER(SEARCH(Classifiers!$B$8,E297)),1,0))+IF(Classifiers!$C$8="",0,IF(ISNUMBER(SEARCH(Classifiers!$C$8,E297)),1,0))+IF(Classifiers!$D$8="",0,IF(ISNUMBER(SEARCH(Classifiers!$D$8,E297)),1,0))+IF(Classifiers!$E$8="",0,IF(ISNUMBER(SEARCH(Classifiers!$E$8,E297)),1,0))+IF(Classifiers!$F$8="",0,IF(ISNUMBER(SEARCH(Classifiers!$F$8,E297)),1,0))+IF(Classifiers!$G$8="",0,IF(ISNUMBER(SEARCH(Classifiers!$G$8,E297)),1,0)))&gt;0,1,0))</f>
        <v/>
      </c>
      <c r="N297" s="12">
        <f>IF(H297&lt;&gt;1,0,IF((IF(Classifiers!$B$9="",0,IF(ISNUMBER(SEARCH(Classifiers!$B$9,E297)),1,0))+IF(Classifiers!$C$9="",0,IF(ISNUMBER(SEARCH(Classifiers!$C$9,E297)),1,0))+IF(Classifiers!$D$9="",0,IF(ISNUMBER(SEARCH(Classifiers!$D$9,E297)),1,0))+IF(Classifiers!$E$9="",0,IF(ISNUMBER(SEARCH(Classifiers!$E$9,E297)),1,0))+IF(Classifiers!$F$9="",0,IF(ISNUMBER(SEARCH(Classifiers!$F$9,E297)),1,0))+IF(Classifiers!$G$9="",0,IF(ISNUMBER(SEARCH(Classifiers!$G$9,E297)),1,0)))&gt;0,1,0))</f>
        <v/>
      </c>
      <c r="O297" s="12">
        <f>IF(H297&lt;&gt;1,0,IF((IF(Classifiers!$B$10="",0,IF(ISNUMBER(SEARCH(Classifiers!$B$10,E297)),1,0))+IF(Classifiers!$C$10="",0,IF(ISNUMBER(SEARCH(Classifiers!$C$10,E297)),1,0))+IF(Classifiers!$D$10="",0,IF(ISNUMBER(SEARCH(Classifiers!$D$10,E297)),1,0))+IF(Classifiers!$E$10="",0,IF(ISNUMBER(SEARCH(Classifiers!$E$10,E297)),1,0))+IF(Classifiers!$F$10="",0,IF(ISNUMBER(SEARCH(Classifiers!$F$10,E297)),1,0))+IF(Classifiers!$G$10="",0,IF(ISNUMBER(SEARCH(Classifiers!$G$10,E297)),1,0)))&gt;0,1,0))</f>
        <v/>
      </c>
      <c r="P297" s="12">
        <f>IF(H297&lt;&gt;1,0,IF((IF(Classifiers!$B$11="",0,IF(ISNUMBER(SEARCH(Classifiers!$B$11,E297)),1,0))+IF(Classifiers!$C$11="",0,IF(ISNUMBER(SEARCH(Classifiers!$C$11,E297)),1,0))+IF(Classifiers!$D$11="",0,IF(ISNUMBER(SEARCH(Classifiers!$D$11,E297)),1,0))+IF(Classifiers!$E$11="",0,IF(ISNUMBER(SEARCH(Classifiers!$E$11,E297)),1,0))+IF(Classifiers!$F$11="",0,IF(ISNUMBER(SEARCH(Classifiers!$F$11,E297)),1,0))+IF(Classifiers!$G$11="",0,IF(ISNUMBER(SEARCH(Classifiers!$G$11,E297)),1,0)))&gt;0,1,0))</f>
        <v/>
      </c>
      <c r="Q297" s="12">
        <f>IF(H297&lt;&gt;1,0,IF((IF(Classifiers!$B$12="",0,IF(ISNUMBER(SEARCH(Classifiers!$B$12,E297)),1,0))+IF(Classifiers!$C$12="",0,IF(ISNUMBER(SEARCH(Classifiers!$C$12,E297)),1,0))+IF(Classifiers!$D$12="",0,IF(ISNUMBER(SEARCH(Classifiers!$D$12,E297)),1,0))+IF(Classifiers!$E$12="",0,IF(ISNUMBER(SEARCH(Classifiers!$E$12,E297)),1,0))+IF(Classifiers!$F$12="",0,IF(ISNUMBER(SEARCH(Classifiers!$F$12,E297)),1,0))+IF(Classifiers!$G$12="",0,IF(ISNUMBER(SEARCH(Classifiers!$G$12,E297)),1,0)))&gt;0,1,0))</f>
        <v/>
      </c>
      <c r="R297" s="12">
        <f>IF(H297&lt;&gt;1,0,IF((IF(Classifiers!$B$13="",0,IF(ISNUMBER(SEARCH(Classifiers!$B$13,E297)),1,0))+IF(Classifiers!$C$13="",0,IF(ISNUMBER(SEARCH(Classifiers!$C$13,E297)),1,0))+IF(Classifiers!$D$13="",0,IF(ISNUMBER(SEARCH(Classifiers!$D$13,E297)),1,0))+IF(Classifiers!$E$13="",0,IF(ISNUMBER(SEARCH(Classifiers!$E$13,E297)),1,0))+IF(Classifiers!$F$13="",0,IF(ISNUMBER(SEARCH(Classifiers!$F$13,E297)),1,0))+IF(Classifiers!$G$13="",0,IF(ISNUMBER(SEARCH(Classifiers!$G$13,E297)),1,0)))&gt;0,1,0))</f>
        <v/>
      </c>
      <c r="S297" s="12">
        <f>IF(H297&lt;&gt;1,0,IF((IF(Classifiers!$B$14="",0,IF(ISNUMBER(SEARCH(Classifiers!$B$14,E297)),1,0))+IF(Classifiers!$C$14="",0,IF(ISNUMBER(SEARCH(Classifiers!$C$14,E297)),1,0))+IF(Classifiers!$D$14="",0,IF(ISNUMBER(SEARCH(Classifiers!$D$14,E297)),1,0))+IF(Classifiers!$E$14="",0,IF(ISNUMBER(SEARCH(Classifiers!$E$14,E297)),1,0))+IF(Classifiers!$F$14="",0,IF(ISNUMBER(SEARCH(Classifiers!$F$14,E297)),1,0))+IF(Classifiers!$G$14="",0,IF(ISNUMBER(SEARCH(Classifiers!$G$14,E297)),1,0)))&gt;0,1,0))</f>
        <v/>
      </c>
      <c r="T297" s="12">
        <f>IF(H297&lt;&gt;1,0,IF((IF(Classifiers!$B$15="",0,IF(ISNUMBER(SEARCH(Classifiers!$B$15,E297)),1,0))+IF(Classifiers!$C$15="",0,IF(ISNUMBER(SEARCH(Classifiers!$C$15,E297)),1,0))+IF(Classifiers!$D$15="",0,IF(ISNUMBER(SEARCH(Classifiers!$D$15,E297)),1,0))+IF(Classifiers!$E$15="",0,IF(ISNUMBER(SEARCH(Classifiers!$E$15,E297)),1,0))+IF(Classifiers!$F$15="",0,IF(ISNUMBER(SEARCH(Classifiers!$F$15,E297)),1,0))+IF(Classifiers!$G$15="",0,IF(ISNUMBER(SEARCH(Classifiers!$G$15,E297)),1,0)))&gt;0,1,0))</f>
        <v/>
      </c>
      <c r="U297" s="12">
        <f>IF(H297&lt;&gt;1,0,IF((IF(Classifiers!$B$16="",0,IF(ISNUMBER(SEARCH(Classifiers!$B$16,E297)),1,0))+IF(Classifiers!$C$16="",0,IF(ISNUMBER(SEARCH(Classifiers!$C$16,E297)),1,0))+IF(Classifiers!$D$16="",0,IF(ISNUMBER(SEARCH(Classifiers!$D$16,E297)),1,0))+IF(Classifiers!$E$16="",0,IF(ISNUMBER(SEARCH(Classifiers!$E$16,E297)),1,0))+IF(Classifiers!$F$16="",0,IF(ISNUMBER(SEARCH(Classifiers!$F$16,E297)),1,0))+IF(Classifiers!$G$16="",0,IF(ISNUMBER(SEARCH(Classifiers!$G$16,E297)),1,0)))&gt;0,1,0))</f>
        <v/>
      </c>
      <c r="V297" s="12">
        <f>IF(H297&lt;&gt;1,0,IF((IF(Classifiers!$B$17="",0,IF(ISNUMBER(SEARCH(Classifiers!$B$17,E297)),1,0))+IF(Classifiers!$C$17="",0,IF(ISNUMBER(SEARCH(Classifiers!$C$17,E297)),1,0))+IF(Classifiers!$D$17="",0,IF(ISNUMBER(SEARCH(Classifiers!$D$17,E297)),1,0))+IF(Classifiers!$E$17="",0,IF(ISNUMBER(SEARCH(Classifiers!$E$17,E297)),1,0))+IF(Classifiers!$F$17="",0,IF(ISNUMBER(SEARCH(Classifiers!$F$17,E297)),1,0))+IF(Classifiers!$G$17="",0,IF(ISNUMBER(SEARCH(Classifiers!$G$17,E297)),1,0)))&gt;0,1,0))</f>
        <v/>
      </c>
      <c r="W297" s="12">
        <f>IF(H297&lt;&gt;1,0,IF((IF(Classifiers!$B$18="",0,IF(ISNUMBER(SEARCH(Classifiers!$B$18,E297)),1,0))+IF(Classifiers!$C$18="",0,IF(ISNUMBER(SEARCH(Classifiers!$C$18,E297)),1,0))+IF(Classifiers!$D$18="",0,IF(ISNUMBER(SEARCH(Classifiers!$D$18,E297)),1,0))+IF(Classifiers!$E$18="",0,IF(ISNUMBER(SEARCH(Classifiers!$E$18,E297)),1,0))+IF(Classifiers!$F$18="",0,IF(ISNUMBER(SEARCH(Classifiers!$F$18,E297)),1,0))+IF(Classifiers!$G$18="",0,IF(ISNUMBER(SEARCH(Classifiers!$G$18,E297)),1,0)))&gt;0,1,0))</f>
        <v/>
      </c>
    </row>
    <row r="298">
      <c r="A298" s="8" t="n"/>
      <c r="B298" s="11" t="n"/>
      <c r="C298" s="6">
        <f>IF(A298="","",TRIM(RIGHT(SUBSTITUTE(A298,"/",REPT(" ",250)),250)))</f>
        <v/>
      </c>
      <c r="D298" s="6">
        <f>IF(C298="","",IF(ISNUMBER(SEARCH(".",C298)),LOWER("."&amp;TRIM(RIGHT(SUBSTITUTE(C298,".",REPT(" ",250)),250))),""))</f>
        <v/>
      </c>
      <c r="E298" s="6">
        <f>IF(C298="","",TRIM(SUBSTITUTE(SUBSTITUTE(SUBSTITUTE(SUBSTITUTE(SUBSTITUTE(SUBSTITUTE(SUBSTITUTE(SUBSTITUTE(SUBSTITUTE(SUBSTITUTE(SUBSTITUTE(SUBSTITUTE(SUBSTITUTE(SUBSTITUTE(SUBSTITUTE(SUBSTITUTE(SUBSTITUTE(SUBSTITUTE(SUBSTITUTE(SUBSTITUTE(LOWER(LEFT(C298,LEN(C298)-LEN(D298))),"_"," "),"-"," "),"."," "),","," "),"("," "),")"," "),"["," "),"]"," "),"&amp;"," "),"+"," "),"@"," "),"#"," "),"!"," "),"'"," "),"/"," "),":"," "),";"," "),"="," "),"~"," "),"%"," ")))</f>
        <v/>
      </c>
      <c r="F298" s="6">
        <f>IF(C298="","",IF(COUNTIF(Classifiers!$A$23:$A$40,D298)&gt;0,1,0))</f>
        <v/>
      </c>
      <c r="G298" s="6">
        <f>IF(C298="","",IF(COUNTIF(Classifiers!$C$23:$C$30,D298)&gt;0,IF((IF(ISNUMBER(SEARCH(Classifiers!$E$23,E298)),1,0)+IF(ISNUMBER(SEARCH(Classifiers!$E$24,E298)),1,0)+IF(ISNUMBER(SEARCH(Classifiers!$E$25,E298)),1,0)+IF(ISNUMBER(SEARCH(Classifiers!$E$26,E298)),1,0)+IF(ISNUMBER(SEARCH(Classifiers!$E$27,E298)),1,0)+IF(ISNUMBER(SEARCH(Classifiers!$E$28,E298)),1,0)+IF(ISNUMBER(SEARCH(Classifiers!$E$29,E298)),1,0)+IF(ISNUMBER(SEARCH(Classifiers!$E$30,E298)),1,0))&gt;0,1,0),0))</f>
        <v/>
      </c>
      <c r="H298" s="6">
        <f>IF(C298="","",IF(OR(LEFT(C298,1)=".",AND(F298=0,G298=0)),0,1))</f>
        <v/>
      </c>
      <c r="I298" s="6">
        <f>IF(H298&lt;&gt;1,"",IF(SUM(J298:W298)=0,"unclassified",INDEX(Classifiers!$A$5:$A$18,MATCH(1,J298:W298,0),1)))</f>
        <v/>
      </c>
      <c r="J298" s="12">
        <f>IF(H298&lt;&gt;1,0,IF((IF(Classifiers!$B$5="",0,IF(ISNUMBER(SEARCH(Classifiers!$B$5,E298)),1,0))+IF(Classifiers!$C$5="",0,IF(ISNUMBER(SEARCH(Classifiers!$C$5,E298)),1,0))+IF(Classifiers!$D$5="",0,IF(ISNUMBER(SEARCH(Classifiers!$D$5,E298)),1,0))+IF(Classifiers!$E$5="",0,IF(ISNUMBER(SEARCH(Classifiers!$E$5,E298)),1,0))+IF(Classifiers!$F$5="",0,IF(ISNUMBER(SEARCH(Classifiers!$F$5,E298)),1,0))+IF(Classifiers!$G$5="",0,IF(ISNUMBER(SEARCH(Classifiers!$G$5,E298)),1,0)))&gt;0,1,0))</f>
        <v/>
      </c>
      <c r="K298" s="12">
        <f>IF(H298&lt;&gt;1,0,IF((IF(Classifiers!$B$6="",0,IF(ISNUMBER(SEARCH(Classifiers!$B$6,E298)),1,0))+IF(Classifiers!$C$6="",0,IF(ISNUMBER(SEARCH(Classifiers!$C$6,E298)),1,0))+IF(Classifiers!$D$6="",0,IF(ISNUMBER(SEARCH(Classifiers!$D$6,E298)),1,0))+IF(Classifiers!$E$6="",0,IF(ISNUMBER(SEARCH(Classifiers!$E$6,E298)),1,0))+IF(Classifiers!$F$6="",0,IF(ISNUMBER(SEARCH(Classifiers!$F$6,E298)),1,0))+IF(Classifiers!$G$6="",0,IF(ISNUMBER(SEARCH(Classifiers!$G$6,E298)),1,0)))&gt;0,1,0))</f>
        <v/>
      </c>
      <c r="L298" s="12">
        <f>IF(H298&lt;&gt;1,0,IF((IF(Classifiers!$B$7="",0,IF(ISNUMBER(SEARCH(Classifiers!$B$7,E298)),1,0))+IF(Classifiers!$C$7="",0,IF(ISNUMBER(SEARCH(Classifiers!$C$7,E298)),1,0))+IF(Classifiers!$D$7="",0,IF(ISNUMBER(SEARCH(Classifiers!$D$7,E298)),1,0))+IF(Classifiers!$E$7="",0,IF(ISNUMBER(SEARCH(Classifiers!$E$7,E298)),1,0))+IF(Classifiers!$F$7="",0,IF(ISNUMBER(SEARCH(Classifiers!$F$7,E298)),1,0))+IF(Classifiers!$G$7="",0,IF(ISNUMBER(SEARCH(Classifiers!$G$7,E298)),1,0)))&gt;0,1,0))</f>
        <v/>
      </c>
      <c r="M298" s="12">
        <f>IF(H298&lt;&gt;1,0,IF((IF(Classifiers!$B$8="",0,IF(ISNUMBER(SEARCH(Classifiers!$B$8,E298)),1,0))+IF(Classifiers!$C$8="",0,IF(ISNUMBER(SEARCH(Classifiers!$C$8,E298)),1,0))+IF(Classifiers!$D$8="",0,IF(ISNUMBER(SEARCH(Classifiers!$D$8,E298)),1,0))+IF(Classifiers!$E$8="",0,IF(ISNUMBER(SEARCH(Classifiers!$E$8,E298)),1,0))+IF(Classifiers!$F$8="",0,IF(ISNUMBER(SEARCH(Classifiers!$F$8,E298)),1,0))+IF(Classifiers!$G$8="",0,IF(ISNUMBER(SEARCH(Classifiers!$G$8,E298)),1,0)))&gt;0,1,0))</f>
        <v/>
      </c>
      <c r="N298" s="12">
        <f>IF(H298&lt;&gt;1,0,IF((IF(Classifiers!$B$9="",0,IF(ISNUMBER(SEARCH(Classifiers!$B$9,E298)),1,0))+IF(Classifiers!$C$9="",0,IF(ISNUMBER(SEARCH(Classifiers!$C$9,E298)),1,0))+IF(Classifiers!$D$9="",0,IF(ISNUMBER(SEARCH(Classifiers!$D$9,E298)),1,0))+IF(Classifiers!$E$9="",0,IF(ISNUMBER(SEARCH(Classifiers!$E$9,E298)),1,0))+IF(Classifiers!$F$9="",0,IF(ISNUMBER(SEARCH(Classifiers!$F$9,E298)),1,0))+IF(Classifiers!$G$9="",0,IF(ISNUMBER(SEARCH(Classifiers!$G$9,E298)),1,0)))&gt;0,1,0))</f>
        <v/>
      </c>
      <c r="O298" s="12">
        <f>IF(H298&lt;&gt;1,0,IF((IF(Classifiers!$B$10="",0,IF(ISNUMBER(SEARCH(Classifiers!$B$10,E298)),1,0))+IF(Classifiers!$C$10="",0,IF(ISNUMBER(SEARCH(Classifiers!$C$10,E298)),1,0))+IF(Classifiers!$D$10="",0,IF(ISNUMBER(SEARCH(Classifiers!$D$10,E298)),1,0))+IF(Classifiers!$E$10="",0,IF(ISNUMBER(SEARCH(Classifiers!$E$10,E298)),1,0))+IF(Classifiers!$F$10="",0,IF(ISNUMBER(SEARCH(Classifiers!$F$10,E298)),1,0))+IF(Classifiers!$G$10="",0,IF(ISNUMBER(SEARCH(Classifiers!$G$10,E298)),1,0)))&gt;0,1,0))</f>
        <v/>
      </c>
      <c r="P298" s="12">
        <f>IF(H298&lt;&gt;1,0,IF((IF(Classifiers!$B$11="",0,IF(ISNUMBER(SEARCH(Classifiers!$B$11,E298)),1,0))+IF(Classifiers!$C$11="",0,IF(ISNUMBER(SEARCH(Classifiers!$C$11,E298)),1,0))+IF(Classifiers!$D$11="",0,IF(ISNUMBER(SEARCH(Classifiers!$D$11,E298)),1,0))+IF(Classifiers!$E$11="",0,IF(ISNUMBER(SEARCH(Classifiers!$E$11,E298)),1,0))+IF(Classifiers!$F$11="",0,IF(ISNUMBER(SEARCH(Classifiers!$F$11,E298)),1,0))+IF(Classifiers!$G$11="",0,IF(ISNUMBER(SEARCH(Classifiers!$G$11,E298)),1,0)))&gt;0,1,0))</f>
        <v/>
      </c>
      <c r="Q298" s="12">
        <f>IF(H298&lt;&gt;1,0,IF((IF(Classifiers!$B$12="",0,IF(ISNUMBER(SEARCH(Classifiers!$B$12,E298)),1,0))+IF(Classifiers!$C$12="",0,IF(ISNUMBER(SEARCH(Classifiers!$C$12,E298)),1,0))+IF(Classifiers!$D$12="",0,IF(ISNUMBER(SEARCH(Classifiers!$D$12,E298)),1,0))+IF(Classifiers!$E$12="",0,IF(ISNUMBER(SEARCH(Classifiers!$E$12,E298)),1,0))+IF(Classifiers!$F$12="",0,IF(ISNUMBER(SEARCH(Classifiers!$F$12,E298)),1,0))+IF(Classifiers!$G$12="",0,IF(ISNUMBER(SEARCH(Classifiers!$G$12,E298)),1,0)))&gt;0,1,0))</f>
        <v/>
      </c>
      <c r="R298" s="12">
        <f>IF(H298&lt;&gt;1,0,IF((IF(Classifiers!$B$13="",0,IF(ISNUMBER(SEARCH(Classifiers!$B$13,E298)),1,0))+IF(Classifiers!$C$13="",0,IF(ISNUMBER(SEARCH(Classifiers!$C$13,E298)),1,0))+IF(Classifiers!$D$13="",0,IF(ISNUMBER(SEARCH(Classifiers!$D$13,E298)),1,0))+IF(Classifiers!$E$13="",0,IF(ISNUMBER(SEARCH(Classifiers!$E$13,E298)),1,0))+IF(Classifiers!$F$13="",0,IF(ISNUMBER(SEARCH(Classifiers!$F$13,E298)),1,0))+IF(Classifiers!$G$13="",0,IF(ISNUMBER(SEARCH(Classifiers!$G$13,E298)),1,0)))&gt;0,1,0))</f>
        <v/>
      </c>
      <c r="S298" s="12">
        <f>IF(H298&lt;&gt;1,0,IF((IF(Classifiers!$B$14="",0,IF(ISNUMBER(SEARCH(Classifiers!$B$14,E298)),1,0))+IF(Classifiers!$C$14="",0,IF(ISNUMBER(SEARCH(Classifiers!$C$14,E298)),1,0))+IF(Classifiers!$D$14="",0,IF(ISNUMBER(SEARCH(Classifiers!$D$14,E298)),1,0))+IF(Classifiers!$E$14="",0,IF(ISNUMBER(SEARCH(Classifiers!$E$14,E298)),1,0))+IF(Classifiers!$F$14="",0,IF(ISNUMBER(SEARCH(Classifiers!$F$14,E298)),1,0))+IF(Classifiers!$G$14="",0,IF(ISNUMBER(SEARCH(Classifiers!$G$14,E298)),1,0)))&gt;0,1,0))</f>
        <v/>
      </c>
      <c r="T298" s="12">
        <f>IF(H298&lt;&gt;1,0,IF((IF(Classifiers!$B$15="",0,IF(ISNUMBER(SEARCH(Classifiers!$B$15,E298)),1,0))+IF(Classifiers!$C$15="",0,IF(ISNUMBER(SEARCH(Classifiers!$C$15,E298)),1,0))+IF(Classifiers!$D$15="",0,IF(ISNUMBER(SEARCH(Classifiers!$D$15,E298)),1,0))+IF(Classifiers!$E$15="",0,IF(ISNUMBER(SEARCH(Classifiers!$E$15,E298)),1,0))+IF(Classifiers!$F$15="",0,IF(ISNUMBER(SEARCH(Classifiers!$F$15,E298)),1,0))+IF(Classifiers!$G$15="",0,IF(ISNUMBER(SEARCH(Classifiers!$G$15,E298)),1,0)))&gt;0,1,0))</f>
        <v/>
      </c>
      <c r="U298" s="12">
        <f>IF(H298&lt;&gt;1,0,IF((IF(Classifiers!$B$16="",0,IF(ISNUMBER(SEARCH(Classifiers!$B$16,E298)),1,0))+IF(Classifiers!$C$16="",0,IF(ISNUMBER(SEARCH(Classifiers!$C$16,E298)),1,0))+IF(Classifiers!$D$16="",0,IF(ISNUMBER(SEARCH(Classifiers!$D$16,E298)),1,0))+IF(Classifiers!$E$16="",0,IF(ISNUMBER(SEARCH(Classifiers!$E$16,E298)),1,0))+IF(Classifiers!$F$16="",0,IF(ISNUMBER(SEARCH(Classifiers!$F$16,E298)),1,0))+IF(Classifiers!$G$16="",0,IF(ISNUMBER(SEARCH(Classifiers!$G$16,E298)),1,0)))&gt;0,1,0))</f>
        <v/>
      </c>
      <c r="V298" s="12">
        <f>IF(H298&lt;&gt;1,0,IF((IF(Classifiers!$B$17="",0,IF(ISNUMBER(SEARCH(Classifiers!$B$17,E298)),1,0))+IF(Classifiers!$C$17="",0,IF(ISNUMBER(SEARCH(Classifiers!$C$17,E298)),1,0))+IF(Classifiers!$D$17="",0,IF(ISNUMBER(SEARCH(Classifiers!$D$17,E298)),1,0))+IF(Classifiers!$E$17="",0,IF(ISNUMBER(SEARCH(Classifiers!$E$17,E298)),1,0))+IF(Classifiers!$F$17="",0,IF(ISNUMBER(SEARCH(Classifiers!$F$17,E298)),1,0))+IF(Classifiers!$G$17="",0,IF(ISNUMBER(SEARCH(Classifiers!$G$17,E298)),1,0)))&gt;0,1,0))</f>
        <v/>
      </c>
      <c r="W298" s="12">
        <f>IF(H298&lt;&gt;1,0,IF((IF(Classifiers!$B$18="",0,IF(ISNUMBER(SEARCH(Classifiers!$B$18,E298)),1,0))+IF(Classifiers!$C$18="",0,IF(ISNUMBER(SEARCH(Classifiers!$C$18,E298)),1,0))+IF(Classifiers!$D$18="",0,IF(ISNUMBER(SEARCH(Classifiers!$D$18,E298)),1,0))+IF(Classifiers!$E$18="",0,IF(ISNUMBER(SEARCH(Classifiers!$E$18,E298)),1,0))+IF(Classifiers!$F$18="",0,IF(ISNUMBER(SEARCH(Classifiers!$F$18,E298)),1,0))+IF(Classifiers!$G$18="",0,IF(ISNUMBER(SEARCH(Classifiers!$G$18,E298)),1,0)))&gt;0,1,0))</f>
        <v/>
      </c>
    </row>
    <row r="299">
      <c r="A299" s="8" t="n"/>
      <c r="B299" s="11" t="n"/>
      <c r="C299" s="6">
        <f>IF(A299="","",TRIM(RIGHT(SUBSTITUTE(A299,"/",REPT(" ",250)),250)))</f>
        <v/>
      </c>
      <c r="D299" s="6">
        <f>IF(C299="","",IF(ISNUMBER(SEARCH(".",C299)),LOWER("."&amp;TRIM(RIGHT(SUBSTITUTE(C299,".",REPT(" ",250)),250))),""))</f>
        <v/>
      </c>
      <c r="E299" s="6">
        <f>IF(C299="","",TRIM(SUBSTITUTE(SUBSTITUTE(SUBSTITUTE(SUBSTITUTE(SUBSTITUTE(SUBSTITUTE(SUBSTITUTE(SUBSTITUTE(SUBSTITUTE(SUBSTITUTE(SUBSTITUTE(SUBSTITUTE(SUBSTITUTE(SUBSTITUTE(SUBSTITUTE(SUBSTITUTE(SUBSTITUTE(SUBSTITUTE(SUBSTITUTE(SUBSTITUTE(LOWER(LEFT(C299,LEN(C299)-LEN(D299))),"_"," "),"-"," "),"."," "),","," "),"("," "),")"," "),"["," "),"]"," "),"&amp;"," "),"+"," "),"@"," "),"#"," "),"!"," "),"'"," "),"/"," "),":"," "),";"," "),"="," "),"~"," "),"%"," ")))</f>
        <v/>
      </c>
      <c r="F299" s="6">
        <f>IF(C299="","",IF(COUNTIF(Classifiers!$A$23:$A$40,D299)&gt;0,1,0))</f>
        <v/>
      </c>
      <c r="G299" s="6">
        <f>IF(C299="","",IF(COUNTIF(Classifiers!$C$23:$C$30,D299)&gt;0,IF((IF(ISNUMBER(SEARCH(Classifiers!$E$23,E299)),1,0)+IF(ISNUMBER(SEARCH(Classifiers!$E$24,E299)),1,0)+IF(ISNUMBER(SEARCH(Classifiers!$E$25,E299)),1,0)+IF(ISNUMBER(SEARCH(Classifiers!$E$26,E299)),1,0)+IF(ISNUMBER(SEARCH(Classifiers!$E$27,E299)),1,0)+IF(ISNUMBER(SEARCH(Classifiers!$E$28,E299)),1,0)+IF(ISNUMBER(SEARCH(Classifiers!$E$29,E299)),1,0)+IF(ISNUMBER(SEARCH(Classifiers!$E$30,E299)),1,0))&gt;0,1,0),0))</f>
        <v/>
      </c>
      <c r="H299" s="6">
        <f>IF(C299="","",IF(OR(LEFT(C299,1)=".",AND(F299=0,G299=0)),0,1))</f>
        <v/>
      </c>
      <c r="I299" s="6">
        <f>IF(H299&lt;&gt;1,"",IF(SUM(J299:W299)=0,"unclassified",INDEX(Classifiers!$A$5:$A$18,MATCH(1,J299:W299,0),1)))</f>
        <v/>
      </c>
      <c r="J299" s="12">
        <f>IF(H299&lt;&gt;1,0,IF((IF(Classifiers!$B$5="",0,IF(ISNUMBER(SEARCH(Classifiers!$B$5,E299)),1,0))+IF(Classifiers!$C$5="",0,IF(ISNUMBER(SEARCH(Classifiers!$C$5,E299)),1,0))+IF(Classifiers!$D$5="",0,IF(ISNUMBER(SEARCH(Classifiers!$D$5,E299)),1,0))+IF(Classifiers!$E$5="",0,IF(ISNUMBER(SEARCH(Classifiers!$E$5,E299)),1,0))+IF(Classifiers!$F$5="",0,IF(ISNUMBER(SEARCH(Classifiers!$F$5,E299)),1,0))+IF(Classifiers!$G$5="",0,IF(ISNUMBER(SEARCH(Classifiers!$G$5,E299)),1,0)))&gt;0,1,0))</f>
        <v/>
      </c>
      <c r="K299" s="12">
        <f>IF(H299&lt;&gt;1,0,IF((IF(Classifiers!$B$6="",0,IF(ISNUMBER(SEARCH(Classifiers!$B$6,E299)),1,0))+IF(Classifiers!$C$6="",0,IF(ISNUMBER(SEARCH(Classifiers!$C$6,E299)),1,0))+IF(Classifiers!$D$6="",0,IF(ISNUMBER(SEARCH(Classifiers!$D$6,E299)),1,0))+IF(Classifiers!$E$6="",0,IF(ISNUMBER(SEARCH(Classifiers!$E$6,E299)),1,0))+IF(Classifiers!$F$6="",0,IF(ISNUMBER(SEARCH(Classifiers!$F$6,E299)),1,0))+IF(Classifiers!$G$6="",0,IF(ISNUMBER(SEARCH(Classifiers!$G$6,E299)),1,0)))&gt;0,1,0))</f>
        <v/>
      </c>
      <c r="L299" s="12">
        <f>IF(H299&lt;&gt;1,0,IF((IF(Classifiers!$B$7="",0,IF(ISNUMBER(SEARCH(Classifiers!$B$7,E299)),1,0))+IF(Classifiers!$C$7="",0,IF(ISNUMBER(SEARCH(Classifiers!$C$7,E299)),1,0))+IF(Classifiers!$D$7="",0,IF(ISNUMBER(SEARCH(Classifiers!$D$7,E299)),1,0))+IF(Classifiers!$E$7="",0,IF(ISNUMBER(SEARCH(Classifiers!$E$7,E299)),1,0))+IF(Classifiers!$F$7="",0,IF(ISNUMBER(SEARCH(Classifiers!$F$7,E299)),1,0))+IF(Classifiers!$G$7="",0,IF(ISNUMBER(SEARCH(Classifiers!$G$7,E299)),1,0)))&gt;0,1,0))</f>
        <v/>
      </c>
      <c r="M299" s="12">
        <f>IF(H299&lt;&gt;1,0,IF((IF(Classifiers!$B$8="",0,IF(ISNUMBER(SEARCH(Classifiers!$B$8,E299)),1,0))+IF(Classifiers!$C$8="",0,IF(ISNUMBER(SEARCH(Classifiers!$C$8,E299)),1,0))+IF(Classifiers!$D$8="",0,IF(ISNUMBER(SEARCH(Classifiers!$D$8,E299)),1,0))+IF(Classifiers!$E$8="",0,IF(ISNUMBER(SEARCH(Classifiers!$E$8,E299)),1,0))+IF(Classifiers!$F$8="",0,IF(ISNUMBER(SEARCH(Classifiers!$F$8,E299)),1,0))+IF(Classifiers!$G$8="",0,IF(ISNUMBER(SEARCH(Classifiers!$G$8,E299)),1,0)))&gt;0,1,0))</f>
        <v/>
      </c>
      <c r="N299" s="12">
        <f>IF(H299&lt;&gt;1,0,IF((IF(Classifiers!$B$9="",0,IF(ISNUMBER(SEARCH(Classifiers!$B$9,E299)),1,0))+IF(Classifiers!$C$9="",0,IF(ISNUMBER(SEARCH(Classifiers!$C$9,E299)),1,0))+IF(Classifiers!$D$9="",0,IF(ISNUMBER(SEARCH(Classifiers!$D$9,E299)),1,0))+IF(Classifiers!$E$9="",0,IF(ISNUMBER(SEARCH(Classifiers!$E$9,E299)),1,0))+IF(Classifiers!$F$9="",0,IF(ISNUMBER(SEARCH(Classifiers!$F$9,E299)),1,0))+IF(Classifiers!$G$9="",0,IF(ISNUMBER(SEARCH(Classifiers!$G$9,E299)),1,0)))&gt;0,1,0))</f>
        <v/>
      </c>
      <c r="O299" s="12">
        <f>IF(H299&lt;&gt;1,0,IF((IF(Classifiers!$B$10="",0,IF(ISNUMBER(SEARCH(Classifiers!$B$10,E299)),1,0))+IF(Classifiers!$C$10="",0,IF(ISNUMBER(SEARCH(Classifiers!$C$10,E299)),1,0))+IF(Classifiers!$D$10="",0,IF(ISNUMBER(SEARCH(Classifiers!$D$10,E299)),1,0))+IF(Classifiers!$E$10="",0,IF(ISNUMBER(SEARCH(Classifiers!$E$10,E299)),1,0))+IF(Classifiers!$F$10="",0,IF(ISNUMBER(SEARCH(Classifiers!$F$10,E299)),1,0))+IF(Classifiers!$G$10="",0,IF(ISNUMBER(SEARCH(Classifiers!$G$10,E299)),1,0)))&gt;0,1,0))</f>
        <v/>
      </c>
      <c r="P299" s="12">
        <f>IF(H299&lt;&gt;1,0,IF((IF(Classifiers!$B$11="",0,IF(ISNUMBER(SEARCH(Classifiers!$B$11,E299)),1,0))+IF(Classifiers!$C$11="",0,IF(ISNUMBER(SEARCH(Classifiers!$C$11,E299)),1,0))+IF(Classifiers!$D$11="",0,IF(ISNUMBER(SEARCH(Classifiers!$D$11,E299)),1,0))+IF(Classifiers!$E$11="",0,IF(ISNUMBER(SEARCH(Classifiers!$E$11,E299)),1,0))+IF(Classifiers!$F$11="",0,IF(ISNUMBER(SEARCH(Classifiers!$F$11,E299)),1,0))+IF(Classifiers!$G$11="",0,IF(ISNUMBER(SEARCH(Classifiers!$G$11,E299)),1,0)))&gt;0,1,0))</f>
        <v/>
      </c>
      <c r="Q299" s="12">
        <f>IF(H299&lt;&gt;1,0,IF((IF(Classifiers!$B$12="",0,IF(ISNUMBER(SEARCH(Classifiers!$B$12,E299)),1,0))+IF(Classifiers!$C$12="",0,IF(ISNUMBER(SEARCH(Classifiers!$C$12,E299)),1,0))+IF(Classifiers!$D$12="",0,IF(ISNUMBER(SEARCH(Classifiers!$D$12,E299)),1,0))+IF(Classifiers!$E$12="",0,IF(ISNUMBER(SEARCH(Classifiers!$E$12,E299)),1,0))+IF(Classifiers!$F$12="",0,IF(ISNUMBER(SEARCH(Classifiers!$F$12,E299)),1,0))+IF(Classifiers!$G$12="",0,IF(ISNUMBER(SEARCH(Classifiers!$G$12,E299)),1,0)))&gt;0,1,0))</f>
        <v/>
      </c>
      <c r="R299" s="12">
        <f>IF(H299&lt;&gt;1,0,IF((IF(Classifiers!$B$13="",0,IF(ISNUMBER(SEARCH(Classifiers!$B$13,E299)),1,0))+IF(Classifiers!$C$13="",0,IF(ISNUMBER(SEARCH(Classifiers!$C$13,E299)),1,0))+IF(Classifiers!$D$13="",0,IF(ISNUMBER(SEARCH(Classifiers!$D$13,E299)),1,0))+IF(Classifiers!$E$13="",0,IF(ISNUMBER(SEARCH(Classifiers!$E$13,E299)),1,0))+IF(Classifiers!$F$13="",0,IF(ISNUMBER(SEARCH(Classifiers!$F$13,E299)),1,0))+IF(Classifiers!$G$13="",0,IF(ISNUMBER(SEARCH(Classifiers!$G$13,E299)),1,0)))&gt;0,1,0))</f>
        <v/>
      </c>
      <c r="S299" s="12">
        <f>IF(H299&lt;&gt;1,0,IF((IF(Classifiers!$B$14="",0,IF(ISNUMBER(SEARCH(Classifiers!$B$14,E299)),1,0))+IF(Classifiers!$C$14="",0,IF(ISNUMBER(SEARCH(Classifiers!$C$14,E299)),1,0))+IF(Classifiers!$D$14="",0,IF(ISNUMBER(SEARCH(Classifiers!$D$14,E299)),1,0))+IF(Classifiers!$E$14="",0,IF(ISNUMBER(SEARCH(Classifiers!$E$14,E299)),1,0))+IF(Classifiers!$F$14="",0,IF(ISNUMBER(SEARCH(Classifiers!$F$14,E299)),1,0))+IF(Classifiers!$G$14="",0,IF(ISNUMBER(SEARCH(Classifiers!$G$14,E299)),1,0)))&gt;0,1,0))</f>
        <v/>
      </c>
      <c r="T299" s="12">
        <f>IF(H299&lt;&gt;1,0,IF((IF(Classifiers!$B$15="",0,IF(ISNUMBER(SEARCH(Classifiers!$B$15,E299)),1,0))+IF(Classifiers!$C$15="",0,IF(ISNUMBER(SEARCH(Classifiers!$C$15,E299)),1,0))+IF(Classifiers!$D$15="",0,IF(ISNUMBER(SEARCH(Classifiers!$D$15,E299)),1,0))+IF(Classifiers!$E$15="",0,IF(ISNUMBER(SEARCH(Classifiers!$E$15,E299)),1,0))+IF(Classifiers!$F$15="",0,IF(ISNUMBER(SEARCH(Classifiers!$F$15,E299)),1,0))+IF(Classifiers!$G$15="",0,IF(ISNUMBER(SEARCH(Classifiers!$G$15,E299)),1,0)))&gt;0,1,0))</f>
        <v/>
      </c>
      <c r="U299" s="12">
        <f>IF(H299&lt;&gt;1,0,IF((IF(Classifiers!$B$16="",0,IF(ISNUMBER(SEARCH(Classifiers!$B$16,E299)),1,0))+IF(Classifiers!$C$16="",0,IF(ISNUMBER(SEARCH(Classifiers!$C$16,E299)),1,0))+IF(Classifiers!$D$16="",0,IF(ISNUMBER(SEARCH(Classifiers!$D$16,E299)),1,0))+IF(Classifiers!$E$16="",0,IF(ISNUMBER(SEARCH(Classifiers!$E$16,E299)),1,0))+IF(Classifiers!$F$16="",0,IF(ISNUMBER(SEARCH(Classifiers!$F$16,E299)),1,0))+IF(Classifiers!$G$16="",0,IF(ISNUMBER(SEARCH(Classifiers!$G$16,E299)),1,0)))&gt;0,1,0))</f>
        <v/>
      </c>
      <c r="V299" s="12">
        <f>IF(H299&lt;&gt;1,0,IF((IF(Classifiers!$B$17="",0,IF(ISNUMBER(SEARCH(Classifiers!$B$17,E299)),1,0))+IF(Classifiers!$C$17="",0,IF(ISNUMBER(SEARCH(Classifiers!$C$17,E299)),1,0))+IF(Classifiers!$D$17="",0,IF(ISNUMBER(SEARCH(Classifiers!$D$17,E299)),1,0))+IF(Classifiers!$E$17="",0,IF(ISNUMBER(SEARCH(Classifiers!$E$17,E299)),1,0))+IF(Classifiers!$F$17="",0,IF(ISNUMBER(SEARCH(Classifiers!$F$17,E299)),1,0))+IF(Classifiers!$G$17="",0,IF(ISNUMBER(SEARCH(Classifiers!$G$17,E299)),1,0)))&gt;0,1,0))</f>
        <v/>
      </c>
      <c r="W299" s="12">
        <f>IF(H299&lt;&gt;1,0,IF((IF(Classifiers!$B$18="",0,IF(ISNUMBER(SEARCH(Classifiers!$B$18,E299)),1,0))+IF(Classifiers!$C$18="",0,IF(ISNUMBER(SEARCH(Classifiers!$C$18,E299)),1,0))+IF(Classifiers!$D$18="",0,IF(ISNUMBER(SEARCH(Classifiers!$D$18,E299)),1,0))+IF(Classifiers!$E$18="",0,IF(ISNUMBER(SEARCH(Classifiers!$E$18,E299)),1,0))+IF(Classifiers!$F$18="",0,IF(ISNUMBER(SEARCH(Classifiers!$F$18,E299)),1,0))+IF(Classifiers!$G$18="",0,IF(ISNUMBER(SEARCH(Classifiers!$G$18,E299)),1,0)))&gt;0,1,0))</f>
        <v/>
      </c>
    </row>
    <row r="300">
      <c r="A300" s="8" t="n"/>
      <c r="B300" s="11" t="n"/>
      <c r="C300" s="6">
        <f>IF(A300="","",TRIM(RIGHT(SUBSTITUTE(A300,"/",REPT(" ",250)),250)))</f>
        <v/>
      </c>
      <c r="D300" s="6">
        <f>IF(C300="","",IF(ISNUMBER(SEARCH(".",C300)),LOWER("."&amp;TRIM(RIGHT(SUBSTITUTE(C300,".",REPT(" ",250)),250))),""))</f>
        <v/>
      </c>
      <c r="E300" s="6">
        <f>IF(C300="","",TRIM(SUBSTITUTE(SUBSTITUTE(SUBSTITUTE(SUBSTITUTE(SUBSTITUTE(SUBSTITUTE(SUBSTITUTE(SUBSTITUTE(SUBSTITUTE(SUBSTITUTE(SUBSTITUTE(SUBSTITUTE(SUBSTITUTE(SUBSTITUTE(SUBSTITUTE(SUBSTITUTE(SUBSTITUTE(SUBSTITUTE(SUBSTITUTE(SUBSTITUTE(LOWER(LEFT(C300,LEN(C300)-LEN(D300))),"_"," "),"-"," "),"."," "),","," "),"("," "),")"," "),"["," "),"]"," "),"&amp;"," "),"+"," "),"@"," "),"#"," "),"!"," "),"'"," "),"/"," "),":"," "),";"," "),"="," "),"~"," "),"%"," ")))</f>
        <v/>
      </c>
      <c r="F300" s="6">
        <f>IF(C300="","",IF(COUNTIF(Classifiers!$A$23:$A$40,D300)&gt;0,1,0))</f>
        <v/>
      </c>
      <c r="G300" s="6">
        <f>IF(C300="","",IF(COUNTIF(Classifiers!$C$23:$C$30,D300)&gt;0,IF((IF(ISNUMBER(SEARCH(Classifiers!$E$23,E300)),1,0)+IF(ISNUMBER(SEARCH(Classifiers!$E$24,E300)),1,0)+IF(ISNUMBER(SEARCH(Classifiers!$E$25,E300)),1,0)+IF(ISNUMBER(SEARCH(Classifiers!$E$26,E300)),1,0)+IF(ISNUMBER(SEARCH(Classifiers!$E$27,E300)),1,0)+IF(ISNUMBER(SEARCH(Classifiers!$E$28,E300)),1,0)+IF(ISNUMBER(SEARCH(Classifiers!$E$29,E300)),1,0)+IF(ISNUMBER(SEARCH(Classifiers!$E$30,E300)),1,0))&gt;0,1,0),0))</f>
        <v/>
      </c>
      <c r="H300" s="6">
        <f>IF(C300="","",IF(OR(LEFT(C300,1)=".",AND(F300=0,G300=0)),0,1))</f>
        <v/>
      </c>
      <c r="I300" s="6">
        <f>IF(H300&lt;&gt;1,"",IF(SUM(J300:W300)=0,"unclassified",INDEX(Classifiers!$A$5:$A$18,MATCH(1,J300:W300,0),1)))</f>
        <v/>
      </c>
      <c r="J300" s="12">
        <f>IF(H300&lt;&gt;1,0,IF((IF(Classifiers!$B$5="",0,IF(ISNUMBER(SEARCH(Classifiers!$B$5,E300)),1,0))+IF(Classifiers!$C$5="",0,IF(ISNUMBER(SEARCH(Classifiers!$C$5,E300)),1,0))+IF(Classifiers!$D$5="",0,IF(ISNUMBER(SEARCH(Classifiers!$D$5,E300)),1,0))+IF(Classifiers!$E$5="",0,IF(ISNUMBER(SEARCH(Classifiers!$E$5,E300)),1,0))+IF(Classifiers!$F$5="",0,IF(ISNUMBER(SEARCH(Classifiers!$F$5,E300)),1,0))+IF(Classifiers!$G$5="",0,IF(ISNUMBER(SEARCH(Classifiers!$G$5,E300)),1,0)))&gt;0,1,0))</f>
        <v/>
      </c>
      <c r="K300" s="12">
        <f>IF(H300&lt;&gt;1,0,IF((IF(Classifiers!$B$6="",0,IF(ISNUMBER(SEARCH(Classifiers!$B$6,E300)),1,0))+IF(Classifiers!$C$6="",0,IF(ISNUMBER(SEARCH(Classifiers!$C$6,E300)),1,0))+IF(Classifiers!$D$6="",0,IF(ISNUMBER(SEARCH(Classifiers!$D$6,E300)),1,0))+IF(Classifiers!$E$6="",0,IF(ISNUMBER(SEARCH(Classifiers!$E$6,E300)),1,0))+IF(Classifiers!$F$6="",0,IF(ISNUMBER(SEARCH(Classifiers!$F$6,E300)),1,0))+IF(Classifiers!$G$6="",0,IF(ISNUMBER(SEARCH(Classifiers!$G$6,E300)),1,0)))&gt;0,1,0))</f>
        <v/>
      </c>
      <c r="L300" s="12">
        <f>IF(H300&lt;&gt;1,0,IF((IF(Classifiers!$B$7="",0,IF(ISNUMBER(SEARCH(Classifiers!$B$7,E300)),1,0))+IF(Classifiers!$C$7="",0,IF(ISNUMBER(SEARCH(Classifiers!$C$7,E300)),1,0))+IF(Classifiers!$D$7="",0,IF(ISNUMBER(SEARCH(Classifiers!$D$7,E300)),1,0))+IF(Classifiers!$E$7="",0,IF(ISNUMBER(SEARCH(Classifiers!$E$7,E300)),1,0))+IF(Classifiers!$F$7="",0,IF(ISNUMBER(SEARCH(Classifiers!$F$7,E300)),1,0))+IF(Classifiers!$G$7="",0,IF(ISNUMBER(SEARCH(Classifiers!$G$7,E300)),1,0)))&gt;0,1,0))</f>
        <v/>
      </c>
      <c r="M300" s="12">
        <f>IF(H300&lt;&gt;1,0,IF((IF(Classifiers!$B$8="",0,IF(ISNUMBER(SEARCH(Classifiers!$B$8,E300)),1,0))+IF(Classifiers!$C$8="",0,IF(ISNUMBER(SEARCH(Classifiers!$C$8,E300)),1,0))+IF(Classifiers!$D$8="",0,IF(ISNUMBER(SEARCH(Classifiers!$D$8,E300)),1,0))+IF(Classifiers!$E$8="",0,IF(ISNUMBER(SEARCH(Classifiers!$E$8,E300)),1,0))+IF(Classifiers!$F$8="",0,IF(ISNUMBER(SEARCH(Classifiers!$F$8,E300)),1,0))+IF(Classifiers!$G$8="",0,IF(ISNUMBER(SEARCH(Classifiers!$G$8,E300)),1,0)))&gt;0,1,0))</f>
        <v/>
      </c>
      <c r="N300" s="12">
        <f>IF(H300&lt;&gt;1,0,IF((IF(Classifiers!$B$9="",0,IF(ISNUMBER(SEARCH(Classifiers!$B$9,E300)),1,0))+IF(Classifiers!$C$9="",0,IF(ISNUMBER(SEARCH(Classifiers!$C$9,E300)),1,0))+IF(Classifiers!$D$9="",0,IF(ISNUMBER(SEARCH(Classifiers!$D$9,E300)),1,0))+IF(Classifiers!$E$9="",0,IF(ISNUMBER(SEARCH(Classifiers!$E$9,E300)),1,0))+IF(Classifiers!$F$9="",0,IF(ISNUMBER(SEARCH(Classifiers!$F$9,E300)),1,0))+IF(Classifiers!$G$9="",0,IF(ISNUMBER(SEARCH(Classifiers!$G$9,E300)),1,0)))&gt;0,1,0))</f>
        <v/>
      </c>
      <c r="O300" s="12">
        <f>IF(H300&lt;&gt;1,0,IF((IF(Classifiers!$B$10="",0,IF(ISNUMBER(SEARCH(Classifiers!$B$10,E300)),1,0))+IF(Classifiers!$C$10="",0,IF(ISNUMBER(SEARCH(Classifiers!$C$10,E300)),1,0))+IF(Classifiers!$D$10="",0,IF(ISNUMBER(SEARCH(Classifiers!$D$10,E300)),1,0))+IF(Classifiers!$E$10="",0,IF(ISNUMBER(SEARCH(Classifiers!$E$10,E300)),1,0))+IF(Classifiers!$F$10="",0,IF(ISNUMBER(SEARCH(Classifiers!$F$10,E300)),1,0))+IF(Classifiers!$G$10="",0,IF(ISNUMBER(SEARCH(Classifiers!$G$10,E300)),1,0)))&gt;0,1,0))</f>
        <v/>
      </c>
      <c r="P300" s="12">
        <f>IF(H300&lt;&gt;1,0,IF((IF(Classifiers!$B$11="",0,IF(ISNUMBER(SEARCH(Classifiers!$B$11,E300)),1,0))+IF(Classifiers!$C$11="",0,IF(ISNUMBER(SEARCH(Classifiers!$C$11,E300)),1,0))+IF(Classifiers!$D$11="",0,IF(ISNUMBER(SEARCH(Classifiers!$D$11,E300)),1,0))+IF(Classifiers!$E$11="",0,IF(ISNUMBER(SEARCH(Classifiers!$E$11,E300)),1,0))+IF(Classifiers!$F$11="",0,IF(ISNUMBER(SEARCH(Classifiers!$F$11,E300)),1,0))+IF(Classifiers!$G$11="",0,IF(ISNUMBER(SEARCH(Classifiers!$G$11,E300)),1,0)))&gt;0,1,0))</f>
        <v/>
      </c>
      <c r="Q300" s="12">
        <f>IF(H300&lt;&gt;1,0,IF((IF(Classifiers!$B$12="",0,IF(ISNUMBER(SEARCH(Classifiers!$B$12,E300)),1,0))+IF(Classifiers!$C$12="",0,IF(ISNUMBER(SEARCH(Classifiers!$C$12,E300)),1,0))+IF(Classifiers!$D$12="",0,IF(ISNUMBER(SEARCH(Classifiers!$D$12,E300)),1,0))+IF(Classifiers!$E$12="",0,IF(ISNUMBER(SEARCH(Classifiers!$E$12,E300)),1,0))+IF(Classifiers!$F$12="",0,IF(ISNUMBER(SEARCH(Classifiers!$F$12,E300)),1,0))+IF(Classifiers!$G$12="",0,IF(ISNUMBER(SEARCH(Classifiers!$G$12,E300)),1,0)))&gt;0,1,0))</f>
        <v/>
      </c>
      <c r="R300" s="12">
        <f>IF(H300&lt;&gt;1,0,IF((IF(Classifiers!$B$13="",0,IF(ISNUMBER(SEARCH(Classifiers!$B$13,E300)),1,0))+IF(Classifiers!$C$13="",0,IF(ISNUMBER(SEARCH(Classifiers!$C$13,E300)),1,0))+IF(Classifiers!$D$13="",0,IF(ISNUMBER(SEARCH(Classifiers!$D$13,E300)),1,0))+IF(Classifiers!$E$13="",0,IF(ISNUMBER(SEARCH(Classifiers!$E$13,E300)),1,0))+IF(Classifiers!$F$13="",0,IF(ISNUMBER(SEARCH(Classifiers!$F$13,E300)),1,0))+IF(Classifiers!$G$13="",0,IF(ISNUMBER(SEARCH(Classifiers!$G$13,E300)),1,0)))&gt;0,1,0))</f>
        <v/>
      </c>
      <c r="S300" s="12">
        <f>IF(H300&lt;&gt;1,0,IF((IF(Classifiers!$B$14="",0,IF(ISNUMBER(SEARCH(Classifiers!$B$14,E300)),1,0))+IF(Classifiers!$C$14="",0,IF(ISNUMBER(SEARCH(Classifiers!$C$14,E300)),1,0))+IF(Classifiers!$D$14="",0,IF(ISNUMBER(SEARCH(Classifiers!$D$14,E300)),1,0))+IF(Classifiers!$E$14="",0,IF(ISNUMBER(SEARCH(Classifiers!$E$14,E300)),1,0))+IF(Classifiers!$F$14="",0,IF(ISNUMBER(SEARCH(Classifiers!$F$14,E300)),1,0))+IF(Classifiers!$G$14="",0,IF(ISNUMBER(SEARCH(Classifiers!$G$14,E300)),1,0)))&gt;0,1,0))</f>
        <v/>
      </c>
      <c r="T300" s="12">
        <f>IF(H300&lt;&gt;1,0,IF((IF(Classifiers!$B$15="",0,IF(ISNUMBER(SEARCH(Classifiers!$B$15,E300)),1,0))+IF(Classifiers!$C$15="",0,IF(ISNUMBER(SEARCH(Classifiers!$C$15,E300)),1,0))+IF(Classifiers!$D$15="",0,IF(ISNUMBER(SEARCH(Classifiers!$D$15,E300)),1,0))+IF(Classifiers!$E$15="",0,IF(ISNUMBER(SEARCH(Classifiers!$E$15,E300)),1,0))+IF(Classifiers!$F$15="",0,IF(ISNUMBER(SEARCH(Classifiers!$F$15,E300)),1,0))+IF(Classifiers!$G$15="",0,IF(ISNUMBER(SEARCH(Classifiers!$G$15,E300)),1,0)))&gt;0,1,0))</f>
        <v/>
      </c>
      <c r="U300" s="12">
        <f>IF(H300&lt;&gt;1,0,IF((IF(Classifiers!$B$16="",0,IF(ISNUMBER(SEARCH(Classifiers!$B$16,E300)),1,0))+IF(Classifiers!$C$16="",0,IF(ISNUMBER(SEARCH(Classifiers!$C$16,E300)),1,0))+IF(Classifiers!$D$16="",0,IF(ISNUMBER(SEARCH(Classifiers!$D$16,E300)),1,0))+IF(Classifiers!$E$16="",0,IF(ISNUMBER(SEARCH(Classifiers!$E$16,E300)),1,0))+IF(Classifiers!$F$16="",0,IF(ISNUMBER(SEARCH(Classifiers!$F$16,E300)),1,0))+IF(Classifiers!$G$16="",0,IF(ISNUMBER(SEARCH(Classifiers!$G$16,E300)),1,0)))&gt;0,1,0))</f>
        <v/>
      </c>
      <c r="V300" s="12">
        <f>IF(H300&lt;&gt;1,0,IF((IF(Classifiers!$B$17="",0,IF(ISNUMBER(SEARCH(Classifiers!$B$17,E300)),1,0))+IF(Classifiers!$C$17="",0,IF(ISNUMBER(SEARCH(Classifiers!$C$17,E300)),1,0))+IF(Classifiers!$D$17="",0,IF(ISNUMBER(SEARCH(Classifiers!$D$17,E300)),1,0))+IF(Classifiers!$E$17="",0,IF(ISNUMBER(SEARCH(Classifiers!$E$17,E300)),1,0))+IF(Classifiers!$F$17="",0,IF(ISNUMBER(SEARCH(Classifiers!$F$17,E300)),1,0))+IF(Classifiers!$G$17="",0,IF(ISNUMBER(SEARCH(Classifiers!$G$17,E300)),1,0)))&gt;0,1,0))</f>
        <v/>
      </c>
      <c r="W300" s="12">
        <f>IF(H300&lt;&gt;1,0,IF((IF(Classifiers!$B$18="",0,IF(ISNUMBER(SEARCH(Classifiers!$B$18,E300)),1,0))+IF(Classifiers!$C$18="",0,IF(ISNUMBER(SEARCH(Classifiers!$C$18,E300)),1,0))+IF(Classifiers!$D$18="",0,IF(ISNUMBER(SEARCH(Classifiers!$D$18,E300)),1,0))+IF(Classifiers!$E$18="",0,IF(ISNUMBER(SEARCH(Classifiers!$E$18,E300)),1,0))+IF(Classifiers!$F$18="",0,IF(ISNUMBER(SEARCH(Classifiers!$F$18,E300)),1,0))+IF(Classifiers!$G$18="",0,IF(ISNUMBER(SEARCH(Classifiers!$G$18,E300)),1,0)))&gt;0,1,0))</f>
        <v/>
      </c>
    </row>
    <row r="301">
      <c r="A301" s="8" t="n"/>
      <c r="B301" s="11" t="n"/>
      <c r="C301" s="6">
        <f>IF(A301="","",TRIM(RIGHT(SUBSTITUTE(A301,"/",REPT(" ",250)),250)))</f>
        <v/>
      </c>
      <c r="D301" s="6">
        <f>IF(C301="","",IF(ISNUMBER(SEARCH(".",C301)),LOWER("."&amp;TRIM(RIGHT(SUBSTITUTE(C301,".",REPT(" ",250)),250))),""))</f>
        <v/>
      </c>
      <c r="E301" s="6">
        <f>IF(C301="","",TRIM(SUBSTITUTE(SUBSTITUTE(SUBSTITUTE(SUBSTITUTE(SUBSTITUTE(SUBSTITUTE(SUBSTITUTE(SUBSTITUTE(SUBSTITUTE(SUBSTITUTE(SUBSTITUTE(SUBSTITUTE(SUBSTITUTE(SUBSTITUTE(SUBSTITUTE(SUBSTITUTE(SUBSTITUTE(SUBSTITUTE(SUBSTITUTE(SUBSTITUTE(LOWER(LEFT(C301,LEN(C301)-LEN(D301))),"_"," "),"-"," "),"."," "),","," "),"("," "),")"," "),"["," "),"]"," "),"&amp;"," "),"+"," "),"@"," "),"#"," "),"!"," "),"'"," "),"/"," "),":"," "),";"," "),"="," "),"~"," "),"%"," ")))</f>
        <v/>
      </c>
      <c r="F301" s="6">
        <f>IF(C301="","",IF(COUNTIF(Classifiers!$A$23:$A$40,D301)&gt;0,1,0))</f>
        <v/>
      </c>
      <c r="G301" s="6">
        <f>IF(C301="","",IF(COUNTIF(Classifiers!$C$23:$C$30,D301)&gt;0,IF((IF(ISNUMBER(SEARCH(Classifiers!$E$23,E301)),1,0)+IF(ISNUMBER(SEARCH(Classifiers!$E$24,E301)),1,0)+IF(ISNUMBER(SEARCH(Classifiers!$E$25,E301)),1,0)+IF(ISNUMBER(SEARCH(Classifiers!$E$26,E301)),1,0)+IF(ISNUMBER(SEARCH(Classifiers!$E$27,E301)),1,0)+IF(ISNUMBER(SEARCH(Classifiers!$E$28,E301)),1,0)+IF(ISNUMBER(SEARCH(Classifiers!$E$29,E301)),1,0)+IF(ISNUMBER(SEARCH(Classifiers!$E$30,E301)),1,0))&gt;0,1,0),0))</f>
        <v/>
      </c>
      <c r="H301" s="6">
        <f>IF(C301="","",IF(OR(LEFT(C301,1)=".",AND(F301=0,G301=0)),0,1))</f>
        <v/>
      </c>
      <c r="I301" s="6">
        <f>IF(H301&lt;&gt;1,"",IF(SUM(J301:W301)=0,"unclassified",INDEX(Classifiers!$A$5:$A$18,MATCH(1,J301:W301,0),1)))</f>
        <v/>
      </c>
      <c r="J301" s="12">
        <f>IF(H301&lt;&gt;1,0,IF((IF(Classifiers!$B$5="",0,IF(ISNUMBER(SEARCH(Classifiers!$B$5,E301)),1,0))+IF(Classifiers!$C$5="",0,IF(ISNUMBER(SEARCH(Classifiers!$C$5,E301)),1,0))+IF(Classifiers!$D$5="",0,IF(ISNUMBER(SEARCH(Classifiers!$D$5,E301)),1,0))+IF(Classifiers!$E$5="",0,IF(ISNUMBER(SEARCH(Classifiers!$E$5,E301)),1,0))+IF(Classifiers!$F$5="",0,IF(ISNUMBER(SEARCH(Classifiers!$F$5,E301)),1,0))+IF(Classifiers!$G$5="",0,IF(ISNUMBER(SEARCH(Classifiers!$G$5,E301)),1,0)))&gt;0,1,0))</f>
        <v/>
      </c>
      <c r="K301" s="12">
        <f>IF(H301&lt;&gt;1,0,IF((IF(Classifiers!$B$6="",0,IF(ISNUMBER(SEARCH(Classifiers!$B$6,E301)),1,0))+IF(Classifiers!$C$6="",0,IF(ISNUMBER(SEARCH(Classifiers!$C$6,E301)),1,0))+IF(Classifiers!$D$6="",0,IF(ISNUMBER(SEARCH(Classifiers!$D$6,E301)),1,0))+IF(Classifiers!$E$6="",0,IF(ISNUMBER(SEARCH(Classifiers!$E$6,E301)),1,0))+IF(Classifiers!$F$6="",0,IF(ISNUMBER(SEARCH(Classifiers!$F$6,E301)),1,0))+IF(Classifiers!$G$6="",0,IF(ISNUMBER(SEARCH(Classifiers!$G$6,E301)),1,0)))&gt;0,1,0))</f>
        <v/>
      </c>
      <c r="L301" s="12">
        <f>IF(H301&lt;&gt;1,0,IF((IF(Classifiers!$B$7="",0,IF(ISNUMBER(SEARCH(Classifiers!$B$7,E301)),1,0))+IF(Classifiers!$C$7="",0,IF(ISNUMBER(SEARCH(Classifiers!$C$7,E301)),1,0))+IF(Classifiers!$D$7="",0,IF(ISNUMBER(SEARCH(Classifiers!$D$7,E301)),1,0))+IF(Classifiers!$E$7="",0,IF(ISNUMBER(SEARCH(Classifiers!$E$7,E301)),1,0))+IF(Classifiers!$F$7="",0,IF(ISNUMBER(SEARCH(Classifiers!$F$7,E301)),1,0))+IF(Classifiers!$G$7="",0,IF(ISNUMBER(SEARCH(Classifiers!$G$7,E301)),1,0)))&gt;0,1,0))</f>
        <v/>
      </c>
      <c r="M301" s="12">
        <f>IF(H301&lt;&gt;1,0,IF((IF(Classifiers!$B$8="",0,IF(ISNUMBER(SEARCH(Classifiers!$B$8,E301)),1,0))+IF(Classifiers!$C$8="",0,IF(ISNUMBER(SEARCH(Classifiers!$C$8,E301)),1,0))+IF(Classifiers!$D$8="",0,IF(ISNUMBER(SEARCH(Classifiers!$D$8,E301)),1,0))+IF(Classifiers!$E$8="",0,IF(ISNUMBER(SEARCH(Classifiers!$E$8,E301)),1,0))+IF(Classifiers!$F$8="",0,IF(ISNUMBER(SEARCH(Classifiers!$F$8,E301)),1,0))+IF(Classifiers!$G$8="",0,IF(ISNUMBER(SEARCH(Classifiers!$G$8,E301)),1,0)))&gt;0,1,0))</f>
        <v/>
      </c>
      <c r="N301" s="12">
        <f>IF(H301&lt;&gt;1,0,IF((IF(Classifiers!$B$9="",0,IF(ISNUMBER(SEARCH(Classifiers!$B$9,E301)),1,0))+IF(Classifiers!$C$9="",0,IF(ISNUMBER(SEARCH(Classifiers!$C$9,E301)),1,0))+IF(Classifiers!$D$9="",0,IF(ISNUMBER(SEARCH(Classifiers!$D$9,E301)),1,0))+IF(Classifiers!$E$9="",0,IF(ISNUMBER(SEARCH(Classifiers!$E$9,E301)),1,0))+IF(Classifiers!$F$9="",0,IF(ISNUMBER(SEARCH(Classifiers!$F$9,E301)),1,0))+IF(Classifiers!$G$9="",0,IF(ISNUMBER(SEARCH(Classifiers!$G$9,E301)),1,0)))&gt;0,1,0))</f>
        <v/>
      </c>
      <c r="O301" s="12">
        <f>IF(H301&lt;&gt;1,0,IF((IF(Classifiers!$B$10="",0,IF(ISNUMBER(SEARCH(Classifiers!$B$10,E301)),1,0))+IF(Classifiers!$C$10="",0,IF(ISNUMBER(SEARCH(Classifiers!$C$10,E301)),1,0))+IF(Classifiers!$D$10="",0,IF(ISNUMBER(SEARCH(Classifiers!$D$10,E301)),1,0))+IF(Classifiers!$E$10="",0,IF(ISNUMBER(SEARCH(Classifiers!$E$10,E301)),1,0))+IF(Classifiers!$F$10="",0,IF(ISNUMBER(SEARCH(Classifiers!$F$10,E301)),1,0))+IF(Classifiers!$G$10="",0,IF(ISNUMBER(SEARCH(Classifiers!$G$10,E301)),1,0)))&gt;0,1,0))</f>
        <v/>
      </c>
      <c r="P301" s="12">
        <f>IF(H301&lt;&gt;1,0,IF((IF(Classifiers!$B$11="",0,IF(ISNUMBER(SEARCH(Classifiers!$B$11,E301)),1,0))+IF(Classifiers!$C$11="",0,IF(ISNUMBER(SEARCH(Classifiers!$C$11,E301)),1,0))+IF(Classifiers!$D$11="",0,IF(ISNUMBER(SEARCH(Classifiers!$D$11,E301)),1,0))+IF(Classifiers!$E$11="",0,IF(ISNUMBER(SEARCH(Classifiers!$E$11,E301)),1,0))+IF(Classifiers!$F$11="",0,IF(ISNUMBER(SEARCH(Classifiers!$F$11,E301)),1,0))+IF(Classifiers!$G$11="",0,IF(ISNUMBER(SEARCH(Classifiers!$G$11,E301)),1,0)))&gt;0,1,0))</f>
        <v/>
      </c>
      <c r="Q301" s="12">
        <f>IF(H301&lt;&gt;1,0,IF((IF(Classifiers!$B$12="",0,IF(ISNUMBER(SEARCH(Classifiers!$B$12,E301)),1,0))+IF(Classifiers!$C$12="",0,IF(ISNUMBER(SEARCH(Classifiers!$C$12,E301)),1,0))+IF(Classifiers!$D$12="",0,IF(ISNUMBER(SEARCH(Classifiers!$D$12,E301)),1,0))+IF(Classifiers!$E$12="",0,IF(ISNUMBER(SEARCH(Classifiers!$E$12,E301)),1,0))+IF(Classifiers!$F$12="",0,IF(ISNUMBER(SEARCH(Classifiers!$F$12,E301)),1,0))+IF(Classifiers!$G$12="",0,IF(ISNUMBER(SEARCH(Classifiers!$G$12,E301)),1,0)))&gt;0,1,0))</f>
        <v/>
      </c>
      <c r="R301" s="12">
        <f>IF(H301&lt;&gt;1,0,IF((IF(Classifiers!$B$13="",0,IF(ISNUMBER(SEARCH(Classifiers!$B$13,E301)),1,0))+IF(Classifiers!$C$13="",0,IF(ISNUMBER(SEARCH(Classifiers!$C$13,E301)),1,0))+IF(Classifiers!$D$13="",0,IF(ISNUMBER(SEARCH(Classifiers!$D$13,E301)),1,0))+IF(Classifiers!$E$13="",0,IF(ISNUMBER(SEARCH(Classifiers!$E$13,E301)),1,0))+IF(Classifiers!$F$13="",0,IF(ISNUMBER(SEARCH(Classifiers!$F$13,E301)),1,0))+IF(Classifiers!$G$13="",0,IF(ISNUMBER(SEARCH(Classifiers!$G$13,E301)),1,0)))&gt;0,1,0))</f>
        <v/>
      </c>
      <c r="S301" s="12">
        <f>IF(H301&lt;&gt;1,0,IF((IF(Classifiers!$B$14="",0,IF(ISNUMBER(SEARCH(Classifiers!$B$14,E301)),1,0))+IF(Classifiers!$C$14="",0,IF(ISNUMBER(SEARCH(Classifiers!$C$14,E301)),1,0))+IF(Classifiers!$D$14="",0,IF(ISNUMBER(SEARCH(Classifiers!$D$14,E301)),1,0))+IF(Classifiers!$E$14="",0,IF(ISNUMBER(SEARCH(Classifiers!$E$14,E301)),1,0))+IF(Classifiers!$F$14="",0,IF(ISNUMBER(SEARCH(Classifiers!$F$14,E301)),1,0))+IF(Classifiers!$G$14="",0,IF(ISNUMBER(SEARCH(Classifiers!$G$14,E301)),1,0)))&gt;0,1,0))</f>
        <v/>
      </c>
      <c r="T301" s="12">
        <f>IF(H301&lt;&gt;1,0,IF((IF(Classifiers!$B$15="",0,IF(ISNUMBER(SEARCH(Classifiers!$B$15,E301)),1,0))+IF(Classifiers!$C$15="",0,IF(ISNUMBER(SEARCH(Classifiers!$C$15,E301)),1,0))+IF(Classifiers!$D$15="",0,IF(ISNUMBER(SEARCH(Classifiers!$D$15,E301)),1,0))+IF(Classifiers!$E$15="",0,IF(ISNUMBER(SEARCH(Classifiers!$E$15,E301)),1,0))+IF(Classifiers!$F$15="",0,IF(ISNUMBER(SEARCH(Classifiers!$F$15,E301)),1,0))+IF(Classifiers!$G$15="",0,IF(ISNUMBER(SEARCH(Classifiers!$G$15,E301)),1,0)))&gt;0,1,0))</f>
        <v/>
      </c>
      <c r="U301" s="12">
        <f>IF(H301&lt;&gt;1,0,IF((IF(Classifiers!$B$16="",0,IF(ISNUMBER(SEARCH(Classifiers!$B$16,E301)),1,0))+IF(Classifiers!$C$16="",0,IF(ISNUMBER(SEARCH(Classifiers!$C$16,E301)),1,0))+IF(Classifiers!$D$16="",0,IF(ISNUMBER(SEARCH(Classifiers!$D$16,E301)),1,0))+IF(Classifiers!$E$16="",0,IF(ISNUMBER(SEARCH(Classifiers!$E$16,E301)),1,0))+IF(Classifiers!$F$16="",0,IF(ISNUMBER(SEARCH(Classifiers!$F$16,E301)),1,0))+IF(Classifiers!$G$16="",0,IF(ISNUMBER(SEARCH(Classifiers!$G$16,E301)),1,0)))&gt;0,1,0))</f>
        <v/>
      </c>
      <c r="V301" s="12">
        <f>IF(H301&lt;&gt;1,0,IF((IF(Classifiers!$B$17="",0,IF(ISNUMBER(SEARCH(Classifiers!$B$17,E301)),1,0))+IF(Classifiers!$C$17="",0,IF(ISNUMBER(SEARCH(Classifiers!$C$17,E301)),1,0))+IF(Classifiers!$D$17="",0,IF(ISNUMBER(SEARCH(Classifiers!$D$17,E301)),1,0))+IF(Classifiers!$E$17="",0,IF(ISNUMBER(SEARCH(Classifiers!$E$17,E301)),1,0))+IF(Classifiers!$F$17="",0,IF(ISNUMBER(SEARCH(Classifiers!$F$17,E301)),1,0))+IF(Classifiers!$G$17="",0,IF(ISNUMBER(SEARCH(Classifiers!$G$17,E301)),1,0)))&gt;0,1,0))</f>
        <v/>
      </c>
      <c r="W301" s="12">
        <f>IF(H301&lt;&gt;1,0,IF((IF(Classifiers!$B$18="",0,IF(ISNUMBER(SEARCH(Classifiers!$B$18,E301)),1,0))+IF(Classifiers!$C$18="",0,IF(ISNUMBER(SEARCH(Classifiers!$C$18,E301)),1,0))+IF(Classifiers!$D$18="",0,IF(ISNUMBER(SEARCH(Classifiers!$D$18,E301)),1,0))+IF(Classifiers!$E$18="",0,IF(ISNUMBER(SEARCH(Classifiers!$E$18,E301)),1,0))+IF(Classifiers!$F$18="",0,IF(ISNUMBER(SEARCH(Classifiers!$F$18,E301)),1,0))+IF(Classifiers!$G$18="",0,IF(ISNUMBER(SEARCH(Classifiers!$G$18,E301)),1,0)))&gt;0,1,0))</f>
        <v/>
      </c>
    </row>
    <row r="302">
      <c r="A302" s="8" t="n"/>
      <c r="B302" s="11" t="n"/>
      <c r="C302" s="6">
        <f>IF(A302="","",TRIM(RIGHT(SUBSTITUTE(A302,"/",REPT(" ",250)),250)))</f>
        <v/>
      </c>
      <c r="D302" s="6">
        <f>IF(C302="","",IF(ISNUMBER(SEARCH(".",C302)),LOWER("."&amp;TRIM(RIGHT(SUBSTITUTE(C302,".",REPT(" ",250)),250))),""))</f>
        <v/>
      </c>
      <c r="E302" s="6">
        <f>IF(C302="","",TRIM(SUBSTITUTE(SUBSTITUTE(SUBSTITUTE(SUBSTITUTE(SUBSTITUTE(SUBSTITUTE(SUBSTITUTE(SUBSTITUTE(SUBSTITUTE(SUBSTITUTE(SUBSTITUTE(SUBSTITUTE(SUBSTITUTE(SUBSTITUTE(SUBSTITUTE(SUBSTITUTE(SUBSTITUTE(SUBSTITUTE(SUBSTITUTE(SUBSTITUTE(LOWER(LEFT(C302,LEN(C302)-LEN(D302))),"_"," "),"-"," "),"."," "),","," "),"("," "),")"," "),"["," "),"]"," "),"&amp;"," "),"+"," "),"@"," "),"#"," "),"!"," "),"'"," "),"/"," "),":"," "),";"," "),"="," "),"~"," "),"%"," ")))</f>
        <v/>
      </c>
      <c r="F302" s="6">
        <f>IF(C302="","",IF(COUNTIF(Classifiers!$A$23:$A$40,D302)&gt;0,1,0))</f>
        <v/>
      </c>
      <c r="G302" s="6">
        <f>IF(C302="","",IF(COUNTIF(Classifiers!$C$23:$C$30,D302)&gt;0,IF((IF(ISNUMBER(SEARCH(Classifiers!$E$23,E302)),1,0)+IF(ISNUMBER(SEARCH(Classifiers!$E$24,E302)),1,0)+IF(ISNUMBER(SEARCH(Classifiers!$E$25,E302)),1,0)+IF(ISNUMBER(SEARCH(Classifiers!$E$26,E302)),1,0)+IF(ISNUMBER(SEARCH(Classifiers!$E$27,E302)),1,0)+IF(ISNUMBER(SEARCH(Classifiers!$E$28,E302)),1,0)+IF(ISNUMBER(SEARCH(Classifiers!$E$29,E302)),1,0)+IF(ISNUMBER(SEARCH(Classifiers!$E$30,E302)),1,0))&gt;0,1,0),0))</f>
        <v/>
      </c>
      <c r="H302" s="6">
        <f>IF(C302="","",IF(OR(LEFT(C302,1)=".",AND(F302=0,G302=0)),0,1))</f>
        <v/>
      </c>
      <c r="I302" s="6">
        <f>IF(H302&lt;&gt;1,"",IF(SUM(J302:W302)=0,"unclassified",INDEX(Classifiers!$A$5:$A$18,MATCH(1,J302:W302,0),1)))</f>
        <v/>
      </c>
      <c r="J302" s="12">
        <f>IF(H302&lt;&gt;1,0,IF((IF(Classifiers!$B$5="",0,IF(ISNUMBER(SEARCH(Classifiers!$B$5,E302)),1,0))+IF(Classifiers!$C$5="",0,IF(ISNUMBER(SEARCH(Classifiers!$C$5,E302)),1,0))+IF(Classifiers!$D$5="",0,IF(ISNUMBER(SEARCH(Classifiers!$D$5,E302)),1,0))+IF(Classifiers!$E$5="",0,IF(ISNUMBER(SEARCH(Classifiers!$E$5,E302)),1,0))+IF(Classifiers!$F$5="",0,IF(ISNUMBER(SEARCH(Classifiers!$F$5,E302)),1,0))+IF(Classifiers!$G$5="",0,IF(ISNUMBER(SEARCH(Classifiers!$G$5,E302)),1,0)))&gt;0,1,0))</f>
        <v/>
      </c>
      <c r="K302" s="12">
        <f>IF(H302&lt;&gt;1,0,IF((IF(Classifiers!$B$6="",0,IF(ISNUMBER(SEARCH(Classifiers!$B$6,E302)),1,0))+IF(Classifiers!$C$6="",0,IF(ISNUMBER(SEARCH(Classifiers!$C$6,E302)),1,0))+IF(Classifiers!$D$6="",0,IF(ISNUMBER(SEARCH(Classifiers!$D$6,E302)),1,0))+IF(Classifiers!$E$6="",0,IF(ISNUMBER(SEARCH(Classifiers!$E$6,E302)),1,0))+IF(Classifiers!$F$6="",0,IF(ISNUMBER(SEARCH(Classifiers!$F$6,E302)),1,0))+IF(Classifiers!$G$6="",0,IF(ISNUMBER(SEARCH(Classifiers!$G$6,E302)),1,0)))&gt;0,1,0))</f>
        <v/>
      </c>
      <c r="L302" s="12">
        <f>IF(H302&lt;&gt;1,0,IF((IF(Classifiers!$B$7="",0,IF(ISNUMBER(SEARCH(Classifiers!$B$7,E302)),1,0))+IF(Classifiers!$C$7="",0,IF(ISNUMBER(SEARCH(Classifiers!$C$7,E302)),1,0))+IF(Classifiers!$D$7="",0,IF(ISNUMBER(SEARCH(Classifiers!$D$7,E302)),1,0))+IF(Classifiers!$E$7="",0,IF(ISNUMBER(SEARCH(Classifiers!$E$7,E302)),1,0))+IF(Classifiers!$F$7="",0,IF(ISNUMBER(SEARCH(Classifiers!$F$7,E302)),1,0))+IF(Classifiers!$G$7="",0,IF(ISNUMBER(SEARCH(Classifiers!$G$7,E302)),1,0)))&gt;0,1,0))</f>
        <v/>
      </c>
      <c r="M302" s="12">
        <f>IF(H302&lt;&gt;1,0,IF((IF(Classifiers!$B$8="",0,IF(ISNUMBER(SEARCH(Classifiers!$B$8,E302)),1,0))+IF(Classifiers!$C$8="",0,IF(ISNUMBER(SEARCH(Classifiers!$C$8,E302)),1,0))+IF(Classifiers!$D$8="",0,IF(ISNUMBER(SEARCH(Classifiers!$D$8,E302)),1,0))+IF(Classifiers!$E$8="",0,IF(ISNUMBER(SEARCH(Classifiers!$E$8,E302)),1,0))+IF(Classifiers!$F$8="",0,IF(ISNUMBER(SEARCH(Classifiers!$F$8,E302)),1,0))+IF(Classifiers!$G$8="",0,IF(ISNUMBER(SEARCH(Classifiers!$G$8,E302)),1,0)))&gt;0,1,0))</f>
        <v/>
      </c>
      <c r="N302" s="12">
        <f>IF(H302&lt;&gt;1,0,IF((IF(Classifiers!$B$9="",0,IF(ISNUMBER(SEARCH(Classifiers!$B$9,E302)),1,0))+IF(Classifiers!$C$9="",0,IF(ISNUMBER(SEARCH(Classifiers!$C$9,E302)),1,0))+IF(Classifiers!$D$9="",0,IF(ISNUMBER(SEARCH(Classifiers!$D$9,E302)),1,0))+IF(Classifiers!$E$9="",0,IF(ISNUMBER(SEARCH(Classifiers!$E$9,E302)),1,0))+IF(Classifiers!$F$9="",0,IF(ISNUMBER(SEARCH(Classifiers!$F$9,E302)),1,0))+IF(Classifiers!$G$9="",0,IF(ISNUMBER(SEARCH(Classifiers!$G$9,E302)),1,0)))&gt;0,1,0))</f>
        <v/>
      </c>
      <c r="O302" s="12">
        <f>IF(H302&lt;&gt;1,0,IF((IF(Classifiers!$B$10="",0,IF(ISNUMBER(SEARCH(Classifiers!$B$10,E302)),1,0))+IF(Classifiers!$C$10="",0,IF(ISNUMBER(SEARCH(Classifiers!$C$10,E302)),1,0))+IF(Classifiers!$D$10="",0,IF(ISNUMBER(SEARCH(Classifiers!$D$10,E302)),1,0))+IF(Classifiers!$E$10="",0,IF(ISNUMBER(SEARCH(Classifiers!$E$10,E302)),1,0))+IF(Classifiers!$F$10="",0,IF(ISNUMBER(SEARCH(Classifiers!$F$10,E302)),1,0))+IF(Classifiers!$G$10="",0,IF(ISNUMBER(SEARCH(Classifiers!$G$10,E302)),1,0)))&gt;0,1,0))</f>
        <v/>
      </c>
      <c r="P302" s="12">
        <f>IF(H302&lt;&gt;1,0,IF((IF(Classifiers!$B$11="",0,IF(ISNUMBER(SEARCH(Classifiers!$B$11,E302)),1,0))+IF(Classifiers!$C$11="",0,IF(ISNUMBER(SEARCH(Classifiers!$C$11,E302)),1,0))+IF(Classifiers!$D$11="",0,IF(ISNUMBER(SEARCH(Classifiers!$D$11,E302)),1,0))+IF(Classifiers!$E$11="",0,IF(ISNUMBER(SEARCH(Classifiers!$E$11,E302)),1,0))+IF(Classifiers!$F$11="",0,IF(ISNUMBER(SEARCH(Classifiers!$F$11,E302)),1,0))+IF(Classifiers!$G$11="",0,IF(ISNUMBER(SEARCH(Classifiers!$G$11,E302)),1,0)))&gt;0,1,0))</f>
        <v/>
      </c>
      <c r="Q302" s="12">
        <f>IF(H302&lt;&gt;1,0,IF((IF(Classifiers!$B$12="",0,IF(ISNUMBER(SEARCH(Classifiers!$B$12,E302)),1,0))+IF(Classifiers!$C$12="",0,IF(ISNUMBER(SEARCH(Classifiers!$C$12,E302)),1,0))+IF(Classifiers!$D$12="",0,IF(ISNUMBER(SEARCH(Classifiers!$D$12,E302)),1,0))+IF(Classifiers!$E$12="",0,IF(ISNUMBER(SEARCH(Classifiers!$E$12,E302)),1,0))+IF(Classifiers!$F$12="",0,IF(ISNUMBER(SEARCH(Classifiers!$F$12,E302)),1,0))+IF(Classifiers!$G$12="",0,IF(ISNUMBER(SEARCH(Classifiers!$G$12,E302)),1,0)))&gt;0,1,0))</f>
        <v/>
      </c>
      <c r="R302" s="12">
        <f>IF(H302&lt;&gt;1,0,IF((IF(Classifiers!$B$13="",0,IF(ISNUMBER(SEARCH(Classifiers!$B$13,E302)),1,0))+IF(Classifiers!$C$13="",0,IF(ISNUMBER(SEARCH(Classifiers!$C$13,E302)),1,0))+IF(Classifiers!$D$13="",0,IF(ISNUMBER(SEARCH(Classifiers!$D$13,E302)),1,0))+IF(Classifiers!$E$13="",0,IF(ISNUMBER(SEARCH(Classifiers!$E$13,E302)),1,0))+IF(Classifiers!$F$13="",0,IF(ISNUMBER(SEARCH(Classifiers!$F$13,E302)),1,0))+IF(Classifiers!$G$13="",0,IF(ISNUMBER(SEARCH(Classifiers!$G$13,E302)),1,0)))&gt;0,1,0))</f>
        <v/>
      </c>
      <c r="S302" s="12">
        <f>IF(H302&lt;&gt;1,0,IF((IF(Classifiers!$B$14="",0,IF(ISNUMBER(SEARCH(Classifiers!$B$14,E302)),1,0))+IF(Classifiers!$C$14="",0,IF(ISNUMBER(SEARCH(Classifiers!$C$14,E302)),1,0))+IF(Classifiers!$D$14="",0,IF(ISNUMBER(SEARCH(Classifiers!$D$14,E302)),1,0))+IF(Classifiers!$E$14="",0,IF(ISNUMBER(SEARCH(Classifiers!$E$14,E302)),1,0))+IF(Classifiers!$F$14="",0,IF(ISNUMBER(SEARCH(Classifiers!$F$14,E302)),1,0))+IF(Classifiers!$G$14="",0,IF(ISNUMBER(SEARCH(Classifiers!$G$14,E302)),1,0)))&gt;0,1,0))</f>
        <v/>
      </c>
      <c r="T302" s="12">
        <f>IF(H302&lt;&gt;1,0,IF((IF(Classifiers!$B$15="",0,IF(ISNUMBER(SEARCH(Classifiers!$B$15,E302)),1,0))+IF(Classifiers!$C$15="",0,IF(ISNUMBER(SEARCH(Classifiers!$C$15,E302)),1,0))+IF(Classifiers!$D$15="",0,IF(ISNUMBER(SEARCH(Classifiers!$D$15,E302)),1,0))+IF(Classifiers!$E$15="",0,IF(ISNUMBER(SEARCH(Classifiers!$E$15,E302)),1,0))+IF(Classifiers!$F$15="",0,IF(ISNUMBER(SEARCH(Classifiers!$F$15,E302)),1,0))+IF(Classifiers!$G$15="",0,IF(ISNUMBER(SEARCH(Classifiers!$G$15,E302)),1,0)))&gt;0,1,0))</f>
        <v/>
      </c>
      <c r="U302" s="12">
        <f>IF(H302&lt;&gt;1,0,IF((IF(Classifiers!$B$16="",0,IF(ISNUMBER(SEARCH(Classifiers!$B$16,E302)),1,0))+IF(Classifiers!$C$16="",0,IF(ISNUMBER(SEARCH(Classifiers!$C$16,E302)),1,0))+IF(Classifiers!$D$16="",0,IF(ISNUMBER(SEARCH(Classifiers!$D$16,E302)),1,0))+IF(Classifiers!$E$16="",0,IF(ISNUMBER(SEARCH(Classifiers!$E$16,E302)),1,0))+IF(Classifiers!$F$16="",0,IF(ISNUMBER(SEARCH(Classifiers!$F$16,E302)),1,0))+IF(Classifiers!$G$16="",0,IF(ISNUMBER(SEARCH(Classifiers!$G$16,E302)),1,0)))&gt;0,1,0))</f>
        <v/>
      </c>
      <c r="V302" s="12">
        <f>IF(H302&lt;&gt;1,0,IF((IF(Classifiers!$B$17="",0,IF(ISNUMBER(SEARCH(Classifiers!$B$17,E302)),1,0))+IF(Classifiers!$C$17="",0,IF(ISNUMBER(SEARCH(Classifiers!$C$17,E302)),1,0))+IF(Classifiers!$D$17="",0,IF(ISNUMBER(SEARCH(Classifiers!$D$17,E302)),1,0))+IF(Classifiers!$E$17="",0,IF(ISNUMBER(SEARCH(Classifiers!$E$17,E302)),1,0))+IF(Classifiers!$F$17="",0,IF(ISNUMBER(SEARCH(Classifiers!$F$17,E302)),1,0))+IF(Classifiers!$G$17="",0,IF(ISNUMBER(SEARCH(Classifiers!$G$17,E302)),1,0)))&gt;0,1,0))</f>
        <v/>
      </c>
      <c r="W302" s="12">
        <f>IF(H302&lt;&gt;1,0,IF((IF(Classifiers!$B$18="",0,IF(ISNUMBER(SEARCH(Classifiers!$B$18,E302)),1,0))+IF(Classifiers!$C$18="",0,IF(ISNUMBER(SEARCH(Classifiers!$C$18,E302)),1,0))+IF(Classifiers!$D$18="",0,IF(ISNUMBER(SEARCH(Classifiers!$D$18,E302)),1,0))+IF(Classifiers!$E$18="",0,IF(ISNUMBER(SEARCH(Classifiers!$E$18,E302)),1,0))+IF(Classifiers!$F$18="",0,IF(ISNUMBER(SEARCH(Classifiers!$F$18,E302)),1,0))+IF(Classifiers!$G$18="",0,IF(ISNUMBER(SEARCH(Classifiers!$G$18,E302)),1,0)))&gt;0,1,0))</f>
        <v/>
      </c>
    </row>
    <row r="303">
      <c r="A303" s="8" t="n"/>
      <c r="B303" s="11" t="n"/>
      <c r="C303" s="6">
        <f>IF(A303="","",TRIM(RIGHT(SUBSTITUTE(A303,"/",REPT(" ",250)),250)))</f>
        <v/>
      </c>
      <c r="D303" s="6">
        <f>IF(C303="","",IF(ISNUMBER(SEARCH(".",C303)),LOWER("."&amp;TRIM(RIGHT(SUBSTITUTE(C303,".",REPT(" ",250)),250))),""))</f>
        <v/>
      </c>
      <c r="E303" s="6">
        <f>IF(C303="","",TRIM(SUBSTITUTE(SUBSTITUTE(SUBSTITUTE(SUBSTITUTE(SUBSTITUTE(SUBSTITUTE(SUBSTITUTE(SUBSTITUTE(SUBSTITUTE(SUBSTITUTE(SUBSTITUTE(SUBSTITUTE(SUBSTITUTE(SUBSTITUTE(SUBSTITUTE(SUBSTITUTE(SUBSTITUTE(SUBSTITUTE(SUBSTITUTE(SUBSTITUTE(LOWER(LEFT(C303,LEN(C303)-LEN(D303))),"_"," "),"-"," "),"."," "),","," "),"("," "),")"," "),"["," "),"]"," "),"&amp;"," "),"+"," "),"@"," "),"#"," "),"!"," "),"'"," "),"/"," "),":"," "),";"," "),"="," "),"~"," "),"%"," ")))</f>
        <v/>
      </c>
      <c r="F303" s="6">
        <f>IF(C303="","",IF(COUNTIF(Classifiers!$A$23:$A$40,D303)&gt;0,1,0))</f>
        <v/>
      </c>
      <c r="G303" s="6">
        <f>IF(C303="","",IF(COUNTIF(Classifiers!$C$23:$C$30,D303)&gt;0,IF((IF(ISNUMBER(SEARCH(Classifiers!$E$23,E303)),1,0)+IF(ISNUMBER(SEARCH(Classifiers!$E$24,E303)),1,0)+IF(ISNUMBER(SEARCH(Classifiers!$E$25,E303)),1,0)+IF(ISNUMBER(SEARCH(Classifiers!$E$26,E303)),1,0)+IF(ISNUMBER(SEARCH(Classifiers!$E$27,E303)),1,0)+IF(ISNUMBER(SEARCH(Classifiers!$E$28,E303)),1,0)+IF(ISNUMBER(SEARCH(Classifiers!$E$29,E303)),1,0)+IF(ISNUMBER(SEARCH(Classifiers!$E$30,E303)),1,0))&gt;0,1,0),0))</f>
        <v/>
      </c>
      <c r="H303" s="6">
        <f>IF(C303="","",IF(OR(LEFT(C303,1)=".",AND(F303=0,G303=0)),0,1))</f>
        <v/>
      </c>
      <c r="I303" s="6">
        <f>IF(H303&lt;&gt;1,"",IF(SUM(J303:W303)=0,"unclassified",INDEX(Classifiers!$A$5:$A$18,MATCH(1,J303:W303,0),1)))</f>
        <v/>
      </c>
      <c r="J303" s="12">
        <f>IF(H303&lt;&gt;1,0,IF((IF(Classifiers!$B$5="",0,IF(ISNUMBER(SEARCH(Classifiers!$B$5,E303)),1,0))+IF(Classifiers!$C$5="",0,IF(ISNUMBER(SEARCH(Classifiers!$C$5,E303)),1,0))+IF(Classifiers!$D$5="",0,IF(ISNUMBER(SEARCH(Classifiers!$D$5,E303)),1,0))+IF(Classifiers!$E$5="",0,IF(ISNUMBER(SEARCH(Classifiers!$E$5,E303)),1,0))+IF(Classifiers!$F$5="",0,IF(ISNUMBER(SEARCH(Classifiers!$F$5,E303)),1,0))+IF(Classifiers!$G$5="",0,IF(ISNUMBER(SEARCH(Classifiers!$G$5,E303)),1,0)))&gt;0,1,0))</f>
        <v/>
      </c>
      <c r="K303" s="12">
        <f>IF(H303&lt;&gt;1,0,IF((IF(Classifiers!$B$6="",0,IF(ISNUMBER(SEARCH(Classifiers!$B$6,E303)),1,0))+IF(Classifiers!$C$6="",0,IF(ISNUMBER(SEARCH(Classifiers!$C$6,E303)),1,0))+IF(Classifiers!$D$6="",0,IF(ISNUMBER(SEARCH(Classifiers!$D$6,E303)),1,0))+IF(Classifiers!$E$6="",0,IF(ISNUMBER(SEARCH(Classifiers!$E$6,E303)),1,0))+IF(Classifiers!$F$6="",0,IF(ISNUMBER(SEARCH(Classifiers!$F$6,E303)),1,0))+IF(Classifiers!$G$6="",0,IF(ISNUMBER(SEARCH(Classifiers!$G$6,E303)),1,0)))&gt;0,1,0))</f>
        <v/>
      </c>
      <c r="L303" s="12">
        <f>IF(H303&lt;&gt;1,0,IF((IF(Classifiers!$B$7="",0,IF(ISNUMBER(SEARCH(Classifiers!$B$7,E303)),1,0))+IF(Classifiers!$C$7="",0,IF(ISNUMBER(SEARCH(Classifiers!$C$7,E303)),1,0))+IF(Classifiers!$D$7="",0,IF(ISNUMBER(SEARCH(Classifiers!$D$7,E303)),1,0))+IF(Classifiers!$E$7="",0,IF(ISNUMBER(SEARCH(Classifiers!$E$7,E303)),1,0))+IF(Classifiers!$F$7="",0,IF(ISNUMBER(SEARCH(Classifiers!$F$7,E303)),1,0))+IF(Classifiers!$G$7="",0,IF(ISNUMBER(SEARCH(Classifiers!$G$7,E303)),1,0)))&gt;0,1,0))</f>
        <v/>
      </c>
      <c r="M303" s="12">
        <f>IF(H303&lt;&gt;1,0,IF((IF(Classifiers!$B$8="",0,IF(ISNUMBER(SEARCH(Classifiers!$B$8,E303)),1,0))+IF(Classifiers!$C$8="",0,IF(ISNUMBER(SEARCH(Classifiers!$C$8,E303)),1,0))+IF(Classifiers!$D$8="",0,IF(ISNUMBER(SEARCH(Classifiers!$D$8,E303)),1,0))+IF(Classifiers!$E$8="",0,IF(ISNUMBER(SEARCH(Classifiers!$E$8,E303)),1,0))+IF(Classifiers!$F$8="",0,IF(ISNUMBER(SEARCH(Classifiers!$F$8,E303)),1,0))+IF(Classifiers!$G$8="",0,IF(ISNUMBER(SEARCH(Classifiers!$G$8,E303)),1,0)))&gt;0,1,0))</f>
        <v/>
      </c>
      <c r="N303" s="12">
        <f>IF(H303&lt;&gt;1,0,IF((IF(Classifiers!$B$9="",0,IF(ISNUMBER(SEARCH(Classifiers!$B$9,E303)),1,0))+IF(Classifiers!$C$9="",0,IF(ISNUMBER(SEARCH(Classifiers!$C$9,E303)),1,0))+IF(Classifiers!$D$9="",0,IF(ISNUMBER(SEARCH(Classifiers!$D$9,E303)),1,0))+IF(Classifiers!$E$9="",0,IF(ISNUMBER(SEARCH(Classifiers!$E$9,E303)),1,0))+IF(Classifiers!$F$9="",0,IF(ISNUMBER(SEARCH(Classifiers!$F$9,E303)),1,0))+IF(Classifiers!$G$9="",0,IF(ISNUMBER(SEARCH(Classifiers!$G$9,E303)),1,0)))&gt;0,1,0))</f>
        <v/>
      </c>
      <c r="O303" s="12">
        <f>IF(H303&lt;&gt;1,0,IF((IF(Classifiers!$B$10="",0,IF(ISNUMBER(SEARCH(Classifiers!$B$10,E303)),1,0))+IF(Classifiers!$C$10="",0,IF(ISNUMBER(SEARCH(Classifiers!$C$10,E303)),1,0))+IF(Classifiers!$D$10="",0,IF(ISNUMBER(SEARCH(Classifiers!$D$10,E303)),1,0))+IF(Classifiers!$E$10="",0,IF(ISNUMBER(SEARCH(Classifiers!$E$10,E303)),1,0))+IF(Classifiers!$F$10="",0,IF(ISNUMBER(SEARCH(Classifiers!$F$10,E303)),1,0))+IF(Classifiers!$G$10="",0,IF(ISNUMBER(SEARCH(Classifiers!$G$10,E303)),1,0)))&gt;0,1,0))</f>
        <v/>
      </c>
      <c r="P303" s="12">
        <f>IF(H303&lt;&gt;1,0,IF((IF(Classifiers!$B$11="",0,IF(ISNUMBER(SEARCH(Classifiers!$B$11,E303)),1,0))+IF(Classifiers!$C$11="",0,IF(ISNUMBER(SEARCH(Classifiers!$C$11,E303)),1,0))+IF(Classifiers!$D$11="",0,IF(ISNUMBER(SEARCH(Classifiers!$D$11,E303)),1,0))+IF(Classifiers!$E$11="",0,IF(ISNUMBER(SEARCH(Classifiers!$E$11,E303)),1,0))+IF(Classifiers!$F$11="",0,IF(ISNUMBER(SEARCH(Classifiers!$F$11,E303)),1,0))+IF(Classifiers!$G$11="",0,IF(ISNUMBER(SEARCH(Classifiers!$G$11,E303)),1,0)))&gt;0,1,0))</f>
        <v/>
      </c>
      <c r="Q303" s="12">
        <f>IF(H303&lt;&gt;1,0,IF((IF(Classifiers!$B$12="",0,IF(ISNUMBER(SEARCH(Classifiers!$B$12,E303)),1,0))+IF(Classifiers!$C$12="",0,IF(ISNUMBER(SEARCH(Classifiers!$C$12,E303)),1,0))+IF(Classifiers!$D$12="",0,IF(ISNUMBER(SEARCH(Classifiers!$D$12,E303)),1,0))+IF(Classifiers!$E$12="",0,IF(ISNUMBER(SEARCH(Classifiers!$E$12,E303)),1,0))+IF(Classifiers!$F$12="",0,IF(ISNUMBER(SEARCH(Classifiers!$F$12,E303)),1,0))+IF(Classifiers!$G$12="",0,IF(ISNUMBER(SEARCH(Classifiers!$G$12,E303)),1,0)))&gt;0,1,0))</f>
        <v/>
      </c>
      <c r="R303" s="12">
        <f>IF(H303&lt;&gt;1,0,IF((IF(Classifiers!$B$13="",0,IF(ISNUMBER(SEARCH(Classifiers!$B$13,E303)),1,0))+IF(Classifiers!$C$13="",0,IF(ISNUMBER(SEARCH(Classifiers!$C$13,E303)),1,0))+IF(Classifiers!$D$13="",0,IF(ISNUMBER(SEARCH(Classifiers!$D$13,E303)),1,0))+IF(Classifiers!$E$13="",0,IF(ISNUMBER(SEARCH(Classifiers!$E$13,E303)),1,0))+IF(Classifiers!$F$13="",0,IF(ISNUMBER(SEARCH(Classifiers!$F$13,E303)),1,0))+IF(Classifiers!$G$13="",0,IF(ISNUMBER(SEARCH(Classifiers!$G$13,E303)),1,0)))&gt;0,1,0))</f>
        <v/>
      </c>
      <c r="S303" s="12">
        <f>IF(H303&lt;&gt;1,0,IF((IF(Classifiers!$B$14="",0,IF(ISNUMBER(SEARCH(Classifiers!$B$14,E303)),1,0))+IF(Classifiers!$C$14="",0,IF(ISNUMBER(SEARCH(Classifiers!$C$14,E303)),1,0))+IF(Classifiers!$D$14="",0,IF(ISNUMBER(SEARCH(Classifiers!$D$14,E303)),1,0))+IF(Classifiers!$E$14="",0,IF(ISNUMBER(SEARCH(Classifiers!$E$14,E303)),1,0))+IF(Classifiers!$F$14="",0,IF(ISNUMBER(SEARCH(Classifiers!$F$14,E303)),1,0))+IF(Classifiers!$G$14="",0,IF(ISNUMBER(SEARCH(Classifiers!$G$14,E303)),1,0)))&gt;0,1,0))</f>
        <v/>
      </c>
      <c r="T303" s="12">
        <f>IF(H303&lt;&gt;1,0,IF((IF(Classifiers!$B$15="",0,IF(ISNUMBER(SEARCH(Classifiers!$B$15,E303)),1,0))+IF(Classifiers!$C$15="",0,IF(ISNUMBER(SEARCH(Classifiers!$C$15,E303)),1,0))+IF(Classifiers!$D$15="",0,IF(ISNUMBER(SEARCH(Classifiers!$D$15,E303)),1,0))+IF(Classifiers!$E$15="",0,IF(ISNUMBER(SEARCH(Classifiers!$E$15,E303)),1,0))+IF(Classifiers!$F$15="",0,IF(ISNUMBER(SEARCH(Classifiers!$F$15,E303)),1,0))+IF(Classifiers!$G$15="",0,IF(ISNUMBER(SEARCH(Classifiers!$G$15,E303)),1,0)))&gt;0,1,0))</f>
        <v/>
      </c>
      <c r="U303" s="12">
        <f>IF(H303&lt;&gt;1,0,IF((IF(Classifiers!$B$16="",0,IF(ISNUMBER(SEARCH(Classifiers!$B$16,E303)),1,0))+IF(Classifiers!$C$16="",0,IF(ISNUMBER(SEARCH(Classifiers!$C$16,E303)),1,0))+IF(Classifiers!$D$16="",0,IF(ISNUMBER(SEARCH(Classifiers!$D$16,E303)),1,0))+IF(Classifiers!$E$16="",0,IF(ISNUMBER(SEARCH(Classifiers!$E$16,E303)),1,0))+IF(Classifiers!$F$16="",0,IF(ISNUMBER(SEARCH(Classifiers!$F$16,E303)),1,0))+IF(Classifiers!$G$16="",0,IF(ISNUMBER(SEARCH(Classifiers!$G$16,E303)),1,0)))&gt;0,1,0))</f>
        <v/>
      </c>
      <c r="V303" s="12">
        <f>IF(H303&lt;&gt;1,0,IF((IF(Classifiers!$B$17="",0,IF(ISNUMBER(SEARCH(Classifiers!$B$17,E303)),1,0))+IF(Classifiers!$C$17="",0,IF(ISNUMBER(SEARCH(Classifiers!$C$17,E303)),1,0))+IF(Classifiers!$D$17="",0,IF(ISNUMBER(SEARCH(Classifiers!$D$17,E303)),1,0))+IF(Classifiers!$E$17="",0,IF(ISNUMBER(SEARCH(Classifiers!$E$17,E303)),1,0))+IF(Classifiers!$F$17="",0,IF(ISNUMBER(SEARCH(Classifiers!$F$17,E303)),1,0))+IF(Classifiers!$G$17="",0,IF(ISNUMBER(SEARCH(Classifiers!$G$17,E303)),1,0)))&gt;0,1,0))</f>
        <v/>
      </c>
      <c r="W303" s="12">
        <f>IF(H303&lt;&gt;1,0,IF((IF(Classifiers!$B$18="",0,IF(ISNUMBER(SEARCH(Classifiers!$B$18,E303)),1,0))+IF(Classifiers!$C$18="",0,IF(ISNUMBER(SEARCH(Classifiers!$C$18,E303)),1,0))+IF(Classifiers!$D$18="",0,IF(ISNUMBER(SEARCH(Classifiers!$D$18,E303)),1,0))+IF(Classifiers!$E$18="",0,IF(ISNUMBER(SEARCH(Classifiers!$E$18,E303)),1,0))+IF(Classifiers!$F$18="",0,IF(ISNUMBER(SEARCH(Classifiers!$F$18,E303)),1,0))+IF(Classifiers!$G$18="",0,IF(ISNUMBER(SEARCH(Classifiers!$G$18,E303)),1,0)))&gt;0,1,0))</f>
        <v/>
      </c>
    </row>
    <row r="304">
      <c r="A304" s="8" t="n"/>
      <c r="B304" s="11" t="n"/>
      <c r="C304" s="6">
        <f>IF(A304="","",TRIM(RIGHT(SUBSTITUTE(A304,"/",REPT(" ",250)),250)))</f>
        <v/>
      </c>
      <c r="D304" s="6">
        <f>IF(C304="","",IF(ISNUMBER(SEARCH(".",C304)),LOWER("."&amp;TRIM(RIGHT(SUBSTITUTE(C304,".",REPT(" ",250)),250))),""))</f>
        <v/>
      </c>
      <c r="E304" s="6">
        <f>IF(C304="","",TRIM(SUBSTITUTE(SUBSTITUTE(SUBSTITUTE(SUBSTITUTE(SUBSTITUTE(SUBSTITUTE(SUBSTITUTE(SUBSTITUTE(SUBSTITUTE(SUBSTITUTE(SUBSTITUTE(SUBSTITUTE(SUBSTITUTE(SUBSTITUTE(SUBSTITUTE(SUBSTITUTE(SUBSTITUTE(SUBSTITUTE(SUBSTITUTE(SUBSTITUTE(LOWER(LEFT(C304,LEN(C304)-LEN(D304))),"_"," "),"-"," "),"."," "),","," "),"("," "),")"," "),"["," "),"]"," "),"&amp;"," "),"+"," "),"@"," "),"#"," "),"!"," "),"'"," "),"/"," "),":"," "),";"," "),"="," "),"~"," "),"%"," ")))</f>
        <v/>
      </c>
      <c r="F304" s="6">
        <f>IF(C304="","",IF(COUNTIF(Classifiers!$A$23:$A$40,D304)&gt;0,1,0))</f>
        <v/>
      </c>
      <c r="G304" s="6">
        <f>IF(C304="","",IF(COUNTIF(Classifiers!$C$23:$C$30,D304)&gt;0,IF((IF(ISNUMBER(SEARCH(Classifiers!$E$23,E304)),1,0)+IF(ISNUMBER(SEARCH(Classifiers!$E$24,E304)),1,0)+IF(ISNUMBER(SEARCH(Classifiers!$E$25,E304)),1,0)+IF(ISNUMBER(SEARCH(Classifiers!$E$26,E304)),1,0)+IF(ISNUMBER(SEARCH(Classifiers!$E$27,E304)),1,0)+IF(ISNUMBER(SEARCH(Classifiers!$E$28,E304)),1,0)+IF(ISNUMBER(SEARCH(Classifiers!$E$29,E304)),1,0)+IF(ISNUMBER(SEARCH(Classifiers!$E$30,E304)),1,0))&gt;0,1,0),0))</f>
        <v/>
      </c>
      <c r="H304" s="6">
        <f>IF(C304="","",IF(OR(LEFT(C304,1)=".",AND(F304=0,G304=0)),0,1))</f>
        <v/>
      </c>
      <c r="I304" s="6">
        <f>IF(H304&lt;&gt;1,"",IF(SUM(J304:W304)=0,"unclassified",INDEX(Classifiers!$A$5:$A$18,MATCH(1,J304:W304,0),1)))</f>
        <v/>
      </c>
      <c r="J304" s="12">
        <f>IF(H304&lt;&gt;1,0,IF((IF(Classifiers!$B$5="",0,IF(ISNUMBER(SEARCH(Classifiers!$B$5,E304)),1,0))+IF(Classifiers!$C$5="",0,IF(ISNUMBER(SEARCH(Classifiers!$C$5,E304)),1,0))+IF(Classifiers!$D$5="",0,IF(ISNUMBER(SEARCH(Classifiers!$D$5,E304)),1,0))+IF(Classifiers!$E$5="",0,IF(ISNUMBER(SEARCH(Classifiers!$E$5,E304)),1,0))+IF(Classifiers!$F$5="",0,IF(ISNUMBER(SEARCH(Classifiers!$F$5,E304)),1,0))+IF(Classifiers!$G$5="",0,IF(ISNUMBER(SEARCH(Classifiers!$G$5,E304)),1,0)))&gt;0,1,0))</f>
        <v/>
      </c>
      <c r="K304" s="12">
        <f>IF(H304&lt;&gt;1,0,IF((IF(Classifiers!$B$6="",0,IF(ISNUMBER(SEARCH(Classifiers!$B$6,E304)),1,0))+IF(Classifiers!$C$6="",0,IF(ISNUMBER(SEARCH(Classifiers!$C$6,E304)),1,0))+IF(Classifiers!$D$6="",0,IF(ISNUMBER(SEARCH(Classifiers!$D$6,E304)),1,0))+IF(Classifiers!$E$6="",0,IF(ISNUMBER(SEARCH(Classifiers!$E$6,E304)),1,0))+IF(Classifiers!$F$6="",0,IF(ISNUMBER(SEARCH(Classifiers!$F$6,E304)),1,0))+IF(Classifiers!$G$6="",0,IF(ISNUMBER(SEARCH(Classifiers!$G$6,E304)),1,0)))&gt;0,1,0))</f>
        <v/>
      </c>
      <c r="L304" s="12">
        <f>IF(H304&lt;&gt;1,0,IF((IF(Classifiers!$B$7="",0,IF(ISNUMBER(SEARCH(Classifiers!$B$7,E304)),1,0))+IF(Classifiers!$C$7="",0,IF(ISNUMBER(SEARCH(Classifiers!$C$7,E304)),1,0))+IF(Classifiers!$D$7="",0,IF(ISNUMBER(SEARCH(Classifiers!$D$7,E304)),1,0))+IF(Classifiers!$E$7="",0,IF(ISNUMBER(SEARCH(Classifiers!$E$7,E304)),1,0))+IF(Classifiers!$F$7="",0,IF(ISNUMBER(SEARCH(Classifiers!$F$7,E304)),1,0))+IF(Classifiers!$G$7="",0,IF(ISNUMBER(SEARCH(Classifiers!$G$7,E304)),1,0)))&gt;0,1,0))</f>
        <v/>
      </c>
      <c r="M304" s="12">
        <f>IF(H304&lt;&gt;1,0,IF((IF(Classifiers!$B$8="",0,IF(ISNUMBER(SEARCH(Classifiers!$B$8,E304)),1,0))+IF(Classifiers!$C$8="",0,IF(ISNUMBER(SEARCH(Classifiers!$C$8,E304)),1,0))+IF(Classifiers!$D$8="",0,IF(ISNUMBER(SEARCH(Classifiers!$D$8,E304)),1,0))+IF(Classifiers!$E$8="",0,IF(ISNUMBER(SEARCH(Classifiers!$E$8,E304)),1,0))+IF(Classifiers!$F$8="",0,IF(ISNUMBER(SEARCH(Classifiers!$F$8,E304)),1,0))+IF(Classifiers!$G$8="",0,IF(ISNUMBER(SEARCH(Classifiers!$G$8,E304)),1,0)))&gt;0,1,0))</f>
        <v/>
      </c>
      <c r="N304" s="12">
        <f>IF(H304&lt;&gt;1,0,IF((IF(Classifiers!$B$9="",0,IF(ISNUMBER(SEARCH(Classifiers!$B$9,E304)),1,0))+IF(Classifiers!$C$9="",0,IF(ISNUMBER(SEARCH(Classifiers!$C$9,E304)),1,0))+IF(Classifiers!$D$9="",0,IF(ISNUMBER(SEARCH(Classifiers!$D$9,E304)),1,0))+IF(Classifiers!$E$9="",0,IF(ISNUMBER(SEARCH(Classifiers!$E$9,E304)),1,0))+IF(Classifiers!$F$9="",0,IF(ISNUMBER(SEARCH(Classifiers!$F$9,E304)),1,0))+IF(Classifiers!$G$9="",0,IF(ISNUMBER(SEARCH(Classifiers!$G$9,E304)),1,0)))&gt;0,1,0))</f>
        <v/>
      </c>
      <c r="O304" s="12">
        <f>IF(H304&lt;&gt;1,0,IF((IF(Classifiers!$B$10="",0,IF(ISNUMBER(SEARCH(Classifiers!$B$10,E304)),1,0))+IF(Classifiers!$C$10="",0,IF(ISNUMBER(SEARCH(Classifiers!$C$10,E304)),1,0))+IF(Classifiers!$D$10="",0,IF(ISNUMBER(SEARCH(Classifiers!$D$10,E304)),1,0))+IF(Classifiers!$E$10="",0,IF(ISNUMBER(SEARCH(Classifiers!$E$10,E304)),1,0))+IF(Classifiers!$F$10="",0,IF(ISNUMBER(SEARCH(Classifiers!$F$10,E304)),1,0))+IF(Classifiers!$G$10="",0,IF(ISNUMBER(SEARCH(Classifiers!$G$10,E304)),1,0)))&gt;0,1,0))</f>
        <v/>
      </c>
      <c r="P304" s="12">
        <f>IF(H304&lt;&gt;1,0,IF((IF(Classifiers!$B$11="",0,IF(ISNUMBER(SEARCH(Classifiers!$B$11,E304)),1,0))+IF(Classifiers!$C$11="",0,IF(ISNUMBER(SEARCH(Classifiers!$C$11,E304)),1,0))+IF(Classifiers!$D$11="",0,IF(ISNUMBER(SEARCH(Classifiers!$D$11,E304)),1,0))+IF(Classifiers!$E$11="",0,IF(ISNUMBER(SEARCH(Classifiers!$E$11,E304)),1,0))+IF(Classifiers!$F$11="",0,IF(ISNUMBER(SEARCH(Classifiers!$F$11,E304)),1,0))+IF(Classifiers!$G$11="",0,IF(ISNUMBER(SEARCH(Classifiers!$G$11,E304)),1,0)))&gt;0,1,0))</f>
        <v/>
      </c>
      <c r="Q304" s="12">
        <f>IF(H304&lt;&gt;1,0,IF((IF(Classifiers!$B$12="",0,IF(ISNUMBER(SEARCH(Classifiers!$B$12,E304)),1,0))+IF(Classifiers!$C$12="",0,IF(ISNUMBER(SEARCH(Classifiers!$C$12,E304)),1,0))+IF(Classifiers!$D$12="",0,IF(ISNUMBER(SEARCH(Classifiers!$D$12,E304)),1,0))+IF(Classifiers!$E$12="",0,IF(ISNUMBER(SEARCH(Classifiers!$E$12,E304)),1,0))+IF(Classifiers!$F$12="",0,IF(ISNUMBER(SEARCH(Classifiers!$F$12,E304)),1,0))+IF(Classifiers!$G$12="",0,IF(ISNUMBER(SEARCH(Classifiers!$G$12,E304)),1,0)))&gt;0,1,0))</f>
        <v/>
      </c>
      <c r="R304" s="12">
        <f>IF(H304&lt;&gt;1,0,IF((IF(Classifiers!$B$13="",0,IF(ISNUMBER(SEARCH(Classifiers!$B$13,E304)),1,0))+IF(Classifiers!$C$13="",0,IF(ISNUMBER(SEARCH(Classifiers!$C$13,E304)),1,0))+IF(Classifiers!$D$13="",0,IF(ISNUMBER(SEARCH(Classifiers!$D$13,E304)),1,0))+IF(Classifiers!$E$13="",0,IF(ISNUMBER(SEARCH(Classifiers!$E$13,E304)),1,0))+IF(Classifiers!$F$13="",0,IF(ISNUMBER(SEARCH(Classifiers!$F$13,E304)),1,0))+IF(Classifiers!$G$13="",0,IF(ISNUMBER(SEARCH(Classifiers!$G$13,E304)),1,0)))&gt;0,1,0))</f>
        <v/>
      </c>
      <c r="S304" s="12">
        <f>IF(H304&lt;&gt;1,0,IF((IF(Classifiers!$B$14="",0,IF(ISNUMBER(SEARCH(Classifiers!$B$14,E304)),1,0))+IF(Classifiers!$C$14="",0,IF(ISNUMBER(SEARCH(Classifiers!$C$14,E304)),1,0))+IF(Classifiers!$D$14="",0,IF(ISNUMBER(SEARCH(Classifiers!$D$14,E304)),1,0))+IF(Classifiers!$E$14="",0,IF(ISNUMBER(SEARCH(Classifiers!$E$14,E304)),1,0))+IF(Classifiers!$F$14="",0,IF(ISNUMBER(SEARCH(Classifiers!$F$14,E304)),1,0))+IF(Classifiers!$G$14="",0,IF(ISNUMBER(SEARCH(Classifiers!$G$14,E304)),1,0)))&gt;0,1,0))</f>
        <v/>
      </c>
      <c r="T304" s="12">
        <f>IF(H304&lt;&gt;1,0,IF((IF(Classifiers!$B$15="",0,IF(ISNUMBER(SEARCH(Classifiers!$B$15,E304)),1,0))+IF(Classifiers!$C$15="",0,IF(ISNUMBER(SEARCH(Classifiers!$C$15,E304)),1,0))+IF(Classifiers!$D$15="",0,IF(ISNUMBER(SEARCH(Classifiers!$D$15,E304)),1,0))+IF(Classifiers!$E$15="",0,IF(ISNUMBER(SEARCH(Classifiers!$E$15,E304)),1,0))+IF(Classifiers!$F$15="",0,IF(ISNUMBER(SEARCH(Classifiers!$F$15,E304)),1,0))+IF(Classifiers!$G$15="",0,IF(ISNUMBER(SEARCH(Classifiers!$G$15,E304)),1,0)))&gt;0,1,0))</f>
        <v/>
      </c>
      <c r="U304" s="12">
        <f>IF(H304&lt;&gt;1,0,IF((IF(Classifiers!$B$16="",0,IF(ISNUMBER(SEARCH(Classifiers!$B$16,E304)),1,0))+IF(Classifiers!$C$16="",0,IF(ISNUMBER(SEARCH(Classifiers!$C$16,E304)),1,0))+IF(Classifiers!$D$16="",0,IF(ISNUMBER(SEARCH(Classifiers!$D$16,E304)),1,0))+IF(Classifiers!$E$16="",0,IF(ISNUMBER(SEARCH(Classifiers!$E$16,E304)),1,0))+IF(Classifiers!$F$16="",0,IF(ISNUMBER(SEARCH(Classifiers!$F$16,E304)),1,0))+IF(Classifiers!$G$16="",0,IF(ISNUMBER(SEARCH(Classifiers!$G$16,E304)),1,0)))&gt;0,1,0))</f>
        <v/>
      </c>
      <c r="V304" s="12">
        <f>IF(H304&lt;&gt;1,0,IF((IF(Classifiers!$B$17="",0,IF(ISNUMBER(SEARCH(Classifiers!$B$17,E304)),1,0))+IF(Classifiers!$C$17="",0,IF(ISNUMBER(SEARCH(Classifiers!$C$17,E304)),1,0))+IF(Classifiers!$D$17="",0,IF(ISNUMBER(SEARCH(Classifiers!$D$17,E304)),1,0))+IF(Classifiers!$E$17="",0,IF(ISNUMBER(SEARCH(Classifiers!$E$17,E304)),1,0))+IF(Classifiers!$F$17="",0,IF(ISNUMBER(SEARCH(Classifiers!$F$17,E304)),1,0))+IF(Classifiers!$G$17="",0,IF(ISNUMBER(SEARCH(Classifiers!$G$17,E304)),1,0)))&gt;0,1,0))</f>
        <v/>
      </c>
      <c r="W304" s="12">
        <f>IF(H304&lt;&gt;1,0,IF((IF(Classifiers!$B$18="",0,IF(ISNUMBER(SEARCH(Classifiers!$B$18,E304)),1,0))+IF(Classifiers!$C$18="",0,IF(ISNUMBER(SEARCH(Classifiers!$C$18,E304)),1,0))+IF(Classifiers!$D$18="",0,IF(ISNUMBER(SEARCH(Classifiers!$D$18,E304)),1,0))+IF(Classifiers!$E$18="",0,IF(ISNUMBER(SEARCH(Classifiers!$E$18,E304)),1,0))+IF(Classifiers!$F$18="",0,IF(ISNUMBER(SEARCH(Classifiers!$F$18,E304)),1,0))+IF(Classifiers!$G$18="",0,IF(ISNUMBER(SEARCH(Classifiers!$G$18,E304)),1,0)))&gt;0,1,0))</f>
        <v/>
      </c>
    </row>
    <row r="305">
      <c r="A305" s="8" t="n"/>
      <c r="B305" s="11" t="n"/>
      <c r="C305" s="6">
        <f>IF(A305="","",TRIM(RIGHT(SUBSTITUTE(A305,"/",REPT(" ",250)),250)))</f>
        <v/>
      </c>
      <c r="D305" s="6">
        <f>IF(C305="","",IF(ISNUMBER(SEARCH(".",C305)),LOWER("."&amp;TRIM(RIGHT(SUBSTITUTE(C305,".",REPT(" ",250)),250))),""))</f>
        <v/>
      </c>
      <c r="E305" s="6">
        <f>IF(C305="","",TRIM(SUBSTITUTE(SUBSTITUTE(SUBSTITUTE(SUBSTITUTE(SUBSTITUTE(SUBSTITUTE(SUBSTITUTE(SUBSTITUTE(SUBSTITUTE(SUBSTITUTE(SUBSTITUTE(SUBSTITUTE(SUBSTITUTE(SUBSTITUTE(SUBSTITUTE(SUBSTITUTE(SUBSTITUTE(SUBSTITUTE(SUBSTITUTE(SUBSTITUTE(LOWER(LEFT(C305,LEN(C305)-LEN(D305))),"_"," "),"-"," "),"."," "),","," "),"("," "),")"," "),"["," "),"]"," "),"&amp;"," "),"+"," "),"@"," "),"#"," "),"!"," "),"'"," "),"/"," "),":"," "),";"," "),"="," "),"~"," "),"%"," ")))</f>
        <v/>
      </c>
      <c r="F305" s="6">
        <f>IF(C305="","",IF(COUNTIF(Classifiers!$A$23:$A$40,D305)&gt;0,1,0))</f>
        <v/>
      </c>
      <c r="G305" s="6">
        <f>IF(C305="","",IF(COUNTIF(Classifiers!$C$23:$C$30,D305)&gt;0,IF((IF(ISNUMBER(SEARCH(Classifiers!$E$23,E305)),1,0)+IF(ISNUMBER(SEARCH(Classifiers!$E$24,E305)),1,0)+IF(ISNUMBER(SEARCH(Classifiers!$E$25,E305)),1,0)+IF(ISNUMBER(SEARCH(Classifiers!$E$26,E305)),1,0)+IF(ISNUMBER(SEARCH(Classifiers!$E$27,E305)),1,0)+IF(ISNUMBER(SEARCH(Classifiers!$E$28,E305)),1,0)+IF(ISNUMBER(SEARCH(Classifiers!$E$29,E305)),1,0)+IF(ISNUMBER(SEARCH(Classifiers!$E$30,E305)),1,0))&gt;0,1,0),0))</f>
        <v/>
      </c>
      <c r="H305" s="6">
        <f>IF(C305="","",IF(OR(LEFT(C305,1)=".",AND(F305=0,G305=0)),0,1))</f>
        <v/>
      </c>
      <c r="I305" s="6">
        <f>IF(H305&lt;&gt;1,"",IF(SUM(J305:W305)=0,"unclassified",INDEX(Classifiers!$A$5:$A$18,MATCH(1,J305:W305,0),1)))</f>
        <v/>
      </c>
      <c r="J305" s="12">
        <f>IF(H305&lt;&gt;1,0,IF((IF(Classifiers!$B$5="",0,IF(ISNUMBER(SEARCH(Classifiers!$B$5,E305)),1,0))+IF(Classifiers!$C$5="",0,IF(ISNUMBER(SEARCH(Classifiers!$C$5,E305)),1,0))+IF(Classifiers!$D$5="",0,IF(ISNUMBER(SEARCH(Classifiers!$D$5,E305)),1,0))+IF(Classifiers!$E$5="",0,IF(ISNUMBER(SEARCH(Classifiers!$E$5,E305)),1,0))+IF(Classifiers!$F$5="",0,IF(ISNUMBER(SEARCH(Classifiers!$F$5,E305)),1,0))+IF(Classifiers!$G$5="",0,IF(ISNUMBER(SEARCH(Classifiers!$G$5,E305)),1,0)))&gt;0,1,0))</f>
        <v/>
      </c>
      <c r="K305" s="12">
        <f>IF(H305&lt;&gt;1,0,IF((IF(Classifiers!$B$6="",0,IF(ISNUMBER(SEARCH(Classifiers!$B$6,E305)),1,0))+IF(Classifiers!$C$6="",0,IF(ISNUMBER(SEARCH(Classifiers!$C$6,E305)),1,0))+IF(Classifiers!$D$6="",0,IF(ISNUMBER(SEARCH(Classifiers!$D$6,E305)),1,0))+IF(Classifiers!$E$6="",0,IF(ISNUMBER(SEARCH(Classifiers!$E$6,E305)),1,0))+IF(Classifiers!$F$6="",0,IF(ISNUMBER(SEARCH(Classifiers!$F$6,E305)),1,0))+IF(Classifiers!$G$6="",0,IF(ISNUMBER(SEARCH(Classifiers!$G$6,E305)),1,0)))&gt;0,1,0))</f>
        <v/>
      </c>
      <c r="L305" s="12">
        <f>IF(H305&lt;&gt;1,0,IF((IF(Classifiers!$B$7="",0,IF(ISNUMBER(SEARCH(Classifiers!$B$7,E305)),1,0))+IF(Classifiers!$C$7="",0,IF(ISNUMBER(SEARCH(Classifiers!$C$7,E305)),1,0))+IF(Classifiers!$D$7="",0,IF(ISNUMBER(SEARCH(Classifiers!$D$7,E305)),1,0))+IF(Classifiers!$E$7="",0,IF(ISNUMBER(SEARCH(Classifiers!$E$7,E305)),1,0))+IF(Classifiers!$F$7="",0,IF(ISNUMBER(SEARCH(Classifiers!$F$7,E305)),1,0))+IF(Classifiers!$G$7="",0,IF(ISNUMBER(SEARCH(Classifiers!$G$7,E305)),1,0)))&gt;0,1,0))</f>
        <v/>
      </c>
      <c r="M305" s="12">
        <f>IF(H305&lt;&gt;1,0,IF((IF(Classifiers!$B$8="",0,IF(ISNUMBER(SEARCH(Classifiers!$B$8,E305)),1,0))+IF(Classifiers!$C$8="",0,IF(ISNUMBER(SEARCH(Classifiers!$C$8,E305)),1,0))+IF(Classifiers!$D$8="",0,IF(ISNUMBER(SEARCH(Classifiers!$D$8,E305)),1,0))+IF(Classifiers!$E$8="",0,IF(ISNUMBER(SEARCH(Classifiers!$E$8,E305)),1,0))+IF(Classifiers!$F$8="",0,IF(ISNUMBER(SEARCH(Classifiers!$F$8,E305)),1,0))+IF(Classifiers!$G$8="",0,IF(ISNUMBER(SEARCH(Classifiers!$G$8,E305)),1,0)))&gt;0,1,0))</f>
        <v/>
      </c>
      <c r="N305" s="12">
        <f>IF(H305&lt;&gt;1,0,IF((IF(Classifiers!$B$9="",0,IF(ISNUMBER(SEARCH(Classifiers!$B$9,E305)),1,0))+IF(Classifiers!$C$9="",0,IF(ISNUMBER(SEARCH(Classifiers!$C$9,E305)),1,0))+IF(Classifiers!$D$9="",0,IF(ISNUMBER(SEARCH(Classifiers!$D$9,E305)),1,0))+IF(Classifiers!$E$9="",0,IF(ISNUMBER(SEARCH(Classifiers!$E$9,E305)),1,0))+IF(Classifiers!$F$9="",0,IF(ISNUMBER(SEARCH(Classifiers!$F$9,E305)),1,0))+IF(Classifiers!$G$9="",0,IF(ISNUMBER(SEARCH(Classifiers!$G$9,E305)),1,0)))&gt;0,1,0))</f>
        <v/>
      </c>
      <c r="O305" s="12">
        <f>IF(H305&lt;&gt;1,0,IF((IF(Classifiers!$B$10="",0,IF(ISNUMBER(SEARCH(Classifiers!$B$10,E305)),1,0))+IF(Classifiers!$C$10="",0,IF(ISNUMBER(SEARCH(Classifiers!$C$10,E305)),1,0))+IF(Classifiers!$D$10="",0,IF(ISNUMBER(SEARCH(Classifiers!$D$10,E305)),1,0))+IF(Classifiers!$E$10="",0,IF(ISNUMBER(SEARCH(Classifiers!$E$10,E305)),1,0))+IF(Classifiers!$F$10="",0,IF(ISNUMBER(SEARCH(Classifiers!$F$10,E305)),1,0))+IF(Classifiers!$G$10="",0,IF(ISNUMBER(SEARCH(Classifiers!$G$10,E305)),1,0)))&gt;0,1,0))</f>
        <v/>
      </c>
      <c r="P305" s="12">
        <f>IF(H305&lt;&gt;1,0,IF((IF(Classifiers!$B$11="",0,IF(ISNUMBER(SEARCH(Classifiers!$B$11,E305)),1,0))+IF(Classifiers!$C$11="",0,IF(ISNUMBER(SEARCH(Classifiers!$C$11,E305)),1,0))+IF(Classifiers!$D$11="",0,IF(ISNUMBER(SEARCH(Classifiers!$D$11,E305)),1,0))+IF(Classifiers!$E$11="",0,IF(ISNUMBER(SEARCH(Classifiers!$E$11,E305)),1,0))+IF(Classifiers!$F$11="",0,IF(ISNUMBER(SEARCH(Classifiers!$F$11,E305)),1,0))+IF(Classifiers!$G$11="",0,IF(ISNUMBER(SEARCH(Classifiers!$G$11,E305)),1,0)))&gt;0,1,0))</f>
        <v/>
      </c>
      <c r="Q305" s="12">
        <f>IF(H305&lt;&gt;1,0,IF((IF(Classifiers!$B$12="",0,IF(ISNUMBER(SEARCH(Classifiers!$B$12,E305)),1,0))+IF(Classifiers!$C$12="",0,IF(ISNUMBER(SEARCH(Classifiers!$C$12,E305)),1,0))+IF(Classifiers!$D$12="",0,IF(ISNUMBER(SEARCH(Classifiers!$D$12,E305)),1,0))+IF(Classifiers!$E$12="",0,IF(ISNUMBER(SEARCH(Classifiers!$E$12,E305)),1,0))+IF(Classifiers!$F$12="",0,IF(ISNUMBER(SEARCH(Classifiers!$F$12,E305)),1,0))+IF(Classifiers!$G$12="",0,IF(ISNUMBER(SEARCH(Classifiers!$G$12,E305)),1,0)))&gt;0,1,0))</f>
        <v/>
      </c>
      <c r="R305" s="12">
        <f>IF(H305&lt;&gt;1,0,IF((IF(Classifiers!$B$13="",0,IF(ISNUMBER(SEARCH(Classifiers!$B$13,E305)),1,0))+IF(Classifiers!$C$13="",0,IF(ISNUMBER(SEARCH(Classifiers!$C$13,E305)),1,0))+IF(Classifiers!$D$13="",0,IF(ISNUMBER(SEARCH(Classifiers!$D$13,E305)),1,0))+IF(Classifiers!$E$13="",0,IF(ISNUMBER(SEARCH(Classifiers!$E$13,E305)),1,0))+IF(Classifiers!$F$13="",0,IF(ISNUMBER(SEARCH(Classifiers!$F$13,E305)),1,0))+IF(Classifiers!$G$13="",0,IF(ISNUMBER(SEARCH(Classifiers!$G$13,E305)),1,0)))&gt;0,1,0))</f>
        <v/>
      </c>
      <c r="S305" s="12">
        <f>IF(H305&lt;&gt;1,0,IF((IF(Classifiers!$B$14="",0,IF(ISNUMBER(SEARCH(Classifiers!$B$14,E305)),1,0))+IF(Classifiers!$C$14="",0,IF(ISNUMBER(SEARCH(Classifiers!$C$14,E305)),1,0))+IF(Classifiers!$D$14="",0,IF(ISNUMBER(SEARCH(Classifiers!$D$14,E305)),1,0))+IF(Classifiers!$E$14="",0,IF(ISNUMBER(SEARCH(Classifiers!$E$14,E305)),1,0))+IF(Classifiers!$F$14="",0,IF(ISNUMBER(SEARCH(Classifiers!$F$14,E305)),1,0))+IF(Classifiers!$G$14="",0,IF(ISNUMBER(SEARCH(Classifiers!$G$14,E305)),1,0)))&gt;0,1,0))</f>
        <v/>
      </c>
      <c r="T305" s="12">
        <f>IF(H305&lt;&gt;1,0,IF((IF(Classifiers!$B$15="",0,IF(ISNUMBER(SEARCH(Classifiers!$B$15,E305)),1,0))+IF(Classifiers!$C$15="",0,IF(ISNUMBER(SEARCH(Classifiers!$C$15,E305)),1,0))+IF(Classifiers!$D$15="",0,IF(ISNUMBER(SEARCH(Classifiers!$D$15,E305)),1,0))+IF(Classifiers!$E$15="",0,IF(ISNUMBER(SEARCH(Classifiers!$E$15,E305)),1,0))+IF(Classifiers!$F$15="",0,IF(ISNUMBER(SEARCH(Classifiers!$F$15,E305)),1,0))+IF(Classifiers!$G$15="",0,IF(ISNUMBER(SEARCH(Classifiers!$G$15,E305)),1,0)))&gt;0,1,0))</f>
        <v/>
      </c>
      <c r="U305" s="12">
        <f>IF(H305&lt;&gt;1,0,IF((IF(Classifiers!$B$16="",0,IF(ISNUMBER(SEARCH(Classifiers!$B$16,E305)),1,0))+IF(Classifiers!$C$16="",0,IF(ISNUMBER(SEARCH(Classifiers!$C$16,E305)),1,0))+IF(Classifiers!$D$16="",0,IF(ISNUMBER(SEARCH(Classifiers!$D$16,E305)),1,0))+IF(Classifiers!$E$16="",0,IF(ISNUMBER(SEARCH(Classifiers!$E$16,E305)),1,0))+IF(Classifiers!$F$16="",0,IF(ISNUMBER(SEARCH(Classifiers!$F$16,E305)),1,0))+IF(Classifiers!$G$16="",0,IF(ISNUMBER(SEARCH(Classifiers!$G$16,E305)),1,0)))&gt;0,1,0))</f>
        <v/>
      </c>
      <c r="V305" s="12">
        <f>IF(H305&lt;&gt;1,0,IF((IF(Classifiers!$B$17="",0,IF(ISNUMBER(SEARCH(Classifiers!$B$17,E305)),1,0))+IF(Classifiers!$C$17="",0,IF(ISNUMBER(SEARCH(Classifiers!$C$17,E305)),1,0))+IF(Classifiers!$D$17="",0,IF(ISNUMBER(SEARCH(Classifiers!$D$17,E305)),1,0))+IF(Classifiers!$E$17="",0,IF(ISNUMBER(SEARCH(Classifiers!$E$17,E305)),1,0))+IF(Classifiers!$F$17="",0,IF(ISNUMBER(SEARCH(Classifiers!$F$17,E305)),1,0))+IF(Classifiers!$G$17="",0,IF(ISNUMBER(SEARCH(Classifiers!$G$17,E305)),1,0)))&gt;0,1,0))</f>
        <v/>
      </c>
      <c r="W305" s="12">
        <f>IF(H305&lt;&gt;1,0,IF((IF(Classifiers!$B$18="",0,IF(ISNUMBER(SEARCH(Classifiers!$B$18,E305)),1,0))+IF(Classifiers!$C$18="",0,IF(ISNUMBER(SEARCH(Classifiers!$C$18,E305)),1,0))+IF(Classifiers!$D$18="",0,IF(ISNUMBER(SEARCH(Classifiers!$D$18,E305)),1,0))+IF(Classifiers!$E$18="",0,IF(ISNUMBER(SEARCH(Classifiers!$E$18,E305)),1,0))+IF(Classifiers!$F$18="",0,IF(ISNUMBER(SEARCH(Classifiers!$F$18,E305)),1,0))+IF(Classifiers!$G$18="",0,IF(ISNUMBER(SEARCH(Classifiers!$G$18,E305)),1,0)))&gt;0,1,0))</f>
        <v/>
      </c>
    </row>
    <row r="306">
      <c r="A306" s="8" t="n"/>
      <c r="B306" s="11" t="n"/>
      <c r="C306" s="6">
        <f>IF(A306="","",TRIM(RIGHT(SUBSTITUTE(A306,"/",REPT(" ",250)),250)))</f>
        <v/>
      </c>
      <c r="D306" s="6">
        <f>IF(C306="","",IF(ISNUMBER(SEARCH(".",C306)),LOWER("."&amp;TRIM(RIGHT(SUBSTITUTE(C306,".",REPT(" ",250)),250))),""))</f>
        <v/>
      </c>
      <c r="E306" s="6">
        <f>IF(C306="","",TRIM(SUBSTITUTE(SUBSTITUTE(SUBSTITUTE(SUBSTITUTE(SUBSTITUTE(SUBSTITUTE(SUBSTITUTE(SUBSTITUTE(SUBSTITUTE(SUBSTITUTE(SUBSTITUTE(SUBSTITUTE(SUBSTITUTE(SUBSTITUTE(SUBSTITUTE(SUBSTITUTE(SUBSTITUTE(SUBSTITUTE(SUBSTITUTE(SUBSTITUTE(LOWER(LEFT(C306,LEN(C306)-LEN(D306))),"_"," "),"-"," "),"."," "),","," "),"("," "),")"," "),"["," "),"]"," "),"&amp;"," "),"+"," "),"@"," "),"#"," "),"!"," "),"'"," "),"/"," "),":"," "),";"," "),"="," "),"~"," "),"%"," ")))</f>
        <v/>
      </c>
      <c r="F306" s="6">
        <f>IF(C306="","",IF(COUNTIF(Classifiers!$A$23:$A$40,D306)&gt;0,1,0))</f>
        <v/>
      </c>
      <c r="G306" s="6">
        <f>IF(C306="","",IF(COUNTIF(Classifiers!$C$23:$C$30,D306)&gt;0,IF((IF(ISNUMBER(SEARCH(Classifiers!$E$23,E306)),1,0)+IF(ISNUMBER(SEARCH(Classifiers!$E$24,E306)),1,0)+IF(ISNUMBER(SEARCH(Classifiers!$E$25,E306)),1,0)+IF(ISNUMBER(SEARCH(Classifiers!$E$26,E306)),1,0)+IF(ISNUMBER(SEARCH(Classifiers!$E$27,E306)),1,0)+IF(ISNUMBER(SEARCH(Classifiers!$E$28,E306)),1,0)+IF(ISNUMBER(SEARCH(Classifiers!$E$29,E306)),1,0)+IF(ISNUMBER(SEARCH(Classifiers!$E$30,E306)),1,0))&gt;0,1,0),0))</f>
        <v/>
      </c>
      <c r="H306" s="6">
        <f>IF(C306="","",IF(OR(LEFT(C306,1)=".",AND(F306=0,G306=0)),0,1))</f>
        <v/>
      </c>
      <c r="I306" s="6">
        <f>IF(H306&lt;&gt;1,"",IF(SUM(J306:W306)=0,"unclassified",INDEX(Classifiers!$A$5:$A$18,MATCH(1,J306:W306,0),1)))</f>
        <v/>
      </c>
      <c r="J306" s="12">
        <f>IF(H306&lt;&gt;1,0,IF((IF(Classifiers!$B$5="",0,IF(ISNUMBER(SEARCH(Classifiers!$B$5,E306)),1,0))+IF(Classifiers!$C$5="",0,IF(ISNUMBER(SEARCH(Classifiers!$C$5,E306)),1,0))+IF(Classifiers!$D$5="",0,IF(ISNUMBER(SEARCH(Classifiers!$D$5,E306)),1,0))+IF(Classifiers!$E$5="",0,IF(ISNUMBER(SEARCH(Classifiers!$E$5,E306)),1,0))+IF(Classifiers!$F$5="",0,IF(ISNUMBER(SEARCH(Classifiers!$F$5,E306)),1,0))+IF(Classifiers!$G$5="",0,IF(ISNUMBER(SEARCH(Classifiers!$G$5,E306)),1,0)))&gt;0,1,0))</f>
        <v/>
      </c>
      <c r="K306" s="12">
        <f>IF(H306&lt;&gt;1,0,IF((IF(Classifiers!$B$6="",0,IF(ISNUMBER(SEARCH(Classifiers!$B$6,E306)),1,0))+IF(Classifiers!$C$6="",0,IF(ISNUMBER(SEARCH(Classifiers!$C$6,E306)),1,0))+IF(Classifiers!$D$6="",0,IF(ISNUMBER(SEARCH(Classifiers!$D$6,E306)),1,0))+IF(Classifiers!$E$6="",0,IF(ISNUMBER(SEARCH(Classifiers!$E$6,E306)),1,0))+IF(Classifiers!$F$6="",0,IF(ISNUMBER(SEARCH(Classifiers!$F$6,E306)),1,0))+IF(Classifiers!$G$6="",0,IF(ISNUMBER(SEARCH(Classifiers!$G$6,E306)),1,0)))&gt;0,1,0))</f>
        <v/>
      </c>
      <c r="L306" s="12">
        <f>IF(H306&lt;&gt;1,0,IF((IF(Classifiers!$B$7="",0,IF(ISNUMBER(SEARCH(Classifiers!$B$7,E306)),1,0))+IF(Classifiers!$C$7="",0,IF(ISNUMBER(SEARCH(Classifiers!$C$7,E306)),1,0))+IF(Classifiers!$D$7="",0,IF(ISNUMBER(SEARCH(Classifiers!$D$7,E306)),1,0))+IF(Classifiers!$E$7="",0,IF(ISNUMBER(SEARCH(Classifiers!$E$7,E306)),1,0))+IF(Classifiers!$F$7="",0,IF(ISNUMBER(SEARCH(Classifiers!$F$7,E306)),1,0))+IF(Classifiers!$G$7="",0,IF(ISNUMBER(SEARCH(Classifiers!$G$7,E306)),1,0)))&gt;0,1,0))</f>
        <v/>
      </c>
      <c r="M306" s="12">
        <f>IF(H306&lt;&gt;1,0,IF((IF(Classifiers!$B$8="",0,IF(ISNUMBER(SEARCH(Classifiers!$B$8,E306)),1,0))+IF(Classifiers!$C$8="",0,IF(ISNUMBER(SEARCH(Classifiers!$C$8,E306)),1,0))+IF(Classifiers!$D$8="",0,IF(ISNUMBER(SEARCH(Classifiers!$D$8,E306)),1,0))+IF(Classifiers!$E$8="",0,IF(ISNUMBER(SEARCH(Classifiers!$E$8,E306)),1,0))+IF(Classifiers!$F$8="",0,IF(ISNUMBER(SEARCH(Classifiers!$F$8,E306)),1,0))+IF(Classifiers!$G$8="",0,IF(ISNUMBER(SEARCH(Classifiers!$G$8,E306)),1,0)))&gt;0,1,0))</f>
        <v/>
      </c>
      <c r="N306" s="12">
        <f>IF(H306&lt;&gt;1,0,IF((IF(Classifiers!$B$9="",0,IF(ISNUMBER(SEARCH(Classifiers!$B$9,E306)),1,0))+IF(Classifiers!$C$9="",0,IF(ISNUMBER(SEARCH(Classifiers!$C$9,E306)),1,0))+IF(Classifiers!$D$9="",0,IF(ISNUMBER(SEARCH(Classifiers!$D$9,E306)),1,0))+IF(Classifiers!$E$9="",0,IF(ISNUMBER(SEARCH(Classifiers!$E$9,E306)),1,0))+IF(Classifiers!$F$9="",0,IF(ISNUMBER(SEARCH(Classifiers!$F$9,E306)),1,0))+IF(Classifiers!$G$9="",0,IF(ISNUMBER(SEARCH(Classifiers!$G$9,E306)),1,0)))&gt;0,1,0))</f>
        <v/>
      </c>
      <c r="O306" s="12">
        <f>IF(H306&lt;&gt;1,0,IF((IF(Classifiers!$B$10="",0,IF(ISNUMBER(SEARCH(Classifiers!$B$10,E306)),1,0))+IF(Classifiers!$C$10="",0,IF(ISNUMBER(SEARCH(Classifiers!$C$10,E306)),1,0))+IF(Classifiers!$D$10="",0,IF(ISNUMBER(SEARCH(Classifiers!$D$10,E306)),1,0))+IF(Classifiers!$E$10="",0,IF(ISNUMBER(SEARCH(Classifiers!$E$10,E306)),1,0))+IF(Classifiers!$F$10="",0,IF(ISNUMBER(SEARCH(Classifiers!$F$10,E306)),1,0))+IF(Classifiers!$G$10="",0,IF(ISNUMBER(SEARCH(Classifiers!$G$10,E306)),1,0)))&gt;0,1,0))</f>
        <v/>
      </c>
      <c r="P306" s="12">
        <f>IF(H306&lt;&gt;1,0,IF((IF(Classifiers!$B$11="",0,IF(ISNUMBER(SEARCH(Classifiers!$B$11,E306)),1,0))+IF(Classifiers!$C$11="",0,IF(ISNUMBER(SEARCH(Classifiers!$C$11,E306)),1,0))+IF(Classifiers!$D$11="",0,IF(ISNUMBER(SEARCH(Classifiers!$D$11,E306)),1,0))+IF(Classifiers!$E$11="",0,IF(ISNUMBER(SEARCH(Classifiers!$E$11,E306)),1,0))+IF(Classifiers!$F$11="",0,IF(ISNUMBER(SEARCH(Classifiers!$F$11,E306)),1,0))+IF(Classifiers!$G$11="",0,IF(ISNUMBER(SEARCH(Classifiers!$G$11,E306)),1,0)))&gt;0,1,0))</f>
        <v/>
      </c>
      <c r="Q306" s="12">
        <f>IF(H306&lt;&gt;1,0,IF((IF(Classifiers!$B$12="",0,IF(ISNUMBER(SEARCH(Classifiers!$B$12,E306)),1,0))+IF(Classifiers!$C$12="",0,IF(ISNUMBER(SEARCH(Classifiers!$C$12,E306)),1,0))+IF(Classifiers!$D$12="",0,IF(ISNUMBER(SEARCH(Classifiers!$D$12,E306)),1,0))+IF(Classifiers!$E$12="",0,IF(ISNUMBER(SEARCH(Classifiers!$E$12,E306)),1,0))+IF(Classifiers!$F$12="",0,IF(ISNUMBER(SEARCH(Classifiers!$F$12,E306)),1,0))+IF(Classifiers!$G$12="",0,IF(ISNUMBER(SEARCH(Classifiers!$G$12,E306)),1,0)))&gt;0,1,0))</f>
        <v/>
      </c>
      <c r="R306" s="12">
        <f>IF(H306&lt;&gt;1,0,IF((IF(Classifiers!$B$13="",0,IF(ISNUMBER(SEARCH(Classifiers!$B$13,E306)),1,0))+IF(Classifiers!$C$13="",0,IF(ISNUMBER(SEARCH(Classifiers!$C$13,E306)),1,0))+IF(Classifiers!$D$13="",0,IF(ISNUMBER(SEARCH(Classifiers!$D$13,E306)),1,0))+IF(Classifiers!$E$13="",0,IF(ISNUMBER(SEARCH(Classifiers!$E$13,E306)),1,0))+IF(Classifiers!$F$13="",0,IF(ISNUMBER(SEARCH(Classifiers!$F$13,E306)),1,0))+IF(Classifiers!$G$13="",0,IF(ISNUMBER(SEARCH(Classifiers!$G$13,E306)),1,0)))&gt;0,1,0))</f>
        <v/>
      </c>
      <c r="S306" s="12">
        <f>IF(H306&lt;&gt;1,0,IF((IF(Classifiers!$B$14="",0,IF(ISNUMBER(SEARCH(Classifiers!$B$14,E306)),1,0))+IF(Classifiers!$C$14="",0,IF(ISNUMBER(SEARCH(Classifiers!$C$14,E306)),1,0))+IF(Classifiers!$D$14="",0,IF(ISNUMBER(SEARCH(Classifiers!$D$14,E306)),1,0))+IF(Classifiers!$E$14="",0,IF(ISNUMBER(SEARCH(Classifiers!$E$14,E306)),1,0))+IF(Classifiers!$F$14="",0,IF(ISNUMBER(SEARCH(Classifiers!$F$14,E306)),1,0))+IF(Classifiers!$G$14="",0,IF(ISNUMBER(SEARCH(Classifiers!$G$14,E306)),1,0)))&gt;0,1,0))</f>
        <v/>
      </c>
      <c r="T306" s="12">
        <f>IF(H306&lt;&gt;1,0,IF((IF(Classifiers!$B$15="",0,IF(ISNUMBER(SEARCH(Classifiers!$B$15,E306)),1,0))+IF(Classifiers!$C$15="",0,IF(ISNUMBER(SEARCH(Classifiers!$C$15,E306)),1,0))+IF(Classifiers!$D$15="",0,IF(ISNUMBER(SEARCH(Classifiers!$D$15,E306)),1,0))+IF(Classifiers!$E$15="",0,IF(ISNUMBER(SEARCH(Classifiers!$E$15,E306)),1,0))+IF(Classifiers!$F$15="",0,IF(ISNUMBER(SEARCH(Classifiers!$F$15,E306)),1,0))+IF(Classifiers!$G$15="",0,IF(ISNUMBER(SEARCH(Classifiers!$G$15,E306)),1,0)))&gt;0,1,0))</f>
        <v/>
      </c>
      <c r="U306" s="12">
        <f>IF(H306&lt;&gt;1,0,IF((IF(Classifiers!$B$16="",0,IF(ISNUMBER(SEARCH(Classifiers!$B$16,E306)),1,0))+IF(Classifiers!$C$16="",0,IF(ISNUMBER(SEARCH(Classifiers!$C$16,E306)),1,0))+IF(Classifiers!$D$16="",0,IF(ISNUMBER(SEARCH(Classifiers!$D$16,E306)),1,0))+IF(Classifiers!$E$16="",0,IF(ISNUMBER(SEARCH(Classifiers!$E$16,E306)),1,0))+IF(Classifiers!$F$16="",0,IF(ISNUMBER(SEARCH(Classifiers!$F$16,E306)),1,0))+IF(Classifiers!$G$16="",0,IF(ISNUMBER(SEARCH(Classifiers!$G$16,E306)),1,0)))&gt;0,1,0))</f>
        <v/>
      </c>
      <c r="V306" s="12">
        <f>IF(H306&lt;&gt;1,0,IF((IF(Classifiers!$B$17="",0,IF(ISNUMBER(SEARCH(Classifiers!$B$17,E306)),1,0))+IF(Classifiers!$C$17="",0,IF(ISNUMBER(SEARCH(Classifiers!$C$17,E306)),1,0))+IF(Classifiers!$D$17="",0,IF(ISNUMBER(SEARCH(Classifiers!$D$17,E306)),1,0))+IF(Classifiers!$E$17="",0,IF(ISNUMBER(SEARCH(Classifiers!$E$17,E306)),1,0))+IF(Classifiers!$F$17="",0,IF(ISNUMBER(SEARCH(Classifiers!$F$17,E306)),1,0))+IF(Classifiers!$G$17="",0,IF(ISNUMBER(SEARCH(Classifiers!$G$17,E306)),1,0)))&gt;0,1,0))</f>
        <v/>
      </c>
      <c r="W306" s="12">
        <f>IF(H306&lt;&gt;1,0,IF((IF(Classifiers!$B$18="",0,IF(ISNUMBER(SEARCH(Classifiers!$B$18,E306)),1,0))+IF(Classifiers!$C$18="",0,IF(ISNUMBER(SEARCH(Classifiers!$C$18,E306)),1,0))+IF(Classifiers!$D$18="",0,IF(ISNUMBER(SEARCH(Classifiers!$D$18,E306)),1,0))+IF(Classifiers!$E$18="",0,IF(ISNUMBER(SEARCH(Classifiers!$E$18,E306)),1,0))+IF(Classifiers!$F$18="",0,IF(ISNUMBER(SEARCH(Classifiers!$F$18,E306)),1,0))+IF(Classifiers!$G$18="",0,IF(ISNUMBER(SEARCH(Classifiers!$G$18,E306)),1,0)))&gt;0,1,0))</f>
        <v/>
      </c>
    </row>
    <row r="307">
      <c r="A307" s="8" t="n"/>
      <c r="B307" s="11" t="n"/>
      <c r="C307" s="6">
        <f>IF(A307="","",TRIM(RIGHT(SUBSTITUTE(A307,"/",REPT(" ",250)),250)))</f>
        <v/>
      </c>
      <c r="D307" s="6">
        <f>IF(C307="","",IF(ISNUMBER(SEARCH(".",C307)),LOWER("."&amp;TRIM(RIGHT(SUBSTITUTE(C307,".",REPT(" ",250)),250))),""))</f>
        <v/>
      </c>
      <c r="E307" s="6">
        <f>IF(C307="","",TRIM(SUBSTITUTE(SUBSTITUTE(SUBSTITUTE(SUBSTITUTE(SUBSTITUTE(SUBSTITUTE(SUBSTITUTE(SUBSTITUTE(SUBSTITUTE(SUBSTITUTE(SUBSTITUTE(SUBSTITUTE(SUBSTITUTE(SUBSTITUTE(SUBSTITUTE(SUBSTITUTE(SUBSTITUTE(SUBSTITUTE(SUBSTITUTE(SUBSTITUTE(LOWER(LEFT(C307,LEN(C307)-LEN(D307))),"_"," "),"-"," "),"."," "),","," "),"("," "),")"," "),"["," "),"]"," "),"&amp;"," "),"+"," "),"@"," "),"#"," "),"!"," "),"'"," "),"/"," "),":"," "),";"," "),"="," "),"~"," "),"%"," ")))</f>
        <v/>
      </c>
      <c r="F307" s="6">
        <f>IF(C307="","",IF(COUNTIF(Classifiers!$A$23:$A$40,D307)&gt;0,1,0))</f>
        <v/>
      </c>
      <c r="G307" s="6">
        <f>IF(C307="","",IF(COUNTIF(Classifiers!$C$23:$C$30,D307)&gt;0,IF((IF(ISNUMBER(SEARCH(Classifiers!$E$23,E307)),1,0)+IF(ISNUMBER(SEARCH(Classifiers!$E$24,E307)),1,0)+IF(ISNUMBER(SEARCH(Classifiers!$E$25,E307)),1,0)+IF(ISNUMBER(SEARCH(Classifiers!$E$26,E307)),1,0)+IF(ISNUMBER(SEARCH(Classifiers!$E$27,E307)),1,0)+IF(ISNUMBER(SEARCH(Classifiers!$E$28,E307)),1,0)+IF(ISNUMBER(SEARCH(Classifiers!$E$29,E307)),1,0)+IF(ISNUMBER(SEARCH(Classifiers!$E$30,E307)),1,0))&gt;0,1,0),0))</f>
        <v/>
      </c>
      <c r="H307" s="6">
        <f>IF(C307="","",IF(OR(LEFT(C307,1)=".",AND(F307=0,G307=0)),0,1))</f>
        <v/>
      </c>
      <c r="I307" s="6">
        <f>IF(H307&lt;&gt;1,"",IF(SUM(J307:W307)=0,"unclassified",INDEX(Classifiers!$A$5:$A$18,MATCH(1,J307:W307,0),1)))</f>
        <v/>
      </c>
      <c r="J307" s="12">
        <f>IF(H307&lt;&gt;1,0,IF((IF(Classifiers!$B$5="",0,IF(ISNUMBER(SEARCH(Classifiers!$B$5,E307)),1,0))+IF(Classifiers!$C$5="",0,IF(ISNUMBER(SEARCH(Classifiers!$C$5,E307)),1,0))+IF(Classifiers!$D$5="",0,IF(ISNUMBER(SEARCH(Classifiers!$D$5,E307)),1,0))+IF(Classifiers!$E$5="",0,IF(ISNUMBER(SEARCH(Classifiers!$E$5,E307)),1,0))+IF(Classifiers!$F$5="",0,IF(ISNUMBER(SEARCH(Classifiers!$F$5,E307)),1,0))+IF(Classifiers!$G$5="",0,IF(ISNUMBER(SEARCH(Classifiers!$G$5,E307)),1,0)))&gt;0,1,0))</f>
        <v/>
      </c>
      <c r="K307" s="12">
        <f>IF(H307&lt;&gt;1,0,IF((IF(Classifiers!$B$6="",0,IF(ISNUMBER(SEARCH(Classifiers!$B$6,E307)),1,0))+IF(Classifiers!$C$6="",0,IF(ISNUMBER(SEARCH(Classifiers!$C$6,E307)),1,0))+IF(Classifiers!$D$6="",0,IF(ISNUMBER(SEARCH(Classifiers!$D$6,E307)),1,0))+IF(Classifiers!$E$6="",0,IF(ISNUMBER(SEARCH(Classifiers!$E$6,E307)),1,0))+IF(Classifiers!$F$6="",0,IF(ISNUMBER(SEARCH(Classifiers!$F$6,E307)),1,0))+IF(Classifiers!$G$6="",0,IF(ISNUMBER(SEARCH(Classifiers!$G$6,E307)),1,0)))&gt;0,1,0))</f>
        <v/>
      </c>
      <c r="L307" s="12">
        <f>IF(H307&lt;&gt;1,0,IF((IF(Classifiers!$B$7="",0,IF(ISNUMBER(SEARCH(Classifiers!$B$7,E307)),1,0))+IF(Classifiers!$C$7="",0,IF(ISNUMBER(SEARCH(Classifiers!$C$7,E307)),1,0))+IF(Classifiers!$D$7="",0,IF(ISNUMBER(SEARCH(Classifiers!$D$7,E307)),1,0))+IF(Classifiers!$E$7="",0,IF(ISNUMBER(SEARCH(Classifiers!$E$7,E307)),1,0))+IF(Classifiers!$F$7="",0,IF(ISNUMBER(SEARCH(Classifiers!$F$7,E307)),1,0))+IF(Classifiers!$G$7="",0,IF(ISNUMBER(SEARCH(Classifiers!$G$7,E307)),1,0)))&gt;0,1,0))</f>
        <v/>
      </c>
      <c r="M307" s="12">
        <f>IF(H307&lt;&gt;1,0,IF((IF(Classifiers!$B$8="",0,IF(ISNUMBER(SEARCH(Classifiers!$B$8,E307)),1,0))+IF(Classifiers!$C$8="",0,IF(ISNUMBER(SEARCH(Classifiers!$C$8,E307)),1,0))+IF(Classifiers!$D$8="",0,IF(ISNUMBER(SEARCH(Classifiers!$D$8,E307)),1,0))+IF(Classifiers!$E$8="",0,IF(ISNUMBER(SEARCH(Classifiers!$E$8,E307)),1,0))+IF(Classifiers!$F$8="",0,IF(ISNUMBER(SEARCH(Classifiers!$F$8,E307)),1,0))+IF(Classifiers!$G$8="",0,IF(ISNUMBER(SEARCH(Classifiers!$G$8,E307)),1,0)))&gt;0,1,0))</f>
        <v/>
      </c>
      <c r="N307" s="12">
        <f>IF(H307&lt;&gt;1,0,IF((IF(Classifiers!$B$9="",0,IF(ISNUMBER(SEARCH(Classifiers!$B$9,E307)),1,0))+IF(Classifiers!$C$9="",0,IF(ISNUMBER(SEARCH(Classifiers!$C$9,E307)),1,0))+IF(Classifiers!$D$9="",0,IF(ISNUMBER(SEARCH(Classifiers!$D$9,E307)),1,0))+IF(Classifiers!$E$9="",0,IF(ISNUMBER(SEARCH(Classifiers!$E$9,E307)),1,0))+IF(Classifiers!$F$9="",0,IF(ISNUMBER(SEARCH(Classifiers!$F$9,E307)),1,0))+IF(Classifiers!$G$9="",0,IF(ISNUMBER(SEARCH(Classifiers!$G$9,E307)),1,0)))&gt;0,1,0))</f>
        <v/>
      </c>
      <c r="O307" s="12">
        <f>IF(H307&lt;&gt;1,0,IF((IF(Classifiers!$B$10="",0,IF(ISNUMBER(SEARCH(Classifiers!$B$10,E307)),1,0))+IF(Classifiers!$C$10="",0,IF(ISNUMBER(SEARCH(Classifiers!$C$10,E307)),1,0))+IF(Classifiers!$D$10="",0,IF(ISNUMBER(SEARCH(Classifiers!$D$10,E307)),1,0))+IF(Classifiers!$E$10="",0,IF(ISNUMBER(SEARCH(Classifiers!$E$10,E307)),1,0))+IF(Classifiers!$F$10="",0,IF(ISNUMBER(SEARCH(Classifiers!$F$10,E307)),1,0))+IF(Classifiers!$G$10="",0,IF(ISNUMBER(SEARCH(Classifiers!$G$10,E307)),1,0)))&gt;0,1,0))</f>
        <v/>
      </c>
      <c r="P307" s="12">
        <f>IF(H307&lt;&gt;1,0,IF((IF(Classifiers!$B$11="",0,IF(ISNUMBER(SEARCH(Classifiers!$B$11,E307)),1,0))+IF(Classifiers!$C$11="",0,IF(ISNUMBER(SEARCH(Classifiers!$C$11,E307)),1,0))+IF(Classifiers!$D$11="",0,IF(ISNUMBER(SEARCH(Classifiers!$D$11,E307)),1,0))+IF(Classifiers!$E$11="",0,IF(ISNUMBER(SEARCH(Classifiers!$E$11,E307)),1,0))+IF(Classifiers!$F$11="",0,IF(ISNUMBER(SEARCH(Classifiers!$F$11,E307)),1,0))+IF(Classifiers!$G$11="",0,IF(ISNUMBER(SEARCH(Classifiers!$G$11,E307)),1,0)))&gt;0,1,0))</f>
        <v/>
      </c>
      <c r="Q307" s="12">
        <f>IF(H307&lt;&gt;1,0,IF((IF(Classifiers!$B$12="",0,IF(ISNUMBER(SEARCH(Classifiers!$B$12,E307)),1,0))+IF(Classifiers!$C$12="",0,IF(ISNUMBER(SEARCH(Classifiers!$C$12,E307)),1,0))+IF(Classifiers!$D$12="",0,IF(ISNUMBER(SEARCH(Classifiers!$D$12,E307)),1,0))+IF(Classifiers!$E$12="",0,IF(ISNUMBER(SEARCH(Classifiers!$E$12,E307)),1,0))+IF(Classifiers!$F$12="",0,IF(ISNUMBER(SEARCH(Classifiers!$F$12,E307)),1,0))+IF(Classifiers!$G$12="",0,IF(ISNUMBER(SEARCH(Classifiers!$G$12,E307)),1,0)))&gt;0,1,0))</f>
        <v/>
      </c>
      <c r="R307" s="12">
        <f>IF(H307&lt;&gt;1,0,IF((IF(Classifiers!$B$13="",0,IF(ISNUMBER(SEARCH(Classifiers!$B$13,E307)),1,0))+IF(Classifiers!$C$13="",0,IF(ISNUMBER(SEARCH(Classifiers!$C$13,E307)),1,0))+IF(Classifiers!$D$13="",0,IF(ISNUMBER(SEARCH(Classifiers!$D$13,E307)),1,0))+IF(Classifiers!$E$13="",0,IF(ISNUMBER(SEARCH(Classifiers!$E$13,E307)),1,0))+IF(Classifiers!$F$13="",0,IF(ISNUMBER(SEARCH(Classifiers!$F$13,E307)),1,0))+IF(Classifiers!$G$13="",0,IF(ISNUMBER(SEARCH(Classifiers!$G$13,E307)),1,0)))&gt;0,1,0))</f>
        <v/>
      </c>
      <c r="S307" s="12">
        <f>IF(H307&lt;&gt;1,0,IF((IF(Classifiers!$B$14="",0,IF(ISNUMBER(SEARCH(Classifiers!$B$14,E307)),1,0))+IF(Classifiers!$C$14="",0,IF(ISNUMBER(SEARCH(Classifiers!$C$14,E307)),1,0))+IF(Classifiers!$D$14="",0,IF(ISNUMBER(SEARCH(Classifiers!$D$14,E307)),1,0))+IF(Classifiers!$E$14="",0,IF(ISNUMBER(SEARCH(Classifiers!$E$14,E307)),1,0))+IF(Classifiers!$F$14="",0,IF(ISNUMBER(SEARCH(Classifiers!$F$14,E307)),1,0))+IF(Classifiers!$G$14="",0,IF(ISNUMBER(SEARCH(Classifiers!$G$14,E307)),1,0)))&gt;0,1,0))</f>
        <v/>
      </c>
      <c r="T307" s="12">
        <f>IF(H307&lt;&gt;1,0,IF((IF(Classifiers!$B$15="",0,IF(ISNUMBER(SEARCH(Classifiers!$B$15,E307)),1,0))+IF(Classifiers!$C$15="",0,IF(ISNUMBER(SEARCH(Classifiers!$C$15,E307)),1,0))+IF(Classifiers!$D$15="",0,IF(ISNUMBER(SEARCH(Classifiers!$D$15,E307)),1,0))+IF(Classifiers!$E$15="",0,IF(ISNUMBER(SEARCH(Classifiers!$E$15,E307)),1,0))+IF(Classifiers!$F$15="",0,IF(ISNUMBER(SEARCH(Classifiers!$F$15,E307)),1,0))+IF(Classifiers!$G$15="",0,IF(ISNUMBER(SEARCH(Classifiers!$G$15,E307)),1,0)))&gt;0,1,0))</f>
        <v/>
      </c>
      <c r="U307" s="12">
        <f>IF(H307&lt;&gt;1,0,IF((IF(Classifiers!$B$16="",0,IF(ISNUMBER(SEARCH(Classifiers!$B$16,E307)),1,0))+IF(Classifiers!$C$16="",0,IF(ISNUMBER(SEARCH(Classifiers!$C$16,E307)),1,0))+IF(Classifiers!$D$16="",0,IF(ISNUMBER(SEARCH(Classifiers!$D$16,E307)),1,0))+IF(Classifiers!$E$16="",0,IF(ISNUMBER(SEARCH(Classifiers!$E$16,E307)),1,0))+IF(Classifiers!$F$16="",0,IF(ISNUMBER(SEARCH(Classifiers!$F$16,E307)),1,0))+IF(Classifiers!$G$16="",0,IF(ISNUMBER(SEARCH(Classifiers!$G$16,E307)),1,0)))&gt;0,1,0))</f>
        <v/>
      </c>
      <c r="V307" s="12">
        <f>IF(H307&lt;&gt;1,0,IF((IF(Classifiers!$B$17="",0,IF(ISNUMBER(SEARCH(Classifiers!$B$17,E307)),1,0))+IF(Classifiers!$C$17="",0,IF(ISNUMBER(SEARCH(Classifiers!$C$17,E307)),1,0))+IF(Classifiers!$D$17="",0,IF(ISNUMBER(SEARCH(Classifiers!$D$17,E307)),1,0))+IF(Classifiers!$E$17="",0,IF(ISNUMBER(SEARCH(Classifiers!$E$17,E307)),1,0))+IF(Classifiers!$F$17="",0,IF(ISNUMBER(SEARCH(Classifiers!$F$17,E307)),1,0))+IF(Classifiers!$G$17="",0,IF(ISNUMBER(SEARCH(Classifiers!$G$17,E307)),1,0)))&gt;0,1,0))</f>
        <v/>
      </c>
      <c r="W307" s="12">
        <f>IF(H307&lt;&gt;1,0,IF((IF(Classifiers!$B$18="",0,IF(ISNUMBER(SEARCH(Classifiers!$B$18,E307)),1,0))+IF(Classifiers!$C$18="",0,IF(ISNUMBER(SEARCH(Classifiers!$C$18,E307)),1,0))+IF(Classifiers!$D$18="",0,IF(ISNUMBER(SEARCH(Classifiers!$D$18,E307)),1,0))+IF(Classifiers!$E$18="",0,IF(ISNUMBER(SEARCH(Classifiers!$E$18,E307)),1,0))+IF(Classifiers!$F$18="",0,IF(ISNUMBER(SEARCH(Classifiers!$F$18,E307)),1,0))+IF(Classifiers!$G$18="",0,IF(ISNUMBER(SEARCH(Classifiers!$G$18,E307)),1,0)))&gt;0,1,0))</f>
        <v/>
      </c>
    </row>
    <row r="308">
      <c r="A308" s="8" t="n"/>
      <c r="B308" s="11" t="n"/>
      <c r="C308" s="6">
        <f>IF(A308="","",TRIM(RIGHT(SUBSTITUTE(A308,"/",REPT(" ",250)),250)))</f>
        <v/>
      </c>
      <c r="D308" s="6">
        <f>IF(C308="","",IF(ISNUMBER(SEARCH(".",C308)),LOWER("."&amp;TRIM(RIGHT(SUBSTITUTE(C308,".",REPT(" ",250)),250))),""))</f>
        <v/>
      </c>
      <c r="E308" s="6">
        <f>IF(C308="","",TRIM(SUBSTITUTE(SUBSTITUTE(SUBSTITUTE(SUBSTITUTE(SUBSTITUTE(SUBSTITUTE(SUBSTITUTE(SUBSTITUTE(SUBSTITUTE(SUBSTITUTE(SUBSTITUTE(SUBSTITUTE(SUBSTITUTE(SUBSTITUTE(SUBSTITUTE(SUBSTITUTE(SUBSTITUTE(SUBSTITUTE(SUBSTITUTE(SUBSTITUTE(LOWER(LEFT(C308,LEN(C308)-LEN(D308))),"_"," "),"-"," "),"."," "),","," "),"("," "),")"," "),"["," "),"]"," "),"&amp;"," "),"+"," "),"@"," "),"#"," "),"!"," "),"'"," "),"/"," "),":"," "),";"," "),"="," "),"~"," "),"%"," ")))</f>
        <v/>
      </c>
      <c r="F308" s="6">
        <f>IF(C308="","",IF(COUNTIF(Classifiers!$A$23:$A$40,D308)&gt;0,1,0))</f>
        <v/>
      </c>
      <c r="G308" s="6">
        <f>IF(C308="","",IF(COUNTIF(Classifiers!$C$23:$C$30,D308)&gt;0,IF((IF(ISNUMBER(SEARCH(Classifiers!$E$23,E308)),1,0)+IF(ISNUMBER(SEARCH(Classifiers!$E$24,E308)),1,0)+IF(ISNUMBER(SEARCH(Classifiers!$E$25,E308)),1,0)+IF(ISNUMBER(SEARCH(Classifiers!$E$26,E308)),1,0)+IF(ISNUMBER(SEARCH(Classifiers!$E$27,E308)),1,0)+IF(ISNUMBER(SEARCH(Classifiers!$E$28,E308)),1,0)+IF(ISNUMBER(SEARCH(Classifiers!$E$29,E308)),1,0)+IF(ISNUMBER(SEARCH(Classifiers!$E$30,E308)),1,0))&gt;0,1,0),0))</f>
        <v/>
      </c>
      <c r="H308" s="6">
        <f>IF(C308="","",IF(OR(LEFT(C308,1)=".",AND(F308=0,G308=0)),0,1))</f>
        <v/>
      </c>
      <c r="I308" s="6">
        <f>IF(H308&lt;&gt;1,"",IF(SUM(J308:W308)=0,"unclassified",INDEX(Classifiers!$A$5:$A$18,MATCH(1,J308:W308,0),1)))</f>
        <v/>
      </c>
      <c r="J308" s="12">
        <f>IF(H308&lt;&gt;1,0,IF((IF(Classifiers!$B$5="",0,IF(ISNUMBER(SEARCH(Classifiers!$B$5,E308)),1,0))+IF(Classifiers!$C$5="",0,IF(ISNUMBER(SEARCH(Classifiers!$C$5,E308)),1,0))+IF(Classifiers!$D$5="",0,IF(ISNUMBER(SEARCH(Classifiers!$D$5,E308)),1,0))+IF(Classifiers!$E$5="",0,IF(ISNUMBER(SEARCH(Classifiers!$E$5,E308)),1,0))+IF(Classifiers!$F$5="",0,IF(ISNUMBER(SEARCH(Classifiers!$F$5,E308)),1,0))+IF(Classifiers!$G$5="",0,IF(ISNUMBER(SEARCH(Classifiers!$G$5,E308)),1,0)))&gt;0,1,0))</f>
        <v/>
      </c>
      <c r="K308" s="12">
        <f>IF(H308&lt;&gt;1,0,IF((IF(Classifiers!$B$6="",0,IF(ISNUMBER(SEARCH(Classifiers!$B$6,E308)),1,0))+IF(Classifiers!$C$6="",0,IF(ISNUMBER(SEARCH(Classifiers!$C$6,E308)),1,0))+IF(Classifiers!$D$6="",0,IF(ISNUMBER(SEARCH(Classifiers!$D$6,E308)),1,0))+IF(Classifiers!$E$6="",0,IF(ISNUMBER(SEARCH(Classifiers!$E$6,E308)),1,0))+IF(Classifiers!$F$6="",0,IF(ISNUMBER(SEARCH(Classifiers!$F$6,E308)),1,0))+IF(Classifiers!$G$6="",0,IF(ISNUMBER(SEARCH(Classifiers!$G$6,E308)),1,0)))&gt;0,1,0))</f>
        <v/>
      </c>
      <c r="L308" s="12">
        <f>IF(H308&lt;&gt;1,0,IF((IF(Classifiers!$B$7="",0,IF(ISNUMBER(SEARCH(Classifiers!$B$7,E308)),1,0))+IF(Classifiers!$C$7="",0,IF(ISNUMBER(SEARCH(Classifiers!$C$7,E308)),1,0))+IF(Classifiers!$D$7="",0,IF(ISNUMBER(SEARCH(Classifiers!$D$7,E308)),1,0))+IF(Classifiers!$E$7="",0,IF(ISNUMBER(SEARCH(Classifiers!$E$7,E308)),1,0))+IF(Classifiers!$F$7="",0,IF(ISNUMBER(SEARCH(Classifiers!$F$7,E308)),1,0))+IF(Classifiers!$G$7="",0,IF(ISNUMBER(SEARCH(Classifiers!$G$7,E308)),1,0)))&gt;0,1,0))</f>
        <v/>
      </c>
      <c r="M308" s="12">
        <f>IF(H308&lt;&gt;1,0,IF((IF(Classifiers!$B$8="",0,IF(ISNUMBER(SEARCH(Classifiers!$B$8,E308)),1,0))+IF(Classifiers!$C$8="",0,IF(ISNUMBER(SEARCH(Classifiers!$C$8,E308)),1,0))+IF(Classifiers!$D$8="",0,IF(ISNUMBER(SEARCH(Classifiers!$D$8,E308)),1,0))+IF(Classifiers!$E$8="",0,IF(ISNUMBER(SEARCH(Classifiers!$E$8,E308)),1,0))+IF(Classifiers!$F$8="",0,IF(ISNUMBER(SEARCH(Classifiers!$F$8,E308)),1,0))+IF(Classifiers!$G$8="",0,IF(ISNUMBER(SEARCH(Classifiers!$G$8,E308)),1,0)))&gt;0,1,0))</f>
        <v/>
      </c>
      <c r="N308" s="12">
        <f>IF(H308&lt;&gt;1,0,IF((IF(Classifiers!$B$9="",0,IF(ISNUMBER(SEARCH(Classifiers!$B$9,E308)),1,0))+IF(Classifiers!$C$9="",0,IF(ISNUMBER(SEARCH(Classifiers!$C$9,E308)),1,0))+IF(Classifiers!$D$9="",0,IF(ISNUMBER(SEARCH(Classifiers!$D$9,E308)),1,0))+IF(Classifiers!$E$9="",0,IF(ISNUMBER(SEARCH(Classifiers!$E$9,E308)),1,0))+IF(Classifiers!$F$9="",0,IF(ISNUMBER(SEARCH(Classifiers!$F$9,E308)),1,0))+IF(Classifiers!$G$9="",0,IF(ISNUMBER(SEARCH(Classifiers!$G$9,E308)),1,0)))&gt;0,1,0))</f>
        <v/>
      </c>
      <c r="O308" s="12">
        <f>IF(H308&lt;&gt;1,0,IF((IF(Classifiers!$B$10="",0,IF(ISNUMBER(SEARCH(Classifiers!$B$10,E308)),1,0))+IF(Classifiers!$C$10="",0,IF(ISNUMBER(SEARCH(Classifiers!$C$10,E308)),1,0))+IF(Classifiers!$D$10="",0,IF(ISNUMBER(SEARCH(Classifiers!$D$10,E308)),1,0))+IF(Classifiers!$E$10="",0,IF(ISNUMBER(SEARCH(Classifiers!$E$10,E308)),1,0))+IF(Classifiers!$F$10="",0,IF(ISNUMBER(SEARCH(Classifiers!$F$10,E308)),1,0))+IF(Classifiers!$G$10="",0,IF(ISNUMBER(SEARCH(Classifiers!$G$10,E308)),1,0)))&gt;0,1,0))</f>
        <v/>
      </c>
      <c r="P308" s="12">
        <f>IF(H308&lt;&gt;1,0,IF((IF(Classifiers!$B$11="",0,IF(ISNUMBER(SEARCH(Classifiers!$B$11,E308)),1,0))+IF(Classifiers!$C$11="",0,IF(ISNUMBER(SEARCH(Classifiers!$C$11,E308)),1,0))+IF(Classifiers!$D$11="",0,IF(ISNUMBER(SEARCH(Classifiers!$D$11,E308)),1,0))+IF(Classifiers!$E$11="",0,IF(ISNUMBER(SEARCH(Classifiers!$E$11,E308)),1,0))+IF(Classifiers!$F$11="",0,IF(ISNUMBER(SEARCH(Classifiers!$F$11,E308)),1,0))+IF(Classifiers!$G$11="",0,IF(ISNUMBER(SEARCH(Classifiers!$G$11,E308)),1,0)))&gt;0,1,0))</f>
        <v/>
      </c>
      <c r="Q308" s="12">
        <f>IF(H308&lt;&gt;1,0,IF((IF(Classifiers!$B$12="",0,IF(ISNUMBER(SEARCH(Classifiers!$B$12,E308)),1,0))+IF(Classifiers!$C$12="",0,IF(ISNUMBER(SEARCH(Classifiers!$C$12,E308)),1,0))+IF(Classifiers!$D$12="",0,IF(ISNUMBER(SEARCH(Classifiers!$D$12,E308)),1,0))+IF(Classifiers!$E$12="",0,IF(ISNUMBER(SEARCH(Classifiers!$E$12,E308)),1,0))+IF(Classifiers!$F$12="",0,IF(ISNUMBER(SEARCH(Classifiers!$F$12,E308)),1,0))+IF(Classifiers!$G$12="",0,IF(ISNUMBER(SEARCH(Classifiers!$G$12,E308)),1,0)))&gt;0,1,0))</f>
        <v/>
      </c>
      <c r="R308" s="12">
        <f>IF(H308&lt;&gt;1,0,IF((IF(Classifiers!$B$13="",0,IF(ISNUMBER(SEARCH(Classifiers!$B$13,E308)),1,0))+IF(Classifiers!$C$13="",0,IF(ISNUMBER(SEARCH(Classifiers!$C$13,E308)),1,0))+IF(Classifiers!$D$13="",0,IF(ISNUMBER(SEARCH(Classifiers!$D$13,E308)),1,0))+IF(Classifiers!$E$13="",0,IF(ISNUMBER(SEARCH(Classifiers!$E$13,E308)),1,0))+IF(Classifiers!$F$13="",0,IF(ISNUMBER(SEARCH(Classifiers!$F$13,E308)),1,0))+IF(Classifiers!$G$13="",0,IF(ISNUMBER(SEARCH(Classifiers!$G$13,E308)),1,0)))&gt;0,1,0))</f>
        <v/>
      </c>
      <c r="S308" s="12">
        <f>IF(H308&lt;&gt;1,0,IF((IF(Classifiers!$B$14="",0,IF(ISNUMBER(SEARCH(Classifiers!$B$14,E308)),1,0))+IF(Classifiers!$C$14="",0,IF(ISNUMBER(SEARCH(Classifiers!$C$14,E308)),1,0))+IF(Classifiers!$D$14="",0,IF(ISNUMBER(SEARCH(Classifiers!$D$14,E308)),1,0))+IF(Classifiers!$E$14="",0,IF(ISNUMBER(SEARCH(Classifiers!$E$14,E308)),1,0))+IF(Classifiers!$F$14="",0,IF(ISNUMBER(SEARCH(Classifiers!$F$14,E308)),1,0))+IF(Classifiers!$G$14="",0,IF(ISNUMBER(SEARCH(Classifiers!$G$14,E308)),1,0)))&gt;0,1,0))</f>
        <v/>
      </c>
      <c r="T308" s="12">
        <f>IF(H308&lt;&gt;1,0,IF((IF(Classifiers!$B$15="",0,IF(ISNUMBER(SEARCH(Classifiers!$B$15,E308)),1,0))+IF(Classifiers!$C$15="",0,IF(ISNUMBER(SEARCH(Classifiers!$C$15,E308)),1,0))+IF(Classifiers!$D$15="",0,IF(ISNUMBER(SEARCH(Classifiers!$D$15,E308)),1,0))+IF(Classifiers!$E$15="",0,IF(ISNUMBER(SEARCH(Classifiers!$E$15,E308)),1,0))+IF(Classifiers!$F$15="",0,IF(ISNUMBER(SEARCH(Classifiers!$F$15,E308)),1,0))+IF(Classifiers!$G$15="",0,IF(ISNUMBER(SEARCH(Classifiers!$G$15,E308)),1,0)))&gt;0,1,0))</f>
        <v/>
      </c>
      <c r="U308" s="12">
        <f>IF(H308&lt;&gt;1,0,IF((IF(Classifiers!$B$16="",0,IF(ISNUMBER(SEARCH(Classifiers!$B$16,E308)),1,0))+IF(Classifiers!$C$16="",0,IF(ISNUMBER(SEARCH(Classifiers!$C$16,E308)),1,0))+IF(Classifiers!$D$16="",0,IF(ISNUMBER(SEARCH(Classifiers!$D$16,E308)),1,0))+IF(Classifiers!$E$16="",0,IF(ISNUMBER(SEARCH(Classifiers!$E$16,E308)),1,0))+IF(Classifiers!$F$16="",0,IF(ISNUMBER(SEARCH(Classifiers!$F$16,E308)),1,0))+IF(Classifiers!$G$16="",0,IF(ISNUMBER(SEARCH(Classifiers!$G$16,E308)),1,0)))&gt;0,1,0))</f>
        <v/>
      </c>
      <c r="V308" s="12">
        <f>IF(H308&lt;&gt;1,0,IF((IF(Classifiers!$B$17="",0,IF(ISNUMBER(SEARCH(Classifiers!$B$17,E308)),1,0))+IF(Classifiers!$C$17="",0,IF(ISNUMBER(SEARCH(Classifiers!$C$17,E308)),1,0))+IF(Classifiers!$D$17="",0,IF(ISNUMBER(SEARCH(Classifiers!$D$17,E308)),1,0))+IF(Classifiers!$E$17="",0,IF(ISNUMBER(SEARCH(Classifiers!$E$17,E308)),1,0))+IF(Classifiers!$F$17="",0,IF(ISNUMBER(SEARCH(Classifiers!$F$17,E308)),1,0))+IF(Classifiers!$G$17="",0,IF(ISNUMBER(SEARCH(Classifiers!$G$17,E308)),1,0)))&gt;0,1,0))</f>
        <v/>
      </c>
      <c r="W308" s="12">
        <f>IF(H308&lt;&gt;1,0,IF((IF(Classifiers!$B$18="",0,IF(ISNUMBER(SEARCH(Classifiers!$B$18,E308)),1,0))+IF(Classifiers!$C$18="",0,IF(ISNUMBER(SEARCH(Classifiers!$C$18,E308)),1,0))+IF(Classifiers!$D$18="",0,IF(ISNUMBER(SEARCH(Classifiers!$D$18,E308)),1,0))+IF(Classifiers!$E$18="",0,IF(ISNUMBER(SEARCH(Classifiers!$E$18,E308)),1,0))+IF(Classifiers!$F$18="",0,IF(ISNUMBER(SEARCH(Classifiers!$F$18,E308)),1,0))+IF(Classifiers!$G$18="",0,IF(ISNUMBER(SEARCH(Classifiers!$G$18,E308)),1,0)))&gt;0,1,0))</f>
        <v/>
      </c>
    </row>
    <row r="309">
      <c r="A309" s="8" t="n"/>
      <c r="B309" s="11" t="n"/>
      <c r="C309" s="6">
        <f>IF(A309="","",TRIM(RIGHT(SUBSTITUTE(A309,"/",REPT(" ",250)),250)))</f>
        <v/>
      </c>
      <c r="D309" s="6">
        <f>IF(C309="","",IF(ISNUMBER(SEARCH(".",C309)),LOWER("."&amp;TRIM(RIGHT(SUBSTITUTE(C309,".",REPT(" ",250)),250))),""))</f>
        <v/>
      </c>
      <c r="E309" s="6">
        <f>IF(C309="","",TRIM(SUBSTITUTE(SUBSTITUTE(SUBSTITUTE(SUBSTITUTE(SUBSTITUTE(SUBSTITUTE(SUBSTITUTE(SUBSTITUTE(SUBSTITUTE(SUBSTITUTE(SUBSTITUTE(SUBSTITUTE(SUBSTITUTE(SUBSTITUTE(SUBSTITUTE(SUBSTITUTE(SUBSTITUTE(SUBSTITUTE(SUBSTITUTE(SUBSTITUTE(LOWER(LEFT(C309,LEN(C309)-LEN(D309))),"_"," "),"-"," "),"."," "),","," "),"("," "),")"," "),"["," "),"]"," "),"&amp;"," "),"+"," "),"@"," "),"#"," "),"!"," "),"'"," "),"/"," "),":"," "),";"," "),"="," "),"~"," "),"%"," ")))</f>
        <v/>
      </c>
      <c r="F309" s="6">
        <f>IF(C309="","",IF(COUNTIF(Classifiers!$A$23:$A$40,D309)&gt;0,1,0))</f>
        <v/>
      </c>
      <c r="G309" s="6">
        <f>IF(C309="","",IF(COUNTIF(Classifiers!$C$23:$C$30,D309)&gt;0,IF((IF(ISNUMBER(SEARCH(Classifiers!$E$23,E309)),1,0)+IF(ISNUMBER(SEARCH(Classifiers!$E$24,E309)),1,0)+IF(ISNUMBER(SEARCH(Classifiers!$E$25,E309)),1,0)+IF(ISNUMBER(SEARCH(Classifiers!$E$26,E309)),1,0)+IF(ISNUMBER(SEARCH(Classifiers!$E$27,E309)),1,0)+IF(ISNUMBER(SEARCH(Classifiers!$E$28,E309)),1,0)+IF(ISNUMBER(SEARCH(Classifiers!$E$29,E309)),1,0)+IF(ISNUMBER(SEARCH(Classifiers!$E$30,E309)),1,0))&gt;0,1,0),0))</f>
        <v/>
      </c>
      <c r="H309" s="6">
        <f>IF(C309="","",IF(OR(LEFT(C309,1)=".",AND(F309=0,G309=0)),0,1))</f>
        <v/>
      </c>
      <c r="I309" s="6">
        <f>IF(H309&lt;&gt;1,"",IF(SUM(J309:W309)=0,"unclassified",INDEX(Classifiers!$A$5:$A$18,MATCH(1,J309:W309,0),1)))</f>
        <v/>
      </c>
      <c r="J309" s="12">
        <f>IF(H309&lt;&gt;1,0,IF((IF(Classifiers!$B$5="",0,IF(ISNUMBER(SEARCH(Classifiers!$B$5,E309)),1,0))+IF(Classifiers!$C$5="",0,IF(ISNUMBER(SEARCH(Classifiers!$C$5,E309)),1,0))+IF(Classifiers!$D$5="",0,IF(ISNUMBER(SEARCH(Classifiers!$D$5,E309)),1,0))+IF(Classifiers!$E$5="",0,IF(ISNUMBER(SEARCH(Classifiers!$E$5,E309)),1,0))+IF(Classifiers!$F$5="",0,IF(ISNUMBER(SEARCH(Classifiers!$F$5,E309)),1,0))+IF(Classifiers!$G$5="",0,IF(ISNUMBER(SEARCH(Classifiers!$G$5,E309)),1,0)))&gt;0,1,0))</f>
        <v/>
      </c>
      <c r="K309" s="12">
        <f>IF(H309&lt;&gt;1,0,IF((IF(Classifiers!$B$6="",0,IF(ISNUMBER(SEARCH(Classifiers!$B$6,E309)),1,0))+IF(Classifiers!$C$6="",0,IF(ISNUMBER(SEARCH(Classifiers!$C$6,E309)),1,0))+IF(Classifiers!$D$6="",0,IF(ISNUMBER(SEARCH(Classifiers!$D$6,E309)),1,0))+IF(Classifiers!$E$6="",0,IF(ISNUMBER(SEARCH(Classifiers!$E$6,E309)),1,0))+IF(Classifiers!$F$6="",0,IF(ISNUMBER(SEARCH(Classifiers!$F$6,E309)),1,0))+IF(Classifiers!$G$6="",0,IF(ISNUMBER(SEARCH(Classifiers!$G$6,E309)),1,0)))&gt;0,1,0))</f>
        <v/>
      </c>
      <c r="L309" s="12">
        <f>IF(H309&lt;&gt;1,0,IF((IF(Classifiers!$B$7="",0,IF(ISNUMBER(SEARCH(Classifiers!$B$7,E309)),1,0))+IF(Classifiers!$C$7="",0,IF(ISNUMBER(SEARCH(Classifiers!$C$7,E309)),1,0))+IF(Classifiers!$D$7="",0,IF(ISNUMBER(SEARCH(Classifiers!$D$7,E309)),1,0))+IF(Classifiers!$E$7="",0,IF(ISNUMBER(SEARCH(Classifiers!$E$7,E309)),1,0))+IF(Classifiers!$F$7="",0,IF(ISNUMBER(SEARCH(Classifiers!$F$7,E309)),1,0))+IF(Classifiers!$G$7="",0,IF(ISNUMBER(SEARCH(Classifiers!$G$7,E309)),1,0)))&gt;0,1,0))</f>
        <v/>
      </c>
      <c r="M309" s="12">
        <f>IF(H309&lt;&gt;1,0,IF((IF(Classifiers!$B$8="",0,IF(ISNUMBER(SEARCH(Classifiers!$B$8,E309)),1,0))+IF(Classifiers!$C$8="",0,IF(ISNUMBER(SEARCH(Classifiers!$C$8,E309)),1,0))+IF(Classifiers!$D$8="",0,IF(ISNUMBER(SEARCH(Classifiers!$D$8,E309)),1,0))+IF(Classifiers!$E$8="",0,IF(ISNUMBER(SEARCH(Classifiers!$E$8,E309)),1,0))+IF(Classifiers!$F$8="",0,IF(ISNUMBER(SEARCH(Classifiers!$F$8,E309)),1,0))+IF(Classifiers!$G$8="",0,IF(ISNUMBER(SEARCH(Classifiers!$G$8,E309)),1,0)))&gt;0,1,0))</f>
        <v/>
      </c>
      <c r="N309" s="12">
        <f>IF(H309&lt;&gt;1,0,IF((IF(Classifiers!$B$9="",0,IF(ISNUMBER(SEARCH(Classifiers!$B$9,E309)),1,0))+IF(Classifiers!$C$9="",0,IF(ISNUMBER(SEARCH(Classifiers!$C$9,E309)),1,0))+IF(Classifiers!$D$9="",0,IF(ISNUMBER(SEARCH(Classifiers!$D$9,E309)),1,0))+IF(Classifiers!$E$9="",0,IF(ISNUMBER(SEARCH(Classifiers!$E$9,E309)),1,0))+IF(Classifiers!$F$9="",0,IF(ISNUMBER(SEARCH(Classifiers!$F$9,E309)),1,0))+IF(Classifiers!$G$9="",0,IF(ISNUMBER(SEARCH(Classifiers!$G$9,E309)),1,0)))&gt;0,1,0))</f>
        <v/>
      </c>
      <c r="O309" s="12">
        <f>IF(H309&lt;&gt;1,0,IF((IF(Classifiers!$B$10="",0,IF(ISNUMBER(SEARCH(Classifiers!$B$10,E309)),1,0))+IF(Classifiers!$C$10="",0,IF(ISNUMBER(SEARCH(Classifiers!$C$10,E309)),1,0))+IF(Classifiers!$D$10="",0,IF(ISNUMBER(SEARCH(Classifiers!$D$10,E309)),1,0))+IF(Classifiers!$E$10="",0,IF(ISNUMBER(SEARCH(Classifiers!$E$10,E309)),1,0))+IF(Classifiers!$F$10="",0,IF(ISNUMBER(SEARCH(Classifiers!$F$10,E309)),1,0))+IF(Classifiers!$G$10="",0,IF(ISNUMBER(SEARCH(Classifiers!$G$10,E309)),1,0)))&gt;0,1,0))</f>
        <v/>
      </c>
      <c r="P309" s="12">
        <f>IF(H309&lt;&gt;1,0,IF((IF(Classifiers!$B$11="",0,IF(ISNUMBER(SEARCH(Classifiers!$B$11,E309)),1,0))+IF(Classifiers!$C$11="",0,IF(ISNUMBER(SEARCH(Classifiers!$C$11,E309)),1,0))+IF(Classifiers!$D$11="",0,IF(ISNUMBER(SEARCH(Classifiers!$D$11,E309)),1,0))+IF(Classifiers!$E$11="",0,IF(ISNUMBER(SEARCH(Classifiers!$E$11,E309)),1,0))+IF(Classifiers!$F$11="",0,IF(ISNUMBER(SEARCH(Classifiers!$F$11,E309)),1,0))+IF(Classifiers!$G$11="",0,IF(ISNUMBER(SEARCH(Classifiers!$G$11,E309)),1,0)))&gt;0,1,0))</f>
        <v/>
      </c>
      <c r="Q309" s="12">
        <f>IF(H309&lt;&gt;1,0,IF((IF(Classifiers!$B$12="",0,IF(ISNUMBER(SEARCH(Classifiers!$B$12,E309)),1,0))+IF(Classifiers!$C$12="",0,IF(ISNUMBER(SEARCH(Classifiers!$C$12,E309)),1,0))+IF(Classifiers!$D$12="",0,IF(ISNUMBER(SEARCH(Classifiers!$D$12,E309)),1,0))+IF(Classifiers!$E$12="",0,IF(ISNUMBER(SEARCH(Classifiers!$E$12,E309)),1,0))+IF(Classifiers!$F$12="",0,IF(ISNUMBER(SEARCH(Classifiers!$F$12,E309)),1,0))+IF(Classifiers!$G$12="",0,IF(ISNUMBER(SEARCH(Classifiers!$G$12,E309)),1,0)))&gt;0,1,0))</f>
        <v/>
      </c>
      <c r="R309" s="12">
        <f>IF(H309&lt;&gt;1,0,IF((IF(Classifiers!$B$13="",0,IF(ISNUMBER(SEARCH(Classifiers!$B$13,E309)),1,0))+IF(Classifiers!$C$13="",0,IF(ISNUMBER(SEARCH(Classifiers!$C$13,E309)),1,0))+IF(Classifiers!$D$13="",0,IF(ISNUMBER(SEARCH(Classifiers!$D$13,E309)),1,0))+IF(Classifiers!$E$13="",0,IF(ISNUMBER(SEARCH(Classifiers!$E$13,E309)),1,0))+IF(Classifiers!$F$13="",0,IF(ISNUMBER(SEARCH(Classifiers!$F$13,E309)),1,0))+IF(Classifiers!$G$13="",0,IF(ISNUMBER(SEARCH(Classifiers!$G$13,E309)),1,0)))&gt;0,1,0))</f>
        <v/>
      </c>
      <c r="S309" s="12">
        <f>IF(H309&lt;&gt;1,0,IF((IF(Classifiers!$B$14="",0,IF(ISNUMBER(SEARCH(Classifiers!$B$14,E309)),1,0))+IF(Classifiers!$C$14="",0,IF(ISNUMBER(SEARCH(Classifiers!$C$14,E309)),1,0))+IF(Classifiers!$D$14="",0,IF(ISNUMBER(SEARCH(Classifiers!$D$14,E309)),1,0))+IF(Classifiers!$E$14="",0,IF(ISNUMBER(SEARCH(Classifiers!$E$14,E309)),1,0))+IF(Classifiers!$F$14="",0,IF(ISNUMBER(SEARCH(Classifiers!$F$14,E309)),1,0))+IF(Classifiers!$G$14="",0,IF(ISNUMBER(SEARCH(Classifiers!$G$14,E309)),1,0)))&gt;0,1,0))</f>
        <v/>
      </c>
      <c r="T309" s="12">
        <f>IF(H309&lt;&gt;1,0,IF((IF(Classifiers!$B$15="",0,IF(ISNUMBER(SEARCH(Classifiers!$B$15,E309)),1,0))+IF(Classifiers!$C$15="",0,IF(ISNUMBER(SEARCH(Classifiers!$C$15,E309)),1,0))+IF(Classifiers!$D$15="",0,IF(ISNUMBER(SEARCH(Classifiers!$D$15,E309)),1,0))+IF(Classifiers!$E$15="",0,IF(ISNUMBER(SEARCH(Classifiers!$E$15,E309)),1,0))+IF(Classifiers!$F$15="",0,IF(ISNUMBER(SEARCH(Classifiers!$F$15,E309)),1,0))+IF(Classifiers!$G$15="",0,IF(ISNUMBER(SEARCH(Classifiers!$G$15,E309)),1,0)))&gt;0,1,0))</f>
        <v/>
      </c>
      <c r="U309" s="12">
        <f>IF(H309&lt;&gt;1,0,IF((IF(Classifiers!$B$16="",0,IF(ISNUMBER(SEARCH(Classifiers!$B$16,E309)),1,0))+IF(Classifiers!$C$16="",0,IF(ISNUMBER(SEARCH(Classifiers!$C$16,E309)),1,0))+IF(Classifiers!$D$16="",0,IF(ISNUMBER(SEARCH(Classifiers!$D$16,E309)),1,0))+IF(Classifiers!$E$16="",0,IF(ISNUMBER(SEARCH(Classifiers!$E$16,E309)),1,0))+IF(Classifiers!$F$16="",0,IF(ISNUMBER(SEARCH(Classifiers!$F$16,E309)),1,0))+IF(Classifiers!$G$16="",0,IF(ISNUMBER(SEARCH(Classifiers!$G$16,E309)),1,0)))&gt;0,1,0))</f>
        <v/>
      </c>
      <c r="V309" s="12">
        <f>IF(H309&lt;&gt;1,0,IF((IF(Classifiers!$B$17="",0,IF(ISNUMBER(SEARCH(Classifiers!$B$17,E309)),1,0))+IF(Classifiers!$C$17="",0,IF(ISNUMBER(SEARCH(Classifiers!$C$17,E309)),1,0))+IF(Classifiers!$D$17="",0,IF(ISNUMBER(SEARCH(Classifiers!$D$17,E309)),1,0))+IF(Classifiers!$E$17="",0,IF(ISNUMBER(SEARCH(Classifiers!$E$17,E309)),1,0))+IF(Classifiers!$F$17="",0,IF(ISNUMBER(SEARCH(Classifiers!$F$17,E309)),1,0))+IF(Classifiers!$G$17="",0,IF(ISNUMBER(SEARCH(Classifiers!$G$17,E309)),1,0)))&gt;0,1,0))</f>
        <v/>
      </c>
      <c r="W309" s="12">
        <f>IF(H309&lt;&gt;1,0,IF((IF(Classifiers!$B$18="",0,IF(ISNUMBER(SEARCH(Classifiers!$B$18,E309)),1,0))+IF(Classifiers!$C$18="",0,IF(ISNUMBER(SEARCH(Classifiers!$C$18,E309)),1,0))+IF(Classifiers!$D$18="",0,IF(ISNUMBER(SEARCH(Classifiers!$D$18,E309)),1,0))+IF(Classifiers!$E$18="",0,IF(ISNUMBER(SEARCH(Classifiers!$E$18,E309)),1,0))+IF(Classifiers!$F$18="",0,IF(ISNUMBER(SEARCH(Classifiers!$F$18,E309)),1,0))+IF(Classifiers!$G$18="",0,IF(ISNUMBER(SEARCH(Classifiers!$G$18,E309)),1,0)))&gt;0,1,0))</f>
        <v/>
      </c>
    </row>
    <row r="310">
      <c r="A310" s="8" t="n"/>
      <c r="B310" s="11" t="n"/>
      <c r="C310" s="6">
        <f>IF(A310="","",TRIM(RIGHT(SUBSTITUTE(A310,"/",REPT(" ",250)),250)))</f>
        <v/>
      </c>
      <c r="D310" s="6">
        <f>IF(C310="","",IF(ISNUMBER(SEARCH(".",C310)),LOWER("."&amp;TRIM(RIGHT(SUBSTITUTE(C310,".",REPT(" ",250)),250))),""))</f>
        <v/>
      </c>
      <c r="E310" s="6">
        <f>IF(C310="","",TRIM(SUBSTITUTE(SUBSTITUTE(SUBSTITUTE(SUBSTITUTE(SUBSTITUTE(SUBSTITUTE(SUBSTITUTE(SUBSTITUTE(SUBSTITUTE(SUBSTITUTE(SUBSTITUTE(SUBSTITUTE(SUBSTITUTE(SUBSTITUTE(SUBSTITUTE(SUBSTITUTE(SUBSTITUTE(SUBSTITUTE(SUBSTITUTE(SUBSTITUTE(LOWER(LEFT(C310,LEN(C310)-LEN(D310))),"_"," "),"-"," "),"."," "),","," "),"("," "),")"," "),"["," "),"]"," "),"&amp;"," "),"+"," "),"@"," "),"#"," "),"!"," "),"'"," "),"/"," "),":"," "),";"," "),"="," "),"~"," "),"%"," ")))</f>
        <v/>
      </c>
      <c r="F310" s="6">
        <f>IF(C310="","",IF(COUNTIF(Classifiers!$A$23:$A$40,D310)&gt;0,1,0))</f>
        <v/>
      </c>
      <c r="G310" s="6">
        <f>IF(C310="","",IF(COUNTIF(Classifiers!$C$23:$C$30,D310)&gt;0,IF((IF(ISNUMBER(SEARCH(Classifiers!$E$23,E310)),1,0)+IF(ISNUMBER(SEARCH(Classifiers!$E$24,E310)),1,0)+IF(ISNUMBER(SEARCH(Classifiers!$E$25,E310)),1,0)+IF(ISNUMBER(SEARCH(Classifiers!$E$26,E310)),1,0)+IF(ISNUMBER(SEARCH(Classifiers!$E$27,E310)),1,0)+IF(ISNUMBER(SEARCH(Classifiers!$E$28,E310)),1,0)+IF(ISNUMBER(SEARCH(Classifiers!$E$29,E310)),1,0)+IF(ISNUMBER(SEARCH(Classifiers!$E$30,E310)),1,0))&gt;0,1,0),0))</f>
        <v/>
      </c>
      <c r="H310" s="6">
        <f>IF(C310="","",IF(OR(LEFT(C310,1)=".",AND(F310=0,G310=0)),0,1))</f>
        <v/>
      </c>
      <c r="I310" s="6">
        <f>IF(H310&lt;&gt;1,"",IF(SUM(J310:W310)=0,"unclassified",INDEX(Classifiers!$A$5:$A$18,MATCH(1,J310:W310,0),1)))</f>
        <v/>
      </c>
      <c r="J310" s="12">
        <f>IF(H310&lt;&gt;1,0,IF((IF(Classifiers!$B$5="",0,IF(ISNUMBER(SEARCH(Classifiers!$B$5,E310)),1,0))+IF(Classifiers!$C$5="",0,IF(ISNUMBER(SEARCH(Classifiers!$C$5,E310)),1,0))+IF(Classifiers!$D$5="",0,IF(ISNUMBER(SEARCH(Classifiers!$D$5,E310)),1,0))+IF(Classifiers!$E$5="",0,IF(ISNUMBER(SEARCH(Classifiers!$E$5,E310)),1,0))+IF(Classifiers!$F$5="",0,IF(ISNUMBER(SEARCH(Classifiers!$F$5,E310)),1,0))+IF(Classifiers!$G$5="",0,IF(ISNUMBER(SEARCH(Classifiers!$G$5,E310)),1,0)))&gt;0,1,0))</f>
        <v/>
      </c>
      <c r="K310" s="12">
        <f>IF(H310&lt;&gt;1,0,IF((IF(Classifiers!$B$6="",0,IF(ISNUMBER(SEARCH(Classifiers!$B$6,E310)),1,0))+IF(Classifiers!$C$6="",0,IF(ISNUMBER(SEARCH(Classifiers!$C$6,E310)),1,0))+IF(Classifiers!$D$6="",0,IF(ISNUMBER(SEARCH(Classifiers!$D$6,E310)),1,0))+IF(Classifiers!$E$6="",0,IF(ISNUMBER(SEARCH(Classifiers!$E$6,E310)),1,0))+IF(Classifiers!$F$6="",0,IF(ISNUMBER(SEARCH(Classifiers!$F$6,E310)),1,0))+IF(Classifiers!$G$6="",0,IF(ISNUMBER(SEARCH(Classifiers!$G$6,E310)),1,0)))&gt;0,1,0))</f>
        <v/>
      </c>
      <c r="L310" s="12">
        <f>IF(H310&lt;&gt;1,0,IF((IF(Classifiers!$B$7="",0,IF(ISNUMBER(SEARCH(Classifiers!$B$7,E310)),1,0))+IF(Classifiers!$C$7="",0,IF(ISNUMBER(SEARCH(Classifiers!$C$7,E310)),1,0))+IF(Classifiers!$D$7="",0,IF(ISNUMBER(SEARCH(Classifiers!$D$7,E310)),1,0))+IF(Classifiers!$E$7="",0,IF(ISNUMBER(SEARCH(Classifiers!$E$7,E310)),1,0))+IF(Classifiers!$F$7="",0,IF(ISNUMBER(SEARCH(Classifiers!$F$7,E310)),1,0))+IF(Classifiers!$G$7="",0,IF(ISNUMBER(SEARCH(Classifiers!$G$7,E310)),1,0)))&gt;0,1,0))</f>
        <v/>
      </c>
      <c r="M310" s="12">
        <f>IF(H310&lt;&gt;1,0,IF((IF(Classifiers!$B$8="",0,IF(ISNUMBER(SEARCH(Classifiers!$B$8,E310)),1,0))+IF(Classifiers!$C$8="",0,IF(ISNUMBER(SEARCH(Classifiers!$C$8,E310)),1,0))+IF(Classifiers!$D$8="",0,IF(ISNUMBER(SEARCH(Classifiers!$D$8,E310)),1,0))+IF(Classifiers!$E$8="",0,IF(ISNUMBER(SEARCH(Classifiers!$E$8,E310)),1,0))+IF(Classifiers!$F$8="",0,IF(ISNUMBER(SEARCH(Classifiers!$F$8,E310)),1,0))+IF(Classifiers!$G$8="",0,IF(ISNUMBER(SEARCH(Classifiers!$G$8,E310)),1,0)))&gt;0,1,0))</f>
        <v/>
      </c>
      <c r="N310" s="12">
        <f>IF(H310&lt;&gt;1,0,IF((IF(Classifiers!$B$9="",0,IF(ISNUMBER(SEARCH(Classifiers!$B$9,E310)),1,0))+IF(Classifiers!$C$9="",0,IF(ISNUMBER(SEARCH(Classifiers!$C$9,E310)),1,0))+IF(Classifiers!$D$9="",0,IF(ISNUMBER(SEARCH(Classifiers!$D$9,E310)),1,0))+IF(Classifiers!$E$9="",0,IF(ISNUMBER(SEARCH(Classifiers!$E$9,E310)),1,0))+IF(Classifiers!$F$9="",0,IF(ISNUMBER(SEARCH(Classifiers!$F$9,E310)),1,0))+IF(Classifiers!$G$9="",0,IF(ISNUMBER(SEARCH(Classifiers!$G$9,E310)),1,0)))&gt;0,1,0))</f>
        <v/>
      </c>
      <c r="O310" s="12">
        <f>IF(H310&lt;&gt;1,0,IF((IF(Classifiers!$B$10="",0,IF(ISNUMBER(SEARCH(Classifiers!$B$10,E310)),1,0))+IF(Classifiers!$C$10="",0,IF(ISNUMBER(SEARCH(Classifiers!$C$10,E310)),1,0))+IF(Classifiers!$D$10="",0,IF(ISNUMBER(SEARCH(Classifiers!$D$10,E310)),1,0))+IF(Classifiers!$E$10="",0,IF(ISNUMBER(SEARCH(Classifiers!$E$10,E310)),1,0))+IF(Classifiers!$F$10="",0,IF(ISNUMBER(SEARCH(Classifiers!$F$10,E310)),1,0))+IF(Classifiers!$G$10="",0,IF(ISNUMBER(SEARCH(Classifiers!$G$10,E310)),1,0)))&gt;0,1,0))</f>
        <v/>
      </c>
      <c r="P310" s="12">
        <f>IF(H310&lt;&gt;1,0,IF((IF(Classifiers!$B$11="",0,IF(ISNUMBER(SEARCH(Classifiers!$B$11,E310)),1,0))+IF(Classifiers!$C$11="",0,IF(ISNUMBER(SEARCH(Classifiers!$C$11,E310)),1,0))+IF(Classifiers!$D$11="",0,IF(ISNUMBER(SEARCH(Classifiers!$D$11,E310)),1,0))+IF(Classifiers!$E$11="",0,IF(ISNUMBER(SEARCH(Classifiers!$E$11,E310)),1,0))+IF(Classifiers!$F$11="",0,IF(ISNUMBER(SEARCH(Classifiers!$F$11,E310)),1,0))+IF(Classifiers!$G$11="",0,IF(ISNUMBER(SEARCH(Classifiers!$G$11,E310)),1,0)))&gt;0,1,0))</f>
        <v/>
      </c>
      <c r="Q310" s="12">
        <f>IF(H310&lt;&gt;1,0,IF((IF(Classifiers!$B$12="",0,IF(ISNUMBER(SEARCH(Classifiers!$B$12,E310)),1,0))+IF(Classifiers!$C$12="",0,IF(ISNUMBER(SEARCH(Classifiers!$C$12,E310)),1,0))+IF(Classifiers!$D$12="",0,IF(ISNUMBER(SEARCH(Classifiers!$D$12,E310)),1,0))+IF(Classifiers!$E$12="",0,IF(ISNUMBER(SEARCH(Classifiers!$E$12,E310)),1,0))+IF(Classifiers!$F$12="",0,IF(ISNUMBER(SEARCH(Classifiers!$F$12,E310)),1,0))+IF(Classifiers!$G$12="",0,IF(ISNUMBER(SEARCH(Classifiers!$G$12,E310)),1,0)))&gt;0,1,0))</f>
        <v/>
      </c>
      <c r="R310" s="12">
        <f>IF(H310&lt;&gt;1,0,IF((IF(Classifiers!$B$13="",0,IF(ISNUMBER(SEARCH(Classifiers!$B$13,E310)),1,0))+IF(Classifiers!$C$13="",0,IF(ISNUMBER(SEARCH(Classifiers!$C$13,E310)),1,0))+IF(Classifiers!$D$13="",0,IF(ISNUMBER(SEARCH(Classifiers!$D$13,E310)),1,0))+IF(Classifiers!$E$13="",0,IF(ISNUMBER(SEARCH(Classifiers!$E$13,E310)),1,0))+IF(Classifiers!$F$13="",0,IF(ISNUMBER(SEARCH(Classifiers!$F$13,E310)),1,0))+IF(Classifiers!$G$13="",0,IF(ISNUMBER(SEARCH(Classifiers!$G$13,E310)),1,0)))&gt;0,1,0))</f>
        <v/>
      </c>
      <c r="S310" s="12">
        <f>IF(H310&lt;&gt;1,0,IF((IF(Classifiers!$B$14="",0,IF(ISNUMBER(SEARCH(Classifiers!$B$14,E310)),1,0))+IF(Classifiers!$C$14="",0,IF(ISNUMBER(SEARCH(Classifiers!$C$14,E310)),1,0))+IF(Classifiers!$D$14="",0,IF(ISNUMBER(SEARCH(Classifiers!$D$14,E310)),1,0))+IF(Classifiers!$E$14="",0,IF(ISNUMBER(SEARCH(Classifiers!$E$14,E310)),1,0))+IF(Classifiers!$F$14="",0,IF(ISNUMBER(SEARCH(Classifiers!$F$14,E310)),1,0))+IF(Classifiers!$G$14="",0,IF(ISNUMBER(SEARCH(Classifiers!$G$14,E310)),1,0)))&gt;0,1,0))</f>
        <v/>
      </c>
      <c r="T310" s="12">
        <f>IF(H310&lt;&gt;1,0,IF((IF(Classifiers!$B$15="",0,IF(ISNUMBER(SEARCH(Classifiers!$B$15,E310)),1,0))+IF(Classifiers!$C$15="",0,IF(ISNUMBER(SEARCH(Classifiers!$C$15,E310)),1,0))+IF(Classifiers!$D$15="",0,IF(ISNUMBER(SEARCH(Classifiers!$D$15,E310)),1,0))+IF(Classifiers!$E$15="",0,IF(ISNUMBER(SEARCH(Classifiers!$E$15,E310)),1,0))+IF(Classifiers!$F$15="",0,IF(ISNUMBER(SEARCH(Classifiers!$F$15,E310)),1,0))+IF(Classifiers!$G$15="",0,IF(ISNUMBER(SEARCH(Classifiers!$G$15,E310)),1,0)))&gt;0,1,0))</f>
        <v/>
      </c>
      <c r="U310" s="12">
        <f>IF(H310&lt;&gt;1,0,IF((IF(Classifiers!$B$16="",0,IF(ISNUMBER(SEARCH(Classifiers!$B$16,E310)),1,0))+IF(Classifiers!$C$16="",0,IF(ISNUMBER(SEARCH(Classifiers!$C$16,E310)),1,0))+IF(Classifiers!$D$16="",0,IF(ISNUMBER(SEARCH(Classifiers!$D$16,E310)),1,0))+IF(Classifiers!$E$16="",0,IF(ISNUMBER(SEARCH(Classifiers!$E$16,E310)),1,0))+IF(Classifiers!$F$16="",0,IF(ISNUMBER(SEARCH(Classifiers!$F$16,E310)),1,0))+IF(Classifiers!$G$16="",0,IF(ISNUMBER(SEARCH(Classifiers!$G$16,E310)),1,0)))&gt;0,1,0))</f>
        <v/>
      </c>
      <c r="V310" s="12">
        <f>IF(H310&lt;&gt;1,0,IF((IF(Classifiers!$B$17="",0,IF(ISNUMBER(SEARCH(Classifiers!$B$17,E310)),1,0))+IF(Classifiers!$C$17="",0,IF(ISNUMBER(SEARCH(Classifiers!$C$17,E310)),1,0))+IF(Classifiers!$D$17="",0,IF(ISNUMBER(SEARCH(Classifiers!$D$17,E310)),1,0))+IF(Classifiers!$E$17="",0,IF(ISNUMBER(SEARCH(Classifiers!$E$17,E310)),1,0))+IF(Classifiers!$F$17="",0,IF(ISNUMBER(SEARCH(Classifiers!$F$17,E310)),1,0))+IF(Classifiers!$G$17="",0,IF(ISNUMBER(SEARCH(Classifiers!$G$17,E310)),1,0)))&gt;0,1,0))</f>
        <v/>
      </c>
      <c r="W310" s="12">
        <f>IF(H310&lt;&gt;1,0,IF((IF(Classifiers!$B$18="",0,IF(ISNUMBER(SEARCH(Classifiers!$B$18,E310)),1,0))+IF(Classifiers!$C$18="",0,IF(ISNUMBER(SEARCH(Classifiers!$C$18,E310)),1,0))+IF(Classifiers!$D$18="",0,IF(ISNUMBER(SEARCH(Classifiers!$D$18,E310)),1,0))+IF(Classifiers!$E$18="",0,IF(ISNUMBER(SEARCH(Classifiers!$E$18,E310)),1,0))+IF(Classifiers!$F$18="",0,IF(ISNUMBER(SEARCH(Classifiers!$F$18,E310)),1,0))+IF(Classifiers!$G$18="",0,IF(ISNUMBER(SEARCH(Classifiers!$G$18,E310)),1,0)))&gt;0,1,0))</f>
        <v/>
      </c>
    </row>
    <row r="311">
      <c r="A311" s="8" t="n"/>
      <c r="B311" s="11" t="n"/>
      <c r="C311" s="6">
        <f>IF(A311="","",TRIM(RIGHT(SUBSTITUTE(A311,"/",REPT(" ",250)),250)))</f>
        <v/>
      </c>
      <c r="D311" s="6">
        <f>IF(C311="","",IF(ISNUMBER(SEARCH(".",C311)),LOWER("."&amp;TRIM(RIGHT(SUBSTITUTE(C311,".",REPT(" ",250)),250))),""))</f>
        <v/>
      </c>
      <c r="E311" s="6">
        <f>IF(C311="","",TRIM(SUBSTITUTE(SUBSTITUTE(SUBSTITUTE(SUBSTITUTE(SUBSTITUTE(SUBSTITUTE(SUBSTITUTE(SUBSTITUTE(SUBSTITUTE(SUBSTITUTE(SUBSTITUTE(SUBSTITUTE(SUBSTITUTE(SUBSTITUTE(SUBSTITUTE(SUBSTITUTE(SUBSTITUTE(SUBSTITUTE(SUBSTITUTE(SUBSTITUTE(LOWER(LEFT(C311,LEN(C311)-LEN(D311))),"_"," "),"-"," "),"."," "),","," "),"("," "),")"," "),"["," "),"]"," "),"&amp;"," "),"+"," "),"@"," "),"#"," "),"!"," "),"'"," "),"/"," "),":"," "),";"," "),"="," "),"~"," "),"%"," ")))</f>
        <v/>
      </c>
      <c r="F311" s="6">
        <f>IF(C311="","",IF(COUNTIF(Classifiers!$A$23:$A$40,D311)&gt;0,1,0))</f>
        <v/>
      </c>
      <c r="G311" s="6">
        <f>IF(C311="","",IF(COUNTIF(Classifiers!$C$23:$C$30,D311)&gt;0,IF((IF(ISNUMBER(SEARCH(Classifiers!$E$23,E311)),1,0)+IF(ISNUMBER(SEARCH(Classifiers!$E$24,E311)),1,0)+IF(ISNUMBER(SEARCH(Classifiers!$E$25,E311)),1,0)+IF(ISNUMBER(SEARCH(Classifiers!$E$26,E311)),1,0)+IF(ISNUMBER(SEARCH(Classifiers!$E$27,E311)),1,0)+IF(ISNUMBER(SEARCH(Classifiers!$E$28,E311)),1,0)+IF(ISNUMBER(SEARCH(Classifiers!$E$29,E311)),1,0)+IF(ISNUMBER(SEARCH(Classifiers!$E$30,E311)),1,0))&gt;0,1,0),0))</f>
        <v/>
      </c>
      <c r="H311" s="6">
        <f>IF(C311="","",IF(OR(LEFT(C311,1)=".",AND(F311=0,G311=0)),0,1))</f>
        <v/>
      </c>
      <c r="I311" s="6">
        <f>IF(H311&lt;&gt;1,"",IF(SUM(J311:W311)=0,"unclassified",INDEX(Classifiers!$A$5:$A$18,MATCH(1,J311:W311,0),1)))</f>
        <v/>
      </c>
      <c r="J311" s="12">
        <f>IF(H311&lt;&gt;1,0,IF((IF(Classifiers!$B$5="",0,IF(ISNUMBER(SEARCH(Classifiers!$B$5,E311)),1,0))+IF(Classifiers!$C$5="",0,IF(ISNUMBER(SEARCH(Classifiers!$C$5,E311)),1,0))+IF(Classifiers!$D$5="",0,IF(ISNUMBER(SEARCH(Classifiers!$D$5,E311)),1,0))+IF(Classifiers!$E$5="",0,IF(ISNUMBER(SEARCH(Classifiers!$E$5,E311)),1,0))+IF(Classifiers!$F$5="",0,IF(ISNUMBER(SEARCH(Classifiers!$F$5,E311)),1,0))+IF(Classifiers!$G$5="",0,IF(ISNUMBER(SEARCH(Classifiers!$G$5,E311)),1,0)))&gt;0,1,0))</f>
        <v/>
      </c>
      <c r="K311" s="12">
        <f>IF(H311&lt;&gt;1,0,IF((IF(Classifiers!$B$6="",0,IF(ISNUMBER(SEARCH(Classifiers!$B$6,E311)),1,0))+IF(Classifiers!$C$6="",0,IF(ISNUMBER(SEARCH(Classifiers!$C$6,E311)),1,0))+IF(Classifiers!$D$6="",0,IF(ISNUMBER(SEARCH(Classifiers!$D$6,E311)),1,0))+IF(Classifiers!$E$6="",0,IF(ISNUMBER(SEARCH(Classifiers!$E$6,E311)),1,0))+IF(Classifiers!$F$6="",0,IF(ISNUMBER(SEARCH(Classifiers!$F$6,E311)),1,0))+IF(Classifiers!$G$6="",0,IF(ISNUMBER(SEARCH(Classifiers!$G$6,E311)),1,0)))&gt;0,1,0))</f>
        <v/>
      </c>
      <c r="L311" s="12">
        <f>IF(H311&lt;&gt;1,0,IF((IF(Classifiers!$B$7="",0,IF(ISNUMBER(SEARCH(Classifiers!$B$7,E311)),1,0))+IF(Classifiers!$C$7="",0,IF(ISNUMBER(SEARCH(Classifiers!$C$7,E311)),1,0))+IF(Classifiers!$D$7="",0,IF(ISNUMBER(SEARCH(Classifiers!$D$7,E311)),1,0))+IF(Classifiers!$E$7="",0,IF(ISNUMBER(SEARCH(Classifiers!$E$7,E311)),1,0))+IF(Classifiers!$F$7="",0,IF(ISNUMBER(SEARCH(Classifiers!$F$7,E311)),1,0))+IF(Classifiers!$G$7="",0,IF(ISNUMBER(SEARCH(Classifiers!$G$7,E311)),1,0)))&gt;0,1,0))</f>
        <v/>
      </c>
      <c r="M311" s="12">
        <f>IF(H311&lt;&gt;1,0,IF((IF(Classifiers!$B$8="",0,IF(ISNUMBER(SEARCH(Classifiers!$B$8,E311)),1,0))+IF(Classifiers!$C$8="",0,IF(ISNUMBER(SEARCH(Classifiers!$C$8,E311)),1,0))+IF(Classifiers!$D$8="",0,IF(ISNUMBER(SEARCH(Classifiers!$D$8,E311)),1,0))+IF(Classifiers!$E$8="",0,IF(ISNUMBER(SEARCH(Classifiers!$E$8,E311)),1,0))+IF(Classifiers!$F$8="",0,IF(ISNUMBER(SEARCH(Classifiers!$F$8,E311)),1,0))+IF(Classifiers!$G$8="",0,IF(ISNUMBER(SEARCH(Classifiers!$G$8,E311)),1,0)))&gt;0,1,0))</f>
        <v/>
      </c>
      <c r="N311" s="12">
        <f>IF(H311&lt;&gt;1,0,IF((IF(Classifiers!$B$9="",0,IF(ISNUMBER(SEARCH(Classifiers!$B$9,E311)),1,0))+IF(Classifiers!$C$9="",0,IF(ISNUMBER(SEARCH(Classifiers!$C$9,E311)),1,0))+IF(Classifiers!$D$9="",0,IF(ISNUMBER(SEARCH(Classifiers!$D$9,E311)),1,0))+IF(Classifiers!$E$9="",0,IF(ISNUMBER(SEARCH(Classifiers!$E$9,E311)),1,0))+IF(Classifiers!$F$9="",0,IF(ISNUMBER(SEARCH(Classifiers!$F$9,E311)),1,0))+IF(Classifiers!$G$9="",0,IF(ISNUMBER(SEARCH(Classifiers!$G$9,E311)),1,0)))&gt;0,1,0))</f>
        <v/>
      </c>
      <c r="O311" s="12">
        <f>IF(H311&lt;&gt;1,0,IF((IF(Classifiers!$B$10="",0,IF(ISNUMBER(SEARCH(Classifiers!$B$10,E311)),1,0))+IF(Classifiers!$C$10="",0,IF(ISNUMBER(SEARCH(Classifiers!$C$10,E311)),1,0))+IF(Classifiers!$D$10="",0,IF(ISNUMBER(SEARCH(Classifiers!$D$10,E311)),1,0))+IF(Classifiers!$E$10="",0,IF(ISNUMBER(SEARCH(Classifiers!$E$10,E311)),1,0))+IF(Classifiers!$F$10="",0,IF(ISNUMBER(SEARCH(Classifiers!$F$10,E311)),1,0))+IF(Classifiers!$G$10="",0,IF(ISNUMBER(SEARCH(Classifiers!$G$10,E311)),1,0)))&gt;0,1,0))</f>
        <v/>
      </c>
      <c r="P311" s="12">
        <f>IF(H311&lt;&gt;1,0,IF((IF(Classifiers!$B$11="",0,IF(ISNUMBER(SEARCH(Classifiers!$B$11,E311)),1,0))+IF(Classifiers!$C$11="",0,IF(ISNUMBER(SEARCH(Classifiers!$C$11,E311)),1,0))+IF(Classifiers!$D$11="",0,IF(ISNUMBER(SEARCH(Classifiers!$D$11,E311)),1,0))+IF(Classifiers!$E$11="",0,IF(ISNUMBER(SEARCH(Classifiers!$E$11,E311)),1,0))+IF(Classifiers!$F$11="",0,IF(ISNUMBER(SEARCH(Classifiers!$F$11,E311)),1,0))+IF(Classifiers!$G$11="",0,IF(ISNUMBER(SEARCH(Classifiers!$G$11,E311)),1,0)))&gt;0,1,0))</f>
        <v/>
      </c>
      <c r="Q311" s="12">
        <f>IF(H311&lt;&gt;1,0,IF((IF(Classifiers!$B$12="",0,IF(ISNUMBER(SEARCH(Classifiers!$B$12,E311)),1,0))+IF(Classifiers!$C$12="",0,IF(ISNUMBER(SEARCH(Classifiers!$C$12,E311)),1,0))+IF(Classifiers!$D$12="",0,IF(ISNUMBER(SEARCH(Classifiers!$D$12,E311)),1,0))+IF(Classifiers!$E$12="",0,IF(ISNUMBER(SEARCH(Classifiers!$E$12,E311)),1,0))+IF(Classifiers!$F$12="",0,IF(ISNUMBER(SEARCH(Classifiers!$F$12,E311)),1,0))+IF(Classifiers!$G$12="",0,IF(ISNUMBER(SEARCH(Classifiers!$G$12,E311)),1,0)))&gt;0,1,0))</f>
        <v/>
      </c>
      <c r="R311" s="12">
        <f>IF(H311&lt;&gt;1,0,IF((IF(Classifiers!$B$13="",0,IF(ISNUMBER(SEARCH(Classifiers!$B$13,E311)),1,0))+IF(Classifiers!$C$13="",0,IF(ISNUMBER(SEARCH(Classifiers!$C$13,E311)),1,0))+IF(Classifiers!$D$13="",0,IF(ISNUMBER(SEARCH(Classifiers!$D$13,E311)),1,0))+IF(Classifiers!$E$13="",0,IF(ISNUMBER(SEARCH(Classifiers!$E$13,E311)),1,0))+IF(Classifiers!$F$13="",0,IF(ISNUMBER(SEARCH(Classifiers!$F$13,E311)),1,0))+IF(Classifiers!$G$13="",0,IF(ISNUMBER(SEARCH(Classifiers!$G$13,E311)),1,0)))&gt;0,1,0))</f>
        <v/>
      </c>
      <c r="S311" s="12">
        <f>IF(H311&lt;&gt;1,0,IF((IF(Classifiers!$B$14="",0,IF(ISNUMBER(SEARCH(Classifiers!$B$14,E311)),1,0))+IF(Classifiers!$C$14="",0,IF(ISNUMBER(SEARCH(Classifiers!$C$14,E311)),1,0))+IF(Classifiers!$D$14="",0,IF(ISNUMBER(SEARCH(Classifiers!$D$14,E311)),1,0))+IF(Classifiers!$E$14="",0,IF(ISNUMBER(SEARCH(Classifiers!$E$14,E311)),1,0))+IF(Classifiers!$F$14="",0,IF(ISNUMBER(SEARCH(Classifiers!$F$14,E311)),1,0))+IF(Classifiers!$G$14="",0,IF(ISNUMBER(SEARCH(Classifiers!$G$14,E311)),1,0)))&gt;0,1,0))</f>
        <v/>
      </c>
      <c r="T311" s="12">
        <f>IF(H311&lt;&gt;1,0,IF((IF(Classifiers!$B$15="",0,IF(ISNUMBER(SEARCH(Classifiers!$B$15,E311)),1,0))+IF(Classifiers!$C$15="",0,IF(ISNUMBER(SEARCH(Classifiers!$C$15,E311)),1,0))+IF(Classifiers!$D$15="",0,IF(ISNUMBER(SEARCH(Classifiers!$D$15,E311)),1,0))+IF(Classifiers!$E$15="",0,IF(ISNUMBER(SEARCH(Classifiers!$E$15,E311)),1,0))+IF(Classifiers!$F$15="",0,IF(ISNUMBER(SEARCH(Classifiers!$F$15,E311)),1,0))+IF(Classifiers!$G$15="",0,IF(ISNUMBER(SEARCH(Classifiers!$G$15,E311)),1,0)))&gt;0,1,0))</f>
        <v/>
      </c>
      <c r="U311" s="12">
        <f>IF(H311&lt;&gt;1,0,IF((IF(Classifiers!$B$16="",0,IF(ISNUMBER(SEARCH(Classifiers!$B$16,E311)),1,0))+IF(Classifiers!$C$16="",0,IF(ISNUMBER(SEARCH(Classifiers!$C$16,E311)),1,0))+IF(Classifiers!$D$16="",0,IF(ISNUMBER(SEARCH(Classifiers!$D$16,E311)),1,0))+IF(Classifiers!$E$16="",0,IF(ISNUMBER(SEARCH(Classifiers!$E$16,E311)),1,0))+IF(Classifiers!$F$16="",0,IF(ISNUMBER(SEARCH(Classifiers!$F$16,E311)),1,0))+IF(Classifiers!$G$16="",0,IF(ISNUMBER(SEARCH(Classifiers!$G$16,E311)),1,0)))&gt;0,1,0))</f>
        <v/>
      </c>
      <c r="V311" s="12">
        <f>IF(H311&lt;&gt;1,0,IF((IF(Classifiers!$B$17="",0,IF(ISNUMBER(SEARCH(Classifiers!$B$17,E311)),1,0))+IF(Classifiers!$C$17="",0,IF(ISNUMBER(SEARCH(Classifiers!$C$17,E311)),1,0))+IF(Classifiers!$D$17="",0,IF(ISNUMBER(SEARCH(Classifiers!$D$17,E311)),1,0))+IF(Classifiers!$E$17="",0,IF(ISNUMBER(SEARCH(Classifiers!$E$17,E311)),1,0))+IF(Classifiers!$F$17="",0,IF(ISNUMBER(SEARCH(Classifiers!$F$17,E311)),1,0))+IF(Classifiers!$G$17="",0,IF(ISNUMBER(SEARCH(Classifiers!$G$17,E311)),1,0)))&gt;0,1,0))</f>
        <v/>
      </c>
      <c r="W311" s="12">
        <f>IF(H311&lt;&gt;1,0,IF((IF(Classifiers!$B$18="",0,IF(ISNUMBER(SEARCH(Classifiers!$B$18,E311)),1,0))+IF(Classifiers!$C$18="",0,IF(ISNUMBER(SEARCH(Classifiers!$C$18,E311)),1,0))+IF(Classifiers!$D$18="",0,IF(ISNUMBER(SEARCH(Classifiers!$D$18,E311)),1,0))+IF(Classifiers!$E$18="",0,IF(ISNUMBER(SEARCH(Classifiers!$E$18,E311)),1,0))+IF(Classifiers!$F$18="",0,IF(ISNUMBER(SEARCH(Classifiers!$F$18,E311)),1,0))+IF(Classifiers!$G$18="",0,IF(ISNUMBER(SEARCH(Classifiers!$G$18,E311)),1,0)))&gt;0,1,0))</f>
        <v/>
      </c>
    </row>
    <row r="312">
      <c r="A312" s="8" t="n"/>
      <c r="B312" s="11" t="n"/>
      <c r="C312" s="6">
        <f>IF(A312="","",TRIM(RIGHT(SUBSTITUTE(A312,"/",REPT(" ",250)),250)))</f>
        <v/>
      </c>
      <c r="D312" s="6">
        <f>IF(C312="","",IF(ISNUMBER(SEARCH(".",C312)),LOWER("."&amp;TRIM(RIGHT(SUBSTITUTE(C312,".",REPT(" ",250)),250))),""))</f>
        <v/>
      </c>
      <c r="E312" s="6">
        <f>IF(C312="","",TRIM(SUBSTITUTE(SUBSTITUTE(SUBSTITUTE(SUBSTITUTE(SUBSTITUTE(SUBSTITUTE(SUBSTITUTE(SUBSTITUTE(SUBSTITUTE(SUBSTITUTE(SUBSTITUTE(SUBSTITUTE(SUBSTITUTE(SUBSTITUTE(SUBSTITUTE(SUBSTITUTE(SUBSTITUTE(SUBSTITUTE(SUBSTITUTE(SUBSTITUTE(LOWER(LEFT(C312,LEN(C312)-LEN(D312))),"_"," "),"-"," "),"."," "),","," "),"("," "),")"," "),"["," "),"]"," "),"&amp;"," "),"+"," "),"@"," "),"#"," "),"!"," "),"'"," "),"/"," "),":"," "),";"," "),"="," "),"~"," "),"%"," ")))</f>
        <v/>
      </c>
      <c r="F312" s="6">
        <f>IF(C312="","",IF(COUNTIF(Classifiers!$A$23:$A$40,D312)&gt;0,1,0))</f>
        <v/>
      </c>
      <c r="G312" s="6">
        <f>IF(C312="","",IF(COUNTIF(Classifiers!$C$23:$C$30,D312)&gt;0,IF((IF(ISNUMBER(SEARCH(Classifiers!$E$23,E312)),1,0)+IF(ISNUMBER(SEARCH(Classifiers!$E$24,E312)),1,0)+IF(ISNUMBER(SEARCH(Classifiers!$E$25,E312)),1,0)+IF(ISNUMBER(SEARCH(Classifiers!$E$26,E312)),1,0)+IF(ISNUMBER(SEARCH(Classifiers!$E$27,E312)),1,0)+IF(ISNUMBER(SEARCH(Classifiers!$E$28,E312)),1,0)+IF(ISNUMBER(SEARCH(Classifiers!$E$29,E312)),1,0)+IF(ISNUMBER(SEARCH(Classifiers!$E$30,E312)),1,0))&gt;0,1,0),0))</f>
        <v/>
      </c>
      <c r="H312" s="6">
        <f>IF(C312="","",IF(OR(LEFT(C312,1)=".",AND(F312=0,G312=0)),0,1))</f>
        <v/>
      </c>
      <c r="I312" s="6">
        <f>IF(H312&lt;&gt;1,"",IF(SUM(J312:W312)=0,"unclassified",INDEX(Classifiers!$A$5:$A$18,MATCH(1,J312:W312,0),1)))</f>
        <v/>
      </c>
      <c r="J312" s="12">
        <f>IF(H312&lt;&gt;1,0,IF((IF(Classifiers!$B$5="",0,IF(ISNUMBER(SEARCH(Classifiers!$B$5,E312)),1,0))+IF(Classifiers!$C$5="",0,IF(ISNUMBER(SEARCH(Classifiers!$C$5,E312)),1,0))+IF(Classifiers!$D$5="",0,IF(ISNUMBER(SEARCH(Classifiers!$D$5,E312)),1,0))+IF(Classifiers!$E$5="",0,IF(ISNUMBER(SEARCH(Classifiers!$E$5,E312)),1,0))+IF(Classifiers!$F$5="",0,IF(ISNUMBER(SEARCH(Classifiers!$F$5,E312)),1,0))+IF(Classifiers!$G$5="",0,IF(ISNUMBER(SEARCH(Classifiers!$G$5,E312)),1,0)))&gt;0,1,0))</f>
        <v/>
      </c>
      <c r="K312" s="12">
        <f>IF(H312&lt;&gt;1,0,IF((IF(Classifiers!$B$6="",0,IF(ISNUMBER(SEARCH(Classifiers!$B$6,E312)),1,0))+IF(Classifiers!$C$6="",0,IF(ISNUMBER(SEARCH(Classifiers!$C$6,E312)),1,0))+IF(Classifiers!$D$6="",0,IF(ISNUMBER(SEARCH(Classifiers!$D$6,E312)),1,0))+IF(Classifiers!$E$6="",0,IF(ISNUMBER(SEARCH(Classifiers!$E$6,E312)),1,0))+IF(Classifiers!$F$6="",0,IF(ISNUMBER(SEARCH(Classifiers!$F$6,E312)),1,0))+IF(Classifiers!$G$6="",0,IF(ISNUMBER(SEARCH(Classifiers!$G$6,E312)),1,0)))&gt;0,1,0))</f>
        <v/>
      </c>
      <c r="L312" s="12">
        <f>IF(H312&lt;&gt;1,0,IF((IF(Classifiers!$B$7="",0,IF(ISNUMBER(SEARCH(Classifiers!$B$7,E312)),1,0))+IF(Classifiers!$C$7="",0,IF(ISNUMBER(SEARCH(Classifiers!$C$7,E312)),1,0))+IF(Classifiers!$D$7="",0,IF(ISNUMBER(SEARCH(Classifiers!$D$7,E312)),1,0))+IF(Classifiers!$E$7="",0,IF(ISNUMBER(SEARCH(Classifiers!$E$7,E312)),1,0))+IF(Classifiers!$F$7="",0,IF(ISNUMBER(SEARCH(Classifiers!$F$7,E312)),1,0))+IF(Classifiers!$G$7="",0,IF(ISNUMBER(SEARCH(Classifiers!$G$7,E312)),1,0)))&gt;0,1,0))</f>
        <v/>
      </c>
      <c r="M312" s="12">
        <f>IF(H312&lt;&gt;1,0,IF((IF(Classifiers!$B$8="",0,IF(ISNUMBER(SEARCH(Classifiers!$B$8,E312)),1,0))+IF(Classifiers!$C$8="",0,IF(ISNUMBER(SEARCH(Classifiers!$C$8,E312)),1,0))+IF(Classifiers!$D$8="",0,IF(ISNUMBER(SEARCH(Classifiers!$D$8,E312)),1,0))+IF(Classifiers!$E$8="",0,IF(ISNUMBER(SEARCH(Classifiers!$E$8,E312)),1,0))+IF(Classifiers!$F$8="",0,IF(ISNUMBER(SEARCH(Classifiers!$F$8,E312)),1,0))+IF(Classifiers!$G$8="",0,IF(ISNUMBER(SEARCH(Classifiers!$G$8,E312)),1,0)))&gt;0,1,0))</f>
        <v/>
      </c>
      <c r="N312" s="12">
        <f>IF(H312&lt;&gt;1,0,IF((IF(Classifiers!$B$9="",0,IF(ISNUMBER(SEARCH(Classifiers!$B$9,E312)),1,0))+IF(Classifiers!$C$9="",0,IF(ISNUMBER(SEARCH(Classifiers!$C$9,E312)),1,0))+IF(Classifiers!$D$9="",0,IF(ISNUMBER(SEARCH(Classifiers!$D$9,E312)),1,0))+IF(Classifiers!$E$9="",0,IF(ISNUMBER(SEARCH(Classifiers!$E$9,E312)),1,0))+IF(Classifiers!$F$9="",0,IF(ISNUMBER(SEARCH(Classifiers!$F$9,E312)),1,0))+IF(Classifiers!$G$9="",0,IF(ISNUMBER(SEARCH(Classifiers!$G$9,E312)),1,0)))&gt;0,1,0))</f>
        <v/>
      </c>
      <c r="O312" s="12">
        <f>IF(H312&lt;&gt;1,0,IF((IF(Classifiers!$B$10="",0,IF(ISNUMBER(SEARCH(Classifiers!$B$10,E312)),1,0))+IF(Classifiers!$C$10="",0,IF(ISNUMBER(SEARCH(Classifiers!$C$10,E312)),1,0))+IF(Classifiers!$D$10="",0,IF(ISNUMBER(SEARCH(Classifiers!$D$10,E312)),1,0))+IF(Classifiers!$E$10="",0,IF(ISNUMBER(SEARCH(Classifiers!$E$10,E312)),1,0))+IF(Classifiers!$F$10="",0,IF(ISNUMBER(SEARCH(Classifiers!$F$10,E312)),1,0))+IF(Classifiers!$G$10="",0,IF(ISNUMBER(SEARCH(Classifiers!$G$10,E312)),1,0)))&gt;0,1,0))</f>
        <v/>
      </c>
      <c r="P312" s="12">
        <f>IF(H312&lt;&gt;1,0,IF((IF(Classifiers!$B$11="",0,IF(ISNUMBER(SEARCH(Classifiers!$B$11,E312)),1,0))+IF(Classifiers!$C$11="",0,IF(ISNUMBER(SEARCH(Classifiers!$C$11,E312)),1,0))+IF(Classifiers!$D$11="",0,IF(ISNUMBER(SEARCH(Classifiers!$D$11,E312)),1,0))+IF(Classifiers!$E$11="",0,IF(ISNUMBER(SEARCH(Classifiers!$E$11,E312)),1,0))+IF(Classifiers!$F$11="",0,IF(ISNUMBER(SEARCH(Classifiers!$F$11,E312)),1,0))+IF(Classifiers!$G$11="",0,IF(ISNUMBER(SEARCH(Classifiers!$G$11,E312)),1,0)))&gt;0,1,0))</f>
        <v/>
      </c>
      <c r="Q312" s="12">
        <f>IF(H312&lt;&gt;1,0,IF((IF(Classifiers!$B$12="",0,IF(ISNUMBER(SEARCH(Classifiers!$B$12,E312)),1,0))+IF(Classifiers!$C$12="",0,IF(ISNUMBER(SEARCH(Classifiers!$C$12,E312)),1,0))+IF(Classifiers!$D$12="",0,IF(ISNUMBER(SEARCH(Classifiers!$D$12,E312)),1,0))+IF(Classifiers!$E$12="",0,IF(ISNUMBER(SEARCH(Classifiers!$E$12,E312)),1,0))+IF(Classifiers!$F$12="",0,IF(ISNUMBER(SEARCH(Classifiers!$F$12,E312)),1,0))+IF(Classifiers!$G$12="",0,IF(ISNUMBER(SEARCH(Classifiers!$G$12,E312)),1,0)))&gt;0,1,0))</f>
        <v/>
      </c>
      <c r="R312" s="12">
        <f>IF(H312&lt;&gt;1,0,IF((IF(Classifiers!$B$13="",0,IF(ISNUMBER(SEARCH(Classifiers!$B$13,E312)),1,0))+IF(Classifiers!$C$13="",0,IF(ISNUMBER(SEARCH(Classifiers!$C$13,E312)),1,0))+IF(Classifiers!$D$13="",0,IF(ISNUMBER(SEARCH(Classifiers!$D$13,E312)),1,0))+IF(Classifiers!$E$13="",0,IF(ISNUMBER(SEARCH(Classifiers!$E$13,E312)),1,0))+IF(Classifiers!$F$13="",0,IF(ISNUMBER(SEARCH(Classifiers!$F$13,E312)),1,0))+IF(Classifiers!$G$13="",0,IF(ISNUMBER(SEARCH(Classifiers!$G$13,E312)),1,0)))&gt;0,1,0))</f>
        <v/>
      </c>
      <c r="S312" s="12">
        <f>IF(H312&lt;&gt;1,0,IF((IF(Classifiers!$B$14="",0,IF(ISNUMBER(SEARCH(Classifiers!$B$14,E312)),1,0))+IF(Classifiers!$C$14="",0,IF(ISNUMBER(SEARCH(Classifiers!$C$14,E312)),1,0))+IF(Classifiers!$D$14="",0,IF(ISNUMBER(SEARCH(Classifiers!$D$14,E312)),1,0))+IF(Classifiers!$E$14="",0,IF(ISNUMBER(SEARCH(Classifiers!$E$14,E312)),1,0))+IF(Classifiers!$F$14="",0,IF(ISNUMBER(SEARCH(Classifiers!$F$14,E312)),1,0))+IF(Classifiers!$G$14="",0,IF(ISNUMBER(SEARCH(Classifiers!$G$14,E312)),1,0)))&gt;0,1,0))</f>
        <v/>
      </c>
      <c r="T312" s="12">
        <f>IF(H312&lt;&gt;1,0,IF((IF(Classifiers!$B$15="",0,IF(ISNUMBER(SEARCH(Classifiers!$B$15,E312)),1,0))+IF(Classifiers!$C$15="",0,IF(ISNUMBER(SEARCH(Classifiers!$C$15,E312)),1,0))+IF(Classifiers!$D$15="",0,IF(ISNUMBER(SEARCH(Classifiers!$D$15,E312)),1,0))+IF(Classifiers!$E$15="",0,IF(ISNUMBER(SEARCH(Classifiers!$E$15,E312)),1,0))+IF(Classifiers!$F$15="",0,IF(ISNUMBER(SEARCH(Classifiers!$F$15,E312)),1,0))+IF(Classifiers!$G$15="",0,IF(ISNUMBER(SEARCH(Classifiers!$G$15,E312)),1,0)))&gt;0,1,0))</f>
        <v/>
      </c>
      <c r="U312" s="12">
        <f>IF(H312&lt;&gt;1,0,IF((IF(Classifiers!$B$16="",0,IF(ISNUMBER(SEARCH(Classifiers!$B$16,E312)),1,0))+IF(Classifiers!$C$16="",0,IF(ISNUMBER(SEARCH(Classifiers!$C$16,E312)),1,0))+IF(Classifiers!$D$16="",0,IF(ISNUMBER(SEARCH(Classifiers!$D$16,E312)),1,0))+IF(Classifiers!$E$16="",0,IF(ISNUMBER(SEARCH(Classifiers!$E$16,E312)),1,0))+IF(Classifiers!$F$16="",0,IF(ISNUMBER(SEARCH(Classifiers!$F$16,E312)),1,0))+IF(Classifiers!$G$16="",0,IF(ISNUMBER(SEARCH(Classifiers!$G$16,E312)),1,0)))&gt;0,1,0))</f>
        <v/>
      </c>
      <c r="V312" s="12">
        <f>IF(H312&lt;&gt;1,0,IF((IF(Classifiers!$B$17="",0,IF(ISNUMBER(SEARCH(Classifiers!$B$17,E312)),1,0))+IF(Classifiers!$C$17="",0,IF(ISNUMBER(SEARCH(Classifiers!$C$17,E312)),1,0))+IF(Classifiers!$D$17="",0,IF(ISNUMBER(SEARCH(Classifiers!$D$17,E312)),1,0))+IF(Classifiers!$E$17="",0,IF(ISNUMBER(SEARCH(Classifiers!$E$17,E312)),1,0))+IF(Classifiers!$F$17="",0,IF(ISNUMBER(SEARCH(Classifiers!$F$17,E312)),1,0))+IF(Classifiers!$G$17="",0,IF(ISNUMBER(SEARCH(Classifiers!$G$17,E312)),1,0)))&gt;0,1,0))</f>
        <v/>
      </c>
      <c r="W312" s="12">
        <f>IF(H312&lt;&gt;1,0,IF((IF(Classifiers!$B$18="",0,IF(ISNUMBER(SEARCH(Classifiers!$B$18,E312)),1,0))+IF(Classifiers!$C$18="",0,IF(ISNUMBER(SEARCH(Classifiers!$C$18,E312)),1,0))+IF(Classifiers!$D$18="",0,IF(ISNUMBER(SEARCH(Classifiers!$D$18,E312)),1,0))+IF(Classifiers!$E$18="",0,IF(ISNUMBER(SEARCH(Classifiers!$E$18,E312)),1,0))+IF(Classifiers!$F$18="",0,IF(ISNUMBER(SEARCH(Classifiers!$F$18,E312)),1,0))+IF(Classifiers!$G$18="",0,IF(ISNUMBER(SEARCH(Classifiers!$G$18,E312)),1,0)))&gt;0,1,0))</f>
        <v/>
      </c>
    </row>
    <row r="313">
      <c r="A313" s="8" t="n"/>
      <c r="B313" s="11" t="n"/>
      <c r="C313" s="6">
        <f>IF(A313="","",TRIM(RIGHT(SUBSTITUTE(A313,"/",REPT(" ",250)),250)))</f>
        <v/>
      </c>
      <c r="D313" s="6">
        <f>IF(C313="","",IF(ISNUMBER(SEARCH(".",C313)),LOWER("."&amp;TRIM(RIGHT(SUBSTITUTE(C313,".",REPT(" ",250)),250))),""))</f>
        <v/>
      </c>
      <c r="E313" s="6">
        <f>IF(C313="","",TRIM(SUBSTITUTE(SUBSTITUTE(SUBSTITUTE(SUBSTITUTE(SUBSTITUTE(SUBSTITUTE(SUBSTITUTE(SUBSTITUTE(SUBSTITUTE(SUBSTITUTE(SUBSTITUTE(SUBSTITUTE(SUBSTITUTE(SUBSTITUTE(SUBSTITUTE(SUBSTITUTE(SUBSTITUTE(SUBSTITUTE(SUBSTITUTE(SUBSTITUTE(LOWER(LEFT(C313,LEN(C313)-LEN(D313))),"_"," "),"-"," "),"."," "),","," "),"("," "),")"," "),"["," "),"]"," "),"&amp;"," "),"+"," "),"@"," "),"#"," "),"!"," "),"'"," "),"/"," "),":"," "),";"," "),"="," "),"~"," "),"%"," ")))</f>
        <v/>
      </c>
      <c r="F313" s="6">
        <f>IF(C313="","",IF(COUNTIF(Classifiers!$A$23:$A$40,D313)&gt;0,1,0))</f>
        <v/>
      </c>
      <c r="G313" s="6">
        <f>IF(C313="","",IF(COUNTIF(Classifiers!$C$23:$C$30,D313)&gt;0,IF((IF(ISNUMBER(SEARCH(Classifiers!$E$23,E313)),1,0)+IF(ISNUMBER(SEARCH(Classifiers!$E$24,E313)),1,0)+IF(ISNUMBER(SEARCH(Classifiers!$E$25,E313)),1,0)+IF(ISNUMBER(SEARCH(Classifiers!$E$26,E313)),1,0)+IF(ISNUMBER(SEARCH(Classifiers!$E$27,E313)),1,0)+IF(ISNUMBER(SEARCH(Classifiers!$E$28,E313)),1,0)+IF(ISNUMBER(SEARCH(Classifiers!$E$29,E313)),1,0)+IF(ISNUMBER(SEARCH(Classifiers!$E$30,E313)),1,0))&gt;0,1,0),0))</f>
        <v/>
      </c>
      <c r="H313" s="6">
        <f>IF(C313="","",IF(OR(LEFT(C313,1)=".",AND(F313=0,G313=0)),0,1))</f>
        <v/>
      </c>
      <c r="I313" s="6">
        <f>IF(H313&lt;&gt;1,"",IF(SUM(J313:W313)=0,"unclassified",INDEX(Classifiers!$A$5:$A$18,MATCH(1,J313:W313,0),1)))</f>
        <v/>
      </c>
      <c r="J313" s="12">
        <f>IF(H313&lt;&gt;1,0,IF((IF(Classifiers!$B$5="",0,IF(ISNUMBER(SEARCH(Classifiers!$B$5,E313)),1,0))+IF(Classifiers!$C$5="",0,IF(ISNUMBER(SEARCH(Classifiers!$C$5,E313)),1,0))+IF(Classifiers!$D$5="",0,IF(ISNUMBER(SEARCH(Classifiers!$D$5,E313)),1,0))+IF(Classifiers!$E$5="",0,IF(ISNUMBER(SEARCH(Classifiers!$E$5,E313)),1,0))+IF(Classifiers!$F$5="",0,IF(ISNUMBER(SEARCH(Classifiers!$F$5,E313)),1,0))+IF(Classifiers!$G$5="",0,IF(ISNUMBER(SEARCH(Classifiers!$G$5,E313)),1,0)))&gt;0,1,0))</f>
        <v/>
      </c>
      <c r="K313" s="12">
        <f>IF(H313&lt;&gt;1,0,IF((IF(Classifiers!$B$6="",0,IF(ISNUMBER(SEARCH(Classifiers!$B$6,E313)),1,0))+IF(Classifiers!$C$6="",0,IF(ISNUMBER(SEARCH(Classifiers!$C$6,E313)),1,0))+IF(Classifiers!$D$6="",0,IF(ISNUMBER(SEARCH(Classifiers!$D$6,E313)),1,0))+IF(Classifiers!$E$6="",0,IF(ISNUMBER(SEARCH(Classifiers!$E$6,E313)),1,0))+IF(Classifiers!$F$6="",0,IF(ISNUMBER(SEARCH(Classifiers!$F$6,E313)),1,0))+IF(Classifiers!$G$6="",0,IF(ISNUMBER(SEARCH(Classifiers!$G$6,E313)),1,0)))&gt;0,1,0))</f>
        <v/>
      </c>
      <c r="L313" s="12">
        <f>IF(H313&lt;&gt;1,0,IF((IF(Classifiers!$B$7="",0,IF(ISNUMBER(SEARCH(Classifiers!$B$7,E313)),1,0))+IF(Classifiers!$C$7="",0,IF(ISNUMBER(SEARCH(Classifiers!$C$7,E313)),1,0))+IF(Classifiers!$D$7="",0,IF(ISNUMBER(SEARCH(Classifiers!$D$7,E313)),1,0))+IF(Classifiers!$E$7="",0,IF(ISNUMBER(SEARCH(Classifiers!$E$7,E313)),1,0))+IF(Classifiers!$F$7="",0,IF(ISNUMBER(SEARCH(Classifiers!$F$7,E313)),1,0))+IF(Classifiers!$G$7="",0,IF(ISNUMBER(SEARCH(Classifiers!$G$7,E313)),1,0)))&gt;0,1,0))</f>
        <v/>
      </c>
      <c r="M313" s="12">
        <f>IF(H313&lt;&gt;1,0,IF((IF(Classifiers!$B$8="",0,IF(ISNUMBER(SEARCH(Classifiers!$B$8,E313)),1,0))+IF(Classifiers!$C$8="",0,IF(ISNUMBER(SEARCH(Classifiers!$C$8,E313)),1,0))+IF(Classifiers!$D$8="",0,IF(ISNUMBER(SEARCH(Classifiers!$D$8,E313)),1,0))+IF(Classifiers!$E$8="",0,IF(ISNUMBER(SEARCH(Classifiers!$E$8,E313)),1,0))+IF(Classifiers!$F$8="",0,IF(ISNUMBER(SEARCH(Classifiers!$F$8,E313)),1,0))+IF(Classifiers!$G$8="",0,IF(ISNUMBER(SEARCH(Classifiers!$G$8,E313)),1,0)))&gt;0,1,0))</f>
        <v/>
      </c>
      <c r="N313" s="12">
        <f>IF(H313&lt;&gt;1,0,IF((IF(Classifiers!$B$9="",0,IF(ISNUMBER(SEARCH(Classifiers!$B$9,E313)),1,0))+IF(Classifiers!$C$9="",0,IF(ISNUMBER(SEARCH(Classifiers!$C$9,E313)),1,0))+IF(Classifiers!$D$9="",0,IF(ISNUMBER(SEARCH(Classifiers!$D$9,E313)),1,0))+IF(Classifiers!$E$9="",0,IF(ISNUMBER(SEARCH(Classifiers!$E$9,E313)),1,0))+IF(Classifiers!$F$9="",0,IF(ISNUMBER(SEARCH(Classifiers!$F$9,E313)),1,0))+IF(Classifiers!$G$9="",0,IF(ISNUMBER(SEARCH(Classifiers!$G$9,E313)),1,0)))&gt;0,1,0))</f>
        <v/>
      </c>
      <c r="O313" s="12">
        <f>IF(H313&lt;&gt;1,0,IF((IF(Classifiers!$B$10="",0,IF(ISNUMBER(SEARCH(Classifiers!$B$10,E313)),1,0))+IF(Classifiers!$C$10="",0,IF(ISNUMBER(SEARCH(Classifiers!$C$10,E313)),1,0))+IF(Classifiers!$D$10="",0,IF(ISNUMBER(SEARCH(Classifiers!$D$10,E313)),1,0))+IF(Classifiers!$E$10="",0,IF(ISNUMBER(SEARCH(Classifiers!$E$10,E313)),1,0))+IF(Classifiers!$F$10="",0,IF(ISNUMBER(SEARCH(Classifiers!$F$10,E313)),1,0))+IF(Classifiers!$G$10="",0,IF(ISNUMBER(SEARCH(Classifiers!$G$10,E313)),1,0)))&gt;0,1,0))</f>
        <v/>
      </c>
      <c r="P313" s="12">
        <f>IF(H313&lt;&gt;1,0,IF((IF(Classifiers!$B$11="",0,IF(ISNUMBER(SEARCH(Classifiers!$B$11,E313)),1,0))+IF(Classifiers!$C$11="",0,IF(ISNUMBER(SEARCH(Classifiers!$C$11,E313)),1,0))+IF(Classifiers!$D$11="",0,IF(ISNUMBER(SEARCH(Classifiers!$D$11,E313)),1,0))+IF(Classifiers!$E$11="",0,IF(ISNUMBER(SEARCH(Classifiers!$E$11,E313)),1,0))+IF(Classifiers!$F$11="",0,IF(ISNUMBER(SEARCH(Classifiers!$F$11,E313)),1,0))+IF(Classifiers!$G$11="",0,IF(ISNUMBER(SEARCH(Classifiers!$G$11,E313)),1,0)))&gt;0,1,0))</f>
        <v/>
      </c>
      <c r="Q313" s="12">
        <f>IF(H313&lt;&gt;1,0,IF((IF(Classifiers!$B$12="",0,IF(ISNUMBER(SEARCH(Classifiers!$B$12,E313)),1,0))+IF(Classifiers!$C$12="",0,IF(ISNUMBER(SEARCH(Classifiers!$C$12,E313)),1,0))+IF(Classifiers!$D$12="",0,IF(ISNUMBER(SEARCH(Classifiers!$D$12,E313)),1,0))+IF(Classifiers!$E$12="",0,IF(ISNUMBER(SEARCH(Classifiers!$E$12,E313)),1,0))+IF(Classifiers!$F$12="",0,IF(ISNUMBER(SEARCH(Classifiers!$F$12,E313)),1,0))+IF(Classifiers!$G$12="",0,IF(ISNUMBER(SEARCH(Classifiers!$G$12,E313)),1,0)))&gt;0,1,0))</f>
        <v/>
      </c>
      <c r="R313" s="12">
        <f>IF(H313&lt;&gt;1,0,IF((IF(Classifiers!$B$13="",0,IF(ISNUMBER(SEARCH(Classifiers!$B$13,E313)),1,0))+IF(Classifiers!$C$13="",0,IF(ISNUMBER(SEARCH(Classifiers!$C$13,E313)),1,0))+IF(Classifiers!$D$13="",0,IF(ISNUMBER(SEARCH(Classifiers!$D$13,E313)),1,0))+IF(Classifiers!$E$13="",0,IF(ISNUMBER(SEARCH(Classifiers!$E$13,E313)),1,0))+IF(Classifiers!$F$13="",0,IF(ISNUMBER(SEARCH(Classifiers!$F$13,E313)),1,0))+IF(Classifiers!$G$13="",0,IF(ISNUMBER(SEARCH(Classifiers!$G$13,E313)),1,0)))&gt;0,1,0))</f>
        <v/>
      </c>
      <c r="S313" s="12">
        <f>IF(H313&lt;&gt;1,0,IF((IF(Classifiers!$B$14="",0,IF(ISNUMBER(SEARCH(Classifiers!$B$14,E313)),1,0))+IF(Classifiers!$C$14="",0,IF(ISNUMBER(SEARCH(Classifiers!$C$14,E313)),1,0))+IF(Classifiers!$D$14="",0,IF(ISNUMBER(SEARCH(Classifiers!$D$14,E313)),1,0))+IF(Classifiers!$E$14="",0,IF(ISNUMBER(SEARCH(Classifiers!$E$14,E313)),1,0))+IF(Classifiers!$F$14="",0,IF(ISNUMBER(SEARCH(Classifiers!$F$14,E313)),1,0))+IF(Classifiers!$G$14="",0,IF(ISNUMBER(SEARCH(Classifiers!$G$14,E313)),1,0)))&gt;0,1,0))</f>
        <v/>
      </c>
      <c r="T313" s="12">
        <f>IF(H313&lt;&gt;1,0,IF((IF(Classifiers!$B$15="",0,IF(ISNUMBER(SEARCH(Classifiers!$B$15,E313)),1,0))+IF(Classifiers!$C$15="",0,IF(ISNUMBER(SEARCH(Classifiers!$C$15,E313)),1,0))+IF(Classifiers!$D$15="",0,IF(ISNUMBER(SEARCH(Classifiers!$D$15,E313)),1,0))+IF(Classifiers!$E$15="",0,IF(ISNUMBER(SEARCH(Classifiers!$E$15,E313)),1,0))+IF(Classifiers!$F$15="",0,IF(ISNUMBER(SEARCH(Classifiers!$F$15,E313)),1,0))+IF(Classifiers!$G$15="",0,IF(ISNUMBER(SEARCH(Classifiers!$G$15,E313)),1,0)))&gt;0,1,0))</f>
        <v/>
      </c>
      <c r="U313" s="12">
        <f>IF(H313&lt;&gt;1,0,IF((IF(Classifiers!$B$16="",0,IF(ISNUMBER(SEARCH(Classifiers!$B$16,E313)),1,0))+IF(Classifiers!$C$16="",0,IF(ISNUMBER(SEARCH(Classifiers!$C$16,E313)),1,0))+IF(Classifiers!$D$16="",0,IF(ISNUMBER(SEARCH(Classifiers!$D$16,E313)),1,0))+IF(Classifiers!$E$16="",0,IF(ISNUMBER(SEARCH(Classifiers!$E$16,E313)),1,0))+IF(Classifiers!$F$16="",0,IF(ISNUMBER(SEARCH(Classifiers!$F$16,E313)),1,0))+IF(Classifiers!$G$16="",0,IF(ISNUMBER(SEARCH(Classifiers!$G$16,E313)),1,0)))&gt;0,1,0))</f>
        <v/>
      </c>
      <c r="V313" s="12">
        <f>IF(H313&lt;&gt;1,0,IF((IF(Classifiers!$B$17="",0,IF(ISNUMBER(SEARCH(Classifiers!$B$17,E313)),1,0))+IF(Classifiers!$C$17="",0,IF(ISNUMBER(SEARCH(Classifiers!$C$17,E313)),1,0))+IF(Classifiers!$D$17="",0,IF(ISNUMBER(SEARCH(Classifiers!$D$17,E313)),1,0))+IF(Classifiers!$E$17="",0,IF(ISNUMBER(SEARCH(Classifiers!$E$17,E313)),1,0))+IF(Classifiers!$F$17="",0,IF(ISNUMBER(SEARCH(Classifiers!$F$17,E313)),1,0))+IF(Classifiers!$G$17="",0,IF(ISNUMBER(SEARCH(Classifiers!$G$17,E313)),1,0)))&gt;0,1,0))</f>
        <v/>
      </c>
      <c r="W313" s="12">
        <f>IF(H313&lt;&gt;1,0,IF((IF(Classifiers!$B$18="",0,IF(ISNUMBER(SEARCH(Classifiers!$B$18,E313)),1,0))+IF(Classifiers!$C$18="",0,IF(ISNUMBER(SEARCH(Classifiers!$C$18,E313)),1,0))+IF(Classifiers!$D$18="",0,IF(ISNUMBER(SEARCH(Classifiers!$D$18,E313)),1,0))+IF(Classifiers!$E$18="",0,IF(ISNUMBER(SEARCH(Classifiers!$E$18,E313)),1,0))+IF(Classifiers!$F$18="",0,IF(ISNUMBER(SEARCH(Classifiers!$F$18,E313)),1,0))+IF(Classifiers!$G$18="",0,IF(ISNUMBER(SEARCH(Classifiers!$G$18,E313)),1,0)))&gt;0,1,0))</f>
        <v/>
      </c>
    </row>
    <row r="314">
      <c r="A314" s="8" t="n"/>
      <c r="B314" s="11" t="n"/>
      <c r="C314" s="6">
        <f>IF(A314="","",TRIM(RIGHT(SUBSTITUTE(A314,"/",REPT(" ",250)),250)))</f>
        <v/>
      </c>
      <c r="D314" s="6">
        <f>IF(C314="","",IF(ISNUMBER(SEARCH(".",C314)),LOWER("."&amp;TRIM(RIGHT(SUBSTITUTE(C314,".",REPT(" ",250)),250))),""))</f>
        <v/>
      </c>
      <c r="E314" s="6">
        <f>IF(C314="","",TRIM(SUBSTITUTE(SUBSTITUTE(SUBSTITUTE(SUBSTITUTE(SUBSTITUTE(SUBSTITUTE(SUBSTITUTE(SUBSTITUTE(SUBSTITUTE(SUBSTITUTE(SUBSTITUTE(SUBSTITUTE(SUBSTITUTE(SUBSTITUTE(SUBSTITUTE(SUBSTITUTE(SUBSTITUTE(SUBSTITUTE(SUBSTITUTE(SUBSTITUTE(LOWER(LEFT(C314,LEN(C314)-LEN(D314))),"_"," "),"-"," "),"."," "),","," "),"("," "),")"," "),"["," "),"]"," "),"&amp;"," "),"+"," "),"@"," "),"#"," "),"!"," "),"'"," "),"/"," "),":"," "),";"," "),"="," "),"~"," "),"%"," ")))</f>
        <v/>
      </c>
      <c r="F314" s="6">
        <f>IF(C314="","",IF(COUNTIF(Classifiers!$A$23:$A$40,D314)&gt;0,1,0))</f>
        <v/>
      </c>
      <c r="G314" s="6">
        <f>IF(C314="","",IF(COUNTIF(Classifiers!$C$23:$C$30,D314)&gt;0,IF((IF(ISNUMBER(SEARCH(Classifiers!$E$23,E314)),1,0)+IF(ISNUMBER(SEARCH(Classifiers!$E$24,E314)),1,0)+IF(ISNUMBER(SEARCH(Classifiers!$E$25,E314)),1,0)+IF(ISNUMBER(SEARCH(Classifiers!$E$26,E314)),1,0)+IF(ISNUMBER(SEARCH(Classifiers!$E$27,E314)),1,0)+IF(ISNUMBER(SEARCH(Classifiers!$E$28,E314)),1,0)+IF(ISNUMBER(SEARCH(Classifiers!$E$29,E314)),1,0)+IF(ISNUMBER(SEARCH(Classifiers!$E$30,E314)),1,0))&gt;0,1,0),0))</f>
        <v/>
      </c>
      <c r="H314" s="6">
        <f>IF(C314="","",IF(OR(LEFT(C314,1)=".",AND(F314=0,G314=0)),0,1))</f>
        <v/>
      </c>
      <c r="I314" s="6">
        <f>IF(H314&lt;&gt;1,"",IF(SUM(J314:W314)=0,"unclassified",INDEX(Classifiers!$A$5:$A$18,MATCH(1,J314:W314,0),1)))</f>
        <v/>
      </c>
      <c r="J314" s="12">
        <f>IF(H314&lt;&gt;1,0,IF((IF(Classifiers!$B$5="",0,IF(ISNUMBER(SEARCH(Classifiers!$B$5,E314)),1,0))+IF(Classifiers!$C$5="",0,IF(ISNUMBER(SEARCH(Classifiers!$C$5,E314)),1,0))+IF(Classifiers!$D$5="",0,IF(ISNUMBER(SEARCH(Classifiers!$D$5,E314)),1,0))+IF(Classifiers!$E$5="",0,IF(ISNUMBER(SEARCH(Classifiers!$E$5,E314)),1,0))+IF(Classifiers!$F$5="",0,IF(ISNUMBER(SEARCH(Classifiers!$F$5,E314)),1,0))+IF(Classifiers!$G$5="",0,IF(ISNUMBER(SEARCH(Classifiers!$G$5,E314)),1,0)))&gt;0,1,0))</f>
        <v/>
      </c>
      <c r="K314" s="12">
        <f>IF(H314&lt;&gt;1,0,IF((IF(Classifiers!$B$6="",0,IF(ISNUMBER(SEARCH(Classifiers!$B$6,E314)),1,0))+IF(Classifiers!$C$6="",0,IF(ISNUMBER(SEARCH(Classifiers!$C$6,E314)),1,0))+IF(Classifiers!$D$6="",0,IF(ISNUMBER(SEARCH(Classifiers!$D$6,E314)),1,0))+IF(Classifiers!$E$6="",0,IF(ISNUMBER(SEARCH(Classifiers!$E$6,E314)),1,0))+IF(Classifiers!$F$6="",0,IF(ISNUMBER(SEARCH(Classifiers!$F$6,E314)),1,0))+IF(Classifiers!$G$6="",0,IF(ISNUMBER(SEARCH(Classifiers!$G$6,E314)),1,0)))&gt;0,1,0))</f>
        <v/>
      </c>
      <c r="L314" s="12">
        <f>IF(H314&lt;&gt;1,0,IF((IF(Classifiers!$B$7="",0,IF(ISNUMBER(SEARCH(Classifiers!$B$7,E314)),1,0))+IF(Classifiers!$C$7="",0,IF(ISNUMBER(SEARCH(Classifiers!$C$7,E314)),1,0))+IF(Classifiers!$D$7="",0,IF(ISNUMBER(SEARCH(Classifiers!$D$7,E314)),1,0))+IF(Classifiers!$E$7="",0,IF(ISNUMBER(SEARCH(Classifiers!$E$7,E314)),1,0))+IF(Classifiers!$F$7="",0,IF(ISNUMBER(SEARCH(Classifiers!$F$7,E314)),1,0))+IF(Classifiers!$G$7="",0,IF(ISNUMBER(SEARCH(Classifiers!$G$7,E314)),1,0)))&gt;0,1,0))</f>
        <v/>
      </c>
      <c r="M314" s="12">
        <f>IF(H314&lt;&gt;1,0,IF((IF(Classifiers!$B$8="",0,IF(ISNUMBER(SEARCH(Classifiers!$B$8,E314)),1,0))+IF(Classifiers!$C$8="",0,IF(ISNUMBER(SEARCH(Classifiers!$C$8,E314)),1,0))+IF(Classifiers!$D$8="",0,IF(ISNUMBER(SEARCH(Classifiers!$D$8,E314)),1,0))+IF(Classifiers!$E$8="",0,IF(ISNUMBER(SEARCH(Classifiers!$E$8,E314)),1,0))+IF(Classifiers!$F$8="",0,IF(ISNUMBER(SEARCH(Classifiers!$F$8,E314)),1,0))+IF(Classifiers!$G$8="",0,IF(ISNUMBER(SEARCH(Classifiers!$G$8,E314)),1,0)))&gt;0,1,0))</f>
        <v/>
      </c>
      <c r="N314" s="12">
        <f>IF(H314&lt;&gt;1,0,IF((IF(Classifiers!$B$9="",0,IF(ISNUMBER(SEARCH(Classifiers!$B$9,E314)),1,0))+IF(Classifiers!$C$9="",0,IF(ISNUMBER(SEARCH(Classifiers!$C$9,E314)),1,0))+IF(Classifiers!$D$9="",0,IF(ISNUMBER(SEARCH(Classifiers!$D$9,E314)),1,0))+IF(Classifiers!$E$9="",0,IF(ISNUMBER(SEARCH(Classifiers!$E$9,E314)),1,0))+IF(Classifiers!$F$9="",0,IF(ISNUMBER(SEARCH(Classifiers!$F$9,E314)),1,0))+IF(Classifiers!$G$9="",0,IF(ISNUMBER(SEARCH(Classifiers!$G$9,E314)),1,0)))&gt;0,1,0))</f>
        <v/>
      </c>
      <c r="O314" s="12">
        <f>IF(H314&lt;&gt;1,0,IF((IF(Classifiers!$B$10="",0,IF(ISNUMBER(SEARCH(Classifiers!$B$10,E314)),1,0))+IF(Classifiers!$C$10="",0,IF(ISNUMBER(SEARCH(Classifiers!$C$10,E314)),1,0))+IF(Classifiers!$D$10="",0,IF(ISNUMBER(SEARCH(Classifiers!$D$10,E314)),1,0))+IF(Classifiers!$E$10="",0,IF(ISNUMBER(SEARCH(Classifiers!$E$10,E314)),1,0))+IF(Classifiers!$F$10="",0,IF(ISNUMBER(SEARCH(Classifiers!$F$10,E314)),1,0))+IF(Classifiers!$G$10="",0,IF(ISNUMBER(SEARCH(Classifiers!$G$10,E314)),1,0)))&gt;0,1,0))</f>
        <v/>
      </c>
      <c r="P314" s="12">
        <f>IF(H314&lt;&gt;1,0,IF((IF(Classifiers!$B$11="",0,IF(ISNUMBER(SEARCH(Classifiers!$B$11,E314)),1,0))+IF(Classifiers!$C$11="",0,IF(ISNUMBER(SEARCH(Classifiers!$C$11,E314)),1,0))+IF(Classifiers!$D$11="",0,IF(ISNUMBER(SEARCH(Classifiers!$D$11,E314)),1,0))+IF(Classifiers!$E$11="",0,IF(ISNUMBER(SEARCH(Classifiers!$E$11,E314)),1,0))+IF(Classifiers!$F$11="",0,IF(ISNUMBER(SEARCH(Classifiers!$F$11,E314)),1,0))+IF(Classifiers!$G$11="",0,IF(ISNUMBER(SEARCH(Classifiers!$G$11,E314)),1,0)))&gt;0,1,0))</f>
        <v/>
      </c>
      <c r="Q314" s="12">
        <f>IF(H314&lt;&gt;1,0,IF((IF(Classifiers!$B$12="",0,IF(ISNUMBER(SEARCH(Classifiers!$B$12,E314)),1,0))+IF(Classifiers!$C$12="",0,IF(ISNUMBER(SEARCH(Classifiers!$C$12,E314)),1,0))+IF(Classifiers!$D$12="",0,IF(ISNUMBER(SEARCH(Classifiers!$D$12,E314)),1,0))+IF(Classifiers!$E$12="",0,IF(ISNUMBER(SEARCH(Classifiers!$E$12,E314)),1,0))+IF(Classifiers!$F$12="",0,IF(ISNUMBER(SEARCH(Classifiers!$F$12,E314)),1,0))+IF(Classifiers!$G$12="",0,IF(ISNUMBER(SEARCH(Classifiers!$G$12,E314)),1,0)))&gt;0,1,0))</f>
        <v/>
      </c>
      <c r="R314" s="12">
        <f>IF(H314&lt;&gt;1,0,IF((IF(Classifiers!$B$13="",0,IF(ISNUMBER(SEARCH(Classifiers!$B$13,E314)),1,0))+IF(Classifiers!$C$13="",0,IF(ISNUMBER(SEARCH(Classifiers!$C$13,E314)),1,0))+IF(Classifiers!$D$13="",0,IF(ISNUMBER(SEARCH(Classifiers!$D$13,E314)),1,0))+IF(Classifiers!$E$13="",0,IF(ISNUMBER(SEARCH(Classifiers!$E$13,E314)),1,0))+IF(Classifiers!$F$13="",0,IF(ISNUMBER(SEARCH(Classifiers!$F$13,E314)),1,0))+IF(Classifiers!$G$13="",0,IF(ISNUMBER(SEARCH(Classifiers!$G$13,E314)),1,0)))&gt;0,1,0))</f>
        <v/>
      </c>
      <c r="S314" s="12">
        <f>IF(H314&lt;&gt;1,0,IF((IF(Classifiers!$B$14="",0,IF(ISNUMBER(SEARCH(Classifiers!$B$14,E314)),1,0))+IF(Classifiers!$C$14="",0,IF(ISNUMBER(SEARCH(Classifiers!$C$14,E314)),1,0))+IF(Classifiers!$D$14="",0,IF(ISNUMBER(SEARCH(Classifiers!$D$14,E314)),1,0))+IF(Classifiers!$E$14="",0,IF(ISNUMBER(SEARCH(Classifiers!$E$14,E314)),1,0))+IF(Classifiers!$F$14="",0,IF(ISNUMBER(SEARCH(Classifiers!$F$14,E314)),1,0))+IF(Classifiers!$G$14="",0,IF(ISNUMBER(SEARCH(Classifiers!$G$14,E314)),1,0)))&gt;0,1,0))</f>
        <v/>
      </c>
      <c r="T314" s="12">
        <f>IF(H314&lt;&gt;1,0,IF((IF(Classifiers!$B$15="",0,IF(ISNUMBER(SEARCH(Classifiers!$B$15,E314)),1,0))+IF(Classifiers!$C$15="",0,IF(ISNUMBER(SEARCH(Classifiers!$C$15,E314)),1,0))+IF(Classifiers!$D$15="",0,IF(ISNUMBER(SEARCH(Classifiers!$D$15,E314)),1,0))+IF(Classifiers!$E$15="",0,IF(ISNUMBER(SEARCH(Classifiers!$E$15,E314)),1,0))+IF(Classifiers!$F$15="",0,IF(ISNUMBER(SEARCH(Classifiers!$F$15,E314)),1,0))+IF(Classifiers!$G$15="",0,IF(ISNUMBER(SEARCH(Classifiers!$G$15,E314)),1,0)))&gt;0,1,0))</f>
        <v/>
      </c>
      <c r="U314" s="12">
        <f>IF(H314&lt;&gt;1,0,IF((IF(Classifiers!$B$16="",0,IF(ISNUMBER(SEARCH(Classifiers!$B$16,E314)),1,0))+IF(Classifiers!$C$16="",0,IF(ISNUMBER(SEARCH(Classifiers!$C$16,E314)),1,0))+IF(Classifiers!$D$16="",0,IF(ISNUMBER(SEARCH(Classifiers!$D$16,E314)),1,0))+IF(Classifiers!$E$16="",0,IF(ISNUMBER(SEARCH(Classifiers!$E$16,E314)),1,0))+IF(Classifiers!$F$16="",0,IF(ISNUMBER(SEARCH(Classifiers!$F$16,E314)),1,0))+IF(Classifiers!$G$16="",0,IF(ISNUMBER(SEARCH(Classifiers!$G$16,E314)),1,0)))&gt;0,1,0))</f>
        <v/>
      </c>
      <c r="V314" s="12">
        <f>IF(H314&lt;&gt;1,0,IF((IF(Classifiers!$B$17="",0,IF(ISNUMBER(SEARCH(Classifiers!$B$17,E314)),1,0))+IF(Classifiers!$C$17="",0,IF(ISNUMBER(SEARCH(Classifiers!$C$17,E314)),1,0))+IF(Classifiers!$D$17="",0,IF(ISNUMBER(SEARCH(Classifiers!$D$17,E314)),1,0))+IF(Classifiers!$E$17="",0,IF(ISNUMBER(SEARCH(Classifiers!$E$17,E314)),1,0))+IF(Classifiers!$F$17="",0,IF(ISNUMBER(SEARCH(Classifiers!$F$17,E314)),1,0))+IF(Classifiers!$G$17="",0,IF(ISNUMBER(SEARCH(Classifiers!$G$17,E314)),1,0)))&gt;0,1,0))</f>
        <v/>
      </c>
      <c r="W314" s="12">
        <f>IF(H314&lt;&gt;1,0,IF((IF(Classifiers!$B$18="",0,IF(ISNUMBER(SEARCH(Classifiers!$B$18,E314)),1,0))+IF(Classifiers!$C$18="",0,IF(ISNUMBER(SEARCH(Classifiers!$C$18,E314)),1,0))+IF(Classifiers!$D$18="",0,IF(ISNUMBER(SEARCH(Classifiers!$D$18,E314)),1,0))+IF(Classifiers!$E$18="",0,IF(ISNUMBER(SEARCH(Classifiers!$E$18,E314)),1,0))+IF(Classifiers!$F$18="",0,IF(ISNUMBER(SEARCH(Classifiers!$F$18,E314)),1,0))+IF(Classifiers!$G$18="",0,IF(ISNUMBER(SEARCH(Classifiers!$G$18,E314)),1,0)))&gt;0,1,0))</f>
        <v/>
      </c>
    </row>
    <row r="315">
      <c r="A315" s="8" t="n"/>
      <c r="B315" s="11" t="n"/>
      <c r="C315" s="6">
        <f>IF(A315="","",TRIM(RIGHT(SUBSTITUTE(A315,"/",REPT(" ",250)),250)))</f>
        <v/>
      </c>
      <c r="D315" s="6">
        <f>IF(C315="","",IF(ISNUMBER(SEARCH(".",C315)),LOWER("."&amp;TRIM(RIGHT(SUBSTITUTE(C315,".",REPT(" ",250)),250))),""))</f>
        <v/>
      </c>
      <c r="E315" s="6">
        <f>IF(C315="","",TRIM(SUBSTITUTE(SUBSTITUTE(SUBSTITUTE(SUBSTITUTE(SUBSTITUTE(SUBSTITUTE(SUBSTITUTE(SUBSTITUTE(SUBSTITUTE(SUBSTITUTE(SUBSTITUTE(SUBSTITUTE(SUBSTITUTE(SUBSTITUTE(SUBSTITUTE(SUBSTITUTE(SUBSTITUTE(SUBSTITUTE(SUBSTITUTE(SUBSTITUTE(LOWER(LEFT(C315,LEN(C315)-LEN(D315))),"_"," "),"-"," "),"."," "),","," "),"("," "),")"," "),"["," "),"]"," "),"&amp;"," "),"+"," "),"@"," "),"#"," "),"!"," "),"'"," "),"/"," "),":"," "),";"," "),"="," "),"~"," "),"%"," ")))</f>
        <v/>
      </c>
      <c r="F315" s="6">
        <f>IF(C315="","",IF(COUNTIF(Classifiers!$A$23:$A$40,D315)&gt;0,1,0))</f>
        <v/>
      </c>
      <c r="G315" s="6">
        <f>IF(C315="","",IF(COUNTIF(Classifiers!$C$23:$C$30,D315)&gt;0,IF((IF(ISNUMBER(SEARCH(Classifiers!$E$23,E315)),1,0)+IF(ISNUMBER(SEARCH(Classifiers!$E$24,E315)),1,0)+IF(ISNUMBER(SEARCH(Classifiers!$E$25,E315)),1,0)+IF(ISNUMBER(SEARCH(Classifiers!$E$26,E315)),1,0)+IF(ISNUMBER(SEARCH(Classifiers!$E$27,E315)),1,0)+IF(ISNUMBER(SEARCH(Classifiers!$E$28,E315)),1,0)+IF(ISNUMBER(SEARCH(Classifiers!$E$29,E315)),1,0)+IF(ISNUMBER(SEARCH(Classifiers!$E$30,E315)),1,0))&gt;0,1,0),0))</f>
        <v/>
      </c>
      <c r="H315" s="6">
        <f>IF(C315="","",IF(OR(LEFT(C315,1)=".",AND(F315=0,G315=0)),0,1))</f>
        <v/>
      </c>
      <c r="I315" s="6">
        <f>IF(H315&lt;&gt;1,"",IF(SUM(J315:W315)=0,"unclassified",INDEX(Classifiers!$A$5:$A$18,MATCH(1,J315:W315,0),1)))</f>
        <v/>
      </c>
      <c r="J315" s="12">
        <f>IF(H315&lt;&gt;1,0,IF((IF(Classifiers!$B$5="",0,IF(ISNUMBER(SEARCH(Classifiers!$B$5,E315)),1,0))+IF(Classifiers!$C$5="",0,IF(ISNUMBER(SEARCH(Classifiers!$C$5,E315)),1,0))+IF(Classifiers!$D$5="",0,IF(ISNUMBER(SEARCH(Classifiers!$D$5,E315)),1,0))+IF(Classifiers!$E$5="",0,IF(ISNUMBER(SEARCH(Classifiers!$E$5,E315)),1,0))+IF(Classifiers!$F$5="",0,IF(ISNUMBER(SEARCH(Classifiers!$F$5,E315)),1,0))+IF(Classifiers!$G$5="",0,IF(ISNUMBER(SEARCH(Classifiers!$G$5,E315)),1,0)))&gt;0,1,0))</f>
        <v/>
      </c>
      <c r="K315" s="12">
        <f>IF(H315&lt;&gt;1,0,IF((IF(Classifiers!$B$6="",0,IF(ISNUMBER(SEARCH(Classifiers!$B$6,E315)),1,0))+IF(Classifiers!$C$6="",0,IF(ISNUMBER(SEARCH(Classifiers!$C$6,E315)),1,0))+IF(Classifiers!$D$6="",0,IF(ISNUMBER(SEARCH(Classifiers!$D$6,E315)),1,0))+IF(Classifiers!$E$6="",0,IF(ISNUMBER(SEARCH(Classifiers!$E$6,E315)),1,0))+IF(Classifiers!$F$6="",0,IF(ISNUMBER(SEARCH(Classifiers!$F$6,E315)),1,0))+IF(Classifiers!$G$6="",0,IF(ISNUMBER(SEARCH(Classifiers!$G$6,E315)),1,0)))&gt;0,1,0))</f>
        <v/>
      </c>
      <c r="L315" s="12">
        <f>IF(H315&lt;&gt;1,0,IF((IF(Classifiers!$B$7="",0,IF(ISNUMBER(SEARCH(Classifiers!$B$7,E315)),1,0))+IF(Classifiers!$C$7="",0,IF(ISNUMBER(SEARCH(Classifiers!$C$7,E315)),1,0))+IF(Classifiers!$D$7="",0,IF(ISNUMBER(SEARCH(Classifiers!$D$7,E315)),1,0))+IF(Classifiers!$E$7="",0,IF(ISNUMBER(SEARCH(Classifiers!$E$7,E315)),1,0))+IF(Classifiers!$F$7="",0,IF(ISNUMBER(SEARCH(Classifiers!$F$7,E315)),1,0))+IF(Classifiers!$G$7="",0,IF(ISNUMBER(SEARCH(Classifiers!$G$7,E315)),1,0)))&gt;0,1,0))</f>
        <v/>
      </c>
      <c r="M315" s="12">
        <f>IF(H315&lt;&gt;1,0,IF((IF(Classifiers!$B$8="",0,IF(ISNUMBER(SEARCH(Classifiers!$B$8,E315)),1,0))+IF(Classifiers!$C$8="",0,IF(ISNUMBER(SEARCH(Classifiers!$C$8,E315)),1,0))+IF(Classifiers!$D$8="",0,IF(ISNUMBER(SEARCH(Classifiers!$D$8,E315)),1,0))+IF(Classifiers!$E$8="",0,IF(ISNUMBER(SEARCH(Classifiers!$E$8,E315)),1,0))+IF(Classifiers!$F$8="",0,IF(ISNUMBER(SEARCH(Classifiers!$F$8,E315)),1,0))+IF(Classifiers!$G$8="",0,IF(ISNUMBER(SEARCH(Classifiers!$G$8,E315)),1,0)))&gt;0,1,0))</f>
        <v/>
      </c>
      <c r="N315" s="12">
        <f>IF(H315&lt;&gt;1,0,IF((IF(Classifiers!$B$9="",0,IF(ISNUMBER(SEARCH(Classifiers!$B$9,E315)),1,0))+IF(Classifiers!$C$9="",0,IF(ISNUMBER(SEARCH(Classifiers!$C$9,E315)),1,0))+IF(Classifiers!$D$9="",0,IF(ISNUMBER(SEARCH(Classifiers!$D$9,E315)),1,0))+IF(Classifiers!$E$9="",0,IF(ISNUMBER(SEARCH(Classifiers!$E$9,E315)),1,0))+IF(Classifiers!$F$9="",0,IF(ISNUMBER(SEARCH(Classifiers!$F$9,E315)),1,0))+IF(Classifiers!$G$9="",0,IF(ISNUMBER(SEARCH(Classifiers!$G$9,E315)),1,0)))&gt;0,1,0))</f>
        <v/>
      </c>
      <c r="O315" s="12">
        <f>IF(H315&lt;&gt;1,0,IF((IF(Classifiers!$B$10="",0,IF(ISNUMBER(SEARCH(Classifiers!$B$10,E315)),1,0))+IF(Classifiers!$C$10="",0,IF(ISNUMBER(SEARCH(Classifiers!$C$10,E315)),1,0))+IF(Classifiers!$D$10="",0,IF(ISNUMBER(SEARCH(Classifiers!$D$10,E315)),1,0))+IF(Classifiers!$E$10="",0,IF(ISNUMBER(SEARCH(Classifiers!$E$10,E315)),1,0))+IF(Classifiers!$F$10="",0,IF(ISNUMBER(SEARCH(Classifiers!$F$10,E315)),1,0))+IF(Classifiers!$G$10="",0,IF(ISNUMBER(SEARCH(Classifiers!$G$10,E315)),1,0)))&gt;0,1,0))</f>
        <v/>
      </c>
      <c r="P315" s="12">
        <f>IF(H315&lt;&gt;1,0,IF((IF(Classifiers!$B$11="",0,IF(ISNUMBER(SEARCH(Classifiers!$B$11,E315)),1,0))+IF(Classifiers!$C$11="",0,IF(ISNUMBER(SEARCH(Classifiers!$C$11,E315)),1,0))+IF(Classifiers!$D$11="",0,IF(ISNUMBER(SEARCH(Classifiers!$D$11,E315)),1,0))+IF(Classifiers!$E$11="",0,IF(ISNUMBER(SEARCH(Classifiers!$E$11,E315)),1,0))+IF(Classifiers!$F$11="",0,IF(ISNUMBER(SEARCH(Classifiers!$F$11,E315)),1,0))+IF(Classifiers!$G$11="",0,IF(ISNUMBER(SEARCH(Classifiers!$G$11,E315)),1,0)))&gt;0,1,0))</f>
        <v/>
      </c>
      <c r="Q315" s="12">
        <f>IF(H315&lt;&gt;1,0,IF((IF(Classifiers!$B$12="",0,IF(ISNUMBER(SEARCH(Classifiers!$B$12,E315)),1,0))+IF(Classifiers!$C$12="",0,IF(ISNUMBER(SEARCH(Classifiers!$C$12,E315)),1,0))+IF(Classifiers!$D$12="",0,IF(ISNUMBER(SEARCH(Classifiers!$D$12,E315)),1,0))+IF(Classifiers!$E$12="",0,IF(ISNUMBER(SEARCH(Classifiers!$E$12,E315)),1,0))+IF(Classifiers!$F$12="",0,IF(ISNUMBER(SEARCH(Classifiers!$F$12,E315)),1,0))+IF(Classifiers!$G$12="",0,IF(ISNUMBER(SEARCH(Classifiers!$G$12,E315)),1,0)))&gt;0,1,0))</f>
        <v/>
      </c>
      <c r="R315" s="12">
        <f>IF(H315&lt;&gt;1,0,IF((IF(Classifiers!$B$13="",0,IF(ISNUMBER(SEARCH(Classifiers!$B$13,E315)),1,0))+IF(Classifiers!$C$13="",0,IF(ISNUMBER(SEARCH(Classifiers!$C$13,E315)),1,0))+IF(Classifiers!$D$13="",0,IF(ISNUMBER(SEARCH(Classifiers!$D$13,E315)),1,0))+IF(Classifiers!$E$13="",0,IF(ISNUMBER(SEARCH(Classifiers!$E$13,E315)),1,0))+IF(Classifiers!$F$13="",0,IF(ISNUMBER(SEARCH(Classifiers!$F$13,E315)),1,0))+IF(Classifiers!$G$13="",0,IF(ISNUMBER(SEARCH(Classifiers!$G$13,E315)),1,0)))&gt;0,1,0))</f>
        <v/>
      </c>
      <c r="S315" s="12">
        <f>IF(H315&lt;&gt;1,0,IF((IF(Classifiers!$B$14="",0,IF(ISNUMBER(SEARCH(Classifiers!$B$14,E315)),1,0))+IF(Classifiers!$C$14="",0,IF(ISNUMBER(SEARCH(Classifiers!$C$14,E315)),1,0))+IF(Classifiers!$D$14="",0,IF(ISNUMBER(SEARCH(Classifiers!$D$14,E315)),1,0))+IF(Classifiers!$E$14="",0,IF(ISNUMBER(SEARCH(Classifiers!$E$14,E315)),1,0))+IF(Classifiers!$F$14="",0,IF(ISNUMBER(SEARCH(Classifiers!$F$14,E315)),1,0))+IF(Classifiers!$G$14="",0,IF(ISNUMBER(SEARCH(Classifiers!$G$14,E315)),1,0)))&gt;0,1,0))</f>
        <v/>
      </c>
      <c r="T315" s="12">
        <f>IF(H315&lt;&gt;1,0,IF((IF(Classifiers!$B$15="",0,IF(ISNUMBER(SEARCH(Classifiers!$B$15,E315)),1,0))+IF(Classifiers!$C$15="",0,IF(ISNUMBER(SEARCH(Classifiers!$C$15,E315)),1,0))+IF(Classifiers!$D$15="",0,IF(ISNUMBER(SEARCH(Classifiers!$D$15,E315)),1,0))+IF(Classifiers!$E$15="",0,IF(ISNUMBER(SEARCH(Classifiers!$E$15,E315)),1,0))+IF(Classifiers!$F$15="",0,IF(ISNUMBER(SEARCH(Classifiers!$F$15,E315)),1,0))+IF(Classifiers!$G$15="",0,IF(ISNUMBER(SEARCH(Classifiers!$G$15,E315)),1,0)))&gt;0,1,0))</f>
        <v/>
      </c>
      <c r="U315" s="12">
        <f>IF(H315&lt;&gt;1,0,IF((IF(Classifiers!$B$16="",0,IF(ISNUMBER(SEARCH(Classifiers!$B$16,E315)),1,0))+IF(Classifiers!$C$16="",0,IF(ISNUMBER(SEARCH(Classifiers!$C$16,E315)),1,0))+IF(Classifiers!$D$16="",0,IF(ISNUMBER(SEARCH(Classifiers!$D$16,E315)),1,0))+IF(Classifiers!$E$16="",0,IF(ISNUMBER(SEARCH(Classifiers!$E$16,E315)),1,0))+IF(Classifiers!$F$16="",0,IF(ISNUMBER(SEARCH(Classifiers!$F$16,E315)),1,0))+IF(Classifiers!$G$16="",0,IF(ISNUMBER(SEARCH(Classifiers!$G$16,E315)),1,0)))&gt;0,1,0))</f>
        <v/>
      </c>
      <c r="V315" s="12">
        <f>IF(H315&lt;&gt;1,0,IF((IF(Classifiers!$B$17="",0,IF(ISNUMBER(SEARCH(Classifiers!$B$17,E315)),1,0))+IF(Classifiers!$C$17="",0,IF(ISNUMBER(SEARCH(Classifiers!$C$17,E315)),1,0))+IF(Classifiers!$D$17="",0,IF(ISNUMBER(SEARCH(Classifiers!$D$17,E315)),1,0))+IF(Classifiers!$E$17="",0,IF(ISNUMBER(SEARCH(Classifiers!$E$17,E315)),1,0))+IF(Classifiers!$F$17="",0,IF(ISNUMBER(SEARCH(Classifiers!$F$17,E315)),1,0))+IF(Classifiers!$G$17="",0,IF(ISNUMBER(SEARCH(Classifiers!$G$17,E315)),1,0)))&gt;0,1,0))</f>
        <v/>
      </c>
      <c r="W315" s="12">
        <f>IF(H315&lt;&gt;1,0,IF((IF(Classifiers!$B$18="",0,IF(ISNUMBER(SEARCH(Classifiers!$B$18,E315)),1,0))+IF(Classifiers!$C$18="",0,IF(ISNUMBER(SEARCH(Classifiers!$C$18,E315)),1,0))+IF(Classifiers!$D$18="",0,IF(ISNUMBER(SEARCH(Classifiers!$D$18,E315)),1,0))+IF(Classifiers!$E$18="",0,IF(ISNUMBER(SEARCH(Classifiers!$E$18,E315)),1,0))+IF(Classifiers!$F$18="",0,IF(ISNUMBER(SEARCH(Classifiers!$F$18,E315)),1,0))+IF(Classifiers!$G$18="",0,IF(ISNUMBER(SEARCH(Classifiers!$G$18,E315)),1,0)))&gt;0,1,0))</f>
        <v/>
      </c>
    </row>
    <row r="316">
      <c r="A316" s="8" t="n"/>
      <c r="B316" s="11" t="n"/>
      <c r="C316" s="6">
        <f>IF(A316="","",TRIM(RIGHT(SUBSTITUTE(A316,"/",REPT(" ",250)),250)))</f>
        <v/>
      </c>
      <c r="D316" s="6">
        <f>IF(C316="","",IF(ISNUMBER(SEARCH(".",C316)),LOWER("."&amp;TRIM(RIGHT(SUBSTITUTE(C316,".",REPT(" ",250)),250))),""))</f>
        <v/>
      </c>
      <c r="E316" s="6">
        <f>IF(C316="","",TRIM(SUBSTITUTE(SUBSTITUTE(SUBSTITUTE(SUBSTITUTE(SUBSTITUTE(SUBSTITUTE(SUBSTITUTE(SUBSTITUTE(SUBSTITUTE(SUBSTITUTE(SUBSTITUTE(SUBSTITUTE(SUBSTITUTE(SUBSTITUTE(SUBSTITUTE(SUBSTITUTE(SUBSTITUTE(SUBSTITUTE(SUBSTITUTE(SUBSTITUTE(LOWER(LEFT(C316,LEN(C316)-LEN(D316))),"_"," "),"-"," "),"."," "),","," "),"("," "),")"," "),"["," "),"]"," "),"&amp;"," "),"+"," "),"@"," "),"#"," "),"!"," "),"'"," "),"/"," "),":"," "),";"," "),"="," "),"~"," "),"%"," ")))</f>
        <v/>
      </c>
      <c r="F316" s="6">
        <f>IF(C316="","",IF(COUNTIF(Classifiers!$A$23:$A$40,D316)&gt;0,1,0))</f>
        <v/>
      </c>
      <c r="G316" s="6">
        <f>IF(C316="","",IF(COUNTIF(Classifiers!$C$23:$C$30,D316)&gt;0,IF((IF(ISNUMBER(SEARCH(Classifiers!$E$23,E316)),1,0)+IF(ISNUMBER(SEARCH(Classifiers!$E$24,E316)),1,0)+IF(ISNUMBER(SEARCH(Classifiers!$E$25,E316)),1,0)+IF(ISNUMBER(SEARCH(Classifiers!$E$26,E316)),1,0)+IF(ISNUMBER(SEARCH(Classifiers!$E$27,E316)),1,0)+IF(ISNUMBER(SEARCH(Classifiers!$E$28,E316)),1,0)+IF(ISNUMBER(SEARCH(Classifiers!$E$29,E316)),1,0)+IF(ISNUMBER(SEARCH(Classifiers!$E$30,E316)),1,0))&gt;0,1,0),0))</f>
        <v/>
      </c>
      <c r="H316" s="6">
        <f>IF(C316="","",IF(OR(LEFT(C316,1)=".",AND(F316=0,G316=0)),0,1))</f>
        <v/>
      </c>
      <c r="I316" s="6">
        <f>IF(H316&lt;&gt;1,"",IF(SUM(J316:W316)=0,"unclassified",INDEX(Classifiers!$A$5:$A$18,MATCH(1,J316:W316,0),1)))</f>
        <v/>
      </c>
      <c r="J316" s="12">
        <f>IF(H316&lt;&gt;1,0,IF((IF(Classifiers!$B$5="",0,IF(ISNUMBER(SEARCH(Classifiers!$B$5,E316)),1,0))+IF(Classifiers!$C$5="",0,IF(ISNUMBER(SEARCH(Classifiers!$C$5,E316)),1,0))+IF(Classifiers!$D$5="",0,IF(ISNUMBER(SEARCH(Classifiers!$D$5,E316)),1,0))+IF(Classifiers!$E$5="",0,IF(ISNUMBER(SEARCH(Classifiers!$E$5,E316)),1,0))+IF(Classifiers!$F$5="",0,IF(ISNUMBER(SEARCH(Classifiers!$F$5,E316)),1,0))+IF(Classifiers!$G$5="",0,IF(ISNUMBER(SEARCH(Classifiers!$G$5,E316)),1,0)))&gt;0,1,0))</f>
        <v/>
      </c>
      <c r="K316" s="12">
        <f>IF(H316&lt;&gt;1,0,IF((IF(Classifiers!$B$6="",0,IF(ISNUMBER(SEARCH(Classifiers!$B$6,E316)),1,0))+IF(Classifiers!$C$6="",0,IF(ISNUMBER(SEARCH(Classifiers!$C$6,E316)),1,0))+IF(Classifiers!$D$6="",0,IF(ISNUMBER(SEARCH(Classifiers!$D$6,E316)),1,0))+IF(Classifiers!$E$6="",0,IF(ISNUMBER(SEARCH(Classifiers!$E$6,E316)),1,0))+IF(Classifiers!$F$6="",0,IF(ISNUMBER(SEARCH(Classifiers!$F$6,E316)),1,0))+IF(Classifiers!$G$6="",0,IF(ISNUMBER(SEARCH(Classifiers!$G$6,E316)),1,0)))&gt;0,1,0))</f>
        <v/>
      </c>
      <c r="L316" s="12">
        <f>IF(H316&lt;&gt;1,0,IF((IF(Classifiers!$B$7="",0,IF(ISNUMBER(SEARCH(Classifiers!$B$7,E316)),1,0))+IF(Classifiers!$C$7="",0,IF(ISNUMBER(SEARCH(Classifiers!$C$7,E316)),1,0))+IF(Classifiers!$D$7="",0,IF(ISNUMBER(SEARCH(Classifiers!$D$7,E316)),1,0))+IF(Classifiers!$E$7="",0,IF(ISNUMBER(SEARCH(Classifiers!$E$7,E316)),1,0))+IF(Classifiers!$F$7="",0,IF(ISNUMBER(SEARCH(Classifiers!$F$7,E316)),1,0))+IF(Classifiers!$G$7="",0,IF(ISNUMBER(SEARCH(Classifiers!$G$7,E316)),1,0)))&gt;0,1,0))</f>
        <v/>
      </c>
      <c r="M316" s="12">
        <f>IF(H316&lt;&gt;1,0,IF((IF(Classifiers!$B$8="",0,IF(ISNUMBER(SEARCH(Classifiers!$B$8,E316)),1,0))+IF(Classifiers!$C$8="",0,IF(ISNUMBER(SEARCH(Classifiers!$C$8,E316)),1,0))+IF(Classifiers!$D$8="",0,IF(ISNUMBER(SEARCH(Classifiers!$D$8,E316)),1,0))+IF(Classifiers!$E$8="",0,IF(ISNUMBER(SEARCH(Classifiers!$E$8,E316)),1,0))+IF(Classifiers!$F$8="",0,IF(ISNUMBER(SEARCH(Classifiers!$F$8,E316)),1,0))+IF(Classifiers!$G$8="",0,IF(ISNUMBER(SEARCH(Classifiers!$G$8,E316)),1,0)))&gt;0,1,0))</f>
        <v/>
      </c>
      <c r="N316" s="12">
        <f>IF(H316&lt;&gt;1,0,IF((IF(Classifiers!$B$9="",0,IF(ISNUMBER(SEARCH(Classifiers!$B$9,E316)),1,0))+IF(Classifiers!$C$9="",0,IF(ISNUMBER(SEARCH(Classifiers!$C$9,E316)),1,0))+IF(Classifiers!$D$9="",0,IF(ISNUMBER(SEARCH(Classifiers!$D$9,E316)),1,0))+IF(Classifiers!$E$9="",0,IF(ISNUMBER(SEARCH(Classifiers!$E$9,E316)),1,0))+IF(Classifiers!$F$9="",0,IF(ISNUMBER(SEARCH(Classifiers!$F$9,E316)),1,0))+IF(Classifiers!$G$9="",0,IF(ISNUMBER(SEARCH(Classifiers!$G$9,E316)),1,0)))&gt;0,1,0))</f>
        <v/>
      </c>
      <c r="O316" s="12">
        <f>IF(H316&lt;&gt;1,0,IF((IF(Classifiers!$B$10="",0,IF(ISNUMBER(SEARCH(Classifiers!$B$10,E316)),1,0))+IF(Classifiers!$C$10="",0,IF(ISNUMBER(SEARCH(Classifiers!$C$10,E316)),1,0))+IF(Classifiers!$D$10="",0,IF(ISNUMBER(SEARCH(Classifiers!$D$10,E316)),1,0))+IF(Classifiers!$E$10="",0,IF(ISNUMBER(SEARCH(Classifiers!$E$10,E316)),1,0))+IF(Classifiers!$F$10="",0,IF(ISNUMBER(SEARCH(Classifiers!$F$10,E316)),1,0))+IF(Classifiers!$G$10="",0,IF(ISNUMBER(SEARCH(Classifiers!$G$10,E316)),1,0)))&gt;0,1,0))</f>
        <v/>
      </c>
      <c r="P316" s="12">
        <f>IF(H316&lt;&gt;1,0,IF((IF(Classifiers!$B$11="",0,IF(ISNUMBER(SEARCH(Classifiers!$B$11,E316)),1,0))+IF(Classifiers!$C$11="",0,IF(ISNUMBER(SEARCH(Classifiers!$C$11,E316)),1,0))+IF(Classifiers!$D$11="",0,IF(ISNUMBER(SEARCH(Classifiers!$D$11,E316)),1,0))+IF(Classifiers!$E$11="",0,IF(ISNUMBER(SEARCH(Classifiers!$E$11,E316)),1,0))+IF(Classifiers!$F$11="",0,IF(ISNUMBER(SEARCH(Classifiers!$F$11,E316)),1,0))+IF(Classifiers!$G$11="",0,IF(ISNUMBER(SEARCH(Classifiers!$G$11,E316)),1,0)))&gt;0,1,0))</f>
        <v/>
      </c>
      <c r="Q316" s="12">
        <f>IF(H316&lt;&gt;1,0,IF((IF(Classifiers!$B$12="",0,IF(ISNUMBER(SEARCH(Classifiers!$B$12,E316)),1,0))+IF(Classifiers!$C$12="",0,IF(ISNUMBER(SEARCH(Classifiers!$C$12,E316)),1,0))+IF(Classifiers!$D$12="",0,IF(ISNUMBER(SEARCH(Classifiers!$D$12,E316)),1,0))+IF(Classifiers!$E$12="",0,IF(ISNUMBER(SEARCH(Classifiers!$E$12,E316)),1,0))+IF(Classifiers!$F$12="",0,IF(ISNUMBER(SEARCH(Classifiers!$F$12,E316)),1,0))+IF(Classifiers!$G$12="",0,IF(ISNUMBER(SEARCH(Classifiers!$G$12,E316)),1,0)))&gt;0,1,0))</f>
        <v/>
      </c>
      <c r="R316" s="12">
        <f>IF(H316&lt;&gt;1,0,IF((IF(Classifiers!$B$13="",0,IF(ISNUMBER(SEARCH(Classifiers!$B$13,E316)),1,0))+IF(Classifiers!$C$13="",0,IF(ISNUMBER(SEARCH(Classifiers!$C$13,E316)),1,0))+IF(Classifiers!$D$13="",0,IF(ISNUMBER(SEARCH(Classifiers!$D$13,E316)),1,0))+IF(Classifiers!$E$13="",0,IF(ISNUMBER(SEARCH(Classifiers!$E$13,E316)),1,0))+IF(Classifiers!$F$13="",0,IF(ISNUMBER(SEARCH(Classifiers!$F$13,E316)),1,0))+IF(Classifiers!$G$13="",0,IF(ISNUMBER(SEARCH(Classifiers!$G$13,E316)),1,0)))&gt;0,1,0))</f>
        <v/>
      </c>
      <c r="S316" s="12">
        <f>IF(H316&lt;&gt;1,0,IF((IF(Classifiers!$B$14="",0,IF(ISNUMBER(SEARCH(Classifiers!$B$14,E316)),1,0))+IF(Classifiers!$C$14="",0,IF(ISNUMBER(SEARCH(Classifiers!$C$14,E316)),1,0))+IF(Classifiers!$D$14="",0,IF(ISNUMBER(SEARCH(Classifiers!$D$14,E316)),1,0))+IF(Classifiers!$E$14="",0,IF(ISNUMBER(SEARCH(Classifiers!$E$14,E316)),1,0))+IF(Classifiers!$F$14="",0,IF(ISNUMBER(SEARCH(Classifiers!$F$14,E316)),1,0))+IF(Classifiers!$G$14="",0,IF(ISNUMBER(SEARCH(Classifiers!$G$14,E316)),1,0)))&gt;0,1,0))</f>
        <v/>
      </c>
      <c r="T316" s="12">
        <f>IF(H316&lt;&gt;1,0,IF((IF(Classifiers!$B$15="",0,IF(ISNUMBER(SEARCH(Classifiers!$B$15,E316)),1,0))+IF(Classifiers!$C$15="",0,IF(ISNUMBER(SEARCH(Classifiers!$C$15,E316)),1,0))+IF(Classifiers!$D$15="",0,IF(ISNUMBER(SEARCH(Classifiers!$D$15,E316)),1,0))+IF(Classifiers!$E$15="",0,IF(ISNUMBER(SEARCH(Classifiers!$E$15,E316)),1,0))+IF(Classifiers!$F$15="",0,IF(ISNUMBER(SEARCH(Classifiers!$F$15,E316)),1,0))+IF(Classifiers!$G$15="",0,IF(ISNUMBER(SEARCH(Classifiers!$G$15,E316)),1,0)))&gt;0,1,0))</f>
        <v/>
      </c>
      <c r="U316" s="12">
        <f>IF(H316&lt;&gt;1,0,IF((IF(Classifiers!$B$16="",0,IF(ISNUMBER(SEARCH(Classifiers!$B$16,E316)),1,0))+IF(Classifiers!$C$16="",0,IF(ISNUMBER(SEARCH(Classifiers!$C$16,E316)),1,0))+IF(Classifiers!$D$16="",0,IF(ISNUMBER(SEARCH(Classifiers!$D$16,E316)),1,0))+IF(Classifiers!$E$16="",0,IF(ISNUMBER(SEARCH(Classifiers!$E$16,E316)),1,0))+IF(Classifiers!$F$16="",0,IF(ISNUMBER(SEARCH(Classifiers!$F$16,E316)),1,0))+IF(Classifiers!$G$16="",0,IF(ISNUMBER(SEARCH(Classifiers!$G$16,E316)),1,0)))&gt;0,1,0))</f>
        <v/>
      </c>
      <c r="V316" s="12">
        <f>IF(H316&lt;&gt;1,0,IF((IF(Classifiers!$B$17="",0,IF(ISNUMBER(SEARCH(Classifiers!$B$17,E316)),1,0))+IF(Classifiers!$C$17="",0,IF(ISNUMBER(SEARCH(Classifiers!$C$17,E316)),1,0))+IF(Classifiers!$D$17="",0,IF(ISNUMBER(SEARCH(Classifiers!$D$17,E316)),1,0))+IF(Classifiers!$E$17="",0,IF(ISNUMBER(SEARCH(Classifiers!$E$17,E316)),1,0))+IF(Classifiers!$F$17="",0,IF(ISNUMBER(SEARCH(Classifiers!$F$17,E316)),1,0))+IF(Classifiers!$G$17="",0,IF(ISNUMBER(SEARCH(Classifiers!$G$17,E316)),1,0)))&gt;0,1,0))</f>
        <v/>
      </c>
      <c r="W316" s="12">
        <f>IF(H316&lt;&gt;1,0,IF((IF(Classifiers!$B$18="",0,IF(ISNUMBER(SEARCH(Classifiers!$B$18,E316)),1,0))+IF(Classifiers!$C$18="",0,IF(ISNUMBER(SEARCH(Classifiers!$C$18,E316)),1,0))+IF(Classifiers!$D$18="",0,IF(ISNUMBER(SEARCH(Classifiers!$D$18,E316)),1,0))+IF(Classifiers!$E$18="",0,IF(ISNUMBER(SEARCH(Classifiers!$E$18,E316)),1,0))+IF(Classifiers!$F$18="",0,IF(ISNUMBER(SEARCH(Classifiers!$F$18,E316)),1,0))+IF(Classifiers!$G$18="",0,IF(ISNUMBER(SEARCH(Classifiers!$G$18,E316)),1,0)))&gt;0,1,0))</f>
        <v/>
      </c>
    </row>
    <row r="317">
      <c r="A317" s="8" t="n"/>
      <c r="B317" s="11" t="n"/>
      <c r="C317" s="6">
        <f>IF(A317="","",TRIM(RIGHT(SUBSTITUTE(A317,"/",REPT(" ",250)),250)))</f>
        <v/>
      </c>
      <c r="D317" s="6">
        <f>IF(C317="","",IF(ISNUMBER(SEARCH(".",C317)),LOWER("."&amp;TRIM(RIGHT(SUBSTITUTE(C317,".",REPT(" ",250)),250))),""))</f>
        <v/>
      </c>
      <c r="E317" s="6">
        <f>IF(C317="","",TRIM(SUBSTITUTE(SUBSTITUTE(SUBSTITUTE(SUBSTITUTE(SUBSTITUTE(SUBSTITUTE(SUBSTITUTE(SUBSTITUTE(SUBSTITUTE(SUBSTITUTE(SUBSTITUTE(SUBSTITUTE(SUBSTITUTE(SUBSTITUTE(SUBSTITUTE(SUBSTITUTE(SUBSTITUTE(SUBSTITUTE(SUBSTITUTE(SUBSTITUTE(LOWER(LEFT(C317,LEN(C317)-LEN(D317))),"_"," "),"-"," "),"."," "),","," "),"("," "),")"," "),"["," "),"]"," "),"&amp;"," "),"+"," "),"@"," "),"#"," "),"!"," "),"'"," "),"/"," "),":"," "),";"," "),"="," "),"~"," "),"%"," ")))</f>
        <v/>
      </c>
      <c r="F317" s="6">
        <f>IF(C317="","",IF(COUNTIF(Classifiers!$A$23:$A$40,D317)&gt;0,1,0))</f>
        <v/>
      </c>
      <c r="G317" s="6">
        <f>IF(C317="","",IF(COUNTIF(Classifiers!$C$23:$C$30,D317)&gt;0,IF((IF(ISNUMBER(SEARCH(Classifiers!$E$23,E317)),1,0)+IF(ISNUMBER(SEARCH(Classifiers!$E$24,E317)),1,0)+IF(ISNUMBER(SEARCH(Classifiers!$E$25,E317)),1,0)+IF(ISNUMBER(SEARCH(Classifiers!$E$26,E317)),1,0)+IF(ISNUMBER(SEARCH(Classifiers!$E$27,E317)),1,0)+IF(ISNUMBER(SEARCH(Classifiers!$E$28,E317)),1,0)+IF(ISNUMBER(SEARCH(Classifiers!$E$29,E317)),1,0)+IF(ISNUMBER(SEARCH(Classifiers!$E$30,E317)),1,0))&gt;0,1,0),0))</f>
        <v/>
      </c>
      <c r="H317" s="6">
        <f>IF(C317="","",IF(OR(LEFT(C317,1)=".",AND(F317=0,G317=0)),0,1))</f>
        <v/>
      </c>
      <c r="I317" s="6">
        <f>IF(H317&lt;&gt;1,"",IF(SUM(J317:W317)=0,"unclassified",INDEX(Classifiers!$A$5:$A$18,MATCH(1,J317:W317,0),1)))</f>
        <v/>
      </c>
      <c r="J317" s="12">
        <f>IF(H317&lt;&gt;1,0,IF((IF(Classifiers!$B$5="",0,IF(ISNUMBER(SEARCH(Classifiers!$B$5,E317)),1,0))+IF(Classifiers!$C$5="",0,IF(ISNUMBER(SEARCH(Classifiers!$C$5,E317)),1,0))+IF(Classifiers!$D$5="",0,IF(ISNUMBER(SEARCH(Classifiers!$D$5,E317)),1,0))+IF(Classifiers!$E$5="",0,IF(ISNUMBER(SEARCH(Classifiers!$E$5,E317)),1,0))+IF(Classifiers!$F$5="",0,IF(ISNUMBER(SEARCH(Classifiers!$F$5,E317)),1,0))+IF(Classifiers!$G$5="",0,IF(ISNUMBER(SEARCH(Classifiers!$G$5,E317)),1,0)))&gt;0,1,0))</f>
        <v/>
      </c>
      <c r="K317" s="12">
        <f>IF(H317&lt;&gt;1,0,IF((IF(Classifiers!$B$6="",0,IF(ISNUMBER(SEARCH(Classifiers!$B$6,E317)),1,0))+IF(Classifiers!$C$6="",0,IF(ISNUMBER(SEARCH(Classifiers!$C$6,E317)),1,0))+IF(Classifiers!$D$6="",0,IF(ISNUMBER(SEARCH(Classifiers!$D$6,E317)),1,0))+IF(Classifiers!$E$6="",0,IF(ISNUMBER(SEARCH(Classifiers!$E$6,E317)),1,0))+IF(Classifiers!$F$6="",0,IF(ISNUMBER(SEARCH(Classifiers!$F$6,E317)),1,0))+IF(Classifiers!$G$6="",0,IF(ISNUMBER(SEARCH(Classifiers!$G$6,E317)),1,0)))&gt;0,1,0))</f>
        <v/>
      </c>
      <c r="L317" s="12">
        <f>IF(H317&lt;&gt;1,0,IF((IF(Classifiers!$B$7="",0,IF(ISNUMBER(SEARCH(Classifiers!$B$7,E317)),1,0))+IF(Classifiers!$C$7="",0,IF(ISNUMBER(SEARCH(Classifiers!$C$7,E317)),1,0))+IF(Classifiers!$D$7="",0,IF(ISNUMBER(SEARCH(Classifiers!$D$7,E317)),1,0))+IF(Classifiers!$E$7="",0,IF(ISNUMBER(SEARCH(Classifiers!$E$7,E317)),1,0))+IF(Classifiers!$F$7="",0,IF(ISNUMBER(SEARCH(Classifiers!$F$7,E317)),1,0))+IF(Classifiers!$G$7="",0,IF(ISNUMBER(SEARCH(Classifiers!$G$7,E317)),1,0)))&gt;0,1,0))</f>
        <v/>
      </c>
      <c r="M317" s="12">
        <f>IF(H317&lt;&gt;1,0,IF((IF(Classifiers!$B$8="",0,IF(ISNUMBER(SEARCH(Classifiers!$B$8,E317)),1,0))+IF(Classifiers!$C$8="",0,IF(ISNUMBER(SEARCH(Classifiers!$C$8,E317)),1,0))+IF(Classifiers!$D$8="",0,IF(ISNUMBER(SEARCH(Classifiers!$D$8,E317)),1,0))+IF(Classifiers!$E$8="",0,IF(ISNUMBER(SEARCH(Classifiers!$E$8,E317)),1,0))+IF(Classifiers!$F$8="",0,IF(ISNUMBER(SEARCH(Classifiers!$F$8,E317)),1,0))+IF(Classifiers!$G$8="",0,IF(ISNUMBER(SEARCH(Classifiers!$G$8,E317)),1,0)))&gt;0,1,0))</f>
        <v/>
      </c>
      <c r="N317" s="12">
        <f>IF(H317&lt;&gt;1,0,IF((IF(Classifiers!$B$9="",0,IF(ISNUMBER(SEARCH(Classifiers!$B$9,E317)),1,0))+IF(Classifiers!$C$9="",0,IF(ISNUMBER(SEARCH(Classifiers!$C$9,E317)),1,0))+IF(Classifiers!$D$9="",0,IF(ISNUMBER(SEARCH(Classifiers!$D$9,E317)),1,0))+IF(Classifiers!$E$9="",0,IF(ISNUMBER(SEARCH(Classifiers!$E$9,E317)),1,0))+IF(Classifiers!$F$9="",0,IF(ISNUMBER(SEARCH(Classifiers!$F$9,E317)),1,0))+IF(Classifiers!$G$9="",0,IF(ISNUMBER(SEARCH(Classifiers!$G$9,E317)),1,0)))&gt;0,1,0))</f>
        <v/>
      </c>
      <c r="O317" s="12">
        <f>IF(H317&lt;&gt;1,0,IF((IF(Classifiers!$B$10="",0,IF(ISNUMBER(SEARCH(Classifiers!$B$10,E317)),1,0))+IF(Classifiers!$C$10="",0,IF(ISNUMBER(SEARCH(Classifiers!$C$10,E317)),1,0))+IF(Classifiers!$D$10="",0,IF(ISNUMBER(SEARCH(Classifiers!$D$10,E317)),1,0))+IF(Classifiers!$E$10="",0,IF(ISNUMBER(SEARCH(Classifiers!$E$10,E317)),1,0))+IF(Classifiers!$F$10="",0,IF(ISNUMBER(SEARCH(Classifiers!$F$10,E317)),1,0))+IF(Classifiers!$G$10="",0,IF(ISNUMBER(SEARCH(Classifiers!$G$10,E317)),1,0)))&gt;0,1,0))</f>
        <v/>
      </c>
      <c r="P317" s="12">
        <f>IF(H317&lt;&gt;1,0,IF((IF(Classifiers!$B$11="",0,IF(ISNUMBER(SEARCH(Classifiers!$B$11,E317)),1,0))+IF(Classifiers!$C$11="",0,IF(ISNUMBER(SEARCH(Classifiers!$C$11,E317)),1,0))+IF(Classifiers!$D$11="",0,IF(ISNUMBER(SEARCH(Classifiers!$D$11,E317)),1,0))+IF(Classifiers!$E$11="",0,IF(ISNUMBER(SEARCH(Classifiers!$E$11,E317)),1,0))+IF(Classifiers!$F$11="",0,IF(ISNUMBER(SEARCH(Classifiers!$F$11,E317)),1,0))+IF(Classifiers!$G$11="",0,IF(ISNUMBER(SEARCH(Classifiers!$G$11,E317)),1,0)))&gt;0,1,0))</f>
        <v/>
      </c>
      <c r="Q317" s="12">
        <f>IF(H317&lt;&gt;1,0,IF((IF(Classifiers!$B$12="",0,IF(ISNUMBER(SEARCH(Classifiers!$B$12,E317)),1,0))+IF(Classifiers!$C$12="",0,IF(ISNUMBER(SEARCH(Classifiers!$C$12,E317)),1,0))+IF(Classifiers!$D$12="",0,IF(ISNUMBER(SEARCH(Classifiers!$D$12,E317)),1,0))+IF(Classifiers!$E$12="",0,IF(ISNUMBER(SEARCH(Classifiers!$E$12,E317)),1,0))+IF(Classifiers!$F$12="",0,IF(ISNUMBER(SEARCH(Classifiers!$F$12,E317)),1,0))+IF(Classifiers!$G$12="",0,IF(ISNUMBER(SEARCH(Classifiers!$G$12,E317)),1,0)))&gt;0,1,0))</f>
        <v/>
      </c>
      <c r="R317" s="12">
        <f>IF(H317&lt;&gt;1,0,IF((IF(Classifiers!$B$13="",0,IF(ISNUMBER(SEARCH(Classifiers!$B$13,E317)),1,0))+IF(Classifiers!$C$13="",0,IF(ISNUMBER(SEARCH(Classifiers!$C$13,E317)),1,0))+IF(Classifiers!$D$13="",0,IF(ISNUMBER(SEARCH(Classifiers!$D$13,E317)),1,0))+IF(Classifiers!$E$13="",0,IF(ISNUMBER(SEARCH(Classifiers!$E$13,E317)),1,0))+IF(Classifiers!$F$13="",0,IF(ISNUMBER(SEARCH(Classifiers!$F$13,E317)),1,0))+IF(Classifiers!$G$13="",0,IF(ISNUMBER(SEARCH(Classifiers!$G$13,E317)),1,0)))&gt;0,1,0))</f>
        <v/>
      </c>
      <c r="S317" s="12">
        <f>IF(H317&lt;&gt;1,0,IF((IF(Classifiers!$B$14="",0,IF(ISNUMBER(SEARCH(Classifiers!$B$14,E317)),1,0))+IF(Classifiers!$C$14="",0,IF(ISNUMBER(SEARCH(Classifiers!$C$14,E317)),1,0))+IF(Classifiers!$D$14="",0,IF(ISNUMBER(SEARCH(Classifiers!$D$14,E317)),1,0))+IF(Classifiers!$E$14="",0,IF(ISNUMBER(SEARCH(Classifiers!$E$14,E317)),1,0))+IF(Classifiers!$F$14="",0,IF(ISNUMBER(SEARCH(Classifiers!$F$14,E317)),1,0))+IF(Classifiers!$G$14="",0,IF(ISNUMBER(SEARCH(Classifiers!$G$14,E317)),1,0)))&gt;0,1,0))</f>
        <v/>
      </c>
      <c r="T317" s="12">
        <f>IF(H317&lt;&gt;1,0,IF((IF(Classifiers!$B$15="",0,IF(ISNUMBER(SEARCH(Classifiers!$B$15,E317)),1,0))+IF(Classifiers!$C$15="",0,IF(ISNUMBER(SEARCH(Classifiers!$C$15,E317)),1,0))+IF(Classifiers!$D$15="",0,IF(ISNUMBER(SEARCH(Classifiers!$D$15,E317)),1,0))+IF(Classifiers!$E$15="",0,IF(ISNUMBER(SEARCH(Classifiers!$E$15,E317)),1,0))+IF(Classifiers!$F$15="",0,IF(ISNUMBER(SEARCH(Classifiers!$F$15,E317)),1,0))+IF(Classifiers!$G$15="",0,IF(ISNUMBER(SEARCH(Classifiers!$G$15,E317)),1,0)))&gt;0,1,0))</f>
        <v/>
      </c>
      <c r="U317" s="12">
        <f>IF(H317&lt;&gt;1,0,IF((IF(Classifiers!$B$16="",0,IF(ISNUMBER(SEARCH(Classifiers!$B$16,E317)),1,0))+IF(Classifiers!$C$16="",0,IF(ISNUMBER(SEARCH(Classifiers!$C$16,E317)),1,0))+IF(Classifiers!$D$16="",0,IF(ISNUMBER(SEARCH(Classifiers!$D$16,E317)),1,0))+IF(Classifiers!$E$16="",0,IF(ISNUMBER(SEARCH(Classifiers!$E$16,E317)),1,0))+IF(Classifiers!$F$16="",0,IF(ISNUMBER(SEARCH(Classifiers!$F$16,E317)),1,0))+IF(Classifiers!$G$16="",0,IF(ISNUMBER(SEARCH(Classifiers!$G$16,E317)),1,0)))&gt;0,1,0))</f>
        <v/>
      </c>
      <c r="V317" s="12">
        <f>IF(H317&lt;&gt;1,0,IF((IF(Classifiers!$B$17="",0,IF(ISNUMBER(SEARCH(Classifiers!$B$17,E317)),1,0))+IF(Classifiers!$C$17="",0,IF(ISNUMBER(SEARCH(Classifiers!$C$17,E317)),1,0))+IF(Classifiers!$D$17="",0,IF(ISNUMBER(SEARCH(Classifiers!$D$17,E317)),1,0))+IF(Classifiers!$E$17="",0,IF(ISNUMBER(SEARCH(Classifiers!$E$17,E317)),1,0))+IF(Classifiers!$F$17="",0,IF(ISNUMBER(SEARCH(Classifiers!$F$17,E317)),1,0))+IF(Classifiers!$G$17="",0,IF(ISNUMBER(SEARCH(Classifiers!$G$17,E317)),1,0)))&gt;0,1,0))</f>
        <v/>
      </c>
      <c r="W317" s="12">
        <f>IF(H317&lt;&gt;1,0,IF((IF(Classifiers!$B$18="",0,IF(ISNUMBER(SEARCH(Classifiers!$B$18,E317)),1,0))+IF(Classifiers!$C$18="",0,IF(ISNUMBER(SEARCH(Classifiers!$C$18,E317)),1,0))+IF(Classifiers!$D$18="",0,IF(ISNUMBER(SEARCH(Classifiers!$D$18,E317)),1,0))+IF(Classifiers!$E$18="",0,IF(ISNUMBER(SEARCH(Classifiers!$E$18,E317)),1,0))+IF(Classifiers!$F$18="",0,IF(ISNUMBER(SEARCH(Classifiers!$F$18,E317)),1,0))+IF(Classifiers!$G$18="",0,IF(ISNUMBER(SEARCH(Classifiers!$G$18,E317)),1,0)))&gt;0,1,0))</f>
        <v/>
      </c>
    </row>
    <row r="318">
      <c r="A318" s="8" t="n"/>
      <c r="B318" s="11" t="n"/>
      <c r="C318" s="6">
        <f>IF(A318="","",TRIM(RIGHT(SUBSTITUTE(A318,"/",REPT(" ",250)),250)))</f>
        <v/>
      </c>
      <c r="D318" s="6">
        <f>IF(C318="","",IF(ISNUMBER(SEARCH(".",C318)),LOWER("."&amp;TRIM(RIGHT(SUBSTITUTE(C318,".",REPT(" ",250)),250))),""))</f>
        <v/>
      </c>
      <c r="E318" s="6">
        <f>IF(C318="","",TRIM(SUBSTITUTE(SUBSTITUTE(SUBSTITUTE(SUBSTITUTE(SUBSTITUTE(SUBSTITUTE(SUBSTITUTE(SUBSTITUTE(SUBSTITUTE(SUBSTITUTE(SUBSTITUTE(SUBSTITUTE(SUBSTITUTE(SUBSTITUTE(SUBSTITUTE(SUBSTITUTE(SUBSTITUTE(SUBSTITUTE(SUBSTITUTE(SUBSTITUTE(LOWER(LEFT(C318,LEN(C318)-LEN(D318))),"_"," "),"-"," "),"."," "),","," "),"("," "),")"," "),"["," "),"]"," "),"&amp;"," "),"+"," "),"@"," "),"#"," "),"!"," "),"'"," "),"/"," "),":"," "),";"," "),"="," "),"~"," "),"%"," ")))</f>
        <v/>
      </c>
      <c r="F318" s="6">
        <f>IF(C318="","",IF(COUNTIF(Classifiers!$A$23:$A$40,D318)&gt;0,1,0))</f>
        <v/>
      </c>
      <c r="G318" s="6">
        <f>IF(C318="","",IF(COUNTIF(Classifiers!$C$23:$C$30,D318)&gt;0,IF((IF(ISNUMBER(SEARCH(Classifiers!$E$23,E318)),1,0)+IF(ISNUMBER(SEARCH(Classifiers!$E$24,E318)),1,0)+IF(ISNUMBER(SEARCH(Classifiers!$E$25,E318)),1,0)+IF(ISNUMBER(SEARCH(Classifiers!$E$26,E318)),1,0)+IF(ISNUMBER(SEARCH(Classifiers!$E$27,E318)),1,0)+IF(ISNUMBER(SEARCH(Classifiers!$E$28,E318)),1,0)+IF(ISNUMBER(SEARCH(Classifiers!$E$29,E318)),1,0)+IF(ISNUMBER(SEARCH(Classifiers!$E$30,E318)),1,0))&gt;0,1,0),0))</f>
        <v/>
      </c>
      <c r="H318" s="6">
        <f>IF(C318="","",IF(OR(LEFT(C318,1)=".",AND(F318=0,G318=0)),0,1))</f>
        <v/>
      </c>
      <c r="I318" s="6">
        <f>IF(H318&lt;&gt;1,"",IF(SUM(J318:W318)=0,"unclassified",INDEX(Classifiers!$A$5:$A$18,MATCH(1,J318:W318,0),1)))</f>
        <v/>
      </c>
      <c r="J318" s="12">
        <f>IF(H318&lt;&gt;1,0,IF((IF(Classifiers!$B$5="",0,IF(ISNUMBER(SEARCH(Classifiers!$B$5,E318)),1,0))+IF(Classifiers!$C$5="",0,IF(ISNUMBER(SEARCH(Classifiers!$C$5,E318)),1,0))+IF(Classifiers!$D$5="",0,IF(ISNUMBER(SEARCH(Classifiers!$D$5,E318)),1,0))+IF(Classifiers!$E$5="",0,IF(ISNUMBER(SEARCH(Classifiers!$E$5,E318)),1,0))+IF(Classifiers!$F$5="",0,IF(ISNUMBER(SEARCH(Classifiers!$F$5,E318)),1,0))+IF(Classifiers!$G$5="",0,IF(ISNUMBER(SEARCH(Classifiers!$G$5,E318)),1,0)))&gt;0,1,0))</f>
        <v/>
      </c>
      <c r="K318" s="12">
        <f>IF(H318&lt;&gt;1,0,IF((IF(Classifiers!$B$6="",0,IF(ISNUMBER(SEARCH(Classifiers!$B$6,E318)),1,0))+IF(Classifiers!$C$6="",0,IF(ISNUMBER(SEARCH(Classifiers!$C$6,E318)),1,0))+IF(Classifiers!$D$6="",0,IF(ISNUMBER(SEARCH(Classifiers!$D$6,E318)),1,0))+IF(Classifiers!$E$6="",0,IF(ISNUMBER(SEARCH(Classifiers!$E$6,E318)),1,0))+IF(Classifiers!$F$6="",0,IF(ISNUMBER(SEARCH(Classifiers!$F$6,E318)),1,0))+IF(Classifiers!$G$6="",0,IF(ISNUMBER(SEARCH(Classifiers!$G$6,E318)),1,0)))&gt;0,1,0))</f>
        <v/>
      </c>
      <c r="L318" s="12">
        <f>IF(H318&lt;&gt;1,0,IF((IF(Classifiers!$B$7="",0,IF(ISNUMBER(SEARCH(Classifiers!$B$7,E318)),1,0))+IF(Classifiers!$C$7="",0,IF(ISNUMBER(SEARCH(Classifiers!$C$7,E318)),1,0))+IF(Classifiers!$D$7="",0,IF(ISNUMBER(SEARCH(Classifiers!$D$7,E318)),1,0))+IF(Classifiers!$E$7="",0,IF(ISNUMBER(SEARCH(Classifiers!$E$7,E318)),1,0))+IF(Classifiers!$F$7="",0,IF(ISNUMBER(SEARCH(Classifiers!$F$7,E318)),1,0))+IF(Classifiers!$G$7="",0,IF(ISNUMBER(SEARCH(Classifiers!$G$7,E318)),1,0)))&gt;0,1,0))</f>
        <v/>
      </c>
      <c r="M318" s="12">
        <f>IF(H318&lt;&gt;1,0,IF((IF(Classifiers!$B$8="",0,IF(ISNUMBER(SEARCH(Classifiers!$B$8,E318)),1,0))+IF(Classifiers!$C$8="",0,IF(ISNUMBER(SEARCH(Classifiers!$C$8,E318)),1,0))+IF(Classifiers!$D$8="",0,IF(ISNUMBER(SEARCH(Classifiers!$D$8,E318)),1,0))+IF(Classifiers!$E$8="",0,IF(ISNUMBER(SEARCH(Classifiers!$E$8,E318)),1,0))+IF(Classifiers!$F$8="",0,IF(ISNUMBER(SEARCH(Classifiers!$F$8,E318)),1,0))+IF(Classifiers!$G$8="",0,IF(ISNUMBER(SEARCH(Classifiers!$G$8,E318)),1,0)))&gt;0,1,0))</f>
        <v/>
      </c>
      <c r="N318" s="12">
        <f>IF(H318&lt;&gt;1,0,IF((IF(Classifiers!$B$9="",0,IF(ISNUMBER(SEARCH(Classifiers!$B$9,E318)),1,0))+IF(Classifiers!$C$9="",0,IF(ISNUMBER(SEARCH(Classifiers!$C$9,E318)),1,0))+IF(Classifiers!$D$9="",0,IF(ISNUMBER(SEARCH(Classifiers!$D$9,E318)),1,0))+IF(Classifiers!$E$9="",0,IF(ISNUMBER(SEARCH(Classifiers!$E$9,E318)),1,0))+IF(Classifiers!$F$9="",0,IF(ISNUMBER(SEARCH(Classifiers!$F$9,E318)),1,0))+IF(Classifiers!$G$9="",0,IF(ISNUMBER(SEARCH(Classifiers!$G$9,E318)),1,0)))&gt;0,1,0))</f>
        <v/>
      </c>
      <c r="O318" s="12">
        <f>IF(H318&lt;&gt;1,0,IF((IF(Classifiers!$B$10="",0,IF(ISNUMBER(SEARCH(Classifiers!$B$10,E318)),1,0))+IF(Classifiers!$C$10="",0,IF(ISNUMBER(SEARCH(Classifiers!$C$10,E318)),1,0))+IF(Classifiers!$D$10="",0,IF(ISNUMBER(SEARCH(Classifiers!$D$10,E318)),1,0))+IF(Classifiers!$E$10="",0,IF(ISNUMBER(SEARCH(Classifiers!$E$10,E318)),1,0))+IF(Classifiers!$F$10="",0,IF(ISNUMBER(SEARCH(Classifiers!$F$10,E318)),1,0))+IF(Classifiers!$G$10="",0,IF(ISNUMBER(SEARCH(Classifiers!$G$10,E318)),1,0)))&gt;0,1,0))</f>
        <v/>
      </c>
      <c r="P318" s="12">
        <f>IF(H318&lt;&gt;1,0,IF((IF(Classifiers!$B$11="",0,IF(ISNUMBER(SEARCH(Classifiers!$B$11,E318)),1,0))+IF(Classifiers!$C$11="",0,IF(ISNUMBER(SEARCH(Classifiers!$C$11,E318)),1,0))+IF(Classifiers!$D$11="",0,IF(ISNUMBER(SEARCH(Classifiers!$D$11,E318)),1,0))+IF(Classifiers!$E$11="",0,IF(ISNUMBER(SEARCH(Classifiers!$E$11,E318)),1,0))+IF(Classifiers!$F$11="",0,IF(ISNUMBER(SEARCH(Classifiers!$F$11,E318)),1,0))+IF(Classifiers!$G$11="",0,IF(ISNUMBER(SEARCH(Classifiers!$G$11,E318)),1,0)))&gt;0,1,0))</f>
        <v/>
      </c>
      <c r="Q318" s="12">
        <f>IF(H318&lt;&gt;1,0,IF((IF(Classifiers!$B$12="",0,IF(ISNUMBER(SEARCH(Classifiers!$B$12,E318)),1,0))+IF(Classifiers!$C$12="",0,IF(ISNUMBER(SEARCH(Classifiers!$C$12,E318)),1,0))+IF(Classifiers!$D$12="",0,IF(ISNUMBER(SEARCH(Classifiers!$D$12,E318)),1,0))+IF(Classifiers!$E$12="",0,IF(ISNUMBER(SEARCH(Classifiers!$E$12,E318)),1,0))+IF(Classifiers!$F$12="",0,IF(ISNUMBER(SEARCH(Classifiers!$F$12,E318)),1,0))+IF(Classifiers!$G$12="",0,IF(ISNUMBER(SEARCH(Classifiers!$G$12,E318)),1,0)))&gt;0,1,0))</f>
        <v/>
      </c>
      <c r="R318" s="12">
        <f>IF(H318&lt;&gt;1,0,IF((IF(Classifiers!$B$13="",0,IF(ISNUMBER(SEARCH(Classifiers!$B$13,E318)),1,0))+IF(Classifiers!$C$13="",0,IF(ISNUMBER(SEARCH(Classifiers!$C$13,E318)),1,0))+IF(Classifiers!$D$13="",0,IF(ISNUMBER(SEARCH(Classifiers!$D$13,E318)),1,0))+IF(Classifiers!$E$13="",0,IF(ISNUMBER(SEARCH(Classifiers!$E$13,E318)),1,0))+IF(Classifiers!$F$13="",0,IF(ISNUMBER(SEARCH(Classifiers!$F$13,E318)),1,0))+IF(Classifiers!$G$13="",0,IF(ISNUMBER(SEARCH(Classifiers!$G$13,E318)),1,0)))&gt;0,1,0))</f>
        <v/>
      </c>
      <c r="S318" s="12">
        <f>IF(H318&lt;&gt;1,0,IF((IF(Classifiers!$B$14="",0,IF(ISNUMBER(SEARCH(Classifiers!$B$14,E318)),1,0))+IF(Classifiers!$C$14="",0,IF(ISNUMBER(SEARCH(Classifiers!$C$14,E318)),1,0))+IF(Classifiers!$D$14="",0,IF(ISNUMBER(SEARCH(Classifiers!$D$14,E318)),1,0))+IF(Classifiers!$E$14="",0,IF(ISNUMBER(SEARCH(Classifiers!$E$14,E318)),1,0))+IF(Classifiers!$F$14="",0,IF(ISNUMBER(SEARCH(Classifiers!$F$14,E318)),1,0))+IF(Classifiers!$G$14="",0,IF(ISNUMBER(SEARCH(Classifiers!$G$14,E318)),1,0)))&gt;0,1,0))</f>
        <v/>
      </c>
      <c r="T318" s="12">
        <f>IF(H318&lt;&gt;1,0,IF((IF(Classifiers!$B$15="",0,IF(ISNUMBER(SEARCH(Classifiers!$B$15,E318)),1,0))+IF(Classifiers!$C$15="",0,IF(ISNUMBER(SEARCH(Classifiers!$C$15,E318)),1,0))+IF(Classifiers!$D$15="",0,IF(ISNUMBER(SEARCH(Classifiers!$D$15,E318)),1,0))+IF(Classifiers!$E$15="",0,IF(ISNUMBER(SEARCH(Classifiers!$E$15,E318)),1,0))+IF(Classifiers!$F$15="",0,IF(ISNUMBER(SEARCH(Classifiers!$F$15,E318)),1,0))+IF(Classifiers!$G$15="",0,IF(ISNUMBER(SEARCH(Classifiers!$G$15,E318)),1,0)))&gt;0,1,0))</f>
        <v/>
      </c>
      <c r="U318" s="12">
        <f>IF(H318&lt;&gt;1,0,IF((IF(Classifiers!$B$16="",0,IF(ISNUMBER(SEARCH(Classifiers!$B$16,E318)),1,0))+IF(Classifiers!$C$16="",0,IF(ISNUMBER(SEARCH(Classifiers!$C$16,E318)),1,0))+IF(Classifiers!$D$16="",0,IF(ISNUMBER(SEARCH(Classifiers!$D$16,E318)),1,0))+IF(Classifiers!$E$16="",0,IF(ISNUMBER(SEARCH(Classifiers!$E$16,E318)),1,0))+IF(Classifiers!$F$16="",0,IF(ISNUMBER(SEARCH(Classifiers!$F$16,E318)),1,0))+IF(Classifiers!$G$16="",0,IF(ISNUMBER(SEARCH(Classifiers!$G$16,E318)),1,0)))&gt;0,1,0))</f>
        <v/>
      </c>
      <c r="V318" s="12">
        <f>IF(H318&lt;&gt;1,0,IF((IF(Classifiers!$B$17="",0,IF(ISNUMBER(SEARCH(Classifiers!$B$17,E318)),1,0))+IF(Classifiers!$C$17="",0,IF(ISNUMBER(SEARCH(Classifiers!$C$17,E318)),1,0))+IF(Classifiers!$D$17="",0,IF(ISNUMBER(SEARCH(Classifiers!$D$17,E318)),1,0))+IF(Classifiers!$E$17="",0,IF(ISNUMBER(SEARCH(Classifiers!$E$17,E318)),1,0))+IF(Classifiers!$F$17="",0,IF(ISNUMBER(SEARCH(Classifiers!$F$17,E318)),1,0))+IF(Classifiers!$G$17="",0,IF(ISNUMBER(SEARCH(Classifiers!$G$17,E318)),1,0)))&gt;0,1,0))</f>
        <v/>
      </c>
      <c r="W318" s="12">
        <f>IF(H318&lt;&gt;1,0,IF((IF(Classifiers!$B$18="",0,IF(ISNUMBER(SEARCH(Classifiers!$B$18,E318)),1,0))+IF(Classifiers!$C$18="",0,IF(ISNUMBER(SEARCH(Classifiers!$C$18,E318)),1,0))+IF(Classifiers!$D$18="",0,IF(ISNUMBER(SEARCH(Classifiers!$D$18,E318)),1,0))+IF(Classifiers!$E$18="",0,IF(ISNUMBER(SEARCH(Classifiers!$E$18,E318)),1,0))+IF(Classifiers!$F$18="",0,IF(ISNUMBER(SEARCH(Classifiers!$F$18,E318)),1,0))+IF(Classifiers!$G$18="",0,IF(ISNUMBER(SEARCH(Classifiers!$G$18,E318)),1,0)))&gt;0,1,0))</f>
        <v/>
      </c>
    </row>
    <row r="319">
      <c r="A319" s="8" t="n"/>
      <c r="B319" s="11" t="n"/>
      <c r="C319" s="6">
        <f>IF(A319="","",TRIM(RIGHT(SUBSTITUTE(A319,"/",REPT(" ",250)),250)))</f>
        <v/>
      </c>
      <c r="D319" s="6">
        <f>IF(C319="","",IF(ISNUMBER(SEARCH(".",C319)),LOWER("."&amp;TRIM(RIGHT(SUBSTITUTE(C319,".",REPT(" ",250)),250))),""))</f>
        <v/>
      </c>
      <c r="E319" s="6">
        <f>IF(C319="","",TRIM(SUBSTITUTE(SUBSTITUTE(SUBSTITUTE(SUBSTITUTE(SUBSTITUTE(SUBSTITUTE(SUBSTITUTE(SUBSTITUTE(SUBSTITUTE(SUBSTITUTE(SUBSTITUTE(SUBSTITUTE(SUBSTITUTE(SUBSTITUTE(SUBSTITUTE(SUBSTITUTE(SUBSTITUTE(SUBSTITUTE(SUBSTITUTE(SUBSTITUTE(LOWER(LEFT(C319,LEN(C319)-LEN(D319))),"_"," "),"-"," "),"."," "),","," "),"("," "),")"," "),"["," "),"]"," "),"&amp;"," "),"+"," "),"@"," "),"#"," "),"!"," "),"'"," "),"/"," "),":"," "),";"," "),"="," "),"~"," "),"%"," ")))</f>
        <v/>
      </c>
      <c r="F319" s="6">
        <f>IF(C319="","",IF(COUNTIF(Classifiers!$A$23:$A$40,D319)&gt;0,1,0))</f>
        <v/>
      </c>
      <c r="G319" s="6">
        <f>IF(C319="","",IF(COUNTIF(Classifiers!$C$23:$C$30,D319)&gt;0,IF((IF(ISNUMBER(SEARCH(Classifiers!$E$23,E319)),1,0)+IF(ISNUMBER(SEARCH(Classifiers!$E$24,E319)),1,0)+IF(ISNUMBER(SEARCH(Classifiers!$E$25,E319)),1,0)+IF(ISNUMBER(SEARCH(Classifiers!$E$26,E319)),1,0)+IF(ISNUMBER(SEARCH(Classifiers!$E$27,E319)),1,0)+IF(ISNUMBER(SEARCH(Classifiers!$E$28,E319)),1,0)+IF(ISNUMBER(SEARCH(Classifiers!$E$29,E319)),1,0)+IF(ISNUMBER(SEARCH(Classifiers!$E$30,E319)),1,0))&gt;0,1,0),0))</f>
        <v/>
      </c>
      <c r="H319" s="6">
        <f>IF(C319="","",IF(OR(LEFT(C319,1)=".",AND(F319=0,G319=0)),0,1))</f>
        <v/>
      </c>
      <c r="I319" s="6">
        <f>IF(H319&lt;&gt;1,"",IF(SUM(J319:W319)=0,"unclassified",INDEX(Classifiers!$A$5:$A$18,MATCH(1,J319:W319,0),1)))</f>
        <v/>
      </c>
      <c r="J319" s="12">
        <f>IF(H319&lt;&gt;1,0,IF((IF(Classifiers!$B$5="",0,IF(ISNUMBER(SEARCH(Classifiers!$B$5,E319)),1,0))+IF(Classifiers!$C$5="",0,IF(ISNUMBER(SEARCH(Classifiers!$C$5,E319)),1,0))+IF(Classifiers!$D$5="",0,IF(ISNUMBER(SEARCH(Classifiers!$D$5,E319)),1,0))+IF(Classifiers!$E$5="",0,IF(ISNUMBER(SEARCH(Classifiers!$E$5,E319)),1,0))+IF(Classifiers!$F$5="",0,IF(ISNUMBER(SEARCH(Classifiers!$F$5,E319)),1,0))+IF(Classifiers!$G$5="",0,IF(ISNUMBER(SEARCH(Classifiers!$G$5,E319)),1,0)))&gt;0,1,0))</f>
        <v/>
      </c>
      <c r="K319" s="12">
        <f>IF(H319&lt;&gt;1,0,IF((IF(Classifiers!$B$6="",0,IF(ISNUMBER(SEARCH(Classifiers!$B$6,E319)),1,0))+IF(Classifiers!$C$6="",0,IF(ISNUMBER(SEARCH(Classifiers!$C$6,E319)),1,0))+IF(Classifiers!$D$6="",0,IF(ISNUMBER(SEARCH(Classifiers!$D$6,E319)),1,0))+IF(Classifiers!$E$6="",0,IF(ISNUMBER(SEARCH(Classifiers!$E$6,E319)),1,0))+IF(Classifiers!$F$6="",0,IF(ISNUMBER(SEARCH(Classifiers!$F$6,E319)),1,0))+IF(Classifiers!$G$6="",0,IF(ISNUMBER(SEARCH(Classifiers!$G$6,E319)),1,0)))&gt;0,1,0))</f>
        <v/>
      </c>
      <c r="L319" s="12">
        <f>IF(H319&lt;&gt;1,0,IF((IF(Classifiers!$B$7="",0,IF(ISNUMBER(SEARCH(Classifiers!$B$7,E319)),1,0))+IF(Classifiers!$C$7="",0,IF(ISNUMBER(SEARCH(Classifiers!$C$7,E319)),1,0))+IF(Classifiers!$D$7="",0,IF(ISNUMBER(SEARCH(Classifiers!$D$7,E319)),1,0))+IF(Classifiers!$E$7="",0,IF(ISNUMBER(SEARCH(Classifiers!$E$7,E319)),1,0))+IF(Classifiers!$F$7="",0,IF(ISNUMBER(SEARCH(Classifiers!$F$7,E319)),1,0))+IF(Classifiers!$G$7="",0,IF(ISNUMBER(SEARCH(Classifiers!$G$7,E319)),1,0)))&gt;0,1,0))</f>
        <v/>
      </c>
      <c r="M319" s="12">
        <f>IF(H319&lt;&gt;1,0,IF((IF(Classifiers!$B$8="",0,IF(ISNUMBER(SEARCH(Classifiers!$B$8,E319)),1,0))+IF(Classifiers!$C$8="",0,IF(ISNUMBER(SEARCH(Classifiers!$C$8,E319)),1,0))+IF(Classifiers!$D$8="",0,IF(ISNUMBER(SEARCH(Classifiers!$D$8,E319)),1,0))+IF(Classifiers!$E$8="",0,IF(ISNUMBER(SEARCH(Classifiers!$E$8,E319)),1,0))+IF(Classifiers!$F$8="",0,IF(ISNUMBER(SEARCH(Classifiers!$F$8,E319)),1,0))+IF(Classifiers!$G$8="",0,IF(ISNUMBER(SEARCH(Classifiers!$G$8,E319)),1,0)))&gt;0,1,0))</f>
        <v/>
      </c>
      <c r="N319" s="12">
        <f>IF(H319&lt;&gt;1,0,IF((IF(Classifiers!$B$9="",0,IF(ISNUMBER(SEARCH(Classifiers!$B$9,E319)),1,0))+IF(Classifiers!$C$9="",0,IF(ISNUMBER(SEARCH(Classifiers!$C$9,E319)),1,0))+IF(Classifiers!$D$9="",0,IF(ISNUMBER(SEARCH(Classifiers!$D$9,E319)),1,0))+IF(Classifiers!$E$9="",0,IF(ISNUMBER(SEARCH(Classifiers!$E$9,E319)),1,0))+IF(Classifiers!$F$9="",0,IF(ISNUMBER(SEARCH(Classifiers!$F$9,E319)),1,0))+IF(Classifiers!$G$9="",0,IF(ISNUMBER(SEARCH(Classifiers!$G$9,E319)),1,0)))&gt;0,1,0))</f>
        <v/>
      </c>
      <c r="O319" s="12">
        <f>IF(H319&lt;&gt;1,0,IF((IF(Classifiers!$B$10="",0,IF(ISNUMBER(SEARCH(Classifiers!$B$10,E319)),1,0))+IF(Classifiers!$C$10="",0,IF(ISNUMBER(SEARCH(Classifiers!$C$10,E319)),1,0))+IF(Classifiers!$D$10="",0,IF(ISNUMBER(SEARCH(Classifiers!$D$10,E319)),1,0))+IF(Classifiers!$E$10="",0,IF(ISNUMBER(SEARCH(Classifiers!$E$10,E319)),1,0))+IF(Classifiers!$F$10="",0,IF(ISNUMBER(SEARCH(Classifiers!$F$10,E319)),1,0))+IF(Classifiers!$G$10="",0,IF(ISNUMBER(SEARCH(Classifiers!$G$10,E319)),1,0)))&gt;0,1,0))</f>
        <v/>
      </c>
      <c r="P319" s="12">
        <f>IF(H319&lt;&gt;1,0,IF((IF(Classifiers!$B$11="",0,IF(ISNUMBER(SEARCH(Classifiers!$B$11,E319)),1,0))+IF(Classifiers!$C$11="",0,IF(ISNUMBER(SEARCH(Classifiers!$C$11,E319)),1,0))+IF(Classifiers!$D$11="",0,IF(ISNUMBER(SEARCH(Classifiers!$D$11,E319)),1,0))+IF(Classifiers!$E$11="",0,IF(ISNUMBER(SEARCH(Classifiers!$E$11,E319)),1,0))+IF(Classifiers!$F$11="",0,IF(ISNUMBER(SEARCH(Classifiers!$F$11,E319)),1,0))+IF(Classifiers!$G$11="",0,IF(ISNUMBER(SEARCH(Classifiers!$G$11,E319)),1,0)))&gt;0,1,0))</f>
        <v/>
      </c>
      <c r="Q319" s="12">
        <f>IF(H319&lt;&gt;1,0,IF((IF(Classifiers!$B$12="",0,IF(ISNUMBER(SEARCH(Classifiers!$B$12,E319)),1,0))+IF(Classifiers!$C$12="",0,IF(ISNUMBER(SEARCH(Classifiers!$C$12,E319)),1,0))+IF(Classifiers!$D$12="",0,IF(ISNUMBER(SEARCH(Classifiers!$D$12,E319)),1,0))+IF(Classifiers!$E$12="",0,IF(ISNUMBER(SEARCH(Classifiers!$E$12,E319)),1,0))+IF(Classifiers!$F$12="",0,IF(ISNUMBER(SEARCH(Classifiers!$F$12,E319)),1,0))+IF(Classifiers!$G$12="",0,IF(ISNUMBER(SEARCH(Classifiers!$G$12,E319)),1,0)))&gt;0,1,0))</f>
        <v/>
      </c>
      <c r="R319" s="12">
        <f>IF(H319&lt;&gt;1,0,IF((IF(Classifiers!$B$13="",0,IF(ISNUMBER(SEARCH(Classifiers!$B$13,E319)),1,0))+IF(Classifiers!$C$13="",0,IF(ISNUMBER(SEARCH(Classifiers!$C$13,E319)),1,0))+IF(Classifiers!$D$13="",0,IF(ISNUMBER(SEARCH(Classifiers!$D$13,E319)),1,0))+IF(Classifiers!$E$13="",0,IF(ISNUMBER(SEARCH(Classifiers!$E$13,E319)),1,0))+IF(Classifiers!$F$13="",0,IF(ISNUMBER(SEARCH(Classifiers!$F$13,E319)),1,0))+IF(Classifiers!$G$13="",0,IF(ISNUMBER(SEARCH(Classifiers!$G$13,E319)),1,0)))&gt;0,1,0))</f>
        <v/>
      </c>
      <c r="S319" s="12">
        <f>IF(H319&lt;&gt;1,0,IF((IF(Classifiers!$B$14="",0,IF(ISNUMBER(SEARCH(Classifiers!$B$14,E319)),1,0))+IF(Classifiers!$C$14="",0,IF(ISNUMBER(SEARCH(Classifiers!$C$14,E319)),1,0))+IF(Classifiers!$D$14="",0,IF(ISNUMBER(SEARCH(Classifiers!$D$14,E319)),1,0))+IF(Classifiers!$E$14="",0,IF(ISNUMBER(SEARCH(Classifiers!$E$14,E319)),1,0))+IF(Classifiers!$F$14="",0,IF(ISNUMBER(SEARCH(Classifiers!$F$14,E319)),1,0))+IF(Classifiers!$G$14="",0,IF(ISNUMBER(SEARCH(Classifiers!$G$14,E319)),1,0)))&gt;0,1,0))</f>
        <v/>
      </c>
      <c r="T319" s="12">
        <f>IF(H319&lt;&gt;1,0,IF((IF(Classifiers!$B$15="",0,IF(ISNUMBER(SEARCH(Classifiers!$B$15,E319)),1,0))+IF(Classifiers!$C$15="",0,IF(ISNUMBER(SEARCH(Classifiers!$C$15,E319)),1,0))+IF(Classifiers!$D$15="",0,IF(ISNUMBER(SEARCH(Classifiers!$D$15,E319)),1,0))+IF(Classifiers!$E$15="",0,IF(ISNUMBER(SEARCH(Classifiers!$E$15,E319)),1,0))+IF(Classifiers!$F$15="",0,IF(ISNUMBER(SEARCH(Classifiers!$F$15,E319)),1,0))+IF(Classifiers!$G$15="",0,IF(ISNUMBER(SEARCH(Classifiers!$G$15,E319)),1,0)))&gt;0,1,0))</f>
        <v/>
      </c>
      <c r="U319" s="12">
        <f>IF(H319&lt;&gt;1,0,IF((IF(Classifiers!$B$16="",0,IF(ISNUMBER(SEARCH(Classifiers!$B$16,E319)),1,0))+IF(Classifiers!$C$16="",0,IF(ISNUMBER(SEARCH(Classifiers!$C$16,E319)),1,0))+IF(Classifiers!$D$16="",0,IF(ISNUMBER(SEARCH(Classifiers!$D$16,E319)),1,0))+IF(Classifiers!$E$16="",0,IF(ISNUMBER(SEARCH(Classifiers!$E$16,E319)),1,0))+IF(Classifiers!$F$16="",0,IF(ISNUMBER(SEARCH(Classifiers!$F$16,E319)),1,0))+IF(Classifiers!$G$16="",0,IF(ISNUMBER(SEARCH(Classifiers!$G$16,E319)),1,0)))&gt;0,1,0))</f>
        <v/>
      </c>
      <c r="V319" s="12">
        <f>IF(H319&lt;&gt;1,0,IF((IF(Classifiers!$B$17="",0,IF(ISNUMBER(SEARCH(Classifiers!$B$17,E319)),1,0))+IF(Classifiers!$C$17="",0,IF(ISNUMBER(SEARCH(Classifiers!$C$17,E319)),1,0))+IF(Classifiers!$D$17="",0,IF(ISNUMBER(SEARCH(Classifiers!$D$17,E319)),1,0))+IF(Classifiers!$E$17="",0,IF(ISNUMBER(SEARCH(Classifiers!$E$17,E319)),1,0))+IF(Classifiers!$F$17="",0,IF(ISNUMBER(SEARCH(Classifiers!$F$17,E319)),1,0))+IF(Classifiers!$G$17="",0,IF(ISNUMBER(SEARCH(Classifiers!$G$17,E319)),1,0)))&gt;0,1,0))</f>
        <v/>
      </c>
      <c r="W319" s="12">
        <f>IF(H319&lt;&gt;1,0,IF((IF(Classifiers!$B$18="",0,IF(ISNUMBER(SEARCH(Classifiers!$B$18,E319)),1,0))+IF(Classifiers!$C$18="",0,IF(ISNUMBER(SEARCH(Classifiers!$C$18,E319)),1,0))+IF(Classifiers!$D$18="",0,IF(ISNUMBER(SEARCH(Classifiers!$D$18,E319)),1,0))+IF(Classifiers!$E$18="",0,IF(ISNUMBER(SEARCH(Classifiers!$E$18,E319)),1,0))+IF(Classifiers!$F$18="",0,IF(ISNUMBER(SEARCH(Classifiers!$F$18,E319)),1,0))+IF(Classifiers!$G$18="",0,IF(ISNUMBER(SEARCH(Classifiers!$G$18,E319)),1,0)))&gt;0,1,0))</f>
        <v/>
      </c>
    </row>
    <row r="320">
      <c r="A320" s="8" t="n"/>
      <c r="B320" s="11" t="n"/>
      <c r="C320" s="6">
        <f>IF(A320="","",TRIM(RIGHT(SUBSTITUTE(A320,"/",REPT(" ",250)),250)))</f>
        <v/>
      </c>
      <c r="D320" s="6">
        <f>IF(C320="","",IF(ISNUMBER(SEARCH(".",C320)),LOWER("."&amp;TRIM(RIGHT(SUBSTITUTE(C320,".",REPT(" ",250)),250))),""))</f>
        <v/>
      </c>
      <c r="E320" s="6">
        <f>IF(C320="","",TRIM(SUBSTITUTE(SUBSTITUTE(SUBSTITUTE(SUBSTITUTE(SUBSTITUTE(SUBSTITUTE(SUBSTITUTE(SUBSTITUTE(SUBSTITUTE(SUBSTITUTE(SUBSTITUTE(SUBSTITUTE(SUBSTITUTE(SUBSTITUTE(SUBSTITUTE(SUBSTITUTE(SUBSTITUTE(SUBSTITUTE(SUBSTITUTE(SUBSTITUTE(LOWER(LEFT(C320,LEN(C320)-LEN(D320))),"_"," "),"-"," "),"."," "),","," "),"("," "),")"," "),"["," "),"]"," "),"&amp;"," "),"+"," "),"@"," "),"#"," "),"!"," "),"'"," "),"/"," "),":"," "),";"," "),"="," "),"~"," "),"%"," ")))</f>
        <v/>
      </c>
      <c r="F320" s="6">
        <f>IF(C320="","",IF(COUNTIF(Classifiers!$A$23:$A$40,D320)&gt;0,1,0))</f>
        <v/>
      </c>
      <c r="G320" s="6">
        <f>IF(C320="","",IF(COUNTIF(Classifiers!$C$23:$C$30,D320)&gt;0,IF((IF(ISNUMBER(SEARCH(Classifiers!$E$23,E320)),1,0)+IF(ISNUMBER(SEARCH(Classifiers!$E$24,E320)),1,0)+IF(ISNUMBER(SEARCH(Classifiers!$E$25,E320)),1,0)+IF(ISNUMBER(SEARCH(Classifiers!$E$26,E320)),1,0)+IF(ISNUMBER(SEARCH(Classifiers!$E$27,E320)),1,0)+IF(ISNUMBER(SEARCH(Classifiers!$E$28,E320)),1,0)+IF(ISNUMBER(SEARCH(Classifiers!$E$29,E320)),1,0)+IF(ISNUMBER(SEARCH(Classifiers!$E$30,E320)),1,0))&gt;0,1,0),0))</f>
        <v/>
      </c>
      <c r="H320" s="6">
        <f>IF(C320="","",IF(OR(LEFT(C320,1)=".",AND(F320=0,G320=0)),0,1))</f>
        <v/>
      </c>
      <c r="I320" s="6">
        <f>IF(H320&lt;&gt;1,"",IF(SUM(J320:W320)=0,"unclassified",INDEX(Classifiers!$A$5:$A$18,MATCH(1,J320:W320,0),1)))</f>
        <v/>
      </c>
      <c r="J320" s="12">
        <f>IF(H320&lt;&gt;1,0,IF((IF(Classifiers!$B$5="",0,IF(ISNUMBER(SEARCH(Classifiers!$B$5,E320)),1,0))+IF(Classifiers!$C$5="",0,IF(ISNUMBER(SEARCH(Classifiers!$C$5,E320)),1,0))+IF(Classifiers!$D$5="",0,IF(ISNUMBER(SEARCH(Classifiers!$D$5,E320)),1,0))+IF(Classifiers!$E$5="",0,IF(ISNUMBER(SEARCH(Classifiers!$E$5,E320)),1,0))+IF(Classifiers!$F$5="",0,IF(ISNUMBER(SEARCH(Classifiers!$F$5,E320)),1,0))+IF(Classifiers!$G$5="",0,IF(ISNUMBER(SEARCH(Classifiers!$G$5,E320)),1,0)))&gt;0,1,0))</f>
        <v/>
      </c>
      <c r="K320" s="12">
        <f>IF(H320&lt;&gt;1,0,IF((IF(Classifiers!$B$6="",0,IF(ISNUMBER(SEARCH(Classifiers!$B$6,E320)),1,0))+IF(Classifiers!$C$6="",0,IF(ISNUMBER(SEARCH(Classifiers!$C$6,E320)),1,0))+IF(Classifiers!$D$6="",0,IF(ISNUMBER(SEARCH(Classifiers!$D$6,E320)),1,0))+IF(Classifiers!$E$6="",0,IF(ISNUMBER(SEARCH(Classifiers!$E$6,E320)),1,0))+IF(Classifiers!$F$6="",0,IF(ISNUMBER(SEARCH(Classifiers!$F$6,E320)),1,0))+IF(Classifiers!$G$6="",0,IF(ISNUMBER(SEARCH(Classifiers!$G$6,E320)),1,0)))&gt;0,1,0))</f>
        <v/>
      </c>
      <c r="L320" s="12">
        <f>IF(H320&lt;&gt;1,0,IF((IF(Classifiers!$B$7="",0,IF(ISNUMBER(SEARCH(Classifiers!$B$7,E320)),1,0))+IF(Classifiers!$C$7="",0,IF(ISNUMBER(SEARCH(Classifiers!$C$7,E320)),1,0))+IF(Classifiers!$D$7="",0,IF(ISNUMBER(SEARCH(Classifiers!$D$7,E320)),1,0))+IF(Classifiers!$E$7="",0,IF(ISNUMBER(SEARCH(Classifiers!$E$7,E320)),1,0))+IF(Classifiers!$F$7="",0,IF(ISNUMBER(SEARCH(Classifiers!$F$7,E320)),1,0))+IF(Classifiers!$G$7="",0,IF(ISNUMBER(SEARCH(Classifiers!$G$7,E320)),1,0)))&gt;0,1,0))</f>
        <v/>
      </c>
      <c r="M320" s="12">
        <f>IF(H320&lt;&gt;1,0,IF((IF(Classifiers!$B$8="",0,IF(ISNUMBER(SEARCH(Classifiers!$B$8,E320)),1,0))+IF(Classifiers!$C$8="",0,IF(ISNUMBER(SEARCH(Classifiers!$C$8,E320)),1,0))+IF(Classifiers!$D$8="",0,IF(ISNUMBER(SEARCH(Classifiers!$D$8,E320)),1,0))+IF(Classifiers!$E$8="",0,IF(ISNUMBER(SEARCH(Classifiers!$E$8,E320)),1,0))+IF(Classifiers!$F$8="",0,IF(ISNUMBER(SEARCH(Classifiers!$F$8,E320)),1,0))+IF(Classifiers!$G$8="",0,IF(ISNUMBER(SEARCH(Classifiers!$G$8,E320)),1,0)))&gt;0,1,0))</f>
        <v/>
      </c>
      <c r="N320" s="12">
        <f>IF(H320&lt;&gt;1,0,IF((IF(Classifiers!$B$9="",0,IF(ISNUMBER(SEARCH(Classifiers!$B$9,E320)),1,0))+IF(Classifiers!$C$9="",0,IF(ISNUMBER(SEARCH(Classifiers!$C$9,E320)),1,0))+IF(Classifiers!$D$9="",0,IF(ISNUMBER(SEARCH(Classifiers!$D$9,E320)),1,0))+IF(Classifiers!$E$9="",0,IF(ISNUMBER(SEARCH(Classifiers!$E$9,E320)),1,0))+IF(Classifiers!$F$9="",0,IF(ISNUMBER(SEARCH(Classifiers!$F$9,E320)),1,0))+IF(Classifiers!$G$9="",0,IF(ISNUMBER(SEARCH(Classifiers!$G$9,E320)),1,0)))&gt;0,1,0))</f>
        <v/>
      </c>
      <c r="O320" s="12">
        <f>IF(H320&lt;&gt;1,0,IF((IF(Classifiers!$B$10="",0,IF(ISNUMBER(SEARCH(Classifiers!$B$10,E320)),1,0))+IF(Classifiers!$C$10="",0,IF(ISNUMBER(SEARCH(Classifiers!$C$10,E320)),1,0))+IF(Classifiers!$D$10="",0,IF(ISNUMBER(SEARCH(Classifiers!$D$10,E320)),1,0))+IF(Classifiers!$E$10="",0,IF(ISNUMBER(SEARCH(Classifiers!$E$10,E320)),1,0))+IF(Classifiers!$F$10="",0,IF(ISNUMBER(SEARCH(Classifiers!$F$10,E320)),1,0))+IF(Classifiers!$G$10="",0,IF(ISNUMBER(SEARCH(Classifiers!$G$10,E320)),1,0)))&gt;0,1,0))</f>
        <v/>
      </c>
      <c r="P320" s="12">
        <f>IF(H320&lt;&gt;1,0,IF((IF(Classifiers!$B$11="",0,IF(ISNUMBER(SEARCH(Classifiers!$B$11,E320)),1,0))+IF(Classifiers!$C$11="",0,IF(ISNUMBER(SEARCH(Classifiers!$C$11,E320)),1,0))+IF(Classifiers!$D$11="",0,IF(ISNUMBER(SEARCH(Classifiers!$D$11,E320)),1,0))+IF(Classifiers!$E$11="",0,IF(ISNUMBER(SEARCH(Classifiers!$E$11,E320)),1,0))+IF(Classifiers!$F$11="",0,IF(ISNUMBER(SEARCH(Classifiers!$F$11,E320)),1,0))+IF(Classifiers!$G$11="",0,IF(ISNUMBER(SEARCH(Classifiers!$G$11,E320)),1,0)))&gt;0,1,0))</f>
        <v/>
      </c>
      <c r="Q320" s="12">
        <f>IF(H320&lt;&gt;1,0,IF((IF(Classifiers!$B$12="",0,IF(ISNUMBER(SEARCH(Classifiers!$B$12,E320)),1,0))+IF(Classifiers!$C$12="",0,IF(ISNUMBER(SEARCH(Classifiers!$C$12,E320)),1,0))+IF(Classifiers!$D$12="",0,IF(ISNUMBER(SEARCH(Classifiers!$D$12,E320)),1,0))+IF(Classifiers!$E$12="",0,IF(ISNUMBER(SEARCH(Classifiers!$E$12,E320)),1,0))+IF(Classifiers!$F$12="",0,IF(ISNUMBER(SEARCH(Classifiers!$F$12,E320)),1,0))+IF(Classifiers!$G$12="",0,IF(ISNUMBER(SEARCH(Classifiers!$G$12,E320)),1,0)))&gt;0,1,0))</f>
        <v/>
      </c>
      <c r="R320" s="12">
        <f>IF(H320&lt;&gt;1,0,IF((IF(Classifiers!$B$13="",0,IF(ISNUMBER(SEARCH(Classifiers!$B$13,E320)),1,0))+IF(Classifiers!$C$13="",0,IF(ISNUMBER(SEARCH(Classifiers!$C$13,E320)),1,0))+IF(Classifiers!$D$13="",0,IF(ISNUMBER(SEARCH(Classifiers!$D$13,E320)),1,0))+IF(Classifiers!$E$13="",0,IF(ISNUMBER(SEARCH(Classifiers!$E$13,E320)),1,0))+IF(Classifiers!$F$13="",0,IF(ISNUMBER(SEARCH(Classifiers!$F$13,E320)),1,0))+IF(Classifiers!$G$13="",0,IF(ISNUMBER(SEARCH(Classifiers!$G$13,E320)),1,0)))&gt;0,1,0))</f>
        <v/>
      </c>
      <c r="S320" s="12">
        <f>IF(H320&lt;&gt;1,0,IF((IF(Classifiers!$B$14="",0,IF(ISNUMBER(SEARCH(Classifiers!$B$14,E320)),1,0))+IF(Classifiers!$C$14="",0,IF(ISNUMBER(SEARCH(Classifiers!$C$14,E320)),1,0))+IF(Classifiers!$D$14="",0,IF(ISNUMBER(SEARCH(Classifiers!$D$14,E320)),1,0))+IF(Classifiers!$E$14="",0,IF(ISNUMBER(SEARCH(Classifiers!$E$14,E320)),1,0))+IF(Classifiers!$F$14="",0,IF(ISNUMBER(SEARCH(Classifiers!$F$14,E320)),1,0))+IF(Classifiers!$G$14="",0,IF(ISNUMBER(SEARCH(Classifiers!$G$14,E320)),1,0)))&gt;0,1,0))</f>
        <v/>
      </c>
      <c r="T320" s="12">
        <f>IF(H320&lt;&gt;1,0,IF((IF(Classifiers!$B$15="",0,IF(ISNUMBER(SEARCH(Classifiers!$B$15,E320)),1,0))+IF(Classifiers!$C$15="",0,IF(ISNUMBER(SEARCH(Classifiers!$C$15,E320)),1,0))+IF(Classifiers!$D$15="",0,IF(ISNUMBER(SEARCH(Classifiers!$D$15,E320)),1,0))+IF(Classifiers!$E$15="",0,IF(ISNUMBER(SEARCH(Classifiers!$E$15,E320)),1,0))+IF(Classifiers!$F$15="",0,IF(ISNUMBER(SEARCH(Classifiers!$F$15,E320)),1,0))+IF(Classifiers!$G$15="",0,IF(ISNUMBER(SEARCH(Classifiers!$G$15,E320)),1,0)))&gt;0,1,0))</f>
        <v/>
      </c>
      <c r="U320" s="12">
        <f>IF(H320&lt;&gt;1,0,IF((IF(Classifiers!$B$16="",0,IF(ISNUMBER(SEARCH(Classifiers!$B$16,E320)),1,0))+IF(Classifiers!$C$16="",0,IF(ISNUMBER(SEARCH(Classifiers!$C$16,E320)),1,0))+IF(Classifiers!$D$16="",0,IF(ISNUMBER(SEARCH(Classifiers!$D$16,E320)),1,0))+IF(Classifiers!$E$16="",0,IF(ISNUMBER(SEARCH(Classifiers!$E$16,E320)),1,0))+IF(Classifiers!$F$16="",0,IF(ISNUMBER(SEARCH(Classifiers!$F$16,E320)),1,0))+IF(Classifiers!$G$16="",0,IF(ISNUMBER(SEARCH(Classifiers!$G$16,E320)),1,0)))&gt;0,1,0))</f>
        <v/>
      </c>
      <c r="V320" s="12">
        <f>IF(H320&lt;&gt;1,0,IF((IF(Classifiers!$B$17="",0,IF(ISNUMBER(SEARCH(Classifiers!$B$17,E320)),1,0))+IF(Classifiers!$C$17="",0,IF(ISNUMBER(SEARCH(Classifiers!$C$17,E320)),1,0))+IF(Classifiers!$D$17="",0,IF(ISNUMBER(SEARCH(Classifiers!$D$17,E320)),1,0))+IF(Classifiers!$E$17="",0,IF(ISNUMBER(SEARCH(Classifiers!$E$17,E320)),1,0))+IF(Classifiers!$F$17="",0,IF(ISNUMBER(SEARCH(Classifiers!$F$17,E320)),1,0))+IF(Classifiers!$G$17="",0,IF(ISNUMBER(SEARCH(Classifiers!$G$17,E320)),1,0)))&gt;0,1,0))</f>
        <v/>
      </c>
      <c r="W320" s="12">
        <f>IF(H320&lt;&gt;1,0,IF((IF(Classifiers!$B$18="",0,IF(ISNUMBER(SEARCH(Classifiers!$B$18,E320)),1,0))+IF(Classifiers!$C$18="",0,IF(ISNUMBER(SEARCH(Classifiers!$C$18,E320)),1,0))+IF(Classifiers!$D$18="",0,IF(ISNUMBER(SEARCH(Classifiers!$D$18,E320)),1,0))+IF(Classifiers!$E$18="",0,IF(ISNUMBER(SEARCH(Classifiers!$E$18,E320)),1,0))+IF(Classifiers!$F$18="",0,IF(ISNUMBER(SEARCH(Classifiers!$F$18,E320)),1,0))+IF(Classifiers!$G$18="",0,IF(ISNUMBER(SEARCH(Classifiers!$G$18,E320)),1,0)))&gt;0,1,0))</f>
        <v/>
      </c>
    </row>
    <row r="321">
      <c r="A321" s="8" t="n"/>
      <c r="B321" s="11" t="n"/>
      <c r="C321" s="6">
        <f>IF(A321="","",TRIM(RIGHT(SUBSTITUTE(A321,"/",REPT(" ",250)),250)))</f>
        <v/>
      </c>
      <c r="D321" s="6">
        <f>IF(C321="","",IF(ISNUMBER(SEARCH(".",C321)),LOWER("."&amp;TRIM(RIGHT(SUBSTITUTE(C321,".",REPT(" ",250)),250))),""))</f>
        <v/>
      </c>
      <c r="E321" s="6">
        <f>IF(C321="","",TRIM(SUBSTITUTE(SUBSTITUTE(SUBSTITUTE(SUBSTITUTE(SUBSTITUTE(SUBSTITUTE(SUBSTITUTE(SUBSTITUTE(SUBSTITUTE(SUBSTITUTE(SUBSTITUTE(SUBSTITUTE(SUBSTITUTE(SUBSTITUTE(SUBSTITUTE(SUBSTITUTE(SUBSTITUTE(SUBSTITUTE(SUBSTITUTE(SUBSTITUTE(LOWER(LEFT(C321,LEN(C321)-LEN(D321))),"_"," "),"-"," "),"."," "),","," "),"("," "),")"," "),"["," "),"]"," "),"&amp;"," "),"+"," "),"@"," "),"#"," "),"!"," "),"'"," "),"/"," "),":"," "),";"," "),"="," "),"~"," "),"%"," ")))</f>
        <v/>
      </c>
      <c r="F321" s="6">
        <f>IF(C321="","",IF(COUNTIF(Classifiers!$A$23:$A$40,D321)&gt;0,1,0))</f>
        <v/>
      </c>
      <c r="G321" s="6">
        <f>IF(C321="","",IF(COUNTIF(Classifiers!$C$23:$C$30,D321)&gt;0,IF((IF(ISNUMBER(SEARCH(Classifiers!$E$23,E321)),1,0)+IF(ISNUMBER(SEARCH(Classifiers!$E$24,E321)),1,0)+IF(ISNUMBER(SEARCH(Classifiers!$E$25,E321)),1,0)+IF(ISNUMBER(SEARCH(Classifiers!$E$26,E321)),1,0)+IF(ISNUMBER(SEARCH(Classifiers!$E$27,E321)),1,0)+IF(ISNUMBER(SEARCH(Classifiers!$E$28,E321)),1,0)+IF(ISNUMBER(SEARCH(Classifiers!$E$29,E321)),1,0)+IF(ISNUMBER(SEARCH(Classifiers!$E$30,E321)),1,0))&gt;0,1,0),0))</f>
        <v/>
      </c>
      <c r="H321" s="6">
        <f>IF(C321="","",IF(OR(LEFT(C321,1)=".",AND(F321=0,G321=0)),0,1))</f>
        <v/>
      </c>
      <c r="I321" s="6">
        <f>IF(H321&lt;&gt;1,"",IF(SUM(J321:W321)=0,"unclassified",INDEX(Classifiers!$A$5:$A$18,MATCH(1,J321:W321,0),1)))</f>
        <v/>
      </c>
      <c r="J321" s="12">
        <f>IF(H321&lt;&gt;1,0,IF((IF(Classifiers!$B$5="",0,IF(ISNUMBER(SEARCH(Classifiers!$B$5,E321)),1,0))+IF(Classifiers!$C$5="",0,IF(ISNUMBER(SEARCH(Classifiers!$C$5,E321)),1,0))+IF(Classifiers!$D$5="",0,IF(ISNUMBER(SEARCH(Classifiers!$D$5,E321)),1,0))+IF(Classifiers!$E$5="",0,IF(ISNUMBER(SEARCH(Classifiers!$E$5,E321)),1,0))+IF(Classifiers!$F$5="",0,IF(ISNUMBER(SEARCH(Classifiers!$F$5,E321)),1,0))+IF(Classifiers!$G$5="",0,IF(ISNUMBER(SEARCH(Classifiers!$G$5,E321)),1,0)))&gt;0,1,0))</f>
        <v/>
      </c>
      <c r="K321" s="12">
        <f>IF(H321&lt;&gt;1,0,IF((IF(Classifiers!$B$6="",0,IF(ISNUMBER(SEARCH(Classifiers!$B$6,E321)),1,0))+IF(Classifiers!$C$6="",0,IF(ISNUMBER(SEARCH(Classifiers!$C$6,E321)),1,0))+IF(Classifiers!$D$6="",0,IF(ISNUMBER(SEARCH(Classifiers!$D$6,E321)),1,0))+IF(Classifiers!$E$6="",0,IF(ISNUMBER(SEARCH(Classifiers!$E$6,E321)),1,0))+IF(Classifiers!$F$6="",0,IF(ISNUMBER(SEARCH(Classifiers!$F$6,E321)),1,0))+IF(Classifiers!$G$6="",0,IF(ISNUMBER(SEARCH(Classifiers!$G$6,E321)),1,0)))&gt;0,1,0))</f>
        <v/>
      </c>
      <c r="L321" s="12">
        <f>IF(H321&lt;&gt;1,0,IF((IF(Classifiers!$B$7="",0,IF(ISNUMBER(SEARCH(Classifiers!$B$7,E321)),1,0))+IF(Classifiers!$C$7="",0,IF(ISNUMBER(SEARCH(Classifiers!$C$7,E321)),1,0))+IF(Classifiers!$D$7="",0,IF(ISNUMBER(SEARCH(Classifiers!$D$7,E321)),1,0))+IF(Classifiers!$E$7="",0,IF(ISNUMBER(SEARCH(Classifiers!$E$7,E321)),1,0))+IF(Classifiers!$F$7="",0,IF(ISNUMBER(SEARCH(Classifiers!$F$7,E321)),1,0))+IF(Classifiers!$G$7="",0,IF(ISNUMBER(SEARCH(Classifiers!$G$7,E321)),1,0)))&gt;0,1,0))</f>
        <v/>
      </c>
      <c r="M321" s="12">
        <f>IF(H321&lt;&gt;1,0,IF((IF(Classifiers!$B$8="",0,IF(ISNUMBER(SEARCH(Classifiers!$B$8,E321)),1,0))+IF(Classifiers!$C$8="",0,IF(ISNUMBER(SEARCH(Classifiers!$C$8,E321)),1,0))+IF(Classifiers!$D$8="",0,IF(ISNUMBER(SEARCH(Classifiers!$D$8,E321)),1,0))+IF(Classifiers!$E$8="",0,IF(ISNUMBER(SEARCH(Classifiers!$E$8,E321)),1,0))+IF(Classifiers!$F$8="",0,IF(ISNUMBER(SEARCH(Classifiers!$F$8,E321)),1,0))+IF(Classifiers!$G$8="",0,IF(ISNUMBER(SEARCH(Classifiers!$G$8,E321)),1,0)))&gt;0,1,0))</f>
        <v/>
      </c>
      <c r="N321" s="12">
        <f>IF(H321&lt;&gt;1,0,IF((IF(Classifiers!$B$9="",0,IF(ISNUMBER(SEARCH(Classifiers!$B$9,E321)),1,0))+IF(Classifiers!$C$9="",0,IF(ISNUMBER(SEARCH(Classifiers!$C$9,E321)),1,0))+IF(Classifiers!$D$9="",0,IF(ISNUMBER(SEARCH(Classifiers!$D$9,E321)),1,0))+IF(Classifiers!$E$9="",0,IF(ISNUMBER(SEARCH(Classifiers!$E$9,E321)),1,0))+IF(Classifiers!$F$9="",0,IF(ISNUMBER(SEARCH(Classifiers!$F$9,E321)),1,0))+IF(Classifiers!$G$9="",0,IF(ISNUMBER(SEARCH(Classifiers!$G$9,E321)),1,0)))&gt;0,1,0))</f>
        <v/>
      </c>
      <c r="O321" s="12">
        <f>IF(H321&lt;&gt;1,0,IF((IF(Classifiers!$B$10="",0,IF(ISNUMBER(SEARCH(Classifiers!$B$10,E321)),1,0))+IF(Classifiers!$C$10="",0,IF(ISNUMBER(SEARCH(Classifiers!$C$10,E321)),1,0))+IF(Classifiers!$D$10="",0,IF(ISNUMBER(SEARCH(Classifiers!$D$10,E321)),1,0))+IF(Classifiers!$E$10="",0,IF(ISNUMBER(SEARCH(Classifiers!$E$10,E321)),1,0))+IF(Classifiers!$F$10="",0,IF(ISNUMBER(SEARCH(Classifiers!$F$10,E321)),1,0))+IF(Classifiers!$G$10="",0,IF(ISNUMBER(SEARCH(Classifiers!$G$10,E321)),1,0)))&gt;0,1,0))</f>
        <v/>
      </c>
      <c r="P321" s="12">
        <f>IF(H321&lt;&gt;1,0,IF((IF(Classifiers!$B$11="",0,IF(ISNUMBER(SEARCH(Classifiers!$B$11,E321)),1,0))+IF(Classifiers!$C$11="",0,IF(ISNUMBER(SEARCH(Classifiers!$C$11,E321)),1,0))+IF(Classifiers!$D$11="",0,IF(ISNUMBER(SEARCH(Classifiers!$D$11,E321)),1,0))+IF(Classifiers!$E$11="",0,IF(ISNUMBER(SEARCH(Classifiers!$E$11,E321)),1,0))+IF(Classifiers!$F$11="",0,IF(ISNUMBER(SEARCH(Classifiers!$F$11,E321)),1,0))+IF(Classifiers!$G$11="",0,IF(ISNUMBER(SEARCH(Classifiers!$G$11,E321)),1,0)))&gt;0,1,0))</f>
        <v/>
      </c>
      <c r="Q321" s="12">
        <f>IF(H321&lt;&gt;1,0,IF((IF(Classifiers!$B$12="",0,IF(ISNUMBER(SEARCH(Classifiers!$B$12,E321)),1,0))+IF(Classifiers!$C$12="",0,IF(ISNUMBER(SEARCH(Classifiers!$C$12,E321)),1,0))+IF(Classifiers!$D$12="",0,IF(ISNUMBER(SEARCH(Classifiers!$D$12,E321)),1,0))+IF(Classifiers!$E$12="",0,IF(ISNUMBER(SEARCH(Classifiers!$E$12,E321)),1,0))+IF(Classifiers!$F$12="",0,IF(ISNUMBER(SEARCH(Classifiers!$F$12,E321)),1,0))+IF(Classifiers!$G$12="",0,IF(ISNUMBER(SEARCH(Classifiers!$G$12,E321)),1,0)))&gt;0,1,0))</f>
        <v/>
      </c>
      <c r="R321" s="12">
        <f>IF(H321&lt;&gt;1,0,IF((IF(Classifiers!$B$13="",0,IF(ISNUMBER(SEARCH(Classifiers!$B$13,E321)),1,0))+IF(Classifiers!$C$13="",0,IF(ISNUMBER(SEARCH(Classifiers!$C$13,E321)),1,0))+IF(Classifiers!$D$13="",0,IF(ISNUMBER(SEARCH(Classifiers!$D$13,E321)),1,0))+IF(Classifiers!$E$13="",0,IF(ISNUMBER(SEARCH(Classifiers!$E$13,E321)),1,0))+IF(Classifiers!$F$13="",0,IF(ISNUMBER(SEARCH(Classifiers!$F$13,E321)),1,0))+IF(Classifiers!$G$13="",0,IF(ISNUMBER(SEARCH(Classifiers!$G$13,E321)),1,0)))&gt;0,1,0))</f>
        <v/>
      </c>
      <c r="S321" s="12">
        <f>IF(H321&lt;&gt;1,0,IF((IF(Classifiers!$B$14="",0,IF(ISNUMBER(SEARCH(Classifiers!$B$14,E321)),1,0))+IF(Classifiers!$C$14="",0,IF(ISNUMBER(SEARCH(Classifiers!$C$14,E321)),1,0))+IF(Classifiers!$D$14="",0,IF(ISNUMBER(SEARCH(Classifiers!$D$14,E321)),1,0))+IF(Classifiers!$E$14="",0,IF(ISNUMBER(SEARCH(Classifiers!$E$14,E321)),1,0))+IF(Classifiers!$F$14="",0,IF(ISNUMBER(SEARCH(Classifiers!$F$14,E321)),1,0))+IF(Classifiers!$G$14="",0,IF(ISNUMBER(SEARCH(Classifiers!$G$14,E321)),1,0)))&gt;0,1,0))</f>
        <v/>
      </c>
      <c r="T321" s="12">
        <f>IF(H321&lt;&gt;1,0,IF((IF(Classifiers!$B$15="",0,IF(ISNUMBER(SEARCH(Classifiers!$B$15,E321)),1,0))+IF(Classifiers!$C$15="",0,IF(ISNUMBER(SEARCH(Classifiers!$C$15,E321)),1,0))+IF(Classifiers!$D$15="",0,IF(ISNUMBER(SEARCH(Classifiers!$D$15,E321)),1,0))+IF(Classifiers!$E$15="",0,IF(ISNUMBER(SEARCH(Classifiers!$E$15,E321)),1,0))+IF(Classifiers!$F$15="",0,IF(ISNUMBER(SEARCH(Classifiers!$F$15,E321)),1,0))+IF(Classifiers!$G$15="",0,IF(ISNUMBER(SEARCH(Classifiers!$G$15,E321)),1,0)))&gt;0,1,0))</f>
        <v/>
      </c>
      <c r="U321" s="12">
        <f>IF(H321&lt;&gt;1,0,IF((IF(Classifiers!$B$16="",0,IF(ISNUMBER(SEARCH(Classifiers!$B$16,E321)),1,0))+IF(Classifiers!$C$16="",0,IF(ISNUMBER(SEARCH(Classifiers!$C$16,E321)),1,0))+IF(Classifiers!$D$16="",0,IF(ISNUMBER(SEARCH(Classifiers!$D$16,E321)),1,0))+IF(Classifiers!$E$16="",0,IF(ISNUMBER(SEARCH(Classifiers!$E$16,E321)),1,0))+IF(Classifiers!$F$16="",0,IF(ISNUMBER(SEARCH(Classifiers!$F$16,E321)),1,0))+IF(Classifiers!$G$16="",0,IF(ISNUMBER(SEARCH(Classifiers!$G$16,E321)),1,0)))&gt;0,1,0))</f>
        <v/>
      </c>
      <c r="V321" s="12">
        <f>IF(H321&lt;&gt;1,0,IF((IF(Classifiers!$B$17="",0,IF(ISNUMBER(SEARCH(Classifiers!$B$17,E321)),1,0))+IF(Classifiers!$C$17="",0,IF(ISNUMBER(SEARCH(Classifiers!$C$17,E321)),1,0))+IF(Classifiers!$D$17="",0,IF(ISNUMBER(SEARCH(Classifiers!$D$17,E321)),1,0))+IF(Classifiers!$E$17="",0,IF(ISNUMBER(SEARCH(Classifiers!$E$17,E321)),1,0))+IF(Classifiers!$F$17="",0,IF(ISNUMBER(SEARCH(Classifiers!$F$17,E321)),1,0))+IF(Classifiers!$G$17="",0,IF(ISNUMBER(SEARCH(Classifiers!$G$17,E321)),1,0)))&gt;0,1,0))</f>
        <v/>
      </c>
      <c r="W321" s="12">
        <f>IF(H321&lt;&gt;1,0,IF((IF(Classifiers!$B$18="",0,IF(ISNUMBER(SEARCH(Classifiers!$B$18,E321)),1,0))+IF(Classifiers!$C$18="",0,IF(ISNUMBER(SEARCH(Classifiers!$C$18,E321)),1,0))+IF(Classifiers!$D$18="",0,IF(ISNUMBER(SEARCH(Classifiers!$D$18,E321)),1,0))+IF(Classifiers!$E$18="",0,IF(ISNUMBER(SEARCH(Classifiers!$E$18,E321)),1,0))+IF(Classifiers!$F$18="",0,IF(ISNUMBER(SEARCH(Classifiers!$F$18,E321)),1,0))+IF(Classifiers!$G$18="",0,IF(ISNUMBER(SEARCH(Classifiers!$G$18,E321)),1,0)))&gt;0,1,0))</f>
        <v/>
      </c>
    </row>
    <row r="322">
      <c r="A322" s="8" t="n"/>
      <c r="B322" s="11" t="n"/>
      <c r="C322" s="6">
        <f>IF(A322="","",TRIM(RIGHT(SUBSTITUTE(A322,"/",REPT(" ",250)),250)))</f>
        <v/>
      </c>
      <c r="D322" s="6">
        <f>IF(C322="","",IF(ISNUMBER(SEARCH(".",C322)),LOWER("."&amp;TRIM(RIGHT(SUBSTITUTE(C322,".",REPT(" ",250)),250))),""))</f>
        <v/>
      </c>
      <c r="E322" s="6">
        <f>IF(C322="","",TRIM(SUBSTITUTE(SUBSTITUTE(SUBSTITUTE(SUBSTITUTE(SUBSTITUTE(SUBSTITUTE(SUBSTITUTE(SUBSTITUTE(SUBSTITUTE(SUBSTITUTE(SUBSTITUTE(SUBSTITUTE(SUBSTITUTE(SUBSTITUTE(SUBSTITUTE(SUBSTITUTE(SUBSTITUTE(SUBSTITUTE(SUBSTITUTE(SUBSTITUTE(LOWER(LEFT(C322,LEN(C322)-LEN(D322))),"_"," "),"-"," "),"."," "),","," "),"("," "),")"," "),"["," "),"]"," "),"&amp;"," "),"+"," "),"@"," "),"#"," "),"!"," "),"'"," "),"/"," "),":"," "),";"," "),"="," "),"~"," "),"%"," ")))</f>
        <v/>
      </c>
      <c r="F322" s="6">
        <f>IF(C322="","",IF(COUNTIF(Classifiers!$A$23:$A$40,D322)&gt;0,1,0))</f>
        <v/>
      </c>
      <c r="G322" s="6">
        <f>IF(C322="","",IF(COUNTIF(Classifiers!$C$23:$C$30,D322)&gt;0,IF((IF(ISNUMBER(SEARCH(Classifiers!$E$23,E322)),1,0)+IF(ISNUMBER(SEARCH(Classifiers!$E$24,E322)),1,0)+IF(ISNUMBER(SEARCH(Classifiers!$E$25,E322)),1,0)+IF(ISNUMBER(SEARCH(Classifiers!$E$26,E322)),1,0)+IF(ISNUMBER(SEARCH(Classifiers!$E$27,E322)),1,0)+IF(ISNUMBER(SEARCH(Classifiers!$E$28,E322)),1,0)+IF(ISNUMBER(SEARCH(Classifiers!$E$29,E322)),1,0)+IF(ISNUMBER(SEARCH(Classifiers!$E$30,E322)),1,0))&gt;0,1,0),0))</f>
        <v/>
      </c>
      <c r="H322" s="6">
        <f>IF(C322="","",IF(OR(LEFT(C322,1)=".",AND(F322=0,G322=0)),0,1))</f>
        <v/>
      </c>
      <c r="I322" s="6">
        <f>IF(H322&lt;&gt;1,"",IF(SUM(J322:W322)=0,"unclassified",INDEX(Classifiers!$A$5:$A$18,MATCH(1,J322:W322,0),1)))</f>
        <v/>
      </c>
      <c r="J322" s="12">
        <f>IF(H322&lt;&gt;1,0,IF((IF(Classifiers!$B$5="",0,IF(ISNUMBER(SEARCH(Classifiers!$B$5,E322)),1,0))+IF(Classifiers!$C$5="",0,IF(ISNUMBER(SEARCH(Classifiers!$C$5,E322)),1,0))+IF(Classifiers!$D$5="",0,IF(ISNUMBER(SEARCH(Classifiers!$D$5,E322)),1,0))+IF(Classifiers!$E$5="",0,IF(ISNUMBER(SEARCH(Classifiers!$E$5,E322)),1,0))+IF(Classifiers!$F$5="",0,IF(ISNUMBER(SEARCH(Classifiers!$F$5,E322)),1,0))+IF(Classifiers!$G$5="",0,IF(ISNUMBER(SEARCH(Classifiers!$G$5,E322)),1,0)))&gt;0,1,0))</f>
        <v/>
      </c>
      <c r="K322" s="12">
        <f>IF(H322&lt;&gt;1,0,IF((IF(Classifiers!$B$6="",0,IF(ISNUMBER(SEARCH(Classifiers!$B$6,E322)),1,0))+IF(Classifiers!$C$6="",0,IF(ISNUMBER(SEARCH(Classifiers!$C$6,E322)),1,0))+IF(Classifiers!$D$6="",0,IF(ISNUMBER(SEARCH(Classifiers!$D$6,E322)),1,0))+IF(Classifiers!$E$6="",0,IF(ISNUMBER(SEARCH(Classifiers!$E$6,E322)),1,0))+IF(Classifiers!$F$6="",0,IF(ISNUMBER(SEARCH(Classifiers!$F$6,E322)),1,0))+IF(Classifiers!$G$6="",0,IF(ISNUMBER(SEARCH(Classifiers!$G$6,E322)),1,0)))&gt;0,1,0))</f>
        <v/>
      </c>
      <c r="L322" s="12">
        <f>IF(H322&lt;&gt;1,0,IF((IF(Classifiers!$B$7="",0,IF(ISNUMBER(SEARCH(Classifiers!$B$7,E322)),1,0))+IF(Classifiers!$C$7="",0,IF(ISNUMBER(SEARCH(Classifiers!$C$7,E322)),1,0))+IF(Classifiers!$D$7="",0,IF(ISNUMBER(SEARCH(Classifiers!$D$7,E322)),1,0))+IF(Classifiers!$E$7="",0,IF(ISNUMBER(SEARCH(Classifiers!$E$7,E322)),1,0))+IF(Classifiers!$F$7="",0,IF(ISNUMBER(SEARCH(Classifiers!$F$7,E322)),1,0))+IF(Classifiers!$G$7="",0,IF(ISNUMBER(SEARCH(Classifiers!$G$7,E322)),1,0)))&gt;0,1,0))</f>
        <v/>
      </c>
      <c r="M322" s="12">
        <f>IF(H322&lt;&gt;1,0,IF((IF(Classifiers!$B$8="",0,IF(ISNUMBER(SEARCH(Classifiers!$B$8,E322)),1,0))+IF(Classifiers!$C$8="",0,IF(ISNUMBER(SEARCH(Classifiers!$C$8,E322)),1,0))+IF(Classifiers!$D$8="",0,IF(ISNUMBER(SEARCH(Classifiers!$D$8,E322)),1,0))+IF(Classifiers!$E$8="",0,IF(ISNUMBER(SEARCH(Classifiers!$E$8,E322)),1,0))+IF(Classifiers!$F$8="",0,IF(ISNUMBER(SEARCH(Classifiers!$F$8,E322)),1,0))+IF(Classifiers!$G$8="",0,IF(ISNUMBER(SEARCH(Classifiers!$G$8,E322)),1,0)))&gt;0,1,0))</f>
        <v/>
      </c>
      <c r="N322" s="12">
        <f>IF(H322&lt;&gt;1,0,IF((IF(Classifiers!$B$9="",0,IF(ISNUMBER(SEARCH(Classifiers!$B$9,E322)),1,0))+IF(Classifiers!$C$9="",0,IF(ISNUMBER(SEARCH(Classifiers!$C$9,E322)),1,0))+IF(Classifiers!$D$9="",0,IF(ISNUMBER(SEARCH(Classifiers!$D$9,E322)),1,0))+IF(Classifiers!$E$9="",0,IF(ISNUMBER(SEARCH(Classifiers!$E$9,E322)),1,0))+IF(Classifiers!$F$9="",0,IF(ISNUMBER(SEARCH(Classifiers!$F$9,E322)),1,0))+IF(Classifiers!$G$9="",0,IF(ISNUMBER(SEARCH(Classifiers!$G$9,E322)),1,0)))&gt;0,1,0))</f>
        <v/>
      </c>
      <c r="O322" s="12">
        <f>IF(H322&lt;&gt;1,0,IF((IF(Classifiers!$B$10="",0,IF(ISNUMBER(SEARCH(Classifiers!$B$10,E322)),1,0))+IF(Classifiers!$C$10="",0,IF(ISNUMBER(SEARCH(Classifiers!$C$10,E322)),1,0))+IF(Classifiers!$D$10="",0,IF(ISNUMBER(SEARCH(Classifiers!$D$10,E322)),1,0))+IF(Classifiers!$E$10="",0,IF(ISNUMBER(SEARCH(Classifiers!$E$10,E322)),1,0))+IF(Classifiers!$F$10="",0,IF(ISNUMBER(SEARCH(Classifiers!$F$10,E322)),1,0))+IF(Classifiers!$G$10="",0,IF(ISNUMBER(SEARCH(Classifiers!$G$10,E322)),1,0)))&gt;0,1,0))</f>
        <v/>
      </c>
      <c r="P322" s="12">
        <f>IF(H322&lt;&gt;1,0,IF((IF(Classifiers!$B$11="",0,IF(ISNUMBER(SEARCH(Classifiers!$B$11,E322)),1,0))+IF(Classifiers!$C$11="",0,IF(ISNUMBER(SEARCH(Classifiers!$C$11,E322)),1,0))+IF(Classifiers!$D$11="",0,IF(ISNUMBER(SEARCH(Classifiers!$D$11,E322)),1,0))+IF(Classifiers!$E$11="",0,IF(ISNUMBER(SEARCH(Classifiers!$E$11,E322)),1,0))+IF(Classifiers!$F$11="",0,IF(ISNUMBER(SEARCH(Classifiers!$F$11,E322)),1,0))+IF(Classifiers!$G$11="",0,IF(ISNUMBER(SEARCH(Classifiers!$G$11,E322)),1,0)))&gt;0,1,0))</f>
        <v/>
      </c>
      <c r="Q322" s="12">
        <f>IF(H322&lt;&gt;1,0,IF((IF(Classifiers!$B$12="",0,IF(ISNUMBER(SEARCH(Classifiers!$B$12,E322)),1,0))+IF(Classifiers!$C$12="",0,IF(ISNUMBER(SEARCH(Classifiers!$C$12,E322)),1,0))+IF(Classifiers!$D$12="",0,IF(ISNUMBER(SEARCH(Classifiers!$D$12,E322)),1,0))+IF(Classifiers!$E$12="",0,IF(ISNUMBER(SEARCH(Classifiers!$E$12,E322)),1,0))+IF(Classifiers!$F$12="",0,IF(ISNUMBER(SEARCH(Classifiers!$F$12,E322)),1,0))+IF(Classifiers!$G$12="",0,IF(ISNUMBER(SEARCH(Classifiers!$G$12,E322)),1,0)))&gt;0,1,0))</f>
        <v/>
      </c>
      <c r="R322" s="12">
        <f>IF(H322&lt;&gt;1,0,IF((IF(Classifiers!$B$13="",0,IF(ISNUMBER(SEARCH(Classifiers!$B$13,E322)),1,0))+IF(Classifiers!$C$13="",0,IF(ISNUMBER(SEARCH(Classifiers!$C$13,E322)),1,0))+IF(Classifiers!$D$13="",0,IF(ISNUMBER(SEARCH(Classifiers!$D$13,E322)),1,0))+IF(Classifiers!$E$13="",0,IF(ISNUMBER(SEARCH(Classifiers!$E$13,E322)),1,0))+IF(Classifiers!$F$13="",0,IF(ISNUMBER(SEARCH(Classifiers!$F$13,E322)),1,0))+IF(Classifiers!$G$13="",0,IF(ISNUMBER(SEARCH(Classifiers!$G$13,E322)),1,0)))&gt;0,1,0))</f>
        <v/>
      </c>
      <c r="S322" s="12">
        <f>IF(H322&lt;&gt;1,0,IF((IF(Classifiers!$B$14="",0,IF(ISNUMBER(SEARCH(Classifiers!$B$14,E322)),1,0))+IF(Classifiers!$C$14="",0,IF(ISNUMBER(SEARCH(Classifiers!$C$14,E322)),1,0))+IF(Classifiers!$D$14="",0,IF(ISNUMBER(SEARCH(Classifiers!$D$14,E322)),1,0))+IF(Classifiers!$E$14="",0,IF(ISNUMBER(SEARCH(Classifiers!$E$14,E322)),1,0))+IF(Classifiers!$F$14="",0,IF(ISNUMBER(SEARCH(Classifiers!$F$14,E322)),1,0))+IF(Classifiers!$G$14="",0,IF(ISNUMBER(SEARCH(Classifiers!$G$14,E322)),1,0)))&gt;0,1,0))</f>
        <v/>
      </c>
      <c r="T322" s="12">
        <f>IF(H322&lt;&gt;1,0,IF((IF(Classifiers!$B$15="",0,IF(ISNUMBER(SEARCH(Classifiers!$B$15,E322)),1,0))+IF(Classifiers!$C$15="",0,IF(ISNUMBER(SEARCH(Classifiers!$C$15,E322)),1,0))+IF(Classifiers!$D$15="",0,IF(ISNUMBER(SEARCH(Classifiers!$D$15,E322)),1,0))+IF(Classifiers!$E$15="",0,IF(ISNUMBER(SEARCH(Classifiers!$E$15,E322)),1,0))+IF(Classifiers!$F$15="",0,IF(ISNUMBER(SEARCH(Classifiers!$F$15,E322)),1,0))+IF(Classifiers!$G$15="",0,IF(ISNUMBER(SEARCH(Classifiers!$G$15,E322)),1,0)))&gt;0,1,0))</f>
        <v/>
      </c>
      <c r="U322" s="12">
        <f>IF(H322&lt;&gt;1,0,IF((IF(Classifiers!$B$16="",0,IF(ISNUMBER(SEARCH(Classifiers!$B$16,E322)),1,0))+IF(Classifiers!$C$16="",0,IF(ISNUMBER(SEARCH(Classifiers!$C$16,E322)),1,0))+IF(Classifiers!$D$16="",0,IF(ISNUMBER(SEARCH(Classifiers!$D$16,E322)),1,0))+IF(Classifiers!$E$16="",0,IF(ISNUMBER(SEARCH(Classifiers!$E$16,E322)),1,0))+IF(Classifiers!$F$16="",0,IF(ISNUMBER(SEARCH(Classifiers!$F$16,E322)),1,0))+IF(Classifiers!$G$16="",0,IF(ISNUMBER(SEARCH(Classifiers!$G$16,E322)),1,0)))&gt;0,1,0))</f>
        <v/>
      </c>
      <c r="V322" s="12">
        <f>IF(H322&lt;&gt;1,0,IF((IF(Classifiers!$B$17="",0,IF(ISNUMBER(SEARCH(Classifiers!$B$17,E322)),1,0))+IF(Classifiers!$C$17="",0,IF(ISNUMBER(SEARCH(Classifiers!$C$17,E322)),1,0))+IF(Classifiers!$D$17="",0,IF(ISNUMBER(SEARCH(Classifiers!$D$17,E322)),1,0))+IF(Classifiers!$E$17="",0,IF(ISNUMBER(SEARCH(Classifiers!$E$17,E322)),1,0))+IF(Classifiers!$F$17="",0,IF(ISNUMBER(SEARCH(Classifiers!$F$17,E322)),1,0))+IF(Classifiers!$G$17="",0,IF(ISNUMBER(SEARCH(Classifiers!$G$17,E322)),1,0)))&gt;0,1,0))</f>
        <v/>
      </c>
      <c r="W322" s="12">
        <f>IF(H322&lt;&gt;1,0,IF((IF(Classifiers!$B$18="",0,IF(ISNUMBER(SEARCH(Classifiers!$B$18,E322)),1,0))+IF(Classifiers!$C$18="",0,IF(ISNUMBER(SEARCH(Classifiers!$C$18,E322)),1,0))+IF(Classifiers!$D$18="",0,IF(ISNUMBER(SEARCH(Classifiers!$D$18,E322)),1,0))+IF(Classifiers!$E$18="",0,IF(ISNUMBER(SEARCH(Classifiers!$E$18,E322)),1,0))+IF(Classifiers!$F$18="",0,IF(ISNUMBER(SEARCH(Classifiers!$F$18,E322)),1,0))+IF(Classifiers!$G$18="",0,IF(ISNUMBER(SEARCH(Classifiers!$G$18,E322)),1,0)))&gt;0,1,0))</f>
        <v/>
      </c>
    </row>
    <row r="323">
      <c r="A323" s="8" t="n"/>
      <c r="B323" s="11" t="n"/>
      <c r="C323" s="6">
        <f>IF(A323="","",TRIM(RIGHT(SUBSTITUTE(A323,"/",REPT(" ",250)),250)))</f>
        <v/>
      </c>
      <c r="D323" s="6">
        <f>IF(C323="","",IF(ISNUMBER(SEARCH(".",C323)),LOWER("."&amp;TRIM(RIGHT(SUBSTITUTE(C323,".",REPT(" ",250)),250))),""))</f>
        <v/>
      </c>
      <c r="E323" s="6">
        <f>IF(C323="","",TRIM(SUBSTITUTE(SUBSTITUTE(SUBSTITUTE(SUBSTITUTE(SUBSTITUTE(SUBSTITUTE(SUBSTITUTE(SUBSTITUTE(SUBSTITUTE(SUBSTITUTE(SUBSTITUTE(SUBSTITUTE(SUBSTITUTE(SUBSTITUTE(SUBSTITUTE(SUBSTITUTE(SUBSTITUTE(SUBSTITUTE(SUBSTITUTE(SUBSTITUTE(LOWER(LEFT(C323,LEN(C323)-LEN(D323))),"_"," "),"-"," "),"."," "),","," "),"("," "),")"," "),"["," "),"]"," "),"&amp;"," "),"+"," "),"@"," "),"#"," "),"!"," "),"'"," "),"/"," "),":"," "),";"," "),"="," "),"~"," "),"%"," ")))</f>
        <v/>
      </c>
      <c r="F323" s="6">
        <f>IF(C323="","",IF(COUNTIF(Classifiers!$A$23:$A$40,D323)&gt;0,1,0))</f>
        <v/>
      </c>
      <c r="G323" s="6">
        <f>IF(C323="","",IF(COUNTIF(Classifiers!$C$23:$C$30,D323)&gt;0,IF((IF(ISNUMBER(SEARCH(Classifiers!$E$23,E323)),1,0)+IF(ISNUMBER(SEARCH(Classifiers!$E$24,E323)),1,0)+IF(ISNUMBER(SEARCH(Classifiers!$E$25,E323)),1,0)+IF(ISNUMBER(SEARCH(Classifiers!$E$26,E323)),1,0)+IF(ISNUMBER(SEARCH(Classifiers!$E$27,E323)),1,0)+IF(ISNUMBER(SEARCH(Classifiers!$E$28,E323)),1,0)+IF(ISNUMBER(SEARCH(Classifiers!$E$29,E323)),1,0)+IF(ISNUMBER(SEARCH(Classifiers!$E$30,E323)),1,0))&gt;0,1,0),0))</f>
        <v/>
      </c>
      <c r="H323" s="6">
        <f>IF(C323="","",IF(OR(LEFT(C323,1)=".",AND(F323=0,G323=0)),0,1))</f>
        <v/>
      </c>
      <c r="I323" s="6">
        <f>IF(H323&lt;&gt;1,"",IF(SUM(J323:W323)=0,"unclassified",INDEX(Classifiers!$A$5:$A$18,MATCH(1,J323:W323,0),1)))</f>
        <v/>
      </c>
      <c r="J323" s="12">
        <f>IF(H323&lt;&gt;1,0,IF((IF(Classifiers!$B$5="",0,IF(ISNUMBER(SEARCH(Classifiers!$B$5,E323)),1,0))+IF(Classifiers!$C$5="",0,IF(ISNUMBER(SEARCH(Classifiers!$C$5,E323)),1,0))+IF(Classifiers!$D$5="",0,IF(ISNUMBER(SEARCH(Classifiers!$D$5,E323)),1,0))+IF(Classifiers!$E$5="",0,IF(ISNUMBER(SEARCH(Classifiers!$E$5,E323)),1,0))+IF(Classifiers!$F$5="",0,IF(ISNUMBER(SEARCH(Classifiers!$F$5,E323)),1,0))+IF(Classifiers!$G$5="",0,IF(ISNUMBER(SEARCH(Classifiers!$G$5,E323)),1,0)))&gt;0,1,0))</f>
        <v/>
      </c>
      <c r="K323" s="12">
        <f>IF(H323&lt;&gt;1,0,IF((IF(Classifiers!$B$6="",0,IF(ISNUMBER(SEARCH(Classifiers!$B$6,E323)),1,0))+IF(Classifiers!$C$6="",0,IF(ISNUMBER(SEARCH(Classifiers!$C$6,E323)),1,0))+IF(Classifiers!$D$6="",0,IF(ISNUMBER(SEARCH(Classifiers!$D$6,E323)),1,0))+IF(Classifiers!$E$6="",0,IF(ISNUMBER(SEARCH(Classifiers!$E$6,E323)),1,0))+IF(Classifiers!$F$6="",0,IF(ISNUMBER(SEARCH(Classifiers!$F$6,E323)),1,0))+IF(Classifiers!$G$6="",0,IF(ISNUMBER(SEARCH(Classifiers!$G$6,E323)),1,0)))&gt;0,1,0))</f>
        <v/>
      </c>
      <c r="L323" s="12">
        <f>IF(H323&lt;&gt;1,0,IF((IF(Classifiers!$B$7="",0,IF(ISNUMBER(SEARCH(Classifiers!$B$7,E323)),1,0))+IF(Classifiers!$C$7="",0,IF(ISNUMBER(SEARCH(Classifiers!$C$7,E323)),1,0))+IF(Classifiers!$D$7="",0,IF(ISNUMBER(SEARCH(Classifiers!$D$7,E323)),1,0))+IF(Classifiers!$E$7="",0,IF(ISNUMBER(SEARCH(Classifiers!$E$7,E323)),1,0))+IF(Classifiers!$F$7="",0,IF(ISNUMBER(SEARCH(Classifiers!$F$7,E323)),1,0))+IF(Classifiers!$G$7="",0,IF(ISNUMBER(SEARCH(Classifiers!$G$7,E323)),1,0)))&gt;0,1,0))</f>
        <v/>
      </c>
      <c r="M323" s="12">
        <f>IF(H323&lt;&gt;1,0,IF((IF(Classifiers!$B$8="",0,IF(ISNUMBER(SEARCH(Classifiers!$B$8,E323)),1,0))+IF(Classifiers!$C$8="",0,IF(ISNUMBER(SEARCH(Classifiers!$C$8,E323)),1,0))+IF(Classifiers!$D$8="",0,IF(ISNUMBER(SEARCH(Classifiers!$D$8,E323)),1,0))+IF(Classifiers!$E$8="",0,IF(ISNUMBER(SEARCH(Classifiers!$E$8,E323)),1,0))+IF(Classifiers!$F$8="",0,IF(ISNUMBER(SEARCH(Classifiers!$F$8,E323)),1,0))+IF(Classifiers!$G$8="",0,IF(ISNUMBER(SEARCH(Classifiers!$G$8,E323)),1,0)))&gt;0,1,0))</f>
        <v/>
      </c>
      <c r="N323" s="12">
        <f>IF(H323&lt;&gt;1,0,IF((IF(Classifiers!$B$9="",0,IF(ISNUMBER(SEARCH(Classifiers!$B$9,E323)),1,0))+IF(Classifiers!$C$9="",0,IF(ISNUMBER(SEARCH(Classifiers!$C$9,E323)),1,0))+IF(Classifiers!$D$9="",0,IF(ISNUMBER(SEARCH(Classifiers!$D$9,E323)),1,0))+IF(Classifiers!$E$9="",0,IF(ISNUMBER(SEARCH(Classifiers!$E$9,E323)),1,0))+IF(Classifiers!$F$9="",0,IF(ISNUMBER(SEARCH(Classifiers!$F$9,E323)),1,0))+IF(Classifiers!$G$9="",0,IF(ISNUMBER(SEARCH(Classifiers!$G$9,E323)),1,0)))&gt;0,1,0))</f>
        <v/>
      </c>
      <c r="O323" s="12">
        <f>IF(H323&lt;&gt;1,0,IF((IF(Classifiers!$B$10="",0,IF(ISNUMBER(SEARCH(Classifiers!$B$10,E323)),1,0))+IF(Classifiers!$C$10="",0,IF(ISNUMBER(SEARCH(Classifiers!$C$10,E323)),1,0))+IF(Classifiers!$D$10="",0,IF(ISNUMBER(SEARCH(Classifiers!$D$10,E323)),1,0))+IF(Classifiers!$E$10="",0,IF(ISNUMBER(SEARCH(Classifiers!$E$10,E323)),1,0))+IF(Classifiers!$F$10="",0,IF(ISNUMBER(SEARCH(Classifiers!$F$10,E323)),1,0))+IF(Classifiers!$G$10="",0,IF(ISNUMBER(SEARCH(Classifiers!$G$10,E323)),1,0)))&gt;0,1,0))</f>
        <v/>
      </c>
      <c r="P323" s="12">
        <f>IF(H323&lt;&gt;1,0,IF((IF(Classifiers!$B$11="",0,IF(ISNUMBER(SEARCH(Classifiers!$B$11,E323)),1,0))+IF(Classifiers!$C$11="",0,IF(ISNUMBER(SEARCH(Classifiers!$C$11,E323)),1,0))+IF(Classifiers!$D$11="",0,IF(ISNUMBER(SEARCH(Classifiers!$D$11,E323)),1,0))+IF(Classifiers!$E$11="",0,IF(ISNUMBER(SEARCH(Classifiers!$E$11,E323)),1,0))+IF(Classifiers!$F$11="",0,IF(ISNUMBER(SEARCH(Classifiers!$F$11,E323)),1,0))+IF(Classifiers!$G$11="",0,IF(ISNUMBER(SEARCH(Classifiers!$G$11,E323)),1,0)))&gt;0,1,0))</f>
        <v/>
      </c>
      <c r="Q323" s="12">
        <f>IF(H323&lt;&gt;1,0,IF((IF(Classifiers!$B$12="",0,IF(ISNUMBER(SEARCH(Classifiers!$B$12,E323)),1,0))+IF(Classifiers!$C$12="",0,IF(ISNUMBER(SEARCH(Classifiers!$C$12,E323)),1,0))+IF(Classifiers!$D$12="",0,IF(ISNUMBER(SEARCH(Classifiers!$D$12,E323)),1,0))+IF(Classifiers!$E$12="",0,IF(ISNUMBER(SEARCH(Classifiers!$E$12,E323)),1,0))+IF(Classifiers!$F$12="",0,IF(ISNUMBER(SEARCH(Classifiers!$F$12,E323)),1,0))+IF(Classifiers!$G$12="",0,IF(ISNUMBER(SEARCH(Classifiers!$G$12,E323)),1,0)))&gt;0,1,0))</f>
        <v/>
      </c>
      <c r="R323" s="12">
        <f>IF(H323&lt;&gt;1,0,IF((IF(Classifiers!$B$13="",0,IF(ISNUMBER(SEARCH(Classifiers!$B$13,E323)),1,0))+IF(Classifiers!$C$13="",0,IF(ISNUMBER(SEARCH(Classifiers!$C$13,E323)),1,0))+IF(Classifiers!$D$13="",0,IF(ISNUMBER(SEARCH(Classifiers!$D$13,E323)),1,0))+IF(Classifiers!$E$13="",0,IF(ISNUMBER(SEARCH(Classifiers!$E$13,E323)),1,0))+IF(Classifiers!$F$13="",0,IF(ISNUMBER(SEARCH(Classifiers!$F$13,E323)),1,0))+IF(Classifiers!$G$13="",0,IF(ISNUMBER(SEARCH(Classifiers!$G$13,E323)),1,0)))&gt;0,1,0))</f>
        <v/>
      </c>
      <c r="S323" s="12">
        <f>IF(H323&lt;&gt;1,0,IF((IF(Classifiers!$B$14="",0,IF(ISNUMBER(SEARCH(Classifiers!$B$14,E323)),1,0))+IF(Classifiers!$C$14="",0,IF(ISNUMBER(SEARCH(Classifiers!$C$14,E323)),1,0))+IF(Classifiers!$D$14="",0,IF(ISNUMBER(SEARCH(Classifiers!$D$14,E323)),1,0))+IF(Classifiers!$E$14="",0,IF(ISNUMBER(SEARCH(Classifiers!$E$14,E323)),1,0))+IF(Classifiers!$F$14="",0,IF(ISNUMBER(SEARCH(Classifiers!$F$14,E323)),1,0))+IF(Classifiers!$G$14="",0,IF(ISNUMBER(SEARCH(Classifiers!$G$14,E323)),1,0)))&gt;0,1,0))</f>
        <v/>
      </c>
      <c r="T323" s="12">
        <f>IF(H323&lt;&gt;1,0,IF((IF(Classifiers!$B$15="",0,IF(ISNUMBER(SEARCH(Classifiers!$B$15,E323)),1,0))+IF(Classifiers!$C$15="",0,IF(ISNUMBER(SEARCH(Classifiers!$C$15,E323)),1,0))+IF(Classifiers!$D$15="",0,IF(ISNUMBER(SEARCH(Classifiers!$D$15,E323)),1,0))+IF(Classifiers!$E$15="",0,IF(ISNUMBER(SEARCH(Classifiers!$E$15,E323)),1,0))+IF(Classifiers!$F$15="",0,IF(ISNUMBER(SEARCH(Classifiers!$F$15,E323)),1,0))+IF(Classifiers!$G$15="",0,IF(ISNUMBER(SEARCH(Classifiers!$G$15,E323)),1,0)))&gt;0,1,0))</f>
        <v/>
      </c>
      <c r="U323" s="12">
        <f>IF(H323&lt;&gt;1,0,IF((IF(Classifiers!$B$16="",0,IF(ISNUMBER(SEARCH(Classifiers!$B$16,E323)),1,0))+IF(Classifiers!$C$16="",0,IF(ISNUMBER(SEARCH(Classifiers!$C$16,E323)),1,0))+IF(Classifiers!$D$16="",0,IF(ISNUMBER(SEARCH(Classifiers!$D$16,E323)),1,0))+IF(Classifiers!$E$16="",0,IF(ISNUMBER(SEARCH(Classifiers!$E$16,E323)),1,0))+IF(Classifiers!$F$16="",0,IF(ISNUMBER(SEARCH(Classifiers!$F$16,E323)),1,0))+IF(Classifiers!$G$16="",0,IF(ISNUMBER(SEARCH(Classifiers!$G$16,E323)),1,0)))&gt;0,1,0))</f>
        <v/>
      </c>
      <c r="V323" s="12">
        <f>IF(H323&lt;&gt;1,0,IF((IF(Classifiers!$B$17="",0,IF(ISNUMBER(SEARCH(Classifiers!$B$17,E323)),1,0))+IF(Classifiers!$C$17="",0,IF(ISNUMBER(SEARCH(Classifiers!$C$17,E323)),1,0))+IF(Classifiers!$D$17="",0,IF(ISNUMBER(SEARCH(Classifiers!$D$17,E323)),1,0))+IF(Classifiers!$E$17="",0,IF(ISNUMBER(SEARCH(Classifiers!$E$17,E323)),1,0))+IF(Classifiers!$F$17="",0,IF(ISNUMBER(SEARCH(Classifiers!$F$17,E323)),1,0))+IF(Classifiers!$G$17="",0,IF(ISNUMBER(SEARCH(Classifiers!$G$17,E323)),1,0)))&gt;0,1,0))</f>
        <v/>
      </c>
      <c r="W323" s="12">
        <f>IF(H323&lt;&gt;1,0,IF((IF(Classifiers!$B$18="",0,IF(ISNUMBER(SEARCH(Classifiers!$B$18,E323)),1,0))+IF(Classifiers!$C$18="",0,IF(ISNUMBER(SEARCH(Classifiers!$C$18,E323)),1,0))+IF(Classifiers!$D$18="",0,IF(ISNUMBER(SEARCH(Classifiers!$D$18,E323)),1,0))+IF(Classifiers!$E$18="",0,IF(ISNUMBER(SEARCH(Classifiers!$E$18,E323)),1,0))+IF(Classifiers!$F$18="",0,IF(ISNUMBER(SEARCH(Classifiers!$F$18,E323)),1,0))+IF(Classifiers!$G$18="",0,IF(ISNUMBER(SEARCH(Classifiers!$G$18,E323)),1,0)))&gt;0,1,0))</f>
        <v/>
      </c>
    </row>
    <row r="324">
      <c r="A324" s="8" t="n"/>
      <c r="B324" s="11" t="n"/>
      <c r="C324" s="6">
        <f>IF(A324="","",TRIM(RIGHT(SUBSTITUTE(A324,"/",REPT(" ",250)),250)))</f>
        <v/>
      </c>
      <c r="D324" s="6">
        <f>IF(C324="","",IF(ISNUMBER(SEARCH(".",C324)),LOWER("."&amp;TRIM(RIGHT(SUBSTITUTE(C324,".",REPT(" ",250)),250))),""))</f>
        <v/>
      </c>
      <c r="E324" s="6">
        <f>IF(C324="","",TRIM(SUBSTITUTE(SUBSTITUTE(SUBSTITUTE(SUBSTITUTE(SUBSTITUTE(SUBSTITUTE(SUBSTITUTE(SUBSTITUTE(SUBSTITUTE(SUBSTITUTE(SUBSTITUTE(SUBSTITUTE(SUBSTITUTE(SUBSTITUTE(SUBSTITUTE(SUBSTITUTE(SUBSTITUTE(SUBSTITUTE(SUBSTITUTE(SUBSTITUTE(LOWER(LEFT(C324,LEN(C324)-LEN(D324))),"_"," "),"-"," "),"."," "),","," "),"("," "),")"," "),"["," "),"]"," "),"&amp;"," "),"+"," "),"@"," "),"#"," "),"!"," "),"'"," "),"/"," "),":"," "),";"," "),"="," "),"~"," "),"%"," ")))</f>
        <v/>
      </c>
      <c r="F324" s="6">
        <f>IF(C324="","",IF(COUNTIF(Classifiers!$A$23:$A$40,D324)&gt;0,1,0))</f>
        <v/>
      </c>
      <c r="G324" s="6">
        <f>IF(C324="","",IF(COUNTIF(Classifiers!$C$23:$C$30,D324)&gt;0,IF((IF(ISNUMBER(SEARCH(Classifiers!$E$23,E324)),1,0)+IF(ISNUMBER(SEARCH(Classifiers!$E$24,E324)),1,0)+IF(ISNUMBER(SEARCH(Classifiers!$E$25,E324)),1,0)+IF(ISNUMBER(SEARCH(Classifiers!$E$26,E324)),1,0)+IF(ISNUMBER(SEARCH(Classifiers!$E$27,E324)),1,0)+IF(ISNUMBER(SEARCH(Classifiers!$E$28,E324)),1,0)+IF(ISNUMBER(SEARCH(Classifiers!$E$29,E324)),1,0)+IF(ISNUMBER(SEARCH(Classifiers!$E$30,E324)),1,0))&gt;0,1,0),0))</f>
        <v/>
      </c>
      <c r="H324" s="6">
        <f>IF(C324="","",IF(OR(LEFT(C324,1)=".",AND(F324=0,G324=0)),0,1))</f>
        <v/>
      </c>
      <c r="I324" s="6">
        <f>IF(H324&lt;&gt;1,"",IF(SUM(J324:W324)=0,"unclassified",INDEX(Classifiers!$A$5:$A$18,MATCH(1,J324:W324,0),1)))</f>
        <v/>
      </c>
      <c r="J324" s="12">
        <f>IF(H324&lt;&gt;1,0,IF((IF(Classifiers!$B$5="",0,IF(ISNUMBER(SEARCH(Classifiers!$B$5,E324)),1,0))+IF(Classifiers!$C$5="",0,IF(ISNUMBER(SEARCH(Classifiers!$C$5,E324)),1,0))+IF(Classifiers!$D$5="",0,IF(ISNUMBER(SEARCH(Classifiers!$D$5,E324)),1,0))+IF(Classifiers!$E$5="",0,IF(ISNUMBER(SEARCH(Classifiers!$E$5,E324)),1,0))+IF(Classifiers!$F$5="",0,IF(ISNUMBER(SEARCH(Classifiers!$F$5,E324)),1,0))+IF(Classifiers!$G$5="",0,IF(ISNUMBER(SEARCH(Classifiers!$G$5,E324)),1,0)))&gt;0,1,0))</f>
        <v/>
      </c>
      <c r="K324" s="12">
        <f>IF(H324&lt;&gt;1,0,IF((IF(Classifiers!$B$6="",0,IF(ISNUMBER(SEARCH(Classifiers!$B$6,E324)),1,0))+IF(Classifiers!$C$6="",0,IF(ISNUMBER(SEARCH(Classifiers!$C$6,E324)),1,0))+IF(Classifiers!$D$6="",0,IF(ISNUMBER(SEARCH(Classifiers!$D$6,E324)),1,0))+IF(Classifiers!$E$6="",0,IF(ISNUMBER(SEARCH(Classifiers!$E$6,E324)),1,0))+IF(Classifiers!$F$6="",0,IF(ISNUMBER(SEARCH(Classifiers!$F$6,E324)),1,0))+IF(Classifiers!$G$6="",0,IF(ISNUMBER(SEARCH(Classifiers!$G$6,E324)),1,0)))&gt;0,1,0))</f>
        <v/>
      </c>
      <c r="L324" s="12">
        <f>IF(H324&lt;&gt;1,0,IF((IF(Classifiers!$B$7="",0,IF(ISNUMBER(SEARCH(Classifiers!$B$7,E324)),1,0))+IF(Classifiers!$C$7="",0,IF(ISNUMBER(SEARCH(Classifiers!$C$7,E324)),1,0))+IF(Classifiers!$D$7="",0,IF(ISNUMBER(SEARCH(Classifiers!$D$7,E324)),1,0))+IF(Classifiers!$E$7="",0,IF(ISNUMBER(SEARCH(Classifiers!$E$7,E324)),1,0))+IF(Classifiers!$F$7="",0,IF(ISNUMBER(SEARCH(Classifiers!$F$7,E324)),1,0))+IF(Classifiers!$G$7="",0,IF(ISNUMBER(SEARCH(Classifiers!$G$7,E324)),1,0)))&gt;0,1,0))</f>
        <v/>
      </c>
      <c r="M324" s="12">
        <f>IF(H324&lt;&gt;1,0,IF((IF(Classifiers!$B$8="",0,IF(ISNUMBER(SEARCH(Classifiers!$B$8,E324)),1,0))+IF(Classifiers!$C$8="",0,IF(ISNUMBER(SEARCH(Classifiers!$C$8,E324)),1,0))+IF(Classifiers!$D$8="",0,IF(ISNUMBER(SEARCH(Classifiers!$D$8,E324)),1,0))+IF(Classifiers!$E$8="",0,IF(ISNUMBER(SEARCH(Classifiers!$E$8,E324)),1,0))+IF(Classifiers!$F$8="",0,IF(ISNUMBER(SEARCH(Classifiers!$F$8,E324)),1,0))+IF(Classifiers!$G$8="",0,IF(ISNUMBER(SEARCH(Classifiers!$G$8,E324)),1,0)))&gt;0,1,0))</f>
        <v/>
      </c>
      <c r="N324" s="12">
        <f>IF(H324&lt;&gt;1,0,IF((IF(Classifiers!$B$9="",0,IF(ISNUMBER(SEARCH(Classifiers!$B$9,E324)),1,0))+IF(Classifiers!$C$9="",0,IF(ISNUMBER(SEARCH(Classifiers!$C$9,E324)),1,0))+IF(Classifiers!$D$9="",0,IF(ISNUMBER(SEARCH(Classifiers!$D$9,E324)),1,0))+IF(Classifiers!$E$9="",0,IF(ISNUMBER(SEARCH(Classifiers!$E$9,E324)),1,0))+IF(Classifiers!$F$9="",0,IF(ISNUMBER(SEARCH(Classifiers!$F$9,E324)),1,0))+IF(Classifiers!$G$9="",0,IF(ISNUMBER(SEARCH(Classifiers!$G$9,E324)),1,0)))&gt;0,1,0))</f>
        <v/>
      </c>
      <c r="O324" s="12">
        <f>IF(H324&lt;&gt;1,0,IF((IF(Classifiers!$B$10="",0,IF(ISNUMBER(SEARCH(Classifiers!$B$10,E324)),1,0))+IF(Classifiers!$C$10="",0,IF(ISNUMBER(SEARCH(Classifiers!$C$10,E324)),1,0))+IF(Classifiers!$D$10="",0,IF(ISNUMBER(SEARCH(Classifiers!$D$10,E324)),1,0))+IF(Classifiers!$E$10="",0,IF(ISNUMBER(SEARCH(Classifiers!$E$10,E324)),1,0))+IF(Classifiers!$F$10="",0,IF(ISNUMBER(SEARCH(Classifiers!$F$10,E324)),1,0))+IF(Classifiers!$G$10="",0,IF(ISNUMBER(SEARCH(Classifiers!$G$10,E324)),1,0)))&gt;0,1,0))</f>
        <v/>
      </c>
      <c r="P324" s="12">
        <f>IF(H324&lt;&gt;1,0,IF((IF(Classifiers!$B$11="",0,IF(ISNUMBER(SEARCH(Classifiers!$B$11,E324)),1,0))+IF(Classifiers!$C$11="",0,IF(ISNUMBER(SEARCH(Classifiers!$C$11,E324)),1,0))+IF(Classifiers!$D$11="",0,IF(ISNUMBER(SEARCH(Classifiers!$D$11,E324)),1,0))+IF(Classifiers!$E$11="",0,IF(ISNUMBER(SEARCH(Classifiers!$E$11,E324)),1,0))+IF(Classifiers!$F$11="",0,IF(ISNUMBER(SEARCH(Classifiers!$F$11,E324)),1,0))+IF(Classifiers!$G$11="",0,IF(ISNUMBER(SEARCH(Classifiers!$G$11,E324)),1,0)))&gt;0,1,0))</f>
        <v/>
      </c>
      <c r="Q324" s="12">
        <f>IF(H324&lt;&gt;1,0,IF((IF(Classifiers!$B$12="",0,IF(ISNUMBER(SEARCH(Classifiers!$B$12,E324)),1,0))+IF(Classifiers!$C$12="",0,IF(ISNUMBER(SEARCH(Classifiers!$C$12,E324)),1,0))+IF(Classifiers!$D$12="",0,IF(ISNUMBER(SEARCH(Classifiers!$D$12,E324)),1,0))+IF(Classifiers!$E$12="",0,IF(ISNUMBER(SEARCH(Classifiers!$E$12,E324)),1,0))+IF(Classifiers!$F$12="",0,IF(ISNUMBER(SEARCH(Classifiers!$F$12,E324)),1,0))+IF(Classifiers!$G$12="",0,IF(ISNUMBER(SEARCH(Classifiers!$G$12,E324)),1,0)))&gt;0,1,0))</f>
        <v/>
      </c>
      <c r="R324" s="12">
        <f>IF(H324&lt;&gt;1,0,IF((IF(Classifiers!$B$13="",0,IF(ISNUMBER(SEARCH(Classifiers!$B$13,E324)),1,0))+IF(Classifiers!$C$13="",0,IF(ISNUMBER(SEARCH(Classifiers!$C$13,E324)),1,0))+IF(Classifiers!$D$13="",0,IF(ISNUMBER(SEARCH(Classifiers!$D$13,E324)),1,0))+IF(Classifiers!$E$13="",0,IF(ISNUMBER(SEARCH(Classifiers!$E$13,E324)),1,0))+IF(Classifiers!$F$13="",0,IF(ISNUMBER(SEARCH(Classifiers!$F$13,E324)),1,0))+IF(Classifiers!$G$13="",0,IF(ISNUMBER(SEARCH(Classifiers!$G$13,E324)),1,0)))&gt;0,1,0))</f>
        <v/>
      </c>
      <c r="S324" s="12">
        <f>IF(H324&lt;&gt;1,0,IF((IF(Classifiers!$B$14="",0,IF(ISNUMBER(SEARCH(Classifiers!$B$14,E324)),1,0))+IF(Classifiers!$C$14="",0,IF(ISNUMBER(SEARCH(Classifiers!$C$14,E324)),1,0))+IF(Classifiers!$D$14="",0,IF(ISNUMBER(SEARCH(Classifiers!$D$14,E324)),1,0))+IF(Classifiers!$E$14="",0,IF(ISNUMBER(SEARCH(Classifiers!$E$14,E324)),1,0))+IF(Classifiers!$F$14="",0,IF(ISNUMBER(SEARCH(Classifiers!$F$14,E324)),1,0))+IF(Classifiers!$G$14="",0,IF(ISNUMBER(SEARCH(Classifiers!$G$14,E324)),1,0)))&gt;0,1,0))</f>
        <v/>
      </c>
      <c r="T324" s="12">
        <f>IF(H324&lt;&gt;1,0,IF((IF(Classifiers!$B$15="",0,IF(ISNUMBER(SEARCH(Classifiers!$B$15,E324)),1,0))+IF(Classifiers!$C$15="",0,IF(ISNUMBER(SEARCH(Classifiers!$C$15,E324)),1,0))+IF(Classifiers!$D$15="",0,IF(ISNUMBER(SEARCH(Classifiers!$D$15,E324)),1,0))+IF(Classifiers!$E$15="",0,IF(ISNUMBER(SEARCH(Classifiers!$E$15,E324)),1,0))+IF(Classifiers!$F$15="",0,IF(ISNUMBER(SEARCH(Classifiers!$F$15,E324)),1,0))+IF(Classifiers!$G$15="",0,IF(ISNUMBER(SEARCH(Classifiers!$G$15,E324)),1,0)))&gt;0,1,0))</f>
        <v/>
      </c>
      <c r="U324" s="12">
        <f>IF(H324&lt;&gt;1,0,IF((IF(Classifiers!$B$16="",0,IF(ISNUMBER(SEARCH(Classifiers!$B$16,E324)),1,0))+IF(Classifiers!$C$16="",0,IF(ISNUMBER(SEARCH(Classifiers!$C$16,E324)),1,0))+IF(Classifiers!$D$16="",0,IF(ISNUMBER(SEARCH(Classifiers!$D$16,E324)),1,0))+IF(Classifiers!$E$16="",0,IF(ISNUMBER(SEARCH(Classifiers!$E$16,E324)),1,0))+IF(Classifiers!$F$16="",0,IF(ISNUMBER(SEARCH(Classifiers!$F$16,E324)),1,0))+IF(Classifiers!$G$16="",0,IF(ISNUMBER(SEARCH(Classifiers!$G$16,E324)),1,0)))&gt;0,1,0))</f>
        <v/>
      </c>
      <c r="V324" s="12">
        <f>IF(H324&lt;&gt;1,0,IF((IF(Classifiers!$B$17="",0,IF(ISNUMBER(SEARCH(Classifiers!$B$17,E324)),1,0))+IF(Classifiers!$C$17="",0,IF(ISNUMBER(SEARCH(Classifiers!$C$17,E324)),1,0))+IF(Classifiers!$D$17="",0,IF(ISNUMBER(SEARCH(Classifiers!$D$17,E324)),1,0))+IF(Classifiers!$E$17="",0,IF(ISNUMBER(SEARCH(Classifiers!$E$17,E324)),1,0))+IF(Classifiers!$F$17="",0,IF(ISNUMBER(SEARCH(Classifiers!$F$17,E324)),1,0))+IF(Classifiers!$G$17="",0,IF(ISNUMBER(SEARCH(Classifiers!$G$17,E324)),1,0)))&gt;0,1,0))</f>
        <v/>
      </c>
      <c r="W324" s="12">
        <f>IF(H324&lt;&gt;1,0,IF((IF(Classifiers!$B$18="",0,IF(ISNUMBER(SEARCH(Classifiers!$B$18,E324)),1,0))+IF(Classifiers!$C$18="",0,IF(ISNUMBER(SEARCH(Classifiers!$C$18,E324)),1,0))+IF(Classifiers!$D$18="",0,IF(ISNUMBER(SEARCH(Classifiers!$D$18,E324)),1,0))+IF(Classifiers!$E$18="",0,IF(ISNUMBER(SEARCH(Classifiers!$E$18,E324)),1,0))+IF(Classifiers!$F$18="",0,IF(ISNUMBER(SEARCH(Classifiers!$F$18,E324)),1,0))+IF(Classifiers!$G$18="",0,IF(ISNUMBER(SEARCH(Classifiers!$G$18,E324)),1,0)))&gt;0,1,0))</f>
        <v/>
      </c>
    </row>
    <row r="325">
      <c r="A325" s="8" t="n"/>
      <c r="B325" s="11" t="n"/>
      <c r="C325" s="6">
        <f>IF(A325="","",TRIM(RIGHT(SUBSTITUTE(A325,"/",REPT(" ",250)),250)))</f>
        <v/>
      </c>
      <c r="D325" s="6">
        <f>IF(C325="","",IF(ISNUMBER(SEARCH(".",C325)),LOWER("."&amp;TRIM(RIGHT(SUBSTITUTE(C325,".",REPT(" ",250)),250))),""))</f>
        <v/>
      </c>
      <c r="E325" s="6">
        <f>IF(C325="","",TRIM(SUBSTITUTE(SUBSTITUTE(SUBSTITUTE(SUBSTITUTE(SUBSTITUTE(SUBSTITUTE(SUBSTITUTE(SUBSTITUTE(SUBSTITUTE(SUBSTITUTE(SUBSTITUTE(SUBSTITUTE(SUBSTITUTE(SUBSTITUTE(SUBSTITUTE(SUBSTITUTE(SUBSTITUTE(SUBSTITUTE(SUBSTITUTE(SUBSTITUTE(LOWER(LEFT(C325,LEN(C325)-LEN(D325))),"_"," "),"-"," "),"."," "),","," "),"("," "),")"," "),"["," "),"]"," "),"&amp;"," "),"+"," "),"@"," "),"#"," "),"!"," "),"'"," "),"/"," "),":"," "),";"," "),"="," "),"~"," "),"%"," ")))</f>
        <v/>
      </c>
      <c r="F325" s="6">
        <f>IF(C325="","",IF(COUNTIF(Classifiers!$A$23:$A$40,D325)&gt;0,1,0))</f>
        <v/>
      </c>
      <c r="G325" s="6">
        <f>IF(C325="","",IF(COUNTIF(Classifiers!$C$23:$C$30,D325)&gt;0,IF((IF(ISNUMBER(SEARCH(Classifiers!$E$23,E325)),1,0)+IF(ISNUMBER(SEARCH(Classifiers!$E$24,E325)),1,0)+IF(ISNUMBER(SEARCH(Classifiers!$E$25,E325)),1,0)+IF(ISNUMBER(SEARCH(Classifiers!$E$26,E325)),1,0)+IF(ISNUMBER(SEARCH(Classifiers!$E$27,E325)),1,0)+IF(ISNUMBER(SEARCH(Classifiers!$E$28,E325)),1,0)+IF(ISNUMBER(SEARCH(Classifiers!$E$29,E325)),1,0)+IF(ISNUMBER(SEARCH(Classifiers!$E$30,E325)),1,0))&gt;0,1,0),0))</f>
        <v/>
      </c>
      <c r="H325" s="6">
        <f>IF(C325="","",IF(OR(LEFT(C325,1)=".",AND(F325=0,G325=0)),0,1))</f>
        <v/>
      </c>
      <c r="I325" s="6">
        <f>IF(H325&lt;&gt;1,"",IF(SUM(J325:W325)=0,"unclassified",INDEX(Classifiers!$A$5:$A$18,MATCH(1,J325:W325,0),1)))</f>
        <v/>
      </c>
      <c r="J325" s="12">
        <f>IF(H325&lt;&gt;1,0,IF((IF(Classifiers!$B$5="",0,IF(ISNUMBER(SEARCH(Classifiers!$B$5,E325)),1,0))+IF(Classifiers!$C$5="",0,IF(ISNUMBER(SEARCH(Classifiers!$C$5,E325)),1,0))+IF(Classifiers!$D$5="",0,IF(ISNUMBER(SEARCH(Classifiers!$D$5,E325)),1,0))+IF(Classifiers!$E$5="",0,IF(ISNUMBER(SEARCH(Classifiers!$E$5,E325)),1,0))+IF(Classifiers!$F$5="",0,IF(ISNUMBER(SEARCH(Classifiers!$F$5,E325)),1,0))+IF(Classifiers!$G$5="",0,IF(ISNUMBER(SEARCH(Classifiers!$G$5,E325)),1,0)))&gt;0,1,0))</f>
        <v/>
      </c>
      <c r="K325" s="12">
        <f>IF(H325&lt;&gt;1,0,IF((IF(Classifiers!$B$6="",0,IF(ISNUMBER(SEARCH(Classifiers!$B$6,E325)),1,0))+IF(Classifiers!$C$6="",0,IF(ISNUMBER(SEARCH(Classifiers!$C$6,E325)),1,0))+IF(Classifiers!$D$6="",0,IF(ISNUMBER(SEARCH(Classifiers!$D$6,E325)),1,0))+IF(Classifiers!$E$6="",0,IF(ISNUMBER(SEARCH(Classifiers!$E$6,E325)),1,0))+IF(Classifiers!$F$6="",0,IF(ISNUMBER(SEARCH(Classifiers!$F$6,E325)),1,0))+IF(Classifiers!$G$6="",0,IF(ISNUMBER(SEARCH(Classifiers!$G$6,E325)),1,0)))&gt;0,1,0))</f>
        <v/>
      </c>
      <c r="L325" s="12">
        <f>IF(H325&lt;&gt;1,0,IF((IF(Classifiers!$B$7="",0,IF(ISNUMBER(SEARCH(Classifiers!$B$7,E325)),1,0))+IF(Classifiers!$C$7="",0,IF(ISNUMBER(SEARCH(Classifiers!$C$7,E325)),1,0))+IF(Classifiers!$D$7="",0,IF(ISNUMBER(SEARCH(Classifiers!$D$7,E325)),1,0))+IF(Classifiers!$E$7="",0,IF(ISNUMBER(SEARCH(Classifiers!$E$7,E325)),1,0))+IF(Classifiers!$F$7="",0,IF(ISNUMBER(SEARCH(Classifiers!$F$7,E325)),1,0))+IF(Classifiers!$G$7="",0,IF(ISNUMBER(SEARCH(Classifiers!$G$7,E325)),1,0)))&gt;0,1,0))</f>
        <v/>
      </c>
      <c r="M325" s="12">
        <f>IF(H325&lt;&gt;1,0,IF((IF(Classifiers!$B$8="",0,IF(ISNUMBER(SEARCH(Classifiers!$B$8,E325)),1,0))+IF(Classifiers!$C$8="",0,IF(ISNUMBER(SEARCH(Classifiers!$C$8,E325)),1,0))+IF(Classifiers!$D$8="",0,IF(ISNUMBER(SEARCH(Classifiers!$D$8,E325)),1,0))+IF(Classifiers!$E$8="",0,IF(ISNUMBER(SEARCH(Classifiers!$E$8,E325)),1,0))+IF(Classifiers!$F$8="",0,IF(ISNUMBER(SEARCH(Classifiers!$F$8,E325)),1,0))+IF(Classifiers!$G$8="",0,IF(ISNUMBER(SEARCH(Classifiers!$G$8,E325)),1,0)))&gt;0,1,0))</f>
        <v/>
      </c>
      <c r="N325" s="12">
        <f>IF(H325&lt;&gt;1,0,IF((IF(Classifiers!$B$9="",0,IF(ISNUMBER(SEARCH(Classifiers!$B$9,E325)),1,0))+IF(Classifiers!$C$9="",0,IF(ISNUMBER(SEARCH(Classifiers!$C$9,E325)),1,0))+IF(Classifiers!$D$9="",0,IF(ISNUMBER(SEARCH(Classifiers!$D$9,E325)),1,0))+IF(Classifiers!$E$9="",0,IF(ISNUMBER(SEARCH(Classifiers!$E$9,E325)),1,0))+IF(Classifiers!$F$9="",0,IF(ISNUMBER(SEARCH(Classifiers!$F$9,E325)),1,0))+IF(Classifiers!$G$9="",0,IF(ISNUMBER(SEARCH(Classifiers!$G$9,E325)),1,0)))&gt;0,1,0))</f>
        <v/>
      </c>
      <c r="O325" s="12">
        <f>IF(H325&lt;&gt;1,0,IF((IF(Classifiers!$B$10="",0,IF(ISNUMBER(SEARCH(Classifiers!$B$10,E325)),1,0))+IF(Classifiers!$C$10="",0,IF(ISNUMBER(SEARCH(Classifiers!$C$10,E325)),1,0))+IF(Classifiers!$D$10="",0,IF(ISNUMBER(SEARCH(Classifiers!$D$10,E325)),1,0))+IF(Classifiers!$E$10="",0,IF(ISNUMBER(SEARCH(Classifiers!$E$10,E325)),1,0))+IF(Classifiers!$F$10="",0,IF(ISNUMBER(SEARCH(Classifiers!$F$10,E325)),1,0))+IF(Classifiers!$G$10="",0,IF(ISNUMBER(SEARCH(Classifiers!$G$10,E325)),1,0)))&gt;0,1,0))</f>
        <v/>
      </c>
      <c r="P325" s="12">
        <f>IF(H325&lt;&gt;1,0,IF((IF(Classifiers!$B$11="",0,IF(ISNUMBER(SEARCH(Classifiers!$B$11,E325)),1,0))+IF(Classifiers!$C$11="",0,IF(ISNUMBER(SEARCH(Classifiers!$C$11,E325)),1,0))+IF(Classifiers!$D$11="",0,IF(ISNUMBER(SEARCH(Classifiers!$D$11,E325)),1,0))+IF(Classifiers!$E$11="",0,IF(ISNUMBER(SEARCH(Classifiers!$E$11,E325)),1,0))+IF(Classifiers!$F$11="",0,IF(ISNUMBER(SEARCH(Classifiers!$F$11,E325)),1,0))+IF(Classifiers!$G$11="",0,IF(ISNUMBER(SEARCH(Classifiers!$G$11,E325)),1,0)))&gt;0,1,0))</f>
        <v/>
      </c>
      <c r="Q325" s="12">
        <f>IF(H325&lt;&gt;1,0,IF((IF(Classifiers!$B$12="",0,IF(ISNUMBER(SEARCH(Classifiers!$B$12,E325)),1,0))+IF(Classifiers!$C$12="",0,IF(ISNUMBER(SEARCH(Classifiers!$C$12,E325)),1,0))+IF(Classifiers!$D$12="",0,IF(ISNUMBER(SEARCH(Classifiers!$D$12,E325)),1,0))+IF(Classifiers!$E$12="",0,IF(ISNUMBER(SEARCH(Classifiers!$E$12,E325)),1,0))+IF(Classifiers!$F$12="",0,IF(ISNUMBER(SEARCH(Classifiers!$F$12,E325)),1,0))+IF(Classifiers!$G$12="",0,IF(ISNUMBER(SEARCH(Classifiers!$G$12,E325)),1,0)))&gt;0,1,0))</f>
        <v/>
      </c>
      <c r="R325" s="12">
        <f>IF(H325&lt;&gt;1,0,IF((IF(Classifiers!$B$13="",0,IF(ISNUMBER(SEARCH(Classifiers!$B$13,E325)),1,0))+IF(Classifiers!$C$13="",0,IF(ISNUMBER(SEARCH(Classifiers!$C$13,E325)),1,0))+IF(Classifiers!$D$13="",0,IF(ISNUMBER(SEARCH(Classifiers!$D$13,E325)),1,0))+IF(Classifiers!$E$13="",0,IF(ISNUMBER(SEARCH(Classifiers!$E$13,E325)),1,0))+IF(Classifiers!$F$13="",0,IF(ISNUMBER(SEARCH(Classifiers!$F$13,E325)),1,0))+IF(Classifiers!$G$13="",0,IF(ISNUMBER(SEARCH(Classifiers!$G$13,E325)),1,0)))&gt;0,1,0))</f>
        <v/>
      </c>
      <c r="S325" s="12">
        <f>IF(H325&lt;&gt;1,0,IF((IF(Classifiers!$B$14="",0,IF(ISNUMBER(SEARCH(Classifiers!$B$14,E325)),1,0))+IF(Classifiers!$C$14="",0,IF(ISNUMBER(SEARCH(Classifiers!$C$14,E325)),1,0))+IF(Classifiers!$D$14="",0,IF(ISNUMBER(SEARCH(Classifiers!$D$14,E325)),1,0))+IF(Classifiers!$E$14="",0,IF(ISNUMBER(SEARCH(Classifiers!$E$14,E325)),1,0))+IF(Classifiers!$F$14="",0,IF(ISNUMBER(SEARCH(Classifiers!$F$14,E325)),1,0))+IF(Classifiers!$G$14="",0,IF(ISNUMBER(SEARCH(Classifiers!$G$14,E325)),1,0)))&gt;0,1,0))</f>
        <v/>
      </c>
      <c r="T325" s="12">
        <f>IF(H325&lt;&gt;1,0,IF((IF(Classifiers!$B$15="",0,IF(ISNUMBER(SEARCH(Classifiers!$B$15,E325)),1,0))+IF(Classifiers!$C$15="",0,IF(ISNUMBER(SEARCH(Classifiers!$C$15,E325)),1,0))+IF(Classifiers!$D$15="",0,IF(ISNUMBER(SEARCH(Classifiers!$D$15,E325)),1,0))+IF(Classifiers!$E$15="",0,IF(ISNUMBER(SEARCH(Classifiers!$E$15,E325)),1,0))+IF(Classifiers!$F$15="",0,IF(ISNUMBER(SEARCH(Classifiers!$F$15,E325)),1,0))+IF(Classifiers!$G$15="",0,IF(ISNUMBER(SEARCH(Classifiers!$G$15,E325)),1,0)))&gt;0,1,0))</f>
        <v/>
      </c>
      <c r="U325" s="12">
        <f>IF(H325&lt;&gt;1,0,IF((IF(Classifiers!$B$16="",0,IF(ISNUMBER(SEARCH(Classifiers!$B$16,E325)),1,0))+IF(Classifiers!$C$16="",0,IF(ISNUMBER(SEARCH(Classifiers!$C$16,E325)),1,0))+IF(Classifiers!$D$16="",0,IF(ISNUMBER(SEARCH(Classifiers!$D$16,E325)),1,0))+IF(Classifiers!$E$16="",0,IF(ISNUMBER(SEARCH(Classifiers!$E$16,E325)),1,0))+IF(Classifiers!$F$16="",0,IF(ISNUMBER(SEARCH(Classifiers!$F$16,E325)),1,0))+IF(Classifiers!$G$16="",0,IF(ISNUMBER(SEARCH(Classifiers!$G$16,E325)),1,0)))&gt;0,1,0))</f>
        <v/>
      </c>
      <c r="V325" s="12">
        <f>IF(H325&lt;&gt;1,0,IF((IF(Classifiers!$B$17="",0,IF(ISNUMBER(SEARCH(Classifiers!$B$17,E325)),1,0))+IF(Classifiers!$C$17="",0,IF(ISNUMBER(SEARCH(Classifiers!$C$17,E325)),1,0))+IF(Classifiers!$D$17="",0,IF(ISNUMBER(SEARCH(Classifiers!$D$17,E325)),1,0))+IF(Classifiers!$E$17="",0,IF(ISNUMBER(SEARCH(Classifiers!$E$17,E325)),1,0))+IF(Classifiers!$F$17="",0,IF(ISNUMBER(SEARCH(Classifiers!$F$17,E325)),1,0))+IF(Classifiers!$G$17="",0,IF(ISNUMBER(SEARCH(Classifiers!$G$17,E325)),1,0)))&gt;0,1,0))</f>
        <v/>
      </c>
      <c r="W325" s="12">
        <f>IF(H325&lt;&gt;1,0,IF((IF(Classifiers!$B$18="",0,IF(ISNUMBER(SEARCH(Classifiers!$B$18,E325)),1,0))+IF(Classifiers!$C$18="",0,IF(ISNUMBER(SEARCH(Classifiers!$C$18,E325)),1,0))+IF(Classifiers!$D$18="",0,IF(ISNUMBER(SEARCH(Classifiers!$D$18,E325)),1,0))+IF(Classifiers!$E$18="",0,IF(ISNUMBER(SEARCH(Classifiers!$E$18,E325)),1,0))+IF(Classifiers!$F$18="",0,IF(ISNUMBER(SEARCH(Classifiers!$F$18,E325)),1,0))+IF(Classifiers!$G$18="",0,IF(ISNUMBER(SEARCH(Classifiers!$G$18,E325)),1,0)))&gt;0,1,0))</f>
        <v/>
      </c>
    </row>
    <row r="326">
      <c r="A326" s="8" t="n"/>
      <c r="B326" s="11" t="n"/>
      <c r="C326" s="6">
        <f>IF(A326="","",TRIM(RIGHT(SUBSTITUTE(A326,"/",REPT(" ",250)),250)))</f>
        <v/>
      </c>
      <c r="D326" s="6">
        <f>IF(C326="","",IF(ISNUMBER(SEARCH(".",C326)),LOWER("."&amp;TRIM(RIGHT(SUBSTITUTE(C326,".",REPT(" ",250)),250))),""))</f>
        <v/>
      </c>
      <c r="E326" s="6">
        <f>IF(C326="","",TRIM(SUBSTITUTE(SUBSTITUTE(SUBSTITUTE(SUBSTITUTE(SUBSTITUTE(SUBSTITUTE(SUBSTITUTE(SUBSTITUTE(SUBSTITUTE(SUBSTITUTE(SUBSTITUTE(SUBSTITUTE(SUBSTITUTE(SUBSTITUTE(SUBSTITUTE(SUBSTITUTE(SUBSTITUTE(SUBSTITUTE(SUBSTITUTE(SUBSTITUTE(LOWER(LEFT(C326,LEN(C326)-LEN(D326))),"_"," "),"-"," "),"."," "),","," "),"("," "),")"," "),"["," "),"]"," "),"&amp;"," "),"+"," "),"@"," "),"#"," "),"!"," "),"'"," "),"/"," "),":"," "),";"," "),"="," "),"~"," "),"%"," ")))</f>
        <v/>
      </c>
      <c r="F326" s="6">
        <f>IF(C326="","",IF(COUNTIF(Classifiers!$A$23:$A$40,D326)&gt;0,1,0))</f>
        <v/>
      </c>
      <c r="G326" s="6">
        <f>IF(C326="","",IF(COUNTIF(Classifiers!$C$23:$C$30,D326)&gt;0,IF((IF(ISNUMBER(SEARCH(Classifiers!$E$23,E326)),1,0)+IF(ISNUMBER(SEARCH(Classifiers!$E$24,E326)),1,0)+IF(ISNUMBER(SEARCH(Classifiers!$E$25,E326)),1,0)+IF(ISNUMBER(SEARCH(Classifiers!$E$26,E326)),1,0)+IF(ISNUMBER(SEARCH(Classifiers!$E$27,E326)),1,0)+IF(ISNUMBER(SEARCH(Classifiers!$E$28,E326)),1,0)+IF(ISNUMBER(SEARCH(Classifiers!$E$29,E326)),1,0)+IF(ISNUMBER(SEARCH(Classifiers!$E$30,E326)),1,0))&gt;0,1,0),0))</f>
        <v/>
      </c>
      <c r="H326" s="6">
        <f>IF(C326="","",IF(OR(LEFT(C326,1)=".",AND(F326=0,G326=0)),0,1))</f>
        <v/>
      </c>
      <c r="I326" s="6">
        <f>IF(H326&lt;&gt;1,"",IF(SUM(J326:W326)=0,"unclassified",INDEX(Classifiers!$A$5:$A$18,MATCH(1,J326:W326,0),1)))</f>
        <v/>
      </c>
      <c r="J326" s="12">
        <f>IF(H326&lt;&gt;1,0,IF((IF(Classifiers!$B$5="",0,IF(ISNUMBER(SEARCH(Classifiers!$B$5,E326)),1,0))+IF(Classifiers!$C$5="",0,IF(ISNUMBER(SEARCH(Classifiers!$C$5,E326)),1,0))+IF(Classifiers!$D$5="",0,IF(ISNUMBER(SEARCH(Classifiers!$D$5,E326)),1,0))+IF(Classifiers!$E$5="",0,IF(ISNUMBER(SEARCH(Classifiers!$E$5,E326)),1,0))+IF(Classifiers!$F$5="",0,IF(ISNUMBER(SEARCH(Classifiers!$F$5,E326)),1,0))+IF(Classifiers!$G$5="",0,IF(ISNUMBER(SEARCH(Classifiers!$G$5,E326)),1,0)))&gt;0,1,0))</f>
        <v/>
      </c>
      <c r="K326" s="12">
        <f>IF(H326&lt;&gt;1,0,IF((IF(Classifiers!$B$6="",0,IF(ISNUMBER(SEARCH(Classifiers!$B$6,E326)),1,0))+IF(Classifiers!$C$6="",0,IF(ISNUMBER(SEARCH(Classifiers!$C$6,E326)),1,0))+IF(Classifiers!$D$6="",0,IF(ISNUMBER(SEARCH(Classifiers!$D$6,E326)),1,0))+IF(Classifiers!$E$6="",0,IF(ISNUMBER(SEARCH(Classifiers!$E$6,E326)),1,0))+IF(Classifiers!$F$6="",0,IF(ISNUMBER(SEARCH(Classifiers!$F$6,E326)),1,0))+IF(Classifiers!$G$6="",0,IF(ISNUMBER(SEARCH(Classifiers!$G$6,E326)),1,0)))&gt;0,1,0))</f>
        <v/>
      </c>
      <c r="L326" s="12">
        <f>IF(H326&lt;&gt;1,0,IF((IF(Classifiers!$B$7="",0,IF(ISNUMBER(SEARCH(Classifiers!$B$7,E326)),1,0))+IF(Classifiers!$C$7="",0,IF(ISNUMBER(SEARCH(Classifiers!$C$7,E326)),1,0))+IF(Classifiers!$D$7="",0,IF(ISNUMBER(SEARCH(Classifiers!$D$7,E326)),1,0))+IF(Classifiers!$E$7="",0,IF(ISNUMBER(SEARCH(Classifiers!$E$7,E326)),1,0))+IF(Classifiers!$F$7="",0,IF(ISNUMBER(SEARCH(Classifiers!$F$7,E326)),1,0))+IF(Classifiers!$G$7="",0,IF(ISNUMBER(SEARCH(Classifiers!$G$7,E326)),1,0)))&gt;0,1,0))</f>
        <v/>
      </c>
      <c r="M326" s="12">
        <f>IF(H326&lt;&gt;1,0,IF((IF(Classifiers!$B$8="",0,IF(ISNUMBER(SEARCH(Classifiers!$B$8,E326)),1,0))+IF(Classifiers!$C$8="",0,IF(ISNUMBER(SEARCH(Classifiers!$C$8,E326)),1,0))+IF(Classifiers!$D$8="",0,IF(ISNUMBER(SEARCH(Classifiers!$D$8,E326)),1,0))+IF(Classifiers!$E$8="",0,IF(ISNUMBER(SEARCH(Classifiers!$E$8,E326)),1,0))+IF(Classifiers!$F$8="",0,IF(ISNUMBER(SEARCH(Classifiers!$F$8,E326)),1,0))+IF(Classifiers!$G$8="",0,IF(ISNUMBER(SEARCH(Classifiers!$G$8,E326)),1,0)))&gt;0,1,0))</f>
        <v/>
      </c>
      <c r="N326" s="12">
        <f>IF(H326&lt;&gt;1,0,IF((IF(Classifiers!$B$9="",0,IF(ISNUMBER(SEARCH(Classifiers!$B$9,E326)),1,0))+IF(Classifiers!$C$9="",0,IF(ISNUMBER(SEARCH(Classifiers!$C$9,E326)),1,0))+IF(Classifiers!$D$9="",0,IF(ISNUMBER(SEARCH(Classifiers!$D$9,E326)),1,0))+IF(Classifiers!$E$9="",0,IF(ISNUMBER(SEARCH(Classifiers!$E$9,E326)),1,0))+IF(Classifiers!$F$9="",0,IF(ISNUMBER(SEARCH(Classifiers!$F$9,E326)),1,0))+IF(Classifiers!$G$9="",0,IF(ISNUMBER(SEARCH(Classifiers!$G$9,E326)),1,0)))&gt;0,1,0))</f>
        <v/>
      </c>
      <c r="O326" s="12">
        <f>IF(H326&lt;&gt;1,0,IF((IF(Classifiers!$B$10="",0,IF(ISNUMBER(SEARCH(Classifiers!$B$10,E326)),1,0))+IF(Classifiers!$C$10="",0,IF(ISNUMBER(SEARCH(Classifiers!$C$10,E326)),1,0))+IF(Classifiers!$D$10="",0,IF(ISNUMBER(SEARCH(Classifiers!$D$10,E326)),1,0))+IF(Classifiers!$E$10="",0,IF(ISNUMBER(SEARCH(Classifiers!$E$10,E326)),1,0))+IF(Classifiers!$F$10="",0,IF(ISNUMBER(SEARCH(Classifiers!$F$10,E326)),1,0))+IF(Classifiers!$G$10="",0,IF(ISNUMBER(SEARCH(Classifiers!$G$10,E326)),1,0)))&gt;0,1,0))</f>
        <v/>
      </c>
      <c r="P326" s="12">
        <f>IF(H326&lt;&gt;1,0,IF((IF(Classifiers!$B$11="",0,IF(ISNUMBER(SEARCH(Classifiers!$B$11,E326)),1,0))+IF(Classifiers!$C$11="",0,IF(ISNUMBER(SEARCH(Classifiers!$C$11,E326)),1,0))+IF(Classifiers!$D$11="",0,IF(ISNUMBER(SEARCH(Classifiers!$D$11,E326)),1,0))+IF(Classifiers!$E$11="",0,IF(ISNUMBER(SEARCH(Classifiers!$E$11,E326)),1,0))+IF(Classifiers!$F$11="",0,IF(ISNUMBER(SEARCH(Classifiers!$F$11,E326)),1,0))+IF(Classifiers!$G$11="",0,IF(ISNUMBER(SEARCH(Classifiers!$G$11,E326)),1,0)))&gt;0,1,0))</f>
        <v/>
      </c>
      <c r="Q326" s="12">
        <f>IF(H326&lt;&gt;1,0,IF((IF(Classifiers!$B$12="",0,IF(ISNUMBER(SEARCH(Classifiers!$B$12,E326)),1,0))+IF(Classifiers!$C$12="",0,IF(ISNUMBER(SEARCH(Classifiers!$C$12,E326)),1,0))+IF(Classifiers!$D$12="",0,IF(ISNUMBER(SEARCH(Classifiers!$D$12,E326)),1,0))+IF(Classifiers!$E$12="",0,IF(ISNUMBER(SEARCH(Classifiers!$E$12,E326)),1,0))+IF(Classifiers!$F$12="",0,IF(ISNUMBER(SEARCH(Classifiers!$F$12,E326)),1,0))+IF(Classifiers!$G$12="",0,IF(ISNUMBER(SEARCH(Classifiers!$G$12,E326)),1,0)))&gt;0,1,0))</f>
        <v/>
      </c>
      <c r="R326" s="12">
        <f>IF(H326&lt;&gt;1,0,IF((IF(Classifiers!$B$13="",0,IF(ISNUMBER(SEARCH(Classifiers!$B$13,E326)),1,0))+IF(Classifiers!$C$13="",0,IF(ISNUMBER(SEARCH(Classifiers!$C$13,E326)),1,0))+IF(Classifiers!$D$13="",0,IF(ISNUMBER(SEARCH(Classifiers!$D$13,E326)),1,0))+IF(Classifiers!$E$13="",0,IF(ISNUMBER(SEARCH(Classifiers!$E$13,E326)),1,0))+IF(Classifiers!$F$13="",0,IF(ISNUMBER(SEARCH(Classifiers!$F$13,E326)),1,0))+IF(Classifiers!$G$13="",0,IF(ISNUMBER(SEARCH(Classifiers!$G$13,E326)),1,0)))&gt;0,1,0))</f>
        <v/>
      </c>
      <c r="S326" s="12">
        <f>IF(H326&lt;&gt;1,0,IF((IF(Classifiers!$B$14="",0,IF(ISNUMBER(SEARCH(Classifiers!$B$14,E326)),1,0))+IF(Classifiers!$C$14="",0,IF(ISNUMBER(SEARCH(Classifiers!$C$14,E326)),1,0))+IF(Classifiers!$D$14="",0,IF(ISNUMBER(SEARCH(Classifiers!$D$14,E326)),1,0))+IF(Classifiers!$E$14="",0,IF(ISNUMBER(SEARCH(Classifiers!$E$14,E326)),1,0))+IF(Classifiers!$F$14="",0,IF(ISNUMBER(SEARCH(Classifiers!$F$14,E326)),1,0))+IF(Classifiers!$G$14="",0,IF(ISNUMBER(SEARCH(Classifiers!$G$14,E326)),1,0)))&gt;0,1,0))</f>
        <v/>
      </c>
      <c r="T326" s="12">
        <f>IF(H326&lt;&gt;1,0,IF((IF(Classifiers!$B$15="",0,IF(ISNUMBER(SEARCH(Classifiers!$B$15,E326)),1,0))+IF(Classifiers!$C$15="",0,IF(ISNUMBER(SEARCH(Classifiers!$C$15,E326)),1,0))+IF(Classifiers!$D$15="",0,IF(ISNUMBER(SEARCH(Classifiers!$D$15,E326)),1,0))+IF(Classifiers!$E$15="",0,IF(ISNUMBER(SEARCH(Classifiers!$E$15,E326)),1,0))+IF(Classifiers!$F$15="",0,IF(ISNUMBER(SEARCH(Classifiers!$F$15,E326)),1,0))+IF(Classifiers!$G$15="",0,IF(ISNUMBER(SEARCH(Classifiers!$G$15,E326)),1,0)))&gt;0,1,0))</f>
        <v/>
      </c>
      <c r="U326" s="12">
        <f>IF(H326&lt;&gt;1,0,IF((IF(Classifiers!$B$16="",0,IF(ISNUMBER(SEARCH(Classifiers!$B$16,E326)),1,0))+IF(Classifiers!$C$16="",0,IF(ISNUMBER(SEARCH(Classifiers!$C$16,E326)),1,0))+IF(Classifiers!$D$16="",0,IF(ISNUMBER(SEARCH(Classifiers!$D$16,E326)),1,0))+IF(Classifiers!$E$16="",0,IF(ISNUMBER(SEARCH(Classifiers!$E$16,E326)),1,0))+IF(Classifiers!$F$16="",0,IF(ISNUMBER(SEARCH(Classifiers!$F$16,E326)),1,0))+IF(Classifiers!$G$16="",0,IF(ISNUMBER(SEARCH(Classifiers!$G$16,E326)),1,0)))&gt;0,1,0))</f>
        <v/>
      </c>
      <c r="V326" s="12">
        <f>IF(H326&lt;&gt;1,0,IF((IF(Classifiers!$B$17="",0,IF(ISNUMBER(SEARCH(Classifiers!$B$17,E326)),1,0))+IF(Classifiers!$C$17="",0,IF(ISNUMBER(SEARCH(Classifiers!$C$17,E326)),1,0))+IF(Classifiers!$D$17="",0,IF(ISNUMBER(SEARCH(Classifiers!$D$17,E326)),1,0))+IF(Classifiers!$E$17="",0,IF(ISNUMBER(SEARCH(Classifiers!$E$17,E326)),1,0))+IF(Classifiers!$F$17="",0,IF(ISNUMBER(SEARCH(Classifiers!$F$17,E326)),1,0))+IF(Classifiers!$G$17="",0,IF(ISNUMBER(SEARCH(Classifiers!$G$17,E326)),1,0)))&gt;0,1,0))</f>
        <v/>
      </c>
      <c r="W326" s="12">
        <f>IF(H326&lt;&gt;1,0,IF((IF(Classifiers!$B$18="",0,IF(ISNUMBER(SEARCH(Classifiers!$B$18,E326)),1,0))+IF(Classifiers!$C$18="",0,IF(ISNUMBER(SEARCH(Classifiers!$C$18,E326)),1,0))+IF(Classifiers!$D$18="",0,IF(ISNUMBER(SEARCH(Classifiers!$D$18,E326)),1,0))+IF(Classifiers!$E$18="",0,IF(ISNUMBER(SEARCH(Classifiers!$E$18,E326)),1,0))+IF(Classifiers!$F$18="",0,IF(ISNUMBER(SEARCH(Classifiers!$F$18,E326)),1,0))+IF(Classifiers!$G$18="",0,IF(ISNUMBER(SEARCH(Classifiers!$G$18,E326)),1,0)))&gt;0,1,0))</f>
        <v/>
      </c>
    </row>
    <row r="327">
      <c r="A327" s="8" t="n"/>
      <c r="B327" s="11" t="n"/>
      <c r="C327" s="6">
        <f>IF(A327="","",TRIM(RIGHT(SUBSTITUTE(A327,"/",REPT(" ",250)),250)))</f>
        <v/>
      </c>
      <c r="D327" s="6">
        <f>IF(C327="","",IF(ISNUMBER(SEARCH(".",C327)),LOWER("."&amp;TRIM(RIGHT(SUBSTITUTE(C327,".",REPT(" ",250)),250))),""))</f>
        <v/>
      </c>
      <c r="E327" s="6">
        <f>IF(C327="","",TRIM(SUBSTITUTE(SUBSTITUTE(SUBSTITUTE(SUBSTITUTE(SUBSTITUTE(SUBSTITUTE(SUBSTITUTE(SUBSTITUTE(SUBSTITUTE(SUBSTITUTE(SUBSTITUTE(SUBSTITUTE(SUBSTITUTE(SUBSTITUTE(SUBSTITUTE(SUBSTITUTE(SUBSTITUTE(SUBSTITUTE(SUBSTITUTE(SUBSTITUTE(LOWER(LEFT(C327,LEN(C327)-LEN(D327))),"_"," "),"-"," "),"."," "),","," "),"("," "),")"," "),"["," "),"]"," "),"&amp;"," "),"+"," "),"@"," "),"#"," "),"!"," "),"'"," "),"/"," "),":"," "),";"," "),"="," "),"~"," "),"%"," ")))</f>
        <v/>
      </c>
      <c r="F327" s="6">
        <f>IF(C327="","",IF(COUNTIF(Classifiers!$A$23:$A$40,D327)&gt;0,1,0))</f>
        <v/>
      </c>
      <c r="G327" s="6">
        <f>IF(C327="","",IF(COUNTIF(Classifiers!$C$23:$C$30,D327)&gt;0,IF((IF(ISNUMBER(SEARCH(Classifiers!$E$23,E327)),1,0)+IF(ISNUMBER(SEARCH(Classifiers!$E$24,E327)),1,0)+IF(ISNUMBER(SEARCH(Classifiers!$E$25,E327)),1,0)+IF(ISNUMBER(SEARCH(Classifiers!$E$26,E327)),1,0)+IF(ISNUMBER(SEARCH(Classifiers!$E$27,E327)),1,0)+IF(ISNUMBER(SEARCH(Classifiers!$E$28,E327)),1,0)+IF(ISNUMBER(SEARCH(Classifiers!$E$29,E327)),1,0)+IF(ISNUMBER(SEARCH(Classifiers!$E$30,E327)),1,0))&gt;0,1,0),0))</f>
        <v/>
      </c>
      <c r="H327" s="6">
        <f>IF(C327="","",IF(OR(LEFT(C327,1)=".",AND(F327=0,G327=0)),0,1))</f>
        <v/>
      </c>
      <c r="I327" s="6">
        <f>IF(H327&lt;&gt;1,"",IF(SUM(J327:W327)=0,"unclassified",INDEX(Classifiers!$A$5:$A$18,MATCH(1,J327:W327,0),1)))</f>
        <v/>
      </c>
      <c r="J327" s="12">
        <f>IF(H327&lt;&gt;1,0,IF((IF(Classifiers!$B$5="",0,IF(ISNUMBER(SEARCH(Classifiers!$B$5,E327)),1,0))+IF(Classifiers!$C$5="",0,IF(ISNUMBER(SEARCH(Classifiers!$C$5,E327)),1,0))+IF(Classifiers!$D$5="",0,IF(ISNUMBER(SEARCH(Classifiers!$D$5,E327)),1,0))+IF(Classifiers!$E$5="",0,IF(ISNUMBER(SEARCH(Classifiers!$E$5,E327)),1,0))+IF(Classifiers!$F$5="",0,IF(ISNUMBER(SEARCH(Classifiers!$F$5,E327)),1,0))+IF(Classifiers!$G$5="",0,IF(ISNUMBER(SEARCH(Classifiers!$G$5,E327)),1,0)))&gt;0,1,0))</f>
        <v/>
      </c>
      <c r="K327" s="12">
        <f>IF(H327&lt;&gt;1,0,IF((IF(Classifiers!$B$6="",0,IF(ISNUMBER(SEARCH(Classifiers!$B$6,E327)),1,0))+IF(Classifiers!$C$6="",0,IF(ISNUMBER(SEARCH(Classifiers!$C$6,E327)),1,0))+IF(Classifiers!$D$6="",0,IF(ISNUMBER(SEARCH(Classifiers!$D$6,E327)),1,0))+IF(Classifiers!$E$6="",0,IF(ISNUMBER(SEARCH(Classifiers!$E$6,E327)),1,0))+IF(Classifiers!$F$6="",0,IF(ISNUMBER(SEARCH(Classifiers!$F$6,E327)),1,0))+IF(Classifiers!$G$6="",0,IF(ISNUMBER(SEARCH(Classifiers!$G$6,E327)),1,0)))&gt;0,1,0))</f>
        <v/>
      </c>
      <c r="L327" s="12">
        <f>IF(H327&lt;&gt;1,0,IF((IF(Classifiers!$B$7="",0,IF(ISNUMBER(SEARCH(Classifiers!$B$7,E327)),1,0))+IF(Classifiers!$C$7="",0,IF(ISNUMBER(SEARCH(Classifiers!$C$7,E327)),1,0))+IF(Classifiers!$D$7="",0,IF(ISNUMBER(SEARCH(Classifiers!$D$7,E327)),1,0))+IF(Classifiers!$E$7="",0,IF(ISNUMBER(SEARCH(Classifiers!$E$7,E327)),1,0))+IF(Classifiers!$F$7="",0,IF(ISNUMBER(SEARCH(Classifiers!$F$7,E327)),1,0))+IF(Classifiers!$G$7="",0,IF(ISNUMBER(SEARCH(Classifiers!$G$7,E327)),1,0)))&gt;0,1,0))</f>
        <v/>
      </c>
      <c r="M327" s="12">
        <f>IF(H327&lt;&gt;1,0,IF((IF(Classifiers!$B$8="",0,IF(ISNUMBER(SEARCH(Classifiers!$B$8,E327)),1,0))+IF(Classifiers!$C$8="",0,IF(ISNUMBER(SEARCH(Classifiers!$C$8,E327)),1,0))+IF(Classifiers!$D$8="",0,IF(ISNUMBER(SEARCH(Classifiers!$D$8,E327)),1,0))+IF(Classifiers!$E$8="",0,IF(ISNUMBER(SEARCH(Classifiers!$E$8,E327)),1,0))+IF(Classifiers!$F$8="",0,IF(ISNUMBER(SEARCH(Classifiers!$F$8,E327)),1,0))+IF(Classifiers!$G$8="",0,IF(ISNUMBER(SEARCH(Classifiers!$G$8,E327)),1,0)))&gt;0,1,0))</f>
        <v/>
      </c>
      <c r="N327" s="12">
        <f>IF(H327&lt;&gt;1,0,IF((IF(Classifiers!$B$9="",0,IF(ISNUMBER(SEARCH(Classifiers!$B$9,E327)),1,0))+IF(Classifiers!$C$9="",0,IF(ISNUMBER(SEARCH(Classifiers!$C$9,E327)),1,0))+IF(Classifiers!$D$9="",0,IF(ISNUMBER(SEARCH(Classifiers!$D$9,E327)),1,0))+IF(Classifiers!$E$9="",0,IF(ISNUMBER(SEARCH(Classifiers!$E$9,E327)),1,0))+IF(Classifiers!$F$9="",0,IF(ISNUMBER(SEARCH(Classifiers!$F$9,E327)),1,0))+IF(Classifiers!$G$9="",0,IF(ISNUMBER(SEARCH(Classifiers!$G$9,E327)),1,0)))&gt;0,1,0))</f>
        <v/>
      </c>
      <c r="O327" s="12">
        <f>IF(H327&lt;&gt;1,0,IF((IF(Classifiers!$B$10="",0,IF(ISNUMBER(SEARCH(Classifiers!$B$10,E327)),1,0))+IF(Classifiers!$C$10="",0,IF(ISNUMBER(SEARCH(Classifiers!$C$10,E327)),1,0))+IF(Classifiers!$D$10="",0,IF(ISNUMBER(SEARCH(Classifiers!$D$10,E327)),1,0))+IF(Classifiers!$E$10="",0,IF(ISNUMBER(SEARCH(Classifiers!$E$10,E327)),1,0))+IF(Classifiers!$F$10="",0,IF(ISNUMBER(SEARCH(Classifiers!$F$10,E327)),1,0))+IF(Classifiers!$G$10="",0,IF(ISNUMBER(SEARCH(Classifiers!$G$10,E327)),1,0)))&gt;0,1,0))</f>
        <v/>
      </c>
      <c r="P327" s="12">
        <f>IF(H327&lt;&gt;1,0,IF((IF(Classifiers!$B$11="",0,IF(ISNUMBER(SEARCH(Classifiers!$B$11,E327)),1,0))+IF(Classifiers!$C$11="",0,IF(ISNUMBER(SEARCH(Classifiers!$C$11,E327)),1,0))+IF(Classifiers!$D$11="",0,IF(ISNUMBER(SEARCH(Classifiers!$D$11,E327)),1,0))+IF(Classifiers!$E$11="",0,IF(ISNUMBER(SEARCH(Classifiers!$E$11,E327)),1,0))+IF(Classifiers!$F$11="",0,IF(ISNUMBER(SEARCH(Classifiers!$F$11,E327)),1,0))+IF(Classifiers!$G$11="",0,IF(ISNUMBER(SEARCH(Classifiers!$G$11,E327)),1,0)))&gt;0,1,0))</f>
        <v/>
      </c>
      <c r="Q327" s="12">
        <f>IF(H327&lt;&gt;1,0,IF((IF(Classifiers!$B$12="",0,IF(ISNUMBER(SEARCH(Classifiers!$B$12,E327)),1,0))+IF(Classifiers!$C$12="",0,IF(ISNUMBER(SEARCH(Classifiers!$C$12,E327)),1,0))+IF(Classifiers!$D$12="",0,IF(ISNUMBER(SEARCH(Classifiers!$D$12,E327)),1,0))+IF(Classifiers!$E$12="",0,IF(ISNUMBER(SEARCH(Classifiers!$E$12,E327)),1,0))+IF(Classifiers!$F$12="",0,IF(ISNUMBER(SEARCH(Classifiers!$F$12,E327)),1,0))+IF(Classifiers!$G$12="",0,IF(ISNUMBER(SEARCH(Classifiers!$G$12,E327)),1,0)))&gt;0,1,0))</f>
        <v/>
      </c>
      <c r="R327" s="12">
        <f>IF(H327&lt;&gt;1,0,IF((IF(Classifiers!$B$13="",0,IF(ISNUMBER(SEARCH(Classifiers!$B$13,E327)),1,0))+IF(Classifiers!$C$13="",0,IF(ISNUMBER(SEARCH(Classifiers!$C$13,E327)),1,0))+IF(Classifiers!$D$13="",0,IF(ISNUMBER(SEARCH(Classifiers!$D$13,E327)),1,0))+IF(Classifiers!$E$13="",0,IF(ISNUMBER(SEARCH(Classifiers!$E$13,E327)),1,0))+IF(Classifiers!$F$13="",0,IF(ISNUMBER(SEARCH(Classifiers!$F$13,E327)),1,0))+IF(Classifiers!$G$13="",0,IF(ISNUMBER(SEARCH(Classifiers!$G$13,E327)),1,0)))&gt;0,1,0))</f>
        <v/>
      </c>
      <c r="S327" s="12">
        <f>IF(H327&lt;&gt;1,0,IF((IF(Classifiers!$B$14="",0,IF(ISNUMBER(SEARCH(Classifiers!$B$14,E327)),1,0))+IF(Classifiers!$C$14="",0,IF(ISNUMBER(SEARCH(Classifiers!$C$14,E327)),1,0))+IF(Classifiers!$D$14="",0,IF(ISNUMBER(SEARCH(Classifiers!$D$14,E327)),1,0))+IF(Classifiers!$E$14="",0,IF(ISNUMBER(SEARCH(Classifiers!$E$14,E327)),1,0))+IF(Classifiers!$F$14="",0,IF(ISNUMBER(SEARCH(Classifiers!$F$14,E327)),1,0))+IF(Classifiers!$G$14="",0,IF(ISNUMBER(SEARCH(Classifiers!$G$14,E327)),1,0)))&gt;0,1,0))</f>
        <v/>
      </c>
      <c r="T327" s="12">
        <f>IF(H327&lt;&gt;1,0,IF((IF(Classifiers!$B$15="",0,IF(ISNUMBER(SEARCH(Classifiers!$B$15,E327)),1,0))+IF(Classifiers!$C$15="",0,IF(ISNUMBER(SEARCH(Classifiers!$C$15,E327)),1,0))+IF(Classifiers!$D$15="",0,IF(ISNUMBER(SEARCH(Classifiers!$D$15,E327)),1,0))+IF(Classifiers!$E$15="",0,IF(ISNUMBER(SEARCH(Classifiers!$E$15,E327)),1,0))+IF(Classifiers!$F$15="",0,IF(ISNUMBER(SEARCH(Classifiers!$F$15,E327)),1,0))+IF(Classifiers!$G$15="",0,IF(ISNUMBER(SEARCH(Classifiers!$G$15,E327)),1,0)))&gt;0,1,0))</f>
        <v/>
      </c>
      <c r="U327" s="12">
        <f>IF(H327&lt;&gt;1,0,IF((IF(Classifiers!$B$16="",0,IF(ISNUMBER(SEARCH(Classifiers!$B$16,E327)),1,0))+IF(Classifiers!$C$16="",0,IF(ISNUMBER(SEARCH(Classifiers!$C$16,E327)),1,0))+IF(Classifiers!$D$16="",0,IF(ISNUMBER(SEARCH(Classifiers!$D$16,E327)),1,0))+IF(Classifiers!$E$16="",0,IF(ISNUMBER(SEARCH(Classifiers!$E$16,E327)),1,0))+IF(Classifiers!$F$16="",0,IF(ISNUMBER(SEARCH(Classifiers!$F$16,E327)),1,0))+IF(Classifiers!$G$16="",0,IF(ISNUMBER(SEARCH(Classifiers!$G$16,E327)),1,0)))&gt;0,1,0))</f>
        <v/>
      </c>
      <c r="V327" s="12">
        <f>IF(H327&lt;&gt;1,0,IF((IF(Classifiers!$B$17="",0,IF(ISNUMBER(SEARCH(Classifiers!$B$17,E327)),1,0))+IF(Classifiers!$C$17="",0,IF(ISNUMBER(SEARCH(Classifiers!$C$17,E327)),1,0))+IF(Classifiers!$D$17="",0,IF(ISNUMBER(SEARCH(Classifiers!$D$17,E327)),1,0))+IF(Classifiers!$E$17="",0,IF(ISNUMBER(SEARCH(Classifiers!$E$17,E327)),1,0))+IF(Classifiers!$F$17="",0,IF(ISNUMBER(SEARCH(Classifiers!$F$17,E327)),1,0))+IF(Classifiers!$G$17="",0,IF(ISNUMBER(SEARCH(Classifiers!$G$17,E327)),1,0)))&gt;0,1,0))</f>
        <v/>
      </c>
      <c r="W327" s="12">
        <f>IF(H327&lt;&gt;1,0,IF((IF(Classifiers!$B$18="",0,IF(ISNUMBER(SEARCH(Classifiers!$B$18,E327)),1,0))+IF(Classifiers!$C$18="",0,IF(ISNUMBER(SEARCH(Classifiers!$C$18,E327)),1,0))+IF(Classifiers!$D$18="",0,IF(ISNUMBER(SEARCH(Classifiers!$D$18,E327)),1,0))+IF(Classifiers!$E$18="",0,IF(ISNUMBER(SEARCH(Classifiers!$E$18,E327)),1,0))+IF(Classifiers!$F$18="",0,IF(ISNUMBER(SEARCH(Classifiers!$F$18,E327)),1,0))+IF(Classifiers!$G$18="",0,IF(ISNUMBER(SEARCH(Classifiers!$G$18,E327)),1,0)))&gt;0,1,0))</f>
        <v/>
      </c>
    </row>
    <row r="328">
      <c r="A328" s="8" t="n"/>
      <c r="B328" s="11" t="n"/>
      <c r="C328" s="6">
        <f>IF(A328="","",TRIM(RIGHT(SUBSTITUTE(A328,"/",REPT(" ",250)),250)))</f>
        <v/>
      </c>
      <c r="D328" s="6">
        <f>IF(C328="","",IF(ISNUMBER(SEARCH(".",C328)),LOWER("."&amp;TRIM(RIGHT(SUBSTITUTE(C328,".",REPT(" ",250)),250))),""))</f>
        <v/>
      </c>
      <c r="E328" s="6">
        <f>IF(C328="","",TRIM(SUBSTITUTE(SUBSTITUTE(SUBSTITUTE(SUBSTITUTE(SUBSTITUTE(SUBSTITUTE(SUBSTITUTE(SUBSTITUTE(SUBSTITUTE(SUBSTITUTE(SUBSTITUTE(SUBSTITUTE(SUBSTITUTE(SUBSTITUTE(SUBSTITUTE(SUBSTITUTE(SUBSTITUTE(SUBSTITUTE(SUBSTITUTE(SUBSTITUTE(LOWER(LEFT(C328,LEN(C328)-LEN(D328))),"_"," "),"-"," "),"."," "),","," "),"("," "),")"," "),"["," "),"]"," "),"&amp;"," "),"+"," "),"@"," "),"#"," "),"!"," "),"'"," "),"/"," "),":"," "),";"," "),"="," "),"~"," "),"%"," ")))</f>
        <v/>
      </c>
      <c r="F328" s="6">
        <f>IF(C328="","",IF(COUNTIF(Classifiers!$A$23:$A$40,D328)&gt;0,1,0))</f>
        <v/>
      </c>
      <c r="G328" s="6">
        <f>IF(C328="","",IF(COUNTIF(Classifiers!$C$23:$C$30,D328)&gt;0,IF((IF(ISNUMBER(SEARCH(Classifiers!$E$23,E328)),1,0)+IF(ISNUMBER(SEARCH(Classifiers!$E$24,E328)),1,0)+IF(ISNUMBER(SEARCH(Classifiers!$E$25,E328)),1,0)+IF(ISNUMBER(SEARCH(Classifiers!$E$26,E328)),1,0)+IF(ISNUMBER(SEARCH(Classifiers!$E$27,E328)),1,0)+IF(ISNUMBER(SEARCH(Classifiers!$E$28,E328)),1,0)+IF(ISNUMBER(SEARCH(Classifiers!$E$29,E328)),1,0)+IF(ISNUMBER(SEARCH(Classifiers!$E$30,E328)),1,0))&gt;0,1,0),0))</f>
        <v/>
      </c>
      <c r="H328" s="6">
        <f>IF(C328="","",IF(OR(LEFT(C328,1)=".",AND(F328=0,G328=0)),0,1))</f>
        <v/>
      </c>
      <c r="I328" s="6">
        <f>IF(H328&lt;&gt;1,"",IF(SUM(J328:W328)=0,"unclassified",INDEX(Classifiers!$A$5:$A$18,MATCH(1,J328:W328,0),1)))</f>
        <v/>
      </c>
      <c r="J328" s="12">
        <f>IF(H328&lt;&gt;1,0,IF((IF(Classifiers!$B$5="",0,IF(ISNUMBER(SEARCH(Classifiers!$B$5,E328)),1,0))+IF(Classifiers!$C$5="",0,IF(ISNUMBER(SEARCH(Classifiers!$C$5,E328)),1,0))+IF(Classifiers!$D$5="",0,IF(ISNUMBER(SEARCH(Classifiers!$D$5,E328)),1,0))+IF(Classifiers!$E$5="",0,IF(ISNUMBER(SEARCH(Classifiers!$E$5,E328)),1,0))+IF(Classifiers!$F$5="",0,IF(ISNUMBER(SEARCH(Classifiers!$F$5,E328)),1,0))+IF(Classifiers!$G$5="",0,IF(ISNUMBER(SEARCH(Classifiers!$G$5,E328)),1,0)))&gt;0,1,0))</f>
        <v/>
      </c>
      <c r="K328" s="12">
        <f>IF(H328&lt;&gt;1,0,IF((IF(Classifiers!$B$6="",0,IF(ISNUMBER(SEARCH(Classifiers!$B$6,E328)),1,0))+IF(Classifiers!$C$6="",0,IF(ISNUMBER(SEARCH(Classifiers!$C$6,E328)),1,0))+IF(Classifiers!$D$6="",0,IF(ISNUMBER(SEARCH(Classifiers!$D$6,E328)),1,0))+IF(Classifiers!$E$6="",0,IF(ISNUMBER(SEARCH(Classifiers!$E$6,E328)),1,0))+IF(Classifiers!$F$6="",0,IF(ISNUMBER(SEARCH(Classifiers!$F$6,E328)),1,0))+IF(Classifiers!$G$6="",0,IF(ISNUMBER(SEARCH(Classifiers!$G$6,E328)),1,0)))&gt;0,1,0))</f>
        <v/>
      </c>
      <c r="L328" s="12">
        <f>IF(H328&lt;&gt;1,0,IF((IF(Classifiers!$B$7="",0,IF(ISNUMBER(SEARCH(Classifiers!$B$7,E328)),1,0))+IF(Classifiers!$C$7="",0,IF(ISNUMBER(SEARCH(Classifiers!$C$7,E328)),1,0))+IF(Classifiers!$D$7="",0,IF(ISNUMBER(SEARCH(Classifiers!$D$7,E328)),1,0))+IF(Classifiers!$E$7="",0,IF(ISNUMBER(SEARCH(Classifiers!$E$7,E328)),1,0))+IF(Classifiers!$F$7="",0,IF(ISNUMBER(SEARCH(Classifiers!$F$7,E328)),1,0))+IF(Classifiers!$G$7="",0,IF(ISNUMBER(SEARCH(Classifiers!$G$7,E328)),1,0)))&gt;0,1,0))</f>
        <v/>
      </c>
      <c r="M328" s="12">
        <f>IF(H328&lt;&gt;1,0,IF((IF(Classifiers!$B$8="",0,IF(ISNUMBER(SEARCH(Classifiers!$B$8,E328)),1,0))+IF(Classifiers!$C$8="",0,IF(ISNUMBER(SEARCH(Classifiers!$C$8,E328)),1,0))+IF(Classifiers!$D$8="",0,IF(ISNUMBER(SEARCH(Classifiers!$D$8,E328)),1,0))+IF(Classifiers!$E$8="",0,IF(ISNUMBER(SEARCH(Classifiers!$E$8,E328)),1,0))+IF(Classifiers!$F$8="",0,IF(ISNUMBER(SEARCH(Classifiers!$F$8,E328)),1,0))+IF(Classifiers!$G$8="",0,IF(ISNUMBER(SEARCH(Classifiers!$G$8,E328)),1,0)))&gt;0,1,0))</f>
        <v/>
      </c>
      <c r="N328" s="12">
        <f>IF(H328&lt;&gt;1,0,IF((IF(Classifiers!$B$9="",0,IF(ISNUMBER(SEARCH(Classifiers!$B$9,E328)),1,0))+IF(Classifiers!$C$9="",0,IF(ISNUMBER(SEARCH(Classifiers!$C$9,E328)),1,0))+IF(Classifiers!$D$9="",0,IF(ISNUMBER(SEARCH(Classifiers!$D$9,E328)),1,0))+IF(Classifiers!$E$9="",0,IF(ISNUMBER(SEARCH(Classifiers!$E$9,E328)),1,0))+IF(Classifiers!$F$9="",0,IF(ISNUMBER(SEARCH(Classifiers!$F$9,E328)),1,0))+IF(Classifiers!$G$9="",0,IF(ISNUMBER(SEARCH(Classifiers!$G$9,E328)),1,0)))&gt;0,1,0))</f>
        <v/>
      </c>
      <c r="O328" s="12">
        <f>IF(H328&lt;&gt;1,0,IF((IF(Classifiers!$B$10="",0,IF(ISNUMBER(SEARCH(Classifiers!$B$10,E328)),1,0))+IF(Classifiers!$C$10="",0,IF(ISNUMBER(SEARCH(Classifiers!$C$10,E328)),1,0))+IF(Classifiers!$D$10="",0,IF(ISNUMBER(SEARCH(Classifiers!$D$10,E328)),1,0))+IF(Classifiers!$E$10="",0,IF(ISNUMBER(SEARCH(Classifiers!$E$10,E328)),1,0))+IF(Classifiers!$F$10="",0,IF(ISNUMBER(SEARCH(Classifiers!$F$10,E328)),1,0))+IF(Classifiers!$G$10="",0,IF(ISNUMBER(SEARCH(Classifiers!$G$10,E328)),1,0)))&gt;0,1,0))</f>
        <v/>
      </c>
      <c r="P328" s="12">
        <f>IF(H328&lt;&gt;1,0,IF((IF(Classifiers!$B$11="",0,IF(ISNUMBER(SEARCH(Classifiers!$B$11,E328)),1,0))+IF(Classifiers!$C$11="",0,IF(ISNUMBER(SEARCH(Classifiers!$C$11,E328)),1,0))+IF(Classifiers!$D$11="",0,IF(ISNUMBER(SEARCH(Classifiers!$D$11,E328)),1,0))+IF(Classifiers!$E$11="",0,IF(ISNUMBER(SEARCH(Classifiers!$E$11,E328)),1,0))+IF(Classifiers!$F$11="",0,IF(ISNUMBER(SEARCH(Classifiers!$F$11,E328)),1,0))+IF(Classifiers!$G$11="",0,IF(ISNUMBER(SEARCH(Classifiers!$G$11,E328)),1,0)))&gt;0,1,0))</f>
        <v/>
      </c>
      <c r="Q328" s="12">
        <f>IF(H328&lt;&gt;1,0,IF((IF(Classifiers!$B$12="",0,IF(ISNUMBER(SEARCH(Classifiers!$B$12,E328)),1,0))+IF(Classifiers!$C$12="",0,IF(ISNUMBER(SEARCH(Classifiers!$C$12,E328)),1,0))+IF(Classifiers!$D$12="",0,IF(ISNUMBER(SEARCH(Classifiers!$D$12,E328)),1,0))+IF(Classifiers!$E$12="",0,IF(ISNUMBER(SEARCH(Classifiers!$E$12,E328)),1,0))+IF(Classifiers!$F$12="",0,IF(ISNUMBER(SEARCH(Classifiers!$F$12,E328)),1,0))+IF(Classifiers!$G$12="",0,IF(ISNUMBER(SEARCH(Classifiers!$G$12,E328)),1,0)))&gt;0,1,0))</f>
        <v/>
      </c>
      <c r="R328" s="12">
        <f>IF(H328&lt;&gt;1,0,IF((IF(Classifiers!$B$13="",0,IF(ISNUMBER(SEARCH(Classifiers!$B$13,E328)),1,0))+IF(Classifiers!$C$13="",0,IF(ISNUMBER(SEARCH(Classifiers!$C$13,E328)),1,0))+IF(Classifiers!$D$13="",0,IF(ISNUMBER(SEARCH(Classifiers!$D$13,E328)),1,0))+IF(Classifiers!$E$13="",0,IF(ISNUMBER(SEARCH(Classifiers!$E$13,E328)),1,0))+IF(Classifiers!$F$13="",0,IF(ISNUMBER(SEARCH(Classifiers!$F$13,E328)),1,0))+IF(Classifiers!$G$13="",0,IF(ISNUMBER(SEARCH(Classifiers!$G$13,E328)),1,0)))&gt;0,1,0))</f>
        <v/>
      </c>
      <c r="S328" s="12">
        <f>IF(H328&lt;&gt;1,0,IF((IF(Classifiers!$B$14="",0,IF(ISNUMBER(SEARCH(Classifiers!$B$14,E328)),1,0))+IF(Classifiers!$C$14="",0,IF(ISNUMBER(SEARCH(Classifiers!$C$14,E328)),1,0))+IF(Classifiers!$D$14="",0,IF(ISNUMBER(SEARCH(Classifiers!$D$14,E328)),1,0))+IF(Classifiers!$E$14="",0,IF(ISNUMBER(SEARCH(Classifiers!$E$14,E328)),1,0))+IF(Classifiers!$F$14="",0,IF(ISNUMBER(SEARCH(Classifiers!$F$14,E328)),1,0))+IF(Classifiers!$G$14="",0,IF(ISNUMBER(SEARCH(Classifiers!$G$14,E328)),1,0)))&gt;0,1,0))</f>
        <v/>
      </c>
      <c r="T328" s="12">
        <f>IF(H328&lt;&gt;1,0,IF((IF(Classifiers!$B$15="",0,IF(ISNUMBER(SEARCH(Classifiers!$B$15,E328)),1,0))+IF(Classifiers!$C$15="",0,IF(ISNUMBER(SEARCH(Classifiers!$C$15,E328)),1,0))+IF(Classifiers!$D$15="",0,IF(ISNUMBER(SEARCH(Classifiers!$D$15,E328)),1,0))+IF(Classifiers!$E$15="",0,IF(ISNUMBER(SEARCH(Classifiers!$E$15,E328)),1,0))+IF(Classifiers!$F$15="",0,IF(ISNUMBER(SEARCH(Classifiers!$F$15,E328)),1,0))+IF(Classifiers!$G$15="",0,IF(ISNUMBER(SEARCH(Classifiers!$G$15,E328)),1,0)))&gt;0,1,0))</f>
        <v/>
      </c>
      <c r="U328" s="12">
        <f>IF(H328&lt;&gt;1,0,IF((IF(Classifiers!$B$16="",0,IF(ISNUMBER(SEARCH(Classifiers!$B$16,E328)),1,0))+IF(Classifiers!$C$16="",0,IF(ISNUMBER(SEARCH(Classifiers!$C$16,E328)),1,0))+IF(Classifiers!$D$16="",0,IF(ISNUMBER(SEARCH(Classifiers!$D$16,E328)),1,0))+IF(Classifiers!$E$16="",0,IF(ISNUMBER(SEARCH(Classifiers!$E$16,E328)),1,0))+IF(Classifiers!$F$16="",0,IF(ISNUMBER(SEARCH(Classifiers!$F$16,E328)),1,0))+IF(Classifiers!$G$16="",0,IF(ISNUMBER(SEARCH(Classifiers!$G$16,E328)),1,0)))&gt;0,1,0))</f>
        <v/>
      </c>
      <c r="V328" s="12">
        <f>IF(H328&lt;&gt;1,0,IF((IF(Classifiers!$B$17="",0,IF(ISNUMBER(SEARCH(Classifiers!$B$17,E328)),1,0))+IF(Classifiers!$C$17="",0,IF(ISNUMBER(SEARCH(Classifiers!$C$17,E328)),1,0))+IF(Classifiers!$D$17="",0,IF(ISNUMBER(SEARCH(Classifiers!$D$17,E328)),1,0))+IF(Classifiers!$E$17="",0,IF(ISNUMBER(SEARCH(Classifiers!$E$17,E328)),1,0))+IF(Classifiers!$F$17="",0,IF(ISNUMBER(SEARCH(Classifiers!$F$17,E328)),1,0))+IF(Classifiers!$G$17="",0,IF(ISNUMBER(SEARCH(Classifiers!$G$17,E328)),1,0)))&gt;0,1,0))</f>
        <v/>
      </c>
      <c r="W328" s="12">
        <f>IF(H328&lt;&gt;1,0,IF((IF(Classifiers!$B$18="",0,IF(ISNUMBER(SEARCH(Classifiers!$B$18,E328)),1,0))+IF(Classifiers!$C$18="",0,IF(ISNUMBER(SEARCH(Classifiers!$C$18,E328)),1,0))+IF(Classifiers!$D$18="",0,IF(ISNUMBER(SEARCH(Classifiers!$D$18,E328)),1,0))+IF(Classifiers!$E$18="",0,IF(ISNUMBER(SEARCH(Classifiers!$E$18,E328)),1,0))+IF(Classifiers!$F$18="",0,IF(ISNUMBER(SEARCH(Classifiers!$F$18,E328)),1,0))+IF(Classifiers!$G$18="",0,IF(ISNUMBER(SEARCH(Classifiers!$G$18,E328)),1,0)))&gt;0,1,0))</f>
        <v/>
      </c>
    </row>
    <row r="329">
      <c r="A329" s="8" t="n"/>
      <c r="B329" s="11" t="n"/>
      <c r="C329" s="6">
        <f>IF(A329="","",TRIM(RIGHT(SUBSTITUTE(A329,"/",REPT(" ",250)),250)))</f>
        <v/>
      </c>
      <c r="D329" s="6">
        <f>IF(C329="","",IF(ISNUMBER(SEARCH(".",C329)),LOWER("."&amp;TRIM(RIGHT(SUBSTITUTE(C329,".",REPT(" ",250)),250))),""))</f>
        <v/>
      </c>
      <c r="E329" s="6">
        <f>IF(C329="","",TRIM(SUBSTITUTE(SUBSTITUTE(SUBSTITUTE(SUBSTITUTE(SUBSTITUTE(SUBSTITUTE(SUBSTITUTE(SUBSTITUTE(SUBSTITUTE(SUBSTITUTE(SUBSTITUTE(SUBSTITUTE(SUBSTITUTE(SUBSTITUTE(SUBSTITUTE(SUBSTITUTE(SUBSTITUTE(SUBSTITUTE(SUBSTITUTE(SUBSTITUTE(LOWER(LEFT(C329,LEN(C329)-LEN(D329))),"_"," "),"-"," "),"."," "),","," "),"("," "),")"," "),"["," "),"]"," "),"&amp;"," "),"+"," "),"@"," "),"#"," "),"!"," "),"'"," "),"/"," "),":"," "),";"," "),"="," "),"~"," "),"%"," ")))</f>
        <v/>
      </c>
      <c r="F329" s="6">
        <f>IF(C329="","",IF(COUNTIF(Classifiers!$A$23:$A$40,D329)&gt;0,1,0))</f>
        <v/>
      </c>
      <c r="G329" s="6">
        <f>IF(C329="","",IF(COUNTIF(Classifiers!$C$23:$C$30,D329)&gt;0,IF((IF(ISNUMBER(SEARCH(Classifiers!$E$23,E329)),1,0)+IF(ISNUMBER(SEARCH(Classifiers!$E$24,E329)),1,0)+IF(ISNUMBER(SEARCH(Classifiers!$E$25,E329)),1,0)+IF(ISNUMBER(SEARCH(Classifiers!$E$26,E329)),1,0)+IF(ISNUMBER(SEARCH(Classifiers!$E$27,E329)),1,0)+IF(ISNUMBER(SEARCH(Classifiers!$E$28,E329)),1,0)+IF(ISNUMBER(SEARCH(Classifiers!$E$29,E329)),1,0)+IF(ISNUMBER(SEARCH(Classifiers!$E$30,E329)),1,0))&gt;0,1,0),0))</f>
        <v/>
      </c>
      <c r="H329" s="6">
        <f>IF(C329="","",IF(OR(LEFT(C329,1)=".",AND(F329=0,G329=0)),0,1))</f>
        <v/>
      </c>
      <c r="I329" s="6">
        <f>IF(H329&lt;&gt;1,"",IF(SUM(J329:W329)=0,"unclassified",INDEX(Classifiers!$A$5:$A$18,MATCH(1,J329:W329,0),1)))</f>
        <v/>
      </c>
      <c r="J329" s="12">
        <f>IF(H329&lt;&gt;1,0,IF((IF(Classifiers!$B$5="",0,IF(ISNUMBER(SEARCH(Classifiers!$B$5,E329)),1,0))+IF(Classifiers!$C$5="",0,IF(ISNUMBER(SEARCH(Classifiers!$C$5,E329)),1,0))+IF(Classifiers!$D$5="",0,IF(ISNUMBER(SEARCH(Classifiers!$D$5,E329)),1,0))+IF(Classifiers!$E$5="",0,IF(ISNUMBER(SEARCH(Classifiers!$E$5,E329)),1,0))+IF(Classifiers!$F$5="",0,IF(ISNUMBER(SEARCH(Classifiers!$F$5,E329)),1,0))+IF(Classifiers!$G$5="",0,IF(ISNUMBER(SEARCH(Classifiers!$G$5,E329)),1,0)))&gt;0,1,0))</f>
        <v/>
      </c>
      <c r="K329" s="12">
        <f>IF(H329&lt;&gt;1,0,IF((IF(Classifiers!$B$6="",0,IF(ISNUMBER(SEARCH(Classifiers!$B$6,E329)),1,0))+IF(Classifiers!$C$6="",0,IF(ISNUMBER(SEARCH(Classifiers!$C$6,E329)),1,0))+IF(Classifiers!$D$6="",0,IF(ISNUMBER(SEARCH(Classifiers!$D$6,E329)),1,0))+IF(Classifiers!$E$6="",0,IF(ISNUMBER(SEARCH(Classifiers!$E$6,E329)),1,0))+IF(Classifiers!$F$6="",0,IF(ISNUMBER(SEARCH(Classifiers!$F$6,E329)),1,0))+IF(Classifiers!$G$6="",0,IF(ISNUMBER(SEARCH(Classifiers!$G$6,E329)),1,0)))&gt;0,1,0))</f>
        <v/>
      </c>
      <c r="L329" s="12">
        <f>IF(H329&lt;&gt;1,0,IF((IF(Classifiers!$B$7="",0,IF(ISNUMBER(SEARCH(Classifiers!$B$7,E329)),1,0))+IF(Classifiers!$C$7="",0,IF(ISNUMBER(SEARCH(Classifiers!$C$7,E329)),1,0))+IF(Classifiers!$D$7="",0,IF(ISNUMBER(SEARCH(Classifiers!$D$7,E329)),1,0))+IF(Classifiers!$E$7="",0,IF(ISNUMBER(SEARCH(Classifiers!$E$7,E329)),1,0))+IF(Classifiers!$F$7="",0,IF(ISNUMBER(SEARCH(Classifiers!$F$7,E329)),1,0))+IF(Classifiers!$G$7="",0,IF(ISNUMBER(SEARCH(Classifiers!$G$7,E329)),1,0)))&gt;0,1,0))</f>
        <v/>
      </c>
      <c r="M329" s="12">
        <f>IF(H329&lt;&gt;1,0,IF((IF(Classifiers!$B$8="",0,IF(ISNUMBER(SEARCH(Classifiers!$B$8,E329)),1,0))+IF(Classifiers!$C$8="",0,IF(ISNUMBER(SEARCH(Classifiers!$C$8,E329)),1,0))+IF(Classifiers!$D$8="",0,IF(ISNUMBER(SEARCH(Classifiers!$D$8,E329)),1,0))+IF(Classifiers!$E$8="",0,IF(ISNUMBER(SEARCH(Classifiers!$E$8,E329)),1,0))+IF(Classifiers!$F$8="",0,IF(ISNUMBER(SEARCH(Classifiers!$F$8,E329)),1,0))+IF(Classifiers!$G$8="",0,IF(ISNUMBER(SEARCH(Classifiers!$G$8,E329)),1,0)))&gt;0,1,0))</f>
        <v/>
      </c>
      <c r="N329" s="12">
        <f>IF(H329&lt;&gt;1,0,IF((IF(Classifiers!$B$9="",0,IF(ISNUMBER(SEARCH(Classifiers!$B$9,E329)),1,0))+IF(Classifiers!$C$9="",0,IF(ISNUMBER(SEARCH(Classifiers!$C$9,E329)),1,0))+IF(Classifiers!$D$9="",0,IF(ISNUMBER(SEARCH(Classifiers!$D$9,E329)),1,0))+IF(Classifiers!$E$9="",0,IF(ISNUMBER(SEARCH(Classifiers!$E$9,E329)),1,0))+IF(Classifiers!$F$9="",0,IF(ISNUMBER(SEARCH(Classifiers!$F$9,E329)),1,0))+IF(Classifiers!$G$9="",0,IF(ISNUMBER(SEARCH(Classifiers!$G$9,E329)),1,0)))&gt;0,1,0))</f>
        <v/>
      </c>
      <c r="O329" s="12">
        <f>IF(H329&lt;&gt;1,0,IF((IF(Classifiers!$B$10="",0,IF(ISNUMBER(SEARCH(Classifiers!$B$10,E329)),1,0))+IF(Classifiers!$C$10="",0,IF(ISNUMBER(SEARCH(Classifiers!$C$10,E329)),1,0))+IF(Classifiers!$D$10="",0,IF(ISNUMBER(SEARCH(Classifiers!$D$10,E329)),1,0))+IF(Classifiers!$E$10="",0,IF(ISNUMBER(SEARCH(Classifiers!$E$10,E329)),1,0))+IF(Classifiers!$F$10="",0,IF(ISNUMBER(SEARCH(Classifiers!$F$10,E329)),1,0))+IF(Classifiers!$G$10="",0,IF(ISNUMBER(SEARCH(Classifiers!$G$10,E329)),1,0)))&gt;0,1,0))</f>
        <v/>
      </c>
      <c r="P329" s="12">
        <f>IF(H329&lt;&gt;1,0,IF((IF(Classifiers!$B$11="",0,IF(ISNUMBER(SEARCH(Classifiers!$B$11,E329)),1,0))+IF(Classifiers!$C$11="",0,IF(ISNUMBER(SEARCH(Classifiers!$C$11,E329)),1,0))+IF(Classifiers!$D$11="",0,IF(ISNUMBER(SEARCH(Classifiers!$D$11,E329)),1,0))+IF(Classifiers!$E$11="",0,IF(ISNUMBER(SEARCH(Classifiers!$E$11,E329)),1,0))+IF(Classifiers!$F$11="",0,IF(ISNUMBER(SEARCH(Classifiers!$F$11,E329)),1,0))+IF(Classifiers!$G$11="",0,IF(ISNUMBER(SEARCH(Classifiers!$G$11,E329)),1,0)))&gt;0,1,0))</f>
        <v/>
      </c>
      <c r="Q329" s="12">
        <f>IF(H329&lt;&gt;1,0,IF((IF(Classifiers!$B$12="",0,IF(ISNUMBER(SEARCH(Classifiers!$B$12,E329)),1,0))+IF(Classifiers!$C$12="",0,IF(ISNUMBER(SEARCH(Classifiers!$C$12,E329)),1,0))+IF(Classifiers!$D$12="",0,IF(ISNUMBER(SEARCH(Classifiers!$D$12,E329)),1,0))+IF(Classifiers!$E$12="",0,IF(ISNUMBER(SEARCH(Classifiers!$E$12,E329)),1,0))+IF(Classifiers!$F$12="",0,IF(ISNUMBER(SEARCH(Classifiers!$F$12,E329)),1,0))+IF(Classifiers!$G$12="",0,IF(ISNUMBER(SEARCH(Classifiers!$G$12,E329)),1,0)))&gt;0,1,0))</f>
        <v/>
      </c>
      <c r="R329" s="12">
        <f>IF(H329&lt;&gt;1,0,IF((IF(Classifiers!$B$13="",0,IF(ISNUMBER(SEARCH(Classifiers!$B$13,E329)),1,0))+IF(Classifiers!$C$13="",0,IF(ISNUMBER(SEARCH(Classifiers!$C$13,E329)),1,0))+IF(Classifiers!$D$13="",0,IF(ISNUMBER(SEARCH(Classifiers!$D$13,E329)),1,0))+IF(Classifiers!$E$13="",0,IF(ISNUMBER(SEARCH(Classifiers!$E$13,E329)),1,0))+IF(Classifiers!$F$13="",0,IF(ISNUMBER(SEARCH(Classifiers!$F$13,E329)),1,0))+IF(Classifiers!$G$13="",0,IF(ISNUMBER(SEARCH(Classifiers!$G$13,E329)),1,0)))&gt;0,1,0))</f>
        <v/>
      </c>
      <c r="S329" s="12">
        <f>IF(H329&lt;&gt;1,0,IF((IF(Classifiers!$B$14="",0,IF(ISNUMBER(SEARCH(Classifiers!$B$14,E329)),1,0))+IF(Classifiers!$C$14="",0,IF(ISNUMBER(SEARCH(Classifiers!$C$14,E329)),1,0))+IF(Classifiers!$D$14="",0,IF(ISNUMBER(SEARCH(Classifiers!$D$14,E329)),1,0))+IF(Classifiers!$E$14="",0,IF(ISNUMBER(SEARCH(Classifiers!$E$14,E329)),1,0))+IF(Classifiers!$F$14="",0,IF(ISNUMBER(SEARCH(Classifiers!$F$14,E329)),1,0))+IF(Classifiers!$G$14="",0,IF(ISNUMBER(SEARCH(Classifiers!$G$14,E329)),1,0)))&gt;0,1,0))</f>
        <v/>
      </c>
      <c r="T329" s="12">
        <f>IF(H329&lt;&gt;1,0,IF((IF(Classifiers!$B$15="",0,IF(ISNUMBER(SEARCH(Classifiers!$B$15,E329)),1,0))+IF(Classifiers!$C$15="",0,IF(ISNUMBER(SEARCH(Classifiers!$C$15,E329)),1,0))+IF(Classifiers!$D$15="",0,IF(ISNUMBER(SEARCH(Classifiers!$D$15,E329)),1,0))+IF(Classifiers!$E$15="",0,IF(ISNUMBER(SEARCH(Classifiers!$E$15,E329)),1,0))+IF(Classifiers!$F$15="",0,IF(ISNUMBER(SEARCH(Classifiers!$F$15,E329)),1,0))+IF(Classifiers!$G$15="",0,IF(ISNUMBER(SEARCH(Classifiers!$G$15,E329)),1,0)))&gt;0,1,0))</f>
        <v/>
      </c>
      <c r="U329" s="12">
        <f>IF(H329&lt;&gt;1,0,IF((IF(Classifiers!$B$16="",0,IF(ISNUMBER(SEARCH(Classifiers!$B$16,E329)),1,0))+IF(Classifiers!$C$16="",0,IF(ISNUMBER(SEARCH(Classifiers!$C$16,E329)),1,0))+IF(Classifiers!$D$16="",0,IF(ISNUMBER(SEARCH(Classifiers!$D$16,E329)),1,0))+IF(Classifiers!$E$16="",0,IF(ISNUMBER(SEARCH(Classifiers!$E$16,E329)),1,0))+IF(Classifiers!$F$16="",0,IF(ISNUMBER(SEARCH(Classifiers!$F$16,E329)),1,0))+IF(Classifiers!$G$16="",0,IF(ISNUMBER(SEARCH(Classifiers!$G$16,E329)),1,0)))&gt;0,1,0))</f>
        <v/>
      </c>
      <c r="V329" s="12">
        <f>IF(H329&lt;&gt;1,0,IF((IF(Classifiers!$B$17="",0,IF(ISNUMBER(SEARCH(Classifiers!$B$17,E329)),1,0))+IF(Classifiers!$C$17="",0,IF(ISNUMBER(SEARCH(Classifiers!$C$17,E329)),1,0))+IF(Classifiers!$D$17="",0,IF(ISNUMBER(SEARCH(Classifiers!$D$17,E329)),1,0))+IF(Classifiers!$E$17="",0,IF(ISNUMBER(SEARCH(Classifiers!$E$17,E329)),1,0))+IF(Classifiers!$F$17="",0,IF(ISNUMBER(SEARCH(Classifiers!$F$17,E329)),1,0))+IF(Classifiers!$G$17="",0,IF(ISNUMBER(SEARCH(Classifiers!$G$17,E329)),1,0)))&gt;0,1,0))</f>
        <v/>
      </c>
      <c r="W329" s="12">
        <f>IF(H329&lt;&gt;1,0,IF((IF(Classifiers!$B$18="",0,IF(ISNUMBER(SEARCH(Classifiers!$B$18,E329)),1,0))+IF(Classifiers!$C$18="",0,IF(ISNUMBER(SEARCH(Classifiers!$C$18,E329)),1,0))+IF(Classifiers!$D$18="",0,IF(ISNUMBER(SEARCH(Classifiers!$D$18,E329)),1,0))+IF(Classifiers!$E$18="",0,IF(ISNUMBER(SEARCH(Classifiers!$E$18,E329)),1,0))+IF(Classifiers!$F$18="",0,IF(ISNUMBER(SEARCH(Classifiers!$F$18,E329)),1,0))+IF(Classifiers!$G$18="",0,IF(ISNUMBER(SEARCH(Classifiers!$G$18,E329)),1,0)))&gt;0,1,0))</f>
        <v/>
      </c>
    </row>
    <row r="330">
      <c r="A330" s="8" t="n"/>
      <c r="B330" s="11" t="n"/>
      <c r="C330" s="6">
        <f>IF(A330="","",TRIM(RIGHT(SUBSTITUTE(A330,"/",REPT(" ",250)),250)))</f>
        <v/>
      </c>
      <c r="D330" s="6">
        <f>IF(C330="","",IF(ISNUMBER(SEARCH(".",C330)),LOWER("."&amp;TRIM(RIGHT(SUBSTITUTE(C330,".",REPT(" ",250)),250))),""))</f>
        <v/>
      </c>
      <c r="E330" s="6">
        <f>IF(C330="","",TRIM(SUBSTITUTE(SUBSTITUTE(SUBSTITUTE(SUBSTITUTE(SUBSTITUTE(SUBSTITUTE(SUBSTITUTE(SUBSTITUTE(SUBSTITUTE(SUBSTITUTE(SUBSTITUTE(SUBSTITUTE(SUBSTITUTE(SUBSTITUTE(SUBSTITUTE(SUBSTITUTE(SUBSTITUTE(SUBSTITUTE(SUBSTITUTE(SUBSTITUTE(LOWER(LEFT(C330,LEN(C330)-LEN(D330))),"_"," "),"-"," "),"."," "),","," "),"("," "),")"," "),"["," "),"]"," "),"&amp;"," "),"+"," "),"@"," "),"#"," "),"!"," "),"'"," "),"/"," "),":"," "),";"," "),"="," "),"~"," "),"%"," ")))</f>
        <v/>
      </c>
      <c r="F330" s="6">
        <f>IF(C330="","",IF(COUNTIF(Classifiers!$A$23:$A$40,D330)&gt;0,1,0))</f>
        <v/>
      </c>
      <c r="G330" s="6">
        <f>IF(C330="","",IF(COUNTIF(Classifiers!$C$23:$C$30,D330)&gt;0,IF((IF(ISNUMBER(SEARCH(Classifiers!$E$23,E330)),1,0)+IF(ISNUMBER(SEARCH(Classifiers!$E$24,E330)),1,0)+IF(ISNUMBER(SEARCH(Classifiers!$E$25,E330)),1,0)+IF(ISNUMBER(SEARCH(Classifiers!$E$26,E330)),1,0)+IF(ISNUMBER(SEARCH(Classifiers!$E$27,E330)),1,0)+IF(ISNUMBER(SEARCH(Classifiers!$E$28,E330)),1,0)+IF(ISNUMBER(SEARCH(Classifiers!$E$29,E330)),1,0)+IF(ISNUMBER(SEARCH(Classifiers!$E$30,E330)),1,0))&gt;0,1,0),0))</f>
        <v/>
      </c>
      <c r="H330" s="6">
        <f>IF(C330="","",IF(OR(LEFT(C330,1)=".",AND(F330=0,G330=0)),0,1))</f>
        <v/>
      </c>
      <c r="I330" s="6">
        <f>IF(H330&lt;&gt;1,"",IF(SUM(J330:W330)=0,"unclassified",INDEX(Classifiers!$A$5:$A$18,MATCH(1,J330:W330,0),1)))</f>
        <v/>
      </c>
      <c r="J330" s="12">
        <f>IF(H330&lt;&gt;1,0,IF((IF(Classifiers!$B$5="",0,IF(ISNUMBER(SEARCH(Classifiers!$B$5,E330)),1,0))+IF(Classifiers!$C$5="",0,IF(ISNUMBER(SEARCH(Classifiers!$C$5,E330)),1,0))+IF(Classifiers!$D$5="",0,IF(ISNUMBER(SEARCH(Classifiers!$D$5,E330)),1,0))+IF(Classifiers!$E$5="",0,IF(ISNUMBER(SEARCH(Classifiers!$E$5,E330)),1,0))+IF(Classifiers!$F$5="",0,IF(ISNUMBER(SEARCH(Classifiers!$F$5,E330)),1,0))+IF(Classifiers!$G$5="",0,IF(ISNUMBER(SEARCH(Classifiers!$G$5,E330)),1,0)))&gt;0,1,0))</f>
        <v/>
      </c>
      <c r="K330" s="12">
        <f>IF(H330&lt;&gt;1,0,IF((IF(Classifiers!$B$6="",0,IF(ISNUMBER(SEARCH(Classifiers!$B$6,E330)),1,0))+IF(Classifiers!$C$6="",0,IF(ISNUMBER(SEARCH(Classifiers!$C$6,E330)),1,0))+IF(Classifiers!$D$6="",0,IF(ISNUMBER(SEARCH(Classifiers!$D$6,E330)),1,0))+IF(Classifiers!$E$6="",0,IF(ISNUMBER(SEARCH(Classifiers!$E$6,E330)),1,0))+IF(Classifiers!$F$6="",0,IF(ISNUMBER(SEARCH(Classifiers!$F$6,E330)),1,0))+IF(Classifiers!$G$6="",0,IF(ISNUMBER(SEARCH(Classifiers!$G$6,E330)),1,0)))&gt;0,1,0))</f>
        <v/>
      </c>
      <c r="L330" s="12">
        <f>IF(H330&lt;&gt;1,0,IF((IF(Classifiers!$B$7="",0,IF(ISNUMBER(SEARCH(Classifiers!$B$7,E330)),1,0))+IF(Classifiers!$C$7="",0,IF(ISNUMBER(SEARCH(Classifiers!$C$7,E330)),1,0))+IF(Classifiers!$D$7="",0,IF(ISNUMBER(SEARCH(Classifiers!$D$7,E330)),1,0))+IF(Classifiers!$E$7="",0,IF(ISNUMBER(SEARCH(Classifiers!$E$7,E330)),1,0))+IF(Classifiers!$F$7="",0,IF(ISNUMBER(SEARCH(Classifiers!$F$7,E330)),1,0))+IF(Classifiers!$G$7="",0,IF(ISNUMBER(SEARCH(Classifiers!$G$7,E330)),1,0)))&gt;0,1,0))</f>
        <v/>
      </c>
      <c r="M330" s="12">
        <f>IF(H330&lt;&gt;1,0,IF((IF(Classifiers!$B$8="",0,IF(ISNUMBER(SEARCH(Classifiers!$B$8,E330)),1,0))+IF(Classifiers!$C$8="",0,IF(ISNUMBER(SEARCH(Classifiers!$C$8,E330)),1,0))+IF(Classifiers!$D$8="",0,IF(ISNUMBER(SEARCH(Classifiers!$D$8,E330)),1,0))+IF(Classifiers!$E$8="",0,IF(ISNUMBER(SEARCH(Classifiers!$E$8,E330)),1,0))+IF(Classifiers!$F$8="",0,IF(ISNUMBER(SEARCH(Classifiers!$F$8,E330)),1,0))+IF(Classifiers!$G$8="",0,IF(ISNUMBER(SEARCH(Classifiers!$G$8,E330)),1,0)))&gt;0,1,0))</f>
        <v/>
      </c>
      <c r="N330" s="12">
        <f>IF(H330&lt;&gt;1,0,IF((IF(Classifiers!$B$9="",0,IF(ISNUMBER(SEARCH(Classifiers!$B$9,E330)),1,0))+IF(Classifiers!$C$9="",0,IF(ISNUMBER(SEARCH(Classifiers!$C$9,E330)),1,0))+IF(Classifiers!$D$9="",0,IF(ISNUMBER(SEARCH(Classifiers!$D$9,E330)),1,0))+IF(Classifiers!$E$9="",0,IF(ISNUMBER(SEARCH(Classifiers!$E$9,E330)),1,0))+IF(Classifiers!$F$9="",0,IF(ISNUMBER(SEARCH(Classifiers!$F$9,E330)),1,0))+IF(Classifiers!$G$9="",0,IF(ISNUMBER(SEARCH(Classifiers!$G$9,E330)),1,0)))&gt;0,1,0))</f>
        <v/>
      </c>
      <c r="O330" s="12">
        <f>IF(H330&lt;&gt;1,0,IF((IF(Classifiers!$B$10="",0,IF(ISNUMBER(SEARCH(Classifiers!$B$10,E330)),1,0))+IF(Classifiers!$C$10="",0,IF(ISNUMBER(SEARCH(Classifiers!$C$10,E330)),1,0))+IF(Classifiers!$D$10="",0,IF(ISNUMBER(SEARCH(Classifiers!$D$10,E330)),1,0))+IF(Classifiers!$E$10="",0,IF(ISNUMBER(SEARCH(Classifiers!$E$10,E330)),1,0))+IF(Classifiers!$F$10="",0,IF(ISNUMBER(SEARCH(Classifiers!$F$10,E330)),1,0))+IF(Classifiers!$G$10="",0,IF(ISNUMBER(SEARCH(Classifiers!$G$10,E330)),1,0)))&gt;0,1,0))</f>
        <v/>
      </c>
      <c r="P330" s="12">
        <f>IF(H330&lt;&gt;1,0,IF((IF(Classifiers!$B$11="",0,IF(ISNUMBER(SEARCH(Classifiers!$B$11,E330)),1,0))+IF(Classifiers!$C$11="",0,IF(ISNUMBER(SEARCH(Classifiers!$C$11,E330)),1,0))+IF(Classifiers!$D$11="",0,IF(ISNUMBER(SEARCH(Classifiers!$D$11,E330)),1,0))+IF(Classifiers!$E$11="",0,IF(ISNUMBER(SEARCH(Classifiers!$E$11,E330)),1,0))+IF(Classifiers!$F$11="",0,IF(ISNUMBER(SEARCH(Classifiers!$F$11,E330)),1,0))+IF(Classifiers!$G$11="",0,IF(ISNUMBER(SEARCH(Classifiers!$G$11,E330)),1,0)))&gt;0,1,0))</f>
        <v/>
      </c>
      <c r="Q330" s="12">
        <f>IF(H330&lt;&gt;1,0,IF((IF(Classifiers!$B$12="",0,IF(ISNUMBER(SEARCH(Classifiers!$B$12,E330)),1,0))+IF(Classifiers!$C$12="",0,IF(ISNUMBER(SEARCH(Classifiers!$C$12,E330)),1,0))+IF(Classifiers!$D$12="",0,IF(ISNUMBER(SEARCH(Classifiers!$D$12,E330)),1,0))+IF(Classifiers!$E$12="",0,IF(ISNUMBER(SEARCH(Classifiers!$E$12,E330)),1,0))+IF(Classifiers!$F$12="",0,IF(ISNUMBER(SEARCH(Classifiers!$F$12,E330)),1,0))+IF(Classifiers!$G$12="",0,IF(ISNUMBER(SEARCH(Classifiers!$G$12,E330)),1,0)))&gt;0,1,0))</f>
        <v/>
      </c>
      <c r="R330" s="12">
        <f>IF(H330&lt;&gt;1,0,IF((IF(Classifiers!$B$13="",0,IF(ISNUMBER(SEARCH(Classifiers!$B$13,E330)),1,0))+IF(Classifiers!$C$13="",0,IF(ISNUMBER(SEARCH(Classifiers!$C$13,E330)),1,0))+IF(Classifiers!$D$13="",0,IF(ISNUMBER(SEARCH(Classifiers!$D$13,E330)),1,0))+IF(Classifiers!$E$13="",0,IF(ISNUMBER(SEARCH(Classifiers!$E$13,E330)),1,0))+IF(Classifiers!$F$13="",0,IF(ISNUMBER(SEARCH(Classifiers!$F$13,E330)),1,0))+IF(Classifiers!$G$13="",0,IF(ISNUMBER(SEARCH(Classifiers!$G$13,E330)),1,0)))&gt;0,1,0))</f>
        <v/>
      </c>
      <c r="S330" s="12">
        <f>IF(H330&lt;&gt;1,0,IF((IF(Classifiers!$B$14="",0,IF(ISNUMBER(SEARCH(Classifiers!$B$14,E330)),1,0))+IF(Classifiers!$C$14="",0,IF(ISNUMBER(SEARCH(Classifiers!$C$14,E330)),1,0))+IF(Classifiers!$D$14="",0,IF(ISNUMBER(SEARCH(Classifiers!$D$14,E330)),1,0))+IF(Classifiers!$E$14="",0,IF(ISNUMBER(SEARCH(Classifiers!$E$14,E330)),1,0))+IF(Classifiers!$F$14="",0,IF(ISNUMBER(SEARCH(Classifiers!$F$14,E330)),1,0))+IF(Classifiers!$G$14="",0,IF(ISNUMBER(SEARCH(Classifiers!$G$14,E330)),1,0)))&gt;0,1,0))</f>
        <v/>
      </c>
      <c r="T330" s="12">
        <f>IF(H330&lt;&gt;1,0,IF((IF(Classifiers!$B$15="",0,IF(ISNUMBER(SEARCH(Classifiers!$B$15,E330)),1,0))+IF(Classifiers!$C$15="",0,IF(ISNUMBER(SEARCH(Classifiers!$C$15,E330)),1,0))+IF(Classifiers!$D$15="",0,IF(ISNUMBER(SEARCH(Classifiers!$D$15,E330)),1,0))+IF(Classifiers!$E$15="",0,IF(ISNUMBER(SEARCH(Classifiers!$E$15,E330)),1,0))+IF(Classifiers!$F$15="",0,IF(ISNUMBER(SEARCH(Classifiers!$F$15,E330)),1,0))+IF(Classifiers!$G$15="",0,IF(ISNUMBER(SEARCH(Classifiers!$G$15,E330)),1,0)))&gt;0,1,0))</f>
        <v/>
      </c>
      <c r="U330" s="12">
        <f>IF(H330&lt;&gt;1,0,IF((IF(Classifiers!$B$16="",0,IF(ISNUMBER(SEARCH(Classifiers!$B$16,E330)),1,0))+IF(Classifiers!$C$16="",0,IF(ISNUMBER(SEARCH(Classifiers!$C$16,E330)),1,0))+IF(Classifiers!$D$16="",0,IF(ISNUMBER(SEARCH(Classifiers!$D$16,E330)),1,0))+IF(Classifiers!$E$16="",0,IF(ISNUMBER(SEARCH(Classifiers!$E$16,E330)),1,0))+IF(Classifiers!$F$16="",0,IF(ISNUMBER(SEARCH(Classifiers!$F$16,E330)),1,0))+IF(Classifiers!$G$16="",0,IF(ISNUMBER(SEARCH(Classifiers!$G$16,E330)),1,0)))&gt;0,1,0))</f>
        <v/>
      </c>
      <c r="V330" s="12">
        <f>IF(H330&lt;&gt;1,0,IF((IF(Classifiers!$B$17="",0,IF(ISNUMBER(SEARCH(Classifiers!$B$17,E330)),1,0))+IF(Classifiers!$C$17="",0,IF(ISNUMBER(SEARCH(Classifiers!$C$17,E330)),1,0))+IF(Classifiers!$D$17="",0,IF(ISNUMBER(SEARCH(Classifiers!$D$17,E330)),1,0))+IF(Classifiers!$E$17="",0,IF(ISNUMBER(SEARCH(Classifiers!$E$17,E330)),1,0))+IF(Classifiers!$F$17="",0,IF(ISNUMBER(SEARCH(Classifiers!$F$17,E330)),1,0))+IF(Classifiers!$G$17="",0,IF(ISNUMBER(SEARCH(Classifiers!$G$17,E330)),1,0)))&gt;0,1,0))</f>
        <v/>
      </c>
      <c r="W330" s="12">
        <f>IF(H330&lt;&gt;1,0,IF((IF(Classifiers!$B$18="",0,IF(ISNUMBER(SEARCH(Classifiers!$B$18,E330)),1,0))+IF(Classifiers!$C$18="",0,IF(ISNUMBER(SEARCH(Classifiers!$C$18,E330)),1,0))+IF(Classifiers!$D$18="",0,IF(ISNUMBER(SEARCH(Classifiers!$D$18,E330)),1,0))+IF(Classifiers!$E$18="",0,IF(ISNUMBER(SEARCH(Classifiers!$E$18,E330)),1,0))+IF(Classifiers!$F$18="",0,IF(ISNUMBER(SEARCH(Classifiers!$F$18,E330)),1,0))+IF(Classifiers!$G$18="",0,IF(ISNUMBER(SEARCH(Classifiers!$G$18,E330)),1,0)))&gt;0,1,0))</f>
        <v/>
      </c>
    </row>
    <row r="331">
      <c r="A331" s="8" t="n"/>
      <c r="B331" s="11" t="n"/>
      <c r="C331" s="6">
        <f>IF(A331="","",TRIM(RIGHT(SUBSTITUTE(A331,"/",REPT(" ",250)),250)))</f>
        <v/>
      </c>
      <c r="D331" s="6">
        <f>IF(C331="","",IF(ISNUMBER(SEARCH(".",C331)),LOWER("."&amp;TRIM(RIGHT(SUBSTITUTE(C331,".",REPT(" ",250)),250))),""))</f>
        <v/>
      </c>
      <c r="E331" s="6">
        <f>IF(C331="","",TRIM(SUBSTITUTE(SUBSTITUTE(SUBSTITUTE(SUBSTITUTE(SUBSTITUTE(SUBSTITUTE(SUBSTITUTE(SUBSTITUTE(SUBSTITUTE(SUBSTITUTE(SUBSTITUTE(SUBSTITUTE(SUBSTITUTE(SUBSTITUTE(SUBSTITUTE(SUBSTITUTE(SUBSTITUTE(SUBSTITUTE(SUBSTITUTE(SUBSTITUTE(LOWER(LEFT(C331,LEN(C331)-LEN(D331))),"_"," "),"-"," "),"."," "),","," "),"("," "),")"," "),"["," "),"]"," "),"&amp;"," "),"+"," "),"@"," "),"#"," "),"!"," "),"'"," "),"/"," "),":"," "),";"," "),"="," "),"~"," "),"%"," ")))</f>
        <v/>
      </c>
      <c r="F331" s="6">
        <f>IF(C331="","",IF(COUNTIF(Classifiers!$A$23:$A$40,D331)&gt;0,1,0))</f>
        <v/>
      </c>
      <c r="G331" s="6">
        <f>IF(C331="","",IF(COUNTIF(Classifiers!$C$23:$C$30,D331)&gt;0,IF((IF(ISNUMBER(SEARCH(Classifiers!$E$23,E331)),1,0)+IF(ISNUMBER(SEARCH(Classifiers!$E$24,E331)),1,0)+IF(ISNUMBER(SEARCH(Classifiers!$E$25,E331)),1,0)+IF(ISNUMBER(SEARCH(Classifiers!$E$26,E331)),1,0)+IF(ISNUMBER(SEARCH(Classifiers!$E$27,E331)),1,0)+IF(ISNUMBER(SEARCH(Classifiers!$E$28,E331)),1,0)+IF(ISNUMBER(SEARCH(Classifiers!$E$29,E331)),1,0)+IF(ISNUMBER(SEARCH(Classifiers!$E$30,E331)),1,0))&gt;0,1,0),0))</f>
        <v/>
      </c>
      <c r="H331" s="6">
        <f>IF(C331="","",IF(OR(LEFT(C331,1)=".",AND(F331=0,G331=0)),0,1))</f>
        <v/>
      </c>
      <c r="I331" s="6">
        <f>IF(H331&lt;&gt;1,"",IF(SUM(J331:W331)=0,"unclassified",INDEX(Classifiers!$A$5:$A$18,MATCH(1,J331:W331,0),1)))</f>
        <v/>
      </c>
      <c r="J331" s="12">
        <f>IF(H331&lt;&gt;1,0,IF((IF(Classifiers!$B$5="",0,IF(ISNUMBER(SEARCH(Classifiers!$B$5,E331)),1,0))+IF(Classifiers!$C$5="",0,IF(ISNUMBER(SEARCH(Classifiers!$C$5,E331)),1,0))+IF(Classifiers!$D$5="",0,IF(ISNUMBER(SEARCH(Classifiers!$D$5,E331)),1,0))+IF(Classifiers!$E$5="",0,IF(ISNUMBER(SEARCH(Classifiers!$E$5,E331)),1,0))+IF(Classifiers!$F$5="",0,IF(ISNUMBER(SEARCH(Classifiers!$F$5,E331)),1,0))+IF(Classifiers!$G$5="",0,IF(ISNUMBER(SEARCH(Classifiers!$G$5,E331)),1,0)))&gt;0,1,0))</f>
        <v/>
      </c>
      <c r="K331" s="12">
        <f>IF(H331&lt;&gt;1,0,IF((IF(Classifiers!$B$6="",0,IF(ISNUMBER(SEARCH(Classifiers!$B$6,E331)),1,0))+IF(Classifiers!$C$6="",0,IF(ISNUMBER(SEARCH(Classifiers!$C$6,E331)),1,0))+IF(Classifiers!$D$6="",0,IF(ISNUMBER(SEARCH(Classifiers!$D$6,E331)),1,0))+IF(Classifiers!$E$6="",0,IF(ISNUMBER(SEARCH(Classifiers!$E$6,E331)),1,0))+IF(Classifiers!$F$6="",0,IF(ISNUMBER(SEARCH(Classifiers!$F$6,E331)),1,0))+IF(Classifiers!$G$6="",0,IF(ISNUMBER(SEARCH(Classifiers!$G$6,E331)),1,0)))&gt;0,1,0))</f>
        <v/>
      </c>
      <c r="L331" s="12">
        <f>IF(H331&lt;&gt;1,0,IF((IF(Classifiers!$B$7="",0,IF(ISNUMBER(SEARCH(Classifiers!$B$7,E331)),1,0))+IF(Classifiers!$C$7="",0,IF(ISNUMBER(SEARCH(Classifiers!$C$7,E331)),1,0))+IF(Classifiers!$D$7="",0,IF(ISNUMBER(SEARCH(Classifiers!$D$7,E331)),1,0))+IF(Classifiers!$E$7="",0,IF(ISNUMBER(SEARCH(Classifiers!$E$7,E331)),1,0))+IF(Classifiers!$F$7="",0,IF(ISNUMBER(SEARCH(Classifiers!$F$7,E331)),1,0))+IF(Classifiers!$G$7="",0,IF(ISNUMBER(SEARCH(Classifiers!$G$7,E331)),1,0)))&gt;0,1,0))</f>
        <v/>
      </c>
      <c r="M331" s="12">
        <f>IF(H331&lt;&gt;1,0,IF((IF(Classifiers!$B$8="",0,IF(ISNUMBER(SEARCH(Classifiers!$B$8,E331)),1,0))+IF(Classifiers!$C$8="",0,IF(ISNUMBER(SEARCH(Classifiers!$C$8,E331)),1,0))+IF(Classifiers!$D$8="",0,IF(ISNUMBER(SEARCH(Classifiers!$D$8,E331)),1,0))+IF(Classifiers!$E$8="",0,IF(ISNUMBER(SEARCH(Classifiers!$E$8,E331)),1,0))+IF(Classifiers!$F$8="",0,IF(ISNUMBER(SEARCH(Classifiers!$F$8,E331)),1,0))+IF(Classifiers!$G$8="",0,IF(ISNUMBER(SEARCH(Classifiers!$G$8,E331)),1,0)))&gt;0,1,0))</f>
        <v/>
      </c>
      <c r="N331" s="12">
        <f>IF(H331&lt;&gt;1,0,IF((IF(Classifiers!$B$9="",0,IF(ISNUMBER(SEARCH(Classifiers!$B$9,E331)),1,0))+IF(Classifiers!$C$9="",0,IF(ISNUMBER(SEARCH(Classifiers!$C$9,E331)),1,0))+IF(Classifiers!$D$9="",0,IF(ISNUMBER(SEARCH(Classifiers!$D$9,E331)),1,0))+IF(Classifiers!$E$9="",0,IF(ISNUMBER(SEARCH(Classifiers!$E$9,E331)),1,0))+IF(Classifiers!$F$9="",0,IF(ISNUMBER(SEARCH(Classifiers!$F$9,E331)),1,0))+IF(Classifiers!$G$9="",0,IF(ISNUMBER(SEARCH(Classifiers!$G$9,E331)),1,0)))&gt;0,1,0))</f>
        <v/>
      </c>
      <c r="O331" s="12">
        <f>IF(H331&lt;&gt;1,0,IF((IF(Classifiers!$B$10="",0,IF(ISNUMBER(SEARCH(Classifiers!$B$10,E331)),1,0))+IF(Classifiers!$C$10="",0,IF(ISNUMBER(SEARCH(Classifiers!$C$10,E331)),1,0))+IF(Classifiers!$D$10="",0,IF(ISNUMBER(SEARCH(Classifiers!$D$10,E331)),1,0))+IF(Classifiers!$E$10="",0,IF(ISNUMBER(SEARCH(Classifiers!$E$10,E331)),1,0))+IF(Classifiers!$F$10="",0,IF(ISNUMBER(SEARCH(Classifiers!$F$10,E331)),1,0))+IF(Classifiers!$G$10="",0,IF(ISNUMBER(SEARCH(Classifiers!$G$10,E331)),1,0)))&gt;0,1,0))</f>
        <v/>
      </c>
      <c r="P331" s="12">
        <f>IF(H331&lt;&gt;1,0,IF((IF(Classifiers!$B$11="",0,IF(ISNUMBER(SEARCH(Classifiers!$B$11,E331)),1,0))+IF(Classifiers!$C$11="",0,IF(ISNUMBER(SEARCH(Classifiers!$C$11,E331)),1,0))+IF(Classifiers!$D$11="",0,IF(ISNUMBER(SEARCH(Classifiers!$D$11,E331)),1,0))+IF(Classifiers!$E$11="",0,IF(ISNUMBER(SEARCH(Classifiers!$E$11,E331)),1,0))+IF(Classifiers!$F$11="",0,IF(ISNUMBER(SEARCH(Classifiers!$F$11,E331)),1,0))+IF(Classifiers!$G$11="",0,IF(ISNUMBER(SEARCH(Classifiers!$G$11,E331)),1,0)))&gt;0,1,0))</f>
        <v/>
      </c>
      <c r="Q331" s="12">
        <f>IF(H331&lt;&gt;1,0,IF((IF(Classifiers!$B$12="",0,IF(ISNUMBER(SEARCH(Classifiers!$B$12,E331)),1,0))+IF(Classifiers!$C$12="",0,IF(ISNUMBER(SEARCH(Classifiers!$C$12,E331)),1,0))+IF(Classifiers!$D$12="",0,IF(ISNUMBER(SEARCH(Classifiers!$D$12,E331)),1,0))+IF(Classifiers!$E$12="",0,IF(ISNUMBER(SEARCH(Classifiers!$E$12,E331)),1,0))+IF(Classifiers!$F$12="",0,IF(ISNUMBER(SEARCH(Classifiers!$F$12,E331)),1,0))+IF(Classifiers!$G$12="",0,IF(ISNUMBER(SEARCH(Classifiers!$G$12,E331)),1,0)))&gt;0,1,0))</f>
        <v/>
      </c>
      <c r="R331" s="12">
        <f>IF(H331&lt;&gt;1,0,IF((IF(Classifiers!$B$13="",0,IF(ISNUMBER(SEARCH(Classifiers!$B$13,E331)),1,0))+IF(Classifiers!$C$13="",0,IF(ISNUMBER(SEARCH(Classifiers!$C$13,E331)),1,0))+IF(Classifiers!$D$13="",0,IF(ISNUMBER(SEARCH(Classifiers!$D$13,E331)),1,0))+IF(Classifiers!$E$13="",0,IF(ISNUMBER(SEARCH(Classifiers!$E$13,E331)),1,0))+IF(Classifiers!$F$13="",0,IF(ISNUMBER(SEARCH(Classifiers!$F$13,E331)),1,0))+IF(Classifiers!$G$13="",0,IF(ISNUMBER(SEARCH(Classifiers!$G$13,E331)),1,0)))&gt;0,1,0))</f>
        <v/>
      </c>
      <c r="S331" s="12">
        <f>IF(H331&lt;&gt;1,0,IF((IF(Classifiers!$B$14="",0,IF(ISNUMBER(SEARCH(Classifiers!$B$14,E331)),1,0))+IF(Classifiers!$C$14="",0,IF(ISNUMBER(SEARCH(Classifiers!$C$14,E331)),1,0))+IF(Classifiers!$D$14="",0,IF(ISNUMBER(SEARCH(Classifiers!$D$14,E331)),1,0))+IF(Classifiers!$E$14="",0,IF(ISNUMBER(SEARCH(Classifiers!$E$14,E331)),1,0))+IF(Classifiers!$F$14="",0,IF(ISNUMBER(SEARCH(Classifiers!$F$14,E331)),1,0))+IF(Classifiers!$G$14="",0,IF(ISNUMBER(SEARCH(Classifiers!$G$14,E331)),1,0)))&gt;0,1,0))</f>
        <v/>
      </c>
      <c r="T331" s="12">
        <f>IF(H331&lt;&gt;1,0,IF((IF(Classifiers!$B$15="",0,IF(ISNUMBER(SEARCH(Classifiers!$B$15,E331)),1,0))+IF(Classifiers!$C$15="",0,IF(ISNUMBER(SEARCH(Classifiers!$C$15,E331)),1,0))+IF(Classifiers!$D$15="",0,IF(ISNUMBER(SEARCH(Classifiers!$D$15,E331)),1,0))+IF(Classifiers!$E$15="",0,IF(ISNUMBER(SEARCH(Classifiers!$E$15,E331)),1,0))+IF(Classifiers!$F$15="",0,IF(ISNUMBER(SEARCH(Classifiers!$F$15,E331)),1,0))+IF(Classifiers!$G$15="",0,IF(ISNUMBER(SEARCH(Classifiers!$G$15,E331)),1,0)))&gt;0,1,0))</f>
        <v/>
      </c>
      <c r="U331" s="12">
        <f>IF(H331&lt;&gt;1,0,IF((IF(Classifiers!$B$16="",0,IF(ISNUMBER(SEARCH(Classifiers!$B$16,E331)),1,0))+IF(Classifiers!$C$16="",0,IF(ISNUMBER(SEARCH(Classifiers!$C$16,E331)),1,0))+IF(Classifiers!$D$16="",0,IF(ISNUMBER(SEARCH(Classifiers!$D$16,E331)),1,0))+IF(Classifiers!$E$16="",0,IF(ISNUMBER(SEARCH(Classifiers!$E$16,E331)),1,0))+IF(Classifiers!$F$16="",0,IF(ISNUMBER(SEARCH(Classifiers!$F$16,E331)),1,0))+IF(Classifiers!$G$16="",0,IF(ISNUMBER(SEARCH(Classifiers!$G$16,E331)),1,0)))&gt;0,1,0))</f>
        <v/>
      </c>
      <c r="V331" s="12">
        <f>IF(H331&lt;&gt;1,0,IF((IF(Classifiers!$B$17="",0,IF(ISNUMBER(SEARCH(Classifiers!$B$17,E331)),1,0))+IF(Classifiers!$C$17="",0,IF(ISNUMBER(SEARCH(Classifiers!$C$17,E331)),1,0))+IF(Classifiers!$D$17="",0,IF(ISNUMBER(SEARCH(Classifiers!$D$17,E331)),1,0))+IF(Classifiers!$E$17="",0,IF(ISNUMBER(SEARCH(Classifiers!$E$17,E331)),1,0))+IF(Classifiers!$F$17="",0,IF(ISNUMBER(SEARCH(Classifiers!$F$17,E331)),1,0))+IF(Classifiers!$G$17="",0,IF(ISNUMBER(SEARCH(Classifiers!$G$17,E331)),1,0)))&gt;0,1,0))</f>
        <v/>
      </c>
      <c r="W331" s="12">
        <f>IF(H331&lt;&gt;1,0,IF((IF(Classifiers!$B$18="",0,IF(ISNUMBER(SEARCH(Classifiers!$B$18,E331)),1,0))+IF(Classifiers!$C$18="",0,IF(ISNUMBER(SEARCH(Classifiers!$C$18,E331)),1,0))+IF(Classifiers!$D$18="",0,IF(ISNUMBER(SEARCH(Classifiers!$D$18,E331)),1,0))+IF(Classifiers!$E$18="",0,IF(ISNUMBER(SEARCH(Classifiers!$E$18,E331)),1,0))+IF(Classifiers!$F$18="",0,IF(ISNUMBER(SEARCH(Classifiers!$F$18,E331)),1,0))+IF(Classifiers!$G$18="",0,IF(ISNUMBER(SEARCH(Classifiers!$G$18,E331)),1,0)))&gt;0,1,0))</f>
        <v/>
      </c>
    </row>
    <row r="332">
      <c r="A332" s="8" t="n"/>
      <c r="B332" s="11" t="n"/>
      <c r="C332" s="6">
        <f>IF(A332="","",TRIM(RIGHT(SUBSTITUTE(A332,"/",REPT(" ",250)),250)))</f>
        <v/>
      </c>
      <c r="D332" s="6">
        <f>IF(C332="","",IF(ISNUMBER(SEARCH(".",C332)),LOWER("."&amp;TRIM(RIGHT(SUBSTITUTE(C332,".",REPT(" ",250)),250))),""))</f>
        <v/>
      </c>
      <c r="E332" s="6">
        <f>IF(C332="","",TRIM(SUBSTITUTE(SUBSTITUTE(SUBSTITUTE(SUBSTITUTE(SUBSTITUTE(SUBSTITUTE(SUBSTITUTE(SUBSTITUTE(SUBSTITUTE(SUBSTITUTE(SUBSTITUTE(SUBSTITUTE(SUBSTITUTE(SUBSTITUTE(SUBSTITUTE(SUBSTITUTE(SUBSTITUTE(SUBSTITUTE(SUBSTITUTE(SUBSTITUTE(LOWER(LEFT(C332,LEN(C332)-LEN(D332))),"_"," "),"-"," "),"."," "),","," "),"("," "),")"," "),"["," "),"]"," "),"&amp;"," "),"+"," "),"@"," "),"#"," "),"!"," "),"'"," "),"/"," "),":"," "),";"," "),"="," "),"~"," "),"%"," ")))</f>
        <v/>
      </c>
      <c r="F332" s="6">
        <f>IF(C332="","",IF(COUNTIF(Classifiers!$A$23:$A$40,D332)&gt;0,1,0))</f>
        <v/>
      </c>
      <c r="G332" s="6">
        <f>IF(C332="","",IF(COUNTIF(Classifiers!$C$23:$C$30,D332)&gt;0,IF((IF(ISNUMBER(SEARCH(Classifiers!$E$23,E332)),1,0)+IF(ISNUMBER(SEARCH(Classifiers!$E$24,E332)),1,0)+IF(ISNUMBER(SEARCH(Classifiers!$E$25,E332)),1,0)+IF(ISNUMBER(SEARCH(Classifiers!$E$26,E332)),1,0)+IF(ISNUMBER(SEARCH(Classifiers!$E$27,E332)),1,0)+IF(ISNUMBER(SEARCH(Classifiers!$E$28,E332)),1,0)+IF(ISNUMBER(SEARCH(Classifiers!$E$29,E332)),1,0)+IF(ISNUMBER(SEARCH(Classifiers!$E$30,E332)),1,0))&gt;0,1,0),0))</f>
        <v/>
      </c>
      <c r="H332" s="6">
        <f>IF(C332="","",IF(OR(LEFT(C332,1)=".",AND(F332=0,G332=0)),0,1))</f>
        <v/>
      </c>
      <c r="I332" s="6">
        <f>IF(H332&lt;&gt;1,"",IF(SUM(J332:W332)=0,"unclassified",INDEX(Classifiers!$A$5:$A$18,MATCH(1,J332:W332,0),1)))</f>
        <v/>
      </c>
      <c r="J332" s="12">
        <f>IF(H332&lt;&gt;1,0,IF((IF(Classifiers!$B$5="",0,IF(ISNUMBER(SEARCH(Classifiers!$B$5,E332)),1,0))+IF(Classifiers!$C$5="",0,IF(ISNUMBER(SEARCH(Classifiers!$C$5,E332)),1,0))+IF(Classifiers!$D$5="",0,IF(ISNUMBER(SEARCH(Classifiers!$D$5,E332)),1,0))+IF(Classifiers!$E$5="",0,IF(ISNUMBER(SEARCH(Classifiers!$E$5,E332)),1,0))+IF(Classifiers!$F$5="",0,IF(ISNUMBER(SEARCH(Classifiers!$F$5,E332)),1,0))+IF(Classifiers!$G$5="",0,IF(ISNUMBER(SEARCH(Classifiers!$G$5,E332)),1,0)))&gt;0,1,0))</f>
        <v/>
      </c>
      <c r="K332" s="12">
        <f>IF(H332&lt;&gt;1,0,IF((IF(Classifiers!$B$6="",0,IF(ISNUMBER(SEARCH(Classifiers!$B$6,E332)),1,0))+IF(Classifiers!$C$6="",0,IF(ISNUMBER(SEARCH(Classifiers!$C$6,E332)),1,0))+IF(Classifiers!$D$6="",0,IF(ISNUMBER(SEARCH(Classifiers!$D$6,E332)),1,0))+IF(Classifiers!$E$6="",0,IF(ISNUMBER(SEARCH(Classifiers!$E$6,E332)),1,0))+IF(Classifiers!$F$6="",0,IF(ISNUMBER(SEARCH(Classifiers!$F$6,E332)),1,0))+IF(Classifiers!$G$6="",0,IF(ISNUMBER(SEARCH(Classifiers!$G$6,E332)),1,0)))&gt;0,1,0))</f>
        <v/>
      </c>
      <c r="L332" s="12">
        <f>IF(H332&lt;&gt;1,0,IF((IF(Classifiers!$B$7="",0,IF(ISNUMBER(SEARCH(Classifiers!$B$7,E332)),1,0))+IF(Classifiers!$C$7="",0,IF(ISNUMBER(SEARCH(Classifiers!$C$7,E332)),1,0))+IF(Classifiers!$D$7="",0,IF(ISNUMBER(SEARCH(Classifiers!$D$7,E332)),1,0))+IF(Classifiers!$E$7="",0,IF(ISNUMBER(SEARCH(Classifiers!$E$7,E332)),1,0))+IF(Classifiers!$F$7="",0,IF(ISNUMBER(SEARCH(Classifiers!$F$7,E332)),1,0))+IF(Classifiers!$G$7="",0,IF(ISNUMBER(SEARCH(Classifiers!$G$7,E332)),1,0)))&gt;0,1,0))</f>
        <v/>
      </c>
      <c r="M332" s="12">
        <f>IF(H332&lt;&gt;1,0,IF((IF(Classifiers!$B$8="",0,IF(ISNUMBER(SEARCH(Classifiers!$B$8,E332)),1,0))+IF(Classifiers!$C$8="",0,IF(ISNUMBER(SEARCH(Classifiers!$C$8,E332)),1,0))+IF(Classifiers!$D$8="",0,IF(ISNUMBER(SEARCH(Classifiers!$D$8,E332)),1,0))+IF(Classifiers!$E$8="",0,IF(ISNUMBER(SEARCH(Classifiers!$E$8,E332)),1,0))+IF(Classifiers!$F$8="",0,IF(ISNUMBER(SEARCH(Classifiers!$F$8,E332)),1,0))+IF(Classifiers!$G$8="",0,IF(ISNUMBER(SEARCH(Classifiers!$G$8,E332)),1,0)))&gt;0,1,0))</f>
        <v/>
      </c>
      <c r="N332" s="12">
        <f>IF(H332&lt;&gt;1,0,IF((IF(Classifiers!$B$9="",0,IF(ISNUMBER(SEARCH(Classifiers!$B$9,E332)),1,0))+IF(Classifiers!$C$9="",0,IF(ISNUMBER(SEARCH(Classifiers!$C$9,E332)),1,0))+IF(Classifiers!$D$9="",0,IF(ISNUMBER(SEARCH(Classifiers!$D$9,E332)),1,0))+IF(Classifiers!$E$9="",0,IF(ISNUMBER(SEARCH(Classifiers!$E$9,E332)),1,0))+IF(Classifiers!$F$9="",0,IF(ISNUMBER(SEARCH(Classifiers!$F$9,E332)),1,0))+IF(Classifiers!$G$9="",0,IF(ISNUMBER(SEARCH(Classifiers!$G$9,E332)),1,0)))&gt;0,1,0))</f>
        <v/>
      </c>
      <c r="O332" s="12">
        <f>IF(H332&lt;&gt;1,0,IF((IF(Classifiers!$B$10="",0,IF(ISNUMBER(SEARCH(Classifiers!$B$10,E332)),1,0))+IF(Classifiers!$C$10="",0,IF(ISNUMBER(SEARCH(Classifiers!$C$10,E332)),1,0))+IF(Classifiers!$D$10="",0,IF(ISNUMBER(SEARCH(Classifiers!$D$10,E332)),1,0))+IF(Classifiers!$E$10="",0,IF(ISNUMBER(SEARCH(Classifiers!$E$10,E332)),1,0))+IF(Classifiers!$F$10="",0,IF(ISNUMBER(SEARCH(Classifiers!$F$10,E332)),1,0))+IF(Classifiers!$G$10="",0,IF(ISNUMBER(SEARCH(Classifiers!$G$10,E332)),1,0)))&gt;0,1,0))</f>
        <v/>
      </c>
      <c r="P332" s="12">
        <f>IF(H332&lt;&gt;1,0,IF((IF(Classifiers!$B$11="",0,IF(ISNUMBER(SEARCH(Classifiers!$B$11,E332)),1,0))+IF(Classifiers!$C$11="",0,IF(ISNUMBER(SEARCH(Classifiers!$C$11,E332)),1,0))+IF(Classifiers!$D$11="",0,IF(ISNUMBER(SEARCH(Classifiers!$D$11,E332)),1,0))+IF(Classifiers!$E$11="",0,IF(ISNUMBER(SEARCH(Classifiers!$E$11,E332)),1,0))+IF(Classifiers!$F$11="",0,IF(ISNUMBER(SEARCH(Classifiers!$F$11,E332)),1,0))+IF(Classifiers!$G$11="",0,IF(ISNUMBER(SEARCH(Classifiers!$G$11,E332)),1,0)))&gt;0,1,0))</f>
        <v/>
      </c>
      <c r="Q332" s="12">
        <f>IF(H332&lt;&gt;1,0,IF((IF(Classifiers!$B$12="",0,IF(ISNUMBER(SEARCH(Classifiers!$B$12,E332)),1,0))+IF(Classifiers!$C$12="",0,IF(ISNUMBER(SEARCH(Classifiers!$C$12,E332)),1,0))+IF(Classifiers!$D$12="",0,IF(ISNUMBER(SEARCH(Classifiers!$D$12,E332)),1,0))+IF(Classifiers!$E$12="",0,IF(ISNUMBER(SEARCH(Classifiers!$E$12,E332)),1,0))+IF(Classifiers!$F$12="",0,IF(ISNUMBER(SEARCH(Classifiers!$F$12,E332)),1,0))+IF(Classifiers!$G$12="",0,IF(ISNUMBER(SEARCH(Classifiers!$G$12,E332)),1,0)))&gt;0,1,0))</f>
        <v/>
      </c>
      <c r="R332" s="12">
        <f>IF(H332&lt;&gt;1,0,IF((IF(Classifiers!$B$13="",0,IF(ISNUMBER(SEARCH(Classifiers!$B$13,E332)),1,0))+IF(Classifiers!$C$13="",0,IF(ISNUMBER(SEARCH(Classifiers!$C$13,E332)),1,0))+IF(Classifiers!$D$13="",0,IF(ISNUMBER(SEARCH(Classifiers!$D$13,E332)),1,0))+IF(Classifiers!$E$13="",0,IF(ISNUMBER(SEARCH(Classifiers!$E$13,E332)),1,0))+IF(Classifiers!$F$13="",0,IF(ISNUMBER(SEARCH(Classifiers!$F$13,E332)),1,0))+IF(Classifiers!$G$13="",0,IF(ISNUMBER(SEARCH(Classifiers!$G$13,E332)),1,0)))&gt;0,1,0))</f>
        <v/>
      </c>
      <c r="S332" s="12">
        <f>IF(H332&lt;&gt;1,0,IF((IF(Classifiers!$B$14="",0,IF(ISNUMBER(SEARCH(Classifiers!$B$14,E332)),1,0))+IF(Classifiers!$C$14="",0,IF(ISNUMBER(SEARCH(Classifiers!$C$14,E332)),1,0))+IF(Classifiers!$D$14="",0,IF(ISNUMBER(SEARCH(Classifiers!$D$14,E332)),1,0))+IF(Classifiers!$E$14="",0,IF(ISNUMBER(SEARCH(Classifiers!$E$14,E332)),1,0))+IF(Classifiers!$F$14="",0,IF(ISNUMBER(SEARCH(Classifiers!$F$14,E332)),1,0))+IF(Classifiers!$G$14="",0,IF(ISNUMBER(SEARCH(Classifiers!$G$14,E332)),1,0)))&gt;0,1,0))</f>
        <v/>
      </c>
      <c r="T332" s="12">
        <f>IF(H332&lt;&gt;1,0,IF((IF(Classifiers!$B$15="",0,IF(ISNUMBER(SEARCH(Classifiers!$B$15,E332)),1,0))+IF(Classifiers!$C$15="",0,IF(ISNUMBER(SEARCH(Classifiers!$C$15,E332)),1,0))+IF(Classifiers!$D$15="",0,IF(ISNUMBER(SEARCH(Classifiers!$D$15,E332)),1,0))+IF(Classifiers!$E$15="",0,IF(ISNUMBER(SEARCH(Classifiers!$E$15,E332)),1,0))+IF(Classifiers!$F$15="",0,IF(ISNUMBER(SEARCH(Classifiers!$F$15,E332)),1,0))+IF(Classifiers!$G$15="",0,IF(ISNUMBER(SEARCH(Classifiers!$G$15,E332)),1,0)))&gt;0,1,0))</f>
        <v/>
      </c>
      <c r="U332" s="12">
        <f>IF(H332&lt;&gt;1,0,IF((IF(Classifiers!$B$16="",0,IF(ISNUMBER(SEARCH(Classifiers!$B$16,E332)),1,0))+IF(Classifiers!$C$16="",0,IF(ISNUMBER(SEARCH(Classifiers!$C$16,E332)),1,0))+IF(Classifiers!$D$16="",0,IF(ISNUMBER(SEARCH(Classifiers!$D$16,E332)),1,0))+IF(Classifiers!$E$16="",0,IF(ISNUMBER(SEARCH(Classifiers!$E$16,E332)),1,0))+IF(Classifiers!$F$16="",0,IF(ISNUMBER(SEARCH(Classifiers!$F$16,E332)),1,0))+IF(Classifiers!$G$16="",0,IF(ISNUMBER(SEARCH(Classifiers!$G$16,E332)),1,0)))&gt;0,1,0))</f>
        <v/>
      </c>
      <c r="V332" s="12">
        <f>IF(H332&lt;&gt;1,0,IF((IF(Classifiers!$B$17="",0,IF(ISNUMBER(SEARCH(Classifiers!$B$17,E332)),1,0))+IF(Classifiers!$C$17="",0,IF(ISNUMBER(SEARCH(Classifiers!$C$17,E332)),1,0))+IF(Classifiers!$D$17="",0,IF(ISNUMBER(SEARCH(Classifiers!$D$17,E332)),1,0))+IF(Classifiers!$E$17="",0,IF(ISNUMBER(SEARCH(Classifiers!$E$17,E332)),1,0))+IF(Classifiers!$F$17="",0,IF(ISNUMBER(SEARCH(Classifiers!$F$17,E332)),1,0))+IF(Classifiers!$G$17="",0,IF(ISNUMBER(SEARCH(Classifiers!$G$17,E332)),1,0)))&gt;0,1,0))</f>
        <v/>
      </c>
      <c r="W332" s="12">
        <f>IF(H332&lt;&gt;1,0,IF((IF(Classifiers!$B$18="",0,IF(ISNUMBER(SEARCH(Classifiers!$B$18,E332)),1,0))+IF(Classifiers!$C$18="",0,IF(ISNUMBER(SEARCH(Classifiers!$C$18,E332)),1,0))+IF(Classifiers!$D$18="",0,IF(ISNUMBER(SEARCH(Classifiers!$D$18,E332)),1,0))+IF(Classifiers!$E$18="",0,IF(ISNUMBER(SEARCH(Classifiers!$E$18,E332)),1,0))+IF(Classifiers!$F$18="",0,IF(ISNUMBER(SEARCH(Classifiers!$F$18,E332)),1,0))+IF(Classifiers!$G$18="",0,IF(ISNUMBER(SEARCH(Classifiers!$G$18,E332)),1,0)))&gt;0,1,0))</f>
        <v/>
      </c>
    </row>
    <row r="333">
      <c r="A333" s="8" t="n"/>
      <c r="B333" s="11" t="n"/>
      <c r="C333" s="6">
        <f>IF(A333="","",TRIM(RIGHT(SUBSTITUTE(A333,"/",REPT(" ",250)),250)))</f>
        <v/>
      </c>
      <c r="D333" s="6">
        <f>IF(C333="","",IF(ISNUMBER(SEARCH(".",C333)),LOWER("."&amp;TRIM(RIGHT(SUBSTITUTE(C333,".",REPT(" ",250)),250))),""))</f>
        <v/>
      </c>
      <c r="E333" s="6">
        <f>IF(C333="","",TRIM(SUBSTITUTE(SUBSTITUTE(SUBSTITUTE(SUBSTITUTE(SUBSTITUTE(SUBSTITUTE(SUBSTITUTE(SUBSTITUTE(SUBSTITUTE(SUBSTITUTE(SUBSTITUTE(SUBSTITUTE(SUBSTITUTE(SUBSTITUTE(SUBSTITUTE(SUBSTITUTE(SUBSTITUTE(SUBSTITUTE(SUBSTITUTE(SUBSTITUTE(LOWER(LEFT(C333,LEN(C333)-LEN(D333))),"_"," "),"-"," "),"."," "),","," "),"("," "),")"," "),"["," "),"]"," "),"&amp;"," "),"+"," "),"@"," "),"#"," "),"!"," "),"'"," "),"/"," "),":"," "),";"," "),"="," "),"~"," "),"%"," ")))</f>
        <v/>
      </c>
      <c r="F333" s="6">
        <f>IF(C333="","",IF(COUNTIF(Classifiers!$A$23:$A$40,D333)&gt;0,1,0))</f>
        <v/>
      </c>
      <c r="G333" s="6">
        <f>IF(C333="","",IF(COUNTIF(Classifiers!$C$23:$C$30,D333)&gt;0,IF((IF(ISNUMBER(SEARCH(Classifiers!$E$23,E333)),1,0)+IF(ISNUMBER(SEARCH(Classifiers!$E$24,E333)),1,0)+IF(ISNUMBER(SEARCH(Classifiers!$E$25,E333)),1,0)+IF(ISNUMBER(SEARCH(Classifiers!$E$26,E333)),1,0)+IF(ISNUMBER(SEARCH(Classifiers!$E$27,E333)),1,0)+IF(ISNUMBER(SEARCH(Classifiers!$E$28,E333)),1,0)+IF(ISNUMBER(SEARCH(Classifiers!$E$29,E333)),1,0)+IF(ISNUMBER(SEARCH(Classifiers!$E$30,E333)),1,0))&gt;0,1,0),0))</f>
        <v/>
      </c>
      <c r="H333" s="6">
        <f>IF(C333="","",IF(OR(LEFT(C333,1)=".",AND(F333=0,G333=0)),0,1))</f>
        <v/>
      </c>
      <c r="I333" s="6">
        <f>IF(H333&lt;&gt;1,"",IF(SUM(J333:W333)=0,"unclassified",INDEX(Classifiers!$A$5:$A$18,MATCH(1,J333:W333,0),1)))</f>
        <v/>
      </c>
      <c r="J333" s="12">
        <f>IF(H333&lt;&gt;1,0,IF((IF(Classifiers!$B$5="",0,IF(ISNUMBER(SEARCH(Classifiers!$B$5,E333)),1,0))+IF(Classifiers!$C$5="",0,IF(ISNUMBER(SEARCH(Classifiers!$C$5,E333)),1,0))+IF(Classifiers!$D$5="",0,IF(ISNUMBER(SEARCH(Classifiers!$D$5,E333)),1,0))+IF(Classifiers!$E$5="",0,IF(ISNUMBER(SEARCH(Classifiers!$E$5,E333)),1,0))+IF(Classifiers!$F$5="",0,IF(ISNUMBER(SEARCH(Classifiers!$F$5,E333)),1,0))+IF(Classifiers!$G$5="",0,IF(ISNUMBER(SEARCH(Classifiers!$G$5,E333)),1,0)))&gt;0,1,0))</f>
        <v/>
      </c>
      <c r="K333" s="12">
        <f>IF(H333&lt;&gt;1,0,IF((IF(Classifiers!$B$6="",0,IF(ISNUMBER(SEARCH(Classifiers!$B$6,E333)),1,0))+IF(Classifiers!$C$6="",0,IF(ISNUMBER(SEARCH(Classifiers!$C$6,E333)),1,0))+IF(Classifiers!$D$6="",0,IF(ISNUMBER(SEARCH(Classifiers!$D$6,E333)),1,0))+IF(Classifiers!$E$6="",0,IF(ISNUMBER(SEARCH(Classifiers!$E$6,E333)),1,0))+IF(Classifiers!$F$6="",0,IF(ISNUMBER(SEARCH(Classifiers!$F$6,E333)),1,0))+IF(Classifiers!$G$6="",0,IF(ISNUMBER(SEARCH(Classifiers!$G$6,E333)),1,0)))&gt;0,1,0))</f>
        <v/>
      </c>
      <c r="L333" s="12">
        <f>IF(H333&lt;&gt;1,0,IF((IF(Classifiers!$B$7="",0,IF(ISNUMBER(SEARCH(Classifiers!$B$7,E333)),1,0))+IF(Classifiers!$C$7="",0,IF(ISNUMBER(SEARCH(Classifiers!$C$7,E333)),1,0))+IF(Classifiers!$D$7="",0,IF(ISNUMBER(SEARCH(Classifiers!$D$7,E333)),1,0))+IF(Classifiers!$E$7="",0,IF(ISNUMBER(SEARCH(Classifiers!$E$7,E333)),1,0))+IF(Classifiers!$F$7="",0,IF(ISNUMBER(SEARCH(Classifiers!$F$7,E333)),1,0))+IF(Classifiers!$G$7="",0,IF(ISNUMBER(SEARCH(Classifiers!$G$7,E333)),1,0)))&gt;0,1,0))</f>
        <v/>
      </c>
      <c r="M333" s="12">
        <f>IF(H333&lt;&gt;1,0,IF((IF(Classifiers!$B$8="",0,IF(ISNUMBER(SEARCH(Classifiers!$B$8,E333)),1,0))+IF(Classifiers!$C$8="",0,IF(ISNUMBER(SEARCH(Classifiers!$C$8,E333)),1,0))+IF(Classifiers!$D$8="",0,IF(ISNUMBER(SEARCH(Classifiers!$D$8,E333)),1,0))+IF(Classifiers!$E$8="",0,IF(ISNUMBER(SEARCH(Classifiers!$E$8,E333)),1,0))+IF(Classifiers!$F$8="",0,IF(ISNUMBER(SEARCH(Classifiers!$F$8,E333)),1,0))+IF(Classifiers!$G$8="",0,IF(ISNUMBER(SEARCH(Classifiers!$G$8,E333)),1,0)))&gt;0,1,0))</f>
        <v/>
      </c>
      <c r="N333" s="12">
        <f>IF(H333&lt;&gt;1,0,IF((IF(Classifiers!$B$9="",0,IF(ISNUMBER(SEARCH(Classifiers!$B$9,E333)),1,0))+IF(Classifiers!$C$9="",0,IF(ISNUMBER(SEARCH(Classifiers!$C$9,E333)),1,0))+IF(Classifiers!$D$9="",0,IF(ISNUMBER(SEARCH(Classifiers!$D$9,E333)),1,0))+IF(Classifiers!$E$9="",0,IF(ISNUMBER(SEARCH(Classifiers!$E$9,E333)),1,0))+IF(Classifiers!$F$9="",0,IF(ISNUMBER(SEARCH(Classifiers!$F$9,E333)),1,0))+IF(Classifiers!$G$9="",0,IF(ISNUMBER(SEARCH(Classifiers!$G$9,E333)),1,0)))&gt;0,1,0))</f>
        <v/>
      </c>
      <c r="O333" s="12">
        <f>IF(H333&lt;&gt;1,0,IF((IF(Classifiers!$B$10="",0,IF(ISNUMBER(SEARCH(Classifiers!$B$10,E333)),1,0))+IF(Classifiers!$C$10="",0,IF(ISNUMBER(SEARCH(Classifiers!$C$10,E333)),1,0))+IF(Classifiers!$D$10="",0,IF(ISNUMBER(SEARCH(Classifiers!$D$10,E333)),1,0))+IF(Classifiers!$E$10="",0,IF(ISNUMBER(SEARCH(Classifiers!$E$10,E333)),1,0))+IF(Classifiers!$F$10="",0,IF(ISNUMBER(SEARCH(Classifiers!$F$10,E333)),1,0))+IF(Classifiers!$G$10="",0,IF(ISNUMBER(SEARCH(Classifiers!$G$10,E333)),1,0)))&gt;0,1,0))</f>
        <v/>
      </c>
      <c r="P333" s="12">
        <f>IF(H333&lt;&gt;1,0,IF((IF(Classifiers!$B$11="",0,IF(ISNUMBER(SEARCH(Classifiers!$B$11,E333)),1,0))+IF(Classifiers!$C$11="",0,IF(ISNUMBER(SEARCH(Classifiers!$C$11,E333)),1,0))+IF(Classifiers!$D$11="",0,IF(ISNUMBER(SEARCH(Classifiers!$D$11,E333)),1,0))+IF(Classifiers!$E$11="",0,IF(ISNUMBER(SEARCH(Classifiers!$E$11,E333)),1,0))+IF(Classifiers!$F$11="",0,IF(ISNUMBER(SEARCH(Classifiers!$F$11,E333)),1,0))+IF(Classifiers!$G$11="",0,IF(ISNUMBER(SEARCH(Classifiers!$G$11,E333)),1,0)))&gt;0,1,0))</f>
        <v/>
      </c>
      <c r="Q333" s="12">
        <f>IF(H333&lt;&gt;1,0,IF((IF(Classifiers!$B$12="",0,IF(ISNUMBER(SEARCH(Classifiers!$B$12,E333)),1,0))+IF(Classifiers!$C$12="",0,IF(ISNUMBER(SEARCH(Classifiers!$C$12,E333)),1,0))+IF(Classifiers!$D$12="",0,IF(ISNUMBER(SEARCH(Classifiers!$D$12,E333)),1,0))+IF(Classifiers!$E$12="",0,IF(ISNUMBER(SEARCH(Classifiers!$E$12,E333)),1,0))+IF(Classifiers!$F$12="",0,IF(ISNUMBER(SEARCH(Classifiers!$F$12,E333)),1,0))+IF(Classifiers!$G$12="",0,IF(ISNUMBER(SEARCH(Classifiers!$G$12,E333)),1,0)))&gt;0,1,0))</f>
        <v/>
      </c>
      <c r="R333" s="12">
        <f>IF(H333&lt;&gt;1,0,IF((IF(Classifiers!$B$13="",0,IF(ISNUMBER(SEARCH(Classifiers!$B$13,E333)),1,0))+IF(Classifiers!$C$13="",0,IF(ISNUMBER(SEARCH(Classifiers!$C$13,E333)),1,0))+IF(Classifiers!$D$13="",0,IF(ISNUMBER(SEARCH(Classifiers!$D$13,E333)),1,0))+IF(Classifiers!$E$13="",0,IF(ISNUMBER(SEARCH(Classifiers!$E$13,E333)),1,0))+IF(Classifiers!$F$13="",0,IF(ISNUMBER(SEARCH(Classifiers!$F$13,E333)),1,0))+IF(Classifiers!$G$13="",0,IF(ISNUMBER(SEARCH(Classifiers!$G$13,E333)),1,0)))&gt;0,1,0))</f>
        <v/>
      </c>
      <c r="S333" s="12">
        <f>IF(H333&lt;&gt;1,0,IF((IF(Classifiers!$B$14="",0,IF(ISNUMBER(SEARCH(Classifiers!$B$14,E333)),1,0))+IF(Classifiers!$C$14="",0,IF(ISNUMBER(SEARCH(Classifiers!$C$14,E333)),1,0))+IF(Classifiers!$D$14="",0,IF(ISNUMBER(SEARCH(Classifiers!$D$14,E333)),1,0))+IF(Classifiers!$E$14="",0,IF(ISNUMBER(SEARCH(Classifiers!$E$14,E333)),1,0))+IF(Classifiers!$F$14="",0,IF(ISNUMBER(SEARCH(Classifiers!$F$14,E333)),1,0))+IF(Classifiers!$G$14="",0,IF(ISNUMBER(SEARCH(Classifiers!$G$14,E333)),1,0)))&gt;0,1,0))</f>
        <v/>
      </c>
      <c r="T333" s="12">
        <f>IF(H333&lt;&gt;1,0,IF((IF(Classifiers!$B$15="",0,IF(ISNUMBER(SEARCH(Classifiers!$B$15,E333)),1,0))+IF(Classifiers!$C$15="",0,IF(ISNUMBER(SEARCH(Classifiers!$C$15,E333)),1,0))+IF(Classifiers!$D$15="",0,IF(ISNUMBER(SEARCH(Classifiers!$D$15,E333)),1,0))+IF(Classifiers!$E$15="",0,IF(ISNUMBER(SEARCH(Classifiers!$E$15,E333)),1,0))+IF(Classifiers!$F$15="",0,IF(ISNUMBER(SEARCH(Classifiers!$F$15,E333)),1,0))+IF(Classifiers!$G$15="",0,IF(ISNUMBER(SEARCH(Classifiers!$G$15,E333)),1,0)))&gt;0,1,0))</f>
        <v/>
      </c>
      <c r="U333" s="12">
        <f>IF(H333&lt;&gt;1,0,IF((IF(Classifiers!$B$16="",0,IF(ISNUMBER(SEARCH(Classifiers!$B$16,E333)),1,0))+IF(Classifiers!$C$16="",0,IF(ISNUMBER(SEARCH(Classifiers!$C$16,E333)),1,0))+IF(Classifiers!$D$16="",0,IF(ISNUMBER(SEARCH(Classifiers!$D$16,E333)),1,0))+IF(Classifiers!$E$16="",0,IF(ISNUMBER(SEARCH(Classifiers!$E$16,E333)),1,0))+IF(Classifiers!$F$16="",0,IF(ISNUMBER(SEARCH(Classifiers!$F$16,E333)),1,0))+IF(Classifiers!$G$16="",0,IF(ISNUMBER(SEARCH(Classifiers!$G$16,E333)),1,0)))&gt;0,1,0))</f>
        <v/>
      </c>
      <c r="V333" s="12">
        <f>IF(H333&lt;&gt;1,0,IF((IF(Classifiers!$B$17="",0,IF(ISNUMBER(SEARCH(Classifiers!$B$17,E333)),1,0))+IF(Classifiers!$C$17="",0,IF(ISNUMBER(SEARCH(Classifiers!$C$17,E333)),1,0))+IF(Classifiers!$D$17="",0,IF(ISNUMBER(SEARCH(Classifiers!$D$17,E333)),1,0))+IF(Classifiers!$E$17="",0,IF(ISNUMBER(SEARCH(Classifiers!$E$17,E333)),1,0))+IF(Classifiers!$F$17="",0,IF(ISNUMBER(SEARCH(Classifiers!$F$17,E333)),1,0))+IF(Classifiers!$G$17="",0,IF(ISNUMBER(SEARCH(Classifiers!$G$17,E333)),1,0)))&gt;0,1,0))</f>
        <v/>
      </c>
      <c r="W333" s="12">
        <f>IF(H333&lt;&gt;1,0,IF((IF(Classifiers!$B$18="",0,IF(ISNUMBER(SEARCH(Classifiers!$B$18,E333)),1,0))+IF(Classifiers!$C$18="",0,IF(ISNUMBER(SEARCH(Classifiers!$C$18,E333)),1,0))+IF(Classifiers!$D$18="",0,IF(ISNUMBER(SEARCH(Classifiers!$D$18,E333)),1,0))+IF(Classifiers!$E$18="",0,IF(ISNUMBER(SEARCH(Classifiers!$E$18,E333)),1,0))+IF(Classifiers!$F$18="",0,IF(ISNUMBER(SEARCH(Classifiers!$F$18,E333)),1,0))+IF(Classifiers!$G$18="",0,IF(ISNUMBER(SEARCH(Classifiers!$G$18,E333)),1,0)))&gt;0,1,0))</f>
        <v/>
      </c>
    </row>
    <row r="334">
      <c r="A334" s="8" t="n"/>
      <c r="B334" s="11" t="n"/>
      <c r="C334" s="6">
        <f>IF(A334="","",TRIM(RIGHT(SUBSTITUTE(A334,"/",REPT(" ",250)),250)))</f>
        <v/>
      </c>
      <c r="D334" s="6">
        <f>IF(C334="","",IF(ISNUMBER(SEARCH(".",C334)),LOWER("."&amp;TRIM(RIGHT(SUBSTITUTE(C334,".",REPT(" ",250)),250))),""))</f>
        <v/>
      </c>
      <c r="E334" s="6">
        <f>IF(C334="","",TRIM(SUBSTITUTE(SUBSTITUTE(SUBSTITUTE(SUBSTITUTE(SUBSTITUTE(SUBSTITUTE(SUBSTITUTE(SUBSTITUTE(SUBSTITUTE(SUBSTITUTE(SUBSTITUTE(SUBSTITUTE(SUBSTITUTE(SUBSTITUTE(SUBSTITUTE(SUBSTITUTE(SUBSTITUTE(SUBSTITUTE(SUBSTITUTE(SUBSTITUTE(LOWER(LEFT(C334,LEN(C334)-LEN(D334))),"_"," "),"-"," "),"."," "),","," "),"("," "),")"," "),"["," "),"]"," "),"&amp;"," "),"+"," "),"@"," "),"#"," "),"!"," "),"'"," "),"/"," "),":"," "),";"," "),"="," "),"~"," "),"%"," ")))</f>
        <v/>
      </c>
      <c r="F334" s="6">
        <f>IF(C334="","",IF(COUNTIF(Classifiers!$A$23:$A$40,D334)&gt;0,1,0))</f>
        <v/>
      </c>
      <c r="G334" s="6">
        <f>IF(C334="","",IF(COUNTIF(Classifiers!$C$23:$C$30,D334)&gt;0,IF((IF(ISNUMBER(SEARCH(Classifiers!$E$23,E334)),1,0)+IF(ISNUMBER(SEARCH(Classifiers!$E$24,E334)),1,0)+IF(ISNUMBER(SEARCH(Classifiers!$E$25,E334)),1,0)+IF(ISNUMBER(SEARCH(Classifiers!$E$26,E334)),1,0)+IF(ISNUMBER(SEARCH(Classifiers!$E$27,E334)),1,0)+IF(ISNUMBER(SEARCH(Classifiers!$E$28,E334)),1,0)+IF(ISNUMBER(SEARCH(Classifiers!$E$29,E334)),1,0)+IF(ISNUMBER(SEARCH(Classifiers!$E$30,E334)),1,0))&gt;0,1,0),0))</f>
        <v/>
      </c>
      <c r="H334" s="6">
        <f>IF(C334="","",IF(OR(LEFT(C334,1)=".",AND(F334=0,G334=0)),0,1))</f>
        <v/>
      </c>
      <c r="I334" s="6">
        <f>IF(H334&lt;&gt;1,"",IF(SUM(J334:W334)=0,"unclassified",INDEX(Classifiers!$A$5:$A$18,MATCH(1,J334:W334,0),1)))</f>
        <v/>
      </c>
      <c r="J334" s="12">
        <f>IF(H334&lt;&gt;1,0,IF((IF(Classifiers!$B$5="",0,IF(ISNUMBER(SEARCH(Classifiers!$B$5,E334)),1,0))+IF(Classifiers!$C$5="",0,IF(ISNUMBER(SEARCH(Classifiers!$C$5,E334)),1,0))+IF(Classifiers!$D$5="",0,IF(ISNUMBER(SEARCH(Classifiers!$D$5,E334)),1,0))+IF(Classifiers!$E$5="",0,IF(ISNUMBER(SEARCH(Classifiers!$E$5,E334)),1,0))+IF(Classifiers!$F$5="",0,IF(ISNUMBER(SEARCH(Classifiers!$F$5,E334)),1,0))+IF(Classifiers!$G$5="",0,IF(ISNUMBER(SEARCH(Classifiers!$G$5,E334)),1,0)))&gt;0,1,0))</f>
        <v/>
      </c>
      <c r="K334" s="12">
        <f>IF(H334&lt;&gt;1,0,IF((IF(Classifiers!$B$6="",0,IF(ISNUMBER(SEARCH(Classifiers!$B$6,E334)),1,0))+IF(Classifiers!$C$6="",0,IF(ISNUMBER(SEARCH(Classifiers!$C$6,E334)),1,0))+IF(Classifiers!$D$6="",0,IF(ISNUMBER(SEARCH(Classifiers!$D$6,E334)),1,0))+IF(Classifiers!$E$6="",0,IF(ISNUMBER(SEARCH(Classifiers!$E$6,E334)),1,0))+IF(Classifiers!$F$6="",0,IF(ISNUMBER(SEARCH(Classifiers!$F$6,E334)),1,0))+IF(Classifiers!$G$6="",0,IF(ISNUMBER(SEARCH(Classifiers!$G$6,E334)),1,0)))&gt;0,1,0))</f>
        <v/>
      </c>
      <c r="L334" s="12">
        <f>IF(H334&lt;&gt;1,0,IF((IF(Classifiers!$B$7="",0,IF(ISNUMBER(SEARCH(Classifiers!$B$7,E334)),1,0))+IF(Classifiers!$C$7="",0,IF(ISNUMBER(SEARCH(Classifiers!$C$7,E334)),1,0))+IF(Classifiers!$D$7="",0,IF(ISNUMBER(SEARCH(Classifiers!$D$7,E334)),1,0))+IF(Classifiers!$E$7="",0,IF(ISNUMBER(SEARCH(Classifiers!$E$7,E334)),1,0))+IF(Classifiers!$F$7="",0,IF(ISNUMBER(SEARCH(Classifiers!$F$7,E334)),1,0))+IF(Classifiers!$G$7="",0,IF(ISNUMBER(SEARCH(Classifiers!$G$7,E334)),1,0)))&gt;0,1,0))</f>
        <v/>
      </c>
      <c r="M334" s="12">
        <f>IF(H334&lt;&gt;1,0,IF((IF(Classifiers!$B$8="",0,IF(ISNUMBER(SEARCH(Classifiers!$B$8,E334)),1,0))+IF(Classifiers!$C$8="",0,IF(ISNUMBER(SEARCH(Classifiers!$C$8,E334)),1,0))+IF(Classifiers!$D$8="",0,IF(ISNUMBER(SEARCH(Classifiers!$D$8,E334)),1,0))+IF(Classifiers!$E$8="",0,IF(ISNUMBER(SEARCH(Classifiers!$E$8,E334)),1,0))+IF(Classifiers!$F$8="",0,IF(ISNUMBER(SEARCH(Classifiers!$F$8,E334)),1,0))+IF(Classifiers!$G$8="",0,IF(ISNUMBER(SEARCH(Classifiers!$G$8,E334)),1,0)))&gt;0,1,0))</f>
        <v/>
      </c>
      <c r="N334" s="12">
        <f>IF(H334&lt;&gt;1,0,IF((IF(Classifiers!$B$9="",0,IF(ISNUMBER(SEARCH(Classifiers!$B$9,E334)),1,0))+IF(Classifiers!$C$9="",0,IF(ISNUMBER(SEARCH(Classifiers!$C$9,E334)),1,0))+IF(Classifiers!$D$9="",0,IF(ISNUMBER(SEARCH(Classifiers!$D$9,E334)),1,0))+IF(Classifiers!$E$9="",0,IF(ISNUMBER(SEARCH(Classifiers!$E$9,E334)),1,0))+IF(Classifiers!$F$9="",0,IF(ISNUMBER(SEARCH(Classifiers!$F$9,E334)),1,0))+IF(Classifiers!$G$9="",0,IF(ISNUMBER(SEARCH(Classifiers!$G$9,E334)),1,0)))&gt;0,1,0))</f>
        <v/>
      </c>
      <c r="O334" s="12">
        <f>IF(H334&lt;&gt;1,0,IF((IF(Classifiers!$B$10="",0,IF(ISNUMBER(SEARCH(Classifiers!$B$10,E334)),1,0))+IF(Classifiers!$C$10="",0,IF(ISNUMBER(SEARCH(Classifiers!$C$10,E334)),1,0))+IF(Classifiers!$D$10="",0,IF(ISNUMBER(SEARCH(Classifiers!$D$10,E334)),1,0))+IF(Classifiers!$E$10="",0,IF(ISNUMBER(SEARCH(Classifiers!$E$10,E334)),1,0))+IF(Classifiers!$F$10="",0,IF(ISNUMBER(SEARCH(Classifiers!$F$10,E334)),1,0))+IF(Classifiers!$G$10="",0,IF(ISNUMBER(SEARCH(Classifiers!$G$10,E334)),1,0)))&gt;0,1,0))</f>
        <v/>
      </c>
      <c r="P334" s="12">
        <f>IF(H334&lt;&gt;1,0,IF((IF(Classifiers!$B$11="",0,IF(ISNUMBER(SEARCH(Classifiers!$B$11,E334)),1,0))+IF(Classifiers!$C$11="",0,IF(ISNUMBER(SEARCH(Classifiers!$C$11,E334)),1,0))+IF(Classifiers!$D$11="",0,IF(ISNUMBER(SEARCH(Classifiers!$D$11,E334)),1,0))+IF(Classifiers!$E$11="",0,IF(ISNUMBER(SEARCH(Classifiers!$E$11,E334)),1,0))+IF(Classifiers!$F$11="",0,IF(ISNUMBER(SEARCH(Classifiers!$F$11,E334)),1,0))+IF(Classifiers!$G$11="",0,IF(ISNUMBER(SEARCH(Classifiers!$G$11,E334)),1,0)))&gt;0,1,0))</f>
        <v/>
      </c>
      <c r="Q334" s="12">
        <f>IF(H334&lt;&gt;1,0,IF((IF(Classifiers!$B$12="",0,IF(ISNUMBER(SEARCH(Classifiers!$B$12,E334)),1,0))+IF(Classifiers!$C$12="",0,IF(ISNUMBER(SEARCH(Classifiers!$C$12,E334)),1,0))+IF(Classifiers!$D$12="",0,IF(ISNUMBER(SEARCH(Classifiers!$D$12,E334)),1,0))+IF(Classifiers!$E$12="",0,IF(ISNUMBER(SEARCH(Classifiers!$E$12,E334)),1,0))+IF(Classifiers!$F$12="",0,IF(ISNUMBER(SEARCH(Classifiers!$F$12,E334)),1,0))+IF(Classifiers!$G$12="",0,IF(ISNUMBER(SEARCH(Classifiers!$G$12,E334)),1,0)))&gt;0,1,0))</f>
        <v/>
      </c>
      <c r="R334" s="12">
        <f>IF(H334&lt;&gt;1,0,IF((IF(Classifiers!$B$13="",0,IF(ISNUMBER(SEARCH(Classifiers!$B$13,E334)),1,0))+IF(Classifiers!$C$13="",0,IF(ISNUMBER(SEARCH(Classifiers!$C$13,E334)),1,0))+IF(Classifiers!$D$13="",0,IF(ISNUMBER(SEARCH(Classifiers!$D$13,E334)),1,0))+IF(Classifiers!$E$13="",0,IF(ISNUMBER(SEARCH(Classifiers!$E$13,E334)),1,0))+IF(Classifiers!$F$13="",0,IF(ISNUMBER(SEARCH(Classifiers!$F$13,E334)),1,0))+IF(Classifiers!$G$13="",0,IF(ISNUMBER(SEARCH(Classifiers!$G$13,E334)),1,0)))&gt;0,1,0))</f>
        <v/>
      </c>
      <c r="S334" s="12">
        <f>IF(H334&lt;&gt;1,0,IF((IF(Classifiers!$B$14="",0,IF(ISNUMBER(SEARCH(Classifiers!$B$14,E334)),1,0))+IF(Classifiers!$C$14="",0,IF(ISNUMBER(SEARCH(Classifiers!$C$14,E334)),1,0))+IF(Classifiers!$D$14="",0,IF(ISNUMBER(SEARCH(Classifiers!$D$14,E334)),1,0))+IF(Classifiers!$E$14="",0,IF(ISNUMBER(SEARCH(Classifiers!$E$14,E334)),1,0))+IF(Classifiers!$F$14="",0,IF(ISNUMBER(SEARCH(Classifiers!$F$14,E334)),1,0))+IF(Classifiers!$G$14="",0,IF(ISNUMBER(SEARCH(Classifiers!$G$14,E334)),1,0)))&gt;0,1,0))</f>
        <v/>
      </c>
      <c r="T334" s="12">
        <f>IF(H334&lt;&gt;1,0,IF((IF(Classifiers!$B$15="",0,IF(ISNUMBER(SEARCH(Classifiers!$B$15,E334)),1,0))+IF(Classifiers!$C$15="",0,IF(ISNUMBER(SEARCH(Classifiers!$C$15,E334)),1,0))+IF(Classifiers!$D$15="",0,IF(ISNUMBER(SEARCH(Classifiers!$D$15,E334)),1,0))+IF(Classifiers!$E$15="",0,IF(ISNUMBER(SEARCH(Classifiers!$E$15,E334)),1,0))+IF(Classifiers!$F$15="",0,IF(ISNUMBER(SEARCH(Classifiers!$F$15,E334)),1,0))+IF(Classifiers!$G$15="",0,IF(ISNUMBER(SEARCH(Classifiers!$G$15,E334)),1,0)))&gt;0,1,0))</f>
        <v/>
      </c>
      <c r="U334" s="12">
        <f>IF(H334&lt;&gt;1,0,IF((IF(Classifiers!$B$16="",0,IF(ISNUMBER(SEARCH(Classifiers!$B$16,E334)),1,0))+IF(Classifiers!$C$16="",0,IF(ISNUMBER(SEARCH(Classifiers!$C$16,E334)),1,0))+IF(Classifiers!$D$16="",0,IF(ISNUMBER(SEARCH(Classifiers!$D$16,E334)),1,0))+IF(Classifiers!$E$16="",0,IF(ISNUMBER(SEARCH(Classifiers!$E$16,E334)),1,0))+IF(Classifiers!$F$16="",0,IF(ISNUMBER(SEARCH(Classifiers!$F$16,E334)),1,0))+IF(Classifiers!$G$16="",0,IF(ISNUMBER(SEARCH(Classifiers!$G$16,E334)),1,0)))&gt;0,1,0))</f>
        <v/>
      </c>
      <c r="V334" s="12">
        <f>IF(H334&lt;&gt;1,0,IF((IF(Classifiers!$B$17="",0,IF(ISNUMBER(SEARCH(Classifiers!$B$17,E334)),1,0))+IF(Classifiers!$C$17="",0,IF(ISNUMBER(SEARCH(Classifiers!$C$17,E334)),1,0))+IF(Classifiers!$D$17="",0,IF(ISNUMBER(SEARCH(Classifiers!$D$17,E334)),1,0))+IF(Classifiers!$E$17="",0,IF(ISNUMBER(SEARCH(Classifiers!$E$17,E334)),1,0))+IF(Classifiers!$F$17="",0,IF(ISNUMBER(SEARCH(Classifiers!$F$17,E334)),1,0))+IF(Classifiers!$G$17="",0,IF(ISNUMBER(SEARCH(Classifiers!$G$17,E334)),1,0)))&gt;0,1,0))</f>
        <v/>
      </c>
      <c r="W334" s="12">
        <f>IF(H334&lt;&gt;1,0,IF((IF(Classifiers!$B$18="",0,IF(ISNUMBER(SEARCH(Classifiers!$B$18,E334)),1,0))+IF(Classifiers!$C$18="",0,IF(ISNUMBER(SEARCH(Classifiers!$C$18,E334)),1,0))+IF(Classifiers!$D$18="",0,IF(ISNUMBER(SEARCH(Classifiers!$D$18,E334)),1,0))+IF(Classifiers!$E$18="",0,IF(ISNUMBER(SEARCH(Classifiers!$E$18,E334)),1,0))+IF(Classifiers!$F$18="",0,IF(ISNUMBER(SEARCH(Classifiers!$F$18,E334)),1,0))+IF(Classifiers!$G$18="",0,IF(ISNUMBER(SEARCH(Classifiers!$G$18,E334)),1,0)))&gt;0,1,0))</f>
        <v/>
      </c>
    </row>
    <row r="335">
      <c r="A335" s="8" t="n"/>
      <c r="B335" s="11" t="n"/>
      <c r="C335" s="6">
        <f>IF(A335="","",TRIM(RIGHT(SUBSTITUTE(A335,"/",REPT(" ",250)),250)))</f>
        <v/>
      </c>
      <c r="D335" s="6">
        <f>IF(C335="","",IF(ISNUMBER(SEARCH(".",C335)),LOWER("."&amp;TRIM(RIGHT(SUBSTITUTE(C335,".",REPT(" ",250)),250))),""))</f>
        <v/>
      </c>
      <c r="E335" s="6">
        <f>IF(C335="","",TRIM(SUBSTITUTE(SUBSTITUTE(SUBSTITUTE(SUBSTITUTE(SUBSTITUTE(SUBSTITUTE(SUBSTITUTE(SUBSTITUTE(SUBSTITUTE(SUBSTITUTE(SUBSTITUTE(SUBSTITUTE(SUBSTITUTE(SUBSTITUTE(SUBSTITUTE(SUBSTITUTE(SUBSTITUTE(SUBSTITUTE(SUBSTITUTE(SUBSTITUTE(LOWER(LEFT(C335,LEN(C335)-LEN(D335))),"_"," "),"-"," "),"."," "),","," "),"("," "),")"," "),"["," "),"]"," "),"&amp;"," "),"+"," "),"@"," "),"#"," "),"!"," "),"'"," "),"/"," "),":"," "),";"," "),"="," "),"~"," "),"%"," ")))</f>
        <v/>
      </c>
      <c r="F335" s="6">
        <f>IF(C335="","",IF(COUNTIF(Classifiers!$A$23:$A$40,D335)&gt;0,1,0))</f>
        <v/>
      </c>
      <c r="G335" s="6">
        <f>IF(C335="","",IF(COUNTIF(Classifiers!$C$23:$C$30,D335)&gt;0,IF((IF(ISNUMBER(SEARCH(Classifiers!$E$23,E335)),1,0)+IF(ISNUMBER(SEARCH(Classifiers!$E$24,E335)),1,0)+IF(ISNUMBER(SEARCH(Classifiers!$E$25,E335)),1,0)+IF(ISNUMBER(SEARCH(Classifiers!$E$26,E335)),1,0)+IF(ISNUMBER(SEARCH(Classifiers!$E$27,E335)),1,0)+IF(ISNUMBER(SEARCH(Classifiers!$E$28,E335)),1,0)+IF(ISNUMBER(SEARCH(Classifiers!$E$29,E335)),1,0)+IF(ISNUMBER(SEARCH(Classifiers!$E$30,E335)),1,0))&gt;0,1,0),0))</f>
        <v/>
      </c>
      <c r="H335" s="6">
        <f>IF(C335="","",IF(OR(LEFT(C335,1)=".",AND(F335=0,G335=0)),0,1))</f>
        <v/>
      </c>
      <c r="I335" s="6">
        <f>IF(H335&lt;&gt;1,"",IF(SUM(J335:W335)=0,"unclassified",INDEX(Classifiers!$A$5:$A$18,MATCH(1,J335:W335,0),1)))</f>
        <v/>
      </c>
      <c r="J335" s="12">
        <f>IF(H335&lt;&gt;1,0,IF((IF(Classifiers!$B$5="",0,IF(ISNUMBER(SEARCH(Classifiers!$B$5,E335)),1,0))+IF(Classifiers!$C$5="",0,IF(ISNUMBER(SEARCH(Classifiers!$C$5,E335)),1,0))+IF(Classifiers!$D$5="",0,IF(ISNUMBER(SEARCH(Classifiers!$D$5,E335)),1,0))+IF(Classifiers!$E$5="",0,IF(ISNUMBER(SEARCH(Classifiers!$E$5,E335)),1,0))+IF(Classifiers!$F$5="",0,IF(ISNUMBER(SEARCH(Classifiers!$F$5,E335)),1,0))+IF(Classifiers!$G$5="",0,IF(ISNUMBER(SEARCH(Classifiers!$G$5,E335)),1,0)))&gt;0,1,0))</f>
        <v/>
      </c>
      <c r="K335" s="12">
        <f>IF(H335&lt;&gt;1,0,IF((IF(Classifiers!$B$6="",0,IF(ISNUMBER(SEARCH(Classifiers!$B$6,E335)),1,0))+IF(Classifiers!$C$6="",0,IF(ISNUMBER(SEARCH(Classifiers!$C$6,E335)),1,0))+IF(Classifiers!$D$6="",0,IF(ISNUMBER(SEARCH(Classifiers!$D$6,E335)),1,0))+IF(Classifiers!$E$6="",0,IF(ISNUMBER(SEARCH(Classifiers!$E$6,E335)),1,0))+IF(Classifiers!$F$6="",0,IF(ISNUMBER(SEARCH(Classifiers!$F$6,E335)),1,0))+IF(Classifiers!$G$6="",0,IF(ISNUMBER(SEARCH(Classifiers!$G$6,E335)),1,0)))&gt;0,1,0))</f>
        <v/>
      </c>
      <c r="L335" s="12">
        <f>IF(H335&lt;&gt;1,0,IF((IF(Classifiers!$B$7="",0,IF(ISNUMBER(SEARCH(Classifiers!$B$7,E335)),1,0))+IF(Classifiers!$C$7="",0,IF(ISNUMBER(SEARCH(Classifiers!$C$7,E335)),1,0))+IF(Classifiers!$D$7="",0,IF(ISNUMBER(SEARCH(Classifiers!$D$7,E335)),1,0))+IF(Classifiers!$E$7="",0,IF(ISNUMBER(SEARCH(Classifiers!$E$7,E335)),1,0))+IF(Classifiers!$F$7="",0,IF(ISNUMBER(SEARCH(Classifiers!$F$7,E335)),1,0))+IF(Classifiers!$G$7="",0,IF(ISNUMBER(SEARCH(Classifiers!$G$7,E335)),1,0)))&gt;0,1,0))</f>
        <v/>
      </c>
      <c r="M335" s="12">
        <f>IF(H335&lt;&gt;1,0,IF((IF(Classifiers!$B$8="",0,IF(ISNUMBER(SEARCH(Classifiers!$B$8,E335)),1,0))+IF(Classifiers!$C$8="",0,IF(ISNUMBER(SEARCH(Classifiers!$C$8,E335)),1,0))+IF(Classifiers!$D$8="",0,IF(ISNUMBER(SEARCH(Classifiers!$D$8,E335)),1,0))+IF(Classifiers!$E$8="",0,IF(ISNUMBER(SEARCH(Classifiers!$E$8,E335)),1,0))+IF(Classifiers!$F$8="",0,IF(ISNUMBER(SEARCH(Classifiers!$F$8,E335)),1,0))+IF(Classifiers!$G$8="",0,IF(ISNUMBER(SEARCH(Classifiers!$G$8,E335)),1,0)))&gt;0,1,0))</f>
        <v/>
      </c>
      <c r="N335" s="12">
        <f>IF(H335&lt;&gt;1,0,IF((IF(Classifiers!$B$9="",0,IF(ISNUMBER(SEARCH(Classifiers!$B$9,E335)),1,0))+IF(Classifiers!$C$9="",0,IF(ISNUMBER(SEARCH(Classifiers!$C$9,E335)),1,0))+IF(Classifiers!$D$9="",0,IF(ISNUMBER(SEARCH(Classifiers!$D$9,E335)),1,0))+IF(Classifiers!$E$9="",0,IF(ISNUMBER(SEARCH(Classifiers!$E$9,E335)),1,0))+IF(Classifiers!$F$9="",0,IF(ISNUMBER(SEARCH(Classifiers!$F$9,E335)),1,0))+IF(Classifiers!$G$9="",0,IF(ISNUMBER(SEARCH(Classifiers!$G$9,E335)),1,0)))&gt;0,1,0))</f>
        <v/>
      </c>
      <c r="O335" s="12">
        <f>IF(H335&lt;&gt;1,0,IF((IF(Classifiers!$B$10="",0,IF(ISNUMBER(SEARCH(Classifiers!$B$10,E335)),1,0))+IF(Classifiers!$C$10="",0,IF(ISNUMBER(SEARCH(Classifiers!$C$10,E335)),1,0))+IF(Classifiers!$D$10="",0,IF(ISNUMBER(SEARCH(Classifiers!$D$10,E335)),1,0))+IF(Classifiers!$E$10="",0,IF(ISNUMBER(SEARCH(Classifiers!$E$10,E335)),1,0))+IF(Classifiers!$F$10="",0,IF(ISNUMBER(SEARCH(Classifiers!$F$10,E335)),1,0))+IF(Classifiers!$G$10="",0,IF(ISNUMBER(SEARCH(Classifiers!$G$10,E335)),1,0)))&gt;0,1,0))</f>
        <v/>
      </c>
      <c r="P335" s="12">
        <f>IF(H335&lt;&gt;1,0,IF((IF(Classifiers!$B$11="",0,IF(ISNUMBER(SEARCH(Classifiers!$B$11,E335)),1,0))+IF(Classifiers!$C$11="",0,IF(ISNUMBER(SEARCH(Classifiers!$C$11,E335)),1,0))+IF(Classifiers!$D$11="",0,IF(ISNUMBER(SEARCH(Classifiers!$D$11,E335)),1,0))+IF(Classifiers!$E$11="",0,IF(ISNUMBER(SEARCH(Classifiers!$E$11,E335)),1,0))+IF(Classifiers!$F$11="",0,IF(ISNUMBER(SEARCH(Classifiers!$F$11,E335)),1,0))+IF(Classifiers!$G$11="",0,IF(ISNUMBER(SEARCH(Classifiers!$G$11,E335)),1,0)))&gt;0,1,0))</f>
        <v/>
      </c>
      <c r="Q335" s="12">
        <f>IF(H335&lt;&gt;1,0,IF((IF(Classifiers!$B$12="",0,IF(ISNUMBER(SEARCH(Classifiers!$B$12,E335)),1,0))+IF(Classifiers!$C$12="",0,IF(ISNUMBER(SEARCH(Classifiers!$C$12,E335)),1,0))+IF(Classifiers!$D$12="",0,IF(ISNUMBER(SEARCH(Classifiers!$D$12,E335)),1,0))+IF(Classifiers!$E$12="",0,IF(ISNUMBER(SEARCH(Classifiers!$E$12,E335)),1,0))+IF(Classifiers!$F$12="",0,IF(ISNUMBER(SEARCH(Classifiers!$F$12,E335)),1,0))+IF(Classifiers!$G$12="",0,IF(ISNUMBER(SEARCH(Classifiers!$G$12,E335)),1,0)))&gt;0,1,0))</f>
        <v/>
      </c>
      <c r="R335" s="12">
        <f>IF(H335&lt;&gt;1,0,IF((IF(Classifiers!$B$13="",0,IF(ISNUMBER(SEARCH(Classifiers!$B$13,E335)),1,0))+IF(Classifiers!$C$13="",0,IF(ISNUMBER(SEARCH(Classifiers!$C$13,E335)),1,0))+IF(Classifiers!$D$13="",0,IF(ISNUMBER(SEARCH(Classifiers!$D$13,E335)),1,0))+IF(Classifiers!$E$13="",0,IF(ISNUMBER(SEARCH(Classifiers!$E$13,E335)),1,0))+IF(Classifiers!$F$13="",0,IF(ISNUMBER(SEARCH(Classifiers!$F$13,E335)),1,0))+IF(Classifiers!$G$13="",0,IF(ISNUMBER(SEARCH(Classifiers!$G$13,E335)),1,0)))&gt;0,1,0))</f>
        <v/>
      </c>
      <c r="S335" s="12">
        <f>IF(H335&lt;&gt;1,0,IF((IF(Classifiers!$B$14="",0,IF(ISNUMBER(SEARCH(Classifiers!$B$14,E335)),1,0))+IF(Classifiers!$C$14="",0,IF(ISNUMBER(SEARCH(Classifiers!$C$14,E335)),1,0))+IF(Classifiers!$D$14="",0,IF(ISNUMBER(SEARCH(Classifiers!$D$14,E335)),1,0))+IF(Classifiers!$E$14="",0,IF(ISNUMBER(SEARCH(Classifiers!$E$14,E335)),1,0))+IF(Classifiers!$F$14="",0,IF(ISNUMBER(SEARCH(Classifiers!$F$14,E335)),1,0))+IF(Classifiers!$G$14="",0,IF(ISNUMBER(SEARCH(Classifiers!$G$14,E335)),1,0)))&gt;0,1,0))</f>
        <v/>
      </c>
      <c r="T335" s="12">
        <f>IF(H335&lt;&gt;1,0,IF((IF(Classifiers!$B$15="",0,IF(ISNUMBER(SEARCH(Classifiers!$B$15,E335)),1,0))+IF(Classifiers!$C$15="",0,IF(ISNUMBER(SEARCH(Classifiers!$C$15,E335)),1,0))+IF(Classifiers!$D$15="",0,IF(ISNUMBER(SEARCH(Classifiers!$D$15,E335)),1,0))+IF(Classifiers!$E$15="",0,IF(ISNUMBER(SEARCH(Classifiers!$E$15,E335)),1,0))+IF(Classifiers!$F$15="",0,IF(ISNUMBER(SEARCH(Classifiers!$F$15,E335)),1,0))+IF(Classifiers!$G$15="",0,IF(ISNUMBER(SEARCH(Classifiers!$G$15,E335)),1,0)))&gt;0,1,0))</f>
        <v/>
      </c>
      <c r="U335" s="12">
        <f>IF(H335&lt;&gt;1,0,IF((IF(Classifiers!$B$16="",0,IF(ISNUMBER(SEARCH(Classifiers!$B$16,E335)),1,0))+IF(Classifiers!$C$16="",0,IF(ISNUMBER(SEARCH(Classifiers!$C$16,E335)),1,0))+IF(Classifiers!$D$16="",0,IF(ISNUMBER(SEARCH(Classifiers!$D$16,E335)),1,0))+IF(Classifiers!$E$16="",0,IF(ISNUMBER(SEARCH(Classifiers!$E$16,E335)),1,0))+IF(Classifiers!$F$16="",0,IF(ISNUMBER(SEARCH(Classifiers!$F$16,E335)),1,0))+IF(Classifiers!$G$16="",0,IF(ISNUMBER(SEARCH(Classifiers!$G$16,E335)),1,0)))&gt;0,1,0))</f>
        <v/>
      </c>
      <c r="V335" s="12">
        <f>IF(H335&lt;&gt;1,0,IF((IF(Classifiers!$B$17="",0,IF(ISNUMBER(SEARCH(Classifiers!$B$17,E335)),1,0))+IF(Classifiers!$C$17="",0,IF(ISNUMBER(SEARCH(Classifiers!$C$17,E335)),1,0))+IF(Classifiers!$D$17="",0,IF(ISNUMBER(SEARCH(Classifiers!$D$17,E335)),1,0))+IF(Classifiers!$E$17="",0,IF(ISNUMBER(SEARCH(Classifiers!$E$17,E335)),1,0))+IF(Classifiers!$F$17="",0,IF(ISNUMBER(SEARCH(Classifiers!$F$17,E335)),1,0))+IF(Classifiers!$G$17="",0,IF(ISNUMBER(SEARCH(Classifiers!$G$17,E335)),1,0)))&gt;0,1,0))</f>
        <v/>
      </c>
      <c r="W335" s="12">
        <f>IF(H335&lt;&gt;1,0,IF((IF(Classifiers!$B$18="",0,IF(ISNUMBER(SEARCH(Classifiers!$B$18,E335)),1,0))+IF(Classifiers!$C$18="",0,IF(ISNUMBER(SEARCH(Classifiers!$C$18,E335)),1,0))+IF(Classifiers!$D$18="",0,IF(ISNUMBER(SEARCH(Classifiers!$D$18,E335)),1,0))+IF(Classifiers!$E$18="",0,IF(ISNUMBER(SEARCH(Classifiers!$E$18,E335)),1,0))+IF(Classifiers!$F$18="",0,IF(ISNUMBER(SEARCH(Classifiers!$F$18,E335)),1,0))+IF(Classifiers!$G$18="",0,IF(ISNUMBER(SEARCH(Classifiers!$G$18,E335)),1,0)))&gt;0,1,0))</f>
        <v/>
      </c>
    </row>
    <row r="336">
      <c r="A336" s="8" t="n"/>
      <c r="B336" s="11" t="n"/>
      <c r="C336" s="6">
        <f>IF(A336="","",TRIM(RIGHT(SUBSTITUTE(A336,"/",REPT(" ",250)),250)))</f>
        <v/>
      </c>
      <c r="D336" s="6">
        <f>IF(C336="","",IF(ISNUMBER(SEARCH(".",C336)),LOWER("."&amp;TRIM(RIGHT(SUBSTITUTE(C336,".",REPT(" ",250)),250))),""))</f>
        <v/>
      </c>
      <c r="E336" s="6">
        <f>IF(C336="","",TRIM(SUBSTITUTE(SUBSTITUTE(SUBSTITUTE(SUBSTITUTE(SUBSTITUTE(SUBSTITUTE(SUBSTITUTE(SUBSTITUTE(SUBSTITUTE(SUBSTITUTE(SUBSTITUTE(SUBSTITUTE(SUBSTITUTE(SUBSTITUTE(SUBSTITUTE(SUBSTITUTE(SUBSTITUTE(SUBSTITUTE(SUBSTITUTE(SUBSTITUTE(LOWER(LEFT(C336,LEN(C336)-LEN(D336))),"_"," "),"-"," "),"."," "),","," "),"("," "),")"," "),"["," "),"]"," "),"&amp;"," "),"+"," "),"@"," "),"#"," "),"!"," "),"'"," "),"/"," "),":"," "),";"," "),"="," "),"~"," "),"%"," ")))</f>
        <v/>
      </c>
      <c r="F336" s="6">
        <f>IF(C336="","",IF(COUNTIF(Classifiers!$A$23:$A$40,D336)&gt;0,1,0))</f>
        <v/>
      </c>
      <c r="G336" s="6">
        <f>IF(C336="","",IF(COUNTIF(Classifiers!$C$23:$C$30,D336)&gt;0,IF((IF(ISNUMBER(SEARCH(Classifiers!$E$23,E336)),1,0)+IF(ISNUMBER(SEARCH(Classifiers!$E$24,E336)),1,0)+IF(ISNUMBER(SEARCH(Classifiers!$E$25,E336)),1,0)+IF(ISNUMBER(SEARCH(Classifiers!$E$26,E336)),1,0)+IF(ISNUMBER(SEARCH(Classifiers!$E$27,E336)),1,0)+IF(ISNUMBER(SEARCH(Classifiers!$E$28,E336)),1,0)+IF(ISNUMBER(SEARCH(Classifiers!$E$29,E336)),1,0)+IF(ISNUMBER(SEARCH(Classifiers!$E$30,E336)),1,0))&gt;0,1,0),0))</f>
        <v/>
      </c>
      <c r="H336" s="6">
        <f>IF(C336="","",IF(OR(LEFT(C336,1)=".",AND(F336=0,G336=0)),0,1))</f>
        <v/>
      </c>
      <c r="I336" s="6">
        <f>IF(H336&lt;&gt;1,"",IF(SUM(J336:W336)=0,"unclassified",INDEX(Classifiers!$A$5:$A$18,MATCH(1,J336:W336,0),1)))</f>
        <v/>
      </c>
      <c r="J336" s="12">
        <f>IF(H336&lt;&gt;1,0,IF((IF(Classifiers!$B$5="",0,IF(ISNUMBER(SEARCH(Classifiers!$B$5,E336)),1,0))+IF(Classifiers!$C$5="",0,IF(ISNUMBER(SEARCH(Classifiers!$C$5,E336)),1,0))+IF(Classifiers!$D$5="",0,IF(ISNUMBER(SEARCH(Classifiers!$D$5,E336)),1,0))+IF(Classifiers!$E$5="",0,IF(ISNUMBER(SEARCH(Classifiers!$E$5,E336)),1,0))+IF(Classifiers!$F$5="",0,IF(ISNUMBER(SEARCH(Classifiers!$F$5,E336)),1,0))+IF(Classifiers!$G$5="",0,IF(ISNUMBER(SEARCH(Classifiers!$G$5,E336)),1,0)))&gt;0,1,0))</f>
        <v/>
      </c>
      <c r="K336" s="12">
        <f>IF(H336&lt;&gt;1,0,IF((IF(Classifiers!$B$6="",0,IF(ISNUMBER(SEARCH(Classifiers!$B$6,E336)),1,0))+IF(Classifiers!$C$6="",0,IF(ISNUMBER(SEARCH(Classifiers!$C$6,E336)),1,0))+IF(Classifiers!$D$6="",0,IF(ISNUMBER(SEARCH(Classifiers!$D$6,E336)),1,0))+IF(Classifiers!$E$6="",0,IF(ISNUMBER(SEARCH(Classifiers!$E$6,E336)),1,0))+IF(Classifiers!$F$6="",0,IF(ISNUMBER(SEARCH(Classifiers!$F$6,E336)),1,0))+IF(Classifiers!$G$6="",0,IF(ISNUMBER(SEARCH(Classifiers!$G$6,E336)),1,0)))&gt;0,1,0))</f>
        <v/>
      </c>
      <c r="L336" s="12">
        <f>IF(H336&lt;&gt;1,0,IF((IF(Classifiers!$B$7="",0,IF(ISNUMBER(SEARCH(Classifiers!$B$7,E336)),1,0))+IF(Classifiers!$C$7="",0,IF(ISNUMBER(SEARCH(Classifiers!$C$7,E336)),1,0))+IF(Classifiers!$D$7="",0,IF(ISNUMBER(SEARCH(Classifiers!$D$7,E336)),1,0))+IF(Classifiers!$E$7="",0,IF(ISNUMBER(SEARCH(Classifiers!$E$7,E336)),1,0))+IF(Classifiers!$F$7="",0,IF(ISNUMBER(SEARCH(Classifiers!$F$7,E336)),1,0))+IF(Classifiers!$G$7="",0,IF(ISNUMBER(SEARCH(Classifiers!$G$7,E336)),1,0)))&gt;0,1,0))</f>
        <v/>
      </c>
      <c r="M336" s="12">
        <f>IF(H336&lt;&gt;1,0,IF((IF(Classifiers!$B$8="",0,IF(ISNUMBER(SEARCH(Classifiers!$B$8,E336)),1,0))+IF(Classifiers!$C$8="",0,IF(ISNUMBER(SEARCH(Classifiers!$C$8,E336)),1,0))+IF(Classifiers!$D$8="",0,IF(ISNUMBER(SEARCH(Classifiers!$D$8,E336)),1,0))+IF(Classifiers!$E$8="",0,IF(ISNUMBER(SEARCH(Classifiers!$E$8,E336)),1,0))+IF(Classifiers!$F$8="",0,IF(ISNUMBER(SEARCH(Classifiers!$F$8,E336)),1,0))+IF(Classifiers!$G$8="",0,IF(ISNUMBER(SEARCH(Classifiers!$G$8,E336)),1,0)))&gt;0,1,0))</f>
        <v/>
      </c>
      <c r="N336" s="12">
        <f>IF(H336&lt;&gt;1,0,IF((IF(Classifiers!$B$9="",0,IF(ISNUMBER(SEARCH(Classifiers!$B$9,E336)),1,0))+IF(Classifiers!$C$9="",0,IF(ISNUMBER(SEARCH(Classifiers!$C$9,E336)),1,0))+IF(Classifiers!$D$9="",0,IF(ISNUMBER(SEARCH(Classifiers!$D$9,E336)),1,0))+IF(Classifiers!$E$9="",0,IF(ISNUMBER(SEARCH(Classifiers!$E$9,E336)),1,0))+IF(Classifiers!$F$9="",0,IF(ISNUMBER(SEARCH(Classifiers!$F$9,E336)),1,0))+IF(Classifiers!$G$9="",0,IF(ISNUMBER(SEARCH(Classifiers!$G$9,E336)),1,0)))&gt;0,1,0))</f>
        <v/>
      </c>
      <c r="O336" s="12">
        <f>IF(H336&lt;&gt;1,0,IF((IF(Classifiers!$B$10="",0,IF(ISNUMBER(SEARCH(Classifiers!$B$10,E336)),1,0))+IF(Classifiers!$C$10="",0,IF(ISNUMBER(SEARCH(Classifiers!$C$10,E336)),1,0))+IF(Classifiers!$D$10="",0,IF(ISNUMBER(SEARCH(Classifiers!$D$10,E336)),1,0))+IF(Classifiers!$E$10="",0,IF(ISNUMBER(SEARCH(Classifiers!$E$10,E336)),1,0))+IF(Classifiers!$F$10="",0,IF(ISNUMBER(SEARCH(Classifiers!$F$10,E336)),1,0))+IF(Classifiers!$G$10="",0,IF(ISNUMBER(SEARCH(Classifiers!$G$10,E336)),1,0)))&gt;0,1,0))</f>
        <v/>
      </c>
      <c r="P336" s="12">
        <f>IF(H336&lt;&gt;1,0,IF((IF(Classifiers!$B$11="",0,IF(ISNUMBER(SEARCH(Classifiers!$B$11,E336)),1,0))+IF(Classifiers!$C$11="",0,IF(ISNUMBER(SEARCH(Classifiers!$C$11,E336)),1,0))+IF(Classifiers!$D$11="",0,IF(ISNUMBER(SEARCH(Classifiers!$D$11,E336)),1,0))+IF(Classifiers!$E$11="",0,IF(ISNUMBER(SEARCH(Classifiers!$E$11,E336)),1,0))+IF(Classifiers!$F$11="",0,IF(ISNUMBER(SEARCH(Classifiers!$F$11,E336)),1,0))+IF(Classifiers!$G$11="",0,IF(ISNUMBER(SEARCH(Classifiers!$G$11,E336)),1,0)))&gt;0,1,0))</f>
        <v/>
      </c>
      <c r="Q336" s="12">
        <f>IF(H336&lt;&gt;1,0,IF((IF(Classifiers!$B$12="",0,IF(ISNUMBER(SEARCH(Classifiers!$B$12,E336)),1,0))+IF(Classifiers!$C$12="",0,IF(ISNUMBER(SEARCH(Classifiers!$C$12,E336)),1,0))+IF(Classifiers!$D$12="",0,IF(ISNUMBER(SEARCH(Classifiers!$D$12,E336)),1,0))+IF(Classifiers!$E$12="",0,IF(ISNUMBER(SEARCH(Classifiers!$E$12,E336)),1,0))+IF(Classifiers!$F$12="",0,IF(ISNUMBER(SEARCH(Classifiers!$F$12,E336)),1,0))+IF(Classifiers!$G$12="",0,IF(ISNUMBER(SEARCH(Classifiers!$G$12,E336)),1,0)))&gt;0,1,0))</f>
        <v/>
      </c>
      <c r="R336" s="12">
        <f>IF(H336&lt;&gt;1,0,IF((IF(Classifiers!$B$13="",0,IF(ISNUMBER(SEARCH(Classifiers!$B$13,E336)),1,0))+IF(Classifiers!$C$13="",0,IF(ISNUMBER(SEARCH(Classifiers!$C$13,E336)),1,0))+IF(Classifiers!$D$13="",0,IF(ISNUMBER(SEARCH(Classifiers!$D$13,E336)),1,0))+IF(Classifiers!$E$13="",0,IF(ISNUMBER(SEARCH(Classifiers!$E$13,E336)),1,0))+IF(Classifiers!$F$13="",0,IF(ISNUMBER(SEARCH(Classifiers!$F$13,E336)),1,0))+IF(Classifiers!$G$13="",0,IF(ISNUMBER(SEARCH(Classifiers!$G$13,E336)),1,0)))&gt;0,1,0))</f>
        <v/>
      </c>
      <c r="S336" s="12">
        <f>IF(H336&lt;&gt;1,0,IF((IF(Classifiers!$B$14="",0,IF(ISNUMBER(SEARCH(Classifiers!$B$14,E336)),1,0))+IF(Classifiers!$C$14="",0,IF(ISNUMBER(SEARCH(Classifiers!$C$14,E336)),1,0))+IF(Classifiers!$D$14="",0,IF(ISNUMBER(SEARCH(Classifiers!$D$14,E336)),1,0))+IF(Classifiers!$E$14="",0,IF(ISNUMBER(SEARCH(Classifiers!$E$14,E336)),1,0))+IF(Classifiers!$F$14="",0,IF(ISNUMBER(SEARCH(Classifiers!$F$14,E336)),1,0))+IF(Classifiers!$G$14="",0,IF(ISNUMBER(SEARCH(Classifiers!$G$14,E336)),1,0)))&gt;0,1,0))</f>
        <v/>
      </c>
      <c r="T336" s="12">
        <f>IF(H336&lt;&gt;1,0,IF((IF(Classifiers!$B$15="",0,IF(ISNUMBER(SEARCH(Classifiers!$B$15,E336)),1,0))+IF(Classifiers!$C$15="",0,IF(ISNUMBER(SEARCH(Classifiers!$C$15,E336)),1,0))+IF(Classifiers!$D$15="",0,IF(ISNUMBER(SEARCH(Classifiers!$D$15,E336)),1,0))+IF(Classifiers!$E$15="",0,IF(ISNUMBER(SEARCH(Classifiers!$E$15,E336)),1,0))+IF(Classifiers!$F$15="",0,IF(ISNUMBER(SEARCH(Classifiers!$F$15,E336)),1,0))+IF(Classifiers!$G$15="",0,IF(ISNUMBER(SEARCH(Classifiers!$G$15,E336)),1,0)))&gt;0,1,0))</f>
        <v/>
      </c>
      <c r="U336" s="12">
        <f>IF(H336&lt;&gt;1,0,IF((IF(Classifiers!$B$16="",0,IF(ISNUMBER(SEARCH(Classifiers!$B$16,E336)),1,0))+IF(Classifiers!$C$16="",0,IF(ISNUMBER(SEARCH(Classifiers!$C$16,E336)),1,0))+IF(Classifiers!$D$16="",0,IF(ISNUMBER(SEARCH(Classifiers!$D$16,E336)),1,0))+IF(Classifiers!$E$16="",0,IF(ISNUMBER(SEARCH(Classifiers!$E$16,E336)),1,0))+IF(Classifiers!$F$16="",0,IF(ISNUMBER(SEARCH(Classifiers!$F$16,E336)),1,0))+IF(Classifiers!$G$16="",0,IF(ISNUMBER(SEARCH(Classifiers!$G$16,E336)),1,0)))&gt;0,1,0))</f>
        <v/>
      </c>
      <c r="V336" s="12">
        <f>IF(H336&lt;&gt;1,0,IF((IF(Classifiers!$B$17="",0,IF(ISNUMBER(SEARCH(Classifiers!$B$17,E336)),1,0))+IF(Classifiers!$C$17="",0,IF(ISNUMBER(SEARCH(Classifiers!$C$17,E336)),1,0))+IF(Classifiers!$D$17="",0,IF(ISNUMBER(SEARCH(Classifiers!$D$17,E336)),1,0))+IF(Classifiers!$E$17="",0,IF(ISNUMBER(SEARCH(Classifiers!$E$17,E336)),1,0))+IF(Classifiers!$F$17="",0,IF(ISNUMBER(SEARCH(Classifiers!$F$17,E336)),1,0))+IF(Classifiers!$G$17="",0,IF(ISNUMBER(SEARCH(Classifiers!$G$17,E336)),1,0)))&gt;0,1,0))</f>
        <v/>
      </c>
      <c r="W336" s="12">
        <f>IF(H336&lt;&gt;1,0,IF((IF(Classifiers!$B$18="",0,IF(ISNUMBER(SEARCH(Classifiers!$B$18,E336)),1,0))+IF(Classifiers!$C$18="",0,IF(ISNUMBER(SEARCH(Classifiers!$C$18,E336)),1,0))+IF(Classifiers!$D$18="",0,IF(ISNUMBER(SEARCH(Classifiers!$D$18,E336)),1,0))+IF(Classifiers!$E$18="",0,IF(ISNUMBER(SEARCH(Classifiers!$E$18,E336)),1,0))+IF(Classifiers!$F$18="",0,IF(ISNUMBER(SEARCH(Classifiers!$F$18,E336)),1,0))+IF(Classifiers!$G$18="",0,IF(ISNUMBER(SEARCH(Classifiers!$G$18,E336)),1,0)))&gt;0,1,0))</f>
        <v/>
      </c>
    </row>
    <row r="337">
      <c r="A337" s="8" t="n"/>
      <c r="B337" s="11" t="n"/>
      <c r="C337" s="6">
        <f>IF(A337="","",TRIM(RIGHT(SUBSTITUTE(A337,"/",REPT(" ",250)),250)))</f>
        <v/>
      </c>
      <c r="D337" s="6">
        <f>IF(C337="","",IF(ISNUMBER(SEARCH(".",C337)),LOWER("."&amp;TRIM(RIGHT(SUBSTITUTE(C337,".",REPT(" ",250)),250))),""))</f>
        <v/>
      </c>
      <c r="E337" s="6">
        <f>IF(C337="","",TRIM(SUBSTITUTE(SUBSTITUTE(SUBSTITUTE(SUBSTITUTE(SUBSTITUTE(SUBSTITUTE(SUBSTITUTE(SUBSTITUTE(SUBSTITUTE(SUBSTITUTE(SUBSTITUTE(SUBSTITUTE(SUBSTITUTE(SUBSTITUTE(SUBSTITUTE(SUBSTITUTE(SUBSTITUTE(SUBSTITUTE(SUBSTITUTE(SUBSTITUTE(LOWER(LEFT(C337,LEN(C337)-LEN(D337))),"_"," "),"-"," "),"."," "),","," "),"("," "),")"," "),"["," "),"]"," "),"&amp;"," "),"+"," "),"@"," "),"#"," "),"!"," "),"'"," "),"/"," "),":"," "),";"," "),"="," "),"~"," "),"%"," ")))</f>
        <v/>
      </c>
      <c r="F337" s="6">
        <f>IF(C337="","",IF(COUNTIF(Classifiers!$A$23:$A$40,D337)&gt;0,1,0))</f>
        <v/>
      </c>
      <c r="G337" s="6">
        <f>IF(C337="","",IF(COUNTIF(Classifiers!$C$23:$C$30,D337)&gt;0,IF((IF(ISNUMBER(SEARCH(Classifiers!$E$23,E337)),1,0)+IF(ISNUMBER(SEARCH(Classifiers!$E$24,E337)),1,0)+IF(ISNUMBER(SEARCH(Classifiers!$E$25,E337)),1,0)+IF(ISNUMBER(SEARCH(Classifiers!$E$26,E337)),1,0)+IF(ISNUMBER(SEARCH(Classifiers!$E$27,E337)),1,0)+IF(ISNUMBER(SEARCH(Classifiers!$E$28,E337)),1,0)+IF(ISNUMBER(SEARCH(Classifiers!$E$29,E337)),1,0)+IF(ISNUMBER(SEARCH(Classifiers!$E$30,E337)),1,0))&gt;0,1,0),0))</f>
        <v/>
      </c>
      <c r="H337" s="6">
        <f>IF(C337="","",IF(OR(LEFT(C337,1)=".",AND(F337=0,G337=0)),0,1))</f>
        <v/>
      </c>
      <c r="I337" s="6">
        <f>IF(H337&lt;&gt;1,"",IF(SUM(J337:W337)=0,"unclassified",INDEX(Classifiers!$A$5:$A$18,MATCH(1,J337:W337,0),1)))</f>
        <v/>
      </c>
      <c r="J337" s="12">
        <f>IF(H337&lt;&gt;1,0,IF((IF(Classifiers!$B$5="",0,IF(ISNUMBER(SEARCH(Classifiers!$B$5,E337)),1,0))+IF(Classifiers!$C$5="",0,IF(ISNUMBER(SEARCH(Classifiers!$C$5,E337)),1,0))+IF(Classifiers!$D$5="",0,IF(ISNUMBER(SEARCH(Classifiers!$D$5,E337)),1,0))+IF(Classifiers!$E$5="",0,IF(ISNUMBER(SEARCH(Classifiers!$E$5,E337)),1,0))+IF(Classifiers!$F$5="",0,IF(ISNUMBER(SEARCH(Classifiers!$F$5,E337)),1,0))+IF(Classifiers!$G$5="",0,IF(ISNUMBER(SEARCH(Classifiers!$G$5,E337)),1,0)))&gt;0,1,0))</f>
        <v/>
      </c>
      <c r="K337" s="12">
        <f>IF(H337&lt;&gt;1,0,IF((IF(Classifiers!$B$6="",0,IF(ISNUMBER(SEARCH(Classifiers!$B$6,E337)),1,0))+IF(Classifiers!$C$6="",0,IF(ISNUMBER(SEARCH(Classifiers!$C$6,E337)),1,0))+IF(Classifiers!$D$6="",0,IF(ISNUMBER(SEARCH(Classifiers!$D$6,E337)),1,0))+IF(Classifiers!$E$6="",0,IF(ISNUMBER(SEARCH(Classifiers!$E$6,E337)),1,0))+IF(Classifiers!$F$6="",0,IF(ISNUMBER(SEARCH(Classifiers!$F$6,E337)),1,0))+IF(Classifiers!$G$6="",0,IF(ISNUMBER(SEARCH(Classifiers!$G$6,E337)),1,0)))&gt;0,1,0))</f>
        <v/>
      </c>
      <c r="L337" s="12">
        <f>IF(H337&lt;&gt;1,0,IF((IF(Classifiers!$B$7="",0,IF(ISNUMBER(SEARCH(Classifiers!$B$7,E337)),1,0))+IF(Classifiers!$C$7="",0,IF(ISNUMBER(SEARCH(Classifiers!$C$7,E337)),1,0))+IF(Classifiers!$D$7="",0,IF(ISNUMBER(SEARCH(Classifiers!$D$7,E337)),1,0))+IF(Classifiers!$E$7="",0,IF(ISNUMBER(SEARCH(Classifiers!$E$7,E337)),1,0))+IF(Classifiers!$F$7="",0,IF(ISNUMBER(SEARCH(Classifiers!$F$7,E337)),1,0))+IF(Classifiers!$G$7="",0,IF(ISNUMBER(SEARCH(Classifiers!$G$7,E337)),1,0)))&gt;0,1,0))</f>
        <v/>
      </c>
      <c r="M337" s="12">
        <f>IF(H337&lt;&gt;1,0,IF((IF(Classifiers!$B$8="",0,IF(ISNUMBER(SEARCH(Classifiers!$B$8,E337)),1,0))+IF(Classifiers!$C$8="",0,IF(ISNUMBER(SEARCH(Classifiers!$C$8,E337)),1,0))+IF(Classifiers!$D$8="",0,IF(ISNUMBER(SEARCH(Classifiers!$D$8,E337)),1,0))+IF(Classifiers!$E$8="",0,IF(ISNUMBER(SEARCH(Classifiers!$E$8,E337)),1,0))+IF(Classifiers!$F$8="",0,IF(ISNUMBER(SEARCH(Classifiers!$F$8,E337)),1,0))+IF(Classifiers!$G$8="",0,IF(ISNUMBER(SEARCH(Classifiers!$G$8,E337)),1,0)))&gt;0,1,0))</f>
        <v/>
      </c>
      <c r="N337" s="12">
        <f>IF(H337&lt;&gt;1,0,IF((IF(Classifiers!$B$9="",0,IF(ISNUMBER(SEARCH(Classifiers!$B$9,E337)),1,0))+IF(Classifiers!$C$9="",0,IF(ISNUMBER(SEARCH(Classifiers!$C$9,E337)),1,0))+IF(Classifiers!$D$9="",0,IF(ISNUMBER(SEARCH(Classifiers!$D$9,E337)),1,0))+IF(Classifiers!$E$9="",0,IF(ISNUMBER(SEARCH(Classifiers!$E$9,E337)),1,0))+IF(Classifiers!$F$9="",0,IF(ISNUMBER(SEARCH(Classifiers!$F$9,E337)),1,0))+IF(Classifiers!$G$9="",0,IF(ISNUMBER(SEARCH(Classifiers!$G$9,E337)),1,0)))&gt;0,1,0))</f>
        <v/>
      </c>
      <c r="O337" s="12">
        <f>IF(H337&lt;&gt;1,0,IF((IF(Classifiers!$B$10="",0,IF(ISNUMBER(SEARCH(Classifiers!$B$10,E337)),1,0))+IF(Classifiers!$C$10="",0,IF(ISNUMBER(SEARCH(Classifiers!$C$10,E337)),1,0))+IF(Classifiers!$D$10="",0,IF(ISNUMBER(SEARCH(Classifiers!$D$10,E337)),1,0))+IF(Classifiers!$E$10="",0,IF(ISNUMBER(SEARCH(Classifiers!$E$10,E337)),1,0))+IF(Classifiers!$F$10="",0,IF(ISNUMBER(SEARCH(Classifiers!$F$10,E337)),1,0))+IF(Classifiers!$G$10="",0,IF(ISNUMBER(SEARCH(Classifiers!$G$10,E337)),1,0)))&gt;0,1,0))</f>
        <v/>
      </c>
      <c r="P337" s="12">
        <f>IF(H337&lt;&gt;1,0,IF((IF(Classifiers!$B$11="",0,IF(ISNUMBER(SEARCH(Classifiers!$B$11,E337)),1,0))+IF(Classifiers!$C$11="",0,IF(ISNUMBER(SEARCH(Classifiers!$C$11,E337)),1,0))+IF(Classifiers!$D$11="",0,IF(ISNUMBER(SEARCH(Classifiers!$D$11,E337)),1,0))+IF(Classifiers!$E$11="",0,IF(ISNUMBER(SEARCH(Classifiers!$E$11,E337)),1,0))+IF(Classifiers!$F$11="",0,IF(ISNUMBER(SEARCH(Classifiers!$F$11,E337)),1,0))+IF(Classifiers!$G$11="",0,IF(ISNUMBER(SEARCH(Classifiers!$G$11,E337)),1,0)))&gt;0,1,0))</f>
        <v/>
      </c>
      <c r="Q337" s="12">
        <f>IF(H337&lt;&gt;1,0,IF((IF(Classifiers!$B$12="",0,IF(ISNUMBER(SEARCH(Classifiers!$B$12,E337)),1,0))+IF(Classifiers!$C$12="",0,IF(ISNUMBER(SEARCH(Classifiers!$C$12,E337)),1,0))+IF(Classifiers!$D$12="",0,IF(ISNUMBER(SEARCH(Classifiers!$D$12,E337)),1,0))+IF(Classifiers!$E$12="",0,IF(ISNUMBER(SEARCH(Classifiers!$E$12,E337)),1,0))+IF(Classifiers!$F$12="",0,IF(ISNUMBER(SEARCH(Classifiers!$F$12,E337)),1,0))+IF(Classifiers!$G$12="",0,IF(ISNUMBER(SEARCH(Classifiers!$G$12,E337)),1,0)))&gt;0,1,0))</f>
        <v/>
      </c>
      <c r="R337" s="12">
        <f>IF(H337&lt;&gt;1,0,IF((IF(Classifiers!$B$13="",0,IF(ISNUMBER(SEARCH(Classifiers!$B$13,E337)),1,0))+IF(Classifiers!$C$13="",0,IF(ISNUMBER(SEARCH(Classifiers!$C$13,E337)),1,0))+IF(Classifiers!$D$13="",0,IF(ISNUMBER(SEARCH(Classifiers!$D$13,E337)),1,0))+IF(Classifiers!$E$13="",0,IF(ISNUMBER(SEARCH(Classifiers!$E$13,E337)),1,0))+IF(Classifiers!$F$13="",0,IF(ISNUMBER(SEARCH(Classifiers!$F$13,E337)),1,0))+IF(Classifiers!$G$13="",0,IF(ISNUMBER(SEARCH(Classifiers!$G$13,E337)),1,0)))&gt;0,1,0))</f>
        <v/>
      </c>
      <c r="S337" s="12">
        <f>IF(H337&lt;&gt;1,0,IF((IF(Classifiers!$B$14="",0,IF(ISNUMBER(SEARCH(Classifiers!$B$14,E337)),1,0))+IF(Classifiers!$C$14="",0,IF(ISNUMBER(SEARCH(Classifiers!$C$14,E337)),1,0))+IF(Classifiers!$D$14="",0,IF(ISNUMBER(SEARCH(Classifiers!$D$14,E337)),1,0))+IF(Classifiers!$E$14="",0,IF(ISNUMBER(SEARCH(Classifiers!$E$14,E337)),1,0))+IF(Classifiers!$F$14="",0,IF(ISNUMBER(SEARCH(Classifiers!$F$14,E337)),1,0))+IF(Classifiers!$G$14="",0,IF(ISNUMBER(SEARCH(Classifiers!$G$14,E337)),1,0)))&gt;0,1,0))</f>
        <v/>
      </c>
      <c r="T337" s="12">
        <f>IF(H337&lt;&gt;1,0,IF((IF(Classifiers!$B$15="",0,IF(ISNUMBER(SEARCH(Classifiers!$B$15,E337)),1,0))+IF(Classifiers!$C$15="",0,IF(ISNUMBER(SEARCH(Classifiers!$C$15,E337)),1,0))+IF(Classifiers!$D$15="",0,IF(ISNUMBER(SEARCH(Classifiers!$D$15,E337)),1,0))+IF(Classifiers!$E$15="",0,IF(ISNUMBER(SEARCH(Classifiers!$E$15,E337)),1,0))+IF(Classifiers!$F$15="",0,IF(ISNUMBER(SEARCH(Classifiers!$F$15,E337)),1,0))+IF(Classifiers!$G$15="",0,IF(ISNUMBER(SEARCH(Classifiers!$G$15,E337)),1,0)))&gt;0,1,0))</f>
        <v/>
      </c>
      <c r="U337" s="12">
        <f>IF(H337&lt;&gt;1,0,IF((IF(Classifiers!$B$16="",0,IF(ISNUMBER(SEARCH(Classifiers!$B$16,E337)),1,0))+IF(Classifiers!$C$16="",0,IF(ISNUMBER(SEARCH(Classifiers!$C$16,E337)),1,0))+IF(Classifiers!$D$16="",0,IF(ISNUMBER(SEARCH(Classifiers!$D$16,E337)),1,0))+IF(Classifiers!$E$16="",0,IF(ISNUMBER(SEARCH(Classifiers!$E$16,E337)),1,0))+IF(Classifiers!$F$16="",0,IF(ISNUMBER(SEARCH(Classifiers!$F$16,E337)),1,0))+IF(Classifiers!$G$16="",0,IF(ISNUMBER(SEARCH(Classifiers!$G$16,E337)),1,0)))&gt;0,1,0))</f>
        <v/>
      </c>
      <c r="V337" s="12">
        <f>IF(H337&lt;&gt;1,0,IF((IF(Classifiers!$B$17="",0,IF(ISNUMBER(SEARCH(Classifiers!$B$17,E337)),1,0))+IF(Classifiers!$C$17="",0,IF(ISNUMBER(SEARCH(Classifiers!$C$17,E337)),1,0))+IF(Classifiers!$D$17="",0,IF(ISNUMBER(SEARCH(Classifiers!$D$17,E337)),1,0))+IF(Classifiers!$E$17="",0,IF(ISNUMBER(SEARCH(Classifiers!$E$17,E337)),1,0))+IF(Classifiers!$F$17="",0,IF(ISNUMBER(SEARCH(Classifiers!$F$17,E337)),1,0))+IF(Classifiers!$G$17="",0,IF(ISNUMBER(SEARCH(Classifiers!$G$17,E337)),1,0)))&gt;0,1,0))</f>
        <v/>
      </c>
      <c r="W337" s="12">
        <f>IF(H337&lt;&gt;1,0,IF((IF(Classifiers!$B$18="",0,IF(ISNUMBER(SEARCH(Classifiers!$B$18,E337)),1,0))+IF(Classifiers!$C$18="",0,IF(ISNUMBER(SEARCH(Classifiers!$C$18,E337)),1,0))+IF(Classifiers!$D$18="",0,IF(ISNUMBER(SEARCH(Classifiers!$D$18,E337)),1,0))+IF(Classifiers!$E$18="",0,IF(ISNUMBER(SEARCH(Classifiers!$E$18,E337)),1,0))+IF(Classifiers!$F$18="",0,IF(ISNUMBER(SEARCH(Classifiers!$F$18,E337)),1,0))+IF(Classifiers!$G$18="",0,IF(ISNUMBER(SEARCH(Classifiers!$G$18,E337)),1,0)))&gt;0,1,0))</f>
        <v/>
      </c>
    </row>
    <row r="338">
      <c r="A338" s="8" t="n"/>
      <c r="B338" s="11" t="n"/>
      <c r="C338" s="6">
        <f>IF(A338="","",TRIM(RIGHT(SUBSTITUTE(A338,"/",REPT(" ",250)),250)))</f>
        <v/>
      </c>
      <c r="D338" s="6">
        <f>IF(C338="","",IF(ISNUMBER(SEARCH(".",C338)),LOWER("."&amp;TRIM(RIGHT(SUBSTITUTE(C338,".",REPT(" ",250)),250))),""))</f>
        <v/>
      </c>
      <c r="E338" s="6">
        <f>IF(C338="","",TRIM(SUBSTITUTE(SUBSTITUTE(SUBSTITUTE(SUBSTITUTE(SUBSTITUTE(SUBSTITUTE(SUBSTITUTE(SUBSTITUTE(SUBSTITUTE(SUBSTITUTE(SUBSTITUTE(SUBSTITUTE(SUBSTITUTE(SUBSTITUTE(SUBSTITUTE(SUBSTITUTE(SUBSTITUTE(SUBSTITUTE(SUBSTITUTE(SUBSTITUTE(LOWER(LEFT(C338,LEN(C338)-LEN(D338))),"_"," "),"-"," "),"."," "),","," "),"("," "),")"," "),"["," "),"]"," "),"&amp;"," "),"+"," "),"@"," "),"#"," "),"!"," "),"'"," "),"/"," "),":"," "),";"," "),"="," "),"~"," "),"%"," ")))</f>
        <v/>
      </c>
      <c r="F338" s="6">
        <f>IF(C338="","",IF(COUNTIF(Classifiers!$A$23:$A$40,D338)&gt;0,1,0))</f>
        <v/>
      </c>
      <c r="G338" s="6">
        <f>IF(C338="","",IF(COUNTIF(Classifiers!$C$23:$C$30,D338)&gt;0,IF((IF(ISNUMBER(SEARCH(Classifiers!$E$23,E338)),1,0)+IF(ISNUMBER(SEARCH(Classifiers!$E$24,E338)),1,0)+IF(ISNUMBER(SEARCH(Classifiers!$E$25,E338)),1,0)+IF(ISNUMBER(SEARCH(Classifiers!$E$26,E338)),1,0)+IF(ISNUMBER(SEARCH(Classifiers!$E$27,E338)),1,0)+IF(ISNUMBER(SEARCH(Classifiers!$E$28,E338)),1,0)+IF(ISNUMBER(SEARCH(Classifiers!$E$29,E338)),1,0)+IF(ISNUMBER(SEARCH(Classifiers!$E$30,E338)),1,0))&gt;0,1,0),0))</f>
        <v/>
      </c>
      <c r="H338" s="6">
        <f>IF(C338="","",IF(OR(LEFT(C338,1)=".",AND(F338=0,G338=0)),0,1))</f>
        <v/>
      </c>
      <c r="I338" s="6">
        <f>IF(H338&lt;&gt;1,"",IF(SUM(J338:W338)=0,"unclassified",INDEX(Classifiers!$A$5:$A$18,MATCH(1,J338:W338,0),1)))</f>
        <v/>
      </c>
      <c r="J338" s="12">
        <f>IF(H338&lt;&gt;1,0,IF((IF(Classifiers!$B$5="",0,IF(ISNUMBER(SEARCH(Classifiers!$B$5,E338)),1,0))+IF(Classifiers!$C$5="",0,IF(ISNUMBER(SEARCH(Classifiers!$C$5,E338)),1,0))+IF(Classifiers!$D$5="",0,IF(ISNUMBER(SEARCH(Classifiers!$D$5,E338)),1,0))+IF(Classifiers!$E$5="",0,IF(ISNUMBER(SEARCH(Classifiers!$E$5,E338)),1,0))+IF(Classifiers!$F$5="",0,IF(ISNUMBER(SEARCH(Classifiers!$F$5,E338)),1,0))+IF(Classifiers!$G$5="",0,IF(ISNUMBER(SEARCH(Classifiers!$G$5,E338)),1,0)))&gt;0,1,0))</f>
        <v/>
      </c>
      <c r="K338" s="12">
        <f>IF(H338&lt;&gt;1,0,IF((IF(Classifiers!$B$6="",0,IF(ISNUMBER(SEARCH(Classifiers!$B$6,E338)),1,0))+IF(Classifiers!$C$6="",0,IF(ISNUMBER(SEARCH(Classifiers!$C$6,E338)),1,0))+IF(Classifiers!$D$6="",0,IF(ISNUMBER(SEARCH(Classifiers!$D$6,E338)),1,0))+IF(Classifiers!$E$6="",0,IF(ISNUMBER(SEARCH(Classifiers!$E$6,E338)),1,0))+IF(Classifiers!$F$6="",0,IF(ISNUMBER(SEARCH(Classifiers!$F$6,E338)),1,0))+IF(Classifiers!$G$6="",0,IF(ISNUMBER(SEARCH(Classifiers!$G$6,E338)),1,0)))&gt;0,1,0))</f>
        <v/>
      </c>
      <c r="L338" s="12">
        <f>IF(H338&lt;&gt;1,0,IF((IF(Classifiers!$B$7="",0,IF(ISNUMBER(SEARCH(Classifiers!$B$7,E338)),1,0))+IF(Classifiers!$C$7="",0,IF(ISNUMBER(SEARCH(Classifiers!$C$7,E338)),1,0))+IF(Classifiers!$D$7="",0,IF(ISNUMBER(SEARCH(Classifiers!$D$7,E338)),1,0))+IF(Classifiers!$E$7="",0,IF(ISNUMBER(SEARCH(Classifiers!$E$7,E338)),1,0))+IF(Classifiers!$F$7="",0,IF(ISNUMBER(SEARCH(Classifiers!$F$7,E338)),1,0))+IF(Classifiers!$G$7="",0,IF(ISNUMBER(SEARCH(Classifiers!$G$7,E338)),1,0)))&gt;0,1,0))</f>
        <v/>
      </c>
      <c r="M338" s="12">
        <f>IF(H338&lt;&gt;1,0,IF((IF(Classifiers!$B$8="",0,IF(ISNUMBER(SEARCH(Classifiers!$B$8,E338)),1,0))+IF(Classifiers!$C$8="",0,IF(ISNUMBER(SEARCH(Classifiers!$C$8,E338)),1,0))+IF(Classifiers!$D$8="",0,IF(ISNUMBER(SEARCH(Classifiers!$D$8,E338)),1,0))+IF(Classifiers!$E$8="",0,IF(ISNUMBER(SEARCH(Classifiers!$E$8,E338)),1,0))+IF(Classifiers!$F$8="",0,IF(ISNUMBER(SEARCH(Classifiers!$F$8,E338)),1,0))+IF(Classifiers!$G$8="",0,IF(ISNUMBER(SEARCH(Classifiers!$G$8,E338)),1,0)))&gt;0,1,0))</f>
        <v/>
      </c>
      <c r="N338" s="12">
        <f>IF(H338&lt;&gt;1,0,IF((IF(Classifiers!$B$9="",0,IF(ISNUMBER(SEARCH(Classifiers!$B$9,E338)),1,0))+IF(Classifiers!$C$9="",0,IF(ISNUMBER(SEARCH(Classifiers!$C$9,E338)),1,0))+IF(Classifiers!$D$9="",0,IF(ISNUMBER(SEARCH(Classifiers!$D$9,E338)),1,0))+IF(Classifiers!$E$9="",0,IF(ISNUMBER(SEARCH(Classifiers!$E$9,E338)),1,0))+IF(Classifiers!$F$9="",0,IF(ISNUMBER(SEARCH(Classifiers!$F$9,E338)),1,0))+IF(Classifiers!$G$9="",0,IF(ISNUMBER(SEARCH(Classifiers!$G$9,E338)),1,0)))&gt;0,1,0))</f>
        <v/>
      </c>
      <c r="O338" s="12">
        <f>IF(H338&lt;&gt;1,0,IF((IF(Classifiers!$B$10="",0,IF(ISNUMBER(SEARCH(Classifiers!$B$10,E338)),1,0))+IF(Classifiers!$C$10="",0,IF(ISNUMBER(SEARCH(Classifiers!$C$10,E338)),1,0))+IF(Classifiers!$D$10="",0,IF(ISNUMBER(SEARCH(Classifiers!$D$10,E338)),1,0))+IF(Classifiers!$E$10="",0,IF(ISNUMBER(SEARCH(Classifiers!$E$10,E338)),1,0))+IF(Classifiers!$F$10="",0,IF(ISNUMBER(SEARCH(Classifiers!$F$10,E338)),1,0))+IF(Classifiers!$G$10="",0,IF(ISNUMBER(SEARCH(Classifiers!$G$10,E338)),1,0)))&gt;0,1,0))</f>
        <v/>
      </c>
      <c r="P338" s="12">
        <f>IF(H338&lt;&gt;1,0,IF((IF(Classifiers!$B$11="",0,IF(ISNUMBER(SEARCH(Classifiers!$B$11,E338)),1,0))+IF(Classifiers!$C$11="",0,IF(ISNUMBER(SEARCH(Classifiers!$C$11,E338)),1,0))+IF(Classifiers!$D$11="",0,IF(ISNUMBER(SEARCH(Classifiers!$D$11,E338)),1,0))+IF(Classifiers!$E$11="",0,IF(ISNUMBER(SEARCH(Classifiers!$E$11,E338)),1,0))+IF(Classifiers!$F$11="",0,IF(ISNUMBER(SEARCH(Classifiers!$F$11,E338)),1,0))+IF(Classifiers!$G$11="",0,IF(ISNUMBER(SEARCH(Classifiers!$G$11,E338)),1,0)))&gt;0,1,0))</f>
        <v/>
      </c>
      <c r="Q338" s="12">
        <f>IF(H338&lt;&gt;1,0,IF((IF(Classifiers!$B$12="",0,IF(ISNUMBER(SEARCH(Classifiers!$B$12,E338)),1,0))+IF(Classifiers!$C$12="",0,IF(ISNUMBER(SEARCH(Classifiers!$C$12,E338)),1,0))+IF(Classifiers!$D$12="",0,IF(ISNUMBER(SEARCH(Classifiers!$D$12,E338)),1,0))+IF(Classifiers!$E$12="",0,IF(ISNUMBER(SEARCH(Classifiers!$E$12,E338)),1,0))+IF(Classifiers!$F$12="",0,IF(ISNUMBER(SEARCH(Classifiers!$F$12,E338)),1,0))+IF(Classifiers!$G$12="",0,IF(ISNUMBER(SEARCH(Classifiers!$G$12,E338)),1,0)))&gt;0,1,0))</f>
        <v/>
      </c>
      <c r="R338" s="12">
        <f>IF(H338&lt;&gt;1,0,IF((IF(Classifiers!$B$13="",0,IF(ISNUMBER(SEARCH(Classifiers!$B$13,E338)),1,0))+IF(Classifiers!$C$13="",0,IF(ISNUMBER(SEARCH(Classifiers!$C$13,E338)),1,0))+IF(Classifiers!$D$13="",0,IF(ISNUMBER(SEARCH(Classifiers!$D$13,E338)),1,0))+IF(Classifiers!$E$13="",0,IF(ISNUMBER(SEARCH(Classifiers!$E$13,E338)),1,0))+IF(Classifiers!$F$13="",0,IF(ISNUMBER(SEARCH(Classifiers!$F$13,E338)),1,0))+IF(Classifiers!$G$13="",0,IF(ISNUMBER(SEARCH(Classifiers!$G$13,E338)),1,0)))&gt;0,1,0))</f>
        <v/>
      </c>
      <c r="S338" s="12">
        <f>IF(H338&lt;&gt;1,0,IF((IF(Classifiers!$B$14="",0,IF(ISNUMBER(SEARCH(Classifiers!$B$14,E338)),1,0))+IF(Classifiers!$C$14="",0,IF(ISNUMBER(SEARCH(Classifiers!$C$14,E338)),1,0))+IF(Classifiers!$D$14="",0,IF(ISNUMBER(SEARCH(Classifiers!$D$14,E338)),1,0))+IF(Classifiers!$E$14="",0,IF(ISNUMBER(SEARCH(Classifiers!$E$14,E338)),1,0))+IF(Classifiers!$F$14="",0,IF(ISNUMBER(SEARCH(Classifiers!$F$14,E338)),1,0))+IF(Classifiers!$G$14="",0,IF(ISNUMBER(SEARCH(Classifiers!$G$14,E338)),1,0)))&gt;0,1,0))</f>
        <v/>
      </c>
      <c r="T338" s="12">
        <f>IF(H338&lt;&gt;1,0,IF((IF(Classifiers!$B$15="",0,IF(ISNUMBER(SEARCH(Classifiers!$B$15,E338)),1,0))+IF(Classifiers!$C$15="",0,IF(ISNUMBER(SEARCH(Classifiers!$C$15,E338)),1,0))+IF(Classifiers!$D$15="",0,IF(ISNUMBER(SEARCH(Classifiers!$D$15,E338)),1,0))+IF(Classifiers!$E$15="",0,IF(ISNUMBER(SEARCH(Classifiers!$E$15,E338)),1,0))+IF(Classifiers!$F$15="",0,IF(ISNUMBER(SEARCH(Classifiers!$F$15,E338)),1,0))+IF(Classifiers!$G$15="",0,IF(ISNUMBER(SEARCH(Classifiers!$G$15,E338)),1,0)))&gt;0,1,0))</f>
        <v/>
      </c>
      <c r="U338" s="12">
        <f>IF(H338&lt;&gt;1,0,IF((IF(Classifiers!$B$16="",0,IF(ISNUMBER(SEARCH(Classifiers!$B$16,E338)),1,0))+IF(Classifiers!$C$16="",0,IF(ISNUMBER(SEARCH(Classifiers!$C$16,E338)),1,0))+IF(Classifiers!$D$16="",0,IF(ISNUMBER(SEARCH(Classifiers!$D$16,E338)),1,0))+IF(Classifiers!$E$16="",0,IF(ISNUMBER(SEARCH(Classifiers!$E$16,E338)),1,0))+IF(Classifiers!$F$16="",0,IF(ISNUMBER(SEARCH(Classifiers!$F$16,E338)),1,0))+IF(Classifiers!$G$16="",0,IF(ISNUMBER(SEARCH(Classifiers!$G$16,E338)),1,0)))&gt;0,1,0))</f>
        <v/>
      </c>
      <c r="V338" s="12">
        <f>IF(H338&lt;&gt;1,0,IF((IF(Classifiers!$B$17="",0,IF(ISNUMBER(SEARCH(Classifiers!$B$17,E338)),1,0))+IF(Classifiers!$C$17="",0,IF(ISNUMBER(SEARCH(Classifiers!$C$17,E338)),1,0))+IF(Classifiers!$D$17="",0,IF(ISNUMBER(SEARCH(Classifiers!$D$17,E338)),1,0))+IF(Classifiers!$E$17="",0,IF(ISNUMBER(SEARCH(Classifiers!$E$17,E338)),1,0))+IF(Classifiers!$F$17="",0,IF(ISNUMBER(SEARCH(Classifiers!$F$17,E338)),1,0))+IF(Classifiers!$G$17="",0,IF(ISNUMBER(SEARCH(Classifiers!$G$17,E338)),1,0)))&gt;0,1,0))</f>
        <v/>
      </c>
      <c r="W338" s="12">
        <f>IF(H338&lt;&gt;1,0,IF((IF(Classifiers!$B$18="",0,IF(ISNUMBER(SEARCH(Classifiers!$B$18,E338)),1,0))+IF(Classifiers!$C$18="",0,IF(ISNUMBER(SEARCH(Classifiers!$C$18,E338)),1,0))+IF(Classifiers!$D$18="",0,IF(ISNUMBER(SEARCH(Classifiers!$D$18,E338)),1,0))+IF(Classifiers!$E$18="",0,IF(ISNUMBER(SEARCH(Classifiers!$E$18,E338)),1,0))+IF(Classifiers!$F$18="",0,IF(ISNUMBER(SEARCH(Classifiers!$F$18,E338)),1,0))+IF(Classifiers!$G$18="",0,IF(ISNUMBER(SEARCH(Classifiers!$G$18,E338)),1,0)))&gt;0,1,0))</f>
        <v/>
      </c>
    </row>
    <row r="339">
      <c r="A339" s="8" t="n"/>
      <c r="B339" s="11" t="n"/>
      <c r="C339" s="6">
        <f>IF(A339="","",TRIM(RIGHT(SUBSTITUTE(A339,"/",REPT(" ",250)),250)))</f>
        <v/>
      </c>
      <c r="D339" s="6">
        <f>IF(C339="","",IF(ISNUMBER(SEARCH(".",C339)),LOWER("."&amp;TRIM(RIGHT(SUBSTITUTE(C339,".",REPT(" ",250)),250))),""))</f>
        <v/>
      </c>
      <c r="E339" s="6">
        <f>IF(C339="","",TRIM(SUBSTITUTE(SUBSTITUTE(SUBSTITUTE(SUBSTITUTE(SUBSTITUTE(SUBSTITUTE(SUBSTITUTE(SUBSTITUTE(SUBSTITUTE(SUBSTITUTE(SUBSTITUTE(SUBSTITUTE(SUBSTITUTE(SUBSTITUTE(SUBSTITUTE(SUBSTITUTE(SUBSTITUTE(SUBSTITUTE(SUBSTITUTE(SUBSTITUTE(LOWER(LEFT(C339,LEN(C339)-LEN(D339))),"_"," "),"-"," "),"."," "),","," "),"("," "),")"," "),"["," "),"]"," "),"&amp;"," "),"+"," "),"@"," "),"#"," "),"!"," "),"'"," "),"/"," "),":"," "),";"," "),"="," "),"~"," "),"%"," ")))</f>
        <v/>
      </c>
      <c r="F339" s="6">
        <f>IF(C339="","",IF(COUNTIF(Classifiers!$A$23:$A$40,D339)&gt;0,1,0))</f>
        <v/>
      </c>
      <c r="G339" s="6">
        <f>IF(C339="","",IF(COUNTIF(Classifiers!$C$23:$C$30,D339)&gt;0,IF((IF(ISNUMBER(SEARCH(Classifiers!$E$23,E339)),1,0)+IF(ISNUMBER(SEARCH(Classifiers!$E$24,E339)),1,0)+IF(ISNUMBER(SEARCH(Classifiers!$E$25,E339)),1,0)+IF(ISNUMBER(SEARCH(Classifiers!$E$26,E339)),1,0)+IF(ISNUMBER(SEARCH(Classifiers!$E$27,E339)),1,0)+IF(ISNUMBER(SEARCH(Classifiers!$E$28,E339)),1,0)+IF(ISNUMBER(SEARCH(Classifiers!$E$29,E339)),1,0)+IF(ISNUMBER(SEARCH(Classifiers!$E$30,E339)),1,0))&gt;0,1,0),0))</f>
        <v/>
      </c>
      <c r="H339" s="6">
        <f>IF(C339="","",IF(OR(LEFT(C339,1)=".",AND(F339=0,G339=0)),0,1))</f>
        <v/>
      </c>
      <c r="I339" s="6">
        <f>IF(H339&lt;&gt;1,"",IF(SUM(J339:W339)=0,"unclassified",INDEX(Classifiers!$A$5:$A$18,MATCH(1,J339:W339,0),1)))</f>
        <v/>
      </c>
      <c r="J339" s="12">
        <f>IF(H339&lt;&gt;1,0,IF((IF(Classifiers!$B$5="",0,IF(ISNUMBER(SEARCH(Classifiers!$B$5,E339)),1,0))+IF(Classifiers!$C$5="",0,IF(ISNUMBER(SEARCH(Classifiers!$C$5,E339)),1,0))+IF(Classifiers!$D$5="",0,IF(ISNUMBER(SEARCH(Classifiers!$D$5,E339)),1,0))+IF(Classifiers!$E$5="",0,IF(ISNUMBER(SEARCH(Classifiers!$E$5,E339)),1,0))+IF(Classifiers!$F$5="",0,IF(ISNUMBER(SEARCH(Classifiers!$F$5,E339)),1,0))+IF(Classifiers!$G$5="",0,IF(ISNUMBER(SEARCH(Classifiers!$G$5,E339)),1,0)))&gt;0,1,0))</f>
        <v/>
      </c>
      <c r="K339" s="12">
        <f>IF(H339&lt;&gt;1,0,IF((IF(Classifiers!$B$6="",0,IF(ISNUMBER(SEARCH(Classifiers!$B$6,E339)),1,0))+IF(Classifiers!$C$6="",0,IF(ISNUMBER(SEARCH(Classifiers!$C$6,E339)),1,0))+IF(Classifiers!$D$6="",0,IF(ISNUMBER(SEARCH(Classifiers!$D$6,E339)),1,0))+IF(Classifiers!$E$6="",0,IF(ISNUMBER(SEARCH(Classifiers!$E$6,E339)),1,0))+IF(Classifiers!$F$6="",0,IF(ISNUMBER(SEARCH(Classifiers!$F$6,E339)),1,0))+IF(Classifiers!$G$6="",0,IF(ISNUMBER(SEARCH(Classifiers!$G$6,E339)),1,0)))&gt;0,1,0))</f>
        <v/>
      </c>
      <c r="L339" s="12">
        <f>IF(H339&lt;&gt;1,0,IF((IF(Classifiers!$B$7="",0,IF(ISNUMBER(SEARCH(Classifiers!$B$7,E339)),1,0))+IF(Classifiers!$C$7="",0,IF(ISNUMBER(SEARCH(Classifiers!$C$7,E339)),1,0))+IF(Classifiers!$D$7="",0,IF(ISNUMBER(SEARCH(Classifiers!$D$7,E339)),1,0))+IF(Classifiers!$E$7="",0,IF(ISNUMBER(SEARCH(Classifiers!$E$7,E339)),1,0))+IF(Classifiers!$F$7="",0,IF(ISNUMBER(SEARCH(Classifiers!$F$7,E339)),1,0))+IF(Classifiers!$G$7="",0,IF(ISNUMBER(SEARCH(Classifiers!$G$7,E339)),1,0)))&gt;0,1,0))</f>
        <v/>
      </c>
      <c r="M339" s="12">
        <f>IF(H339&lt;&gt;1,0,IF((IF(Classifiers!$B$8="",0,IF(ISNUMBER(SEARCH(Classifiers!$B$8,E339)),1,0))+IF(Classifiers!$C$8="",0,IF(ISNUMBER(SEARCH(Classifiers!$C$8,E339)),1,0))+IF(Classifiers!$D$8="",0,IF(ISNUMBER(SEARCH(Classifiers!$D$8,E339)),1,0))+IF(Classifiers!$E$8="",0,IF(ISNUMBER(SEARCH(Classifiers!$E$8,E339)),1,0))+IF(Classifiers!$F$8="",0,IF(ISNUMBER(SEARCH(Classifiers!$F$8,E339)),1,0))+IF(Classifiers!$G$8="",0,IF(ISNUMBER(SEARCH(Classifiers!$G$8,E339)),1,0)))&gt;0,1,0))</f>
        <v/>
      </c>
      <c r="N339" s="12">
        <f>IF(H339&lt;&gt;1,0,IF((IF(Classifiers!$B$9="",0,IF(ISNUMBER(SEARCH(Classifiers!$B$9,E339)),1,0))+IF(Classifiers!$C$9="",0,IF(ISNUMBER(SEARCH(Classifiers!$C$9,E339)),1,0))+IF(Classifiers!$D$9="",0,IF(ISNUMBER(SEARCH(Classifiers!$D$9,E339)),1,0))+IF(Classifiers!$E$9="",0,IF(ISNUMBER(SEARCH(Classifiers!$E$9,E339)),1,0))+IF(Classifiers!$F$9="",0,IF(ISNUMBER(SEARCH(Classifiers!$F$9,E339)),1,0))+IF(Classifiers!$G$9="",0,IF(ISNUMBER(SEARCH(Classifiers!$G$9,E339)),1,0)))&gt;0,1,0))</f>
        <v/>
      </c>
      <c r="O339" s="12">
        <f>IF(H339&lt;&gt;1,0,IF((IF(Classifiers!$B$10="",0,IF(ISNUMBER(SEARCH(Classifiers!$B$10,E339)),1,0))+IF(Classifiers!$C$10="",0,IF(ISNUMBER(SEARCH(Classifiers!$C$10,E339)),1,0))+IF(Classifiers!$D$10="",0,IF(ISNUMBER(SEARCH(Classifiers!$D$10,E339)),1,0))+IF(Classifiers!$E$10="",0,IF(ISNUMBER(SEARCH(Classifiers!$E$10,E339)),1,0))+IF(Classifiers!$F$10="",0,IF(ISNUMBER(SEARCH(Classifiers!$F$10,E339)),1,0))+IF(Classifiers!$G$10="",0,IF(ISNUMBER(SEARCH(Classifiers!$G$10,E339)),1,0)))&gt;0,1,0))</f>
        <v/>
      </c>
      <c r="P339" s="12">
        <f>IF(H339&lt;&gt;1,0,IF((IF(Classifiers!$B$11="",0,IF(ISNUMBER(SEARCH(Classifiers!$B$11,E339)),1,0))+IF(Classifiers!$C$11="",0,IF(ISNUMBER(SEARCH(Classifiers!$C$11,E339)),1,0))+IF(Classifiers!$D$11="",0,IF(ISNUMBER(SEARCH(Classifiers!$D$11,E339)),1,0))+IF(Classifiers!$E$11="",0,IF(ISNUMBER(SEARCH(Classifiers!$E$11,E339)),1,0))+IF(Classifiers!$F$11="",0,IF(ISNUMBER(SEARCH(Classifiers!$F$11,E339)),1,0))+IF(Classifiers!$G$11="",0,IF(ISNUMBER(SEARCH(Classifiers!$G$11,E339)),1,0)))&gt;0,1,0))</f>
        <v/>
      </c>
      <c r="Q339" s="12">
        <f>IF(H339&lt;&gt;1,0,IF((IF(Classifiers!$B$12="",0,IF(ISNUMBER(SEARCH(Classifiers!$B$12,E339)),1,0))+IF(Classifiers!$C$12="",0,IF(ISNUMBER(SEARCH(Classifiers!$C$12,E339)),1,0))+IF(Classifiers!$D$12="",0,IF(ISNUMBER(SEARCH(Classifiers!$D$12,E339)),1,0))+IF(Classifiers!$E$12="",0,IF(ISNUMBER(SEARCH(Classifiers!$E$12,E339)),1,0))+IF(Classifiers!$F$12="",0,IF(ISNUMBER(SEARCH(Classifiers!$F$12,E339)),1,0))+IF(Classifiers!$G$12="",0,IF(ISNUMBER(SEARCH(Classifiers!$G$12,E339)),1,0)))&gt;0,1,0))</f>
        <v/>
      </c>
      <c r="R339" s="12">
        <f>IF(H339&lt;&gt;1,0,IF((IF(Classifiers!$B$13="",0,IF(ISNUMBER(SEARCH(Classifiers!$B$13,E339)),1,0))+IF(Classifiers!$C$13="",0,IF(ISNUMBER(SEARCH(Classifiers!$C$13,E339)),1,0))+IF(Classifiers!$D$13="",0,IF(ISNUMBER(SEARCH(Classifiers!$D$13,E339)),1,0))+IF(Classifiers!$E$13="",0,IF(ISNUMBER(SEARCH(Classifiers!$E$13,E339)),1,0))+IF(Classifiers!$F$13="",0,IF(ISNUMBER(SEARCH(Classifiers!$F$13,E339)),1,0))+IF(Classifiers!$G$13="",0,IF(ISNUMBER(SEARCH(Classifiers!$G$13,E339)),1,0)))&gt;0,1,0))</f>
        <v/>
      </c>
      <c r="S339" s="12">
        <f>IF(H339&lt;&gt;1,0,IF((IF(Classifiers!$B$14="",0,IF(ISNUMBER(SEARCH(Classifiers!$B$14,E339)),1,0))+IF(Classifiers!$C$14="",0,IF(ISNUMBER(SEARCH(Classifiers!$C$14,E339)),1,0))+IF(Classifiers!$D$14="",0,IF(ISNUMBER(SEARCH(Classifiers!$D$14,E339)),1,0))+IF(Classifiers!$E$14="",0,IF(ISNUMBER(SEARCH(Classifiers!$E$14,E339)),1,0))+IF(Classifiers!$F$14="",0,IF(ISNUMBER(SEARCH(Classifiers!$F$14,E339)),1,0))+IF(Classifiers!$G$14="",0,IF(ISNUMBER(SEARCH(Classifiers!$G$14,E339)),1,0)))&gt;0,1,0))</f>
        <v/>
      </c>
      <c r="T339" s="12">
        <f>IF(H339&lt;&gt;1,0,IF((IF(Classifiers!$B$15="",0,IF(ISNUMBER(SEARCH(Classifiers!$B$15,E339)),1,0))+IF(Classifiers!$C$15="",0,IF(ISNUMBER(SEARCH(Classifiers!$C$15,E339)),1,0))+IF(Classifiers!$D$15="",0,IF(ISNUMBER(SEARCH(Classifiers!$D$15,E339)),1,0))+IF(Classifiers!$E$15="",0,IF(ISNUMBER(SEARCH(Classifiers!$E$15,E339)),1,0))+IF(Classifiers!$F$15="",0,IF(ISNUMBER(SEARCH(Classifiers!$F$15,E339)),1,0))+IF(Classifiers!$G$15="",0,IF(ISNUMBER(SEARCH(Classifiers!$G$15,E339)),1,0)))&gt;0,1,0))</f>
        <v/>
      </c>
      <c r="U339" s="12">
        <f>IF(H339&lt;&gt;1,0,IF((IF(Classifiers!$B$16="",0,IF(ISNUMBER(SEARCH(Classifiers!$B$16,E339)),1,0))+IF(Classifiers!$C$16="",0,IF(ISNUMBER(SEARCH(Classifiers!$C$16,E339)),1,0))+IF(Classifiers!$D$16="",0,IF(ISNUMBER(SEARCH(Classifiers!$D$16,E339)),1,0))+IF(Classifiers!$E$16="",0,IF(ISNUMBER(SEARCH(Classifiers!$E$16,E339)),1,0))+IF(Classifiers!$F$16="",0,IF(ISNUMBER(SEARCH(Classifiers!$F$16,E339)),1,0))+IF(Classifiers!$G$16="",0,IF(ISNUMBER(SEARCH(Classifiers!$G$16,E339)),1,0)))&gt;0,1,0))</f>
        <v/>
      </c>
      <c r="V339" s="12">
        <f>IF(H339&lt;&gt;1,0,IF((IF(Classifiers!$B$17="",0,IF(ISNUMBER(SEARCH(Classifiers!$B$17,E339)),1,0))+IF(Classifiers!$C$17="",0,IF(ISNUMBER(SEARCH(Classifiers!$C$17,E339)),1,0))+IF(Classifiers!$D$17="",0,IF(ISNUMBER(SEARCH(Classifiers!$D$17,E339)),1,0))+IF(Classifiers!$E$17="",0,IF(ISNUMBER(SEARCH(Classifiers!$E$17,E339)),1,0))+IF(Classifiers!$F$17="",0,IF(ISNUMBER(SEARCH(Classifiers!$F$17,E339)),1,0))+IF(Classifiers!$G$17="",0,IF(ISNUMBER(SEARCH(Classifiers!$G$17,E339)),1,0)))&gt;0,1,0))</f>
        <v/>
      </c>
      <c r="W339" s="12">
        <f>IF(H339&lt;&gt;1,0,IF((IF(Classifiers!$B$18="",0,IF(ISNUMBER(SEARCH(Classifiers!$B$18,E339)),1,0))+IF(Classifiers!$C$18="",0,IF(ISNUMBER(SEARCH(Classifiers!$C$18,E339)),1,0))+IF(Classifiers!$D$18="",0,IF(ISNUMBER(SEARCH(Classifiers!$D$18,E339)),1,0))+IF(Classifiers!$E$18="",0,IF(ISNUMBER(SEARCH(Classifiers!$E$18,E339)),1,0))+IF(Classifiers!$F$18="",0,IF(ISNUMBER(SEARCH(Classifiers!$F$18,E339)),1,0))+IF(Classifiers!$G$18="",0,IF(ISNUMBER(SEARCH(Classifiers!$G$18,E339)),1,0)))&gt;0,1,0))</f>
        <v/>
      </c>
    </row>
    <row r="340">
      <c r="A340" s="8" t="n"/>
      <c r="B340" s="11" t="n"/>
      <c r="C340" s="6">
        <f>IF(A340="","",TRIM(RIGHT(SUBSTITUTE(A340,"/",REPT(" ",250)),250)))</f>
        <v/>
      </c>
      <c r="D340" s="6">
        <f>IF(C340="","",IF(ISNUMBER(SEARCH(".",C340)),LOWER("."&amp;TRIM(RIGHT(SUBSTITUTE(C340,".",REPT(" ",250)),250))),""))</f>
        <v/>
      </c>
      <c r="E340" s="6">
        <f>IF(C340="","",TRIM(SUBSTITUTE(SUBSTITUTE(SUBSTITUTE(SUBSTITUTE(SUBSTITUTE(SUBSTITUTE(SUBSTITUTE(SUBSTITUTE(SUBSTITUTE(SUBSTITUTE(SUBSTITUTE(SUBSTITUTE(SUBSTITUTE(SUBSTITUTE(SUBSTITUTE(SUBSTITUTE(SUBSTITUTE(SUBSTITUTE(SUBSTITUTE(SUBSTITUTE(LOWER(LEFT(C340,LEN(C340)-LEN(D340))),"_"," "),"-"," "),"."," "),","," "),"("," "),")"," "),"["," "),"]"," "),"&amp;"," "),"+"," "),"@"," "),"#"," "),"!"," "),"'"," "),"/"," "),":"," "),";"," "),"="," "),"~"," "),"%"," ")))</f>
        <v/>
      </c>
      <c r="F340" s="6">
        <f>IF(C340="","",IF(COUNTIF(Classifiers!$A$23:$A$40,D340)&gt;0,1,0))</f>
        <v/>
      </c>
      <c r="G340" s="6">
        <f>IF(C340="","",IF(COUNTIF(Classifiers!$C$23:$C$30,D340)&gt;0,IF((IF(ISNUMBER(SEARCH(Classifiers!$E$23,E340)),1,0)+IF(ISNUMBER(SEARCH(Classifiers!$E$24,E340)),1,0)+IF(ISNUMBER(SEARCH(Classifiers!$E$25,E340)),1,0)+IF(ISNUMBER(SEARCH(Classifiers!$E$26,E340)),1,0)+IF(ISNUMBER(SEARCH(Classifiers!$E$27,E340)),1,0)+IF(ISNUMBER(SEARCH(Classifiers!$E$28,E340)),1,0)+IF(ISNUMBER(SEARCH(Classifiers!$E$29,E340)),1,0)+IF(ISNUMBER(SEARCH(Classifiers!$E$30,E340)),1,0))&gt;0,1,0),0))</f>
        <v/>
      </c>
      <c r="H340" s="6">
        <f>IF(C340="","",IF(OR(LEFT(C340,1)=".",AND(F340=0,G340=0)),0,1))</f>
        <v/>
      </c>
      <c r="I340" s="6">
        <f>IF(H340&lt;&gt;1,"",IF(SUM(J340:W340)=0,"unclassified",INDEX(Classifiers!$A$5:$A$18,MATCH(1,J340:W340,0),1)))</f>
        <v/>
      </c>
      <c r="J340" s="12">
        <f>IF(H340&lt;&gt;1,0,IF((IF(Classifiers!$B$5="",0,IF(ISNUMBER(SEARCH(Classifiers!$B$5,E340)),1,0))+IF(Classifiers!$C$5="",0,IF(ISNUMBER(SEARCH(Classifiers!$C$5,E340)),1,0))+IF(Classifiers!$D$5="",0,IF(ISNUMBER(SEARCH(Classifiers!$D$5,E340)),1,0))+IF(Classifiers!$E$5="",0,IF(ISNUMBER(SEARCH(Classifiers!$E$5,E340)),1,0))+IF(Classifiers!$F$5="",0,IF(ISNUMBER(SEARCH(Classifiers!$F$5,E340)),1,0))+IF(Classifiers!$G$5="",0,IF(ISNUMBER(SEARCH(Classifiers!$G$5,E340)),1,0)))&gt;0,1,0))</f>
        <v/>
      </c>
      <c r="K340" s="12">
        <f>IF(H340&lt;&gt;1,0,IF((IF(Classifiers!$B$6="",0,IF(ISNUMBER(SEARCH(Classifiers!$B$6,E340)),1,0))+IF(Classifiers!$C$6="",0,IF(ISNUMBER(SEARCH(Classifiers!$C$6,E340)),1,0))+IF(Classifiers!$D$6="",0,IF(ISNUMBER(SEARCH(Classifiers!$D$6,E340)),1,0))+IF(Classifiers!$E$6="",0,IF(ISNUMBER(SEARCH(Classifiers!$E$6,E340)),1,0))+IF(Classifiers!$F$6="",0,IF(ISNUMBER(SEARCH(Classifiers!$F$6,E340)),1,0))+IF(Classifiers!$G$6="",0,IF(ISNUMBER(SEARCH(Classifiers!$G$6,E340)),1,0)))&gt;0,1,0))</f>
        <v/>
      </c>
      <c r="L340" s="12">
        <f>IF(H340&lt;&gt;1,0,IF((IF(Classifiers!$B$7="",0,IF(ISNUMBER(SEARCH(Classifiers!$B$7,E340)),1,0))+IF(Classifiers!$C$7="",0,IF(ISNUMBER(SEARCH(Classifiers!$C$7,E340)),1,0))+IF(Classifiers!$D$7="",0,IF(ISNUMBER(SEARCH(Classifiers!$D$7,E340)),1,0))+IF(Classifiers!$E$7="",0,IF(ISNUMBER(SEARCH(Classifiers!$E$7,E340)),1,0))+IF(Classifiers!$F$7="",0,IF(ISNUMBER(SEARCH(Classifiers!$F$7,E340)),1,0))+IF(Classifiers!$G$7="",0,IF(ISNUMBER(SEARCH(Classifiers!$G$7,E340)),1,0)))&gt;0,1,0))</f>
        <v/>
      </c>
      <c r="M340" s="12">
        <f>IF(H340&lt;&gt;1,0,IF((IF(Classifiers!$B$8="",0,IF(ISNUMBER(SEARCH(Classifiers!$B$8,E340)),1,0))+IF(Classifiers!$C$8="",0,IF(ISNUMBER(SEARCH(Classifiers!$C$8,E340)),1,0))+IF(Classifiers!$D$8="",0,IF(ISNUMBER(SEARCH(Classifiers!$D$8,E340)),1,0))+IF(Classifiers!$E$8="",0,IF(ISNUMBER(SEARCH(Classifiers!$E$8,E340)),1,0))+IF(Classifiers!$F$8="",0,IF(ISNUMBER(SEARCH(Classifiers!$F$8,E340)),1,0))+IF(Classifiers!$G$8="",0,IF(ISNUMBER(SEARCH(Classifiers!$G$8,E340)),1,0)))&gt;0,1,0))</f>
        <v/>
      </c>
      <c r="N340" s="12">
        <f>IF(H340&lt;&gt;1,0,IF((IF(Classifiers!$B$9="",0,IF(ISNUMBER(SEARCH(Classifiers!$B$9,E340)),1,0))+IF(Classifiers!$C$9="",0,IF(ISNUMBER(SEARCH(Classifiers!$C$9,E340)),1,0))+IF(Classifiers!$D$9="",0,IF(ISNUMBER(SEARCH(Classifiers!$D$9,E340)),1,0))+IF(Classifiers!$E$9="",0,IF(ISNUMBER(SEARCH(Classifiers!$E$9,E340)),1,0))+IF(Classifiers!$F$9="",0,IF(ISNUMBER(SEARCH(Classifiers!$F$9,E340)),1,0))+IF(Classifiers!$G$9="",0,IF(ISNUMBER(SEARCH(Classifiers!$G$9,E340)),1,0)))&gt;0,1,0))</f>
        <v/>
      </c>
      <c r="O340" s="12">
        <f>IF(H340&lt;&gt;1,0,IF((IF(Classifiers!$B$10="",0,IF(ISNUMBER(SEARCH(Classifiers!$B$10,E340)),1,0))+IF(Classifiers!$C$10="",0,IF(ISNUMBER(SEARCH(Classifiers!$C$10,E340)),1,0))+IF(Classifiers!$D$10="",0,IF(ISNUMBER(SEARCH(Classifiers!$D$10,E340)),1,0))+IF(Classifiers!$E$10="",0,IF(ISNUMBER(SEARCH(Classifiers!$E$10,E340)),1,0))+IF(Classifiers!$F$10="",0,IF(ISNUMBER(SEARCH(Classifiers!$F$10,E340)),1,0))+IF(Classifiers!$G$10="",0,IF(ISNUMBER(SEARCH(Classifiers!$G$10,E340)),1,0)))&gt;0,1,0))</f>
        <v/>
      </c>
      <c r="P340" s="12">
        <f>IF(H340&lt;&gt;1,0,IF((IF(Classifiers!$B$11="",0,IF(ISNUMBER(SEARCH(Classifiers!$B$11,E340)),1,0))+IF(Classifiers!$C$11="",0,IF(ISNUMBER(SEARCH(Classifiers!$C$11,E340)),1,0))+IF(Classifiers!$D$11="",0,IF(ISNUMBER(SEARCH(Classifiers!$D$11,E340)),1,0))+IF(Classifiers!$E$11="",0,IF(ISNUMBER(SEARCH(Classifiers!$E$11,E340)),1,0))+IF(Classifiers!$F$11="",0,IF(ISNUMBER(SEARCH(Classifiers!$F$11,E340)),1,0))+IF(Classifiers!$G$11="",0,IF(ISNUMBER(SEARCH(Classifiers!$G$11,E340)),1,0)))&gt;0,1,0))</f>
        <v/>
      </c>
      <c r="Q340" s="12">
        <f>IF(H340&lt;&gt;1,0,IF((IF(Classifiers!$B$12="",0,IF(ISNUMBER(SEARCH(Classifiers!$B$12,E340)),1,0))+IF(Classifiers!$C$12="",0,IF(ISNUMBER(SEARCH(Classifiers!$C$12,E340)),1,0))+IF(Classifiers!$D$12="",0,IF(ISNUMBER(SEARCH(Classifiers!$D$12,E340)),1,0))+IF(Classifiers!$E$12="",0,IF(ISNUMBER(SEARCH(Classifiers!$E$12,E340)),1,0))+IF(Classifiers!$F$12="",0,IF(ISNUMBER(SEARCH(Classifiers!$F$12,E340)),1,0))+IF(Classifiers!$G$12="",0,IF(ISNUMBER(SEARCH(Classifiers!$G$12,E340)),1,0)))&gt;0,1,0))</f>
        <v/>
      </c>
      <c r="R340" s="12">
        <f>IF(H340&lt;&gt;1,0,IF((IF(Classifiers!$B$13="",0,IF(ISNUMBER(SEARCH(Classifiers!$B$13,E340)),1,0))+IF(Classifiers!$C$13="",0,IF(ISNUMBER(SEARCH(Classifiers!$C$13,E340)),1,0))+IF(Classifiers!$D$13="",0,IF(ISNUMBER(SEARCH(Classifiers!$D$13,E340)),1,0))+IF(Classifiers!$E$13="",0,IF(ISNUMBER(SEARCH(Classifiers!$E$13,E340)),1,0))+IF(Classifiers!$F$13="",0,IF(ISNUMBER(SEARCH(Classifiers!$F$13,E340)),1,0))+IF(Classifiers!$G$13="",0,IF(ISNUMBER(SEARCH(Classifiers!$G$13,E340)),1,0)))&gt;0,1,0))</f>
        <v/>
      </c>
      <c r="S340" s="12">
        <f>IF(H340&lt;&gt;1,0,IF((IF(Classifiers!$B$14="",0,IF(ISNUMBER(SEARCH(Classifiers!$B$14,E340)),1,0))+IF(Classifiers!$C$14="",0,IF(ISNUMBER(SEARCH(Classifiers!$C$14,E340)),1,0))+IF(Classifiers!$D$14="",0,IF(ISNUMBER(SEARCH(Classifiers!$D$14,E340)),1,0))+IF(Classifiers!$E$14="",0,IF(ISNUMBER(SEARCH(Classifiers!$E$14,E340)),1,0))+IF(Classifiers!$F$14="",0,IF(ISNUMBER(SEARCH(Classifiers!$F$14,E340)),1,0))+IF(Classifiers!$G$14="",0,IF(ISNUMBER(SEARCH(Classifiers!$G$14,E340)),1,0)))&gt;0,1,0))</f>
        <v/>
      </c>
      <c r="T340" s="12">
        <f>IF(H340&lt;&gt;1,0,IF((IF(Classifiers!$B$15="",0,IF(ISNUMBER(SEARCH(Classifiers!$B$15,E340)),1,0))+IF(Classifiers!$C$15="",0,IF(ISNUMBER(SEARCH(Classifiers!$C$15,E340)),1,0))+IF(Classifiers!$D$15="",0,IF(ISNUMBER(SEARCH(Classifiers!$D$15,E340)),1,0))+IF(Classifiers!$E$15="",0,IF(ISNUMBER(SEARCH(Classifiers!$E$15,E340)),1,0))+IF(Classifiers!$F$15="",0,IF(ISNUMBER(SEARCH(Classifiers!$F$15,E340)),1,0))+IF(Classifiers!$G$15="",0,IF(ISNUMBER(SEARCH(Classifiers!$G$15,E340)),1,0)))&gt;0,1,0))</f>
        <v/>
      </c>
      <c r="U340" s="12">
        <f>IF(H340&lt;&gt;1,0,IF((IF(Classifiers!$B$16="",0,IF(ISNUMBER(SEARCH(Classifiers!$B$16,E340)),1,0))+IF(Classifiers!$C$16="",0,IF(ISNUMBER(SEARCH(Classifiers!$C$16,E340)),1,0))+IF(Classifiers!$D$16="",0,IF(ISNUMBER(SEARCH(Classifiers!$D$16,E340)),1,0))+IF(Classifiers!$E$16="",0,IF(ISNUMBER(SEARCH(Classifiers!$E$16,E340)),1,0))+IF(Classifiers!$F$16="",0,IF(ISNUMBER(SEARCH(Classifiers!$F$16,E340)),1,0))+IF(Classifiers!$G$16="",0,IF(ISNUMBER(SEARCH(Classifiers!$G$16,E340)),1,0)))&gt;0,1,0))</f>
        <v/>
      </c>
      <c r="V340" s="12">
        <f>IF(H340&lt;&gt;1,0,IF((IF(Classifiers!$B$17="",0,IF(ISNUMBER(SEARCH(Classifiers!$B$17,E340)),1,0))+IF(Classifiers!$C$17="",0,IF(ISNUMBER(SEARCH(Classifiers!$C$17,E340)),1,0))+IF(Classifiers!$D$17="",0,IF(ISNUMBER(SEARCH(Classifiers!$D$17,E340)),1,0))+IF(Classifiers!$E$17="",0,IF(ISNUMBER(SEARCH(Classifiers!$E$17,E340)),1,0))+IF(Classifiers!$F$17="",0,IF(ISNUMBER(SEARCH(Classifiers!$F$17,E340)),1,0))+IF(Classifiers!$G$17="",0,IF(ISNUMBER(SEARCH(Classifiers!$G$17,E340)),1,0)))&gt;0,1,0))</f>
        <v/>
      </c>
      <c r="W340" s="12">
        <f>IF(H340&lt;&gt;1,0,IF((IF(Classifiers!$B$18="",0,IF(ISNUMBER(SEARCH(Classifiers!$B$18,E340)),1,0))+IF(Classifiers!$C$18="",0,IF(ISNUMBER(SEARCH(Classifiers!$C$18,E340)),1,0))+IF(Classifiers!$D$18="",0,IF(ISNUMBER(SEARCH(Classifiers!$D$18,E340)),1,0))+IF(Classifiers!$E$18="",0,IF(ISNUMBER(SEARCH(Classifiers!$E$18,E340)),1,0))+IF(Classifiers!$F$18="",0,IF(ISNUMBER(SEARCH(Classifiers!$F$18,E340)),1,0))+IF(Classifiers!$G$18="",0,IF(ISNUMBER(SEARCH(Classifiers!$G$18,E340)),1,0)))&gt;0,1,0))</f>
        <v/>
      </c>
    </row>
    <row r="341">
      <c r="A341" s="8" t="n"/>
      <c r="B341" s="11" t="n"/>
      <c r="C341" s="6">
        <f>IF(A341="","",TRIM(RIGHT(SUBSTITUTE(A341,"/",REPT(" ",250)),250)))</f>
        <v/>
      </c>
      <c r="D341" s="6">
        <f>IF(C341="","",IF(ISNUMBER(SEARCH(".",C341)),LOWER("."&amp;TRIM(RIGHT(SUBSTITUTE(C341,".",REPT(" ",250)),250))),""))</f>
        <v/>
      </c>
      <c r="E341" s="6">
        <f>IF(C341="","",TRIM(SUBSTITUTE(SUBSTITUTE(SUBSTITUTE(SUBSTITUTE(SUBSTITUTE(SUBSTITUTE(SUBSTITUTE(SUBSTITUTE(SUBSTITUTE(SUBSTITUTE(SUBSTITUTE(SUBSTITUTE(SUBSTITUTE(SUBSTITUTE(SUBSTITUTE(SUBSTITUTE(SUBSTITUTE(SUBSTITUTE(SUBSTITUTE(SUBSTITUTE(LOWER(LEFT(C341,LEN(C341)-LEN(D341))),"_"," "),"-"," "),"."," "),","," "),"("," "),")"," "),"["," "),"]"," "),"&amp;"," "),"+"," "),"@"," "),"#"," "),"!"," "),"'"," "),"/"," "),":"," "),";"," "),"="," "),"~"," "),"%"," ")))</f>
        <v/>
      </c>
      <c r="F341" s="6">
        <f>IF(C341="","",IF(COUNTIF(Classifiers!$A$23:$A$40,D341)&gt;0,1,0))</f>
        <v/>
      </c>
      <c r="G341" s="6">
        <f>IF(C341="","",IF(COUNTIF(Classifiers!$C$23:$C$30,D341)&gt;0,IF((IF(ISNUMBER(SEARCH(Classifiers!$E$23,E341)),1,0)+IF(ISNUMBER(SEARCH(Classifiers!$E$24,E341)),1,0)+IF(ISNUMBER(SEARCH(Classifiers!$E$25,E341)),1,0)+IF(ISNUMBER(SEARCH(Classifiers!$E$26,E341)),1,0)+IF(ISNUMBER(SEARCH(Classifiers!$E$27,E341)),1,0)+IF(ISNUMBER(SEARCH(Classifiers!$E$28,E341)),1,0)+IF(ISNUMBER(SEARCH(Classifiers!$E$29,E341)),1,0)+IF(ISNUMBER(SEARCH(Classifiers!$E$30,E341)),1,0))&gt;0,1,0),0))</f>
        <v/>
      </c>
      <c r="H341" s="6">
        <f>IF(C341="","",IF(OR(LEFT(C341,1)=".",AND(F341=0,G341=0)),0,1))</f>
        <v/>
      </c>
      <c r="I341" s="6">
        <f>IF(H341&lt;&gt;1,"",IF(SUM(J341:W341)=0,"unclassified",INDEX(Classifiers!$A$5:$A$18,MATCH(1,J341:W341,0),1)))</f>
        <v/>
      </c>
      <c r="J341" s="12">
        <f>IF(H341&lt;&gt;1,0,IF((IF(Classifiers!$B$5="",0,IF(ISNUMBER(SEARCH(Classifiers!$B$5,E341)),1,0))+IF(Classifiers!$C$5="",0,IF(ISNUMBER(SEARCH(Classifiers!$C$5,E341)),1,0))+IF(Classifiers!$D$5="",0,IF(ISNUMBER(SEARCH(Classifiers!$D$5,E341)),1,0))+IF(Classifiers!$E$5="",0,IF(ISNUMBER(SEARCH(Classifiers!$E$5,E341)),1,0))+IF(Classifiers!$F$5="",0,IF(ISNUMBER(SEARCH(Classifiers!$F$5,E341)),1,0))+IF(Classifiers!$G$5="",0,IF(ISNUMBER(SEARCH(Classifiers!$G$5,E341)),1,0)))&gt;0,1,0))</f>
        <v/>
      </c>
      <c r="K341" s="12">
        <f>IF(H341&lt;&gt;1,0,IF((IF(Classifiers!$B$6="",0,IF(ISNUMBER(SEARCH(Classifiers!$B$6,E341)),1,0))+IF(Classifiers!$C$6="",0,IF(ISNUMBER(SEARCH(Classifiers!$C$6,E341)),1,0))+IF(Classifiers!$D$6="",0,IF(ISNUMBER(SEARCH(Classifiers!$D$6,E341)),1,0))+IF(Classifiers!$E$6="",0,IF(ISNUMBER(SEARCH(Classifiers!$E$6,E341)),1,0))+IF(Classifiers!$F$6="",0,IF(ISNUMBER(SEARCH(Classifiers!$F$6,E341)),1,0))+IF(Classifiers!$G$6="",0,IF(ISNUMBER(SEARCH(Classifiers!$G$6,E341)),1,0)))&gt;0,1,0))</f>
        <v/>
      </c>
      <c r="L341" s="12">
        <f>IF(H341&lt;&gt;1,0,IF((IF(Classifiers!$B$7="",0,IF(ISNUMBER(SEARCH(Classifiers!$B$7,E341)),1,0))+IF(Classifiers!$C$7="",0,IF(ISNUMBER(SEARCH(Classifiers!$C$7,E341)),1,0))+IF(Classifiers!$D$7="",0,IF(ISNUMBER(SEARCH(Classifiers!$D$7,E341)),1,0))+IF(Classifiers!$E$7="",0,IF(ISNUMBER(SEARCH(Classifiers!$E$7,E341)),1,0))+IF(Classifiers!$F$7="",0,IF(ISNUMBER(SEARCH(Classifiers!$F$7,E341)),1,0))+IF(Classifiers!$G$7="",0,IF(ISNUMBER(SEARCH(Classifiers!$G$7,E341)),1,0)))&gt;0,1,0))</f>
        <v/>
      </c>
      <c r="M341" s="12">
        <f>IF(H341&lt;&gt;1,0,IF((IF(Classifiers!$B$8="",0,IF(ISNUMBER(SEARCH(Classifiers!$B$8,E341)),1,0))+IF(Classifiers!$C$8="",0,IF(ISNUMBER(SEARCH(Classifiers!$C$8,E341)),1,0))+IF(Classifiers!$D$8="",0,IF(ISNUMBER(SEARCH(Classifiers!$D$8,E341)),1,0))+IF(Classifiers!$E$8="",0,IF(ISNUMBER(SEARCH(Classifiers!$E$8,E341)),1,0))+IF(Classifiers!$F$8="",0,IF(ISNUMBER(SEARCH(Classifiers!$F$8,E341)),1,0))+IF(Classifiers!$G$8="",0,IF(ISNUMBER(SEARCH(Classifiers!$G$8,E341)),1,0)))&gt;0,1,0))</f>
        <v/>
      </c>
      <c r="N341" s="12">
        <f>IF(H341&lt;&gt;1,0,IF((IF(Classifiers!$B$9="",0,IF(ISNUMBER(SEARCH(Classifiers!$B$9,E341)),1,0))+IF(Classifiers!$C$9="",0,IF(ISNUMBER(SEARCH(Classifiers!$C$9,E341)),1,0))+IF(Classifiers!$D$9="",0,IF(ISNUMBER(SEARCH(Classifiers!$D$9,E341)),1,0))+IF(Classifiers!$E$9="",0,IF(ISNUMBER(SEARCH(Classifiers!$E$9,E341)),1,0))+IF(Classifiers!$F$9="",0,IF(ISNUMBER(SEARCH(Classifiers!$F$9,E341)),1,0))+IF(Classifiers!$G$9="",0,IF(ISNUMBER(SEARCH(Classifiers!$G$9,E341)),1,0)))&gt;0,1,0))</f>
        <v/>
      </c>
      <c r="O341" s="12">
        <f>IF(H341&lt;&gt;1,0,IF((IF(Classifiers!$B$10="",0,IF(ISNUMBER(SEARCH(Classifiers!$B$10,E341)),1,0))+IF(Classifiers!$C$10="",0,IF(ISNUMBER(SEARCH(Classifiers!$C$10,E341)),1,0))+IF(Classifiers!$D$10="",0,IF(ISNUMBER(SEARCH(Classifiers!$D$10,E341)),1,0))+IF(Classifiers!$E$10="",0,IF(ISNUMBER(SEARCH(Classifiers!$E$10,E341)),1,0))+IF(Classifiers!$F$10="",0,IF(ISNUMBER(SEARCH(Classifiers!$F$10,E341)),1,0))+IF(Classifiers!$G$10="",0,IF(ISNUMBER(SEARCH(Classifiers!$G$10,E341)),1,0)))&gt;0,1,0))</f>
        <v/>
      </c>
      <c r="P341" s="12">
        <f>IF(H341&lt;&gt;1,0,IF((IF(Classifiers!$B$11="",0,IF(ISNUMBER(SEARCH(Classifiers!$B$11,E341)),1,0))+IF(Classifiers!$C$11="",0,IF(ISNUMBER(SEARCH(Classifiers!$C$11,E341)),1,0))+IF(Classifiers!$D$11="",0,IF(ISNUMBER(SEARCH(Classifiers!$D$11,E341)),1,0))+IF(Classifiers!$E$11="",0,IF(ISNUMBER(SEARCH(Classifiers!$E$11,E341)),1,0))+IF(Classifiers!$F$11="",0,IF(ISNUMBER(SEARCH(Classifiers!$F$11,E341)),1,0))+IF(Classifiers!$G$11="",0,IF(ISNUMBER(SEARCH(Classifiers!$G$11,E341)),1,0)))&gt;0,1,0))</f>
        <v/>
      </c>
      <c r="Q341" s="12">
        <f>IF(H341&lt;&gt;1,0,IF((IF(Classifiers!$B$12="",0,IF(ISNUMBER(SEARCH(Classifiers!$B$12,E341)),1,0))+IF(Classifiers!$C$12="",0,IF(ISNUMBER(SEARCH(Classifiers!$C$12,E341)),1,0))+IF(Classifiers!$D$12="",0,IF(ISNUMBER(SEARCH(Classifiers!$D$12,E341)),1,0))+IF(Classifiers!$E$12="",0,IF(ISNUMBER(SEARCH(Classifiers!$E$12,E341)),1,0))+IF(Classifiers!$F$12="",0,IF(ISNUMBER(SEARCH(Classifiers!$F$12,E341)),1,0))+IF(Classifiers!$G$12="",0,IF(ISNUMBER(SEARCH(Classifiers!$G$12,E341)),1,0)))&gt;0,1,0))</f>
        <v/>
      </c>
      <c r="R341" s="12">
        <f>IF(H341&lt;&gt;1,0,IF((IF(Classifiers!$B$13="",0,IF(ISNUMBER(SEARCH(Classifiers!$B$13,E341)),1,0))+IF(Classifiers!$C$13="",0,IF(ISNUMBER(SEARCH(Classifiers!$C$13,E341)),1,0))+IF(Classifiers!$D$13="",0,IF(ISNUMBER(SEARCH(Classifiers!$D$13,E341)),1,0))+IF(Classifiers!$E$13="",0,IF(ISNUMBER(SEARCH(Classifiers!$E$13,E341)),1,0))+IF(Classifiers!$F$13="",0,IF(ISNUMBER(SEARCH(Classifiers!$F$13,E341)),1,0))+IF(Classifiers!$G$13="",0,IF(ISNUMBER(SEARCH(Classifiers!$G$13,E341)),1,0)))&gt;0,1,0))</f>
        <v/>
      </c>
      <c r="S341" s="12">
        <f>IF(H341&lt;&gt;1,0,IF((IF(Classifiers!$B$14="",0,IF(ISNUMBER(SEARCH(Classifiers!$B$14,E341)),1,0))+IF(Classifiers!$C$14="",0,IF(ISNUMBER(SEARCH(Classifiers!$C$14,E341)),1,0))+IF(Classifiers!$D$14="",0,IF(ISNUMBER(SEARCH(Classifiers!$D$14,E341)),1,0))+IF(Classifiers!$E$14="",0,IF(ISNUMBER(SEARCH(Classifiers!$E$14,E341)),1,0))+IF(Classifiers!$F$14="",0,IF(ISNUMBER(SEARCH(Classifiers!$F$14,E341)),1,0))+IF(Classifiers!$G$14="",0,IF(ISNUMBER(SEARCH(Classifiers!$G$14,E341)),1,0)))&gt;0,1,0))</f>
        <v/>
      </c>
      <c r="T341" s="12">
        <f>IF(H341&lt;&gt;1,0,IF((IF(Classifiers!$B$15="",0,IF(ISNUMBER(SEARCH(Classifiers!$B$15,E341)),1,0))+IF(Classifiers!$C$15="",0,IF(ISNUMBER(SEARCH(Classifiers!$C$15,E341)),1,0))+IF(Classifiers!$D$15="",0,IF(ISNUMBER(SEARCH(Classifiers!$D$15,E341)),1,0))+IF(Classifiers!$E$15="",0,IF(ISNUMBER(SEARCH(Classifiers!$E$15,E341)),1,0))+IF(Classifiers!$F$15="",0,IF(ISNUMBER(SEARCH(Classifiers!$F$15,E341)),1,0))+IF(Classifiers!$G$15="",0,IF(ISNUMBER(SEARCH(Classifiers!$G$15,E341)),1,0)))&gt;0,1,0))</f>
        <v/>
      </c>
      <c r="U341" s="12">
        <f>IF(H341&lt;&gt;1,0,IF((IF(Classifiers!$B$16="",0,IF(ISNUMBER(SEARCH(Classifiers!$B$16,E341)),1,0))+IF(Classifiers!$C$16="",0,IF(ISNUMBER(SEARCH(Classifiers!$C$16,E341)),1,0))+IF(Classifiers!$D$16="",0,IF(ISNUMBER(SEARCH(Classifiers!$D$16,E341)),1,0))+IF(Classifiers!$E$16="",0,IF(ISNUMBER(SEARCH(Classifiers!$E$16,E341)),1,0))+IF(Classifiers!$F$16="",0,IF(ISNUMBER(SEARCH(Classifiers!$F$16,E341)),1,0))+IF(Classifiers!$G$16="",0,IF(ISNUMBER(SEARCH(Classifiers!$G$16,E341)),1,0)))&gt;0,1,0))</f>
        <v/>
      </c>
      <c r="V341" s="12">
        <f>IF(H341&lt;&gt;1,0,IF((IF(Classifiers!$B$17="",0,IF(ISNUMBER(SEARCH(Classifiers!$B$17,E341)),1,0))+IF(Classifiers!$C$17="",0,IF(ISNUMBER(SEARCH(Classifiers!$C$17,E341)),1,0))+IF(Classifiers!$D$17="",0,IF(ISNUMBER(SEARCH(Classifiers!$D$17,E341)),1,0))+IF(Classifiers!$E$17="",0,IF(ISNUMBER(SEARCH(Classifiers!$E$17,E341)),1,0))+IF(Classifiers!$F$17="",0,IF(ISNUMBER(SEARCH(Classifiers!$F$17,E341)),1,0))+IF(Classifiers!$G$17="",0,IF(ISNUMBER(SEARCH(Classifiers!$G$17,E341)),1,0)))&gt;0,1,0))</f>
        <v/>
      </c>
      <c r="W341" s="12">
        <f>IF(H341&lt;&gt;1,0,IF((IF(Classifiers!$B$18="",0,IF(ISNUMBER(SEARCH(Classifiers!$B$18,E341)),1,0))+IF(Classifiers!$C$18="",0,IF(ISNUMBER(SEARCH(Classifiers!$C$18,E341)),1,0))+IF(Classifiers!$D$18="",0,IF(ISNUMBER(SEARCH(Classifiers!$D$18,E341)),1,0))+IF(Classifiers!$E$18="",0,IF(ISNUMBER(SEARCH(Classifiers!$E$18,E341)),1,0))+IF(Classifiers!$F$18="",0,IF(ISNUMBER(SEARCH(Classifiers!$F$18,E341)),1,0))+IF(Classifiers!$G$18="",0,IF(ISNUMBER(SEARCH(Classifiers!$G$18,E341)),1,0)))&gt;0,1,0))</f>
        <v/>
      </c>
    </row>
    <row r="342">
      <c r="A342" s="8" t="n"/>
      <c r="B342" s="11" t="n"/>
      <c r="C342" s="6">
        <f>IF(A342="","",TRIM(RIGHT(SUBSTITUTE(A342,"/",REPT(" ",250)),250)))</f>
        <v/>
      </c>
      <c r="D342" s="6">
        <f>IF(C342="","",IF(ISNUMBER(SEARCH(".",C342)),LOWER("."&amp;TRIM(RIGHT(SUBSTITUTE(C342,".",REPT(" ",250)),250))),""))</f>
        <v/>
      </c>
      <c r="E342" s="6">
        <f>IF(C342="","",TRIM(SUBSTITUTE(SUBSTITUTE(SUBSTITUTE(SUBSTITUTE(SUBSTITUTE(SUBSTITUTE(SUBSTITUTE(SUBSTITUTE(SUBSTITUTE(SUBSTITUTE(SUBSTITUTE(SUBSTITUTE(SUBSTITUTE(SUBSTITUTE(SUBSTITUTE(SUBSTITUTE(SUBSTITUTE(SUBSTITUTE(SUBSTITUTE(SUBSTITUTE(LOWER(LEFT(C342,LEN(C342)-LEN(D342))),"_"," "),"-"," "),"."," "),","," "),"("," "),")"," "),"["," "),"]"," "),"&amp;"," "),"+"," "),"@"," "),"#"," "),"!"," "),"'"," "),"/"," "),":"," "),";"," "),"="," "),"~"," "),"%"," ")))</f>
        <v/>
      </c>
      <c r="F342" s="6">
        <f>IF(C342="","",IF(COUNTIF(Classifiers!$A$23:$A$40,D342)&gt;0,1,0))</f>
        <v/>
      </c>
      <c r="G342" s="6">
        <f>IF(C342="","",IF(COUNTIF(Classifiers!$C$23:$C$30,D342)&gt;0,IF((IF(ISNUMBER(SEARCH(Classifiers!$E$23,E342)),1,0)+IF(ISNUMBER(SEARCH(Classifiers!$E$24,E342)),1,0)+IF(ISNUMBER(SEARCH(Classifiers!$E$25,E342)),1,0)+IF(ISNUMBER(SEARCH(Classifiers!$E$26,E342)),1,0)+IF(ISNUMBER(SEARCH(Classifiers!$E$27,E342)),1,0)+IF(ISNUMBER(SEARCH(Classifiers!$E$28,E342)),1,0)+IF(ISNUMBER(SEARCH(Classifiers!$E$29,E342)),1,0)+IF(ISNUMBER(SEARCH(Classifiers!$E$30,E342)),1,0))&gt;0,1,0),0))</f>
        <v/>
      </c>
      <c r="H342" s="6">
        <f>IF(C342="","",IF(OR(LEFT(C342,1)=".",AND(F342=0,G342=0)),0,1))</f>
        <v/>
      </c>
      <c r="I342" s="6">
        <f>IF(H342&lt;&gt;1,"",IF(SUM(J342:W342)=0,"unclassified",INDEX(Classifiers!$A$5:$A$18,MATCH(1,J342:W342,0),1)))</f>
        <v/>
      </c>
      <c r="J342" s="12">
        <f>IF(H342&lt;&gt;1,0,IF((IF(Classifiers!$B$5="",0,IF(ISNUMBER(SEARCH(Classifiers!$B$5,E342)),1,0))+IF(Classifiers!$C$5="",0,IF(ISNUMBER(SEARCH(Classifiers!$C$5,E342)),1,0))+IF(Classifiers!$D$5="",0,IF(ISNUMBER(SEARCH(Classifiers!$D$5,E342)),1,0))+IF(Classifiers!$E$5="",0,IF(ISNUMBER(SEARCH(Classifiers!$E$5,E342)),1,0))+IF(Classifiers!$F$5="",0,IF(ISNUMBER(SEARCH(Classifiers!$F$5,E342)),1,0))+IF(Classifiers!$G$5="",0,IF(ISNUMBER(SEARCH(Classifiers!$G$5,E342)),1,0)))&gt;0,1,0))</f>
        <v/>
      </c>
      <c r="K342" s="12">
        <f>IF(H342&lt;&gt;1,0,IF((IF(Classifiers!$B$6="",0,IF(ISNUMBER(SEARCH(Classifiers!$B$6,E342)),1,0))+IF(Classifiers!$C$6="",0,IF(ISNUMBER(SEARCH(Classifiers!$C$6,E342)),1,0))+IF(Classifiers!$D$6="",0,IF(ISNUMBER(SEARCH(Classifiers!$D$6,E342)),1,0))+IF(Classifiers!$E$6="",0,IF(ISNUMBER(SEARCH(Classifiers!$E$6,E342)),1,0))+IF(Classifiers!$F$6="",0,IF(ISNUMBER(SEARCH(Classifiers!$F$6,E342)),1,0))+IF(Classifiers!$G$6="",0,IF(ISNUMBER(SEARCH(Classifiers!$G$6,E342)),1,0)))&gt;0,1,0))</f>
        <v/>
      </c>
      <c r="L342" s="12">
        <f>IF(H342&lt;&gt;1,0,IF((IF(Classifiers!$B$7="",0,IF(ISNUMBER(SEARCH(Classifiers!$B$7,E342)),1,0))+IF(Classifiers!$C$7="",0,IF(ISNUMBER(SEARCH(Classifiers!$C$7,E342)),1,0))+IF(Classifiers!$D$7="",0,IF(ISNUMBER(SEARCH(Classifiers!$D$7,E342)),1,0))+IF(Classifiers!$E$7="",0,IF(ISNUMBER(SEARCH(Classifiers!$E$7,E342)),1,0))+IF(Classifiers!$F$7="",0,IF(ISNUMBER(SEARCH(Classifiers!$F$7,E342)),1,0))+IF(Classifiers!$G$7="",0,IF(ISNUMBER(SEARCH(Classifiers!$G$7,E342)),1,0)))&gt;0,1,0))</f>
        <v/>
      </c>
      <c r="M342" s="12">
        <f>IF(H342&lt;&gt;1,0,IF((IF(Classifiers!$B$8="",0,IF(ISNUMBER(SEARCH(Classifiers!$B$8,E342)),1,0))+IF(Classifiers!$C$8="",0,IF(ISNUMBER(SEARCH(Classifiers!$C$8,E342)),1,0))+IF(Classifiers!$D$8="",0,IF(ISNUMBER(SEARCH(Classifiers!$D$8,E342)),1,0))+IF(Classifiers!$E$8="",0,IF(ISNUMBER(SEARCH(Classifiers!$E$8,E342)),1,0))+IF(Classifiers!$F$8="",0,IF(ISNUMBER(SEARCH(Classifiers!$F$8,E342)),1,0))+IF(Classifiers!$G$8="",0,IF(ISNUMBER(SEARCH(Classifiers!$G$8,E342)),1,0)))&gt;0,1,0))</f>
        <v/>
      </c>
      <c r="N342" s="12">
        <f>IF(H342&lt;&gt;1,0,IF((IF(Classifiers!$B$9="",0,IF(ISNUMBER(SEARCH(Classifiers!$B$9,E342)),1,0))+IF(Classifiers!$C$9="",0,IF(ISNUMBER(SEARCH(Classifiers!$C$9,E342)),1,0))+IF(Classifiers!$D$9="",0,IF(ISNUMBER(SEARCH(Classifiers!$D$9,E342)),1,0))+IF(Classifiers!$E$9="",0,IF(ISNUMBER(SEARCH(Classifiers!$E$9,E342)),1,0))+IF(Classifiers!$F$9="",0,IF(ISNUMBER(SEARCH(Classifiers!$F$9,E342)),1,0))+IF(Classifiers!$G$9="",0,IF(ISNUMBER(SEARCH(Classifiers!$G$9,E342)),1,0)))&gt;0,1,0))</f>
        <v/>
      </c>
      <c r="O342" s="12">
        <f>IF(H342&lt;&gt;1,0,IF((IF(Classifiers!$B$10="",0,IF(ISNUMBER(SEARCH(Classifiers!$B$10,E342)),1,0))+IF(Classifiers!$C$10="",0,IF(ISNUMBER(SEARCH(Classifiers!$C$10,E342)),1,0))+IF(Classifiers!$D$10="",0,IF(ISNUMBER(SEARCH(Classifiers!$D$10,E342)),1,0))+IF(Classifiers!$E$10="",0,IF(ISNUMBER(SEARCH(Classifiers!$E$10,E342)),1,0))+IF(Classifiers!$F$10="",0,IF(ISNUMBER(SEARCH(Classifiers!$F$10,E342)),1,0))+IF(Classifiers!$G$10="",0,IF(ISNUMBER(SEARCH(Classifiers!$G$10,E342)),1,0)))&gt;0,1,0))</f>
        <v/>
      </c>
      <c r="P342" s="12">
        <f>IF(H342&lt;&gt;1,0,IF((IF(Classifiers!$B$11="",0,IF(ISNUMBER(SEARCH(Classifiers!$B$11,E342)),1,0))+IF(Classifiers!$C$11="",0,IF(ISNUMBER(SEARCH(Classifiers!$C$11,E342)),1,0))+IF(Classifiers!$D$11="",0,IF(ISNUMBER(SEARCH(Classifiers!$D$11,E342)),1,0))+IF(Classifiers!$E$11="",0,IF(ISNUMBER(SEARCH(Classifiers!$E$11,E342)),1,0))+IF(Classifiers!$F$11="",0,IF(ISNUMBER(SEARCH(Classifiers!$F$11,E342)),1,0))+IF(Classifiers!$G$11="",0,IF(ISNUMBER(SEARCH(Classifiers!$G$11,E342)),1,0)))&gt;0,1,0))</f>
        <v/>
      </c>
      <c r="Q342" s="12">
        <f>IF(H342&lt;&gt;1,0,IF((IF(Classifiers!$B$12="",0,IF(ISNUMBER(SEARCH(Classifiers!$B$12,E342)),1,0))+IF(Classifiers!$C$12="",0,IF(ISNUMBER(SEARCH(Classifiers!$C$12,E342)),1,0))+IF(Classifiers!$D$12="",0,IF(ISNUMBER(SEARCH(Classifiers!$D$12,E342)),1,0))+IF(Classifiers!$E$12="",0,IF(ISNUMBER(SEARCH(Classifiers!$E$12,E342)),1,0))+IF(Classifiers!$F$12="",0,IF(ISNUMBER(SEARCH(Classifiers!$F$12,E342)),1,0))+IF(Classifiers!$G$12="",0,IF(ISNUMBER(SEARCH(Classifiers!$G$12,E342)),1,0)))&gt;0,1,0))</f>
        <v/>
      </c>
      <c r="R342" s="12">
        <f>IF(H342&lt;&gt;1,0,IF((IF(Classifiers!$B$13="",0,IF(ISNUMBER(SEARCH(Classifiers!$B$13,E342)),1,0))+IF(Classifiers!$C$13="",0,IF(ISNUMBER(SEARCH(Classifiers!$C$13,E342)),1,0))+IF(Classifiers!$D$13="",0,IF(ISNUMBER(SEARCH(Classifiers!$D$13,E342)),1,0))+IF(Classifiers!$E$13="",0,IF(ISNUMBER(SEARCH(Classifiers!$E$13,E342)),1,0))+IF(Classifiers!$F$13="",0,IF(ISNUMBER(SEARCH(Classifiers!$F$13,E342)),1,0))+IF(Classifiers!$G$13="",0,IF(ISNUMBER(SEARCH(Classifiers!$G$13,E342)),1,0)))&gt;0,1,0))</f>
        <v/>
      </c>
      <c r="S342" s="12">
        <f>IF(H342&lt;&gt;1,0,IF((IF(Classifiers!$B$14="",0,IF(ISNUMBER(SEARCH(Classifiers!$B$14,E342)),1,0))+IF(Classifiers!$C$14="",0,IF(ISNUMBER(SEARCH(Classifiers!$C$14,E342)),1,0))+IF(Classifiers!$D$14="",0,IF(ISNUMBER(SEARCH(Classifiers!$D$14,E342)),1,0))+IF(Classifiers!$E$14="",0,IF(ISNUMBER(SEARCH(Classifiers!$E$14,E342)),1,0))+IF(Classifiers!$F$14="",0,IF(ISNUMBER(SEARCH(Classifiers!$F$14,E342)),1,0))+IF(Classifiers!$G$14="",0,IF(ISNUMBER(SEARCH(Classifiers!$G$14,E342)),1,0)))&gt;0,1,0))</f>
        <v/>
      </c>
      <c r="T342" s="12">
        <f>IF(H342&lt;&gt;1,0,IF((IF(Classifiers!$B$15="",0,IF(ISNUMBER(SEARCH(Classifiers!$B$15,E342)),1,0))+IF(Classifiers!$C$15="",0,IF(ISNUMBER(SEARCH(Classifiers!$C$15,E342)),1,0))+IF(Classifiers!$D$15="",0,IF(ISNUMBER(SEARCH(Classifiers!$D$15,E342)),1,0))+IF(Classifiers!$E$15="",0,IF(ISNUMBER(SEARCH(Classifiers!$E$15,E342)),1,0))+IF(Classifiers!$F$15="",0,IF(ISNUMBER(SEARCH(Classifiers!$F$15,E342)),1,0))+IF(Classifiers!$G$15="",0,IF(ISNUMBER(SEARCH(Classifiers!$G$15,E342)),1,0)))&gt;0,1,0))</f>
        <v/>
      </c>
      <c r="U342" s="12">
        <f>IF(H342&lt;&gt;1,0,IF((IF(Classifiers!$B$16="",0,IF(ISNUMBER(SEARCH(Classifiers!$B$16,E342)),1,0))+IF(Classifiers!$C$16="",0,IF(ISNUMBER(SEARCH(Classifiers!$C$16,E342)),1,0))+IF(Classifiers!$D$16="",0,IF(ISNUMBER(SEARCH(Classifiers!$D$16,E342)),1,0))+IF(Classifiers!$E$16="",0,IF(ISNUMBER(SEARCH(Classifiers!$E$16,E342)),1,0))+IF(Classifiers!$F$16="",0,IF(ISNUMBER(SEARCH(Classifiers!$F$16,E342)),1,0))+IF(Classifiers!$G$16="",0,IF(ISNUMBER(SEARCH(Classifiers!$G$16,E342)),1,0)))&gt;0,1,0))</f>
        <v/>
      </c>
      <c r="V342" s="12">
        <f>IF(H342&lt;&gt;1,0,IF((IF(Classifiers!$B$17="",0,IF(ISNUMBER(SEARCH(Classifiers!$B$17,E342)),1,0))+IF(Classifiers!$C$17="",0,IF(ISNUMBER(SEARCH(Classifiers!$C$17,E342)),1,0))+IF(Classifiers!$D$17="",0,IF(ISNUMBER(SEARCH(Classifiers!$D$17,E342)),1,0))+IF(Classifiers!$E$17="",0,IF(ISNUMBER(SEARCH(Classifiers!$E$17,E342)),1,0))+IF(Classifiers!$F$17="",0,IF(ISNUMBER(SEARCH(Classifiers!$F$17,E342)),1,0))+IF(Classifiers!$G$17="",0,IF(ISNUMBER(SEARCH(Classifiers!$G$17,E342)),1,0)))&gt;0,1,0))</f>
        <v/>
      </c>
      <c r="W342" s="12">
        <f>IF(H342&lt;&gt;1,0,IF((IF(Classifiers!$B$18="",0,IF(ISNUMBER(SEARCH(Classifiers!$B$18,E342)),1,0))+IF(Classifiers!$C$18="",0,IF(ISNUMBER(SEARCH(Classifiers!$C$18,E342)),1,0))+IF(Classifiers!$D$18="",0,IF(ISNUMBER(SEARCH(Classifiers!$D$18,E342)),1,0))+IF(Classifiers!$E$18="",0,IF(ISNUMBER(SEARCH(Classifiers!$E$18,E342)),1,0))+IF(Classifiers!$F$18="",0,IF(ISNUMBER(SEARCH(Classifiers!$F$18,E342)),1,0))+IF(Classifiers!$G$18="",0,IF(ISNUMBER(SEARCH(Classifiers!$G$18,E342)),1,0)))&gt;0,1,0))</f>
        <v/>
      </c>
    </row>
    <row r="343">
      <c r="A343" s="8" t="n"/>
      <c r="B343" s="11" t="n"/>
      <c r="C343" s="6">
        <f>IF(A343="","",TRIM(RIGHT(SUBSTITUTE(A343,"/",REPT(" ",250)),250)))</f>
        <v/>
      </c>
      <c r="D343" s="6">
        <f>IF(C343="","",IF(ISNUMBER(SEARCH(".",C343)),LOWER("."&amp;TRIM(RIGHT(SUBSTITUTE(C343,".",REPT(" ",250)),250))),""))</f>
        <v/>
      </c>
      <c r="E343" s="6">
        <f>IF(C343="","",TRIM(SUBSTITUTE(SUBSTITUTE(SUBSTITUTE(SUBSTITUTE(SUBSTITUTE(SUBSTITUTE(SUBSTITUTE(SUBSTITUTE(SUBSTITUTE(SUBSTITUTE(SUBSTITUTE(SUBSTITUTE(SUBSTITUTE(SUBSTITUTE(SUBSTITUTE(SUBSTITUTE(SUBSTITUTE(SUBSTITUTE(SUBSTITUTE(SUBSTITUTE(LOWER(LEFT(C343,LEN(C343)-LEN(D343))),"_"," "),"-"," "),"."," "),","," "),"("," "),")"," "),"["," "),"]"," "),"&amp;"," "),"+"," "),"@"," "),"#"," "),"!"," "),"'"," "),"/"," "),":"," "),";"," "),"="," "),"~"," "),"%"," ")))</f>
        <v/>
      </c>
      <c r="F343" s="6">
        <f>IF(C343="","",IF(COUNTIF(Classifiers!$A$23:$A$40,D343)&gt;0,1,0))</f>
        <v/>
      </c>
      <c r="G343" s="6">
        <f>IF(C343="","",IF(COUNTIF(Classifiers!$C$23:$C$30,D343)&gt;0,IF((IF(ISNUMBER(SEARCH(Classifiers!$E$23,E343)),1,0)+IF(ISNUMBER(SEARCH(Classifiers!$E$24,E343)),1,0)+IF(ISNUMBER(SEARCH(Classifiers!$E$25,E343)),1,0)+IF(ISNUMBER(SEARCH(Classifiers!$E$26,E343)),1,0)+IF(ISNUMBER(SEARCH(Classifiers!$E$27,E343)),1,0)+IF(ISNUMBER(SEARCH(Classifiers!$E$28,E343)),1,0)+IF(ISNUMBER(SEARCH(Classifiers!$E$29,E343)),1,0)+IF(ISNUMBER(SEARCH(Classifiers!$E$30,E343)),1,0))&gt;0,1,0),0))</f>
        <v/>
      </c>
      <c r="H343" s="6">
        <f>IF(C343="","",IF(OR(LEFT(C343,1)=".",AND(F343=0,G343=0)),0,1))</f>
        <v/>
      </c>
      <c r="I343" s="6">
        <f>IF(H343&lt;&gt;1,"",IF(SUM(J343:W343)=0,"unclassified",INDEX(Classifiers!$A$5:$A$18,MATCH(1,J343:W343,0),1)))</f>
        <v/>
      </c>
      <c r="J343" s="12">
        <f>IF(H343&lt;&gt;1,0,IF((IF(Classifiers!$B$5="",0,IF(ISNUMBER(SEARCH(Classifiers!$B$5,E343)),1,0))+IF(Classifiers!$C$5="",0,IF(ISNUMBER(SEARCH(Classifiers!$C$5,E343)),1,0))+IF(Classifiers!$D$5="",0,IF(ISNUMBER(SEARCH(Classifiers!$D$5,E343)),1,0))+IF(Classifiers!$E$5="",0,IF(ISNUMBER(SEARCH(Classifiers!$E$5,E343)),1,0))+IF(Classifiers!$F$5="",0,IF(ISNUMBER(SEARCH(Classifiers!$F$5,E343)),1,0))+IF(Classifiers!$G$5="",0,IF(ISNUMBER(SEARCH(Classifiers!$G$5,E343)),1,0)))&gt;0,1,0))</f>
        <v/>
      </c>
      <c r="K343" s="12">
        <f>IF(H343&lt;&gt;1,0,IF((IF(Classifiers!$B$6="",0,IF(ISNUMBER(SEARCH(Classifiers!$B$6,E343)),1,0))+IF(Classifiers!$C$6="",0,IF(ISNUMBER(SEARCH(Classifiers!$C$6,E343)),1,0))+IF(Classifiers!$D$6="",0,IF(ISNUMBER(SEARCH(Classifiers!$D$6,E343)),1,0))+IF(Classifiers!$E$6="",0,IF(ISNUMBER(SEARCH(Classifiers!$E$6,E343)),1,0))+IF(Classifiers!$F$6="",0,IF(ISNUMBER(SEARCH(Classifiers!$F$6,E343)),1,0))+IF(Classifiers!$G$6="",0,IF(ISNUMBER(SEARCH(Classifiers!$G$6,E343)),1,0)))&gt;0,1,0))</f>
        <v/>
      </c>
      <c r="L343" s="12">
        <f>IF(H343&lt;&gt;1,0,IF((IF(Classifiers!$B$7="",0,IF(ISNUMBER(SEARCH(Classifiers!$B$7,E343)),1,0))+IF(Classifiers!$C$7="",0,IF(ISNUMBER(SEARCH(Classifiers!$C$7,E343)),1,0))+IF(Classifiers!$D$7="",0,IF(ISNUMBER(SEARCH(Classifiers!$D$7,E343)),1,0))+IF(Classifiers!$E$7="",0,IF(ISNUMBER(SEARCH(Classifiers!$E$7,E343)),1,0))+IF(Classifiers!$F$7="",0,IF(ISNUMBER(SEARCH(Classifiers!$F$7,E343)),1,0))+IF(Classifiers!$G$7="",0,IF(ISNUMBER(SEARCH(Classifiers!$G$7,E343)),1,0)))&gt;0,1,0))</f>
        <v/>
      </c>
      <c r="M343" s="12">
        <f>IF(H343&lt;&gt;1,0,IF((IF(Classifiers!$B$8="",0,IF(ISNUMBER(SEARCH(Classifiers!$B$8,E343)),1,0))+IF(Classifiers!$C$8="",0,IF(ISNUMBER(SEARCH(Classifiers!$C$8,E343)),1,0))+IF(Classifiers!$D$8="",0,IF(ISNUMBER(SEARCH(Classifiers!$D$8,E343)),1,0))+IF(Classifiers!$E$8="",0,IF(ISNUMBER(SEARCH(Classifiers!$E$8,E343)),1,0))+IF(Classifiers!$F$8="",0,IF(ISNUMBER(SEARCH(Classifiers!$F$8,E343)),1,0))+IF(Classifiers!$G$8="",0,IF(ISNUMBER(SEARCH(Classifiers!$G$8,E343)),1,0)))&gt;0,1,0))</f>
        <v/>
      </c>
      <c r="N343" s="12">
        <f>IF(H343&lt;&gt;1,0,IF((IF(Classifiers!$B$9="",0,IF(ISNUMBER(SEARCH(Classifiers!$B$9,E343)),1,0))+IF(Classifiers!$C$9="",0,IF(ISNUMBER(SEARCH(Classifiers!$C$9,E343)),1,0))+IF(Classifiers!$D$9="",0,IF(ISNUMBER(SEARCH(Classifiers!$D$9,E343)),1,0))+IF(Classifiers!$E$9="",0,IF(ISNUMBER(SEARCH(Classifiers!$E$9,E343)),1,0))+IF(Classifiers!$F$9="",0,IF(ISNUMBER(SEARCH(Classifiers!$F$9,E343)),1,0))+IF(Classifiers!$G$9="",0,IF(ISNUMBER(SEARCH(Classifiers!$G$9,E343)),1,0)))&gt;0,1,0))</f>
        <v/>
      </c>
      <c r="O343" s="12">
        <f>IF(H343&lt;&gt;1,0,IF((IF(Classifiers!$B$10="",0,IF(ISNUMBER(SEARCH(Classifiers!$B$10,E343)),1,0))+IF(Classifiers!$C$10="",0,IF(ISNUMBER(SEARCH(Classifiers!$C$10,E343)),1,0))+IF(Classifiers!$D$10="",0,IF(ISNUMBER(SEARCH(Classifiers!$D$10,E343)),1,0))+IF(Classifiers!$E$10="",0,IF(ISNUMBER(SEARCH(Classifiers!$E$10,E343)),1,0))+IF(Classifiers!$F$10="",0,IF(ISNUMBER(SEARCH(Classifiers!$F$10,E343)),1,0))+IF(Classifiers!$G$10="",0,IF(ISNUMBER(SEARCH(Classifiers!$G$10,E343)),1,0)))&gt;0,1,0))</f>
        <v/>
      </c>
      <c r="P343" s="12">
        <f>IF(H343&lt;&gt;1,0,IF((IF(Classifiers!$B$11="",0,IF(ISNUMBER(SEARCH(Classifiers!$B$11,E343)),1,0))+IF(Classifiers!$C$11="",0,IF(ISNUMBER(SEARCH(Classifiers!$C$11,E343)),1,0))+IF(Classifiers!$D$11="",0,IF(ISNUMBER(SEARCH(Classifiers!$D$11,E343)),1,0))+IF(Classifiers!$E$11="",0,IF(ISNUMBER(SEARCH(Classifiers!$E$11,E343)),1,0))+IF(Classifiers!$F$11="",0,IF(ISNUMBER(SEARCH(Classifiers!$F$11,E343)),1,0))+IF(Classifiers!$G$11="",0,IF(ISNUMBER(SEARCH(Classifiers!$G$11,E343)),1,0)))&gt;0,1,0))</f>
        <v/>
      </c>
      <c r="Q343" s="12">
        <f>IF(H343&lt;&gt;1,0,IF((IF(Classifiers!$B$12="",0,IF(ISNUMBER(SEARCH(Classifiers!$B$12,E343)),1,0))+IF(Classifiers!$C$12="",0,IF(ISNUMBER(SEARCH(Classifiers!$C$12,E343)),1,0))+IF(Classifiers!$D$12="",0,IF(ISNUMBER(SEARCH(Classifiers!$D$12,E343)),1,0))+IF(Classifiers!$E$12="",0,IF(ISNUMBER(SEARCH(Classifiers!$E$12,E343)),1,0))+IF(Classifiers!$F$12="",0,IF(ISNUMBER(SEARCH(Classifiers!$F$12,E343)),1,0))+IF(Classifiers!$G$12="",0,IF(ISNUMBER(SEARCH(Classifiers!$G$12,E343)),1,0)))&gt;0,1,0))</f>
        <v/>
      </c>
      <c r="R343" s="12">
        <f>IF(H343&lt;&gt;1,0,IF((IF(Classifiers!$B$13="",0,IF(ISNUMBER(SEARCH(Classifiers!$B$13,E343)),1,0))+IF(Classifiers!$C$13="",0,IF(ISNUMBER(SEARCH(Classifiers!$C$13,E343)),1,0))+IF(Classifiers!$D$13="",0,IF(ISNUMBER(SEARCH(Classifiers!$D$13,E343)),1,0))+IF(Classifiers!$E$13="",0,IF(ISNUMBER(SEARCH(Classifiers!$E$13,E343)),1,0))+IF(Classifiers!$F$13="",0,IF(ISNUMBER(SEARCH(Classifiers!$F$13,E343)),1,0))+IF(Classifiers!$G$13="",0,IF(ISNUMBER(SEARCH(Classifiers!$G$13,E343)),1,0)))&gt;0,1,0))</f>
        <v/>
      </c>
      <c r="S343" s="12">
        <f>IF(H343&lt;&gt;1,0,IF((IF(Classifiers!$B$14="",0,IF(ISNUMBER(SEARCH(Classifiers!$B$14,E343)),1,0))+IF(Classifiers!$C$14="",0,IF(ISNUMBER(SEARCH(Classifiers!$C$14,E343)),1,0))+IF(Classifiers!$D$14="",0,IF(ISNUMBER(SEARCH(Classifiers!$D$14,E343)),1,0))+IF(Classifiers!$E$14="",0,IF(ISNUMBER(SEARCH(Classifiers!$E$14,E343)),1,0))+IF(Classifiers!$F$14="",0,IF(ISNUMBER(SEARCH(Classifiers!$F$14,E343)),1,0))+IF(Classifiers!$G$14="",0,IF(ISNUMBER(SEARCH(Classifiers!$G$14,E343)),1,0)))&gt;0,1,0))</f>
        <v/>
      </c>
      <c r="T343" s="12">
        <f>IF(H343&lt;&gt;1,0,IF((IF(Classifiers!$B$15="",0,IF(ISNUMBER(SEARCH(Classifiers!$B$15,E343)),1,0))+IF(Classifiers!$C$15="",0,IF(ISNUMBER(SEARCH(Classifiers!$C$15,E343)),1,0))+IF(Classifiers!$D$15="",0,IF(ISNUMBER(SEARCH(Classifiers!$D$15,E343)),1,0))+IF(Classifiers!$E$15="",0,IF(ISNUMBER(SEARCH(Classifiers!$E$15,E343)),1,0))+IF(Classifiers!$F$15="",0,IF(ISNUMBER(SEARCH(Classifiers!$F$15,E343)),1,0))+IF(Classifiers!$G$15="",0,IF(ISNUMBER(SEARCH(Classifiers!$G$15,E343)),1,0)))&gt;0,1,0))</f>
        <v/>
      </c>
      <c r="U343" s="12">
        <f>IF(H343&lt;&gt;1,0,IF((IF(Classifiers!$B$16="",0,IF(ISNUMBER(SEARCH(Classifiers!$B$16,E343)),1,0))+IF(Classifiers!$C$16="",0,IF(ISNUMBER(SEARCH(Classifiers!$C$16,E343)),1,0))+IF(Classifiers!$D$16="",0,IF(ISNUMBER(SEARCH(Classifiers!$D$16,E343)),1,0))+IF(Classifiers!$E$16="",0,IF(ISNUMBER(SEARCH(Classifiers!$E$16,E343)),1,0))+IF(Classifiers!$F$16="",0,IF(ISNUMBER(SEARCH(Classifiers!$F$16,E343)),1,0))+IF(Classifiers!$G$16="",0,IF(ISNUMBER(SEARCH(Classifiers!$G$16,E343)),1,0)))&gt;0,1,0))</f>
        <v/>
      </c>
      <c r="V343" s="12">
        <f>IF(H343&lt;&gt;1,0,IF((IF(Classifiers!$B$17="",0,IF(ISNUMBER(SEARCH(Classifiers!$B$17,E343)),1,0))+IF(Classifiers!$C$17="",0,IF(ISNUMBER(SEARCH(Classifiers!$C$17,E343)),1,0))+IF(Classifiers!$D$17="",0,IF(ISNUMBER(SEARCH(Classifiers!$D$17,E343)),1,0))+IF(Classifiers!$E$17="",0,IF(ISNUMBER(SEARCH(Classifiers!$E$17,E343)),1,0))+IF(Classifiers!$F$17="",0,IF(ISNUMBER(SEARCH(Classifiers!$F$17,E343)),1,0))+IF(Classifiers!$G$17="",0,IF(ISNUMBER(SEARCH(Classifiers!$G$17,E343)),1,0)))&gt;0,1,0))</f>
        <v/>
      </c>
      <c r="W343" s="12">
        <f>IF(H343&lt;&gt;1,0,IF((IF(Classifiers!$B$18="",0,IF(ISNUMBER(SEARCH(Classifiers!$B$18,E343)),1,0))+IF(Classifiers!$C$18="",0,IF(ISNUMBER(SEARCH(Classifiers!$C$18,E343)),1,0))+IF(Classifiers!$D$18="",0,IF(ISNUMBER(SEARCH(Classifiers!$D$18,E343)),1,0))+IF(Classifiers!$E$18="",0,IF(ISNUMBER(SEARCH(Classifiers!$E$18,E343)),1,0))+IF(Classifiers!$F$18="",0,IF(ISNUMBER(SEARCH(Classifiers!$F$18,E343)),1,0))+IF(Classifiers!$G$18="",0,IF(ISNUMBER(SEARCH(Classifiers!$G$18,E343)),1,0)))&gt;0,1,0))</f>
        <v/>
      </c>
    </row>
    <row r="344">
      <c r="A344" s="8" t="n"/>
      <c r="B344" s="11" t="n"/>
      <c r="C344" s="6">
        <f>IF(A344="","",TRIM(RIGHT(SUBSTITUTE(A344,"/",REPT(" ",250)),250)))</f>
        <v/>
      </c>
      <c r="D344" s="6">
        <f>IF(C344="","",IF(ISNUMBER(SEARCH(".",C344)),LOWER("."&amp;TRIM(RIGHT(SUBSTITUTE(C344,".",REPT(" ",250)),250))),""))</f>
        <v/>
      </c>
      <c r="E344" s="6">
        <f>IF(C344="","",TRIM(SUBSTITUTE(SUBSTITUTE(SUBSTITUTE(SUBSTITUTE(SUBSTITUTE(SUBSTITUTE(SUBSTITUTE(SUBSTITUTE(SUBSTITUTE(SUBSTITUTE(SUBSTITUTE(SUBSTITUTE(SUBSTITUTE(SUBSTITUTE(SUBSTITUTE(SUBSTITUTE(SUBSTITUTE(SUBSTITUTE(SUBSTITUTE(SUBSTITUTE(LOWER(LEFT(C344,LEN(C344)-LEN(D344))),"_"," "),"-"," "),"."," "),","," "),"("," "),")"," "),"["," "),"]"," "),"&amp;"," "),"+"," "),"@"," "),"#"," "),"!"," "),"'"," "),"/"," "),":"," "),";"," "),"="," "),"~"," "),"%"," ")))</f>
        <v/>
      </c>
      <c r="F344" s="6">
        <f>IF(C344="","",IF(COUNTIF(Classifiers!$A$23:$A$40,D344)&gt;0,1,0))</f>
        <v/>
      </c>
      <c r="G344" s="6">
        <f>IF(C344="","",IF(COUNTIF(Classifiers!$C$23:$C$30,D344)&gt;0,IF((IF(ISNUMBER(SEARCH(Classifiers!$E$23,E344)),1,0)+IF(ISNUMBER(SEARCH(Classifiers!$E$24,E344)),1,0)+IF(ISNUMBER(SEARCH(Classifiers!$E$25,E344)),1,0)+IF(ISNUMBER(SEARCH(Classifiers!$E$26,E344)),1,0)+IF(ISNUMBER(SEARCH(Classifiers!$E$27,E344)),1,0)+IF(ISNUMBER(SEARCH(Classifiers!$E$28,E344)),1,0)+IF(ISNUMBER(SEARCH(Classifiers!$E$29,E344)),1,0)+IF(ISNUMBER(SEARCH(Classifiers!$E$30,E344)),1,0))&gt;0,1,0),0))</f>
        <v/>
      </c>
      <c r="H344" s="6">
        <f>IF(C344="","",IF(OR(LEFT(C344,1)=".",AND(F344=0,G344=0)),0,1))</f>
        <v/>
      </c>
      <c r="I344" s="6">
        <f>IF(H344&lt;&gt;1,"",IF(SUM(J344:W344)=0,"unclassified",INDEX(Classifiers!$A$5:$A$18,MATCH(1,J344:W344,0),1)))</f>
        <v/>
      </c>
      <c r="J344" s="12">
        <f>IF(H344&lt;&gt;1,0,IF((IF(Classifiers!$B$5="",0,IF(ISNUMBER(SEARCH(Classifiers!$B$5,E344)),1,0))+IF(Classifiers!$C$5="",0,IF(ISNUMBER(SEARCH(Classifiers!$C$5,E344)),1,0))+IF(Classifiers!$D$5="",0,IF(ISNUMBER(SEARCH(Classifiers!$D$5,E344)),1,0))+IF(Classifiers!$E$5="",0,IF(ISNUMBER(SEARCH(Classifiers!$E$5,E344)),1,0))+IF(Classifiers!$F$5="",0,IF(ISNUMBER(SEARCH(Classifiers!$F$5,E344)),1,0))+IF(Classifiers!$G$5="",0,IF(ISNUMBER(SEARCH(Classifiers!$G$5,E344)),1,0)))&gt;0,1,0))</f>
        <v/>
      </c>
      <c r="K344" s="12">
        <f>IF(H344&lt;&gt;1,0,IF((IF(Classifiers!$B$6="",0,IF(ISNUMBER(SEARCH(Classifiers!$B$6,E344)),1,0))+IF(Classifiers!$C$6="",0,IF(ISNUMBER(SEARCH(Classifiers!$C$6,E344)),1,0))+IF(Classifiers!$D$6="",0,IF(ISNUMBER(SEARCH(Classifiers!$D$6,E344)),1,0))+IF(Classifiers!$E$6="",0,IF(ISNUMBER(SEARCH(Classifiers!$E$6,E344)),1,0))+IF(Classifiers!$F$6="",0,IF(ISNUMBER(SEARCH(Classifiers!$F$6,E344)),1,0))+IF(Classifiers!$G$6="",0,IF(ISNUMBER(SEARCH(Classifiers!$G$6,E344)),1,0)))&gt;0,1,0))</f>
        <v/>
      </c>
      <c r="L344" s="12">
        <f>IF(H344&lt;&gt;1,0,IF((IF(Classifiers!$B$7="",0,IF(ISNUMBER(SEARCH(Classifiers!$B$7,E344)),1,0))+IF(Classifiers!$C$7="",0,IF(ISNUMBER(SEARCH(Classifiers!$C$7,E344)),1,0))+IF(Classifiers!$D$7="",0,IF(ISNUMBER(SEARCH(Classifiers!$D$7,E344)),1,0))+IF(Classifiers!$E$7="",0,IF(ISNUMBER(SEARCH(Classifiers!$E$7,E344)),1,0))+IF(Classifiers!$F$7="",0,IF(ISNUMBER(SEARCH(Classifiers!$F$7,E344)),1,0))+IF(Classifiers!$G$7="",0,IF(ISNUMBER(SEARCH(Classifiers!$G$7,E344)),1,0)))&gt;0,1,0))</f>
        <v/>
      </c>
      <c r="M344" s="12">
        <f>IF(H344&lt;&gt;1,0,IF((IF(Classifiers!$B$8="",0,IF(ISNUMBER(SEARCH(Classifiers!$B$8,E344)),1,0))+IF(Classifiers!$C$8="",0,IF(ISNUMBER(SEARCH(Classifiers!$C$8,E344)),1,0))+IF(Classifiers!$D$8="",0,IF(ISNUMBER(SEARCH(Classifiers!$D$8,E344)),1,0))+IF(Classifiers!$E$8="",0,IF(ISNUMBER(SEARCH(Classifiers!$E$8,E344)),1,0))+IF(Classifiers!$F$8="",0,IF(ISNUMBER(SEARCH(Classifiers!$F$8,E344)),1,0))+IF(Classifiers!$G$8="",0,IF(ISNUMBER(SEARCH(Classifiers!$G$8,E344)),1,0)))&gt;0,1,0))</f>
        <v/>
      </c>
      <c r="N344" s="12">
        <f>IF(H344&lt;&gt;1,0,IF((IF(Classifiers!$B$9="",0,IF(ISNUMBER(SEARCH(Classifiers!$B$9,E344)),1,0))+IF(Classifiers!$C$9="",0,IF(ISNUMBER(SEARCH(Classifiers!$C$9,E344)),1,0))+IF(Classifiers!$D$9="",0,IF(ISNUMBER(SEARCH(Classifiers!$D$9,E344)),1,0))+IF(Classifiers!$E$9="",0,IF(ISNUMBER(SEARCH(Classifiers!$E$9,E344)),1,0))+IF(Classifiers!$F$9="",0,IF(ISNUMBER(SEARCH(Classifiers!$F$9,E344)),1,0))+IF(Classifiers!$G$9="",0,IF(ISNUMBER(SEARCH(Classifiers!$G$9,E344)),1,0)))&gt;0,1,0))</f>
        <v/>
      </c>
      <c r="O344" s="12">
        <f>IF(H344&lt;&gt;1,0,IF((IF(Classifiers!$B$10="",0,IF(ISNUMBER(SEARCH(Classifiers!$B$10,E344)),1,0))+IF(Classifiers!$C$10="",0,IF(ISNUMBER(SEARCH(Classifiers!$C$10,E344)),1,0))+IF(Classifiers!$D$10="",0,IF(ISNUMBER(SEARCH(Classifiers!$D$10,E344)),1,0))+IF(Classifiers!$E$10="",0,IF(ISNUMBER(SEARCH(Classifiers!$E$10,E344)),1,0))+IF(Classifiers!$F$10="",0,IF(ISNUMBER(SEARCH(Classifiers!$F$10,E344)),1,0))+IF(Classifiers!$G$10="",0,IF(ISNUMBER(SEARCH(Classifiers!$G$10,E344)),1,0)))&gt;0,1,0))</f>
        <v/>
      </c>
      <c r="P344" s="12">
        <f>IF(H344&lt;&gt;1,0,IF((IF(Classifiers!$B$11="",0,IF(ISNUMBER(SEARCH(Classifiers!$B$11,E344)),1,0))+IF(Classifiers!$C$11="",0,IF(ISNUMBER(SEARCH(Classifiers!$C$11,E344)),1,0))+IF(Classifiers!$D$11="",0,IF(ISNUMBER(SEARCH(Classifiers!$D$11,E344)),1,0))+IF(Classifiers!$E$11="",0,IF(ISNUMBER(SEARCH(Classifiers!$E$11,E344)),1,0))+IF(Classifiers!$F$11="",0,IF(ISNUMBER(SEARCH(Classifiers!$F$11,E344)),1,0))+IF(Classifiers!$G$11="",0,IF(ISNUMBER(SEARCH(Classifiers!$G$11,E344)),1,0)))&gt;0,1,0))</f>
        <v/>
      </c>
      <c r="Q344" s="12">
        <f>IF(H344&lt;&gt;1,0,IF((IF(Classifiers!$B$12="",0,IF(ISNUMBER(SEARCH(Classifiers!$B$12,E344)),1,0))+IF(Classifiers!$C$12="",0,IF(ISNUMBER(SEARCH(Classifiers!$C$12,E344)),1,0))+IF(Classifiers!$D$12="",0,IF(ISNUMBER(SEARCH(Classifiers!$D$12,E344)),1,0))+IF(Classifiers!$E$12="",0,IF(ISNUMBER(SEARCH(Classifiers!$E$12,E344)),1,0))+IF(Classifiers!$F$12="",0,IF(ISNUMBER(SEARCH(Classifiers!$F$12,E344)),1,0))+IF(Classifiers!$G$12="",0,IF(ISNUMBER(SEARCH(Classifiers!$G$12,E344)),1,0)))&gt;0,1,0))</f>
        <v/>
      </c>
      <c r="R344" s="12">
        <f>IF(H344&lt;&gt;1,0,IF((IF(Classifiers!$B$13="",0,IF(ISNUMBER(SEARCH(Classifiers!$B$13,E344)),1,0))+IF(Classifiers!$C$13="",0,IF(ISNUMBER(SEARCH(Classifiers!$C$13,E344)),1,0))+IF(Classifiers!$D$13="",0,IF(ISNUMBER(SEARCH(Classifiers!$D$13,E344)),1,0))+IF(Classifiers!$E$13="",0,IF(ISNUMBER(SEARCH(Classifiers!$E$13,E344)),1,0))+IF(Classifiers!$F$13="",0,IF(ISNUMBER(SEARCH(Classifiers!$F$13,E344)),1,0))+IF(Classifiers!$G$13="",0,IF(ISNUMBER(SEARCH(Classifiers!$G$13,E344)),1,0)))&gt;0,1,0))</f>
        <v/>
      </c>
      <c r="S344" s="12">
        <f>IF(H344&lt;&gt;1,0,IF((IF(Classifiers!$B$14="",0,IF(ISNUMBER(SEARCH(Classifiers!$B$14,E344)),1,0))+IF(Classifiers!$C$14="",0,IF(ISNUMBER(SEARCH(Classifiers!$C$14,E344)),1,0))+IF(Classifiers!$D$14="",0,IF(ISNUMBER(SEARCH(Classifiers!$D$14,E344)),1,0))+IF(Classifiers!$E$14="",0,IF(ISNUMBER(SEARCH(Classifiers!$E$14,E344)),1,0))+IF(Classifiers!$F$14="",0,IF(ISNUMBER(SEARCH(Classifiers!$F$14,E344)),1,0))+IF(Classifiers!$G$14="",0,IF(ISNUMBER(SEARCH(Classifiers!$G$14,E344)),1,0)))&gt;0,1,0))</f>
        <v/>
      </c>
      <c r="T344" s="12">
        <f>IF(H344&lt;&gt;1,0,IF((IF(Classifiers!$B$15="",0,IF(ISNUMBER(SEARCH(Classifiers!$B$15,E344)),1,0))+IF(Classifiers!$C$15="",0,IF(ISNUMBER(SEARCH(Classifiers!$C$15,E344)),1,0))+IF(Classifiers!$D$15="",0,IF(ISNUMBER(SEARCH(Classifiers!$D$15,E344)),1,0))+IF(Classifiers!$E$15="",0,IF(ISNUMBER(SEARCH(Classifiers!$E$15,E344)),1,0))+IF(Classifiers!$F$15="",0,IF(ISNUMBER(SEARCH(Classifiers!$F$15,E344)),1,0))+IF(Classifiers!$G$15="",0,IF(ISNUMBER(SEARCH(Classifiers!$G$15,E344)),1,0)))&gt;0,1,0))</f>
        <v/>
      </c>
      <c r="U344" s="12">
        <f>IF(H344&lt;&gt;1,0,IF((IF(Classifiers!$B$16="",0,IF(ISNUMBER(SEARCH(Classifiers!$B$16,E344)),1,0))+IF(Classifiers!$C$16="",0,IF(ISNUMBER(SEARCH(Classifiers!$C$16,E344)),1,0))+IF(Classifiers!$D$16="",0,IF(ISNUMBER(SEARCH(Classifiers!$D$16,E344)),1,0))+IF(Classifiers!$E$16="",0,IF(ISNUMBER(SEARCH(Classifiers!$E$16,E344)),1,0))+IF(Classifiers!$F$16="",0,IF(ISNUMBER(SEARCH(Classifiers!$F$16,E344)),1,0))+IF(Classifiers!$G$16="",0,IF(ISNUMBER(SEARCH(Classifiers!$G$16,E344)),1,0)))&gt;0,1,0))</f>
        <v/>
      </c>
      <c r="V344" s="12">
        <f>IF(H344&lt;&gt;1,0,IF((IF(Classifiers!$B$17="",0,IF(ISNUMBER(SEARCH(Classifiers!$B$17,E344)),1,0))+IF(Classifiers!$C$17="",0,IF(ISNUMBER(SEARCH(Classifiers!$C$17,E344)),1,0))+IF(Classifiers!$D$17="",0,IF(ISNUMBER(SEARCH(Classifiers!$D$17,E344)),1,0))+IF(Classifiers!$E$17="",0,IF(ISNUMBER(SEARCH(Classifiers!$E$17,E344)),1,0))+IF(Classifiers!$F$17="",0,IF(ISNUMBER(SEARCH(Classifiers!$F$17,E344)),1,0))+IF(Classifiers!$G$17="",0,IF(ISNUMBER(SEARCH(Classifiers!$G$17,E344)),1,0)))&gt;0,1,0))</f>
        <v/>
      </c>
      <c r="W344" s="12">
        <f>IF(H344&lt;&gt;1,0,IF((IF(Classifiers!$B$18="",0,IF(ISNUMBER(SEARCH(Classifiers!$B$18,E344)),1,0))+IF(Classifiers!$C$18="",0,IF(ISNUMBER(SEARCH(Classifiers!$C$18,E344)),1,0))+IF(Classifiers!$D$18="",0,IF(ISNUMBER(SEARCH(Classifiers!$D$18,E344)),1,0))+IF(Classifiers!$E$18="",0,IF(ISNUMBER(SEARCH(Classifiers!$E$18,E344)),1,0))+IF(Classifiers!$F$18="",0,IF(ISNUMBER(SEARCH(Classifiers!$F$18,E344)),1,0))+IF(Classifiers!$G$18="",0,IF(ISNUMBER(SEARCH(Classifiers!$G$18,E344)),1,0)))&gt;0,1,0))</f>
        <v/>
      </c>
    </row>
    <row r="345">
      <c r="A345" s="8" t="n"/>
      <c r="B345" s="11" t="n"/>
      <c r="C345" s="6">
        <f>IF(A345="","",TRIM(RIGHT(SUBSTITUTE(A345,"/",REPT(" ",250)),250)))</f>
        <v/>
      </c>
      <c r="D345" s="6">
        <f>IF(C345="","",IF(ISNUMBER(SEARCH(".",C345)),LOWER("."&amp;TRIM(RIGHT(SUBSTITUTE(C345,".",REPT(" ",250)),250))),""))</f>
        <v/>
      </c>
      <c r="E345" s="6">
        <f>IF(C345="","",TRIM(SUBSTITUTE(SUBSTITUTE(SUBSTITUTE(SUBSTITUTE(SUBSTITUTE(SUBSTITUTE(SUBSTITUTE(SUBSTITUTE(SUBSTITUTE(SUBSTITUTE(SUBSTITUTE(SUBSTITUTE(SUBSTITUTE(SUBSTITUTE(SUBSTITUTE(SUBSTITUTE(SUBSTITUTE(SUBSTITUTE(SUBSTITUTE(SUBSTITUTE(LOWER(LEFT(C345,LEN(C345)-LEN(D345))),"_"," "),"-"," "),"."," "),","," "),"("," "),")"," "),"["," "),"]"," "),"&amp;"," "),"+"," "),"@"," "),"#"," "),"!"," "),"'"," "),"/"," "),":"," "),";"," "),"="," "),"~"," "),"%"," ")))</f>
        <v/>
      </c>
      <c r="F345" s="6">
        <f>IF(C345="","",IF(COUNTIF(Classifiers!$A$23:$A$40,D345)&gt;0,1,0))</f>
        <v/>
      </c>
      <c r="G345" s="6">
        <f>IF(C345="","",IF(COUNTIF(Classifiers!$C$23:$C$30,D345)&gt;0,IF((IF(ISNUMBER(SEARCH(Classifiers!$E$23,E345)),1,0)+IF(ISNUMBER(SEARCH(Classifiers!$E$24,E345)),1,0)+IF(ISNUMBER(SEARCH(Classifiers!$E$25,E345)),1,0)+IF(ISNUMBER(SEARCH(Classifiers!$E$26,E345)),1,0)+IF(ISNUMBER(SEARCH(Classifiers!$E$27,E345)),1,0)+IF(ISNUMBER(SEARCH(Classifiers!$E$28,E345)),1,0)+IF(ISNUMBER(SEARCH(Classifiers!$E$29,E345)),1,0)+IF(ISNUMBER(SEARCH(Classifiers!$E$30,E345)),1,0))&gt;0,1,0),0))</f>
        <v/>
      </c>
      <c r="H345" s="6">
        <f>IF(C345="","",IF(OR(LEFT(C345,1)=".",AND(F345=0,G345=0)),0,1))</f>
        <v/>
      </c>
      <c r="I345" s="6">
        <f>IF(H345&lt;&gt;1,"",IF(SUM(J345:W345)=0,"unclassified",INDEX(Classifiers!$A$5:$A$18,MATCH(1,J345:W345,0),1)))</f>
        <v/>
      </c>
      <c r="J345" s="12">
        <f>IF(H345&lt;&gt;1,0,IF((IF(Classifiers!$B$5="",0,IF(ISNUMBER(SEARCH(Classifiers!$B$5,E345)),1,0))+IF(Classifiers!$C$5="",0,IF(ISNUMBER(SEARCH(Classifiers!$C$5,E345)),1,0))+IF(Classifiers!$D$5="",0,IF(ISNUMBER(SEARCH(Classifiers!$D$5,E345)),1,0))+IF(Classifiers!$E$5="",0,IF(ISNUMBER(SEARCH(Classifiers!$E$5,E345)),1,0))+IF(Classifiers!$F$5="",0,IF(ISNUMBER(SEARCH(Classifiers!$F$5,E345)),1,0))+IF(Classifiers!$G$5="",0,IF(ISNUMBER(SEARCH(Classifiers!$G$5,E345)),1,0)))&gt;0,1,0))</f>
        <v/>
      </c>
      <c r="K345" s="12">
        <f>IF(H345&lt;&gt;1,0,IF((IF(Classifiers!$B$6="",0,IF(ISNUMBER(SEARCH(Classifiers!$B$6,E345)),1,0))+IF(Classifiers!$C$6="",0,IF(ISNUMBER(SEARCH(Classifiers!$C$6,E345)),1,0))+IF(Classifiers!$D$6="",0,IF(ISNUMBER(SEARCH(Classifiers!$D$6,E345)),1,0))+IF(Classifiers!$E$6="",0,IF(ISNUMBER(SEARCH(Classifiers!$E$6,E345)),1,0))+IF(Classifiers!$F$6="",0,IF(ISNUMBER(SEARCH(Classifiers!$F$6,E345)),1,0))+IF(Classifiers!$G$6="",0,IF(ISNUMBER(SEARCH(Classifiers!$G$6,E345)),1,0)))&gt;0,1,0))</f>
        <v/>
      </c>
      <c r="L345" s="12">
        <f>IF(H345&lt;&gt;1,0,IF((IF(Classifiers!$B$7="",0,IF(ISNUMBER(SEARCH(Classifiers!$B$7,E345)),1,0))+IF(Classifiers!$C$7="",0,IF(ISNUMBER(SEARCH(Classifiers!$C$7,E345)),1,0))+IF(Classifiers!$D$7="",0,IF(ISNUMBER(SEARCH(Classifiers!$D$7,E345)),1,0))+IF(Classifiers!$E$7="",0,IF(ISNUMBER(SEARCH(Classifiers!$E$7,E345)),1,0))+IF(Classifiers!$F$7="",0,IF(ISNUMBER(SEARCH(Classifiers!$F$7,E345)),1,0))+IF(Classifiers!$G$7="",0,IF(ISNUMBER(SEARCH(Classifiers!$G$7,E345)),1,0)))&gt;0,1,0))</f>
        <v/>
      </c>
      <c r="M345" s="12">
        <f>IF(H345&lt;&gt;1,0,IF((IF(Classifiers!$B$8="",0,IF(ISNUMBER(SEARCH(Classifiers!$B$8,E345)),1,0))+IF(Classifiers!$C$8="",0,IF(ISNUMBER(SEARCH(Classifiers!$C$8,E345)),1,0))+IF(Classifiers!$D$8="",0,IF(ISNUMBER(SEARCH(Classifiers!$D$8,E345)),1,0))+IF(Classifiers!$E$8="",0,IF(ISNUMBER(SEARCH(Classifiers!$E$8,E345)),1,0))+IF(Classifiers!$F$8="",0,IF(ISNUMBER(SEARCH(Classifiers!$F$8,E345)),1,0))+IF(Classifiers!$G$8="",0,IF(ISNUMBER(SEARCH(Classifiers!$G$8,E345)),1,0)))&gt;0,1,0))</f>
        <v/>
      </c>
      <c r="N345" s="12">
        <f>IF(H345&lt;&gt;1,0,IF((IF(Classifiers!$B$9="",0,IF(ISNUMBER(SEARCH(Classifiers!$B$9,E345)),1,0))+IF(Classifiers!$C$9="",0,IF(ISNUMBER(SEARCH(Classifiers!$C$9,E345)),1,0))+IF(Classifiers!$D$9="",0,IF(ISNUMBER(SEARCH(Classifiers!$D$9,E345)),1,0))+IF(Classifiers!$E$9="",0,IF(ISNUMBER(SEARCH(Classifiers!$E$9,E345)),1,0))+IF(Classifiers!$F$9="",0,IF(ISNUMBER(SEARCH(Classifiers!$F$9,E345)),1,0))+IF(Classifiers!$G$9="",0,IF(ISNUMBER(SEARCH(Classifiers!$G$9,E345)),1,0)))&gt;0,1,0))</f>
        <v/>
      </c>
      <c r="O345" s="12">
        <f>IF(H345&lt;&gt;1,0,IF((IF(Classifiers!$B$10="",0,IF(ISNUMBER(SEARCH(Classifiers!$B$10,E345)),1,0))+IF(Classifiers!$C$10="",0,IF(ISNUMBER(SEARCH(Classifiers!$C$10,E345)),1,0))+IF(Classifiers!$D$10="",0,IF(ISNUMBER(SEARCH(Classifiers!$D$10,E345)),1,0))+IF(Classifiers!$E$10="",0,IF(ISNUMBER(SEARCH(Classifiers!$E$10,E345)),1,0))+IF(Classifiers!$F$10="",0,IF(ISNUMBER(SEARCH(Classifiers!$F$10,E345)),1,0))+IF(Classifiers!$G$10="",0,IF(ISNUMBER(SEARCH(Classifiers!$G$10,E345)),1,0)))&gt;0,1,0))</f>
        <v/>
      </c>
      <c r="P345" s="12">
        <f>IF(H345&lt;&gt;1,0,IF((IF(Classifiers!$B$11="",0,IF(ISNUMBER(SEARCH(Classifiers!$B$11,E345)),1,0))+IF(Classifiers!$C$11="",0,IF(ISNUMBER(SEARCH(Classifiers!$C$11,E345)),1,0))+IF(Classifiers!$D$11="",0,IF(ISNUMBER(SEARCH(Classifiers!$D$11,E345)),1,0))+IF(Classifiers!$E$11="",0,IF(ISNUMBER(SEARCH(Classifiers!$E$11,E345)),1,0))+IF(Classifiers!$F$11="",0,IF(ISNUMBER(SEARCH(Classifiers!$F$11,E345)),1,0))+IF(Classifiers!$G$11="",0,IF(ISNUMBER(SEARCH(Classifiers!$G$11,E345)),1,0)))&gt;0,1,0))</f>
        <v/>
      </c>
      <c r="Q345" s="12">
        <f>IF(H345&lt;&gt;1,0,IF((IF(Classifiers!$B$12="",0,IF(ISNUMBER(SEARCH(Classifiers!$B$12,E345)),1,0))+IF(Classifiers!$C$12="",0,IF(ISNUMBER(SEARCH(Classifiers!$C$12,E345)),1,0))+IF(Classifiers!$D$12="",0,IF(ISNUMBER(SEARCH(Classifiers!$D$12,E345)),1,0))+IF(Classifiers!$E$12="",0,IF(ISNUMBER(SEARCH(Classifiers!$E$12,E345)),1,0))+IF(Classifiers!$F$12="",0,IF(ISNUMBER(SEARCH(Classifiers!$F$12,E345)),1,0))+IF(Classifiers!$G$12="",0,IF(ISNUMBER(SEARCH(Classifiers!$G$12,E345)),1,0)))&gt;0,1,0))</f>
        <v/>
      </c>
      <c r="R345" s="12">
        <f>IF(H345&lt;&gt;1,0,IF((IF(Classifiers!$B$13="",0,IF(ISNUMBER(SEARCH(Classifiers!$B$13,E345)),1,0))+IF(Classifiers!$C$13="",0,IF(ISNUMBER(SEARCH(Classifiers!$C$13,E345)),1,0))+IF(Classifiers!$D$13="",0,IF(ISNUMBER(SEARCH(Classifiers!$D$13,E345)),1,0))+IF(Classifiers!$E$13="",0,IF(ISNUMBER(SEARCH(Classifiers!$E$13,E345)),1,0))+IF(Classifiers!$F$13="",0,IF(ISNUMBER(SEARCH(Classifiers!$F$13,E345)),1,0))+IF(Classifiers!$G$13="",0,IF(ISNUMBER(SEARCH(Classifiers!$G$13,E345)),1,0)))&gt;0,1,0))</f>
        <v/>
      </c>
      <c r="S345" s="12">
        <f>IF(H345&lt;&gt;1,0,IF((IF(Classifiers!$B$14="",0,IF(ISNUMBER(SEARCH(Classifiers!$B$14,E345)),1,0))+IF(Classifiers!$C$14="",0,IF(ISNUMBER(SEARCH(Classifiers!$C$14,E345)),1,0))+IF(Classifiers!$D$14="",0,IF(ISNUMBER(SEARCH(Classifiers!$D$14,E345)),1,0))+IF(Classifiers!$E$14="",0,IF(ISNUMBER(SEARCH(Classifiers!$E$14,E345)),1,0))+IF(Classifiers!$F$14="",0,IF(ISNUMBER(SEARCH(Classifiers!$F$14,E345)),1,0))+IF(Classifiers!$G$14="",0,IF(ISNUMBER(SEARCH(Classifiers!$G$14,E345)),1,0)))&gt;0,1,0))</f>
        <v/>
      </c>
      <c r="T345" s="12">
        <f>IF(H345&lt;&gt;1,0,IF((IF(Classifiers!$B$15="",0,IF(ISNUMBER(SEARCH(Classifiers!$B$15,E345)),1,0))+IF(Classifiers!$C$15="",0,IF(ISNUMBER(SEARCH(Classifiers!$C$15,E345)),1,0))+IF(Classifiers!$D$15="",0,IF(ISNUMBER(SEARCH(Classifiers!$D$15,E345)),1,0))+IF(Classifiers!$E$15="",0,IF(ISNUMBER(SEARCH(Classifiers!$E$15,E345)),1,0))+IF(Classifiers!$F$15="",0,IF(ISNUMBER(SEARCH(Classifiers!$F$15,E345)),1,0))+IF(Classifiers!$G$15="",0,IF(ISNUMBER(SEARCH(Classifiers!$G$15,E345)),1,0)))&gt;0,1,0))</f>
        <v/>
      </c>
      <c r="U345" s="12">
        <f>IF(H345&lt;&gt;1,0,IF((IF(Classifiers!$B$16="",0,IF(ISNUMBER(SEARCH(Classifiers!$B$16,E345)),1,0))+IF(Classifiers!$C$16="",0,IF(ISNUMBER(SEARCH(Classifiers!$C$16,E345)),1,0))+IF(Classifiers!$D$16="",0,IF(ISNUMBER(SEARCH(Classifiers!$D$16,E345)),1,0))+IF(Classifiers!$E$16="",0,IF(ISNUMBER(SEARCH(Classifiers!$E$16,E345)),1,0))+IF(Classifiers!$F$16="",0,IF(ISNUMBER(SEARCH(Classifiers!$F$16,E345)),1,0))+IF(Classifiers!$G$16="",0,IF(ISNUMBER(SEARCH(Classifiers!$G$16,E345)),1,0)))&gt;0,1,0))</f>
        <v/>
      </c>
      <c r="V345" s="12">
        <f>IF(H345&lt;&gt;1,0,IF((IF(Classifiers!$B$17="",0,IF(ISNUMBER(SEARCH(Classifiers!$B$17,E345)),1,0))+IF(Classifiers!$C$17="",0,IF(ISNUMBER(SEARCH(Classifiers!$C$17,E345)),1,0))+IF(Classifiers!$D$17="",0,IF(ISNUMBER(SEARCH(Classifiers!$D$17,E345)),1,0))+IF(Classifiers!$E$17="",0,IF(ISNUMBER(SEARCH(Classifiers!$E$17,E345)),1,0))+IF(Classifiers!$F$17="",0,IF(ISNUMBER(SEARCH(Classifiers!$F$17,E345)),1,0))+IF(Classifiers!$G$17="",0,IF(ISNUMBER(SEARCH(Classifiers!$G$17,E345)),1,0)))&gt;0,1,0))</f>
        <v/>
      </c>
      <c r="W345" s="12">
        <f>IF(H345&lt;&gt;1,0,IF((IF(Classifiers!$B$18="",0,IF(ISNUMBER(SEARCH(Classifiers!$B$18,E345)),1,0))+IF(Classifiers!$C$18="",0,IF(ISNUMBER(SEARCH(Classifiers!$C$18,E345)),1,0))+IF(Classifiers!$D$18="",0,IF(ISNUMBER(SEARCH(Classifiers!$D$18,E345)),1,0))+IF(Classifiers!$E$18="",0,IF(ISNUMBER(SEARCH(Classifiers!$E$18,E345)),1,0))+IF(Classifiers!$F$18="",0,IF(ISNUMBER(SEARCH(Classifiers!$F$18,E345)),1,0))+IF(Classifiers!$G$18="",0,IF(ISNUMBER(SEARCH(Classifiers!$G$18,E345)),1,0)))&gt;0,1,0))</f>
        <v/>
      </c>
    </row>
    <row r="346">
      <c r="A346" s="8" t="n"/>
      <c r="B346" s="11" t="n"/>
      <c r="C346" s="6">
        <f>IF(A346="","",TRIM(RIGHT(SUBSTITUTE(A346,"/",REPT(" ",250)),250)))</f>
        <v/>
      </c>
      <c r="D346" s="6">
        <f>IF(C346="","",IF(ISNUMBER(SEARCH(".",C346)),LOWER("."&amp;TRIM(RIGHT(SUBSTITUTE(C346,".",REPT(" ",250)),250))),""))</f>
        <v/>
      </c>
      <c r="E346" s="6">
        <f>IF(C346="","",TRIM(SUBSTITUTE(SUBSTITUTE(SUBSTITUTE(SUBSTITUTE(SUBSTITUTE(SUBSTITUTE(SUBSTITUTE(SUBSTITUTE(SUBSTITUTE(SUBSTITUTE(SUBSTITUTE(SUBSTITUTE(SUBSTITUTE(SUBSTITUTE(SUBSTITUTE(SUBSTITUTE(SUBSTITUTE(SUBSTITUTE(SUBSTITUTE(SUBSTITUTE(LOWER(LEFT(C346,LEN(C346)-LEN(D346))),"_"," "),"-"," "),"."," "),","," "),"("," "),")"," "),"["," "),"]"," "),"&amp;"," "),"+"," "),"@"," "),"#"," "),"!"," "),"'"," "),"/"," "),":"," "),";"," "),"="," "),"~"," "),"%"," ")))</f>
        <v/>
      </c>
      <c r="F346" s="6">
        <f>IF(C346="","",IF(COUNTIF(Classifiers!$A$23:$A$40,D346)&gt;0,1,0))</f>
        <v/>
      </c>
      <c r="G346" s="6">
        <f>IF(C346="","",IF(COUNTIF(Classifiers!$C$23:$C$30,D346)&gt;0,IF((IF(ISNUMBER(SEARCH(Classifiers!$E$23,E346)),1,0)+IF(ISNUMBER(SEARCH(Classifiers!$E$24,E346)),1,0)+IF(ISNUMBER(SEARCH(Classifiers!$E$25,E346)),1,0)+IF(ISNUMBER(SEARCH(Classifiers!$E$26,E346)),1,0)+IF(ISNUMBER(SEARCH(Classifiers!$E$27,E346)),1,0)+IF(ISNUMBER(SEARCH(Classifiers!$E$28,E346)),1,0)+IF(ISNUMBER(SEARCH(Classifiers!$E$29,E346)),1,0)+IF(ISNUMBER(SEARCH(Classifiers!$E$30,E346)),1,0))&gt;0,1,0),0))</f>
        <v/>
      </c>
      <c r="H346" s="6">
        <f>IF(C346="","",IF(OR(LEFT(C346,1)=".",AND(F346=0,G346=0)),0,1))</f>
        <v/>
      </c>
      <c r="I346" s="6">
        <f>IF(H346&lt;&gt;1,"",IF(SUM(J346:W346)=0,"unclassified",INDEX(Classifiers!$A$5:$A$18,MATCH(1,J346:W346,0),1)))</f>
        <v/>
      </c>
      <c r="J346" s="12">
        <f>IF(H346&lt;&gt;1,0,IF((IF(Classifiers!$B$5="",0,IF(ISNUMBER(SEARCH(Classifiers!$B$5,E346)),1,0))+IF(Classifiers!$C$5="",0,IF(ISNUMBER(SEARCH(Classifiers!$C$5,E346)),1,0))+IF(Classifiers!$D$5="",0,IF(ISNUMBER(SEARCH(Classifiers!$D$5,E346)),1,0))+IF(Classifiers!$E$5="",0,IF(ISNUMBER(SEARCH(Classifiers!$E$5,E346)),1,0))+IF(Classifiers!$F$5="",0,IF(ISNUMBER(SEARCH(Classifiers!$F$5,E346)),1,0))+IF(Classifiers!$G$5="",0,IF(ISNUMBER(SEARCH(Classifiers!$G$5,E346)),1,0)))&gt;0,1,0))</f>
        <v/>
      </c>
      <c r="K346" s="12">
        <f>IF(H346&lt;&gt;1,0,IF((IF(Classifiers!$B$6="",0,IF(ISNUMBER(SEARCH(Classifiers!$B$6,E346)),1,0))+IF(Classifiers!$C$6="",0,IF(ISNUMBER(SEARCH(Classifiers!$C$6,E346)),1,0))+IF(Classifiers!$D$6="",0,IF(ISNUMBER(SEARCH(Classifiers!$D$6,E346)),1,0))+IF(Classifiers!$E$6="",0,IF(ISNUMBER(SEARCH(Classifiers!$E$6,E346)),1,0))+IF(Classifiers!$F$6="",0,IF(ISNUMBER(SEARCH(Classifiers!$F$6,E346)),1,0))+IF(Classifiers!$G$6="",0,IF(ISNUMBER(SEARCH(Classifiers!$G$6,E346)),1,0)))&gt;0,1,0))</f>
        <v/>
      </c>
      <c r="L346" s="12">
        <f>IF(H346&lt;&gt;1,0,IF((IF(Classifiers!$B$7="",0,IF(ISNUMBER(SEARCH(Classifiers!$B$7,E346)),1,0))+IF(Classifiers!$C$7="",0,IF(ISNUMBER(SEARCH(Classifiers!$C$7,E346)),1,0))+IF(Classifiers!$D$7="",0,IF(ISNUMBER(SEARCH(Classifiers!$D$7,E346)),1,0))+IF(Classifiers!$E$7="",0,IF(ISNUMBER(SEARCH(Classifiers!$E$7,E346)),1,0))+IF(Classifiers!$F$7="",0,IF(ISNUMBER(SEARCH(Classifiers!$F$7,E346)),1,0))+IF(Classifiers!$G$7="",0,IF(ISNUMBER(SEARCH(Classifiers!$G$7,E346)),1,0)))&gt;0,1,0))</f>
        <v/>
      </c>
      <c r="M346" s="12">
        <f>IF(H346&lt;&gt;1,0,IF((IF(Classifiers!$B$8="",0,IF(ISNUMBER(SEARCH(Classifiers!$B$8,E346)),1,0))+IF(Classifiers!$C$8="",0,IF(ISNUMBER(SEARCH(Classifiers!$C$8,E346)),1,0))+IF(Classifiers!$D$8="",0,IF(ISNUMBER(SEARCH(Classifiers!$D$8,E346)),1,0))+IF(Classifiers!$E$8="",0,IF(ISNUMBER(SEARCH(Classifiers!$E$8,E346)),1,0))+IF(Classifiers!$F$8="",0,IF(ISNUMBER(SEARCH(Classifiers!$F$8,E346)),1,0))+IF(Classifiers!$G$8="",0,IF(ISNUMBER(SEARCH(Classifiers!$G$8,E346)),1,0)))&gt;0,1,0))</f>
        <v/>
      </c>
      <c r="N346" s="12">
        <f>IF(H346&lt;&gt;1,0,IF((IF(Classifiers!$B$9="",0,IF(ISNUMBER(SEARCH(Classifiers!$B$9,E346)),1,0))+IF(Classifiers!$C$9="",0,IF(ISNUMBER(SEARCH(Classifiers!$C$9,E346)),1,0))+IF(Classifiers!$D$9="",0,IF(ISNUMBER(SEARCH(Classifiers!$D$9,E346)),1,0))+IF(Classifiers!$E$9="",0,IF(ISNUMBER(SEARCH(Classifiers!$E$9,E346)),1,0))+IF(Classifiers!$F$9="",0,IF(ISNUMBER(SEARCH(Classifiers!$F$9,E346)),1,0))+IF(Classifiers!$G$9="",0,IF(ISNUMBER(SEARCH(Classifiers!$G$9,E346)),1,0)))&gt;0,1,0))</f>
        <v/>
      </c>
      <c r="O346" s="12">
        <f>IF(H346&lt;&gt;1,0,IF((IF(Classifiers!$B$10="",0,IF(ISNUMBER(SEARCH(Classifiers!$B$10,E346)),1,0))+IF(Classifiers!$C$10="",0,IF(ISNUMBER(SEARCH(Classifiers!$C$10,E346)),1,0))+IF(Classifiers!$D$10="",0,IF(ISNUMBER(SEARCH(Classifiers!$D$10,E346)),1,0))+IF(Classifiers!$E$10="",0,IF(ISNUMBER(SEARCH(Classifiers!$E$10,E346)),1,0))+IF(Classifiers!$F$10="",0,IF(ISNUMBER(SEARCH(Classifiers!$F$10,E346)),1,0))+IF(Classifiers!$G$10="",0,IF(ISNUMBER(SEARCH(Classifiers!$G$10,E346)),1,0)))&gt;0,1,0))</f>
        <v/>
      </c>
      <c r="P346" s="12">
        <f>IF(H346&lt;&gt;1,0,IF((IF(Classifiers!$B$11="",0,IF(ISNUMBER(SEARCH(Classifiers!$B$11,E346)),1,0))+IF(Classifiers!$C$11="",0,IF(ISNUMBER(SEARCH(Classifiers!$C$11,E346)),1,0))+IF(Classifiers!$D$11="",0,IF(ISNUMBER(SEARCH(Classifiers!$D$11,E346)),1,0))+IF(Classifiers!$E$11="",0,IF(ISNUMBER(SEARCH(Classifiers!$E$11,E346)),1,0))+IF(Classifiers!$F$11="",0,IF(ISNUMBER(SEARCH(Classifiers!$F$11,E346)),1,0))+IF(Classifiers!$G$11="",0,IF(ISNUMBER(SEARCH(Classifiers!$G$11,E346)),1,0)))&gt;0,1,0))</f>
        <v/>
      </c>
      <c r="Q346" s="12">
        <f>IF(H346&lt;&gt;1,0,IF((IF(Classifiers!$B$12="",0,IF(ISNUMBER(SEARCH(Classifiers!$B$12,E346)),1,0))+IF(Classifiers!$C$12="",0,IF(ISNUMBER(SEARCH(Classifiers!$C$12,E346)),1,0))+IF(Classifiers!$D$12="",0,IF(ISNUMBER(SEARCH(Classifiers!$D$12,E346)),1,0))+IF(Classifiers!$E$12="",0,IF(ISNUMBER(SEARCH(Classifiers!$E$12,E346)),1,0))+IF(Classifiers!$F$12="",0,IF(ISNUMBER(SEARCH(Classifiers!$F$12,E346)),1,0))+IF(Classifiers!$G$12="",0,IF(ISNUMBER(SEARCH(Classifiers!$G$12,E346)),1,0)))&gt;0,1,0))</f>
        <v/>
      </c>
      <c r="R346" s="12">
        <f>IF(H346&lt;&gt;1,0,IF((IF(Classifiers!$B$13="",0,IF(ISNUMBER(SEARCH(Classifiers!$B$13,E346)),1,0))+IF(Classifiers!$C$13="",0,IF(ISNUMBER(SEARCH(Classifiers!$C$13,E346)),1,0))+IF(Classifiers!$D$13="",0,IF(ISNUMBER(SEARCH(Classifiers!$D$13,E346)),1,0))+IF(Classifiers!$E$13="",0,IF(ISNUMBER(SEARCH(Classifiers!$E$13,E346)),1,0))+IF(Classifiers!$F$13="",0,IF(ISNUMBER(SEARCH(Classifiers!$F$13,E346)),1,0))+IF(Classifiers!$G$13="",0,IF(ISNUMBER(SEARCH(Classifiers!$G$13,E346)),1,0)))&gt;0,1,0))</f>
        <v/>
      </c>
      <c r="S346" s="12">
        <f>IF(H346&lt;&gt;1,0,IF((IF(Classifiers!$B$14="",0,IF(ISNUMBER(SEARCH(Classifiers!$B$14,E346)),1,0))+IF(Classifiers!$C$14="",0,IF(ISNUMBER(SEARCH(Classifiers!$C$14,E346)),1,0))+IF(Classifiers!$D$14="",0,IF(ISNUMBER(SEARCH(Classifiers!$D$14,E346)),1,0))+IF(Classifiers!$E$14="",0,IF(ISNUMBER(SEARCH(Classifiers!$E$14,E346)),1,0))+IF(Classifiers!$F$14="",0,IF(ISNUMBER(SEARCH(Classifiers!$F$14,E346)),1,0))+IF(Classifiers!$G$14="",0,IF(ISNUMBER(SEARCH(Classifiers!$G$14,E346)),1,0)))&gt;0,1,0))</f>
        <v/>
      </c>
      <c r="T346" s="12">
        <f>IF(H346&lt;&gt;1,0,IF((IF(Classifiers!$B$15="",0,IF(ISNUMBER(SEARCH(Classifiers!$B$15,E346)),1,0))+IF(Classifiers!$C$15="",0,IF(ISNUMBER(SEARCH(Classifiers!$C$15,E346)),1,0))+IF(Classifiers!$D$15="",0,IF(ISNUMBER(SEARCH(Classifiers!$D$15,E346)),1,0))+IF(Classifiers!$E$15="",0,IF(ISNUMBER(SEARCH(Classifiers!$E$15,E346)),1,0))+IF(Classifiers!$F$15="",0,IF(ISNUMBER(SEARCH(Classifiers!$F$15,E346)),1,0))+IF(Classifiers!$G$15="",0,IF(ISNUMBER(SEARCH(Classifiers!$G$15,E346)),1,0)))&gt;0,1,0))</f>
        <v/>
      </c>
      <c r="U346" s="12">
        <f>IF(H346&lt;&gt;1,0,IF((IF(Classifiers!$B$16="",0,IF(ISNUMBER(SEARCH(Classifiers!$B$16,E346)),1,0))+IF(Classifiers!$C$16="",0,IF(ISNUMBER(SEARCH(Classifiers!$C$16,E346)),1,0))+IF(Classifiers!$D$16="",0,IF(ISNUMBER(SEARCH(Classifiers!$D$16,E346)),1,0))+IF(Classifiers!$E$16="",0,IF(ISNUMBER(SEARCH(Classifiers!$E$16,E346)),1,0))+IF(Classifiers!$F$16="",0,IF(ISNUMBER(SEARCH(Classifiers!$F$16,E346)),1,0))+IF(Classifiers!$G$16="",0,IF(ISNUMBER(SEARCH(Classifiers!$G$16,E346)),1,0)))&gt;0,1,0))</f>
        <v/>
      </c>
      <c r="V346" s="12">
        <f>IF(H346&lt;&gt;1,0,IF((IF(Classifiers!$B$17="",0,IF(ISNUMBER(SEARCH(Classifiers!$B$17,E346)),1,0))+IF(Classifiers!$C$17="",0,IF(ISNUMBER(SEARCH(Classifiers!$C$17,E346)),1,0))+IF(Classifiers!$D$17="",0,IF(ISNUMBER(SEARCH(Classifiers!$D$17,E346)),1,0))+IF(Classifiers!$E$17="",0,IF(ISNUMBER(SEARCH(Classifiers!$E$17,E346)),1,0))+IF(Classifiers!$F$17="",0,IF(ISNUMBER(SEARCH(Classifiers!$F$17,E346)),1,0))+IF(Classifiers!$G$17="",0,IF(ISNUMBER(SEARCH(Classifiers!$G$17,E346)),1,0)))&gt;0,1,0))</f>
        <v/>
      </c>
      <c r="W346" s="12">
        <f>IF(H346&lt;&gt;1,0,IF((IF(Classifiers!$B$18="",0,IF(ISNUMBER(SEARCH(Classifiers!$B$18,E346)),1,0))+IF(Classifiers!$C$18="",0,IF(ISNUMBER(SEARCH(Classifiers!$C$18,E346)),1,0))+IF(Classifiers!$D$18="",0,IF(ISNUMBER(SEARCH(Classifiers!$D$18,E346)),1,0))+IF(Classifiers!$E$18="",0,IF(ISNUMBER(SEARCH(Classifiers!$E$18,E346)),1,0))+IF(Classifiers!$F$18="",0,IF(ISNUMBER(SEARCH(Classifiers!$F$18,E346)),1,0))+IF(Classifiers!$G$18="",0,IF(ISNUMBER(SEARCH(Classifiers!$G$18,E346)),1,0)))&gt;0,1,0))</f>
        <v/>
      </c>
    </row>
    <row r="347">
      <c r="A347" s="8" t="n"/>
      <c r="B347" s="11" t="n"/>
      <c r="C347" s="6">
        <f>IF(A347="","",TRIM(RIGHT(SUBSTITUTE(A347,"/",REPT(" ",250)),250)))</f>
        <v/>
      </c>
      <c r="D347" s="6">
        <f>IF(C347="","",IF(ISNUMBER(SEARCH(".",C347)),LOWER("."&amp;TRIM(RIGHT(SUBSTITUTE(C347,".",REPT(" ",250)),250))),""))</f>
        <v/>
      </c>
      <c r="E347" s="6">
        <f>IF(C347="","",TRIM(SUBSTITUTE(SUBSTITUTE(SUBSTITUTE(SUBSTITUTE(SUBSTITUTE(SUBSTITUTE(SUBSTITUTE(SUBSTITUTE(SUBSTITUTE(SUBSTITUTE(SUBSTITUTE(SUBSTITUTE(SUBSTITUTE(SUBSTITUTE(SUBSTITUTE(SUBSTITUTE(SUBSTITUTE(SUBSTITUTE(SUBSTITUTE(SUBSTITUTE(LOWER(LEFT(C347,LEN(C347)-LEN(D347))),"_"," "),"-"," "),"."," "),","," "),"("," "),")"," "),"["," "),"]"," "),"&amp;"," "),"+"," "),"@"," "),"#"," "),"!"," "),"'"," "),"/"," "),":"," "),";"," "),"="," "),"~"," "),"%"," ")))</f>
        <v/>
      </c>
      <c r="F347" s="6">
        <f>IF(C347="","",IF(COUNTIF(Classifiers!$A$23:$A$40,D347)&gt;0,1,0))</f>
        <v/>
      </c>
      <c r="G347" s="6">
        <f>IF(C347="","",IF(COUNTIF(Classifiers!$C$23:$C$30,D347)&gt;0,IF((IF(ISNUMBER(SEARCH(Classifiers!$E$23,E347)),1,0)+IF(ISNUMBER(SEARCH(Classifiers!$E$24,E347)),1,0)+IF(ISNUMBER(SEARCH(Classifiers!$E$25,E347)),1,0)+IF(ISNUMBER(SEARCH(Classifiers!$E$26,E347)),1,0)+IF(ISNUMBER(SEARCH(Classifiers!$E$27,E347)),1,0)+IF(ISNUMBER(SEARCH(Classifiers!$E$28,E347)),1,0)+IF(ISNUMBER(SEARCH(Classifiers!$E$29,E347)),1,0)+IF(ISNUMBER(SEARCH(Classifiers!$E$30,E347)),1,0))&gt;0,1,0),0))</f>
        <v/>
      </c>
      <c r="H347" s="6">
        <f>IF(C347="","",IF(OR(LEFT(C347,1)=".",AND(F347=0,G347=0)),0,1))</f>
        <v/>
      </c>
      <c r="I347" s="6">
        <f>IF(H347&lt;&gt;1,"",IF(SUM(J347:W347)=0,"unclassified",INDEX(Classifiers!$A$5:$A$18,MATCH(1,J347:W347,0),1)))</f>
        <v/>
      </c>
      <c r="J347" s="12">
        <f>IF(H347&lt;&gt;1,0,IF((IF(Classifiers!$B$5="",0,IF(ISNUMBER(SEARCH(Classifiers!$B$5,E347)),1,0))+IF(Classifiers!$C$5="",0,IF(ISNUMBER(SEARCH(Classifiers!$C$5,E347)),1,0))+IF(Classifiers!$D$5="",0,IF(ISNUMBER(SEARCH(Classifiers!$D$5,E347)),1,0))+IF(Classifiers!$E$5="",0,IF(ISNUMBER(SEARCH(Classifiers!$E$5,E347)),1,0))+IF(Classifiers!$F$5="",0,IF(ISNUMBER(SEARCH(Classifiers!$F$5,E347)),1,0))+IF(Classifiers!$G$5="",0,IF(ISNUMBER(SEARCH(Classifiers!$G$5,E347)),1,0)))&gt;0,1,0))</f>
        <v/>
      </c>
      <c r="K347" s="12">
        <f>IF(H347&lt;&gt;1,0,IF((IF(Classifiers!$B$6="",0,IF(ISNUMBER(SEARCH(Classifiers!$B$6,E347)),1,0))+IF(Classifiers!$C$6="",0,IF(ISNUMBER(SEARCH(Classifiers!$C$6,E347)),1,0))+IF(Classifiers!$D$6="",0,IF(ISNUMBER(SEARCH(Classifiers!$D$6,E347)),1,0))+IF(Classifiers!$E$6="",0,IF(ISNUMBER(SEARCH(Classifiers!$E$6,E347)),1,0))+IF(Classifiers!$F$6="",0,IF(ISNUMBER(SEARCH(Classifiers!$F$6,E347)),1,0))+IF(Classifiers!$G$6="",0,IF(ISNUMBER(SEARCH(Classifiers!$G$6,E347)),1,0)))&gt;0,1,0))</f>
        <v/>
      </c>
      <c r="L347" s="12">
        <f>IF(H347&lt;&gt;1,0,IF((IF(Classifiers!$B$7="",0,IF(ISNUMBER(SEARCH(Classifiers!$B$7,E347)),1,0))+IF(Classifiers!$C$7="",0,IF(ISNUMBER(SEARCH(Classifiers!$C$7,E347)),1,0))+IF(Classifiers!$D$7="",0,IF(ISNUMBER(SEARCH(Classifiers!$D$7,E347)),1,0))+IF(Classifiers!$E$7="",0,IF(ISNUMBER(SEARCH(Classifiers!$E$7,E347)),1,0))+IF(Classifiers!$F$7="",0,IF(ISNUMBER(SEARCH(Classifiers!$F$7,E347)),1,0))+IF(Classifiers!$G$7="",0,IF(ISNUMBER(SEARCH(Classifiers!$G$7,E347)),1,0)))&gt;0,1,0))</f>
        <v/>
      </c>
      <c r="M347" s="12">
        <f>IF(H347&lt;&gt;1,0,IF((IF(Classifiers!$B$8="",0,IF(ISNUMBER(SEARCH(Classifiers!$B$8,E347)),1,0))+IF(Classifiers!$C$8="",0,IF(ISNUMBER(SEARCH(Classifiers!$C$8,E347)),1,0))+IF(Classifiers!$D$8="",0,IF(ISNUMBER(SEARCH(Classifiers!$D$8,E347)),1,0))+IF(Classifiers!$E$8="",0,IF(ISNUMBER(SEARCH(Classifiers!$E$8,E347)),1,0))+IF(Classifiers!$F$8="",0,IF(ISNUMBER(SEARCH(Classifiers!$F$8,E347)),1,0))+IF(Classifiers!$G$8="",0,IF(ISNUMBER(SEARCH(Classifiers!$G$8,E347)),1,0)))&gt;0,1,0))</f>
        <v/>
      </c>
      <c r="N347" s="12">
        <f>IF(H347&lt;&gt;1,0,IF((IF(Classifiers!$B$9="",0,IF(ISNUMBER(SEARCH(Classifiers!$B$9,E347)),1,0))+IF(Classifiers!$C$9="",0,IF(ISNUMBER(SEARCH(Classifiers!$C$9,E347)),1,0))+IF(Classifiers!$D$9="",0,IF(ISNUMBER(SEARCH(Classifiers!$D$9,E347)),1,0))+IF(Classifiers!$E$9="",0,IF(ISNUMBER(SEARCH(Classifiers!$E$9,E347)),1,0))+IF(Classifiers!$F$9="",0,IF(ISNUMBER(SEARCH(Classifiers!$F$9,E347)),1,0))+IF(Classifiers!$G$9="",0,IF(ISNUMBER(SEARCH(Classifiers!$G$9,E347)),1,0)))&gt;0,1,0))</f>
        <v/>
      </c>
      <c r="O347" s="12">
        <f>IF(H347&lt;&gt;1,0,IF((IF(Classifiers!$B$10="",0,IF(ISNUMBER(SEARCH(Classifiers!$B$10,E347)),1,0))+IF(Classifiers!$C$10="",0,IF(ISNUMBER(SEARCH(Classifiers!$C$10,E347)),1,0))+IF(Classifiers!$D$10="",0,IF(ISNUMBER(SEARCH(Classifiers!$D$10,E347)),1,0))+IF(Classifiers!$E$10="",0,IF(ISNUMBER(SEARCH(Classifiers!$E$10,E347)),1,0))+IF(Classifiers!$F$10="",0,IF(ISNUMBER(SEARCH(Classifiers!$F$10,E347)),1,0))+IF(Classifiers!$G$10="",0,IF(ISNUMBER(SEARCH(Classifiers!$G$10,E347)),1,0)))&gt;0,1,0))</f>
        <v/>
      </c>
      <c r="P347" s="12">
        <f>IF(H347&lt;&gt;1,0,IF((IF(Classifiers!$B$11="",0,IF(ISNUMBER(SEARCH(Classifiers!$B$11,E347)),1,0))+IF(Classifiers!$C$11="",0,IF(ISNUMBER(SEARCH(Classifiers!$C$11,E347)),1,0))+IF(Classifiers!$D$11="",0,IF(ISNUMBER(SEARCH(Classifiers!$D$11,E347)),1,0))+IF(Classifiers!$E$11="",0,IF(ISNUMBER(SEARCH(Classifiers!$E$11,E347)),1,0))+IF(Classifiers!$F$11="",0,IF(ISNUMBER(SEARCH(Classifiers!$F$11,E347)),1,0))+IF(Classifiers!$G$11="",0,IF(ISNUMBER(SEARCH(Classifiers!$G$11,E347)),1,0)))&gt;0,1,0))</f>
        <v/>
      </c>
      <c r="Q347" s="12">
        <f>IF(H347&lt;&gt;1,0,IF((IF(Classifiers!$B$12="",0,IF(ISNUMBER(SEARCH(Classifiers!$B$12,E347)),1,0))+IF(Classifiers!$C$12="",0,IF(ISNUMBER(SEARCH(Classifiers!$C$12,E347)),1,0))+IF(Classifiers!$D$12="",0,IF(ISNUMBER(SEARCH(Classifiers!$D$12,E347)),1,0))+IF(Classifiers!$E$12="",0,IF(ISNUMBER(SEARCH(Classifiers!$E$12,E347)),1,0))+IF(Classifiers!$F$12="",0,IF(ISNUMBER(SEARCH(Classifiers!$F$12,E347)),1,0))+IF(Classifiers!$G$12="",0,IF(ISNUMBER(SEARCH(Classifiers!$G$12,E347)),1,0)))&gt;0,1,0))</f>
        <v/>
      </c>
      <c r="R347" s="12">
        <f>IF(H347&lt;&gt;1,0,IF((IF(Classifiers!$B$13="",0,IF(ISNUMBER(SEARCH(Classifiers!$B$13,E347)),1,0))+IF(Classifiers!$C$13="",0,IF(ISNUMBER(SEARCH(Classifiers!$C$13,E347)),1,0))+IF(Classifiers!$D$13="",0,IF(ISNUMBER(SEARCH(Classifiers!$D$13,E347)),1,0))+IF(Classifiers!$E$13="",0,IF(ISNUMBER(SEARCH(Classifiers!$E$13,E347)),1,0))+IF(Classifiers!$F$13="",0,IF(ISNUMBER(SEARCH(Classifiers!$F$13,E347)),1,0))+IF(Classifiers!$G$13="",0,IF(ISNUMBER(SEARCH(Classifiers!$G$13,E347)),1,0)))&gt;0,1,0))</f>
        <v/>
      </c>
      <c r="S347" s="12">
        <f>IF(H347&lt;&gt;1,0,IF((IF(Classifiers!$B$14="",0,IF(ISNUMBER(SEARCH(Classifiers!$B$14,E347)),1,0))+IF(Classifiers!$C$14="",0,IF(ISNUMBER(SEARCH(Classifiers!$C$14,E347)),1,0))+IF(Classifiers!$D$14="",0,IF(ISNUMBER(SEARCH(Classifiers!$D$14,E347)),1,0))+IF(Classifiers!$E$14="",0,IF(ISNUMBER(SEARCH(Classifiers!$E$14,E347)),1,0))+IF(Classifiers!$F$14="",0,IF(ISNUMBER(SEARCH(Classifiers!$F$14,E347)),1,0))+IF(Classifiers!$G$14="",0,IF(ISNUMBER(SEARCH(Classifiers!$G$14,E347)),1,0)))&gt;0,1,0))</f>
        <v/>
      </c>
      <c r="T347" s="12">
        <f>IF(H347&lt;&gt;1,0,IF((IF(Classifiers!$B$15="",0,IF(ISNUMBER(SEARCH(Classifiers!$B$15,E347)),1,0))+IF(Classifiers!$C$15="",0,IF(ISNUMBER(SEARCH(Classifiers!$C$15,E347)),1,0))+IF(Classifiers!$D$15="",0,IF(ISNUMBER(SEARCH(Classifiers!$D$15,E347)),1,0))+IF(Classifiers!$E$15="",0,IF(ISNUMBER(SEARCH(Classifiers!$E$15,E347)),1,0))+IF(Classifiers!$F$15="",0,IF(ISNUMBER(SEARCH(Classifiers!$F$15,E347)),1,0))+IF(Classifiers!$G$15="",0,IF(ISNUMBER(SEARCH(Classifiers!$G$15,E347)),1,0)))&gt;0,1,0))</f>
        <v/>
      </c>
      <c r="U347" s="12">
        <f>IF(H347&lt;&gt;1,0,IF((IF(Classifiers!$B$16="",0,IF(ISNUMBER(SEARCH(Classifiers!$B$16,E347)),1,0))+IF(Classifiers!$C$16="",0,IF(ISNUMBER(SEARCH(Classifiers!$C$16,E347)),1,0))+IF(Classifiers!$D$16="",0,IF(ISNUMBER(SEARCH(Classifiers!$D$16,E347)),1,0))+IF(Classifiers!$E$16="",0,IF(ISNUMBER(SEARCH(Classifiers!$E$16,E347)),1,0))+IF(Classifiers!$F$16="",0,IF(ISNUMBER(SEARCH(Classifiers!$F$16,E347)),1,0))+IF(Classifiers!$G$16="",0,IF(ISNUMBER(SEARCH(Classifiers!$G$16,E347)),1,0)))&gt;0,1,0))</f>
        <v/>
      </c>
      <c r="V347" s="12">
        <f>IF(H347&lt;&gt;1,0,IF((IF(Classifiers!$B$17="",0,IF(ISNUMBER(SEARCH(Classifiers!$B$17,E347)),1,0))+IF(Classifiers!$C$17="",0,IF(ISNUMBER(SEARCH(Classifiers!$C$17,E347)),1,0))+IF(Classifiers!$D$17="",0,IF(ISNUMBER(SEARCH(Classifiers!$D$17,E347)),1,0))+IF(Classifiers!$E$17="",0,IF(ISNUMBER(SEARCH(Classifiers!$E$17,E347)),1,0))+IF(Classifiers!$F$17="",0,IF(ISNUMBER(SEARCH(Classifiers!$F$17,E347)),1,0))+IF(Classifiers!$G$17="",0,IF(ISNUMBER(SEARCH(Classifiers!$G$17,E347)),1,0)))&gt;0,1,0))</f>
        <v/>
      </c>
      <c r="W347" s="12">
        <f>IF(H347&lt;&gt;1,0,IF((IF(Classifiers!$B$18="",0,IF(ISNUMBER(SEARCH(Classifiers!$B$18,E347)),1,0))+IF(Classifiers!$C$18="",0,IF(ISNUMBER(SEARCH(Classifiers!$C$18,E347)),1,0))+IF(Classifiers!$D$18="",0,IF(ISNUMBER(SEARCH(Classifiers!$D$18,E347)),1,0))+IF(Classifiers!$E$18="",0,IF(ISNUMBER(SEARCH(Classifiers!$E$18,E347)),1,0))+IF(Classifiers!$F$18="",0,IF(ISNUMBER(SEARCH(Classifiers!$F$18,E347)),1,0))+IF(Classifiers!$G$18="",0,IF(ISNUMBER(SEARCH(Classifiers!$G$18,E347)),1,0)))&gt;0,1,0))</f>
        <v/>
      </c>
    </row>
    <row r="348">
      <c r="A348" s="8" t="n"/>
      <c r="B348" s="11" t="n"/>
      <c r="C348" s="6">
        <f>IF(A348="","",TRIM(RIGHT(SUBSTITUTE(A348,"/",REPT(" ",250)),250)))</f>
        <v/>
      </c>
      <c r="D348" s="6">
        <f>IF(C348="","",IF(ISNUMBER(SEARCH(".",C348)),LOWER("."&amp;TRIM(RIGHT(SUBSTITUTE(C348,".",REPT(" ",250)),250))),""))</f>
        <v/>
      </c>
      <c r="E348" s="6">
        <f>IF(C348="","",TRIM(SUBSTITUTE(SUBSTITUTE(SUBSTITUTE(SUBSTITUTE(SUBSTITUTE(SUBSTITUTE(SUBSTITUTE(SUBSTITUTE(SUBSTITUTE(SUBSTITUTE(SUBSTITUTE(SUBSTITUTE(SUBSTITUTE(SUBSTITUTE(SUBSTITUTE(SUBSTITUTE(SUBSTITUTE(SUBSTITUTE(SUBSTITUTE(SUBSTITUTE(LOWER(LEFT(C348,LEN(C348)-LEN(D348))),"_"," "),"-"," "),"."," "),","," "),"("," "),")"," "),"["," "),"]"," "),"&amp;"," "),"+"," "),"@"," "),"#"," "),"!"," "),"'"," "),"/"," "),":"," "),";"," "),"="," "),"~"," "),"%"," ")))</f>
        <v/>
      </c>
      <c r="F348" s="6">
        <f>IF(C348="","",IF(COUNTIF(Classifiers!$A$23:$A$40,D348)&gt;0,1,0))</f>
        <v/>
      </c>
      <c r="G348" s="6">
        <f>IF(C348="","",IF(COUNTIF(Classifiers!$C$23:$C$30,D348)&gt;0,IF((IF(ISNUMBER(SEARCH(Classifiers!$E$23,E348)),1,0)+IF(ISNUMBER(SEARCH(Classifiers!$E$24,E348)),1,0)+IF(ISNUMBER(SEARCH(Classifiers!$E$25,E348)),1,0)+IF(ISNUMBER(SEARCH(Classifiers!$E$26,E348)),1,0)+IF(ISNUMBER(SEARCH(Classifiers!$E$27,E348)),1,0)+IF(ISNUMBER(SEARCH(Classifiers!$E$28,E348)),1,0)+IF(ISNUMBER(SEARCH(Classifiers!$E$29,E348)),1,0)+IF(ISNUMBER(SEARCH(Classifiers!$E$30,E348)),1,0))&gt;0,1,0),0))</f>
        <v/>
      </c>
      <c r="H348" s="6">
        <f>IF(C348="","",IF(OR(LEFT(C348,1)=".",AND(F348=0,G348=0)),0,1))</f>
        <v/>
      </c>
      <c r="I348" s="6">
        <f>IF(H348&lt;&gt;1,"",IF(SUM(J348:W348)=0,"unclassified",INDEX(Classifiers!$A$5:$A$18,MATCH(1,J348:W348,0),1)))</f>
        <v/>
      </c>
      <c r="J348" s="12">
        <f>IF(H348&lt;&gt;1,0,IF((IF(Classifiers!$B$5="",0,IF(ISNUMBER(SEARCH(Classifiers!$B$5,E348)),1,0))+IF(Classifiers!$C$5="",0,IF(ISNUMBER(SEARCH(Classifiers!$C$5,E348)),1,0))+IF(Classifiers!$D$5="",0,IF(ISNUMBER(SEARCH(Classifiers!$D$5,E348)),1,0))+IF(Classifiers!$E$5="",0,IF(ISNUMBER(SEARCH(Classifiers!$E$5,E348)),1,0))+IF(Classifiers!$F$5="",0,IF(ISNUMBER(SEARCH(Classifiers!$F$5,E348)),1,0))+IF(Classifiers!$G$5="",0,IF(ISNUMBER(SEARCH(Classifiers!$G$5,E348)),1,0)))&gt;0,1,0))</f>
        <v/>
      </c>
      <c r="K348" s="12">
        <f>IF(H348&lt;&gt;1,0,IF((IF(Classifiers!$B$6="",0,IF(ISNUMBER(SEARCH(Classifiers!$B$6,E348)),1,0))+IF(Classifiers!$C$6="",0,IF(ISNUMBER(SEARCH(Classifiers!$C$6,E348)),1,0))+IF(Classifiers!$D$6="",0,IF(ISNUMBER(SEARCH(Classifiers!$D$6,E348)),1,0))+IF(Classifiers!$E$6="",0,IF(ISNUMBER(SEARCH(Classifiers!$E$6,E348)),1,0))+IF(Classifiers!$F$6="",0,IF(ISNUMBER(SEARCH(Classifiers!$F$6,E348)),1,0))+IF(Classifiers!$G$6="",0,IF(ISNUMBER(SEARCH(Classifiers!$G$6,E348)),1,0)))&gt;0,1,0))</f>
        <v/>
      </c>
      <c r="L348" s="12">
        <f>IF(H348&lt;&gt;1,0,IF((IF(Classifiers!$B$7="",0,IF(ISNUMBER(SEARCH(Classifiers!$B$7,E348)),1,0))+IF(Classifiers!$C$7="",0,IF(ISNUMBER(SEARCH(Classifiers!$C$7,E348)),1,0))+IF(Classifiers!$D$7="",0,IF(ISNUMBER(SEARCH(Classifiers!$D$7,E348)),1,0))+IF(Classifiers!$E$7="",0,IF(ISNUMBER(SEARCH(Classifiers!$E$7,E348)),1,0))+IF(Classifiers!$F$7="",0,IF(ISNUMBER(SEARCH(Classifiers!$F$7,E348)),1,0))+IF(Classifiers!$G$7="",0,IF(ISNUMBER(SEARCH(Classifiers!$G$7,E348)),1,0)))&gt;0,1,0))</f>
        <v/>
      </c>
      <c r="M348" s="12">
        <f>IF(H348&lt;&gt;1,0,IF((IF(Classifiers!$B$8="",0,IF(ISNUMBER(SEARCH(Classifiers!$B$8,E348)),1,0))+IF(Classifiers!$C$8="",0,IF(ISNUMBER(SEARCH(Classifiers!$C$8,E348)),1,0))+IF(Classifiers!$D$8="",0,IF(ISNUMBER(SEARCH(Classifiers!$D$8,E348)),1,0))+IF(Classifiers!$E$8="",0,IF(ISNUMBER(SEARCH(Classifiers!$E$8,E348)),1,0))+IF(Classifiers!$F$8="",0,IF(ISNUMBER(SEARCH(Classifiers!$F$8,E348)),1,0))+IF(Classifiers!$G$8="",0,IF(ISNUMBER(SEARCH(Classifiers!$G$8,E348)),1,0)))&gt;0,1,0))</f>
        <v/>
      </c>
      <c r="N348" s="12">
        <f>IF(H348&lt;&gt;1,0,IF((IF(Classifiers!$B$9="",0,IF(ISNUMBER(SEARCH(Classifiers!$B$9,E348)),1,0))+IF(Classifiers!$C$9="",0,IF(ISNUMBER(SEARCH(Classifiers!$C$9,E348)),1,0))+IF(Classifiers!$D$9="",0,IF(ISNUMBER(SEARCH(Classifiers!$D$9,E348)),1,0))+IF(Classifiers!$E$9="",0,IF(ISNUMBER(SEARCH(Classifiers!$E$9,E348)),1,0))+IF(Classifiers!$F$9="",0,IF(ISNUMBER(SEARCH(Classifiers!$F$9,E348)),1,0))+IF(Classifiers!$G$9="",0,IF(ISNUMBER(SEARCH(Classifiers!$G$9,E348)),1,0)))&gt;0,1,0))</f>
        <v/>
      </c>
      <c r="O348" s="12">
        <f>IF(H348&lt;&gt;1,0,IF((IF(Classifiers!$B$10="",0,IF(ISNUMBER(SEARCH(Classifiers!$B$10,E348)),1,0))+IF(Classifiers!$C$10="",0,IF(ISNUMBER(SEARCH(Classifiers!$C$10,E348)),1,0))+IF(Classifiers!$D$10="",0,IF(ISNUMBER(SEARCH(Classifiers!$D$10,E348)),1,0))+IF(Classifiers!$E$10="",0,IF(ISNUMBER(SEARCH(Classifiers!$E$10,E348)),1,0))+IF(Classifiers!$F$10="",0,IF(ISNUMBER(SEARCH(Classifiers!$F$10,E348)),1,0))+IF(Classifiers!$G$10="",0,IF(ISNUMBER(SEARCH(Classifiers!$G$10,E348)),1,0)))&gt;0,1,0))</f>
        <v/>
      </c>
      <c r="P348" s="12">
        <f>IF(H348&lt;&gt;1,0,IF((IF(Classifiers!$B$11="",0,IF(ISNUMBER(SEARCH(Classifiers!$B$11,E348)),1,0))+IF(Classifiers!$C$11="",0,IF(ISNUMBER(SEARCH(Classifiers!$C$11,E348)),1,0))+IF(Classifiers!$D$11="",0,IF(ISNUMBER(SEARCH(Classifiers!$D$11,E348)),1,0))+IF(Classifiers!$E$11="",0,IF(ISNUMBER(SEARCH(Classifiers!$E$11,E348)),1,0))+IF(Classifiers!$F$11="",0,IF(ISNUMBER(SEARCH(Classifiers!$F$11,E348)),1,0))+IF(Classifiers!$G$11="",0,IF(ISNUMBER(SEARCH(Classifiers!$G$11,E348)),1,0)))&gt;0,1,0))</f>
        <v/>
      </c>
      <c r="Q348" s="12">
        <f>IF(H348&lt;&gt;1,0,IF((IF(Classifiers!$B$12="",0,IF(ISNUMBER(SEARCH(Classifiers!$B$12,E348)),1,0))+IF(Classifiers!$C$12="",0,IF(ISNUMBER(SEARCH(Classifiers!$C$12,E348)),1,0))+IF(Classifiers!$D$12="",0,IF(ISNUMBER(SEARCH(Classifiers!$D$12,E348)),1,0))+IF(Classifiers!$E$12="",0,IF(ISNUMBER(SEARCH(Classifiers!$E$12,E348)),1,0))+IF(Classifiers!$F$12="",0,IF(ISNUMBER(SEARCH(Classifiers!$F$12,E348)),1,0))+IF(Classifiers!$G$12="",0,IF(ISNUMBER(SEARCH(Classifiers!$G$12,E348)),1,0)))&gt;0,1,0))</f>
        <v/>
      </c>
      <c r="R348" s="12">
        <f>IF(H348&lt;&gt;1,0,IF((IF(Classifiers!$B$13="",0,IF(ISNUMBER(SEARCH(Classifiers!$B$13,E348)),1,0))+IF(Classifiers!$C$13="",0,IF(ISNUMBER(SEARCH(Classifiers!$C$13,E348)),1,0))+IF(Classifiers!$D$13="",0,IF(ISNUMBER(SEARCH(Classifiers!$D$13,E348)),1,0))+IF(Classifiers!$E$13="",0,IF(ISNUMBER(SEARCH(Classifiers!$E$13,E348)),1,0))+IF(Classifiers!$F$13="",0,IF(ISNUMBER(SEARCH(Classifiers!$F$13,E348)),1,0))+IF(Classifiers!$G$13="",0,IF(ISNUMBER(SEARCH(Classifiers!$G$13,E348)),1,0)))&gt;0,1,0))</f>
        <v/>
      </c>
      <c r="S348" s="12">
        <f>IF(H348&lt;&gt;1,0,IF((IF(Classifiers!$B$14="",0,IF(ISNUMBER(SEARCH(Classifiers!$B$14,E348)),1,0))+IF(Classifiers!$C$14="",0,IF(ISNUMBER(SEARCH(Classifiers!$C$14,E348)),1,0))+IF(Classifiers!$D$14="",0,IF(ISNUMBER(SEARCH(Classifiers!$D$14,E348)),1,0))+IF(Classifiers!$E$14="",0,IF(ISNUMBER(SEARCH(Classifiers!$E$14,E348)),1,0))+IF(Classifiers!$F$14="",0,IF(ISNUMBER(SEARCH(Classifiers!$F$14,E348)),1,0))+IF(Classifiers!$G$14="",0,IF(ISNUMBER(SEARCH(Classifiers!$G$14,E348)),1,0)))&gt;0,1,0))</f>
        <v/>
      </c>
      <c r="T348" s="12">
        <f>IF(H348&lt;&gt;1,0,IF((IF(Classifiers!$B$15="",0,IF(ISNUMBER(SEARCH(Classifiers!$B$15,E348)),1,0))+IF(Classifiers!$C$15="",0,IF(ISNUMBER(SEARCH(Classifiers!$C$15,E348)),1,0))+IF(Classifiers!$D$15="",0,IF(ISNUMBER(SEARCH(Classifiers!$D$15,E348)),1,0))+IF(Classifiers!$E$15="",0,IF(ISNUMBER(SEARCH(Classifiers!$E$15,E348)),1,0))+IF(Classifiers!$F$15="",0,IF(ISNUMBER(SEARCH(Classifiers!$F$15,E348)),1,0))+IF(Classifiers!$G$15="",0,IF(ISNUMBER(SEARCH(Classifiers!$G$15,E348)),1,0)))&gt;0,1,0))</f>
        <v/>
      </c>
      <c r="U348" s="12">
        <f>IF(H348&lt;&gt;1,0,IF((IF(Classifiers!$B$16="",0,IF(ISNUMBER(SEARCH(Classifiers!$B$16,E348)),1,0))+IF(Classifiers!$C$16="",0,IF(ISNUMBER(SEARCH(Classifiers!$C$16,E348)),1,0))+IF(Classifiers!$D$16="",0,IF(ISNUMBER(SEARCH(Classifiers!$D$16,E348)),1,0))+IF(Classifiers!$E$16="",0,IF(ISNUMBER(SEARCH(Classifiers!$E$16,E348)),1,0))+IF(Classifiers!$F$16="",0,IF(ISNUMBER(SEARCH(Classifiers!$F$16,E348)),1,0))+IF(Classifiers!$G$16="",0,IF(ISNUMBER(SEARCH(Classifiers!$G$16,E348)),1,0)))&gt;0,1,0))</f>
        <v/>
      </c>
      <c r="V348" s="12">
        <f>IF(H348&lt;&gt;1,0,IF((IF(Classifiers!$B$17="",0,IF(ISNUMBER(SEARCH(Classifiers!$B$17,E348)),1,0))+IF(Classifiers!$C$17="",0,IF(ISNUMBER(SEARCH(Classifiers!$C$17,E348)),1,0))+IF(Classifiers!$D$17="",0,IF(ISNUMBER(SEARCH(Classifiers!$D$17,E348)),1,0))+IF(Classifiers!$E$17="",0,IF(ISNUMBER(SEARCH(Classifiers!$E$17,E348)),1,0))+IF(Classifiers!$F$17="",0,IF(ISNUMBER(SEARCH(Classifiers!$F$17,E348)),1,0))+IF(Classifiers!$G$17="",0,IF(ISNUMBER(SEARCH(Classifiers!$G$17,E348)),1,0)))&gt;0,1,0))</f>
        <v/>
      </c>
      <c r="W348" s="12">
        <f>IF(H348&lt;&gt;1,0,IF((IF(Classifiers!$B$18="",0,IF(ISNUMBER(SEARCH(Classifiers!$B$18,E348)),1,0))+IF(Classifiers!$C$18="",0,IF(ISNUMBER(SEARCH(Classifiers!$C$18,E348)),1,0))+IF(Classifiers!$D$18="",0,IF(ISNUMBER(SEARCH(Classifiers!$D$18,E348)),1,0))+IF(Classifiers!$E$18="",0,IF(ISNUMBER(SEARCH(Classifiers!$E$18,E348)),1,0))+IF(Classifiers!$F$18="",0,IF(ISNUMBER(SEARCH(Classifiers!$F$18,E348)),1,0))+IF(Classifiers!$G$18="",0,IF(ISNUMBER(SEARCH(Classifiers!$G$18,E348)),1,0)))&gt;0,1,0))</f>
        <v/>
      </c>
    </row>
    <row r="349">
      <c r="A349" s="8" t="n"/>
      <c r="B349" s="11" t="n"/>
      <c r="C349" s="6">
        <f>IF(A349="","",TRIM(RIGHT(SUBSTITUTE(A349,"/",REPT(" ",250)),250)))</f>
        <v/>
      </c>
      <c r="D349" s="6">
        <f>IF(C349="","",IF(ISNUMBER(SEARCH(".",C349)),LOWER("."&amp;TRIM(RIGHT(SUBSTITUTE(C349,".",REPT(" ",250)),250))),""))</f>
        <v/>
      </c>
      <c r="E349" s="6">
        <f>IF(C349="","",TRIM(SUBSTITUTE(SUBSTITUTE(SUBSTITUTE(SUBSTITUTE(SUBSTITUTE(SUBSTITUTE(SUBSTITUTE(SUBSTITUTE(SUBSTITUTE(SUBSTITUTE(SUBSTITUTE(SUBSTITUTE(SUBSTITUTE(SUBSTITUTE(SUBSTITUTE(SUBSTITUTE(SUBSTITUTE(SUBSTITUTE(SUBSTITUTE(SUBSTITUTE(LOWER(LEFT(C349,LEN(C349)-LEN(D349))),"_"," "),"-"," "),"."," "),","," "),"("," "),")"," "),"["," "),"]"," "),"&amp;"," "),"+"," "),"@"," "),"#"," "),"!"," "),"'"," "),"/"," "),":"," "),";"," "),"="," "),"~"," "),"%"," ")))</f>
        <v/>
      </c>
      <c r="F349" s="6">
        <f>IF(C349="","",IF(COUNTIF(Classifiers!$A$23:$A$40,D349)&gt;0,1,0))</f>
        <v/>
      </c>
      <c r="G349" s="6">
        <f>IF(C349="","",IF(COUNTIF(Classifiers!$C$23:$C$30,D349)&gt;0,IF((IF(ISNUMBER(SEARCH(Classifiers!$E$23,E349)),1,0)+IF(ISNUMBER(SEARCH(Classifiers!$E$24,E349)),1,0)+IF(ISNUMBER(SEARCH(Classifiers!$E$25,E349)),1,0)+IF(ISNUMBER(SEARCH(Classifiers!$E$26,E349)),1,0)+IF(ISNUMBER(SEARCH(Classifiers!$E$27,E349)),1,0)+IF(ISNUMBER(SEARCH(Classifiers!$E$28,E349)),1,0)+IF(ISNUMBER(SEARCH(Classifiers!$E$29,E349)),1,0)+IF(ISNUMBER(SEARCH(Classifiers!$E$30,E349)),1,0))&gt;0,1,0),0))</f>
        <v/>
      </c>
      <c r="H349" s="6">
        <f>IF(C349="","",IF(OR(LEFT(C349,1)=".",AND(F349=0,G349=0)),0,1))</f>
        <v/>
      </c>
      <c r="I349" s="6">
        <f>IF(H349&lt;&gt;1,"",IF(SUM(J349:W349)=0,"unclassified",INDEX(Classifiers!$A$5:$A$18,MATCH(1,J349:W349,0),1)))</f>
        <v/>
      </c>
      <c r="J349" s="12">
        <f>IF(H349&lt;&gt;1,0,IF((IF(Classifiers!$B$5="",0,IF(ISNUMBER(SEARCH(Classifiers!$B$5,E349)),1,0))+IF(Classifiers!$C$5="",0,IF(ISNUMBER(SEARCH(Classifiers!$C$5,E349)),1,0))+IF(Classifiers!$D$5="",0,IF(ISNUMBER(SEARCH(Classifiers!$D$5,E349)),1,0))+IF(Classifiers!$E$5="",0,IF(ISNUMBER(SEARCH(Classifiers!$E$5,E349)),1,0))+IF(Classifiers!$F$5="",0,IF(ISNUMBER(SEARCH(Classifiers!$F$5,E349)),1,0))+IF(Classifiers!$G$5="",0,IF(ISNUMBER(SEARCH(Classifiers!$G$5,E349)),1,0)))&gt;0,1,0))</f>
        <v/>
      </c>
      <c r="K349" s="12">
        <f>IF(H349&lt;&gt;1,0,IF((IF(Classifiers!$B$6="",0,IF(ISNUMBER(SEARCH(Classifiers!$B$6,E349)),1,0))+IF(Classifiers!$C$6="",0,IF(ISNUMBER(SEARCH(Classifiers!$C$6,E349)),1,0))+IF(Classifiers!$D$6="",0,IF(ISNUMBER(SEARCH(Classifiers!$D$6,E349)),1,0))+IF(Classifiers!$E$6="",0,IF(ISNUMBER(SEARCH(Classifiers!$E$6,E349)),1,0))+IF(Classifiers!$F$6="",0,IF(ISNUMBER(SEARCH(Classifiers!$F$6,E349)),1,0))+IF(Classifiers!$G$6="",0,IF(ISNUMBER(SEARCH(Classifiers!$G$6,E349)),1,0)))&gt;0,1,0))</f>
        <v/>
      </c>
      <c r="L349" s="12">
        <f>IF(H349&lt;&gt;1,0,IF((IF(Classifiers!$B$7="",0,IF(ISNUMBER(SEARCH(Classifiers!$B$7,E349)),1,0))+IF(Classifiers!$C$7="",0,IF(ISNUMBER(SEARCH(Classifiers!$C$7,E349)),1,0))+IF(Classifiers!$D$7="",0,IF(ISNUMBER(SEARCH(Classifiers!$D$7,E349)),1,0))+IF(Classifiers!$E$7="",0,IF(ISNUMBER(SEARCH(Classifiers!$E$7,E349)),1,0))+IF(Classifiers!$F$7="",0,IF(ISNUMBER(SEARCH(Classifiers!$F$7,E349)),1,0))+IF(Classifiers!$G$7="",0,IF(ISNUMBER(SEARCH(Classifiers!$G$7,E349)),1,0)))&gt;0,1,0))</f>
        <v/>
      </c>
      <c r="M349" s="12">
        <f>IF(H349&lt;&gt;1,0,IF((IF(Classifiers!$B$8="",0,IF(ISNUMBER(SEARCH(Classifiers!$B$8,E349)),1,0))+IF(Classifiers!$C$8="",0,IF(ISNUMBER(SEARCH(Classifiers!$C$8,E349)),1,0))+IF(Classifiers!$D$8="",0,IF(ISNUMBER(SEARCH(Classifiers!$D$8,E349)),1,0))+IF(Classifiers!$E$8="",0,IF(ISNUMBER(SEARCH(Classifiers!$E$8,E349)),1,0))+IF(Classifiers!$F$8="",0,IF(ISNUMBER(SEARCH(Classifiers!$F$8,E349)),1,0))+IF(Classifiers!$G$8="",0,IF(ISNUMBER(SEARCH(Classifiers!$G$8,E349)),1,0)))&gt;0,1,0))</f>
        <v/>
      </c>
      <c r="N349" s="12">
        <f>IF(H349&lt;&gt;1,0,IF((IF(Classifiers!$B$9="",0,IF(ISNUMBER(SEARCH(Classifiers!$B$9,E349)),1,0))+IF(Classifiers!$C$9="",0,IF(ISNUMBER(SEARCH(Classifiers!$C$9,E349)),1,0))+IF(Classifiers!$D$9="",0,IF(ISNUMBER(SEARCH(Classifiers!$D$9,E349)),1,0))+IF(Classifiers!$E$9="",0,IF(ISNUMBER(SEARCH(Classifiers!$E$9,E349)),1,0))+IF(Classifiers!$F$9="",0,IF(ISNUMBER(SEARCH(Classifiers!$F$9,E349)),1,0))+IF(Classifiers!$G$9="",0,IF(ISNUMBER(SEARCH(Classifiers!$G$9,E349)),1,0)))&gt;0,1,0))</f>
        <v/>
      </c>
      <c r="O349" s="12">
        <f>IF(H349&lt;&gt;1,0,IF((IF(Classifiers!$B$10="",0,IF(ISNUMBER(SEARCH(Classifiers!$B$10,E349)),1,0))+IF(Classifiers!$C$10="",0,IF(ISNUMBER(SEARCH(Classifiers!$C$10,E349)),1,0))+IF(Classifiers!$D$10="",0,IF(ISNUMBER(SEARCH(Classifiers!$D$10,E349)),1,0))+IF(Classifiers!$E$10="",0,IF(ISNUMBER(SEARCH(Classifiers!$E$10,E349)),1,0))+IF(Classifiers!$F$10="",0,IF(ISNUMBER(SEARCH(Classifiers!$F$10,E349)),1,0))+IF(Classifiers!$G$10="",0,IF(ISNUMBER(SEARCH(Classifiers!$G$10,E349)),1,0)))&gt;0,1,0))</f>
        <v/>
      </c>
      <c r="P349" s="12">
        <f>IF(H349&lt;&gt;1,0,IF((IF(Classifiers!$B$11="",0,IF(ISNUMBER(SEARCH(Classifiers!$B$11,E349)),1,0))+IF(Classifiers!$C$11="",0,IF(ISNUMBER(SEARCH(Classifiers!$C$11,E349)),1,0))+IF(Classifiers!$D$11="",0,IF(ISNUMBER(SEARCH(Classifiers!$D$11,E349)),1,0))+IF(Classifiers!$E$11="",0,IF(ISNUMBER(SEARCH(Classifiers!$E$11,E349)),1,0))+IF(Classifiers!$F$11="",0,IF(ISNUMBER(SEARCH(Classifiers!$F$11,E349)),1,0))+IF(Classifiers!$G$11="",0,IF(ISNUMBER(SEARCH(Classifiers!$G$11,E349)),1,0)))&gt;0,1,0))</f>
        <v/>
      </c>
      <c r="Q349" s="12">
        <f>IF(H349&lt;&gt;1,0,IF((IF(Classifiers!$B$12="",0,IF(ISNUMBER(SEARCH(Classifiers!$B$12,E349)),1,0))+IF(Classifiers!$C$12="",0,IF(ISNUMBER(SEARCH(Classifiers!$C$12,E349)),1,0))+IF(Classifiers!$D$12="",0,IF(ISNUMBER(SEARCH(Classifiers!$D$12,E349)),1,0))+IF(Classifiers!$E$12="",0,IF(ISNUMBER(SEARCH(Classifiers!$E$12,E349)),1,0))+IF(Classifiers!$F$12="",0,IF(ISNUMBER(SEARCH(Classifiers!$F$12,E349)),1,0))+IF(Classifiers!$G$12="",0,IF(ISNUMBER(SEARCH(Classifiers!$G$12,E349)),1,0)))&gt;0,1,0))</f>
        <v/>
      </c>
      <c r="R349" s="12">
        <f>IF(H349&lt;&gt;1,0,IF((IF(Classifiers!$B$13="",0,IF(ISNUMBER(SEARCH(Classifiers!$B$13,E349)),1,0))+IF(Classifiers!$C$13="",0,IF(ISNUMBER(SEARCH(Classifiers!$C$13,E349)),1,0))+IF(Classifiers!$D$13="",0,IF(ISNUMBER(SEARCH(Classifiers!$D$13,E349)),1,0))+IF(Classifiers!$E$13="",0,IF(ISNUMBER(SEARCH(Classifiers!$E$13,E349)),1,0))+IF(Classifiers!$F$13="",0,IF(ISNUMBER(SEARCH(Classifiers!$F$13,E349)),1,0))+IF(Classifiers!$G$13="",0,IF(ISNUMBER(SEARCH(Classifiers!$G$13,E349)),1,0)))&gt;0,1,0))</f>
        <v/>
      </c>
      <c r="S349" s="12">
        <f>IF(H349&lt;&gt;1,0,IF((IF(Classifiers!$B$14="",0,IF(ISNUMBER(SEARCH(Classifiers!$B$14,E349)),1,0))+IF(Classifiers!$C$14="",0,IF(ISNUMBER(SEARCH(Classifiers!$C$14,E349)),1,0))+IF(Classifiers!$D$14="",0,IF(ISNUMBER(SEARCH(Classifiers!$D$14,E349)),1,0))+IF(Classifiers!$E$14="",0,IF(ISNUMBER(SEARCH(Classifiers!$E$14,E349)),1,0))+IF(Classifiers!$F$14="",0,IF(ISNUMBER(SEARCH(Classifiers!$F$14,E349)),1,0))+IF(Classifiers!$G$14="",0,IF(ISNUMBER(SEARCH(Classifiers!$G$14,E349)),1,0)))&gt;0,1,0))</f>
        <v/>
      </c>
      <c r="T349" s="12">
        <f>IF(H349&lt;&gt;1,0,IF((IF(Classifiers!$B$15="",0,IF(ISNUMBER(SEARCH(Classifiers!$B$15,E349)),1,0))+IF(Classifiers!$C$15="",0,IF(ISNUMBER(SEARCH(Classifiers!$C$15,E349)),1,0))+IF(Classifiers!$D$15="",0,IF(ISNUMBER(SEARCH(Classifiers!$D$15,E349)),1,0))+IF(Classifiers!$E$15="",0,IF(ISNUMBER(SEARCH(Classifiers!$E$15,E349)),1,0))+IF(Classifiers!$F$15="",0,IF(ISNUMBER(SEARCH(Classifiers!$F$15,E349)),1,0))+IF(Classifiers!$G$15="",0,IF(ISNUMBER(SEARCH(Classifiers!$G$15,E349)),1,0)))&gt;0,1,0))</f>
        <v/>
      </c>
      <c r="U349" s="12">
        <f>IF(H349&lt;&gt;1,0,IF((IF(Classifiers!$B$16="",0,IF(ISNUMBER(SEARCH(Classifiers!$B$16,E349)),1,0))+IF(Classifiers!$C$16="",0,IF(ISNUMBER(SEARCH(Classifiers!$C$16,E349)),1,0))+IF(Classifiers!$D$16="",0,IF(ISNUMBER(SEARCH(Classifiers!$D$16,E349)),1,0))+IF(Classifiers!$E$16="",0,IF(ISNUMBER(SEARCH(Classifiers!$E$16,E349)),1,0))+IF(Classifiers!$F$16="",0,IF(ISNUMBER(SEARCH(Classifiers!$F$16,E349)),1,0))+IF(Classifiers!$G$16="",0,IF(ISNUMBER(SEARCH(Classifiers!$G$16,E349)),1,0)))&gt;0,1,0))</f>
        <v/>
      </c>
      <c r="V349" s="12">
        <f>IF(H349&lt;&gt;1,0,IF((IF(Classifiers!$B$17="",0,IF(ISNUMBER(SEARCH(Classifiers!$B$17,E349)),1,0))+IF(Classifiers!$C$17="",0,IF(ISNUMBER(SEARCH(Classifiers!$C$17,E349)),1,0))+IF(Classifiers!$D$17="",0,IF(ISNUMBER(SEARCH(Classifiers!$D$17,E349)),1,0))+IF(Classifiers!$E$17="",0,IF(ISNUMBER(SEARCH(Classifiers!$E$17,E349)),1,0))+IF(Classifiers!$F$17="",0,IF(ISNUMBER(SEARCH(Classifiers!$F$17,E349)),1,0))+IF(Classifiers!$G$17="",0,IF(ISNUMBER(SEARCH(Classifiers!$G$17,E349)),1,0)))&gt;0,1,0))</f>
        <v/>
      </c>
      <c r="W349" s="12">
        <f>IF(H349&lt;&gt;1,0,IF((IF(Classifiers!$B$18="",0,IF(ISNUMBER(SEARCH(Classifiers!$B$18,E349)),1,0))+IF(Classifiers!$C$18="",0,IF(ISNUMBER(SEARCH(Classifiers!$C$18,E349)),1,0))+IF(Classifiers!$D$18="",0,IF(ISNUMBER(SEARCH(Classifiers!$D$18,E349)),1,0))+IF(Classifiers!$E$18="",0,IF(ISNUMBER(SEARCH(Classifiers!$E$18,E349)),1,0))+IF(Classifiers!$F$18="",0,IF(ISNUMBER(SEARCH(Classifiers!$F$18,E349)),1,0))+IF(Classifiers!$G$18="",0,IF(ISNUMBER(SEARCH(Classifiers!$G$18,E349)),1,0)))&gt;0,1,0))</f>
        <v/>
      </c>
    </row>
    <row r="350">
      <c r="A350" s="8" t="n"/>
      <c r="B350" s="11" t="n"/>
      <c r="C350" s="6">
        <f>IF(A350="","",TRIM(RIGHT(SUBSTITUTE(A350,"/",REPT(" ",250)),250)))</f>
        <v/>
      </c>
      <c r="D350" s="6">
        <f>IF(C350="","",IF(ISNUMBER(SEARCH(".",C350)),LOWER("."&amp;TRIM(RIGHT(SUBSTITUTE(C350,".",REPT(" ",250)),250))),""))</f>
        <v/>
      </c>
      <c r="E350" s="6">
        <f>IF(C350="","",TRIM(SUBSTITUTE(SUBSTITUTE(SUBSTITUTE(SUBSTITUTE(SUBSTITUTE(SUBSTITUTE(SUBSTITUTE(SUBSTITUTE(SUBSTITUTE(SUBSTITUTE(SUBSTITUTE(SUBSTITUTE(SUBSTITUTE(SUBSTITUTE(SUBSTITUTE(SUBSTITUTE(SUBSTITUTE(SUBSTITUTE(SUBSTITUTE(SUBSTITUTE(LOWER(LEFT(C350,LEN(C350)-LEN(D350))),"_"," "),"-"," "),"."," "),","," "),"("," "),")"," "),"["," "),"]"," "),"&amp;"," "),"+"," "),"@"," "),"#"," "),"!"," "),"'"," "),"/"," "),":"," "),";"," "),"="," "),"~"," "),"%"," ")))</f>
        <v/>
      </c>
      <c r="F350" s="6">
        <f>IF(C350="","",IF(COUNTIF(Classifiers!$A$23:$A$40,D350)&gt;0,1,0))</f>
        <v/>
      </c>
      <c r="G350" s="6">
        <f>IF(C350="","",IF(COUNTIF(Classifiers!$C$23:$C$30,D350)&gt;0,IF((IF(ISNUMBER(SEARCH(Classifiers!$E$23,E350)),1,0)+IF(ISNUMBER(SEARCH(Classifiers!$E$24,E350)),1,0)+IF(ISNUMBER(SEARCH(Classifiers!$E$25,E350)),1,0)+IF(ISNUMBER(SEARCH(Classifiers!$E$26,E350)),1,0)+IF(ISNUMBER(SEARCH(Classifiers!$E$27,E350)),1,0)+IF(ISNUMBER(SEARCH(Classifiers!$E$28,E350)),1,0)+IF(ISNUMBER(SEARCH(Classifiers!$E$29,E350)),1,0)+IF(ISNUMBER(SEARCH(Classifiers!$E$30,E350)),1,0))&gt;0,1,0),0))</f>
        <v/>
      </c>
      <c r="H350" s="6">
        <f>IF(C350="","",IF(OR(LEFT(C350,1)=".",AND(F350=0,G350=0)),0,1))</f>
        <v/>
      </c>
      <c r="I350" s="6">
        <f>IF(H350&lt;&gt;1,"",IF(SUM(J350:W350)=0,"unclassified",INDEX(Classifiers!$A$5:$A$18,MATCH(1,J350:W350,0),1)))</f>
        <v/>
      </c>
      <c r="J350" s="12">
        <f>IF(H350&lt;&gt;1,0,IF((IF(Classifiers!$B$5="",0,IF(ISNUMBER(SEARCH(Classifiers!$B$5,E350)),1,0))+IF(Classifiers!$C$5="",0,IF(ISNUMBER(SEARCH(Classifiers!$C$5,E350)),1,0))+IF(Classifiers!$D$5="",0,IF(ISNUMBER(SEARCH(Classifiers!$D$5,E350)),1,0))+IF(Classifiers!$E$5="",0,IF(ISNUMBER(SEARCH(Classifiers!$E$5,E350)),1,0))+IF(Classifiers!$F$5="",0,IF(ISNUMBER(SEARCH(Classifiers!$F$5,E350)),1,0))+IF(Classifiers!$G$5="",0,IF(ISNUMBER(SEARCH(Classifiers!$G$5,E350)),1,0)))&gt;0,1,0))</f>
        <v/>
      </c>
      <c r="K350" s="12">
        <f>IF(H350&lt;&gt;1,0,IF((IF(Classifiers!$B$6="",0,IF(ISNUMBER(SEARCH(Classifiers!$B$6,E350)),1,0))+IF(Classifiers!$C$6="",0,IF(ISNUMBER(SEARCH(Classifiers!$C$6,E350)),1,0))+IF(Classifiers!$D$6="",0,IF(ISNUMBER(SEARCH(Classifiers!$D$6,E350)),1,0))+IF(Classifiers!$E$6="",0,IF(ISNUMBER(SEARCH(Classifiers!$E$6,E350)),1,0))+IF(Classifiers!$F$6="",0,IF(ISNUMBER(SEARCH(Classifiers!$F$6,E350)),1,0))+IF(Classifiers!$G$6="",0,IF(ISNUMBER(SEARCH(Classifiers!$G$6,E350)),1,0)))&gt;0,1,0))</f>
        <v/>
      </c>
      <c r="L350" s="12">
        <f>IF(H350&lt;&gt;1,0,IF((IF(Classifiers!$B$7="",0,IF(ISNUMBER(SEARCH(Classifiers!$B$7,E350)),1,0))+IF(Classifiers!$C$7="",0,IF(ISNUMBER(SEARCH(Classifiers!$C$7,E350)),1,0))+IF(Classifiers!$D$7="",0,IF(ISNUMBER(SEARCH(Classifiers!$D$7,E350)),1,0))+IF(Classifiers!$E$7="",0,IF(ISNUMBER(SEARCH(Classifiers!$E$7,E350)),1,0))+IF(Classifiers!$F$7="",0,IF(ISNUMBER(SEARCH(Classifiers!$F$7,E350)),1,0))+IF(Classifiers!$G$7="",0,IF(ISNUMBER(SEARCH(Classifiers!$G$7,E350)),1,0)))&gt;0,1,0))</f>
        <v/>
      </c>
      <c r="M350" s="12">
        <f>IF(H350&lt;&gt;1,0,IF((IF(Classifiers!$B$8="",0,IF(ISNUMBER(SEARCH(Classifiers!$B$8,E350)),1,0))+IF(Classifiers!$C$8="",0,IF(ISNUMBER(SEARCH(Classifiers!$C$8,E350)),1,0))+IF(Classifiers!$D$8="",0,IF(ISNUMBER(SEARCH(Classifiers!$D$8,E350)),1,0))+IF(Classifiers!$E$8="",0,IF(ISNUMBER(SEARCH(Classifiers!$E$8,E350)),1,0))+IF(Classifiers!$F$8="",0,IF(ISNUMBER(SEARCH(Classifiers!$F$8,E350)),1,0))+IF(Classifiers!$G$8="",0,IF(ISNUMBER(SEARCH(Classifiers!$G$8,E350)),1,0)))&gt;0,1,0))</f>
        <v/>
      </c>
      <c r="N350" s="12">
        <f>IF(H350&lt;&gt;1,0,IF((IF(Classifiers!$B$9="",0,IF(ISNUMBER(SEARCH(Classifiers!$B$9,E350)),1,0))+IF(Classifiers!$C$9="",0,IF(ISNUMBER(SEARCH(Classifiers!$C$9,E350)),1,0))+IF(Classifiers!$D$9="",0,IF(ISNUMBER(SEARCH(Classifiers!$D$9,E350)),1,0))+IF(Classifiers!$E$9="",0,IF(ISNUMBER(SEARCH(Classifiers!$E$9,E350)),1,0))+IF(Classifiers!$F$9="",0,IF(ISNUMBER(SEARCH(Classifiers!$F$9,E350)),1,0))+IF(Classifiers!$G$9="",0,IF(ISNUMBER(SEARCH(Classifiers!$G$9,E350)),1,0)))&gt;0,1,0))</f>
        <v/>
      </c>
      <c r="O350" s="12">
        <f>IF(H350&lt;&gt;1,0,IF((IF(Classifiers!$B$10="",0,IF(ISNUMBER(SEARCH(Classifiers!$B$10,E350)),1,0))+IF(Classifiers!$C$10="",0,IF(ISNUMBER(SEARCH(Classifiers!$C$10,E350)),1,0))+IF(Classifiers!$D$10="",0,IF(ISNUMBER(SEARCH(Classifiers!$D$10,E350)),1,0))+IF(Classifiers!$E$10="",0,IF(ISNUMBER(SEARCH(Classifiers!$E$10,E350)),1,0))+IF(Classifiers!$F$10="",0,IF(ISNUMBER(SEARCH(Classifiers!$F$10,E350)),1,0))+IF(Classifiers!$G$10="",0,IF(ISNUMBER(SEARCH(Classifiers!$G$10,E350)),1,0)))&gt;0,1,0))</f>
        <v/>
      </c>
      <c r="P350" s="12">
        <f>IF(H350&lt;&gt;1,0,IF((IF(Classifiers!$B$11="",0,IF(ISNUMBER(SEARCH(Classifiers!$B$11,E350)),1,0))+IF(Classifiers!$C$11="",0,IF(ISNUMBER(SEARCH(Classifiers!$C$11,E350)),1,0))+IF(Classifiers!$D$11="",0,IF(ISNUMBER(SEARCH(Classifiers!$D$11,E350)),1,0))+IF(Classifiers!$E$11="",0,IF(ISNUMBER(SEARCH(Classifiers!$E$11,E350)),1,0))+IF(Classifiers!$F$11="",0,IF(ISNUMBER(SEARCH(Classifiers!$F$11,E350)),1,0))+IF(Classifiers!$G$11="",0,IF(ISNUMBER(SEARCH(Classifiers!$G$11,E350)),1,0)))&gt;0,1,0))</f>
        <v/>
      </c>
      <c r="Q350" s="12">
        <f>IF(H350&lt;&gt;1,0,IF((IF(Classifiers!$B$12="",0,IF(ISNUMBER(SEARCH(Classifiers!$B$12,E350)),1,0))+IF(Classifiers!$C$12="",0,IF(ISNUMBER(SEARCH(Classifiers!$C$12,E350)),1,0))+IF(Classifiers!$D$12="",0,IF(ISNUMBER(SEARCH(Classifiers!$D$12,E350)),1,0))+IF(Classifiers!$E$12="",0,IF(ISNUMBER(SEARCH(Classifiers!$E$12,E350)),1,0))+IF(Classifiers!$F$12="",0,IF(ISNUMBER(SEARCH(Classifiers!$F$12,E350)),1,0))+IF(Classifiers!$G$12="",0,IF(ISNUMBER(SEARCH(Classifiers!$G$12,E350)),1,0)))&gt;0,1,0))</f>
        <v/>
      </c>
      <c r="R350" s="12">
        <f>IF(H350&lt;&gt;1,0,IF((IF(Classifiers!$B$13="",0,IF(ISNUMBER(SEARCH(Classifiers!$B$13,E350)),1,0))+IF(Classifiers!$C$13="",0,IF(ISNUMBER(SEARCH(Classifiers!$C$13,E350)),1,0))+IF(Classifiers!$D$13="",0,IF(ISNUMBER(SEARCH(Classifiers!$D$13,E350)),1,0))+IF(Classifiers!$E$13="",0,IF(ISNUMBER(SEARCH(Classifiers!$E$13,E350)),1,0))+IF(Classifiers!$F$13="",0,IF(ISNUMBER(SEARCH(Classifiers!$F$13,E350)),1,0))+IF(Classifiers!$G$13="",0,IF(ISNUMBER(SEARCH(Classifiers!$G$13,E350)),1,0)))&gt;0,1,0))</f>
        <v/>
      </c>
      <c r="S350" s="12">
        <f>IF(H350&lt;&gt;1,0,IF((IF(Classifiers!$B$14="",0,IF(ISNUMBER(SEARCH(Classifiers!$B$14,E350)),1,0))+IF(Classifiers!$C$14="",0,IF(ISNUMBER(SEARCH(Classifiers!$C$14,E350)),1,0))+IF(Classifiers!$D$14="",0,IF(ISNUMBER(SEARCH(Classifiers!$D$14,E350)),1,0))+IF(Classifiers!$E$14="",0,IF(ISNUMBER(SEARCH(Classifiers!$E$14,E350)),1,0))+IF(Classifiers!$F$14="",0,IF(ISNUMBER(SEARCH(Classifiers!$F$14,E350)),1,0))+IF(Classifiers!$G$14="",0,IF(ISNUMBER(SEARCH(Classifiers!$G$14,E350)),1,0)))&gt;0,1,0))</f>
        <v/>
      </c>
      <c r="T350" s="12">
        <f>IF(H350&lt;&gt;1,0,IF((IF(Classifiers!$B$15="",0,IF(ISNUMBER(SEARCH(Classifiers!$B$15,E350)),1,0))+IF(Classifiers!$C$15="",0,IF(ISNUMBER(SEARCH(Classifiers!$C$15,E350)),1,0))+IF(Classifiers!$D$15="",0,IF(ISNUMBER(SEARCH(Classifiers!$D$15,E350)),1,0))+IF(Classifiers!$E$15="",0,IF(ISNUMBER(SEARCH(Classifiers!$E$15,E350)),1,0))+IF(Classifiers!$F$15="",0,IF(ISNUMBER(SEARCH(Classifiers!$F$15,E350)),1,0))+IF(Classifiers!$G$15="",0,IF(ISNUMBER(SEARCH(Classifiers!$G$15,E350)),1,0)))&gt;0,1,0))</f>
        <v/>
      </c>
      <c r="U350" s="12">
        <f>IF(H350&lt;&gt;1,0,IF((IF(Classifiers!$B$16="",0,IF(ISNUMBER(SEARCH(Classifiers!$B$16,E350)),1,0))+IF(Classifiers!$C$16="",0,IF(ISNUMBER(SEARCH(Classifiers!$C$16,E350)),1,0))+IF(Classifiers!$D$16="",0,IF(ISNUMBER(SEARCH(Classifiers!$D$16,E350)),1,0))+IF(Classifiers!$E$16="",0,IF(ISNUMBER(SEARCH(Classifiers!$E$16,E350)),1,0))+IF(Classifiers!$F$16="",0,IF(ISNUMBER(SEARCH(Classifiers!$F$16,E350)),1,0))+IF(Classifiers!$G$16="",0,IF(ISNUMBER(SEARCH(Classifiers!$G$16,E350)),1,0)))&gt;0,1,0))</f>
        <v/>
      </c>
      <c r="V350" s="12">
        <f>IF(H350&lt;&gt;1,0,IF((IF(Classifiers!$B$17="",0,IF(ISNUMBER(SEARCH(Classifiers!$B$17,E350)),1,0))+IF(Classifiers!$C$17="",0,IF(ISNUMBER(SEARCH(Classifiers!$C$17,E350)),1,0))+IF(Classifiers!$D$17="",0,IF(ISNUMBER(SEARCH(Classifiers!$D$17,E350)),1,0))+IF(Classifiers!$E$17="",0,IF(ISNUMBER(SEARCH(Classifiers!$E$17,E350)),1,0))+IF(Classifiers!$F$17="",0,IF(ISNUMBER(SEARCH(Classifiers!$F$17,E350)),1,0))+IF(Classifiers!$G$17="",0,IF(ISNUMBER(SEARCH(Classifiers!$G$17,E350)),1,0)))&gt;0,1,0))</f>
        <v/>
      </c>
      <c r="W350" s="12">
        <f>IF(H350&lt;&gt;1,0,IF((IF(Classifiers!$B$18="",0,IF(ISNUMBER(SEARCH(Classifiers!$B$18,E350)),1,0))+IF(Classifiers!$C$18="",0,IF(ISNUMBER(SEARCH(Classifiers!$C$18,E350)),1,0))+IF(Classifiers!$D$18="",0,IF(ISNUMBER(SEARCH(Classifiers!$D$18,E350)),1,0))+IF(Classifiers!$E$18="",0,IF(ISNUMBER(SEARCH(Classifiers!$E$18,E350)),1,0))+IF(Classifiers!$F$18="",0,IF(ISNUMBER(SEARCH(Classifiers!$F$18,E350)),1,0))+IF(Classifiers!$G$18="",0,IF(ISNUMBER(SEARCH(Classifiers!$G$18,E350)),1,0)))&gt;0,1,0))</f>
        <v/>
      </c>
    </row>
    <row r="351">
      <c r="A351" s="8" t="n"/>
      <c r="B351" s="11" t="n"/>
      <c r="C351" s="6">
        <f>IF(A351="","",TRIM(RIGHT(SUBSTITUTE(A351,"/",REPT(" ",250)),250)))</f>
        <v/>
      </c>
      <c r="D351" s="6">
        <f>IF(C351="","",IF(ISNUMBER(SEARCH(".",C351)),LOWER("."&amp;TRIM(RIGHT(SUBSTITUTE(C351,".",REPT(" ",250)),250))),""))</f>
        <v/>
      </c>
      <c r="E351" s="6">
        <f>IF(C351="","",TRIM(SUBSTITUTE(SUBSTITUTE(SUBSTITUTE(SUBSTITUTE(SUBSTITUTE(SUBSTITUTE(SUBSTITUTE(SUBSTITUTE(SUBSTITUTE(SUBSTITUTE(SUBSTITUTE(SUBSTITUTE(SUBSTITUTE(SUBSTITUTE(SUBSTITUTE(SUBSTITUTE(SUBSTITUTE(SUBSTITUTE(SUBSTITUTE(SUBSTITUTE(LOWER(LEFT(C351,LEN(C351)-LEN(D351))),"_"," "),"-"," "),"."," "),","," "),"("," "),")"," "),"["," "),"]"," "),"&amp;"," "),"+"," "),"@"," "),"#"," "),"!"," "),"'"," "),"/"," "),":"," "),";"," "),"="," "),"~"," "),"%"," ")))</f>
        <v/>
      </c>
      <c r="F351" s="6">
        <f>IF(C351="","",IF(COUNTIF(Classifiers!$A$23:$A$40,D351)&gt;0,1,0))</f>
        <v/>
      </c>
      <c r="G351" s="6">
        <f>IF(C351="","",IF(COUNTIF(Classifiers!$C$23:$C$30,D351)&gt;0,IF((IF(ISNUMBER(SEARCH(Classifiers!$E$23,E351)),1,0)+IF(ISNUMBER(SEARCH(Classifiers!$E$24,E351)),1,0)+IF(ISNUMBER(SEARCH(Classifiers!$E$25,E351)),1,0)+IF(ISNUMBER(SEARCH(Classifiers!$E$26,E351)),1,0)+IF(ISNUMBER(SEARCH(Classifiers!$E$27,E351)),1,0)+IF(ISNUMBER(SEARCH(Classifiers!$E$28,E351)),1,0)+IF(ISNUMBER(SEARCH(Classifiers!$E$29,E351)),1,0)+IF(ISNUMBER(SEARCH(Classifiers!$E$30,E351)),1,0))&gt;0,1,0),0))</f>
        <v/>
      </c>
      <c r="H351" s="6">
        <f>IF(C351="","",IF(OR(LEFT(C351,1)=".",AND(F351=0,G351=0)),0,1))</f>
        <v/>
      </c>
      <c r="I351" s="6">
        <f>IF(H351&lt;&gt;1,"",IF(SUM(J351:W351)=0,"unclassified",INDEX(Classifiers!$A$5:$A$18,MATCH(1,J351:W351,0),1)))</f>
        <v/>
      </c>
      <c r="J351" s="12">
        <f>IF(H351&lt;&gt;1,0,IF((IF(Classifiers!$B$5="",0,IF(ISNUMBER(SEARCH(Classifiers!$B$5,E351)),1,0))+IF(Classifiers!$C$5="",0,IF(ISNUMBER(SEARCH(Classifiers!$C$5,E351)),1,0))+IF(Classifiers!$D$5="",0,IF(ISNUMBER(SEARCH(Classifiers!$D$5,E351)),1,0))+IF(Classifiers!$E$5="",0,IF(ISNUMBER(SEARCH(Classifiers!$E$5,E351)),1,0))+IF(Classifiers!$F$5="",0,IF(ISNUMBER(SEARCH(Classifiers!$F$5,E351)),1,0))+IF(Classifiers!$G$5="",0,IF(ISNUMBER(SEARCH(Classifiers!$G$5,E351)),1,0)))&gt;0,1,0))</f>
        <v/>
      </c>
      <c r="K351" s="12">
        <f>IF(H351&lt;&gt;1,0,IF((IF(Classifiers!$B$6="",0,IF(ISNUMBER(SEARCH(Classifiers!$B$6,E351)),1,0))+IF(Classifiers!$C$6="",0,IF(ISNUMBER(SEARCH(Classifiers!$C$6,E351)),1,0))+IF(Classifiers!$D$6="",0,IF(ISNUMBER(SEARCH(Classifiers!$D$6,E351)),1,0))+IF(Classifiers!$E$6="",0,IF(ISNUMBER(SEARCH(Classifiers!$E$6,E351)),1,0))+IF(Classifiers!$F$6="",0,IF(ISNUMBER(SEARCH(Classifiers!$F$6,E351)),1,0))+IF(Classifiers!$G$6="",0,IF(ISNUMBER(SEARCH(Classifiers!$G$6,E351)),1,0)))&gt;0,1,0))</f>
        <v/>
      </c>
      <c r="L351" s="12">
        <f>IF(H351&lt;&gt;1,0,IF((IF(Classifiers!$B$7="",0,IF(ISNUMBER(SEARCH(Classifiers!$B$7,E351)),1,0))+IF(Classifiers!$C$7="",0,IF(ISNUMBER(SEARCH(Classifiers!$C$7,E351)),1,0))+IF(Classifiers!$D$7="",0,IF(ISNUMBER(SEARCH(Classifiers!$D$7,E351)),1,0))+IF(Classifiers!$E$7="",0,IF(ISNUMBER(SEARCH(Classifiers!$E$7,E351)),1,0))+IF(Classifiers!$F$7="",0,IF(ISNUMBER(SEARCH(Classifiers!$F$7,E351)),1,0))+IF(Classifiers!$G$7="",0,IF(ISNUMBER(SEARCH(Classifiers!$G$7,E351)),1,0)))&gt;0,1,0))</f>
        <v/>
      </c>
      <c r="M351" s="12">
        <f>IF(H351&lt;&gt;1,0,IF((IF(Classifiers!$B$8="",0,IF(ISNUMBER(SEARCH(Classifiers!$B$8,E351)),1,0))+IF(Classifiers!$C$8="",0,IF(ISNUMBER(SEARCH(Classifiers!$C$8,E351)),1,0))+IF(Classifiers!$D$8="",0,IF(ISNUMBER(SEARCH(Classifiers!$D$8,E351)),1,0))+IF(Classifiers!$E$8="",0,IF(ISNUMBER(SEARCH(Classifiers!$E$8,E351)),1,0))+IF(Classifiers!$F$8="",0,IF(ISNUMBER(SEARCH(Classifiers!$F$8,E351)),1,0))+IF(Classifiers!$G$8="",0,IF(ISNUMBER(SEARCH(Classifiers!$G$8,E351)),1,0)))&gt;0,1,0))</f>
        <v/>
      </c>
      <c r="N351" s="12">
        <f>IF(H351&lt;&gt;1,0,IF((IF(Classifiers!$B$9="",0,IF(ISNUMBER(SEARCH(Classifiers!$B$9,E351)),1,0))+IF(Classifiers!$C$9="",0,IF(ISNUMBER(SEARCH(Classifiers!$C$9,E351)),1,0))+IF(Classifiers!$D$9="",0,IF(ISNUMBER(SEARCH(Classifiers!$D$9,E351)),1,0))+IF(Classifiers!$E$9="",0,IF(ISNUMBER(SEARCH(Classifiers!$E$9,E351)),1,0))+IF(Classifiers!$F$9="",0,IF(ISNUMBER(SEARCH(Classifiers!$F$9,E351)),1,0))+IF(Classifiers!$G$9="",0,IF(ISNUMBER(SEARCH(Classifiers!$G$9,E351)),1,0)))&gt;0,1,0))</f>
        <v/>
      </c>
      <c r="O351" s="12">
        <f>IF(H351&lt;&gt;1,0,IF((IF(Classifiers!$B$10="",0,IF(ISNUMBER(SEARCH(Classifiers!$B$10,E351)),1,0))+IF(Classifiers!$C$10="",0,IF(ISNUMBER(SEARCH(Classifiers!$C$10,E351)),1,0))+IF(Classifiers!$D$10="",0,IF(ISNUMBER(SEARCH(Classifiers!$D$10,E351)),1,0))+IF(Classifiers!$E$10="",0,IF(ISNUMBER(SEARCH(Classifiers!$E$10,E351)),1,0))+IF(Classifiers!$F$10="",0,IF(ISNUMBER(SEARCH(Classifiers!$F$10,E351)),1,0))+IF(Classifiers!$G$10="",0,IF(ISNUMBER(SEARCH(Classifiers!$G$10,E351)),1,0)))&gt;0,1,0))</f>
        <v/>
      </c>
      <c r="P351" s="12">
        <f>IF(H351&lt;&gt;1,0,IF((IF(Classifiers!$B$11="",0,IF(ISNUMBER(SEARCH(Classifiers!$B$11,E351)),1,0))+IF(Classifiers!$C$11="",0,IF(ISNUMBER(SEARCH(Classifiers!$C$11,E351)),1,0))+IF(Classifiers!$D$11="",0,IF(ISNUMBER(SEARCH(Classifiers!$D$11,E351)),1,0))+IF(Classifiers!$E$11="",0,IF(ISNUMBER(SEARCH(Classifiers!$E$11,E351)),1,0))+IF(Classifiers!$F$11="",0,IF(ISNUMBER(SEARCH(Classifiers!$F$11,E351)),1,0))+IF(Classifiers!$G$11="",0,IF(ISNUMBER(SEARCH(Classifiers!$G$11,E351)),1,0)))&gt;0,1,0))</f>
        <v/>
      </c>
      <c r="Q351" s="12">
        <f>IF(H351&lt;&gt;1,0,IF((IF(Classifiers!$B$12="",0,IF(ISNUMBER(SEARCH(Classifiers!$B$12,E351)),1,0))+IF(Classifiers!$C$12="",0,IF(ISNUMBER(SEARCH(Classifiers!$C$12,E351)),1,0))+IF(Classifiers!$D$12="",0,IF(ISNUMBER(SEARCH(Classifiers!$D$12,E351)),1,0))+IF(Classifiers!$E$12="",0,IF(ISNUMBER(SEARCH(Classifiers!$E$12,E351)),1,0))+IF(Classifiers!$F$12="",0,IF(ISNUMBER(SEARCH(Classifiers!$F$12,E351)),1,0))+IF(Classifiers!$G$12="",0,IF(ISNUMBER(SEARCH(Classifiers!$G$12,E351)),1,0)))&gt;0,1,0))</f>
        <v/>
      </c>
      <c r="R351" s="12">
        <f>IF(H351&lt;&gt;1,0,IF((IF(Classifiers!$B$13="",0,IF(ISNUMBER(SEARCH(Classifiers!$B$13,E351)),1,0))+IF(Classifiers!$C$13="",0,IF(ISNUMBER(SEARCH(Classifiers!$C$13,E351)),1,0))+IF(Classifiers!$D$13="",0,IF(ISNUMBER(SEARCH(Classifiers!$D$13,E351)),1,0))+IF(Classifiers!$E$13="",0,IF(ISNUMBER(SEARCH(Classifiers!$E$13,E351)),1,0))+IF(Classifiers!$F$13="",0,IF(ISNUMBER(SEARCH(Classifiers!$F$13,E351)),1,0))+IF(Classifiers!$G$13="",0,IF(ISNUMBER(SEARCH(Classifiers!$G$13,E351)),1,0)))&gt;0,1,0))</f>
        <v/>
      </c>
      <c r="S351" s="12">
        <f>IF(H351&lt;&gt;1,0,IF((IF(Classifiers!$B$14="",0,IF(ISNUMBER(SEARCH(Classifiers!$B$14,E351)),1,0))+IF(Classifiers!$C$14="",0,IF(ISNUMBER(SEARCH(Classifiers!$C$14,E351)),1,0))+IF(Classifiers!$D$14="",0,IF(ISNUMBER(SEARCH(Classifiers!$D$14,E351)),1,0))+IF(Classifiers!$E$14="",0,IF(ISNUMBER(SEARCH(Classifiers!$E$14,E351)),1,0))+IF(Classifiers!$F$14="",0,IF(ISNUMBER(SEARCH(Classifiers!$F$14,E351)),1,0))+IF(Classifiers!$G$14="",0,IF(ISNUMBER(SEARCH(Classifiers!$G$14,E351)),1,0)))&gt;0,1,0))</f>
        <v/>
      </c>
      <c r="T351" s="12">
        <f>IF(H351&lt;&gt;1,0,IF((IF(Classifiers!$B$15="",0,IF(ISNUMBER(SEARCH(Classifiers!$B$15,E351)),1,0))+IF(Classifiers!$C$15="",0,IF(ISNUMBER(SEARCH(Classifiers!$C$15,E351)),1,0))+IF(Classifiers!$D$15="",0,IF(ISNUMBER(SEARCH(Classifiers!$D$15,E351)),1,0))+IF(Classifiers!$E$15="",0,IF(ISNUMBER(SEARCH(Classifiers!$E$15,E351)),1,0))+IF(Classifiers!$F$15="",0,IF(ISNUMBER(SEARCH(Classifiers!$F$15,E351)),1,0))+IF(Classifiers!$G$15="",0,IF(ISNUMBER(SEARCH(Classifiers!$G$15,E351)),1,0)))&gt;0,1,0))</f>
        <v/>
      </c>
      <c r="U351" s="12">
        <f>IF(H351&lt;&gt;1,0,IF((IF(Classifiers!$B$16="",0,IF(ISNUMBER(SEARCH(Classifiers!$B$16,E351)),1,0))+IF(Classifiers!$C$16="",0,IF(ISNUMBER(SEARCH(Classifiers!$C$16,E351)),1,0))+IF(Classifiers!$D$16="",0,IF(ISNUMBER(SEARCH(Classifiers!$D$16,E351)),1,0))+IF(Classifiers!$E$16="",0,IF(ISNUMBER(SEARCH(Classifiers!$E$16,E351)),1,0))+IF(Classifiers!$F$16="",0,IF(ISNUMBER(SEARCH(Classifiers!$F$16,E351)),1,0))+IF(Classifiers!$G$16="",0,IF(ISNUMBER(SEARCH(Classifiers!$G$16,E351)),1,0)))&gt;0,1,0))</f>
        <v/>
      </c>
      <c r="V351" s="12">
        <f>IF(H351&lt;&gt;1,0,IF((IF(Classifiers!$B$17="",0,IF(ISNUMBER(SEARCH(Classifiers!$B$17,E351)),1,0))+IF(Classifiers!$C$17="",0,IF(ISNUMBER(SEARCH(Classifiers!$C$17,E351)),1,0))+IF(Classifiers!$D$17="",0,IF(ISNUMBER(SEARCH(Classifiers!$D$17,E351)),1,0))+IF(Classifiers!$E$17="",0,IF(ISNUMBER(SEARCH(Classifiers!$E$17,E351)),1,0))+IF(Classifiers!$F$17="",0,IF(ISNUMBER(SEARCH(Classifiers!$F$17,E351)),1,0))+IF(Classifiers!$G$17="",0,IF(ISNUMBER(SEARCH(Classifiers!$G$17,E351)),1,0)))&gt;0,1,0))</f>
        <v/>
      </c>
      <c r="W351" s="12">
        <f>IF(H351&lt;&gt;1,0,IF((IF(Classifiers!$B$18="",0,IF(ISNUMBER(SEARCH(Classifiers!$B$18,E351)),1,0))+IF(Classifiers!$C$18="",0,IF(ISNUMBER(SEARCH(Classifiers!$C$18,E351)),1,0))+IF(Classifiers!$D$18="",0,IF(ISNUMBER(SEARCH(Classifiers!$D$18,E351)),1,0))+IF(Classifiers!$E$18="",0,IF(ISNUMBER(SEARCH(Classifiers!$E$18,E351)),1,0))+IF(Classifiers!$F$18="",0,IF(ISNUMBER(SEARCH(Classifiers!$F$18,E351)),1,0))+IF(Classifiers!$G$18="",0,IF(ISNUMBER(SEARCH(Classifiers!$G$18,E351)),1,0)))&gt;0,1,0))</f>
        <v/>
      </c>
    </row>
    <row r="352">
      <c r="A352" s="8" t="n"/>
      <c r="B352" s="11" t="n"/>
      <c r="C352" s="6">
        <f>IF(A352="","",TRIM(RIGHT(SUBSTITUTE(A352,"/",REPT(" ",250)),250)))</f>
        <v/>
      </c>
      <c r="D352" s="6">
        <f>IF(C352="","",IF(ISNUMBER(SEARCH(".",C352)),LOWER("."&amp;TRIM(RIGHT(SUBSTITUTE(C352,".",REPT(" ",250)),250))),""))</f>
        <v/>
      </c>
      <c r="E352" s="6">
        <f>IF(C352="","",TRIM(SUBSTITUTE(SUBSTITUTE(SUBSTITUTE(SUBSTITUTE(SUBSTITUTE(SUBSTITUTE(SUBSTITUTE(SUBSTITUTE(SUBSTITUTE(SUBSTITUTE(SUBSTITUTE(SUBSTITUTE(SUBSTITUTE(SUBSTITUTE(SUBSTITUTE(SUBSTITUTE(SUBSTITUTE(SUBSTITUTE(SUBSTITUTE(SUBSTITUTE(LOWER(LEFT(C352,LEN(C352)-LEN(D352))),"_"," "),"-"," "),"."," "),","," "),"("," "),")"," "),"["," "),"]"," "),"&amp;"," "),"+"," "),"@"," "),"#"," "),"!"," "),"'"," "),"/"," "),":"," "),";"," "),"="," "),"~"," "),"%"," ")))</f>
        <v/>
      </c>
      <c r="F352" s="6">
        <f>IF(C352="","",IF(COUNTIF(Classifiers!$A$23:$A$40,D352)&gt;0,1,0))</f>
        <v/>
      </c>
      <c r="G352" s="6">
        <f>IF(C352="","",IF(COUNTIF(Classifiers!$C$23:$C$30,D352)&gt;0,IF((IF(ISNUMBER(SEARCH(Classifiers!$E$23,E352)),1,0)+IF(ISNUMBER(SEARCH(Classifiers!$E$24,E352)),1,0)+IF(ISNUMBER(SEARCH(Classifiers!$E$25,E352)),1,0)+IF(ISNUMBER(SEARCH(Classifiers!$E$26,E352)),1,0)+IF(ISNUMBER(SEARCH(Classifiers!$E$27,E352)),1,0)+IF(ISNUMBER(SEARCH(Classifiers!$E$28,E352)),1,0)+IF(ISNUMBER(SEARCH(Classifiers!$E$29,E352)),1,0)+IF(ISNUMBER(SEARCH(Classifiers!$E$30,E352)),1,0))&gt;0,1,0),0))</f>
        <v/>
      </c>
      <c r="H352" s="6">
        <f>IF(C352="","",IF(OR(LEFT(C352,1)=".",AND(F352=0,G352=0)),0,1))</f>
        <v/>
      </c>
      <c r="I352" s="6">
        <f>IF(H352&lt;&gt;1,"",IF(SUM(J352:W352)=0,"unclassified",INDEX(Classifiers!$A$5:$A$18,MATCH(1,J352:W352,0),1)))</f>
        <v/>
      </c>
      <c r="J352" s="12">
        <f>IF(H352&lt;&gt;1,0,IF((IF(Classifiers!$B$5="",0,IF(ISNUMBER(SEARCH(Classifiers!$B$5,E352)),1,0))+IF(Classifiers!$C$5="",0,IF(ISNUMBER(SEARCH(Classifiers!$C$5,E352)),1,0))+IF(Classifiers!$D$5="",0,IF(ISNUMBER(SEARCH(Classifiers!$D$5,E352)),1,0))+IF(Classifiers!$E$5="",0,IF(ISNUMBER(SEARCH(Classifiers!$E$5,E352)),1,0))+IF(Classifiers!$F$5="",0,IF(ISNUMBER(SEARCH(Classifiers!$F$5,E352)),1,0))+IF(Classifiers!$G$5="",0,IF(ISNUMBER(SEARCH(Classifiers!$G$5,E352)),1,0)))&gt;0,1,0))</f>
        <v/>
      </c>
      <c r="K352" s="12">
        <f>IF(H352&lt;&gt;1,0,IF((IF(Classifiers!$B$6="",0,IF(ISNUMBER(SEARCH(Classifiers!$B$6,E352)),1,0))+IF(Classifiers!$C$6="",0,IF(ISNUMBER(SEARCH(Classifiers!$C$6,E352)),1,0))+IF(Classifiers!$D$6="",0,IF(ISNUMBER(SEARCH(Classifiers!$D$6,E352)),1,0))+IF(Classifiers!$E$6="",0,IF(ISNUMBER(SEARCH(Classifiers!$E$6,E352)),1,0))+IF(Classifiers!$F$6="",0,IF(ISNUMBER(SEARCH(Classifiers!$F$6,E352)),1,0))+IF(Classifiers!$G$6="",0,IF(ISNUMBER(SEARCH(Classifiers!$G$6,E352)),1,0)))&gt;0,1,0))</f>
        <v/>
      </c>
      <c r="L352" s="12">
        <f>IF(H352&lt;&gt;1,0,IF((IF(Classifiers!$B$7="",0,IF(ISNUMBER(SEARCH(Classifiers!$B$7,E352)),1,0))+IF(Classifiers!$C$7="",0,IF(ISNUMBER(SEARCH(Classifiers!$C$7,E352)),1,0))+IF(Classifiers!$D$7="",0,IF(ISNUMBER(SEARCH(Classifiers!$D$7,E352)),1,0))+IF(Classifiers!$E$7="",0,IF(ISNUMBER(SEARCH(Classifiers!$E$7,E352)),1,0))+IF(Classifiers!$F$7="",0,IF(ISNUMBER(SEARCH(Classifiers!$F$7,E352)),1,0))+IF(Classifiers!$G$7="",0,IF(ISNUMBER(SEARCH(Classifiers!$G$7,E352)),1,0)))&gt;0,1,0))</f>
        <v/>
      </c>
      <c r="M352" s="12">
        <f>IF(H352&lt;&gt;1,0,IF((IF(Classifiers!$B$8="",0,IF(ISNUMBER(SEARCH(Classifiers!$B$8,E352)),1,0))+IF(Classifiers!$C$8="",0,IF(ISNUMBER(SEARCH(Classifiers!$C$8,E352)),1,0))+IF(Classifiers!$D$8="",0,IF(ISNUMBER(SEARCH(Classifiers!$D$8,E352)),1,0))+IF(Classifiers!$E$8="",0,IF(ISNUMBER(SEARCH(Classifiers!$E$8,E352)),1,0))+IF(Classifiers!$F$8="",0,IF(ISNUMBER(SEARCH(Classifiers!$F$8,E352)),1,0))+IF(Classifiers!$G$8="",0,IF(ISNUMBER(SEARCH(Classifiers!$G$8,E352)),1,0)))&gt;0,1,0))</f>
        <v/>
      </c>
      <c r="N352" s="12">
        <f>IF(H352&lt;&gt;1,0,IF((IF(Classifiers!$B$9="",0,IF(ISNUMBER(SEARCH(Classifiers!$B$9,E352)),1,0))+IF(Classifiers!$C$9="",0,IF(ISNUMBER(SEARCH(Classifiers!$C$9,E352)),1,0))+IF(Classifiers!$D$9="",0,IF(ISNUMBER(SEARCH(Classifiers!$D$9,E352)),1,0))+IF(Classifiers!$E$9="",0,IF(ISNUMBER(SEARCH(Classifiers!$E$9,E352)),1,0))+IF(Classifiers!$F$9="",0,IF(ISNUMBER(SEARCH(Classifiers!$F$9,E352)),1,0))+IF(Classifiers!$G$9="",0,IF(ISNUMBER(SEARCH(Classifiers!$G$9,E352)),1,0)))&gt;0,1,0))</f>
        <v/>
      </c>
      <c r="O352" s="12">
        <f>IF(H352&lt;&gt;1,0,IF((IF(Classifiers!$B$10="",0,IF(ISNUMBER(SEARCH(Classifiers!$B$10,E352)),1,0))+IF(Classifiers!$C$10="",0,IF(ISNUMBER(SEARCH(Classifiers!$C$10,E352)),1,0))+IF(Classifiers!$D$10="",0,IF(ISNUMBER(SEARCH(Classifiers!$D$10,E352)),1,0))+IF(Classifiers!$E$10="",0,IF(ISNUMBER(SEARCH(Classifiers!$E$10,E352)),1,0))+IF(Classifiers!$F$10="",0,IF(ISNUMBER(SEARCH(Classifiers!$F$10,E352)),1,0))+IF(Classifiers!$G$10="",0,IF(ISNUMBER(SEARCH(Classifiers!$G$10,E352)),1,0)))&gt;0,1,0))</f>
        <v/>
      </c>
      <c r="P352" s="12">
        <f>IF(H352&lt;&gt;1,0,IF((IF(Classifiers!$B$11="",0,IF(ISNUMBER(SEARCH(Classifiers!$B$11,E352)),1,0))+IF(Classifiers!$C$11="",0,IF(ISNUMBER(SEARCH(Classifiers!$C$11,E352)),1,0))+IF(Classifiers!$D$11="",0,IF(ISNUMBER(SEARCH(Classifiers!$D$11,E352)),1,0))+IF(Classifiers!$E$11="",0,IF(ISNUMBER(SEARCH(Classifiers!$E$11,E352)),1,0))+IF(Classifiers!$F$11="",0,IF(ISNUMBER(SEARCH(Classifiers!$F$11,E352)),1,0))+IF(Classifiers!$G$11="",0,IF(ISNUMBER(SEARCH(Classifiers!$G$11,E352)),1,0)))&gt;0,1,0))</f>
        <v/>
      </c>
      <c r="Q352" s="12">
        <f>IF(H352&lt;&gt;1,0,IF((IF(Classifiers!$B$12="",0,IF(ISNUMBER(SEARCH(Classifiers!$B$12,E352)),1,0))+IF(Classifiers!$C$12="",0,IF(ISNUMBER(SEARCH(Classifiers!$C$12,E352)),1,0))+IF(Classifiers!$D$12="",0,IF(ISNUMBER(SEARCH(Classifiers!$D$12,E352)),1,0))+IF(Classifiers!$E$12="",0,IF(ISNUMBER(SEARCH(Classifiers!$E$12,E352)),1,0))+IF(Classifiers!$F$12="",0,IF(ISNUMBER(SEARCH(Classifiers!$F$12,E352)),1,0))+IF(Classifiers!$G$12="",0,IF(ISNUMBER(SEARCH(Classifiers!$G$12,E352)),1,0)))&gt;0,1,0))</f>
        <v/>
      </c>
      <c r="R352" s="12">
        <f>IF(H352&lt;&gt;1,0,IF((IF(Classifiers!$B$13="",0,IF(ISNUMBER(SEARCH(Classifiers!$B$13,E352)),1,0))+IF(Classifiers!$C$13="",0,IF(ISNUMBER(SEARCH(Classifiers!$C$13,E352)),1,0))+IF(Classifiers!$D$13="",0,IF(ISNUMBER(SEARCH(Classifiers!$D$13,E352)),1,0))+IF(Classifiers!$E$13="",0,IF(ISNUMBER(SEARCH(Classifiers!$E$13,E352)),1,0))+IF(Classifiers!$F$13="",0,IF(ISNUMBER(SEARCH(Classifiers!$F$13,E352)),1,0))+IF(Classifiers!$G$13="",0,IF(ISNUMBER(SEARCH(Classifiers!$G$13,E352)),1,0)))&gt;0,1,0))</f>
        <v/>
      </c>
      <c r="S352" s="12">
        <f>IF(H352&lt;&gt;1,0,IF((IF(Classifiers!$B$14="",0,IF(ISNUMBER(SEARCH(Classifiers!$B$14,E352)),1,0))+IF(Classifiers!$C$14="",0,IF(ISNUMBER(SEARCH(Classifiers!$C$14,E352)),1,0))+IF(Classifiers!$D$14="",0,IF(ISNUMBER(SEARCH(Classifiers!$D$14,E352)),1,0))+IF(Classifiers!$E$14="",0,IF(ISNUMBER(SEARCH(Classifiers!$E$14,E352)),1,0))+IF(Classifiers!$F$14="",0,IF(ISNUMBER(SEARCH(Classifiers!$F$14,E352)),1,0))+IF(Classifiers!$G$14="",0,IF(ISNUMBER(SEARCH(Classifiers!$G$14,E352)),1,0)))&gt;0,1,0))</f>
        <v/>
      </c>
      <c r="T352" s="12">
        <f>IF(H352&lt;&gt;1,0,IF((IF(Classifiers!$B$15="",0,IF(ISNUMBER(SEARCH(Classifiers!$B$15,E352)),1,0))+IF(Classifiers!$C$15="",0,IF(ISNUMBER(SEARCH(Classifiers!$C$15,E352)),1,0))+IF(Classifiers!$D$15="",0,IF(ISNUMBER(SEARCH(Classifiers!$D$15,E352)),1,0))+IF(Classifiers!$E$15="",0,IF(ISNUMBER(SEARCH(Classifiers!$E$15,E352)),1,0))+IF(Classifiers!$F$15="",0,IF(ISNUMBER(SEARCH(Classifiers!$F$15,E352)),1,0))+IF(Classifiers!$G$15="",0,IF(ISNUMBER(SEARCH(Classifiers!$G$15,E352)),1,0)))&gt;0,1,0))</f>
        <v/>
      </c>
      <c r="U352" s="12">
        <f>IF(H352&lt;&gt;1,0,IF((IF(Classifiers!$B$16="",0,IF(ISNUMBER(SEARCH(Classifiers!$B$16,E352)),1,0))+IF(Classifiers!$C$16="",0,IF(ISNUMBER(SEARCH(Classifiers!$C$16,E352)),1,0))+IF(Classifiers!$D$16="",0,IF(ISNUMBER(SEARCH(Classifiers!$D$16,E352)),1,0))+IF(Classifiers!$E$16="",0,IF(ISNUMBER(SEARCH(Classifiers!$E$16,E352)),1,0))+IF(Classifiers!$F$16="",0,IF(ISNUMBER(SEARCH(Classifiers!$F$16,E352)),1,0))+IF(Classifiers!$G$16="",0,IF(ISNUMBER(SEARCH(Classifiers!$G$16,E352)),1,0)))&gt;0,1,0))</f>
        <v/>
      </c>
      <c r="V352" s="12">
        <f>IF(H352&lt;&gt;1,0,IF((IF(Classifiers!$B$17="",0,IF(ISNUMBER(SEARCH(Classifiers!$B$17,E352)),1,0))+IF(Classifiers!$C$17="",0,IF(ISNUMBER(SEARCH(Classifiers!$C$17,E352)),1,0))+IF(Classifiers!$D$17="",0,IF(ISNUMBER(SEARCH(Classifiers!$D$17,E352)),1,0))+IF(Classifiers!$E$17="",0,IF(ISNUMBER(SEARCH(Classifiers!$E$17,E352)),1,0))+IF(Classifiers!$F$17="",0,IF(ISNUMBER(SEARCH(Classifiers!$F$17,E352)),1,0))+IF(Classifiers!$G$17="",0,IF(ISNUMBER(SEARCH(Classifiers!$G$17,E352)),1,0)))&gt;0,1,0))</f>
        <v/>
      </c>
      <c r="W352" s="12">
        <f>IF(H352&lt;&gt;1,0,IF((IF(Classifiers!$B$18="",0,IF(ISNUMBER(SEARCH(Classifiers!$B$18,E352)),1,0))+IF(Classifiers!$C$18="",0,IF(ISNUMBER(SEARCH(Classifiers!$C$18,E352)),1,0))+IF(Classifiers!$D$18="",0,IF(ISNUMBER(SEARCH(Classifiers!$D$18,E352)),1,0))+IF(Classifiers!$E$18="",0,IF(ISNUMBER(SEARCH(Classifiers!$E$18,E352)),1,0))+IF(Classifiers!$F$18="",0,IF(ISNUMBER(SEARCH(Classifiers!$F$18,E352)),1,0))+IF(Classifiers!$G$18="",0,IF(ISNUMBER(SEARCH(Classifiers!$G$18,E352)),1,0)))&gt;0,1,0))</f>
        <v/>
      </c>
    </row>
    <row r="353">
      <c r="A353" s="8" t="n"/>
      <c r="B353" s="11" t="n"/>
      <c r="C353" s="6">
        <f>IF(A353="","",TRIM(RIGHT(SUBSTITUTE(A353,"/",REPT(" ",250)),250)))</f>
        <v/>
      </c>
      <c r="D353" s="6">
        <f>IF(C353="","",IF(ISNUMBER(SEARCH(".",C353)),LOWER("."&amp;TRIM(RIGHT(SUBSTITUTE(C353,".",REPT(" ",250)),250))),""))</f>
        <v/>
      </c>
      <c r="E353" s="6">
        <f>IF(C353="","",TRIM(SUBSTITUTE(SUBSTITUTE(SUBSTITUTE(SUBSTITUTE(SUBSTITUTE(SUBSTITUTE(SUBSTITUTE(SUBSTITUTE(SUBSTITUTE(SUBSTITUTE(SUBSTITUTE(SUBSTITUTE(SUBSTITUTE(SUBSTITUTE(SUBSTITUTE(SUBSTITUTE(SUBSTITUTE(SUBSTITUTE(SUBSTITUTE(SUBSTITUTE(LOWER(LEFT(C353,LEN(C353)-LEN(D353))),"_"," "),"-"," "),"."," "),","," "),"("," "),")"," "),"["," "),"]"," "),"&amp;"," "),"+"," "),"@"," "),"#"," "),"!"," "),"'"," "),"/"," "),":"," "),";"," "),"="," "),"~"," "),"%"," ")))</f>
        <v/>
      </c>
      <c r="F353" s="6">
        <f>IF(C353="","",IF(COUNTIF(Classifiers!$A$23:$A$40,D353)&gt;0,1,0))</f>
        <v/>
      </c>
      <c r="G353" s="6">
        <f>IF(C353="","",IF(COUNTIF(Classifiers!$C$23:$C$30,D353)&gt;0,IF((IF(ISNUMBER(SEARCH(Classifiers!$E$23,E353)),1,0)+IF(ISNUMBER(SEARCH(Classifiers!$E$24,E353)),1,0)+IF(ISNUMBER(SEARCH(Classifiers!$E$25,E353)),1,0)+IF(ISNUMBER(SEARCH(Classifiers!$E$26,E353)),1,0)+IF(ISNUMBER(SEARCH(Classifiers!$E$27,E353)),1,0)+IF(ISNUMBER(SEARCH(Classifiers!$E$28,E353)),1,0)+IF(ISNUMBER(SEARCH(Classifiers!$E$29,E353)),1,0)+IF(ISNUMBER(SEARCH(Classifiers!$E$30,E353)),1,0))&gt;0,1,0),0))</f>
        <v/>
      </c>
      <c r="H353" s="6">
        <f>IF(C353="","",IF(OR(LEFT(C353,1)=".",AND(F353=0,G353=0)),0,1))</f>
        <v/>
      </c>
      <c r="I353" s="6">
        <f>IF(H353&lt;&gt;1,"",IF(SUM(J353:W353)=0,"unclassified",INDEX(Classifiers!$A$5:$A$18,MATCH(1,J353:W353,0),1)))</f>
        <v/>
      </c>
      <c r="J353" s="12">
        <f>IF(H353&lt;&gt;1,0,IF((IF(Classifiers!$B$5="",0,IF(ISNUMBER(SEARCH(Classifiers!$B$5,E353)),1,0))+IF(Classifiers!$C$5="",0,IF(ISNUMBER(SEARCH(Classifiers!$C$5,E353)),1,0))+IF(Classifiers!$D$5="",0,IF(ISNUMBER(SEARCH(Classifiers!$D$5,E353)),1,0))+IF(Classifiers!$E$5="",0,IF(ISNUMBER(SEARCH(Classifiers!$E$5,E353)),1,0))+IF(Classifiers!$F$5="",0,IF(ISNUMBER(SEARCH(Classifiers!$F$5,E353)),1,0))+IF(Classifiers!$G$5="",0,IF(ISNUMBER(SEARCH(Classifiers!$G$5,E353)),1,0)))&gt;0,1,0))</f>
        <v/>
      </c>
      <c r="K353" s="12">
        <f>IF(H353&lt;&gt;1,0,IF((IF(Classifiers!$B$6="",0,IF(ISNUMBER(SEARCH(Classifiers!$B$6,E353)),1,0))+IF(Classifiers!$C$6="",0,IF(ISNUMBER(SEARCH(Classifiers!$C$6,E353)),1,0))+IF(Classifiers!$D$6="",0,IF(ISNUMBER(SEARCH(Classifiers!$D$6,E353)),1,0))+IF(Classifiers!$E$6="",0,IF(ISNUMBER(SEARCH(Classifiers!$E$6,E353)),1,0))+IF(Classifiers!$F$6="",0,IF(ISNUMBER(SEARCH(Classifiers!$F$6,E353)),1,0))+IF(Classifiers!$G$6="",0,IF(ISNUMBER(SEARCH(Classifiers!$G$6,E353)),1,0)))&gt;0,1,0))</f>
        <v/>
      </c>
      <c r="L353" s="12">
        <f>IF(H353&lt;&gt;1,0,IF((IF(Classifiers!$B$7="",0,IF(ISNUMBER(SEARCH(Classifiers!$B$7,E353)),1,0))+IF(Classifiers!$C$7="",0,IF(ISNUMBER(SEARCH(Classifiers!$C$7,E353)),1,0))+IF(Classifiers!$D$7="",0,IF(ISNUMBER(SEARCH(Classifiers!$D$7,E353)),1,0))+IF(Classifiers!$E$7="",0,IF(ISNUMBER(SEARCH(Classifiers!$E$7,E353)),1,0))+IF(Classifiers!$F$7="",0,IF(ISNUMBER(SEARCH(Classifiers!$F$7,E353)),1,0))+IF(Classifiers!$G$7="",0,IF(ISNUMBER(SEARCH(Classifiers!$G$7,E353)),1,0)))&gt;0,1,0))</f>
        <v/>
      </c>
      <c r="M353" s="12">
        <f>IF(H353&lt;&gt;1,0,IF((IF(Classifiers!$B$8="",0,IF(ISNUMBER(SEARCH(Classifiers!$B$8,E353)),1,0))+IF(Classifiers!$C$8="",0,IF(ISNUMBER(SEARCH(Classifiers!$C$8,E353)),1,0))+IF(Classifiers!$D$8="",0,IF(ISNUMBER(SEARCH(Classifiers!$D$8,E353)),1,0))+IF(Classifiers!$E$8="",0,IF(ISNUMBER(SEARCH(Classifiers!$E$8,E353)),1,0))+IF(Classifiers!$F$8="",0,IF(ISNUMBER(SEARCH(Classifiers!$F$8,E353)),1,0))+IF(Classifiers!$G$8="",0,IF(ISNUMBER(SEARCH(Classifiers!$G$8,E353)),1,0)))&gt;0,1,0))</f>
        <v/>
      </c>
      <c r="N353" s="12">
        <f>IF(H353&lt;&gt;1,0,IF((IF(Classifiers!$B$9="",0,IF(ISNUMBER(SEARCH(Classifiers!$B$9,E353)),1,0))+IF(Classifiers!$C$9="",0,IF(ISNUMBER(SEARCH(Classifiers!$C$9,E353)),1,0))+IF(Classifiers!$D$9="",0,IF(ISNUMBER(SEARCH(Classifiers!$D$9,E353)),1,0))+IF(Classifiers!$E$9="",0,IF(ISNUMBER(SEARCH(Classifiers!$E$9,E353)),1,0))+IF(Classifiers!$F$9="",0,IF(ISNUMBER(SEARCH(Classifiers!$F$9,E353)),1,0))+IF(Classifiers!$G$9="",0,IF(ISNUMBER(SEARCH(Classifiers!$G$9,E353)),1,0)))&gt;0,1,0))</f>
        <v/>
      </c>
      <c r="O353" s="12">
        <f>IF(H353&lt;&gt;1,0,IF((IF(Classifiers!$B$10="",0,IF(ISNUMBER(SEARCH(Classifiers!$B$10,E353)),1,0))+IF(Classifiers!$C$10="",0,IF(ISNUMBER(SEARCH(Classifiers!$C$10,E353)),1,0))+IF(Classifiers!$D$10="",0,IF(ISNUMBER(SEARCH(Classifiers!$D$10,E353)),1,0))+IF(Classifiers!$E$10="",0,IF(ISNUMBER(SEARCH(Classifiers!$E$10,E353)),1,0))+IF(Classifiers!$F$10="",0,IF(ISNUMBER(SEARCH(Classifiers!$F$10,E353)),1,0))+IF(Classifiers!$G$10="",0,IF(ISNUMBER(SEARCH(Classifiers!$G$10,E353)),1,0)))&gt;0,1,0))</f>
        <v/>
      </c>
      <c r="P353" s="12">
        <f>IF(H353&lt;&gt;1,0,IF((IF(Classifiers!$B$11="",0,IF(ISNUMBER(SEARCH(Classifiers!$B$11,E353)),1,0))+IF(Classifiers!$C$11="",0,IF(ISNUMBER(SEARCH(Classifiers!$C$11,E353)),1,0))+IF(Classifiers!$D$11="",0,IF(ISNUMBER(SEARCH(Classifiers!$D$11,E353)),1,0))+IF(Classifiers!$E$11="",0,IF(ISNUMBER(SEARCH(Classifiers!$E$11,E353)),1,0))+IF(Classifiers!$F$11="",0,IF(ISNUMBER(SEARCH(Classifiers!$F$11,E353)),1,0))+IF(Classifiers!$G$11="",0,IF(ISNUMBER(SEARCH(Classifiers!$G$11,E353)),1,0)))&gt;0,1,0))</f>
        <v/>
      </c>
      <c r="Q353" s="12">
        <f>IF(H353&lt;&gt;1,0,IF((IF(Classifiers!$B$12="",0,IF(ISNUMBER(SEARCH(Classifiers!$B$12,E353)),1,0))+IF(Classifiers!$C$12="",0,IF(ISNUMBER(SEARCH(Classifiers!$C$12,E353)),1,0))+IF(Classifiers!$D$12="",0,IF(ISNUMBER(SEARCH(Classifiers!$D$12,E353)),1,0))+IF(Classifiers!$E$12="",0,IF(ISNUMBER(SEARCH(Classifiers!$E$12,E353)),1,0))+IF(Classifiers!$F$12="",0,IF(ISNUMBER(SEARCH(Classifiers!$F$12,E353)),1,0))+IF(Classifiers!$G$12="",0,IF(ISNUMBER(SEARCH(Classifiers!$G$12,E353)),1,0)))&gt;0,1,0))</f>
        <v/>
      </c>
      <c r="R353" s="12">
        <f>IF(H353&lt;&gt;1,0,IF((IF(Classifiers!$B$13="",0,IF(ISNUMBER(SEARCH(Classifiers!$B$13,E353)),1,0))+IF(Classifiers!$C$13="",0,IF(ISNUMBER(SEARCH(Classifiers!$C$13,E353)),1,0))+IF(Classifiers!$D$13="",0,IF(ISNUMBER(SEARCH(Classifiers!$D$13,E353)),1,0))+IF(Classifiers!$E$13="",0,IF(ISNUMBER(SEARCH(Classifiers!$E$13,E353)),1,0))+IF(Classifiers!$F$13="",0,IF(ISNUMBER(SEARCH(Classifiers!$F$13,E353)),1,0))+IF(Classifiers!$G$13="",0,IF(ISNUMBER(SEARCH(Classifiers!$G$13,E353)),1,0)))&gt;0,1,0))</f>
        <v/>
      </c>
      <c r="S353" s="12">
        <f>IF(H353&lt;&gt;1,0,IF((IF(Classifiers!$B$14="",0,IF(ISNUMBER(SEARCH(Classifiers!$B$14,E353)),1,0))+IF(Classifiers!$C$14="",0,IF(ISNUMBER(SEARCH(Classifiers!$C$14,E353)),1,0))+IF(Classifiers!$D$14="",0,IF(ISNUMBER(SEARCH(Classifiers!$D$14,E353)),1,0))+IF(Classifiers!$E$14="",0,IF(ISNUMBER(SEARCH(Classifiers!$E$14,E353)),1,0))+IF(Classifiers!$F$14="",0,IF(ISNUMBER(SEARCH(Classifiers!$F$14,E353)),1,0))+IF(Classifiers!$G$14="",0,IF(ISNUMBER(SEARCH(Classifiers!$G$14,E353)),1,0)))&gt;0,1,0))</f>
        <v/>
      </c>
      <c r="T353" s="12">
        <f>IF(H353&lt;&gt;1,0,IF((IF(Classifiers!$B$15="",0,IF(ISNUMBER(SEARCH(Classifiers!$B$15,E353)),1,0))+IF(Classifiers!$C$15="",0,IF(ISNUMBER(SEARCH(Classifiers!$C$15,E353)),1,0))+IF(Classifiers!$D$15="",0,IF(ISNUMBER(SEARCH(Classifiers!$D$15,E353)),1,0))+IF(Classifiers!$E$15="",0,IF(ISNUMBER(SEARCH(Classifiers!$E$15,E353)),1,0))+IF(Classifiers!$F$15="",0,IF(ISNUMBER(SEARCH(Classifiers!$F$15,E353)),1,0))+IF(Classifiers!$G$15="",0,IF(ISNUMBER(SEARCH(Classifiers!$G$15,E353)),1,0)))&gt;0,1,0))</f>
        <v/>
      </c>
      <c r="U353" s="12">
        <f>IF(H353&lt;&gt;1,0,IF((IF(Classifiers!$B$16="",0,IF(ISNUMBER(SEARCH(Classifiers!$B$16,E353)),1,0))+IF(Classifiers!$C$16="",0,IF(ISNUMBER(SEARCH(Classifiers!$C$16,E353)),1,0))+IF(Classifiers!$D$16="",0,IF(ISNUMBER(SEARCH(Classifiers!$D$16,E353)),1,0))+IF(Classifiers!$E$16="",0,IF(ISNUMBER(SEARCH(Classifiers!$E$16,E353)),1,0))+IF(Classifiers!$F$16="",0,IF(ISNUMBER(SEARCH(Classifiers!$F$16,E353)),1,0))+IF(Classifiers!$G$16="",0,IF(ISNUMBER(SEARCH(Classifiers!$G$16,E353)),1,0)))&gt;0,1,0))</f>
        <v/>
      </c>
      <c r="V353" s="12">
        <f>IF(H353&lt;&gt;1,0,IF((IF(Classifiers!$B$17="",0,IF(ISNUMBER(SEARCH(Classifiers!$B$17,E353)),1,0))+IF(Classifiers!$C$17="",0,IF(ISNUMBER(SEARCH(Classifiers!$C$17,E353)),1,0))+IF(Classifiers!$D$17="",0,IF(ISNUMBER(SEARCH(Classifiers!$D$17,E353)),1,0))+IF(Classifiers!$E$17="",0,IF(ISNUMBER(SEARCH(Classifiers!$E$17,E353)),1,0))+IF(Classifiers!$F$17="",0,IF(ISNUMBER(SEARCH(Classifiers!$F$17,E353)),1,0))+IF(Classifiers!$G$17="",0,IF(ISNUMBER(SEARCH(Classifiers!$G$17,E353)),1,0)))&gt;0,1,0))</f>
        <v/>
      </c>
      <c r="W353" s="12">
        <f>IF(H353&lt;&gt;1,0,IF((IF(Classifiers!$B$18="",0,IF(ISNUMBER(SEARCH(Classifiers!$B$18,E353)),1,0))+IF(Classifiers!$C$18="",0,IF(ISNUMBER(SEARCH(Classifiers!$C$18,E353)),1,0))+IF(Classifiers!$D$18="",0,IF(ISNUMBER(SEARCH(Classifiers!$D$18,E353)),1,0))+IF(Classifiers!$E$18="",0,IF(ISNUMBER(SEARCH(Classifiers!$E$18,E353)),1,0))+IF(Classifiers!$F$18="",0,IF(ISNUMBER(SEARCH(Classifiers!$F$18,E353)),1,0))+IF(Classifiers!$G$18="",0,IF(ISNUMBER(SEARCH(Classifiers!$G$18,E353)),1,0)))&gt;0,1,0))</f>
        <v/>
      </c>
    </row>
    <row r="354">
      <c r="A354" s="8" t="n"/>
      <c r="B354" s="11" t="n"/>
      <c r="C354" s="6">
        <f>IF(A354="","",TRIM(RIGHT(SUBSTITUTE(A354,"/",REPT(" ",250)),250)))</f>
        <v/>
      </c>
      <c r="D354" s="6">
        <f>IF(C354="","",IF(ISNUMBER(SEARCH(".",C354)),LOWER("."&amp;TRIM(RIGHT(SUBSTITUTE(C354,".",REPT(" ",250)),250))),""))</f>
        <v/>
      </c>
      <c r="E354" s="6">
        <f>IF(C354="","",TRIM(SUBSTITUTE(SUBSTITUTE(SUBSTITUTE(SUBSTITUTE(SUBSTITUTE(SUBSTITUTE(SUBSTITUTE(SUBSTITUTE(SUBSTITUTE(SUBSTITUTE(SUBSTITUTE(SUBSTITUTE(SUBSTITUTE(SUBSTITUTE(SUBSTITUTE(SUBSTITUTE(SUBSTITUTE(SUBSTITUTE(SUBSTITUTE(SUBSTITUTE(LOWER(LEFT(C354,LEN(C354)-LEN(D354))),"_"," "),"-"," "),"."," "),","," "),"("," "),")"," "),"["," "),"]"," "),"&amp;"," "),"+"," "),"@"," "),"#"," "),"!"," "),"'"," "),"/"," "),":"," "),";"," "),"="," "),"~"," "),"%"," ")))</f>
        <v/>
      </c>
      <c r="F354" s="6">
        <f>IF(C354="","",IF(COUNTIF(Classifiers!$A$23:$A$40,D354)&gt;0,1,0))</f>
        <v/>
      </c>
      <c r="G354" s="6">
        <f>IF(C354="","",IF(COUNTIF(Classifiers!$C$23:$C$30,D354)&gt;0,IF((IF(ISNUMBER(SEARCH(Classifiers!$E$23,E354)),1,0)+IF(ISNUMBER(SEARCH(Classifiers!$E$24,E354)),1,0)+IF(ISNUMBER(SEARCH(Classifiers!$E$25,E354)),1,0)+IF(ISNUMBER(SEARCH(Classifiers!$E$26,E354)),1,0)+IF(ISNUMBER(SEARCH(Classifiers!$E$27,E354)),1,0)+IF(ISNUMBER(SEARCH(Classifiers!$E$28,E354)),1,0)+IF(ISNUMBER(SEARCH(Classifiers!$E$29,E354)),1,0)+IF(ISNUMBER(SEARCH(Classifiers!$E$30,E354)),1,0))&gt;0,1,0),0))</f>
        <v/>
      </c>
      <c r="H354" s="6">
        <f>IF(C354="","",IF(OR(LEFT(C354,1)=".",AND(F354=0,G354=0)),0,1))</f>
        <v/>
      </c>
      <c r="I354" s="6">
        <f>IF(H354&lt;&gt;1,"",IF(SUM(J354:W354)=0,"unclassified",INDEX(Classifiers!$A$5:$A$18,MATCH(1,J354:W354,0),1)))</f>
        <v/>
      </c>
      <c r="J354" s="12">
        <f>IF(H354&lt;&gt;1,0,IF((IF(Classifiers!$B$5="",0,IF(ISNUMBER(SEARCH(Classifiers!$B$5,E354)),1,0))+IF(Classifiers!$C$5="",0,IF(ISNUMBER(SEARCH(Classifiers!$C$5,E354)),1,0))+IF(Classifiers!$D$5="",0,IF(ISNUMBER(SEARCH(Classifiers!$D$5,E354)),1,0))+IF(Classifiers!$E$5="",0,IF(ISNUMBER(SEARCH(Classifiers!$E$5,E354)),1,0))+IF(Classifiers!$F$5="",0,IF(ISNUMBER(SEARCH(Classifiers!$F$5,E354)),1,0))+IF(Classifiers!$G$5="",0,IF(ISNUMBER(SEARCH(Classifiers!$G$5,E354)),1,0)))&gt;0,1,0))</f>
        <v/>
      </c>
      <c r="K354" s="12">
        <f>IF(H354&lt;&gt;1,0,IF((IF(Classifiers!$B$6="",0,IF(ISNUMBER(SEARCH(Classifiers!$B$6,E354)),1,0))+IF(Classifiers!$C$6="",0,IF(ISNUMBER(SEARCH(Classifiers!$C$6,E354)),1,0))+IF(Classifiers!$D$6="",0,IF(ISNUMBER(SEARCH(Classifiers!$D$6,E354)),1,0))+IF(Classifiers!$E$6="",0,IF(ISNUMBER(SEARCH(Classifiers!$E$6,E354)),1,0))+IF(Classifiers!$F$6="",0,IF(ISNUMBER(SEARCH(Classifiers!$F$6,E354)),1,0))+IF(Classifiers!$G$6="",0,IF(ISNUMBER(SEARCH(Classifiers!$G$6,E354)),1,0)))&gt;0,1,0))</f>
        <v/>
      </c>
      <c r="L354" s="12">
        <f>IF(H354&lt;&gt;1,0,IF((IF(Classifiers!$B$7="",0,IF(ISNUMBER(SEARCH(Classifiers!$B$7,E354)),1,0))+IF(Classifiers!$C$7="",0,IF(ISNUMBER(SEARCH(Classifiers!$C$7,E354)),1,0))+IF(Classifiers!$D$7="",0,IF(ISNUMBER(SEARCH(Classifiers!$D$7,E354)),1,0))+IF(Classifiers!$E$7="",0,IF(ISNUMBER(SEARCH(Classifiers!$E$7,E354)),1,0))+IF(Classifiers!$F$7="",0,IF(ISNUMBER(SEARCH(Classifiers!$F$7,E354)),1,0))+IF(Classifiers!$G$7="",0,IF(ISNUMBER(SEARCH(Classifiers!$G$7,E354)),1,0)))&gt;0,1,0))</f>
        <v/>
      </c>
      <c r="M354" s="12">
        <f>IF(H354&lt;&gt;1,0,IF((IF(Classifiers!$B$8="",0,IF(ISNUMBER(SEARCH(Classifiers!$B$8,E354)),1,0))+IF(Classifiers!$C$8="",0,IF(ISNUMBER(SEARCH(Classifiers!$C$8,E354)),1,0))+IF(Classifiers!$D$8="",0,IF(ISNUMBER(SEARCH(Classifiers!$D$8,E354)),1,0))+IF(Classifiers!$E$8="",0,IF(ISNUMBER(SEARCH(Classifiers!$E$8,E354)),1,0))+IF(Classifiers!$F$8="",0,IF(ISNUMBER(SEARCH(Classifiers!$F$8,E354)),1,0))+IF(Classifiers!$G$8="",0,IF(ISNUMBER(SEARCH(Classifiers!$G$8,E354)),1,0)))&gt;0,1,0))</f>
        <v/>
      </c>
      <c r="N354" s="12">
        <f>IF(H354&lt;&gt;1,0,IF((IF(Classifiers!$B$9="",0,IF(ISNUMBER(SEARCH(Classifiers!$B$9,E354)),1,0))+IF(Classifiers!$C$9="",0,IF(ISNUMBER(SEARCH(Classifiers!$C$9,E354)),1,0))+IF(Classifiers!$D$9="",0,IF(ISNUMBER(SEARCH(Classifiers!$D$9,E354)),1,0))+IF(Classifiers!$E$9="",0,IF(ISNUMBER(SEARCH(Classifiers!$E$9,E354)),1,0))+IF(Classifiers!$F$9="",0,IF(ISNUMBER(SEARCH(Classifiers!$F$9,E354)),1,0))+IF(Classifiers!$G$9="",0,IF(ISNUMBER(SEARCH(Classifiers!$G$9,E354)),1,0)))&gt;0,1,0))</f>
        <v/>
      </c>
      <c r="O354" s="12">
        <f>IF(H354&lt;&gt;1,0,IF((IF(Classifiers!$B$10="",0,IF(ISNUMBER(SEARCH(Classifiers!$B$10,E354)),1,0))+IF(Classifiers!$C$10="",0,IF(ISNUMBER(SEARCH(Classifiers!$C$10,E354)),1,0))+IF(Classifiers!$D$10="",0,IF(ISNUMBER(SEARCH(Classifiers!$D$10,E354)),1,0))+IF(Classifiers!$E$10="",0,IF(ISNUMBER(SEARCH(Classifiers!$E$10,E354)),1,0))+IF(Classifiers!$F$10="",0,IF(ISNUMBER(SEARCH(Classifiers!$F$10,E354)),1,0))+IF(Classifiers!$G$10="",0,IF(ISNUMBER(SEARCH(Classifiers!$G$10,E354)),1,0)))&gt;0,1,0))</f>
        <v/>
      </c>
      <c r="P354" s="12">
        <f>IF(H354&lt;&gt;1,0,IF((IF(Classifiers!$B$11="",0,IF(ISNUMBER(SEARCH(Classifiers!$B$11,E354)),1,0))+IF(Classifiers!$C$11="",0,IF(ISNUMBER(SEARCH(Classifiers!$C$11,E354)),1,0))+IF(Classifiers!$D$11="",0,IF(ISNUMBER(SEARCH(Classifiers!$D$11,E354)),1,0))+IF(Classifiers!$E$11="",0,IF(ISNUMBER(SEARCH(Classifiers!$E$11,E354)),1,0))+IF(Classifiers!$F$11="",0,IF(ISNUMBER(SEARCH(Classifiers!$F$11,E354)),1,0))+IF(Classifiers!$G$11="",0,IF(ISNUMBER(SEARCH(Classifiers!$G$11,E354)),1,0)))&gt;0,1,0))</f>
        <v/>
      </c>
      <c r="Q354" s="12">
        <f>IF(H354&lt;&gt;1,0,IF((IF(Classifiers!$B$12="",0,IF(ISNUMBER(SEARCH(Classifiers!$B$12,E354)),1,0))+IF(Classifiers!$C$12="",0,IF(ISNUMBER(SEARCH(Classifiers!$C$12,E354)),1,0))+IF(Classifiers!$D$12="",0,IF(ISNUMBER(SEARCH(Classifiers!$D$12,E354)),1,0))+IF(Classifiers!$E$12="",0,IF(ISNUMBER(SEARCH(Classifiers!$E$12,E354)),1,0))+IF(Classifiers!$F$12="",0,IF(ISNUMBER(SEARCH(Classifiers!$F$12,E354)),1,0))+IF(Classifiers!$G$12="",0,IF(ISNUMBER(SEARCH(Classifiers!$G$12,E354)),1,0)))&gt;0,1,0))</f>
        <v/>
      </c>
      <c r="R354" s="12">
        <f>IF(H354&lt;&gt;1,0,IF((IF(Classifiers!$B$13="",0,IF(ISNUMBER(SEARCH(Classifiers!$B$13,E354)),1,0))+IF(Classifiers!$C$13="",0,IF(ISNUMBER(SEARCH(Classifiers!$C$13,E354)),1,0))+IF(Classifiers!$D$13="",0,IF(ISNUMBER(SEARCH(Classifiers!$D$13,E354)),1,0))+IF(Classifiers!$E$13="",0,IF(ISNUMBER(SEARCH(Classifiers!$E$13,E354)),1,0))+IF(Classifiers!$F$13="",0,IF(ISNUMBER(SEARCH(Classifiers!$F$13,E354)),1,0))+IF(Classifiers!$G$13="",0,IF(ISNUMBER(SEARCH(Classifiers!$G$13,E354)),1,0)))&gt;0,1,0))</f>
        <v/>
      </c>
      <c r="S354" s="12">
        <f>IF(H354&lt;&gt;1,0,IF((IF(Classifiers!$B$14="",0,IF(ISNUMBER(SEARCH(Classifiers!$B$14,E354)),1,0))+IF(Classifiers!$C$14="",0,IF(ISNUMBER(SEARCH(Classifiers!$C$14,E354)),1,0))+IF(Classifiers!$D$14="",0,IF(ISNUMBER(SEARCH(Classifiers!$D$14,E354)),1,0))+IF(Classifiers!$E$14="",0,IF(ISNUMBER(SEARCH(Classifiers!$E$14,E354)),1,0))+IF(Classifiers!$F$14="",0,IF(ISNUMBER(SEARCH(Classifiers!$F$14,E354)),1,0))+IF(Classifiers!$G$14="",0,IF(ISNUMBER(SEARCH(Classifiers!$G$14,E354)),1,0)))&gt;0,1,0))</f>
        <v/>
      </c>
      <c r="T354" s="12">
        <f>IF(H354&lt;&gt;1,0,IF((IF(Classifiers!$B$15="",0,IF(ISNUMBER(SEARCH(Classifiers!$B$15,E354)),1,0))+IF(Classifiers!$C$15="",0,IF(ISNUMBER(SEARCH(Classifiers!$C$15,E354)),1,0))+IF(Classifiers!$D$15="",0,IF(ISNUMBER(SEARCH(Classifiers!$D$15,E354)),1,0))+IF(Classifiers!$E$15="",0,IF(ISNUMBER(SEARCH(Classifiers!$E$15,E354)),1,0))+IF(Classifiers!$F$15="",0,IF(ISNUMBER(SEARCH(Classifiers!$F$15,E354)),1,0))+IF(Classifiers!$G$15="",0,IF(ISNUMBER(SEARCH(Classifiers!$G$15,E354)),1,0)))&gt;0,1,0))</f>
        <v/>
      </c>
      <c r="U354" s="12">
        <f>IF(H354&lt;&gt;1,0,IF((IF(Classifiers!$B$16="",0,IF(ISNUMBER(SEARCH(Classifiers!$B$16,E354)),1,0))+IF(Classifiers!$C$16="",0,IF(ISNUMBER(SEARCH(Classifiers!$C$16,E354)),1,0))+IF(Classifiers!$D$16="",0,IF(ISNUMBER(SEARCH(Classifiers!$D$16,E354)),1,0))+IF(Classifiers!$E$16="",0,IF(ISNUMBER(SEARCH(Classifiers!$E$16,E354)),1,0))+IF(Classifiers!$F$16="",0,IF(ISNUMBER(SEARCH(Classifiers!$F$16,E354)),1,0))+IF(Classifiers!$G$16="",0,IF(ISNUMBER(SEARCH(Classifiers!$G$16,E354)),1,0)))&gt;0,1,0))</f>
        <v/>
      </c>
      <c r="V354" s="12">
        <f>IF(H354&lt;&gt;1,0,IF((IF(Classifiers!$B$17="",0,IF(ISNUMBER(SEARCH(Classifiers!$B$17,E354)),1,0))+IF(Classifiers!$C$17="",0,IF(ISNUMBER(SEARCH(Classifiers!$C$17,E354)),1,0))+IF(Classifiers!$D$17="",0,IF(ISNUMBER(SEARCH(Classifiers!$D$17,E354)),1,0))+IF(Classifiers!$E$17="",0,IF(ISNUMBER(SEARCH(Classifiers!$E$17,E354)),1,0))+IF(Classifiers!$F$17="",0,IF(ISNUMBER(SEARCH(Classifiers!$F$17,E354)),1,0))+IF(Classifiers!$G$17="",0,IF(ISNUMBER(SEARCH(Classifiers!$G$17,E354)),1,0)))&gt;0,1,0))</f>
        <v/>
      </c>
      <c r="W354" s="12">
        <f>IF(H354&lt;&gt;1,0,IF((IF(Classifiers!$B$18="",0,IF(ISNUMBER(SEARCH(Classifiers!$B$18,E354)),1,0))+IF(Classifiers!$C$18="",0,IF(ISNUMBER(SEARCH(Classifiers!$C$18,E354)),1,0))+IF(Classifiers!$D$18="",0,IF(ISNUMBER(SEARCH(Classifiers!$D$18,E354)),1,0))+IF(Classifiers!$E$18="",0,IF(ISNUMBER(SEARCH(Classifiers!$E$18,E354)),1,0))+IF(Classifiers!$F$18="",0,IF(ISNUMBER(SEARCH(Classifiers!$F$18,E354)),1,0))+IF(Classifiers!$G$18="",0,IF(ISNUMBER(SEARCH(Classifiers!$G$18,E354)),1,0)))&gt;0,1,0))</f>
        <v/>
      </c>
    </row>
    <row r="355">
      <c r="A355" s="8" t="n"/>
      <c r="B355" s="11" t="n"/>
      <c r="C355" s="6">
        <f>IF(A355="","",TRIM(RIGHT(SUBSTITUTE(A355,"/",REPT(" ",250)),250)))</f>
        <v/>
      </c>
      <c r="D355" s="6">
        <f>IF(C355="","",IF(ISNUMBER(SEARCH(".",C355)),LOWER("."&amp;TRIM(RIGHT(SUBSTITUTE(C355,".",REPT(" ",250)),250))),""))</f>
        <v/>
      </c>
      <c r="E355" s="6">
        <f>IF(C355="","",TRIM(SUBSTITUTE(SUBSTITUTE(SUBSTITUTE(SUBSTITUTE(SUBSTITUTE(SUBSTITUTE(SUBSTITUTE(SUBSTITUTE(SUBSTITUTE(SUBSTITUTE(SUBSTITUTE(SUBSTITUTE(SUBSTITUTE(SUBSTITUTE(SUBSTITUTE(SUBSTITUTE(SUBSTITUTE(SUBSTITUTE(SUBSTITUTE(SUBSTITUTE(LOWER(LEFT(C355,LEN(C355)-LEN(D355))),"_"," "),"-"," "),"."," "),","," "),"("," "),")"," "),"["," "),"]"," "),"&amp;"," "),"+"," "),"@"," "),"#"," "),"!"," "),"'"," "),"/"," "),":"," "),";"," "),"="," "),"~"," "),"%"," ")))</f>
        <v/>
      </c>
      <c r="F355" s="6">
        <f>IF(C355="","",IF(COUNTIF(Classifiers!$A$23:$A$40,D355)&gt;0,1,0))</f>
        <v/>
      </c>
      <c r="G355" s="6">
        <f>IF(C355="","",IF(COUNTIF(Classifiers!$C$23:$C$30,D355)&gt;0,IF((IF(ISNUMBER(SEARCH(Classifiers!$E$23,E355)),1,0)+IF(ISNUMBER(SEARCH(Classifiers!$E$24,E355)),1,0)+IF(ISNUMBER(SEARCH(Classifiers!$E$25,E355)),1,0)+IF(ISNUMBER(SEARCH(Classifiers!$E$26,E355)),1,0)+IF(ISNUMBER(SEARCH(Classifiers!$E$27,E355)),1,0)+IF(ISNUMBER(SEARCH(Classifiers!$E$28,E355)),1,0)+IF(ISNUMBER(SEARCH(Classifiers!$E$29,E355)),1,0)+IF(ISNUMBER(SEARCH(Classifiers!$E$30,E355)),1,0))&gt;0,1,0),0))</f>
        <v/>
      </c>
      <c r="H355" s="6">
        <f>IF(C355="","",IF(OR(LEFT(C355,1)=".",AND(F355=0,G355=0)),0,1))</f>
        <v/>
      </c>
      <c r="I355" s="6">
        <f>IF(H355&lt;&gt;1,"",IF(SUM(J355:W355)=0,"unclassified",INDEX(Classifiers!$A$5:$A$18,MATCH(1,J355:W355,0),1)))</f>
        <v/>
      </c>
      <c r="J355" s="12">
        <f>IF(H355&lt;&gt;1,0,IF((IF(Classifiers!$B$5="",0,IF(ISNUMBER(SEARCH(Classifiers!$B$5,E355)),1,0))+IF(Classifiers!$C$5="",0,IF(ISNUMBER(SEARCH(Classifiers!$C$5,E355)),1,0))+IF(Classifiers!$D$5="",0,IF(ISNUMBER(SEARCH(Classifiers!$D$5,E355)),1,0))+IF(Classifiers!$E$5="",0,IF(ISNUMBER(SEARCH(Classifiers!$E$5,E355)),1,0))+IF(Classifiers!$F$5="",0,IF(ISNUMBER(SEARCH(Classifiers!$F$5,E355)),1,0))+IF(Classifiers!$G$5="",0,IF(ISNUMBER(SEARCH(Classifiers!$G$5,E355)),1,0)))&gt;0,1,0))</f>
        <v/>
      </c>
      <c r="K355" s="12">
        <f>IF(H355&lt;&gt;1,0,IF((IF(Classifiers!$B$6="",0,IF(ISNUMBER(SEARCH(Classifiers!$B$6,E355)),1,0))+IF(Classifiers!$C$6="",0,IF(ISNUMBER(SEARCH(Classifiers!$C$6,E355)),1,0))+IF(Classifiers!$D$6="",0,IF(ISNUMBER(SEARCH(Classifiers!$D$6,E355)),1,0))+IF(Classifiers!$E$6="",0,IF(ISNUMBER(SEARCH(Classifiers!$E$6,E355)),1,0))+IF(Classifiers!$F$6="",0,IF(ISNUMBER(SEARCH(Classifiers!$F$6,E355)),1,0))+IF(Classifiers!$G$6="",0,IF(ISNUMBER(SEARCH(Classifiers!$G$6,E355)),1,0)))&gt;0,1,0))</f>
        <v/>
      </c>
      <c r="L355" s="12">
        <f>IF(H355&lt;&gt;1,0,IF((IF(Classifiers!$B$7="",0,IF(ISNUMBER(SEARCH(Classifiers!$B$7,E355)),1,0))+IF(Classifiers!$C$7="",0,IF(ISNUMBER(SEARCH(Classifiers!$C$7,E355)),1,0))+IF(Classifiers!$D$7="",0,IF(ISNUMBER(SEARCH(Classifiers!$D$7,E355)),1,0))+IF(Classifiers!$E$7="",0,IF(ISNUMBER(SEARCH(Classifiers!$E$7,E355)),1,0))+IF(Classifiers!$F$7="",0,IF(ISNUMBER(SEARCH(Classifiers!$F$7,E355)),1,0))+IF(Classifiers!$G$7="",0,IF(ISNUMBER(SEARCH(Classifiers!$G$7,E355)),1,0)))&gt;0,1,0))</f>
        <v/>
      </c>
      <c r="M355" s="12">
        <f>IF(H355&lt;&gt;1,0,IF((IF(Classifiers!$B$8="",0,IF(ISNUMBER(SEARCH(Classifiers!$B$8,E355)),1,0))+IF(Classifiers!$C$8="",0,IF(ISNUMBER(SEARCH(Classifiers!$C$8,E355)),1,0))+IF(Classifiers!$D$8="",0,IF(ISNUMBER(SEARCH(Classifiers!$D$8,E355)),1,0))+IF(Classifiers!$E$8="",0,IF(ISNUMBER(SEARCH(Classifiers!$E$8,E355)),1,0))+IF(Classifiers!$F$8="",0,IF(ISNUMBER(SEARCH(Classifiers!$F$8,E355)),1,0))+IF(Classifiers!$G$8="",0,IF(ISNUMBER(SEARCH(Classifiers!$G$8,E355)),1,0)))&gt;0,1,0))</f>
        <v/>
      </c>
      <c r="N355" s="12">
        <f>IF(H355&lt;&gt;1,0,IF((IF(Classifiers!$B$9="",0,IF(ISNUMBER(SEARCH(Classifiers!$B$9,E355)),1,0))+IF(Classifiers!$C$9="",0,IF(ISNUMBER(SEARCH(Classifiers!$C$9,E355)),1,0))+IF(Classifiers!$D$9="",0,IF(ISNUMBER(SEARCH(Classifiers!$D$9,E355)),1,0))+IF(Classifiers!$E$9="",0,IF(ISNUMBER(SEARCH(Classifiers!$E$9,E355)),1,0))+IF(Classifiers!$F$9="",0,IF(ISNUMBER(SEARCH(Classifiers!$F$9,E355)),1,0))+IF(Classifiers!$G$9="",0,IF(ISNUMBER(SEARCH(Classifiers!$G$9,E355)),1,0)))&gt;0,1,0))</f>
        <v/>
      </c>
      <c r="O355" s="12">
        <f>IF(H355&lt;&gt;1,0,IF((IF(Classifiers!$B$10="",0,IF(ISNUMBER(SEARCH(Classifiers!$B$10,E355)),1,0))+IF(Classifiers!$C$10="",0,IF(ISNUMBER(SEARCH(Classifiers!$C$10,E355)),1,0))+IF(Classifiers!$D$10="",0,IF(ISNUMBER(SEARCH(Classifiers!$D$10,E355)),1,0))+IF(Classifiers!$E$10="",0,IF(ISNUMBER(SEARCH(Classifiers!$E$10,E355)),1,0))+IF(Classifiers!$F$10="",0,IF(ISNUMBER(SEARCH(Classifiers!$F$10,E355)),1,0))+IF(Classifiers!$G$10="",0,IF(ISNUMBER(SEARCH(Classifiers!$G$10,E355)),1,0)))&gt;0,1,0))</f>
        <v/>
      </c>
      <c r="P355" s="12">
        <f>IF(H355&lt;&gt;1,0,IF((IF(Classifiers!$B$11="",0,IF(ISNUMBER(SEARCH(Classifiers!$B$11,E355)),1,0))+IF(Classifiers!$C$11="",0,IF(ISNUMBER(SEARCH(Classifiers!$C$11,E355)),1,0))+IF(Classifiers!$D$11="",0,IF(ISNUMBER(SEARCH(Classifiers!$D$11,E355)),1,0))+IF(Classifiers!$E$11="",0,IF(ISNUMBER(SEARCH(Classifiers!$E$11,E355)),1,0))+IF(Classifiers!$F$11="",0,IF(ISNUMBER(SEARCH(Classifiers!$F$11,E355)),1,0))+IF(Classifiers!$G$11="",0,IF(ISNUMBER(SEARCH(Classifiers!$G$11,E355)),1,0)))&gt;0,1,0))</f>
        <v/>
      </c>
      <c r="Q355" s="12">
        <f>IF(H355&lt;&gt;1,0,IF((IF(Classifiers!$B$12="",0,IF(ISNUMBER(SEARCH(Classifiers!$B$12,E355)),1,0))+IF(Classifiers!$C$12="",0,IF(ISNUMBER(SEARCH(Classifiers!$C$12,E355)),1,0))+IF(Classifiers!$D$12="",0,IF(ISNUMBER(SEARCH(Classifiers!$D$12,E355)),1,0))+IF(Classifiers!$E$12="",0,IF(ISNUMBER(SEARCH(Classifiers!$E$12,E355)),1,0))+IF(Classifiers!$F$12="",0,IF(ISNUMBER(SEARCH(Classifiers!$F$12,E355)),1,0))+IF(Classifiers!$G$12="",0,IF(ISNUMBER(SEARCH(Classifiers!$G$12,E355)),1,0)))&gt;0,1,0))</f>
        <v/>
      </c>
      <c r="R355" s="12">
        <f>IF(H355&lt;&gt;1,0,IF((IF(Classifiers!$B$13="",0,IF(ISNUMBER(SEARCH(Classifiers!$B$13,E355)),1,0))+IF(Classifiers!$C$13="",0,IF(ISNUMBER(SEARCH(Classifiers!$C$13,E355)),1,0))+IF(Classifiers!$D$13="",0,IF(ISNUMBER(SEARCH(Classifiers!$D$13,E355)),1,0))+IF(Classifiers!$E$13="",0,IF(ISNUMBER(SEARCH(Classifiers!$E$13,E355)),1,0))+IF(Classifiers!$F$13="",0,IF(ISNUMBER(SEARCH(Classifiers!$F$13,E355)),1,0))+IF(Classifiers!$G$13="",0,IF(ISNUMBER(SEARCH(Classifiers!$G$13,E355)),1,0)))&gt;0,1,0))</f>
        <v/>
      </c>
      <c r="S355" s="12">
        <f>IF(H355&lt;&gt;1,0,IF((IF(Classifiers!$B$14="",0,IF(ISNUMBER(SEARCH(Classifiers!$B$14,E355)),1,0))+IF(Classifiers!$C$14="",0,IF(ISNUMBER(SEARCH(Classifiers!$C$14,E355)),1,0))+IF(Classifiers!$D$14="",0,IF(ISNUMBER(SEARCH(Classifiers!$D$14,E355)),1,0))+IF(Classifiers!$E$14="",0,IF(ISNUMBER(SEARCH(Classifiers!$E$14,E355)),1,0))+IF(Classifiers!$F$14="",0,IF(ISNUMBER(SEARCH(Classifiers!$F$14,E355)),1,0))+IF(Classifiers!$G$14="",0,IF(ISNUMBER(SEARCH(Classifiers!$G$14,E355)),1,0)))&gt;0,1,0))</f>
        <v/>
      </c>
      <c r="T355" s="12">
        <f>IF(H355&lt;&gt;1,0,IF((IF(Classifiers!$B$15="",0,IF(ISNUMBER(SEARCH(Classifiers!$B$15,E355)),1,0))+IF(Classifiers!$C$15="",0,IF(ISNUMBER(SEARCH(Classifiers!$C$15,E355)),1,0))+IF(Classifiers!$D$15="",0,IF(ISNUMBER(SEARCH(Classifiers!$D$15,E355)),1,0))+IF(Classifiers!$E$15="",0,IF(ISNUMBER(SEARCH(Classifiers!$E$15,E355)),1,0))+IF(Classifiers!$F$15="",0,IF(ISNUMBER(SEARCH(Classifiers!$F$15,E355)),1,0))+IF(Classifiers!$G$15="",0,IF(ISNUMBER(SEARCH(Classifiers!$G$15,E355)),1,0)))&gt;0,1,0))</f>
        <v/>
      </c>
      <c r="U355" s="12">
        <f>IF(H355&lt;&gt;1,0,IF((IF(Classifiers!$B$16="",0,IF(ISNUMBER(SEARCH(Classifiers!$B$16,E355)),1,0))+IF(Classifiers!$C$16="",0,IF(ISNUMBER(SEARCH(Classifiers!$C$16,E355)),1,0))+IF(Classifiers!$D$16="",0,IF(ISNUMBER(SEARCH(Classifiers!$D$16,E355)),1,0))+IF(Classifiers!$E$16="",0,IF(ISNUMBER(SEARCH(Classifiers!$E$16,E355)),1,0))+IF(Classifiers!$F$16="",0,IF(ISNUMBER(SEARCH(Classifiers!$F$16,E355)),1,0))+IF(Classifiers!$G$16="",0,IF(ISNUMBER(SEARCH(Classifiers!$G$16,E355)),1,0)))&gt;0,1,0))</f>
        <v/>
      </c>
      <c r="V355" s="12">
        <f>IF(H355&lt;&gt;1,0,IF((IF(Classifiers!$B$17="",0,IF(ISNUMBER(SEARCH(Classifiers!$B$17,E355)),1,0))+IF(Classifiers!$C$17="",0,IF(ISNUMBER(SEARCH(Classifiers!$C$17,E355)),1,0))+IF(Classifiers!$D$17="",0,IF(ISNUMBER(SEARCH(Classifiers!$D$17,E355)),1,0))+IF(Classifiers!$E$17="",0,IF(ISNUMBER(SEARCH(Classifiers!$E$17,E355)),1,0))+IF(Classifiers!$F$17="",0,IF(ISNUMBER(SEARCH(Classifiers!$F$17,E355)),1,0))+IF(Classifiers!$G$17="",0,IF(ISNUMBER(SEARCH(Classifiers!$G$17,E355)),1,0)))&gt;0,1,0))</f>
        <v/>
      </c>
      <c r="W355" s="12">
        <f>IF(H355&lt;&gt;1,0,IF((IF(Classifiers!$B$18="",0,IF(ISNUMBER(SEARCH(Classifiers!$B$18,E355)),1,0))+IF(Classifiers!$C$18="",0,IF(ISNUMBER(SEARCH(Classifiers!$C$18,E355)),1,0))+IF(Classifiers!$D$18="",0,IF(ISNUMBER(SEARCH(Classifiers!$D$18,E355)),1,0))+IF(Classifiers!$E$18="",0,IF(ISNUMBER(SEARCH(Classifiers!$E$18,E355)),1,0))+IF(Classifiers!$F$18="",0,IF(ISNUMBER(SEARCH(Classifiers!$F$18,E355)),1,0))+IF(Classifiers!$G$18="",0,IF(ISNUMBER(SEARCH(Classifiers!$G$18,E355)),1,0)))&gt;0,1,0))</f>
        <v/>
      </c>
    </row>
    <row r="356">
      <c r="A356" s="8" t="n"/>
      <c r="B356" s="11" t="n"/>
      <c r="C356" s="6">
        <f>IF(A356="","",TRIM(RIGHT(SUBSTITUTE(A356,"/",REPT(" ",250)),250)))</f>
        <v/>
      </c>
      <c r="D356" s="6">
        <f>IF(C356="","",IF(ISNUMBER(SEARCH(".",C356)),LOWER("."&amp;TRIM(RIGHT(SUBSTITUTE(C356,".",REPT(" ",250)),250))),""))</f>
        <v/>
      </c>
      <c r="E356" s="6">
        <f>IF(C356="","",TRIM(SUBSTITUTE(SUBSTITUTE(SUBSTITUTE(SUBSTITUTE(SUBSTITUTE(SUBSTITUTE(SUBSTITUTE(SUBSTITUTE(SUBSTITUTE(SUBSTITUTE(SUBSTITUTE(SUBSTITUTE(SUBSTITUTE(SUBSTITUTE(SUBSTITUTE(SUBSTITUTE(SUBSTITUTE(SUBSTITUTE(SUBSTITUTE(SUBSTITUTE(LOWER(LEFT(C356,LEN(C356)-LEN(D356))),"_"," "),"-"," "),"."," "),","," "),"("," "),")"," "),"["," "),"]"," "),"&amp;"," "),"+"," "),"@"," "),"#"," "),"!"," "),"'"," "),"/"," "),":"," "),";"," "),"="," "),"~"," "),"%"," ")))</f>
        <v/>
      </c>
      <c r="F356" s="6">
        <f>IF(C356="","",IF(COUNTIF(Classifiers!$A$23:$A$40,D356)&gt;0,1,0))</f>
        <v/>
      </c>
      <c r="G356" s="6">
        <f>IF(C356="","",IF(COUNTIF(Classifiers!$C$23:$C$30,D356)&gt;0,IF((IF(ISNUMBER(SEARCH(Classifiers!$E$23,E356)),1,0)+IF(ISNUMBER(SEARCH(Classifiers!$E$24,E356)),1,0)+IF(ISNUMBER(SEARCH(Classifiers!$E$25,E356)),1,0)+IF(ISNUMBER(SEARCH(Classifiers!$E$26,E356)),1,0)+IF(ISNUMBER(SEARCH(Classifiers!$E$27,E356)),1,0)+IF(ISNUMBER(SEARCH(Classifiers!$E$28,E356)),1,0)+IF(ISNUMBER(SEARCH(Classifiers!$E$29,E356)),1,0)+IF(ISNUMBER(SEARCH(Classifiers!$E$30,E356)),1,0))&gt;0,1,0),0))</f>
        <v/>
      </c>
      <c r="H356" s="6">
        <f>IF(C356="","",IF(OR(LEFT(C356,1)=".",AND(F356=0,G356=0)),0,1))</f>
        <v/>
      </c>
      <c r="I356" s="6">
        <f>IF(H356&lt;&gt;1,"",IF(SUM(J356:W356)=0,"unclassified",INDEX(Classifiers!$A$5:$A$18,MATCH(1,J356:W356,0),1)))</f>
        <v/>
      </c>
      <c r="J356" s="12">
        <f>IF(H356&lt;&gt;1,0,IF((IF(Classifiers!$B$5="",0,IF(ISNUMBER(SEARCH(Classifiers!$B$5,E356)),1,0))+IF(Classifiers!$C$5="",0,IF(ISNUMBER(SEARCH(Classifiers!$C$5,E356)),1,0))+IF(Classifiers!$D$5="",0,IF(ISNUMBER(SEARCH(Classifiers!$D$5,E356)),1,0))+IF(Classifiers!$E$5="",0,IF(ISNUMBER(SEARCH(Classifiers!$E$5,E356)),1,0))+IF(Classifiers!$F$5="",0,IF(ISNUMBER(SEARCH(Classifiers!$F$5,E356)),1,0))+IF(Classifiers!$G$5="",0,IF(ISNUMBER(SEARCH(Classifiers!$G$5,E356)),1,0)))&gt;0,1,0))</f>
        <v/>
      </c>
      <c r="K356" s="12">
        <f>IF(H356&lt;&gt;1,0,IF((IF(Classifiers!$B$6="",0,IF(ISNUMBER(SEARCH(Classifiers!$B$6,E356)),1,0))+IF(Classifiers!$C$6="",0,IF(ISNUMBER(SEARCH(Classifiers!$C$6,E356)),1,0))+IF(Classifiers!$D$6="",0,IF(ISNUMBER(SEARCH(Classifiers!$D$6,E356)),1,0))+IF(Classifiers!$E$6="",0,IF(ISNUMBER(SEARCH(Classifiers!$E$6,E356)),1,0))+IF(Classifiers!$F$6="",0,IF(ISNUMBER(SEARCH(Classifiers!$F$6,E356)),1,0))+IF(Classifiers!$G$6="",0,IF(ISNUMBER(SEARCH(Classifiers!$G$6,E356)),1,0)))&gt;0,1,0))</f>
        <v/>
      </c>
      <c r="L356" s="12">
        <f>IF(H356&lt;&gt;1,0,IF((IF(Classifiers!$B$7="",0,IF(ISNUMBER(SEARCH(Classifiers!$B$7,E356)),1,0))+IF(Classifiers!$C$7="",0,IF(ISNUMBER(SEARCH(Classifiers!$C$7,E356)),1,0))+IF(Classifiers!$D$7="",0,IF(ISNUMBER(SEARCH(Classifiers!$D$7,E356)),1,0))+IF(Classifiers!$E$7="",0,IF(ISNUMBER(SEARCH(Classifiers!$E$7,E356)),1,0))+IF(Classifiers!$F$7="",0,IF(ISNUMBER(SEARCH(Classifiers!$F$7,E356)),1,0))+IF(Classifiers!$G$7="",0,IF(ISNUMBER(SEARCH(Classifiers!$G$7,E356)),1,0)))&gt;0,1,0))</f>
        <v/>
      </c>
      <c r="M356" s="12">
        <f>IF(H356&lt;&gt;1,0,IF((IF(Classifiers!$B$8="",0,IF(ISNUMBER(SEARCH(Classifiers!$B$8,E356)),1,0))+IF(Classifiers!$C$8="",0,IF(ISNUMBER(SEARCH(Classifiers!$C$8,E356)),1,0))+IF(Classifiers!$D$8="",0,IF(ISNUMBER(SEARCH(Classifiers!$D$8,E356)),1,0))+IF(Classifiers!$E$8="",0,IF(ISNUMBER(SEARCH(Classifiers!$E$8,E356)),1,0))+IF(Classifiers!$F$8="",0,IF(ISNUMBER(SEARCH(Classifiers!$F$8,E356)),1,0))+IF(Classifiers!$G$8="",0,IF(ISNUMBER(SEARCH(Classifiers!$G$8,E356)),1,0)))&gt;0,1,0))</f>
        <v/>
      </c>
      <c r="N356" s="12">
        <f>IF(H356&lt;&gt;1,0,IF((IF(Classifiers!$B$9="",0,IF(ISNUMBER(SEARCH(Classifiers!$B$9,E356)),1,0))+IF(Classifiers!$C$9="",0,IF(ISNUMBER(SEARCH(Classifiers!$C$9,E356)),1,0))+IF(Classifiers!$D$9="",0,IF(ISNUMBER(SEARCH(Classifiers!$D$9,E356)),1,0))+IF(Classifiers!$E$9="",0,IF(ISNUMBER(SEARCH(Classifiers!$E$9,E356)),1,0))+IF(Classifiers!$F$9="",0,IF(ISNUMBER(SEARCH(Classifiers!$F$9,E356)),1,0))+IF(Classifiers!$G$9="",0,IF(ISNUMBER(SEARCH(Classifiers!$G$9,E356)),1,0)))&gt;0,1,0))</f>
        <v/>
      </c>
      <c r="O356" s="12">
        <f>IF(H356&lt;&gt;1,0,IF((IF(Classifiers!$B$10="",0,IF(ISNUMBER(SEARCH(Classifiers!$B$10,E356)),1,0))+IF(Classifiers!$C$10="",0,IF(ISNUMBER(SEARCH(Classifiers!$C$10,E356)),1,0))+IF(Classifiers!$D$10="",0,IF(ISNUMBER(SEARCH(Classifiers!$D$10,E356)),1,0))+IF(Classifiers!$E$10="",0,IF(ISNUMBER(SEARCH(Classifiers!$E$10,E356)),1,0))+IF(Classifiers!$F$10="",0,IF(ISNUMBER(SEARCH(Classifiers!$F$10,E356)),1,0))+IF(Classifiers!$G$10="",0,IF(ISNUMBER(SEARCH(Classifiers!$G$10,E356)),1,0)))&gt;0,1,0))</f>
        <v/>
      </c>
      <c r="P356" s="12">
        <f>IF(H356&lt;&gt;1,0,IF((IF(Classifiers!$B$11="",0,IF(ISNUMBER(SEARCH(Classifiers!$B$11,E356)),1,0))+IF(Classifiers!$C$11="",0,IF(ISNUMBER(SEARCH(Classifiers!$C$11,E356)),1,0))+IF(Classifiers!$D$11="",0,IF(ISNUMBER(SEARCH(Classifiers!$D$11,E356)),1,0))+IF(Classifiers!$E$11="",0,IF(ISNUMBER(SEARCH(Classifiers!$E$11,E356)),1,0))+IF(Classifiers!$F$11="",0,IF(ISNUMBER(SEARCH(Classifiers!$F$11,E356)),1,0))+IF(Classifiers!$G$11="",0,IF(ISNUMBER(SEARCH(Classifiers!$G$11,E356)),1,0)))&gt;0,1,0))</f>
        <v/>
      </c>
      <c r="Q356" s="12">
        <f>IF(H356&lt;&gt;1,0,IF((IF(Classifiers!$B$12="",0,IF(ISNUMBER(SEARCH(Classifiers!$B$12,E356)),1,0))+IF(Classifiers!$C$12="",0,IF(ISNUMBER(SEARCH(Classifiers!$C$12,E356)),1,0))+IF(Classifiers!$D$12="",0,IF(ISNUMBER(SEARCH(Classifiers!$D$12,E356)),1,0))+IF(Classifiers!$E$12="",0,IF(ISNUMBER(SEARCH(Classifiers!$E$12,E356)),1,0))+IF(Classifiers!$F$12="",0,IF(ISNUMBER(SEARCH(Classifiers!$F$12,E356)),1,0))+IF(Classifiers!$G$12="",0,IF(ISNUMBER(SEARCH(Classifiers!$G$12,E356)),1,0)))&gt;0,1,0))</f>
        <v/>
      </c>
      <c r="R356" s="12">
        <f>IF(H356&lt;&gt;1,0,IF((IF(Classifiers!$B$13="",0,IF(ISNUMBER(SEARCH(Classifiers!$B$13,E356)),1,0))+IF(Classifiers!$C$13="",0,IF(ISNUMBER(SEARCH(Classifiers!$C$13,E356)),1,0))+IF(Classifiers!$D$13="",0,IF(ISNUMBER(SEARCH(Classifiers!$D$13,E356)),1,0))+IF(Classifiers!$E$13="",0,IF(ISNUMBER(SEARCH(Classifiers!$E$13,E356)),1,0))+IF(Classifiers!$F$13="",0,IF(ISNUMBER(SEARCH(Classifiers!$F$13,E356)),1,0))+IF(Classifiers!$G$13="",0,IF(ISNUMBER(SEARCH(Classifiers!$G$13,E356)),1,0)))&gt;0,1,0))</f>
        <v/>
      </c>
      <c r="S356" s="12">
        <f>IF(H356&lt;&gt;1,0,IF((IF(Classifiers!$B$14="",0,IF(ISNUMBER(SEARCH(Classifiers!$B$14,E356)),1,0))+IF(Classifiers!$C$14="",0,IF(ISNUMBER(SEARCH(Classifiers!$C$14,E356)),1,0))+IF(Classifiers!$D$14="",0,IF(ISNUMBER(SEARCH(Classifiers!$D$14,E356)),1,0))+IF(Classifiers!$E$14="",0,IF(ISNUMBER(SEARCH(Classifiers!$E$14,E356)),1,0))+IF(Classifiers!$F$14="",0,IF(ISNUMBER(SEARCH(Classifiers!$F$14,E356)),1,0))+IF(Classifiers!$G$14="",0,IF(ISNUMBER(SEARCH(Classifiers!$G$14,E356)),1,0)))&gt;0,1,0))</f>
        <v/>
      </c>
      <c r="T356" s="12">
        <f>IF(H356&lt;&gt;1,0,IF((IF(Classifiers!$B$15="",0,IF(ISNUMBER(SEARCH(Classifiers!$B$15,E356)),1,0))+IF(Classifiers!$C$15="",0,IF(ISNUMBER(SEARCH(Classifiers!$C$15,E356)),1,0))+IF(Classifiers!$D$15="",0,IF(ISNUMBER(SEARCH(Classifiers!$D$15,E356)),1,0))+IF(Classifiers!$E$15="",0,IF(ISNUMBER(SEARCH(Classifiers!$E$15,E356)),1,0))+IF(Classifiers!$F$15="",0,IF(ISNUMBER(SEARCH(Classifiers!$F$15,E356)),1,0))+IF(Classifiers!$G$15="",0,IF(ISNUMBER(SEARCH(Classifiers!$G$15,E356)),1,0)))&gt;0,1,0))</f>
        <v/>
      </c>
      <c r="U356" s="12">
        <f>IF(H356&lt;&gt;1,0,IF((IF(Classifiers!$B$16="",0,IF(ISNUMBER(SEARCH(Classifiers!$B$16,E356)),1,0))+IF(Classifiers!$C$16="",0,IF(ISNUMBER(SEARCH(Classifiers!$C$16,E356)),1,0))+IF(Classifiers!$D$16="",0,IF(ISNUMBER(SEARCH(Classifiers!$D$16,E356)),1,0))+IF(Classifiers!$E$16="",0,IF(ISNUMBER(SEARCH(Classifiers!$E$16,E356)),1,0))+IF(Classifiers!$F$16="",0,IF(ISNUMBER(SEARCH(Classifiers!$F$16,E356)),1,0))+IF(Classifiers!$G$16="",0,IF(ISNUMBER(SEARCH(Classifiers!$G$16,E356)),1,0)))&gt;0,1,0))</f>
        <v/>
      </c>
      <c r="V356" s="12">
        <f>IF(H356&lt;&gt;1,0,IF((IF(Classifiers!$B$17="",0,IF(ISNUMBER(SEARCH(Classifiers!$B$17,E356)),1,0))+IF(Classifiers!$C$17="",0,IF(ISNUMBER(SEARCH(Classifiers!$C$17,E356)),1,0))+IF(Classifiers!$D$17="",0,IF(ISNUMBER(SEARCH(Classifiers!$D$17,E356)),1,0))+IF(Classifiers!$E$17="",0,IF(ISNUMBER(SEARCH(Classifiers!$E$17,E356)),1,0))+IF(Classifiers!$F$17="",0,IF(ISNUMBER(SEARCH(Classifiers!$F$17,E356)),1,0))+IF(Classifiers!$G$17="",0,IF(ISNUMBER(SEARCH(Classifiers!$G$17,E356)),1,0)))&gt;0,1,0))</f>
        <v/>
      </c>
      <c r="W356" s="12">
        <f>IF(H356&lt;&gt;1,0,IF((IF(Classifiers!$B$18="",0,IF(ISNUMBER(SEARCH(Classifiers!$B$18,E356)),1,0))+IF(Classifiers!$C$18="",0,IF(ISNUMBER(SEARCH(Classifiers!$C$18,E356)),1,0))+IF(Classifiers!$D$18="",0,IF(ISNUMBER(SEARCH(Classifiers!$D$18,E356)),1,0))+IF(Classifiers!$E$18="",0,IF(ISNUMBER(SEARCH(Classifiers!$E$18,E356)),1,0))+IF(Classifiers!$F$18="",0,IF(ISNUMBER(SEARCH(Classifiers!$F$18,E356)),1,0))+IF(Classifiers!$G$18="",0,IF(ISNUMBER(SEARCH(Classifiers!$G$18,E356)),1,0)))&gt;0,1,0))</f>
        <v/>
      </c>
    </row>
    <row r="357">
      <c r="A357" s="8" t="n"/>
      <c r="B357" s="11" t="n"/>
      <c r="C357" s="6">
        <f>IF(A357="","",TRIM(RIGHT(SUBSTITUTE(A357,"/",REPT(" ",250)),250)))</f>
        <v/>
      </c>
      <c r="D357" s="6">
        <f>IF(C357="","",IF(ISNUMBER(SEARCH(".",C357)),LOWER("."&amp;TRIM(RIGHT(SUBSTITUTE(C357,".",REPT(" ",250)),250))),""))</f>
        <v/>
      </c>
      <c r="E357" s="6">
        <f>IF(C357="","",TRIM(SUBSTITUTE(SUBSTITUTE(SUBSTITUTE(SUBSTITUTE(SUBSTITUTE(SUBSTITUTE(SUBSTITUTE(SUBSTITUTE(SUBSTITUTE(SUBSTITUTE(SUBSTITUTE(SUBSTITUTE(SUBSTITUTE(SUBSTITUTE(SUBSTITUTE(SUBSTITUTE(SUBSTITUTE(SUBSTITUTE(SUBSTITUTE(SUBSTITUTE(LOWER(LEFT(C357,LEN(C357)-LEN(D357))),"_"," "),"-"," "),"."," "),","," "),"("," "),")"," "),"["," "),"]"," "),"&amp;"," "),"+"," "),"@"," "),"#"," "),"!"," "),"'"," "),"/"," "),":"," "),";"," "),"="," "),"~"," "),"%"," ")))</f>
        <v/>
      </c>
      <c r="F357" s="6">
        <f>IF(C357="","",IF(COUNTIF(Classifiers!$A$23:$A$40,D357)&gt;0,1,0))</f>
        <v/>
      </c>
      <c r="G357" s="6">
        <f>IF(C357="","",IF(COUNTIF(Classifiers!$C$23:$C$30,D357)&gt;0,IF((IF(ISNUMBER(SEARCH(Classifiers!$E$23,E357)),1,0)+IF(ISNUMBER(SEARCH(Classifiers!$E$24,E357)),1,0)+IF(ISNUMBER(SEARCH(Classifiers!$E$25,E357)),1,0)+IF(ISNUMBER(SEARCH(Classifiers!$E$26,E357)),1,0)+IF(ISNUMBER(SEARCH(Classifiers!$E$27,E357)),1,0)+IF(ISNUMBER(SEARCH(Classifiers!$E$28,E357)),1,0)+IF(ISNUMBER(SEARCH(Classifiers!$E$29,E357)),1,0)+IF(ISNUMBER(SEARCH(Classifiers!$E$30,E357)),1,0))&gt;0,1,0),0))</f>
        <v/>
      </c>
      <c r="H357" s="6">
        <f>IF(C357="","",IF(OR(LEFT(C357,1)=".",AND(F357=0,G357=0)),0,1))</f>
        <v/>
      </c>
      <c r="I357" s="6">
        <f>IF(H357&lt;&gt;1,"",IF(SUM(J357:W357)=0,"unclassified",INDEX(Classifiers!$A$5:$A$18,MATCH(1,J357:W357,0),1)))</f>
        <v/>
      </c>
      <c r="J357" s="12">
        <f>IF(H357&lt;&gt;1,0,IF((IF(Classifiers!$B$5="",0,IF(ISNUMBER(SEARCH(Classifiers!$B$5,E357)),1,0))+IF(Classifiers!$C$5="",0,IF(ISNUMBER(SEARCH(Classifiers!$C$5,E357)),1,0))+IF(Classifiers!$D$5="",0,IF(ISNUMBER(SEARCH(Classifiers!$D$5,E357)),1,0))+IF(Classifiers!$E$5="",0,IF(ISNUMBER(SEARCH(Classifiers!$E$5,E357)),1,0))+IF(Classifiers!$F$5="",0,IF(ISNUMBER(SEARCH(Classifiers!$F$5,E357)),1,0))+IF(Classifiers!$G$5="",0,IF(ISNUMBER(SEARCH(Classifiers!$G$5,E357)),1,0)))&gt;0,1,0))</f>
        <v/>
      </c>
      <c r="K357" s="12">
        <f>IF(H357&lt;&gt;1,0,IF((IF(Classifiers!$B$6="",0,IF(ISNUMBER(SEARCH(Classifiers!$B$6,E357)),1,0))+IF(Classifiers!$C$6="",0,IF(ISNUMBER(SEARCH(Classifiers!$C$6,E357)),1,0))+IF(Classifiers!$D$6="",0,IF(ISNUMBER(SEARCH(Classifiers!$D$6,E357)),1,0))+IF(Classifiers!$E$6="",0,IF(ISNUMBER(SEARCH(Classifiers!$E$6,E357)),1,0))+IF(Classifiers!$F$6="",0,IF(ISNUMBER(SEARCH(Classifiers!$F$6,E357)),1,0))+IF(Classifiers!$G$6="",0,IF(ISNUMBER(SEARCH(Classifiers!$G$6,E357)),1,0)))&gt;0,1,0))</f>
        <v/>
      </c>
      <c r="L357" s="12">
        <f>IF(H357&lt;&gt;1,0,IF((IF(Classifiers!$B$7="",0,IF(ISNUMBER(SEARCH(Classifiers!$B$7,E357)),1,0))+IF(Classifiers!$C$7="",0,IF(ISNUMBER(SEARCH(Classifiers!$C$7,E357)),1,0))+IF(Classifiers!$D$7="",0,IF(ISNUMBER(SEARCH(Classifiers!$D$7,E357)),1,0))+IF(Classifiers!$E$7="",0,IF(ISNUMBER(SEARCH(Classifiers!$E$7,E357)),1,0))+IF(Classifiers!$F$7="",0,IF(ISNUMBER(SEARCH(Classifiers!$F$7,E357)),1,0))+IF(Classifiers!$G$7="",0,IF(ISNUMBER(SEARCH(Classifiers!$G$7,E357)),1,0)))&gt;0,1,0))</f>
        <v/>
      </c>
      <c r="M357" s="12">
        <f>IF(H357&lt;&gt;1,0,IF((IF(Classifiers!$B$8="",0,IF(ISNUMBER(SEARCH(Classifiers!$B$8,E357)),1,0))+IF(Classifiers!$C$8="",0,IF(ISNUMBER(SEARCH(Classifiers!$C$8,E357)),1,0))+IF(Classifiers!$D$8="",0,IF(ISNUMBER(SEARCH(Classifiers!$D$8,E357)),1,0))+IF(Classifiers!$E$8="",0,IF(ISNUMBER(SEARCH(Classifiers!$E$8,E357)),1,0))+IF(Classifiers!$F$8="",0,IF(ISNUMBER(SEARCH(Classifiers!$F$8,E357)),1,0))+IF(Classifiers!$G$8="",0,IF(ISNUMBER(SEARCH(Classifiers!$G$8,E357)),1,0)))&gt;0,1,0))</f>
        <v/>
      </c>
      <c r="N357" s="12">
        <f>IF(H357&lt;&gt;1,0,IF((IF(Classifiers!$B$9="",0,IF(ISNUMBER(SEARCH(Classifiers!$B$9,E357)),1,0))+IF(Classifiers!$C$9="",0,IF(ISNUMBER(SEARCH(Classifiers!$C$9,E357)),1,0))+IF(Classifiers!$D$9="",0,IF(ISNUMBER(SEARCH(Classifiers!$D$9,E357)),1,0))+IF(Classifiers!$E$9="",0,IF(ISNUMBER(SEARCH(Classifiers!$E$9,E357)),1,0))+IF(Classifiers!$F$9="",0,IF(ISNUMBER(SEARCH(Classifiers!$F$9,E357)),1,0))+IF(Classifiers!$G$9="",0,IF(ISNUMBER(SEARCH(Classifiers!$G$9,E357)),1,0)))&gt;0,1,0))</f>
        <v/>
      </c>
      <c r="O357" s="12">
        <f>IF(H357&lt;&gt;1,0,IF((IF(Classifiers!$B$10="",0,IF(ISNUMBER(SEARCH(Classifiers!$B$10,E357)),1,0))+IF(Classifiers!$C$10="",0,IF(ISNUMBER(SEARCH(Classifiers!$C$10,E357)),1,0))+IF(Classifiers!$D$10="",0,IF(ISNUMBER(SEARCH(Classifiers!$D$10,E357)),1,0))+IF(Classifiers!$E$10="",0,IF(ISNUMBER(SEARCH(Classifiers!$E$10,E357)),1,0))+IF(Classifiers!$F$10="",0,IF(ISNUMBER(SEARCH(Classifiers!$F$10,E357)),1,0))+IF(Classifiers!$G$10="",0,IF(ISNUMBER(SEARCH(Classifiers!$G$10,E357)),1,0)))&gt;0,1,0))</f>
        <v/>
      </c>
      <c r="P357" s="12">
        <f>IF(H357&lt;&gt;1,0,IF((IF(Classifiers!$B$11="",0,IF(ISNUMBER(SEARCH(Classifiers!$B$11,E357)),1,0))+IF(Classifiers!$C$11="",0,IF(ISNUMBER(SEARCH(Classifiers!$C$11,E357)),1,0))+IF(Classifiers!$D$11="",0,IF(ISNUMBER(SEARCH(Classifiers!$D$11,E357)),1,0))+IF(Classifiers!$E$11="",0,IF(ISNUMBER(SEARCH(Classifiers!$E$11,E357)),1,0))+IF(Classifiers!$F$11="",0,IF(ISNUMBER(SEARCH(Classifiers!$F$11,E357)),1,0))+IF(Classifiers!$G$11="",0,IF(ISNUMBER(SEARCH(Classifiers!$G$11,E357)),1,0)))&gt;0,1,0))</f>
        <v/>
      </c>
      <c r="Q357" s="12">
        <f>IF(H357&lt;&gt;1,0,IF((IF(Classifiers!$B$12="",0,IF(ISNUMBER(SEARCH(Classifiers!$B$12,E357)),1,0))+IF(Classifiers!$C$12="",0,IF(ISNUMBER(SEARCH(Classifiers!$C$12,E357)),1,0))+IF(Classifiers!$D$12="",0,IF(ISNUMBER(SEARCH(Classifiers!$D$12,E357)),1,0))+IF(Classifiers!$E$12="",0,IF(ISNUMBER(SEARCH(Classifiers!$E$12,E357)),1,0))+IF(Classifiers!$F$12="",0,IF(ISNUMBER(SEARCH(Classifiers!$F$12,E357)),1,0))+IF(Classifiers!$G$12="",0,IF(ISNUMBER(SEARCH(Classifiers!$G$12,E357)),1,0)))&gt;0,1,0))</f>
        <v/>
      </c>
      <c r="R357" s="12">
        <f>IF(H357&lt;&gt;1,0,IF((IF(Classifiers!$B$13="",0,IF(ISNUMBER(SEARCH(Classifiers!$B$13,E357)),1,0))+IF(Classifiers!$C$13="",0,IF(ISNUMBER(SEARCH(Classifiers!$C$13,E357)),1,0))+IF(Classifiers!$D$13="",0,IF(ISNUMBER(SEARCH(Classifiers!$D$13,E357)),1,0))+IF(Classifiers!$E$13="",0,IF(ISNUMBER(SEARCH(Classifiers!$E$13,E357)),1,0))+IF(Classifiers!$F$13="",0,IF(ISNUMBER(SEARCH(Classifiers!$F$13,E357)),1,0))+IF(Classifiers!$G$13="",0,IF(ISNUMBER(SEARCH(Classifiers!$G$13,E357)),1,0)))&gt;0,1,0))</f>
        <v/>
      </c>
      <c r="S357" s="12">
        <f>IF(H357&lt;&gt;1,0,IF((IF(Classifiers!$B$14="",0,IF(ISNUMBER(SEARCH(Classifiers!$B$14,E357)),1,0))+IF(Classifiers!$C$14="",0,IF(ISNUMBER(SEARCH(Classifiers!$C$14,E357)),1,0))+IF(Classifiers!$D$14="",0,IF(ISNUMBER(SEARCH(Classifiers!$D$14,E357)),1,0))+IF(Classifiers!$E$14="",0,IF(ISNUMBER(SEARCH(Classifiers!$E$14,E357)),1,0))+IF(Classifiers!$F$14="",0,IF(ISNUMBER(SEARCH(Classifiers!$F$14,E357)),1,0))+IF(Classifiers!$G$14="",0,IF(ISNUMBER(SEARCH(Classifiers!$G$14,E357)),1,0)))&gt;0,1,0))</f>
        <v/>
      </c>
      <c r="T357" s="12">
        <f>IF(H357&lt;&gt;1,0,IF((IF(Classifiers!$B$15="",0,IF(ISNUMBER(SEARCH(Classifiers!$B$15,E357)),1,0))+IF(Classifiers!$C$15="",0,IF(ISNUMBER(SEARCH(Classifiers!$C$15,E357)),1,0))+IF(Classifiers!$D$15="",0,IF(ISNUMBER(SEARCH(Classifiers!$D$15,E357)),1,0))+IF(Classifiers!$E$15="",0,IF(ISNUMBER(SEARCH(Classifiers!$E$15,E357)),1,0))+IF(Classifiers!$F$15="",0,IF(ISNUMBER(SEARCH(Classifiers!$F$15,E357)),1,0))+IF(Classifiers!$G$15="",0,IF(ISNUMBER(SEARCH(Classifiers!$G$15,E357)),1,0)))&gt;0,1,0))</f>
        <v/>
      </c>
      <c r="U357" s="12">
        <f>IF(H357&lt;&gt;1,0,IF((IF(Classifiers!$B$16="",0,IF(ISNUMBER(SEARCH(Classifiers!$B$16,E357)),1,0))+IF(Classifiers!$C$16="",0,IF(ISNUMBER(SEARCH(Classifiers!$C$16,E357)),1,0))+IF(Classifiers!$D$16="",0,IF(ISNUMBER(SEARCH(Classifiers!$D$16,E357)),1,0))+IF(Classifiers!$E$16="",0,IF(ISNUMBER(SEARCH(Classifiers!$E$16,E357)),1,0))+IF(Classifiers!$F$16="",0,IF(ISNUMBER(SEARCH(Classifiers!$F$16,E357)),1,0))+IF(Classifiers!$G$16="",0,IF(ISNUMBER(SEARCH(Classifiers!$G$16,E357)),1,0)))&gt;0,1,0))</f>
        <v/>
      </c>
      <c r="V357" s="12">
        <f>IF(H357&lt;&gt;1,0,IF((IF(Classifiers!$B$17="",0,IF(ISNUMBER(SEARCH(Classifiers!$B$17,E357)),1,0))+IF(Classifiers!$C$17="",0,IF(ISNUMBER(SEARCH(Classifiers!$C$17,E357)),1,0))+IF(Classifiers!$D$17="",0,IF(ISNUMBER(SEARCH(Classifiers!$D$17,E357)),1,0))+IF(Classifiers!$E$17="",0,IF(ISNUMBER(SEARCH(Classifiers!$E$17,E357)),1,0))+IF(Classifiers!$F$17="",0,IF(ISNUMBER(SEARCH(Classifiers!$F$17,E357)),1,0))+IF(Classifiers!$G$17="",0,IF(ISNUMBER(SEARCH(Classifiers!$G$17,E357)),1,0)))&gt;0,1,0))</f>
        <v/>
      </c>
      <c r="W357" s="12">
        <f>IF(H357&lt;&gt;1,0,IF((IF(Classifiers!$B$18="",0,IF(ISNUMBER(SEARCH(Classifiers!$B$18,E357)),1,0))+IF(Classifiers!$C$18="",0,IF(ISNUMBER(SEARCH(Classifiers!$C$18,E357)),1,0))+IF(Classifiers!$D$18="",0,IF(ISNUMBER(SEARCH(Classifiers!$D$18,E357)),1,0))+IF(Classifiers!$E$18="",0,IF(ISNUMBER(SEARCH(Classifiers!$E$18,E357)),1,0))+IF(Classifiers!$F$18="",0,IF(ISNUMBER(SEARCH(Classifiers!$F$18,E357)),1,0))+IF(Classifiers!$G$18="",0,IF(ISNUMBER(SEARCH(Classifiers!$G$18,E357)),1,0)))&gt;0,1,0))</f>
        <v/>
      </c>
    </row>
    <row r="358">
      <c r="A358" s="8" t="n"/>
      <c r="B358" s="11" t="n"/>
      <c r="C358" s="6">
        <f>IF(A358="","",TRIM(RIGHT(SUBSTITUTE(A358,"/",REPT(" ",250)),250)))</f>
        <v/>
      </c>
      <c r="D358" s="6">
        <f>IF(C358="","",IF(ISNUMBER(SEARCH(".",C358)),LOWER("."&amp;TRIM(RIGHT(SUBSTITUTE(C358,".",REPT(" ",250)),250))),""))</f>
        <v/>
      </c>
      <c r="E358" s="6">
        <f>IF(C358="","",TRIM(SUBSTITUTE(SUBSTITUTE(SUBSTITUTE(SUBSTITUTE(SUBSTITUTE(SUBSTITUTE(SUBSTITUTE(SUBSTITUTE(SUBSTITUTE(SUBSTITUTE(SUBSTITUTE(SUBSTITUTE(SUBSTITUTE(SUBSTITUTE(SUBSTITUTE(SUBSTITUTE(SUBSTITUTE(SUBSTITUTE(SUBSTITUTE(SUBSTITUTE(LOWER(LEFT(C358,LEN(C358)-LEN(D358))),"_"," "),"-"," "),"."," "),","," "),"("," "),")"," "),"["," "),"]"," "),"&amp;"," "),"+"," "),"@"," "),"#"," "),"!"," "),"'"," "),"/"," "),":"," "),";"," "),"="," "),"~"," "),"%"," ")))</f>
        <v/>
      </c>
      <c r="F358" s="6">
        <f>IF(C358="","",IF(COUNTIF(Classifiers!$A$23:$A$40,D358)&gt;0,1,0))</f>
        <v/>
      </c>
      <c r="G358" s="6">
        <f>IF(C358="","",IF(COUNTIF(Classifiers!$C$23:$C$30,D358)&gt;0,IF((IF(ISNUMBER(SEARCH(Classifiers!$E$23,E358)),1,0)+IF(ISNUMBER(SEARCH(Classifiers!$E$24,E358)),1,0)+IF(ISNUMBER(SEARCH(Classifiers!$E$25,E358)),1,0)+IF(ISNUMBER(SEARCH(Classifiers!$E$26,E358)),1,0)+IF(ISNUMBER(SEARCH(Classifiers!$E$27,E358)),1,0)+IF(ISNUMBER(SEARCH(Classifiers!$E$28,E358)),1,0)+IF(ISNUMBER(SEARCH(Classifiers!$E$29,E358)),1,0)+IF(ISNUMBER(SEARCH(Classifiers!$E$30,E358)),1,0))&gt;0,1,0),0))</f>
        <v/>
      </c>
      <c r="H358" s="6">
        <f>IF(C358="","",IF(OR(LEFT(C358,1)=".",AND(F358=0,G358=0)),0,1))</f>
        <v/>
      </c>
      <c r="I358" s="6">
        <f>IF(H358&lt;&gt;1,"",IF(SUM(J358:W358)=0,"unclassified",INDEX(Classifiers!$A$5:$A$18,MATCH(1,J358:W358,0),1)))</f>
        <v/>
      </c>
      <c r="J358" s="12">
        <f>IF(H358&lt;&gt;1,0,IF((IF(Classifiers!$B$5="",0,IF(ISNUMBER(SEARCH(Classifiers!$B$5,E358)),1,0))+IF(Classifiers!$C$5="",0,IF(ISNUMBER(SEARCH(Classifiers!$C$5,E358)),1,0))+IF(Classifiers!$D$5="",0,IF(ISNUMBER(SEARCH(Classifiers!$D$5,E358)),1,0))+IF(Classifiers!$E$5="",0,IF(ISNUMBER(SEARCH(Classifiers!$E$5,E358)),1,0))+IF(Classifiers!$F$5="",0,IF(ISNUMBER(SEARCH(Classifiers!$F$5,E358)),1,0))+IF(Classifiers!$G$5="",0,IF(ISNUMBER(SEARCH(Classifiers!$G$5,E358)),1,0)))&gt;0,1,0))</f>
        <v/>
      </c>
      <c r="K358" s="12">
        <f>IF(H358&lt;&gt;1,0,IF((IF(Classifiers!$B$6="",0,IF(ISNUMBER(SEARCH(Classifiers!$B$6,E358)),1,0))+IF(Classifiers!$C$6="",0,IF(ISNUMBER(SEARCH(Classifiers!$C$6,E358)),1,0))+IF(Classifiers!$D$6="",0,IF(ISNUMBER(SEARCH(Classifiers!$D$6,E358)),1,0))+IF(Classifiers!$E$6="",0,IF(ISNUMBER(SEARCH(Classifiers!$E$6,E358)),1,0))+IF(Classifiers!$F$6="",0,IF(ISNUMBER(SEARCH(Classifiers!$F$6,E358)),1,0))+IF(Classifiers!$G$6="",0,IF(ISNUMBER(SEARCH(Classifiers!$G$6,E358)),1,0)))&gt;0,1,0))</f>
        <v/>
      </c>
      <c r="L358" s="12">
        <f>IF(H358&lt;&gt;1,0,IF((IF(Classifiers!$B$7="",0,IF(ISNUMBER(SEARCH(Classifiers!$B$7,E358)),1,0))+IF(Classifiers!$C$7="",0,IF(ISNUMBER(SEARCH(Classifiers!$C$7,E358)),1,0))+IF(Classifiers!$D$7="",0,IF(ISNUMBER(SEARCH(Classifiers!$D$7,E358)),1,0))+IF(Classifiers!$E$7="",0,IF(ISNUMBER(SEARCH(Classifiers!$E$7,E358)),1,0))+IF(Classifiers!$F$7="",0,IF(ISNUMBER(SEARCH(Classifiers!$F$7,E358)),1,0))+IF(Classifiers!$G$7="",0,IF(ISNUMBER(SEARCH(Classifiers!$G$7,E358)),1,0)))&gt;0,1,0))</f>
        <v/>
      </c>
      <c r="M358" s="12">
        <f>IF(H358&lt;&gt;1,0,IF((IF(Classifiers!$B$8="",0,IF(ISNUMBER(SEARCH(Classifiers!$B$8,E358)),1,0))+IF(Classifiers!$C$8="",0,IF(ISNUMBER(SEARCH(Classifiers!$C$8,E358)),1,0))+IF(Classifiers!$D$8="",0,IF(ISNUMBER(SEARCH(Classifiers!$D$8,E358)),1,0))+IF(Classifiers!$E$8="",0,IF(ISNUMBER(SEARCH(Classifiers!$E$8,E358)),1,0))+IF(Classifiers!$F$8="",0,IF(ISNUMBER(SEARCH(Classifiers!$F$8,E358)),1,0))+IF(Classifiers!$G$8="",0,IF(ISNUMBER(SEARCH(Classifiers!$G$8,E358)),1,0)))&gt;0,1,0))</f>
        <v/>
      </c>
      <c r="N358" s="12">
        <f>IF(H358&lt;&gt;1,0,IF((IF(Classifiers!$B$9="",0,IF(ISNUMBER(SEARCH(Classifiers!$B$9,E358)),1,0))+IF(Classifiers!$C$9="",0,IF(ISNUMBER(SEARCH(Classifiers!$C$9,E358)),1,0))+IF(Classifiers!$D$9="",0,IF(ISNUMBER(SEARCH(Classifiers!$D$9,E358)),1,0))+IF(Classifiers!$E$9="",0,IF(ISNUMBER(SEARCH(Classifiers!$E$9,E358)),1,0))+IF(Classifiers!$F$9="",0,IF(ISNUMBER(SEARCH(Classifiers!$F$9,E358)),1,0))+IF(Classifiers!$G$9="",0,IF(ISNUMBER(SEARCH(Classifiers!$G$9,E358)),1,0)))&gt;0,1,0))</f>
        <v/>
      </c>
      <c r="O358" s="12">
        <f>IF(H358&lt;&gt;1,0,IF((IF(Classifiers!$B$10="",0,IF(ISNUMBER(SEARCH(Classifiers!$B$10,E358)),1,0))+IF(Classifiers!$C$10="",0,IF(ISNUMBER(SEARCH(Classifiers!$C$10,E358)),1,0))+IF(Classifiers!$D$10="",0,IF(ISNUMBER(SEARCH(Classifiers!$D$10,E358)),1,0))+IF(Classifiers!$E$10="",0,IF(ISNUMBER(SEARCH(Classifiers!$E$10,E358)),1,0))+IF(Classifiers!$F$10="",0,IF(ISNUMBER(SEARCH(Classifiers!$F$10,E358)),1,0))+IF(Classifiers!$G$10="",0,IF(ISNUMBER(SEARCH(Classifiers!$G$10,E358)),1,0)))&gt;0,1,0))</f>
        <v/>
      </c>
      <c r="P358" s="12">
        <f>IF(H358&lt;&gt;1,0,IF((IF(Classifiers!$B$11="",0,IF(ISNUMBER(SEARCH(Classifiers!$B$11,E358)),1,0))+IF(Classifiers!$C$11="",0,IF(ISNUMBER(SEARCH(Classifiers!$C$11,E358)),1,0))+IF(Classifiers!$D$11="",0,IF(ISNUMBER(SEARCH(Classifiers!$D$11,E358)),1,0))+IF(Classifiers!$E$11="",0,IF(ISNUMBER(SEARCH(Classifiers!$E$11,E358)),1,0))+IF(Classifiers!$F$11="",0,IF(ISNUMBER(SEARCH(Classifiers!$F$11,E358)),1,0))+IF(Classifiers!$G$11="",0,IF(ISNUMBER(SEARCH(Classifiers!$G$11,E358)),1,0)))&gt;0,1,0))</f>
        <v/>
      </c>
      <c r="Q358" s="12">
        <f>IF(H358&lt;&gt;1,0,IF((IF(Classifiers!$B$12="",0,IF(ISNUMBER(SEARCH(Classifiers!$B$12,E358)),1,0))+IF(Classifiers!$C$12="",0,IF(ISNUMBER(SEARCH(Classifiers!$C$12,E358)),1,0))+IF(Classifiers!$D$12="",0,IF(ISNUMBER(SEARCH(Classifiers!$D$12,E358)),1,0))+IF(Classifiers!$E$12="",0,IF(ISNUMBER(SEARCH(Classifiers!$E$12,E358)),1,0))+IF(Classifiers!$F$12="",0,IF(ISNUMBER(SEARCH(Classifiers!$F$12,E358)),1,0))+IF(Classifiers!$G$12="",0,IF(ISNUMBER(SEARCH(Classifiers!$G$12,E358)),1,0)))&gt;0,1,0))</f>
        <v/>
      </c>
      <c r="R358" s="12">
        <f>IF(H358&lt;&gt;1,0,IF((IF(Classifiers!$B$13="",0,IF(ISNUMBER(SEARCH(Classifiers!$B$13,E358)),1,0))+IF(Classifiers!$C$13="",0,IF(ISNUMBER(SEARCH(Classifiers!$C$13,E358)),1,0))+IF(Classifiers!$D$13="",0,IF(ISNUMBER(SEARCH(Classifiers!$D$13,E358)),1,0))+IF(Classifiers!$E$13="",0,IF(ISNUMBER(SEARCH(Classifiers!$E$13,E358)),1,0))+IF(Classifiers!$F$13="",0,IF(ISNUMBER(SEARCH(Classifiers!$F$13,E358)),1,0))+IF(Classifiers!$G$13="",0,IF(ISNUMBER(SEARCH(Classifiers!$G$13,E358)),1,0)))&gt;0,1,0))</f>
        <v/>
      </c>
      <c r="S358" s="12">
        <f>IF(H358&lt;&gt;1,0,IF((IF(Classifiers!$B$14="",0,IF(ISNUMBER(SEARCH(Classifiers!$B$14,E358)),1,0))+IF(Classifiers!$C$14="",0,IF(ISNUMBER(SEARCH(Classifiers!$C$14,E358)),1,0))+IF(Classifiers!$D$14="",0,IF(ISNUMBER(SEARCH(Classifiers!$D$14,E358)),1,0))+IF(Classifiers!$E$14="",0,IF(ISNUMBER(SEARCH(Classifiers!$E$14,E358)),1,0))+IF(Classifiers!$F$14="",0,IF(ISNUMBER(SEARCH(Classifiers!$F$14,E358)),1,0))+IF(Classifiers!$G$14="",0,IF(ISNUMBER(SEARCH(Classifiers!$G$14,E358)),1,0)))&gt;0,1,0))</f>
        <v/>
      </c>
      <c r="T358" s="12">
        <f>IF(H358&lt;&gt;1,0,IF((IF(Classifiers!$B$15="",0,IF(ISNUMBER(SEARCH(Classifiers!$B$15,E358)),1,0))+IF(Classifiers!$C$15="",0,IF(ISNUMBER(SEARCH(Classifiers!$C$15,E358)),1,0))+IF(Classifiers!$D$15="",0,IF(ISNUMBER(SEARCH(Classifiers!$D$15,E358)),1,0))+IF(Classifiers!$E$15="",0,IF(ISNUMBER(SEARCH(Classifiers!$E$15,E358)),1,0))+IF(Classifiers!$F$15="",0,IF(ISNUMBER(SEARCH(Classifiers!$F$15,E358)),1,0))+IF(Classifiers!$G$15="",0,IF(ISNUMBER(SEARCH(Classifiers!$G$15,E358)),1,0)))&gt;0,1,0))</f>
        <v/>
      </c>
      <c r="U358" s="12">
        <f>IF(H358&lt;&gt;1,0,IF((IF(Classifiers!$B$16="",0,IF(ISNUMBER(SEARCH(Classifiers!$B$16,E358)),1,0))+IF(Classifiers!$C$16="",0,IF(ISNUMBER(SEARCH(Classifiers!$C$16,E358)),1,0))+IF(Classifiers!$D$16="",0,IF(ISNUMBER(SEARCH(Classifiers!$D$16,E358)),1,0))+IF(Classifiers!$E$16="",0,IF(ISNUMBER(SEARCH(Classifiers!$E$16,E358)),1,0))+IF(Classifiers!$F$16="",0,IF(ISNUMBER(SEARCH(Classifiers!$F$16,E358)),1,0))+IF(Classifiers!$G$16="",0,IF(ISNUMBER(SEARCH(Classifiers!$G$16,E358)),1,0)))&gt;0,1,0))</f>
        <v/>
      </c>
      <c r="V358" s="12">
        <f>IF(H358&lt;&gt;1,0,IF((IF(Classifiers!$B$17="",0,IF(ISNUMBER(SEARCH(Classifiers!$B$17,E358)),1,0))+IF(Classifiers!$C$17="",0,IF(ISNUMBER(SEARCH(Classifiers!$C$17,E358)),1,0))+IF(Classifiers!$D$17="",0,IF(ISNUMBER(SEARCH(Classifiers!$D$17,E358)),1,0))+IF(Classifiers!$E$17="",0,IF(ISNUMBER(SEARCH(Classifiers!$E$17,E358)),1,0))+IF(Classifiers!$F$17="",0,IF(ISNUMBER(SEARCH(Classifiers!$F$17,E358)),1,0))+IF(Classifiers!$G$17="",0,IF(ISNUMBER(SEARCH(Classifiers!$G$17,E358)),1,0)))&gt;0,1,0))</f>
        <v/>
      </c>
      <c r="W358" s="12">
        <f>IF(H358&lt;&gt;1,0,IF((IF(Classifiers!$B$18="",0,IF(ISNUMBER(SEARCH(Classifiers!$B$18,E358)),1,0))+IF(Classifiers!$C$18="",0,IF(ISNUMBER(SEARCH(Classifiers!$C$18,E358)),1,0))+IF(Classifiers!$D$18="",0,IF(ISNUMBER(SEARCH(Classifiers!$D$18,E358)),1,0))+IF(Classifiers!$E$18="",0,IF(ISNUMBER(SEARCH(Classifiers!$E$18,E358)),1,0))+IF(Classifiers!$F$18="",0,IF(ISNUMBER(SEARCH(Classifiers!$F$18,E358)),1,0))+IF(Classifiers!$G$18="",0,IF(ISNUMBER(SEARCH(Classifiers!$G$18,E358)),1,0)))&gt;0,1,0))</f>
        <v/>
      </c>
    </row>
    <row r="359">
      <c r="A359" s="8" t="n"/>
      <c r="B359" s="11" t="n"/>
      <c r="C359" s="6">
        <f>IF(A359="","",TRIM(RIGHT(SUBSTITUTE(A359,"/",REPT(" ",250)),250)))</f>
        <v/>
      </c>
      <c r="D359" s="6">
        <f>IF(C359="","",IF(ISNUMBER(SEARCH(".",C359)),LOWER("."&amp;TRIM(RIGHT(SUBSTITUTE(C359,".",REPT(" ",250)),250))),""))</f>
        <v/>
      </c>
      <c r="E359" s="6">
        <f>IF(C359="","",TRIM(SUBSTITUTE(SUBSTITUTE(SUBSTITUTE(SUBSTITUTE(SUBSTITUTE(SUBSTITUTE(SUBSTITUTE(SUBSTITUTE(SUBSTITUTE(SUBSTITUTE(SUBSTITUTE(SUBSTITUTE(SUBSTITUTE(SUBSTITUTE(SUBSTITUTE(SUBSTITUTE(SUBSTITUTE(SUBSTITUTE(SUBSTITUTE(SUBSTITUTE(LOWER(LEFT(C359,LEN(C359)-LEN(D359))),"_"," "),"-"," "),"."," "),","," "),"("," "),")"," "),"["," "),"]"," "),"&amp;"," "),"+"," "),"@"," "),"#"," "),"!"," "),"'"," "),"/"," "),":"," "),";"," "),"="," "),"~"," "),"%"," ")))</f>
        <v/>
      </c>
      <c r="F359" s="6">
        <f>IF(C359="","",IF(COUNTIF(Classifiers!$A$23:$A$40,D359)&gt;0,1,0))</f>
        <v/>
      </c>
      <c r="G359" s="6">
        <f>IF(C359="","",IF(COUNTIF(Classifiers!$C$23:$C$30,D359)&gt;0,IF((IF(ISNUMBER(SEARCH(Classifiers!$E$23,E359)),1,0)+IF(ISNUMBER(SEARCH(Classifiers!$E$24,E359)),1,0)+IF(ISNUMBER(SEARCH(Classifiers!$E$25,E359)),1,0)+IF(ISNUMBER(SEARCH(Classifiers!$E$26,E359)),1,0)+IF(ISNUMBER(SEARCH(Classifiers!$E$27,E359)),1,0)+IF(ISNUMBER(SEARCH(Classifiers!$E$28,E359)),1,0)+IF(ISNUMBER(SEARCH(Classifiers!$E$29,E359)),1,0)+IF(ISNUMBER(SEARCH(Classifiers!$E$30,E359)),1,0))&gt;0,1,0),0))</f>
        <v/>
      </c>
      <c r="H359" s="6">
        <f>IF(C359="","",IF(OR(LEFT(C359,1)=".",AND(F359=0,G359=0)),0,1))</f>
        <v/>
      </c>
      <c r="I359" s="6">
        <f>IF(H359&lt;&gt;1,"",IF(SUM(J359:W359)=0,"unclassified",INDEX(Classifiers!$A$5:$A$18,MATCH(1,J359:W359,0),1)))</f>
        <v/>
      </c>
      <c r="J359" s="12">
        <f>IF(H359&lt;&gt;1,0,IF((IF(Classifiers!$B$5="",0,IF(ISNUMBER(SEARCH(Classifiers!$B$5,E359)),1,0))+IF(Classifiers!$C$5="",0,IF(ISNUMBER(SEARCH(Classifiers!$C$5,E359)),1,0))+IF(Classifiers!$D$5="",0,IF(ISNUMBER(SEARCH(Classifiers!$D$5,E359)),1,0))+IF(Classifiers!$E$5="",0,IF(ISNUMBER(SEARCH(Classifiers!$E$5,E359)),1,0))+IF(Classifiers!$F$5="",0,IF(ISNUMBER(SEARCH(Classifiers!$F$5,E359)),1,0))+IF(Classifiers!$G$5="",0,IF(ISNUMBER(SEARCH(Classifiers!$G$5,E359)),1,0)))&gt;0,1,0))</f>
        <v/>
      </c>
      <c r="K359" s="12">
        <f>IF(H359&lt;&gt;1,0,IF((IF(Classifiers!$B$6="",0,IF(ISNUMBER(SEARCH(Classifiers!$B$6,E359)),1,0))+IF(Classifiers!$C$6="",0,IF(ISNUMBER(SEARCH(Classifiers!$C$6,E359)),1,0))+IF(Classifiers!$D$6="",0,IF(ISNUMBER(SEARCH(Classifiers!$D$6,E359)),1,0))+IF(Classifiers!$E$6="",0,IF(ISNUMBER(SEARCH(Classifiers!$E$6,E359)),1,0))+IF(Classifiers!$F$6="",0,IF(ISNUMBER(SEARCH(Classifiers!$F$6,E359)),1,0))+IF(Classifiers!$G$6="",0,IF(ISNUMBER(SEARCH(Classifiers!$G$6,E359)),1,0)))&gt;0,1,0))</f>
        <v/>
      </c>
      <c r="L359" s="12">
        <f>IF(H359&lt;&gt;1,0,IF((IF(Classifiers!$B$7="",0,IF(ISNUMBER(SEARCH(Classifiers!$B$7,E359)),1,0))+IF(Classifiers!$C$7="",0,IF(ISNUMBER(SEARCH(Classifiers!$C$7,E359)),1,0))+IF(Classifiers!$D$7="",0,IF(ISNUMBER(SEARCH(Classifiers!$D$7,E359)),1,0))+IF(Classifiers!$E$7="",0,IF(ISNUMBER(SEARCH(Classifiers!$E$7,E359)),1,0))+IF(Classifiers!$F$7="",0,IF(ISNUMBER(SEARCH(Classifiers!$F$7,E359)),1,0))+IF(Classifiers!$G$7="",0,IF(ISNUMBER(SEARCH(Classifiers!$G$7,E359)),1,0)))&gt;0,1,0))</f>
        <v/>
      </c>
      <c r="M359" s="12">
        <f>IF(H359&lt;&gt;1,0,IF((IF(Classifiers!$B$8="",0,IF(ISNUMBER(SEARCH(Classifiers!$B$8,E359)),1,0))+IF(Classifiers!$C$8="",0,IF(ISNUMBER(SEARCH(Classifiers!$C$8,E359)),1,0))+IF(Classifiers!$D$8="",0,IF(ISNUMBER(SEARCH(Classifiers!$D$8,E359)),1,0))+IF(Classifiers!$E$8="",0,IF(ISNUMBER(SEARCH(Classifiers!$E$8,E359)),1,0))+IF(Classifiers!$F$8="",0,IF(ISNUMBER(SEARCH(Classifiers!$F$8,E359)),1,0))+IF(Classifiers!$G$8="",0,IF(ISNUMBER(SEARCH(Classifiers!$G$8,E359)),1,0)))&gt;0,1,0))</f>
        <v/>
      </c>
      <c r="N359" s="12">
        <f>IF(H359&lt;&gt;1,0,IF((IF(Classifiers!$B$9="",0,IF(ISNUMBER(SEARCH(Classifiers!$B$9,E359)),1,0))+IF(Classifiers!$C$9="",0,IF(ISNUMBER(SEARCH(Classifiers!$C$9,E359)),1,0))+IF(Classifiers!$D$9="",0,IF(ISNUMBER(SEARCH(Classifiers!$D$9,E359)),1,0))+IF(Classifiers!$E$9="",0,IF(ISNUMBER(SEARCH(Classifiers!$E$9,E359)),1,0))+IF(Classifiers!$F$9="",0,IF(ISNUMBER(SEARCH(Classifiers!$F$9,E359)),1,0))+IF(Classifiers!$G$9="",0,IF(ISNUMBER(SEARCH(Classifiers!$G$9,E359)),1,0)))&gt;0,1,0))</f>
        <v/>
      </c>
      <c r="O359" s="12">
        <f>IF(H359&lt;&gt;1,0,IF((IF(Classifiers!$B$10="",0,IF(ISNUMBER(SEARCH(Classifiers!$B$10,E359)),1,0))+IF(Classifiers!$C$10="",0,IF(ISNUMBER(SEARCH(Classifiers!$C$10,E359)),1,0))+IF(Classifiers!$D$10="",0,IF(ISNUMBER(SEARCH(Classifiers!$D$10,E359)),1,0))+IF(Classifiers!$E$10="",0,IF(ISNUMBER(SEARCH(Classifiers!$E$10,E359)),1,0))+IF(Classifiers!$F$10="",0,IF(ISNUMBER(SEARCH(Classifiers!$F$10,E359)),1,0))+IF(Classifiers!$G$10="",0,IF(ISNUMBER(SEARCH(Classifiers!$G$10,E359)),1,0)))&gt;0,1,0))</f>
        <v/>
      </c>
      <c r="P359" s="12">
        <f>IF(H359&lt;&gt;1,0,IF((IF(Classifiers!$B$11="",0,IF(ISNUMBER(SEARCH(Classifiers!$B$11,E359)),1,0))+IF(Classifiers!$C$11="",0,IF(ISNUMBER(SEARCH(Classifiers!$C$11,E359)),1,0))+IF(Classifiers!$D$11="",0,IF(ISNUMBER(SEARCH(Classifiers!$D$11,E359)),1,0))+IF(Classifiers!$E$11="",0,IF(ISNUMBER(SEARCH(Classifiers!$E$11,E359)),1,0))+IF(Classifiers!$F$11="",0,IF(ISNUMBER(SEARCH(Classifiers!$F$11,E359)),1,0))+IF(Classifiers!$G$11="",0,IF(ISNUMBER(SEARCH(Classifiers!$G$11,E359)),1,0)))&gt;0,1,0))</f>
        <v/>
      </c>
      <c r="Q359" s="12">
        <f>IF(H359&lt;&gt;1,0,IF((IF(Classifiers!$B$12="",0,IF(ISNUMBER(SEARCH(Classifiers!$B$12,E359)),1,0))+IF(Classifiers!$C$12="",0,IF(ISNUMBER(SEARCH(Classifiers!$C$12,E359)),1,0))+IF(Classifiers!$D$12="",0,IF(ISNUMBER(SEARCH(Classifiers!$D$12,E359)),1,0))+IF(Classifiers!$E$12="",0,IF(ISNUMBER(SEARCH(Classifiers!$E$12,E359)),1,0))+IF(Classifiers!$F$12="",0,IF(ISNUMBER(SEARCH(Classifiers!$F$12,E359)),1,0))+IF(Classifiers!$G$12="",0,IF(ISNUMBER(SEARCH(Classifiers!$G$12,E359)),1,0)))&gt;0,1,0))</f>
        <v/>
      </c>
      <c r="R359" s="12">
        <f>IF(H359&lt;&gt;1,0,IF((IF(Classifiers!$B$13="",0,IF(ISNUMBER(SEARCH(Classifiers!$B$13,E359)),1,0))+IF(Classifiers!$C$13="",0,IF(ISNUMBER(SEARCH(Classifiers!$C$13,E359)),1,0))+IF(Classifiers!$D$13="",0,IF(ISNUMBER(SEARCH(Classifiers!$D$13,E359)),1,0))+IF(Classifiers!$E$13="",0,IF(ISNUMBER(SEARCH(Classifiers!$E$13,E359)),1,0))+IF(Classifiers!$F$13="",0,IF(ISNUMBER(SEARCH(Classifiers!$F$13,E359)),1,0))+IF(Classifiers!$G$13="",0,IF(ISNUMBER(SEARCH(Classifiers!$G$13,E359)),1,0)))&gt;0,1,0))</f>
        <v/>
      </c>
      <c r="S359" s="12">
        <f>IF(H359&lt;&gt;1,0,IF((IF(Classifiers!$B$14="",0,IF(ISNUMBER(SEARCH(Classifiers!$B$14,E359)),1,0))+IF(Classifiers!$C$14="",0,IF(ISNUMBER(SEARCH(Classifiers!$C$14,E359)),1,0))+IF(Classifiers!$D$14="",0,IF(ISNUMBER(SEARCH(Classifiers!$D$14,E359)),1,0))+IF(Classifiers!$E$14="",0,IF(ISNUMBER(SEARCH(Classifiers!$E$14,E359)),1,0))+IF(Classifiers!$F$14="",0,IF(ISNUMBER(SEARCH(Classifiers!$F$14,E359)),1,0))+IF(Classifiers!$G$14="",0,IF(ISNUMBER(SEARCH(Classifiers!$G$14,E359)),1,0)))&gt;0,1,0))</f>
        <v/>
      </c>
      <c r="T359" s="12">
        <f>IF(H359&lt;&gt;1,0,IF((IF(Classifiers!$B$15="",0,IF(ISNUMBER(SEARCH(Classifiers!$B$15,E359)),1,0))+IF(Classifiers!$C$15="",0,IF(ISNUMBER(SEARCH(Classifiers!$C$15,E359)),1,0))+IF(Classifiers!$D$15="",0,IF(ISNUMBER(SEARCH(Classifiers!$D$15,E359)),1,0))+IF(Classifiers!$E$15="",0,IF(ISNUMBER(SEARCH(Classifiers!$E$15,E359)),1,0))+IF(Classifiers!$F$15="",0,IF(ISNUMBER(SEARCH(Classifiers!$F$15,E359)),1,0))+IF(Classifiers!$G$15="",0,IF(ISNUMBER(SEARCH(Classifiers!$G$15,E359)),1,0)))&gt;0,1,0))</f>
        <v/>
      </c>
      <c r="U359" s="12">
        <f>IF(H359&lt;&gt;1,0,IF((IF(Classifiers!$B$16="",0,IF(ISNUMBER(SEARCH(Classifiers!$B$16,E359)),1,0))+IF(Classifiers!$C$16="",0,IF(ISNUMBER(SEARCH(Classifiers!$C$16,E359)),1,0))+IF(Classifiers!$D$16="",0,IF(ISNUMBER(SEARCH(Classifiers!$D$16,E359)),1,0))+IF(Classifiers!$E$16="",0,IF(ISNUMBER(SEARCH(Classifiers!$E$16,E359)),1,0))+IF(Classifiers!$F$16="",0,IF(ISNUMBER(SEARCH(Classifiers!$F$16,E359)),1,0))+IF(Classifiers!$G$16="",0,IF(ISNUMBER(SEARCH(Classifiers!$G$16,E359)),1,0)))&gt;0,1,0))</f>
        <v/>
      </c>
      <c r="V359" s="12">
        <f>IF(H359&lt;&gt;1,0,IF((IF(Classifiers!$B$17="",0,IF(ISNUMBER(SEARCH(Classifiers!$B$17,E359)),1,0))+IF(Classifiers!$C$17="",0,IF(ISNUMBER(SEARCH(Classifiers!$C$17,E359)),1,0))+IF(Classifiers!$D$17="",0,IF(ISNUMBER(SEARCH(Classifiers!$D$17,E359)),1,0))+IF(Classifiers!$E$17="",0,IF(ISNUMBER(SEARCH(Classifiers!$E$17,E359)),1,0))+IF(Classifiers!$F$17="",0,IF(ISNUMBER(SEARCH(Classifiers!$F$17,E359)),1,0))+IF(Classifiers!$G$17="",0,IF(ISNUMBER(SEARCH(Classifiers!$G$17,E359)),1,0)))&gt;0,1,0))</f>
        <v/>
      </c>
      <c r="W359" s="12">
        <f>IF(H359&lt;&gt;1,0,IF((IF(Classifiers!$B$18="",0,IF(ISNUMBER(SEARCH(Classifiers!$B$18,E359)),1,0))+IF(Classifiers!$C$18="",0,IF(ISNUMBER(SEARCH(Classifiers!$C$18,E359)),1,0))+IF(Classifiers!$D$18="",0,IF(ISNUMBER(SEARCH(Classifiers!$D$18,E359)),1,0))+IF(Classifiers!$E$18="",0,IF(ISNUMBER(SEARCH(Classifiers!$E$18,E359)),1,0))+IF(Classifiers!$F$18="",0,IF(ISNUMBER(SEARCH(Classifiers!$F$18,E359)),1,0))+IF(Classifiers!$G$18="",0,IF(ISNUMBER(SEARCH(Classifiers!$G$18,E359)),1,0)))&gt;0,1,0))</f>
        <v/>
      </c>
    </row>
    <row r="360">
      <c r="A360" s="8" t="n"/>
      <c r="B360" s="11" t="n"/>
      <c r="C360" s="6">
        <f>IF(A360="","",TRIM(RIGHT(SUBSTITUTE(A360,"/",REPT(" ",250)),250)))</f>
        <v/>
      </c>
      <c r="D360" s="6">
        <f>IF(C360="","",IF(ISNUMBER(SEARCH(".",C360)),LOWER("."&amp;TRIM(RIGHT(SUBSTITUTE(C360,".",REPT(" ",250)),250))),""))</f>
        <v/>
      </c>
      <c r="E360" s="6">
        <f>IF(C360="","",TRIM(SUBSTITUTE(SUBSTITUTE(SUBSTITUTE(SUBSTITUTE(SUBSTITUTE(SUBSTITUTE(SUBSTITUTE(SUBSTITUTE(SUBSTITUTE(SUBSTITUTE(SUBSTITUTE(SUBSTITUTE(SUBSTITUTE(SUBSTITUTE(SUBSTITUTE(SUBSTITUTE(SUBSTITUTE(SUBSTITUTE(SUBSTITUTE(SUBSTITUTE(LOWER(LEFT(C360,LEN(C360)-LEN(D360))),"_"," "),"-"," "),"."," "),","," "),"("," "),")"," "),"["," "),"]"," "),"&amp;"," "),"+"," "),"@"," "),"#"," "),"!"," "),"'"," "),"/"," "),":"," "),";"," "),"="," "),"~"," "),"%"," ")))</f>
        <v/>
      </c>
      <c r="F360" s="6">
        <f>IF(C360="","",IF(COUNTIF(Classifiers!$A$23:$A$40,D360)&gt;0,1,0))</f>
        <v/>
      </c>
      <c r="G360" s="6">
        <f>IF(C360="","",IF(COUNTIF(Classifiers!$C$23:$C$30,D360)&gt;0,IF((IF(ISNUMBER(SEARCH(Classifiers!$E$23,E360)),1,0)+IF(ISNUMBER(SEARCH(Classifiers!$E$24,E360)),1,0)+IF(ISNUMBER(SEARCH(Classifiers!$E$25,E360)),1,0)+IF(ISNUMBER(SEARCH(Classifiers!$E$26,E360)),1,0)+IF(ISNUMBER(SEARCH(Classifiers!$E$27,E360)),1,0)+IF(ISNUMBER(SEARCH(Classifiers!$E$28,E360)),1,0)+IF(ISNUMBER(SEARCH(Classifiers!$E$29,E360)),1,0)+IF(ISNUMBER(SEARCH(Classifiers!$E$30,E360)),1,0))&gt;0,1,0),0))</f>
        <v/>
      </c>
      <c r="H360" s="6">
        <f>IF(C360="","",IF(OR(LEFT(C360,1)=".",AND(F360=0,G360=0)),0,1))</f>
        <v/>
      </c>
      <c r="I360" s="6">
        <f>IF(H360&lt;&gt;1,"",IF(SUM(J360:W360)=0,"unclassified",INDEX(Classifiers!$A$5:$A$18,MATCH(1,J360:W360,0),1)))</f>
        <v/>
      </c>
      <c r="J360" s="12">
        <f>IF(H360&lt;&gt;1,0,IF((IF(Classifiers!$B$5="",0,IF(ISNUMBER(SEARCH(Classifiers!$B$5,E360)),1,0))+IF(Classifiers!$C$5="",0,IF(ISNUMBER(SEARCH(Classifiers!$C$5,E360)),1,0))+IF(Classifiers!$D$5="",0,IF(ISNUMBER(SEARCH(Classifiers!$D$5,E360)),1,0))+IF(Classifiers!$E$5="",0,IF(ISNUMBER(SEARCH(Classifiers!$E$5,E360)),1,0))+IF(Classifiers!$F$5="",0,IF(ISNUMBER(SEARCH(Classifiers!$F$5,E360)),1,0))+IF(Classifiers!$G$5="",0,IF(ISNUMBER(SEARCH(Classifiers!$G$5,E360)),1,0)))&gt;0,1,0))</f>
        <v/>
      </c>
      <c r="K360" s="12">
        <f>IF(H360&lt;&gt;1,0,IF((IF(Classifiers!$B$6="",0,IF(ISNUMBER(SEARCH(Classifiers!$B$6,E360)),1,0))+IF(Classifiers!$C$6="",0,IF(ISNUMBER(SEARCH(Classifiers!$C$6,E360)),1,0))+IF(Classifiers!$D$6="",0,IF(ISNUMBER(SEARCH(Classifiers!$D$6,E360)),1,0))+IF(Classifiers!$E$6="",0,IF(ISNUMBER(SEARCH(Classifiers!$E$6,E360)),1,0))+IF(Classifiers!$F$6="",0,IF(ISNUMBER(SEARCH(Classifiers!$F$6,E360)),1,0))+IF(Classifiers!$G$6="",0,IF(ISNUMBER(SEARCH(Classifiers!$G$6,E360)),1,0)))&gt;0,1,0))</f>
        <v/>
      </c>
      <c r="L360" s="12">
        <f>IF(H360&lt;&gt;1,0,IF((IF(Classifiers!$B$7="",0,IF(ISNUMBER(SEARCH(Classifiers!$B$7,E360)),1,0))+IF(Classifiers!$C$7="",0,IF(ISNUMBER(SEARCH(Classifiers!$C$7,E360)),1,0))+IF(Classifiers!$D$7="",0,IF(ISNUMBER(SEARCH(Classifiers!$D$7,E360)),1,0))+IF(Classifiers!$E$7="",0,IF(ISNUMBER(SEARCH(Classifiers!$E$7,E360)),1,0))+IF(Classifiers!$F$7="",0,IF(ISNUMBER(SEARCH(Classifiers!$F$7,E360)),1,0))+IF(Classifiers!$G$7="",0,IF(ISNUMBER(SEARCH(Classifiers!$G$7,E360)),1,0)))&gt;0,1,0))</f>
        <v/>
      </c>
      <c r="M360" s="12">
        <f>IF(H360&lt;&gt;1,0,IF((IF(Classifiers!$B$8="",0,IF(ISNUMBER(SEARCH(Classifiers!$B$8,E360)),1,0))+IF(Classifiers!$C$8="",0,IF(ISNUMBER(SEARCH(Classifiers!$C$8,E360)),1,0))+IF(Classifiers!$D$8="",0,IF(ISNUMBER(SEARCH(Classifiers!$D$8,E360)),1,0))+IF(Classifiers!$E$8="",0,IF(ISNUMBER(SEARCH(Classifiers!$E$8,E360)),1,0))+IF(Classifiers!$F$8="",0,IF(ISNUMBER(SEARCH(Classifiers!$F$8,E360)),1,0))+IF(Classifiers!$G$8="",0,IF(ISNUMBER(SEARCH(Classifiers!$G$8,E360)),1,0)))&gt;0,1,0))</f>
        <v/>
      </c>
      <c r="N360" s="12">
        <f>IF(H360&lt;&gt;1,0,IF((IF(Classifiers!$B$9="",0,IF(ISNUMBER(SEARCH(Classifiers!$B$9,E360)),1,0))+IF(Classifiers!$C$9="",0,IF(ISNUMBER(SEARCH(Classifiers!$C$9,E360)),1,0))+IF(Classifiers!$D$9="",0,IF(ISNUMBER(SEARCH(Classifiers!$D$9,E360)),1,0))+IF(Classifiers!$E$9="",0,IF(ISNUMBER(SEARCH(Classifiers!$E$9,E360)),1,0))+IF(Classifiers!$F$9="",0,IF(ISNUMBER(SEARCH(Classifiers!$F$9,E360)),1,0))+IF(Classifiers!$G$9="",0,IF(ISNUMBER(SEARCH(Classifiers!$G$9,E360)),1,0)))&gt;0,1,0))</f>
        <v/>
      </c>
      <c r="O360" s="12">
        <f>IF(H360&lt;&gt;1,0,IF((IF(Classifiers!$B$10="",0,IF(ISNUMBER(SEARCH(Classifiers!$B$10,E360)),1,0))+IF(Classifiers!$C$10="",0,IF(ISNUMBER(SEARCH(Classifiers!$C$10,E360)),1,0))+IF(Classifiers!$D$10="",0,IF(ISNUMBER(SEARCH(Classifiers!$D$10,E360)),1,0))+IF(Classifiers!$E$10="",0,IF(ISNUMBER(SEARCH(Classifiers!$E$10,E360)),1,0))+IF(Classifiers!$F$10="",0,IF(ISNUMBER(SEARCH(Classifiers!$F$10,E360)),1,0))+IF(Classifiers!$G$10="",0,IF(ISNUMBER(SEARCH(Classifiers!$G$10,E360)),1,0)))&gt;0,1,0))</f>
        <v/>
      </c>
      <c r="P360" s="12">
        <f>IF(H360&lt;&gt;1,0,IF((IF(Classifiers!$B$11="",0,IF(ISNUMBER(SEARCH(Classifiers!$B$11,E360)),1,0))+IF(Classifiers!$C$11="",0,IF(ISNUMBER(SEARCH(Classifiers!$C$11,E360)),1,0))+IF(Classifiers!$D$11="",0,IF(ISNUMBER(SEARCH(Classifiers!$D$11,E360)),1,0))+IF(Classifiers!$E$11="",0,IF(ISNUMBER(SEARCH(Classifiers!$E$11,E360)),1,0))+IF(Classifiers!$F$11="",0,IF(ISNUMBER(SEARCH(Classifiers!$F$11,E360)),1,0))+IF(Classifiers!$G$11="",0,IF(ISNUMBER(SEARCH(Classifiers!$G$11,E360)),1,0)))&gt;0,1,0))</f>
        <v/>
      </c>
      <c r="Q360" s="12">
        <f>IF(H360&lt;&gt;1,0,IF((IF(Classifiers!$B$12="",0,IF(ISNUMBER(SEARCH(Classifiers!$B$12,E360)),1,0))+IF(Classifiers!$C$12="",0,IF(ISNUMBER(SEARCH(Classifiers!$C$12,E360)),1,0))+IF(Classifiers!$D$12="",0,IF(ISNUMBER(SEARCH(Classifiers!$D$12,E360)),1,0))+IF(Classifiers!$E$12="",0,IF(ISNUMBER(SEARCH(Classifiers!$E$12,E360)),1,0))+IF(Classifiers!$F$12="",0,IF(ISNUMBER(SEARCH(Classifiers!$F$12,E360)),1,0))+IF(Classifiers!$G$12="",0,IF(ISNUMBER(SEARCH(Classifiers!$G$12,E360)),1,0)))&gt;0,1,0))</f>
        <v/>
      </c>
      <c r="R360" s="12">
        <f>IF(H360&lt;&gt;1,0,IF((IF(Classifiers!$B$13="",0,IF(ISNUMBER(SEARCH(Classifiers!$B$13,E360)),1,0))+IF(Classifiers!$C$13="",0,IF(ISNUMBER(SEARCH(Classifiers!$C$13,E360)),1,0))+IF(Classifiers!$D$13="",0,IF(ISNUMBER(SEARCH(Classifiers!$D$13,E360)),1,0))+IF(Classifiers!$E$13="",0,IF(ISNUMBER(SEARCH(Classifiers!$E$13,E360)),1,0))+IF(Classifiers!$F$13="",0,IF(ISNUMBER(SEARCH(Classifiers!$F$13,E360)),1,0))+IF(Classifiers!$G$13="",0,IF(ISNUMBER(SEARCH(Classifiers!$G$13,E360)),1,0)))&gt;0,1,0))</f>
        <v/>
      </c>
      <c r="S360" s="12">
        <f>IF(H360&lt;&gt;1,0,IF((IF(Classifiers!$B$14="",0,IF(ISNUMBER(SEARCH(Classifiers!$B$14,E360)),1,0))+IF(Classifiers!$C$14="",0,IF(ISNUMBER(SEARCH(Classifiers!$C$14,E360)),1,0))+IF(Classifiers!$D$14="",0,IF(ISNUMBER(SEARCH(Classifiers!$D$14,E360)),1,0))+IF(Classifiers!$E$14="",0,IF(ISNUMBER(SEARCH(Classifiers!$E$14,E360)),1,0))+IF(Classifiers!$F$14="",0,IF(ISNUMBER(SEARCH(Classifiers!$F$14,E360)),1,0))+IF(Classifiers!$G$14="",0,IF(ISNUMBER(SEARCH(Classifiers!$G$14,E360)),1,0)))&gt;0,1,0))</f>
        <v/>
      </c>
      <c r="T360" s="12">
        <f>IF(H360&lt;&gt;1,0,IF((IF(Classifiers!$B$15="",0,IF(ISNUMBER(SEARCH(Classifiers!$B$15,E360)),1,0))+IF(Classifiers!$C$15="",0,IF(ISNUMBER(SEARCH(Classifiers!$C$15,E360)),1,0))+IF(Classifiers!$D$15="",0,IF(ISNUMBER(SEARCH(Classifiers!$D$15,E360)),1,0))+IF(Classifiers!$E$15="",0,IF(ISNUMBER(SEARCH(Classifiers!$E$15,E360)),1,0))+IF(Classifiers!$F$15="",0,IF(ISNUMBER(SEARCH(Classifiers!$F$15,E360)),1,0))+IF(Classifiers!$G$15="",0,IF(ISNUMBER(SEARCH(Classifiers!$G$15,E360)),1,0)))&gt;0,1,0))</f>
        <v/>
      </c>
      <c r="U360" s="12">
        <f>IF(H360&lt;&gt;1,0,IF((IF(Classifiers!$B$16="",0,IF(ISNUMBER(SEARCH(Classifiers!$B$16,E360)),1,0))+IF(Classifiers!$C$16="",0,IF(ISNUMBER(SEARCH(Classifiers!$C$16,E360)),1,0))+IF(Classifiers!$D$16="",0,IF(ISNUMBER(SEARCH(Classifiers!$D$16,E360)),1,0))+IF(Classifiers!$E$16="",0,IF(ISNUMBER(SEARCH(Classifiers!$E$16,E360)),1,0))+IF(Classifiers!$F$16="",0,IF(ISNUMBER(SEARCH(Classifiers!$F$16,E360)),1,0))+IF(Classifiers!$G$16="",0,IF(ISNUMBER(SEARCH(Classifiers!$G$16,E360)),1,0)))&gt;0,1,0))</f>
        <v/>
      </c>
      <c r="V360" s="12">
        <f>IF(H360&lt;&gt;1,0,IF((IF(Classifiers!$B$17="",0,IF(ISNUMBER(SEARCH(Classifiers!$B$17,E360)),1,0))+IF(Classifiers!$C$17="",0,IF(ISNUMBER(SEARCH(Classifiers!$C$17,E360)),1,0))+IF(Classifiers!$D$17="",0,IF(ISNUMBER(SEARCH(Classifiers!$D$17,E360)),1,0))+IF(Classifiers!$E$17="",0,IF(ISNUMBER(SEARCH(Classifiers!$E$17,E360)),1,0))+IF(Classifiers!$F$17="",0,IF(ISNUMBER(SEARCH(Classifiers!$F$17,E360)),1,0))+IF(Classifiers!$G$17="",0,IF(ISNUMBER(SEARCH(Classifiers!$G$17,E360)),1,0)))&gt;0,1,0))</f>
        <v/>
      </c>
      <c r="W360" s="12">
        <f>IF(H360&lt;&gt;1,0,IF((IF(Classifiers!$B$18="",0,IF(ISNUMBER(SEARCH(Classifiers!$B$18,E360)),1,0))+IF(Classifiers!$C$18="",0,IF(ISNUMBER(SEARCH(Classifiers!$C$18,E360)),1,0))+IF(Classifiers!$D$18="",0,IF(ISNUMBER(SEARCH(Classifiers!$D$18,E360)),1,0))+IF(Classifiers!$E$18="",0,IF(ISNUMBER(SEARCH(Classifiers!$E$18,E360)),1,0))+IF(Classifiers!$F$18="",0,IF(ISNUMBER(SEARCH(Classifiers!$F$18,E360)),1,0))+IF(Classifiers!$G$18="",0,IF(ISNUMBER(SEARCH(Classifiers!$G$18,E360)),1,0)))&gt;0,1,0))</f>
        <v/>
      </c>
    </row>
    <row r="361">
      <c r="A361" s="8" t="n"/>
      <c r="B361" s="11" t="n"/>
      <c r="C361" s="6">
        <f>IF(A361="","",TRIM(RIGHT(SUBSTITUTE(A361,"/",REPT(" ",250)),250)))</f>
        <v/>
      </c>
      <c r="D361" s="6">
        <f>IF(C361="","",IF(ISNUMBER(SEARCH(".",C361)),LOWER("."&amp;TRIM(RIGHT(SUBSTITUTE(C361,".",REPT(" ",250)),250))),""))</f>
        <v/>
      </c>
      <c r="E361" s="6">
        <f>IF(C361="","",TRIM(SUBSTITUTE(SUBSTITUTE(SUBSTITUTE(SUBSTITUTE(SUBSTITUTE(SUBSTITUTE(SUBSTITUTE(SUBSTITUTE(SUBSTITUTE(SUBSTITUTE(SUBSTITUTE(SUBSTITUTE(SUBSTITUTE(SUBSTITUTE(SUBSTITUTE(SUBSTITUTE(SUBSTITUTE(SUBSTITUTE(SUBSTITUTE(SUBSTITUTE(LOWER(LEFT(C361,LEN(C361)-LEN(D361))),"_"," "),"-"," "),"."," "),","," "),"("," "),")"," "),"["," "),"]"," "),"&amp;"," "),"+"," "),"@"," "),"#"," "),"!"," "),"'"," "),"/"," "),":"," "),";"," "),"="," "),"~"," "),"%"," ")))</f>
        <v/>
      </c>
      <c r="F361" s="6">
        <f>IF(C361="","",IF(COUNTIF(Classifiers!$A$23:$A$40,D361)&gt;0,1,0))</f>
        <v/>
      </c>
      <c r="G361" s="6">
        <f>IF(C361="","",IF(COUNTIF(Classifiers!$C$23:$C$30,D361)&gt;0,IF((IF(ISNUMBER(SEARCH(Classifiers!$E$23,E361)),1,0)+IF(ISNUMBER(SEARCH(Classifiers!$E$24,E361)),1,0)+IF(ISNUMBER(SEARCH(Classifiers!$E$25,E361)),1,0)+IF(ISNUMBER(SEARCH(Classifiers!$E$26,E361)),1,0)+IF(ISNUMBER(SEARCH(Classifiers!$E$27,E361)),1,0)+IF(ISNUMBER(SEARCH(Classifiers!$E$28,E361)),1,0)+IF(ISNUMBER(SEARCH(Classifiers!$E$29,E361)),1,0)+IF(ISNUMBER(SEARCH(Classifiers!$E$30,E361)),1,0))&gt;0,1,0),0))</f>
        <v/>
      </c>
      <c r="H361" s="6">
        <f>IF(C361="","",IF(OR(LEFT(C361,1)=".",AND(F361=0,G361=0)),0,1))</f>
        <v/>
      </c>
      <c r="I361" s="6">
        <f>IF(H361&lt;&gt;1,"",IF(SUM(J361:W361)=0,"unclassified",INDEX(Classifiers!$A$5:$A$18,MATCH(1,J361:W361,0),1)))</f>
        <v/>
      </c>
      <c r="J361" s="12">
        <f>IF(H361&lt;&gt;1,0,IF((IF(Classifiers!$B$5="",0,IF(ISNUMBER(SEARCH(Classifiers!$B$5,E361)),1,0))+IF(Classifiers!$C$5="",0,IF(ISNUMBER(SEARCH(Classifiers!$C$5,E361)),1,0))+IF(Classifiers!$D$5="",0,IF(ISNUMBER(SEARCH(Classifiers!$D$5,E361)),1,0))+IF(Classifiers!$E$5="",0,IF(ISNUMBER(SEARCH(Classifiers!$E$5,E361)),1,0))+IF(Classifiers!$F$5="",0,IF(ISNUMBER(SEARCH(Classifiers!$F$5,E361)),1,0))+IF(Classifiers!$G$5="",0,IF(ISNUMBER(SEARCH(Classifiers!$G$5,E361)),1,0)))&gt;0,1,0))</f>
        <v/>
      </c>
      <c r="K361" s="12">
        <f>IF(H361&lt;&gt;1,0,IF((IF(Classifiers!$B$6="",0,IF(ISNUMBER(SEARCH(Classifiers!$B$6,E361)),1,0))+IF(Classifiers!$C$6="",0,IF(ISNUMBER(SEARCH(Classifiers!$C$6,E361)),1,0))+IF(Classifiers!$D$6="",0,IF(ISNUMBER(SEARCH(Classifiers!$D$6,E361)),1,0))+IF(Classifiers!$E$6="",0,IF(ISNUMBER(SEARCH(Classifiers!$E$6,E361)),1,0))+IF(Classifiers!$F$6="",0,IF(ISNUMBER(SEARCH(Classifiers!$F$6,E361)),1,0))+IF(Classifiers!$G$6="",0,IF(ISNUMBER(SEARCH(Classifiers!$G$6,E361)),1,0)))&gt;0,1,0))</f>
        <v/>
      </c>
      <c r="L361" s="12">
        <f>IF(H361&lt;&gt;1,0,IF((IF(Classifiers!$B$7="",0,IF(ISNUMBER(SEARCH(Classifiers!$B$7,E361)),1,0))+IF(Classifiers!$C$7="",0,IF(ISNUMBER(SEARCH(Classifiers!$C$7,E361)),1,0))+IF(Classifiers!$D$7="",0,IF(ISNUMBER(SEARCH(Classifiers!$D$7,E361)),1,0))+IF(Classifiers!$E$7="",0,IF(ISNUMBER(SEARCH(Classifiers!$E$7,E361)),1,0))+IF(Classifiers!$F$7="",0,IF(ISNUMBER(SEARCH(Classifiers!$F$7,E361)),1,0))+IF(Classifiers!$G$7="",0,IF(ISNUMBER(SEARCH(Classifiers!$G$7,E361)),1,0)))&gt;0,1,0))</f>
        <v/>
      </c>
      <c r="M361" s="12">
        <f>IF(H361&lt;&gt;1,0,IF((IF(Classifiers!$B$8="",0,IF(ISNUMBER(SEARCH(Classifiers!$B$8,E361)),1,0))+IF(Classifiers!$C$8="",0,IF(ISNUMBER(SEARCH(Classifiers!$C$8,E361)),1,0))+IF(Classifiers!$D$8="",0,IF(ISNUMBER(SEARCH(Classifiers!$D$8,E361)),1,0))+IF(Classifiers!$E$8="",0,IF(ISNUMBER(SEARCH(Classifiers!$E$8,E361)),1,0))+IF(Classifiers!$F$8="",0,IF(ISNUMBER(SEARCH(Classifiers!$F$8,E361)),1,0))+IF(Classifiers!$G$8="",0,IF(ISNUMBER(SEARCH(Classifiers!$G$8,E361)),1,0)))&gt;0,1,0))</f>
        <v/>
      </c>
      <c r="N361" s="12">
        <f>IF(H361&lt;&gt;1,0,IF((IF(Classifiers!$B$9="",0,IF(ISNUMBER(SEARCH(Classifiers!$B$9,E361)),1,0))+IF(Classifiers!$C$9="",0,IF(ISNUMBER(SEARCH(Classifiers!$C$9,E361)),1,0))+IF(Classifiers!$D$9="",0,IF(ISNUMBER(SEARCH(Classifiers!$D$9,E361)),1,0))+IF(Classifiers!$E$9="",0,IF(ISNUMBER(SEARCH(Classifiers!$E$9,E361)),1,0))+IF(Classifiers!$F$9="",0,IF(ISNUMBER(SEARCH(Classifiers!$F$9,E361)),1,0))+IF(Classifiers!$G$9="",0,IF(ISNUMBER(SEARCH(Classifiers!$G$9,E361)),1,0)))&gt;0,1,0))</f>
        <v/>
      </c>
      <c r="O361" s="12">
        <f>IF(H361&lt;&gt;1,0,IF((IF(Classifiers!$B$10="",0,IF(ISNUMBER(SEARCH(Classifiers!$B$10,E361)),1,0))+IF(Classifiers!$C$10="",0,IF(ISNUMBER(SEARCH(Classifiers!$C$10,E361)),1,0))+IF(Classifiers!$D$10="",0,IF(ISNUMBER(SEARCH(Classifiers!$D$10,E361)),1,0))+IF(Classifiers!$E$10="",0,IF(ISNUMBER(SEARCH(Classifiers!$E$10,E361)),1,0))+IF(Classifiers!$F$10="",0,IF(ISNUMBER(SEARCH(Classifiers!$F$10,E361)),1,0))+IF(Classifiers!$G$10="",0,IF(ISNUMBER(SEARCH(Classifiers!$G$10,E361)),1,0)))&gt;0,1,0))</f>
        <v/>
      </c>
      <c r="P361" s="12">
        <f>IF(H361&lt;&gt;1,0,IF((IF(Classifiers!$B$11="",0,IF(ISNUMBER(SEARCH(Classifiers!$B$11,E361)),1,0))+IF(Classifiers!$C$11="",0,IF(ISNUMBER(SEARCH(Classifiers!$C$11,E361)),1,0))+IF(Classifiers!$D$11="",0,IF(ISNUMBER(SEARCH(Classifiers!$D$11,E361)),1,0))+IF(Classifiers!$E$11="",0,IF(ISNUMBER(SEARCH(Classifiers!$E$11,E361)),1,0))+IF(Classifiers!$F$11="",0,IF(ISNUMBER(SEARCH(Classifiers!$F$11,E361)),1,0))+IF(Classifiers!$G$11="",0,IF(ISNUMBER(SEARCH(Classifiers!$G$11,E361)),1,0)))&gt;0,1,0))</f>
        <v/>
      </c>
      <c r="Q361" s="12">
        <f>IF(H361&lt;&gt;1,0,IF((IF(Classifiers!$B$12="",0,IF(ISNUMBER(SEARCH(Classifiers!$B$12,E361)),1,0))+IF(Classifiers!$C$12="",0,IF(ISNUMBER(SEARCH(Classifiers!$C$12,E361)),1,0))+IF(Classifiers!$D$12="",0,IF(ISNUMBER(SEARCH(Classifiers!$D$12,E361)),1,0))+IF(Classifiers!$E$12="",0,IF(ISNUMBER(SEARCH(Classifiers!$E$12,E361)),1,0))+IF(Classifiers!$F$12="",0,IF(ISNUMBER(SEARCH(Classifiers!$F$12,E361)),1,0))+IF(Classifiers!$G$12="",0,IF(ISNUMBER(SEARCH(Classifiers!$G$12,E361)),1,0)))&gt;0,1,0))</f>
        <v/>
      </c>
      <c r="R361" s="12">
        <f>IF(H361&lt;&gt;1,0,IF((IF(Classifiers!$B$13="",0,IF(ISNUMBER(SEARCH(Classifiers!$B$13,E361)),1,0))+IF(Classifiers!$C$13="",0,IF(ISNUMBER(SEARCH(Classifiers!$C$13,E361)),1,0))+IF(Classifiers!$D$13="",0,IF(ISNUMBER(SEARCH(Classifiers!$D$13,E361)),1,0))+IF(Classifiers!$E$13="",0,IF(ISNUMBER(SEARCH(Classifiers!$E$13,E361)),1,0))+IF(Classifiers!$F$13="",0,IF(ISNUMBER(SEARCH(Classifiers!$F$13,E361)),1,0))+IF(Classifiers!$G$13="",0,IF(ISNUMBER(SEARCH(Classifiers!$G$13,E361)),1,0)))&gt;0,1,0))</f>
        <v/>
      </c>
      <c r="S361" s="12">
        <f>IF(H361&lt;&gt;1,0,IF((IF(Classifiers!$B$14="",0,IF(ISNUMBER(SEARCH(Classifiers!$B$14,E361)),1,0))+IF(Classifiers!$C$14="",0,IF(ISNUMBER(SEARCH(Classifiers!$C$14,E361)),1,0))+IF(Classifiers!$D$14="",0,IF(ISNUMBER(SEARCH(Classifiers!$D$14,E361)),1,0))+IF(Classifiers!$E$14="",0,IF(ISNUMBER(SEARCH(Classifiers!$E$14,E361)),1,0))+IF(Classifiers!$F$14="",0,IF(ISNUMBER(SEARCH(Classifiers!$F$14,E361)),1,0))+IF(Classifiers!$G$14="",0,IF(ISNUMBER(SEARCH(Classifiers!$G$14,E361)),1,0)))&gt;0,1,0))</f>
        <v/>
      </c>
      <c r="T361" s="12">
        <f>IF(H361&lt;&gt;1,0,IF((IF(Classifiers!$B$15="",0,IF(ISNUMBER(SEARCH(Classifiers!$B$15,E361)),1,0))+IF(Classifiers!$C$15="",0,IF(ISNUMBER(SEARCH(Classifiers!$C$15,E361)),1,0))+IF(Classifiers!$D$15="",0,IF(ISNUMBER(SEARCH(Classifiers!$D$15,E361)),1,0))+IF(Classifiers!$E$15="",0,IF(ISNUMBER(SEARCH(Classifiers!$E$15,E361)),1,0))+IF(Classifiers!$F$15="",0,IF(ISNUMBER(SEARCH(Classifiers!$F$15,E361)),1,0))+IF(Classifiers!$G$15="",0,IF(ISNUMBER(SEARCH(Classifiers!$G$15,E361)),1,0)))&gt;0,1,0))</f>
        <v/>
      </c>
      <c r="U361" s="12">
        <f>IF(H361&lt;&gt;1,0,IF((IF(Classifiers!$B$16="",0,IF(ISNUMBER(SEARCH(Classifiers!$B$16,E361)),1,0))+IF(Classifiers!$C$16="",0,IF(ISNUMBER(SEARCH(Classifiers!$C$16,E361)),1,0))+IF(Classifiers!$D$16="",0,IF(ISNUMBER(SEARCH(Classifiers!$D$16,E361)),1,0))+IF(Classifiers!$E$16="",0,IF(ISNUMBER(SEARCH(Classifiers!$E$16,E361)),1,0))+IF(Classifiers!$F$16="",0,IF(ISNUMBER(SEARCH(Classifiers!$F$16,E361)),1,0))+IF(Classifiers!$G$16="",0,IF(ISNUMBER(SEARCH(Classifiers!$G$16,E361)),1,0)))&gt;0,1,0))</f>
        <v/>
      </c>
      <c r="V361" s="12">
        <f>IF(H361&lt;&gt;1,0,IF((IF(Classifiers!$B$17="",0,IF(ISNUMBER(SEARCH(Classifiers!$B$17,E361)),1,0))+IF(Classifiers!$C$17="",0,IF(ISNUMBER(SEARCH(Classifiers!$C$17,E361)),1,0))+IF(Classifiers!$D$17="",0,IF(ISNUMBER(SEARCH(Classifiers!$D$17,E361)),1,0))+IF(Classifiers!$E$17="",0,IF(ISNUMBER(SEARCH(Classifiers!$E$17,E361)),1,0))+IF(Classifiers!$F$17="",0,IF(ISNUMBER(SEARCH(Classifiers!$F$17,E361)),1,0))+IF(Classifiers!$G$17="",0,IF(ISNUMBER(SEARCH(Classifiers!$G$17,E361)),1,0)))&gt;0,1,0))</f>
        <v/>
      </c>
      <c r="W361" s="12">
        <f>IF(H361&lt;&gt;1,0,IF((IF(Classifiers!$B$18="",0,IF(ISNUMBER(SEARCH(Classifiers!$B$18,E361)),1,0))+IF(Classifiers!$C$18="",0,IF(ISNUMBER(SEARCH(Classifiers!$C$18,E361)),1,0))+IF(Classifiers!$D$18="",0,IF(ISNUMBER(SEARCH(Classifiers!$D$18,E361)),1,0))+IF(Classifiers!$E$18="",0,IF(ISNUMBER(SEARCH(Classifiers!$E$18,E361)),1,0))+IF(Classifiers!$F$18="",0,IF(ISNUMBER(SEARCH(Classifiers!$F$18,E361)),1,0))+IF(Classifiers!$G$18="",0,IF(ISNUMBER(SEARCH(Classifiers!$G$18,E361)),1,0)))&gt;0,1,0))</f>
        <v/>
      </c>
    </row>
    <row r="362">
      <c r="A362" s="8" t="n"/>
      <c r="B362" s="11" t="n"/>
      <c r="C362" s="6">
        <f>IF(A362="","",TRIM(RIGHT(SUBSTITUTE(A362,"/",REPT(" ",250)),250)))</f>
        <v/>
      </c>
      <c r="D362" s="6">
        <f>IF(C362="","",IF(ISNUMBER(SEARCH(".",C362)),LOWER("."&amp;TRIM(RIGHT(SUBSTITUTE(C362,".",REPT(" ",250)),250))),""))</f>
        <v/>
      </c>
      <c r="E362" s="6">
        <f>IF(C362="","",TRIM(SUBSTITUTE(SUBSTITUTE(SUBSTITUTE(SUBSTITUTE(SUBSTITUTE(SUBSTITUTE(SUBSTITUTE(SUBSTITUTE(SUBSTITUTE(SUBSTITUTE(SUBSTITUTE(SUBSTITUTE(SUBSTITUTE(SUBSTITUTE(SUBSTITUTE(SUBSTITUTE(SUBSTITUTE(SUBSTITUTE(SUBSTITUTE(SUBSTITUTE(LOWER(LEFT(C362,LEN(C362)-LEN(D362))),"_"," "),"-"," "),"."," "),","," "),"("," "),")"," "),"["," "),"]"," "),"&amp;"," "),"+"," "),"@"," "),"#"," "),"!"," "),"'"," "),"/"," "),":"," "),";"," "),"="," "),"~"," "),"%"," ")))</f>
        <v/>
      </c>
      <c r="F362" s="6">
        <f>IF(C362="","",IF(COUNTIF(Classifiers!$A$23:$A$40,D362)&gt;0,1,0))</f>
        <v/>
      </c>
      <c r="G362" s="6">
        <f>IF(C362="","",IF(COUNTIF(Classifiers!$C$23:$C$30,D362)&gt;0,IF((IF(ISNUMBER(SEARCH(Classifiers!$E$23,E362)),1,0)+IF(ISNUMBER(SEARCH(Classifiers!$E$24,E362)),1,0)+IF(ISNUMBER(SEARCH(Classifiers!$E$25,E362)),1,0)+IF(ISNUMBER(SEARCH(Classifiers!$E$26,E362)),1,0)+IF(ISNUMBER(SEARCH(Classifiers!$E$27,E362)),1,0)+IF(ISNUMBER(SEARCH(Classifiers!$E$28,E362)),1,0)+IF(ISNUMBER(SEARCH(Classifiers!$E$29,E362)),1,0)+IF(ISNUMBER(SEARCH(Classifiers!$E$30,E362)),1,0))&gt;0,1,0),0))</f>
        <v/>
      </c>
      <c r="H362" s="6">
        <f>IF(C362="","",IF(OR(LEFT(C362,1)=".",AND(F362=0,G362=0)),0,1))</f>
        <v/>
      </c>
      <c r="I362" s="6">
        <f>IF(H362&lt;&gt;1,"",IF(SUM(J362:W362)=0,"unclassified",INDEX(Classifiers!$A$5:$A$18,MATCH(1,J362:W362,0),1)))</f>
        <v/>
      </c>
      <c r="J362" s="12">
        <f>IF(H362&lt;&gt;1,0,IF((IF(Classifiers!$B$5="",0,IF(ISNUMBER(SEARCH(Classifiers!$B$5,E362)),1,0))+IF(Classifiers!$C$5="",0,IF(ISNUMBER(SEARCH(Classifiers!$C$5,E362)),1,0))+IF(Classifiers!$D$5="",0,IF(ISNUMBER(SEARCH(Classifiers!$D$5,E362)),1,0))+IF(Classifiers!$E$5="",0,IF(ISNUMBER(SEARCH(Classifiers!$E$5,E362)),1,0))+IF(Classifiers!$F$5="",0,IF(ISNUMBER(SEARCH(Classifiers!$F$5,E362)),1,0))+IF(Classifiers!$G$5="",0,IF(ISNUMBER(SEARCH(Classifiers!$G$5,E362)),1,0)))&gt;0,1,0))</f>
        <v/>
      </c>
      <c r="K362" s="12">
        <f>IF(H362&lt;&gt;1,0,IF((IF(Classifiers!$B$6="",0,IF(ISNUMBER(SEARCH(Classifiers!$B$6,E362)),1,0))+IF(Classifiers!$C$6="",0,IF(ISNUMBER(SEARCH(Classifiers!$C$6,E362)),1,0))+IF(Classifiers!$D$6="",0,IF(ISNUMBER(SEARCH(Classifiers!$D$6,E362)),1,0))+IF(Classifiers!$E$6="",0,IF(ISNUMBER(SEARCH(Classifiers!$E$6,E362)),1,0))+IF(Classifiers!$F$6="",0,IF(ISNUMBER(SEARCH(Classifiers!$F$6,E362)),1,0))+IF(Classifiers!$G$6="",0,IF(ISNUMBER(SEARCH(Classifiers!$G$6,E362)),1,0)))&gt;0,1,0))</f>
        <v/>
      </c>
      <c r="L362" s="12">
        <f>IF(H362&lt;&gt;1,0,IF((IF(Classifiers!$B$7="",0,IF(ISNUMBER(SEARCH(Classifiers!$B$7,E362)),1,0))+IF(Classifiers!$C$7="",0,IF(ISNUMBER(SEARCH(Classifiers!$C$7,E362)),1,0))+IF(Classifiers!$D$7="",0,IF(ISNUMBER(SEARCH(Classifiers!$D$7,E362)),1,0))+IF(Classifiers!$E$7="",0,IF(ISNUMBER(SEARCH(Classifiers!$E$7,E362)),1,0))+IF(Classifiers!$F$7="",0,IF(ISNUMBER(SEARCH(Classifiers!$F$7,E362)),1,0))+IF(Classifiers!$G$7="",0,IF(ISNUMBER(SEARCH(Classifiers!$G$7,E362)),1,0)))&gt;0,1,0))</f>
        <v/>
      </c>
      <c r="M362" s="12">
        <f>IF(H362&lt;&gt;1,0,IF((IF(Classifiers!$B$8="",0,IF(ISNUMBER(SEARCH(Classifiers!$B$8,E362)),1,0))+IF(Classifiers!$C$8="",0,IF(ISNUMBER(SEARCH(Classifiers!$C$8,E362)),1,0))+IF(Classifiers!$D$8="",0,IF(ISNUMBER(SEARCH(Classifiers!$D$8,E362)),1,0))+IF(Classifiers!$E$8="",0,IF(ISNUMBER(SEARCH(Classifiers!$E$8,E362)),1,0))+IF(Classifiers!$F$8="",0,IF(ISNUMBER(SEARCH(Classifiers!$F$8,E362)),1,0))+IF(Classifiers!$G$8="",0,IF(ISNUMBER(SEARCH(Classifiers!$G$8,E362)),1,0)))&gt;0,1,0))</f>
        <v/>
      </c>
      <c r="N362" s="12">
        <f>IF(H362&lt;&gt;1,0,IF((IF(Classifiers!$B$9="",0,IF(ISNUMBER(SEARCH(Classifiers!$B$9,E362)),1,0))+IF(Classifiers!$C$9="",0,IF(ISNUMBER(SEARCH(Classifiers!$C$9,E362)),1,0))+IF(Classifiers!$D$9="",0,IF(ISNUMBER(SEARCH(Classifiers!$D$9,E362)),1,0))+IF(Classifiers!$E$9="",0,IF(ISNUMBER(SEARCH(Classifiers!$E$9,E362)),1,0))+IF(Classifiers!$F$9="",0,IF(ISNUMBER(SEARCH(Classifiers!$F$9,E362)),1,0))+IF(Classifiers!$G$9="",0,IF(ISNUMBER(SEARCH(Classifiers!$G$9,E362)),1,0)))&gt;0,1,0))</f>
        <v/>
      </c>
      <c r="O362" s="12">
        <f>IF(H362&lt;&gt;1,0,IF((IF(Classifiers!$B$10="",0,IF(ISNUMBER(SEARCH(Classifiers!$B$10,E362)),1,0))+IF(Classifiers!$C$10="",0,IF(ISNUMBER(SEARCH(Classifiers!$C$10,E362)),1,0))+IF(Classifiers!$D$10="",0,IF(ISNUMBER(SEARCH(Classifiers!$D$10,E362)),1,0))+IF(Classifiers!$E$10="",0,IF(ISNUMBER(SEARCH(Classifiers!$E$10,E362)),1,0))+IF(Classifiers!$F$10="",0,IF(ISNUMBER(SEARCH(Classifiers!$F$10,E362)),1,0))+IF(Classifiers!$G$10="",0,IF(ISNUMBER(SEARCH(Classifiers!$G$10,E362)),1,0)))&gt;0,1,0))</f>
        <v/>
      </c>
      <c r="P362" s="12">
        <f>IF(H362&lt;&gt;1,0,IF((IF(Classifiers!$B$11="",0,IF(ISNUMBER(SEARCH(Classifiers!$B$11,E362)),1,0))+IF(Classifiers!$C$11="",0,IF(ISNUMBER(SEARCH(Classifiers!$C$11,E362)),1,0))+IF(Classifiers!$D$11="",0,IF(ISNUMBER(SEARCH(Classifiers!$D$11,E362)),1,0))+IF(Classifiers!$E$11="",0,IF(ISNUMBER(SEARCH(Classifiers!$E$11,E362)),1,0))+IF(Classifiers!$F$11="",0,IF(ISNUMBER(SEARCH(Classifiers!$F$11,E362)),1,0))+IF(Classifiers!$G$11="",0,IF(ISNUMBER(SEARCH(Classifiers!$G$11,E362)),1,0)))&gt;0,1,0))</f>
        <v/>
      </c>
      <c r="Q362" s="12">
        <f>IF(H362&lt;&gt;1,0,IF((IF(Classifiers!$B$12="",0,IF(ISNUMBER(SEARCH(Classifiers!$B$12,E362)),1,0))+IF(Classifiers!$C$12="",0,IF(ISNUMBER(SEARCH(Classifiers!$C$12,E362)),1,0))+IF(Classifiers!$D$12="",0,IF(ISNUMBER(SEARCH(Classifiers!$D$12,E362)),1,0))+IF(Classifiers!$E$12="",0,IF(ISNUMBER(SEARCH(Classifiers!$E$12,E362)),1,0))+IF(Classifiers!$F$12="",0,IF(ISNUMBER(SEARCH(Classifiers!$F$12,E362)),1,0))+IF(Classifiers!$G$12="",0,IF(ISNUMBER(SEARCH(Classifiers!$G$12,E362)),1,0)))&gt;0,1,0))</f>
        <v/>
      </c>
      <c r="R362" s="12">
        <f>IF(H362&lt;&gt;1,0,IF((IF(Classifiers!$B$13="",0,IF(ISNUMBER(SEARCH(Classifiers!$B$13,E362)),1,0))+IF(Classifiers!$C$13="",0,IF(ISNUMBER(SEARCH(Classifiers!$C$13,E362)),1,0))+IF(Classifiers!$D$13="",0,IF(ISNUMBER(SEARCH(Classifiers!$D$13,E362)),1,0))+IF(Classifiers!$E$13="",0,IF(ISNUMBER(SEARCH(Classifiers!$E$13,E362)),1,0))+IF(Classifiers!$F$13="",0,IF(ISNUMBER(SEARCH(Classifiers!$F$13,E362)),1,0))+IF(Classifiers!$G$13="",0,IF(ISNUMBER(SEARCH(Classifiers!$G$13,E362)),1,0)))&gt;0,1,0))</f>
        <v/>
      </c>
      <c r="S362" s="12">
        <f>IF(H362&lt;&gt;1,0,IF((IF(Classifiers!$B$14="",0,IF(ISNUMBER(SEARCH(Classifiers!$B$14,E362)),1,0))+IF(Classifiers!$C$14="",0,IF(ISNUMBER(SEARCH(Classifiers!$C$14,E362)),1,0))+IF(Classifiers!$D$14="",0,IF(ISNUMBER(SEARCH(Classifiers!$D$14,E362)),1,0))+IF(Classifiers!$E$14="",0,IF(ISNUMBER(SEARCH(Classifiers!$E$14,E362)),1,0))+IF(Classifiers!$F$14="",0,IF(ISNUMBER(SEARCH(Classifiers!$F$14,E362)),1,0))+IF(Classifiers!$G$14="",0,IF(ISNUMBER(SEARCH(Classifiers!$G$14,E362)),1,0)))&gt;0,1,0))</f>
        <v/>
      </c>
      <c r="T362" s="12">
        <f>IF(H362&lt;&gt;1,0,IF((IF(Classifiers!$B$15="",0,IF(ISNUMBER(SEARCH(Classifiers!$B$15,E362)),1,0))+IF(Classifiers!$C$15="",0,IF(ISNUMBER(SEARCH(Classifiers!$C$15,E362)),1,0))+IF(Classifiers!$D$15="",0,IF(ISNUMBER(SEARCH(Classifiers!$D$15,E362)),1,0))+IF(Classifiers!$E$15="",0,IF(ISNUMBER(SEARCH(Classifiers!$E$15,E362)),1,0))+IF(Classifiers!$F$15="",0,IF(ISNUMBER(SEARCH(Classifiers!$F$15,E362)),1,0))+IF(Classifiers!$G$15="",0,IF(ISNUMBER(SEARCH(Classifiers!$G$15,E362)),1,0)))&gt;0,1,0))</f>
        <v/>
      </c>
      <c r="U362" s="12">
        <f>IF(H362&lt;&gt;1,0,IF((IF(Classifiers!$B$16="",0,IF(ISNUMBER(SEARCH(Classifiers!$B$16,E362)),1,0))+IF(Classifiers!$C$16="",0,IF(ISNUMBER(SEARCH(Classifiers!$C$16,E362)),1,0))+IF(Classifiers!$D$16="",0,IF(ISNUMBER(SEARCH(Classifiers!$D$16,E362)),1,0))+IF(Classifiers!$E$16="",0,IF(ISNUMBER(SEARCH(Classifiers!$E$16,E362)),1,0))+IF(Classifiers!$F$16="",0,IF(ISNUMBER(SEARCH(Classifiers!$F$16,E362)),1,0))+IF(Classifiers!$G$16="",0,IF(ISNUMBER(SEARCH(Classifiers!$G$16,E362)),1,0)))&gt;0,1,0))</f>
        <v/>
      </c>
      <c r="V362" s="12">
        <f>IF(H362&lt;&gt;1,0,IF((IF(Classifiers!$B$17="",0,IF(ISNUMBER(SEARCH(Classifiers!$B$17,E362)),1,0))+IF(Classifiers!$C$17="",0,IF(ISNUMBER(SEARCH(Classifiers!$C$17,E362)),1,0))+IF(Classifiers!$D$17="",0,IF(ISNUMBER(SEARCH(Classifiers!$D$17,E362)),1,0))+IF(Classifiers!$E$17="",0,IF(ISNUMBER(SEARCH(Classifiers!$E$17,E362)),1,0))+IF(Classifiers!$F$17="",0,IF(ISNUMBER(SEARCH(Classifiers!$F$17,E362)),1,0))+IF(Classifiers!$G$17="",0,IF(ISNUMBER(SEARCH(Classifiers!$G$17,E362)),1,0)))&gt;0,1,0))</f>
        <v/>
      </c>
      <c r="W362" s="12">
        <f>IF(H362&lt;&gt;1,0,IF((IF(Classifiers!$B$18="",0,IF(ISNUMBER(SEARCH(Classifiers!$B$18,E362)),1,0))+IF(Classifiers!$C$18="",0,IF(ISNUMBER(SEARCH(Classifiers!$C$18,E362)),1,0))+IF(Classifiers!$D$18="",0,IF(ISNUMBER(SEARCH(Classifiers!$D$18,E362)),1,0))+IF(Classifiers!$E$18="",0,IF(ISNUMBER(SEARCH(Classifiers!$E$18,E362)),1,0))+IF(Classifiers!$F$18="",0,IF(ISNUMBER(SEARCH(Classifiers!$F$18,E362)),1,0))+IF(Classifiers!$G$18="",0,IF(ISNUMBER(SEARCH(Classifiers!$G$18,E362)),1,0)))&gt;0,1,0))</f>
        <v/>
      </c>
    </row>
    <row r="363">
      <c r="A363" s="8" t="n"/>
      <c r="B363" s="11" t="n"/>
      <c r="C363" s="6">
        <f>IF(A363="","",TRIM(RIGHT(SUBSTITUTE(A363,"/",REPT(" ",250)),250)))</f>
        <v/>
      </c>
      <c r="D363" s="6">
        <f>IF(C363="","",IF(ISNUMBER(SEARCH(".",C363)),LOWER("."&amp;TRIM(RIGHT(SUBSTITUTE(C363,".",REPT(" ",250)),250))),""))</f>
        <v/>
      </c>
      <c r="E363" s="6">
        <f>IF(C363="","",TRIM(SUBSTITUTE(SUBSTITUTE(SUBSTITUTE(SUBSTITUTE(SUBSTITUTE(SUBSTITUTE(SUBSTITUTE(SUBSTITUTE(SUBSTITUTE(SUBSTITUTE(SUBSTITUTE(SUBSTITUTE(SUBSTITUTE(SUBSTITUTE(SUBSTITUTE(SUBSTITUTE(SUBSTITUTE(SUBSTITUTE(SUBSTITUTE(SUBSTITUTE(LOWER(LEFT(C363,LEN(C363)-LEN(D363))),"_"," "),"-"," "),"."," "),","," "),"("," "),")"," "),"["," "),"]"," "),"&amp;"," "),"+"," "),"@"," "),"#"," "),"!"," "),"'"," "),"/"," "),":"," "),";"," "),"="," "),"~"," "),"%"," ")))</f>
        <v/>
      </c>
      <c r="F363" s="6">
        <f>IF(C363="","",IF(COUNTIF(Classifiers!$A$23:$A$40,D363)&gt;0,1,0))</f>
        <v/>
      </c>
      <c r="G363" s="6">
        <f>IF(C363="","",IF(COUNTIF(Classifiers!$C$23:$C$30,D363)&gt;0,IF((IF(ISNUMBER(SEARCH(Classifiers!$E$23,E363)),1,0)+IF(ISNUMBER(SEARCH(Classifiers!$E$24,E363)),1,0)+IF(ISNUMBER(SEARCH(Classifiers!$E$25,E363)),1,0)+IF(ISNUMBER(SEARCH(Classifiers!$E$26,E363)),1,0)+IF(ISNUMBER(SEARCH(Classifiers!$E$27,E363)),1,0)+IF(ISNUMBER(SEARCH(Classifiers!$E$28,E363)),1,0)+IF(ISNUMBER(SEARCH(Classifiers!$E$29,E363)),1,0)+IF(ISNUMBER(SEARCH(Classifiers!$E$30,E363)),1,0))&gt;0,1,0),0))</f>
        <v/>
      </c>
      <c r="H363" s="6">
        <f>IF(C363="","",IF(OR(LEFT(C363,1)=".",AND(F363=0,G363=0)),0,1))</f>
        <v/>
      </c>
      <c r="I363" s="6">
        <f>IF(H363&lt;&gt;1,"",IF(SUM(J363:W363)=0,"unclassified",INDEX(Classifiers!$A$5:$A$18,MATCH(1,J363:W363,0),1)))</f>
        <v/>
      </c>
      <c r="J363" s="12">
        <f>IF(H363&lt;&gt;1,0,IF((IF(Classifiers!$B$5="",0,IF(ISNUMBER(SEARCH(Classifiers!$B$5,E363)),1,0))+IF(Classifiers!$C$5="",0,IF(ISNUMBER(SEARCH(Classifiers!$C$5,E363)),1,0))+IF(Classifiers!$D$5="",0,IF(ISNUMBER(SEARCH(Classifiers!$D$5,E363)),1,0))+IF(Classifiers!$E$5="",0,IF(ISNUMBER(SEARCH(Classifiers!$E$5,E363)),1,0))+IF(Classifiers!$F$5="",0,IF(ISNUMBER(SEARCH(Classifiers!$F$5,E363)),1,0))+IF(Classifiers!$G$5="",0,IF(ISNUMBER(SEARCH(Classifiers!$G$5,E363)),1,0)))&gt;0,1,0))</f>
        <v/>
      </c>
      <c r="K363" s="12">
        <f>IF(H363&lt;&gt;1,0,IF((IF(Classifiers!$B$6="",0,IF(ISNUMBER(SEARCH(Classifiers!$B$6,E363)),1,0))+IF(Classifiers!$C$6="",0,IF(ISNUMBER(SEARCH(Classifiers!$C$6,E363)),1,0))+IF(Classifiers!$D$6="",0,IF(ISNUMBER(SEARCH(Classifiers!$D$6,E363)),1,0))+IF(Classifiers!$E$6="",0,IF(ISNUMBER(SEARCH(Classifiers!$E$6,E363)),1,0))+IF(Classifiers!$F$6="",0,IF(ISNUMBER(SEARCH(Classifiers!$F$6,E363)),1,0))+IF(Classifiers!$G$6="",0,IF(ISNUMBER(SEARCH(Classifiers!$G$6,E363)),1,0)))&gt;0,1,0))</f>
        <v/>
      </c>
      <c r="L363" s="12">
        <f>IF(H363&lt;&gt;1,0,IF((IF(Classifiers!$B$7="",0,IF(ISNUMBER(SEARCH(Classifiers!$B$7,E363)),1,0))+IF(Classifiers!$C$7="",0,IF(ISNUMBER(SEARCH(Classifiers!$C$7,E363)),1,0))+IF(Classifiers!$D$7="",0,IF(ISNUMBER(SEARCH(Classifiers!$D$7,E363)),1,0))+IF(Classifiers!$E$7="",0,IF(ISNUMBER(SEARCH(Classifiers!$E$7,E363)),1,0))+IF(Classifiers!$F$7="",0,IF(ISNUMBER(SEARCH(Classifiers!$F$7,E363)),1,0))+IF(Classifiers!$G$7="",0,IF(ISNUMBER(SEARCH(Classifiers!$G$7,E363)),1,0)))&gt;0,1,0))</f>
        <v/>
      </c>
      <c r="M363" s="12">
        <f>IF(H363&lt;&gt;1,0,IF((IF(Classifiers!$B$8="",0,IF(ISNUMBER(SEARCH(Classifiers!$B$8,E363)),1,0))+IF(Classifiers!$C$8="",0,IF(ISNUMBER(SEARCH(Classifiers!$C$8,E363)),1,0))+IF(Classifiers!$D$8="",0,IF(ISNUMBER(SEARCH(Classifiers!$D$8,E363)),1,0))+IF(Classifiers!$E$8="",0,IF(ISNUMBER(SEARCH(Classifiers!$E$8,E363)),1,0))+IF(Classifiers!$F$8="",0,IF(ISNUMBER(SEARCH(Classifiers!$F$8,E363)),1,0))+IF(Classifiers!$G$8="",0,IF(ISNUMBER(SEARCH(Classifiers!$G$8,E363)),1,0)))&gt;0,1,0))</f>
        <v/>
      </c>
      <c r="N363" s="12">
        <f>IF(H363&lt;&gt;1,0,IF((IF(Classifiers!$B$9="",0,IF(ISNUMBER(SEARCH(Classifiers!$B$9,E363)),1,0))+IF(Classifiers!$C$9="",0,IF(ISNUMBER(SEARCH(Classifiers!$C$9,E363)),1,0))+IF(Classifiers!$D$9="",0,IF(ISNUMBER(SEARCH(Classifiers!$D$9,E363)),1,0))+IF(Classifiers!$E$9="",0,IF(ISNUMBER(SEARCH(Classifiers!$E$9,E363)),1,0))+IF(Classifiers!$F$9="",0,IF(ISNUMBER(SEARCH(Classifiers!$F$9,E363)),1,0))+IF(Classifiers!$G$9="",0,IF(ISNUMBER(SEARCH(Classifiers!$G$9,E363)),1,0)))&gt;0,1,0))</f>
        <v/>
      </c>
      <c r="O363" s="12">
        <f>IF(H363&lt;&gt;1,0,IF((IF(Classifiers!$B$10="",0,IF(ISNUMBER(SEARCH(Classifiers!$B$10,E363)),1,0))+IF(Classifiers!$C$10="",0,IF(ISNUMBER(SEARCH(Classifiers!$C$10,E363)),1,0))+IF(Classifiers!$D$10="",0,IF(ISNUMBER(SEARCH(Classifiers!$D$10,E363)),1,0))+IF(Classifiers!$E$10="",0,IF(ISNUMBER(SEARCH(Classifiers!$E$10,E363)),1,0))+IF(Classifiers!$F$10="",0,IF(ISNUMBER(SEARCH(Classifiers!$F$10,E363)),1,0))+IF(Classifiers!$G$10="",0,IF(ISNUMBER(SEARCH(Classifiers!$G$10,E363)),1,0)))&gt;0,1,0))</f>
        <v/>
      </c>
      <c r="P363" s="12">
        <f>IF(H363&lt;&gt;1,0,IF((IF(Classifiers!$B$11="",0,IF(ISNUMBER(SEARCH(Classifiers!$B$11,E363)),1,0))+IF(Classifiers!$C$11="",0,IF(ISNUMBER(SEARCH(Classifiers!$C$11,E363)),1,0))+IF(Classifiers!$D$11="",0,IF(ISNUMBER(SEARCH(Classifiers!$D$11,E363)),1,0))+IF(Classifiers!$E$11="",0,IF(ISNUMBER(SEARCH(Classifiers!$E$11,E363)),1,0))+IF(Classifiers!$F$11="",0,IF(ISNUMBER(SEARCH(Classifiers!$F$11,E363)),1,0))+IF(Classifiers!$G$11="",0,IF(ISNUMBER(SEARCH(Classifiers!$G$11,E363)),1,0)))&gt;0,1,0))</f>
        <v/>
      </c>
      <c r="Q363" s="12">
        <f>IF(H363&lt;&gt;1,0,IF((IF(Classifiers!$B$12="",0,IF(ISNUMBER(SEARCH(Classifiers!$B$12,E363)),1,0))+IF(Classifiers!$C$12="",0,IF(ISNUMBER(SEARCH(Classifiers!$C$12,E363)),1,0))+IF(Classifiers!$D$12="",0,IF(ISNUMBER(SEARCH(Classifiers!$D$12,E363)),1,0))+IF(Classifiers!$E$12="",0,IF(ISNUMBER(SEARCH(Classifiers!$E$12,E363)),1,0))+IF(Classifiers!$F$12="",0,IF(ISNUMBER(SEARCH(Classifiers!$F$12,E363)),1,0))+IF(Classifiers!$G$12="",0,IF(ISNUMBER(SEARCH(Classifiers!$G$12,E363)),1,0)))&gt;0,1,0))</f>
        <v/>
      </c>
      <c r="R363" s="12">
        <f>IF(H363&lt;&gt;1,0,IF((IF(Classifiers!$B$13="",0,IF(ISNUMBER(SEARCH(Classifiers!$B$13,E363)),1,0))+IF(Classifiers!$C$13="",0,IF(ISNUMBER(SEARCH(Classifiers!$C$13,E363)),1,0))+IF(Classifiers!$D$13="",0,IF(ISNUMBER(SEARCH(Classifiers!$D$13,E363)),1,0))+IF(Classifiers!$E$13="",0,IF(ISNUMBER(SEARCH(Classifiers!$E$13,E363)),1,0))+IF(Classifiers!$F$13="",0,IF(ISNUMBER(SEARCH(Classifiers!$F$13,E363)),1,0))+IF(Classifiers!$G$13="",0,IF(ISNUMBER(SEARCH(Classifiers!$G$13,E363)),1,0)))&gt;0,1,0))</f>
        <v/>
      </c>
      <c r="S363" s="12">
        <f>IF(H363&lt;&gt;1,0,IF((IF(Classifiers!$B$14="",0,IF(ISNUMBER(SEARCH(Classifiers!$B$14,E363)),1,0))+IF(Classifiers!$C$14="",0,IF(ISNUMBER(SEARCH(Classifiers!$C$14,E363)),1,0))+IF(Classifiers!$D$14="",0,IF(ISNUMBER(SEARCH(Classifiers!$D$14,E363)),1,0))+IF(Classifiers!$E$14="",0,IF(ISNUMBER(SEARCH(Classifiers!$E$14,E363)),1,0))+IF(Classifiers!$F$14="",0,IF(ISNUMBER(SEARCH(Classifiers!$F$14,E363)),1,0))+IF(Classifiers!$G$14="",0,IF(ISNUMBER(SEARCH(Classifiers!$G$14,E363)),1,0)))&gt;0,1,0))</f>
        <v/>
      </c>
      <c r="T363" s="12">
        <f>IF(H363&lt;&gt;1,0,IF((IF(Classifiers!$B$15="",0,IF(ISNUMBER(SEARCH(Classifiers!$B$15,E363)),1,0))+IF(Classifiers!$C$15="",0,IF(ISNUMBER(SEARCH(Classifiers!$C$15,E363)),1,0))+IF(Classifiers!$D$15="",0,IF(ISNUMBER(SEARCH(Classifiers!$D$15,E363)),1,0))+IF(Classifiers!$E$15="",0,IF(ISNUMBER(SEARCH(Classifiers!$E$15,E363)),1,0))+IF(Classifiers!$F$15="",0,IF(ISNUMBER(SEARCH(Classifiers!$F$15,E363)),1,0))+IF(Classifiers!$G$15="",0,IF(ISNUMBER(SEARCH(Classifiers!$G$15,E363)),1,0)))&gt;0,1,0))</f>
        <v/>
      </c>
      <c r="U363" s="12">
        <f>IF(H363&lt;&gt;1,0,IF((IF(Classifiers!$B$16="",0,IF(ISNUMBER(SEARCH(Classifiers!$B$16,E363)),1,0))+IF(Classifiers!$C$16="",0,IF(ISNUMBER(SEARCH(Classifiers!$C$16,E363)),1,0))+IF(Classifiers!$D$16="",0,IF(ISNUMBER(SEARCH(Classifiers!$D$16,E363)),1,0))+IF(Classifiers!$E$16="",0,IF(ISNUMBER(SEARCH(Classifiers!$E$16,E363)),1,0))+IF(Classifiers!$F$16="",0,IF(ISNUMBER(SEARCH(Classifiers!$F$16,E363)),1,0))+IF(Classifiers!$G$16="",0,IF(ISNUMBER(SEARCH(Classifiers!$G$16,E363)),1,0)))&gt;0,1,0))</f>
        <v/>
      </c>
      <c r="V363" s="12">
        <f>IF(H363&lt;&gt;1,0,IF((IF(Classifiers!$B$17="",0,IF(ISNUMBER(SEARCH(Classifiers!$B$17,E363)),1,0))+IF(Classifiers!$C$17="",0,IF(ISNUMBER(SEARCH(Classifiers!$C$17,E363)),1,0))+IF(Classifiers!$D$17="",0,IF(ISNUMBER(SEARCH(Classifiers!$D$17,E363)),1,0))+IF(Classifiers!$E$17="",0,IF(ISNUMBER(SEARCH(Classifiers!$E$17,E363)),1,0))+IF(Classifiers!$F$17="",0,IF(ISNUMBER(SEARCH(Classifiers!$F$17,E363)),1,0))+IF(Classifiers!$G$17="",0,IF(ISNUMBER(SEARCH(Classifiers!$G$17,E363)),1,0)))&gt;0,1,0))</f>
        <v/>
      </c>
      <c r="W363" s="12">
        <f>IF(H363&lt;&gt;1,0,IF((IF(Classifiers!$B$18="",0,IF(ISNUMBER(SEARCH(Classifiers!$B$18,E363)),1,0))+IF(Classifiers!$C$18="",0,IF(ISNUMBER(SEARCH(Classifiers!$C$18,E363)),1,0))+IF(Classifiers!$D$18="",0,IF(ISNUMBER(SEARCH(Classifiers!$D$18,E363)),1,0))+IF(Classifiers!$E$18="",0,IF(ISNUMBER(SEARCH(Classifiers!$E$18,E363)),1,0))+IF(Classifiers!$F$18="",0,IF(ISNUMBER(SEARCH(Classifiers!$F$18,E363)),1,0))+IF(Classifiers!$G$18="",0,IF(ISNUMBER(SEARCH(Classifiers!$G$18,E363)),1,0)))&gt;0,1,0))</f>
        <v/>
      </c>
    </row>
    <row r="364">
      <c r="A364" s="8" t="n"/>
      <c r="B364" s="11" t="n"/>
      <c r="C364" s="6">
        <f>IF(A364="","",TRIM(RIGHT(SUBSTITUTE(A364,"/",REPT(" ",250)),250)))</f>
        <v/>
      </c>
      <c r="D364" s="6">
        <f>IF(C364="","",IF(ISNUMBER(SEARCH(".",C364)),LOWER("."&amp;TRIM(RIGHT(SUBSTITUTE(C364,".",REPT(" ",250)),250))),""))</f>
        <v/>
      </c>
      <c r="E364" s="6">
        <f>IF(C364="","",TRIM(SUBSTITUTE(SUBSTITUTE(SUBSTITUTE(SUBSTITUTE(SUBSTITUTE(SUBSTITUTE(SUBSTITUTE(SUBSTITUTE(SUBSTITUTE(SUBSTITUTE(SUBSTITUTE(SUBSTITUTE(SUBSTITUTE(SUBSTITUTE(SUBSTITUTE(SUBSTITUTE(SUBSTITUTE(SUBSTITUTE(SUBSTITUTE(SUBSTITUTE(LOWER(LEFT(C364,LEN(C364)-LEN(D364))),"_"," "),"-"," "),"."," "),","," "),"("," "),")"," "),"["," "),"]"," "),"&amp;"," "),"+"," "),"@"," "),"#"," "),"!"," "),"'"," "),"/"," "),":"," "),";"," "),"="," "),"~"," "),"%"," ")))</f>
        <v/>
      </c>
      <c r="F364" s="6">
        <f>IF(C364="","",IF(COUNTIF(Classifiers!$A$23:$A$40,D364)&gt;0,1,0))</f>
        <v/>
      </c>
      <c r="G364" s="6">
        <f>IF(C364="","",IF(COUNTIF(Classifiers!$C$23:$C$30,D364)&gt;0,IF((IF(ISNUMBER(SEARCH(Classifiers!$E$23,E364)),1,0)+IF(ISNUMBER(SEARCH(Classifiers!$E$24,E364)),1,0)+IF(ISNUMBER(SEARCH(Classifiers!$E$25,E364)),1,0)+IF(ISNUMBER(SEARCH(Classifiers!$E$26,E364)),1,0)+IF(ISNUMBER(SEARCH(Classifiers!$E$27,E364)),1,0)+IF(ISNUMBER(SEARCH(Classifiers!$E$28,E364)),1,0)+IF(ISNUMBER(SEARCH(Classifiers!$E$29,E364)),1,0)+IF(ISNUMBER(SEARCH(Classifiers!$E$30,E364)),1,0))&gt;0,1,0),0))</f>
        <v/>
      </c>
      <c r="H364" s="6">
        <f>IF(C364="","",IF(OR(LEFT(C364,1)=".",AND(F364=0,G364=0)),0,1))</f>
        <v/>
      </c>
      <c r="I364" s="6">
        <f>IF(H364&lt;&gt;1,"",IF(SUM(J364:W364)=0,"unclassified",INDEX(Classifiers!$A$5:$A$18,MATCH(1,J364:W364,0),1)))</f>
        <v/>
      </c>
      <c r="J364" s="12">
        <f>IF(H364&lt;&gt;1,0,IF((IF(Classifiers!$B$5="",0,IF(ISNUMBER(SEARCH(Classifiers!$B$5,E364)),1,0))+IF(Classifiers!$C$5="",0,IF(ISNUMBER(SEARCH(Classifiers!$C$5,E364)),1,0))+IF(Classifiers!$D$5="",0,IF(ISNUMBER(SEARCH(Classifiers!$D$5,E364)),1,0))+IF(Classifiers!$E$5="",0,IF(ISNUMBER(SEARCH(Classifiers!$E$5,E364)),1,0))+IF(Classifiers!$F$5="",0,IF(ISNUMBER(SEARCH(Classifiers!$F$5,E364)),1,0))+IF(Classifiers!$G$5="",0,IF(ISNUMBER(SEARCH(Classifiers!$G$5,E364)),1,0)))&gt;0,1,0))</f>
        <v/>
      </c>
      <c r="K364" s="12">
        <f>IF(H364&lt;&gt;1,0,IF((IF(Classifiers!$B$6="",0,IF(ISNUMBER(SEARCH(Classifiers!$B$6,E364)),1,0))+IF(Classifiers!$C$6="",0,IF(ISNUMBER(SEARCH(Classifiers!$C$6,E364)),1,0))+IF(Classifiers!$D$6="",0,IF(ISNUMBER(SEARCH(Classifiers!$D$6,E364)),1,0))+IF(Classifiers!$E$6="",0,IF(ISNUMBER(SEARCH(Classifiers!$E$6,E364)),1,0))+IF(Classifiers!$F$6="",0,IF(ISNUMBER(SEARCH(Classifiers!$F$6,E364)),1,0))+IF(Classifiers!$G$6="",0,IF(ISNUMBER(SEARCH(Classifiers!$G$6,E364)),1,0)))&gt;0,1,0))</f>
        <v/>
      </c>
      <c r="L364" s="12">
        <f>IF(H364&lt;&gt;1,0,IF((IF(Classifiers!$B$7="",0,IF(ISNUMBER(SEARCH(Classifiers!$B$7,E364)),1,0))+IF(Classifiers!$C$7="",0,IF(ISNUMBER(SEARCH(Classifiers!$C$7,E364)),1,0))+IF(Classifiers!$D$7="",0,IF(ISNUMBER(SEARCH(Classifiers!$D$7,E364)),1,0))+IF(Classifiers!$E$7="",0,IF(ISNUMBER(SEARCH(Classifiers!$E$7,E364)),1,0))+IF(Classifiers!$F$7="",0,IF(ISNUMBER(SEARCH(Classifiers!$F$7,E364)),1,0))+IF(Classifiers!$G$7="",0,IF(ISNUMBER(SEARCH(Classifiers!$G$7,E364)),1,0)))&gt;0,1,0))</f>
        <v/>
      </c>
      <c r="M364" s="12">
        <f>IF(H364&lt;&gt;1,0,IF((IF(Classifiers!$B$8="",0,IF(ISNUMBER(SEARCH(Classifiers!$B$8,E364)),1,0))+IF(Classifiers!$C$8="",0,IF(ISNUMBER(SEARCH(Classifiers!$C$8,E364)),1,0))+IF(Classifiers!$D$8="",0,IF(ISNUMBER(SEARCH(Classifiers!$D$8,E364)),1,0))+IF(Classifiers!$E$8="",0,IF(ISNUMBER(SEARCH(Classifiers!$E$8,E364)),1,0))+IF(Classifiers!$F$8="",0,IF(ISNUMBER(SEARCH(Classifiers!$F$8,E364)),1,0))+IF(Classifiers!$G$8="",0,IF(ISNUMBER(SEARCH(Classifiers!$G$8,E364)),1,0)))&gt;0,1,0))</f>
        <v/>
      </c>
      <c r="N364" s="12">
        <f>IF(H364&lt;&gt;1,0,IF((IF(Classifiers!$B$9="",0,IF(ISNUMBER(SEARCH(Classifiers!$B$9,E364)),1,0))+IF(Classifiers!$C$9="",0,IF(ISNUMBER(SEARCH(Classifiers!$C$9,E364)),1,0))+IF(Classifiers!$D$9="",0,IF(ISNUMBER(SEARCH(Classifiers!$D$9,E364)),1,0))+IF(Classifiers!$E$9="",0,IF(ISNUMBER(SEARCH(Classifiers!$E$9,E364)),1,0))+IF(Classifiers!$F$9="",0,IF(ISNUMBER(SEARCH(Classifiers!$F$9,E364)),1,0))+IF(Classifiers!$G$9="",0,IF(ISNUMBER(SEARCH(Classifiers!$G$9,E364)),1,0)))&gt;0,1,0))</f>
        <v/>
      </c>
      <c r="O364" s="12">
        <f>IF(H364&lt;&gt;1,0,IF((IF(Classifiers!$B$10="",0,IF(ISNUMBER(SEARCH(Classifiers!$B$10,E364)),1,0))+IF(Classifiers!$C$10="",0,IF(ISNUMBER(SEARCH(Classifiers!$C$10,E364)),1,0))+IF(Classifiers!$D$10="",0,IF(ISNUMBER(SEARCH(Classifiers!$D$10,E364)),1,0))+IF(Classifiers!$E$10="",0,IF(ISNUMBER(SEARCH(Classifiers!$E$10,E364)),1,0))+IF(Classifiers!$F$10="",0,IF(ISNUMBER(SEARCH(Classifiers!$F$10,E364)),1,0))+IF(Classifiers!$G$10="",0,IF(ISNUMBER(SEARCH(Classifiers!$G$10,E364)),1,0)))&gt;0,1,0))</f>
        <v/>
      </c>
      <c r="P364" s="12">
        <f>IF(H364&lt;&gt;1,0,IF((IF(Classifiers!$B$11="",0,IF(ISNUMBER(SEARCH(Classifiers!$B$11,E364)),1,0))+IF(Classifiers!$C$11="",0,IF(ISNUMBER(SEARCH(Classifiers!$C$11,E364)),1,0))+IF(Classifiers!$D$11="",0,IF(ISNUMBER(SEARCH(Classifiers!$D$11,E364)),1,0))+IF(Classifiers!$E$11="",0,IF(ISNUMBER(SEARCH(Classifiers!$E$11,E364)),1,0))+IF(Classifiers!$F$11="",0,IF(ISNUMBER(SEARCH(Classifiers!$F$11,E364)),1,0))+IF(Classifiers!$G$11="",0,IF(ISNUMBER(SEARCH(Classifiers!$G$11,E364)),1,0)))&gt;0,1,0))</f>
        <v/>
      </c>
      <c r="Q364" s="12">
        <f>IF(H364&lt;&gt;1,0,IF((IF(Classifiers!$B$12="",0,IF(ISNUMBER(SEARCH(Classifiers!$B$12,E364)),1,0))+IF(Classifiers!$C$12="",0,IF(ISNUMBER(SEARCH(Classifiers!$C$12,E364)),1,0))+IF(Classifiers!$D$12="",0,IF(ISNUMBER(SEARCH(Classifiers!$D$12,E364)),1,0))+IF(Classifiers!$E$12="",0,IF(ISNUMBER(SEARCH(Classifiers!$E$12,E364)),1,0))+IF(Classifiers!$F$12="",0,IF(ISNUMBER(SEARCH(Classifiers!$F$12,E364)),1,0))+IF(Classifiers!$G$12="",0,IF(ISNUMBER(SEARCH(Classifiers!$G$12,E364)),1,0)))&gt;0,1,0))</f>
        <v/>
      </c>
      <c r="R364" s="12">
        <f>IF(H364&lt;&gt;1,0,IF((IF(Classifiers!$B$13="",0,IF(ISNUMBER(SEARCH(Classifiers!$B$13,E364)),1,0))+IF(Classifiers!$C$13="",0,IF(ISNUMBER(SEARCH(Classifiers!$C$13,E364)),1,0))+IF(Classifiers!$D$13="",0,IF(ISNUMBER(SEARCH(Classifiers!$D$13,E364)),1,0))+IF(Classifiers!$E$13="",0,IF(ISNUMBER(SEARCH(Classifiers!$E$13,E364)),1,0))+IF(Classifiers!$F$13="",0,IF(ISNUMBER(SEARCH(Classifiers!$F$13,E364)),1,0))+IF(Classifiers!$G$13="",0,IF(ISNUMBER(SEARCH(Classifiers!$G$13,E364)),1,0)))&gt;0,1,0))</f>
        <v/>
      </c>
      <c r="S364" s="12">
        <f>IF(H364&lt;&gt;1,0,IF((IF(Classifiers!$B$14="",0,IF(ISNUMBER(SEARCH(Classifiers!$B$14,E364)),1,0))+IF(Classifiers!$C$14="",0,IF(ISNUMBER(SEARCH(Classifiers!$C$14,E364)),1,0))+IF(Classifiers!$D$14="",0,IF(ISNUMBER(SEARCH(Classifiers!$D$14,E364)),1,0))+IF(Classifiers!$E$14="",0,IF(ISNUMBER(SEARCH(Classifiers!$E$14,E364)),1,0))+IF(Classifiers!$F$14="",0,IF(ISNUMBER(SEARCH(Classifiers!$F$14,E364)),1,0))+IF(Classifiers!$G$14="",0,IF(ISNUMBER(SEARCH(Classifiers!$G$14,E364)),1,0)))&gt;0,1,0))</f>
        <v/>
      </c>
      <c r="T364" s="12">
        <f>IF(H364&lt;&gt;1,0,IF((IF(Classifiers!$B$15="",0,IF(ISNUMBER(SEARCH(Classifiers!$B$15,E364)),1,0))+IF(Classifiers!$C$15="",0,IF(ISNUMBER(SEARCH(Classifiers!$C$15,E364)),1,0))+IF(Classifiers!$D$15="",0,IF(ISNUMBER(SEARCH(Classifiers!$D$15,E364)),1,0))+IF(Classifiers!$E$15="",0,IF(ISNUMBER(SEARCH(Classifiers!$E$15,E364)),1,0))+IF(Classifiers!$F$15="",0,IF(ISNUMBER(SEARCH(Classifiers!$F$15,E364)),1,0))+IF(Classifiers!$G$15="",0,IF(ISNUMBER(SEARCH(Classifiers!$G$15,E364)),1,0)))&gt;0,1,0))</f>
        <v/>
      </c>
      <c r="U364" s="12">
        <f>IF(H364&lt;&gt;1,0,IF((IF(Classifiers!$B$16="",0,IF(ISNUMBER(SEARCH(Classifiers!$B$16,E364)),1,0))+IF(Classifiers!$C$16="",0,IF(ISNUMBER(SEARCH(Classifiers!$C$16,E364)),1,0))+IF(Classifiers!$D$16="",0,IF(ISNUMBER(SEARCH(Classifiers!$D$16,E364)),1,0))+IF(Classifiers!$E$16="",0,IF(ISNUMBER(SEARCH(Classifiers!$E$16,E364)),1,0))+IF(Classifiers!$F$16="",0,IF(ISNUMBER(SEARCH(Classifiers!$F$16,E364)),1,0))+IF(Classifiers!$G$16="",0,IF(ISNUMBER(SEARCH(Classifiers!$G$16,E364)),1,0)))&gt;0,1,0))</f>
        <v/>
      </c>
      <c r="V364" s="12">
        <f>IF(H364&lt;&gt;1,0,IF((IF(Classifiers!$B$17="",0,IF(ISNUMBER(SEARCH(Classifiers!$B$17,E364)),1,0))+IF(Classifiers!$C$17="",0,IF(ISNUMBER(SEARCH(Classifiers!$C$17,E364)),1,0))+IF(Classifiers!$D$17="",0,IF(ISNUMBER(SEARCH(Classifiers!$D$17,E364)),1,0))+IF(Classifiers!$E$17="",0,IF(ISNUMBER(SEARCH(Classifiers!$E$17,E364)),1,0))+IF(Classifiers!$F$17="",0,IF(ISNUMBER(SEARCH(Classifiers!$F$17,E364)),1,0))+IF(Classifiers!$G$17="",0,IF(ISNUMBER(SEARCH(Classifiers!$G$17,E364)),1,0)))&gt;0,1,0))</f>
        <v/>
      </c>
      <c r="W364" s="12">
        <f>IF(H364&lt;&gt;1,0,IF((IF(Classifiers!$B$18="",0,IF(ISNUMBER(SEARCH(Classifiers!$B$18,E364)),1,0))+IF(Classifiers!$C$18="",0,IF(ISNUMBER(SEARCH(Classifiers!$C$18,E364)),1,0))+IF(Classifiers!$D$18="",0,IF(ISNUMBER(SEARCH(Classifiers!$D$18,E364)),1,0))+IF(Classifiers!$E$18="",0,IF(ISNUMBER(SEARCH(Classifiers!$E$18,E364)),1,0))+IF(Classifiers!$F$18="",0,IF(ISNUMBER(SEARCH(Classifiers!$F$18,E364)),1,0))+IF(Classifiers!$G$18="",0,IF(ISNUMBER(SEARCH(Classifiers!$G$18,E364)),1,0)))&gt;0,1,0))</f>
        <v/>
      </c>
    </row>
    <row r="365">
      <c r="A365" s="8" t="n"/>
      <c r="B365" s="11" t="n"/>
      <c r="C365" s="6">
        <f>IF(A365="","",TRIM(RIGHT(SUBSTITUTE(A365,"/",REPT(" ",250)),250)))</f>
        <v/>
      </c>
      <c r="D365" s="6">
        <f>IF(C365="","",IF(ISNUMBER(SEARCH(".",C365)),LOWER("."&amp;TRIM(RIGHT(SUBSTITUTE(C365,".",REPT(" ",250)),250))),""))</f>
        <v/>
      </c>
      <c r="E365" s="6">
        <f>IF(C365="","",TRIM(SUBSTITUTE(SUBSTITUTE(SUBSTITUTE(SUBSTITUTE(SUBSTITUTE(SUBSTITUTE(SUBSTITUTE(SUBSTITUTE(SUBSTITUTE(SUBSTITUTE(SUBSTITUTE(SUBSTITUTE(SUBSTITUTE(SUBSTITUTE(SUBSTITUTE(SUBSTITUTE(SUBSTITUTE(SUBSTITUTE(SUBSTITUTE(SUBSTITUTE(LOWER(LEFT(C365,LEN(C365)-LEN(D365))),"_"," "),"-"," "),"."," "),","," "),"("," "),")"," "),"["," "),"]"," "),"&amp;"," "),"+"," "),"@"," "),"#"," "),"!"," "),"'"," "),"/"," "),":"," "),";"," "),"="," "),"~"," "),"%"," ")))</f>
        <v/>
      </c>
      <c r="F365" s="6">
        <f>IF(C365="","",IF(COUNTIF(Classifiers!$A$23:$A$40,D365)&gt;0,1,0))</f>
        <v/>
      </c>
      <c r="G365" s="6">
        <f>IF(C365="","",IF(COUNTIF(Classifiers!$C$23:$C$30,D365)&gt;0,IF((IF(ISNUMBER(SEARCH(Classifiers!$E$23,E365)),1,0)+IF(ISNUMBER(SEARCH(Classifiers!$E$24,E365)),1,0)+IF(ISNUMBER(SEARCH(Classifiers!$E$25,E365)),1,0)+IF(ISNUMBER(SEARCH(Classifiers!$E$26,E365)),1,0)+IF(ISNUMBER(SEARCH(Classifiers!$E$27,E365)),1,0)+IF(ISNUMBER(SEARCH(Classifiers!$E$28,E365)),1,0)+IF(ISNUMBER(SEARCH(Classifiers!$E$29,E365)),1,0)+IF(ISNUMBER(SEARCH(Classifiers!$E$30,E365)),1,0))&gt;0,1,0),0))</f>
        <v/>
      </c>
      <c r="H365" s="6">
        <f>IF(C365="","",IF(OR(LEFT(C365,1)=".",AND(F365=0,G365=0)),0,1))</f>
        <v/>
      </c>
      <c r="I365" s="6">
        <f>IF(H365&lt;&gt;1,"",IF(SUM(J365:W365)=0,"unclassified",INDEX(Classifiers!$A$5:$A$18,MATCH(1,J365:W365,0),1)))</f>
        <v/>
      </c>
      <c r="J365" s="12">
        <f>IF(H365&lt;&gt;1,0,IF((IF(Classifiers!$B$5="",0,IF(ISNUMBER(SEARCH(Classifiers!$B$5,E365)),1,0))+IF(Classifiers!$C$5="",0,IF(ISNUMBER(SEARCH(Classifiers!$C$5,E365)),1,0))+IF(Classifiers!$D$5="",0,IF(ISNUMBER(SEARCH(Classifiers!$D$5,E365)),1,0))+IF(Classifiers!$E$5="",0,IF(ISNUMBER(SEARCH(Classifiers!$E$5,E365)),1,0))+IF(Classifiers!$F$5="",0,IF(ISNUMBER(SEARCH(Classifiers!$F$5,E365)),1,0))+IF(Classifiers!$G$5="",0,IF(ISNUMBER(SEARCH(Classifiers!$G$5,E365)),1,0)))&gt;0,1,0))</f>
        <v/>
      </c>
      <c r="K365" s="12">
        <f>IF(H365&lt;&gt;1,0,IF((IF(Classifiers!$B$6="",0,IF(ISNUMBER(SEARCH(Classifiers!$B$6,E365)),1,0))+IF(Classifiers!$C$6="",0,IF(ISNUMBER(SEARCH(Classifiers!$C$6,E365)),1,0))+IF(Classifiers!$D$6="",0,IF(ISNUMBER(SEARCH(Classifiers!$D$6,E365)),1,0))+IF(Classifiers!$E$6="",0,IF(ISNUMBER(SEARCH(Classifiers!$E$6,E365)),1,0))+IF(Classifiers!$F$6="",0,IF(ISNUMBER(SEARCH(Classifiers!$F$6,E365)),1,0))+IF(Classifiers!$G$6="",0,IF(ISNUMBER(SEARCH(Classifiers!$G$6,E365)),1,0)))&gt;0,1,0))</f>
        <v/>
      </c>
      <c r="L365" s="12">
        <f>IF(H365&lt;&gt;1,0,IF((IF(Classifiers!$B$7="",0,IF(ISNUMBER(SEARCH(Classifiers!$B$7,E365)),1,0))+IF(Classifiers!$C$7="",0,IF(ISNUMBER(SEARCH(Classifiers!$C$7,E365)),1,0))+IF(Classifiers!$D$7="",0,IF(ISNUMBER(SEARCH(Classifiers!$D$7,E365)),1,0))+IF(Classifiers!$E$7="",0,IF(ISNUMBER(SEARCH(Classifiers!$E$7,E365)),1,0))+IF(Classifiers!$F$7="",0,IF(ISNUMBER(SEARCH(Classifiers!$F$7,E365)),1,0))+IF(Classifiers!$G$7="",0,IF(ISNUMBER(SEARCH(Classifiers!$G$7,E365)),1,0)))&gt;0,1,0))</f>
        <v/>
      </c>
      <c r="M365" s="12">
        <f>IF(H365&lt;&gt;1,0,IF((IF(Classifiers!$B$8="",0,IF(ISNUMBER(SEARCH(Classifiers!$B$8,E365)),1,0))+IF(Classifiers!$C$8="",0,IF(ISNUMBER(SEARCH(Classifiers!$C$8,E365)),1,0))+IF(Classifiers!$D$8="",0,IF(ISNUMBER(SEARCH(Classifiers!$D$8,E365)),1,0))+IF(Classifiers!$E$8="",0,IF(ISNUMBER(SEARCH(Classifiers!$E$8,E365)),1,0))+IF(Classifiers!$F$8="",0,IF(ISNUMBER(SEARCH(Classifiers!$F$8,E365)),1,0))+IF(Classifiers!$G$8="",0,IF(ISNUMBER(SEARCH(Classifiers!$G$8,E365)),1,0)))&gt;0,1,0))</f>
        <v/>
      </c>
      <c r="N365" s="12">
        <f>IF(H365&lt;&gt;1,0,IF((IF(Classifiers!$B$9="",0,IF(ISNUMBER(SEARCH(Classifiers!$B$9,E365)),1,0))+IF(Classifiers!$C$9="",0,IF(ISNUMBER(SEARCH(Classifiers!$C$9,E365)),1,0))+IF(Classifiers!$D$9="",0,IF(ISNUMBER(SEARCH(Classifiers!$D$9,E365)),1,0))+IF(Classifiers!$E$9="",0,IF(ISNUMBER(SEARCH(Classifiers!$E$9,E365)),1,0))+IF(Classifiers!$F$9="",0,IF(ISNUMBER(SEARCH(Classifiers!$F$9,E365)),1,0))+IF(Classifiers!$G$9="",0,IF(ISNUMBER(SEARCH(Classifiers!$G$9,E365)),1,0)))&gt;0,1,0))</f>
        <v/>
      </c>
      <c r="O365" s="12">
        <f>IF(H365&lt;&gt;1,0,IF((IF(Classifiers!$B$10="",0,IF(ISNUMBER(SEARCH(Classifiers!$B$10,E365)),1,0))+IF(Classifiers!$C$10="",0,IF(ISNUMBER(SEARCH(Classifiers!$C$10,E365)),1,0))+IF(Classifiers!$D$10="",0,IF(ISNUMBER(SEARCH(Classifiers!$D$10,E365)),1,0))+IF(Classifiers!$E$10="",0,IF(ISNUMBER(SEARCH(Classifiers!$E$10,E365)),1,0))+IF(Classifiers!$F$10="",0,IF(ISNUMBER(SEARCH(Classifiers!$F$10,E365)),1,0))+IF(Classifiers!$G$10="",0,IF(ISNUMBER(SEARCH(Classifiers!$G$10,E365)),1,0)))&gt;0,1,0))</f>
        <v/>
      </c>
      <c r="P365" s="12">
        <f>IF(H365&lt;&gt;1,0,IF((IF(Classifiers!$B$11="",0,IF(ISNUMBER(SEARCH(Classifiers!$B$11,E365)),1,0))+IF(Classifiers!$C$11="",0,IF(ISNUMBER(SEARCH(Classifiers!$C$11,E365)),1,0))+IF(Classifiers!$D$11="",0,IF(ISNUMBER(SEARCH(Classifiers!$D$11,E365)),1,0))+IF(Classifiers!$E$11="",0,IF(ISNUMBER(SEARCH(Classifiers!$E$11,E365)),1,0))+IF(Classifiers!$F$11="",0,IF(ISNUMBER(SEARCH(Classifiers!$F$11,E365)),1,0))+IF(Classifiers!$G$11="",0,IF(ISNUMBER(SEARCH(Classifiers!$G$11,E365)),1,0)))&gt;0,1,0))</f>
        <v/>
      </c>
      <c r="Q365" s="12">
        <f>IF(H365&lt;&gt;1,0,IF((IF(Classifiers!$B$12="",0,IF(ISNUMBER(SEARCH(Classifiers!$B$12,E365)),1,0))+IF(Classifiers!$C$12="",0,IF(ISNUMBER(SEARCH(Classifiers!$C$12,E365)),1,0))+IF(Classifiers!$D$12="",0,IF(ISNUMBER(SEARCH(Classifiers!$D$12,E365)),1,0))+IF(Classifiers!$E$12="",0,IF(ISNUMBER(SEARCH(Classifiers!$E$12,E365)),1,0))+IF(Classifiers!$F$12="",0,IF(ISNUMBER(SEARCH(Classifiers!$F$12,E365)),1,0))+IF(Classifiers!$G$12="",0,IF(ISNUMBER(SEARCH(Classifiers!$G$12,E365)),1,0)))&gt;0,1,0))</f>
        <v/>
      </c>
      <c r="R365" s="12">
        <f>IF(H365&lt;&gt;1,0,IF((IF(Classifiers!$B$13="",0,IF(ISNUMBER(SEARCH(Classifiers!$B$13,E365)),1,0))+IF(Classifiers!$C$13="",0,IF(ISNUMBER(SEARCH(Classifiers!$C$13,E365)),1,0))+IF(Classifiers!$D$13="",0,IF(ISNUMBER(SEARCH(Classifiers!$D$13,E365)),1,0))+IF(Classifiers!$E$13="",0,IF(ISNUMBER(SEARCH(Classifiers!$E$13,E365)),1,0))+IF(Classifiers!$F$13="",0,IF(ISNUMBER(SEARCH(Classifiers!$F$13,E365)),1,0))+IF(Classifiers!$G$13="",0,IF(ISNUMBER(SEARCH(Classifiers!$G$13,E365)),1,0)))&gt;0,1,0))</f>
        <v/>
      </c>
      <c r="S365" s="12">
        <f>IF(H365&lt;&gt;1,0,IF((IF(Classifiers!$B$14="",0,IF(ISNUMBER(SEARCH(Classifiers!$B$14,E365)),1,0))+IF(Classifiers!$C$14="",0,IF(ISNUMBER(SEARCH(Classifiers!$C$14,E365)),1,0))+IF(Classifiers!$D$14="",0,IF(ISNUMBER(SEARCH(Classifiers!$D$14,E365)),1,0))+IF(Classifiers!$E$14="",0,IF(ISNUMBER(SEARCH(Classifiers!$E$14,E365)),1,0))+IF(Classifiers!$F$14="",0,IF(ISNUMBER(SEARCH(Classifiers!$F$14,E365)),1,0))+IF(Classifiers!$G$14="",0,IF(ISNUMBER(SEARCH(Classifiers!$G$14,E365)),1,0)))&gt;0,1,0))</f>
        <v/>
      </c>
      <c r="T365" s="12">
        <f>IF(H365&lt;&gt;1,0,IF((IF(Classifiers!$B$15="",0,IF(ISNUMBER(SEARCH(Classifiers!$B$15,E365)),1,0))+IF(Classifiers!$C$15="",0,IF(ISNUMBER(SEARCH(Classifiers!$C$15,E365)),1,0))+IF(Classifiers!$D$15="",0,IF(ISNUMBER(SEARCH(Classifiers!$D$15,E365)),1,0))+IF(Classifiers!$E$15="",0,IF(ISNUMBER(SEARCH(Classifiers!$E$15,E365)),1,0))+IF(Classifiers!$F$15="",0,IF(ISNUMBER(SEARCH(Classifiers!$F$15,E365)),1,0))+IF(Classifiers!$G$15="",0,IF(ISNUMBER(SEARCH(Classifiers!$G$15,E365)),1,0)))&gt;0,1,0))</f>
        <v/>
      </c>
      <c r="U365" s="12">
        <f>IF(H365&lt;&gt;1,0,IF((IF(Classifiers!$B$16="",0,IF(ISNUMBER(SEARCH(Classifiers!$B$16,E365)),1,0))+IF(Classifiers!$C$16="",0,IF(ISNUMBER(SEARCH(Classifiers!$C$16,E365)),1,0))+IF(Classifiers!$D$16="",0,IF(ISNUMBER(SEARCH(Classifiers!$D$16,E365)),1,0))+IF(Classifiers!$E$16="",0,IF(ISNUMBER(SEARCH(Classifiers!$E$16,E365)),1,0))+IF(Classifiers!$F$16="",0,IF(ISNUMBER(SEARCH(Classifiers!$F$16,E365)),1,0))+IF(Classifiers!$G$16="",0,IF(ISNUMBER(SEARCH(Classifiers!$G$16,E365)),1,0)))&gt;0,1,0))</f>
        <v/>
      </c>
      <c r="V365" s="12">
        <f>IF(H365&lt;&gt;1,0,IF((IF(Classifiers!$B$17="",0,IF(ISNUMBER(SEARCH(Classifiers!$B$17,E365)),1,0))+IF(Classifiers!$C$17="",0,IF(ISNUMBER(SEARCH(Classifiers!$C$17,E365)),1,0))+IF(Classifiers!$D$17="",0,IF(ISNUMBER(SEARCH(Classifiers!$D$17,E365)),1,0))+IF(Classifiers!$E$17="",0,IF(ISNUMBER(SEARCH(Classifiers!$E$17,E365)),1,0))+IF(Classifiers!$F$17="",0,IF(ISNUMBER(SEARCH(Classifiers!$F$17,E365)),1,0))+IF(Classifiers!$G$17="",0,IF(ISNUMBER(SEARCH(Classifiers!$G$17,E365)),1,0)))&gt;0,1,0))</f>
        <v/>
      </c>
      <c r="W365" s="12">
        <f>IF(H365&lt;&gt;1,0,IF((IF(Classifiers!$B$18="",0,IF(ISNUMBER(SEARCH(Classifiers!$B$18,E365)),1,0))+IF(Classifiers!$C$18="",0,IF(ISNUMBER(SEARCH(Classifiers!$C$18,E365)),1,0))+IF(Classifiers!$D$18="",0,IF(ISNUMBER(SEARCH(Classifiers!$D$18,E365)),1,0))+IF(Classifiers!$E$18="",0,IF(ISNUMBER(SEARCH(Classifiers!$E$18,E365)),1,0))+IF(Classifiers!$F$18="",0,IF(ISNUMBER(SEARCH(Classifiers!$F$18,E365)),1,0))+IF(Classifiers!$G$18="",0,IF(ISNUMBER(SEARCH(Classifiers!$G$18,E365)),1,0)))&gt;0,1,0))</f>
        <v/>
      </c>
    </row>
    <row r="366">
      <c r="A366" s="8" t="n"/>
      <c r="B366" s="11" t="n"/>
      <c r="C366" s="6">
        <f>IF(A366="","",TRIM(RIGHT(SUBSTITUTE(A366,"/",REPT(" ",250)),250)))</f>
        <v/>
      </c>
      <c r="D366" s="6">
        <f>IF(C366="","",IF(ISNUMBER(SEARCH(".",C366)),LOWER("."&amp;TRIM(RIGHT(SUBSTITUTE(C366,".",REPT(" ",250)),250))),""))</f>
        <v/>
      </c>
      <c r="E366" s="6">
        <f>IF(C366="","",TRIM(SUBSTITUTE(SUBSTITUTE(SUBSTITUTE(SUBSTITUTE(SUBSTITUTE(SUBSTITUTE(SUBSTITUTE(SUBSTITUTE(SUBSTITUTE(SUBSTITUTE(SUBSTITUTE(SUBSTITUTE(SUBSTITUTE(SUBSTITUTE(SUBSTITUTE(SUBSTITUTE(SUBSTITUTE(SUBSTITUTE(SUBSTITUTE(SUBSTITUTE(LOWER(LEFT(C366,LEN(C366)-LEN(D366))),"_"," "),"-"," "),"."," "),","," "),"("," "),")"," "),"["," "),"]"," "),"&amp;"," "),"+"," "),"@"," "),"#"," "),"!"," "),"'"," "),"/"," "),":"," "),";"," "),"="," "),"~"," "),"%"," ")))</f>
        <v/>
      </c>
      <c r="F366" s="6">
        <f>IF(C366="","",IF(COUNTIF(Classifiers!$A$23:$A$40,D366)&gt;0,1,0))</f>
        <v/>
      </c>
      <c r="G366" s="6">
        <f>IF(C366="","",IF(COUNTIF(Classifiers!$C$23:$C$30,D366)&gt;0,IF((IF(ISNUMBER(SEARCH(Classifiers!$E$23,E366)),1,0)+IF(ISNUMBER(SEARCH(Classifiers!$E$24,E366)),1,0)+IF(ISNUMBER(SEARCH(Classifiers!$E$25,E366)),1,0)+IF(ISNUMBER(SEARCH(Classifiers!$E$26,E366)),1,0)+IF(ISNUMBER(SEARCH(Classifiers!$E$27,E366)),1,0)+IF(ISNUMBER(SEARCH(Classifiers!$E$28,E366)),1,0)+IF(ISNUMBER(SEARCH(Classifiers!$E$29,E366)),1,0)+IF(ISNUMBER(SEARCH(Classifiers!$E$30,E366)),1,0))&gt;0,1,0),0))</f>
        <v/>
      </c>
      <c r="H366" s="6">
        <f>IF(C366="","",IF(OR(LEFT(C366,1)=".",AND(F366=0,G366=0)),0,1))</f>
        <v/>
      </c>
      <c r="I366" s="6">
        <f>IF(H366&lt;&gt;1,"",IF(SUM(J366:W366)=0,"unclassified",INDEX(Classifiers!$A$5:$A$18,MATCH(1,J366:W366,0),1)))</f>
        <v/>
      </c>
      <c r="J366" s="12">
        <f>IF(H366&lt;&gt;1,0,IF((IF(Classifiers!$B$5="",0,IF(ISNUMBER(SEARCH(Classifiers!$B$5,E366)),1,0))+IF(Classifiers!$C$5="",0,IF(ISNUMBER(SEARCH(Classifiers!$C$5,E366)),1,0))+IF(Classifiers!$D$5="",0,IF(ISNUMBER(SEARCH(Classifiers!$D$5,E366)),1,0))+IF(Classifiers!$E$5="",0,IF(ISNUMBER(SEARCH(Classifiers!$E$5,E366)),1,0))+IF(Classifiers!$F$5="",0,IF(ISNUMBER(SEARCH(Classifiers!$F$5,E366)),1,0))+IF(Classifiers!$G$5="",0,IF(ISNUMBER(SEARCH(Classifiers!$G$5,E366)),1,0)))&gt;0,1,0))</f>
        <v/>
      </c>
      <c r="K366" s="12">
        <f>IF(H366&lt;&gt;1,0,IF((IF(Classifiers!$B$6="",0,IF(ISNUMBER(SEARCH(Classifiers!$B$6,E366)),1,0))+IF(Classifiers!$C$6="",0,IF(ISNUMBER(SEARCH(Classifiers!$C$6,E366)),1,0))+IF(Classifiers!$D$6="",0,IF(ISNUMBER(SEARCH(Classifiers!$D$6,E366)),1,0))+IF(Classifiers!$E$6="",0,IF(ISNUMBER(SEARCH(Classifiers!$E$6,E366)),1,0))+IF(Classifiers!$F$6="",0,IF(ISNUMBER(SEARCH(Classifiers!$F$6,E366)),1,0))+IF(Classifiers!$G$6="",0,IF(ISNUMBER(SEARCH(Classifiers!$G$6,E366)),1,0)))&gt;0,1,0))</f>
        <v/>
      </c>
      <c r="L366" s="12">
        <f>IF(H366&lt;&gt;1,0,IF((IF(Classifiers!$B$7="",0,IF(ISNUMBER(SEARCH(Classifiers!$B$7,E366)),1,0))+IF(Classifiers!$C$7="",0,IF(ISNUMBER(SEARCH(Classifiers!$C$7,E366)),1,0))+IF(Classifiers!$D$7="",0,IF(ISNUMBER(SEARCH(Classifiers!$D$7,E366)),1,0))+IF(Classifiers!$E$7="",0,IF(ISNUMBER(SEARCH(Classifiers!$E$7,E366)),1,0))+IF(Classifiers!$F$7="",0,IF(ISNUMBER(SEARCH(Classifiers!$F$7,E366)),1,0))+IF(Classifiers!$G$7="",0,IF(ISNUMBER(SEARCH(Classifiers!$G$7,E366)),1,0)))&gt;0,1,0))</f>
        <v/>
      </c>
      <c r="M366" s="12">
        <f>IF(H366&lt;&gt;1,0,IF((IF(Classifiers!$B$8="",0,IF(ISNUMBER(SEARCH(Classifiers!$B$8,E366)),1,0))+IF(Classifiers!$C$8="",0,IF(ISNUMBER(SEARCH(Classifiers!$C$8,E366)),1,0))+IF(Classifiers!$D$8="",0,IF(ISNUMBER(SEARCH(Classifiers!$D$8,E366)),1,0))+IF(Classifiers!$E$8="",0,IF(ISNUMBER(SEARCH(Classifiers!$E$8,E366)),1,0))+IF(Classifiers!$F$8="",0,IF(ISNUMBER(SEARCH(Classifiers!$F$8,E366)),1,0))+IF(Classifiers!$G$8="",0,IF(ISNUMBER(SEARCH(Classifiers!$G$8,E366)),1,0)))&gt;0,1,0))</f>
        <v/>
      </c>
      <c r="N366" s="12">
        <f>IF(H366&lt;&gt;1,0,IF((IF(Classifiers!$B$9="",0,IF(ISNUMBER(SEARCH(Classifiers!$B$9,E366)),1,0))+IF(Classifiers!$C$9="",0,IF(ISNUMBER(SEARCH(Classifiers!$C$9,E366)),1,0))+IF(Classifiers!$D$9="",0,IF(ISNUMBER(SEARCH(Classifiers!$D$9,E366)),1,0))+IF(Classifiers!$E$9="",0,IF(ISNUMBER(SEARCH(Classifiers!$E$9,E366)),1,0))+IF(Classifiers!$F$9="",0,IF(ISNUMBER(SEARCH(Classifiers!$F$9,E366)),1,0))+IF(Classifiers!$G$9="",0,IF(ISNUMBER(SEARCH(Classifiers!$G$9,E366)),1,0)))&gt;0,1,0))</f>
        <v/>
      </c>
      <c r="O366" s="12">
        <f>IF(H366&lt;&gt;1,0,IF((IF(Classifiers!$B$10="",0,IF(ISNUMBER(SEARCH(Classifiers!$B$10,E366)),1,0))+IF(Classifiers!$C$10="",0,IF(ISNUMBER(SEARCH(Classifiers!$C$10,E366)),1,0))+IF(Classifiers!$D$10="",0,IF(ISNUMBER(SEARCH(Classifiers!$D$10,E366)),1,0))+IF(Classifiers!$E$10="",0,IF(ISNUMBER(SEARCH(Classifiers!$E$10,E366)),1,0))+IF(Classifiers!$F$10="",0,IF(ISNUMBER(SEARCH(Classifiers!$F$10,E366)),1,0))+IF(Classifiers!$G$10="",0,IF(ISNUMBER(SEARCH(Classifiers!$G$10,E366)),1,0)))&gt;0,1,0))</f>
        <v/>
      </c>
      <c r="P366" s="12">
        <f>IF(H366&lt;&gt;1,0,IF((IF(Classifiers!$B$11="",0,IF(ISNUMBER(SEARCH(Classifiers!$B$11,E366)),1,0))+IF(Classifiers!$C$11="",0,IF(ISNUMBER(SEARCH(Classifiers!$C$11,E366)),1,0))+IF(Classifiers!$D$11="",0,IF(ISNUMBER(SEARCH(Classifiers!$D$11,E366)),1,0))+IF(Classifiers!$E$11="",0,IF(ISNUMBER(SEARCH(Classifiers!$E$11,E366)),1,0))+IF(Classifiers!$F$11="",0,IF(ISNUMBER(SEARCH(Classifiers!$F$11,E366)),1,0))+IF(Classifiers!$G$11="",0,IF(ISNUMBER(SEARCH(Classifiers!$G$11,E366)),1,0)))&gt;0,1,0))</f>
        <v/>
      </c>
      <c r="Q366" s="12">
        <f>IF(H366&lt;&gt;1,0,IF((IF(Classifiers!$B$12="",0,IF(ISNUMBER(SEARCH(Classifiers!$B$12,E366)),1,0))+IF(Classifiers!$C$12="",0,IF(ISNUMBER(SEARCH(Classifiers!$C$12,E366)),1,0))+IF(Classifiers!$D$12="",0,IF(ISNUMBER(SEARCH(Classifiers!$D$12,E366)),1,0))+IF(Classifiers!$E$12="",0,IF(ISNUMBER(SEARCH(Classifiers!$E$12,E366)),1,0))+IF(Classifiers!$F$12="",0,IF(ISNUMBER(SEARCH(Classifiers!$F$12,E366)),1,0))+IF(Classifiers!$G$12="",0,IF(ISNUMBER(SEARCH(Classifiers!$G$12,E366)),1,0)))&gt;0,1,0))</f>
        <v/>
      </c>
      <c r="R366" s="12">
        <f>IF(H366&lt;&gt;1,0,IF((IF(Classifiers!$B$13="",0,IF(ISNUMBER(SEARCH(Classifiers!$B$13,E366)),1,0))+IF(Classifiers!$C$13="",0,IF(ISNUMBER(SEARCH(Classifiers!$C$13,E366)),1,0))+IF(Classifiers!$D$13="",0,IF(ISNUMBER(SEARCH(Classifiers!$D$13,E366)),1,0))+IF(Classifiers!$E$13="",0,IF(ISNUMBER(SEARCH(Classifiers!$E$13,E366)),1,0))+IF(Classifiers!$F$13="",0,IF(ISNUMBER(SEARCH(Classifiers!$F$13,E366)),1,0))+IF(Classifiers!$G$13="",0,IF(ISNUMBER(SEARCH(Classifiers!$G$13,E366)),1,0)))&gt;0,1,0))</f>
        <v/>
      </c>
      <c r="S366" s="12">
        <f>IF(H366&lt;&gt;1,0,IF((IF(Classifiers!$B$14="",0,IF(ISNUMBER(SEARCH(Classifiers!$B$14,E366)),1,0))+IF(Classifiers!$C$14="",0,IF(ISNUMBER(SEARCH(Classifiers!$C$14,E366)),1,0))+IF(Classifiers!$D$14="",0,IF(ISNUMBER(SEARCH(Classifiers!$D$14,E366)),1,0))+IF(Classifiers!$E$14="",0,IF(ISNUMBER(SEARCH(Classifiers!$E$14,E366)),1,0))+IF(Classifiers!$F$14="",0,IF(ISNUMBER(SEARCH(Classifiers!$F$14,E366)),1,0))+IF(Classifiers!$G$14="",0,IF(ISNUMBER(SEARCH(Classifiers!$G$14,E366)),1,0)))&gt;0,1,0))</f>
        <v/>
      </c>
      <c r="T366" s="12">
        <f>IF(H366&lt;&gt;1,0,IF((IF(Classifiers!$B$15="",0,IF(ISNUMBER(SEARCH(Classifiers!$B$15,E366)),1,0))+IF(Classifiers!$C$15="",0,IF(ISNUMBER(SEARCH(Classifiers!$C$15,E366)),1,0))+IF(Classifiers!$D$15="",0,IF(ISNUMBER(SEARCH(Classifiers!$D$15,E366)),1,0))+IF(Classifiers!$E$15="",0,IF(ISNUMBER(SEARCH(Classifiers!$E$15,E366)),1,0))+IF(Classifiers!$F$15="",0,IF(ISNUMBER(SEARCH(Classifiers!$F$15,E366)),1,0))+IF(Classifiers!$G$15="",0,IF(ISNUMBER(SEARCH(Classifiers!$G$15,E366)),1,0)))&gt;0,1,0))</f>
        <v/>
      </c>
      <c r="U366" s="12">
        <f>IF(H366&lt;&gt;1,0,IF((IF(Classifiers!$B$16="",0,IF(ISNUMBER(SEARCH(Classifiers!$B$16,E366)),1,0))+IF(Classifiers!$C$16="",0,IF(ISNUMBER(SEARCH(Classifiers!$C$16,E366)),1,0))+IF(Classifiers!$D$16="",0,IF(ISNUMBER(SEARCH(Classifiers!$D$16,E366)),1,0))+IF(Classifiers!$E$16="",0,IF(ISNUMBER(SEARCH(Classifiers!$E$16,E366)),1,0))+IF(Classifiers!$F$16="",0,IF(ISNUMBER(SEARCH(Classifiers!$F$16,E366)),1,0))+IF(Classifiers!$G$16="",0,IF(ISNUMBER(SEARCH(Classifiers!$G$16,E366)),1,0)))&gt;0,1,0))</f>
        <v/>
      </c>
      <c r="V366" s="12">
        <f>IF(H366&lt;&gt;1,0,IF((IF(Classifiers!$B$17="",0,IF(ISNUMBER(SEARCH(Classifiers!$B$17,E366)),1,0))+IF(Classifiers!$C$17="",0,IF(ISNUMBER(SEARCH(Classifiers!$C$17,E366)),1,0))+IF(Classifiers!$D$17="",0,IF(ISNUMBER(SEARCH(Classifiers!$D$17,E366)),1,0))+IF(Classifiers!$E$17="",0,IF(ISNUMBER(SEARCH(Classifiers!$E$17,E366)),1,0))+IF(Classifiers!$F$17="",0,IF(ISNUMBER(SEARCH(Classifiers!$F$17,E366)),1,0))+IF(Classifiers!$G$17="",0,IF(ISNUMBER(SEARCH(Classifiers!$G$17,E366)),1,0)))&gt;0,1,0))</f>
        <v/>
      </c>
      <c r="W366" s="12">
        <f>IF(H366&lt;&gt;1,0,IF((IF(Classifiers!$B$18="",0,IF(ISNUMBER(SEARCH(Classifiers!$B$18,E366)),1,0))+IF(Classifiers!$C$18="",0,IF(ISNUMBER(SEARCH(Classifiers!$C$18,E366)),1,0))+IF(Classifiers!$D$18="",0,IF(ISNUMBER(SEARCH(Classifiers!$D$18,E366)),1,0))+IF(Classifiers!$E$18="",0,IF(ISNUMBER(SEARCH(Classifiers!$E$18,E366)),1,0))+IF(Classifiers!$F$18="",0,IF(ISNUMBER(SEARCH(Classifiers!$F$18,E366)),1,0))+IF(Classifiers!$G$18="",0,IF(ISNUMBER(SEARCH(Classifiers!$G$18,E366)),1,0)))&gt;0,1,0))</f>
        <v/>
      </c>
    </row>
    <row r="367">
      <c r="A367" s="8" t="n"/>
      <c r="B367" s="11" t="n"/>
      <c r="C367" s="6">
        <f>IF(A367="","",TRIM(RIGHT(SUBSTITUTE(A367,"/",REPT(" ",250)),250)))</f>
        <v/>
      </c>
      <c r="D367" s="6">
        <f>IF(C367="","",IF(ISNUMBER(SEARCH(".",C367)),LOWER("."&amp;TRIM(RIGHT(SUBSTITUTE(C367,".",REPT(" ",250)),250))),""))</f>
        <v/>
      </c>
      <c r="E367" s="6">
        <f>IF(C367="","",TRIM(SUBSTITUTE(SUBSTITUTE(SUBSTITUTE(SUBSTITUTE(SUBSTITUTE(SUBSTITUTE(SUBSTITUTE(SUBSTITUTE(SUBSTITUTE(SUBSTITUTE(SUBSTITUTE(SUBSTITUTE(SUBSTITUTE(SUBSTITUTE(SUBSTITUTE(SUBSTITUTE(SUBSTITUTE(SUBSTITUTE(SUBSTITUTE(SUBSTITUTE(LOWER(LEFT(C367,LEN(C367)-LEN(D367))),"_"," "),"-"," "),"."," "),","," "),"("," "),")"," "),"["," "),"]"," "),"&amp;"," "),"+"," "),"@"," "),"#"," "),"!"," "),"'"," "),"/"," "),":"," "),";"," "),"="," "),"~"," "),"%"," ")))</f>
        <v/>
      </c>
      <c r="F367" s="6">
        <f>IF(C367="","",IF(COUNTIF(Classifiers!$A$23:$A$40,D367)&gt;0,1,0))</f>
        <v/>
      </c>
      <c r="G367" s="6">
        <f>IF(C367="","",IF(COUNTIF(Classifiers!$C$23:$C$30,D367)&gt;0,IF((IF(ISNUMBER(SEARCH(Classifiers!$E$23,E367)),1,0)+IF(ISNUMBER(SEARCH(Classifiers!$E$24,E367)),1,0)+IF(ISNUMBER(SEARCH(Classifiers!$E$25,E367)),1,0)+IF(ISNUMBER(SEARCH(Classifiers!$E$26,E367)),1,0)+IF(ISNUMBER(SEARCH(Classifiers!$E$27,E367)),1,0)+IF(ISNUMBER(SEARCH(Classifiers!$E$28,E367)),1,0)+IF(ISNUMBER(SEARCH(Classifiers!$E$29,E367)),1,0)+IF(ISNUMBER(SEARCH(Classifiers!$E$30,E367)),1,0))&gt;0,1,0),0))</f>
        <v/>
      </c>
      <c r="H367" s="6">
        <f>IF(C367="","",IF(OR(LEFT(C367,1)=".",AND(F367=0,G367=0)),0,1))</f>
        <v/>
      </c>
      <c r="I367" s="6">
        <f>IF(H367&lt;&gt;1,"",IF(SUM(J367:W367)=0,"unclassified",INDEX(Classifiers!$A$5:$A$18,MATCH(1,J367:W367,0),1)))</f>
        <v/>
      </c>
      <c r="J367" s="12">
        <f>IF(H367&lt;&gt;1,0,IF((IF(Classifiers!$B$5="",0,IF(ISNUMBER(SEARCH(Classifiers!$B$5,E367)),1,0))+IF(Classifiers!$C$5="",0,IF(ISNUMBER(SEARCH(Classifiers!$C$5,E367)),1,0))+IF(Classifiers!$D$5="",0,IF(ISNUMBER(SEARCH(Classifiers!$D$5,E367)),1,0))+IF(Classifiers!$E$5="",0,IF(ISNUMBER(SEARCH(Classifiers!$E$5,E367)),1,0))+IF(Classifiers!$F$5="",0,IF(ISNUMBER(SEARCH(Classifiers!$F$5,E367)),1,0))+IF(Classifiers!$G$5="",0,IF(ISNUMBER(SEARCH(Classifiers!$G$5,E367)),1,0)))&gt;0,1,0))</f>
        <v/>
      </c>
      <c r="K367" s="12">
        <f>IF(H367&lt;&gt;1,0,IF((IF(Classifiers!$B$6="",0,IF(ISNUMBER(SEARCH(Classifiers!$B$6,E367)),1,0))+IF(Classifiers!$C$6="",0,IF(ISNUMBER(SEARCH(Classifiers!$C$6,E367)),1,0))+IF(Classifiers!$D$6="",0,IF(ISNUMBER(SEARCH(Classifiers!$D$6,E367)),1,0))+IF(Classifiers!$E$6="",0,IF(ISNUMBER(SEARCH(Classifiers!$E$6,E367)),1,0))+IF(Classifiers!$F$6="",0,IF(ISNUMBER(SEARCH(Classifiers!$F$6,E367)),1,0))+IF(Classifiers!$G$6="",0,IF(ISNUMBER(SEARCH(Classifiers!$G$6,E367)),1,0)))&gt;0,1,0))</f>
        <v/>
      </c>
      <c r="L367" s="12">
        <f>IF(H367&lt;&gt;1,0,IF((IF(Classifiers!$B$7="",0,IF(ISNUMBER(SEARCH(Classifiers!$B$7,E367)),1,0))+IF(Classifiers!$C$7="",0,IF(ISNUMBER(SEARCH(Classifiers!$C$7,E367)),1,0))+IF(Classifiers!$D$7="",0,IF(ISNUMBER(SEARCH(Classifiers!$D$7,E367)),1,0))+IF(Classifiers!$E$7="",0,IF(ISNUMBER(SEARCH(Classifiers!$E$7,E367)),1,0))+IF(Classifiers!$F$7="",0,IF(ISNUMBER(SEARCH(Classifiers!$F$7,E367)),1,0))+IF(Classifiers!$G$7="",0,IF(ISNUMBER(SEARCH(Classifiers!$G$7,E367)),1,0)))&gt;0,1,0))</f>
        <v/>
      </c>
      <c r="M367" s="12">
        <f>IF(H367&lt;&gt;1,0,IF((IF(Classifiers!$B$8="",0,IF(ISNUMBER(SEARCH(Classifiers!$B$8,E367)),1,0))+IF(Classifiers!$C$8="",0,IF(ISNUMBER(SEARCH(Classifiers!$C$8,E367)),1,0))+IF(Classifiers!$D$8="",0,IF(ISNUMBER(SEARCH(Classifiers!$D$8,E367)),1,0))+IF(Classifiers!$E$8="",0,IF(ISNUMBER(SEARCH(Classifiers!$E$8,E367)),1,0))+IF(Classifiers!$F$8="",0,IF(ISNUMBER(SEARCH(Classifiers!$F$8,E367)),1,0))+IF(Classifiers!$G$8="",0,IF(ISNUMBER(SEARCH(Classifiers!$G$8,E367)),1,0)))&gt;0,1,0))</f>
        <v/>
      </c>
      <c r="N367" s="12">
        <f>IF(H367&lt;&gt;1,0,IF((IF(Classifiers!$B$9="",0,IF(ISNUMBER(SEARCH(Classifiers!$B$9,E367)),1,0))+IF(Classifiers!$C$9="",0,IF(ISNUMBER(SEARCH(Classifiers!$C$9,E367)),1,0))+IF(Classifiers!$D$9="",0,IF(ISNUMBER(SEARCH(Classifiers!$D$9,E367)),1,0))+IF(Classifiers!$E$9="",0,IF(ISNUMBER(SEARCH(Classifiers!$E$9,E367)),1,0))+IF(Classifiers!$F$9="",0,IF(ISNUMBER(SEARCH(Classifiers!$F$9,E367)),1,0))+IF(Classifiers!$G$9="",0,IF(ISNUMBER(SEARCH(Classifiers!$G$9,E367)),1,0)))&gt;0,1,0))</f>
        <v/>
      </c>
      <c r="O367" s="12">
        <f>IF(H367&lt;&gt;1,0,IF((IF(Classifiers!$B$10="",0,IF(ISNUMBER(SEARCH(Classifiers!$B$10,E367)),1,0))+IF(Classifiers!$C$10="",0,IF(ISNUMBER(SEARCH(Classifiers!$C$10,E367)),1,0))+IF(Classifiers!$D$10="",0,IF(ISNUMBER(SEARCH(Classifiers!$D$10,E367)),1,0))+IF(Classifiers!$E$10="",0,IF(ISNUMBER(SEARCH(Classifiers!$E$10,E367)),1,0))+IF(Classifiers!$F$10="",0,IF(ISNUMBER(SEARCH(Classifiers!$F$10,E367)),1,0))+IF(Classifiers!$G$10="",0,IF(ISNUMBER(SEARCH(Classifiers!$G$10,E367)),1,0)))&gt;0,1,0))</f>
        <v/>
      </c>
      <c r="P367" s="12">
        <f>IF(H367&lt;&gt;1,0,IF((IF(Classifiers!$B$11="",0,IF(ISNUMBER(SEARCH(Classifiers!$B$11,E367)),1,0))+IF(Classifiers!$C$11="",0,IF(ISNUMBER(SEARCH(Classifiers!$C$11,E367)),1,0))+IF(Classifiers!$D$11="",0,IF(ISNUMBER(SEARCH(Classifiers!$D$11,E367)),1,0))+IF(Classifiers!$E$11="",0,IF(ISNUMBER(SEARCH(Classifiers!$E$11,E367)),1,0))+IF(Classifiers!$F$11="",0,IF(ISNUMBER(SEARCH(Classifiers!$F$11,E367)),1,0))+IF(Classifiers!$G$11="",0,IF(ISNUMBER(SEARCH(Classifiers!$G$11,E367)),1,0)))&gt;0,1,0))</f>
        <v/>
      </c>
      <c r="Q367" s="12">
        <f>IF(H367&lt;&gt;1,0,IF((IF(Classifiers!$B$12="",0,IF(ISNUMBER(SEARCH(Classifiers!$B$12,E367)),1,0))+IF(Classifiers!$C$12="",0,IF(ISNUMBER(SEARCH(Classifiers!$C$12,E367)),1,0))+IF(Classifiers!$D$12="",0,IF(ISNUMBER(SEARCH(Classifiers!$D$12,E367)),1,0))+IF(Classifiers!$E$12="",0,IF(ISNUMBER(SEARCH(Classifiers!$E$12,E367)),1,0))+IF(Classifiers!$F$12="",0,IF(ISNUMBER(SEARCH(Classifiers!$F$12,E367)),1,0))+IF(Classifiers!$G$12="",0,IF(ISNUMBER(SEARCH(Classifiers!$G$12,E367)),1,0)))&gt;0,1,0))</f>
        <v/>
      </c>
      <c r="R367" s="12">
        <f>IF(H367&lt;&gt;1,0,IF((IF(Classifiers!$B$13="",0,IF(ISNUMBER(SEARCH(Classifiers!$B$13,E367)),1,0))+IF(Classifiers!$C$13="",0,IF(ISNUMBER(SEARCH(Classifiers!$C$13,E367)),1,0))+IF(Classifiers!$D$13="",0,IF(ISNUMBER(SEARCH(Classifiers!$D$13,E367)),1,0))+IF(Classifiers!$E$13="",0,IF(ISNUMBER(SEARCH(Classifiers!$E$13,E367)),1,0))+IF(Classifiers!$F$13="",0,IF(ISNUMBER(SEARCH(Classifiers!$F$13,E367)),1,0))+IF(Classifiers!$G$13="",0,IF(ISNUMBER(SEARCH(Classifiers!$G$13,E367)),1,0)))&gt;0,1,0))</f>
        <v/>
      </c>
      <c r="S367" s="12">
        <f>IF(H367&lt;&gt;1,0,IF((IF(Classifiers!$B$14="",0,IF(ISNUMBER(SEARCH(Classifiers!$B$14,E367)),1,0))+IF(Classifiers!$C$14="",0,IF(ISNUMBER(SEARCH(Classifiers!$C$14,E367)),1,0))+IF(Classifiers!$D$14="",0,IF(ISNUMBER(SEARCH(Classifiers!$D$14,E367)),1,0))+IF(Classifiers!$E$14="",0,IF(ISNUMBER(SEARCH(Classifiers!$E$14,E367)),1,0))+IF(Classifiers!$F$14="",0,IF(ISNUMBER(SEARCH(Classifiers!$F$14,E367)),1,0))+IF(Classifiers!$G$14="",0,IF(ISNUMBER(SEARCH(Classifiers!$G$14,E367)),1,0)))&gt;0,1,0))</f>
        <v/>
      </c>
      <c r="T367" s="12">
        <f>IF(H367&lt;&gt;1,0,IF((IF(Classifiers!$B$15="",0,IF(ISNUMBER(SEARCH(Classifiers!$B$15,E367)),1,0))+IF(Classifiers!$C$15="",0,IF(ISNUMBER(SEARCH(Classifiers!$C$15,E367)),1,0))+IF(Classifiers!$D$15="",0,IF(ISNUMBER(SEARCH(Classifiers!$D$15,E367)),1,0))+IF(Classifiers!$E$15="",0,IF(ISNUMBER(SEARCH(Classifiers!$E$15,E367)),1,0))+IF(Classifiers!$F$15="",0,IF(ISNUMBER(SEARCH(Classifiers!$F$15,E367)),1,0))+IF(Classifiers!$G$15="",0,IF(ISNUMBER(SEARCH(Classifiers!$G$15,E367)),1,0)))&gt;0,1,0))</f>
        <v/>
      </c>
      <c r="U367" s="12">
        <f>IF(H367&lt;&gt;1,0,IF((IF(Classifiers!$B$16="",0,IF(ISNUMBER(SEARCH(Classifiers!$B$16,E367)),1,0))+IF(Classifiers!$C$16="",0,IF(ISNUMBER(SEARCH(Classifiers!$C$16,E367)),1,0))+IF(Classifiers!$D$16="",0,IF(ISNUMBER(SEARCH(Classifiers!$D$16,E367)),1,0))+IF(Classifiers!$E$16="",0,IF(ISNUMBER(SEARCH(Classifiers!$E$16,E367)),1,0))+IF(Classifiers!$F$16="",0,IF(ISNUMBER(SEARCH(Classifiers!$F$16,E367)),1,0))+IF(Classifiers!$G$16="",0,IF(ISNUMBER(SEARCH(Classifiers!$G$16,E367)),1,0)))&gt;0,1,0))</f>
        <v/>
      </c>
      <c r="V367" s="12">
        <f>IF(H367&lt;&gt;1,0,IF((IF(Classifiers!$B$17="",0,IF(ISNUMBER(SEARCH(Classifiers!$B$17,E367)),1,0))+IF(Classifiers!$C$17="",0,IF(ISNUMBER(SEARCH(Classifiers!$C$17,E367)),1,0))+IF(Classifiers!$D$17="",0,IF(ISNUMBER(SEARCH(Classifiers!$D$17,E367)),1,0))+IF(Classifiers!$E$17="",0,IF(ISNUMBER(SEARCH(Classifiers!$E$17,E367)),1,0))+IF(Classifiers!$F$17="",0,IF(ISNUMBER(SEARCH(Classifiers!$F$17,E367)),1,0))+IF(Classifiers!$G$17="",0,IF(ISNUMBER(SEARCH(Classifiers!$G$17,E367)),1,0)))&gt;0,1,0))</f>
        <v/>
      </c>
      <c r="W367" s="12">
        <f>IF(H367&lt;&gt;1,0,IF((IF(Classifiers!$B$18="",0,IF(ISNUMBER(SEARCH(Classifiers!$B$18,E367)),1,0))+IF(Classifiers!$C$18="",0,IF(ISNUMBER(SEARCH(Classifiers!$C$18,E367)),1,0))+IF(Classifiers!$D$18="",0,IF(ISNUMBER(SEARCH(Classifiers!$D$18,E367)),1,0))+IF(Classifiers!$E$18="",0,IF(ISNUMBER(SEARCH(Classifiers!$E$18,E367)),1,0))+IF(Classifiers!$F$18="",0,IF(ISNUMBER(SEARCH(Classifiers!$F$18,E367)),1,0))+IF(Classifiers!$G$18="",0,IF(ISNUMBER(SEARCH(Classifiers!$G$18,E367)),1,0)))&gt;0,1,0))</f>
        <v/>
      </c>
    </row>
    <row r="368">
      <c r="A368" s="8" t="n"/>
      <c r="B368" s="11" t="n"/>
      <c r="C368" s="6">
        <f>IF(A368="","",TRIM(RIGHT(SUBSTITUTE(A368,"/",REPT(" ",250)),250)))</f>
        <v/>
      </c>
      <c r="D368" s="6">
        <f>IF(C368="","",IF(ISNUMBER(SEARCH(".",C368)),LOWER("."&amp;TRIM(RIGHT(SUBSTITUTE(C368,".",REPT(" ",250)),250))),""))</f>
        <v/>
      </c>
      <c r="E368" s="6">
        <f>IF(C368="","",TRIM(SUBSTITUTE(SUBSTITUTE(SUBSTITUTE(SUBSTITUTE(SUBSTITUTE(SUBSTITUTE(SUBSTITUTE(SUBSTITUTE(SUBSTITUTE(SUBSTITUTE(SUBSTITUTE(SUBSTITUTE(SUBSTITUTE(SUBSTITUTE(SUBSTITUTE(SUBSTITUTE(SUBSTITUTE(SUBSTITUTE(SUBSTITUTE(SUBSTITUTE(LOWER(LEFT(C368,LEN(C368)-LEN(D368))),"_"," "),"-"," "),"."," "),","," "),"("," "),")"," "),"["," "),"]"," "),"&amp;"," "),"+"," "),"@"," "),"#"," "),"!"," "),"'"," "),"/"," "),":"," "),";"," "),"="," "),"~"," "),"%"," ")))</f>
        <v/>
      </c>
      <c r="F368" s="6">
        <f>IF(C368="","",IF(COUNTIF(Classifiers!$A$23:$A$40,D368)&gt;0,1,0))</f>
        <v/>
      </c>
      <c r="G368" s="6">
        <f>IF(C368="","",IF(COUNTIF(Classifiers!$C$23:$C$30,D368)&gt;0,IF((IF(ISNUMBER(SEARCH(Classifiers!$E$23,E368)),1,0)+IF(ISNUMBER(SEARCH(Classifiers!$E$24,E368)),1,0)+IF(ISNUMBER(SEARCH(Classifiers!$E$25,E368)),1,0)+IF(ISNUMBER(SEARCH(Classifiers!$E$26,E368)),1,0)+IF(ISNUMBER(SEARCH(Classifiers!$E$27,E368)),1,0)+IF(ISNUMBER(SEARCH(Classifiers!$E$28,E368)),1,0)+IF(ISNUMBER(SEARCH(Classifiers!$E$29,E368)),1,0)+IF(ISNUMBER(SEARCH(Classifiers!$E$30,E368)),1,0))&gt;0,1,0),0))</f>
        <v/>
      </c>
      <c r="H368" s="6">
        <f>IF(C368="","",IF(OR(LEFT(C368,1)=".",AND(F368=0,G368=0)),0,1))</f>
        <v/>
      </c>
      <c r="I368" s="6">
        <f>IF(H368&lt;&gt;1,"",IF(SUM(J368:W368)=0,"unclassified",INDEX(Classifiers!$A$5:$A$18,MATCH(1,J368:W368,0),1)))</f>
        <v/>
      </c>
      <c r="J368" s="12">
        <f>IF(H368&lt;&gt;1,0,IF((IF(Classifiers!$B$5="",0,IF(ISNUMBER(SEARCH(Classifiers!$B$5,E368)),1,0))+IF(Classifiers!$C$5="",0,IF(ISNUMBER(SEARCH(Classifiers!$C$5,E368)),1,0))+IF(Classifiers!$D$5="",0,IF(ISNUMBER(SEARCH(Classifiers!$D$5,E368)),1,0))+IF(Classifiers!$E$5="",0,IF(ISNUMBER(SEARCH(Classifiers!$E$5,E368)),1,0))+IF(Classifiers!$F$5="",0,IF(ISNUMBER(SEARCH(Classifiers!$F$5,E368)),1,0))+IF(Classifiers!$G$5="",0,IF(ISNUMBER(SEARCH(Classifiers!$G$5,E368)),1,0)))&gt;0,1,0))</f>
        <v/>
      </c>
      <c r="K368" s="12">
        <f>IF(H368&lt;&gt;1,0,IF((IF(Classifiers!$B$6="",0,IF(ISNUMBER(SEARCH(Classifiers!$B$6,E368)),1,0))+IF(Classifiers!$C$6="",0,IF(ISNUMBER(SEARCH(Classifiers!$C$6,E368)),1,0))+IF(Classifiers!$D$6="",0,IF(ISNUMBER(SEARCH(Classifiers!$D$6,E368)),1,0))+IF(Classifiers!$E$6="",0,IF(ISNUMBER(SEARCH(Classifiers!$E$6,E368)),1,0))+IF(Classifiers!$F$6="",0,IF(ISNUMBER(SEARCH(Classifiers!$F$6,E368)),1,0))+IF(Classifiers!$G$6="",0,IF(ISNUMBER(SEARCH(Classifiers!$G$6,E368)),1,0)))&gt;0,1,0))</f>
        <v/>
      </c>
      <c r="L368" s="12">
        <f>IF(H368&lt;&gt;1,0,IF((IF(Classifiers!$B$7="",0,IF(ISNUMBER(SEARCH(Classifiers!$B$7,E368)),1,0))+IF(Classifiers!$C$7="",0,IF(ISNUMBER(SEARCH(Classifiers!$C$7,E368)),1,0))+IF(Classifiers!$D$7="",0,IF(ISNUMBER(SEARCH(Classifiers!$D$7,E368)),1,0))+IF(Classifiers!$E$7="",0,IF(ISNUMBER(SEARCH(Classifiers!$E$7,E368)),1,0))+IF(Classifiers!$F$7="",0,IF(ISNUMBER(SEARCH(Classifiers!$F$7,E368)),1,0))+IF(Classifiers!$G$7="",0,IF(ISNUMBER(SEARCH(Classifiers!$G$7,E368)),1,0)))&gt;0,1,0))</f>
        <v/>
      </c>
      <c r="M368" s="12">
        <f>IF(H368&lt;&gt;1,0,IF((IF(Classifiers!$B$8="",0,IF(ISNUMBER(SEARCH(Classifiers!$B$8,E368)),1,0))+IF(Classifiers!$C$8="",0,IF(ISNUMBER(SEARCH(Classifiers!$C$8,E368)),1,0))+IF(Classifiers!$D$8="",0,IF(ISNUMBER(SEARCH(Classifiers!$D$8,E368)),1,0))+IF(Classifiers!$E$8="",0,IF(ISNUMBER(SEARCH(Classifiers!$E$8,E368)),1,0))+IF(Classifiers!$F$8="",0,IF(ISNUMBER(SEARCH(Classifiers!$F$8,E368)),1,0))+IF(Classifiers!$G$8="",0,IF(ISNUMBER(SEARCH(Classifiers!$G$8,E368)),1,0)))&gt;0,1,0))</f>
        <v/>
      </c>
      <c r="N368" s="12">
        <f>IF(H368&lt;&gt;1,0,IF((IF(Classifiers!$B$9="",0,IF(ISNUMBER(SEARCH(Classifiers!$B$9,E368)),1,0))+IF(Classifiers!$C$9="",0,IF(ISNUMBER(SEARCH(Classifiers!$C$9,E368)),1,0))+IF(Classifiers!$D$9="",0,IF(ISNUMBER(SEARCH(Classifiers!$D$9,E368)),1,0))+IF(Classifiers!$E$9="",0,IF(ISNUMBER(SEARCH(Classifiers!$E$9,E368)),1,0))+IF(Classifiers!$F$9="",0,IF(ISNUMBER(SEARCH(Classifiers!$F$9,E368)),1,0))+IF(Classifiers!$G$9="",0,IF(ISNUMBER(SEARCH(Classifiers!$G$9,E368)),1,0)))&gt;0,1,0))</f>
        <v/>
      </c>
      <c r="O368" s="12">
        <f>IF(H368&lt;&gt;1,0,IF((IF(Classifiers!$B$10="",0,IF(ISNUMBER(SEARCH(Classifiers!$B$10,E368)),1,0))+IF(Classifiers!$C$10="",0,IF(ISNUMBER(SEARCH(Classifiers!$C$10,E368)),1,0))+IF(Classifiers!$D$10="",0,IF(ISNUMBER(SEARCH(Classifiers!$D$10,E368)),1,0))+IF(Classifiers!$E$10="",0,IF(ISNUMBER(SEARCH(Classifiers!$E$10,E368)),1,0))+IF(Classifiers!$F$10="",0,IF(ISNUMBER(SEARCH(Classifiers!$F$10,E368)),1,0))+IF(Classifiers!$G$10="",0,IF(ISNUMBER(SEARCH(Classifiers!$G$10,E368)),1,0)))&gt;0,1,0))</f>
        <v/>
      </c>
      <c r="P368" s="12">
        <f>IF(H368&lt;&gt;1,0,IF((IF(Classifiers!$B$11="",0,IF(ISNUMBER(SEARCH(Classifiers!$B$11,E368)),1,0))+IF(Classifiers!$C$11="",0,IF(ISNUMBER(SEARCH(Classifiers!$C$11,E368)),1,0))+IF(Classifiers!$D$11="",0,IF(ISNUMBER(SEARCH(Classifiers!$D$11,E368)),1,0))+IF(Classifiers!$E$11="",0,IF(ISNUMBER(SEARCH(Classifiers!$E$11,E368)),1,0))+IF(Classifiers!$F$11="",0,IF(ISNUMBER(SEARCH(Classifiers!$F$11,E368)),1,0))+IF(Classifiers!$G$11="",0,IF(ISNUMBER(SEARCH(Classifiers!$G$11,E368)),1,0)))&gt;0,1,0))</f>
        <v/>
      </c>
      <c r="Q368" s="12">
        <f>IF(H368&lt;&gt;1,0,IF((IF(Classifiers!$B$12="",0,IF(ISNUMBER(SEARCH(Classifiers!$B$12,E368)),1,0))+IF(Classifiers!$C$12="",0,IF(ISNUMBER(SEARCH(Classifiers!$C$12,E368)),1,0))+IF(Classifiers!$D$12="",0,IF(ISNUMBER(SEARCH(Classifiers!$D$12,E368)),1,0))+IF(Classifiers!$E$12="",0,IF(ISNUMBER(SEARCH(Classifiers!$E$12,E368)),1,0))+IF(Classifiers!$F$12="",0,IF(ISNUMBER(SEARCH(Classifiers!$F$12,E368)),1,0))+IF(Classifiers!$G$12="",0,IF(ISNUMBER(SEARCH(Classifiers!$G$12,E368)),1,0)))&gt;0,1,0))</f>
        <v/>
      </c>
      <c r="R368" s="12">
        <f>IF(H368&lt;&gt;1,0,IF((IF(Classifiers!$B$13="",0,IF(ISNUMBER(SEARCH(Classifiers!$B$13,E368)),1,0))+IF(Classifiers!$C$13="",0,IF(ISNUMBER(SEARCH(Classifiers!$C$13,E368)),1,0))+IF(Classifiers!$D$13="",0,IF(ISNUMBER(SEARCH(Classifiers!$D$13,E368)),1,0))+IF(Classifiers!$E$13="",0,IF(ISNUMBER(SEARCH(Classifiers!$E$13,E368)),1,0))+IF(Classifiers!$F$13="",0,IF(ISNUMBER(SEARCH(Classifiers!$F$13,E368)),1,0))+IF(Classifiers!$G$13="",0,IF(ISNUMBER(SEARCH(Classifiers!$G$13,E368)),1,0)))&gt;0,1,0))</f>
        <v/>
      </c>
      <c r="S368" s="12">
        <f>IF(H368&lt;&gt;1,0,IF((IF(Classifiers!$B$14="",0,IF(ISNUMBER(SEARCH(Classifiers!$B$14,E368)),1,0))+IF(Classifiers!$C$14="",0,IF(ISNUMBER(SEARCH(Classifiers!$C$14,E368)),1,0))+IF(Classifiers!$D$14="",0,IF(ISNUMBER(SEARCH(Classifiers!$D$14,E368)),1,0))+IF(Classifiers!$E$14="",0,IF(ISNUMBER(SEARCH(Classifiers!$E$14,E368)),1,0))+IF(Classifiers!$F$14="",0,IF(ISNUMBER(SEARCH(Classifiers!$F$14,E368)),1,0))+IF(Classifiers!$G$14="",0,IF(ISNUMBER(SEARCH(Classifiers!$G$14,E368)),1,0)))&gt;0,1,0))</f>
        <v/>
      </c>
      <c r="T368" s="12">
        <f>IF(H368&lt;&gt;1,0,IF((IF(Classifiers!$B$15="",0,IF(ISNUMBER(SEARCH(Classifiers!$B$15,E368)),1,0))+IF(Classifiers!$C$15="",0,IF(ISNUMBER(SEARCH(Classifiers!$C$15,E368)),1,0))+IF(Classifiers!$D$15="",0,IF(ISNUMBER(SEARCH(Classifiers!$D$15,E368)),1,0))+IF(Classifiers!$E$15="",0,IF(ISNUMBER(SEARCH(Classifiers!$E$15,E368)),1,0))+IF(Classifiers!$F$15="",0,IF(ISNUMBER(SEARCH(Classifiers!$F$15,E368)),1,0))+IF(Classifiers!$G$15="",0,IF(ISNUMBER(SEARCH(Classifiers!$G$15,E368)),1,0)))&gt;0,1,0))</f>
        <v/>
      </c>
      <c r="U368" s="12">
        <f>IF(H368&lt;&gt;1,0,IF((IF(Classifiers!$B$16="",0,IF(ISNUMBER(SEARCH(Classifiers!$B$16,E368)),1,0))+IF(Classifiers!$C$16="",0,IF(ISNUMBER(SEARCH(Classifiers!$C$16,E368)),1,0))+IF(Classifiers!$D$16="",0,IF(ISNUMBER(SEARCH(Classifiers!$D$16,E368)),1,0))+IF(Classifiers!$E$16="",0,IF(ISNUMBER(SEARCH(Classifiers!$E$16,E368)),1,0))+IF(Classifiers!$F$16="",0,IF(ISNUMBER(SEARCH(Classifiers!$F$16,E368)),1,0))+IF(Classifiers!$G$16="",0,IF(ISNUMBER(SEARCH(Classifiers!$G$16,E368)),1,0)))&gt;0,1,0))</f>
        <v/>
      </c>
      <c r="V368" s="12">
        <f>IF(H368&lt;&gt;1,0,IF((IF(Classifiers!$B$17="",0,IF(ISNUMBER(SEARCH(Classifiers!$B$17,E368)),1,0))+IF(Classifiers!$C$17="",0,IF(ISNUMBER(SEARCH(Classifiers!$C$17,E368)),1,0))+IF(Classifiers!$D$17="",0,IF(ISNUMBER(SEARCH(Classifiers!$D$17,E368)),1,0))+IF(Classifiers!$E$17="",0,IF(ISNUMBER(SEARCH(Classifiers!$E$17,E368)),1,0))+IF(Classifiers!$F$17="",0,IF(ISNUMBER(SEARCH(Classifiers!$F$17,E368)),1,0))+IF(Classifiers!$G$17="",0,IF(ISNUMBER(SEARCH(Classifiers!$G$17,E368)),1,0)))&gt;0,1,0))</f>
        <v/>
      </c>
      <c r="W368" s="12">
        <f>IF(H368&lt;&gt;1,0,IF((IF(Classifiers!$B$18="",0,IF(ISNUMBER(SEARCH(Classifiers!$B$18,E368)),1,0))+IF(Classifiers!$C$18="",0,IF(ISNUMBER(SEARCH(Classifiers!$C$18,E368)),1,0))+IF(Classifiers!$D$18="",0,IF(ISNUMBER(SEARCH(Classifiers!$D$18,E368)),1,0))+IF(Classifiers!$E$18="",0,IF(ISNUMBER(SEARCH(Classifiers!$E$18,E368)),1,0))+IF(Classifiers!$F$18="",0,IF(ISNUMBER(SEARCH(Classifiers!$F$18,E368)),1,0))+IF(Classifiers!$G$18="",0,IF(ISNUMBER(SEARCH(Classifiers!$G$18,E368)),1,0)))&gt;0,1,0))</f>
        <v/>
      </c>
    </row>
    <row r="369">
      <c r="A369" s="8" t="n"/>
      <c r="B369" s="11" t="n"/>
      <c r="C369" s="6">
        <f>IF(A369="","",TRIM(RIGHT(SUBSTITUTE(A369,"/",REPT(" ",250)),250)))</f>
        <v/>
      </c>
      <c r="D369" s="6">
        <f>IF(C369="","",IF(ISNUMBER(SEARCH(".",C369)),LOWER("."&amp;TRIM(RIGHT(SUBSTITUTE(C369,".",REPT(" ",250)),250))),""))</f>
        <v/>
      </c>
      <c r="E369" s="6">
        <f>IF(C369="","",TRIM(SUBSTITUTE(SUBSTITUTE(SUBSTITUTE(SUBSTITUTE(SUBSTITUTE(SUBSTITUTE(SUBSTITUTE(SUBSTITUTE(SUBSTITUTE(SUBSTITUTE(SUBSTITUTE(SUBSTITUTE(SUBSTITUTE(SUBSTITUTE(SUBSTITUTE(SUBSTITUTE(SUBSTITUTE(SUBSTITUTE(SUBSTITUTE(SUBSTITUTE(LOWER(LEFT(C369,LEN(C369)-LEN(D369))),"_"," "),"-"," "),"."," "),","," "),"("," "),")"," "),"["," "),"]"," "),"&amp;"," "),"+"," "),"@"," "),"#"," "),"!"," "),"'"," "),"/"," "),":"," "),";"," "),"="," "),"~"," "),"%"," ")))</f>
        <v/>
      </c>
      <c r="F369" s="6">
        <f>IF(C369="","",IF(COUNTIF(Classifiers!$A$23:$A$40,D369)&gt;0,1,0))</f>
        <v/>
      </c>
      <c r="G369" s="6">
        <f>IF(C369="","",IF(COUNTIF(Classifiers!$C$23:$C$30,D369)&gt;0,IF((IF(ISNUMBER(SEARCH(Classifiers!$E$23,E369)),1,0)+IF(ISNUMBER(SEARCH(Classifiers!$E$24,E369)),1,0)+IF(ISNUMBER(SEARCH(Classifiers!$E$25,E369)),1,0)+IF(ISNUMBER(SEARCH(Classifiers!$E$26,E369)),1,0)+IF(ISNUMBER(SEARCH(Classifiers!$E$27,E369)),1,0)+IF(ISNUMBER(SEARCH(Classifiers!$E$28,E369)),1,0)+IF(ISNUMBER(SEARCH(Classifiers!$E$29,E369)),1,0)+IF(ISNUMBER(SEARCH(Classifiers!$E$30,E369)),1,0))&gt;0,1,0),0))</f>
        <v/>
      </c>
      <c r="H369" s="6">
        <f>IF(C369="","",IF(OR(LEFT(C369,1)=".",AND(F369=0,G369=0)),0,1))</f>
        <v/>
      </c>
      <c r="I369" s="6">
        <f>IF(H369&lt;&gt;1,"",IF(SUM(J369:W369)=0,"unclassified",INDEX(Classifiers!$A$5:$A$18,MATCH(1,J369:W369,0),1)))</f>
        <v/>
      </c>
      <c r="J369" s="12">
        <f>IF(H369&lt;&gt;1,0,IF((IF(Classifiers!$B$5="",0,IF(ISNUMBER(SEARCH(Classifiers!$B$5,E369)),1,0))+IF(Classifiers!$C$5="",0,IF(ISNUMBER(SEARCH(Classifiers!$C$5,E369)),1,0))+IF(Classifiers!$D$5="",0,IF(ISNUMBER(SEARCH(Classifiers!$D$5,E369)),1,0))+IF(Classifiers!$E$5="",0,IF(ISNUMBER(SEARCH(Classifiers!$E$5,E369)),1,0))+IF(Classifiers!$F$5="",0,IF(ISNUMBER(SEARCH(Classifiers!$F$5,E369)),1,0))+IF(Classifiers!$G$5="",0,IF(ISNUMBER(SEARCH(Classifiers!$G$5,E369)),1,0)))&gt;0,1,0))</f>
        <v/>
      </c>
      <c r="K369" s="12">
        <f>IF(H369&lt;&gt;1,0,IF((IF(Classifiers!$B$6="",0,IF(ISNUMBER(SEARCH(Classifiers!$B$6,E369)),1,0))+IF(Classifiers!$C$6="",0,IF(ISNUMBER(SEARCH(Classifiers!$C$6,E369)),1,0))+IF(Classifiers!$D$6="",0,IF(ISNUMBER(SEARCH(Classifiers!$D$6,E369)),1,0))+IF(Classifiers!$E$6="",0,IF(ISNUMBER(SEARCH(Classifiers!$E$6,E369)),1,0))+IF(Classifiers!$F$6="",0,IF(ISNUMBER(SEARCH(Classifiers!$F$6,E369)),1,0))+IF(Classifiers!$G$6="",0,IF(ISNUMBER(SEARCH(Classifiers!$G$6,E369)),1,0)))&gt;0,1,0))</f>
        <v/>
      </c>
      <c r="L369" s="12">
        <f>IF(H369&lt;&gt;1,0,IF((IF(Classifiers!$B$7="",0,IF(ISNUMBER(SEARCH(Classifiers!$B$7,E369)),1,0))+IF(Classifiers!$C$7="",0,IF(ISNUMBER(SEARCH(Classifiers!$C$7,E369)),1,0))+IF(Classifiers!$D$7="",0,IF(ISNUMBER(SEARCH(Classifiers!$D$7,E369)),1,0))+IF(Classifiers!$E$7="",0,IF(ISNUMBER(SEARCH(Classifiers!$E$7,E369)),1,0))+IF(Classifiers!$F$7="",0,IF(ISNUMBER(SEARCH(Classifiers!$F$7,E369)),1,0))+IF(Classifiers!$G$7="",0,IF(ISNUMBER(SEARCH(Classifiers!$G$7,E369)),1,0)))&gt;0,1,0))</f>
        <v/>
      </c>
      <c r="M369" s="12">
        <f>IF(H369&lt;&gt;1,0,IF((IF(Classifiers!$B$8="",0,IF(ISNUMBER(SEARCH(Classifiers!$B$8,E369)),1,0))+IF(Classifiers!$C$8="",0,IF(ISNUMBER(SEARCH(Classifiers!$C$8,E369)),1,0))+IF(Classifiers!$D$8="",0,IF(ISNUMBER(SEARCH(Classifiers!$D$8,E369)),1,0))+IF(Classifiers!$E$8="",0,IF(ISNUMBER(SEARCH(Classifiers!$E$8,E369)),1,0))+IF(Classifiers!$F$8="",0,IF(ISNUMBER(SEARCH(Classifiers!$F$8,E369)),1,0))+IF(Classifiers!$G$8="",0,IF(ISNUMBER(SEARCH(Classifiers!$G$8,E369)),1,0)))&gt;0,1,0))</f>
        <v/>
      </c>
      <c r="N369" s="12">
        <f>IF(H369&lt;&gt;1,0,IF((IF(Classifiers!$B$9="",0,IF(ISNUMBER(SEARCH(Classifiers!$B$9,E369)),1,0))+IF(Classifiers!$C$9="",0,IF(ISNUMBER(SEARCH(Classifiers!$C$9,E369)),1,0))+IF(Classifiers!$D$9="",0,IF(ISNUMBER(SEARCH(Classifiers!$D$9,E369)),1,0))+IF(Classifiers!$E$9="",0,IF(ISNUMBER(SEARCH(Classifiers!$E$9,E369)),1,0))+IF(Classifiers!$F$9="",0,IF(ISNUMBER(SEARCH(Classifiers!$F$9,E369)),1,0))+IF(Classifiers!$G$9="",0,IF(ISNUMBER(SEARCH(Classifiers!$G$9,E369)),1,0)))&gt;0,1,0))</f>
        <v/>
      </c>
      <c r="O369" s="12">
        <f>IF(H369&lt;&gt;1,0,IF((IF(Classifiers!$B$10="",0,IF(ISNUMBER(SEARCH(Classifiers!$B$10,E369)),1,0))+IF(Classifiers!$C$10="",0,IF(ISNUMBER(SEARCH(Classifiers!$C$10,E369)),1,0))+IF(Classifiers!$D$10="",0,IF(ISNUMBER(SEARCH(Classifiers!$D$10,E369)),1,0))+IF(Classifiers!$E$10="",0,IF(ISNUMBER(SEARCH(Classifiers!$E$10,E369)),1,0))+IF(Classifiers!$F$10="",0,IF(ISNUMBER(SEARCH(Classifiers!$F$10,E369)),1,0))+IF(Classifiers!$G$10="",0,IF(ISNUMBER(SEARCH(Classifiers!$G$10,E369)),1,0)))&gt;0,1,0))</f>
        <v/>
      </c>
      <c r="P369" s="12">
        <f>IF(H369&lt;&gt;1,0,IF((IF(Classifiers!$B$11="",0,IF(ISNUMBER(SEARCH(Classifiers!$B$11,E369)),1,0))+IF(Classifiers!$C$11="",0,IF(ISNUMBER(SEARCH(Classifiers!$C$11,E369)),1,0))+IF(Classifiers!$D$11="",0,IF(ISNUMBER(SEARCH(Classifiers!$D$11,E369)),1,0))+IF(Classifiers!$E$11="",0,IF(ISNUMBER(SEARCH(Classifiers!$E$11,E369)),1,0))+IF(Classifiers!$F$11="",0,IF(ISNUMBER(SEARCH(Classifiers!$F$11,E369)),1,0))+IF(Classifiers!$G$11="",0,IF(ISNUMBER(SEARCH(Classifiers!$G$11,E369)),1,0)))&gt;0,1,0))</f>
        <v/>
      </c>
      <c r="Q369" s="12">
        <f>IF(H369&lt;&gt;1,0,IF((IF(Classifiers!$B$12="",0,IF(ISNUMBER(SEARCH(Classifiers!$B$12,E369)),1,0))+IF(Classifiers!$C$12="",0,IF(ISNUMBER(SEARCH(Classifiers!$C$12,E369)),1,0))+IF(Classifiers!$D$12="",0,IF(ISNUMBER(SEARCH(Classifiers!$D$12,E369)),1,0))+IF(Classifiers!$E$12="",0,IF(ISNUMBER(SEARCH(Classifiers!$E$12,E369)),1,0))+IF(Classifiers!$F$12="",0,IF(ISNUMBER(SEARCH(Classifiers!$F$12,E369)),1,0))+IF(Classifiers!$G$12="",0,IF(ISNUMBER(SEARCH(Classifiers!$G$12,E369)),1,0)))&gt;0,1,0))</f>
        <v/>
      </c>
      <c r="R369" s="12">
        <f>IF(H369&lt;&gt;1,0,IF((IF(Classifiers!$B$13="",0,IF(ISNUMBER(SEARCH(Classifiers!$B$13,E369)),1,0))+IF(Classifiers!$C$13="",0,IF(ISNUMBER(SEARCH(Classifiers!$C$13,E369)),1,0))+IF(Classifiers!$D$13="",0,IF(ISNUMBER(SEARCH(Classifiers!$D$13,E369)),1,0))+IF(Classifiers!$E$13="",0,IF(ISNUMBER(SEARCH(Classifiers!$E$13,E369)),1,0))+IF(Classifiers!$F$13="",0,IF(ISNUMBER(SEARCH(Classifiers!$F$13,E369)),1,0))+IF(Classifiers!$G$13="",0,IF(ISNUMBER(SEARCH(Classifiers!$G$13,E369)),1,0)))&gt;0,1,0))</f>
        <v/>
      </c>
      <c r="S369" s="12">
        <f>IF(H369&lt;&gt;1,0,IF((IF(Classifiers!$B$14="",0,IF(ISNUMBER(SEARCH(Classifiers!$B$14,E369)),1,0))+IF(Classifiers!$C$14="",0,IF(ISNUMBER(SEARCH(Classifiers!$C$14,E369)),1,0))+IF(Classifiers!$D$14="",0,IF(ISNUMBER(SEARCH(Classifiers!$D$14,E369)),1,0))+IF(Classifiers!$E$14="",0,IF(ISNUMBER(SEARCH(Classifiers!$E$14,E369)),1,0))+IF(Classifiers!$F$14="",0,IF(ISNUMBER(SEARCH(Classifiers!$F$14,E369)),1,0))+IF(Classifiers!$G$14="",0,IF(ISNUMBER(SEARCH(Classifiers!$G$14,E369)),1,0)))&gt;0,1,0))</f>
        <v/>
      </c>
      <c r="T369" s="12">
        <f>IF(H369&lt;&gt;1,0,IF((IF(Classifiers!$B$15="",0,IF(ISNUMBER(SEARCH(Classifiers!$B$15,E369)),1,0))+IF(Classifiers!$C$15="",0,IF(ISNUMBER(SEARCH(Classifiers!$C$15,E369)),1,0))+IF(Classifiers!$D$15="",0,IF(ISNUMBER(SEARCH(Classifiers!$D$15,E369)),1,0))+IF(Classifiers!$E$15="",0,IF(ISNUMBER(SEARCH(Classifiers!$E$15,E369)),1,0))+IF(Classifiers!$F$15="",0,IF(ISNUMBER(SEARCH(Classifiers!$F$15,E369)),1,0))+IF(Classifiers!$G$15="",0,IF(ISNUMBER(SEARCH(Classifiers!$G$15,E369)),1,0)))&gt;0,1,0))</f>
        <v/>
      </c>
      <c r="U369" s="12">
        <f>IF(H369&lt;&gt;1,0,IF((IF(Classifiers!$B$16="",0,IF(ISNUMBER(SEARCH(Classifiers!$B$16,E369)),1,0))+IF(Classifiers!$C$16="",0,IF(ISNUMBER(SEARCH(Classifiers!$C$16,E369)),1,0))+IF(Classifiers!$D$16="",0,IF(ISNUMBER(SEARCH(Classifiers!$D$16,E369)),1,0))+IF(Classifiers!$E$16="",0,IF(ISNUMBER(SEARCH(Classifiers!$E$16,E369)),1,0))+IF(Classifiers!$F$16="",0,IF(ISNUMBER(SEARCH(Classifiers!$F$16,E369)),1,0))+IF(Classifiers!$G$16="",0,IF(ISNUMBER(SEARCH(Classifiers!$G$16,E369)),1,0)))&gt;0,1,0))</f>
        <v/>
      </c>
      <c r="V369" s="12">
        <f>IF(H369&lt;&gt;1,0,IF((IF(Classifiers!$B$17="",0,IF(ISNUMBER(SEARCH(Classifiers!$B$17,E369)),1,0))+IF(Classifiers!$C$17="",0,IF(ISNUMBER(SEARCH(Classifiers!$C$17,E369)),1,0))+IF(Classifiers!$D$17="",0,IF(ISNUMBER(SEARCH(Classifiers!$D$17,E369)),1,0))+IF(Classifiers!$E$17="",0,IF(ISNUMBER(SEARCH(Classifiers!$E$17,E369)),1,0))+IF(Classifiers!$F$17="",0,IF(ISNUMBER(SEARCH(Classifiers!$F$17,E369)),1,0))+IF(Classifiers!$G$17="",0,IF(ISNUMBER(SEARCH(Classifiers!$G$17,E369)),1,0)))&gt;0,1,0))</f>
        <v/>
      </c>
      <c r="W369" s="12">
        <f>IF(H369&lt;&gt;1,0,IF((IF(Classifiers!$B$18="",0,IF(ISNUMBER(SEARCH(Classifiers!$B$18,E369)),1,0))+IF(Classifiers!$C$18="",0,IF(ISNUMBER(SEARCH(Classifiers!$C$18,E369)),1,0))+IF(Classifiers!$D$18="",0,IF(ISNUMBER(SEARCH(Classifiers!$D$18,E369)),1,0))+IF(Classifiers!$E$18="",0,IF(ISNUMBER(SEARCH(Classifiers!$E$18,E369)),1,0))+IF(Classifiers!$F$18="",0,IF(ISNUMBER(SEARCH(Classifiers!$F$18,E369)),1,0))+IF(Classifiers!$G$18="",0,IF(ISNUMBER(SEARCH(Classifiers!$G$18,E369)),1,0)))&gt;0,1,0))</f>
        <v/>
      </c>
    </row>
    <row r="370">
      <c r="A370" s="8" t="n"/>
      <c r="B370" s="11" t="n"/>
      <c r="C370" s="6">
        <f>IF(A370="","",TRIM(RIGHT(SUBSTITUTE(A370,"/",REPT(" ",250)),250)))</f>
        <v/>
      </c>
      <c r="D370" s="6">
        <f>IF(C370="","",IF(ISNUMBER(SEARCH(".",C370)),LOWER("."&amp;TRIM(RIGHT(SUBSTITUTE(C370,".",REPT(" ",250)),250))),""))</f>
        <v/>
      </c>
      <c r="E370" s="6">
        <f>IF(C370="","",TRIM(SUBSTITUTE(SUBSTITUTE(SUBSTITUTE(SUBSTITUTE(SUBSTITUTE(SUBSTITUTE(SUBSTITUTE(SUBSTITUTE(SUBSTITUTE(SUBSTITUTE(SUBSTITUTE(SUBSTITUTE(SUBSTITUTE(SUBSTITUTE(SUBSTITUTE(SUBSTITUTE(SUBSTITUTE(SUBSTITUTE(SUBSTITUTE(SUBSTITUTE(LOWER(LEFT(C370,LEN(C370)-LEN(D370))),"_"," "),"-"," "),"."," "),","," "),"("," "),")"," "),"["," "),"]"," "),"&amp;"," "),"+"," "),"@"," "),"#"," "),"!"," "),"'"," "),"/"," "),":"," "),";"," "),"="," "),"~"," "),"%"," ")))</f>
        <v/>
      </c>
      <c r="F370" s="6">
        <f>IF(C370="","",IF(COUNTIF(Classifiers!$A$23:$A$40,D370)&gt;0,1,0))</f>
        <v/>
      </c>
      <c r="G370" s="6">
        <f>IF(C370="","",IF(COUNTIF(Classifiers!$C$23:$C$30,D370)&gt;0,IF((IF(ISNUMBER(SEARCH(Classifiers!$E$23,E370)),1,0)+IF(ISNUMBER(SEARCH(Classifiers!$E$24,E370)),1,0)+IF(ISNUMBER(SEARCH(Classifiers!$E$25,E370)),1,0)+IF(ISNUMBER(SEARCH(Classifiers!$E$26,E370)),1,0)+IF(ISNUMBER(SEARCH(Classifiers!$E$27,E370)),1,0)+IF(ISNUMBER(SEARCH(Classifiers!$E$28,E370)),1,0)+IF(ISNUMBER(SEARCH(Classifiers!$E$29,E370)),1,0)+IF(ISNUMBER(SEARCH(Classifiers!$E$30,E370)),1,0))&gt;0,1,0),0))</f>
        <v/>
      </c>
      <c r="H370" s="6">
        <f>IF(C370="","",IF(OR(LEFT(C370,1)=".",AND(F370=0,G370=0)),0,1))</f>
        <v/>
      </c>
      <c r="I370" s="6">
        <f>IF(H370&lt;&gt;1,"",IF(SUM(J370:W370)=0,"unclassified",INDEX(Classifiers!$A$5:$A$18,MATCH(1,J370:W370,0),1)))</f>
        <v/>
      </c>
      <c r="J370" s="12">
        <f>IF(H370&lt;&gt;1,0,IF((IF(Classifiers!$B$5="",0,IF(ISNUMBER(SEARCH(Classifiers!$B$5,E370)),1,0))+IF(Classifiers!$C$5="",0,IF(ISNUMBER(SEARCH(Classifiers!$C$5,E370)),1,0))+IF(Classifiers!$D$5="",0,IF(ISNUMBER(SEARCH(Classifiers!$D$5,E370)),1,0))+IF(Classifiers!$E$5="",0,IF(ISNUMBER(SEARCH(Classifiers!$E$5,E370)),1,0))+IF(Classifiers!$F$5="",0,IF(ISNUMBER(SEARCH(Classifiers!$F$5,E370)),1,0))+IF(Classifiers!$G$5="",0,IF(ISNUMBER(SEARCH(Classifiers!$G$5,E370)),1,0)))&gt;0,1,0))</f>
        <v/>
      </c>
      <c r="K370" s="12">
        <f>IF(H370&lt;&gt;1,0,IF((IF(Classifiers!$B$6="",0,IF(ISNUMBER(SEARCH(Classifiers!$B$6,E370)),1,0))+IF(Classifiers!$C$6="",0,IF(ISNUMBER(SEARCH(Classifiers!$C$6,E370)),1,0))+IF(Classifiers!$D$6="",0,IF(ISNUMBER(SEARCH(Classifiers!$D$6,E370)),1,0))+IF(Classifiers!$E$6="",0,IF(ISNUMBER(SEARCH(Classifiers!$E$6,E370)),1,0))+IF(Classifiers!$F$6="",0,IF(ISNUMBER(SEARCH(Classifiers!$F$6,E370)),1,0))+IF(Classifiers!$G$6="",0,IF(ISNUMBER(SEARCH(Classifiers!$G$6,E370)),1,0)))&gt;0,1,0))</f>
        <v/>
      </c>
      <c r="L370" s="12">
        <f>IF(H370&lt;&gt;1,0,IF((IF(Classifiers!$B$7="",0,IF(ISNUMBER(SEARCH(Classifiers!$B$7,E370)),1,0))+IF(Classifiers!$C$7="",0,IF(ISNUMBER(SEARCH(Classifiers!$C$7,E370)),1,0))+IF(Classifiers!$D$7="",0,IF(ISNUMBER(SEARCH(Classifiers!$D$7,E370)),1,0))+IF(Classifiers!$E$7="",0,IF(ISNUMBER(SEARCH(Classifiers!$E$7,E370)),1,0))+IF(Classifiers!$F$7="",0,IF(ISNUMBER(SEARCH(Classifiers!$F$7,E370)),1,0))+IF(Classifiers!$G$7="",0,IF(ISNUMBER(SEARCH(Classifiers!$G$7,E370)),1,0)))&gt;0,1,0))</f>
        <v/>
      </c>
      <c r="M370" s="12">
        <f>IF(H370&lt;&gt;1,0,IF((IF(Classifiers!$B$8="",0,IF(ISNUMBER(SEARCH(Classifiers!$B$8,E370)),1,0))+IF(Classifiers!$C$8="",0,IF(ISNUMBER(SEARCH(Classifiers!$C$8,E370)),1,0))+IF(Classifiers!$D$8="",0,IF(ISNUMBER(SEARCH(Classifiers!$D$8,E370)),1,0))+IF(Classifiers!$E$8="",0,IF(ISNUMBER(SEARCH(Classifiers!$E$8,E370)),1,0))+IF(Classifiers!$F$8="",0,IF(ISNUMBER(SEARCH(Classifiers!$F$8,E370)),1,0))+IF(Classifiers!$G$8="",0,IF(ISNUMBER(SEARCH(Classifiers!$G$8,E370)),1,0)))&gt;0,1,0))</f>
        <v/>
      </c>
      <c r="N370" s="12">
        <f>IF(H370&lt;&gt;1,0,IF((IF(Classifiers!$B$9="",0,IF(ISNUMBER(SEARCH(Classifiers!$B$9,E370)),1,0))+IF(Classifiers!$C$9="",0,IF(ISNUMBER(SEARCH(Classifiers!$C$9,E370)),1,0))+IF(Classifiers!$D$9="",0,IF(ISNUMBER(SEARCH(Classifiers!$D$9,E370)),1,0))+IF(Classifiers!$E$9="",0,IF(ISNUMBER(SEARCH(Classifiers!$E$9,E370)),1,0))+IF(Classifiers!$F$9="",0,IF(ISNUMBER(SEARCH(Classifiers!$F$9,E370)),1,0))+IF(Classifiers!$G$9="",0,IF(ISNUMBER(SEARCH(Classifiers!$G$9,E370)),1,0)))&gt;0,1,0))</f>
        <v/>
      </c>
      <c r="O370" s="12">
        <f>IF(H370&lt;&gt;1,0,IF((IF(Classifiers!$B$10="",0,IF(ISNUMBER(SEARCH(Classifiers!$B$10,E370)),1,0))+IF(Classifiers!$C$10="",0,IF(ISNUMBER(SEARCH(Classifiers!$C$10,E370)),1,0))+IF(Classifiers!$D$10="",0,IF(ISNUMBER(SEARCH(Classifiers!$D$10,E370)),1,0))+IF(Classifiers!$E$10="",0,IF(ISNUMBER(SEARCH(Classifiers!$E$10,E370)),1,0))+IF(Classifiers!$F$10="",0,IF(ISNUMBER(SEARCH(Classifiers!$F$10,E370)),1,0))+IF(Classifiers!$G$10="",0,IF(ISNUMBER(SEARCH(Classifiers!$G$10,E370)),1,0)))&gt;0,1,0))</f>
        <v/>
      </c>
      <c r="P370" s="12">
        <f>IF(H370&lt;&gt;1,0,IF((IF(Classifiers!$B$11="",0,IF(ISNUMBER(SEARCH(Classifiers!$B$11,E370)),1,0))+IF(Classifiers!$C$11="",0,IF(ISNUMBER(SEARCH(Classifiers!$C$11,E370)),1,0))+IF(Classifiers!$D$11="",0,IF(ISNUMBER(SEARCH(Classifiers!$D$11,E370)),1,0))+IF(Classifiers!$E$11="",0,IF(ISNUMBER(SEARCH(Classifiers!$E$11,E370)),1,0))+IF(Classifiers!$F$11="",0,IF(ISNUMBER(SEARCH(Classifiers!$F$11,E370)),1,0))+IF(Classifiers!$G$11="",0,IF(ISNUMBER(SEARCH(Classifiers!$G$11,E370)),1,0)))&gt;0,1,0))</f>
        <v/>
      </c>
      <c r="Q370" s="12">
        <f>IF(H370&lt;&gt;1,0,IF((IF(Classifiers!$B$12="",0,IF(ISNUMBER(SEARCH(Classifiers!$B$12,E370)),1,0))+IF(Classifiers!$C$12="",0,IF(ISNUMBER(SEARCH(Classifiers!$C$12,E370)),1,0))+IF(Classifiers!$D$12="",0,IF(ISNUMBER(SEARCH(Classifiers!$D$12,E370)),1,0))+IF(Classifiers!$E$12="",0,IF(ISNUMBER(SEARCH(Classifiers!$E$12,E370)),1,0))+IF(Classifiers!$F$12="",0,IF(ISNUMBER(SEARCH(Classifiers!$F$12,E370)),1,0))+IF(Classifiers!$G$12="",0,IF(ISNUMBER(SEARCH(Classifiers!$G$12,E370)),1,0)))&gt;0,1,0))</f>
        <v/>
      </c>
      <c r="R370" s="12">
        <f>IF(H370&lt;&gt;1,0,IF((IF(Classifiers!$B$13="",0,IF(ISNUMBER(SEARCH(Classifiers!$B$13,E370)),1,0))+IF(Classifiers!$C$13="",0,IF(ISNUMBER(SEARCH(Classifiers!$C$13,E370)),1,0))+IF(Classifiers!$D$13="",0,IF(ISNUMBER(SEARCH(Classifiers!$D$13,E370)),1,0))+IF(Classifiers!$E$13="",0,IF(ISNUMBER(SEARCH(Classifiers!$E$13,E370)),1,0))+IF(Classifiers!$F$13="",0,IF(ISNUMBER(SEARCH(Classifiers!$F$13,E370)),1,0))+IF(Classifiers!$G$13="",0,IF(ISNUMBER(SEARCH(Classifiers!$G$13,E370)),1,0)))&gt;0,1,0))</f>
        <v/>
      </c>
      <c r="S370" s="12">
        <f>IF(H370&lt;&gt;1,0,IF((IF(Classifiers!$B$14="",0,IF(ISNUMBER(SEARCH(Classifiers!$B$14,E370)),1,0))+IF(Classifiers!$C$14="",0,IF(ISNUMBER(SEARCH(Classifiers!$C$14,E370)),1,0))+IF(Classifiers!$D$14="",0,IF(ISNUMBER(SEARCH(Classifiers!$D$14,E370)),1,0))+IF(Classifiers!$E$14="",0,IF(ISNUMBER(SEARCH(Classifiers!$E$14,E370)),1,0))+IF(Classifiers!$F$14="",0,IF(ISNUMBER(SEARCH(Classifiers!$F$14,E370)),1,0))+IF(Classifiers!$G$14="",0,IF(ISNUMBER(SEARCH(Classifiers!$G$14,E370)),1,0)))&gt;0,1,0))</f>
        <v/>
      </c>
      <c r="T370" s="12">
        <f>IF(H370&lt;&gt;1,0,IF((IF(Classifiers!$B$15="",0,IF(ISNUMBER(SEARCH(Classifiers!$B$15,E370)),1,0))+IF(Classifiers!$C$15="",0,IF(ISNUMBER(SEARCH(Classifiers!$C$15,E370)),1,0))+IF(Classifiers!$D$15="",0,IF(ISNUMBER(SEARCH(Classifiers!$D$15,E370)),1,0))+IF(Classifiers!$E$15="",0,IF(ISNUMBER(SEARCH(Classifiers!$E$15,E370)),1,0))+IF(Classifiers!$F$15="",0,IF(ISNUMBER(SEARCH(Classifiers!$F$15,E370)),1,0))+IF(Classifiers!$G$15="",0,IF(ISNUMBER(SEARCH(Classifiers!$G$15,E370)),1,0)))&gt;0,1,0))</f>
        <v/>
      </c>
      <c r="U370" s="12">
        <f>IF(H370&lt;&gt;1,0,IF((IF(Classifiers!$B$16="",0,IF(ISNUMBER(SEARCH(Classifiers!$B$16,E370)),1,0))+IF(Classifiers!$C$16="",0,IF(ISNUMBER(SEARCH(Classifiers!$C$16,E370)),1,0))+IF(Classifiers!$D$16="",0,IF(ISNUMBER(SEARCH(Classifiers!$D$16,E370)),1,0))+IF(Classifiers!$E$16="",0,IF(ISNUMBER(SEARCH(Classifiers!$E$16,E370)),1,0))+IF(Classifiers!$F$16="",0,IF(ISNUMBER(SEARCH(Classifiers!$F$16,E370)),1,0))+IF(Classifiers!$G$16="",0,IF(ISNUMBER(SEARCH(Classifiers!$G$16,E370)),1,0)))&gt;0,1,0))</f>
        <v/>
      </c>
      <c r="V370" s="12">
        <f>IF(H370&lt;&gt;1,0,IF((IF(Classifiers!$B$17="",0,IF(ISNUMBER(SEARCH(Classifiers!$B$17,E370)),1,0))+IF(Classifiers!$C$17="",0,IF(ISNUMBER(SEARCH(Classifiers!$C$17,E370)),1,0))+IF(Classifiers!$D$17="",0,IF(ISNUMBER(SEARCH(Classifiers!$D$17,E370)),1,0))+IF(Classifiers!$E$17="",0,IF(ISNUMBER(SEARCH(Classifiers!$E$17,E370)),1,0))+IF(Classifiers!$F$17="",0,IF(ISNUMBER(SEARCH(Classifiers!$F$17,E370)),1,0))+IF(Classifiers!$G$17="",0,IF(ISNUMBER(SEARCH(Classifiers!$G$17,E370)),1,0)))&gt;0,1,0))</f>
        <v/>
      </c>
      <c r="W370" s="12">
        <f>IF(H370&lt;&gt;1,0,IF((IF(Classifiers!$B$18="",0,IF(ISNUMBER(SEARCH(Classifiers!$B$18,E370)),1,0))+IF(Classifiers!$C$18="",0,IF(ISNUMBER(SEARCH(Classifiers!$C$18,E370)),1,0))+IF(Classifiers!$D$18="",0,IF(ISNUMBER(SEARCH(Classifiers!$D$18,E370)),1,0))+IF(Classifiers!$E$18="",0,IF(ISNUMBER(SEARCH(Classifiers!$E$18,E370)),1,0))+IF(Classifiers!$F$18="",0,IF(ISNUMBER(SEARCH(Classifiers!$F$18,E370)),1,0))+IF(Classifiers!$G$18="",0,IF(ISNUMBER(SEARCH(Classifiers!$G$18,E370)),1,0)))&gt;0,1,0))</f>
        <v/>
      </c>
    </row>
    <row r="371">
      <c r="A371" s="8" t="n"/>
      <c r="B371" s="11" t="n"/>
      <c r="C371" s="6">
        <f>IF(A371="","",TRIM(RIGHT(SUBSTITUTE(A371,"/",REPT(" ",250)),250)))</f>
        <v/>
      </c>
      <c r="D371" s="6">
        <f>IF(C371="","",IF(ISNUMBER(SEARCH(".",C371)),LOWER("."&amp;TRIM(RIGHT(SUBSTITUTE(C371,".",REPT(" ",250)),250))),""))</f>
        <v/>
      </c>
      <c r="E371" s="6">
        <f>IF(C371="","",TRIM(SUBSTITUTE(SUBSTITUTE(SUBSTITUTE(SUBSTITUTE(SUBSTITUTE(SUBSTITUTE(SUBSTITUTE(SUBSTITUTE(SUBSTITUTE(SUBSTITUTE(SUBSTITUTE(SUBSTITUTE(SUBSTITUTE(SUBSTITUTE(SUBSTITUTE(SUBSTITUTE(SUBSTITUTE(SUBSTITUTE(SUBSTITUTE(SUBSTITUTE(LOWER(LEFT(C371,LEN(C371)-LEN(D371))),"_"," "),"-"," "),"."," "),","," "),"("," "),")"," "),"["," "),"]"," "),"&amp;"," "),"+"," "),"@"," "),"#"," "),"!"," "),"'"," "),"/"," "),":"," "),";"," "),"="," "),"~"," "),"%"," ")))</f>
        <v/>
      </c>
      <c r="F371" s="6">
        <f>IF(C371="","",IF(COUNTIF(Classifiers!$A$23:$A$40,D371)&gt;0,1,0))</f>
        <v/>
      </c>
      <c r="G371" s="6">
        <f>IF(C371="","",IF(COUNTIF(Classifiers!$C$23:$C$30,D371)&gt;0,IF((IF(ISNUMBER(SEARCH(Classifiers!$E$23,E371)),1,0)+IF(ISNUMBER(SEARCH(Classifiers!$E$24,E371)),1,0)+IF(ISNUMBER(SEARCH(Classifiers!$E$25,E371)),1,0)+IF(ISNUMBER(SEARCH(Classifiers!$E$26,E371)),1,0)+IF(ISNUMBER(SEARCH(Classifiers!$E$27,E371)),1,0)+IF(ISNUMBER(SEARCH(Classifiers!$E$28,E371)),1,0)+IF(ISNUMBER(SEARCH(Classifiers!$E$29,E371)),1,0)+IF(ISNUMBER(SEARCH(Classifiers!$E$30,E371)),1,0))&gt;0,1,0),0))</f>
        <v/>
      </c>
      <c r="H371" s="6">
        <f>IF(C371="","",IF(OR(LEFT(C371,1)=".",AND(F371=0,G371=0)),0,1))</f>
        <v/>
      </c>
      <c r="I371" s="6">
        <f>IF(H371&lt;&gt;1,"",IF(SUM(J371:W371)=0,"unclassified",INDEX(Classifiers!$A$5:$A$18,MATCH(1,J371:W371,0),1)))</f>
        <v/>
      </c>
      <c r="J371" s="12">
        <f>IF(H371&lt;&gt;1,0,IF((IF(Classifiers!$B$5="",0,IF(ISNUMBER(SEARCH(Classifiers!$B$5,E371)),1,0))+IF(Classifiers!$C$5="",0,IF(ISNUMBER(SEARCH(Classifiers!$C$5,E371)),1,0))+IF(Classifiers!$D$5="",0,IF(ISNUMBER(SEARCH(Classifiers!$D$5,E371)),1,0))+IF(Classifiers!$E$5="",0,IF(ISNUMBER(SEARCH(Classifiers!$E$5,E371)),1,0))+IF(Classifiers!$F$5="",0,IF(ISNUMBER(SEARCH(Classifiers!$F$5,E371)),1,0))+IF(Classifiers!$G$5="",0,IF(ISNUMBER(SEARCH(Classifiers!$G$5,E371)),1,0)))&gt;0,1,0))</f>
        <v/>
      </c>
      <c r="K371" s="12">
        <f>IF(H371&lt;&gt;1,0,IF((IF(Classifiers!$B$6="",0,IF(ISNUMBER(SEARCH(Classifiers!$B$6,E371)),1,0))+IF(Classifiers!$C$6="",0,IF(ISNUMBER(SEARCH(Classifiers!$C$6,E371)),1,0))+IF(Classifiers!$D$6="",0,IF(ISNUMBER(SEARCH(Classifiers!$D$6,E371)),1,0))+IF(Classifiers!$E$6="",0,IF(ISNUMBER(SEARCH(Classifiers!$E$6,E371)),1,0))+IF(Classifiers!$F$6="",0,IF(ISNUMBER(SEARCH(Classifiers!$F$6,E371)),1,0))+IF(Classifiers!$G$6="",0,IF(ISNUMBER(SEARCH(Classifiers!$G$6,E371)),1,0)))&gt;0,1,0))</f>
        <v/>
      </c>
      <c r="L371" s="12">
        <f>IF(H371&lt;&gt;1,0,IF((IF(Classifiers!$B$7="",0,IF(ISNUMBER(SEARCH(Classifiers!$B$7,E371)),1,0))+IF(Classifiers!$C$7="",0,IF(ISNUMBER(SEARCH(Classifiers!$C$7,E371)),1,0))+IF(Classifiers!$D$7="",0,IF(ISNUMBER(SEARCH(Classifiers!$D$7,E371)),1,0))+IF(Classifiers!$E$7="",0,IF(ISNUMBER(SEARCH(Classifiers!$E$7,E371)),1,0))+IF(Classifiers!$F$7="",0,IF(ISNUMBER(SEARCH(Classifiers!$F$7,E371)),1,0))+IF(Classifiers!$G$7="",0,IF(ISNUMBER(SEARCH(Classifiers!$G$7,E371)),1,0)))&gt;0,1,0))</f>
        <v/>
      </c>
      <c r="M371" s="12">
        <f>IF(H371&lt;&gt;1,0,IF((IF(Classifiers!$B$8="",0,IF(ISNUMBER(SEARCH(Classifiers!$B$8,E371)),1,0))+IF(Classifiers!$C$8="",0,IF(ISNUMBER(SEARCH(Classifiers!$C$8,E371)),1,0))+IF(Classifiers!$D$8="",0,IF(ISNUMBER(SEARCH(Classifiers!$D$8,E371)),1,0))+IF(Classifiers!$E$8="",0,IF(ISNUMBER(SEARCH(Classifiers!$E$8,E371)),1,0))+IF(Classifiers!$F$8="",0,IF(ISNUMBER(SEARCH(Classifiers!$F$8,E371)),1,0))+IF(Classifiers!$G$8="",0,IF(ISNUMBER(SEARCH(Classifiers!$G$8,E371)),1,0)))&gt;0,1,0))</f>
        <v/>
      </c>
      <c r="N371" s="12">
        <f>IF(H371&lt;&gt;1,0,IF((IF(Classifiers!$B$9="",0,IF(ISNUMBER(SEARCH(Classifiers!$B$9,E371)),1,0))+IF(Classifiers!$C$9="",0,IF(ISNUMBER(SEARCH(Classifiers!$C$9,E371)),1,0))+IF(Classifiers!$D$9="",0,IF(ISNUMBER(SEARCH(Classifiers!$D$9,E371)),1,0))+IF(Classifiers!$E$9="",0,IF(ISNUMBER(SEARCH(Classifiers!$E$9,E371)),1,0))+IF(Classifiers!$F$9="",0,IF(ISNUMBER(SEARCH(Classifiers!$F$9,E371)),1,0))+IF(Classifiers!$G$9="",0,IF(ISNUMBER(SEARCH(Classifiers!$G$9,E371)),1,0)))&gt;0,1,0))</f>
        <v/>
      </c>
      <c r="O371" s="12">
        <f>IF(H371&lt;&gt;1,0,IF((IF(Classifiers!$B$10="",0,IF(ISNUMBER(SEARCH(Classifiers!$B$10,E371)),1,0))+IF(Classifiers!$C$10="",0,IF(ISNUMBER(SEARCH(Classifiers!$C$10,E371)),1,0))+IF(Classifiers!$D$10="",0,IF(ISNUMBER(SEARCH(Classifiers!$D$10,E371)),1,0))+IF(Classifiers!$E$10="",0,IF(ISNUMBER(SEARCH(Classifiers!$E$10,E371)),1,0))+IF(Classifiers!$F$10="",0,IF(ISNUMBER(SEARCH(Classifiers!$F$10,E371)),1,0))+IF(Classifiers!$G$10="",0,IF(ISNUMBER(SEARCH(Classifiers!$G$10,E371)),1,0)))&gt;0,1,0))</f>
        <v/>
      </c>
      <c r="P371" s="12">
        <f>IF(H371&lt;&gt;1,0,IF((IF(Classifiers!$B$11="",0,IF(ISNUMBER(SEARCH(Classifiers!$B$11,E371)),1,0))+IF(Classifiers!$C$11="",0,IF(ISNUMBER(SEARCH(Classifiers!$C$11,E371)),1,0))+IF(Classifiers!$D$11="",0,IF(ISNUMBER(SEARCH(Classifiers!$D$11,E371)),1,0))+IF(Classifiers!$E$11="",0,IF(ISNUMBER(SEARCH(Classifiers!$E$11,E371)),1,0))+IF(Classifiers!$F$11="",0,IF(ISNUMBER(SEARCH(Classifiers!$F$11,E371)),1,0))+IF(Classifiers!$G$11="",0,IF(ISNUMBER(SEARCH(Classifiers!$G$11,E371)),1,0)))&gt;0,1,0))</f>
        <v/>
      </c>
      <c r="Q371" s="12">
        <f>IF(H371&lt;&gt;1,0,IF((IF(Classifiers!$B$12="",0,IF(ISNUMBER(SEARCH(Classifiers!$B$12,E371)),1,0))+IF(Classifiers!$C$12="",0,IF(ISNUMBER(SEARCH(Classifiers!$C$12,E371)),1,0))+IF(Classifiers!$D$12="",0,IF(ISNUMBER(SEARCH(Classifiers!$D$12,E371)),1,0))+IF(Classifiers!$E$12="",0,IF(ISNUMBER(SEARCH(Classifiers!$E$12,E371)),1,0))+IF(Classifiers!$F$12="",0,IF(ISNUMBER(SEARCH(Classifiers!$F$12,E371)),1,0))+IF(Classifiers!$G$12="",0,IF(ISNUMBER(SEARCH(Classifiers!$G$12,E371)),1,0)))&gt;0,1,0))</f>
        <v/>
      </c>
      <c r="R371" s="12">
        <f>IF(H371&lt;&gt;1,0,IF((IF(Classifiers!$B$13="",0,IF(ISNUMBER(SEARCH(Classifiers!$B$13,E371)),1,0))+IF(Classifiers!$C$13="",0,IF(ISNUMBER(SEARCH(Classifiers!$C$13,E371)),1,0))+IF(Classifiers!$D$13="",0,IF(ISNUMBER(SEARCH(Classifiers!$D$13,E371)),1,0))+IF(Classifiers!$E$13="",0,IF(ISNUMBER(SEARCH(Classifiers!$E$13,E371)),1,0))+IF(Classifiers!$F$13="",0,IF(ISNUMBER(SEARCH(Classifiers!$F$13,E371)),1,0))+IF(Classifiers!$G$13="",0,IF(ISNUMBER(SEARCH(Classifiers!$G$13,E371)),1,0)))&gt;0,1,0))</f>
        <v/>
      </c>
      <c r="S371" s="12">
        <f>IF(H371&lt;&gt;1,0,IF((IF(Classifiers!$B$14="",0,IF(ISNUMBER(SEARCH(Classifiers!$B$14,E371)),1,0))+IF(Classifiers!$C$14="",0,IF(ISNUMBER(SEARCH(Classifiers!$C$14,E371)),1,0))+IF(Classifiers!$D$14="",0,IF(ISNUMBER(SEARCH(Classifiers!$D$14,E371)),1,0))+IF(Classifiers!$E$14="",0,IF(ISNUMBER(SEARCH(Classifiers!$E$14,E371)),1,0))+IF(Classifiers!$F$14="",0,IF(ISNUMBER(SEARCH(Classifiers!$F$14,E371)),1,0))+IF(Classifiers!$G$14="",0,IF(ISNUMBER(SEARCH(Classifiers!$G$14,E371)),1,0)))&gt;0,1,0))</f>
        <v/>
      </c>
      <c r="T371" s="12">
        <f>IF(H371&lt;&gt;1,0,IF((IF(Classifiers!$B$15="",0,IF(ISNUMBER(SEARCH(Classifiers!$B$15,E371)),1,0))+IF(Classifiers!$C$15="",0,IF(ISNUMBER(SEARCH(Classifiers!$C$15,E371)),1,0))+IF(Classifiers!$D$15="",0,IF(ISNUMBER(SEARCH(Classifiers!$D$15,E371)),1,0))+IF(Classifiers!$E$15="",0,IF(ISNUMBER(SEARCH(Classifiers!$E$15,E371)),1,0))+IF(Classifiers!$F$15="",0,IF(ISNUMBER(SEARCH(Classifiers!$F$15,E371)),1,0))+IF(Classifiers!$G$15="",0,IF(ISNUMBER(SEARCH(Classifiers!$G$15,E371)),1,0)))&gt;0,1,0))</f>
        <v/>
      </c>
      <c r="U371" s="12">
        <f>IF(H371&lt;&gt;1,0,IF((IF(Classifiers!$B$16="",0,IF(ISNUMBER(SEARCH(Classifiers!$B$16,E371)),1,0))+IF(Classifiers!$C$16="",0,IF(ISNUMBER(SEARCH(Classifiers!$C$16,E371)),1,0))+IF(Classifiers!$D$16="",0,IF(ISNUMBER(SEARCH(Classifiers!$D$16,E371)),1,0))+IF(Classifiers!$E$16="",0,IF(ISNUMBER(SEARCH(Classifiers!$E$16,E371)),1,0))+IF(Classifiers!$F$16="",0,IF(ISNUMBER(SEARCH(Classifiers!$F$16,E371)),1,0))+IF(Classifiers!$G$16="",0,IF(ISNUMBER(SEARCH(Classifiers!$G$16,E371)),1,0)))&gt;0,1,0))</f>
        <v/>
      </c>
      <c r="V371" s="12">
        <f>IF(H371&lt;&gt;1,0,IF((IF(Classifiers!$B$17="",0,IF(ISNUMBER(SEARCH(Classifiers!$B$17,E371)),1,0))+IF(Classifiers!$C$17="",0,IF(ISNUMBER(SEARCH(Classifiers!$C$17,E371)),1,0))+IF(Classifiers!$D$17="",0,IF(ISNUMBER(SEARCH(Classifiers!$D$17,E371)),1,0))+IF(Classifiers!$E$17="",0,IF(ISNUMBER(SEARCH(Classifiers!$E$17,E371)),1,0))+IF(Classifiers!$F$17="",0,IF(ISNUMBER(SEARCH(Classifiers!$F$17,E371)),1,0))+IF(Classifiers!$G$17="",0,IF(ISNUMBER(SEARCH(Classifiers!$G$17,E371)),1,0)))&gt;0,1,0))</f>
        <v/>
      </c>
      <c r="W371" s="12">
        <f>IF(H371&lt;&gt;1,0,IF((IF(Classifiers!$B$18="",0,IF(ISNUMBER(SEARCH(Classifiers!$B$18,E371)),1,0))+IF(Classifiers!$C$18="",0,IF(ISNUMBER(SEARCH(Classifiers!$C$18,E371)),1,0))+IF(Classifiers!$D$18="",0,IF(ISNUMBER(SEARCH(Classifiers!$D$18,E371)),1,0))+IF(Classifiers!$E$18="",0,IF(ISNUMBER(SEARCH(Classifiers!$E$18,E371)),1,0))+IF(Classifiers!$F$18="",0,IF(ISNUMBER(SEARCH(Classifiers!$F$18,E371)),1,0))+IF(Classifiers!$G$18="",0,IF(ISNUMBER(SEARCH(Classifiers!$G$18,E371)),1,0)))&gt;0,1,0))</f>
        <v/>
      </c>
    </row>
    <row r="372">
      <c r="A372" s="8" t="n"/>
      <c r="B372" s="11" t="n"/>
      <c r="C372" s="6">
        <f>IF(A372="","",TRIM(RIGHT(SUBSTITUTE(A372,"/",REPT(" ",250)),250)))</f>
        <v/>
      </c>
      <c r="D372" s="6">
        <f>IF(C372="","",IF(ISNUMBER(SEARCH(".",C372)),LOWER("."&amp;TRIM(RIGHT(SUBSTITUTE(C372,".",REPT(" ",250)),250))),""))</f>
        <v/>
      </c>
      <c r="E372" s="6">
        <f>IF(C372="","",TRIM(SUBSTITUTE(SUBSTITUTE(SUBSTITUTE(SUBSTITUTE(SUBSTITUTE(SUBSTITUTE(SUBSTITUTE(SUBSTITUTE(SUBSTITUTE(SUBSTITUTE(SUBSTITUTE(SUBSTITUTE(SUBSTITUTE(SUBSTITUTE(SUBSTITUTE(SUBSTITUTE(SUBSTITUTE(SUBSTITUTE(SUBSTITUTE(SUBSTITUTE(LOWER(LEFT(C372,LEN(C372)-LEN(D372))),"_"," "),"-"," "),"."," "),","," "),"("," "),")"," "),"["," "),"]"," "),"&amp;"," "),"+"," "),"@"," "),"#"," "),"!"," "),"'"," "),"/"," "),":"," "),";"," "),"="," "),"~"," "),"%"," ")))</f>
        <v/>
      </c>
      <c r="F372" s="6">
        <f>IF(C372="","",IF(COUNTIF(Classifiers!$A$23:$A$40,D372)&gt;0,1,0))</f>
        <v/>
      </c>
      <c r="G372" s="6">
        <f>IF(C372="","",IF(COUNTIF(Classifiers!$C$23:$C$30,D372)&gt;0,IF((IF(ISNUMBER(SEARCH(Classifiers!$E$23,E372)),1,0)+IF(ISNUMBER(SEARCH(Classifiers!$E$24,E372)),1,0)+IF(ISNUMBER(SEARCH(Classifiers!$E$25,E372)),1,0)+IF(ISNUMBER(SEARCH(Classifiers!$E$26,E372)),1,0)+IF(ISNUMBER(SEARCH(Classifiers!$E$27,E372)),1,0)+IF(ISNUMBER(SEARCH(Classifiers!$E$28,E372)),1,0)+IF(ISNUMBER(SEARCH(Classifiers!$E$29,E372)),1,0)+IF(ISNUMBER(SEARCH(Classifiers!$E$30,E372)),1,0))&gt;0,1,0),0))</f>
        <v/>
      </c>
      <c r="H372" s="6">
        <f>IF(C372="","",IF(OR(LEFT(C372,1)=".",AND(F372=0,G372=0)),0,1))</f>
        <v/>
      </c>
      <c r="I372" s="6">
        <f>IF(H372&lt;&gt;1,"",IF(SUM(J372:W372)=0,"unclassified",INDEX(Classifiers!$A$5:$A$18,MATCH(1,J372:W372,0),1)))</f>
        <v/>
      </c>
      <c r="J372" s="12">
        <f>IF(H372&lt;&gt;1,0,IF((IF(Classifiers!$B$5="",0,IF(ISNUMBER(SEARCH(Classifiers!$B$5,E372)),1,0))+IF(Classifiers!$C$5="",0,IF(ISNUMBER(SEARCH(Classifiers!$C$5,E372)),1,0))+IF(Classifiers!$D$5="",0,IF(ISNUMBER(SEARCH(Classifiers!$D$5,E372)),1,0))+IF(Classifiers!$E$5="",0,IF(ISNUMBER(SEARCH(Classifiers!$E$5,E372)),1,0))+IF(Classifiers!$F$5="",0,IF(ISNUMBER(SEARCH(Classifiers!$F$5,E372)),1,0))+IF(Classifiers!$G$5="",0,IF(ISNUMBER(SEARCH(Classifiers!$G$5,E372)),1,0)))&gt;0,1,0))</f>
        <v/>
      </c>
      <c r="K372" s="12">
        <f>IF(H372&lt;&gt;1,0,IF((IF(Classifiers!$B$6="",0,IF(ISNUMBER(SEARCH(Classifiers!$B$6,E372)),1,0))+IF(Classifiers!$C$6="",0,IF(ISNUMBER(SEARCH(Classifiers!$C$6,E372)),1,0))+IF(Classifiers!$D$6="",0,IF(ISNUMBER(SEARCH(Classifiers!$D$6,E372)),1,0))+IF(Classifiers!$E$6="",0,IF(ISNUMBER(SEARCH(Classifiers!$E$6,E372)),1,0))+IF(Classifiers!$F$6="",0,IF(ISNUMBER(SEARCH(Classifiers!$F$6,E372)),1,0))+IF(Classifiers!$G$6="",0,IF(ISNUMBER(SEARCH(Classifiers!$G$6,E372)),1,0)))&gt;0,1,0))</f>
        <v/>
      </c>
      <c r="L372" s="12">
        <f>IF(H372&lt;&gt;1,0,IF((IF(Classifiers!$B$7="",0,IF(ISNUMBER(SEARCH(Classifiers!$B$7,E372)),1,0))+IF(Classifiers!$C$7="",0,IF(ISNUMBER(SEARCH(Classifiers!$C$7,E372)),1,0))+IF(Classifiers!$D$7="",0,IF(ISNUMBER(SEARCH(Classifiers!$D$7,E372)),1,0))+IF(Classifiers!$E$7="",0,IF(ISNUMBER(SEARCH(Classifiers!$E$7,E372)),1,0))+IF(Classifiers!$F$7="",0,IF(ISNUMBER(SEARCH(Classifiers!$F$7,E372)),1,0))+IF(Classifiers!$G$7="",0,IF(ISNUMBER(SEARCH(Classifiers!$G$7,E372)),1,0)))&gt;0,1,0))</f>
        <v/>
      </c>
      <c r="M372" s="12">
        <f>IF(H372&lt;&gt;1,0,IF((IF(Classifiers!$B$8="",0,IF(ISNUMBER(SEARCH(Classifiers!$B$8,E372)),1,0))+IF(Classifiers!$C$8="",0,IF(ISNUMBER(SEARCH(Classifiers!$C$8,E372)),1,0))+IF(Classifiers!$D$8="",0,IF(ISNUMBER(SEARCH(Classifiers!$D$8,E372)),1,0))+IF(Classifiers!$E$8="",0,IF(ISNUMBER(SEARCH(Classifiers!$E$8,E372)),1,0))+IF(Classifiers!$F$8="",0,IF(ISNUMBER(SEARCH(Classifiers!$F$8,E372)),1,0))+IF(Classifiers!$G$8="",0,IF(ISNUMBER(SEARCH(Classifiers!$G$8,E372)),1,0)))&gt;0,1,0))</f>
        <v/>
      </c>
      <c r="N372" s="12">
        <f>IF(H372&lt;&gt;1,0,IF((IF(Classifiers!$B$9="",0,IF(ISNUMBER(SEARCH(Classifiers!$B$9,E372)),1,0))+IF(Classifiers!$C$9="",0,IF(ISNUMBER(SEARCH(Classifiers!$C$9,E372)),1,0))+IF(Classifiers!$D$9="",0,IF(ISNUMBER(SEARCH(Classifiers!$D$9,E372)),1,0))+IF(Classifiers!$E$9="",0,IF(ISNUMBER(SEARCH(Classifiers!$E$9,E372)),1,0))+IF(Classifiers!$F$9="",0,IF(ISNUMBER(SEARCH(Classifiers!$F$9,E372)),1,0))+IF(Classifiers!$G$9="",0,IF(ISNUMBER(SEARCH(Classifiers!$G$9,E372)),1,0)))&gt;0,1,0))</f>
        <v/>
      </c>
      <c r="O372" s="12">
        <f>IF(H372&lt;&gt;1,0,IF((IF(Classifiers!$B$10="",0,IF(ISNUMBER(SEARCH(Classifiers!$B$10,E372)),1,0))+IF(Classifiers!$C$10="",0,IF(ISNUMBER(SEARCH(Classifiers!$C$10,E372)),1,0))+IF(Classifiers!$D$10="",0,IF(ISNUMBER(SEARCH(Classifiers!$D$10,E372)),1,0))+IF(Classifiers!$E$10="",0,IF(ISNUMBER(SEARCH(Classifiers!$E$10,E372)),1,0))+IF(Classifiers!$F$10="",0,IF(ISNUMBER(SEARCH(Classifiers!$F$10,E372)),1,0))+IF(Classifiers!$G$10="",0,IF(ISNUMBER(SEARCH(Classifiers!$G$10,E372)),1,0)))&gt;0,1,0))</f>
        <v/>
      </c>
      <c r="P372" s="12">
        <f>IF(H372&lt;&gt;1,0,IF((IF(Classifiers!$B$11="",0,IF(ISNUMBER(SEARCH(Classifiers!$B$11,E372)),1,0))+IF(Classifiers!$C$11="",0,IF(ISNUMBER(SEARCH(Classifiers!$C$11,E372)),1,0))+IF(Classifiers!$D$11="",0,IF(ISNUMBER(SEARCH(Classifiers!$D$11,E372)),1,0))+IF(Classifiers!$E$11="",0,IF(ISNUMBER(SEARCH(Classifiers!$E$11,E372)),1,0))+IF(Classifiers!$F$11="",0,IF(ISNUMBER(SEARCH(Classifiers!$F$11,E372)),1,0))+IF(Classifiers!$G$11="",0,IF(ISNUMBER(SEARCH(Classifiers!$G$11,E372)),1,0)))&gt;0,1,0))</f>
        <v/>
      </c>
      <c r="Q372" s="12">
        <f>IF(H372&lt;&gt;1,0,IF((IF(Classifiers!$B$12="",0,IF(ISNUMBER(SEARCH(Classifiers!$B$12,E372)),1,0))+IF(Classifiers!$C$12="",0,IF(ISNUMBER(SEARCH(Classifiers!$C$12,E372)),1,0))+IF(Classifiers!$D$12="",0,IF(ISNUMBER(SEARCH(Classifiers!$D$12,E372)),1,0))+IF(Classifiers!$E$12="",0,IF(ISNUMBER(SEARCH(Classifiers!$E$12,E372)),1,0))+IF(Classifiers!$F$12="",0,IF(ISNUMBER(SEARCH(Classifiers!$F$12,E372)),1,0))+IF(Classifiers!$G$12="",0,IF(ISNUMBER(SEARCH(Classifiers!$G$12,E372)),1,0)))&gt;0,1,0))</f>
        <v/>
      </c>
      <c r="R372" s="12">
        <f>IF(H372&lt;&gt;1,0,IF((IF(Classifiers!$B$13="",0,IF(ISNUMBER(SEARCH(Classifiers!$B$13,E372)),1,0))+IF(Classifiers!$C$13="",0,IF(ISNUMBER(SEARCH(Classifiers!$C$13,E372)),1,0))+IF(Classifiers!$D$13="",0,IF(ISNUMBER(SEARCH(Classifiers!$D$13,E372)),1,0))+IF(Classifiers!$E$13="",0,IF(ISNUMBER(SEARCH(Classifiers!$E$13,E372)),1,0))+IF(Classifiers!$F$13="",0,IF(ISNUMBER(SEARCH(Classifiers!$F$13,E372)),1,0))+IF(Classifiers!$G$13="",0,IF(ISNUMBER(SEARCH(Classifiers!$G$13,E372)),1,0)))&gt;0,1,0))</f>
        <v/>
      </c>
      <c r="S372" s="12">
        <f>IF(H372&lt;&gt;1,0,IF((IF(Classifiers!$B$14="",0,IF(ISNUMBER(SEARCH(Classifiers!$B$14,E372)),1,0))+IF(Classifiers!$C$14="",0,IF(ISNUMBER(SEARCH(Classifiers!$C$14,E372)),1,0))+IF(Classifiers!$D$14="",0,IF(ISNUMBER(SEARCH(Classifiers!$D$14,E372)),1,0))+IF(Classifiers!$E$14="",0,IF(ISNUMBER(SEARCH(Classifiers!$E$14,E372)),1,0))+IF(Classifiers!$F$14="",0,IF(ISNUMBER(SEARCH(Classifiers!$F$14,E372)),1,0))+IF(Classifiers!$G$14="",0,IF(ISNUMBER(SEARCH(Classifiers!$G$14,E372)),1,0)))&gt;0,1,0))</f>
        <v/>
      </c>
      <c r="T372" s="12">
        <f>IF(H372&lt;&gt;1,0,IF((IF(Classifiers!$B$15="",0,IF(ISNUMBER(SEARCH(Classifiers!$B$15,E372)),1,0))+IF(Classifiers!$C$15="",0,IF(ISNUMBER(SEARCH(Classifiers!$C$15,E372)),1,0))+IF(Classifiers!$D$15="",0,IF(ISNUMBER(SEARCH(Classifiers!$D$15,E372)),1,0))+IF(Classifiers!$E$15="",0,IF(ISNUMBER(SEARCH(Classifiers!$E$15,E372)),1,0))+IF(Classifiers!$F$15="",0,IF(ISNUMBER(SEARCH(Classifiers!$F$15,E372)),1,0))+IF(Classifiers!$G$15="",0,IF(ISNUMBER(SEARCH(Classifiers!$G$15,E372)),1,0)))&gt;0,1,0))</f>
        <v/>
      </c>
      <c r="U372" s="12">
        <f>IF(H372&lt;&gt;1,0,IF((IF(Classifiers!$B$16="",0,IF(ISNUMBER(SEARCH(Classifiers!$B$16,E372)),1,0))+IF(Classifiers!$C$16="",0,IF(ISNUMBER(SEARCH(Classifiers!$C$16,E372)),1,0))+IF(Classifiers!$D$16="",0,IF(ISNUMBER(SEARCH(Classifiers!$D$16,E372)),1,0))+IF(Classifiers!$E$16="",0,IF(ISNUMBER(SEARCH(Classifiers!$E$16,E372)),1,0))+IF(Classifiers!$F$16="",0,IF(ISNUMBER(SEARCH(Classifiers!$F$16,E372)),1,0))+IF(Classifiers!$G$16="",0,IF(ISNUMBER(SEARCH(Classifiers!$G$16,E372)),1,0)))&gt;0,1,0))</f>
        <v/>
      </c>
      <c r="V372" s="12">
        <f>IF(H372&lt;&gt;1,0,IF((IF(Classifiers!$B$17="",0,IF(ISNUMBER(SEARCH(Classifiers!$B$17,E372)),1,0))+IF(Classifiers!$C$17="",0,IF(ISNUMBER(SEARCH(Classifiers!$C$17,E372)),1,0))+IF(Classifiers!$D$17="",0,IF(ISNUMBER(SEARCH(Classifiers!$D$17,E372)),1,0))+IF(Classifiers!$E$17="",0,IF(ISNUMBER(SEARCH(Classifiers!$E$17,E372)),1,0))+IF(Classifiers!$F$17="",0,IF(ISNUMBER(SEARCH(Classifiers!$F$17,E372)),1,0))+IF(Classifiers!$G$17="",0,IF(ISNUMBER(SEARCH(Classifiers!$G$17,E372)),1,0)))&gt;0,1,0))</f>
        <v/>
      </c>
      <c r="W372" s="12">
        <f>IF(H372&lt;&gt;1,0,IF((IF(Classifiers!$B$18="",0,IF(ISNUMBER(SEARCH(Classifiers!$B$18,E372)),1,0))+IF(Classifiers!$C$18="",0,IF(ISNUMBER(SEARCH(Classifiers!$C$18,E372)),1,0))+IF(Classifiers!$D$18="",0,IF(ISNUMBER(SEARCH(Classifiers!$D$18,E372)),1,0))+IF(Classifiers!$E$18="",0,IF(ISNUMBER(SEARCH(Classifiers!$E$18,E372)),1,0))+IF(Classifiers!$F$18="",0,IF(ISNUMBER(SEARCH(Classifiers!$F$18,E372)),1,0))+IF(Classifiers!$G$18="",0,IF(ISNUMBER(SEARCH(Classifiers!$G$18,E372)),1,0)))&gt;0,1,0))</f>
        <v/>
      </c>
    </row>
    <row r="373">
      <c r="A373" s="8" t="n"/>
      <c r="B373" s="11" t="n"/>
      <c r="C373" s="6">
        <f>IF(A373="","",TRIM(RIGHT(SUBSTITUTE(A373,"/",REPT(" ",250)),250)))</f>
        <v/>
      </c>
      <c r="D373" s="6">
        <f>IF(C373="","",IF(ISNUMBER(SEARCH(".",C373)),LOWER("."&amp;TRIM(RIGHT(SUBSTITUTE(C373,".",REPT(" ",250)),250))),""))</f>
        <v/>
      </c>
      <c r="E373" s="6">
        <f>IF(C373="","",TRIM(SUBSTITUTE(SUBSTITUTE(SUBSTITUTE(SUBSTITUTE(SUBSTITUTE(SUBSTITUTE(SUBSTITUTE(SUBSTITUTE(SUBSTITUTE(SUBSTITUTE(SUBSTITUTE(SUBSTITUTE(SUBSTITUTE(SUBSTITUTE(SUBSTITUTE(SUBSTITUTE(SUBSTITUTE(SUBSTITUTE(SUBSTITUTE(SUBSTITUTE(LOWER(LEFT(C373,LEN(C373)-LEN(D373))),"_"," "),"-"," "),"."," "),","," "),"("," "),")"," "),"["," "),"]"," "),"&amp;"," "),"+"," "),"@"," "),"#"," "),"!"," "),"'"," "),"/"," "),":"," "),";"," "),"="," "),"~"," "),"%"," ")))</f>
        <v/>
      </c>
      <c r="F373" s="6">
        <f>IF(C373="","",IF(COUNTIF(Classifiers!$A$23:$A$40,D373)&gt;0,1,0))</f>
        <v/>
      </c>
      <c r="G373" s="6">
        <f>IF(C373="","",IF(COUNTIF(Classifiers!$C$23:$C$30,D373)&gt;0,IF((IF(ISNUMBER(SEARCH(Classifiers!$E$23,E373)),1,0)+IF(ISNUMBER(SEARCH(Classifiers!$E$24,E373)),1,0)+IF(ISNUMBER(SEARCH(Classifiers!$E$25,E373)),1,0)+IF(ISNUMBER(SEARCH(Classifiers!$E$26,E373)),1,0)+IF(ISNUMBER(SEARCH(Classifiers!$E$27,E373)),1,0)+IF(ISNUMBER(SEARCH(Classifiers!$E$28,E373)),1,0)+IF(ISNUMBER(SEARCH(Classifiers!$E$29,E373)),1,0)+IF(ISNUMBER(SEARCH(Classifiers!$E$30,E373)),1,0))&gt;0,1,0),0))</f>
        <v/>
      </c>
      <c r="H373" s="6">
        <f>IF(C373="","",IF(OR(LEFT(C373,1)=".",AND(F373=0,G373=0)),0,1))</f>
        <v/>
      </c>
      <c r="I373" s="6">
        <f>IF(H373&lt;&gt;1,"",IF(SUM(J373:W373)=0,"unclassified",INDEX(Classifiers!$A$5:$A$18,MATCH(1,J373:W373,0),1)))</f>
        <v/>
      </c>
      <c r="J373" s="12">
        <f>IF(H373&lt;&gt;1,0,IF((IF(Classifiers!$B$5="",0,IF(ISNUMBER(SEARCH(Classifiers!$B$5,E373)),1,0))+IF(Classifiers!$C$5="",0,IF(ISNUMBER(SEARCH(Classifiers!$C$5,E373)),1,0))+IF(Classifiers!$D$5="",0,IF(ISNUMBER(SEARCH(Classifiers!$D$5,E373)),1,0))+IF(Classifiers!$E$5="",0,IF(ISNUMBER(SEARCH(Classifiers!$E$5,E373)),1,0))+IF(Classifiers!$F$5="",0,IF(ISNUMBER(SEARCH(Classifiers!$F$5,E373)),1,0))+IF(Classifiers!$G$5="",0,IF(ISNUMBER(SEARCH(Classifiers!$G$5,E373)),1,0)))&gt;0,1,0))</f>
        <v/>
      </c>
      <c r="K373" s="12">
        <f>IF(H373&lt;&gt;1,0,IF((IF(Classifiers!$B$6="",0,IF(ISNUMBER(SEARCH(Classifiers!$B$6,E373)),1,0))+IF(Classifiers!$C$6="",0,IF(ISNUMBER(SEARCH(Classifiers!$C$6,E373)),1,0))+IF(Classifiers!$D$6="",0,IF(ISNUMBER(SEARCH(Classifiers!$D$6,E373)),1,0))+IF(Classifiers!$E$6="",0,IF(ISNUMBER(SEARCH(Classifiers!$E$6,E373)),1,0))+IF(Classifiers!$F$6="",0,IF(ISNUMBER(SEARCH(Classifiers!$F$6,E373)),1,0))+IF(Classifiers!$G$6="",0,IF(ISNUMBER(SEARCH(Classifiers!$G$6,E373)),1,0)))&gt;0,1,0))</f>
        <v/>
      </c>
      <c r="L373" s="12">
        <f>IF(H373&lt;&gt;1,0,IF((IF(Classifiers!$B$7="",0,IF(ISNUMBER(SEARCH(Classifiers!$B$7,E373)),1,0))+IF(Classifiers!$C$7="",0,IF(ISNUMBER(SEARCH(Classifiers!$C$7,E373)),1,0))+IF(Classifiers!$D$7="",0,IF(ISNUMBER(SEARCH(Classifiers!$D$7,E373)),1,0))+IF(Classifiers!$E$7="",0,IF(ISNUMBER(SEARCH(Classifiers!$E$7,E373)),1,0))+IF(Classifiers!$F$7="",0,IF(ISNUMBER(SEARCH(Classifiers!$F$7,E373)),1,0))+IF(Classifiers!$G$7="",0,IF(ISNUMBER(SEARCH(Classifiers!$G$7,E373)),1,0)))&gt;0,1,0))</f>
        <v/>
      </c>
      <c r="M373" s="12">
        <f>IF(H373&lt;&gt;1,0,IF((IF(Classifiers!$B$8="",0,IF(ISNUMBER(SEARCH(Classifiers!$B$8,E373)),1,0))+IF(Classifiers!$C$8="",0,IF(ISNUMBER(SEARCH(Classifiers!$C$8,E373)),1,0))+IF(Classifiers!$D$8="",0,IF(ISNUMBER(SEARCH(Classifiers!$D$8,E373)),1,0))+IF(Classifiers!$E$8="",0,IF(ISNUMBER(SEARCH(Classifiers!$E$8,E373)),1,0))+IF(Classifiers!$F$8="",0,IF(ISNUMBER(SEARCH(Classifiers!$F$8,E373)),1,0))+IF(Classifiers!$G$8="",0,IF(ISNUMBER(SEARCH(Classifiers!$G$8,E373)),1,0)))&gt;0,1,0))</f>
        <v/>
      </c>
      <c r="N373" s="12">
        <f>IF(H373&lt;&gt;1,0,IF((IF(Classifiers!$B$9="",0,IF(ISNUMBER(SEARCH(Classifiers!$B$9,E373)),1,0))+IF(Classifiers!$C$9="",0,IF(ISNUMBER(SEARCH(Classifiers!$C$9,E373)),1,0))+IF(Classifiers!$D$9="",0,IF(ISNUMBER(SEARCH(Classifiers!$D$9,E373)),1,0))+IF(Classifiers!$E$9="",0,IF(ISNUMBER(SEARCH(Classifiers!$E$9,E373)),1,0))+IF(Classifiers!$F$9="",0,IF(ISNUMBER(SEARCH(Classifiers!$F$9,E373)),1,0))+IF(Classifiers!$G$9="",0,IF(ISNUMBER(SEARCH(Classifiers!$G$9,E373)),1,0)))&gt;0,1,0))</f>
        <v/>
      </c>
      <c r="O373" s="12">
        <f>IF(H373&lt;&gt;1,0,IF((IF(Classifiers!$B$10="",0,IF(ISNUMBER(SEARCH(Classifiers!$B$10,E373)),1,0))+IF(Classifiers!$C$10="",0,IF(ISNUMBER(SEARCH(Classifiers!$C$10,E373)),1,0))+IF(Classifiers!$D$10="",0,IF(ISNUMBER(SEARCH(Classifiers!$D$10,E373)),1,0))+IF(Classifiers!$E$10="",0,IF(ISNUMBER(SEARCH(Classifiers!$E$10,E373)),1,0))+IF(Classifiers!$F$10="",0,IF(ISNUMBER(SEARCH(Classifiers!$F$10,E373)),1,0))+IF(Classifiers!$G$10="",0,IF(ISNUMBER(SEARCH(Classifiers!$G$10,E373)),1,0)))&gt;0,1,0))</f>
        <v/>
      </c>
      <c r="P373" s="12">
        <f>IF(H373&lt;&gt;1,0,IF((IF(Classifiers!$B$11="",0,IF(ISNUMBER(SEARCH(Classifiers!$B$11,E373)),1,0))+IF(Classifiers!$C$11="",0,IF(ISNUMBER(SEARCH(Classifiers!$C$11,E373)),1,0))+IF(Classifiers!$D$11="",0,IF(ISNUMBER(SEARCH(Classifiers!$D$11,E373)),1,0))+IF(Classifiers!$E$11="",0,IF(ISNUMBER(SEARCH(Classifiers!$E$11,E373)),1,0))+IF(Classifiers!$F$11="",0,IF(ISNUMBER(SEARCH(Classifiers!$F$11,E373)),1,0))+IF(Classifiers!$G$11="",0,IF(ISNUMBER(SEARCH(Classifiers!$G$11,E373)),1,0)))&gt;0,1,0))</f>
        <v/>
      </c>
      <c r="Q373" s="12">
        <f>IF(H373&lt;&gt;1,0,IF((IF(Classifiers!$B$12="",0,IF(ISNUMBER(SEARCH(Classifiers!$B$12,E373)),1,0))+IF(Classifiers!$C$12="",0,IF(ISNUMBER(SEARCH(Classifiers!$C$12,E373)),1,0))+IF(Classifiers!$D$12="",0,IF(ISNUMBER(SEARCH(Classifiers!$D$12,E373)),1,0))+IF(Classifiers!$E$12="",0,IF(ISNUMBER(SEARCH(Classifiers!$E$12,E373)),1,0))+IF(Classifiers!$F$12="",0,IF(ISNUMBER(SEARCH(Classifiers!$F$12,E373)),1,0))+IF(Classifiers!$G$12="",0,IF(ISNUMBER(SEARCH(Classifiers!$G$12,E373)),1,0)))&gt;0,1,0))</f>
        <v/>
      </c>
      <c r="R373" s="12">
        <f>IF(H373&lt;&gt;1,0,IF((IF(Classifiers!$B$13="",0,IF(ISNUMBER(SEARCH(Classifiers!$B$13,E373)),1,0))+IF(Classifiers!$C$13="",0,IF(ISNUMBER(SEARCH(Classifiers!$C$13,E373)),1,0))+IF(Classifiers!$D$13="",0,IF(ISNUMBER(SEARCH(Classifiers!$D$13,E373)),1,0))+IF(Classifiers!$E$13="",0,IF(ISNUMBER(SEARCH(Classifiers!$E$13,E373)),1,0))+IF(Classifiers!$F$13="",0,IF(ISNUMBER(SEARCH(Classifiers!$F$13,E373)),1,0))+IF(Classifiers!$G$13="",0,IF(ISNUMBER(SEARCH(Classifiers!$G$13,E373)),1,0)))&gt;0,1,0))</f>
        <v/>
      </c>
      <c r="S373" s="12">
        <f>IF(H373&lt;&gt;1,0,IF((IF(Classifiers!$B$14="",0,IF(ISNUMBER(SEARCH(Classifiers!$B$14,E373)),1,0))+IF(Classifiers!$C$14="",0,IF(ISNUMBER(SEARCH(Classifiers!$C$14,E373)),1,0))+IF(Classifiers!$D$14="",0,IF(ISNUMBER(SEARCH(Classifiers!$D$14,E373)),1,0))+IF(Classifiers!$E$14="",0,IF(ISNUMBER(SEARCH(Classifiers!$E$14,E373)),1,0))+IF(Classifiers!$F$14="",0,IF(ISNUMBER(SEARCH(Classifiers!$F$14,E373)),1,0))+IF(Classifiers!$G$14="",0,IF(ISNUMBER(SEARCH(Classifiers!$G$14,E373)),1,0)))&gt;0,1,0))</f>
        <v/>
      </c>
      <c r="T373" s="12">
        <f>IF(H373&lt;&gt;1,0,IF((IF(Classifiers!$B$15="",0,IF(ISNUMBER(SEARCH(Classifiers!$B$15,E373)),1,0))+IF(Classifiers!$C$15="",0,IF(ISNUMBER(SEARCH(Classifiers!$C$15,E373)),1,0))+IF(Classifiers!$D$15="",0,IF(ISNUMBER(SEARCH(Classifiers!$D$15,E373)),1,0))+IF(Classifiers!$E$15="",0,IF(ISNUMBER(SEARCH(Classifiers!$E$15,E373)),1,0))+IF(Classifiers!$F$15="",0,IF(ISNUMBER(SEARCH(Classifiers!$F$15,E373)),1,0))+IF(Classifiers!$G$15="",0,IF(ISNUMBER(SEARCH(Classifiers!$G$15,E373)),1,0)))&gt;0,1,0))</f>
        <v/>
      </c>
      <c r="U373" s="12">
        <f>IF(H373&lt;&gt;1,0,IF((IF(Classifiers!$B$16="",0,IF(ISNUMBER(SEARCH(Classifiers!$B$16,E373)),1,0))+IF(Classifiers!$C$16="",0,IF(ISNUMBER(SEARCH(Classifiers!$C$16,E373)),1,0))+IF(Classifiers!$D$16="",0,IF(ISNUMBER(SEARCH(Classifiers!$D$16,E373)),1,0))+IF(Classifiers!$E$16="",0,IF(ISNUMBER(SEARCH(Classifiers!$E$16,E373)),1,0))+IF(Classifiers!$F$16="",0,IF(ISNUMBER(SEARCH(Classifiers!$F$16,E373)),1,0))+IF(Classifiers!$G$16="",0,IF(ISNUMBER(SEARCH(Classifiers!$G$16,E373)),1,0)))&gt;0,1,0))</f>
        <v/>
      </c>
      <c r="V373" s="12">
        <f>IF(H373&lt;&gt;1,0,IF((IF(Classifiers!$B$17="",0,IF(ISNUMBER(SEARCH(Classifiers!$B$17,E373)),1,0))+IF(Classifiers!$C$17="",0,IF(ISNUMBER(SEARCH(Classifiers!$C$17,E373)),1,0))+IF(Classifiers!$D$17="",0,IF(ISNUMBER(SEARCH(Classifiers!$D$17,E373)),1,0))+IF(Classifiers!$E$17="",0,IF(ISNUMBER(SEARCH(Classifiers!$E$17,E373)),1,0))+IF(Classifiers!$F$17="",0,IF(ISNUMBER(SEARCH(Classifiers!$F$17,E373)),1,0))+IF(Classifiers!$G$17="",0,IF(ISNUMBER(SEARCH(Classifiers!$G$17,E373)),1,0)))&gt;0,1,0))</f>
        <v/>
      </c>
      <c r="W373" s="12">
        <f>IF(H373&lt;&gt;1,0,IF((IF(Classifiers!$B$18="",0,IF(ISNUMBER(SEARCH(Classifiers!$B$18,E373)),1,0))+IF(Classifiers!$C$18="",0,IF(ISNUMBER(SEARCH(Classifiers!$C$18,E373)),1,0))+IF(Classifiers!$D$18="",0,IF(ISNUMBER(SEARCH(Classifiers!$D$18,E373)),1,0))+IF(Classifiers!$E$18="",0,IF(ISNUMBER(SEARCH(Classifiers!$E$18,E373)),1,0))+IF(Classifiers!$F$18="",0,IF(ISNUMBER(SEARCH(Classifiers!$F$18,E373)),1,0))+IF(Classifiers!$G$18="",0,IF(ISNUMBER(SEARCH(Classifiers!$G$18,E373)),1,0)))&gt;0,1,0))</f>
        <v/>
      </c>
    </row>
    <row r="374">
      <c r="A374" s="8" t="n"/>
      <c r="B374" s="11" t="n"/>
      <c r="C374" s="6">
        <f>IF(A374="","",TRIM(RIGHT(SUBSTITUTE(A374,"/",REPT(" ",250)),250)))</f>
        <v/>
      </c>
      <c r="D374" s="6">
        <f>IF(C374="","",IF(ISNUMBER(SEARCH(".",C374)),LOWER("."&amp;TRIM(RIGHT(SUBSTITUTE(C374,".",REPT(" ",250)),250))),""))</f>
        <v/>
      </c>
      <c r="E374" s="6">
        <f>IF(C374="","",TRIM(SUBSTITUTE(SUBSTITUTE(SUBSTITUTE(SUBSTITUTE(SUBSTITUTE(SUBSTITUTE(SUBSTITUTE(SUBSTITUTE(SUBSTITUTE(SUBSTITUTE(SUBSTITUTE(SUBSTITUTE(SUBSTITUTE(SUBSTITUTE(SUBSTITUTE(SUBSTITUTE(SUBSTITUTE(SUBSTITUTE(SUBSTITUTE(SUBSTITUTE(LOWER(LEFT(C374,LEN(C374)-LEN(D374))),"_"," "),"-"," "),"."," "),","," "),"("," "),")"," "),"["," "),"]"," "),"&amp;"," "),"+"," "),"@"," "),"#"," "),"!"," "),"'"," "),"/"," "),":"," "),";"," "),"="," "),"~"," "),"%"," ")))</f>
        <v/>
      </c>
      <c r="F374" s="6">
        <f>IF(C374="","",IF(COUNTIF(Classifiers!$A$23:$A$40,D374)&gt;0,1,0))</f>
        <v/>
      </c>
      <c r="G374" s="6">
        <f>IF(C374="","",IF(COUNTIF(Classifiers!$C$23:$C$30,D374)&gt;0,IF((IF(ISNUMBER(SEARCH(Classifiers!$E$23,E374)),1,0)+IF(ISNUMBER(SEARCH(Classifiers!$E$24,E374)),1,0)+IF(ISNUMBER(SEARCH(Classifiers!$E$25,E374)),1,0)+IF(ISNUMBER(SEARCH(Classifiers!$E$26,E374)),1,0)+IF(ISNUMBER(SEARCH(Classifiers!$E$27,E374)),1,0)+IF(ISNUMBER(SEARCH(Classifiers!$E$28,E374)),1,0)+IF(ISNUMBER(SEARCH(Classifiers!$E$29,E374)),1,0)+IF(ISNUMBER(SEARCH(Classifiers!$E$30,E374)),1,0))&gt;0,1,0),0))</f>
        <v/>
      </c>
      <c r="H374" s="6">
        <f>IF(C374="","",IF(OR(LEFT(C374,1)=".",AND(F374=0,G374=0)),0,1))</f>
        <v/>
      </c>
      <c r="I374" s="6">
        <f>IF(H374&lt;&gt;1,"",IF(SUM(J374:W374)=0,"unclassified",INDEX(Classifiers!$A$5:$A$18,MATCH(1,J374:W374,0),1)))</f>
        <v/>
      </c>
      <c r="J374" s="12">
        <f>IF(H374&lt;&gt;1,0,IF((IF(Classifiers!$B$5="",0,IF(ISNUMBER(SEARCH(Classifiers!$B$5,E374)),1,0))+IF(Classifiers!$C$5="",0,IF(ISNUMBER(SEARCH(Classifiers!$C$5,E374)),1,0))+IF(Classifiers!$D$5="",0,IF(ISNUMBER(SEARCH(Classifiers!$D$5,E374)),1,0))+IF(Classifiers!$E$5="",0,IF(ISNUMBER(SEARCH(Classifiers!$E$5,E374)),1,0))+IF(Classifiers!$F$5="",0,IF(ISNUMBER(SEARCH(Classifiers!$F$5,E374)),1,0))+IF(Classifiers!$G$5="",0,IF(ISNUMBER(SEARCH(Classifiers!$G$5,E374)),1,0)))&gt;0,1,0))</f>
        <v/>
      </c>
      <c r="K374" s="12">
        <f>IF(H374&lt;&gt;1,0,IF((IF(Classifiers!$B$6="",0,IF(ISNUMBER(SEARCH(Classifiers!$B$6,E374)),1,0))+IF(Classifiers!$C$6="",0,IF(ISNUMBER(SEARCH(Classifiers!$C$6,E374)),1,0))+IF(Classifiers!$D$6="",0,IF(ISNUMBER(SEARCH(Classifiers!$D$6,E374)),1,0))+IF(Classifiers!$E$6="",0,IF(ISNUMBER(SEARCH(Classifiers!$E$6,E374)),1,0))+IF(Classifiers!$F$6="",0,IF(ISNUMBER(SEARCH(Classifiers!$F$6,E374)),1,0))+IF(Classifiers!$G$6="",0,IF(ISNUMBER(SEARCH(Classifiers!$G$6,E374)),1,0)))&gt;0,1,0))</f>
        <v/>
      </c>
      <c r="L374" s="12">
        <f>IF(H374&lt;&gt;1,0,IF((IF(Classifiers!$B$7="",0,IF(ISNUMBER(SEARCH(Classifiers!$B$7,E374)),1,0))+IF(Classifiers!$C$7="",0,IF(ISNUMBER(SEARCH(Classifiers!$C$7,E374)),1,0))+IF(Classifiers!$D$7="",0,IF(ISNUMBER(SEARCH(Classifiers!$D$7,E374)),1,0))+IF(Classifiers!$E$7="",0,IF(ISNUMBER(SEARCH(Classifiers!$E$7,E374)),1,0))+IF(Classifiers!$F$7="",0,IF(ISNUMBER(SEARCH(Classifiers!$F$7,E374)),1,0))+IF(Classifiers!$G$7="",0,IF(ISNUMBER(SEARCH(Classifiers!$G$7,E374)),1,0)))&gt;0,1,0))</f>
        <v/>
      </c>
      <c r="M374" s="12">
        <f>IF(H374&lt;&gt;1,0,IF((IF(Classifiers!$B$8="",0,IF(ISNUMBER(SEARCH(Classifiers!$B$8,E374)),1,0))+IF(Classifiers!$C$8="",0,IF(ISNUMBER(SEARCH(Classifiers!$C$8,E374)),1,0))+IF(Classifiers!$D$8="",0,IF(ISNUMBER(SEARCH(Classifiers!$D$8,E374)),1,0))+IF(Classifiers!$E$8="",0,IF(ISNUMBER(SEARCH(Classifiers!$E$8,E374)),1,0))+IF(Classifiers!$F$8="",0,IF(ISNUMBER(SEARCH(Classifiers!$F$8,E374)),1,0))+IF(Classifiers!$G$8="",0,IF(ISNUMBER(SEARCH(Classifiers!$G$8,E374)),1,0)))&gt;0,1,0))</f>
        <v/>
      </c>
      <c r="N374" s="12">
        <f>IF(H374&lt;&gt;1,0,IF((IF(Classifiers!$B$9="",0,IF(ISNUMBER(SEARCH(Classifiers!$B$9,E374)),1,0))+IF(Classifiers!$C$9="",0,IF(ISNUMBER(SEARCH(Classifiers!$C$9,E374)),1,0))+IF(Classifiers!$D$9="",0,IF(ISNUMBER(SEARCH(Classifiers!$D$9,E374)),1,0))+IF(Classifiers!$E$9="",0,IF(ISNUMBER(SEARCH(Classifiers!$E$9,E374)),1,0))+IF(Classifiers!$F$9="",0,IF(ISNUMBER(SEARCH(Classifiers!$F$9,E374)),1,0))+IF(Classifiers!$G$9="",0,IF(ISNUMBER(SEARCH(Classifiers!$G$9,E374)),1,0)))&gt;0,1,0))</f>
        <v/>
      </c>
      <c r="O374" s="12">
        <f>IF(H374&lt;&gt;1,0,IF((IF(Classifiers!$B$10="",0,IF(ISNUMBER(SEARCH(Classifiers!$B$10,E374)),1,0))+IF(Classifiers!$C$10="",0,IF(ISNUMBER(SEARCH(Classifiers!$C$10,E374)),1,0))+IF(Classifiers!$D$10="",0,IF(ISNUMBER(SEARCH(Classifiers!$D$10,E374)),1,0))+IF(Classifiers!$E$10="",0,IF(ISNUMBER(SEARCH(Classifiers!$E$10,E374)),1,0))+IF(Classifiers!$F$10="",0,IF(ISNUMBER(SEARCH(Classifiers!$F$10,E374)),1,0))+IF(Classifiers!$G$10="",0,IF(ISNUMBER(SEARCH(Classifiers!$G$10,E374)),1,0)))&gt;0,1,0))</f>
        <v/>
      </c>
      <c r="P374" s="12">
        <f>IF(H374&lt;&gt;1,0,IF((IF(Classifiers!$B$11="",0,IF(ISNUMBER(SEARCH(Classifiers!$B$11,E374)),1,0))+IF(Classifiers!$C$11="",0,IF(ISNUMBER(SEARCH(Classifiers!$C$11,E374)),1,0))+IF(Classifiers!$D$11="",0,IF(ISNUMBER(SEARCH(Classifiers!$D$11,E374)),1,0))+IF(Classifiers!$E$11="",0,IF(ISNUMBER(SEARCH(Classifiers!$E$11,E374)),1,0))+IF(Classifiers!$F$11="",0,IF(ISNUMBER(SEARCH(Classifiers!$F$11,E374)),1,0))+IF(Classifiers!$G$11="",0,IF(ISNUMBER(SEARCH(Classifiers!$G$11,E374)),1,0)))&gt;0,1,0))</f>
        <v/>
      </c>
      <c r="Q374" s="12">
        <f>IF(H374&lt;&gt;1,0,IF((IF(Classifiers!$B$12="",0,IF(ISNUMBER(SEARCH(Classifiers!$B$12,E374)),1,0))+IF(Classifiers!$C$12="",0,IF(ISNUMBER(SEARCH(Classifiers!$C$12,E374)),1,0))+IF(Classifiers!$D$12="",0,IF(ISNUMBER(SEARCH(Classifiers!$D$12,E374)),1,0))+IF(Classifiers!$E$12="",0,IF(ISNUMBER(SEARCH(Classifiers!$E$12,E374)),1,0))+IF(Classifiers!$F$12="",0,IF(ISNUMBER(SEARCH(Classifiers!$F$12,E374)),1,0))+IF(Classifiers!$G$12="",0,IF(ISNUMBER(SEARCH(Classifiers!$G$12,E374)),1,0)))&gt;0,1,0))</f>
        <v/>
      </c>
      <c r="R374" s="12">
        <f>IF(H374&lt;&gt;1,0,IF((IF(Classifiers!$B$13="",0,IF(ISNUMBER(SEARCH(Classifiers!$B$13,E374)),1,0))+IF(Classifiers!$C$13="",0,IF(ISNUMBER(SEARCH(Classifiers!$C$13,E374)),1,0))+IF(Classifiers!$D$13="",0,IF(ISNUMBER(SEARCH(Classifiers!$D$13,E374)),1,0))+IF(Classifiers!$E$13="",0,IF(ISNUMBER(SEARCH(Classifiers!$E$13,E374)),1,0))+IF(Classifiers!$F$13="",0,IF(ISNUMBER(SEARCH(Classifiers!$F$13,E374)),1,0))+IF(Classifiers!$G$13="",0,IF(ISNUMBER(SEARCH(Classifiers!$G$13,E374)),1,0)))&gt;0,1,0))</f>
        <v/>
      </c>
      <c r="S374" s="12">
        <f>IF(H374&lt;&gt;1,0,IF((IF(Classifiers!$B$14="",0,IF(ISNUMBER(SEARCH(Classifiers!$B$14,E374)),1,0))+IF(Classifiers!$C$14="",0,IF(ISNUMBER(SEARCH(Classifiers!$C$14,E374)),1,0))+IF(Classifiers!$D$14="",0,IF(ISNUMBER(SEARCH(Classifiers!$D$14,E374)),1,0))+IF(Classifiers!$E$14="",0,IF(ISNUMBER(SEARCH(Classifiers!$E$14,E374)),1,0))+IF(Classifiers!$F$14="",0,IF(ISNUMBER(SEARCH(Classifiers!$F$14,E374)),1,0))+IF(Classifiers!$G$14="",0,IF(ISNUMBER(SEARCH(Classifiers!$G$14,E374)),1,0)))&gt;0,1,0))</f>
        <v/>
      </c>
      <c r="T374" s="12">
        <f>IF(H374&lt;&gt;1,0,IF((IF(Classifiers!$B$15="",0,IF(ISNUMBER(SEARCH(Classifiers!$B$15,E374)),1,0))+IF(Classifiers!$C$15="",0,IF(ISNUMBER(SEARCH(Classifiers!$C$15,E374)),1,0))+IF(Classifiers!$D$15="",0,IF(ISNUMBER(SEARCH(Classifiers!$D$15,E374)),1,0))+IF(Classifiers!$E$15="",0,IF(ISNUMBER(SEARCH(Classifiers!$E$15,E374)),1,0))+IF(Classifiers!$F$15="",0,IF(ISNUMBER(SEARCH(Classifiers!$F$15,E374)),1,0))+IF(Classifiers!$G$15="",0,IF(ISNUMBER(SEARCH(Classifiers!$G$15,E374)),1,0)))&gt;0,1,0))</f>
        <v/>
      </c>
      <c r="U374" s="12">
        <f>IF(H374&lt;&gt;1,0,IF((IF(Classifiers!$B$16="",0,IF(ISNUMBER(SEARCH(Classifiers!$B$16,E374)),1,0))+IF(Classifiers!$C$16="",0,IF(ISNUMBER(SEARCH(Classifiers!$C$16,E374)),1,0))+IF(Classifiers!$D$16="",0,IF(ISNUMBER(SEARCH(Classifiers!$D$16,E374)),1,0))+IF(Classifiers!$E$16="",0,IF(ISNUMBER(SEARCH(Classifiers!$E$16,E374)),1,0))+IF(Classifiers!$F$16="",0,IF(ISNUMBER(SEARCH(Classifiers!$F$16,E374)),1,0))+IF(Classifiers!$G$16="",0,IF(ISNUMBER(SEARCH(Classifiers!$G$16,E374)),1,0)))&gt;0,1,0))</f>
        <v/>
      </c>
      <c r="V374" s="12">
        <f>IF(H374&lt;&gt;1,0,IF((IF(Classifiers!$B$17="",0,IF(ISNUMBER(SEARCH(Classifiers!$B$17,E374)),1,0))+IF(Classifiers!$C$17="",0,IF(ISNUMBER(SEARCH(Classifiers!$C$17,E374)),1,0))+IF(Classifiers!$D$17="",0,IF(ISNUMBER(SEARCH(Classifiers!$D$17,E374)),1,0))+IF(Classifiers!$E$17="",0,IF(ISNUMBER(SEARCH(Classifiers!$E$17,E374)),1,0))+IF(Classifiers!$F$17="",0,IF(ISNUMBER(SEARCH(Classifiers!$F$17,E374)),1,0))+IF(Classifiers!$G$17="",0,IF(ISNUMBER(SEARCH(Classifiers!$G$17,E374)),1,0)))&gt;0,1,0))</f>
        <v/>
      </c>
      <c r="W374" s="12">
        <f>IF(H374&lt;&gt;1,0,IF((IF(Classifiers!$B$18="",0,IF(ISNUMBER(SEARCH(Classifiers!$B$18,E374)),1,0))+IF(Classifiers!$C$18="",0,IF(ISNUMBER(SEARCH(Classifiers!$C$18,E374)),1,0))+IF(Classifiers!$D$18="",0,IF(ISNUMBER(SEARCH(Classifiers!$D$18,E374)),1,0))+IF(Classifiers!$E$18="",0,IF(ISNUMBER(SEARCH(Classifiers!$E$18,E374)),1,0))+IF(Classifiers!$F$18="",0,IF(ISNUMBER(SEARCH(Classifiers!$F$18,E374)),1,0))+IF(Classifiers!$G$18="",0,IF(ISNUMBER(SEARCH(Classifiers!$G$18,E374)),1,0)))&gt;0,1,0))</f>
        <v/>
      </c>
    </row>
    <row r="375">
      <c r="A375" s="8" t="n"/>
      <c r="B375" s="11" t="n"/>
      <c r="C375" s="6">
        <f>IF(A375="","",TRIM(RIGHT(SUBSTITUTE(A375,"/",REPT(" ",250)),250)))</f>
        <v/>
      </c>
      <c r="D375" s="6">
        <f>IF(C375="","",IF(ISNUMBER(SEARCH(".",C375)),LOWER("."&amp;TRIM(RIGHT(SUBSTITUTE(C375,".",REPT(" ",250)),250))),""))</f>
        <v/>
      </c>
      <c r="E375" s="6">
        <f>IF(C375="","",TRIM(SUBSTITUTE(SUBSTITUTE(SUBSTITUTE(SUBSTITUTE(SUBSTITUTE(SUBSTITUTE(SUBSTITUTE(SUBSTITUTE(SUBSTITUTE(SUBSTITUTE(SUBSTITUTE(SUBSTITUTE(SUBSTITUTE(SUBSTITUTE(SUBSTITUTE(SUBSTITUTE(SUBSTITUTE(SUBSTITUTE(SUBSTITUTE(SUBSTITUTE(LOWER(LEFT(C375,LEN(C375)-LEN(D375))),"_"," "),"-"," "),"."," "),","," "),"("," "),")"," "),"["," "),"]"," "),"&amp;"," "),"+"," "),"@"," "),"#"," "),"!"," "),"'"," "),"/"," "),":"," "),";"," "),"="," "),"~"," "),"%"," ")))</f>
        <v/>
      </c>
      <c r="F375" s="6">
        <f>IF(C375="","",IF(COUNTIF(Classifiers!$A$23:$A$40,D375)&gt;0,1,0))</f>
        <v/>
      </c>
      <c r="G375" s="6">
        <f>IF(C375="","",IF(COUNTIF(Classifiers!$C$23:$C$30,D375)&gt;0,IF((IF(ISNUMBER(SEARCH(Classifiers!$E$23,E375)),1,0)+IF(ISNUMBER(SEARCH(Classifiers!$E$24,E375)),1,0)+IF(ISNUMBER(SEARCH(Classifiers!$E$25,E375)),1,0)+IF(ISNUMBER(SEARCH(Classifiers!$E$26,E375)),1,0)+IF(ISNUMBER(SEARCH(Classifiers!$E$27,E375)),1,0)+IF(ISNUMBER(SEARCH(Classifiers!$E$28,E375)),1,0)+IF(ISNUMBER(SEARCH(Classifiers!$E$29,E375)),1,0)+IF(ISNUMBER(SEARCH(Classifiers!$E$30,E375)),1,0))&gt;0,1,0),0))</f>
        <v/>
      </c>
      <c r="H375" s="6">
        <f>IF(C375="","",IF(OR(LEFT(C375,1)=".",AND(F375=0,G375=0)),0,1))</f>
        <v/>
      </c>
      <c r="I375" s="6">
        <f>IF(H375&lt;&gt;1,"",IF(SUM(J375:W375)=0,"unclassified",INDEX(Classifiers!$A$5:$A$18,MATCH(1,J375:W375,0),1)))</f>
        <v/>
      </c>
      <c r="J375" s="12">
        <f>IF(H375&lt;&gt;1,0,IF((IF(Classifiers!$B$5="",0,IF(ISNUMBER(SEARCH(Classifiers!$B$5,E375)),1,0))+IF(Classifiers!$C$5="",0,IF(ISNUMBER(SEARCH(Classifiers!$C$5,E375)),1,0))+IF(Classifiers!$D$5="",0,IF(ISNUMBER(SEARCH(Classifiers!$D$5,E375)),1,0))+IF(Classifiers!$E$5="",0,IF(ISNUMBER(SEARCH(Classifiers!$E$5,E375)),1,0))+IF(Classifiers!$F$5="",0,IF(ISNUMBER(SEARCH(Classifiers!$F$5,E375)),1,0))+IF(Classifiers!$G$5="",0,IF(ISNUMBER(SEARCH(Classifiers!$G$5,E375)),1,0)))&gt;0,1,0))</f>
        <v/>
      </c>
      <c r="K375" s="12">
        <f>IF(H375&lt;&gt;1,0,IF((IF(Classifiers!$B$6="",0,IF(ISNUMBER(SEARCH(Classifiers!$B$6,E375)),1,0))+IF(Classifiers!$C$6="",0,IF(ISNUMBER(SEARCH(Classifiers!$C$6,E375)),1,0))+IF(Classifiers!$D$6="",0,IF(ISNUMBER(SEARCH(Classifiers!$D$6,E375)),1,0))+IF(Classifiers!$E$6="",0,IF(ISNUMBER(SEARCH(Classifiers!$E$6,E375)),1,0))+IF(Classifiers!$F$6="",0,IF(ISNUMBER(SEARCH(Classifiers!$F$6,E375)),1,0))+IF(Classifiers!$G$6="",0,IF(ISNUMBER(SEARCH(Classifiers!$G$6,E375)),1,0)))&gt;0,1,0))</f>
        <v/>
      </c>
      <c r="L375" s="12">
        <f>IF(H375&lt;&gt;1,0,IF((IF(Classifiers!$B$7="",0,IF(ISNUMBER(SEARCH(Classifiers!$B$7,E375)),1,0))+IF(Classifiers!$C$7="",0,IF(ISNUMBER(SEARCH(Classifiers!$C$7,E375)),1,0))+IF(Classifiers!$D$7="",0,IF(ISNUMBER(SEARCH(Classifiers!$D$7,E375)),1,0))+IF(Classifiers!$E$7="",0,IF(ISNUMBER(SEARCH(Classifiers!$E$7,E375)),1,0))+IF(Classifiers!$F$7="",0,IF(ISNUMBER(SEARCH(Classifiers!$F$7,E375)),1,0))+IF(Classifiers!$G$7="",0,IF(ISNUMBER(SEARCH(Classifiers!$G$7,E375)),1,0)))&gt;0,1,0))</f>
        <v/>
      </c>
      <c r="M375" s="12">
        <f>IF(H375&lt;&gt;1,0,IF((IF(Classifiers!$B$8="",0,IF(ISNUMBER(SEARCH(Classifiers!$B$8,E375)),1,0))+IF(Classifiers!$C$8="",0,IF(ISNUMBER(SEARCH(Classifiers!$C$8,E375)),1,0))+IF(Classifiers!$D$8="",0,IF(ISNUMBER(SEARCH(Classifiers!$D$8,E375)),1,0))+IF(Classifiers!$E$8="",0,IF(ISNUMBER(SEARCH(Classifiers!$E$8,E375)),1,0))+IF(Classifiers!$F$8="",0,IF(ISNUMBER(SEARCH(Classifiers!$F$8,E375)),1,0))+IF(Classifiers!$G$8="",0,IF(ISNUMBER(SEARCH(Classifiers!$G$8,E375)),1,0)))&gt;0,1,0))</f>
        <v/>
      </c>
      <c r="N375" s="12">
        <f>IF(H375&lt;&gt;1,0,IF((IF(Classifiers!$B$9="",0,IF(ISNUMBER(SEARCH(Classifiers!$B$9,E375)),1,0))+IF(Classifiers!$C$9="",0,IF(ISNUMBER(SEARCH(Classifiers!$C$9,E375)),1,0))+IF(Classifiers!$D$9="",0,IF(ISNUMBER(SEARCH(Classifiers!$D$9,E375)),1,0))+IF(Classifiers!$E$9="",0,IF(ISNUMBER(SEARCH(Classifiers!$E$9,E375)),1,0))+IF(Classifiers!$F$9="",0,IF(ISNUMBER(SEARCH(Classifiers!$F$9,E375)),1,0))+IF(Classifiers!$G$9="",0,IF(ISNUMBER(SEARCH(Classifiers!$G$9,E375)),1,0)))&gt;0,1,0))</f>
        <v/>
      </c>
      <c r="O375" s="12">
        <f>IF(H375&lt;&gt;1,0,IF((IF(Classifiers!$B$10="",0,IF(ISNUMBER(SEARCH(Classifiers!$B$10,E375)),1,0))+IF(Classifiers!$C$10="",0,IF(ISNUMBER(SEARCH(Classifiers!$C$10,E375)),1,0))+IF(Classifiers!$D$10="",0,IF(ISNUMBER(SEARCH(Classifiers!$D$10,E375)),1,0))+IF(Classifiers!$E$10="",0,IF(ISNUMBER(SEARCH(Classifiers!$E$10,E375)),1,0))+IF(Classifiers!$F$10="",0,IF(ISNUMBER(SEARCH(Classifiers!$F$10,E375)),1,0))+IF(Classifiers!$G$10="",0,IF(ISNUMBER(SEARCH(Classifiers!$G$10,E375)),1,0)))&gt;0,1,0))</f>
        <v/>
      </c>
      <c r="P375" s="12">
        <f>IF(H375&lt;&gt;1,0,IF((IF(Classifiers!$B$11="",0,IF(ISNUMBER(SEARCH(Classifiers!$B$11,E375)),1,0))+IF(Classifiers!$C$11="",0,IF(ISNUMBER(SEARCH(Classifiers!$C$11,E375)),1,0))+IF(Classifiers!$D$11="",0,IF(ISNUMBER(SEARCH(Classifiers!$D$11,E375)),1,0))+IF(Classifiers!$E$11="",0,IF(ISNUMBER(SEARCH(Classifiers!$E$11,E375)),1,0))+IF(Classifiers!$F$11="",0,IF(ISNUMBER(SEARCH(Classifiers!$F$11,E375)),1,0))+IF(Classifiers!$G$11="",0,IF(ISNUMBER(SEARCH(Classifiers!$G$11,E375)),1,0)))&gt;0,1,0))</f>
        <v/>
      </c>
      <c r="Q375" s="12">
        <f>IF(H375&lt;&gt;1,0,IF((IF(Classifiers!$B$12="",0,IF(ISNUMBER(SEARCH(Classifiers!$B$12,E375)),1,0))+IF(Classifiers!$C$12="",0,IF(ISNUMBER(SEARCH(Classifiers!$C$12,E375)),1,0))+IF(Classifiers!$D$12="",0,IF(ISNUMBER(SEARCH(Classifiers!$D$12,E375)),1,0))+IF(Classifiers!$E$12="",0,IF(ISNUMBER(SEARCH(Classifiers!$E$12,E375)),1,0))+IF(Classifiers!$F$12="",0,IF(ISNUMBER(SEARCH(Classifiers!$F$12,E375)),1,0))+IF(Classifiers!$G$12="",0,IF(ISNUMBER(SEARCH(Classifiers!$G$12,E375)),1,0)))&gt;0,1,0))</f>
        <v/>
      </c>
      <c r="R375" s="12">
        <f>IF(H375&lt;&gt;1,0,IF((IF(Classifiers!$B$13="",0,IF(ISNUMBER(SEARCH(Classifiers!$B$13,E375)),1,0))+IF(Classifiers!$C$13="",0,IF(ISNUMBER(SEARCH(Classifiers!$C$13,E375)),1,0))+IF(Classifiers!$D$13="",0,IF(ISNUMBER(SEARCH(Classifiers!$D$13,E375)),1,0))+IF(Classifiers!$E$13="",0,IF(ISNUMBER(SEARCH(Classifiers!$E$13,E375)),1,0))+IF(Classifiers!$F$13="",0,IF(ISNUMBER(SEARCH(Classifiers!$F$13,E375)),1,0))+IF(Classifiers!$G$13="",0,IF(ISNUMBER(SEARCH(Classifiers!$G$13,E375)),1,0)))&gt;0,1,0))</f>
        <v/>
      </c>
      <c r="S375" s="12">
        <f>IF(H375&lt;&gt;1,0,IF((IF(Classifiers!$B$14="",0,IF(ISNUMBER(SEARCH(Classifiers!$B$14,E375)),1,0))+IF(Classifiers!$C$14="",0,IF(ISNUMBER(SEARCH(Classifiers!$C$14,E375)),1,0))+IF(Classifiers!$D$14="",0,IF(ISNUMBER(SEARCH(Classifiers!$D$14,E375)),1,0))+IF(Classifiers!$E$14="",0,IF(ISNUMBER(SEARCH(Classifiers!$E$14,E375)),1,0))+IF(Classifiers!$F$14="",0,IF(ISNUMBER(SEARCH(Classifiers!$F$14,E375)),1,0))+IF(Classifiers!$G$14="",0,IF(ISNUMBER(SEARCH(Classifiers!$G$14,E375)),1,0)))&gt;0,1,0))</f>
        <v/>
      </c>
      <c r="T375" s="12">
        <f>IF(H375&lt;&gt;1,0,IF((IF(Classifiers!$B$15="",0,IF(ISNUMBER(SEARCH(Classifiers!$B$15,E375)),1,0))+IF(Classifiers!$C$15="",0,IF(ISNUMBER(SEARCH(Classifiers!$C$15,E375)),1,0))+IF(Classifiers!$D$15="",0,IF(ISNUMBER(SEARCH(Classifiers!$D$15,E375)),1,0))+IF(Classifiers!$E$15="",0,IF(ISNUMBER(SEARCH(Classifiers!$E$15,E375)),1,0))+IF(Classifiers!$F$15="",0,IF(ISNUMBER(SEARCH(Classifiers!$F$15,E375)),1,0))+IF(Classifiers!$G$15="",0,IF(ISNUMBER(SEARCH(Classifiers!$G$15,E375)),1,0)))&gt;0,1,0))</f>
        <v/>
      </c>
      <c r="U375" s="12">
        <f>IF(H375&lt;&gt;1,0,IF((IF(Classifiers!$B$16="",0,IF(ISNUMBER(SEARCH(Classifiers!$B$16,E375)),1,0))+IF(Classifiers!$C$16="",0,IF(ISNUMBER(SEARCH(Classifiers!$C$16,E375)),1,0))+IF(Classifiers!$D$16="",0,IF(ISNUMBER(SEARCH(Classifiers!$D$16,E375)),1,0))+IF(Classifiers!$E$16="",0,IF(ISNUMBER(SEARCH(Classifiers!$E$16,E375)),1,0))+IF(Classifiers!$F$16="",0,IF(ISNUMBER(SEARCH(Classifiers!$F$16,E375)),1,0))+IF(Classifiers!$G$16="",0,IF(ISNUMBER(SEARCH(Classifiers!$G$16,E375)),1,0)))&gt;0,1,0))</f>
        <v/>
      </c>
      <c r="V375" s="12">
        <f>IF(H375&lt;&gt;1,0,IF((IF(Classifiers!$B$17="",0,IF(ISNUMBER(SEARCH(Classifiers!$B$17,E375)),1,0))+IF(Classifiers!$C$17="",0,IF(ISNUMBER(SEARCH(Classifiers!$C$17,E375)),1,0))+IF(Classifiers!$D$17="",0,IF(ISNUMBER(SEARCH(Classifiers!$D$17,E375)),1,0))+IF(Classifiers!$E$17="",0,IF(ISNUMBER(SEARCH(Classifiers!$E$17,E375)),1,0))+IF(Classifiers!$F$17="",0,IF(ISNUMBER(SEARCH(Classifiers!$F$17,E375)),1,0))+IF(Classifiers!$G$17="",0,IF(ISNUMBER(SEARCH(Classifiers!$G$17,E375)),1,0)))&gt;0,1,0))</f>
        <v/>
      </c>
      <c r="W375" s="12">
        <f>IF(H375&lt;&gt;1,0,IF((IF(Classifiers!$B$18="",0,IF(ISNUMBER(SEARCH(Classifiers!$B$18,E375)),1,0))+IF(Classifiers!$C$18="",0,IF(ISNUMBER(SEARCH(Classifiers!$C$18,E375)),1,0))+IF(Classifiers!$D$18="",0,IF(ISNUMBER(SEARCH(Classifiers!$D$18,E375)),1,0))+IF(Classifiers!$E$18="",0,IF(ISNUMBER(SEARCH(Classifiers!$E$18,E375)),1,0))+IF(Classifiers!$F$18="",0,IF(ISNUMBER(SEARCH(Classifiers!$F$18,E375)),1,0))+IF(Classifiers!$G$18="",0,IF(ISNUMBER(SEARCH(Classifiers!$G$18,E375)),1,0)))&gt;0,1,0))</f>
        <v/>
      </c>
    </row>
    <row r="376">
      <c r="A376" s="8" t="n"/>
      <c r="B376" s="11" t="n"/>
      <c r="C376" s="6">
        <f>IF(A376="","",TRIM(RIGHT(SUBSTITUTE(A376,"/",REPT(" ",250)),250)))</f>
        <v/>
      </c>
      <c r="D376" s="6">
        <f>IF(C376="","",IF(ISNUMBER(SEARCH(".",C376)),LOWER("."&amp;TRIM(RIGHT(SUBSTITUTE(C376,".",REPT(" ",250)),250))),""))</f>
        <v/>
      </c>
      <c r="E376" s="6">
        <f>IF(C376="","",TRIM(SUBSTITUTE(SUBSTITUTE(SUBSTITUTE(SUBSTITUTE(SUBSTITUTE(SUBSTITUTE(SUBSTITUTE(SUBSTITUTE(SUBSTITUTE(SUBSTITUTE(SUBSTITUTE(SUBSTITUTE(SUBSTITUTE(SUBSTITUTE(SUBSTITUTE(SUBSTITUTE(SUBSTITUTE(SUBSTITUTE(SUBSTITUTE(SUBSTITUTE(LOWER(LEFT(C376,LEN(C376)-LEN(D376))),"_"," "),"-"," "),"."," "),","," "),"("," "),")"," "),"["," "),"]"," "),"&amp;"," "),"+"," "),"@"," "),"#"," "),"!"," "),"'"," "),"/"," "),":"," "),";"," "),"="," "),"~"," "),"%"," ")))</f>
        <v/>
      </c>
      <c r="F376" s="6">
        <f>IF(C376="","",IF(COUNTIF(Classifiers!$A$23:$A$40,D376)&gt;0,1,0))</f>
        <v/>
      </c>
      <c r="G376" s="6">
        <f>IF(C376="","",IF(COUNTIF(Classifiers!$C$23:$C$30,D376)&gt;0,IF((IF(ISNUMBER(SEARCH(Classifiers!$E$23,E376)),1,0)+IF(ISNUMBER(SEARCH(Classifiers!$E$24,E376)),1,0)+IF(ISNUMBER(SEARCH(Classifiers!$E$25,E376)),1,0)+IF(ISNUMBER(SEARCH(Classifiers!$E$26,E376)),1,0)+IF(ISNUMBER(SEARCH(Classifiers!$E$27,E376)),1,0)+IF(ISNUMBER(SEARCH(Classifiers!$E$28,E376)),1,0)+IF(ISNUMBER(SEARCH(Classifiers!$E$29,E376)),1,0)+IF(ISNUMBER(SEARCH(Classifiers!$E$30,E376)),1,0))&gt;0,1,0),0))</f>
        <v/>
      </c>
      <c r="H376" s="6">
        <f>IF(C376="","",IF(OR(LEFT(C376,1)=".",AND(F376=0,G376=0)),0,1))</f>
        <v/>
      </c>
      <c r="I376" s="6">
        <f>IF(H376&lt;&gt;1,"",IF(SUM(J376:W376)=0,"unclassified",INDEX(Classifiers!$A$5:$A$18,MATCH(1,J376:W376,0),1)))</f>
        <v/>
      </c>
      <c r="J376" s="12">
        <f>IF(H376&lt;&gt;1,0,IF((IF(Classifiers!$B$5="",0,IF(ISNUMBER(SEARCH(Classifiers!$B$5,E376)),1,0))+IF(Classifiers!$C$5="",0,IF(ISNUMBER(SEARCH(Classifiers!$C$5,E376)),1,0))+IF(Classifiers!$D$5="",0,IF(ISNUMBER(SEARCH(Classifiers!$D$5,E376)),1,0))+IF(Classifiers!$E$5="",0,IF(ISNUMBER(SEARCH(Classifiers!$E$5,E376)),1,0))+IF(Classifiers!$F$5="",0,IF(ISNUMBER(SEARCH(Classifiers!$F$5,E376)),1,0))+IF(Classifiers!$G$5="",0,IF(ISNUMBER(SEARCH(Classifiers!$G$5,E376)),1,0)))&gt;0,1,0))</f>
        <v/>
      </c>
      <c r="K376" s="12">
        <f>IF(H376&lt;&gt;1,0,IF((IF(Classifiers!$B$6="",0,IF(ISNUMBER(SEARCH(Classifiers!$B$6,E376)),1,0))+IF(Classifiers!$C$6="",0,IF(ISNUMBER(SEARCH(Classifiers!$C$6,E376)),1,0))+IF(Classifiers!$D$6="",0,IF(ISNUMBER(SEARCH(Classifiers!$D$6,E376)),1,0))+IF(Classifiers!$E$6="",0,IF(ISNUMBER(SEARCH(Classifiers!$E$6,E376)),1,0))+IF(Classifiers!$F$6="",0,IF(ISNUMBER(SEARCH(Classifiers!$F$6,E376)),1,0))+IF(Classifiers!$G$6="",0,IF(ISNUMBER(SEARCH(Classifiers!$G$6,E376)),1,0)))&gt;0,1,0))</f>
        <v/>
      </c>
      <c r="L376" s="12">
        <f>IF(H376&lt;&gt;1,0,IF((IF(Classifiers!$B$7="",0,IF(ISNUMBER(SEARCH(Classifiers!$B$7,E376)),1,0))+IF(Classifiers!$C$7="",0,IF(ISNUMBER(SEARCH(Classifiers!$C$7,E376)),1,0))+IF(Classifiers!$D$7="",0,IF(ISNUMBER(SEARCH(Classifiers!$D$7,E376)),1,0))+IF(Classifiers!$E$7="",0,IF(ISNUMBER(SEARCH(Classifiers!$E$7,E376)),1,0))+IF(Classifiers!$F$7="",0,IF(ISNUMBER(SEARCH(Classifiers!$F$7,E376)),1,0))+IF(Classifiers!$G$7="",0,IF(ISNUMBER(SEARCH(Classifiers!$G$7,E376)),1,0)))&gt;0,1,0))</f>
        <v/>
      </c>
      <c r="M376" s="12">
        <f>IF(H376&lt;&gt;1,0,IF((IF(Classifiers!$B$8="",0,IF(ISNUMBER(SEARCH(Classifiers!$B$8,E376)),1,0))+IF(Classifiers!$C$8="",0,IF(ISNUMBER(SEARCH(Classifiers!$C$8,E376)),1,0))+IF(Classifiers!$D$8="",0,IF(ISNUMBER(SEARCH(Classifiers!$D$8,E376)),1,0))+IF(Classifiers!$E$8="",0,IF(ISNUMBER(SEARCH(Classifiers!$E$8,E376)),1,0))+IF(Classifiers!$F$8="",0,IF(ISNUMBER(SEARCH(Classifiers!$F$8,E376)),1,0))+IF(Classifiers!$G$8="",0,IF(ISNUMBER(SEARCH(Classifiers!$G$8,E376)),1,0)))&gt;0,1,0))</f>
        <v/>
      </c>
      <c r="N376" s="12">
        <f>IF(H376&lt;&gt;1,0,IF((IF(Classifiers!$B$9="",0,IF(ISNUMBER(SEARCH(Classifiers!$B$9,E376)),1,0))+IF(Classifiers!$C$9="",0,IF(ISNUMBER(SEARCH(Classifiers!$C$9,E376)),1,0))+IF(Classifiers!$D$9="",0,IF(ISNUMBER(SEARCH(Classifiers!$D$9,E376)),1,0))+IF(Classifiers!$E$9="",0,IF(ISNUMBER(SEARCH(Classifiers!$E$9,E376)),1,0))+IF(Classifiers!$F$9="",0,IF(ISNUMBER(SEARCH(Classifiers!$F$9,E376)),1,0))+IF(Classifiers!$G$9="",0,IF(ISNUMBER(SEARCH(Classifiers!$G$9,E376)),1,0)))&gt;0,1,0))</f>
        <v/>
      </c>
      <c r="O376" s="12">
        <f>IF(H376&lt;&gt;1,0,IF((IF(Classifiers!$B$10="",0,IF(ISNUMBER(SEARCH(Classifiers!$B$10,E376)),1,0))+IF(Classifiers!$C$10="",0,IF(ISNUMBER(SEARCH(Classifiers!$C$10,E376)),1,0))+IF(Classifiers!$D$10="",0,IF(ISNUMBER(SEARCH(Classifiers!$D$10,E376)),1,0))+IF(Classifiers!$E$10="",0,IF(ISNUMBER(SEARCH(Classifiers!$E$10,E376)),1,0))+IF(Classifiers!$F$10="",0,IF(ISNUMBER(SEARCH(Classifiers!$F$10,E376)),1,0))+IF(Classifiers!$G$10="",0,IF(ISNUMBER(SEARCH(Classifiers!$G$10,E376)),1,0)))&gt;0,1,0))</f>
        <v/>
      </c>
      <c r="P376" s="12">
        <f>IF(H376&lt;&gt;1,0,IF((IF(Classifiers!$B$11="",0,IF(ISNUMBER(SEARCH(Classifiers!$B$11,E376)),1,0))+IF(Classifiers!$C$11="",0,IF(ISNUMBER(SEARCH(Classifiers!$C$11,E376)),1,0))+IF(Classifiers!$D$11="",0,IF(ISNUMBER(SEARCH(Classifiers!$D$11,E376)),1,0))+IF(Classifiers!$E$11="",0,IF(ISNUMBER(SEARCH(Classifiers!$E$11,E376)),1,0))+IF(Classifiers!$F$11="",0,IF(ISNUMBER(SEARCH(Classifiers!$F$11,E376)),1,0))+IF(Classifiers!$G$11="",0,IF(ISNUMBER(SEARCH(Classifiers!$G$11,E376)),1,0)))&gt;0,1,0))</f>
        <v/>
      </c>
      <c r="Q376" s="12">
        <f>IF(H376&lt;&gt;1,0,IF((IF(Classifiers!$B$12="",0,IF(ISNUMBER(SEARCH(Classifiers!$B$12,E376)),1,0))+IF(Classifiers!$C$12="",0,IF(ISNUMBER(SEARCH(Classifiers!$C$12,E376)),1,0))+IF(Classifiers!$D$12="",0,IF(ISNUMBER(SEARCH(Classifiers!$D$12,E376)),1,0))+IF(Classifiers!$E$12="",0,IF(ISNUMBER(SEARCH(Classifiers!$E$12,E376)),1,0))+IF(Classifiers!$F$12="",0,IF(ISNUMBER(SEARCH(Classifiers!$F$12,E376)),1,0))+IF(Classifiers!$G$12="",0,IF(ISNUMBER(SEARCH(Classifiers!$G$12,E376)),1,0)))&gt;0,1,0))</f>
        <v/>
      </c>
      <c r="R376" s="12">
        <f>IF(H376&lt;&gt;1,0,IF((IF(Classifiers!$B$13="",0,IF(ISNUMBER(SEARCH(Classifiers!$B$13,E376)),1,0))+IF(Classifiers!$C$13="",0,IF(ISNUMBER(SEARCH(Classifiers!$C$13,E376)),1,0))+IF(Classifiers!$D$13="",0,IF(ISNUMBER(SEARCH(Classifiers!$D$13,E376)),1,0))+IF(Classifiers!$E$13="",0,IF(ISNUMBER(SEARCH(Classifiers!$E$13,E376)),1,0))+IF(Classifiers!$F$13="",0,IF(ISNUMBER(SEARCH(Classifiers!$F$13,E376)),1,0))+IF(Classifiers!$G$13="",0,IF(ISNUMBER(SEARCH(Classifiers!$G$13,E376)),1,0)))&gt;0,1,0))</f>
        <v/>
      </c>
      <c r="S376" s="12">
        <f>IF(H376&lt;&gt;1,0,IF((IF(Classifiers!$B$14="",0,IF(ISNUMBER(SEARCH(Classifiers!$B$14,E376)),1,0))+IF(Classifiers!$C$14="",0,IF(ISNUMBER(SEARCH(Classifiers!$C$14,E376)),1,0))+IF(Classifiers!$D$14="",0,IF(ISNUMBER(SEARCH(Classifiers!$D$14,E376)),1,0))+IF(Classifiers!$E$14="",0,IF(ISNUMBER(SEARCH(Classifiers!$E$14,E376)),1,0))+IF(Classifiers!$F$14="",0,IF(ISNUMBER(SEARCH(Classifiers!$F$14,E376)),1,0))+IF(Classifiers!$G$14="",0,IF(ISNUMBER(SEARCH(Classifiers!$G$14,E376)),1,0)))&gt;0,1,0))</f>
        <v/>
      </c>
      <c r="T376" s="12">
        <f>IF(H376&lt;&gt;1,0,IF((IF(Classifiers!$B$15="",0,IF(ISNUMBER(SEARCH(Classifiers!$B$15,E376)),1,0))+IF(Classifiers!$C$15="",0,IF(ISNUMBER(SEARCH(Classifiers!$C$15,E376)),1,0))+IF(Classifiers!$D$15="",0,IF(ISNUMBER(SEARCH(Classifiers!$D$15,E376)),1,0))+IF(Classifiers!$E$15="",0,IF(ISNUMBER(SEARCH(Classifiers!$E$15,E376)),1,0))+IF(Classifiers!$F$15="",0,IF(ISNUMBER(SEARCH(Classifiers!$F$15,E376)),1,0))+IF(Classifiers!$G$15="",0,IF(ISNUMBER(SEARCH(Classifiers!$G$15,E376)),1,0)))&gt;0,1,0))</f>
        <v/>
      </c>
      <c r="U376" s="12">
        <f>IF(H376&lt;&gt;1,0,IF((IF(Classifiers!$B$16="",0,IF(ISNUMBER(SEARCH(Classifiers!$B$16,E376)),1,0))+IF(Classifiers!$C$16="",0,IF(ISNUMBER(SEARCH(Classifiers!$C$16,E376)),1,0))+IF(Classifiers!$D$16="",0,IF(ISNUMBER(SEARCH(Classifiers!$D$16,E376)),1,0))+IF(Classifiers!$E$16="",0,IF(ISNUMBER(SEARCH(Classifiers!$E$16,E376)),1,0))+IF(Classifiers!$F$16="",0,IF(ISNUMBER(SEARCH(Classifiers!$F$16,E376)),1,0))+IF(Classifiers!$G$16="",0,IF(ISNUMBER(SEARCH(Classifiers!$G$16,E376)),1,0)))&gt;0,1,0))</f>
        <v/>
      </c>
      <c r="V376" s="12">
        <f>IF(H376&lt;&gt;1,0,IF((IF(Classifiers!$B$17="",0,IF(ISNUMBER(SEARCH(Classifiers!$B$17,E376)),1,0))+IF(Classifiers!$C$17="",0,IF(ISNUMBER(SEARCH(Classifiers!$C$17,E376)),1,0))+IF(Classifiers!$D$17="",0,IF(ISNUMBER(SEARCH(Classifiers!$D$17,E376)),1,0))+IF(Classifiers!$E$17="",0,IF(ISNUMBER(SEARCH(Classifiers!$E$17,E376)),1,0))+IF(Classifiers!$F$17="",0,IF(ISNUMBER(SEARCH(Classifiers!$F$17,E376)),1,0))+IF(Classifiers!$G$17="",0,IF(ISNUMBER(SEARCH(Classifiers!$G$17,E376)),1,0)))&gt;0,1,0))</f>
        <v/>
      </c>
      <c r="W376" s="12">
        <f>IF(H376&lt;&gt;1,0,IF((IF(Classifiers!$B$18="",0,IF(ISNUMBER(SEARCH(Classifiers!$B$18,E376)),1,0))+IF(Classifiers!$C$18="",0,IF(ISNUMBER(SEARCH(Classifiers!$C$18,E376)),1,0))+IF(Classifiers!$D$18="",0,IF(ISNUMBER(SEARCH(Classifiers!$D$18,E376)),1,0))+IF(Classifiers!$E$18="",0,IF(ISNUMBER(SEARCH(Classifiers!$E$18,E376)),1,0))+IF(Classifiers!$F$18="",0,IF(ISNUMBER(SEARCH(Classifiers!$F$18,E376)),1,0))+IF(Classifiers!$G$18="",0,IF(ISNUMBER(SEARCH(Classifiers!$G$18,E376)),1,0)))&gt;0,1,0))</f>
        <v/>
      </c>
    </row>
    <row r="377">
      <c r="A377" s="8" t="n"/>
      <c r="B377" s="11" t="n"/>
      <c r="C377" s="6">
        <f>IF(A377="","",TRIM(RIGHT(SUBSTITUTE(A377,"/",REPT(" ",250)),250)))</f>
        <v/>
      </c>
      <c r="D377" s="6">
        <f>IF(C377="","",IF(ISNUMBER(SEARCH(".",C377)),LOWER("."&amp;TRIM(RIGHT(SUBSTITUTE(C377,".",REPT(" ",250)),250))),""))</f>
        <v/>
      </c>
      <c r="E377" s="6">
        <f>IF(C377="","",TRIM(SUBSTITUTE(SUBSTITUTE(SUBSTITUTE(SUBSTITUTE(SUBSTITUTE(SUBSTITUTE(SUBSTITUTE(SUBSTITUTE(SUBSTITUTE(SUBSTITUTE(SUBSTITUTE(SUBSTITUTE(SUBSTITUTE(SUBSTITUTE(SUBSTITUTE(SUBSTITUTE(SUBSTITUTE(SUBSTITUTE(SUBSTITUTE(SUBSTITUTE(LOWER(LEFT(C377,LEN(C377)-LEN(D377))),"_"," "),"-"," "),"."," "),","," "),"("," "),")"," "),"["," "),"]"," "),"&amp;"," "),"+"," "),"@"," "),"#"," "),"!"," "),"'"," "),"/"," "),":"," "),";"," "),"="," "),"~"," "),"%"," ")))</f>
        <v/>
      </c>
      <c r="F377" s="6">
        <f>IF(C377="","",IF(COUNTIF(Classifiers!$A$23:$A$40,D377)&gt;0,1,0))</f>
        <v/>
      </c>
      <c r="G377" s="6">
        <f>IF(C377="","",IF(COUNTIF(Classifiers!$C$23:$C$30,D377)&gt;0,IF((IF(ISNUMBER(SEARCH(Classifiers!$E$23,E377)),1,0)+IF(ISNUMBER(SEARCH(Classifiers!$E$24,E377)),1,0)+IF(ISNUMBER(SEARCH(Classifiers!$E$25,E377)),1,0)+IF(ISNUMBER(SEARCH(Classifiers!$E$26,E377)),1,0)+IF(ISNUMBER(SEARCH(Classifiers!$E$27,E377)),1,0)+IF(ISNUMBER(SEARCH(Classifiers!$E$28,E377)),1,0)+IF(ISNUMBER(SEARCH(Classifiers!$E$29,E377)),1,0)+IF(ISNUMBER(SEARCH(Classifiers!$E$30,E377)),1,0))&gt;0,1,0),0))</f>
        <v/>
      </c>
      <c r="H377" s="6">
        <f>IF(C377="","",IF(OR(LEFT(C377,1)=".",AND(F377=0,G377=0)),0,1))</f>
        <v/>
      </c>
      <c r="I377" s="6">
        <f>IF(H377&lt;&gt;1,"",IF(SUM(J377:W377)=0,"unclassified",INDEX(Classifiers!$A$5:$A$18,MATCH(1,J377:W377,0),1)))</f>
        <v/>
      </c>
      <c r="J377" s="12">
        <f>IF(H377&lt;&gt;1,0,IF((IF(Classifiers!$B$5="",0,IF(ISNUMBER(SEARCH(Classifiers!$B$5,E377)),1,0))+IF(Classifiers!$C$5="",0,IF(ISNUMBER(SEARCH(Classifiers!$C$5,E377)),1,0))+IF(Classifiers!$D$5="",0,IF(ISNUMBER(SEARCH(Classifiers!$D$5,E377)),1,0))+IF(Classifiers!$E$5="",0,IF(ISNUMBER(SEARCH(Classifiers!$E$5,E377)),1,0))+IF(Classifiers!$F$5="",0,IF(ISNUMBER(SEARCH(Classifiers!$F$5,E377)),1,0))+IF(Classifiers!$G$5="",0,IF(ISNUMBER(SEARCH(Classifiers!$G$5,E377)),1,0)))&gt;0,1,0))</f>
        <v/>
      </c>
      <c r="K377" s="12">
        <f>IF(H377&lt;&gt;1,0,IF((IF(Classifiers!$B$6="",0,IF(ISNUMBER(SEARCH(Classifiers!$B$6,E377)),1,0))+IF(Classifiers!$C$6="",0,IF(ISNUMBER(SEARCH(Classifiers!$C$6,E377)),1,0))+IF(Classifiers!$D$6="",0,IF(ISNUMBER(SEARCH(Classifiers!$D$6,E377)),1,0))+IF(Classifiers!$E$6="",0,IF(ISNUMBER(SEARCH(Classifiers!$E$6,E377)),1,0))+IF(Classifiers!$F$6="",0,IF(ISNUMBER(SEARCH(Classifiers!$F$6,E377)),1,0))+IF(Classifiers!$G$6="",0,IF(ISNUMBER(SEARCH(Classifiers!$G$6,E377)),1,0)))&gt;0,1,0))</f>
        <v/>
      </c>
      <c r="L377" s="12">
        <f>IF(H377&lt;&gt;1,0,IF((IF(Classifiers!$B$7="",0,IF(ISNUMBER(SEARCH(Classifiers!$B$7,E377)),1,0))+IF(Classifiers!$C$7="",0,IF(ISNUMBER(SEARCH(Classifiers!$C$7,E377)),1,0))+IF(Classifiers!$D$7="",0,IF(ISNUMBER(SEARCH(Classifiers!$D$7,E377)),1,0))+IF(Classifiers!$E$7="",0,IF(ISNUMBER(SEARCH(Classifiers!$E$7,E377)),1,0))+IF(Classifiers!$F$7="",0,IF(ISNUMBER(SEARCH(Classifiers!$F$7,E377)),1,0))+IF(Classifiers!$G$7="",0,IF(ISNUMBER(SEARCH(Classifiers!$G$7,E377)),1,0)))&gt;0,1,0))</f>
        <v/>
      </c>
      <c r="M377" s="12">
        <f>IF(H377&lt;&gt;1,0,IF((IF(Classifiers!$B$8="",0,IF(ISNUMBER(SEARCH(Classifiers!$B$8,E377)),1,0))+IF(Classifiers!$C$8="",0,IF(ISNUMBER(SEARCH(Classifiers!$C$8,E377)),1,0))+IF(Classifiers!$D$8="",0,IF(ISNUMBER(SEARCH(Classifiers!$D$8,E377)),1,0))+IF(Classifiers!$E$8="",0,IF(ISNUMBER(SEARCH(Classifiers!$E$8,E377)),1,0))+IF(Classifiers!$F$8="",0,IF(ISNUMBER(SEARCH(Classifiers!$F$8,E377)),1,0))+IF(Classifiers!$G$8="",0,IF(ISNUMBER(SEARCH(Classifiers!$G$8,E377)),1,0)))&gt;0,1,0))</f>
        <v/>
      </c>
      <c r="N377" s="12">
        <f>IF(H377&lt;&gt;1,0,IF((IF(Classifiers!$B$9="",0,IF(ISNUMBER(SEARCH(Classifiers!$B$9,E377)),1,0))+IF(Classifiers!$C$9="",0,IF(ISNUMBER(SEARCH(Classifiers!$C$9,E377)),1,0))+IF(Classifiers!$D$9="",0,IF(ISNUMBER(SEARCH(Classifiers!$D$9,E377)),1,0))+IF(Classifiers!$E$9="",0,IF(ISNUMBER(SEARCH(Classifiers!$E$9,E377)),1,0))+IF(Classifiers!$F$9="",0,IF(ISNUMBER(SEARCH(Classifiers!$F$9,E377)),1,0))+IF(Classifiers!$G$9="",0,IF(ISNUMBER(SEARCH(Classifiers!$G$9,E377)),1,0)))&gt;0,1,0))</f>
        <v/>
      </c>
      <c r="O377" s="12">
        <f>IF(H377&lt;&gt;1,0,IF((IF(Classifiers!$B$10="",0,IF(ISNUMBER(SEARCH(Classifiers!$B$10,E377)),1,0))+IF(Classifiers!$C$10="",0,IF(ISNUMBER(SEARCH(Classifiers!$C$10,E377)),1,0))+IF(Classifiers!$D$10="",0,IF(ISNUMBER(SEARCH(Classifiers!$D$10,E377)),1,0))+IF(Classifiers!$E$10="",0,IF(ISNUMBER(SEARCH(Classifiers!$E$10,E377)),1,0))+IF(Classifiers!$F$10="",0,IF(ISNUMBER(SEARCH(Classifiers!$F$10,E377)),1,0))+IF(Classifiers!$G$10="",0,IF(ISNUMBER(SEARCH(Classifiers!$G$10,E377)),1,0)))&gt;0,1,0))</f>
        <v/>
      </c>
      <c r="P377" s="12">
        <f>IF(H377&lt;&gt;1,0,IF((IF(Classifiers!$B$11="",0,IF(ISNUMBER(SEARCH(Classifiers!$B$11,E377)),1,0))+IF(Classifiers!$C$11="",0,IF(ISNUMBER(SEARCH(Classifiers!$C$11,E377)),1,0))+IF(Classifiers!$D$11="",0,IF(ISNUMBER(SEARCH(Classifiers!$D$11,E377)),1,0))+IF(Classifiers!$E$11="",0,IF(ISNUMBER(SEARCH(Classifiers!$E$11,E377)),1,0))+IF(Classifiers!$F$11="",0,IF(ISNUMBER(SEARCH(Classifiers!$F$11,E377)),1,0))+IF(Classifiers!$G$11="",0,IF(ISNUMBER(SEARCH(Classifiers!$G$11,E377)),1,0)))&gt;0,1,0))</f>
        <v/>
      </c>
      <c r="Q377" s="12">
        <f>IF(H377&lt;&gt;1,0,IF((IF(Classifiers!$B$12="",0,IF(ISNUMBER(SEARCH(Classifiers!$B$12,E377)),1,0))+IF(Classifiers!$C$12="",0,IF(ISNUMBER(SEARCH(Classifiers!$C$12,E377)),1,0))+IF(Classifiers!$D$12="",0,IF(ISNUMBER(SEARCH(Classifiers!$D$12,E377)),1,0))+IF(Classifiers!$E$12="",0,IF(ISNUMBER(SEARCH(Classifiers!$E$12,E377)),1,0))+IF(Classifiers!$F$12="",0,IF(ISNUMBER(SEARCH(Classifiers!$F$12,E377)),1,0))+IF(Classifiers!$G$12="",0,IF(ISNUMBER(SEARCH(Classifiers!$G$12,E377)),1,0)))&gt;0,1,0))</f>
        <v/>
      </c>
      <c r="R377" s="12">
        <f>IF(H377&lt;&gt;1,0,IF((IF(Classifiers!$B$13="",0,IF(ISNUMBER(SEARCH(Classifiers!$B$13,E377)),1,0))+IF(Classifiers!$C$13="",0,IF(ISNUMBER(SEARCH(Classifiers!$C$13,E377)),1,0))+IF(Classifiers!$D$13="",0,IF(ISNUMBER(SEARCH(Classifiers!$D$13,E377)),1,0))+IF(Classifiers!$E$13="",0,IF(ISNUMBER(SEARCH(Classifiers!$E$13,E377)),1,0))+IF(Classifiers!$F$13="",0,IF(ISNUMBER(SEARCH(Classifiers!$F$13,E377)),1,0))+IF(Classifiers!$G$13="",0,IF(ISNUMBER(SEARCH(Classifiers!$G$13,E377)),1,0)))&gt;0,1,0))</f>
        <v/>
      </c>
      <c r="S377" s="12">
        <f>IF(H377&lt;&gt;1,0,IF((IF(Classifiers!$B$14="",0,IF(ISNUMBER(SEARCH(Classifiers!$B$14,E377)),1,0))+IF(Classifiers!$C$14="",0,IF(ISNUMBER(SEARCH(Classifiers!$C$14,E377)),1,0))+IF(Classifiers!$D$14="",0,IF(ISNUMBER(SEARCH(Classifiers!$D$14,E377)),1,0))+IF(Classifiers!$E$14="",0,IF(ISNUMBER(SEARCH(Classifiers!$E$14,E377)),1,0))+IF(Classifiers!$F$14="",0,IF(ISNUMBER(SEARCH(Classifiers!$F$14,E377)),1,0))+IF(Classifiers!$G$14="",0,IF(ISNUMBER(SEARCH(Classifiers!$G$14,E377)),1,0)))&gt;0,1,0))</f>
        <v/>
      </c>
      <c r="T377" s="12">
        <f>IF(H377&lt;&gt;1,0,IF((IF(Classifiers!$B$15="",0,IF(ISNUMBER(SEARCH(Classifiers!$B$15,E377)),1,0))+IF(Classifiers!$C$15="",0,IF(ISNUMBER(SEARCH(Classifiers!$C$15,E377)),1,0))+IF(Classifiers!$D$15="",0,IF(ISNUMBER(SEARCH(Classifiers!$D$15,E377)),1,0))+IF(Classifiers!$E$15="",0,IF(ISNUMBER(SEARCH(Classifiers!$E$15,E377)),1,0))+IF(Classifiers!$F$15="",0,IF(ISNUMBER(SEARCH(Classifiers!$F$15,E377)),1,0))+IF(Classifiers!$G$15="",0,IF(ISNUMBER(SEARCH(Classifiers!$G$15,E377)),1,0)))&gt;0,1,0))</f>
        <v/>
      </c>
      <c r="U377" s="12">
        <f>IF(H377&lt;&gt;1,0,IF((IF(Classifiers!$B$16="",0,IF(ISNUMBER(SEARCH(Classifiers!$B$16,E377)),1,0))+IF(Classifiers!$C$16="",0,IF(ISNUMBER(SEARCH(Classifiers!$C$16,E377)),1,0))+IF(Classifiers!$D$16="",0,IF(ISNUMBER(SEARCH(Classifiers!$D$16,E377)),1,0))+IF(Classifiers!$E$16="",0,IF(ISNUMBER(SEARCH(Classifiers!$E$16,E377)),1,0))+IF(Classifiers!$F$16="",0,IF(ISNUMBER(SEARCH(Classifiers!$F$16,E377)),1,0))+IF(Classifiers!$G$16="",0,IF(ISNUMBER(SEARCH(Classifiers!$G$16,E377)),1,0)))&gt;0,1,0))</f>
        <v/>
      </c>
      <c r="V377" s="12">
        <f>IF(H377&lt;&gt;1,0,IF((IF(Classifiers!$B$17="",0,IF(ISNUMBER(SEARCH(Classifiers!$B$17,E377)),1,0))+IF(Classifiers!$C$17="",0,IF(ISNUMBER(SEARCH(Classifiers!$C$17,E377)),1,0))+IF(Classifiers!$D$17="",0,IF(ISNUMBER(SEARCH(Classifiers!$D$17,E377)),1,0))+IF(Classifiers!$E$17="",0,IF(ISNUMBER(SEARCH(Classifiers!$E$17,E377)),1,0))+IF(Classifiers!$F$17="",0,IF(ISNUMBER(SEARCH(Classifiers!$F$17,E377)),1,0))+IF(Classifiers!$G$17="",0,IF(ISNUMBER(SEARCH(Classifiers!$G$17,E377)),1,0)))&gt;0,1,0))</f>
        <v/>
      </c>
      <c r="W377" s="12">
        <f>IF(H377&lt;&gt;1,0,IF((IF(Classifiers!$B$18="",0,IF(ISNUMBER(SEARCH(Classifiers!$B$18,E377)),1,0))+IF(Classifiers!$C$18="",0,IF(ISNUMBER(SEARCH(Classifiers!$C$18,E377)),1,0))+IF(Classifiers!$D$18="",0,IF(ISNUMBER(SEARCH(Classifiers!$D$18,E377)),1,0))+IF(Classifiers!$E$18="",0,IF(ISNUMBER(SEARCH(Classifiers!$E$18,E377)),1,0))+IF(Classifiers!$F$18="",0,IF(ISNUMBER(SEARCH(Classifiers!$F$18,E377)),1,0))+IF(Classifiers!$G$18="",0,IF(ISNUMBER(SEARCH(Classifiers!$G$18,E377)),1,0)))&gt;0,1,0))</f>
        <v/>
      </c>
    </row>
    <row r="378">
      <c r="A378" s="8" t="n"/>
      <c r="B378" s="11" t="n"/>
      <c r="C378" s="6">
        <f>IF(A378="","",TRIM(RIGHT(SUBSTITUTE(A378,"/",REPT(" ",250)),250)))</f>
        <v/>
      </c>
      <c r="D378" s="6">
        <f>IF(C378="","",IF(ISNUMBER(SEARCH(".",C378)),LOWER("."&amp;TRIM(RIGHT(SUBSTITUTE(C378,".",REPT(" ",250)),250))),""))</f>
        <v/>
      </c>
      <c r="E378" s="6">
        <f>IF(C378="","",TRIM(SUBSTITUTE(SUBSTITUTE(SUBSTITUTE(SUBSTITUTE(SUBSTITUTE(SUBSTITUTE(SUBSTITUTE(SUBSTITUTE(SUBSTITUTE(SUBSTITUTE(SUBSTITUTE(SUBSTITUTE(SUBSTITUTE(SUBSTITUTE(SUBSTITUTE(SUBSTITUTE(SUBSTITUTE(SUBSTITUTE(SUBSTITUTE(SUBSTITUTE(LOWER(LEFT(C378,LEN(C378)-LEN(D378))),"_"," "),"-"," "),"."," "),","," "),"("," "),")"," "),"["," "),"]"," "),"&amp;"," "),"+"," "),"@"," "),"#"," "),"!"," "),"'"," "),"/"," "),":"," "),";"," "),"="," "),"~"," "),"%"," ")))</f>
        <v/>
      </c>
      <c r="F378" s="6">
        <f>IF(C378="","",IF(COUNTIF(Classifiers!$A$23:$A$40,D378)&gt;0,1,0))</f>
        <v/>
      </c>
      <c r="G378" s="6">
        <f>IF(C378="","",IF(COUNTIF(Classifiers!$C$23:$C$30,D378)&gt;0,IF((IF(ISNUMBER(SEARCH(Classifiers!$E$23,E378)),1,0)+IF(ISNUMBER(SEARCH(Classifiers!$E$24,E378)),1,0)+IF(ISNUMBER(SEARCH(Classifiers!$E$25,E378)),1,0)+IF(ISNUMBER(SEARCH(Classifiers!$E$26,E378)),1,0)+IF(ISNUMBER(SEARCH(Classifiers!$E$27,E378)),1,0)+IF(ISNUMBER(SEARCH(Classifiers!$E$28,E378)),1,0)+IF(ISNUMBER(SEARCH(Classifiers!$E$29,E378)),1,0)+IF(ISNUMBER(SEARCH(Classifiers!$E$30,E378)),1,0))&gt;0,1,0),0))</f>
        <v/>
      </c>
      <c r="H378" s="6">
        <f>IF(C378="","",IF(OR(LEFT(C378,1)=".",AND(F378=0,G378=0)),0,1))</f>
        <v/>
      </c>
      <c r="I378" s="6">
        <f>IF(H378&lt;&gt;1,"",IF(SUM(J378:W378)=0,"unclassified",INDEX(Classifiers!$A$5:$A$18,MATCH(1,J378:W378,0),1)))</f>
        <v/>
      </c>
      <c r="J378" s="12">
        <f>IF(H378&lt;&gt;1,0,IF((IF(Classifiers!$B$5="",0,IF(ISNUMBER(SEARCH(Classifiers!$B$5,E378)),1,0))+IF(Classifiers!$C$5="",0,IF(ISNUMBER(SEARCH(Classifiers!$C$5,E378)),1,0))+IF(Classifiers!$D$5="",0,IF(ISNUMBER(SEARCH(Classifiers!$D$5,E378)),1,0))+IF(Classifiers!$E$5="",0,IF(ISNUMBER(SEARCH(Classifiers!$E$5,E378)),1,0))+IF(Classifiers!$F$5="",0,IF(ISNUMBER(SEARCH(Classifiers!$F$5,E378)),1,0))+IF(Classifiers!$G$5="",0,IF(ISNUMBER(SEARCH(Classifiers!$G$5,E378)),1,0)))&gt;0,1,0))</f>
        <v/>
      </c>
      <c r="K378" s="12">
        <f>IF(H378&lt;&gt;1,0,IF((IF(Classifiers!$B$6="",0,IF(ISNUMBER(SEARCH(Classifiers!$B$6,E378)),1,0))+IF(Classifiers!$C$6="",0,IF(ISNUMBER(SEARCH(Classifiers!$C$6,E378)),1,0))+IF(Classifiers!$D$6="",0,IF(ISNUMBER(SEARCH(Classifiers!$D$6,E378)),1,0))+IF(Classifiers!$E$6="",0,IF(ISNUMBER(SEARCH(Classifiers!$E$6,E378)),1,0))+IF(Classifiers!$F$6="",0,IF(ISNUMBER(SEARCH(Classifiers!$F$6,E378)),1,0))+IF(Classifiers!$G$6="",0,IF(ISNUMBER(SEARCH(Classifiers!$G$6,E378)),1,0)))&gt;0,1,0))</f>
        <v/>
      </c>
      <c r="L378" s="12">
        <f>IF(H378&lt;&gt;1,0,IF((IF(Classifiers!$B$7="",0,IF(ISNUMBER(SEARCH(Classifiers!$B$7,E378)),1,0))+IF(Classifiers!$C$7="",0,IF(ISNUMBER(SEARCH(Classifiers!$C$7,E378)),1,0))+IF(Classifiers!$D$7="",0,IF(ISNUMBER(SEARCH(Classifiers!$D$7,E378)),1,0))+IF(Classifiers!$E$7="",0,IF(ISNUMBER(SEARCH(Classifiers!$E$7,E378)),1,0))+IF(Classifiers!$F$7="",0,IF(ISNUMBER(SEARCH(Classifiers!$F$7,E378)),1,0))+IF(Classifiers!$G$7="",0,IF(ISNUMBER(SEARCH(Classifiers!$G$7,E378)),1,0)))&gt;0,1,0))</f>
        <v/>
      </c>
      <c r="M378" s="12">
        <f>IF(H378&lt;&gt;1,0,IF((IF(Classifiers!$B$8="",0,IF(ISNUMBER(SEARCH(Classifiers!$B$8,E378)),1,0))+IF(Classifiers!$C$8="",0,IF(ISNUMBER(SEARCH(Classifiers!$C$8,E378)),1,0))+IF(Classifiers!$D$8="",0,IF(ISNUMBER(SEARCH(Classifiers!$D$8,E378)),1,0))+IF(Classifiers!$E$8="",0,IF(ISNUMBER(SEARCH(Classifiers!$E$8,E378)),1,0))+IF(Classifiers!$F$8="",0,IF(ISNUMBER(SEARCH(Classifiers!$F$8,E378)),1,0))+IF(Classifiers!$G$8="",0,IF(ISNUMBER(SEARCH(Classifiers!$G$8,E378)),1,0)))&gt;0,1,0))</f>
        <v/>
      </c>
      <c r="N378" s="12">
        <f>IF(H378&lt;&gt;1,0,IF((IF(Classifiers!$B$9="",0,IF(ISNUMBER(SEARCH(Classifiers!$B$9,E378)),1,0))+IF(Classifiers!$C$9="",0,IF(ISNUMBER(SEARCH(Classifiers!$C$9,E378)),1,0))+IF(Classifiers!$D$9="",0,IF(ISNUMBER(SEARCH(Classifiers!$D$9,E378)),1,0))+IF(Classifiers!$E$9="",0,IF(ISNUMBER(SEARCH(Classifiers!$E$9,E378)),1,0))+IF(Classifiers!$F$9="",0,IF(ISNUMBER(SEARCH(Classifiers!$F$9,E378)),1,0))+IF(Classifiers!$G$9="",0,IF(ISNUMBER(SEARCH(Classifiers!$G$9,E378)),1,0)))&gt;0,1,0))</f>
        <v/>
      </c>
      <c r="O378" s="12">
        <f>IF(H378&lt;&gt;1,0,IF((IF(Classifiers!$B$10="",0,IF(ISNUMBER(SEARCH(Classifiers!$B$10,E378)),1,0))+IF(Classifiers!$C$10="",0,IF(ISNUMBER(SEARCH(Classifiers!$C$10,E378)),1,0))+IF(Classifiers!$D$10="",0,IF(ISNUMBER(SEARCH(Classifiers!$D$10,E378)),1,0))+IF(Classifiers!$E$10="",0,IF(ISNUMBER(SEARCH(Classifiers!$E$10,E378)),1,0))+IF(Classifiers!$F$10="",0,IF(ISNUMBER(SEARCH(Classifiers!$F$10,E378)),1,0))+IF(Classifiers!$G$10="",0,IF(ISNUMBER(SEARCH(Classifiers!$G$10,E378)),1,0)))&gt;0,1,0))</f>
        <v/>
      </c>
      <c r="P378" s="12">
        <f>IF(H378&lt;&gt;1,0,IF((IF(Classifiers!$B$11="",0,IF(ISNUMBER(SEARCH(Classifiers!$B$11,E378)),1,0))+IF(Classifiers!$C$11="",0,IF(ISNUMBER(SEARCH(Classifiers!$C$11,E378)),1,0))+IF(Classifiers!$D$11="",0,IF(ISNUMBER(SEARCH(Classifiers!$D$11,E378)),1,0))+IF(Classifiers!$E$11="",0,IF(ISNUMBER(SEARCH(Classifiers!$E$11,E378)),1,0))+IF(Classifiers!$F$11="",0,IF(ISNUMBER(SEARCH(Classifiers!$F$11,E378)),1,0))+IF(Classifiers!$G$11="",0,IF(ISNUMBER(SEARCH(Classifiers!$G$11,E378)),1,0)))&gt;0,1,0))</f>
        <v/>
      </c>
      <c r="Q378" s="12">
        <f>IF(H378&lt;&gt;1,0,IF((IF(Classifiers!$B$12="",0,IF(ISNUMBER(SEARCH(Classifiers!$B$12,E378)),1,0))+IF(Classifiers!$C$12="",0,IF(ISNUMBER(SEARCH(Classifiers!$C$12,E378)),1,0))+IF(Classifiers!$D$12="",0,IF(ISNUMBER(SEARCH(Classifiers!$D$12,E378)),1,0))+IF(Classifiers!$E$12="",0,IF(ISNUMBER(SEARCH(Classifiers!$E$12,E378)),1,0))+IF(Classifiers!$F$12="",0,IF(ISNUMBER(SEARCH(Classifiers!$F$12,E378)),1,0))+IF(Classifiers!$G$12="",0,IF(ISNUMBER(SEARCH(Classifiers!$G$12,E378)),1,0)))&gt;0,1,0))</f>
        <v/>
      </c>
      <c r="R378" s="12">
        <f>IF(H378&lt;&gt;1,0,IF((IF(Classifiers!$B$13="",0,IF(ISNUMBER(SEARCH(Classifiers!$B$13,E378)),1,0))+IF(Classifiers!$C$13="",0,IF(ISNUMBER(SEARCH(Classifiers!$C$13,E378)),1,0))+IF(Classifiers!$D$13="",0,IF(ISNUMBER(SEARCH(Classifiers!$D$13,E378)),1,0))+IF(Classifiers!$E$13="",0,IF(ISNUMBER(SEARCH(Classifiers!$E$13,E378)),1,0))+IF(Classifiers!$F$13="",0,IF(ISNUMBER(SEARCH(Classifiers!$F$13,E378)),1,0))+IF(Classifiers!$G$13="",0,IF(ISNUMBER(SEARCH(Classifiers!$G$13,E378)),1,0)))&gt;0,1,0))</f>
        <v/>
      </c>
      <c r="S378" s="12">
        <f>IF(H378&lt;&gt;1,0,IF((IF(Classifiers!$B$14="",0,IF(ISNUMBER(SEARCH(Classifiers!$B$14,E378)),1,0))+IF(Classifiers!$C$14="",0,IF(ISNUMBER(SEARCH(Classifiers!$C$14,E378)),1,0))+IF(Classifiers!$D$14="",0,IF(ISNUMBER(SEARCH(Classifiers!$D$14,E378)),1,0))+IF(Classifiers!$E$14="",0,IF(ISNUMBER(SEARCH(Classifiers!$E$14,E378)),1,0))+IF(Classifiers!$F$14="",0,IF(ISNUMBER(SEARCH(Classifiers!$F$14,E378)),1,0))+IF(Classifiers!$G$14="",0,IF(ISNUMBER(SEARCH(Classifiers!$G$14,E378)),1,0)))&gt;0,1,0))</f>
        <v/>
      </c>
      <c r="T378" s="12">
        <f>IF(H378&lt;&gt;1,0,IF((IF(Classifiers!$B$15="",0,IF(ISNUMBER(SEARCH(Classifiers!$B$15,E378)),1,0))+IF(Classifiers!$C$15="",0,IF(ISNUMBER(SEARCH(Classifiers!$C$15,E378)),1,0))+IF(Classifiers!$D$15="",0,IF(ISNUMBER(SEARCH(Classifiers!$D$15,E378)),1,0))+IF(Classifiers!$E$15="",0,IF(ISNUMBER(SEARCH(Classifiers!$E$15,E378)),1,0))+IF(Classifiers!$F$15="",0,IF(ISNUMBER(SEARCH(Classifiers!$F$15,E378)),1,0))+IF(Classifiers!$G$15="",0,IF(ISNUMBER(SEARCH(Classifiers!$G$15,E378)),1,0)))&gt;0,1,0))</f>
        <v/>
      </c>
      <c r="U378" s="12">
        <f>IF(H378&lt;&gt;1,0,IF((IF(Classifiers!$B$16="",0,IF(ISNUMBER(SEARCH(Classifiers!$B$16,E378)),1,0))+IF(Classifiers!$C$16="",0,IF(ISNUMBER(SEARCH(Classifiers!$C$16,E378)),1,0))+IF(Classifiers!$D$16="",0,IF(ISNUMBER(SEARCH(Classifiers!$D$16,E378)),1,0))+IF(Classifiers!$E$16="",0,IF(ISNUMBER(SEARCH(Classifiers!$E$16,E378)),1,0))+IF(Classifiers!$F$16="",0,IF(ISNUMBER(SEARCH(Classifiers!$F$16,E378)),1,0))+IF(Classifiers!$G$16="",0,IF(ISNUMBER(SEARCH(Classifiers!$G$16,E378)),1,0)))&gt;0,1,0))</f>
        <v/>
      </c>
      <c r="V378" s="12">
        <f>IF(H378&lt;&gt;1,0,IF((IF(Classifiers!$B$17="",0,IF(ISNUMBER(SEARCH(Classifiers!$B$17,E378)),1,0))+IF(Classifiers!$C$17="",0,IF(ISNUMBER(SEARCH(Classifiers!$C$17,E378)),1,0))+IF(Classifiers!$D$17="",0,IF(ISNUMBER(SEARCH(Classifiers!$D$17,E378)),1,0))+IF(Classifiers!$E$17="",0,IF(ISNUMBER(SEARCH(Classifiers!$E$17,E378)),1,0))+IF(Classifiers!$F$17="",0,IF(ISNUMBER(SEARCH(Classifiers!$F$17,E378)),1,0))+IF(Classifiers!$G$17="",0,IF(ISNUMBER(SEARCH(Classifiers!$G$17,E378)),1,0)))&gt;0,1,0))</f>
        <v/>
      </c>
      <c r="W378" s="12">
        <f>IF(H378&lt;&gt;1,0,IF((IF(Classifiers!$B$18="",0,IF(ISNUMBER(SEARCH(Classifiers!$B$18,E378)),1,0))+IF(Classifiers!$C$18="",0,IF(ISNUMBER(SEARCH(Classifiers!$C$18,E378)),1,0))+IF(Classifiers!$D$18="",0,IF(ISNUMBER(SEARCH(Classifiers!$D$18,E378)),1,0))+IF(Classifiers!$E$18="",0,IF(ISNUMBER(SEARCH(Classifiers!$E$18,E378)),1,0))+IF(Classifiers!$F$18="",0,IF(ISNUMBER(SEARCH(Classifiers!$F$18,E378)),1,0))+IF(Classifiers!$G$18="",0,IF(ISNUMBER(SEARCH(Classifiers!$G$18,E378)),1,0)))&gt;0,1,0))</f>
        <v/>
      </c>
    </row>
    <row r="379">
      <c r="A379" s="8" t="n"/>
      <c r="B379" s="11" t="n"/>
      <c r="C379" s="6">
        <f>IF(A379="","",TRIM(RIGHT(SUBSTITUTE(A379,"/",REPT(" ",250)),250)))</f>
        <v/>
      </c>
      <c r="D379" s="6">
        <f>IF(C379="","",IF(ISNUMBER(SEARCH(".",C379)),LOWER("."&amp;TRIM(RIGHT(SUBSTITUTE(C379,".",REPT(" ",250)),250))),""))</f>
        <v/>
      </c>
      <c r="E379" s="6">
        <f>IF(C379="","",TRIM(SUBSTITUTE(SUBSTITUTE(SUBSTITUTE(SUBSTITUTE(SUBSTITUTE(SUBSTITUTE(SUBSTITUTE(SUBSTITUTE(SUBSTITUTE(SUBSTITUTE(SUBSTITUTE(SUBSTITUTE(SUBSTITUTE(SUBSTITUTE(SUBSTITUTE(SUBSTITUTE(SUBSTITUTE(SUBSTITUTE(SUBSTITUTE(SUBSTITUTE(LOWER(LEFT(C379,LEN(C379)-LEN(D379))),"_"," "),"-"," "),"."," "),","," "),"("," "),")"," "),"["," "),"]"," "),"&amp;"," "),"+"," "),"@"," "),"#"," "),"!"," "),"'"," "),"/"," "),":"," "),";"," "),"="," "),"~"," "),"%"," ")))</f>
        <v/>
      </c>
      <c r="F379" s="6">
        <f>IF(C379="","",IF(COUNTIF(Classifiers!$A$23:$A$40,D379)&gt;0,1,0))</f>
        <v/>
      </c>
      <c r="G379" s="6">
        <f>IF(C379="","",IF(COUNTIF(Classifiers!$C$23:$C$30,D379)&gt;0,IF((IF(ISNUMBER(SEARCH(Classifiers!$E$23,E379)),1,0)+IF(ISNUMBER(SEARCH(Classifiers!$E$24,E379)),1,0)+IF(ISNUMBER(SEARCH(Classifiers!$E$25,E379)),1,0)+IF(ISNUMBER(SEARCH(Classifiers!$E$26,E379)),1,0)+IF(ISNUMBER(SEARCH(Classifiers!$E$27,E379)),1,0)+IF(ISNUMBER(SEARCH(Classifiers!$E$28,E379)),1,0)+IF(ISNUMBER(SEARCH(Classifiers!$E$29,E379)),1,0)+IF(ISNUMBER(SEARCH(Classifiers!$E$30,E379)),1,0))&gt;0,1,0),0))</f>
        <v/>
      </c>
      <c r="H379" s="6">
        <f>IF(C379="","",IF(OR(LEFT(C379,1)=".",AND(F379=0,G379=0)),0,1))</f>
        <v/>
      </c>
      <c r="I379" s="6">
        <f>IF(H379&lt;&gt;1,"",IF(SUM(J379:W379)=0,"unclassified",INDEX(Classifiers!$A$5:$A$18,MATCH(1,J379:W379,0),1)))</f>
        <v/>
      </c>
      <c r="J379" s="12">
        <f>IF(H379&lt;&gt;1,0,IF((IF(Classifiers!$B$5="",0,IF(ISNUMBER(SEARCH(Classifiers!$B$5,E379)),1,0))+IF(Classifiers!$C$5="",0,IF(ISNUMBER(SEARCH(Classifiers!$C$5,E379)),1,0))+IF(Classifiers!$D$5="",0,IF(ISNUMBER(SEARCH(Classifiers!$D$5,E379)),1,0))+IF(Classifiers!$E$5="",0,IF(ISNUMBER(SEARCH(Classifiers!$E$5,E379)),1,0))+IF(Classifiers!$F$5="",0,IF(ISNUMBER(SEARCH(Classifiers!$F$5,E379)),1,0))+IF(Classifiers!$G$5="",0,IF(ISNUMBER(SEARCH(Classifiers!$G$5,E379)),1,0)))&gt;0,1,0))</f>
        <v/>
      </c>
      <c r="K379" s="12">
        <f>IF(H379&lt;&gt;1,0,IF((IF(Classifiers!$B$6="",0,IF(ISNUMBER(SEARCH(Classifiers!$B$6,E379)),1,0))+IF(Classifiers!$C$6="",0,IF(ISNUMBER(SEARCH(Classifiers!$C$6,E379)),1,0))+IF(Classifiers!$D$6="",0,IF(ISNUMBER(SEARCH(Classifiers!$D$6,E379)),1,0))+IF(Classifiers!$E$6="",0,IF(ISNUMBER(SEARCH(Classifiers!$E$6,E379)),1,0))+IF(Classifiers!$F$6="",0,IF(ISNUMBER(SEARCH(Classifiers!$F$6,E379)),1,0))+IF(Classifiers!$G$6="",0,IF(ISNUMBER(SEARCH(Classifiers!$G$6,E379)),1,0)))&gt;0,1,0))</f>
        <v/>
      </c>
      <c r="L379" s="12">
        <f>IF(H379&lt;&gt;1,0,IF((IF(Classifiers!$B$7="",0,IF(ISNUMBER(SEARCH(Classifiers!$B$7,E379)),1,0))+IF(Classifiers!$C$7="",0,IF(ISNUMBER(SEARCH(Classifiers!$C$7,E379)),1,0))+IF(Classifiers!$D$7="",0,IF(ISNUMBER(SEARCH(Classifiers!$D$7,E379)),1,0))+IF(Classifiers!$E$7="",0,IF(ISNUMBER(SEARCH(Classifiers!$E$7,E379)),1,0))+IF(Classifiers!$F$7="",0,IF(ISNUMBER(SEARCH(Classifiers!$F$7,E379)),1,0))+IF(Classifiers!$G$7="",0,IF(ISNUMBER(SEARCH(Classifiers!$G$7,E379)),1,0)))&gt;0,1,0))</f>
        <v/>
      </c>
      <c r="M379" s="12">
        <f>IF(H379&lt;&gt;1,0,IF((IF(Classifiers!$B$8="",0,IF(ISNUMBER(SEARCH(Classifiers!$B$8,E379)),1,0))+IF(Classifiers!$C$8="",0,IF(ISNUMBER(SEARCH(Classifiers!$C$8,E379)),1,0))+IF(Classifiers!$D$8="",0,IF(ISNUMBER(SEARCH(Classifiers!$D$8,E379)),1,0))+IF(Classifiers!$E$8="",0,IF(ISNUMBER(SEARCH(Classifiers!$E$8,E379)),1,0))+IF(Classifiers!$F$8="",0,IF(ISNUMBER(SEARCH(Classifiers!$F$8,E379)),1,0))+IF(Classifiers!$G$8="",0,IF(ISNUMBER(SEARCH(Classifiers!$G$8,E379)),1,0)))&gt;0,1,0))</f>
        <v/>
      </c>
      <c r="N379" s="12">
        <f>IF(H379&lt;&gt;1,0,IF((IF(Classifiers!$B$9="",0,IF(ISNUMBER(SEARCH(Classifiers!$B$9,E379)),1,0))+IF(Classifiers!$C$9="",0,IF(ISNUMBER(SEARCH(Classifiers!$C$9,E379)),1,0))+IF(Classifiers!$D$9="",0,IF(ISNUMBER(SEARCH(Classifiers!$D$9,E379)),1,0))+IF(Classifiers!$E$9="",0,IF(ISNUMBER(SEARCH(Classifiers!$E$9,E379)),1,0))+IF(Classifiers!$F$9="",0,IF(ISNUMBER(SEARCH(Classifiers!$F$9,E379)),1,0))+IF(Classifiers!$G$9="",0,IF(ISNUMBER(SEARCH(Classifiers!$G$9,E379)),1,0)))&gt;0,1,0))</f>
        <v/>
      </c>
      <c r="O379" s="12">
        <f>IF(H379&lt;&gt;1,0,IF((IF(Classifiers!$B$10="",0,IF(ISNUMBER(SEARCH(Classifiers!$B$10,E379)),1,0))+IF(Classifiers!$C$10="",0,IF(ISNUMBER(SEARCH(Classifiers!$C$10,E379)),1,0))+IF(Classifiers!$D$10="",0,IF(ISNUMBER(SEARCH(Classifiers!$D$10,E379)),1,0))+IF(Classifiers!$E$10="",0,IF(ISNUMBER(SEARCH(Classifiers!$E$10,E379)),1,0))+IF(Classifiers!$F$10="",0,IF(ISNUMBER(SEARCH(Classifiers!$F$10,E379)),1,0))+IF(Classifiers!$G$10="",0,IF(ISNUMBER(SEARCH(Classifiers!$G$10,E379)),1,0)))&gt;0,1,0))</f>
        <v/>
      </c>
      <c r="P379" s="12">
        <f>IF(H379&lt;&gt;1,0,IF((IF(Classifiers!$B$11="",0,IF(ISNUMBER(SEARCH(Classifiers!$B$11,E379)),1,0))+IF(Classifiers!$C$11="",0,IF(ISNUMBER(SEARCH(Classifiers!$C$11,E379)),1,0))+IF(Classifiers!$D$11="",0,IF(ISNUMBER(SEARCH(Classifiers!$D$11,E379)),1,0))+IF(Classifiers!$E$11="",0,IF(ISNUMBER(SEARCH(Classifiers!$E$11,E379)),1,0))+IF(Classifiers!$F$11="",0,IF(ISNUMBER(SEARCH(Classifiers!$F$11,E379)),1,0))+IF(Classifiers!$G$11="",0,IF(ISNUMBER(SEARCH(Classifiers!$G$11,E379)),1,0)))&gt;0,1,0))</f>
        <v/>
      </c>
      <c r="Q379" s="12">
        <f>IF(H379&lt;&gt;1,0,IF((IF(Classifiers!$B$12="",0,IF(ISNUMBER(SEARCH(Classifiers!$B$12,E379)),1,0))+IF(Classifiers!$C$12="",0,IF(ISNUMBER(SEARCH(Classifiers!$C$12,E379)),1,0))+IF(Classifiers!$D$12="",0,IF(ISNUMBER(SEARCH(Classifiers!$D$12,E379)),1,0))+IF(Classifiers!$E$12="",0,IF(ISNUMBER(SEARCH(Classifiers!$E$12,E379)),1,0))+IF(Classifiers!$F$12="",0,IF(ISNUMBER(SEARCH(Classifiers!$F$12,E379)),1,0))+IF(Classifiers!$G$12="",0,IF(ISNUMBER(SEARCH(Classifiers!$G$12,E379)),1,0)))&gt;0,1,0))</f>
        <v/>
      </c>
      <c r="R379" s="12">
        <f>IF(H379&lt;&gt;1,0,IF((IF(Classifiers!$B$13="",0,IF(ISNUMBER(SEARCH(Classifiers!$B$13,E379)),1,0))+IF(Classifiers!$C$13="",0,IF(ISNUMBER(SEARCH(Classifiers!$C$13,E379)),1,0))+IF(Classifiers!$D$13="",0,IF(ISNUMBER(SEARCH(Classifiers!$D$13,E379)),1,0))+IF(Classifiers!$E$13="",0,IF(ISNUMBER(SEARCH(Classifiers!$E$13,E379)),1,0))+IF(Classifiers!$F$13="",0,IF(ISNUMBER(SEARCH(Classifiers!$F$13,E379)),1,0))+IF(Classifiers!$G$13="",0,IF(ISNUMBER(SEARCH(Classifiers!$G$13,E379)),1,0)))&gt;0,1,0))</f>
        <v/>
      </c>
      <c r="S379" s="12">
        <f>IF(H379&lt;&gt;1,0,IF((IF(Classifiers!$B$14="",0,IF(ISNUMBER(SEARCH(Classifiers!$B$14,E379)),1,0))+IF(Classifiers!$C$14="",0,IF(ISNUMBER(SEARCH(Classifiers!$C$14,E379)),1,0))+IF(Classifiers!$D$14="",0,IF(ISNUMBER(SEARCH(Classifiers!$D$14,E379)),1,0))+IF(Classifiers!$E$14="",0,IF(ISNUMBER(SEARCH(Classifiers!$E$14,E379)),1,0))+IF(Classifiers!$F$14="",0,IF(ISNUMBER(SEARCH(Classifiers!$F$14,E379)),1,0))+IF(Classifiers!$G$14="",0,IF(ISNUMBER(SEARCH(Classifiers!$G$14,E379)),1,0)))&gt;0,1,0))</f>
        <v/>
      </c>
      <c r="T379" s="12">
        <f>IF(H379&lt;&gt;1,0,IF((IF(Classifiers!$B$15="",0,IF(ISNUMBER(SEARCH(Classifiers!$B$15,E379)),1,0))+IF(Classifiers!$C$15="",0,IF(ISNUMBER(SEARCH(Classifiers!$C$15,E379)),1,0))+IF(Classifiers!$D$15="",0,IF(ISNUMBER(SEARCH(Classifiers!$D$15,E379)),1,0))+IF(Classifiers!$E$15="",0,IF(ISNUMBER(SEARCH(Classifiers!$E$15,E379)),1,0))+IF(Classifiers!$F$15="",0,IF(ISNUMBER(SEARCH(Classifiers!$F$15,E379)),1,0))+IF(Classifiers!$G$15="",0,IF(ISNUMBER(SEARCH(Classifiers!$G$15,E379)),1,0)))&gt;0,1,0))</f>
        <v/>
      </c>
      <c r="U379" s="12">
        <f>IF(H379&lt;&gt;1,0,IF((IF(Classifiers!$B$16="",0,IF(ISNUMBER(SEARCH(Classifiers!$B$16,E379)),1,0))+IF(Classifiers!$C$16="",0,IF(ISNUMBER(SEARCH(Classifiers!$C$16,E379)),1,0))+IF(Classifiers!$D$16="",0,IF(ISNUMBER(SEARCH(Classifiers!$D$16,E379)),1,0))+IF(Classifiers!$E$16="",0,IF(ISNUMBER(SEARCH(Classifiers!$E$16,E379)),1,0))+IF(Classifiers!$F$16="",0,IF(ISNUMBER(SEARCH(Classifiers!$F$16,E379)),1,0))+IF(Classifiers!$G$16="",0,IF(ISNUMBER(SEARCH(Classifiers!$G$16,E379)),1,0)))&gt;0,1,0))</f>
        <v/>
      </c>
      <c r="V379" s="12">
        <f>IF(H379&lt;&gt;1,0,IF((IF(Classifiers!$B$17="",0,IF(ISNUMBER(SEARCH(Classifiers!$B$17,E379)),1,0))+IF(Classifiers!$C$17="",0,IF(ISNUMBER(SEARCH(Classifiers!$C$17,E379)),1,0))+IF(Classifiers!$D$17="",0,IF(ISNUMBER(SEARCH(Classifiers!$D$17,E379)),1,0))+IF(Classifiers!$E$17="",0,IF(ISNUMBER(SEARCH(Classifiers!$E$17,E379)),1,0))+IF(Classifiers!$F$17="",0,IF(ISNUMBER(SEARCH(Classifiers!$F$17,E379)),1,0))+IF(Classifiers!$G$17="",0,IF(ISNUMBER(SEARCH(Classifiers!$G$17,E379)),1,0)))&gt;0,1,0))</f>
        <v/>
      </c>
      <c r="W379" s="12">
        <f>IF(H379&lt;&gt;1,0,IF((IF(Classifiers!$B$18="",0,IF(ISNUMBER(SEARCH(Classifiers!$B$18,E379)),1,0))+IF(Classifiers!$C$18="",0,IF(ISNUMBER(SEARCH(Classifiers!$C$18,E379)),1,0))+IF(Classifiers!$D$18="",0,IF(ISNUMBER(SEARCH(Classifiers!$D$18,E379)),1,0))+IF(Classifiers!$E$18="",0,IF(ISNUMBER(SEARCH(Classifiers!$E$18,E379)),1,0))+IF(Classifiers!$F$18="",0,IF(ISNUMBER(SEARCH(Classifiers!$F$18,E379)),1,0))+IF(Classifiers!$G$18="",0,IF(ISNUMBER(SEARCH(Classifiers!$G$18,E379)),1,0)))&gt;0,1,0))</f>
        <v/>
      </c>
    </row>
    <row r="380">
      <c r="A380" s="8" t="n"/>
      <c r="B380" s="11" t="n"/>
      <c r="C380" s="6">
        <f>IF(A380="","",TRIM(RIGHT(SUBSTITUTE(A380,"/",REPT(" ",250)),250)))</f>
        <v/>
      </c>
      <c r="D380" s="6">
        <f>IF(C380="","",IF(ISNUMBER(SEARCH(".",C380)),LOWER("."&amp;TRIM(RIGHT(SUBSTITUTE(C380,".",REPT(" ",250)),250))),""))</f>
        <v/>
      </c>
      <c r="E380" s="6">
        <f>IF(C380="","",TRIM(SUBSTITUTE(SUBSTITUTE(SUBSTITUTE(SUBSTITUTE(SUBSTITUTE(SUBSTITUTE(SUBSTITUTE(SUBSTITUTE(SUBSTITUTE(SUBSTITUTE(SUBSTITUTE(SUBSTITUTE(SUBSTITUTE(SUBSTITUTE(SUBSTITUTE(SUBSTITUTE(SUBSTITUTE(SUBSTITUTE(SUBSTITUTE(SUBSTITUTE(LOWER(LEFT(C380,LEN(C380)-LEN(D380))),"_"," "),"-"," "),"."," "),","," "),"("," "),")"," "),"["," "),"]"," "),"&amp;"," "),"+"," "),"@"," "),"#"," "),"!"," "),"'"," "),"/"," "),":"," "),";"," "),"="," "),"~"," "),"%"," ")))</f>
        <v/>
      </c>
      <c r="F380" s="6">
        <f>IF(C380="","",IF(COUNTIF(Classifiers!$A$23:$A$40,D380)&gt;0,1,0))</f>
        <v/>
      </c>
      <c r="G380" s="6">
        <f>IF(C380="","",IF(COUNTIF(Classifiers!$C$23:$C$30,D380)&gt;0,IF((IF(ISNUMBER(SEARCH(Classifiers!$E$23,E380)),1,0)+IF(ISNUMBER(SEARCH(Classifiers!$E$24,E380)),1,0)+IF(ISNUMBER(SEARCH(Classifiers!$E$25,E380)),1,0)+IF(ISNUMBER(SEARCH(Classifiers!$E$26,E380)),1,0)+IF(ISNUMBER(SEARCH(Classifiers!$E$27,E380)),1,0)+IF(ISNUMBER(SEARCH(Classifiers!$E$28,E380)),1,0)+IF(ISNUMBER(SEARCH(Classifiers!$E$29,E380)),1,0)+IF(ISNUMBER(SEARCH(Classifiers!$E$30,E380)),1,0))&gt;0,1,0),0))</f>
        <v/>
      </c>
      <c r="H380" s="6">
        <f>IF(C380="","",IF(OR(LEFT(C380,1)=".",AND(F380=0,G380=0)),0,1))</f>
        <v/>
      </c>
      <c r="I380" s="6">
        <f>IF(H380&lt;&gt;1,"",IF(SUM(J380:W380)=0,"unclassified",INDEX(Classifiers!$A$5:$A$18,MATCH(1,J380:W380,0),1)))</f>
        <v/>
      </c>
      <c r="J380" s="12">
        <f>IF(H380&lt;&gt;1,0,IF((IF(Classifiers!$B$5="",0,IF(ISNUMBER(SEARCH(Classifiers!$B$5,E380)),1,0))+IF(Classifiers!$C$5="",0,IF(ISNUMBER(SEARCH(Classifiers!$C$5,E380)),1,0))+IF(Classifiers!$D$5="",0,IF(ISNUMBER(SEARCH(Classifiers!$D$5,E380)),1,0))+IF(Classifiers!$E$5="",0,IF(ISNUMBER(SEARCH(Classifiers!$E$5,E380)),1,0))+IF(Classifiers!$F$5="",0,IF(ISNUMBER(SEARCH(Classifiers!$F$5,E380)),1,0))+IF(Classifiers!$G$5="",0,IF(ISNUMBER(SEARCH(Classifiers!$G$5,E380)),1,0)))&gt;0,1,0))</f>
        <v/>
      </c>
      <c r="K380" s="12">
        <f>IF(H380&lt;&gt;1,0,IF((IF(Classifiers!$B$6="",0,IF(ISNUMBER(SEARCH(Classifiers!$B$6,E380)),1,0))+IF(Classifiers!$C$6="",0,IF(ISNUMBER(SEARCH(Classifiers!$C$6,E380)),1,0))+IF(Classifiers!$D$6="",0,IF(ISNUMBER(SEARCH(Classifiers!$D$6,E380)),1,0))+IF(Classifiers!$E$6="",0,IF(ISNUMBER(SEARCH(Classifiers!$E$6,E380)),1,0))+IF(Classifiers!$F$6="",0,IF(ISNUMBER(SEARCH(Classifiers!$F$6,E380)),1,0))+IF(Classifiers!$G$6="",0,IF(ISNUMBER(SEARCH(Classifiers!$G$6,E380)),1,0)))&gt;0,1,0))</f>
        <v/>
      </c>
      <c r="L380" s="12">
        <f>IF(H380&lt;&gt;1,0,IF((IF(Classifiers!$B$7="",0,IF(ISNUMBER(SEARCH(Classifiers!$B$7,E380)),1,0))+IF(Classifiers!$C$7="",0,IF(ISNUMBER(SEARCH(Classifiers!$C$7,E380)),1,0))+IF(Classifiers!$D$7="",0,IF(ISNUMBER(SEARCH(Classifiers!$D$7,E380)),1,0))+IF(Classifiers!$E$7="",0,IF(ISNUMBER(SEARCH(Classifiers!$E$7,E380)),1,0))+IF(Classifiers!$F$7="",0,IF(ISNUMBER(SEARCH(Classifiers!$F$7,E380)),1,0))+IF(Classifiers!$G$7="",0,IF(ISNUMBER(SEARCH(Classifiers!$G$7,E380)),1,0)))&gt;0,1,0))</f>
        <v/>
      </c>
      <c r="M380" s="12">
        <f>IF(H380&lt;&gt;1,0,IF((IF(Classifiers!$B$8="",0,IF(ISNUMBER(SEARCH(Classifiers!$B$8,E380)),1,0))+IF(Classifiers!$C$8="",0,IF(ISNUMBER(SEARCH(Classifiers!$C$8,E380)),1,0))+IF(Classifiers!$D$8="",0,IF(ISNUMBER(SEARCH(Classifiers!$D$8,E380)),1,0))+IF(Classifiers!$E$8="",0,IF(ISNUMBER(SEARCH(Classifiers!$E$8,E380)),1,0))+IF(Classifiers!$F$8="",0,IF(ISNUMBER(SEARCH(Classifiers!$F$8,E380)),1,0))+IF(Classifiers!$G$8="",0,IF(ISNUMBER(SEARCH(Classifiers!$G$8,E380)),1,0)))&gt;0,1,0))</f>
        <v/>
      </c>
      <c r="N380" s="12">
        <f>IF(H380&lt;&gt;1,0,IF((IF(Classifiers!$B$9="",0,IF(ISNUMBER(SEARCH(Classifiers!$B$9,E380)),1,0))+IF(Classifiers!$C$9="",0,IF(ISNUMBER(SEARCH(Classifiers!$C$9,E380)),1,0))+IF(Classifiers!$D$9="",0,IF(ISNUMBER(SEARCH(Classifiers!$D$9,E380)),1,0))+IF(Classifiers!$E$9="",0,IF(ISNUMBER(SEARCH(Classifiers!$E$9,E380)),1,0))+IF(Classifiers!$F$9="",0,IF(ISNUMBER(SEARCH(Classifiers!$F$9,E380)),1,0))+IF(Classifiers!$G$9="",0,IF(ISNUMBER(SEARCH(Classifiers!$G$9,E380)),1,0)))&gt;0,1,0))</f>
        <v/>
      </c>
      <c r="O380" s="12">
        <f>IF(H380&lt;&gt;1,0,IF((IF(Classifiers!$B$10="",0,IF(ISNUMBER(SEARCH(Classifiers!$B$10,E380)),1,0))+IF(Classifiers!$C$10="",0,IF(ISNUMBER(SEARCH(Classifiers!$C$10,E380)),1,0))+IF(Classifiers!$D$10="",0,IF(ISNUMBER(SEARCH(Classifiers!$D$10,E380)),1,0))+IF(Classifiers!$E$10="",0,IF(ISNUMBER(SEARCH(Classifiers!$E$10,E380)),1,0))+IF(Classifiers!$F$10="",0,IF(ISNUMBER(SEARCH(Classifiers!$F$10,E380)),1,0))+IF(Classifiers!$G$10="",0,IF(ISNUMBER(SEARCH(Classifiers!$G$10,E380)),1,0)))&gt;0,1,0))</f>
        <v/>
      </c>
      <c r="P380" s="12">
        <f>IF(H380&lt;&gt;1,0,IF((IF(Classifiers!$B$11="",0,IF(ISNUMBER(SEARCH(Classifiers!$B$11,E380)),1,0))+IF(Classifiers!$C$11="",0,IF(ISNUMBER(SEARCH(Classifiers!$C$11,E380)),1,0))+IF(Classifiers!$D$11="",0,IF(ISNUMBER(SEARCH(Classifiers!$D$11,E380)),1,0))+IF(Classifiers!$E$11="",0,IF(ISNUMBER(SEARCH(Classifiers!$E$11,E380)),1,0))+IF(Classifiers!$F$11="",0,IF(ISNUMBER(SEARCH(Classifiers!$F$11,E380)),1,0))+IF(Classifiers!$G$11="",0,IF(ISNUMBER(SEARCH(Classifiers!$G$11,E380)),1,0)))&gt;0,1,0))</f>
        <v/>
      </c>
      <c r="Q380" s="12">
        <f>IF(H380&lt;&gt;1,0,IF((IF(Classifiers!$B$12="",0,IF(ISNUMBER(SEARCH(Classifiers!$B$12,E380)),1,0))+IF(Classifiers!$C$12="",0,IF(ISNUMBER(SEARCH(Classifiers!$C$12,E380)),1,0))+IF(Classifiers!$D$12="",0,IF(ISNUMBER(SEARCH(Classifiers!$D$12,E380)),1,0))+IF(Classifiers!$E$12="",0,IF(ISNUMBER(SEARCH(Classifiers!$E$12,E380)),1,0))+IF(Classifiers!$F$12="",0,IF(ISNUMBER(SEARCH(Classifiers!$F$12,E380)),1,0))+IF(Classifiers!$G$12="",0,IF(ISNUMBER(SEARCH(Classifiers!$G$12,E380)),1,0)))&gt;0,1,0))</f>
        <v/>
      </c>
      <c r="R380" s="12">
        <f>IF(H380&lt;&gt;1,0,IF((IF(Classifiers!$B$13="",0,IF(ISNUMBER(SEARCH(Classifiers!$B$13,E380)),1,0))+IF(Classifiers!$C$13="",0,IF(ISNUMBER(SEARCH(Classifiers!$C$13,E380)),1,0))+IF(Classifiers!$D$13="",0,IF(ISNUMBER(SEARCH(Classifiers!$D$13,E380)),1,0))+IF(Classifiers!$E$13="",0,IF(ISNUMBER(SEARCH(Classifiers!$E$13,E380)),1,0))+IF(Classifiers!$F$13="",0,IF(ISNUMBER(SEARCH(Classifiers!$F$13,E380)),1,0))+IF(Classifiers!$G$13="",0,IF(ISNUMBER(SEARCH(Classifiers!$G$13,E380)),1,0)))&gt;0,1,0))</f>
        <v/>
      </c>
      <c r="S380" s="12">
        <f>IF(H380&lt;&gt;1,0,IF((IF(Classifiers!$B$14="",0,IF(ISNUMBER(SEARCH(Classifiers!$B$14,E380)),1,0))+IF(Classifiers!$C$14="",0,IF(ISNUMBER(SEARCH(Classifiers!$C$14,E380)),1,0))+IF(Classifiers!$D$14="",0,IF(ISNUMBER(SEARCH(Classifiers!$D$14,E380)),1,0))+IF(Classifiers!$E$14="",0,IF(ISNUMBER(SEARCH(Classifiers!$E$14,E380)),1,0))+IF(Classifiers!$F$14="",0,IF(ISNUMBER(SEARCH(Classifiers!$F$14,E380)),1,0))+IF(Classifiers!$G$14="",0,IF(ISNUMBER(SEARCH(Classifiers!$G$14,E380)),1,0)))&gt;0,1,0))</f>
        <v/>
      </c>
      <c r="T380" s="12">
        <f>IF(H380&lt;&gt;1,0,IF((IF(Classifiers!$B$15="",0,IF(ISNUMBER(SEARCH(Classifiers!$B$15,E380)),1,0))+IF(Classifiers!$C$15="",0,IF(ISNUMBER(SEARCH(Classifiers!$C$15,E380)),1,0))+IF(Classifiers!$D$15="",0,IF(ISNUMBER(SEARCH(Classifiers!$D$15,E380)),1,0))+IF(Classifiers!$E$15="",0,IF(ISNUMBER(SEARCH(Classifiers!$E$15,E380)),1,0))+IF(Classifiers!$F$15="",0,IF(ISNUMBER(SEARCH(Classifiers!$F$15,E380)),1,0))+IF(Classifiers!$G$15="",0,IF(ISNUMBER(SEARCH(Classifiers!$G$15,E380)),1,0)))&gt;0,1,0))</f>
        <v/>
      </c>
      <c r="U380" s="12">
        <f>IF(H380&lt;&gt;1,0,IF((IF(Classifiers!$B$16="",0,IF(ISNUMBER(SEARCH(Classifiers!$B$16,E380)),1,0))+IF(Classifiers!$C$16="",0,IF(ISNUMBER(SEARCH(Classifiers!$C$16,E380)),1,0))+IF(Classifiers!$D$16="",0,IF(ISNUMBER(SEARCH(Classifiers!$D$16,E380)),1,0))+IF(Classifiers!$E$16="",0,IF(ISNUMBER(SEARCH(Classifiers!$E$16,E380)),1,0))+IF(Classifiers!$F$16="",0,IF(ISNUMBER(SEARCH(Classifiers!$F$16,E380)),1,0))+IF(Classifiers!$G$16="",0,IF(ISNUMBER(SEARCH(Classifiers!$G$16,E380)),1,0)))&gt;0,1,0))</f>
        <v/>
      </c>
      <c r="V380" s="12">
        <f>IF(H380&lt;&gt;1,0,IF((IF(Classifiers!$B$17="",0,IF(ISNUMBER(SEARCH(Classifiers!$B$17,E380)),1,0))+IF(Classifiers!$C$17="",0,IF(ISNUMBER(SEARCH(Classifiers!$C$17,E380)),1,0))+IF(Classifiers!$D$17="",0,IF(ISNUMBER(SEARCH(Classifiers!$D$17,E380)),1,0))+IF(Classifiers!$E$17="",0,IF(ISNUMBER(SEARCH(Classifiers!$E$17,E380)),1,0))+IF(Classifiers!$F$17="",0,IF(ISNUMBER(SEARCH(Classifiers!$F$17,E380)),1,0))+IF(Classifiers!$G$17="",0,IF(ISNUMBER(SEARCH(Classifiers!$G$17,E380)),1,0)))&gt;0,1,0))</f>
        <v/>
      </c>
      <c r="W380" s="12">
        <f>IF(H380&lt;&gt;1,0,IF((IF(Classifiers!$B$18="",0,IF(ISNUMBER(SEARCH(Classifiers!$B$18,E380)),1,0))+IF(Classifiers!$C$18="",0,IF(ISNUMBER(SEARCH(Classifiers!$C$18,E380)),1,0))+IF(Classifiers!$D$18="",0,IF(ISNUMBER(SEARCH(Classifiers!$D$18,E380)),1,0))+IF(Classifiers!$E$18="",0,IF(ISNUMBER(SEARCH(Classifiers!$E$18,E380)),1,0))+IF(Classifiers!$F$18="",0,IF(ISNUMBER(SEARCH(Classifiers!$F$18,E380)),1,0))+IF(Classifiers!$G$18="",0,IF(ISNUMBER(SEARCH(Classifiers!$G$18,E380)),1,0)))&gt;0,1,0))</f>
        <v/>
      </c>
    </row>
    <row r="381">
      <c r="A381" s="8" t="n"/>
      <c r="B381" s="11" t="n"/>
      <c r="C381" s="6">
        <f>IF(A381="","",TRIM(RIGHT(SUBSTITUTE(A381,"/",REPT(" ",250)),250)))</f>
        <v/>
      </c>
      <c r="D381" s="6">
        <f>IF(C381="","",IF(ISNUMBER(SEARCH(".",C381)),LOWER("."&amp;TRIM(RIGHT(SUBSTITUTE(C381,".",REPT(" ",250)),250))),""))</f>
        <v/>
      </c>
      <c r="E381" s="6">
        <f>IF(C381="","",TRIM(SUBSTITUTE(SUBSTITUTE(SUBSTITUTE(SUBSTITUTE(SUBSTITUTE(SUBSTITUTE(SUBSTITUTE(SUBSTITUTE(SUBSTITUTE(SUBSTITUTE(SUBSTITUTE(SUBSTITUTE(SUBSTITUTE(SUBSTITUTE(SUBSTITUTE(SUBSTITUTE(SUBSTITUTE(SUBSTITUTE(SUBSTITUTE(SUBSTITUTE(LOWER(LEFT(C381,LEN(C381)-LEN(D381))),"_"," "),"-"," "),"."," "),","," "),"("," "),")"," "),"["," "),"]"," "),"&amp;"," "),"+"," "),"@"," "),"#"," "),"!"," "),"'"," "),"/"," "),":"," "),";"," "),"="," "),"~"," "),"%"," ")))</f>
        <v/>
      </c>
      <c r="F381" s="6">
        <f>IF(C381="","",IF(COUNTIF(Classifiers!$A$23:$A$40,D381)&gt;0,1,0))</f>
        <v/>
      </c>
      <c r="G381" s="6">
        <f>IF(C381="","",IF(COUNTIF(Classifiers!$C$23:$C$30,D381)&gt;0,IF((IF(ISNUMBER(SEARCH(Classifiers!$E$23,E381)),1,0)+IF(ISNUMBER(SEARCH(Classifiers!$E$24,E381)),1,0)+IF(ISNUMBER(SEARCH(Classifiers!$E$25,E381)),1,0)+IF(ISNUMBER(SEARCH(Classifiers!$E$26,E381)),1,0)+IF(ISNUMBER(SEARCH(Classifiers!$E$27,E381)),1,0)+IF(ISNUMBER(SEARCH(Classifiers!$E$28,E381)),1,0)+IF(ISNUMBER(SEARCH(Classifiers!$E$29,E381)),1,0)+IF(ISNUMBER(SEARCH(Classifiers!$E$30,E381)),1,0))&gt;0,1,0),0))</f>
        <v/>
      </c>
      <c r="H381" s="6">
        <f>IF(C381="","",IF(OR(LEFT(C381,1)=".",AND(F381=0,G381=0)),0,1))</f>
        <v/>
      </c>
      <c r="I381" s="6">
        <f>IF(H381&lt;&gt;1,"",IF(SUM(J381:W381)=0,"unclassified",INDEX(Classifiers!$A$5:$A$18,MATCH(1,J381:W381,0),1)))</f>
        <v/>
      </c>
      <c r="J381" s="12">
        <f>IF(H381&lt;&gt;1,0,IF((IF(Classifiers!$B$5="",0,IF(ISNUMBER(SEARCH(Classifiers!$B$5,E381)),1,0))+IF(Classifiers!$C$5="",0,IF(ISNUMBER(SEARCH(Classifiers!$C$5,E381)),1,0))+IF(Classifiers!$D$5="",0,IF(ISNUMBER(SEARCH(Classifiers!$D$5,E381)),1,0))+IF(Classifiers!$E$5="",0,IF(ISNUMBER(SEARCH(Classifiers!$E$5,E381)),1,0))+IF(Classifiers!$F$5="",0,IF(ISNUMBER(SEARCH(Classifiers!$F$5,E381)),1,0))+IF(Classifiers!$G$5="",0,IF(ISNUMBER(SEARCH(Classifiers!$G$5,E381)),1,0)))&gt;0,1,0))</f>
        <v/>
      </c>
      <c r="K381" s="12">
        <f>IF(H381&lt;&gt;1,0,IF((IF(Classifiers!$B$6="",0,IF(ISNUMBER(SEARCH(Classifiers!$B$6,E381)),1,0))+IF(Classifiers!$C$6="",0,IF(ISNUMBER(SEARCH(Classifiers!$C$6,E381)),1,0))+IF(Classifiers!$D$6="",0,IF(ISNUMBER(SEARCH(Classifiers!$D$6,E381)),1,0))+IF(Classifiers!$E$6="",0,IF(ISNUMBER(SEARCH(Classifiers!$E$6,E381)),1,0))+IF(Classifiers!$F$6="",0,IF(ISNUMBER(SEARCH(Classifiers!$F$6,E381)),1,0))+IF(Classifiers!$G$6="",0,IF(ISNUMBER(SEARCH(Classifiers!$G$6,E381)),1,0)))&gt;0,1,0))</f>
        <v/>
      </c>
      <c r="L381" s="12">
        <f>IF(H381&lt;&gt;1,0,IF((IF(Classifiers!$B$7="",0,IF(ISNUMBER(SEARCH(Classifiers!$B$7,E381)),1,0))+IF(Classifiers!$C$7="",0,IF(ISNUMBER(SEARCH(Classifiers!$C$7,E381)),1,0))+IF(Classifiers!$D$7="",0,IF(ISNUMBER(SEARCH(Classifiers!$D$7,E381)),1,0))+IF(Classifiers!$E$7="",0,IF(ISNUMBER(SEARCH(Classifiers!$E$7,E381)),1,0))+IF(Classifiers!$F$7="",0,IF(ISNUMBER(SEARCH(Classifiers!$F$7,E381)),1,0))+IF(Classifiers!$G$7="",0,IF(ISNUMBER(SEARCH(Classifiers!$G$7,E381)),1,0)))&gt;0,1,0))</f>
        <v/>
      </c>
      <c r="M381" s="12">
        <f>IF(H381&lt;&gt;1,0,IF((IF(Classifiers!$B$8="",0,IF(ISNUMBER(SEARCH(Classifiers!$B$8,E381)),1,0))+IF(Classifiers!$C$8="",0,IF(ISNUMBER(SEARCH(Classifiers!$C$8,E381)),1,0))+IF(Classifiers!$D$8="",0,IF(ISNUMBER(SEARCH(Classifiers!$D$8,E381)),1,0))+IF(Classifiers!$E$8="",0,IF(ISNUMBER(SEARCH(Classifiers!$E$8,E381)),1,0))+IF(Classifiers!$F$8="",0,IF(ISNUMBER(SEARCH(Classifiers!$F$8,E381)),1,0))+IF(Classifiers!$G$8="",0,IF(ISNUMBER(SEARCH(Classifiers!$G$8,E381)),1,0)))&gt;0,1,0))</f>
        <v/>
      </c>
      <c r="N381" s="12">
        <f>IF(H381&lt;&gt;1,0,IF((IF(Classifiers!$B$9="",0,IF(ISNUMBER(SEARCH(Classifiers!$B$9,E381)),1,0))+IF(Classifiers!$C$9="",0,IF(ISNUMBER(SEARCH(Classifiers!$C$9,E381)),1,0))+IF(Classifiers!$D$9="",0,IF(ISNUMBER(SEARCH(Classifiers!$D$9,E381)),1,0))+IF(Classifiers!$E$9="",0,IF(ISNUMBER(SEARCH(Classifiers!$E$9,E381)),1,0))+IF(Classifiers!$F$9="",0,IF(ISNUMBER(SEARCH(Classifiers!$F$9,E381)),1,0))+IF(Classifiers!$G$9="",0,IF(ISNUMBER(SEARCH(Classifiers!$G$9,E381)),1,0)))&gt;0,1,0))</f>
        <v/>
      </c>
      <c r="O381" s="12">
        <f>IF(H381&lt;&gt;1,0,IF((IF(Classifiers!$B$10="",0,IF(ISNUMBER(SEARCH(Classifiers!$B$10,E381)),1,0))+IF(Classifiers!$C$10="",0,IF(ISNUMBER(SEARCH(Classifiers!$C$10,E381)),1,0))+IF(Classifiers!$D$10="",0,IF(ISNUMBER(SEARCH(Classifiers!$D$10,E381)),1,0))+IF(Classifiers!$E$10="",0,IF(ISNUMBER(SEARCH(Classifiers!$E$10,E381)),1,0))+IF(Classifiers!$F$10="",0,IF(ISNUMBER(SEARCH(Classifiers!$F$10,E381)),1,0))+IF(Classifiers!$G$10="",0,IF(ISNUMBER(SEARCH(Classifiers!$G$10,E381)),1,0)))&gt;0,1,0))</f>
        <v/>
      </c>
      <c r="P381" s="12">
        <f>IF(H381&lt;&gt;1,0,IF((IF(Classifiers!$B$11="",0,IF(ISNUMBER(SEARCH(Classifiers!$B$11,E381)),1,0))+IF(Classifiers!$C$11="",0,IF(ISNUMBER(SEARCH(Classifiers!$C$11,E381)),1,0))+IF(Classifiers!$D$11="",0,IF(ISNUMBER(SEARCH(Classifiers!$D$11,E381)),1,0))+IF(Classifiers!$E$11="",0,IF(ISNUMBER(SEARCH(Classifiers!$E$11,E381)),1,0))+IF(Classifiers!$F$11="",0,IF(ISNUMBER(SEARCH(Classifiers!$F$11,E381)),1,0))+IF(Classifiers!$G$11="",0,IF(ISNUMBER(SEARCH(Classifiers!$G$11,E381)),1,0)))&gt;0,1,0))</f>
        <v/>
      </c>
      <c r="Q381" s="12">
        <f>IF(H381&lt;&gt;1,0,IF((IF(Classifiers!$B$12="",0,IF(ISNUMBER(SEARCH(Classifiers!$B$12,E381)),1,0))+IF(Classifiers!$C$12="",0,IF(ISNUMBER(SEARCH(Classifiers!$C$12,E381)),1,0))+IF(Classifiers!$D$12="",0,IF(ISNUMBER(SEARCH(Classifiers!$D$12,E381)),1,0))+IF(Classifiers!$E$12="",0,IF(ISNUMBER(SEARCH(Classifiers!$E$12,E381)),1,0))+IF(Classifiers!$F$12="",0,IF(ISNUMBER(SEARCH(Classifiers!$F$12,E381)),1,0))+IF(Classifiers!$G$12="",0,IF(ISNUMBER(SEARCH(Classifiers!$G$12,E381)),1,0)))&gt;0,1,0))</f>
        <v/>
      </c>
      <c r="R381" s="12">
        <f>IF(H381&lt;&gt;1,0,IF((IF(Classifiers!$B$13="",0,IF(ISNUMBER(SEARCH(Classifiers!$B$13,E381)),1,0))+IF(Classifiers!$C$13="",0,IF(ISNUMBER(SEARCH(Classifiers!$C$13,E381)),1,0))+IF(Classifiers!$D$13="",0,IF(ISNUMBER(SEARCH(Classifiers!$D$13,E381)),1,0))+IF(Classifiers!$E$13="",0,IF(ISNUMBER(SEARCH(Classifiers!$E$13,E381)),1,0))+IF(Classifiers!$F$13="",0,IF(ISNUMBER(SEARCH(Classifiers!$F$13,E381)),1,0))+IF(Classifiers!$G$13="",0,IF(ISNUMBER(SEARCH(Classifiers!$G$13,E381)),1,0)))&gt;0,1,0))</f>
        <v/>
      </c>
      <c r="S381" s="12">
        <f>IF(H381&lt;&gt;1,0,IF((IF(Classifiers!$B$14="",0,IF(ISNUMBER(SEARCH(Classifiers!$B$14,E381)),1,0))+IF(Classifiers!$C$14="",0,IF(ISNUMBER(SEARCH(Classifiers!$C$14,E381)),1,0))+IF(Classifiers!$D$14="",0,IF(ISNUMBER(SEARCH(Classifiers!$D$14,E381)),1,0))+IF(Classifiers!$E$14="",0,IF(ISNUMBER(SEARCH(Classifiers!$E$14,E381)),1,0))+IF(Classifiers!$F$14="",0,IF(ISNUMBER(SEARCH(Classifiers!$F$14,E381)),1,0))+IF(Classifiers!$G$14="",0,IF(ISNUMBER(SEARCH(Classifiers!$G$14,E381)),1,0)))&gt;0,1,0))</f>
        <v/>
      </c>
      <c r="T381" s="12">
        <f>IF(H381&lt;&gt;1,0,IF((IF(Classifiers!$B$15="",0,IF(ISNUMBER(SEARCH(Classifiers!$B$15,E381)),1,0))+IF(Classifiers!$C$15="",0,IF(ISNUMBER(SEARCH(Classifiers!$C$15,E381)),1,0))+IF(Classifiers!$D$15="",0,IF(ISNUMBER(SEARCH(Classifiers!$D$15,E381)),1,0))+IF(Classifiers!$E$15="",0,IF(ISNUMBER(SEARCH(Classifiers!$E$15,E381)),1,0))+IF(Classifiers!$F$15="",0,IF(ISNUMBER(SEARCH(Classifiers!$F$15,E381)),1,0))+IF(Classifiers!$G$15="",0,IF(ISNUMBER(SEARCH(Classifiers!$G$15,E381)),1,0)))&gt;0,1,0))</f>
        <v/>
      </c>
      <c r="U381" s="12">
        <f>IF(H381&lt;&gt;1,0,IF((IF(Classifiers!$B$16="",0,IF(ISNUMBER(SEARCH(Classifiers!$B$16,E381)),1,0))+IF(Classifiers!$C$16="",0,IF(ISNUMBER(SEARCH(Classifiers!$C$16,E381)),1,0))+IF(Classifiers!$D$16="",0,IF(ISNUMBER(SEARCH(Classifiers!$D$16,E381)),1,0))+IF(Classifiers!$E$16="",0,IF(ISNUMBER(SEARCH(Classifiers!$E$16,E381)),1,0))+IF(Classifiers!$F$16="",0,IF(ISNUMBER(SEARCH(Classifiers!$F$16,E381)),1,0))+IF(Classifiers!$G$16="",0,IF(ISNUMBER(SEARCH(Classifiers!$G$16,E381)),1,0)))&gt;0,1,0))</f>
        <v/>
      </c>
      <c r="V381" s="12">
        <f>IF(H381&lt;&gt;1,0,IF((IF(Classifiers!$B$17="",0,IF(ISNUMBER(SEARCH(Classifiers!$B$17,E381)),1,0))+IF(Classifiers!$C$17="",0,IF(ISNUMBER(SEARCH(Classifiers!$C$17,E381)),1,0))+IF(Classifiers!$D$17="",0,IF(ISNUMBER(SEARCH(Classifiers!$D$17,E381)),1,0))+IF(Classifiers!$E$17="",0,IF(ISNUMBER(SEARCH(Classifiers!$E$17,E381)),1,0))+IF(Classifiers!$F$17="",0,IF(ISNUMBER(SEARCH(Classifiers!$F$17,E381)),1,0))+IF(Classifiers!$G$17="",0,IF(ISNUMBER(SEARCH(Classifiers!$G$17,E381)),1,0)))&gt;0,1,0))</f>
        <v/>
      </c>
      <c r="W381" s="12">
        <f>IF(H381&lt;&gt;1,0,IF((IF(Classifiers!$B$18="",0,IF(ISNUMBER(SEARCH(Classifiers!$B$18,E381)),1,0))+IF(Classifiers!$C$18="",0,IF(ISNUMBER(SEARCH(Classifiers!$C$18,E381)),1,0))+IF(Classifiers!$D$18="",0,IF(ISNUMBER(SEARCH(Classifiers!$D$18,E381)),1,0))+IF(Classifiers!$E$18="",0,IF(ISNUMBER(SEARCH(Classifiers!$E$18,E381)),1,0))+IF(Classifiers!$F$18="",0,IF(ISNUMBER(SEARCH(Classifiers!$F$18,E381)),1,0))+IF(Classifiers!$G$18="",0,IF(ISNUMBER(SEARCH(Classifiers!$G$18,E381)),1,0)))&gt;0,1,0))</f>
        <v/>
      </c>
    </row>
    <row r="382">
      <c r="A382" s="8" t="n"/>
      <c r="B382" s="11" t="n"/>
      <c r="C382" s="6">
        <f>IF(A382="","",TRIM(RIGHT(SUBSTITUTE(A382,"/",REPT(" ",250)),250)))</f>
        <v/>
      </c>
      <c r="D382" s="6">
        <f>IF(C382="","",IF(ISNUMBER(SEARCH(".",C382)),LOWER("."&amp;TRIM(RIGHT(SUBSTITUTE(C382,".",REPT(" ",250)),250))),""))</f>
        <v/>
      </c>
      <c r="E382" s="6">
        <f>IF(C382="","",TRIM(SUBSTITUTE(SUBSTITUTE(SUBSTITUTE(SUBSTITUTE(SUBSTITUTE(SUBSTITUTE(SUBSTITUTE(SUBSTITUTE(SUBSTITUTE(SUBSTITUTE(SUBSTITUTE(SUBSTITUTE(SUBSTITUTE(SUBSTITUTE(SUBSTITUTE(SUBSTITUTE(SUBSTITUTE(SUBSTITUTE(SUBSTITUTE(SUBSTITUTE(LOWER(LEFT(C382,LEN(C382)-LEN(D382))),"_"," "),"-"," "),"."," "),","," "),"("," "),")"," "),"["," "),"]"," "),"&amp;"," "),"+"," "),"@"," "),"#"," "),"!"," "),"'"," "),"/"," "),":"," "),";"," "),"="," "),"~"," "),"%"," ")))</f>
        <v/>
      </c>
      <c r="F382" s="6">
        <f>IF(C382="","",IF(COUNTIF(Classifiers!$A$23:$A$40,D382)&gt;0,1,0))</f>
        <v/>
      </c>
      <c r="G382" s="6">
        <f>IF(C382="","",IF(COUNTIF(Classifiers!$C$23:$C$30,D382)&gt;0,IF((IF(ISNUMBER(SEARCH(Classifiers!$E$23,E382)),1,0)+IF(ISNUMBER(SEARCH(Classifiers!$E$24,E382)),1,0)+IF(ISNUMBER(SEARCH(Classifiers!$E$25,E382)),1,0)+IF(ISNUMBER(SEARCH(Classifiers!$E$26,E382)),1,0)+IF(ISNUMBER(SEARCH(Classifiers!$E$27,E382)),1,0)+IF(ISNUMBER(SEARCH(Classifiers!$E$28,E382)),1,0)+IF(ISNUMBER(SEARCH(Classifiers!$E$29,E382)),1,0)+IF(ISNUMBER(SEARCH(Classifiers!$E$30,E382)),1,0))&gt;0,1,0),0))</f>
        <v/>
      </c>
      <c r="H382" s="6">
        <f>IF(C382="","",IF(OR(LEFT(C382,1)=".",AND(F382=0,G382=0)),0,1))</f>
        <v/>
      </c>
      <c r="I382" s="6">
        <f>IF(H382&lt;&gt;1,"",IF(SUM(J382:W382)=0,"unclassified",INDEX(Classifiers!$A$5:$A$18,MATCH(1,J382:W382,0),1)))</f>
        <v/>
      </c>
      <c r="J382" s="12">
        <f>IF(H382&lt;&gt;1,0,IF((IF(Classifiers!$B$5="",0,IF(ISNUMBER(SEARCH(Classifiers!$B$5,E382)),1,0))+IF(Classifiers!$C$5="",0,IF(ISNUMBER(SEARCH(Classifiers!$C$5,E382)),1,0))+IF(Classifiers!$D$5="",0,IF(ISNUMBER(SEARCH(Classifiers!$D$5,E382)),1,0))+IF(Classifiers!$E$5="",0,IF(ISNUMBER(SEARCH(Classifiers!$E$5,E382)),1,0))+IF(Classifiers!$F$5="",0,IF(ISNUMBER(SEARCH(Classifiers!$F$5,E382)),1,0))+IF(Classifiers!$G$5="",0,IF(ISNUMBER(SEARCH(Classifiers!$G$5,E382)),1,0)))&gt;0,1,0))</f>
        <v/>
      </c>
      <c r="K382" s="12">
        <f>IF(H382&lt;&gt;1,0,IF((IF(Classifiers!$B$6="",0,IF(ISNUMBER(SEARCH(Classifiers!$B$6,E382)),1,0))+IF(Classifiers!$C$6="",0,IF(ISNUMBER(SEARCH(Classifiers!$C$6,E382)),1,0))+IF(Classifiers!$D$6="",0,IF(ISNUMBER(SEARCH(Classifiers!$D$6,E382)),1,0))+IF(Classifiers!$E$6="",0,IF(ISNUMBER(SEARCH(Classifiers!$E$6,E382)),1,0))+IF(Classifiers!$F$6="",0,IF(ISNUMBER(SEARCH(Classifiers!$F$6,E382)),1,0))+IF(Classifiers!$G$6="",0,IF(ISNUMBER(SEARCH(Classifiers!$G$6,E382)),1,0)))&gt;0,1,0))</f>
        <v/>
      </c>
      <c r="L382" s="12">
        <f>IF(H382&lt;&gt;1,0,IF((IF(Classifiers!$B$7="",0,IF(ISNUMBER(SEARCH(Classifiers!$B$7,E382)),1,0))+IF(Classifiers!$C$7="",0,IF(ISNUMBER(SEARCH(Classifiers!$C$7,E382)),1,0))+IF(Classifiers!$D$7="",0,IF(ISNUMBER(SEARCH(Classifiers!$D$7,E382)),1,0))+IF(Classifiers!$E$7="",0,IF(ISNUMBER(SEARCH(Classifiers!$E$7,E382)),1,0))+IF(Classifiers!$F$7="",0,IF(ISNUMBER(SEARCH(Classifiers!$F$7,E382)),1,0))+IF(Classifiers!$G$7="",0,IF(ISNUMBER(SEARCH(Classifiers!$G$7,E382)),1,0)))&gt;0,1,0))</f>
        <v/>
      </c>
      <c r="M382" s="12">
        <f>IF(H382&lt;&gt;1,0,IF((IF(Classifiers!$B$8="",0,IF(ISNUMBER(SEARCH(Classifiers!$B$8,E382)),1,0))+IF(Classifiers!$C$8="",0,IF(ISNUMBER(SEARCH(Classifiers!$C$8,E382)),1,0))+IF(Classifiers!$D$8="",0,IF(ISNUMBER(SEARCH(Classifiers!$D$8,E382)),1,0))+IF(Classifiers!$E$8="",0,IF(ISNUMBER(SEARCH(Classifiers!$E$8,E382)),1,0))+IF(Classifiers!$F$8="",0,IF(ISNUMBER(SEARCH(Classifiers!$F$8,E382)),1,0))+IF(Classifiers!$G$8="",0,IF(ISNUMBER(SEARCH(Classifiers!$G$8,E382)),1,0)))&gt;0,1,0))</f>
        <v/>
      </c>
      <c r="N382" s="12">
        <f>IF(H382&lt;&gt;1,0,IF((IF(Classifiers!$B$9="",0,IF(ISNUMBER(SEARCH(Classifiers!$B$9,E382)),1,0))+IF(Classifiers!$C$9="",0,IF(ISNUMBER(SEARCH(Classifiers!$C$9,E382)),1,0))+IF(Classifiers!$D$9="",0,IF(ISNUMBER(SEARCH(Classifiers!$D$9,E382)),1,0))+IF(Classifiers!$E$9="",0,IF(ISNUMBER(SEARCH(Classifiers!$E$9,E382)),1,0))+IF(Classifiers!$F$9="",0,IF(ISNUMBER(SEARCH(Classifiers!$F$9,E382)),1,0))+IF(Classifiers!$G$9="",0,IF(ISNUMBER(SEARCH(Classifiers!$G$9,E382)),1,0)))&gt;0,1,0))</f>
        <v/>
      </c>
      <c r="O382" s="12">
        <f>IF(H382&lt;&gt;1,0,IF((IF(Classifiers!$B$10="",0,IF(ISNUMBER(SEARCH(Classifiers!$B$10,E382)),1,0))+IF(Classifiers!$C$10="",0,IF(ISNUMBER(SEARCH(Classifiers!$C$10,E382)),1,0))+IF(Classifiers!$D$10="",0,IF(ISNUMBER(SEARCH(Classifiers!$D$10,E382)),1,0))+IF(Classifiers!$E$10="",0,IF(ISNUMBER(SEARCH(Classifiers!$E$10,E382)),1,0))+IF(Classifiers!$F$10="",0,IF(ISNUMBER(SEARCH(Classifiers!$F$10,E382)),1,0))+IF(Classifiers!$G$10="",0,IF(ISNUMBER(SEARCH(Classifiers!$G$10,E382)),1,0)))&gt;0,1,0))</f>
        <v/>
      </c>
      <c r="P382" s="12">
        <f>IF(H382&lt;&gt;1,0,IF((IF(Classifiers!$B$11="",0,IF(ISNUMBER(SEARCH(Classifiers!$B$11,E382)),1,0))+IF(Classifiers!$C$11="",0,IF(ISNUMBER(SEARCH(Classifiers!$C$11,E382)),1,0))+IF(Classifiers!$D$11="",0,IF(ISNUMBER(SEARCH(Classifiers!$D$11,E382)),1,0))+IF(Classifiers!$E$11="",0,IF(ISNUMBER(SEARCH(Classifiers!$E$11,E382)),1,0))+IF(Classifiers!$F$11="",0,IF(ISNUMBER(SEARCH(Classifiers!$F$11,E382)),1,0))+IF(Classifiers!$G$11="",0,IF(ISNUMBER(SEARCH(Classifiers!$G$11,E382)),1,0)))&gt;0,1,0))</f>
        <v/>
      </c>
      <c r="Q382" s="12">
        <f>IF(H382&lt;&gt;1,0,IF((IF(Classifiers!$B$12="",0,IF(ISNUMBER(SEARCH(Classifiers!$B$12,E382)),1,0))+IF(Classifiers!$C$12="",0,IF(ISNUMBER(SEARCH(Classifiers!$C$12,E382)),1,0))+IF(Classifiers!$D$12="",0,IF(ISNUMBER(SEARCH(Classifiers!$D$12,E382)),1,0))+IF(Classifiers!$E$12="",0,IF(ISNUMBER(SEARCH(Classifiers!$E$12,E382)),1,0))+IF(Classifiers!$F$12="",0,IF(ISNUMBER(SEARCH(Classifiers!$F$12,E382)),1,0))+IF(Classifiers!$G$12="",0,IF(ISNUMBER(SEARCH(Classifiers!$G$12,E382)),1,0)))&gt;0,1,0))</f>
        <v/>
      </c>
      <c r="R382" s="12">
        <f>IF(H382&lt;&gt;1,0,IF((IF(Classifiers!$B$13="",0,IF(ISNUMBER(SEARCH(Classifiers!$B$13,E382)),1,0))+IF(Classifiers!$C$13="",0,IF(ISNUMBER(SEARCH(Classifiers!$C$13,E382)),1,0))+IF(Classifiers!$D$13="",0,IF(ISNUMBER(SEARCH(Classifiers!$D$13,E382)),1,0))+IF(Classifiers!$E$13="",0,IF(ISNUMBER(SEARCH(Classifiers!$E$13,E382)),1,0))+IF(Classifiers!$F$13="",0,IF(ISNUMBER(SEARCH(Classifiers!$F$13,E382)),1,0))+IF(Classifiers!$G$13="",0,IF(ISNUMBER(SEARCH(Classifiers!$G$13,E382)),1,0)))&gt;0,1,0))</f>
        <v/>
      </c>
      <c r="S382" s="12">
        <f>IF(H382&lt;&gt;1,0,IF((IF(Classifiers!$B$14="",0,IF(ISNUMBER(SEARCH(Classifiers!$B$14,E382)),1,0))+IF(Classifiers!$C$14="",0,IF(ISNUMBER(SEARCH(Classifiers!$C$14,E382)),1,0))+IF(Classifiers!$D$14="",0,IF(ISNUMBER(SEARCH(Classifiers!$D$14,E382)),1,0))+IF(Classifiers!$E$14="",0,IF(ISNUMBER(SEARCH(Classifiers!$E$14,E382)),1,0))+IF(Classifiers!$F$14="",0,IF(ISNUMBER(SEARCH(Classifiers!$F$14,E382)),1,0))+IF(Classifiers!$G$14="",0,IF(ISNUMBER(SEARCH(Classifiers!$G$14,E382)),1,0)))&gt;0,1,0))</f>
        <v/>
      </c>
      <c r="T382" s="12">
        <f>IF(H382&lt;&gt;1,0,IF((IF(Classifiers!$B$15="",0,IF(ISNUMBER(SEARCH(Classifiers!$B$15,E382)),1,0))+IF(Classifiers!$C$15="",0,IF(ISNUMBER(SEARCH(Classifiers!$C$15,E382)),1,0))+IF(Classifiers!$D$15="",0,IF(ISNUMBER(SEARCH(Classifiers!$D$15,E382)),1,0))+IF(Classifiers!$E$15="",0,IF(ISNUMBER(SEARCH(Classifiers!$E$15,E382)),1,0))+IF(Classifiers!$F$15="",0,IF(ISNUMBER(SEARCH(Classifiers!$F$15,E382)),1,0))+IF(Classifiers!$G$15="",0,IF(ISNUMBER(SEARCH(Classifiers!$G$15,E382)),1,0)))&gt;0,1,0))</f>
        <v/>
      </c>
      <c r="U382" s="12">
        <f>IF(H382&lt;&gt;1,0,IF((IF(Classifiers!$B$16="",0,IF(ISNUMBER(SEARCH(Classifiers!$B$16,E382)),1,0))+IF(Classifiers!$C$16="",0,IF(ISNUMBER(SEARCH(Classifiers!$C$16,E382)),1,0))+IF(Classifiers!$D$16="",0,IF(ISNUMBER(SEARCH(Classifiers!$D$16,E382)),1,0))+IF(Classifiers!$E$16="",0,IF(ISNUMBER(SEARCH(Classifiers!$E$16,E382)),1,0))+IF(Classifiers!$F$16="",0,IF(ISNUMBER(SEARCH(Classifiers!$F$16,E382)),1,0))+IF(Classifiers!$G$16="",0,IF(ISNUMBER(SEARCH(Classifiers!$G$16,E382)),1,0)))&gt;0,1,0))</f>
        <v/>
      </c>
      <c r="V382" s="12">
        <f>IF(H382&lt;&gt;1,0,IF((IF(Classifiers!$B$17="",0,IF(ISNUMBER(SEARCH(Classifiers!$B$17,E382)),1,0))+IF(Classifiers!$C$17="",0,IF(ISNUMBER(SEARCH(Classifiers!$C$17,E382)),1,0))+IF(Classifiers!$D$17="",0,IF(ISNUMBER(SEARCH(Classifiers!$D$17,E382)),1,0))+IF(Classifiers!$E$17="",0,IF(ISNUMBER(SEARCH(Classifiers!$E$17,E382)),1,0))+IF(Classifiers!$F$17="",0,IF(ISNUMBER(SEARCH(Classifiers!$F$17,E382)),1,0))+IF(Classifiers!$G$17="",0,IF(ISNUMBER(SEARCH(Classifiers!$G$17,E382)),1,0)))&gt;0,1,0))</f>
        <v/>
      </c>
      <c r="W382" s="12">
        <f>IF(H382&lt;&gt;1,0,IF((IF(Classifiers!$B$18="",0,IF(ISNUMBER(SEARCH(Classifiers!$B$18,E382)),1,0))+IF(Classifiers!$C$18="",0,IF(ISNUMBER(SEARCH(Classifiers!$C$18,E382)),1,0))+IF(Classifiers!$D$18="",0,IF(ISNUMBER(SEARCH(Classifiers!$D$18,E382)),1,0))+IF(Classifiers!$E$18="",0,IF(ISNUMBER(SEARCH(Classifiers!$E$18,E382)),1,0))+IF(Classifiers!$F$18="",0,IF(ISNUMBER(SEARCH(Classifiers!$F$18,E382)),1,0))+IF(Classifiers!$G$18="",0,IF(ISNUMBER(SEARCH(Classifiers!$G$18,E382)),1,0)))&gt;0,1,0))</f>
        <v/>
      </c>
    </row>
    <row r="383">
      <c r="A383" s="8" t="n"/>
      <c r="B383" s="11" t="n"/>
      <c r="C383" s="6">
        <f>IF(A383="","",TRIM(RIGHT(SUBSTITUTE(A383,"/",REPT(" ",250)),250)))</f>
        <v/>
      </c>
      <c r="D383" s="6">
        <f>IF(C383="","",IF(ISNUMBER(SEARCH(".",C383)),LOWER("."&amp;TRIM(RIGHT(SUBSTITUTE(C383,".",REPT(" ",250)),250))),""))</f>
        <v/>
      </c>
      <c r="E383" s="6">
        <f>IF(C383="","",TRIM(SUBSTITUTE(SUBSTITUTE(SUBSTITUTE(SUBSTITUTE(SUBSTITUTE(SUBSTITUTE(SUBSTITUTE(SUBSTITUTE(SUBSTITUTE(SUBSTITUTE(SUBSTITUTE(SUBSTITUTE(SUBSTITUTE(SUBSTITUTE(SUBSTITUTE(SUBSTITUTE(SUBSTITUTE(SUBSTITUTE(SUBSTITUTE(SUBSTITUTE(LOWER(LEFT(C383,LEN(C383)-LEN(D383))),"_"," "),"-"," "),"."," "),","," "),"("," "),")"," "),"["," "),"]"," "),"&amp;"," "),"+"," "),"@"," "),"#"," "),"!"," "),"'"," "),"/"," "),":"," "),";"," "),"="," "),"~"," "),"%"," ")))</f>
        <v/>
      </c>
      <c r="F383" s="6">
        <f>IF(C383="","",IF(COUNTIF(Classifiers!$A$23:$A$40,D383)&gt;0,1,0))</f>
        <v/>
      </c>
      <c r="G383" s="6">
        <f>IF(C383="","",IF(COUNTIF(Classifiers!$C$23:$C$30,D383)&gt;0,IF((IF(ISNUMBER(SEARCH(Classifiers!$E$23,E383)),1,0)+IF(ISNUMBER(SEARCH(Classifiers!$E$24,E383)),1,0)+IF(ISNUMBER(SEARCH(Classifiers!$E$25,E383)),1,0)+IF(ISNUMBER(SEARCH(Classifiers!$E$26,E383)),1,0)+IF(ISNUMBER(SEARCH(Classifiers!$E$27,E383)),1,0)+IF(ISNUMBER(SEARCH(Classifiers!$E$28,E383)),1,0)+IF(ISNUMBER(SEARCH(Classifiers!$E$29,E383)),1,0)+IF(ISNUMBER(SEARCH(Classifiers!$E$30,E383)),1,0))&gt;0,1,0),0))</f>
        <v/>
      </c>
      <c r="H383" s="6">
        <f>IF(C383="","",IF(OR(LEFT(C383,1)=".",AND(F383=0,G383=0)),0,1))</f>
        <v/>
      </c>
      <c r="I383" s="6">
        <f>IF(H383&lt;&gt;1,"",IF(SUM(J383:W383)=0,"unclassified",INDEX(Classifiers!$A$5:$A$18,MATCH(1,J383:W383,0),1)))</f>
        <v/>
      </c>
      <c r="J383" s="12">
        <f>IF(H383&lt;&gt;1,0,IF((IF(Classifiers!$B$5="",0,IF(ISNUMBER(SEARCH(Classifiers!$B$5,E383)),1,0))+IF(Classifiers!$C$5="",0,IF(ISNUMBER(SEARCH(Classifiers!$C$5,E383)),1,0))+IF(Classifiers!$D$5="",0,IF(ISNUMBER(SEARCH(Classifiers!$D$5,E383)),1,0))+IF(Classifiers!$E$5="",0,IF(ISNUMBER(SEARCH(Classifiers!$E$5,E383)),1,0))+IF(Classifiers!$F$5="",0,IF(ISNUMBER(SEARCH(Classifiers!$F$5,E383)),1,0))+IF(Classifiers!$G$5="",0,IF(ISNUMBER(SEARCH(Classifiers!$G$5,E383)),1,0)))&gt;0,1,0))</f>
        <v/>
      </c>
      <c r="K383" s="12">
        <f>IF(H383&lt;&gt;1,0,IF((IF(Classifiers!$B$6="",0,IF(ISNUMBER(SEARCH(Classifiers!$B$6,E383)),1,0))+IF(Classifiers!$C$6="",0,IF(ISNUMBER(SEARCH(Classifiers!$C$6,E383)),1,0))+IF(Classifiers!$D$6="",0,IF(ISNUMBER(SEARCH(Classifiers!$D$6,E383)),1,0))+IF(Classifiers!$E$6="",0,IF(ISNUMBER(SEARCH(Classifiers!$E$6,E383)),1,0))+IF(Classifiers!$F$6="",0,IF(ISNUMBER(SEARCH(Classifiers!$F$6,E383)),1,0))+IF(Classifiers!$G$6="",0,IF(ISNUMBER(SEARCH(Classifiers!$G$6,E383)),1,0)))&gt;0,1,0))</f>
        <v/>
      </c>
      <c r="L383" s="12">
        <f>IF(H383&lt;&gt;1,0,IF((IF(Classifiers!$B$7="",0,IF(ISNUMBER(SEARCH(Classifiers!$B$7,E383)),1,0))+IF(Classifiers!$C$7="",0,IF(ISNUMBER(SEARCH(Classifiers!$C$7,E383)),1,0))+IF(Classifiers!$D$7="",0,IF(ISNUMBER(SEARCH(Classifiers!$D$7,E383)),1,0))+IF(Classifiers!$E$7="",0,IF(ISNUMBER(SEARCH(Classifiers!$E$7,E383)),1,0))+IF(Classifiers!$F$7="",0,IF(ISNUMBER(SEARCH(Classifiers!$F$7,E383)),1,0))+IF(Classifiers!$G$7="",0,IF(ISNUMBER(SEARCH(Classifiers!$G$7,E383)),1,0)))&gt;0,1,0))</f>
        <v/>
      </c>
      <c r="M383" s="12">
        <f>IF(H383&lt;&gt;1,0,IF((IF(Classifiers!$B$8="",0,IF(ISNUMBER(SEARCH(Classifiers!$B$8,E383)),1,0))+IF(Classifiers!$C$8="",0,IF(ISNUMBER(SEARCH(Classifiers!$C$8,E383)),1,0))+IF(Classifiers!$D$8="",0,IF(ISNUMBER(SEARCH(Classifiers!$D$8,E383)),1,0))+IF(Classifiers!$E$8="",0,IF(ISNUMBER(SEARCH(Classifiers!$E$8,E383)),1,0))+IF(Classifiers!$F$8="",0,IF(ISNUMBER(SEARCH(Classifiers!$F$8,E383)),1,0))+IF(Classifiers!$G$8="",0,IF(ISNUMBER(SEARCH(Classifiers!$G$8,E383)),1,0)))&gt;0,1,0))</f>
        <v/>
      </c>
      <c r="N383" s="12">
        <f>IF(H383&lt;&gt;1,0,IF((IF(Classifiers!$B$9="",0,IF(ISNUMBER(SEARCH(Classifiers!$B$9,E383)),1,0))+IF(Classifiers!$C$9="",0,IF(ISNUMBER(SEARCH(Classifiers!$C$9,E383)),1,0))+IF(Classifiers!$D$9="",0,IF(ISNUMBER(SEARCH(Classifiers!$D$9,E383)),1,0))+IF(Classifiers!$E$9="",0,IF(ISNUMBER(SEARCH(Classifiers!$E$9,E383)),1,0))+IF(Classifiers!$F$9="",0,IF(ISNUMBER(SEARCH(Classifiers!$F$9,E383)),1,0))+IF(Classifiers!$G$9="",0,IF(ISNUMBER(SEARCH(Classifiers!$G$9,E383)),1,0)))&gt;0,1,0))</f>
        <v/>
      </c>
      <c r="O383" s="12">
        <f>IF(H383&lt;&gt;1,0,IF((IF(Classifiers!$B$10="",0,IF(ISNUMBER(SEARCH(Classifiers!$B$10,E383)),1,0))+IF(Classifiers!$C$10="",0,IF(ISNUMBER(SEARCH(Classifiers!$C$10,E383)),1,0))+IF(Classifiers!$D$10="",0,IF(ISNUMBER(SEARCH(Classifiers!$D$10,E383)),1,0))+IF(Classifiers!$E$10="",0,IF(ISNUMBER(SEARCH(Classifiers!$E$10,E383)),1,0))+IF(Classifiers!$F$10="",0,IF(ISNUMBER(SEARCH(Classifiers!$F$10,E383)),1,0))+IF(Classifiers!$G$10="",0,IF(ISNUMBER(SEARCH(Classifiers!$G$10,E383)),1,0)))&gt;0,1,0))</f>
        <v/>
      </c>
      <c r="P383" s="12">
        <f>IF(H383&lt;&gt;1,0,IF((IF(Classifiers!$B$11="",0,IF(ISNUMBER(SEARCH(Classifiers!$B$11,E383)),1,0))+IF(Classifiers!$C$11="",0,IF(ISNUMBER(SEARCH(Classifiers!$C$11,E383)),1,0))+IF(Classifiers!$D$11="",0,IF(ISNUMBER(SEARCH(Classifiers!$D$11,E383)),1,0))+IF(Classifiers!$E$11="",0,IF(ISNUMBER(SEARCH(Classifiers!$E$11,E383)),1,0))+IF(Classifiers!$F$11="",0,IF(ISNUMBER(SEARCH(Classifiers!$F$11,E383)),1,0))+IF(Classifiers!$G$11="",0,IF(ISNUMBER(SEARCH(Classifiers!$G$11,E383)),1,0)))&gt;0,1,0))</f>
        <v/>
      </c>
      <c r="Q383" s="12">
        <f>IF(H383&lt;&gt;1,0,IF((IF(Classifiers!$B$12="",0,IF(ISNUMBER(SEARCH(Classifiers!$B$12,E383)),1,0))+IF(Classifiers!$C$12="",0,IF(ISNUMBER(SEARCH(Classifiers!$C$12,E383)),1,0))+IF(Classifiers!$D$12="",0,IF(ISNUMBER(SEARCH(Classifiers!$D$12,E383)),1,0))+IF(Classifiers!$E$12="",0,IF(ISNUMBER(SEARCH(Classifiers!$E$12,E383)),1,0))+IF(Classifiers!$F$12="",0,IF(ISNUMBER(SEARCH(Classifiers!$F$12,E383)),1,0))+IF(Classifiers!$G$12="",0,IF(ISNUMBER(SEARCH(Classifiers!$G$12,E383)),1,0)))&gt;0,1,0))</f>
        <v/>
      </c>
      <c r="R383" s="12">
        <f>IF(H383&lt;&gt;1,0,IF((IF(Classifiers!$B$13="",0,IF(ISNUMBER(SEARCH(Classifiers!$B$13,E383)),1,0))+IF(Classifiers!$C$13="",0,IF(ISNUMBER(SEARCH(Classifiers!$C$13,E383)),1,0))+IF(Classifiers!$D$13="",0,IF(ISNUMBER(SEARCH(Classifiers!$D$13,E383)),1,0))+IF(Classifiers!$E$13="",0,IF(ISNUMBER(SEARCH(Classifiers!$E$13,E383)),1,0))+IF(Classifiers!$F$13="",0,IF(ISNUMBER(SEARCH(Classifiers!$F$13,E383)),1,0))+IF(Classifiers!$G$13="",0,IF(ISNUMBER(SEARCH(Classifiers!$G$13,E383)),1,0)))&gt;0,1,0))</f>
        <v/>
      </c>
      <c r="S383" s="12">
        <f>IF(H383&lt;&gt;1,0,IF((IF(Classifiers!$B$14="",0,IF(ISNUMBER(SEARCH(Classifiers!$B$14,E383)),1,0))+IF(Classifiers!$C$14="",0,IF(ISNUMBER(SEARCH(Classifiers!$C$14,E383)),1,0))+IF(Classifiers!$D$14="",0,IF(ISNUMBER(SEARCH(Classifiers!$D$14,E383)),1,0))+IF(Classifiers!$E$14="",0,IF(ISNUMBER(SEARCH(Classifiers!$E$14,E383)),1,0))+IF(Classifiers!$F$14="",0,IF(ISNUMBER(SEARCH(Classifiers!$F$14,E383)),1,0))+IF(Classifiers!$G$14="",0,IF(ISNUMBER(SEARCH(Classifiers!$G$14,E383)),1,0)))&gt;0,1,0))</f>
        <v/>
      </c>
      <c r="T383" s="12">
        <f>IF(H383&lt;&gt;1,0,IF((IF(Classifiers!$B$15="",0,IF(ISNUMBER(SEARCH(Classifiers!$B$15,E383)),1,0))+IF(Classifiers!$C$15="",0,IF(ISNUMBER(SEARCH(Classifiers!$C$15,E383)),1,0))+IF(Classifiers!$D$15="",0,IF(ISNUMBER(SEARCH(Classifiers!$D$15,E383)),1,0))+IF(Classifiers!$E$15="",0,IF(ISNUMBER(SEARCH(Classifiers!$E$15,E383)),1,0))+IF(Classifiers!$F$15="",0,IF(ISNUMBER(SEARCH(Classifiers!$F$15,E383)),1,0))+IF(Classifiers!$G$15="",0,IF(ISNUMBER(SEARCH(Classifiers!$G$15,E383)),1,0)))&gt;0,1,0))</f>
        <v/>
      </c>
      <c r="U383" s="12">
        <f>IF(H383&lt;&gt;1,0,IF((IF(Classifiers!$B$16="",0,IF(ISNUMBER(SEARCH(Classifiers!$B$16,E383)),1,0))+IF(Classifiers!$C$16="",0,IF(ISNUMBER(SEARCH(Classifiers!$C$16,E383)),1,0))+IF(Classifiers!$D$16="",0,IF(ISNUMBER(SEARCH(Classifiers!$D$16,E383)),1,0))+IF(Classifiers!$E$16="",0,IF(ISNUMBER(SEARCH(Classifiers!$E$16,E383)),1,0))+IF(Classifiers!$F$16="",0,IF(ISNUMBER(SEARCH(Classifiers!$F$16,E383)),1,0))+IF(Classifiers!$G$16="",0,IF(ISNUMBER(SEARCH(Classifiers!$G$16,E383)),1,0)))&gt;0,1,0))</f>
        <v/>
      </c>
      <c r="V383" s="12">
        <f>IF(H383&lt;&gt;1,0,IF((IF(Classifiers!$B$17="",0,IF(ISNUMBER(SEARCH(Classifiers!$B$17,E383)),1,0))+IF(Classifiers!$C$17="",0,IF(ISNUMBER(SEARCH(Classifiers!$C$17,E383)),1,0))+IF(Classifiers!$D$17="",0,IF(ISNUMBER(SEARCH(Classifiers!$D$17,E383)),1,0))+IF(Classifiers!$E$17="",0,IF(ISNUMBER(SEARCH(Classifiers!$E$17,E383)),1,0))+IF(Classifiers!$F$17="",0,IF(ISNUMBER(SEARCH(Classifiers!$F$17,E383)),1,0))+IF(Classifiers!$G$17="",0,IF(ISNUMBER(SEARCH(Classifiers!$G$17,E383)),1,0)))&gt;0,1,0))</f>
        <v/>
      </c>
      <c r="W383" s="12">
        <f>IF(H383&lt;&gt;1,0,IF((IF(Classifiers!$B$18="",0,IF(ISNUMBER(SEARCH(Classifiers!$B$18,E383)),1,0))+IF(Classifiers!$C$18="",0,IF(ISNUMBER(SEARCH(Classifiers!$C$18,E383)),1,0))+IF(Classifiers!$D$18="",0,IF(ISNUMBER(SEARCH(Classifiers!$D$18,E383)),1,0))+IF(Classifiers!$E$18="",0,IF(ISNUMBER(SEARCH(Classifiers!$E$18,E383)),1,0))+IF(Classifiers!$F$18="",0,IF(ISNUMBER(SEARCH(Classifiers!$F$18,E383)),1,0))+IF(Classifiers!$G$18="",0,IF(ISNUMBER(SEARCH(Classifiers!$G$18,E383)),1,0)))&gt;0,1,0))</f>
        <v/>
      </c>
    </row>
    <row r="384">
      <c r="A384" s="8" t="n"/>
      <c r="B384" s="11" t="n"/>
      <c r="C384" s="6">
        <f>IF(A384="","",TRIM(RIGHT(SUBSTITUTE(A384,"/",REPT(" ",250)),250)))</f>
        <v/>
      </c>
      <c r="D384" s="6">
        <f>IF(C384="","",IF(ISNUMBER(SEARCH(".",C384)),LOWER("."&amp;TRIM(RIGHT(SUBSTITUTE(C384,".",REPT(" ",250)),250))),""))</f>
        <v/>
      </c>
      <c r="E384" s="6">
        <f>IF(C384="","",TRIM(SUBSTITUTE(SUBSTITUTE(SUBSTITUTE(SUBSTITUTE(SUBSTITUTE(SUBSTITUTE(SUBSTITUTE(SUBSTITUTE(SUBSTITUTE(SUBSTITUTE(SUBSTITUTE(SUBSTITUTE(SUBSTITUTE(SUBSTITUTE(SUBSTITUTE(SUBSTITUTE(SUBSTITUTE(SUBSTITUTE(SUBSTITUTE(SUBSTITUTE(LOWER(LEFT(C384,LEN(C384)-LEN(D384))),"_"," "),"-"," "),"."," "),","," "),"("," "),")"," "),"["," "),"]"," "),"&amp;"," "),"+"," "),"@"," "),"#"," "),"!"," "),"'"," "),"/"," "),":"," "),";"," "),"="," "),"~"," "),"%"," ")))</f>
        <v/>
      </c>
      <c r="F384" s="6">
        <f>IF(C384="","",IF(COUNTIF(Classifiers!$A$23:$A$40,D384)&gt;0,1,0))</f>
        <v/>
      </c>
      <c r="G384" s="6">
        <f>IF(C384="","",IF(COUNTIF(Classifiers!$C$23:$C$30,D384)&gt;0,IF((IF(ISNUMBER(SEARCH(Classifiers!$E$23,E384)),1,0)+IF(ISNUMBER(SEARCH(Classifiers!$E$24,E384)),1,0)+IF(ISNUMBER(SEARCH(Classifiers!$E$25,E384)),1,0)+IF(ISNUMBER(SEARCH(Classifiers!$E$26,E384)),1,0)+IF(ISNUMBER(SEARCH(Classifiers!$E$27,E384)),1,0)+IF(ISNUMBER(SEARCH(Classifiers!$E$28,E384)),1,0)+IF(ISNUMBER(SEARCH(Classifiers!$E$29,E384)),1,0)+IF(ISNUMBER(SEARCH(Classifiers!$E$30,E384)),1,0))&gt;0,1,0),0))</f>
        <v/>
      </c>
      <c r="H384" s="6">
        <f>IF(C384="","",IF(OR(LEFT(C384,1)=".",AND(F384=0,G384=0)),0,1))</f>
        <v/>
      </c>
      <c r="I384" s="6">
        <f>IF(H384&lt;&gt;1,"",IF(SUM(J384:W384)=0,"unclassified",INDEX(Classifiers!$A$5:$A$18,MATCH(1,J384:W384,0),1)))</f>
        <v/>
      </c>
      <c r="J384" s="12">
        <f>IF(H384&lt;&gt;1,0,IF((IF(Classifiers!$B$5="",0,IF(ISNUMBER(SEARCH(Classifiers!$B$5,E384)),1,0))+IF(Classifiers!$C$5="",0,IF(ISNUMBER(SEARCH(Classifiers!$C$5,E384)),1,0))+IF(Classifiers!$D$5="",0,IF(ISNUMBER(SEARCH(Classifiers!$D$5,E384)),1,0))+IF(Classifiers!$E$5="",0,IF(ISNUMBER(SEARCH(Classifiers!$E$5,E384)),1,0))+IF(Classifiers!$F$5="",0,IF(ISNUMBER(SEARCH(Classifiers!$F$5,E384)),1,0))+IF(Classifiers!$G$5="",0,IF(ISNUMBER(SEARCH(Classifiers!$G$5,E384)),1,0)))&gt;0,1,0))</f>
        <v/>
      </c>
      <c r="K384" s="12">
        <f>IF(H384&lt;&gt;1,0,IF((IF(Classifiers!$B$6="",0,IF(ISNUMBER(SEARCH(Classifiers!$B$6,E384)),1,0))+IF(Classifiers!$C$6="",0,IF(ISNUMBER(SEARCH(Classifiers!$C$6,E384)),1,0))+IF(Classifiers!$D$6="",0,IF(ISNUMBER(SEARCH(Classifiers!$D$6,E384)),1,0))+IF(Classifiers!$E$6="",0,IF(ISNUMBER(SEARCH(Classifiers!$E$6,E384)),1,0))+IF(Classifiers!$F$6="",0,IF(ISNUMBER(SEARCH(Classifiers!$F$6,E384)),1,0))+IF(Classifiers!$G$6="",0,IF(ISNUMBER(SEARCH(Classifiers!$G$6,E384)),1,0)))&gt;0,1,0))</f>
        <v/>
      </c>
      <c r="L384" s="12">
        <f>IF(H384&lt;&gt;1,0,IF((IF(Classifiers!$B$7="",0,IF(ISNUMBER(SEARCH(Classifiers!$B$7,E384)),1,0))+IF(Classifiers!$C$7="",0,IF(ISNUMBER(SEARCH(Classifiers!$C$7,E384)),1,0))+IF(Classifiers!$D$7="",0,IF(ISNUMBER(SEARCH(Classifiers!$D$7,E384)),1,0))+IF(Classifiers!$E$7="",0,IF(ISNUMBER(SEARCH(Classifiers!$E$7,E384)),1,0))+IF(Classifiers!$F$7="",0,IF(ISNUMBER(SEARCH(Classifiers!$F$7,E384)),1,0))+IF(Classifiers!$G$7="",0,IF(ISNUMBER(SEARCH(Classifiers!$G$7,E384)),1,0)))&gt;0,1,0))</f>
        <v/>
      </c>
      <c r="M384" s="12">
        <f>IF(H384&lt;&gt;1,0,IF((IF(Classifiers!$B$8="",0,IF(ISNUMBER(SEARCH(Classifiers!$B$8,E384)),1,0))+IF(Classifiers!$C$8="",0,IF(ISNUMBER(SEARCH(Classifiers!$C$8,E384)),1,0))+IF(Classifiers!$D$8="",0,IF(ISNUMBER(SEARCH(Classifiers!$D$8,E384)),1,0))+IF(Classifiers!$E$8="",0,IF(ISNUMBER(SEARCH(Classifiers!$E$8,E384)),1,0))+IF(Classifiers!$F$8="",0,IF(ISNUMBER(SEARCH(Classifiers!$F$8,E384)),1,0))+IF(Classifiers!$G$8="",0,IF(ISNUMBER(SEARCH(Classifiers!$G$8,E384)),1,0)))&gt;0,1,0))</f>
        <v/>
      </c>
      <c r="N384" s="12">
        <f>IF(H384&lt;&gt;1,0,IF((IF(Classifiers!$B$9="",0,IF(ISNUMBER(SEARCH(Classifiers!$B$9,E384)),1,0))+IF(Classifiers!$C$9="",0,IF(ISNUMBER(SEARCH(Classifiers!$C$9,E384)),1,0))+IF(Classifiers!$D$9="",0,IF(ISNUMBER(SEARCH(Classifiers!$D$9,E384)),1,0))+IF(Classifiers!$E$9="",0,IF(ISNUMBER(SEARCH(Classifiers!$E$9,E384)),1,0))+IF(Classifiers!$F$9="",0,IF(ISNUMBER(SEARCH(Classifiers!$F$9,E384)),1,0))+IF(Classifiers!$G$9="",0,IF(ISNUMBER(SEARCH(Classifiers!$G$9,E384)),1,0)))&gt;0,1,0))</f>
        <v/>
      </c>
      <c r="O384" s="12">
        <f>IF(H384&lt;&gt;1,0,IF((IF(Classifiers!$B$10="",0,IF(ISNUMBER(SEARCH(Classifiers!$B$10,E384)),1,0))+IF(Classifiers!$C$10="",0,IF(ISNUMBER(SEARCH(Classifiers!$C$10,E384)),1,0))+IF(Classifiers!$D$10="",0,IF(ISNUMBER(SEARCH(Classifiers!$D$10,E384)),1,0))+IF(Classifiers!$E$10="",0,IF(ISNUMBER(SEARCH(Classifiers!$E$10,E384)),1,0))+IF(Classifiers!$F$10="",0,IF(ISNUMBER(SEARCH(Classifiers!$F$10,E384)),1,0))+IF(Classifiers!$G$10="",0,IF(ISNUMBER(SEARCH(Classifiers!$G$10,E384)),1,0)))&gt;0,1,0))</f>
        <v/>
      </c>
      <c r="P384" s="12">
        <f>IF(H384&lt;&gt;1,0,IF((IF(Classifiers!$B$11="",0,IF(ISNUMBER(SEARCH(Classifiers!$B$11,E384)),1,0))+IF(Classifiers!$C$11="",0,IF(ISNUMBER(SEARCH(Classifiers!$C$11,E384)),1,0))+IF(Classifiers!$D$11="",0,IF(ISNUMBER(SEARCH(Classifiers!$D$11,E384)),1,0))+IF(Classifiers!$E$11="",0,IF(ISNUMBER(SEARCH(Classifiers!$E$11,E384)),1,0))+IF(Classifiers!$F$11="",0,IF(ISNUMBER(SEARCH(Classifiers!$F$11,E384)),1,0))+IF(Classifiers!$G$11="",0,IF(ISNUMBER(SEARCH(Classifiers!$G$11,E384)),1,0)))&gt;0,1,0))</f>
        <v/>
      </c>
      <c r="Q384" s="12">
        <f>IF(H384&lt;&gt;1,0,IF((IF(Classifiers!$B$12="",0,IF(ISNUMBER(SEARCH(Classifiers!$B$12,E384)),1,0))+IF(Classifiers!$C$12="",0,IF(ISNUMBER(SEARCH(Classifiers!$C$12,E384)),1,0))+IF(Classifiers!$D$12="",0,IF(ISNUMBER(SEARCH(Classifiers!$D$12,E384)),1,0))+IF(Classifiers!$E$12="",0,IF(ISNUMBER(SEARCH(Classifiers!$E$12,E384)),1,0))+IF(Classifiers!$F$12="",0,IF(ISNUMBER(SEARCH(Classifiers!$F$12,E384)),1,0))+IF(Classifiers!$G$12="",0,IF(ISNUMBER(SEARCH(Classifiers!$G$12,E384)),1,0)))&gt;0,1,0))</f>
        <v/>
      </c>
      <c r="R384" s="12">
        <f>IF(H384&lt;&gt;1,0,IF((IF(Classifiers!$B$13="",0,IF(ISNUMBER(SEARCH(Classifiers!$B$13,E384)),1,0))+IF(Classifiers!$C$13="",0,IF(ISNUMBER(SEARCH(Classifiers!$C$13,E384)),1,0))+IF(Classifiers!$D$13="",0,IF(ISNUMBER(SEARCH(Classifiers!$D$13,E384)),1,0))+IF(Classifiers!$E$13="",0,IF(ISNUMBER(SEARCH(Classifiers!$E$13,E384)),1,0))+IF(Classifiers!$F$13="",0,IF(ISNUMBER(SEARCH(Classifiers!$F$13,E384)),1,0))+IF(Classifiers!$G$13="",0,IF(ISNUMBER(SEARCH(Classifiers!$G$13,E384)),1,0)))&gt;0,1,0))</f>
        <v/>
      </c>
      <c r="S384" s="12">
        <f>IF(H384&lt;&gt;1,0,IF((IF(Classifiers!$B$14="",0,IF(ISNUMBER(SEARCH(Classifiers!$B$14,E384)),1,0))+IF(Classifiers!$C$14="",0,IF(ISNUMBER(SEARCH(Classifiers!$C$14,E384)),1,0))+IF(Classifiers!$D$14="",0,IF(ISNUMBER(SEARCH(Classifiers!$D$14,E384)),1,0))+IF(Classifiers!$E$14="",0,IF(ISNUMBER(SEARCH(Classifiers!$E$14,E384)),1,0))+IF(Classifiers!$F$14="",0,IF(ISNUMBER(SEARCH(Classifiers!$F$14,E384)),1,0))+IF(Classifiers!$G$14="",0,IF(ISNUMBER(SEARCH(Classifiers!$G$14,E384)),1,0)))&gt;0,1,0))</f>
        <v/>
      </c>
      <c r="T384" s="12">
        <f>IF(H384&lt;&gt;1,0,IF((IF(Classifiers!$B$15="",0,IF(ISNUMBER(SEARCH(Classifiers!$B$15,E384)),1,0))+IF(Classifiers!$C$15="",0,IF(ISNUMBER(SEARCH(Classifiers!$C$15,E384)),1,0))+IF(Classifiers!$D$15="",0,IF(ISNUMBER(SEARCH(Classifiers!$D$15,E384)),1,0))+IF(Classifiers!$E$15="",0,IF(ISNUMBER(SEARCH(Classifiers!$E$15,E384)),1,0))+IF(Classifiers!$F$15="",0,IF(ISNUMBER(SEARCH(Classifiers!$F$15,E384)),1,0))+IF(Classifiers!$G$15="",0,IF(ISNUMBER(SEARCH(Classifiers!$G$15,E384)),1,0)))&gt;0,1,0))</f>
        <v/>
      </c>
      <c r="U384" s="12">
        <f>IF(H384&lt;&gt;1,0,IF((IF(Classifiers!$B$16="",0,IF(ISNUMBER(SEARCH(Classifiers!$B$16,E384)),1,0))+IF(Classifiers!$C$16="",0,IF(ISNUMBER(SEARCH(Classifiers!$C$16,E384)),1,0))+IF(Classifiers!$D$16="",0,IF(ISNUMBER(SEARCH(Classifiers!$D$16,E384)),1,0))+IF(Classifiers!$E$16="",0,IF(ISNUMBER(SEARCH(Classifiers!$E$16,E384)),1,0))+IF(Classifiers!$F$16="",0,IF(ISNUMBER(SEARCH(Classifiers!$F$16,E384)),1,0))+IF(Classifiers!$G$16="",0,IF(ISNUMBER(SEARCH(Classifiers!$G$16,E384)),1,0)))&gt;0,1,0))</f>
        <v/>
      </c>
      <c r="V384" s="12">
        <f>IF(H384&lt;&gt;1,0,IF((IF(Classifiers!$B$17="",0,IF(ISNUMBER(SEARCH(Classifiers!$B$17,E384)),1,0))+IF(Classifiers!$C$17="",0,IF(ISNUMBER(SEARCH(Classifiers!$C$17,E384)),1,0))+IF(Classifiers!$D$17="",0,IF(ISNUMBER(SEARCH(Classifiers!$D$17,E384)),1,0))+IF(Classifiers!$E$17="",0,IF(ISNUMBER(SEARCH(Classifiers!$E$17,E384)),1,0))+IF(Classifiers!$F$17="",0,IF(ISNUMBER(SEARCH(Classifiers!$F$17,E384)),1,0))+IF(Classifiers!$G$17="",0,IF(ISNUMBER(SEARCH(Classifiers!$G$17,E384)),1,0)))&gt;0,1,0))</f>
        <v/>
      </c>
      <c r="W384" s="12">
        <f>IF(H384&lt;&gt;1,0,IF((IF(Classifiers!$B$18="",0,IF(ISNUMBER(SEARCH(Classifiers!$B$18,E384)),1,0))+IF(Classifiers!$C$18="",0,IF(ISNUMBER(SEARCH(Classifiers!$C$18,E384)),1,0))+IF(Classifiers!$D$18="",0,IF(ISNUMBER(SEARCH(Classifiers!$D$18,E384)),1,0))+IF(Classifiers!$E$18="",0,IF(ISNUMBER(SEARCH(Classifiers!$E$18,E384)),1,0))+IF(Classifiers!$F$18="",0,IF(ISNUMBER(SEARCH(Classifiers!$F$18,E384)),1,0))+IF(Classifiers!$G$18="",0,IF(ISNUMBER(SEARCH(Classifiers!$G$18,E384)),1,0)))&gt;0,1,0))</f>
        <v/>
      </c>
    </row>
    <row r="385">
      <c r="A385" s="8" t="n"/>
      <c r="B385" s="11" t="n"/>
      <c r="C385" s="6">
        <f>IF(A385="","",TRIM(RIGHT(SUBSTITUTE(A385,"/",REPT(" ",250)),250)))</f>
        <v/>
      </c>
      <c r="D385" s="6">
        <f>IF(C385="","",IF(ISNUMBER(SEARCH(".",C385)),LOWER("."&amp;TRIM(RIGHT(SUBSTITUTE(C385,".",REPT(" ",250)),250))),""))</f>
        <v/>
      </c>
      <c r="E385" s="6">
        <f>IF(C385="","",TRIM(SUBSTITUTE(SUBSTITUTE(SUBSTITUTE(SUBSTITUTE(SUBSTITUTE(SUBSTITUTE(SUBSTITUTE(SUBSTITUTE(SUBSTITUTE(SUBSTITUTE(SUBSTITUTE(SUBSTITUTE(SUBSTITUTE(SUBSTITUTE(SUBSTITUTE(SUBSTITUTE(SUBSTITUTE(SUBSTITUTE(SUBSTITUTE(SUBSTITUTE(LOWER(LEFT(C385,LEN(C385)-LEN(D385))),"_"," "),"-"," "),"."," "),","," "),"("," "),")"," "),"["," "),"]"," "),"&amp;"," "),"+"," "),"@"," "),"#"," "),"!"," "),"'"," "),"/"," "),":"," "),";"," "),"="," "),"~"," "),"%"," ")))</f>
        <v/>
      </c>
      <c r="F385" s="6">
        <f>IF(C385="","",IF(COUNTIF(Classifiers!$A$23:$A$40,D385)&gt;0,1,0))</f>
        <v/>
      </c>
      <c r="G385" s="6">
        <f>IF(C385="","",IF(COUNTIF(Classifiers!$C$23:$C$30,D385)&gt;0,IF((IF(ISNUMBER(SEARCH(Classifiers!$E$23,E385)),1,0)+IF(ISNUMBER(SEARCH(Classifiers!$E$24,E385)),1,0)+IF(ISNUMBER(SEARCH(Classifiers!$E$25,E385)),1,0)+IF(ISNUMBER(SEARCH(Classifiers!$E$26,E385)),1,0)+IF(ISNUMBER(SEARCH(Classifiers!$E$27,E385)),1,0)+IF(ISNUMBER(SEARCH(Classifiers!$E$28,E385)),1,0)+IF(ISNUMBER(SEARCH(Classifiers!$E$29,E385)),1,0)+IF(ISNUMBER(SEARCH(Classifiers!$E$30,E385)),1,0))&gt;0,1,0),0))</f>
        <v/>
      </c>
      <c r="H385" s="6">
        <f>IF(C385="","",IF(OR(LEFT(C385,1)=".",AND(F385=0,G385=0)),0,1))</f>
        <v/>
      </c>
      <c r="I385" s="6">
        <f>IF(H385&lt;&gt;1,"",IF(SUM(J385:W385)=0,"unclassified",INDEX(Classifiers!$A$5:$A$18,MATCH(1,J385:W385,0),1)))</f>
        <v/>
      </c>
      <c r="J385" s="12">
        <f>IF(H385&lt;&gt;1,0,IF((IF(Classifiers!$B$5="",0,IF(ISNUMBER(SEARCH(Classifiers!$B$5,E385)),1,0))+IF(Classifiers!$C$5="",0,IF(ISNUMBER(SEARCH(Classifiers!$C$5,E385)),1,0))+IF(Classifiers!$D$5="",0,IF(ISNUMBER(SEARCH(Classifiers!$D$5,E385)),1,0))+IF(Classifiers!$E$5="",0,IF(ISNUMBER(SEARCH(Classifiers!$E$5,E385)),1,0))+IF(Classifiers!$F$5="",0,IF(ISNUMBER(SEARCH(Classifiers!$F$5,E385)),1,0))+IF(Classifiers!$G$5="",0,IF(ISNUMBER(SEARCH(Classifiers!$G$5,E385)),1,0)))&gt;0,1,0))</f>
        <v/>
      </c>
      <c r="K385" s="12">
        <f>IF(H385&lt;&gt;1,0,IF((IF(Classifiers!$B$6="",0,IF(ISNUMBER(SEARCH(Classifiers!$B$6,E385)),1,0))+IF(Classifiers!$C$6="",0,IF(ISNUMBER(SEARCH(Classifiers!$C$6,E385)),1,0))+IF(Classifiers!$D$6="",0,IF(ISNUMBER(SEARCH(Classifiers!$D$6,E385)),1,0))+IF(Classifiers!$E$6="",0,IF(ISNUMBER(SEARCH(Classifiers!$E$6,E385)),1,0))+IF(Classifiers!$F$6="",0,IF(ISNUMBER(SEARCH(Classifiers!$F$6,E385)),1,0))+IF(Classifiers!$G$6="",0,IF(ISNUMBER(SEARCH(Classifiers!$G$6,E385)),1,0)))&gt;0,1,0))</f>
        <v/>
      </c>
      <c r="L385" s="12">
        <f>IF(H385&lt;&gt;1,0,IF((IF(Classifiers!$B$7="",0,IF(ISNUMBER(SEARCH(Classifiers!$B$7,E385)),1,0))+IF(Classifiers!$C$7="",0,IF(ISNUMBER(SEARCH(Classifiers!$C$7,E385)),1,0))+IF(Classifiers!$D$7="",0,IF(ISNUMBER(SEARCH(Classifiers!$D$7,E385)),1,0))+IF(Classifiers!$E$7="",0,IF(ISNUMBER(SEARCH(Classifiers!$E$7,E385)),1,0))+IF(Classifiers!$F$7="",0,IF(ISNUMBER(SEARCH(Classifiers!$F$7,E385)),1,0))+IF(Classifiers!$G$7="",0,IF(ISNUMBER(SEARCH(Classifiers!$G$7,E385)),1,0)))&gt;0,1,0))</f>
        <v/>
      </c>
      <c r="M385" s="12">
        <f>IF(H385&lt;&gt;1,0,IF((IF(Classifiers!$B$8="",0,IF(ISNUMBER(SEARCH(Classifiers!$B$8,E385)),1,0))+IF(Classifiers!$C$8="",0,IF(ISNUMBER(SEARCH(Classifiers!$C$8,E385)),1,0))+IF(Classifiers!$D$8="",0,IF(ISNUMBER(SEARCH(Classifiers!$D$8,E385)),1,0))+IF(Classifiers!$E$8="",0,IF(ISNUMBER(SEARCH(Classifiers!$E$8,E385)),1,0))+IF(Classifiers!$F$8="",0,IF(ISNUMBER(SEARCH(Classifiers!$F$8,E385)),1,0))+IF(Classifiers!$G$8="",0,IF(ISNUMBER(SEARCH(Classifiers!$G$8,E385)),1,0)))&gt;0,1,0))</f>
        <v/>
      </c>
      <c r="N385" s="12">
        <f>IF(H385&lt;&gt;1,0,IF((IF(Classifiers!$B$9="",0,IF(ISNUMBER(SEARCH(Classifiers!$B$9,E385)),1,0))+IF(Classifiers!$C$9="",0,IF(ISNUMBER(SEARCH(Classifiers!$C$9,E385)),1,0))+IF(Classifiers!$D$9="",0,IF(ISNUMBER(SEARCH(Classifiers!$D$9,E385)),1,0))+IF(Classifiers!$E$9="",0,IF(ISNUMBER(SEARCH(Classifiers!$E$9,E385)),1,0))+IF(Classifiers!$F$9="",0,IF(ISNUMBER(SEARCH(Classifiers!$F$9,E385)),1,0))+IF(Classifiers!$G$9="",0,IF(ISNUMBER(SEARCH(Classifiers!$G$9,E385)),1,0)))&gt;0,1,0))</f>
        <v/>
      </c>
      <c r="O385" s="12">
        <f>IF(H385&lt;&gt;1,0,IF((IF(Classifiers!$B$10="",0,IF(ISNUMBER(SEARCH(Classifiers!$B$10,E385)),1,0))+IF(Classifiers!$C$10="",0,IF(ISNUMBER(SEARCH(Classifiers!$C$10,E385)),1,0))+IF(Classifiers!$D$10="",0,IF(ISNUMBER(SEARCH(Classifiers!$D$10,E385)),1,0))+IF(Classifiers!$E$10="",0,IF(ISNUMBER(SEARCH(Classifiers!$E$10,E385)),1,0))+IF(Classifiers!$F$10="",0,IF(ISNUMBER(SEARCH(Classifiers!$F$10,E385)),1,0))+IF(Classifiers!$G$10="",0,IF(ISNUMBER(SEARCH(Classifiers!$G$10,E385)),1,0)))&gt;0,1,0))</f>
        <v/>
      </c>
      <c r="P385" s="12">
        <f>IF(H385&lt;&gt;1,0,IF((IF(Classifiers!$B$11="",0,IF(ISNUMBER(SEARCH(Classifiers!$B$11,E385)),1,0))+IF(Classifiers!$C$11="",0,IF(ISNUMBER(SEARCH(Classifiers!$C$11,E385)),1,0))+IF(Classifiers!$D$11="",0,IF(ISNUMBER(SEARCH(Classifiers!$D$11,E385)),1,0))+IF(Classifiers!$E$11="",0,IF(ISNUMBER(SEARCH(Classifiers!$E$11,E385)),1,0))+IF(Classifiers!$F$11="",0,IF(ISNUMBER(SEARCH(Classifiers!$F$11,E385)),1,0))+IF(Classifiers!$G$11="",0,IF(ISNUMBER(SEARCH(Classifiers!$G$11,E385)),1,0)))&gt;0,1,0))</f>
        <v/>
      </c>
      <c r="Q385" s="12">
        <f>IF(H385&lt;&gt;1,0,IF((IF(Classifiers!$B$12="",0,IF(ISNUMBER(SEARCH(Classifiers!$B$12,E385)),1,0))+IF(Classifiers!$C$12="",0,IF(ISNUMBER(SEARCH(Classifiers!$C$12,E385)),1,0))+IF(Classifiers!$D$12="",0,IF(ISNUMBER(SEARCH(Classifiers!$D$12,E385)),1,0))+IF(Classifiers!$E$12="",0,IF(ISNUMBER(SEARCH(Classifiers!$E$12,E385)),1,0))+IF(Classifiers!$F$12="",0,IF(ISNUMBER(SEARCH(Classifiers!$F$12,E385)),1,0))+IF(Classifiers!$G$12="",0,IF(ISNUMBER(SEARCH(Classifiers!$G$12,E385)),1,0)))&gt;0,1,0))</f>
        <v/>
      </c>
      <c r="R385" s="12">
        <f>IF(H385&lt;&gt;1,0,IF((IF(Classifiers!$B$13="",0,IF(ISNUMBER(SEARCH(Classifiers!$B$13,E385)),1,0))+IF(Classifiers!$C$13="",0,IF(ISNUMBER(SEARCH(Classifiers!$C$13,E385)),1,0))+IF(Classifiers!$D$13="",0,IF(ISNUMBER(SEARCH(Classifiers!$D$13,E385)),1,0))+IF(Classifiers!$E$13="",0,IF(ISNUMBER(SEARCH(Classifiers!$E$13,E385)),1,0))+IF(Classifiers!$F$13="",0,IF(ISNUMBER(SEARCH(Classifiers!$F$13,E385)),1,0))+IF(Classifiers!$G$13="",0,IF(ISNUMBER(SEARCH(Classifiers!$G$13,E385)),1,0)))&gt;0,1,0))</f>
        <v/>
      </c>
      <c r="S385" s="12">
        <f>IF(H385&lt;&gt;1,0,IF((IF(Classifiers!$B$14="",0,IF(ISNUMBER(SEARCH(Classifiers!$B$14,E385)),1,0))+IF(Classifiers!$C$14="",0,IF(ISNUMBER(SEARCH(Classifiers!$C$14,E385)),1,0))+IF(Classifiers!$D$14="",0,IF(ISNUMBER(SEARCH(Classifiers!$D$14,E385)),1,0))+IF(Classifiers!$E$14="",0,IF(ISNUMBER(SEARCH(Classifiers!$E$14,E385)),1,0))+IF(Classifiers!$F$14="",0,IF(ISNUMBER(SEARCH(Classifiers!$F$14,E385)),1,0))+IF(Classifiers!$G$14="",0,IF(ISNUMBER(SEARCH(Classifiers!$G$14,E385)),1,0)))&gt;0,1,0))</f>
        <v/>
      </c>
      <c r="T385" s="12">
        <f>IF(H385&lt;&gt;1,0,IF((IF(Classifiers!$B$15="",0,IF(ISNUMBER(SEARCH(Classifiers!$B$15,E385)),1,0))+IF(Classifiers!$C$15="",0,IF(ISNUMBER(SEARCH(Classifiers!$C$15,E385)),1,0))+IF(Classifiers!$D$15="",0,IF(ISNUMBER(SEARCH(Classifiers!$D$15,E385)),1,0))+IF(Classifiers!$E$15="",0,IF(ISNUMBER(SEARCH(Classifiers!$E$15,E385)),1,0))+IF(Classifiers!$F$15="",0,IF(ISNUMBER(SEARCH(Classifiers!$F$15,E385)),1,0))+IF(Classifiers!$G$15="",0,IF(ISNUMBER(SEARCH(Classifiers!$G$15,E385)),1,0)))&gt;0,1,0))</f>
        <v/>
      </c>
      <c r="U385" s="12">
        <f>IF(H385&lt;&gt;1,0,IF((IF(Classifiers!$B$16="",0,IF(ISNUMBER(SEARCH(Classifiers!$B$16,E385)),1,0))+IF(Classifiers!$C$16="",0,IF(ISNUMBER(SEARCH(Classifiers!$C$16,E385)),1,0))+IF(Classifiers!$D$16="",0,IF(ISNUMBER(SEARCH(Classifiers!$D$16,E385)),1,0))+IF(Classifiers!$E$16="",0,IF(ISNUMBER(SEARCH(Classifiers!$E$16,E385)),1,0))+IF(Classifiers!$F$16="",0,IF(ISNUMBER(SEARCH(Classifiers!$F$16,E385)),1,0))+IF(Classifiers!$G$16="",0,IF(ISNUMBER(SEARCH(Classifiers!$G$16,E385)),1,0)))&gt;0,1,0))</f>
        <v/>
      </c>
      <c r="V385" s="12">
        <f>IF(H385&lt;&gt;1,0,IF((IF(Classifiers!$B$17="",0,IF(ISNUMBER(SEARCH(Classifiers!$B$17,E385)),1,0))+IF(Classifiers!$C$17="",0,IF(ISNUMBER(SEARCH(Classifiers!$C$17,E385)),1,0))+IF(Classifiers!$D$17="",0,IF(ISNUMBER(SEARCH(Classifiers!$D$17,E385)),1,0))+IF(Classifiers!$E$17="",0,IF(ISNUMBER(SEARCH(Classifiers!$E$17,E385)),1,0))+IF(Classifiers!$F$17="",0,IF(ISNUMBER(SEARCH(Classifiers!$F$17,E385)),1,0))+IF(Classifiers!$G$17="",0,IF(ISNUMBER(SEARCH(Classifiers!$G$17,E385)),1,0)))&gt;0,1,0))</f>
        <v/>
      </c>
      <c r="W385" s="12">
        <f>IF(H385&lt;&gt;1,0,IF((IF(Classifiers!$B$18="",0,IF(ISNUMBER(SEARCH(Classifiers!$B$18,E385)),1,0))+IF(Classifiers!$C$18="",0,IF(ISNUMBER(SEARCH(Classifiers!$C$18,E385)),1,0))+IF(Classifiers!$D$18="",0,IF(ISNUMBER(SEARCH(Classifiers!$D$18,E385)),1,0))+IF(Classifiers!$E$18="",0,IF(ISNUMBER(SEARCH(Classifiers!$E$18,E385)),1,0))+IF(Classifiers!$F$18="",0,IF(ISNUMBER(SEARCH(Classifiers!$F$18,E385)),1,0))+IF(Classifiers!$G$18="",0,IF(ISNUMBER(SEARCH(Classifiers!$G$18,E385)),1,0)))&gt;0,1,0))</f>
        <v/>
      </c>
    </row>
    <row r="386">
      <c r="A386" s="8" t="n"/>
      <c r="B386" s="11" t="n"/>
      <c r="C386" s="6">
        <f>IF(A386="","",TRIM(RIGHT(SUBSTITUTE(A386,"/",REPT(" ",250)),250)))</f>
        <v/>
      </c>
      <c r="D386" s="6">
        <f>IF(C386="","",IF(ISNUMBER(SEARCH(".",C386)),LOWER("."&amp;TRIM(RIGHT(SUBSTITUTE(C386,".",REPT(" ",250)),250))),""))</f>
        <v/>
      </c>
      <c r="E386" s="6">
        <f>IF(C386="","",TRIM(SUBSTITUTE(SUBSTITUTE(SUBSTITUTE(SUBSTITUTE(SUBSTITUTE(SUBSTITUTE(SUBSTITUTE(SUBSTITUTE(SUBSTITUTE(SUBSTITUTE(SUBSTITUTE(SUBSTITUTE(SUBSTITUTE(SUBSTITUTE(SUBSTITUTE(SUBSTITUTE(SUBSTITUTE(SUBSTITUTE(SUBSTITUTE(SUBSTITUTE(LOWER(LEFT(C386,LEN(C386)-LEN(D386))),"_"," "),"-"," "),"."," "),","," "),"("," "),")"," "),"["," "),"]"," "),"&amp;"," "),"+"," "),"@"," "),"#"," "),"!"," "),"'"," "),"/"," "),":"," "),";"," "),"="," "),"~"," "),"%"," ")))</f>
        <v/>
      </c>
      <c r="F386" s="6">
        <f>IF(C386="","",IF(COUNTIF(Classifiers!$A$23:$A$40,D386)&gt;0,1,0))</f>
        <v/>
      </c>
      <c r="G386" s="6">
        <f>IF(C386="","",IF(COUNTIF(Classifiers!$C$23:$C$30,D386)&gt;0,IF((IF(ISNUMBER(SEARCH(Classifiers!$E$23,E386)),1,0)+IF(ISNUMBER(SEARCH(Classifiers!$E$24,E386)),1,0)+IF(ISNUMBER(SEARCH(Classifiers!$E$25,E386)),1,0)+IF(ISNUMBER(SEARCH(Classifiers!$E$26,E386)),1,0)+IF(ISNUMBER(SEARCH(Classifiers!$E$27,E386)),1,0)+IF(ISNUMBER(SEARCH(Classifiers!$E$28,E386)),1,0)+IF(ISNUMBER(SEARCH(Classifiers!$E$29,E386)),1,0)+IF(ISNUMBER(SEARCH(Classifiers!$E$30,E386)),1,0))&gt;0,1,0),0))</f>
        <v/>
      </c>
      <c r="H386" s="6">
        <f>IF(C386="","",IF(OR(LEFT(C386,1)=".",AND(F386=0,G386=0)),0,1))</f>
        <v/>
      </c>
      <c r="I386" s="6">
        <f>IF(H386&lt;&gt;1,"",IF(SUM(J386:W386)=0,"unclassified",INDEX(Classifiers!$A$5:$A$18,MATCH(1,J386:W386,0),1)))</f>
        <v/>
      </c>
      <c r="J386" s="12">
        <f>IF(H386&lt;&gt;1,0,IF((IF(Classifiers!$B$5="",0,IF(ISNUMBER(SEARCH(Classifiers!$B$5,E386)),1,0))+IF(Classifiers!$C$5="",0,IF(ISNUMBER(SEARCH(Classifiers!$C$5,E386)),1,0))+IF(Classifiers!$D$5="",0,IF(ISNUMBER(SEARCH(Classifiers!$D$5,E386)),1,0))+IF(Classifiers!$E$5="",0,IF(ISNUMBER(SEARCH(Classifiers!$E$5,E386)),1,0))+IF(Classifiers!$F$5="",0,IF(ISNUMBER(SEARCH(Classifiers!$F$5,E386)),1,0))+IF(Classifiers!$G$5="",0,IF(ISNUMBER(SEARCH(Classifiers!$G$5,E386)),1,0)))&gt;0,1,0))</f>
        <v/>
      </c>
      <c r="K386" s="12">
        <f>IF(H386&lt;&gt;1,0,IF((IF(Classifiers!$B$6="",0,IF(ISNUMBER(SEARCH(Classifiers!$B$6,E386)),1,0))+IF(Classifiers!$C$6="",0,IF(ISNUMBER(SEARCH(Classifiers!$C$6,E386)),1,0))+IF(Classifiers!$D$6="",0,IF(ISNUMBER(SEARCH(Classifiers!$D$6,E386)),1,0))+IF(Classifiers!$E$6="",0,IF(ISNUMBER(SEARCH(Classifiers!$E$6,E386)),1,0))+IF(Classifiers!$F$6="",0,IF(ISNUMBER(SEARCH(Classifiers!$F$6,E386)),1,0))+IF(Classifiers!$G$6="",0,IF(ISNUMBER(SEARCH(Classifiers!$G$6,E386)),1,0)))&gt;0,1,0))</f>
        <v/>
      </c>
      <c r="L386" s="12">
        <f>IF(H386&lt;&gt;1,0,IF((IF(Classifiers!$B$7="",0,IF(ISNUMBER(SEARCH(Classifiers!$B$7,E386)),1,0))+IF(Classifiers!$C$7="",0,IF(ISNUMBER(SEARCH(Classifiers!$C$7,E386)),1,0))+IF(Classifiers!$D$7="",0,IF(ISNUMBER(SEARCH(Classifiers!$D$7,E386)),1,0))+IF(Classifiers!$E$7="",0,IF(ISNUMBER(SEARCH(Classifiers!$E$7,E386)),1,0))+IF(Classifiers!$F$7="",0,IF(ISNUMBER(SEARCH(Classifiers!$F$7,E386)),1,0))+IF(Classifiers!$G$7="",0,IF(ISNUMBER(SEARCH(Classifiers!$G$7,E386)),1,0)))&gt;0,1,0))</f>
        <v/>
      </c>
      <c r="M386" s="12">
        <f>IF(H386&lt;&gt;1,0,IF((IF(Classifiers!$B$8="",0,IF(ISNUMBER(SEARCH(Classifiers!$B$8,E386)),1,0))+IF(Classifiers!$C$8="",0,IF(ISNUMBER(SEARCH(Classifiers!$C$8,E386)),1,0))+IF(Classifiers!$D$8="",0,IF(ISNUMBER(SEARCH(Classifiers!$D$8,E386)),1,0))+IF(Classifiers!$E$8="",0,IF(ISNUMBER(SEARCH(Classifiers!$E$8,E386)),1,0))+IF(Classifiers!$F$8="",0,IF(ISNUMBER(SEARCH(Classifiers!$F$8,E386)),1,0))+IF(Classifiers!$G$8="",0,IF(ISNUMBER(SEARCH(Classifiers!$G$8,E386)),1,0)))&gt;0,1,0))</f>
        <v/>
      </c>
      <c r="N386" s="12">
        <f>IF(H386&lt;&gt;1,0,IF((IF(Classifiers!$B$9="",0,IF(ISNUMBER(SEARCH(Classifiers!$B$9,E386)),1,0))+IF(Classifiers!$C$9="",0,IF(ISNUMBER(SEARCH(Classifiers!$C$9,E386)),1,0))+IF(Classifiers!$D$9="",0,IF(ISNUMBER(SEARCH(Classifiers!$D$9,E386)),1,0))+IF(Classifiers!$E$9="",0,IF(ISNUMBER(SEARCH(Classifiers!$E$9,E386)),1,0))+IF(Classifiers!$F$9="",0,IF(ISNUMBER(SEARCH(Classifiers!$F$9,E386)),1,0))+IF(Classifiers!$G$9="",0,IF(ISNUMBER(SEARCH(Classifiers!$G$9,E386)),1,0)))&gt;0,1,0))</f>
        <v/>
      </c>
      <c r="O386" s="12">
        <f>IF(H386&lt;&gt;1,0,IF((IF(Classifiers!$B$10="",0,IF(ISNUMBER(SEARCH(Classifiers!$B$10,E386)),1,0))+IF(Classifiers!$C$10="",0,IF(ISNUMBER(SEARCH(Classifiers!$C$10,E386)),1,0))+IF(Classifiers!$D$10="",0,IF(ISNUMBER(SEARCH(Classifiers!$D$10,E386)),1,0))+IF(Classifiers!$E$10="",0,IF(ISNUMBER(SEARCH(Classifiers!$E$10,E386)),1,0))+IF(Classifiers!$F$10="",0,IF(ISNUMBER(SEARCH(Classifiers!$F$10,E386)),1,0))+IF(Classifiers!$G$10="",0,IF(ISNUMBER(SEARCH(Classifiers!$G$10,E386)),1,0)))&gt;0,1,0))</f>
        <v/>
      </c>
      <c r="P386" s="12">
        <f>IF(H386&lt;&gt;1,0,IF((IF(Classifiers!$B$11="",0,IF(ISNUMBER(SEARCH(Classifiers!$B$11,E386)),1,0))+IF(Classifiers!$C$11="",0,IF(ISNUMBER(SEARCH(Classifiers!$C$11,E386)),1,0))+IF(Classifiers!$D$11="",0,IF(ISNUMBER(SEARCH(Classifiers!$D$11,E386)),1,0))+IF(Classifiers!$E$11="",0,IF(ISNUMBER(SEARCH(Classifiers!$E$11,E386)),1,0))+IF(Classifiers!$F$11="",0,IF(ISNUMBER(SEARCH(Classifiers!$F$11,E386)),1,0))+IF(Classifiers!$G$11="",0,IF(ISNUMBER(SEARCH(Classifiers!$G$11,E386)),1,0)))&gt;0,1,0))</f>
        <v/>
      </c>
      <c r="Q386" s="12">
        <f>IF(H386&lt;&gt;1,0,IF((IF(Classifiers!$B$12="",0,IF(ISNUMBER(SEARCH(Classifiers!$B$12,E386)),1,0))+IF(Classifiers!$C$12="",0,IF(ISNUMBER(SEARCH(Classifiers!$C$12,E386)),1,0))+IF(Classifiers!$D$12="",0,IF(ISNUMBER(SEARCH(Classifiers!$D$12,E386)),1,0))+IF(Classifiers!$E$12="",0,IF(ISNUMBER(SEARCH(Classifiers!$E$12,E386)),1,0))+IF(Classifiers!$F$12="",0,IF(ISNUMBER(SEARCH(Classifiers!$F$12,E386)),1,0))+IF(Classifiers!$G$12="",0,IF(ISNUMBER(SEARCH(Classifiers!$G$12,E386)),1,0)))&gt;0,1,0))</f>
        <v/>
      </c>
      <c r="R386" s="12">
        <f>IF(H386&lt;&gt;1,0,IF((IF(Classifiers!$B$13="",0,IF(ISNUMBER(SEARCH(Classifiers!$B$13,E386)),1,0))+IF(Classifiers!$C$13="",0,IF(ISNUMBER(SEARCH(Classifiers!$C$13,E386)),1,0))+IF(Classifiers!$D$13="",0,IF(ISNUMBER(SEARCH(Classifiers!$D$13,E386)),1,0))+IF(Classifiers!$E$13="",0,IF(ISNUMBER(SEARCH(Classifiers!$E$13,E386)),1,0))+IF(Classifiers!$F$13="",0,IF(ISNUMBER(SEARCH(Classifiers!$F$13,E386)),1,0))+IF(Classifiers!$G$13="",0,IF(ISNUMBER(SEARCH(Classifiers!$G$13,E386)),1,0)))&gt;0,1,0))</f>
        <v/>
      </c>
      <c r="S386" s="12">
        <f>IF(H386&lt;&gt;1,0,IF((IF(Classifiers!$B$14="",0,IF(ISNUMBER(SEARCH(Classifiers!$B$14,E386)),1,0))+IF(Classifiers!$C$14="",0,IF(ISNUMBER(SEARCH(Classifiers!$C$14,E386)),1,0))+IF(Classifiers!$D$14="",0,IF(ISNUMBER(SEARCH(Classifiers!$D$14,E386)),1,0))+IF(Classifiers!$E$14="",0,IF(ISNUMBER(SEARCH(Classifiers!$E$14,E386)),1,0))+IF(Classifiers!$F$14="",0,IF(ISNUMBER(SEARCH(Classifiers!$F$14,E386)),1,0))+IF(Classifiers!$G$14="",0,IF(ISNUMBER(SEARCH(Classifiers!$G$14,E386)),1,0)))&gt;0,1,0))</f>
        <v/>
      </c>
      <c r="T386" s="12">
        <f>IF(H386&lt;&gt;1,0,IF((IF(Classifiers!$B$15="",0,IF(ISNUMBER(SEARCH(Classifiers!$B$15,E386)),1,0))+IF(Classifiers!$C$15="",0,IF(ISNUMBER(SEARCH(Classifiers!$C$15,E386)),1,0))+IF(Classifiers!$D$15="",0,IF(ISNUMBER(SEARCH(Classifiers!$D$15,E386)),1,0))+IF(Classifiers!$E$15="",0,IF(ISNUMBER(SEARCH(Classifiers!$E$15,E386)),1,0))+IF(Classifiers!$F$15="",0,IF(ISNUMBER(SEARCH(Classifiers!$F$15,E386)),1,0))+IF(Classifiers!$G$15="",0,IF(ISNUMBER(SEARCH(Classifiers!$G$15,E386)),1,0)))&gt;0,1,0))</f>
        <v/>
      </c>
      <c r="U386" s="12">
        <f>IF(H386&lt;&gt;1,0,IF((IF(Classifiers!$B$16="",0,IF(ISNUMBER(SEARCH(Classifiers!$B$16,E386)),1,0))+IF(Classifiers!$C$16="",0,IF(ISNUMBER(SEARCH(Classifiers!$C$16,E386)),1,0))+IF(Classifiers!$D$16="",0,IF(ISNUMBER(SEARCH(Classifiers!$D$16,E386)),1,0))+IF(Classifiers!$E$16="",0,IF(ISNUMBER(SEARCH(Classifiers!$E$16,E386)),1,0))+IF(Classifiers!$F$16="",0,IF(ISNUMBER(SEARCH(Classifiers!$F$16,E386)),1,0))+IF(Classifiers!$G$16="",0,IF(ISNUMBER(SEARCH(Classifiers!$G$16,E386)),1,0)))&gt;0,1,0))</f>
        <v/>
      </c>
      <c r="V386" s="12">
        <f>IF(H386&lt;&gt;1,0,IF((IF(Classifiers!$B$17="",0,IF(ISNUMBER(SEARCH(Classifiers!$B$17,E386)),1,0))+IF(Classifiers!$C$17="",0,IF(ISNUMBER(SEARCH(Classifiers!$C$17,E386)),1,0))+IF(Classifiers!$D$17="",0,IF(ISNUMBER(SEARCH(Classifiers!$D$17,E386)),1,0))+IF(Classifiers!$E$17="",0,IF(ISNUMBER(SEARCH(Classifiers!$E$17,E386)),1,0))+IF(Classifiers!$F$17="",0,IF(ISNUMBER(SEARCH(Classifiers!$F$17,E386)),1,0))+IF(Classifiers!$G$17="",0,IF(ISNUMBER(SEARCH(Classifiers!$G$17,E386)),1,0)))&gt;0,1,0))</f>
        <v/>
      </c>
      <c r="W386" s="12">
        <f>IF(H386&lt;&gt;1,0,IF((IF(Classifiers!$B$18="",0,IF(ISNUMBER(SEARCH(Classifiers!$B$18,E386)),1,0))+IF(Classifiers!$C$18="",0,IF(ISNUMBER(SEARCH(Classifiers!$C$18,E386)),1,0))+IF(Classifiers!$D$18="",0,IF(ISNUMBER(SEARCH(Classifiers!$D$18,E386)),1,0))+IF(Classifiers!$E$18="",0,IF(ISNUMBER(SEARCH(Classifiers!$E$18,E386)),1,0))+IF(Classifiers!$F$18="",0,IF(ISNUMBER(SEARCH(Classifiers!$F$18,E386)),1,0))+IF(Classifiers!$G$18="",0,IF(ISNUMBER(SEARCH(Classifiers!$G$18,E386)),1,0)))&gt;0,1,0))</f>
        <v/>
      </c>
    </row>
    <row r="387">
      <c r="A387" s="8" t="n"/>
      <c r="B387" s="11" t="n"/>
      <c r="C387" s="6">
        <f>IF(A387="","",TRIM(RIGHT(SUBSTITUTE(A387,"/",REPT(" ",250)),250)))</f>
        <v/>
      </c>
      <c r="D387" s="6">
        <f>IF(C387="","",IF(ISNUMBER(SEARCH(".",C387)),LOWER("."&amp;TRIM(RIGHT(SUBSTITUTE(C387,".",REPT(" ",250)),250))),""))</f>
        <v/>
      </c>
      <c r="E387" s="6">
        <f>IF(C387="","",TRIM(SUBSTITUTE(SUBSTITUTE(SUBSTITUTE(SUBSTITUTE(SUBSTITUTE(SUBSTITUTE(SUBSTITUTE(SUBSTITUTE(SUBSTITUTE(SUBSTITUTE(SUBSTITUTE(SUBSTITUTE(SUBSTITUTE(SUBSTITUTE(SUBSTITUTE(SUBSTITUTE(SUBSTITUTE(SUBSTITUTE(SUBSTITUTE(SUBSTITUTE(LOWER(LEFT(C387,LEN(C387)-LEN(D387))),"_"," "),"-"," "),"."," "),","," "),"("," "),")"," "),"["," "),"]"," "),"&amp;"," "),"+"," "),"@"," "),"#"," "),"!"," "),"'"," "),"/"," "),":"," "),";"," "),"="," "),"~"," "),"%"," ")))</f>
        <v/>
      </c>
      <c r="F387" s="6">
        <f>IF(C387="","",IF(COUNTIF(Classifiers!$A$23:$A$40,D387)&gt;0,1,0))</f>
        <v/>
      </c>
      <c r="G387" s="6">
        <f>IF(C387="","",IF(COUNTIF(Classifiers!$C$23:$C$30,D387)&gt;0,IF((IF(ISNUMBER(SEARCH(Classifiers!$E$23,E387)),1,0)+IF(ISNUMBER(SEARCH(Classifiers!$E$24,E387)),1,0)+IF(ISNUMBER(SEARCH(Classifiers!$E$25,E387)),1,0)+IF(ISNUMBER(SEARCH(Classifiers!$E$26,E387)),1,0)+IF(ISNUMBER(SEARCH(Classifiers!$E$27,E387)),1,0)+IF(ISNUMBER(SEARCH(Classifiers!$E$28,E387)),1,0)+IF(ISNUMBER(SEARCH(Classifiers!$E$29,E387)),1,0)+IF(ISNUMBER(SEARCH(Classifiers!$E$30,E387)),1,0))&gt;0,1,0),0))</f>
        <v/>
      </c>
      <c r="H387" s="6">
        <f>IF(C387="","",IF(OR(LEFT(C387,1)=".",AND(F387=0,G387=0)),0,1))</f>
        <v/>
      </c>
      <c r="I387" s="6">
        <f>IF(H387&lt;&gt;1,"",IF(SUM(J387:W387)=0,"unclassified",INDEX(Classifiers!$A$5:$A$18,MATCH(1,J387:W387,0),1)))</f>
        <v/>
      </c>
      <c r="J387" s="12">
        <f>IF(H387&lt;&gt;1,0,IF((IF(Classifiers!$B$5="",0,IF(ISNUMBER(SEARCH(Classifiers!$B$5,E387)),1,0))+IF(Classifiers!$C$5="",0,IF(ISNUMBER(SEARCH(Classifiers!$C$5,E387)),1,0))+IF(Classifiers!$D$5="",0,IF(ISNUMBER(SEARCH(Classifiers!$D$5,E387)),1,0))+IF(Classifiers!$E$5="",0,IF(ISNUMBER(SEARCH(Classifiers!$E$5,E387)),1,0))+IF(Classifiers!$F$5="",0,IF(ISNUMBER(SEARCH(Classifiers!$F$5,E387)),1,0))+IF(Classifiers!$G$5="",0,IF(ISNUMBER(SEARCH(Classifiers!$G$5,E387)),1,0)))&gt;0,1,0))</f>
        <v/>
      </c>
      <c r="K387" s="12">
        <f>IF(H387&lt;&gt;1,0,IF((IF(Classifiers!$B$6="",0,IF(ISNUMBER(SEARCH(Classifiers!$B$6,E387)),1,0))+IF(Classifiers!$C$6="",0,IF(ISNUMBER(SEARCH(Classifiers!$C$6,E387)),1,0))+IF(Classifiers!$D$6="",0,IF(ISNUMBER(SEARCH(Classifiers!$D$6,E387)),1,0))+IF(Classifiers!$E$6="",0,IF(ISNUMBER(SEARCH(Classifiers!$E$6,E387)),1,0))+IF(Classifiers!$F$6="",0,IF(ISNUMBER(SEARCH(Classifiers!$F$6,E387)),1,0))+IF(Classifiers!$G$6="",0,IF(ISNUMBER(SEARCH(Classifiers!$G$6,E387)),1,0)))&gt;0,1,0))</f>
        <v/>
      </c>
      <c r="L387" s="12">
        <f>IF(H387&lt;&gt;1,0,IF((IF(Classifiers!$B$7="",0,IF(ISNUMBER(SEARCH(Classifiers!$B$7,E387)),1,0))+IF(Classifiers!$C$7="",0,IF(ISNUMBER(SEARCH(Classifiers!$C$7,E387)),1,0))+IF(Classifiers!$D$7="",0,IF(ISNUMBER(SEARCH(Classifiers!$D$7,E387)),1,0))+IF(Classifiers!$E$7="",0,IF(ISNUMBER(SEARCH(Classifiers!$E$7,E387)),1,0))+IF(Classifiers!$F$7="",0,IF(ISNUMBER(SEARCH(Classifiers!$F$7,E387)),1,0))+IF(Classifiers!$G$7="",0,IF(ISNUMBER(SEARCH(Classifiers!$G$7,E387)),1,0)))&gt;0,1,0))</f>
        <v/>
      </c>
      <c r="M387" s="12">
        <f>IF(H387&lt;&gt;1,0,IF((IF(Classifiers!$B$8="",0,IF(ISNUMBER(SEARCH(Classifiers!$B$8,E387)),1,0))+IF(Classifiers!$C$8="",0,IF(ISNUMBER(SEARCH(Classifiers!$C$8,E387)),1,0))+IF(Classifiers!$D$8="",0,IF(ISNUMBER(SEARCH(Classifiers!$D$8,E387)),1,0))+IF(Classifiers!$E$8="",0,IF(ISNUMBER(SEARCH(Classifiers!$E$8,E387)),1,0))+IF(Classifiers!$F$8="",0,IF(ISNUMBER(SEARCH(Classifiers!$F$8,E387)),1,0))+IF(Classifiers!$G$8="",0,IF(ISNUMBER(SEARCH(Classifiers!$G$8,E387)),1,0)))&gt;0,1,0))</f>
        <v/>
      </c>
      <c r="N387" s="12">
        <f>IF(H387&lt;&gt;1,0,IF((IF(Classifiers!$B$9="",0,IF(ISNUMBER(SEARCH(Classifiers!$B$9,E387)),1,0))+IF(Classifiers!$C$9="",0,IF(ISNUMBER(SEARCH(Classifiers!$C$9,E387)),1,0))+IF(Classifiers!$D$9="",0,IF(ISNUMBER(SEARCH(Classifiers!$D$9,E387)),1,0))+IF(Classifiers!$E$9="",0,IF(ISNUMBER(SEARCH(Classifiers!$E$9,E387)),1,0))+IF(Classifiers!$F$9="",0,IF(ISNUMBER(SEARCH(Classifiers!$F$9,E387)),1,0))+IF(Classifiers!$G$9="",0,IF(ISNUMBER(SEARCH(Classifiers!$G$9,E387)),1,0)))&gt;0,1,0))</f>
        <v/>
      </c>
      <c r="O387" s="12">
        <f>IF(H387&lt;&gt;1,0,IF((IF(Classifiers!$B$10="",0,IF(ISNUMBER(SEARCH(Classifiers!$B$10,E387)),1,0))+IF(Classifiers!$C$10="",0,IF(ISNUMBER(SEARCH(Classifiers!$C$10,E387)),1,0))+IF(Classifiers!$D$10="",0,IF(ISNUMBER(SEARCH(Classifiers!$D$10,E387)),1,0))+IF(Classifiers!$E$10="",0,IF(ISNUMBER(SEARCH(Classifiers!$E$10,E387)),1,0))+IF(Classifiers!$F$10="",0,IF(ISNUMBER(SEARCH(Classifiers!$F$10,E387)),1,0))+IF(Classifiers!$G$10="",0,IF(ISNUMBER(SEARCH(Classifiers!$G$10,E387)),1,0)))&gt;0,1,0))</f>
        <v/>
      </c>
      <c r="P387" s="12">
        <f>IF(H387&lt;&gt;1,0,IF((IF(Classifiers!$B$11="",0,IF(ISNUMBER(SEARCH(Classifiers!$B$11,E387)),1,0))+IF(Classifiers!$C$11="",0,IF(ISNUMBER(SEARCH(Classifiers!$C$11,E387)),1,0))+IF(Classifiers!$D$11="",0,IF(ISNUMBER(SEARCH(Classifiers!$D$11,E387)),1,0))+IF(Classifiers!$E$11="",0,IF(ISNUMBER(SEARCH(Classifiers!$E$11,E387)),1,0))+IF(Classifiers!$F$11="",0,IF(ISNUMBER(SEARCH(Classifiers!$F$11,E387)),1,0))+IF(Classifiers!$G$11="",0,IF(ISNUMBER(SEARCH(Classifiers!$G$11,E387)),1,0)))&gt;0,1,0))</f>
        <v/>
      </c>
      <c r="Q387" s="12">
        <f>IF(H387&lt;&gt;1,0,IF((IF(Classifiers!$B$12="",0,IF(ISNUMBER(SEARCH(Classifiers!$B$12,E387)),1,0))+IF(Classifiers!$C$12="",0,IF(ISNUMBER(SEARCH(Classifiers!$C$12,E387)),1,0))+IF(Classifiers!$D$12="",0,IF(ISNUMBER(SEARCH(Classifiers!$D$12,E387)),1,0))+IF(Classifiers!$E$12="",0,IF(ISNUMBER(SEARCH(Classifiers!$E$12,E387)),1,0))+IF(Classifiers!$F$12="",0,IF(ISNUMBER(SEARCH(Classifiers!$F$12,E387)),1,0))+IF(Classifiers!$G$12="",0,IF(ISNUMBER(SEARCH(Classifiers!$G$12,E387)),1,0)))&gt;0,1,0))</f>
        <v/>
      </c>
      <c r="R387" s="12">
        <f>IF(H387&lt;&gt;1,0,IF((IF(Classifiers!$B$13="",0,IF(ISNUMBER(SEARCH(Classifiers!$B$13,E387)),1,0))+IF(Classifiers!$C$13="",0,IF(ISNUMBER(SEARCH(Classifiers!$C$13,E387)),1,0))+IF(Classifiers!$D$13="",0,IF(ISNUMBER(SEARCH(Classifiers!$D$13,E387)),1,0))+IF(Classifiers!$E$13="",0,IF(ISNUMBER(SEARCH(Classifiers!$E$13,E387)),1,0))+IF(Classifiers!$F$13="",0,IF(ISNUMBER(SEARCH(Classifiers!$F$13,E387)),1,0))+IF(Classifiers!$G$13="",0,IF(ISNUMBER(SEARCH(Classifiers!$G$13,E387)),1,0)))&gt;0,1,0))</f>
        <v/>
      </c>
      <c r="S387" s="12">
        <f>IF(H387&lt;&gt;1,0,IF((IF(Classifiers!$B$14="",0,IF(ISNUMBER(SEARCH(Classifiers!$B$14,E387)),1,0))+IF(Classifiers!$C$14="",0,IF(ISNUMBER(SEARCH(Classifiers!$C$14,E387)),1,0))+IF(Classifiers!$D$14="",0,IF(ISNUMBER(SEARCH(Classifiers!$D$14,E387)),1,0))+IF(Classifiers!$E$14="",0,IF(ISNUMBER(SEARCH(Classifiers!$E$14,E387)),1,0))+IF(Classifiers!$F$14="",0,IF(ISNUMBER(SEARCH(Classifiers!$F$14,E387)),1,0))+IF(Classifiers!$G$14="",0,IF(ISNUMBER(SEARCH(Classifiers!$G$14,E387)),1,0)))&gt;0,1,0))</f>
        <v/>
      </c>
      <c r="T387" s="12">
        <f>IF(H387&lt;&gt;1,0,IF((IF(Classifiers!$B$15="",0,IF(ISNUMBER(SEARCH(Classifiers!$B$15,E387)),1,0))+IF(Classifiers!$C$15="",0,IF(ISNUMBER(SEARCH(Classifiers!$C$15,E387)),1,0))+IF(Classifiers!$D$15="",0,IF(ISNUMBER(SEARCH(Classifiers!$D$15,E387)),1,0))+IF(Classifiers!$E$15="",0,IF(ISNUMBER(SEARCH(Classifiers!$E$15,E387)),1,0))+IF(Classifiers!$F$15="",0,IF(ISNUMBER(SEARCH(Classifiers!$F$15,E387)),1,0))+IF(Classifiers!$G$15="",0,IF(ISNUMBER(SEARCH(Classifiers!$G$15,E387)),1,0)))&gt;0,1,0))</f>
        <v/>
      </c>
      <c r="U387" s="12">
        <f>IF(H387&lt;&gt;1,0,IF((IF(Classifiers!$B$16="",0,IF(ISNUMBER(SEARCH(Classifiers!$B$16,E387)),1,0))+IF(Classifiers!$C$16="",0,IF(ISNUMBER(SEARCH(Classifiers!$C$16,E387)),1,0))+IF(Classifiers!$D$16="",0,IF(ISNUMBER(SEARCH(Classifiers!$D$16,E387)),1,0))+IF(Classifiers!$E$16="",0,IF(ISNUMBER(SEARCH(Classifiers!$E$16,E387)),1,0))+IF(Classifiers!$F$16="",0,IF(ISNUMBER(SEARCH(Classifiers!$F$16,E387)),1,0))+IF(Classifiers!$G$16="",0,IF(ISNUMBER(SEARCH(Classifiers!$G$16,E387)),1,0)))&gt;0,1,0))</f>
        <v/>
      </c>
      <c r="V387" s="12">
        <f>IF(H387&lt;&gt;1,0,IF((IF(Classifiers!$B$17="",0,IF(ISNUMBER(SEARCH(Classifiers!$B$17,E387)),1,0))+IF(Classifiers!$C$17="",0,IF(ISNUMBER(SEARCH(Classifiers!$C$17,E387)),1,0))+IF(Classifiers!$D$17="",0,IF(ISNUMBER(SEARCH(Classifiers!$D$17,E387)),1,0))+IF(Classifiers!$E$17="",0,IF(ISNUMBER(SEARCH(Classifiers!$E$17,E387)),1,0))+IF(Classifiers!$F$17="",0,IF(ISNUMBER(SEARCH(Classifiers!$F$17,E387)),1,0))+IF(Classifiers!$G$17="",0,IF(ISNUMBER(SEARCH(Classifiers!$G$17,E387)),1,0)))&gt;0,1,0))</f>
        <v/>
      </c>
      <c r="W387" s="12">
        <f>IF(H387&lt;&gt;1,0,IF((IF(Classifiers!$B$18="",0,IF(ISNUMBER(SEARCH(Classifiers!$B$18,E387)),1,0))+IF(Classifiers!$C$18="",0,IF(ISNUMBER(SEARCH(Classifiers!$C$18,E387)),1,0))+IF(Classifiers!$D$18="",0,IF(ISNUMBER(SEARCH(Classifiers!$D$18,E387)),1,0))+IF(Classifiers!$E$18="",0,IF(ISNUMBER(SEARCH(Classifiers!$E$18,E387)),1,0))+IF(Classifiers!$F$18="",0,IF(ISNUMBER(SEARCH(Classifiers!$F$18,E387)),1,0))+IF(Classifiers!$G$18="",0,IF(ISNUMBER(SEARCH(Classifiers!$G$18,E387)),1,0)))&gt;0,1,0))</f>
        <v/>
      </c>
    </row>
    <row r="388">
      <c r="A388" s="8" t="n"/>
      <c r="B388" s="11" t="n"/>
      <c r="C388" s="6">
        <f>IF(A388="","",TRIM(RIGHT(SUBSTITUTE(A388,"/",REPT(" ",250)),250)))</f>
        <v/>
      </c>
      <c r="D388" s="6">
        <f>IF(C388="","",IF(ISNUMBER(SEARCH(".",C388)),LOWER("."&amp;TRIM(RIGHT(SUBSTITUTE(C388,".",REPT(" ",250)),250))),""))</f>
        <v/>
      </c>
      <c r="E388" s="6">
        <f>IF(C388="","",TRIM(SUBSTITUTE(SUBSTITUTE(SUBSTITUTE(SUBSTITUTE(SUBSTITUTE(SUBSTITUTE(SUBSTITUTE(SUBSTITUTE(SUBSTITUTE(SUBSTITUTE(SUBSTITUTE(SUBSTITUTE(SUBSTITUTE(SUBSTITUTE(SUBSTITUTE(SUBSTITUTE(SUBSTITUTE(SUBSTITUTE(SUBSTITUTE(SUBSTITUTE(LOWER(LEFT(C388,LEN(C388)-LEN(D388))),"_"," "),"-"," "),"."," "),","," "),"("," "),")"," "),"["," "),"]"," "),"&amp;"," "),"+"," "),"@"," "),"#"," "),"!"," "),"'"," "),"/"," "),":"," "),";"," "),"="," "),"~"," "),"%"," ")))</f>
        <v/>
      </c>
      <c r="F388" s="6">
        <f>IF(C388="","",IF(COUNTIF(Classifiers!$A$23:$A$40,D388)&gt;0,1,0))</f>
        <v/>
      </c>
      <c r="G388" s="6">
        <f>IF(C388="","",IF(COUNTIF(Classifiers!$C$23:$C$30,D388)&gt;0,IF((IF(ISNUMBER(SEARCH(Classifiers!$E$23,E388)),1,0)+IF(ISNUMBER(SEARCH(Classifiers!$E$24,E388)),1,0)+IF(ISNUMBER(SEARCH(Classifiers!$E$25,E388)),1,0)+IF(ISNUMBER(SEARCH(Classifiers!$E$26,E388)),1,0)+IF(ISNUMBER(SEARCH(Classifiers!$E$27,E388)),1,0)+IF(ISNUMBER(SEARCH(Classifiers!$E$28,E388)),1,0)+IF(ISNUMBER(SEARCH(Classifiers!$E$29,E388)),1,0)+IF(ISNUMBER(SEARCH(Classifiers!$E$30,E388)),1,0))&gt;0,1,0),0))</f>
        <v/>
      </c>
      <c r="H388" s="6">
        <f>IF(C388="","",IF(OR(LEFT(C388,1)=".",AND(F388=0,G388=0)),0,1))</f>
        <v/>
      </c>
      <c r="I388" s="6">
        <f>IF(H388&lt;&gt;1,"",IF(SUM(J388:W388)=0,"unclassified",INDEX(Classifiers!$A$5:$A$18,MATCH(1,J388:W388,0),1)))</f>
        <v/>
      </c>
      <c r="J388" s="12">
        <f>IF(H388&lt;&gt;1,0,IF((IF(Classifiers!$B$5="",0,IF(ISNUMBER(SEARCH(Classifiers!$B$5,E388)),1,0))+IF(Classifiers!$C$5="",0,IF(ISNUMBER(SEARCH(Classifiers!$C$5,E388)),1,0))+IF(Classifiers!$D$5="",0,IF(ISNUMBER(SEARCH(Classifiers!$D$5,E388)),1,0))+IF(Classifiers!$E$5="",0,IF(ISNUMBER(SEARCH(Classifiers!$E$5,E388)),1,0))+IF(Classifiers!$F$5="",0,IF(ISNUMBER(SEARCH(Classifiers!$F$5,E388)),1,0))+IF(Classifiers!$G$5="",0,IF(ISNUMBER(SEARCH(Classifiers!$G$5,E388)),1,0)))&gt;0,1,0))</f>
        <v/>
      </c>
      <c r="K388" s="12">
        <f>IF(H388&lt;&gt;1,0,IF((IF(Classifiers!$B$6="",0,IF(ISNUMBER(SEARCH(Classifiers!$B$6,E388)),1,0))+IF(Classifiers!$C$6="",0,IF(ISNUMBER(SEARCH(Classifiers!$C$6,E388)),1,0))+IF(Classifiers!$D$6="",0,IF(ISNUMBER(SEARCH(Classifiers!$D$6,E388)),1,0))+IF(Classifiers!$E$6="",0,IF(ISNUMBER(SEARCH(Classifiers!$E$6,E388)),1,0))+IF(Classifiers!$F$6="",0,IF(ISNUMBER(SEARCH(Classifiers!$F$6,E388)),1,0))+IF(Classifiers!$G$6="",0,IF(ISNUMBER(SEARCH(Classifiers!$G$6,E388)),1,0)))&gt;0,1,0))</f>
        <v/>
      </c>
      <c r="L388" s="12">
        <f>IF(H388&lt;&gt;1,0,IF((IF(Classifiers!$B$7="",0,IF(ISNUMBER(SEARCH(Classifiers!$B$7,E388)),1,0))+IF(Classifiers!$C$7="",0,IF(ISNUMBER(SEARCH(Classifiers!$C$7,E388)),1,0))+IF(Classifiers!$D$7="",0,IF(ISNUMBER(SEARCH(Classifiers!$D$7,E388)),1,0))+IF(Classifiers!$E$7="",0,IF(ISNUMBER(SEARCH(Classifiers!$E$7,E388)),1,0))+IF(Classifiers!$F$7="",0,IF(ISNUMBER(SEARCH(Classifiers!$F$7,E388)),1,0))+IF(Classifiers!$G$7="",0,IF(ISNUMBER(SEARCH(Classifiers!$G$7,E388)),1,0)))&gt;0,1,0))</f>
        <v/>
      </c>
      <c r="M388" s="12">
        <f>IF(H388&lt;&gt;1,0,IF((IF(Classifiers!$B$8="",0,IF(ISNUMBER(SEARCH(Classifiers!$B$8,E388)),1,0))+IF(Classifiers!$C$8="",0,IF(ISNUMBER(SEARCH(Classifiers!$C$8,E388)),1,0))+IF(Classifiers!$D$8="",0,IF(ISNUMBER(SEARCH(Classifiers!$D$8,E388)),1,0))+IF(Classifiers!$E$8="",0,IF(ISNUMBER(SEARCH(Classifiers!$E$8,E388)),1,0))+IF(Classifiers!$F$8="",0,IF(ISNUMBER(SEARCH(Classifiers!$F$8,E388)),1,0))+IF(Classifiers!$G$8="",0,IF(ISNUMBER(SEARCH(Classifiers!$G$8,E388)),1,0)))&gt;0,1,0))</f>
        <v/>
      </c>
      <c r="N388" s="12">
        <f>IF(H388&lt;&gt;1,0,IF((IF(Classifiers!$B$9="",0,IF(ISNUMBER(SEARCH(Classifiers!$B$9,E388)),1,0))+IF(Classifiers!$C$9="",0,IF(ISNUMBER(SEARCH(Classifiers!$C$9,E388)),1,0))+IF(Classifiers!$D$9="",0,IF(ISNUMBER(SEARCH(Classifiers!$D$9,E388)),1,0))+IF(Classifiers!$E$9="",0,IF(ISNUMBER(SEARCH(Classifiers!$E$9,E388)),1,0))+IF(Classifiers!$F$9="",0,IF(ISNUMBER(SEARCH(Classifiers!$F$9,E388)),1,0))+IF(Classifiers!$G$9="",0,IF(ISNUMBER(SEARCH(Classifiers!$G$9,E388)),1,0)))&gt;0,1,0))</f>
        <v/>
      </c>
      <c r="O388" s="12">
        <f>IF(H388&lt;&gt;1,0,IF((IF(Classifiers!$B$10="",0,IF(ISNUMBER(SEARCH(Classifiers!$B$10,E388)),1,0))+IF(Classifiers!$C$10="",0,IF(ISNUMBER(SEARCH(Classifiers!$C$10,E388)),1,0))+IF(Classifiers!$D$10="",0,IF(ISNUMBER(SEARCH(Classifiers!$D$10,E388)),1,0))+IF(Classifiers!$E$10="",0,IF(ISNUMBER(SEARCH(Classifiers!$E$10,E388)),1,0))+IF(Classifiers!$F$10="",0,IF(ISNUMBER(SEARCH(Classifiers!$F$10,E388)),1,0))+IF(Classifiers!$G$10="",0,IF(ISNUMBER(SEARCH(Classifiers!$G$10,E388)),1,0)))&gt;0,1,0))</f>
        <v/>
      </c>
      <c r="P388" s="12">
        <f>IF(H388&lt;&gt;1,0,IF((IF(Classifiers!$B$11="",0,IF(ISNUMBER(SEARCH(Classifiers!$B$11,E388)),1,0))+IF(Classifiers!$C$11="",0,IF(ISNUMBER(SEARCH(Classifiers!$C$11,E388)),1,0))+IF(Classifiers!$D$11="",0,IF(ISNUMBER(SEARCH(Classifiers!$D$11,E388)),1,0))+IF(Classifiers!$E$11="",0,IF(ISNUMBER(SEARCH(Classifiers!$E$11,E388)),1,0))+IF(Classifiers!$F$11="",0,IF(ISNUMBER(SEARCH(Classifiers!$F$11,E388)),1,0))+IF(Classifiers!$G$11="",0,IF(ISNUMBER(SEARCH(Classifiers!$G$11,E388)),1,0)))&gt;0,1,0))</f>
        <v/>
      </c>
      <c r="Q388" s="12">
        <f>IF(H388&lt;&gt;1,0,IF((IF(Classifiers!$B$12="",0,IF(ISNUMBER(SEARCH(Classifiers!$B$12,E388)),1,0))+IF(Classifiers!$C$12="",0,IF(ISNUMBER(SEARCH(Classifiers!$C$12,E388)),1,0))+IF(Classifiers!$D$12="",0,IF(ISNUMBER(SEARCH(Classifiers!$D$12,E388)),1,0))+IF(Classifiers!$E$12="",0,IF(ISNUMBER(SEARCH(Classifiers!$E$12,E388)),1,0))+IF(Classifiers!$F$12="",0,IF(ISNUMBER(SEARCH(Classifiers!$F$12,E388)),1,0))+IF(Classifiers!$G$12="",0,IF(ISNUMBER(SEARCH(Classifiers!$G$12,E388)),1,0)))&gt;0,1,0))</f>
        <v/>
      </c>
      <c r="R388" s="12">
        <f>IF(H388&lt;&gt;1,0,IF((IF(Classifiers!$B$13="",0,IF(ISNUMBER(SEARCH(Classifiers!$B$13,E388)),1,0))+IF(Classifiers!$C$13="",0,IF(ISNUMBER(SEARCH(Classifiers!$C$13,E388)),1,0))+IF(Classifiers!$D$13="",0,IF(ISNUMBER(SEARCH(Classifiers!$D$13,E388)),1,0))+IF(Classifiers!$E$13="",0,IF(ISNUMBER(SEARCH(Classifiers!$E$13,E388)),1,0))+IF(Classifiers!$F$13="",0,IF(ISNUMBER(SEARCH(Classifiers!$F$13,E388)),1,0))+IF(Classifiers!$G$13="",0,IF(ISNUMBER(SEARCH(Classifiers!$G$13,E388)),1,0)))&gt;0,1,0))</f>
        <v/>
      </c>
      <c r="S388" s="12">
        <f>IF(H388&lt;&gt;1,0,IF((IF(Classifiers!$B$14="",0,IF(ISNUMBER(SEARCH(Classifiers!$B$14,E388)),1,0))+IF(Classifiers!$C$14="",0,IF(ISNUMBER(SEARCH(Classifiers!$C$14,E388)),1,0))+IF(Classifiers!$D$14="",0,IF(ISNUMBER(SEARCH(Classifiers!$D$14,E388)),1,0))+IF(Classifiers!$E$14="",0,IF(ISNUMBER(SEARCH(Classifiers!$E$14,E388)),1,0))+IF(Classifiers!$F$14="",0,IF(ISNUMBER(SEARCH(Classifiers!$F$14,E388)),1,0))+IF(Classifiers!$G$14="",0,IF(ISNUMBER(SEARCH(Classifiers!$G$14,E388)),1,0)))&gt;0,1,0))</f>
        <v/>
      </c>
      <c r="T388" s="12">
        <f>IF(H388&lt;&gt;1,0,IF((IF(Classifiers!$B$15="",0,IF(ISNUMBER(SEARCH(Classifiers!$B$15,E388)),1,0))+IF(Classifiers!$C$15="",0,IF(ISNUMBER(SEARCH(Classifiers!$C$15,E388)),1,0))+IF(Classifiers!$D$15="",0,IF(ISNUMBER(SEARCH(Classifiers!$D$15,E388)),1,0))+IF(Classifiers!$E$15="",0,IF(ISNUMBER(SEARCH(Classifiers!$E$15,E388)),1,0))+IF(Classifiers!$F$15="",0,IF(ISNUMBER(SEARCH(Classifiers!$F$15,E388)),1,0))+IF(Classifiers!$G$15="",0,IF(ISNUMBER(SEARCH(Classifiers!$G$15,E388)),1,0)))&gt;0,1,0))</f>
        <v/>
      </c>
      <c r="U388" s="12">
        <f>IF(H388&lt;&gt;1,0,IF((IF(Classifiers!$B$16="",0,IF(ISNUMBER(SEARCH(Classifiers!$B$16,E388)),1,0))+IF(Classifiers!$C$16="",0,IF(ISNUMBER(SEARCH(Classifiers!$C$16,E388)),1,0))+IF(Classifiers!$D$16="",0,IF(ISNUMBER(SEARCH(Classifiers!$D$16,E388)),1,0))+IF(Classifiers!$E$16="",0,IF(ISNUMBER(SEARCH(Classifiers!$E$16,E388)),1,0))+IF(Classifiers!$F$16="",0,IF(ISNUMBER(SEARCH(Classifiers!$F$16,E388)),1,0))+IF(Classifiers!$G$16="",0,IF(ISNUMBER(SEARCH(Classifiers!$G$16,E388)),1,0)))&gt;0,1,0))</f>
        <v/>
      </c>
      <c r="V388" s="12">
        <f>IF(H388&lt;&gt;1,0,IF((IF(Classifiers!$B$17="",0,IF(ISNUMBER(SEARCH(Classifiers!$B$17,E388)),1,0))+IF(Classifiers!$C$17="",0,IF(ISNUMBER(SEARCH(Classifiers!$C$17,E388)),1,0))+IF(Classifiers!$D$17="",0,IF(ISNUMBER(SEARCH(Classifiers!$D$17,E388)),1,0))+IF(Classifiers!$E$17="",0,IF(ISNUMBER(SEARCH(Classifiers!$E$17,E388)),1,0))+IF(Classifiers!$F$17="",0,IF(ISNUMBER(SEARCH(Classifiers!$F$17,E388)),1,0))+IF(Classifiers!$G$17="",0,IF(ISNUMBER(SEARCH(Classifiers!$G$17,E388)),1,0)))&gt;0,1,0))</f>
        <v/>
      </c>
      <c r="W388" s="12">
        <f>IF(H388&lt;&gt;1,0,IF((IF(Classifiers!$B$18="",0,IF(ISNUMBER(SEARCH(Classifiers!$B$18,E388)),1,0))+IF(Classifiers!$C$18="",0,IF(ISNUMBER(SEARCH(Classifiers!$C$18,E388)),1,0))+IF(Classifiers!$D$18="",0,IF(ISNUMBER(SEARCH(Classifiers!$D$18,E388)),1,0))+IF(Classifiers!$E$18="",0,IF(ISNUMBER(SEARCH(Classifiers!$E$18,E388)),1,0))+IF(Classifiers!$F$18="",0,IF(ISNUMBER(SEARCH(Classifiers!$F$18,E388)),1,0))+IF(Classifiers!$G$18="",0,IF(ISNUMBER(SEARCH(Classifiers!$G$18,E388)),1,0)))&gt;0,1,0))</f>
        <v/>
      </c>
    </row>
    <row r="389">
      <c r="A389" s="8" t="n"/>
      <c r="B389" s="11" t="n"/>
      <c r="C389" s="6">
        <f>IF(A389="","",TRIM(RIGHT(SUBSTITUTE(A389,"/",REPT(" ",250)),250)))</f>
        <v/>
      </c>
      <c r="D389" s="6">
        <f>IF(C389="","",IF(ISNUMBER(SEARCH(".",C389)),LOWER("."&amp;TRIM(RIGHT(SUBSTITUTE(C389,".",REPT(" ",250)),250))),""))</f>
        <v/>
      </c>
      <c r="E389" s="6">
        <f>IF(C389="","",TRIM(SUBSTITUTE(SUBSTITUTE(SUBSTITUTE(SUBSTITUTE(SUBSTITUTE(SUBSTITUTE(SUBSTITUTE(SUBSTITUTE(SUBSTITUTE(SUBSTITUTE(SUBSTITUTE(SUBSTITUTE(SUBSTITUTE(SUBSTITUTE(SUBSTITUTE(SUBSTITUTE(SUBSTITUTE(SUBSTITUTE(SUBSTITUTE(SUBSTITUTE(LOWER(LEFT(C389,LEN(C389)-LEN(D389))),"_"," "),"-"," "),"."," "),","," "),"("," "),")"," "),"["," "),"]"," "),"&amp;"," "),"+"," "),"@"," "),"#"," "),"!"," "),"'"," "),"/"," "),":"," "),";"," "),"="," "),"~"," "),"%"," ")))</f>
        <v/>
      </c>
      <c r="F389" s="6">
        <f>IF(C389="","",IF(COUNTIF(Classifiers!$A$23:$A$40,D389)&gt;0,1,0))</f>
        <v/>
      </c>
      <c r="G389" s="6">
        <f>IF(C389="","",IF(COUNTIF(Classifiers!$C$23:$C$30,D389)&gt;0,IF((IF(ISNUMBER(SEARCH(Classifiers!$E$23,E389)),1,0)+IF(ISNUMBER(SEARCH(Classifiers!$E$24,E389)),1,0)+IF(ISNUMBER(SEARCH(Classifiers!$E$25,E389)),1,0)+IF(ISNUMBER(SEARCH(Classifiers!$E$26,E389)),1,0)+IF(ISNUMBER(SEARCH(Classifiers!$E$27,E389)),1,0)+IF(ISNUMBER(SEARCH(Classifiers!$E$28,E389)),1,0)+IF(ISNUMBER(SEARCH(Classifiers!$E$29,E389)),1,0)+IF(ISNUMBER(SEARCH(Classifiers!$E$30,E389)),1,0))&gt;0,1,0),0))</f>
        <v/>
      </c>
      <c r="H389" s="6">
        <f>IF(C389="","",IF(OR(LEFT(C389,1)=".",AND(F389=0,G389=0)),0,1))</f>
        <v/>
      </c>
      <c r="I389" s="6">
        <f>IF(H389&lt;&gt;1,"",IF(SUM(J389:W389)=0,"unclassified",INDEX(Classifiers!$A$5:$A$18,MATCH(1,J389:W389,0),1)))</f>
        <v/>
      </c>
      <c r="J389" s="12">
        <f>IF(H389&lt;&gt;1,0,IF((IF(Classifiers!$B$5="",0,IF(ISNUMBER(SEARCH(Classifiers!$B$5,E389)),1,0))+IF(Classifiers!$C$5="",0,IF(ISNUMBER(SEARCH(Classifiers!$C$5,E389)),1,0))+IF(Classifiers!$D$5="",0,IF(ISNUMBER(SEARCH(Classifiers!$D$5,E389)),1,0))+IF(Classifiers!$E$5="",0,IF(ISNUMBER(SEARCH(Classifiers!$E$5,E389)),1,0))+IF(Classifiers!$F$5="",0,IF(ISNUMBER(SEARCH(Classifiers!$F$5,E389)),1,0))+IF(Classifiers!$G$5="",0,IF(ISNUMBER(SEARCH(Classifiers!$G$5,E389)),1,0)))&gt;0,1,0))</f>
        <v/>
      </c>
      <c r="K389" s="12">
        <f>IF(H389&lt;&gt;1,0,IF((IF(Classifiers!$B$6="",0,IF(ISNUMBER(SEARCH(Classifiers!$B$6,E389)),1,0))+IF(Classifiers!$C$6="",0,IF(ISNUMBER(SEARCH(Classifiers!$C$6,E389)),1,0))+IF(Classifiers!$D$6="",0,IF(ISNUMBER(SEARCH(Classifiers!$D$6,E389)),1,0))+IF(Classifiers!$E$6="",0,IF(ISNUMBER(SEARCH(Classifiers!$E$6,E389)),1,0))+IF(Classifiers!$F$6="",0,IF(ISNUMBER(SEARCH(Classifiers!$F$6,E389)),1,0))+IF(Classifiers!$G$6="",0,IF(ISNUMBER(SEARCH(Classifiers!$G$6,E389)),1,0)))&gt;0,1,0))</f>
        <v/>
      </c>
      <c r="L389" s="12">
        <f>IF(H389&lt;&gt;1,0,IF((IF(Classifiers!$B$7="",0,IF(ISNUMBER(SEARCH(Classifiers!$B$7,E389)),1,0))+IF(Classifiers!$C$7="",0,IF(ISNUMBER(SEARCH(Classifiers!$C$7,E389)),1,0))+IF(Classifiers!$D$7="",0,IF(ISNUMBER(SEARCH(Classifiers!$D$7,E389)),1,0))+IF(Classifiers!$E$7="",0,IF(ISNUMBER(SEARCH(Classifiers!$E$7,E389)),1,0))+IF(Classifiers!$F$7="",0,IF(ISNUMBER(SEARCH(Classifiers!$F$7,E389)),1,0))+IF(Classifiers!$G$7="",0,IF(ISNUMBER(SEARCH(Classifiers!$G$7,E389)),1,0)))&gt;0,1,0))</f>
        <v/>
      </c>
      <c r="M389" s="12">
        <f>IF(H389&lt;&gt;1,0,IF((IF(Classifiers!$B$8="",0,IF(ISNUMBER(SEARCH(Classifiers!$B$8,E389)),1,0))+IF(Classifiers!$C$8="",0,IF(ISNUMBER(SEARCH(Classifiers!$C$8,E389)),1,0))+IF(Classifiers!$D$8="",0,IF(ISNUMBER(SEARCH(Classifiers!$D$8,E389)),1,0))+IF(Classifiers!$E$8="",0,IF(ISNUMBER(SEARCH(Classifiers!$E$8,E389)),1,0))+IF(Classifiers!$F$8="",0,IF(ISNUMBER(SEARCH(Classifiers!$F$8,E389)),1,0))+IF(Classifiers!$G$8="",0,IF(ISNUMBER(SEARCH(Classifiers!$G$8,E389)),1,0)))&gt;0,1,0))</f>
        <v/>
      </c>
      <c r="N389" s="12">
        <f>IF(H389&lt;&gt;1,0,IF((IF(Classifiers!$B$9="",0,IF(ISNUMBER(SEARCH(Classifiers!$B$9,E389)),1,0))+IF(Classifiers!$C$9="",0,IF(ISNUMBER(SEARCH(Classifiers!$C$9,E389)),1,0))+IF(Classifiers!$D$9="",0,IF(ISNUMBER(SEARCH(Classifiers!$D$9,E389)),1,0))+IF(Classifiers!$E$9="",0,IF(ISNUMBER(SEARCH(Classifiers!$E$9,E389)),1,0))+IF(Classifiers!$F$9="",0,IF(ISNUMBER(SEARCH(Classifiers!$F$9,E389)),1,0))+IF(Classifiers!$G$9="",0,IF(ISNUMBER(SEARCH(Classifiers!$G$9,E389)),1,0)))&gt;0,1,0))</f>
        <v/>
      </c>
      <c r="O389" s="12">
        <f>IF(H389&lt;&gt;1,0,IF((IF(Classifiers!$B$10="",0,IF(ISNUMBER(SEARCH(Classifiers!$B$10,E389)),1,0))+IF(Classifiers!$C$10="",0,IF(ISNUMBER(SEARCH(Classifiers!$C$10,E389)),1,0))+IF(Classifiers!$D$10="",0,IF(ISNUMBER(SEARCH(Classifiers!$D$10,E389)),1,0))+IF(Classifiers!$E$10="",0,IF(ISNUMBER(SEARCH(Classifiers!$E$10,E389)),1,0))+IF(Classifiers!$F$10="",0,IF(ISNUMBER(SEARCH(Classifiers!$F$10,E389)),1,0))+IF(Classifiers!$G$10="",0,IF(ISNUMBER(SEARCH(Classifiers!$G$10,E389)),1,0)))&gt;0,1,0))</f>
        <v/>
      </c>
      <c r="P389" s="12">
        <f>IF(H389&lt;&gt;1,0,IF((IF(Classifiers!$B$11="",0,IF(ISNUMBER(SEARCH(Classifiers!$B$11,E389)),1,0))+IF(Classifiers!$C$11="",0,IF(ISNUMBER(SEARCH(Classifiers!$C$11,E389)),1,0))+IF(Classifiers!$D$11="",0,IF(ISNUMBER(SEARCH(Classifiers!$D$11,E389)),1,0))+IF(Classifiers!$E$11="",0,IF(ISNUMBER(SEARCH(Classifiers!$E$11,E389)),1,0))+IF(Classifiers!$F$11="",0,IF(ISNUMBER(SEARCH(Classifiers!$F$11,E389)),1,0))+IF(Classifiers!$G$11="",0,IF(ISNUMBER(SEARCH(Classifiers!$G$11,E389)),1,0)))&gt;0,1,0))</f>
        <v/>
      </c>
      <c r="Q389" s="12">
        <f>IF(H389&lt;&gt;1,0,IF((IF(Classifiers!$B$12="",0,IF(ISNUMBER(SEARCH(Classifiers!$B$12,E389)),1,0))+IF(Classifiers!$C$12="",0,IF(ISNUMBER(SEARCH(Classifiers!$C$12,E389)),1,0))+IF(Classifiers!$D$12="",0,IF(ISNUMBER(SEARCH(Classifiers!$D$12,E389)),1,0))+IF(Classifiers!$E$12="",0,IF(ISNUMBER(SEARCH(Classifiers!$E$12,E389)),1,0))+IF(Classifiers!$F$12="",0,IF(ISNUMBER(SEARCH(Classifiers!$F$12,E389)),1,0))+IF(Classifiers!$G$12="",0,IF(ISNUMBER(SEARCH(Classifiers!$G$12,E389)),1,0)))&gt;0,1,0))</f>
        <v/>
      </c>
      <c r="R389" s="12">
        <f>IF(H389&lt;&gt;1,0,IF((IF(Classifiers!$B$13="",0,IF(ISNUMBER(SEARCH(Classifiers!$B$13,E389)),1,0))+IF(Classifiers!$C$13="",0,IF(ISNUMBER(SEARCH(Classifiers!$C$13,E389)),1,0))+IF(Classifiers!$D$13="",0,IF(ISNUMBER(SEARCH(Classifiers!$D$13,E389)),1,0))+IF(Classifiers!$E$13="",0,IF(ISNUMBER(SEARCH(Classifiers!$E$13,E389)),1,0))+IF(Classifiers!$F$13="",0,IF(ISNUMBER(SEARCH(Classifiers!$F$13,E389)),1,0))+IF(Classifiers!$G$13="",0,IF(ISNUMBER(SEARCH(Classifiers!$G$13,E389)),1,0)))&gt;0,1,0))</f>
        <v/>
      </c>
      <c r="S389" s="12">
        <f>IF(H389&lt;&gt;1,0,IF((IF(Classifiers!$B$14="",0,IF(ISNUMBER(SEARCH(Classifiers!$B$14,E389)),1,0))+IF(Classifiers!$C$14="",0,IF(ISNUMBER(SEARCH(Classifiers!$C$14,E389)),1,0))+IF(Classifiers!$D$14="",0,IF(ISNUMBER(SEARCH(Classifiers!$D$14,E389)),1,0))+IF(Classifiers!$E$14="",0,IF(ISNUMBER(SEARCH(Classifiers!$E$14,E389)),1,0))+IF(Classifiers!$F$14="",0,IF(ISNUMBER(SEARCH(Classifiers!$F$14,E389)),1,0))+IF(Classifiers!$G$14="",0,IF(ISNUMBER(SEARCH(Classifiers!$G$14,E389)),1,0)))&gt;0,1,0))</f>
        <v/>
      </c>
      <c r="T389" s="12">
        <f>IF(H389&lt;&gt;1,0,IF((IF(Classifiers!$B$15="",0,IF(ISNUMBER(SEARCH(Classifiers!$B$15,E389)),1,0))+IF(Classifiers!$C$15="",0,IF(ISNUMBER(SEARCH(Classifiers!$C$15,E389)),1,0))+IF(Classifiers!$D$15="",0,IF(ISNUMBER(SEARCH(Classifiers!$D$15,E389)),1,0))+IF(Classifiers!$E$15="",0,IF(ISNUMBER(SEARCH(Classifiers!$E$15,E389)),1,0))+IF(Classifiers!$F$15="",0,IF(ISNUMBER(SEARCH(Classifiers!$F$15,E389)),1,0))+IF(Classifiers!$G$15="",0,IF(ISNUMBER(SEARCH(Classifiers!$G$15,E389)),1,0)))&gt;0,1,0))</f>
        <v/>
      </c>
      <c r="U389" s="12">
        <f>IF(H389&lt;&gt;1,0,IF((IF(Classifiers!$B$16="",0,IF(ISNUMBER(SEARCH(Classifiers!$B$16,E389)),1,0))+IF(Classifiers!$C$16="",0,IF(ISNUMBER(SEARCH(Classifiers!$C$16,E389)),1,0))+IF(Classifiers!$D$16="",0,IF(ISNUMBER(SEARCH(Classifiers!$D$16,E389)),1,0))+IF(Classifiers!$E$16="",0,IF(ISNUMBER(SEARCH(Classifiers!$E$16,E389)),1,0))+IF(Classifiers!$F$16="",0,IF(ISNUMBER(SEARCH(Classifiers!$F$16,E389)),1,0))+IF(Classifiers!$G$16="",0,IF(ISNUMBER(SEARCH(Classifiers!$G$16,E389)),1,0)))&gt;0,1,0))</f>
        <v/>
      </c>
      <c r="V389" s="12">
        <f>IF(H389&lt;&gt;1,0,IF((IF(Classifiers!$B$17="",0,IF(ISNUMBER(SEARCH(Classifiers!$B$17,E389)),1,0))+IF(Classifiers!$C$17="",0,IF(ISNUMBER(SEARCH(Classifiers!$C$17,E389)),1,0))+IF(Classifiers!$D$17="",0,IF(ISNUMBER(SEARCH(Classifiers!$D$17,E389)),1,0))+IF(Classifiers!$E$17="",0,IF(ISNUMBER(SEARCH(Classifiers!$E$17,E389)),1,0))+IF(Classifiers!$F$17="",0,IF(ISNUMBER(SEARCH(Classifiers!$F$17,E389)),1,0))+IF(Classifiers!$G$17="",0,IF(ISNUMBER(SEARCH(Classifiers!$G$17,E389)),1,0)))&gt;0,1,0))</f>
        <v/>
      </c>
      <c r="W389" s="12">
        <f>IF(H389&lt;&gt;1,0,IF((IF(Classifiers!$B$18="",0,IF(ISNUMBER(SEARCH(Classifiers!$B$18,E389)),1,0))+IF(Classifiers!$C$18="",0,IF(ISNUMBER(SEARCH(Classifiers!$C$18,E389)),1,0))+IF(Classifiers!$D$18="",0,IF(ISNUMBER(SEARCH(Classifiers!$D$18,E389)),1,0))+IF(Classifiers!$E$18="",0,IF(ISNUMBER(SEARCH(Classifiers!$E$18,E389)),1,0))+IF(Classifiers!$F$18="",0,IF(ISNUMBER(SEARCH(Classifiers!$F$18,E389)),1,0))+IF(Classifiers!$G$18="",0,IF(ISNUMBER(SEARCH(Classifiers!$G$18,E389)),1,0)))&gt;0,1,0))</f>
        <v/>
      </c>
    </row>
    <row r="390">
      <c r="A390" s="8" t="n"/>
      <c r="B390" s="11" t="n"/>
      <c r="C390" s="6">
        <f>IF(A390="","",TRIM(RIGHT(SUBSTITUTE(A390,"/",REPT(" ",250)),250)))</f>
        <v/>
      </c>
      <c r="D390" s="6">
        <f>IF(C390="","",IF(ISNUMBER(SEARCH(".",C390)),LOWER("."&amp;TRIM(RIGHT(SUBSTITUTE(C390,".",REPT(" ",250)),250))),""))</f>
        <v/>
      </c>
      <c r="E390" s="6">
        <f>IF(C390="","",TRIM(SUBSTITUTE(SUBSTITUTE(SUBSTITUTE(SUBSTITUTE(SUBSTITUTE(SUBSTITUTE(SUBSTITUTE(SUBSTITUTE(SUBSTITUTE(SUBSTITUTE(SUBSTITUTE(SUBSTITUTE(SUBSTITUTE(SUBSTITUTE(SUBSTITUTE(SUBSTITUTE(SUBSTITUTE(SUBSTITUTE(SUBSTITUTE(SUBSTITUTE(LOWER(LEFT(C390,LEN(C390)-LEN(D390))),"_"," "),"-"," "),"."," "),","," "),"("," "),")"," "),"["," "),"]"," "),"&amp;"," "),"+"," "),"@"," "),"#"," "),"!"," "),"'"," "),"/"," "),":"," "),";"," "),"="," "),"~"," "),"%"," ")))</f>
        <v/>
      </c>
      <c r="F390" s="6">
        <f>IF(C390="","",IF(COUNTIF(Classifiers!$A$23:$A$40,D390)&gt;0,1,0))</f>
        <v/>
      </c>
      <c r="G390" s="6">
        <f>IF(C390="","",IF(COUNTIF(Classifiers!$C$23:$C$30,D390)&gt;0,IF((IF(ISNUMBER(SEARCH(Classifiers!$E$23,E390)),1,0)+IF(ISNUMBER(SEARCH(Classifiers!$E$24,E390)),1,0)+IF(ISNUMBER(SEARCH(Classifiers!$E$25,E390)),1,0)+IF(ISNUMBER(SEARCH(Classifiers!$E$26,E390)),1,0)+IF(ISNUMBER(SEARCH(Classifiers!$E$27,E390)),1,0)+IF(ISNUMBER(SEARCH(Classifiers!$E$28,E390)),1,0)+IF(ISNUMBER(SEARCH(Classifiers!$E$29,E390)),1,0)+IF(ISNUMBER(SEARCH(Classifiers!$E$30,E390)),1,0))&gt;0,1,0),0))</f>
        <v/>
      </c>
      <c r="H390" s="6">
        <f>IF(C390="","",IF(OR(LEFT(C390,1)=".",AND(F390=0,G390=0)),0,1))</f>
        <v/>
      </c>
      <c r="I390" s="6">
        <f>IF(H390&lt;&gt;1,"",IF(SUM(J390:W390)=0,"unclassified",INDEX(Classifiers!$A$5:$A$18,MATCH(1,J390:W390,0),1)))</f>
        <v/>
      </c>
      <c r="J390" s="12">
        <f>IF(H390&lt;&gt;1,0,IF((IF(Classifiers!$B$5="",0,IF(ISNUMBER(SEARCH(Classifiers!$B$5,E390)),1,0))+IF(Classifiers!$C$5="",0,IF(ISNUMBER(SEARCH(Classifiers!$C$5,E390)),1,0))+IF(Classifiers!$D$5="",0,IF(ISNUMBER(SEARCH(Classifiers!$D$5,E390)),1,0))+IF(Classifiers!$E$5="",0,IF(ISNUMBER(SEARCH(Classifiers!$E$5,E390)),1,0))+IF(Classifiers!$F$5="",0,IF(ISNUMBER(SEARCH(Classifiers!$F$5,E390)),1,0))+IF(Classifiers!$G$5="",0,IF(ISNUMBER(SEARCH(Classifiers!$G$5,E390)),1,0)))&gt;0,1,0))</f>
        <v/>
      </c>
      <c r="K390" s="12">
        <f>IF(H390&lt;&gt;1,0,IF((IF(Classifiers!$B$6="",0,IF(ISNUMBER(SEARCH(Classifiers!$B$6,E390)),1,0))+IF(Classifiers!$C$6="",0,IF(ISNUMBER(SEARCH(Classifiers!$C$6,E390)),1,0))+IF(Classifiers!$D$6="",0,IF(ISNUMBER(SEARCH(Classifiers!$D$6,E390)),1,0))+IF(Classifiers!$E$6="",0,IF(ISNUMBER(SEARCH(Classifiers!$E$6,E390)),1,0))+IF(Classifiers!$F$6="",0,IF(ISNUMBER(SEARCH(Classifiers!$F$6,E390)),1,0))+IF(Classifiers!$G$6="",0,IF(ISNUMBER(SEARCH(Classifiers!$G$6,E390)),1,0)))&gt;0,1,0))</f>
        <v/>
      </c>
      <c r="L390" s="12">
        <f>IF(H390&lt;&gt;1,0,IF((IF(Classifiers!$B$7="",0,IF(ISNUMBER(SEARCH(Classifiers!$B$7,E390)),1,0))+IF(Classifiers!$C$7="",0,IF(ISNUMBER(SEARCH(Classifiers!$C$7,E390)),1,0))+IF(Classifiers!$D$7="",0,IF(ISNUMBER(SEARCH(Classifiers!$D$7,E390)),1,0))+IF(Classifiers!$E$7="",0,IF(ISNUMBER(SEARCH(Classifiers!$E$7,E390)),1,0))+IF(Classifiers!$F$7="",0,IF(ISNUMBER(SEARCH(Classifiers!$F$7,E390)),1,0))+IF(Classifiers!$G$7="",0,IF(ISNUMBER(SEARCH(Classifiers!$G$7,E390)),1,0)))&gt;0,1,0))</f>
        <v/>
      </c>
      <c r="M390" s="12">
        <f>IF(H390&lt;&gt;1,0,IF((IF(Classifiers!$B$8="",0,IF(ISNUMBER(SEARCH(Classifiers!$B$8,E390)),1,0))+IF(Classifiers!$C$8="",0,IF(ISNUMBER(SEARCH(Classifiers!$C$8,E390)),1,0))+IF(Classifiers!$D$8="",0,IF(ISNUMBER(SEARCH(Classifiers!$D$8,E390)),1,0))+IF(Classifiers!$E$8="",0,IF(ISNUMBER(SEARCH(Classifiers!$E$8,E390)),1,0))+IF(Classifiers!$F$8="",0,IF(ISNUMBER(SEARCH(Classifiers!$F$8,E390)),1,0))+IF(Classifiers!$G$8="",0,IF(ISNUMBER(SEARCH(Classifiers!$G$8,E390)),1,0)))&gt;0,1,0))</f>
        <v/>
      </c>
      <c r="N390" s="12">
        <f>IF(H390&lt;&gt;1,0,IF((IF(Classifiers!$B$9="",0,IF(ISNUMBER(SEARCH(Classifiers!$B$9,E390)),1,0))+IF(Classifiers!$C$9="",0,IF(ISNUMBER(SEARCH(Classifiers!$C$9,E390)),1,0))+IF(Classifiers!$D$9="",0,IF(ISNUMBER(SEARCH(Classifiers!$D$9,E390)),1,0))+IF(Classifiers!$E$9="",0,IF(ISNUMBER(SEARCH(Classifiers!$E$9,E390)),1,0))+IF(Classifiers!$F$9="",0,IF(ISNUMBER(SEARCH(Classifiers!$F$9,E390)),1,0))+IF(Classifiers!$G$9="",0,IF(ISNUMBER(SEARCH(Classifiers!$G$9,E390)),1,0)))&gt;0,1,0))</f>
        <v/>
      </c>
      <c r="O390" s="12">
        <f>IF(H390&lt;&gt;1,0,IF((IF(Classifiers!$B$10="",0,IF(ISNUMBER(SEARCH(Classifiers!$B$10,E390)),1,0))+IF(Classifiers!$C$10="",0,IF(ISNUMBER(SEARCH(Classifiers!$C$10,E390)),1,0))+IF(Classifiers!$D$10="",0,IF(ISNUMBER(SEARCH(Classifiers!$D$10,E390)),1,0))+IF(Classifiers!$E$10="",0,IF(ISNUMBER(SEARCH(Classifiers!$E$10,E390)),1,0))+IF(Classifiers!$F$10="",0,IF(ISNUMBER(SEARCH(Classifiers!$F$10,E390)),1,0))+IF(Classifiers!$G$10="",0,IF(ISNUMBER(SEARCH(Classifiers!$G$10,E390)),1,0)))&gt;0,1,0))</f>
        <v/>
      </c>
      <c r="P390" s="12">
        <f>IF(H390&lt;&gt;1,0,IF((IF(Classifiers!$B$11="",0,IF(ISNUMBER(SEARCH(Classifiers!$B$11,E390)),1,0))+IF(Classifiers!$C$11="",0,IF(ISNUMBER(SEARCH(Classifiers!$C$11,E390)),1,0))+IF(Classifiers!$D$11="",0,IF(ISNUMBER(SEARCH(Classifiers!$D$11,E390)),1,0))+IF(Classifiers!$E$11="",0,IF(ISNUMBER(SEARCH(Classifiers!$E$11,E390)),1,0))+IF(Classifiers!$F$11="",0,IF(ISNUMBER(SEARCH(Classifiers!$F$11,E390)),1,0))+IF(Classifiers!$G$11="",0,IF(ISNUMBER(SEARCH(Classifiers!$G$11,E390)),1,0)))&gt;0,1,0))</f>
        <v/>
      </c>
      <c r="Q390" s="12">
        <f>IF(H390&lt;&gt;1,0,IF((IF(Classifiers!$B$12="",0,IF(ISNUMBER(SEARCH(Classifiers!$B$12,E390)),1,0))+IF(Classifiers!$C$12="",0,IF(ISNUMBER(SEARCH(Classifiers!$C$12,E390)),1,0))+IF(Classifiers!$D$12="",0,IF(ISNUMBER(SEARCH(Classifiers!$D$12,E390)),1,0))+IF(Classifiers!$E$12="",0,IF(ISNUMBER(SEARCH(Classifiers!$E$12,E390)),1,0))+IF(Classifiers!$F$12="",0,IF(ISNUMBER(SEARCH(Classifiers!$F$12,E390)),1,0))+IF(Classifiers!$G$12="",0,IF(ISNUMBER(SEARCH(Classifiers!$G$12,E390)),1,0)))&gt;0,1,0))</f>
        <v/>
      </c>
      <c r="R390" s="12">
        <f>IF(H390&lt;&gt;1,0,IF((IF(Classifiers!$B$13="",0,IF(ISNUMBER(SEARCH(Classifiers!$B$13,E390)),1,0))+IF(Classifiers!$C$13="",0,IF(ISNUMBER(SEARCH(Classifiers!$C$13,E390)),1,0))+IF(Classifiers!$D$13="",0,IF(ISNUMBER(SEARCH(Classifiers!$D$13,E390)),1,0))+IF(Classifiers!$E$13="",0,IF(ISNUMBER(SEARCH(Classifiers!$E$13,E390)),1,0))+IF(Classifiers!$F$13="",0,IF(ISNUMBER(SEARCH(Classifiers!$F$13,E390)),1,0))+IF(Classifiers!$G$13="",0,IF(ISNUMBER(SEARCH(Classifiers!$G$13,E390)),1,0)))&gt;0,1,0))</f>
        <v/>
      </c>
      <c r="S390" s="12">
        <f>IF(H390&lt;&gt;1,0,IF((IF(Classifiers!$B$14="",0,IF(ISNUMBER(SEARCH(Classifiers!$B$14,E390)),1,0))+IF(Classifiers!$C$14="",0,IF(ISNUMBER(SEARCH(Classifiers!$C$14,E390)),1,0))+IF(Classifiers!$D$14="",0,IF(ISNUMBER(SEARCH(Classifiers!$D$14,E390)),1,0))+IF(Classifiers!$E$14="",0,IF(ISNUMBER(SEARCH(Classifiers!$E$14,E390)),1,0))+IF(Classifiers!$F$14="",0,IF(ISNUMBER(SEARCH(Classifiers!$F$14,E390)),1,0))+IF(Classifiers!$G$14="",0,IF(ISNUMBER(SEARCH(Classifiers!$G$14,E390)),1,0)))&gt;0,1,0))</f>
        <v/>
      </c>
      <c r="T390" s="12">
        <f>IF(H390&lt;&gt;1,0,IF((IF(Classifiers!$B$15="",0,IF(ISNUMBER(SEARCH(Classifiers!$B$15,E390)),1,0))+IF(Classifiers!$C$15="",0,IF(ISNUMBER(SEARCH(Classifiers!$C$15,E390)),1,0))+IF(Classifiers!$D$15="",0,IF(ISNUMBER(SEARCH(Classifiers!$D$15,E390)),1,0))+IF(Classifiers!$E$15="",0,IF(ISNUMBER(SEARCH(Classifiers!$E$15,E390)),1,0))+IF(Classifiers!$F$15="",0,IF(ISNUMBER(SEARCH(Classifiers!$F$15,E390)),1,0))+IF(Classifiers!$G$15="",0,IF(ISNUMBER(SEARCH(Classifiers!$G$15,E390)),1,0)))&gt;0,1,0))</f>
        <v/>
      </c>
      <c r="U390" s="12">
        <f>IF(H390&lt;&gt;1,0,IF((IF(Classifiers!$B$16="",0,IF(ISNUMBER(SEARCH(Classifiers!$B$16,E390)),1,0))+IF(Classifiers!$C$16="",0,IF(ISNUMBER(SEARCH(Classifiers!$C$16,E390)),1,0))+IF(Classifiers!$D$16="",0,IF(ISNUMBER(SEARCH(Classifiers!$D$16,E390)),1,0))+IF(Classifiers!$E$16="",0,IF(ISNUMBER(SEARCH(Classifiers!$E$16,E390)),1,0))+IF(Classifiers!$F$16="",0,IF(ISNUMBER(SEARCH(Classifiers!$F$16,E390)),1,0))+IF(Classifiers!$G$16="",0,IF(ISNUMBER(SEARCH(Classifiers!$G$16,E390)),1,0)))&gt;0,1,0))</f>
        <v/>
      </c>
      <c r="V390" s="12">
        <f>IF(H390&lt;&gt;1,0,IF((IF(Classifiers!$B$17="",0,IF(ISNUMBER(SEARCH(Classifiers!$B$17,E390)),1,0))+IF(Classifiers!$C$17="",0,IF(ISNUMBER(SEARCH(Classifiers!$C$17,E390)),1,0))+IF(Classifiers!$D$17="",0,IF(ISNUMBER(SEARCH(Classifiers!$D$17,E390)),1,0))+IF(Classifiers!$E$17="",0,IF(ISNUMBER(SEARCH(Classifiers!$E$17,E390)),1,0))+IF(Classifiers!$F$17="",0,IF(ISNUMBER(SEARCH(Classifiers!$F$17,E390)),1,0))+IF(Classifiers!$G$17="",0,IF(ISNUMBER(SEARCH(Classifiers!$G$17,E390)),1,0)))&gt;0,1,0))</f>
        <v/>
      </c>
      <c r="W390" s="12">
        <f>IF(H390&lt;&gt;1,0,IF((IF(Classifiers!$B$18="",0,IF(ISNUMBER(SEARCH(Classifiers!$B$18,E390)),1,0))+IF(Classifiers!$C$18="",0,IF(ISNUMBER(SEARCH(Classifiers!$C$18,E390)),1,0))+IF(Classifiers!$D$18="",0,IF(ISNUMBER(SEARCH(Classifiers!$D$18,E390)),1,0))+IF(Classifiers!$E$18="",0,IF(ISNUMBER(SEARCH(Classifiers!$E$18,E390)),1,0))+IF(Classifiers!$F$18="",0,IF(ISNUMBER(SEARCH(Classifiers!$F$18,E390)),1,0))+IF(Classifiers!$G$18="",0,IF(ISNUMBER(SEARCH(Classifiers!$G$18,E390)),1,0)))&gt;0,1,0))</f>
        <v/>
      </c>
    </row>
    <row r="391">
      <c r="A391" s="8" t="n"/>
      <c r="B391" s="11" t="n"/>
      <c r="C391" s="6">
        <f>IF(A391="","",TRIM(RIGHT(SUBSTITUTE(A391,"/",REPT(" ",250)),250)))</f>
        <v/>
      </c>
      <c r="D391" s="6">
        <f>IF(C391="","",IF(ISNUMBER(SEARCH(".",C391)),LOWER("."&amp;TRIM(RIGHT(SUBSTITUTE(C391,".",REPT(" ",250)),250))),""))</f>
        <v/>
      </c>
      <c r="E391" s="6">
        <f>IF(C391="","",TRIM(SUBSTITUTE(SUBSTITUTE(SUBSTITUTE(SUBSTITUTE(SUBSTITUTE(SUBSTITUTE(SUBSTITUTE(SUBSTITUTE(SUBSTITUTE(SUBSTITUTE(SUBSTITUTE(SUBSTITUTE(SUBSTITUTE(SUBSTITUTE(SUBSTITUTE(SUBSTITUTE(SUBSTITUTE(SUBSTITUTE(SUBSTITUTE(SUBSTITUTE(LOWER(LEFT(C391,LEN(C391)-LEN(D391))),"_"," "),"-"," "),"."," "),","," "),"("," "),")"," "),"["," "),"]"," "),"&amp;"," "),"+"," "),"@"," "),"#"," "),"!"," "),"'"," "),"/"," "),":"," "),";"," "),"="," "),"~"," "),"%"," ")))</f>
        <v/>
      </c>
      <c r="F391" s="6">
        <f>IF(C391="","",IF(COUNTIF(Classifiers!$A$23:$A$40,D391)&gt;0,1,0))</f>
        <v/>
      </c>
      <c r="G391" s="6">
        <f>IF(C391="","",IF(COUNTIF(Classifiers!$C$23:$C$30,D391)&gt;0,IF((IF(ISNUMBER(SEARCH(Classifiers!$E$23,E391)),1,0)+IF(ISNUMBER(SEARCH(Classifiers!$E$24,E391)),1,0)+IF(ISNUMBER(SEARCH(Classifiers!$E$25,E391)),1,0)+IF(ISNUMBER(SEARCH(Classifiers!$E$26,E391)),1,0)+IF(ISNUMBER(SEARCH(Classifiers!$E$27,E391)),1,0)+IF(ISNUMBER(SEARCH(Classifiers!$E$28,E391)),1,0)+IF(ISNUMBER(SEARCH(Classifiers!$E$29,E391)),1,0)+IF(ISNUMBER(SEARCH(Classifiers!$E$30,E391)),1,0))&gt;0,1,0),0))</f>
        <v/>
      </c>
      <c r="H391" s="6">
        <f>IF(C391="","",IF(OR(LEFT(C391,1)=".",AND(F391=0,G391=0)),0,1))</f>
        <v/>
      </c>
      <c r="I391" s="6">
        <f>IF(H391&lt;&gt;1,"",IF(SUM(J391:W391)=0,"unclassified",INDEX(Classifiers!$A$5:$A$18,MATCH(1,J391:W391,0),1)))</f>
        <v/>
      </c>
      <c r="J391" s="12">
        <f>IF(H391&lt;&gt;1,0,IF((IF(Classifiers!$B$5="",0,IF(ISNUMBER(SEARCH(Classifiers!$B$5,E391)),1,0))+IF(Classifiers!$C$5="",0,IF(ISNUMBER(SEARCH(Classifiers!$C$5,E391)),1,0))+IF(Classifiers!$D$5="",0,IF(ISNUMBER(SEARCH(Classifiers!$D$5,E391)),1,0))+IF(Classifiers!$E$5="",0,IF(ISNUMBER(SEARCH(Classifiers!$E$5,E391)),1,0))+IF(Classifiers!$F$5="",0,IF(ISNUMBER(SEARCH(Classifiers!$F$5,E391)),1,0))+IF(Classifiers!$G$5="",0,IF(ISNUMBER(SEARCH(Classifiers!$G$5,E391)),1,0)))&gt;0,1,0))</f>
        <v/>
      </c>
      <c r="K391" s="12">
        <f>IF(H391&lt;&gt;1,0,IF((IF(Classifiers!$B$6="",0,IF(ISNUMBER(SEARCH(Classifiers!$B$6,E391)),1,0))+IF(Classifiers!$C$6="",0,IF(ISNUMBER(SEARCH(Classifiers!$C$6,E391)),1,0))+IF(Classifiers!$D$6="",0,IF(ISNUMBER(SEARCH(Classifiers!$D$6,E391)),1,0))+IF(Classifiers!$E$6="",0,IF(ISNUMBER(SEARCH(Classifiers!$E$6,E391)),1,0))+IF(Classifiers!$F$6="",0,IF(ISNUMBER(SEARCH(Classifiers!$F$6,E391)),1,0))+IF(Classifiers!$G$6="",0,IF(ISNUMBER(SEARCH(Classifiers!$G$6,E391)),1,0)))&gt;0,1,0))</f>
        <v/>
      </c>
      <c r="L391" s="12">
        <f>IF(H391&lt;&gt;1,0,IF((IF(Classifiers!$B$7="",0,IF(ISNUMBER(SEARCH(Classifiers!$B$7,E391)),1,0))+IF(Classifiers!$C$7="",0,IF(ISNUMBER(SEARCH(Classifiers!$C$7,E391)),1,0))+IF(Classifiers!$D$7="",0,IF(ISNUMBER(SEARCH(Classifiers!$D$7,E391)),1,0))+IF(Classifiers!$E$7="",0,IF(ISNUMBER(SEARCH(Classifiers!$E$7,E391)),1,0))+IF(Classifiers!$F$7="",0,IF(ISNUMBER(SEARCH(Classifiers!$F$7,E391)),1,0))+IF(Classifiers!$G$7="",0,IF(ISNUMBER(SEARCH(Classifiers!$G$7,E391)),1,0)))&gt;0,1,0))</f>
        <v/>
      </c>
      <c r="M391" s="12">
        <f>IF(H391&lt;&gt;1,0,IF((IF(Classifiers!$B$8="",0,IF(ISNUMBER(SEARCH(Classifiers!$B$8,E391)),1,0))+IF(Classifiers!$C$8="",0,IF(ISNUMBER(SEARCH(Classifiers!$C$8,E391)),1,0))+IF(Classifiers!$D$8="",0,IF(ISNUMBER(SEARCH(Classifiers!$D$8,E391)),1,0))+IF(Classifiers!$E$8="",0,IF(ISNUMBER(SEARCH(Classifiers!$E$8,E391)),1,0))+IF(Classifiers!$F$8="",0,IF(ISNUMBER(SEARCH(Classifiers!$F$8,E391)),1,0))+IF(Classifiers!$G$8="",0,IF(ISNUMBER(SEARCH(Classifiers!$G$8,E391)),1,0)))&gt;0,1,0))</f>
        <v/>
      </c>
      <c r="N391" s="12">
        <f>IF(H391&lt;&gt;1,0,IF((IF(Classifiers!$B$9="",0,IF(ISNUMBER(SEARCH(Classifiers!$B$9,E391)),1,0))+IF(Classifiers!$C$9="",0,IF(ISNUMBER(SEARCH(Classifiers!$C$9,E391)),1,0))+IF(Classifiers!$D$9="",0,IF(ISNUMBER(SEARCH(Classifiers!$D$9,E391)),1,0))+IF(Classifiers!$E$9="",0,IF(ISNUMBER(SEARCH(Classifiers!$E$9,E391)),1,0))+IF(Classifiers!$F$9="",0,IF(ISNUMBER(SEARCH(Classifiers!$F$9,E391)),1,0))+IF(Classifiers!$G$9="",0,IF(ISNUMBER(SEARCH(Classifiers!$G$9,E391)),1,0)))&gt;0,1,0))</f>
        <v/>
      </c>
      <c r="O391" s="12">
        <f>IF(H391&lt;&gt;1,0,IF((IF(Classifiers!$B$10="",0,IF(ISNUMBER(SEARCH(Classifiers!$B$10,E391)),1,0))+IF(Classifiers!$C$10="",0,IF(ISNUMBER(SEARCH(Classifiers!$C$10,E391)),1,0))+IF(Classifiers!$D$10="",0,IF(ISNUMBER(SEARCH(Classifiers!$D$10,E391)),1,0))+IF(Classifiers!$E$10="",0,IF(ISNUMBER(SEARCH(Classifiers!$E$10,E391)),1,0))+IF(Classifiers!$F$10="",0,IF(ISNUMBER(SEARCH(Classifiers!$F$10,E391)),1,0))+IF(Classifiers!$G$10="",0,IF(ISNUMBER(SEARCH(Classifiers!$G$10,E391)),1,0)))&gt;0,1,0))</f>
        <v/>
      </c>
      <c r="P391" s="12">
        <f>IF(H391&lt;&gt;1,0,IF((IF(Classifiers!$B$11="",0,IF(ISNUMBER(SEARCH(Classifiers!$B$11,E391)),1,0))+IF(Classifiers!$C$11="",0,IF(ISNUMBER(SEARCH(Classifiers!$C$11,E391)),1,0))+IF(Classifiers!$D$11="",0,IF(ISNUMBER(SEARCH(Classifiers!$D$11,E391)),1,0))+IF(Classifiers!$E$11="",0,IF(ISNUMBER(SEARCH(Classifiers!$E$11,E391)),1,0))+IF(Classifiers!$F$11="",0,IF(ISNUMBER(SEARCH(Classifiers!$F$11,E391)),1,0))+IF(Classifiers!$G$11="",0,IF(ISNUMBER(SEARCH(Classifiers!$G$11,E391)),1,0)))&gt;0,1,0))</f>
        <v/>
      </c>
      <c r="Q391" s="12">
        <f>IF(H391&lt;&gt;1,0,IF((IF(Classifiers!$B$12="",0,IF(ISNUMBER(SEARCH(Classifiers!$B$12,E391)),1,0))+IF(Classifiers!$C$12="",0,IF(ISNUMBER(SEARCH(Classifiers!$C$12,E391)),1,0))+IF(Classifiers!$D$12="",0,IF(ISNUMBER(SEARCH(Classifiers!$D$12,E391)),1,0))+IF(Classifiers!$E$12="",0,IF(ISNUMBER(SEARCH(Classifiers!$E$12,E391)),1,0))+IF(Classifiers!$F$12="",0,IF(ISNUMBER(SEARCH(Classifiers!$F$12,E391)),1,0))+IF(Classifiers!$G$12="",0,IF(ISNUMBER(SEARCH(Classifiers!$G$12,E391)),1,0)))&gt;0,1,0))</f>
        <v/>
      </c>
      <c r="R391" s="12">
        <f>IF(H391&lt;&gt;1,0,IF((IF(Classifiers!$B$13="",0,IF(ISNUMBER(SEARCH(Classifiers!$B$13,E391)),1,0))+IF(Classifiers!$C$13="",0,IF(ISNUMBER(SEARCH(Classifiers!$C$13,E391)),1,0))+IF(Classifiers!$D$13="",0,IF(ISNUMBER(SEARCH(Classifiers!$D$13,E391)),1,0))+IF(Classifiers!$E$13="",0,IF(ISNUMBER(SEARCH(Classifiers!$E$13,E391)),1,0))+IF(Classifiers!$F$13="",0,IF(ISNUMBER(SEARCH(Classifiers!$F$13,E391)),1,0))+IF(Classifiers!$G$13="",0,IF(ISNUMBER(SEARCH(Classifiers!$G$13,E391)),1,0)))&gt;0,1,0))</f>
        <v/>
      </c>
      <c r="S391" s="12">
        <f>IF(H391&lt;&gt;1,0,IF((IF(Classifiers!$B$14="",0,IF(ISNUMBER(SEARCH(Classifiers!$B$14,E391)),1,0))+IF(Classifiers!$C$14="",0,IF(ISNUMBER(SEARCH(Classifiers!$C$14,E391)),1,0))+IF(Classifiers!$D$14="",0,IF(ISNUMBER(SEARCH(Classifiers!$D$14,E391)),1,0))+IF(Classifiers!$E$14="",0,IF(ISNUMBER(SEARCH(Classifiers!$E$14,E391)),1,0))+IF(Classifiers!$F$14="",0,IF(ISNUMBER(SEARCH(Classifiers!$F$14,E391)),1,0))+IF(Classifiers!$G$14="",0,IF(ISNUMBER(SEARCH(Classifiers!$G$14,E391)),1,0)))&gt;0,1,0))</f>
        <v/>
      </c>
      <c r="T391" s="12">
        <f>IF(H391&lt;&gt;1,0,IF((IF(Classifiers!$B$15="",0,IF(ISNUMBER(SEARCH(Classifiers!$B$15,E391)),1,0))+IF(Classifiers!$C$15="",0,IF(ISNUMBER(SEARCH(Classifiers!$C$15,E391)),1,0))+IF(Classifiers!$D$15="",0,IF(ISNUMBER(SEARCH(Classifiers!$D$15,E391)),1,0))+IF(Classifiers!$E$15="",0,IF(ISNUMBER(SEARCH(Classifiers!$E$15,E391)),1,0))+IF(Classifiers!$F$15="",0,IF(ISNUMBER(SEARCH(Classifiers!$F$15,E391)),1,0))+IF(Classifiers!$G$15="",0,IF(ISNUMBER(SEARCH(Classifiers!$G$15,E391)),1,0)))&gt;0,1,0))</f>
        <v/>
      </c>
      <c r="U391" s="12">
        <f>IF(H391&lt;&gt;1,0,IF((IF(Classifiers!$B$16="",0,IF(ISNUMBER(SEARCH(Classifiers!$B$16,E391)),1,0))+IF(Classifiers!$C$16="",0,IF(ISNUMBER(SEARCH(Classifiers!$C$16,E391)),1,0))+IF(Classifiers!$D$16="",0,IF(ISNUMBER(SEARCH(Classifiers!$D$16,E391)),1,0))+IF(Classifiers!$E$16="",0,IF(ISNUMBER(SEARCH(Classifiers!$E$16,E391)),1,0))+IF(Classifiers!$F$16="",0,IF(ISNUMBER(SEARCH(Classifiers!$F$16,E391)),1,0))+IF(Classifiers!$G$16="",0,IF(ISNUMBER(SEARCH(Classifiers!$G$16,E391)),1,0)))&gt;0,1,0))</f>
        <v/>
      </c>
      <c r="V391" s="12">
        <f>IF(H391&lt;&gt;1,0,IF((IF(Classifiers!$B$17="",0,IF(ISNUMBER(SEARCH(Classifiers!$B$17,E391)),1,0))+IF(Classifiers!$C$17="",0,IF(ISNUMBER(SEARCH(Classifiers!$C$17,E391)),1,0))+IF(Classifiers!$D$17="",0,IF(ISNUMBER(SEARCH(Classifiers!$D$17,E391)),1,0))+IF(Classifiers!$E$17="",0,IF(ISNUMBER(SEARCH(Classifiers!$E$17,E391)),1,0))+IF(Classifiers!$F$17="",0,IF(ISNUMBER(SEARCH(Classifiers!$F$17,E391)),1,0))+IF(Classifiers!$G$17="",0,IF(ISNUMBER(SEARCH(Classifiers!$G$17,E391)),1,0)))&gt;0,1,0))</f>
        <v/>
      </c>
      <c r="W391" s="12">
        <f>IF(H391&lt;&gt;1,0,IF((IF(Classifiers!$B$18="",0,IF(ISNUMBER(SEARCH(Classifiers!$B$18,E391)),1,0))+IF(Classifiers!$C$18="",0,IF(ISNUMBER(SEARCH(Classifiers!$C$18,E391)),1,0))+IF(Classifiers!$D$18="",0,IF(ISNUMBER(SEARCH(Classifiers!$D$18,E391)),1,0))+IF(Classifiers!$E$18="",0,IF(ISNUMBER(SEARCH(Classifiers!$E$18,E391)),1,0))+IF(Classifiers!$F$18="",0,IF(ISNUMBER(SEARCH(Classifiers!$F$18,E391)),1,0))+IF(Classifiers!$G$18="",0,IF(ISNUMBER(SEARCH(Classifiers!$G$18,E391)),1,0)))&gt;0,1,0))</f>
        <v/>
      </c>
    </row>
    <row r="392">
      <c r="A392" s="8" t="n"/>
      <c r="B392" s="11" t="n"/>
      <c r="C392" s="6">
        <f>IF(A392="","",TRIM(RIGHT(SUBSTITUTE(A392,"/",REPT(" ",250)),250)))</f>
        <v/>
      </c>
      <c r="D392" s="6">
        <f>IF(C392="","",IF(ISNUMBER(SEARCH(".",C392)),LOWER("."&amp;TRIM(RIGHT(SUBSTITUTE(C392,".",REPT(" ",250)),250))),""))</f>
        <v/>
      </c>
      <c r="E392" s="6">
        <f>IF(C392="","",TRIM(SUBSTITUTE(SUBSTITUTE(SUBSTITUTE(SUBSTITUTE(SUBSTITUTE(SUBSTITUTE(SUBSTITUTE(SUBSTITUTE(SUBSTITUTE(SUBSTITUTE(SUBSTITUTE(SUBSTITUTE(SUBSTITUTE(SUBSTITUTE(SUBSTITUTE(SUBSTITUTE(SUBSTITUTE(SUBSTITUTE(SUBSTITUTE(SUBSTITUTE(LOWER(LEFT(C392,LEN(C392)-LEN(D392))),"_"," "),"-"," "),"."," "),","," "),"("," "),")"," "),"["," "),"]"," "),"&amp;"," "),"+"," "),"@"," "),"#"," "),"!"," "),"'"," "),"/"," "),":"," "),";"," "),"="," "),"~"," "),"%"," ")))</f>
        <v/>
      </c>
      <c r="F392" s="6">
        <f>IF(C392="","",IF(COUNTIF(Classifiers!$A$23:$A$40,D392)&gt;0,1,0))</f>
        <v/>
      </c>
      <c r="G392" s="6">
        <f>IF(C392="","",IF(COUNTIF(Classifiers!$C$23:$C$30,D392)&gt;0,IF((IF(ISNUMBER(SEARCH(Classifiers!$E$23,E392)),1,0)+IF(ISNUMBER(SEARCH(Classifiers!$E$24,E392)),1,0)+IF(ISNUMBER(SEARCH(Classifiers!$E$25,E392)),1,0)+IF(ISNUMBER(SEARCH(Classifiers!$E$26,E392)),1,0)+IF(ISNUMBER(SEARCH(Classifiers!$E$27,E392)),1,0)+IF(ISNUMBER(SEARCH(Classifiers!$E$28,E392)),1,0)+IF(ISNUMBER(SEARCH(Classifiers!$E$29,E392)),1,0)+IF(ISNUMBER(SEARCH(Classifiers!$E$30,E392)),1,0))&gt;0,1,0),0))</f>
        <v/>
      </c>
      <c r="H392" s="6">
        <f>IF(C392="","",IF(OR(LEFT(C392,1)=".",AND(F392=0,G392=0)),0,1))</f>
        <v/>
      </c>
      <c r="I392" s="6">
        <f>IF(H392&lt;&gt;1,"",IF(SUM(J392:W392)=0,"unclassified",INDEX(Classifiers!$A$5:$A$18,MATCH(1,J392:W392,0),1)))</f>
        <v/>
      </c>
      <c r="J392" s="12">
        <f>IF(H392&lt;&gt;1,0,IF((IF(Classifiers!$B$5="",0,IF(ISNUMBER(SEARCH(Classifiers!$B$5,E392)),1,0))+IF(Classifiers!$C$5="",0,IF(ISNUMBER(SEARCH(Classifiers!$C$5,E392)),1,0))+IF(Classifiers!$D$5="",0,IF(ISNUMBER(SEARCH(Classifiers!$D$5,E392)),1,0))+IF(Classifiers!$E$5="",0,IF(ISNUMBER(SEARCH(Classifiers!$E$5,E392)),1,0))+IF(Classifiers!$F$5="",0,IF(ISNUMBER(SEARCH(Classifiers!$F$5,E392)),1,0))+IF(Classifiers!$G$5="",0,IF(ISNUMBER(SEARCH(Classifiers!$G$5,E392)),1,0)))&gt;0,1,0))</f>
        <v/>
      </c>
      <c r="K392" s="12">
        <f>IF(H392&lt;&gt;1,0,IF((IF(Classifiers!$B$6="",0,IF(ISNUMBER(SEARCH(Classifiers!$B$6,E392)),1,0))+IF(Classifiers!$C$6="",0,IF(ISNUMBER(SEARCH(Classifiers!$C$6,E392)),1,0))+IF(Classifiers!$D$6="",0,IF(ISNUMBER(SEARCH(Classifiers!$D$6,E392)),1,0))+IF(Classifiers!$E$6="",0,IF(ISNUMBER(SEARCH(Classifiers!$E$6,E392)),1,0))+IF(Classifiers!$F$6="",0,IF(ISNUMBER(SEARCH(Classifiers!$F$6,E392)),1,0))+IF(Classifiers!$G$6="",0,IF(ISNUMBER(SEARCH(Classifiers!$G$6,E392)),1,0)))&gt;0,1,0))</f>
        <v/>
      </c>
      <c r="L392" s="12">
        <f>IF(H392&lt;&gt;1,0,IF((IF(Classifiers!$B$7="",0,IF(ISNUMBER(SEARCH(Classifiers!$B$7,E392)),1,0))+IF(Classifiers!$C$7="",0,IF(ISNUMBER(SEARCH(Classifiers!$C$7,E392)),1,0))+IF(Classifiers!$D$7="",0,IF(ISNUMBER(SEARCH(Classifiers!$D$7,E392)),1,0))+IF(Classifiers!$E$7="",0,IF(ISNUMBER(SEARCH(Classifiers!$E$7,E392)),1,0))+IF(Classifiers!$F$7="",0,IF(ISNUMBER(SEARCH(Classifiers!$F$7,E392)),1,0))+IF(Classifiers!$G$7="",0,IF(ISNUMBER(SEARCH(Classifiers!$G$7,E392)),1,0)))&gt;0,1,0))</f>
        <v/>
      </c>
      <c r="M392" s="12">
        <f>IF(H392&lt;&gt;1,0,IF((IF(Classifiers!$B$8="",0,IF(ISNUMBER(SEARCH(Classifiers!$B$8,E392)),1,0))+IF(Classifiers!$C$8="",0,IF(ISNUMBER(SEARCH(Classifiers!$C$8,E392)),1,0))+IF(Classifiers!$D$8="",0,IF(ISNUMBER(SEARCH(Classifiers!$D$8,E392)),1,0))+IF(Classifiers!$E$8="",0,IF(ISNUMBER(SEARCH(Classifiers!$E$8,E392)),1,0))+IF(Classifiers!$F$8="",0,IF(ISNUMBER(SEARCH(Classifiers!$F$8,E392)),1,0))+IF(Classifiers!$G$8="",0,IF(ISNUMBER(SEARCH(Classifiers!$G$8,E392)),1,0)))&gt;0,1,0))</f>
        <v/>
      </c>
      <c r="N392" s="12">
        <f>IF(H392&lt;&gt;1,0,IF((IF(Classifiers!$B$9="",0,IF(ISNUMBER(SEARCH(Classifiers!$B$9,E392)),1,0))+IF(Classifiers!$C$9="",0,IF(ISNUMBER(SEARCH(Classifiers!$C$9,E392)),1,0))+IF(Classifiers!$D$9="",0,IF(ISNUMBER(SEARCH(Classifiers!$D$9,E392)),1,0))+IF(Classifiers!$E$9="",0,IF(ISNUMBER(SEARCH(Classifiers!$E$9,E392)),1,0))+IF(Classifiers!$F$9="",0,IF(ISNUMBER(SEARCH(Classifiers!$F$9,E392)),1,0))+IF(Classifiers!$G$9="",0,IF(ISNUMBER(SEARCH(Classifiers!$G$9,E392)),1,0)))&gt;0,1,0))</f>
        <v/>
      </c>
      <c r="O392" s="12">
        <f>IF(H392&lt;&gt;1,0,IF((IF(Classifiers!$B$10="",0,IF(ISNUMBER(SEARCH(Classifiers!$B$10,E392)),1,0))+IF(Classifiers!$C$10="",0,IF(ISNUMBER(SEARCH(Classifiers!$C$10,E392)),1,0))+IF(Classifiers!$D$10="",0,IF(ISNUMBER(SEARCH(Classifiers!$D$10,E392)),1,0))+IF(Classifiers!$E$10="",0,IF(ISNUMBER(SEARCH(Classifiers!$E$10,E392)),1,0))+IF(Classifiers!$F$10="",0,IF(ISNUMBER(SEARCH(Classifiers!$F$10,E392)),1,0))+IF(Classifiers!$G$10="",0,IF(ISNUMBER(SEARCH(Classifiers!$G$10,E392)),1,0)))&gt;0,1,0))</f>
        <v/>
      </c>
      <c r="P392" s="12">
        <f>IF(H392&lt;&gt;1,0,IF((IF(Classifiers!$B$11="",0,IF(ISNUMBER(SEARCH(Classifiers!$B$11,E392)),1,0))+IF(Classifiers!$C$11="",0,IF(ISNUMBER(SEARCH(Classifiers!$C$11,E392)),1,0))+IF(Classifiers!$D$11="",0,IF(ISNUMBER(SEARCH(Classifiers!$D$11,E392)),1,0))+IF(Classifiers!$E$11="",0,IF(ISNUMBER(SEARCH(Classifiers!$E$11,E392)),1,0))+IF(Classifiers!$F$11="",0,IF(ISNUMBER(SEARCH(Classifiers!$F$11,E392)),1,0))+IF(Classifiers!$G$11="",0,IF(ISNUMBER(SEARCH(Classifiers!$G$11,E392)),1,0)))&gt;0,1,0))</f>
        <v/>
      </c>
      <c r="Q392" s="12">
        <f>IF(H392&lt;&gt;1,0,IF((IF(Classifiers!$B$12="",0,IF(ISNUMBER(SEARCH(Classifiers!$B$12,E392)),1,0))+IF(Classifiers!$C$12="",0,IF(ISNUMBER(SEARCH(Classifiers!$C$12,E392)),1,0))+IF(Classifiers!$D$12="",0,IF(ISNUMBER(SEARCH(Classifiers!$D$12,E392)),1,0))+IF(Classifiers!$E$12="",0,IF(ISNUMBER(SEARCH(Classifiers!$E$12,E392)),1,0))+IF(Classifiers!$F$12="",0,IF(ISNUMBER(SEARCH(Classifiers!$F$12,E392)),1,0))+IF(Classifiers!$G$12="",0,IF(ISNUMBER(SEARCH(Classifiers!$G$12,E392)),1,0)))&gt;0,1,0))</f>
        <v/>
      </c>
      <c r="R392" s="12">
        <f>IF(H392&lt;&gt;1,0,IF((IF(Classifiers!$B$13="",0,IF(ISNUMBER(SEARCH(Classifiers!$B$13,E392)),1,0))+IF(Classifiers!$C$13="",0,IF(ISNUMBER(SEARCH(Classifiers!$C$13,E392)),1,0))+IF(Classifiers!$D$13="",0,IF(ISNUMBER(SEARCH(Classifiers!$D$13,E392)),1,0))+IF(Classifiers!$E$13="",0,IF(ISNUMBER(SEARCH(Classifiers!$E$13,E392)),1,0))+IF(Classifiers!$F$13="",0,IF(ISNUMBER(SEARCH(Classifiers!$F$13,E392)),1,0))+IF(Classifiers!$G$13="",0,IF(ISNUMBER(SEARCH(Classifiers!$G$13,E392)),1,0)))&gt;0,1,0))</f>
        <v/>
      </c>
      <c r="S392" s="12">
        <f>IF(H392&lt;&gt;1,0,IF((IF(Classifiers!$B$14="",0,IF(ISNUMBER(SEARCH(Classifiers!$B$14,E392)),1,0))+IF(Classifiers!$C$14="",0,IF(ISNUMBER(SEARCH(Classifiers!$C$14,E392)),1,0))+IF(Classifiers!$D$14="",0,IF(ISNUMBER(SEARCH(Classifiers!$D$14,E392)),1,0))+IF(Classifiers!$E$14="",0,IF(ISNUMBER(SEARCH(Classifiers!$E$14,E392)),1,0))+IF(Classifiers!$F$14="",0,IF(ISNUMBER(SEARCH(Classifiers!$F$14,E392)),1,0))+IF(Classifiers!$G$14="",0,IF(ISNUMBER(SEARCH(Classifiers!$G$14,E392)),1,0)))&gt;0,1,0))</f>
        <v/>
      </c>
      <c r="T392" s="12">
        <f>IF(H392&lt;&gt;1,0,IF((IF(Classifiers!$B$15="",0,IF(ISNUMBER(SEARCH(Classifiers!$B$15,E392)),1,0))+IF(Classifiers!$C$15="",0,IF(ISNUMBER(SEARCH(Classifiers!$C$15,E392)),1,0))+IF(Classifiers!$D$15="",0,IF(ISNUMBER(SEARCH(Classifiers!$D$15,E392)),1,0))+IF(Classifiers!$E$15="",0,IF(ISNUMBER(SEARCH(Classifiers!$E$15,E392)),1,0))+IF(Classifiers!$F$15="",0,IF(ISNUMBER(SEARCH(Classifiers!$F$15,E392)),1,0))+IF(Classifiers!$G$15="",0,IF(ISNUMBER(SEARCH(Classifiers!$G$15,E392)),1,0)))&gt;0,1,0))</f>
        <v/>
      </c>
      <c r="U392" s="12">
        <f>IF(H392&lt;&gt;1,0,IF((IF(Classifiers!$B$16="",0,IF(ISNUMBER(SEARCH(Classifiers!$B$16,E392)),1,0))+IF(Classifiers!$C$16="",0,IF(ISNUMBER(SEARCH(Classifiers!$C$16,E392)),1,0))+IF(Classifiers!$D$16="",0,IF(ISNUMBER(SEARCH(Classifiers!$D$16,E392)),1,0))+IF(Classifiers!$E$16="",0,IF(ISNUMBER(SEARCH(Classifiers!$E$16,E392)),1,0))+IF(Classifiers!$F$16="",0,IF(ISNUMBER(SEARCH(Classifiers!$F$16,E392)),1,0))+IF(Classifiers!$G$16="",0,IF(ISNUMBER(SEARCH(Classifiers!$G$16,E392)),1,0)))&gt;0,1,0))</f>
        <v/>
      </c>
      <c r="V392" s="12">
        <f>IF(H392&lt;&gt;1,0,IF((IF(Classifiers!$B$17="",0,IF(ISNUMBER(SEARCH(Classifiers!$B$17,E392)),1,0))+IF(Classifiers!$C$17="",0,IF(ISNUMBER(SEARCH(Classifiers!$C$17,E392)),1,0))+IF(Classifiers!$D$17="",0,IF(ISNUMBER(SEARCH(Classifiers!$D$17,E392)),1,0))+IF(Classifiers!$E$17="",0,IF(ISNUMBER(SEARCH(Classifiers!$E$17,E392)),1,0))+IF(Classifiers!$F$17="",0,IF(ISNUMBER(SEARCH(Classifiers!$F$17,E392)),1,0))+IF(Classifiers!$G$17="",0,IF(ISNUMBER(SEARCH(Classifiers!$G$17,E392)),1,0)))&gt;0,1,0))</f>
        <v/>
      </c>
      <c r="W392" s="12">
        <f>IF(H392&lt;&gt;1,0,IF((IF(Classifiers!$B$18="",0,IF(ISNUMBER(SEARCH(Classifiers!$B$18,E392)),1,0))+IF(Classifiers!$C$18="",0,IF(ISNUMBER(SEARCH(Classifiers!$C$18,E392)),1,0))+IF(Classifiers!$D$18="",0,IF(ISNUMBER(SEARCH(Classifiers!$D$18,E392)),1,0))+IF(Classifiers!$E$18="",0,IF(ISNUMBER(SEARCH(Classifiers!$E$18,E392)),1,0))+IF(Classifiers!$F$18="",0,IF(ISNUMBER(SEARCH(Classifiers!$F$18,E392)),1,0))+IF(Classifiers!$G$18="",0,IF(ISNUMBER(SEARCH(Classifiers!$G$18,E392)),1,0)))&gt;0,1,0))</f>
        <v/>
      </c>
    </row>
    <row r="393">
      <c r="A393" s="8" t="n"/>
      <c r="B393" s="11" t="n"/>
      <c r="C393" s="6">
        <f>IF(A393="","",TRIM(RIGHT(SUBSTITUTE(A393,"/",REPT(" ",250)),250)))</f>
        <v/>
      </c>
      <c r="D393" s="6">
        <f>IF(C393="","",IF(ISNUMBER(SEARCH(".",C393)),LOWER("."&amp;TRIM(RIGHT(SUBSTITUTE(C393,".",REPT(" ",250)),250))),""))</f>
        <v/>
      </c>
      <c r="E393" s="6">
        <f>IF(C393="","",TRIM(SUBSTITUTE(SUBSTITUTE(SUBSTITUTE(SUBSTITUTE(SUBSTITUTE(SUBSTITUTE(SUBSTITUTE(SUBSTITUTE(SUBSTITUTE(SUBSTITUTE(SUBSTITUTE(SUBSTITUTE(SUBSTITUTE(SUBSTITUTE(SUBSTITUTE(SUBSTITUTE(SUBSTITUTE(SUBSTITUTE(SUBSTITUTE(SUBSTITUTE(LOWER(LEFT(C393,LEN(C393)-LEN(D393))),"_"," "),"-"," "),"."," "),","," "),"("," "),")"," "),"["," "),"]"," "),"&amp;"," "),"+"," "),"@"," "),"#"," "),"!"," "),"'"," "),"/"," "),":"," "),";"," "),"="," "),"~"," "),"%"," ")))</f>
        <v/>
      </c>
      <c r="F393" s="6">
        <f>IF(C393="","",IF(COUNTIF(Classifiers!$A$23:$A$40,D393)&gt;0,1,0))</f>
        <v/>
      </c>
      <c r="G393" s="6">
        <f>IF(C393="","",IF(COUNTIF(Classifiers!$C$23:$C$30,D393)&gt;0,IF((IF(ISNUMBER(SEARCH(Classifiers!$E$23,E393)),1,0)+IF(ISNUMBER(SEARCH(Classifiers!$E$24,E393)),1,0)+IF(ISNUMBER(SEARCH(Classifiers!$E$25,E393)),1,0)+IF(ISNUMBER(SEARCH(Classifiers!$E$26,E393)),1,0)+IF(ISNUMBER(SEARCH(Classifiers!$E$27,E393)),1,0)+IF(ISNUMBER(SEARCH(Classifiers!$E$28,E393)),1,0)+IF(ISNUMBER(SEARCH(Classifiers!$E$29,E393)),1,0)+IF(ISNUMBER(SEARCH(Classifiers!$E$30,E393)),1,0))&gt;0,1,0),0))</f>
        <v/>
      </c>
      <c r="H393" s="6">
        <f>IF(C393="","",IF(OR(LEFT(C393,1)=".",AND(F393=0,G393=0)),0,1))</f>
        <v/>
      </c>
      <c r="I393" s="6">
        <f>IF(H393&lt;&gt;1,"",IF(SUM(J393:W393)=0,"unclassified",INDEX(Classifiers!$A$5:$A$18,MATCH(1,J393:W393,0),1)))</f>
        <v/>
      </c>
      <c r="J393" s="12">
        <f>IF(H393&lt;&gt;1,0,IF((IF(Classifiers!$B$5="",0,IF(ISNUMBER(SEARCH(Classifiers!$B$5,E393)),1,0))+IF(Classifiers!$C$5="",0,IF(ISNUMBER(SEARCH(Classifiers!$C$5,E393)),1,0))+IF(Classifiers!$D$5="",0,IF(ISNUMBER(SEARCH(Classifiers!$D$5,E393)),1,0))+IF(Classifiers!$E$5="",0,IF(ISNUMBER(SEARCH(Classifiers!$E$5,E393)),1,0))+IF(Classifiers!$F$5="",0,IF(ISNUMBER(SEARCH(Classifiers!$F$5,E393)),1,0))+IF(Classifiers!$G$5="",0,IF(ISNUMBER(SEARCH(Classifiers!$G$5,E393)),1,0)))&gt;0,1,0))</f>
        <v/>
      </c>
      <c r="K393" s="12">
        <f>IF(H393&lt;&gt;1,0,IF((IF(Classifiers!$B$6="",0,IF(ISNUMBER(SEARCH(Classifiers!$B$6,E393)),1,0))+IF(Classifiers!$C$6="",0,IF(ISNUMBER(SEARCH(Classifiers!$C$6,E393)),1,0))+IF(Classifiers!$D$6="",0,IF(ISNUMBER(SEARCH(Classifiers!$D$6,E393)),1,0))+IF(Classifiers!$E$6="",0,IF(ISNUMBER(SEARCH(Classifiers!$E$6,E393)),1,0))+IF(Classifiers!$F$6="",0,IF(ISNUMBER(SEARCH(Classifiers!$F$6,E393)),1,0))+IF(Classifiers!$G$6="",0,IF(ISNUMBER(SEARCH(Classifiers!$G$6,E393)),1,0)))&gt;0,1,0))</f>
        <v/>
      </c>
      <c r="L393" s="12">
        <f>IF(H393&lt;&gt;1,0,IF((IF(Classifiers!$B$7="",0,IF(ISNUMBER(SEARCH(Classifiers!$B$7,E393)),1,0))+IF(Classifiers!$C$7="",0,IF(ISNUMBER(SEARCH(Classifiers!$C$7,E393)),1,0))+IF(Classifiers!$D$7="",0,IF(ISNUMBER(SEARCH(Classifiers!$D$7,E393)),1,0))+IF(Classifiers!$E$7="",0,IF(ISNUMBER(SEARCH(Classifiers!$E$7,E393)),1,0))+IF(Classifiers!$F$7="",0,IF(ISNUMBER(SEARCH(Classifiers!$F$7,E393)),1,0))+IF(Classifiers!$G$7="",0,IF(ISNUMBER(SEARCH(Classifiers!$G$7,E393)),1,0)))&gt;0,1,0))</f>
        <v/>
      </c>
      <c r="M393" s="12">
        <f>IF(H393&lt;&gt;1,0,IF((IF(Classifiers!$B$8="",0,IF(ISNUMBER(SEARCH(Classifiers!$B$8,E393)),1,0))+IF(Classifiers!$C$8="",0,IF(ISNUMBER(SEARCH(Classifiers!$C$8,E393)),1,0))+IF(Classifiers!$D$8="",0,IF(ISNUMBER(SEARCH(Classifiers!$D$8,E393)),1,0))+IF(Classifiers!$E$8="",0,IF(ISNUMBER(SEARCH(Classifiers!$E$8,E393)),1,0))+IF(Classifiers!$F$8="",0,IF(ISNUMBER(SEARCH(Classifiers!$F$8,E393)),1,0))+IF(Classifiers!$G$8="",0,IF(ISNUMBER(SEARCH(Classifiers!$G$8,E393)),1,0)))&gt;0,1,0))</f>
        <v/>
      </c>
      <c r="N393" s="12">
        <f>IF(H393&lt;&gt;1,0,IF((IF(Classifiers!$B$9="",0,IF(ISNUMBER(SEARCH(Classifiers!$B$9,E393)),1,0))+IF(Classifiers!$C$9="",0,IF(ISNUMBER(SEARCH(Classifiers!$C$9,E393)),1,0))+IF(Classifiers!$D$9="",0,IF(ISNUMBER(SEARCH(Classifiers!$D$9,E393)),1,0))+IF(Classifiers!$E$9="",0,IF(ISNUMBER(SEARCH(Classifiers!$E$9,E393)),1,0))+IF(Classifiers!$F$9="",0,IF(ISNUMBER(SEARCH(Classifiers!$F$9,E393)),1,0))+IF(Classifiers!$G$9="",0,IF(ISNUMBER(SEARCH(Classifiers!$G$9,E393)),1,0)))&gt;0,1,0))</f>
        <v/>
      </c>
      <c r="O393" s="12">
        <f>IF(H393&lt;&gt;1,0,IF((IF(Classifiers!$B$10="",0,IF(ISNUMBER(SEARCH(Classifiers!$B$10,E393)),1,0))+IF(Classifiers!$C$10="",0,IF(ISNUMBER(SEARCH(Classifiers!$C$10,E393)),1,0))+IF(Classifiers!$D$10="",0,IF(ISNUMBER(SEARCH(Classifiers!$D$10,E393)),1,0))+IF(Classifiers!$E$10="",0,IF(ISNUMBER(SEARCH(Classifiers!$E$10,E393)),1,0))+IF(Classifiers!$F$10="",0,IF(ISNUMBER(SEARCH(Classifiers!$F$10,E393)),1,0))+IF(Classifiers!$G$10="",0,IF(ISNUMBER(SEARCH(Classifiers!$G$10,E393)),1,0)))&gt;0,1,0))</f>
        <v/>
      </c>
      <c r="P393" s="12">
        <f>IF(H393&lt;&gt;1,0,IF((IF(Classifiers!$B$11="",0,IF(ISNUMBER(SEARCH(Classifiers!$B$11,E393)),1,0))+IF(Classifiers!$C$11="",0,IF(ISNUMBER(SEARCH(Classifiers!$C$11,E393)),1,0))+IF(Classifiers!$D$11="",0,IF(ISNUMBER(SEARCH(Classifiers!$D$11,E393)),1,0))+IF(Classifiers!$E$11="",0,IF(ISNUMBER(SEARCH(Classifiers!$E$11,E393)),1,0))+IF(Classifiers!$F$11="",0,IF(ISNUMBER(SEARCH(Classifiers!$F$11,E393)),1,0))+IF(Classifiers!$G$11="",0,IF(ISNUMBER(SEARCH(Classifiers!$G$11,E393)),1,0)))&gt;0,1,0))</f>
        <v/>
      </c>
      <c r="Q393" s="12">
        <f>IF(H393&lt;&gt;1,0,IF((IF(Classifiers!$B$12="",0,IF(ISNUMBER(SEARCH(Classifiers!$B$12,E393)),1,0))+IF(Classifiers!$C$12="",0,IF(ISNUMBER(SEARCH(Classifiers!$C$12,E393)),1,0))+IF(Classifiers!$D$12="",0,IF(ISNUMBER(SEARCH(Classifiers!$D$12,E393)),1,0))+IF(Classifiers!$E$12="",0,IF(ISNUMBER(SEARCH(Classifiers!$E$12,E393)),1,0))+IF(Classifiers!$F$12="",0,IF(ISNUMBER(SEARCH(Classifiers!$F$12,E393)),1,0))+IF(Classifiers!$G$12="",0,IF(ISNUMBER(SEARCH(Classifiers!$G$12,E393)),1,0)))&gt;0,1,0))</f>
        <v/>
      </c>
      <c r="R393" s="12">
        <f>IF(H393&lt;&gt;1,0,IF((IF(Classifiers!$B$13="",0,IF(ISNUMBER(SEARCH(Classifiers!$B$13,E393)),1,0))+IF(Classifiers!$C$13="",0,IF(ISNUMBER(SEARCH(Classifiers!$C$13,E393)),1,0))+IF(Classifiers!$D$13="",0,IF(ISNUMBER(SEARCH(Classifiers!$D$13,E393)),1,0))+IF(Classifiers!$E$13="",0,IF(ISNUMBER(SEARCH(Classifiers!$E$13,E393)),1,0))+IF(Classifiers!$F$13="",0,IF(ISNUMBER(SEARCH(Classifiers!$F$13,E393)),1,0))+IF(Classifiers!$G$13="",0,IF(ISNUMBER(SEARCH(Classifiers!$G$13,E393)),1,0)))&gt;0,1,0))</f>
        <v/>
      </c>
      <c r="S393" s="12">
        <f>IF(H393&lt;&gt;1,0,IF((IF(Classifiers!$B$14="",0,IF(ISNUMBER(SEARCH(Classifiers!$B$14,E393)),1,0))+IF(Classifiers!$C$14="",0,IF(ISNUMBER(SEARCH(Classifiers!$C$14,E393)),1,0))+IF(Classifiers!$D$14="",0,IF(ISNUMBER(SEARCH(Classifiers!$D$14,E393)),1,0))+IF(Classifiers!$E$14="",0,IF(ISNUMBER(SEARCH(Classifiers!$E$14,E393)),1,0))+IF(Classifiers!$F$14="",0,IF(ISNUMBER(SEARCH(Classifiers!$F$14,E393)),1,0))+IF(Classifiers!$G$14="",0,IF(ISNUMBER(SEARCH(Classifiers!$G$14,E393)),1,0)))&gt;0,1,0))</f>
        <v/>
      </c>
      <c r="T393" s="12">
        <f>IF(H393&lt;&gt;1,0,IF((IF(Classifiers!$B$15="",0,IF(ISNUMBER(SEARCH(Classifiers!$B$15,E393)),1,0))+IF(Classifiers!$C$15="",0,IF(ISNUMBER(SEARCH(Classifiers!$C$15,E393)),1,0))+IF(Classifiers!$D$15="",0,IF(ISNUMBER(SEARCH(Classifiers!$D$15,E393)),1,0))+IF(Classifiers!$E$15="",0,IF(ISNUMBER(SEARCH(Classifiers!$E$15,E393)),1,0))+IF(Classifiers!$F$15="",0,IF(ISNUMBER(SEARCH(Classifiers!$F$15,E393)),1,0))+IF(Classifiers!$G$15="",0,IF(ISNUMBER(SEARCH(Classifiers!$G$15,E393)),1,0)))&gt;0,1,0))</f>
        <v/>
      </c>
      <c r="U393" s="12">
        <f>IF(H393&lt;&gt;1,0,IF((IF(Classifiers!$B$16="",0,IF(ISNUMBER(SEARCH(Classifiers!$B$16,E393)),1,0))+IF(Classifiers!$C$16="",0,IF(ISNUMBER(SEARCH(Classifiers!$C$16,E393)),1,0))+IF(Classifiers!$D$16="",0,IF(ISNUMBER(SEARCH(Classifiers!$D$16,E393)),1,0))+IF(Classifiers!$E$16="",0,IF(ISNUMBER(SEARCH(Classifiers!$E$16,E393)),1,0))+IF(Classifiers!$F$16="",0,IF(ISNUMBER(SEARCH(Classifiers!$F$16,E393)),1,0))+IF(Classifiers!$G$16="",0,IF(ISNUMBER(SEARCH(Classifiers!$G$16,E393)),1,0)))&gt;0,1,0))</f>
        <v/>
      </c>
      <c r="V393" s="12">
        <f>IF(H393&lt;&gt;1,0,IF((IF(Classifiers!$B$17="",0,IF(ISNUMBER(SEARCH(Classifiers!$B$17,E393)),1,0))+IF(Classifiers!$C$17="",0,IF(ISNUMBER(SEARCH(Classifiers!$C$17,E393)),1,0))+IF(Classifiers!$D$17="",0,IF(ISNUMBER(SEARCH(Classifiers!$D$17,E393)),1,0))+IF(Classifiers!$E$17="",0,IF(ISNUMBER(SEARCH(Classifiers!$E$17,E393)),1,0))+IF(Classifiers!$F$17="",0,IF(ISNUMBER(SEARCH(Classifiers!$F$17,E393)),1,0))+IF(Classifiers!$G$17="",0,IF(ISNUMBER(SEARCH(Classifiers!$G$17,E393)),1,0)))&gt;0,1,0))</f>
        <v/>
      </c>
      <c r="W393" s="12">
        <f>IF(H393&lt;&gt;1,0,IF((IF(Classifiers!$B$18="",0,IF(ISNUMBER(SEARCH(Classifiers!$B$18,E393)),1,0))+IF(Classifiers!$C$18="",0,IF(ISNUMBER(SEARCH(Classifiers!$C$18,E393)),1,0))+IF(Classifiers!$D$18="",0,IF(ISNUMBER(SEARCH(Classifiers!$D$18,E393)),1,0))+IF(Classifiers!$E$18="",0,IF(ISNUMBER(SEARCH(Classifiers!$E$18,E393)),1,0))+IF(Classifiers!$F$18="",0,IF(ISNUMBER(SEARCH(Classifiers!$F$18,E393)),1,0))+IF(Classifiers!$G$18="",0,IF(ISNUMBER(SEARCH(Classifiers!$G$18,E393)),1,0)))&gt;0,1,0))</f>
        <v/>
      </c>
    </row>
    <row r="394">
      <c r="A394" s="8" t="n"/>
      <c r="B394" s="11" t="n"/>
      <c r="C394" s="6">
        <f>IF(A394="","",TRIM(RIGHT(SUBSTITUTE(A394,"/",REPT(" ",250)),250)))</f>
        <v/>
      </c>
      <c r="D394" s="6">
        <f>IF(C394="","",IF(ISNUMBER(SEARCH(".",C394)),LOWER("."&amp;TRIM(RIGHT(SUBSTITUTE(C394,".",REPT(" ",250)),250))),""))</f>
        <v/>
      </c>
      <c r="E394" s="6">
        <f>IF(C394="","",TRIM(SUBSTITUTE(SUBSTITUTE(SUBSTITUTE(SUBSTITUTE(SUBSTITUTE(SUBSTITUTE(SUBSTITUTE(SUBSTITUTE(SUBSTITUTE(SUBSTITUTE(SUBSTITUTE(SUBSTITUTE(SUBSTITUTE(SUBSTITUTE(SUBSTITUTE(SUBSTITUTE(SUBSTITUTE(SUBSTITUTE(SUBSTITUTE(SUBSTITUTE(LOWER(LEFT(C394,LEN(C394)-LEN(D394))),"_"," "),"-"," "),"."," "),","," "),"("," "),")"," "),"["," "),"]"," "),"&amp;"," "),"+"," "),"@"," "),"#"," "),"!"," "),"'"," "),"/"," "),":"," "),";"," "),"="," "),"~"," "),"%"," ")))</f>
        <v/>
      </c>
      <c r="F394" s="6">
        <f>IF(C394="","",IF(COUNTIF(Classifiers!$A$23:$A$40,D394)&gt;0,1,0))</f>
        <v/>
      </c>
      <c r="G394" s="6">
        <f>IF(C394="","",IF(COUNTIF(Classifiers!$C$23:$C$30,D394)&gt;0,IF((IF(ISNUMBER(SEARCH(Classifiers!$E$23,E394)),1,0)+IF(ISNUMBER(SEARCH(Classifiers!$E$24,E394)),1,0)+IF(ISNUMBER(SEARCH(Classifiers!$E$25,E394)),1,0)+IF(ISNUMBER(SEARCH(Classifiers!$E$26,E394)),1,0)+IF(ISNUMBER(SEARCH(Classifiers!$E$27,E394)),1,0)+IF(ISNUMBER(SEARCH(Classifiers!$E$28,E394)),1,0)+IF(ISNUMBER(SEARCH(Classifiers!$E$29,E394)),1,0)+IF(ISNUMBER(SEARCH(Classifiers!$E$30,E394)),1,0))&gt;0,1,0),0))</f>
        <v/>
      </c>
      <c r="H394" s="6">
        <f>IF(C394="","",IF(OR(LEFT(C394,1)=".",AND(F394=0,G394=0)),0,1))</f>
        <v/>
      </c>
      <c r="I394" s="6">
        <f>IF(H394&lt;&gt;1,"",IF(SUM(J394:W394)=0,"unclassified",INDEX(Classifiers!$A$5:$A$18,MATCH(1,J394:W394,0),1)))</f>
        <v/>
      </c>
      <c r="J394" s="12">
        <f>IF(H394&lt;&gt;1,0,IF((IF(Classifiers!$B$5="",0,IF(ISNUMBER(SEARCH(Classifiers!$B$5,E394)),1,0))+IF(Classifiers!$C$5="",0,IF(ISNUMBER(SEARCH(Classifiers!$C$5,E394)),1,0))+IF(Classifiers!$D$5="",0,IF(ISNUMBER(SEARCH(Classifiers!$D$5,E394)),1,0))+IF(Classifiers!$E$5="",0,IF(ISNUMBER(SEARCH(Classifiers!$E$5,E394)),1,0))+IF(Classifiers!$F$5="",0,IF(ISNUMBER(SEARCH(Classifiers!$F$5,E394)),1,0))+IF(Classifiers!$G$5="",0,IF(ISNUMBER(SEARCH(Classifiers!$G$5,E394)),1,0)))&gt;0,1,0))</f>
        <v/>
      </c>
      <c r="K394" s="12">
        <f>IF(H394&lt;&gt;1,0,IF((IF(Classifiers!$B$6="",0,IF(ISNUMBER(SEARCH(Classifiers!$B$6,E394)),1,0))+IF(Classifiers!$C$6="",0,IF(ISNUMBER(SEARCH(Classifiers!$C$6,E394)),1,0))+IF(Classifiers!$D$6="",0,IF(ISNUMBER(SEARCH(Classifiers!$D$6,E394)),1,0))+IF(Classifiers!$E$6="",0,IF(ISNUMBER(SEARCH(Classifiers!$E$6,E394)),1,0))+IF(Classifiers!$F$6="",0,IF(ISNUMBER(SEARCH(Classifiers!$F$6,E394)),1,0))+IF(Classifiers!$G$6="",0,IF(ISNUMBER(SEARCH(Classifiers!$G$6,E394)),1,0)))&gt;0,1,0))</f>
        <v/>
      </c>
      <c r="L394" s="12">
        <f>IF(H394&lt;&gt;1,0,IF((IF(Classifiers!$B$7="",0,IF(ISNUMBER(SEARCH(Classifiers!$B$7,E394)),1,0))+IF(Classifiers!$C$7="",0,IF(ISNUMBER(SEARCH(Classifiers!$C$7,E394)),1,0))+IF(Classifiers!$D$7="",0,IF(ISNUMBER(SEARCH(Classifiers!$D$7,E394)),1,0))+IF(Classifiers!$E$7="",0,IF(ISNUMBER(SEARCH(Classifiers!$E$7,E394)),1,0))+IF(Classifiers!$F$7="",0,IF(ISNUMBER(SEARCH(Classifiers!$F$7,E394)),1,0))+IF(Classifiers!$G$7="",0,IF(ISNUMBER(SEARCH(Classifiers!$G$7,E394)),1,0)))&gt;0,1,0))</f>
        <v/>
      </c>
      <c r="M394" s="12">
        <f>IF(H394&lt;&gt;1,0,IF((IF(Classifiers!$B$8="",0,IF(ISNUMBER(SEARCH(Classifiers!$B$8,E394)),1,0))+IF(Classifiers!$C$8="",0,IF(ISNUMBER(SEARCH(Classifiers!$C$8,E394)),1,0))+IF(Classifiers!$D$8="",0,IF(ISNUMBER(SEARCH(Classifiers!$D$8,E394)),1,0))+IF(Classifiers!$E$8="",0,IF(ISNUMBER(SEARCH(Classifiers!$E$8,E394)),1,0))+IF(Classifiers!$F$8="",0,IF(ISNUMBER(SEARCH(Classifiers!$F$8,E394)),1,0))+IF(Classifiers!$G$8="",0,IF(ISNUMBER(SEARCH(Classifiers!$G$8,E394)),1,0)))&gt;0,1,0))</f>
        <v/>
      </c>
      <c r="N394" s="12">
        <f>IF(H394&lt;&gt;1,0,IF((IF(Classifiers!$B$9="",0,IF(ISNUMBER(SEARCH(Classifiers!$B$9,E394)),1,0))+IF(Classifiers!$C$9="",0,IF(ISNUMBER(SEARCH(Classifiers!$C$9,E394)),1,0))+IF(Classifiers!$D$9="",0,IF(ISNUMBER(SEARCH(Classifiers!$D$9,E394)),1,0))+IF(Classifiers!$E$9="",0,IF(ISNUMBER(SEARCH(Classifiers!$E$9,E394)),1,0))+IF(Classifiers!$F$9="",0,IF(ISNUMBER(SEARCH(Classifiers!$F$9,E394)),1,0))+IF(Classifiers!$G$9="",0,IF(ISNUMBER(SEARCH(Classifiers!$G$9,E394)),1,0)))&gt;0,1,0))</f>
        <v/>
      </c>
      <c r="O394" s="12">
        <f>IF(H394&lt;&gt;1,0,IF((IF(Classifiers!$B$10="",0,IF(ISNUMBER(SEARCH(Classifiers!$B$10,E394)),1,0))+IF(Classifiers!$C$10="",0,IF(ISNUMBER(SEARCH(Classifiers!$C$10,E394)),1,0))+IF(Classifiers!$D$10="",0,IF(ISNUMBER(SEARCH(Classifiers!$D$10,E394)),1,0))+IF(Classifiers!$E$10="",0,IF(ISNUMBER(SEARCH(Classifiers!$E$10,E394)),1,0))+IF(Classifiers!$F$10="",0,IF(ISNUMBER(SEARCH(Classifiers!$F$10,E394)),1,0))+IF(Classifiers!$G$10="",0,IF(ISNUMBER(SEARCH(Classifiers!$G$10,E394)),1,0)))&gt;0,1,0))</f>
        <v/>
      </c>
      <c r="P394" s="12">
        <f>IF(H394&lt;&gt;1,0,IF((IF(Classifiers!$B$11="",0,IF(ISNUMBER(SEARCH(Classifiers!$B$11,E394)),1,0))+IF(Classifiers!$C$11="",0,IF(ISNUMBER(SEARCH(Classifiers!$C$11,E394)),1,0))+IF(Classifiers!$D$11="",0,IF(ISNUMBER(SEARCH(Classifiers!$D$11,E394)),1,0))+IF(Classifiers!$E$11="",0,IF(ISNUMBER(SEARCH(Classifiers!$E$11,E394)),1,0))+IF(Classifiers!$F$11="",0,IF(ISNUMBER(SEARCH(Classifiers!$F$11,E394)),1,0))+IF(Classifiers!$G$11="",0,IF(ISNUMBER(SEARCH(Classifiers!$G$11,E394)),1,0)))&gt;0,1,0))</f>
        <v/>
      </c>
      <c r="Q394" s="12">
        <f>IF(H394&lt;&gt;1,0,IF((IF(Classifiers!$B$12="",0,IF(ISNUMBER(SEARCH(Classifiers!$B$12,E394)),1,0))+IF(Classifiers!$C$12="",0,IF(ISNUMBER(SEARCH(Classifiers!$C$12,E394)),1,0))+IF(Classifiers!$D$12="",0,IF(ISNUMBER(SEARCH(Classifiers!$D$12,E394)),1,0))+IF(Classifiers!$E$12="",0,IF(ISNUMBER(SEARCH(Classifiers!$E$12,E394)),1,0))+IF(Classifiers!$F$12="",0,IF(ISNUMBER(SEARCH(Classifiers!$F$12,E394)),1,0))+IF(Classifiers!$G$12="",0,IF(ISNUMBER(SEARCH(Classifiers!$G$12,E394)),1,0)))&gt;0,1,0))</f>
        <v/>
      </c>
      <c r="R394" s="12">
        <f>IF(H394&lt;&gt;1,0,IF((IF(Classifiers!$B$13="",0,IF(ISNUMBER(SEARCH(Classifiers!$B$13,E394)),1,0))+IF(Classifiers!$C$13="",0,IF(ISNUMBER(SEARCH(Classifiers!$C$13,E394)),1,0))+IF(Classifiers!$D$13="",0,IF(ISNUMBER(SEARCH(Classifiers!$D$13,E394)),1,0))+IF(Classifiers!$E$13="",0,IF(ISNUMBER(SEARCH(Classifiers!$E$13,E394)),1,0))+IF(Classifiers!$F$13="",0,IF(ISNUMBER(SEARCH(Classifiers!$F$13,E394)),1,0))+IF(Classifiers!$G$13="",0,IF(ISNUMBER(SEARCH(Classifiers!$G$13,E394)),1,0)))&gt;0,1,0))</f>
        <v/>
      </c>
      <c r="S394" s="12">
        <f>IF(H394&lt;&gt;1,0,IF((IF(Classifiers!$B$14="",0,IF(ISNUMBER(SEARCH(Classifiers!$B$14,E394)),1,0))+IF(Classifiers!$C$14="",0,IF(ISNUMBER(SEARCH(Classifiers!$C$14,E394)),1,0))+IF(Classifiers!$D$14="",0,IF(ISNUMBER(SEARCH(Classifiers!$D$14,E394)),1,0))+IF(Classifiers!$E$14="",0,IF(ISNUMBER(SEARCH(Classifiers!$E$14,E394)),1,0))+IF(Classifiers!$F$14="",0,IF(ISNUMBER(SEARCH(Classifiers!$F$14,E394)),1,0))+IF(Classifiers!$G$14="",0,IF(ISNUMBER(SEARCH(Classifiers!$G$14,E394)),1,0)))&gt;0,1,0))</f>
        <v/>
      </c>
      <c r="T394" s="12">
        <f>IF(H394&lt;&gt;1,0,IF((IF(Classifiers!$B$15="",0,IF(ISNUMBER(SEARCH(Classifiers!$B$15,E394)),1,0))+IF(Classifiers!$C$15="",0,IF(ISNUMBER(SEARCH(Classifiers!$C$15,E394)),1,0))+IF(Classifiers!$D$15="",0,IF(ISNUMBER(SEARCH(Classifiers!$D$15,E394)),1,0))+IF(Classifiers!$E$15="",0,IF(ISNUMBER(SEARCH(Classifiers!$E$15,E394)),1,0))+IF(Classifiers!$F$15="",0,IF(ISNUMBER(SEARCH(Classifiers!$F$15,E394)),1,0))+IF(Classifiers!$G$15="",0,IF(ISNUMBER(SEARCH(Classifiers!$G$15,E394)),1,0)))&gt;0,1,0))</f>
        <v/>
      </c>
      <c r="U394" s="12">
        <f>IF(H394&lt;&gt;1,0,IF((IF(Classifiers!$B$16="",0,IF(ISNUMBER(SEARCH(Classifiers!$B$16,E394)),1,0))+IF(Classifiers!$C$16="",0,IF(ISNUMBER(SEARCH(Classifiers!$C$16,E394)),1,0))+IF(Classifiers!$D$16="",0,IF(ISNUMBER(SEARCH(Classifiers!$D$16,E394)),1,0))+IF(Classifiers!$E$16="",0,IF(ISNUMBER(SEARCH(Classifiers!$E$16,E394)),1,0))+IF(Classifiers!$F$16="",0,IF(ISNUMBER(SEARCH(Classifiers!$F$16,E394)),1,0))+IF(Classifiers!$G$16="",0,IF(ISNUMBER(SEARCH(Classifiers!$G$16,E394)),1,0)))&gt;0,1,0))</f>
        <v/>
      </c>
      <c r="V394" s="12">
        <f>IF(H394&lt;&gt;1,0,IF((IF(Classifiers!$B$17="",0,IF(ISNUMBER(SEARCH(Classifiers!$B$17,E394)),1,0))+IF(Classifiers!$C$17="",0,IF(ISNUMBER(SEARCH(Classifiers!$C$17,E394)),1,0))+IF(Classifiers!$D$17="",0,IF(ISNUMBER(SEARCH(Classifiers!$D$17,E394)),1,0))+IF(Classifiers!$E$17="",0,IF(ISNUMBER(SEARCH(Classifiers!$E$17,E394)),1,0))+IF(Classifiers!$F$17="",0,IF(ISNUMBER(SEARCH(Classifiers!$F$17,E394)),1,0))+IF(Classifiers!$G$17="",0,IF(ISNUMBER(SEARCH(Classifiers!$G$17,E394)),1,0)))&gt;0,1,0))</f>
        <v/>
      </c>
      <c r="W394" s="12">
        <f>IF(H394&lt;&gt;1,0,IF((IF(Classifiers!$B$18="",0,IF(ISNUMBER(SEARCH(Classifiers!$B$18,E394)),1,0))+IF(Classifiers!$C$18="",0,IF(ISNUMBER(SEARCH(Classifiers!$C$18,E394)),1,0))+IF(Classifiers!$D$18="",0,IF(ISNUMBER(SEARCH(Classifiers!$D$18,E394)),1,0))+IF(Classifiers!$E$18="",0,IF(ISNUMBER(SEARCH(Classifiers!$E$18,E394)),1,0))+IF(Classifiers!$F$18="",0,IF(ISNUMBER(SEARCH(Classifiers!$F$18,E394)),1,0))+IF(Classifiers!$G$18="",0,IF(ISNUMBER(SEARCH(Classifiers!$G$18,E394)),1,0)))&gt;0,1,0))</f>
        <v/>
      </c>
    </row>
    <row r="395">
      <c r="A395" s="8" t="n"/>
      <c r="B395" s="11" t="n"/>
      <c r="C395" s="6">
        <f>IF(A395="","",TRIM(RIGHT(SUBSTITUTE(A395,"/",REPT(" ",250)),250)))</f>
        <v/>
      </c>
      <c r="D395" s="6">
        <f>IF(C395="","",IF(ISNUMBER(SEARCH(".",C395)),LOWER("."&amp;TRIM(RIGHT(SUBSTITUTE(C395,".",REPT(" ",250)),250))),""))</f>
        <v/>
      </c>
      <c r="E395" s="6">
        <f>IF(C395="","",TRIM(SUBSTITUTE(SUBSTITUTE(SUBSTITUTE(SUBSTITUTE(SUBSTITUTE(SUBSTITUTE(SUBSTITUTE(SUBSTITUTE(SUBSTITUTE(SUBSTITUTE(SUBSTITUTE(SUBSTITUTE(SUBSTITUTE(SUBSTITUTE(SUBSTITUTE(SUBSTITUTE(SUBSTITUTE(SUBSTITUTE(SUBSTITUTE(SUBSTITUTE(LOWER(LEFT(C395,LEN(C395)-LEN(D395))),"_"," "),"-"," "),"."," "),","," "),"("," "),")"," "),"["," "),"]"," "),"&amp;"," "),"+"," "),"@"," "),"#"," "),"!"," "),"'"," "),"/"," "),":"," "),";"," "),"="," "),"~"," "),"%"," ")))</f>
        <v/>
      </c>
      <c r="F395" s="6">
        <f>IF(C395="","",IF(COUNTIF(Classifiers!$A$23:$A$40,D395)&gt;0,1,0))</f>
        <v/>
      </c>
      <c r="G395" s="6">
        <f>IF(C395="","",IF(COUNTIF(Classifiers!$C$23:$C$30,D395)&gt;0,IF((IF(ISNUMBER(SEARCH(Classifiers!$E$23,E395)),1,0)+IF(ISNUMBER(SEARCH(Classifiers!$E$24,E395)),1,0)+IF(ISNUMBER(SEARCH(Classifiers!$E$25,E395)),1,0)+IF(ISNUMBER(SEARCH(Classifiers!$E$26,E395)),1,0)+IF(ISNUMBER(SEARCH(Classifiers!$E$27,E395)),1,0)+IF(ISNUMBER(SEARCH(Classifiers!$E$28,E395)),1,0)+IF(ISNUMBER(SEARCH(Classifiers!$E$29,E395)),1,0)+IF(ISNUMBER(SEARCH(Classifiers!$E$30,E395)),1,0))&gt;0,1,0),0))</f>
        <v/>
      </c>
      <c r="H395" s="6">
        <f>IF(C395="","",IF(OR(LEFT(C395,1)=".",AND(F395=0,G395=0)),0,1))</f>
        <v/>
      </c>
      <c r="I395" s="6">
        <f>IF(H395&lt;&gt;1,"",IF(SUM(J395:W395)=0,"unclassified",INDEX(Classifiers!$A$5:$A$18,MATCH(1,J395:W395,0),1)))</f>
        <v/>
      </c>
      <c r="J395" s="12">
        <f>IF(H395&lt;&gt;1,0,IF((IF(Classifiers!$B$5="",0,IF(ISNUMBER(SEARCH(Classifiers!$B$5,E395)),1,0))+IF(Classifiers!$C$5="",0,IF(ISNUMBER(SEARCH(Classifiers!$C$5,E395)),1,0))+IF(Classifiers!$D$5="",0,IF(ISNUMBER(SEARCH(Classifiers!$D$5,E395)),1,0))+IF(Classifiers!$E$5="",0,IF(ISNUMBER(SEARCH(Classifiers!$E$5,E395)),1,0))+IF(Classifiers!$F$5="",0,IF(ISNUMBER(SEARCH(Classifiers!$F$5,E395)),1,0))+IF(Classifiers!$G$5="",0,IF(ISNUMBER(SEARCH(Classifiers!$G$5,E395)),1,0)))&gt;0,1,0))</f>
        <v/>
      </c>
      <c r="K395" s="12">
        <f>IF(H395&lt;&gt;1,0,IF((IF(Classifiers!$B$6="",0,IF(ISNUMBER(SEARCH(Classifiers!$B$6,E395)),1,0))+IF(Classifiers!$C$6="",0,IF(ISNUMBER(SEARCH(Classifiers!$C$6,E395)),1,0))+IF(Classifiers!$D$6="",0,IF(ISNUMBER(SEARCH(Classifiers!$D$6,E395)),1,0))+IF(Classifiers!$E$6="",0,IF(ISNUMBER(SEARCH(Classifiers!$E$6,E395)),1,0))+IF(Classifiers!$F$6="",0,IF(ISNUMBER(SEARCH(Classifiers!$F$6,E395)),1,0))+IF(Classifiers!$G$6="",0,IF(ISNUMBER(SEARCH(Classifiers!$G$6,E395)),1,0)))&gt;0,1,0))</f>
        <v/>
      </c>
      <c r="L395" s="12">
        <f>IF(H395&lt;&gt;1,0,IF((IF(Classifiers!$B$7="",0,IF(ISNUMBER(SEARCH(Classifiers!$B$7,E395)),1,0))+IF(Classifiers!$C$7="",0,IF(ISNUMBER(SEARCH(Classifiers!$C$7,E395)),1,0))+IF(Classifiers!$D$7="",0,IF(ISNUMBER(SEARCH(Classifiers!$D$7,E395)),1,0))+IF(Classifiers!$E$7="",0,IF(ISNUMBER(SEARCH(Classifiers!$E$7,E395)),1,0))+IF(Classifiers!$F$7="",0,IF(ISNUMBER(SEARCH(Classifiers!$F$7,E395)),1,0))+IF(Classifiers!$G$7="",0,IF(ISNUMBER(SEARCH(Classifiers!$G$7,E395)),1,0)))&gt;0,1,0))</f>
        <v/>
      </c>
      <c r="M395" s="12">
        <f>IF(H395&lt;&gt;1,0,IF((IF(Classifiers!$B$8="",0,IF(ISNUMBER(SEARCH(Classifiers!$B$8,E395)),1,0))+IF(Classifiers!$C$8="",0,IF(ISNUMBER(SEARCH(Classifiers!$C$8,E395)),1,0))+IF(Classifiers!$D$8="",0,IF(ISNUMBER(SEARCH(Classifiers!$D$8,E395)),1,0))+IF(Classifiers!$E$8="",0,IF(ISNUMBER(SEARCH(Classifiers!$E$8,E395)),1,0))+IF(Classifiers!$F$8="",0,IF(ISNUMBER(SEARCH(Classifiers!$F$8,E395)),1,0))+IF(Classifiers!$G$8="",0,IF(ISNUMBER(SEARCH(Classifiers!$G$8,E395)),1,0)))&gt;0,1,0))</f>
        <v/>
      </c>
      <c r="N395" s="12">
        <f>IF(H395&lt;&gt;1,0,IF((IF(Classifiers!$B$9="",0,IF(ISNUMBER(SEARCH(Classifiers!$B$9,E395)),1,0))+IF(Classifiers!$C$9="",0,IF(ISNUMBER(SEARCH(Classifiers!$C$9,E395)),1,0))+IF(Classifiers!$D$9="",0,IF(ISNUMBER(SEARCH(Classifiers!$D$9,E395)),1,0))+IF(Classifiers!$E$9="",0,IF(ISNUMBER(SEARCH(Classifiers!$E$9,E395)),1,0))+IF(Classifiers!$F$9="",0,IF(ISNUMBER(SEARCH(Classifiers!$F$9,E395)),1,0))+IF(Classifiers!$G$9="",0,IF(ISNUMBER(SEARCH(Classifiers!$G$9,E395)),1,0)))&gt;0,1,0))</f>
        <v/>
      </c>
      <c r="O395" s="12">
        <f>IF(H395&lt;&gt;1,0,IF((IF(Classifiers!$B$10="",0,IF(ISNUMBER(SEARCH(Classifiers!$B$10,E395)),1,0))+IF(Classifiers!$C$10="",0,IF(ISNUMBER(SEARCH(Classifiers!$C$10,E395)),1,0))+IF(Classifiers!$D$10="",0,IF(ISNUMBER(SEARCH(Classifiers!$D$10,E395)),1,0))+IF(Classifiers!$E$10="",0,IF(ISNUMBER(SEARCH(Classifiers!$E$10,E395)),1,0))+IF(Classifiers!$F$10="",0,IF(ISNUMBER(SEARCH(Classifiers!$F$10,E395)),1,0))+IF(Classifiers!$G$10="",0,IF(ISNUMBER(SEARCH(Classifiers!$G$10,E395)),1,0)))&gt;0,1,0))</f>
        <v/>
      </c>
      <c r="P395" s="12">
        <f>IF(H395&lt;&gt;1,0,IF((IF(Classifiers!$B$11="",0,IF(ISNUMBER(SEARCH(Classifiers!$B$11,E395)),1,0))+IF(Classifiers!$C$11="",0,IF(ISNUMBER(SEARCH(Classifiers!$C$11,E395)),1,0))+IF(Classifiers!$D$11="",0,IF(ISNUMBER(SEARCH(Classifiers!$D$11,E395)),1,0))+IF(Classifiers!$E$11="",0,IF(ISNUMBER(SEARCH(Classifiers!$E$11,E395)),1,0))+IF(Classifiers!$F$11="",0,IF(ISNUMBER(SEARCH(Classifiers!$F$11,E395)),1,0))+IF(Classifiers!$G$11="",0,IF(ISNUMBER(SEARCH(Classifiers!$G$11,E395)),1,0)))&gt;0,1,0))</f>
        <v/>
      </c>
      <c r="Q395" s="12">
        <f>IF(H395&lt;&gt;1,0,IF((IF(Classifiers!$B$12="",0,IF(ISNUMBER(SEARCH(Classifiers!$B$12,E395)),1,0))+IF(Classifiers!$C$12="",0,IF(ISNUMBER(SEARCH(Classifiers!$C$12,E395)),1,0))+IF(Classifiers!$D$12="",0,IF(ISNUMBER(SEARCH(Classifiers!$D$12,E395)),1,0))+IF(Classifiers!$E$12="",0,IF(ISNUMBER(SEARCH(Classifiers!$E$12,E395)),1,0))+IF(Classifiers!$F$12="",0,IF(ISNUMBER(SEARCH(Classifiers!$F$12,E395)),1,0))+IF(Classifiers!$G$12="",0,IF(ISNUMBER(SEARCH(Classifiers!$G$12,E395)),1,0)))&gt;0,1,0))</f>
        <v/>
      </c>
      <c r="R395" s="12">
        <f>IF(H395&lt;&gt;1,0,IF((IF(Classifiers!$B$13="",0,IF(ISNUMBER(SEARCH(Classifiers!$B$13,E395)),1,0))+IF(Classifiers!$C$13="",0,IF(ISNUMBER(SEARCH(Classifiers!$C$13,E395)),1,0))+IF(Classifiers!$D$13="",0,IF(ISNUMBER(SEARCH(Classifiers!$D$13,E395)),1,0))+IF(Classifiers!$E$13="",0,IF(ISNUMBER(SEARCH(Classifiers!$E$13,E395)),1,0))+IF(Classifiers!$F$13="",0,IF(ISNUMBER(SEARCH(Classifiers!$F$13,E395)),1,0))+IF(Classifiers!$G$13="",0,IF(ISNUMBER(SEARCH(Classifiers!$G$13,E395)),1,0)))&gt;0,1,0))</f>
        <v/>
      </c>
      <c r="S395" s="12">
        <f>IF(H395&lt;&gt;1,0,IF((IF(Classifiers!$B$14="",0,IF(ISNUMBER(SEARCH(Classifiers!$B$14,E395)),1,0))+IF(Classifiers!$C$14="",0,IF(ISNUMBER(SEARCH(Classifiers!$C$14,E395)),1,0))+IF(Classifiers!$D$14="",0,IF(ISNUMBER(SEARCH(Classifiers!$D$14,E395)),1,0))+IF(Classifiers!$E$14="",0,IF(ISNUMBER(SEARCH(Classifiers!$E$14,E395)),1,0))+IF(Classifiers!$F$14="",0,IF(ISNUMBER(SEARCH(Classifiers!$F$14,E395)),1,0))+IF(Classifiers!$G$14="",0,IF(ISNUMBER(SEARCH(Classifiers!$G$14,E395)),1,0)))&gt;0,1,0))</f>
        <v/>
      </c>
      <c r="T395" s="12">
        <f>IF(H395&lt;&gt;1,0,IF((IF(Classifiers!$B$15="",0,IF(ISNUMBER(SEARCH(Classifiers!$B$15,E395)),1,0))+IF(Classifiers!$C$15="",0,IF(ISNUMBER(SEARCH(Classifiers!$C$15,E395)),1,0))+IF(Classifiers!$D$15="",0,IF(ISNUMBER(SEARCH(Classifiers!$D$15,E395)),1,0))+IF(Classifiers!$E$15="",0,IF(ISNUMBER(SEARCH(Classifiers!$E$15,E395)),1,0))+IF(Classifiers!$F$15="",0,IF(ISNUMBER(SEARCH(Classifiers!$F$15,E395)),1,0))+IF(Classifiers!$G$15="",0,IF(ISNUMBER(SEARCH(Classifiers!$G$15,E395)),1,0)))&gt;0,1,0))</f>
        <v/>
      </c>
      <c r="U395" s="12">
        <f>IF(H395&lt;&gt;1,0,IF((IF(Classifiers!$B$16="",0,IF(ISNUMBER(SEARCH(Classifiers!$B$16,E395)),1,0))+IF(Classifiers!$C$16="",0,IF(ISNUMBER(SEARCH(Classifiers!$C$16,E395)),1,0))+IF(Classifiers!$D$16="",0,IF(ISNUMBER(SEARCH(Classifiers!$D$16,E395)),1,0))+IF(Classifiers!$E$16="",0,IF(ISNUMBER(SEARCH(Classifiers!$E$16,E395)),1,0))+IF(Classifiers!$F$16="",0,IF(ISNUMBER(SEARCH(Classifiers!$F$16,E395)),1,0))+IF(Classifiers!$G$16="",0,IF(ISNUMBER(SEARCH(Classifiers!$G$16,E395)),1,0)))&gt;0,1,0))</f>
        <v/>
      </c>
      <c r="V395" s="12">
        <f>IF(H395&lt;&gt;1,0,IF((IF(Classifiers!$B$17="",0,IF(ISNUMBER(SEARCH(Classifiers!$B$17,E395)),1,0))+IF(Classifiers!$C$17="",0,IF(ISNUMBER(SEARCH(Classifiers!$C$17,E395)),1,0))+IF(Classifiers!$D$17="",0,IF(ISNUMBER(SEARCH(Classifiers!$D$17,E395)),1,0))+IF(Classifiers!$E$17="",0,IF(ISNUMBER(SEARCH(Classifiers!$E$17,E395)),1,0))+IF(Classifiers!$F$17="",0,IF(ISNUMBER(SEARCH(Classifiers!$F$17,E395)),1,0))+IF(Classifiers!$G$17="",0,IF(ISNUMBER(SEARCH(Classifiers!$G$17,E395)),1,0)))&gt;0,1,0))</f>
        <v/>
      </c>
      <c r="W395" s="12">
        <f>IF(H395&lt;&gt;1,0,IF((IF(Classifiers!$B$18="",0,IF(ISNUMBER(SEARCH(Classifiers!$B$18,E395)),1,0))+IF(Classifiers!$C$18="",0,IF(ISNUMBER(SEARCH(Classifiers!$C$18,E395)),1,0))+IF(Classifiers!$D$18="",0,IF(ISNUMBER(SEARCH(Classifiers!$D$18,E395)),1,0))+IF(Classifiers!$E$18="",0,IF(ISNUMBER(SEARCH(Classifiers!$E$18,E395)),1,0))+IF(Classifiers!$F$18="",0,IF(ISNUMBER(SEARCH(Classifiers!$F$18,E395)),1,0))+IF(Classifiers!$G$18="",0,IF(ISNUMBER(SEARCH(Classifiers!$G$18,E395)),1,0)))&gt;0,1,0))</f>
        <v/>
      </c>
    </row>
    <row r="396">
      <c r="A396" s="8" t="n"/>
      <c r="B396" s="11" t="n"/>
      <c r="C396" s="6">
        <f>IF(A396="","",TRIM(RIGHT(SUBSTITUTE(A396,"/",REPT(" ",250)),250)))</f>
        <v/>
      </c>
      <c r="D396" s="6">
        <f>IF(C396="","",IF(ISNUMBER(SEARCH(".",C396)),LOWER("."&amp;TRIM(RIGHT(SUBSTITUTE(C396,".",REPT(" ",250)),250))),""))</f>
        <v/>
      </c>
      <c r="E396" s="6">
        <f>IF(C396="","",TRIM(SUBSTITUTE(SUBSTITUTE(SUBSTITUTE(SUBSTITUTE(SUBSTITUTE(SUBSTITUTE(SUBSTITUTE(SUBSTITUTE(SUBSTITUTE(SUBSTITUTE(SUBSTITUTE(SUBSTITUTE(SUBSTITUTE(SUBSTITUTE(SUBSTITUTE(SUBSTITUTE(SUBSTITUTE(SUBSTITUTE(SUBSTITUTE(SUBSTITUTE(LOWER(LEFT(C396,LEN(C396)-LEN(D396))),"_"," "),"-"," "),"."," "),","," "),"("," "),")"," "),"["," "),"]"," "),"&amp;"," "),"+"," "),"@"," "),"#"," "),"!"," "),"'"," "),"/"," "),":"," "),";"," "),"="," "),"~"," "),"%"," ")))</f>
        <v/>
      </c>
      <c r="F396" s="6">
        <f>IF(C396="","",IF(COUNTIF(Classifiers!$A$23:$A$40,D396)&gt;0,1,0))</f>
        <v/>
      </c>
      <c r="G396" s="6">
        <f>IF(C396="","",IF(COUNTIF(Classifiers!$C$23:$C$30,D396)&gt;0,IF((IF(ISNUMBER(SEARCH(Classifiers!$E$23,E396)),1,0)+IF(ISNUMBER(SEARCH(Classifiers!$E$24,E396)),1,0)+IF(ISNUMBER(SEARCH(Classifiers!$E$25,E396)),1,0)+IF(ISNUMBER(SEARCH(Classifiers!$E$26,E396)),1,0)+IF(ISNUMBER(SEARCH(Classifiers!$E$27,E396)),1,0)+IF(ISNUMBER(SEARCH(Classifiers!$E$28,E396)),1,0)+IF(ISNUMBER(SEARCH(Classifiers!$E$29,E396)),1,0)+IF(ISNUMBER(SEARCH(Classifiers!$E$30,E396)),1,0))&gt;0,1,0),0))</f>
        <v/>
      </c>
      <c r="H396" s="6">
        <f>IF(C396="","",IF(OR(LEFT(C396,1)=".",AND(F396=0,G396=0)),0,1))</f>
        <v/>
      </c>
      <c r="I396" s="6">
        <f>IF(H396&lt;&gt;1,"",IF(SUM(J396:W396)=0,"unclassified",INDEX(Classifiers!$A$5:$A$18,MATCH(1,J396:W396,0),1)))</f>
        <v/>
      </c>
      <c r="J396" s="12">
        <f>IF(H396&lt;&gt;1,0,IF((IF(Classifiers!$B$5="",0,IF(ISNUMBER(SEARCH(Classifiers!$B$5,E396)),1,0))+IF(Classifiers!$C$5="",0,IF(ISNUMBER(SEARCH(Classifiers!$C$5,E396)),1,0))+IF(Classifiers!$D$5="",0,IF(ISNUMBER(SEARCH(Classifiers!$D$5,E396)),1,0))+IF(Classifiers!$E$5="",0,IF(ISNUMBER(SEARCH(Classifiers!$E$5,E396)),1,0))+IF(Classifiers!$F$5="",0,IF(ISNUMBER(SEARCH(Classifiers!$F$5,E396)),1,0))+IF(Classifiers!$G$5="",0,IF(ISNUMBER(SEARCH(Classifiers!$G$5,E396)),1,0)))&gt;0,1,0))</f>
        <v/>
      </c>
      <c r="K396" s="12">
        <f>IF(H396&lt;&gt;1,0,IF((IF(Classifiers!$B$6="",0,IF(ISNUMBER(SEARCH(Classifiers!$B$6,E396)),1,0))+IF(Classifiers!$C$6="",0,IF(ISNUMBER(SEARCH(Classifiers!$C$6,E396)),1,0))+IF(Classifiers!$D$6="",0,IF(ISNUMBER(SEARCH(Classifiers!$D$6,E396)),1,0))+IF(Classifiers!$E$6="",0,IF(ISNUMBER(SEARCH(Classifiers!$E$6,E396)),1,0))+IF(Classifiers!$F$6="",0,IF(ISNUMBER(SEARCH(Classifiers!$F$6,E396)),1,0))+IF(Classifiers!$G$6="",0,IF(ISNUMBER(SEARCH(Classifiers!$G$6,E396)),1,0)))&gt;0,1,0))</f>
        <v/>
      </c>
      <c r="L396" s="12">
        <f>IF(H396&lt;&gt;1,0,IF((IF(Classifiers!$B$7="",0,IF(ISNUMBER(SEARCH(Classifiers!$B$7,E396)),1,0))+IF(Classifiers!$C$7="",0,IF(ISNUMBER(SEARCH(Classifiers!$C$7,E396)),1,0))+IF(Classifiers!$D$7="",0,IF(ISNUMBER(SEARCH(Classifiers!$D$7,E396)),1,0))+IF(Classifiers!$E$7="",0,IF(ISNUMBER(SEARCH(Classifiers!$E$7,E396)),1,0))+IF(Classifiers!$F$7="",0,IF(ISNUMBER(SEARCH(Classifiers!$F$7,E396)),1,0))+IF(Classifiers!$G$7="",0,IF(ISNUMBER(SEARCH(Classifiers!$G$7,E396)),1,0)))&gt;0,1,0))</f>
        <v/>
      </c>
      <c r="M396" s="12">
        <f>IF(H396&lt;&gt;1,0,IF((IF(Classifiers!$B$8="",0,IF(ISNUMBER(SEARCH(Classifiers!$B$8,E396)),1,0))+IF(Classifiers!$C$8="",0,IF(ISNUMBER(SEARCH(Classifiers!$C$8,E396)),1,0))+IF(Classifiers!$D$8="",0,IF(ISNUMBER(SEARCH(Classifiers!$D$8,E396)),1,0))+IF(Classifiers!$E$8="",0,IF(ISNUMBER(SEARCH(Classifiers!$E$8,E396)),1,0))+IF(Classifiers!$F$8="",0,IF(ISNUMBER(SEARCH(Classifiers!$F$8,E396)),1,0))+IF(Classifiers!$G$8="",0,IF(ISNUMBER(SEARCH(Classifiers!$G$8,E396)),1,0)))&gt;0,1,0))</f>
        <v/>
      </c>
      <c r="N396" s="12">
        <f>IF(H396&lt;&gt;1,0,IF((IF(Classifiers!$B$9="",0,IF(ISNUMBER(SEARCH(Classifiers!$B$9,E396)),1,0))+IF(Classifiers!$C$9="",0,IF(ISNUMBER(SEARCH(Classifiers!$C$9,E396)),1,0))+IF(Classifiers!$D$9="",0,IF(ISNUMBER(SEARCH(Classifiers!$D$9,E396)),1,0))+IF(Classifiers!$E$9="",0,IF(ISNUMBER(SEARCH(Classifiers!$E$9,E396)),1,0))+IF(Classifiers!$F$9="",0,IF(ISNUMBER(SEARCH(Classifiers!$F$9,E396)),1,0))+IF(Classifiers!$G$9="",0,IF(ISNUMBER(SEARCH(Classifiers!$G$9,E396)),1,0)))&gt;0,1,0))</f>
        <v/>
      </c>
      <c r="O396" s="12">
        <f>IF(H396&lt;&gt;1,0,IF((IF(Classifiers!$B$10="",0,IF(ISNUMBER(SEARCH(Classifiers!$B$10,E396)),1,0))+IF(Classifiers!$C$10="",0,IF(ISNUMBER(SEARCH(Classifiers!$C$10,E396)),1,0))+IF(Classifiers!$D$10="",0,IF(ISNUMBER(SEARCH(Classifiers!$D$10,E396)),1,0))+IF(Classifiers!$E$10="",0,IF(ISNUMBER(SEARCH(Classifiers!$E$10,E396)),1,0))+IF(Classifiers!$F$10="",0,IF(ISNUMBER(SEARCH(Classifiers!$F$10,E396)),1,0))+IF(Classifiers!$G$10="",0,IF(ISNUMBER(SEARCH(Classifiers!$G$10,E396)),1,0)))&gt;0,1,0))</f>
        <v/>
      </c>
      <c r="P396" s="12">
        <f>IF(H396&lt;&gt;1,0,IF((IF(Classifiers!$B$11="",0,IF(ISNUMBER(SEARCH(Classifiers!$B$11,E396)),1,0))+IF(Classifiers!$C$11="",0,IF(ISNUMBER(SEARCH(Classifiers!$C$11,E396)),1,0))+IF(Classifiers!$D$11="",0,IF(ISNUMBER(SEARCH(Classifiers!$D$11,E396)),1,0))+IF(Classifiers!$E$11="",0,IF(ISNUMBER(SEARCH(Classifiers!$E$11,E396)),1,0))+IF(Classifiers!$F$11="",0,IF(ISNUMBER(SEARCH(Classifiers!$F$11,E396)),1,0))+IF(Classifiers!$G$11="",0,IF(ISNUMBER(SEARCH(Classifiers!$G$11,E396)),1,0)))&gt;0,1,0))</f>
        <v/>
      </c>
      <c r="Q396" s="12">
        <f>IF(H396&lt;&gt;1,0,IF((IF(Classifiers!$B$12="",0,IF(ISNUMBER(SEARCH(Classifiers!$B$12,E396)),1,0))+IF(Classifiers!$C$12="",0,IF(ISNUMBER(SEARCH(Classifiers!$C$12,E396)),1,0))+IF(Classifiers!$D$12="",0,IF(ISNUMBER(SEARCH(Classifiers!$D$12,E396)),1,0))+IF(Classifiers!$E$12="",0,IF(ISNUMBER(SEARCH(Classifiers!$E$12,E396)),1,0))+IF(Classifiers!$F$12="",0,IF(ISNUMBER(SEARCH(Classifiers!$F$12,E396)),1,0))+IF(Classifiers!$G$12="",0,IF(ISNUMBER(SEARCH(Classifiers!$G$12,E396)),1,0)))&gt;0,1,0))</f>
        <v/>
      </c>
      <c r="R396" s="12">
        <f>IF(H396&lt;&gt;1,0,IF((IF(Classifiers!$B$13="",0,IF(ISNUMBER(SEARCH(Classifiers!$B$13,E396)),1,0))+IF(Classifiers!$C$13="",0,IF(ISNUMBER(SEARCH(Classifiers!$C$13,E396)),1,0))+IF(Classifiers!$D$13="",0,IF(ISNUMBER(SEARCH(Classifiers!$D$13,E396)),1,0))+IF(Classifiers!$E$13="",0,IF(ISNUMBER(SEARCH(Classifiers!$E$13,E396)),1,0))+IF(Classifiers!$F$13="",0,IF(ISNUMBER(SEARCH(Classifiers!$F$13,E396)),1,0))+IF(Classifiers!$G$13="",0,IF(ISNUMBER(SEARCH(Classifiers!$G$13,E396)),1,0)))&gt;0,1,0))</f>
        <v/>
      </c>
      <c r="S396" s="12">
        <f>IF(H396&lt;&gt;1,0,IF((IF(Classifiers!$B$14="",0,IF(ISNUMBER(SEARCH(Classifiers!$B$14,E396)),1,0))+IF(Classifiers!$C$14="",0,IF(ISNUMBER(SEARCH(Classifiers!$C$14,E396)),1,0))+IF(Classifiers!$D$14="",0,IF(ISNUMBER(SEARCH(Classifiers!$D$14,E396)),1,0))+IF(Classifiers!$E$14="",0,IF(ISNUMBER(SEARCH(Classifiers!$E$14,E396)),1,0))+IF(Classifiers!$F$14="",0,IF(ISNUMBER(SEARCH(Classifiers!$F$14,E396)),1,0))+IF(Classifiers!$G$14="",0,IF(ISNUMBER(SEARCH(Classifiers!$G$14,E396)),1,0)))&gt;0,1,0))</f>
        <v/>
      </c>
      <c r="T396" s="12">
        <f>IF(H396&lt;&gt;1,0,IF((IF(Classifiers!$B$15="",0,IF(ISNUMBER(SEARCH(Classifiers!$B$15,E396)),1,0))+IF(Classifiers!$C$15="",0,IF(ISNUMBER(SEARCH(Classifiers!$C$15,E396)),1,0))+IF(Classifiers!$D$15="",0,IF(ISNUMBER(SEARCH(Classifiers!$D$15,E396)),1,0))+IF(Classifiers!$E$15="",0,IF(ISNUMBER(SEARCH(Classifiers!$E$15,E396)),1,0))+IF(Classifiers!$F$15="",0,IF(ISNUMBER(SEARCH(Classifiers!$F$15,E396)),1,0))+IF(Classifiers!$G$15="",0,IF(ISNUMBER(SEARCH(Classifiers!$G$15,E396)),1,0)))&gt;0,1,0))</f>
        <v/>
      </c>
      <c r="U396" s="12">
        <f>IF(H396&lt;&gt;1,0,IF((IF(Classifiers!$B$16="",0,IF(ISNUMBER(SEARCH(Classifiers!$B$16,E396)),1,0))+IF(Classifiers!$C$16="",0,IF(ISNUMBER(SEARCH(Classifiers!$C$16,E396)),1,0))+IF(Classifiers!$D$16="",0,IF(ISNUMBER(SEARCH(Classifiers!$D$16,E396)),1,0))+IF(Classifiers!$E$16="",0,IF(ISNUMBER(SEARCH(Classifiers!$E$16,E396)),1,0))+IF(Classifiers!$F$16="",0,IF(ISNUMBER(SEARCH(Classifiers!$F$16,E396)),1,0))+IF(Classifiers!$G$16="",0,IF(ISNUMBER(SEARCH(Classifiers!$G$16,E396)),1,0)))&gt;0,1,0))</f>
        <v/>
      </c>
      <c r="V396" s="12">
        <f>IF(H396&lt;&gt;1,0,IF((IF(Classifiers!$B$17="",0,IF(ISNUMBER(SEARCH(Classifiers!$B$17,E396)),1,0))+IF(Classifiers!$C$17="",0,IF(ISNUMBER(SEARCH(Classifiers!$C$17,E396)),1,0))+IF(Classifiers!$D$17="",0,IF(ISNUMBER(SEARCH(Classifiers!$D$17,E396)),1,0))+IF(Classifiers!$E$17="",0,IF(ISNUMBER(SEARCH(Classifiers!$E$17,E396)),1,0))+IF(Classifiers!$F$17="",0,IF(ISNUMBER(SEARCH(Classifiers!$F$17,E396)),1,0))+IF(Classifiers!$G$17="",0,IF(ISNUMBER(SEARCH(Classifiers!$G$17,E396)),1,0)))&gt;0,1,0))</f>
        <v/>
      </c>
      <c r="W396" s="12">
        <f>IF(H396&lt;&gt;1,0,IF((IF(Classifiers!$B$18="",0,IF(ISNUMBER(SEARCH(Classifiers!$B$18,E396)),1,0))+IF(Classifiers!$C$18="",0,IF(ISNUMBER(SEARCH(Classifiers!$C$18,E396)),1,0))+IF(Classifiers!$D$18="",0,IF(ISNUMBER(SEARCH(Classifiers!$D$18,E396)),1,0))+IF(Classifiers!$E$18="",0,IF(ISNUMBER(SEARCH(Classifiers!$E$18,E396)),1,0))+IF(Classifiers!$F$18="",0,IF(ISNUMBER(SEARCH(Classifiers!$F$18,E396)),1,0))+IF(Classifiers!$G$18="",0,IF(ISNUMBER(SEARCH(Classifiers!$G$18,E396)),1,0)))&gt;0,1,0))</f>
        <v/>
      </c>
    </row>
    <row r="397">
      <c r="A397" s="8" t="n"/>
      <c r="B397" s="11" t="n"/>
      <c r="C397" s="6">
        <f>IF(A397="","",TRIM(RIGHT(SUBSTITUTE(A397,"/",REPT(" ",250)),250)))</f>
        <v/>
      </c>
      <c r="D397" s="6">
        <f>IF(C397="","",IF(ISNUMBER(SEARCH(".",C397)),LOWER("."&amp;TRIM(RIGHT(SUBSTITUTE(C397,".",REPT(" ",250)),250))),""))</f>
        <v/>
      </c>
      <c r="E397" s="6">
        <f>IF(C397="","",TRIM(SUBSTITUTE(SUBSTITUTE(SUBSTITUTE(SUBSTITUTE(SUBSTITUTE(SUBSTITUTE(SUBSTITUTE(SUBSTITUTE(SUBSTITUTE(SUBSTITUTE(SUBSTITUTE(SUBSTITUTE(SUBSTITUTE(SUBSTITUTE(SUBSTITUTE(SUBSTITUTE(SUBSTITUTE(SUBSTITUTE(SUBSTITUTE(SUBSTITUTE(LOWER(LEFT(C397,LEN(C397)-LEN(D397))),"_"," "),"-"," "),"."," "),","," "),"("," "),")"," "),"["," "),"]"," "),"&amp;"," "),"+"," "),"@"," "),"#"," "),"!"," "),"'"," "),"/"," "),":"," "),";"," "),"="," "),"~"," "),"%"," ")))</f>
        <v/>
      </c>
      <c r="F397" s="6">
        <f>IF(C397="","",IF(COUNTIF(Classifiers!$A$23:$A$40,D397)&gt;0,1,0))</f>
        <v/>
      </c>
      <c r="G397" s="6">
        <f>IF(C397="","",IF(COUNTIF(Classifiers!$C$23:$C$30,D397)&gt;0,IF((IF(ISNUMBER(SEARCH(Classifiers!$E$23,E397)),1,0)+IF(ISNUMBER(SEARCH(Classifiers!$E$24,E397)),1,0)+IF(ISNUMBER(SEARCH(Classifiers!$E$25,E397)),1,0)+IF(ISNUMBER(SEARCH(Classifiers!$E$26,E397)),1,0)+IF(ISNUMBER(SEARCH(Classifiers!$E$27,E397)),1,0)+IF(ISNUMBER(SEARCH(Classifiers!$E$28,E397)),1,0)+IF(ISNUMBER(SEARCH(Classifiers!$E$29,E397)),1,0)+IF(ISNUMBER(SEARCH(Classifiers!$E$30,E397)),1,0))&gt;0,1,0),0))</f>
        <v/>
      </c>
      <c r="H397" s="6">
        <f>IF(C397="","",IF(OR(LEFT(C397,1)=".",AND(F397=0,G397=0)),0,1))</f>
        <v/>
      </c>
      <c r="I397" s="6">
        <f>IF(H397&lt;&gt;1,"",IF(SUM(J397:W397)=0,"unclassified",INDEX(Classifiers!$A$5:$A$18,MATCH(1,J397:W397,0),1)))</f>
        <v/>
      </c>
      <c r="J397" s="12">
        <f>IF(H397&lt;&gt;1,0,IF((IF(Classifiers!$B$5="",0,IF(ISNUMBER(SEARCH(Classifiers!$B$5,E397)),1,0))+IF(Classifiers!$C$5="",0,IF(ISNUMBER(SEARCH(Classifiers!$C$5,E397)),1,0))+IF(Classifiers!$D$5="",0,IF(ISNUMBER(SEARCH(Classifiers!$D$5,E397)),1,0))+IF(Classifiers!$E$5="",0,IF(ISNUMBER(SEARCH(Classifiers!$E$5,E397)),1,0))+IF(Classifiers!$F$5="",0,IF(ISNUMBER(SEARCH(Classifiers!$F$5,E397)),1,0))+IF(Classifiers!$G$5="",0,IF(ISNUMBER(SEARCH(Classifiers!$G$5,E397)),1,0)))&gt;0,1,0))</f>
        <v/>
      </c>
      <c r="K397" s="12">
        <f>IF(H397&lt;&gt;1,0,IF((IF(Classifiers!$B$6="",0,IF(ISNUMBER(SEARCH(Classifiers!$B$6,E397)),1,0))+IF(Classifiers!$C$6="",0,IF(ISNUMBER(SEARCH(Classifiers!$C$6,E397)),1,0))+IF(Classifiers!$D$6="",0,IF(ISNUMBER(SEARCH(Classifiers!$D$6,E397)),1,0))+IF(Classifiers!$E$6="",0,IF(ISNUMBER(SEARCH(Classifiers!$E$6,E397)),1,0))+IF(Classifiers!$F$6="",0,IF(ISNUMBER(SEARCH(Classifiers!$F$6,E397)),1,0))+IF(Classifiers!$G$6="",0,IF(ISNUMBER(SEARCH(Classifiers!$G$6,E397)),1,0)))&gt;0,1,0))</f>
        <v/>
      </c>
      <c r="L397" s="12">
        <f>IF(H397&lt;&gt;1,0,IF((IF(Classifiers!$B$7="",0,IF(ISNUMBER(SEARCH(Classifiers!$B$7,E397)),1,0))+IF(Classifiers!$C$7="",0,IF(ISNUMBER(SEARCH(Classifiers!$C$7,E397)),1,0))+IF(Classifiers!$D$7="",0,IF(ISNUMBER(SEARCH(Classifiers!$D$7,E397)),1,0))+IF(Classifiers!$E$7="",0,IF(ISNUMBER(SEARCH(Classifiers!$E$7,E397)),1,0))+IF(Classifiers!$F$7="",0,IF(ISNUMBER(SEARCH(Classifiers!$F$7,E397)),1,0))+IF(Classifiers!$G$7="",0,IF(ISNUMBER(SEARCH(Classifiers!$G$7,E397)),1,0)))&gt;0,1,0))</f>
        <v/>
      </c>
      <c r="M397" s="12">
        <f>IF(H397&lt;&gt;1,0,IF((IF(Classifiers!$B$8="",0,IF(ISNUMBER(SEARCH(Classifiers!$B$8,E397)),1,0))+IF(Classifiers!$C$8="",0,IF(ISNUMBER(SEARCH(Classifiers!$C$8,E397)),1,0))+IF(Classifiers!$D$8="",0,IF(ISNUMBER(SEARCH(Classifiers!$D$8,E397)),1,0))+IF(Classifiers!$E$8="",0,IF(ISNUMBER(SEARCH(Classifiers!$E$8,E397)),1,0))+IF(Classifiers!$F$8="",0,IF(ISNUMBER(SEARCH(Classifiers!$F$8,E397)),1,0))+IF(Classifiers!$G$8="",0,IF(ISNUMBER(SEARCH(Classifiers!$G$8,E397)),1,0)))&gt;0,1,0))</f>
        <v/>
      </c>
      <c r="N397" s="12">
        <f>IF(H397&lt;&gt;1,0,IF((IF(Classifiers!$B$9="",0,IF(ISNUMBER(SEARCH(Classifiers!$B$9,E397)),1,0))+IF(Classifiers!$C$9="",0,IF(ISNUMBER(SEARCH(Classifiers!$C$9,E397)),1,0))+IF(Classifiers!$D$9="",0,IF(ISNUMBER(SEARCH(Classifiers!$D$9,E397)),1,0))+IF(Classifiers!$E$9="",0,IF(ISNUMBER(SEARCH(Classifiers!$E$9,E397)),1,0))+IF(Classifiers!$F$9="",0,IF(ISNUMBER(SEARCH(Classifiers!$F$9,E397)),1,0))+IF(Classifiers!$G$9="",0,IF(ISNUMBER(SEARCH(Classifiers!$G$9,E397)),1,0)))&gt;0,1,0))</f>
        <v/>
      </c>
      <c r="O397" s="12">
        <f>IF(H397&lt;&gt;1,0,IF((IF(Classifiers!$B$10="",0,IF(ISNUMBER(SEARCH(Classifiers!$B$10,E397)),1,0))+IF(Classifiers!$C$10="",0,IF(ISNUMBER(SEARCH(Classifiers!$C$10,E397)),1,0))+IF(Classifiers!$D$10="",0,IF(ISNUMBER(SEARCH(Classifiers!$D$10,E397)),1,0))+IF(Classifiers!$E$10="",0,IF(ISNUMBER(SEARCH(Classifiers!$E$10,E397)),1,0))+IF(Classifiers!$F$10="",0,IF(ISNUMBER(SEARCH(Classifiers!$F$10,E397)),1,0))+IF(Classifiers!$G$10="",0,IF(ISNUMBER(SEARCH(Classifiers!$G$10,E397)),1,0)))&gt;0,1,0))</f>
        <v/>
      </c>
      <c r="P397" s="12">
        <f>IF(H397&lt;&gt;1,0,IF((IF(Classifiers!$B$11="",0,IF(ISNUMBER(SEARCH(Classifiers!$B$11,E397)),1,0))+IF(Classifiers!$C$11="",0,IF(ISNUMBER(SEARCH(Classifiers!$C$11,E397)),1,0))+IF(Classifiers!$D$11="",0,IF(ISNUMBER(SEARCH(Classifiers!$D$11,E397)),1,0))+IF(Classifiers!$E$11="",0,IF(ISNUMBER(SEARCH(Classifiers!$E$11,E397)),1,0))+IF(Classifiers!$F$11="",0,IF(ISNUMBER(SEARCH(Classifiers!$F$11,E397)),1,0))+IF(Classifiers!$G$11="",0,IF(ISNUMBER(SEARCH(Classifiers!$G$11,E397)),1,0)))&gt;0,1,0))</f>
        <v/>
      </c>
      <c r="Q397" s="12">
        <f>IF(H397&lt;&gt;1,0,IF((IF(Classifiers!$B$12="",0,IF(ISNUMBER(SEARCH(Classifiers!$B$12,E397)),1,0))+IF(Classifiers!$C$12="",0,IF(ISNUMBER(SEARCH(Classifiers!$C$12,E397)),1,0))+IF(Classifiers!$D$12="",0,IF(ISNUMBER(SEARCH(Classifiers!$D$12,E397)),1,0))+IF(Classifiers!$E$12="",0,IF(ISNUMBER(SEARCH(Classifiers!$E$12,E397)),1,0))+IF(Classifiers!$F$12="",0,IF(ISNUMBER(SEARCH(Classifiers!$F$12,E397)),1,0))+IF(Classifiers!$G$12="",0,IF(ISNUMBER(SEARCH(Classifiers!$G$12,E397)),1,0)))&gt;0,1,0))</f>
        <v/>
      </c>
      <c r="R397" s="12">
        <f>IF(H397&lt;&gt;1,0,IF((IF(Classifiers!$B$13="",0,IF(ISNUMBER(SEARCH(Classifiers!$B$13,E397)),1,0))+IF(Classifiers!$C$13="",0,IF(ISNUMBER(SEARCH(Classifiers!$C$13,E397)),1,0))+IF(Classifiers!$D$13="",0,IF(ISNUMBER(SEARCH(Classifiers!$D$13,E397)),1,0))+IF(Classifiers!$E$13="",0,IF(ISNUMBER(SEARCH(Classifiers!$E$13,E397)),1,0))+IF(Classifiers!$F$13="",0,IF(ISNUMBER(SEARCH(Classifiers!$F$13,E397)),1,0))+IF(Classifiers!$G$13="",0,IF(ISNUMBER(SEARCH(Classifiers!$G$13,E397)),1,0)))&gt;0,1,0))</f>
        <v/>
      </c>
      <c r="S397" s="12">
        <f>IF(H397&lt;&gt;1,0,IF((IF(Classifiers!$B$14="",0,IF(ISNUMBER(SEARCH(Classifiers!$B$14,E397)),1,0))+IF(Classifiers!$C$14="",0,IF(ISNUMBER(SEARCH(Classifiers!$C$14,E397)),1,0))+IF(Classifiers!$D$14="",0,IF(ISNUMBER(SEARCH(Classifiers!$D$14,E397)),1,0))+IF(Classifiers!$E$14="",0,IF(ISNUMBER(SEARCH(Classifiers!$E$14,E397)),1,0))+IF(Classifiers!$F$14="",0,IF(ISNUMBER(SEARCH(Classifiers!$F$14,E397)),1,0))+IF(Classifiers!$G$14="",0,IF(ISNUMBER(SEARCH(Classifiers!$G$14,E397)),1,0)))&gt;0,1,0))</f>
        <v/>
      </c>
      <c r="T397" s="12">
        <f>IF(H397&lt;&gt;1,0,IF((IF(Classifiers!$B$15="",0,IF(ISNUMBER(SEARCH(Classifiers!$B$15,E397)),1,0))+IF(Classifiers!$C$15="",0,IF(ISNUMBER(SEARCH(Classifiers!$C$15,E397)),1,0))+IF(Classifiers!$D$15="",0,IF(ISNUMBER(SEARCH(Classifiers!$D$15,E397)),1,0))+IF(Classifiers!$E$15="",0,IF(ISNUMBER(SEARCH(Classifiers!$E$15,E397)),1,0))+IF(Classifiers!$F$15="",0,IF(ISNUMBER(SEARCH(Classifiers!$F$15,E397)),1,0))+IF(Classifiers!$G$15="",0,IF(ISNUMBER(SEARCH(Classifiers!$G$15,E397)),1,0)))&gt;0,1,0))</f>
        <v/>
      </c>
      <c r="U397" s="12">
        <f>IF(H397&lt;&gt;1,0,IF((IF(Classifiers!$B$16="",0,IF(ISNUMBER(SEARCH(Classifiers!$B$16,E397)),1,0))+IF(Classifiers!$C$16="",0,IF(ISNUMBER(SEARCH(Classifiers!$C$16,E397)),1,0))+IF(Classifiers!$D$16="",0,IF(ISNUMBER(SEARCH(Classifiers!$D$16,E397)),1,0))+IF(Classifiers!$E$16="",0,IF(ISNUMBER(SEARCH(Classifiers!$E$16,E397)),1,0))+IF(Classifiers!$F$16="",0,IF(ISNUMBER(SEARCH(Classifiers!$F$16,E397)),1,0))+IF(Classifiers!$G$16="",0,IF(ISNUMBER(SEARCH(Classifiers!$G$16,E397)),1,0)))&gt;0,1,0))</f>
        <v/>
      </c>
      <c r="V397" s="12">
        <f>IF(H397&lt;&gt;1,0,IF((IF(Classifiers!$B$17="",0,IF(ISNUMBER(SEARCH(Classifiers!$B$17,E397)),1,0))+IF(Classifiers!$C$17="",0,IF(ISNUMBER(SEARCH(Classifiers!$C$17,E397)),1,0))+IF(Classifiers!$D$17="",0,IF(ISNUMBER(SEARCH(Classifiers!$D$17,E397)),1,0))+IF(Classifiers!$E$17="",0,IF(ISNUMBER(SEARCH(Classifiers!$E$17,E397)),1,0))+IF(Classifiers!$F$17="",0,IF(ISNUMBER(SEARCH(Classifiers!$F$17,E397)),1,0))+IF(Classifiers!$G$17="",0,IF(ISNUMBER(SEARCH(Classifiers!$G$17,E397)),1,0)))&gt;0,1,0))</f>
        <v/>
      </c>
      <c r="W397" s="12">
        <f>IF(H397&lt;&gt;1,0,IF((IF(Classifiers!$B$18="",0,IF(ISNUMBER(SEARCH(Classifiers!$B$18,E397)),1,0))+IF(Classifiers!$C$18="",0,IF(ISNUMBER(SEARCH(Classifiers!$C$18,E397)),1,0))+IF(Classifiers!$D$18="",0,IF(ISNUMBER(SEARCH(Classifiers!$D$18,E397)),1,0))+IF(Classifiers!$E$18="",0,IF(ISNUMBER(SEARCH(Classifiers!$E$18,E397)),1,0))+IF(Classifiers!$F$18="",0,IF(ISNUMBER(SEARCH(Classifiers!$F$18,E397)),1,0))+IF(Classifiers!$G$18="",0,IF(ISNUMBER(SEARCH(Classifiers!$G$18,E397)),1,0)))&gt;0,1,0))</f>
        <v/>
      </c>
    </row>
    <row r="398">
      <c r="A398" s="8" t="n"/>
      <c r="B398" s="11" t="n"/>
      <c r="C398" s="6">
        <f>IF(A398="","",TRIM(RIGHT(SUBSTITUTE(A398,"/",REPT(" ",250)),250)))</f>
        <v/>
      </c>
      <c r="D398" s="6">
        <f>IF(C398="","",IF(ISNUMBER(SEARCH(".",C398)),LOWER("."&amp;TRIM(RIGHT(SUBSTITUTE(C398,".",REPT(" ",250)),250))),""))</f>
        <v/>
      </c>
      <c r="E398" s="6">
        <f>IF(C398="","",TRIM(SUBSTITUTE(SUBSTITUTE(SUBSTITUTE(SUBSTITUTE(SUBSTITUTE(SUBSTITUTE(SUBSTITUTE(SUBSTITUTE(SUBSTITUTE(SUBSTITUTE(SUBSTITUTE(SUBSTITUTE(SUBSTITUTE(SUBSTITUTE(SUBSTITUTE(SUBSTITUTE(SUBSTITUTE(SUBSTITUTE(SUBSTITUTE(SUBSTITUTE(LOWER(LEFT(C398,LEN(C398)-LEN(D398))),"_"," "),"-"," "),"."," "),","," "),"("," "),")"," "),"["," "),"]"," "),"&amp;"," "),"+"," "),"@"," "),"#"," "),"!"," "),"'"," "),"/"," "),":"," "),";"," "),"="," "),"~"," "),"%"," ")))</f>
        <v/>
      </c>
      <c r="F398" s="6">
        <f>IF(C398="","",IF(COUNTIF(Classifiers!$A$23:$A$40,D398)&gt;0,1,0))</f>
        <v/>
      </c>
      <c r="G398" s="6">
        <f>IF(C398="","",IF(COUNTIF(Classifiers!$C$23:$C$30,D398)&gt;0,IF((IF(ISNUMBER(SEARCH(Classifiers!$E$23,E398)),1,0)+IF(ISNUMBER(SEARCH(Classifiers!$E$24,E398)),1,0)+IF(ISNUMBER(SEARCH(Classifiers!$E$25,E398)),1,0)+IF(ISNUMBER(SEARCH(Classifiers!$E$26,E398)),1,0)+IF(ISNUMBER(SEARCH(Classifiers!$E$27,E398)),1,0)+IF(ISNUMBER(SEARCH(Classifiers!$E$28,E398)),1,0)+IF(ISNUMBER(SEARCH(Classifiers!$E$29,E398)),1,0)+IF(ISNUMBER(SEARCH(Classifiers!$E$30,E398)),1,0))&gt;0,1,0),0))</f>
        <v/>
      </c>
      <c r="H398" s="6">
        <f>IF(C398="","",IF(OR(LEFT(C398,1)=".",AND(F398=0,G398=0)),0,1))</f>
        <v/>
      </c>
      <c r="I398" s="6">
        <f>IF(H398&lt;&gt;1,"",IF(SUM(J398:W398)=0,"unclassified",INDEX(Classifiers!$A$5:$A$18,MATCH(1,J398:W398,0),1)))</f>
        <v/>
      </c>
      <c r="J398" s="12">
        <f>IF(H398&lt;&gt;1,0,IF((IF(Classifiers!$B$5="",0,IF(ISNUMBER(SEARCH(Classifiers!$B$5,E398)),1,0))+IF(Classifiers!$C$5="",0,IF(ISNUMBER(SEARCH(Classifiers!$C$5,E398)),1,0))+IF(Classifiers!$D$5="",0,IF(ISNUMBER(SEARCH(Classifiers!$D$5,E398)),1,0))+IF(Classifiers!$E$5="",0,IF(ISNUMBER(SEARCH(Classifiers!$E$5,E398)),1,0))+IF(Classifiers!$F$5="",0,IF(ISNUMBER(SEARCH(Classifiers!$F$5,E398)),1,0))+IF(Classifiers!$G$5="",0,IF(ISNUMBER(SEARCH(Classifiers!$G$5,E398)),1,0)))&gt;0,1,0))</f>
        <v/>
      </c>
      <c r="K398" s="12">
        <f>IF(H398&lt;&gt;1,0,IF((IF(Classifiers!$B$6="",0,IF(ISNUMBER(SEARCH(Classifiers!$B$6,E398)),1,0))+IF(Classifiers!$C$6="",0,IF(ISNUMBER(SEARCH(Classifiers!$C$6,E398)),1,0))+IF(Classifiers!$D$6="",0,IF(ISNUMBER(SEARCH(Classifiers!$D$6,E398)),1,0))+IF(Classifiers!$E$6="",0,IF(ISNUMBER(SEARCH(Classifiers!$E$6,E398)),1,0))+IF(Classifiers!$F$6="",0,IF(ISNUMBER(SEARCH(Classifiers!$F$6,E398)),1,0))+IF(Classifiers!$G$6="",0,IF(ISNUMBER(SEARCH(Classifiers!$G$6,E398)),1,0)))&gt;0,1,0))</f>
        <v/>
      </c>
      <c r="L398" s="12">
        <f>IF(H398&lt;&gt;1,0,IF((IF(Classifiers!$B$7="",0,IF(ISNUMBER(SEARCH(Classifiers!$B$7,E398)),1,0))+IF(Classifiers!$C$7="",0,IF(ISNUMBER(SEARCH(Classifiers!$C$7,E398)),1,0))+IF(Classifiers!$D$7="",0,IF(ISNUMBER(SEARCH(Classifiers!$D$7,E398)),1,0))+IF(Classifiers!$E$7="",0,IF(ISNUMBER(SEARCH(Classifiers!$E$7,E398)),1,0))+IF(Classifiers!$F$7="",0,IF(ISNUMBER(SEARCH(Classifiers!$F$7,E398)),1,0))+IF(Classifiers!$G$7="",0,IF(ISNUMBER(SEARCH(Classifiers!$G$7,E398)),1,0)))&gt;0,1,0))</f>
        <v/>
      </c>
      <c r="M398" s="12">
        <f>IF(H398&lt;&gt;1,0,IF((IF(Classifiers!$B$8="",0,IF(ISNUMBER(SEARCH(Classifiers!$B$8,E398)),1,0))+IF(Classifiers!$C$8="",0,IF(ISNUMBER(SEARCH(Classifiers!$C$8,E398)),1,0))+IF(Classifiers!$D$8="",0,IF(ISNUMBER(SEARCH(Classifiers!$D$8,E398)),1,0))+IF(Classifiers!$E$8="",0,IF(ISNUMBER(SEARCH(Classifiers!$E$8,E398)),1,0))+IF(Classifiers!$F$8="",0,IF(ISNUMBER(SEARCH(Classifiers!$F$8,E398)),1,0))+IF(Classifiers!$G$8="",0,IF(ISNUMBER(SEARCH(Classifiers!$G$8,E398)),1,0)))&gt;0,1,0))</f>
        <v/>
      </c>
      <c r="N398" s="12">
        <f>IF(H398&lt;&gt;1,0,IF((IF(Classifiers!$B$9="",0,IF(ISNUMBER(SEARCH(Classifiers!$B$9,E398)),1,0))+IF(Classifiers!$C$9="",0,IF(ISNUMBER(SEARCH(Classifiers!$C$9,E398)),1,0))+IF(Classifiers!$D$9="",0,IF(ISNUMBER(SEARCH(Classifiers!$D$9,E398)),1,0))+IF(Classifiers!$E$9="",0,IF(ISNUMBER(SEARCH(Classifiers!$E$9,E398)),1,0))+IF(Classifiers!$F$9="",0,IF(ISNUMBER(SEARCH(Classifiers!$F$9,E398)),1,0))+IF(Classifiers!$G$9="",0,IF(ISNUMBER(SEARCH(Classifiers!$G$9,E398)),1,0)))&gt;0,1,0))</f>
        <v/>
      </c>
      <c r="O398" s="12">
        <f>IF(H398&lt;&gt;1,0,IF((IF(Classifiers!$B$10="",0,IF(ISNUMBER(SEARCH(Classifiers!$B$10,E398)),1,0))+IF(Classifiers!$C$10="",0,IF(ISNUMBER(SEARCH(Classifiers!$C$10,E398)),1,0))+IF(Classifiers!$D$10="",0,IF(ISNUMBER(SEARCH(Classifiers!$D$10,E398)),1,0))+IF(Classifiers!$E$10="",0,IF(ISNUMBER(SEARCH(Classifiers!$E$10,E398)),1,0))+IF(Classifiers!$F$10="",0,IF(ISNUMBER(SEARCH(Classifiers!$F$10,E398)),1,0))+IF(Classifiers!$G$10="",0,IF(ISNUMBER(SEARCH(Classifiers!$G$10,E398)),1,0)))&gt;0,1,0))</f>
        <v/>
      </c>
      <c r="P398" s="12">
        <f>IF(H398&lt;&gt;1,0,IF((IF(Classifiers!$B$11="",0,IF(ISNUMBER(SEARCH(Classifiers!$B$11,E398)),1,0))+IF(Classifiers!$C$11="",0,IF(ISNUMBER(SEARCH(Classifiers!$C$11,E398)),1,0))+IF(Classifiers!$D$11="",0,IF(ISNUMBER(SEARCH(Classifiers!$D$11,E398)),1,0))+IF(Classifiers!$E$11="",0,IF(ISNUMBER(SEARCH(Classifiers!$E$11,E398)),1,0))+IF(Classifiers!$F$11="",0,IF(ISNUMBER(SEARCH(Classifiers!$F$11,E398)),1,0))+IF(Classifiers!$G$11="",0,IF(ISNUMBER(SEARCH(Classifiers!$G$11,E398)),1,0)))&gt;0,1,0))</f>
        <v/>
      </c>
      <c r="Q398" s="12">
        <f>IF(H398&lt;&gt;1,0,IF((IF(Classifiers!$B$12="",0,IF(ISNUMBER(SEARCH(Classifiers!$B$12,E398)),1,0))+IF(Classifiers!$C$12="",0,IF(ISNUMBER(SEARCH(Classifiers!$C$12,E398)),1,0))+IF(Classifiers!$D$12="",0,IF(ISNUMBER(SEARCH(Classifiers!$D$12,E398)),1,0))+IF(Classifiers!$E$12="",0,IF(ISNUMBER(SEARCH(Classifiers!$E$12,E398)),1,0))+IF(Classifiers!$F$12="",0,IF(ISNUMBER(SEARCH(Classifiers!$F$12,E398)),1,0))+IF(Classifiers!$G$12="",0,IF(ISNUMBER(SEARCH(Classifiers!$G$12,E398)),1,0)))&gt;0,1,0))</f>
        <v/>
      </c>
      <c r="R398" s="12">
        <f>IF(H398&lt;&gt;1,0,IF((IF(Classifiers!$B$13="",0,IF(ISNUMBER(SEARCH(Classifiers!$B$13,E398)),1,0))+IF(Classifiers!$C$13="",0,IF(ISNUMBER(SEARCH(Classifiers!$C$13,E398)),1,0))+IF(Classifiers!$D$13="",0,IF(ISNUMBER(SEARCH(Classifiers!$D$13,E398)),1,0))+IF(Classifiers!$E$13="",0,IF(ISNUMBER(SEARCH(Classifiers!$E$13,E398)),1,0))+IF(Classifiers!$F$13="",0,IF(ISNUMBER(SEARCH(Classifiers!$F$13,E398)),1,0))+IF(Classifiers!$G$13="",0,IF(ISNUMBER(SEARCH(Classifiers!$G$13,E398)),1,0)))&gt;0,1,0))</f>
        <v/>
      </c>
      <c r="S398" s="12">
        <f>IF(H398&lt;&gt;1,0,IF((IF(Classifiers!$B$14="",0,IF(ISNUMBER(SEARCH(Classifiers!$B$14,E398)),1,0))+IF(Classifiers!$C$14="",0,IF(ISNUMBER(SEARCH(Classifiers!$C$14,E398)),1,0))+IF(Classifiers!$D$14="",0,IF(ISNUMBER(SEARCH(Classifiers!$D$14,E398)),1,0))+IF(Classifiers!$E$14="",0,IF(ISNUMBER(SEARCH(Classifiers!$E$14,E398)),1,0))+IF(Classifiers!$F$14="",0,IF(ISNUMBER(SEARCH(Classifiers!$F$14,E398)),1,0))+IF(Classifiers!$G$14="",0,IF(ISNUMBER(SEARCH(Classifiers!$G$14,E398)),1,0)))&gt;0,1,0))</f>
        <v/>
      </c>
      <c r="T398" s="12">
        <f>IF(H398&lt;&gt;1,0,IF((IF(Classifiers!$B$15="",0,IF(ISNUMBER(SEARCH(Classifiers!$B$15,E398)),1,0))+IF(Classifiers!$C$15="",0,IF(ISNUMBER(SEARCH(Classifiers!$C$15,E398)),1,0))+IF(Classifiers!$D$15="",0,IF(ISNUMBER(SEARCH(Classifiers!$D$15,E398)),1,0))+IF(Classifiers!$E$15="",0,IF(ISNUMBER(SEARCH(Classifiers!$E$15,E398)),1,0))+IF(Classifiers!$F$15="",0,IF(ISNUMBER(SEARCH(Classifiers!$F$15,E398)),1,0))+IF(Classifiers!$G$15="",0,IF(ISNUMBER(SEARCH(Classifiers!$G$15,E398)),1,0)))&gt;0,1,0))</f>
        <v/>
      </c>
      <c r="U398" s="12">
        <f>IF(H398&lt;&gt;1,0,IF((IF(Classifiers!$B$16="",0,IF(ISNUMBER(SEARCH(Classifiers!$B$16,E398)),1,0))+IF(Classifiers!$C$16="",0,IF(ISNUMBER(SEARCH(Classifiers!$C$16,E398)),1,0))+IF(Classifiers!$D$16="",0,IF(ISNUMBER(SEARCH(Classifiers!$D$16,E398)),1,0))+IF(Classifiers!$E$16="",0,IF(ISNUMBER(SEARCH(Classifiers!$E$16,E398)),1,0))+IF(Classifiers!$F$16="",0,IF(ISNUMBER(SEARCH(Classifiers!$F$16,E398)),1,0))+IF(Classifiers!$G$16="",0,IF(ISNUMBER(SEARCH(Classifiers!$G$16,E398)),1,0)))&gt;0,1,0))</f>
        <v/>
      </c>
      <c r="V398" s="12">
        <f>IF(H398&lt;&gt;1,0,IF((IF(Classifiers!$B$17="",0,IF(ISNUMBER(SEARCH(Classifiers!$B$17,E398)),1,0))+IF(Classifiers!$C$17="",0,IF(ISNUMBER(SEARCH(Classifiers!$C$17,E398)),1,0))+IF(Classifiers!$D$17="",0,IF(ISNUMBER(SEARCH(Classifiers!$D$17,E398)),1,0))+IF(Classifiers!$E$17="",0,IF(ISNUMBER(SEARCH(Classifiers!$E$17,E398)),1,0))+IF(Classifiers!$F$17="",0,IF(ISNUMBER(SEARCH(Classifiers!$F$17,E398)),1,0))+IF(Classifiers!$G$17="",0,IF(ISNUMBER(SEARCH(Classifiers!$G$17,E398)),1,0)))&gt;0,1,0))</f>
        <v/>
      </c>
      <c r="W398" s="12">
        <f>IF(H398&lt;&gt;1,0,IF((IF(Classifiers!$B$18="",0,IF(ISNUMBER(SEARCH(Classifiers!$B$18,E398)),1,0))+IF(Classifiers!$C$18="",0,IF(ISNUMBER(SEARCH(Classifiers!$C$18,E398)),1,0))+IF(Classifiers!$D$18="",0,IF(ISNUMBER(SEARCH(Classifiers!$D$18,E398)),1,0))+IF(Classifiers!$E$18="",0,IF(ISNUMBER(SEARCH(Classifiers!$E$18,E398)),1,0))+IF(Classifiers!$F$18="",0,IF(ISNUMBER(SEARCH(Classifiers!$F$18,E398)),1,0))+IF(Classifiers!$G$18="",0,IF(ISNUMBER(SEARCH(Classifiers!$G$18,E398)),1,0)))&gt;0,1,0))</f>
        <v/>
      </c>
    </row>
    <row r="399">
      <c r="A399" s="8" t="n"/>
      <c r="B399" s="11" t="n"/>
      <c r="C399" s="6">
        <f>IF(A399="","",TRIM(RIGHT(SUBSTITUTE(A399,"/",REPT(" ",250)),250)))</f>
        <v/>
      </c>
      <c r="D399" s="6">
        <f>IF(C399="","",IF(ISNUMBER(SEARCH(".",C399)),LOWER("."&amp;TRIM(RIGHT(SUBSTITUTE(C399,".",REPT(" ",250)),250))),""))</f>
        <v/>
      </c>
      <c r="E399" s="6">
        <f>IF(C399="","",TRIM(SUBSTITUTE(SUBSTITUTE(SUBSTITUTE(SUBSTITUTE(SUBSTITUTE(SUBSTITUTE(SUBSTITUTE(SUBSTITUTE(SUBSTITUTE(SUBSTITUTE(SUBSTITUTE(SUBSTITUTE(SUBSTITUTE(SUBSTITUTE(SUBSTITUTE(SUBSTITUTE(SUBSTITUTE(SUBSTITUTE(SUBSTITUTE(SUBSTITUTE(LOWER(LEFT(C399,LEN(C399)-LEN(D399))),"_"," "),"-"," "),"."," "),","," "),"("," "),")"," "),"["," "),"]"," "),"&amp;"," "),"+"," "),"@"," "),"#"," "),"!"," "),"'"," "),"/"," "),":"," "),";"," "),"="," "),"~"," "),"%"," ")))</f>
        <v/>
      </c>
      <c r="F399" s="6">
        <f>IF(C399="","",IF(COUNTIF(Classifiers!$A$23:$A$40,D399)&gt;0,1,0))</f>
        <v/>
      </c>
      <c r="G399" s="6">
        <f>IF(C399="","",IF(COUNTIF(Classifiers!$C$23:$C$30,D399)&gt;0,IF((IF(ISNUMBER(SEARCH(Classifiers!$E$23,E399)),1,0)+IF(ISNUMBER(SEARCH(Classifiers!$E$24,E399)),1,0)+IF(ISNUMBER(SEARCH(Classifiers!$E$25,E399)),1,0)+IF(ISNUMBER(SEARCH(Classifiers!$E$26,E399)),1,0)+IF(ISNUMBER(SEARCH(Classifiers!$E$27,E399)),1,0)+IF(ISNUMBER(SEARCH(Classifiers!$E$28,E399)),1,0)+IF(ISNUMBER(SEARCH(Classifiers!$E$29,E399)),1,0)+IF(ISNUMBER(SEARCH(Classifiers!$E$30,E399)),1,0))&gt;0,1,0),0))</f>
        <v/>
      </c>
      <c r="H399" s="6">
        <f>IF(C399="","",IF(OR(LEFT(C399,1)=".",AND(F399=0,G399=0)),0,1))</f>
        <v/>
      </c>
      <c r="I399" s="6">
        <f>IF(H399&lt;&gt;1,"",IF(SUM(J399:W399)=0,"unclassified",INDEX(Classifiers!$A$5:$A$18,MATCH(1,J399:W399,0),1)))</f>
        <v/>
      </c>
      <c r="J399" s="12">
        <f>IF(H399&lt;&gt;1,0,IF((IF(Classifiers!$B$5="",0,IF(ISNUMBER(SEARCH(Classifiers!$B$5,E399)),1,0))+IF(Classifiers!$C$5="",0,IF(ISNUMBER(SEARCH(Classifiers!$C$5,E399)),1,0))+IF(Classifiers!$D$5="",0,IF(ISNUMBER(SEARCH(Classifiers!$D$5,E399)),1,0))+IF(Classifiers!$E$5="",0,IF(ISNUMBER(SEARCH(Classifiers!$E$5,E399)),1,0))+IF(Classifiers!$F$5="",0,IF(ISNUMBER(SEARCH(Classifiers!$F$5,E399)),1,0))+IF(Classifiers!$G$5="",0,IF(ISNUMBER(SEARCH(Classifiers!$G$5,E399)),1,0)))&gt;0,1,0))</f>
        <v/>
      </c>
      <c r="K399" s="12">
        <f>IF(H399&lt;&gt;1,0,IF((IF(Classifiers!$B$6="",0,IF(ISNUMBER(SEARCH(Classifiers!$B$6,E399)),1,0))+IF(Classifiers!$C$6="",0,IF(ISNUMBER(SEARCH(Classifiers!$C$6,E399)),1,0))+IF(Classifiers!$D$6="",0,IF(ISNUMBER(SEARCH(Classifiers!$D$6,E399)),1,0))+IF(Classifiers!$E$6="",0,IF(ISNUMBER(SEARCH(Classifiers!$E$6,E399)),1,0))+IF(Classifiers!$F$6="",0,IF(ISNUMBER(SEARCH(Classifiers!$F$6,E399)),1,0))+IF(Classifiers!$G$6="",0,IF(ISNUMBER(SEARCH(Classifiers!$G$6,E399)),1,0)))&gt;0,1,0))</f>
        <v/>
      </c>
      <c r="L399" s="12">
        <f>IF(H399&lt;&gt;1,0,IF((IF(Classifiers!$B$7="",0,IF(ISNUMBER(SEARCH(Classifiers!$B$7,E399)),1,0))+IF(Classifiers!$C$7="",0,IF(ISNUMBER(SEARCH(Classifiers!$C$7,E399)),1,0))+IF(Classifiers!$D$7="",0,IF(ISNUMBER(SEARCH(Classifiers!$D$7,E399)),1,0))+IF(Classifiers!$E$7="",0,IF(ISNUMBER(SEARCH(Classifiers!$E$7,E399)),1,0))+IF(Classifiers!$F$7="",0,IF(ISNUMBER(SEARCH(Classifiers!$F$7,E399)),1,0))+IF(Classifiers!$G$7="",0,IF(ISNUMBER(SEARCH(Classifiers!$G$7,E399)),1,0)))&gt;0,1,0))</f>
        <v/>
      </c>
      <c r="M399" s="12">
        <f>IF(H399&lt;&gt;1,0,IF((IF(Classifiers!$B$8="",0,IF(ISNUMBER(SEARCH(Classifiers!$B$8,E399)),1,0))+IF(Classifiers!$C$8="",0,IF(ISNUMBER(SEARCH(Classifiers!$C$8,E399)),1,0))+IF(Classifiers!$D$8="",0,IF(ISNUMBER(SEARCH(Classifiers!$D$8,E399)),1,0))+IF(Classifiers!$E$8="",0,IF(ISNUMBER(SEARCH(Classifiers!$E$8,E399)),1,0))+IF(Classifiers!$F$8="",0,IF(ISNUMBER(SEARCH(Classifiers!$F$8,E399)),1,0))+IF(Classifiers!$G$8="",0,IF(ISNUMBER(SEARCH(Classifiers!$G$8,E399)),1,0)))&gt;0,1,0))</f>
        <v/>
      </c>
      <c r="N399" s="12">
        <f>IF(H399&lt;&gt;1,0,IF((IF(Classifiers!$B$9="",0,IF(ISNUMBER(SEARCH(Classifiers!$B$9,E399)),1,0))+IF(Classifiers!$C$9="",0,IF(ISNUMBER(SEARCH(Classifiers!$C$9,E399)),1,0))+IF(Classifiers!$D$9="",0,IF(ISNUMBER(SEARCH(Classifiers!$D$9,E399)),1,0))+IF(Classifiers!$E$9="",0,IF(ISNUMBER(SEARCH(Classifiers!$E$9,E399)),1,0))+IF(Classifiers!$F$9="",0,IF(ISNUMBER(SEARCH(Classifiers!$F$9,E399)),1,0))+IF(Classifiers!$G$9="",0,IF(ISNUMBER(SEARCH(Classifiers!$G$9,E399)),1,0)))&gt;0,1,0))</f>
        <v/>
      </c>
      <c r="O399" s="12">
        <f>IF(H399&lt;&gt;1,0,IF((IF(Classifiers!$B$10="",0,IF(ISNUMBER(SEARCH(Classifiers!$B$10,E399)),1,0))+IF(Classifiers!$C$10="",0,IF(ISNUMBER(SEARCH(Classifiers!$C$10,E399)),1,0))+IF(Classifiers!$D$10="",0,IF(ISNUMBER(SEARCH(Classifiers!$D$10,E399)),1,0))+IF(Classifiers!$E$10="",0,IF(ISNUMBER(SEARCH(Classifiers!$E$10,E399)),1,0))+IF(Classifiers!$F$10="",0,IF(ISNUMBER(SEARCH(Classifiers!$F$10,E399)),1,0))+IF(Classifiers!$G$10="",0,IF(ISNUMBER(SEARCH(Classifiers!$G$10,E399)),1,0)))&gt;0,1,0))</f>
        <v/>
      </c>
      <c r="P399" s="12">
        <f>IF(H399&lt;&gt;1,0,IF((IF(Classifiers!$B$11="",0,IF(ISNUMBER(SEARCH(Classifiers!$B$11,E399)),1,0))+IF(Classifiers!$C$11="",0,IF(ISNUMBER(SEARCH(Classifiers!$C$11,E399)),1,0))+IF(Classifiers!$D$11="",0,IF(ISNUMBER(SEARCH(Classifiers!$D$11,E399)),1,0))+IF(Classifiers!$E$11="",0,IF(ISNUMBER(SEARCH(Classifiers!$E$11,E399)),1,0))+IF(Classifiers!$F$11="",0,IF(ISNUMBER(SEARCH(Classifiers!$F$11,E399)),1,0))+IF(Classifiers!$G$11="",0,IF(ISNUMBER(SEARCH(Classifiers!$G$11,E399)),1,0)))&gt;0,1,0))</f>
        <v/>
      </c>
      <c r="Q399" s="12">
        <f>IF(H399&lt;&gt;1,0,IF((IF(Classifiers!$B$12="",0,IF(ISNUMBER(SEARCH(Classifiers!$B$12,E399)),1,0))+IF(Classifiers!$C$12="",0,IF(ISNUMBER(SEARCH(Classifiers!$C$12,E399)),1,0))+IF(Classifiers!$D$12="",0,IF(ISNUMBER(SEARCH(Classifiers!$D$12,E399)),1,0))+IF(Classifiers!$E$12="",0,IF(ISNUMBER(SEARCH(Classifiers!$E$12,E399)),1,0))+IF(Classifiers!$F$12="",0,IF(ISNUMBER(SEARCH(Classifiers!$F$12,E399)),1,0))+IF(Classifiers!$G$12="",0,IF(ISNUMBER(SEARCH(Classifiers!$G$12,E399)),1,0)))&gt;0,1,0))</f>
        <v/>
      </c>
      <c r="R399" s="12">
        <f>IF(H399&lt;&gt;1,0,IF((IF(Classifiers!$B$13="",0,IF(ISNUMBER(SEARCH(Classifiers!$B$13,E399)),1,0))+IF(Classifiers!$C$13="",0,IF(ISNUMBER(SEARCH(Classifiers!$C$13,E399)),1,0))+IF(Classifiers!$D$13="",0,IF(ISNUMBER(SEARCH(Classifiers!$D$13,E399)),1,0))+IF(Classifiers!$E$13="",0,IF(ISNUMBER(SEARCH(Classifiers!$E$13,E399)),1,0))+IF(Classifiers!$F$13="",0,IF(ISNUMBER(SEARCH(Classifiers!$F$13,E399)),1,0))+IF(Classifiers!$G$13="",0,IF(ISNUMBER(SEARCH(Classifiers!$G$13,E399)),1,0)))&gt;0,1,0))</f>
        <v/>
      </c>
      <c r="S399" s="12">
        <f>IF(H399&lt;&gt;1,0,IF((IF(Classifiers!$B$14="",0,IF(ISNUMBER(SEARCH(Classifiers!$B$14,E399)),1,0))+IF(Classifiers!$C$14="",0,IF(ISNUMBER(SEARCH(Classifiers!$C$14,E399)),1,0))+IF(Classifiers!$D$14="",0,IF(ISNUMBER(SEARCH(Classifiers!$D$14,E399)),1,0))+IF(Classifiers!$E$14="",0,IF(ISNUMBER(SEARCH(Classifiers!$E$14,E399)),1,0))+IF(Classifiers!$F$14="",0,IF(ISNUMBER(SEARCH(Classifiers!$F$14,E399)),1,0))+IF(Classifiers!$G$14="",0,IF(ISNUMBER(SEARCH(Classifiers!$G$14,E399)),1,0)))&gt;0,1,0))</f>
        <v/>
      </c>
      <c r="T399" s="12">
        <f>IF(H399&lt;&gt;1,0,IF((IF(Classifiers!$B$15="",0,IF(ISNUMBER(SEARCH(Classifiers!$B$15,E399)),1,0))+IF(Classifiers!$C$15="",0,IF(ISNUMBER(SEARCH(Classifiers!$C$15,E399)),1,0))+IF(Classifiers!$D$15="",0,IF(ISNUMBER(SEARCH(Classifiers!$D$15,E399)),1,0))+IF(Classifiers!$E$15="",0,IF(ISNUMBER(SEARCH(Classifiers!$E$15,E399)),1,0))+IF(Classifiers!$F$15="",0,IF(ISNUMBER(SEARCH(Classifiers!$F$15,E399)),1,0))+IF(Classifiers!$G$15="",0,IF(ISNUMBER(SEARCH(Classifiers!$G$15,E399)),1,0)))&gt;0,1,0))</f>
        <v/>
      </c>
      <c r="U399" s="12">
        <f>IF(H399&lt;&gt;1,0,IF((IF(Classifiers!$B$16="",0,IF(ISNUMBER(SEARCH(Classifiers!$B$16,E399)),1,0))+IF(Classifiers!$C$16="",0,IF(ISNUMBER(SEARCH(Classifiers!$C$16,E399)),1,0))+IF(Classifiers!$D$16="",0,IF(ISNUMBER(SEARCH(Classifiers!$D$16,E399)),1,0))+IF(Classifiers!$E$16="",0,IF(ISNUMBER(SEARCH(Classifiers!$E$16,E399)),1,0))+IF(Classifiers!$F$16="",0,IF(ISNUMBER(SEARCH(Classifiers!$F$16,E399)),1,0))+IF(Classifiers!$G$16="",0,IF(ISNUMBER(SEARCH(Classifiers!$G$16,E399)),1,0)))&gt;0,1,0))</f>
        <v/>
      </c>
      <c r="V399" s="12">
        <f>IF(H399&lt;&gt;1,0,IF((IF(Classifiers!$B$17="",0,IF(ISNUMBER(SEARCH(Classifiers!$B$17,E399)),1,0))+IF(Classifiers!$C$17="",0,IF(ISNUMBER(SEARCH(Classifiers!$C$17,E399)),1,0))+IF(Classifiers!$D$17="",0,IF(ISNUMBER(SEARCH(Classifiers!$D$17,E399)),1,0))+IF(Classifiers!$E$17="",0,IF(ISNUMBER(SEARCH(Classifiers!$E$17,E399)),1,0))+IF(Classifiers!$F$17="",0,IF(ISNUMBER(SEARCH(Classifiers!$F$17,E399)),1,0))+IF(Classifiers!$G$17="",0,IF(ISNUMBER(SEARCH(Classifiers!$G$17,E399)),1,0)))&gt;0,1,0))</f>
        <v/>
      </c>
      <c r="W399" s="12">
        <f>IF(H399&lt;&gt;1,0,IF((IF(Classifiers!$B$18="",0,IF(ISNUMBER(SEARCH(Classifiers!$B$18,E399)),1,0))+IF(Classifiers!$C$18="",0,IF(ISNUMBER(SEARCH(Classifiers!$C$18,E399)),1,0))+IF(Classifiers!$D$18="",0,IF(ISNUMBER(SEARCH(Classifiers!$D$18,E399)),1,0))+IF(Classifiers!$E$18="",0,IF(ISNUMBER(SEARCH(Classifiers!$E$18,E399)),1,0))+IF(Classifiers!$F$18="",0,IF(ISNUMBER(SEARCH(Classifiers!$F$18,E399)),1,0))+IF(Classifiers!$G$18="",0,IF(ISNUMBER(SEARCH(Classifiers!$G$18,E399)),1,0)))&gt;0,1,0))</f>
        <v/>
      </c>
    </row>
    <row r="400">
      <c r="A400" s="8" t="n"/>
      <c r="B400" s="11" t="n"/>
      <c r="C400" s="6">
        <f>IF(A400="","",TRIM(RIGHT(SUBSTITUTE(A400,"/",REPT(" ",250)),250)))</f>
        <v/>
      </c>
      <c r="D400" s="6">
        <f>IF(C400="","",IF(ISNUMBER(SEARCH(".",C400)),LOWER("."&amp;TRIM(RIGHT(SUBSTITUTE(C400,".",REPT(" ",250)),250))),""))</f>
        <v/>
      </c>
      <c r="E400" s="6">
        <f>IF(C400="","",TRIM(SUBSTITUTE(SUBSTITUTE(SUBSTITUTE(SUBSTITUTE(SUBSTITUTE(SUBSTITUTE(SUBSTITUTE(SUBSTITUTE(SUBSTITUTE(SUBSTITUTE(SUBSTITUTE(SUBSTITUTE(SUBSTITUTE(SUBSTITUTE(SUBSTITUTE(SUBSTITUTE(SUBSTITUTE(SUBSTITUTE(SUBSTITUTE(SUBSTITUTE(LOWER(LEFT(C400,LEN(C400)-LEN(D400))),"_"," "),"-"," "),"."," "),","," "),"("," "),")"," "),"["," "),"]"," "),"&amp;"," "),"+"," "),"@"," "),"#"," "),"!"," "),"'"," "),"/"," "),":"," "),";"," "),"="," "),"~"," "),"%"," ")))</f>
        <v/>
      </c>
      <c r="F400" s="6">
        <f>IF(C400="","",IF(COUNTIF(Classifiers!$A$23:$A$40,D400)&gt;0,1,0))</f>
        <v/>
      </c>
      <c r="G400" s="6">
        <f>IF(C400="","",IF(COUNTIF(Classifiers!$C$23:$C$30,D400)&gt;0,IF((IF(ISNUMBER(SEARCH(Classifiers!$E$23,E400)),1,0)+IF(ISNUMBER(SEARCH(Classifiers!$E$24,E400)),1,0)+IF(ISNUMBER(SEARCH(Classifiers!$E$25,E400)),1,0)+IF(ISNUMBER(SEARCH(Classifiers!$E$26,E400)),1,0)+IF(ISNUMBER(SEARCH(Classifiers!$E$27,E400)),1,0)+IF(ISNUMBER(SEARCH(Classifiers!$E$28,E400)),1,0)+IF(ISNUMBER(SEARCH(Classifiers!$E$29,E400)),1,0)+IF(ISNUMBER(SEARCH(Classifiers!$E$30,E400)),1,0))&gt;0,1,0),0))</f>
        <v/>
      </c>
      <c r="H400" s="6">
        <f>IF(C400="","",IF(OR(LEFT(C400,1)=".",AND(F400=0,G400=0)),0,1))</f>
        <v/>
      </c>
      <c r="I400" s="6">
        <f>IF(H400&lt;&gt;1,"",IF(SUM(J400:W400)=0,"unclassified",INDEX(Classifiers!$A$5:$A$18,MATCH(1,J400:W400,0),1)))</f>
        <v/>
      </c>
      <c r="J400" s="12">
        <f>IF(H400&lt;&gt;1,0,IF((IF(Classifiers!$B$5="",0,IF(ISNUMBER(SEARCH(Classifiers!$B$5,E400)),1,0))+IF(Classifiers!$C$5="",0,IF(ISNUMBER(SEARCH(Classifiers!$C$5,E400)),1,0))+IF(Classifiers!$D$5="",0,IF(ISNUMBER(SEARCH(Classifiers!$D$5,E400)),1,0))+IF(Classifiers!$E$5="",0,IF(ISNUMBER(SEARCH(Classifiers!$E$5,E400)),1,0))+IF(Classifiers!$F$5="",0,IF(ISNUMBER(SEARCH(Classifiers!$F$5,E400)),1,0))+IF(Classifiers!$G$5="",0,IF(ISNUMBER(SEARCH(Classifiers!$G$5,E400)),1,0)))&gt;0,1,0))</f>
        <v/>
      </c>
      <c r="K400" s="12">
        <f>IF(H400&lt;&gt;1,0,IF((IF(Classifiers!$B$6="",0,IF(ISNUMBER(SEARCH(Classifiers!$B$6,E400)),1,0))+IF(Classifiers!$C$6="",0,IF(ISNUMBER(SEARCH(Classifiers!$C$6,E400)),1,0))+IF(Classifiers!$D$6="",0,IF(ISNUMBER(SEARCH(Classifiers!$D$6,E400)),1,0))+IF(Classifiers!$E$6="",0,IF(ISNUMBER(SEARCH(Classifiers!$E$6,E400)),1,0))+IF(Classifiers!$F$6="",0,IF(ISNUMBER(SEARCH(Classifiers!$F$6,E400)),1,0))+IF(Classifiers!$G$6="",0,IF(ISNUMBER(SEARCH(Classifiers!$G$6,E400)),1,0)))&gt;0,1,0))</f>
        <v/>
      </c>
      <c r="L400" s="12">
        <f>IF(H400&lt;&gt;1,0,IF((IF(Classifiers!$B$7="",0,IF(ISNUMBER(SEARCH(Classifiers!$B$7,E400)),1,0))+IF(Classifiers!$C$7="",0,IF(ISNUMBER(SEARCH(Classifiers!$C$7,E400)),1,0))+IF(Classifiers!$D$7="",0,IF(ISNUMBER(SEARCH(Classifiers!$D$7,E400)),1,0))+IF(Classifiers!$E$7="",0,IF(ISNUMBER(SEARCH(Classifiers!$E$7,E400)),1,0))+IF(Classifiers!$F$7="",0,IF(ISNUMBER(SEARCH(Classifiers!$F$7,E400)),1,0))+IF(Classifiers!$G$7="",0,IF(ISNUMBER(SEARCH(Classifiers!$G$7,E400)),1,0)))&gt;0,1,0))</f>
        <v/>
      </c>
      <c r="M400" s="12">
        <f>IF(H400&lt;&gt;1,0,IF((IF(Classifiers!$B$8="",0,IF(ISNUMBER(SEARCH(Classifiers!$B$8,E400)),1,0))+IF(Classifiers!$C$8="",0,IF(ISNUMBER(SEARCH(Classifiers!$C$8,E400)),1,0))+IF(Classifiers!$D$8="",0,IF(ISNUMBER(SEARCH(Classifiers!$D$8,E400)),1,0))+IF(Classifiers!$E$8="",0,IF(ISNUMBER(SEARCH(Classifiers!$E$8,E400)),1,0))+IF(Classifiers!$F$8="",0,IF(ISNUMBER(SEARCH(Classifiers!$F$8,E400)),1,0))+IF(Classifiers!$G$8="",0,IF(ISNUMBER(SEARCH(Classifiers!$G$8,E400)),1,0)))&gt;0,1,0))</f>
        <v/>
      </c>
      <c r="N400" s="12">
        <f>IF(H400&lt;&gt;1,0,IF((IF(Classifiers!$B$9="",0,IF(ISNUMBER(SEARCH(Classifiers!$B$9,E400)),1,0))+IF(Classifiers!$C$9="",0,IF(ISNUMBER(SEARCH(Classifiers!$C$9,E400)),1,0))+IF(Classifiers!$D$9="",0,IF(ISNUMBER(SEARCH(Classifiers!$D$9,E400)),1,0))+IF(Classifiers!$E$9="",0,IF(ISNUMBER(SEARCH(Classifiers!$E$9,E400)),1,0))+IF(Classifiers!$F$9="",0,IF(ISNUMBER(SEARCH(Classifiers!$F$9,E400)),1,0))+IF(Classifiers!$G$9="",0,IF(ISNUMBER(SEARCH(Classifiers!$G$9,E400)),1,0)))&gt;0,1,0))</f>
        <v/>
      </c>
      <c r="O400" s="12">
        <f>IF(H400&lt;&gt;1,0,IF((IF(Classifiers!$B$10="",0,IF(ISNUMBER(SEARCH(Classifiers!$B$10,E400)),1,0))+IF(Classifiers!$C$10="",0,IF(ISNUMBER(SEARCH(Classifiers!$C$10,E400)),1,0))+IF(Classifiers!$D$10="",0,IF(ISNUMBER(SEARCH(Classifiers!$D$10,E400)),1,0))+IF(Classifiers!$E$10="",0,IF(ISNUMBER(SEARCH(Classifiers!$E$10,E400)),1,0))+IF(Classifiers!$F$10="",0,IF(ISNUMBER(SEARCH(Classifiers!$F$10,E400)),1,0))+IF(Classifiers!$G$10="",0,IF(ISNUMBER(SEARCH(Classifiers!$G$10,E400)),1,0)))&gt;0,1,0))</f>
        <v/>
      </c>
      <c r="P400" s="12">
        <f>IF(H400&lt;&gt;1,0,IF((IF(Classifiers!$B$11="",0,IF(ISNUMBER(SEARCH(Classifiers!$B$11,E400)),1,0))+IF(Classifiers!$C$11="",0,IF(ISNUMBER(SEARCH(Classifiers!$C$11,E400)),1,0))+IF(Classifiers!$D$11="",0,IF(ISNUMBER(SEARCH(Classifiers!$D$11,E400)),1,0))+IF(Classifiers!$E$11="",0,IF(ISNUMBER(SEARCH(Classifiers!$E$11,E400)),1,0))+IF(Classifiers!$F$11="",0,IF(ISNUMBER(SEARCH(Classifiers!$F$11,E400)),1,0))+IF(Classifiers!$G$11="",0,IF(ISNUMBER(SEARCH(Classifiers!$G$11,E400)),1,0)))&gt;0,1,0))</f>
        <v/>
      </c>
      <c r="Q400" s="12">
        <f>IF(H400&lt;&gt;1,0,IF((IF(Classifiers!$B$12="",0,IF(ISNUMBER(SEARCH(Classifiers!$B$12,E400)),1,0))+IF(Classifiers!$C$12="",0,IF(ISNUMBER(SEARCH(Classifiers!$C$12,E400)),1,0))+IF(Classifiers!$D$12="",0,IF(ISNUMBER(SEARCH(Classifiers!$D$12,E400)),1,0))+IF(Classifiers!$E$12="",0,IF(ISNUMBER(SEARCH(Classifiers!$E$12,E400)),1,0))+IF(Classifiers!$F$12="",0,IF(ISNUMBER(SEARCH(Classifiers!$F$12,E400)),1,0))+IF(Classifiers!$G$12="",0,IF(ISNUMBER(SEARCH(Classifiers!$G$12,E400)),1,0)))&gt;0,1,0))</f>
        <v/>
      </c>
      <c r="R400" s="12">
        <f>IF(H400&lt;&gt;1,0,IF((IF(Classifiers!$B$13="",0,IF(ISNUMBER(SEARCH(Classifiers!$B$13,E400)),1,0))+IF(Classifiers!$C$13="",0,IF(ISNUMBER(SEARCH(Classifiers!$C$13,E400)),1,0))+IF(Classifiers!$D$13="",0,IF(ISNUMBER(SEARCH(Classifiers!$D$13,E400)),1,0))+IF(Classifiers!$E$13="",0,IF(ISNUMBER(SEARCH(Classifiers!$E$13,E400)),1,0))+IF(Classifiers!$F$13="",0,IF(ISNUMBER(SEARCH(Classifiers!$F$13,E400)),1,0))+IF(Classifiers!$G$13="",0,IF(ISNUMBER(SEARCH(Classifiers!$G$13,E400)),1,0)))&gt;0,1,0))</f>
        <v/>
      </c>
      <c r="S400" s="12">
        <f>IF(H400&lt;&gt;1,0,IF((IF(Classifiers!$B$14="",0,IF(ISNUMBER(SEARCH(Classifiers!$B$14,E400)),1,0))+IF(Classifiers!$C$14="",0,IF(ISNUMBER(SEARCH(Classifiers!$C$14,E400)),1,0))+IF(Classifiers!$D$14="",0,IF(ISNUMBER(SEARCH(Classifiers!$D$14,E400)),1,0))+IF(Classifiers!$E$14="",0,IF(ISNUMBER(SEARCH(Classifiers!$E$14,E400)),1,0))+IF(Classifiers!$F$14="",0,IF(ISNUMBER(SEARCH(Classifiers!$F$14,E400)),1,0))+IF(Classifiers!$G$14="",0,IF(ISNUMBER(SEARCH(Classifiers!$G$14,E400)),1,0)))&gt;0,1,0))</f>
        <v/>
      </c>
      <c r="T400" s="12">
        <f>IF(H400&lt;&gt;1,0,IF((IF(Classifiers!$B$15="",0,IF(ISNUMBER(SEARCH(Classifiers!$B$15,E400)),1,0))+IF(Classifiers!$C$15="",0,IF(ISNUMBER(SEARCH(Classifiers!$C$15,E400)),1,0))+IF(Classifiers!$D$15="",0,IF(ISNUMBER(SEARCH(Classifiers!$D$15,E400)),1,0))+IF(Classifiers!$E$15="",0,IF(ISNUMBER(SEARCH(Classifiers!$E$15,E400)),1,0))+IF(Classifiers!$F$15="",0,IF(ISNUMBER(SEARCH(Classifiers!$F$15,E400)),1,0))+IF(Classifiers!$G$15="",0,IF(ISNUMBER(SEARCH(Classifiers!$G$15,E400)),1,0)))&gt;0,1,0))</f>
        <v/>
      </c>
      <c r="U400" s="12">
        <f>IF(H400&lt;&gt;1,0,IF((IF(Classifiers!$B$16="",0,IF(ISNUMBER(SEARCH(Classifiers!$B$16,E400)),1,0))+IF(Classifiers!$C$16="",0,IF(ISNUMBER(SEARCH(Classifiers!$C$16,E400)),1,0))+IF(Classifiers!$D$16="",0,IF(ISNUMBER(SEARCH(Classifiers!$D$16,E400)),1,0))+IF(Classifiers!$E$16="",0,IF(ISNUMBER(SEARCH(Classifiers!$E$16,E400)),1,0))+IF(Classifiers!$F$16="",0,IF(ISNUMBER(SEARCH(Classifiers!$F$16,E400)),1,0))+IF(Classifiers!$G$16="",0,IF(ISNUMBER(SEARCH(Classifiers!$G$16,E400)),1,0)))&gt;0,1,0))</f>
        <v/>
      </c>
      <c r="V400" s="12">
        <f>IF(H400&lt;&gt;1,0,IF((IF(Classifiers!$B$17="",0,IF(ISNUMBER(SEARCH(Classifiers!$B$17,E400)),1,0))+IF(Classifiers!$C$17="",0,IF(ISNUMBER(SEARCH(Classifiers!$C$17,E400)),1,0))+IF(Classifiers!$D$17="",0,IF(ISNUMBER(SEARCH(Classifiers!$D$17,E400)),1,0))+IF(Classifiers!$E$17="",0,IF(ISNUMBER(SEARCH(Classifiers!$E$17,E400)),1,0))+IF(Classifiers!$F$17="",0,IF(ISNUMBER(SEARCH(Classifiers!$F$17,E400)),1,0))+IF(Classifiers!$G$17="",0,IF(ISNUMBER(SEARCH(Classifiers!$G$17,E400)),1,0)))&gt;0,1,0))</f>
        <v/>
      </c>
      <c r="W400" s="12">
        <f>IF(H400&lt;&gt;1,0,IF((IF(Classifiers!$B$18="",0,IF(ISNUMBER(SEARCH(Classifiers!$B$18,E400)),1,0))+IF(Classifiers!$C$18="",0,IF(ISNUMBER(SEARCH(Classifiers!$C$18,E400)),1,0))+IF(Classifiers!$D$18="",0,IF(ISNUMBER(SEARCH(Classifiers!$D$18,E400)),1,0))+IF(Classifiers!$E$18="",0,IF(ISNUMBER(SEARCH(Classifiers!$E$18,E400)),1,0))+IF(Classifiers!$F$18="",0,IF(ISNUMBER(SEARCH(Classifiers!$F$18,E400)),1,0))+IF(Classifiers!$G$18="",0,IF(ISNUMBER(SEARCH(Classifiers!$G$18,E400)),1,0)))&gt;0,1,0))</f>
        <v/>
      </c>
    </row>
    <row r="401">
      <c r="A401" s="8" t="n"/>
      <c r="B401" s="11" t="n"/>
      <c r="C401" s="6">
        <f>IF(A401="","",TRIM(RIGHT(SUBSTITUTE(A401,"/",REPT(" ",250)),250)))</f>
        <v/>
      </c>
      <c r="D401" s="6">
        <f>IF(C401="","",IF(ISNUMBER(SEARCH(".",C401)),LOWER("."&amp;TRIM(RIGHT(SUBSTITUTE(C401,".",REPT(" ",250)),250))),""))</f>
        <v/>
      </c>
      <c r="E401" s="6">
        <f>IF(C401="","",TRIM(SUBSTITUTE(SUBSTITUTE(SUBSTITUTE(SUBSTITUTE(SUBSTITUTE(SUBSTITUTE(SUBSTITUTE(SUBSTITUTE(SUBSTITUTE(SUBSTITUTE(SUBSTITUTE(SUBSTITUTE(SUBSTITUTE(SUBSTITUTE(SUBSTITUTE(SUBSTITUTE(SUBSTITUTE(SUBSTITUTE(SUBSTITUTE(SUBSTITUTE(LOWER(LEFT(C401,LEN(C401)-LEN(D401))),"_"," "),"-"," "),"."," "),","," "),"("," "),")"," "),"["," "),"]"," "),"&amp;"," "),"+"," "),"@"," "),"#"," "),"!"," "),"'"," "),"/"," "),":"," "),";"," "),"="," "),"~"," "),"%"," ")))</f>
        <v/>
      </c>
      <c r="F401" s="6">
        <f>IF(C401="","",IF(COUNTIF(Classifiers!$A$23:$A$40,D401)&gt;0,1,0))</f>
        <v/>
      </c>
      <c r="G401" s="6">
        <f>IF(C401="","",IF(COUNTIF(Classifiers!$C$23:$C$30,D401)&gt;0,IF((IF(ISNUMBER(SEARCH(Classifiers!$E$23,E401)),1,0)+IF(ISNUMBER(SEARCH(Classifiers!$E$24,E401)),1,0)+IF(ISNUMBER(SEARCH(Classifiers!$E$25,E401)),1,0)+IF(ISNUMBER(SEARCH(Classifiers!$E$26,E401)),1,0)+IF(ISNUMBER(SEARCH(Classifiers!$E$27,E401)),1,0)+IF(ISNUMBER(SEARCH(Classifiers!$E$28,E401)),1,0)+IF(ISNUMBER(SEARCH(Classifiers!$E$29,E401)),1,0)+IF(ISNUMBER(SEARCH(Classifiers!$E$30,E401)),1,0))&gt;0,1,0),0))</f>
        <v/>
      </c>
      <c r="H401" s="6">
        <f>IF(C401="","",IF(OR(LEFT(C401,1)=".",AND(F401=0,G401=0)),0,1))</f>
        <v/>
      </c>
      <c r="I401" s="6">
        <f>IF(H401&lt;&gt;1,"",IF(SUM(J401:W401)=0,"unclassified",INDEX(Classifiers!$A$5:$A$18,MATCH(1,J401:W401,0),1)))</f>
        <v/>
      </c>
      <c r="J401" s="12">
        <f>IF(H401&lt;&gt;1,0,IF((IF(Classifiers!$B$5="",0,IF(ISNUMBER(SEARCH(Classifiers!$B$5,E401)),1,0))+IF(Classifiers!$C$5="",0,IF(ISNUMBER(SEARCH(Classifiers!$C$5,E401)),1,0))+IF(Classifiers!$D$5="",0,IF(ISNUMBER(SEARCH(Classifiers!$D$5,E401)),1,0))+IF(Classifiers!$E$5="",0,IF(ISNUMBER(SEARCH(Classifiers!$E$5,E401)),1,0))+IF(Classifiers!$F$5="",0,IF(ISNUMBER(SEARCH(Classifiers!$F$5,E401)),1,0))+IF(Classifiers!$G$5="",0,IF(ISNUMBER(SEARCH(Classifiers!$G$5,E401)),1,0)))&gt;0,1,0))</f>
        <v/>
      </c>
      <c r="K401" s="12">
        <f>IF(H401&lt;&gt;1,0,IF((IF(Classifiers!$B$6="",0,IF(ISNUMBER(SEARCH(Classifiers!$B$6,E401)),1,0))+IF(Classifiers!$C$6="",0,IF(ISNUMBER(SEARCH(Classifiers!$C$6,E401)),1,0))+IF(Classifiers!$D$6="",0,IF(ISNUMBER(SEARCH(Classifiers!$D$6,E401)),1,0))+IF(Classifiers!$E$6="",0,IF(ISNUMBER(SEARCH(Classifiers!$E$6,E401)),1,0))+IF(Classifiers!$F$6="",0,IF(ISNUMBER(SEARCH(Classifiers!$F$6,E401)),1,0))+IF(Classifiers!$G$6="",0,IF(ISNUMBER(SEARCH(Classifiers!$G$6,E401)),1,0)))&gt;0,1,0))</f>
        <v/>
      </c>
      <c r="L401" s="12">
        <f>IF(H401&lt;&gt;1,0,IF((IF(Classifiers!$B$7="",0,IF(ISNUMBER(SEARCH(Classifiers!$B$7,E401)),1,0))+IF(Classifiers!$C$7="",0,IF(ISNUMBER(SEARCH(Classifiers!$C$7,E401)),1,0))+IF(Classifiers!$D$7="",0,IF(ISNUMBER(SEARCH(Classifiers!$D$7,E401)),1,0))+IF(Classifiers!$E$7="",0,IF(ISNUMBER(SEARCH(Classifiers!$E$7,E401)),1,0))+IF(Classifiers!$F$7="",0,IF(ISNUMBER(SEARCH(Classifiers!$F$7,E401)),1,0))+IF(Classifiers!$G$7="",0,IF(ISNUMBER(SEARCH(Classifiers!$G$7,E401)),1,0)))&gt;0,1,0))</f>
        <v/>
      </c>
      <c r="M401" s="12">
        <f>IF(H401&lt;&gt;1,0,IF((IF(Classifiers!$B$8="",0,IF(ISNUMBER(SEARCH(Classifiers!$B$8,E401)),1,0))+IF(Classifiers!$C$8="",0,IF(ISNUMBER(SEARCH(Classifiers!$C$8,E401)),1,0))+IF(Classifiers!$D$8="",0,IF(ISNUMBER(SEARCH(Classifiers!$D$8,E401)),1,0))+IF(Classifiers!$E$8="",0,IF(ISNUMBER(SEARCH(Classifiers!$E$8,E401)),1,0))+IF(Classifiers!$F$8="",0,IF(ISNUMBER(SEARCH(Classifiers!$F$8,E401)),1,0))+IF(Classifiers!$G$8="",0,IF(ISNUMBER(SEARCH(Classifiers!$G$8,E401)),1,0)))&gt;0,1,0))</f>
        <v/>
      </c>
      <c r="N401" s="12">
        <f>IF(H401&lt;&gt;1,0,IF((IF(Classifiers!$B$9="",0,IF(ISNUMBER(SEARCH(Classifiers!$B$9,E401)),1,0))+IF(Classifiers!$C$9="",0,IF(ISNUMBER(SEARCH(Classifiers!$C$9,E401)),1,0))+IF(Classifiers!$D$9="",0,IF(ISNUMBER(SEARCH(Classifiers!$D$9,E401)),1,0))+IF(Classifiers!$E$9="",0,IF(ISNUMBER(SEARCH(Classifiers!$E$9,E401)),1,0))+IF(Classifiers!$F$9="",0,IF(ISNUMBER(SEARCH(Classifiers!$F$9,E401)),1,0))+IF(Classifiers!$G$9="",0,IF(ISNUMBER(SEARCH(Classifiers!$G$9,E401)),1,0)))&gt;0,1,0))</f>
        <v/>
      </c>
      <c r="O401" s="12">
        <f>IF(H401&lt;&gt;1,0,IF((IF(Classifiers!$B$10="",0,IF(ISNUMBER(SEARCH(Classifiers!$B$10,E401)),1,0))+IF(Classifiers!$C$10="",0,IF(ISNUMBER(SEARCH(Classifiers!$C$10,E401)),1,0))+IF(Classifiers!$D$10="",0,IF(ISNUMBER(SEARCH(Classifiers!$D$10,E401)),1,0))+IF(Classifiers!$E$10="",0,IF(ISNUMBER(SEARCH(Classifiers!$E$10,E401)),1,0))+IF(Classifiers!$F$10="",0,IF(ISNUMBER(SEARCH(Classifiers!$F$10,E401)),1,0))+IF(Classifiers!$G$10="",0,IF(ISNUMBER(SEARCH(Classifiers!$G$10,E401)),1,0)))&gt;0,1,0))</f>
        <v/>
      </c>
      <c r="P401" s="12">
        <f>IF(H401&lt;&gt;1,0,IF((IF(Classifiers!$B$11="",0,IF(ISNUMBER(SEARCH(Classifiers!$B$11,E401)),1,0))+IF(Classifiers!$C$11="",0,IF(ISNUMBER(SEARCH(Classifiers!$C$11,E401)),1,0))+IF(Classifiers!$D$11="",0,IF(ISNUMBER(SEARCH(Classifiers!$D$11,E401)),1,0))+IF(Classifiers!$E$11="",0,IF(ISNUMBER(SEARCH(Classifiers!$E$11,E401)),1,0))+IF(Classifiers!$F$11="",0,IF(ISNUMBER(SEARCH(Classifiers!$F$11,E401)),1,0))+IF(Classifiers!$G$11="",0,IF(ISNUMBER(SEARCH(Classifiers!$G$11,E401)),1,0)))&gt;0,1,0))</f>
        <v/>
      </c>
      <c r="Q401" s="12">
        <f>IF(H401&lt;&gt;1,0,IF((IF(Classifiers!$B$12="",0,IF(ISNUMBER(SEARCH(Classifiers!$B$12,E401)),1,0))+IF(Classifiers!$C$12="",0,IF(ISNUMBER(SEARCH(Classifiers!$C$12,E401)),1,0))+IF(Classifiers!$D$12="",0,IF(ISNUMBER(SEARCH(Classifiers!$D$12,E401)),1,0))+IF(Classifiers!$E$12="",0,IF(ISNUMBER(SEARCH(Classifiers!$E$12,E401)),1,0))+IF(Classifiers!$F$12="",0,IF(ISNUMBER(SEARCH(Classifiers!$F$12,E401)),1,0))+IF(Classifiers!$G$12="",0,IF(ISNUMBER(SEARCH(Classifiers!$G$12,E401)),1,0)))&gt;0,1,0))</f>
        <v/>
      </c>
      <c r="R401" s="12">
        <f>IF(H401&lt;&gt;1,0,IF((IF(Classifiers!$B$13="",0,IF(ISNUMBER(SEARCH(Classifiers!$B$13,E401)),1,0))+IF(Classifiers!$C$13="",0,IF(ISNUMBER(SEARCH(Classifiers!$C$13,E401)),1,0))+IF(Classifiers!$D$13="",0,IF(ISNUMBER(SEARCH(Classifiers!$D$13,E401)),1,0))+IF(Classifiers!$E$13="",0,IF(ISNUMBER(SEARCH(Classifiers!$E$13,E401)),1,0))+IF(Classifiers!$F$13="",0,IF(ISNUMBER(SEARCH(Classifiers!$F$13,E401)),1,0))+IF(Classifiers!$G$13="",0,IF(ISNUMBER(SEARCH(Classifiers!$G$13,E401)),1,0)))&gt;0,1,0))</f>
        <v/>
      </c>
      <c r="S401" s="12">
        <f>IF(H401&lt;&gt;1,0,IF((IF(Classifiers!$B$14="",0,IF(ISNUMBER(SEARCH(Classifiers!$B$14,E401)),1,0))+IF(Classifiers!$C$14="",0,IF(ISNUMBER(SEARCH(Classifiers!$C$14,E401)),1,0))+IF(Classifiers!$D$14="",0,IF(ISNUMBER(SEARCH(Classifiers!$D$14,E401)),1,0))+IF(Classifiers!$E$14="",0,IF(ISNUMBER(SEARCH(Classifiers!$E$14,E401)),1,0))+IF(Classifiers!$F$14="",0,IF(ISNUMBER(SEARCH(Classifiers!$F$14,E401)),1,0))+IF(Classifiers!$G$14="",0,IF(ISNUMBER(SEARCH(Classifiers!$G$14,E401)),1,0)))&gt;0,1,0))</f>
        <v/>
      </c>
      <c r="T401" s="12">
        <f>IF(H401&lt;&gt;1,0,IF((IF(Classifiers!$B$15="",0,IF(ISNUMBER(SEARCH(Classifiers!$B$15,E401)),1,0))+IF(Classifiers!$C$15="",0,IF(ISNUMBER(SEARCH(Classifiers!$C$15,E401)),1,0))+IF(Classifiers!$D$15="",0,IF(ISNUMBER(SEARCH(Classifiers!$D$15,E401)),1,0))+IF(Classifiers!$E$15="",0,IF(ISNUMBER(SEARCH(Classifiers!$E$15,E401)),1,0))+IF(Classifiers!$F$15="",0,IF(ISNUMBER(SEARCH(Classifiers!$F$15,E401)),1,0))+IF(Classifiers!$G$15="",0,IF(ISNUMBER(SEARCH(Classifiers!$G$15,E401)),1,0)))&gt;0,1,0))</f>
        <v/>
      </c>
      <c r="U401" s="12">
        <f>IF(H401&lt;&gt;1,0,IF((IF(Classifiers!$B$16="",0,IF(ISNUMBER(SEARCH(Classifiers!$B$16,E401)),1,0))+IF(Classifiers!$C$16="",0,IF(ISNUMBER(SEARCH(Classifiers!$C$16,E401)),1,0))+IF(Classifiers!$D$16="",0,IF(ISNUMBER(SEARCH(Classifiers!$D$16,E401)),1,0))+IF(Classifiers!$E$16="",0,IF(ISNUMBER(SEARCH(Classifiers!$E$16,E401)),1,0))+IF(Classifiers!$F$16="",0,IF(ISNUMBER(SEARCH(Classifiers!$F$16,E401)),1,0))+IF(Classifiers!$G$16="",0,IF(ISNUMBER(SEARCH(Classifiers!$G$16,E401)),1,0)))&gt;0,1,0))</f>
        <v/>
      </c>
      <c r="V401" s="12">
        <f>IF(H401&lt;&gt;1,0,IF((IF(Classifiers!$B$17="",0,IF(ISNUMBER(SEARCH(Classifiers!$B$17,E401)),1,0))+IF(Classifiers!$C$17="",0,IF(ISNUMBER(SEARCH(Classifiers!$C$17,E401)),1,0))+IF(Classifiers!$D$17="",0,IF(ISNUMBER(SEARCH(Classifiers!$D$17,E401)),1,0))+IF(Classifiers!$E$17="",0,IF(ISNUMBER(SEARCH(Classifiers!$E$17,E401)),1,0))+IF(Classifiers!$F$17="",0,IF(ISNUMBER(SEARCH(Classifiers!$F$17,E401)),1,0))+IF(Classifiers!$G$17="",0,IF(ISNUMBER(SEARCH(Classifiers!$G$17,E401)),1,0)))&gt;0,1,0))</f>
        <v/>
      </c>
      <c r="W401" s="12">
        <f>IF(H401&lt;&gt;1,0,IF((IF(Classifiers!$B$18="",0,IF(ISNUMBER(SEARCH(Classifiers!$B$18,E401)),1,0))+IF(Classifiers!$C$18="",0,IF(ISNUMBER(SEARCH(Classifiers!$C$18,E401)),1,0))+IF(Classifiers!$D$18="",0,IF(ISNUMBER(SEARCH(Classifiers!$D$18,E401)),1,0))+IF(Classifiers!$E$18="",0,IF(ISNUMBER(SEARCH(Classifiers!$E$18,E401)),1,0))+IF(Classifiers!$F$18="",0,IF(ISNUMBER(SEARCH(Classifiers!$F$18,E401)),1,0))+IF(Classifiers!$G$18="",0,IF(ISNUMBER(SEARCH(Classifiers!$G$18,E401)),1,0)))&gt;0,1,0))</f>
        <v/>
      </c>
    </row>
    <row r="402">
      <c r="A402" s="8" t="n"/>
      <c r="B402" s="11" t="n"/>
      <c r="C402" s="6">
        <f>IF(A402="","",TRIM(RIGHT(SUBSTITUTE(A402,"/",REPT(" ",250)),250)))</f>
        <v/>
      </c>
      <c r="D402" s="6">
        <f>IF(C402="","",IF(ISNUMBER(SEARCH(".",C402)),LOWER("."&amp;TRIM(RIGHT(SUBSTITUTE(C402,".",REPT(" ",250)),250))),""))</f>
        <v/>
      </c>
      <c r="E402" s="6">
        <f>IF(C402="","",TRIM(SUBSTITUTE(SUBSTITUTE(SUBSTITUTE(SUBSTITUTE(SUBSTITUTE(SUBSTITUTE(SUBSTITUTE(SUBSTITUTE(SUBSTITUTE(SUBSTITUTE(SUBSTITUTE(SUBSTITUTE(SUBSTITUTE(SUBSTITUTE(SUBSTITUTE(SUBSTITUTE(SUBSTITUTE(SUBSTITUTE(SUBSTITUTE(SUBSTITUTE(LOWER(LEFT(C402,LEN(C402)-LEN(D402))),"_"," "),"-"," "),"."," "),","," "),"("," "),")"," "),"["," "),"]"," "),"&amp;"," "),"+"," "),"@"," "),"#"," "),"!"," "),"'"," "),"/"," "),":"," "),";"," "),"="," "),"~"," "),"%"," ")))</f>
        <v/>
      </c>
      <c r="F402" s="6">
        <f>IF(C402="","",IF(COUNTIF(Classifiers!$A$23:$A$40,D402)&gt;0,1,0))</f>
        <v/>
      </c>
      <c r="G402" s="6">
        <f>IF(C402="","",IF(COUNTIF(Classifiers!$C$23:$C$30,D402)&gt;0,IF((IF(ISNUMBER(SEARCH(Classifiers!$E$23,E402)),1,0)+IF(ISNUMBER(SEARCH(Classifiers!$E$24,E402)),1,0)+IF(ISNUMBER(SEARCH(Classifiers!$E$25,E402)),1,0)+IF(ISNUMBER(SEARCH(Classifiers!$E$26,E402)),1,0)+IF(ISNUMBER(SEARCH(Classifiers!$E$27,E402)),1,0)+IF(ISNUMBER(SEARCH(Classifiers!$E$28,E402)),1,0)+IF(ISNUMBER(SEARCH(Classifiers!$E$29,E402)),1,0)+IF(ISNUMBER(SEARCH(Classifiers!$E$30,E402)),1,0))&gt;0,1,0),0))</f>
        <v/>
      </c>
      <c r="H402" s="6">
        <f>IF(C402="","",IF(OR(LEFT(C402,1)=".",AND(F402=0,G402=0)),0,1))</f>
        <v/>
      </c>
      <c r="I402" s="6">
        <f>IF(H402&lt;&gt;1,"",IF(SUM(J402:W402)=0,"unclassified",INDEX(Classifiers!$A$5:$A$18,MATCH(1,J402:W402,0),1)))</f>
        <v/>
      </c>
      <c r="J402" s="12">
        <f>IF(H402&lt;&gt;1,0,IF((IF(Classifiers!$B$5="",0,IF(ISNUMBER(SEARCH(Classifiers!$B$5,E402)),1,0))+IF(Classifiers!$C$5="",0,IF(ISNUMBER(SEARCH(Classifiers!$C$5,E402)),1,0))+IF(Classifiers!$D$5="",0,IF(ISNUMBER(SEARCH(Classifiers!$D$5,E402)),1,0))+IF(Classifiers!$E$5="",0,IF(ISNUMBER(SEARCH(Classifiers!$E$5,E402)),1,0))+IF(Classifiers!$F$5="",0,IF(ISNUMBER(SEARCH(Classifiers!$F$5,E402)),1,0))+IF(Classifiers!$G$5="",0,IF(ISNUMBER(SEARCH(Classifiers!$G$5,E402)),1,0)))&gt;0,1,0))</f>
        <v/>
      </c>
      <c r="K402" s="12">
        <f>IF(H402&lt;&gt;1,0,IF((IF(Classifiers!$B$6="",0,IF(ISNUMBER(SEARCH(Classifiers!$B$6,E402)),1,0))+IF(Classifiers!$C$6="",0,IF(ISNUMBER(SEARCH(Classifiers!$C$6,E402)),1,0))+IF(Classifiers!$D$6="",0,IF(ISNUMBER(SEARCH(Classifiers!$D$6,E402)),1,0))+IF(Classifiers!$E$6="",0,IF(ISNUMBER(SEARCH(Classifiers!$E$6,E402)),1,0))+IF(Classifiers!$F$6="",0,IF(ISNUMBER(SEARCH(Classifiers!$F$6,E402)),1,0))+IF(Classifiers!$G$6="",0,IF(ISNUMBER(SEARCH(Classifiers!$G$6,E402)),1,0)))&gt;0,1,0))</f>
        <v/>
      </c>
      <c r="L402" s="12">
        <f>IF(H402&lt;&gt;1,0,IF((IF(Classifiers!$B$7="",0,IF(ISNUMBER(SEARCH(Classifiers!$B$7,E402)),1,0))+IF(Classifiers!$C$7="",0,IF(ISNUMBER(SEARCH(Classifiers!$C$7,E402)),1,0))+IF(Classifiers!$D$7="",0,IF(ISNUMBER(SEARCH(Classifiers!$D$7,E402)),1,0))+IF(Classifiers!$E$7="",0,IF(ISNUMBER(SEARCH(Classifiers!$E$7,E402)),1,0))+IF(Classifiers!$F$7="",0,IF(ISNUMBER(SEARCH(Classifiers!$F$7,E402)),1,0))+IF(Classifiers!$G$7="",0,IF(ISNUMBER(SEARCH(Classifiers!$G$7,E402)),1,0)))&gt;0,1,0))</f>
        <v/>
      </c>
      <c r="M402" s="12">
        <f>IF(H402&lt;&gt;1,0,IF((IF(Classifiers!$B$8="",0,IF(ISNUMBER(SEARCH(Classifiers!$B$8,E402)),1,0))+IF(Classifiers!$C$8="",0,IF(ISNUMBER(SEARCH(Classifiers!$C$8,E402)),1,0))+IF(Classifiers!$D$8="",0,IF(ISNUMBER(SEARCH(Classifiers!$D$8,E402)),1,0))+IF(Classifiers!$E$8="",0,IF(ISNUMBER(SEARCH(Classifiers!$E$8,E402)),1,0))+IF(Classifiers!$F$8="",0,IF(ISNUMBER(SEARCH(Classifiers!$F$8,E402)),1,0))+IF(Classifiers!$G$8="",0,IF(ISNUMBER(SEARCH(Classifiers!$G$8,E402)),1,0)))&gt;0,1,0))</f>
        <v/>
      </c>
      <c r="N402" s="12">
        <f>IF(H402&lt;&gt;1,0,IF((IF(Classifiers!$B$9="",0,IF(ISNUMBER(SEARCH(Classifiers!$B$9,E402)),1,0))+IF(Classifiers!$C$9="",0,IF(ISNUMBER(SEARCH(Classifiers!$C$9,E402)),1,0))+IF(Classifiers!$D$9="",0,IF(ISNUMBER(SEARCH(Classifiers!$D$9,E402)),1,0))+IF(Classifiers!$E$9="",0,IF(ISNUMBER(SEARCH(Classifiers!$E$9,E402)),1,0))+IF(Classifiers!$F$9="",0,IF(ISNUMBER(SEARCH(Classifiers!$F$9,E402)),1,0))+IF(Classifiers!$G$9="",0,IF(ISNUMBER(SEARCH(Classifiers!$G$9,E402)),1,0)))&gt;0,1,0))</f>
        <v/>
      </c>
      <c r="O402" s="12">
        <f>IF(H402&lt;&gt;1,0,IF((IF(Classifiers!$B$10="",0,IF(ISNUMBER(SEARCH(Classifiers!$B$10,E402)),1,0))+IF(Classifiers!$C$10="",0,IF(ISNUMBER(SEARCH(Classifiers!$C$10,E402)),1,0))+IF(Classifiers!$D$10="",0,IF(ISNUMBER(SEARCH(Classifiers!$D$10,E402)),1,0))+IF(Classifiers!$E$10="",0,IF(ISNUMBER(SEARCH(Classifiers!$E$10,E402)),1,0))+IF(Classifiers!$F$10="",0,IF(ISNUMBER(SEARCH(Classifiers!$F$10,E402)),1,0))+IF(Classifiers!$G$10="",0,IF(ISNUMBER(SEARCH(Classifiers!$G$10,E402)),1,0)))&gt;0,1,0))</f>
        <v/>
      </c>
      <c r="P402" s="12">
        <f>IF(H402&lt;&gt;1,0,IF((IF(Classifiers!$B$11="",0,IF(ISNUMBER(SEARCH(Classifiers!$B$11,E402)),1,0))+IF(Classifiers!$C$11="",0,IF(ISNUMBER(SEARCH(Classifiers!$C$11,E402)),1,0))+IF(Classifiers!$D$11="",0,IF(ISNUMBER(SEARCH(Classifiers!$D$11,E402)),1,0))+IF(Classifiers!$E$11="",0,IF(ISNUMBER(SEARCH(Classifiers!$E$11,E402)),1,0))+IF(Classifiers!$F$11="",0,IF(ISNUMBER(SEARCH(Classifiers!$F$11,E402)),1,0))+IF(Classifiers!$G$11="",0,IF(ISNUMBER(SEARCH(Classifiers!$G$11,E402)),1,0)))&gt;0,1,0))</f>
        <v/>
      </c>
      <c r="Q402" s="12">
        <f>IF(H402&lt;&gt;1,0,IF((IF(Classifiers!$B$12="",0,IF(ISNUMBER(SEARCH(Classifiers!$B$12,E402)),1,0))+IF(Classifiers!$C$12="",0,IF(ISNUMBER(SEARCH(Classifiers!$C$12,E402)),1,0))+IF(Classifiers!$D$12="",0,IF(ISNUMBER(SEARCH(Classifiers!$D$12,E402)),1,0))+IF(Classifiers!$E$12="",0,IF(ISNUMBER(SEARCH(Classifiers!$E$12,E402)),1,0))+IF(Classifiers!$F$12="",0,IF(ISNUMBER(SEARCH(Classifiers!$F$12,E402)),1,0))+IF(Classifiers!$G$12="",0,IF(ISNUMBER(SEARCH(Classifiers!$G$12,E402)),1,0)))&gt;0,1,0))</f>
        <v/>
      </c>
      <c r="R402" s="12">
        <f>IF(H402&lt;&gt;1,0,IF((IF(Classifiers!$B$13="",0,IF(ISNUMBER(SEARCH(Classifiers!$B$13,E402)),1,0))+IF(Classifiers!$C$13="",0,IF(ISNUMBER(SEARCH(Classifiers!$C$13,E402)),1,0))+IF(Classifiers!$D$13="",0,IF(ISNUMBER(SEARCH(Classifiers!$D$13,E402)),1,0))+IF(Classifiers!$E$13="",0,IF(ISNUMBER(SEARCH(Classifiers!$E$13,E402)),1,0))+IF(Classifiers!$F$13="",0,IF(ISNUMBER(SEARCH(Classifiers!$F$13,E402)),1,0))+IF(Classifiers!$G$13="",0,IF(ISNUMBER(SEARCH(Classifiers!$G$13,E402)),1,0)))&gt;0,1,0))</f>
        <v/>
      </c>
      <c r="S402" s="12">
        <f>IF(H402&lt;&gt;1,0,IF((IF(Classifiers!$B$14="",0,IF(ISNUMBER(SEARCH(Classifiers!$B$14,E402)),1,0))+IF(Classifiers!$C$14="",0,IF(ISNUMBER(SEARCH(Classifiers!$C$14,E402)),1,0))+IF(Classifiers!$D$14="",0,IF(ISNUMBER(SEARCH(Classifiers!$D$14,E402)),1,0))+IF(Classifiers!$E$14="",0,IF(ISNUMBER(SEARCH(Classifiers!$E$14,E402)),1,0))+IF(Classifiers!$F$14="",0,IF(ISNUMBER(SEARCH(Classifiers!$F$14,E402)),1,0))+IF(Classifiers!$G$14="",0,IF(ISNUMBER(SEARCH(Classifiers!$G$14,E402)),1,0)))&gt;0,1,0))</f>
        <v/>
      </c>
      <c r="T402" s="12">
        <f>IF(H402&lt;&gt;1,0,IF((IF(Classifiers!$B$15="",0,IF(ISNUMBER(SEARCH(Classifiers!$B$15,E402)),1,0))+IF(Classifiers!$C$15="",0,IF(ISNUMBER(SEARCH(Classifiers!$C$15,E402)),1,0))+IF(Classifiers!$D$15="",0,IF(ISNUMBER(SEARCH(Classifiers!$D$15,E402)),1,0))+IF(Classifiers!$E$15="",0,IF(ISNUMBER(SEARCH(Classifiers!$E$15,E402)),1,0))+IF(Classifiers!$F$15="",0,IF(ISNUMBER(SEARCH(Classifiers!$F$15,E402)),1,0))+IF(Classifiers!$G$15="",0,IF(ISNUMBER(SEARCH(Classifiers!$G$15,E402)),1,0)))&gt;0,1,0))</f>
        <v/>
      </c>
      <c r="U402" s="12">
        <f>IF(H402&lt;&gt;1,0,IF((IF(Classifiers!$B$16="",0,IF(ISNUMBER(SEARCH(Classifiers!$B$16,E402)),1,0))+IF(Classifiers!$C$16="",0,IF(ISNUMBER(SEARCH(Classifiers!$C$16,E402)),1,0))+IF(Classifiers!$D$16="",0,IF(ISNUMBER(SEARCH(Classifiers!$D$16,E402)),1,0))+IF(Classifiers!$E$16="",0,IF(ISNUMBER(SEARCH(Classifiers!$E$16,E402)),1,0))+IF(Classifiers!$F$16="",0,IF(ISNUMBER(SEARCH(Classifiers!$F$16,E402)),1,0))+IF(Classifiers!$G$16="",0,IF(ISNUMBER(SEARCH(Classifiers!$G$16,E402)),1,0)))&gt;0,1,0))</f>
        <v/>
      </c>
      <c r="V402" s="12">
        <f>IF(H402&lt;&gt;1,0,IF((IF(Classifiers!$B$17="",0,IF(ISNUMBER(SEARCH(Classifiers!$B$17,E402)),1,0))+IF(Classifiers!$C$17="",0,IF(ISNUMBER(SEARCH(Classifiers!$C$17,E402)),1,0))+IF(Classifiers!$D$17="",0,IF(ISNUMBER(SEARCH(Classifiers!$D$17,E402)),1,0))+IF(Classifiers!$E$17="",0,IF(ISNUMBER(SEARCH(Classifiers!$E$17,E402)),1,0))+IF(Classifiers!$F$17="",0,IF(ISNUMBER(SEARCH(Classifiers!$F$17,E402)),1,0))+IF(Classifiers!$G$17="",0,IF(ISNUMBER(SEARCH(Classifiers!$G$17,E402)),1,0)))&gt;0,1,0))</f>
        <v/>
      </c>
      <c r="W402" s="12">
        <f>IF(H402&lt;&gt;1,0,IF((IF(Classifiers!$B$18="",0,IF(ISNUMBER(SEARCH(Classifiers!$B$18,E402)),1,0))+IF(Classifiers!$C$18="",0,IF(ISNUMBER(SEARCH(Classifiers!$C$18,E402)),1,0))+IF(Classifiers!$D$18="",0,IF(ISNUMBER(SEARCH(Classifiers!$D$18,E402)),1,0))+IF(Classifiers!$E$18="",0,IF(ISNUMBER(SEARCH(Classifiers!$E$18,E402)),1,0))+IF(Classifiers!$F$18="",0,IF(ISNUMBER(SEARCH(Classifiers!$F$18,E402)),1,0))+IF(Classifiers!$G$18="",0,IF(ISNUMBER(SEARCH(Classifiers!$G$18,E402)),1,0)))&gt;0,1,0))</f>
        <v/>
      </c>
    </row>
    <row r="403">
      <c r="A403" s="8" t="n"/>
      <c r="B403" s="11" t="n"/>
      <c r="C403" s="6">
        <f>IF(A403="","",TRIM(RIGHT(SUBSTITUTE(A403,"/",REPT(" ",250)),250)))</f>
        <v/>
      </c>
      <c r="D403" s="6">
        <f>IF(C403="","",IF(ISNUMBER(SEARCH(".",C403)),LOWER("."&amp;TRIM(RIGHT(SUBSTITUTE(C403,".",REPT(" ",250)),250))),""))</f>
        <v/>
      </c>
      <c r="E403" s="6">
        <f>IF(C403="","",TRIM(SUBSTITUTE(SUBSTITUTE(SUBSTITUTE(SUBSTITUTE(SUBSTITUTE(SUBSTITUTE(SUBSTITUTE(SUBSTITUTE(SUBSTITUTE(SUBSTITUTE(SUBSTITUTE(SUBSTITUTE(SUBSTITUTE(SUBSTITUTE(SUBSTITUTE(SUBSTITUTE(SUBSTITUTE(SUBSTITUTE(SUBSTITUTE(SUBSTITUTE(LOWER(LEFT(C403,LEN(C403)-LEN(D403))),"_"," "),"-"," "),"."," "),","," "),"("," "),")"," "),"["," "),"]"," "),"&amp;"," "),"+"," "),"@"," "),"#"," "),"!"," "),"'"," "),"/"," "),":"," "),";"," "),"="," "),"~"," "),"%"," ")))</f>
        <v/>
      </c>
      <c r="F403" s="6">
        <f>IF(C403="","",IF(COUNTIF(Classifiers!$A$23:$A$40,D403)&gt;0,1,0))</f>
        <v/>
      </c>
      <c r="G403" s="6">
        <f>IF(C403="","",IF(COUNTIF(Classifiers!$C$23:$C$30,D403)&gt;0,IF((IF(ISNUMBER(SEARCH(Classifiers!$E$23,E403)),1,0)+IF(ISNUMBER(SEARCH(Classifiers!$E$24,E403)),1,0)+IF(ISNUMBER(SEARCH(Classifiers!$E$25,E403)),1,0)+IF(ISNUMBER(SEARCH(Classifiers!$E$26,E403)),1,0)+IF(ISNUMBER(SEARCH(Classifiers!$E$27,E403)),1,0)+IF(ISNUMBER(SEARCH(Classifiers!$E$28,E403)),1,0)+IF(ISNUMBER(SEARCH(Classifiers!$E$29,E403)),1,0)+IF(ISNUMBER(SEARCH(Classifiers!$E$30,E403)),1,0))&gt;0,1,0),0))</f>
        <v/>
      </c>
      <c r="H403" s="6">
        <f>IF(C403="","",IF(OR(LEFT(C403,1)=".",AND(F403=0,G403=0)),0,1))</f>
        <v/>
      </c>
      <c r="I403" s="6">
        <f>IF(H403&lt;&gt;1,"",IF(SUM(J403:W403)=0,"unclassified",INDEX(Classifiers!$A$5:$A$18,MATCH(1,J403:W403,0),1)))</f>
        <v/>
      </c>
      <c r="J403" s="12">
        <f>IF(H403&lt;&gt;1,0,IF((IF(Classifiers!$B$5="",0,IF(ISNUMBER(SEARCH(Classifiers!$B$5,E403)),1,0))+IF(Classifiers!$C$5="",0,IF(ISNUMBER(SEARCH(Classifiers!$C$5,E403)),1,0))+IF(Classifiers!$D$5="",0,IF(ISNUMBER(SEARCH(Classifiers!$D$5,E403)),1,0))+IF(Classifiers!$E$5="",0,IF(ISNUMBER(SEARCH(Classifiers!$E$5,E403)),1,0))+IF(Classifiers!$F$5="",0,IF(ISNUMBER(SEARCH(Classifiers!$F$5,E403)),1,0))+IF(Classifiers!$G$5="",0,IF(ISNUMBER(SEARCH(Classifiers!$G$5,E403)),1,0)))&gt;0,1,0))</f>
        <v/>
      </c>
      <c r="K403" s="12">
        <f>IF(H403&lt;&gt;1,0,IF((IF(Classifiers!$B$6="",0,IF(ISNUMBER(SEARCH(Classifiers!$B$6,E403)),1,0))+IF(Classifiers!$C$6="",0,IF(ISNUMBER(SEARCH(Classifiers!$C$6,E403)),1,0))+IF(Classifiers!$D$6="",0,IF(ISNUMBER(SEARCH(Classifiers!$D$6,E403)),1,0))+IF(Classifiers!$E$6="",0,IF(ISNUMBER(SEARCH(Classifiers!$E$6,E403)),1,0))+IF(Classifiers!$F$6="",0,IF(ISNUMBER(SEARCH(Classifiers!$F$6,E403)),1,0))+IF(Classifiers!$G$6="",0,IF(ISNUMBER(SEARCH(Classifiers!$G$6,E403)),1,0)))&gt;0,1,0))</f>
        <v/>
      </c>
      <c r="L403" s="12">
        <f>IF(H403&lt;&gt;1,0,IF((IF(Classifiers!$B$7="",0,IF(ISNUMBER(SEARCH(Classifiers!$B$7,E403)),1,0))+IF(Classifiers!$C$7="",0,IF(ISNUMBER(SEARCH(Classifiers!$C$7,E403)),1,0))+IF(Classifiers!$D$7="",0,IF(ISNUMBER(SEARCH(Classifiers!$D$7,E403)),1,0))+IF(Classifiers!$E$7="",0,IF(ISNUMBER(SEARCH(Classifiers!$E$7,E403)),1,0))+IF(Classifiers!$F$7="",0,IF(ISNUMBER(SEARCH(Classifiers!$F$7,E403)),1,0))+IF(Classifiers!$G$7="",0,IF(ISNUMBER(SEARCH(Classifiers!$G$7,E403)),1,0)))&gt;0,1,0))</f>
        <v/>
      </c>
      <c r="M403" s="12">
        <f>IF(H403&lt;&gt;1,0,IF((IF(Classifiers!$B$8="",0,IF(ISNUMBER(SEARCH(Classifiers!$B$8,E403)),1,0))+IF(Classifiers!$C$8="",0,IF(ISNUMBER(SEARCH(Classifiers!$C$8,E403)),1,0))+IF(Classifiers!$D$8="",0,IF(ISNUMBER(SEARCH(Classifiers!$D$8,E403)),1,0))+IF(Classifiers!$E$8="",0,IF(ISNUMBER(SEARCH(Classifiers!$E$8,E403)),1,0))+IF(Classifiers!$F$8="",0,IF(ISNUMBER(SEARCH(Classifiers!$F$8,E403)),1,0))+IF(Classifiers!$G$8="",0,IF(ISNUMBER(SEARCH(Classifiers!$G$8,E403)),1,0)))&gt;0,1,0))</f>
        <v/>
      </c>
      <c r="N403" s="12">
        <f>IF(H403&lt;&gt;1,0,IF((IF(Classifiers!$B$9="",0,IF(ISNUMBER(SEARCH(Classifiers!$B$9,E403)),1,0))+IF(Classifiers!$C$9="",0,IF(ISNUMBER(SEARCH(Classifiers!$C$9,E403)),1,0))+IF(Classifiers!$D$9="",0,IF(ISNUMBER(SEARCH(Classifiers!$D$9,E403)),1,0))+IF(Classifiers!$E$9="",0,IF(ISNUMBER(SEARCH(Classifiers!$E$9,E403)),1,0))+IF(Classifiers!$F$9="",0,IF(ISNUMBER(SEARCH(Classifiers!$F$9,E403)),1,0))+IF(Classifiers!$G$9="",0,IF(ISNUMBER(SEARCH(Classifiers!$G$9,E403)),1,0)))&gt;0,1,0))</f>
        <v/>
      </c>
      <c r="O403" s="12">
        <f>IF(H403&lt;&gt;1,0,IF((IF(Classifiers!$B$10="",0,IF(ISNUMBER(SEARCH(Classifiers!$B$10,E403)),1,0))+IF(Classifiers!$C$10="",0,IF(ISNUMBER(SEARCH(Classifiers!$C$10,E403)),1,0))+IF(Classifiers!$D$10="",0,IF(ISNUMBER(SEARCH(Classifiers!$D$10,E403)),1,0))+IF(Classifiers!$E$10="",0,IF(ISNUMBER(SEARCH(Classifiers!$E$10,E403)),1,0))+IF(Classifiers!$F$10="",0,IF(ISNUMBER(SEARCH(Classifiers!$F$10,E403)),1,0))+IF(Classifiers!$G$10="",0,IF(ISNUMBER(SEARCH(Classifiers!$G$10,E403)),1,0)))&gt;0,1,0))</f>
        <v/>
      </c>
      <c r="P403" s="12">
        <f>IF(H403&lt;&gt;1,0,IF((IF(Classifiers!$B$11="",0,IF(ISNUMBER(SEARCH(Classifiers!$B$11,E403)),1,0))+IF(Classifiers!$C$11="",0,IF(ISNUMBER(SEARCH(Classifiers!$C$11,E403)),1,0))+IF(Classifiers!$D$11="",0,IF(ISNUMBER(SEARCH(Classifiers!$D$11,E403)),1,0))+IF(Classifiers!$E$11="",0,IF(ISNUMBER(SEARCH(Classifiers!$E$11,E403)),1,0))+IF(Classifiers!$F$11="",0,IF(ISNUMBER(SEARCH(Classifiers!$F$11,E403)),1,0))+IF(Classifiers!$G$11="",0,IF(ISNUMBER(SEARCH(Classifiers!$G$11,E403)),1,0)))&gt;0,1,0))</f>
        <v/>
      </c>
      <c r="Q403" s="12">
        <f>IF(H403&lt;&gt;1,0,IF((IF(Classifiers!$B$12="",0,IF(ISNUMBER(SEARCH(Classifiers!$B$12,E403)),1,0))+IF(Classifiers!$C$12="",0,IF(ISNUMBER(SEARCH(Classifiers!$C$12,E403)),1,0))+IF(Classifiers!$D$12="",0,IF(ISNUMBER(SEARCH(Classifiers!$D$12,E403)),1,0))+IF(Classifiers!$E$12="",0,IF(ISNUMBER(SEARCH(Classifiers!$E$12,E403)),1,0))+IF(Classifiers!$F$12="",0,IF(ISNUMBER(SEARCH(Classifiers!$F$12,E403)),1,0))+IF(Classifiers!$G$12="",0,IF(ISNUMBER(SEARCH(Classifiers!$G$12,E403)),1,0)))&gt;0,1,0))</f>
        <v/>
      </c>
      <c r="R403" s="12">
        <f>IF(H403&lt;&gt;1,0,IF((IF(Classifiers!$B$13="",0,IF(ISNUMBER(SEARCH(Classifiers!$B$13,E403)),1,0))+IF(Classifiers!$C$13="",0,IF(ISNUMBER(SEARCH(Classifiers!$C$13,E403)),1,0))+IF(Classifiers!$D$13="",0,IF(ISNUMBER(SEARCH(Classifiers!$D$13,E403)),1,0))+IF(Classifiers!$E$13="",0,IF(ISNUMBER(SEARCH(Classifiers!$E$13,E403)),1,0))+IF(Classifiers!$F$13="",0,IF(ISNUMBER(SEARCH(Classifiers!$F$13,E403)),1,0))+IF(Classifiers!$G$13="",0,IF(ISNUMBER(SEARCH(Classifiers!$G$13,E403)),1,0)))&gt;0,1,0))</f>
        <v/>
      </c>
      <c r="S403" s="12">
        <f>IF(H403&lt;&gt;1,0,IF((IF(Classifiers!$B$14="",0,IF(ISNUMBER(SEARCH(Classifiers!$B$14,E403)),1,0))+IF(Classifiers!$C$14="",0,IF(ISNUMBER(SEARCH(Classifiers!$C$14,E403)),1,0))+IF(Classifiers!$D$14="",0,IF(ISNUMBER(SEARCH(Classifiers!$D$14,E403)),1,0))+IF(Classifiers!$E$14="",0,IF(ISNUMBER(SEARCH(Classifiers!$E$14,E403)),1,0))+IF(Classifiers!$F$14="",0,IF(ISNUMBER(SEARCH(Classifiers!$F$14,E403)),1,0))+IF(Classifiers!$G$14="",0,IF(ISNUMBER(SEARCH(Classifiers!$G$14,E403)),1,0)))&gt;0,1,0))</f>
        <v/>
      </c>
      <c r="T403" s="12">
        <f>IF(H403&lt;&gt;1,0,IF((IF(Classifiers!$B$15="",0,IF(ISNUMBER(SEARCH(Classifiers!$B$15,E403)),1,0))+IF(Classifiers!$C$15="",0,IF(ISNUMBER(SEARCH(Classifiers!$C$15,E403)),1,0))+IF(Classifiers!$D$15="",0,IF(ISNUMBER(SEARCH(Classifiers!$D$15,E403)),1,0))+IF(Classifiers!$E$15="",0,IF(ISNUMBER(SEARCH(Classifiers!$E$15,E403)),1,0))+IF(Classifiers!$F$15="",0,IF(ISNUMBER(SEARCH(Classifiers!$F$15,E403)),1,0))+IF(Classifiers!$G$15="",0,IF(ISNUMBER(SEARCH(Classifiers!$G$15,E403)),1,0)))&gt;0,1,0))</f>
        <v/>
      </c>
      <c r="U403" s="12">
        <f>IF(H403&lt;&gt;1,0,IF((IF(Classifiers!$B$16="",0,IF(ISNUMBER(SEARCH(Classifiers!$B$16,E403)),1,0))+IF(Classifiers!$C$16="",0,IF(ISNUMBER(SEARCH(Classifiers!$C$16,E403)),1,0))+IF(Classifiers!$D$16="",0,IF(ISNUMBER(SEARCH(Classifiers!$D$16,E403)),1,0))+IF(Classifiers!$E$16="",0,IF(ISNUMBER(SEARCH(Classifiers!$E$16,E403)),1,0))+IF(Classifiers!$F$16="",0,IF(ISNUMBER(SEARCH(Classifiers!$F$16,E403)),1,0))+IF(Classifiers!$G$16="",0,IF(ISNUMBER(SEARCH(Classifiers!$G$16,E403)),1,0)))&gt;0,1,0))</f>
        <v/>
      </c>
      <c r="V403" s="12">
        <f>IF(H403&lt;&gt;1,0,IF((IF(Classifiers!$B$17="",0,IF(ISNUMBER(SEARCH(Classifiers!$B$17,E403)),1,0))+IF(Classifiers!$C$17="",0,IF(ISNUMBER(SEARCH(Classifiers!$C$17,E403)),1,0))+IF(Classifiers!$D$17="",0,IF(ISNUMBER(SEARCH(Classifiers!$D$17,E403)),1,0))+IF(Classifiers!$E$17="",0,IF(ISNUMBER(SEARCH(Classifiers!$E$17,E403)),1,0))+IF(Classifiers!$F$17="",0,IF(ISNUMBER(SEARCH(Classifiers!$F$17,E403)),1,0))+IF(Classifiers!$G$17="",0,IF(ISNUMBER(SEARCH(Classifiers!$G$17,E403)),1,0)))&gt;0,1,0))</f>
        <v/>
      </c>
      <c r="W403" s="12">
        <f>IF(H403&lt;&gt;1,0,IF((IF(Classifiers!$B$18="",0,IF(ISNUMBER(SEARCH(Classifiers!$B$18,E403)),1,0))+IF(Classifiers!$C$18="",0,IF(ISNUMBER(SEARCH(Classifiers!$C$18,E403)),1,0))+IF(Classifiers!$D$18="",0,IF(ISNUMBER(SEARCH(Classifiers!$D$18,E403)),1,0))+IF(Classifiers!$E$18="",0,IF(ISNUMBER(SEARCH(Classifiers!$E$18,E403)),1,0))+IF(Classifiers!$F$18="",0,IF(ISNUMBER(SEARCH(Classifiers!$F$18,E403)),1,0))+IF(Classifiers!$G$18="",0,IF(ISNUMBER(SEARCH(Classifiers!$G$18,E403)),1,0)))&gt;0,1,0))</f>
        <v/>
      </c>
    </row>
    <row r="404">
      <c r="A404" s="8" t="n"/>
      <c r="B404" s="11" t="n"/>
      <c r="C404" s="6">
        <f>IF(A404="","",TRIM(RIGHT(SUBSTITUTE(A404,"/",REPT(" ",250)),250)))</f>
        <v/>
      </c>
      <c r="D404" s="6">
        <f>IF(C404="","",IF(ISNUMBER(SEARCH(".",C404)),LOWER("."&amp;TRIM(RIGHT(SUBSTITUTE(C404,".",REPT(" ",250)),250))),""))</f>
        <v/>
      </c>
      <c r="E404" s="6">
        <f>IF(C404="","",TRIM(SUBSTITUTE(SUBSTITUTE(SUBSTITUTE(SUBSTITUTE(SUBSTITUTE(SUBSTITUTE(SUBSTITUTE(SUBSTITUTE(SUBSTITUTE(SUBSTITUTE(SUBSTITUTE(SUBSTITUTE(SUBSTITUTE(SUBSTITUTE(SUBSTITUTE(SUBSTITUTE(SUBSTITUTE(SUBSTITUTE(SUBSTITUTE(SUBSTITUTE(LOWER(LEFT(C404,LEN(C404)-LEN(D404))),"_"," "),"-"," "),"."," "),","," "),"("," "),")"," "),"["," "),"]"," "),"&amp;"," "),"+"," "),"@"," "),"#"," "),"!"," "),"'"," "),"/"," "),":"," "),";"," "),"="," "),"~"," "),"%"," ")))</f>
        <v/>
      </c>
      <c r="F404" s="6">
        <f>IF(C404="","",IF(COUNTIF(Classifiers!$A$23:$A$40,D404)&gt;0,1,0))</f>
        <v/>
      </c>
      <c r="G404" s="6">
        <f>IF(C404="","",IF(COUNTIF(Classifiers!$C$23:$C$30,D404)&gt;0,IF((IF(ISNUMBER(SEARCH(Classifiers!$E$23,E404)),1,0)+IF(ISNUMBER(SEARCH(Classifiers!$E$24,E404)),1,0)+IF(ISNUMBER(SEARCH(Classifiers!$E$25,E404)),1,0)+IF(ISNUMBER(SEARCH(Classifiers!$E$26,E404)),1,0)+IF(ISNUMBER(SEARCH(Classifiers!$E$27,E404)),1,0)+IF(ISNUMBER(SEARCH(Classifiers!$E$28,E404)),1,0)+IF(ISNUMBER(SEARCH(Classifiers!$E$29,E404)),1,0)+IF(ISNUMBER(SEARCH(Classifiers!$E$30,E404)),1,0))&gt;0,1,0),0))</f>
        <v/>
      </c>
      <c r="H404" s="6">
        <f>IF(C404="","",IF(OR(LEFT(C404,1)=".",AND(F404=0,G404=0)),0,1))</f>
        <v/>
      </c>
      <c r="I404" s="6">
        <f>IF(H404&lt;&gt;1,"",IF(SUM(J404:W404)=0,"unclassified",INDEX(Classifiers!$A$5:$A$18,MATCH(1,J404:W404,0),1)))</f>
        <v/>
      </c>
      <c r="J404" s="12">
        <f>IF(H404&lt;&gt;1,0,IF((IF(Classifiers!$B$5="",0,IF(ISNUMBER(SEARCH(Classifiers!$B$5,E404)),1,0))+IF(Classifiers!$C$5="",0,IF(ISNUMBER(SEARCH(Classifiers!$C$5,E404)),1,0))+IF(Classifiers!$D$5="",0,IF(ISNUMBER(SEARCH(Classifiers!$D$5,E404)),1,0))+IF(Classifiers!$E$5="",0,IF(ISNUMBER(SEARCH(Classifiers!$E$5,E404)),1,0))+IF(Classifiers!$F$5="",0,IF(ISNUMBER(SEARCH(Classifiers!$F$5,E404)),1,0))+IF(Classifiers!$G$5="",0,IF(ISNUMBER(SEARCH(Classifiers!$G$5,E404)),1,0)))&gt;0,1,0))</f>
        <v/>
      </c>
      <c r="K404" s="12">
        <f>IF(H404&lt;&gt;1,0,IF((IF(Classifiers!$B$6="",0,IF(ISNUMBER(SEARCH(Classifiers!$B$6,E404)),1,0))+IF(Classifiers!$C$6="",0,IF(ISNUMBER(SEARCH(Classifiers!$C$6,E404)),1,0))+IF(Classifiers!$D$6="",0,IF(ISNUMBER(SEARCH(Classifiers!$D$6,E404)),1,0))+IF(Classifiers!$E$6="",0,IF(ISNUMBER(SEARCH(Classifiers!$E$6,E404)),1,0))+IF(Classifiers!$F$6="",0,IF(ISNUMBER(SEARCH(Classifiers!$F$6,E404)),1,0))+IF(Classifiers!$G$6="",0,IF(ISNUMBER(SEARCH(Classifiers!$G$6,E404)),1,0)))&gt;0,1,0))</f>
        <v/>
      </c>
      <c r="L404" s="12">
        <f>IF(H404&lt;&gt;1,0,IF((IF(Classifiers!$B$7="",0,IF(ISNUMBER(SEARCH(Classifiers!$B$7,E404)),1,0))+IF(Classifiers!$C$7="",0,IF(ISNUMBER(SEARCH(Classifiers!$C$7,E404)),1,0))+IF(Classifiers!$D$7="",0,IF(ISNUMBER(SEARCH(Classifiers!$D$7,E404)),1,0))+IF(Classifiers!$E$7="",0,IF(ISNUMBER(SEARCH(Classifiers!$E$7,E404)),1,0))+IF(Classifiers!$F$7="",0,IF(ISNUMBER(SEARCH(Classifiers!$F$7,E404)),1,0))+IF(Classifiers!$G$7="",0,IF(ISNUMBER(SEARCH(Classifiers!$G$7,E404)),1,0)))&gt;0,1,0))</f>
        <v/>
      </c>
      <c r="M404" s="12">
        <f>IF(H404&lt;&gt;1,0,IF((IF(Classifiers!$B$8="",0,IF(ISNUMBER(SEARCH(Classifiers!$B$8,E404)),1,0))+IF(Classifiers!$C$8="",0,IF(ISNUMBER(SEARCH(Classifiers!$C$8,E404)),1,0))+IF(Classifiers!$D$8="",0,IF(ISNUMBER(SEARCH(Classifiers!$D$8,E404)),1,0))+IF(Classifiers!$E$8="",0,IF(ISNUMBER(SEARCH(Classifiers!$E$8,E404)),1,0))+IF(Classifiers!$F$8="",0,IF(ISNUMBER(SEARCH(Classifiers!$F$8,E404)),1,0))+IF(Classifiers!$G$8="",0,IF(ISNUMBER(SEARCH(Classifiers!$G$8,E404)),1,0)))&gt;0,1,0))</f>
        <v/>
      </c>
      <c r="N404" s="12">
        <f>IF(H404&lt;&gt;1,0,IF((IF(Classifiers!$B$9="",0,IF(ISNUMBER(SEARCH(Classifiers!$B$9,E404)),1,0))+IF(Classifiers!$C$9="",0,IF(ISNUMBER(SEARCH(Classifiers!$C$9,E404)),1,0))+IF(Classifiers!$D$9="",0,IF(ISNUMBER(SEARCH(Classifiers!$D$9,E404)),1,0))+IF(Classifiers!$E$9="",0,IF(ISNUMBER(SEARCH(Classifiers!$E$9,E404)),1,0))+IF(Classifiers!$F$9="",0,IF(ISNUMBER(SEARCH(Classifiers!$F$9,E404)),1,0))+IF(Classifiers!$G$9="",0,IF(ISNUMBER(SEARCH(Classifiers!$G$9,E404)),1,0)))&gt;0,1,0))</f>
        <v/>
      </c>
      <c r="O404" s="12">
        <f>IF(H404&lt;&gt;1,0,IF((IF(Classifiers!$B$10="",0,IF(ISNUMBER(SEARCH(Classifiers!$B$10,E404)),1,0))+IF(Classifiers!$C$10="",0,IF(ISNUMBER(SEARCH(Classifiers!$C$10,E404)),1,0))+IF(Classifiers!$D$10="",0,IF(ISNUMBER(SEARCH(Classifiers!$D$10,E404)),1,0))+IF(Classifiers!$E$10="",0,IF(ISNUMBER(SEARCH(Classifiers!$E$10,E404)),1,0))+IF(Classifiers!$F$10="",0,IF(ISNUMBER(SEARCH(Classifiers!$F$10,E404)),1,0))+IF(Classifiers!$G$10="",0,IF(ISNUMBER(SEARCH(Classifiers!$G$10,E404)),1,0)))&gt;0,1,0))</f>
        <v/>
      </c>
      <c r="P404" s="12">
        <f>IF(H404&lt;&gt;1,0,IF((IF(Classifiers!$B$11="",0,IF(ISNUMBER(SEARCH(Classifiers!$B$11,E404)),1,0))+IF(Classifiers!$C$11="",0,IF(ISNUMBER(SEARCH(Classifiers!$C$11,E404)),1,0))+IF(Classifiers!$D$11="",0,IF(ISNUMBER(SEARCH(Classifiers!$D$11,E404)),1,0))+IF(Classifiers!$E$11="",0,IF(ISNUMBER(SEARCH(Classifiers!$E$11,E404)),1,0))+IF(Classifiers!$F$11="",0,IF(ISNUMBER(SEARCH(Classifiers!$F$11,E404)),1,0))+IF(Classifiers!$G$11="",0,IF(ISNUMBER(SEARCH(Classifiers!$G$11,E404)),1,0)))&gt;0,1,0))</f>
        <v/>
      </c>
      <c r="Q404" s="12">
        <f>IF(H404&lt;&gt;1,0,IF((IF(Classifiers!$B$12="",0,IF(ISNUMBER(SEARCH(Classifiers!$B$12,E404)),1,0))+IF(Classifiers!$C$12="",0,IF(ISNUMBER(SEARCH(Classifiers!$C$12,E404)),1,0))+IF(Classifiers!$D$12="",0,IF(ISNUMBER(SEARCH(Classifiers!$D$12,E404)),1,0))+IF(Classifiers!$E$12="",0,IF(ISNUMBER(SEARCH(Classifiers!$E$12,E404)),1,0))+IF(Classifiers!$F$12="",0,IF(ISNUMBER(SEARCH(Classifiers!$F$12,E404)),1,0))+IF(Classifiers!$G$12="",0,IF(ISNUMBER(SEARCH(Classifiers!$G$12,E404)),1,0)))&gt;0,1,0))</f>
        <v/>
      </c>
      <c r="R404" s="12">
        <f>IF(H404&lt;&gt;1,0,IF((IF(Classifiers!$B$13="",0,IF(ISNUMBER(SEARCH(Classifiers!$B$13,E404)),1,0))+IF(Classifiers!$C$13="",0,IF(ISNUMBER(SEARCH(Classifiers!$C$13,E404)),1,0))+IF(Classifiers!$D$13="",0,IF(ISNUMBER(SEARCH(Classifiers!$D$13,E404)),1,0))+IF(Classifiers!$E$13="",0,IF(ISNUMBER(SEARCH(Classifiers!$E$13,E404)),1,0))+IF(Classifiers!$F$13="",0,IF(ISNUMBER(SEARCH(Classifiers!$F$13,E404)),1,0))+IF(Classifiers!$G$13="",0,IF(ISNUMBER(SEARCH(Classifiers!$G$13,E404)),1,0)))&gt;0,1,0))</f>
        <v/>
      </c>
      <c r="S404" s="12">
        <f>IF(H404&lt;&gt;1,0,IF((IF(Classifiers!$B$14="",0,IF(ISNUMBER(SEARCH(Classifiers!$B$14,E404)),1,0))+IF(Classifiers!$C$14="",0,IF(ISNUMBER(SEARCH(Classifiers!$C$14,E404)),1,0))+IF(Classifiers!$D$14="",0,IF(ISNUMBER(SEARCH(Classifiers!$D$14,E404)),1,0))+IF(Classifiers!$E$14="",0,IF(ISNUMBER(SEARCH(Classifiers!$E$14,E404)),1,0))+IF(Classifiers!$F$14="",0,IF(ISNUMBER(SEARCH(Classifiers!$F$14,E404)),1,0))+IF(Classifiers!$G$14="",0,IF(ISNUMBER(SEARCH(Classifiers!$G$14,E404)),1,0)))&gt;0,1,0))</f>
        <v/>
      </c>
      <c r="T404" s="12">
        <f>IF(H404&lt;&gt;1,0,IF((IF(Classifiers!$B$15="",0,IF(ISNUMBER(SEARCH(Classifiers!$B$15,E404)),1,0))+IF(Classifiers!$C$15="",0,IF(ISNUMBER(SEARCH(Classifiers!$C$15,E404)),1,0))+IF(Classifiers!$D$15="",0,IF(ISNUMBER(SEARCH(Classifiers!$D$15,E404)),1,0))+IF(Classifiers!$E$15="",0,IF(ISNUMBER(SEARCH(Classifiers!$E$15,E404)),1,0))+IF(Classifiers!$F$15="",0,IF(ISNUMBER(SEARCH(Classifiers!$F$15,E404)),1,0))+IF(Classifiers!$G$15="",0,IF(ISNUMBER(SEARCH(Classifiers!$G$15,E404)),1,0)))&gt;0,1,0))</f>
        <v/>
      </c>
      <c r="U404" s="12">
        <f>IF(H404&lt;&gt;1,0,IF((IF(Classifiers!$B$16="",0,IF(ISNUMBER(SEARCH(Classifiers!$B$16,E404)),1,0))+IF(Classifiers!$C$16="",0,IF(ISNUMBER(SEARCH(Classifiers!$C$16,E404)),1,0))+IF(Classifiers!$D$16="",0,IF(ISNUMBER(SEARCH(Classifiers!$D$16,E404)),1,0))+IF(Classifiers!$E$16="",0,IF(ISNUMBER(SEARCH(Classifiers!$E$16,E404)),1,0))+IF(Classifiers!$F$16="",0,IF(ISNUMBER(SEARCH(Classifiers!$F$16,E404)),1,0))+IF(Classifiers!$G$16="",0,IF(ISNUMBER(SEARCH(Classifiers!$G$16,E404)),1,0)))&gt;0,1,0))</f>
        <v/>
      </c>
      <c r="V404" s="12">
        <f>IF(H404&lt;&gt;1,0,IF((IF(Classifiers!$B$17="",0,IF(ISNUMBER(SEARCH(Classifiers!$B$17,E404)),1,0))+IF(Classifiers!$C$17="",0,IF(ISNUMBER(SEARCH(Classifiers!$C$17,E404)),1,0))+IF(Classifiers!$D$17="",0,IF(ISNUMBER(SEARCH(Classifiers!$D$17,E404)),1,0))+IF(Classifiers!$E$17="",0,IF(ISNUMBER(SEARCH(Classifiers!$E$17,E404)),1,0))+IF(Classifiers!$F$17="",0,IF(ISNUMBER(SEARCH(Classifiers!$F$17,E404)),1,0))+IF(Classifiers!$G$17="",0,IF(ISNUMBER(SEARCH(Classifiers!$G$17,E404)),1,0)))&gt;0,1,0))</f>
        <v/>
      </c>
      <c r="W404" s="12">
        <f>IF(H404&lt;&gt;1,0,IF((IF(Classifiers!$B$18="",0,IF(ISNUMBER(SEARCH(Classifiers!$B$18,E404)),1,0))+IF(Classifiers!$C$18="",0,IF(ISNUMBER(SEARCH(Classifiers!$C$18,E404)),1,0))+IF(Classifiers!$D$18="",0,IF(ISNUMBER(SEARCH(Classifiers!$D$18,E404)),1,0))+IF(Classifiers!$E$18="",0,IF(ISNUMBER(SEARCH(Classifiers!$E$18,E404)),1,0))+IF(Classifiers!$F$18="",0,IF(ISNUMBER(SEARCH(Classifiers!$F$18,E404)),1,0))+IF(Classifiers!$G$18="",0,IF(ISNUMBER(SEARCH(Classifiers!$G$18,E404)),1,0)))&gt;0,1,0))</f>
        <v/>
      </c>
    </row>
    <row r="405">
      <c r="A405" s="8" t="n"/>
      <c r="B405" s="11" t="n"/>
      <c r="C405" s="6">
        <f>IF(A405="","",TRIM(RIGHT(SUBSTITUTE(A405,"/",REPT(" ",250)),250)))</f>
        <v/>
      </c>
      <c r="D405" s="6">
        <f>IF(C405="","",IF(ISNUMBER(SEARCH(".",C405)),LOWER("."&amp;TRIM(RIGHT(SUBSTITUTE(C405,".",REPT(" ",250)),250))),""))</f>
        <v/>
      </c>
      <c r="E405" s="6">
        <f>IF(C405="","",TRIM(SUBSTITUTE(SUBSTITUTE(SUBSTITUTE(SUBSTITUTE(SUBSTITUTE(SUBSTITUTE(SUBSTITUTE(SUBSTITUTE(SUBSTITUTE(SUBSTITUTE(SUBSTITUTE(SUBSTITUTE(SUBSTITUTE(SUBSTITUTE(SUBSTITUTE(SUBSTITUTE(SUBSTITUTE(SUBSTITUTE(SUBSTITUTE(SUBSTITUTE(LOWER(LEFT(C405,LEN(C405)-LEN(D405))),"_"," "),"-"," "),"."," "),","," "),"("," "),")"," "),"["," "),"]"," "),"&amp;"," "),"+"," "),"@"," "),"#"," "),"!"," "),"'"," "),"/"," "),":"," "),";"," "),"="," "),"~"," "),"%"," ")))</f>
        <v/>
      </c>
      <c r="F405" s="6">
        <f>IF(C405="","",IF(COUNTIF(Classifiers!$A$23:$A$40,D405)&gt;0,1,0))</f>
        <v/>
      </c>
      <c r="G405" s="6">
        <f>IF(C405="","",IF(COUNTIF(Classifiers!$C$23:$C$30,D405)&gt;0,IF((IF(ISNUMBER(SEARCH(Classifiers!$E$23,E405)),1,0)+IF(ISNUMBER(SEARCH(Classifiers!$E$24,E405)),1,0)+IF(ISNUMBER(SEARCH(Classifiers!$E$25,E405)),1,0)+IF(ISNUMBER(SEARCH(Classifiers!$E$26,E405)),1,0)+IF(ISNUMBER(SEARCH(Classifiers!$E$27,E405)),1,0)+IF(ISNUMBER(SEARCH(Classifiers!$E$28,E405)),1,0)+IF(ISNUMBER(SEARCH(Classifiers!$E$29,E405)),1,0)+IF(ISNUMBER(SEARCH(Classifiers!$E$30,E405)),1,0))&gt;0,1,0),0))</f>
        <v/>
      </c>
      <c r="H405" s="6">
        <f>IF(C405="","",IF(OR(LEFT(C405,1)=".",AND(F405=0,G405=0)),0,1))</f>
        <v/>
      </c>
      <c r="I405" s="6">
        <f>IF(H405&lt;&gt;1,"",IF(SUM(J405:W405)=0,"unclassified",INDEX(Classifiers!$A$5:$A$18,MATCH(1,J405:W405,0),1)))</f>
        <v/>
      </c>
      <c r="J405" s="12">
        <f>IF(H405&lt;&gt;1,0,IF((IF(Classifiers!$B$5="",0,IF(ISNUMBER(SEARCH(Classifiers!$B$5,E405)),1,0))+IF(Classifiers!$C$5="",0,IF(ISNUMBER(SEARCH(Classifiers!$C$5,E405)),1,0))+IF(Classifiers!$D$5="",0,IF(ISNUMBER(SEARCH(Classifiers!$D$5,E405)),1,0))+IF(Classifiers!$E$5="",0,IF(ISNUMBER(SEARCH(Classifiers!$E$5,E405)),1,0))+IF(Classifiers!$F$5="",0,IF(ISNUMBER(SEARCH(Classifiers!$F$5,E405)),1,0))+IF(Classifiers!$G$5="",0,IF(ISNUMBER(SEARCH(Classifiers!$G$5,E405)),1,0)))&gt;0,1,0))</f>
        <v/>
      </c>
      <c r="K405" s="12">
        <f>IF(H405&lt;&gt;1,0,IF((IF(Classifiers!$B$6="",0,IF(ISNUMBER(SEARCH(Classifiers!$B$6,E405)),1,0))+IF(Classifiers!$C$6="",0,IF(ISNUMBER(SEARCH(Classifiers!$C$6,E405)),1,0))+IF(Classifiers!$D$6="",0,IF(ISNUMBER(SEARCH(Classifiers!$D$6,E405)),1,0))+IF(Classifiers!$E$6="",0,IF(ISNUMBER(SEARCH(Classifiers!$E$6,E405)),1,0))+IF(Classifiers!$F$6="",0,IF(ISNUMBER(SEARCH(Classifiers!$F$6,E405)),1,0))+IF(Classifiers!$G$6="",0,IF(ISNUMBER(SEARCH(Classifiers!$G$6,E405)),1,0)))&gt;0,1,0))</f>
        <v/>
      </c>
      <c r="L405" s="12">
        <f>IF(H405&lt;&gt;1,0,IF((IF(Classifiers!$B$7="",0,IF(ISNUMBER(SEARCH(Classifiers!$B$7,E405)),1,0))+IF(Classifiers!$C$7="",0,IF(ISNUMBER(SEARCH(Classifiers!$C$7,E405)),1,0))+IF(Classifiers!$D$7="",0,IF(ISNUMBER(SEARCH(Classifiers!$D$7,E405)),1,0))+IF(Classifiers!$E$7="",0,IF(ISNUMBER(SEARCH(Classifiers!$E$7,E405)),1,0))+IF(Classifiers!$F$7="",0,IF(ISNUMBER(SEARCH(Classifiers!$F$7,E405)),1,0))+IF(Classifiers!$G$7="",0,IF(ISNUMBER(SEARCH(Classifiers!$G$7,E405)),1,0)))&gt;0,1,0))</f>
        <v/>
      </c>
      <c r="M405" s="12">
        <f>IF(H405&lt;&gt;1,0,IF((IF(Classifiers!$B$8="",0,IF(ISNUMBER(SEARCH(Classifiers!$B$8,E405)),1,0))+IF(Classifiers!$C$8="",0,IF(ISNUMBER(SEARCH(Classifiers!$C$8,E405)),1,0))+IF(Classifiers!$D$8="",0,IF(ISNUMBER(SEARCH(Classifiers!$D$8,E405)),1,0))+IF(Classifiers!$E$8="",0,IF(ISNUMBER(SEARCH(Classifiers!$E$8,E405)),1,0))+IF(Classifiers!$F$8="",0,IF(ISNUMBER(SEARCH(Classifiers!$F$8,E405)),1,0))+IF(Classifiers!$G$8="",0,IF(ISNUMBER(SEARCH(Classifiers!$G$8,E405)),1,0)))&gt;0,1,0))</f>
        <v/>
      </c>
      <c r="N405" s="12">
        <f>IF(H405&lt;&gt;1,0,IF((IF(Classifiers!$B$9="",0,IF(ISNUMBER(SEARCH(Classifiers!$B$9,E405)),1,0))+IF(Classifiers!$C$9="",0,IF(ISNUMBER(SEARCH(Classifiers!$C$9,E405)),1,0))+IF(Classifiers!$D$9="",0,IF(ISNUMBER(SEARCH(Classifiers!$D$9,E405)),1,0))+IF(Classifiers!$E$9="",0,IF(ISNUMBER(SEARCH(Classifiers!$E$9,E405)),1,0))+IF(Classifiers!$F$9="",0,IF(ISNUMBER(SEARCH(Classifiers!$F$9,E405)),1,0))+IF(Classifiers!$G$9="",0,IF(ISNUMBER(SEARCH(Classifiers!$G$9,E405)),1,0)))&gt;0,1,0))</f>
        <v/>
      </c>
      <c r="O405" s="12">
        <f>IF(H405&lt;&gt;1,0,IF((IF(Classifiers!$B$10="",0,IF(ISNUMBER(SEARCH(Classifiers!$B$10,E405)),1,0))+IF(Classifiers!$C$10="",0,IF(ISNUMBER(SEARCH(Classifiers!$C$10,E405)),1,0))+IF(Classifiers!$D$10="",0,IF(ISNUMBER(SEARCH(Classifiers!$D$10,E405)),1,0))+IF(Classifiers!$E$10="",0,IF(ISNUMBER(SEARCH(Classifiers!$E$10,E405)),1,0))+IF(Classifiers!$F$10="",0,IF(ISNUMBER(SEARCH(Classifiers!$F$10,E405)),1,0))+IF(Classifiers!$G$10="",0,IF(ISNUMBER(SEARCH(Classifiers!$G$10,E405)),1,0)))&gt;0,1,0))</f>
        <v/>
      </c>
      <c r="P405" s="12">
        <f>IF(H405&lt;&gt;1,0,IF((IF(Classifiers!$B$11="",0,IF(ISNUMBER(SEARCH(Classifiers!$B$11,E405)),1,0))+IF(Classifiers!$C$11="",0,IF(ISNUMBER(SEARCH(Classifiers!$C$11,E405)),1,0))+IF(Classifiers!$D$11="",0,IF(ISNUMBER(SEARCH(Classifiers!$D$11,E405)),1,0))+IF(Classifiers!$E$11="",0,IF(ISNUMBER(SEARCH(Classifiers!$E$11,E405)),1,0))+IF(Classifiers!$F$11="",0,IF(ISNUMBER(SEARCH(Classifiers!$F$11,E405)),1,0))+IF(Classifiers!$G$11="",0,IF(ISNUMBER(SEARCH(Classifiers!$G$11,E405)),1,0)))&gt;0,1,0))</f>
        <v/>
      </c>
      <c r="Q405" s="12">
        <f>IF(H405&lt;&gt;1,0,IF((IF(Classifiers!$B$12="",0,IF(ISNUMBER(SEARCH(Classifiers!$B$12,E405)),1,0))+IF(Classifiers!$C$12="",0,IF(ISNUMBER(SEARCH(Classifiers!$C$12,E405)),1,0))+IF(Classifiers!$D$12="",0,IF(ISNUMBER(SEARCH(Classifiers!$D$12,E405)),1,0))+IF(Classifiers!$E$12="",0,IF(ISNUMBER(SEARCH(Classifiers!$E$12,E405)),1,0))+IF(Classifiers!$F$12="",0,IF(ISNUMBER(SEARCH(Classifiers!$F$12,E405)),1,0))+IF(Classifiers!$G$12="",0,IF(ISNUMBER(SEARCH(Classifiers!$G$12,E405)),1,0)))&gt;0,1,0))</f>
        <v/>
      </c>
      <c r="R405" s="12">
        <f>IF(H405&lt;&gt;1,0,IF((IF(Classifiers!$B$13="",0,IF(ISNUMBER(SEARCH(Classifiers!$B$13,E405)),1,0))+IF(Classifiers!$C$13="",0,IF(ISNUMBER(SEARCH(Classifiers!$C$13,E405)),1,0))+IF(Classifiers!$D$13="",0,IF(ISNUMBER(SEARCH(Classifiers!$D$13,E405)),1,0))+IF(Classifiers!$E$13="",0,IF(ISNUMBER(SEARCH(Classifiers!$E$13,E405)),1,0))+IF(Classifiers!$F$13="",0,IF(ISNUMBER(SEARCH(Classifiers!$F$13,E405)),1,0))+IF(Classifiers!$G$13="",0,IF(ISNUMBER(SEARCH(Classifiers!$G$13,E405)),1,0)))&gt;0,1,0))</f>
        <v/>
      </c>
      <c r="S405" s="12">
        <f>IF(H405&lt;&gt;1,0,IF((IF(Classifiers!$B$14="",0,IF(ISNUMBER(SEARCH(Classifiers!$B$14,E405)),1,0))+IF(Classifiers!$C$14="",0,IF(ISNUMBER(SEARCH(Classifiers!$C$14,E405)),1,0))+IF(Classifiers!$D$14="",0,IF(ISNUMBER(SEARCH(Classifiers!$D$14,E405)),1,0))+IF(Classifiers!$E$14="",0,IF(ISNUMBER(SEARCH(Classifiers!$E$14,E405)),1,0))+IF(Classifiers!$F$14="",0,IF(ISNUMBER(SEARCH(Classifiers!$F$14,E405)),1,0))+IF(Classifiers!$G$14="",0,IF(ISNUMBER(SEARCH(Classifiers!$G$14,E405)),1,0)))&gt;0,1,0))</f>
        <v/>
      </c>
      <c r="T405" s="12">
        <f>IF(H405&lt;&gt;1,0,IF((IF(Classifiers!$B$15="",0,IF(ISNUMBER(SEARCH(Classifiers!$B$15,E405)),1,0))+IF(Classifiers!$C$15="",0,IF(ISNUMBER(SEARCH(Classifiers!$C$15,E405)),1,0))+IF(Classifiers!$D$15="",0,IF(ISNUMBER(SEARCH(Classifiers!$D$15,E405)),1,0))+IF(Classifiers!$E$15="",0,IF(ISNUMBER(SEARCH(Classifiers!$E$15,E405)),1,0))+IF(Classifiers!$F$15="",0,IF(ISNUMBER(SEARCH(Classifiers!$F$15,E405)),1,0))+IF(Classifiers!$G$15="",0,IF(ISNUMBER(SEARCH(Classifiers!$G$15,E405)),1,0)))&gt;0,1,0))</f>
        <v/>
      </c>
      <c r="U405" s="12">
        <f>IF(H405&lt;&gt;1,0,IF((IF(Classifiers!$B$16="",0,IF(ISNUMBER(SEARCH(Classifiers!$B$16,E405)),1,0))+IF(Classifiers!$C$16="",0,IF(ISNUMBER(SEARCH(Classifiers!$C$16,E405)),1,0))+IF(Classifiers!$D$16="",0,IF(ISNUMBER(SEARCH(Classifiers!$D$16,E405)),1,0))+IF(Classifiers!$E$16="",0,IF(ISNUMBER(SEARCH(Classifiers!$E$16,E405)),1,0))+IF(Classifiers!$F$16="",0,IF(ISNUMBER(SEARCH(Classifiers!$F$16,E405)),1,0))+IF(Classifiers!$G$16="",0,IF(ISNUMBER(SEARCH(Classifiers!$G$16,E405)),1,0)))&gt;0,1,0))</f>
        <v/>
      </c>
      <c r="V405" s="12">
        <f>IF(H405&lt;&gt;1,0,IF((IF(Classifiers!$B$17="",0,IF(ISNUMBER(SEARCH(Classifiers!$B$17,E405)),1,0))+IF(Classifiers!$C$17="",0,IF(ISNUMBER(SEARCH(Classifiers!$C$17,E405)),1,0))+IF(Classifiers!$D$17="",0,IF(ISNUMBER(SEARCH(Classifiers!$D$17,E405)),1,0))+IF(Classifiers!$E$17="",0,IF(ISNUMBER(SEARCH(Classifiers!$E$17,E405)),1,0))+IF(Classifiers!$F$17="",0,IF(ISNUMBER(SEARCH(Classifiers!$F$17,E405)),1,0))+IF(Classifiers!$G$17="",0,IF(ISNUMBER(SEARCH(Classifiers!$G$17,E405)),1,0)))&gt;0,1,0))</f>
        <v/>
      </c>
      <c r="W405" s="12">
        <f>IF(H405&lt;&gt;1,0,IF((IF(Classifiers!$B$18="",0,IF(ISNUMBER(SEARCH(Classifiers!$B$18,E405)),1,0))+IF(Classifiers!$C$18="",0,IF(ISNUMBER(SEARCH(Classifiers!$C$18,E405)),1,0))+IF(Classifiers!$D$18="",0,IF(ISNUMBER(SEARCH(Classifiers!$D$18,E405)),1,0))+IF(Classifiers!$E$18="",0,IF(ISNUMBER(SEARCH(Classifiers!$E$18,E405)),1,0))+IF(Classifiers!$F$18="",0,IF(ISNUMBER(SEARCH(Classifiers!$F$18,E405)),1,0))+IF(Classifiers!$G$18="",0,IF(ISNUMBER(SEARCH(Classifiers!$G$18,E405)),1,0)))&gt;0,1,0))</f>
        <v/>
      </c>
    </row>
    <row r="406">
      <c r="A406" s="8" t="n"/>
      <c r="B406" s="11" t="n"/>
      <c r="C406" s="6">
        <f>IF(A406="","",TRIM(RIGHT(SUBSTITUTE(A406,"/",REPT(" ",250)),250)))</f>
        <v/>
      </c>
      <c r="D406" s="6">
        <f>IF(C406="","",IF(ISNUMBER(SEARCH(".",C406)),LOWER("."&amp;TRIM(RIGHT(SUBSTITUTE(C406,".",REPT(" ",250)),250))),""))</f>
        <v/>
      </c>
      <c r="E406" s="6">
        <f>IF(C406="","",TRIM(SUBSTITUTE(SUBSTITUTE(SUBSTITUTE(SUBSTITUTE(SUBSTITUTE(SUBSTITUTE(SUBSTITUTE(SUBSTITUTE(SUBSTITUTE(SUBSTITUTE(SUBSTITUTE(SUBSTITUTE(SUBSTITUTE(SUBSTITUTE(SUBSTITUTE(SUBSTITUTE(SUBSTITUTE(SUBSTITUTE(SUBSTITUTE(SUBSTITUTE(LOWER(LEFT(C406,LEN(C406)-LEN(D406))),"_"," "),"-"," "),"."," "),","," "),"("," "),")"," "),"["," "),"]"," "),"&amp;"," "),"+"," "),"@"," "),"#"," "),"!"," "),"'"," "),"/"," "),":"," "),";"," "),"="," "),"~"," "),"%"," ")))</f>
        <v/>
      </c>
      <c r="F406" s="6">
        <f>IF(C406="","",IF(COUNTIF(Classifiers!$A$23:$A$40,D406)&gt;0,1,0))</f>
        <v/>
      </c>
      <c r="G406" s="6">
        <f>IF(C406="","",IF(COUNTIF(Classifiers!$C$23:$C$30,D406)&gt;0,IF((IF(ISNUMBER(SEARCH(Classifiers!$E$23,E406)),1,0)+IF(ISNUMBER(SEARCH(Classifiers!$E$24,E406)),1,0)+IF(ISNUMBER(SEARCH(Classifiers!$E$25,E406)),1,0)+IF(ISNUMBER(SEARCH(Classifiers!$E$26,E406)),1,0)+IF(ISNUMBER(SEARCH(Classifiers!$E$27,E406)),1,0)+IF(ISNUMBER(SEARCH(Classifiers!$E$28,E406)),1,0)+IF(ISNUMBER(SEARCH(Classifiers!$E$29,E406)),1,0)+IF(ISNUMBER(SEARCH(Classifiers!$E$30,E406)),1,0))&gt;0,1,0),0))</f>
        <v/>
      </c>
      <c r="H406" s="6">
        <f>IF(C406="","",IF(OR(LEFT(C406,1)=".",AND(F406=0,G406=0)),0,1))</f>
        <v/>
      </c>
      <c r="I406" s="6">
        <f>IF(H406&lt;&gt;1,"",IF(SUM(J406:W406)=0,"unclassified",INDEX(Classifiers!$A$5:$A$18,MATCH(1,J406:W406,0),1)))</f>
        <v/>
      </c>
      <c r="J406" s="12">
        <f>IF(H406&lt;&gt;1,0,IF((IF(Classifiers!$B$5="",0,IF(ISNUMBER(SEARCH(Classifiers!$B$5,E406)),1,0))+IF(Classifiers!$C$5="",0,IF(ISNUMBER(SEARCH(Classifiers!$C$5,E406)),1,0))+IF(Classifiers!$D$5="",0,IF(ISNUMBER(SEARCH(Classifiers!$D$5,E406)),1,0))+IF(Classifiers!$E$5="",0,IF(ISNUMBER(SEARCH(Classifiers!$E$5,E406)),1,0))+IF(Classifiers!$F$5="",0,IF(ISNUMBER(SEARCH(Classifiers!$F$5,E406)),1,0))+IF(Classifiers!$G$5="",0,IF(ISNUMBER(SEARCH(Classifiers!$G$5,E406)),1,0)))&gt;0,1,0))</f>
        <v/>
      </c>
      <c r="K406" s="12">
        <f>IF(H406&lt;&gt;1,0,IF((IF(Classifiers!$B$6="",0,IF(ISNUMBER(SEARCH(Classifiers!$B$6,E406)),1,0))+IF(Classifiers!$C$6="",0,IF(ISNUMBER(SEARCH(Classifiers!$C$6,E406)),1,0))+IF(Classifiers!$D$6="",0,IF(ISNUMBER(SEARCH(Classifiers!$D$6,E406)),1,0))+IF(Classifiers!$E$6="",0,IF(ISNUMBER(SEARCH(Classifiers!$E$6,E406)),1,0))+IF(Classifiers!$F$6="",0,IF(ISNUMBER(SEARCH(Classifiers!$F$6,E406)),1,0))+IF(Classifiers!$G$6="",0,IF(ISNUMBER(SEARCH(Classifiers!$G$6,E406)),1,0)))&gt;0,1,0))</f>
        <v/>
      </c>
      <c r="L406" s="12">
        <f>IF(H406&lt;&gt;1,0,IF((IF(Classifiers!$B$7="",0,IF(ISNUMBER(SEARCH(Classifiers!$B$7,E406)),1,0))+IF(Classifiers!$C$7="",0,IF(ISNUMBER(SEARCH(Classifiers!$C$7,E406)),1,0))+IF(Classifiers!$D$7="",0,IF(ISNUMBER(SEARCH(Classifiers!$D$7,E406)),1,0))+IF(Classifiers!$E$7="",0,IF(ISNUMBER(SEARCH(Classifiers!$E$7,E406)),1,0))+IF(Classifiers!$F$7="",0,IF(ISNUMBER(SEARCH(Classifiers!$F$7,E406)),1,0))+IF(Classifiers!$G$7="",0,IF(ISNUMBER(SEARCH(Classifiers!$G$7,E406)),1,0)))&gt;0,1,0))</f>
        <v/>
      </c>
      <c r="M406" s="12">
        <f>IF(H406&lt;&gt;1,0,IF((IF(Classifiers!$B$8="",0,IF(ISNUMBER(SEARCH(Classifiers!$B$8,E406)),1,0))+IF(Classifiers!$C$8="",0,IF(ISNUMBER(SEARCH(Classifiers!$C$8,E406)),1,0))+IF(Classifiers!$D$8="",0,IF(ISNUMBER(SEARCH(Classifiers!$D$8,E406)),1,0))+IF(Classifiers!$E$8="",0,IF(ISNUMBER(SEARCH(Classifiers!$E$8,E406)),1,0))+IF(Classifiers!$F$8="",0,IF(ISNUMBER(SEARCH(Classifiers!$F$8,E406)),1,0))+IF(Classifiers!$G$8="",0,IF(ISNUMBER(SEARCH(Classifiers!$G$8,E406)),1,0)))&gt;0,1,0))</f>
        <v/>
      </c>
      <c r="N406" s="12">
        <f>IF(H406&lt;&gt;1,0,IF((IF(Classifiers!$B$9="",0,IF(ISNUMBER(SEARCH(Classifiers!$B$9,E406)),1,0))+IF(Classifiers!$C$9="",0,IF(ISNUMBER(SEARCH(Classifiers!$C$9,E406)),1,0))+IF(Classifiers!$D$9="",0,IF(ISNUMBER(SEARCH(Classifiers!$D$9,E406)),1,0))+IF(Classifiers!$E$9="",0,IF(ISNUMBER(SEARCH(Classifiers!$E$9,E406)),1,0))+IF(Classifiers!$F$9="",0,IF(ISNUMBER(SEARCH(Classifiers!$F$9,E406)),1,0))+IF(Classifiers!$G$9="",0,IF(ISNUMBER(SEARCH(Classifiers!$G$9,E406)),1,0)))&gt;0,1,0))</f>
        <v/>
      </c>
      <c r="O406" s="12">
        <f>IF(H406&lt;&gt;1,0,IF((IF(Classifiers!$B$10="",0,IF(ISNUMBER(SEARCH(Classifiers!$B$10,E406)),1,0))+IF(Classifiers!$C$10="",0,IF(ISNUMBER(SEARCH(Classifiers!$C$10,E406)),1,0))+IF(Classifiers!$D$10="",0,IF(ISNUMBER(SEARCH(Classifiers!$D$10,E406)),1,0))+IF(Classifiers!$E$10="",0,IF(ISNUMBER(SEARCH(Classifiers!$E$10,E406)),1,0))+IF(Classifiers!$F$10="",0,IF(ISNUMBER(SEARCH(Classifiers!$F$10,E406)),1,0))+IF(Classifiers!$G$10="",0,IF(ISNUMBER(SEARCH(Classifiers!$G$10,E406)),1,0)))&gt;0,1,0))</f>
        <v/>
      </c>
      <c r="P406" s="12">
        <f>IF(H406&lt;&gt;1,0,IF((IF(Classifiers!$B$11="",0,IF(ISNUMBER(SEARCH(Classifiers!$B$11,E406)),1,0))+IF(Classifiers!$C$11="",0,IF(ISNUMBER(SEARCH(Classifiers!$C$11,E406)),1,0))+IF(Classifiers!$D$11="",0,IF(ISNUMBER(SEARCH(Classifiers!$D$11,E406)),1,0))+IF(Classifiers!$E$11="",0,IF(ISNUMBER(SEARCH(Classifiers!$E$11,E406)),1,0))+IF(Classifiers!$F$11="",0,IF(ISNUMBER(SEARCH(Classifiers!$F$11,E406)),1,0))+IF(Classifiers!$G$11="",0,IF(ISNUMBER(SEARCH(Classifiers!$G$11,E406)),1,0)))&gt;0,1,0))</f>
        <v/>
      </c>
      <c r="Q406" s="12">
        <f>IF(H406&lt;&gt;1,0,IF((IF(Classifiers!$B$12="",0,IF(ISNUMBER(SEARCH(Classifiers!$B$12,E406)),1,0))+IF(Classifiers!$C$12="",0,IF(ISNUMBER(SEARCH(Classifiers!$C$12,E406)),1,0))+IF(Classifiers!$D$12="",0,IF(ISNUMBER(SEARCH(Classifiers!$D$12,E406)),1,0))+IF(Classifiers!$E$12="",0,IF(ISNUMBER(SEARCH(Classifiers!$E$12,E406)),1,0))+IF(Classifiers!$F$12="",0,IF(ISNUMBER(SEARCH(Classifiers!$F$12,E406)),1,0))+IF(Classifiers!$G$12="",0,IF(ISNUMBER(SEARCH(Classifiers!$G$12,E406)),1,0)))&gt;0,1,0))</f>
        <v/>
      </c>
      <c r="R406" s="12">
        <f>IF(H406&lt;&gt;1,0,IF((IF(Classifiers!$B$13="",0,IF(ISNUMBER(SEARCH(Classifiers!$B$13,E406)),1,0))+IF(Classifiers!$C$13="",0,IF(ISNUMBER(SEARCH(Classifiers!$C$13,E406)),1,0))+IF(Classifiers!$D$13="",0,IF(ISNUMBER(SEARCH(Classifiers!$D$13,E406)),1,0))+IF(Classifiers!$E$13="",0,IF(ISNUMBER(SEARCH(Classifiers!$E$13,E406)),1,0))+IF(Classifiers!$F$13="",0,IF(ISNUMBER(SEARCH(Classifiers!$F$13,E406)),1,0))+IF(Classifiers!$G$13="",0,IF(ISNUMBER(SEARCH(Classifiers!$G$13,E406)),1,0)))&gt;0,1,0))</f>
        <v/>
      </c>
      <c r="S406" s="12">
        <f>IF(H406&lt;&gt;1,0,IF((IF(Classifiers!$B$14="",0,IF(ISNUMBER(SEARCH(Classifiers!$B$14,E406)),1,0))+IF(Classifiers!$C$14="",0,IF(ISNUMBER(SEARCH(Classifiers!$C$14,E406)),1,0))+IF(Classifiers!$D$14="",0,IF(ISNUMBER(SEARCH(Classifiers!$D$14,E406)),1,0))+IF(Classifiers!$E$14="",0,IF(ISNUMBER(SEARCH(Classifiers!$E$14,E406)),1,0))+IF(Classifiers!$F$14="",0,IF(ISNUMBER(SEARCH(Classifiers!$F$14,E406)),1,0))+IF(Classifiers!$G$14="",0,IF(ISNUMBER(SEARCH(Classifiers!$G$14,E406)),1,0)))&gt;0,1,0))</f>
        <v/>
      </c>
      <c r="T406" s="12">
        <f>IF(H406&lt;&gt;1,0,IF((IF(Classifiers!$B$15="",0,IF(ISNUMBER(SEARCH(Classifiers!$B$15,E406)),1,0))+IF(Classifiers!$C$15="",0,IF(ISNUMBER(SEARCH(Classifiers!$C$15,E406)),1,0))+IF(Classifiers!$D$15="",0,IF(ISNUMBER(SEARCH(Classifiers!$D$15,E406)),1,0))+IF(Classifiers!$E$15="",0,IF(ISNUMBER(SEARCH(Classifiers!$E$15,E406)),1,0))+IF(Classifiers!$F$15="",0,IF(ISNUMBER(SEARCH(Classifiers!$F$15,E406)),1,0))+IF(Classifiers!$G$15="",0,IF(ISNUMBER(SEARCH(Classifiers!$G$15,E406)),1,0)))&gt;0,1,0))</f>
        <v/>
      </c>
      <c r="U406" s="12">
        <f>IF(H406&lt;&gt;1,0,IF((IF(Classifiers!$B$16="",0,IF(ISNUMBER(SEARCH(Classifiers!$B$16,E406)),1,0))+IF(Classifiers!$C$16="",0,IF(ISNUMBER(SEARCH(Classifiers!$C$16,E406)),1,0))+IF(Classifiers!$D$16="",0,IF(ISNUMBER(SEARCH(Classifiers!$D$16,E406)),1,0))+IF(Classifiers!$E$16="",0,IF(ISNUMBER(SEARCH(Classifiers!$E$16,E406)),1,0))+IF(Classifiers!$F$16="",0,IF(ISNUMBER(SEARCH(Classifiers!$F$16,E406)),1,0))+IF(Classifiers!$G$16="",0,IF(ISNUMBER(SEARCH(Classifiers!$G$16,E406)),1,0)))&gt;0,1,0))</f>
        <v/>
      </c>
      <c r="V406" s="12">
        <f>IF(H406&lt;&gt;1,0,IF((IF(Classifiers!$B$17="",0,IF(ISNUMBER(SEARCH(Classifiers!$B$17,E406)),1,0))+IF(Classifiers!$C$17="",0,IF(ISNUMBER(SEARCH(Classifiers!$C$17,E406)),1,0))+IF(Classifiers!$D$17="",0,IF(ISNUMBER(SEARCH(Classifiers!$D$17,E406)),1,0))+IF(Classifiers!$E$17="",0,IF(ISNUMBER(SEARCH(Classifiers!$E$17,E406)),1,0))+IF(Classifiers!$F$17="",0,IF(ISNUMBER(SEARCH(Classifiers!$F$17,E406)),1,0))+IF(Classifiers!$G$17="",0,IF(ISNUMBER(SEARCH(Classifiers!$G$17,E406)),1,0)))&gt;0,1,0))</f>
        <v/>
      </c>
      <c r="W406" s="12">
        <f>IF(H406&lt;&gt;1,0,IF((IF(Classifiers!$B$18="",0,IF(ISNUMBER(SEARCH(Classifiers!$B$18,E406)),1,0))+IF(Classifiers!$C$18="",0,IF(ISNUMBER(SEARCH(Classifiers!$C$18,E406)),1,0))+IF(Classifiers!$D$18="",0,IF(ISNUMBER(SEARCH(Classifiers!$D$18,E406)),1,0))+IF(Classifiers!$E$18="",0,IF(ISNUMBER(SEARCH(Classifiers!$E$18,E406)),1,0))+IF(Classifiers!$F$18="",0,IF(ISNUMBER(SEARCH(Classifiers!$F$18,E406)),1,0))+IF(Classifiers!$G$18="",0,IF(ISNUMBER(SEARCH(Classifiers!$G$18,E406)),1,0)))&gt;0,1,0))</f>
        <v/>
      </c>
    </row>
    <row r="407">
      <c r="A407" s="8" t="n"/>
      <c r="B407" s="11" t="n"/>
      <c r="C407" s="6">
        <f>IF(A407="","",TRIM(RIGHT(SUBSTITUTE(A407,"/",REPT(" ",250)),250)))</f>
        <v/>
      </c>
      <c r="D407" s="6">
        <f>IF(C407="","",IF(ISNUMBER(SEARCH(".",C407)),LOWER("."&amp;TRIM(RIGHT(SUBSTITUTE(C407,".",REPT(" ",250)),250))),""))</f>
        <v/>
      </c>
      <c r="E407" s="6">
        <f>IF(C407="","",TRIM(SUBSTITUTE(SUBSTITUTE(SUBSTITUTE(SUBSTITUTE(SUBSTITUTE(SUBSTITUTE(SUBSTITUTE(SUBSTITUTE(SUBSTITUTE(SUBSTITUTE(SUBSTITUTE(SUBSTITUTE(SUBSTITUTE(SUBSTITUTE(SUBSTITUTE(SUBSTITUTE(SUBSTITUTE(SUBSTITUTE(SUBSTITUTE(SUBSTITUTE(LOWER(LEFT(C407,LEN(C407)-LEN(D407))),"_"," "),"-"," "),"."," "),","," "),"("," "),")"," "),"["," "),"]"," "),"&amp;"," "),"+"," "),"@"," "),"#"," "),"!"," "),"'"," "),"/"," "),":"," "),";"," "),"="," "),"~"," "),"%"," ")))</f>
        <v/>
      </c>
      <c r="F407" s="6">
        <f>IF(C407="","",IF(COUNTIF(Classifiers!$A$23:$A$40,D407)&gt;0,1,0))</f>
        <v/>
      </c>
      <c r="G407" s="6">
        <f>IF(C407="","",IF(COUNTIF(Classifiers!$C$23:$C$30,D407)&gt;0,IF((IF(ISNUMBER(SEARCH(Classifiers!$E$23,E407)),1,0)+IF(ISNUMBER(SEARCH(Classifiers!$E$24,E407)),1,0)+IF(ISNUMBER(SEARCH(Classifiers!$E$25,E407)),1,0)+IF(ISNUMBER(SEARCH(Classifiers!$E$26,E407)),1,0)+IF(ISNUMBER(SEARCH(Classifiers!$E$27,E407)),1,0)+IF(ISNUMBER(SEARCH(Classifiers!$E$28,E407)),1,0)+IF(ISNUMBER(SEARCH(Classifiers!$E$29,E407)),1,0)+IF(ISNUMBER(SEARCH(Classifiers!$E$30,E407)),1,0))&gt;0,1,0),0))</f>
        <v/>
      </c>
      <c r="H407" s="6">
        <f>IF(C407="","",IF(OR(LEFT(C407,1)=".",AND(F407=0,G407=0)),0,1))</f>
        <v/>
      </c>
      <c r="I407" s="6">
        <f>IF(H407&lt;&gt;1,"",IF(SUM(J407:W407)=0,"unclassified",INDEX(Classifiers!$A$5:$A$18,MATCH(1,J407:W407,0),1)))</f>
        <v/>
      </c>
      <c r="J407" s="12">
        <f>IF(H407&lt;&gt;1,0,IF((IF(Classifiers!$B$5="",0,IF(ISNUMBER(SEARCH(Classifiers!$B$5,E407)),1,0))+IF(Classifiers!$C$5="",0,IF(ISNUMBER(SEARCH(Classifiers!$C$5,E407)),1,0))+IF(Classifiers!$D$5="",0,IF(ISNUMBER(SEARCH(Classifiers!$D$5,E407)),1,0))+IF(Classifiers!$E$5="",0,IF(ISNUMBER(SEARCH(Classifiers!$E$5,E407)),1,0))+IF(Classifiers!$F$5="",0,IF(ISNUMBER(SEARCH(Classifiers!$F$5,E407)),1,0))+IF(Classifiers!$G$5="",0,IF(ISNUMBER(SEARCH(Classifiers!$G$5,E407)),1,0)))&gt;0,1,0))</f>
        <v/>
      </c>
      <c r="K407" s="12">
        <f>IF(H407&lt;&gt;1,0,IF((IF(Classifiers!$B$6="",0,IF(ISNUMBER(SEARCH(Classifiers!$B$6,E407)),1,0))+IF(Classifiers!$C$6="",0,IF(ISNUMBER(SEARCH(Classifiers!$C$6,E407)),1,0))+IF(Classifiers!$D$6="",0,IF(ISNUMBER(SEARCH(Classifiers!$D$6,E407)),1,0))+IF(Classifiers!$E$6="",0,IF(ISNUMBER(SEARCH(Classifiers!$E$6,E407)),1,0))+IF(Classifiers!$F$6="",0,IF(ISNUMBER(SEARCH(Classifiers!$F$6,E407)),1,0))+IF(Classifiers!$G$6="",0,IF(ISNUMBER(SEARCH(Classifiers!$G$6,E407)),1,0)))&gt;0,1,0))</f>
        <v/>
      </c>
      <c r="L407" s="12">
        <f>IF(H407&lt;&gt;1,0,IF((IF(Classifiers!$B$7="",0,IF(ISNUMBER(SEARCH(Classifiers!$B$7,E407)),1,0))+IF(Classifiers!$C$7="",0,IF(ISNUMBER(SEARCH(Classifiers!$C$7,E407)),1,0))+IF(Classifiers!$D$7="",0,IF(ISNUMBER(SEARCH(Classifiers!$D$7,E407)),1,0))+IF(Classifiers!$E$7="",0,IF(ISNUMBER(SEARCH(Classifiers!$E$7,E407)),1,0))+IF(Classifiers!$F$7="",0,IF(ISNUMBER(SEARCH(Classifiers!$F$7,E407)),1,0))+IF(Classifiers!$G$7="",0,IF(ISNUMBER(SEARCH(Classifiers!$G$7,E407)),1,0)))&gt;0,1,0))</f>
        <v/>
      </c>
      <c r="M407" s="12">
        <f>IF(H407&lt;&gt;1,0,IF((IF(Classifiers!$B$8="",0,IF(ISNUMBER(SEARCH(Classifiers!$B$8,E407)),1,0))+IF(Classifiers!$C$8="",0,IF(ISNUMBER(SEARCH(Classifiers!$C$8,E407)),1,0))+IF(Classifiers!$D$8="",0,IF(ISNUMBER(SEARCH(Classifiers!$D$8,E407)),1,0))+IF(Classifiers!$E$8="",0,IF(ISNUMBER(SEARCH(Classifiers!$E$8,E407)),1,0))+IF(Classifiers!$F$8="",0,IF(ISNUMBER(SEARCH(Classifiers!$F$8,E407)),1,0))+IF(Classifiers!$G$8="",0,IF(ISNUMBER(SEARCH(Classifiers!$G$8,E407)),1,0)))&gt;0,1,0))</f>
        <v/>
      </c>
      <c r="N407" s="12">
        <f>IF(H407&lt;&gt;1,0,IF((IF(Classifiers!$B$9="",0,IF(ISNUMBER(SEARCH(Classifiers!$B$9,E407)),1,0))+IF(Classifiers!$C$9="",0,IF(ISNUMBER(SEARCH(Classifiers!$C$9,E407)),1,0))+IF(Classifiers!$D$9="",0,IF(ISNUMBER(SEARCH(Classifiers!$D$9,E407)),1,0))+IF(Classifiers!$E$9="",0,IF(ISNUMBER(SEARCH(Classifiers!$E$9,E407)),1,0))+IF(Classifiers!$F$9="",0,IF(ISNUMBER(SEARCH(Classifiers!$F$9,E407)),1,0))+IF(Classifiers!$G$9="",0,IF(ISNUMBER(SEARCH(Classifiers!$G$9,E407)),1,0)))&gt;0,1,0))</f>
        <v/>
      </c>
      <c r="O407" s="12">
        <f>IF(H407&lt;&gt;1,0,IF((IF(Classifiers!$B$10="",0,IF(ISNUMBER(SEARCH(Classifiers!$B$10,E407)),1,0))+IF(Classifiers!$C$10="",0,IF(ISNUMBER(SEARCH(Classifiers!$C$10,E407)),1,0))+IF(Classifiers!$D$10="",0,IF(ISNUMBER(SEARCH(Classifiers!$D$10,E407)),1,0))+IF(Classifiers!$E$10="",0,IF(ISNUMBER(SEARCH(Classifiers!$E$10,E407)),1,0))+IF(Classifiers!$F$10="",0,IF(ISNUMBER(SEARCH(Classifiers!$F$10,E407)),1,0))+IF(Classifiers!$G$10="",0,IF(ISNUMBER(SEARCH(Classifiers!$G$10,E407)),1,0)))&gt;0,1,0))</f>
        <v/>
      </c>
      <c r="P407" s="12">
        <f>IF(H407&lt;&gt;1,0,IF((IF(Classifiers!$B$11="",0,IF(ISNUMBER(SEARCH(Classifiers!$B$11,E407)),1,0))+IF(Classifiers!$C$11="",0,IF(ISNUMBER(SEARCH(Classifiers!$C$11,E407)),1,0))+IF(Classifiers!$D$11="",0,IF(ISNUMBER(SEARCH(Classifiers!$D$11,E407)),1,0))+IF(Classifiers!$E$11="",0,IF(ISNUMBER(SEARCH(Classifiers!$E$11,E407)),1,0))+IF(Classifiers!$F$11="",0,IF(ISNUMBER(SEARCH(Classifiers!$F$11,E407)),1,0))+IF(Classifiers!$G$11="",0,IF(ISNUMBER(SEARCH(Classifiers!$G$11,E407)),1,0)))&gt;0,1,0))</f>
        <v/>
      </c>
      <c r="Q407" s="12">
        <f>IF(H407&lt;&gt;1,0,IF((IF(Classifiers!$B$12="",0,IF(ISNUMBER(SEARCH(Classifiers!$B$12,E407)),1,0))+IF(Classifiers!$C$12="",0,IF(ISNUMBER(SEARCH(Classifiers!$C$12,E407)),1,0))+IF(Classifiers!$D$12="",0,IF(ISNUMBER(SEARCH(Classifiers!$D$12,E407)),1,0))+IF(Classifiers!$E$12="",0,IF(ISNUMBER(SEARCH(Classifiers!$E$12,E407)),1,0))+IF(Classifiers!$F$12="",0,IF(ISNUMBER(SEARCH(Classifiers!$F$12,E407)),1,0))+IF(Classifiers!$G$12="",0,IF(ISNUMBER(SEARCH(Classifiers!$G$12,E407)),1,0)))&gt;0,1,0))</f>
        <v/>
      </c>
      <c r="R407" s="12">
        <f>IF(H407&lt;&gt;1,0,IF((IF(Classifiers!$B$13="",0,IF(ISNUMBER(SEARCH(Classifiers!$B$13,E407)),1,0))+IF(Classifiers!$C$13="",0,IF(ISNUMBER(SEARCH(Classifiers!$C$13,E407)),1,0))+IF(Classifiers!$D$13="",0,IF(ISNUMBER(SEARCH(Classifiers!$D$13,E407)),1,0))+IF(Classifiers!$E$13="",0,IF(ISNUMBER(SEARCH(Classifiers!$E$13,E407)),1,0))+IF(Classifiers!$F$13="",0,IF(ISNUMBER(SEARCH(Classifiers!$F$13,E407)),1,0))+IF(Classifiers!$G$13="",0,IF(ISNUMBER(SEARCH(Classifiers!$G$13,E407)),1,0)))&gt;0,1,0))</f>
        <v/>
      </c>
      <c r="S407" s="12">
        <f>IF(H407&lt;&gt;1,0,IF((IF(Classifiers!$B$14="",0,IF(ISNUMBER(SEARCH(Classifiers!$B$14,E407)),1,0))+IF(Classifiers!$C$14="",0,IF(ISNUMBER(SEARCH(Classifiers!$C$14,E407)),1,0))+IF(Classifiers!$D$14="",0,IF(ISNUMBER(SEARCH(Classifiers!$D$14,E407)),1,0))+IF(Classifiers!$E$14="",0,IF(ISNUMBER(SEARCH(Classifiers!$E$14,E407)),1,0))+IF(Classifiers!$F$14="",0,IF(ISNUMBER(SEARCH(Classifiers!$F$14,E407)),1,0))+IF(Classifiers!$G$14="",0,IF(ISNUMBER(SEARCH(Classifiers!$G$14,E407)),1,0)))&gt;0,1,0))</f>
        <v/>
      </c>
      <c r="T407" s="12">
        <f>IF(H407&lt;&gt;1,0,IF((IF(Classifiers!$B$15="",0,IF(ISNUMBER(SEARCH(Classifiers!$B$15,E407)),1,0))+IF(Classifiers!$C$15="",0,IF(ISNUMBER(SEARCH(Classifiers!$C$15,E407)),1,0))+IF(Classifiers!$D$15="",0,IF(ISNUMBER(SEARCH(Classifiers!$D$15,E407)),1,0))+IF(Classifiers!$E$15="",0,IF(ISNUMBER(SEARCH(Classifiers!$E$15,E407)),1,0))+IF(Classifiers!$F$15="",0,IF(ISNUMBER(SEARCH(Classifiers!$F$15,E407)),1,0))+IF(Classifiers!$G$15="",0,IF(ISNUMBER(SEARCH(Classifiers!$G$15,E407)),1,0)))&gt;0,1,0))</f>
        <v/>
      </c>
      <c r="U407" s="12">
        <f>IF(H407&lt;&gt;1,0,IF((IF(Classifiers!$B$16="",0,IF(ISNUMBER(SEARCH(Classifiers!$B$16,E407)),1,0))+IF(Classifiers!$C$16="",0,IF(ISNUMBER(SEARCH(Classifiers!$C$16,E407)),1,0))+IF(Classifiers!$D$16="",0,IF(ISNUMBER(SEARCH(Classifiers!$D$16,E407)),1,0))+IF(Classifiers!$E$16="",0,IF(ISNUMBER(SEARCH(Classifiers!$E$16,E407)),1,0))+IF(Classifiers!$F$16="",0,IF(ISNUMBER(SEARCH(Classifiers!$F$16,E407)),1,0))+IF(Classifiers!$G$16="",0,IF(ISNUMBER(SEARCH(Classifiers!$G$16,E407)),1,0)))&gt;0,1,0))</f>
        <v/>
      </c>
      <c r="V407" s="12">
        <f>IF(H407&lt;&gt;1,0,IF((IF(Classifiers!$B$17="",0,IF(ISNUMBER(SEARCH(Classifiers!$B$17,E407)),1,0))+IF(Classifiers!$C$17="",0,IF(ISNUMBER(SEARCH(Classifiers!$C$17,E407)),1,0))+IF(Classifiers!$D$17="",0,IF(ISNUMBER(SEARCH(Classifiers!$D$17,E407)),1,0))+IF(Classifiers!$E$17="",0,IF(ISNUMBER(SEARCH(Classifiers!$E$17,E407)),1,0))+IF(Classifiers!$F$17="",0,IF(ISNUMBER(SEARCH(Classifiers!$F$17,E407)),1,0))+IF(Classifiers!$G$17="",0,IF(ISNUMBER(SEARCH(Classifiers!$G$17,E407)),1,0)))&gt;0,1,0))</f>
        <v/>
      </c>
      <c r="W407" s="12">
        <f>IF(H407&lt;&gt;1,0,IF((IF(Classifiers!$B$18="",0,IF(ISNUMBER(SEARCH(Classifiers!$B$18,E407)),1,0))+IF(Classifiers!$C$18="",0,IF(ISNUMBER(SEARCH(Classifiers!$C$18,E407)),1,0))+IF(Classifiers!$D$18="",0,IF(ISNUMBER(SEARCH(Classifiers!$D$18,E407)),1,0))+IF(Classifiers!$E$18="",0,IF(ISNUMBER(SEARCH(Classifiers!$E$18,E407)),1,0))+IF(Classifiers!$F$18="",0,IF(ISNUMBER(SEARCH(Classifiers!$F$18,E407)),1,0))+IF(Classifiers!$G$18="",0,IF(ISNUMBER(SEARCH(Classifiers!$G$18,E407)),1,0)))&gt;0,1,0))</f>
        <v/>
      </c>
    </row>
    <row r="408">
      <c r="A408" s="8" t="n"/>
      <c r="B408" s="11" t="n"/>
      <c r="C408" s="6">
        <f>IF(A408="","",TRIM(RIGHT(SUBSTITUTE(A408,"/",REPT(" ",250)),250)))</f>
        <v/>
      </c>
      <c r="D408" s="6">
        <f>IF(C408="","",IF(ISNUMBER(SEARCH(".",C408)),LOWER("."&amp;TRIM(RIGHT(SUBSTITUTE(C408,".",REPT(" ",250)),250))),""))</f>
        <v/>
      </c>
      <c r="E408" s="6">
        <f>IF(C408="","",TRIM(SUBSTITUTE(SUBSTITUTE(SUBSTITUTE(SUBSTITUTE(SUBSTITUTE(SUBSTITUTE(SUBSTITUTE(SUBSTITUTE(SUBSTITUTE(SUBSTITUTE(SUBSTITUTE(SUBSTITUTE(SUBSTITUTE(SUBSTITUTE(SUBSTITUTE(SUBSTITUTE(SUBSTITUTE(SUBSTITUTE(SUBSTITUTE(SUBSTITUTE(LOWER(LEFT(C408,LEN(C408)-LEN(D408))),"_"," "),"-"," "),"."," "),","," "),"("," "),")"," "),"["," "),"]"," "),"&amp;"," "),"+"," "),"@"," "),"#"," "),"!"," "),"'"," "),"/"," "),":"," "),";"," "),"="," "),"~"," "),"%"," ")))</f>
        <v/>
      </c>
      <c r="F408" s="6">
        <f>IF(C408="","",IF(COUNTIF(Classifiers!$A$23:$A$40,D408)&gt;0,1,0))</f>
        <v/>
      </c>
      <c r="G408" s="6">
        <f>IF(C408="","",IF(COUNTIF(Classifiers!$C$23:$C$30,D408)&gt;0,IF((IF(ISNUMBER(SEARCH(Classifiers!$E$23,E408)),1,0)+IF(ISNUMBER(SEARCH(Classifiers!$E$24,E408)),1,0)+IF(ISNUMBER(SEARCH(Classifiers!$E$25,E408)),1,0)+IF(ISNUMBER(SEARCH(Classifiers!$E$26,E408)),1,0)+IF(ISNUMBER(SEARCH(Classifiers!$E$27,E408)),1,0)+IF(ISNUMBER(SEARCH(Classifiers!$E$28,E408)),1,0)+IF(ISNUMBER(SEARCH(Classifiers!$E$29,E408)),1,0)+IF(ISNUMBER(SEARCH(Classifiers!$E$30,E408)),1,0))&gt;0,1,0),0))</f>
        <v/>
      </c>
      <c r="H408" s="6">
        <f>IF(C408="","",IF(OR(LEFT(C408,1)=".",AND(F408=0,G408=0)),0,1))</f>
        <v/>
      </c>
      <c r="I408" s="6">
        <f>IF(H408&lt;&gt;1,"",IF(SUM(J408:W408)=0,"unclassified",INDEX(Classifiers!$A$5:$A$18,MATCH(1,J408:W408,0),1)))</f>
        <v/>
      </c>
      <c r="J408" s="12">
        <f>IF(H408&lt;&gt;1,0,IF((IF(Classifiers!$B$5="",0,IF(ISNUMBER(SEARCH(Classifiers!$B$5,E408)),1,0))+IF(Classifiers!$C$5="",0,IF(ISNUMBER(SEARCH(Classifiers!$C$5,E408)),1,0))+IF(Classifiers!$D$5="",0,IF(ISNUMBER(SEARCH(Classifiers!$D$5,E408)),1,0))+IF(Classifiers!$E$5="",0,IF(ISNUMBER(SEARCH(Classifiers!$E$5,E408)),1,0))+IF(Classifiers!$F$5="",0,IF(ISNUMBER(SEARCH(Classifiers!$F$5,E408)),1,0))+IF(Classifiers!$G$5="",0,IF(ISNUMBER(SEARCH(Classifiers!$G$5,E408)),1,0)))&gt;0,1,0))</f>
        <v/>
      </c>
      <c r="K408" s="12">
        <f>IF(H408&lt;&gt;1,0,IF((IF(Classifiers!$B$6="",0,IF(ISNUMBER(SEARCH(Classifiers!$B$6,E408)),1,0))+IF(Classifiers!$C$6="",0,IF(ISNUMBER(SEARCH(Classifiers!$C$6,E408)),1,0))+IF(Classifiers!$D$6="",0,IF(ISNUMBER(SEARCH(Classifiers!$D$6,E408)),1,0))+IF(Classifiers!$E$6="",0,IF(ISNUMBER(SEARCH(Classifiers!$E$6,E408)),1,0))+IF(Classifiers!$F$6="",0,IF(ISNUMBER(SEARCH(Classifiers!$F$6,E408)),1,0))+IF(Classifiers!$G$6="",0,IF(ISNUMBER(SEARCH(Classifiers!$G$6,E408)),1,0)))&gt;0,1,0))</f>
        <v/>
      </c>
      <c r="L408" s="12">
        <f>IF(H408&lt;&gt;1,0,IF((IF(Classifiers!$B$7="",0,IF(ISNUMBER(SEARCH(Classifiers!$B$7,E408)),1,0))+IF(Classifiers!$C$7="",0,IF(ISNUMBER(SEARCH(Classifiers!$C$7,E408)),1,0))+IF(Classifiers!$D$7="",0,IF(ISNUMBER(SEARCH(Classifiers!$D$7,E408)),1,0))+IF(Classifiers!$E$7="",0,IF(ISNUMBER(SEARCH(Classifiers!$E$7,E408)),1,0))+IF(Classifiers!$F$7="",0,IF(ISNUMBER(SEARCH(Classifiers!$F$7,E408)),1,0))+IF(Classifiers!$G$7="",0,IF(ISNUMBER(SEARCH(Classifiers!$G$7,E408)),1,0)))&gt;0,1,0))</f>
        <v/>
      </c>
      <c r="M408" s="12">
        <f>IF(H408&lt;&gt;1,0,IF((IF(Classifiers!$B$8="",0,IF(ISNUMBER(SEARCH(Classifiers!$B$8,E408)),1,0))+IF(Classifiers!$C$8="",0,IF(ISNUMBER(SEARCH(Classifiers!$C$8,E408)),1,0))+IF(Classifiers!$D$8="",0,IF(ISNUMBER(SEARCH(Classifiers!$D$8,E408)),1,0))+IF(Classifiers!$E$8="",0,IF(ISNUMBER(SEARCH(Classifiers!$E$8,E408)),1,0))+IF(Classifiers!$F$8="",0,IF(ISNUMBER(SEARCH(Classifiers!$F$8,E408)),1,0))+IF(Classifiers!$G$8="",0,IF(ISNUMBER(SEARCH(Classifiers!$G$8,E408)),1,0)))&gt;0,1,0))</f>
        <v/>
      </c>
      <c r="N408" s="12">
        <f>IF(H408&lt;&gt;1,0,IF((IF(Classifiers!$B$9="",0,IF(ISNUMBER(SEARCH(Classifiers!$B$9,E408)),1,0))+IF(Classifiers!$C$9="",0,IF(ISNUMBER(SEARCH(Classifiers!$C$9,E408)),1,0))+IF(Classifiers!$D$9="",0,IF(ISNUMBER(SEARCH(Classifiers!$D$9,E408)),1,0))+IF(Classifiers!$E$9="",0,IF(ISNUMBER(SEARCH(Classifiers!$E$9,E408)),1,0))+IF(Classifiers!$F$9="",0,IF(ISNUMBER(SEARCH(Classifiers!$F$9,E408)),1,0))+IF(Classifiers!$G$9="",0,IF(ISNUMBER(SEARCH(Classifiers!$G$9,E408)),1,0)))&gt;0,1,0))</f>
        <v/>
      </c>
      <c r="O408" s="12">
        <f>IF(H408&lt;&gt;1,0,IF((IF(Classifiers!$B$10="",0,IF(ISNUMBER(SEARCH(Classifiers!$B$10,E408)),1,0))+IF(Classifiers!$C$10="",0,IF(ISNUMBER(SEARCH(Classifiers!$C$10,E408)),1,0))+IF(Classifiers!$D$10="",0,IF(ISNUMBER(SEARCH(Classifiers!$D$10,E408)),1,0))+IF(Classifiers!$E$10="",0,IF(ISNUMBER(SEARCH(Classifiers!$E$10,E408)),1,0))+IF(Classifiers!$F$10="",0,IF(ISNUMBER(SEARCH(Classifiers!$F$10,E408)),1,0))+IF(Classifiers!$G$10="",0,IF(ISNUMBER(SEARCH(Classifiers!$G$10,E408)),1,0)))&gt;0,1,0))</f>
        <v/>
      </c>
      <c r="P408" s="12">
        <f>IF(H408&lt;&gt;1,0,IF((IF(Classifiers!$B$11="",0,IF(ISNUMBER(SEARCH(Classifiers!$B$11,E408)),1,0))+IF(Classifiers!$C$11="",0,IF(ISNUMBER(SEARCH(Classifiers!$C$11,E408)),1,0))+IF(Classifiers!$D$11="",0,IF(ISNUMBER(SEARCH(Classifiers!$D$11,E408)),1,0))+IF(Classifiers!$E$11="",0,IF(ISNUMBER(SEARCH(Classifiers!$E$11,E408)),1,0))+IF(Classifiers!$F$11="",0,IF(ISNUMBER(SEARCH(Classifiers!$F$11,E408)),1,0))+IF(Classifiers!$G$11="",0,IF(ISNUMBER(SEARCH(Classifiers!$G$11,E408)),1,0)))&gt;0,1,0))</f>
        <v/>
      </c>
      <c r="Q408" s="12">
        <f>IF(H408&lt;&gt;1,0,IF((IF(Classifiers!$B$12="",0,IF(ISNUMBER(SEARCH(Classifiers!$B$12,E408)),1,0))+IF(Classifiers!$C$12="",0,IF(ISNUMBER(SEARCH(Classifiers!$C$12,E408)),1,0))+IF(Classifiers!$D$12="",0,IF(ISNUMBER(SEARCH(Classifiers!$D$12,E408)),1,0))+IF(Classifiers!$E$12="",0,IF(ISNUMBER(SEARCH(Classifiers!$E$12,E408)),1,0))+IF(Classifiers!$F$12="",0,IF(ISNUMBER(SEARCH(Classifiers!$F$12,E408)),1,0))+IF(Classifiers!$G$12="",0,IF(ISNUMBER(SEARCH(Classifiers!$G$12,E408)),1,0)))&gt;0,1,0))</f>
        <v/>
      </c>
      <c r="R408" s="12">
        <f>IF(H408&lt;&gt;1,0,IF((IF(Classifiers!$B$13="",0,IF(ISNUMBER(SEARCH(Classifiers!$B$13,E408)),1,0))+IF(Classifiers!$C$13="",0,IF(ISNUMBER(SEARCH(Classifiers!$C$13,E408)),1,0))+IF(Classifiers!$D$13="",0,IF(ISNUMBER(SEARCH(Classifiers!$D$13,E408)),1,0))+IF(Classifiers!$E$13="",0,IF(ISNUMBER(SEARCH(Classifiers!$E$13,E408)),1,0))+IF(Classifiers!$F$13="",0,IF(ISNUMBER(SEARCH(Classifiers!$F$13,E408)),1,0))+IF(Classifiers!$G$13="",0,IF(ISNUMBER(SEARCH(Classifiers!$G$13,E408)),1,0)))&gt;0,1,0))</f>
        <v/>
      </c>
      <c r="S408" s="12">
        <f>IF(H408&lt;&gt;1,0,IF((IF(Classifiers!$B$14="",0,IF(ISNUMBER(SEARCH(Classifiers!$B$14,E408)),1,0))+IF(Classifiers!$C$14="",0,IF(ISNUMBER(SEARCH(Classifiers!$C$14,E408)),1,0))+IF(Classifiers!$D$14="",0,IF(ISNUMBER(SEARCH(Classifiers!$D$14,E408)),1,0))+IF(Classifiers!$E$14="",0,IF(ISNUMBER(SEARCH(Classifiers!$E$14,E408)),1,0))+IF(Classifiers!$F$14="",0,IF(ISNUMBER(SEARCH(Classifiers!$F$14,E408)),1,0))+IF(Classifiers!$G$14="",0,IF(ISNUMBER(SEARCH(Classifiers!$G$14,E408)),1,0)))&gt;0,1,0))</f>
        <v/>
      </c>
      <c r="T408" s="12">
        <f>IF(H408&lt;&gt;1,0,IF((IF(Classifiers!$B$15="",0,IF(ISNUMBER(SEARCH(Classifiers!$B$15,E408)),1,0))+IF(Classifiers!$C$15="",0,IF(ISNUMBER(SEARCH(Classifiers!$C$15,E408)),1,0))+IF(Classifiers!$D$15="",0,IF(ISNUMBER(SEARCH(Classifiers!$D$15,E408)),1,0))+IF(Classifiers!$E$15="",0,IF(ISNUMBER(SEARCH(Classifiers!$E$15,E408)),1,0))+IF(Classifiers!$F$15="",0,IF(ISNUMBER(SEARCH(Classifiers!$F$15,E408)),1,0))+IF(Classifiers!$G$15="",0,IF(ISNUMBER(SEARCH(Classifiers!$G$15,E408)),1,0)))&gt;0,1,0))</f>
        <v/>
      </c>
      <c r="U408" s="12">
        <f>IF(H408&lt;&gt;1,0,IF((IF(Classifiers!$B$16="",0,IF(ISNUMBER(SEARCH(Classifiers!$B$16,E408)),1,0))+IF(Classifiers!$C$16="",0,IF(ISNUMBER(SEARCH(Classifiers!$C$16,E408)),1,0))+IF(Classifiers!$D$16="",0,IF(ISNUMBER(SEARCH(Classifiers!$D$16,E408)),1,0))+IF(Classifiers!$E$16="",0,IF(ISNUMBER(SEARCH(Classifiers!$E$16,E408)),1,0))+IF(Classifiers!$F$16="",0,IF(ISNUMBER(SEARCH(Classifiers!$F$16,E408)),1,0))+IF(Classifiers!$G$16="",0,IF(ISNUMBER(SEARCH(Classifiers!$G$16,E408)),1,0)))&gt;0,1,0))</f>
        <v/>
      </c>
      <c r="V408" s="12">
        <f>IF(H408&lt;&gt;1,0,IF((IF(Classifiers!$B$17="",0,IF(ISNUMBER(SEARCH(Classifiers!$B$17,E408)),1,0))+IF(Classifiers!$C$17="",0,IF(ISNUMBER(SEARCH(Classifiers!$C$17,E408)),1,0))+IF(Classifiers!$D$17="",0,IF(ISNUMBER(SEARCH(Classifiers!$D$17,E408)),1,0))+IF(Classifiers!$E$17="",0,IF(ISNUMBER(SEARCH(Classifiers!$E$17,E408)),1,0))+IF(Classifiers!$F$17="",0,IF(ISNUMBER(SEARCH(Classifiers!$F$17,E408)),1,0))+IF(Classifiers!$G$17="",0,IF(ISNUMBER(SEARCH(Classifiers!$G$17,E408)),1,0)))&gt;0,1,0))</f>
        <v/>
      </c>
      <c r="W408" s="12">
        <f>IF(H408&lt;&gt;1,0,IF((IF(Classifiers!$B$18="",0,IF(ISNUMBER(SEARCH(Classifiers!$B$18,E408)),1,0))+IF(Classifiers!$C$18="",0,IF(ISNUMBER(SEARCH(Classifiers!$C$18,E408)),1,0))+IF(Classifiers!$D$18="",0,IF(ISNUMBER(SEARCH(Classifiers!$D$18,E408)),1,0))+IF(Classifiers!$E$18="",0,IF(ISNUMBER(SEARCH(Classifiers!$E$18,E408)),1,0))+IF(Classifiers!$F$18="",0,IF(ISNUMBER(SEARCH(Classifiers!$F$18,E408)),1,0))+IF(Classifiers!$G$18="",0,IF(ISNUMBER(SEARCH(Classifiers!$G$18,E408)),1,0)))&gt;0,1,0))</f>
        <v/>
      </c>
    </row>
    <row r="409">
      <c r="A409" s="8" t="n"/>
      <c r="B409" s="11" t="n"/>
      <c r="C409" s="6">
        <f>IF(A409="","",TRIM(RIGHT(SUBSTITUTE(A409,"/",REPT(" ",250)),250)))</f>
        <v/>
      </c>
      <c r="D409" s="6">
        <f>IF(C409="","",IF(ISNUMBER(SEARCH(".",C409)),LOWER("."&amp;TRIM(RIGHT(SUBSTITUTE(C409,".",REPT(" ",250)),250))),""))</f>
        <v/>
      </c>
      <c r="E409" s="6">
        <f>IF(C409="","",TRIM(SUBSTITUTE(SUBSTITUTE(SUBSTITUTE(SUBSTITUTE(SUBSTITUTE(SUBSTITUTE(SUBSTITUTE(SUBSTITUTE(SUBSTITUTE(SUBSTITUTE(SUBSTITUTE(SUBSTITUTE(SUBSTITUTE(SUBSTITUTE(SUBSTITUTE(SUBSTITUTE(SUBSTITUTE(SUBSTITUTE(SUBSTITUTE(SUBSTITUTE(LOWER(LEFT(C409,LEN(C409)-LEN(D409))),"_"," "),"-"," "),"."," "),","," "),"("," "),")"," "),"["," "),"]"," "),"&amp;"," "),"+"," "),"@"," "),"#"," "),"!"," "),"'"," "),"/"," "),":"," "),";"," "),"="," "),"~"," "),"%"," ")))</f>
        <v/>
      </c>
      <c r="F409" s="6">
        <f>IF(C409="","",IF(COUNTIF(Classifiers!$A$23:$A$40,D409)&gt;0,1,0))</f>
        <v/>
      </c>
      <c r="G409" s="6">
        <f>IF(C409="","",IF(COUNTIF(Classifiers!$C$23:$C$30,D409)&gt;0,IF((IF(ISNUMBER(SEARCH(Classifiers!$E$23,E409)),1,0)+IF(ISNUMBER(SEARCH(Classifiers!$E$24,E409)),1,0)+IF(ISNUMBER(SEARCH(Classifiers!$E$25,E409)),1,0)+IF(ISNUMBER(SEARCH(Classifiers!$E$26,E409)),1,0)+IF(ISNUMBER(SEARCH(Classifiers!$E$27,E409)),1,0)+IF(ISNUMBER(SEARCH(Classifiers!$E$28,E409)),1,0)+IF(ISNUMBER(SEARCH(Classifiers!$E$29,E409)),1,0)+IF(ISNUMBER(SEARCH(Classifiers!$E$30,E409)),1,0))&gt;0,1,0),0))</f>
        <v/>
      </c>
      <c r="H409" s="6">
        <f>IF(C409="","",IF(OR(LEFT(C409,1)=".",AND(F409=0,G409=0)),0,1))</f>
        <v/>
      </c>
      <c r="I409" s="6">
        <f>IF(H409&lt;&gt;1,"",IF(SUM(J409:W409)=0,"unclassified",INDEX(Classifiers!$A$5:$A$18,MATCH(1,J409:W409,0),1)))</f>
        <v/>
      </c>
      <c r="J409" s="12">
        <f>IF(H409&lt;&gt;1,0,IF((IF(Classifiers!$B$5="",0,IF(ISNUMBER(SEARCH(Classifiers!$B$5,E409)),1,0))+IF(Classifiers!$C$5="",0,IF(ISNUMBER(SEARCH(Classifiers!$C$5,E409)),1,0))+IF(Classifiers!$D$5="",0,IF(ISNUMBER(SEARCH(Classifiers!$D$5,E409)),1,0))+IF(Classifiers!$E$5="",0,IF(ISNUMBER(SEARCH(Classifiers!$E$5,E409)),1,0))+IF(Classifiers!$F$5="",0,IF(ISNUMBER(SEARCH(Classifiers!$F$5,E409)),1,0))+IF(Classifiers!$G$5="",0,IF(ISNUMBER(SEARCH(Classifiers!$G$5,E409)),1,0)))&gt;0,1,0))</f>
        <v/>
      </c>
      <c r="K409" s="12">
        <f>IF(H409&lt;&gt;1,0,IF((IF(Classifiers!$B$6="",0,IF(ISNUMBER(SEARCH(Classifiers!$B$6,E409)),1,0))+IF(Classifiers!$C$6="",0,IF(ISNUMBER(SEARCH(Classifiers!$C$6,E409)),1,0))+IF(Classifiers!$D$6="",0,IF(ISNUMBER(SEARCH(Classifiers!$D$6,E409)),1,0))+IF(Classifiers!$E$6="",0,IF(ISNUMBER(SEARCH(Classifiers!$E$6,E409)),1,0))+IF(Classifiers!$F$6="",0,IF(ISNUMBER(SEARCH(Classifiers!$F$6,E409)),1,0))+IF(Classifiers!$G$6="",0,IF(ISNUMBER(SEARCH(Classifiers!$G$6,E409)),1,0)))&gt;0,1,0))</f>
        <v/>
      </c>
      <c r="L409" s="12">
        <f>IF(H409&lt;&gt;1,0,IF((IF(Classifiers!$B$7="",0,IF(ISNUMBER(SEARCH(Classifiers!$B$7,E409)),1,0))+IF(Classifiers!$C$7="",0,IF(ISNUMBER(SEARCH(Classifiers!$C$7,E409)),1,0))+IF(Classifiers!$D$7="",0,IF(ISNUMBER(SEARCH(Classifiers!$D$7,E409)),1,0))+IF(Classifiers!$E$7="",0,IF(ISNUMBER(SEARCH(Classifiers!$E$7,E409)),1,0))+IF(Classifiers!$F$7="",0,IF(ISNUMBER(SEARCH(Classifiers!$F$7,E409)),1,0))+IF(Classifiers!$G$7="",0,IF(ISNUMBER(SEARCH(Classifiers!$G$7,E409)),1,0)))&gt;0,1,0))</f>
        <v/>
      </c>
      <c r="M409" s="12">
        <f>IF(H409&lt;&gt;1,0,IF((IF(Classifiers!$B$8="",0,IF(ISNUMBER(SEARCH(Classifiers!$B$8,E409)),1,0))+IF(Classifiers!$C$8="",0,IF(ISNUMBER(SEARCH(Classifiers!$C$8,E409)),1,0))+IF(Classifiers!$D$8="",0,IF(ISNUMBER(SEARCH(Classifiers!$D$8,E409)),1,0))+IF(Classifiers!$E$8="",0,IF(ISNUMBER(SEARCH(Classifiers!$E$8,E409)),1,0))+IF(Classifiers!$F$8="",0,IF(ISNUMBER(SEARCH(Classifiers!$F$8,E409)),1,0))+IF(Classifiers!$G$8="",0,IF(ISNUMBER(SEARCH(Classifiers!$G$8,E409)),1,0)))&gt;0,1,0))</f>
        <v/>
      </c>
      <c r="N409" s="12">
        <f>IF(H409&lt;&gt;1,0,IF((IF(Classifiers!$B$9="",0,IF(ISNUMBER(SEARCH(Classifiers!$B$9,E409)),1,0))+IF(Classifiers!$C$9="",0,IF(ISNUMBER(SEARCH(Classifiers!$C$9,E409)),1,0))+IF(Classifiers!$D$9="",0,IF(ISNUMBER(SEARCH(Classifiers!$D$9,E409)),1,0))+IF(Classifiers!$E$9="",0,IF(ISNUMBER(SEARCH(Classifiers!$E$9,E409)),1,0))+IF(Classifiers!$F$9="",0,IF(ISNUMBER(SEARCH(Classifiers!$F$9,E409)),1,0))+IF(Classifiers!$G$9="",0,IF(ISNUMBER(SEARCH(Classifiers!$G$9,E409)),1,0)))&gt;0,1,0))</f>
        <v/>
      </c>
      <c r="O409" s="12">
        <f>IF(H409&lt;&gt;1,0,IF((IF(Classifiers!$B$10="",0,IF(ISNUMBER(SEARCH(Classifiers!$B$10,E409)),1,0))+IF(Classifiers!$C$10="",0,IF(ISNUMBER(SEARCH(Classifiers!$C$10,E409)),1,0))+IF(Classifiers!$D$10="",0,IF(ISNUMBER(SEARCH(Classifiers!$D$10,E409)),1,0))+IF(Classifiers!$E$10="",0,IF(ISNUMBER(SEARCH(Classifiers!$E$10,E409)),1,0))+IF(Classifiers!$F$10="",0,IF(ISNUMBER(SEARCH(Classifiers!$F$10,E409)),1,0))+IF(Classifiers!$G$10="",0,IF(ISNUMBER(SEARCH(Classifiers!$G$10,E409)),1,0)))&gt;0,1,0))</f>
        <v/>
      </c>
      <c r="P409" s="12">
        <f>IF(H409&lt;&gt;1,0,IF((IF(Classifiers!$B$11="",0,IF(ISNUMBER(SEARCH(Classifiers!$B$11,E409)),1,0))+IF(Classifiers!$C$11="",0,IF(ISNUMBER(SEARCH(Classifiers!$C$11,E409)),1,0))+IF(Classifiers!$D$11="",0,IF(ISNUMBER(SEARCH(Classifiers!$D$11,E409)),1,0))+IF(Classifiers!$E$11="",0,IF(ISNUMBER(SEARCH(Classifiers!$E$11,E409)),1,0))+IF(Classifiers!$F$11="",0,IF(ISNUMBER(SEARCH(Classifiers!$F$11,E409)),1,0))+IF(Classifiers!$G$11="",0,IF(ISNUMBER(SEARCH(Classifiers!$G$11,E409)),1,0)))&gt;0,1,0))</f>
        <v/>
      </c>
      <c r="Q409" s="12">
        <f>IF(H409&lt;&gt;1,0,IF((IF(Classifiers!$B$12="",0,IF(ISNUMBER(SEARCH(Classifiers!$B$12,E409)),1,0))+IF(Classifiers!$C$12="",0,IF(ISNUMBER(SEARCH(Classifiers!$C$12,E409)),1,0))+IF(Classifiers!$D$12="",0,IF(ISNUMBER(SEARCH(Classifiers!$D$12,E409)),1,0))+IF(Classifiers!$E$12="",0,IF(ISNUMBER(SEARCH(Classifiers!$E$12,E409)),1,0))+IF(Classifiers!$F$12="",0,IF(ISNUMBER(SEARCH(Classifiers!$F$12,E409)),1,0))+IF(Classifiers!$G$12="",0,IF(ISNUMBER(SEARCH(Classifiers!$G$12,E409)),1,0)))&gt;0,1,0))</f>
        <v/>
      </c>
      <c r="R409" s="12">
        <f>IF(H409&lt;&gt;1,0,IF((IF(Classifiers!$B$13="",0,IF(ISNUMBER(SEARCH(Classifiers!$B$13,E409)),1,0))+IF(Classifiers!$C$13="",0,IF(ISNUMBER(SEARCH(Classifiers!$C$13,E409)),1,0))+IF(Classifiers!$D$13="",0,IF(ISNUMBER(SEARCH(Classifiers!$D$13,E409)),1,0))+IF(Classifiers!$E$13="",0,IF(ISNUMBER(SEARCH(Classifiers!$E$13,E409)),1,0))+IF(Classifiers!$F$13="",0,IF(ISNUMBER(SEARCH(Classifiers!$F$13,E409)),1,0))+IF(Classifiers!$G$13="",0,IF(ISNUMBER(SEARCH(Classifiers!$G$13,E409)),1,0)))&gt;0,1,0))</f>
        <v/>
      </c>
      <c r="S409" s="12">
        <f>IF(H409&lt;&gt;1,0,IF((IF(Classifiers!$B$14="",0,IF(ISNUMBER(SEARCH(Classifiers!$B$14,E409)),1,0))+IF(Classifiers!$C$14="",0,IF(ISNUMBER(SEARCH(Classifiers!$C$14,E409)),1,0))+IF(Classifiers!$D$14="",0,IF(ISNUMBER(SEARCH(Classifiers!$D$14,E409)),1,0))+IF(Classifiers!$E$14="",0,IF(ISNUMBER(SEARCH(Classifiers!$E$14,E409)),1,0))+IF(Classifiers!$F$14="",0,IF(ISNUMBER(SEARCH(Classifiers!$F$14,E409)),1,0))+IF(Classifiers!$G$14="",0,IF(ISNUMBER(SEARCH(Classifiers!$G$14,E409)),1,0)))&gt;0,1,0))</f>
        <v/>
      </c>
      <c r="T409" s="12">
        <f>IF(H409&lt;&gt;1,0,IF((IF(Classifiers!$B$15="",0,IF(ISNUMBER(SEARCH(Classifiers!$B$15,E409)),1,0))+IF(Classifiers!$C$15="",0,IF(ISNUMBER(SEARCH(Classifiers!$C$15,E409)),1,0))+IF(Classifiers!$D$15="",0,IF(ISNUMBER(SEARCH(Classifiers!$D$15,E409)),1,0))+IF(Classifiers!$E$15="",0,IF(ISNUMBER(SEARCH(Classifiers!$E$15,E409)),1,0))+IF(Classifiers!$F$15="",0,IF(ISNUMBER(SEARCH(Classifiers!$F$15,E409)),1,0))+IF(Classifiers!$G$15="",0,IF(ISNUMBER(SEARCH(Classifiers!$G$15,E409)),1,0)))&gt;0,1,0))</f>
        <v/>
      </c>
      <c r="U409" s="12">
        <f>IF(H409&lt;&gt;1,0,IF((IF(Classifiers!$B$16="",0,IF(ISNUMBER(SEARCH(Classifiers!$B$16,E409)),1,0))+IF(Classifiers!$C$16="",0,IF(ISNUMBER(SEARCH(Classifiers!$C$16,E409)),1,0))+IF(Classifiers!$D$16="",0,IF(ISNUMBER(SEARCH(Classifiers!$D$16,E409)),1,0))+IF(Classifiers!$E$16="",0,IF(ISNUMBER(SEARCH(Classifiers!$E$16,E409)),1,0))+IF(Classifiers!$F$16="",0,IF(ISNUMBER(SEARCH(Classifiers!$F$16,E409)),1,0))+IF(Classifiers!$G$16="",0,IF(ISNUMBER(SEARCH(Classifiers!$G$16,E409)),1,0)))&gt;0,1,0))</f>
        <v/>
      </c>
      <c r="V409" s="12">
        <f>IF(H409&lt;&gt;1,0,IF((IF(Classifiers!$B$17="",0,IF(ISNUMBER(SEARCH(Classifiers!$B$17,E409)),1,0))+IF(Classifiers!$C$17="",0,IF(ISNUMBER(SEARCH(Classifiers!$C$17,E409)),1,0))+IF(Classifiers!$D$17="",0,IF(ISNUMBER(SEARCH(Classifiers!$D$17,E409)),1,0))+IF(Classifiers!$E$17="",0,IF(ISNUMBER(SEARCH(Classifiers!$E$17,E409)),1,0))+IF(Classifiers!$F$17="",0,IF(ISNUMBER(SEARCH(Classifiers!$F$17,E409)),1,0))+IF(Classifiers!$G$17="",0,IF(ISNUMBER(SEARCH(Classifiers!$G$17,E409)),1,0)))&gt;0,1,0))</f>
        <v/>
      </c>
      <c r="W409" s="12">
        <f>IF(H409&lt;&gt;1,0,IF((IF(Classifiers!$B$18="",0,IF(ISNUMBER(SEARCH(Classifiers!$B$18,E409)),1,0))+IF(Classifiers!$C$18="",0,IF(ISNUMBER(SEARCH(Classifiers!$C$18,E409)),1,0))+IF(Classifiers!$D$18="",0,IF(ISNUMBER(SEARCH(Classifiers!$D$18,E409)),1,0))+IF(Classifiers!$E$18="",0,IF(ISNUMBER(SEARCH(Classifiers!$E$18,E409)),1,0))+IF(Classifiers!$F$18="",0,IF(ISNUMBER(SEARCH(Classifiers!$F$18,E409)),1,0))+IF(Classifiers!$G$18="",0,IF(ISNUMBER(SEARCH(Classifiers!$G$18,E409)),1,0)))&gt;0,1,0))</f>
        <v/>
      </c>
    </row>
    <row r="410">
      <c r="A410" s="8" t="n"/>
      <c r="B410" s="11" t="n"/>
      <c r="C410" s="6">
        <f>IF(A410="","",TRIM(RIGHT(SUBSTITUTE(A410,"/",REPT(" ",250)),250)))</f>
        <v/>
      </c>
      <c r="D410" s="6">
        <f>IF(C410="","",IF(ISNUMBER(SEARCH(".",C410)),LOWER("."&amp;TRIM(RIGHT(SUBSTITUTE(C410,".",REPT(" ",250)),250))),""))</f>
        <v/>
      </c>
      <c r="E410" s="6">
        <f>IF(C410="","",TRIM(SUBSTITUTE(SUBSTITUTE(SUBSTITUTE(SUBSTITUTE(SUBSTITUTE(SUBSTITUTE(SUBSTITUTE(SUBSTITUTE(SUBSTITUTE(SUBSTITUTE(SUBSTITUTE(SUBSTITUTE(SUBSTITUTE(SUBSTITUTE(SUBSTITUTE(SUBSTITUTE(SUBSTITUTE(SUBSTITUTE(SUBSTITUTE(SUBSTITUTE(LOWER(LEFT(C410,LEN(C410)-LEN(D410))),"_"," "),"-"," "),"."," "),","," "),"("," "),")"," "),"["," "),"]"," "),"&amp;"," "),"+"," "),"@"," "),"#"," "),"!"," "),"'"," "),"/"," "),":"," "),";"," "),"="," "),"~"," "),"%"," ")))</f>
        <v/>
      </c>
      <c r="F410" s="6">
        <f>IF(C410="","",IF(COUNTIF(Classifiers!$A$23:$A$40,D410)&gt;0,1,0))</f>
        <v/>
      </c>
      <c r="G410" s="6">
        <f>IF(C410="","",IF(COUNTIF(Classifiers!$C$23:$C$30,D410)&gt;0,IF((IF(ISNUMBER(SEARCH(Classifiers!$E$23,E410)),1,0)+IF(ISNUMBER(SEARCH(Classifiers!$E$24,E410)),1,0)+IF(ISNUMBER(SEARCH(Classifiers!$E$25,E410)),1,0)+IF(ISNUMBER(SEARCH(Classifiers!$E$26,E410)),1,0)+IF(ISNUMBER(SEARCH(Classifiers!$E$27,E410)),1,0)+IF(ISNUMBER(SEARCH(Classifiers!$E$28,E410)),1,0)+IF(ISNUMBER(SEARCH(Classifiers!$E$29,E410)),1,0)+IF(ISNUMBER(SEARCH(Classifiers!$E$30,E410)),1,0))&gt;0,1,0),0))</f>
        <v/>
      </c>
      <c r="H410" s="6">
        <f>IF(C410="","",IF(OR(LEFT(C410,1)=".",AND(F410=0,G410=0)),0,1))</f>
        <v/>
      </c>
      <c r="I410" s="6">
        <f>IF(H410&lt;&gt;1,"",IF(SUM(J410:W410)=0,"unclassified",INDEX(Classifiers!$A$5:$A$18,MATCH(1,J410:W410,0),1)))</f>
        <v/>
      </c>
      <c r="J410" s="12">
        <f>IF(H410&lt;&gt;1,0,IF((IF(Classifiers!$B$5="",0,IF(ISNUMBER(SEARCH(Classifiers!$B$5,E410)),1,0))+IF(Classifiers!$C$5="",0,IF(ISNUMBER(SEARCH(Classifiers!$C$5,E410)),1,0))+IF(Classifiers!$D$5="",0,IF(ISNUMBER(SEARCH(Classifiers!$D$5,E410)),1,0))+IF(Classifiers!$E$5="",0,IF(ISNUMBER(SEARCH(Classifiers!$E$5,E410)),1,0))+IF(Classifiers!$F$5="",0,IF(ISNUMBER(SEARCH(Classifiers!$F$5,E410)),1,0))+IF(Classifiers!$G$5="",0,IF(ISNUMBER(SEARCH(Classifiers!$G$5,E410)),1,0)))&gt;0,1,0))</f>
        <v/>
      </c>
      <c r="K410" s="12">
        <f>IF(H410&lt;&gt;1,0,IF((IF(Classifiers!$B$6="",0,IF(ISNUMBER(SEARCH(Classifiers!$B$6,E410)),1,0))+IF(Classifiers!$C$6="",0,IF(ISNUMBER(SEARCH(Classifiers!$C$6,E410)),1,0))+IF(Classifiers!$D$6="",0,IF(ISNUMBER(SEARCH(Classifiers!$D$6,E410)),1,0))+IF(Classifiers!$E$6="",0,IF(ISNUMBER(SEARCH(Classifiers!$E$6,E410)),1,0))+IF(Classifiers!$F$6="",0,IF(ISNUMBER(SEARCH(Classifiers!$F$6,E410)),1,0))+IF(Classifiers!$G$6="",0,IF(ISNUMBER(SEARCH(Classifiers!$G$6,E410)),1,0)))&gt;0,1,0))</f>
        <v/>
      </c>
      <c r="L410" s="12">
        <f>IF(H410&lt;&gt;1,0,IF((IF(Classifiers!$B$7="",0,IF(ISNUMBER(SEARCH(Classifiers!$B$7,E410)),1,0))+IF(Classifiers!$C$7="",0,IF(ISNUMBER(SEARCH(Classifiers!$C$7,E410)),1,0))+IF(Classifiers!$D$7="",0,IF(ISNUMBER(SEARCH(Classifiers!$D$7,E410)),1,0))+IF(Classifiers!$E$7="",0,IF(ISNUMBER(SEARCH(Classifiers!$E$7,E410)),1,0))+IF(Classifiers!$F$7="",0,IF(ISNUMBER(SEARCH(Classifiers!$F$7,E410)),1,0))+IF(Classifiers!$G$7="",0,IF(ISNUMBER(SEARCH(Classifiers!$G$7,E410)),1,0)))&gt;0,1,0))</f>
        <v/>
      </c>
      <c r="M410" s="12">
        <f>IF(H410&lt;&gt;1,0,IF((IF(Classifiers!$B$8="",0,IF(ISNUMBER(SEARCH(Classifiers!$B$8,E410)),1,0))+IF(Classifiers!$C$8="",0,IF(ISNUMBER(SEARCH(Classifiers!$C$8,E410)),1,0))+IF(Classifiers!$D$8="",0,IF(ISNUMBER(SEARCH(Classifiers!$D$8,E410)),1,0))+IF(Classifiers!$E$8="",0,IF(ISNUMBER(SEARCH(Classifiers!$E$8,E410)),1,0))+IF(Classifiers!$F$8="",0,IF(ISNUMBER(SEARCH(Classifiers!$F$8,E410)),1,0))+IF(Classifiers!$G$8="",0,IF(ISNUMBER(SEARCH(Classifiers!$G$8,E410)),1,0)))&gt;0,1,0))</f>
        <v/>
      </c>
      <c r="N410" s="12">
        <f>IF(H410&lt;&gt;1,0,IF((IF(Classifiers!$B$9="",0,IF(ISNUMBER(SEARCH(Classifiers!$B$9,E410)),1,0))+IF(Classifiers!$C$9="",0,IF(ISNUMBER(SEARCH(Classifiers!$C$9,E410)),1,0))+IF(Classifiers!$D$9="",0,IF(ISNUMBER(SEARCH(Classifiers!$D$9,E410)),1,0))+IF(Classifiers!$E$9="",0,IF(ISNUMBER(SEARCH(Classifiers!$E$9,E410)),1,0))+IF(Classifiers!$F$9="",0,IF(ISNUMBER(SEARCH(Classifiers!$F$9,E410)),1,0))+IF(Classifiers!$G$9="",0,IF(ISNUMBER(SEARCH(Classifiers!$G$9,E410)),1,0)))&gt;0,1,0))</f>
        <v/>
      </c>
      <c r="O410" s="12">
        <f>IF(H410&lt;&gt;1,0,IF((IF(Classifiers!$B$10="",0,IF(ISNUMBER(SEARCH(Classifiers!$B$10,E410)),1,0))+IF(Classifiers!$C$10="",0,IF(ISNUMBER(SEARCH(Classifiers!$C$10,E410)),1,0))+IF(Classifiers!$D$10="",0,IF(ISNUMBER(SEARCH(Classifiers!$D$10,E410)),1,0))+IF(Classifiers!$E$10="",0,IF(ISNUMBER(SEARCH(Classifiers!$E$10,E410)),1,0))+IF(Classifiers!$F$10="",0,IF(ISNUMBER(SEARCH(Classifiers!$F$10,E410)),1,0))+IF(Classifiers!$G$10="",0,IF(ISNUMBER(SEARCH(Classifiers!$G$10,E410)),1,0)))&gt;0,1,0))</f>
        <v/>
      </c>
      <c r="P410" s="12">
        <f>IF(H410&lt;&gt;1,0,IF((IF(Classifiers!$B$11="",0,IF(ISNUMBER(SEARCH(Classifiers!$B$11,E410)),1,0))+IF(Classifiers!$C$11="",0,IF(ISNUMBER(SEARCH(Classifiers!$C$11,E410)),1,0))+IF(Classifiers!$D$11="",0,IF(ISNUMBER(SEARCH(Classifiers!$D$11,E410)),1,0))+IF(Classifiers!$E$11="",0,IF(ISNUMBER(SEARCH(Classifiers!$E$11,E410)),1,0))+IF(Classifiers!$F$11="",0,IF(ISNUMBER(SEARCH(Classifiers!$F$11,E410)),1,0))+IF(Classifiers!$G$11="",0,IF(ISNUMBER(SEARCH(Classifiers!$G$11,E410)),1,0)))&gt;0,1,0))</f>
        <v/>
      </c>
      <c r="Q410" s="12">
        <f>IF(H410&lt;&gt;1,0,IF((IF(Classifiers!$B$12="",0,IF(ISNUMBER(SEARCH(Classifiers!$B$12,E410)),1,0))+IF(Classifiers!$C$12="",0,IF(ISNUMBER(SEARCH(Classifiers!$C$12,E410)),1,0))+IF(Classifiers!$D$12="",0,IF(ISNUMBER(SEARCH(Classifiers!$D$12,E410)),1,0))+IF(Classifiers!$E$12="",0,IF(ISNUMBER(SEARCH(Classifiers!$E$12,E410)),1,0))+IF(Classifiers!$F$12="",0,IF(ISNUMBER(SEARCH(Classifiers!$F$12,E410)),1,0))+IF(Classifiers!$G$12="",0,IF(ISNUMBER(SEARCH(Classifiers!$G$12,E410)),1,0)))&gt;0,1,0))</f>
        <v/>
      </c>
      <c r="R410" s="12">
        <f>IF(H410&lt;&gt;1,0,IF((IF(Classifiers!$B$13="",0,IF(ISNUMBER(SEARCH(Classifiers!$B$13,E410)),1,0))+IF(Classifiers!$C$13="",0,IF(ISNUMBER(SEARCH(Classifiers!$C$13,E410)),1,0))+IF(Classifiers!$D$13="",0,IF(ISNUMBER(SEARCH(Classifiers!$D$13,E410)),1,0))+IF(Classifiers!$E$13="",0,IF(ISNUMBER(SEARCH(Classifiers!$E$13,E410)),1,0))+IF(Classifiers!$F$13="",0,IF(ISNUMBER(SEARCH(Classifiers!$F$13,E410)),1,0))+IF(Classifiers!$G$13="",0,IF(ISNUMBER(SEARCH(Classifiers!$G$13,E410)),1,0)))&gt;0,1,0))</f>
        <v/>
      </c>
      <c r="S410" s="12">
        <f>IF(H410&lt;&gt;1,0,IF((IF(Classifiers!$B$14="",0,IF(ISNUMBER(SEARCH(Classifiers!$B$14,E410)),1,0))+IF(Classifiers!$C$14="",0,IF(ISNUMBER(SEARCH(Classifiers!$C$14,E410)),1,0))+IF(Classifiers!$D$14="",0,IF(ISNUMBER(SEARCH(Classifiers!$D$14,E410)),1,0))+IF(Classifiers!$E$14="",0,IF(ISNUMBER(SEARCH(Classifiers!$E$14,E410)),1,0))+IF(Classifiers!$F$14="",0,IF(ISNUMBER(SEARCH(Classifiers!$F$14,E410)),1,0))+IF(Classifiers!$G$14="",0,IF(ISNUMBER(SEARCH(Classifiers!$G$14,E410)),1,0)))&gt;0,1,0))</f>
        <v/>
      </c>
      <c r="T410" s="12">
        <f>IF(H410&lt;&gt;1,0,IF((IF(Classifiers!$B$15="",0,IF(ISNUMBER(SEARCH(Classifiers!$B$15,E410)),1,0))+IF(Classifiers!$C$15="",0,IF(ISNUMBER(SEARCH(Classifiers!$C$15,E410)),1,0))+IF(Classifiers!$D$15="",0,IF(ISNUMBER(SEARCH(Classifiers!$D$15,E410)),1,0))+IF(Classifiers!$E$15="",0,IF(ISNUMBER(SEARCH(Classifiers!$E$15,E410)),1,0))+IF(Classifiers!$F$15="",0,IF(ISNUMBER(SEARCH(Classifiers!$F$15,E410)),1,0))+IF(Classifiers!$G$15="",0,IF(ISNUMBER(SEARCH(Classifiers!$G$15,E410)),1,0)))&gt;0,1,0))</f>
        <v/>
      </c>
      <c r="U410" s="12">
        <f>IF(H410&lt;&gt;1,0,IF((IF(Classifiers!$B$16="",0,IF(ISNUMBER(SEARCH(Classifiers!$B$16,E410)),1,0))+IF(Classifiers!$C$16="",0,IF(ISNUMBER(SEARCH(Classifiers!$C$16,E410)),1,0))+IF(Classifiers!$D$16="",0,IF(ISNUMBER(SEARCH(Classifiers!$D$16,E410)),1,0))+IF(Classifiers!$E$16="",0,IF(ISNUMBER(SEARCH(Classifiers!$E$16,E410)),1,0))+IF(Classifiers!$F$16="",0,IF(ISNUMBER(SEARCH(Classifiers!$F$16,E410)),1,0))+IF(Classifiers!$G$16="",0,IF(ISNUMBER(SEARCH(Classifiers!$G$16,E410)),1,0)))&gt;0,1,0))</f>
        <v/>
      </c>
      <c r="V410" s="12">
        <f>IF(H410&lt;&gt;1,0,IF((IF(Classifiers!$B$17="",0,IF(ISNUMBER(SEARCH(Classifiers!$B$17,E410)),1,0))+IF(Classifiers!$C$17="",0,IF(ISNUMBER(SEARCH(Classifiers!$C$17,E410)),1,0))+IF(Classifiers!$D$17="",0,IF(ISNUMBER(SEARCH(Classifiers!$D$17,E410)),1,0))+IF(Classifiers!$E$17="",0,IF(ISNUMBER(SEARCH(Classifiers!$E$17,E410)),1,0))+IF(Classifiers!$F$17="",0,IF(ISNUMBER(SEARCH(Classifiers!$F$17,E410)),1,0))+IF(Classifiers!$G$17="",0,IF(ISNUMBER(SEARCH(Classifiers!$G$17,E410)),1,0)))&gt;0,1,0))</f>
        <v/>
      </c>
      <c r="W410" s="12">
        <f>IF(H410&lt;&gt;1,0,IF((IF(Classifiers!$B$18="",0,IF(ISNUMBER(SEARCH(Classifiers!$B$18,E410)),1,0))+IF(Classifiers!$C$18="",0,IF(ISNUMBER(SEARCH(Classifiers!$C$18,E410)),1,0))+IF(Classifiers!$D$18="",0,IF(ISNUMBER(SEARCH(Classifiers!$D$18,E410)),1,0))+IF(Classifiers!$E$18="",0,IF(ISNUMBER(SEARCH(Classifiers!$E$18,E410)),1,0))+IF(Classifiers!$F$18="",0,IF(ISNUMBER(SEARCH(Classifiers!$F$18,E410)),1,0))+IF(Classifiers!$G$18="",0,IF(ISNUMBER(SEARCH(Classifiers!$G$18,E410)),1,0)))&gt;0,1,0))</f>
        <v/>
      </c>
    </row>
    <row r="411">
      <c r="A411" s="8" t="n"/>
      <c r="B411" s="11" t="n"/>
      <c r="C411" s="6">
        <f>IF(A411="","",TRIM(RIGHT(SUBSTITUTE(A411,"/",REPT(" ",250)),250)))</f>
        <v/>
      </c>
      <c r="D411" s="6">
        <f>IF(C411="","",IF(ISNUMBER(SEARCH(".",C411)),LOWER("."&amp;TRIM(RIGHT(SUBSTITUTE(C411,".",REPT(" ",250)),250))),""))</f>
        <v/>
      </c>
      <c r="E411" s="6">
        <f>IF(C411="","",TRIM(SUBSTITUTE(SUBSTITUTE(SUBSTITUTE(SUBSTITUTE(SUBSTITUTE(SUBSTITUTE(SUBSTITUTE(SUBSTITUTE(SUBSTITUTE(SUBSTITUTE(SUBSTITUTE(SUBSTITUTE(SUBSTITUTE(SUBSTITUTE(SUBSTITUTE(SUBSTITUTE(SUBSTITUTE(SUBSTITUTE(SUBSTITUTE(SUBSTITUTE(LOWER(LEFT(C411,LEN(C411)-LEN(D411))),"_"," "),"-"," "),"."," "),","," "),"("," "),")"," "),"["," "),"]"," "),"&amp;"," "),"+"," "),"@"," "),"#"," "),"!"," "),"'"," "),"/"," "),":"," "),";"," "),"="," "),"~"," "),"%"," ")))</f>
        <v/>
      </c>
      <c r="F411" s="6">
        <f>IF(C411="","",IF(COUNTIF(Classifiers!$A$23:$A$40,D411)&gt;0,1,0))</f>
        <v/>
      </c>
      <c r="G411" s="6">
        <f>IF(C411="","",IF(COUNTIF(Classifiers!$C$23:$C$30,D411)&gt;0,IF((IF(ISNUMBER(SEARCH(Classifiers!$E$23,E411)),1,0)+IF(ISNUMBER(SEARCH(Classifiers!$E$24,E411)),1,0)+IF(ISNUMBER(SEARCH(Classifiers!$E$25,E411)),1,0)+IF(ISNUMBER(SEARCH(Classifiers!$E$26,E411)),1,0)+IF(ISNUMBER(SEARCH(Classifiers!$E$27,E411)),1,0)+IF(ISNUMBER(SEARCH(Classifiers!$E$28,E411)),1,0)+IF(ISNUMBER(SEARCH(Classifiers!$E$29,E411)),1,0)+IF(ISNUMBER(SEARCH(Classifiers!$E$30,E411)),1,0))&gt;0,1,0),0))</f>
        <v/>
      </c>
      <c r="H411" s="6">
        <f>IF(C411="","",IF(OR(LEFT(C411,1)=".",AND(F411=0,G411=0)),0,1))</f>
        <v/>
      </c>
      <c r="I411" s="6">
        <f>IF(H411&lt;&gt;1,"",IF(SUM(J411:W411)=0,"unclassified",INDEX(Classifiers!$A$5:$A$18,MATCH(1,J411:W411,0),1)))</f>
        <v/>
      </c>
      <c r="J411" s="12">
        <f>IF(H411&lt;&gt;1,0,IF((IF(Classifiers!$B$5="",0,IF(ISNUMBER(SEARCH(Classifiers!$B$5,E411)),1,0))+IF(Classifiers!$C$5="",0,IF(ISNUMBER(SEARCH(Classifiers!$C$5,E411)),1,0))+IF(Classifiers!$D$5="",0,IF(ISNUMBER(SEARCH(Classifiers!$D$5,E411)),1,0))+IF(Classifiers!$E$5="",0,IF(ISNUMBER(SEARCH(Classifiers!$E$5,E411)),1,0))+IF(Classifiers!$F$5="",0,IF(ISNUMBER(SEARCH(Classifiers!$F$5,E411)),1,0))+IF(Classifiers!$G$5="",0,IF(ISNUMBER(SEARCH(Classifiers!$G$5,E411)),1,0)))&gt;0,1,0))</f>
        <v/>
      </c>
      <c r="K411" s="12">
        <f>IF(H411&lt;&gt;1,0,IF((IF(Classifiers!$B$6="",0,IF(ISNUMBER(SEARCH(Classifiers!$B$6,E411)),1,0))+IF(Classifiers!$C$6="",0,IF(ISNUMBER(SEARCH(Classifiers!$C$6,E411)),1,0))+IF(Classifiers!$D$6="",0,IF(ISNUMBER(SEARCH(Classifiers!$D$6,E411)),1,0))+IF(Classifiers!$E$6="",0,IF(ISNUMBER(SEARCH(Classifiers!$E$6,E411)),1,0))+IF(Classifiers!$F$6="",0,IF(ISNUMBER(SEARCH(Classifiers!$F$6,E411)),1,0))+IF(Classifiers!$G$6="",0,IF(ISNUMBER(SEARCH(Classifiers!$G$6,E411)),1,0)))&gt;0,1,0))</f>
        <v/>
      </c>
      <c r="L411" s="12">
        <f>IF(H411&lt;&gt;1,0,IF((IF(Classifiers!$B$7="",0,IF(ISNUMBER(SEARCH(Classifiers!$B$7,E411)),1,0))+IF(Classifiers!$C$7="",0,IF(ISNUMBER(SEARCH(Classifiers!$C$7,E411)),1,0))+IF(Classifiers!$D$7="",0,IF(ISNUMBER(SEARCH(Classifiers!$D$7,E411)),1,0))+IF(Classifiers!$E$7="",0,IF(ISNUMBER(SEARCH(Classifiers!$E$7,E411)),1,0))+IF(Classifiers!$F$7="",0,IF(ISNUMBER(SEARCH(Classifiers!$F$7,E411)),1,0))+IF(Classifiers!$G$7="",0,IF(ISNUMBER(SEARCH(Classifiers!$G$7,E411)),1,0)))&gt;0,1,0))</f>
        <v/>
      </c>
      <c r="M411" s="12">
        <f>IF(H411&lt;&gt;1,0,IF((IF(Classifiers!$B$8="",0,IF(ISNUMBER(SEARCH(Classifiers!$B$8,E411)),1,0))+IF(Classifiers!$C$8="",0,IF(ISNUMBER(SEARCH(Classifiers!$C$8,E411)),1,0))+IF(Classifiers!$D$8="",0,IF(ISNUMBER(SEARCH(Classifiers!$D$8,E411)),1,0))+IF(Classifiers!$E$8="",0,IF(ISNUMBER(SEARCH(Classifiers!$E$8,E411)),1,0))+IF(Classifiers!$F$8="",0,IF(ISNUMBER(SEARCH(Classifiers!$F$8,E411)),1,0))+IF(Classifiers!$G$8="",0,IF(ISNUMBER(SEARCH(Classifiers!$G$8,E411)),1,0)))&gt;0,1,0))</f>
        <v/>
      </c>
      <c r="N411" s="12">
        <f>IF(H411&lt;&gt;1,0,IF((IF(Classifiers!$B$9="",0,IF(ISNUMBER(SEARCH(Classifiers!$B$9,E411)),1,0))+IF(Classifiers!$C$9="",0,IF(ISNUMBER(SEARCH(Classifiers!$C$9,E411)),1,0))+IF(Classifiers!$D$9="",0,IF(ISNUMBER(SEARCH(Classifiers!$D$9,E411)),1,0))+IF(Classifiers!$E$9="",0,IF(ISNUMBER(SEARCH(Classifiers!$E$9,E411)),1,0))+IF(Classifiers!$F$9="",0,IF(ISNUMBER(SEARCH(Classifiers!$F$9,E411)),1,0))+IF(Classifiers!$G$9="",0,IF(ISNUMBER(SEARCH(Classifiers!$G$9,E411)),1,0)))&gt;0,1,0))</f>
        <v/>
      </c>
      <c r="O411" s="12">
        <f>IF(H411&lt;&gt;1,0,IF((IF(Classifiers!$B$10="",0,IF(ISNUMBER(SEARCH(Classifiers!$B$10,E411)),1,0))+IF(Classifiers!$C$10="",0,IF(ISNUMBER(SEARCH(Classifiers!$C$10,E411)),1,0))+IF(Classifiers!$D$10="",0,IF(ISNUMBER(SEARCH(Classifiers!$D$10,E411)),1,0))+IF(Classifiers!$E$10="",0,IF(ISNUMBER(SEARCH(Classifiers!$E$10,E411)),1,0))+IF(Classifiers!$F$10="",0,IF(ISNUMBER(SEARCH(Classifiers!$F$10,E411)),1,0))+IF(Classifiers!$G$10="",0,IF(ISNUMBER(SEARCH(Classifiers!$G$10,E411)),1,0)))&gt;0,1,0))</f>
        <v/>
      </c>
      <c r="P411" s="12">
        <f>IF(H411&lt;&gt;1,0,IF((IF(Classifiers!$B$11="",0,IF(ISNUMBER(SEARCH(Classifiers!$B$11,E411)),1,0))+IF(Classifiers!$C$11="",0,IF(ISNUMBER(SEARCH(Classifiers!$C$11,E411)),1,0))+IF(Classifiers!$D$11="",0,IF(ISNUMBER(SEARCH(Classifiers!$D$11,E411)),1,0))+IF(Classifiers!$E$11="",0,IF(ISNUMBER(SEARCH(Classifiers!$E$11,E411)),1,0))+IF(Classifiers!$F$11="",0,IF(ISNUMBER(SEARCH(Classifiers!$F$11,E411)),1,0))+IF(Classifiers!$G$11="",0,IF(ISNUMBER(SEARCH(Classifiers!$G$11,E411)),1,0)))&gt;0,1,0))</f>
        <v/>
      </c>
      <c r="Q411" s="12">
        <f>IF(H411&lt;&gt;1,0,IF((IF(Classifiers!$B$12="",0,IF(ISNUMBER(SEARCH(Classifiers!$B$12,E411)),1,0))+IF(Classifiers!$C$12="",0,IF(ISNUMBER(SEARCH(Classifiers!$C$12,E411)),1,0))+IF(Classifiers!$D$12="",0,IF(ISNUMBER(SEARCH(Classifiers!$D$12,E411)),1,0))+IF(Classifiers!$E$12="",0,IF(ISNUMBER(SEARCH(Classifiers!$E$12,E411)),1,0))+IF(Classifiers!$F$12="",0,IF(ISNUMBER(SEARCH(Classifiers!$F$12,E411)),1,0))+IF(Classifiers!$G$12="",0,IF(ISNUMBER(SEARCH(Classifiers!$G$12,E411)),1,0)))&gt;0,1,0))</f>
        <v/>
      </c>
      <c r="R411" s="12">
        <f>IF(H411&lt;&gt;1,0,IF((IF(Classifiers!$B$13="",0,IF(ISNUMBER(SEARCH(Classifiers!$B$13,E411)),1,0))+IF(Classifiers!$C$13="",0,IF(ISNUMBER(SEARCH(Classifiers!$C$13,E411)),1,0))+IF(Classifiers!$D$13="",0,IF(ISNUMBER(SEARCH(Classifiers!$D$13,E411)),1,0))+IF(Classifiers!$E$13="",0,IF(ISNUMBER(SEARCH(Classifiers!$E$13,E411)),1,0))+IF(Classifiers!$F$13="",0,IF(ISNUMBER(SEARCH(Classifiers!$F$13,E411)),1,0))+IF(Classifiers!$G$13="",0,IF(ISNUMBER(SEARCH(Classifiers!$G$13,E411)),1,0)))&gt;0,1,0))</f>
        <v/>
      </c>
      <c r="S411" s="12">
        <f>IF(H411&lt;&gt;1,0,IF((IF(Classifiers!$B$14="",0,IF(ISNUMBER(SEARCH(Classifiers!$B$14,E411)),1,0))+IF(Classifiers!$C$14="",0,IF(ISNUMBER(SEARCH(Classifiers!$C$14,E411)),1,0))+IF(Classifiers!$D$14="",0,IF(ISNUMBER(SEARCH(Classifiers!$D$14,E411)),1,0))+IF(Classifiers!$E$14="",0,IF(ISNUMBER(SEARCH(Classifiers!$E$14,E411)),1,0))+IF(Classifiers!$F$14="",0,IF(ISNUMBER(SEARCH(Classifiers!$F$14,E411)),1,0))+IF(Classifiers!$G$14="",0,IF(ISNUMBER(SEARCH(Classifiers!$G$14,E411)),1,0)))&gt;0,1,0))</f>
        <v/>
      </c>
      <c r="T411" s="12">
        <f>IF(H411&lt;&gt;1,0,IF((IF(Classifiers!$B$15="",0,IF(ISNUMBER(SEARCH(Classifiers!$B$15,E411)),1,0))+IF(Classifiers!$C$15="",0,IF(ISNUMBER(SEARCH(Classifiers!$C$15,E411)),1,0))+IF(Classifiers!$D$15="",0,IF(ISNUMBER(SEARCH(Classifiers!$D$15,E411)),1,0))+IF(Classifiers!$E$15="",0,IF(ISNUMBER(SEARCH(Classifiers!$E$15,E411)),1,0))+IF(Classifiers!$F$15="",0,IF(ISNUMBER(SEARCH(Classifiers!$F$15,E411)),1,0))+IF(Classifiers!$G$15="",0,IF(ISNUMBER(SEARCH(Classifiers!$G$15,E411)),1,0)))&gt;0,1,0))</f>
        <v/>
      </c>
      <c r="U411" s="12">
        <f>IF(H411&lt;&gt;1,0,IF((IF(Classifiers!$B$16="",0,IF(ISNUMBER(SEARCH(Classifiers!$B$16,E411)),1,0))+IF(Classifiers!$C$16="",0,IF(ISNUMBER(SEARCH(Classifiers!$C$16,E411)),1,0))+IF(Classifiers!$D$16="",0,IF(ISNUMBER(SEARCH(Classifiers!$D$16,E411)),1,0))+IF(Classifiers!$E$16="",0,IF(ISNUMBER(SEARCH(Classifiers!$E$16,E411)),1,0))+IF(Classifiers!$F$16="",0,IF(ISNUMBER(SEARCH(Classifiers!$F$16,E411)),1,0))+IF(Classifiers!$G$16="",0,IF(ISNUMBER(SEARCH(Classifiers!$G$16,E411)),1,0)))&gt;0,1,0))</f>
        <v/>
      </c>
      <c r="V411" s="12">
        <f>IF(H411&lt;&gt;1,0,IF((IF(Classifiers!$B$17="",0,IF(ISNUMBER(SEARCH(Classifiers!$B$17,E411)),1,0))+IF(Classifiers!$C$17="",0,IF(ISNUMBER(SEARCH(Classifiers!$C$17,E411)),1,0))+IF(Classifiers!$D$17="",0,IF(ISNUMBER(SEARCH(Classifiers!$D$17,E411)),1,0))+IF(Classifiers!$E$17="",0,IF(ISNUMBER(SEARCH(Classifiers!$E$17,E411)),1,0))+IF(Classifiers!$F$17="",0,IF(ISNUMBER(SEARCH(Classifiers!$F$17,E411)),1,0))+IF(Classifiers!$G$17="",0,IF(ISNUMBER(SEARCH(Classifiers!$G$17,E411)),1,0)))&gt;0,1,0))</f>
        <v/>
      </c>
      <c r="W411" s="12">
        <f>IF(H411&lt;&gt;1,0,IF((IF(Classifiers!$B$18="",0,IF(ISNUMBER(SEARCH(Classifiers!$B$18,E411)),1,0))+IF(Classifiers!$C$18="",0,IF(ISNUMBER(SEARCH(Classifiers!$C$18,E411)),1,0))+IF(Classifiers!$D$18="",0,IF(ISNUMBER(SEARCH(Classifiers!$D$18,E411)),1,0))+IF(Classifiers!$E$18="",0,IF(ISNUMBER(SEARCH(Classifiers!$E$18,E411)),1,0))+IF(Classifiers!$F$18="",0,IF(ISNUMBER(SEARCH(Classifiers!$F$18,E411)),1,0))+IF(Classifiers!$G$18="",0,IF(ISNUMBER(SEARCH(Classifiers!$G$18,E411)),1,0)))&gt;0,1,0))</f>
        <v/>
      </c>
    </row>
    <row r="412">
      <c r="A412" s="8" t="n"/>
      <c r="B412" s="11" t="n"/>
      <c r="C412" s="6">
        <f>IF(A412="","",TRIM(RIGHT(SUBSTITUTE(A412,"/",REPT(" ",250)),250)))</f>
        <v/>
      </c>
      <c r="D412" s="6">
        <f>IF(C412="","",IF(ISNUMBER(SEARCH(".",C412)),LOWER("."&amp;TRIM(RIGHT(SUBSTITUTE(C412,".",REPT(" ",250)),250))),""))</f>
        <v/>
      </c>
      <c r="E412" s="6">
        <f>IF(C412="","",TRIM(SUBSTITUTE(SUBSTITUTE(SUBSTITUTE(SUBSTITUTE(SUBSTITUTE(SUBSTITUTE(SUBSTITUTE(SUBSTITUTE(SUBSTITUTE(SUBSTITUTE(SUBSTITUTE(SUBSTITUTE(SUBSTITUTE(SUBSTITUTE(SUBSTITUTE(SUBSTITUTE(SUBSTITUTE(SUBSTITUTE(SUBSTITUTE(SUBSTITUTE(LOWER(LEFT(C412,LEN(C412)-LEN(D412))),"_"," "),"-"," "),"."," "),","," "),"("," "),")"," "),"["," "),"]"," "),"&amp;"," "),"+"," "),"@"," "),"#"," "),"!"," "),"'"," "),"/"," "),":"," "),";"," "),"="," "),"~"," "),"%"," ")))</f>
        <v/>
      </c>
      <c r="F412" s="6">
        <f>IF(C412="","",IF(COUNTIF(Classifiers!$A$23:$A$40,D412)&gt;0,1,0))</f>
        <v/>
      </c>
      <c r="G412" s="6">
        <f>IF(C412="","",IF(COUNTIF(Classifiers!$C$23:$C$30,D412)&gt;0,IF((IF(ISNUMBER(SEARCH(Classifiers!$E$23,E412)),1,0)+IF(ISNUMBER(SEARCH(Classifiers!$E$24,E412)),1,0)+IF(ISNUMBER(SEARCH(Classifiers!$E$25,E412)),1,0)+IF(ISNUMBER(SEARCH(Classifiers!$E$26,E412)),1,0)+IF(ISNUMBER(SEARCH(Classifiers!$E$27,E412)),1,0)+IF(ISNUMBER(SEARCH(Classifiers!$E$28,E412)),1,0)+IF(ISNUMBER(SEARCH(Classifiers!$E$29,E412)),1,0)+IF(ISNUMBER(SEARCH(Classifiers!$E$30,E412)),1,0))&gt;0,1,0),0))</f>
        <v/>
      </c>
      <c r="H412" s="6">
        <f>IF(C412="","",IF(OR(LEFT(C412,1)=".",AND(F412=0,G412=0)),0,1))</f>
        <v/>
      </c>
      <c r="I412" s="6">
        <f>IF(H412&lt;&gt;1,"",IF(SUM(J412:W412)=0,"unclassified",INDEX(Classifiers!$A$5:$A$18,MATCH(1,J412:W412,0),1)))</f>
        <v/>
      </c>
      <c r="J412" s="12">
        <f>IF(H412&lt;&gt;1,0,IF((IF(Classifiers!$B$5="",0,IF(ISNUMBER(SEARCH(Classifiers!$B$5,E412)),1,0))+IF(Classifiers!$C$5="",0,IF(ISNUMBER(SEARCH(Classifiers!$C$5,E412)),1,0))+IF(Classifiers!$D$5="",0,IF(ISNUMBER(SEARCH(Classifiers!$D$5,E412)),1,0))+IF(Classifiers!$E$5="",0,IF(ISNUMBER(SEARCH(Classifiers!$E$5,E412)),1,0))+IF(Classifiers!$F$5="",0,IF(ISNUMBER(SEARCH(Classifiers!$F$5,E412)),1,0))+IF(Classifiers!$G$5="",0,IF(ISNUMBER(SEARCH(Classifiers!$G$5,E412)),1,0)))&gt;0,1,0))</f>
        <v/>
      </c>
      <c r="K412" s="12">
        <f>IF(H412&lt;&gt;1,0,IF((IF(Classifiers!$B$6="",0,IF(ISNUMBER(SEARCH(Classifiers!$B$6,E412)),1,0))+IF(Classifiers!$C$6="",0,IF(ISNUMBER(SEARCH(Classifiers!$C$6,E412)),1,0))+IF(Classifiers!$D$6="",0,IF(ISNUMBER(SEARCH(Classifiers!$D$6,E412)),1,0))+IF(Classifiers!$E$6="",0,IF(ISNUMBER(SEARCH(Classifiers!$E$6,E412)),1,0))+IF(Classifiers!$F$6="",0,IF(ISNUMBER(SEARCH(Classifiers!$F$6,E412)),1,0))+IF(Classifiers!$G$6="",0,IF(ISNUMBER(SEARCH(Classifiers!$G$6,E412)),1,0)))&gt;0,1,0))</f>
        <v/>
      </c>
      <c r="L412" s="12">
        <f>IF(H412&lt;&gt;1,0,IF((IF(Classifiers!$B$7="",0,IF(ISNUMBER(SEARCH(Classifiers!$B$7,E412)),1,0))+IF(Classifiers!$C$7="",0,IF(ISNUMBER(SEARCH(Classifiers!$C$7,E412)),1,0))+IF(Classifiers!$D$7="",0,IF(ISNUMBER(SEARCH(Classifiers!$D$7,E412)),1,0))+IF(Classifiers!$E$7="",0,IF(ISNUMBER(SEARCH(Classifiers!$E$7,E412)),1,0))+IF(Classifiers!$F$7="",0,IF(ISNUMBER(SEARCH(Classifiers!$F$7,E412)),1,0))+IF(Classifiers!$G$7="",0,IF(ISNUMBER(SEARCH(Classifiers!$G$7,E412)),1,0)))&gt;0,1,0))</f>
        <v/>
      </c>
      <c r="M412" s="12">
        <f>IF(H412&lt;&gt;1,0,IF((IF(Classifiers!$B$8="",0,IF(ISNUMBER(SEARCH(Classifiers!$B$8,E412)),1,0))+IF(Classifiers!$C$8="",0,IF(ISNUMBER(SEARCH(Classifiers!$C$8,E412)),1,0))+IF(Classifiers!$D$8="",0,IF(ISNUMBER(SEARCH(Classifiers!$D$8,E412)),1,0))+IF(Classifiers!$E$8="",0,IF(ISNUMBER(SEARCH(Classifiers!$E$8,E412)),1,0))+IF(Classifiers!$F$8="",0,IF(ISNUMBER(SEARCH(Classifiers!$F$8,E412)),1,0))+IF(Classifiers!$G$8="",0,IF(ISNUMBER(SEARCH(Classifiers!$G$8,E412)),1,0)))&gt;0,1,0))</f>
        <v/>
      </c>
      <c r="N412" s="12">
        <f>IF(H412&lt;&gt;1,0,IF((IF(Classifiers!$B$9="",0,IF(ISNUMBER(SEARCH(Classifiers!$B$9,E412)),1,0))+IF(Classifiers!$C$9="",0,IF(ISNUMBER(SEARCH(Classifiers!$C$9,E412)),1,0))+IF(Classifiers!$D$9="",0,IF(ISNUMBER(SEARCH(Classifiers!$D$9,E412)),1,0))+IF(Classifiers!$E$9="",0,IF(ISNUMBER(SEARCH(Classifiers!$E$9,E412)),1,0))+IF(Classifiers!$F$9="",0,IF(ISNUMBER(SEARCH(Classifiers!$F$9,E412)),1,0))+IF(Classifiers!$G$9="",0,IF(ISNUMBER(SEARCH(Classifiers!$G$9,E412)),1,0)))&gt;0,1,0))</f>
        <v/>
      </c>
      <c r="O412" s="12">
        <f>IF(H412&lt;&gt;1,0,IF((IF(Classifiers!$B$10="",0,IF(ISNUMBER(SEARCH(Classifiers!$B$10,E412)),1,0))+IF(Classifiers!$C$10="",0,IF(ISNUMBER(SEARCH(Classifiers!$C$10,E412)),1,0))+IF(Classifiers!$D$10="",0,IF(ISNUMBER(SEARCH(Classifiers!$D$10,E412)),1,0))+IF(Classifiers!$E$10="",0,IF(ISNUMBER(SEARCH(Classifiers!$E$10,E412)),1,0))+IF(Classifiers!$F$10="",0,IF(ISNUMBER(SEARCH(Classifiers!$F$10,E412)),1,0))+IF(Classifiers!$G$10="",0,IF(ISNUMBER(SEARCH(Classifiers!$G$10,E412)),1,0)))&gt;0,1,0))</f>
        <v/>
      </c>
      <c r="P412" s="12">
        <f>IF(H412&lt;&gt;1,0,IF((IF(Classifiers!$B$11="",0,IF(ISNUMBER(SEARCH(Classifiers!$B$11,E412)),1,0))+IF(Classifiers!$C$11="",0,IF(ISNUMBER(SEARCH(Classifiers!$C$11,E412)),1,0))+IF(Classifiers!$D$11="",0,IF(ISNUMBER(SEARCH(Classifiers!$D$11,E412)),1,0))+IF(Classifiers!$E$11="",0,IF(ISNUMBER(SEARCH(Classifiers!$E$11,E412)),1,0))+IF(Classifiers!$F$11="",0,IF(ISNUMBER(SEARCH(Classifiers!$F$11,E412)),1,0))+IF(Classifiers!$G$11="",0,IF(ISNUMBER(SEARCH(Classifiers!$G$11,E412)),1,0)))&gt;0,1,0))</f>
        <v/>
      </c>
      <c r="Q412" s="12">
        <f>IF(H412&lt;&gt;1,0,IF((IF(Classifiers!$B$12="",0,IF(ISNUMBER(SEARCH(Classifiers!$B$12,E412)),1,0))+IF(Classifiers!$C$12="",0,IF(ISNUMBER(SEARCH(Classifiers!$C$12,E412)),1,0))+IF(Classifiers!$D$12="",0,IF(ISNUMBER(SEARCH(Classifiers!$D$12,E412)),1,0))+IF(Classifiers!$E$12="",0,IF(ISNUMBER(SEARCH(Classifiers!$E$12,E412)),1,0))+IF(Classifiers!$F$12="",0,IF(ISNUMBER(SEARCH(Classifiers!$F$12,E412)),1,0))+IF(Classifiers!$G$12="",0,IF(ISNUMBER(SEARCH(Classifiers!$G$12,E412)),1,0)))&gt;0,1,0))</f>
        <v/>
      </c>
      <c r="R412" s="12">
        <f>IF(H412&lt;&gt;1,0,IF((IF(Classifiers!$B$13="",0,IF(ISNUMBER(SEARCH(Classifiers!$B$13,E412)),1,0))+IF(Classifiers!$C$13="",0,IF(ISNUMBER(SEARCH(Classifiers!$C$13,E412)),1,0))+IF(Classifiers!$D$13="",0,IF(ISNUMBER(SEARCH(Classifiers!$D$13,E412)),1,0))+IF(Classifiers!$E$13="",0,IF(ISNUMBER(SEARCH(Classifiers!$E$13,E412)),1,0))+IF(Classifiers!$F$13="",0,IF(ISNUMBER(SEARCH(Classifiers!$F$13,E412)),1,0))+IF(Classifiers!$G$13="",0,IF(ISNUMBER(SEARCH(Classifiers!$G$13,E412)),1,0)))&gt;0,1,0))</f>
        <v/>
      </c>
      <c r="S412" s="12">
        <f>IF(H412&lt;&gt;1,0,IF((IF(Classifiers!$B$14="",0,IF(ISNUMBER(SEARCH(Classifiers!$B$14,E412)),1,0))+IF(Classifiers!$C$14="",0,IF(ISNUMBER(SEARCH(Classifiers!$C$14,E412)),1,0))+IF(Classifiers!$D$14="",0,IF(ISNUMBER(SEARCH(Classifiers!$D$14,E412)),1,0))+IF(Classifiers!$E$14="",0,IF(ISNUMBER(SEARCH(Classifiers!$E$14,E412)),1,0))+IF(Classifiers!$F$14="",0,IF(ISNUMBER(SEARCH(Classifiers!$F$14,E412)),1,0))+IF(Classifiers!$G$14="",0,IF(ISNUMBER(SEARCH(Classifiers!$G$14,E412)),1,0)))&gt;0,1,0))</f>
        <v/>
      </c>
      <c r="T412" s="12">
        <f>IF(H412&lt;&gt;1,0,IF((IF(Classifiers!$B$15="",0,IF(ISNUMBER(SEARCH(Classifiers!$B$15,E412)),1,0))+IF(Classifiers!$C$15="",0,IF(ISNUMBER(SEARCH(Classifiers!$C$15,E412)),1,0))+IF(Classifiers!$D$15="",0,IF(ISNUMBER(SEARCH(Classifiers!$D$15,E412)),1,0))+IF(Classifiers!$E$15="",0,IF(ISNUMBER(SEARCH(Classifiers!$E$15,E412)),1,0))+IF(Classifiers!$F$15="",0,IF(ISNUMBER(SEARCH(Classifiers!$F$15,E412)),1,0))+IF(Classifiers!$G$15="",0,IF(ISNUMBER(SEARCH(Classifiers!$G$15,E412)),1,0)))&gt;0,1,0))</f>
        <v/>
      </c>
      <c r="U412" s="12">
        <f>IF(H412&lt;&gt;1,0,IF((IF(Classifiers!$B$16="",0,IF(ISNUMBER(SEARCH(Classifiers!$B$16,E412)),1,0))+IF(Classifiers!$C$16="",0,IF(ISNUMBER(SEARCH(Classifiers!$C$16,E412)),1,0))+IF(Classifiers!$D$16="",0,IF(ISNUMBER(SEARCH(Classifiers!$D$16,E412)),1,0))+IF(Classifiers!$E$16="",0,IF(ISNUMBER(SEARCH(Classifiers!$E$16,E412)),1,0))+IF(Classifiers!$F$16="",0,IF(ISNUMBER(SEARCH(Classifiers!$F$16,E412)),1,0))+IF(Classifiers!$G$16="",0,IF(ISNUMBER(SEARCH(Classifiers!$G$16,E412)),1,0)))&gt;0,1,0))</f>
        <v/>
      </c>
      <c r="V412" s="12">
        <f>IF(H412&lt;&gt;1,0,IF((IF(Classifiers!$B$17="",0,IF(ISNUMBER(SEARCH(Classifiers!$B$17,E412)),1,0))+IF(Classifiers!$C$17="",0,IF(ISNUMBER(SEARCH(Classifiers!$C$17,E412)),1,0))+IF(Classifiers!$D$17="",0,IF(ISNUMBER(SEARCH(Classifiers!$D$17,E412)),1,0))+IF(Classifiers!$E$17="",0,IF(ISNUMBER(SEARCH(Classifiers!$E$17,E412)),1,0))+IF(Classifiers!$F$17="",0,IF(ISNUMBER(SEARCH(Classifiers!$F$17,E412)),1,0))+IF(Classifiers!$G$17="",0,IF(ISNUMBER(SEARCH(Classifiers!$G$17,E412)),1,0)))&gt;0,1,0))</f>
        <v/>
      </c>
      <c r="W412" s="12">
        <f>IF(H412&lt;&gt;1,0,IF((IF(Classifiers!$B$18="",0,IF(ISNUMBER(SEARCH(Classifiers!$B$18,E412)),1,0))+IF(Classifiers!$C$18="",0,IF(ISNUMBER(SEARCH(Classifiers!$C$18,E412)),1,0))+IF(Classifiers!$D$18="",0,IF(ISNUMBER(SEARCH(Classifiers!$D$18,E412)),1,0))+IF(Classifiers!$E$18="",0,IF(ISNUMBER(SEARCH(Classifiers!$E$18,E412)),1,0))+IF(Classifiers!$F$18="",0,IF(ISNUMBER(SEARCH(Classifiers!$F$18,E412)),1,0))+IF(Classifiers!$G$18="",0,IF(ISNUMBER(SEARCH(Classifiers!$G$18,E412)),1,0)))&gt;0,1,0))</f>
        <v/>
      </c>
    </row>
    <row r="413">
      <c r="A413" s="8" t="n"/>
      <c r="B413" s="11" t="n"/>
      <c r="C413" s="6">
        <f>IF(A413="","",TRIM(RIGHT(SUBSTITUTE(A413,"/",REPT(" ",250)),250)))</f>
        <v/>
      </c>
      <c r="D413" s="6">
        <f>IF(C413="","",IF(ISNUMBER(SEARCH(".",C413)),LOWER("."&amp;TRIM(RIGHT(SUBSTITUTE(C413,".",REPT(" ",250)),250))),""))</f>
        <v/>
      </c>
      <c r="E413" s="6">
        <f>IF(C413="","",TRIM(SUBSTITUTE(SUBSTITUTE(SUBSTITUTE(SUBSTITUTE(SUBSTITUTE(SUBSTITUTE(SUBSTITUTE(SUBSTITUTE(SUBSTITUTE(SUBSTITUTE(SUBSTITUTE(SUBSTITUTE(SUBSTITUTE(SUBSTITUTE(SUBSTITUTE(SUBSTITUTE(SUBSTITUTE(SUBSTITUTE(SUBSTITUTE(SUBSTITUTE(LOWER(LEFT(C413,LEN(C413)-LEN(D413))),"_"," "),"-"," "),"."," "),","," "),"("," "),")"," "),"["," "),"]"," "),"&amp;"," "),"+"," "),"@"," "),"#"," "),"!"," "),"'"," "),"/"," "),":"," "),";"," "),"="," "),"~"," "),"%"," ")))</f>
        <v/>
      </c>
      <c r="F413" s="6">
        <f>IF(C413="","",IF(COUNTIF(Classifiers!$A$23:$A$40,D413)&gt;0,1,0))</f>
        <v/>
      </c>
      <c r="G413" s="6">
        <f>IF(C413="","",IF(COUNTIF(Classifiers!$C$23:$C$30,D413)&gt;0,IF((IF(ISNUMBER(SEARCH(Classifiers!$E$23,E413)),1,0)+IF(ISNUMBER(SEARCH(Classifiers!$E$24,E413)),1,0)+IF(ISNUMBER(SEARCH(Classifiers!$E$25,E413)),1,0)+IF(ISNUMBER(SEARCH(Classifiers!$E$26,E413)),1,0)+IF(ISNUMBER(SEARCH(Classifiers!$E$27,E413)),1,0)+IF(ISNUMBER(SEARCH(Classifiers!$E$28,E413)),1,0)+IF(ISNUMBER(SEARCH(Classifiers!$E$29,E413)),1,0)+IF(ISNUMBER(SEARCH(Classifiers!$E$30,E413)),1,0))&gt;0,1,0),0))</f>
        <v/>
      </c>
      <c r="H413" s="6">
        <f>IF(C413="","",IF(OR(LEFT(C413,1)=".",AND(F413=0,G413=0)),0,1))</f>
        <v/>
      </c>
      <c r="I413" s="6">
        <f>IF(H413&lt;&gt;1,"",IF(SUM(J413:W413)=0,"unclassified",INDEX(Classifiers!$A$5:$A$18,MATCH(1,J413:W413,0),1)))</f>
        <v/>
      </c>
      <c r="J413" s="12">
        <f>IF(H413&lt;&gt;1,0,IF((IF(Classifiers!$B$5="",0,IF(ISNUMBER(SEARCH(Classifiers!$B$5,E413)),1,0))+IF(Classifiers!$C$5="",0,IF(ISNUMBER(SEARCH(Classifiers!$C$5,E413)),1,0))+IF(Classifiers!$D$5="",0,IF(ISNUMBER(SEARCH(Classifiers!$D$5,E413)),1,0))+IF(Classifiers!$E$5="",0,IF(ISNUMBER(SEARCH(Classifiers!$E$5,E413)),1,0))+IF(Classifiers!$F$5="",0,IF(ISNUMBER(SEARCH(Classifiers!$F$5,E413)),1,0))+IF(Classifiers!$G$5="",0,IF(ISNUMBER(SEARCH(Classifiers!$G$5,E413)),1,0)))&gt;0,1,0))</f>
        <v/>
      </c>
      <c r="K413" s="12">
        <f>IF(H413&lt;&gt;1,0,IF((IF(Classifiers!$B$6="",0,IF(ISNUMBER(SEARCH(Classifiers!$B$6,E413)),1,0))+IF(Classifiers!$C$6="",0,IF(ISNUMBER(SEARCH(Classifiers!$C$6,E413)),1,0))+IF(Classifiers!$D$6="",0,IF(ISNUMBER(SEARCH(Classifiers!$D$6,E413)),1,0))+IF(Classifiers!$E$6="",0,IF(ISNUMBER(SEARCH(Classifiers!$E$6,E413)),1,0))+IF(Classifiers!$F$6="",0,IF(ISNUMBER(SEARCH(Classifiers!$F$6,E413)),1,0))+IF(Classifiers!$G$6="",0,IF(ISNUMBER(SEARCH(Classifiers!$G$6,E413)),1,0)))&gt;0,1,0))</f>
        <v/>
      </c>
      <c r="L413" s="12">
        <f>IF(H413&lt;&gt;1,0,IF((IF(Classifiers!$B$7="",0,IF(ISNUMBER(SEARCH(Classifiers!$B$7,E413)),1,0))+IF(Classifiers!$C$7="",0,IF(ISNUMBER(SEARCH(Classifiers!$C$7,E413)),1,0))+IF(Classifiers!$D$7="",0,IF(ISNUMBER(SEARCH(Classifiers!$D$7,E413)),1,0))+IF(Classifiers!$E$7="",0,IF(ISNUMBER(SEARCH(Classifiers!$E$7,E413)),1,0))+IF(Classifiers!$F$7="",0,IF(ISNUMBER(SEARCH(Classifiers!$F$7,E413)),1,0))+IF(Classifiers!$G$7="",0,IF(ISNUMBER(SEARCH(Classifiers!$G$7,E413)),1,0)))&gt;0,1,0))</f>
        <v/>
      </c>
      <c r="M413" s="12">
        <f>IF(H413&lt;&gt;1,0,IF((IF(Classifiers!$B$8="",0,IF(ISNUMBER(SEARCH(Classifiers!$B$8,E413)),1,0))+IF(Classifiers!$C$8="",0,IF(ISNUMBER(SEARCH(Classifiers!$C$8,E413)),1,0))+IF(Classifiers!$D$8="",0,IF(ISNUMBER(SEARCH(Classifiers!$D$8,E413)),1,0))+IF(Classifiers!$E$8="",0,IF(ISNUMBER(SEARCH(Classifiers!$E$8,E413)),1,0))+IF(Classifiers!$F$8="",0,IF(ISNUMBER(SEARCH(Classifiers!$F$8,E413)),1,0))+IF(Classifiers!$G$8="",0,IF(ISNUMBER(SEARCH(Classifiers!$G$8,E413)),1,0)))&gt;0,1,0))</f>
        <v/>
      </c>
      <c r="N413" s="12">
        <f>IF(H413&lt;&gt;1,0,IF((IF(Classifiers!$B$9="",0,IF(ISNUMBER(SEARCH(Classifiers!$B$9,E413)),1,0))+IF(Classifiers!$C$9="",0,IF(ISNUMBER(SEARCH(Classifiers!$C$9,E413)),1,0))+IF(Classifiers!$D$9="",0,IF(ISNUMBER(SEARCH(Classifiers!$D$9,E413)),1,0))+IF(Classifiers!$E$9="",0,IF(ISNUMBER(SEARCH(Classifiers!$E$9,E413)),1,0))+IF(Classifiers!$F$9="",0,IF(ISNUMBER(SEARCH(Classifiers!$F$9,E413)),1,0))+IF(Classifiers!$G$9="",0,IF(ISNUMBER(SEARCH(Classifiers!$G$9,E413)),1,0)))&gt;0,1,0))</f>
        <v/>
      </c>
      <c r="O413" s="12">
        <f>IF(H413&lt;&gt;1,0,IF((IF(Classifiers!$B$10="",0,IF(ISNUMBER(SEARCH(Classifiers!$B$10,E413)),1,0))+IF(Classifiers!$C$10="",0,IF(ISNUMBER(SEARCH(Classifiers!$C$10,E413)),1,0))+IF(Classifiers!$D$10="",0,IF(ISNUMBER(SEARCH(Classifiers!$D$10,E413)),1,0))+IF(Classifiers!$E$10="",0,IF(ISNUMBER(SEARCH(Classifiers!$E$10,E413)),1,0))+IF(Classifiers!$F$10="",0,IF(ISNUMBER(SEARCH(Classifiers!$F$10,E413)),1,0))+IF(Classifiers!$G$10="",0,IF(ISNUMBER(SEARCH(Classifiers!$G$10,E413)),1,0)))&gt;0,1,0))</f>
        <v/>
      </c>
      <c r="P413" s="12">
        <f>IF(H413&lt;&gt;1,0,IF((IF(Classifiers!$B$11="",0,IF(ISNUMBER(SEARCH(Classifiers!$B$11,E413)),1,0))+IF(Classifiers!$C$11="",0,IF(ISNUMBER(SEARCH(Classifiers!$C$11,E413)),1,0))+IF(Classifiers!$D$11="",0,IF(ISNUMBER(SEARCH(Classifiers!$D$11,E413)),1,0))+IF(Classifiers!$E$11="",0,IF(ISNUMBER(SEARCH(Classifiers!$E$11,E413)),1,0))+IF(Classifiers!$F$11="",0,IF(ISNUMBER(SEARCH(Classifiers!$F$11,E413)),1,0))+IF(Classifiers!$G$11="",0,IF(ISNUMBER(SEARCH(Classifiers!$G$11,E413)),1,0)))&gt;0,1,0))</f>
        <v/>
      </c>
      <c r="Q413" s="12">
        <f>IF(H413&lt;&gt;1,0,IF((IF(Classifiers!$B$12="",0,IF(ISNUMBER(SEARCH(Classifiers!$B$12,E413)),1,0))+IF(Classifiers!$C$12="",0,IF(ISNUMBER(SEARCH(Classifiers!$C$12,E413)),1,0))+IF(Classifiers!$D$12="",0,IF(ISNUMBER(SEARCH(Classifiers!$D$12,E413)),1,0))+IF(Classifiers!$E$12="",0,IF(ISNUMBER(SEARCH(Classifiers!$E$12,E413)),1,0))+IF(Classifiers!$F$12="",0,IF(ISNUMBER(SEARCH(Classifiers!$F$12,E413)),1,0))+IF(Classifiers!$G$12="",0,IF(ISNUMBER(SEARCH(Classifiers!$G$12,E413)),1,0)))&gt;0,1,0))</f>
        <v/>
      </c>
      <c r="R413" s="12">
        <f>IF(H413&lt;&gt;1,0,IF((IF(Classifiers!$B$13="",0,IF(ISNUMBER(SEARCH(Classifiers!$B$13,E413)),1,0))+IF(Classifiers!$C$13="",0,IF(ISNUMBER(SEARCH(Classifiers!$C$13,E413)),1,0))+IF(Classifiers!$D$13="",0,IF(ISNUMBER(SEARCH(Classifiers!$D$13,E413)),1,0))+IF(Classifiers!$E$13="",0,IF(ISNUMBER(SEARCH(Classifiers!$E$13,E413)),1,0))+IF(Classifiers!$F$13="",0,IF(ISNUMBER(SEARCH(Classifiers!$F$13,E413)),1,0))+IF(Classifiers!$G$13="",0,IF(ISNUMBER(SEARCH(Classifiers!$G$13,E413)),1,0)))&gt;0,1,0))</f>
        <v/>
      </c>
      <c r="S413" s="12">
        <f>IF(H413&lt;&gt;1,0,IF((IF(Classifiers!$B$14="",0,IF(ISNUMBER(SEARCH(Classifiers!$B$14,E413)),1,0))+IF(Classifiers!$C$14="",0,IF(ISNUMBER(SEARCH(Classifiers!$C$14,E413)),1,0))+IF(Classifiers!$D$14="",0,IF(ISNUMBER(SEARCH(Classifiers!$D$14,E413)),1,0))+IF(Classifiers!$E$14="",0,IF(ISNUMBER(SEARCH(Classifiers!$E$14,E413)),1,0))+IF(Classifiers!$F$14="",0,IF(ISNUMBER(SEARCH(Classifiers!$F$14,E413)),1,0))+IF(Classifiers!$G$14="",0,IF(ISNUMBER(SEARCH(Classifiers!$G$14,E413)),1,0)))&gt;0,1,0))</f>
        <v/>
      </c>
      <c r="T413" s="12">
        <f>IF(H413&lt;&gt;1,0,IF((IF(Classifiers!$B$15="",0,IF(ISNUMBER(SEARCH(Classifiers!$B$15,E413)),1,0))+IF(Classifiers!$C$15="",0,IF(ISNUMBER(SEARCH(Classifiers!$C$15,E413)),1,0))+IF(Classifiers!$D$15="",0,IF(ISNUMBER(SEARCH(Classifiers!$D$15,E413)),1,0))+IF(Classifiers!$E$15="",0,IF(ISNUMBER(SEARCH(Classifiers!$E$15,E413)),1,0))+IF(Classifiers!$F$15="",0,IF(ISNUMBER(SEARCH(Classifiers!$F$15,E413)),1,0))+IF(Classifiers!$G$15="",0,IF(ISNUMBER(SEARCH(Classifiers!$G$15,E413)),1,0)))&gt;0,1,0))</f>
        <v/>
      </c>
      <c r="U413" s="12">
        <f>IF(H413&lt;&gt;1,0,IF((IF(Classifiers!$B$16="",0,IF(ISNUMBER(SEARCH(Classifiers!$B$16,E413)),1,0))+IF(Classifiers!$C$16="",0,IF(ISNUMBER(SEARCH(Classifiers!$C$16,E413)),1,0))+IF(Classifiers!$D$16="",0,IF(ISNUMBER(SEARCH(Classifiers!$D$16,E413)),1,0))+IF(Classifiers!$E$16="",0,IF(ISNUMBER(SEARCH(Classifiers!$E$16,E413)),1,0))+IF(Classifiers!$F$16="",0,IF(ISNUMBER(SEARCH(Classifiers!$F$16,E413)),1,0))+IF(Classifiers!$G$16="",0,IF(ISNUMBER(SEARCH(Classifiers!$G$16,E413)),1,0)))&gt;0,1,0))</f>
        <v/>
      </c>
      <c r="V413" s="12">
        <f>IF(H413&lt;&gt;1,0,IF((IF(Classifiers!$B$17="",0,IF(ISNUMBER(SEARCH(Classifiers!$B$17,E413)),1,0))+IF(Classifiers!$C$17="",0,IF(ISNUMBER(SEARCH(Classifiers!$C$17,E413)),1,0))+IF(Classifiers!$D$17="",0,IF(ISNUMBER(SEARCH(Classifiers!$D$17,E413)),1,0))+IF(Classifiers!$E$17="",0,IF(ISNUMBER(SEARCH(Classifiers!$E$17,E413)),1,0))+IF(Classifiers!$F$17="",0,IF(ISNUMBER(SEARCH(Classifiers!$F$17,E413)),1,0))+IF(Classifiers!$G$17="",0,IF(ISNUMBER(SEARCH(Classifiers!$G$17,E413)),1,0)))&gt;0,1,0))</f>
        <v/>
      </c>
      <c r="W413" s="12">
        <f>IF(H413&lt;&gt;1,0,IF((IF(Classifiers!$B$18="",0,IF(ISNUMBER(SEARCH(Classifiers!$B$18,E413)),1,0))+IF(Classifiers!$C$18="",0,IF(ISNUMBER(SEARCH(Classifiers!$C$18,E413)),1,0))+IF(Classifiers!$D$18="",0,IF(ISNUMBER(SEARCH(Classifiers!$D$18,E413)),1,0))+IF(Classifiers!$E$18="",0,IF(ISNUMBER(SEARCH(Classifiers!$E$18,E413)),1,0))+IF(Classifiers!$F$18="",0,IF(ISNUMBER(SEARCH(Classifiers!$F$18,E413)),1,0))+IF(Classifiers!$G$18="",0,IF(ISNUMBER(SEARCH(Classifiers!$G$18,E413)),1,0)))&gt;0,1,0))</f>
        <v/>
      </c>
    </row>
    <row r="414">
      <c r="A414" s="8" t="n"/>
      <c r="B414" s="11" t="n"/>
      <c r="C414" s="6">
        <f>IF(A414="","",TRIM(RIGHT(SUBSTITUTE(A414,"/",REPT(" ",250)),250)))</f>
        <v/>
      </c>
      <c r="D414" s="6">
        <f>IF(C414="","",IF(ISNUMBER(SEARCH(".",C414)),LOWER("."&amp;TRIM(RIGHT(SUBSTITUTE(C414,".",REPT(" ",250)),250))),""))</f>
        <v/>
      </c>
      <c r="E414" s="6">
        <f>IF(C414="","",TRIM(SUBSTITUTE(SUBSTITUTE(SUBSTITUTE(SUBSTITUTE(SUBSTITUTE(SUBSTITUTE(SUBSTITUTE(SUBSTITUTE(SUBSTITUTE(SUBSTITUTE(SUBSTITUTE(SUBSTITUTE(SUBSTITUTE(SUBSTITUTE(SUBSTITUTE(SUBSTITUTE(SUBSTITUTE(SUBSTITUTE(SUBSTITUTE(SUBSTITUTE(LOWER(LEFT(C414,LEN(C414)-LEN(D414))),"_"," "),"-"," "),"."," "),","," "),"("," "),")"," "),"["," "),"]"," "),"&amp;"," "),"+"," "),"@"," "),"#"," "),"!"," "),"'"," "),"/"," "),":"," "),";"," "),"="," "),"~"," "),"%"," ")))</f>
        <v/>
      </c>
      <c r="F414" s="6">
        <f>IF(C414="","",IF(COUNTIF(Classifiers!$A$23:$A$40,D414)&gt;0,1,0))</f>
        <v/>
      </c>
      <c r="G414" s="6">
        <f>IF(C414="","",IF(COUNTIF(Classifiers!$C$23:$C$30,D414)&gt;0,IF((IF(ISNUMBER(SEARCH(Classifiers!$E$23,E414)),1,0)+IF(ISNUMBER(SEARCH(Classifiers!$E$24,E414)),1,0)+IF(ISNUMBER(SEARCH(Classifiers!$E$25,E414)),1,0)+IF(ISNUMBER(SEARCH(Classifiers!$E$26,E414)),1,0)+IF(ISNUMBER(SEARCH(Classifiers!$E$27,E414)),1,0)+IF(ISNUMBER(SEARCH(Classifiers!$E$28,E414)),1,0)+IF(ISNUMBER(SEARCH(Classifiers!$E$29,E414)),1,0)+IF(ISNUMBER(SEARCH(Classifiers!$E$30,E414)),1,0))&gt;0,1,0),0))</f>
        <v/>
      </c>
      <c r="H414" s="6">
        <f>IF(C414="","",IF(OR(LEFT(C414,1)=".",AND(F414=0,G414=0)),0,1))</f>
        <v/>
      </c>
      <c r="I414" s="6">
        <f>IF(H414&lt;&gt;1,"",IF(SUM(J414:W414)=0,"unclassified",INDEX(Classifiers!$A$5:$A$18,MATCH(1,J414:W414,0),1)))</f>
        <v/>
      </c>
      <c r="J414" s="12">
        <f>IF(H414&lt;&gt;1,0,IF((IF(Classifiers!$B$5="",0,IF(ISNUMBER(SEARCH(Classifiers!$B$5,E414)),1,0))+IF(Classifiers!$C$5="",0,IF(ISNUMBER(SEARCH(Classifiers!$C$5,E414)),1,0))+IF(Classifiers!$D$5="",0,IF(ISNUMBER(SEARCH(Classifiers!$D$5,E414)),1,0))+IF(Classifiers!$E$5="",0,IF(ISNUMBER(SEARCH(Classifiers!$E$5,E414)),1,0))+IF(Classifiers!$F$5="",0,IF(ISNUMBER(SEARCH(Classifiers!$F$5,E414)),1,0))+IF(Classifiers!$G$5="",0,IF(ISNUMBER(SEARCH(Classifiers!$G$5,E414)),1,0)))&gt;0,1,0))</f>
        <v/>
      </c>
      <c r="K414" s="12">
        <f>IF(H414&lt;&gt;1,0,IF((IF(Classifiers!$B$6="",0,IF(ISNUMBER(SEARCH(Classifiers!$B$6,E414)),1,0))+IF(Classifiers!$C$6="",0,IF(ISNUMBER(SEARCH(Classifiers!$C$6,E414)),1,0))+IF(Classifiers!$D$6="",0,IF(ISNUMBER(SEARCH(Classifiers!$D$6,E414)),1,0))+IF(Classifiers!$E$6="",0,IF(ISNUMBER(SEARCH(Classifiers!$E$6,E414)),1,0))+IF(Classifiers!$F$6="",0,IF(ISNUMBER(SEARCH(Classifiers!$F$6,E414)),1,0))+IF(Classifiers!$G$6="",0,IF(ISNUMBER(SEARCH(Classifiers!$G$6,E414)),1,0)))&gt;0,1,0))</f>
        <v/>
      </c>
      <c r="L414" s="12">
        <f>IF(H414&lt;&gt;1,0,IF((IF(Classifiers!$B$7="",0,IF(ISNUMBER(SEARCH(Classifiers!$B$7,E414)),1,0))+IF(Classifiers!$C$7="",0,IF(ISNUMBER(SEARCH(Classifiers!$C$7,E414)),1,0))+IF(Classifiers!$D$7="",0,IF(ISNUMBER(SEARCH(Classifiers!$D$7,E414)),1,0))+IF(Classifiers!$E$7="",0,IF(ISNUMBER(SEARCH(Classifiers!$E$7,E414)),1,0))+IF(Classifiers!$F$7="",0,IF(ISNUMBER(SEARCH(Classifiers!$F$7,E414)),1,0))+IF(Classifiers!$G$7="",0,IF(ISNUMBER(SEARCH(Classifiers!$G$7,E414)),1,0)))&gt;0,1,0))</f>
        <v/>
      </c>
      <c r="M414" s="12">
        <f>IF(H414&lt;&gt;1,0,IF((IF(Classifiers!$B$8="",0,IF(ISNUMBER(SEARCH(Classifiers!$B$8,E414)),1,0))+IF(Classifiers!$C$8="",0,IF(ISNUMBER(SEARCH(Classifiers!$C$8,E414)),1,0))+IF(Classifiers!$D$8="",0,IF(ISNUMBER(SEARCH(Classifiers!$D$8,E414)),1,0))+IF(Classifiers!$E$8="",0,IF(ISNUMBER(SEARCH(Classifiers!$E$8,E414)),1,0))+IF(Classifiers!$F$8="",0,IF(ISNUMBER(SEARCH(Classifiers!$F$8,E414)),1,0))+IF(Classifiers!$G$8="",0,IF(ISNUMBER(SEARCH(Classifiers!$G$8,E414)),1,0)))&gt;0,1,0))</f>
        <v/>
      </c>
      <c r="N414" s="12">
        <f>IF(H414&lt;&gt;1,0,IF((IF(Classifiers!$B$9="",0,IF(ISNUMBER(SEARCH(Classifiers!$B$9,E414)),1,0))+IF(Classifiers!$C$9="",0,IF(ISNUMBER(SEARCH(Classifiers!$C$9,E414)),1,0))+IF(Classifiers!$D$9="",0,IF(ISNUMBER(SEARCH(Classifiers!$D$9,E414)),1,0))+IF(Classifiers!$E$9="",0,IF(ISNUMBER(SEARCH(Classifiers!$E$9,E414)),1,0))+IF(Classifiers!$F$9="",0,IF(ISNUMBER(SEARCH(Classifiers!$F$9,E414)),1,0))+IF(Classifiers!$G$9="",0,IF(ISNUMBER(SEARCH(Classifiers!$G$9,E414)),1,0)))&gt;0,1,0))</f>
        <v/>
      </c>
      <c r="O414" s="12">
        <f>IF(H414&lt;&gt;1,0,IF((IF(Classifiers!$B$10="",0,IF(ISNUMBER(SEARCH(Classifiers!$B$10,E414)),1,0))+IF(Classifiers!$C$10="",0,IF(ISNUMBER(SEARCH(Classifiers!$C$10,E414)),1,0))+IF(Classifiers!$D$10="",0,IF(ISNUMBER(SEARCH(Classifiers!$D$10,E414)),1,0))+IF(Classifiers!$E$10="",0,IF(ISNUMBER(SEARCH(Classifiers!$E$10,E414)),1,0))+IF(Classifiers!$F$10="",0,IF(ISNUMBER(SEARCH(Classifiers!$F$10,E414)),1,0))+IF(Classifiers!$G$10="",0,IF(ISNUMBER(SEARCH(Classifiers!$G$10,E414)),1,0)))&gt;0,1,0))</f>
        <v/>
      </c>
      <c r="P414" s="12">
        <f>IF(H414&lt;&gt;1,0,IF((IF(Classifiers!$B$11="",0,IF(ISNUMBER(SEARCH(Classifiers!$B$11,E414)),1,0))+IF(Classifiers!$C$11="",0,IF(ISNUMBER(SEARCH(Classifiers!$C$11,E414)),1,0))+IF(Classifiers!$D$11="",0,IF(ISNUMBER(SEARCH(Classifiers!$D$11,E414)),1,0))+IF(Classifiers!$E$11="",0,IF(ISNUMBER(SEARCH(Classifiers!$E$11,E414)),1,0))+IF(Classifiers!$F$11="",0,IF(ISNUMBER(SEARCH(Classifiers!$F$11,E414)),1,0))+IF(Classifiers!$G$11="",0,IF(ISNUMBER(SEARCH(Classifiers!$G$11,E414)),1,0)))&gt;0,1,0))</f>
        <v/>
      </c>
      <c r="Q414" s="12">
        <f>IF(H414&lt;&gt;1,0,IF((IF(Classifiers!$B$12="",0,IF(ISNUMBER(SEARCH(Classifiers!$B$12,E414)),1,0))+IF(Classifiers!$C$12="",0,IF(ISNUMBER(SEARCH(Classifiers!$C$12,E414)),1,0))+IF(Classifiers!$D$12="",0,IF(ISNUMBER(SEARCH(Classifiers!$D$12,E414)),1,0))+IF(Classifiers!$E$12="",0,IF(ISNUMBER(SEARCH(Classifiers!$E$12,E414)),1,0))+IF(Classifiers!$F$12="",0,IF(ISNUMBER(SEARCH(Classifiers!$F$12,E414)),1,0))+IF(Classifiers!$G$12="",0,IF(ISNUMBER(SEARCH(Classifiers!$G$12,E414)),1,0)))&gt;0,1,0))</f>
        <v/>
      </c>
      <c r="R414" s="12">
        <f>IF(H414&lt;&gt;1,0,IF((IF(Classifiers!$B$13="",0,IF(ISNUMBER(SEARCH(Classifiers!$B$13,E414)),1,0))+IF(Classifiers!$C$13="",0,IF(ISNUMBER(SEARCH(Classifiers!$C$13,E414)),1,0))+IF(Classifiers!$D$13="",0,IF(ISNUMBER(SEARCH(Classifiers!$D$13,E414)),1,0))+IF(Classifiers!$E$13="",0,IF(ISNUMBER(SEARCH(Classifiers!$E$13,E414)),1,0))+IF(Classifiers!$F$13="",0,IF(ISNUMBER(SEARCH(Classifiers!$F$13,E414)),1,0))+IF(Classifiers!$G$13="",0,IF(ISNUMBER(SEARCH(Classifiers!$G$13,E414)),1,0)))&gt;0,1,0))</f>
        <v/>
      </c>
      <c r="S414" s="12">
        <f>IF(H414&lt;&gt;1,0,IF((IF(Classifiers!$B$14="",0,IF(ISNUMBER(SEARCH(Classifiers!$B$14,E414)),1,0))+IF(Classifiers!$C$14="",0,IF(ISNUMBER(SEARCH(Classifiers!$C$14,E414)),1,0))+IF(Classifiers!$D$14="",0,IF(ISNUMBER(SEARCH(Classifiers!$D$14,E414)),1,0))+IF(Classifiers!$E$14="",0,IF(ISNUMBER(SEARCH(Classifiers!$E$14,E414)),1,0))+IF(Classifiers!$F$14="",0,IF(ISNUMBER(SEARCH(Classifiers!$F$14,E414)),1,0))+IF(Classifiers!$G$14="",0,IF(ISNUMBER(SEARCH(Classifiers!$G$14,E414)),1,0)))&gt;0,1,0))</f>
        <v/>
      </c>
      <c r="T414" s="12">
        <f>IF(H414&lt;&gt;1,0,IF((IF(Classifiers!$B$15="",0,IF(ISNUMBER(SEARCH(Classifiers!$B$15,E414)),1,0))+IF(Classifiers!$C$15="",0,IF(ISNUMBER(SEARCH(Classifiers!$C$15,E414)),1,0))+IF(Classifiers!$D$15="",0,IF(ISNUMBER(SEARCH(Classifiers!$D$15,E414)),1,0))+IF(Classifiers!$E$15="",0,IF(ISNUMBER(SEARCH(Classifiers!$E$15,E414)),1,0))+IF(Classifiers!$F$15="",0,IF(ISNUMBER(SEARCH(Classifiers!$F$15,E414)),1,0))+IF(Classifiers!$G$15="",0,IF(ISNUMBER(SEARCH(Classifiers!$G$15,E414)),1,0)))&gt;0,1,0))</f>
        <v/>
      </c>
      <c r="U414" s="12">
        <f>IF(H414&lt;&gt;1,0,IF((IF(Classifiers!$B$16="",0,IF(ISNUMBER(SEARCH(Classifiers!$B$16,E414)),1,0))+IF(Classifiers!$C$16="",0,IF(ISNUMBER(SEARCH(Classifiers!$C$16,E414)),1,0))+IF(Classifiers!$D$16="",0,IF(ISNUMBER(SEARCH(Classifiers!$D$16,E414)),1,0))+IF(Classifiers!$E$16="",0,IF(ISNUMBER(SEARCH(Classifiers!$E$16,E414)),1,0))+IF(Classifiers!$F$16="",0,IF(ISNUMBER(SEARCH(Classifiers!$F$16,E414)),1,0))+IF(Classifiers!$G$16="",0,IF(ISNUMBER(SEARCH(Classifiers!$G$16,E414)),1,0)))&gt;0,1,0))</f>
        <v/>
      </c>
      <c r="V414" s="12">
        <f>IF(H414&lt;&gt;1,0,IF((IF(Classifiers!$B$17="",0,IF(ISNUMBER(SEARCH(Classifiers!$B$17,E414)),1,0))+IF(Classifiers!$C$17="",0,IF(ISNUMBER(SEARCH(Classifiers!$C$17,E414)),1,0))+IF(Classifiers!$D$17="",0,IF(ISNUMBER(SEARCH(Classifiers!$D$17,E414)),1,0))+IF(Classifiers!$E$17="",0,IF(ISNUMBER(SEARCH(Classifiers!$E$17,E414)),1,0))+IF(Classifiers!$F$17="",0,IF(ISNUMBER(SEARCH(Classifiers!$F$17,E414)),1,0))+IF(Classifiers!$G$17="",0,IF(ISNUMBER(SEARCH(Classifiers!$G$17,E414)),1,0)))&gt;0,1,0))</f>
        <v/>
      </c>
      <c r="W414" s="12">
        <f>IF(H414&lt;&gt;1,0,IF((IF(Classifiers!$B$18="",0,IF(ISNUMBER(SEARCH(Classifiers!$B$18,E414)),1,0))+IF(Classifiers!$C$18="",0,IF(ISNUMBER(SEARCH(Classifiers!$C$18,E414)),1,0))+IF(Classifiers!$D$18="",0,IF(ISNUMBER(SEARCH(Classifiers!$D$18,E414)),1,0))+IF(Classifiers!$E$18="",0,IF(ISNUMBER(SEARCH(Classifiers!$E$18,E414)),1,0))+IF(Classifiers!$F$18="",0,IF(ISNUMBER(SEARCH(Classifiers!$F$18,E414)),1,0))+IF(Classifiers!$G$18="",0,IF(ISNUMBER(SEARCH(Classifiers!$G$18,E414)),1,0)))&gt;0,1,0))</f>
        <v/>
      </c>
    </row>
    <row r="415">
      <c r="A415" s="8" t="n"/>
      <c r="B415" s="11" t="n"/>
      <c r="C415" s="6">
        <f>IF(A415="","",TRIM(RIGHT(SUBSTITUTE(A415,"/",REPT(" ",250)),250)))</f>
        <v/>
      </c>
      <c r="D415" s="6">
        <f>IF(C415="","",IF(ISNUMBER(SEARCH(".",C415)),LOWER("."&amp;TRIM(RIGHT(SUBSTITUTE(C415,".",REPT(" ",250)),250))),""))</f>
        <v/>
      </c>
      <c r="E415" s="6">
        <f>IF(C415="","",TRIM(SUBSTITUTE(SUBSTITUTE(SUBSTITUTE(SUBSTITUTE(SUBSTITUTE(SUBSTITUTE(SUBSTITUTE(SUBSTITUTE(SUBSTITUTE(SUBSTITUTE(SUBSTITUTE(SUBSTITUTE(SUBSTITUTE(SUBSTITUTE(SUBSTITUTE(SUBSTITUTE(SUBSTITUTE(SUBSTITUTE(SUBSTITUTE(SUBSTITUTE(LOWER(LEFT(C415,LEN(C415)-LEN(D415))),"_"," "),"-"," "),"."," "),","," "),"("," "),")"," "),"["," "),"]"," "),"&amp;"," "),"+"," "),"@"," "),"#"," "),"!"," "),"'"," "),"/"," "),":"," "),";"," "),"="," "),"~"," "),"%"," ")))</f>
        <v/>
      </c>
      <c r="F415" s="6">
        <f>IF(C415="","",IF(COUNTIF(Classifiers!$A$23:$A$40,D415)&gt;0,1,0))</f>
        <v/>
      </c>
      <c r="G415" s="6">
        <f>IF(C415="","",IF(COUNTIF(Classifiers!$C$23:$C$30,D415)&gt;0,IF((IF(ISNUMBER(SEARCH(Classifiers!$E$23,E415)),1,0)+IF(ISNUMBER(SEARCH(Classifiers!$E$24,E415)),1,0)+IF(ISNUMBER(SEARCH(Classifiers!$E$25,E415)),1,0)+IF(ISNUMBER(SEARCH(Classifiers!$E$26,E415)),1,0)+IF(ISNUMBER(SEARCH(Classifiers!$E$27,E415)),1,0)+IF(ISNUMBER(SEARCH(Classifiers!$E$28,E415)),1,0)+IF(ISNUMBER(SEARCH(Classifiers!$E$29,E415)),1,0)+IF(ISNUMBER(SEARCH(Classifiers!$E$30,E415)),1,0))&gt;0,1,0),0))</f>
        <v/>
      </c>
      <c r="H415" s="6">
        <f>IF(C415="","",IF(OR(LEFT(C415,1)=".",AND(F415=0,G415=0)),0,1))</f>
        <v/>
      </c>
      <c r="I415" s="6">
        <f>IF(H415&lt;&gt;1,"",IF(SUM(J415:W415)=0,"unclassified",INDEX(Classifiers!$A$5:$A$18,MATCH(1,J415:W415,0),1)))</f>
        <v/>
      </c>
      <c r="J415" s="12">
        <f>IF(H415&lt;&gt;1,0,IF((IF(Classifiers!$B$5="",0,IF(ISNUMBER(SEARCH(Classifiers!$B$5,E415)),1,0))+IF(Classifiers!$C$5="",0,IF(ISNUMBER(SEARCH(Classifiers!$C$5,E415)),1,0))+IF(Classifiers!$D$5="",0,IF(ISNUMBER(SEARCH(Classifiers!$D$5,E415)),1,0))+IF(Classifiers!$E$5="",0,IF(ISNUMBER(SEARCH(Classifiers!$E$5,E415)),1,0))+IF(Classifiers!$F$5="",0,IF(ISNUMBER(SEARCH(Classifiers!$F$5,E415)),1,0))+IF(Classifiers!$G$5="",0,IF(ISNUMBER(SEARCH(Classifiers!$G$5,E415)),1,0)))&gt;0,1,0))</f>
        <v/>
      </c>
      <c r="K415" s="12">
        <f>IF(H415&lt;&gt;1,0,IF((IF(Classifiers!$B$6="",0,IF(ISNUMBER(SEARCH(Classifiers!$B$6,E415)),1,0))+IF(Classifiers!$C$6="",0,IF(ISNUMBER(SEARCH(Classifiers!$C$6,E415)),1,0))+IF(Classifiers!$D$6="",0,IF(ISNUMBER(SEARCH(Classifiers!$D$6,E415)),1,0))+IF(Classifiers!$E$6="",0,IF(ISNUMBER(SEARCH(Classifiers!$E$6,E415)),1,0))+IF(Classifiers!$F$6="",0,IF(ISNUMBER(SEARCH(Classifiers!$F$6,E415)),1,0))+IF(Classifiers!$G$6="",0,IF(ISNUMBER(SEARCH(Classifiers!$G$6,E415)),1,0)))&gt;0,1,0))</f>
        <v/>
      </c>
      <c r="L415" s="12">
        <f>IF(H415&lt;&gt;1,0,IF((IF(Classifiers!$B$7="",0,IF(ISNUMBER(SEARCH(Classifiers!$B$7,E415)),1,0))+IF(Classifiers!$C$7="",0,IF(ISNUMBER(SEARCH(Classifiers!$C$7,E415)),1,0))+IF(Classifiers!$D$7="",0,IF(ISNUMBER(SEARCH(Classifiers!$D$7,E415)),1,0))+IF(Classifiers!$E$7="",0,IF(ISNUMBER(SEARCH(Classifiers!$E$7,E415)),1,0))+IF(Classifiers!$F$7="",0,IF(ISNUMBER(SEARCH(Classifiers!$F$7,E415)),1,0))+IF(Classifiers!$G$7="",0,IF(ISNUMBER(SEARCH(Classifiers!$G$7,E415)),1,0)))&gt;0,1,0))</f>
        <v/>
      </c>
      <c r="M415" s="12">
        <f>IF(H415&lt;&gt;1,0,IF((IF(Classifiers!$B$8="",0,IF(ISNUMBER(SEARCH(Classifiers!$B$8,E415)),1,0))+IF(Classifiers!$C$8="",0,IF(ISNUMBER(SEARCH(Classifiers!$C$8,E415)),1,0))+IF(Classifiers!$D$8="",0,IF(ISNUMBER(SEARCH(Classifiers!$D$8,E415)),1,0))+IF(Classifiers!$E$8="",0,IF(ISNUMBER(SEARCH(Classifiers!$E$8,E415)),1,0))+IF(Classifiers!$F$8="",0,IF(ISNUMBER(SEARCH(Classifiers!$F$8,E415)),1,0))+IF(Classifiers!$G$8="",0,IF(ISNUMBER(SEARCH(Classifiers!$G$8,E415)),1,0)))&gt;0,1,0))</f>
        <v/>
      </c>
      <c r="N415" s="12">
        <f>IF(H415&lt;&gt;1,0,IF((IF(Classifiers!$B$9="",0,IF(ISNUMBER(SEARCH(Classifiers!$B$9,E415)),1,0))+IF(Classifiers!$C$9="",0,IF(ISNUMBER(SEARCH(Classifiers!$C$9,E415)),1,0))+IF(Classifiers!$D$9="",0,IF(ISNUMBER(SEARCH(Classifiers!$D$9,E415)),1,0))+IF(Classifiers!$E$9="",0,IF(ISNUMBER(SEARCH(Classifiers!$E$9,E415)),1,0))+IF(Classifiers!$F$9="",0,IF(ISNUMBER(SEARCH(Classifiers!$F$9,E415)),1,0))+IF(Classifiers!$G$9="",0,IF(ISNUMBER(SEARCH(Classifiers!$G$9,E415)),1,0)))&gt;0,1,0))</f>
        <v/>
      </c>
      <c r="O415" s="12">
        <f>IF(H415&lt;&gt;1,0,IF((IF(Classifiers!$B$10="",0,IF(ISNUMBER(SEARCH(Classifiers!$B$10,E415)),1,0))+IF(Classifiers!$C$10="",0,IF(ISNUMBER(SEARCH(Classifiers!$C$10,E415)),1,0))+IF(Classifiers!$D$10="",0,IF(ISNUMBER(SEARCH(Classifiers!$D$10,E415)),1,0))+IF(Classifiers!$E$10="",0,IF(ISNUMBER(SEARCH(Classifiers!$E$10,E415)),1,0))+IF(Classifiers!$F$10="",0,IF(ISNUMBER(SEARCH(Classifiers!$F$10,E415)),1,0))+IF(Classifiers!$G$10="",0,IF(ISNUMBER(SEARCH(Classifiers!$G$10,E415)),1,0)))&gt;0,1,0))</f>
        <v/>
      </c>
      <c r="P415" s="12">
        <f>IF(H415&lt;&gt;1,0,IF((IF(Classifiers!$B$11="",0,IF(ISNUMBER(SEARCH(Classifiers!$B$11,E415)),1,0))+IF(Classifiers!$C$11="",0,IF(ISNUMBER(SEARCH(Classifiers!$C$11,E415)),1,0))+IF(Classifiers!$D$11="",0,IF(ISNUMBER(SEARCH(Classifiers!$D$11,E415)),1,0))+IF(Classifiers!$E$11="",0,IF(ISNUMBER(SEARCH(Classifiers!$E$11,E415)),1,0))+IF(Classifiers!$F$11="",0,IF(ISNUMBER(SEARCH(Classifiers!$F$11,E415)),1,0))+IF(Classifiers!$G$11="",0,IF(ISNUMBER(SEARCH(Classifiers!$G$11,E415)),1,0)))&gt;0,1,0))</f>
        <v/>
      </c>
      <c r="Q415" s="12">
        <f>IF(H415&lt;&gt;1,0,IF((IF(Classifiers!$B$12="",0,IF(ISNUMBER(SEARCH(Classifiers!$B$12,E415)),1,0))+IF(Classifiers!$C$12="",0,IF(ISNUMBER(SEARCH(Classifiers!$C$12,E415)),1,0))+IF(Classifiers!$D$12="",0,IF(ISNUMBER(SEARCH(Classifiers!$D$12,E415)),1,0))+IF(Classifiers!$E$12="",0,IF(ISNUMBER(SEARCH(Classifiers!$E$12,E415)),1,0))+IF(Classifiers!$F$12="",0,IF(ISNUMBER(SEARCH(Classifiers!$F$12,E415)),1,0))+IF(Classifiers!$G$12="",0,IF(ISNUMBER(SEARCH(Classifiers!$G$12,E415)),1,0)))&gt;0,1,0))</f>
        <v/>
      </c>
      <c r="R415" s="12">
        <f>IF(H415&lt;&gt;1,0,IF((IF(Classifiers!$B$13="",0,IF(ISNUMBER(SEARCH(Classifiers!$B$13,E415)),1,0))+IF(Classifiers!$C$13="",0,IF(ISNUMBER(SEARCH(Classifiers!$C$13,E415)),1,0))+IF(Classifiers!$D$13="",0,IF(ISNUMBER(SEARCH(Classifiers!$D$13,E415)),1,0))+IF(Classifiers!$E$13="",0,IF(ISNUMBER(SEARCH(Classifiers!$E$13,E415)),1,0))+IF(Classifiers!$F$13="",0,IF(ISNUMBER(SEARCH(Classifiers!$F$13,E415)),1,0))+IF(Classifiers!$G$13="",0,IF(ISNUMBER(SEARCH(Classifiers!$G$13,E415)),1,0)))&gt;0,1,0))</f>
        <v/>
      </c>
      <c r="S415" s="12">
        <f>IF(H415&lt;&gt;1,0,IF((IF(Classifiers!$B$14="",0,IF(ISNUMBER(SEARCH(Classifiers!$B$14,E415)),1,0))+IF(Classifiers!$C$14="",0,IF(ISNUMBER(SEARCH(Classifiers!$C$14,E415)),1,0))+IF(Classifiers!$D$14="",0,IF(ISNUMBER(SEARCH(Classifiers!$D$14,E415)),1,0))+IF(Classifiers!$E$14="",0,IF(ISNUMBER(SEARCH(Classifiers!$E$14,E415)),1,0))+IF(Classifiers!$F$14="",0,IF(ISNUMBER(SEARCH(Classifiers!$F$14,E415)),1,0))+IF(Classifiers!$G$14="",0,IF(ISNUMBER(SEARCH(Classifiers!$G$14,E415)),1,0)))&gt;0,1,0))</f>
        <v/>
      </c>
      <c r="T415" s="12">
        <f>IF(H415&lt;&gt;1,0,IF((IF(Classifiers!$B$15="",0,IF(ISNUMBER(SEARCH(Classifiers!$B$15,E415)),1,0))+IF(Classifiers!$C$15="",0,IF(ISNUMBER(SEARCH(Classifiers!$C$15,E415)),1,0))+IF(Classifiers!$D$15="",0,IF(ISNUMBER(SEARCH(Classifiers!$D$15,E415)),1,0))+IF(Classifiers!$E$15="",0,IF(ISNUMBER(SEARCH(Classifiers!$E$15,E415)),1,0))+IF(Classifiers!$F$15="",0,IF(ISNUMBER(SEARCH(Classifiers!$F$15,E415)),1,0))+IF(Classifiers!$G$15="",0,IF(ISNUMBER(SEARCH(Classifiers!$G$15,E415)),1,0)))&gt;0,1,0))</f>
        <v/>
      </c>
      <c r="U415" s="12">
        <f>IF(H415&lt;&gt;1,0,IF((IF(Classifiers!$B$16="",0,IF(ISNUMBER(SEARCH(Classifiers!$B$16,E415)),1,0))+IF(Classifiers!$C$16="",0,IF(ISNUMBER(SEARCH(Classifiers!$C$16,E415)),1,0))+IF(Classifiers!$D$16="",0,IF(ISNUMBER(SEARCH(Classifiers!$D$16,E415)),1,0))+IF(Classifiers!$E$16="",0,IF(ISNUMBER(SEARCH(Classifiers!$E$16,E415)),1,0))+IF(Classifiers!$F$16="",0,IF(ISNUMBER(SEARCH(Classifiers!$F$16,E415)),1,0))+IF(Classifiers!$G$16="",0,IF(ISNUMBER(SEARCH(Classifiers!$G$16,E415)),1,0)))&gt;0,1,0))</f>
        <v/>
      </c>
      <c r="V415" s="12">
        <f>IF(H415&lt;&gt;1,0,IF((IF(Classifiers!$B$17="",0,IF(ISNUMBER(SEARCH(Classifiers!$B$17,E415)),1,0))+IF(Classifiers!$C$17="",0,IF(ISNUMBER(SEARCH(Classifiers!$C$17,E415)),1,0))+IF(Classifiers!$D$17="",0,IF(ISNUMBER(SEARCH(Classifiers!$D$17,E415)),1,0))+IF(Classifiers!$E$17="",0,IF(ISNUMBER(SEARCH(Classifiers!$E$17,E415)),1,0))+IF(Classifiers!$F$17="",0,IF(ISNUMBER(SEARCH(Classifiers!$F$17,E415)),1,0))+IF(Classifiers!$G$17="",0,IF(ISNUMBER(SEARCH(Classifiers!$G$17,E415)),1,0)))&gt;0,1,0))</f>
        <v/>
      </c>
      <c r="W415" s="12">
        <f>IF(H415&lt;&gt;1,0,IF((IF(Classifiers!$B$18="",0,IF(ISNUMBER(SEARCH(Classifiers!$B$18,E415)),1,0))+IF(Classifiers!$C$18="",0,IF(ISNUMBER(SEARCH(Classifiers!$C$18,E415)),1,0))+IF(Classifiers!$D$18="",0,IF(ISNUMBER(SEARCH(Classifiers!$D$18,E415)),1,0))+IF(Classifiers!$E$18="",0,IF(ISNUMBER(SEARCH(Classifiers!$E$18,E415)),1,0))+IF(Classifiers!$F$18="",0,IF(ISNUMBER(SEARCH(Classifiers!$F$18,E415)),1,0))+IF(Classifiers!$G$18="",0,IF(ISNUMBER(SEARCH(Classifiers!$G$18,E415)),1,0)))&gt;0,1,0))</f>
        <v/>
      </c>
    </row>
    <row r="416">
      <c r="A416" s="8" t="n"/>
      <c r="B416" s="11" t="n"/>
      <c r="C416" s="6">
        <f>IF(A416="","",TRIM(RIGHT(SUBSTITUTE(A416,"/",REPT(" ",250)),250)))</f>
        <v/>
      </c>
      <c r="D416" s="6">
        <f>IF(C416="","",IF(ISNUMBER(SEARCH(".",C416)),LOWER("."&amp;TRIM(RIGHT(SUBSTITUTE(C416,".",REPT(" ",250)),250))),""))</f>
        <v/>
      </c>
      <c r="E416" s="6">
        <f>IF(C416="","",TRIM(SUBSTITUTE(SUBSTITUTE(SUBSTITUTE(SUBSTITUTE(SUBSTITUTE(SUBSTITUTE(SUBSTITUTE(SUBSTITUTE(SUBSTITUTE(SUBSTITUTE(SUBSTITUTE(SUBSTITUTE(SUBSTITUTE(SUBSTITUTE(SUBSTITUTE(SUBSTITUTE(SUBSTITUTE(SUBSTITUTE(SUBSTITUTE(SUBSTITUTE(LOWER(LEFT(C416,LEN(C416)-LEN(D416))),"_"," "),"-"," "),"."," "),","," "),"("," "),")"," "),"["," "),"]"," "),"&amp;"," "),"+"," "),"@"," "),"#"," "),"!"," "),"'"," "),"/"," "),":"," "),";"," "),"="," "),"~"," "),"%"," ")))</f>
        <v/>
      </c>
      <c r="F416" s="6">
        <f>IF(C416="","",IF(COUNTIF(Classifiers!$A$23:$A$40,D416)&gt;0,1,0))</f>
        <v/>
      </c>
      <c r="G416" s="6">
        <f>IF(C416="","",IF(COUNTIF(Classifiers!$C$23:$C$30,D416)&gt;0,IF((IF(ISNUMBER(SEARCH(Classifiers!$E$23,E416)),1,0)+IF(ISNUMBER(SEARCH(Classifiers!$E$24,E416)),1,0)+IF(ISNUMBER(SEARCH(Classifiers!$E$25,E416)),1,0)+IF(ISNUMBER(SEARCH(Classifiers!$E$26,E416)),1,0)+IF(ISNUMBER(SEARCH(Classifiers!$E$27,E416)),1,0)+IF(ISNUMBER(SEARCH(Classifiers!$E$28,E416)),1,0)+IF(ISNUMBER(SEARCH(Classifiers!$E$29,E416)),1,0)+IF(ISNUMBER(SEARCH(Classifiers!$E$30,E416)),1,0))&gt;0,1,0),0))</f>
        <v/>
      </c>
      <c r="H416" s="6">
        <f>IF(C416="","",IF(OR(LEFT(C416,1)=".",AND(F416=0,G416=0)),0,1))</f>
        <v/>
      </c>
      <c r="I416" s="6">
        <f>IF(H416&lt;&gt;1,"",IF(SUM(J416:W416)=0,"unclassified",INDEX(Classifiers!$A$5:$A$18,MATCH(1,J416:W416,0),1)))</f>
        <v/>
      </c>
      <c r="J416" s="12">
        <f>IF(H416&lt;&gt;1,0,IF((IF(Classifiers!$B$5="",0,IF(ISNUMBER(SEARCH(Classifiers!$B$5,E416)),1,0))+IF(Classifiers!$C$5="",0,IF(ISNUMBER(SEARCH(Classifiers!$C$5,E416)),1,0))+IF(Classifiers!$D$5="",0,IF(ISNUMBER(SEARCH(Classifiers!$D$5,E416)),1,0))+IF(Classifiers!$E$5="",0,IF(ISNUMBER(SEARCH(Classifiers!$E$5,E416)),1,0))+IF(Classifiers!$F$5="",0,IF(ISNUMBER(SEARCH(Classifiers!$F$5,E416)),1,0))+IF(Classifiers!$G$5="",0,IF(ISNUMBER(SEARCH(Classifiers!$G$5,E416)),1,0)))&gt;0,1,0))</f>
        <v/>
      </c>
      <c r="K416" s="12">
        <f>IF(H416&lt;&gt;1,0,IF((IF(Classifiers!$B$6="",0,IF(ISNUMBER(SEARCH(Classifiers!$B$6,E416)),1,0))+IF(Classifiers!$C$6="",0,IF(ISNUMBER(SEARCH(Classifiers!$C$6,E416)),1,0))+IF(Classifiers!$D$6="",0,IF(ISNUMBER(SEARCH(Classifiers!$D$6,E416)),1,0))+IF(Classifiers!$E$6="",0,IF(ISNUMBER(SEARCH(Classifiers!$E$6,E416)),1,0))+IF(Classifiers!$F$6="",0,IF(ISNUMBER(SEARCH(Classifiers!$F$6,E416)),1,0))+IF(Classifiers!$G$6="",0,IF(ISNUMBER(SEARCH(Classifiers!$G$6,E416)),1,0)))&gt;0,1,0))</f>
        <v/>
      </c>
      <c r="L416" s="12">
        <f>IF(H416&lt;&gt;1,0,IF((IF(Classifiers!$B$7="",0,IF(ISNUMBER(SEARCH(Classifiers!$B$7,E416)),1,0))+IF(Classifiers!$C$7="",0,IF(ISNUMBER(SEARCH(Classifiers!$C$7,E416)),1,0))+IF(Classifiers!$D$7="",0,IF(ISNUMBER(SEARCH(Classifiers!$D$7,E416)),1,0))+IF(Classifiers!$E$7="",0,IF(ISNUMBER(SEARCH(Classifiers!$E$7,E416)),1,0))+IF(Classifiers!$F$7="",0,IF(ISNUMBER(SEARCH(Classifiers!$F$7,E416)),1,0))+IF(Classifiers!$G$7="",0,IF(ISNUMBER(SEARCH(Classifiers!$G$7,E416)),1,0)))&gt;0,1,0))</f>
        <v/>
      </c>
      <c r="M416" s="12">
        <f>IF(H416&lt;&gt;1,0,IF((IF(Classifiers!$B$8="",0,IF(ISNUMBER(SEARCH(Classifiers!$B$8,E416)),1,0))+IF(Classifiers!$C$8="",0,IF(ISNUMBER(SEARCH(Classifiers!$C$8,E416)),1,0))+IF(Classifiers!$D$8="",0,IF(ISNUMBER(SEARCH(Classifiers!$D$8,E416)),1,0))+IF(Classifiers!$E$8="",0,IF(ISNUMBER(SEARCH(Classifiers!$E$8,E416)),1,0))+IF(Classifiers!$F$8="",0,IF(ISNUMBER(SEARCH(Classifiers!$F$8,E416)),1,0))+IF(Classifiers!$G$8="",0,IF(ISNUMBER(SEARCH(Classifiers!$G$8,E416)),1,0)))&gt;0,1,0))</f>
        <v/>
      </c>
      <c r="N416" s="12">
        <f>IF(H416&lt;&gt;1,0,IF((IF(Classifiers!$B$9="",0,IF(ISNUMBER(SEARCH(Classifiers!$B$9,E416)),1,0))+IF(Classifiers!$C$9="",0,IF(ISNUMBER(SEARCH(Classifiers!$C$9,E416)),1,0))+IF(Classifiers!$D$9="",0,IF(ISNUMBER(SEARCH(Classifiers!$D$9,E416)),1,0))+IF(Classifiers!$E$9="",0,IF(ISNUMBER(SEARCH(Classifiers!$E$9,E416)),1,0))+IF(Classifiers!$F$9="",0,IF(ISNUMBER(SEARCH(Classifiers!$F$9,E416)),1,0))+IF(Classifiers!$G$9="",0,IF(ISNUMBER(SEARCH(Classifiers!$G$9,E416)),1,0)))&gt;0,1,0))</f>
        <v/>
      </c>
      <c r="O416" s="12">
        <f>IF(H416&lt;&gt;1,0,IF((IF(Classifiers!$B$10="",0,IF(ISNUMBER(SEARCH(Classifiers!$B$10,E416)),1,0))+IF(Classifiers!$C$10="",0,IF(ISNUMBER(SEARCH(Classifiers!$C$10,E416)),1,0))+IF(Classifiers!$D$10="",0,IF(ISNUMBER(SEARCH(Classifiers!$D$10,E416)),1,0))+IF(Classifiers!$E$10="",0,IF(ISNUMBER(SEARCH(Classifiers!$E$10,E416)),1,0))+IF(Classifiers!$F$10="",0,IF(ISNUMBER(SEARCH(Classifiers!$F$10,E416)),1,0))+IF(Classifiers!$G$10="",0,IF(ISNUMBER(SEARCH(Classifiers!$G$10,E416)),1,0)))&gt;0,1,0))</f>
        <v/>
      </c>
      <c r="P416" s="12">
        <f>IF(H416&lt;&gt;1,0,IF((IF(Classifiers!$B$11="",0,IF(ISNUMBER(SEARCH(Classifiers!$B$11,E416)),1,0))+IF(Classifiers!$C$11="",0,IF(ISNUMBER(SEARCH(Classifiers!$C$11,E416)),1,0))+IF(Classifiers!$D$11="",0,IF(ISNUMBER(SEARCH(Classifiers!$D$11,E416)),1,0))+IF(Classifiers!$E$11="",0,IF(ISNUMBER(SEARCH(Classifiers!$E$11,E416)),1,0))+IF(Classifiers!$F$11="",0,IF(ISNUMBER(SEARCH(Classifiers!$F$11,E416)),1,0))+IF(Classifiers!$G$11="",0,IF(ISNUMBER(SEARCH(Classifiers!$G$11,E416)),1,0)))&gt;0,1,0))</f>
        <v/>
      </c>
      <c r="Q416" s="12">
        <f>IF(H416&lt;&gt;1,0,IF((IF(Classifiers!$B$12="",0,IF(ISNUMBER(SEARCH(Classifiers!$B$12,E416)),1,0))+IF(Classifiers!$C$12="",0,IF(ISNUMBER(SEARCH(Classifiers!$C$12,E416)),1,0))+IF(Classifiers!$D$12="",0,IF(ISNUMBER(SEARCH(Classifiers!$D$12,E416)),1,0))+IF(Classifiers!$E$12="",0,IF(ISNUMBER(SEARCH(Classifiers!$E$12,E416)),1,0))+IF(Classifiers!$F$12="",0,IF(ISNUMBER(SEARCH(Classifiers!$F$12,E416)),1,0))+IF(Classifiers!$G$12="",0,IF(ISNUMBER(SEARCH(Classifiers!$G$12,E416)),1,0)))&gt;0,1,0))</f>
        <v/>
      </c>
      <c r="R416" s="12">
        <f>IF(H416&lt;&gt;1,0,IF((IF(Classifiers!$B$13="",0,IF(ISNUMBER(SEARCH(Classifiers!$B$13,E416)),1,0))+IF(Classifiers!$C$13="",0,IF(ISNUMBER(SEARCH(Classifiers!$C$13,E416)),1,0))+IF(Classifiers!$D$13="",0,IF(ISNUMBER(SEARCH(Classifiers!$D$13,E416)),1,0))+IF(Classifiers!$E$13="",0,IF(ISNUMBER(SEARCH(Classifiers!$E$13,E416)),1,0))+IF(Classifiers!$F$13="",0,IF(ISNUMBER(SEARCH(Classifiers!$F$13,E416)),1,0))+IF(Classifiers!$G$13="",0,IF(ISNUMBER(SEARCH(Classifiers!$G$13,E416)),1,0)))&gt;0,1,0))</f>
        <v/>
      </c>
      <c r="S416" s="12">
        <f>IF(H416&lt;&gt;1,0,IF((IF(Classifiers!$B$14="",0,IF(ISNUMBER(SEARCH(Classifiers!$B$14,E416)),1,0))+IF(Classifiers!$C$14="",0,IF(ISNUMBER(SEARCH(Classifiers!$C$14,E416)),1,0))+IF(Classifiers!$D$14="",0,IF(ISNUMBER(SEARCH(Classifiers!$D$14,E416)),1,0))+IF(Classifiers!$E$14="",0,IF(ISNUMBER(SEARCH(Classifiers!$E$14,E416)),1,0))+IF(Classifiers!$F$14="",0,IF(ISNUMBER(SEARCH(Classifiers!$F$14,E416)),1,0))+IF(Classifiers!$G$14="",0,IF(ISNUMBER(SEARCH(Classifiers!$G$14,E416)),1,0)))&gt;0,1,0))</f>
        <v/>
      </c>
      <c r="T416" s="12">
        <f>IF(H416&lt;&gt;1,0,IF((IF(Classifiers!$B$15="",0,IF(ISNUMBER(SEARCH(Classifiers!$B$15,E416)),1,0))+IF(Classifiers!$C$15="",0,IF(ISNUMBER(SEARCH(Classifiers!$C$15,E416)),1,0))+IF(Classifiers!$D$15="",0,IF(ISNUMBER(SEARCH(Classifiers!$D$15,E416)),1,0))+IF(Classifiers!$E$15="",0,IF(ISNUMBER(SEARCH(Classifiers!$E$15,E416)),1,0))+IF(Classifiers!$F$15="",0,IF(ISNUMBER(SEARCH(Classifiers!$F$15,E416)),1,0))+IF(Classifiers!$G$15="",0,IF(ISNUMBER(SEARCH(Classifiers!$G$15,E416)),1,0)))&gt;0,1,0))</f>
        <v/>
      </c>
      <c r="U416" s="12">
        <f>IF(H416&lt;&gt;1,0,IF((IF(Classifiers!$B$16="",0,IF(ISNUMBER(SEARCH(Classifiers!$B$16,E416)),1,0))+IF(Classifiers!$C$16="",0,IF(ISNUMBER(SEARCH(Classifiers!$C$16,E416)),1,0))+IF(Classifiers!$D$16="",0,IF(ISNUMBER(SEARCH(Classifiers!$D$16,E416)),1,0))+IF(Classifiers!$E$16="",0,IF(ISNUMBER(SEARCH(Classifiers!$E$16,E416)),1,0))+IF(Classifiers!$F$16="",0,IF(ISNUMBER(SEARCH(Classifiers!$F$16,E416)),1,0))+IF(Classifiers!$G$16="",0,IF(ISNUMBER(SEARCH(Classifiers!$G$16,E416)),1,0)))&gt;0,1,0))</f>
        <v/>
      </c>
      <c r="V416" s="12">
        <f>IF(H416&lt;&gt;1,0,IF((IF(Classifiers!$B$17="",0,IF(ISNUMBER(SEARCH(Classifiers!$B$17,E416)),1,0))+IF(Classifiers!$C$17="",0,IF(ISNUMBER(SEARCH(Classifiers!$C$17,E416)),1,0))+IF(Classifiers!$D$17="",0,IF(ISNUMBER(SEARCH(Classifiers!$D$17,E416)),1,0))+IF(Classifiers!$E$17="",0,IF(ISNUMBER(SEARCH(Classifiers!$E$17,E416)),1,0))+IF(Classifiers!$F$17="",0,IF(ISNUMBER(SEARCH(Classifiers!$F$17,E416)),1,0))+IF(Classifiers!$G$17="",0,IF(ISNUMBER(SEARCH(Classifiers!$G$17,E416)),1,0)))&gt;0,1,0))</f>
        <v/>
      </c>
      <c r="W416" s="12">
        <f>IF(H416&lt;&gt;1,0,IF((IF(Classifiers!$B$18="",0,IF(ISNUMBER(SEARCH(Classifiers!$B$18,E416)),1,0))+IF(Classifiers!$C$18="",0,IF(ISNUMBER(SEARCH(Classifiers!$C$18,E416)),1,0))+IF(Classifiers!$D$18="",0,IF(ISNUMBER(SEARCH(Classifiers!$D$18,E416)),1,0))+IF(Classifiers!$E$18="",0,IF(ISNUMBER(SEARCH(Classifiers!$E$18,E416)),1,0))+IF(Classifiers!$F$18="",0,IF(ISNUMBER(SEARCH(Classifiers!$F$18,E416)),1,0))+IF(Classifiers!$G$18="",0,IF(ISNUMBER(SEARCH(Classifiers!$G$18,E416)),1,0)))&gt;0,1,0))</f>
        <v/>
      </c>
    </row>
    <row r="417">
      <c r="A417" s="8" t="n"/>
      <c r="B417" s="11" t="n"/>
      <c r="C417" s="6">
        <f>IF(A417="","",TRIM(RIGHT(SUBSTITUTE(A417,"/",REPT(" ",250)),250)))</f>
        <v/>
      </c>
      <c r="D417" s="6">
        <f>IF(C417="","",IF(ISNUMBER(SEARCH(".",C417)),LOWER("."&amp;TRIM(RIGHT(SUBSTITUTE(C417,".",REPT(" ",250)),250))),""))</f>
        <v/>
      </c>
      <c r="E417" s="6">
        <f>IF(C417="","",TRIM(SUBSTITUTE(SUBSTITUTE(SUBSTITUTE(SUBSTITUTE(SUBSTITUTE(SUBSTITUTE(SUBSTITUTE(SUBSTITUTE(SUBSTITUTE(SUBSTITUTE(SUBSTITUTE(SUBSTITUTE(SUBSTITUTE(SUBSTITUTE(SUBSTITUTE(SUBSTITUTE(SUBSTITUTE(SUBSTITUTE(SUBSTITUTE(SUBSTITUTE(LOWER(LEFT(C417,LEN(C417)-LEN(D417))),"_"," "),"-"," "),"."," "),","," "),"("," "),")"," "),"["," "),"]"," "),"&amp;"," "),"+"," "),"@"," "),"#"," "),"!"," "),"'"," "),"/"," "),":"," "),";"," "),"="," "),"~"," "),"%"," ")))</f>
        <v/>
      </c>
      <c r="F417" s="6">
        <f>IF(C417="","",IF(COUNTIF(Classifiers!$A$23:$A$40,D417)&gt;0,1,0))</f>
        <v/>
      </c>
      <c r="G417" s="6">
        <f>IF(C417="","",IF(COUNTIF(Classifiers!$C$23:$C$30,D417)&gt;0,IF((IF(ISNUMBER(SEARCH(Classifiers!$E$23,E417)),1,0)+IF(ISNUMBER(SEARCH(Classifiers!$E$24,E417)),1,0)+IF(ISNUMBER(SEARCH(Classifiers!$E$25,E417)),1,0)+IF(ISNUMBER(SEARCH(Classifiers!$E$26,E417)),1,0)+IF(ISNUMBER(SEARCH(Classifiers!$E$27,E417)),1,0)+IF(ISNUMBER(SEARCH(Classifiers!$E$28,E417)),1,0)+IF(ISNUMBER(SEARCH(Classifiers!$E$29,E417)),1,0)+IF(ISNUMBER(SEARCH(Classifiers!$E$30,E417)),1,0))&gt;0,1,0),0))</f>
        <v/>
      </c>
      <c r="H417" s="6">
        <f>IF(C417="","",IF(OR(LEFT(C417,1)=".",AND(F417=0,G417=0)),0,1))</f>
        <v/>
      </c>
      <c r="I417" s="6">
        <f>IF(H417&lt;&gt;1,"",IF(SUM(J417:W417)=0,"unclassified",INDEX(Classifiers!$A$5:$A$18,MATCH(1,J417:W417,0),1)))</f>
        <v/>
      </c>
      <c r="J417" s="12">
        <f>IF(H417&lt;&gt;1,0,IF((IF(Classifiers!$B$5="",0,IF(ISNUMBER(SEARCH(Classifiers!$B$5,E417)),1,0))+IF(Classifiers!$C$5="",0,IF(ISNUMBER(SEARCH(Classifiers!$C$5,E417)),1,0))+IF(Classifiers!$D$5="",0,IF(ISNUMBER(SEARCH(Classifiers!$D$5,E417)),1,0))+IF(Classifiers!$E$5="",0,IF(ISNUMBER(SEARCH(Classifiers!$E$5,E417)),1,0))+IF(Classifiers!$F$5="",0,IF(ISNUMBER(SEARCH(Classifiers!$F$5,E417)),1,0))+IF(Classifiers!$G$5="",0,IF(ISNUMBER(SEARCH(Classifiers!$G$5,E417)),1,0)))&gt;0,1,0))</f>
        <v/>
      </c>
      <c r="K417" s="12">
        <f>IF(H417&lt;&gt;1,0,IF((IF(Classifiers!$B$6="",0,IF(ISNUMBER(SEARCH(Classifiers!$B$6,E417)),1,0))+IF(Classifiers!$C$6="",0,IF(ISNUMBER(SEARCH(Classifiers!$C$6,E417)),1,0))+IF(Classifiers!$D$6="",0,IF(ISNUMBER(SEARCH(Classifiers!$D$6,E417)),1,0))+IF(Classifiers!$E$6="",0,IF(ISNUMBER(SEARCH(Classifiers!$E$6,E417)),1,0))+IF(Classifiers!$F$6="",0,IF(ISNUMBER(SEARCH(Classifiers!$F$6,E417)),1,0))+IF(Classifiers!$G$6="",0,IF(ISNUMBER(SEARCH(Classifiers!$G$6,E417)),1,0)))&gt;0,1,0))</f>
        <v/>
      </c>
      <c r="L417" s="12">
        <f>IF(H417&lt;&gt;1,0,IF((IF(Classifiers!$B$7="",0,IF(ISNUMBER(SEARCH(Classifiers!$B$7,E417)),1,0))+IF(Classifiers!$C$7="",0,IF(ISNUMBER(SEARCH(Classifiers!$C$7,E417)),1,0))+IF(Classifiers!$D$7="",0,IF(ISNUMBER(SEARCH(Classifiers!$D$7,E417)),1,0))+IF(Classifiers!$E$7="",0,IF(ISNUMBER(SEARCH(Classifiers!$E$7,E417)),1,0))+IF(Classifiers!$F$7="",0,IF(ISNUMBER(SEARCH(Classifiers!$F$7,E417)),1,0))+IF(Classifiers!$G$7="",0,IF(ISNUMBER(SEARCH(Classifiers!$G$7,E417)),1,0)))&gt;0,1,0))</f>
        <v/>
      </c>
      <c r="M417" s="12">
        <f>IF(H417&lt;&gt;1,0,IF((IF(Classifiers!$B$8="",0,IF(ISNUMBER(SEARCH(Classifiers!$B$8,E417)),1,0))+IF(Classifiers!$C$8="",0,IF(ISNUMBER(SEARCH(Classifiers!$C$8,E417)),1,0))+IF(Classifiers!$D$8="",0,IF(ISNUMBER(SEARCH(Classifiers!$D$8,E417)),1,0))+IF(Classifiers!$E$8="",0,IF(ISNUMBER(SEARCH(Classifiers!$E$8,E417)),1,0))+IF(Classifiers!$F$8="",0,IF(ISNUMBER(SEARCH(Classifiers!$F$8,E417)),1,0))+IF(Classifiers!$G$8="",0,IF(ISNUMBER(SEARCH(Classifiers!$G$8,E417)),1,0)))&gt;0,1,0))</f>
        <v/>
      </c>
      <c r="N417" s="12">
        <f>IF(H417&lt;&gt;1,0,IF((IF(Classifiers!$B$9="",0,IF(ISNUMBER(SEARCH(Classifiers!$B$9,E417)),1,0))+IF(Classifiers!$C$9="",0,IF(ISNUMBER(SEARCH(Classifiers!$C$9,E417)),1,0))+IF(Classifiers!$D$9="",0,IF(ISNUMBER(SEARCH(Classifiers!$D$9,E417)),1,0))+IF(Classifiers!$E$9="",0,IF(ISNUMBER(SEARCH(Classifiers!$E$9,E417)),1,0))+IF(Classifiers!$F$9="",0,IF(ISNUMBER(SEARCH(Classifiers!$F$9,E417)),1,0))+IF(Classifiers!$G$9="",0,IF(ISNUMBER(SEARCH(Classifiers!$G$9,E417)),1,0)))&gt;0,1,0))</f>
        <v/>
      </c>
      <c r="O417" s="12">
        <f>IF(H417&lt;&gt;1,0,IF((IF(Classifiers!$B$10="",0,IF(ISNUMBER(SEARCH(Classifiers!$B$10,E417)),1,0))+IF(Classifiers!$C$10="",0,IF(ISNUMBER(SEARCH(Classifiers!$C$10,E417)),1,0))+IF(Classifiers!$D$10="",0,IF(ISNUMBER(SEARCH(Classifiers!$D$10,E417)),1,0))+IF(Classifiers!$E$10="",0,IF(ISNUMBER(SEARCH(Classifiers!$E$10,E417)),1,0))+IF(Classifiers!$F$10="",0,IF(ISNUMBER(SEARCH(Classifiers!$F$10,E417)),1,0))+IF(Classifiers!$G$10="",0,IF(ISNUMBER(SEARCH(Classifiers!$G$10,E417)),1,0)))&gt;0,1,0))</f>
        <v/>
      </c>
      <c r="P417" s="12">
        <f>IF(H417&lt;&gt;1,0,IF((IF(Classifiers!$B$11="",0,IF(ISNUMBER(SEARCH(Classifiers!$B$11,E417)),1,0))+IF(Classifiers!$C$11="",0,IF(ISNUMBER(SEARCH(Classifiers!$C$11,E417)),1,0))+IF(Classifiers!$D$11="",0,IF(ISNUMBER(SEARCH(Classifiers!$D$11,E417)),1,0))+IF(Classifiers!$E$11="",0,IF(ISNUMBER(SEARCH(Classifiers!$E$11,E417)),1,0))+IF(Classifiers!$F$11="",0,IF(ISNUMBER(SEARCH(Classifiers!$F$11,E417)),1,0))+IF(Classifiers!$G$11="",0,IF(ISNUMBER(SEARCH(Classifiers!$G$11,E417)),1,0)))&gt;0,1,0))</f>
        <v/>
      </c>
      <c r="Q417" s="12">
        <f>IF(H417&lt;&gt;1,0,IF((IF(Classifiers!$B$12="",0,IF(ISNUMBER(SEARCH(Classifiers!$B$12,E417)),1,0))+IF(Classifiers!$C$12="",0,IF(ISNUMBER(SEARCH(Classifiers!$C$12,E417)),1,0))+IF(Classifiers!$D$12="",0,IF(ISNUMBER(SEARCH(Classifiers!$D$12,E417)),1,0))+IF(Classifiers!$E$12="",0,IF(ISNUMBER(SEARCH(Classifiers!$E$12,E417)),1,0))+IF(Classifiers!$F$12="",0,IF(ISNUMBER(SEARCH(Classifiers!$F$12,E417)),1,0))+IF(Classifiers!$G$12="",0,IF(ISNUMBER(SEARCH(Classifiers!$G$12,E417)),1,0)))&gt;0,1,0))</f>
        <v/>
      </c>
      <c r="R417" s="12">
        <f>IF(H417&lt;&gt;1,0,IF((IF(Classifiers!$B$13="",0,IF(ISNUMBER(SEARCH(Classifiers!$B$13,E417)),1,0))+IF(Classifiers!$C$13="",0,IF(ISNUMBER(SEARCH(Classifiers!$C$13,E417)),1,0))+IF(Classifiers!$D$13="",0,IF(ISNUMBER(SEARCH(Classifiers!$D$13,E417)),1,0))+IF(Classifiers!$E$13="",0,IF(ISNUMBER(SEARCH(Classifiers!$E$13,E417)),1,0))+IF(Classifiers!$F$13="",0,IF(ISNUMBER(SEARCH(Classifiers!$F$13,E417)),1,0))+IF(Classifiers!$G$13="",0,IF(ISNUMBER(SEARCH(Classifiers!$G$13,E417)),1,0)))&gt;0,1,0))</f>
        <v/>
      </c>
      <c r="S417" s="12">
        <f>IF(H417&lt;&gt;1,0,IF((IF(Classifiers!$B$14="",0,IF(ISNUMBER(SEARCH(Classifiers!$B$14,E417)),1,0))+IF(Classifiers!$C$14="",0,IF(ISNUMBER(SEARCH(Classifiers!$C$14,E417)),1,0))+IF(Classifiers!$D$14="",0,IF(ISNUMBER(SEARCH(Classifiers!$D$14,E417)),1,0))+IF(Classifiers!$E$14="",0,IF(ISNUMBER(SEARCH(Classifiers!$E$14,E417)),1,0))+IF(Classifiers!$F$14="",0,IF(ISNUMBER(SEARCH(Classifiers!$F$14,E417)),1,0))+IF(Classifiers!$G$14="",0,IF(ISNUMBER(SEARCH(Classifiers!$G$14,E417)),1,0)))&gt;0,1,0))</f>
        <v/>
      </c>
      <c r="T417" s="12">
        <f>IF(H417&lt;&gt;1,0,IF((IF(Classifiers!$B$15="",0,IF(ISNUMBER(SEARCH(Classifiers!$B$15,E417)),1,0))+IF(Classifiers!$C$15="",0,IF(ISNUMBER(SEARCH(Classifiers!$C$15,E417)),1,0))+IF(Classifiers!$D$15="",0,IF(ISNUMBER(SEARCH(Classifiers!$D$15,E417)),1,0))+IF(Classifiers!$E$15="",0,IF(ISNUMBER(SEARCH(Classifiers!$E$15,E417)),1,0))+IF(Classifiers!$F$15="",0,IF(ISNUMBER(SEARCH(Classifiers!$F$15,E417)),1,0))+IF(Classifiers!$G$15="",0,IF(ISNUMBER(SEARCH(Classifiers!$G$15,E417)),1,0)))&gt;0,1,0))</f>
        <v/>
      </c>
      <c r="U417" s="12">
        <f>IF(H417&lt;&gt;1,0,IF((IF(Classifiers!$B$16="",0,IF(ISNUMBER(SEARCH(Classifiers!$B$16,E417)),1,0))+IF(Classifiers!$C$16="",0,IF(ISNUMBER(SEARCH(Classifiers!$C$16,E417)),1,0))+IF(Classifiers!$D$16="",0,IF(ISNUMBER(SEARCH(Classifiers!$D$16,E417)),1,0))+IF(Classifiers!$E$16="",0,IF(ISNUMBER(SEARCH(Classifiers!$E$16,E417)),1,0))+IF(Classifiers!$F$16="",0,IF(ISNUMBER(SEARCH(Classifiers!$F$16,E417)),1,0))+IF(Classifiers!$G$16="",0,IF(ISNUMBER(SEARCH(Classifiers!$G$16,E417)),1,0)))&gt;0,1,0))</f>
        <v/>
      </c>
      <c r="V417" s="12">
        <f>IF(H417&lt;&gt;1,0,IF((IF(Classifiers!$B$17="",0,IF(ISNUMBER(SEARCH(Classifiers!$B$17,E417)),1,0))+IF(Classifiers!$C$17="",0,IF(ISNUMBER(SEARCH(Classifiers!$C$17,E417)),1,0))+IF(Classifiers!$D$17="",0,IF(ISNUMBER(SEARCH(Classifiers!$D$17,E417)),1,0))+IF(Classifiers!$E$17="",0,IF(ISNUMBER(SEARCH(Classifiers!$E$17,E417)),1,0))+IF(Classifiers!$F$17="",0,IF(ISNUMBER(SEARCH(Classifiers!$F$17,E417)),1,0))+IF(Classifiers!$G$17="",0,IF(ISNUMBER(SEARCH(Classifiers!$G$17,E417)),1,0)))&gt;0,1,0))</f>
        <v/>
      </c>
      <c r="W417" s="12">
        <f>IF(H417&lt;&gt;1,0,IF((IF(Classifiers!$B$18="",0,IF(ISNUMBER(SEARCH(Classifiers!$B$18,E417)),1,0))+IF(Classifiers!$C$18="",0,IF(ISNUMBER(SEARCH(Classifiers!$C$18,E417)),1,0))+IF(Classifiers!$D$18="",0,IF(ISNUMBER(SEARCH(Classifiers!$D$18,E417)),1,0))+IF(Classifiers!$E$18="",0,IF(ISNUMBER(SEARCH(Classifiers!$E$18,E417)),1,0))+IF(Classifiers!$F$18="",0,IF(ISNUMBER(SEARCH(Classifiers!$F$18,E417)),1,0))+IF(Classifiers!$G$18="",0,IF(ISNUMBER(SEARCH(Classifiers!$G$18,E417)),1,0)))&gt;0,1,0))</f>
        <v/>
      </c>
    </row>
    <row r="418">
      <c r="A418" s="8" t="n"/>
      <c r="B418" s="11" t="n"/>
      <c r="C418" s="6">
        <f>IF(A418="","",TRIM(RIGHT(SUBSTITUTE(A418,"/",REPT(" ",250)),250)))</f>
        <v/>
      </c>
      <c r="D418" s="6">
        <f>IF(C418="","",IF(ISNUMBER(SEARCH(".",C418)),LOWER("."&amp;TRIM(RIGHT(SUBSTITUTE(C418,".",REPT(" ",250)),250))),""))</f>
        <v/>
      </c>
      <c r="E418" s="6">
        <f>IF(C418="","",TRIM(SUBSTITUTE(SUBSTITUTE(SUBSTITUTE(SUBSTITUTE(SUBSTITUTE(SUBSTITUTE(SUBSTITUTE(SUBSTITUTE(SUBSTITUTE(SUBSTITUTE(SUBSTITUTE(SUBSTITUTE(SUBSTITUTE(SUBSTITUTE(SUBSTITUTE(SUBSTITUTE(SUBSTITUTE(SUBSTITUTE(SUBSTITUTE(SUBSTITUTE(LOWER(LEFT(C418,LEN(C418)-LEN(D418))),"_"," "),"-"," "),"."," "),","," "),"("," "),")"," "),"["," "),"]"," "),"&amp;"," "),"+"," "),"@"," "),"#"," "),"!"," "),"'"," "),"/"," "),":"," "),";"," "),"="," "),"~"," "),"%"," ")))</f>
        <v/>
      </c>
      <c r="F418" s="6">
        <f>IF(C418="","",IF(COUNTIF(Classifiers!$A$23:$A$40,D418)&gt;0,1,0))</f>
        <v/>
      </c>
      <c r="G418" s="6">
        <f>IF(C418="","",IF(COUNTIF(Classifiers!$C$23:$C$30,D418)&gt;0,IF((IF(ISNUMBER(SEARCH(Classifiers!$E$23,E418)),1,0)+IF(ISNUMBER(SEARCH(Classifiers!$E$24,E418)),1,0)+IF(ISNUMBER(SEARCH(Classifiers!$E$25,E418)),1,0)+IF(ISNUMBER(SEARCH(Classifiers!$E$26,E418)),1,0)+IF(ISNUMBER(SEARCH(Classifiers!$E$27,E418)),1,0)+IF(ISNUMBER(SEARCH(Classifiers!$E$28,E418)),1,0)+IF(ISNUMBER(SEARCH(Classifiers!$E$29,E418)),1,0)+IF(ISNUMBER(SEARCH(Classifiers!$E$30,E418)),1,0))&gt;0,1,0),0))</f>
        <v/>
      </c>
      <c r="H418" s="6">
        <f>IF(C418="","",IF(OR(LEFT(C418,1)=".",AND(F418=0,G418=0)),0,1))</f>
        <v/>
      </c>
      <c r="I418" s="6">
        <f>IF(H418&lt;&gt;1,"",IF(SUM(J418:W418)=0,"unclassified",INDEX(Classifiers!$A$5:$A$18,MATCH(1,J418:W418,0),1)))</f>
        <v/>
      </c>
      <c r="J418" s="12">
        <f>IF(H418&lt;&gt;1,0,IF((IF(Classifiers!$B$5="",0,IF(ISNUMBER(SEARCH(Classifiers!$B$5,E418)),1,0))+IF(Classifiers!$C$5="",0,IF(ISNUMBER(SEARCH(Classifiers!$C$5,E418)),1,0))+IF(Classifiers!$D$5="",0,IF(ISNUMBER(SEARCH(Classifiers!$D$5,E418)),1,0))+IF(Classifiers!$E$5="",0,IF(ISNUMBER(SEARCH(Classifiers!$E$5,E418)),1,0))+IF(Classifiers!$F$5="",0,IF(ISNUMBER(SEARCH(Classifiers!$F$5,E418)),1,0))+IF(Classifiers!$G$5="",0,IF(ISNUMBER(SEARCH(Classifiers!$G$5,E418)),1,0)))&gt;0,1,0))</f>
        <v/>
      </c>
      <c r="K418" s="12">
        <f>IF(H418&lt;&gt;1,0,IF((IF(Classifiers!$B$6="",0,IF(ISNUMBER(SEARCH(Classifiers!$B$6,E418)),1,0))+IF(Classifiers!$C$6="",0,IF(ISNUMBER(SEARCH(Classifiers!$C$6,E418)),1,0))+IF(Classifiers!$D$6="",0,IF(ISNUMBER(SEARCH(Classifiers!$D$6,E418)),1,0))+IF(Classifiers!$E$6="",0,IF(ISNUMBER(SEARCH(Classifiers!$E$6,E418)),1,0))+IF(Classifiers!$F$6="",0,IF(ISNUMBER(SEARCH(Classifiers!$F$6,E418)),1,0))+IF(Classifiers!$G$6="",0,IF(ISNUMBER(SEARCH(Classifiers!$G$6,E418)),1,0)))&gt;0,1,0))</f>
        <v/>
      </c>
      <c r="L418" s="12">
        <f>IF(H418&lt;&gt;1,0,IF((IF(Classifiers!$B$7="",0,IF(ISNUMBER(SEARCH(Classifiers!$B$7,E418)),1,0))+IF(Classifiers!$C$7="",0,IF(ISNUMBER(SEARCH(Classifiers!$C$7,E418)),1,0))+IF(Classifiers!$D$7="",0,IF(ISNUMBER(SEARCH(Classifiers!$D$7,E418)),1,0))+IF(Classifiers!$E$7="",0,IF(ISNUMBER(SEARCH(Classifiers!$E$7,E418)),1,0))+IF(Classifiers!$F$7="",0,IF(ISNUMBER(SEARCH(Classifiers!$F$7,E418)),1,0))+IF(Classifiers!$G$7="",0,IF(ISNUMBER(SEARCH(Classifiers!$G$7,E418)),1,0)))&gt;0,1,0))</f>
        <v/>
      </c>
      <c r="M418" s="12">
        <f>IF(H418&lt;&gt;1,0,IF((IF(Classifiers!$B$8="",0,IF(ISNUMBER(SEARCH(Classifiers!$B$8,E418)),1,0))+IF(Classifiers!$C$8="",0,IF(ISNUMBER(SEARCH(Classifiers!$C$8,E418)),1,0))+IF(Classifiers!$D$8="",0,IF(ISNUMBER(SEARCH(Classifiers!$D$8,E418)),1,0))+IF(Classifiers!$E$8="",0,IF(ISNUMBER(SEARCH(Classifiers!$E$8,E418)),1,0))+IF(Classifiers!$F$8="",0,IF(ISNUMBER(SEARCH(Classifiers!$F$8,E418)),1,0))+IF(Classifiers!$G$8="",0,IF(ISNUMBER(SEARCH(Classifiers!$G$8,E418)),1,0)))&gt;0,1,0))</f>
        <v/>
      </c>
      <c r="N418" s="12">
        <f>IF(H418&lt;&gt;1,0,IF((IF(Classifiers!$B$9="",0,IF(ISNUMBER(SEARCH(Classifiers!$B$9,E418)),1,0))+IF(Classifiers!$C$9="",0,IF(ISNUMBER(SEARCH(Classifiers!$C$9,E418)),1,0))+IF(Classifiers!$D$9="",0,IF(ISNUMBER(SEARCH(Classifiers!$D$9,E418)),1,0))+IF(Classifiers!$E$9="",0,IF(ISNUMBER(SEARCH(Classifiers!$E$9,E418)),1,0))+IF(Classifiers!$F$9="",0,IF(ISNUMBER(SEARCH(Classifiers!$F$9,E418)),1,0))+IF(Classifiers!$G$9="",0,IF(ISNUMBER(SEARCH(Classifiers!$G$9,E418)),1,0)))&gt;0,1,0))</f>
        <v/>
      </c>
      <c r="O418" s="12">
        <f>IF(H418&lt;&gt;1,0,IF((IF(Classifiers!$B$10="",0,IF(ISNUMBER(SEARCH(Classifiers!$B$10,E418)),1,0))+IF(Classifiers!$C$10="",0,IF(ISNUMBER(SEARCH(Classifiers!$C$10,E418)),1,0))+IF(Classifiers!$D$10="",0,IF(ISNUMBER(SEARCH(Classifiers!$D$10,E418)),1,0))+IF(Classifiers!$E$10="",0,IF(ISNUMBER(SEARCH(Classifiers!$E$10,E418)),1,0))+IF(Classifiers!$F$10="",0,IF(ISNUMBER(SEARCH(Classifiers!$F$10,E418)),1,0))+IF(Classifiers!$G$10="",0,IF(ISNUMBER(SEARCH(Classifiers!$G$10,E418)),1,0)))&gt;0,1,0))</f>
        <v/>
      </c>
      <c r="P418" s="12">
        <f>IF(H418&lt;&gt;1,0,IF((IF(Classifiers!$B$11="",0,IF(ISNUMBER(SEARCH(Classifiers!$B$11,E418)),1,0))+IF(Classifiers!$C$11="",0,IF(ISNUMBER(SEARCH(Classifiers!$C$11,E418)),1,0))+IF(Classifiers!$D$11="",0,IF(ISNUMBER(SEARCH(Classifiers!$D$11,E418)),1,0))+IF(Classifiers!$E$11="",0,IF(ISNUMBER(SEARCH(Classifiers!$E$11,E418)),1,0))+IF(Classifiers!$F$11="",0,IF(ISNUMBER(SEARCH(Classifiers!$F$11,E418)),1,0))+IF(Classifiers!$G$11="",0,IF(ISNUMBER(SEARCH(Classifiers!$G$11,E418)),1,0)))&gt;0,1,0))</f>
        <v/>
      </c>
      <c r="Q418" s="12">
        <f>IF(H418&lt;&gt;1,0,IF((IF(Classifiers!$B$12="",0,IF(ISNUMBER(SEARCH(Classifiers!$B$12,E418)),1,0))+IF(Classifiers!$C$12="",0,IF(ISNUMBER(SEARCH(Classifiers!$C$12,E418)),1,0))+IF(Classifiers!$D$12="",0,IF(ISNUMBER(SEARCH(Classifiers!$D$12,E418)),1,0))+IF(Classifiers!$E$12="",0,IF(ISNUMBER(SEARCH(Classifiers!$E$12,E418)),1,0))+IF(Classifiers!$F$12="",0,IF(ISNUMBER(SEARCH(Classifiers!$F$12,E418)),1,0))+IF(Classifiers!$G$12="",0,IF(ISNUMBER(SEARCH(Classifiers!$G$12,E418)),1,0)))&gt;0,1,0))</f>
        <v/>
      </c>
      <c r="R418" s="12">
        <f>IF(H418&lt;&gt;1,0,IF((IF(Classifiers!$B$13="",0,IF(ISNUMBER(SEARCH(Classifiers!$B$13,E418)),1,0))+IF(Classifiers!$C$13="",0,IF(ISNUMBER(SEARCH(Classifiers!$C$13,E418)),1,0))+IF(Classifiers!$D$13="",0,IF(ISNUMBER(SEARCH(Classifiers!$D$13,E418)),1,0))+IF(Classifiers!$E$13="",0,IF(ISNUMBER(SEARCH(Classifiers!$E$13,E418)),1,0))+IF(Classifiers!$F$13="",0,IF(ISNUMBER(SEARCH(Classifiers!$F$13,E418)),1,0))+IF(Classifiers!$G$13="",0,IF(ISNUMBER(SEARCH(Classifiers!$G$13,E418)),1,0)))&gt;0,1,0))</f>
        <v/>
      </c>
      <c r="S418" s="12">
        <f>IF(H418&lt;&gt;1,0,IF((IF(Classifiers!$B$14="",0,IF(ISNUMBER(SEARCH(Classifiers!$B$14,E418)),1,0))+IF(Classifiers!$C$14="",0,IF(ISNUMBER(SEARCH(Classifiers!$C$14,E418)),1,0))+IF(Classifiers!$D$14="",0,IF(ISNUMBER(SEARCH(Classifiers!$D$14,E418)),1,0))+IF(Classifiers!$E$14="",0,IF(ISNUMBER(SEARCH(Classifiers!$E$14,E418)),1,0))+IF(Classifiers!$F$14="",0,IF(ISNUMBER(SEARCH(Classifiers!$F$14,E418)),1,0))+IF(Classifiers!$G$14="",0,IF(ISNUMBER(SEARCH(Classifiers!$G$14,E418)),1,0)))&gt;0,1,0))</f>
        <v/>
      </c>
      <c r="T418" s="12">
        <f>IF(H418&lt;&gt;1,0,IF((IF(Classifiers!$B$15="",0,IF(ISNUMBER(SEARCH(Classifiers!$B$15,E418)),1,0))+IF(Classifiers!$C$15="",0,IF(ISNUMBER(SEARCH(Classifiers!$C$15,E418)),1,0))+IF(Classifiers!$D$15="",0,IF(ISNUMBER(SEARCH(Classifiers!$D$15,E418)),1,0))+IF(Classifiers!$E$15="",0,IF(ISNUMBER(SEARCH(Classifiers!$E$15,E418)),1,0))+IF(Classifiers!$F$15="",0,IF(ISNUMBER(SEARCH(Classifiers!$F$15,E418)),1,0))+IF(Classifiers!$G$15="",0,IF(ISNUMBER(SEARCH(Classifiers!$G$15,E418)),1,0)))&gt;0,1,0))</f>
        <v/>
      </c>
      <c r="U418" s="12">
        <f>IF(H418&lt;&gt;1,0,IF((IF(Classifiers!$B$16="",0,IF(ISNUMBER(SEARCH(Classifiers!$B$16,E418)),1,0))+IF(Classifiers!$C$16="",0,IF(ISNUMBER(SEARCH(Classifiers!$C$16,E418)),1,0))+IF(Classifiers!$D$16="",0,IF(ISNUMBER(SEARCH(Classifiers!$D$16,E418)),1,0))+IF(Classifiers!$E$16="",0,IF(ISNUMBER(SEARCH(Classifiers!$E$16,E418)),1,0))+IF(Classifiers!$F$16="",0,IF(ISNUMBER(SEARCH(Classifiers!$F$16,E418)),1,0))+IF(Classifiers!$G$16="",0,IF(ISNUMBER(SEARCH(Classifiers!$G$16,E418)),1,0)))&gt;0,1,0))</f>
        <v/>
      </c>
      <c r="V418" s="12">
        <f>IF(H418&lt;&gt;1,0,IF((IF(Classifiers!$B$17="",0,IF(ISNUMBER(SEARCH(Classifiers!$B$17,E418)),1,0))+IF(Classifiers!$C$17="",0,IF(ISNUMBER(SEARCH(Classifiers!$C$17,E418)),1,0))+IF(Classifiers!$D$17="",0,IF(ISNUMBER(SEARCH(Classifiers!$D$17,E418)),1,0))+IF(Classifiers!$E$17="",0,IF(ISNUMBER(SEARCH(Classifiers!$E$17,E418)),1,0))+IF(Classifiers!$F$17="",0,IF(ISNUMBER(SEARCH(Classifiers!$F$17,E418)),1,0))+IF(Classifiers!$G$17="",0,IF(ISNUMBER(SEARCH(Classifiers!$G$17,E418)),1,0)))&gt;0,1,0))</f>
        <v/>
      </c>
      <c r="W418" s="12">
        <f>IF(H418&lt;&gt;1,0,IF((IF(Classifiers!$B$18="",0,IF(ISNUMBER(SEARCH(Classifiers!$B$18,E418)),1,0))+IF(Classifiers!$C$18="",0,IF(ISNUMBER(SEARCH(Classifiers!$C$18,E418)),1,0))+IF(Classifiers!$D$18="",0,IF(ISNUMBER(SEARCH(Classifiers!$D$18,E418)),1,0))+IF(Classifiers!$E$18="",0,IF(ISNUMBER(SEARCH(Classifiers!$E$18,E418)),1,0))+IF(Classifiers!$F$18="",0,IF(ISNUMBER(SEARCH(Classifiers!$F$18,E418)),1,0))+IF(Classifiers!$G$18="",0,IF(ISNUMBER(SEARCH(Classifiers!$G$18,E418)),1,0)))&gt;0,1,0))</f>
        <v/>
      </c>
    </row>
    <row r="419">
      <c r="A419" s="8" t="n"/>
      <c r="B419" s="11" t="n"/>
      <c r="C419" s="6">
        <f>IF(A419="","",TRIM(RIGHT(SUBSTITUTE(A419,"/",REPT(" ",250)),250)))</f>
        <v/>
      </c>
      <c r="D419" s="6">
        <f>IF(C419="","",IF(ISNUMBER(SEARCH(".",C419)),LOWER("."&amp;TRIM(RIGHT(SUBSTITUTE(C419,".",REPT(" ",250)),250))),""))</f>
        <v/>
      </c>
      <c r="E419" s="6">
        <f>IF(C419="","",TRIM(SUBSTITUTE(SUBSTITUTE(SUBSTITUTE(SUBSTITUTE(SUBSTITUTE(SUBSTITUTE(SUBSTITUTE(SUBSTITUTE(SUBSTITUTE(SUBSTITUTE(SUBSTITUTE(SUBSTITUTE(SUBSTITUTE(SUBSTITUTE(SUBSTITUTE(SUBSTITUTE(SUBSTITUTE(SUBSTITUTE(SUBSTITUTE(SUBSTITUTE(LOWER(LEFT(C419,LEN(C419)-LEN(D419))),"_"," "),"-"," "),"."," "),","," "),"("," "),")"," "),"["," "),"]"," "),"&amp;"," "),"+"," "),"@"," "),"#"," "),"!"," "),"'"," "),"/"," "),":"," "),";"," "),"="," "),"~"," "),"%"," ")))</f>
        <v/>
      </c>
      <c r="F419" s="6">
        <f>IF(C419="","",IF(COUNTIF(Classifiers!$A$23:$A$40,D419)&gt;0,1,0))</f>
        <v/>
      </c>
      <c r="G419" s="6">
        <f>IF(C419="","",IF(COUNTIF(Classifiers!$C$23:$C$30,D419)&gt;0,IF((IF(ISNUMBER(SEARCH(Classifiers!$E$23,E419)),1,0)+IF(ISNUMBER(SEARCH(Classifiers!$E$24,E419)),1,0)+IF(ISNUMBER(SEARCH(Classifiers!$E$25,E419)),1,0)+IF(ISNUMBER(SEARCH(Classifiers!$E$26,E419)),1,0)+IF(ISNUMBER(SEARCH(Classifiers!$E$27,E419)),1,0)+IF(ISNUMBER(SEARCH(Classifiers!$E$28,E419)),1,0)+IF(ISNUMBER(SEARCH(Classifiers!$E$29,E419)),1,0)+IF(ISNUMBER(SEARCH(Classifiers!$E$30,E419)),1,0))&gt;0,1,0),0))</f>
        <v/>
      </c>
      <c r="H419" s="6">
        <f>IF(C419="","",IF(OR(LEFT(C419,1)=".",AND(F419=0,G419=0)),0,1))</f>
        <v/>
      </c>
      <c r="I419" s="6">
        <f>IF(H419&lt;&gt;1,"",IF(SUM(J419:W419)=0,"unclassified",INDEX(Classifiers!$A$5:$A$18,MATCH(1,J419:W419,0),1)))</f>
        <v/>
      </c>
      <c r="J419" s="12">
        <f>IF(H419&lt;&gt;1,0,IF((IF(Classifiers!$B$5="",0,IF(ISNUMBER(SEARCH(Classifiers!$B$5,E419)),1,0))+IF(Classifiers!$C$5="",0,IF(ISNUMBER(SEARCH(Classifiers!$C$5,E419)),1,0))+IF(Classifiers!$D$5="",0,IF(ISNUMBER(SEARCH(Classifiers!$D$5,E419)),1,0))+IF(Classifiers!$E$5="",0,IF(ISNUMBER(SEARCH(Classifiers!$E$5,E419)),1,0))+IF(Classifiers!$F$5="",0,IF(ISNUMBER(SEARCH(Classifiers!$F$5,E419)),1,0))+IF(Classifiers!$G$5="",0,IF(ISNUMBER(SEARCH(Classifiers!$G$5,E419)),1,0)))&gt;0,1,0))</f>
        <v/>
      </c>
      <c r="K419" s="12">
        <f>IF(H419&lt;&gt;1,0,IF((IF(Classifiers!$B$6="",0,IF(ISNUMBER(SEARCH(Classifiers!$B$6,E419)),1,0))+IF(Classifiers!$C$6="",0,IF(ISNUMBER(SEARCH(Classifiers!$C$6,E419)),1,0))+IF(Classifiers!$D$6="",0,IF(ISNUMBER(SEARCH(Classifiers!$D$6,E419)),1,0))+IF(Classifiers!$E$6="",0,IF(ISNUMBER(SEARCH(Classifiers!$E$6,E419)),1,0))+IF(Classifiers!$F$6="",0,IF(ISNUMBER(SEARCH(Classifiers!$F$6,E419)),1,0))+IF(Classifiers!$G$6="",0,IF(ISNUMBER(SEARCH(Classifiers!$G$6,E419)),1,0)))&gt;0,1,0))</f>
        <v/>
      </c>
      <c r="L419" s="12">
        <f>IF(H419&lt;&gt;1,0,IF((IF(Classifiers!$B$7="",0,IF(ISNUMBER(SEARCH(Classifiers!$B$7,E419)),1,0))+IF(Classifiers!$C$7="",0,IF(ISNUMBER(SEARCH(Classifiers!$C$7,E419)),1,0))+IF(Classifiers!$D$7="",0,IF(ISNUMBER(SEARCH(Classifiers!$D$7,E419)),1,0))+IF(Classifiers!$E$7="",0,IF(ISNUMBER(SEARCH(Classifiers!$E$7,E419)),1,0))+IF(Classifiers!$F$7="",0,IF(ISNUMBER(SEARCH(Classifiers!$F$7,E419)),1,0))+IF(Classifiers!$G$7="",0,IF(ISNUMBER(SEARCH(Classifiers!$G$7,E419)),1,0)))&gt;0,1,0))</f>
        <v/>
      </c>
      <c r="M419" s="12">
        <f>IF(H419&lt;&gt;1,0,IF((IF(Classifiers!$B$8="",0,IF(ISNUMBER(SEARCH(Classifiers!$B$8,E419)),1,0))+IF(Classifiers!$C$8="",0,IF(ISNUMBER(SEARCH(Classifiers!$C$8,E419)),1,0))+IF(Classifiers!$D$8="",0,IF(ISNUMBER(SEARCH(Classifiers!$D$8,E419)),1,0))+IF(Classifiers!$E$8="",0,IF(ISNUMBER(SEARCH(Classifiers!$E$8,E419)),1,0))+IF(Classifiers!$F$8="",0,IF(ISNUMBER(SEARCH(Classifiers!$F$8,E419)),1,0))+IF(Classifiers!$G$8="",0,IF(ISNUMBER(SEARCH(Classifiers!$G$8,E419)),1,0)))&gt;0,1,0))</f>
        <v/>
      </c>
      <c r="N419" s="12">
        <f>IF(H419&lt;&gt;1,0,IF((IF(Classifiers!$B$9="",0,IF(ISNUMBER(SEARCH(Classifiers!$B$9,E419)),1,0))+IF(Classifiers!$C$9="",0,IF(ISNUMBER(SEARCH(Classifiers!$C$9,E419)),1,0))+IF(Classifiers!$D$9="",0,IF(ISNUMBER(SEARCH(Classifiers!$D$9,E419)),1,0))+IF(Classifiers!$E$9="",0,IF(ISNUMBER(SEARCH(Classifiers!$E$9,E419)),1,0))+IF(Classifiers!$F$9="",0,IF(ISNUMBER(SEARCH(Classifiers!$F$9,E419)),1,0))+IF(Classifiers!$G$9="",0,IF(ISNUMBER(SEARCH(Classifiers!$G$9,E419)),1,0)))&gt;0,1,0))</f>
        <v/>
      </c>
      <c r="O419" s="12">
        <f>IF(H419&lt;&gt;1,0,IF((IF(Classifiers!$B$10="",0,IF(ISNUMBER(SEARCH(Classifiers!$B$10,E419)),1,0))+IF(Classifiers!$C$10="",0,IF(ISNUMBER(SEARCH(Classifiers!$C$10,E419)),1,0))+IF(Classifiers!$D$10="",0,IF(ISNUMBER(SEARCH(Classifiers!$D$10,E419)),1,0))+IF(Classifiers!$E$10="",0,IF(ISNUMBER(SEARCH(Classifiers!$E$10,E419)),1,0))+IF(Classifiers!$F$10="",0,IF(ISNUMBER(SEARCH(Classifiers!$F$10,E419)),1,0))+IF(Classifiers!$G$10="",0,IF(ISNUMBER(SEARCH(Classifiers!$G$10,E419)),1,0)))&gt;0,1,0))</f>
        <v/>
      </c>
      <c r="P419" s="12">
        <f>IF(H419&lt;&gt;1,0,IF((IF(Classifiers!$B$11="",0,IF(ISNUMBER(SEARCH(Classifiers!$B$11,E419)),1,0))+IF(Classifiers!$C$11="",0,IF(ISNUMBER(SEARCH(Classifiers!$C$11,E419)),1,0))+IF(Classifiers!$D$11="",0,IF(ISNUMBER(SEARCH(Classifiers!$D$11,E419)),1,0))+IF(Classifiers!$E$11="",0,IF(ISNUMBER(SEARCH(Classifiers!$E$11,E419)),1,0))+IF(Classifiers!$F$11="",0,IF(ISNUMBER(SEARCH(Classifiers!$F$11,E419)),1,0))+IF(Classifiers!$G$11="",0,IF(ISNUMBER(SEARCH(Classifiers!$G$11,E419)),1,0)))&gt;0,1,0))</f>
        <v/>
      </c>
      <c r="Q419" s="12">
        <f>IF(H419&lt;&gt;1,0,IF((IF(Classifiers!$B$12="",0,IF(ISNUMBER(SEARCH(Classifiers!$B$12,E419)),1,0))+IF(Classifiers!$C$12="",0,IF(ISNUMBER(SEARCH(Classifiers!$C$12,E419)),1,0))+IF(Classifiers!$D$12="",0,IF(ISNUMBER(SEARCH(Classifiers!$D$12,E419)),1,0))+IF(Classifiers!$E$12="",0,IF(ISNUMBER(SEARCH(Classifiers!$E$12,E419)),1,0))+IF(Classifiers!$F$12="",0,IF(ISNUMBER(SEARCH(Classifiers!$F$12,E419)),1,0))+IF(Classifiers!$G$12="",0,IF(ISNUMBER(SEARCH(Classifiers!$G$12,E419)),1,0)))&gt;0,1,0))</f>
        <v/>
      </c>
      <c r="R419" s="12">
        <f>IF(H419&lt;&gt;1,0,IF((IF(Classifiers!$B$13="",0,IF(ISNUMBER(SEARCH(Classifiers!$B$13,E419)),1,0))+IF(Classifiers!$C$13="",0,IF(ISNUMBER(SEARCH(Classifiers!$C$13,E419)),1,0))+IF(Classifiers!$D$13="",0,IF(ISNUMBER(SEARCH(Classifiers!$D$13,E419)),1,0))+IF(Classifiers!$E$13="",0,IF(ISNUMBER(SEARCH(Classifiers!$E$13,E419)),1,0))+IF(Classifiers!$F$13="",0,IF(ISNUMBER(SEARCH(Classifiers!$F$13,E419)),1,0))+IF(Classifiers!$G$13="",0,IF(ISNUMBER(SEARCH(Classifiers!$G$13,E419)),1,0)))&gt;0,1,0))</f>
        <v/>
      </c>
      <c r="S419" s="12">
        <f>IF(H419&lt;&gt;1,0,IF((IF(Classifiers!$B$14="",0,IF(ISNUMBER(SEARCH(Classifiers!$B$14,E419)),1,0))+IF(Classifiers!$C$14="",0,IF(ISNUMBER(SEARCH(Classifiers!$C$14,E419)),1,0))+IF(Classifiers!$D$14="",0,IF(ISNUMBER(SEARCH(Classifiers!$D$14,E419)),1,0))+IF(Classifiers!$E$14="",0,IF(ISNUMBER(SEARCH(Classifiers!$E$14,E419)),1,0))+IF(Classifiers!$F$14="",0,IF(ISNUMBER(SEARCH(Classifiers!$F$14,E419)),1,0))+IF(Classifiers!$G$14="",0,IF(ISNUMBER(SEARCH(Classifiers!$G$14,E419)),1,0)))&gt;0,1,0))</f>
        <v/>
      </c>
      <c r="T419" s="12">
        <f>IF(H419&lt;&gt;1,0,IF((IF(Classifiers!$B$15="",0,IF(ISNUMBER(SEARCH(Classifiers!$B$15,E419)),1,0))+IF(Classifiers!$C$15="",0,IF(ISNUMBER(SEARCH(Classifiers!$C$15,E419)),1,0))+IF(Classifiers!$D$15="",0,IF(ISNUMBER(SEARCH(Classifiers!$D$15,E419)),1,0))+IF(Classifiers!$E$15="",0,IF(ISNUMBER(SEARCH(Classifiers!$E$15,E419)),1,0))+IF(Classifiers!$F$15="",0,IF(ISNUMBER(SEARCH(Classifiers!$F$15,E419)),1,0))+IF(Classifiers!$G$15="",0,IF(ISNUMBER(SEARCH(Classifiers!$G$15,E419)),1,0)))&gt;0,1,0))</f>
        <v/>
      </c>
      <c r="U419" s="12">
        <f>IF(H419&lt;&gt;1,0,IF((IF(Classifiers!$B$16="",0,IF(ISNUMBER(SEARCH(Classifiers!$B$16,E419)),1,0))+IF(Classifiers!$C$16="",0,IF(ISNUMBER(SEARCH(Classifiers!$C$16,E419)),1,0))+IF(Classifiers!$D$16="",0,IF(ISNUMBER(SEARCH(Classifiers!$D$16,E419)),1,0))+IF(Classifiers!$E$16="",0,IF(ISNUMBER(SEARCH(Classifiers!$E$16,E419)),1,0))+IF(Classifiers!$F$16="",0,IF(ISNUMBER(SEARCH(Classifiers!$F$16,E419)),1,0))+IF(Classifiers!$G$16="",0,IF(ISNUMBER(SEARCH(Classifiers!$G$16,E419)),1,0)))&gt;0,1,0))</f>
        <v/>
      </c>
      <c r="V419" s="12">
        <f>IF(H419&lt;&gt;1,0,IF((IF(Classifiers!$B$17="",0,IF(ISNUMBER(SEARCH(Classifiers!$B$17,E419)),1,0))+IF(Classifiers!$C$17="",0,IF(ISNUMBER(SEARCH(Classifiers!$C$17,E419)),1,0))+IF(Classifiers!$D$17="",0,IF(ISNUMBER(SEARCH(Classifiers!$D$17,E419)),1,0))+IF(Classifiers!$E$17="",0,IF(ISNUMBER(SEARCH(Classifiers!$E$17,E419)),1,0))+IF(Classifiers!$F$17="",0,IF(ISNUMBER(SEARCH(Classifiers!$F$17,E419)),1,0))+IF(Classifiers!$G$17="",0,IF(ISNUMBER(SEARCH(Classifiers!$G$17,E419)),1,0)))&gt;0,1,0))</f>
        <v/>
      </c>
      <c r="W419" s="12">
        <f>IF(H419&lt;&gt;1,0,IF((IF(Classifiers!$B$18="",0,IF(ISNUMBER(SEARCH(Classifiers!$B$18,E419)),1,0))+IF(Classifiers!$C$18="",0,IF(ISNUMBER(SEARCH(Classifiers!$C$18,E419)),1,0))+IF(Classifiers!$D$18="",0,IF(ISNUMBER(SEARCH(Classifiers!$D$18,E419)),1,0))+IF(Classifiers!$E$18="",0,IF(ISNUMBER(SEARCH(Classifiers!$E$18,E419)),1,0))+IF(Classifiers!$F$18="",0,IF(ISNUMBER(SEARCH(Classifiers!$F$18,E419)),1,0))+IF(Classifiers!$G$18="",0,IF(ISNUMBER(SEARCH(Classifiers!$G$18,E419)),1,0)))&gt;0,1,0))</f>
        <v/>
      </c>
    </row>
    <row r="420">
      <c r="A420" s="8" t="n"/>
      <c r="B420" s="11" t="n"/>
      <c r="C420" s="6">
        <f>IF(A420="","",TRIM(RIGHT(SUBSTITUTE(A420,"/",REPT(" ",250)),250)))</f>
        <v/>
      </c>
      <c r="D420" s="6">
        <f>IF(C420="","",IF(ISNUMBER(SEARCH(".",C420)),LOWER("."&amp;TRIM(RIGHT(SUBSTITUTE(C420,".",REPT(" ",250)),250))),""))</f>
        <v/>
      </c>
      <c r="E420" s="6">
        <f>IF(C420="","",TRIM(SUBSTITUTE(SUBSTITUTE(SUBSTITUTE(SUBSTITUTE(SUBSTITUTE(SUBSTITUTE(SUBSTITUTE(SUBSTITUTE(SUBSTITUTE(SUBSTITUTE(SUBSTITUTE(SUBSTITUTE(SUBSTITUTE(SUBSTITUTE(SUBSTITUTE(SUBSTITUTE(SUBSTITUTE(SUBSTITUTE(SUBSTITUTE(SUBSTITUTE(LOWER(LEFT(C420,LEN(C420)-LEN(D420))),"_"," "),"-"," "),"."," "),","," "),"("," "),")"," "),"["," "),"]"," "),"&amp;"," "),"+"," "),"@"," "),"#"," "),"!"," "),"'"," "),"/"," "),":"," "),";"," "),"="," "),"~"," "),"%"," ")))</f>
        <v/>
      </c>
      <c r="F420" s="6">
        <f>IF(C420="","",IF(COUNTIF(Classifiers!$A$23:$A$40,D420)&gt;0,1,0))</f>
        <v/>
      </c>
      <c r="G420" s="6">
        <f>IF(C420="","",IF(COUNTIF(Classifiers!$C$23:$C$30,D420)&gt;0,IF((IF(ISNUMBER(SEARCH(Classifiers!$E$23,E420)),1,0)+IF(ISNUMBER(SEARCH(Classifiers!$E$24,E420)),1,0)+IF(ISNUMBER(SEARCH(Classifiers!$E$25,E420)),1,0)+IF(ISNUMBER(SEARCH(Classifiers!$E$26,E420)),1,0)+IF(ISNUMBER(SEARCH(Classifiers!$E$27,E420)),1,0)+IF(ISNUMBER(SEARCH(Classifiers!$E$28,E420)),1,0)+IF(ISNUMBER(SEARCH(Classifiers!$E$29,E420)),1,0)+IF(ISNUMBER(SEARCH(Classifiers!$E$30,E420)),1,0))&gt;0,1,0),0))</f>
        <v/>
      </c>
      <c r="H420" s="6">
        <f>IF(C420="","",IF(OR(LEFT(C420,1)=".",AND(F420=0,G420=0)),0,1))</f>
        <v/>
      </c>
      <c r="I420" s="6">
        <f>IF(H420&lt;&gt;1,"",IF(SUM(J420:W420)=0,"unclassified",INDEX(Classifiers!$A$5:$A$18,MATCH(1,J420:W420,0),1)))</f>
        <v/>
      </c>
      <c r="J420" s="12">
        <f>IF(H420&lt;&gt;1,0,IF((IF(Classifiers!$B$5="",0,IF(ISNUMBER(SEARCH(Classifiers!$B$5,E420)),1,0))+IF(Classifiers!$C$5="",0,IF(ISNUMBER(SEARCH(Classifiers!$C$5,E420)),1,0))+IF(Classifiers!$D$5="",0,IF(ISNUMBER(SEARCH(Classifiers!$D$5,E420)),1,0))+IF(Classifiers!$E$5="",0,IF(ISNUMBER(SEARCH(Classifiers!$E$5,E420)),1,0))+IF(Classifiers!$F$5="",0,IF(ISNUMBER(SEARCH(Classifiers!$F$5,E420)),1,0))+IF(Classifiers!$G$5="",0,IF(ISNUMBER(SEARCH(Classifiers!$G$5,E420)),1,0)))&gt;0,1,0))</f>
        <v/>
      </c>
      <c r="K420" s="12">
        <f>IF(H420&lt;&gt;1,0,IF((IF(Classifiers!$B$6="",0,IF(ISNUMBER(SEARCH(Classifiers!$B$6,E420)),1,0))+IF(Classifiers!$C$6="",0,IF(ISNUMBER(SEARCH(Classifiers!$C$6,E420)),1,0))+IF(Classifiers!$D$6="",0,IF(ISNUMBER(SEARCH(Classifiers!$D$6,E420)),1,0))+IF(Classifiers!$E$6="",0,IF(ISNUMBER(SEARCH(Classifiers!$E$6,E420)),1,0))+IF(Classifiers!$F$6="",0,IF(ISNUMBER(SEARCH(Classifiers!$F$6,E420)),1,0))+IF(Classifiers!$G$6="",0,IF(ISNUMBER(SEARCH(Classifiers!$G$6,E420)),1,0)))&gt;0,1,0))</f>
        <v/>
      </c>
      <c r="L420" s="12">
        <f>IF(H420&lt;&gt;1,0,IF((IF(Classifiers!$B$7="",0,IF(ISNUMBER(SEARCH(Classifiers!$B$7,E420)),1,0))+IF(Classifiers!$C$7="",0,IF(ISNUMBER(SEARCH(Classifiers!$C$7,E420)),1,0))+IF(Classifiers!$D$7="",0,IF(ISNUMBER(SEARCH(Classifiers!$D$7,E420)),1,0))+IF(Classifiers!$E$7="",0,IF(ISNUMBER(SEARCH(Classifiers!$E$7,E420)),1,0))+IF(Classifiers!$F$7="",0,IF(ISNUMBER(SEARCH(Classifiers!$F$7,E420)),1,0))+IF(Classifiers!$G$7="",0,IF(ISNUMBER(SEARCH(Classifiers!$G$7,E420)),1,0)))&gt;0,1,0))</f>
        <v/>
      </c>
      <c r="M420" s="12">
        <f>IF(H420&lt;&gt;1,0,IF((IF(Classifiers!$B$8="",0,IF(ISNUMBER(SEARCH(Classifiers!$B$8,E420)),1,0))+IF(Classifiers!$C$8="",0,IF(ISNUMBER(SEARCH(Classifiers!$C$8,E420)),1,0))+IF(Classifiers!$D$8="",0,IF(ISNUMBER(SEARCH(Classifiers!$D$8,E420)),1,0))+IF(Classifiers!$E$8="",0,IF(ISNUMBER(SEARCH(Classifiers!$E$8,E420)),1,0))+IF(Classifiers!$F$8="",0,IF(ISNUMBER(SEARCH(Classifiers!$F$8,E420)),1,0))+IF(Classifiers!$G$8="",0,IF(ISNUMBER(SEARCH(Classifiers!$G$8,E420)),1,0)))&gt;0,1,0))</f>
        <v/>
      </c>
      <c r="N420" s="12">
        <f>IF(H420&lt;&gt;1,0,IF((IF(Classifiers!$B$9="",0,IF(ISNUMBER(SEARCH(Classifiers!$B$9,E420)),1,0))+IF(Classifiers!$C$9="",0,IF(ISNUMBER(SEARCH(Classifiers!$C$9,E420)),1,0))+IF(Classifiers!$D$9="",0,IF(ISNUMBER(SEARCH(Classifiers!$D$9,E420)),1,0))+IF(Classifiers!$E$9="",0,IF(ISNUMBER(SEARCH(Classifiers!$E$9,E420)),1,0))+IF(Classifiers!$F$9="",0,IF(ISNUMBER(SEARCH(Classifiers!$F$9,E420)),1,0))+IF(Classifiers!$G$9="",0,IF(ISNUMBER(SEARCH(Classifiers!$G$9,E420)),1,0)))&gt;0,1,0))</f>
        <v/>
      </c>
      <c r="O420" s="12">
        <f>IF(H420&lt;&gt;1,0,IF((IF(Classifiers!$B$10="",0,IF(ISNUMBER(SEARCH(Classifiers!$B$10,E420)),1,0))+IF(Classifiers!$C$10="",0,IF(ISNUMBER(SEARCH(Classifiers!$C$10,E420)),1,0))+IF(Classifiers!$D$10="",0,IF(ISNUMBER(SEARCH(Classifiers!$D$10,E420)),1,0))+IF(Classifiers!$E$10="",0,IF(ISNUMBER(SEARCH(Classifiers!$E$10,E420)),1,0))+IF(Classifiers!$F$10="",0,IF(ISNUMBER(SEARCH(Classifiers!$F$10,E420)),1,0))+IF(Classifiers!$G$10="",0,IF(ISNUMBER(SEARCH(Classifiers!$G$10,E420)),1,0)))&gt;0,1,0))</f>
        <v/>
      </c>
      <c r="P420" s="12">
        <f>IF(H420&lt;&gt;1,0,IF((IF(Classifiers!$B$11="",0,IF(ISNUMBER(SEARCH(Classifiers!$B$11,E420)),1,0))+IF(Classifiers!$C$11="",0,IF(ISNUMBER(SEARCH(Classifiers!$C$11,E420)),1,0))+IF(Classifiers!$D$11="",0,IF(ISNUMBER(SEARCH(Classifiers!$D$11,E420)),1,0))+IF(Classifiers!$E$11="",0,IF(ISNUMBER(SEARCH(Classifiers!$E$11,E420)),1,0))+IF(Classifiers!$F$11="",0,IF(ISNUMBER(SEARCH(Classifiers!$F$11,E420)),1,0))+IF(Classifiers!$G$11="",0,IF(ISNUMBER(SEARCH(Classifiers!$G$11,E420)),1,0)))&gt;0,1,0))</f>
        <v/>
      </c>
      <c r="Q420" s="12">
        <f>IF(H420&lt;&gt;1,0,IF((IF(Classifiers!$B$12="",0,IF(ISNUMBER(SEARCH(Classifiers!$B$12,E420)),1,0))+IF(Classifiers!$C$12="",0,IF(ISNUMBER(SEARCH(Classifiers!$C$12,E420)),1,0))+IF(Classifiers!$D$12="",0,IF(ISNUMBER(SEARCH(Classifiers!$D$12,E420)),1,0))+IF(Classifiers!$E$12="",0,IF(ISNUMBER(SEARCH(Classifiers!$E$12,E420)),1,0))+IF(Classifiers!$F$12="",0,IF(ISNUMBER(SEARCH(Classifiers!$F$12,E420)),1,0))+IF(Classifiers!$G$12="",0,IF(ISNUMBER(SEARCH(Classifiers!$G$12,E420)),1,0)))&gt;0,1,0))</f>
        <v/>
      </c>
      <c r="R420" s="12">
        <f>IF(H420&lt;&gt;1,0,IF((IF(Classifiers!$B$13="",0,IF(ISNUMBER(SEARCH(Classifiers!$B$13,E420)),1,0))+IF(Classifiers!$C$13="",0,IF(ISNUMBER(SEARCH(Classifiers!$C$13,E420)),1,0))+IF(Classifiers!$D$13="",0,IF(ISNUMBER(SEARCH(Classifiers!$D$13,E420)),1,0))+IF(Classifiers!$E$13="",0,IF(ISNUMBER(SEARCH(Classifiers!$E$13,E420)),1,0))+IF(Classifiers!$F$13="",0,IF(ISNUMBER(SEARCH(Classifiers!$F$13,E420)),1,0))+IF(Classifiers!$G$13="",0,IF(ISNUMBER(SEARCH(Classifiers!$G$13,E420)),1,0)))&gt;0,1,0))</f>
        <v/>
      </c>
      <c r="S420" s="12">
        <f>IF(H420&lt;&gt;1,0,IF((IF(Classifiers!$B$14="",0,IF(ISNUMBER(SEARCH(Classifiers!$B$14,E420)),1,0))+IF(Classifiers!$C$14="",0,IF(ISNUMBER(SEARCH(Classifiers!$C$14,E420)),1,0))+IF(Classifiers!$D$14="",0,IF(ISNUMBER(SEARCH(Classifiers!$D$14,E420)),1,0))+IF(Classifiers!$E$14="",0,IF(ISNUMBER(SEARCH(Classifiers!$E$14,E420)),1,0))+IF(Classifiers!$F$14="",0,IF(ISNUMBER(SEARCH(Classifiers!$F$14,E420)),1,0))+IF(Classifiers!$G$14="",0,IF(ISNUMBER(SEARCH(Classifiers!$G$14,E420)),1,0)))&gt;0,1,0))</f>
        <v/>
      </c>
      <c r="T420" s="12">
        <f>IF(H420&lt;&gt;1,0,IF((IF(Classifiers!$B$15="",0,IF(ISNUMBER(SEARCH(Classifiers!$B$15,E420)),1,0))+IF(Classifiers!$C$15="",0,IF(ISNUMBER(SEARCH(Classifiers!$C$15,E420)),1,0))+IF(Classifiers!$D$15="",0,IF(ISNUMBER(SEARCH(Classifiers!$D$15,E420)),1,0))+IF(Classifiers!$E$15="",0,IF(ISNUMBER(SEARCH(Classifiers!$E$15,E420)),1,0))+IF(Classifiers!$F$15="",0,IF(ISNUMBER(SEARCH(Classifiers!$F$15,E420)),1,0))+IF(Classifiers!$G$15="",0,IF(ISNUMBER(SEARCH(Classifiers!$G$15,E420)),1,0)))&gt;0,1,0))</f>
        <v/>
      </c>
      <c r="U420" s="12">
        <f>IF(H420&lt;&gt;1,0,IF((IF(Classifiers!$B$16="",0,IF(ISNUMBER(SEARCH(Classifiers!$B$16,E420)),1,0))+IF(Classifiers!$C$16="",0,IF(ISNUMBER(SEARCH(Classifiers!$C$16,E420)),1,0))+IF(Classifiers!$D$16="",0,IF(ISNUMBER(SEARCH(Classifiers!$D$16,E420)),1,0))+IF(Classifiers!$E$16="",0,IF(ISNUMBER(SEARCH(Classifiers!$E$16,E420)),1,0))+IF(Classifiers!$F$16="",0,IF(ISNUMBER(SEARCH(Classifiers!$F$16,E420)),1,0))+IF(Classifiers!$G$16="",0,IF(ISNUMBER(SEARCH(Classifiers!$G$16,E420)),1,0)))&gt;0,1,0))</f>
        <v/>
      </c>
      <c r="V420" s="12">
        <f>IF(H420&lt;&gt;1,0,IF((IF(Classifiers!$B$17="",0,IF(ISNUMBER(SEARCH(Classifiers!$B$17,E420)),1,0))+IF(Classifiers!$C$17="",0,IF(ISNUMBER(SEARCH(Classifiers!$C$17,E420)),1,0))+IF(Classifiers!$D$17="",0,IF(ISNUMBER(SEARCH(Classifiers!$D$17,E420)),1,0))+IF(Classifiers!$E$17="",0,IF(ISNUMBER(SEARCH(Classifiers!$E$17,E420)),1,0))+IF(Classifiers!$F$17="",0,IF(ISNUMBER(SEARCH(Classifiers!$F$17,E420)),1,0))+IF(Classifiers!$G$17="",0,IF(ISNUMBER(SEARCH(Classifiers!$G$17,E420)),1,0)))&gt;0,1,0))</f>
        <v/>
      </c>
      <c r="W420" s="12">
        <f>IF(H420&lt;&gt;1,0,IF((IF(Classifiers!$B$18="",0,IF(ISNUMBER(SEARCH(Classifiers!$B$18,E420)),1,0))+IF(Classifiers!$C$18="",0,IF(ISNUMBER(SEARCH(Classifiers!$C$18,E420)),1,0))+IF(Classifiers!$D$18="",0,IF(ISNUMBER(SEARCH(Classifiers!$D$18,E420)),1,0))+IF(Classifiers!$E$18="",0,IF(ISNUMBER(SEARCH(Classifiers!$E$18,E420)),1,0))+IF(Classifiers!$F$18="",0,IF(ISNUMBER(SEARCH(Classifiers!$F$18,E420)),1,0))+IF(Classifiers!$G$18="",0,IF(ISNUMBER(SEARCH(Classifiers!$G$18,E420)),1,0)))&gt;0,1,0))</f>
        <v/>
      </c>
    </row>
    <row r="421">
      <c r="A421" s="8" t="n"/>
      <c r="B421" s="11" t="n"/>
      <c r="C421" s="6">
        <f>IF(A421="","",TRIM(RIGHT(SUBSTITUTE(A421,"/",REPT(" ",250)),250)))</f>
        <v/>
      </c>
      <c r="D421" s="6">
        <f>IF(C421="","",IF(ISNUMBER(SEARCH(".",C421)),LOWER("."&amp;TRIM(RIGHT(SUBSTITUTE(C421,".",REPT(" ",250)),250))),""))</f>
        <v/>
      </c>
      <c r="E421" s="6">
        <f>IF(C421="","",TRIM(SUBSTITUTE(SUBSTITUTE(SUBSTITUTE(SUBSTITUTE(SUBSTITUTE(SUBSTITUTE(SUBSTITUTE(SUBSTITUTE(SUBSTITUTE(SUBSTITUTE(SUBSTITUTE(SUBSTITUTE(SUBSTITUTE(SUBSTITUTE(SUBSTITUTE(SUBSTITUTE(SUBSTITUTE(SUBSTITUTE(SUBSTITUTE(SUBSTITUTE(LOWER(LEFT(C421,LEN(C421)-LEN(D421))),"_"," "),"-"," "),"."," "),","," "),"("," "),")"," "),"["," "),"]"," "),"&amp;"," "),"+"," "),"@"," "),"#"," "),"!"," "),"'"," "),"/"," "),":"," "),";"," "),"="," "),"~"," "),"%"," ")))</f>
        <v/>
      </c>
      <c r="F421" s="6">
        <f>IF(C421="","",IF(COUNTIF(Classifiers!$A$23:$A$40,D421)&gt;0,1,0))</f>
        <v/>
      </c>
      <c r="G421" s="6">
        <f>IF(C421="","",IF(COUNTIF(Classifiers!$C$23:$C$30,D421)&gt;0,IF((IF(ISNUMBER(SEARCH(Classifiers!$E$23,E421)),1,0)+IF(ISNUMBER(SEARCH(Classifiers!$E$24,E421)),1,0)+IF(ISNUMBER(SEARCH(Classifiers!$E$25,E421)),1,0)+IF(ISNUMBER(SEARCH(Classifiers!$E$26,E421)),1,0)+IF(ISNUMBER(SEARCH(Classifiers!$E$27,E421)),1,0)+IF(ISNUMBER(SEARCH(Classifiers!$E$28,E421)),1,0)+IF(ISNUMBER(SEARCH(Classifiers!$E$29,E421)),1,0)+IF(ISNUMBER(SEARCH(Classifiers!$E$30,E421)),1,0))&gt;0,1,0),0))</f>
        <v/>
      </c>
      <c r="H421" s="6">
        <f>IF(C421="","",IF(OR(LEFT(C421,1)=".",AND(F421=0,G421=0)),0,1))</f>
        <v/>
      </c>
      <c r="I421" s="6">
        <f>IF(H421&lt;&gt;1,"",IF(SUM(J421:W421)=0,"unclassified",INDEX(Classifiers!$A$5:$A$18,MATCH(1,J421:W421,0),1)))</f>
        <v/>
      </c>
      <c r="J421" s="12">
        <f>IF(H421&lt;&gt;1,0,IF((IF(Classifiers!$B$5="",0,IF(ISNUMBER(SEARCH(Classifiers!$B$5,E421)),1,0))+IF(Classifiers!$C$5="",0,IF(ISNUMBER(SEARCH(Classifiers!$C$5,E421)),1,0))+IF(Classifiers!$D$5="",0,IF(ISNUMBER(SEARCH(Classifiers!$D$5,E421)),1,0))+IF(Classifiers!$E$5="",0,IF(ISNUMBER(SEARCH(Classifiers!$E$5,E421)),1,0))+IF(Classifiers!$F$5="",0,IF(ISNUMBER(SEARCH(Classifiers!$F$5,E421)),1,0))+IF(Classifiers!$G$5="",0,IF(ISNUMBER(SEARCH(Classifiers!$G$5,E421)),1,0)))&gt;0,1,0))</f>
        <v/>
      </c>
      <c r="K421" s="12">
        <f>IF(H421&lt;&gt;1,0,IF((IF(Classifiers!$B$6="",0,IF(ISNUMBER(SEARCH(Classifiers!$B$6,E421)),1,0))+IF(Classifiers!$C$6="",0,IF(ISNUMBER(SEARCH(Classifiers!$C$6,E421)),1,0))+IF(Classifiers!$D$6="",0,IF(ISNUMBER(SEARCH(Classifiers!$D$6,E421)),1,0))+IF(Classifiers!$E$6="",0,IF(ISNUMBER(SEARCH(Classifiers!$E$6,E421)),1,0))+IF(Classifiers!$F$6="",0,IF(ISNUMBER(SEARCH(Classifiers!$F$6,E421)),1,0))+IF(Classifiers!$G$6="",0,IF(ISNUMBER(SEARCH(Classifiers!$G$6,E421)),1,0)))&gt;0,1,0))</f>
        <v/>
      </c>
      <c r="L421" s="12">
        <f>IF(H421&lt;&gt;1,0,IF((IF(Classifiers!$B$7="",0,IF(ISNUMBER(SEARCH(Classifiers!$B$7,E421)),1,0))+IF(Classifiers!$C$7="",0,IF(ISNUMBER(SEARCH(Classifiers!$C$7,E421)),1,0))+IF(Classifiers!$D$7="",0,IF(ISNUMBER(SEARCH(Classifiers!$D$7,E421)),1,0))+IF(Classifiers!$E$7="",0,IF(ISNUMBER(SEARCH(Classifiers!$E$7,E421)),1,0))+IF(Classifiers!$F$7="",0,IF(ISNUMBER(SEARCH(Classifiers!$F$7,E421)),1,0))+IF(Classifiers!$G$7="",0,IF(ISNUMBER(SEARCH(Classifiers!$G$7,E421)),1,0)))&gt;0,1,0))</f>
        <v/>
      </c>
      <c r="M421" s="12">
        <f>IF(H421&lt;&gt;1,0,IF((IF(Classifiers!$B$8="",0,IF(ISNUMBER(SEARCH(Classifiers!$B$8,E421)),1,0))+IF(Classifiers!$C$8="",0,IF(ISNUMBER(SEARCH(Classifiers!$C$8,E421)),1,0))+IF(Classifiers!$D$8="",0,IF(ISNUMBER(SEARCH(Classifiers!$D$8,E421)),1,0))+IF(Classifiers!$E$8="",0,IF(ISNUMBER(SEARCH(Classifiers!$E$8,E421)),1,0))+IF(Classifiers!$F$8="",0,IF(ISNUMBER(SEARCH(Classifiers!$F$8,E421)),1,0))+IF(Classifiers!$G$8="",0,IF(ISNUMBER(SEARCH(Classifiers!$G$8,E421)),1,0)))&gt;0,1,0))</f>
        <v/>
      </c>
      <c r="N421" s="12">
        <f>IF(H421&lt;&gt;1,0,IF((IF(Classifiers!$B$9="",0,IF(ISNUMBER(SEARCH(Classifiers!$B$9,E421)),1,0))+IF(Classifiers!$C$9="",0,IF(ISNUMBER(SEARCH(Classifiers!$C$9,E421)),1,0))+IF(Classifiers!$D$9="",0,IF(ISNUMBER(SEARCH(Classifiers!$D$9,E421)),1,0))+IF(Classifiers!$E$9="",0,IF(ISNUMBER(SEARCH(Classifiers!$E$9,E421)),1,0))+IF(Classifiers!$F$9="",0,IF(ISNUMBER(SEARCH(Classifiers!$F$9,E421)),1,0))+IF(Classifiers!$G$9="",0,IF(ISNUMBER(SEARCH(Classifiers!$G$9,E421)),1,0)))&gt;0,1,0))</f>
        <v/>
      </c>
      <c r="O421" s="12">
        <f>IF(H421&lt;&gt;1,0,IF((IF(Classifiers!$B$10="",0,IF(ISNUMBER(SEARCH(Classifiers!$B$10,E421)),1,0))+IF(Classifiers!$C$10="",0,IF(ISNUMBER(SEARCH(Classifiers!$C$10,E421)),1,0))+IF(Classifiers!$D$10="",0,IF(ISNUMBER(SEARCH(Classifiers!$D$10,E421)),1,0))+IF(Classifiers!$E$10="",0,IF(ISNUMBER(SEARCH(Classifiers!$E$10,E421)),1,0))+IF(Classifiers!$F$10="",0,IF(ISNUMBER(SEARCH(Classifiers!$F$10,E421)),1,0))+IF(Classifiers!$G$10="",0,IF(ISNUMBER(SEARCH(Classifiers!$G$10,E421)),1,0)))&gt;0,1,0))</f>
        <v/>
      </c>
      <c r="P421" s="12">
        <f>IF(H421&lt;&gt;1,0,IF((IF(Classifiers!$B$11="",0,IF(ISNUMBER(SEARCH(Classifiers!$B$11,E421)),1,0))+IF(Classifiers!$C$11="",0,IF(ISNUMBER(SEARCH(Classifiers!$C$11,E421)),1,0))+IF(Classifiers!$D$11="",0,IF(ISNUMBER(SEARCH(Classifiers!$D$11,E421)),1,0))+IF(Classifiers!$E$11="",0,IF(ISNUMBER(SEARCH(Classifiers!$E$11,E421)),1,0))+IF(Classifiers!$F$11="",0,IF(ISNUMBER(SEARCH(Classifiers!$F$11,E421)),1,0))+IF(Classifiers!$G$11="",0,IF(ISNUMBER(SEARCH(Classifiers!$G$11,E421)),1,0)))&gt;0,1,0))</f>
        <v/>
      </c>
      <c r="Q421" s="12">
        <f>IF(H421&lt;&gt;1,0,IF((IF(Classifiers!$B$12="",0,IF(ISNUMBER(SEARCH(Classifiers!$B$12,E421)),1,0))+IF(Classifiers!$C$12="",0,IF(ISNUMBER(SEARCH(Classifiers!$C$12,E421)),1,0))+IF(Classifiers!$D$12="",0,IF(ISNUMBER(SEARCH(Classifiers!$D$12,E421)),1,0))+IF(Classifiers!$E$12="",0,IF(ISNUMBER(SEARCH(Classifiers!$E$12,E421)),1,0))+IF(Classifiers!$F$12="",0,IF(ISNUMBER(SEARCH(Classifiers!$F$12,E421)),1,0))+IF(Classifiers!$G$12="",0,IF(ISNUMBER(SEARCH(Classifiers!$G$12,E421)),1,0)))&gt;0,1,0))</f>
        <v/>
      </c>
      <c r="R421" s="12">
        <f>IF(H421&lt;&gt;1,0,IF((IF(Classifiers!$B$13="",0,IF(ISNUMBER(SEARCH(Classifiers!$B$13,E421)),1,0))+IF(Classifiers!$C$13="",0,IF(ISNUMBER(SEARCH(Classifiers!$C$13,E421)),1,0))+IF(Classifiers!$D$13="",0,IF(ISNUMBER(SEARCH(Classifiers!$D$13,E421)),1,0))+IF(Classifiers!$E$13="",0,IF(ISNUMBER(SEARCH(Classifiers!$E$13,E421)),1,0))+IF(Classifiers!$F$13="",0,IF(ISNUMBER(SEARCH(Classifiers!$F$13,E421)),1,0))+IF(Classifiers!$G$13="",0,IF(ISNUMBER(SEARCH(Classifiers!$G$13,E421)),1,0)))&gt;0,1,0))</f>
        <v/>
      </c>
      <c r="S421" s="12">
        <f>IF(H421&lt;&gt;1,0,IF((IF(Classifiers!$B$14="",0,IF(ISNUMBER(SEARCH(Classifiers!$B$14,E421)),1,0))+IF(Classifiers!$C$14="",0,IF(ISNUMBER(SEARCH(Classifiers!$C$14,E421)),1,0))+IF(Classifiers!$D$14="",0,IF(ISNUMBER(SEARCH(Classifiers!$D$14,E421)),1,0))+IF(Classifiers!$E$14="",0,IF(ISNUMBER(SEARCH(Classifiers!$E$14,E421)),1,0))+IF(Classifiers!$F$14="",0,IF(ISNUMBER(SEARCH(Classifiers!$F$14,E421)),1,0))+IF(Classifiers!$G$14="",0,IF(ISNUMBER(SEARCH(Classifiers!$G$14,E421)),1,0)))&gt;0,1,0))</f>
        <v/>
      </c>
      <c r="T421" s="12">
        <f>IF(H421&lt;&gt;1,0,IF((IF(Classifiers!$B$15="",0,IF(ISNUMBER(SEARCH(Classifiers!$B$15,E421)),1,0))+IF(Classifiers!$C$15="",0,IF(ISNUMBER(SEARCH(Classifiers!$C$15,E421)),1,0))+IF(Classifiers!$D$15="",0,IF(ISNUMBER(SEARCH(Classifiers!$D$15,E421)),1,0))+IF(Classifiers!$E$15="",0,IF(ISNUMBER(SEARCH(Classifiers!$E$15,E421)),1,0))+IF(Classifiers!$F$15="",0,IF(ISNUMBER(SEARCH(Classifiers!$F$15,E421)),1,0))+IF(Classifiers!$G$15="",0,IF(ISNUMBER(SEARCH(Classifiers!$G$15,E421)),1,0)))&gt;0,1,0))</f>
        <v/>
      </c>
      <c r="U421" s="12">
        <f>IF(H421&lt;&gt;1,0,IF((IF(Classifiers!$B$16="",0,IF(ISNUMBER(SEARCH(Classifiers!$B$16,E421)),1,0))+IF(Classifiers!$C$16="",0,IF(ISNUMBER(SEARCH(Classifiers!$C$16,E421)),1,0))+IF(Classifiers!$D$16="",0,IF(ISNUMBER(SEARCH(Classifiers!$D$16,E421)),1,0))+IF(Classifiers!$E$16="",0,IF(ISNUMBER(SEARCH(Classifiers!$E$16,E421)),1,0))+IF(Classifiers!$F$16="",0,IF(ISNUMBER(SEARCH(Classifiers!$F$16,E421)),1,0))+IF(Classifiers!$G$16="",0,IF(ISNUMBER(SEARCH(Classifiers!$G$16,E421)),1,0)))&gt;0,1,0))</f>
        <v/>
      </c>
      <c r="V421" s="12">
        <f>IF(H421&lt;&gt;1,0,IF((IF(Classifiers!$B$17="",0,IF(ISNUMBER(SEARCH(Classifiers!$B$17,E421)),1,0))+IF(Classifiers!$C$17="",0,IF(ISNUMBER(SEARCH(Classifiers!$C$17,E421)),1,0))+IF(Classifiers!$D$17="",0,IF(ISNUMBER(SEARCH(Classifiers!$D$17,E421)),1,0))+IF(Classifiers!$E$17="",0,IF(ISNUMBER(SEARCH(Classifiers!$E$17,E421)),1,0))+IF(Classifiers!$F$17="",0,IF(ISNUMBER(SEARCH(Classifiers!$F$17,E421)),1,0))+IF(Classifiers!$G$17="",0,IF(ISNUMBER(SEARCH(Classifiers!$G$17,E421)),1,0)))&gt;0,1,0))</f>
        <v/>
      </c>
      <c r="W421" s="12">
        <f>IF(H421&lt;&gt;1,0,IF((IF(Classifiers!$B$18="",0,IF(ISNUMBER(SEARCH(Classifiers!$B$18,E421)),1,0))+IF(Classifiers!$C$18="",0,IF(ISNUMBER(SEARCH(Classifiers!$C$18,E421)),1,0))+IF(Classifiers!$D$18="",0,IF(ISNUMBER(SEARCH(Classifiers!$D$18,E421)),1,0))+IF(Classifiers!$E$18="",0,IF(ISNUMBER(SEARCH(Classifiers!$E$18,E421)),1,0))+IF(Classifiers!$F$18="",0,IF(ISNUMBER(SEARCH(Classifiers!$F$18,E421)),1,0))+IF(Classifiers!$G$18="",0,IF(ISNUMBER(SEARCH(Classifiers!$G$18,E421)),1,0)))&gt;0,1,0))</f>
        <v/>
      </c>
    </row>
    <row r="422">
      <c r="A422" s="8" t="n"/>
      <c r="B422" s="11" t="n"/>
      <c r="C422" s="6">
        <f>IF(A422="","",TRIM(RIGHT(SUBSTITUTE(A422,"/",REPT(" ",250)),250)))</f>
        <v/>
      </c>
      <c r="D422" s="6">
        <f>IF(C422="","",IF(ISNUMBER(SEARCH(".",C422)),LOWER("."&amp;TRIM(RIGHT(SUBSTITUTE(C422,".",REPT(" ",250)),250))),""))</f>
        <v/>
      </c>
      <c r="E422" s="6">
        <f>IF(C422="","",TRIM(SUBSTITUTE(SUBSTITUTE(SUBSTITUTE(SUBSTITUTE(SUBSTITUTE(SUBSTITUTE(SUBSTITUTE(SUBSTITUTE(SUBSTITUTE(SUBSTITUTE(SUBSTITUTE(SUBSTITUTE(SUBSTITUTE(SUBSTITUTE(SUBSTITUTE(SUBSTITUTE(SUBSTITUTE(SUBSTITUTE(SUBSTITUTE(SUBSTITUTE(LOWER(LEFT(C422,LEN(C422)-LEN(D422))),"_"," "),"-"," "),"."," "),","," "),"("," "),")"," "),"["," "),"]"," "),"&amp;"," "),"+"," "),"@"," "),"#"," "),"!"," "),"'"," "),"/"," "),":"," "),";"," "),"="," "),"~"," "),"%"," ")))</f>
        <v/>
      </c>
      <c r="F422" s="6">
        <f>IF(C422="","",IF(COUNTIF(Classifiers!$A$23:$A$40,D422)&gt;0,1,0))</f>
        <v/>
      </c>
      <c r="G422" s="6">
        <f>IF(C422="","",IF(COUNTIF(Classifiers!$C$23:$C$30,D422)&gt;0,IF((IF(ISNUMBER(SEARCH(Classifiers!$E$23,E422)),1,0)+IF(ISNUMBER(SEARCH(Classifiers!$E$24,E422)),1,0)+IF(ISNUMBER(SEARCH(Classifiers!$E$25,E422)),1,0)+IF(ISNUMBER(SEARCH(Classifiers!$E$26,E422)),1,0)+IF(ISNUMBER(SEARCH(Classifiers!$E$27,E422)),1,0)+IF(ISNUMBER(SEARCH(Classifiers!$E$28,E422)),1,0)+IF(ISNUMBER(SEARCH(Classifiers!$E$29,E422)),1,0)+IF(ISNUMBER(SEARCH(Classifiers!$E$30,E422)),1,0))&gt;0,1,0),0))</f>
        <v/>
      </c>
      <c r="H422" s="6">
        <f>IF(C422="","",IF(OR(LEFT(C422,1)=".",AND(F422=0,G422=0)),0,1))</f>
        <v/>
      </c>
      <c r="I422" s="6">
        <f>IF(H422&lt;&gt;1,"",IF(SUM(J422:W422)=0,"unclassified",INDEX(Classifiers!$A$5:$A$18,MATCH(1,J422:W422,0),1)))</f>
        <v/>
      </c>
      <c r="J422" s="12">
        <f>IF(H422&lt;&gt;1,0,IF((IF(Classifiers!$B$5="",0,IF(ISNUMBER(SEARCH(Classifiers!$B$5,E422)),1,0))+IF(Classifiers!$C$5="",0,IF(ISNUMBER(SEARCH(Classifiers!$C$5,E422)),1,0))+IF(Classifiers!$D$5="",0,IF(ISNUMBER(SEARCH(Classifiers!$D$5,E422)),1,0))+IF(Classifiers!$E$5="",0,IF(ISNUMBER(SEARCH(Classifiers!$E$5,E422)),1,0))+IF(Classifiers!$F$5="",0,IF(ISNUMBER(SEARCH(Classifiers!$F$5,E422)),1,0))+IF(Classifiers!$G$5="",0,IF(ISNUMBER(SEARCH(Classifiers!$G$5,E422)),1,0)))&gt;0,1,0))</f>
        <v/>
      </c>
      <c r="K422" s="12">
        <f>IF(H422&lt;&gt;1,0,IF((IF(Classifiers!$B$6="",0,IF(ISNUMBER(SEARCH(Classifiers!$B$6,E422)),1,0))+IF(Classifiers!$C$6="",0,IF(ISNUMBER(SEARCH(Classifiers!$C$6,E422)),1,0))+IF(Classifiers!$D$6="",0,IF(ISNUMBER(SEARCH(Classifiers!$D$6,E422)),1,0))+IF(Classifiers!$E$6="",0,IF(ISNUMBER(SEARCH(Classifiers!$E$6,E422)),1,0))+IF(Classifiers!$F$6="",0,IF(ISNUMBER(SEARCH(Classifiers!$F$6,E422)),1,0))+IF(Classifiers!$G$6="",0,IF(ISNUMBER(SEARCH(Classifiers!$G$6,E422)),1,0)))&gt;0,1,0))</f>
        <v/>
      </c>
      <c r="L422" s="12">
        <f>IF(H422&lt;&gt;1,0,IF((IF(Classifiers!$B$7="",0,IF(ISNUMBER(SEARCH(Classifiers!$B$7,E422)),1,0))+IF(Classifiers!$C$7="",0,IF(ISNUMBER(SEARCH(Classifiers!$C$7,E422)),1,0))+IF(Classifiers!$D$7="",0,IF(ISNUMBER(SEARCH(Classifiers!$D$7,E422)),1,0))+IF(Classifiers!$E$7="",0,IF(ISNUMBER(SEARCH(Classifiers!$E$7,E422)),1,0))+IF(Classifiers!$F$7="",0,IF(ISNUMBER(SEARCH(Classifiers!$F$7,E422)),1,0))+IF(Classifiers!$G$7="",0,IF(ISNUMBER(SEARCH(Classifiers!$G$7,E422)),1,0)))&gt;0,1,0))</f>
        <v/>
      </c>
      <c r="M422" s="12">
        <f>IF(H422&lt;&gt;1,0,IF((IF(Classifiers!$B$8="",0,IF(ISNUMBER(SEARCH(Classifiers!$B$8,E422)),1,0))+IF(Classifiers!$C$8="",0,IF(ISNUMBER(SEARCH(Classifiers!$C$8,E422)),1,0))+IF(Classifiers!$D$8="",0,IF(ISNUMBER(SEARCH(Classifiers!$D$8,E422)),1,0))+IF(Classifiers!$E$8="",0,IF(ISNUMBER(SEARCH(Classifiers!$E$8,E422)),1,0))+IF(Classifiers!$F$8="",0,IF(ISNUMBER(SEARCH(Classifiers!$F$8,E422)),1,0))+IF(Classifiers!$G$8="",0,IF(ISNUMBER(SEARCH(Classifiers!$G$8,E422)),1,0)))&gt;0,1,0))</f>
        <v/>
      </c>
      <c r="N422" s="12">
        <f>IF(H422&lt;&gt;1,0,IF((IF(Classifiers!$B$9="",0,IF(ISNUMBER(SEARCH(Classifiers!$B$9,E422)),1,0))+IF(Classifiers!$C$9="",0,IF(ISNUMBER(SEARCH(Classifiers!$C$9,E422)),1,0))+IF(Classifiers!$D$9="",0,IF(ISNUMBER(SEARCH(Classifiers!$D$9,E422)),1,0))+IF(Classifiers!$E$9="",0,IF(ISNUMBER(SEARCH(Classifiers!$E$9,E422)),1,0))+IF(Classifiers!$F$9="",0,IF(ISNUMBER(SEARCH(Classifiers!$F$9,E422)),1,0))+IF(Classifiers!$G$9="",0,IF(ISNUMBER(SEARCH(Classifiers!$G$9,E422)),1,0)))&gt;0,1,0))</f>
        <v/>
      </c>
      <c r="O422" s="12">
        <f>IF(H422&lt;&gt;1,0,IF((IF(Classifiers!$B$10="",0,IF(ISNUMBER(SEARCH(Classifiers!$B$10,E422)),1,0))+IF(Classifiers!$C$10="",0,IF(ISNUMBER(SEARCH(Classifiers!$C$10,E422)),1,0))+IF(Classifiers!$D$10="",0,IF(ISNUMBER(SEARCH(Classifiers!$D$10,E422)),1,0))+IF(Classifiers!$E$10="",0,IF(ISNUMBER(SEARCH(Classifiers!$E$10,E422)),1,0))+IF(Classifiers!$F$10="",0,IF(ISNUMBER(SEARCH(Classifiers!$F$10,E422)),1,0))+IF(Classifiers!$G$10="",0,IF(ISNUMBER(SEARCH(Classifiers!$G$10,E422)),1,0)))&gt;0,1,0))</f>
        <v/>
      </c>
      <c r="P422" s="12">
        <f>IF(H422&lt;&gt;1,0,IF((IF(Classifiers!$B$11="",0,IF(ISNUMBER(SEARCH(Classifiers!$B$11,E422)),1,0))+IF(Classifiers!$C$11="",0,IF(ISNUMBER(SEARCH(Classifiers!$C$11,E422)),1,0))+IF(Classifiers!$D$11="",0,IF(ISNUMBER(SEARCH(Classifiers!$D$11,E422)),1,0))+IF(Classifiers!$E$11="",0,IF(ISNUMBER(SEARCH(Classifiers!$E$11,E422)),1,0))+IF(Classifiers!$F$11="",0,IF(ISNUMBER(SEARCH(Classifiers!$F$11,E422)),1,0))+IF(Classifiers!$G$11="",0,IF(ISNUMBER(SEARCH(Classifiers!$G$11,E422)),1,0)))&gt;0,1,0))</f>
        <v/>
      </c>
      <c r="Q422" s="12">
        <f>IF(H422&lt;&gt;1,0,IF((IF(Classifiers!$B$12="",0,IF(ISNUMBER(SEARCH(Classifiers!$B$12,E422)),1,0))+IF(Classifiers!$C$12="",0,IF(ISNUMBER(SEARCH(Classifiers!$C$12,E422)),1,0))+IF(Classifiers!$D$12="",0,IF(ISNUMBER(SEARCH(Classifiers!$D$12,E422)),1,0))+IF(Classifiers!$E$12="",0,IF(ISNUMBER(SEARCH(Classifiers!$E$12,E422)),1,0))+IF(Classifiers!$F$12="",0,IF(ISNUMBER(SEARCH(Classifiers!$F$12,E422)),1,0))+IF(Classifiers!$G$12="",0,IF(ISNUMBER(SEARCH(Classifiers!$G$12,E422)),1,0)))&gt;0,1,0))</f>
        <v/>
      </c>
      <c r="R422" s="12">
        <f>IF(H422&lt;&gt;1,0,IF((IF(Classifiers!$B$13="",0,IF(ISNUMBER(SEARCH(Classifiers!$B$13,E422)),1,0))+IF(Classifiers!$C$13="",0,IF(ISNUMBER(SEARCH(Classifiers!$C$13,E422)),1,0))+IF(Classifiers!$D$13="",0,IF(ISNUMBER(SEARCH(Classifiers!$D$13,E422)),1,0))+IF(Classifiers!$E$13="",0,IF(ISNUMBER(SEARCH(Classifiers!$E$13,E422)),1,0))+IF(Classifiers!$F$13="",0,IF(ISNUMBER(SEARCH(Classifiers!$F$13,E422)),1,0))+IF(Classifiers!$G$13="",0,IF(ISNUMBER(SEARCH(Classifiers!$G$13,E422)),1,0)))&gt;0,1,0))</f>
        <v/>
      </c>
      <c r="S422" s="12">
        <f>IF(H422&lt;&gt;1,0,IF((IF(Classifiers!$B$14="",0,IF(ISNUMBER(SEARCH(Classifiers!$B$14,E422)),1,0))+IF(Classifiers!$C$14="",0,IF(ISNUMBER(SEARCH(Classifiers!$C$14,E422)),1,0))+IF(Classifiers!$D$14="",0,IF(ISNUMBER(SEARCH(Classifiers!$D$14,E422)),1,0))+IF(Classifiers!$E$14="",0,IF(ISNUMBER(SEARCH(Classifiers!$E$14,E422)),1,0))+IF(Classifiers!$F$14="",0,IF(ISNUMBER(SEARCH(Classifiers!$F$14,E422)),1,0))+IF(Classifiers!$G$14="",0,IF(ISNUMBER(SEARCH(Classifiers!$G$14,E422)),1,0)))&gt;0,1,0))</f>
        <v/>
      </c>
      <c r="T422" s="12">
        <f>IF(H422&lt;&gt;1,0,IF((IF(Classifiers!$B$15="",0,IF(ISNUMBER(SEARCH(Classifiers!$B$15,E422)),1,0))+IF(Classifiers!$C$15="",0,IF(ISNUMBER(SEARCH(Classifiers!$C$15,E422)),1,0))+IF(Classifiers!$D$15="",0,IF(ISNUMBER(SEARCH(Classifiers!$D$15,E422)),1,0))+IF(Classifiers!$E$15="",0,IF(ISNUMBER(SEARCH(Classifiers!$E$15,E422)),1,0))+IF(Classifiers!$F$15="",0,IF(ISNUMBER(SEARCH(Classifiers!$F$15,E422)),1,0))+IF(Classifiers!$G$15="",0,IF(ISNUMBER(SEARCH(Classifiers!$G$15,E422)),1,0)))&gt;0,1,0))</f>
        <v/>
      </c>
      <c r="U422" s="12">
        <f>IF(H422&lt;&gt;1,0,IF((IF(Classifiers!$B$16="",0,IF(ISNUMBER(SEARCH(Classifiers!$B$16,E422)),1,0))+IF(Classifiers!$C$16="",0,IF(ISNUMBER(SEARCH(Classifiers!$C$16,E422)),1,0))+IF(Classifiers!$D$16="",0,IF(ISNUMBER(SEARCH(Classifiers!$D$16,E422)),1,0))+IF(Classifiers!$E$16="",0,IF(ISNUMBER(SEARCH(Classifiers!$E$16,E422)),1,0))+IF(Classifiers!$F$16="",0,IF(ISNUMBER(SEARCH(Classifiers!$F$16,E422)),1,0))+IF(Classifiers!$G$16="",0,IF(ISNUMBER(SEARCH(Classifiers!$G$16,E422)),1,0)))&gt;0,1,0))</f>
        <v/>
      </c>
      <c r="V422" s="12">
        <f>IF(H422&lt;&gt;1,0,IF((IF(Classifiers!$B$17="",0,IF(ISNUMBER(SEARCH(Classifiers!$B$17,E422)),1,0))+IF(Classifiers!$C$17="",0,IF(ISNUMBER(SEARCH(Classifiers!$C$17,E422)),1,0))+IF(Classifiers!$D$17="",0,IF(ISNUMBER(SEARCH(Classifiers!$D$17,E422)),1,0))+IF(Classifiers!$E$17="",0,IF(ISNUMBER(SEARCH(Classifiers!$E$17,E422)),1,0))+IF(Classifiers!$F$17="",0,IF(ISNUMBER(SEARCH(Classifiers!$F$17,E422)),1,0))+IF(Classifiers!$G$17="",0,IF(ISNUMBER(SEARCH(Classifiers!$G$17,E422)),1,0)))&gt;0,1,0))</f>
        <v/>
      </c>
      <c r="W422" s="12">
        <f>IF(H422&lt;&gt;1,0,IF((IF(Classifiers!$B$18="",0,IF(ISNUMBER(SEARCH(Classifiers!$B$18,E422)),1,0))+IF(Classifiers!$C$18="",0,IF(ISNUMBER(SEARCH(Classifiers!$C$18,E422)),1,0))+IF(Classifiers!$D$18="",0,IF(ISNUMBER(SEARCH(Classifiers!$D$18,E422)),1,0))+IF(Classifiers!$E$18="",0,IF(ISNUMBER(SEARCH(Classifiers!$E$18,E422)),1,0))+IF(Classifiers!$F$18="",0,IF(ISNUMBER(SEARCH(Classifiers!$F$18,E422)),1,0))+IF(Classifiers!$G$18="",0,IF(ISNUMBER(SEARCH(Classifiers!$G$18,E422)),1,0)))&gt;0,1,0))</f>
        <v/>
      </c>
    </row>
    <row r="423">
      <c r="A423" s="8" t="n"/>
      <c r="B423" s="11" t="n"/>
      <c r="C423" s="6">
        <f>IF(A423="","",TRIM(RIGHT(SUBSTITUTE(A423,"/",REPT(" ",250)),250)))</f>
        <v/>
      </c>
      <c r="D423" s="6">
        <f>IF(C423="","",IF(ISNUMBER(SEARCH(".",C423)),LOWER("."&amp;TRIM(RIGHT(SUBSTITUTE(C423,".",REPT(" ",250)),250))),""))</f>
        <v/>
      </c>
      <c r="E423" s="6">
        <f>IF(C423="","",TRIM(SUBSTITUTE(SUBSTITUTE(SUBSTITUTE(SUBSTITUTE(SUBSTITUTE(SUBSTITUTE(SUBSTITUTE(SUBSTITUTE(SUBSTITUTE(SUBSTITUTE(SUBSTITUTE(SUBSTITUTE(SUBSTITUTE(SUBSTITUTE(SUBSTITUTE(SUBSTITUTE(SUBSTITUTE(SUBSTITUTE(SUBSTITUTE(SUBSTITUTE(LOWER(LEFT(C423,LEN(C423)-LEN(D423))),"_"," "),"-"," "),"."," "),","," "),"("," "),")"," "),"["," "),"]"," "),"&amp;"," "),"+"," "),"@"," "),"#"," "),"!"," "),"'"," "),"/"," "),":"," "),";"," "),"="," "),"~"," "),"%"," ")))</f>
        <v/>
      </c>
      <c r="F423" s="6">
        <f>IF(C423="","",IF(COUNTIF(Classifiers!$A$23:$A$40,D423)&gt;0,1,0))</f>
        <v/>
      </c>
      <c r="G423" s="6">
        <f>IF(C423="","",IF(COUNTIF(Classifiers!$C$23:$C$30,D423)&gt;0,IF((IF(ISNUMBER(SEARCH(Classifiers!$E$23,E423)),1,0)+IF(ISNUMBER(SEARCH(Classifiers!$E$24,E423)),1,0)+IF(ISNUMBER(SEARCH(Classifiers!$E$25,E423)),1,0)+IF(ISNUMBER(SEARCH(Classifiers!$E$26,E423)),1,0)+IF(ISNUMBER(SEARCH(Classifiers!$E$27,E423)),1,0)+IF(ISNUMBER(SEARCH(Classifiers!$E$28,E423)),1,0)+IF(ISNUMBER(SEARCH(Classifiers!$E$29,E423)),1,0)+IF(ISNUMBER(SEARCH(Classifiers!$E$30,E423)),1,0))&gt;0,1,0),0))</f>
        <v/>
      </c>
      <c r="H423" s="6">
        <f>IF(C423="","",IF(OR(LEFT(C423,1)=".",AND(F423=0,G423=0)),0,1))</f>
        <v/>
      </c>
      <c r="I423" s="6">
        <f>IF(H423&lt;&gt;1,"",IF(SUM(J423:W423)=0,"unclassified",INDEX(Classifiers!$A$5:$A$18,MATCH(1,J423:W423,0),1)))</f>
        <v/>
      </c>
      <c r="J423" s="12">
        <f>IF(H423&lt;&gt;1,0,IF((IF(Classifiers!$B$5="",0,IF(ISNUMBER(SEARCH(Classifiers!$B$5,E423)),1,0))+IF(Classifiers!$C$5="",0,IF(ISNUMBER(SEARCH(Classifiers!$C$5,E423)),1,0))+IF(Classifiers!$D$5="",0,IF(ISNUMBER(SEARCH(Classifiers!$D$5,E423)),1,0))+IF(Classifiers!$E$5="",0,IF(ISNUMBER(SEARCH(Classifiers!$E$5,E423)),1,0))+IF(Classifiers!$F$5="",0,IF(ISNUMBER(SEARCH(Classifiers!$F$5,E423)),1,0))+IF(Classifiers!$G$5="",0,IF(ISNUMBER(SEARCH(Classifiers!$G$5,E423)),1,0)))&gt;0,1,0))</f>
        <v/>
      </c>
      <c r="K423" s="12">
        <f>IF(H423&lt;&gt;1,0,IF((IF(Classifiers!$B$6="",0,IF(ISNUMBER(SEARCH(Classifiers!$B$6,E423)),1,0))+IF(Classifiers!$C$6="",0,IF(ISNUMBER(SEARCH(Classifiers!$C$6,E423)),1,0))+IF(Classifiers!$D$6="",0,IF(ISNUMBER(SEARCH(Classifiers!$D$6,E423)),1,0))+IF(Classifiers!$E$6="",0,IF(ISNUMBER(SEARCH(Classifiers!$E$6,E423)),1,0))+IF(Classifiers!$F$6="",0,IF(ISNUMBER(SEARCH(Classifiers!$F$6,E423)),1,0))+IF(Classifiers!$G$6="",0,IF(ISNUMBER(SEARCH(Classifiers!$G$6,E423)),1,0)))&gt;0,1,0))</f>
        <v/>
      </c>
      <c r="L423" s="12">
        <f>IF(H423&lt;&gt;1,0,IF((IF(Classifiers!$B$7="",0,IF(ISNUMBER(SEARCH(Classifiers!$B$7,E423)),1,0))+IF(Classifiers!$C$7="",0,IF(ISNUMBER(SEARCH(Classifiers!$C$7,E423)),1,0))+IF(Classifiers!$D$7="",0,IF(ISNUMBER(SEARCH(Classifiers!$D$7,E423)),1,0))+IF(Classifiers!$E$7="",0,IF(ISNUMBER(SEARCH(Classifiers!$E$7,E423)),1,0))+IF(Classifiers!$F$7="",0,IF(ISNUMBER(SEARCH(Classifiers!$F$7,E423)),1,0))+IF(Classifiers!$G$7="",0,IF(ISNUMBER(SEARCH(Classifiers!$G$7,E423)),1,0)))&gt;0,1,0))</f>
        <v/>
      </c>
      <c r="M423" s="12">
        <f>IF(H423&lt;&gt;1,0,IF((IF(Classifiers!$B$8="",0,IF(ISNUMBER(SEARCH(Classifiers!$B$8,E423)),1,0))+IF(Classifiers!$C$8="",0,IF(ISNUMBER(SEARCH(Classifiers!$C$8,E423)),1,0))+IF(Classifiers!$D$8="",0,IF(ISNUMBER(SEARCH(Classifiers!$D$8,E423)),1,0))+IF(Classifiers!$E$8="",0,IF(ISNUMBER(SEARCH(Classifiers!$E$8,E423)),1,0))+IF(Classifiers!$F$8="",0,IF(ISNUMBER(SEARCH(Classifiers!$F$8,E423)),1,0))+IF(Classifiers!$G$8="",0,IF(ISNUMBER(SEARCH(Classifiers!$G$8,E423)),1,0)))&gt;0,1,0))</f>
        <v/>
      </c>
      <c r="N423" s="12">
        <f>IF(H423&lt;&gt;1,0,IF((IF(Classifiers!$B$9="",0,IF(ISNUMBER(SEARCH(Classifiers!$B$9,E423)),1,0))+IF(Classifiers!$C$9="",0,IF(ISNUMBER(SEARCH(Classifiers!$C$9,E423)),1,0))+IF(Classifiers!$D$9="",0,IF(ISNUMBER(SEARCH(Classifiers!$D$9,E423)),1,0))+IF(Classifiers!$E$9="",0,IF(ISNUMBER(SEARCH(Classifiers!$E$9,E423)),1,0))+IF(Classifiers!$F$9="",0,IF(ISNUMBER(SEARCH(Classifiers!$F$9,E423)),1,0))+IF(Classifiers!$G$9="",0,IF(ISNUMBER(SEARCH(Classifiers!$G$9,E423)),1,0)))&gt;0,1,0))</f>
        <v/>
      </c>
      <c r="O423" s="12">
        <f>IF(H423&lt;&gt;1,0,IF((IF(Classifiers!$B$10="",0,IF(ISNUMBER(SEARCH(Classifiers!$B$10,E423)),1,0))+IF(Classifiers!$C$10="",0,IF(ISNUMBER(SEARCH(Classifiers!$C$10,E423)),1,0))+IF(Classifiers!$D$10="",0,IF(ISNUMBER(SEARCH(Classifiers!$D$10,E423)),1,0))+IF(Classifiers!$E$10="",0,IF(ISNUMBER(SEARCH(Classifiers!$E$10,E423)),1,0))+IF(Classifiers!$F$10="",0,IF(ISNUMBER(SEARCH(Classifiers!$F$10,E423)),1,0))+IF(Classifiers!$G$10="",0,IF(ISNUMBER(SEARCH(Classifiers!$G$10,E423)),1,0)))&gt;0,1,0))</f>
        <v/>
      </c>
      <c r="P423" s="12">
        <f>IF(H423&lt;&gt;1,0,IF((IF(Classifiers!$B$11="",0,IF(ISNUMBER(SEARCH(Classifiers!$B$11,E423)),1,0))+IF(Classifiers!$C$11="",0,IF(ISNUMBER(SEARCH(Classifiers!$C$11,E423)),1,0))+IF(Classifiers!$D$11="",0,IF(ISNUMBER(SEARCH(Classifiers!$D$11,E423)),1,0))+IF(Classifiers!$E$11="",0,IF(ISNUMBER(SEARCH(Classifiers!$E$11,E423)),1,0))+IF(Classifiers!$F$11="",0,IF(ISNUMBER(SEARCH(Classifiers!$F$11,E423)),1,0))+IF(Classifiers!$G$11="",0,IF(ISNUMBER(SEARCH(Classifiers!$G$11,E423)),1,0)))&gt;0,1,0))</f>
        <v/>
      </c>
      <c r="Q423" s="12">
        <f>IF(H423&lt;&gt;1,0,IF((IF(Classifiers!$B$12="",0,IF(ISNUMBER(SEARCH(Classifiers!$B$12,E423)),1,0))+IF(Classifiers!$C$12="",0,IF(ISNUMBER(SEARCH(Classifiers!$C$12,E423)),1,0))+IF(Classifiers!$D$12="",0,IF(ISNUMBER(SEARCH(Classifiers!$D$12,E423)),1,0))+IF(Classifiers!$E$12="",0,IF(ISNUMBER(SEARCH(Classifiers!$E$12,E423)),1,0))+IF(Classifiers!$F$12="",0,IF(ISNUMBER(SEARCH(Classifiers!$F$12,E423)),1,0))+IF(Classifiers!$G$12="",0,IF(ISNUMBER(SEARCH(Classifiers!$G$12,E423)),1,0)))&gt;0,1,0))</f>
        <v/>
      </c>
      <c r="R423" s="12">
        <f>IF(H423&lt;&gt;1,0,IF((IF(Classifiers!$B$13="",0,IF(ISNUMBER(SEARCH(Classifiers!$B$13,E423)),1,0))+IF(Classifiers!$C$13="",0,IF(ISNUMBER(SEARCH(Classifiers!$C$13,E423)),1,0))+IF(Classifiers!$D$13="",0,IF(ISNUMBER(SEARCH(Classifiers!$D$13,E423)),1,0))+IF(Classifiers!$E$13="",0,IF(ISNUMBER(SEARCH(Classifiers!$E$13,E423)),1,0))+IF(Classifiers!$F$13="",0,IF(ISNUMBER(SEARCH(Classifiers!$F$13,E423)),1,0))+IF(Classifiers!$G$13="",0,IF(ISNUMBER(SEARCH(Classifiers!$G$13,E423)),1,0)))&gt;0,1,0))</f>
        <v/>
      </c>
      <c r="S423" s="12">
        <f>IF(H423&lt;&gt;1,0,IF((IF(Classifiers!$B$14="",0,IF(ISNUMBER(SEARCH(Classifiers!$B$14,E423)),1,0))+IF(Classifiers!$C$14="",0,IF(ISNUMBER(SEARCH(Classifiers!$C$14,E423)),1,0))+IF(Classifiers!$D$14="",0,IF(ISNUMBER(SEARCH(Classifiers!$D$14,E423)),1,0))+IF(Classifiers!$E$14="",0,IF(ISNUMBER(SEARCH(Classifiers!$E$14,E423)),1,0))+IF(Classifiers!$F$14="",0,IF(ISNUMBER(SEARCH(Classifiers!$F$14,E423)),1,0))+IF(Classifiers!$G$14="",0,IF(ISNUMBER(SEARCH(Classifiers!$G$14,E423)),1,0)))&gt;0,1,0))</f>
        <v/>
      </c>
      <c r="T423" s="12">
        <f>IF(H423&lt;&gt;1,0,IF((IF(Classifiers!$B$15="",0,IF(ISNUMBER(SEARCH(Classifiers!$B$15,E423)),1,0))+IF(Classifiers!$C$15="",0,IF(ISNUMBER(SEARCH(Classifiers!$C$15,E423)),1,0))+IF(Classifiers!$D$15="",0,IF(ISNUMBER(SEARCH(Classifiers!$D$15,E423)),1,0))+IF(Classifiers!$E$15="",0,IF(ISNUMBER(SEARCH(Classifiers!$E$15,E423)),1,0))+IF(Classifiers!$F$15="",0,IF(ISNUMBER(SEARCH(Classifiers!$F$15,E423)),1,0))+IF(Classifiers!$G$15="",0,IF(ISNUMBER(SEARCH(Classifiers!$G$15,E423)),1,0)))&gt;0,1,0))</f>
        <v/>
      </c>
      <c r="U423" s="12">
        <f>IF(H423&lt;&gt;1,0,IF((IF(Classifiers!$B$16="",0,IF(ISNUMBER(SEARCH(Classifiers!$B$16,E423)),1,0))+IF(Classifiers!$C$16="",0,IF(ISNUMBER(SEARCH(Classifiers!$C$16,E423)),1,0))+IF(Classifiers!$D$16="",0,IF(ISNUMBER(SEARCH(Classifiers!$D$16,E423)),1,0))+IF(Classifiers!$E$16="",0,IF(ISNUMBER(SEARCH(Classifiers!$E$16,E423)),1,0))+IF(Classifiers!$F$16="",0,IF(ISNUMBER(SEARCH(Classifiers!$F$16,E423)),1,0))+IF(Classifiers!$G$16="",0,IF(ISNUMBER(SEARCH(Classifiers!$G$16,E423)),1,0)))&gt;0,1,0))</f>
        <v/>
      </c>
      <c r="V423" s="12">
        <f>IF(H423&lt;&gt;1,0,IF((IF(Classifiers!$B$17="",0,IF(ISNUMBER(SEARCH(Classifiers!$B$17,E423)),1,0))+IF(Classifiers!$C$17="",0,IF(ISNUMBER(SEARCH(Classifiers!$C$17,E423)),1,0))+IF(Classifiers!$D$17="",0,IF(ISNUMBER(SEARCH(Classifiers!$D$17,E423)),1,0))+IF(Classifiers!$E$17="",0,IF(ISNUMBER(SEARCH(Classifiers!$E$17,E423)),1,0))+IF(Classifiers!$F$17="",0,IF(ISNUMBER(SEARCH(Classifiers!$F$17,E423)),1,0))+IF(Classifiers!$G$17="",0,IF(ISNUMBER(SEARCH(Classifiers!$G$17,E423)),1,0)))&gt;0,1,0))</f>
        <v/>
      </c>
      <c r="W423" s="12">
        <f>IF(H423&lt;&gt;1,0,IF((IF(Classifiers!$B$18="",0,IF(ISNUMBER(SEARCH(Classifiers!$B$18,E423)),1,0))+IF(Classifiers!$C$18="",0,IF(ISNUMBER(SEARCH(Classifiers!$C$18,E423)),1,0))+IF(Classifiers!$D$18="",0,IF(ISNUMBER(SEARCH(Classifiers!$D$18,E423)),1,0))+IF(Classifiers!$E$18="",0,IF(ISNUMBER(SEARCH(Classifiers!$E$18,E423)),1,0))+IF(Classifiers!$F$18="",0,IF(ISNUMBER(SEARCH(Classifiers!$F$18,E423)),1,0))+IF(Classifiers!$G$18="",0,IF(ISNUMBER(SEARCH(Classifiers!$G$18,E423)),1,0)))&gt;0,1,0))</f>
        <v/>
      </c>
    </row>
    <row r="424">
      <c r="A424" s="8" t="n"/>
      <c r="B424" s="11" t="n"/>
      <c r="C424" s="6">
        <f>IF(A424="","",TRIM(RIGHT(SUBSTITUTE(A424,"/",REPT(" ",250)),250)))</f>
        <v/>
      </c>
      <c r="D424" s="6">
        <f>IF(C424="","",IF(ISNUMBER(SEARCH(".",C424)),LOWER("."&amp;TRIM(RIGHT(SUBSTITUTE(C424,".",REPT(" ",250)),250))),""))</f>
        <v/>
      </c>
      <c r="E424" s="6">
        <f>IF(C424="","",TRIM(SUBSTITUTE(SUBSTITUTE(SUBSTITUTE(SUBSTITUTE(SUBSTITUTE(SUBSTITUTE(SUBSTITUTE(SUBSTITUTE(SUBSTITUTE(SUBSTITUTE(SUBSTITUTE(SUBSTITUTE(SUBSTITUTE(SUBSTITUTE(SUBSTITUTE(SUBSTITUTE(SUBSTITUTE(SUBSTITUTE(SUBSTITUTE(SUBSTITUTE(LOWER(LEFT(C424,LEN(C424)-LEN(D424))),"_"," "),"-"," "),"."," "),","," "),"("," "),")"," "),"["," "),"]"," "),"&amp;"," "),"+"," "),"@"," "),"#"," "),"!"," "),"'"," "),"/"," "),":"," "),";"," "),"="," "),"~"," "),"%"," ")))</f>
        <v/>
      </c>
      <c r="F424" s="6">
        <f>IF(C424="","",IF(COUNTIF(Classifiers!$A$23:$A$40,D424)&gt;0,1,0))</f>
        <v/>
      </c>
      <c r="G424" s="6">
        <f>IF(C424="","",IF(COUNTIF(Classifiers!$C$23:$C$30,D424)&gt;0,IF((IF(ISNUMBER(SEARCH(Classifiers!$E$23,E424)),1,0)+IF(ISNUMBER(SEARCH(Classifiers!$E$24,E424)),1,0)+IF(ISNUMBER(SEARCH(Classifiers!$E$25,E424)),1,0)+IF(ISNUMBER(SEARCH(Classifiers!$E$26,E424)),1,0)+IF(ISNUMBER(SEARCH(Classifiers!$E$27,E424)),1,0)+IF(ISNUMBER(SEARCH(Classifiers!$E$28,E424)),1,0)+IF(ISNUMBER(SEARCH(Classifiers!$E$29,E424)),1,0)+IF(ISNUMBER(SEARCH(Classifiers!$E$30,E424)),1,0))&gt;0,1,0),0))</f>
        <v/>
      </c>
      <c r="H424" s="6">
        <f>IF(C424="","",IF(OR(LEFT(C424,1)=".",AND(F424=0,G424=0)),0,1))</f>
        <v/>
      </c>
      <c r="I424" s="6">
        <f>IF(H424&lt;&gt;1,"",IF(SUM(J424:W424)=0,"unclassified",INDEX(Classifiers!$A$5:$A$18,MATCH(1,J424:W424,0),1)))</f>
        <v/>
      </c>
      <c r="J424" s="12">
        <f>IF(H424&lt;&gt;1,0,IF((IF(Classifiers!$B$5="",0,IF(ISNUMBER(SEARCH(Classifiers!$B$5,E424)),1,0))+IF(Classifiers!$C$5="",0,IF(ISNUMBER(SEARCH(Classifiers!$C$5,E424)),1,0))+IF(Classifiers!$D$5="",0,IF(ISNUMBER(SEARCH(Classifiers!$D$5,E424)),1,0))+IF(Classifiers!$E$5="",0,IF(ISNUMBER(SEARCH(Classifiers!$E$5,E424)),1,0))+IF(Classifiers!$F$5="",0,IF(ISNUMBER(SEARCH(Classifiers!$F$5,E424)),1,0))+IF(Classifiers!$G$5="",0,IF(ISNUMBER(SEARCH(Classifiers!$G$5,E424)),1,0)))&gt;0,1,0))</f>
        <v/>
      </c>
      <c r="K424" s="12">
        <f>IF(H424&lt;&gt;1,0,IF((IF(Classifiers!$B$6="",0,IF(ISNUMBER(SEARCH(Classifiers!$B$6,E424)),1,0))+IF(Classifiers!$C$6="",0,IF(ISNUMBER(SEARCH(Classifiers!$C$6,E424)),1,0))+IF(Classifiers!$D$6="",0,IF(ISNUMBER(SEARCH(Classifiers!$D$6,E424)),1,0))+IF(Classifiers!$E$6="",0,IF(ISNUMBER(SEARCH(Classifiers!$E$6,E424)),1,0))+IF(Classifiers!$F$6="",0,IF(ISNUMBER(SEARCH(Classifiers!$F$6,E424)),1,0))+IF(Classifiers!$G$6="",0,IF(ISNUMBER(SEARCH(Classifiers!$G$6,E424)),1,0)))&gt;0,1,0))</f>
        <v/>
      </c>
      <c r="L424" s="12">
        <f>IF(H424&lt;&gt;1,0,IF((IF(Classifiers!$B$7="",0,IF(ISNUMBER(SEARCH(Classifiers!$B$7,E424)),1,0))+IF(Classifiers!$C$7="",0,IF(ISNUMBER(SEARCH(Classifiers!$C$7,E424)),1,0))+IF(Classifiers!$D$7="",0,IF(ISNUMBER(SEARCH(Classifiers!$D$7,E424)),1,0))+IF(Classifiers!$E$7="",0,IF(ISNUMBER(SEARCH(Classifiers!$E$7,E424)),1,0))+IF(Classifiers!$F$7="",0,IF(ISNUMBER(SEARCH(Classifiers!$F$7,E424)),1,0))+IF(Classifiers!$G$7="",0,IF(ISNUMBER(SEARCH(Classifiers!$G$7,E424)),1,0)))&gt;0,1,0))</f>
        <v/>
      </c>
      <c r="M424" s="12">
        <f>IF(H424&lt;&gt;1,0,IF((IF(Classifiers!$B$8="",0,IF(ISNUMBER(SEARCH(Classifiers!$B$8,E424)),1,0))+IF(Classifiers!$C$8="",0,IF(ISNUMBER(SEARCH(Classifiers!$C$8,E424)),1,0))+IF(Classifiers!$D$8="",0,IF(ISNUMBER(SEARCH(Classifiers!$D$8,E424)),1,0))+IF(Classifiers!$E$8="",0,IF(ISNUMBER(SEARCH(Classifiers!$E$8,E424)),1,0))+IF(Classifiers!$F$8="",0,IF(ISNUMBER(SEARCH(Classifiers!$F$8,E424)),1,0))+IF(Classifiers!$G$8="",0,IF(ISNUMBER(SEARCH(Classifiers!$G$8,E424)),1,0)))&gt;0,1,0))</f>
        <v/>
      </c>
      <c r="N424" s="12">
        <f>IF(H424&lt;&gt;1,0,IF((IF(Classifiers!$B$9="",0,IF(ISNUMBER(SEARCH(Classifiers!$B$9,E424)),1,0))+IF(Classifiers!$C$9="",0,IF(ISNUMBER(SEARCH(Classifiers!$C$9,E424)),1,0))+IF(Classifiers!$D$9="",0,IF(ISNUMBER(SEARCH(Classifiers!$D$9,E424)),1,0))+IF(Classifiers!$E$9="",0,IF(ISNUMBER(SEARCH(Classifiers!$E$9,E424)),1,0))+IF(Classifiers!$F$9="",0,IF(ISNUMBER(SEARCH(Classifiers!$F$9,E424)),1,0))+IF(Classifiers!$G$9="",0,IF(ISNUMBER(SEARCH(Classifiers!$G$9,E424)),1,0)))&gt;0,1,0))</f>
        <v/>
      </c>
      <c r="O424" s="12">
        <f>IF(H424&lt;&gt;1,0,IF((IF(Classifiers!$B$10="",0,IF(ISNUMBER(SEARCH(Classifiers!$B$10,E424)),1,0))+IF(Classifiers!$C$10="",0,IF(ISNUMBER(SEARCH(Classifiers!$C$10,E424)),1,0))+IF(Classifiers!$D$10="",0,IF(ISNUMBER(SEARCH(Classifiers!$D$10,E424)),1,0))+IF(Classifiers!$E$10="",0,IF(ISNUMBER(SEARCH(Classifiers!$E$10,E424)),1,0))+IF(Classifiers!$F$10="",0,IF(ISNUMBER(SEARCH(Classifiers!$F$10,E424)),1,0))+IF(Classifiers!$G$10="",0,IF(ISNUMBER(SEARCH(Classifiers!$G$10,E424)),1,0)))&gt;0,1,0))</f>
        <v/>
      </c>
      <c r="P424" s="12">
        <f>IF(H424&lt;&gt;1,0,IF((IF(Classifiers!$B$11="",0,IF(ISNUMBER(SEARCH(Classifiers!$B$11,E424)),1,0))+IF(Classifiers!$C$11="",0,IF(ISNUMBER(SEARCH(Classifiers!$C$11,E424)),1,0))+IF(Classifiers!$D$11="",0,IF(ISNUMBER(SEARCH(Classifiers!$D$11,E424)),1,0))+IF(Classifiers!$E$11="",0,IF(ISNUMBER(SEARCH(Classifiers!$E$11,E424)),1,0))+IF(Classifiers!$F$11="",0,IF(ISNUMBER(SEARCH(Classifiers!$F$11,E424)),1,0))+IF(Classifiers!$G$11="",0,IF(ISNUMBER(SEARCH(Classifiers!$G$11,E424)),1,0)))&gt;0,1,0))</f>
        <v/>
      </c>
      <c r="Q424" s="12">
        <f>IF(H424&lt;&gt;1,0,IF((IF(Classifiers!$B$12="",0,IF(ISNUMBER(SEARCH(Classifiers!$B$12,E424)),1,0))+IF(Classifiers!$C$12="",0,IF(ISNUMBER(SEARCH(Classifiers!$C$12,E424)),1,0))+IF(Classifiers!$D$12="",0,IF(ISNUMBER(SEARCH(Classifiers!$D$12,E424)),1,0))+IF(Classifiers!$E$12="",0,IF(ISNUMBER(SEARCH(Classifiers!$E$12,E424)),1,0))+IF(Classifiers!$F$12="",0,IF(ISNUMBER(SEARCH(Classifiers!$F$12,E424)),1,0))+IF(Classifiers!$G$12="",0,IF(ISNUMBER(SEARCH(Classifiers!$G$12,E424)),1,0)))&gt;0,1,0))</f>
        <v/>
      </c>
      <c r="R424" s="12">
        <f>IF(H424&lt;&gt;1,0,IF((IF(Classifiers!$B$13="",0,IF(ISNUMBER(SEARCH(Classifiers!$B$13,E424)),1,0))+IF(Classifiers!$C$13="",0,IF(ISNUMBER(SEARCH(Classifiers!$C$13,E424)),1,0))+IF(Classifiers!$D$13="",0,IF(ISNUMBER(SEARCH(Classifiers!$D$13,E424)),1,0))+IF(Classifiers!$E$13="",0,IF(ISNUMBER(SEARCH(Classifiers!$E$13,E424)),1,0))+IF(Classifiers!$F$13="",0,IF(ISNUMBER(SEARCH(Classifiers!$F$13,E424)),1,0))+IF(Classifiers!$G$13="",0,IF(ISNUMBER(SEARCH(Classifiers!$G$13,E424)),1,0)))&gt;0,1,0))</f>
        <v/>
      </c>
      <c r="S424" s="12">
        <f>IF(H424&lt;&gt;1,0,IF((IF(Classifiers!$B$14="",0,IF(ISNUMBER(SEARCH(Classifiers!$B$14,E424)),1,0))+IF(Classifiers!$C$14="",0,IF(ISNUMBER(SEARCH(Classifiers!$C$14,E424)),1,0))+IF(Classifiers!$D$14="",0,IF(ISNUMBER(SEARCH(Classifiers!$D$14,E424)),1,0))+IF(Classifiers!$E$14="",0,IF(ISNUMBER(SEARCH(Classifiers!$E$14,E424)),1,0))+IF(Classifiers!$F$14="",0,IF(ISNUMBER(SEARCH(Classifiers!$F$14,E424)),1,0))+IF(Classifiers!$G$14="",0,IF(ISNUMBER(SEARCH(Classifiers!$G$14,E424)),1,0)))&gt;0,1,0))</f>
        <v/>
      </c>
      <c r="T424" s="12">
        <f>IF(H424&lt;&gt;1,0,IF((IF(Classifiers!$B$15="",0,IF(ISNUMBER(SEARCH(Classifiers!$B$15,E424)),1,0))+IF(Classifiers!$C$15="",0,IF(ISNUMBER(SEARCH(Classifiers!$C$15,E424)),1,0))+IF(Classifiers!$D$15="",0,IF(ISNUMBER(SEARCH(Classifiers!$D$15,E424)),1,0))+IF(Classifiers!$E$15="",0,IF(ISNUMBER(SEARCH(Classifiers!$E$15,E424)),1,0))+IF(Classifiers!$F$15="",0,IF(ISNUMBER(SEARCH(Classifiers!$F$15,E424)),1,0))+IF(Classifiers!$G$15="",0,IF(ISNUMBER(SEARCH(Classifiers!$G$15,E424)),1,0)))&gt;0,1,0))</f>
        <v/>
      </c>
      <c r="U424" s="12">
        <f>IF(H424&lt;&gt;1,0,IF((IF(Classifiers!$B$16="",0,IF(ISNUMBER(SEARCH(Classifiers!$B$16,E424)),1,0))+IF(Classifiers!$C$16="",0,IF(ISNUMBER(SEARCH(Classifiers!$C$16,E424)),1,0))+IF(Classifiers!$D$16="",0,IF(ISNUMBER(SEARCH(Classifiers!$D$16,E424)),1,0))+IF(Classifiers!$E$16="",0,IF(ISNUMBER(SEARCH(Classifiers!$E$16,E424)),1,0))+IF(Classifiers!$F$16="",0,IF(ISNUMBER(SEARCH(Classifiers!$F$16,E424)),1,0))+IF(Classifiers!$G$16="",0,IF(ISNUMBER(SEARCH(Classifiers!$G$16,E424)),1,0)))&gt;0,1,0))</f>
        <v/>
      </c>
      <c r="V424" s="12">
        <f>IF(H424&lt;&gt;1,0,IF((IF(Classifiers!$B$17="",0,IF(ISNUMBER(SEARCH(Classifiers!$B$17,E424)),1,0))+IF(Classifiers!$C$17="",0,IF(ISNUMBER(SEARCH(Classifiers!$C$17,E424)),1,0))+IF(Classifiers!$D$17="",0,IF(ISNUMBER(SEARCH(Classifiers!$D$17,E424)),1,0))+IF(Classifiers!$E$17="",0,IF(ISNUMBER(SEARCH(Classifiers!$E$17,E424)),1,0))+IF(Classifiers!$F$17="",0,IF(ISNUMBER(SEARCH(Classifiers!$F$17,E424)),1,0))+IF(Classifiers!$G$17="",0,IF(ISNUMBER(SEARCH(Classifiers!$G$17,E424)),1,0)))&gt;0,1,0))</f>
        <v/>
      </c>
      <c r="W424" s="12">
        <f>IF(H424&lt;&gt;1,0,IF((IF(Classifiers!$B$18="",0,IF(ISNUMBER(SEARCH(Classifiers!$B$18,E424)),1,0))+IF(Classifiers!$C$18="",0,IF(ISNUMBER(SEARCH(Classifiers!$C$18,E424)),1,0))+IF(Classifiers!$D$18="",0,IF(ISNUMBER(SEARCH(Classifiers!$D$18,E424)),1,0))+IF(Classifiers!$E$18="",0,IF(ISNUMBER(SEARCH(Classifiers!$E$18,E424)),1,0))+IF(Classifiers!$F$18="",0,IF(ISNUMBER(SEARCH(Classifiers!$F$18,E424)),1,0))+IF(Classifiers!$G$18="",0,IF(ISNUMBER(SEARCH(Classifiers!$G$18,E424)),1,0)))&gt;0,1,0))</f>
        <v/>
      </c>
    </row>
    <row r="425">
      <c r="A425" s="8" t="n"/>
      <c r="B425" s="11" t="n"/>
      <c r="C425" s="6">
        <f>IF(A425="","",TRIM(RIGHT(SUBSTITUTE(A425,"/",REPT(" ",250)),250)))</f>
        <v/>
      </c>
      <c r="D425" s="6">
        <f>IF(C425="","",IF(ISNUMBER(SEARCH(".",C425)),LOWER("."&amp;TRIM(RIGHT(SUBSTITUTE(C425,".",REPT(" ",250)),250))),""))</f>
        <v/>
      </c>
      <c r="E425" s="6">
        <f>IF(C425="","",TRIM(SUBSTITUTE(SUBSTITUTE(SUBSTITUTE(SUBSTITUTE(SUBSTITUTE(SUBSTITUTE(SUBSTITUTE(SUBSTITUTE(SUBSTITUTE(SUBSTITUTE(SUBSTITUTE(SUBSTITUTE(SUBSTITUTE(SUBSTITUTE(SUBSTITUTE(SUBSTITUTE(SUBSTITUTE(SUBSTITUTE(SUBSTITUTE(SUBSTITUTE(LOWER(LEFT(C425,LEN(C425)-LEN(D425))),"_"," "),"-"," "),"."," "),","," "),"("," "),")"," "),"["," "),"]"," "),"&amp;"," "),"+"," "),"@"," "),"#"," "),"!"," "),"'"," "),"/"," "),":"," "),";"," "),"="," "),"~"," "),"%"," ")))</f>
        <v/>
      </c>
      <c r="F425" s="6">
        <f>IF(C425="","",IF(COUNTIF(Classifiers!$A$23:$A$40,D425)&gt;0,1,0))</f>
        <v/>
      </c>
      <c r="G425" s="6">
        <f>IF(C425="","",IF(COUNTIF(Classifiers!$C$23:$C$30,D425)&gt;0,IF((IF(ISNUMBER(SEARCH(Classifiers!$E$23,E425)),1,0)+IF(ISNUMBER(SEARCH(Classifiers!$E$24,E425)),1,0)+IF(ISNUMBER(SEARCH(Classifiers!$E$25,E425)),1,0)+IF(ISNUMBER(SEARCH(Classifiers!$E$26,E425)),1,0)+IF(ISNUMBER(SEARCH(Classifiers!$E$27,E425)),1,0)+IF(ISNUMBER(SEARCH(Classifiers!$E$28,E425)),1,0)+IF(ISNUMBER(SEARCH(Classifiers!$E$29,E425)),1,0)+IF(ISNUMBER(SEARCH(Classifiers!$E$30,E425)),1,0))&gt;0,1,0),0))</f>
        <v/>
      </c>
      <c r="H425" s="6">
        <f>IF(C425="","",IF(OR(LEFT(C425,1)=".",AND(F425=0,G425=0)),0,1))</f>
        <v/>
      </c>
      <c r="I425" s="6">
        <f>IF(H425&lt;&gt;1,"",IF(SUM(J425:W425)=0,"unclassified",INDEX(Classifiers!$A$5:$A$18,MATCH(1,J425:W425,0),1)))</f>
        <v/>
      </c>
      <c r="J425" s="12">
        <f>IF(H425&lt;&gt;1,0,IF((IF(Classifiers!$B$5="",0,IF(ISNUMBER(SEARCH(Classifiers!$B$5,E425)),1,0))+IF(Classifiers!$C$5="",0,IF(ISNUMBER(SEARCH(Classifiers!$C$5,E425)),1,0))+IF(Classifiers!$D$5="",0,IF(ISNUMBER(SEARCH(Classifiers!$D$5,E425)),1,0))+IF(Classifiers!$E$5="",0,IF(ISNUMBER(SEARCH(Classifiers!$E$5,E425)),1,0))+IF(Classifiers!$F$5="",0,IF(ISNUMBER(SEARCH(Classifiers!$F$5,E425)),1,0))+IF(Classifiers!$G$5="",0,IF(ISNUMBER(SEARCH(Classifiers!$G$5,E425)),1,0)))&gt;0,1,0))</f>
        <v/>
      </c>
      <c r="K425" s="12">
        <f>IF(H425&lt;&gt;1,0,IF((IF(Classifiers!$B$6="",0,IF(ISNUMBER(SEARCH(Classifiers!$B$6,E425)),1,0))+IF(Classifiers!$C$6="",0,IF(ISNUMBER(SEARCH(Classifiers!$C$6,E425)),1,0))+IF(Classifiers!$D$6="",0,IF(ISNUMBER(SEARCH(Classifiers!$D$6,E425)),1,0))+IF(Classifiers!$E$6="",0,IF(ISNUMBER(SEARCH(Classifiers!$E$6,E425)),1,0))+IF(Classifiers!$F$6="",0,IF(ISNUMBER(SEARCH(Classifiers!$F$6,E425)),1,0))+IF(Classifiers!$G$6="",0,IF(ISNUMBER(SEARCH(Classifiers!$G$6,E425)),1,0)))&gt;0,1,0))</f>
        <v/>
      </c>
      <c r="L425" s="12">
        <f>IF(H425&lt;&gt;1,0,IF((IF(Classifiers!$B$7="",0,IF(ISNUMBER(SEARCH(Classifiers!$B$7,E425)),1,0))+IF(Classifiers!$C$7="",0,IF(ISNUMBER(SEARCH(Classifiers!$C$7,E425)),1,0))+IF(Classifiers!$D$7="",0,IF(ISNUMBER(SEARCH(Classifiers!$D$7,E425)),1,0))+IF(Classifiers!$E$7="",0,IF(ISNUMBER(SEARCH(Classifiers!$E$7,E425)),1,0))+IF(Classifiers!$F$7="",0,IF(ISNUMBER(SEARCH(Classifiers!$F$7,E425)),1,0))+IF(Classifiers!$G$7="",0,IF(ISNUMBER(SEARCH(Classifiers!$G$7,E425)),1,0)))&gt;0,1,0))</f>
        <v/>
      </c>
      <c r="M425" s="12">
        <f>IF(H425&lt;&gt;1,0,IF((IF(Classifiers!$B$8="",0,IF(ISNUMBER(SEARCH(Classifiers!$B$8,E425)),1,0))+IF(Classifiers!$C$8="",0,IF(ISNUMBER(SEARCH(Classifiers!$C$8,E425)),1,0))+IF(Classifiers!$D$8="",0,IF(ISNUMBER(SEARCH(Classifiers!$D$8,E425)),1,0))+IF(Classifiers!$E$8="",0,IF(ISNUMBER(SEARCH(Classifiers!$E$8,E425)),1,0))+IF(Classifiers!$F$8="",0,IF(ISNUMBER(SEARCH(Classifiers!$F$8,E425)),1,0))+IF(Classifiers!$G$8="",0,IF(ISNUMBER(SEARCH(Classifiers!$G$8,E425)),1,0)))&gt;0,1,0))</f>
        <v/>
      </c>
      <c r="N425" s="12">
        <f>IF(H425&lt;&gt;1,0,IF((IF(Classifiers!$B$9="",0,IF(ISNUMBER(SEARCH(Classifiers!$B$9,E425)),1,0))+IF(Classifiers!$C$9="",0,IF(ISNUMBER(SEARCH(Classifiers!$C$9,E425)),1,0))+IF(Classifiers!$D$9="",0,IF(ISNUMBER(SEARCH(Classifiers!$D$9,E425)),1,0))+IF(Classifiers!$E$9="",0,IF(ISNUMBER(SEARCH(Classifiers!$E$9,E425)),1,0))+IF(Classifiers!$F$9="",0,IF(ISNUMBER(SEARCH(Classifiers!$F$9,E425)),1,0))+IF(Classifiers!$G$9="",0,IF(ISNUMBER(SEARCH(Classifiers!$G$9,E425)),1,0)))&gt;0,1,0))</f>
        <v/>
      </c>
      <c r="O425" s="12">
        <f>IF(H425&lt;&gt;1,0,IF((IF(Classifiers!$B$10="",0,IF(ISNUMBER(SEARCH(Classifiers!$B$10,E425)),1,0))+IF(Classifiers!$C$10="",0,IF(ISNUMBER(SEARCH(Classifiers!$C$10,E425)),1,0))+IF(Classifiers!$D$10="",0,IF(ISNUMBER(SEARCH(Classifiers!$D$10,E425)),1,0))+IF(Classifiers!$E$10="",0,IF(ISNUMBER(SEARCH(Classifiers!$E$10,E425)),1,0))+IF(Classifiers!$F$10="",0,IF(ISNUMBER(SEARCH(Classifiers!$F$10,E425)),1,0))+IF(Classifiers!$G$10="",0,IF(ISNUMBER(SEARCH(Classifiers!$G$10,E425)),1,0)))&gt;0,1,0))</f>
        <v/>
      </c>
      <c r="P425" s="12">
        <f>IF(H425&lt;&gt;1,0,IF((IF(Classifiers!$B$11="",0,IF(ISNUMBER(SEARCH(Classifiers!$B$11,E425)),1,0))+IF(Classifiers!$C$11="",0,IF(ISNUMBER(SEARCH(Classifiers!$C$11,E425)),1,0))+IF(Classifiers!$D$11="",0,IF(ISNUMBER(SEARCH(Classifiers!$D$11,E425)),1,0))+IF(Classifiers!$E$11="",0,IF(ISNUMBER(SEARCH(Classifiers!$E$11,E425)),1,0))+IF(Classifiers!$F$11="",0,IF(ISNUMBER(SEARCH(Classifiers!$F$11,E425)),1,0))+IF(Classifiers!$G$11="",0,IF(ISNUMBER(SEARCH(Classifiers!$G$11,E425)),1,0)))&gt;0,1,0))</f>
        <v/>
      </c>
      <c r="Q425" s="12">
        <f>IF(H425&lt;&gt;1,0,IF((IF(Classifiers!$B$12="",0,IF(ISNUMBER(SEARCH(Classifiers!$B$12,E425)),1,0))+IF(Classifiers!$C$12="",0,IF(ISNUMBER(SEARCH(Classifiers!$C$12,E425)),1,0))+IF(Classifiers!$D$12="",0,IF(ISNUMBER(SEARCH(Classifiers!$D$12,E425)),1,0))+IF(Classifiers!$E$12="",0,IF(ISNUMBER(SEARCH(Classifiers!$E$12,E425)),1,0))+IF(Classifiers!$F$12="",0,IF(ISNUMBER(SEARCH(Classifiers!$F$12,E425)),1,0))+IF(Classifiers!$G$12="",0,IF(ISNUMBER(SEARCH(Classifiers!$G$12,E425)),1,0)))&gt;0,1,0))</f>
        <v/>
      </c>
      <c r="R425" s="12">
        <f>IF(H425&lt;&gt;1,0,IF((IF(Classifiers!$B$13="",0,IF(ISNUMBER(SEARCH(Classifiers!$B$13,E425)),1,0))+IF(Classifiers!$C$13="",0,IF(ISNUMBER(SEARCH(Classifiers!$C$13,E425)),1,0))+IF(Classifiers!$D$13="",0,IF(ISNUMBER(SEARCH(Classifiers!$D$13,E425)),1,0))+IF(Classifiers!$E$13="",0,IF(ISNUMBER(SEARCH(Classifiers!$E$13,E425)),1,0))+IF(Classifiers!$F$13="",0,IF(ISNUMBER(SEARCH(Classifiers!$F$13,E425)),1,0))+IF(Classifiers!$G$13="",0,IF(ISNUMBER(SEARCH(Classifiers!$G$13,E425)),1,0)))&gt;0,1,0))</f>
        <v/>
      </c>
      <c r="S425" s="12">
        <f>IF(H425&lt;&gt;1,0,IF((IF(Classifiers!$B$14="",0,IF(ISNUMBER(SEARCH(Classifiers!$B$14,E425)),1,0))+IF(Classifiers!$C$14="",0,IF(ISNUMBER(SEARCH(Classifiers!$C$14,E425)),1,0))+IF(Classifiers!$D$14="",0,IF(ISNUMBER(SEARCH(Classifiers!$D$14,E425)),1,0))+IF(Classifiers!$E$14="",0,IF(ISNUMBER(SEARCH(Classifiers!$E$14,E425)),1,0))+IF(Classifiers!$F$14="",0,IF(ISNUMBER(SEARCH(Classifiers!$F$14,E425)),1,0))+IF(Classifiers!$G$14="",0,IF(ISNUMBER(SEARCH(Classifiers!$G$14,E425)),1,0)))&gt;0,1,0))</f>
        <v/>
      </c>
      <c r="T425" s="12">
        <f>IF(H425&lt;&gt;1,0,IF((IF(Classifiers!$B$15="",0,IF(ISNUMBER(SEARCH(Classifiers!$B$15,E425)),1,0))+IF(Classifiers!$C$15="",0,IF(ISNUMBER(SEARCH(Classifiers!$C$15,E425)),1,0))+IF(Classifiers!$D$15="",0,IF(ISNUMBER(SEARCH(Classifiers!$D$15,E425)),1,0))+IF(Classifiers!$E$15="",0,IF(ISNUMBER(SEARCH(Classifiers!$E$15,E425)),1,0))+IF(Classifiers!$F$15="",0,IF(ISNUMBER(SEARCH(Classifiers!$F$15,E425)),1,0))+IF(Classifiers!$G$15="",0,IF(ISNUMBER(SEARCH(Classifiers!$G$15,E425)),1,0)))&gt;0,1,0))</f>
        <v/>
      </c>
      <c r="U425" s="12">
        <f>IF(H425&lt;&gt;1,0,IF((IF(Classifiers!$B$16="",0,IF(ISNUMBER(SEARCH(Classifiers!$B$16,E425)),1,0))+IF(Classifiers!$C$16="",0,IF(ISNUMBER(SEARCH(Classifiers!$C$16,E425)),1,0))+IF(Classifiers!$D$16="",0,IF(ISNUMBER(SEARCH(Classifiers!$D$16,E425)),1,0))+IF(Classifiers!$E$16="",0,IF(ISNUMBER(SEARCH(Classifiers!$E$16,E425)),1,0))+IF(Classifiers!$F$16="",0,IF(ISNUMBER(SEARCH(Classifiers!$F$16,E425)),1,0))+IF(Classifiers!$G$16="",0,IF(ISNUMBER(SEARCH(Classifiers!$G$16,E425)),1,0)))&gt;0,1,0))</f>
        <v/>
      </c>
      <c r="V425" s="12">
        <f>IF(H425&lt;&gt;1,0,IF((IF(Classifiers!$B$17="",0,IF(ISNUMBER(SEARCH(Classifiers!$B$17,E425)),1,0))+IF(Classifiers!$C$17="",0,IF(ISNUMBER(SEARCH(Classifiers!$C$17,E425)),1,0))+IF(Classifiers!$D$17="",0,IF(ISNUMBER(SEARCH(Classifiers!$D$17,E425)),1,0))+IF(Classifiers!$E$17="",0,IF(ISNUMBER(SEARCH(Classifiers!$E$17,E425)),1,0))+IF(Classifiers!$F$17="",0,IF(ISNUMBER(SEARCH(Classifiers!$F$17,E425)),1,0))+IF(Classifiers!$G$17="",0,IF(ISNUMBER(SEARCH(Classifiers!$G$17,E425)),1,0)))&gt;0,1,0))</f>
        <v/>
      </c>
      <c r="W425" s="12">
        <f>IF(H425&lt;&gt;1,0,IF((IF(Classifiers!$B$18="",0,IF(ISNUMBER(SEARCH(Classifiers!$B$18,E425)),1,0))+IF(Classifiers!$C$18="",0,IF(ISNUMBER(SEARCH(Classifiers!$C$18,E425)),1,0))+IF(Classifiers!$D$18="",0,IF(ISNUMBER(SEARCH(Classifiers!$D$18,E425)),1,0))+IF(Classifiers!$E$18="",0,IF(ISNUMBER(SEARCH(Classifiers!$E$18,E425)),1,0))+IF(Classifiers!$F$18="",0,IF(ISNUMBER(SEARCH(Classifiers!$F$18,E425)),1,0))+IF(Classifiers!$G$18="",0,IF(ISNUMBER(SEARCH(Classifiers!$G$18,E425)),1,0)))&gt;0,1,0))</f>
        <v/>
      </c>
    </row>
    <row r="426">
      <c r="A426" s="8" t="n"/>
      <c r="B426" s="11" t="n"/>
      <c r="C426" s="6">
        <f>IF(A426="","",TRIM(RIGHT(SUBSTITUTE(A426,"/",REPT(" ",250)),250)))</f>
        <v/>
      </c>
      <c r="D426" s="6">
        <f>IF(C426="","",IF(ISNUMBER(SEARCH(".",C426)),LOWER("."&amp;TRIM(RIGHT(SUBSTITUTE(C426,".",REPT(" ",250)),250))),""))</f>
        <v/>
      </c>
      <c r="E426" s="6">
        <f>IF(C426="","",TRIM(SUBSTITUTE(SUBSTITUTE(SUBSTITUTE(SUBSTITUTE(SUBSTITUTE(SUBSTITUTE(SUBSTITUTE(SUBSTITUTE(SUBSTITUTE(SUBSTITUTE(SUBSTITUTE(SUBSTITUTE(SUBSTITUTE(SUBSTITUTE(SUBSTITUTE(SUBSTITUTE(SUBSTITUTE(SUBSTITUTE(SUBSTITUTE(SUBSTITUTE(LOWER(LEFT(C426,LEN(C426)-LEN(D426))),"_"," "),"-"," "),"."," "),","," "),"("," "),")"," "),"["," "),"]"," "),"&amp;"," "),"+"," "),"@"," "),"#"," "),"!"," "),"'"," "),"/"," "),":"," "),";"," "),"="," "),"~"," "),"%"," ")))</f>
        <v/>
      </c>
      <c r="F426" s="6">
        <f>IF(C426="","",IF(COUNTIF(Classifiers!$A$23:$A$40,D426)&gt;0,1,0))</f>
        <v/>
      </c>
      <c r="G426" s="6">
        <f>IF(C426="","",IF(COUNTIF(Classifiers!$C$23:$C$30,D426)&gt;0,IF((IF(ISNUMBER(SEARCH(Classifiers!$E$23,E426)),1,0)+IF(ISNUMBER(SEARCH(Classifiers!$E$24,E426)),1,0)+IF(ISNUMBER(SEARCH(Classifiers!$E$25,E426)),1,0)+IF(ISNUMBER(SEARCH(Classifiers!$E$26,E426)),1,0)+IF(ISNUMBER(SEARCH(Classifiers!$E$27,E426)),1,0)+IF(ISNUMBER(SEARCH(Classifiers!$E$28,E426)),1,0)+IF(ISNUMBER(SEARCH(Classifiers!$E$29,E426)),1,0)+IF(ISNUMBER(SEARCH(Classifiers!$E$30,E426)),1,0))&gt;0,1,0),0))</f>
        <v/>
      </c>
      <c r="H426" s="6">
        <f>IF(C426="","",IF(OR(LEFT(C426,1)=".",AND(F426=0,G426=0)),0,1))</f>
        <v/>
      </c>
      <c r="I426" s="6">
        <f>IF(H426&lt;&gt;1,"",IF(SUM(J426:W426)=0,"unclassified",INDEX(Classifiers!$A$5:$A$18,MATCH(1,J426:W426,0),1)))</f>
        <v/>
      </c>
      <c r="J426" s="12">
        <f>IF(H426&lt;&gt;1,0,IF((IF(Classifiers!$B$5="",0,IF(ISNUMBER(SEARCH(Classifiers!$B$5,E426)),1,0))+IF(Classifiers!$C$5="",0,IF(ISNUMBER(SEARCH(Classifiers!$C$5,E426)),1,0))+IF(Classifiers!$D$5="",0,IF(ISNUMBER(SEARCH(Classifiers!$D$5,E426)),1,0))+IF(Classifiers!$E$5="",0,IF(ISNUMBER(SEARCH(Classifiers!$E$5,E426)),1,0))+IF(Classifiers!$F$5="",0,IF(ISNUMBER(SEARCH(Classifiers!$F$5,E426)),1,0))+IF(Classifiers!$G$5="",0,IF(ISNUMBER(SEARCH(Classifiers!$G$5,E426)),1,0)))&gt;0,1,0))</f>
        <v/>
      </c>
      <c r="K426" s="12">
        <f>IF(H426&lt;&gt;1,0,IF((IF(Classifiers!$B$6="",0,IF(ISNUMBER(SEARCH(Classifiers!$B$6,E426)),1,0))+IF(Classifiers!$C$6="",0,IF(ISNUMBER(SEARCH(Classifiers!$C$6,E426)),1,0))+IF(Classifiers!$D$6="",0,IF(ISNUMBER(SEARCH(Classifiers!$D$6,E426)),1,0))+IF(Classifiers!$E$6="",0,IF(ISNUMBER(SEARCH(Classifiers!$E$6,E426)),1,0))+IF(Classifiers!$F$6="",0,IF(ISNUMBER(SEARCH(Classifiers!$F$6,E426)),1,0))+IF(Classifiers!$G$6="",0,IF(ISNUMBER(SEARCH(Classifiers!$G$6,E426)),1,0)))&gt;0,1,0))</f>
        <v/>
      </c>
      <c r="L426" s="12">
        <f>IF(H426&lt;&gt;1,0,IF((IF(Classifiers!$B$7="",0,IF(ISNUMBER(SEARCH(Classifiers!$B$7,E426)),1,0))+IF(Classifiers!$C$7="",0,IF(ISNUMBER(SEARCH(Classifiers!$C$7,E426)),1,0))+IF(Classifiers!$D$7="",0,IF(ISNUMBER(SEARCH(Classifiers!$D$7,E426)),1,0))+IF(Classifiers!$E$7="",0,IF(ISNUMBER(SEARCH(Classifiers!$E$7,E426)),1,0))+IF(Classifiers!$F$7="",0,IF(ISNUMBER(SEARCH(Classifiers!$F$7,E426)),1,0))+IF(Classifiers!$G$7="",0,IF(ISNUMBER(SEARCH(Classifiers!$G$7,E426)),1,0)))&gt;0,1,0))</f>
        <v/>
      </c>
      <c r="M426" s="12">
        <f>IF(H426&lt;&gt;1,0,IF((IF(Classifiers!$B$8="",0,IF(ISNUMBER(SEARCH(Classifiers!$B$8,E426)),1,0))+IF(Classifiers!$C$8="",0,IF(ISNUMBER(SEARCH(Classifiers!$C$8,E426)),1,0))+IF(Classifiers!$D$8="",0,IF(ISNUMBER(SEARCH(Classifiers!$D$8,E426)),1,0))+IF(Classifiers!$E$8="",0,IF(ISNUMBER(SEARCH(Classifiers!$E$8,E426)),1,0))+IF(Classifiers!$F$8="",0,IF(ISNUMBER(SEARCH(Classifiers!$F$8,E426)),1,0))+IF(Classifiers!$G$8="",0,IF(ISNUMBER(SEARCH(Classifiers!$G$8,E426)),1,0)))&gt;0,1,0))</f>
        <v/>
      </c>
      <c r="N426" s="12">
        <f>IF(H426&lt;&gt;1,0,IF((IF(Classifiers!$B$9="",0,IF(ISNUMBER(SEARCH(Classifiers!$B$9,E426)),1,0))+IF(Classifiers!$C$9="",0,IF(ISNUMBER(SEARCH(Classifiers!$C$9,E426)),1,0))+IF(Classifiers!$D$9="",0,IF(ISNUMBER(SEARCH(Classifiers!$D$9,E426)),1,0))+IF(Classifiers!$E$9="",0,IF(ISNUMBER(SEARCH(Classifiers!$E$9,E426)),1,0))+IF(Classifiers!$F$9="",0,IF(ISNUMBER(SEARCH(Classifiers!$F$9,E426)),1,0))+IF(Classifiers!$G$9="",0,IF(ISNUMBER(SEARCH(Classifiers!$G$9,E426)),1,0)))&gt;0,1,0))</f>
        <v/>
      </c>
      <c r="O426" s="12">
        <f>IF(H426&lt;&gt;1,0,IF((IF(Classifiers!$B$10="",0,IF(ISNUMBER(SEARCH(Classifiers!$B$10,E426)),1,0))+IF(Classifiers!$C$10="",0,IF(ISNUMBER(SEARCH(Classifiers!$C$10,E426)),1,0))+IF(Classifiers!$D$10="",0,IF(ISNUMBER(SEARCH(Classifiers!$D$10,E426)),1,0))+IF(Classifiers!$E$10="",0,IF(ISNUMBER(SEARCH(Classifiers!$E$10,E426)),1,0))+IF(Classifiers!$F$10="",0,IF(ISNUMBER(SEARCH(Classifiers!$F$10,E426)),1,0))+IF(Classifiers!$G$10="",0,IF(ISNUMBER(SEARCH(Classifiers!$G$10,E426)),1,0)))&gt;0,1,0))</f>
        <v/>
      </c>
      <c r="P426" s="12">
        <f>IF(H426&lt;&gt;1,0,IF((IF(Classifiers!$B$11="",0,IF(ISNUMBER(SEARCH(Classifiers!$B$11,E426)),1,0))+IF(Classifiers!$C$11="",0,IF(ISNUMBER(SEARCH(Classifiers!$C$11,E426)),1,0))+IF(Classifiers!$D$11="",0,IF(ISNUMBER(SEARCH(Classifiers!$D$11,E426)),1,0))+IF(Classifiers!$E$11="",0,IF(ISNUMBER(SEARCH(Classifiers!$E$11,E426)),1,0))+IF(Classifiers!$F$11="",0,IF(ISNUMBER(SEARCH(Classifiers!$F$11,E426)),1,0))+IF(Classifiers!$G$11="",0,IF(ISNUMBER(SEARCH(Classifiers!$G$11,E426)),1,0)))&gt;0,1,0))</f>
        <v/>
      </c>
      <c r="Q426" s="12">
        <f>IF(H426&lt;&gt;1,0,IF((IF(Classifiers!$B$12="",0,IF(ISNUMBER(SEARCH(Classifiers!$B$12,E426)),1,0))+IF(Classifiers!$C$12="",0,IF(ISNUMBER(SEARCH(Classifiers!$C$12,E426)),1,0))+IF(Classifiers!$D$12="",0,IF(ISNUMBER(SEARCH(Classifiers!$D$12,E426)),1,0))+IF(Classifiers!$E$12="",0,IF(ISNUMBER(SEARCH(Classifiers!$E$12,E426)),1,0))+IF(Classifiers!$F$12="",0,IF(ISNUMBER(SEARCH(Classifiers!$F$12,E426)),1,0))+IF(Classifiers!$G$12="",0,IF(ISNUMBER(SEARCH(Classifiers!$G$12,E426)),1,0)))&gt;0,1,0))</f>
        <v/>
      </c>
      <c r="R426" s="12">
        <f>IF(H426&lt;&gt;1,0,IF((IF(Classifiers!$B$13="",0,IF(ISNUMBER(SEARCH(Classifiers!$B$13,E426)),1,0))+IF(Classifiers!$C$13="",0,IF(ISNUMBER(SEARCH(Classifiers!$C$13,E426)),1,0))+IF(Classifiers!$D$13="",0,IF(ISNUMBER(SEARCH(Classifiers!$D$13,E426)),1,0))+IF(Classifiers!$E$13="",0,IF(ISNUMBER(SEARCH(Classifiers!$E$13,E426)),1,0))+IF(Classifiers!$F$13="",0,IF(ISNUMBER(SEARCH(Classifiers!$F$13,E426)),1,0))+IF(Classifiers!$G$13="",0,IF(ISNUMBER(SEARCH(Classifiers!$G$13,E426)),1,0)))&gt;0,1,0))</f>
        <v/>
      </c>
      <c r="S426" s="12">
        <f>IF(H426&lt;&gt;1,0,IF((IF(Classifiers!$B$14="",0,IF(ISNUMBER(SEARCH(Classifiers!$B$14,E426)),1,0))+IF(Classifiers!$C$14="",0,IF(ISNUMBER(SEARCH(Classifiers!$C$14,E426)),1,0))+IF(Classifiers!$D$14="",0,IF(ISNUMBER(SEARCH(Classifiers!$D$14,E426)),1,0))+IF(Classifiers!$E$14="",0,IF(ISNUMBER(SEARCH(Classifiers!$E$14,E426)),1,0))+IF(Classifiers!$F$14="",0,IF(ISNUMBER(SEARCH(Classifiers!$F$14,E426)),1,0))+IF(Classifiers!$G$14="",0,IF(ISNUMBER(SEARCH(Classifiers!$G$14,E426)),1,0)))&gt;0,1,0))</f>
        <v/>
      </c>
      <c r="T426" s="12">
        <f>IF(H426&lt;&gt;1,0,IF((IF(Classifiers!$B$15="",0,IF(ISNUMBER(SEARCH(Classifiers!$B$15,E426)),1,0))+IF(Classifiers!$C$15="",0,IF(ISNUMBER(SEARCH(Classifiers!$C$15,E426)),1,0))+IF(Classifiers!$D$15="",0,IF(ISNUMBER(SEARCH(Classifiers!$D$15,E426)),1,0))+IF(Classifiers!$E$15="",0,IF(ISNUMBER(SEARCH(Classifiers!$E$15,E426)),1,0))+IF(Classifiers!$F$15="",0,IF(ISNUMBER(SEARCH(Classifiers!$F$15,E426)),1,0))+IF(Classifiers!$G$15="",0,IF(ISNUMBER(SEARCH(Classifiers!$G$15,E426)),1,0)))&gt;0,1,0))</f>
        <v/>
      </c>
      <c r="U426" s="12">
        <f>IF(H426&lt;&gt;1,0,IF((IF(Classifiers!$B$16="",0,IF(ISNUMBER(SEARCH(Classifiers!$B$16,E426)),1,0))+IF(Classifiers!$C$16="",0,IF(ISNUMBER(SEARCH(Classifiers!$C$16,E426)),1,0))+IF(Classifiers!$D$16="",0,IF(ISNUMBER(SEARCH(Classifiers!$D$16,E426)),1,0))+IF(Classifiers!$E$16="",0,IF(ISNUMBER(SEARCH(Classifiers!$E$16,E426)),1,0))+IF(Classifiers!$F$16="",0,IF(ISNUMBER(SEARCH(Classifiers!$F$16,E426)),1,0))+IF(Classifiers!$G$16="",0,IF(ISNUMBER(SEARCH(Classifiers!$G$16,E426)),1,0)))&gt;0,1,0))</f>
        <v/>
      </c>
      <c r="V426" s="12">
        <f>IF(H426&lt;&gt;1,0,IF((IF(Classifiers!$B$17="",0,IF(ISNUMBER(SEARCH(Classifiers!$B$17,E426)),1,0))+IF(Classifiers!$C$17="",0,IF(ISNUMBER(SEARCH(Classifiers!$C$17,E426)),1,0))+IF(Classifiers!$D$17="",0,IF(ISNUMBER(SEARCH(Classifiers!$D$17,E426)),1,0))+IF(Classifiers!$E$17="",0,IF(ISNUMBER(SEARCH(Classifiers!$E$17,E426)),1,0))+IF(Classifiers!$F$17="",0,IF(ISNUMBER(SEARCH(Classifiers!$F$17,E426)),1,0))+IF(Classifiers!$G$17="",0,IF(ISNUMBER(SEARCH(Classifiers!$G$17,E426)),1,0)))&gt;0,1,0))</f>
        <v/>
      </c>
      <c r="W426" s="12">
        <f>IF(H426&lt;&gt;1,0,IF((IF(Classifiers!$B$18="",0,IF(ISNUMBER(SEARCH(Classifiers!$B$18,E426)),1,0))+IF(Classifiers!$C$18="",0,IF(ISNUMBER(SEARCH(Classifiers!$C$18,E426)),1,0))+IF(Classifiers!$D$18="",0,IF(ISNUMBER(SEARCH(Classifiers!$D$18,E426)),1,0))+IF(Classifiers!$E$18="",0,IF(ISNUMBER(SEARCH(Classifiers!$E$18,E426)),1,0))+IF(Classifiers!$F$18="",0,IF(ISNUMBER(SEARCH(Classifiers!$F$18,E426)),1,0))+IF(Classifiers!$G$18="",0,IF(ISNUMBER(SEARCH(Classifiers!$G$18,E426)),1,0)))&gt;0,1,0))</f>
        <v/>
      </c>
    </row>
    <row r="427">
      <c r="A427" s="8" t="n"/>
      <c r="B427" s="11" t="n"/>
      <c r="C427" s="6">
        <f>IF(A427="","",TRIM(RIGHT(SUBSTITUTE(A427,"/",REPT(" ",250)),250)))</f>
        <v/>
      </c>
      <c r="D427" s="6">
        <f>IF(C427="","",IF(ISNUMBER(SEARCH(".",C427)),LOWER("."&amp;TRIM(RIGHT(SUBSTITUTE(C427,".",REPT(" ",250)),250))),""))</f>
        <v/>
      </c>
      <c r="E427" s="6">
        <f>IF(C427="","",TRIM(SUBSTITUTE(SUBSTITUTE(SUBSTITUTE(SUBSTITUTE(SUBSTITUTE(SUBSTITUTE(SUBSTITUTE(SUBSTITUTE(SUBSTITUTE(SUBSTITUTE(SUBSTITUTE(SUBSTITUTE(SUBSTITUTE(SUBSTITUTE(SUBSTITUTE(SUBSTITUTE(SUBSTITUTE(SUBSTITUTE(SUBSTITUTE(SUBSTITUTE(LOWER(LEFT(C427,LEN(C427)-LEN(D427))),"_"," "),"-"," "),"."," "),","," "),"("," "),")"," "),"["," "),"]"," "),"&amp;"," "),"+"," "),"@"," "),"#"," "),"!"," "),"'"," "),"/"," "),":"," "),";"," "),"="," "),"~"," "),"%"," ")))</f>
        <v/>
      </c>
      <c r="F427" s="6">
        <f>IF(C427="","",IF(COUNTIF(Classifiers!$A$23:$A$40,D427)&gt;0,1,0))</f>
        <v/>
      </c>
      <c r="G427" s="6">
        <f>IF(C427="","",IF(COUNTIF(Classifiers!$C$23:$C$30,D427)&gt;0,IF((IF(ISNUMBER(SEARCH(Classifiers!$E$23,E427)),1,0)+IF(ISNUMBER(SEARCH(Classifiers!$E$24,E427)),1,0)+IF(ISNUMBER(SEARCH(Classifiers!$E$25,E427)),1,0)+IF(ISNUMBER(SEARCH(Classifiers!$E$26,E427)),1,0)+IF(ISNUMBER(SEARCH(Classifiers!$E$27,E427)),1,0)+IF(ISNUMBER(SEARCH(Classifiers!$E$28,E427)),1,0)+IF(ISNUMBER(SEARCH(Classifiers!$E$29,E427)),1,0)+IF(ISNUMBER(SEARCH(Classifiers!$E$30,E427)),1,0))&gt;0,1,0),0))</f>
        <v/>
      </c>
      <c r="H427" s="6">
        <f>IF(C427="","",IF(OR(LEFT(C427,1)=".",AND(F427=0,G427=0)),0,1))</f>
        <v/>
      </c>
      <c r="I427" s="6">
        <f>IF(H427&lt;&gt;1,"",IF(SUM(J427:W427)=0,"unclassified",INDEX(Classifiers!$A$5:$A$18,MATCH(1,J427:W427,0),1)))</f>
        <v/>
      </c>
      <c r="J427" s="12">
        <f>IF(H427&lt;&gt;1,0,IF((IF(Classifiers!$B$5="",0,IF(ISNUMBER(SEARCH(Classifiers!$B$5,E427)),1,0))+IF(Classifiers!$C$5="",0,IF(ISNUMBER(SEARCH(Classifiers!$C$5,E427)),1,0))+IF(Classifiers!$D$5="",0,IF(ISNUMBER(SEARCH(Classifiers!$D$5,E427)),1,0))+IF(Classifiers!$E$5="",0,IF(ISNUMBER(SEARCH(Classifiers!$E$5,E427)),1,0))+IF(Classifiers!$F$5="",0,IF(ISNUMBER(SEARCH(Classifiers!$F$5,E427)),1,0))+IF(Classifiers!$G$5="",0,IF(ISNUMBER(SEARCH(Classifiers!$G$5,E427)),1,0)))&gt;0,1,0))</f>
        <v/>
      </c>
      <c r="K427" s="12">
        <f>IF(H427&lt;&gt;1,0,IF((IF(Classifiers!$B$6="",0,IF(ISNUMBER(SEARCH(Classifiers!$B$6,E427)),1,0))+IF(Classifiers!$C$6="",0,IF(ISNUMBER(SEARCH(Classifiers!$C$6,E427)),1,0))+IF(Classifiers!$D$6="",0,IF(ISNUMBER(SEARCH(Classifiers!$D$6,E427)),1,0))+IF(Classifiers!$E$6="",0,IF(ISNUMBER(SEARCH(Classifiers!$E$6,E427)),1,0))+IF(Classifiers!$F$6="",0,IF(ISNUMBER(SEARCH(Classifiers!$F$6,E427)),1,0))+IF(Classifiers!$G$6="",0,IF(ISNUMBER(SEARCH(Classifiers!$G$6,E427)),1,0)))&gt;0,1,0))</f>
        <v/>
      </c>
      <c r="L427" s="12">
        <f>IF(H427&lt;&gt;1,0,IF((IF(Classifiers!$B$7="",0,IF(ISNUMBER(SEARCH(Classifiers!$B$7,E427)),1,0))+IF(Classifiers!$C$7="",0,IF(ISNUMBER(SEARCH(Classifiers!$C$7,E427)),1,0))+IF(Classifiers!$D$7="",0,IF(ISNUMBER(SEARCH(Classifiers!$D$7,E427)),1,0))+IF(Classifiers!$E$7="",0,IF(ISNUMBER(SEARCH(Classifiers!$E$7,E427)),1,0))+IF(Classifiers!$F$7="",0,IF(ISNUMBER(SEARCH(Classifiers!$F$7,E427)),1,0))+IF(Classifiers!$G$7="",0,IF(ISNUMBER(SEARCH(Classifiers!$G$7,E427)),1,0)))&gt;0,1,0))</f>
        <v/>
      </c>
      <c r="M427" s="12">
        <f>IF(H427&lt;&gt;1,0,IF((IF(Classifiers!$B$8="",0,IF(ISNUMBER(SEARCH(Classifiers!$B$8,E427)),1,0))+IF(Classifiers!$C$8="",0,IF(ISNUMBER(SEARCH(Classifiers!$C$8,E427)),1,0))+IF(Classifiers!$D$8="",0,IF(ISNUMBER(SEARCH(Classifiers!$D$8,E427)),1,0))+IF(Classifiers!$E$8="",0,IF(ISNUMBER(SEARCH(Classifiers!$E$8,E427)),1,0))+IF(Classifiers!$F$8="",0,IF(ISNUMBER(SEARCH(Classifiers!$F$8,E427)),1,0))+IF(Classifiers!$G$8="",0,IF(ISNUMBER(SEARCH(Classifiers!$G$8,E427)),1,0)))&gt;0,1,0))</f>
        <v/>
      </c>
      <c r="N427" s="12">
        <f>IF(H427&lt;&gt;1,0,IF((IF(Classifiers!$B$9="",0,IF(ISNUMBER(SEARCH(Classifiers!$B$9,E427)),1,0))+IF(Classifiers!$C$9="",0,IF(ISNUMBER(SEARCH(Classifiers!$C$9,E427)),1,0))+IF(Classifiers!$D$9="",0,IF(ISNUMBER(SEARCH(Classifiers!$D$9,E427)),1,0))+IF(Classifiers!$E$9="",0,IF(ISNUMBER(SEARCH(Classifiers!$E$9,E427)),1,0))+IF(Classifiers!$F$9="",0,IF(ISNUMBER(SEARCH(Classifiers!$F$9,E427)),1,0))+IF(Classifiers!$G$9="",0,IF(ISNUMBER(SEARCH(Classifiers!$G$9,E427)),1,0)))&gt;0,1,0))</f>
        <v/>
      </c>
      <c r="O427" s="12">
        <f>IF(H427&lt;&gt;1,0,IF((IF(Classifiers!$B$10="",0,IF(ISNUMBER(SEARCH(Classifiers!$B$10,E427)),1,0))+IF(Classifiers!$C$10="",0,IF(ISNUMBER(SEARCH(Classifiers!$C$10,E427)),1,0))+IF(Classifiers!$D$10="",0,IF(ISNUMBER(SEARCH(Classifiers!$D$10,E427)),1,0))+IF(Classifiers!$E$10="",0,IF(ISNUMBER(SEARCH(Classifiers!$E$10,E427)),1,0))+IF(Classifiers!$F$10="",0,IF(ISNUMBER(SEARCH(Classifiers!$F$10,E427)),1,0))+IF(Classifiers!$G$10="",0,IF(ISNUMBER(SEARCH(Classifiers!$G$10,E427)),1,0)))&gt;0,1,0))</f>
        <v/>
      </c>
      <c r="P427" s="12">
        <f>IF(H427&lt;&gt;1,0,IF((IF(Classifiers!$B$11="",0,IF(ISNUMBER(SEARCH(Classifiers!$B$11,E427)),1,0))+IF(Classifiers!$C$11="",0,IF(ISNUMBER(SEARCH(Classifiers!$C$11,E427)),1,0))+IF(Classifiers!$D$11="",0,IF(ISNUMBER(SEARCH(Classifiers!$D$11,E427)),1,0))+IF(Classifiers!$E$11="",0,IF(ISNUMBER(SEARCH(Classifiers!$E$11,E427)),1,0))+IF(Classifiers!$F$11="",0,IF(ISNUMBER(SEARCH(Classifiers!$F$11,E427)),1,0))+IF(Classifiers!$G$11="",0,IF(ISNUMBER(SEARCH(Classifiers!$G$11,E427)),1,0)))&gt;0,1,0))</f>
        <v/>
      </c>
      <c r="Q427" s="12">
        <f>IF(H427&lt;&gt;1,0,IF((IF(Classifiers!$B$12="",0,IF(ISNUMBER(SEARCH(Classifiers!$B$12,E427)),1,0))+IF(Classifiers!$C$12="",0,IF(ISNUMBER(SEARCH(Classifiers!$C$12,E427)),1,0))+IF(Classifiers!$D$12="",0,IF(ISNUMBER(SEARCH(Classifiers!$D$12,E427)),1,0))+IF(Classifiers!$E$12="",0,IF(ISNUMBER(SEARCH(Classifiers!$E$12,E427)),1,0))+IF(Classifiers!$F$12="",0,IF(ISNUMBER(SEARCH(Classifiers!$F$12,E427)),1,0))+IF(Classifiers!$G$12="",0,IF(ISNUMBER(SEARCH(Classifiers!$G$12,E427)),1,0)))&gt;0,1,0))</f>
        <v/>
      </c>
      <c r="R427" s="12">
        <f>IF(H427&lt;&gt;1,0,IF((IF(Classifiers!$B$13="",0,IF(ISNUMBER(SEARCH(Classifiers!$B$13,E427)),1,0))+IF(Classifiers!$C$13="",0,IF(ISNUMBER(SEARCH(Classifiers!$C$13,E427)),1,0))+IF(Classifiers!$D$13="",0,IF(ISNUMBER(SEARCH(Classifiers!$D$13,E427)),1,0))+IF(Classifiers!$E$13="",0,IF(ISNUMBER(SEARCH(Classifiers!$E$13,E427)),1,0))+IF(Classifiers!$F$13="",0,IF(ISNUMBER(SEARCH(Classifiers!$F$13,E427)),1,0))+IF(Classifiers!$G$13="",0,IF(ISNUMBER(SEARCH(Classifiers!$G$13,E427)),1,0)))&gt;0,1,0))</f>
        <v/>
      </c>
      <c r="S427" s="12">
        <f>IF(H427&lt;&gt;1,0,IF((IF(Classifiers!$B$14="",0,IF(ISNUMBER(SEARCH(Classifiers!$B$14,E427)),1,0))+IF(Classifiers!$C$14="",0,IF(ISNUMBER(SEARCH(Classifiers!$C$14,E427)),1,0))+IF(Classifiers!$D$14="",0,IF(ISNUMBER(SEARCH(Classifiers!$D$14,E427)),1,0))+IF(Classifiers!$E$14="",0,IF(ISNUMBER(SEARCH(Classifiers!$E$14,E427)),1,0))+IF(Classifiers!$F$14="",0,IF(ISNUMBER(SEARCH(Classifiers!$F$14,E427)),1,0))+IF(Classifiers!$G$14="",0,IF(ISNUMBER(SEARCH(Classifiers!$G$14,E427)),1,0)))&gt;0,1,0))</f>
        <v/>
      </c>
      <c r="T427" s="12">
        <f>IF(H427&lt;&gt;1,0,IF((IF(Classifiers!$B$15="",0,IF(ISNUMBER(SEARCH(Classifiers!$B$15,E427)),1,0))+IF(Classifiers!$C$15="",0,IF(ISNUMBER(SEARCH(Classifiers!$C$15,E427)),1,0))+IF(Classifiers!$D$15="",0,IF(ISNUMBER(SEARCH(Classifiers!$D$15,E427)),1,0))+IF(Classifiers!$E$15="",0,IF(ISNUMBER(SEARCH(Classifiers!$E$15,E427)),1,0))+IF(Classifiers!$F$15="",0,IF(ISNUMBER(SEARCH(Classifiers!$F$15,E427)),1,0))+IF(Classifiers!$G$15="",0,IF(ISNUMBER(SEARCH(Classifiers!$G$15,E427)),1,0)))&gt;0,1,0))</f>
        <v/>
      </c>
      <c r="U427" s="12">
        <f>IF(H427&lt;&gt;1,0,IF((IF(Classifiers!$B$16="",0,IF(ISNUMBER(SEARCH(Classifiers!$B$16,E427)),1,0))+IF(Classifiers!$C$16="",0,IF(ISNUMBER(SEARCH(Classifiers!$C$16,E427)),1,0))+IF(Classifiers!$D$16="",0,IF(ISNUMBER(SEARCH(Classifiers!$D$16,E427)),1,0))+IF(Classifiers!$E$16="",0,IF(ISNUMBER(SEARCH(Classifiers!$E$16,E427)),1,0))+IF(Classifiers!$F$16="",0,IF(ISNUMBER(SEARCH(Classifiers!$F$16,E427)),1,0))+IF(Classifiers!$G$16="",0,IF(ISNUMBER(SEARCH(Classifiers!$G$16,E427)),1,0)))&gt;0,1,0))</f>
        <v/>
      </c>
      <c r="V427" s="12">
        <f>IF(H427&lt;&gt;1,0,IF((IF(Classifiers!$B$17="",0,IF(ISNUMBER(SEARCH(Classifiers!$B$17,E427)),1,0))+IF(Classifiers!$C$17="",0,IF(ISNUMBER(SEARCH(Classifiers!$C$17,E427)),1,0))+IF(Classifiers!$D$17="",0,IF(ISNUMBER(SEARCH(Classifiers!$D$17,E427)),1,0))+IF(Classifiers!$E$17="",0,IF(ISNUMBER(SEARCH(Classifiers!$E$17,E427)),1,0))+IF(Classifiers!$F$17="",0,IF(ISNUMBER(SEARCH(Classifiers!$F$17,E427)),1,0))+IF(Classifiers!$G$17="",0,IF(ISNUMBER(SEARCH(Classifiers!$G$17,E427)),1,0)))&gt;0,1,0))</f>
        <v/>
      </c>
      <c r="W427" s="12">
        <f>IF(H427&lt;&gt;1,0,IF((IF(Classifiers!$B$18="",0,IF(ISNUMBER(SEARCH(Classifiers!$B$18,E427)),1,0))+IF(Classifiers!$C$18="",0,IF(ISNUMBER(SEARCH(Classifiers!$C$18,E427)),1,0))+IF(Classifiers!$D$18="",0,IF(ISNUMBER(SEARCH(Classifiers!$D$18,E427)),1,0))+IF(Classifiers!$E$18="",0,IF(ISNUMBER(SEARCH(Classifiers!$E$18,E427)),1,0))+IF(Classifiers!$F$18="",0,IF(ISNUMBER(SEARCH(Classifiers!$F$18,E427)),1,0))+IF(Classifiers!$G$18="",0,IF(ISNUMBER(SEARCH(Classifiers!$G$18,E427)),1,0)))&gt;0,1,0))</f>
        <v/>
      </c>
    </row>
    <row r="428">
      <c r="A428" s="8" t="n"/>
      <c r="B428" s="11" t="n"/>
      <c r="C428" s="6">
        <f>IF(A428="","",TRIM(RIGHT(SUBSTITUTE(A428,"/",REPT(" ",250)),250)))</f>
        <v/>
      </c>
      <c r="D428" s="6">
        <f>IF(C428="","",IF(ISNUMBER(SEARCH(".",C428)),LOWER("."&amp;TRIM(RIGHT(SUBSTITUTE(C428,".",REPT(" ",250)),250))),""))</f>
        <v/>
      </c>
      <c r="E428" s="6">
        <f>IF(C428="","",TRIM(SUBSTITUTE(SUBSTITUTE(SUBSTITUTE(SUBSTITUTE(SUBSTITUTE(SUBSTITUTE(SUBSTITUTE(SUBSTITUTE(SUBSTITUTE(SUBSTITUTE(SUBSTITUTE(SUBSTITUTE(SUBSTITUTE(SUBSTITUTE(SUBSTITUTE(SUBSTITUTE(SUBSTITUTE(SUBSTITUTE(SUBSTITUTE(SUBSTITUTE(LOWER(LEFT(C428,LEN(C428)-LEN(D428))),"_"," "),"-"," "),"."," "),","," "),"("," "),")"," "),"["," "),"]"," "),"&amp;"," "),"+"," "),"@"," "),"#"," "),"!"," "),"'"," "),"/"," "),":"," "),";"," "),"="," "),"~"," "),"%"," ")))</f>
        <v/>
      </c>
      <c r="F428" s="6">
        <f>IF(C428="","",IF(COUNTIF(Classifiers!$A$23:$A$40,D428)&gt;0,1,0))</f>
        <v/>
      </c>
      <c r="G428" s="6">
        <f>IF(C428="","",IF(COUNTIF(Classifiers!$C$23:$C$30,D428)&gt;0,IF((IF(ISNUMBER(SEARCH(Classifiers!$E$23,E428)),1,0)+IF(ISNUMBER(SEARCH(Classifiers!$E$24,E428)),1,0)+IF(ISNUMBER(SEARCH(Classifiers!$E$25,E428)),1,0)+IF(ISNUMBER(SEARCH(Classifiers!$E$26,E428)),1,0)+IF(ISNUMBER(SEARCH(Classifiers!$E$27,E428)),1,0)+IF(ISNUMBER(SEARCH(Classifiers!$E$28,E428)),1,0)+IF(ISNUMBER(SEARCH(Classifiers!$E$29,E428)),1,0)+IF(ISNUMBER(SEARCH(Classifiers!$E$30,E428)),1,0))&gt;0,1,0),0))</f>
        <v/>
      </c>
      <c r="H428" s="6">
        <f>IF(C428="","",IF(OR(LEFT(C428,1)=".",AND(F428=0,G428=0)),0,1))</f>
        <v/>
      </c>
      <c r="I428" s="6">
        <f>IF(H428&lt;&gt;1,"",IF(SUM(J428:W428)=0,"unclassified",INDEX(Classifiers!$A$5:$A$18,MATCH(1,J428:W428,0),1)))</f>
        <v/>
      </c>
      <c r="J428" s="12">
        <f>IF(H428&lt;&gt;1,0,IF((IF(Classifiers!$B$5="",0,IF(ISNUMBER(SEARCH(Classifiers!$B$5,E428)),1,0))+IF(Classifiers!$C$5="",0,IF(ISNUMBER(SEARCH(Classifiers!$C$5,E428)),1,0))+IF(Classifiers!$D$5="",0,IF(ISNUMBER(SEARCH(Classifiers!$D$5,E428)),1,0))+IF(Classifiers!$E$5="",0,IF(ISNUMBER(SEARCH(Classifiers!$E$5,E428)),1,0))+IF(Classifiers!$F$5="",0,IF(ISNUMBER(SEARCH(Classifiers!$F$5,E428)),1,0))+IF(Classifiers!$G$5="",0,IF(ISNUMBER(SEARCH(Classifiers!$G$5,E428)),1,0)))&gt;0,1,0))</f>
        <v/>
      </c>
      <c r="K428" s="12">
        <f>IF(H428&lt;&gt;1,0,IF((IF(Classifiers!$B$6="",0,IF(ISNUMBER(SEARCH(Classifiers!$B$6,E428)),1,0))+IF(Classifiers!$C$6="",0,IF(ISNUMBER(SEARCH(Classifiers!$C$6,E428)),1,0))+IF(Classifiers!$D$6="",0,IF(ISNUMBER(SEARCH(Classifiers!$D$6,E428)),1,0))+IF(Classifiers!$E$6="",0,IF(ISNUMBER(SEARCH(Classifiers!$E$6,E428)),1,0))+IF(Classifiers!$F$6="",0,IF(ISNUMBER(SEARCH(Classifiers!$F$6,E428)),1,0))+IF(Classifiers!$G$6="",0,IF(ISNUMBER(SEARCH(Classifiers!$G$6,E428)),1,0)))&gt;0,1,0))</f>
        <v/>
      </c>
      <c r="L428" s="12">
        <f>IF(H428&lt;&gt;1,0,IF((IF(Classifiers!$B$7="",0,IF(ISNUMBER(SEARCH(Classifiers!$B$7,E428)),1,0))+IF(Classifiers!$C$7="",0,IF(ISNUMBER(SEARCH(Classifiers!$C$7,E428)),1,0))+IF(Classifiers!$D$7="",0,IF(ISNUMBER(SEARCH(Classifiers!$D$7,E428)),1,0))+IF(Classifiers!$E$7="",0,IF(ISNUMBER(SEARCH(Classifiers!$E$7,E428)),1,0))+IF(Classifiers!$F$7="",0,IF(ISNUMBER(SEARCH(Classifiers!$F$7,E428)),1,0))+IF(Classifiers!$G$7="",0,IF(ISNUMBER(SEARCH(Classifiers!$G$7,E428)),1,0)))&gt;0,1,0))</f>
        <v/>
      </c>
      <c r="M428" s="12">
        <f>IF(H428&lt;&gt;1,0,IF((IF(Classifiers!$B$8="",0,IF(ISNUMBER(SEARCH(Classifiers!$B$8,E428)),1,0))+IF(Classifiers!$C$8="",0,IF(ISNUMBER(SEARCH(Classifiers!$C$8,E428)),1,0))+IF(Classifiers!$D$8="",0,IF(ISNUMBER(SEARCH(Classifiers!$D$8,E428)),1,0))+IF(Classifiers!$E$8="",0,IF(ISNUMBER(SEARCH(Classifiers!$E$8,E428)),1,0))+IF(Classifiers!$F$8="",0,IF(ISNUMBER(SEARCH(Classifiers!$F$8,E428)),1,0))+IF(Classifiers!$G$8="",0,IF(ISNUMBER(SEARCH(Classifiers!$G$8,E428)),1,0)))&gt;0,1,0))</f>
        <v/>
      </c>
      <c r="N428" s="12">
        <f>IF(H428&lt;&gt;1,0,IF((IF(Classifiers!$B$9="",0,IF(ISNUMBER(SEARCH(Classifiers!$B$9,E428)),1,0))+IF(Classifiers!$C$9="",0,IF(ISNUMBER(SEARCH(Classifiers!$C$9,E428)),1,0))+IF(Classifiers!$D$9="",0,IF(ISNUMBER(SEARCH(Classifiers!$D$9,E428)),1,0))+IF(Classifiers!$E$9="",0,IF(ISNUMBER(SEARCH(Classifiers!$E$9,E428)),1,0))+IF(Classifiers!$F$9="",0,IF(ISNUMBER(SEARCH(Classifiers!$F$9,E428)),1,0))+IF(Classifiers!$G$9="",0,IF(ISNUMBER(SEARCH(Classifiers!$G$9,E428)),1,0)))&gt;0,1,0))</f>
        <v/>
      </c>
      <c r="O428" s="12">
        <f>IF(H428&lt;&gt;1,0,IF((IF(Classifiers!$B$10="",0,IF(ISNUMBER(SEARCH(Classifiers!$B$10,E428)),1,0))+IF(Classifiers!$C$10="",0,IF(ISNUMBER(SEARCH(Classifiers!$C$10,E428)),1,0))+IF(Classifiers!$D$10="",0,IF(ISNUMBER(SEARCH(Classifiers!$D$10,E428)),1,0))+IF(Classifiers!$E$10="",0,IF(ISNUMBER(SEARCH(Classifiers!$E$10,E428)),1,0))+IF(Classifiers!$F$10="",0,IF(ISNUMBER(SEARCH(Classifiers!$F$10,E428)),1,0))+IF(Classifiers!$G$10="",0,IF(ISNUMBER(SEARCH(Classifiers!$G$10,E428)),1,0)))&gt;0,1,0))</f>
        <v/>
      </c>
      <c r="P428" s="12">
        <f>IF(H428&lt;&gt;1,0,IF((IF(Classifiers!$B$11="",0,IF(ISNUMBER(SEARCH(Classifiers!$B$11,E428)),1,0))+IF(Classifiers!$C$11="",0,IF(ISNUMBER(SEARCH(Classifiers!$C$11,E428)),1,0))+IF(Classifiers!$D$11="",0,IF(ISNUMBER(SEARCH(Classifiers!$D$11,E428)),1,0))+IF(Classifiers!$E$11="",0,IF(ISNUMBER(SEARCH(Classifiers!$E$11,E428)),1,0))+IF(Classifiers!$F$11="",0,IF(ISNUMBER(SEARCH(Classifiers!$F$11,E428)),1,0))+IF(Classifiers!$G$11="",0,IF(ISNUMBER(SEARCH(Classifiers!$G$11,E428)),1,0)))&gt;0,1,0))</f>
        <v/>
      </c>
      <c r="Q428" s="12">
        <f>IF(H428&lt;&gt;1,0,IF((IF(Classifiers!$B$12="",0,IF(ISNUMBER(SEARCH(Classifiers!$B$12,E428)),1,0))+IF(Classifiers!$C$12="",0,IF(ISNUMBER(SEARCH(Classifiers!$C$12,E428)),1,0))+IF(Classifiers!$D$12="",0,IF(ISNUMBER(SEARCH(Classifiers!$D$12,E428)),1,0))+IF(Classifiers!$E$12="",0,IF(ISNUMBER(SEARCH(Classifiers!$E$12,E428)),1,0))+IF(Classifiers!$F$12="",0,IF(ISNUMBER(SEARCH(Classifiers!$F$12,E428)),1,0))+IF(Classifiers!$G$12="",0,IF(ISNUMBER(SEARCH(Classifiers!$G$12,E428)),1,0)))&gt;0,1,0))</f>
        <v/>
      </c>
      <c r="R428" s="12">
        <f>IF(H428&lt;&gt;1,0,IF((IF(Classifiers!$B$13="",0,IF(ISNUMBER(SEARCH(Classifiers!$B$13,E428)),1,0))+IF(Classifiers!$C$13="",0,IF(ISNUMBER(SEARCH(Classifiers!$C$13,E428)),1,0))+IF(Classifiers!$D$13="",0,IF(ISNUMBER(SEARCH(Classifiers!$D$13,E428)),1,0))+IF(Classifiers!$E$13="",0,IF(ISNUMBER(SEARCH(Classifiers!$E$13,E428)),1,0))+IF(Classifiers!$F$13="",0,IF(ISNUMBER(SEARCH(Classifiers!$F$13,E428)),1,0))+IF(Classifiers!$G$13="",0,IF(ISNUMBER(SEARCH(Classifiers!$G$13,E428)),1,0)))&gt;0,1,0))</f>
        <v/>
      </c>
      <c r="S428" s="12">
        <f>IF(H428&lt;&gt;1,0,IF((IF(Classifiers!$B$14="",0,IF(ISNUMBER(SEARCH(Classifiers!$B$14,E428)),1,0))+IF(Classifiers!$C$14="",0,IF(ISNUMBER(SEARCH(Classifiers!$C$14,E428)),1,0))+IF(Classifiers!$D$14="",0,IF(ISNUMBER(SEARCH(Classifiers!$D$14,E428)),1,0))+IF(Classifiers!$E$14="",0,IF(ISNUMBER(SEARCH(Classifiers!$E$14,E428)),1,0))+IF(Classifiers!$F$14="",0,IF(ISNUMBER(SEARCH(Classifiers!$F$14,E428)),1,0))+IF(Classifiers!$G$14="",0,IF(ISNUMBER(SEARCH(Classifiers!$G$14,E428)),1,0)))&gt;0,1,0))</f>
        <v/>
      </c>
      <c r="T428" s="12">
        <f>IF(H428&lt;&gt;1,0,IF((IF(Classifiers!$B$15="",0,IF(ISNUMBER(SEARCH(Classifiers!$B$15,E428)),1,0))+IF(Classifiers!$C$15="",0,IF(ISNUMBER(SEARCH(Classifiers!$C$15,E428)),1,0))+IF(Classifiers!$D$15="",0,IF(ISNUMBER(SEARCH(Classifiers!$D$15,E428)),1,0))+IF(Classifiers!$E$15="",0,IF(ISNUMBER(SEARCH(Classifiers!$E$15,E428)),1,0))+IF(Classifiers!$F$15="",0,IF(ISNUMBER(SEARCH(Classifiers!$F$15,E428)),1,0))+IF(Classifiers!$G$15="",0,IF(ISNUMBER(SEARCH(Classifiers!$G$15,E428)),1,0)))&gt;0,1,0))</f>
        <v/>
      </c>
      <c r="U428" s="12">
        <f>IF(H428&lt;&gt;1,0,IF((IF(Classifiers!$B$16="",0,IF(ISNUMBER(SEARCH(Classifiers!$B$16,E428)),1,0))+IF(Classifiers!$C$16="",0,IF(ISNUMBER(SEARCH(Classifiers!$C$16,E428)),1,0))+IF(Classifiers!$D$16="",0,IF(ISNUMBER(SEARCH(Classifiers!$D$16,E428)),1,0))+IF(Classifiers!$E$16="",0,IF(ISNUMBER(SEARCH(Classifiers!$E$16,E428)),1,0))+IF(Classifiers!$F$16="",0,IF(ISNUMBER(SEARCH(Classifiers!$F$16,E428)),1,0))+IF(Classifiers!$G$16="",0,IF(ISNUMBER(SEARCH(Classifiers!$G$16,E428)),1,0)))&gt;0,1,0))</f>
        <v/>
      </c>
      <c r="V428" s="12">
        <f>IF(H428&lt;&gt;1,0,IF((IF(Classifiers!$B$17="",0,IF(ISNUMBER(SEARCH(Classifiers!$B$17,E428)),1,0))+IF(Classifiers!$C$17="",0,IF(ISNUMBER(SEARCH(Classifiers!$C$17,E428)),1,0))+IF(Classifiers!$D$17="",0,IF(ISNUMBER(SEARCH(Classifiers!$D$17,E428)),1,0))+IF(Classifiers!$E$17="",0,IF(ISNUMBER(SEARCH(Classifiers!$E$17,E428)),1,0))+IF(Classifiers!$F$17="",0,IF(ISNUMBER(SEARCH(Classifiers!$F$17,E428)),1,0))+IF(Classifiers!$G$17="",0,IF(ISNUMBER(SEARCH(Classifiers!$G$17,E428)),1,0)))&gt;0,1,0))</f>
        <v/>
      </c>
      <c r="W428" s="12">
        <f>IF(H428&lt;&gt;1,0,IF((IF(Classifiers!$B$18="",0,IF(ISNUMBER(SEARCH(Classifiers!$B$18,E428)),1,0))+IF(Classifiers!$C$18="",0,IF(ISNUMBER(SEARCH(Classifiers!$C$18,E428)),1,0))+IF(Classifiers!$D$18="",0,IF(ISNUMBER(SEARCH(Classifiers!$D$18,E428)),1,0))+IF(Classifiers!$E$18="",0,IF(ISNUMBER(SEARCH(Classifiers!$E$18,E428)),1,0))+IF(Classifiers!$F$18="",0,IF(ISNUMBER(SEARCH(Classifiers!$F$18,E428)),1,0))+IF(Classifiers!$G$18="",0,IF(ISNUMBER(SEARCH(Classifiers!$G$18,E428)),1,0)))&gt;0,1,0))</f>
        <v/>
      </c>
    </row>
    <row r="429">
      <c r="A429" s="8" t="n"/>
      <c r="B429" s="11" t="n"/>
      <c r="C429" s="6">
        <f>IF(A429="","",TRIM(RIGHT(SUBSTITUTE(A429,"/",REPT(" ",250)),250)))</f>
        <v/>
      </c>
      <c r="D429" s="6">
        <f>IF(C429="","",IF(ISNUMBER(SEARCH(".",C429)),LOWER("."&amp;TRIM(RIGHT(SUBSTITUTE(C429,".",REPT(" ",250)),250))),""))</f>
        <v/>
      </c>
      <c r="E429" s="6">
        <f>IF(C429="","",TRIM(SUBSTITUTE(SUBSTITUTE(SUBSTITUTE(SUBSTITUTE(SUBSTITUTE(SUBSTITUTE(SUBSTITUTE(SUBSTITUTE(SUBSTITUTE(SUBSTITUTE(SUBSTITUTE(SUBSTITUTE(SUBSTITUTE(SUBSTITUTE(SUBSTITUTE(SUBSTITUTE(SUBSTITUTE(SUBSTITUTE(SUBSTITUTE(SUBSTITUTE(LOWER(LEFT(C429,LEN(C429)-LEN(D429))),"_"," "),"-"," "),"."," "),","," "),"("," "),")"," "),"["," "),"]"," "),"&amp;"," "),"+"," "),"@"," "),"#"," "),"!"," "),"'"," "),"/"," "),":"," "),";"," "),"="," "),"~"," "),"%"," ")))</f>
        <v/>
      </c>
      <c r="F429" s="6">
        <f>IF(C429="","",IF(COUNTIF(Classifiers!$A$23:$A$40,D429)&gt;0,1,0))</f>
        <v/>
      </c>
      <c r="G429" s="6">
        <f>IF(C429="","",IF(COUNTIF(Classifiers!$C$23:$C$30,D429)&gt;0,IF((IF(ISNUMBER(SEARCH(Classifiers!$E$23,E429)),1,0)+IF(ISNUMBER(SEARCH(Classifiers!$E$24,E429)),1,0)+IF(ISNUMBER(SEARCH(Classifiers!$E$25,E429)),1,0)+IF(ISNUMBER(SEARCH(Classifiers!$E$26,E429)),1,0)+IF(ISNUMBER(SEARCH(Classifiers!$E$27,E429)),1,0)+IF(ISNUMBER(SEARCH(Classifiers!$E$28,E429)),1,0)+IF(ISNUMBER(SEARCH(Classifiers!$E$29,E429)),1,0)+IF(ISNUMBER(SEARCH(Classifiers!$E$30,E429)),1,0))&gt;0,1,0),0))</f>
        <v/>
      </c>
      <c r="H429" s="6">
        <f>IF(C429="","",IF(OR(LEFT(C429,1)=".",AND(F429=0,G429=0)),0,1))</f>
        <v/>
      </c>
      <c r="I429" s="6">
        <f>IF(H429&lt;&gt;1,"",IF(SUM(J429:W429)=0,"unclassified",INDEX(Classifiers!$A$5:$A$18,MATCH(1,J429:W429,0),1)))</f>
        <v/>
      </c>
      <c r="J429" s="12">
        <f>IF(H429&lt;&gt;1,0,IF((IF(Classifiers!$B$5="",0,IF(ISNUMBER(SEARCH(Classifiers!$B$5,E429)),1,0))+IF(Classifiers!$C$5="",0,IF(ISNUMBER(SEARCH(Classifiers!$C$5,E429)),1,0))+IF(Classifiers!$D$5="",0,IF(ISNUMBER(SEARCH(Classifiers!$D$5,E429)),1,0))+IF(Classifiers!$E$5="",0,IF(ISNUMBER(SEARCH(Classifiers!$E$5,E429)),1,0))+IF(Classifiers!$F$5="",0,IF(ISNUMBER(SEARCH(Classifiers!$F$5,E429)),1,0))+IF(Classifiers!$G$5="",0,IF(ISNUMBER(SEARCH(Classifiers!$G$5,E429)),1,0)))&gt;0,1,0))</f>
        <v/>
      </c>
      <c r="K429" s="12">
        <f>IF(H429&lt;&gt;1,0,IF((IF(Classifiers!$B$6="",0,IF(ISNUMBER(SEARCH(Classifiers!$B$6,E429)),1,0))+IF(Classifiers!$C$6="",0,IF(ISNUMBER(SEARCH(Classifiers!$C$6,E429)),1,0))+IF(Classifiers!$D$6="",0,IF(ISNUMBER(SEARCH(Classifiers!$D$6,E429)),1,0))+IF(Classifiers!$E$6="",0,IF(ISNUMBER(SEARCH(Classifiers!$E$6,E429)),1,0))+IF(Classifiers!$F$6="",0,IF(ISNUMBER(SEARCH(Classifiers!$F$6,E429)),1,0))+IF(Classifiers!$G$6="",0,IF(ISNUMBER(SEARCH(Classifiers!$G$6,E429)),1,0)))&gt;0,1,0))</f>
        <v/>
      </c>
      <c r="L429" s="12">
        <f>IF(H429&lt;&gt;1,0,IF((IF(Classifiers!$B$7="",0,IF(ISNUMBER(SEARCH(Classifiers!$B$7,E429)),1,0))+IF(Classifiers!$C$7="",0,IF(ISNUMBER(SEARCH(Classifiers!$C$7,E429)),1,0))+IF(Classifiers!$D$7="",0,IF(ISNUMBER(SEARCH(Classifiers!$D$7,E429)),1,0))+IF(Classifiers!$E$7="",0,IF(ISNUMBER(SEARCH(Classifiers!$E$7,E429)),1,0))+IF(Classifiers!$F$7="",0,IF(ISNUMBER(SEARCH(Classifiers!$F$7,E429)),1,0))+IF(Classifiers!$G$7="",0,IF(ISNUMBER(SEARCH(Classifiers!$G$7,E429)),1,0)))&gt;0,1,0))</f>
        <v/>
      </c>
      <c r="M429" s="12">
        <f>IF(H429&lt;&gt;1,0,IF((IF(Classifiers!$B$8="",0,IF(ISNUMBER(SEARCH(Classifiers!$B$8,E429)),1,0))+IF(Classifiers!$C$8="",0,IF(ISNUMBER(SEARCH(Classifiers!$C$8,E429)),1,0))+IF(Classifiers!$D$8="",0,IF(ISNUMBER(SEARCH(Classifiers!$D$8,E429)),1,0))+IF(Classifiers!$E$8="",0,IF(ISNUMBER(SEARCH(Classifiers!$E$8,E429)),1,0))+IF(Classifiers!$F$8="",0,IF(ISNUMBER(SEARCH(Classifiers!$F$8,E429)),1,0))+IF(Classifiers!$G$8="",0,IF(ISNUMBER(SEARCH(Classifiers!$G$8,E429)),1,0)))&gt;0,1,0))</f>
        <v/>
      </c>
      <c r="N429" s="12">
        <f>IF(H429&lt;&gt;1,0,IF((IF(Classifiers!$B$9="",0,IF(ISNUMBER(SEARCH(Classifiers!$B$9,E429)),1,0))+IF(Classifiers!$C$9="",0,IF(ISNUMBER(SEARCH(Classifiers!$C$9,E429)),1,0))+IF(Classifiers!$D$9="",0,IF(ISNUMBER(SEARCH(Classifiers!$D$9,E429)),1,0))+IF(Classifiers!$E$9="",0,IF(ISNUMBER(SEARCH(Classifiers!$E$9,E429)),1,0))+IF(Classifiers!$F$9="",0,IF(ISNUMBER(SEARCH(Classifiers!$F$9,E429)),1,0))+IF(Classifiers!$G$9="",0,IF(ISNUMBER(SEARCH(Classifiers!$G$9,E429)),1,0)))&gt;0,1,0))</f>
        <v/>
      </c>
      <c r="O429" s="12">
        <f>IF(H429&lt;&gt;1,0,IF((IF(Classifiers!$B$10="",0,IF(ISNUMBER(SEARCH(Classifiers!$B$10,E429)),1,0))+IF(Classifiers!$C$10="",0,IF(ISNUMBER(SEARCH(Classifiers!$C$10,E429)),1,0))+IF(Classifiers!$D$10="",0,IF(ISNUMBER(SEARCH(Classifiers!$D$10,E429)),1,0))+IF(Classifiers!$E$10="",0,IF(ISNUMBER(SEARCH(Classifiers!$E$10,E429)),1,0))+IF(Classifiers!$F$10="",0,IF(ISNUMBER(SEARCH(Classifiers!$F$10,E429)),1,0))+IF(Classifiers!$G$10="",0,IF(ISNUMBER(SEARCH(Classifiers!$G$10,E429)),1,0)))&gt;0,1,0))</f>
        <v/>
      </c>
      <c r="P429" s="12">
        <f>IF(H429&lt;&gt;1,0,IF((IF(Classifiers!$B$11="",0,IF(ISNUMBER(SEARCH(Classifiers!$B$11,E429)),1,0))+IF(Classifiers!$C$11="",0,IF(ISNUMBER(SEARCH(Classifiers!$C$11,E429)),1,0))+IF(Classifiers!$D$11="",0,IF(ISNUMBER(SEARCH(Classifiers!$D$11,E429)),1,0))+IF(Classifiers!$E$11="",0,IF(ISNUMBER(SEARCH(Classifiers!$E$11,E429)),1,0))+IF(Classifiers!$F$11="",0,IF(ISNUMBER(SEARCH(Classifiers!$F$11,E429)),1,0))+IF(Classifiers!$G$11="",0,IF(ISNUMBER(SEARCH(Classifiers!$G$11,E429)),1,0)))&gt;0,1,0))</f>
        <v/>
      </c>
      <c r="Q429" s="12">
        <f>IF(H429&lt;&gt;1,0,IF((IF(Classifiers!$B$12="",0,IF(ISNUMBER(SEARCH(Classifiers!$B$12,E429)),1,0))+IF(Classifiers!$C$12="",0,IF(ISNUMBER(SEARCH(Classifiers!$C$12,E429)),1,0))+IF(Classifiers!$D$12="",0,IF(ISNUMBER(SEARCH(Classifiers!$D$12,E429)),1,0))+IF(Classifiers!$E$12="",0,IF(ISNUMBER(SEARCH(Classifiers!$E$12,E429)),1,0))+IF(Classifiers!$F$12="",0,IF(ISNUMBER(SEARCH(Classifiers!$F$12,E429)),1,0))+IF(Classifiers!$G$12="",0,IF(ISNUMBER(SEARCH(Classifiers!$G$12,E429)),1,0)))&gt;0,1,0))</f>
        <v/>
      </c>
      <c r="R429" s="12">
        <f>IF(H429&lt;&gt;1,0,IF((IF(Classifiers!$B$13="",0,IF(ISNUMBER(SEARCH(Classifiers!$B$13,E429)),1,0))+IF(Classifiers!$C$13="",0,IF(ISNUMBER(SEARCH(Classifiers!$C$13,E429)),1,0))+IF(Classifiers!$D$13="",0,IF(ISNUMBER(SEARCH(Classifiers!$D$13,E429)),1,0))+IF(Classifiers!$E$13="",0,IF(ISNUMBER(SEARCH(Classifiers!$E$13,E429)),1,0))+IF(Classifiers!$F$13="",0,IF(ISNUMBER(SEARCH(Classifiers!$F$13,E429)),1,0))+IF(Classifiers!$G$13="",0,IF(ISNUMBER(SEARCH(Classifiers!$G$13,E429)),1,0)))&gt;0,1,0))</f>
        <v/>
      </c>
      <c r="S429" s="12">
        <f>IF(H429&lt;&gt;1,0,IF((IF(Classifiers!$B$14="",0,IF(ISNUMBER(SEARCH(Classifiers!$B$14,E429)),1,0))+IF(Classifiers!$C$14="",0,IF(ISNUMBER(SEARCH(Classifiers!$C$14,E429)),1,0))+IF(Classifiers!$D$14="",0,IF(ISNUMBER(SEARCH(Classifiers!$D$14,E429)),1,0))+IF(Classifiers!$E$14="",0,IF(ISNUMBER(SEARCH(Classifiers!$E$14,E429)),1,0))+IF(Classifiers!$F$14="",0,IF(ISNUMBER(SEARCH(Classifiers!$F$14,E429)),1,0))+IF(Classifiers!$G$14="",0,IF(ISNUMBER(SEARCH(Classifiers!$G$14,E429)),1,0)))&gt;0,1,0))</f>
        <v/>
      </c>
      <c r="T429" s="12">
        <f>IF(H429&lt;&gt;1,0,IF((IF(Classifiers!$B$15="",0,IF(ISNUMBER(SEARCH(Classifiers!$B$15,E429)),1,0))+IF(Classifiers!$C$15="",0,IF(ISNUMBER(SEARCH(Classifiers!$C$15,E429)),1,0))+IF(Classifiers!$D$15="",0,IF(ISNUMBER(SEARCH(Classifiers!$D$15,E429)),1,0))+IF(Classifiers!$E$15="",0,IF(ISNUMBER(SEARCH(Classifiers!$E$15,E429)),1,0))+IF(Classifiers!$F$15="",0,IF(ISNUMBER(SEARCH(Classifiers!$F$15,E429)),1,0))+IF(Classifiers!$G$15="",0,IF(ISNUMBER(SEARCH(Classifiers!$G$15,E429)),1,0)))&gt;0,1,0))</f>
        <v/>
      </c>
      <c r="U429" s="12">
        <f>IF(H429&lt;&gt;1,0,IF((IF(Classifiers!$B$16="",0,IF(ISNUMBER(SEARCH(Classifiers!$B$16,E429)),1,0))+IF(Classifiers!$C$16="",0,IF(ISNUMBER(SEARCH(Classifiers!$C$16,E429)),1,0))+IF(Classifiers!$D$16="",0,IF(ISNUMBER(SEARCH(Classifiers!$D$16,E429)),1,0))+IF(Classifiers!$E$16="",0,IF(ISNUMBER(SEARCH(Classifiers!$E$16,E429)),1,0))+IF(Classifiers!$F$16="",0,IF(ISNUMBER(SEARCH(Classifiers!$F$16,E429)),1,0))+IF(Classifiers!$G$16="",0,IF(ISNUMBER(SEARCH(Classifiers!$G$16,E429)),1,0)))&gt;0,1,0))</f>
        <v/>
      </c>
      <c r="V429" s="12">
        <f>IF(H429&lt;&gt;1,0,IF((IF(Classifiers!$B$17="",0,IF(ISNUMBER(SEARCH(Classifiers!$B$17,E429)),1,0))+IF(Classifiers!$C$17="",0,IF(ISNUMBER(SEARCH(Classifiers!$C$17,E429)),1,0))+IF(Classifiers!$D$17="",0,IF(ISNUMBER(SEARCH(Classifiers!$D$17,E429)),1,0))+IF(Classifiers!$E$17="",0,IF(ISNUMBER(SEARCH(Classifiers!$E$17,E429)),1,0))+IF(Classifiers!$F$17="",0,IF(ISNUMBER(SEARCH(Classifiers!$F$17,E429)),1,0))+IF(Classifiers!$G$17="",0,IF(ISNUMBER(SEARCH(Classifiers!$G$17,E429)),1,0)))&gt;0,1,0))</f>
        <v/>
      </c>
      <c r="W429" s="12">
        <f>IF(H429&lt;&gt;1,0,IF((IF(Classifiers!$B$18="",0,IF(ISNUMBER(SEARCH(Classifiers!$B$18,E429)),1,0))+IF(Classifiers!$C$18="",0,IF(ISNUMBER(SEARCH(Classifiers!$C$18,E429)),1,0))+IF(Classifiers!$D$18="",0,IF(ISNUMBER(SEARCH(Classifiers!$D$18,E429)),1,0))+IF(Classifiers!$E$18="",0,IF(ISNUMBER(SEARCH(Classifiers!$E$18,E429)),1,0))+IF(Classifiers!$F$18="",0,IF(ISNUMBER(SEARCH(Classifiers!$F$18,E429)),1,0))+IF(Classifiers!$G$18="",0,IF(ISNUMBER(SEARCH(Classifiers!$G$18,E429)),1,0)))&gt;0,1,0))</f>
        <v/>
      </c>
    </row>
    <row r="430">
      <c r="A430" s="8" t="n"/>
      <c r="B430" s="11" t="n"/>
      <c r="C430" s="6">
        <f>IF(A430="","",TRIM(RIGHT(SUBSTITUTE(A430,"/",REPT(" ",250)),250)))</f>
        <v/>
      </c>
      <c r="D430" s="6">
        <f>IF(C430="","",IF(ISNUMBER(SEARCH(".",C430)),LOWER("."&amp;TRIM(RIGHT(SUBSTITUTE(C430,".",REPT(" ",250)),250))),""))</f>
        <v/>
      </c>
      <c r="E430" s="6">
        <f>IF(C430="","",TRIM(SUBSTITUTE(SUBSTITUTE(SUBSTITUTE(SUBSTITUTE(SUBSTITUTE(SUBSTITUTE(SUBSTITUTE(SUBSTITUTE(SUBSTITUTE(SUBSTITUTE(SUBSTITUTE(SUBSTITUTE(SUBSTITUTE(SUBSTITUTE(SUBSTITUTE(SUBSTITUTE(SUBSTITUTE(SUBSTITUTE(SUBSTITUTE(SUBSTITUTE(LOWER(LEFT(C430,LEN(C430)-LEN(D430))),"_"," "),"-"," "),"."," "),","," "),"("," "),")"," "),"["," "),"]"," "),"&amp;"," "),"+"," "),"@"," "),"#"," "),"!"," "),"'"," "),"/"," "),":"," "),";"," "),"="," "),"~"," "),"%"," ")))</f>
        <v/>
      </c>
      <c r="F430" s="6">
        <f>IF(C430="","",IF(COUNTIF(Classifiers!$A$23:$A$40,D430)&gt;0,1,0))</f>
        <v/>
      </c>
      <c r="G430" s="6">
        <f>IF(C430="","",IF(COUNTIF(Classifiers!$C$23:$C$30,D430)&gt;0,IF((IF(ISNUMBER(SEARCH(Classifiers!$E$23,E430)),1,0)+IF(ISNUMBER(SEARCH(Classifiers!$E$24,E430)),1,0)+IF(ISNUMBER(SEARCH(Classifiers!$E$25,E430)),1,0)+IF(ISNUMBER(SEARCH(Classifiers!$E$26,E430)),1,0)+IF(ISNUMBER(SEARCH(Classifiers!$E$27,E430)),1,0)+IF(ISNUMBER(SEARCH(Classifiers!$E$28,E430)),1,0)+IF(ISNUMBER(SEARCH(Classifiers!$E$29,E430)),1,0)+IF(ISNUMBER(SEARCH(Classifiers!$E$30,E430)),1,0))&gt;0,1,0),0))</f>
        <v/>
      </c>
      <c r="H430" s="6">
        <f>IF(C430="","",IF(OR(LEFT(C430,1)=".",AND(F430=0,G430=0)),0,1))</f>
        <v/>
      </c>
      <c r="I430" s="6">
        <f>IF(H430&lt;&gt;1,"",IF(SUM(J430:W430)=0,"unclassified",INDEX(Classifiers!$A$5:$A$18,MATCH(1,J430:W430,0),1)))</f>
        <v/>
      </c>
      <c r="J430" s="12">
        <f>IF(H430&lt;&gt;1,0,IF((IF(Classifiers!$B$5="",0,IF(ISNUMBER(SEARCH(Classifiers!$B$5,E430)),1,0))+IF(Classifiers!$C$5="",0,IF(ISNUMBER(SEARCH(Classifiers!$C$5,E430)),1,0))+IF(Classifiers!$D$5="",0,IF(ISNUMBER(SEARCH(Classifiers!$D$5,E430)),1,0))+IF(Classifiers!$E$5="",0,IF(ISNUMBER(SEARCH(Classifiers!$E$5,E430)),1,0))+IF(Classifiers!$F$5="",0,IF(ISNUMBER(SEARCH(Classifiers!$F$5,E430)),1,0))+IF(Classifiers!$G$5="",0,IF(ISNUMBER(SEARCH(Classifiers!$G$5,E430)),1,0)))&gt;0,1,0))</f>
        <v/>
      </c>
      <c r="K430" s="12">
        <f>IF(H430&lt;&gt;1,0,IF((IF(Classifiers!$B$6="",0,IF(ISNUMBER(SEARCH(Classifiers!$B$6,E430)),1,0))+IF(Classifiers!$C$6="",0,IF(ISNUMBER(SEARCH(Classifiers!$C$6,E430)),1,0))+IF(Classifiers!$D$6="",0,IF(ISNUMBER(SEARCH(Classifiers!$D$6,E430)),1,0))+IF(Classifiers!$E$6="",0,IF(ISNUMBER(SEARCH(Classifiers!$E$6,E430)),1,0))+IF(Classifiers!$F$6="",0,IF(ISNUMBER(SEARCH(Classifiers!$F$6,E430)),1,0))+IF(Classifiers!$G$6="",0,IF(ISNUMBER(SEARCH(Classifiers!$G$6,E430)),1,0)))&gt;0,1,0))</f>
        <v/>
      </c>
      <c r="L430" s="12">
        <f>IF(H430&lt;&gt;1,0,IF((IF(Classifiers!$B$7="",0,IF(ISNUMBER(SEARCH(Classifiers!$B$7,E430)),1,0))+IF(Classifiers!$C$7="",0,IF(ISNUMBER(SEARCH(Classifiers!$C$7,E430)),1,0))+IF(Classifiers!$D$7="",0,IF(ISNUMBER(SEARCH(Classifiers!$D$7,E430)),1,0))+IF(Classifiers!$E$7="",0,IF(ISNUMBER(SEARCH(Classifiers!$E$7,E430)),1,0))+IF(Classifiers!$F$7="",0,IF(ISNUMBER(SEARCH(Classifiers!$F$7,E430)),1,0))+IF(Classifiers!$G$7="",0,IF(ISNUMBER(SEARCH(Classifiers!$G$7,E430)),1,0)))&gt;0,1,0))</f>
        <v/>
      </c>
      <c r="M430" s="12">
        <f>IF(H430&lt;&gt;1,0,IF((IF(Classifiers!$B$8="",0,IF(ISNUMBER(SEARCH(Classifiers!$B$8,E430)),1,0))+IF(Classifiers!$C$8="",0,IF(ISNUMBER(SEARCH(Classifiers!$C$8,E430)),1,0))+IF(Classifiers!$D$8="",0,IF(ISNUMBER(SEARCH(Classifiers!$D$8,E430)),1,0))+IF(Classifiers!$E$8="",0,IF(ISNUMBER(SEARCH(Classifiers!$E$8,E430)),1,0))+IF(Classifiers!$F$8="",0,IF(ISNUMBER(SEARCH(Classifiers!$F$8,E430)),1,0))+IF(Classifiers!$G$8="",0,IF(ISNUMBER(SEARCH(Classifiers!$G$8,E430)),1,0)))&gt;0,1,0))</f>
        <v/>
      </c>
      <c r="N430" s="12">
        <f>IF(H430&lt;&gt;1,0,IF((IF(Classifiers!$B$9="",0,IF(ISNUMBER(SEARCH(Classifiers!$B$9,E430)),1,0))+IF(Classifiers!$C$9="",0,IF(ISNUMBER(SEARCH(Classifiers!$C$9,E430)),1,0))+IF(Classifiers!$D$9="",0,IF(ISNUMBER(SEARCH(Classifiers!$D$9,E430)),1,0))+IF(Classifiers!$E$9="",0,IF(ISNUMBER(SEARCH(Classifiers!$E$9,E430)),1,0))+IF(Classifiers!$F$9="",0,IF(ISNUMBER(SEARCH(Classifiers!$F$9,E430)),1,0))+IF(Classifiers!$G$9="",0,IF(ISNUMBER(SEARCH(Classifiers!$G$9,E430)),1,0)))&gt;0,1,0))</f>
        <v/>
      </c>
      <c r="O430" s="12">
        <f>IF(H430&lt;&gt;1,0,IF((IF(Classifiers!$B$10="",0,IF(ISNUMBER(SEARCH(Classifiers!$B$10,E430)),1,0))+IF(Classifiers!$C$10="",0,IF(ISNUMBER(SEARCH(Classifiers!$C$10,E430)),1,0))+IF(Classifiers!$D$10="",0,IF(ISNUMBER(SEARCH(Classifiers!$D$10,E430)),1,0))+IF(Classifiers!$E$10="",0,IF(ISNUMBER(SEARCH(Classifiers!$E$10,E430)),1,0))+IF(Classifiers!$F$10="",0,IF(ISNUMBER(SEARCH(Classifiers!$F$10,E430)),1,0))+IF(Classifiers!$G$10="",0,IF(ISNUMBER(SEARCH(Classifiers!$G$10,E430)),1,0)))&gt;0,1,0))</f>
        <v/>
      </c>
      <c r="P430" s="12">
        <f>IF(H430&lt;&gt;1,0,IF((IF(Classifiers!$B$11="",0,IF(ISNUMBER(SEARCH(Classifiers!$B$11,E430)),1,0))+IF(Classifiers!$C$11="",0,IF(ISNUMBER(SEARCH(Classifiers!$C$11,E430)),1,0))+IF(Classifiers!$D$11="",0,IF(ISNUMBER(SEARCH(Classifiers!$D$11,E430)),1,0))+IF(Classifiers!$E$11="",0,IF(ISNUMBER(SEARCH(Classifiers!$E$11,E430)),1,0))+IF(Classifiers!$F$11="",0,IF(ISNUMBER(SEARCH(Classifiers!$F$11,E430)),1,0))+IF(Classifiers!$G$11="",0,IF(ISNUMBER(SEARCH(Classifiers!$G$11,E430)),1,0)))&gt;0,1,0))</f>
        <v/>
      </c>
      <c r="Q430" s="12">
        <f>IF(H430&lt;&gt;1,0,IF((IF(Classifiers!$B$12="",0,IF(ISNUMBER(SEARCH(Classifiers!$B$12,E430)),1,0))+IF(Classifiers!$C$12="",0,IF(ISNUMBER(SEARCH(Classifiers!$C$12,E430)),1,0))+IF(Classifiers!$D$12="",0,IF(ISNUMBER(SEARCH(Classifiers!$D$12,E430)),1,0))+IF(Classifiers!$E$12="",0,IF(ISNUMBER(SEARCH(Classifiers!$E$12,E430)),1,0))+IF(Classifiers!$F$12="",0,IF(ISNUMBER(SEARCH(Classifiers!$F$12,E430)),1,0))+IF(Classifiers!$G$12="",0,IF(ISNUMBER(SEARCH(Classifiers!$G$12,E430)),1,0)))&gt;0,1,0))</f>
        <v/>
      </c>
      <c r="R430" s="12">
        <f>IF(H430&lt;&gt;1,0,IF((IF(Classifiers!$B$13="",0,IF(ISNUMBER(SEARCH(Classifiers!$B$13,E430)),1,0))+IF(Classifiers!$C$13="",0,IF(ISNUMBER(SEARCH(Classifiers!$C$13,E430)),1,0))+IF(Classifiers!$D$13="",0,IF(ISNUMBER(SEARCH(Classifiers!$D$13,E430)),1,0))+IF(Classifiers!$E$13="",0,IF(ISNUMBER(SEARCH(Classifiers!$E$13,E430)),1,0))+IF(Classifiers!$F$13="",0,IF(ISNUMBER(SEARCH(Classifiers!$F$13,E430)),1,0))+IF(Classifiers!$G$13="",0,IF(ISNUMBER(SEARCH(Classifiers!$G$13,E430)),1,0)))&gt;0,1,0))</f>
        <v/>
      </c>
      <c r="S430" s="12">
        <f>IF(H430&lt;&gt;1,0,IF((IF(Classifiers!$B$14="",0,IF(ISNUMBER(SEARCH(Classifiers!$B$14,E430)),1,0))+IF(Classifiers!$C$14="",0,IF(ISNUMBER(SEARCH(Classifiers!$C$14,E430)),1,0))+IF(Classifiers!$D$14="",0,IF(ISNUMBER(SEARCH(Classifiers!$D$14,E430)),1,0))+IF(Classifiers!$E$14="",0,IF(ISNUMBER(SEARCH(Classifiers!$E$14,E430)),1,0))+IF(Classifiers!$F$14="",0,IF(ISNUMBER(SEARCH(Classifiers!$F$14,E430)),1,0))+IF(Classifiers!$G$14="",0,IF(ISNUMBER(SEARCH(Classifiers!$G$14,E430)),1,0)))&gt;0,1,0))</f>
        <v/>
      </c>
      <c r="T430" s="12">
        <f>IF(H430&lt;&gt;1,0,IF((IF(Classifiers!$B$15="",0,IF(ISNUMBER(SEARCH(Classifiers!$B$15,E430)),1,0))+IF(Classifiers!$C$15="",0,IF(ISNUMBER(SEARCH(Classifiers!$C$15,E430)),1,0))+IF(Classifiers!$D$15="",0,IF(ISNUMBER(SEARCH(Classifiers!$D$15,E430)),1,0))+IF(Classifiers!$E$15="",0,IF(ISNUMBER(SEARCH(Classifiers!$E$15,E430)),1,0))+IF(Classifiers!$F$15="",0,IF(ISNUMBER(SEARCH(Classifiers!$F$15,E430)),1,0))+IF(Classifiers!$G$15="",0,IF(ISNUMBER(SEARCH(Classifiers!$G$15,E430)),1,0)))&gt;0,1,0))</f>
        <v/>
      </c>
      <c r="U430" s="12">
        <f>IF(H430&lt;&gt;1,0,IF((IF(Classifiers!$B$16="",0,IF(ISNUMBER(SEARCH(Classifiers!$B$16,E430)),1,0))+IF(Classifiers!$C$16="",0,IF(ISNUMBER(SEARCH(Classifiers!$C$16,E430)),1,0))+IF(Classifiers!$D$16="",0,IF(ISNUMBER(SEARCH(Classifiers!$D$16,E430)),1,0))+IF(Classifiers!$E$16="",0,IF(ISNUMBER(SEARCH(Classifiers!$E$16,E430)),1,0))+IF(Classifiers!$F$16="",0,IF(ISNUMBER(SEARCH(Classifiers!$F$16,E430)),1,0))+IF(Classifiers!$G$16="",0,IF(ISNUMBER(SEARCH(Classifiers!$G$16,E430)),1,0)))&gt;0,1,0))</f>
        <v/>
      </c>
      <c r="V430" s="12">
        <f>IF(H430&lt;&gt;1,0,IF((IF(Classifiers!$B$17="",0,IF(ISNUMBER(SEARCH(Classifiers!$B$17,E430)),1,0))+IF(Classifiers!$C$17="",0,IF(ISNUMBER(SEARCH(Classifiers!$C$17,E430)),1,0))+IF(Classifiers!$D$17="",0,IF(ISNUMBER(SEARCH(Classifiers!$D$17,E430)),1,0))+IF(Classifiers!$E$17="",0,IF(ISNUMBER(SEARCH(Classifiers!$E$17,E430)),1,0))+IF(Classifiers!$F$17="",0,IF(ISNUMBER(SEARCH(Classifiers!$F$17,E430)),1,0))+IF(Classifiers!$G$17="",0,IF(ISNUMBER(SEARCH(Classifiers!$G$17,E430)),1,0)))&gt;0,1,0))</f>
        <v/>
      </c>
      <c r="W430" s="12">
        <f>IF(H430&lt;&gt;1,0,IF((IF(Classifiers!$B$18="",0,IF(ISNUMBER(SEARCH(Classifiers!$B$18,E430)),1,0))+IF(Classifiers!$C$18="",0,IF(ISNUMBER(SEARCH(Classifiers!$C$18,E430)),1,0))+IF(Classifiers!$D$18="",0,IF(ISNUMBER(SEARCH(Classifiers!$D$18,E430)),1,0))+IF(Classifiers!$E$18="",0,IF(ISNUMBER(SEARCH(Classifiers!$E$18,E430)),1,0))+IF(Classifiers!$F$18="",0,IF(ISNUMBER(SEARCH(Classifiers!$F$18,E430)),1,0))+IF(Classifiers!$G$18="",0,IF(ISNUMBER(SEARCH(Classifiers!$G$18,E430)),1,0)))&gt;0,1,0))</f>
        <v/>
      </c>
    </row>
    <row r="431">
      <c r="A431" s="8" t="n"/>
      <c r="B431" s="11" t="n"/>
      <c r="C431" s="6">
        <f>IF(A431="","",TRIM(RIGHT(SUBSTITUTE(A431,"/",REPT(" ",250)),250)))</f>
        <v/>
      </c>
      <c r="D431" s="6">
        <f>IF(C431="","",IF(ISNUMBER(SEARCH(".",C431)),LOWER("."&amp;TRIM(RIGHT(SUBSTITUTE(C431,".",REPT(" ",250)),250))),""))</f>
        <v/>
      </c>
      <c r="E431" s="6">
        <f>IF(C431="","",TRIM(SUBSTITUTE(SUBSTITUTE(SUBSTITUTE(SUBSTITUTE(SUBSTITUTE(SUBSTITUTE(SUBSTITUTE(SUBSTITUTE(SUBSTITUTE(SUBSTITUTE(SUBSTITUTE(SUBSTITUTE(SUBSTITUTE(SUBSTITUTE(SUBSTITUTE(SUBSTITUTE(SUBSTITUTE(SUBSTITUTE(SUBSTITUTE(SUBSTITUTE(LOWER(LEFT(C431,LEN(C431)-LEN(D431))),"_"," "),"-"," "),"."," "),","," "),"("," "),")"," "),"["," "),"]"," "),"&amp;"," "),"+"," "),"@"," "),"#"," "),"!"," "),"'"," "),"/"," "),":"," "),";"," "),"="," "),"~"," "),"%"," ")))</f>
        <v/>
      </c>
      <c r="F431" s="6">
        <f>IF(C431="","",IF(COUNTIF(Classifiers!$A$23:$A$40,D431)&gt;0,1,0))</f>
        <v/>
      </c>
      <c r="G431" s="6">
        <f>IF(C431="","",IF(COUNTIF(Classifiers!$C$23:$C$30,D431)&gt;0,IF((IF(ISNUMBER(SEARCH(Classifiers!$E$23,E431)),1,0)+IF(ISNUMBER(SEARCH(Classifiers!$E$24,E431)),1,0)+IF(ISNUMBER(SEARCH(Classifiers!$E$25,E431)),1,0)+IF(ISNUMBER(SEARCH(Classifiers!$E$26,E431)),1,0)+IF(ISNUMBER(SEARCH(Classifiers!$E$27,E431)),1,0)+IF(ISNUMBER(SEARCH(Classifiers!$E$28,E431)),1,0)+IF(ISNUMBER(SEARCH(Classifiers!$E$29,E431)),1,0)+IF(ISNUMBER(SEARCH(Classifiers!$E$30,E431)),1,0))&gt;0,1,0),0))</f>
        <v/>
      </c>
      <c r="H431" s="6">
        <f>IF(C431="","",IF(OR(LEFT(C431,1)=".",AND(F431=0,G431=0)),0,1))</f>
        <v/>
      </c>
      <c r="I431" s="6">
        <f>IF(H431&lt;&gt;1,"",IF(SUM(J431:W431)=0,"unclassified",INDEX(Classifiers!$A$5:$A$18,MATCH(1,J431:W431,0),1)))</f>
        <v/>
      </c>
      <c r="J431" s="12">
        <f>IF(H431&lt;&gt;1,0,IF((IF(Classifiers!$B$5="",0,IF(ISNUMBER(SEARCH(Classifiers!$B$5,E431)),1,0))+IF(Classifiers!$C$5="",0,IF(ISNUMBER(SEARCH(Classifiers!$C$5,E431)),1,0))+IF(Classifiers!$D$5="",0,IF(ISNUMBER(SEARCH(Classifiers!$D$5,E431)),1,0))+IF(Classifiers!$E$5="",0,IF(ISNUMBER(SEARCH(Classifiers!$E$5,E431)),1,0))+IF(Classifiers!$F$5="",0,IF(ISNUMBER(SEARCH(Classifiers!$F$5,E431)),1,0))+IF(Classifiers!$G$5="",0,IF(ISNUMBER(SEARCH(Classifiers!$G$5,E431)),1,0)))&gt;0,1,0))</f>
        <v/>
      </c>
      <c r="K431" s="12">
        <f>IF(H431&lt;&gt;1,0,IF((IF(Classifiers!$B$6="",0,IF(ISNUMBER(SEARCH(Classifiers!$B$6,E431)),1,0))+IF(Classifiers!$C$6="",0,IF(ISNUMBER(SEARCH(Classifiers!$C$6,E431)),1,0))+IF(Classifiers!$D$6="",0,IF(ISNUMBER(SEARCH(Classifiers!$D$6,E431)),1,0))+IF(Classifiers!$E$6="",0,IF(ISNUMBER(SEARCH(Classifiers!$E$6,E431)),1,0))+IF(Classifiers!$F$6="",0,IF(ISNUMBER(SEARCH(Classifiers!$F$6,E431)),1,0))+IF(Classifiers!$G$6="",0,IF(ISNUMBER(SEARCH(Classifiers!$G$6,E431)),1,0)))&gt;0,1,0))</f>
        <v/>
      </c>
      <c r="L431" s="12">
        <f>IF(H431&lt;&gt;1,0,IF((IF(Classifiers!$B$7="",0,IF(ISNUMBER(SEARCH(Classifiers!$B$7,E431)),1,0))+IF(Classifiers!$C$7="",0,IF(ISNUMBER(SEARCH(Classifiers!$C$7,E431)),1,0))+IF(Classifiers!$D$7="",0,IF(ISNUMBER(SEARCH(Classifiers!$D$7,E431)),1,0))+IF(Classifiers!$E$7="",0,IF(ISNUMBER(SEARCH(Classifiers!$E$7,E431)),1,0))+IF(Classifiers!$F$7="",0,IF(ISNUMBER(SEARCH(Classifiers!$F$7,E431)),1,0))+IF(Classifiers!$G$7="",0,IF(ISNUMBER(SEARCH(Classifiers!$G$7,E431)),1,0)))&gt;0,1,0))</f>
        <v/>
      </c>
      <c r="M431" s="12">
        <f>IF(H431&lt;&gt;1,0,IF((IF(Classifiers!$B$8="",0,IF(ISNUMBER(SEARCH(Classifiers!$B$8,E431)),1,0))+IF(Classifiers!$C$8="",0,IF(ISNUMBER(SEARCH(Classifiers!$C$8,E431)),1,0))+IF(Classifiers!$D$8="",0,IF(ISNUMBER(SEARCH(Classifiers!$D$8,E431)),1,0))+IF(Classifiers!$E$8="",0,IF(ISNUMBER(SEARCH(Classifiers!$E$8,E431)),1,0))+IF(Classifiers!$F$8="",0,IF(ISNUMBER(SEARCH(Classifiers!$F$8,E431)),1,0))+IF(Classifiers!$G$8="",0,IF(ISNUMBER(SEARCH(Classifiers!$G$8,E431)),1,0)))&gt;0,1,0))</f>
        <v/>
      </c>
      <c r="N431" s="12">
        <f>IF(H431&lt;&gt;1,0,IF((IF(Classifiers!$B$9="",0,IF(ISNUMBER(SEARCH(Classifiers!$B$9,E431)),1,0))+IF(Classifiers!$C$9="",0,IF(ISNUMBER(SEARCH(Classifiers!$C$9,E431)),1,0))+IF(Classifiers!$D$9="",0,IF(ISNUMBER(SEARCH(Classifiers!$D$9,E431)),1,0))+IF(Classifiers!$E$9="",0,IF(ISNUMBER(SEARCH(Classifiers!$E$9,E431)),1,0))+IF(Classifiers!$F$9="",0,IF(ISNUMBER(SEARCH(Classifiers!$F$9,E431)),1,0))+IF(Classifiers!$G$9="",0,IF(ISNUMBER(SEARCH(Classifiers!$G$9,E431)),1,0)))&gt;0,1,0))</f>
        <v/>
      </c>
      <c r="O431" s="12">
        <f>IF(H431&lt;&gt;1,0,IF((IF(Classifiers!$B$10="",0,IF(ISNUMBER(SEARCH(Classifiers!$B$10,E431)),1,0))+IF(Classifiers!$C$10="",0,IF(ISNUMBER(SEARCH(Classifiers!$C$10,E431)),1,0))+IF(Classifiers!$D$10="",0,IF(ISNUMBER(SEARCH(Classifiers!$D$10,E431)),1,0))+IF(Classifiers!$E$10="",0,IF(ISNUMBER(SEARCH(Classifiers!$E$10,E431)),1,0))+IF(Classifiers!$F$10="",0,IF(ISNUMBER(SEARCH(Classifiers!$F$10,E431)),1,0))+IF(Classifiers!$G$10="",0,IF(ISNUMBER(SEARCH(Classifiers!$G$10,E431)),1,0)))&gt;0,1,0))</f>
        <v/>
      </c>
      <c r="P431" s="12">
        <f>IF(H431&lt;&gt;1,0,IF((IF(Classifiers!$B$11="",0,IF(ISNUMBER(SEARCH(Classifiers!$B$11,E431)),1,0))+IF(Classifiers!$C$11="",0,IF(ISNUMBER(SEARCH(Classifiers!$C$11,E431)),1,0))+IF(Classifiers!$D$11="",0,IF(ISNUMBER(SEARCH(Classifiers!$D$11,E431)),1,0))+IF(Classifiers!$E$11="",0,IF(ISNUMBER(SEARCH(Classifiers!$E$11,E431)),1,0))+IF(Classifiers!$F$11="",0,IF(ISNUMBER(SEARCH(Classifiers!$F$11,E431)),1,0))+IF(Classifiers!$G$11="",0,IF(ISNUMBER(SEARCH(Classifiers!$G$11,E431)),1,0)))&gt;0,1,0))</f>
        <v/>
      </c>
      <c r="Q431" s="12">
        <f>IF(H431&lt;&gt;1,0,IF((IF(Classifiers!$B$12="",0,IF(ISNUMBER(SEARCH(Classifiers!$B$12,E431)),1,0))+IF(Classifiers!$C$12="",0,IF(ISNUMBER(SEARCH(Classifiers!$C$12,E431)),1,0))+IF(Classifiers!$D$12="",0,IF(ISNUMBER(SEARCH(Classifiers!$D$12,E431)),1,0))+IF(Classifiers!$E$12="",0,IF(ISNUMBER(SEARCH(Classifiers!$E$12,E431)),1,0))+IF(Classifiers!$F$12="",0,IF(ISNUMBER(SEARCH(Classifiers!$F$12,E431)),1,0))+IF(Classifiers!$G$12="",0,IF(ISNUMBER(SEARCH(Classifiers!$G$12,E431)),1,0)))&gt;0,1,0))</f>
        <v/>
      </c>
      <c r="R431" s="12">
        <f>IF(H431&lt;&gt;1,0,IF((IF(Classifiers!$B$13="",0,IF(ISNUMBER(SEARCH(Classifiers!$B$13,E431)),1,0))+IF(Classifiers!$C$13="",0,IF(ISNUMBER(SEARCH(Classifiers!$C$13,E431)),1,0))+IF(Classifiers!$D$13="",0,IF(ISNUMBER(SEARCH(Classifiers!$D$13,E431)),1,0))+IF(Classifiers!$E$13="",0,IF(ISNUMBER(SEARCH(Classifiers!$E$13,E431)),1,0))+IF(Classifiers!$F$13="",0,IF(ISNUMBER(SEARCH(Classifiers!$F$13,E431)),1,0))+IF(Classifiers!$G$13="",0,IF(ISNUMBER(SEARCH(Classifiers!$G$13,E431)),1,0)))&gt;0,1,0))</f>
        <v/>
      </c>
      <c r="S431" s="12">
        <f>IF(H431&lt;&gt;1,0,IF((IF(Classifiers!$B$14="",0,IF(ISNUMBER(SEARCH(Classifiers!$B$14,E431)),1,0))+IF(Classifiers!$C$14="",0,IF(ISNUMBER(SEARCH(Classifiers!$C$14,E431)),1,0))+IF(Classifiers!$D$14="",0,IF(ISNUMBER(SEARCH(Classifiers!$D$14,E431)),1,0))+IF(Classifiers!$E$14="",0,IF(ISNUMBER(SEARCH(Classifiers!$E$14,E431)),1,0))+IF(Classifiers!$F$14="",0,IF(ISNUMBER(SEARCH(Classifiers!$F$14,E431)),1,0))+IF(Classifiers!$G$14="",0,IF(ISNUMBER(SEARCH(Classifiers!$G$14,E431)),1,0)))&gt;0,1,0))</f>
        <v/>
      </c>
      <c r="T431" s="12">
        <f>IF(H431&lt;&gt;1,0,IF((IF(Classifiers!$B$15="",0,IF(ISNUMBER(SEARCH(Classifiers!$B$15,E431)),1,0))+IF(Classifiers!$C$15="",0,IF(ISNUMBER(SEARCH(Classifiers!$C$15,E431)),1,0))+IF(Classifiers!$D$15="",0,IF(ISNUMBER(SEARCH(Classifiers!$D$15,E431)),1,0))+IF(Classifiers!$E$15="",0,IF(ISNUMBER(SEARCH(Classifiers!$E$15,E431)),1,0))+IF(Classifiers!$F$15="",0,IF(ISNUMBER(SEARCH(Classifiers!$F$15,E431)),1,0))+IF(Classifiers!$G$15="",0,IF(ISNUMBER(SEARCH(Classifiers!$G$15,E431)),1,0)))&gt;0,1,0))</f>
        <v/>
      </c>
      <c r="U431" s="12">
        <f>IF(H431&lt;&gt;1,0,IF((IF(Classifiers!$B$16="",0,IF(ISNUMBER(SEARCH(Classifiers!$B$16,E431)),1,0))+IF(Classifiers!$C$16="",0,IF(ISNUMBER(SEARCH(Classifiers!$C$16,E431)),1,0))+IF(Classifiers!$D$16="",0,IF(ISNUMBER(SEARCH(Classifiers!$D$16,E431)),1,0))+IF(Classifiers!$E$16="",0,IF(ISNUMBER(SEARCH(Classifiers!$E$16,E431)),1,0))+IF(Classifiers!$F$16="",0,IF(ISNUMBER(SEARCH(Classifiers!$F$16,E431)),1,0))+IF(Classifiers!$G$16="",0,IF(ISNUMBER(SEARCH(Classifiers!$G$16,E431)),1,0)))&gt;0,1,0))</f>
        <v/>
      </c>
      <c r="V431" s="12">
        <f>IF(H431&lt;&gt;1,0,IF((IF(Classifiers!$B$17="",0,IF(ISNUMBER(SEARCH(Classifiers!$B$17,E431)),1,0))+IF(Classifiers!$C$17="",0,IF(ISNUMBER(SEARCH(Classifiers!$C$17,E431)),1,0))+IF(Classifiers!$D$17="",0,IF(ISNUMBER(SEARCH(Classifiers!$D$17,E431)),1,0))+IF(Classifiers!$E$17="",0,IF(ISNUMBER(SEARCH(Classifiers!$E$17,E431)),1,0))+IF(Classifiers!$F$17="",0,IF(ISNUMBER(SEARCH(Classifiers!$F$17,E431)),1,0))+IF(Classifiers!$G$17="",0,IF(ISNUMBER(SEARCH(Classifiers!$G$17,E431)),1,0)))&gt;0,1,0))</f>
        <v/>
      </c>
      <c r="W431" s="12">
        <f>IF(H431&lt;&gt;1,0,IF((IF(Classifiers!$B$18="",0,IF(ISNUMBER(SEARCH(Classifiers!$B$18,E431)),1,0))+IF(Classifiers!$C$18="",0,IF(ISNUMBER(SEARCH(Classifiers!$C$18,E431)),1,0))+IF(Classifiers!$D$18="",0,IF(ISNUMBER(SEARCH(Classifiers!$D$18,E431)),1,0))+IF(Classifiers!$E$18="",0,IF(ISNUMBER(SEARCH(Classifiers!$E$18,E431)),1,0))+IF(Classifiers!$F$18="",0,IF(ISNUMBER(SEARCH(Classifiers!$F$18,E431)),1,0))+IF(Classifiers!$G$18="",0,IF(ISNUMBER(SEARCH(Classifiers!$G$18,E431)),1,0)))&gt;0,1,0))</f>
        <v/>
      </c>
    </row>
    <row r="432">
      <c r="A432" s="8" t="n"/>
      <c r="B432" s="11" t="n"/>
      <c r="C432" s="6">
        <f>IF(A432="","",TRIM(RIGHT(SUBSTITUTE(A432,"/",REPT(" ",250)),250)))</f>
        <v/>
      </c>
      <c r="D432" s="6">
        <f>IF(C432="","",IF(ISNUMBER(SEARCH(".",C432)),LOWER("."&amp;TRIM(RIGHT(SUBSTITUTE(C432,".",REPT(" ",250)),250))),""))</f>
        <v/>
      </c>
      <c r="E432" s="6">
        <f>IF(C432="","",TRIM(SUBSTITUTE(SUBSTITUTE(SUBSTITUTE(SUBSTITUTE(SUBSTITUTE(SUBSTITUTE(SUBSTITUTE(SUBSTITUTE(SUBSTITUTE(SUBSTITUTE(SUBSTITUTE(SUBSTITUTE(SUBSTITUTE(SUBSTITUTE(SUBSTITUTE(SUBSTITUTE(SUBSTITUTE(SUBSTITUTE(SUBSTITUTE(SUBSTITUTE(LOWER(LEFT(C432,LEN(C432)-LEN(D432))),"_"," "),"-"," "),"."," "),","," "),"("," "),")"," "),"["," "),"]"," "),"&amp;"," "),"+"," "),"@"," "),"#"," "),"!"," "),"'"," "),"/"," "),":"," "),";"," "),"="," "),"~"," "),"%"," ")))</f>
        <v/>
      </c>
      <c r="F432" s="6">
        <f>IF(C432="","",IF(COUNTIF(Classifiers!$A$23:$A$40,D432)&gt;0,1,0))</f>
        <v/>
      </c>
      <c r="G432" s="6">
        <f>IF(C432="","",IF(COUNTIF(Classifiers!$C$23:$C$30,D432)&gt;0,IF((IF(ISNUMBER(SEARCH(Classifiers!$E$23,E432)),1,0)+IF(ISNUMBER(SEARCH(Classifiers!$E$24,E432)),1,0)+IF(ISNUMBER(SEARCH(Classifiers!$E$25,E432)),1,0)+IF(ISNUMBER(SEARCH(Classifiers!$E$26,E432)),1,0)+IF(ISNUMBER(SEARCH(Classifiers!$E$27,E432)),1,0)+IF(ISNUMBER(SEARCH(Classifiers!$E$28,E432)),1,0)+IF(ISNUMBER(SEARCH(Classifiers!$E$29,E432)),1,0)+IF(ISNUMBER(SEARCH(Classifiers!$E$30,E432)),1,0))&gt;0,1,0),0))</f>
        <v/>
      </c>
      <c r="H432" s="6">
        <f>IF(C432="","",IF(OR(LEFT(C432,1)=".",AND(F432=0,G432=0)),0,1))</f>
        <v/>
      </c>
      <c r="I432" s="6">
        <f>IF(H432&lt;&gt;1,"",IF(SUM(J432:W432)=0,"unclassified",INDEX(Classifiers!$A$5:$A$18,MATCH(1,J432:W432,0),1)))</f>
        <v/>
      </c>
      <c r="J432" s="12">
        <f>IF(H432&lt;&gt;1,0,IF((IF(Classifiers!$B$5="",0,IF(ISNUMBER(SEARCH(Classifiers!$B$5,E432)),1,0))+IF(Classifiers!$C$5="",0,IF(ISNUMBER(SEARCH(Classifiers!$C$5,E432)),1,0))+IF(Classifiers!$D$5="",0,IF(ISNUMBER(SEARCH(Classifiers!$D$5,E432)),1,0))+IF(Classifiers!$E$5="",0,IF(ISNUMBER(SEARCH(Classifiers!$E$5,E432)),1,0))+IF(Classifiers!$F$5="",0,IF(ISNUMBER(SEARCH(Classifiers!$F$5,E432)),1,0))+IF(Classifiers!$G$5="",0,IF(ISNUMBER(SEARCH(Classifiers!$G$5,E432)),1,0)))&gt;0,1,0))</f>
        <v/>
      </c>
      <c r="K432" s="12">
        <f>IF(H432&lt;&gt;1,0,IF((IF(Classifiers!$B$6="",0,IF(ISNUMBER(SEARCH(Classifiers!$B$6,E432)),1,0))+IF(Classifiers!$C$6="",0,IF(ISNUMBER(SEARCH(Classifiers!$C$6,E432)),1,0))+IF(Classifiers!$D$6="",0,IF(ISNUMBER(SEARCH(Classifiers!$D$6,E432)),1,0))+IF(Classifiers!$E$6="",0,IF(ISNUMBER(SEARCH(Classifiers!$E$6,E432)),1,0))+IF(Classifiers!$F$6="",0,IF(ISNUMBER(SEARCH(Classifiers!$F$6,E432)),1,0))+IF(Classifiers!$G$6="",0,IF(ISNUMBER(SEARCH(Classifiers!$G$6,E432)),1,0)))&gt;0,1,0))</f>
        <v/>
      </c>
      <c r="L432" s="12">
        <f>IF(H432&lt;&gt;1,0,IF((IF(Classifiers!$B$7="",0,IF(ISNUMBER(SEARCH(Classifiers!$B$7,E432)),1,0))+IF(Classifiers!$C$7="",0,IF(ISNUMBER(SEARCH(Classifiers!$C$7,E432)),1,0))+IF(Classifiers!$D$7="",0,IF(ISNUMBER(SEARCH(Classifiers!$D$7,E432)),1,0))+IF(Classifiers!$E$7="",0,IF(ISNUMBER(SEARCH(Classifiers!$E$7,E432)),1,0))+IF(Classifiers!$F$7="",0,IF(ISNUMBER(SEARCH(Classifiers!$F$7,E432)),1,0))+IF(Classifiers!$G$7="",0,IF(ISNUMBER(SEARCH(Classifiers!$G$7,E432)),1,0)))&gt;0,1,0))</f>
        <v/>
      </c>
      <c r="M432" s="12">
        <f>IF(H432&lt;&gt;1,0,IF((IF(Classifiers!$B$8="",0,IF(ISNUMBER(SEARCH(Classifiers!$B$8,E432)),1,0))+IF(Classifiers!$C$8="",0,IF(ISNUMBER(SEARCH(Classifiers!$C$8,E432)),1,0))+IF(Classifiers!$D$8="",0,IF(ISNUMBER(SEARCH(Classifiers!$D$8,E432)),1,0))+IF(Classifiers!$E$8="",0,IF(ISNUMBER(SEARCH(Classifiers!$E$8,E432)),1,0))+IF(Classifiers!$F$8="",0,IF(ISNUMBER(SEARCH(Classifiers!$F$8,E432)),1,0))+IF(Classifiers!$G$8="",0,IF(ISNUMBER(SEARCH(Classifiers!$G$8,E432)),1,0)))&gt;0,1,0))</f>
        <v/>
      </c>
      <c r="N432" s="12">
        <f>IF(H432&lt;&gt;1,0,IF((IF(Classifiers!$B$9="",0,IF(ISNUMBER(SEARCH(Classifiers!$B$9,E432)),1,0))+IF(Classifiers!$C$9="",0,IF(ISNUMBER(SEARCH(Classifiers!$C$9,E432)),1,0))+IF(Classifiers!$D$9="",0,IF(ISNUMBER(SEARCH(Classifiers!$D$9,E432)),1,0))+IF(Classifiers!$E$9="",0,IF(ISNUMBER(SEARCH(Classifiers!$E$9,E432)),1,0))+IF(Classifiers!$F$9="",0,IF(ISNUMBER(SEARCH(Classifiers!$F$9,E432)),1,0))+IF(Classifiers!$G$9="",0,IF(ISNUMBER(SEARCH(Classifiers!$G$9,E432)),1,0)))&gt;0,1,0))</f>
        <v/>
      </c>
      <c r="O432" s="12">
        <f>IF(H432&lt;&gt;1,0,IF((IF(Classifiers!$B$10="",0,IF(ISNUMBER(SEARCH(Classifiers!$B$10,E432)),1,0))+IF(Classifiers!$C$10="",0,IF(ISNUMBER(SEARCH(Classifiers!$C$10,E432)),1,0))+IF(Classifiers!$D$10="",0,IF(ISNUMBER(SEARCH(Classifiers!$D$10,E432)),1,0))+IF(Classifiers!$E$10="",0,IF(ISNUMBER(SEARCH(Classifiers!$E$10,E432)),1,0))+IF(Classifiers!$F$10="",0,IF(ISNUMBER(SEARCH(Classifiers!$F$10,E432)),1,0))+IF(Classifiers!$G$10="",0,IF(ISNUMBER(SEARCH(Classifiers!$G$10,E432)),1,0)))&gt;0,1,0))</f>
        <v/>
      </c>
      <c r="P432" s="12">
        <f>IF(H432&lt;&gt;1,0,IF((IF(Classifiers!$B$11="",0,IF(ISNUMBER(SEARCH(Classifiers!$B$11,E432)),1,0))+IF(Classifiers!$C$11="",0,IF(ISNUMBER(SEARCH(Classifiers!$C$11,E432)),1,0))+IF(Classifiers!$D$11="",0,IF(ISNUMBER(SEARCH(Classifiers!$D$11,E432)),1,0))+IF(Classifiers!$E$11="",0,IF(ISNUMBER(SEARCH(Classifiers!$E$11,E432)),1,0))+IF(Classifiers!$F$11="",0,IF(ISNUMBER(SEARCH(Classifiers!$F$11,E432)),1,0))+IF(Classifiers!$G$11="",0,IF(ISNUMBER(SEARCH(Classifiers!$G$11,E432)),1,0)))&gt;0,1,0))</f>
        <v/>
      </c>
      <c r="Q432" s="12">
        <f>IF(H432&lt;&gt;1,0,IF((IF(Classifiers!$B$12="",0,IF(ISNUMBER(SEARCH(Classifiers!$B$12,E432)),1,0))+IF(Classifiers!$C$12="",0,IF(ISNUMBER(SEARCH(Classifiers!$C$12,E432)),1,0))+IF(Classifiers!$D$12="",0,IF(ISNUMBER(SEARCH(Classifiers!$D$12,E432)),1,0))+IF(Classifiers!$E$12="",0,IF(ISNUMBER(SEARCH(Classifiers!$E$12,E432)),1,0))+IF(Classifiers!$F$12="",0,IF(ISNUMBER(SEARCH(Classifiers!$F$12,E432)),1,0))+IF(Classifiers!$G$12="",0,IF(ISNUMBER(SEARCH(Classifiers!$G$12,E432)),1,0)))&gt;0,1,0))</f>
        <v/>
      </c>
      <c r="R432" s="12">
        <f>IF(H432&lt;&gt;1,0,IF((IF(Classifiers!$B$13="",0,IF(ISNUMBER(SEARCH(Classifiers!$B$13,E432)),1,0))+IF(Classifiers!$C$13="",0,IF(ISNUMBER(SEARCH(Classifiers!$C$13,E432)),1,0))+IF(Classifiers!$D$13="",0,IF(ISNUMBER(SEARCH(Classifiers!$D$13,E432)),1,0))+IF(Classifiers!$E$13="",0,IF(ISNUMBER(SEARCH(Classifiers!$E$13,E432)),1,0))+IF(Classifiers!$F$13="",0,IF(ISNUMBER(SEARCH(Classifiers!$F$13,E432)),1,0))+IF(Classifiers!$G$13="",0,IF(ISNUMBER(SEARCH(Classifiers!$G$13,E432)),1,0)))&gt;0,1,0))</f>
        <v/>
      </c>
      <c r="S432" s="12">
        <f>IF(H432&lt;&gt;1,0,IF((IF(Classifiers!$B$14="",0,IF(ISNUMBER(SEARCH(Classifiers!$B$14,E432)),1,0))+IF(Classifiers!$C$14="",0,IF(ISNUMBER(SEARCH(Classifiers!$C$14,E432)),1,0))+IF(Classifiers!$D$14="",0,IF(ISNUMBER(SEARCH(Classifiers!$D$14,E432)),1,0))+IF(Classifiers!$E$14="",0,IF(ISNUMBER(SEARCH(Classifiers!$E$14,E432)),1,0))+IF(Classifiers!$F$14="",0,IF(ISNUMBER(SEARCH(Classifiers!$F$14,E432)),1,0))+IF(Classifiers!$G$14="",0,IF(ISNUMBER(SEARCH(Classifiers!$G$14,E432)),1,0)))&gt;0,1,0))</f>
        <v/>
      </c>
      <c r="T432" s="12">
        <f>IF(H432&lt;&gt;1,0,IF((IF(Classifiers!$B$15="",0,IF(ISNUMBER(SEARCH(Classifiers!$B$15,E432)),1,0))+IF(Classifiers!$C$15="",0,IF(ISNUMBER(SEARCH(Classifiers!$C$15,E432)),1,0))+IF(Classifiers!$D$15="",0,IF(ISNUMBER(SEARCH(Classifiers!$D$15,E432)),1,0))+IF(Classifiers!$E$15="",0,IF(ISNUMBER(SEARCH(Classifiers!$E$15,E432)),1,0))+IF(Classifiers!$F$15="",0,IF(ISNUMBER(SEARCH(Classifiers!$F$15,E432)),1,0))+IF(Classifiers!$G$15="",0,IF(ISNUMBER(SEARCH(Classifiers!$G$15,E432)),1,0)))&gt;0,1,0))</f>
        <v/>
      </c>
      <c r="U432" s="12">
        <f>IF(H432&lt;&gt;1,0,IF((IF(Classifiers!$B$16="",0,IF(ISNUMBER(SEARCH(Classifiers!$B$16,E432)),1,0))+IF(Classifiers!$C$16="",0,IF(ISNUMBER(SEARCH(Classifiers!$C$16,E432)),1,0))+IF(Classifiers!$D$16="",0,IF(ISNUMBER(SEARCH(Classifiers!$D$16,E432)),1,0))+IF(Classifiers!$E$16="",0,IF(ISNUMBER(SEARCH(Classifiers!$E$16,E432)),1,0))+IF(Classifiers!$F$16="",0,IF(ISNUMBER(SEARCH(Classifiers!$F$16,E432)),1,0))+IF(Classifiers!$G$16="",0,IF(ISNUMBER(SEARCH(Classifiers!$G$16,E432)),1,0)))&gt;0,1,0))</f>
        <v/>
      </c>
      <c r="V432" s="12">
        <f>IF(H432&lt;&gt;1,0,IF((IF(Classifiers!$B$17="",0,IF(ISNUMBER(SEARCH(Classifiers!$B$17,E432)),1,0))+IF(Classifiers!$C$17="",0,IF(ISNUMBER(SEARCH(Classifiers!$C$17,E432)),1,0))+IF(Classifiers!$D$17="",0,IF(ISNUMBER(SEARCH(Classifiers!$D$17,E432)),1,0))+IF(Classifiers!$E$17="",0,IF(ISNUMBER(SEARCH(Classifiers!$E$17,E432)),1,0))+IF(Classifiers!$F$17="",0,IF(ISNUMBER(SEARCH(Classifiers!$F$17,E432)),1,0))+IF(Classifiers!$G$17="",0,IF(ISNUMBER(SEARCH(Classifiers!$G$17,E432)),1,0)))&gt;0,1,0))</f>
        <v/>
      </c>
      <c r="W432" s="12">
        <f>IF(H432&lt;&gt;1,0,IF((IF(Classifiers!$B$18="",0,IF(ISNUMBER(SEARCH(Classifiers!$B$18,E432)),1,0))+IF(Classifiers!$C$18="",0,IF(ISNUMBER(SEARCH(Classifiers!$C$18,E432)),1,0))+IF(Classifiers!$D$18="",0,IF(ISNUMBER(SEARCH(Classifiers!$D$18,E432)),1,0))+IF(Classifiers!$E$18="",0,IF(ISNUMBER(SEARCH(Classifiers!$E$18,E432)),1,0))+IF(Classifiers!$F$18="",0,IF(ISNUMBER(SEARCH(Classifiers!$F$18,E432)),1,0))+IF(Classifiers!$G$18="",0,IF(ISNUMBER(SEARCH(Classifiers!$G$18,E432)),1,0)))&gt;0,1,0))</f>
        <v/>
      </c>
    </row>
    <row r="433">
      <c r="A433" s="8" t="n"/>
      <c r="B433" s="11" t="n"/>
      <c r="C433" s="6">
        <f>IF(A433="","",TRIM(RIGHT(SUBSTITUTE(A433,"/",REPT(" ",250)),250)))</f>
        <v/>
      </c>
      <c r="D433" s="6">
        <f>IF(C433="","",IF(ISNUMBER(SEARCH(".",C433)),LOWER("."&amp;TRIM(RIGHT(SUBSTITUTE(C433,".",REPT(" ",250)),250))),""))</f>
        <v/>
      </c>
      <c r="E433" s="6">
        <f>IF(C433="","",TRIM(SUBSTITUTE(SUBSTITUTE(SUBSTITUTE(SUBSTITUTE(SUBSTITUTE(SUBSTITUTE(SUBSTITUTE(SUBSTITUTE(SUBSTITUTE(SUBSTITUTE(SUBSTITUTE(SUBSTITUTE(SUBSTITUTE(SUBSTITUTE(SUBSTITUTE(SUBSTITUTE(SUBSTITUTE(SUBSTITUTE(SUBSTITUTE(SUBSTITUTE(LOWER(LEFT(C433,LEN(C433)-LEN(D433))),"_"," "),"-"," "),"."," "),","," "),"("," "),")"," "),"["," "),"]"," "),"&amp;"," "),"+"," "),"@"," "),"#"," "),"!"," "),"'"," "),"/"," "),":"," "),";"," "),"="," "),"~"," "),"%"," ")))</f>
        <v/>
      </c>
      <c r="F433" s="6">
        <f>IF(C433="","",IF(COUNTIF(Classifiers!$A$23:$A$40,D433)&gt;0,1,0))</f>
        <v/>
      </c>
      <c r="G433" s="6">
        <f>IF(C433="","",IF(COUNTIF(Classifiers!$C$23:$C$30,D433)&gt;0,IF((IF(ISNUMBER(SEARCH(Classifiers!$E$23,E433)),1,0)+IF(ISNUMBER(SEARCH(Classifiers!$E$24,E433)),1,0)+IF(ISNUMBER(SEARCH(Classifiers!$E$25,E433)),1,0)+IF(ISNUMBER(SEARCH(Classifiers!$E$26,E433)),1,0)+IF(ISNUMBER(SEARCH(Classifiers!$E$27,E433)),1,0)+IF(ISNUMBER(SEARCH(Classifiers!$E$28,E433)),1,0)+IF(ISNUMBER(SEARCH(Classifiers!$E$29,E433)),1,0)+IF(ISNUMBER(SEARCH(Classifiers!$E$30,E433)),1,0))&gt;0,1,0),0))</f>
        <v/>
      </c>
      <c r="H433" s="6">
        <f>IF(C433="","",IF(OR(LEFT(C433,1)=".",AND(F433=0,G433=0)),0,1))</f>
        <v/>
      </c>
      <c r="I433" s="6">
        <f>IF(H433&lt;&gt;1,"",IF(SUM(J433:W433)=0,"unclassified",INDEX(Classifiers!$A$5:$A$18,MATCH(1,J433:W433,0),1)))</f>
        <v/>
      </c>
      <c r="J433" s="12">
        <f>IF(H433&lt;&gt;1,0,IF((IF(Classifiers!$B$5="",0,IF(ISNUMBER(SEARCH(Classifiers!$B$5,E433)),1,0))+IF(Classifiers!$C$5="",0,IF(ISNUMBER(SEARCH(Classifiers!$C$5,E433)),1,0))+IF(Classifiers!$D$5="",0,IF(ISNUMBER(SEARCH(Classifiers!$D$5,E433)),1,0))+IF(Classifiers!$E$5="",0,IF(ISNUMBER(SEARCH(Classifiers!$E$5,E433)),1,0))+IF(Classifiers!$F$5="",0,IF(ISNUMBER(SEARCH(Classifiers!$F$5,E433)),1,0))+IF(Classifiers!$G$5="",0,IF(ISNUMBER(SEARCH(Classifiers!$G$5,E433)),1,0)))&gt;0,1,0))</f>
        <v/>
      </c>
      <c r="K433" s="12">
        <f>IF(H433&lt;&gt;1,0,IF((IF(Classifiers!$B$6="",0,IF(ISNUMBER(SEARCH(Classifiers!$B$6,E433)),1,0))+IF(Classifiers!$C$6="",0,IF(ISNUMBER(SEARCH(Classifiers!$C$6,E433)),1,0))+IF(Classifiers!$D$6="",0,IF(ISNUMBER(SEARCH(Classifiers!$D$6,E433)),1,0))+IF(Classifiers!$E$6="",0,IF(ISNUMBER(SEARCH(Classifiers!$E$6,E433)),1,0))+IF(Classifiers!$F$6="",0,IF(ISNUMBER(SEARCH(Classifiers!$F$6,E433)),1,0))+IF(Classifiers!$G$6="",0,IF(ISNUMBER(SEARCH(Classifiers!$G$6,E433)),1,0)))&gt;0,1,0))</f>
        <v/>
      </c>
      <c r="L433" s="12">
        <f>IF(H433&lt;&gt;1,0,IF((IF(Classifiers!$B$7="",0,IF(ISNUMBER(SEARCH(Classifiers!$B$7,E433)),1,0))+IF(Classifiers!$C$7="",0,IF(ISNUMBER(SEARCH(Classifiers!$C$7,E433)),1,0))+IF(Classifiers!$D$7="",0,IF(ISNUMBER(SEARCH(Classifiers!$D$7,E433)),1,0))+IF(Classifiers!$E$7="",0,IF(ISNUMBER(SEARCH(Classifiers!$E$7,E433)),1,0))+IF(Classifiers!$F$7="",0,IF(ISNUMBER(SEARCH(Classifiers!$F$7,E433)),1,0))+IF(Classifiers!$G$7="",0,IF(ISNUMBER(SEARCH(Classifiers!$G$7,E433)),1,0)))&gt;0,1,0))</f>
        <v/>
      </c>
      <c r="M433" s="12">
        <f>IF(H433&lt;&gt;1,0,IF((IF(Classifiers!$B$8="",0,IF(ISNUMBER(SEARCH(Classifiers!$B$8,E433)),1,0))+IF(Classifiers!$C$8="",0,IF(ISNUMBER(SEARCH(Classifiers!$C$8,E433)),1,0))+IF(Classifiers!$D$8="",0,IF(ISNUMBER(SEARCH(Classifiers!$D$8,E433)),1,0))+IF(Classifiers!$E$8="",0,IF(ISNUMBER(SEARCH(Classifiers!$E$8,E433)),1,0))+IF(Classifiers!$F$8="",0,IF(ISNUMBER(SEARCH(Classifiers!$F$8,E433)),1,0))+IF(Classifiers!$G$8="",0,IF(ISNUMBER(SEARCH(Classifiers!$G$8,E433)),1,0)))&gt;0,1,0))</f>
        <v/>
      </c>
      <c r="N433" s="12">
        <f>IF(H433&lt;&gt;1,0,IF((IF(Classifiers!$B$9="",0,IF(ISNUMBER(SEARCH(Classifiers!$B$9,E433)),1,0))+IF(Classifiers!$C$9="",0,IF(ISNUMBER(SEARCH(Classifiers!$C$9,E433)),1,0))+IF(Classifiers!$D$9="",0,IF(ISNUMBER(SEARCH(Classifiers!$D$9,E433)),1,0))+IF(Classifiers!$E$9="",0,IF(ISNUMBER(SEARCH(Classifiers!$E$9,E433)),1,0))+IF(Classifiers!$F$9="",0,IF(ISNUMBER(SEARCH(Classifiers!$F$9,E433)),1,0))+IF(Classifiers!$G$9="",0,IF(ISNUMBER(SEARCH(Classifiers!$G$9,E433)),1,0)))&gt;0,1,0))</f>
        <v/>
      </c>
      <c r="O433" s="12">
        <f>IF(H433&lt;&gt;1,0,IF((IF(Classifiers!$B$10="",0,IF(ISNUMBER(SEARCH(Classifiers!$B$10,E433)),1,0))+IF(Classifiers!$C$10="",0,IF(ISNUMBER(SEARCH(Classifiers!$C$10,E433)),1,0))+IF(Classifiers!$D$10="",0,IF(ISNUMBER(SEARCH(Classifiers!$D$10,E433)),1,0))+IF(Classifiers!$E$10="",0,IF(ISNUMBER(SEARCH(Classifiers!$E$10,E433)),1,0))+IF(Classifiers!$F$10="",0,IF(ISNUMBER(SEARCH(Classifiers!$F$10,E433)),1,0))+IF(Classifiers!$G$10="",0,IF(ISNUMBER(SEARCH(Classifiers!$G$10,E433)),1,0)))&gt;0,1,0))</f>
        <v/>
      </c>
      <c r="P433" s="12">
        <f>IF(H433&lt;&gt;1,0,IF((IF(Classifiers!$B$11="",0,IF(ISNUMBER(SEARCH(Classifiers!$B$11,E433)),1,0))+IF(Classifiers!$C$11="",0,IF(ISNUMBER(SEARCH(Classifiers!$C$11,E433)),1,0))+IF(Classifiers!$D$11="",0,IF(ISNUMBER(SEARCH(Classifiers!$D$11,E433)),1,0))+IF(Classifiers!$E$11="",0,IF(ISNUMBER(SEARCH(Classifiers!$E$11,E433)),1,0))+IF(Classifiers!$F$11="",0,IF(ISNUMBER(SEARCH(Classifiers!$F$11,E433)),1,0))+IF(Classifiers!$G$11="",0,IF(ISNUMBER(SEARCH(Classifiers!$G$11,E433)),1,0)))&gt;0,1,0))</f>
        <v/>
      </c>
      <c r="Q433" s="12">
        <f>IF(H433&lt;&gt;1,0,IF((IF(Classifiers!$B$12="",0,IF(ISNUMBER(SEARCH(Classifiers!$B$12,E433)),1,0))+IF(Classifiers!$C$12="",0,IF(ISNUMBER(SEARCH(Classifiers!$C$12,E433)),1,0))+IF(Classifiers!$D$12="",0,IF(ISNUMBER(SEARCH(Classifiers!$D$12,E433)),1,0))+IF(Classifiers!$E$12="",0,IF(ISNUMBER(SEARCH(Classifiers!$E$12,E433)),1,0))+IF(Classifiers!$F$12="",0,IF(ISNUMBER(SEARCH(Classifiers!$F$12,E433)),1,0))+IF(Classifiers!$G$12="",0,IF(ISNUMBER(SEARCH(Classifiers!$G$12,E433)),1,0)))&gt;0,1,0))</f>
        <v/>
      </c>
      <c r="R433" s="12">
        <f>IF(H433&lt;&gt;1,0,IF((IF(Classifiers!$B$13="",0,IF(ISNUMBER(SEARCH(Classifiers!$B$13,E433)),1,0))+IF(Classifiers!$C$13="",0,IF(ISNUMBER(SEARCH(Classifiers!$C$13,E433)),1,0))+IF(Classifiers!$D$13="",0,IF(ISNUMBER(SEARCH(Classifiers!$D$13,E433)),1,0))+IF(Classifiers!$E$13="",0,IF(ISNUMBER(SEARCH(Classifiers!$E$13,E433)),1,0))+IF(Classifiers!$F$13="",0,IF(ISNUMBER(SEARCH(Classifiers!$F$13,E433)),1,0))+IF(Classifiers!$G$13="",0,IF(ISNUMBER(SEARCH(Classifiers!$G$13,E433)),1,0)))&gt;0,1,0))</f>
        <v/>
      </c>
      <c r="S433" s="12">
        <f>IF(H433&lt;&gt;1,0,IF((IF(Classifiers!$B$14="",0,IF(ISNUMBER(SEARCH(Classifiers!$B$14,E433)),1,0))+IF(Classifiers!$C$14="",0,IF(ISNUMBER(SEARCH(Classifiers!$C$14,E433)),1,0))+IF(Classifiers!$D$14="",0,IF(ISNUMBER(SEARCH(Classifiers!$D$14,E433)),1,0))+IF(Classifiers!$E$14="",0,IF(ISNUMBER(SEARCH(Classifiers!$E$14,E433)),1,0))+IF(Classifiers!$F$14="",0,IF(ISNUMBER(SEARCH(Classifiers!$F$14,E433)),1,0))+IF(Classifiers!$G$14="",0,IF(ISNUMBER(SEARCH(Classifiers!$G$14,E433)),1,0)))&gt;0,1,0))</f>
        <v/>
      </c>
      <c r="T433" s="12">
        <f>IF(H433&lt;&gt;1,0,IF((IF(Classifiers!$B$15="",0,IF(ISNUMBER(SEARCH(Classifiers!$B$15,E433)),1,0))+IF(Classifiers!$C$15="",0,IF(ISNUMBER(SEARCH(Classifiers!$C$15,E433)),1,0))+IF(Classifiers!$D$15="",0,IF(ISNUMBER(SEARCH(Classifiers!$D$15,E433)),1,0))+IF(Classifiers!$E$15="",0,IF(ISNUMBER(SEARCH(Classifiers!$E$15,E433)),1,0))+IF(Classifiers!$F$15="",0,IF(ISNUMBER(SEARCH(Classifiers!$F$15,E433)),1,0))+IF(Classifiers!$G$15="",0,IF(ISNUMBER(SEARCH(Classifiers!$G$15,E433)),1,0)))&gt;0,1,0))</f>
        <v/>
      </c>
      <c r="U433" s="12">
        <f>IF(H433&lt;&gt;1,0,IF((IF(Classifiers!$B$16="",0,IF(ISNUMBER(SEARCH(Classifiers!$B$16,E433)),1,0))+IF(Classifiers!$C$16="",0,IF(ISNUMBER(SEARCH(Classifiers!$C$16,E433)),1,0))+IF(Classifiers!$D$16="",0,IF(ISNUMBER(SEARCH(Classifiers!$D$16,E433)),1,0))+IF(Classifiers!$E$16="",0,IF(ISNUMBER(SEARCH(Classifiers!$E$16,E433)),1,0))+IF(Classifiers!$F$16="",0,IF(ISNUMBER(SEARCH(Classifiers!$F$16,E433)),1,0))+IF(Classifiers!$G$16="",0,IF(ISNUMBER(SEARCH(Classifiers!$G$16,E433)),1,0)))&gt;0,1,0))</f>
        <v/>
      </c>
      <c r="V433" s="12">
        <f>IF(H433&lt;&gt;1,0,IF((IF(Classifiers!$B$17="",0,IF(ISNUMBER(SEARCH(Classifiers!$B$17,E433)),1,0))+IF(Classifiers!$C$17="",0,IF(ISNUMBER(SEARCH(Classifiers!$C$17,E433)),1,0))+IF(Classifiers!$D$17="",0,IF(ISNUMBER(SEARCH(Classifiers!$D$17,E433)),1,0))+IF(Classifiers!$E$17="",0,IF(ISNUMBER(SEARCH(Classifiers!$E$17,E433)),1,0))+IF(Classifiers!$F$17="",0,IF(ISNUMBER(SEARCH(Classifiers!$F$17,E433)),1,0))+IF(Classifiers!$G$17="",0,IF(ISNUMBER(SEARCH(Classifiers!$G$17,E433)),1,0)))&gt;0,1,0))</f>
        <v/>
      </c>
      <c r="W433" s="12">
        <f>IF(H433&lt;&gt;1,0,IF((IF(Classifiers!$B$18="",0,IF(ISNUMBER(SEARCH(Classifiers!$B$18,E433)),1,0))+IF(Classifiers!$C$18="",0,IF(ISNUMBER(SEARCH(Classifiers!$C$18,E433)),1,0))+IF(Classifiers!$D$18="",0,IF(ISNUMBER(SEARCH(Classifiers!$D$18,E433)),1,0))+IF(Classifiers!$E$18="",0,IF(ISNUMBER(SEARCH(Classifiers!$E$18,E433)),1,0))+IF(Classifiers!$F$18="",0,IF(ISNUMBER(SEARCH(Classifiers!$F$18,E433)),1,0))+IF(Classifiers!$G$18="",0,IF(ISNUMBER(SEARCH(Classifiers!$G$18,E433)),1,0)))&gt;0,1,0))</f>
        <v/>
      </c>
    </row>
    <row r="434">
      <c r="A434" s="8" t="n"/>
      <c r="B434" s="11" t="n"/>
      <c r="C434" s="6">
        <f>IF(A434="","",TRIM(RIGHT(SUBSTITUTE(A434,"/",REPT(" ",250)),250)))</f>
        <v/>
      </c>
      <c r="D434" s="6">
        <f>IF(C434="","",IF(ISNUMBER(SEARCH(".",C434)),LOWER("."&amp;TRIM(RIGHT(SUBSTITUTE(C434,".",REPT(" ",250)),250))),""))</f>
        <v/>
      </c>
      <c r="E434" s="6">
        <f>IF(C434="","",TRIM(SUBSTITUTE(SUBSTITUTE(SUBSTITUTE(SUBSTITUTE(SUBSTITUTE(SUBSTITUTE(SUBSTITUTE(SUBSTITUTE(SUBSTITUTE(SUBSTITUTE(SUBSTITUTE(SUBSTITUTE(SUBSTITUTE(SUBSTITUTE(SUBSTITUTE(SUBSTITUTE(SUBSTITUTE(SUBSTITUTE(SUBSTITUTE(SUBSTITUTE(LOWER(LEFT(C434,LEN(C434)-LEN(D434))),"_"," "),"-"," "),"."," "),","," "),"("," "),")"," "),"["," "),"]"," "),"&amp;"," "),"+"," "),"@"," "),"#"," "),"!"," "),"'"," "),"/"," "),":"," "),";"," "),"="," "),"~"," "),"%"," ")))</f>
        <v/>
      </c>
      <c r="F434" s="6">
        <f>IF(C434="","",IF(COUNTIF(Classifiers!$A$23:$A$40,D434)&gt;0,1,0))</f>
        <v/>
      </c>
      <c r="G434" s="6">
        <f>IF(C434="","",IF(COUNTIF(Classifiers!$C$23:$C$30,D434)&gt;0,IF((IF(ISNUMBER(SEARCH(Classifiers!$E$23,E434)),1,0)+IF(ISNUMBER(SEARCH(Classifiers!$E$24,E434)),1,0)+IF(ISNUMBER(SEARCH(Classifiers!$E$25,E434)),1,0)+IF(ISNUMBER(SEARCH(Classifiers!$E$26,E434)),1,0)+IF(ISNUMBER(SEARCH(Classifiers!$E$27,E434)),1,0)+IF(ISNUMBER(SEARCH(Classifiers!$E$28,E434)),1,0)+IF(ISNUMBER(SEARCH(Classifiers!$E$29,E434)),1,0)+IF(ISNUMBER(SEARCH(Classifiers!$E$30,E434)),1,0))&gt;0,1,0),0))</f>
        <v/>
      </c>
      <c r="H434" s="6">
        <f>IF(C434="","",IF(OR(LEFT(C434,1)=".",AND(F434=0,G434=0)),0,1))</f>
        <v/>
      </c>
      <c r="I434" s="6">
        <f>IF(H434&lt;&gt;1,"",IF(SUM(J434:W434)=0,"unclassified",INDEX(Classifiers!$A$5:$A$18,MATCH(1,J434:W434,0),1)))</f>
        <v/>
      </c>
      <c r="J434" s="12">
        <f>IF(H434&lt;&gt;1,0,IF((IF(Classifiers!$B$5="",0,IF(ISNUMBER(SEARCH(Classifiers!$B$5,E434)),1,0))+IF(Classifiers!$C$5="",0,IF(ISNUMBER(SEARCH(Classifiers!$C$5,E434)),1,0))+IF(Classifiers!$D$5="",0,IF(ISNUMBER(SEARCH(Classifiers!$D$5,E434)),1,0))+IF(Classifiers!$E$5="",0,IF(ISNUMBER(SEARCH(Classifiers!$E$5,E434)),1,0))+IF(Classifiers!$F$5="",0,IF(ISNUMBER(SEARCH(Classifiers!$F$5,E434)),1,0))+IF(Classifiers!$G$5="",0,IF(ISNUMBER(SEARCH(Classifiers!$G$5,E434)),1,0)))&gt;0,1,0))</f>
        <v/>
      </c>
      <c r="K434" s="12">
        <f>IF(H434&lt;&gt;1,0,IF((IF(Classifiers!$B$6="",0,IF(ISNUMBER(SEARCH(Classifiers!$B$6,E434)),1,0))+IF(Classifiers!$C$6="",0,IF(ISNUMBER(SEARCH(Classifiers!$C$6,E434)),1,0))+IF(Classifiers!$D$6="",0,IF(ISNUMBER(SEARCH(Classifiers!$D$6,E434)),1,0))+IF(Classifiers!$E$6="",0,IF(ISNUMBER(SEARCH(Classifiers!$E$6,E434)),1,0))+IF(Classifiers!$F$6="",0,IF(ISNUMBER(SEARCH(Classifiers!$F$6,E434)),1,0))+IF(Classifiers!$G$6="",0,IF(ISNUMBER(SEARCH(Classifiers!$G$6,E434)),1,0)))&gt;0,1,0))</f>
        <v/>
      </c>
      <c r="L434" s="12">
        <f>IF(H434&lt;&gt;1,0,IF((IF(Classifiers!$B$7="",0,IF(ISNUMBER(SEARCH(Classifiers!$B$7,E434)),1,0))+IF(Classifiers!$C$7="",0,IF(ISNUMBER(SEARCH(Classifiers!$C$7,E434)),1,0))+IF(Classifiers!$D$7="",0,IF(ISNUMBER(SEARCH(Classifiers!$D$7,E434)),1,0))+IF(Classifiers!$E$7="",0,IF(ISNUMBER(SEARCH(Classifiers!$E$7,E434)),1,0))+IF(Classifiers!$F$7="",0,IF(ISNUMBER(SEARCH(Classifiers!$F$7,E434)),1,0))+IF(Classifiers!$G$7="",0,IF(ISNUMBER(SEARCH(Classifiers!$G$7,E434)),1,0)))&gt;0,1,0))</f>
        <v/>
      </c>
      <c r="M434" s="12">
        <f>IF(H434&lt;&gt;1,0,IF((IF(Classifiers!$B$8="",0,IF(ISNUMBER(SEARCH(Classifiers!$B$8,E434)),1,0))+IF(Classifiers!$C$8="",0,IF(ISNUMBER(SEARCH(Classifiers!$C$8,E434)),1,0))+IF(Classifiers!$D$8="",0,IF(ISNUMBER(SEARCH(Classifiers!$D$8,E434)),1,0))+IF(Classifiers!$E$8="",0,IF(ISNUMBER(SEARCH(Classifiers!$E$8,E434)),1,0))+IF(Classifiers!$F$8="",0,IF(ISNUMBER(SEARCH(Classifiers!$F$8,E434)),1,0))+IF(Classifiers!$G$8="",0,IF(ISNUMBER(SEARCH(Classifiers!$G$8,E434)),1,0)))&gt;0,1,0))</f>
        <v/>
      </c>
      <c r="N434" s="12">
        <f>IF(H434&lt;&gt;1,0,IF((IF(Classifiers!$B$9="",0,IF(ISNUMBER(SEARCH(Classifiers!$B$9,E434)),1,0))+IF(Classifiers!$C$9="",0,IF(ISNUMBER(SEARCH(Classifiers!$C$9,E434)),1,0))+IF(Classifiers!$D$9="",0,IF(ISNUMBER(SEARCH(Classifiers!$D$9,E434)),1,0))+IF(Classifiers!$E$9="",0,IF(ISNUMBER(SEARCH(Classifiers!$E$9,E434)),1,0))+IF(Classifiers!$F$9="",0,IF(ISNUMBER(SEARCH(Classifiers!$F$9,E434)),1,0))+IF(Classifiers!$G$9="",0,IF(ISNUMBER(SEARCH(Classifiers!$G$9,E434)),1,0)))&gt;0,1,0))</f>
        <v/>
      </c>
      <c r="O434" s="12">
        <f>IF(H434&lt;&gt;1,0,IF((IF(Classifiers!$B$10="",0,IF(ISNUMBER(SEARCH(Classifiers!$B$10,E434)),1,0))+IF(Classifiers!$C$10="",0,IF(ISNUMBER(SEARCH(Classifiers!$C$10,E434)),1,0))+IF(Classifiers!$D$10="",0,IF(ISNUMBER(SEARCH(Classifiers!$D$10,E434)),1,0))+IF(Classifiers!$E$10="",0,IF(ISNUMBER(SEARCH(Classifiers!$E$10,E434)),1,0))+IF(Classifiers!$F$10="",0,IF(ISNUMBER(SEARCH(Classifiers!$F$10,E434)),1,0))+IF(Classifiers!$G$10="",0,IF(ISNUMBER(SEARCH(Classifiers!$G$10,E434)),1,0)))&gt;0,1,0))</f>
        <v/>
      </c>
      <c r="P434" s="12">
        <f>IF(H434&lt;&gt;1,0,IF((IF(Classifiers!$B$11="",0,IF(ISNUMBER(SEARCH(Classifiers!$B$11,E434)),1,0))+IF(Classifiers!$C$11="",0,IF(ISNUMBER(SEARCH(Classifiers!$C$11,E434)),1,0))+IF(Classifiers!$D$11="",0,IF(ISNUMBER(SEARCH(Classifiers!$D$11,E434)),1,0))+IF(Classifiers!$E$11="",0,IF(ISNUMBER(SEARCH(Classifiers!$E$11,E434)),1,0))+IF(Classifiers!$F$11="",0,IF(ISNUMBER(SEARCH(Classifiers!$F$11,E434)),1,0))+IF(Classifiers!$G$11="",0,IF(ISNUMBER(SEARCH(Classifiers!$G$11,E434)),1,0)))&gt;0,1,0))</f>
        <v/>
      </c>
      <c r="Q434" s="12">
        <f>IF(H434&lt;&gt;1,0,IF((IF(Classifiers!$B$12="",0,IF(ISNUMBER(SEARCH(Classifiers!$B$12,E434)),1,0))+IF(Classifiers!$C$12="",0,IF(ISNUMBER(SEARCH(Classifiers!$C$12,E434)),1,0))+IF(Classifiers!$D$12="",0,IF(ISNUMBER(SEARCH(Classifiers!$D$12,E434)),1,0))+IF(Classifiers!$E$12="",0,IF(ISNUMBER(SEARCH(Classifiers!$E$12,E434)),1,0))+IF(Classifiers!$F$12="",0,IF(ISNUMBER(SEARCH(Classifiers!$F$12,E434)),1,0))+IF(Classifiers!$G$12="",0,IF(ISNUMBER(SEARCH(Classifiers!$G$12,E434)),1,0)))&gt;0,1,0))</f>
        <v/>
      </c>
      <c r="R434" s="12">
        <f>IF(H434&lt;&gt;1,0,IF((IF(Classifiers!$B$13="",0,IF(ISNUMBER(SEARCH(Classifiers!$B$13,E434)),1,0))+IF(Classifiers!$C$13="",0,IF(ISNUMBER(SEARCH(Classifiers!$C$13,E434)),1,0))+IF(Classifiers!$D$13="",0,IF(ISNUMBER(SEARCH(Classifiers!$D$13,E434)),1,0))+IF(Classifiers!$E$13="",0,IF(ISNUMBER(SEARCH(Classifiers!$E$13,E434)),1,0))+IF(Classifiers!$F$13="",0,IF(ISNUMBER(SEARCH(Classifiers!$F$13,E434)),1,0))+IF(Classifiers!$G$13="",0,IF(ISNUMBER(SEARCH(Classifiers!$G$13,E434)),1,0)))&gt;0,1,0))</f>
        <v/>
      </c>
      <c r="S434" s="12">
        <f>IF(H434&lt;&gt;1,0,IF((IF(Classifiers!$B$14="",0,IF(ISNUMBER(SEARCH(Classifiers!$B$14,E434)),1,0))+IF(Classifiers!$C$14="",0,IF(ISNUMBER(SEARCH(Classifiers!$C$14,E434)),1,0))+IF(Classifiers!$D$14="",0,IF(ISNUMBER(SEARCH(Classifiers!$D$14,E434)),1,0))+IF(Classifiers!$E$14="",0,IF(ISNUMBER(SEARCH(Classifiers!$E$14,E434)),1,0))+IF(Classifiers!$F$14="",0,IF(ISNUMBER(SEARCH(Classifiers!$F$14,E434)),1,0))+IF(Classifiers!$G$14="",0,IF(ISNUMBER(SEARCH(Classifiers!$G$14,E434)),1,0)))&gt;0,1,0))</f>
        <v/>
      </c>
      <c r="T434" s="12">
        <f>IF(H434&lt;&gt;1,0,IF((IF(Classifiers!$B$15="",0,IF(ISNUMBER(SEARCH(Classifiers!$B$15,E434)),1,0))+IF(Classifiers!$C$15="",0,IF(ISNUMBER(SEARCH(Classifiers!$C$15,E434)),1,0))+IF(Classifiers!$D$15="",0,IF(ISNUMBER(SEARCH(Classifiers!$D$15,E434)),1,0))+IF(Classifiers!$E$15="",0,IF(ISNUMBER(SEARCH(Classifiers!$E$15,E434)),1,0))+IF(Classifiers!$F$15="",0,IF(ISNUMBER(SEARCH(Classifiers!$F$15,E434)),1,0))+IF(Classifiers!$G$15="",0,IF(ISNUMBER(SEARCH(Classifiers!$G$15,E434)),1,0)))&gt;0,1,0))</f>
        <v/>
      </c>
      <c r="U434" s="12">
        <f>IF(H434&lt;&gt;1,0,IF((IF(Classifiers!$B$16="",0,IF(ISNUMBER(SEARCH(Classifiers!$B$16,E434)),1,0))+IF(Classifiers!$C$16="",0,IF(ISNUMBER(SEARCH(Classifiers!$C$16,E434)),1,0))+IF(Classifiers!$D$16="",0,IF(ISNUMBER(SEARCH(Classifiers!$D$16,E434)),1,0))+IF(Classifiers!$E$16="",0,IF(ISNUMBER(SEARCH(Classifiers!$E$16,E434)),1,0))+IF(Classifiers!$F$16="",0,IF(ISNUMBER(SEARCH(Classifiers!$F$16,E434)),1,0))+IF(Classifiers!$G$16="",0,IF(ISNUMBER(SEARCH(Classifiers!$G$16,E434)),1,0)))&gt;0,1,0))</f>
        <v/>
      </c>
      <c r="V434" s="12">
        <f>IF(H434&lt;&gt;1,0,IF((IF(Classifiers!$B$17="",0,IF(ISNUMBER(SEARCH(Classifiers!$B$17,E434)),1,0))+IF(Classifiers!$C$17="",0,IF(ISNUMBER(SEARCH(Classifiers!$C$17,E434)),1,0))+IF(Classifiers!$D$17="",0,IF(ISNUMBER(SEARCH(Classifiers!$D$17,E434)),1,0))+IF(Classifiers!$E$17="",0,IF(ISNUMBER(SEARCH(Classifiers!$E$17,E434)),1,0))+IF(Classifiers!$F$17="",0,IF(ISNUMBER(SEARCH(Classifiers!$F$17,E434)),1,0))+IF(Classifiers!$G$17="",0,IF(ISNUMBER(SEARCH(Classifiers!$G$17,E434)),1,0)))&gt;0,1,0))</f>
        <v/>
      </c>
      <c r="W434" s="12">
        <f>IF(H434&lt;&gt;1,0,IF((IF(Classifiers!$B$18="",0,IF(ISNUMBER(SEARCH(Classifiers!$B$18,E434)),1,0))+IF(Classifiers!$C$18="",0,IF(ISNUMBER(SEARCH(Classifiers!$C$18,E434)),1,0))+IF(Classifiers!$D$18="",0,IF(ISNUMBER(SEARCH(Classifiers!$D$18,E434)),1,0))+IF(Classifiers!$E$18="",0,IF(ISNUMBER(SEARCH(Classifiers!$E$18,E434)),1,0))+IF(Classifiers!$F$18="",0,IF(ISNUMBER(SEARCH(Classifiers!$F$18,E434)),1,0))+IF(Classifiers!$G$18="",0,IF(ISNUMBER(SEARCH(Classifiers!$G$18,E434)),1,0)))&gt;0,1,0))</f>
        <v/>
      </c>
    </row>
    <row r="435">
      <c r="A435" s="8" t="n"/>
      <c r="B435" s="11" t="n"/>
      <c r="C435" s="6">
        <f>IF(A435="","",TRIM(RIGHT(SUBSTITUTE(A435,"/",REPT(" ",250)),250)))</f>
        <v/>
      </c>
      <c r="D435" s="6">
        <f>IF(C435="","",IF(ISNUMBER(SEARCH(".",C435)),LOWER("."&amp;TRIM(RIGHT(SUBSTITUTE(C435,".",REPT(" ",250)),250))),""))</f>
        <v/>
      </c>
      <c r="E435" s="6">
        <f>IF(C435="","",TRIM(SUBSTITUTE(SUBSTITUTE(SUBSTITUTE(SUBSTITUTE(SUBSTITUTE(SUBSTITUTE(SUBSTITUTE(SUBSTITUTE(SUBSTITUTE(SUBSTITUTE(SUBSTITUTE(SUBSTITUTE(SUBSTITUTE(SUBSTITUTE(SUBSTITUTE(SUBSTITUTE(SUBSTITUTE(SUBSTITUTE(SUBSTITUTE(SUBSTITUTE(LOWER(LEFT(C435,LEN(C435)-LEN(D435))),"_"," "),"-"," "),"."," "),","," "),"("," "),")"," "),"["," "),"]"," "),"&amp;"," "),"+"," "),"@"," "),"#"," "),"!"," "),"'"," "),"/"," "),":"," "),";"," "),"="," "),"~"," "),"%"," ")))</f>
        <v/>
      </c>
      <c r="F435" s="6">
        <f>IF(C435="","",IF(COUNTIF(Classifiers!$A$23:$A$40,D435)&gt;0,1,0))</f>
        <v/>
      </c>
      <c r="G435" s="6">
        <f>IF(C435="","",IF(COUNTIF(Classifiers!$C$23:$C$30,D435)&gt;0,IF((IF(ISNUMBER(SEARCH(Classifiers!$E$23,E435)),1,0)+IF(ISNUMBER(SEARCH(Classifiers!$E$24,E435)),1,0)+IF(ISNUMBER(SEARCH(Classifiers!$E$25,E435)),1,0)+IF(ISNUMBER(SEARCH(Classifiers!$E$26,E435)),1,0)+IF(ISNUMBER(SEARCH(Classifiers!$E$27,E435)),1,0)+IF(ISNUMBER(SEARCH(Classifiers!$E$28,E435)),1,0)+IF(ISNUMBER(SEARCH(Classifiers!$E$29,E435)),1,0)+IF(ISNUMBER(SEARCH(Classifiers!$E$30,E435)),1,0))&gt;0,1,0),0))</f>
        <v/>
      </c>
      <c r="H435" s="6">
        <f>IF(C435="","",IF(OR(LEFT(C435,1)=".",AND(F435=0,G435=0)),0,1))</f>
        <v/>
      </c>
      <c r="I435" s="6">
        <f>IF(H435&lt;&gt;1,"",IF(SUM(J435:W435)=0,"unclassified",INDEX(Classifiers!$A$5:$A$18,MATCH(1,J435:W435,0),1)))</f>
        <v/>
      </c>
      <c r="J435" s="12">
        <f>IF(H435&lt;&gt;1,0,IF((IF(Classifiers!$B$5="",0,IF(ISNUMBER(SEARCH(Classifiers!$B$5,E435)),1,0))+IF(Classifiers!$C$5="",0,IF(ISNUMBER(SEARCH(Classifiers!$C$5,E435)),1,0))+IF(Classifiers!$D$5="",0,IF(ISNUMBER(SEARCH(Classifiers!$D$5,E435)),1,0))+IF(Classifiers!$E$5="",0,IF(ISNUMBER(SEARCH(Classifiers!$E$5,E435)),1,0))+IF(Classifiers!$F$5="",0,IF(ISNUMBER(SEARCH(Classifiers!$F$5,E435)),1,0))+IF(Classifiers!$G$5="",0,IF(ISNUMBER(SEARCH(Classifiers!$G$5,E435)),1,0)))&gt;0,1,0))</f>
        <v/>
      </c>
      <c r="K435" s="12">
        <f>IF(H435&lt;&gt;1,0,IF((IF(Classifiers!$B$6="",0,IF(ISNUMBER(SEARCH(Classifiers!$B$6,E435)),1,0))+IF(Classifiers!$C$6="",0,IF(ISNUMBER(SEARCH(Classifiers!$C$6,E435)),1,0))+IF(Classifiers!$D$6="",0,IF(ISNUMBER(SEARCH(Classifiers!$D$6,E435)),1,0))+IF(Classifiers!$E$6="",0,IF(ISNUMBER(SEARCH(Classifiers!$E$6,E435)),1,0))+IF(Classifiers!$F$6="",0,IF(ISNUMBER(SEARCH(Classifiers!$F$6,E435)),1,0))+IF(Classifiers!$G$6="",0,IF(ISNUMBER(SEARCH(Classifiers!$G$6,E435)),1,0)))&gt;0,1,0))</f>
        <v/>
      </c>
      <c r="L435" s="12">
        <f>IF(H435&lt;&gt;1,0,IF((IF(Classifiers!$B$7="",0,IF(ISNUMBER(SEARCH(Classifiers!$B$7,E435)),1,0))+IF(Classifiers!$C$7="",0,IF(ISNUMBER(SEARCH(Classifiers!$C$7,E435)),1,0))+IF(Classifiers!$D$7="",0,IF(ISNUMBER(SEARCH(Classifiers!$D$7,E435)),1,0))+IF(Classifiers!$E$7="",0,IF(ISNUMBER(SEARCH(Classifiers!$E$7,E435)),1,0))+IF(Classifiers!$F$7="",0,IF(ISNUMBER(SEARCH(Classifiers!$F$7,E435)),1,0))+IF(Classifiers!$G$7="",0,IF(ISNUMBER(SEARCH(Classifiers!$G$7,E435)),1,0)))&gt;0,1,0))</f>
        <v/>
      </c>
      <c r="M435" s="12">
        <f>IF(H435&lt;&gt;1,0,IF((IF(Classifiers!$B$8="",0,IF(ISNUMBER(SEARCH(Classifiers!$B$8,E435)),1,0))+IF(Classifiers!$C$8="",0,IF(ISNUMBER(SEARCH(Classifiers!$C$8,E435)),1,0))+IF(Classifiers!$D$8="",0,IF(ISNUMBER(SEARCH(Classifiers!$D$8,E435)),1,0))+IF(Classifiers!$E$8="",0,IF(ISNUMBER(SEARCH(Classifiers!$E$8,E435)),1,0))+IF(Classifiers!$F$8="",0,IF(ISNUMBER(SEARCH(Classifiers!$F$8,E435)),1,0))+IF(Classifiers!$G$8="",0,IF(ISNUMBER(SEARCH(Classifiers!$G$8,E435)),1,0)))&gt;0,1,0))</f>
        <v/>
      </c>
      <c r="N435" s="12">
        <f>IF(H435&lt;&gt;1,0,IF((IF(Classifiers!$B$9="",0,IF(ISNUMBER(SEARCH(Classifiers!$B$9,E435)),1,0))+IF(Classifiers!$C$9="",0,IF(ISNUMBER(SEARCH(Classifiers!$C$9,E435)),1,0))+IF(Classifiers!$D$9="",0,IF(ISNUMBER(SEARCH(Classifiers!$D$9,E435)),1,0))+IF(Classifiers!$E$9="",0,IF(ISNUMBER(SEARCH(Classifiers!$E$9,E435)),1,0))+IF(Classifiers!$F$9="",0,IF(ISNUMBER(SEARCH(Classifiers!$F$9,E435)),1,0))+IF(Classifiers!$G$9="",0,IF(ISNUMBER(SEARCH(Classifiers!$G$9,E435)),1,0)))&gt;0,1,0))</f>
        <v/>
      </c>
      <c r="O435" s="12">
        <f>IF(H435&lt;&gt;1,0,IF((IF(Classifiers!$B$10="",0,IF(ISNUMBER(SEARCH(Classifiers!$B$10,E435)),1,0))+IF(Classifiers!$C$10="",0,IF(ISNUMBER(SEARCH(Classifiers!$C$10,E435)),1,0))+IF(Classifiers!$D$10="",0,IF(ISNUMBER(SEARCH(Classifiers!$D$10,E435)),1,0))+IF(Classifiers!$E$10="",0,IF(ISNUMBER(SEARCH(Classifiers!$E$10,E435)),1,0))+IF(Classifiers!$F$10="",0,IF(ISNUMBER(SEARCH(Classifiers!$F$10,E435)),1,0))+IF(Classifiers!$G$10="",0,IF(ISNUMBER(SEARCH(Classifiers!$G$10,E435)),1,0)))&gt;0,1,0))</f>
        <v/>
      </c>
      <c r="P435" s="12">
        <f>IF(H435&lt;&gt;1,0,IF((IF(Classifiers!$B$11="",0,IF(ISNUMBER(SEARCH(Classifiers!$B$11,E435)),1,0))+IF(Classifiers!$C$11="",0,IF(ISNUMBER(SEARCH(Classifiers!$C$11,E435)),1,0))+IF(Classifiers!$D$11="",0,IF(ISNUMBER(SEARCH(Classifiers!$D$11,E435)),1,0))+IF(Classifiers!$E$11="",0,IF(ISNUMBER(SEARCH(Classifiers!$E$11,E435)),1,0))+IF(Classifiers!$F$11="",0,IF(ISNUMBER(SEARCH(Classifiers!$F$11,E435)),1,0))+IF(Classifiers!$G$11="",0,IF(ISNUMBER(SEARCH(Classifiers!$G$11,E435)),1,0)))&gt;0,1,0))</f>
        <v/>
      </c>
      <c r="Q435" s="12">
        <f>IF(H435&lt;&gt;1,0,IF((IF(Classifiers!$B$12="",0,IF(ISNUMBER(SEARCH(Classifiers!$B$12,E435)),1,0))+IF(Classifiers!$C$12="",0,IF(ISNUMBER(SEARCH(Classifiers!$C$12,E435)),1,0))+IF(Classifiers!$D$12="",0,IF(ISNUMBER(SEARCH(Classifiers!$D$12,E435)),1,0))+IF(Classifiers!$E$12="",0,IF(ISNUMBER(SEARCH(Classifiers!$E$12,E435)),1,0))+IF(Classifiers!$F$12="",0,IF(ISNUMBER(SEARCH(Classifiers!$F$12,E435)),1,0))+IF(Classifiers!$G$12="",0,IF(ISNUMBER(SEARCH(Classifiers!$G$12,E435)),1,0)))&gt;0,1,0))</f>
        <v/>
      </c>
      <c r="R435" s="12">
        <f>IF(H435&lt;&gt;1,0,IF((IF(Classifiers!$B$13="",0,IF(ISNUMBER(SEARCH(Classifiers!$B$13,E435)),1,0))+IF(Classifiers!$C$13="",0,IF(ISNUMBER(SEARCH(Classifiers!$C$13,E435)),1,0))+IF(Classifiers!$D$13="",0,IF(ISNUMBER(SEARCH(Classifiers!$D$13,E435)),1,0))+IF(Classifiers!$E$13="",0,IF(ISNUMBER(SEARCH(Classifiers!$E$13,E435)),1,0))+IF(Classifiers!$F$13="",0,IF(ISNUMBER(SEARCH(Classifiers!$F$13,E435)),1,0))+IF(Classifiers!$G$13="",0,IF(ISNUMBER(SEARCH(Classifiers!$G$13,E435)),1,0)))&gt;0,1,0))</f>
        <v/>
      </c>
      <c r="S435" s="12">
        <f>IF(H435&lt;&gt;1,0,IF((IF(Classifiers!$B$14="",0,IF(ISNUMBER(SEARCH(Classifiers!$B$14,E435)),1,0))+IF(Classifiers!$C$14="",0,IF(ISNUMBER(SEARCH(Classifiers!$C$14,E435)),1,0))+IF(Classifiers!$D$14="",0,IF(ISNUMBER(SEARCH(Classifiers!$D$14,E435)),1,0))+IF(Classifiers!$E$14="",0,IF(ISNUMBER(SEARCH(Classifiers!$E$14,E435)),1,0))+IF(Classifiers!$F$14="",0,IF(ISNUMBER(SEARCH(Classifiers!$F$14,E435)),1,0))+IF(Classifiers!$G$14="",0,IF(ISNUMBER(SEARCH(Classifiers!$G$14,E435)),1,0)))&gt;0,1,0))</f>
        <v/>
      </c>
      <c r="T435" s="12">
        <f>IF(H435&lt;&gt;1,0,IF((IF(Classifiers!$B$15="",0,IF(ISNUMBER(SEARCH(Classifiers!$B$15,E435)),1,0))+IF(Classifiers!$C$15="",0,IF(ISNUMBER(SEARCH(Classifiers!$C$15,E435)),1,0))+IF(Classifiers!$D$15="",0,IF(ISNUMBER(SEARCH(Classifiers!$D$15,E435)),1,0))+IF(Classifiers!$E$15="",0,IF(ISNUMBER(SEARCH(Classifiers!$E$15,E435)),1,0))+IF(Classifiers!$F$15="",0,IF(ISNUMBER(SEARCH(Classifiers!$F$15,E435)),1,0))+IF(Classifiers!$G$15="",0,IF(ISNUMBER(SEARCH(Classifiers!$G$15,E435)),1,0)))&gt;0,1,0))</f>
        <v/>
      </c>
      <c r="U435" s="12">
        <f>IF(H435&lt;&gt;1,0,IF((IF(Classifiers!$B$16="",0,IF(ISNUMBER(SEARCH(Classifiers!$B$16,E435)),1,0))+IF(Classifiers!$C$16="",0,IF(ISNUMBER(SEARCH(Classifiers!$C$16,E435)),1,0))+IF(Classifiers!$D$16="",0,IF(ISNUMBER(SEARCH(Classifiers!$D$16,E435)),1,0))+IF(Classifiers!$E$16="",0,IF(ISNUMBER(SEARCH(Classifiers!$E$16,E435)),1,0))+IF(Classifiers!$F$16="",0,IF(ISNUMBER(SEARCH(Classifiers!$F$16,E435)),1,0))+IF(Classifiers!$G$16="",0,IF(ISNUMBER(SEARCH(Classifiers!$G$16,E435)),1,0)))&gt;0,1,0))</f>
        <v/>
      </c>
      <c r="V435" s="12">
        <f>IF(H435&lt;&gt;1,0,IF((IF(Classifiers!$B$17="",0,IF(ISNUMBER(SEARCH(Classifiers!$B$17,E435)),1,0))+IF(Classifiers!$C$17="",0,IF(ISNUMBER(SEARCH(Classifiers!$C$17,E435)),1,0))+IF(Classifiers!$D$17="",0,IF(ISNUMBER(SEARCH(Classifiers!$D$17,E435)),1,0))+IF(Classifiers!$E$17="",0,IF(ISNUMBER(SEARCH(Classifiers!$E$17,E435)),1,0))+IF(Classifiers!$F$17="",0,IF(ISNUMBER(SEARCH(Classifiers!$F$17,E435)),1,0))+IF(Classifiers!$G$17="",0,IF(ISNUMBER(SEARCH(Classifiers!$G$17,E435)),1,0)))&gt;0,1,0))</f>
        <v/>
      </c>
      <c r="W435" s="12">
        <f>IF(H435&lt;&gt;1,0,IF((IF(Classifiers!$B$18="",0,IF(ISNUMBER(SEARCH(Classifiers!$B$18,E435)),1,0))+IF(Classifiers!$C$18="",0,IF(ISNUMBER(SEARCH(Classifiers!$C$18,E435)),1,0))+IF(Classifiers!$D$18="",0,IF(ISNUMBER(SEARCH(Classifiers!$D$18,E435)),1,0))+IF(Classifiers!$E$18="",0,IF(ISNUMBER(SEARCH(Classifiers!$E$18,E435)),1,0))+IF(Classifiers!$F$18="",0,IF(ISNUMBER(SEARCH(Classifiers!$F$18,E435)),1,0))+IF(Classifiers!$G$18="",0,IF(ISNUMBER(SEARCH(Classifiers!$G$18,E435)),1,0)))&gt;0,1,0))</f>
        <v/>
      </c>
    </row>
    <row r="436">
      <c r="A436" s="8" t="n"/>
      <c r="B436" s="11" t="n"/>
      <c r="C436" s="6">
        <f>IF(A436="","",TRIM(RIGHT(SUBSTITUTE(A436,"/",REPT(" ",250)),250)))</f>
        <v/>
      </c>
      <c r="D436" s="6">
        <f>IF(C436="","",IF(ISNUMBER(SEARCH(".",C436)),LOWER("."&amp;TRIM(RIGHT(SUBSTITUTE(C436,".",REPT(" ",250)),250))),""))</f>
        <v/>
      </c>
      <c r="E436" s="6">
        <f>IF(C436="","",TRIM(SUBSTITUTE(SUBSTITUTE(SUBSTITUTE(SUBSTITUTE(SUBSTITUTE(SUBSTITUTE(SUBSTITUTE(SUBSTITUTE(SUBSTITUTE(SUBSTITUTE(SUBSTITUTE(SUBSTITUTE(SUBSTITUTE(SUBSTITUTE(SUBSTITUTE(SUBSTITUTE(SUBSTITUTE(SUBSTITUTE(SUBSTITUTE(SUBSTITUTE(LOWER(LEFT(C436,LEN(C436)-LEN(D436))),"_"," "),"-"," "),"."," "),","," "),"("," "),")"," "),"["," "),"]"," "),"&amp;"," "),"+"," "),"@"," "),"#"," "),"!"," "),"'"," "),"/"," "),":"," "),";"," "),"="," "),"~"," "),"%"," ")))</f>
        <v/>
      </c>
      <c r="F436" s="6">
        <f>IF(C436="","",IF(COUNTIF(Classifiers!$A$23:$A$40,D436)&gt;0,1,0))</f>
        <v/>
      </c>
      <c r="G436" s="6">
        <f>IF(C436="","",IF(COUNTIF(Classifiers!$C$23:$C$30,D436)&gt;0,IF((IF(ISNUMBER(SEARCH(Classifiers!$E$23,E436)),1,0)+IF(ISNUMBER(SEARCH(Classifiers!$E$24,E436)),1,0)+IF(ISNUMBER(SEARCH(Classifiers!$E$25,E436)),1,0)+IF(ISNUMBER(SEARCH(Classifiers!$E$26,E436)),1,0)+IF(ISNUMBER(SEARCH(Classifiers!$E$27,E436)),1,0)+IF(ISNUMBER(SEARCH(Classifiers!$E$28,E436)),1,0)+IF(ISNUMBER(SEARCH(Classifiers!$E$29,E436)),1,0)+IF(ISNUMBER(SEARCH(Classifiers!$E$30,E436)),1,0))&gt;0,1,0),0))</f>
        <v/>
      </c>
      <c r="H436" s="6">
        <f>IF(C436="","",IF(OR(LEFT(C436,1)=".",AND(F436=0,G436=0)),0,1))</f>
        <v/>
      </c>
      <c r="I436" s="6">
        <f>IF(H436&lt;&gt;1,"",IF(SUM(J436:W436)=0,"unclassified",INDEX(Classifiers!$A$5:$A$18,MATCH(1,J436:W436,0),1)))</f>
        <v/>
      </c>
      <c r="J436" s="12">
        <f>IF(H436&lt;&gt;1,0,IF((IF(Classifiers!$B$5="",0,IF(ISNUMBER(SEARCH(Classifiers!$B$5,E436)),1,0))+IF(Classifiers!$C$5="",0,IF(ISNUMBER(SEARCH(Classifiers!$C$5,E436)),1,0))+IF(Classifiers!$D$5="",0,IF(ISNUMBER(SEARCH(Classifiers!$D$5,E436)),1,0))+IF(Classifiers!$E$5="",0,IF(ISNUMBER(SEARCH(Classifiers!$E$5,E436)),1,0))+IF(Classifiers!$F$5="",0,IF(ISNUMBER(SEARCH(Classifiers!$F$5,E436)),1,0))+IF(Classifiers!$G$5="",0,IF(ISNUMBER(SEARCH(Classifiers!$G$5,E436)),1,0)))&gt;0,1,0))</f>
        <v/>
      </c>
      <c r="K436" s="12">
        <f>IF(H436&lt;&gt;1,0,IF((IF(Classifiers!$B$6="",0,IF(ISNUMBER(SEARCH(Classifiers!$B$6,E436)),1,0))+IF(Classifiers!$C$6="",0,IF(ISNUMBER(SEARCH(Classifiers!$C$6,E436)),1,0))+IF(Classifiers!$D$6="",0,IF(ISNUMBER(SEARCH(Classifiers!$D$6,E436)),1,0))+IF(Classifiers!$E$6="",0,IF(ISNUMBER(SEARCH(Classifiers!$E$6,E436)),1,0))+IF(Classifiers!$F$6="",0,IF(ISNUMBER(SEARCH(Classifiers!$F$6,E436)),1,0))+IF(Classifiers!$G$6="",0,IF(ISNUMBER(SEARCH(Classifiers!$G$6,E436)),1,0)))&gt;0,1,0))</f>
        <v/>
      </c>
      <c r="L436" s="12">
        <f>IF(H436&lt;&gt;1,0,IF((IF(Classifiers!$B$7="",0,IF(ISNUMBER(SEARCH(Classifiers!$B$7,E436)),1,0))+IF(Classifiers!$C$7="",0,IF(ISNUMBER(SEARCH(Classifiers!$C$7,E436)),1,0))+IF(Classifiers!$D$7="",0,IF(ISNUMBER(SEARCH(Classifiers!$D$7,E436)),1,0))+IF(Classifiers!$E$7="",0,IF(ISNUMBER(SEARCH(Classifiers!$E$7,E436)),1,0))+IF(Classifiers!$F$7="",0,IF(ISNUMBER(SEARCH(Classifiers!$F$7,E436)),1,0))+IF(Classifiers!$G$7="",0,IF(ISNUMBER(SEARCH(Classifiers!$G$7,E436)),1,0)))&gt;0,1,0))</f>
        <v/>
      </c>
      <c r="M436" s="12">
        <f>IF(H436&lt;&gt;1,0,IF((IF(Classifiers!$B$8="",0,IF(ISNUMBER(SEARCH(Classifiers!$B$8,E436)),1,0))+IF(Classifiers!$C$8="",0,IF(ISNUMBER(SEARCH(Classifiers!$C$8,E436)),1,0))+IF(Classifiers!$D$8="",0,IF(ISNUMBER(SEARCH(Classifiers!$D$8,E436)),1,0))+IF(Classifiers!$E$8="",0,IF(ISNUMBER(SEARCH(Classifiers!$E$8,E436)),1,0))+IF(Classifiers!$F$8="",0,IF(ISNUMBER(SEARCH(Classifiers!$F$8,E436)),1,0))+IF(Classifiers!$G$8="",0,IF(ISNUMBER(SEARCH(Classifiers!$G$8,E436)),1,0)))&gt;0,1,0))</f>
        <v/>
      </c>
      <c r="N436" s="12">
        <f>IF(H436&lt;&gt;1,0,IF((IF(Classifiers!$B$9="",0,IF(ISNUMBER(SEARCH(Classifiers!$B$9,E436)),1,0))+IF(Classifiers!$C$9="",0,IF(ISNUMBER(SEARCH(Classifiers!$C$9,E436)),1,0))+IF(Classifiers!$D$9="",0,IF(ISNUMBER(SEARCH(Classifiers!$D$9,E436)),1,0))+IF(Classifiers!$E$9="",0,IF(ISNUMBER(SEARCH(Classifiers!$E$9,E436)),1,0))+IF(Classifiers!$F$9="",0,IF(ISNUMBER(SEARCH(Classifiers!$F$9,E436)),1,0))+IF(Classifiers!$G$9="",0,IF(ISNUMBER(SEARCH(Classifiers!$G$9,E436)),1,0)))&gt;0,1,0))</f>
        <v/>
      </c>
      <c r="O436" s="12">
        <f>IF(H436&lt;&gt;1,0,IF((IF(Classifiers!$B$10="",0,IF(ISNUMBER(SEARCH(Classifiers!$B$10,E436)),1,0))+IF(Classifiers!$C$10="",0,IF(ISNUMBER(SEARCH(Classifiers!$C$10,E436)),1,0))+IF(Classifiers!$D$10="",0,IF(ISNUMBER(SEARCH(Classifiers!$D$10,E436)),1,0))+IF(Classifiers!$E$10="",0,IF(ISNUMBER(SEARCH(Classifiers!$E$10,E436)),1,0))+IF(Classifiers!$F$10="",0,IF(ISNUMBER(SEARCH(Classifiers!$F$10,E436)),1,0))+IF(Classifiers!$G$10="",0,IF(ISNUMBER(SEARCH(Classifiers!$G$10,E436)),1,0)))&gt;0,1,0))</f>
        <v/>
      </c>
      <c r="P436" s="12">
        <f>IF(H436&lt;&gt;1,0,IF((IF(Classifiers!$B$11="",0,IF(ISNUMBER(SEARCH(Classifiers!$B$11,E436)),1,0))+IF(Classifiers!$C$11="",0,IF(ISNUMBER(SEARCH(Classifiers!$C$11,E436)),1,0))+IF(Classifiers!$D$11="",0,IF(ISNUMBER(SEARCH(Classifiers!$D$11,E436)),1,0))+IF(Classifiers!$E$11="",0,IF(ISNUMBER(SEARCH(Classifiers!$E$11,E436)),1,0))+IF(Classifiers!$F$11="",0,IF(ISNUMBER(SEARCH(Classifiers!$F$11,E436)),1,0))+IF(Classifiers!$G$11="",0,IF(ISNUMBER(SEARCH(Classifiers!$G$11,E436)),1,0)))&gt;0,1,0))</f>
        <v/>
      </c>
      <c r="Q436" s="12">
        <f>IF(H436&lt;&gt;1,0,IF((IF(Classifiers!$B$12="",0,IF(ISNUMBER(SEARCH(Classifiers!$B$12,E436)),1,0))+IF(Classifiers!$C$12="",0,IF(ISNUMBER(SEARCH(Classifiers!$C$12,E436)),1,0))+IF(Classifiers!$D$12="",0,IF(ISNUMBER(SEARCH(Classifiers!$D$12,E436)),1,0))+IF(Classifiers!$E$12="",0,IF(ISNUMBER(SEARCH(Classifiers!$E$12,E436)),1,0))+IF(Classifiers!$F$12="",0,IF(ISNUMBER(SEARCH(Classifiers!$F$12,E436)),1,0))+IF(Classifiers!$G$12="",0,IF(ISNUMBER(SEARCH(Classifiers!$G$12,E436)),1,0)))&gt;0,1,0))</f>
        <v/>
      </c>
      <c r="R436" s="12">
        <f>IF(H436&lt;&gt;1,0,IF((IF(Classifiers!$B$13="",0,IF(ISNUMBER(SEARCH(Classifiers!$B$13,E436)),1,0))+IF(Classifiers!$C$13="",0,IF(ISNUMBER(SEARCH(Classifiers!$C$13,E436)),1,0))+IF(Classifiers!$D$13="",0,IF(ISNUMBER(SEARCH(Classifiers!$D$13,E436)),1,0))+IF(Classifiers!$E$13="",0,IF(ISNUMBER(SEARCH(Classifiers!$E$13,E436)),1,0))+IF(Classifiers!$F$13="",0,IF(ISNUMBER(SEARCH(Classifiers!$F$13,E436)),1,0))+IF(Classifiers!$G$13="",0,IF(ISNUMBER(SEARCH(Classifiers!$G$13,E436)),1,0)))&gt;0,1,0))</f>
        <v/>
      </c>
      <c r="S436" s="12">
        <f>IF(H436&lt;&gt;1,0,IF((IF(Classifiers!$B$14="",0,IF(ISNUMBER(SEARCH(Classifiers!$B$14,E436)),1,0))+IF(Classifiers!$C$14="",0,IF(ISNUMBER(SEARCH(Classifiers!$C$14,E436)),1,0))+IF(Classifiers!$D$14="",0,IF(ISNUMBER(SEARCH(Classifiers!$D$14,E436)),1,0))+IF(Classifiers!$E$14="",0,IF(ISNUMBER(SEARCH(Classifiers!$E$14,E436)),1,0))+IF(Classifiers!$F$14="",0,IF(ISNUMBER(SEARCH(Classifiers!$F$14,E436)),1,0))+IF(Classifiers!$G$14="",0,IF(ISNUMBER(SEARCH(Classifiers!$G$14,E436)),1,0)))&gt;0,1,0))</f>
        <v/>
      </c>
      <c r="T436" s="12">
        <f>IF(H436&lt;&gt;1,0,IF((IF(Classifiers!$B$15="",0,IF(ISNUMBER(SEARCH(Classifiers!$B$15,E436)),1,0))+IF(Classifiers!$C$15="",0,IF(ISNUMBER(SEARCH(Classifiers!$C$15,E436)),1,0))+IF(Classifiers!$D$15="",0,IF(ISNUMBER(SEARCH(Classifiers!$D$15,E436)),1,0))+IF(Classifiers!$E$15="",0,IF(ISNUMBER(SEARCH(Classifiers!$E$15,E436)),1,0))+IF(Classifiers!$F$15="",0,IF(ISNUMBER(SEARCH(Classifiers!$F$15,E436)),1,0))+IF(Classifiers!$G$15="",0,IF(ISNUMBER(SEARCH(Classifiers!$G$15,E436)),1,0)))&gt;0,1,0))</f>
        <v/>
      </c>
      <c r="U436" s="12">
        <f>IF(H436&lt;&gt;1,0,IF((IF(Classifiers!$B$16="",0,IF(ISNUMBER(SEARCH(Classifiers!$B$16,E436)),1,0))+IF(Classifiers!$C$16="",0,IF(ISNUMBER(SEARCH(Classifiers!$C$16,E436)),1,0))+IF(Classifiers!$D$16="",0,IF(ISNUMBER(SEARCH(Classifiers!$D$16,E436)),1,0))+IF(Classifiers!$E$16="",0,IF(ISNUMBER(SEARCH(Classifiers!$E$16,E436)),1,0))+IF(Classifiers!$F$16="",0,IF(ISNUMBER(SEARCH(Classifiers!$F$16,E436)),1,0))+IF(Classifiers!$G$16="",0,IF(ISNUMBER(SEARCH(Classifiers!$G$16,E436)),1,0)))&gt;0,1,0))</f>
        <v/>
      </c>
      <c r="V436" s="12">
        <f>IF(H436&lt;&gt;1,0,IF((IF(Classifiers!$B$17="",0,IF(ISNUMBER(SEARCH(Classifiers!$B$17,E436)),1,0))+IF(Classifiers!$C$17="",0,IF(ISNUMBER(SEARCH(Classifiers!$C$17,E436)),1,0))+IF(Classifiers!$D$17="",0,IF(ISNUMBER(SEARCH(Classifiers!$D$17,E436)),1,0))+IF(Classifiers!$E$17="",0,IF(ISNUMBER(SEARCH(Classifiers!$E$17,E436)),1,0))+IF(Classifiers!$F$17="",0,IF(ISNUMBER(SEARCH(Classifiers!$F$17,E436)),1,0))+IF(Classifiers!$G$17="",0,IF(ISNUMBER(SEARCH(Classifiers!$G$17,E436)),1,0)))&gt;0,1,0))</f>
        <v/>
      </c>
      <c r="W436" s="12">
        <f>IF(H436&lt;&gt;1,0,IF((IF(Classifiers!$B$18="",0,IF(ISNUMBER(SEARCH(Classifiers!$B$18,E436)),1,0))+IF(Classifiers!$C$18="",0,IF(ISNUMBER(SEARCH(Classifiers!$C$18,E436)),1,0))+IF(Classifiers!$D$18="",0,IF(ISNUMBER(SEARCH(Classifiers!$D$18,E436)),1,0))+IF(Classifiers!$E$18="",0,IF(ISNUMBER(SEARCH(Classifiers!$E$18,E436)),1,0))+IF(Classifiers!$F$18="",0,IF(ISNUMBER(SEARCH(Classifiers!$F$18,E436)),1,0))+IF(Classifiers!$G$18="",0,IF(ISNUMBER(SEARCH(Classifiers!$G$18,E436)),1,0)))&gt;0,1,0))</f>
        <v/>
      </c>
    </row>
    <row r="437">
      <c r="A437" s="8" t="n"/>
      <c r="B437" s="11" t="n"/>
      <c r="C437" s="6">
        <f>IF(A437="","",TRIM(RIGHT(SUBSTITUTE(A437,"/",REPT(" ",250)),250)))</f>
        <v/>
      </c>
      <c r="D437" s="6">
        <f>IF(C437="","",IF(ISNUMBER(SEARCH(".",C437)),LOWER("."&amp;TRIM(RIGHT(SUBSTITUTE(C437,".",REPT(" ",250)),250))),""))</f>
        <v/>
      </c>
      <c r="E437" s="6">
        <f>IF(C437="","",TRIM(SUBSTITUTE(SUBSTITUTE(SUBSTITUTE(SUBSTITUTE(SUBSTITUTE(SUBSTITUTE(SUBSTITUTE(SUBSTITUTE(SUBSTITUTE(SUBSTITUTE(SUBSTITUTE(SUBSTITUTE(SUBSTITUTE(SUBSTITUTE(SUBSTITUTE(SUBSTITUTE(SUBSTITUTE(SUBSTITUTE(SUBSTITUTE(SUBSTITUTE(LOWER(LEFT(C437,LEN(C437)-LEN(D437))),"_"," "),"-"," "),"."," "),","," "),"("," "),")"," "),"["," "),"]"," "),"&amp;"," "),"+"," "),"@"," "),"#"," "),"!"," "),"'"," "),"/"," "),":"," "),";"," "),"="," "),"~"," "),"%"," ")))</f>
        <v/>
      </c>
      <c r="F437" s="6">
        <f>IF(C437="","",IF(COUNTIF(Classifiers!$A$23:$A$40,D437)&gt;0,1,0))</f>
        <v/>
      </c>
      <c r="G437" s="6">
        <f>IF(C437="","",IF(COUNTIF(Classifiers!$C$23:$C$30,D437)&gt;0,IF((IF(ISNUMBER(SEARCH(Classifiers!$E$23,E437)),1,0)+IF(ISNUMBER(SEARCH(Classifiers!$E$24,E437)),1,0)+IF(ISNUMBER(SEARCH(Classifiers!$E$25,E437)),1,0)+IF(ISNUMBER(SEARCH(Classifiers!$E$26,E437)),1,0)+IF(ISNUMBER(SEARCH(Classifiers!$E$27,E437)),1,0)+IF(ISNUMBER(SEARCH(Classifiers!$E$28,E437)),1,0)+IF(ISNUMBER(SEARCH(Classifiers!$E$29,E437)),1,0)+IF(ISNUMBER(SEARCH(Classifiers!$E$30,E437)),1,0))&gt;0,1,0),0))</f>
        <v/>
      </c>
      <c r="H437" s="6">
        <f>IF(C437="","",IF(OR(LEFT(C437,1)=".",AND(F437=0,G437=0)),0,1))</f>
        <v/>
      </c>
      <c r="I437" s="6">
        <f>IF(H437&lt;&gt;1,"",IF(SUM(J437:W437)=0,"unclassified",INDEX(Classifiers!$A$5:$A$18,MATCH(1,J437:W437,0),1)))</f>
        <v/>
      </c>
      <c r="J437" s="12">
        <f>IF(H437&lt;&gt;1,0,IF((IF(Classifiers!$B$5="",0,IF(ISNUMBER(SEARCH(Classifiers!$B$5,E437)),1,0))+IF(Classifiers!$C$5="",0,IF(ISNUMBER(SEARCH(Classifiers!$C$5,E437)),1,0))+IF(Classifiers!$D$5="",0,IF(ISNUMBER(SEARCH(Classifiers!$D$5,E437)),1,0))+IF(Classifiers!$E$5="",0,IF(ISNUMBER(SEARCH(Classifiers!$E$5,E437)),1,0))+IF(Classifiers!$F$5="",0,IF(ISNUMBER(SEARCH(Classifiers!$F$5,E437)),1,0))+IF(Classifiers!$G$5="",0,IF(ISNUMBER(SEARCH(Classifiers!$G$5,E437)),1,0)))&gt;0,1,0))</f>
        <v/>
      </c>
      <c r="K437" s="12">
        <f>IF(H437&lt;&gt;1,0,IF((IF(Classifiers!$B$6="",0,IF(ISNUMBER(SEARCH(Classifiers!$B$6,E437)),1,0))+IF(Classifiers!$C$6="",0,IF(ISNUMBER(SEARCH(Classifiers!$C$6,E437)),1,0))+IF(Classifiers!$D$6="",0,IF(ISNUMBER(SEARCH(Classifiers!$D$6,E437)),1,0))+IF(Classifiers!$E$6="",0,IF(ISNUMBER(SEARCH(Classifiers!$E$6,E437)),1,0))+IF(Classifiers!$F$6="",0,IF(ISNUMBER(SEARCH(Classifiers!$F$6,E437)),1,0))+IF(Classifiers!$G$6="",0,IF(ISNUMBER(SEARCH(Classifiers!$G$6,E437)),1,0)))&gt;0,1,0))</f>
        <v/>
      </c>
      <c r="L437" s="12">
        <f>IF(H437&lt;&gt;1,0,IF((IF(Classifiers!$B$7="",0,IF(ISNUMBER(SEARCH(Classifiers!$B$7,E437)),1,0))+IF(Classifiers!$C$7="",0,IF(ISNUMBER(SEARCH(Classifiers!$C$7,E437)),1,0))+IF(Classifiers!$D$7="",0,IF(ISNUMBER(SEARCH(Classifiers!$D$7,E437)),1,0))+IF(Classifiers!$E$7="",0,IF(ISNUMBER(SEARCH(Classifiers!$E$7,E437)),1,0))+IF(Classifiers!$F$7="",0,IF(ISNUMBER(SEARCH(Classifiers!$F$7,E437)),1,0))+IF(Classifiers!$G$7="",0,IF(ISNUMBER(SEARCH(Classifiers!$G$7,E437)),1,0)))&gt;0,1,0))</f>
        <v/>
      </c>
      <c r="M437" s="12">
        <f>IF(H437&lt;&gt;1,0,IF((IF(Classifiers!$B$8="",0,IF(ISNUMBER(SEARCH(Classifiers!$B$8,E437)),1,0))+IF(Classifiers!$C$8="",0,IF(ISNUMBER(SEARCH(Classifiers!$C$8,E437)),1,0))+IF(Classifiers!$D$8="",0,IF(ISNUMBER(SEARCH(Classifiers!$D$8,E437)),1,0))+IF(Classifiers!$E$8="",0,IF(ISNUMBER(SEARCH(Classifiers!$E$8,E437)),1,0))+IF(Classifiers!$F$8="",0,IF(ISNUMBER(SEARCH(Classifiers!$F$8,E437)),1,0))+IF(Classifiers!$G$8="",0,IF(ISNUMBER(SEARCH(Classifiers!$G$8,E437)),1,0)))&gt;0,1,0))</f>
        <v/>
      </c>
      <c r="N437" s="12">
        <f>IF(H437&lt;&gt;1,0,IF((IF(Classifiers!$B$9="",0,IF(ISNUMBER(SEARCH(Classifiers!$B$9,E437)),1,0))+IF(Classifiers!$C$9="",0,IF(ISNUMBER(SEARCH(Classifiers!$C$9,E437)),1,0))+IF(Classifiers!$D$9="",0,IF(ISNUMBER(SEARCH(Classifiers!$D$9,E437)),1,0))+IF(Classifiers!$E$9="",0,IF(ISNUMBER(SEARCH(Classifiers!$E$9,E437)),1,0))+IF(Classifiers!$F$9="",0,IF(ISNUMBER(SEARCH(Classifiers!$F$9,E437)),1,0))+IF(Classifiers!$G$9="",0,IF(ISNUMBER(SEARCH(Classifiers!$G$9,E437)),1,0)))&gt;0,1,0))</f>
        <v/>
      </c>
      <c r="O437" s="12">
        <f>IF(H437&lt;&gt;1,0,IF((IF(Classifiers!$B$10="",0,IF(ISNUMBER(SEARCH(Classifiers!$B$10,E437)),1,0))+IF(Classifiers!$C$10="",0,IF(ISNUMBER(SEARCH(Classifiers!$C$10,E437)),1,0))+IF(Classifiers!$D$10="",0,IF(ISNUMBER(SEARCH(Classifiers!$D$10,E437)),1,0))+IF(Classifiers!$E$10="",0,IF(ISNUMBER(SEARCH(Classifiers!$E$10,E437)),1,0))+IF(Classifiers!$F$10="",0,IF(ISNUMBER(SEARCH(Classifiers!$F$10,E437)),1,0))+IF(Classifiers!$G$10="",0,IF(ISNUMBER(SEARCH(Classifiers!$G$10,E437)),1,0)))&gt;0,1,0))</f>
        <v/>
      </c>
      <c r="P437" s="12">
        <f>IF(H437&lt;&gt;1,0,IF((IF(Classifiers!$B$11="",0,IF(ISNUMBER(SEARCH(Classifiers!$B$11,E437)),1,0))+IF(Classifiers!$C$11="",0,IF(ISNUMBER(SEARCH(Classifiers!$C$11,E437)),1,0))+IF(Classifiers!$D$11="",0,IF(ISNUMBER(SEARCH(Classifiers!$D$11,E437)),1,0))+IF(Classifiers!$E$11="",0,IF(ISNUMBER(SEARCH(Classifiers!$E$11,E437)),1,0))+IF(Classifiers!$F$11="",0,IF(ISNUMBER(SEARCH(Classifiers!$F$11,E437)),1,0))+IF(Classifiers!$G$11="",0,IF(ISNUMBER(SEARCH(Classifiers!$G$11,E437)),1,0)))&gt;0,1,0))</f>
        <v/>
      </c>
      <c r="Q437" s="12">
        <f>IF(H437&lt;&gt;1,0,IF((IF(Classifiers!$B$12="",0,IF(ISNUMBER(SEARCH(Classifiers!$B$12,E437)),1,0))+IF(Classifiers!$C$12="",0,IF(ISNUMBER(SEARCH(Classifiers!$C$12,E437)),1,0))+IF(Classifiers!$D$12="",0,IF(ISNUMBER(SEARCH(Classifiers!$D$12,E437)),1,0))+IF(Classifiers!$E$12="",0,IF(ISNUMBER(SEARCH(Classifiers!$E$12,E437)),1,0))+IF(Classifiers!$F$12="",0,IF(ISNUMBER(SEARCH(Classifiers!$F$12,E437)),1,0))+IF(Classifiers!$G$12="",0,IF(ISNUMBER(SEARCH(Classifiers!$G$12,E437)),1,0)))&gt;0,1,0))</f>
        <v/>
      </c>
      <c r="R437" s="12">
        <f>IF(H437&lt;&gt;1,0,IF((IF(Classifiers!$B$13="",0,IF(ISNUMBER(SEARCH(Classifiers!$B$13,E437)),1,0))+IF(Classifiers!$C$13="",0,IF(ISNUMBER(SEARCH(Classifiers!$C$13,E437)),1,0))+IF(Classifiers!$D$13="",0,IF(ISNUMBER(SEARCH(Classifiers!$D$13,E437)),1,0))+IF(Classifiers!$E$13="",0,IF(ISNUMBER(SEARCH(Classifiers!$E$13,E437)),1,0))+IF(Classifiers!$F$13="",0,IF(ISNUMBER(SEARCH(Classifiers!$F$13,E437)),1,0))+IF(Classifiers!$G$13="",0,IF(ISNUMBER(SEARCH(Classifiers!$G$13,E437)),1,0)))&gt;0,1,0))</f>
        <v/>
      </c>
      <c r="S437" s="12">
        <f>IF(H437&lt;&gt;1,0,IF((IF(Classifiers!$B$14="",0,IF(ISNUMBER(SEARCH(Classifiers!$B$14,E437)),1,0))+IF(Classifiers!$C$14="",0,IF(ISNUMBER(SEARCH(Classifiers!$C$14,E437)),1,0))+IF(Classifiers!$D$14="",0,IF(ISNUMBER(SEARCH(Classifiers!$D$14,E437)),1,0))+IF(Classifiers!$E$14="",0,IF(ISNUMBER(SEARCH(Classifiers!$E$14,E437)),1,0))+IF(Classifiers!$F$14="",0,IF(ISNUMBER(SEARCH(Classifiers!$F$14,E437)),1,0))+IF(Classifiers!$G$14="",0,IF(ISNUMBER(SEARCH(Classifiers!$G$14,E437)),1,0)))&gt;0,1,0))</f>
        <v/>
      </c>
      <c r="T437" s="12">
        <f>IF(H437&lt;&gt;1,0,IF((IF(Classifiers!$B$15="",0,IF(ISNUMBER(SEARCH(Classifiers!$B$15,E437)),1,0))+IF(Classifiers!$C$15="",0,IF(ISNUMBER(SEARCH(Classifiers!$C$15,E437)),1,0))+IF(Classifiers!$D$15="",0,IF(ISNUMBER(SEARCH(Classifiers!$D$15,E437)),1,0))+IF(Classifiers!$E$15="",0,IF(ISNUMBER(SEARCH(Classifiers!$E$15,E437)),1,0))+IF(Classifiers!$F$15="",0,IF(ISNUMBER(SEARCH(Classifiers!$F$15,E437)),1,0))+IF(Classifiers!$G$15="",0,IF(ISNUMBER(SEARCH(Classifiers!$G$15,E437)),1,0)))&gt;0,1,0))</f>
        <v/>
      </c>
      <c r="U437" s="12">
        <f>IF(H437&lt;&gt;1,0,IF((IF(Classifiers!$B$16="",0,IF(ISNUMBER(SEARCH(Classifiers!$B$16,E437)),1,0))+IF(Classifiers!$C$16="",0,IF(ISNUMBER(SEARCH(Classifiers!$C$16,E437)),1,0))+IF(Classifiers!$D$16="",0,IF(ISNUMBER(SEARCH(Classifiers!$D$16,E437)),1,0))+IF(Classifiers!$E$16="",0,IF(ISNUMBER(SEARCH(Classifiers!$E$16,E437)),1,0))+IF(Classifiers!$F$16="",0,IF(ISNUMBER(SEARCH(Classifiers!$F$16,E437)),1,0))+IF(Classifiers!$G$16="",0,IF(ISNUMBER(SEARCH(Classifiers!$G$16,E437)),1,0)))&gt;0,1,0))</f>
        <v/>
      </c>
      <c r="V437" s="12">
        <f>IF(H437&lt;&gt;1,0,IF((IF(Classifiers!$B$17="",0,IF(ISNUMBER(SEARCH(Classifiers!$B$17,E437)),1,0))+IF(Classifiers!$C$17="",0,IF(ISNUMBER(SEARCH(Classifiers!$C$17,E437)),1,0))+IF(Classifiers!$D$17="",0,IF(ISNUMBER(SEARCH(Classifiers!$D$17,E437)),1,0))+IF(Classifiers!$E$17="",0,IF(ISNUMBER(SEARCH(Classifiers!$E$17,E437)),1,0))+IF(Classifiers!$F$17="",0,IF(ISNUMBER(SEARCH(Classifiers!$F$17,E437)),1,0))+IF(Classifiers!$G$17="",0,IF(ISNUMBER(SEARCH(Classifiers!$G$17,E437)),1,0)))&gt;0,1,0))</f>
        <v/>
      </c>
      <c r="W437" s="12">
        <f>IF(H437&lt;&gt;1,0,IF((IF(Classifiers!$B$18="",0,IF(ISNUMBER(SEARCH(Classifiers!$B$18,E437)),1,0))+IF(Classifiers!$C$18="",0,IF(ISNUMBER(SEARCH(Classifiers!$C$18,E437)),1,0))+IF(Classifiers!$D$18="",0,IF(ISNUMBER(SEARCH(Classifiers!$D$18,E437)),1,0))+IF(Classifiers!$E$18="",0,IF(ISNUMBER(SEARCH(Classifiers!$E$18,E437)),1,0))+IF(Classifiers!$F$18="",0,IF(ISNUMBER(SEARCH(Classifiers!$F$18,E437)),1,0))+IF(Classifiers!$G$18="",0,IF(ISNUMBER(SEARCH(Classifiers!$G$18,E437)),1,0)))&gt;0,1,0))</f>
        <v/>
      </c>
    </row>
    <row r="438">
      <c r="A438" s="8" t="n"/>
      <c r="B438" s="11" t="n"/>
      <c r="C438" s="6">
        <f>IF(A438="","",TRIM(RIGHT(SUBSTITUTE(A438,"/",REPT(" ",250)),250)))</f>
        <v/>
      </c>
      <c r="D438" s="6">
        <f>IF(C438="","",IF(ISNUMBER(SEARCH(".",C438)),LOWER("."&amp;TRIM(RIGHT(SUBSTITUTE(C438,".",REPT(" ",250)),250))),""))</f>
        <v/>
      </c>
      <c r="E438" s="6">
        <f>IF(C438="","",TRIM(SUBSTITUTE(SUBSTITUTE(SUBSTITUTE(SUBSTITUTE(SUBSTITUTE(SUBSTITUTE(SUBSTITUTE(SUBSTITUTE(SUBSTITUTE(SUBSTITUTE(SUBSTITUTE(SUBSTITUTE(SUBSTITUTE(SUBSTITUTE(SUBSTITUTE(SUBSTITUTE(SUBSTITUTE(SUBSTITUTE(SUBSTITUTE(SUBSTITUTE(LOWER(LEFT(C438,LEN(C438)-LEN(D438))),"_"," "),"-"," "),"."," "),","," "),"("," "),")"," "),"["," "),"]"," "),"&amp;"," "),"+"," "),"@"," "),"#"," "),"!"," "),"'"," "),"/"," "),":"," "),";"," "),"="," "),"~"," "),"%"," ")))</f>
        <v/>
      </c>
      <c r="F438" s="6">
        <f>IF(C438="","",IF(COUNTIF(Classifiers!$A$23:$A$40,D438)&gt;0,1,0))</f>
        <v/>
      </c>
      <c r="G438" s="6">
        <f>IF(C438="","",IF(COUNTIF(Classifiers!$C$23:$C$30,D438)&gt;0,IF((IF(ISNUMBER(SEARCH(Classifiers!$E$23,E438)),1,0)+IF(ISNUMBER(SEARCH(Classifiers!$E$24,E438)),1,0)+IF(ISNUMBER(SEARCH(Classifiers!$E$25,E438)),1,0)+IF(ISNUMBER(SEARCH(Classifiers!$E$26,E438)),1,0)+IF(ISNUMBER(SEARCH(Classifiers!$E$27,E438)),1,0)+IF(ISNUMBER(SEARCH(Classifiers!$E$28,E438)),1,0)+IF(ISNUMBER(SEARCH(Classifiers!$E$29,E438)),1,0)+IF(ISNUMBER(SEARCH(Classifiers!$E$30,E438)),1,0))&gt;0,1,0),0))</f>
        <v/>
      </c>
      <c r="H438" s="6">
        <f>IF(C438="","",IF(OR(LEFT(C438,1)=".",AND(F438=0,G438=0)),0,1))</f>
        <v/>
      </c>
      <c r="I438" s="6">
        <f>IF(H438&lt;&gt;1,"",IF(SUM(J438:W438)=0,"unclassified",INDEX(Classifiers!$A$5:$A$18,MATCH(1,J438:W438,0),1)))</f>
        <v/>
      </c>
      <c r="J438" s="12">
        <f>IF(H438&lt;&gt;1,0,IF((IF(Classifiers!$B$5="",0,IF(ISNUMBER(SEARCH(Classifiers!$B$5,E438)),1,0))+IF(Classifiers!$C$5="",0,IF(ISNUMBER(SEARCH(Classifiers!$C$5,E438)),1,0))+IF(Classifiers!$D$5="",0,IF(ISNUMBER(SEARCH(Classifiers!$D$5,E438)),1,0))+IF(Classifiers!$E$5="",0,IF(ISNUMBER(SEARCH(Classifiers!$E$5,E438)),1,0))+IF(Classifiers!$F$5="",0,IF(ISNUMBER(SEARCH(Classifiers!$F$5,E438)),1,0))+IF(Classifiers!$G$5="",0,IF(ISNUMBER(SEARCH(Classifiers!$G$5,E438)),1,0)))&gt;0,1,0))</f>
        <v/>
      </c>
      <c r="K438" s="12">
        <f>IF(H438&lt;&gt;1,0,IF((IF(Classifiers!$B$6="",0,IF(ISNUMBER(SEARCH(Classifiers!$B$6,E438)),1,0))+IF(Classifiers!$C$6="",0,IF(ISNUMBER(SEARCH(Classifiers!$C$6,E438)),1,0))+IF(Classifiers!$D$6="",0,IF(ISNUMBER(SEARCH(Classifiers!$D$6,E438)),1,0))+IF(Classifiers!$E$6="",0,IF(ISNUMBER(SEARCH(Classifiers!$E$6,E438)),1,0))+IF(Classifiers!$F$6="",0,IF(ISNUMBER(SEARCH(Classifiers!$F$6,E438)),1,0))+IF(Classifiers!$G$6="",0,IF(ISNUMBER(SEARCH(Classifiers!$G$6,E438)),1,0)))&gt;0,1,0))</f>
        <v/>
      </c>
      <c r="L438" s="12">
        <f>IF(H438&lt;&gt;1,0,IF((IF(Classifiers!$B$7="",0,IF(ISNUMBER(SEARCH(Classifiers!$B$7,E438)),1,0))+IF(Classifiers!$C$7="",0,IF(ISNUMBER(SEARCH(Classifiers!$C$7,E438)),1,0))+IF(Classifiers!$D$7="",0,IF(ISNUMBER(SEARCH(Classifiers!$D$7,E438)),1,0))+IF(Classifiers!$E$7="",0,IF(ISNUMBER(SEARCH(Classifiers!$E$7,E438)),1,0))+IF(Classifiers!$F$7="",0,IF(ISNUMBER(SEARCH(Classifiers!$F$7,E438)),1,0))+IF(Classifiers!$G$7="",0,IF(ISNUMBER(SEARCH(Classifiers!$G$7,E438)),1,0)))&gt;0,1,0))</f>
        <v/>
      </c>
      <c r="M438" s="12">
        <f>IF(H438&lt;&gt;1,0,IF((IF(Classifiers!$B$8="",0,IF(ISNUMBER(SEARCH(Classifiers!$B$8,E438)),1,0))+IF(Classifiers!$C$8="",0,IF(ISNUMBER(SEARCH(Classifiers!$C$8,E438)),1,0))+IF(Classifiers!$D$8="",0,IF(ISNUMBER(SEARCH(Classifiers!$D$8,E438)),1,0))+IF(Classifiers!$E$8="",0,IF(ISNUMBER(SEARCH(Classifiers!$E$8,E438)),1,0))+IF(Classifiers!$F$8="",0,IF(ISNUMBER(SEARCH(Classifiers!$F$8,E438)),1,0))+IF(Classifiers!$G$8="",0,IF(ISNUMBER(SEARCH(Classifiers!$G$8,E438)),1,0)))&gt;0,1,0))</f>
        <v/>
      </c>
      <c r="N438" s="12">
        <f>IF(H438&lt;&gt;1,0,IF((IF(Classifiers!$B$9="",0,IF(ISNUMBER(SEARCH(Classifiers!$B$9,E438)),1,0))+IF(Classifiers!$C$9="",0,IF(ISNUMBER(SEARCH(Classifiers!$C$9,E438)),1,0))+IF(Classifiers!$D$9="",0,IF(ISNUMBER(SEARCH(Classifiers!$D$9,E438)),1,0))+IF(Classifiers!$E$9="",0,IF(ISNUMBER(SEARCH(Classifiers!$E$9,E438)),1,0))+IF(Classifiers!$F$9="",0,IF(ISNUMBER(SEARCH(Classifiers!$F$9,E438)),1,0))+IF(Classifiers!$G$9="",0,IF(ISNUMBER(SEARCH(Classifiers!$G$9,E438)),1,0)))&gt;0,1,0))</f>
        <v/>
      </c>
      <c r="O438" s="12">
        <f>IF(H438&lt;&gt;1,0,IF((IF(Classifiers!$B$10="",0,IF(ISNUMBER(SEARCH(Classifiers!$B$10,E438)),1,0))+IF(Classifiers!$C$10="",0,IF(ISNUMBER(SEARCH(Classifiers!$C$10,E438)),1,0))+IF(Classifiers!$D$10="",0,IF(ISNUMBER(SEARCH(Classifiers!$D$10,E438)),1,0))+IF(Classifiers!$E$10="",0,IF(ISNUMBER(SEARCH(Classifiers!$E$10,E438)),1,0))+IF(Classifiers!$F$10="",0,IF(ISNUMBER(SEARCH(Classifiers!$F$10,E438)),1,0))+IF(Classifiers!$G$10="",0,IF(ISNUMBER(SEARCH(Classifiers!$G$10,E438)),1,0)))&gt;0,1,0))</f>
        <v/>
      </c>
      <c r="P438" s="12">
        <f>IF(H438&lt;&gt;1,0,IF((IF(Classifiers!$B$11="",0,IF(ISNUMBER(SEARCH(Classifiers!$B$11,E438)),1,0))+IF(Classifiers!$C$11="",0,IF(ISNUMBER(SEARCH(Classifiers!$C$11,E438)),1,0))+IF(Classifiers!$D$11="",0,IF(ISNUMBER(SEARCH(Classifiers!$D$11,E438)),1,0))+IF(Classifiers!$E$11="",0,IF(ISNUMBER(SEARCH(Classifiers!$E$11,E438)),1,0))+IF(Classifiers!$F$11="",0,IF(ISNUMBER(SEARCH(Classifiers!$F$11,E438)),1,0))+IF(Classifiers!$G$11="",0,IF(ISNUMBER(SEARCH(Classifiers!$G$11,E438)),1,0)))&gt;0,1,0))</f>
        <v/>
      </c>
      <c r="Q438" s="12">
        <f>IF(H438&lt;&gt;1,0,IF((IF(Classifiers!$B$12="",0,IF(ISNUMBER(SEARCH(Classifiers!$B$12,E438)),1,0))+IF(Classifiers!$C$12="",0,IF(ISNUMBER(SEARCH(Classifiers!$C$12,E438)),1,0))+IF(Classifiers!$D$12="",0,IF(ISNUMBER(SEARCH(Classifiers!$D$12,E438)),1,0))+IF(Classifiers!$E$12="",0,IF(ISNUMBER(SEARCH(Classifiers!$E$12,E438)),1,0))+IF(Classifiers!$F$12="",0,IF(ISNUMBER(SEARCH(Classifiers!$F$12,E438)),1,0))+IF(Classifiers!$G$12="",0,IF(ISNUMBER(SEARCH(Classifiers!$G$12,E438)),1,0)))&gt;0,1,0))</f>
        <v/>
      </c>
      <c r="R438" s="12">
        <f>IF(H438&lt;&gt;1,0,IF((IF(Classifiers!$B$13="",0,IF(ISNUMBER(SEARCH(Classifiers!$B$13,E438)),1,0))+IF(Classifiers!$C$13="",0,IF(ISNUMBER(SEARCH(Classifiers!$C$13,E438)),1,0))+IF(Classifiers!$D$13="",0,IF(ISNUMBER(SEARCH(Classifiers!$D$13,E438)),1,0))+IF(Classifiers!$E$13="",0,IF(ISNUMBER(SEARCH(Classifiers!$E$13,E438)),1,0))+IF(Classifiers!$F$13="",0,IF(ISNUMBER(SEARCH(Classifiers!$F$13,E438)),1,0))+IF(Classifiers!$G$13="",0,IF(ISNUMBER(SEARCH(Classifiers!$G$13,E438)),1,0)))&gt;0,1,0))</f>
        <v/>
      </c>
      <c r="S438" s="12">
        <f>IF(H438&lt;&gt;1,0,IF((IF(Classifiers!$B$14="",0,IF(ISNUMBER(SEARCH(Classifiers!$B$14,E438)),1,0))+IF(Classifiers!$C$14="",0,IF(ISNUMBER(SEARCH(Classifiers!$C$14,E438)),1,0))+IF(Classifiers!$D$14="",0,IF(ISNUMBER(SEARCH(Classifiers!$D$14,E438)),1,0))+IF(Classifiers!$E$14="",0,IF(ISNUMBER(SEARCH(Classifiers!$E$14,E438)),1,0))+IF(Classifiers!$F$14="",0,IF(ISNUMBER(SEARCH(Classifiers!$F$14,E438)),1,0))+IF(Classifiers!$G$14="",0,IF(ISNUMBER(SEARCH(Classifiers!$G$14,E438)),1,0)))&gt;0,1,0))</f>
        <v/>
      </c>
      <c r="T438" s="12">
        <f>IF(H438&lt;&gt;1,0,IF((IF(Classifiers!$B$15="",0,IF(ISNUMBER(SEARCH(Classifiers!$B$15,E438)),1,0))+IF(Classifiers!$C$15="",0,IF(ISNUMBER(SEARCH(Classifiers!$C$15,E438)),1,0))+IF(Classifiers!$D$15="",0,IF(ISNUMBER(SEARCH(Classifiers!$D$15,E438)),1,0))+IF(Classifiers!$E$15="",0,IF(ISNUMBER(SEARCH(Classifiers!$E$15,E438)),1,0))+IF(Classifiers!$F$15="",0,IF(ISNUMBER(SEARCH(Classifiers!$F$15,E438)),1,0))+IF(Classifiers!$G$15="",0,IF(ISNUMBER(SEARCH(Classifiers!$G$15,E438)),1,0)))&gt;0,1,0))</f>
        <v/>
      </c>
      <c r="U438" s="12">
        <f>IF(H438&lt;&gt;1,0,IF((IF(Classifiers!$B$16="",0,IF(ISNUMBER(SEARCH(Classifiers!$B$16,E438)),1,0))+IF(Classifiers!$C$16="",0,IF(ISNUMBER(SEARCH(Classifiers!$C$16,E438)),1,0))+IF(Classifiers!$D$16="",0,IF(ISNUMBER(SEARCH(Classifiers!$D$16,E438)),1,0))+IF(Classifiers!$E$16="",0,IF(ISNUMBER(SEARCH(Classifiers!$E$16,E438)),1,0))+IF(Classifiers!$F$16="",0,IF(ISNUMBER(SEARCH(Classifiers!$F$16,E438)),1,0))+IF(Classifiers!$G$16="",0,IF(ISNUMBER(SEARCH(Classifiers!$G$16,E438)),1,0)))&gt;0,1,0))</f>
        <v/>
      </c>
      <c r="V438" s="12">
        <f>IF(H438&lt;&gt;1,0,IF((IF(Classifiers!$B$17="",0,IF(ISNUMBER(SEARCH(Classifiers!$B$17,E438)),1,0))+IF(Classifiers!$C$17="",0,IF(ISNUMBER(SEARCH(Classifiers!$C$17,E438)),1,0))+IF(Classifiers!$D$17="",0,IF(ISNUMBER(SEARCH(Classifiers!$D$17,E438)),1,0))+IF(Classifiers!$E$17="",0,IF(ISNUMBER(SEARCH(Classifiers!$E$17,E438)),1,0))+IF(Classifiers!$F$17="",0,IF(ISNUMBER(SEARCH(Classifiers!$F$17,E438)),1,0))+IF(Classifiers!$G$17="",0,IF(ISNUMBER(SEARCH(Classifiers!$G$17,E438)),1,0)))&gt;0,1,0))</f>
        <v/>
      </c>
      <c r="W438" s="12">
        <f>IF(H438&lt;&gt;1,0,IF((IF(Classifiers!$B$18="",0,IF(ISNUMBER(SEARCH(Classifiers!$B$18,E438)),1,0))+IF(Classifiers!$C$18="",0,IF(ISNUMBER(SEARCH(Classifiers!$C$18,E438)),1,0))+IF(Classifiers!$D$18="",0,IF(ISNUMBER(SEARCH(Classifiers!$D$18,E438)),1,0))+IF(Classifiers!$E$18="",0,IF(ISNUMBER(SEARCH(Classifiers!$E$18,E438)),1,0))+IF(Classifiers!$F$18="",0,IF(ISNUMBER(SEARCH(Classifiers!$F$18,E438)),1,0))+IF(Classifiers!$G$18="",0,IF(ISNUMBER(SEARCH(Classifiers!$G$18,E438)),1,0)))&gt;0,1,0))</f>
        <v/>
      </c>
    </row>
    <row r="439">
      <c r="A439" s="8" t="n"/>
      <c r="B439" s="11" t="n"/>
      <c r="C439" s="6">
        <f>IF(A439="","",TRIM(RIGHT(SUBSTITUTE(A439,"/",REPT(" ",250)),250)))</f>
        <v/>
      </c>
      <c r="D439" s="6">
        <f>IF(C439="","",IF(ISNUMBER(SEARCH(".",C439)),LOWER("."&amp;TRIM(RIGHT(SUBSTITUTE(C439,".",REPT(" ",250)),250))),""))</f>
        <v/>
      </c>
      <c r="E439" s="6">
        <f>IF(C439="","",TRIM(SUBSTITUTE(SUBSTITUTE(SUBSTITUTE(SUBSTITUTE(SUBSTITUTE(SUBSTITUTE(SUBSTITUTE(SUBSTITUTE(SUBSTITUTE(SUBSTITUTE(SUBSTITUTE(SUBSTITUTE(SUBSTITUTE(SUBSTITUTE(SUBSTITUTE(SUBSTITUTE(SUBSTITUTE(SUBSTITUTE(SUBSTITUTE(SUBSTITUTE(LOWER(LEFT(C439,LEN(C439)-LEN(D439))),"_"," "),"-"," "),"."," "),","," "),"("," "),")"," "),"["," "),"]"," "),"&amp;"," "),"+"," "),"@"," "),"#"," "),"!"," "),"'"," "),"/"," "),":"," "),";"," "),"="," "),"~"," "),"%"," ")))</f>
        <v/>
      </c>
      <c r="F439" s="6">
        <f>IF(C439="","",IF(COUNTIF(Classifiers!$A$23:$A$40,D439)&gt;0,1,0))</f>
        <v/>
      </c>
      <c r="G439" s="6">
        <f>IF(C439="","",IF(COUNTIF(Classifiers!$C$23:$C$30,D439)&gt;0,IF((IF(ISNUMBER(SEARCH(Classifiers!$E$23,E439)),1,0)+IF(ISNUMBER(SEARCH(Classifiers!$E$24,E439)),1,0)+IF(ISNUMBER(SEARCH(Classifiers!$E$25,E439)),1,0)+IF(ISNUMBER(SEARCH(Classifiers!$E$26,E439)),1,0)+IF(ISNUMBER(SEARCH(Classifiers!$E$27,E439)),1,0)+IF(ISNUMBER(SEARCH(Classifiers!$E$28,E439)),1,0)+IF(ISNUMBER(SEARCH(Classifiers!$E$29,E439)),1,0)+IF(ISNUMBER(SEARCH(Classifiers!$E$30,E439)),1,0))&gt;0,1,0),0))</f>
        <v/>
      </c>
      <c r="H439" s="6">
        <f>IF(C439="","",IF(OR(LEFT(C439,1)=".",AND(F439=0,G439=0)),0,1))</f>
        <v/>
      </c>
      <c r="I439" s="6">
        <f>IF(H439&lt;&gt;1,"",IF(SUM(J439:W439)=0,"unclassified",INDEX(Classifiers!$A$5:$A$18,MATCH(1,J439:W439,0),1)))</f>
        <v/>
      </c>
      <c r="J439" s="12">
        <f>IF(H439&lt;&gt;1,0,IF((IF(Classifiers!$B$5="",0,IF(ISNUMBER(SEARCH(Classifiers!$B$5,E439)),1,0))+IF(Classifiers!$C$5="",0,IF(ISNUMBER(SEARCH(Classifiers!$C$5,E439)),1,0))+IF(Classifiers!$D$5="",0,IF(ISNUMBER(SEARCH(Classifiers!$D$5,E439)),1,0))+IF(Classifiers!$E$5="",0,IF(ISNUMBER(SEARCH(Classifiers!$E$5,E439)),1,0))+IF(Classifiers!$F$5="",0,IF(ISNUMBER(SEARCH(Classifiers!$F$5,E439)),1,0))+IF(Classifiers!$G$5="",0,IF(ISNUMBER(SEARCH(Classifiers!$G$5,E439)),1,0)))&gt;0,1,0))</f>
        <v/>
      </c>
      <c r="K439" s="12">
        <f>IF(H439&lt;&gt;1,0,IF((IF(Classifiers!$B$6="",0,IF(ISNUMBER(SEARCH(Classifiers!$B$6,E439)),1,0))+IF(Classifiers!$C$6="",0,IF(ISNUMBER(SEARCH(Classifiers!$C$6,E439)),1,0))+IF(Classifiers!$D$6="",0,IF(ISNUMBER(SEARCH(Classifiers!$D$6,E439)),1,0))+IF(Classifiers!$E$6="",0,IF(ISNUMBER(SEARCH(Classifiers!$E$6,E439)),1,0))+IF(Classifiers!$F$6="",0,IF(ISNUMBER(SEARCH(Classifiers!$F$6,E439)),1,0))+IF(Classifiers!$G$6="",0,IF(ISNUMBER(SEARCH(Classifiers!$G$6,E439)),1,0)))&gt;0,1,0))</f>
        <v/>
      </c>
      <c r="L439" s="12">
        <f>IF(H439&lt;&gt;1,0,IF((IF(Classifiers!$B$7="",0,IF(ISNUMBER(SEARCH(Classifiers!$B$7,E439)),1,0))+IF(Classifiers!$C$7="",0,IF(ISNUMBER(SEARCH(Classifiers!$C$7,E439)),1,0))+IF(Classifiers!$D$7="",0,IF(ISNUMBER(SEARCH(Classifiers!$D$7,E439)),1,0))+IF(Classifiers!$E$7="",0,IF(ISNUMBER(SEARCH(Classifiers!$E$7,E439)),1,0))+IF(Classifiers!$F$7="",0,IF(ISNUMBER(SEARCH(Classifiers!$F$7,E439)),1,0))+IF(Classifiers!$G$7="",0,IF(ISNUMBER(SEARCH(Classifiers!$G$7,E439)),1,0)))&gt;0,1,0))</f>
        <v/>
      </c>
      <c r="M439" s="12">
        <f>IF(H439&lt;&gt;1,0,IF((IF(Classifiers!$B$8="",0,IF(ISNUMBER(SEARCH(Classifiers!$B$8,E439)),1,0))+IF(Classifiers!$C$8="",0,IF(ISNUMBER(SEARCH(Classifiers!$C$8,E439)),1,0))+IF(Classifiers!$D$8="",0,IF(ISNUMBER(SEARCH(Classifiers!$D$8,E439)),1,0))+IF(Classifiers!$E$8="",0,IF(ISNUMBER(SEARCH(Classifiers!$E$8,E439)),1,0))+IF(Classifiers!$F$8="",0,IF(ISNUMBER(SEARCH(Classifiers!$F$8,E439)),1,0))+IF(Classifiers!$G$8="",0,IF(ISNUMBER(SEARCH(Classifiers!$G$8,E439)),1,0)))&gt;0,1,0))</f>
        <v/>
      </c>
      <c r="N439" s="12">
        <f>IF(H439&lt;&gt;1,0,IF((IF(Classifiers!$B$9="",0,IF(ISNUMBER(SEARCH(Classifiers!$B$9,E439)),1,0))+IF(Classifiers!$C$9="",0,IF(ISNUMBER(SEARCH(Classifiers!$C$9,E439)),1,0))+IF(Classifiers!$D$9="",0,IF(ISNUMBER(SEARCH(Classifiers!$D$9,E439)),1,0))+IF(Classifiers!$E$9="",0,IF(ISNUMBER(SEARCH(Classifiers!$E$9,E439)),1,0))+IF(Classifiers!$F$9="",0,IF(ISNUMBER(SEARCH(Classifiers!$F$9,E439)),1,0))+IF(Classifiers!$G$9="",0,IF(ISNUMBER(SEARCH(Classifiers!$G$9,E439)),1,0)))&gt;0,1,0))</f>
        <v/>
      </c>
      <c r="O439" s="12">
        <f>IF(H439&lt;&gt;1,0,IF((IF(Classifiers!$B$10="",0,IF(ISNUMBER(SEARCH(Classifiers!$B$10,E439)),1,0))+IF(Classifiers!$C$10="",0,IF(ISNUMBER(SEARCH(Classifiers!$C$10,E439)),1,0))+IF(Classifiers!$D$10="",0,IF(ISNUMBER(SEARCH(Classifiers!$D$10,E439)),1,0))+IF(Classifiers!$E$10="",0,IF(ISNUMBER(SEARCH(Classifiers!$E$10,E439)),1,0))+IF(Classifiers!$F$10="",0,IF(ISNUMBER(SEARCH(Classifiers!$F$10,E439)),1,0))+IF(Classifiers!$G$10="",0,IF(ISNUMBER(SEARCH(Classifiers!$G$10,E439)),1,0)))&gt;0,1,0))</f>
        <v/>
      </c>
      <c r="P439" s="12">
        <f>IF(H439&lt;&gt;1,0,IF((IF(Classifiers!$B$11="",0,IF(ISNUMBER(SEARCH(Classifiers!$B$11,E439)),1,0))+IF(Classifiers!$C$11="",0,IF(ISNUMBER(SEARCH(Classifiers!$C$11,E439)),1,0))+IF(Classifiers!$D$11="",0,IF(ISNUMBER(SEARCH(Classifiers!$D$11,E439)),1,0))+IF(Classifiers!$E$11="",0,IF(ISNUMBER(SEARCH(Classifiers!$E$11,E439)),1,0))+IF(Classifiers!$F$11="",0,IF(ISNUMBER(SEARCH(Classifiers!$F$11,E439)),1,0))+IF(Classifiers!$G$11="",0,IF(ISNUMBER(SEARCH(Classifiers!$G$11,E439)),1,0)))&gt;0,1,0))</f>
        <v/>
      </c>
      <c r="Q439" s="12">
        <f>IF(H439&lt;&gt;1,0,IF((IF(Classifiers!$B$12="",0,IF(ISNUMBER(SEARCH(Classifiers!$B$12,E439)),1,0))+IF(Classifiers!$C$12="",0,IF(ISNUMBER(SEARCH(Classifiers!$C$12,E439)),1,0))+IF(Classifiers!$D$12="",0,IF(ISNUMBER(SEARCH(Classifiers!$D$12,E439)),1,0))+IF(Classifiers!$E$12="",0,IF(ISNUMBER(SEARCH(Classifiers!$E$12,E439)),1,0))+IF(Classifiers!$F$12="",0,IF(ISNUMBER(SEARCH(Classifiers!$F$12,E439)),1,0))+IF(Classifiers!$G$12="",0,IF(ISNUMBER(SEARCH(Classifiers!$G$12,E439)),1,0)))&gt;0,1,0))</f>
        <v/>
      </c>
      <c r="R439" s="12">
        <f>IF(H439&lt;&gt;1,0,IF((IF(Classifiers!$B$13="",0,IF(ISNUMBER(SEARCH(Classifiers!$B$13,E439)),1,0))+IF(Classifiers!$C$13="",0,IF(ISNUMBER(SEARCH(Classifiers!$C$13,E439)),1,0))+IF(Classifiers!$D$13="",0,IF(ISNUMBER(SEARCH(Classifiers!$D$13,E439)),1,0))+IF(Classifiers!$E$13="",0,IF(ISNUMBER(SEARCH(Classifiers!$E$13,E439)),1,0))+IF(Classifiers!$F$13="",0,IF(ISNUMBER(SEARCH(Classifiers!$F$13,E439)),1,0))+IF(Classifiers!$G$13="",0,IF(ISNUMBER(SEARCH(Classifiers!$G$13,E439)),1,0)))&gt;0,1,0))</f>
        <v/>
      </c>
      <c r="S439" s="12">
        <f>IF(H439&lt;&gt;1,0,IF((IF(Classifiers!$B$14="",0,IF(ISNUMBER(SEARCH(Classifiers!$B$14,E439)),1,0))+IF(Classifiers!$C$14="",0,IF(ISNUMBER(SEARCH(Classifiers!$C$14,E439)),1,0))+IF(Classifiers!$D$14="",0,IF(ISNUMBER(SEARCH(Classifiers!$D$14,E439)),1,0))+IF(Classifiers!$E$14="",0,IF(ISNUMBER(SEARCH(Classifiers!$E$14,E439)),1,0))+IF(Classifiers!$F$14="",0,IF(ISNUMBER(SEARCH(Classifiers!$F$14,E439)),1,0))+IF(Classifiers!$G$14="",0,IF(ISNUMBER(SEARCH(Classifiers!$G$14,E439)),1,0)))&gt;0,1,0))</f>
        <v/>
      </c>
      <c r="T439" s="12">
        <f>IF(H439&lt;&gt;1,0,IF((IF(Classifiers!$B$15="",0,IF(ISNUMBER(SEARCH(Classifiers!$B$15,E439)),1,0))+IF(Classifiers!$C$15="",0,IF(ISNUMBER(SEARCH(Classifiers!$C$15,E439)),1,0))+IF(Classifiers!$D$15="",0,IF(ISNUMBER(SEARCH(Classifiers!$D$15,E439)),1,0))+IF(Classifiers!$E$15="",0,IF(ISNUMBER(SEARCH(Classifiers!$E$15,E439)),1,0))+IF(Classifiers!$F$15="",0,IF(ISNUMBER(SEARCH(Classifiers!$F$15,E439)),1,0))+IF(Classifiers!$G$15="",0,IF(ISNUMBER(SEARCH(Classifiers!$G$15,E439)),1,0)))&gt;0,1,0))</f>
        <v/>
      </c>
      <c r="U439" s="12">
        <f>IF(H439&lt;&gt;1,0,IF((IF(Classifiers!$B$16="",0,IF(ISNUMBER(SEARCH(Classifiers!$B$16,E439)),1,0))+IF(Classifiers!$C$16="",0,IF(ISNUMBER(SEARCH(Classifiers!$C$16,E439)),1,0))+IF(Classifiers!$D$16="",0,IF(ISNUMBER(SEARCH(Classifiers!$D$16,E439)),1,0))+IF(Classifiers!$E$16="",0,IF(ISNUMBER(SEARCH(Classifiers!$E$16,E439)),1,0))+IF(Classifiers!$F$16="",0,IF(ISNUMBER(SEARCH(Classifiers!$F$16,E439)),1,0))+IF(Classifiers!$G$16="",0,IF(ISNUMBER(SEARCH(Classifiers!$G$16,E439)),1,0)))&gt;0,1,0))</f>
        <v/>
      </c>
      <c r="V439" s="12">
        <f>IF(H439&lt;&gt;1,0,IF((IF(Classifiers!$B$17="",0,IF(ISNUMBER(SEARCH(Classifiers!$B$17,E439)),1,0))+IF(Classifiers!$C$17="",0,IF(ISNUMBER(SEARCH(Classifiers!$C$17,E439)),1,0))+IF(Classifiers!$D$17="",0,IF(ISNUMBER(SEARCH(Classifiers!$D$17,E439)),1,0))+IF(Classifiers!$E$17="",0,IF(ISNUMBER(SEARCH(Classifiers!$E$17,E439)),1,0))+IF(Classifiers!$F$17="",0,IF(ISNUMBER(SEARCH(Classifiers!$F$17,E439)),1,0))+IF(Classifiers!$G$17="",0,IF(ISNUMBER(SEARCH(Classifiers!$G$17,E439)),1,0)))&gt;0,1,0))</f>
        <v/>
      </c>
      <c r="W439" s="12">
        <f>IF(H439&lt;&gt;1,0,IF((IF(Classifiers!$B$18="",0,IF(ISNUMBER(SEARCH(Classifiers!$B$18,E439)),1,0))+IF(Classifiers!$C$18="",0,IF(ISNUMBER(SEARCH(Classifiers!$C$18,E439)),1,0))+IF(Classifiers!$D$18="",0,IF(ISNUMBER(SEARCH(Classifiers!$D$18,E439)),1,0))+IF(Classifiers!$E$18="",0,IF(ISNUMBER(SEARCH(Classifiers!$E$18,E439)),1,0))+IF(Classifiers!$F$18="",0,IF(ISNUMBER(SEARCH(Classifiers!$F$18,E439)),1,0))+IF(Classifiers!$G$18="",0,IF(ISNUMBER(SEARCH(Classifiers!$G$18,E439)),1,0)))&gt;0,1,0))</f>
        <v/>
      </c>
    </row>
    <row r="440">
      <c r="A440" s="8" t="n"/>
      <c r="B440" s="11" t="n"/>
      <c r="C440" s="6">
        <f>IF(A440="","",TRIM(RIGHT(SUBSTITUTE(A440,"/",REPT(" ",250)),250)))</f>
        <v/>
      </c>
      <c r="D440" s="6">
        <f>IF(C440="","",IF(ISNUMBER(SEARCH(".",C440)),LOWER("."&amp;TRIM(RIGHT(SUBSTITUTE(C440,".",REPT(" ",250)),250))),""))</f>
        <v/>
      </c>
      <c r="E440" s="6">
        <f>IF(C440="","",TRIM(SUBSTITUTE(SUBSTITUTE(SUBSTITUTE(SUBSTITUTE(SUBSTITUTE(SUBSTITUTE(SUBSTITUTE(SUBSTITUTE(SUBSTITUTE(SUBSTITUTE(SUBSTITUTE(SUBSTITUTE(SUBSTITUTE(SUBSTITUTE(SUBSTITUTE(SUBSTITUTE(SUBSTITUTE(SUBSTITUTE(SUBSTITUTE(SUBSTITUTE(LOWER(LEFT(C440,LEN(C440)-LEN(D440))),"_"," "),"-"," "),"."," "),","," "),"("," "),")"," "),"["," "),"]"," "),"&amp;"," "),"+"," "),"@"," "),"#"," "),"!"," "),"'"," "),"/"," "),":"," "),";"," "),"="," "),"~"," "),"%"," ")))</f>
        <v/>
      </c>
      <c r="F440" s="6">
        <f>IF(C440="","",IF(COUNTIF(Classifiers!$A$23:$A$40,D440)&gt;0,1,0))</f>
        <v/>
      </c>
      <c r="G440" s="6">
        <f>IF(C440="","",IF(COUNTIF(Classifiers!$C$23:$C$30,D440)&gt;0,IF((IF(ISNUMBER(SEARCH(Classifiers!$E$23,E440)),1,0)+IF(ISNUMBER(SEARCH(Classifiers!$E$24,E440)),1,0)+IF(ISNUMBER(SEARCH(Classifiers!$E$25,E440)),1,0)+IF(ISNUMBER(SEARCH(Classifiers!$E$26,E440)),1,0)+IF(ISNUMBER(SEARCH(Classifiers!$E$27,E440)),1,0)+IF(ISNUMBER(SEARCH(Classifiers!$E$28,E440)),1,0)+IF(ISNUMBER(SEARCH(Classifiers!$E$29,E440)),1,0)+IF(ISNUMBER(SEARCH(Classifiers!$E$30,E440)),1,0))&gt;0,1,0),0))</f>
        <v/>
      </c>
      <c r="H440" s="6">
        <f>IF(C440="","",IF(OR(LEFT(C440,1)=".",AND(F440=0,G440=0)),0,1))</f>
        <v/>
      </c>
      <c r="I440" s="6">
        <f>IF(H440&lt;&gt;1,"",IF(SUM(J440:W440)=0,"unclassified",INDEX(Classifiers!$A$5:$A$18,MATCH(1,J440:W440,0),1)))</f>
        <v/>
      </c>
      <c r="J440" s="12">
        <f>IF(H440&lt;&gt;1,0,IF((IF(Classifiers!$B$5="",0,IF(ISNUMBER(SEARCH(Classifiers!$B$5,E440)),1,0))+IF(Classifiers!$C$5="",0,IF(ISNUMBER(SEARCH(Classifiers!$C$5,E440)),1,0))+IF(Classifiers!$D$5="",0,IF(ISNUMBER(SEARCH(Classifiers!$D$5,E440)),1,0))+IF(Classifiers!$E$5="",0,IF(ISNUMBER(SEARCH(Classifiers!$E$5,E440)),1,0))+IF(Classifiers!$F$5="",0,IF(ISNUMBER(SEARCH(Classifiers!$F$5,E440)),1,0))+IF(Classifiers!$G$5="",0,IF(ISNUMBER(SEARCH(Classifiers!$G$5,E440)),1,0)))&gt;0,1,0))</f>
        <v/>
      </c>
      <c r="K440" s="12">
        <f>IF(H440&lt;&gt;1,0,IF((IF(Classifiers!$B$6="",0,IF(ISNUMBER(SEARCH(Classifiers!$B$6,E440)),1,0))+IF(Classifiers!$C$6="",0,IF(ISNUMBER(SEARCH(Classifiers!$C$6,E440)),1,0))+IF(Classifiers!$D$6="",0,IF(ISNUMBER(SEARCH(Classifiers!$D$6,E440)),1,0))+IF(Classifiers!$E$6="",0,IF(ISNUMBER(SEARCH(Classifiers!$E$6,E440)),1,0))+IF(Classifiers!$F$6="",0,IF(ISNUMBER(SEARCH(Classifiers!$F$6,E440)),1,0))+IF(Classifiers!$G$6="",0,IF(ISNUMBER(SEARCH(Classifiers!$G$6,E440)),1,0)))&gt;0,1,0))</f>
        <v/>
      </c>
      <c r="L440" s="12">
        <f>IF(H440&lt;&gt;1,0,IF((IF(Classifiers!$B$7="",0,IF(ISNUMBER(SEARCH(Classifiers!$B$7,E440)),1,0))+IF(Classifiers!$C$7="",0,IF(ISNUMBER(SEARCH(Classifiers!$C$7,E440)),1,0))+IF(Classifiers!$D$7="",0,IF(ISNUMBER(SEARCH(Classifiers!$D$7,E440)),1,0))+IF(Classifiers!$E$7="",0,IF(ISNUMBER(SEARCH(Classifiers!$E$7,E440)),1,0))+IF(Classifiers!$F$7="",0,IF(ISNUMBER(SEARCH(Classifiers!$F$7,E440)),1,0))+IF(Classifiers!$G$7="",0,IF(ISNUMBER(SEARCH(Classifiers!$G$7,E440)),1,0)))&gt;0,1,0))</f>
        <v/>
      </c>
      <c r="M440" s="12">
        <f>IF(H440&lt;&gt;1,0,IF((IF(Classifiers!$B$8="",0,IF(ISNUMBER(SEARCH(Classifiers!$B$8,E440)),1,0))+IF(Classifiers!$C$8="",0,IF(ISNUMBER(SEARCH(Classifiers!$C$8,E440)),1,0))+IF(Classifiers!$D$8="",0,IF(ISNUMBER(SEARCH(Classifiers!$D$8,E440)),1,0))+IF(Classifiers!$E$8="",0,IF(ISNUMBER(SEARCH(Classifiers!$E$8,E440)),1,0))+IF(Classifiers!$F$8="",0,IF(ISNUMBER(SEARCH(Classifiers!$F$8,E440)),1,0))+IF(Classifiers!$G$8="",0,IF(ISNUMBER(SEARCH(Classifiers!$G$8,E440)),1,0)))&gt;0,1,0))</f>
        <v/>
      </c>
      <c r="N440" s="12">
        <f>IF(H440&lt;&gt;1,0,IF((IF(Classifiers!$B$9="",0,IF(ISNUMBER(SEARCH(Classifiers!$B$9,E440)),1,0))+IF(Classifiers!$C$9="",0,IF(ISNUMBER(SEARCH(Classifiers!$C$9,E440)),1,0))+IF(Classifiers!$D$9="",0,IF(ISNUMBER(SEARCH(Classifiers!$D$9,E440)),1,0))+IF(Classifiers!$E$9="",0,IF(ISNUMBER(SEARCH(Classifiers!$E$9,E440)),1,0))+IF(Classifiers!$F$9="",0,IF(ISNUMBER(SEARCH(Classifiers!$F$9,E440)),1,0))+IF(Classifiers!$G$9="",0,IF(ISNUMBER(SEARCH(Classifiers!$G$9,E440)),1,0)))&gt;0,1,0))</f>
        <v/>
      </c>
      <c r="O440" s="12">
        <f>IF(H440&lt;&gt;1,0,IF((IF(Classifiers!$B$10="",0,IF(ISNUMBER(SEARCH(Classifiers!$B$10,E440)),1,0))+IF(Classifiers!$C$10="",0,IF(ISNUMBER(SEARCH(Classifiers!$C$10,E440)),1,0))+IF(Classifiers!$D$10="",0,IF(ISNUMBER(SEARCH(Classifiers!$D$10,E440)),1,0))+IF(Classifiers!$E$10="",0,IF(ISNUMBER(SEARCH(Classifiers!$E$10,E440)),1,0))+IF(Classifiers!$F$10="",0,IF(ISNUMBER(SEARCH(Classifiers!$F$10,E440)),1,0))+IF(Classifiers!$G$10="",0,IF(ISNUMBER(SEARCH(Classifiers!$G$10,E440)),1,0)))&gt;0,1,0))</f>
        <v/>
      </c>
      <c r="P440" s="12">
        <f>IF(H440&lt;&gt;1,0,IF((IF(Classifiers!$B$11="",0,IF(ISNUMBER(SEARCH(Classifiers!$B$11,E440)),1,0))+IF(Classifiers!$C$11="",0,IF(ISNUMBER(SEARCH(Classifiers!$C$11,E440)),1,0))+IF(Classifiers!$D$11="",0,IF(ISNUMBER(SEARCH(Classifiers!$D$11,E440)),1,0))+IF(Classifiers!$E$11="",0,IF(ISNUMBER(SEARCH(Classifiers!$E$11,E440)),1,0))+IF(Classifiers!$F$11="",0,IF(ISNUMBER(SEARCH(Classifiers!$F$11,E440)),1,0))+IF(Classifiers!$G$11="",0,IF(ISNUMBER(SEARCH(Classifiers!$G$11,E440)),1,0)))&gt;0,1,0))</f>
        <v/>
      </c>
      <c r="Q440" s="12">
        <f>IF(H440&lt;&gt;1,0,IF((IF(Classifiers!$B$12="",0,IF(ISNUMBER(SEARCH(Classifiers!$B$12,E440)),1,0))+IF(Classifiers!$C$12="",0,IF(ISNUMBER(SEARCH(Classifiers!$C$12,E440)),1,0))+IF(Classifiers!$D$12="",0,IF(ISNUMBER(SEARCH(Classifiers!$D$12,E440)),1,0))+IF(Classifiers!$E$12="",0,IF(ISNUMBER(SEARCH(Classifiers!$E$12,E440)),1,0))+IF(Classifiers!$F$12="",0,IF(ISNUMBER(SEARCH(Classifiers!$F$12,E440)),1,0))+IF(Classifiers!$G$12="",0,IF(ISNUMBER(SEARCH(Classifiers!$G$12,E440)),1,0)))&gt;0,1,0))</f>
        <v/>
      </c>
      <c r="R440" s="12">
        <f>IF(H440&lt;&gt;1,0,IF((IF(Classifiers!$B$13="",0,IF(ISNUMBER(SEARCH(Classifiers!$B$13,E440)),1,0))+IF(Classifiers!$C$13="",0,IF(ISNUMBER(SEARCH(Classifiers!$C$13,E440)),1,0))+IF(Classifiers!$D$13="",0,IF(ISNUMBER(SEARCH(Classifiers!$D$13,E440)),1,0))+IF(Classifiers!$E$13="",0,IF(ISNUMBER(SEARCH(Classifiers!$E$13,E440)),1,0))+IF(Classifiers!$F$13="",0,IF(ISNUMBER(SEARCH(Classifiers!$F$13,E440)),1,0))+IF(Classifiers!$G$13="",0,IF(ISNUMBER(SEARCH(Classifiers!$G$13,E440)),1,0)))&gt;0,1,0))</f>
        <v/>
      </c>
      <c r="S440" s="12">
        <f>IF(H440&lt;&gt;1,0,IF((IF(Classifiers!$B$14="",0,IF(ISNUMBER(SEARCH(Classifiers!$B$14,E440)),1,0))+IF(Classifiers!$C$14="",0,IF(ISNUMBER(SEARCH(Classifiers!$C$14,E440)),1,0))+IF(Classifiers!$D$14="",0,IF(ISNUMBER(SEARCH(Classifiers!$D$14,E440)),1,0))+IF(Classifiers!$E$14="",0,IF(ISNUMBER(SEARCH(Classifiers!$E$14,E440)),1,0))+IF(Classifiers!$F$14="",0,IF(ISNUMBER(SEARCH(Classifiers!$F$14,E440)),1,0))+IF(Classifiers!$G$14="",0,IF(ISNUMBER(SEARCH(Classifiers!$G$14,E440)),1,0)))&gt;0,1,0))</f>
        <v/>
      </c>
      <c r="T440" s="12">
        <f>IF(H440&lt;&gt;1,0,IF((IF(Classifiers!$B$15="",0,IF(ISNUMBER(SEARCH(Classifiers!$B$15,E440)),1,0))+IF(Classifiers!$C$15="",0,IF(ISNUMBER(SEARCH(Classifiers!$C$15,E440)),1,0))+IF(Classifiers!$D$15="",0,IF(ISNUMBER(SEARCH(Classifiers!$D$15,E440)),1,0))+IF(Classifiers!$E$15="",0,IF(ISNUMBER(SEARCH(Classifiers!$E$15,E440)),1,0))+IF(Classifiers!$F$15="",0,IF(ISNUMBER(SEARCH(Classifiers!$F$15,E440)),1,0))+IF(Classifiers!$G$15="",0,IF(ISNUMBER(SEARCH(Classifiers!$G$15,E440)),1,0)))&gt;0,1,0))</f>
        <v/>
      </c>
      <c r="U440" s="12">
        <f>IF(H440&lt;&gt;1,0,IF((IF(Classifiers!$B$16="",0,IF(ISNUMBER(SEARCH(Classifiers!$B$16,E440)),1,0))+IF(Classifiers!$C$16="",0,IF(ISNUMBER(SEARCH(Classifiers!$C$16,E440)),1,0))+IF(Classifiers!$D$16="",0,IF(ISNUMBER(SEARCH(Classifiers!$D$16,E440)),1,0))+IF(Classifiers!$E$16="",0,IF(ISNUMBER(SEARCH(Classifiers!$E$16,E440)),1,0))+IF(Classifiers!$F$16="",0,IF(ISNUMBER(SEARCH(Classifiers!$F$16,E440)),1,0))+IF(Classifiers!$G$16="",0,IF(ISNUMBER(SEARCH(Classifiers!$G$16,E440)),1,0)))&gt;0,1,0))</f>
        <v/>
      </c>
      <c r="V440" s="12">
        <f>IF(H440&lt;&gt;1,0,IF((IF(Classifiers!$B$17="",0,IF(ISNUMBER(SEARCH(Classifiers!$B$17,E440)),1,0))+IF(Classifiers!$C$17="",0,IF(ISNUMBER(SEARCH(Classifiers!$C$17,E440)),1,0))+IF(Classifiers!$D$17="",0,IF(ISNUMBER(SEARCH(Classifiers!$D$17,E440)),1,0))+IF(Classifiers!$E$17="",0,IF(ISNUMBER(SEARCH(Classifiers!$E$17,E440)),1,0))+IF(Classifiers!$F$17="",0,IF(ISNUMBER(SEARCH(Classifiers!$F$17,E440)),1,0))+IF(Classifiers!$G$17="",0,IF(ISNUMBER(SEARCH(Classifiers!$G$17,E440)),1,0)))&gt;0,1,0))</f>
        <v/>
      </c>
      <c r="W440" s="12">
        <f>IF(H440&lt;&gt;1,0,IF((IF(Classifiers!$B$18="",0,IF(ISNUMBER(SEARCH(Classifiers!$B$18,E440)),1,0))+IF(Classifiers!$C$18="",0,IF(ISNUMBER(SEARCH(Classifiers!$C$18,E440)),1,0))+IF(Classifiers!$D$18="",0,IF(ISNUMBER(SEARCH(Classifiers!$D$18,E440)),1,0))+IF(Classifiers!$E$18="",0,IF(ISNUMBER(SEARCH(Classifiers!$E$18,E440)),1,0))+IF(Classifiers!$F$18="",0,IF(ISNUMBER(SEARCH(Classifiers!$F$18,E440)),1,0))+IF(Classifiers!$G$18="",0,IF(ISNUMBER(SEARCH(Classifiers!$G$18,E440)),1,0)))&gt;0,1,0))</f>
        <v/>
      </c>
    </row>
    <row r="441">
      <c r="A441" s="8" t="n"/>
      <c r="B441" s="11" t="n"/>
      <c r="C441" s="6">
        <f>IF(A441="","",TRIM(RIGHT(SUBSTITUTE(A441,"/",REPT(" ",250)),250)))</f>
        <v/>
      </c>
      <c r="D441" s="6">
        <f>IF(C441="","",IF(ISNUMBER(SEARCH(".",C441)),LOWER("."&amp;TRIM(RIGHT(SUBSTITUTE(C441,".",REPT(" ",250)),250))),""))</f>
        <v/>
      </c>
      <c r="E441" s="6">
        <f>IF(C441="","",TRIM(SUBSTITUTE(SUBSTITUTE(SUBSTITUTE(SUBSTITUTE(SUBSTITUTE(SUBSTITUTE(SUBSTITUTE(SUBSTITUTE(SUBSTITUTE(SUBSTITUTE(SUBSTITUTE(SUBSTITUTE(SUBSTITUTE(SUBSTITUTE(SUBSTITUTE(SUBSTITUTE(SUBSTITUTE(SUBSTITUTE(SUBSTITUTE(SUBSTITUTE(LOWER(LEFT(C441,LEN(C441)-LEN(D441))),"_"," "),"-"," "),"."," "),","," "),"("," "),")"," "),"["," "),"]"," "),"&amp;"," "),"+"," "),"@"," "),"#"," "),"!"," "),"'"," "),"/"," "),":"," "),";"," "),"="," "),"~"," "),"%"," ")))</f>
        <v/>
      </c>
      <c r="F441" s="6">
        <f>IF(C441="","",IF(COUNTIF(Classifiers!$A$23:$A$40,D441)&gt;0,1,0))</f>
        <v/>
      </c>
      <c r="G441" s="6">
        <f>IF(C441="","",IF(COUNTIF(Classifiers!$C$23:$C$30,D441)&gt;0,IF((IF(ISNUMBER(SEARCH(Classifiers!$E$23,E441)),1,0)+IF(ISNUMBER(SEARCH(Classifiers!$E$24,E441)),1,0)+IF(ISNUMBER(SEARCH(Classifiers!$E$25,E441)),1,0)+IF(ISNUMBER(SEARCH(Classifiers!$E$26,E441)),1,0)+IF(ISNUMBER(SEARCH(Classifiers!$E$27,E441)),1,0)+IF(ISNUMBER(SEARCH(Classifiers!$E$28,E441)),1,0)+IF(ISNUMBER(SEARCH(Classifiers!$E$29,E441)),1,0)+IF(ISNUMBER(SEARCH(Classifiers!$E$30,E441)),1,0))&gt;0,1,0),0))</f>
        <v/>
      </c>
      <c r="H441" s="6">
        <f>IF(C441="","",IF(OR(LEFT(C441,1)=".",AND(F441=0,G441=0)),0,1))</f>
        <v/>
      </c>
      <c r="I441" s="6">
        <f>IF(H441&lt;&gt;1,"",IF(SUM(J441:W441)=0,"unclassified",INDEX(Classifiers!$A$5:$A$18,MATCH(1,J441:W441,0),1)))</f>
        <v/>
      </c>
      <c r="J441" s="12">
        <f>IF(H441&lt;&gt;1,0,IF((IF(Classifiers!$B$5="",0,IF(ISNUMBER(SEARCH(Classifiers!$B$5,E441)),1,0))+IF(Classifiers!$C$5="",0,IF(ISNUMBER(SEARCH(Classifiers!$C$5,E441)),1,0))+IF(Classifiers!$D$5="",0,IF(ISNUMBER(SEARCH(Classifiers!$D$5,E441)),1,0))+IF(Classifiers!$E$5="",0,IF(ISNUMBER(SEARCH(Classifiers!$E$5,E441)),1,0))+IF(Classifiers!$F$5="",0,IF(ISNUMBER(SEARCH(Classifiers!$F$5,E441)),1,0))+IF(Classifiers!$G$5="",0,IF(ISNUMBER(SEARCH(Classifiers!$G$5,E441)),1,0)))&gt;0,1,0))</f>
        <v/>
      </c>
      <c r="K441" s="12">
        <f>IF(H441&lt;&gt;1,0,IF((IF(Classifiers!$B$6="",0,IF(ISNUMBER(SEARCH(Classifiers!$B$6,E441)),1,0))+IF(Classifiers!$C$6="",0,IF(ISNUMBER(SEARCH(Classifiers!$C$6,E441)),1,0))+IF(Classifiers!$D$6="",0,IF(ISNUMBER(SEARCH(Classifiers!$D$6,E441)),1,0))+IF(Classifiers!$E$6="",0,IF(ISNUMBER(SEARCH(Classifiers!$E$6,E441)),1,0))+IF(Classifiers!$F$6="",0,IF(ISNUMBER(SEARCH(Classifiers!$F$6,E441)),1,0))+IF(Classifiers!$G$6="",0,IF(ISNUMBER(SEARCH(Classifiers!$G$6,E441)),1,0)))&gt;0,1,0))</f>
        <v/>
      </c>
      <c r="L441" s="12">
        <f>IF(H441&lt;&gt;1,0,IF((IF(Classifiers!$B$7="",0,IF(ISNUMBER(SEARCH(Classifiers!$B$7,E441)),1,0))+IF(Classifiers!$C$7="",0,IF(ISNUMBER(SEARCH(Classifiers!$C$7,E441)),1,0))+IF(Classifiers!$D$7="",0,IF(ISNUMBER(SEARCH(Classifiers!$D$7,E441)),1,0))+IF(Classifiers!$E$7="",0,IF(ISNUMBER(SEARCH(Classifiers!$E$7,E441)),1,0))+IF(Classifiers!$F$7="",0,IF(ISNUMBER(SEARCH(Classifiers!$F$7,E441)),1,0))+IF(Classifiers!$G$7="",0,IF(ISNUMBER(SEARCH(Classifiers!$G$7,E441)),1,0)))&gt;0,1,0))</f>
        <v/>
      </c>
      <c r="M441" s="12">
        <f>IF(H441&lt;&gt;1,0,IF((IF(Classifiers!$B$8="",0,IF(ISNUMBER(SEARCH(Classifiers!$B$8,E441)),1,0))+IF(Classifiers!$C$8="",0,IF(ISNUMBER(SEARCH(Classifiers!$C$8,E441)),1,0))+IF(Classifiers!$D$8="",0,IF(ISNUMBER(SEARCH(Classifiers!$D$8,E441)),1,0))+IF(Classifiers!$E$8="",0,IF(ISNUMBER(SEARCH(Classifiers!$E$8,E441)),1,0))+IF(Classifiers!$F$8="",0,IF(ISNUMBER(SEARCH(Classifiers!$F$8,E441)),1,0))+IF(Classifiers!$G$8="",0,IF(ISNUMBER(SEARCH(Classifiers!$G$8,E441)),1,0)))&gt;0,1,0))</f>
        <v/>
      </c>
      <c r="N441" s="12">
        <f>IF(H441&lt;&gt;1,0,IF((IF(Classifiers!$B$9="",0,IF(ISNUMBER(SEARCH(Classifiers!$B$9,E441)),1,0))+IF(Classifiers!$C$9="",0,IF(ISNUMBER(SEARCH(Classifiers!$C$9,E441)),1,0))+IF(Classifiers!$D$9="",0,IF(ISNUMBER(SEARCH(Classifiers!$D$9,E441)),1,0))+IF(Classifiers!$E$9="",0,IF(ISNUMBER(SEARCH(Classifiers!$E$9,E441)),1,0))+IF(Classifiers!$F$9="",0,IF(ISNUMBER(SEARCH(Classifiers!$F$9,E441)),1,0))+IF(Classifiers!$G$9="",0,IF(ISNUMBER(SEARCH(Classifiers!$G$9,E441)),1,0)))&gt;0,1,0))</f>
        <v/>
      </c>
      <c r="O441" s="12">
        <f>IF(H441&lt;&gt;1,0,IF((IF(Classifiers!$B$10="",0,IF(ISNUMBER(SEARCH(Classifiers!$B$10,E441)),1,0))+IF(Classifiers!$C$10="",0,IF(ISNUMBER(SEARCH(Classifiers!$C$10,E441)),1,0))+IF(Classifiers!$D$10="",0,IF(ISNUMBER(SEARCH(Classifiers!$D$10,E441)),1,0))+IF(Classifiers!$E$10="",0,IF(ISNUMBER(SEARCH(Classifiers!$E$10,E441)),1,0))+IF(Classifiers!$F$10="",0,IF(ISNUMBER(SEARCH(Classifiers!$F$10,E441)),1,0))+IF(Classifiers!$G$10="",0,IF(ISNUMBER(SEARCH(Classifiers!$G$10,E441)),1,0)))&gt;0,1,0))</f>
        <v/>
      </c>
      <c r="P441" s="12">
        <f>IF(H441&lt;&gt;1,0,IF((IF(Classifiers!$B$11="",0,IF(ISNUMBER(SEARCH(Classifiers!$B$11,E441)),1,0))+IF(Classifiers!$C$11="",0,IF(ISNUMBER(SEARCH(Classifiers!$C$11,E441)),1,0))+IF(Classifiers!$D$11="",0,IF(ISNUMBER(SEARCH(Classifiers!$D$11,E441)),1,0))+IF(Classifiers!$E$11="",0,IF(ISNUMBER(SEARCH(Classifiers!$E$11,E441)),1,0))+IF(Classifiers!$F$11="",0,IF(ISNUMBER(SEARCH(Classifiers!$F$11,E441)),1,0))+IF(Classifiers!$G$11="",0,IF(ISNUMBER(SEARCH(Classifiers!$G$11,E441)),1,0)))&gt;0,1,0))</f>
        <v/>
      </c>
      <c r="Q441" s="12">
        <f>IF(H441&lt;&gt;1,0,IF((IF(Classifiers!$B$12="",0,IF(ISNUMBER(SEARCH(Classifiers!$B$12,E441)),1,0))+IF(Classifiers!$C$12="",0,IF(ISNUMBER(SEARCH(Classifiers!$C$12,E441)),1,0))+IF(Classifiers!$D$12="",0,IF(ISNUMBER(SEARCH(Classifiers!$D$12,E441)),1,0))+IF(Classifiers!$E$12="",0,IF(ISNUMBER(SEARCH(Classifiers!$E$12,E441)),1,0))+IF(Classifiers!$F$12="",0,IF(ISNUMBER(SEARCH(Classifiers!$F$12,E441)),1,0))+IF(Classifiers!$G$12="",0,IF(ISNUMBER(SEARCH(Classifiers!$G$12,E441)),1,0)))&gt;0,1,0))</f>
        <v/>
      </c>
      <c r="R441" s="12">
        <f>IF(H441&lt;&gt;1,0,IF((IF(Classifiers!$B$13="",0,IF(ISNUMBER(SEARCH(Classifiers!$B$13,E441)),1,0))+IF(Classifiers!$C$13="",0,IF(ISNUMBER(SEARCH(Classifiers!$C$13,E441)),1,0))+IF(Classifiers!$D$13="",0,IF(ISNUMBER(SEARCH(Classifiers!$D$13,E441)),1,0))+IF(Classifiers!$E$13="",0,IF(ISNUMBER(SEARCH(Classifiers!$E$13,E441)),1,0))+IF(Classifiers!$F$13="",0,IF(ISNUMBER(SEARCH(Classifiers!$F$13,E441)),1,0))+IF(Classifiers!$G$13="",0,IF(ISNUMBER(SEARCH(Classifiers!$G$13,E441)),1,0)))&gt;0,1,0))</f>
        <v/>
      </c>
      <c r="S441" s="12">
        <f>IF(H441&lt;&gt;1,0,IF((IF(Classifiers!$B$14="",0,IF(ISNUMBER(SEARCH(Classifiers!$B$14,E441)),1,0))+IF(Classifiers!$C$14="",0,IF(ISNUMBER(SEARCH(Classifiers!$C$14,E441)),1,0))+IF(Classifiers!$D$14="",0,IF(ISNUMBER(SEARCH(Classifiers!$D$14,E441)),1,0))+IF(Classifiers!$E$14="",0,IF(ISNUMBER(SEARCH(Classifiers!$E$14,E441)),1,0))+IF(Classifiers!$F$14="",0,IF(ISNUMBER(SEARCH(Classifiers!$F$14,E441)),1,0))+IF(Classifiers!$G$14="",0,IF(ISNUMBER(SEARCH(Classifiers!$G$14,E441)),1,0)))&gt;0,1,0))</f>
        <v/>
      </c>
      <c r="T441" s="12">
        <f>IF(H441&lt;&gt;1,0,IF((IF(Classifiers!$B$15="",0,IF(ISNUMBER(SEARCH(Classifiers!$B$15,E441)),1,0))+IF(Classifiers!$C$15="",0,IF(ISNUMBER(SEARCH(Classifiers!$C$15,E441)),1,0))+IF(Classifiers!$D$15="",0,IF(ISNUMBER(SEARCH(Classifiers!$D$15,E441)),1,0))+IF(Classifiers!$E$15="",0,IF(ISNUMBER(SEARCH(Classifiers!$E$15,E441)),1,0))+IF(Classifiers!$F$15="",0,IF(ISNUMBER(SEARCH(Classifiers!$F$15,E441)),1,0))+IF(Classifiers!$G$15="",0,IF(ISNUMBER(SEARCH(Classifiers!$G$15,E441)),1,0)))&gt;0,1,0))</f>
        <v/>
      </c>
      <c r="U441" s="12">
        <f>IF(H441&lt;&gt;1,0,IF((IF(Classifiers!$B$16="",0,IF(ISNUMBER(SEARCH(Classifiers!$B$16,E441)),1,0))+IF(Classifiers!$C$16="",0,IF(ISNUMBER(SEARCH(Classifiers!$C$16,E441)),1,0))+IF(Classifiers!$D$16="",0,IF(ISNUMBER(SEARCH(Classifiers!$D$16,E441)),1,0))+IF(Classifiers!$E$16="",0,IF(ISNUMBER(SEARCH(Classifiers!$E$16,E441)),1,0))+IF(Classifiers!$F$16="",0,IF(ISNUMBER(SEARCH(Classifiers!$F$16,E441)),1,0))+IF(Classifiers!$G$16="",0,IF(ISNUMBER(SEARCH(Classifiers!$G$16,E441)),1,0)))&gt;0,1,0))</f>
        <v/>
      </c>
      <c r="V441" s="12">
        <f>IF(H441&lt;&gt;1,0,IF((IF(Classifiers!$B$17="",0,IF(ISNUMBER(SEARCH(Classifiers!$B$17,E441)),1,0))+IF(Classifiers!$C$17="",0,IF(ISNUMBER(SEARCH(Classifiers!$C$17,E441)),1,0))+IF(Classifiers!$D$17="",0,IF(ISNUMBER(SEARCH(Classifiers!$D$17,E441)),1,0))+IF(Classifiers!$E$17="",0,IF(ISNUMBER(SEARCH(Classifiers!$E$17,E441)),1,0))+IF(Classifiers!$F$17="",0,IF(ISNUMBER(SEARCH(Classifiers!$F$17,E441)),1,0))+IF(Classifiers!$G$17="",0,IF(ISNUMBER(SEARCH(Classifiers!$G$17,E441)),1,0)))&gt;0,1,0))</f>
        <v/>
      </c>
      <c r="W441" s="12">
        <f>IF(H441&lt;&gt;1,0,IF((IF(Classifiers!$B$18="",0,IF(ISNUMBER(SEARCH(Classifiers!$B$18,E441)),1,0))+IF(Classifiers!$C$18="",0,IF(ISNUMBER(SEARCH(Classifiers!$C$18,E441)),1,0))+IF(Classifiers!$D$18="",0,IF(ISNUMBER(SEARCH(Classifiers!$D$18,E441)),1,0))+IF(Classifiers!$E$18="",0,IF(ISNUMBER(SEARCH(Classifiers!$E$18,E441)),1,0))+IF(Classifiers!$F$18="",0,IF(ISNUMBER(SEARCH(Classifiers!$F$18,E441)),1,0))+IF(Classifiers!$G$18="",0,IF(ISNUMBER(SEARCH(Classifiers!$G$18,E441)),1,0)))&gt;0,1,0))</f>
        <v/>
      </c>
    </row>
    <row r="442">
      <c r="A442" s="8" t="n"/>
      <c r="B442" s="11" t="n"/>
      <c r="C442" s="6">
        <f>IF(A442="","",TRIM(RIGHT(SUBSTITUTE(A442,"/",REPT(" ",250)),250)))</f>
        <v/>
      </c>
      <c r="D442" s="6">
        <f>IF(C442="","",IF(ISNUMBER(SEARCH(".",C442)),LOWER("."&amp;TRIM(RIGHT(SUBSTITUTE(C442,".",REPT(" ",250)),250))),""))</f>
        <v/>
      </c>
      <c r="E442" s="6">
        <f>IF(C442="","",TRIM(SUBSTITUTE(SUBSTITUTE(SUBSTITUTE(SUBSTITUTE(SUBSTITUTE(SUBSTITUTE(SUBSTITUTE(SUBSTITUTE(SUBSTITUTE(SUBSTITUTE(SUBSTITUTE(SUBSTITUTE(SUBSTITUTE(SUBSTITUTE(SUBSTITUTE(SUBSTITUTE(SUBSTITUTE(SUBSTITUTE(SUBSTITUTE(SUBSTITUTE(LOWER(LEFT(C442,LEN(C442)-LEN(D442))),"_"," "),"-"," "),"."," "),","," "),"("," "),")"," "),"["," "),"]"," "),"&amp;"," "),"+"," "),"@"," "),"#"," "),"!"," "),"'"," "),"/"," "),":"," "),";"," "),"="," "),"~"," "),"%"," ")))</f>
        <v/>
      </c>
      <c r="F442" s="6">
        <f>IF(C442="","",IF(COUNTIF(Classifiers!$A$23:$A$40,D442)&gt;0,1,0))</f>
        <v/>
      </c>
      <c r="G442" s="6">
        <f>IF(C442="","",IF(COUNTIF(Classifiers!$C$23:$C$30,D442)&gt;0,IF((IF(ISNUMBER(SEARCH(Classifiers!$E$23,E442)),1,0)+IF(ISNUMBER(SEARCH(Classifiers!$E$24,E442)),1,0)+IF(ISNUMBER(SEARCH(Classifiers!$E$25,E442)),1,0)+IF(ISNUMBER(SEARCH(Classifiers!$E$26,E442)),1,0)+IF(ISNUMBER(SEARCH(Classifiers!$E$27,E442)),1,0)+IF(ISNUMBER(SEARCH(Classifiers!$E$28,E442)),1,0)+IF(ISNUMBER(SEARCH(Classifiers!$E$29,E442)),1,0)+IF(ISNUMBER(SEARCH(Classifiers!$E$30,E442)),1,0))&gt;0,1,0),0))</f>
        <v/>
      </c>
      <c r="H442" s="6">
        <f>IF(C442="","",IF(OR(LEFT(C442,1)=".",AND(F442=0,G442=0)),0,1))</f>
        <v/>
      </c>
      <c r="I442" s="6">
        <f>IF(H442&lt;&gt;1,"",IF(SUM(J442:W442)=0,"unclassified",INDEX(Classifiers!$A$5:$A$18,MATCH(1,J442:W442,0),1)))</f>
        <v/>
      </c>
      <c r="J442" s="12">
        <f>IF(H442&lt;&gt;1,0,IF((IF(Classifiers!$B$5="",0,IF(ISNUMBER(SEARCH(Classifiers!$B$5,E442)),1,0))+IF(Classifiers!$C$5="",0,IF(ISNUMBER(SEARCH(Classifiers!$C$5,E442)),1,0))+IF(Classifiers!$D$5="",0,IF(ISNUMBER(SEARCH(Classifiers!$D$5,E442)),1,0))+IF(Classifiers!$E$5="",0,IF(ISNUMBER(SEARCH(Classifiers!$E$5,E442)),1,0))+IF(Classifiers!$F$5="",0,IF(ISNUMBER(SEARCH(Classifiers!$F$5,E442)),1,0))+IF(Classifiers!$G$5="",0,IF(ISNUMBER(SEARCH(Classifiers!$G$5,E442)),1,0)))&gt;0,1,0))</f>
        <v/>
      </c>
      <c r="K442" s="12">
        <f>IF(H442&lt;&gt;1,0,IF((IF(Classifiers!$B$6="",0,IF(ISNUMBER(SEARCH(Classifiers!$B$6,E442)),1,0))+IF(Classifiers!$C$6="",0,IF(ISNUMBER(SEARCH(Classifiers!$C$6,E442)),1,0))+IF(Classifiers!$D$6="",0,IF(ISNUMBER(SEARCH(Classifiers!$D$6,E442)),1,0))+IF(Classifiers!$E$6="",0,IF(ISNUMBER(SEARCH(Classifiers!$E$6,E442)),1,0))+IF(Classifiers!$F$6="",0,IF(ISNUMBER(SEARCH(Classifiers!$F$6,E442)),1,0))+IF(Classifiers!$G$6="",0,IF(ISNUMBER(SEARCH(Classifiers!$G$6,E442)),1,0)))&gt;0,1,0))</f>
        <v/>
      </c>
      <c r="L442" s="12">
        <f>IF(H442&lt;&gt;1,0,IF((IF(Classifiers!$B$7="",0,IF(ISNUMBER(SEARCH(Classifiers!$B$7,E442)),1,0))+IF(Classifiers!$C$7="",0,IF(ISNUMBER(SEARCH(Classifiers!$C$7,E442)),1,0))+IF(Classifiers!$D$7="",0,IF(ISNUMBER(SEARCH(Classifiers!$D$7,E442)),1,0))+IF(Classifiers!$E$7="",0,IF(ISNUMBER(SEARCH(Classifiers!$E$7,E442)),1,0))+IF(Classifiers!$F$7="",0,IF(ISNUMBER(SEARCH(Classifiers!$F$7,E442)),1,0))+IF(Classifiers!$G$7="",0,IF(ISNUMBER(SEARCH(Classifiers!$G$7,E442)),1,0)))&gt;0,1,0))</f>
        <v/>
      </c>
      <c r="M442" s="12">
        <f>IF(H442&lt;&gt;1,0,IF((IF(Classifiers!$B$8="",0,IF(ISNUMBER(SEARCH(Classifiers!$B$8,E442)),1,0))+IF(Classifiers!$C$8="",0,IF(ISNUMBER(SEARCH(Classifiers!$C$8,E442)),1,0))+IF(Classifiers!$D$8="",0,IF(ISNUMBER(SEARCH(Classifiers!$D$8,E442)),1,0))+IF(Classifiers!$E$8="",0,IF(ISNUMBER(SEARCH(Classifiers!$E$8,E442)),1,0))+IF(Classifiers!$F$8="",0,IF(ISNUMBER(SEARCH(Classifiers!$F$8,E442)),1,0))+IF(Classifiers!$G$8="",0,IF(ISNUMBER(SEARCH(Classifiers!$G$8,E442)),1,0)))&gt;0,1,0))</f>
        <v/>
      </c>
      <c r="N442" s="12">
        <f>IF(H442&lt;&gt;1,0,IF((IF(Classifiers!$B$9="",0,IF(ISNUMBER(SEARCH(Classifiers!$B$9,E442)),1,0))+IF(Classifiers!$C$9="",0,IF(ISNUMBER(SEARCH(Classifiers!$C$9,E442)),1,0))+IF(Classifiers!$D$9="",0,IF(ISNUMBER(SEARCH(Classifiers!$D$9,E442)),1,0))+IF(Classifiers!$E$9="",0,IF(ISNUMBER(SEARCH(Classifiers!$E$9,E442)),1,0))+IF(Classifiers!$F$9="",0,IF(ISNUMBER(SEARCH(Classifiers!$F$9,E442)),1,0))+IF(Classifiers!$G$9="",0,IF(ISNUMBER(SEARCH(Classifiers!$G$9,E442)),1,0)))&gt;0,1,0))</f>
        <v/>
      </c>
      <c r="O442" s="12">
        <f>IF(H442&lt;&gt;1,0,IF((IF(Classifiers!$B$10="",0,IF(ISNUMBER(SEARCH(Classifiers!$B$10,E442)),1,0))+IF(Classifiers!$C$10="",0,IF(ISNUMBER(SEARCH(Classifiers!$C$10,E442)),1,0))+IF(Classifiers!$D$10="",0,IF(ISNUMBER(SEARCH(Classifiers!$D$10,E442)),1,0))+IF(Classifiers!$E$10="",0,IF(ISNUMBER(SEARCH(Classifiers!$E$10,E442)),1,0))+IF(Classifiers!$F$10="",0,IF(ISNUMBER(SEARCH(Classifiers!$F$10,E442)),1,0))+IF(Classifiers!$G$10="",0,IF(ISNUMBER(SEARCH(Classifiers!$G$10,E442)),1,0)))&gt;0,1,0))</f>
        <v/>
      </c>
      <c r="P442" s="12">
        <f>IF(H442&lt;&gt;1,0,IF((IF(Classifiers!$B$11="",0,IF(ISNUMBER(SEARCH(Classifiers!$B$11,E442)),1,0))+IF(Classifiers!$C$11="",0,IF(ISNUMBER(SEARCH(Classifiers!$C$11,E442)),1,0))+IF(Classifiers!$D$11="",0,IF(ISNUMBER(SEARCH(Classifiers!$D$11,E442)),1,0))+IF(Classifiers!$E$11="",0,IF(ISNUMBER(SEARCH(Classifiers!$E$11,E442)),1,0))+IF(Classifiers!$F$11="",0,IF(ISNUMBER(SEARCH(Classifiers!$F$11,E442)),1,0))+IF(Classifiers!$G$11="",0,IF(ISNUMBER(SEARCH(Classifiers!$G$11,E442)),1,0)))&gt;0,1,0))</f>
        <v/>
      </c>
      <c r="Q442" s="12">
        <f>IF(H442&lt;&gt;1,0,IF((IF(Classifiers!$B$12="",0,IF(ISNUMBER(SEARCH(Classifiers!$B$12,E442)),1,0))+IF(Classifiers!$C$12="",0,IF(ISNUMBER(SEARCH(Classifiers!$C$12,E442)),1,0))+IF(Classifiers!$D$12="",0,IF(ISNUMBER(SEARCH(Classifiers!$D$12,E442)),1,0))+IF(Classifiers!$E$12="",0,IF(ISNUMBER(SEARCH(Classifiers!$E$12,E442)),1,0))+IF(Classifiers!$F$12="",0,IF(ISNUMBER(SEARCH(Classifiers!$F$12,E442)),1,0))+IF(Classifiers!$G$12="",0,IF(ISNUMBER(SEARCH(Classifiers!$G$12,E442)),1,0)))&gt;0,1,0))</f>
        <v/>
      </c>
      <c r="R442" s="12">
        <f>IF(H442&lt;&gt;1,0,IF((IF(Classifiers!$B$13="",0,IF(ISNUMBER(SEARCH(Classifiers!$B$13,E442)),1,0))+IF(Classifiers!$C$13="",0,IF(ISNUMBER(SEARCH(Classifiers!$C$13,E442)),1,0))+IF(Classifiers!$D$13="",0,IF(ISNUMBER(SEARCH(Classifiers!$D$13,E442)),1,0))+IF(Classifiers!$E$13="",0,IF(ISNUMBER(SEARCH(Classifiers!$E$13,E442)),1,0))+IF(Classifiers!$F$13="",0,IF(ISNUMBER(SEARCH(Classifiers!$F$13,E442)),1,0))+IF(Classifiers!$G$13="",0,IF(ISNUMBER(SEARCH(Classifiers!$G$13,E442)),1,0)))&gt;0,1,0))</f>
        <v/>
      </c>
      <c r="S442" s="12">
        <f>IF(H442&lt;&gt;1,0,IF((IF(Classifiers!$B$14="",0,IF(ISNUMBER(SEARCH(Classifiers!$B$14,E442)),1,0))+IF(Classifiers!$C$14="",0,IF(ISNUMBER(SEARCH(Classifiers!$C$14,E442)),1,0))+IF(Classifiers!$D$14="",0,IF(ISNUMBER(SEARCH(Classifiers!$D$14,E442)),1,0))+IF(Classifiers!$E$14="",0,IF(ISNUMBER(SEARCH(Classifiers!$E$14,E442)),1,0))+IF(Classifiers!$F$14="",0,IF(ISNUMBER(SEARCH(Classifiers!$F$14,E442)),1,0))+IF(Classifiers!$G$14="",0,IF(ISNUMBER(SEARCH(Classifiers!$G$14,E442)),1,0)))&gt;0,1,0))</f>
        <v/>
      </c>
      <c r="T442" s="12">
        <f>IF(H442&lt;&gt;1,0,IF((IF(Classifiers!$B$15="",0,IF(ISNUMBER(SEARCH(Classifiers!$B$15,E442)),1,0))+IF(Classifiers!$C$15="",0,IF(ISNUMBER(SEARCH(Classifiers!$C$15,E442)),1,0))+IF(Classifiers!$D$15="",0,IF(ISNUMBER(SEARCH(Classifiers!$D$15,E442)),1,0))+IF(Classifiers!$E$15="",0,IF(ISNUMBER(SEARCH(Classifiers!$E$15,E442)),1,0))+IF(Classifiers!$F$15="",0,IF(ISNUMBER(SEARCH(Classifiers!$F$15,E442)),1,0))+IF(Classifiers!$G$15="",0,IF(ISNUMBER(SEARCH(Classifiers!$G$15,E442)),1,0)))&gt;0,1,0))</f>
        <v/>
      </c>
      <c r="U442" s="12">
        <f>IF(H442&lt;&gt;1,0,IF((IF(Classifiers!$B$16="",0,IF(ISNUMBER(SEARCH(Classifiers!$B$16,E442)),1,0))+IF(Classifiers!$C$16="",0,IF(ISNUMBER(SEARCH(Classifiers!$C$16,E442)),1,0))+IF(Classifiers!$D$16="",0,IF(ISNUMBER(SEARCH(Classifiers!$D$16,E442)),1,0))+IF(Classifiers!$E$16="",0,IF(ISNUMBER(SEARCH(Classifiers!$E$16,E442)),1,0))+IF(Classifiers!$F$16="",0,IF(ISNUMBER(SEARCH(Classifiers!$F$16,E442)),1,0))+IF(Classifiers!$G$16="",0,IF(ISNUMBER(SEARCH(Classifiers!$G$16,E442)),1,0)))&gt;0,1,0))</f>
        <v/>
      </c>
      <c r="V442" s="12">
        <f>IF(H442&lt;&gt;1,0,IF((IF(Classifiers!$B$17="",0,IF(ISNUMBER(SEARCH(Classifiers!$B$17,E442)),1,0))+IF(Classifiers!$C$17="",0,IF(ISNUMBER(SEARCH(Classifiers!$C$17,E442)),1,0))+IF(Classifiers!$D$17="",0,IF(ISNUMBER(SEARCH(Classifiers!$D$17,E442)),1,0))+IF(Classifiers!$E$17="",0,IF(ISNUMBER(SEARCH(Classifiers!$E$17,E442)),1,0))+IF(Classifiers!$F$17="",0,IF(ISNUMBER(SEARCH(Classifiers!$F$17,E442)),1,0))+IF(Classifiers!$G$17="",0,IF(ISNUMBER(SEARCH(Classifiers!$G$17,E442)),1,0)))&gt;0,1,0))</f>
        <v/>
      </c>
      <c r="W442" s="12">
        <f>IF(H442&lt;&gt;1,0,IF((IF(Classifiers!$B$18="",0,IF(ISNUMBER(SEARCH(Classifiers!$B$18,E442)),1,0))+IF(Classifiers!$C$18="",0,IF(ISNUMBER(SEARCH(Classifiers!$C$18,E442)),1,0))+IF(Classifiers!$D$18="",0,IF(ISNUMBER(SEARCH(Classifiers!$D$18,E442)),1,0))+IF(Classifiers!$E$18="",0,IF(ISNUMBER(SEARCH(Classifiers!$E$18,E442)),1,0))+IF(Classifiers!$F$18="",0,IF(ISNUMBER(SEARCH(Classifiers!$F$18,E442)),1,0))+IF(Classifiers!$G$18="",0,IF(ISNUMBER(SEARCH(Classifiers!$G$18,E442)),1,0)))&gt;0,1,0))</f>
        <v/>
      </c>
    </row>
    <row r="443">
      <c r="A443" s="8" t="n"/>
      <c r="B443" s="11" t="n"/>
      <c r="C443" s="6">
        <f>IF(A443="","",TRIM(RIGHT(SUBSTITUTE(A443,"/",REPT(" ",250)),250)))</f>
        <v/>
      </c>
      <c r="D443" s="6">
        <f>IF(C443="","",IF(ISNUMBER(SEARCH(".",C443)),LOWER("."&amp;TRIM(RIGHT(SUBSTITUTE(C443,".",REPT(" ",250)),250))),""))</f>
        <v/>
      </c>
      <c r="E443" s="6">
        <f>IF(C443="","",TRIM(SUBSTITUTE(SUBSTITUTE(SUBSTITUTE(SUBSTITUTE(SUBSTITUTE(SUBSTITUTE(SUBSTITUTE(SUBSTITUTE(SUBSTITUTE(SUBSTITUTE(SUBSTITUTE(SUBSTITUTE(SUBSTITUTE(SUBSTITUTE(SUBSTITUTE(SUBSTITUTE(SUBSTITUTE(SUBSTITUTE(SUBSTITUTE(SUBSTITUTE(LOWER(LEFT(C443,LEN(C443)-LEN(D443))),"_"," "),"-"," "),"."," "),","," "),"("," "),")"," "),"["," "),"]"," "),"&amp;"," "),"+"," "),"@"," "),"#"," "),"!"," "),"'"," "),"/"," "),":"," "),";"," "),"="," "),"~"," "),"%"," ")))</f>
        <v/>
      </c>
      <c r="F443" s="6">
        <f>IF(C443="","",IF(COUNTIF(Classifiers!$A$23:$A$40,D443)&gt;0,1,0))</f>
        <v/>
      </c>
      <c r="G443" s="6">
        <f>IF(C443="","",IF(COUNTIF(Classifiers!$C$23:$C$30,D443)&gt;0,IF((IF(ISNUMBER(SEARCH(Classifiers!$E$23,E443)),1,0)+IF(ISNUMBER(SEARCH(Classifiers!$E$24,E443)),1,0)+IF(ISNUMBER(SEARCH(Classifiers!$E$25,E443)),1,0)+IF(ISNUMBER(SEARCH(Classifiers!$E$26,E443)),1,0)+IF(ISNUMBER(SEARCH(Classifiers!$E$27,E443)),1,0)+IF(ISNUMBER(SEARCH(Classifiers!$E$28,E443)),1,0)+IF(ISNUMBER(SEARCH(Classifiers!$E$29,E443)),1,0)+IF(ISNUMBER(SEARCH(Classifiers!$E$30,E443)),1,0))&gt;0,1,0),0))</f>
        <v/>
      </c>
      <c r="H443" s="6">
        <f>IF(C443="","",IF(OR(LEFT(C443,1)=".",AND(F443=0,G443=0)),0,1))</f>
        <v/>
      </c>
      <c r="I443" s="6">
        <f>IF(H443&lt;&gt;1,"",IF(SUM(J443:W443)=0,"unclassified",INDEX(Classifiers!$A$5:$A$18,MATCH(1,J443:W443,0),1)))</f>
        <v/>
      </c>
      <c r="J443" s="12">
        <f>IF(H443&lt;&gt;1,0,IF((IF(Classifiers!$B$5="",0,IF(ISNUMBER(SEARCH(Classifiers!$B$5,E443)),1,0))+IF(Classifiers!$C$5="",0,IF(ISNUMBER(SEARCH(Classifiers!$C$5,E443)),1,0))+IF(Classifiers!$D$5="",0,IF(ISNUMBER(SEARCH(Classifiers!$D$5,E443)),1,0))+IF(Classifiers!$E$5="",0,IF(ISNUMBER(SEARCH(Classifiers!$E$5,E443)),1,0))+IF(Classifiers!$F$5="",0,IF(ISNUMBER(SEARCH(Classifiers!$F$5,E443)),1,0))+IF(Classifiers!$G$5="",0,IF(ISNUMBER(SEARCH(Classifiers!$G$5,E443)),1,0)))&gt;0,1,0))</f>
        <v/>
      </c>
      <c r="K443" s="12">
        <f>IF(H443&lt;&gt;1,0,IF((IF(Classifiers!$B$6="",0,IF(ISNUMBER(SEARCH(Classifiers!$B$6,E443)),1,0))+IF(Classifiers!$C$6="",0,IF(ISNUMBER(SEARCH(Classifiers!$C$6,E443)),1,0))+IF(Classifiers!$D$6="",0,IF(ISNUMBER(SEARCH(Classifiers!$D$6,E443)),1,0))+IF(Classifiers!$E$6="",0,IF(ISNUMBER(SEARCH(Classifiers!$E$6,E443)),1,0))+IF(Classifiers!$F$6="",0,IF(ISNUMBER(SEARCH(Classifiers!$F$6,E443)),1,0))+IF(Classifiers!$G$6="",0,IF(ISNUMBER(SEARCH(Classifiers!$G$6,E443)),1,0)))&gt;0,1,0))</f>
        <v/>
      </c>
      <c r="L443" s="12">
        <f>IF(H443&lt;&gt;1,0,IF((IF(Classifiers!$B$7="",0,IF(ISNUMBER(SEARCH(Classifiers!$B$7,E443)),1,0))+IF(Classifiers!$C$7="",0,IF(ISNUMBER(SEARCH(Classifiers!$C$7,E443)),1,0))+IF(Classifiers!$D$7="",0,IF(ISNUMBER(SEARCH(Classifiers!$D$7,E443)),1,0))+IF(Classifiers!$E$7="",0,IF(ISNUMBER(SEARCH(Classifiers!$E$7,E443)),1,0))+IF(Classifiers!$F$7="",0,IF(ISNUMBER(SEARCH(Classifiers!$F$7,E443)),1,0))+IF(Classifiers!$G$7="",0,IF(ISNUMBER(SEARCH(Classifiers!$G$7,E443)),1,0)))&gt;0,1,0))</f>
        <v/>
      </c>
      <c r="M443" s="12">
        <f>IF(H443&lt;&gt;1,0,IF((IF(Classifiers!$B$8="",0,IF(ISNUMBER(SEARCH(Classifiers!$B$8,E443)),1,0))+IF(Classifiers!$C$8="",0,IF(ISNUMBER(SEARCH(Classifiers!$C$8,E443)),1,0))+IF(Classifiers!$D$8="",0,IF(ISNUMBER(SEARCH(Classifiers!$D$8,E443)),1,0))+IF(Classifiers!$E$8="",0,IF(ISNUMBER(SEARCH(Classifiers!$E$8,E443)),1,0))+IF(Classifiers!$F$8="",0,IF(ISNUMBER(SEARCH(Classifiers!$F$8,E443)),1,0))+IF(Classifiers!$G$8="",0,IF(ISNUMBER(SEARCH(Classifiers!$G$8,E443)),1,0)))&gt;0,1,0))</f>
        <v/>
      </c>
      <c r="N443" s="12">
        <f>IF(H443&lt;&gt;1,0,IF((IF(Classifiers!$B$9="",0,IF(ISNUMBER(SEARCH(Classifiers!$B$9,E443)),1,0))+IF(Classifiers!$C$9="",0,IF(ISNUMBER(SEARCH(Classifiers!$C$9,E443)),1,0))+IF(Classifiers!$D$9="",0,IF(ISNUMBER(SEARCH(Classifiers!$D$9,E443)),1,0))+IF(Classifiers!$E$9="",0,IF(ISNUMBER(SEARCH(Classifiers!$E$9,E443)),1,0))+IF(Classifiers!$F$9="",0,IF(ISNUMBER(SEARCH(Classifiers!$F$9,E443)),1,0))+IF(Classifiers!$G$9="",0,IF(ISNUMBER(SEARCH(Classifiers!$G$9,E443)),1,0)))&gt;0,1,0))</f>
        <v/>
      </c>
      <c r="O443" s="12">
        <f>IF(H443&lt;&gt;1,0,IF((IF(Classifiers!$B$10="",0,IF(ISNUMBER(SEARCH(Classifiers!$B$10,E443)),1,0))+IF(Classifiers!$C$10="",0,IF(ISNUMBER(SEARCH(Classifiers!$C$10,E443)),1,0))+IF(Classifiers!$D$10="",0,IF(ISNUMBER(SEARCH(Classifiers!$D$10,E443)),1,0))+IF(Classifiers!$E$10="",0,IF(ISNUMBER(SEARCH(Classifiers!$E$10,E443)),1,0))+IF(Classifiers!$F$10="",0,IF(ISNUMBER(SEARCH(Classifiers!$F$10,E443)),1,0))+IF(Classifiers!$G$10="",0,IF(ISNUMBER(SEARCH(Classifiers!$G$10,E443)),1,0)))&gt;0,1,0))</f>
        <v/>
      </c>
      <c r="P443" s="12">
        <f>IF(H443&lt;&gt;1,0,IF((IF(Classifiers!$B$11="",0,IF(ISNUMBER(SEARCH(Classifiers!$B$11,E443)),1,0))+IF(Classifiers!$C$11="",0,IF(ISNUMBER(SEARCH(Classifiers!$C$11,E443)),1,0))+IF(Classifiers!$D$11="",0,IF(ISNUMBER(SEARCH(Classifiers!$D$11,E443)),1,0))+IF(Classifiers!$E$11="",0,IF(ISNUMBER(SEARCH(Classifiers!$E$11,E443)),1,0))+IF(Classifiers!$F$11="",0,IF(ISNUMBER(SEARCH(Classifiers!$F$11,E443)),1,0))+IF(Classifiers!$G$11="",0,IF(ISNUMBER(SEARCH(Classifiers!$G$11,E443)),1,0)))&gt;0,1,0))</f>
        <v/>
      </c>
      <c r="Q443" s="12">
        <f>IF(H443&lt;&gt;1,0,IF((IF(Classifiers!$B$12="",0,IF(ISNUMBER(SEARCH(Classifiers!$B$12,E443)),1,0))+IF(Classifiers!$C$12="",0,IF(ISNUMBER(SEARCH(Classifiers!$C$12,E443)),1,0))+IF(Classifiers!$D$12="",0,IF(ISNUMBER(SEARCH(Classifiers!$D$12,E443)),1,0))+IF(Classifiers!$E$12="",0,IF(ISNUMBER(SEARCH(Classifiers!$E$12,E443)),1,0))+IF(Classifiers!$F$12="",0,IF(ISNUMBER(SEARCH(Classifiers!$F$12,E443)),1,0))+IF(Classifiers!$G$12="",0,IF(ISNUMBER(SEARCH(Classifiers!$G$12,E443)),1,0)))&gt;0,1,0))</f>
        <v/>
      </c>
      <c r="R443" s="12">
        <f>IF(H443&lt;&gt;1,0,IF((IF(Classifiers!$B$13="",0,IF(ISNUMBER(SEARCH(Classifiers!$B$13,E443)),1,0))+IF(Classifiers!$C$13="",0,IF(ISNUMBER(SEARCH(Classifiers!$C$13,E443)),1,0))+IF(Classifiers!$D$13="",0,IF(ISNUMBER(SEARCH(Classifiers!$D$13,E443)),1,0))+IF(Classifiers!$E$13="",0,IF(ISNUMBER(SEARCH(Classifiers!$E$13,E443)),1,0))+IF(Classifiers!$F$13="",0,IF(ISNUMBER(SEARCH(Classifiers!$F$13,E443)),1,0))+IF(Classifiers!$G$13="",0,IF(ISNUMBER(SEARCH(Classifiers!$G$13,E443)),1,0)))&gt;0,1,0))</f>
        <v/>
      </c>
      <c r="S443" s="12">
        <f>IF(H443&lt;&gt;1,0,IF((IF(Classifiers!$B$14="",0,IF(ISNUMBER(SEARCH(Classifiers!$B$14,E443)),1,0))+IF(Classifiers!$C$14="",0,IF(ISNUMBER(SEARCH(Classifiers!$C$14,E443)),1,0))+IF(Classifiers!$D$14="",0,IF(ISNUMBER(SEARCH(Classifiers!$D$14,E443)),1,0))+IF(Classifiers!$E$14="",0,IF(ISNUMBER(SEARCH(Classifiers!$E$14,E443)),1,0))+IF(Classifiers!$F$14="",0,IF(ISNUMBER(SEARCH(Classifiers!$F$14,E443)),1,0))+IF(Classifiers!$G$14="",0,IF(ISNUMBER(SEARCH(Classifiers!$G$14,E443)),1,0)))&gt;0,1,0))</f>
        <v/>
      </c>
      <c r="T443" s="12">
        <f>IF(H443&lt;&gt;1,0,IF((IF(Classifiers!$B$15="",0,IF(ISNUMBER(SEARCH(Classifiers!$B$15,E443)),1,0))+IF(Classifiers!$C$15="",0,IF(ISNUMBER(SEARCH(Classifiers!$C$15,E443)),1,0))+IF(Classifiers!$D$15="",0,IF(ISNUMBER(SEARCH(Classifiers!$D$15,E443)),1,0))+IF(Classifiers!$E$15="",0,IF(ISNUMBER(SEARCH(Classifiers!$E$15,E443)),1,0))+IF(Classifiers!$F$15="",0,IF(ISNUMBER(SEARCH(Classifiers!$F$15,E443)),1,0))+IF(Classifiers!$G$15="",0,IF(ISNUMBER(SEARCH(Classifiers!$G$15,E443)),1,0)))&gt;0,1,0))</f>
        <v/>
      </c>
      <c r="U443" s="12">
        <f>IF(H443&lt;&gt;1,0,IF((IF(Classifiers!$B$16="",0,IF(ISNUMBER(SEARCH(Classifiers!$B$16,E443)),1,0))+IF(Classifiers!$C$16="",0,IF(ISNUMBER(SEARCH(Classifiers!$C$16,E443)),1,0))+IF(Classifiers!$D$16="",0,IF(ISNUMBER(SEARCH(Classifiers!$D$16,E443)),1,0))+IF(Classifiers!$E$16="",0,IF(ISNUMBER(SEARCH(Classifiers!$E$16,E443)),1,0))+IF(Classifiers!$F$16="",0,IF(ISNUMBER(SEARCH(Classifiers!$F$16,E443)),1,0))+IF(Classifiers!$G$16="",0,IF(ISNUMBER(SEARCH(Classifiers!$G$16,E443)),1,0)))&gt;0,1,0))</f>
        <v/>
      </c>
      <c r="V443" s="12">
        <f>IF(H443&lt;&gt;1,0,IF((IF(Classifiers!$B$17="",0,IF(ISNUMBER(SEARCH(Classifiers!$B$17,E443)),1,0))+IF(Classifiers!$C$17="",0,IF(ISNUMBER(SEARCH(Classifiers!$C$17,E443)),1,0))+IF(Classifiers!$D$17="",0,IF(ISNUMBER(SEARCH(Classifiers!$D$17,E443)),1,0))+IF(Classifiers!$E$17="",0,IF(ISNUMBER(SEARCH(Classifiers!$E$17,E443)),1,0))+IF(Classifiers!$F$17="",0,IF(ISNUMBER(SEARCH(Classifiers!$F$17,E443)),1,0))+IF(Classifiers!$G$17="",0,IF(ISNUMBER(SEARCH(Classifiers!$G$17,E443)),1,0)))&gt;0,1,0))</f>
        <v/>
      </c>
      <c r="W443" s="12">
        <f>IF(H443&lt;&gt;1,0,IF((IF(Classifiers!$B$18="",0,IF(ISNUMBER(SEARCH(Classifiers!$B$18,E443)),1,0))+IF(Classifiers!$C$18="",0,IF(ISNUMBER(SEARCH(Classifiers!$C$18,E443)),1,0))+IF(Classifiers!$D$18="",0,IF(ISNUMBER(SEARCH(Classifiers!$D$18,E443)),1,0))+IF(Classifiers!$E$18="",0,IF(ISNUMBER(SEARCH(Classifiers!$E$18,E443)),1,0))+IF(Classifiers!$F$18="",0,IF(ISNUMBER(SEARCH(Classifiers!$F$18,E443)),1,0))+IF(Classifiers!$G$18="",0,IF(ISNUMBER(SEARCH(Classifiers!$G$18,E443)),1,0)))&gt;0,1,0))</f>
        <v/>
      </c>
    </row>
    <row r="444">
      <c r="A444" s="8" t="n"/>
      <c r="B444" s="11" t="n"/>
      <c r="C444" s="6">
        <f>IF(A444="","",TRIM(RIGHT(SUBSTITUTE(A444,"/",REPT(" ",250)),250)))</f>
        <v/>
      </c>
      <c r="D444" s="6">
        <f>IF(C444="","",IF(ISNUMBER(SEARCH(".",C444)),LOWER("."&amp;TRIM(RIGHT(SUBSTITUTE(C444,".",REPT(" ",250)),250))),""))</f>
        <v/>
      </c>
      <c r="E444" s="6">
        <f>IF(C444="","",TRIM(SUBSTITUTE(SUBSTITUTE(SUBSTITUTE(SUBSTITUTE(SUBSTITUTE(SUBSTITUTE(SUBSTITUTE(SUBSTITUTE(SUBSTITUTE(SUBSTITUTE(SUBSTITUTE(SUBSTITUTE(SUBSTITUTE(SUBSTITUTE(SUBSTITUTE(SUBSTITUTE(SUBSTITUTE(SUBSTITUTE(SUBSTITUTE(SUBSTITUTE(LOWER(LEFT(C444,LEN(C444)-LEN(D444))),"_"," "),"-"," "),"."," "),","," "),"("," "),")"," "),"["," "),"]"," "),"&amp;"," "),"+"," "),"@"," "),"#"," "),"!"," "),"'"," "),"/"," "),":"," "),";"," "),"="," "),"~"," "),"%"," ")))</f>
        <v/>
      </c>
      <c r="F444" s="6">
        <f>IF(C444="","",IF(COUNTIF(Classifiers!$A$23:$A$40,D444)&gt;0,1,0))</f>
        <v/>
      </c>
      <c r="G444" s="6">
        <f>IF(C444="","",IF(COUNTIF(Classifiers!$C$23:$C$30,D444)&gt;0,IF((IF(ISNUMBER(SEARCH(Classifiers!$E$23,E444)),1,0)+IF(ISNUMBER(SEARCH(Classifiers!$E$24,E444)),1,0)+IF(ISNUMBER(SEARCH(Classifiers!$E$25,E444)),1,0)+IF(ISNUMBER(SEARCH(Classifiers!$E$26,E444)),1,0)+IF(ISNUMBER(SEARCH(Classifiers!$E$27,E444)),1,0)+IF(ISNUMBER(SEARCH(Classifiers!$E$28,E444)),1,0)+IF(ISNUMBER(SEARCH(Classifiers!$E$29,E444)),1,0)+IF(ISNUMBER(SEARCH(Classifiers!$E$30,E444)),1,0))&gt;0,1,0),0))</f>
        <v/>
      </c>
      <c r="H444" s="6">
        <f>IF(C444="","",IF(OR(LEFT(C444,1)=".",AND(F444=0,G444=0)),0,1))</f>
        <v/>
      </c>
      <c r="I444" s="6">
        <f>IF(H444&lt;&gt;1,"",IF(SUM(J444:W444)=0,"unclassified",INDEX(Classifiers!$A$5:$A$18,MATCH(1,J444:W444,0),1)))</f>
        <v/>
      </c>
      <c r="J444" s="12">
        <f>IF(H444&lt;&gt;1,0,IF((IF(Classifiers!$B$5="",0,IF(ISNUMBER(SEARCH(Classifiers!$B$5,E444)),1,0))+IF(Classifiers!$C$5="",0,IF(ISNUMBER(SEARCH(Classifiers!$C$5,E444)),1,0))+IF(Classifiers!$D$5="",0,IF(ISNUMBER(SEARCH(Classifiers!$D$5,E444)),1,0))+IF(Classifiers!$E$5="",0,IF(ISNUMBER(SEARCH(Classifiers!$E$5,E444)),1,0))+IF(Classifiers!$F$5="",0,IF(ISNUMBER(SEARCH(Classifiers!$F$5,E444)),1,0))+IF(Classifiers!$G$5="",0,IF(ISNUMBER(SEARCH(Classifiers!$G$5,E444)),1,0)))&gt;0,1,0))</f>
        <v/>
      </c>
      <c r="K444" s="12">
        <f>IF(H444&lt;&gt;1,0,IF((IF(Classifiers!$B$6="",0,IF(ISNUMBER(SEARCH(Classifiers!$B$6,E444)),1,0))+IF(Classifiers!$C$6="",0,IF(ISNUMBER(SEARCH(Classifiers!$C$6,E444)),1,0))+IF(Classifiers!$D$6="",0,IF(ISNUMBER(SEARCH(Classifiers!$D$6,E444)),1,0))+IF(Classifiers!$E$6="",0,IF(ISNUMBER(SEARCH(Classifiers!$E$6,E444)),1,0))+IF(Classifiers!$F$6="",0,IF(ISNUMBER(SEARCH(Classifiers!$F$6,E444)),1,0))+IF(Classifiers!$G$6="",0,IF(ISNUMBER(SEARCH(Classifiers!$G$6,E444)),1,0)))&gt;0,1,0))</f>
        <v/>
      </c>
      <c r="L444" s="12">
        <f>IF(H444&lt;&gt;1,0,IF((IF(Classifiers!$B$7="",0,IF(ISNUMBER(SEARCH(Classifiers!$B$7,E444)),1,0))+IF(Classifiers!$C$7="",0,IF(ISNUMBER(SEARCH(Classifiers!$C$7,E444)),1,0))+IF(Classifiers!$D$7="",0,IF(ISNUMBER(SEARCH(Classifiers!$D$7,E444)),1,0))+IF(Classifiers!$E$7="",0,IF(ISNUMBER(SEARCH(Classifiers!$E$7,E444)),1,0))+IF(Classifiers!$F$7="",0,IF(ISNUMBER(SEARCH(Classifiers!$F$7,E444)),1,0))+IF(Classifiers!$G$7="",0,IF(ISNUMBER(SEARCH(Classifiers!$G$7,E444)),1,0)))&gt;0,1,0))</f>
        <v/>
      </c>
      <c r="M444" s="12">
        <f>IF(H444&lt;&gt;1,0,IF((IF(Classifiers!$B$8="",0,IF(ISNUMBER(SEARCH(Classifiers!$B$8,E444)),1,0))+IF(Classifiers!$C$8="",0,IF(ISNUMBER(SEARCH(Classifiers!$C$8,E444)),1,0))+IF(Classifiers!$D$8="",0,IF(ISNUMBER(SEARCH(Classifiers!$D$8,E444)),1,0))+IF(Classifiers!$E$8="",0,IF(ISNUMBER(SEARCH(Classifiers!$E$8,E444)),1,0))+IF(Classifiers!$F$8="",0,IF(ISNUMBER(SEARCH(Classifiers!$F$8,E444)),1,0))+IF(Classifiers!$G$8="",0,IF(ISNUMBER(SEARCH(Classifiers!$G$8,E444)),1,0)))&gt;0,1,0))</f>
        <v/>
      </c>
      <c r="N444" s="12">
        <f>IF(H444&lt;&gt;1,0,IF((IF(Classifiers!$B$9="",0,IF(ISNUMBER(SEARCH(Classifiers!$B$9,E444)),1,0))+IF(Classifiers!$C$9="",0,IF(ISNUMBER(SEARCH(Classifiers!$C$9,E444)),1,0))+IF(Classifiers!$D$9="",0,IF(ISNUMBER(SEARCH(Classifiers!$D$9,E444)),1,0))+IF(Classifiers!$E$9="",0,IF(ISNUMBER(SEARCH(Classifiers!$E$9,E444)),1,0))+IF(Classifiers!$F$9="",0,IF(ISNUMBER(SEARCH(Classifiers!$F$9,E444)),1,0))+IF(Classifiers!$G$9="",0,IF(ISNUMBER(SEARCH(Classifiers!$G$9,E444)),1,0)))&gt;0,1,0))</f>
        <v/>
      </c>
      <c r="O444" s="12">
        <f>IF(H444&lt;&gt;1,0,IF((IF(Classifiers!$B$10="",0,IF(ISNUMBER(SEARCH(Classifiers!$B$10,E444)),1,0))+IF(Classifiers!$C$10="",0,IF(ISNUMBER(SEARCH(Classifiers!$C$10,E444)),1,0))+IF(Classifiers!$D$10="",0,IF(ISNUMBER(SEARCH(Classifiers!$D$10,E444)),1,0))+IF(Classifiers!$E$10="",0,IF(ISNUMBER(SEARCH(Classifiers!$E$10,E444)),1,0))+IF(Classifiers!$F$10="",0,IF(ISNUMBER(SEARCH(Classifiers!$F$10,E444)),1,0))+IF(Classifiers!$G$10="",0,IF(ISNUMBER(SEARCH(Classifiers!$G$10,E444)),1,0)))&gt;0,1,0))</f>
        <v/>
      </c>
      <c r="P444" s="12">
        <f>IF(H444&lt;&gt;1,0,IF((IF(Classifiers!$B$11="",0,IF(ISNUMBER(SEARCH(Classifiers!$B$11,E444)),1,0))+IF(Classifiers!$C$11="",0,IF(ISNUMBER(SEARCH(Classifiers!$C$11,E444)),1,0))+IF(Classifiers!$D$11="",0,IF(ISNUMBER(SEARCH(Classifiers!$D$11,E444)),1,0))+IF(Classifiers!$E$11="",0,IF(ISNUMBER(SEARCH(Classifiers!$E$11,E444)),1,0))+IF(Classifiers!$F$11="",0,IF(ISNUMBER(SEARCH(Classifiers!$F$11,E444)),1,0))+IF(Classifiers!$G$11="",0,IF(ISNUMBER(SEARCH(Classifiers!$G$11,E444)),1,0)))&gt;0,1,0))</f>
        <v/>
      </c>
      <c r="Q444" s="12">
        <f>IF(H444&lt;&gt;1,0,IF((IF(Classifiers!$B$12="",0,IF(ISNUMBER(SEARCH(Classifiers!$B$12,E444)),1,0))+IF(Classifiers!$C$12="",0,IF(ISNUMBER(SEARCH(Classifiers!$C$12,E444)),1,0))+IF(Classifiers!$D$12="",0,IF(ISNUMBER(SEARCH(Classifiers!$D$12,E444)),1,0))+IF(Classifiers!$E$12="",0,IF(ISNUMBER(SEARCH(Classifiers!$E$12,E444)),1,0))+IF(Classifiers!$F$12="",0,IF(ISNUMBER(SEARCH(Classifiers!$F$12,E444)),1,0))+IF(Classifiers!$G$12="",0,IF(ISNUMBER(SEARCH(Classifiers!$G$12,E444)),1,0)))&gt;0,1,0))</f>
        <v/>
      </c>
      <c r="R444" s="12">
        <f>IF(H444&lt;&gt;1,0,IF((IF(Classifiers!$B$13="",0,IF(ISNUMBER(SEARCH(Classifiers!$B$13,E444)),1,0))+IF(Classifiers!$C$13="",0,IF(ISNUMBER(SEARCH(Classifiers!$C$13,E444)),1,0))+IF(Classifiers!$D$13="",0,IF(ISNUMBER(SEARCH(Classifiers!$D$13,E444)),1,0))+IF(Classifiers!$E$13="",0,IF(ISNUMBER(SEARCH(Classifiers!$E$13,E444)),1,0))+IF(Classifiers!$F$13="",0,IF(ISNUMBER(SEARCH(Classifiers!$F$13,E444)),1,0))+IF(Classifiers!$G$13="",0,IF(ISNUMBER(SEARCH(Classifiers!$G$13,E444)),1,0)))&gt;0,1,0))</f>
        <v/>
      </c>
      <c r="S444" s="12">
        <f>IF(H444&lt;&gt;1,0,IF((IF(Classifiers!$B$14="",0,IF(ISNUMBER(SEARCH(Classifiers!$B$14,E444)),1,0))+IF(Classifiers!$C$14="",0,IF(ISNUMBER(SEARCH(Classifiers!$C$14,E444)),1,0))+IF(Classifiers!$D$14="",0,IF(ISNUMBER(SEARCH(Classifiers!$D$14,E444)),1,0))+IF(Classifiers!$E$14="",0,IF(ISNUMBER(SEARCH(Classifiers!$E$14,E444)),1,0))+IF(Classifiers!$F$14="",0,IF(ISNUMBER(SEARCH(Classifiers!$F$14,E444)),1,0))+IF(Classifiers!$G$14="",0,IF(ISNUMBER(SEARCH(Classifiers!$G$14,E444)),1,0)))&gt;0,1,0))</f>
        <v/>
      </c>
      <c r="T444" s="12">
        <f>IF(H444&lt;&gt;1,0,IF((IF(Classifiers!$B$15="",0,IF(ISNUMBER(SEARCH(Classifiers!$B$15,E444)),1,0))+IF(Classifiers!$C$15="",0,IF(ISNUMBER(SEARCH(Classifiers!$C$15,E444)),1,0))+IF(Classifiers!$D$15="",0,IF(ISNUMBER(SEARCH(Classifiers!$D$15,E444)),1,0))+IF(Classifiers!$E$15="",0,IF(ISNUMBER(SEARCH(Classifiers!$E$15,E444)),1,0))+IF(Classifiers!$F$15="",0,IF(ISNUMBER(SEARCH(Classifiers!$F$15,E444)),1,0))+IF(Classifiers!$G$15="",0,IF(ISNUMBER(SEARCH(Classifiers!$G$15,E444)),1,0)))&gt;0,1,0))</f>
        <v/>
      </c>
      <c r="U444" s="12">
        <f>IF(H444&lt;&gt;1,0,IF((IF(Classifiers!$B$16="",0,IF(ISNUMBER(SEARCH(Classifiers!$B$16,E444)),1,0))+IF(Classifiers!$C$16="",0,IF(ISNUMBER(SEARCH(Classifiers!$C$16,E444)),1,0))+IF(Classifiers!$D$16="",0,IF(ISNUMBER(SEARCH(Classifiers!$D$16,E444)),1,0))+IF(Classifiers!$E$16="",0,IF(ISNUMBER(SEARCH(Classifiers!$E$16,E444)),1,0))+IF(Classifiers!$F$16="",0,IF(ISNUMBER(SEARCH(Classifiers!$F$16,E444)),1,0))+IF(Classifiers!$G$16="",0,IF(ISNUMBER(SEARCH(Classifiers!$G$16,E444)),1,0)))&gt;0,1,0))</f>
        <v/>
      </c>
      <c r="V444" s="12">
        <f>IF(H444&lt;&gt;1,0,IF((IF(Classifiers!$B$17="",0,IF(ISNUMBER(SEARCH(Classifiers!$B$17,E444)),1,0))+IF(Classifiers!$C$17="",0,IF(ISNUMBER(SEARCH(Classifiers!$C$17,E444)),1,0))+IF(Classifiers!$D$17="",0,IF(ISNUMBER(SEARCH(Classifiers!$D$17,E444)),1,0))+IF(Classifiers!$E$17="",0,IF(ISNUMBER(SEARCH(Classifiers!$E$17,E444)),1,0))+IF(Classifiers!$F$17="",0,IF(ISNUMBER(SEARCH(Classifiers!$F$17,E444)),1,0))+IF(Classifiers!$G$17="",0,IF(ISNUMBER(SEARCH(Classifiers!$G$17,E444)),1,0)))&gt;0,1,0))</f>
        <v/>
      </c>
      <c r="W444" s="12">
        <f>IF(H444&lt;&gt;1,0,IF((IF(Classifiers!$B$18="",0,IF(ISNUMBER(SEARCH(Classifiers!$B$18,E444)),1,0))+IF(Classifiers!$C$18="",0,IF(ISNUMBER(SEARCH(Classifiers!$C$18,E444)),1,0))+IF(Classifiers!$D$18="",0,IF(ISNUMBER(SEARCH(Classifiers!$D$18,E444)),1,0))+IF(Classifiers!$E$18="",0,IF(ISNUMBER(SEARCH(Classifiers!$E$18,E444)),1,0))+IF(Classifiers!$F$18="",0,IF(ISNUMBER(SEARCH(Classifiers!$F$18,E444)),1,0))+IF(Classifiers!$G$18="",0,IF(ISNUMBER(SEARCH(Classifiers!$G$18,E444)),1,0)))&gt;0,1,0))</f>
        <v/>
      </c>
    </row>
    <row r="445">
      <c r="A445" s="8" t="n"/>
      <c r="B445" s="11" t="n"/>
      <c r="C445" s="6">
        <f>IF(A445="","",TRIM(RIGHT(SUBSTITUTE(A445,"/",REPT(" ",250)),250)))</f>
        <v/>
      </c>
      <c r="D445" s="6">
        <f>IF(C445="","",IF(ISNUMBER(SEARCH(".",C445)),LOWER("."&amp;TRIM(RIGHT(SUBSTITUTE(C445,".",REPT(" ",250)),250))),""))</f>
        <v/>
      </c>
      <c r="E445" s="6">
        <f>IF(C445="","",TRIM(SUBSTITUTE(SUBSTITUTE(SUBSTITUTE(SUBSTITUTE(SUBSTITUTE(SUBSTITUTE(SUBSTITUTE(SUBSTITUTE(SUBSTITUTE(SUBSTITUTE(SUBSTITUTE(SUBSTITUTE(SUBSTITUTE(SUBSTITUTE(SUBSTITUTE(SUBSTITUTE(SUBSTITUTE(SUBSTITUTE(SUBSTITUTE(SUBSTITUTE(LOWER(LEFT(C445,LEN(C445)-LEN(D445))),"_"," "),"-"," "),"."," "),","," "),"("," "),")"," "),"["," "),"]"," "),"&amp;"," "),"+"," "),"@"," "),"#"," "),"!"," "),"'"," "),"/"," "),":"," "),";"," "),"="," "),"~"," "),"%"," ")))</f>
        <v/>
      </c>
      <c r="F445" s="6">
        <f>IF(C445="","",IF(COUNTIF(Classifiers!$A$23:$A$40,D445)&gt;0,1,0))</f>
        <v/>
      </c>
      <c r="G445" s="6">
        <f>IF(C445="","",IF(COUNTIF(Classifiers!$C$23:$C$30,D445)&gt;0,IF((IF(ISNUMBER(SEARCH(Classifiers!$E$23,E445)),1,0)+IF(ISNUMBER(SEARCH(Classifiers!$E$24,E445)),1,0)+IF(ISNUMBER(SEARCH(Classifiers!$E$25,E445)),1,0)+IF(ISNUMBER(SEARCH(Classifiers!$E$26,E445)),1,0)+IF(ISNUMBER(SEARCH(Classifiers!$E$27,E445)),1,0)+IF(ISNUMBER(SEARCH(Classifiers!$E$28,E445)),1,0)+IF(ISNUMBER(SEARCH(Classifiers!$E$29,E445)),1,0)+IF(ISNUMBER(SEARCH(Classifiers!$E$30,E445)),1,0))&gt;0,1,0),0))</f>
        <v/>
      </c>
      <c r="H445" s="6">
        <f>IF(C445="","",IF(OR(LEFT(C445,1)=".",AND(F445=0,G445=0)),0,1))</f>
        <v/>
      </c>
      <c r="I445" s="6">
        <f>IF(H445&lt;&gt;1,"",IF(SUM(J445:W445)=0,"unclassified",INDEX(Classifiers!$A$5:$A$18,MATCH(1,J445:W445,0),1)))</f>
        <v/>
      </c>
      <c r="J445" s="12">
        <f>IF(H445&lt;&gt;1,0,IF((IF(Classifiers!$B$5="",0,IF(ISNUMBER(SEARCH(Classifiers!$B$5,E445)),1,0))+IF(Classifiers!$C$5="",0,IF(ISNUMBER(SEARCH(Classifiers!$C$5,E445)),1,0))+IF(Classifiers!$D$5="",0,IF(ISNUMBER(SEARCH(Classifiers!$D$5,E445)),1,0))+IF(Classifiers!$E$5="",0,IF(ISNUMBER(SEARCH(Classifiers!$E$5,E445)),1,0))+IF(Classifiers!$F$5="",0,IF(ISNUMBER(SEARCH(Classifiers!$F$5,E445)),1,0))+IF(Classifiers!$G$5="",0,IF(ISNUMBER(SEARCH(Classifiers!$G$5,E445)),1,0)))&gt;0,1,0))</f>
        <v/>
      </c>
      <c r="K445" s="12">
        <f>IF(H445&lt;&gt;1,0,IF((IF(Classifiers!$B$6="",0,IF(ISNUMBER(SEARCH(Classifiers!$B$6,E445)),1,0))+IF(Classifiers!$C$6="",0,IF(ISNUMBER(SEARCH(Classifiers!$C$6,E445)),1,0))+IF(Classifiers!$D$6="",0,IF(ISNUMBER(SEARCH(Classifiers!$D$6,E445)),1,0))+IF(Classifiers!$E$6="",0,IF(ISNUMBER(SEARCH(Classifiers!$E$6,E445)),1,0))+IF(Classifiers!$F$6="",0,IF(ISNUMBER(SEARCH(Classifiers!$F$6,E445)),1,0))+IF(Classifiers!$G$6="",0,IF(ISNUMBER(SEARCH(Classifiers!$G$6,E445)),1,0)))&gt;0,1,0))</f>
        <v/>
      </c>
      <c r="L445" s="12">
        <f>IF(H445&lt;&gt;1,0,IF((IF(Classifiers!$B$7="",0,IF(ISNUMBER(SEARCH(Classifiers!$B$7,E445)),1,0))+IF(Classifiers!$C$7="",0,IF(ISNUMBER(SEARCH(Classifiers!$C$7,E445)),1,0))+IF(Classifiers!$D$7="",0,IF(ISNUMBER(SEARCH(Classifiers!$D$7,E445)),1,0))+IF(Classifiers!$E$7="",0,IF(ISNUMBER(SEARCH(Classifiers!$E$7,E445)),1,0))+IF(Classifiers!$F$7="",0,IF(ISNUMBER(SEARCH(Classifiers!$F$7,E445)),1,0))+IF(Classifiers!$G$7="",0,IF(ISNUMBER(SEARCH(Classifiers!$G$7,E445)),1,0)))&gt;0,1,0))</f>
        <v/>
      </c>
      <c r="M445" s="12">
        <f>IF(H445&lt;&gt;1,0,IF((IF(Classifiers!$B$8="",0,IF(ISNUMBER(SEARCH(Classifiers!$B$8,E445)),1,0))+IF(Classifiers!$C$8="",0,IF(ISNUMBER(SEARCH(Classifiers!$C$8,E445)),1,0))+IF(Classifiers!$D$8="",0,IF(ISNUMBER(SEARCH(Classifiers!$D$8,E445)),1,0))+IF(Classifiers!$E$8="",0,IF(ISNUMBER(SEARCH(Classifiers!$E$8,E445)),1,0))+IF(Classifiers!$F$8="",0,IF(ISNUMBER(SEARCH(Classifiers!$F$8,E445)),1,0))+IF(Classifiers!$G$8="",0,IF(ISNUMBER(SEARCH(Classifiers!$G$8,E445)),1,0)))&gt;0,1,0))</f>
        <v/>
      </c>
      <c r="N445" s="12">
        <f>IF(H445&lt;&gt;1,0,IF((IF(Classifiers!$B$9="",0,IF(ISNUMBER(SEARCH(Classifiers!$B$9,E445)),1,0))+IF(Classifiers!$C$9="",0,IF(ISNUMBER(SEARCH(Classifiers!$C$9,E445)),1,0))+IF(Classifiers!$D$9="",0,IF(ISNUMBER(SEARCH(Classifiers!$D$9,E445)),1,0))+IF(Classifiers!$E$9="",0,IF(ISNUMBER(SEARCH(Classifiers!$E$9,E445)),1,0))+IF(Classifiers!$F$9="",0,IF(ISNUMBER(SEARCH(Classifiers!$F$9,E445)),1,0))+IF(Classifiers!$G$9="",0,IF(ISNUMBER(SEARCH(Classifiers!$G$9,E445)),1,0)))&gt;0,1,0))</f>
        <v/>
      </c>
      <c r="O445" s="12">
        <f>IF(H445&lt;&gt;1,0,IF((IF(Classifiers!$B$10="",0,IF(ISNUMBER(SEARCH(Classifiers!$B$10,E445)),1,0))+IF(Classifiers!$C$10="",0,IF(ISNUMBER(SEARCH(Classifiers!$C$10,E445)),1,0))+IF(Classifiers!$D$10="",0,IF(ISNUMBER(SEARCH(Classifiers!$D$10,E445)),1,0))+IF(Classifiers!$E$10="",0,IF(ISNUMBER(SEARCH(Classifiers!$E$10,E445)),1,0))+IF(Classifiers!$F$10="",0,IF(ISNUMBER(SEARCH(Classifiers!$F$10,E445)),1,0))+IF(Classifiers!$G$10="",0,IF(ISNUMBER(SEARCH(Classifiers!$G$10,E445)),1,0)))&gt;0,1,0))</f>
        <v/>
      </c>
      <c r="P445" s="12">
        <f>IF(H445&lt;&gt;1,0,IF((IF(Classifiers!$B$11="",0,IF(ISNUMBER(SEARCH(Classifiers!$B$11,E445)),1,0))+IF(Classifiers!$C$11="",0,IF(ISNUMBER(SEARCH(Classifiers!$C$11,E445)),1,0))+IF(Classifiers!$D$11="",0,IF(ISNUMBER(SEARCH(Classifiers!$D$11,E445)),1,0))+IF(Classifiers!$E$11="",0,IF(ISNUMBER(SEARCH(Classifiers!$E$11,E445)),1,0))+IF(Classifiers!$F$11="",0,IF(ISNUMBER(SEARCH(Classifiers!$F$11,E445)),1,0))+IF(Classifiers!$G$11="",0,IF(ISNUMBER(SEARCH(Classifiers!$G$11,E445)),1,0)))&gt;0,1,0))</f>
        <v/>
      </c>
      <c r="Q445" s="12">
        <f>IF(H445&lt;&gt;1,0,IF((IF(Classifiers!$B$12="",0,IF(ISNUMBER(SEARCH(Classifiers!$B$12,E445)),1,0))+IF(Classifiers!$C$12="",0,IF(ISNUMBER(SEARCH(Classifiers!$C$12,E445)),1,0))+IF(Classifiers!$D$12="",0,IF(ISNUMBER(SEARCH(Classifiers!$D$12,E445)),1,0))+IF(Classifiers!$E$12="",0,IF(ISNUMBER(SEARCH(Classifiers!$E$12,E445)),1,0))+IF(Classifiers!$F$12="",0,IF(ISNUMBER(SEARCH(Classifiers!$F$12,E445)),1,0))+IF(Classifiers!$G$12="",0,IF(ISNUMBER(SEARCH(Classifiers!$G$12,E445)),1,0)))&gt;0,1,0))</f>
        <v/>
      </c>
      <c r="R445" s="12">
        <f>IF(H445&lt;&gt;1,0,IF((IF(Classifiers!$B$13="",0,IF(ISNUMBER(SEARCH(Classifiers!$B$13,E445)),1,0))+IF(Classifiers!$C$13="",0,IF(ISNUMBER(SEARCH(Classifiers!$C$13,E445)),1,0))+IF(Classifiers!$D$13="",0,IF(ISNUMBER(SEARCH(Classifiers!$D$13,E445)),1,0))+IF(Classifiers!$E$13="",0,IF(ISNUMBER(SEARCH(Classifiers!$E$13,E445)),1,0))+IF(Classifiers!$F$13="",0,IF(ISNUMBER(SEARCH(Classifiers!$F$13,E445)),1,0))+IF(Classifiers!$G$13="",0,IF(ISNUMBER(SEARCH(Classifiers!$G$13,E445)),1,0)))&gt;0,1,0))</f>
        <v/>
      </c>
      <c r="S445" s="12">
        <f>IF(H445&lt;&gt;1,0,IF((IF(Classifiers!$B$14="",0,IF(ISNUMBER(SEARCH(Classifiers!$B$14,E445)),1,0))+IF(Classifiers!$C$14="",0,IF(ISNUMBER(SEARCH(Classifiers!$C$14,E445)),1,0))+IF(Classifiers!$D$14="",0,IF(ISNUMBER(SEARCH(Classifiers!$D$14,E445)),1,0))+IF(Classifiers!$E$14="",0,IF(ISNUMBER(SEARCH(Classifiers!$E$14,E445)),1,0))+IF(Classifiers!$F$14="",0,IF(ISNUMBER(SEARCH(Classifiers!$F$14,E445)),1,0))+IF(Classifiers!$G$14="",0,IF(ISNUMBER(SEARCH(Classifiers!$G$14,E445)),1,0)))&gt;0,1,0))</f>
        <v/>
      </c>
      <c r="T445" s="12">
        <f>IF(H445&lt;&gt;1,0,IF((IF(Classifiers!$B$15="",0,IF(ISNUMBER(SEARCH(Classifiers!$B$15,E445)),1,0))+IF(Classifiers!$C$15="",0,IF(ISNUMBER(SEARCH(Classifiers!$C$15,E445)),1,0))+IF(Classifiers!$D$15="",0,IF(ISNUMBER(SEARCH(Classifiers!$D$15,E445)),1,0))+IF(Classifiers!$E$15="",0,IF(ISNUMBER(SEARCH(Classifiers!$E$15,E445)),1,0))+IF(Classifiers!$F$15="",0,IF(ISNUMBER(SEARCH(Classifiers!$F$15,E445)),1,0))+IF(Classifiers!$G$15="",0,IF(ISNUMBER(SEARCH(Classifiers!$G$15,E445)),1,0)))&gt;0,1,0))</f>
        <v/>
      </c>
      <c r="U445" s="12">
        <f>IF(H445&lt;&gt;1,0,IF((IF(Classifiers!$B$16="",0,IF(ISNUMBER(SEARCH(Classifiers!$B$16,E445)),1,0))+IF(Classifiers!$C$16="",0,IF(ISNUMBER(SEARCH(Classifiers!$C$16,E445)),1,0))+IF(Classifiers!$D$16="",0,IF(ISNUMBER(SEARCH(Classifiers!$D$16,E445)),1,0))+IF(Classifiers!$E$16="",0,IF(ISNUMBER(SEARCH(Classifiers!$E$16,E445)),1,0))+IF(Classifiers!$F$16="",0,IF(ISNUMBER(SEARCH(Classifiers!$F$16,E445)),1,0))+IF(Classifiers!$G$16="",0,IF(ISNUMBER(SEARCH(Classifiers!$G$16,E445)),1,0)))&gt;0,1,0))</f>
        <v/>
      </c>
      <c r="V445" s="12">
        <f>IF(H445&lt;&gt;1,0,IF((IF(Classifiers!$B$17="",0,IF(ISNUMBER(SEARCH(Classifiers!$B$17,E445)),1,0))+IF(Classifiers!$C$17="",0,IF(ISNUMBER(SEARCH(Classifiers!$C$17,E445)),1,0))+IF(Classifiers!$D$17="",0,IF(ISNUMBER(SEARCH(Classifiers!$D$17,E445)),1,0))+IF(Classifiers!$E$17="",0,IF(ISNUMBER(SEARCH(Classifiers!$E$17,E445)),1,0))+IF(Classifiers!$F$17="",0,IF(ISNUMBER(SEARCH(Classifiers!$F$17,E445)),1,0))+IF(Classifiers!$G$17="",0,IF(ISNUMBER(SEARCH(Classifiers!$G$17,E445)),1,0)))&gt;0,1,0))</f>
        <v/>
      </c>
      <c r="W445" s="12">
        <f>IF(H445&lt;&gt;1,0,IF((IF(Classifiers!$B$18="",0,IF(ISNUMBER(SEARCH(Classifiers!$B$18,E445)),1,0))+IF(Classifiers!$C$18="",0,IF(ISNUMBER(SEARCH(Classifiers!$C$18,E445)),1,0))+IF(Classifiers!$D$18="",0,IF(ISNUMBER(SEARCH(Classifiers!$D$18,E445)),1,0))+IF(Classifiers!$E$18="",0,IF(ISNUMBER(SEARCH(Classifiers!$E$18,E445)),1,0))+IF(Classifiers!$F$18="",0,IF(ISNUMBER(SEARCH(Classifiers!$F$18,E445)),1,0))+IF(Classifiers!$G$18="",0,IF(ISNUMBER(SEARCH(Classifiers!$G$18,E445)),1,0)))&gt;0,1,0))</f>
        <v/>
      </c>
    </row>
    <row r="446">
      <c r="A446" s="8" t="n"/>
      <c r="B446" s="11" t="n"/>
      <c r="C446" s="6">
        <f>IF(A446="","",TRIM(RIGHT(SUBSTITUTE(A446,"/",REPT(" ",250)),250)))</f>
        <v/>
      </c>
      <c r="D446" s="6">
        <f>IF(C446="","",IF(ISNUMBER(SEARCH(".",C446)),LOWER("."&amp;TRIM(RIGHT(SUBSTITUTE(C446,".",REPT(" ",250)),250))),""))</f>
        <v/>
      </c>
      <c r="E446" s="6">
        <f>IF(C446="","",TRIM(SUBSTITUTE(SUBSTITUTE(SUBSTITUTE(SUBSTITUTE(SUBSTITUTE(SUBSTITUTE(SUBSTITUTE(SUBSTITUTE(SUBSTITUTE(SUBSTITUTE(SUBSTITUTE(SUBSTITUTE(SUBSTITUTE(SUBSTITUTE(SUBSTITUTE(SUBSTITUTE(SUBSTITUTE(SUBSTITUTE(SUBSTITUTE(SUBSTITUTE(LOWER(LEFT(C446,LEN(C446)-LEN(D446))),"_"," "),"-"," "),"."," "),","," "),"("," "),")"," "),"["," "),"]"," "),"&amp;"," "),"+"," "),"@"," "),"#"," "),"!"," "),"'"," "),"/"," "),":"," "),";"," "),"="," "),"~"," "),"%"," ")))</f>
        <v/>
      </c>
      <c r="F446" s="6">
        <f>IF(C446="","",IF(COUNTIF(Classifiers!$A$23:$A$40,D446)&gt;0,1,0))</f>
        <v/>
      </c>
      <c r="G446" s="6">
        <f>IF(C446="","",IF(COUNTIF(Classifiers!$C$23:$C$30,D446)&gt;0,IF((IF(ISNUMBER(SEARCH(Classifiers!$E$23,E446)),1,0)+IF(ISNUMBER(SEARCH(Classifiers!$E$24,E446)),1,0)+IF(ISNUMBER(SEARCH(Classifiers!$E$25,E446)),1,0)+IF(ISNUMBER(SEARCH(Classifiers!$E$26,E446)),1,0)+IF(ISNUMBER(SEARCH(Classifiers!$E$27,E446)),1,0)+IF(ISNUMBER(SEARCH(Classifiers!$E$28,E446)),1,0)+IF(ISNUMBER(SEARCH(Classifiers!$E$29,E446)),1,0)+IF(ISNUMBER(SEARCH(Classifiers!$E$30,E446)),1,0))&gt;0,1,0),0))</f>
        <v/>
      </c>
      <c r="H446" s="6">
        <f>IF(C446="","",IF(OR(LEFT(C446,1)=".",AND(F446=0,G446=0)),0,1))</f>
        <v/>
      </c>
      <c r="I446" s="6">
        <f>IF(H446&lt;&gt;1,"",IF(SUM(J446:W446)=0,"unclassified",INDEX(Classifiers!$A$5:$A$18,MATCH(1,J446:W446,0),1)))</f>
        <v/>
      </c>
      <c r="J446" s="12">
        <f>IF(H446&lt;&gt;1,0,IF((IF(Classifiers!$B$5="",0,IF(ISNUMBER(SEARCH(Classifiers!$B$5,E446)),1,0))+IF(Classifiers!$C$5="",0,IF(ISNUMBER(SEARCH(Classifiers!$C$5,E446)),1,0))+IF(Classifiers!$D$5="",0,IF(ISNUMBER(SEARCH(Classifiers!$D$5,E446)),1,0))+IF(Classifiers!$E$5="",0,IF(ISNUMBER(SEARCH(Classifiers!$E$5,E446)),1,0))+IF(Classifiers!$F$5="",0,IF(ISNUMBER(SEARCH(Classifiers!$F$5,E446)),1,0))+IF(Classifiers!$G$5="",0,IF(ISNUMBER(SEARCH(Classifiers!$G$5,E446)),1,0)))&gt;0,1,0))</f>
        <v/>
      </c>
      <c r="K446" s="12">
        <f>IF(H446&lt;&gt;1,0,IF((IF(Classifiers!$B$6="",0,IF(ISNUMBER(SEARCH(Classifiers!$B$6,E446)),1,0))+IF(Classifiers!$C$6="",0,IF(ISNUMBER(SEARCH(Classifiers!$C$6,E446)),1,0))+IF(Classifiers!$D$6="",0,IF(ISNUMBER(SEARCH(Classifiers!$D$6,E446)),1,0))+IF(Classifiers!$E$6="",0,IF(ISNUMBER(SEARCH(Classifiers!$E$6,E446)),1,0))+IF(Classifiers!$F$6="",0,IF(ISNUMBER(SEARCH(Classifiers!$F$6,E446)),1,0))+IF(Classifiers!$G$6="",0,IF(ISNUMBER(SEARCH(Classifiers!$G$6,E446)),1,0)))&gt;0,1,0))</f>
        <v/>
      </c>
      <c r="L446" s="12">
        <f>IF(H446&lt;&gt;1,0,IF((IF(Classifiers!$B$7="",0,IF(ISNUMBER(SEARCH(Classifiers!$B$7,E446)),1,0))+IF(Classifiers!$C$7="",0,IF(ISNUMBER(SEARCH(Classifiers!$C$7,E446)),1,0))+IF(Classifiers!$D$7="",0,IF(ISNUMBER(SEARCH(Classifiers!$D$7,E446)),1,0))+IF(Classifiers!$E$7="",0,IF(ISNUMBER(SEARCH(Classifiers!$E$7,E446)),1,0))+IF(Classifiers!$F$7="",0,IF(ISNUMBER(SEARCH(Classifiers!$F$7,E446)),1,0))+IF(Classifiers!$G$7="",0,IF(ISNUMBER(SEARCH(Classifiers!$G$7,E446)),1,0)))&gt;0,1,0))</f>
        <v/>
      </c>
      <c r="M446" s="12">
        <f>IF(H446&lt;&gt;1,0,IF((IF(Classifiers!$B$8="",0,IF(ISNUMBER(SEARCH(Classifiers!$B$8,E446)),1,0))+IF(Classifiers!$C$8="",0,IF(ISNUMBER(SEARCH(Classifiers!$C$8,E446)),1,0))+IF(Classifiers!$D$8="",0,IF(ISNUMBER(SEARCH(Classifiers!$D$8,E446)),1,0))+IF(Classifiers!$E$8="",0,IF(ISNUMBER(SEARCH(Classifiers!$E$8,E446)),1,0))+IF(Classifiers!$F$8="",0,IF(ISNUMBER(SEARCH(Classifiers!$F$8,E446)),1,0))+IF(Classifiers!$G$8="",0,IF(ISNUMBER(SEARCH(Classifiers!$G$8,E446)),1,0)))&gt;0,1,0))</f>
        <v/>
      </c>
      <c r="N446" s="12">
        <f>IF(H446&lt;&gt;1,0,IF((IF(Classifiers!$B$9="",0,IF(ISNUMBER(SEARCH(Classifiers!$B$9,E446)),1,0))+IF(Classifiers!$C$9="",0,IF(ISNUMBER(SEARCH(Classifiers!$C$9,E446)),1,0))+IF(Classifiers!$D$9="",0,IF(ISNUMBER(SEARCH(Classifiers!$D$9,E446)),1,0))+IF(Classifiers!$E$9="",0,IF(ISNUMBER(SEARCH(Classifiers!$E$9,E446)),1,0))+IF(Classifiers!$F$9="",0,IF(ISNUMBER(SEARCH(Classifiers!$F$9,E446)),1,0))+IF(Classifiers!$G$9="",0,IF(ISNUMBER(SEARCH(Classifiers!$G$9,E446)),1,0)))&gt;0,1,0))</f>
        <v/>
      </c>
      <c r="O446" s="12">
        <f>IF(H446&lt;&gt;1,0,IF((IF(Classifiers!$B$10="",0,IF(ISNUMBER(SEARCH(Classifiers!$B$10,E446)),1,0))+IF(Classifiers!$C$10="",0,IF(ISNUMBER(SEARCH(Classifiers!$C$10,E446)),1,0))+IF(Classifiers!$D$10="",0,IF(ISNUMBER(SEARCH(Classifiers!$D$10,E446)),1,0))+IF(Classifiers!$E$10="",0,IF(ISNUMBER(SEARCH(Classifiers!$E$10,E446)),1,0))+IF(Classifiers!$F$10="",0,IF(ISNUMBER(SEARCH(Classifiers!$F$10,E446)),1,0))+IF(Classifiers!$G$10="",0,IF(ISNUMBER(SEARCH(Classifiers!$G$10,E446)),1,0)))&gt;0,1,0))</f>
        <v/>
      </c>
      <c r="P446" s="12">
        <f>IF(H446&lt;&gt;1,0,IF((IF(Classifiers!$B$11="",0,IF(ISNUMBER(SEARCH(Classifiers!$B$11,E446)),1,0))+IF(Classifiers!$C$11="",0,IF(ISNUMBER(SEARCH(Classifiers!$C$11,E446)),1,0))+IF(Classifiers!$D$11="",0,IF(ISNUMBER(SEARCH(Classifiers!$D$11,E446)),1,0))+IF(Classifiers!$E$11="",0,IF(ISNUMBER(SEARCH(Classifiers!$E$11,E446)),1,0))+IF(Classifiers!$F$11="",0,IF(ISNUMBER(SEARCH(Classifiers!$F$11,E446)),1,0))+IF(Classifiers!$G$11="",0,IF(ISNUMBER(SEARCH(Classifiers!$G$11,E446)),1,0)))&gt;0,1,0))</f>
        <v/>
      </c>
      <c r="Q446" s="12">
        <f>IF(H446&lt;&gt;1,0,IF((IF(Classifiers!$B$12="",0,IF(ISNUMBER(SEARCH(Classifiers!$B$12,E446)),1,0))+IF(Classifiers!$C$12="",0,IF(ISNUMBER(SEARCH(Classifiers!$C$12,E446)),1,0))+IF(Classifiers!$D$12="",0,IF(ISNUMBER(SEARCH(Classifiers!$D$12,E446)),1,0))+IF(Classifiers!$E$12="",0,IF(ISNUMBER(SEARCH(Classifiers!$E$12,E446)),1,0))+IF(Classifiers!$F$12="",0,IF(ISNUMBER(SEARCH(Classifiers!$F$12,E446)),1,0))+IF(Classifiers!$G$12="",0,IF(ISNUMBER(SEARCH(Classifiers!$G$12,E446)),1,0)))&gt;0,1,0))</f>
        <v/>
      </c>
      <c r="R446" s="12">
        <f>IF(H446&lt;&gt;1,0,IF((IF(Classifiers!$B$13="",0,IF(ISNUMBER(SEARCH(Classifiers!$B$13,E446)),1,0))+IF(Classifiers!$C$13="",0,IF(ISNUMBER(SEARCH(Classifiers!$C$13,E446)),1,0))+IF(Classifiers!$D$13="",0,IF(ISNUMBER(SEARCH(Classifiers!$D$13,E446)),1,0))+IF(Classifiers!$E$13="",0,IF(ISNUMBER(SEARCH(Classifiers!$E$13,E446)),1,0))+IF(Classifiers!$F$13="",0,IF(ISNUMBER(SEARCH(Classifiers!$F$13,E446)),1,0))+IF(Classifiers!$G$13="",0,IF(ISNUMBER(SEARCH(Classifiers!$G$13,E446)),1,0)))&gt;0,1,0))</f>
        <v/>
      </c>
      <c r="S446" s="12">
        <f>IF(H446&lt;&gt;1,0,IF((IF(Classifiers!$B$14="",0,IF(ISNUMBER(SEARCH(Classifiers!$B$14,E446)),1,0))+IF(Classifiers!$C$14="",0,IF(ISNUMBER(SEARCH(Classifiers!$C$14,E446)),1,0))+IF(Classifiers!$D$14="",0,IF(ISNUMBER(SEARCH(Classifiers!$D$14,E446)),1,0))+IF(Classifiers!$E$14="",0,IF(ISNUMBER(SEARCH(Classifiers!$E$14,E446)),1,0))+IF(Classifiers!$F$14="",0,IF(ISNUMBER(SEARCH(Classifiers!$F$14,E446)),1,0))+IF(Classifiers!$G$14="",0,IF(ISNUMBER(SEARCH(Classifiers!$G$14,E446)),1,0)))&gt;0,1,0))</f>
        <v/>
      </c>
      <c r="T446" s="12">
        <f>IF(H446&lt;&gt;1,0,IF((IF(Classifiers!$B$15="",0,IF(ISNUMBER(SEARCH(Classifiers!$B$15,E446)),1,0))+IF(Classifiers!$C$15="",0,IF(ISNUMBER(SEARCH(Classifiers!$C$15,E446)),1,0))+IF(Classifiers!$D$15="",0,IF(ISNUMBER(SEARCH(Classifiers!$D$15,E446)),1,0))+IF(Classifiers!$E$15="",0,IF(ISNUMBER(SEARCH(Classifiers!$E$15,E446)),1,0))+IF(Classifiers!$F$15="",0,IF(ISNUMBER(SEARCH(Classifiers!$F$15,E446)),1,0))+IF(Classifiers!$G$15="",0,IF(ISNUMBER(SEARCH(Classifiers!$G$15,E446)),1,0)))&gt;0,1,0))</f>
        <v/>
      </c>
      <c r="U446" s="12">
        <f>IF(H446&lt;&gt;1,0,IF((IF(Classifiers!$B$16="",0,IF(ISNUMBER(SEARCH(Classifiers!$B$16,E446)),1,0))+IF(Classifiers!$C$16="",0,IF(ISNUMBER(SEARCH(Classifiers!$C$16,E446)),1,0))+IF(Classifiers!$D$16="",0,IF(ISNUMBER(SEARCH(Classifiers!$D$16,E446)),1,0))+IF(Classifiers!$E$16="",0,IF(ISNUMBER(SEARCH(Classifiers!$E$16,E446)),1,0))+IF(Classifiers!$F$16="",0,IF(ISNUMBER(SEARCH(Classifiers!$F$16,E446)),1,0))+IF(Classifiers!$G$16="",0,IF(ISNUMBER(SEARCH(Classifiers!$G$16,E446)),1,0)))&gt;0,1,0))</f>
        <v/>
      </c>
      <c r="V446" s="12">
        <f>IF(H446&lt;&gt;1,0,IF((IF(Classifiers!$B$17="",0,IF(ISNUMBER(SEARCH(Classifiers!$B$17,E446)),1,0))+IF(Classifiers!$C$17="",0,IF(ISNUMBER(SEARCH(Classifiers!$C$17,E446)),1,0))+IF(Classifiers!$D$17="",0,IF(ISNUMBER(SEARCH(Classifiers!$D$17,E446)),1,0))+IF(Classifiers!$E$17="",0,IF(ISNUMBER(SEARCH(Classifiers!$E$17,E446)),1,0))+IF(Classifiers!$F$17="",0,IF(ISNUMBER(SEARCH(Classifiers!$F$17,E446)),1,0))+IF(Classifiers!$G$17="",0,IF(ISNUMBER(SEARCH(Classifiers!$G$17,E446)),1,0)))&gt;0,1,0))</f>
        <v/>
      </c>
      <c r="W446" s="12">
        <f>IF(H446&lt;&gt;1,0,IF((IF(Classifiers!$B$18="",0,IF(ISNUMBER(SEARCH(Classifiers!$B$18,E446)),1,0))+IF(Classifiers!$C$18="",0,IF(ISNUMBER(SEARCH(Classifiers!$C$18,E446)),1,0))+IF(Classifiers!$D$18="",0,IF(ISNUMBER(SEARCH(Classifiers!$D$18,E446)),1,0))+IF(Classifiers!$E$18="",0,IF(ISNUMBER(SEARCH(Classifiers!$E$18,E446)),1,0))+IF(Classifiers!$F$18="",0,IF(ISNUMBER(SEARCH(Classifiers!$F$18,E446)),1,0))+IF(Classifiers!$G$18="",0,IF(ISNUMBER(SEARCH(Classifiers!$G$18,E446)),1,0)))&gt;0,1,0))</f>
        <v/>
      </c>
    </row>
    <row r="447">
      <c r="A447" s="8" t="n"/>
      <c r="B447" s="11" t="n"/>
      <c r="C447" s="6">
        <f>IF(A447="","",TRIM(RIGHT(SUBSTITUTE(A447,"/",REPT(" ",250)),250)))</f>
        <v/>
      </c>
      <c r="D447" s="6">
        <f>IF(C447="","",IF(ISNUMBER(SEARCH(".",C447)),LOWER("."&amp;TRIM(RIGHT(SUBSTITUTE(C447,".",REPT(" ",250)),250))),""))</f>
        <v/>
      </c>
      <c r="E447" s="6">
        <f>IF(C447="","",TRIM(SUBSTITUTE(SUBSTITUTE(SUBSTITUTE(SUBSTITUTE(SUBSTITUTE(SUBSTITUTE(SUBSTITUTE(SUBSTITUTE(SUBSTITUTE(SUBSTITUTE(SUBSTITUTE(SUBSTITUTE(SUBSTITUTE(SUBSTITUTE(SUBSTITUTE(SUBSTITUTE(SUBSTITUTE(SUBSTITUTE(SUBSTITUTE(SUBSTITUTE(LOWER(LEFT(C447,LEN(C447)-LEN(D447))),"_"," "),"-"," "),"."," "),","," "),"("," "),")"," "),"["," "),"]"," "),"&amp;"," "),"+"," "),"@"," "),"#"," "),"!"," "),"'"," "),"/"," "),":"," "),";"," "),"="," "),"~"," "),"%"," ")))</f>
        <v/>
      </c>
      <c r="F447" s="6">
        <f>IF(C447="","",IF(COUNTIF(Classifiers!$A$23:$A$40,D447)&gt;0,1,0))</f>
        <v/>
      </c>
      <c r="G447" s="6">
        <f>IF(C447="","",IF(COUNTIF(Classifiers!$C$23:$C$30,D447)&gt;0,IF((IF(ISNUMBER(SEARCH(Classifiers!$E$23,E447)),1,0)+IF(ISNUMBER(SEARCH(Classifiers!$E$24,E447)),1,0)+IF(ISNUMBER(SEARCH(Classifiers!$E$25,E447)),1,0)+IF(ISNUMBER(SEARCH(Classifiers!$E$26,E447)),1,0)+IF(ISNUMBER(SEARCH(Classifiers!$E$27,E447)),1,0)+IF(ISNUMBER(SEARCH(Classifiers!$E$28,E447)),1,0)+IF(ISNUMBER(SEARCH(Classifiers!$E$29,E447)),1,0)+IF(ISNUMBER(SEARCH(Classifiers!$E$30,E447)),1,0))&gt;0,1,0),0))</f>
        <v/>
      </c>
      <c r="H447" s="6">
        <f>IF(C447="","",IF(OR(LEFT(C447,1)=".",AND(F447=0,G447=0)),0,1))</f>
        <v/>
      </c>
      <c r="I447" s="6">
        <f>IF(H447&lt;&gt;1,"",IF(SUM(J447:W447)=0,"unclassified",INDEX(Classifiers!$A$5:$A$18,MATCH(1,J447:W447,0),1)))</f>
        <v/>
      </c>
      <c r="J447" s="12">
        <f>IF(H447&lt;&gt;1,0,IF((IF(Classifiers!$B$5="",0,IF(ISNUMBER(SEARCH(Classifiers!$B$5,E447)),1,0))+IF(Classifiers!$C$5="",0,IF(ISNUMBER(SEARCH(Classifiers!$C$5,E447)),1,0))+IF(Classifiers!$D$5="",0,IF(ISNUMBER(SEARCH(Classifiers!$D$5,E447)),1,0))+IF(Classifiers!$E$5="",0,IF(ISNUMBER(SEARCH(Classifiers!$E$5,E447)),1,0))+IF(Classifiers!$F$5="",0,IF(ISNUMBER(SEARCH(Classifiers!$F$5,E447)),1,0))+IF(Classifiers!$G$5="",0,IF(ISNUMBER(SEARCH(Classifiers!$G$5,E447)),1,0)))&gt;0,1,0))</f>
        <v/>
      </c>
      <c r="K447" s="12">
        <f>IF(H447&lt;&gt;1,0,IF((IF(Classifiers!$B$6="",0,IF(ISNUMBER(SEARCH(Classifiers!$B$6,E447)),1,0))+IF(Classifiers!$C$6="",0,IF(ISNUMBER(SEARCH(Classifiers!$C$6,E447)),1,0))+IF(Classifiers!$D$6="",0,IF(ISNUMBER(SEARCH(Classifiers!$D$6,E447)),1,0))+IF(Classifiers!$E$6="",0,IF(ISNUMBER(SEARCH(Classifiers!$E$6,E447)),1,0))+IF(Classifiers!$F$6="",0,IF(ISNUMBER(SEARCH(Classifiers!$F$6,E447)),1,0))+IF(Classifiers!$G$6="",0,IF(ISNUMBER(SEARCH(Classifiers!$G$6,E447)),1,0)))&gt;0,1,0))</f>
        <v/>
      </c>
      <c r="L447" s="12">
        <f>IF(H447&lt;&gt;1,0,IF((IF(Classifiers!$B$7="",0,IF(ISNUMBER(SEARCH(Classifiers!$B$7,E447)),1,0))+IF(Classifiers!$C$7="",0,IF(ISNUMBER(SEARCH(Classifiers!$C$7,E447)),1,0))+IF(Classifiers!$D$7="",0,IF(ISNUMBER(SEARCH(Classifiers!$D$7,E447)),1,0))+IF(Classifiers!$E$7="",0,IF(ISNUMBER(SEARCH(Classifiers!$E$7,E447)),1,0))+IF(Classifiers!$F$7="",0,IF(ISNUMBER(SEARCH(Classifiers!$F$7,E447)),1,0))+IF(Classifiers!$G$7="",0,IF(ISNUMBER(SEARCH(Classifiers!$G$7,E447)),1,0)))&gt;0,1,0))</f>
        <v/>
      </c>
      <c r="M447" s="12">
        <f>IF(H447&lt;&gt;1,0,IF((IF(Classifiers!$B$8="",0,IF(ISNUMBER(SEARCH(Classifiers!$B$8,E447)),1,0))+IF(Classifiers!$C$8="",0,IF(ISNUMBER(SEARCH(Classifiers!$C$8,E447)),1,0))+IF(Classifiers!$D$8="",0,IF(ISNUMBER(SEARCH(Classifiers!$D$8,E447)),1,0))+IF(Classifiers!$E$8="",0,IF(ISNUMBER(SEARCH(Classifiers!$E$8,E447)),1,0))+IF(Classifiers!$F$8="",0,IF(ISNUMBER(SEARCH(Classifiers!$F$8,E447)),1,0))+IF(Classifiers!$G$8="",0,IF(ISNUMBER(SEARCH(Classifiers!$G$8,E447)),1,0)))&gt;0,1,0))</f>
        <v/>
      </c>
      <c r="N447" s="12">
        <f>IF(H447&lt;&gt;1,0,IF((IF(Classifiers!$B$9="",0,IF(ISNUMBER(SEARCH(Classifiers!$B$9,E447)),1,0))+IF(Classifiers!$C$9="",0,IF(ISNUMBER(SEARCH(Classifiers!$C$9,E447)),1,0))+IF(Classifiers!$D$9="",0,IF(ISNUMBER(SEARCH(Classifiers!$D$9,E447)),1,0))+IF(Classifiers!$E$9="",0,IF(ISNUMBER(SEARCH(Classifiers!$E$9,E447)),1,0))+IF(Classifiers!$F$9="",0,IF(ISNUMBER(SEARCH(Classifiers!$F$9,E447)),1,0))+IF(Classifiers!$G$9="",0,IF(ISNUMBER(SEARCH(Classifiers!$G$9,E447)),1,0)))&gt;0,1,0))</f>
        <v/>
      </c>
      <c r="O447" s="12">
        <f>IF(H447&lt;&gt;1,0,IF((IF(Classifiers!$B$10="",0,IF(ISNUMBER(SEARCH(Classifiers!$B$10,E447)),1,0))+IF(Classifiers!$C$10="",0,IF(ISNUMBER(SEARCH(Classifiers!$C$10,E447)),1,0))+IF(Classifiers!$D$10="",0,IF(ISNUMBER(SEARCH(Classifiers!$D$10,E447)),1,0))+IF(Classifiers!$E$10="",0,IF(ISNUMBER(SEARCH(Classifiers!$E$10,E447)),1,0))+IF(Classifiers!$F$10="",0,IF(ISNUMBER(SEARCH(Classifiers!$F$10,E447)),1,0))+IF(Classifiers!$G$10="",0,IF(ISNUMBER(SEARCH(Classifiers!$G$10,E447)),1,0)))&gt;0,1,0))</f>
        <v/>
      </c>
      <c r="P447" s="12">
        <f>IF(H447&lt;&gt;1,0,IF((IF(Classifiers!$B$11="",0,IF(ISNUMBER(SEARCH(Classifiers!$B$11,E447)),1,0))+IF(Classifiers!$C$11="",0,IF(ISNUMBER(SEARCH(Classifiers!$C$11,E447)),1,0))+IF(Classifiers!$D$11="",0,IF(ISNUMBER(SEARCH(Classifiers!$D$11,E447)),1,0))+IF(Classifiers!$E$11="",0,IF(ISNUMBER(SEARCH(Classifiers!$E$11,E447)),1,0))+IF(Classifiers!$F$11="",0,IF(ISNUMBER(SEARCH(Classifiers!$F$11,E447)),1,0))+IF(Classifiers!$G$11="",0,IF(ISNUMBER(SEARCH(Classifiers!$G$11,E447)),1,0)))&gt;0,1,0))</f>
        <v/>
      </c>
      <c r="Q447" s="12">
        <f>IF(H447&lt;&gt;1,0,IF((IF(Classifiers!$B$12="",0,IF(ISNUMBER(SEARCH(Classifiers!$B$12,E447)),1,0))+IF(Classifiers!$C$12="",0,IF(ISNUMBER(SEARCH(Classifiers!$C$12,E447)),1,0))+IF(Classifiers!$D$12="",0,IF(ISNUMBER(SEARCH(Classifiers!$D$12,E447)),1,0))+IF(Classifiers!$E$12="",0,IF(ISNUMBER(SEARCH(Classifiers!$E$12,E447)),1,0))+IF(Classifiers!$F$12="",0,IF(ISNUMBER(SEARCH(Classifiers!$F$12,E447)),1,0))+IF(Classifiers!$G$12="",0,IF(ISNUMBER(SEARCH(Classifiers!$G$12,E447)),1,0)))&gt;0,1,0))</f>
        <v/>
      </c>
      <c r="R447" s="12">
        <f>IF(H447&lt;&gt;1,0,IF((IF(Classifiers!$B$13="",0,IF(ISNUMBER(SEARCH(Classifiers!$B$13,E447)),1,0))+IF(Classifiers!$C$13="",0,IF(ISNUMBER(SEARCH(Classifiers!$C$13,E447)),1,0))+IF(Classifiers!$D$13="",0,IF(ISNUMBER(SEARCH(Classifiers!$D$13,E447)),1,0))+IF(Classifiers!$E$13="",0,IF(ISNUMBER(SEARCH(Classifiers!$E$13,E447)),1,0))+IF(Classifiers!$F$13="",0,IF(ISNUMBER(SEARCH(Classifiers!$F$13,E447)),1,0))+IF(Classifiers!$G$13="",0,IF(ISNUMBER(SEARCH(Classifiers!$G$13,E447)),1,0)))&gt;0,1,0))</f>
        <v/>
      </c>
      <c r="S447" s="12">
        <f>IF(H447&lt;&gt;1,0,IF((IF(Classifiers!$B$14="",0,IF(ISNUMBER(SEARCH(Classifiers!$B$14,E447)),1,0))+IF(Classifiers!$C$14="",0,IF(ISNUMBER(SEARCH(Classifiers!$C$14,E447)),1,0))+IF(Classifiers!$D$14="",0,IF(ISNUMBER(SEARCH(Classifiers!$D$14,E447)),1,0))+IF(Classifiers!$E$14="",0,IF(ISNUMBER(SEARCH(Classifiers!$E$14,E447)),1,0))+IF(Classifiers!$F$14="",0,IF(ISNUMBER(SEARCH(Classifiers!$F$14,E447)),1,0))+IF(Classifiers!$G$14="",0,IF(ISNUMBER(SEARCH(Classifiers!$G$14,E447)),1,0)))&gt;0,1,0))</f>
        <v/>
      </c>
      <c r="T447" s="12">
        <f>IF(H447&lt;&gt;1,0,IF((IF(Classifiers!$B$15="",0,IF(ISNUMBER(SEARCH(Classifiers!$B$15,E447)),1,0))+IF(Classifiers!$C$15="",0,IF(ISNUMBER(SEARCH(Classifiers!$C$15,E447)),1,0))+IF(Classifiers!$D$15="",0,IF(ISNUMBER(SEARCH(Classifiers!$D$15,E447)),1,0))+IF(Classifiers!$E$15="",0,IF(ISNUMBER(SEARCH(Classifiers!$E$15,E447)),1,0))+IF(Classifiers!$F$15="",0,IF(ISNUMBER(SEARCH(Classifiers!$F$15,E447)),1,0))+IF(Classifiers!$G$15="",0,IF(ISNUMBER(SEARCH(Classifiers!$G$15,E447)),1,0)))&gt;0,1,0))</f>
        <v/>
      </c>
      <c r="U447" s="12">
        <f>IF(H447&lt;&gt;1,0,IF((IF(Classifiers!$B$16="",0,IF(ISNUMBER(SEARCH(Classifiers!$B$16,E447)),1,0))+IF(Classifiers!$C$16="",0,IF(ISNUMBER(SEARCH(Classifiers!$C$16,E447)),1,0))+IF(Classifiers!$D$16="",0,IF(ISNUMBER(SEARCH(Classifiers!$D$16,E447)),1,0))+IF(Classifiers!$E$16="",0,IF(ISNUMBER(SEARCH(Classifiers!$E$16,E447)),1,0))+IF(Classifiers!$F$16="",0,IF(ISNUMBER(SEARCH(Classifiers!$F$16,E447)),1,0))+IF(Classifiers!$G$16="",0,IF(ISNUMBER(SEARCH(Classifiers!$G$16,E447)),1,0)))&gt;0,1,0))</f>
        <v/>
      </c>
      <c r="V447" s="12">
        <f>IF(H447&lt;&gt;1,0,IF((IF(Classifiers!$B$17="",0,IF(ISNUMBER(SEARCH(Classifiers!$B$17,E447)),1,0))+IF(Classifiers!$C$17="",0,IF(ISNUMBER(SEARCH(Classifiers!$C$17,E447)),1,0))+IF(Classifiers!$D$17="",0,IF(ISNUMBER(SEARCH(Classifiers!$D$17,E447)),1,0))+IF(Classifiers!$E$17="",0,IF(ISNUMBER(SEARCH(Classifiers!$E$17,E447)),1,0))+IF(Classifiers!$F$17="",0,IF(ISNUMBER(SEARCH(Classifiers!$F$17,E447)),1,0))+IF(Classifiers!$G$17="",0,IF(ISNUMBER(SEARCH(Classifiers!$G$17,E447)),1,0)))&gt;0,1,0))</f>
        <v/>
      </c>
      <c r="W447" s="12">
        <f>IF(H447&lt;&gt;1,0,IF((IF(Classifiers!$B$18="",0,IF(ISNUMBER(SEARCH(Classifiers!$B$18,E447)),1,0))+IF(Classifiers!$C$18="",0,IF(ISNUMBER(SEARCH(Classifiers!$C$18,E447)),1,0))+IF(Classifiers!$D$18="",0,IF(ISNUMBER(SEARCH(Classifiers!$D$18,E447)),1,0))+IF(Classifiers!$E$18="",0,IF(ISNUMBER(SEARCH(Classifiers!$E$18,E447)),1,0))+IF(Classifiers!$F$18="",0,IF(ISNUMBER(SEARCH(Classifiers!$F$18,E447)),1,0))+IF(Classifiers!$G$18="",0,IF(ISNUMBER(SEARCH(Classifiers!$G$18,E447)),1,0)))&gt;0,1,0))</f>
        <v/>
      </c>
    </row>
    <row r="448">
      <c r="A448" s="8" t="n"/>
      <c r="B448" s="11" t="n"/>
      <c r="C448" s="6">
        <f>IF(A448="","",TRIM(RIGHT(SUBSTITUTE(A448,"/",REPT(" ",250)),250)))</f>
        <v/>
      </c>
      <c r="D448" s="6">
        <f>IF(C448="","",IF(ISNUMBER(SEARCH(".",C448)),LOWER("."&amp;TRIM(RIGHT(SUBSTITUTE(C448,".",REPT(" ",250)),250))),""))</f>
        <v/>
      </c>
      <c r="E448" s="6">
        <f>IF(C448="","",TRIM(SUBSTITUTE(SUBSTITUTE(SUBSTITUTE(SUBSTITUTE(SUBSTITUTE(SUBSTITUTE(SUBSTITUTE(SUBSTITUTE(SUBSTITUTE(SUBSTITUTE(SUBSTITUTE(SUBSTITUTE(SUBSTITUTE(SUBSTITUTE(SUBSTITUTE(SUBSTITUTE(SUBSTITUTE(SUBSTITUTE(SUBSTITUTE(SUBSTITUTE(LOWER(LEFT(C448,LEN(C448)-LEN(D448))),"_"," "),"-"," "),"."," "),","," "),"("," "),")"," "),"["," "),"]"," "),"&amp;"," "),"+"," "),"@"," "),"#"," "),"!"," "),"'"," "),"/"," "),":"," "),";"," "),"="," "),"~"," "),"%"," ")))</f>
        <v/>
      </c>
      <c r="F448" s="6">
        <f>IF(C448="","",IF(COUNTIF(Classifiers!$A$23:$A$40,D448)&gt;0,1,0))</f>
        <v/>
      </c>
      <c r="G448" s="6">
        <f>IF(C448="","",IF(COUNTIF(Classifiers!$C$23:$C$30,D448)&gt;0,IF((IF(ISNUMBER(SEARCH(Classifiers!$E$23,E448)),1,0)+IF(ISNUMBER(SEARCH(Classifiers!$E$24,E448)),1,0)+IF(ISNUMBER(SEARCH(Classifiers!$E$25,E448)),1,0)+IF(ISNUMBER(SEARCH(Classifiers!$E$26,E448)),1,0)+IF(ISNUMBER(SEARCH(Classifiers!$E$27,E448)),1,0)+IF(ISNUMBER(SEARCH(Classifiers!$E$28,E448)),1,0)+IF(ISNUMBER(SEARCH(Classifiers!$E$29,E448)),1,0)+IF(ISNUMBER(SEARCH(Classifiers!$E$30,E448)),1,0))&gt;0,1,0),0))</f>
        <v/>
      </c>
      <c r="H448" s="6">
        <f>IF(C448="","",IF(OR(LEFT(C448,1)=".",AND(F448=0,G448=0)),0,1))</f>
        <v/>
      </c>
      <c r="I448" s="6">
        <f>IF(H448&lt;&gt;1,"",IF(SUM(J448:W448)=0,"unclassified",INDEX(Classifiers!$A$5:$A$18,MATCH(1,J448:W448,0),1)))</f>
        <v/>
      </c>
      <c r="J448" s="12">
        <f>IF(H448&lt;&gt;1,0,IF((IF(Classifiers!$B$5="",0,IF(ISNUMBER(SEARCH(Classifiers!$B$5,E448)),1,0))+IF(Classifiers!$C$5="",0,IF(ISNUMBER(SEARCH(Classifiers!$C$5,E448)),1,0))+IF(Classifiers!$D$5="",0,IF(ISNUMBER(SEARCH(Classifiers!$D$5,E448)),1,0))+IF(Classifiers!$E$5="",0,IF(ISNUMBER(SEARCH(Classifiers!$E$5,E448)),1,0))+IF(Classifiers!$F$5="",0,IF(ISNUMBER(SEARCH(Classifiers!$F$5,E448)),1,0))+IF(Classifiers!$G$5="",0,IF(ISNUMBER(SEARCH(Classifiers!$G$5,E448)),1,0)))&gt;0,1,0))</f>
        <v/>
      </c>
      <c r="K448" s="12">
        <f>IF(H448&lt;&gt;1,0,IF((IF(Classifiers!$B$6="",0,IF(ISNUMBER(SEARCH(Classifiers!$B$6,E448)),1,0))+IF(Classifiers!$C$6="",0,IF(ISNUMBER(SEARCH(Classifiers!$C$6,E448)),1,0))+IF(Classifiers!$D$6="",0,IF(ISNUMBER(SEARCH(Classifiers!$D$6,E448)),1,0))+IF(Classifiers!$E$6="",0,IF(ISNUMBER(SEARCH(Classifiers!$E$6,E448)),1,0))+IF(Classifiers!$F$6="",0,IF(ISNUMBER(SEARCH(Classifiers!$F$6,E448)),1,0))+IF(Classifiers!$G$6="",0,IF(ISNUMBER(SEARCH(Classifiers!$G$6,E448)),1,0)))&gt;0,1,0))</f>
        <v/>
      </c>
      <c r="L448" s="12">
        <f>IF(H448&lt;&gt;1,0,IF((IF(Classifiers!$B$7="",0,IF(ISNUMBER(SEARCH(Classifiers!$B$7,E448)),1,0))+IF(Classifiers!$C$7="",0,IF(ISNUMBER(SEARCH(Classifiers!$C$7,E448)),1,0))+IF(Classifiers!$D$7="",0,IF(ISNUMBER(SEARCH(Classifiers!$D$7,E448)),1,0))+IF(Classifiers!$E$7="",0,IF(ISNUMBER(SEARCH(Classifiers!$E$7,E448)),1,0))+IF(Classifiers!$F$7="",0,IF(ISNUMBER(SEARCH(Classifiers!$F$7,E448)),1,0))+IF(Classifiers!$G$7="",0,IF(ISNUMBER(SEARCH(Classifiers!$G$7,E448)),1,0)))&gt;0,1,0))</f>
        <v/>
      </c>
      <c r="M448" s="12">
        <f>IF(H448&lt;&gt;1,0,IF((IF(Classifiers!$B$8="",0,IF(ISNUMBER(SEARCH(Classifiers!$B$8,E448)),1,0))+IF(Classifiers!$C$8="",0,IF(ISNUMBER(SEARCH(Classifiers!$C$8,E448)),1,0))+IF(Classifiers!$D$8="",0,IF(ISNUMBER(SEARCH(Classifiers!$D$8,E448)),1,0))+IF(Classifiers!$E$8="",0,IF(ISNUMBER(SEARCH(Classifiers!$E$8,E448)),1,0))+IF(Classifiers!$F$8="",0,IF(ISNUMBER(SEARCH(Classifiers!$F$8,E448)),1,0))+IF(Classifiers!$G$8="",0,IF(ISNUMBER(SEARCH(Classifiers!$G$8,E448)),1,0)))&gt;0,1,0))</f>
        <v/>
      </c>
      <c r="N448" s="12">
        <f>IF(H448&lt;&gt;1,0,IF((IF(Classifiers!$B$9="",0,IF(ISNUMBER(SEARCH(Classifiers!$B$9,E448)),1,0))+IF(Classifiers!$C$9="",0,IF(ISNUMBER(SEARCH(Classifiers!$C$9,E448)),1,0))+IF(Classifiers!$D$9="",0,IF(ISNUMBER(SEARCH(Classifiers!$D$9,E448)),1,0))+IF(Classifiers!$E$9="",0,IF(ISNUMBER(SEARCH(Classifiers!$E$9,E448)),1,0))+IF(Classifiers!$F$9="",0,IF(ISNUMBER(SEARCH(Classifiers!$F$9,E448)),1,0))+IF(Classifiers!$G$9="",0,IF(ISNUMBER(SEARCH(Classifiers!$G$9,E448)),1,0)))&gt;0,1,0))</f>
        <v/>
      </c>
      <c r="O448" s="12">
        <f>IF(H448&lt;&gt;1,0,IF((IF(Classifiers!$B$10="",0,IF(ISNUMBER(SEARCH(Classifiers!$B$10,E448)),1,0))+IF(Classifiers!$C$10="",0,IF(ISNUMBER(SEARCH(Classifiers!$C$10,E448)),1,0))+IF(Classifiers!$D$10="",0,IF(ISNUMBER(SEARCH(Classifiers!$D$10,E448)),1,0))+IF(Classifiers!$E$10="",0,IF(ISNUMBER(SEARCH(Classifiers!$E$10,E448)),1,0))+IF(Classifiers!$F$10="",0,IF(ISNUMBER(SEARCH(Classifiers!$F$10,E448)),1,0))+IF(Classifiers!$G$10="",0,IF(ISNUMBER(SEARCH(Classifiers!$G$10,E448)),1,0)))&gt;0,1,0))</f>
        <v/>
      </c>
      <c r="P448" s="12">
        <f>IF(H448&lt;&gt;1,0,IF((IF(Classifiers!$B$11="",0,IF(ISNUMBER(SEARCH(Classifiers!$B$11,E448)),1,0))+IF(Classifiers!$C$11="",0,IF(ISNUMBER(SEARCH(Classifiers!$C$11,E448)),1,0))+IF(Classifiers!$D$11="",0,IF(ISNUMBER(SEARCH(Classifiers!$D$11,E448)),1,0))+IF(Classifiers!$E$11="",0,IF(ISNUMBER(SEARCH(Classifiers!$E$11,E448)),1,0))+IF(Classifiers!$F$11="",0,IF(ISNUMBER(SEARCH(Classifiers!$F$11,E448)),1,0))+IF(Classifiers!$G$11="",0,IF(ISNUMBER(SEARCH(Classifiers!$G$11,E448)),1,0)))&gt;0,1,0))</f>
        <v/>
      </c>
      <c r="Q448" s="12">
        <f>IF(H448&lt;&gt;1,0,IF((IF(Classifiers!$B$12="",0,IF(ISNUMBER(SEARCH(Classifiers!$B$12,E448)),1,0))+IF(Classifiers!$C$12="",0,IF(ISNUMBER(SEARCH(Classifiers!$C$12,E448)),1,0))+IF(Classifiers!$D$12="",0,IF(ISNUMBER(SEARCH(Classifiers!$D$12,E448)),1,0))+IF(Classifiers!$E$12="",0,IF(ISNUMBER(SEARCH(Classifiers!$E$12,E448)),1,0))+IF(Classifiers!$F$12="",0,IF(ISNUMBER(SEARCH(Classifiers!$F$12,E448)),1,0))+IF(Classifiers!$G$12="",0,IF(ISNUMBER(SEARCH(Classifiers!$G$12,E448)),1,0)))&gt;0,1,0))</f>
        <v/>
      </c>
      <c r="R448" s="12">
        <f>IF(H448&lt;&gt;1,0,IF((IF(Classifiers!$B$13="",0,IF(ISNUMBER(SEARCH(Classifiers!$B$13,E448)),1,0))+IF(Classifiers!$C$13="",0,IF(ISNUMBER(SEARCH(Classifiers!$C$13,E448)),1,0))+IF(Classifiers!$D$13="",0,IF(ISNUMBER(SEARCH(Classifiers!$D$13,E448)),1,0))+IF(Classifiers!$E$13="",0,IF(ISNUMBER(SEARCH(Classifiers!$E$13,E448)),1,0))+IF(Classifiers!$F$13="",0,IF(ISNUMBER(SEARCH(Classifiers!$F$13,E448)),1,0))+IF(Classifiers!$G$13="",0,IF(ISNUMBER(SEARCH(Classifiers!$G$13,E448)),1,0)))&gt;0,1,0))</f>
        <v/>
      </c>
      <c r="S448" s="12">
        <f>IF(H448&lt;&gt;1,0,IF((IF(Classifiers!$B$14="",0,IF(ISNUMBER(SEARCH(Classifiers!$B$14,E448)),1,0))+IF(Classifiers!$C$14="",0,IF(ISNUMBER(SEARCH(Classifiers!$C$14,E448)),1,0))+IF(Classifiers!$D$14="",0,IF(ISNUMBER(SEARCH(Classifiers!$D$14,E448)),1,0))+IF(Classifiers!$E$14="",0,IF(ISNUMBER(SEARCH(Classifiers!$E$14,E448)),1,0))+IF(Classifiers!$F$14="",0,IF(ISNUMBER(SEARCH(Classifiers!$F$14,E448)),1,0))+IF(Classifiers!$G$14="",0,IF(ISNUMBER(SEARCH(Classifiers!$G$14,E448)),1,0)))&gt;0,1,0))</f>
        <v/>
      </c>
      <c r="T448" s="12">
        <f>IF(H448&lt;&gt;1,0,IF((IF(Classifiers!$B$15="",0,IF(ISNUMBER(SEARCH(Classifiers!$B$15,E448)),1,0))+IF(Classifiers!$C$15="",0,IF(ISNUMBER(SEARCH(Classifiers!$C$15,E448)),1,0))+IF(Classifiers!$D$15="",0,IF(ISNUMBER(SEARCH(Classifiers!$D$15,E448)),1,0))+IF(Classifiers!$E$15="",0,IF(ISNUMBER(SEARCH(Classifiers!$E$15,E448)),1,0))+IF(Classifiers!$F$15="",0,IF(ISNUMBER(SEARCH(Classifiers!$F$15,E448)),1,0))+IF(Classifiers!$G$15="",0,IF(ISNUMBER(SEARCH(Classifiers!$G$15,E448)),1,0)))&gt;0,1,0))</f>
        <v/>
      </c>
      <c r="U448" s="12">
        <f>IF(H448&lt;&gt;1,0,IF((IF(Classifiers!$B$16="",0,IF(ISNUMBER(SEARCH(Classifiers!$B$16,E448)),1,0))+IF(Classifiers!$C$16="",0,IF(ISNUMBER(SEARCH(Classifiers!$C$16,E448)),1,0))+IF(Classifiers!$D$16="",0,IF(ISNUMBER(SEARCH(Classifiers!$D$16,E448)),1,0))+IF(Classifiers!$E$16="",0,IF(ISNUMBER(SEARCH(Classifiers!$E$16,E448)),1,0))+IF(Classifiers!$F$16="",0,IF(ISNUMBER(SEARCH(Classifiers!$F$16,E448)),1,0))+IF(Classifiers!$G$16="",0,IF(ISNUMBER(SEARCH(Classifiers!$G$16,E448)),1,0)))&gt;0,1,0))</f>
        <v/>
      </c>
      <c r="V448" s="12">
        <f>IF(H448&lt;&gt;1,0,IF((IF(Classifiers!$B$17="",0,IF(ISNUMBER(SEARCH(Classifiers!$B$17,E448)),1,0))+IF(Classifiers!$C$17="",0,IF(ISNUMBER(SEARCH(Classifiers!$C$17,E448)),1,0))+IF(Classifiers!$D$17="",0,IF(ISNUMBER(SEARCH(Classifiers!$D$17,E448)),1,0))+IF(Classifiers!$E$17="",0,IF(ISNUMBER(SEARCH(Classifiers!$E$17,E448)),1,0))+IF(Classifiers!$F$17="",0,IF(ISNUMBER(SEARCH(Classifiers!$F$17,E448)),1,0))+IF(Classifiers!$G$17="",0,IF(ISNUMBER(SEARCH(Classifiers!$G$17,E448)),1,0)))&gt;0,1,0))</f>
        <v/>
      </c>
      <c r="W448" s="12">
        <f>IF(H448&lt;&gt;1,0,IF((IF(Classifiers!$B$18="",0,IF(ISNUMBER(SEARCH(Classifiers!$B$18,E448)),1,0))+IF(Classifiers!$C$18="",0,IF(ISNUMBER(SEARCH(Classifiers!$C$18,E448)),1,0))+IF(Classifiers!$D$18="",0,IF(ISNUMBER(SEARCH(Classifiers!$D$18,E448)),1,0))+IF(Classifiers!$E$18="",0,IF(ISNUMBER(SEARCH(Classifiers!$E$18,E448)),1,0))+IF(Classifiers!$F$18="",0,IF(ISNUMBER(SEARCH(Classifiers!$F$18,E448)),1,0))+IF(Classifiers!$G$18="",0,IF(ISNUMBER(SEARCH(Classifiers!$G$18,E448)),1,0)))&gt;0,1,0))</f>
        <v/>
      </c>
    </row>
    <row r="449">
      <c r="A449" s="8" t="n"/>
      <c r="B449" s="11" t="n"/>
      <c r="C449" s="6">
        <f>IF(A449="","",TRIM(RIGHT(SUBSTITUTE(A449,"/",REPT(" ",250)),250)))</f>
        <v/>
      </c>
      <c r="D449" s="6">
        <f>IF(C449="","",IF(ISNUMBER(SEARCH(".",C449)),LOWER("."&amp;TRIM(RIGHT(SUBSTITUTE(C449,".",REPT(" ",250)),250))),""))</f>
        <v/>
      </c>
      <c r="E449" s="6">
        <f>IF(C449="","",TRIM(SUBSTITUTE(SUBSTITUTE(SUBSTITUTE(SUBSTITUTE(SUBSTITUTE(SUBSTITUTE(SUBSTITUTE(SUBSTITUTE(SUBSTITUTE(SUBSTITUTE(SUBSTITUTE(SUBSTITUTE(SUBSTITUTE(SUBSTITUTE(SUBSTITUTE(SUBSTITUTE(SUBSTITUTE(SUBSTITUTE(SUBSTITUTE(SUBSTITUTE(LOWER(LEFT(C449,LEN(C449)-LEN(D449))),"_"," "),"-"," "),"."," "),","," "),"("," "),")"," "),"["," "),"]"," "),"&amp;"," "),"+"," "),"@"," "),"#"," "),"!"," "),"'"," "),"/"," "),":"," "),";"," "),"="," "),"~"," "),"%"," ")))</f>
        <v/>
      </c>
      <c r="F449" s="6">
        <f>IF(C449="","",IF(COUNTIF(Classifiers!$A$23:$A$40,D449)&gt;0,1,0))</f>
        <v/>
      </c>
      <c r="G449" s="6">
        <f>IF(C449="","",IF(COUNTIF(Classifiers!$C$23:$C$30,D449)&gt;0,IF((IF(ISNUMBER(SEARCH(Classifiers!$E$23,E449)),1,0)+IF(ISNUMBER(SEARCH(Classifiers!$E$24,E449)),1,0)+IF(ISNUMBER(SEARCH(Classifiers!$E$25,E449)),1,0)+IF(ISNUMBER(SEARCH(Classifiers!$E$26,E449)),1,0)+IF(ISNUMBER(SEARCH(Classifiers!$E$27,E449)),1,0)+IF(ISNUMBER(SEARCH(Classifiers!$E$28,E449)),1,0)+IF(ISNUMBER(SEARCH(Classifiers!$E$29,E449)),1,0)+IF(ISNUMBER(SEARCH(Classifiers!$E$30,E449)),1,0))&gt;0,1,0),0))</f>
        <v/>
      </c>
      <c r="H449" s="6">
        <f>IF(C449="","",IF(OR(LEFT(C449,1)=".",AND(F449=0,G449=0)),0,1))</f>
        <v/>
      </c>
      <c r="I449" s="6">
        <f>IF(H449&lt;&gt;1,"",IF(SUM(J449:W449)=0,"unclassified",INDEX(Classifiers!$A$5:$A$18,MATCH(1,J449:W449,0),1)))</f>
        <v/>
      </c>
      <c r="J449" s="12">
        <f>IF(H449&lt;&gt;1,0,IF((IF(Classifiers!$B$5="",0,IF(ISNUMBER(SEARCH(Classifiers!$B$5,E449)),1,0))+IF(Classifiers!$C$5="",0,IF(ISNUMBER(SEARCH(Classifiers!$C$5,E449)),1,0))+IF(Classifiers!$D$5="",0,IF(ISNUMBER(SEARCH(Classifiers!$D$5,E449)),1,0))+IF(Classifiers!$E$5="",0,IF(ISNUMBER(SEARCH(Classifiers!$E$5,E449)),1,0))+IF(Classifiers!$F$5="",0,IF(ISNUMBER(SEARCH(Classifiers!$F$5,E449)),1,0))+IF(Classifiers!$G$5="",0,IF(ISNUMBER(SEARCH(Classifiers!$G$5,E449)),1,0)))&gt;0,1,0))</f>
        <v/>
      </c>
      <c r="K449" s="12">
        <f>IF(H449&lt;&gt;1,0,IF((IF(Classifiers!$B$6="",0,IF(ISNUMBER(SEARCH(Classifiers!$B$6,E449)),1,0))+IF(Classifiers!$C$6="",0,IF(ISNUMBER(SEARCH(Classifiers!$C$6,E449)),1,0))+IF(Classifiers!$D$6="",0,IF(ISNUMBER(SEARCH(Classifiers!$D$6,E449)),1,0))+IF(Classifiers!$E$6="",0,IF(ISNUMBER(SEARCH(Classifiers!$E$6,E449)),1,0))+IF(Classifiers!$F$6="",0,IF(ISNUMBER(SEARCH(Classifiers!$F$6,E449)),1,0))+IF(Classifiers!$G$6="",0,IF(ISNUMBER(SEARCH(Classifiers!$G$6,E449)),1,0)))&gt;0,1,0))</f>
        <v/>
      </c>
      <c r="L449" s="12">
        <f>IF(H449&lt;&gt;1,0,IF((IF(Classifiers!$B$7="",0,IF(ISNUMBER(SEARCH(Classifiers!$B$7,E449)),1,0))+IF(Classifiers!$C$7="",0,IF(ISNUMBER(SEARCH(Classifiers!$C$7,E449)),1,0))+IF(Classifiers!$D$7="",0,IF(ISNUMBER(SEARCH(Classifiers!$D$7,E449)),1,0))+IF(Classifiers!$E$7="",0,IF(ISNUMBER(SEARCH(Classifiers!$E$7,E449)),1,0))+IF(Classifiers!$F$7="",0,IF(ISNUMBER(SEARCH(Classifiers!$F$7,E449)),1,0))+IF(Classifiers!$G$7="",0,IF(ISNUMBER(SEARCH(Classifiers!$G$7,E449)),1,0)))&gt;0,1,0))</f>
        <v/>
      </c>
      <c r="M449" s="12">
        <f>IF(H449&lt;&gt;1,0,IF((IF(Classifiers!$B$8="",0,IF(ISNUMBER(SEARCH(Classifiers!$B$8,E449)),1,0))+IF(Classifiers!$C$8="",0,IF(ISNUMBER(SEARCH(Classifiers!$C$8,E449)),1,0))+IF(Classifiers!$D$8="",0,IF(ISNUMBER(SEARCH(Classifiers!$D$8,E449)),1,0))+IF(Classifiers!$E$8="",0,IF(ISNUMBER(SEARCH(Classifiers!$E$8,E449)),1,0))+IF(Classifiers!$F$8="",0,IF(ISNUMBER(SEARCH(Classifiers!$F$8,E449)),1,0))+IF(Classifiers!$G$8="",0,IF(ISNUMBER(SEARCH(Classifiers!$G$8,E449)),1,0)))&gt;0,1,0))</f>
        <v/>
      </c>
      <c r="N449" s="12">
        <f>IF(H449&lt;&gt;1,0,IF((IF(Classifiers!$B$9="",0,IF(ISNUMBER(SEARCH(Classifiers!$B$9,E449)),1,0))+IF(Classifiers!$C$9="",0,IF(ISNUMBER(SEARCH(Classifiers!$C$9,E449)),1,0))+IF(Classifiers!$D$9="",0,IF(ISNUMBER(SEARCH(Classifiers!$D$9,E449)),1,0))+IF(Classifiers!$E$9="",0,IF(ISNUMBER(SEARCH(Classifiers!$E$9,E449)),1,0))+IF(Classifiers!$F$9="",0,IF(ISNUMBER(SEARCH(Classifiers!$F$9,E449)),1,0))+IF(Classifiers!$G$9="",0,IF(ISNUMBER(SEARCH(Classifiers!$G$9,E449)),1,0)))&gt;0,1,0))</f>
        <v/>
      </c>
      <c r="O449" s="12">
        <f>IF(H449&lt;&gt;1,0,IF((IF(Classifiers!$B$10="",0,IF(ISNUMBER(SEARCH(Classifiers!$B$10,E449)),1,0))+IF(Classifiers!$C$10="",0,IF(ISNUMBER(SEARCH(Classifiers!$C$10,E449)),1,0))+IF(Classifiers!$D$10="",0,IF(ISNUMBER(SEARCH(Classifiers!$D$10,E449)),1,0))+IF(Classifiers!$E$10="",0,IF(ISNUMBER(SEARCH(Classifiers!$E$10,E449)),1,0))+IF(Classifiers!$F$10="",0,IF(ISNUMBER(SEARCH(Classifiers!$F$10,E449)),1,0))+IF(Classifiers!$G$10="",0,IF(ISNUMBER(SEARCH(Classifiers!$G$10,E449)),1,0)))&gt;0,1,0))</f>
        <v/>
      </c>
      <c r="P449" s="12">
        <f>IF(H449&lt;&gt;1,0,IF((IF(Classifiers!$B$11="",0,IF(ISNUMBER(SEARCH(Classifiers!$B$11,E449)),1,0))+IF(Classifiers!$C$11="",0,IF(ISNUMBER(SEARCH(Classifiers!$C$11,E449)),1,0))+IF(Classifiers!$D$11="",0,IF(ISNUMBER(SEARCH(Classifiers!$D$11,E449)),1,0))+IF(Classifiers!$E$11="",0,IF(ISNUMBER(SEARCH(Classifiers!$E$11,E449)),1,0))+IF(Classifiers!$F$11="",0,IF(ISNUMBER(SEARCH(Classifiers!$F$11,E449)),1,0))+IF(Classifiers!$G$11="",0,IF(ISNUMBER(SEARCH(Classifiers!$G$11,E449)),1,0)))&gt;0,1,0))</f>
        <v/>
      </c>
      <c r="Q449" s="12">
        <f>IF(H449&lt;&gt;1,0,IF((IF(Classifiers!$B$12="",0,IF(ISNUMBER(SEARCH(Classifiers!$B$12,E449)),1,0))+IF(Classifiers!$C$12="",0,IF(ISNUMBER(SEARCH(Classifiers!$C$12,E449)),1,0))+IF(Classifiers!$D$12="",0,IF(ISNUMBER(SEARCH(Classifiers!$D$12,E449)),1,0))+IF(Classifiers!$E$12="",0,IF(ISNUMBER(SEARCH(Classifiers!$E$12,E449)),1,0))+IF(Classifiers!$F$12="",0,IF(ISNUMBER(SEARCH(Classifiers!$F$12,E449)),1,0))+IF(Classifiers!$G$12="",0,IF(ISNUMBER(SEARCH(Classifiers!$G$12,E449)),1,0)))&gt;0,1,0))</f>
        <v/>
      </c>
      <c r="R449" s="12">
        <f>IF(H449&lt;&gt;1,0,IF((IF(Classifiers!$B$13="",0,IF(ISNUMBER(SEARCH(Classifiers!$B$13,E449)),1,0))+IF(Classifiers!$C$13="",0,IF(ISNUMBER(SEARCH(Classifiers!$C$13,E449)),1,0))+IF(Classifiers!$D$13="",0,IF(ISNUMBER(SEARCH(Classifiers!$D$13,E449)),1,0))+IF(Classifiers!$E$13="",0,IF(ISNUMBER(SEARCH(Classifiers!$E$13,E449)),1,0))+IF(Classifiers!$F$13="",0,IF(ISNUMBER(SEARCH(Classifiers!$F$13,E449)),1,0))+IF(Classifiers!$G$13="",0,IF(ISNUMBER(SEARCH(Classifiers!$G$13,E449)),1,0)))&gt;0,1,0))</f>
        <v/>
      </c>
      <c r="S449" s="12">
        <f>IF(H449&lt;&gt;1,0,IF((IF(Classifiers!$B$14="",0,IF(ISNUMBER(SEARCH(Classifiers!$B$14,E449)),1,0))+IF(Classifiers!$C$14="",0,IF(ISNUMBER(SEARCH(Classifiers!$C$14,E449)),1,0))+IF(Classifiers!$D$14="",0,IF(ISNUMBER(SEARCH(Classifiers!$D$14,E449)),1,0))+IF(Classifiers!$E$14="",0,IF(ISNUMBER(SEARCH(Classifiers!$E$14,E449)),1,0))+IF(Classifiers!$F$14="",0,IF(ISNUMBER(SEARCH(Classifiers!$F$14,E449)),1,0))+IF(Classifiers!$G$14="",0,IF(ISNUMBER(SEARCH(Classifiers!$G$14,E449)),1,0)))&gt;0,1,0))</f>
        <v/>
      </c>
      <c r="T449" s="12">
        <f>IF(H449&lt;&gt;1,0,IF((IF(Classifiers!$B$15="",0,IF(ISNUMBER(SEARCH(Classifiers!$B$15,E449)),1,0))+IF(Classifiers!$C$15="",0,IF(ISNUMBER(SEARCH(Classifiers!$C$15,E449)),1,0))+IF(Classifiers!$D$15="",0,IF(ISNUMBER(SEARCH(Classifiers!$D$15,E449)),1,0))+IF(Classifiers!$E$15="",0,IF(ISNUMBER(SEARCH(Classifiers!$E$15,E449)),1,0))+IF(Classifiers!$F$15="",0,IF(ISNUMBER(SEARCH(Classifiers!$F$15,E449)),1,0))+IF(Classifiers!$G$15="",0,IF(ISNUMBER(SEARCH(Classifiers!$G$15,E449)),1,0)))&gt;0,1,0))</f>
        <v/>
      </c>
      <c r="U449" s="12">
        <f>IF(H449&lt;&gt;1,0,IF((IF(Classifiers!$B$16="",0,IF(ISNUMBER(SEARCH(Classifiers!$B$16,E449)),1,0))+IF(Classifiers!$C$16="",0,IF(ISNUMBER(SEARCH(Classifiers!$C$16,E449)),1,0))+IF(Classifiers!$D$16="",0,IF(ISNUMBER(SEARCH(Classifiers!$D$16,E449)),1,0))+IF(Classifiers!$E$16="",0,IF(ISNUMBER(SEARCH(Classifiers!$E$16,E449)),1,0))+IF(Classifiers!$F$16="",0,IF(ISNUMBER(SEARCH(Classifiers!$F$16,E449)),1,0))+IF(Classifiers!$G$16="",0,IF(ISNUMBER(SEARCH(Classifiers!$G$16,E449)),1,0)))&gt;0,1,0))</f>
        <v/>
      </c>
      <c r="V449" s="12">
        <f>IF(H449&lt;&gt;1,0,IF((IF(Classifiers!$B$17="",0,IF(ISNUMBER(SEARCH(Classifiers!$B$17,E449)),1,0))+IF(Classifiers!$C$17="",0,IF(ISNUMBER(SEARCH(Classifiers!$C$17,E449)),1,0))+IF(Classifiers!$D$17="",0,IF(ISNUMBER(SEARCH(Classifiers!$D$17,E449)),1,0))+IF(Classifiers!$E$17="",0,IF(ISNUMBER(SEARCH(Classifiers!$E$17,E449)),1,0))+IF(Classifiers!$F$17="",0,IF(ISNUMBER(SEARCH(Classifiers!$F$17,E449)),1,0))+IF(Classifiers!$G$17="",0,IF(ISNUMBER(SEARCH(Classifiers!$G$17,E449)),1,0)))&gt;0,1,0))</f>
        <v/>
      </c>
      <c r="W449" s="12">
        <f>IF(H449&lt;&gt;1,0,IF((IF(Classifiers!$B$18="",0,IF(ISNUMBER(SEARCH(Classifiers!$B$18,E449)),1,0))+IF(Classifiers!$C$18="",0,IF(ISNUMBER(SEARCH(Classifiers!$C$18,E449)),1,0))+IF(Classifiers!$D$18="",0,IF(ISNUMBER(SEARCH(Classifiers!$D$18,E449)),1,0))+IF(Classifiers!$E$18="",0,IF(ISNUMBER(SEARCH(Classifiers!$E$18,E449)),1,0))+IF(Classifiers!$F$18="",0,IF(ISNUMBER(SEARCH(Classifiers!$F$18,E449)),1,0))+IF(Classifiers!$G$18="",0,IF(ISNUMBER(SEARCH(Classifiers!$G$18,E449)),1,0)))&gt;0,1,0))</f>
        <v/>
      </c>
    </row>
    <row r="450">
      <c r="A450" s="8" t="n"/>
      <c r="B450" s="11" t="n"/>
      <c r="C450" s="6">
        <f>IF(A450="","",TRIM(RIGHT(SUBSTITUTE(A450,"/",REPT(" ",250)),250)))</f>
        <v/>
      </c>
      <c r="D450" s="6">
        <f>IF(C450="","",IF(ISNUMBER(SEARCH(".",C450)),LOWER("."&amp;TRIM(RIGHT(SUBSTITUTE(C450,".",REPT(" ",250)),250))),""))</f>
        <v/>
      </c>
      <c r="E450" s="6">
        <f>IF(C450="","",TRIM(SUBSTITUTE(SUBSTITUTE(SUBSTITUTE(SUBSTITUTE(SUBSTITUTE(SUBSTITUTE(SUBSTITUTE(SUBSTITUTE(SUBSTITUTE(SUBSTITUTE(SUBSTITUTE(SUBSTITUTE(SUBSTITUTE(SUBSTITUTE(SUBSTITUTE(SUBSTITUTE(SUBSTITUTE(SUBSTITUTE(SUBSTITUTE(SUBSTITUTE(LOWER(LEFT(C450,LEN(C450)-LEN(D450))),"_"," "),"-"," "),"."," "),","," "),"("," "),")"," "),"["," "),"]"," "),"&amp;"," "),"+"," "),"@"," "),"#"," "),"!"," "),"'"," "),"/"," "),":"," "),";"," "),"="," "),"~"," "),"%"," ")))</f>
        <v/>
      </c>
      <c r="F450" s="6">
        <f>IF(C450="","",IF(COUNTIF(Classifiers!$A$23:$A$40,D450)&gt;0,1,0))</f>
        <v/>
      </c>
      <c r="G450" s="6">
        <f>IF(C450="","",IF(COUNTIF(Classifiers!$C$23:$C$30,D450)&gt;0,IF((IF(ISNUMBER(SEARCH(Classifiers!$E$23,E450)),1,0)+IF(ISNUMBER(SEARCH(Classifiers!$E$24,E450)),1,0)+IF(ISNUMBER(SEARCH(Classifiers!$E$25,E450)),1,0)+IF(ISNUMBER(SEARCH(Classifiers!$E$26,E450)),1,0)+IF(ISNUMBER(SEARCH(Classifiers!$E$27,E450)),1,0)+IF(ISNUMBER(SEARCH(Classifiers!$E$28,E450)),1,0)+IF(ISNUMBER(SEARCH(Classifiers!$E$29,E450)),1,0)+IF(ISNUMBER(SEARCH(Classifiers!$E$30,E450)),1,0))&gt;0,1,0),0))</f>
        <v/>
      </c>
      <c r="H450" s="6">
        <f>IF(C450="","",IF(OR(LEFT(C450,1)=".",AND(F450=0,G450=0)),0,1))</f>
        <v/>
      </c>
      <c r="I450" s="6">
        <f>IF(H450&lt;&gt;1,"",IF(SUM(J450:W450)=0,"unclassified",INDEX(Classifiers!$A$5:$A$18,MATCH(1,J450:W450,0),1)))</f>
        <v/>
      </c>
      <c r="J450" s="12">
        <f>IF(H450&lt;&gt;1,0,IF((IF(Classifiers!$B$5="",0,IF(ISNUMBER(SEARCH(Classifiers!$B$5,E450)),1,0))+IF(Classifiers!$C$5="",0,IF(ISNUMBER(SEARCH(Classifiers!$C$5,E450)),1,0))+IF(Classifiers!$D$5="",0,IF(ISNUMBER(SEARCH(Classifiers!$D$5,E450)),1,0))+IF(Classifiers!$E$5="",0,IF(ISNUMBER(SEARCH(Classifiers!$E$5,E450)),1,0))+IF(Classifiers!$F$5="",0,IF(ISNUMBER(SEARCH(Classifiers!$F$5,E450)),1,0))+IF(Classifiers!$G$5="",0,IF(ISNUMBER(SEARCH(Classifiers!$G$5,E450)),1,0)))&gt;0,1,0))</f>
        <v/>
      </c>
      <c r="K450" s="12">
        <f>IF(H450&lt;&gt;1,0,IF((IF(Classifiers!$B$6="",0,IF(ISNUMBER(SEARCH(Classifiers!$B$6,E450)),1,0))+IF(Classifiers!$C$6="",0,IF(ISNUMBER(SEARCH(Classifiers!$C$6,E450)),1,0))+IF(Classifiers!$D$6="",0,IF(ISNUMBER(SEARCH(Classifiers!$D$6,E450)),1,0))+IF(Classifiers!$E$6="",0,IF(ISNUMBER(SEARCH(Classifiers!$E$6,E450)),1,0))+IF(Classifiers!$F$6="",0,IF(ISNUMBER(SEARCH(Classifiers!$F$6,E450)),1,0))+IF(Classifiers!$G$6="",0,IF(ISNUMBER(SEARCH(Classifiers!$G$6,E450)),1,0)))&gt;0,1,0))</f>
        <v/>
      </c>
      <c r="L450" s="12">
        <f>IF(H450&lt;&gt;1,0,IF((IF(Classifiers!$B$7="",0,IF(ISNUMBER(SEARCH(Classifiers!$B$7,E450)),1,0))+IF(Classifiers!$C$7="",0,IF(ISNUMBER(SEARCH(Classifiers!$C$7,E450)),1,0))+IF(Classifiers!$D$7="",0,IF(ISNUMBER(SEARCH(Classifiers!$D$7,E450)),1,0))+IF(Classifiers!$E$7="",0,IF(ISNUMBER(SEARCH(Classifiers!$E$7,E450)),1,0))+IF(Classifiers!$F$7="",0,IF(ISNUMBER(SEARCH(Classifiers!$F$7,E450)),1,0))+IF(Classifiers!$G$7="",0,IF(ISNUMBER(SEARCH(Classifiers!$G$7,E450)),1,0)))&gt;0,1,0))</f>
        <v/>
      </c>
      <c r="M450" s="12">
        <f>IF(H450&lt;&gt;1,0,IF((IF(Classifiers!$B$8="",0,IF(ISNUMBER(SEARCH(Classifiers!$B$8,E450)),1,0))+IF(Classifiers!$C$8="",0,IF(ISNUMBER(SEARCH(Classifiers!$C$8,E450)),1,0))+IF(Classifiers!$D$8="",0,IF(ISNUMBER(SEARCH(Classifiers!$D$8,E450)),1,0))+IF(Classifiers!$E$8="",0,IF(ISNUMBER(SEARCH(Classifiers!$E$8,E450)),1,0))+IF(Classifiers!$F$8="",0,IF(ISNUMBER(SEARCH(Classifiers!$F$8,E450)),1,0))+IF(Classifiers!$G$8="",0,IF(ISNUMBER(SEARCH(Classifiers!$G$8,E450)),1,0)))&gt;0,1,0))</f>
        <v/>
      </c>
      <c r="N450" s="12">
        <f>IF(H450&lt;&gt;1,0,IF((IF(Classifiers!$B$9="",0,IF(ISNUMBER(SEARCH(Classifiers!$B$9,E450)),1,0))+IF(Classifiers!$C$9="",0,IF(ISNUMBER(SEARCH(Classifiers!$C$9,E450)),1,0))+IF(Classifiers!$D$9="",0,IF(ISNUMBER(SEARCH(Classifiers!$D$9,E450)),1,0))+IF(Classifiers!$E$9="",0,IF(ISNUMBER(SEARCH(Classifiers!$E$9,E450)),1,0))+IF(Classifiers!$F$9="",0,IF(ISNUMBER(SEARCH(Classifiers!$F$9,E450)),1,0))+IF(Classifiers!$G$9="",0,IF(ISNUMBER(SEARCH(Classifiers!$G$9,E450)),1,0)))&gt;0,1,0))</f>
        <v/>
      </c>
      <c r="O450" s="12">
        <f>IF(H450&lt;&gt;1,0,IF((IF(Classifiers!$B$10="",0,IF(ISNUMBER(SEARCH(Classifiers!$B$10,E450)),1,0))+IF(Classifiers!$C$10="",0,IF(ISNUMBER(SEARCH(Classifiers!$C$10,E450)),1,0))+IF(Classifiers!$D$10="",0,IF(ISNUMBER(SEARCH(Classifiers!$D$10,E450)),1,0))+IF(Classifiers!$E$10="",0,IF(ISNUMBER(SEARCH(Classifiers!$E$10,E450)),1,0))+IF(Classifiers!$F$10="",0,IF(ISNUMBER(SEARCH(Classifiers!$F$10,E450)),1,0))+IF(Classifiers!$G$10="",0,IF(ISNUMBER(SEARCH(Classifiers!$G$10,E450)),1,0)))&gt;0,1,0))</f>
        <v/>
      </c>
      <c r="P450" s="12">
        <f>IF(H450&lt;&gt;1,0,IF((IF(Classifiers!$B$11="",0,IF(ISNUMBER(SEARCH(Classifiers!$B$11,E450)),1,0))+IF(Classifiers!$C$11="",0,IF(ISNUMBER(SEARCH(Classifiers!$C$11,E450)),1,0))+IF(Classifiers!$D$11="",0,IF(ISNUMBER(SEARCH(Classifiers!$D$11,E450)),1,0))+IF(Classifiers!$E$11="",0,IF(ISNUMBER(SEARCH(Classifiers!$E$11,E450)),1,0))+IF(Classifiers!$F$11="",0,IF(ISNUMBER(SEARCH(Classifiers!$F$11,E450)),1,0))+IF(Classifiers!$G$11="",0,IF(ISNUMBER(SEARCH(Classifiers!$G$11,E450)),1,0)))&gt;0,1,0))</f>
        <v/>
      </c>
      <c r="Q450" s="12">
        <f>IF(H450&lt;&gt;1,0,IF((IF(Classifiers!$B$12="",0,IF(ISNUMBER(SEARCH(Classifiers!$B$12,E450)),1,0))+IF(Classifiers!$C$12="",0,IF(ISNUMBER(SEARCH(Classifiers!$C$12,E450)),1,0))+IF(Classifiers!$D$12="",0,IF(ISNUMBER(SEARCH(Classifiers!$D$12,E450)),1,0))+IF(Classifiers!$E$12="",0,IF(ISNUMBER(SEARCH(Classifiers!$E$12,E450)),1,0))+IF(Classifiers!$F$12="",0,IF(ISNUMBER(SEARCH(Classifiers!$F$12,E450)),1,0))+IF(Classifiers!$G$12="",0,IF(ISNUMBER(SEARCH(Classifiers!$G$12,E450)),1,0)))&gt;0,1,0))</f>
        <v/>
      </c>
      <c r="R450" s="12">
        <f>IF(H450&lt;&gt;1,0,IF((IF(Classifiers!$B$13="",0,IF(ISNUMBER(SEARCH(Classifiers!$B$13,E450)),1,0))+IF(Classifiers!$C$13="",0,IF(ISNUMBER(SEARCH(Classifiers!$C$13,E450)),1,0))+IF(Classifiers!$D$13="",0,IF(ISNUMBER(SEARCH(Classifiers!$D$13,E450)),1,0))+IF(Classifiers!$E$13="",0,IF(ISNUMBER(SEARCH(Classifiers!$E$13,E450)),1,0))+IF(Classifiers!$F$13="",0,IF(ISNUMBER(SEARCH(Classifiers!$F$13,E450)),1,0))+IF(Classifiers!$G$13="",0,IF(ISNUMBER(SEARCH(Classifiers!$G$13,E450)),1,0)))&gt;0,1,0))</f>
        <v/>
      </c>
      <c r="S450" s="12">
        <f>IF(H450&lt;&gt;1,0,IF((IF(Classifiers!$B$14="",0,IF(ISNUMBER(SEARCH(Classifiers!$B$14,E450)),1,0))+IF(Classifiers!$C$14="",0,IF(ISNUMBER(SEARCH(Classifiers!$C$14,E450)),1,0))+IF(Classifiers!$D$14="",0,IF(ISNUMBER(SEARCH(Classifiers!$D$14,E450)),1,0))+IF(Classifiers!$E$14="",0,IF(ISNUMBER(SEARCH(Classifiers!$E$14,E450)),1,0))+IF(Classifiers!$F$14="",0,IF(ISNUMBER(SEARCH(Classifiers!$F$14,E450)),1,0))+IF(Classifiers!$G$14="",0,IF(ISNUMBER(SEARCH(Classifiers!$G$14,E450)),1,0)))&gt;0,1,0))</f>
        <v/>
      </c>
      <c r="T450" s="12">
        <f>IF(H450&lt;&gt;1,0,IF((IF(Classifiers!$B$15="",0,IF(ISNUMBER(SEARCH(Classifiers!$B$15,E450)),1,0))+IF(Classifiers!$C$15="",0,IF(ISNUMBER(SEARCH(Classifiers!$C$15,E450)),1,0))+IF(Classifiers!$D$15="",0,IF(ISNUMBER(SEARCH(Classifiers!$D$15,E450)),1,0))+IF(Classifiers!$E$15="",0,IF(ISNUMBER(SEARCH(Classifiers!$E$15,E450)),1,0))+IF(Classifiers!$F$15="",0,IF(ISNUMBER(SEARCH(Classifiers!$F$15,E450)),1,0))+IF(Classifiers!$G$15="",0,IF(ISNUMBER(SEARCH(Classifiers!$G$15,E450)),1,0)))&gt;0,1,0))</f>
        <v/>
      </c>
      <c r="U450" s="12">
        <f>IF(H450&lt;&gt;1,0,IF((IF(Classifiers!$B$16="",0,IF(ISNUMBER(SEARCH(Classifiers!$B$16,E450)),1,0))+IF(Classifiers!$C$16="",0,IF(ISNUMBER(SEARCH(Classifiers!$C$16,E450)),1,0))+IF(Classifiers!$D$16="",0,IF(ISNUMBER(SEARCH(Classifiers!$D$16,E450)),1,0))+IF(Classifiers!$E$16="",0,IF(ISNUMBER(SEARCH(Classifiers!$E$16,E450)),1,0))+IF(Classifiers!$F$16="",0,IF(ISNUMBER(SEARCH(Classifiers!$F$16,E450)),1,0))+IF(Classifiers!$G$16="",0,IF(ISNUMBER(SEARCH(Classifiers!$G$16,E450)),1,0)))&gt;0,1,0))</f>
        <v/>
      </c>
      <c r="V450" s="12">
        <f>IF(H450&lt;&gt;1,0,IF((IF(Classifiers!$B$17="",0,IF(ISNUMBER(SEARCH(Classifiers!$B$17,E450)),1,0))+IF(Classifiers!$C$17="",0,IF(ISNUMBER(SEARCH(Classifiers!$C$17,E450)),1,0))+IF(Classifiers!$D$17="",0,IF(ISNUMBER(SEARCH(Classifiers!$D$17,E450)),1,0))+IF(Classifiers!$E$17="",0,IF(ISNUMBER(SEARCH(Classifiers!$E$17,E450)),1,0))+IF(Classifiers!$F$17="",0,IF(ISNUMBER(SEARCH(Classifiers!$F$17,E450)),1,0))+IF(Classifiers!$G$17="",0,IF(ISNUMBER(SEARCH(Classifiers!$G$17,E450)),1,0)))&gt;0,1,0))</f>
        <v/>
      </c>
      <c r="W450" s="12">
        <f>IF(H450&lt;&gt;1,0,IF((IF(Classifiers!$B$18="",0,IF(ISNUMBER(SEARCH(Classifiers!$B$18,E450)),1,0))+IF(Classifiers!$C$18="",0,IF(ISNUMBER(SEARCH(Classifiers!$C$18,E450)),1,0))+IF(Classifiers!$D$18="",0,IF(ISNUMBER(SEARCH(Classifiers!$D$18,E450)),1,0))+IF(Classifiers!$E$18="",0,IF(ISNUMBER(SEARCH(Classifiers!$E$18,E450)),1,0))+IF(Classifiers!$F$18="",0,IF(ISNUMBER(SEARCH(Classifiers!$F$18,E450)),1,0))+IF(Classifiers!$G$18="",0,IF(ISNUMBER(SEARCH(Classifiers!$G$18,E450)),1,0)))&gt;0,1,0))</f>
        <v/>
      </c>
    </row>
    <row r="451">
      <c r="A451" s="8" t="n"/>
      <c r="B451" s="11" t="n"/>
      <c r="C451" s="6">
        <f>IF(A451="","",TRIM(RIGHT(SUBSTITUTE(A451,"/",REPT(" ",250)),250)))</f>
        <v/>
      </c>
      <c r="D451" s="6">
        <f>IF(C451="","",IF(ISNUMBER(SEARCH(".",C451)),LOWER("."&amp;TRIM(RIGHT(SUBSTITUTE(C451,".",REPT(" ",250)),250))),""))</f>
        <v/>
      </c>
      <c r="E451" s="6">
        <f>IF(C451="","",TRIM(SUBSTITUTE(SUBSTITUTE(SUBSTITUTE(SUBSTITUTE(SUBSTITUTE(SUBSTITUTE(SUBSTITUTE(SUBSTITUTE(SUBSTITUTE(SUBSTITUTE(SUBSTITUTE(SUBSTITUTE(SUBSTITUTE(SUBSTITUTE(SUBSTITUTE(SUBSTITUTE(SUBSTITUTE(SUBSTITUTE(SUBSTITUTE(SUBSTITUTE(LOWER(LEFT(C451,LEN(C451)-LEN(D451))),"_"," "),"-"," "),"."," "),","," "),"("," "),")"," "),"["," "),"]"," "),"&amp;"," "),"+"," "),"@"," "),"#"," "),"!"," "),"'"," "),"/"," "),":"," "),";"," "),"="," "),"~"," "),"%"," ")))</f>
        <v/>
      </c>
      <c r="F451" s="6">
        <f>IF(C451="","",IF(COUNTIF(Classifiers!$A$23:$A$40,D451)&gt;0,1,0))</f>
        <v/>
      </c>
      <c r="G451" s="6">
        <f>IF(C451="","",IF(COUNTIF(Classifiers!$C$23:$C$30,D451)&gt;0,IF((IF(ISNUMBER(SEARCH(Classifiers!$E$23,E451)),1,0)+IF(ISNUMBER(SEARCH(Classifiers!$E$24,E451)),1,0)+IF(ISNUMBER(SEARCH(Classifiers!$E$25,E451)),1,0)+IF(ISNUMBER(SEARCH(Classifiers!$E$26,E451)),1,0)+IF(ISNUMBER(SEARCH(Classifiers!$E$27,E451)),1,0)+IF(ISNUMBER(SEARCH(Classifiers!$E$28,E451)),1,0)+IF(ISNUMBER(SEARCH(Classifiers!$E$29,E451)),1,0)+IF(ISNUMBER(SEARCH(Classifiers!$E$30,E451)),1,0))&gt;0,1,0),0))</f>
        <v/>
      </c>
      <c r="H451" s="6">
        <f>IF(C451="","",IF(OR(LEFT(C451,1)=".",AND(F451=0,G451=0)),0,1))</f>
        <v/>
      </c>
      <c r="I451" s="6">
        <f>IF(H451&lt;&gt;1,"",IF(SUM(J451:W451)=0,"unclassified",INDEX(Classifiers!$A$5:$A$18,MATCH(1,J451:W451,0),1)))</f>
        <v/>
      </c>
      <c r="J451" s="12">
        <f>IF(H451&lt;&gt;1,0,IF((IF(Classifiers!$B$5="",0,IF(ISNUMBER(SEARCH(Classifiers!$B$5,E451)),1,0))+IF(Classifiers!$C$5="",0,IF(ISNUMBER(SEARCH(Classifiers!$C$5,E451)),1,0))+IF(Classifiers!$D$5="",0,IF(ISNUMBER(SEARCH(Classifiers!$D$5,E451)),1,0))+IF(Classifiers!$E$5="",0,IF(ISNUMBER(SEARCH(Classifiers!$E$5,E451)),1,0))+IF(Classifiers!$F$5="",0,IF(ISNUMBER(SEARCH(Classifiers!$F$5,E451)),1,0))+IF(Classifiers!$G$5="",0,IF(ISNUMBER(SEARCH(Classifiers!$G$5,E451)),1,0)))&gt;0,1,0))</f>
        <v/>
      </c>
      <c r="K451" s="12">
        <f>IF(H451&lt;&gt;1,0,IF((IF(Classifiers!$B$6="",0,IF(ISNUMBER(SEARCH(Classifiers!$B$6,E451)),1,0))+IF(Classifiers!$C$6="",0,IF(ISNUMBER(SEARCH(Classifiers!$C$6,E451)),1,0))+IF(Classifiers!$D$6="",0,IF(ISNUMBER(SEARCH(Classifiers!$D$6,E451)),1,0))+IF(Classifiers!$E$6="",0,IF(ISNUMBER(SEARCH(Classifiers!$E$6,E451)),1,0))+IF(Classifiers!$F$6="",0,IF(ISNUMBER(SEARCH(Classifiers!$F$6,E451)),1,0))+IF(Classifiers!$G$6="",0,IF(ISNUMBER(SEARCH(Classifiers!$G$6,E451)),1,0)))&gt;0,1,0))</f>
        <v/>
      </c>
      <c r="L451" s="12">
        <f>IF(H451&lt;&gt;1,0,IF((IF(Classifiers!$B$7="",0,IF(ISNUMBER(SEARCH(Classifiers!$B$7,E451)),1,0))+IF(Classifiers!$C$7="",0,IF(ISNUMBER(SEARCH(Classifiers!$C$7,E451)),1,0))+IF(Classifiers!$D$7="",0,IF(ISNUMBER(SEARCH(Classifiers!$D$7,E451)),1,0))+IF(Classifiers!$E$7="",0,IF(ISNUMBER(SEARCH(Classifiers!$E$7,E451)),1,0))+IF(Classifiers!$F$7="",0,IF(ISNUMBER(SEARCH(Classifiers!$F$7,E451)),1,0))+IF(Classifiers!$G$7="",0,IF(ISNUMBER(SEARCH(Classifiers!$G$7,E451)),1,0)))&gt;0,1,0))</f>
        <v/>
      </c>
      <c r="M451" s="12">
        <f>IF(H451&lt;&gt;1,0,IF((IF(Classifiers!$B$8="",0,IF(ISNUMBER(SEARCH(Classifiers!$B$8,E451)),1,0))+IF(Classifiers!$C$8="",0,IF(ISNUMBER(SEARCH(Classifiers!$C$8,E451)),1,0))+IF(Classifiers!$D$8="",0,IF(ISNUMBER(SEARCH(Classifiers!$D$8,E451)),1,0))+IF(Classifiers!$E$8="",0,IF(ISNUMBER(SEARCH(Classifiers!$E$8,E451)),1,0))+IF(Classifiers!$F$8="",0,IF(ISNUMBER(SEARCH(Classifiers!$F$8,E451)),1,0))+IF(Classifiers!$G$8="",0,IF(ISNUMBER(SEARCH(Classifiers!$G$8,E451)),1,0)))&gt;0,1,0))</f>
        <v/>
      </c>
      <c r="N451" s="12">
        <f>IF(H451&lt;&gt;1,0,IF((IF(Classifiers!$B$9="",0,IF(ISNUMBER(SEARCH(Classifiers!$B$9,E451)),1,0))+IF(Classifiers!$C$9="",0,IF(ISNUMBER(SEARCH(Classifiers!$C$9,E451)),1,0))+IF(Classifiers!$D$9="",0,IF(ISNUMBER(SEARCH(Classifiers!$D$9,E451)),1,0))+IF(Classifiers!$E$9="",0,IF(ISNUMBER(SEARCH(Classifiers!$E$9,E451)),1,0))+IF(Classifiers!$F$9="",0,IF(ISNUMBER(SEARCH(Classifiers!$F$9,E451)),1,0))+IF(Classifiers!$G$9="",0,IF(ISNUMBER(SEARCH(Classifiers!$G$9,E451)),1,0)))&gt;0,1,0))</f>
        <v/>
      </c>
      <c r="O451" s="12">
        <f>IF(H451&lt;&gt;1,0,IF((IF(Classifiers!$B$10="",0,IF(ISNUMBER(SEARCH(Classifiers!$B$10,E451)),1,0))+IF(Classifiers!$C$10="",0,IF(ISNUMBER(SEARCH(Classifiers!$C$10,E451)),1,0))+IF(Classifiers!$D$10="",0,IF(ISNUMBER(SEARCH(Classifiers!$D$10,E451)),1,0))+IF(Classifiers!$E$10="",0,IF(ISNUMBER(SEARCH(Classifiers!$E$10,E451)),1,0))+IF(Classifiers!$F$10="",0,IF(ISNUMBER(SEARCH(Classifiers!$F$10,E451)),1,0))+IF(Classifiers!$G$10="",0,IF(ISNUMBER(SEARCH(Classifiers!$G$10,E451)),1,0)))&gt;0,1,0))</f>
        <v/>
      </c>
      <c r="P451" s="12">
        <f>IF(H451&lt;&gt;1,0,IF((IF(Classifiers!$B$11="",0,IF(ISNUMBER(SEARCH(Classifiers!$B$11,E451)),1,0))+IF(Classifiers!$C$11="",0,IF(ISNUMBER(SEARCH(Classifiers!$C$11,E451)),1,0))+IF(Classifiers!$D$11="",0,IF(ISNUMBER(SEARCH(Classifiers!$D$11,E451)),1,0))+IF(Classifiers!$E$11="",0,IF(ISNUMBER(SEARCH(Classifiers!$E$11,E451)),1,0))+IF(Classifiers!$F$11="",0,IF(ISNUMBER(SEARCH(Classifiers!$F$11,E451)),1,0))+IF(Classifiers!$G$11="",0,IF(ISNUMBER(SEARCH(Classifiers!$G$11,E451)),1,0)))&gt;0,1,0))</f>
        <v/>
      </c>
      <c r="Q451" s="12">
        <f>IF(H451&lt;&gt;1,0,IF((IF(Classifiers!$B$12="",0,IF(ISNUMBER(SEARCH(Classifiers!$B$12,E451)),1,0))+IF(Classifiers!$C$12="",0,IF(ISNUMBER(SEARCH(Classifiers!$C$12,E451)),1,0))+IF(Classifiers!$D$12="",0,IF(ISNUMBER(SEARCH(Classifiers!$D$12,E451)),1,0))+IF(Classifiers!$E$12="",0,IF(ISNUMBER(SEARCH(Classifiers!$E$12,E451)),1,0))+IF(Classifiers!$F$12="",0,IF(ISNUMBER(SEARCH(Classifiers!$F$12,E451)),1,0))+IF(Classifiers!$G$12="",0,IF(ISNUMBER(SEARCH(Classifiers!$G$12,E451)),1,0)))&gt;0,1,0))</f>
        <v/>
      </c>
      <c r="R451" s="12">
        <f>IF(H451&lt;&gt;1,0,IF((IF(Classifiers!$B$13="",0,IF(ISNUMBER(SEARCH(Classifiers!$B$13,E451)),1,0))+IF(Classifiers!$C$13="",0,IF(ISNUMBER(SEARCH(Classifiers!$C$13,E451)),1,0))+IF(Classifiers!$D$13="",0,IF(ISNUMBER(SEARCH(Classifiers!$D$13,E451)),1,0))+IF(Classifiers!$E$13="",0,IF(ISNUMBER(SEARCH(Classifiers!$E$13,E451)),1,0))+IF(Classifiers!$F$13="",0,IF(ISNUMBER(SEARCH(Classifiers!$F$13,E451)),1,0))+IF(Classifiers!$G$13="",0,IF(ISNUMBER(SEARCH(Classifiers!$G$13,E451)),1,0)))&gt;0,1,0))</f>
        <v/>
      </c>
      <c r="S451" s="12">
        <f>IF(H451&lt;&gt;1,0,IF((IF(Classifiers!$B$14="",0,IF(ISNUMBER(SEARCH(Classifiers!$B$14,E451)),1,0))+IF(Classifiers!$C$14="",0,IF(ISNUMBER(SEARCH(Classifiers!$C$14,E451)),1,0))+IF(Classifiers!$D$14="",0,IF(ISNUMBER(SEARCH(Classifiers!$D$14,E451)),1,0))+IF(Classifiers!$E$14="",0,IF(ISNUMBER(SEARCH(Classifiers!$E$14,E451)),1,0))+IF(Classifiers!$F$14="",0,IF(ISNUMBER(SEARCH(Classifiers!$F$14,E451)),1,0))+IF(Classifiers!$G$14="",0,IF(ISNUMBER(SEARCH(Classifiers!$G$14,E451)),1,0)))&gt;0,1,0))</f>
        <v/>
      </c>
      <c r="T451" s="12">
        <f>IF(H451&lt;&gt;1,0,IF((IF(Classifiers!$B$15="",0,IF(ISNUMBER(SEARCH(Classifiers!$B$15,E451)),1,0))+IF(Classifiers!$C$15="",0,IF(ISNUMBER(SEARCH(Classifiers!$C$15,E451)),1,0))+IF(Classifiers!$D$15="",0,IF(ISNUMBER(SEARCH(Classifiers!$D$15,E451)),1,0))+IF(Classifiers!$E$15="",0,IF(ISNUMBER(SEARCH(Classifiers!$E$15,E451)),1,0))+IF(Classifiers!$F$15="",0,IF(ISNUMBER(SEARCH(Classifiers!$F$15,E451)),1,0))+IF(Classifiers!$G$15="",0,IF(ISNUMBER(SEARCH(Classifiers!$G$15,E451)),1,0)))&gt;0,1,0))</f>
        <v/>
      </c>
      <c r="U451" s="12">
        <f>IF(H451&lt;&gt;1,0,IF((IF(Classifiers!$B$16="",0,IF(ISNUMBER(SEARCH(Classifiers!$B$16,E451)),1,0))+IF(Classifiers!$C$16="",0,IF(ISNUMBER(SEARCH(Classifiers!$C$16,E451)),1,0))+IF(Classifiers!$D$16="",0,IF(ISNUMBER(SEARCH(Classifiers!$D$16,E451)),1,0))+IF(Classifiers!$E$16="",0,IF(ISNUMBER(SEARCH(Classifiers!$E$16,E451)),1,0))+IF(Classifiers!$F$16="",0,IF(ISNUMBER(SEARCH(Classifiers!$F$16,E451)),1,0))+IF(Classifiers!$G$16="",0,IF(ISNUMBER(SEARCH(Classifiers!$G$16,E451)),1,0)))&gt;0,1,0))</f>
        <v/>
      </c>
      <c r="V451" s="12">
        <f>IF(H451&lt;&gt;1,0,IF((IF(Classifiers!$B$17="",0,IF(ISNUMBER(SEARCH(Classifiers!$B$17,E451)),1,0))+IF(Classifiers!$C$17="",0,IF(ISNUMBER(SEARCH(Classifiers!$C$17,E451)),1,0))+IF(Classifiers!$D$17="",0,IF(ISNUMBER(SEARCH(Classifiers!$D$17,E451)),1,0))+IF(Classifiers!$E$17="",0,IF(ISNUMBER(SEARCH(Classifiers!$E$17,E451)),1,0))+IF(Classifiers!$F$17="",0,IF(ISNUMBER(SEARCH(Classifiers!$F$17,E451)),1,0))+IF(Classifiers!$G$17="",0,IF(ISNUMBER(SEARCH(Classifiers!$G$17,E451)),1,0)))&gt;0,1,0))</f>
        <v/>
      </c>
      <c r="W451" s="12">
        <f>IF(H451&lt;&gt;1,0,IF((IF(Classifiers!$B$18="",0,IF(ISNUMBER(SEARCH(Classifiers!$B$18,E451)),1,0))+IF(Classifiers!$C$18="",0,IF(ISNUMBER(SEARCH(Classifiers!$C$18,E451)),1,0))+IF(Classifiers!$D$18="",0,IF(ISNUMBER(SEARCH(Classifiers!$D$18,E451)),1,0))+IF(Classifiers!$E$18="",0,IF(ISNUMBER(SEARCH(Classifiers!$E$18,E451)),1,0))+IF(Classifiers!$F$18="",0,IF(ISNUMBER(SEARCH(Classifiers!$F$18,E451)),1,0))+IF(Classifiers!$G$18="",0,IF(ISNUMBER(SEARCH(Classifiers!$G$18,E451)),1,0)))&gt;0,1,0))</f>
        <v/>
      </c>
    </row>
    <row r="452">
      <c r="A452" s="8" t="n"/>
      <c r="B452" s="11" t="n"/>
      <c r="C452" s="6">
        <f>IF(A452="","",TRIM(RIGHT(SUBSTITUTE(A452,"/",REPT(" ",250)),250)))</f>
        <v/>
      </c>
      <c r="D452" s="6">
        <f>IF(C452="","",IF(ISNUMBER(SEARCH(".",C452)),LOWER("."&amp;TRIM(RIGHT(SUBSTITUTE(C452,".",REPT(" ",250)),250))),""))</f>
        <v/>
      </c>
      <c r="E452" s="6">
        <f>IF(C452="","",TRIM(SUBSTITUTE(SUBSTITUTE(SUBSTITUTE(SUBSTITUTE(SUBSTITUTE(SUBSTITUTE(SUBSTITUTE(SUBSTITUTE(SUBSTITUTE(SUBSTITUTE(SUBSTITUTE(SUBSTITUTE(SUBSTITUTE(SUBSTITUTE(SUBSTITUTE(SUBSTITUTE(SUBSTITUTE(SUBSTITUTE(SUBSTITUTE(SUBSTITUTE(LOWER(LEFT(C452,LEN(C452)-LEN(D452))),"_"," "),"-"," "),"."," "),","," "),"("," "),")"," "),"["," "),"]"," "),"&amp;"," "),"+"," "),"@"," "),"#"," "),"!"," "),"'"," "),"/"," "),":"," "),";"," "),"="," "),"~"," "),"%"," ")))</f>
        <v/>
      </c>
      <c r="F452" s="6">
        <f>IF(C452="","",IF(COUNTIF(Classifiers!$A$23:$A$40,D452)&gt;0,1,0))</f>
        <v/>
      </c>
      <c r="G452" s="6">
        <f>IF(C452="","",IF(COUNTIF(Classifiers!$C$23:$C$30,D452)&gt;0,IF((IF(ISNUMBER(SEARCH(Classifiers!$E$23,E452)),1,0)+IF(ISNUMBER(SEARCH(Classifiers!$E$24,E452)),1,0)+IF(ISNUMBER(SEARCH(Classifiers!$E$25,E452)),1,0)+IF(ISNUMBER(SEARCH(Classifiers!$E$26,E452)),1,0)+IF(ISNUMBER(SEARCH(Classifiers!$E$27,E452)),1,0)+IF(ISNUMBER(SEARCH(Classifiers!$E$28,E452)),1,0)+IF(ISNUMBER(SEARCH(Classifiers!$E$29,E452)),1,0)+IF(ISNUMBER(SEARCH(Classifiers!$E$30,E452)),1,0))&gt;0,1,0),0))</f>
        <v/>
      </c>
      <c r="H452" s="6">
        <f>IF(C452="","",IF(OR(LEFT(C452,1)=".",AND(F452=0,G452=0)),0,1))</f>
        <v/>
      </c>
      <c r="I452" s="6">
        <f>IF(H452&lt;&gt;1,"",IF(SUM(J452:W452)=0,"unclassified",INDEX(Classifiers!$A$5:$A$18,MATCH(1,J452:W452,0),1)))</f>
        <v/>
      </c>
      <c r="J452" s="12">
        <f>IF(H452&lt;&gt;1,0,IF((IF(Classifiers!$B$5="",0,IF(ISNUMBER(SEARCH(Classifiers!$B$5,E452)),1,0))+IF(Classifiers!$C$5="",0,IF(ISNUMBER(SEARCH(Classifiers!$C$5,E452)),1,0))+IF(Classifiers!$D$5="",0,IF(ISNUMBER(SEARCH(Classifiers!$D$5,E452)),1,0))+IF(Classifiers!$E$5="",0,IF(ISNUMBER(SEARCH(Classifiers!$E$5,E452)),1,0))+IF(Classifiers!$F$5="",0,IF(ISNUMBER(SEARCH(Classifiers!$F$5,E452)),1,0))+IF(Classifiers!$G$5="",0,IF(ISNUMBER(SEARCH(Classifiers!$G$5,E452)),1,0)))&gt;0,1,0))</f>
        <v/>
      </c>
      <c r="K452" s="12">
        <f>IF(H452&lt;&gt;1,0,IF((IF(Classifiers!$B$6="",0,IF(ISNUMBER(SEARCH(Classifiers!$B$6,E452)),1,0))+IF(Classifiers!$C$6="",0,IF(ISNUMBER(SEARCH(Classifiers!$C$6,E452)),1,0))+IF(Classifiers!$D$6="",0,IF(ISNUMBER(SEARCH(Classifiers!$D$6,E452)),1,0))+IF(Classifiers!$E$6="",0,IF(ISNUMBER(SEARCH(Classifiers!$E$6,E452)),1,0))+IF(Classifiers!$F$6="",0,IF(ISNUMBER(SEARCH(Classifiers!$F$6,E452)),1,0))+IF(Classifiers!$G$6="",0,IF(ISNUMBER(SEARCH(Classifiers!$G$6,E452)),1,0)))&gt;0,1,0))</f>
        <v/>
      </c>
      <c r="L452" s="12">
        <f>IF(H452&lt;&gt;1,0,IF((IF(Classifiers!$B$7="",0,IF(ISNUMBER(SEARCH(Classifiers!$B$7,E452)),1,0))+IF(Classifiers!$C$7="",0,IF(ISNUMBER(SEARCH(Classifiers!$C$7,E452)),1,0))+IF(Classifiers!$D$7="",0,IF(ISNUMBER(SEARCH(Classifiers!$D$7,E452)),1,0))+IF(Classifiers!$E$7="",0,IF(ISNUMBER(SEARCH(Classifiers!$E$7,E452)),1,0))+IF(Classifiers!$F$7="",0,IF(ISNUMBER(SEARCH(Classifiers!$F$7,E452)),1,0))+IF(Classifiers!$G$7="",0,IF(ISNUMBER(SEARCH(Classifiers!$G$7,E452)),1,0)))&gt;0,1,0))</f>
        <v/>
      </c>
      <c r="M452" s="12">
        <f>IF(H452&lt;&gt;1,0,IF((IF(Classifiers!$B$8="",0,IF(ISNUMBER(SEARCH(Classifiers!$B$8,E452)),1,0))+IF(Classifiers!$C$8="",0,IF(ISNUMBER(SEARCH(Classifiers!$C$8,E452)),1,0))+IF(Classifiers!$D$8="",0,IF(ISNUMBER(SEARCH(Classifiers!$D$8,E452)),1,0))+IF(Classifiers!$E$8="",0,IF(ISNUMBER(SEARCH(Classifiers!$E$8,E452)),1,0))+IF(Classifiers!$F$8="",0,IF(ISNUMBER(SEARCH(Classifiers!$F$8,E452)),1,0))+IF(Classifiers!$G$8="",0,IF(ISNUMBER(SEARCH(Classifiers!$G$8,E452)),1,0)))&gt;0,1,0))</f>
        <v/>
      </c>
      <c r="N452" s="12">
        <f>IF(H452&lt;&gt;1,0,IF((IF(Classifiers!$B$9="",0,IF(ISNUMBER(SEARCH(Classifiers!$B$9,E452)),1,0))+IF(Classifiers!$C$9="",0,IF(ISNUMBER(SEARCH(Classifiers!$C$9,E452)),1,0))+IF(Classifiers!$D$9="",0,IF(ISNUMBER(SEARCH(Classifiers!$D$9,E452)),1,0))+IF(Classifiers!$E$9="",0,IF(ISNUMBER(SEARCH(Classifiers!$E$9,E452)),1,0))+IF(Classifiers!$F$9="",0,IF(ISNUMBER(SEARCH(Classifiers!$F$9,E452)),1,0))+IF(Classifiers!$G$9="",0,IF(ISNUMBER(SEARCH(Classifiers!$G$9,E452)),1,0)))&gt;0,1,0))</f>
        <v/>
      </c>
      <c r="O452" s="12">
        <f>IF(H452&lt;&gt;1,0,IF((IF(Classifiers!$B$10="",0,IF(ISNUMBER(SEARCH(Classifiers!$B$10,E452)),1,0))+IF(Classifiers!$C$10="",0,IF(ISNUMBER(SEARCH(Classifiers!$C$10,E452)),1,0))+IF(Classifiers!$D$10="",0,IF(ISNUMBER(SEARCH(Classifiers!$D$10,E452)),1,0))+IF(Classifiers!$E$10="",0,IF(ISNUMBER(SEARCH(Classifiers!$E$10,E452)),1,0))+IF(Classifiers!$F$10="",0,IF(ISNUMBER(SEARCH(Classifiers!$F$10,E452)),1,0))+IF(Classifiers!$G$10="",0,IF(ISNUMBER(SEARCH(Classifiers!$G$10,E452)),1,0)))&gt;0,1,0))</f>
        <v/>
      </c>
      <c r="P452" s="12">
        <f>IF(H452&lt;&gt;1,0,IF((IF(Classifiers!$B$11="",0,IF(ISNUMBER(SEARCH(Classifiers!$B$11,E452)),1,0))+IF(Classifiers!$C$11="",0,IF(ISNUMBER(SEARCH(Classifiers!$C$11,E452)),1,0))+IF(Classifiers!$D$11="",0,IF(ISNUMBER(SEARCH(Classifiers!$D$11,E452)),1,0))+IF(Classifiers!$E$11="",0,IF(ISNUMBER(SEARCH(Classifiers!$E$11,E452)),1,0))+IF(Classifiers!$F$11="",0,IF(ISNUMBER(SEARCH(Classifiers!$F$11,E452)),1,0))+IF(Classifiers!$G$11="",0,IF(ISNUMBER(SEARCH(Classifiers!$G$11,E452)),1,0)))&gt;0,1,0))</f>
        <v/>
      </c>
      <c r="Q452" s="12">
        <f>IF(H452&lt;&gt;1,0,IF((IF(Classifiers!$B$12="",0,IF(ISNUMBER(SEARCH(Classifiers!$B$12,E452)),1,0))+IF(Classifiers!$C$12="",0,IF(ISNUMBER(SEARCH(Classifiers!$C$12,E452)),1,0))+IF(Classifiers!$D$12="",0,IF(ISNUMBER(SEARCH(Classifiers!$D$12,E452)),1,0))+IF(Classifiers!$E$12="",0,IF(ISNUMBER(SEARCH(Classifiers!$E$12,E452)),1,0))+IF(Classifiers!$F$12="",0,IF(ISNUMBER(SEARCH(Classifiers!$F$12,E452)),1,0))+IF(Classifiers!$G$12="",0,IF(ISNUMBER(SEARCH(Classifiers!$G$12,E452)),1,0)))&gt;0,1,0))</f>
        <v/>
      </c>
      <c r="R452" s="12">
        <f>IF(H452&lt;&gt;1,0,IF((IF(Classifiers!$B$13="",0,IF(ISNUMBER(SEARCH(Classifiers!$B$13,E452)),1,0))+IF(Classifiers!$C$13="",0,IF(ISNUMBER(SEARCH(Classifiers!$C$13,E452)),1,0))+IF(Classifiers!$D$13="",0,IF(ISNUMBER(SEARCH(Classifiers!$D$13,E452)),1,0))+IF(Classifiers!$E$13="",0,IF(ISNUMBER(SEARCH(Classifiers!$E$13,E452)),1,0))+IF(Classifiers!$F$13="",0,IF(ISNUMBER(SEARCH(Classifiers!$F$13,E452)),1,0))+IF(Classifiers!$G$13="",0,IF(ISNUMBER(SEARCH(Classifiers!$G$13,E452)),1,0)))&gt;0,1,0))</f>
        <v/>
      </c>
      <c r="S452" s="12">
        <f>IF(H452&lt;&gt;1,0,IF((IF(Classifiers!$B$14="",0,IF(ISNUMBER(SEARCH(Classifiers!$B$14,E452)),1,0))+IF(Classifiers!$C$14="",0,IF(ISNUMBER(SEARCH(Classifiers!$C$14,E452)),1,0))+IF(Classifiers!$D$14="",0,IF(ISNUMBER(SEARCH(Classifiers!$D$14,E452)),1,0))+IF(Classifiers!$E$14="",0,IF(ISNUMBER(SEARCH(Classifiers!$E$14,E452)),1,0))+IF(Classifiers!$F$14="",0,IF(ISNUMBER(SEARCH(Classifiers!$F$14,E452)),1,0))+IF(Classifiers!$G$14="",0,IF(ISNUMBER(SEARCH(Classifiers!$G$14,E452)),1,0)))&gt;0,1,0))</f>
        <v/>
      </c>
      <c r="T452" s="12">
        <f>IF(H452&lt;&gt;1,0,IF((IF(Classifiers!$B$15="",0,IF(ISNUMBER(SEARCH(Classifiers!$B$15,E452)),1,0))+IF(Classifiers!$C$15="",0,IF(ISNUMBER(SEARCH(Classifiers!$C$15,E452)),1,0))+IF(Classifiers!$D$15="",0,IF(ISNUMBER(SEARCH(Classifiers!$D$15,E452)),1,0))+IF(Classifiers!$E$15="",0,IF(ISNUMBER(SEARCH(Classifiers!$E$15,E452)),1,0))+IF(Classifiers!$F$15="",0,IF(ISNUMBER(SEARCH(Classifiers!$F$15,E452)),1,0))+IF(Classifiers!$G$15="",0,IF(ISNUMBER(SEARCH(Classifiers!$G$15,E452)),1,0)))&gt;0,1,0))</f>
        <v/>
      </c>
      <c r="U452" s="12">
        <f>IF(H452&lt;&gt;1,0,IF((IF(Classifiers!$B$16="",0,IF(ISNUMBER(SEARCH(Classifiers!$B$16,E452)),1,0))+IF(Classifiers!$C$16="",0,IF(ISNUMBER(SEARCH(Classifiers!$C$16,E452)),1,0))+IF(Classifiers!$D$16="",0,IF(ISNUMBER(SEARCH(Classifiers!$D$16,E452)),1,0))+IF(Classifiers!$E$16="",0,IF(ISNUMBER(SEARCH(Classifiers!$E$16,E452)),1,0))+IF(Classifiers!$F$16="",0,IF(ISNUMBER(SEARCH(Classifiers!$F$16,E452)),1,0))+IF(Classifiers!$G$16="",0,IF(ISNUMBER(SEARCH(Classifiers!$G$16,E452)),1,0)))&gt;0,1,0))</f>
        <v/>
      </c>
      <c r="V452" s="12">
        <f>IF(H452&lt;&gt;1,0,IF((IF(Classifiers!$B$17="",0,IF(ISNUMBER(SEARCH(Classifiers!$B$17,E452)),1,0))+IF(Classifiers!$C$17="",0,IF(ISNUMBER(SEARCH(Classifiers!$C$17,E452)),1,0))+IF(Classifiers!$D$17="",0,IF(ISNUMBER(SEARCH(Classifiers!$D$17,E452)),1,0))+IF(Classifiers!$E$17="",0,IF(ISNUMBER(SEARCH(Classifiers!$E$17,E452)),1,0))+IF(Classifiers!$F$17="",0,IF(ISNUMBER(SEARCH(Classifiers!$F$17,E452)),1,0))+IF(Classifiers!$G$17="",0,IF(ISNUMBER(SEARCH(Classifiers!$G$17,E452)),1,0)))&gt;0,1,0))</f>
        <v/>
      </c>
      <c r="W452" s="12">
        <f>IF(H452&lt;&gt;1,0,IF((IF(Classifiers!$B$18="",0,IF(ISNUMBER(SEARCH(Classifiers!$B$18,E452)),1,0))+IF(Classifiers!$C$18="",0,IF(ISNUMBER(SEARCH(Classifiers!$C$18,E452)),1,0))+IF(Classifiers!$D$18="",0,IF(ISNUMBER(SEARCH(Classifiers!$D$18,E452)),1,0))+IF(Classifiers!$E$18="",0,IF(ISNUMBER(SEARCH(Classifiers!$E$18,E452)),1,0))+IF(Classifiers!$F$18="",0,IF(ISNUMBER(SEARCH(Classifiers!$F$18,E452)),1,0))+IF(Classifiers!$G$18="",0,IF(ISNUMBER(SEARCH(Classifiers!$G$18,E452)),1,0)))&gt;0,1,0))</f>
        <v/>
      </c>
    </row>
    <row r="453">
      <c r="A453" s="8" t="n"/>
      <c r="B453" s="11" t="n"/>
      <c r="C453" s="6">
        <f>IF(A453="","",TRIM(RIGHT(SUBSTITUTE(A453,"/",REPT(" ",250)),250)))</f>
        <v/>
      </c>
      <c r="D453" s="6">
        <f>IF(C453="","",IF(ISNUMBER(SEARCH(".",C453)),LOWER("."&amp;TRIM(RIGHT(SUBSTITUTE(C453,".",REPT(" ",250)),250))),""))</f>
        <v/>
      </c>
      <c r="E453" s="6">
        <f>IF(C453="","",TRIM(SUBSTITUTE(SUBSTITUTE(SUBSTITUTE(SUBSTITUTE(SUBSTITUTE(SUBSTITUTE(SUBSTITUTE(SUBSTITUTE(SUBSTITUTE(SUBSTITUTE(SUBSTITUTE(SUBSTITUTE(SUBSTITUTE(SUBSTITUTE(SUBSTITUTE(SUBSTITUTE(SUBSTITUTE(SUBSTITUTE(SUBSTITUTE(SUBSTITUTE(LOWER(LEFT(C453,LEN(C453)-LEN(D453))),"_"," "),"-"," "),"."," "),","," "),"("," "),")"," "),"["," "),"]"," "),"&amp;"," "),"+"," "),"@"," "),"#"," "),"!"," "),"'"," "),"/"," "),":"," "),";"," "),"="," "),"~"," "),"%"," ")))</f>
        <v/>
      </c>
      <c r="F453" s="6">
        <f>IF(C453="","",IF(COUNTIF(Classifiers!$A$23:$A$40,D453)&gt;0,1,0))</f>
        <v/>
      </c>
      <c r="G453" s="6">
        <f>IF(C453="","",IF(COUNTIF(Classifiers!$C$23:$C$30,D453)&gt;0,IF((IF(ISNUMBER(SEARCH(Classifiers!$E$23,E453)),1,0)+IF(ISNUMBER(SEARCH(Classifiers!$E$24,E453)),1,0)+IF(ISNUMBER(SEARCH(Classifiers!$E$25,E453)),1,0)+IF(ISNUMBER(SEARCH(Classifiers!$E$26,E453)),1,0)+IF(ISNUMBER(SEARCH(Classifiers!$E$27,E453)),1,0)+IF(ISNUMBER(SEARCH(Classifiers!$E$28,E453)),1,0)+IF(ISNUMBER(SEARCH(Classifiers!$E$29,E453)),1,0)+IF(ISNUMBER(SEARCH(Classifiers!$E$30,E453)),1,0))&gt;0,1,0),0))</f>
        <v/>
      </c>
      <c r="H453" s="6">
        <f>IF(C453="","",IF(OR(LEFT(C453,1)=".",AND(F453=0,G453=0)),0,1))</f>
        <v/>
      </c>
      <c r="I453" s="6">
        <f>IF(H453&lt;&gt;1,"",IF(SUM(J453:W453)=0,"unclassified",INDEX(Classifiers!$A$5:$A$18,MATCH(1,J453:W453,0),1)))</f>
        <v/>
      </c>
      <c r="J453" s="12">
        <f>IF(H453&lt;&gt;1,0,IF((IF(Classifiers!$B$5="",0,IF(ISNUMBER(SEARCH(Classifiers!$B$5,E453)),1,0))+IF(Classifiers!$C$5="",0,IF(ISNUMBER(SEARCH(Classifiers!$C$5,E453)),1,0))+IF(Classifiers!$D$5="",0,IF(ISNUMBER(SEARCH(Classifiers!$D$5,E453)),1,0))+IF(Classifiers!$E$5="",0,IF(ISNUMBER(SEARCH(Classifiers!$E$5,E453)),1,0))+IF(Classifiers!$F$5="",0,IF(ISNUMBER(SEARCH(Classifiers!$F$5,E453)),1,0))+IF(Classifiers!$G$5="",0,IF(ISNUMBER(SEARCH(Classifiers!$G$5,E453)),1,0)))&gt;0,1,0))</f>
        <v/>
      </c>
      <c r="K453" s="12">
        <f>IF(H453&lt;&gt;1,0,IF((IF(Classifiers!$B$6="",0,IF(ISNUMBER(SEARCH(Classifiers!$B$6,E453)),1,0))+IF(Classifiers!$C$6="",0,IF(ISNUMBER(SEARCH(Classifiers!$C$6,E453)),1,0))+IF(Classifiers!$D$6="",0,IF(ISNUMBER(SEARCH(Classifiers!$D$6,E453)),1,0))+IF(Classifiers!$E$6="",0,IF(ISNUMBER(SEARCH(Classifiers!$E$6,E453)),1,0))+IF(Classifiers!$F$6="",0,IF(ISNUMBER(SEARCH(Classifiers!$F$6,E453)),1,0))+IF(Classifiers!$G$6="",0,IF(ISNUMBER(SEARCH(Classifiers!$G$6,E453)),1,0)))&gt;0,1,0))</f>
        <v/>
      </c>
      <c r="L453" s="12">
        <f>IF(H453&lt;&gt;1,0,IF((IF(Classifiers!$B$7="",0,IF(ISNUMBER(SEARCH(Classifiers!$B$7,E453)),1,0))+IF(Classifiers!$C$7="",0,IF(ISNUMBER(SEARCH(Classifiers!$C$7,E453)),1,0))+IF(Classifiers!$D$7="",0,IF(ISNUMBER(SEARCH(Classifiers!$D$7,E453)),1,0))+IF(Classifiers!$E$7="",0,IF(ISNUMBER(SEARCH(Classifiers!$E$7,E453)),1,0))+IF(Classifiers!$F$7="",0,IF(ISNUMBER(SEARCH(Classifiers!$F$7,E453)),1,0))+IF(Classifiers!$G$7="",0,IF(ISNUMBER(SEARCH(Classifiers!$G$7,E453)),1,0)))&gt;0,1,0))</f>
        <v/>
      </c>
      <c r="M453" s="12">
        <f>IF(H453&lt;&gt;1,0,IF((IF(Classifiers!$B$8="",0,IF(ISNUMBER(SEARCH(Classifiers!$B$8,E453)),1,0))+IF(Classifiers!$C$8="",0,IF(ISNUMBER(SEARCH(Classifiers!$C$8,E453)),1,0))+IF(Classifiers!$D$8="",0,IF(ISNUMBER(SEARCH(Classifiers!$D$8,E453)),1,0))+IF(Classifiers!$E$8="",0,IF(ISNUMBER(SEARCH(Classifiers!$E$8,E453)),1,0))+IF(Classifiers!$F$8="",0,IF(ISNUMBER(SEARCH(Classifiers!$F$8,E453)),1,0))+IF(Classifiers!$G$8="",0,IF(ISNUMBER(SEARCH(Classifiers!$G$8,E453)),1,0)))&gt;0,1,0))</f>
        <v/>
      </c>
      <c r="N453" s="12">
        <f>IF(H453&lt;&gt;1,0,IF((IF(Classifiers!$B$9="",0,IF(ISNUMBER(SEARCH(Classifiers!$B$9,E453)),1,0))+IF(Classifiers!$C$9="",0,IF(ISNUMBER(SEARCH(Classifiers!$C$9,E453)),1,0))+IF(Classifiers!$D$9="",0,IF(ISNUMBER(SEARCH(Classifiers!$D$9,E453)),1,0))+IF(Classifiers!$E$9="",0,IF(ISNUMBER(SEARCH(Classifiers!$E$9,E453)),1,0))+IF(Classifiers!$F$9="",0,IF(ISNUMBER(SEARCH(Classifiers!$F$9,E453)),1,0))+IF(Classifiers!$G$9="",0,IF(ISNUMBER(SEARCH(Classifiers!$G$9,E453)),1,0)))&gt;0,1,0))</f>
        <v/>
      </c>
      <c r="O453" s="12">
        <f>IF(H453&lt;&gt;1,0,IF((IF(Classifiers!$B$10="",0,IF(ISNUMBER(SEARCH(Classifiers!$B$10,E453)),1,0))+IF(Classifiers!$C$10="",0,IF(ISNUMBER(SEARCH(Classifiers!$C$10,E453)),1,0))+IF(Classifiers!$D$10="",0,IF(ISNUMBER(SEARCH(Classifiers!$D$10,E453)),1,0))+IF(Classifiers!$E$10="",0,IF(ISNUMBER(SEARCH(Classifiers!$E$10,E453)),1,0))+IF(Classifiers!$F$10="",0,IF(ISNUMBER(SEARCH(Classifiers!$F$10,E453)),1,0))+IF(Classifiers!$G$10="",0,IF(ISNUMBER(SEARCH(Classifiers!$G$10,E453)),1,0)))&gt;0,1,0))</f>
        <v/>
      </c>
      <c r="P453" s="12">
        <f>IF(H453&lt;&gt;1,0,IF((IF(Classifiers!$B$11="",0,IF(ISNUMBER(SEARCH(Classifiers!$B$11,E453)),1,0))+IF(Classifiers!$C$11="",0,IF(ISNUMBER(SEARCH(Classifiers!$C$11,E453)),1,0))+IF(Classifiers!$D$11="",0,IF(ISNUMBER(SEARCH(Classifiers!$D$11,E453)),1,0))+IF(Classifiers!$E$11="",0,IF(ISNUMBER(SEARCH(Classifiers!$E$11,E453)),1,0))+IF(Classifiers!$F$11="",0,IF(ISNUMBER(SEARCH(Classifiers!$F$11,E453)),1,0))+IF(Classifiers!$G$11="",0,IF(ISNUMBER(SEARCH(Classifiers!$G$11,E453)),1,0)))&gt;0,1,0))</f>
        <v/>
      </c>
      <c r="Q453" s="12">
        <f>IF(H453&lt;&gt;1,0,IF((IF(Classifiers!$B$12="",0,IF(ISNUMBER(SEARCH(Classifiers!$B$12,E453)),1,0))+IF(Classifiers!$C$12="",0,IF(ISNUMBER(SEARCH(Classifiers!$C$12,E453)),1,0))+IF(Classifiers!$D$12="",0,IF(ISNUMBER(SEARCH(Classifiers!$D$12,E453)),1,0))+IF(Classifiers!$E$12="",0,IF(ISNUMBER(SEARCH(Classifiers!$E$12,E453)),1,0))+IF(Classifiers!$F$12="",0,IF(ISNUMBER(SEARCH(Classifiers!$F$12,E453)),1,0))+IF(Classifiers!$G$12="",0,IF(ISNUMBER(SEARCH(Classifiers!$G$12,E453)),1,0)))&gt;0,1,0))</f>
        <v/>
      </c>
      <c r="R453" s="12">
        <f>IF(H453&lt;&gt;1,0,IF((IF(Classifiers!$B$13="",0,IF(ISNUMBER(SEARCH(Classifiers!$B$13,E453)),1,0))+IF(Classifiers!$C$13="",0,IF(ISNUMBER(SEARCH(Classifiers!$C$13,E453)),1,0))+IF(Classifiers!$D$13="",0,IF(ISNUMBER(SEARCH(Classifiers!$D$13,E453)),1,0))+IF(Classifiers!$E$13="",0,IF(ISNUMBER(SEARCH(Classifiers!$E$13,E453)),1,0))+IF(Classifiers!$F$13="",0,IF(ISNUMBER(SEARCH(Classifiers!$F$13,E453)),1,0))+IF(Classifiers!$G$13="",0,IF(ISNUMBER(SEARCH(Classifiers!$G$13,E453)),1,0)))&gt;0,1,0))</f>
        <v/>
      </c>
      <c r="S453" s="12">
        <f>IF(H453&lt;&gt;1,0,IF((IF(Classifiers!$B$14="",0,IF(ISNUMBER(SEARCH(Classifiers!$B$14,E453)),1,0))+IF(Classifiers!$C$14="",0,IF(ISNUMBER(SEARCH(Classifiers!$C$14,E453)),1,0))+IF(Classifiers!$D$14="",0,IF(ISNUMBER(SEARCH(Classifiers!$D$14,E453)),1,0))+IF(Classifiers!$E$14="",0,IF(ISNUMBER(SEARCH(Classifiers!$E$14,E453)),1,0))+IF(Classifiers!$F$14="",0,IF(ISNUMBER(SEARCH(Classifiers!$F$14,E453)),1,0))+IF(Classifiers!$G$14="",0,IF(ISNUMBER(SEARCH(Classifiers!$G$14,E453)),1,0)))&gt;0,1,0))</f>
        <v/>
      </c>
      <c r="T453" s="12">
        <f>IF(H453&lt;&gt;1,0,IF((IF(Classifiers!$B$15="",0,IF(ISNUMBER(SEARCH(Classifiers!$B$15,E453)),1,0))+IF(Classifiers!$C$15="",0,IF(ISNUMBER(SEARCH(Classifiers!$C$15,E453)),1,0))+IF(Classifiers!$D$15="",0,IF(ISNUMBER(SEARCH(Classifiers!$D$15,E453)),1,0))+IF(Classifiers!$E$15="",0,IF(ISNUMBER(SEARCH(Classifiers!$E$15,E453)),1,0))+IF(Classifiers!$F$15="",0,IF(ISNUMBER(SEARCH(Classifiers!$F$15,E453)),1,0))+IF(Classifiers!$G$15="",0,IF(ISNUMBER(SEARCH(Classifiers!$G$15,E453)),1,0)))&gt;0,1,0))</f>
        <v/>
      </c>
      <c r="U453" s="12">
        <f>IF(H453&lt;&gt;1,0,IF((IF(Classifiers!$B$16="",0,IF(ISNUMBER(SEARCH(Classifiers!$B$16,E453)),1,0))+IF(Classifiers!$C$16="",0,IF(ISNUMBER(SEARCH(Classifiers!$C$16,E453)),1,0))+IF(Classifiers!$D$16="",0,IF(ISNUMBER(SEARCH(Classifiers!$D$16,E453)),1,0))+IF(Classifiers!$E$16="",0,IF(ISNUMBER(SEARCH(Classifiers!$E$16,E453)),1,0))+IF(Classifiers!$F$16="",0,IF(ISNUMBER(SEARCH(Classifiers!$F$16,E453)),1,0))+IF(Classifiers!$G$16="",0,IF(ISNUMBER(SEARCH(Classifiers!$G$16,E453)),1,0)))&gt;0,1,0))</f>
        <v/>
      </c>
      <c r="V453" s="12">
        <f>IF(H453&lt;&gt;1,0,IF((IF(Classifiers!$B$17="",0,IF(ISNUMBER(SEARCH(Classifiers!$B$17,E453)),1,0))+IF(Classifiers!$C$17="",0,IF(ISNUMBER(SEARCH(Classifiers!$C$17,E453)),1,0))+IF(Classifiers!$D$17="",0,IF(ISNUMBER(SEARCH(Classifiers!$D$17,E453)),1,0))+IF(Classifiers!$E$17="",0,IF(ISNUMBER(SEARCH(Classifiers!$E$17,E453)),1,0))+IF(Classifiers!$F$17="",0,IF(ISNUMBER(SEARCH(Classifiers!$F$17,E453)),1,0))+IF(Classifiers!$G$17="",0,IF(ISNUMBER(SEARCH(Classifiers!$G$17,E453)),1,0)))&gt;0,1,0))</f>
        <v/>
      </c>
      <c r="W453" s="12">
        <f>IF(H453&lt;&gt;1,0,IF((IF(Classifiers!$B$18="",0,IF(ISNUMBER(SEARCH(Classifiers!$B$18,E453)),1,0))+IF(Classifiers!$C$18="",0,IF(ISNUMBER(SEARCH(Classifiers!$C$18,E453)),1,0))+IF(Classifiers!$D$18="",0,IF(ISNUMBER(SEARCH(Classifiers!$D$18,E453)),1,0))+IF(Classifiers!$E$18="",0,IF(ISNUMBER(SEARCH(Classifiers!$E$18,E453)),1,0))+IF(Classifiers!$F$18="",0,IF(ISNUMBER(SEARCH(Classifiers!$F$18,E453)),1,0))+IF(Classifiers!$G$18="",0,IF(ISNUMBER(SEARCH(Classifiers!$G$18,E453)),1,0)))&gt;0,1,0))</f>
        <v/>
      </c>
    </row>
    <row r="454">
      <c r="A454" s="8" t="n"/>
      <c r="B454" s="11" t="n"/>
      <c r="C454" s="6">
        <f>IF(A454="","",TRIM(RIGHT(SUBSTITUTE(A454,"/",REPT(" ",250)),250)))</f>
        <v/>
      </c>
      <c r="D454" s="6">
        <f>IF(C454="","",IF(ISNUMBER(SEARCH(".",C454)),LOWER("."&amp;TRIM(RIGHT(SUBSTITUTE(C454,".",REPT(" ",250)),250))),""))</f>
        <v/>
      </c>
      <c r="E454" s="6">
        <f>IF(C454="","",TRIM(SUBSTITUTE(SUBSTITUTE(SUBSTITUTE(SUBSTITUTE(SUBSTITUTE(SUBSTITUTE(SUBSTITUTE(SUBSTITUTE(SUBSTITUTE(SUBSTITUTE(SUBSTITUTE(SUBSTITUTE(SUBSTITUTE(SUBSTITUTE(SUBSTITUTE(SUBSTITUTE(SUBSTITUTE(SUBSTITUTE(SUBSTITUTE(SUBSTITUTE(LOWER(LEFT(C454,LEN(C454)-LEN(D454))),"_"," "),"-"," "),"."," "),","," "),"("," "),")"," "),"["," "),"]"," "),"&amp;"," "),"+"," "),"@"," "),"#"," "),"!"," "),"'"," "),"/"," "),":"," "),";"," "),"="," "),"~"," "),"%"," ")))</f>
        <v/>
      </c>
      <c r="F454" s="6">
        <f>IF(C454="","",IF(COUNTIF(Classifiers!$A$23:$A$40,D454)&gt;0,1,0))</f>
        <v/>
      </c>
      <c r="G454" s="6">
        <f>IF(C454="","",IF(COUNTIF(Classifiers!$C$23:$C$30,D454)&gt;0,IF((IF(ISNUMBER(SEARCH(Classifiers!$E$23,E454)),1,0)+IF(ISNUMBER(SEARCH(Classifiers!$E$24,E454)),1,0)+IF(ISNUMBER(SEARCH(Classifiers!$E$25,E454)),1,0)+IF(ISNUMBER(SEARCH(Classifiers!$E$26,E454)),1,0)+IF(ISNUMBER(SEARCH(Classifiers!$E$27,E454)),1,0)+IF(ISNUMBER(SEARCH(Classifiers!$E$28,E454)),1,0)+IF(ISNUMBER(SEARCH(Classifiers!$E$29,E454)),1,0)+IF(ISNUMBER(SEARCH(Classifiers!$E$30,E454)),1,0))&gt;0,1,0),0))</f>
        <v/>
      </c>
      <c r="H454" s="6">
        <f>IF(C454="","",IF(OR(LEFT(C454,1)=".",AND(F454=0,G454=0)),0,1))</f>
        <v/>
      </c>
      <c r="I454" s="6">
        <f>IF(H454&lt;&gt;1,"",IF(SUM(J454:W454)=0,"unclassified",INDEX(Classifiers!$A$5:$A$18,MATCH(1,J454:W454,0),1)))</f>
        <v/>
      </c>
      <c r="J454" s="12">
        <f>IF(H454&lt;&gt;1,0,IF((IF(Classifiers!$B$5="",0,IF(ISNUMBER(SEARCH(Classifiers!$B$5,E454)),1,0))+IF(Classifiers!$C$5="",0,IF(ISNUMBER(SEARCH(Classifiers!$C$5,E454)),1,0))+IF(Classifiers!$D$5="",0,IF(ISNUMBER(SEARCH(Classifiers!$D$5,E454)),1,0))+IF(Classifiers!$E$5="",0,IF(ISNUMBER(SEARCH(Classifiers!$E$5,E454)),1,0))+IF(Classifiers!$F$5="",0,IF(ISNUMBER(SEARCH(Classifiers!$F$5,E454)),1,0))+IF(Classifiers!$G$5="",0,IF(ISNUMBER(SEARCH(Classifiers!$G$5,E454)),1,0)))&gt;0,1,0))</f>
        <v/>
      </c>
      <c r="K454" s="12">
        <f>IF(H454&lt;&gt;1,0,IF((IF(Classifiers!$B$6="",0,IF(ISNUMBER(SEARCH(Classifiers!$B$6,E454)),1,0))+IF(Classifiers!$C$6="",0,IF(ISNUMBER(SEARCH(Classifiers!$C$6,E454)),1,0))+IF(Classifiers!$D$6="",0,IF(ISNUMBER(SEARCH(Classifiers!$D$6,E454)),1,0))+IF(Classifiers!$E$6="",0,IF(ISNUMBER(SEARCH(Classifiers!$E$6,E454)),1,0))+IF(Classifiers!$F$6="",0,IF(ISNUMBER(SEARCH(Classifiers!$F$6,E454)),1,0))+IF(Classifiers!$G$6="",0,IF(ISNUMBER(SEARCH(Classifiers!$G$6,E454)),1,0)))&gt;0,1,0))</f>
        <v/>
      </c>
      <c r="L454" s="12">
        <f>IF(H454&lt;&gt;1,0,IF((IF(Classifiers!$B$7="",0,IF(ISNUMBER(SEARCH(Classifiers!$B$7,E454)),1,0))+IF(Classifiers!$C$7="",0,IF(ISNUMBER(SEARCH(Classifiers!$C$7,E454)),1,0))+IF(Classifiers!$D$7="",0,IF(ISNUMBER(SEARCH(Classifiers!$D$7,E454)),1,0))+IF(Classifiers!$E$7="",0,IF(ISNUMBER(SEARCH(Classifiers!$E$7,E454)),1,0))+IF(Classifiers!$F$7="",0,IF(ISNUMBER(SEARCH(Classifiers!$F$7,E454)),1,0))+IF(Classifiers!$G$7="",0,IF(ISNUMBER(SEARCH(Classifiers!$G$7,E454)),1,0)))&gt;0,1,0))</f>
        <v/>
      </c>
      <c r="M454" s="12">
        <f>IF(H454&lt;&gt;1,0,IF((IF(Classifiers!$B$8="",0,IF(ISNUMBER(SEARCH(Classifiers!$B$8,E454)),1,0))+IF(Classifiers!$C$8="",0,IF(ISNUMBER(SEARCH(Classifiers!$C$8,E454)),1,0))+IF(Classifiers!$D$8="",0,IF(ISNUMBER(SEARCH(Classifiers!$D$8,E454)),1,0))+IF(Classifiers!$E$8="",0,IF(ISNUMBER(SEARCH(Classifiers!$E$8,E454)),1,0))+IF(Classifiers!$F$8="",0,IF(ISNUMBER(SEARCH(Classifiers!$F$8,E454)),1,0))+IF(Classifiers!$G$8="",0,IF(ISNUMBER(SEARCH(Classifiers!$G$8,E454)),1,0)))&gt;0,1,0))</f>
        <v/>
      </c>
      <c r="N454" s="12">
        <f>IF(H454&lt;&gt;1,0,IF((IF(Classifiers!$B$9="",0,IF(ISNUMBER(SEARCH(Classifiers!$B$9,E454)),1,0))+IF(Classifiers!$C$9="",0,IF(ISNUMBER(SEARCH(Classifiers!$C$9,E454)),1,0))+IF(Classifiers!$D$9="",0,IF(ISNUMBER(SEARCH(Classifiers!$D$9,E454)),1,0))+IF(Classifiers!$E$9="",0,IF(ISNUMBER(SEARCH(Classifiers!$E$9,E454)),1,0))+IF(Classifiers!$F$9="",0,IF(ISNUMBER(SEARCH(Classifiers!$F$9,E454)),1,0))+IF(Classifiers!$G$9="",0,IF(ISNUMBER(SEARCH(Classifiers!$G$9,E454)),1,0)))&gt;0,1,0))</f>
        <v/>
      </c>
      <c r="O454" s="12">
        <f>IF(H454&lt;&gt;1,0,IF((IF(Classifiers!$B$10="",0,IF(ISNUMBER(SEARCH(Classifiers!$B$10,E454)),1,0))+IF(Classifiers!$C$10="",0,IF(ISNUMBER(SEARCH(Classifiers!$C$10,E454)),1,0))+IF(Classifiers!$D$10="",0,IF(ISNUMBER(SEARCH(Classifiers!$D$10,E454)),1,0))+IF(Classifiers!$E$10="",0,IF(ISNUMBER(SEARCH(Classifiers!$E$10,E454)),1,0))+IF(Classifiers!$F$10="",0,IF(ISNUMBER(SEARCH(Classifiers!$F$10,E454)),1,0))+IF(Classifiers!$G$10="",0,IF(ISNUMBER(SEARCH(Classifiers!$G$10,E454)),1,0)))&gt;0,1,0))</f>
        <v/>
      </c>
      <c r="P454" s="12">
        <f>IF(H454&lt;&gt;1,0,IF((IF(Classifiers!$B$11="",0,IF(ISNUMBER(SEARCH(Classifiers!$B$11,E454)),1,0))+IF(Classifiers!$C$11="",0,IF(ISNUMBER(SEARCH(Classifiers!$C$11,E454)),1,0))+IF(Classifiers!$D$11="",0,IF(ISNUMBER(SEARCH(Classifiers!$D$11,E454)),1,0))+IF(Classifiers!$E$11="",0,IF(ISNUMBER(SEARCH(Classifiers!$E$11,E454)),1,0))+IF(Classifiers!$F$11="",0,IF(ISNUMBER(SEARCH(Classifiers!$F$11,E454)),1,0))+IF(Classifiers!$G$11="",0,IF(ISNUMBER(SEARCH(Classifiers!$G$11,E454)),1,0)))&gt;0,1,0))</f>
        <v/>
      </c>
      <c r="Q454" s="12">
        <f>IF(H454&lt;&gt;1,0,IF((IF(Classifiers!$B$12="",0,IF(ISNUMBER(SEARCH(Classifiers!$B$12,E454)),1,0))+IF(Classifiers!$C$12="",0,IF(ISNUMBER(SEARCH(Classifiers!$C$12,E454)),1,0))+IF(Classifiers!$D$12="",0,IF(ISNUMBER(SEARCH(Classifiers!$D$12,E454)),1,0))+IF(Classifiers!$E$12="",0,IF(ISNUMBER(SEARCH(Classifiers!$E$12,E454)),1,0))+IF(Classifiers!$F$12="",0,IF(ISNUMBER(SEARCH(Classifiers!$F$12,E454)),1,0))+IF(Classifiers!$G$12="",0,IF(ISNUMBER(SEARCH(Classifiers!$G$12,E454)),1,0)))&gt;0,1,0))</f>
        <v/>
      </c>
      <c r="R454" s="12">
        <f>IF(H454&lt;&gt;1,0,IF((IF(Classifiers!$B$13="",0,IF(ISNUMBER(SEARCH(Classifiers!$B$13,E454)),1,0))+IF(Classifiers!$C$13="",0,IF(ISNUMBER(SEARCH(Classifiers!$C$13,E454)),1,0))+IF(Classifiers!$D$13="",0,IF(ISNUMBER(SEARCH(Classifiers!$D$13,E454)),1,0))+IF(Classifiers!$E$13="",0,IF(ISNUMBER(SEARCH(Classifiers!$E$13,E454)),1,0))+IF(Classifiers!$F$13="",0,IF(ISNUMBER(SEARCH(Classifiers!$F$13,E454)),1,0))+IF(Classifiers!$G$13="",0,IF(ISNUMBER(SEARCH(Classifiers!$G$13,E454)),1,0)))&gt;0,1,0))</f>
        <v/>
      </c>
      <c r="S454" s="12">
        <f>IF(H454&lt;&gt;1,0,IF((IF(Classifiers!$B$14="",0,IF(ISNUMBER(SEARCH(Classifiers!$B$14,E454)),1,0))+IF(Classifiers!$C$14="",0,IF(ISNUMBER(SEARCH(Classifiers!$C$14,E454)),1,0))+IF(Classifiers!$D$14="",0,IF(ISNUMBER(SEARCH(Classifiers!$D$14,E454)),1,0))+IF(Classifiers!$E$14="",0,IF(ISNUMBER(SEARCH(Classifiers!$E$14,E454)),1,0))+IF(Classifiers!$F$14="",0,IF(ISNUMBER(SEARCH(Classifiers!$F$14,E454)),1,0))+IF(Classifiers!$G$14="",0,IF(ISNUMBER(SEARCH(Classifiers!$G$14,E454)),1,0)))&gt;0,1,0))</f>
        <v/>
      </c>
      <c r="T454" s="12">
        <f>IF(H454&lt;&gt;1,0,IF((IF(Classifiers!$B$15="",0,IF(ISNUMBER(SEARCH(Classifiers!$B$15,E454)),1,0))+IF(Classifiers!$C$15="",0,IF(ISNUMBER(SEARCH(Classifiers!$C$15,E454)),1,0))+IF(Classifiers!$D$15="",0,IF(ISNUMBER(SEARCH(Classifiers!$D$15,E454)),1,0))+IF(Classifiers!$E$15="",0,IF(ISNUMBER(SEARCH(Classifiers!$E$15,E454)),1,0))+IF(Classifiers!$F$15="",0,IF(ISNUMBER(SEARCH(Classifiers!$F$15,E454)),1,0))+IF(Classifiers!$G$15="",0,IF(ISNUMBER(SEARCH(Classifiers!$G$15,E454)),1,0)))&gt;0,1,0))</f>
        <v/>
      </c>
      <c r="U454" s="12">
        <f>IF(H454&lt;&gt;1,0,IF((IF(Classifiers!$B$16="",0,IF(ISNUMBER(SEARCH(Classifiers!$B$16,E454)),1,0))+IF(Classifiers!$C$16="",0,IF(ISNUMBER(SEARCH(Classifiers!$C$16,E454)),1,0))+IF(Classifiers!$D$16="",0,IF(ISNUMBER(SEARCH(Classifiers!$D$16,E454)),1,0))+IF(Classifiers!$E$16="",0,IF(ISNUMBER(SEARCH(Classifiers!$E$16,E454)),1,0))+IF(Classifiers!$F$16="",0,IF(ISNUMBER(SEARCH(Classifiers!$F$16,E454)),1,0))+IF(Classifiers!$G$16="",0,IF(ISNUMBER(SEARCH(Classifiers!$G$16,E454)),1,0)))&gt;0,1,0))</f>
        <v/>
      </c>
      <c r="V454" s="12">
        <f>IF(H454&lt;&gt;1,0,IF((IF(Classifiers!$B$17="",0,IF(ISNUMBER(SEARCH(Classifiers!$B$17,E454)),1,0))+IF(Classifiers!$C$17="",0,IF(ISNUMBER(SEARCH(Classifiers!$C$17,E454)),1,0))+IF(Classifiers!$D$17="",0,IF(ISNUMBER(SEARCH(Classifiers!$D$17,E454)),1,0))+IF(Classifiers!$E$17="",0,IF(ISNUMBER(SEARCH(Classifiers!$E$17,E454)),1,0))+IF(Classifiers!$F$17="",0,IF(ISNUMBER(SEARCH(Classifiers!$F$17,E454)),1,0))+IF(Classifiers!$G$17="",0,IF(ISNUMBER(SEARCH(Classifiers!$G$17,E454)),1,0)))&gt;0,1,0))</f>
        <v/>
      </c>
      <c r="W454" s="12">
        <f>IF(H454&lt;&gt;1,0,IF((IF(Classifiers!$B$18="",0,IF(ISNUMBER(SEARCH(Classifiers!$B$18,E454)),1,0))+IF(Classifiers!$C$18="",0,IF(ISNUMBER(SEARCH(Classifiers!$C$18,E454)),1,0))+IF(Classifiers!$D$18="",0,IF(ISNUMBER(SEARCH(Classifiers!$D$18,E454)),1,0))+IF(Classifiers!$E$18="",0,IF(ISNUMBER(SEARCH(Classifiers!$E$18,E454)),1,0))+IF(Classifiers!$F$18="",0,IF(ISNUMBER(SEARCH(Classifiers!$F$18,E454)),1,0))+IF(Classifiers!$G$18="",0,IF(ISNUMBER(SEARCH(Classifiers!$G$18,E454)),1,0)))&gt;0,1,0))</f>
        <v/>
      </c>
    </row>
    <row r="455">
      <c r="A455" s="8" t="n"/>
      <c r="B455" s="11" t="n"/>
      <c r="C455" s="6">
        <f>IF(A455="","",TRIM(RIGHT(SUBSTITUTE(A455,"/",REPT(" ",250)),250)))</f>
        <v/>
      </c>
      <c r="D455" s="6">
        <f>IF(C455="","",IF(ISNUMBER(SEARCH(".",C455)),LOWER("."&amp;TRIM(RIGHT(SUBSTITUTE(C455,".",REPT(" ",250)),250))),""))</f>
        <v/>
      </c>
      <c r="E455" s="6">
        <f>IF(C455="","",TRIM(SUBSTITUTE(SUBSTITUTE(SUBSTITUTE(SUBSTITUTE(SUBSTITUTE(SUBSTITUTE(SUBSTITUTE(SUBSTITUTE(SUBSTITUTE(SUBSTITUTE(SUBSTITUTE(SUBSTITUTE(SUBSTITUTE(SUBSTITUTE(SUBSTITUTE(SUBSTITUTE(SUBSTITUTE(SUBSTITUTE(SUBSTITUTE(SUBSTITUTE(LOWER(LEFT(C455,LEN(C455)-LEN(D455))),"_"," "),"-"," "),"."," "),","," "),"("," "),")"," "),"["," "),"]"," "),"&amp;"," "),"+"," "),"@"," "),"#"," "),"!"," "),"'"," "),"/"," "),":"," "),";"," "),"="," "),"~"," "),"%"," ")))</f>
        <v/>
      </c>
      <c r="F455" s="6">
        <f>IF(C455="","",IF(COUNTIF(Classifiers!$A$23:$A$40,D455)&gt;0,1,0))</f>
        <v/>
      </c>
      <c r="G455" s="6">
        <f>IF(C455="","",IF(COUNTIF(Classifiers!$C$23:$C$30,D455)&gt;0,IF((IF(ISNUMBER(SEARCH(Classifiers!$E$23,E455)),1,0)+IF(ISNUMBER(SEARCH(Classifiers!$E$24,E455)),1,0)+IF(ISNUMBER(SEARCH(Classifiers!$E$25,E455)),1,0)+IF(ISNUMBER(SEARCH(Classifiers!$E$26,E455)),1,0)+IF(ISNUMBER(SEARCH(Classifiers!$E$27,E455)),1,0)+IF(ISNUMBER(SEARCH(Classifiers!$E$28,E455)),1,0)+IF(ISNUMBER(SEARCH(Classifiers!$E$29,E455)),1,0)+IF(ISNUMBER(SEARCH(Classifiers!$E$30,E455)),1,0))&gt;0,1,0),0))</f>
        <v/>
      </c>
      <c r="H455" s="6">
        <f>IF(C455="","",IF(OR(LEFT(C455,1)=".",AND(F455=0,G455=0)),0,1))</f>
        <v/>
      </c>
      <c r="I455" s="6">
        <f>IF(H455&lt;&gt;1,"",IF(SUM(J455:W455)=0,"unclassified",INDEX(Classifiers!$A$5:$A$18,MATCH(1,J455:W455,0),1)))</f>
        <v/>
      </c>
      <c r="J455" s="12">
        <f>IF(H455&lt;&gt;1,0,IF((IF(Classifiers!$B$5="",0,IF(ISNUMBER(SEARCH(Classifiers!$B$5,E455)),1,0))+IF(Classifiers!$C$5="",0,IF(ISNUMBER(SEARCH(Classifiers!$C$5,E455)),1,0))+IF(Classifiers!$D$5="",0,IF(ISNUMBER(SEARCH(Classifiers!$D$5,E455)),1,0))+IF(Classifiers!$E$5="",0,IF(ISNUMBER(SEARCH(Classifiers!$E$5,E455)),1,0))+IF(Classifiers!$F$5="",0,IF(ISNUMBER(SEARCH(Classifiers!$F$5,E455)),1,0))+IF(Classifiers!$G$5="",0,IF(ISNUMBER(SEARCH(Classifiers!$G$5,E455)),1,0)))&gt;0,1,0))</f>
        <v/>
      </c>
      <c r="K455" s="12">
        <f>IF(H455&lt;&gt;1,0,IF((IF(Classifiers!$B$6="",0,IF(ISNUMBER(SEARCH(Classifiers!$B$6,E455)),1,0))+IF(Classifiers!$C$6="",0,IF(ISNUMBER(SEARCH(Classifiers!$C$6,E455)),1,0))+IF(Classifiers!$D$6="",0,IF(ISNUMBER(SEARCH(Classifiers!$D$6,E455)),1,0))+IF(Classifiers!$E$6="",0,IF(ISNUMBER(SEARCH(Classifiers!$E$6,E455)),1,0))+IF(Classifiers!$F$6="",0,IF(ISNUMBER(SEARCH(Classifiers!$F$6,E455)),1,0))+IF(Classifiers!$G$6="",0,IF(ISNUMBER(SEARCH(Classifiers!$G$6,E455)),1,0)))&gt;0,1,0))</f>
        <v/>
      </c>
      <c r="L455" s="12">
        <f>IF(H455&lt;&gt;1,0,IF((IF(Classifiers!$B$7="",0,IF(ISNUMBER(SEARCH(Classifiers!$B$7,E455)),1,0))+IF(Classifiers!$C$7="",0,IF(ISNUMBER(SEARCH(Classifiers!$C$7,E455)),1,0))+IF(Classifiers!$D$7="",0,IF(ISNUMBER(SEARCH(Classifiers!$D$7,E455)),1,0))+IF(Classifiers!$E$7="",0,IF(ISNUMBER(SEARCH(Classifiers!$E$7,E455)),1,0))+IF(Classifiers!$F$7="",0,IF(ISNUMBER(SEARCH(Classifiers!$F$7,E455)),1,0))+IF(Classifiers!$G$7="",0,IF(ISNUMBER(SEARCH(Classifiers!$G$7,E455)),1,0)))&gt;0,1,0))</f>
        <v/>
      </c>
      <c r="M455" s="12">
        <f>IF(H455&lt;&gt;1,0,IF((IF(Classifiers!$B$8="",0,IF(ISNUMBER(SEARCH(Classifiers!$B$8,E455)),1,0))+IF(Classifiers!$C$8="",0,IF(ISNUMBER(SEARCH(Classifiers!$C$8,E455)),1,0))+IF(Classifiers!$D$8="",0,IF(ISNUMBER(SEARCH(Classifiers!$D$8,E455)),1,0))+IF(Classifiers!$E$8="",0,IF(ISNUMBER(SEARCH(Classifiers!$E$8,E455)),1,0))+IF(Classifiers!$F$8="",0,IF(ISNUMBER(SEARCH(Classifiers!$F$8,E455)),1,0))+IF(Classifiers!$G$8="",0,IF(ISNUMBER(SEARCH(Classifiers!$G$8,E455)),1,0)))&gt;0,1,0))</f>
        <v/>
      </c>
      <c r="N455" s="12">
        <f>IF(H455&lt;&gt;1,0,IF((IF(Classifiers!$B$9="",0,IF(ISNUMBER(SEARCH(Classifiers!$B$9,E455)),1,0))+IF(Classifiers!$C$9="",0,IF(ISNUMBER(SEARCH(Classifiers!$C$9,E455)),1,0))+IF(Classifiers!$D$9="",0,IF(ISNUMBER(SEARCH(Classifiers!$D$9,E455)),1,0))+IF(Classifiers!$E$9="",0,IF(ISNUMBER(SEARCH(Classifiers!$E$9,E455)),1,0))+IF(Classifiers!$F$9="",0,IF(ISNUMBER(SEARCH(Classifiers!$F$9,E455)),1,0))+IF(Classifiers!$G$9="",0,IF(ISNUMBER(SEARCH(Classifiers!$G$9,E455)),1,0)))&gt;0,1,0))</f>
        <v/>
      </c>
      <c r="O455" s="12">
        <f>IF(H455&lt;&gt;1,0,IF((IF(Classifiers!$B$10="",0,IF(ISNUMBER(SEARCH(Classifiers!$B$10,E455)),1,0))+IF(Classifiers!$C$10="",0,IF(ISNUMBER(SEARCH(Classifiers!$C$10,E455)),1,0))+IF(Classifiers!$D$10="",0,IF(ISNUMBER(SEARCH(Classifiers!$D$10,E455)),1,0))+IF(Classifiers!$E$10="",0,IF(ISNUMBER(SEARCH(Classifiers!$E$10,E455)),1,0))+IF(Classifiers!$F$10="",0,IF(ISNUMBER(SEARCH(Classifiers!$F$10,E455)),1,0))+IF(Classifiers!$G$10="",0,IF(ISNUMBER(SEARCH(Classifiers!$G$10,E455)),1,0)))&gt;0,1,0))</f>
        <v/>
      </c>
      <c r="P455" s="12">
        <f>IF(H455&lt;&gt;1,0,IF((IF(Classifiers!$B$11="",0,IF(ISNUMBER(SEARCH(Classifiers!$B$11,E455)),1,0))+IF(Classifiers!$C$11="",0,IF(ISNUMBER(SEARCH(Classifiers!$C$11,E455)),1,0))+IF(Classifiers!$D$11="",0,IF(ISNUMBER(SEARCH(Classifiers!$D$11,E455)),1,0))+IF(Classifiers!$E$11="",0,IF(ISNUMBER(SEARCH(Classifiers!$E$11,E455)),1,0))+IF(Classifiers!$F$11="",0,IF(ISNUMBER(SEARCH(Classifiers!$F$11,E455)),1,0))+IF(Classifiers!$G$11="",0,IF(ISNUMBER(SEARCH(Classifiers!$G$11,E455)),1,0)))&gt;0,1,0))</f>
        <v/>
      </c>
      <c r="Q455" s="12">
        <f>IF(H455&lt;&gt;1,0,IF((IF(Classifiers!$B$12="",0,IF(ISNUMBER(SEARCH(Classifiers!$B$12,E455)),1,0))+IF(Classifiers!$C$12="",0,IF(ISNUMBER(SEARCH(Classifiers!$C$12,E455)),1,0))+IF(Classifiers!$D$12="",0,IF(ISNUMBER(SEARCH(Classifiers!$D$12,E455)),1,0))+IF(Classifiers!$E$12="",0,IF(ISNUMBER(SEARCH(Classifiers!$E$12,E455)),1,0))+IF(Classifiers!$F$12="",0,IF(ISNUMBER(SEARCH(Classifiers!$F$12,E455)),1,0))+IF(Classifiers!$G$12="",0,IF(ISNUMBER(SEARCH(Classifiers!$G$12,E455)),1,0)))&gt;0,1,0))</f>
        <v/>
      </c>
      <c r="R455" s="12">
        <f>IF(H455&lt;&gt;1,0,IF((IF(Classifiers!$B$13="",0,IF(ISNUMBER(SEARCH(Classifiers!$B$13,E455)),1,0))+IF(Classifiers!$C$13="",0,IF(ISNUMBER(SEARCH(Classifiers!$C$13,E455)),1,0))+IF(Classifiers!$D$13="",0,IF(ISNUMBER(SEARCH(Classifiers!$D$13,E455)),1,0))+IF(Classifiers!$E$13="",0,IF(ISNUMBER(SEARCH(Classifiers!$E$13,E455)),1,0))+IF(Classifiers!$F$13="",0,IF(ISNUMBER(SEARCH(Classifiers!$F$13,E455)),1,0))+IF(Classifiers!$G$13="",0,IF(ISNUMBER(SEARCH(Classifiers!$G$13,E455)),1,0)))&gt;0,1,0))</f>
        <v/>
      </c>
      <c r="S455" s="12">
        <f>IF(H455&lt;&gt;1,0,IF((IF(Classifiers!$B$14="",0,IF(ISNUMBER(SEARCH(Classifiers!$B$14,E455)),1,0))+IF(Classifiers!$C$14="",0,IF(ISNUMBER(SEARCH(Classifiers!$C$14,E455)),1,0))+IF(Classifiers!$D$14="",0,IF(ISNUMBER(SEARCH(Classifiers!$D$14,E455)),1,0))+IF(Classifiers!$E$14="",0,IF(ISNUMBER(SEARCH(Classifiers!$E$14,E455)),1,0))+IF(Classifiers!$F$14="",0,IF(ISNUMBER(SEARCH(Classifiers!$F$14,E455)),1,0))+IF(Classifiers!$G$14="",0,IF(ISNUMBER(SEARCH(Classifiers!$G$14,E455)),1,0)))&gt;0,1,0))</f>
        <v/>
      </c>
      <c r="T455" s="12">
        <f>IF(H455&lt;&gt;1,0,IF((IF(Classifiers!$B$15="",0,IF(ISNUMBER(SEARCH(Classifiers!$B$15,E455)),1,0))+IF(Classifiers!$C$15="",0,IF(ISNUMBER(SEARCH(Classifiers!$C$15,E455)),1,0))+IF(Classifiers!$D$15="",0,IF(ISNUMBER(SEARCH(Classifiers!$D$15,E455)),1,0))+IF(Classifiers!$E$15="",0,IF(ISNUMBER(SEARCH(Classifiers!$E$15,E455)),1,0))+IF(Classifiers!$F$15="",0,IF(ISNUMBER(SEARCH(Classifiers!$F$15,E455)),1,0))+IF(Classifiers!$G$15="",0,IF(ISNUMBER(SEARCH(Classifiers!$G$15,E455)),1,0)))&gt;0,1,0))</f>
        <v/>
      </c>
      <c r="U455" s="12">
        <f>IF(H455&lt;&gt;1,0,IF((IF(Classifiers!$B$16="",0,IF(ISNUMBER(SEARCH(Classifiers!$B$16,E455)),1,0))+IF(Classifiers!$C$16="",0,IF(ISNUMBER(SEARCH(Classifiers!$C$16,E455)),1,0))+IF(Classifiers!$D$16="",0,IF(ISNUMBER(SEARCH(Classifiers!$D$16,E455)),1,0))+IF(Classifiers!$E$16="",0,IF(ISNUMBER(SEARCH(Classifiers!$E$16,E455)),1,0))+IF(Classifiers!$F$16="",0,IF(ISNUMBER(SEARCH(Classifiers!$F$16,E455)),1,0))+IF(Classifiers!$G$16="",0,IF(ISNUMBER(SEARCH(Classifiers!$G$16,E455)),1,0)))&gt;0,1,0))</f>
        <v/>
      </c>
      <c r="V455" s="12">
        <f>IF(H455&lt;&gt;1,0,IF((IF(Classifiers!$B$17="",0,IF(ISNUMBER(SEARCH(Classifiers!$B$17,E455)),1,0))+IF(Classifiers!$C$17="",0,IF(ISNUMBER(SEARCH(Classifiers!$C$17,E455)),1,0))+IF(Classifiers!$D$17="",0,IF(ISNUMBER(SEARCH(Classifiers!$D$17,E455)),1,0))+IF(Classifiers!$E$17="",0,IF(ISNUMBER(SEARCH(Classifiers!$E$17,E455)),1,0))+IF(Classifiers!$F$17="",0,IF(ISNUMBER(SEARCH(Classifiers!$F$17,E455)),1,0))+IF(Classifiers!$G$17="",0,IF(ISNUMBER(SEARCH(Classifiers!$G$17,E455)),1,0)))&gt;0,1,0))</f>
        <v/>
      </c>
      <c r="W455" s="12">
        <f>IF(H455&lt;&gt;1,0,IF((IF(Classifiers!$B$18="",0,IF(ISNUMBER(SEARCH(Classifiers!$B$18,E455)),1,0))+IF(Classifiers!$C$18="",0,IF(ISNUMBER(SEARCH(Classifiers!$C$18,E455)),1,0))+IF(Classifiers!$D$18="",0,IF(ISNUMBER(SEARCH(Classifiers!$D$18,E455)),1,0))+IF(Classifiers!$E$18="",0,IF(ISNUMBER(SEARCH(Classifiers!$E$18,E455)),1,0))+IF(Classifiers!$F$18="",0,IF(ISNUMBER(SEARCH(Classifiers!$F$18,E455)),1,0))+IF(Classifiers!$G$18="",0,IF(ISNUMBER(SEARCH(Classifiers!$G$18,E455)),1,0)))&gt;0,1,0))</f>
        <v/>
      </c>
    </row>
    <row r="456">
      <c r="A456" s="8" t="n"/>
      <c r="B456" s="11" t="n"/>
      <c r="C456" s="6">
        <f>IF(A456="","",TRIM(RIGHT(SUBSTITUTE(A456,"/",REPT(" ",250)),250)))</f>
        <v/>
      </c>
      <c r="D456" s="6">
        <f>IF(C456="","",IF(ISNUMBER(SEARCH(".",C456)),LOWER("."&amp;TRIM(RIGHT(SUBSTITUTE(C456,".",REPT(" ",250)),250))),""))</f>
        <v/>
      </c>
      <c r="E456" s="6">
        <f>IF(C456="","",TRIM(SUBSTITUTE(SUBSTITUTE(SUBSTITUTE(SUBSTITUTE(SUBSTITUTE(SUBSTITUTE(SUBSTITUTE(SUBSTITUTE(SUBSTITUTE(SUBSTITUTE(SUBSTITUTE(SUBSTITUTE(SUBSTITUTE(SUBSTITUTE(SUBSTITUTE(SUBSTITUTE(SUBSTITUTE(SUBSTITUTE(SUBSTITUTE(SUBSTITUTE(LOWER(LEFT(C456,LEN(C456)-LEN(D456))),"_"," "),"-"," "),"."," "),","," "),"("," "),")"," "),"["," "),"]"," "),"&amp;"," "),"+"," "),"@"," "),"#"," "),"!"," "),"'"," "),"/"," "),":"," "),";"," "),"="," "),"~"," "),"%"," ")))</f>
        <v/>
      </c>
      <c r="F456" s="6">
        <f>IF(C456="","",IF(COUNTIF(Classifiers!$A$23:$A$40,D456)&gt;0,1,0))</f>
        <v/>
      </c>
      <c r="G456" s="6">
        <f>IF(C456="","",IF(COUNTIF(Classifiers!$C$23:$C$30,D456)&gt;0,IF((IF(ISNUMBER(SEARCH(Classifiers!$E$23,E456)),1,0)+IF(ISNUMBER(SEARCH(Classifiers!$E$24,E456)),1,0)+IF(ISNUMBER(SEARCH(Classifiers!$E$25,E456)),1,0)+IF(ISNUMBER(SEARCH(Classifiers!$E$26,E456)),1,0)+IF(ISNUMBER(SEARCH(Classifiers!$E$27,E456)),1,0)+IF(ISNUMBER(SEARCH(Classifiers!$E$28,E456)),1,0)+IF(ISNUMBER(SEARCH(Classifiers!$E$29,E456)),1,0)+IF(ISNUMBER(SEARCH(Classifiers!$E$30,E456)),1,0))&gt;0,1,0),0))</f>
        <v/>
      </c>
      <c r="H456" s="6">
        <f>IF(C456="","",IF(OR(LEFT(C456,1)=".",AND(F456=0,G456=0)),0,1))</f>
        <v/>
      </c>
      <c r="I456" s="6">
        <f>IF(H456&lt;&gt;1,"",IF(SUM(J456:W456)=0,"unclassified",INDEX(Classifiers!$A$5:$A$18,MATCH(1,J456:W456,0),1)))</f>
        <v/>
      </c>
      <c r="J456" s="12">
        <f>IF(H456&lt;&gt;1,0,IF((IF(Classifiers!$B$5="",0,IF(ISNUMBER(SEARCH(Classifiers!$B$5,E456)),1,0))+IF(Classifiers!$C$5="",0,IF(ISNUMBER(SEARCH(Classifiers!$C$5,E456)),1,0))+IF(Classifiers!$D$5="",0,IF(ISNUMBER(SEARCH(Classifiers!$D$5,E456)),1,0))+IF(Classifiers!$E$5="",0,IF(ISNUMBER(SEARCH(Classifiers!$E$5,E456)),1,0))+IF(Classifiers!$F$5="",0,IF(ISNUMBER(SEARCH(Classifiers!$F$5,E456)),1,0))+IF(Classifiers!$G$5="",0,IF(ISNUMBER(SEARCH(Classifiers!$G$5,E456)),1,0)))&gt;0,1,0))</f>
        <v/>
      </c>
      <c r="K456" s="12">
        <f>IF(H456&lt;&gt;1,0,IF((IF(Classifiers!$B$6="",0,IF(ISNUMBER(SEARCH(Classifiers!$B$6,E456)),1,0))+IF(Classifiers!$C$6="",0,IF(ISNUMBER(SEARCH(Classifiers!$C$6,E456)),1,0))+IF(Classifiers!$D$6="",0,IF(ISNUMBER(SEARCH(Classifiers!$D$6,E456)),1,0))+IF(Classifiers!$E$6="",0,IF(ISNUMBER(SEARCH(Classifiers!$E$6,E456)),1,0))+IF(Classifiers!$F$6="",0,IF(ISNUMBER(SEARCH(Classifiers!$F$6,E456)),1,0))+IF(Classifiers!$G$6="",0,IF(ISNUMBER(SEARCH(Classifiers!$G$6,E456)),1,0)))&gt;0,1,0))</f>
        <v/>
      </c>
      <c r="L456" s="12">
        <f>IF(H456&lt;&gt;1,0,IF((IF(Classifiers!$B$7="",0,IF(ISNUMBER(SEARCH(Classifiers!$B$7,E456)),1,0))+IF(Classifiers!$C$7="",0,IF(ISNUMBER(SEARCH(Classifiers!$C$7,E456)),1,0))+IF(Classifiers!$D$7="",0,IF(ISNUMBER(SEARCH(Classifiers!$D$7,E456)),1,0))+IF(Classifiers!$E$7="",0,IF(ISNUMBER(SEARCH(Classifiers!$E$7,E456)),1,0))+IF(Classifiers!$F$7="",0,IF(ISNUMBER(SEARCH(Classifiers!$F$7,E456)),1,0))+IF(Classifiers!$G$7="",0,IF(ISNUMBER(SEARCH(Classifiers!$G$7,E456)),1,0)))&gt;0,1,0))</f>
        <v/>
      </c>
      <c r="M456" s="12">
        <f>IF(H456&lt;&gt;1,0,IF((IF(Classifiers!$B$8="",0,IF(ISNUMBER(SEARCH(Classifiers!$B$8,E456)),1,0))+IF(Classifiers!$C$8="",0,IF(ISNUMBER(SEARCH(Classifiers!$C$8,E456)),1,0))+IF(Classifiers!$D$8="",0,IF(ISNUMBER(SEARCH(Classifiers!$D$8,E456)),1,0))+IF(Classifiers!$E$8="",0,IF(ISNUMBER(SEARCH(Classifiers!$E$8,E456)),1,0))+IF(Classifiers!$F$8="",0,IF(ISNUMBER(SEARCH(Classifiers!$F$8,E456)),1,0))+IF(Classifiers!$G$8="",0,IF(ISNUMBER(SEARCH(Classifiers!$G$8,E456)),1,0)))&gt;0,1,0))</f>
        <v/>
      </c>
      <c r="N456" s="12">
        <f>IF(H456&lt;&gt;1,0,IF((IF(Classifiers!$B$9="",0,IF(ISNUMBER(SEARCH(Classifiers!$B$9,E456)),1,0))+IF(Classifiers!$C$9="",0,IF(ISNUMBER(SEARCH(Classifiers!$C$9,E456)),1,0))+IF(Classifiers!$D$9="",0,IF(ISNUMBER(SEARCH(Classifiers!$D$9,E456)),1,0))+IF(Classifiers!$E$9="",0,IF(ISNUMBER(SEARCH(Classifiers!$E$9,E456)),1,0))+IF(Classifiers!$F$9="",0,IF(ISNUMBER(SEARCH(Classifiers!$F$9,E456)),1,0))+IF(Classifiers!$G$9="",0,IF(ISNUMBER(SEARCH(Classifiers!$G$9,E456)),1,0)))&gt;0,1,0))</f>
        <v/>
      </c>
      <c r="O456" s="12">
        <f>IF(H456&lt;&gt;1,0,IF((IF(Classifiers!$B$10="",0,IF(ISNUMBER(SEARCH(Classifiers!$B$10,E456)),1,0))+IF(Classifiers!$C$10="",0,IF(ISNUMBER(SEARCH(Classifiers!$C$10,E456)),1,0))+IF(Classifiers!$D$10="",0,IF(ISNUMBER(SEARCH(Classifiers!$D$10,E456)),1,0))+IF(Classifiers!$E$10="",0,IF(ISNUMBER(SEARCH(Classifiers!$E$10,E456)),1,0))+IF(Classifiers!$F$10="",0,IF(ISNUMBER(SEARCH(Classifiers!$F$10,E456)),1,0))+IF(Classifiers!$G$10="",0,IF(ISNUMBER(SEARCH(Classifiers!$G$10,E456)),1,0)))&gt;0,1,0))</f>
        <v/>
      </c>
      <c r="P456" s="12">
        <f>IF(H456&lt;&gt;1,0,IF((IF(Classifiers!$B$11="",0,IF(ISNUMBER(SEARCH(Classifiers!$B$11,E456)),1,0))+IF(Classifiers!$C$11="",0,IF(ISNUMBER(SEARCH(Classifiers!$C$11,E456)),1,0))+IF(Classifiers!$D$11="",0,IF(ISNUMBER(SEARCH(Classifiers!$D$11,E456)),1,0))+IF(Classifiers!$E$11="",0,IF(ISNUMBER(SEARCH(Classifiers!$E$11,E456)),1,0))+IF(Classifiers!$F$11="",0,IF(ISNUMBER(SEARCH(Classifiers!$F$11,E456)),1,0))+IF(Classifiers!$G$11="",0,IF(ISNUMBER(SEARCH(Classifiers!$G$11,E456)),1,0)))&gt;0,1,0))</f>
        <v/>
      </c>
      <c r="Q456" s="12">
        <f>IF(H456&lt;&gt;1,0,IF((IF(Classifiers!$B$12="",0,IF(ISNUMBER(SEARCH(Classifiers!$B$12,E456)),1,0))+IF(Classifiers!$C$12="",0,IF(ISNUMBER(SEARCH(Classifiers!$C$12,E456)),1,0))+IF(Classifiers!$D$12="",0,IF(ISNUMBER(SEARCH(Classifiers!$D$12,E456)),1,0))+IF(Classifiers!$E$12="",0,IF(ISNUMBER(SEARCH(Classifiers!$E$12,E456)),1,0))+IF(Classifiers!$F$12="",0,IF(ISNUMBER(SEARCH(Classifiers!$F$12,E456)),1,0))+IF(Classifiers!$G$12="",0,IF(ISNUMBER(SEARCH(Classifiers!$G$12,E456)),1,0)))&gt;0,1,0))</f>
        <v/>
      </c>
      <c r="R456" s="12">
        <f>IF(H456&lt;&gt;1,0,IF((IF(Classifiers!$B$13="",0,IF(ISNUMBER(SEARCH(Classifiers!$B$13,E456)),1,0))+IF(Classifiers!$C$13="",0,IF(ISNUMBER(SEARCH(Classifiers!$C$13,E456)),1,0))+IF(Classifiers!$D$13="",0,IF(ISNUMBER(SEARCH(Classifiers!$D$13,E456)),1,0))+IF(Classifiers!$E$13="",0,IF(ISNUMBER(SEARCH(Classifiers!$E$13,E456)),1,0))+IF(Classifiers!$F$13="",0,IF(ISNUMBER(SEARCH(Classifiers!$F$13,E456)),1,0))+IF(Classifiers!$G$13="",0,IF(ISNUMBER(SEARCH(Classifiers!$G$13,E456)),1,0)))&gt;0,1,0))</f>
        <v/>
      </c>
      <c r="S456" s="12">
        <f>IF(H456&lt;&gt;1,0,IF((IF(Classifiers!$B$14="",0,IF(ISNUMBER(SEARCH(Classifiers!$B$14,E456)),1,0))+IF(Classifiers!$C$14="",0,IF(ISNUMBER(SEARCH(Classifiers!$C$14,E456)),1,0))+IF(Classifiers!$D$14="",0,IF(ISNUMBER(SEARCH(Classifiers!$D$14,E456)),1,0))+IF(Classifiers!$E$14="",0,IF(ISNUMBER(SEARCH(Classifiers!$E$14,E456)),1,0))+IF(Classifiers!$F$14="",0,IF(ISNUMBER(SEARCH(Classifiers!$F$14,E456)),1,0))+IF(Classifiers!$G$14="",0,IF(ISNUMBER(SEARCH(Classifiers!$G$14,E456)),1,0)))&gt;0,1,0))</f>
        <v/>
      </c>
      <c r="T456" s="12">
        <f>IF(H456&lt;&gt;1,0,IF((IF(Classifiers!$B$15="",0,IF(ISNUMBER(SEARCH(Classifiers!$B$15,E456)),1,0))+IF(Classifiers!$C$15="",0,IF(ISNUMBER(SEARCH(Classifiers!$C$15,E456)),1,0))+IF(Classifiers!$D$15="",0,IF(ISNUMBER(SEARCH(Classifiers!$D$15,E456)),1,0))+IF(Classifiers!$E$15="",0,IF(ISNUMBER(SEARCH(Classifiers!$E$15,E456)),1,0))+IF(Classifiers!$F$15="",0,IF(ISNUMBER(SEARCH(Classifiers!$F$15,E456)),1,0))+IF(Classifiers!$G$15="",0,IF(ISNUMBER(SEARCH(Classifiers!$G$15,E456)),1,0)))&gt;0,1,0))</f>
        <v/>
      </c>
      <c r="U456" s="12">
        <f>IF(H456&lt;&gt;1,0,IF((IF(Classifiers!$B$16="",0,IF(ISNUMBER(SEARCH(Classifiers!$B$16,E456)),1,0))+IF(Classifiers!$C$16="",0,IF(ISNUMBER(SEARCH(Classifiers!$C$16,E456)),1,0))+IF(Classifiers!$D$16="",0,IF(ISNUMBER(SEARCH(Classifiers!$D$16,E456)),1,0))+IF(Classifiers!$E$16="",0,IF(ISNUMBER(SEARCH(Classifiers!$E$16,E456)),1,0))+IF(Classifiers!$F$16="",0,IF(ISNUMBER(SEARCH(Classifiers!$F$16,E456)),1,0))+IF(Classifiers!$G$16="",0,IF(ISNUMBER(SEARCH(Classifiers!$G$16,E456)),1,0)))&gt;0,1,0))</f>
        <v/>
      </c>
      <c r="V456" s="12">
        <f>IF(H456&lt;&gt;1,0,IF((IF(Classifiers!$B$17="",0,IF(ISNUMBER(SEARCH(Classifiers!$B$17,E456)),1,0))+IF(Classifiers!$C$17="",0,IF(ISNUMBER(SEARCH(Classifiers!$C$17,E456)),1,0))+IF(Classifiers!$D$17="",0,IF(ISNUMBER(SEARCH(Classifiers!$D$17,E456)),1,0))+IF(Classifiers!$E$17="",0,IF(ISNUMBER(SEARCH(Classifiers!$E$17,E456)),1,0))+IF(Classifiers!$F$17="",0,IF(ISNUMBER(SEARCH(Classifiers!$F$17,E456)),1,0))+IF(Classifiers!$G$17="",0,IF(ISNUMBER(SEARCH(Classifiers!$G$17,E456)),1,0)))&gt;0,1,0))</f>
        <v/>
      </c>
      <c r="W456" s="12">
        <f>IF(H456&lt;&gt;1,0,IF((IF(Classifiers!$B$18="",0,IF(ISNUMBER(SEARCH(Classifiers!$B$18,E456)),1,0))+IF(Classifiers!$C$18="",0,IF(ISNUMBER(SEARCH(Classifiers!$C$18,E456)),1,0))+IF(Classifiers!$D$18="",0,IF(ISNUMBER(SEARCH(Classifiers!$D$18,E456)),1,0))+IF(Classifiers!$E$18="",0,IF(ISNUMBER(SEARCH(Classifiers!$E$18,E456)),1,0))+IF(Classifiers!$F$18="",0,IF(ISNUMBER(SEARCH(Classifiers!$F$18,E456)),1,0))+IF(Classifiers!$G$18="",0,IF(ISNUMBER(SEARCH(Classifiers!$G$18,E456)),1,0)))&gt;0,1,0))</f>
        <v/>
      </c>
    </row>
    <row r="457">
      <c r="A457" s="8" t="n"/>
      <c r="B457" s="11" t="n"/>
      <c r="C457" s="6">
        <f>IF(A457="","",TRIM(RIGHT(SUBSTITUTE(A457,"/",REPT(" ",250)),250)))</f>
        <v/>
      </c>
      <c r="D457" s="6">
        <f>IF(C457="","",IF(ISNUMBER(SEARCH(".",C457)),LOWER("."&amp;TRIM(RIGHT(SUBSTITUTE(C457,".",REPT(" ",250)),250))),""))</f>
        <v/>
      </c>
      <c r="E457" s="6">
        <f>IF(C457="","",TRIM(SUBSTITUTE(SUBSTITUTE(SUBSTITUTE(SUBSTITUTE(SUBSTITUTE(SUBSTITUTE(SUBSTITUTE(SUBSTITUTE(SUBSTITUTE(SUBSTITUTE(SUBSTITUTE(SUBSTITUTE(SUBSTITUTE(SUBSTITUTE(SUBSTITUTE(SUBSTITUTE(SUBSTITUTE(SUBSTITUTE(SUBSTITUTE(SUBSTITUTE(LOWER(LEFT(C457,LEN(C457)-LEN(D457))),"_"," "),"-"," "),"."," "),","," "),"("," "),")"," "),"["," "),"]"," "),"&amp;"," "),"+"," "),"@"," "),"#"," "),"!"," "),"'"," "),"/"," "),":"," "),";"," "),"="," "),"~"," "),"%"," ")))</f>
        <v/>
      </c>
      <c r="F457" s="6">
        <f>IF(C457="","",IF(COUNTIF(Classifiers!$A$23:$A$40,D457)&gt;0,1,0))</f>
        <v/>
      </c>
      <c r="G457" s="6">
        <f>IF(C457="","",IF(COUNTIF(Classifiers!$C$23:$C$30,D457)&gt;0,IF((IF(ISNUMBER(SEARCH(Classifiers!$E$23,E457)),1,0)+IF(ISNUMBER(SEARCH(Classifiers!$E$24,E457)),1,0)+IF(ISNUMBER(SEARCH(Classifiers!$E$25,E457)),1,0)+IF(ISNUMBER(SEARCH(Classifiers!$E$26,E457)),1,0)+IF(ISNUMBER(SEARCH(Classifiers!$E$27,E457)),1,0)+IF(ISNUMBER(SEARCH(Classifiers!$E$28,E457)),1,0)+IF(ISNUMBER(SEARCH(Classifiers!$E$29,E457)),1,0)+IF(ISNUMBER(SEARCH(Classifiers!$E$30,E457)),1,0))&gt;0,1,0),0))</f>
        <v/>
      </c>
      <c r="H457" s="6">
        <f>IF(C457="","",IF(OR(LEFT(C457,1)=".",AND(F457=0,G457=0)),0,1))</f>
        <v/>
      </c>
      <c r="I457" s="6">
        <f>IF(H457&lt;&gt;1,"",IF(SUM(J457:W457)=0,"unclassified",INDEX(Classifiers!$A$5:$A$18,MATCH(1,J457:W457,0),1)))</f>
        <v/>
      </c>
      <c r="J457" s="12">
        <f>IF(H457&lt;&gt;1,0,IF((IF(Classifiers!$B$5="",0,IF(ISNUMBER(SEARCH(Classifiers!$B$5,E457)),1,0))+IF(Classifiers!$C$5="",0,IF(ISNUMBER(SEARCH(Classifiers!$C$5,E457)),1,0))+IF(Classifiers!$D$5="",0,IF(ISNUMBER(SEARCH(Classifiers!$D$5,E457)),1,0))+IF(Classifiers!$E$5="",0,IF(ISNUMBER(SEARCH(Classifiers!$E$5,E457)),1,0))+IF(Classifiers!$F$5="",0,IF(ISNUMBER(SEARCH(Classifiers!$F$5,E457)),1,0))+IF(Classifiers!$G$5="",0,IF(ISNUMBER(SEARCH(Classifiers!$G$5,E457)),1,0)))&gt;0,1,0))</f>
        <v/>
      </c>
      <c r="K457" s="12">
        <f>IF(H457&lt;&gt;1,0,IF((IF(Classifiers!$B$6="",0,IF(ISNUMBER(SEARCH(Classifiers!$B$6,E457)),1,0))+IF(Classifiers!$C$6="",0,IF(ISNUMBER(SEARCH(Classifiers!$C$6,E457)),1,0))+IF(Classifiers!$D$6="",0,IF(ISNUMBER(SEARCH(Classifiers!$D$6,E457)),1,0))+IF(Classifiers!$E$6="",0,IF(ISNUMBER(SEARCH(Classifiers!$E$6,E457)),1,0))+IF(Classifiers!$F$6="",0,IF(ISNUMBER(SEARCH(Classifiers!$F$6,E457)),1,0))+IF(Classifiers!$G$6="",0,IF(ISNUMBER(SEARCH(Classifiers!$G$6,E457)),1,0)))&gt;0,1,0))</f>
        <v/>
      </c>
      <c r="L457" s="12">
        <f>IF(H457&lt;&gt;1,0,IF((IF(Classifiers!$B$7="",0,IF(ISNUMBER(SEARCH(Classifiers!$B$7,E457)),1,0))+IF(Classifiers!$C$7="",0,IF(ISNUMBER(SEARCH(Classifiers!$C$7,E457)),1,0))+IF(Classifiers!$D$7="",0,IF(ISNUMBER(SEARCH(Classifiers!$D$7,E457)),1,0))+IF(Classifiers!$E$7="",0,IF(ISNUMBER(SEARCH(Classifiers!$E$7,E457)),1,0))+IF(Classifiers!$F$7="",0,IF(ISNUMBER(SEARCH(Classifiers!$F$7,E457)),1,0))+IF(Classifiers!$G$7="",0,IF(ISNUMBER(SEARCH(Classifiers!$G$7,E457)),1,0)))&gt;0,1,0))</f>
        <v/>
      </c>
      <c r="M457" s="12">
        <f>IF(H457&lt;&gt;1,0,IF((IF(Classifiers!$B$8="",0,IF(ISNUMBER(SEARCH(Classifiers!$B$8,E457)),1,0))+IF(Classifiers!$C$8="",0,IF(ISNUMBER(SEARCH(Classifiers!$C$8,E457)),1,0))+IF(Classifiers!$D$8="",0,IF(ISNUMBER(SEARCH(Classifiers!$D$8,E457)),1,0))+IF(Classifiers!$E$8="",0,IF(ISNUMBER(SEARCH(Classifiers!$E$8,E457)),1,0))+IF(Classifiers!$F$8="",0,IF(ISNUMBER(SEARCH(Classifiers!$F$8,E457)),1,0))+IF(Classifiers!$G$8="",0,IF(ISNUMBER(SEARCH(Classifiers!$G$8,E457)),1,0)))&gt;0,1,0))</f>
        <v/>
      </c>
      <c r="N457" s="12">
        <f>IF(H457&lt;&gt;1,0,IF((IF(Classifiers!$B$9="",0,IF(ISNUMBER(SEARCH(Classifiers!$B$9,E457)),1,0))+IF(Classifiers!$C$9="",0,IF(ISNUMBER(SEARCH(Classifiers!$C$9,E457)),1,0))+IF(Classifiers!$D$9="",0,IF(ISNUMBER(SEARCH(Classifiers!$D$9,E457)),1,0))+IF(Classifiers!$E$9="",0,IF(ISNUMBER(SEARCH(Classifiers!$E$9,E457)),1,0))+IF(Classifiers!$F$9="",0,IF(ISNUMBER(SEARCH(Classifiers!$F$9,E457)),1,0))+IF(Classifiers!$G$9="",0,IF(ISNUMBER(SEARCH(Classifiers!$G$9,E457)),1,0)))&gt;0,1,0))</f>
        <v/>
      </c>
      <c r="O457" s="12">
        <f>IF(H457&lt;&gt;1,0,IF((IF(Classifiers!$B$10="",0,IF(ISNUMBER(SEARCH(Classifiers!$B$10,E457)),1,0))+IF(Classifiers!$C$10="",0,IF(ISNUMBER(SEARCH(Classifiers!$C$10,E457)),1,0))+IF(Classifiers!$D$10="",0,IF(ISNUMBER(SEARCH(Classifiers!$D$10,E457)),1,0))+IF(Classifiers!$E$10="",0,IF(ISNUMBER(SEARCH(Classifiers!$E$10,E457)),1,0))+IF(Classifiers!$F$10="",0,IF(ISNUMBER(SEARCH(Classifiers!$F$10,E457)),1,0))+IF(Classifiers!$G$10="",0,IF(ISNUMBER(SEARCH(Classifiers!$G$10,E457)),1,0)))&gt;0,1,0))</f>
        <v/>
      </c>
      <c r="P457" s="12">
        <f>IF(H457&lt;&gt;1,0,IF((IF(Classifiers!$B$11="",0,IF(ISNUMBER(SEARCH(Classifiers!$B$11,E457)),1,0))+IF(Classifiers!$C$11="",0,IF(ISNUMBER(SEARCH(Classifiers!$C$11,E457)),1,0))+IF(Classifiers!$D$11="",0,IF(ISNUMBER(SEARCH(Classifiers!$D$11,E457)),1,0))+IF(Classifiers!$E$11="",0,IF(ISNUMBER(SEARCH(Classifiers!$E$11,E457)),1,0))+IF(Classifiers!$F$11="",0,IF(ISNUMBER(SEARCH(Classifiers!$F$11,E457)),1,0))+IF(Classifiers!$G$11="",0,IF(ISNUMBER(SEARCH(Classifiers!$G$11,E457)),1,0)))&gt;0,1,0))</f>
        <v/>
      </c>
      <c r="Q457" s="12">
        <f>IF(H457&lt;&gt;1,0,IF((IF(Classifiers!$B$12="",0,IF(ISNUMBER(SEARCH(Classifiers!$B$12,E457)),1,0))+IF(Classifiers!$C$12="",0,IF(ISNUMBER(SEARCH(Classifiers!$C$12,E457)),1,0))+IF(Classifiers!$D$12="",0,IF(ISNUMBER(SEARCH(Classifiers!$D$12,E457)),1,0))+IF(Classifiers!$E$12="",0,IF(ISNUMBER(SEARCH(Classifiers!$E$12,E457)),1,0))+IF(Classifiers!$F$12="",0,IF(ISNUMBER(SEARCH(Classifiers!$F$12,E457)),1,0))+IF(Classifiers!$G$12="",0,IF(ISNUMBER(SEARCH(Classifiers!$G$12,E457)),1,0)))&gt;0,1,0))</f>
        <v/>
      </c>
      <c r="R457" s="12">
        <f>IF(H457&lt;&gt;1,0,IF((IF(Classifiers!$B$13="",0,IF(ISNUMBER(SEARCH(Classifiers!$B$13,E457)),1,0))+IF(Classifiers!$C$13="",0,IF(ISNUMBER(SEARCH(Classifiers!$C$13,E457)),1,0))+IF(Classifiers!$D$13="",0,IF(ISNUMBER(SEARCH(Classifiers!$D$13,E457)),1,0))+IF(Classifiers!$E$13="",0,IF(ISNUMBER(SEARCH(Classifiers!$E$13,E457)),1,0))+IF(Classifiers!$F$13="",0,IF(ISNUMBER(SEARCH(Classifiers!$F$13,E457)),1,0))+IF(Classifiers!$G$13="",0,IF(ISNUMBER(SEARCH(Classifiers!$G$13,E457)),1,0)))&gt;0,1,0))</f>
        <v/>
      </c>
      <c r="S457" s="12">
        <f>IF(H457&lt;&gt;1,0,IF((IF(Classifiers!$B$14="",0,IF(ISNUMBER(SEARCH(Classifiers!$B$14,E457)),1,0))+IF(Classifiers!$C$14="",0,IF(ISNUMBER(SEARCH(Classifiers!$C$14,E457)),1,0))+IF(Classifiers!$D$14="",0,IF(ISNUMBER(SEARCH(Classifiers!$D$14,E457)),1,0))+IF(Classifiers!$E$14="",0,IF(ISNUMBER(SEARCH(Classifiers!$E$14,E457)),1,0))+IF(Classifiers!$F$14="",0,IF(ISNUMBER(SEARCH(Classifiers!$F$14,E457)),1,0))+IF(Classifiers!$G$14="",0,IF(ISNUMBER(SEARCH(Classifiers!$G$14,E457)),1,0)))&gt;0,1,0))</f>
        <v/>
      </c>
      <c r="T457" s="12">
        <f>IF(H457&lt;&gt;1,0,IF((IF(Classifiers!$B$15="",0,IF(ISNUMBER(SEARCH(Classifiers!$B$15,E457)),1,0))+IF(Classifiers!$C$15="",0,IF(ISNUMBER(SEARCH(Classifiers!$C$15,E457)),1,0))+IF(Classifiers!$D$15="",0,IF(ISNUMBER(SEARCH(Classifiers!$D$15,E457)),1,0))+IF(Classifiers!$E$15="",0,IF(ISNUMBER(SEARCH(Classifiers!$E$15,E457)),1,0))+IF(Classifiers!$F$15="",0,IF(ISNUMBER(SEARCH(Classifiers!$F$15,E457)),1,0))+IF(Classifiers!$G$15="",0,IF(ISNUMBER(SEARCH(Classifiers!$G$15,E457)),1,0)))&gt;0,1,0))</f>
        <v/>
      </c>
      <c r="U457" s="12">
        <f>IF(H457&lt;&gt;1,0,IF((IF(Classifiers!$B$16="",0,IF(ISNUMBER(SEARCH(Classifiers!$B$16,E457)),1,0))+IF(Classifiers!$C$16="",0,IF(ISNUMBER(SEARCH(Classifiers!$C$16,E457)),1,0))+IF(Classifiers!$D$16="",0,IF(ISNUMBER(SEARCH(Classifiers!$D$16,E457)),1,0))+IF(Classifiers!$E$16="",0,IF(ISNUMBER(SEARCH(Classifiers!$E$16,E457)),1,0))+IF(Classifiers!$F$16="",0,IF(ISNUMBER(SEARCH(Classifiers!$F$16,E457)),1,0))+IF(Classifiers!$G$16="",0,IF(ISNUMBER(SEARCH(Classifiers!$G$16,E457)),1,0)))&gt;0,1,0))</f>
        <v/>
      </c>
      <c r="V457" s="12">
        <f>IF(H457&lt;&gt;1,0,IF((IF(Classifiers!$B$17="",0,IF(ISNUMBER(SEARCH(Classifiers!$B$17,E457)),1,0))+IF(Classifiers!$C$17="",0,IF(ISNUMBER(SEARCH(Classifiers!$C$17,E457)),1,0))+IF(Classifiers!$D$17="",0,IF(ISNUMBER(SEARCH(Classifiers!$D$17,E457)),1,0))+IF(Classifiers!$E$17="",0,IF(ISNUMBER(SEARCH(Classifiers!$E$17,E457)),1,0))+IF(Classifiers!$F$17="",0,IF(ISNUMBER(SEARCH(Classifiers!$F$17,E457)),1,0))+IF(Classifiers!$G$17="",0,IF(ISNUMBER(SEARCH(Classifiers!$G$17,E457)),1,0)))&gt;0,1,0))</f>
        <v/>
      </c>
      <c r="W457" s="12">
        <f>IF(H457&lt;&gt;1,0,IF((IF(Classifiers!$B$18="",0,IF(ISNUMBER(SEARCH(Classifiers!$B$18,E457)),1,0))+IF(Classifiers!$C$18="",0,IF(ISNUMBER(SEARCH(Classifiers!$C$18,E457)),1,0))+IF(Classifiers!$D$18="",0,IF(ISNUMBER(SEARCH(Classifiers!$D$18,E457)),1,0))+IF(Classifiers!$E$18="",0,IF(ISNUMBER(SEARCH(Classifiers!$E$18,E457)),1,0))+IF(Classifiers!$F$18="",0,IF(ISNUMBER(SEARCH(Classifiers!$F$18,E457)),1,0))+IF(Classifiers!$G$18="",0,IF(ISNUMBER(SEARCH(Classifiers!$G$18,E457)),1,0)))&gt;0,1,0))</f>
        <v/>
      </c>
    </row>
    <row r="458">
      <c r="A458" s="8" t="n"/>
      <c r="B458" s="11" t="n"/>
      <c r="C458" s="6">
        <f>IF(A458="","",TRIM(RIGHT(SUBSTITUTE(A458,"/",REPT(" ",250)),250)))</f>
        <v/>
      </c>
      <c r="D458" s="6">
        <f>IF(C458="","",IF(ISNUMBER(SEARCH(".",C458)),LOWER("."&amp;TRIM(RIGHT(SUBSTITUTE(C458,".",REPT(" ",250)),250))),""))</f>
        <v/>
      </c>
      <c r="E458" s="6">
        <f>IF(C458="","",TRIM(SUBSTITUTE(SUBSTITUTE(SUBSTITUTE(SUBSTITUTE(SUBSTITUTE(SUBSTITUTE(SUBSTITUTE(SUBSTITUTE(SUBSTITUTE(SUBSTITUTE(SUBSTITUTE(SUBSTITUTE(SUBSTITUTE(SUBSTITUTE(SUBSTITUTE(SUBSTITUTE(SUBSTITUTE(SUBSTITUTE(SUBSTITUTE(SUBSTITUTE(LOWER(LEFT(C458,LEN(C458)-LEN(D458))),"_"," "),"-"," "),"."," "),","," "),"("," "),")"," "),"["," "),"]"," "),"&amp;"," "),"+"," "),"@"," "),"#"," "),"!"," "),"'"," "),"/"," "),":"," "),";"," "),"="," "),"~"," "),"%"," ")))</f>
        <v/>
      </c>
      <c r="F458" s="6">
        <f>IF(C458="","",IF(COUNTIF(Classifiers!$A$23:$A$40,D458)&gt;0,1,0))</f>
        <v/>
      </c>
      <c r="G458" s="6">
        <f>IF(C458="","",IF(COUNTIF(Classifiers!$C$23:$C$30,D458)&gt;0,IF((IF(ISNUMBER(SEARCH(Classifiers!$E$23,E458)),1,0)+IF(ISNUMBER(SEARCH(Classifiers!$E$24,E458)),1,0)+IF(ISNUMBER(SEARCH(Classifiers!$E$25,E458)),1,0)+IF(ISNUMBER(SEARCH(Classifiers!$E$26,E458)),1,0)+IF(ISNUMBER(SEARCH(Classifiers!$E$27,E458)),1,0)+IF(ISNUMBER(SEARCH(Classifiers!$E$28,E458)),1,0)+IF(ISNUMBER(SEARCH(Classifiers!$E$29,E458)),1,0)+IF(ISNUMBER(SEARCH(Classifiers!$E$30,E458)),1,0))&gt;0,1,0),0))</f>
        <v/>
      </c>
      <c r="H458" s="6">
        <f>IF(C458="","",IF(OR(LEFT(C458,1)=".",AND(F458=0,G458=0)),0,1))</f>
        <v/>
      </c>
      <c r="I458" s="6">
        <f>IF(H458&lt;&gt;1,"",IF(SUM(J458:W458)=0,"unclassified",INDEX(Classifiers!$A$5:$A$18,MATCH(1,J458:W458,0),1)))</f>
        <v/>
      </c>
      <c r="J458" s="12">
        <f>IF(H458&lt;&gt;1,0,IF((IF(Classifiers!$B$5="",0,IF(ISNUMBER(SEARCH(Classifiers!$B$5,E458)),1,0))+IF(Classifiers!$C$5="",0,IF(ISNUMBER(SEARCH(Classifiers!$C$5,E458)),1,0))+IF(Classifiers!$D$5="",0,IF(ISNUMBER(SEARCH(Classifiers!$D$5,E458)),1,0))+IF(Classifiers!$E$5="",0,IF(ISNUMBER(SEARCH(Classifiers!$E$5,E458)),1,0))+IF(Classifiers!$F$5="",0,IF(ISNUMBER(SEARCH(Classifiers!$F$5,E458)),1,0))+IF(Classifiers!$G$5="",0,IF(ISNUMBER(SEARCH(Classifiers!$G$5,E458)),1,0)))&gt;0,1,0))</f>
        <v/>
      </c>
      <c r="K458" s="12">
        <f>IF(H458&lt;&gt;1,0,IF((IF(Classifiers!$B$6="",0,IF(ISNUMBER(SEARCH(Classifiers!$B$6,E458)),1,0))+IF(Classifiers!$C$6="",0,IF(ISNUMBER(SEARCH(Classifiers!$C$6,E458)),1,0))+IF(Classifiers!$D$6="",0,IF(ISNUMBER(SEARCH(Classifiers!$D$6,E458)),1,0))+IF(Classifiers!$E$6="",0,IF(ISNUMBER(SEARCH(Classifiers!$E$6,E458)),1,0))+IF(Classifiers!$F$6="",0,IF(ISNUMBER(SEARCH(Classifiers!$F$6,E458)),1,0))+IF(Classifiers!$G$6="",0,IF(ISNUMBER(SEARCH(Classifiers!$G$6,E458)),1,0)))&gt;0,1,0))</f>
        <v/>
      </c>
      <c r="L458" s="12">
        <f>IF(H458&lt;&gt;1,0,IF((IF(Classifiers!$B$7="",0,IF(ISNUMBER(SEARCH(Classifiers!$B$7,E458)),1,0))+IF(Classifiers!$C$7="",0,IF(ISNUMBER(SEARCH(Classifiers!$C$7,E458)),1,0))+IF(Classifiers!$D$7="",0,IF(ISNUMBER(SEARCH(Classifiers!$D$7,E458)),1,0))+IF(Classifiers!$E$7="",0,IF(ISNUMBER(SEARCH(Classifiers!$E$7,E458)),1,0))+IF(Classifiers!$F$7="",0,IF(ISNUMBER(SEARCH(Classifiers!$F$7,E458)),1,0))+IF(Classifiers!$G$7="",0,IF(ISNUMBER(SEARCH(Classifiers!$G$7,E458)),1,0)))&gt;0,1,0))</f>
        <v/>
      </c>
      <c r="M458" s="12">
        <f>IF(H458&lt;&gt;1,0,IF((IF(Classifiers!$B$8="",0,IF(ISNUMBER(SEARCH(Classifiers!$B$8,E458)),1,0))+IF(Classifiers!$C$8="",0,IF(ISNUMBER(SEARCH(Classifiers!$C$8,E458)),1,0))+IF(Classifiers!$D$8="",0,IF(ISNUMBER(SEARCH(Classifiers!$D$8,E458)),1,0))+IF(Classifiers!$E$8="",0,IF(ISNUMBER(SEARCH(Classifiers!$E$8,E458)),1,0))+IF(Classifiers!$F$8="",0,IF(ISNUMBER(SEARCH(Classifiers!$F$8,E458)),1,0))+IF(Classifiers!$G$8="",0,IF(ISNUMBER(SEARCH(Classifiers!$G$8,E458)),1,0)))&gt;0,1,0))</f>
        <v/>
      </c>
      <c r="N458" s="12">
        <f>IF(H458&lt;&gt;1,0,IF((IF(Classifiers!$B$9="",0,IF(ISNUMBER(SEARCH(Classifiers!$B$9,E458)),1,0))+IF(Classifiers!$C$9="",0,IF(ISNUMBER(SEARCH(Classifiers!$C$9,E458)),1,0))+IF(Classifiers!$D$9="",0,IF(ISNUMBER(SEARCH(Classifiers!$D$9,E458)),1,0))+IF(Classifiers!$E$9="",0,IF(ISNUMBER(SEARCH(Classifiers!$E$9,E458)),1,0))+IF(Classifiers!$F$9="",0,IF(ISNUMBER(SEARCH(Classifiers!$F$9,E458)),1,0))+IF(Classifiers!$G$9="",0,IF(ISNUMBER(SEARCH(Classifiers!$G$9,E458)),1,0)))&gt;0,1,0))</f>
        <v/>
      </c>
      <c r="O458" s="12">
        <f>IF(H458&lt;&gt;1,0,IF((IF(Classifiers!$B$10="",0,IF(ISNUMBER(SEARCH(Classifiers!$B$10,E458)),1,0))+IF(Classifiers!$C$10="",0,IF(ISNUMBER(SEARCH(Classifiers!$C$10,E458)),1,0))+IF(Classifiers!$D$10="",0,IF(ISNUMBER(SEARCH(Classifiers!$D$10,E458)),1,0))+IF(Classifiers!$E$10="",0,IF(ISNUMBER(SEARCH(Classifiers!$E$10,E458)),1,0))+IF(Classifiers!$F$10="",0,IF(ISNUMBER(SEARCH(Classifiers!$F$10,E458)),1,0))+IF(Classifiers!$G$10="",0,IF(ISNUMBER(SEARCH(Classifiers!$G$10,E458)),1,0)))&gt;0,1,0))</f>
        <v/>
      </c>
      <c r="P458" s="12">
        <f>IF(H458&lt;&gt;1,0,IF((IF(Classifiers!$B$11="",0,IF(ISNUMBER(SEARCH(Classifiers!$B$11,E458)),1,0))+IF(Classifiers!$C$11="",0,IF(ISNUMBER(SEARCH(Classifiers!$C$11,E458)),1,0))+IF(Classifiers!$D$11="",0,IF(ISNUMBER(SEARCH(Classifiers!$D$11,E458)),1,0))+IF(Classifiers!$E$11="",0,IF(ISNUMBER(SEARCH(Classifiers!$E$11,E458)),1,0))+IF(Classifiers!$F$11="",0,IF(ISNUMBER(SEARCH(Classifiers!$F$11,E458)),1,0))+IF(Classifiers!$G$11="",0,IF(ISNUMBER(SEARCH(Classifiers!$G$11,E458)),1,0)))&gt;0,1,0))</f>
        <v/>
      </c>
      <c r="Q458" s="12">
        <f>IF(H458&lt;&gt;1,0,IF((IF(Classifiers!$B$12="",0,IF(ISNUMBER(SEARCH(Classifiers!$B$12,E458)),1,0))+IF(Classifiers!$C$12="",0,IF(ISNUMBER(SEARCH(Classifiers!$C$12,E458)),1,0))+IF(Classifiers!$D$12="",0,IF(ISNUMBER(SEARCH(Classifiers!$D$12,E458)),1,0))+IF(Classifiers!$E$12="",0,IF(ISNUMBER(SEARCH(Classifiers!$E$12,E458)),1,0))+IF(Classifiers!$F$12="",0,IF(ISNUMBER(SEARCH(Classifiers!$F$12,E458)),1,0))+IF(Classifiers!$G$12="",0,IF(ISNUMBER(SEARCH(Classifiers!$G$12,E458)),1,0)))&gt;0,1,0))</f>
        <v/>
      </c>
      <c r="R458" s="12">
        <f>IF(H458&lt;&gt;1,0,IF((IF(Classifiers!$B$13="",0,IF(ISNUMBER(SEARCH(Classifiers!$B$13,E458)),1,0))+IF(Classifiers!$C$13="",0,IF(ISNUMBER(SEARCH(Classifiers!$C$13,E458)),1,0))+IF(Classifiers!$D$13="",0,IF(ISNUMBER(SEARCH(Classifiers!$D$13,E458)),1,0))+IF(Classifiers!$E$13="",0,IF(ISNUMBER(SEARCH(Classifiers!$E$13,E458)),1,0))+IF(Classifiers!$F$13="",0,IF(ISNUMBER(SEARCH(Classifiers!$F$13,E458)),1,0))+IF(Classifiers!$G$13="",0,IF(ISNUMBER(SEARCH(Classifiers!$G$13,E458)),1,0)))&gt;0,1,0))</f>
        <v/>
      </c>
      <c r="S458" s="12">
        <f>IF(H458&lt;&gt;1,0,IF((IF(Classifiers!$B$14="",0,IF(ISNUMBER(SEARCH(Classifiers!$B$14,E458)),1,0))+IF(Classifiers!$C$14="",0,IF(ISNUMBER(SEARCH(Classifiers!$C$14,E458)),1,0))+IF(Classifiers!$D$14="",0,IF(ISNUMBER(SEARCH(Classifiers!$D$14,E458)),1,0))+IF(Classifiers!$E$14="",0,IF(ISNUMBER(SEARCH(Classifiers!$E$14,E458)),1,0))+IF(Classifiers!$F$14="",0,IF(ISNUMBER(SEARCH(Classifiers!$F$14,E458)),1,0))+IF(Classifiers!$G$14="",0,IF(ISNUMBER(SEARCH(Classifiers!$G$14,E458)),1,0)))&gt;0,1,0))</f>
        <v/>
      </c>
      <c r="T458" s="12">
        <f>IF(H458&lt;&gt;1,0,IF((IF(Classifiers!$B$15="",0,IF(ISNUMBER(SEARCH(Classifiers!$B$15,E458)),1,0))+IF(Classifiers!$C$15="",0,IF(ISNUMBER(SEARCH(Classifiers!$C$15,E458)),1,0))+IF(Classifiers!$D$15="",0,IF(ISNUMBER(SEARCH(Classifiers!$D$15,E458)),1,0))+IF(Classifiers!$E$15="",0,IF(ISNUMBER(SEARCH(Classifiers!$E$15,E458)),1,0))+IF(Classifiers!$F$15="",0,IF(ISNUMBER(SEARCH(Classifiers!$F$15,E458)),1,0))+IF(Classifiers!$G$15="",0,IF(ISNUMBER(SEARCH(Classifiers!$G$15,E458)),1,0)))&gt;0,1,0))</f>
        <v/>
      </c>
      <c r="U458" s="12">
        <f>IF(H458&lt;&gt;1,0,IF((IF(Classifiers!$B$16="",0,IF(ISNUMBER(SEARCH(Classifiers!$B$16,E458)),1,0))+IF(Classifiers!$C$16="",0,IF(ISNUMBER(SEARCH(Classifiers!$C$16,E458)),1,0))+IF(Classifiers!$D$16="",0,IF(ISNUMBER(SEARCH(Classifiers!$D$16,E458)),1,0))+IF(Classifiers!$E$16="",0,IF(ISNUMBER(SEARCH(Classifiers!$E$16,E458)),1,0))+IF(Classifiers!$F$16="",0,IF(ISNUMBER(SEARCH(Classifiers!$F$16,E458)),1,0))+IF(Classifiers!$G$16="",0,IF(ISNUMBER(SEARCH(Classifiers!$G$16,E458)),1,0)))&gt;0,1,0))</f>
        <v/>
      </c>
      <c r="V458" s="12">
        <f>IF(H458&lt;&gt;1,0,IF((IF(Classifiers!$B$17="",0,IF(ISNUMBER(SEARCH(Classifiers!$B$17,E458)),1,0))+IF(Classifiers!$C$17="",0,IF(ISNUMBER(SEARCH(Classifiers!$C$17,E458)),1,0))+IF(Classifiers!$D$17="",0,IF(ISNUMBER(SEARCH(Classifiers!$D$17,E458)),1,0))+IF(Classifiers!$E$17="",0,IF(ISNUMBER(SEARCH(Classifiers!$E$17,E458)),1,0))+IF(Classifiers!$F$17="",0,IF(ISNUMBER(SEARCH(Classifiers!$F$17,E458)),1,0))+IF(Classifiers!$G$17="",0,IF(ISNUMBER(SEARCH(Classifiers!$G$17,E458)),1,0)))&gt;0,1,0))</f>
        <v/>
      </c>
      <c r="W458" s="12">
        <f>IF(H458&lt;&gt;1,0,IF((IF(Classifiers!$B$18="",0,IF(ISNUMBER(SEARCH(Classifiers!$B$18,E458)),1,0))+IF(Classifiers!$C$18="",0,IF(ISNUMBER(SEARCH(Classifiers!$C$18,E458)),1,0))+IF(Classifiers!$D$18="",0,IF(ISNUMBER(SEARCH(Classifiers!$D$18,E458)),1,0))+IF(Classifiers!$E$18="",0,IF(ISNUMBER(SEARCH(Classifiers!$E$18,E458)),1,0))+IF(Classifiers!$F$18="",0,IF(ISNUMBER(SEARCH(Classifiers!$F$18,E458)),1,0))+IF(Classifiers!$G$18="",0,IF(ISNUMBER(SEARCH(Classifiers!$G$18,E458)),1,0)))&gt;0,1,0))</f>
        <v/>
      </c>
    </row>
    <row r="459">
      <c r="A459" s="8" t="n"/>
      <c r="B459" s="11" t="n"/>
      <c r="C459" s="6">
        <f>IF(A459="","",TRIM(RIGHT(SUBSTITUTE(A459,"/",REPT(" ",250)),250)))</f>
        <v/>
      </c>
      <c r="D459" s="6">
        <f>IF(C459="","",IF(ISNUMBER(SEARCH(".",C459)),LOWER("."&amp;TRIM(RIGHT(SUBSTITUTE(C459,".",REPT(" ",250)),250))),""))</f>
        <v/>
      </c>
      <c r="E459" s="6">
        <f>IF(C459="","",TRIM(SUBSTITUTE(SUBSTITUTE(SUBSTITUTE(SUBSTITUTE(SUBSTITUTE(SUBSTITUTE(SUBSTITUTE(SUBSTITUTE(SUBSTITUTE(SUBSTITUTE(SUBSTITUTE(SUBSTITUTE(SUBSTITUTE(SUBSTITUTE(SUBSTITUTE(SUBSTITUTE(SUBSTITUTE(SUBSTITUTE(SUBSTITUTE(SUBSTITUTE(LOWER(LEFT(C459,LEN(C459)-LEN(D459))),"_"," "),"-"," "),"."," "),","," "),"("," "),")"," "),"["," "),"]"," "),"&amp;"," "),"+"," "),"@"," "),"#"," "),"!"," "),"'"," "),"/"," "),":"," "),";"," "),"="," "),"~"," "),"%"," ")))</f>
        <v/>
      </c>
      <c r="F459" s="6">
        <f>IF(C459="","",IF(COUNTIF(Classifiers!$A$23:$A$40,D459)&gt;0,1,0))</f>
        <v/>
      </c>
      <c r="G459" s="6">
        <f>IF(C459="","",IF(COUNTIF(Classifiers!$C$23:$C$30,D459)&gt;0,IF((IF(ISNUMBER(SEARCH(Classifiers!$E$23,E459)),1,0)+IF(ISNUMBER(SEARCH(Classifiers!$E$24,E459)),1,0)+IF(ISNUMBER(SEARCH(Classifiers!$E$25,E459)),1,0)+IF(ISNUMBER(SEARCH(Classifiers!$E$26,E459)),1,0)+IF(ISNUMBER(SEARCH(Classifiers!$E$27,E459)),1,0)+IF(ISNUMBER(SEARCH(Classifiers!$E$28,E459)),1,0)+IF(ISNUMBER(SEARCH(Classifiers!$E$29,E459)),1,0)+IF(ISNUMBER(SEARCH(Classifiers!$E$30,E459)),1,0))&gt;0,1,0),0))</f>
        <v/>
      </c>
      <c r="H459" s="6">
        <f>IF(C459="","",IF(OR(LEFT(C459,1)=".",AND(F459=0,G459=0)),0,1))</f>
        <v/>
      </c>
      <c r="I459" s="6">
        <f>IF(H459&lt;&gt;1,"",IF(SUM(J459:W459)=0,"unclassified",INDEX(Classifiers!$A$5:$A$18,MATCH(1,J459:W459,0),1)))</f>
        <v/>
      </c>
      <c r="J459" s="12">
        <f>IF(H459&lt;&gt;1,0,IF((IF(Classifiers!$B$5="",0,IF(ISNUMBER(SEARCH(Classifiers!$B$5,E459)),1,0))+IF(Classifiers!$C$5="",0,IF(ISNUMBER(SEARCH(Classifiers!$C$5,E459)),1,0))+IF(Classifiers!$D$5="",0,IF(ISNUMBER(SEARCH(Classifiers!$D$5,E459)),1,0))+IF(Classifiers!$E$5="",0,IF(ISNUMBER(SEARCH(Classifiers!$E$5,E459)),1,0))+IF(Classifiers!$F$5="",0,IF(ISNUMBER(SEARCH(Classifiers!$F$5,E459)),1,0))+IF(Classifiers!$G$5="",0,IF(ISNUMBER(SEARCH(Classifiers!$G$5,E459)),1,0)))&gt;0,1,0))</f>
        <v/>
      </c>
      <c r="K459" s="12">
        <f>IF(H459&lt;&gt;1,0,IF((IF(Classifiers!$B$6="",0,IF(ISNUMBER(SEARCH(Classifiers!$B$6,E459)),1,0))+IF(Classifiers!$C$6="",0,IF(ISNUMBER(SEARCH(Classifiers!$C$6,E459)),1,0))+IF(Classifiers!$D$6="",0,IF(ISNUMBER(SEARCH(Classifiers!$D$6,E459)),1,0))+IF(Classifiers!$E$6="",0,IF(ISNUMBER(SEARCH(Classifiers!$E$6,E459)),1,0))+IF(Classifiers!$F$6="",0,IF(ISNUMBER(SEARCH(Classifiers!$F$6,E459)),1,0))+IF(Classifiers!$G$6="",0,IF(ISNUMBER(SEARCH(Classifiers!$G$6,E459)),1,0)))&gt;0,1,0))</f>
        <v/>
      </c>
      <c r="L459" s="12">
        <f>IF(H459&lt;&gt;1,0,IF((IF(Classifiers!$B$7="",0,IF(ISNUMBER(SEARCH(Classifiers!$B$7,E459)),1,0))+IF(Classifiers!$C$7="",0,IF(ISNUMBER(SEARCH(Classifiers!$C$7,E459)),1,0))+IF(Classifiers!$D$7="",0,IF(ISNUMBER(SEARCH(Classifiers!$D$7,E459)),1,0))+IF(Classifiers!$E$7="",0,IF(ISNUMBER(SEARCH(Classifiers!$E$7,E459)),1,0))+IF(Classifiers!$F$7="",0,IF(ISNUMBER(SEARCH(Classifiers!$F$7,E459)),1,0))+IF(Classifiers!$G$7="",0,IF(ISNUMBER(SEARCH(Classifiers!$G$7,E459)),1,0)))&gt;0,1,0))</f>
        <v/>
      </c>
      <c r="M459" s="12">
        <f>IF(H459&lt;&gt;1,0,IF((IF(Classifiers!$B$8="",0,IF(ISNUMBER(SEARCH(Classifiers!$B$8,E459)),1,0))+IF(Classifiers!$C$8="",0,IF(ISNUMBER(SEARCH(Classifiers!$C$8,E459)),1,0))+IF(Classifiers!$D$8="",0,IF(ISNUMBER(SEARCH(Classifiers!$D$8,E459)),1,0))+IF(Classifiers!$E$8="",0,IF(ISNUMBER(SEARCH(Classifiers!$E$8,E459)),1,0))+IF(Classifiers!$F$8="",0,IF(ISNUMBER(SEARCH(Classifiers!$F$8,E459)),1,0))+IF(Classifiers!$G$8="",0,IF(ISNUMBER(SEARCH(Classifiers!$G$8,E459)),1,0)))&gt;0,1,0))</f>
        <v/>
      </c>
      <c r="N459" s="12">
        <f>IF(H459&lt;&gt;1,0,IF((IF(Classifiers!$B$9="",0,IF(ISNUMBER(SEARCH(Classifiers!$B$9,E459)),1,0))+IF(Classifiers!$C$9="",0,IF(ISNUMBER(SEARCH(Classifiers!$C$9,E459)),1,0))+IF(Classifiers!$D$9="",0,IF(ISNUMBER(SEARCH(Classifiers!$D$9,E459)),1,0))+IF(Classifiers!$E$9="",0,IF(ISNUMBER(SEARCH(Classifiers!$E$9,E459)),1,0))+IF(Classifiers!$F$9="",0,IF(ISNUMBER(SEARCH(Classifiers!$F$9,E459)),1,0))+IF(Classifiers!$G$9="",0,IF(ISNUMBER(SEARCH(Classifiers!$G$9,E459)),1,0)))&gt;0,1,0))</f>
        <v/>
      </c>
      <c r="O459" s="12">
        <f>IF(H459&lt;&gt;1,0,IF((IF(Classifiers!$B$10="",0,IF(ISNUMBER(SEARCH(Classifiers!$B$10,E459)),1,0))+IF(Classifiers!$C$10="",0,IF(ISNUMBER(SEARCH(Classifiers!$C$10,E459)),1,0))+IF(Classifiers!$D$10="",0,IF(ISNUMBER(SEARCH(Classifiers!$D$10,E459)),1,0))+IF(Classifiers!$E$10="",0,IF(ISNUMBER(SEARCH(Classifiers!$E$10,E459)),1,0))+IF(Classifiers!$F$10="",0,IF(ISNUMBER(SEARCH(Classifiers!$F$10,E459)),1,0))+IF(Classifiers!$G$10="",0,IF(ISNUMBER(SEARCH(Classifiers!$G$10,E459)),1,0)))&gt;0,1,0))</f>
        <v/>
      </c>
      <c r="P459" s="12">
        <f>IF(H459&lt;&gt;1,0,IF((IF(Classifiers!$B$11="",0,IF(ISNUMBER(SEARCH(Classifiers!$B$11,E459)),1,0))+IF(Classifiers!$C$11="",0,IF(ISNUMBER(SEARCH(Classifiers!$C$11,E459)),1,0))+IF(Classifiers!$D$11="",0,IF(ISNUMBER(SEARCH(Classifiers!$D$11,E459)),1,0))+IF(Classifiers!$E$11="",0,IF(ISNUMBER(SEARCH(Classifiers!$E$11,E459)),1,0))+IF(Classifiers!$F$11="",0,IF(ISNUMBER(SEARCH(Classifiers!$F$11,E459)),1,0))+IF(Classifiers!$G$11="",0,IF(ISNUMBER(SEARCH(Classifiers!$G$11,E459)),1,0)))&gt;0,1,0))</f>
        <v/>
      </c>
      <c r="Q459" s="12">
        <f>IF(H459&lt;&gt;1,0,IF((IF(Classifiers!$B$12="",0,IF(ISNUMBER(SEARCH(Classifiers!$B$12,E459)),1,0))+IF(Classifiers!$C$12="",0,IF(ISNUMBER(SEARCH(Classifiers!$C$12,E459)),1,0))+IF(Classifiers!$D$12="",0,IF(ISNUMBER(SEARCH(Classifiers!$D$12,E459)),1,0))+IF(Classifiers!$E$12="",0,IF(ISNUMBER(SEARCH(Classifiers!$E$12,E459)),1,0))+IF(Classifiers!$F$12="",0,IF(ISNUMBER(SEARCH(Classifiers!$F$12,E459)),1,0))+IF(Classifiers!$G$12="",0,IF(ISNUMBER(SEARCH(Classifiers!$G$12,E459)),1,0)))&gt;0,1,0))</f>
        <v/>
      </c>
      <c r="R459" s="12">
        <f>IF(H459&lt;&gt;1,0,IF((IF(Classifiers!$B$13="",0,IF(ISNUMBER(SEARCH(Classifiers!$B$13,E459)),1,0))+IF(Classifiers!$C$13="",0,IF(ISNUMBER(SEARCH(Classifiers!$C$13,E459)),1,0))+IF(Classifiers!$D$13="",0,IF(ISNUMBER(SEARCH(Classifiers!$D$13,E459)),1,0))+IF(Classifiers!$E$13="",0,IF(ISNUMBER(SEARCH(Classifiers!$E$13,E459)),1,0))+IF(Classifiers!$F$13="",0,IF(ISNUMBER(SEARCH(Classifiers!$F$13,E459)),1,0))+IF(Classifiers!$G$13="",0,IF(ISNUMBER(SEARCH(Classifiers!$G$13,E459)),1,0)))&gt;0,1,0))</f>
        <v/>
      </c>
      <c r="S459" s="12">
        <f>IF(H459&lt;&gt;1,0,IF((IF(Classifiers!$B$14="",0,IF(ISNUMBER(SEARCH(Classifiers!$B$14,E459)),1,0))+IF(Classifiers!$C$14="",0,IF(ISNUMBER(SEARCH(Classifiers!$C$14,E459)),1,0))+IF(Classifiers!$D$14="",0,IF(ISNUMBER(SEARCH(Classifiers!$D$14,E459)),1,0))+IF(Classifiers!$E$14="",0,IF(ISNUMBER(SEARCH(Classifiers!$E$14,E459)),1,0))+IF(Classifiers!$F$14="",0,IF(ISNUMBER(SEARCH(Classifiers!$F$14,E459)),1,0))+IF(Classifiers!$G$14="",0,IF(ISNUMBER(SEARCH(Classifiers!$G$14,E459)),1,0)))&gt;0,1,0))</f>
        <v/>
      </c>
      <c r="T459" s="12">
        <f>IF(H459&lt;&gt;1,0,IF((IF(Classifiers!$B$15="",0,IF(ISNUMBER(SEARCH(Classifiers!$B$15,E459)),1,0))+IF(Classifiers!$C$15="",0,IF(ISNUMBER(SEARCH(Classifiers!$C$15,E459)),1,0))+IF(Classifiers!$D$15="",0,IF(ISNUMBER(SEARCH(Classifiers!$D$15,E459)),1,0))+IF(Classifiers!$E$15="",0,IF(ISNUMBER(SEARCH(Classifiers!$E$15,E459)),1,0))+IF(Classifiers!$F$15="",0,IF(ISNUMBER(SEARCH(Classifiers!$F$15,E459)),1,0))+IF(Classifiers!$G$15="",0,IF(ISNUMBER(SEARCH(Classifiers!$G$15,E459)),1,0)))&gt;0,1,0))</f>
        <v/>
      </c>
      <c r="U459" s="12">
        <f>IF(H459&lt;&gt;1,0,IF((IF(Classifiers!$B$16="",0,IF(ISNUMBER(SEARCH(Classifiers!$B$16,E459)),1,0))+IF(Classifiers!$C$16="",0,IF(ISNUMBER(SEARCH(Classifiers!$C$16,E459)),1,0))+IF(Classifiers!$D$16="",0,IF(ISNUMBER(SEARCH(Classifiers!$D$16,E459)),1,0))+IF(Classifiers!$E$16="",0,IF(ISNUMBER(SEARCH(Classifiers!$E$16,E459)),1,0))+IF(Classifiers!$F$16="",0,IF(ISNUMBER(SEARCH(Classifiers!$F$16,E459)),1,0))+IF(Classifiers!$G$16="",0,IF(ISNUMBER(SEARCH(Classifiers!$G$16,E459)),1,0)))&gt;0,1,0))</f>
        <v/>
      </c>
      <c r="V459" s="12">
        <f>IF(H459&lt;&gt;1,0,IF((IF(Classifiers!$B$17="",0,IF(ISNUMBER(SEARCH(Classifiers!$B$17,E459)),1,0))+IF(Classifiers!$C$17="",0,IF(ISNUMBER(SEARCH(Classifiers!$C$17,E459)),1,0))+IF(Classifiers!$D$17="",0,IF(ISNUMBER(SEARCH(Classifiers!$D$17,E459)),1,0))+IF(Classifiers!$E$17="",0,IF(ISNUMBER(SEARCH(Classifiers!$E$17,E459)),1,0))+IF(Classifiers!$F$17="",0,IF(ISNUMBER(SEARCH(Classifiers!$F$17,E459)),1,0))+IF(Classifiers!$G$17="",0,IF(ISNUMBER(SEARCH(Classifiers!$G$17,E459)),1,0)))&gt;0,1,0))</f>
        <v/>
      </c>
      <c r="W459" s="12">
        <f>IF(H459&lt;&gt;1,0,IF((IF(Classifiers!$B$18="",0,IF(ISNUMBER(SEARCH(Classifiers!$B$18,E459)),1,0))+IF(Classifiers!$C$18="",0,IF(ISNUMBER(SEARCH(Classifiers!$C$18,E459)),1,0))+IF(Classifiers!$D$18="",0,IF(ISNUMBER(SEARCH(Classifiers!$D$18,E459)),1,0))+IF(Classifiers!$E$18="",0,IF(ISNUMBER(SEARCH(Classifiers!$E$18,E459)),1,0))+IF(Classifiers!$F$18="",0,IF(ISNUMBER(SEARCH(Classifiers!$F$18,E459)),1,0))+IF(Classifiers!$G$18="",0,IF(ISNUMBER(SEARCH(Classifiers!$G$18,E459)),1,0)))&gt;0,1,0))</f>
        <v/>
      </c>
    </row>
    <row r="460">
      <c r="A460" s="8" t="n"/>
      <c r="B460" s="11" t="n"/>
      <c r="C460" s="6">
        <f>IF(A460="","",TRIM(RIGHT(SUBSTITUTE(A460,"/",REPT(" ",250)),250)))</f>
        <v/>
      </c>
      <c r="D460" s="6">
        <f>IF(C460="","",IF(ISNUMBER(SEARCH(".",C460)),LOWER("."&amp;TRIM(RIGHT(SUBSTITUTE(C460,".",REPT(" ",250)),250))),""))</f>
        <v/>
      </c>
      <c r="E460" s="6">
        <f>IF(C460="","",TRIM(SUBSTITUTE(SUBSTITUTE(SUBSTITUTE(SUBSTITUTE(SUBSTITUTE(SUBSTITUTE(SUBSTITUTE(SUBSTITUTE(SUBSTITUTE(SUBSTITUTE(SUBSTITUTE(SUBSTITUTE(SUBSTITUTE(SUBSTITUTE(SUBSTITUTE(SUBSTITUTE(SUBSTITUTE(SUBSTITUTE(SUBSTITUTE(SUBSTITUTE(LOWER(LEFT(C460,LEN(C460)-LEN(D460))),"_"," "),"-"," "),"."," "),","," "),"("," "),")"," "),"["," "),"]"," "),"&amp;"," "),"+"," "),"@"," "),"#"," "),"!"," "),"'"," "),"/"," "),":"," "),";"," "),"="," "),"~"," "),"%"," ")))</f>
        <v/>
      </c>
      <c r="F460" s="6">
        <f>IF(C460="","",IF(COUNTIF(Classifiers!$A$23:$A$40,D460)&gt;0,1,0))</f>
        <v/>
      </c>
      <c r="G460" s="6">
        <f>IF(C460="","",IF(COUNTIF(Classifiers!$C$23:$C$30,D460)&gt;0,IF((IF(ISNUMBER(SEARCH(Classifiers!$E$23,E460)),1,0)+IF(ISNUMBER(SEARCH(Classifiers!$E$24,E460)),1,0)+IF(ISNUMBER(SEARCH(Classifiers!$E$25,E460)),1,0)+IF(ISNUMBER(SEARCH(Classifiers!$E$26,E460)),1,0)+IF(ISNUMBER(SEARCH(Classifiers!$E$27,E460)),1,0)+IF(ISNUMBER(SEARCH(Classifiers!$E$28,E460)),1,0)+IF(ISNUMBER(SEARCH(Classifiers!$E$29,E460)),1,0)+IF(ISNUMBER(SEARCH(Classifiers!$E$30,E460)),1,0))&gt;0,1,0),0))</f>
        <v/>
      </c>
      <c r="H460" s="6">
        <f>IF(C460="","",IF(OR(LEFT(C460,1)=".",AND(F460=0,G460=0)),0,1))</f>
        <v/>
      </c>
      <c r="I460" s="6">
        <f>IF(H460&lt;&gt;1,"",IF(SUM(J460:W460)=0,"unclassified",INDEX(Classifiers!$A$5:$A$18,MATCH(1,J460:W460,0),1)))</f>
        <v/>
      </c>
      <c r="J460" s="12">
        <f>IF(H460&lt;&gt;1,0,IF((IF(Classifiers!$B$5="",0,IF(ISNUMBER(SEARCH(Classifiers!$B$5,E460)),1,0))+IF(Classifiers!$C$5="",0,IF(ISNUMBER(SEARCH(Classifiers!$C$5,E460)),1,0))+IF(Classifiers!$D$5="",0,IF(ISNUMBER(SEARCH(Classifiers!$D$5,E460)),1,0))+IF(Classifiers!$E$5="",0,IF(ISNUMBER(SEARCH(Classifiers!$E$5,E460)),1,0))+IF(Classifiers!$F$5="",0,IF(ISNUMBER(SEARCH(Classifiers!$F$5,E460)),1,0))+IF(Classifiers!$G$5="",0,IF(ISNUMBER(SEARCH(Classifiers!$G$5,E460)),1,0)))&gt;0,1,0))</f>
        <v/>
      </c>
      <c r="K460" s="12">
        <f>IF(H460&lt;&gt;1,0,IF((IF(Classifiers!$B$6="",0,IF(ISNUMBER(SEARCH(Classifiers!$B$6,E460)),1,0))+IF(Classifiers!$C$6="",0,IF(ISNUMBER(SEARCH(Classifiers!$C$6,E460)),1,0))+IF(Classifiers!$D$6="",0,IF(ISNUMBER(SEARCH(Classifiers!$D$6,E460)),1,0))+IF(Classifiers!$E$6="",0,IF(ISNUMBER(SEARCH(Classifiers!$E$6,E460)),1,0))+IF(Classifiers!$F$6="",0,IF(ISNUMBER(SEARCH(Classifiers!$F$6,E460)),1,0))+IF(Classifiers!$G$6="",0,IF(ISNUMBER(SEARCH(Classifiers!$G$6,E460)),1,0)))&gt;0,1,0))</f>
        <v/>
      </c>
      <c r="L460" s="12">
        <f>IF(H460&lt;&gt;1,0,IF((IF(Classifiers!$B$7="",0,IF(ISNUMBER(SEARCH(Classifiers!$B$7,E460)),1,0))+IF(Classifiers!$C$7="",0,IF(ISNUMBER(SEARCH(Classifiers!$C$7,E460)),1,0))+IF(Classifiers!$D$7="",0,IF(ISNUMBER(SEARCH(Classifiers!$D$7,E460)),1,0))+IF(Classifiers!$E$7="",0,IF(ISNUMBER(SEARCH(Classifiers!$E$7,E460)),1,0))+IF(Classifiers!$F$7="",0,IF(ISNUMBER(SEARCH(Classifiers!$F$7,E460)),1,0))+IF(Classifiers!$G$7="",0,IF(ISNUMBER(SEARCH(Classifiers!$G$7,E460)),1,0)))&gt;0,1,0))</f>
        <v/>
      </c>
      <c r="M460" s="12">
        <f>IF(H460&lt;&gt;1,0,IF((IF(Classifiers!$B$8="",0,IF(ISNUMBER(SEARCH(Classifiers!$B$8,E460)),1,0))+IF(Classifiers!$C$8="",0,IF(ISNUMBER(SEARCH(Classifiers!$C$8,E460)),1,0))+IF(Classifiers!$D$8="",0,IF(ISNUMBER(SEARCH(Classifiers!$D$8,E460)),1,0))+IF(Classifiers!$E$8="",0,IF(ISNUMBER(SEARCH(Classifiers!$E$8,E460)),1,0))+IF(Classifiers!$F$8="",0,IF(ISNUMBER(SEARCH(Classifiers!$F$8,E460)),1,0))+IF(Classifiers!$G$8="",0,IF(ISNUMBER(SEARCH(Classifiers!$G$8,E460)),1,0)))&gt;0,1,0))</f>
        <v/>
      </c>
      <c r="N460" s="12">
        <f>IF(H460&lt;&gt;1,0,IF((IF(Classifiers!$B$9="",0,IF(ISNUMBER(SEARCH(Classifiers!$B$9,E460)),1,0))+IF(Classifiers!$C$9="",0,IF(ISNUMBER(SEARCH(Classifiers!$C$9,E460)),1,0))+IF(Classifiers!$D$9="",0,IF(ISNUMBER(SEARCH(Classifiers!$D$9,E460)),1,0))+IF(Classifiers!$E$9="",0,IF(ISNUMBER(SEARCH(Classifiers!$E$9,E460)),1,0))+IF(Classifiers!$F$9="",0,IF(ISNUMBER(SEARCH(Classifiers!$F$9,E460)),1,0))+IF(Classifiers!$G$9="",0,IF(ISNUMBER(SEARCH(Classifiers!$G$9,E460)),1,0)))&gt;0,1,0))</f>
        <v/>
      </c>
      <c r="O460" s="12">
        <f>IF(H460&lt;&gt;1,0,IF((IF(Classifiers!$B$10="",0,IF(ISNUMBER(SEARCH(Classifiers!$B$10,E460)),1,0))+IF(Classifiers!$C$10="",0,IF(ISNUMBER(SEARCH(Classifiers!$C$10,E460)),1,0))+IF(Classifiers!$D$10="",0,IF(ISNUMBER(SEARCH(Classifiers!$D$10,E460)),1,0))+IF(Classifiers!$E$10="",0,IF(ISNUMBER(SEARCH(Classifiers!$E$10,E460)),1,0))+IF(Classifiers!$F$10="",0,IF(ISNUMBER(SEARCH(Classifiers!$F$10,E460)),1,0))+IF(Classifiers!$G$10="",0,IF(ISNUMBER(SEARCH(Classifiers!$G$10,E460)),1,0)))&gt;0,1,0))</f>
        <v/>
      </c>
      <c r="P460" s="12">
        <f>IF(H460&lt;&gt;1,0,IF((IF(Classifiers!$B$11="",0,IF(ISNUMBER(SEARCH(Classifiers!$B$11,E460)),1,0))+IF(Classifiers!$C$11="",0,IF(ISNUMBER(SEARCH(Classifiers!$C$11,E460)),1,0))+IF(Classifiers!$D$11="",0,IF(ISNUMBER(SEARCH(Classifiers!$D$11,E460)),1,0))+IF(Classifiers!$E$11="",0,IF(ISNUMBER(SEARCH(Classifiers!$E$11,E460)),1,0))+IF(Classifiers!$F$11="",0,IF(ISNUMBER(SEARCH(Classifiers!$F$11,E460)),1,0))+IF(Classifiers!$G$11="",0,IF(ISNUMBER(SEARCH(Classifiers!$G$11,E460)),1,0)))&gt;0,1,0))</f>
        <v/>
      </c>
      <c r="Q460" s="12">
        <f>IF(H460&lt;&gt;1,0,IF((IF(Classifiers!$B$12="",0,IF(ISNUMBER(SEARCH(Classifiers!$B$12,E460)),1,0))+IF(Classifiers!$C$12="",0,IF(ISNUMBER(SEARCH(Classifiers!$C$12,E460)),1,0))+IF(Classifiers!$D$12="",0,IF(ISNUMBER(SEARCH(Classifiers!$D$12,E460)),1,0))+IF(Classifiers!$E$12="",0,IF(ISNUMBER(SEARCH(Classifiers!$E$12,E460)),1,0))+IF(Classifiers!$F$12="",0,IF(ISNUMBER(SEARCH(Classifiers!$F$12,E460)),1,0))+IF(Classifiers!$G$12="",0,IF(ISNUMBER(SEARCH(Classifiers!$G$12,E460)),1,0)))&gt;0,1,0))</f>
        <v/>
      </c>
      <c r="R460" s="12">
        <f>IF(H460&lt;&gt;1,0,IF((IF(Classifiers!$B$13="",0,IF(ISNUMBER(SEARCH(Classifiers!$B$13,E460)),1,0))+IF(Classifiers!$C$13="",0,IF(ISNUMBER(SEARCH(Classifiers!$C$13,E460)),1,0))+IF(Classifiers!$D$13="",0,IF(ISNUMBER(SEARCH(Classifiers!$D$13,E460)),1,0))+IF(Classifiers!$E$13="",0,IF(ISNUMBER(SEARCH(Classifiers!$E$13,E460)),1,0))+IF(Classifiers!$F$13="",0,IF(ISNUMBER(SEARCH(Classifiers!$F$13,E460)),1,0))+IF(Classifiers!$G$13="",0,IF(ISNUMBER(SEARCH(Classifiers!$G$13,E460)),1,0)))&gt;0,1,0))</f>
        <v/>
      </c>
      <c r="S460" s="12">
        <f>IF(H460&lt;&gt;1,0,IF((IF(Classifiers!$B$14="",0,IF(ISNUMBER(SEARCH(Classifiers!$B$14,E460)),1,0))+IF(Classifiers!$C$14="",0,IF(ISNUMBER(SEARCH(Classifiers!$C$14,E460)),1,0))+IF(Classifiers!$D$14="",0,IF(ISNUMBER(SEARCH(Classifiers!$D$14,E460)),1,0))+IF(Classifiers!$E$14="",0,IF(ISNUMBER(SEARCH(Classifiers!$E$14,E460)),1,0))+IF(Classifiers!$F$14="",0,IF(ISNUMBER(SEARCH(Classifiers!$F$14,E460)),1,0))+IF(Classifiers!$G$14="",0,IF(ISNUMBER(SEARCH(Classifiers!$G$14,E460)),1,0)))&gt;0,1,0))</f>
        <v/>
      </c>
      <c r="T460" s="12">
        <f>IF(H460&lt;&gt;1,0,IF((IF(Classifiers!$B$15="",0,IF(ISNUMBER(SEARCH(Classifiers!$B$15,E460)),1,0))+IF(Classifiers!$C$15="",0,IF(ISNUMBER(SEARCH(Classifiers!$C$15,E460)),1,0))+IF(Classifiers!$D$15="",0,IF(ISNUMBER(SEARCH(Classifiers!$D$15,E460)),1,0))+IF(Classifiers!$E$15="",0,IF(ISNUMBER(SEARCH(Classifiers!$E$15,E460)),1,0))+IF(Classifiers!$F$15="",0,IF(ISNUMBER(SEARCH(Classifiers!$F$15,E460)),1,0))+IF(Classifiers!$G$15="",0,IF(ISNUMBER(SEARCH(Classifiers!$G$15,E460)),1,0)))&gt;0,1,0))</f>
        <v/>
      </c>
      <c r="U460" s="12">
        <f>IF(H460&lt;&gt;1,0,IF((IF(Classifiers!$B$16="",0,IF(ISNUMBER(SEARCH(Classifiers!$B$16,E460)),1,0))+IF(Classifiers!$C$16="",0,IF(ISNUMBER(SEARCH(Classifiers!$C$16,E460)),1,0))+IF(Classifiers!$D$16="",0,IF(ISNUMBER(SEARCH(Classifiers!$D$16,E460)),1,0))+IF(Classifiers!$E$16="",0,IF(ISNUMBER(SEARCH(Classifiers!$E$16,E460)),1,0))+IF(Classifiers!$F$16="",0,IF(ISNUMBER(SEARCH(Classifiers!$F$16,E460)),1,0))+IF(Classifiers!$G$16="",0,IF(ISNUMBER(SEARCH(Classifiers!$G$16,E460)),1,0)))&gt;0,1,0))</f>
        <v/>
      </c>
      <c r="V460" s="12">
        <f>IF(H460&lt;&gt;1,0,IF((IF(Classifiers!$B$17="",0,IF(ISNUMBER(SEARCH(Classifiers!$B$17,E460)),1,0))+IF(Classifiers!$C$17="",0,IF(ISNUMBER(SEARCH(Classifiers!$C$17,E460)),1,0))+IF(Classifiers!$D$17="",0,IF(ISNUMBER(SEARCH(Classifiers!$D$17,E460)),1,0))+IF(Classifiers!$E$17="",0,IF(ISNUMBER(SEARCH(Classifiers!$E$17,E460)),1,0))+IF(Classifiers!$F$17="",0,IF(ISNUMBER(SEARCH(Classifiers!$F$17,E460)),1,0))+IF(Classifiers!$G$17="",0,IF(ISNUMBER(SEARCH(Classifiers!$G$17,E460)),1,0)))&gt;0,1,0))</f>
        <v/>
      </c>
      <c r="W460" s="12">
        <f>IF(H460&lt;&gt;1,0,IF((IF(Classifiers!$B$18="",0,IF(ISNUMBER(SEARCH(Classifiers!$B$18,E460)),1,0))+IF(Classifiers!$C$18="",0,IF(ISNUMBER(SEARCH(Classifiers!$C$18,E460)),1,0))+IF(Classifiers!$D$18="",0,IF(ISNUMBER(SEARCH(Classifiers!$D$18,E460)),1,0))+IF(Classifiers!$E$18="",0,IF(ISNUMBER(SEARCH(Classifiers!$E$18,E460)),1,0))+IF(Classifiers!$F$18="",0,IF(ISNUMBER(SEARCH(Classifiers!$F$18,E460)),1,0))+IF(Classifiers!$G$18="",0,IF(ISNUMBER(SEARCH(Classifiers!$G$18,E460)),1,0)))&gt;0,1,0))</f>
        <v/>
      </c>
    </row>
    <row r="461">
      <c r="A461" s="8" t="n"/>
      <c r="B461" s="11" t="n"/>
      <c r="C461" s="6">
        <f>IF(A461="","",TRIM(RIGHT(SUBSTITUTE(A461,"/",REPT(" ",250)),250)))</f>
        <v/>
      </c>
      <c r="D461" s="6">
        <f>IF(C461="","",IF(ISNUMBER(SEARCH(".",C461)),LOWER("."&amp;TRIM(RIGHT(SUBSTITUTE(C461,".",REPT(" ",250)),250))),""))</f>
        <v/>
      </c>
      <c r="E461" s="6">
        <f>IF(C461="","",TRIM(SUBSTITUTE(SUBSTITUTE(SUBSTITUTE(SUBSTITUTE(SUBSTITUTE(SUBSTITUTE(SUBSTITUTE(SUBSTITUTE(SUBSTITUTE(SUBSTITUTE(SUBSTITUTE(SUBSTITUTE(SUBSTITUTE(SUBSTITUTE(SUBSTITUTE(SUBSTITUTE(SUBSTITUTE(SUBSTITUTE(SUBSTITUTE(SUBSTITUTE(LOWER(LEFT(C461,LEN(C461)-LEN(D461))),"_"," "),"-"," "),"."," "),","," "),"("," "),")"," "),"["," "),"]"," "),"&amp;"," "),"+"," "),"@"," "),"#"," "),"!"," "),"'"," "),"/"," "),":"," "),";"," "),"="," "),"~"," "),"%"," ")))</f>
        <v/>
      </c>
      <c r="F461" s="6">
        <f>IF(C461="","",IF(COUNTIF(Classifiers!$A$23:$A$40,D461)&gt;0,1,0))</f>
        <v/>
      </c>
      <c r="G461" s="6">
        <f>IF(C461="","",IF(COUNTIF(Classifiers!$C$23:$C$30,D461)&gt;0,IF((IF(ISNUMBER(SEARCH(Classifiers!$E$23,E461)),1,0)+IF(ISNUMBER(SEARCH(Classifiers!$E$24,E461)),1,0)+IF(ISNUMBER(SEARCH(Classifiers!$E$25,E461)),1,0)+IF(ISNUMBER(SEARCH(Classifiers!$E$26,E461)),1,0)+IF(ISNUMBER(SEARCH(Classifiers!$E$27,E461)),1,0)+IF(ISNUMBER(SEARCH(Classifiers!$E$28,E461)),1,0)+IF(ISNUMBER(SEARCH(Classifiers!$E$29,E461)),1,0)+IF(ISNUMBER(SEARCH(Classifiers!$E$30,E461)),1,0))&gt;0,1,0),0))</f>
        <v/>
      </c>
      <c r="H461" s="6">
        <f>IF(C461="","",IF(OR(LEFT(C461,1)=".",AND(F461=0,G461=0)),0,1))</f>
        <v/>
      </c>
      <c r="I461" s="6">
        <f>IF(H461&lt;&gt;1,"",IF(SUM(J461:W461)=0,"unclassified",INDEX(Classifiers!$A$5:$A$18,MATCH(1,J461:W461,0),1)))</f>
        <v/>
      </c>
      <c r="J461" s="12">
        <f>IF(H461&lt;&gt;1,0,IF((IF(Classifiers!$B$5="",0,IF(ISNUMBER(SEARCH(Classifiers!$B$5,E461)),1,0))+IF(Classifiers!$C$5="",0,IF(ISNUMBER(SEARCH(Classifiers!$C$5,E461)),1,0))+IF(Classifiers!$D$5="",0,IF(ISNUMBER(SEARCH(Classifiers!$D$5,E461)),1,0))+IF(Classifiers!$E$5="",0,IF(ISNUMBER(SEARCH(Classifiers!$E$5,E461)),1,0))+IF(Classifiers!$F$5="",0,IF(ISNUMBER(SEARCH(Classifiers!$F$5,E461)),1,0))+IF(Classifiers!$G$5="",0,IF(ISNUMBER(SEARCH(Classifiers!$G$5,E461)),1,0)))&gt;0,1,0))</f>
        <v/>
      </c>
      <c r="K461" s="12">
        <f>IF(H461&lt;&gt;1,0,IF((IF(Classifiers!$B$6="",0,IF(ISNUMBER(SEARCH(Classifiers!$B$6,E461)),1,0))+IF(Classifiers!$C$6="",0,IF(ISNUMBER(SEARCH(Classifiers!$C$6,E461)),1,0))+IF(Classifiers!$D$6="",0,IF(ISNUMBER(SEARCH(Classifiers!$D$6,E461)),1,0))+IF(Classifiers!$E$6="",0,IF(ISNUMBER(SEARCH(Classifiers!$E$6,E461)),1,0))+IF(Classifiers!$F$6="",0,IF(ISNUMBER(SEARCH(Classifiers!$F$6,E461)),1,0))+IF(Classifiers!$G$6="",0,IF(ISNUMBER(SEARCH(Classifiers!$G$6,E461)),1,0)))&gt;0,1,0))</f>
        <v/>
      </c>
      <c r="L461" s="12">
        <f>IF(H461&lt;&gt;1,0,IF((IF(Classifiers!$B$7="",0,IF(ISNUMBER(SEARCH(Classifiers!$B$7,E461)),1,0))+IF(Classifiers!$C$7="",0,IF(ISNUMBER(SEARCH(Classifiers!$C$7,E461)),1,0))+IF(Classifiers!$D$7="",0,IF(ISNUMBER(SEARCH(Classifiers!$D$7,E461)),1,0))+IF(Classifiers!$E$7="",0,IF(ISNUMBER(SEARCH(Classifiers!$E$7,E461)),1,0))+IF(Classifiers!$F$7="",0,IF(ISNUMBER(SEARCH(Classifiers!$F$7,E461)),1,0))+IF(Classifiers!$G$7="",0,IF(ISNUMBER(SEARCH(Classifiers!$G$7,E461)),1,0)))&gt;0,1,0))</f>
        <v/>
      </c>
      <c r="M461" s="12">
        <f>IF(H461&lt;&gt;1,0,IF((IF(Classifiers!$B$8="",0,IF(ISNUMBER(SEARCH(Classifiers!$B$8,E461)),1,0))+IF(Classifiers!$C$8="",0,IF(ISNUMBER(SEARCH(Classifiers!$C$8,E461)),1,0))+IF(Classifiers!$D$8="",0,IF(ISNUMBER(SEARCH(Classifiers!$D$8,E461)),1,0))+IF(Classifiers!$E$8="",0,IF(ISNUMBER(SEARCH(Classifiers!$E$8,E461)),1,0))+IF(Classifiers!$F$8="",0,IF(ISNUMBER(SEARCH(Classifiers!$F$8,E461)),1,0))+IF(Classifiers!$G$8="",0,IF(ISNUMBER(SEARCH(Classifiers!$G$8,E461)),1,0)))&gt;0,1,0))</f>
        <v/>
      </c>
      <c r="N461" s="12">
        <f>IF(H461&lt;&gt;1,0,IF((IF(Classifiers!$B$9="",0,IF(ISNUMBER(SEARCH(Classifiers!$B$9,E461)),1,0))+IF(Classifiers!$C$9="",0,IF(ISNUMBER(SEARCH(Classifiers!$C$9,E461)),1,0))+IF(Classifiers!$D$9="",0,IF(ISNUMBER(SEARCH(Classifiers!$D$9,E461)),1,0))+IF(Classifiers!$E$9="",0,IF(ISNUMBER(SEARCH(Classifiers!$E$9,E461)),1,0))+IF(Classifiers!$F$9="",0,IF(ISNUMBER(SEARCH(Classifiers!$F$9,E461)),1,0))+IF(Classifiers!$G$9="",0,IF(ISNUMBER(SEARCH(Classifiers!$G$9,E461)),1,0)))&gt;0,1,0))</f>
        <v/>
      </c>
      <c r="O461" s="12">
        <f>IF(H461&lt;&gt;1,0,IF((IF(Classifiers!$B$10="",0,IF(ISNUMBER(SEARCH(Classifiers!$B$10,E461)),1,0))+IF(Classifiers!$C$10="",0,IF(ISNUMBER(SEARCH(Classifiers!$C$10,E461)),1,0))+IF(Classifiers!$D$10="",0,IF(ISNUMBER(SEARCH(Classifiers!$D$10,E461)),1,0))+IF(Classifiers!$E$10="",0,IF(ISNUMBER(SEARCH(Classifiers!$E$10,E461)),1,0))+IF(Classifiers!$F$10="",0,IF(ISNUMBER(SEARCH(Classifiers!$F$10,E461)),1,0))+IF(Classifiers!$G$10="",0,IF(ISNUMBER(SEARCH(Classifiers!$G$10,E461)),1,0)))&gt;0,1,0))</f>
        <v/>
      </c>
      <c r="P461" s="12">
        <f>IF(H461&lt;&gt;1,0,IF((IF(Classifiers!$B$11="",0,IF(ISNUMBER(SEARCH(Classifiers!$B$11,E461)),1,0))+IF(Classifiers!$C$11="",0,IF(ISNUMBER(SEARCH(Classifiers!$C$11,E461)),1,0))+IF(Classifiers!$D$11="",0,IF(ISNUMBER(SEARCH(Classifiers!$D$11,E461)),1,0))+IF(Classifiers!$E$11="",0,IF(ISNUMBER(SEARCH(Classifiers!$E$11,E461)),1,0))+IF(Classifiers!$F$11="",0,IF(ISNUMBER(SEARCH(Classifiers!$F$11,E461)),1,0))+IF(Classifiers!$G$11="",0,IF(ISNUMBER(SEARCH(Classifiers!$G$11,E461)),1,0)))&gt;0,1,0))</f>
        <v/>
      </c>
      <c r="Q461" s="12">
        <f>IF(H461&lt;&gt;1,0,IF((IF(Classifiers!$B$12="",0,IF(ISNUMBER(SEARCH(Classifiers!$B$12,E461)),1,0))+IF(Classifiers!$C$12="",0,IF(ISNUMBER(SEARCH(Classifiers!$C$12,E461)),1,0))+IF(Classifiers!$D$12="",0,IF(ISNUMBER(SEARCH(Classifiers!$D$12,E461)),1,0))+IF(Classifiers!$E$12="",0,IF(ISNUMBER(SEARCH(Classifiers!$E$12,E461)),1,0))+IF(Classifiers!$F$12="",0,IF(ISNUMBER(SEARCH(Classifiers!$F$12,E461)),1,0))+IF(Classifiers!$G$12="",0,IF(ISNUMBER(SEARCH(Classifiers!$G$12,E461)),1,0)))&gt;0,1,0))</f>
        <v/>
      </c>
      <c r="R461" s="12">
        <f>IF(H461&lt;&gt;1,0,IF((IF(Classifiers!$B$13="",0,IF(ISNUMBER(SEARCH(Classifiers!$B$13,E461)),1,0))+IF(Classifiers!$C$13="",0,IF(ISNUMBER(SEARCH(Classifiers!$C$13,E461)),1,0))+IF(Classifiers!$D$13="",0,IF(ISNUMBER(SEARCH(Classifiers!$D$13,E461)),1,0))+IF(Classifiers!$E$13="",0,IF(ISNUMBER(SEARCH(Classifiers!$E$13,E461)),1,0))+IF(Classifiers!$F$13="",0,IF(ISNUMBER(SEARCH(Classifiers!$F$13,E461)),1,0))+IF(Classifiers!$G$13="",0,IF(ISNUMBER(SEARCH(Classifiers!$G$13,E461)),1,0)))&gt;0,1,0))</f>
        <v/>
      </c>
      <c r="S461" s="12">
        <f>IF(H461&lt;&gt;1,0,IF((IF(Classifiers!$B$14="",0,IF(ISNUMBER(SEARCH(Classifiers!$B$14,E461)),1,0))+IF(Classifiers!$C$14="",0,IF(ISNUMBER(SEARCH(Classifiers!$C$14,E461)),1,0))+IF(Classifiers!$D$14="",0,IF(ISNUMBER(SEARCH(Classifiers!$D$14,E461)),1,0))+IF(Classifiers!$E$14="",0,IF(ISNUMBER(SEARCH(Classifiers!$E$14,E461)),1,0))+IF(Classifiers!$F$14="",0,IF(ISNUMBER(SEARCH(Classifiers!$F$14,E461)),1,0))+IF(Classifiers!$G$14="",0,IF(ISNUMBER(SEARCH(Classifiers!$G$14,E461)),1,0)))&gt;0,1,0))</f>
        <v/>
      </c>
      <c r="T461" s="12">
        <f>IF(H461&lt;&gt;1,0,IF((IF(Classifiers!$B$15="",0,IF(ISNUMBER(SEARCH(Classifiers!$B$15,E461)),1,0))+IF(Classifiers!$C$15="",0,IF(ISNUMBER(SEARCH(Classifiers!$C$15,E461)),1,0))+IF(Classifiers!$D$15="",0,IF(ISNUMBER(SEARCH(Classifiers!$D$15,E461)),1,0))+IF(Classifiers!$E$15="",0,IF(ISNUMBER(SEARCH(Classifiers!$E$15,E461)),1,0))+IF(Classifiers!$F$15="",0,IF(ISNUMBER(SEARCH(Classifiers!$F$15,E461)),1,0))+IF(Classifiers!$G$15="",0,IF(ISNUMBER(SEARCH(Classifiers!$G$15,E461)),1,0)))&gt;0,1,0))</f>
        <v/>
      </c>
      <c r="U461" s="12">
        <f>IF(H461&lt;&gt;1,0,IF((IF(Classifiers!$B$16="",0,IF(ISNUMBER(SEARCH(Classifiers!$B$16,E461)),1,0))+IF(Classifiers!$C$16="",0,IF(ISNUMBER(SEARCH(Classifiers!$C$16,E461)),1,0))+IF(Classifiers!$D$16="",0,IF(ISNUMBER(SEARCH(Classifiers!$D$16,E461)),1,0))+IF(Classifiers!$E$16="",0,IF(ISNUMBER(SEARCH(Classifiers!$E$16,E461)),1,0))+IF(Classifiers!$F$16="",0,IF(ISNUMBER(SEARCH(Classifiers!$F$16,E461)),1,0))+IF(Classifiers!$G$16="",0,IF(ISNUMBER(SEARCH(Classifiers!$G$16,E461)),1,0)))&gt;0,1,0))</f>
        <v/>
      </c>
      <c r="V461" s="12">
        <f>IF(H461&lt;&gt;1,0,IF((IF(Classifiers!$B$17="",0,IF(ISNUMBER(SEARCH(Classifiers!$B$17,E461)),1,0))+IF(Classifiers!$C$17="",0,IF(ISNUMBER(SEARCH(Classifiers!$C$17,E461)),1,0))+IF(Classifiers!$D$17="",0,IF(ISNUMBER(SEARCH(Classifiers!$D$17,E461)),1,0))+IF(Classifiers!$E$17="",0,IF(ISNUMBER(SEARCH(Classifiers!$E$17,E461)),1,0))+IF(Classifiers!$F$17="",0,IF(ISNUMBER(SEARCH(Classifiers!$F$17,E461)),1,0))+IF(Classifiers!$G$17="",0,IF(ISNUMBER(SEARCH(Classifiers!$G$17,E461)),1,0)))&gt;0,1,0))</f>
        <v/>
      </c>
      <c r="W461" s="12">
        <f>IF(H461&lt;&gt;1,0,IF((IF(Classifiers!$B$18="",0,IF(ISNUMBER(SEARCH(Classifiers!$B$18,E461)),1,0))+IF(Classifiers!$C$18="",0,IF(ISNUMBER(SEARCH(Classifiers!$C$18,E461)),1,0))+IF(Classifiers!$D$18="",0,IF(ISNUMBER(SEARCH(Classifiers!$D$18,E461)),1,0))+IF(Classifiers!$E$18="",0,IF(ISNUMBER(SEARCH(Classifiers!$E$18,E461)),1,0))+IF(Classifiers!$F$18="",0,IF(ISNUMBER(SEARCH(Classifiers!$F$18,E461)),1,0))+IF(Classifiers!$G$18="",0,IF(ISNUMBER(SEARCH(Classifiers!$G$18,E461)),1,0)))&gt;0,1,0))</f>
        <v/>
      </c>
    </row>
    <row r="462">
      <c r="A462" s="8" t="n"/>
      <c r="B462" s="11" t="n"/>
      <c r="C462" s="6">
        <f>IF(A462="","",TRIM(RIGHT(SUBSTITUTE(A462,"/",REPT(" ",250)),250)))</f>
        <v/>
      </c>
      <c r="D462" s="6">
        <f>IF(C462="","",IF(ISNUMBER(SEARCH(".",C462)),LOWER("."&amp;TRIM(RIGHT(SUBSTITUTE(C462,".",REPT(" ",250)),250))),""))</f>
        <v/>
      </c>
      <c r="E462" s="6">
        <f>IF(C462="","",TRIM(SUBSTITUTE(SUBSTITUTE(SUBSTITUTE(SUBSTITUTE(SUBSTITUTE(SUBSTITUTE(SUBSTITUTE(SUBSTITUTE(SUBSTITUTE(SUBSTITUTE(SUBSTITUTE(SUBSTITUTE(SUBSTITUTE(SUBSTITUTE(SUBSTITUTE(SUBSTITUTE(SUBSTITUTE(SUBSTITUTE(SUBSTITUTE(SUBSTITUTE(LOWER(LEFT(C462,LEN(C462)-LEN(D462))),"_"," "),"-"," "),"."," "),","," "),"("," "),")"," "),"["," "),"]"," "),"&amp;"," "),"+"," "),"@"," "),"#"," "),"!"," "),"'"," "),"/"," "),":"," "),";"," "),"="," "),"~"," "),"%"," ")))</f>
        <v/>
      </c>
      <c r="F462" s="6">
        <f>IF(C462="","",IF(COUNTIF(Classifiers!$A$23:$A$40,D462)&gt;0,1,0))</f>
        <v/>
      </c>
      <c r="G462" s="6">
        <f>IF(C462="","",IF(COUNTIF(Classifiers!$C$23:$C$30,D462)&gt;0,IF((IF(ISNUMBER(SEARCH(Classifiers!$E$23,E462)),1,0)+IF(ISNUMBER(SEARCH(Classifiers!$E$24,E462)),1,0)+IF(ISNUMBER(SEARCH(Classifiers!$E$25,E462)),1,0)+IF(ISNUMBER(SEARCH(Classifiers!$E$26,E462)),1,0)+IF(ISNUMBER(SEARCH(Classifiers!$E$27,E462)),1,0)+IF(ISNUMBER(SEARCH(Classifiers!$E$28,E462)),1,0)+IF(ISNUMBER(SEARCH(Classifiers!$E$29,E462)),1,0)+IF(ISNUMBER(SEARCH(Classifiers!$E$30,E462)),1,0))&gt;0,1,0),0))</f>
        <v/>
      </c>
      <c r="H462" s="6">
        <f>IF(C462="","",IF(OR(LEFT(C462,1)=".",AND(F462=0,G462=0)),0,1))</f>
        <v/>
      </c>
      <c r="I462" s="6">
        <f>IF(H462&lt;&gt;1,"",IF(SUM(J462:W462)=0,"unclassified",INDEX(Classifiers!$A$5:$A$18,MATCH(1,J462:W462,0),1)))</f>
        <v/>
      </c>
      <c r="J462" s="12">
        <f>IF(H462&lt;&gt;1,0,IF((IF(Classifiers!$B$5="",0,IF(ISNUMBER(SEARCH(Classifiers!$B$5,E462)),1,0))+IF(Classifiers!$C$5="",0,IF(ISNUMBER(SEARCH(Classifiers!$C$5,E462)),1,0))+IF(Classifiers!$D$5="",0,IF(ISNUMBER(SEARCH(Classifiers!$D$5,E462)),1,0))+IF(Classifiers!$E$5="",0,IF(ISNUMBER(SEARCH(Classifiers!$E$5,E462)),1,0))+IF(Classifiers!$F$5="",0,IF(ISNUMBER(SEARCH(Classifiers!$F$5,E462)),1,0))+IF(Classifiers!$G$5="",0,IF(ISNUMBER(SEARCH(Classifiers!$G$5,E462)),1,0)))&gt;0,1,0))</f>
        <v/>
      </c>
      <c r="K462" s="12">
        <f>IF(H462&lt;&gt;1,0,IF((IF(Classifiers!$B$6="",0,IF(ISNUMBER(SEARCH(Classifiers!$B$6,E462)),1,0))+IF(Classifiers!$C$6="",0,IF(ISNUMBER(SEARCH(Classifiers!$C$6,E462)),1,0))+IF(Classifiers!$D$6="",0,IF(ISNUMBER(SEARCH(Classifiers!$D$6,E462)),1,0))+IF(Classifiers!$E$6="",0,IF(ISNUMBER(SEARCH(Classifiers!$E$6,E462)),1,0))+IF(Classifiers!$F$6="",0,IF(ISNUMBER(SEARCH(Classifiers!$F$6,E462)),1,0))+IF(Classifiers!$G$6="",0,IF(ISNUMBER(SEARCH(Classifiers!$G$6,E462)),1,0)))&gt;0,1,0))</f>
        <v/>
      </c>
      <c r="L462" s="12">
        <f>IF(H462&lt;&gt;1,0,IF((IF(Classifiers!$B$7="",0,IF(ISNUMBER(SEARCH(Classifiers!$B$7,E462)),1,0))+IF(Classifiers!$C$7="",0,IF(ISNUMBER(SEARCH(Classifiers!$C$7,E462)),1,0))+IF(Classifiers!$D$7="",0,IF(ISNUMBER(SEARCH(Classifiers!$D$7,E462)),1,0))+IF(Classifiers!$E$7="",0,IF(ISNUMBER(SEARCH(Classifiers!$E$7,E462)),1,0))+IF(Classifiers!$F$7="",0,IF(ISNUMBER(SEARCH(Classifiers!$F$7,E462)),1,0))+IF(Classifiers!$G$7="",0,IF(ISNUMBER(SEARCH(Classifiers!$G$7,E462)),1,0)))&gt;0,1,0))</f>
        <v/>
      </c>
      <c r="M462" s="12">
        <f>IF(H462&lt;&gt;1,0,IF((IF(Classifiers!$B$8="",0,IF(ISNUMBER(SEARCH(Classifiers!$B$8,E462)),1,0))+IF(Classifiers!$C$8="",0,IF(ISNUMBER(SEARCH(Classifiers!$C$8,E462)),1,0))+IF(Classifiers!$D$8="",0,IF(ISNUMBER(SEARCH(Classifiers!$D$8,E462)),1,0))+IF(Classifiers!$E$8="",0,IF(ISNUMBER(SEARCH(Classifiers!$E$8,E462)),1,0))+IF(Classifiers!$F$8="",0,IF(ISNUMBER(SEARCH(Classifiers!$F$8,E462)),1,0))+IF(Classifiers!$G$8="",0,IF(ISNUMBER(SEARCH(Classifiers!$G$8,E462)),1,0)))&gt;0,1,0))</f>
        <v/>
      </c>
      <c r="N462" s="12">
        <f>IF(H462&lt;&gt;1,0,IF((IF(Classifiers!$B$9="",0,IF(ISNUMBER(SEARCH(Classifiers!$B$9,E462)),1,0))+IF(Classifiers!$C$9="",0,IF(ISNUMBER(SEARCH(Classifiers!$C$9,E462)),1,0))+IF(Classifiers!$D$9="",0,IF(ISNUMBER(SEARCH(Classifiers!$D$9,E462)),1,0))+IF(Classifiers!$E$9="",0,IF(ISNUMBER(SEARCH(Classifiers!$E$9,E462)),1,0))+IF(Classifiers!$F$9="",0,IF(ISNUMBER(SEARCH(Classifiers!$F$9,E462)),1,0))+IF(Classifiers!$G$9="",0,IF(ISNUMBER(SEARCH(Classifiers!$G$9,E462)),1,0)))&gt;0,1,0))</f>
        <v/>
      </c>
      <c r="O462" s="12">
        <f>IF(H462&lt;&gt;1,0,IF((IF(Classifiers!$B$10="",0,IF(ISNUMBER(SEARCH(Classifiers!$B$10,E462)),1,0))+IF(Classifiers!$C$10="",0,IF(ISNUMBER(SEARCH(Classifiers!$C$10,E462)),1,0))+IF(Classifiers!$D$10="",0,IF(ISNUMBER(SEARCH(Classifiers!$D$10,E462)),1,0))+IF(Classifiers!$E$10="",0,IF(ISNUMBER(SEARCH(Classifiers!$E$10,E462)),1,0))+IF(Classifiers!$F$10="",0,IF(ISNUMBER(SEARCH(Classifiers!$F$10,E462)),1,0))+IF(Classifiers!$G$10="",0,IF(ISNUMBER(SEARCH(Classifiers!$G$10,E462)),1,0)))&gt;0,1,0))</f>
        <v/>
      </c>
      <c r="P462" s="12">
        <f>IF(H462&lt;&gt;1,0,IF((IF(Classifiers!$B$11="",0,IF(ISNUMBER(SEARCH(Classifiers!$B$11,E462)),1,0))+IF(Classifiers!$C$11="",0,IF(ISNUMBER(SEARCH(Classifiers!$C$11,E462)),1,0))+IF(Classifiers!$D$11="",0,IF(ISNUMBER(SEARCH(Classifiers!$D$11,E462)),1,0))+IF(Classifiers!$E$11="",0,IF(ISNUMBER(SEARCH(Classifiers!$E$11,E462)),1,0))+IF(Classifiers!$F$11="",0,IF(ISNUMBER(SEARCH(Classifiers!$F$11,E462)),1,0))+IF(Classifiers!$G$11="",0,IF(ISNUMBER(SEARCH(Classifiers!$G$11,E462)),1,0)))&gt;0,1,0))</f>
        <v/>
      </c>
      <c r="Q462" s="12">
        <f>IF(H462&lt;&gt;1,0,IF((IF(Classifiers!$B$12="",0,IF(ISNUMBER(SEARCH(Classifiers!$B$12,E462)),1,0))+IF(Classifiers!$C$12="",0,IF(ISNUMBER(SEARCH(Classifiers!$C$12,E462)),1,0))+IF(Classifiers!$D$12="",0,IF(ISNUMBER(SEARCH(Classifiers!$D$12,E462)),1,0))+IF(Classifiers!$E$12="",0,IF(ISNUMBER(SEARCH(Classifiers!$E$12,E462)),1,0))+IF(Classifiers!$F$12="",0,IF(ISNUMBER(SEARCH(Classifiers!$F$12,E462)),1,0))+IF(Classifiers!$G$12="",0,IF(ISNUMBER(SEARCH(Classifiers!$G$12,E462)),1,0)))&gt;0,1,0))</f>
        <v/>
      </c>
      <c r="R462" s="12">
        <f>IF(H462&lt;&gt;1,0,IF((IF(Classifiers!$B$13="",0,IF(ISNUMBER(SEARCH(Classifiers!$B$13,E462)),1,0))+IF(Classifiers!$C$13="",0,IF(ISNUMBER(SEARCH(Classifiers!$C$13,E462)),1,0))+IF(Classifiers!$D$13="",0,IF(ISNUMBER(SEARCH(Classifiers!$D$13,E462)),1,0))+IF(Classifiers!$E$13="",0,IF(ISNUMBER(SEARCH(Classifiers!$E$13,E462)),1,0))+IF(Classifiers!$F$13="",0,IF(ISNUMBER(SEARCH(Classifiers!$F$13,E462)),1,0))+IF(Classifiers!$G$13="",0,IF(ISNUMBER(SEARCH(Classifiers!$G$13,E462)),1,0)))&gt;0,1,0))</f>
        <v/>
      </c>
      <c r="S462" s="12">
        <f>IF(H462&lt;&gt;1,0,IF((IF(Classifiers!$B$14="",0,IF(ISNUMBER(SEARCH(Classifiers!$B$14,E462)),1,0))+IF(Classifiers!$C$14="",0,IF(ISNUMBER(SEARCH(Classifiers!$C$14,E462)),1,0))+IF(Classifiers!$D$14="",0,IF(ISNUMBER(SEARCH(Classifiers!$D$14,E462)),1,0))+IF(Classifiers!$E$14="",0,IF(ISNUMBER(SEARCH(Classifiers!$E$14,E462)),1,0))+IF(Classifiers!$F$14="",0,IF(ISNUMBER(SEARCH(Classifiers!$F$14,E462)),1,0))+IF(Classifiers!$G$14="",0,IF(ISNUMBER(SEARCH(Classifiers!$G$14,E462)),1,0)))&gt;0,1,0))</f>
        <v/>
      </c>
      <c r="T462" s="12">
        <f>IF(H462&lt;&gt;1,0,IF((IF(Classifiers!$B$15="",0,IF(ISNUMBER(SEARCH(Classifiers!$B$15,E462)),1,0))+IF(Classifiers!$C$15="",0,IF(ISNUMBER(SEARCH(Classifiers!$C$15,E462)),1,0))+IF(Classifiers!$D$15="",0,IF(ISNUMBER(SEARCH(Classifiers!$D$15,E462)),1,0))+IF(Classifiers!$E$15="",0,IF(ISNUMBER(SEARCH(Classifiers!$E$15,E462)),1,0))+IF(Classifiers!$F$15="",0,IF(ISNUMBER(SEARCH(Classifiers!$F$15,E462)),1,0))+IF(Classifiers!$G$15="",0,IF(ISNUMBER(SEARCH(Classifiers!$G$15,E462)),1,0)))&gt;0,1,0))</f>
        <v/>
      </c>
      <c r="U462" s="12">
        <f>IF(H462&lt;&gt;1,0,IF((IF(Classifiers!$B$16="",0,IF(ISNUMBER(SEARCH(Classifiers!$B$16,E462)),1,0))+IF(Classifiers!$C$16="",0,IF(ISNUMBER(SEARCH(Classifiers!$C$16,E462)),1,0))+IF(Classifiers!$D$16="",0,IF(ISNUMBER(SEARCH(Classifiers!$D$16,E462)),1,0))+IF(Classifiers!$E$16="",0,IF(ISNUMBER(SEARCH(Classifiers!$E$16,E462)),1,0))+IF(Classifiers!$F$16="",0,IF(ISNUMBER(SEARCH(Classifiers!$F$16,E462)),1,0))+IF(Classifiers!$G$16="",0,IF(ISNUMBER(SEARCH(Classifiers!$G$16,E462)),1,0)))&gt;0,1,0))</f>
        <v/>
      </c>
      <c r="V462" s="12">
        <f>IF(H462&lt;&gt;1,0,IF((IF(Classifiers!$B$17="",0,IF(ISNUMBER(SEARCH(Classifiers!$B$17,E462)),1,0))+IF(Classifiers!$C$17="",0,IF(ISNUMBER(SEARCH(Classifiers!$C$17,E462)),1,0))+IF(Classifiers!$D$17="",0,IF(ISNUMBER(SEARCH(Classifiers!$D$17,E462)),1,0))+IF(Classifiers!$E$17="",0,IF(ISNUMBER(SEARCH(Classifiers!$E$17,E462)),1,0))+IF(Classifiers!$F$17="",0,IF(ISNUMBER(SEARCH(Classifiers!$F$17,E462)),1,0))+IF(Classifiers!$G$17="",0,IF(ISNUMBER(SEARCH(Classifiers!$G$17,E462)),1,0)))&gt;0,1,0))</f>
        <v/>
      </c>
      <c r="W462" s="12">
        <f>IF(H462&lt;&gt;1,0,IF((IF(Classifiers!$B$18="",0,IF(ISNUMBER(SEARCH(Classifiers!$B$18,E462)),1,0))+IF(Classifiers!$C$18="",0,IF(ISNUMBER(SEARCH(Classifiers!$C$18,E462)),1,0))+IF(Classifiers!$D$18="",0,IF(ISNUMBER(SEARCH(Classifiers!$D$18,E462)),1,0))+IF(Classifiers!$E$18="",0,IF(ISNUMBER(SEARCH(Classifiers!$E$18,E462)),1,0))+IF(Classifiers!$F$18="",0,IF(ISNUMBER(SEARCH(Classifiers!$F$18,E462)),1,0))+IF(Classifiers!$G$18="",0,IF(ISNUMBER(SEARCH(Classifiers!$G$18,E462)),1,0)))&gt;0,1,0))</f>
        <v/>
      </c>
    </row>
    <row r="463">
      <c r="A463" s="8" t="n"/>
      <c r="B463" s="11" t="n"/>
      <c r="C463" s="6">
        <f>IF(A463="","",TRIM(RIGHT(SUBSTITUTE(A463,"/",REPT(" ",250)),250)))</f>
        <v/>
      </c>
      <c r="D463" s="6">
        <f>IF(C463="","",IF(ISNUMBER(SEARCH(".",C463)),LOWER("."&amp;TRIM(RIGHT(SUBSTITUTE(C463,".",REPT(" ",250)),250))),""))</f>
        <v/>
      </c>
      <c r="E463" s="6">
        <f>IF(C463="","",TRIM(SUBSTITUTE(SUBSTITUTE(SUBSTITUTE(SUBSTITUTE(SUBSTITUTE(SUBSTITUTE(SUBSTITUTE(SUBSTITUTE(SUBSTITUTE(SUBSTITUTE(SUBSTITUTE(SUBSTITUTE(SUBSTITUTE(SUBSTITUTE(SUBSTITUTE(SUBSTITUTE(SUBSTITUTE(SUBSTITUTE(SUBSTITUTE(SUBSTITUTE(LOWER(LEFT(C463,LEN(C463)-LEN(D463))),"_"," "),"-"," "),"."," "),","," "),"("," "),")"," "),"["," "),"]"," "),"&amp;"," "),"+"," "),"@"," "),"#"," "),"!"," "),"'"," "),"/"," "),":"," "),";"," "),"="," "),"~"," "),"%"," ")))</f>
        <v/>
      </c>
      <c r="F463" s="6">
        <f>IF(C463="","",IF(COUNTIF(Classifiers!$A$23:$A$40,D463)&gt;0,1,0))</f>
        <v/>
      </c>
      <c r="G463" s="6">
        <f>IF(C463="","",IF(COUNTIF(Classifiers!$C$23:$C$30,D463)&gt;0,IF((IF(ISNUMBER(SEARCH(Classifiers!$E$23,E463)),1,0)+IF(ISNUMBER(SEARCH(Classifiers!$E$24,E463)),1,0)+IF(ISNUMBER(SEARCH(Classifiers!$E$25,E463)),1,0)+IF(ISNUMBER(SEARCH(Classifiers!$E$26,E463)),1,0)+IF(ISNUMBER(SEARCH(Classifiers!$E$27,E463)),1,0)+IF(ISNUMBER(SEARCH(Classifiers!$E$28,E463)),1,0)+IF(ISNUMBER(SEARCH(Classifiers!$E$29,E463)),1,0)+IF(ISNUMBER(SEARCH(Classifiers!$E$30,E463)),1,0))&gt;0,1,0),0))</f>
        <v/>
      </c>
      <c r="H463" s="6">
        <f>IF(C463="","",IF(OR(LEFT(C463,1)=".",AND(F463=0,G463=0)),0,1))</f>
        <v/>
      </c>
      <c r="I463" s="6">
        <f>IF(H463&lt;&gt;1,"",IF(SUM(J463:W463)=0,"unclassified",INDEX(Classifiers!$A$5:$A$18,MATCH(1,J463:W463,0),1)))</f>
        <v/>
      </c>
      <c r="J463" s="12">
        <f>IF(H463&lt;&gt;1,0,IF((IF(Classifiers!$B$5="",0,IF(ISNUMBER(SEARCH(Classifiers!$B$5,E463)),1,0))+IF(Classifiers!$C$5="",0,IF(ISNUMBER(SEARCH(Classifiers!$C$5,E463)),1,0))+IF(Classifiers!$D$5="",0,IF(ISNUMBER(SEARCH(Classifiers!$D$5,E463)),1,0))+IF(Classifiers!$E$5="",0,IF(ISNUMBER(SEARCH(Classifiers!$E$5,E463)),1,0))+IF(Classifiers!$F$5="",0,IF(ISNUMBER(SEARCH(Classifiers!$F$5,E463)),1,0))+IF(Classifiers!$G$5="",0,IF(ISNUMBER(SEARCH(Classifiers!$G$5,E463)),1,0)))&gt;0,1,0))</f>
        <v/>
      </c>
      <c r="K463" s="12">
        <f>IF(H463&lt;&gt;1,0,IF((IF(Classifiers!$B$6="",0,IF(ISNUMBER(SEARCH(Classifiers!$B$6,E463)),1,0))+IF(Classifiers!$C$6="",0,IF(ISNUMBER(SEARCH(Classifiers!$C$6,E463)),1,0))+IF(Classifiers!$D$6="",0,IF(ISNUMBER(SEARCH(Classifiers!$D$6,E463)),1,0))+IF(Classifiers!$E$6="",0,IF(ISNUMBER(SEARCH(Classifiers!$E$6,E463)),1,0))+IF(Classifiers!$F$6="",0,IF(ISNUMBER(SEARCH(Classifiers!$F$6,E463)),1,0))+IF(Classifiers!$G$6="",0,IF(ISNUMBER(SEARCH(Classifiers!$G$6,E463)),1,0)))&gt;0,1,0))</f>
        <v/>
      </c>
      <c r="L463" s="12">
        <f>IF(H463&lt;&gt;1,0,IF((IF(Classifiers!$B$7="",0,IF(ISNUMBER(SEARCH(Classifiers!$B$7,E463)),1,0))+IF(Classifiers!$C$7="",0,IF(ISNUMBER(SEARCH(Classifiers!$C$7,E463)),1,0))+IF(Classifiers!$D$7="",0,IF(ISNUMBER(SEARCH(Classifiers!$D$7,E463)),1,0))+IF(Classifiers!$E$7="",0,IF(ISNUMBER(SEARCH(Classifiers!$E$7,E463)),1,0))+IF(Classifiers!$F$7="",0,IF(ISNUMBER(SEARCH(Classifiers!$F$7,E463)),1,0))+IF(Classifiers!$G$7="",0,IF(ISNUMBER(SEARCH(Classifiers!$G$7,E463)),1,0)))&gt;0,1,0))</f>
        <v/>
      </c>
      <c r="M463" s="12">
        <f>IF(H463&lt;&gt;1,0,IF((IF(Classifiers!$B$8="",0,IF(ISNUMBER(SEARCH(Classifiers!$B$8,E463)),1,0))+IF(Classifiers!$C$8="",0,IF(ISNUMBER(SEARCH(Classifiers!$C$8,E463)),1,0))+IF(Classifiers!$D$8="",0,IF(ISNUMBER(SEARCH(Classifiers!$D$8,E463)),1,0))+IF(Classifiers!$E$8="",0,IF(ISNUMBER(SEARCH(Classifiers!$E$8,E463)),1,0))+IF(Classifiers!$F$8="",0,IF(ISNUMBER(SEARCH(Classifiers!$F$8,E463)),1,0))+IF(Classifiers!$G$8="",0,IF(ISNUMBER(SEARCH(Classifiers!$G$8,E463)),1,0)))&gt;0,1,0))</f>
        <v/>
      </c>
      <c r="N463" s="12">
        <f>IF(H463&lt;&gt;1,0,IF((IF(Classifiers!$B$9="",0,IF(ISNUMBER(SEARCH(Classifiers!$B$9,E463)),1,0))+IF(Classifiers!$C$9="",0,IF(ISNUMBER(SEARCH(Classifiers!$C$9,E463)),1,0))+IF(Classifiers!$D$9="",0,IF(ISNUMBER(SEARCH(Classifiers!$D$9,E463)),1,0))+IF(Classifiers!$E$9="",0,IF(ISNUMBER(SEARCH(Classifiers!$E$9,E463)),1,0))+IF(Classifiers!$F$9="",0,IF(ISNUMBER(SEARCH(Classifiers!$F$9,E463)),1,0))+IF(Classifiers!$G$9="",0,IF(ISNUMBER(SEARCH(Classifiers!$G$9,E463)),1,0)))&gt;0,1,0))</f>
        <v/>
      </c>
      <c r="O463" s="12">
        <f>IF(H463&lt;&gt;1,0,IF((IF(Classifiers!$B$10="",0,IF(ISNUMBER(SEARCH(Classifiers!$B$10,E463)),1,0))+IF(Classifiers!$C$10="",0,IF(ISNUMBER(SEARCH(Classifiers!$C$10,E463)),1,0))+IF(Classifiers!$D$10="",0,IF(ISNUMBER(SEARCH(Classifiers!$D$10,E463)),1,0))+IF(Classifiers!$E$10="",0,IF(ISNUMBER(SEARCH(Classifiers!$E$10,E463)),1,0))+IF(Classifiers!$F$10="",0,IF(ISNUMBER(SEARCH(Classifiers!$F$10,E463)),1,0))+IF(Classifiers!$G$10="",0,IF(ISNUMBER(SEARCH(Classifiers!$G$10,E463)),1,0)))&gt;0,1,0))</f>
        <v/>
      </c>
      <c r="P463" s="12">
        <f>IF(H463&lt;&gt;1,0,IF((IF(Classifiers!$B$11="",0,IF(ISNUMBER(SEARCH(Classifiers!$B$11,E463)),1,0))+IF(Classifiers!$C$11="",0,IF(ISNUMBER(SEARCH(Classifiers!$C$11,E463)),1,0))+IF(Classifiers!$D$11="",0,IF(ISNUMBER(SEARCH(Classifiers!$D$11,E463)),1,0))+IF(Classifiers!$E$11="",0,IF(ISNUMBER(SEARCH(Classifiers!$E$11,E463)),1,0))+IF(Classifiers!$F$11="",0,IF(ISNUMBER(SEARCH(Classifiers!$F$11,E463)),1,0))+IF(Classifiers!$G$11="",0,IF(ISNUMBER(SEARCH(Classifiers!$G$11,E463)),1,0)))&gt;0,1,0))</f>
        <v/>
      </c>
      <c r="Q463" s="12">
        <f>IF(H463&lt;&gt;1,0,IF((IF(Classifiers!$B$12="",0,IF(ISNUMBER(SEARCH(Classifiers!$B$12,E463)),1,0))+IF(Classifiers!$C$12="",0,IF(ISNUMBER(SEARCH(Classifiers!$C$12,E463)),1,0))+IF(Classifiers!$D$12="",0,IF(ISNUMBER(SEARCH(Classifiers!$D$12,E463)),1,0))+IF(Classifiers!$E$12="",0,IF(ISNUMBER(SEARCH(Classifiers!$E$12,E463)),1,0))+IF(Classifiers!$F$12="",0,IF(ISNUMBER(SEARCH(Classifiers!$F$12,E463)),1,0))+IF(Classifiers!$G$12="",0,IF(ISNUMBER(SEARCH(Classifiers!$G$12,E463)),1,0)))&gt;0,1,0))</f>
        <v/>
      </c>
      <c r="R463" s="12">
        <f>IF(H463&lt;&gt;1,0,IF((IF(Classifiers!$B$13="",0,IF(ISNUMBER(SEARCH(Classifiers!$B$13,E463)),1,0))+IF(Classifiers!$C$13="",0,IF(ISNUMBER(SEARCH(Classifiers!$C$13,E463)),1,0))+IF(Classifiers!$D$13="",0,IF(ISNUMBER(SEARCH(Classifiers!$D$13,E463)),1,0))+IF(Classifiers!$E$13="",0,IF(ISNUMBER(SEARCH(Classifiers!$E$13,E463)),1,0))+IF(Classifiers!$F$13="",0,IF(ISNUMBER(SEARCH(Classifiers!$F$13,E463)),1,0))+IF(Classifiers!$G$13="",0,IF(ISNUMBER(SEARCH(Classifiers!$G$13,E463)),1,0)))&gt;0,1,0))</f>
        <v/>
      </c>
      <c r="S463" s="12">
        <f>IF(H463&lt;&gt;1,0,IF((IF(Classifiers!$B$14="",0,IF(ISNUMBER(SEARCH(Classifiers!$B$14,E463)),1,0))+IF(Classifiers!$C$14="",0,IF(ISNUMBER(SEARCH(Classifiers!$C$14,E463)),1,0))+IF(Classifiers!$D$14="",0,IF(ISNUMBER(SEARCH(Classifiers!$D$14,E463)),1,0))+IF(Classifiers!$E$14="",0,IF(ISNUMBER(SEARCH(Classifiers!$E$14,E463)),1,0))+IF(Classifiers!$F$14="",0,IF(ISNUMBER(SEARCH(Classifiers!$F$14,E463)),1,0))+IF(Classifiers!$G$14="",0,IF(ISNUMBER(SEARCH(Classifiers!$G$14,E463)),1,0)))&gt;0,1,0))</f>
        <v/>
      </c>
      <c r="T463" s="12">
        <f>IF(H463&lt;&gt;1,0,IF((IF(Classifiers!$B$15="",0,IF(ISNUMBER(SEARCH(Classifiers!$B$15,E463)),1,0))+IF(Classifiers!$C$15="",0,IF(ISNUMBER(SEARCH(Classifiers!$C$15,E463)),1,0))+IF(Classifiers!$D$15="",0,IF(ISNUMBER(SEARCH(Classifiers!$D$15,E463)),1,0))+IF(Classifiers!$E$15="",0,IF(ISNUMBER(SEARCH(Classifiers!$E$15,E463)),1,0))+IF(Classifiers!$F$15="",0,IF(ISNUMBER(SEARCH(Classifiers!$F$15,E463)),1,0))+IF(Classifiers!$G$15="",0,IF(ISNUMBER(SEARCH(Classifiers!$G$15,E463)),1,0)))&gt;0,1,0))</f>
        <v/>
      </c>
      <c r="U463" s="12">
        <f>IF(H463&lt;&gt;1,0,IF((IF(Classifiers!$B$16="",0,IF(ISNUMBER(SEARCH(Classifiers!$B$16,E463)),1,0))+IF(Classifiers!$C$16="",0,IF(ISNUMBER(SEARCH(Classifiers!$C$16,E463)),1,0))+IF(Classifiers!$D$16="",0,IF(ISNUMBER(SEARCH(Classifiers!$D$16,E463)),1,0))+IF(Classifiers!$E$16="",0,IF(ISNUMBER(SEARCH(Classifiers!$E$16,E463)),1,0))+IF(Classifiers!$F$16="",0,IF(ISNUMBER(SEARCH(Classifiers!$F$16,E463)),1,0))+IF(Classifiers!$G$16="",0,IF(ISNUMBER(SEARCH(Classifiers!$G$16,E463)),1,0)))&gt;0,1,0))</f>
        <v/>
      </c>
      <c r="V463" s="12">
        <f>IF(H463&lt;&gt;1,0,IF((IF(Classifiers!$B$17="",0,IF(ISNUMBER(SEARCH(Classifiers!$B$17,E463)),1,0))+IF(Classifiers!$C$17="",0,IF(ISNUMBER(SEARCH(Classifiers!$C$17,E463)),1,0))+IF(Classifiers!$D$17="",0,IF(ISNUMBER(SEARCH(Classifiers!$D$17,E463)),1,0))+IF(Classifiers!$E$17="",0,IF(ISNUMBER(SEARCH(Classifiers!$E$17,E463)),1,0))+IF(Classifiers!$F$17="",0,IF(ISNUMBER(SEARCH(Classifiers!$F$17,E463)),1,0))+IF(Classifiers!$G$17="",0,IF(ISNUMBER(SEARCH(Classifiers!$G$17,E463)),1,0)))&gt;0,1,0))</f>
        <v/>
      </c>
      <c r="W463" s="12">
        <f>IF(H463&lt;&gt;1,0,IF((IF(Classifiers!$B$18="",0,IF(ISNUMBER(SEARCH(Classifiers!$B$18,E463)),1,0))+IF(Classifiers!$C$18="",0,IF(ISNUMBER(SEARCH(Classifiers!$C$18,E463)),1,0))+IF(Classifiers!$D$18="",0,IF(ISNUMBER(SEARCH(Classifiers!$D$18,E463)),1,0))+IF(Classifiers!$E$18="",0,IF(ISNUMBER(SEARCH(Classifiers!$E$18,E463)),1,0))+IF(Classifiers!$F$18="",0,IF(ISNUMBER(SEARCH(Classifiers!$F$18,E463)),1,0))+IF(Classifiers!$G$18="",0,IF(ISNUMBER(SEARCH(Classifiers!$G$18,E463)),1,0)))&gt;0,1,0))</f>
        <v/>
      </c>
    </row>
    <row r="464">
      <c r="A464" s="8" t="n"/>
      <c r="B464" s="11" t="n"/>
      <c r="C464" s="6">
        <f>IF(A464="","",TRIM(RIGHT(SUBSTITUTE(A464,"/",REPT(" ",250)),250)))</f>
        <v/>
      </c>
      <c r="D464" s="6">
        <f>IF(C464="","",IF(ISNUMBER(SEARCH(".",C464)),LOWER("."&amp;TRIM(RIGHT(SUBSTITUTE(C464,".",REPT(" ",250)),250))),""))</f>
        <v/>
      </c>
      <c r="E464" s="6">
        <f>IF(C464="","",TRIM(SUBSTITUTE(SUBSTITUTE(SUBSTITUTE(SUBSTITUTE(SUBSTITUTE(SUBSTITUTE(SUBSTITUTE(SUBSTITUTE(SUBSTITUTE(SUBSTITUTE(SUBSTITUTE(SUBSTITUTE(SUBSTITUTE(SUBSTITUTE(SUBSTITUTE(SUBSTITUTE(SUBSTITUTE(SUBSTITUTE(SUBSTITUTE(SUBSTITUTE(LOWER(LEFT(C464,LEN(C464)-LEN(D464))),"_"," "),"-"," "),"."," "),","," "),"("," "),")"," "),"["," "),"]"," "),"&amp;"," "),"+"," "),"@"," "),"#"," "),"!"," "),"'"," "),"/"," "),":"," "),";"," "),"="," "),"~"," "),"%"," ")))</f>
        <v/>
      </c>
      <c r="F464" s="6">
        <f>IF(C464="","",IF(COUNTIF(Classifiers!$A$23:$A$40,D464)&gt;0,1,0))</f>
        <v/>
      </c>
      <c r="G464" s="6">
        <f>IF(C464="","",IF(COUNTIF(Classifiers!$C$23:$C$30,D464)&gt;0,IF((IF(ISNUMBER(SEARCH(Classifiers!$E$23,E464)),1,0)+IF(ISNUMBER(SEARCH(Classifiers!$E$24,E464)),1,0)+IF(ISNUMBER(SEARCH(Classifiers!$E$25,E464)),1,0)+IF(ISNUMBER(SEARCH(Classifiers!$E$26,E464)),1,0)+IF(ISNUMBER(SEARCH(Classifiers!$E$27,E464)),1,0)+IF(ISNUMBER(SEARCH(Classifiers!$E$28,E464)),1,0)+IF(ISNUMBER(SEARCH(Classifiers!$E$29,E464)),1,0)+IF(ISNUMBER(SEARCH(Classifiers!$E$30,E464)),1,0))&gt;0,1,0),0))</f>
        <v/>
      </c>
      <c r="H464" s="6">
        <f>IF(C464="","",IF(OR(LEFT(C464,1)=".",AND(F464=0,G464=0)),0,1))</f>
        <v/>
      </c>
      <c r="I464" s="6">
        <f>IF(H464&lt;&gt;1,"",IF(SUM(J464:W464)=0,"unclassified",INDEX(Classifiers!$A$5:$A$18,MATCH(1,J464:W464,0),1)))</f>
        <v/>
      </c>
      <c r="J464" s="12">
        <f>IF(H464&lt;&gt;1,0,IF((IF(Classifiers!$B$5="",0,IF(ISNUMBER(SEARCH(Classifiers!$B$5,E464)),1,0))+IF(Classifiers!$C$5="",0,IF(ISNUMBER(SEARCH(Classifiers!$C$5,E464)),1,0))+IF(Classifiers!$D$5="",0,IF(ISNUMBER(SEARCH(Classifiers!$D$5,E464)),1,0))+IF(Classifiers!$E$5="",0,IF(ISNUMBER(SEARCH(Classifiers!$E$5,E464)),1,0))+IF(Classifiers!$F$5="",0,IF(ISNUMBER(SEARCH(Classifiers!$F$5,E464)),1,0))+IF(Classifiers!$G$5="",0,IF(ISNUMBER(SEARCH(Classifiers!$G$5,E464)),1,0)))&gt;0,1,0))</f>
        <v/>
      </c>
      <c r="K464" s="12">
        <f>IF(H464&lt;&gt;1,0,IF((IF(Classifiers!$B$6="",0,IF(ISNUMBER(SEARCH(Classifiers!$B$6,E464)),1,0))+IF(Classifiers!$C$6="",0,IF(ISNUMBER(SEARCH(Classifiers!$C$6,E464)),1,0))+IF(Classifiers!$D$6="",0,IF(ISNUMBER(SEARCH(Classifiers!$D$6,E464)),1,0))+IF(Classifiers!$E$6="",0,IF(ISNUMBER(SEARCH(Classifiers!$E$6,E464)),1,0))+IF(Classifiers!$F$6="",0,IF(ISNUMBER(SEARCH(Classifiers!$F$6,E464)),1,0))+IF(Classifiers!$G$6="",0,IF(ISNUMBER(SEARCH(Classifiers!$G$6,E464)),1,0)))&gt;0,1,0))</f>
        <v/>
      </c>
      <c r="L464" s="12">
        <f>IF(H464&lt;&gt;1,0,IF((IF(Classifiers!$B$7="",0,IF(ISNUMBER(SEARCH(Classifiers!$B$7,E464)),1,0))+IF(Classifiers!$C$7="",0,IF(ISNUMBER(SEARCH(Classifiers!$C$7,E464)),1,0))+IF(Classifiers!$D$7="",0,IF(ISNUMBER(SEARCH(Classifiers!$D$7,E464)),1,0))+IF(Classifiers!$E$7="",0,IF(ISNUMBER(SEARCH(Classifiers!$E$7,E464)),1,0))+IF(Classifiers!$F$7="",0,IF(ISNUMBER(SEARCH(Classifiers!$F$7,E464)),1,0))+IF(Classifiers!$G$7="",0,IF(ISNUMBER(SEARCH(Classifiers!$G$7,E464)),1,0)))&gt;0,1,0))</f>
        <v/>
      </c>
      <c r="M464" s="12">
        <f>IF(H464&lt;&gt;1,0,IF((IF(Classifiers!$B$8="",0,IF(ISNUMBER(SEARCH(Classifiers!$B$8,E464)),1,0))+IF(Classifiers!$C$8="",0,IF(ISNUMBER(SEARCH(Classifiers!$C$8,E464)),1,0))+IF(Classifiers!$D$8="",0,IF(ISNUMBER(SEARCH(Classifiers!$D$8,E464)),1,0))+IF(Classifiers!$E$8="",0,IF(ISNUMBER(SEARCH(Classifiers!$E$8,E464)),1,0))+IF(Classifiers!$F$8="",0,IF(ISNUMBER(SEARCH(Classifiers!$F$8,E464)),1,0))+IF(Classifiers!$G$8="",0,IF(ISNUMBER(SEARCH(Classifiers!$G$8,E464)),1,0)))&gt;0,1,0))</f>
        <v/>
      </c>
      <c r="N464" s="12">
        <f>IF(H464&lt;&gt;1,0,IF((IF(Classifiers!$B$9="",0,IF(ISNUMBER(SEARCH(Classifiers!$B$9,E464)),1,0))+IF(Classifiers!$C$9="",0,IF(ISNUMBER(SEARCH(Classifiers!$C$9,E464)),1,0))+IF(Classifiers!$D$9="",0,IF(ISNUMBER(SEARCH(Classifiers!$D$9,E464)),1,0))+IF(Classifiers!$E$9="",0,IF(ISNUMBER(SEARCH(Classifiers!$E$9,E464)),1,0))+IF(Classifiers!$F$9="",0,IF(ISNUMBER(SEARCH(Classifiers!$F$9,E464)),1,0))+IF(Classifiers!$G$9="",0,IF(ISNUMBER(SEARCH(Classifiers!$G$9,E464)),1,0)))&gt;0,1,0))</f>
        <v/>
      </c>
      <c r="O464" s="12">
        <f>IF(H464&lt;&gt;1,0,IF((IF(Classifiers!$B$10="",0,IF(ISNUMBER(SEARCH(Classifiers!$B$10,E464)),1,0))+IF(Classifiers!$C$10="",0,IF(ISNUMBER(SEARCH(Classifiers!$C$10,E464)),1,0))+IF(Classifiers!$D$10="",0,IF(ISNUMBER(SEARCH(Classifiers!$D$10,E464)),1,0))+IF(Classifiers!$E$10="",0,IF(ISNUMBER(SEARCH(Classifiers!$E$10,E464)),1,0))+IF(Classifiers!$F$10="",0,IF(ISNUMBER(SEARCH(Classifiers!$F$10,E464)),1,0))+IF(Classifiers!$G$10="",0,IF(ISNUMBER(SEARCH(Classifiers!$G$10,E464)),1,0)))&gt;0,1,0))</f>
        <v/>
      </c>
      <c r="P464" s="12">
        <f>IF(H464&lt;&gt;1,0,IF((IF(Classifiers!$B$11="",0,IF(ISNUMBER(SEARCH(Classifiers!$B$11,E464)),1,0))+IF(Classifiers!$C$11="",0,IF(ISNUMBER(SEARCH(Classifiers!$C$11,E464)),1,0))+IF(Classifiers!$D$11="",0,IF(ISNUMBER(SEARCH(Classifiers!$D$11,E464)),1,0))+IF(Classifiers!$E$11="",0,IF(ISNUMBER(SEARCH(Classifiers!$E$11,E464)),1,0))+IF(Classifiers!$F$11="",0,IF(ISNUMBER(SEARCH(Classifiers!$F$11,E464)),1,0))+IF(Classifiers!$G$11="",0,IF(ISNUMBER(SEARCH(Classifiers!$G$11,E464)),1,0)))&gt;0,1,0))</f>
        <v/>
      </c>
      <c r="Q464" s="12">
        <f>IF(H464&lt;&gt;1,0,IF((IF(Classifiers!$B$12="",0,IF(ISNUMBER(SEARCH(Classifiers!$B$12,E464)),1,0))+IF(Classifiers!$C$12="",0,IF(ISNUMBER(SEARCH(Classifiers!$C$12,E464)),1,0))+IF(Classifiers!$D$12="",0,IF(ISNUMBER(SEARCH(Classifiers!$D$12,E464)),1,0))+IF(Classifiers!$E$12="",0,IF(ISNUMBER(SEARCH(Classifiers!$E$12,E464)),1,0))+IF(Classifiers!$F$12="",0,IF(ISNUMBER(SEARCH(Classifiers!$F$12,E464)),1,0))+IF(Classifiers!$G$12="",0,IF(ISNUMBER(SEARCH(Classifiers!$G$12,E464)),1,0)))&gt;0,1,0))</f>
        <v/>
      </c>
      <c r="R464" s="12">
        <f>IF(H464&lt;&gt;1,0,IF((IF(Classifiers!$B$13="",0,IF(ISNUMBER(SEARCH(Classifiers!$B$13,E464)),1,0))+IF(Classifiers!$C$13="",0,IF(ISNUMBER(SEARCH(Classifiers!$C$13,E464)),1,0))+IF(Classifiers!$D$13="",0,IF(ISNUMBER(SEARCH(Classifiers!$D$13,E464)),1,0))+IF(Classifiers!$E$13="",0,IF(ISNUMBER(SEARCH(Classifiers!$E$13,E464)),1,0))+IF(Classifiers!$F$13="",0,IF(ISNUMBER(SEARCH(Classifiers!$F$13,E464)),1,0))+IF(Classifiers!$G$13="",0,IF(ISNUMBER(SEARCH(Classifiers!$G$13,E464)),1,0)))&gt;0,1,0))</f>
        <v/>
      </c>
      <c r="S464" s="12">
        <f>IF(H464&lt;&gt;1,0,IF((IF(Classifiers!$B$14="",0,IF(ISNUMBER(SEARCH(Classifiers!$B$14,E464)),1,0))+IF(Classifiers!$C$14="",0,IF(ISNUMBER(SEARCH(Classifiers!$C$14,E464)),1,0))+IF(Classifiers!$D$14="",0,IF(ISNUMBER(SEARCH(Classifiers!$D$14,E464)),1,0))+IF(Classifiers!$E$14="",0,IF(ISNUMBER(SEARCH(Classifiers!$E$14,E464)),1,0))+IF(Classifiers!$F$14="",0,IF(ISNUMBER(SEARCH(Classifiers!$F$14,E464)),1,0))+IF(Classifiers!$G$14="",0,IF(ISNUMBER(SEARCH(Classifiers!$G$14,E464)),1,0)))&gt;0,1,0))</f>
        <v/>
      </c>
      <c r="T464" s="12">
        <f>IF(H464&lt;&gt;1,0,IF((IF(Classifiers!$B$15="",0,IF(ISNUMBER(SEARCH(Classifiers!$B$15,E464)),1,0))+IF(Classifiers!$C$15="",0,IF(ISNUMBER(SEARCH(Classifiers!$C$15,E464)),1,0))+IF(Classifiers!$D$15="",0,IF(ISNUMBER(SEARCH(Classifiers!$D$15,E464)),1,0))+IF(Classifiers!$E$15="",0,IF(ISNUMBER(SEARCH(Classifiers!$E$15,E464)),1,0))+IF(Classifiers!$F$15="",0,IF(ISNUMBER(SEARCH(Classifiers!$F$15,E464)),1,0))+IF(Classifiers!$G$15="",0,IF(ISNUMBER(SEARCH(Classifiers!$G$15,E464)),1,0)))&gt;0,1,0))</f>
        <v/>
      </c>
      <c r="U464" s="12">
        <f>IF(H464&lt;&gt;1,0,IF((IF(Classifiers!$B$16="",0,IF(ISNUMBER(SEARCH(Classifiers!$B$16,E464)),1,0))+IF(Classifiers!$C$16="",0,IF(ISNUMBER(SEARCH(Classifiers!$C$16,E464)),1,0))+IF(Classifiers!$D$16="",0,IF(ISNUMBER(SEARCH(Classifiers!$D$16,E464)),1,0))+IF(Classifiers!$E$16="",0,IF(ISNUMBER(SEARCH(Classifiers!$E$16,E464)),1,0))+IF(Classifiers!$F$16="",0,IF(ISNUMBER(SEARCH(Classifiers!$F$16,E464)),1,0))+IF(Classifiers!$G$16="",0,IF(ISNUMBER(SEARCH(Classifiers!$G$16,E464)),1,0)))&gt;0,1,0))</f>
        <v/>
      </c>
      <c r="V464" s="12">
        <f>IF(H464&lt;&gt;1,0,IF((IF(Classifiers!$B$17="",0,IF(ISNUMBER(SEARCH(Classifiers!$B$17,E464)),1,0))+IF(Classifiers!$C$17="",0,IF(ISNUMBER(SEARCH(Classifiers!$C$17,E464)),1,0))+IF(Classifiers!$D$17="",0,IF(ISNUMBER(SEARCH(Classifiers!$D$17,E464)),1,0))+IF(Classifiers!$E$17="",0,IF(ISNUMBER(SEARCH(Classifiers!$E$17,E464)),1,0))+IF(Classifiers!$F$17="",0,IF(ISNUMBER(SEARCH(Classifiers!$F$17,E464)),1,0))+IF(Classifiers!$G$17="",0,IF(ISNUMBER(SEARCH(Classifiers!$G$17,E464)),1,0)))&gt;0,1,0))</f>
        <v/>
      </c>
      <c r="W464" s="12">
        <f>IF(H464&lt;&gt;1,0,IF((IF(Classifiers!$B$18="",0,IF(ISNUMBER(SEARCH(Classifiers!$B$18,E464)),1,0))+IF(Classifiers!$C$18="",0,IF(ISNUMBER(SEARCH(Classifiers!$C$18,E464)),1,0))+IF(Classifiers!$D$18="",0,IF(ISNUMBER(SEARCH(Classifiers!$D$18,E464)),1,0))+IF(Classifiers!$E$18="",0,IF(ISNUMBER(SEARCH(Classifiers!$E$18,E464)),1,0))+IF(Classifiers!$F$18="",0,IF(ISNUMBER(SEARCH(Classifiers!$F$18,E464)),1,0))+IF(Classifiers!$G$18="",0,IF(ISNUMBER(SEARCH(Classifiers!$G$18,E464)),1,0)))&gt;0,1,0))</f>
        <v/>
      </c>
    </row>
    <row r="465">
      <c r="A465" s="8" t="n"/>
      <c r="B465" s="11" t="n"/>
      <c r="C465" s="6">
        <f>IF(A465="","",TRIM(RIGHT(SUBSTITUTE(A465,"/",REPT(" ",250)),250)))</f>
        <v/>
      </c>
      <c r="D465" s="6">
        <f>IF(C465="","",IF(ISNUMBER(SEARCH(".",C465)),LOWER("."&amp;TRIM(RIGHT(SUBSTITUTE(C465,".",REPT(" ",250)),250))),""))</f>
        <v/>
      </c>
      <c r="E465" s="6">
        <f>IF(C465="","",TRIM(SUBSTITUTE(SUBSTITUTE(SUBSTITUTE(SUBSTITUTE(SUBSTITUTE(SUBSTITUTE(SUBSTITUTE(SUBSTITUTE(SUBSTITUTE(SUBSTITUTE(SUBSTITUTE(SUBSTITUTE(SUBSTITUTE(SUBSTITUTE(SUBSTITUTE(SUBSTITUTE(SUBSTITUTE(SUBSTITUTE(SUBSTITUTE(SUBSTITUTE(LOWER(LEFT(C465,LEN(C465)-LEN(D465))),"_"," "),"-"," "),"."," "),","," "),"("," "),")"," "),"["," "),"]"," "),"&amp;"," "),"+"," "),"@"," "),"#"," "),"!"," "),"'"," "),"/"," "),":"," "),";"," "),"="," "),"~"," "),"%"," ")))</f>
        <v/>
      </c>
      <c r="F465" s="6">
        <f>IF(C465="","",IF(COUNTIF(Classifiers!$A$23:$A$40,D465)&gt;0,1,0))</f>
        <v/>
      </c>
      <c r="G465" s="6">
        <f>IF(C465="","",IF(COUNTIF(Classifiers!$C$23:$C$30,D465)&gt;0,IF((IF(ISNUMBER(SEARCH(Classifiers!$E$23,E465)),1,0)+IF(ISNUMBER(SEARCH(Classifiers!$E$24,E465)),1,0)+IF(ISNUMBER(SEARCH(Classifiers!$E$25,E465)),1,0)+IF(ISNUMBER(SEARCH(Classifiers!$E$26,E465)),1,0)+IF(ISNUMBER(SEARCH(Classifiers!$E$27,E465)),1,0)+IF(ISNUMBER(SEARCH(Classifiers!$E$28,E465)),1,0)+IF(ISNUMBER(SEARCH(Classifiers!$E$29,E465)),1,0)+IF(ISNUMBER(SEARCH(Classifiers!$E$30,E465)),1,0))&gt;0,1,0),0))</f>
        <v/>
      </c>
      <c r="H465" s="6">
        <f>IF(C465="","",IF(OR(LEFT(C465,1)=".",AND(F465=0,G465=0)),0,1))</f>
        <v/>
      </c>
      <c r="I465" s="6">
        <f>IF(H465&lt;&gt;1,"",IF(SUM(J465:W465)=0,"unclassified",INDEX(Classifiers!$A$5:$A$18,MATCH(1,J465:W465,0),1)))</f>
        <v/>
      </c>
      <c r="J465" s="12">
        <f>IF(H465&lt;&gt;1,0,IF((IF(Classifiers!$B$5="",0,IF(ISNUMBER(SEARCH(Classifiers!$B$5,E465)),1,0))+IF(Classifiers!$C$5="",0,IF(ISNUMBER(SEARCH(Classifiers!$C$5,E465)),1,0))+IF(Classifiers!$D$5="",0,IF(ISNUMBER(SEARCH(Classifiers!$D$5,E465)),1,0))+IF(Classifiers!$E$5="",0,IF(ISNUMBER(SEARCH(Classifiers!$E$5,E465)),1,0))+IF(Classifiers!$F$5="",0,IF(ISNUMBER(SEARCH(Classifiers!$F$5,E465)),1,0))+IF(Classifiers!$G$5="",0,IF(ISNUMBER(SEARCH(Classifiers!$G$5,E465)),1,0)))&gt;0,1,0))</f>
        <v/>
      </c>
      <c r="K465" s="12">
        <f>IF(H465&lt;&gt;1,0,IF((IF(Classifiers!$B$6="",0,IF(ISNUMBER(SEARCH(Classifiers!$B$6,E465)),1,0))+IF(Classifiers!$C$6="",0,IF(ISNUMBER(SEARCH(Classifiers!$C$6,E465)),1,0))+IF(Classifiers!$D$6="",0,IF(ISNUMBER(SEARCH(Classifiers!$D$6,E465)),1,0))+IF(Classifiers!$E$6="",0,IF(ISNUMBER(SEARCH(Classifiers!$E$6,E465)),1,0))+IF(Classifiers!$F$6="",0,IF(ISNUMBER(SEARCH(Classifiers!$F$6,E465)),1,0))+IF(Classifiers!$G$6="",0,IF(ISNUMBER(SEARCH(Classifiers!$G$6,E465)),1,0)))&gt;0,1,0))</f>
        <v/>
      </c>
      <c r="L465" s="12">
        <f>IF(H465&lt;&gt;1,0,IF((IF(Classifiers!$B$7="",0,IF(ISNUMBER(SEARCH(Classifiers!$B$7,E465)),1,0))+IF(Classifiers!$C$7="",0,IF(ISNUMBER(SEARCH(Classifiers!$C$7,E465)),1,0))+IF(Classifiers!$D$7="",0,IF(ISNUMBER(SEARCH(Classifiers!$D$7,E465)),1,0))+IF(Classifiers!$E$7="",0,IF(ISNUMBER(SEARCH(Classifiers!$E$7,E465)),1,0))+IF(Classifiers!$F$7="",0,IF(ISNUMBER(SEARCH(Classifiers!$F$7,E465)),1,0))+IF(Classifiers!$G$7="",0,IF(ISNUMBER(SEARCH(Classifiers!$G$7,E465)),1,0)))&gt;0,1,0))</f>
        <v/>
      </c>
      <c r="M465" s="12">
        <f>IF(H465&lt;&gt;1,0,IF((IF(Classifiers!$B$8="",0,IF(ISNUMBER(SEARCH(Classifiers!$B$8,E465)),1,0))+IF(Classifiers!$C$8="",0,IF(ISNUMBER(SEARCH(Classifiers!$C$8,E465)),1,0))+IF(Classifiers!$D$8="",0,IF(ISNUMBER(SEARCH(Classifiers!$D$8,E465)),1,0))+IF(Classifiers!$E$8="",0,IF(ISNUMBER(SEARCH(Classifiers!$E$8,E465)),1,0))+IF(Classifiers!$F$8="",0,IF(ISNUMBER(SEARCH(Classifiers!$F$8,E465)),1,0))+IF(Classifiers!$G$8="",0,IF(ISNUMBER(SEARCH(Classifiers!$G$8,E465)),1,0)))&gt;0,1,0))</f>
        <v/>
      </c>
      <c r="N465" s="12">
        <f>IF(H465&lt;&gt;1,0,IF((IF(Classifiers!$B$9="",0,IF(ISNUMBER(SEARCH(Classifiers!$B$9,E465)),1,0))+IF(Classifiers!$C$9="",0,IF(ISNUMBER(SEARCH(Classifiers!$C$9,E465)),1,0))+IF(Classifiers!$D$9="",0,IF(ISNUMBER(SEARCH(Classifiers!$D$9,E465)),1,0))+IF(Classifiers!$E$9="",0,IF(ISNUMBER(SEARCH(Classifiers!$E$9,E465)),1,0))+IF(Classifiers!$F$9="",0,IF(ISNUMBER(SEARCH(Classifiers!$F$9,E465)),1,0))+IF(Classifiers!$G$9="",0,IF(ISNUMBER(SEARCH(Classifiers!$G$9,E465)),1,0)))&gt;0,1,0))</f>
        <v/>
      </c>
      <c r="O465" s="12">
        <f>IF(H465&lt;&gt;1,0,IF((IF(Classifiers!$B$10="",0,IF(ISNUMBER(SEARCH(Classifiers!$B$10,E465)),1,0))+IF(Classifiers!$C$10="",0,IF(ISNUMBER(SEARCH(Classifiers!$C$10,E465)),1,0))+IF(Classifiers!$D$10="",0,IF(ISNUMBER(SEARCH(Classifiers!$D$10,E465)),1,0))+IF(Classifiers!$E$10="",0,IF(ISNUMBER(SEARCH(Classifiers!$E$10,E465)),1,0))+IF(Classifiers!$F$10="",0,IF(ISNUMBER(SEARCH(Classifiers!$F$10,E465)),1,0))+IF(Classifiers!$G$10="",0,IF(ISNUMBER(SEARCH(Classifiers!$G$10,E465)),1,0)))&gt;0,1,0))</f>
        <v/>
      </c>
      <c r="P465" s="12">
        <f>IF(H465&lt;&gt;1,0,IF((IF(Classifiers!$B$11="",0,IF(ISNUMBER(SEARCH(Classifiers!$B$11,E465)),1,0))+IF(Classifiers!$C$11="",0,IF(ISNUMBER(SEARCH(Classifiers!$C$11,E465)),1,0))+IF(Classifiers!$D$11="",0,IF(ISNUMBER(SEARCH(Classifiers!$D$11,E465)),1,0))+IF(Classifiers!$E$11="",0,IF(ISNUMBER(SEARCH(Classifiers!$E$11,E465)),1,0))+IF(Classifiers!$F$11="",0,IF(ISNUMBER(SEARCH(Classifiers!$F$11,E465)),1,0))+IF(Classifiers!$G$11="",0,IF(ISNUMBER(SEARCH(Classifiers!$G$11,E465)),1,0)))&gt;0,1,0))</f>
        <v/>
      </c>
      <c r="Q465" s="12">
        <f>IF(H465&lt;&gt;1,0,IF((IF(Classifiers!$B$12="",0,IF(ISNUMBER(SEARCH(Classifiers!$B$12,E465)),1,0))+IF(Classifiers!$C$12="",0,IF(ISNUMBER(SEARCH(Classifiers!$C$12,E465)),1,0))+IF(Classifiers!$D$12="",0,IF(ISNUMBER(SEARCH(Classifiers!$D$12,E465)),1,0))+IF(Classifiers!$E$12="",0,IF(ISNUMBER(SEARCH(Classifiers!$E$12,E465)),1,0))+IF(Classifiers!$F$12="",0,IF(ISNUMBER(SEARCH(Classifiers!$F$12,E465)),1,0))+IF(Classifiers!$G$12="",0,IF(ISNUMBER(SEARCH(Classifiers!$G$12,E465)),1,0)))&gt;0,1,0))</f>
        <v/>
      </c>
      <c r="R465" s="12">
        <f>IF(H465&lt;&gt;1,0,IF((IF(Classifiers!$B$13="",0,IF(ISNUMBER(SEARCH(Classifiers!$B$13,E465)),1,0))+IF(Classifiers!$C$13="",0,IF(ISNUMBER(SEARCH(Classifiers!$C$13,E465)),1,0))+IF(Classifiers!$D$13="",0,IF(ISNUMBER(SEARCH(Classifiers!$D$13,E465)),1,0))+IF(Classifiers!$E$13="",0,IF(ISNUMBER(SEARCH(Classifiers!$E$13,E465)),1,0))+IF(Classifiers!$F$13="",0,IF(ISNUMBER(SEARCH(Classifiers!$F$13,E465)),1,0))+IF(Classifiers!$G$13="",0,IF(ISNUMBER(SEARCH(Classifiers!$G$13,E465)),1,0)))&gt;0,1,0))</f>
        <v/>
      </c>
      <c r="S465" s="12">
        <f>IF(H465&lt;&gt;1,0,IF((IF(Classifiers!$B$14="",0,IF(ISNUMBER(SEARCH(Classifiers!$B$14,E465)),1,0))+IF(Classifiers!$C$14="",0,IF(ISNUMBER(SEARCH(Classifiers!$C$14,E465)),1,0))+IF(Classifiers!$D$14="",0,IF(ISNUMBER(SEARCH(Classifiers!$D$14,E465)),1,0))+IF(Classifiers!$E$14="",0,IF(ISNUMBER(SEARCH(Classifiers!$E$14,E465)),1,0))+IF(Classifiers!$F$14="",0,IF(ISNUMBER(SEARCH(Classifiers!$F$14,E465)),1,0))+IF(Classifiers!$G$14="",0,IF(ISNUMBER(SEARCH(Classifiers!$G$14,E465)),1,0)))&gt;0,1,0))</f>
        <v/>
      </c>
      <c r="T465" s="12">
        <f>IF(H465&lt;&gt;1,0,IF((IF(Classifiers!$B$15="",0,IF(ISNUMBER(SEARCH(Classifiers!$B$15,E465)),1,0))+IF(Classifiers!$C$15="",0,IF(ISNUMBER(SEARCH(Classifiers!$C$15,E465)),1,0))+IF(Classifiers!$D$15="",0,IF(ISNUMBER(SEARCH(Classifiers!$D$15,E465)),1,0))+IF(Classifiers!$E$15="",0,IF(ISNUMBER(SEARCH(Classifiers!$E$15,E465)),1,0))+IF(Classifiers!$F$15="",0,IF(ISNUMBER(SEARCH(Classifiers!$F$15,E465)),1,0))+IF(Classifiers!$G$15="",0,IF(ISNUMBER(SEARCH(Classifiers!$G$15,E465)),1,0)))&gt;0,1,0))</f>
        <v/>
      </c>
      <c r="U465" s="12">
        <f>IF(H465&lt;&gt;1,0,IF((IF(Classifiers!$B$16="",0,IF(ISNUMBER(SEARCH(Classifiers!$B$16,E465)),1,0))+IF(Classifiers!$C$16="",0,IF(ISNUMBER(SEARCH(Classifiers!$C$16,E465)),1,0))+IF(Classifiers!$D$16="",0,IF(ISNUMBER(SEARCH(Classifiers!$D$16,E465)),1,0))+IF(Classifiers!$E$16="",0,IF(ISNUMBER(SEARCH(Classifiers!$E$16,E465)),1,0))+IF(Classifiers!$F$16="",0,IF(ISNUMBER(SEARCH(Classifiers!$F$16,E465)),1,0))+IF(Classifiers!$G$16="",0,IF(ISNUMBER(SEARCH(Classifiers!$G$16,E465)),1,0)))&gt;0,1,0))</f>
        <v/>
      </c>
      <c r="V465" s="12">
        <f>IF(H465&lt;&gt;1,0,IF((IF(Classifiers!$B$17="",0,IF(ISNUMBER(SEARCH(Classifiers!$B$17,E465)),1,0))+IF(Classifiers!$C$17="",0,IF(ISNUMBER(SEARCH(Classifiers!$C$17,E465)),1,0))+IF(Classifiers!$D$17="",0,IF(ISNUMBER(SEARCH(Classifiers!$D$17,E465)),1,0))+IF(Classifiers!$E$17="",0,IF(ISNUMBER(SEARCH(Classifiers!$E$17,E465)),1,0))+IF(Classifiers!$F$17="",0,IF(ISNUMBER(SEARCH(Classifiers!$F$17,E465)),1,0))+IF(Classifiers!$G$17="",0,IF(ISNUMBER(SEARCH(Classifiers!$G$17,E465)),1,0)))&gt;0,1,0))</f>
        <v/>
      </c>
      <c r="W465" s="12">
        <f>IF(H465&lt;&gt;1,0,IF((IF(Classifiers!$B$18="",0,IF(ISNUMBER(SEARCH(Classifiers!$B$18,E465)),1,0))+IF(Classifiers!$C$18="",0,IF(ISNUMBER(SEARCH(Classifiers!$C$18,E465)),1,0))+IF(Classifiers!$D$18="",0,IF(ISNUMBER(SEARCH(Classifiers!$D$18,E465)),1,0))+IF(Classifiers!$E$18="",0,IF(ISNUMBER(SEARCH(Classifiers!$E$18,E465)),1,0))+IF(Classifiers!$F$18="",0,IF(ISNUMBER(SEARCH(Classifiers!$F$18,E465)),1,0))+IF(Classifiers!$G$18="",0,IF(ISNUMBER(SEARCH(Classifiers!$G$18,E465)),1,0)))&gt;0,1,0))</f>
        <v/>
      </c>
    </row>
    <row r="466">
      <c r="A466" s="8" t="n"/>
      <c r="B466" s="11" t="n"/>
      <c r="C466" s="6">
        <f>IF(A466="","",TRIM(RIGHT(SUBSTITUTE(A466,"/",REPT(" ",250)),250)))</f>
        <v/>
      </c>
      <c r="D466" s="6">
        <f>IF(C466="","",IF(ISNUMBER(SEARCH(".",C466)),LOWER("."&amp;TRIM(RIGHT(SUBSTITUTE(C466,".",REPT(" ",250)),250))),""))</f>
        <v/>
      </c>
      <c r="E466" s="6">
        <f>IF(C466="","",TRIM(SUBSTITUTE(SUBSTITUTE(SUBSTITUTE(SUBSTITUTE(SUBSTITUTE(SUBSTITUTE(SUBSTITUTE(SUBSTITUTE(SUBSTITUTE(SUBSTITUTE(SUBSTITUTE(SUBSTITUTE(SUBSTITUTE(SUBSTITUTE(SUBSTITUTE(SUBSTITUTE(SUBSTITUTE(SUBSTITUTE(SUBSTITUTE(SUBSTITUTE(LOWER(LEFT(C466,LEN(C466)-LEN(D466))),"_"," "),"-"," "),"."," "),","," "),"("," "),")"," "),"["," "),"]"," "),"&amp;"," "),"+"," "),"@"," "),"#"," "),"!"," "),"'"," "),"/"," "),":"," "),";"," "),"="," "),"~"," "),"%"," ")))</f>
        <v/>
      </c>
      <c r="F466" s="6">
        <f>IF(C466="","",IF(COUNTIF(Classifiers!$A$23:$A$40,D466)&gt;0,1,0))</f>
        <v/>
      </c>
      <c r="G466" s="6">
        <f>IF(C466="","",IF(COUNTIF(Classifiers!$C$23:$C$30,D466)&gt;0,IF((IF(ISNUMBER(SEARCH(Classifiers!$E$23,E466)),1,0)+IF(ISNUMBER(SEARCH(Classifiers!$E$24,E466)),1,0)+IF(ISNUMBER(SEARCH(Classifiers!$E$25,E466)),1,0)+IF(ISNUMBER(SEARCH(Classifiers!$E$26,E466)),1,0)+IF(ISNUMBER(SEARCH(Classifiers!$E$27,E466)),1,0)+IF(ISNUMBER(SEARCH(Classifiers!$E$28,E466)),1,0)+IF(ISNUMBER(SEARCH(Classifiers!$E$29,E466)),1,0)+IF(ISNUMBER(SEARCH(Classifiers!$E$30,E466)),1,0))&gt;0,1,0),0))</f>
        <v/>
      </c>
      <c r="H466" s="6">
        <f>IF(C466="","",IF(OR(LEFT(C466,1)=".",AND(F466=0,G466=0)),0,1))</f>
        <v/>
      </c>
      <c r="I466" s="6">
        <f>IF(H466&lt;&gt;1,"",IF(SUM(J466:W466)=0,"unclassified",INDEX(Classifiers!$A$5:$A$18,MATCH(1,J466:W466,0),1)))</f>
        <v/>
      </c>
      <c r="J466" s="12">
        <f>IF(H466&lt;&gt;1,0,IF((IF(Classifiers!$B$5="",0,IF(ISNUMBER(SEARCH(Classifiers!$B$5,E466)),1,0))+IF(Classifiers!$C$5="",0,IF(ISNUMBER(SEARCH(Classifiers!$C$5,E466)),1,0))+IF(Classifiers!$D$5="",0,IF(ISNUMBER(SEARCH(Classifiers!$D$5,E466)),1,0))+IF(Classifiers!$E$5="",0,IF(ISNUMBER(SEARCH(Classifiers!$E$5,E466)),1,0))+IF(Classifiers!$F$5="",0,IF(ISNUMBER(SEARCH(Classifiers!$F$5,E466)),1,0))+IF(Classifiers!$G$5="",0,IF(ISNUMBER(SEARCH(Classifiers!$G$5,E466)),1,0)))&gt;0,1,0))</f>
        <v/>
      </c>
      <c r="K466" s="12">
        <f>IF(H466&lt;&gt;1,0,IF((IF(Classifiers!$B$6="",0,IF(ISNUMBER(SEARCH(Classifiers!$B$6,E466)),1,0))+IF(Classifiers!$C$6="",0,IF(ISNUMBER(SEARCH(Classifiers!$C$6,E466)),1,0))+IF(Classifiers!$D$6="",0,IF(ISNUMBER(SEARCH(Classifiers!$D$6,E466)),1,0))+IF(Classifiers!$E$6="",0,IF(ISNUMBER(SEARCH(Classifiers!$E$6,E466)),1,0))+IF(Classifiers!$F$6="",0,IF(ISNUMBER(SEARCH(Classifiers!$F$6,E466)),1,0))+IF(Classifiers!$G$6="",0,IF(ISNUMBER(SEARCH(Classifiers!$G$6,E466)),1,0)))&gt;0,1,0))</f>
        <v/>
      </c>
      <c r="L466" s="12">
        <f>IF(H466&lt;&gt;1,0,IF((IF(Classifiers!$B$7="",0,IF(ISNUMBER(SEARCH(Classifiers!$B$7,E466)),1,0))+IF(Classifiers!$C$7="",0,IF(ISNUMBER(SEARCH(Classifiers!$C$7,E466)),1,0))+IF(Classifiers!$D$7="",0,IF(ISNUMBER(SEARCH(Classifiers!$D$7,E466)),1,0))+IF(Classifiers!$E$7="",0,IF(ISNUMBER(SEARCH(Classifiers!$E$7,E466)),1,0))+IF(Classifiers!$F$7="",0,IF(ISNUMBER(SEARCH(Classifiers!$F$7,E466)),1,0))+IF(Classifiers!$G$7="",0,IF(ISNUMBER(SEARCH(Classifiers!$G$7,E466)),1,0)))&gt;0,1,0))</f>
        <v/>
      </c>
      <c r="M466" s="12">
        <f>IF(H466&lt;&gt;1,0,IF((IF(Classifiers!$B$8="",0,IF(ISNUMBER(SEARCH(Classifiers!$B$8,E466)),1,0))+IF(Classifiers!$C$8="",0,IF(ISNUMBER(SEARCH(Classifiers!$C$8,E466)),1,0))+IF(Classifiers!$D$8="",0,IF(ISNUMBER(SEARCH(Classifiers!$D$8,E466)),1,0))+IF(Classifiers!$E$8="",0,IF(ISNUMBER(SEARCH(Classifiers!$E$8,E466)),1,0))+IF(Classifiers!$F$8="",0,IF(ISNUMBER(SEARCH(Classifiers!$F$8,E466)),1,0))+IF(Classifiers!$G$8="",0,IF(ISNUMBER(SEARCH(Classifiers!$G$8,E466)),1,0)))&gt;0,1,0))</f>
        <v/>
      </c>
      <c r="N466" s="12">
        <f>IF(H466&lt;&gt;1,0,IF((IF(Classifiers!$B$9="",0,IF(ISNUMBER(SEARCH(Classifiers!$B$9,E466)),1,0))+IF(Classifiers!$C$9="",0,IF(ISNUMBER(SEARCH(Classifiers!$C$9,E466)),1,0))+IF(Classifiers!$D$9="",0,IF(ISNUMBER(SEARCH(Classifiers!$D$9,E466)),1,0))+IF(Classifiers!$E$9="",0,IF(ISNUMBER(SEARCH(Classifiers!$E$9,E466)),1,0))+IF(Classifiers!$F$9="",0,IF(ISNUMBER(SEARCH(Classifiers!$F$9,E466)),1,0))+IF(Classifiers!$G$9="",0,IF(ISNUMBER(SEARCH(Classifiers!$G$9,E466)),1,0)))&gt;0,1,0))</f>
        <v/>
      </c>
      <c r="O466" s="12">
        <f>IF(H466&lt;&gt;1,0,IF((IF(Classifiers!$B$10="",0,IF(ISNUMBER(SEARCH(Classifiers!$B$10,E466)),1,0))+IF(Classifiers!$C$10="",0,IF(ISNUMBER(SEARCH(Classifiers!$C$10,E466)),1,0))+IF(Classifiers!$D$10="",0,IF(ISNUMBER(SEARCH(Classifiers!$D$10,E466)),1,0))+IF(Classifiers!$E$10="",0,IF(ISNUMBER(SEARCH(Classifiers!$E$10,E466)),1,0))+IF(Classifiers!$F$10="",0,IF(ISNUMBER(SEARCH(Classifiers!$F$10,E466)),1,0))+IF(Classifiers!$G$10="",0,IF(ISNUMBER(SEARCH(Classifiers!$G$10,E466)),1,0)))&gt;0,1,0))</f>
        <v/>
      </c>
      <c r="P466" s="12">
        <f>IF(H466&lt;&gt;1,0,IF((IF(Classifiers!$B$11="",0,IF(ISNUMBER(SEARCH(Classifiers!$B$11,E466)),1,0))+IF(Classifiers!$C$11="",0,IF(ISNUMBER(SEARCH(Classifiers!$C$11,E466)),1,0))+IF(Classifiers!$D$11="",0,IF(ISNUMBER(SEARCH(Classifiers!$D$11,E466)),1,0))+IF(Classifiers!$E$11="",0,IF(ISNUMBER(SEARCH(Classifiers!$E$11,E466)),1,0))+IF(Classifiers!$F$11="",0,IF(ISNUMBER(SEARCH(Classifiers!$F$11,E466)),1,0))+IF(Classifiers!$G$11="",0,IF(ISNUMBER(SEARCH(Classifiers!$G$11,E466)),1,0)))&gt;0,1,0))</f>
        <v/>
      </c>
      <c r="Q466" s="12">
        <f>IF(H466&lt;&gt;1,0,IF((IF(Classifiers!$B$12="",0,IF(ISNUMBER(SEARCH(Classifiers!$B$12,E466)),1,0))+IF(Classifiers!$C$12="",0,IF(ISNUMBER(SEARCH(Classifiers!$C$12,E466)),1,0))+IF(Classifiers!$D$12="",0,IF(ISNUMBER(SEARCH(Classifiers!$D$12,E466)),1,0))+IF(Classifiers!$E$12="",0,IF(ISNUMBER(SEARCH(Classifiers!$E$12,E466)),1,0))+IF(Classifiers!$F$12="",0,IF(ISNUMBER(SEARCH(Classifiers!$F$12,E466)),1,0))+IF(Classifiers!$G$12="",0,IF(ISNUMBER(SEARCH(Classifiers!$G$12,E466)),1,0)))&gt;0,1,0))</f>
        <v/>
      </c>
      <c r="R466" s="12">
        <f>IF(H466&lt;&gt;1,0,IF((IF(Classifiers!$B$13="",0,IF(ISNUMBER(SEARCH(Classifiers!$B$13,E466)),1,0))+IF(Classifiers!$C$13="",0,IF(ISNUMBER(SEARCH(Classifiers!$C$13,E466)),1,0))+IF(Classifiers!$D$13="",0,IF(ISNUMBER(SEARCH(Classifiers!$D$13,E466)),1,0))+IF(Classifiers!$E$13="",0,IF(ISNUMBER(SEARCH(Classifiers!$E$13,E466)),1,0))+IF(Classifiers!$F$13="",0,IF(ISNUMBER(SEARCH(Classifiers!$F$13,E466)),1,0))+IF(Classifiers!$G$13="",0,IF(ISNUMBER(SEARCH(Classifiers!$G$13,E466)),1,0)))&gt;0,1,0))</f>
        <v/>
      </c>
      <c r="S466" s="12">
        <f>IF(H466&lt;&gt;1,0,IF((IF(Classifiers!$B$14="",0,IF(ISNUMBER(SEARCH(Classifiers!$B$14,E466)),1,0))+IF(Classifiers!$C$14="",0,IF(ISNUMBER(SEARCH(Classifiers!$C$14,E466)),1,0))+IF(Classifiers!$D$14="",0,IF(ISNUMBER(SEARCH(Classifiers!$D$14,E466)),1,0))+IF(Classifiers!$E$14="",0,IF(ISNUMBER(SEARCH(Classifiers!$E$14,E466)),1,0))+IF(Classifiers!$F$14="",0,IF(ISNUMBER(SEARCH(Classifiers!$F$14,E466)),1,0))+IF(Classifiers!$G$14="",0,IF(ISNUMBER(SEARCH(Classifiers!$G$14,E466)),1,0)))&gt;0,1,0))</f>
        <v/>
      </c>
      <c r="T466" s="12">
        <f>IF(H466&lt;&gt;1,0,IF((IF(Classifiers!$B$15="",0,IF(ISNUMBER(SEARCH(Classifiers!$B$15,E466)),1,0))+IF(Classifiers!$C$15="",0,IF(ISNUMBER(SEARCH(Classifiers!$C$15,E466)),1,0))+IF(Classifiers!$D$15="",0,IF(ISNUMBER(SEARCH(Classifiers!$D$15,E466)),1,0))+IF(Classifiers!$E$15="",0,IF(ISNUMBER(SEARCH(Classifiers!$E$15,E466)),1,0))+IF(Classifiers!$F$15="",0,IF(ISNUMBER(SEARCH(Classifiers!$F$15,E466)),1,0))+IF(Classifiers!$G$15="",0,IF(ISNUMBER(SEARCH(Classifiers!$G$15,E466)),1,0)))&gt;0,1,0))</f>
        <v/>
      </c>
      <c r="U466" s="12">
        <f>IF(H466&lt;&gt;1,0,IF((IF(Classifiers!$B$16="",0,IF(ISNUMBER(SEARCH(Classifiers!$B$16,E466)),1,0))+IF(Classifiers!$C$16="",0,IF(ISNUMBER(SEARCH(Classifiers!$C$16,E466)),1,0))+IF(Classifiers!$D$16="",0,IF(ISNUMBER(SEARCH(Classifiers!$D$16,E466)),1,0))+IF(Classifiers!$E$16="",0,IF(ISNUMBER(SEARCH(Classifiers!$E$16,E466)),1,0))+IF(Classifiers!$F$16="",0,IF(ISNUMBER(SEARCH(Classifiers!$F$16,E466)),1,0))+IF(Classifiers!$G$16="",0,IF(ISNUMBER(SEARCH(Classifiers!$G$16,E466)),1,0)))&gt;0,1,0))</f>
        <v/>
      </c>
      <c r="V466" s="12">
        <f>IF(H466&lt;&gt;1,0,IF((IF(Classifiers!$B$17="",0,IF(ISNUMBER(SEARCH(Classifiers!$B$17,E466)),1,0))+IF(Classifiers!$C$17="",0,IF(ISNUMBER(SEARCH(Classifiers!$C$17,E466)),1,0))+IF(Classifiers!$D$17="",0,IF(ISNUMBER(SEARCH(Classifiers!$D$17,E466)),1,0))+IF(Classifiers!$E$17="",0,IF(ISNUMBER(SEARCH(Classifiers!$E$17,E466)),1,0))+IF(Classifiers!$F$17="",0,IF(ISNUMBER(SEARCH(Classifiers!$F$17,E466)),1,0))+IF(Classifiers!$G$17="",0,IF(ISNUMBER(SEARCH(Classifiers!$G$17,E466)),1,0)))&gt;0,1,0))</f>
        <v/>
      </c>
      <c r="W466" s="12">
        <f>IF(H466&lt;&gt;1,0,IF((IF(Classifiers!$B$18="",0,IF(ISNUMBER(SEARCH(Classifiers!$B$18,E466)),1,0))+IF(Classifiers!$C$18="",0,IF(ISNUMBER(SEARCH(Classifiers!$C$18,E466)),1,0))+IF(Classifiers!$D$18="",0,IF(ISNUMBER(SEARCH(Classifiers!$D$18,E466)),1,0))+IF(Classifiers!$E$18="",0,IF(ISNUMBER(SEARCH(Classifiers!$E$18,E466)),1,0))+IF(Classifiers!$F$18="",0,IF(ISNUMBER(SEARCH(Classifiers!$F$18,E466)),1,0))+IF(Classifiers!$G$18="",0,IF(ISNUMBER(SEARCH(Classifiers!$G$18,E466)),1,0)))&gt;0,1,0))</f>
        <v/>
      </c>
    </row>
    <row r="467">
      <c r="A467" s="8" t="n"/>
      <c r="B467" s="11" t="n"/>
      <c r="C467" s="6">
        <f>IF(A467="","",TRIM(RIGHT(SUBSTITUTE(A467,"/",REPT(" ",250)),250)))</f>
        <v/>
      </c>
      <c r="D467" s="6">
        <f>IF(C467="","",IF(ISNUMBER(SEARCH(".",C467)),LOWER("."&amp;TRIM(RIGHT(SUBSTITUTE(C467,".",REPT(" ",250)),250))),""))</f>
        <v/>
      </c>
      <c r="E467" s="6">
        <f>IF(C467="","",TRIM(SUBSTITUTE(SUBSTITUTE(SUBSTITUTE(SUBSTITUTE(SUBSTITUTE(SUBSTITUTE(SUBSTITUTE(SUBSTITUTE(SUBSTITUTE(SUBSTITUTE(SUBSTITUTE(SUBSTITUTE(SUBSTITUTE(SUBSTITUTE(SUBSTITUTE(SUBSTITUTE(SUBSTITUTE(SUBSTITUTE(SUBSTITUTE(SUBSTITUTE(LOWER(LEFT(C467,LEN(C467)-LEN(D467))),"_"," "),"-"," "),"."," "),","," "),"("," "),")"," "),"["," "),"]"," "),"&amp;"," "),"+"," "),"@"," "),"#"," "),"!"," "),"'"," "),"/"," "),":"," "),";"," "),"="," "),"~"," "),"%"," ")))</f>
        <v/>
      </c>
      <c r="F467" s="6">
        <f>IF(C467="","",IF(COUNTIF(Classifiers!$A$23:$A$40,D467)&gt;0,1,0))</f>
        <v/>
      </c>
      <c r="G467" s="6">
        <f>IF(C467="","",IF(COUNTIF(Classifiers!$C$23:$C$30,D467)&gt;0,IF((IF(ISNUMBER(SEARCH(Classifiers!$E$23,E467)),1,0)+IF(ISNUMBER(SEARCH(Classifiers!$E$24,E467)),1,0)+IF(ISNUMBER(SEARCH(Classifiers!$E$25,E467)),1,0)+IF(ISNUMBER(SEARCH(Classifiers!$E$26,E467)),1,0)+IF(ISNUMBER(SEARCH(Classifiers!$E$27,E467)),1,0)+IF(ISNUMBER(SEARCH(Classifiers!$E$28,E467)),1,0)+IF(ISNUMBER(SEARCH(Classifiers!$E$29,E467)),1,0)+IF(ISNUMBER(SEARCH(Classifiers!$E$30,E467)),1,0))&gt;0,1,0),0))</f>
        <v/>
      </c>
      <c r="H467" s="6">
        <f>IF(C467="","",IF(OR(LEFT(C467,1)=".",AND(F467=0,G467=0)),0,1))</f>
        <v/>
      </c>
      <c r="I467" s="6">
        <f>IF(H467&lt;&gt;1,"",IF(SUM(J467:W467)=0,"unclassified",INDEX(Classifiers!$A$5:$A$18,MATCH(1,J467:W467,0),1)))</f>
        <v/>
      </c>
      <c r="J467" s="12">
        <f>IF(H467&lt;&gt;1,0,IF((IF(Classifiers!$B$5="",0,IF(ISNUMBER(SEARCH(Classifiers!$B$5,E467)),1,0))+IF(Classifiers!$C$5="",0,IF(ISNUMBER(SEARCH(Classifiers!$C$5,E467)),1,0))+IF(Classifiers!$D$5="",0,IF(ISNUMBER(SEARCH(Classifiers!$D$5,E467)),1,0))+IF(Classifiers!$E$5="",0,IF(ISNUMBER(SEARCH(Classifiers!$E$5,E467)),1,0))+IF(Classifiers!$F$5="",0,IF(ISNUMBER(SEARCH(Classifiers!$F$5,E467)),1,0))+IF(Classifiers!$G$5="",0,IF(ISNUMBER(SEARCH(Classifiers!$G$5,E467)),1,0)))&gt;0,1,0))</f>
        <v/>
      </c>
      <c r="K467" s="12">
        <f>IF(H467&lt;&gt;1,0,IF((IF(Classifiers!$B$6="",0,IF(ISNUMBER(SEARCH(Classifiers!$B$6,E467)),1,0))+IF(Classifiers!$C$6="",0,IF(ISNUMBER(SEARCH(Classifiers!$C$6,E467)),1,0))+IF(Classifiers!$D$6="",0,IF(ISNUMBER(SEARCH(Classifiers!$D$6,E467)),1,0))+IF(Classifiers!$E$6="",0,IF(ISNUMBER(SEARCH(Classifiers!$E$6,E467)),1,0))+IF(Classifiers!$F$6="",0,IF(ISNUMBER(SEARCH(Classifiers!$F$6,E467)),1,0))+IF(Classifiers!$G$6="",0,IF(ISNUMBER(SEARCH(Classifiers!$G$6,E467)),1,0)))&gt;0,1,0))</f>
        <v/>
      </c>
      <c r="L467" s="12">
        <f>IF(H467&lt;&gt;1,0,IF((IF(Classifiers!$B$7="",0,IF(ISNUMBER(SEARCH(Classifiers!$B$7,E467)),1,0))+IF(Classifiers!$C$7="",0,IF(ISNUMBER(SEARCH(Classifiers!$C$7,E467)),1,0))+IF(Classifiers!$D$7="",0,IF(ISNUMBER(SEARCH(Classifiers!$D$7,E467)),1,0))+IF(Classifiers!$E$7="",0,IF(ISNUMBER(SEARCH(Classifiers!$E$7,E467)),1,0))+IF(Classifiers!$F$7="",0,IF(ISNUMBER(SEARCH(Classifiers!$F$7,E467)),1,0))+IF(Classifiers!$G$7="",0,IF(ISNUMBER(SEARCH(Classifiers!$G$7,E467)),1,0)))&gt;0,1,0))</f>
        <v/>
      </c>
      <c r="M467" s="12">
        <f>IF(H467&lt;&gt;1,0,IF((IF(Classifiers!$B$8="",0,IF(ISNUMBER(SEARCH(Classifiers!$B$8,E467)),1,0))+IF(Classifiers!$C$8="",0,IF(ISNUMBER(SEARCH(Classifiers!$C$8,E467)),1,0))+IF(Classifiers!$D$8="",0,IF(ISNUMBER(SEARCH(Classifiers!$D$8,E467)),1,0))+IF(Classifiers!$E$8="",0,IF(ISNUMBER(SEARCH(Classifiers!$E$8,E467)),1,0))+IF(Classifiers!$F$8="",0,IF(ISNUMBER(SEARCH(Classifiers!$F$8,E467)),1,0))+IF(Classifiers!$G$8="",0,IF(ISNUMBER(SEARCH(Classifiers!$G$8,E467)),1,0)))&gt;0,1,0))</f>
        <v/>
      </c>
      <c r="N467" s="12">
        <f>IF(H467&lt;&gt;1,0,IF((IF(Classifiers!$B$9="",0,IF(ISNUMBER(SEARCH(Classifiers!$B$9,E467)),1,0))+IF(Classifiers!$C$9="",0,IF(ISNUMBER(SEARCH(Classifiers!$C$9,E467)),1,0))+IF(Classifiers!$D$9="",0,IF(ISNUMBER(SEARCH(Classifiers!$D$9,E467)),1,0))+IF(Classifiers!$E$9="",0,IF(ISNUMBER(SEARCH(Classifiers!$E$9,E467)),1,0))+IF(Classifiers!$F$9="",0,IF(ISNUMBER(SEARCH(Classifiers!$F$9,E467)),1,0))+IF(Classifiers!$G$9="",0,IF(ISNUMBER(SEARCH(Classifiers!$G$9,E467)),1,0)))&gt;0,1,0))</f>
        <v/>
      </c>
      <c r="O467" s="12">
        <f>IF(H467&lt;&gt;1,0,IF((IF(Classifiers!$B$10="",0,IF(ISNUMBER(SEARCH(Classifiers!$B$10,E467)),1,0))+IF(Classifiers!$C$10="",0,IF(ISNUMBER(SEARCH(Classifiers!$C$10,E467)),1,0))+IF(Classifiers!$D$10="",0,IF(ISNUMBER(SEARCH(Classifiers!$D$10,E467)),1,0))+IF(Classifiers!$E$10="",0,IF(ISNUMBER(SEARCH(Classifiers!$E$10,E467)),1,0))+IF(Classifiers!$F$10="",0,IF(ISNUMBER(SEARCH(Classifiers!$F$10,E467)),1,0))+IF(Classifiers!$G$10="",0,IF(ISNUMBER(SEARCH(Classifiers!$G$10,E467)),1,0)))&gt;0,1,0))</f>
        <v/>
      </c>
      <c r="P467" s="12">
        <f>IF(H467&lt;&gt;1,0,IF((IF(Classifiers!$B$11="",0,IF(ISNUMBER(SEARCH(Classifiers!$B$11,E467)),1,0))+IF(Classifiers!$C$11="",0,IF(ISNUMBER(SEARCH(Classifiers!$C$11,E467)),1,0))+IF(Classifiers!$D$11="",0,IF(ISNUMBER(SEARCH(Classifiers!$D$11,E467)),1,0))+IF(Classifiers!$E$11="",0,IF(ISNUMBER(SEARCH(Classifiers!$E$11,E467)),1,0))+IF(Classifiers!$F$11="",0,IF(ISNUMBER(SEARCH(Classifiers!$F$11,E467)),1,0))+IF(Classifiers!$G$11="",0,IF(ISNUMBER(SEARCH(Classifiers!$G$11,E467)),1,0)))&gt;0,1,0))</f>
        <v/>
      </c>
      <c r="Q467" s="12">
        <f>IF(H467&lt;&gt;1,0,IF((IF(Classifiers!$B$12="",0,IF(ISNUMBER(SEARCH(Classifiers!$B$12,E467)),1,0))+IF(Classifiers!$C$12="",0,IF(ISNUMBER(SEARCH(Classifiers!$C$12,E467)),1,0))+IF(Classifiers!$D$12="",0,IF(ISNUMBER(SEARCH(Classifiers!$D$12,E467)),1,0))+IF(Classifiers!$E$12="",0,IF(ISNUMBER(SEARCH(Classifiers!$E$12,E467)),1,0))+IF(Classifiers!$F$12="",0,IF(ISNUMBER(SEARCH(Classifiers!$F$12,E467)),1,0))+IF(Classifiers!$G$12="",0,IF(ISNUMBER(SEARCH(Classifiers!$G$12,E467)),1,0)))&gt;0,1,0))</f>
        <v/>
      </c>
      <c r="R467" s="12">
        <f>IF(H467&lt;&gt;1,0,IF((IF(Classifiers!$B$13="",0,IF(ISNUMBER(SEARCH(Classifiers!$B$13,E467)),1,0))+IF(Classifiers!$C$13="",0,IF(ISNUMBER(SEARCH(Classifiers!$C$13,E467)),1,0))+IF(Classifiers!$D$13="",0,IF(ISNUMBER(SEARCH(Classifiers!$D$13,E467)),1,0))+IF(Classifiers!$E$13="",0,IF(ISNUMBER(SEARCH(Classifiers!$E$13,E467)),1,0))+IF(Classifiers!$F$13="",0,IF(ISNUMBER(SEARCH(Classifiers!$F$13,E467)),1,0))+IF(Classifiers!$G$13="",0,IF(ISNUMBER(SEARCH(Classifiers!$G$13,E467)),1,0)))&gt;0,1,0))</f>
        <v/>
      </c>
      <c r="S467" s="12">
        <f>IF(H467&lt;&gt;1,0,IF((IF(Classifiers!$B$14="",0,IF(ISNUMBER(SEARCH(Classifiers!$B$14,E467)),1,0))+IF(Classifiers!$C$14="",0,IF(ISNUMBER(SEARCH(Classifiers!$C$14,E467)),1,0))+IF(Classifiers!$D$14="",0,IF(ISNUMBER(SEARCH(Classifiers!$D$14,E467)),1,0))+IF(Classifiers!$E$14="",0,IF(ISNUMBER(SEARCH(Classifiers!$E$14,E467)),1,0))+IF(Classifiers!$F$14="",0,IF(ISNUMBER(SEARCH(Classifiers!$F$14,E467)),1,0))+IF(Classifiers!$G$14="",0,IF(ISNUMBER(SEARCH(Classifiers!$G$14,E467)),1,0)))&gt;0,1,0))</f>
        <v/>
      </c>
      <c r="T467" s="12">
        <f>IF(H467&lt;&gt;1,0,IF((IF(Classifiers!$B$15="",0,IF(ISNUMBER(SEARCH(Classifiers!$B$15,E467)),1,0))+IF(Classifiers!$C$15="",0,IF(ISNUMBER(SEARCH(Classifiers!$C$15,E467)),1,0))+IF(Classifiers!$D$15="",0,IF(ISNUMBER(SEARCH(Classifiers!$D$15,E467)),1,0))+IF(Classifiers!$E$15="",0,IF(ISNUMBER(SEARCH(Classifiers!$E$15,E467)),1,0))+IF(Classifiers!$F$15="",0,IF(ISNUMBER(SEARCH(Classifiers!$F$15,E467)),1,0))+IF(Classifiers!$G$15="",0,IF(ISNUMBER(SEARCH(Classifiers!$G$15,E467)),1,0)))&gt;0,1,0))</f>
        <v/>
      </c>
      <c r="U467" s="12">
        <f>IF(H467&lt;&gt;1,0,IF((IF(Classifiers!$B$16="",0,IF(ISNUMBER(SEARCH(Classifiers!$B$16,E467)),1,0))+IF(Classifiers!$C$16="",0,IF(ISNUMBER(SEARCH(Classifiers!$C$16,E467)),1,0))+IF(Classifiers!$D$16="",0,IF(ISNUMBER(SEARCH(Classifiers!$D$16,E467)),1,0))+IF(Classifiers!$E$16="",0,IF(ISNUMBER(SEARCH(Classifiers!$E$16,E467)),1,0))+IF(Classifiers!$F$16="",0,IF(ISNUMBER(SEARCH(Classifiers!$F$16,E467)),1,0))+IF(Classifiers!$G$16="",0,IF(ISNUMBER(SEARCH(Classifiers!$G$16,E467)),1,0)))&gt;0,1,0))</f>
        <v/>
      </c>
      <c r="V467" s="12">
        <f>IF(H467&lt;&gt;1,0,IF((IF(Classifiers!$B$17="",0,IF(ISNUMBER(SEARCH(Classifiers!$B$17,E467)),1,0))+IF(Classifiers!$C$17="",0,IF(ISNUMBER(SEARCH(Classifiers!$C$17,E467)),1,0))+IF(Classifiers!$D$17="",0,IF(ISNUMBER(SEARCH(Classifiers!$D$17,E467)),1,0))+IF(Classifiers!$E$17="",0,IF(ISNUMBER(SEARCH(Classifiers!$E$17,E467)),1,0))+IF(Classifiers!$F$17="",0,IF(ISNUMBER(SEARCH(Classifiers!$F$17,E467)),1,0))+IF(Classifiers!$G$17="",0,IF(ISNUMBER(SEARCH(Classifiers!$G$17,E467)),1,0)))&gt;0,1,0))</f>
        <v/>
      </c>
      <c r="W467" s="12">
        <f>IF(H467&lt;&gt;1,0,IF((IF(Classifiers!$B$18="",0,IF(ISNUMBER(SEARCH(Classifiers!$B$18,E467)),1,0))+IF(Classifiers!$C$18="",0,IF(ISNUMBER(SEARCH(Classifiers!$C$18,E467)),1,0))+IF(Classifiers!$D$18="",0,IF(ISNUMBER(SEARCH(Classifiers!$D$18,E467)),1,0))+IF(Classifiers!$E$18="",0,IF(ISNUMBER(SEARCH(Classifiers!$E$18,E467)),1,0))+IF(Classifiers!$F$18="",0,IF(ISNUMBER(SEARCH(Classifiers!$F$18,E467)),1,0))+IF(Classifiers!$G$18="",0,IF(ISNUMBER(SEARCH(Classifiers!$G$18,E467)),1,0)))&gt;0,1,0))</f>
        <v/>
      </c>
    </row>
    <row r="468">
      <c r="A468" s="8" t="n"/>
      <c r="B468" s="11" t="n"/>
      <c r="C468" s="6">
        <f>IF(A468="","",TRIM(RIGHT(SUBSTITUTE(A468,"/",REPT(" ",250)),250)))</f>
        <v/>
      </c>
      <c r="D468" s="6">
        <f>IF(C468="","",IF(ISNUMBER(SEARCH(".",C468)),LOWER("."&amp;TRIM(RIGHT(SUBSTITUTE(C468,".",REPT(" ",250)),250))),""))</f>
        <v/>
      </c>
      <c r="E468" s="6">
        <f>IF(C468="","",TRIM(SUBSTITUTE(SUBSTITUTE(SUBSTITUTE(SUBSTITUTE(SUBSTITUTE(SUBSTITUTE(SUBSTITUTE(SUBSTITUTE(SUBSTITUTE(SUBSTITUTE(SUBSTITUTE(SUBSTITUTE(SUBSTITUTE(SUBSTITUTE(SUBSTITUTE(SUBSTITUTE(SUBSTITUTE(SUBSTITUTE(SUBSTITUTE(SUBSTITUTE(LOWER(LEFT(C468,LEN(C468)-LEN(D468))),"_"," "),"-"," "),"."," "),","," "),"("," "),")"," "),"["," "),"]"," "),"&amp;"," "),"+"," "),"@"," "),"#"," "),"!"," "),"'"," "),"/"," "),":"," "),";"," "),"="," "),"~"," "),"%"," ")))</f>
        <v/>
      </c>
      <c r="F468" s="6">
        <f>IF(C468="","",IF(COUNTIF(Classifiers!$A$23:$A$40,D468)&gt;0,1,0))</f>
        <v/>
      </c>
      <c r="G468" s="6">
        <f>IF(C468="","",IF(COUNTIF(Classifiers!$C$23:$C$30,D468)&gt;0,IF((IF(ISNUMBER(SEARCH(Classifiers!$E$23,E468)),1,0)+IF(ISNUMBER(SEARCH(Classifiers!$E$24,E468)),1,0)+IF(ISNUMBER(SEARCH(Classifiers!$E$25,E468)),1,0)+IF(ISNUMBER(SEARCH(Classifiers!$E$26,E468)),1,0)+IF(ISNUMBER(SEARCH(Classifiers!$E$27,E468)),1,0)+IF(ISNUMBER(SEARCH(Classifiers!$E$28,E468)),1,0)+IF(ISNUMBER(SEARCH(Classifiers!$E$29,E468)),1,0)+IF(ISNUMBER(SEARCH(Classifiers!$E$30,E468)),1,0))&gt;0,1,0),0))</f>
        <v/>
      </c>
      <c r="H468" s="6">
        <f>IF(C468="","",IF(OR(LEFT(C468,1)=".",AND(F468=0,G468=0)),0,1))</f>
        <v/>
      </c>
      <c r="I468" s="6">
        <f>IF(H468&lt;&gt;1,"",IF(SUM(J468:W468)=0,"unclassified",INDEX(Classifiers!$A$5:$A$18,MATCH(1,J468:W468,0),1)))</f>
        <v/>
      </c>
      <c r="J468" s="12">
        <f>IF(H468&lt;&gt;1,0,IF((IF(Classifiers!$B$5="",0,IF(ISNUMBER(SEARCH(Classifiers!$B$5,E468)),1,0))+IF(Classifiers!$C$5="",0,IF(ISNUMBER(SEARCH(Classifiers!$C$5,E468)),1,0))+IF(Classifiers!$D$5="",0,IF(ISNUMBER(SEARCH(Classifiers!$D$5,E468)),1,0))+IF(Classifiers!$E$5="",0,IF(ISNUMBER(SEARCH(Classifiers!$E$5,E468)),1,0))+IF(Classifiers!$F$5="",0,IF(ISNUMBER(SEARCH(Classifiers!$F$5,E468)),1,0))+IF(Classifiers!$G$5="",0,IF(ISNUMBER(SEARCH(Classifiers!$G$5,E468)),1,0)))&gt;0,1,0))</f>
        <v/>
      </c>
      <c r="K468" s="12">
        <f>IF(H468&lt;&gt;1,0,IF((IF(Classifiers!$B$6="",0,IF(ISNUMBER(SEARCH(Classifiers!$B$6,E468)),1,0))+IF(Classifiers!$C$6="",0,IF(ISNUMBER(SEARCH(Classifiers!$C$6,E468)),1,0))+IF(Classifiers!$D$6="",0,IF(ISNUMBER(SEARCH(Classifiers!$D$6,E468)),1,0))+IF(Classifiers!$E$6="",0,IF(ISNUMBER(SEARCH(Classifiers!$E$6,E468)),1,0))+IF(Classifiers!$F$6="",0,IF(ISNUMBER(SEARCH(Classifiers!$F$6,E468)),1,0))+IF(Classifiers!$G$6="",0,IF(ISNUMBER(SEARCH(Classifiers!$G$6,E468)),1,0)))&gt;0,1,0))</f>
        <v/>
      </c>
      <c r="L468" s="12">
        <f>IF(H468&lt;&gt;1,0,IF((IF(Classifiers!$B$7="",0,IF(ISNUMBER(SEARCH(Classifiers!$B$7,E468)),1,0))+IF(Classifiers!$C$7="",0,IF(ISNUMBER(SEARCH(Classifiers!$C$7,E468)),1,0))+IF(Classifiers!$D$7="",0,IF(ISNUMBER(SEARCH(Classifiers!$D$7,E468)),1,0))+IF(Classifiers!$E$7="",0,IF(ISNUMBER(SEARCH(Classifiers!$E$7,E468)),1,0))+IF(Classifiers!$F$7="",0,IF(ISNUMBER(SEARCH(Classifiers!$F$7,E468)),1,0))+IF(Classifiers!$G$7="",0,IF(ISNUMBER(SEARCH(Classifiers!$G$7,E468)),1,0)))&gt;0,1,0))</f>
        <v/>
      </c>
      <c r="M468" s="12">
        <f>IF(H468&lt;&gt;1,0,IF((IF(Classifiers!$B$8="",0,IF(ISNUMBER(SEARCH(Classifiers!$B$8,E468)),1,0))+IF(Classifiers!$C$8="",0,IF(ISNUMBER(SEARCH(Classifiers!$C$8,E468)),1,0))+IF(Classifiers!$D$8="",0,IF(ISNUMBER(SEARCH(Classifiers!$D$8,E468)),1,0))+IF(Classifiers!$E$8="",0,IF(ISNUMBER(SEARCH(Classifiers!$E$8,E468)),1,0))+IF(Classifiers!$F$8="",0,IF(ISNUMBER(SEARCH(Classifiers!$F$8,E468)),1,0))+IF(Classifiers!$G$8="",0,IF(ISNUMBER(SEARCH(Classifiers!$G$8,E468)),1,0)))&gt;0,1,0))</f>
        <v/>
      </c>
      <c r="N468" s="12">
        <f>IF(H468&lt;&gt;1,0,IF((IF(Classifiers!$B$9="",0,IF(ISNUMBER(SEARCH(Classifiers!$B$9,E468)),1,0))+IF(Classifiers!$C$9="",0,IF(ISNUMBER(SEARCH(Classifiers!$C$9,E468)),1,0))+IF(Classifiers!$D$9="",0,IF(ISNUMBER(SEARCH(Classifiers!$D$9,E468)),1,0))+IF(Classifiers!$E$9="",0,IF(ISNUMBER(SEARCH(Classifiers!$E$9,E468)),1,0))+IF(Classifiers!$F$9="",0,IF(ISNUMBER(SEARCH(Classifiers!$F$9,E468)),1,0))+IF(Classifiers!$G$9="",0,IF(ISNUMBER(SEARCH(Classifiers!$G$9,E468)),1,0)))&gt;0,1,0))</f>
        <v/>
      </c>
      <c r="O468" s="12">
        <f>IF(H468&lt;&gt;1,0,IF((IF(Classifiers!$B$10="",0,IF(ISNUMBER(SEARCH(Classifiers!$B$10,E468)),1,0))+IF(Classifiers!$C$10="",0,IF(ISNUMBER(SEARCH(Classifiers!$C$10,E468)),1,0))+IF(Classifiers!$D$10="",0,IF(ISNUMBER(SEARCH(Classifiers!$D$10,E468)),1,0))+IF(Classifiers!$E$10="",0,IF(ISNUMBER(SEARCH(Classifiers!$E$10,E468)),1,0))+IF(Classifiers!$F$10="",0,IF(ISNUMBER(SEARCH(Classifiers!$F$10,E468)),1,0))+IF(Classifiers!$G$10="",0,IF(ISNUMBER(SEARCH(Classifiers!$G$10,E468)),1,0)))&gt;0,1,0))</f>
        <v/>
      </c>
      <c r="P468" s="12">
        <f>IF(H468&lt;&gt;1,0,IF((IF(Classifiers!$B$11="",0,IF(ISNUMBER(SEARCH(Classifiers!$B$11,E468)),1,0))+IF(Classifiers!$C$11="",0,IF(ISNUMBER(SEARCH(Classifiers!$C$11,E468)),1,0))+IF(Classifiers!$D$11="",0,IF(ISNUMBER(SEARCH(Classifiers!$D$11,E468)),1,0))+IF(Classifiers!$E$11="",0,IF(ISNUMBER(SEARCH(Classifiers!$E$11,E468)),1,0))+IF(Classifiers!$F$11="",0,IF(ISNUMBER(SEARCH(Classifiers!$F$11,E468)),1,0))+IF(Classifiers!$G$11="",0,IF(ISNUMBER(SEARCH(Classifiers!$G$11,E468)),1,0)))&gt;0,1,0))</f>
        <v/>
      </c>
      <c r="Q468" s="12">
        <f>IF(H468&lt;&gt;1,0,IF((IF(Classifiers!$B$12="",0,IF(ISNUMBER(SEARCH(Classifiers!$B$12,E468)),1,0))+IF(Classifiers!$C$12="",0,IF(ISNUMBER(SEARCH(Classifiers!$C$12,E468)),1,0))+IF(Classifiers!$D$12="",0,IF(ISNUMBER(SEARCH(Classifiers!$D$12,E468)),1,0))+IF(Classifiers!$E$12="",0,IF(ISNUMBER(SEARCH(Classifiers!$E$12,E468)),1,0))+IF(Classifiers!$F$12="",0,IF(ISNUMBER(SEARCH(Classifiers!$F$12,E468)),1,0))+IF(Classifiers!$G$12="",0,IF(ISNUMBER(SEARCH(Classifiers!$G$12,E468)),1,0)))&gt;0,1,0))</f>
        <v/>
      </c>
      <c r="R468" s="12">
        <f>IF(H468&lt;&gt;1,0,IF((IF(Classifiers!$B$13="",0,IF(ISNUMBER(SEARCH(Classifiers!$B$13,E468)),1,0))+IF(Classifiers!$C$13="",0,IF(ISNUMBER(SEARCH(Classifiers!$C$13,E468)),1,0))+IF(Classifiers!$D$13="",0,IF(ISNUMBER(SEARCH(Classifiers!$D$13,E468)),1,0))+IF(Classifiers!$E$13="",0,IF(ISNUMBER(SEARCH(Classifiers!$E$13,E468)),1,0))+IF(Classifiers!$F$13="",0,IF(ISNUMBER(SEARCH(Classifiers!$F$13,E468)),1,0))+IF(Classifiers!$G$13="",0,IF(ISNUMBER(SEARCH(Classifiers!$G$13,E468)),1,0)))&gt;0,1,0))</f>
        <v/>
      </c>
      <c r="S468" s="12">
        <f>IF(H468&lt;&gt;1,0,IF((IF(Classifiers!$B$14="",0,IF(ISNUMBER(SEARCH(Classifiers!$B$14,E468)),1,0))+IF(Classifiers!$C$14="",0,IF(ISNUMBER(SEARCH(Classifiers!$C$14,E468)),1,0))+IF(Classifiers!$D$14="",0,IF(ISNUMBER(SEARCH(Classifiers!$D$14,E468)),1,0))+IF(Classifiers!$E$14="",0,IF(ISNUMBER(SEARCH(Classifiers!$E$14,E468)),1,0))+IF(Classifiers!$F$14="",0,IF(ISNUMBER(SEARCH(Classifiers!$F$14,E468)),1,0))+IF(Classifiers!$G$14="",0,IF(ISNUMBER(SEARCH(Classifiers!$G$14,E468)),1,0)))&gt;0,1,0))</f>
        <v/>
      </c>
      <c r="T468" s="12">
        <f>IF(H468&lt;&gt;1,0,IF((IF(Classifiers!$B$15="",0,IF(ISNUMBER(SEARCH(Classifiers!$B$15,E468)),1,0))+IF(Classifiers!$C$15="",0,IF(ISNUMBER(SEARCH(Classifiers!$C$15,E468)),1,0))+IF(Classifiers!$D$15="",0,IF(ISNUMBER(SEARCH(Classifiers!$D$15,E468)),1,0))+IF(Classifiers!$E$15="",0,IF(ISNUMBER(SEARCH(Classifiers!$E$15,E468)),1,0))+IF(Classifiers!$F$15="",0,IF(ISNUMBER(SEARCH(Classifiers!$F$15,E468)),1,0))+IF(Classifiers!$G$15="",0,IF(ISNUMBER(SEARCH(Classifiers!$G$15,E468)),1,0)))&gt;0,1,0))</f>
        <v/>
      </c>
      <c r="U468" s="12">
        <f>IF(H468&lt;&gt;1,0,IF((IF(Classifiers!$B$16="",0,IF(ISNUMBER(SEARCH(Classifiers!$B$16,E468)),1,0))+IF(Classifiers!$C$16="",0,IF(ISNUMBER(SEARCH(Classifiers!$C$16,E468)),1,0))+IF(Classifiers!$D$16="",0,IF(ISNUMBER(SEARCH(Classifiers!$D$16,E468)),1,0))+IF(Classifiers!$E$16="",0,IF(ISNUMBER(SEARCH(Classifiers!$E$16,E468)),1,0))+IF(Classifiers!$F$16="",0,IF(ISNUMBER(SEARCH(Classifiers!$F$16,E468)),1,0))+IF(Classifiers!$G$16="",0,IF(ISNUMBER(SEARCH(Classifiers!$G$16,E468)),1,0)))&gt;0,1,0))</f>
        <v/>
      </c>
      <c r="V468" s="12">
        <f>IF(H468&lt;&gt;1,0,IF((IF(Classifiers!$B$17="",0,IF(ISNUMBER(SEARCH(Classifiers!$B$17,E468)),1,0))+IF(Classifiers!$C$17="",0,IF(ISNUMBER(SEARCH(Classifiers!$C$17,E468)),1,0))+IF(Classifiers!$D$17="",0,IF(ISNUMBER(SEARCH(Classifiers!$D$17,E468)),1,0))+IF(Classifiers!$E$17="",0,IF(ISNUMBER(SEARCH(Classifiers!$E$17,E468)),1,0))+IF(Classifiers!$F$17="",0,IF(ISNUMBER(SEARCH(Classifiers!$F$17,E468)),1,0))+IF(Classifiers!$G$17="",0,IF(ISNUMBER(SEARCH(Classifiers!$G$17,E468)),1,0)))&gt;0,1,0))</f>
        <v/>
      </c>
      <c r="W468" s="12">
        <f>IF(H468&lt;&gt;1,0,IF((IF(Classifiers!$B$18="",0,IF(ISNUMBER(SEARCH(Classifiers!$B$18,E468)),1,0))+IF(Classifiers!$C$18="",0,IF(ISNUMBER(SEARCH(Classifiers!$C$18,E468)),1,0))+IF(Classifiers!$D$18="",0,IF(ISNUMBER(SEARCH(Classifiers!$D$18,E468)),1,0))+IF(Classifiers!$E$18="",0,IF(ISNUMBER(SEARCH(Classifiers!$E$18,E468)),1,0))+IF(Classifiers!$F$18="",0,IF(ISNUMBER(SEARCH(Classifiers!$F$18,E468)),1,0))+IF(Classifiers!$G$18="",0,IF(ISNUMBER(SEARCH(Classifiers!$G$18,E468)),1,0)))&gt;0,1,0))</f>
        <v/>
      </c>
    </row>
    <row r="469">
      <c r="A469" s="8" t="n"/>
      <c r="B469" s="11" t="n"/>
      <c r="C469" s="6">
        <f>IF(A469="","",TRIM(RIGHT(SUBSTITUTE(A469,"/",REPT(" ",250)),250)))</f>
        <v/>
      </c>
      <c r="D469" s="6">
        <f>IF(C469="","",IF(ISNUMBER(SEARCH(".",C469)),LOWER("."&amp;TRIM(RIGHT(SUBSTITUTE(C469,".",REPT(" ",250)),250))),""))</f>
        <v/>
      </c>
      <c r="E469" s="6">
        <f>IF(C469="","",TRIM(SUBSTITUTE(SUBSTITUTE(SUBSTITUTE(SUBSTITUTE(SUBSTITUTE(SUBSTITUTE(SUBSTITUTE(SUBSTITUTE(SUBSTITUTE(SUBSTITUTE(SUBSTITUTE(SUBSTITUTE(SUBSTITUTE(SUBSTITUTE(SUBSTITUTE(SUBSTITUTE(SUBSTITUTE(SUBSTITUTE(SUBSTITUTE(SUBSTITUTE(LOWER(LEFT(C469,LEN(C469)-LEN(D469))),"_"," "),"-"," "),"."," "),","," "),"("," "),")"," "),"["," "),"]"," "),"&amp;"," "),"+"," "),"@"," "),"#"," "),"!"," "),"'"," "),"/"," "),":"," "),";"," "),"="," "),"~"," "),"%"," ")))</f>
        <v/>
      </c>
      <c r="F469" s="6">
        <f>IF(C469="","",IF(COUNTIF(Classifiers!$A$23:$A$40,D469)&gt;0,1,0))</f>
        <v/>
      </c>
      <c r="G469" s="6">
        <f>IF(C469="","",IF(COUNTIF(Classifiers!$C$23:$C$30,D469)&gt;0,IF((IF(ISNUMBER(SEARCH(Classifiers!$E$23,E469)),1,0)+IF(ISNUMBER(SEARCH(Classifiers!$E$24,E469)),1,0)+IF(ISNUMBER(SEARCH(Classifiers!$E$25,E469)),1,0)+IF(ISNUMBER(SEARCH(Classifiers!$E$26,E469)),1,0)+IF(ISNUMBER(SEARCH(Classifiers!$E$27,E469)),1,0)+IF(ISNUMBER(SEARCH(Classifiers!$E$28,E469)),1,0)+IF(ISNUMBER(SEARCH(Classifiers!$E$29,E469)),1,0)+IF(ISNUMBER(SEARCH(Classifiers!$E$30,E469)),1,0))&gt;0,1,0),0))</f>
        <v/>
      </c>
      <c r="H469" s="6">
        <f>IF(C469="","",IF(OR(LEFT(C469,1)=".",AND(F469=0,G469=0)),0,1))</f>
        <v/>
      </c>
      <c r="I469" s="6">
        <f>IF(H469&lt;&gt;1,"",IF(SUM(J469:W469)=0,"unclassified",INDEX(Classifiers!$A$5:$A$18,MATCH(1,J469:W469,0),1)))</f>
        <v/>
      </c>
      <c r="J469" s="12">
        <f>IF(H469&lt;&gt;1,0,IF((IF(Classifiers!$B$5="",0,IF(ISNUMBER(SEARCH(Classifiers!$B$5,E469)),1,0))+IF(Classifiers!$C$5="",0,IF(ISNUMBER(SEARCH(Classifiers!$C$5,E469)),1,0))+IF(Classifiers!$D$5="",0,IF(ISNUMBER(SEARCH(Classifiers!$D$5,E469)),1,0))+IF(Classifiers!$E$5="",0,IF(ISNUMBER(SEARCH(Classifiers!$E$5,E469)),1,0))+IF(Classifiers!$F$5="",0,IF(ISNUMBER(SEARCH(Classifiers!$F$5,E469)),1,0))+IF(Classifiers!$G$5="",0,IF(ISNUMBER(SEARCH(Classifiers!$G$5,E469)),1,0)))&gt;0,1,0))</f>
        <v/>
      </c>
      <c r="K469" s="12">
        <f>IF(H469&lt;&gt;1,0,IF((IF(Classifiers!$B$6="",0,IF(ISNUMBER(SEARCH(Classifiers!$B$6,E469)),1,0))+IF(Classifiers!$C$6="",0,IF(ISNUMBER(SEARCH(Classifiers!$C$6,E469)),1,0))+IF(Classifiers!$D$6="",0,IF(ISNUMBER(SEARCH(Classifiers!$D$6,E469)),1,0))+IF(Classifiers!$E$6="",0,IF(ISNUMBER(SEARCH(Classifiers!$E$6,E469)),1,0))+IF(Classifiers!$F$6="",0,IF(ISNUMBER(SEARCH(Classifiers!$F$6,E469)),1,0))+IF(Classifiers!$G$6="",0,IF(ISNUMBER(SEARCH(Classifiers!$G$6,E469)),1,0)))&gt;0,1,0))</f>
        <v/>
      </c>
      <c r="L469" s="12">
        <f>IF(H469&lt;&gt;1,0,IF((IF(Classifiers!$B$7="",0,IF(ISNUMBER(SEARCH(Classifiers!$B$7,E469)),1,0))+IF(Classifiers!$C$7="",0,IF(ISNUMBER(SEARCH(Classifiers!$C$7,E469)),1,0))+IF(Classifiers!$D$7="",0,IF(ISNUMBER(SEARCH(Classifiers!$D$7,E469)),1,0))+IF(Classifiers!$E$7="",0,IF(ISNUMBER(SEARCH(Classifiers!$E$7,E469)),1,0))+IF(Classifiers!$F$7="",0,IF(ISNUMBER(SEARCH(Classifiers!$F$7,E469)),1,0))+IF(Classifiers!$G$7="",0,IF(ISNUMBER(SEARCH(Classifiers!$G$7,E469)),1,0)))&gt;0,1,0))</f>
        <v/>
      </c>
      <c r="M469" s="12">
        <f>IF(H469&lt;&gt;1,0,IF((IF(Classifiers!$B$8="",0,IF(ISNUMBER(SEARCH(Classifiers!$B$8,E469)),1,0))+IF(Classifiers!$C$8="",0,IF(ISNUMBER(SEARCH(Classifiers!$C$8,E469)),1,0))+IF(Classifiers!$D$8="",0,IF(ISNUMBER(SEARCH(Classifiers!$D$8,E469)),1,0))+IF(Classifiers!$E$8="",0,IF(ISNUMBER(SEARCH(Classifiers!$E$8,E469)),1,0))+IF(Classifiers!$F$8="",0,IF(ISNUMBER(SEARCH(Classifiers!$F$8,E469)),1,0))+IF(Classifiers!$G$8="",0,IF(ISNUMBER(SEARCH(Classifiers!$G$8,E469)),1,0)))&gt;0,1,0))</f>
        <v/>
      </c>
      <c r="N469" s="12">
        <f>IF(H469&lt;&gt;1,0,IF((IF(Classifiers!$B$9="",0,IF(ISNUMBER(SEARCH(Classifiers!$B$9,E469)),1,0))+IF(Classifiers!$C$9="",0,IF(ISNUMBER(SEARCH(Classifiers!$C$9,E469)),1,0))+IF(Classifiers!$D$9="",0,IF(ISNUMBER(SEARCH(Classifiers!$D$9,E469)),1,0))+IF(Classifiers!$E$9="",0,IF(ISNUMBER(SEARCH(Classifiers!$E$9,E469)),1,0))+IF(Classifiers!$F$9="",0,IF(ISNUMBER(SEARCH(Classifiers!$F$9,E469)),1,0))+IF(Classifiers!$G$9="",0,IF(ISNUMBER(SEARCH(Classifiers!$G$9,E469)),1,0)))&gt;0,1,0))</f>
        <v/>
      </c>
      <c r="O469" s="12">
        <f>IF(H469&lt;&gt;1,0,IF((IF(Classifiers!$B$10="",0,IF(ISNUMBER(SEARCH(Classifiers!$B$10,E469)),1,0))+IF(Classifiers!$C$10="",0,IF(ISNUMBER(SEARCH(Classifiers!$C$10,E469)),1,0))+IF(Classifiers!$D$10="",0,IF(ISNUMBER(SEARCH(Classifiers!$D$10,E469)),1,0))+IF(Classifiers!$E$10="",0,IF(ISNUMBER(SEARCH(Classifiers!$E$10,E469)),1,0))+IF(Classifiers!$F$10="",0,IF(ISNUMBER(SEARCH(Classifiers!$F$10,E469)),1,0))+IF(Classifiers!$G$10="",0,IF(ISNUMBER(SEARCH(Classifiers!$G$10,E469)),1,0)))&gt;0,1,0))</f>
        <v/>
      </c>
      <c r="P469" s="12">
        <f>IF(H469&lt;&gt;1,0,IF((IF(Classifiers!$B$11="",0,IF(ISNUMBER(SEARCH(Classifiers!$B$11,E469)),1,0))+IF(Classifiers!$C$11="",0,IF(ISNUMBER(SEARCH(Classifiers!$C$11,E469)),1,0))+IF(Classifiers!$D$11="",0,IF(ISNUMBER(SEARCH(Classifiers!$D$11,E469)),1,0))+IF(Classifiers!$E$11="",0,IF(ISNUMBER(SEARCH(Classifiers!$E$11,E469)),1,0))+IF(Classifiers!$F$11="",0,IF(ISNUMBER(SEARCH(Classifiers!$F$11,E469)),1,0))+IF(Classifiers!$G$11="",0,IF(ISNUMBER(SEARCH(Classifiers!$G$11,E469)),1,0)))&gt;0,1,0))</f>
        <v/>
      </c>
      <c r="Q469" s="12">
        <f>IF(H469&lt;&gt;1,0,IF((IF(Classifiers!$B$12="",0,IF(ISNUMBER(SEARCH(Classifiers!$B$12,E469)),1,0))+IF(Classifiers!$C$12="",0,IF(ISNUMBER(SEARCH(Classifiers!$C$12,E469)),1,0))+IF(Classifiers!$D$12="",0,IF(ISNUMBER(SEARCH(Classifiers!$D$12,E469)),1,0))+IF(Classifiers!$E$12="",0,IF(ISNUMBER(SEARCH(Classifiers!$E$12,E469)),1,0))+IF(Classifiers!$F$12="",0,IF(ISNUMBER(SEARCH(Classifiers!$F$12,E469)),1,0))+IF(Classifiers!$G$12="",0,IF(ISNUMBER(SEARCH(Classifiers!$G$12,E469)),1,0)))&gt;0,1,0))</f>
        <v/>
      </c>
      <c r="R469" s="12">
        <f>IF(H469&lt;&gt;1,0,IF((IF(Classifiers!$B$13="",0,IF(ISNUMBER(SEARCH(Classifiers!$B$13,E469)),1,0))+IF(Classifiers!$C$13="",0,IF(ISNUMBER(SEARCH(Classifiers!$C$13,E469)),1,0))+IF(Classifiers!$D$13="",0,IF(ISNUMBER(SEARCH(Classifiers!$D$13,E469)),1,0))+IF(Classifiers!$E$13="",0,IF(ISNUMBER(SEARCH(Classifiers!$E$13,E469)),1,0))+IF(Classifiers!$F$13="",0,IF(ISNUMBER(SEARCH(Classifiers!$F$13,E469)),1,0))+IF(Classifiers!$G$13="",0,IF(ISNUMBER(SEARCH(Classifiers!$G$13,E469)),1,0)))&gt;0,1,0))</f>
        <v/>
      </c>
      <c r="S469" s="12">
        <f>IF(H469&lt;&gt;1,0,IF((IF(Classifiers!$B$14="",0,IF(ISNUMBER(SEARCH(Classifiers!$B$14,E469)),1,0))+IF(Classifiers!$C$14="",0,IF(ISNUMBER(SEARCH(Classifiers!$C$14,E469)),1,0))+IF(Classifiers!$D$14="",0,IF(ISNUMBER(SEARCH(Classifiers!$D$14,E469)),1,0))+IF(Classifiers!$E$14="",0,IF(ISNUMBER(SEARCH(Classifiers!$E$14,E469)),1,0))+IF(Classifiers!$F$14="",0,IF(ISNUMBER(SEARCH(Classifiers!$F$14,E469)),1,0))+IF(Classifiers!$G$14="",0,IF(ISNUMBER(SEARCH(Classifiers!$G$14,E469)),1,0)))&gt;0,1,0))</f>
        <v/>
      </c>
      <c r="T469" s="12">
        <f>IF(H469&lt;&gt;1,0,IF((IF(Classifiers!$B$15="",0,IF(ISNUMBER(SEARCH(Classifiers!$B$15,E469)),1,0))+IF(Classifiers!$C$15="",0,IF(ISNUMBER(SEARCH(Classifiers!$C$15,E469)),1,0))+IF(Classifiers!$D$15="",0,IF(ISNUMBER(SEARCH(Classifiers!$D$15,E469)),1,0))+IF(Classifiers!$E$15="",0,IF(ISNUMBER(SEARCH(Classifiers!$E$15,E469)),1,0))+IF(Classifiers!$F$15="",0,IF(ISNUMBER(SEARCH(Classifiers!$F$15,E469)),1,0))+IF(Classifiers!$G$15="",0,IF(ISNUMBER(SEARCH(Classifiers!$G$15,E469)),1,0)))&gt;0,1,0))</f>
        <v/>
      </c>
      <c r="U469" s="12">
        <f>IF(H469&lt;&gt;1,0,IF((IF(Classifiers!$B$16="",0,IF(ISNUMBER(SEARCH(Classifiers!$B$16,E469)),1,0))+IF(Classifiers!$C$16="",0,IF(ISNUMBER(SEARCH(Classifiers!$C$16,E469)),1,0))+IF(Classifiers!$D$16="",0,IF(ISNUMBER(SEARCH(Classifiers!$D$16,E469)),1,0))+IF(Classifiers!$E$16="",0,IF(ISNUMBER(SEARCH(Classifiers!$E$16,E469)),1,0))+IF(Classifiers!$F$16="",0,IF(ISNUMBER(SEARCH(Classifiers!$F$16,E469)),1,0))+IF(Classifiers!$G$16="",0,IF(ISNUMBER(SEARCH(Classifiers!$G$16,E469)),1,0)))&gt;0,1,0))</f>
        <v/>
      </c>
      <c r="V469" s="12">
        <f>IF(H469&lt;&gt;1,0,IF((IF(Classifiers!$B$17="",0,IF(ISNUMBER(SEARCH(Classifiers!$B$17,E469)),1,0))+IF(Classifiers!$C$17="",0,IF(ISNUMBER(SEARCH(Classifiers!$C$17,E469)),1,0))+IF(Classifiers!$D$17="",0,IF(ISNUMBER(SEARCH(Classifiers!$D$17,E469)),1,0))+IF(Classifiers!$E$17="",0,IF(ISNUMBER(SEARCH(Classifiers!$E$17,E469)),1,0))+IF(Classifiers!$F$17="",0,IF(ISNUMBER(SEARCH(Classifiers!$F$17,E469)),1,0))+IF(Classifiers!$G$17="",0,IF(ISNUMBER(SEARCH(Classifiers!$G$17,E469)),1,0)))&gt;0,1,0))</f>
        <v/>
      </c>
      <c r="W469" s="12">
        <f>IF(H469&lt;&gt;1,0,IF((IF(Classifiers!$B$18="",0,IF(ISNUMBER(SEARCH(Classifiers!$B$18,E469)),1,0))+IF(Classifiers!$C$18="",0,IF(ISNUMBER(SEARCH(Classifiers!$C$18,E469)),1,0))+IF(Classifiers!$D$18="",0,IF(ISNUMBER(SEARCH(Classifiers!$D$18,E469)),1,0))+IF(Classifiers!$E$18="",0,IF(ISNUMBER(SEARCH(Classifiers!$E$18,E469)),1,0))+IF(Classifiers!$F$18="",0,IF(ISNUMBER(SEARCH(Classifiers!$F$18,E469)),1,0))+IF(Classifiers!$G$18="",0,IF(ISNUMBER(SEARCH(Classifiers!$G$18,E469)),1,0)))&gt;0,1,0))</f>
        <v/>
      </c>
    </row>
    <row r="470">
      <c r="A470" s="8" t="n"/>
      <c r="B470" s="11" t="n"/>
      <c r="C470" s="6">
        <f>IF(A470="","",TRIM(RIGHT(SUBSTITUTE(A470,"/",REPT(" ",250)),250)))</f>
        <v/>
      </c>
      <c r="D470" s="6">
        <f>IF(C470="","",IF(ISNUMBER(SEARCH(".",C470)),LOWER("."&amp;TRIM(RIGHT(SUBSTITUTE(C470,".",REPT(" ",250)),250))),""))</f>
        <v/>
      </c>
      <c r="E470" s="6">
        <f>IF(C470="","",TRIM(SUBSTITUTE(SUBSTITUTE(SUBSTITUTE(SUBSTITUTE(SUBSTITUTE(SUBSTITUTE(SUBSTITUTE(SUBSTITUTE(SUBSTITUTE(SUBSTITUTE(SUBSTITUTE(SUBSTITUTE(SUBSTITUTE(SUBSTITUTE(SUBSTITUTE(SUBSTITUTE(SUBSTITUTE(SUBSTITUTE(SUBSTITUTE(SUBSTITUTE(LOWER(LEFT(C470,LEN(C470)-LEN(D470))),"_"," "),"-"," "),"."," "),","," "),"("," "),")"," "),"["," "),"]"," "),"&amp;"," "),"+"," "),"@"," "),"#"," "),"!"," "),"'"," "),"/"," "),":"," "),";"," "),"="," "),"~"," "),"%"," ")))</f>
        <v/>
      </c>
      <c r="F470" s="6">
        <f>IF(C470="","",IF(COUNTIF(Classifiers!$A$23:$A$40,D470)&gt;0,1,0))</f>
        <v/>
      </c>
      <c r="G470" s="6">
        <f>IF(C470="","",IF(COUNTIF(Classifiers!$C$23:$C$30,D470)&gt;0,IF((IF(ISNUMBER(SEARCH(Classifiers!$E$23,E470)),1,0)+IF(ISNUMBER(SEARCH(Classifiers!$E$24,E470)),1,0)+IF(ISNUMBER(SEARCH(Classifiers!$E$25,E470)),1,0)+IF(ISNUMBER(SEARCH(Classifiers!$E$26,E470)),1,0)+IF(ISNUMBER(SEARCH(Classifiers!$E$27,E470)),1,0)+IF(ISNUMBER(SEARCH(Classifiers!$E$28,E470)),1,0)+IF(ISNUMBER(SEARCH(Classifiers!$E$29,E470)),1,0)+IF(ISNUMBER(SEARCH(Classifiers!$E$30,E470)),1,0))&gt;0,1,0),0))</f>
        <v/>
      </c>
      <c r="H470" s="6">
        <f>IF(C470="","",IF(OR(LEFT(C470,1)=".",AND(F470=0,G470=0)),0,1))</f>
        <v/>
      </c>
      <c r="I470" s="6">
        <f>IF(H470&lt;&gt;1,"",IF(SUM(J470:W470)=0,"unclassified",INDEX(Classifiers!$A$5:$A$18,MATCH(1,J470:W470,0),1)))</f>
        <v/>
      </c>
      <c r="J470" s="12">
        <f>IF(H470&lt;&gt;1,0,IF((IF(Classifiers!$B$5="",0,IF(ISNUMBER(SEARCH(Classifiers!$B$5,E470)),1,0))+IF(Classifiers!$C$5="",0,IF(ISNUMBER(SEARCH(Classifiers!$C$5,E470)),1,0))+IF(Classifiers!$D$5="",0,IF(ISNUMBER(SEARCH(Classifiers!$D$5,E470)),1,0))+IF(Classifiers!$E$5="",0,IF(ISNUMBER(SEARCH(Classifiers!$E$5,E470)),1,0))+IF(Classifiers!$F$5="",0,IF(ISNUMBER(SEARCH(Classifiers!$F$5,E470)),1,0))+IF(Classifiers!$G$5="",0,IF(ISNUMBER(SEARCH(Classifiers!$G$5,E470)),1,0)))&gt;0,1,0))</f>
        <v/>
      </c>
      <c r="K470" s="12">
        <f>IF(H470&lt;&gt;1,0,IF((IF(Classifiers!$B$6="",0,IF(ISNUMBER(SEARCH(Classifiers!$B$6,E470)),1,0))+IF(Classifiers!$C$6="",0,IF(ISNUMBER(SEARCH(Classifiers!$C$6,E470)),1,0))+IF(Classifiers!$D$6="",0,IF(ISNUMBER(SEARCH(Classifiers!$D$6,E470)),1,0))+IF(Classifiers!$E$6="",0,IF(ISNUMBER(SEARCH(Classifiers!$E$6,E470)),1,0))+IF(Classifiers!$F$6="",0,IF(ISNUMBER(SEARCH(Classifiers!$F$6,E470)),1,0))+IF(Classifiers!$G$6="",0,IF(ISNUMBER(SEARCH(Classifiers!$G$6,E470)),1,0)))&gt;0,1,0))</f>
        <v/>
      </c>
      <c r="L470" s="12">
        <f>IF(H470&lt;&gt;1,0,IF((IF(Classifiers!$B$7="",0,IF(ISNUMBER(SEARCH(Classifiers!$B$7,E470)),1,0))+IF(Classifiers!$C$7="",0,IF(ISNUMBER(SEARCH(Classifiers!$C$7,E470)),1,0))+IF(Classifiers!$D$7="",0,IF(ISNUMBER(SEARCH(Classifiers!$D$7,E470)),1,0))+IF(Classifiers!$E$7="",0,IF(ISNUMBER(SEARCH(Classifiers!$E$7,E470)),1,0))+IF(Classifiers!$F$7="",0,IF(ISNUMBER(SEARCH(Classifiers!$F$7,E470)),1,0))+IF(Classifiers!$G$7="",0,IF(ISNUMBER(SEARCH(Classifiers!$G$7,E470)),1,0)))&gt;0,1,0))</f>
        <v/>
      </c>
      <c r="M470" s="12">
        <f>IF(H470&lt;&gt;1,0,IF((IF(Classifiers!$B$8="",0,IF(ISNUMBER(SEARCH(Classifiers!$B$8,E470)),1,0))+IF(Classifiers!$C$8="",0,IF(ISNUMBER(SEARCH(Classifiers!$C$8,E470)),1,0))+IF(Classifiers!$D$8="",0,IF(ISNUMBER(SEARCH(Classifiers!$D$8,E470)),1,0))+IF(Classifiers!$E$8="",0,IF(ISNUMBER(SEARCH(Classifiers!$E$8,E470)),1,0))+IF(Classifiers!$F$8="",0,IF(ISNUMBER(SEARCH(Classifiers!$F$8,E470)),1,0))+IF(Classifiers!$G$8="",0,IF(ISNUMBER(SEARCH(Classifiers!$G$8,E470)),1,0)))&gt;0,1,0))</f>
        <v/>
      </c>
      <c r="N470" s="12">
        <f>IF(H470&lt;&gt;1,0,IF((IF(Classifiers!$B$9="",0,IF(ISNUMBER(SEARCH(Classifiers!$B$9,E470)),1,0))+IF(Classifiers!$C$9="",0,IF(ISNUMBER(SEARCH(Classifiers!$C$9,E470)),1,0))+IF(Classifiers!$D$9="",0,IF(ISNUMBER(SEARCH(Classifiers!$D$9,E470)),1,0))+IF(Classifiers!$E$9="",0,IF(ISNUMBER(SEARCH(Classifiers!$E$9,E470)),1,0))+IF(Classifiers!$F$9="",0,IF(ISNUMBER(SEARCH(Classifiers!$F$9,E470)),1,0))+IF(Classifiers!$G$9="",0,IF(ISNUMBER(SEARCH(Classifiers!$G$9,E470)),1,0)))&gt;0,1,0))</f>
        <v/>
      </c>
      <c r="O470" s="12">
        <f>IF(H470&lt;&gt;1,0,IF((IF(Classifiers!$B$10="",0,IF(ISNUMBER(SEARCH(Classifiers!$B$10,E470)),1,0))+IF(Classifiers!$C$10="",0,IF(ISNUMBER(SEARCH(Classifiers!$C$10,E470)),1,0))+IF(Classifiers!$D$10="",0,IF(ISNUMBER(SEARCH(Classifiers!$D$10,E470)),1,0))+IF(Classifiers!$E$10="",0,IF(ISNUMBER(SEARCH(Classifiers!$E$10,E470)),1,0))+IF(Classifiers!$F$10="",0,IF(ISNUMBER(SEARCH(Classifiers!$F$10,E470)),1,0))+IF(Classifiers!$G$10="",0,IF(ISNUMBER(SEARCH(Classifiers!$G$10,E470)),1,0)))&gt;0,1,0))</f>
        <v/>
      </c>
      <c r="P470" s="12">
        <f>IF(H470&lt;&gt;1,0,IF((IF(Classifiers!$B$11="",0,IF(ISNUMBER(SEARCH(Classifiers!$B$11,E470)),1,0))+IF(Classifiers!$C$11="",0,IF(ISNUMBER(SEARCH(Classifiers!$C$11,E470)),1,0))+IF(Classifiers!$D$11="",0,IF(ISNUMBER(SEARCH(Classifiers!$D$11,E470)),1,0))+IF(Classifiers!$E$11="",0,IF(ISNUMBER(SEARCH(Classifiers!$E$11,E470)),1,0))+IF(Classifiers!$F$11="",0,IF(ISNUMBER(SEARCH(Classifiers!$F$11,E470)),1,0))+IF(Classifiers!$G$11="",0,IF(ISNUMBER(SEARCH(Classifiers!$G$11,E470)),1,0)))&gt;0,1,0))</f>
        <v/>
      </c>
      <c r="Q470" s="12">
        <f>IF(H470&lt;&gt;1,0,IF((IF(Classifiers!$B$12="",0,IF(ISNUMBER(SEARCH(Classifiers!$B$12,E470)),1,0))+IF(Classifiers!$C$12="",0,IF(ISNUMBER(SEARCH(Classifiers!$C$12,E470)),1,0))+IF(Classifiers!$D$12="",0,IF(ISNUMBER(SEARCH(Classifiers!$D$12,E470)),1,0))+IF(Classifiers!$E$12="",0,IF(ISNUMBER(SEARCH(Classifiers!$E$12,E470)),1,0))+IF(Classifiers!$F$12="",0,IF(ISNUMBER(SEARCH(Classifiers!$F$12,E470)),1,0))+IF(Classifiers!$G$12="",0,IF(ISNUMBER(SEARCH(Classifiers!$G$12,E470)),1,0)))&gt;0,1,0))</f>
        <v/>
      </c>
      <c r="R470" s="12">
        <f>IF(H470&lt;&gt;1,0,IF((IF(Classifiers!$B$13="",0,IF(ISNUMBER(SEARCH(Classifiers!$B$13,E470)),1,0))+IF(Classifiers!$C$13="",0,IF(ISNUMBER(SEARCH(Classifiers!$C$13,E470)),1,0))+IF(Classifiers!$D$13="",0,IF(ISNUMBER(SEARCH(Classifiers!$D$13,E470)),1,0))+IF(Classifiers!$E$13="",0,IF(ISNUMBER(SEARCH(Classifiers!$E$13,E470)),1,0))+IF(Classifiers!$F$13="",0,IF(ISNUMBER(SEARCH(Classifiers!$F$13,E470)),1,0))+IF(Classifiers!$G$13="",0,IF(ISNUMBER(SEARCH(Classifiers!$G$13,E470)),1,0)))&gt;0,1,0))</f>
        <v/>
      </c>
      <c r="S470" s="12">
        <f>IF(H470&lt;&gt;1,0,IF((IF(Classifiers!$B$14="",0,IF(ISNUMBER(SEARCH(Classifiers!$B$14,E470)),1,0))+IF(Classifiers!$C$14="",0,IF(ISNUMBER(SEARCH(Classifiers!$C$14,E470)),1,0))+IF(Classifiers!$D$14="",0,IF(ISNUMBER(SEARCH(Classifiers!$D$14,E470)),1,0))+IF(Classifiers!$E$14="",0,IF(ISNUMBER(SEARCH(Classifiers!$E$14,E470)),1,0))+IF(Classifiers!$F$14="",0,IF(ISNUMBER(SEARCH(Classifiers!$F$14,E470)),1,0))+IF(Classifiers!$G$14="",0,IF(ISNUMBER(SEARCH(Classifiers!$G$14,E470)),1,0)))&gt;0,1,0))</f>
        <v/>
      </c>
      <c r="T470" s="12">
        <f>IF(H470&lt;&gt;1,0,IF((IF(Classifiers!$B$15="",0,IF(ISNUMBER(SEARCH(Classifiers!$B$15,E470)),1,0))+IF(Classifiers!$C$15="",0,IF(ISNUMBER(SEARCH(Classifiers!$C$15,E470)),1,0))+IF(Classifiers!$D$15="",0,IF(ISNUMBER(SEARCH(Classifiers!$D$15,E470)),1,0))+IF(Classifiers!$E$15="",0,IF(ISNUMBER(SEARCH(Classifiers!$E$15,E470)),1,0))+IF(Classifiers!$F$15="",0,IF(ISNUMBER(SEARCH(Classifiers!$F$15,E470)),1,0))+IF(Classifiers!$G$15="",0,IF(ISNUMBER(SEARCH(Classifiers!$G$15,E470)),1,0)))&gt;0,1,0))</f>
        <v/>
      </c>
      <c r="U470" s="12">
        <f>IF(H470&lt;&gt;1,0,IF((IF(Classifiers!$B$16="",0,IF(ISNUMBER(SEARCH(Classifiers!$B$16,E470)),1,0))+IF(Classifiers!$C$16="",0,IF(ISNUMBER(SEARCH(Classifiers!$C$16,E470)),1,0))+IF(Classifiers!$D$16="",0,IF(ISNUMBER(SEARCH(Classifiers!$D$16,E470)),1,0))+IF(Classifiers!$E$16="",0,IF(ISNUMBER(SEARCH(Classifiers!$E$16,E470)),1,0))+IF(Classifiers!$F$16="",0,IF(ISNUMBER(SEARCH(Classifiers!$F$16,E470)),1,0))+IF(Classifiers!$G$16="",0,IF(ISNUMBER(SEARCH(Classifiers!$G$16,E470)),1,0)))&gt;0,1,0))</f>
        <v/>
      </c>
      <c r="V470" s="12">
        <f>IF(H470&lt;&gt;1,0,IF((IF(Classifiers!$B$17="",0,IF(ISNUMBER(SEARCH(Classifiers!$B$17,E470)),1,0))+IF(Classifiers!$C$17="",0,IF(ISNUMBER(SEARCH(Classifiers!$C$17,E470)),1,0))+IF(Classifiers!$D$17="",0,IF(ISNUMBER(SEARCH(Classifiers!$D$17,E470)),1,0))+IF(Classifiers!$E$17="",0,IF(ISNUMBER(SEARCH(Classifiers!$E$17,E470)),1,0))+IF(Classifiers!$F$17="",0,IF(ISNUMBER(SEARCH(Classifiers!$F$17,E470)),1,0))+IF(Classifiers!$G$17="",0,IF(ISNUMBER(SEARCH(Classifiers!$G$17,E470)),1,0)))&gt;0,1,0))</f>
        <v/>
      </c>
      <c r="W470" s="12">
        <f>IF(H470&lt;&gt;1,0,IF((IF(Classifiers!$B$18="",0,IF(ISNUMBER(SEARCH(Classifiers!$B$18,E470)),1,0))+IF(Classifiers!$C$18="",0,IF(ISNUMBER(SEARCH(Classifiers!$C$18,E470)),1,0))+IF(Classifiers!$D$18="",0,IF(ISNUMBER(SEARCH(Classifiers!$D$18,E470)),1,0))+IF(Classifiers!$E$18="",0,IF(ISNUMBER(SEARCH(Classifiers!$E$18,E470)),1,0))+IF(Classifiers!$F$18="",0,IF(ISNUMBER(SEARCH(Classifiers!$F$18,E470)),1,0))+IF(Classifiers!$G$18="",0,IF(ISNUMBER(SEARCH(Classifiers!$G$18,E470)),1,0)))&gt;0,1,0))</f>
        <v/>
      </c>
    </row>
    <row r="471">
      <c r="A471" s="8" t="n"/>
      <c r="B471" s="11" t="n"/>
      <c r="C471" s="6">
        <f>IF(A471="","",TRIM(RIGHT(SUBSTITUTE(A471,"/",REPT(" ",250)),250)))</f>
        <v/>
      </c>
      <c r="D471" s="6">
        <f>IF(C471="","",IF(ISNUMBER(SEARCH(".",C471)),LOWER("."&amp;TRIM(RIGHT(SUBSTITUTE(C471,".",REPT(" ",250)),250))),""))</f>
        <v/>
      </c>
      <c r="E471" s="6">
        <f>IF(C471="","",TRIM(SUBSTITUTE(SUBSTITUTE(SUBSTITUTE(SUBSTITUTE(SUBSTITUTE(SUBSTITUTE(SUBSTITUTE(SUBSTITUTE(SUBSTITUTE(SUBSTITUTE(SUBSTITUTE(SUBSTITUTE(SUBSTITUTE(SUBSTITUTE(SUBSTITUTE(SUBSTITUTE(SUBSTITUTE(SUBSTITUTE(SUBSTITUTE(SUBSTITUTE(LOWER(LEFT(C471,LEN(C471)-LEN(D471))),"_"," "),"-"," "),"."," "),","," "),"("," "),")"," "),"["," "),"]"," "),"&amp;"," "),"+"," "),"@"," "),"#"," "),"!"," "),"'"," "),"/"," "),":"," "),";"," "),"="," "),"~"," "),"%"," ")))</f>
        <v/>
      </c>
      <c r="F471" s="6">
        <f>IF(C471="","",IF(COUNTIF(Classifiers!$A$23:$A$40,D471)&gt;0,1,0))</f>
        <v/>
      </c>
      <c r="G471" s="6">
        <f>IF(C471="","",IF(COUNTIF(Classifiers!$C$23:$C$30,D471)&gt;0,IF((IF(ISNUMBER(SEARCH(Classifiers!$E$23,E471)),1,0)+IF(ISNUMBER(SEARCH(Classifiers!$E$24,E471)),1,0)+IF(ISNUMBER(SEARCH(Classifiers!$E$25,E471)),1,0)+IF(ISNUMBER(SEARCH(Classifiers!$E$26,E471)),1,0)+IF(ISNUMBER(SEARCH(Classifiers!$E$27,E471)),1,0)+IF(ISNUMBER(SEARCH(Classifiers!$E$28,E471)),1,0)+IF(ISNUMBER(SEARCH(Classifiers!$E$29,E471)),1,0)+IF(ISNUMBER(SEARCH(Classifiers!$E$30,E471)),1,0))&gt;0,1,0),0))</f>
        <v/>
      </c>
      <c r="H471" s="6">
        <f>IF(C471="","",IF(OR(LEFT(C471,1)=".",AND(F471=0,G471=0)),0,1))</f>
        <v/>
      </c>
      <c r="I471" s="6">
        <f>IF(H471&lt;&gt;1,"",IF(SUM(J471:W471)=0,"unclassified",INDEX(Classifiers!$A$5:$A$18,MATCH(1,J471:W471,0),1)))</f>
        <v/>
      </c>
      <c r="J471" s="12">
        <f>IF(H471&lt;&gt;1,0,IF((IF(Classifiers!$B$5="",0,IF(ISNUMBER(SEARCH(Classifiers!$B$5,E471)),1,0))+IF(Classifiers!$C$5="",0,IF(ISNUMBER(SEARCH(Classifiers!$C$5,E471)),1,0))+IF(Classifiers!$D$5="",0,IF(ISNUMBER(SEARCH(Classifiers!$D$5,E471)),1,0))+IF(Classifiers!$E$5="",0,IF(ISNUMBER(SEARCH(Classifiers!$E$5,E471)),1,0))+IF(Classifiers!$F$5="",0,IF(ISNUMBER(SEARCH(Classifiers!$F$5,E471)),1,0))+IF(Classifiers!$G$5="",0,IF(ISNUMBER(SEARCH(Classifiers!$G$5,E471)),1,0)))&gt;0,1,0))</f>
        <v/>
      </c>
      <c r="K471" s="12">
        <f>IF(H471&lt;&gt;1,0,IF((IF(Classifiers!$B$6="",0,IF(ISNUMBER(SEARCH(Classifiers!$B$6,E471)),1,0))+IF(Classifiers!$C$6="",0,IF(ISNUMBER(SEARCH(Classifiers!$C$6,E471)),1,0))+IF(Classifiers!$D$6="",0,IF(ISNUMBER(SEARCH(Classifiers!$D$6,E471)),1,0))+IF(Classifiers!$E$6="",0,IF(ISNUMBER(SEARCH(Classifiers!$E$6,E471)),1,0))+IF(Classifiers!$F$6="",0,IF(ISNUMBER(SEARCH(Classifiers!$F$6,E471)),1,0))+IF(Classifiers!$G$6="",0,IF(ISNUMBER(SEARCH(Classifiers!$G$6,E471)),1,0)))&gt;0,1,0))</f>
        <v/>
      </c>
      <c r="L471" s="12">
        <f>IF(H471&lt;&gt;1,0,IF((IF(Classifiers!$B$7="",0,IF(ISNUMBER(SEARCH(Classifiers!$B$7,E471)),1,0))+IF(Classifiers!$C$7="",0,IF(ISNUMBER(SEARCH(Classifiers!$C$7,E471)),1,0))+IF(Classifiers!$D$7="",0,IF(ISNUMBER(SEARCH(Classifiers!$D$7,E471)),1,0))+IF(Classifiers!$E$7="",0,IF(ISNUMBER(SEARCH(Classifiers!$E$7,E471)),1,0))+IF(Classifiers!$F$7="",0,IF(ISNUMBER(SEARCH(Classifiers!$F$7,E471)),1,0))+IF(Classifiers!$G$7="",0,IF(ISNUMBER(SEARCH(Classifiers!$G$7,E471)),1,0)))&gt;0,1,0))</f>
        <v/>
      </c>
      <c r="M471" s="12">
        <f>IF(H471&lt;&gt;1,0,IF((IF(Classifiers!$B$8="",0,IF(ISNUMBER(SEARCH(Classifiers!$B$8,E471)),1,0))+IF(Classifiers!$C$8="",0,IF(ISNUMBER(SEARCH(Classifiers!$C$8,E471)),1,0))+IF(Classifiers!$D$8="",0,IF(ISNUMBER(SEARCH(Classifiers!$D$8,E471)),1,0))+IF(Classifiers!$E$8="",0,IF(ISNUMBER(SEARCH(Classifiers!$E$8,E471)),1,0))+IF(Classifiers!$F$8="",0,IF(ISNUMBER(SEARCH(Classifiers!$F$8,E471)),1,0))+IF(Classifiers!$G$8="",0,IF(ISNUMBER(SEARCH(Classifiers!$G$8,E471)),1,0)))&gt;0,1,0))</f>
        <v/>
      </c>
      <c r="N471" s="12">
        <f>IF(H471&lt;&gt;1,0,IF((IF(Classifiers!$B$9="",0,IF(ISNUMBER(SEARCH(Classifiers!$B$9,E471)),1,0))+IF(Classifiers!$C$9="",0,IF(ISNUMBER(SEARCH(Classifiers!$C$9,E471)),1,0))+IF(Classifiers!$D$9="",0,IF(ISNUMBER(SEARCH(Classifiers!$D$9,E471)),1,0))+IF(Classifiers!$E$9="",0,IF(ISNUMBER(SEARCH(Classifiers!$E$9,E471)),1,0))+IF(Classifiers!$F$9="",0,IF(ISNUMBER(SEARCH(Classifiers!$F$9,E471)),1,0))+IF(Classifiers!$G$9="",0,IF(ISNUMBER(SEARCH(Classifiers!$G$9,E471)),1,0)))&gt;0,1,0))</f>
        <v/>
      </c>
      <c r="O471" s="12">
        <f>IF(H471&lt;&gt;1,0,IF((IF(Classifiers!$B$10="",0,IF(ISNUMBER(SEARCH(Classifiers!$B$10,E471)),1,0))+IF(Classifiers!$C$10="",0,IF(ISNUMBER(SEARCH(Classifiers!$C$10,E471)),1,0))+IF(Classifiers!$D$10="",0,IF(ISNUMBER(SEARCH(Classifiers!$D$10,E471)),1,0))+IF(Classifiers!$E$10="",0,IF(ISNUMBER(SEARCH(Classifiers!$E$10,E471)),1,0))+IF(Classifiers!$F$10="",0,IF(ISNUMBER(SEARCH(Classifiers!$F$10,E471)),1,0))+IF(Classifiers!$G$10="",0,IF(ISNUMBER(SEARCH(Classifiers!$G$10,E471)),1,0)))&gt;0,1,0))</f>
        <v/>
      </c>
      <c r="P471" s="12">
        <f>IF(H471&lt;&gt;1,0,IF((IF(Classifiers!$B$11="",0,IF(ISNUMBER(SEARCH(Classifiers!$B$11,E471)),1,0))+IF(Classifiers!$C$11="",0,IF(ISNUMBER(SEARCH(Classifiers!$C$11,E471)),1,0))+IF(Classifiers!$D$11="",0,IF(ISNUMBER(SEARCH(Classifiers!$D$11,E471)),1,0))+IF(Classifiers!$E$11="",0,IF(ISNUMBER(SEARCH(Classifiers!$E$11,E471)),1,0))+IF(Classifiers!$F$11="",0,IF(ISNUMBER(SEARCH(Classifiers!$F$11,E471)),1,0))+IF(Classifiers!$G$11="",0,IF(ISNUMBER(SEARCH(Classifiers!$G$11,E471)),1,0)))&gt;0,1,0))</f>
        <v/>
      </c>
      <c r="Q471" s="12">
        <f>IF(H471&lt;&gt;1,0,IF((IF(Classifiers!$B$12="",0,IF(ISNUMBER(SEARCH(Classifiers!$B$12,E471)),1,0))+IF(Classifiers!$C$12="",0,IF(ISNUMBER(SEARCH(Classifiers!$C$12,E471)),1,0))+IF(Classifiers!$D$12="",0,IF(ISNUMBER(SEARCH(Classifiers!$D$12,E471)),1,0))+IF(Classifiers!$E$12="",0,IF(ISNUMBER(SEARCH(Classifiers!$E$12,E471)),1,0))+IF(Classifiers!$F$12="",0,IF(ISNUMBER(SEARCH(Classifiers!$F$12,E471)),1,0))+IF(Classifiers!$G$12="",0,IF(ISNUMBER(SEARCH(Classifiers!$G$12,E471)),1,0)))&gt;0,1,0))</f>
        <v/>
      </c>
      <c r="R471" s="12">
        <f>IF(H471&lt;&gt;1,0,IF((IF(Classifiers!$B$13="",0,IF(ISNUMBER(SEARCH(Classifiers!$B$13,E471)),1,0))+IF(Classifiers!$C$13="",0,IF(ISNUMBER(SEARCH(Classifiers!$C$13,E471)),1,0))+IF(Classifiers!$D$13="",0,IF(ISNUMBER(SEARCH(Classifiers!$D$13,E471)),1,0))+IF(Classifiers!$E$13="",0,IF(ISNUMBER(SEARCH(Classifiers!$E$13,E471)),1,0))+IF(Classifiers!$F$13="",0,IF(ISNUMBER(SEARCH(Classifiers!$F$13,E471)),1,0))+IF(Classifiers!$G$13="",0,IF(ISNUMBER(SEARCH(Classifiers!$G$13,E471)),1,0)))&gt;0,1,0))</f>
        <v/>
      </c>
      <c r="S471" s="12">
        <f>IF(H471&lt;&gt;1,0,IF((IF(Classifiers!$B$14="",0,IF(ISNUMBER(SEARCH(Classifiers!$B$14,E471)),1,0))+IF(Classifiers!$C$14="",0,IF(ISNUMBER(SEARCH(Classifiers!$C$14,E471)),1,0))+IF(Classifiers!$D$14="",0,IF(ISNUMBER(SEARCH(Classifiers!$D$14,E471)),1,0))+IF(Classifiers!$E$14="",0,IF(ISNUMBER(SEARCH(Classifiers!$E$14,E471)),1,0))+IF(Classifiers!$F$14="",0,IF(ISNUMBER(SEARCH(Classifiers!$F$14,E471)),1,0))+IF(Classifiers!$G$14="",0,IF(ISNUMBER(SEARCH(Classifiers!$G$14,E471)),1,0)))&gt;0,1,0))</f>
        <v/>
      </c>
      <c r="T471" s="12">
        <f>IF(H471&lt;&gt;1,0,IF((IF(Classifiers!$B$15="",0,IF(ISNUMBER(SEARCH(Classifiers!$B$15,E471)),1,0))+IF(Classifiers!$C$15="",0,IF(ISNUMBER(SEARCH(Classifiers!$C$15,E471)),1,0))+IF(Classifiers!$D$15="",0,IF(ISNUMBER(SEARCH(Classifiers!$D$15,E471)),1,0))+IF(Classifiers!$E$15="",0,IF(ISNUMBER(SEARCH(Classifiers!$E$15,E471)),1,0))+IF(Classifiers!$F$15="",0,IF(ISNUMBER(SEARCH(Classifiers!$F$15,E471)),1,0))+IF(Classifiers!$G$15="",0,IF(ISNUMBER(SEARCH(Classifiers!$G$15,E471)),1,0)))&gt;0,1,0))</f>
        <v/>
      </c>
      <c r="U471" s="12">
        <f>IF(H471&lt;&gt;1,0,IF((IF(Classifiers!$B$16="",0,IF(ISNUMBER(SEARCH(Classifiers!$B$16,E471)),1,0))+IF(Classifiers!$C$16="",0,IF(ISNUMBER(SEARCH(Classifiers!$C$16,E471)),1,0))+IF(Classifiers!$D$16="",0,IF(ISNUMBER(SEARCH(Classifiers!$D$16,E471)),1,0))+IF(Classifiers!$E$16="",0,IF(ISNUMBER(SEARCH(Classifiers!$E$16,E471)),1,0))+IF(Classifiers!$F$16="",0,IF(ISNUMBER(SEARCH(Classifiers!$F$16,E471)),1,0))+IF(Classifiers!$G$16="",0,IF(ISNUMBER(SEARCH(Classifiers!$G$16,E471)),1,0)))&gt;0,1,0))</f>
        <v/>
      </c>
      <c r="V471" s="12">
        <f>IF(H471&lt;&gt;1,0,IF((IF(Classifiers!$B$17="",0,IF(ISNUMBER(SEARCH(Classifiers!$B$17,E471)),1,0))+IF(Classifiers!$C$17="",0,IF(ISNUMBER(SEARCH(Classifiers!$C$17,E471)),1,0))+IF(Classifiers!$D$17="",0,IF(ISNUMBER(SEARCH(Classifiers!$D$17,E471)),1,0))+IF(Classifiers!$E$17="",0,IF(ISNUMBER(SEARCH(Classifiers!$E$17,E471)),1,0))+IF(Classifiers!$F$17="",0,IF(ISNUMBER(SEARCH(Classifiers!$F$17,E471)),1,0))+IF(Classifiers!$G$17="",0,IF(ISNUMBER(SEARCH(Classifiers!$G$17,E471)),1,0)))&gt;0,1,0))</f>
        <v/>
      </c>
      <c r="W471" s="12">
        <f>IF(H471&lt;&gt;1,0,IF((IF(Classifiers!$B$18="",0,IF(ISNUMBER(SEARCH(Classifiers!$B$18,E471)),1,0))+IF(Classifiers!$C$18="",0,IF(ISNUMBER(SEARCH(Classifiers!$C$18,E471)),1,0))+IF(Classifiers!$D$18="",0,IF(ISNUMBER(SEARCH(Classifiers!$D$18,E471)),1,0))+IF(Classifiers!$E$18="",0,IF(ISNUMBER(SEARCH(Classifiers!$E$18,E471)),1,0))+IF(Classifiers!$F$18="",0,IF(ISNUMBER(SEARCH(Classifiers!$F$18,E471)),1,0))+IF(Classifiers!$G$18="",0,IF(ISNUMBER(SEARCH(Classifiers!$G$18,E471)),1,0)))&gt;0,1,0))</f>
        <v/>
      </c>
    </row>
    <row r="472">
      <c r="A472" s="8" t="n"/>
      <c r="B472" s="11" t="n"/>
      <c r="C472" s="6">
        <f>IF(A472="","",TRIM(RIGHT(SUBSTITUTE(A472,"/",REPT(" ",250)),250)))</f>
        <v/>
      </c>
      <c r="D472" s="6">
        <f>IF(C472="","",IF(ISNUMBER(SEARCH(".",C472)),LOWER("."&amp;TRIM(RIGHT(SUBSTITUTE(C472,".",REPT(" ",250)),250))),""))</f>
        <v/>
      </c>
      <c r="E472" s="6">
        <f>IF(C472="","",TRIM(SUBSTITUTE(SUBSTITUTE(SUBSTITUTE(SUBSTITUTE(SUBSTITUTE(SUBSTITUTE(SUBSTITUTE(SUBSTITUTE(SUBSTITUTE(SUBSTITUTE(SUBSTITUTE(SUBSTITUTE(SUBSTITUTE(SUBSTITUTE(SUBSTITUTE(SUBSTITUTE(SUBSTITUTE(SUBSTITUTE(SUBSTITUTE(SUBSTITUTE(LOWER(LEFT(C472,LEN(C472)-LEN(D472))),"_"," "),"-"," "),"."," "),","," "),"("," "),")"," "),"["," "),"]"," "),"&amp;"," "),"+"," "),"@"," "),"#"," "),"!"," "),"'"," "),"/"," "),":"," "),";"," "),"="," "),"~"," "),"%"," ")))</f>
        <v/>
      </c>
      <c r="F472" s="6">
        <f>IF(C472="","",IF(COUNTIF(Classifiers!$A$23:$A$40,D472)&gt;0,1,0))</f>
        <v/>
      </c>
      <c r="G472" s="6">
        <f>IF(C472="","",IF(COUNTIF(Classifiers!$C$23:$C$30,D472)&gt;0,IF((IF(ISNUMBER(SEARCH(Classifiers!$E$23,E472)),1,0)+IF(ISNUMBER(SEARCH(Classifiers!$E$24,E472)),1,0)+IF(ISNUMBER(SEARCH(Classifiers!$E$25,E472)),1,0)+IF(ISNUMBER(SEARCH(Classifiers!$E$26,E472)),1,0)+IF(ISNUMBER(SEARCH(Classifiers!$E$27,E472)),1,0)+IF(ISNUMBER(SEARCH(Classifiers!$E$28,E472)),1,0)+IF(ISNUMBER(SEARCH(Classifiers!$E$29,E472)),1,0)+IF(ISNUMBER(SEARCH(Classifiers!$E$30,E472)),1,0))&gt;0,1,0),0))</f>
        <v/>
      </c>
      <c r="H472" s="6">
        <f>IF(C472="","",IF(OR(LEFT(C472,1)=".",AND(F472=0,G472=0)),0,1))</f>
        <v/>
      </c>
      <c r="I472" s="6">
        <f>IF(H472&lt;&gt;1,"",IF(SUM(J472:W472)=0,"unclassified",INDEX(Classifiers!$A$5:$A$18,MATCH(1,J472:W472,0),1)))</f>
        <v/>
      </c>
      <c r="J472" s="12">
        <f>IF(H472&lt;&gt;1,0,IF((IF(Classifiers!$B$5="",0,IF(ISNUMBER(SEARCH(Classifiers!$B$5,E472)),1,0))+IF(Classifiers!$C$5="",0,IF(ISNUMBER(SEARCH(Classifiers!$C$5,E472)),1,0))+IF(Classifiers!$D$5="",0,IF(ISNUMBER(SEARCH(Classifiers!$D$5,E472)),1,0))+IF(Classifiers!$E$5="",0,IF(ISNUMBER(SEARCH(Classifiers!$E$5,E472)),1,0))+IF(Classifiers!$F$5="",0,IF(ISNUMBER(SEARCH(Classifiers!$F$5,E472)),1,0))+IF(Classifiers!$G$5="",0,IF(ISNUMBER(SEARCH(Classifiers!$G$5,E472)),1,0)))&gt;0,1,0))</f>
        <v/>
      </c>
      <c r="K472" s="12">
        <f>IF(H472&lt;&gt;1,0,IF((IF(Classifiers!$B$6="",0,IF(ISNUMBER(SEARCH(Classifiers!$B$6,E472)),1,0))+IF(Classifiers!$C$6="",0,IF(ISNUMBER(SEARCH(Classifiers!$C$6,E472)),1,0))+IF(Classifiers!$D$6="",0,IF(ISNUMBER(SEARCH(Classifiers!$D$6,E472)),1,0))+IF(Classifiers!$E$6="",0,IF(ISNUMBER(SEARCH(Classifiers!$E$6,E472)),1,0))+IF(Classifiers!$F$6="",0,IF(ISNUMBER(SEARCH(Classifiers!$F$6,E472)),1,0))+IF(Classifiers!$G$6="",0,IF(ISNUMBER(SEARCH(Classifiers!$G$6,E472)),1,0)))&gt;0,1,0))</f>
        <v/>
      </c>
      <c r="L472" s="12">
        <f>IF(H472&lt;&gt;1,0,IF((IF(Classifiers!$B$7="",0,IF(ISNUMBER(SEARCH(Classifiers!$B$7,E472)),1,0))+IF(Classifiers!$C$7="",0,IF(ISNUMBER(SEARCH(Classifiers!$C$7,E472)),1,0))+IF(Classifiers!$D$7="",0,IF(ISNUMBER(SEARCH(Classifiers!$D$7,E472)),1,0))+IF(Classifiers!$E$7="",0,IF(ISNUMBER(SEARCH(Classifiers!$E$7,E472)),1,0))+IF(Classifiers!$F$7="",0,IF(ISNUMBER(SEARCH(Classifiers!$F$7,E472)),1,0))+IF(Classifiers!$G$7="",0,IF(ISNUMBER(SEARCH(Classifiers!$G$7,E472)),1,0)))&gt;0,1,0))</f>
        <v/>
      </c>
      <c r="M472" s="12">
        <f>IF(H472&lt;&gt;1,0,IF((IF(Classifiers!$B$8="",0,IF(ISNUMBER(SEARCH(Classifiers!$B$8,E472)),1,0))+IF(Classifiers!$C$8="",0,IF(ISNUMBER(SEARCH(Classifiers!$C$8,E472)),1,0))+IF(Classifiers!$D$8="",0,IF(ISNUMBER(SEARCH(Classifiers!$D$8,E472)),1,0))+IF(Classifiers!$E$8="",0,IF(ISNUMBER(SEARCH(Classifiers!$E$8,E472)),1,0))+IF(Classifiers!$F$8="",0,IF(ISNUMBER(SEARCH(Classifiers!$F$8,E472)),1,0))+IF(Classifiers!$G$8="",0,IF(ISNUMBER(SEARCH(Classifiers!$G$8,E472)),1,0)))&gt;0,1,0))</f>
        <v/>
      </c>
      <c r="N472" s="12">
        <f>IF(H472&lt;&gt;1,0,IF((IF(Classifiers!$B$9="",0,IF(ISNUMBER(SEARCH(Classifiers!$B$9,E472)),1,0))+IF(Classifiers!$C$9="",0,IF(ISNUMBER(SEARCH(Classifiers!$C$9,E472)),1,0))+IF(Classifiers!$D$9="",0,IF(ISNUMBER(SEARCH(Classifiers!$D$9,E472)),1,0))+IF(Classifiers!$E$9="",0,IF(ISNUMBER(SEARCH(Classifiers!$E$9,E472)),1,0))+IF(Classifiers!$F$9="",0,IF(ISNUMBER(SEARCH(Classifiers!$F$9,E472)),1,0))+IF(Classifiers!$G$9="",0,IF(ISNUMBER(SEARCH(Classifiers!$G$9,E472)),1,0)))&gt;0,1,0))</f>
        <v/>
      </c>
      <c r="O472" s="12">
        <f>IF(H472&lt;&gt;1,0,IF((IF(Classifiers!$B$10="",0,IF(ISNUMBER(SEARCH(Classifiers!$B$10,E472)),1,0))+IF(Classifiers!$C$10="",0,IF(ISNUMBER(SEARCH(Classifiers!$C$10,E472)),1,0))+IF(Classifiers!$D$10="",0,IF(ISNUMBER(SEARCH(Classifiers!$D$10,E472)),1,0))+IF(Classifiers!$E$10="",0,IF(ISNUMBER(SEARCH(Classifiers!$E$10,E472)),1,0))+IF(Classifiers!$F$10="",0,IF(ISNUMBER(SEARCH(Classifiers!$F$10,E472)),1,0))+IF(Classifiers!$G$10="",0,IF(ISNUMBER(SEARCH(Classifiers!$G$10,E472)),1,0)))&gt;0,1,0))</f>
        <v/>
      </c>
      <c r="P472" s="12">
        <f>IF(H472&lt;&gt;1,0,IF((IF(Classifiers!$B$11="",0,IF(ISNUMBER(SEARCH(Classifiers!$B$11,E472)),1,0))+IF(Classifiers!$C$11="",0,IF(ISNUMBER(SEARCH(Classifiers!$C$11,E472)),1,0))+IF(Classifiers!$D$11="",0,IF(ISNUMBER(SEARCH(Classifiers!$D$11,E472)),1,0))+IF(Classifiers!$E$11="",0,IF(ISNUMBER(SEARCH(Classifiers!$E$11,E472)),1,0))+IF(Classifiers!$F$11="",0,IF(ISNUMBER(SEARCH(Classifiers!$F$11,E472)),1,0))+IF(Classifiers!$G$11="",0,IF(ISNUMBER(SEARCH(Classifiers!$G$11,E472)),1,0)))&gt;0,1,0))</f>
        <v/>
      </c>
      <c r="Q472" s="12">
        <f>IF(H472&lt;&gt;1,0,IF((IF(Classifiers!$B$12="",0,IF(ISNUMBER(SEARCH(Classifiers!$B$12,E472)),1,0))+IF(Classifiers!$C$12="",0,IF(ISNUMBER(SEARCH(Classifiers!$C$12,E472)),1,0))+IF(Classifiers!$D$12="",0,IF(ISNUMBER(SEARCH(Classifiers!$D$12,E472)),1,0))+IF(Classifiers!$E$12="",0,IF(ISNUMBER(SEARCH(Classifiers!$E$12,E472)),1,0))+IF(Classifiers!$F$12="",0,IF(ISNUMBER(SEARCH(Classifiers!$F$12,E472)),1,0))+IF(Classifiers!$G$12="",0,IF(ISNUMBER(SEARCH(Classifiers!$G$12,E472)),1,0)))&gt;0,1,0))</f>
        <v/>
      </c>
      <c r="R472" s="12">
        <f>IF(H472&lt;&gt;1,0,IF((IF(Classifiers!$B$13="",0,IF(ISNUMBER(SEARCH(Classifiers!$B$13,E472)),1,0))+IF(Classifiers!$C$13="",0,IF(ISNUMBER(SEARCH(Classifiers!$C$13,E472)),1,0))+IF(Classifiers!$D$13="",0,IF(ISNUMBER(SEARCH(Classifiers!$D$13,E472)),1,0))+IF(Classifiers!$E$13="",0,IF(ISNUMBER(SEARCH(Classifiers!$E$13,E472)),1,0))+IF(Classifiers!$F$13="",0,IF(ISNUMBER(SEARCH(Classifiers!$F$13,E472)),1,0))+IF(Classifiers!$G$13="",0,IF(ISNUMBER(SEARCH(Classifiers!$G$13,E472)),1,0)))&gt;0,1,0))</f>
        <v/>
      </c>
      <c r="S472" s="12">
        <f>IF(H472&lt;&gt;1,0,IF((IF(Classifiers!$B$14="",0,IF(ISNUMBER(SEARCH(Classifiers!$B$14,E472)),1,0))+IF(Classifiers!$C$14="",0,IF(ISNUMBER(SEARCH(Classifiers!$C$14,E472)),1,0))+IF(Classifiers!$D$14="",0,IF(ISNUMBER(SEARCH(Classifiers!$D$14,E472)),1,0))+IF(Classifiers!$E$14="",0,IF(ISNUMBER(SEARCH(Classifiers!$E$14,E472)),1,0))+IF(Classifiers!$F$14="",0,IF(ISNUMBER(SEARCH(Classifiers!$F$14,E472)),1,0))+IF(Classifiers!$G$14="",0,IF(ISNUMBER(SEARCH(Classifiers!$G$14,E472)),1,0)))&gt;0,1,0))</f>
        <v/>
      </c>
      <c r="T472" s="12">
        <f>IF(H472&lt;&gt;1,0,IF((IF(Classifiers!$B$15="",0,IF(ISNUMBER(SEARCH(Classifiers!$B$15,E472)),1,0))+IF(Classifiers!$C$15="",0,IF(ISNUMBER(SEARCH(Classifiers!$C$15,E472)),1,0))+IF(Classifiers!$D$15="",0,IF(ISNUMBER(SEARCH(Classifiers!$D$15,E472)),1,0))+IF(Classifiers!$E$15="",0,IF(ISNUMBER(SEARCH(Classifiers!$E$15,E472)),1,0))+IF(Classifiers!$F$15="",0,IF(ISNUMBER(SEARCH(Classifiers!$F$15,E472)),1,0))+IF(Classifiers!$G$15="",0,IF(ISNUMBER(SEARCH(Classifiers!$G$15,E472)),1,0)))&gt;0,1,0))</f>
        <v/>
      </c>
      <c r="U472" s="12">
        <f>IF(H472&lt;&gt;1,0,IF((IF(Classifiers!$B$16="",0,IF(ISNUMBER(SEARCH(Classifiers!$B$16,E472)),1,0))+IF(Classifiers!$C$16="",0,IF(ISNUMBER(SEARCH(Classifiers!$C$16,E472)),1,0))+IF(Classifiers!$D$16="",0,IF(ISNUMBER(SEARCH(Classifiers!$D$16,E472)),1,0))+IF(Classifiers!$E$16="",0,IF(ISNUMBER(SEARCH(Classifiers!$E$16,E472)),1,0))+IF(Classifiers!$F$16="",0,IF(ISNUMBER(SEARCH(Classifiers!$F$16,E472)),1,0))+IF(Classifiers!$G$16="",0,IF(ISNUMBER(SEARCH(Classifiers!$G$16,E472)),1,0)))&gt;0,1,0))</f>
        <v/>
      </c>
      <c r="V472" s="12">
        <f>IF(H472&lt;&gt;1,0,IF((IF(Classifiers!$B$17="",0,IF(ISNUMBER(SEARCH(Classifiers!$B$17,E472)),1,0))+IF(Classifiers!$C$17="",0,IF(ISNUMBER(SEARCH(Classifiers!$C$17,E472)),1,0))+IF(Classifiers!$D$17="",0,IF(ISNUMBER(SEARCH(Classifiers!$D$17,E472)),1,0))+IF(Classifiers!$E$17="",0,IF(ISNUMBER(SEARCH(Classifiers!$E$17,E472)),1,0))+IF(Classifiers!$F$17="",0,IF(ISNUMBER(SEARCH(Classifiers!$F$17,E472)),1,0))+IF(Classifiers!$G$17="",0,IF(ISNUMBER(SEARCH(Classifiers!$G$17,E472)),1,0)))&gt;0,1,0))</f>
        <v/>
      </c>
      <c r="W472" s="12">
        <f>IF(H472&lt;&gt;1,0,IF((IF(Classifiers!$B$18="",0,IF(ISNUMBER(SEARCH(Classifiers!$B$18,E472)),1,0))+IF(Classifiers!$C$18="",0,IF(ISNUMBER(SEARCH(Classifiers!$C$18,E472)),1,0))+IF(Classifiers!$D$18="",0,IF(ISNUMBER(SEARCH(Classifiers!$D$18,E472)),1,0))+IF(Classifiers!$E$18="",0,IF(ISNUMBER(SEARCH(Classifiers!$E$18,E472)),1,0))+IF(Classifiers!$F$18="",0,IF(ISNUMBER(SEARCH(Classifiers!$F$18,E472)),1,0))+IF(Classifiers!$G$18="",0,IF(ISNUMBER(SEARCH(Classifiers!$G$18,E472)),1,0)))&gt;0,1,0))</f>
        <v/>
      </c>
    </row>
    <row r="473">
      <c r="A473" s="8" t="n"/>
      <c r="B473" s="11" t="n"/>
      <c r="C473" s="6">
        <f>IF(A473="","",TRIM(RIGHT(SUBSTITUTE(A473,"/",REPT(" ",250)),250)))</f>
        <v/>
      </c>
      <c r="D473" s="6">
        <f>IF(C473="","",IF(ISNUMBER(SEARCH(".",C473)),LOWER("."&amp;TRIM(RIGHT(SUBSTITUTE(C473,".",REPT(" ",250)),250))),""))</f>
        <v/>
      </c>
      <c r="E473" s="6">
        <f>IF(C473="","",TRIM(SUBSTITUTE(SUBSTITUTE(SUBSTITUTE(SUBSTITUTE(SUBSTITUTE(SUBSTITUTE(SUBSTITUTE(SUBSTITUTE(SUBSTITUTE(SUBSTITUTE(SUBSTITUTE(SUBSTITUTE(SUBSTITUTE(SUBSTITUTE(SUBSTITUTE(SUBSTITUTE(SUBSTITUTE(SUBSTITUTE(SUBSTITUTE(SUBSTITUTE(LOWER(LEFT(C473,LEN(C473)-LEN(D473))),"_"," "),"-"," "),"."," "),","," "),"("," "),")"," "),"["," "),"]"," "),"&amp;"," "),"+"," "),"@"," "),"#"," "),"!"," "),"'"," "),"/"," "),":"," "),";"," "),"="," "),"~"," "),"%"," ")))</f>
        <v/>
      </c>
      <c r="F473" s="6">
        <f>IF(C473="","",IF(COUNTIF(Classifiers!$A$23:$A$40,D473)&gt;0,1,0))</f>
        <v/>
      </c>
      <c r="G473" s="6">
        <f>IF(C473="","",IF(COUNTIF(Classifiers!$C$23:$C$30,D473)&gt;0,IF((IF(ISNUMBER(SEARCH(Classifiers!$E$23,E473)),1,0)+IF(ISNUMBER(SEARCH(Classifiers!$E$24,E473)),1,0)+IF(ISNUMBER(SEARCH(Classifiers!$E$25,E473)),1,0)+IF(ISNUMBER(SEARCH(Classifiers!$E$26,E473)),1,0)+IF(ISNUMBER(SEARCH(Classifiers!$E$27,E473)),1,0)+IF(ISNUMBER(SEARCH(Classifiers!$E$28,E473)),1,0)+IF(ISNUMBER(SEARCH(Classifiers!$E$29,E473)),1,0)+IF(ISNUMBER(SEARCH(Classifiers!$E$30,E473)),1,0))&gt;0,1,0),0))</f>
        <v/>
      </c>
      <c r="H473" s="6">
        <f>IF(C473="","",IF(OR(LEFT(C473,1)=".",AND(F473=0,G473=0)),0,1))</f>
        <v/>
      </c>
      <c r="I473" s="6">
        <f>IF(H473&lt;&gt;1,"",IF(SUM(J473:W473)=0,"unclassified",INDEX(Classifiers!$A$5:$A$18,MATCH(1,J473:W473,0),1)))</f>
        <v/>
      </c>
      <c r="J473" s="12">
        <f>IF(H473&lt;&gt;1,0,IF((IF(Classifiers!$B$5="",0,IF(ISNUMBER(SEARCH(Classifiers!$B$5,E473)),1,0))+IF(Classifiers!$C$5="",0,IF(ISNUMBER(SEARCH(Classifiers!$C$5,E473)),1,0))+IF(Classifiers!$D$5="",0,IF(ISNUMBER(SEARCH(Classifiers!$D$5,E473)),1,0))+IF(Classifiers!$E$5="",0,IF(ISNUMBER(SEARCH(Classifiers!$E$5,E473)),1,0))+IF(Classifiers!$F$5="",0,IF(ISNUMBER(SEARCH(Classifiers!$F$5,E473)),1,0))+IF(Classifiers!$G$5="",0,IF(ISNUMBER(SEARCH(Classifiers!$G$5,E473)),1,0)))&gt;0,1,0))</f>
        <v/>
      </c>
      <c r="K473" s="12">
        <f>IF(H473&lt;&gt;1,0,IF((IF(Classifiers!$B$6="",0,IF(ISNUMBER(SEARCH(Classifiers!$B$6,E473)),1,0))+IF(Classifiers!$C$6="",0,IF(ISNUMBER(SEARCH(Classifiers!$C$6,E473)),1,0))+IF(Classifiers!$D$6="",0,IF(ISNUMBER(SEARCH(Classifiers!$D$6,E473)),1,0))+IF(Classifiers!$E$6="",0,IF(ISNUMBER(SEARCH(Classifiers!$E$6,E473)),1,0))+IF(Classifiers!$F$6="",0,IF(ISNUMBER(SEARCH(Classifiers!$F$6,E473)),1,0))+IF(Classifiers!$G$6="",0,IF(ISNUMBER(SEARCH(Classifiers!$G$6,E473)),1,0)))&gt;0,1,0))</f>
        <v/>
      </c>
      <c r="L473" s="12">
        <f>IF(H473&lt;&gt;1,0,IF((IF(Classifiers!$B$7="",0,IF(ISNUMBER(SEARCH(Classifiers!$B$7,E473)),1,0))+IF(Classifiers!$C$7="",0,IF(ISNUMBER(SEARCH(Classifiers!$C$7,E473)),1,0))+IF(Classifiers!$D$7="",0,IF(ISNUMBER(SEARCH(Classifiers!$D$7,E473)),1,0))+IF(Classifiers!$E$7="",0,IF(ISNUMBER(SEARCH(Classifiers!$E$7,E473)),1,0))+IF(Classifiers!$F$7="",0,IF(ISNUMBER(SEARCH(Classifiers!$F$7,E473)),1,0))+IF(Classifiers!$G$7="",0,IF(ISNUMBER(SEARCH(Classifiers!$G$7,E473)),1,0)))&gt;0,1,0))</f>
        <v/>
      </c>
      <c r="M473" s="12">
        <f>IF(H473&lt;&gt;1,0,IF((IF(Classifiers!$B$8="",0,IF(ISNUMBER(SEARCH(Classifiers!$B$8,E473)),1,0))+IF(Classifiers!$C$8="",0,IF(ISNUMBER(SEARCH(Classifiers!$C$8,E473)),1,0))+IF(Classifiers!$D$8="",0,IF(ISNUMBER(SEARCH(Classifiers!$D$8,E473)),1,0))+IF(Classifiers!$E$8="",0,IF(ISNUMBER(SEARCH(Classifiers!$E$8,E473)),1,0))+IF(Classifiers!$F$8="",0,IF(ISNUMBER(SEARCH(Classifiers!$F$8,E473)),1,0))+IF(Classifiers!$G$8="",0,IF(ISNUMBER(SEARCH(Classifiers!$G$8,E473)),1,0)))&gt;0,1,0))</f>
        <v/>
      </c>
      <c r="N473" s="12">
        <f>IF(H473&lt;&gt;1,0,IF((IF(Classifiers!$B$9="",0,IF(ISNUMBER(SEARCH(Classifiers!$B$9,E473)),1,0))+IF(Classifiers!$C$9="",0,IF(ISNUMBER(SEARCH(Classifiers!$C$9,E473)),1,0))+IF(Classifiers!$D$9="",0,IF(ISNUMBER(SEARCH(Classifiers!$D$9,E473)),1,0))+IF(Classifiers!$E$9="",0,IF(ISNUMBER(SEARCH(Classifiers!$E$9,E473)),1,0))+IF(Classifiers!$F$9="",0,IF(ISNUMBER(SEARCH(Classifiers!$F$9,E473)),1,0))+IF(Classifiers!$G$9="",0,IF(ISNUMBER(SEARCH(Classifiers!$G$9,E473)),1,0)))&gt;0,1,0))</f>
        <v/>
      </c>
      <c r="O473" s="12">
        <f>IF(H473&lt;&gt;1,0,IF((IF(Classifiers!$B$10="",0,IF(ISNUMBER(SEARCH(Classifiers!$B$10,E473)),1,0))+IF(Classifiers!$C$10="",0,IF(ISNUMBER(SEARCH(Classifiers!$C$10,E473)),1,0))+IF(Classifiers!$D$10="",0,IF(ISNUMBER(SEARCH(Classifiers!$D$10,E473)),1,0))+IF(Classifiers!$E$10="",0,IF(ISNUMBER(SEARCH(Classifiers!$E$10,E473)),1,0))+IF(Classifiers!$F$10="",0,IF(ISNUMBER(SEARCH(Classifiers!$F$10,E473)),1,0))+IF(Classifiers!$G$10="",0,IF(ISNUMBER(SEARCH(Classifiers!$G$10,E473)),1,0)))&gt;0,1,0))</f>
        <v/>
      </c>
      <c r="P473" s="12">
        <f>IF(H473&lt;&gt;1,0,IF((IF(Classifiers!$B$11="",0,IF(ISNUMBER(SEARCH(Classifiers!$B$11,E473)),1,0))+IF(Classifiers!$C$11="",0,IF(ISNUMBER(SEARCH(Classifiers!$C$11,E473)),1,0))+IF(Classifiers!$D$11="",0,IF(ISNUMBER(SEARCH(Classifiers!$D$11,E473)),1,0))+IF(Classifiers!$E$11="",0,IF(ISNUMBER(SEARCH(Classifiers!$E$11,E473)),1,0))+IF(Classifiers!$F$11="",0,IF(ISNUMBER(SEARCH(Classifiers!$F$11,E473)),1,0))+IF(Classifiers!$G$11="",0,IF(ISNUMBER(SEARCH(Classifiers!$G$11,E473)),1,0)))&gt;0,1,0))</f>
        <v/>
      </c>
      <c r="Q473" s="12">
        <f>IF(H473&lt;&gt;1,0,IF((IF(Classifiers!$B$12="",0,IF(ISNUMBER(SEARCH(Classifiers!$B$12,E473)),1,0))+IF(Classifiers!$C$12="",0,IF(ISNUMBER(SEARCH(Classifiers!$C$12,E473)),1,0))+IF(Classifiers!$D$12="",0,IF(ISNUMBER(SEARCH(Classifiers!$D$12,E473)),1,0))+IF(Classifiers!$E$12="",0,IF(ISNUMBER(SEARCH(Classifiers!$E$12,E473)),1,0))+IF(Classifiers!$F$12="",0,IF(ISNUMBER(SEARCH(Classifiers!$F$12,E473)),1,0))+IF(Classifiers!$G$12="",0,IF(ISNUMBER(SEARCH(Classifiers!$G$12,E473)),1,0)))&gt;0,1,0))</f>
        <v/>
      </c>
      <c r="R473" s="12">
        <f>IF(H473&lt;&gt;1,0,IF((IF(Classifiers!$B$13="",0,IF(ISNUMBER(SEARCH(Classifiers!$B$13,E473)),1,0))+IF(Classifiers!$C$13="",0,IF(ISNUMBER(SEARCH(Classifiers!$C$13,E473)),1,0))+IF(Classifiers!$D$13="",0,IF(ISNUMBER(SEARCH(Classifiers!$D$13,E473)),1,0))+IF(Classifiers!$E$13="",0,IF(ISNUMBER(SEARCH(Classifiers!$E$13,E473)),1,0))+IF(Classifiers!$F$13="",0,IF(ISNUMBER(SEARCH(Classifiers!$F$13,E473)),1,0))+IF(Classifiers!$G$13="",0,IF(ISNUMBER(SEARCH(Classifiers!$G$13,E473)),1,0)))&gt;0,1,0))</f>
        <v/>
      </c>
      <c r="S473" s="12">
        <f>IF(H473&lt;&gt;1,0,IF((IF(Classifiers!$B$14="",0,IF(ISNUMBER(SEARCH(Classifiers!$B$14,E473)),1,0))+IF(Classifiers!$C$14="",0,IF(ISNUMBER(SEARCH(Classifiers!$C$14,E473)),1,0))+IF(Classifiers!$D$14="",0,IF(ISNUMBER(SEARCH(Classifiers!$D$14,E473)),1,0))+IF(Classifiers!$E$14="",0,IF(ISNUMBER(SEARCH(Classifiers!$E$14,E473)),1,0))+IF(Classifiers!$F$14="",0,IF(ISNUMBER(SEARCH(Classifiers!$F$14,E473)),1,0))+IF(Classifiers!$G$14="",0,IF(ISNUMBER(SEARCH(Classifiers!$G$14,E473)),1,0)))&gt;0,1,0))</f>
        <v/>
      </c>
      <c r="T473" s="12">
        <f>IF(H473&lt;&gt;1,0,IF((IF(Classifiers!$B$15="",0,IF(ISNUMBER(SEARCH(Classifiers!$B$15,E473)),1,0))+IF(Classifiers!$C$15="",0,IF(ISNUMBER(SEARCH(Classifiers!$C$15,E473)),1,0))+IF(Classifiers!$D$15="",0,IF(ISNUMBER(SEARCH(Classifiers!$D$15,E473)),1,0))+IF(Classifiers!$E$15="",0,IF(ISNUMBER(SEARCH(Classifiers!$E$15,E473)),1,0))+IF(Classifiers!$F$15="",0,IF(ISNUMBER(SEARCH(Classifiers!$F$15,E473)),1,0))+IF(Classifiers!$G$15="",0,IF(ISNUMBER(SEARCH(Classifiers!$G$15,E473)),1,0)))&gt;0,1,0))</f>
        <v/>
      </c>
      <c r="U473" s="12">
        <f>IF(H473&lt;&gt;1,0,IF((IF(Classifiers!$B$16="",0,IF(ISNUMBER(SEARCH(Classifiers!$B$16,E473)),1,0))+IF(Classifiers!$C$16="",0,IF(ISNUMBER(SEARCH(Classifiers!$C$16,E473)),1,0))+IF(Classifiers!$D$16="",0,IF(ISNUMBER(SEARCH(Classifiers!$D$16,E473)),1,0))+IF(Classifiers!$E$16="",0,IF(ISNUMBER(SEARCH(Classifiers!$E$16,E473)),1,0))+IF(Classifiers!$F$16="",0,IF(ISNUMBER(SEARCH(Classifiers!$F$16,E473)),1,0))+IF(Classifiers!$G$16="",0,IF(ISNUMBER(SEARCH(Classifiers!$G$16,E473)),1,0)))&gt;0,1,0))</f>
        <v/>
      </c>
      <c r="V473" s="12">
        <f>IF(H473&lt;&gt;1,0,IF((IF(Classifiers!$B$17="",0,IF(ISNUMBER(SEARCH(Classifiers!$B$17,E473)),1,0))+IF(Classifiers!$C$17="",0,IF(ISNUMBER(SEARCH(Classifiers!$C$17,E473)),1,0))+IF(Classifiers!$D$17="",0,IF(ISNUMBER(SEARCH(Classifiers!$D$17,E473)),1,0))+IF(Classifiers!$E$17="",0,IF(ISNUMBER(SEARCH(Classifiers!$E$17,E473)),1,0))+IF(Classifiers!$F$17="",0,IF(ISNUMBER(SEARCH(Classifiers!$F$17,E473)),1,0))+IF(Classifiers!$G$17="",0,IF(ISNUMBER(SEARCH(Classifiers!$G$17,E473)),1,0)))&gt;0,1,0))</f>
        <v/>
      </c>
      <c r="W473" s="12">
        <f>IF(H473&lt;&gt;1,0,IF((IF(Classifiers!$B$18="",0,IF(ISNUMBER(SEARCH(Classifiers!$B$18,E473)),1,0))+IF(Classifiers!$C$18="",0,IF(ISNUMBER(SEARCH(Classifiers!$C$18,E473)),1,0))+IF(Classifiers!$D$18="",0,IF(ISNUMBER(SEARCH(Classifiers!$D$18,E473)),1,0))+IF(Classifiers!$E$18="",0,IF(ISNUMBER(SEARCH(Classifiers!$E$18,E473)),1,0))+IF(Classifiers!$F$18="",0,IF(ISNUMBER(SEARCH(Classifiers!$F$18,E473)),1,0))+IF(Classifiers!$G$18="",0,IF(ISNUMBER(SEARCH(Classifiers!$G$18,E473)),1,0)))&gt;0,1,0))</f>
        <v/>
      </c>
    </row>
    <row r="474">
      <c r="A474" s="8" t="n"/>
      <c r="B474" s="11" t="n"/>
      <c r="C474" s="6">
        <f>IF(A474="","",TRIM(RIGHT(SUBSTITUTE(A474,"/",REPT(" ",250)),250)))</f>
        <v/>
      </c>
      <c r="D474" s="6">
        <f>IF(C474="","",IF(ISNUMBER(SEARCH(".",C474)),LOWER("."&amp;TRIM(RIGHT(SUBSTITUTE(C474,".",REPT(" ",250)),250))),""))</f>
        <v/>
      </c>
      <c r="E474" s="6">
        <f>IF(C474="","",TRIM(SUBSTITUTE(SUBSTITUTE(SUBSTITUTE(SUBSTITUTE(SUBSTITUTE(SUBSTITUTE(SUBSTITUTE(SUBSTITUTE(SUBSTITUTE(SUBSTITUTE(SUBSTITUTE(SUBSTITUTE(SUBSTITUTE(SUBSTITUTE(SUBSTITUTE(SUBSTITUTE(SUBSTITUTE(SUBSTITUTE(SUBSTITUTE(SUBSTITUTE(LOWER(LEFT(C474,LEN(C474)-LEN(D474))),"_"," "),"-"," "),"."," "),","," "),"("," "),")"," "),"["," "),"]"," "),"&amp;"," "),"+"," "),"@"," "),"#"," "),"!"," "),"'"," "),"/"," "),":"," "),";"," "),"="," "),"~"," "),"%"," ")))</f>
        <v/>
      </c>
      <c r="F474" s="6">
        <f>IF(C474="","",IF(COUNTIF(Classifiers!$A$23:$A$40,D474)&gt;0,1,0))</f>
        <v/>
      </c>
      <c r="G474" s="6">
        <f>IF(C474="","",IF(COUNTIF(Classifiers!$C$23:$C$30,D474)&gt;0,IF((IF(ISNUMBER(SEARCH(Classifiers!$E$23,E474)),1,0)+IF(ISNUMBER(SEARCH(Classifiers!$E$24,E474)),1,0)+IF(ISNUMBER(SEARCH(Classifiers!$E$25,E474)),1,0)+IF(ISNUMBER(SEARCH(Classifiers!$E$26,E474)),1,0)+IF(ISNUMBER(SEARCH(Classifiers!$E$27,E474)),1,0)+IF(ISNUMBER(SEARCH(Classifiers!$E$28,E474)),1,0)+IF(ISNUMBER(SEARCH(Classifiers!$E$29,E474)),1,0)+IF(ISNUMBER(SEARCH(Classifiers!$E$30,E474)),1,0))&gt;0,1,0),0))</f>
        <v/>
      </c>
      <c r="H474" s="6">
        <f>IF(C474="","",IF(OR(LEFT(C474,1)=".",AND(F474=0,G474=0)),0,1))</f>
        <v/>
      </c>
      <c r="I474" s="6">
        <f>IF(H474&lt;&gt;1,"",IF(SUM(J474:W474)=0,"unclassified",INDEX(Classifiers!$A$5:$A$18,MATCH(1,J474:W474,0),1)))</f>
        <v/>
      </c>
      <c r="J474" s="12">
        <f>IF(H474&lt;&gt;1,0,IF((IF(Classifiers!$B$5="",0,IF(ISNUMBER(SEARCH(Classifiers!$B$5,E474)),1,0))+IF(Classifiers!$C$5="",0,IF(ISNUMBER(SEARCH(Classifiers!$C$5,E474)),1,0))+IF(Classifiers!$D$5="",0,IF(ISNUMBER(SEARCH(Classifiers!$D$5,E474)),1,0))+IF(Classifiers!$E$5="",0,IF(ISNUMBER(SEARCH(Classifiers!$E$5,E474)),1,0))+IF(Classifiers!$F$5="",0,IF(ISNUMBER(SEARCH(Classifiers!$F$5,E474)),1,0))+IF(Classifiers!$G$5="",0,IF(ISNUMBER(SEARCH(Classifiers!$G$5,E474)),1,0)))&gt;0,1,0))</f>
        <v/>
      </c>
      <c r="K474" s="12">
        <f>IF(H474&lt;&gt;1,0,IF((IF(Classifiers!$B$6="",0,IF(ISNUMBER(SEARCH(Classifiers!$B$6,E474)),1,0))+IF(Classifiers!$C$6="",0,IF(ISNUMBER(SEARCH(Classifiers!$C$6,E474)),1,0))+IF(Classifiers!$D$6="",0,IF(ISNUMBER(SEARCH(Classifiers!$D$6,E474)),1,0))+IF(Classifiers!$E$6="",0,IF(ISNUMBER(SEARCH(Classifiers!$E$6,E474)),1,0))+IF(Classifiers!$F$6="",0,IF(ISNUMBER(SEARCH(Classifiers!$F$6,E474)),1,0))+IF(Classifiers!$G$6="",0,IF(ISNUMBER(SEARCH(Classifiers!$G$6,E474)),1,0)))&gt;0,1,0))</f>
        <v/>
      </c>
      <c r="L474" s="12">
        <f>IF(H474&lt;&gt;1,0,IF((IF(Classifiers!$B$7="",0,IF(ISNUMBER(SEARCH(Classifiers!$B$7,E474)),1,0))+IF(Classifiers!$C$7="",0,IF(ISNUMBER(SEARCH(Classifiers!$C$7,E474)),1,0))+IF(Classifiers!$D$7="",0,IF(ISNUMBER(SEARCH(Classifiers!$D$7,E474)),1,0))+IF(Classifiers!$E$7="",0,IF(ISNUMBER(SEARCH(Classifiers!$E$7,E474)),1,0))+IF(Classifiers!$F$7="",0,IF(ISNUMBER(SEARCH(Classifiers!$F$7,E474)),1,0))+IF(Classifiers!$G$7="",0,IF(ISNUMBER(SEARCH(Classifiers!$G$7,E474)),1,0)))&gt;0,1,0))</f>
        <v/>
      </c>
      <c r="M474" s="12">
        <f>IF(H474&lt;&gt;1,0,IF((IF(Classifiers!$B$8="",0,IF(ISNUMBER(SEARCH(Classifiers!$B$8,E474)),1,0))+IF(Classifiers!$C$8="",0,IF(ISNUMBER(SEARCH(Classifiers!$C$8,E474)),1,0))+IF(Classifiers!$D$8="",0,IF(ISNUMBER(SEARCH(Classifiers!$D$8,E474)),1,0))+IF(Classifiers!$E$8="",0,IF(ISNUMBER(SEARCH(Classifiers!$E$8,E474)),1,0))+IF(Classifiers!$F$8="",0,IF(ISNUMBER(SEARCH(Classifiers!$F$8,E474)),1,0))+IF(Classifiers!$G$8="",0,IF(ISNUMBER(SEARCH(Classifiers!$G$8,E474)),1,0)))&gt;0,1,0))</f>
        <v/>
      </c>
      <c r="N474" s="12">
        <f>IF(H474&lt;&gt;1,0,IF((IF(Classifiers!$B$9="",0,IF(ISNUMBER(SEARCH(Classifiers!$B$9,E474)),1,0))+IF(Classifiers!$C$9="",0,IF(ISNUMBER(SEARCH(Classifiers!$C$9,E474)),1,0))+IF(Classifiers!$D$9="",0,IF(ISNUMBER(SEARCH(Classifiers!$D$9,E474)),1,0))+IF(Classifiers!$E$9="",0,IF(ISNUMBER(SEARCH(Classifiers!$E$9,E474)),1,0))+IF(Classifiers!$F$9="",0,IF(ISNUMBER(SEARCH(Classifiers!$F$9,E474)),1,0))+IF(Classifiers!$G$9="",0,IF(ISNUMBER(SEARCH(Classifiers!$G$9,E474)),1,0)))&gt;0,1,0))</f>
        <v/>
      </c>
      <c r="O474" s="12">
        <f>IF(H474&lt;&gt;1,0,IF((IF(Classifiers!$B$10="",0,IF(ISNUMBER(SEARCH(Classifiers!$B$10,E474)),1,0))+IF(Classifiers!$C$10="",0,IF(ISNUMBER(SEARCH(Classifiers!$C$10,E474)),1,0))+IF(Classifiers!$D$10="",0,IF(ISNUMBER(SEARCH(Classifiers!$D$10,E474)),1,0))+IF(Classifiers!$E$10="",0,IF(ISNUMBER(SEARCH(Classifiers!$E$10,E474)),1,0))+IF(Classifiers!$F$10="",0,IF(ISNUMBER(SEARCH(Classifiers!$F$10,E474)),1,0))+IF(Classifiers!$G$10="",0,IF(ISNUMBER(SEARCH(Classifiers!$G$10,E474)),1,0)))&gt;0,1,0))</f>
        <v/>
      </c>
      <c r="P474" s="12">
        <f>IF(H474&lt;&gt;1,0,IF((IF(Classifiers!$B$11="",0,IF(ISNUMBER(SEARCH(Classifiers!$B$11,E474)),1,0))+IF(Classifiers!$C$11="",0,IF(ISNUMBER(SEARCH(Classifiers!$C$11,E474)),1,0))+IF(Classifiers!$D$11="",0,IF(ISNUMBER(SEARCH(Classifiers!$D$11,E474)),1,0))+IF(Classifiers!$E$11="",0,IF(ISNUMBER(SEARCH(Classifiers!$E$11,E474)),1,0))+IF(Classifiers!$F$11="",0,IF(ISNUMBER(SEARCH(Classifiers!$F$11,E474)),1,0))+IF(Classifiers!$G$11="",0,IF(ISNUMBER(SEARCH(Classifiers!$G$11,E474)),1,0)))&gt;0,1,0))</f>
        <v/>
      </c>
      <c r="Q474" s="12">
        <f>IF(H474&lt;&gt;1,0,IF((IF(Classifiers!$B$12="",0,IF(ISNUMBER(SEARCH(Classifiers!$B$12,E474)),1,0))+IF(Classifiers!$C$12="",0,IF(ISNUMBER(SEARCH(Classifiers!$C$12,E474)),1,0))+IF(Classifiers!$D$12="",0,IF(ISNUMBER(SEARCH(Classifiers!$D$12,E474)),1,0))+IF(Classifiers!$E$12="",0,IF(ISNUMBER(SEARCH(Classifiers!$E$12,E474)),1,0))+IF(Classifiers!$F$12="",0,IF(ISNUMBER(SEARCH(Classifiers!$F$12,E474)),1,0))+IF(Classifiers!$G$12="",0,IF(ISNUMBER(SEARCH(Classifiers!$G$12,E474)),1,0)))&gt;0,1,0))</f>
        <v/>
      </c>
      <c r="R474" s="12">
        <f>IF(H474&lt;&gt;1,0,IF((IF(Classifiers!$B$13="",0,IF(ISNUMBER(SEARCH(Classifiers!$B$13,E474)),1,0))+IF(Classifiers!$C$13="",0,IF(ISNUMBER(SEARCH(Classifiers!$C$13,E474)),1,0))+IF(Classifiers!$D$13="",0,IF(ISNUMBER(SEARCH(Classifiers!$D$13,E474)),1,0))+IF(Classifiers!$E$13="",0,IF(ISNUMBER(SEARCH(Classifiers!$E$13,E474)),1,0))+IF(Classifiers!$F$13="",0,IF(ISNUMBER(SEARCH(Classifiers!$F$13,E474)),1,0))+IF(Classifiers!$G$13="",0,IF(ISNUMBER(SEARCH(Classifiers!$G$13,E474)),1,0)))&gt;0,1,0))</f>
        <v/>
      </c>
      <c r="S474" s="12">
        <f>IF(H474&lt;&gt;1,0,IF((IF(Classifiers!$B$14="",0,IF(ISNUMBER(SEARCH(Classifiers!$B$14,E474)),1,0))+IF(Classifiers!$C$14="",0,IF(ISNUMBER(SEARCH(Classifiers!$C$14,E474)),1,0))+IF(Classifiers!$D$14="",0,IF(ISNUMBER(SEARCH(Classifiers!$D$14,E474)),1,0))+IF(Classifiers!$E$14="",0,IF(ISNUMBER(SEARCH(Classifiers!$E$14,E474)),1,0))+IF(Classifiers!$F$14="",0,IF(ISNUMBER(SEARCH(Classifiers!$F$14,E474)),1,0))+IF(Classifiers!$G$14="",0,IF(ISNUMBER(SEARCH(Classifiers!$G$14,E474)),1,0)))&gt;0,1,0))</f>
        <v/>
      </c>
      <c r="T474" s="12">
        <f>IF(H474&lt;&gt;1,0,IF((IF(Classifiers!$B$15="",0,IF(ISNUMBER(SEARCH(Classifiers!$B$15,E474)),1,0))+IF(Classifiers!$C$15="",0,IF(ISNUMBER(SEARCH(Classifiers!$C$15,E474)),1,0))+IF(Classifiers!$D$15="",0,IF(ISNUMBER(SEARCH(Classifiers!$D$15,E474)),1,0))+IF(Classifiers!$E$15="",0,IF(ISNUMBER(SEARCH(Classifiers!$E$15,E474)),1,0))+IF(Classifiers!$F$15="",0,IF(ISNUMBER(SEARCH(Classifiers!$F$15,E474)),1,0))+IF(Classifiers!$G$15="",0,IF(ISNUMBER(SEARCH(Classifiers!$G$15,E474)),1,0)))&gt;0,1,0))</f>
        <v/>
      </c>
      <c r="U474" s="12">
        <f>IF(H474&lt;&gt;1,0,IF((IF(Classifiers!$B$16="",0,IF(ISNUMBER(SEARCH(Classifiers!$B$16,E474)),1,0))+IF(Classifiers!$C$16="",0,IF(ISNUMBER(SEARCH(Classifiers!$C$16,E474)),1,0))+IF(Classifiers!$D$16="",0,IF(ISNUMBER(SEARCH(Classifiers!$D$16,E474)),1,0))+IF(Classifiers!$E$16="",0,IF(ISNUMBER(SEARCH(Classifiers!$E$16,E474)),1,0))+IF(Classifiers!$F$16="",0,IF(ISNUMBER(SEARCH(Classifiers!$F$16,E474)),1,0))+IF(Classifiers!$G$16="",0,IF(ISNUMBER(SEARCH(Classifiers!$G$16,E474)),1,0)))&gt;0,1,0))</f>
        <v/>
      </c>
      <c r="V474" s="12">
        <f>IF(H474&lt;&gt;1,0,IF((IF(Classifiers!$B$17="",0,IF(ISNUMBER(SEARCH(Classifiers!$B$17,E474)),1,0))+IF(Classifiers!$C$17="",0,IF(ISNUMBER(SEARCH(Classifiers!$C$17,E474)),1,0))+IF(Classifiers!$D$17="",0,IF(ISNUMBER(SEARCH(Classifiers!$D$17,E474)),1,0))+IF(Classifiers!$E$17="",0,IF(ISNUMBER(SEARCH(Classifiers!$E$17,E474)),1,0))+IF(Classifiers!$F$17="",0,IF(ISNUMBER(SEARCH(Classifiers!$F$17,E474)),1,0))+IF(Classifiers!$G$17="",0,IF(ISNUMBER(SEARCH(Classifiers!$G$17,E474)),1,0)))&gt;0,1,0))</f>
        <v/>
      </c>
      <c r="W474" s="12">
        <f>IF(H474&lt;&gt;1,0,IF((IF(Classifiers!$B$18="",0,IF(ISNUMBER(SEARCH(Classifiers!$B$18,E474)),1,0))+IF(Classifiers!$C$18="",0,IF(ISNUMBER(SEARCH(Classifiers!$C$18,E474)),1,0))+IF(Classifiers!$D$18="",0,IF(ISNUMBER(SEARCH(Classifiers!$D$18,E474)),1,0))+IF(Classifiers!$E$18="",0,IF(ISNUMBER(SEARCH(Classifiers!$E$18,E474)),1,0))+IF(Classifiers!$F$18="",0,IF(ISNUMBER(SEARCH(Classifiers!$F$18,E474)),1,0))+IF(Classifiers!$G$18="",0,IF(ISNUMBER(SEARCH(Classifiers!$G$18,E474)),1,0)))&gt;0,1,0))</f>
        <v/>
      </c>
    </row>
    <row r="475">
      <c r="A475" s="8" t="n"/>
      <c r="B475" s="11" t="n"/>
      <c r="C475" s="6">
        <f>IF(A475="","",TRIM(RIGHT(SUBSTITUTE(A475,"/",REPT(" ",250)),250)))</f>
        <v/>
      </c>
      <c r="D475" s="6">
        <f>IF(C475="","",IF(ISNUMBER(SEARCH(".",C475)),LOWER("."&amp;TRIM(RIGHT(SUBSTITUTE(C475,".",REPT(" ",250)),250))),""))</f>
        <v/>
      </c>
      <c r="E475" s="6">
        <f>IF(C475="","",TRIM(SUBSTITUTE(SUBSTITUTE(SUBSTITUTE(SUBSTITUTE(SUBSTITUTE(SUBSTITUTE(SUBSTITUTE(SUBSTITUTE(SUBSTITUTE(SUBSTITUTE(SUBSTITUTE(SUBSTITUTE(SUBSTITUTE(SUBSTITUTE(SUBSTITUTE(SUBSTITUTE(SUBSTITUTE(SUBSTITUTE(SUBSTITUTE(SUBSTITUTE(LOWER(LEFT(C475,LEN(C475)-LEN(D475))),"_"," "),"-"," "),"."," "),","," "),"("," "),")"," "),"["," "),"]"," "),"&amp;"," "),"+"," "),"@"," "),"#"," "),"!"," "),"'"," "),"/"," "),":"," "),";"," "),"="," "),"~"," "),"%"," ")))</f>
        <v/>
      </c>
      <c r="F475" s="6">
        <f>IF(C475="","",IF(COUNTIF(Classifiers!$A$23:$A$40,D475)&gt;0,1,0))</f>
        <v/>
      </c>
      <c r="G475" s="6">
        <f>IF(C475="","",IF(COUNTIF(Classifiers!$C$23:$C$30,D475)&gt;0,IF((IF(ISNUMBER(SEARCH(Classifiers!$E$23,E475)),1,0)+IF(ISNUMBER(SEARCH(Classifiers!$E$24,E475)),1,0)+IF(ISNUMBER(SEARCH(Classifiers!$E$25,E475)),1,0)+IF(ISNUMBER(SEARCH(Classifiers!$E$26,E475)),1,0)+IF(ISNUMBER(SEARCH(Classifiers!$E$27,E475)),1,0)+IF(ISNUMBER(SEARCH(Classifiers!$E$28,E475)),1,0)+IF(ISNUMBER(SEARCH(Classifiers!$E$29,E475)),1,0)+IF(ISNUMBER(SEARCH(Classifiers!$E$30,E475)),1,0))&gt;0,1,0),0))</f>
        <v/>
      </c>
      <c r="H475" s="6">
        <f>IF(C475="","",IF(OR(LEFT(C475,1)=".",AND(F475=0,G475=0)),0,1))</f>
        <v/>
      </c>
      <c r="I475" s="6">
        <f>IF(H475&lt;&gt;1,"",IF(SUM(J475:W475)=0,"unclassified",INDEX(Classifiers!$A$5:$A$18,MATCH(1,J475:W475,0),1)))</f>
        <v/>
      </c>
      <c r="J475" s="12">
        <f>IF(H475&lt;&gt;1,0,IF((IF(Classifiers!$B$5="",0,IF(ISNUMBER(SEARCH(Classifiers!$B$5,E475)),1,0))+IF(Classifiers!$C$5="",0,IF(ISNUMBER(SEARCH(Classifiers!$C$5,E475)),1,0))+IF(Classifiers!$D$5="",0,IF(ISNUMBER(SEARCH(Classifiers!$D$5,E475)),1,0))+IF(Classifiers!$E$5="",0,IF(ISNUMBER(SEARCH(Classifiers!$E$5,E475)),1,0))+IF(Classifiers!$F$5="",0,IF(ISNUMBER(SEARCH(Classifiers!$F$5,E475)),1,0))+IF(Classifiers!$G$5="",0,IF(ISNUMBER(SEARCH(Classifiers!$G$5,E475)),1,0)))&gt;0,1,0))</f>
        <v/>
      </c>
      <c r="K475" s="12">
        <f>IF(H475&lt;&gt;1,0,IF((IF(Classifiers!$B$6="",0,IF(ISNUMBER(SEARCH(Classifiers!$B$6,E475)),1,0))+IF(Classifiers!$C$6="",0,IF(ISNUMBER(SEARCH(Classifiers!$C$6,E475)),1,0))+IF(Classifiers!$D$6="",0,IF(ISNUMBER(SEARCH(Classifiers!$D$6,E475)),1,0))+IF(Classifiers!$E$6="",0,IF(ISNUMBER(SEARCH(Classifiers!$E$6,E475)),1,0))+IF(Classifiers!$F$6="",0,IF(ISNUMBER(SEARCH(Classifiers!$F$6,E475)),1,0))+IF(Classifiers!$G$6="",0,IF(ISNUMBER(SEARCH(Classifiers!$G$6,E475)),1,0)))&gt;0,1,0))</f>
        <v/>
      </c>
      <c r="L475" s="12">
        <f>IF(H475&lt;&gt;1,0,IF((IF(Classifiers!$B$7="",0,IF(ISNUMBER(SEARCH(Classifiers!$B$7,E475)),1,0))+IF(Classifiers!$C$7="",0,IF(ISNUMBER(SEARCH(Classifiers!$C$7,E475)),1,0))+IF(Classifiers!$D$7="",0,IF(ISNUMBER(SEARCH(Classifiers!$D$7,E475)),1,0))+IF(Classifiers!$E$7="",0,IF(ISNUMBER(SEARCH(Classifiers!$E$7,E475)),1,0))+IF(Classifiers!$F$7="",0,IF(ISNUMBER(SEARCH(Classifiers!$F$7,E475)),1,0))+IF(Classifiers!$G$7="",0,IF(ISNUMBER(SEARCH(Classifiers!$G$7,E475)),1,0)))&gt;0,1,0))</f>
        <v/>
      </c>
      <c r="M475" s="12">
        <f>IF(H475&lt;&gt;1,0,IF((IF(Classifiers!$B$8="",0,IF(ISNUMBER(SEARCH(Classifiers!$B$8,E475)),1,0))+IF(Classifiers!$C$8="",0,IF(ISNUMBER(SEARCH(Classifiers!$C$8,E475)),1,0))+IF(Classifiers!$D$8="",0,IF(ISNUMBER(SEARCH(Classifiers!$D$8,E475)),1,0))+IF(Classifiers!$E$8="",0,IF(ISNUMBER(SEARCH(Classifiers!$E$8,E475)),1,0))+IF(Classifiers!$F$8="",0,IF(ISNUMBER(SEARCH(Classifiers!$F$8,E475)),1,0))+IF(Classifiers!$G$8="",0,IF(ISNUMBER(SEARCH(Classifiers!$G$8,E475)),1,0)))&gt;0,1,0))</f>
        <v/>
      </c>
      <c r="N475" s="12">
        <f>IF(H475&lt;&gt;1,0,IF((IF(Classifiers!$B$9="",0,IF(ISNUMBER(SEARCH(Classifiers!$B$9,E475)),1,0))+IF(Classifiers!$C$9="",0,IF(ISNUMBER(SEARCH(Classifiers!$C$9,E475)),1,0))+IF(Classifiers!$D$9="",0,IF(ISNUMBER(SEARCH(Classifiers!$D$9,E475)),1,0))+IF(Classifiers!$E$9="",0,IF(ISNUMBER(SEARCH(Classifiers!$E$9,E475)),1,0))+IF(Classifiers!$F$9="",0,IF(ISNUMBER(SEARCH(Classifiers!$F$9,E475)),1,0))+IF(Classifiers!$G$9="",0,IF(ISNUMBER(SEARCH(Classifiers!$G$9,E475)),1,0)))&gt;0,1,0))</f>
        <v/>
      </c>
      <c r="O475" s="12">
        <f>IF(H475&lt;&gt;1,0,IF((IF(Classifiers!$B$10="",0,IF(ISNUMBER(SEARCH(Classifiers!$B$10,E475)),1,0))+IF(Classifiers!$C$10="",0,IF(ISNUMBER(SEARCH(Classifiers!$C$10,E475)),1,0))+IF(Classifiers!$D$10="",0,IF(ISNUMBER(SEARCH(Classifiers!$D$10,E475)),1,0))+IF(Classifiers!$E$10="",0,IF(ISNUMBER(SEARCH(Classifiers!$E$10,E475)),1,0))+IF(Classifiers!$F$10="",0,IF(ISNUMBER(SEARCH(Classifiers!$F$10,E475)),1,0))+IF(Classifiers!$G$10="",0,IF(ISNUMBER(SEARCH(Classifiers!$G$10,E475)),1,0)))&gt;0,1,0))</f>
        <v/>
      </c>
      <c r="P475" s="12">
        <f>IF(H475&lt;&gt;1,0,IF((IF(Classifiers!$B$11="",0,IF(ISNUMBER(SEARCH(Classifiers!$B$11,E475)),1,0))+IF(Classifiers!$C$11="",0,IF(ISNUMBER(SEARCH(Classifiers!$C$11,E475)),1,0))+IF(Classifiers!$D$11="",0,IF(ISNUMBER(SEARCH(Classifiers!$D$11,E475)),1,0))+IF(Classifiers!$E$11="",0,IF(ISNUMBER(SEARCH(Classifiers!$E$11,E475)),1,0))+IF(Classifiers!$F$11="",0,IF(ISNUMBER(SEARCH(Classifiers!$F$11,E475)),1,0))+IF(Classifiers!$G$11="",0,IF(ISNUMBER(SEARCH(Classifiers!$G$11,E475)),1,0)))&gt;0,1,0))</f>
        <v/>
      </c>
      <c r="Q475" s="12">
        <f>IF(H475&lt;&gt;1,0,IF((IF(Classifiers!$B$12="",0,IF(ISNUMBER(SEARCH(Classifiers!$B$12,E475)),1,0))+IF(Classifiers!$C$12="",0,IF(ISNUMBER(SEARCH(Classifiers!$C$12,E475)),1,0))+IF(Classifiers!$D$12="",0,IF(ISNUMBER(SEARCH(Classifiers!$D$12,E475)),1,0))+IF(Classifiers!$E$12="",0,IF(ISNUMBER(SEARCH(Classifiers!$E$12,E475)),1,0))+IF(Classifiers!$F$12="",0,IF(ISNUMBER(SEARCH(Classifiers!$F$12,E475)),1,0))+IF(Classifiers!$G$12="",0,IF(ISNUMBER(SEARCH(Classifiers!$G$12,E475)),1,0)))&gt;0,1,0))</f>
        <v/>
      </c>
      <c r="R475" s="12">
        <f>IF(H475&lt;&gt;1,0,IF((IF(Classifiers!$B$13="",0,IF(ISNUMBER(SEARCH(Classifiers!$B$13,E475)),1,0))+IF(Classifiers!$C$13="",0,IF(ISNUMBER(SEARCH(Classifiers!$C$13,E475)),1,0))+IF(Classifiers!$D$13="",0,IF(ISNUMBER(SEARCH(Classifiers!$D$13,E475)),1,0))+IF(Classifiers!$E$13="",0,IF(ISNUMBER(SEARCH(Classifiers!$E$13,E475)),1,0))+IF(Classifiers!$F$13="",0,IF(ISNUMBER(SEARCH(Classifiers!$F$13,E475)),1,0))+IF(Classifiers!$G$13="",0,IF(ISNUMBER(SEARCH(Classifiers!$G$13,E475)),1,0)))&gt;0,1,0))</f>
        <v/>
      </c>
      <c r="S475" s="12">
        <f>IF(H475&lt;&gt;1,0,IF((IF(Classifiers!$B$14="",0,IF(ISNUMBER(SEARCH(Classifiers!$B$14,E475)),1,0))+IF(Classifiers!$C$14="",0,IF(ISNUMBER(SEARCH(Classifiers!$C$14,E475)),1,0))+IF(Classifiers!$D$14="",0,IF(ISNUMBER(SEARCH(Classifiers!$D$14,E475)),1,0))+IF(Classifiers!$E$14="",0,IF(ISNUMBER(SEARCH(Classifiers!$E$14,E475)),1,0))+IF(Classifiers!$F$14="",0,IF(ISNUMBER(SEARCH(Classifiers!$F$14,E475)),1,0))+IF(Classifiers!$G$14="",0,IF(ISNUMBER(SEARCH(Classifiers!$G$14,E475)),1,0)))&gt;0,1,0))</f>
        <v/>
      </c>
      <c r="T475" s="12">
        <f>IF(H475&lt;&gt;1,0,IF((IF(Classifiers!$B$15="",0,IF(ISNUMBER(SEARCH(Classifiers!$B$15,E475)),1,0))+IF(Classifiers!$C$15="",0,IF(ISNUMBER(SEARCH(Classifiers!$C$15,E475)),1,0))+IF(Classifiers!$D$15="",0,IF(ISNUMBER(SEARCH(Classifiers!$D$15,E475)),1,0))+IF(Classifiers!$E$15="",0,IF(ISNUMBER(SEARCH(Classifiers!$E$15,E475)),1,0))+IF(Classifiers!$F$15="",0,IF(ISNUMBER(SEARCH(Classifiers!$F$15,E475)),1,0))+IF(Classifiers!$G$15="",0,IF(ISNUMBER(SEARCH(Classifiers!$G$15,E475)),1,0)))&gt;0,1,0))</f>
        <v/>
      </c>
      <c r="U475" s="12">
        <f>IF(H475&lt;&gt;1,0,IF((IF(Classifiers!$B$16="",0,IF(ISNUMBER(SEARCH(Classifiers!$B$16,E475)),1,0))+IF(Classifiers!$C$16="",0,IF(ISNUMBER(SEARCH(Classifiers!$C$16,E475)),1,0))+IF(Classifiers!$D$16="",0,IF(ISNUMBER(SEARCH(Classifiers!$D$16,E475)),1,0))+IF(Classifiers!$E$16="",0,IF(ISNUMBER(SEARCH(Classifiers!$E$16,E475)),1,0))+IF(Classifiers!$F$16="",0,IF(ISNUMBER(SEARCH(Classifiers!$F$16,E475)),1,0))+IF(Classifiers!$G$16="",0,IF(ISNUMBER(SEARCH(Classifiers!$G$16,E475)),1,0)))&gt;0,1,0))</f>
        <v/>
      </c>
      <c r="V475" s="12">
        <f>IF(H475&lt;&gt;1,0,IF((IF(Classifiers!$B$17="",0,IF(ISNUMBER(SEARCH(Classifiers!$B$17,E475)),1,0))+IF(Classifiers!$C$17="",0,IF(ISNUMBER(SEARCH(Classifiers!$C$17,E475)),1,0))+IF(Classifiers!$D$17="",0,IF(ISNUMBER(SEARCH(Classifiers!$D$17,E475)),1,0))+IF(Classifiers!$E$17="",0,IF(ISNUMBER(SEARCH(Classifiers!$E$17,E475)),1,0))+IF(Classifiers!$F$17="",0,IF(ISNUMBER(SEARCH(Classifiers!$F$17,E475)),1,0))+IF(Classifiers!$G$17="",0,IF(ISNUMBER(SEARCH(Classifiers!$G$17,E475)),1,0)))&gt;0,1,0))</f>
        <v/>
      </c>
      <c r="W475" s="12">
        <f>IF(H475&lt;&gt;1,0,IF((IF(Classifiers!$B$18="",0,IF(ISNUMBER(SEARCH(Classifiers!$B$18,E475)),1,0))+IF(Classifiers!$C$18="",0,IF(ISNUMBER(SEARCH(Classifiers!$C$18,E475)),1,0))+IF(Classifiers!$D$18="",0,IF(ISNUMBER(SEARCH(Classifiers!$D$18,E475)),1,0))+IF(Classifiers!$E$18="",0,IF(ISNUMBER(SEARCH(Classifiers!$E$18,E475)),1,0))+IF(Classifiers!$F$18="",0,IF(ISNUMBER(SEARCH(Classifiers!$F$18,E475)),1,0))+IF(Classifiers!$G$18="",0,IF(ISNUMBER(SEARCH(Classifiers!$G$18,E475)),1,0)))&gt;0,1,0))</f>
        <v/>
      </c>
    </row>
    <row r="476">
      <c r="A476" s="8" t="n"/>
      <c r="B476" s="11" t="n"/>
      <c r="C476" s="6">
        <f>IF(A476="","",TRIM(RIGHT(SUBSTITUTE(A476,"/",REPT(" ",250)),250)))</f>
        <v/>
      </c>
      <c r="D476" s="6">
        <f>IF(C476="","",IF(ISNUMBER(SEARCH(".",C476)),LOWER("."&amp;TRIM(RIGHT(SUBSTITUTE(C476,".",REPT(" ",250)),250))),""))</f>
        <v/>
      </c>
      <c r="E476" s="6">
        <f>IF(C476="","",TRIM(SUBSTITUTE(SUBSTITUTE(SUBSTITUTE(SUBSTITUTE(SUBSTITUTE(SUBSTITUTE(SUBSTITUTE(SUBSTITUTE(SUBSTITUTE(SUBSTITUTE(SUBSTITUTE(SUBSTITUTE(SUBSTITUTE(SUBSTITUTE(SUBSTITUTE(SUBSTITUTE(SUBSTITUTE(SUBSTITUTE(SUBSTITUTE(SUBSTITUTE(LOWER(LEFT(C476,LEN(C476)-LEN(D476))),"_"," "),"-"," "),"."," "),","," "),"("," "),")"," "),"["," "),"]"," "),"&amp;"," "),"+"," "),"@"," "),"#"," "),"!"," "),"'"," "),"/"," "),":"," "),";"," "),"="," "),"~"," "),"%"," ")))</f>
        <v/>
      </c>
      <c r="F476" s="6">
        <f>IF(C476="","",IF(COUNTIF(Classifiers!$A$23:$A$40,D476)&gt;0,1,0))</f>
        <v/>
      </c>
      <c r="G476" s="6">
        <f>IF(C476="","",IF(COUNTIF(Classifiers!$C$23:$C$30,D476)&gt;0,IF((IF(ISNUMBER(SEARCH(Classifiers!$E$23,E476)),1,0)+IF(ISNUMBER(SEARCH(Classifiers!$E$24,E476)),1,0)+IF(ISNUMBER(SEARCH(Classifiers!$E$25,E476)),1,0)+IF(ISNUMBER(SEARCH(Classifiers!$E$26,E476)),1,0)+IF(ISNUMBER(SEARCH(Classifiers!$E$27,E476)),1,0)+IF(ISNUMBER(SEARCH(Classifiers!$E$28,E476)),1,0)+IF(ISNUMBER(SEARCH(Classifiers!$E$29,E476)),1,0)+IF(ISNUMBER(SEARCH(Classifiers!$E$30,E476)),1,0))&gt;0,1,0),0))</f>
        <v/>
      </c>
      <c r="H476" s="6">
        <f>IF(C476="","",IF(OR(LEFT(C476,1)=".",AND(F476=0,G476=0)),0,1))</f>
        <v/>
      </c>
      <c r="I476" s="6">
        <f>IF(H476&lt;&gt;1,"",IF(SUM(J476:W476)=0,"unclassified",INDEX(Classifiers!$A$5:$A$18,MATCH(1,J476:W476,0),1)))</f>
        <v/>
      </c>
      <c r="J476" s="12">
        <f>IF(H476&lt;&gt;1,0,IF((IF(Classifiers!$B$5="",0,IF(ISNUMBER(SEARCH(Classifiers!$B$5,E476)),1,0))+IF(Classifiers!$C$5="",0,IF(ISNUMBER(SEARCH(Classifiers!$C$5,E476)),1,0))+IF(Classifiers!$D$5="",0,IF(ISNUMBER(SEARCH(Classifiers!$D$5,E476)),1,0))+IF(Classifiers!$E$5="",0,IF(ISNUMBER(SEARCH(Classifiers!$E$5,E476)),1,0))+IF(Classifiers!$F$5="",0,IF(ISNUMBER(SEARCH(Classifiers!$F$5,E476)),1,0))+IF(Classifiers!$G$5="",0,IF(ISNUMBER(SEARCH(Classifiers!$G$5,E476)),1,0)))&gt;0,1,0))</f>
        <v/>
      </c>
      <c r="K476" s="12">
        <f>IF(H476&lt;&gt;1,0,IF((IF(Classifiers!$B$6="",0,IF(ISNUMBER(SEARCH(Classifiers!$B$6,E476)),1,0))+IF(Classifiers!$C$6="",0,IF(ISNUMBER(SEARCH(Classifiers!$C$6,E476)),1,0))+IF(Classifiers!$D$6="",0,IF(ISNUMBER(SEARCH(Classifiers!$D$6,E476)),1,0))+IF(Classifiers!$E$6="",0,IF(ISNUMBER(SEARCH(Classifiers!$E$6,E476)),1,0))+IF(Classifiers!$F$6="",0,IF(ISNUMBER(SEARCH(Classifiers!$F$6,E476)),1,0))+IF(Classifiers!$G$6="",0,IF(ISNUMBER(SEARCH(Classifiers!$G$6,E476)),1,0)))&gt;0,1,0))</f>
        <v/>
      </c>
      <c r="L476" s="12">
        <f>IF(H476&lt;&gt;1,0,IF((IF(Classifiers!$B$7="",0,IF(ISNUMBER(SEARCH(Classifiers!$B$7,E476)),1,0))+IF(Classifiers!$C$7="",0,IF(ISNUMBER(SEARCH(Classifiers!$C$7,E476)),1,0))+IF(Classifiers!$D$7="",0,IF(ISNUMBER(SEARCH(Classifiers!$D$7,E476)),1,0))+IF(Classifiers!$E$7="",0,IF(ISNUMBER(SEARCH(Classifiers!$E$7,E476)),1,0))+IF(Classifiers!$F$7="",0,IF(ISNUMBER(SEARCH(Classifiers!$F$7,E476)),1,0))+IF(Classifiers!$G$7="",0,IF(ISNUMBER(SEARCH(Classifiers!$G$7,E476)),1,0)))&gt;0,1,0))</f>
        <v/>
      </c>
      <c r="M476" s="12">
        <f>IF(H476&lt;&gt;1,0,IF((IF(Classifiers!$B$8="",0,IF(ISNUMBER(SEARCH(Classifiers!$B$8,E476)),1,0))+IF(Classifiers!$C$8="",0,IF(ISNUMBER(SEARCH(Classifiers!$C$8,E476)),1,0))+IF(Classifiers!$D$8="",0,IF(ISNUMBER(SEARCH(Classifiers!$D$8,E476)),1,0))+IF(Classifiers!$E$8="",0,IF(ISNUMBER(SEARCH(Classifiers!$E$8,E476)),1,0))+IF(Classifiers!$F$8="",0,IF(ISNUMBER(SEARCH(Classifiers!$F$8,E476)),1,0))+IF(Classifiers!$G$8="",0,IF(ISNUMBER(SEARCH(Classifiers!$G$8,E476)),1,0)))&gt;0,1,0))</f>
        <v/>
      </c>
      <c r="N476" s="12">
        <f>IF(H476&lt;&gt;1,0,IF((IF(Classifiers!$B$9="",0,IF(ISNUMBER(SEARCH(Classifiers!$B$9,E476)),1,0))+IF(Classifiers!$C$9="",0,IF(ISNUMBER(SEARCH(Classifiers!$C$9,E476)),1,0))+IF(Classifiers!$D$9="",0,IF(ISNUMBER(SEARCH(Classifiers!$D$9,E476)),1,0))+IF(Classifiers!$E$9="",0,IF(ISNUMBER(SEARCH(Classifiers!$E$9,E476)),1,0))+IF(Classifiers!$F$9="",0,IF(ISNUMBER(SEARCH(Classifiers!$F$9,E476)),1,0))+IF(Classifiers!$G$9="",0,IF(ISNUMBER(SEARCH(Classifiers!$G$9,E476)),1,0)))&gt;0,1,0))</f>
        <v/>
      </c>
      <c r="O476" s="12">
        <f>IF(H476&lt;&gt;1,0,IF((IF(Classifiers!$B$10="",0,IF(ISNUMBER(SEARCH(Classifiers!$B$10,E476)),1,0))+IF(Classifiers!$C$10="",0,IF(ISNUMBER(SEARCH(Classifiers!$C$10,E476)),1,0))+IF(Classifiers!$D$10="",0,IF(ISNUMBER(SEARCH(Classifiers!$D$10,E476)),1,0))+IF(Classifiers!$E$10="",0,IF(ISNUMBER(SEARCH(Classifiers!$E$10,E476)),1,0))+IF(Classifiers!$F$10="",0,IF(ISNUMBER(SEARCH(Classifiers!$F$10,E476)),1,0))+IF(Classifiers!$G$10="",0,IF(ISNUMBER(SEARCH(Classifiers!$G$10,E476)),1,0)))&gt;0,1,0))</f>
        <v/>
      </c>
      <c r="P476" s="12">
        <f>IF(H476&lt;&gt;1,0,IF((IF(Classifiers!$B$11="",0,IF(ISNUMBER(SEARCH(Classifiers!$B$11,E476)),1,0))+IF(Classifiers!$C$11="",0,IF(ISNUMBER(SEARCH(Classifiers!$C$11,E476)),1,0))+IF(Classifiers!$D$11="",0,IF(ISNUMBER(SEARCH(Classifiers!$D$11,E476)),1,0))+IF(Classifiers!$E$11="",0,IF(ISNUMBER(SEARCH(Classifiers!$E$11,E476)),1,0))+IF(Classifiers!$F$11="",0,IF(ISNUMBER(SEARCH(Classifiers!$F$11,E476)),1,0))+IF(Classifiers!$G$11="",0,IF(ISNUMBER(SEARCH(Classifiers!$G$11,E476)),1,0)))&gt;0,1,0))</f>
        <v/>
      </c>
      <c r="Q476" s="12">
        <f>IF(H476&lt;&gt;1,0,IF((IF(Classifiers!$B$12="",0,IF(ISNUMBER(SEARCH(Classifiers!$B$12,E476)),1,0))+IF(Classifiers!$C$12="",0,IF(ISNUMBER(SEARCH(Classifiers!$C$12,E476)),1,0))+IF(Classifiers!$D$12="",0,IF(ISNUMBER(SEARCH(Classifiers!$D$12,E476)),1,0))+IF(Classifiers!$E$12="",0,IF(ISNUMBER(SEARCH(Classifiers!$E$12,E476)),1,0))+IF(Classifiers!$F$12="",0,IF(ISNUMBER(SEARCH(Classifiers!$F$12,E476)),1,0))+IF(Classifiers!$G$12="",0,IF(ISNUMBER(SEARCH(Classifiers!$G$12,E476)),1,0)))&gt;0,1,0))</f>
        <v/>
      </c>
      <c r="R476" s="12">
        <f>IF(H476&lt;&gt;1,0,IF((IF(Classifiers!$B$13="",0,IF(ISNUMBER(SEARCH(Classifiers!$B$13,E476)),1,0))+IF(Classifiers!$C$13="",0,IF(ISNUMBER(SEARCH(Classifiers!$C$13,E476)),1,0))+IF(Classifiers!$D$13="",0,IF(ISNUMBER(SEARCH(Classifiers!$D$13,E476)),1,0))+IF(Classifiers!$E$13="",0,IF(ISNUMBER(SEARCH(Classifiers!$E$13,E476)),1,0))+IF(Classifiers!$F$13="",0,IF(ISNUMBER(SEARCH(Classifiers!$F$13,E476)),1,0))+IF(Classifiers!$G$13="",0,IF(ISNUMBER(SEARCH(Classifiers!$G$13,E476)),1,0)))&gt;0,1,0))</f>
        <v/>
      </c>
      <c r="S476" s="12">
        <f>IF(H476&lt;&gt;1,0,IF((IF(Classifiers!$B$14="",0,IF(ISNUMBER(SEARCH(Classifiers!$B$14,E476)),1,0))+IF(Classifiers!$C$14="",0,IF(ISNUMBER(SEARCH(Classifiers!$C$14,E476)),1,0))+IF(Classifiers!$D$14="",0,IF(ISNUMBER(SEARCH(Classifiers!$D$14,E476)),1,0))+IF(Classifiers!$E$14="",0,IF(ISNUMBER(SEARCH(Classifiers!$E$14,E476)),1,0))+IF(Classifiers!$F$14="",0,IF(ISNUMBER(SEARCH(Classifiers!$F$14,E476)),1,0))+IF(Classifiers!$G$14="",0,IF(ISNUMBER(SEARCH(Classifiers!$G$14,E476)),1,0)))&gt;0,1,0))</f>
        <v/>
      </c>
      <c r="T476" s="12">
        <f>IF(H476&lt;&gt;1,0,IF((IF(Classifiers!$B$15="",0,IF(ISNUMBER(SEARCH(Classifiers!$B$15,E476)),1,0))+IF(Classifiers!$C$15="",0,IF(ISNUMBER(SEARCH(Classifiers!$C$15,E476)),1,0))+IF(Classifiers!$D$15="",0,IF(ISNUMBER(SEARCH(Classifiers!$D$15,E476)),1,0))+IF(Classifiers!$E$15="",0,IF(ISNUMBER(SEARCH(Classifiers!$E$15,E476)),1,0))+IF(Classifiers!$F$15="",0,IF(ISNUMBER(SEARCH(Classifiers!$F$15,E476)),1,0))+IF(Classifiers!$G$15="",0,IF(ISNUMBER(SEARCH(Classifiers!$G$15,E476)),1,0)))&gt;0,1,0))</f>
        <v/>
      </c>
      <c r="U476" s="12">
        <f>IF(H476&lt;&gt;1,0,IF((IF(Classifiers!$B$16="",0,IF(ISNUMBER(SEARCH(Classifiers!$B$16,E476)),1,0))+IF(Classifiers!$C$16="",0,IF(ISNUMBER(SEARCH(Classifiers!$C$16,E476)),1,0))+IF(Classifiers!$D$16="",0,IF(ISNUMBER(SEARCH(Classifiers!$D$16,E476)),1,0))+IF(Classifiers!$E$16="",0,IF(ISNUMBER(SEARCH(Classifiers!$E$16,E476)),1,0))+IF(Classifiers!$F$16="",0,IF(ISNUMBER(SEARCH(Classifiers!$F$16,E476)),1,0))+IF(Classifiers!$G$16="",0,IF(ISNUMBER(SEARCH(Classifiers!$G$16,E476)),1,0)))&gt;0,1,0))</f>
        <v/>
      </c>
      <c r="V476" s="12">
        <f>IF(H476&lt;&gt;1,0,IF((IF(Classifiers!$B$17="",0,IF(ISNUMBER(SEARCH(Classifiers!$B$17,E476)),1,0))+IF(Classifiers!$C$17="",0,IF(ISNUMBER(SEARCH(Classifiers!$C$17,E476)),1,0))+IF(Classifiers!$D$17="",0,IF(ISNUMBER(SEARCH(Classifiers!$D$17,E476)),1,0))+IF(Classifiers!$E$17="",0,IF(ISNUMBER(SEARCH(Classifiers!$E$17,E476)),1,0))+IF(Classifiers!$F$17="",0,IF(ISNUMBER(SEARCH(Classifiers!$F$17,E476)),1,0))+IF(Classifiers!$G$17="",0,IF(ISNUMBER(SEARCH(Classifiers!$G$17,E476)),1,0)))&gt;0,1,0))</f>
        <v/>
      </c>
      <c r="W476" s="12">
        <f>IF(H476&lt;&gt;1,0,IF((IF(Classifiers!$B$18="",0,IF(ISNUMBER(SEARCH(Classifiers!$B$18,E476)),1,0))+IF(Classifiers!$C$18="",0,IF(ISNUMBER(SEARCH(Classifiers!$C$18,E476)),1,0))+IF(Classifiers!$D$18="",0,IF(ISNUMBER(SEARCH(Classifiers!$D$18,E476)),1,0))+IF(Classifiers!$E$18="",0,IF(ISNUMBER(SEARCH(Classifiers!$E$18,E476)),1,0))+IF(Classifiers!$F$18="",0,IF(ISNUMBER(SEARCH(Classifiers!$F$18,E476)),1,0))+IF(Classifiers!$G$18="",0,IF(ISNUMBER(SEARCH(Classifiers!$G$18,E476)),1,0)))&gt;0,1,0))</f>
        <v/>
      </c>
    </row>
    <row r="477">
      <c r="A477" s="8" t="n"/>
      <c r="B477" s="11" t="n"/>
      <c r="C477" s="6">
        <f>IF(A477="","",TRIM(RIGHT(SUBSTITUTE(A477,"/",REPT(" ",250)),250)))</f>
        <v/>
      </c>
      <c r="D477" s="6">
        <f>IF(C477="","",IF(ISNUMBER(SEARCH(".",C477)),LOWER("."&amp;TRIM(RIGHT(SUBSTITUTE(C477,".",REPT(" ",250)),250))),""))</f>
        <v/>
      </c>
      <c r="E477" s="6">
        <f>IF(C477="","",TRIM(SUBSTITUTE(SUBSTITUTE(SUBSTITUTE(SUBSTITUTE(SUBSTITUTE(SUBSTITUTE(SUBSTITUTE(SUBSTITUTE(SUBSTITUTE(SUBSTITUTE(SUBSTITUTE(SUBSTITUTE(SUBSTITUTE(SUBSTITUTE(SUBSTITUTE(SUBSTITUTE(SUBSTITUTE(SUBSTITUTE(SUBSTITUTE(SUBSTITUTE(LOWER(LEFT(C477,LEN(C477)-LEN(D477))),"_"," "),"-"," "),"."," "),","," "),"("," "),")"," "),"["," "),"]"," "),"&amp;"," "),"+"," "),"@"," "),"#"," "),"!"," "),"'"," "),"/"," "),":"," "),";"," "),"="," "),"~"," "),"%"," ")))</f>
        <v/>
      </c>
      <c r="F477" s="6">
        <f>IF(C477="","",IF(COUNTIF(Classifiers!$A$23:$A$40,D477)&gt;0,1,0))</f>
        <v/>
      </c>
      <c r="G477" s="6">
        <f>IF(C477="","",IF(COUNTIF(Classifiers!$C$23:$C$30,D477)&gt;0,IF((IF(ISNUMBER(SEARCH(Classifiers!$E$23,E477)),1,0)+IF(ISNUMBER(SEARCH(Classifiers!$E$24,E477)),1,0)+IF(ISNUMBER(SEARCH(Classifiers!$E$25,E477)),1,0)+IF(ISNUMBER(SEARCH(Classifiers!$E$26,E477)),1,0)+IF(ISNUMBER(SEARCH(Classifiers!$E$27,E477)),1,0)+IF(ISNUMBER(SEARCH(Classifiers!$E$28,E477)),1,0)+IF(ISNUMBER(SEARCH(Classifiers!$E$29,E477)),1,0)+IF(ISNUMBER(SEARCH(Classifiers!$E$30,E477)),1,0))&gt;0,1,0),0))</f>
        <v/>
      </c>
      <c r="H477" s="6">
        <f>IF(C477="","",IF(OR(LEFT(C477,1)=".",AND(F477=0,G477=0)),0,1))</f>
        <v/>
      </c>
      <c r="I477" s="6">
        <f>IF(H477&lt;&gt;1,"",IF(SUM(J477:W477)=0,"unclassified",INDEX(Classifiers!$A$5:$A$18,MATCH(1,J477:W477,0),1)))</f>
        <v/>
      </c>
      <c r="J477" s="12">
        <f>IF(H477&lt;&gt;1,0,IF((IF(Classifiers!$B$5="",0,IF(ISNUMBER(SEARCH(Classifiers!$B$5,E477)),1,0))+IF(Classifiers!$C$5="",0,IF(ISNUMBER(SEARCH(Classifiers!$C$5,E477)),1,0))+IF(Classifiers!$D$5="",0,IF(ISNUMBER(SEARCH(Classifiers!$D$5,E477)),1,0))+IF(Classifiers!$E$5="",0,IF(ISNUMBER(SEARCH(Classifiers!$E$5,E477)),1,0))+IF(Classifiers!$F$5="",0,IF(ISNUMBER(SEARCH(Classifiers!$F$5,E477)),1,0))+IF(Classifiers!$G$5="",0,IF(ISNUMBER(SEARCH(Classifiers!$G$5,E477)),1,0)))&gt;0,1,0))</f>
        <v/>
      </c>
      <c r="K477" s="12">
        <f>IF(H477&lt;&gt;1,0,IF((IF(Classifiers!$B$6="",0,IF(ISNUMBER(SEARCH(Classifiers!$B$6,E477)),1,0))+IF(Classifiers!$C$6="",0,IF(ISNUMBER(SEARCH(Classifiers!$C$6,E477)),1,0))+IF(Classifiers!$D$6="",0,IF(ISNUMBER(SEARCH(Classifiers!$D$6,E477)),1,0))+IF(Classifiers!$E$6="",0,IF(ISNUMBER(SEARCH(Classifiers!$E$6,E477)),1,0))+IF(Classifiers!$F$6="",0,IF(ISNUMBER(SEARCH(Classifiers!$F$6,E477)),1,0))+IF(Classifiers!$G$6="",0,IF(ISNUMBER(SEARCH(Classifiers!$G$6,E477)),1,0)))&gt;0,1,0))</f>
        <v/>
      </c>
      <c r="L477" s="12">
        <f>IF(H477&lt;&gt;1,0,IF((IF(Classifiers!$B$7="",0,IF(ISNUMBER(SEARCH(Classifiers!$B$7,E477)),1,0))+IF(Classifiers!$C$7="",0,IF(ISNUMBER(SEARCH(Classifiers!$C$7,E477)),1,0))+IF(Classifiers!$D$7="",0,IF(ISNUMBER(SEARCH(Classifiers!$D$7,E477)),1,0))+IF(Classifiers!$E$7="",0,IF(ISNUMBER(SEARCH(Classifiers!$E$7,E477)),1,0))+IF(Classifiers!$F$7="",0,IF(ISNUMBER(SEARCH(Classifiers!$F$7,E477)),1,0))+IF(Classifiers!$G$7="",0,IF(ISNUMBER(SEARCH(Classifiers!$G$7,E477)),1,0)))&gt;0,1,0))</f>
        <v/>
      </c>
      <c r="M477" s="12">
        <f>IF(H477&lt;&gt;1,0,IF((IF(Classifiers!$B$8="",0,IF(ISNUMBER(SEARCH(Classifiers!$B$8,E477)),1,0))+IF(Classifiers!$C$8="",0,IF(ISNUMBER(SEARCH(Classifiers!$C$8,E477)),1,0))+IF(Classifiers!$D$8="",0,IF(ISNUMBER(SEARCH(Classifiers!$D$8,E477)),1,0))+IF(Classifiers!$E$8="",0,IF(ISNUMBER(SEARCH(Classifiers!$E$8,E477)),1,0))+IF(Classifiers!$F$8="",0,IF(ISNUMBER(SEARCH(Classifiers!$F$8,E477)),1,0))+IF(Classifiers!$G$8="",0,IF(ISNUMBER(SEARCH(Classifiers!$G$8,E477)),1,0)))&gt;0,1,0))</f>
        <v/>
      </c>
      <c r="N477" s="12">
        <f>IF(H477&lt;&gt;1,0,IF((IF(Classifiers!$B$9="",0,IF(ISNUMBER(SEARCH(Classifiers!$B$9,E477)),1,0))+IF(Classifiers!$C$9="",0,IF(ISNUMBER(SEARCH(Classifiers!$C$9,E477)),1,0))+IF(Classifiers!$D$9="",0,IF(ISNUMBER(SEARCH(Classifiers!$D$9,E477)),1,0))+IF(Classifiers!$E$9="",0,IF(ISNUMBER(SEARCH(Classifiers!$E$9,E477)),1,0))+IF(Classifiers!$F$9="",0,IF(ISNUMBER(SEARCH(Classifiers!$F$9,E477)),1,0))+IF(Classifiers!$G$9="",0,IF(ISNUMBER(SEARCH(Classifiers!$G$9,E477)),1,0)))&gt;0,1,0))</f>
        <v/>
      </c>
      <c r="O477" s="12">
        <f>IF(H477&lt;&gt;1,0,IF((IF(Classifiers!$B$10="",0,IF(ISNUMBER(SEARCH(Classifiers!$B$10,E477)),1,0))+IF(Classifiers!$C$10="",0,IF(ISNUMBER(SEARCH(Classifiers!$C$10,E477)),1,0))+IF(Classifiers!$D$10="",0,IF(ISNUMBER(SEARCH(Classifiers!$D$10,E477)),1,0))+IF(Classifiers!$E$10="",0,IF(ISNUMBER(SEARCH(Classifiers!$E$10,E477)),1,0))+IF(Classifiers!$F$10="",0,IF(ISNUMBER(SEARCH(Classifiers!$F$10,E477)),1,0))+IF(Classifiers!$G$10="",0,IF(ISNUMBER(SEARCH(Classifiers!$G$10,E477)),1,0)))&gt;0,1,0))</f>
        <v/>
      </c>
      <c r="P477" s="12">
        <f>IF(H477&lt;&gt;1,0,IF((IF(Classifiers!$B$11="",0,IF(ISNUMBER(SEARCH(Classifiers!$B$11,E477)),1,0))+IF(Classifiers!$C$11="",0,IF(ISNUMBER(SEARCH(Classifiers!$C$11,E477)),1,0))+IF(Classifiers!$D$11="",0,IF(ISNUMBER(SEARCH(Classifiers!$D$11,E477)),1,0))+IF(Classifiers!$E$11="",0,IF(ISNUMBER(SEARCH(Classifiers!$E$11,E477)),1,0))+IF(Classifiers!$F$11="",0,IF(ISNUMBER(SEARCH(Classifiers!$F$11,E477)),1,0))+IF(Classifiers!$G$11="",0,IF(ISNUMBER(SEARCH(Classifiers!$G$11,E477)),1,0)))&gt;0,1,0))</f>
        <v/>
      </c>
      <c r="Q477" s="12">
        <f>IF(H477&lt;&gt;1,0,IF((IF(Classifiers!$B$12="",0,IF(ISNUMBER(SEARCH(Classifiers!$B$12,E477)),1,0))+IF(Classifiers!$C$12="",0,IF(ISNUMBER(SEARCH(Classifiers!$C$12,E477)),1,0))+IF(Classifiers!$D$12="",0,IF(ISNUMBER(SEARCH(Classifiers!$D$12,E477)),1,0))+IF(Classifiers!$E$12="",0,IF(ISNUMBER(SEARCH(Classifiers!$E$12,E477)),1,0))+IF(Classifiers!$F$12="",0,IF(ISNUMBER(SEARCH(Classifiers!$F$12,E477)),1,0))+IF(Classifiers!$G$12="",0,IF(ISNUMBER(SEARCH(Classifiers!$G$12,E477)),1,0)))&gt;0,1,0))</f>
        <v/>
      </c>
      <c r="R477" s="12">
        <f>IF(H477&lt;&gt;1,0,IF((IF(Classifiers!$B$13="",0,IF(ISNUMBER(SEARCH(Classifiers!$B$13,E477)),1,0))+IF(Classifiers!$C$13="",0,IF(ISNUMBER(SEARCH(Classifiers!$C$13,E477)),1,0))+IF(Classifiers!$D$13="",0,IF(ISNUMBER(SEARCH(Classifiers!$D$13,E477)),1,0))+IF(Classifiers!$E$13="",0,IF(ISNUMBER(SEARCH(Classifiers!$E$13,E477)),1,0))+IF(Classifiers!$F$13="",0,IF(ISNUMBER(SEARCH(Classifiers!$F$13,E477)),1,0))+IF(Classifiers!$G$13="",0,IF(ISNUMBER(SEARCH(Classifiers!$G$13,E477)),1,0)))&gt;0,1,0))</f>
        <v/>
      </c>
      <c r="S477" s="12">
        <f>IF(H477&lt;&gt;1,0,IF((IF(Classifiers!$B$14="",0,IF(ISNUMBER(SEARCH(Classifiers!$B$14,E477)),1,0))+IF(Classifiers!$C$14="",0,IF(ISNUMBER(SEARCH(Classifiers!$C$14,E477)),1,0))+IF(Classifiers!$D$14="",0,IF(ISNUMBER(SEARCH(Classifiers!$D$14,E477)),1,0))+IF(Classifiers!$E$14="",0,IF(ISNUMBER(SEARCH(Classifiers!$E$14,E477)),1,0))+IF(Classifiers!$F$14="",0,IF(ISNUMBER(SEARCH(Classifiers!$F$14,E477)),1,0))+IF(Classifiers!$G$14="",0,IF(ISNUMBER(SEARCH(Classifiers!$G$14,E477)),1,0)))&gt;0,1,0))</f>
        <v/>
      </c>
      <c r="T477" s="12">
        <f>IF(H477&lt;&gt;1,0,IF((IF(Classifiers!$B$15="",0,IF(ISNUMBER(SEARCH(Classifiers!$B$15,E477)),1,0))+IF(Classifiers!$C$15="",0,IF(ISNUMBER(SEARCH(Classifiers!$C$15,E477)),1,0))+IF(Classifiers!$D$15="",0,IF(ISNUMBER(SEARCH(Classifiers!$D$15,E477)),1,0))+IF(Classifiers!$E$15="",0,IF(ISNUMBER(SEARCH(Classifiers!$E$15,E477)),1,0))+IF(Classifiers!$F$15="",0,IF(ISNUMBER(SEARCH(Classifiers!$F$15,E477)),1,0))+IF(Classifiers!$G$15="",0,IF(ISNUMBER(SEARCH(Classifiers!$G$15,E477)),1,0)))&gt;0,1,0))</f>
        <v/>
      </c>
      <c r="U477" s="12">
        <f>IF(H477&lt;&gt;1,0,IF((IF(Classifiers!$B$16="",0,IF(ISNUMBER(SEARCH(Classifiers!$B$16,E477)),1,0))+IF(Classifiers!$C$16="",0,IF(ISNUMBER(SEARCH(Classifiers!$C$16,E477)),1,0))+IF(Classifiers!$D$16="",0,IF(ISNUMBER(SEARCH(Classifiers!$D$16,E477)),1,0))+IF(Classifiers!$E$16="",0,IF(ISNUMBER(SEARCH(Classifiers!$E$16,E477)),1,0))+IF(Classifiers!$F$16="",0,IF(ISNUMBER(SEARCH(Classifiers!$F$16,E477)),1,0))+IF(Classifiers!$G$16="",0,IF(ISNUMBER(SEARCH(Classifiers!$G$16,E477)),1,0)))&gt;0,1,0))</f>
        <v/>
      </c>
      <c r="V477" s="12">
        <f>IF(H477&lt;&gt;1,0,IF((IF(Classifiers!$B$17="",0,IF(ISNUMBER(SEARCH(Classifiers!$B$17,E477)),1,0))+IF(Classifiers!$C$17="",0,IF(ISNUMBER(SEARCH(Classifiers!$C$17,E477)),1,0))+IF(Classifiers!$D$17="",0,IF(ISNUMBER(SEARCH(Classifiers!$D$17,E477)),1,0))+IF(Classifiers!$E$17="",0,IF(ISNUMBER(SEARCH(Classifiers!$E$17,E477)),1,0))+IF(Classifiers!$F$17="",0,IF(ISNUMBER(SEARCH(Classifiers!$F$17,E477)),1,0))+IF(Classifiers!$G$17="",0,IF(ISNUMBER(SEARCH(Classifiers!$G$17,E477)),1,0)))&gt;0,1,0))</f>
        <v/>
      </c>
      <c r="W477" s="12">
        <f>IF(H477&lt;&gt;1,0,IF((IF(Classifiers!$B$18="",0,IF(ISNUMBER(SEARCH(Classifiers!$B$18,E477)),1,0))+IF(Classifiers!$C$18="",0,IF(ISNUMBER(SEARCH(Classifiers!$C$18,E477)),1,0))+IF(Classifiers!$D$18="",0,IF(ISNUMBER(SEARCH(Classifiers!$D$18,E477)),1,0))+IF(Classifiers!$E$18="",0,IF(ISNUMBER(SEARCH(Classifiers!$E$18,E477)),1,0))+IF(Classifiers!$F$18="",0,IF(ISNUMBER(SEARCH(Classifiers!$F$18,E477)),1,0))+IF(Classifiers!$G$18="",0,IF(ISNUMBER(SEARCH(Classifiers!$G$18,E477)),1,0)))&gt;0,1,0))</f>
        <v/>
      </c>
    </row>
    <row r="478">
      <c r="A478" s="8" t="n"/>
      <c r="B478" s="11" t="n"/>
      <c r="C478" s="6">
        <f>IF(A478="","",TRIM(RIGHT(SUBSTITUTE(A478,"/",REPT(" ",250)),250)))</f>
        <v/>
      </c>
      <c r="D478" s="6">
        <f>IF(C478="","",IF(ISNUMBER(SEARCH(".",C478)),LOWER("."&amp;TRIM(RIGHT(SUBSTITUTE(C478,".",REPT(" ",250)),250))),""))</f>
        <v/>
      </c>
      <c r="E478" s="6">
        <f>IF(C478="","",TRIM(SUBSTITUTE(SUBSTITUTE(SUBSTITUTE(SUBSTITUTE(SUBSTITUTE(SUBSTITUTE(SUBSTITUTE(SUBSTITUTE(SUBSTITUTE(SUBSTITUTE(SUBSTITUTE(SUBSTITUTE(SUBSTITUTE(SUBSTITUTE(SUBSTITUTE(SUBSTITUTE(SUBSTITUTE(SUBSTITUTE(SUBSTITUTE(SUBSTITUTE(LOWER(LEFT(C478,LEN(C478)-LEN(D478))),"_"," "),"-"," "),"."," "),","," "),"("," "),")"," "),"["," "),"]"," "),"&amp;"," "),"+"," "),"@"," "),"#"," "),"!"," "),"'"," "),"/"," "),":"," "),";"," "),"="," "),"~"," "),"%"," ")))</f>
        <v/>
      </c>
      <c r="F478" s="6">
        <f>IF(C478="","",IF(COUNTIF(Classifiers!$A$23:$A$40,D478)&gt;0,1,0))</f>
        <v/>
      </c>
      <c r="G478" s="6">
        <f>IF(C478="","",IF(COUNTIF(Classifiers!$C$23:$C$30,D478)&gt;0,IF((IF(ISNUMBER(SEARCH(Classifiers!$E$23,E478)),1,0)+IF(ISNUMBER(SEARCH(Classifiers!$E$24,E478)),1,0)+IF(ISNUMBER(SEARCH(Classifiers!$E$25,E478)),1,0)+IF(ISNUMBER(SEARCH(Classifiers!$E$26,E478)),1,0)+IF(ISNUMBER(SEARCH(Classifiers!$E$27,E478)),1,0)+IF(ISNUMBER(SEARCH(Classifiers!$E$28,E478)),1,0)+IF(ISNUMBER(SEARCH(Classifiers!$E$29,E478)),1,0)+IF(ISNUMBER(SEARCH(Classifiers!$E$30,E478)),1,0))&gt;0,1,0),0))</f>
        <v/>
      </c>
      <c r="H478" s="6">
        <f>IF(C478="","",IF(OR(LEFT(C478,1)=".",AND(F478=0,G478=0)),0,1))</f>
        <v/>
      </c>
      <c r="I478" s="6">
        <f>IF(H478&lt;&gt;1,"",IF(SUM(J478:W478)=0,"unclassified",INDEX(Classifiers!$A$5:$A$18,MATCH(1,J478:W478,0),1)))</f>
        <v/>
      </c>
      <c r="J478" s="12">
        <f>IF(H478&lt;&gt;1,0,IF((IF(Classifiers!$B$5="",0,IF(ISNUMBER(SEARCH(Classifiers!$B$5,E478)),1,0))+IF(Classifiers!$C$5="",0,IF(ISNUMBER(SEARCH(Classifiers!$C$5,E478)),1,0))+IF(Classifiers!$D$5="",0,IF(ISNUMBER(SEARCH(Classifiers!$D$5,E478)),1,0))+IF(Classifiers!$E$5="",0,IF(ISNUMBER(SEARCH(Classifiers!$E$5,E478)),1,0))+IF(Classifiers!$F$5="",0,IF(ISNUMBER(SEARCH(Classifiers!$F$5,E478)),1,0))+IF(Classifiers!$G$5="",0,IF(ISNUMBER(SEARCH(Classifiers!$G$5,E478)),1,0)))&gt;0,1,0))</f>
        <v/>
      </c>
      <c r="K478" s="12">
        <f>IF(H478&lt;&gt;1,0,IF((IF(Classifiers!$B$6="",0,IF(ISNUMBER(SEARCH(Classifiers!$B$6,E478)),1,0))+IF(Classifiers!$C$6="",0,IF(ISNUMBER(SEARCH(Classifiers!$C$6,E478)),1,0))+IF(Classifiers!$D$6="",0,IF(ISNUMBER(SEARCH(Classifiers!$D$6,E478)),1,0))+IF(Classifiers!$E$6="",0,IF(ISNUMBER(SEARCH(Classifiers!$E$6,E478)),1,0))+IF(Classifiers!$F$6="",0,IF(ISNUMBER(SEARCH(Classifiers!$F$6,E478)),1,0))+IF(Classifiers!$G$6="",0,IF(ISNUMBER(SEARCH(Classifiers!$G$6,E478)),1,0)))&gt;0,1,0))</f>
        <v/>
      </c>
      <c r="L478" s="12">
        <f>IF(H478&lt;&gt;1,0,IF((IF(Classifiers!$B$7="",0,IF(ISNUMBER(SEARCH(Classifiers!$B$7,E478)),1,0))+IF(Classifiers!$C$7="",0,IF(ISNUMBER(SEARCH(Classifiers!$C$7,E478)),1,0))+IF(Classifiers!$D$7="",0,IF(ISNUMBER(SEARCH(Classifiers!$D$7,E478)),1,0))+IF(Classifiers!$E$7="",0,IF(ISNUMBER(SEARCH(Classifiers!$E$7,E478)),1,0))+IF(Classifiers!$F$7="",0,IF(ISNUMBER(SEARCH(Classifiers!$F$7,E478)),1,0))+IF(Classifiers!$G$7="",0,IF(ISNUMBER(SEARCH(Classifiers!$G$7,E478)),1,0)))&gt;0,1,0))</f>
        <v/>
      </c>
      <c r="M478" s="12">
        <f>IF(H478&lt;&gt;1,0,IF((IF(Classifiers!$B$8="",0,IF(ISNUMBER(SEARCH(Classifiers!$B$8,E478)),1,0))+IF(Classifiers!$C$8="",0,IF(ISNUMBER(SEARCH(Classifiers!$C$8,E478)),1,0))+IF(Classifiers!$D$8="",0,IF(ISNUMBER(SEARCH(Classifiers!$D$8,E478)),1,0))+IF(Classifiers!$E$8="",0,IF(ISNUMBER(SEARCH(Classifiers!$E$8,E478)),1,0))+IF(Classifiers!$F$8="",0,IF(ISNUMBER(SEARCH(Classifiers!$F$8,E478)),1,0))+IF(Classifiers!$G$8="",0,IF(ISNUMBER(SEARCH(Classifiers!$G$8,E478)),1,0)))&gt;0,1,0))</f>
        <v/>
      </c>
      <c r="N478" s="12">
        <f>IF(H478&lt;&gt;1,0,IF((IF(Classifiers!$B$9="",0,IF(ISNUMBER(SEARCH(Classifiers!$B$9,E478)),1,0))+IF(Classifiers!$C$9="",0,IF(ISNUMBER(SEARCH(Classifiers!$C$9,E478)),1,0))+IF(Classifiers!$D$9="",0,IF(ISNUMBER(SEARCH(Classifiers!$D$9,E478)),1,0))+IF(Classifiers!$E$9="",0,IF(ISNUMBER(SEARCH(Classifiers!$E$9,E478)),1,0))+IF(Classifiers!$F$9="",0,IF(ISNUMBER(SEARCH(Classifiers!$F$9,E478)),1,0))+IF(Classifiers!$G$9="",0,IF(ISNUMBER(SEARCH(Classifiers!$G$9,E478)),1,0)))&gt;0,1,0))</f>
        <v/>
      </c>
      <c r="O478" s="12">
        <f>IF(H478&lt;&gt;1,0,IF((IF(Classifiers!$B$10="",0,IF(ISNUMBER(SEARCH(Classifiers!$B$10,E478)),1,0))+IF(Classifiers!$C$10="",0,IF(ISNUMBER(SEARCH(Classifiers!$C$10,E478)),1,0))+IF(Classifiers!$D$10="",0,IF(ISNUMBER(SEARCH(Classifiers!$D$10,E478)),1,0))+IF(Classifiers!$E$10="",0,IF(ISNUMBER(SEARCH(Classifiers!$E$10,E478)),1,0))+IF(Classifiers!$F$10="",0,IF(ISNUMBER(SEARCH(Classifiers!$F$10,E478)),1,0))+IF(Classifiers!$G$10="",0,IF(ISNUMBER(SEARCH(Classifiers!$G$10,E478)),1,0)))&gt;0,1,0))</f>
        <v/>
      </c>
      <c r="P478" s="12">
        <f>IF(H478&lt;&gt;1,0,IF((IF(Classifiers!$B$11="",0,IF(ISNUMBER(SEARCH(Classifiers!$B$11,E478)),1,0))+IF(Classifiers!$C$11="",0,IF(ISNUMBER(SEARCH(Classifiers!$C$11,E478)),1,0))+IF(Classifiers!$D$11="",0,IF(ISNUMBER(SEARCH(Classifiers!$D$11,E478)),1,0))+IF(Classifiers!$E$11="",0,IF(ISNUMBER(SEARCH(Classifiers!$E$11,E478)),1,0))+IF(Classifiers!$F$11="",0,IF(ISNUMBER(SEARCH(Classifiers!$F$11,E478)),1,0))+IF(Classifiers!$G$11="",0,IF(ISNUMBER(SEARCH(Classifiers!$G$11,E478)),1,0)))&gt;0,1,0))</f>
        <v/>
      </c>
      <c r="Q478" s="12">
        <f>IF(H478&lt;&gt;1,0,IF((IF(Classifiers!$B$12="",0,IF(ISNUMBER(SEARCH(Classifiers!$B$12,E478)),1,0))+IF(Classifiers!$C$12="",0,IF(ISNUMBER(SEARCH(Classifiers!$C$12,E478)),1,0))+IF(Classifiers!$D$12="",0,IF(ISNUMBER(SEARCH(Classifiers!$D$12,E478)),1,0))+IF(Classifiers!$E$12="",0,IF(ISNUMBER(SEARCH(Classifiers!$E$12,E478)),1,0))+IF(Classifiers!$F$12="",0,IF(ISNUMBER(SEARCH(Classifiers!$F$12,E478)),1,0))+IF(Classifiers!$G$12="",0,IF(ISNUMBER(SEARCH(Classifiers!$G$12,E478)),1,0)))&gt;0,1,0))</f>
        <v/>
      </c>
      <c r="R478" s="12">
        <f>IF(H478&lt;&gt;1,0,IF((IF(Classifiers!$B$13="",0,IF(ISNUMBER(SEARCH(Classifiers!$B$13,E478)),1,0))+IF(Classifiers!$C$13="",0,IF(ISNUMBER(SEARCH(Classifiers!$C$13,E478)),1,0))+IF(Classifiers!$D$13="",0,IF(ISNUMBER(SEARCH(Classifiers!$D$13,E478)),1,0))+IF(Classifiers!$E$13="",0,IF(ISNUMBER(SEARCH(Classifiers!$E$13,E478)),1,0))+IF(Classifiers!$F$13="",0,IF(ISNUMBER(SEARCH(Classifiers!$F$13,E478)),1,0))+IF(Classifiers!$G$13="",0,IF(ISNUMBER(SEARCH(Classifiers!$G$13,E478)),1,0)))&gt;0,1,0))</f>
        <v/>
      </c>
      <c r="S478" s="12">
        <f>IF(H478&lt;&gt;1,0,IF((IF(Classifiers!$B$14="",0,IF(ISNUMBER(SEARCH(Classifiers!$B$14,E478)),1,0))+IF(Classifiers!$C$14="",0,IF(ISNUMBER(SEARCH(Classifiers!$C$14,E478)),1,0))+IF(Classifiers!$D$14="",0,IF(ISNUMBER(SEARCH(Classifiers!$D$14,E478)),1,0))+IF(Classifiers!$E$14="",0,IF(ISNUMBER(SEARCH(Classifiers!$E$14,E478)),1,0))+IF(Classifiers!$F$14="",0,IF(ISNUMBER(SEARCH(Classifiers!$F$14,E478)),1,0))+IF(Classifiers!$G$14="",0,IF(ISNUMBER(SEARCH(Classifiers!$G$14,E478)),1,0)))&gt;0,1,0))</f>
        <v/>
      </c>
      <c r="T478" s="12">
        <f>IF(H478&lt;&gt;1,0,IF((IF(Classifiers!$B$15="",0,IF(ISNUMBER(SEARCH(Classifiers!$B$15,E478)),1,0))+IF(Classifiers!$C$15="",0,IF(ISNUMBER(SEARCH(Classifiers!$C$15,E478)),1,0))+IF(Classifiers!$D$15="",0,IF(ISNUMBER(SEARCH(Classifiers!$D$15,E478)),1,0))+IF(Classifiers!$E$15="",0,IF(ISNUMBER(SEARCH(Classifiers!$E$15,E478)),1,0))+IF(Classifiers!$F$15="",0,IF(ISNUMBER(SEARCH(Classifiers!$F$15,E478)),1,0))+IF(Classifiers!$G$15="",0,IF(ISNUMBER(SEARCH(Classifiers!$G$15,E478)),1,0)))&gt;0,1,0))</f>
        <v/>
      </c>
      <c r="U478" s="12">
        <f>IF(H478&lt;&gt;1,0,IF((IF(Classifiers!$B$16="",0,IF(ISNUMBER(SEARCH(Classifiers!$B$16,E478)),1,0))+IF(Classifiers!$C$16="",0,IF(ISNUMBER(SEARCH(Classifiers!$C$16,E478)),1,0))+IF(Classifiers!$D$16="",0,IF(ISNUMBER(SEARCH(Classifiers!$D$16,E478)),1,0))+IF(Classifiers!$E$16="",0,IF(ISNUMBER(SEARCH(Classifiers!$E$16,E478)),1,0))+IF(Classifiers!$F$16="",0,IF(ISNUMBER(SEARCH(Classifiers!$F$16,E478)),1,0))+IF(Classifiers!$G$16="",0,IF(ISNUMBER(SEARCH(Classifiers!$G$16,E478)),1,0)))&gt;0,1,0))</f>
        <v/>
      </c>
      <c r="V478" s="12">
        <f>IF(H478&lt;&gt;1,0,IF((IF(Classifiers!$B$17="",0,IF(ISNUMBER(SEARCH(Classifiers!$B$17,E478)),1,0))+IF(Classifiers!$C$17="",0,IF(ISNUMBER(SEARCH(Classifiers!$C$17,E478)),1,0))+IF(Classifiers!$D$17="",0,IF(ISNUMBER(SEARCH(Classifiers!$D$17,E478)),1,0))+IF(Classifiers!$E$17="",0,IF(ISNUMBER(SEARCH(Classifiers!$E$17,E478)),1,0))+IF(Classifiers!$F$17="",0,IF(ISNUMBER(SEARCH(Classifiers!$F$17,E478)),1,0))+IF(Classifiers!$G$17="",0,IF(ISNUMBER(SEARCH(Classifiers!$G$17,E478)),1,0)))&gt;0,1,0))</f>
        <v/>
      </c>
      <c r="W478" s="12">
        <f>IF(H478&lt;&gt;1,0,IF((IF(Classifiers!$B$18="",0,IF(ISNUMBER(SEARCH(Classifiers!$B$18,E478)),1,0))+IF(Classifiers!$C$18="",0,IF(ISNUMBER(SEARCH(Classifiers!$C$18,E478)),1,0))+IF(Classifiers!$D$18="",0,IF(ISNUMBER(SEARCH(Classifiers!$D$18,E478)),1,0))+IF(Classifiers!$E$18="",0,IF(ISNUMBER(SEARCH(Classifiers!$E$18,E478)),1,0))+IF(Classifiers!$F$18="",0,IF(ISNUMBER(SEARCH(Classifiers!$F$18,E478)),1,0))+IF(Classifiers!$G$18="",0,IF(ISNUMBER(SEARCH(Classifiers!$G$18,E478)),1,0)))&gt;0,1,0))</f>
        <v/>
      </c>
    </row>
    <row r="479">
      <c r="A479" s="8" t="n"/>
      <c r="B479" s="11" t="n"/>
      <c r="C479" s="6">
        <f>IF(A479="","",TRIM(RIGHT(SUBSTITUTE(A479,"/",REPT(" ",250)),250)))</f>
        <v/>
      </c>
      <c r="D479" s="6">
        <f>IF(C479="","",IF(ISNUMBER(SEARCH(".",C479)),LOWER("."&amp;TRIM(RIGHT(SUBSTITUTE(C479,".",REPT(" ",250)),250))),""))</f>
        <v/>
      </c>
      <c r="E479" s="6">
        <f>IF(C479="","",TRIM(SUBSTITUTE(SUBSTITUTE(SUBSTITUTE(SUBSTITUTE(SUBSTITUTE(SUBSTITUTE(SUBSTITUTE(SUBSTITUTE(SUBSTITUTE(SUBSTITUTE(SUBSTITUTE(SUBSTITUTE(SUBSTITUTE(SUBSTITUTE(SUBSTITUTE(SUBSTITUTE(SUBSTITUTE(SUBSTITUTE(SUBSTITUTE(SUBSTITUTE(LOWER(LEFT(C479,LEN(C479)-LEN(D479))),"_"," "),"-"," "),"."," "),","," "),"("," "),")"," "),"["," "),"]"," "),"&amp;"," "),"+"," "),"@"," "),"#"," "),"!"," "),"'"," "),"/"," "),":"," "),";"," "),"="," "),"~"," "),"%"," ")))</f>
        <v/>
      </c>
      <c r="F479" s="6">
        <f>IF(C479="","",IF(COUNTIF(Classifiers!$A$23:$A$40,D479)&gt;0,1,0))</f>
        <v/>
      </c>
      <c r="G479" s="6">
        <f>IF(C479="","",IF(COUNTIF(Classifiers!$C$23:$C$30,D479)&gt;0,IF((IF(ISNUMBER(SEARCH(Classifiers!$E$23,E479)),1,0)+IF(ISNUMBER(SEARCH(Classifiers!$E$24,E479)),1,0)+IF(ISNUMBER(SEARCH(Classifiers!$E$25,E479)),1,0)+IF(ISNUMBER(SEARCH(Classifiers!$E$26,E479)),1,0)+IF(ISNUMBER(SEARCH(Classifiers!$E$27,E479)),1,0)+IF(ISNUMBER(SEARCH(Classifiers!$E$28,E479)),1,0)+IF(ISNUMBER(SEARCH(Classifiers!$E$29,E479)),1,0)+IF(ISNUMBER(SEARCH(Classifiers!$E$30,E479)),1,0))&gt;0,1,0),0))</f>
        <v/>
      </c>
      <c r="H479" s="6">
        <f>IF(C479="","",IF(OR(LEFT(C479,1)=".",AND(F479=0,G479=0)),0,1))</f>
        <v/>
      </c>
      <c r="I479" s="6">
        <f>IF(H479&lt;&gt;1,"",IF(SUM(J479:W479)=0,"unclassified",INDEX(Classifiers!$A$5:$A$18,MATCH(1,J479:W479,0),1)))</f>
        <v/>
      </c>
      <c r="J479" s="12">
        <f>IF(H479&lt;&gt;1,0,IF((IF(Classifiers!$B$5="",0,IF(ISNUMBER(SEARCH(Classifiers!$B$5,E479)),1,0))+IF(Classifiers!$C$5="",0,IF(ISNUMBER(SEARCH(Classifiers!$C$5,E479)),1,0))+IF(Classifiers!$D$5="",0,IF(ISNUMBER(SEARCH(Classifiers!$D$5,E479)),1,0))+IF(Classifiers!$E$5="",0,IF(ISNUMBER(SEARCH(Classifiers!$E$5,E479)),1,0))+IF(Classifiers!$F$5="",0,IF(ISNUMBER(SEARCH(Classifiers!$F$5,E479)),1,0))+IF(Classifiers!$G$5="",0,IF(ISNUMBER(SEARCH(Classifiers!$G$5,E479)),1,0)))&gt;0,1,0))</f>
        <v/>
      </c>
      <c r="K479" s="12">
        <f>IF(H479&lt;&gt;1,0,IF((IF(Classifiers!$B$6="",0,IF(ISNUMBER(SEARCH(Classifiers!$B$6,E479)),1,0))+IF(Classifiers!$C$6="",0,IF(ISNUMBER(SEARCH(Classifiers!$C$6,E479)),1,0))+IF(Classifiers!$D$6="",0,IF(ISNUMBER(SEARCH(Classifiers!$D$6,E479)),1,0))+IF(Classifiers!$E$6="",0,IF(ISNUMBER(SEARCH(Classifiers!$E$6,E479)),1,0))+IF(Classifiers!$F$6="",0,IF(ISNUMBER(SEARCH(Classifiers!$F$6,E479)),1,0))+IF(Classifiers!$G$6="",0,IF(ISNUMBER(SEARCH(Classifiers!$G$6,E479)),1,0)))&gt;0,1,0))</f>
        <v/>
      </c>
      <c r="L479" s="12">
        <f>IF(H479&lt;&gt;1,0,IF((IF(Classifiers!$B$7="",0,IF(ISNUMBER(SEARCH(Classifiers!$B$7,E479)),1,0))+IF(Classifiers!$C$7="",0,IF(ISNUMBER(SEARCH(Classifiers!$C$7,E479)),1,0))+IF(Classifiers!$D$7="",0,IF(ISNUMBER(SEARCH(Classifiers!$D$7,E479)),1,0))+IF(Classifiers!$E$7="",0,IF(ISNUMBER(SEARCH(Classifiers!$E$7,E479)),1,0))+IF(Classifiers!$F$7="",0,IF(ISNUMBER(SEARCH(Classifiers!$F$7,E479)),1,0))+IF(Classifiers!$G$7="",0,IF(ISNUMBER(SEARCH(Classifiers!$G$7,E479)),1,0)))&gt;0,1,0))</f>
        <v/>
      </c>
      <c r="M479" s="12">
        <f>IF(H479&lt;&gt;1,0,IF((IF(Classifiers!$B$8="",0,IF(ISNUMBER(SEARCH(Classifiers!$B$8,E479)),1,0))+IF(Classifiers!$C$8="",0,IF(ISNUMBER(SEARCH(Classifiers!$C$8,E479)),1,0))+IF(Classifiers!$D$8="",0,IF(ISNUMBER(SEARCH(Classifiers!$D$8,E479)),1,0))+IF(Classifiers!$E$8="",0,IF(ISNUMBER(SEARCH(Classifiers!$E$8,E479)),1,0))+IF(Classifiers!$F$8="",0,IF(ISNUMBER(SEARCH(Classifiers!$F$8,E479)),1,0))+IF(Classifiers!$G$8="",0,IF(ISNUMBER(SEARCH(Classifiers!$G$8,E479)),1,0)))&gt;0,1,0))</f>
        <v/>
      </c>
      <c r="N479" s="12">
        <f>IF(H479&lt;&gt;1,0,IF((IF(Classifiers!$B$9="",0,IF(ISNUMBER(SEARCH(Classifiers!$B$9,E479)),1,0))+IF(Classifiers!$C$9="",0,IF(ISNUMBER(SEARCH(Classifiers!$C$9,E479)),1,0))+IF(Classifiers!$D$9="",0,IF(ISNUMBER(SEARCH(Classifiers!$D$9,E479)),1,0))+IF(Classifiers!$E$9="",0,IF(ISNUMBER(SEARCH(Classifiers!$E$9,E479)),1,0))+IF(Classifiers!$F$9="",0,IF(ISNUMBER(SEARCH(Classifiers!$F$9,E479)),1,0))+IF(Classifiers!$G$9="",0,IF(ISNUMBER(SEARCH(Classifiers!$G$9,E479)),1,0)))&gt;0,1,0))</f>
        <v/>
      </c>
      <c r="O479" s="12">
        <f>IF(H479&lt;&gt;1,0,IF((IF(Classifiers!$B$10="",0,IF(ISNUMBER(SEARCH(Classifiers!$B$10,E479)),1,0))+IF(Classifiers!$C$10="",0,IF(ISNUMBER(SEARCH(Classifiers!$C$10,E479)),1,0))+IF(Classifiers!$D$10="",0,IF(ISNUMBER(SEARCH(Classifiers!$D$10,E479)),1,0))+IF(Classifiers!$E$10="",0,IF(ISNUMBER(SEARCH(Classifiers!$E$10,E479)),1,0))+IF(Classifiers!$F$10="",0,IF(ISNUMBER(SEARCH(Classifiers!$F$10,E479)),1,0))+IF(Classifiers!$G$10="",0,IF(ISNUMBER(SEARCH(Classifiers!$G$10,E479)),1,0)))&gt;0,1,0))</f>
        <v/>
      </c>
      <c r="P479" s="12">
        <f>IF(H479&lt;&gt;1,0,IF((IF(Classifiers!$B$11="",0,IF(ISNUMBER(SEARCH(Classifiers!$B$11,E479)),1,0))+IF(Classifiers!$C$11="",0,IF(ISNUMBER(SEARCH(Classifiers!$C$11,E479)),1,0))+IF(Classifiers!$D$11="",0,IF(ISNUMBER(SEARCH(Classifiers!$D$11,E479)),1,0))+IF(Classifiers!$E$11="",0,IF(ISNUMBER(SEARCH(Classifiers!$E$11,E479)),1,0))+IF(Classifiers!$F$11="",0,IF(ISNUMBER(SEARCH(Classifiers!$F$11,E479)),1,0))+IF(Classifiers!$G$11="",0,IF(ISNUMBER(SEARCH(Classifiers!$G$11,E479)),1,0)))&gt;0,1,0))</f>
        <v/>
      </c>
      <c r="Q479" s="12">
        <f>IF(H479&lt;&gt;1,0,IF((IF(Classifiers!$B$12="",0,IF(ISNUMBER(SEARCH(Classifiers!$B$12,E479)),1,0))+IF(Classifiers!$C$12="",0,IF(ISNUMBER(SEARCH(Classifiers!$C$12,E479)),1,0))+IF(Classifiers!$D$12="",0,IF(ISNUMBER(SEARCH(Classifiers!$D$12,E479)),1,0))+IF(Classifiers!$E$12="",0,IF(ISNUMBER(SEARCH(Classifiers!$E$12,E479)),1,0))+IF(Classifiers!$F$12="",0,IF(ISNUMBER(SEARCH(Classifiers!$F$12,E479)),1,0))+IF(Classifiers!$G$12="",0,IF(ISNUMBER(SEARCH(Classifiers!$G$12,E479)),1,0)))&gt;0,1,0))</f>
        <v/>
      </c>
      <c r="R479" s="12">
        <f>IF(H479&lt;&gt;1,0,IF((IF(Classifiers!$B$13="",0,IF(ISNUMBER(SEARCH(Classifiers!$B$13,E479)),1,0))+IF(Classifiers!$C$13="",0,IF(ISNUMBER(SEARCH(Classifiers!$C$13,E479)),1,0))+IF(Classifiers!$D$13="",0,IF(ISNUMBER(SEARCH(Classifiers!$D$13,E479)),1,0))+IF(Classifiers!$E$13="",0,IF(ISNUMBER(SEARCH(Classifiers!$E$13,E479)),1,0))+IF(Classifiers!$F$13="",0,IF(ISNUMBER(SEARCH(Classifiers!$F$13,E479)),1,0))+IF(Classifiers!$G$13="",0,IF(ISNUMBER(SEARCH(Classifiers!$G$13,E479)),1,0)))&gt;0,1,0))</f>
        <v/>
      </c>
      <c r="S479" s="12">
        <f>IF(H479&lt;&gt;1,0,IF((IF(Classifiers!$B$14="",0,IF(ISNUMBER(SEARCH(Classifiers!$B$14,E479)),1,0))+IF(Classifiers!$C$14="",0,IF(ISNUMBER(SEARCH(Classifiers!$C$14,E479)),1,0))+IF(Classifiers!$D$14="",0,IF(ISNUMBER(SEARCH(Classifiers!$D$14,E479)),1,0))+IF(Classifiers!$E$14="",0,IF(ISNUMBER(SEARCH(Classifiers!$E$14,E479)),1,0))+IF(Classifiers!$F$14="",0,IF(ISNUMBER(SEARCH(Classifiers!$F$14,E479)),1,0))+IF(Classifiers!$G$14="",0,IF(ISNUMBER(SEARCH(Classifiers!$G$14,E479)),1,0)))&gt;0,1,0))</f>
        <v/>
      </c>
      <c r="T479" s="12">
        <f>IF(H479&lt;&gt;1,0,IF((IF(Classifiers!$B$15="",0,IF(ISNUMBER(SEARCH(Classifiers!$B$15,E479)),1,0))+IF(Classifiers!$C$15="",0,IF(ISNUMBER(SEARCH(Classifiers!$C$15,E479)),1,0))+IF(Classifiers!$D$15="",0,IF(ISNUMBER(SEARCH(Classifiers!$D$15,E479)),1,0))+IF(Classifiers!$E$15="",0,IF(ISNUMBER(SEARCH(Classifiers!$E$15,E479)),1,0))+IF(Classifiers!$F$15="",0,IF(ISNUMBER(SEARCH(Classifiers!$F$15,E479)),1,0))+IF(Classifiers!$G$15="",0,IF(ISNUMBER(SEARCH(Classifiers!$G$15,E479)),1,0)))&gt;0,1,0))</f>
        <v/>
      </c>
      <c r="U479" s="12">
        <f>IF(H479&lt;&gt;1,0,IF((IF(Classifiers!$B$16="",0,IF(ISNUMBER(SEARCH(Classifiers!$B$16,E479)),1,0))+IF(Classifiers!$C$16="",0,IF(ISNUMBER(SEARCH(Classifiers!$C$16,E479)),1,0))+IF(Classifiers!$D$16="",0,IF(ISNUMBER(SEARCH(Classifiers!$D$16,E479)),1,0))+IF(Classifiers!$E$16="",0,IF(ISNUMBER(SEARCH(Classifiers!$E$16,E479)),1,0))+IF(Classifiers!$F$16="",0,IF(ISNUMBER(SEARCH(Classifiers!$F$16,E479)),1,0))+IF(Classifiers!$G$16="",0,IF(ISNUMBER(SEARCH(Classifiers!$G$16,E479)),1,0)))&gt;0,1,0))</f>
        <v/>
      </c>
      <c r="V479" s="12">
        <f>IF(H479&lt;&gt;1,0,IF((IF(Classifiers!$B$17="",0,IF(ISNUMBER(SEARCH(Classifiers!$B$17,E479)),1,0))+IF(Classifiers!$C$17="",0,IF(ISNUMBER(SEARCH(Classifiers!$C$17,E479)),1,0))+IF(Classifiers!$D$17="",0,IF(ISNUMBER(SEARCH(Classifiers!$D$17,E479)),1,0))+IF(Classifiers!$E$17="",0,IF(ISNUMBER(SEARCH(Classifiers!$E$17,E479)),1,0))+IF(Classifiers!$F$17="",0,IF(ISNUMBER(SEARCH(Classifiers!$F$17,E479)),1,0))+IF(Classifiers!$G$17="",0,IF(ISNUMBER(SEARCH(Classifiers!$G$17,E479)),1,0)))&gt;0,1,0))</f>
        <v/>
      </c>
      <c r="W479" s="12">
        <f>IF(H479&lt;&gt;1,0,IF((IF(Classifiers!$B$18="",0,IF(ISNUMBER(SEARCH(Classifiers!$B$18,E479)),1,0))+IF(Classifiers!$C$18="",0,IF(ISNUMBER(SEARCH(Classifiers!$C$18,E479)),1,0))+IF(Classifiers!$D$18="",0,IF(ISNUMBER(SEARCH(Classifiers!$D$18,E479)),1,0))+IF(Classifiers!$E$18="",0,IF(ISNUMBER(SEARCH(Classifiers!$E$18,E479)),1,0))+IF(Classifiers!$F$18="",0,IF(ISNUMBER(SEARCH(Classifiers!$F$18,E479)),1,0))+IF(Classifiers!$G$18="",0,IF(ISNUMBER(SEARCH(Classifiers!$G$18,E479)),1,0)))&gt;0,1,0))</f>
        <v/>
      </c>
    </row>
    <row r="480">
      <c r="A480" s="8" t="n"/>
      <c r="B480" s="11" t="n"/>
      <c r="C480" s="6">
        <f>IF(A480="","",TRIM(RIGHT(SUBSTITUTE(A480,"/",REPT(" ",250)),250)))</f>
        <v/>
      </c>
      <c r="D480" s="6">
        <f>IF(C480="","",IF(ISNUMBER(SEARCH(".",C480)),LOWER("."&amp;TRIM(RIGHT(SUBSTITUTE(C480,".",REPT(" ",250)),250))),""))</f>
        <v/>
      </c>
      <c r="E480" s="6">
        <f>IF(C480="","",TRIM(SUBSTITUTE(SUBSTITUTE(SUBSTITUTE(SUBSTITUTE(SUBSTITUTE(SUBSTITUTE(SUBSTITUTE(SUBSTITUTE(SUBSTITUTE(SUBSTITUTE(SUBSTITUTE(SUBSTITUTE(SUBSTITUTE(SUBSTITUTE(SUBSTITUTE(SUBSTITUTE(SUBSTITUTE(SUBSTITUTE(SUBSTITUTE(SUBSTITUTE(LOWER(LEFT(C480,LEN(C480)-LEN(D480))),"_"," "),"-"," "),"."," "),","," "),"("," "),")"," "),"["," "),"]"," "),"&amp;"," "),"+"," "),"@"," "),"#"," "),"!"," "),"'"," "),"/"," "),":"," "),";"," "),"="," "),"~"," "),"%"," ")))</f>
        <v/>
      </c>
      <c r="F480" s="6">
        <f>IF(C480="","",IF(COUNTIF(Classifiers!$A$23:$A$40,D480)&gt;0,1,0))</f>
        <v/>
      </c>
      <c r="G480" s="6">
        <f>IF(C480="","",IF(COUNTIF(Classifiers!$C$23:$C$30,D480)&gt;0,IF((IF(ISNUMBER(SEARCH(Classifiers!$E$23,E480)),1,0)+IF(ISNUMBER(SEARCH(Classifiers!$E$24,E480)),1,0)+IF(ISNUMBER(SEARCH(Classifiers!$E$25,E480)),1,0)+IF(ISNUMBER(SEARCH(Classifiers!$E$26,E480)),1,0)+IF(ISNUMBER(SEARCH(Classifiers!$E$27,E480)),1,0)+IF(ISNUMBER(SEARCH(Classifiers!$E$28,E480)),1,0)+IF(ISNUMBER(SEARCH(Classifiers!$E$29,E480)),1,0)+IF(ISNUMBER(SEARCH(Classifiers!$E$30,E480)),1,0))&gt;0,1,0),0))</f>
        <v/>
      </c>
      <c r="H480" s="6">
        <f>IF(C480="","",IF(OR(LEFT(C480,1)=".",AND(F480=0,G480=0)),0,1))</f>
        <v/>
      </c>
      <c r="I480" s="6">
        <f>IF(H480&lt;&gt;1,"",IF(SUM(J480:W480)=0,"unclassified",INDEX(Classifiers!$A$5:$A$18,MATCH(1,J480:W480,0),1)))</f>
        <v/>
      </c>
      <c r="J480" s="12">
        <f>IF(H480&lt;&gt;1,0,IF((IF(Classifiers!$B$5="",0,IF(ISNUMBER(SEARCH(Classifiers!$B$5,E480)),1,0))+IF(Classifiers!$C$5="",0,IF(ISNUMBER(SEARCH(Classifiers!$C$5,E480)),1,0))+IF(Classifiers!$D$5="",0,IF(ISNUMBER(SEARCH(Classifiers!$D$5,E480)),1,0))+IF(Classifiers!$E$5="",0,IF(ISNUMBER(SEARCH(Classifiers!$E$5,E480)),1,0))+IF(Classifiers!$F$5="",0,IF(ISNUMBER(SEARCH(Classifiers!$F$5,E480)),1,0))+IF(Classifiers!$G$5="",0,IF(ISNUMBER(SEARCH(Classifiers!$G$5,E480)),1,0)))&gt;0,1,0))</f>
        <v/>
      </c>
      <c r="K480" s="12">
        <f>IF(H480&lt;&gt;1,0,IF((IF(Classifiers!$B$6="",0,IF(ISNUMBER(SEARCH(Classifiers!$B$6,E480)),1,0))+IF(Classifiers!$C$6="",0,IF(ISNUMBER(SEARCH(Classifiers!$C$6,E480)),1,0))+IF(Classifiers!$D$6="",0,IF(ISNUMBER(SEARCH(Classifiers!$D$6,E480)),1,0))+IF(Classifiers!$E$6="",0,IF(ISNUMBER(SEARCH(Classifiers!$E$6,E480)),1,0))+IF(Classifiers!$F$6="",0,IF(ISNUMBER(SEARCH(Classifiers!$F$6,E480)),1,0))+IF(Classifiers!$G$6="",0,IF(ISNUMBER(SEARCH(Classifiers!$G$6,E480)),1,0)))&gt;0,1,0))</f>
        <v/>
      </c>
      <c r="L480" s="12">
        <f>IF(H480&lt;&gt;1,0,IF((IF(Classifiers!$B$7="",0,IF(ISNUMBER(SEARCH(Classifiers!$B$7,E480)),1,0))+IF(Classifiers!$C$7="",0,IF(ISNUMBER(SEARCH(Classifiers!$C$7,E480)),1,0))+IF(Classifiers!$D$7="",0,IF(ISNUMBER(SEARCH(Classifiers!$D$7,E480)),1,0))+IF(Classifiers!$E$7="",0,IF(ISNUMBER(SEARCH(Classifiers!$E$7,E480)),1,0))+IF(Classifiers!$F$7="",0,IF(ISNUMBER(SEARCH(Classifiers!$F$7,E480)),1,0))+IF(Classifiers!$G$7="",0,IF(ISNUMBER(SEARCH(Classifiers!$G$7,E480)),1,0)))&gt;0,1,0))</f>
        <v/>
      </c>
      <c r="M480" s="12">
        <f>IF(H480&lt;&gt;1,0,IF((IF(Classifiers!$B$8="",0,IF(ISNUMBER(SEARCH(Classifiers!$B$8,E480)),1,0))+IF(Classifiers!$C$8="",0,IF(ISNUMBER(SEARCH(Classifiers!$C$8,E480)),1,0))+IF(Classifiers!$D$8="",0,IF(ISNUMBER(SEARCH(Classifiers!$D$8,E480)),1,0))+IF(Classifiers!$E$8="",0,IF(ISNUMBER(SEARCH(Classifiers!$E$8,E480)),1,0))+IF(Classifiers!$F$8="",0,IF(ISNUMBER(SEARCH(Classifiers!$F$8,E480)),1,0))+IF(Classifiers!$G$8="",0,IF(ISNUMBER(SEARCH(Classifiers!$G$8,E480)),1,0)))&gt;0,1,0))</f>
        <v/>
      </c>
      <c r="N480" s="12">
        <f>IF(H480&lt;&gt;1,0,IF((IF(Classifiers!$B$9="",0,IF(ISNUMBER(SEARCH(Classifiers!$B$9,E480)),1,0))+IF(Classifiers!$C$9="",0,IF(ISNUMBER(SEARCH(Classifiers!$C$9,E480)),1,0))+IF(Classifiers!$D$9="",0,IF(ISNUMBER(SEARCH(Classifiers!$D$9,E480)),1,0))+IF(Classifiers!$E$9="",0,IF(ISNUMBER(SEARCH(Classifiers!$E$9,E480)),1,0))+IF(Classifiers!$F$9="",0,IF(ISNUMBER(SEARCH(Classifiers!$F$9,E480)),1,0))+IF(Classifiers!$G$9="",0,IF(ISNUMBER(SEARCH(Classifiers!$G$9,E480)),1,0)))&gt;0,1,0))</f>
        <v/>
      </c>
      <c r="O480" s="12">
        <f>IF(H480&lt;&gt;1,0,IF((IF(Classifiers!$B$10="",0,IF(ISNUMBER(SEARCH(Classifiers!$B$10,E480)),1,0))+IF(Classifiers!$C$10="",0,IF(ISNUMBER(SEARCH(Classifiers!$C$10,E480)),1,0))+IF(Classifiers!$D$10="",0,IF(ISNUMBER(SEARCH(Classifiers!$D$10,E480)),1,0))+IF(Classifiers!$E$10="",0,IF(ISNUMBER(SEARCH(Classifiers!$E$10,E480)),1,0))+IF(Classifiers!$F$10="",0,IF(ISNUMBER(SEARCH(Classifiers!$F$10,E480)),1,0))+IF(Classifiers!$G$10="",0,IF(ISNUMBER(SEARCH(Classifiers!$G$10,E480)),1,0)))&gt;0,1,0))</f>
        <v/>
      </c>
      <c r="P480" s="12">
        <f>IF(H480&lt;&gt;1,0,IF((IF(Classifiers!$B$11="",0,IF(ISNUMBER(SEARCH(Classifiers!$B$11,E480)),1,0))+IF(Classifiers!$C$11="",0,IF(ISNUMBER(SEARCH(Classifiers!$C$11,E480)),1,0))+IF(Classifiers!$D$11="",0,IF(ISNUMBER(SEARCH(Classifiers!$D$11,E480)),1,0))+IF(Classifiers!$E$11="",0,IF(ISNUMBER(SEARCH(Classifiers!$E$11,E480)),1,0))+IF(Classifiers!$F$11="",0,IF(ISNUMBER(SEARCH(Classifiers!$F$11,E480)),1,0))+IF(Classifiers!$G$11="",0,IF(ISNUMBER(SEARCH(Classifiers!$G$11,E480)),1,0)))&gt;0,1,0))</f>
        <v/>
      </c>
      <c r="Q480" s="12">
        <f>IF(H480&lt;&gt;1,0,IF((IF(Classifiers!$B$12="",0,IF(ISNUMBER(SEARCH(Classifiers!$B$12,E480)),1,0))+IF(Classifiers!$C$12="",0,IF(ISNUMBER(SEARCH(Classifiers!$C$12,E480)),1,0))+IF(Classifiers!$D$12="",0,IF(ISNUMBER(SEARCH(Classifiers!$D$12,E480)),1,0))+IF(Classifiers!$E$12="",0,IF(ISNUMBER(SEARCH(Classifiers!$E$12,E480)),1,0))+IF(Classifiers!$F$12="",0,IF(ISNUMBER(SEARCH(Classifiers!$F$12,E480)),1,0))+IF(Classifiers!$G$12="",0,IF(ISNUMBER(SEARCH(Classifiers!$G$12,E480)),1,0)))&gt;0,1,0))</f>
        <v/>
      </c>
      <c r="R480" s="12">
        <f>IF(H480&lt;&gt;1,0,IF((IF(Classifiers!$B$13="",0,IF(ISNUMBER(SEARCH(Classifiers!$B$13,E480)),1,0))+IF(Classifiers!$C$13="",0,IF(ISNUMBER(SEARCH(Classifiers!$C$13,E480)),1,0))+IF(Classifiers!$D$13="",0,IF(ISNUMBER(SEARCH(Classifiers!$D$13,E480)),1,0))+IF(Classifiers!$E$13="",0,IF(ISNUMBER(SEARCH(Classifiers!$E$13,E480)),1,0))+IF(Classifiers!$F$13="",0,IF(ISNUMBER(SEARCH(Classifiers!$F$13,E480)),1,0))+IF(Classifiers!$G$13="",0,IF(ISNUMBER(SEARCH(Classifiers!$G$13,E480)),1,0)))&gt;0,1,0))</f>
        <v/>
      </c>
      <c r="S480" s="12">
        <f>IF(H480&lt;&gt;1,0,IF((IF(Classifiers!$B$14="",0,IF(ISNUMBER(SEARCH(Classifiers!$B$14,E480)),1,0))+IF(Classifiers!$C$14="",0,IF(ISNUMBER(SEARCH(Classifiers!$C$14,E480)),1,0))+IF(Classifiers!$D$14="",0,IF(ISNUMBER(SEARCH(Classifiers!$D$14,E480)),1,0))+IF(Classifiers!$E$14="",0,IF(ISNUMBER(SEARCH(Classifiers!$E$14,E480)),1,0))+IF(Classifiers!$F$14="",0,IF(ISNUMBER(SEARCH(Classifiers!$F$14,E480)),1,0))+IF(Classifiers!$G$14="",0,IF(ISNUMBER(SEARCH(Classifiers!$G$14,E480)),1,0)))&gt;0,1,0))</f>
        <v/>
      </c>
      <c r="T480" s="12">
        <f>IF(H480&lt;&gt;1,0,IF((IF(Classifiers!$B$15="",0,IF(ISNUMBER(SEARCH(Classifiers!$B$15,E480)),1,0))+IF(Classifiers!$C$15="",0,IF(ISNUMBER(SEARCH(Classifiers!$C$15,E480)),1,0))+IF(Classifiers!$D$15="",0,IF(ISNUMBER(SEARCH(Classifiers!$D$15,E480)),1,0))+IF(Classifiers!$E$15="",0,IF(ISNUMBER(SEARCH(Classifiers!$E$15,E480)),1,0))+IF(Classifiers!$F$15="",0,IF(ISNUMBER(SEARCH(Classifiers!$F$15,E480)),1,0))+IF(Classifiers!$G$15="",0,IF(ISNUMBER(SEARCH(Classifiers!$G$15,E480)),1,0)))&gt;0,1,0))</f>
        <v/>
      </c>
      <c r="U480" s="12">
        <f>IF(H480&lt;&gt;1,0,IF((IF(Classifiers!$B$16="",0,IF(ISNUMBER(SEARCH(Classifiers!$B$16,E480)),1,0))+IF(Classifiers!$C$16="",0,IF(ISNUMBER(SEARCH(Classifiers!$C$16,E480)),1,0))+IF(Classifiers!$D$16="",0,IF(ISNUMBER(SEARCH(Classifiers!$D$16,E480)),1,0))+IF(Classifiers!$E$16="",0,IF(ISNUMBER(SEARCH(Classifiers!$E$16,E480)),1,0))+IF(Classifiers!$F$16="",0,IF(ISNUMBER(SEARCH(Classifiers!$F$16,E480)),1,0))+IF(Classifiers!$G$16="",0,IF(ISNUMBER(SEARCH(Classifiers!$G$16,E480)),1,0)))&gt;0,1,0))</f>
        <v/>
      </c>
      <c r="V480" s="12">
        <f>IF(H480&lt;&gt;1,0,IF((IF(Classifiers!$B$17="",0,IF(ISNUMBER(SEARCH(Classifiers!$B$17,E480)),1,0))+IF(Classifiers!$C$17="",0,IF(ISNUMBER(SEARCH(Classifiers!$C$17,E480)),1,0))+IF(Classifiers!$D$17="",0,IF(ISNUMBER(SEARCH(Classifiers!$D$17,E480)),1,0))+IF(Classifiers!$E$17="",0,IF(ISNUMBER(SEARCH(Classifiers!$E$17,E480)),1,0))+IF(Classifiers!$F$17="",0,IF(ISNUMBER(SEARCH(Classifiers!$F$17,E480)),1,0))+IF(Classifiers!$G$17="",0,IF(ISNUMBER(SEARCH(Classifiers!$G$17,E480)),1,0)))&gt;0,1,0))</f>
        <v/>
      </c>
      <c r="W480" s="12">
        <f>IF(H480&lt;&gt;1,0,IF((IF(Classifiers!$B$18="",0,IF(ISNUMBER(SEARCH(Classifiers!$B$18,E480)),1,0))+IF(Classifiers!$C$18="",0,IF(ISNUMBER(SEARCH(Classifiers!$C$18,E480)),1,0))+IF(Classifiers!$D$18="",0,IF(ISNUMBER(SEARCH(Classifiers!$D$18,E480)),1,0))+IF(Classifiers!$E$18="",0,IF(ISNUMBER(SEARCH(Classifiers!$E$18,E480)),1,0))+IF(Classifiers!$F$18="",0,IF(ISNUMBER(SEARCH(Classifiers!$F$18,E480)),1,0))+IF(Classifiers!$G$18="",0,IF(ISNUMBER(SEARCH(Classifiers!$G$18,E480)),1,0)))&gt;0,1,0))</f>
        <v/>
      </c>
    </row>
    <row r="481">
      <c r="A481" s="8" t="n"/>
      <c r="B481" s="11" t="n"/>
      <c r="C481" s="6">
        <f>IF(A481="","",TRIM(RIGHT(SUBSTITUTE(A481,"/",REPT(" ",250)),250)))</f>
        <v/>
      </c>
      <c r="D481" s="6">
        <f>IF(C481="","",IF(ISNUMBER(SEARCH(".",C481)),LOWER("."&amp;TRIM(RIGHT(SUBSTITUTE(C481,".",REPT(" ",250)),250))),""))</f>
        <v/>
      </c>
      <c r="E481" s="6">
        <f>IF(C481="","",TRIM(SUBSTITUTE(SUBSTITUTE(SUBSTITUTE(SUBSTITUTE(SUBSTITUTE(SUBSTITUTE(SUBSTITUTE(SUBSTITUTE(SUBSTITUTE(SUBSTITUTE(SUBSTITUTE(SUBSTITUTE(SUBSTITUTE(SUBSTITUTE(SUBSTITUTE(SUBSTITUTE(SUBSTITUTE(SUBSTITUTE(SUBSTITUTE(SUBSTITUTE(LOWER(LEFT(C481,LEN(C481)-LEN(D481))),"_"," "),"-"," "),"."," "),","," "),"("," "),")"," "),"["," "),"]"," "),"&amp;"," "),"+"," "),"@"," "),"#"," "),"!"," "),"'"," "),"/"," "),":"," "),";"," "),"="," "),"~"," "),"%"," ")))</f>
        <v/>
      </c>
      <c r="F481" s="6">
        <f>IF(C481="","",IF(COUNTIF(Classifiers!$A$23:$A$40,D481)&gt;0,1,0))</f>
        <v/>
      </c>
      <c r="G481" s="6">
        <f>IF(C481="","",IF(COUNTIF(Classifiers!$C$23:$C$30,D481)&gt;0,IF((IF(ISNUMBER(SEARCH(Classifiers!$E$23,E481)),1,0)+IF(ISNUMBER(SEARCH(Classifiers!$E$24,E481)),1,0)+IF(ISNUMBER(SEARCH(Classifiers!$E$25,E481)),1,0)+IF(ISNUMBER(SEARCH(Classifiers!$E$26,E481)),1,0)+IF(ISNUMBER(SEARCH(Classifiers!$E$27,E481)),1,0)+IF(ISNUMBER(SEARCH(Classifiers!$E$28,E481)),1,0)+IF(ISNUMBER(SEARCH(Classifiers!$E$29,E481)),1,0)+IF(ISNUMBER(SEARCH(Classifiers!$E$30,E481)),1,0))&gt;0,1,0),0))</f>
        <v/>
      </c>
      <c r="H481" s="6">
        <f>IF(C481="","",IF(OR(LEFT(C481,1)=".",AND(F481=0,G481=0)),0,1))</f>
        <v/>
      </c>
      <c r="I481" s="6">
        <f>IF(H481&lt;&gt;1,"",IF(SUM(J481:W481)=0,"unclassified",INDEX(Classifiers!$A$5:$A$18,MATCH(1,J481:W481,0),1)))</f>
        <v/>
      </c>
      <c r="J481" s="12">
        <f>IF(H481&lt;&gt;1,0,IF((IF(Classifiers!$B$5="",0,IF(ISNUMBER(SEARCH(Classifiers!$B$5,E481)),1,0))+IF(Classifiers!$C$5="",0,IF(ISNUMBER(SEARCH(Classifiers!$C$5,E481)),1,0))+IF(Classifiers!$D$5="",0,IF(ISNUMBER(SEARCH(Classifiers!$D$5,E481)),1,0))+IF(Classifiers!$E$5="",0,IF(ISNUMBER(SEARCH(Classifiers!$E$5,E481)),1,0))+IF(Classifiers!$F$5="",0,IF(ISNUMBER(SEARCH(Classifiers!$F$5,E481)),1,0))+IF(Classifiers!$G$5="",0,IF(ISNUMBER(SEARCH(Classifiers!$G$5,E481)),1,0)))&gt;0,1,0))</f>
        <v/>
      </c>
      <c r="K481" s="12">
        <f>IF(H481&lt;&gt;1,0,IF((IF(Classifiers!$B$6="",0,IF(ISNUMBER(SEARCH(Classifiers!$B$6,E481)),1,0))+IF(Classifiers!$C$6="",0,IF(ISNUMBER(SEARCH(Classifiers!$C$6,E481)),1,0))+IF(Classifiers!$D$6="",0,IF(ISNUMBER(SEARCH(Classifiers!$D$6,E481)),1,0))+IF(Classifiers!$E$6="",0,IF(ISNUMBER(SEARCH(Classifiers!$E$6,E481)),1,0))+IF(Classifiers!$F$6="",0,IF(ISNUMBER(SEARCH(Classifiers!$F$6,E481)),1,0))+IF(Classifiers!$G$6="",0,IF(ISNUMBER(SEARCH(Classifiers!$G$6,E481)),1,0)))&gt;0,1,0))</f>
        <v/>
      </c>
      <c r="L481" s="12">
        <f>IF(H481&lt;&gt;1,0,IF((IF(Classifiers!$B$7="",0,IF(ISNUMBER(SEARCH(Classifiers!$B$7,E481)),1,0))+IF(Classifiers!$C$7="",0,IF(ISNUMBER(SEARCH(Classifiers!$C$7,E481)),1,0))+IF(Classifiers!$D$7="",0,IF(ISNUMBER(SEARCH(Classifiers!$D$7,E481)),1,0))+IF(Classifiers!$E$7="",0,IF(ISNUMBER(SEARCH(Classifiers!$E$7,E481)),1,0))+IF(Classifiers!$F$7="",0,IF(ISNUMBER(SEARCH(Classifiers!$F$7,E481)),1,0))+IF(Classifiers!$G$7="",0,IF(ISNUMBER(SEARCH(Classifiers!$G$7,E481)),1,0)))&gt;0,1,0))</f>
        <v/>
      </c>
      <c r="M481" s="12">
        <f>IF(H481&lt;&gt;1,0,IF((IF(Classifiers!$B$8="",0,IF(ISNUMBER(SEARCH(Classifiers!$B$8,E481)),1,0))+IF(Classifiers!$C$8="",0,IF(ISNUMBER(SEARCH(Classifiers!$C$8,E481)),1,0))+IF(Classifiers!$D$8="",0,IF(ISNUMBER(SEARCH(Classifiers!$D$8,E481)),1,0))+IF(Classifiers!$E$8="",0,IF(ISNUMBER(SEARCH(Classifiers!$E$8,E481)),1,0))+IF(Classifiers!$F$8="",0,IF(ISNUMBER(SEARCH(Classifiers!$F$8,E481)),1,0))+IF(Classifiers!$G$8="",0,IF(ISNUMBER(SEARCH(Classifiers!$G$8,E481)),1,0)))&gt;0,1,0))</f>
        <v/>
      </c>
      <c r="N481" s="12">
        <f>IF(H481&lt;&gt;1,0,IF((IF(Classifiers!$B$9="",0,IF(ISNUMBER(SEARCH(Classifiers!$B$9,E481)),1,0))+IF(Classifiers!$C$9="",0,IF(ISNUMBER(SEARCH(Classifiers!$C$9,E481)),1,0))+IF(Classifiers!$D$9="",0,IF(ISNUMBER(SEARCH(Classifiers!$D$9,E481)),1,0))+IF(Classifiers!$E$9="",0,IF(ISNUMBER(SEARCH(Classifiers!$E$9,E481)),1,0))+IF(Classifiers!$F$9="",0,IF(ISNUMBER(SEARCH(Classifiers!$F$9,E481)),1,0))+IF(Classifiers!$G$9="",0,IF(ISNUMBER(SEARCH(Classifiers!$G$9,E481)),1,0)))&gt;0,1,0))</f>
        <v/>
      </c>
      <c r="O481" s="12">
        <f>IF(H481&lt;&gt;1,0,IF((IF(Classifiers!$B$10="",0,IF(ISNUMBER(SEARCH(Classifiers!$B$10,E481)),1,0))+IF(Classifiers!$C$10="",0,IF(ISNUMBER(SEARCH(Classifiers!$C$10,E481)),1,0))+IF(Classifiers!$D$10="",0,IF(ISNUMBER(SEARCH(Classifiers!$D$10,E481)),1,0))+IF(Classifiers!$E$10="",0,IF(ISNUMBER(SEARCH(Classifiers!$E$10,E481)),1,0))+IF(Classifiers!$F$10="",0,IF(ISNUMBER(SEARCH(Classifiers!$F$10,E481)),1,0))+IF(Classifiers!$G$10="",0,IF(ISNUMBER(SEARCH(Classifiers!$G$10,E481)),1,0)))&gt;0,1,0))</f>
        <v/>
      </c>
      <c r="P481" s="12">
        <f>IF(H481&lt;&gt;1,0,IF((IF(Classifiers!$B$11="",0,IF(ISNUMBER(SEARCH(Classifiers!$B$11,E481)),1,0))+IF(Classifiers!$C$11="",0,IF(ISNUMBER(SEARCH(Classifiers!$C$11,E481)),1,0))+IF(Classifiers!$D$11="",0,IF(ISNUMBER(SEARCH(Classifiers!$D$11,E481)),1,0))+IF(Classifiers!$E$11="",0,IF(ISNUMBER(SEARCH(Classifiers!$E$11,E481)),1,0))+IF(Classifiers!$F$11="",0,IF(ISNUMBER(SEARCH(Classifiers!$F$11,E481)),1,0))+IF(Classifiers!$G$11="",0,IF(ISNUMBER(SEARCH(Classifiers!$G$11,E481)),1,0)))&gt;0,1,0))</f>
        <v/>
      </c>
      <c r="Q481" s="12">
        <f>IF(H481&lt;&gt;1,0,IF((IF(Classifiers!$B$12="",0,IF(ISNUMBER(SEARCH(Classifiers!$B$12,E481)),1,0))+IF(Classifiers!$C$12="",0,IF(ISNUMBER(SEARCH(Classifiers!$C$12,E481)),1,0))+IF(Classifiers!$D$12="",0,IF(ISNUMBER(SEARCH(Classifiers!$D$12,E481)),1,0))+IF(Classifiers!$E$12="",0,IF(ISNUMBER(SEARCH(Classifiers!$E$12,E481)),1,0))+IF(Classifiers!$F$12="",0,IF(ISNUMBER(SEARCH(Classifiers!$F$12,E481)),1,0))+IF(Classifiers!$G$12="",0,IF(ISNUMBER(SEARCH(Classifiers!$G$12,E481)),1,0)))&gt;0,1,0))</f>
        <v/>
      </c>
      <c r="R481" s="12">
        <f>IF(H481&lt;&gt;1,0,IF((IF(Classifiers!$B$13="",0,IF(ISNUMBER(SEARCH(Classifiers!$B$13,E481)),1,0))+IF(Classifiers!$C$13="",0,IF(ISNUMBER(SEARCH(Classifiers!$C$13,E481)),1,0))+IF(Classifiers!$D$13="",0,IF(ISNUMBER(SEARCH(Classifiers!$D$13,E481)),1,0))+IF(Classifiers!$E$13="",0,IF(ISNUMBER(SEARCH(Classifiers!$E$13,E481)),1,0))+IF(Classifiers!$F$13="",0,IF(ISNUMBER(SEARCH(Classifiers!$F$13,E481)),1,0))+IF(Classifiers!$G$13="",0,IF(ISNUMBER(SEARCH(Classifiers!$G$13,E481)),1,0)))&gt;0,1,0))</f>
        <v/>
      </c>
      <c r="S481" s="12">
        <f>IF(H481&lt;&gt;1,0,IF((IF(Classifiers!$B$14="",0,IF(ISNUMBER(SEARCH(Classifiers!$B$14,E481)),1,0))+IF(Classifiers!$C$14="",0,IF(ISNUMBER(SEARCH(Classifiers!$C$14,E481)),1,0))+IF(Classifiers!$D$14="",0,IF(ISNUMBER(SEARCH(Classifiers!$D$14,E481)),1,0))+IF(Classifiers!$E$14="",0,IF(ISNUMBER(SEARCH(Classifiers!$E$14,E481)),1,0))+IF(Classifiers!$F$14="",0,IF(ISNUMBER(SEARCH(Classifiers!$F$14,E481)),1,0))+IF(Classifiers!$G$14="",0,IF(ISNUMBER(SEARCH(Classifiers!$G$14,E481)),1,0)))&gt;0,1,0))</f>
        <v/>
      </c>
      <c r="T481" s="12">
        <f>IF(H481&lt;&gt;1,0,IF((IF(Classifiers!$B$15="",0,IF(ISNUMBER(SEARCH(Classifiers!$B$15,E481)),1,0))+IF(Classifiers!$C$15="",0,IF(ISNUMBER(SEARCH(Classifiers!$C$15,E481)),1,0))+IF(Classifiers!$D$15="",0,IF(ISNUMBER(SEARCH(Classifiers!$D$15,E481)),1,0))+IF(Classifiers!$E$15="",0,IF(ISNUMBER(SEARCH(Classifiers!$E$15,E481)),1,0))+IF(Classifiers!$F$15="",0,IF(ISNUMBER(SEARCH(Classifiers!$F$15,E481)),1,0))+IF(Classifiers!$G$15="",0,IF(ISNUMBER(SEARCH(Classifiers!$G$15,E481)),1,0)))&gt;0,1,0))</f>
        <v/>
      </c>
      <c r="U481" s="12">
        <f>IF(H481&lt;&gt;1,0,IF((IF(Classifiers!$B$16="",0,IF(ISNUMBER(SEARCH(Classifiers!$B$16,E481)),1,0))+IF(Classifiers!$C$16="",0,IF(ISNUMBER(SEARCH(Classifiers!$C$16,E481)),1,0))+IF(Classifiers!$D$16="",0,IF(ISNUMBER(SEARCH(Classifiers!$D$16,E481)),1,0))+IF(Classifiers!$E$16="",0,IF(ISNUMBER(SEARCH(Classifiers!$E$16,E481)),1,0))+IF(Classifiers!$F$16="",0,IF(ISNUMBER(SEARCH(Classifiers!$F$16,E481)),1,0))+IF(Classifiers!$G$16="",0,IF(ISNUMBER(SEARCH(Classifiers!$G$16,E481)),1,0)))&gt;0,1,0))</f>
        <v/>
      </c>
      <c r="V481" s="12">
        <f>IF(H481&lt;&gt;1,0,IF((IF(Classifiers!$B$17="",0,IF(ISNUMBER(SEARCH(Classifiers!$B$17,E481)),1,0))+IF(Classifiers!$C$17="",0,IF(ISNUMBER(SEARCH(Classifiers!$C$17,E481)),1,0))+IF(Classifiers!$D$17="",0,IF(ISNUMBER(SEARCH(Classifiers!$D$17,E481)),1,0))+IF(Classifiers!$E$17="",0,IF(ISNUMBER(SEARCH(Classifiers!$E$17,E481)),1,0))+IF(Classifiers!$F$17="",0,IF(ISNUMBER(SEARCH(Classifiers!$F$17,E481)),1,0))+IF(Classifiers!$G$17="",0,IF(ISNUMBER(SEARCH(Classifiers!$G$17,E481)),1,0)))&gt;0,1,0))</f>
        <v/>
      </c>
      <c r="W481" s="12">
        <f>IF(H481&lt;&gt;1,0,IF((IF(Classifiers!$B$18="",0,IF(ISNUMBER(SEARCH(Classifiers!$B$18,E481)),1,0))+IF(Classifiers!$C$18="",0,IF(ISNUMBER(SEARCH(Classifiers!$C$18,E481)),1,0))+IF(Classifiers!$D$18="",0,IF(ISNUMBER(SEARCH(Classifiers!$D$18,E481)),1,0))+IF(Classifiers!$E$18="",0,IF(ISNUMBER(SEARCH(Classifiers!$E$18,E481)),1,0))+IF(Classifiers!$F$18="",0,IF(ISNUMBER(SEARCH(Classifiers!$F$18,E481)),1,0))+IF(Classifiers!$G$18="",0,IF(ISNUMBER(SEARCH(Classifiers!$G$18,E481)),1,0)))&gt;0,1,0))</f>
        <v/>
      </c>
    </row>
    <row r="482">
      <c r="A482" s="8" t="n"/>
      <c r="B482" s="11" t="n"/>
      <c r="C482" s="6">
        <f>IF(A482="","",TRIM(RIGHT(SUBSTITUTE(A482,"/",REPT(" ",250)),250)))</f>
        <v/>
      </c>
      <c r="D482" s="6">
        <f>IF(C482="","",IF(ISNUMBER(SEARCH(".",C482)),LOWER("."&amp;TRIM(RIGHT(SUBSTITUTE(C482,".",REPT(" ",250)),250))),""))</f>
        <v/>
      </c>
      <c r="E482" s="6">
        <f>IF(C482="","",TRIM(SUBSTITUTE(SUBSTITUTE(SUBSTITUTE(SUBSTITUTE(SUBSTITUTE(SUBSTITUTE(SUBSTITUTE(SUBSTITUTE(SUBSTITUTE(SUBSTITUTE(SUBSTITUTE(SUBSTITUTE(SUBSTITUTE(SUBSTITUTE(SUBSTITUTE(SUBSTITUTE(SUBSTITUTE(SUBSTITUTE(SUBSTITUTE(SUBSTITUTE(LOWER(LEFT(C482,LEN(C482)-LEN(D482))),"_"," "),"-"," "),"."," "),","," "),"("," "),")"," "),"["," "),"]"," "),"&amp;"," "),"+"," "),"@"," "),"#"," "),"!"," "),"'"," "),"/"," "),":"," "),";"," "),"="," "),"~"," "),"%"," ")))</f>
        <v/>
      </c>
      <c r="F482" s="6">
        <f>IF(C482="","",IF(COUNTIF(Classifiers!$A$23:$A$40,D482)&gt;0,1,0))</f>
        <v/>
      </c>
      <c r="G482" s="6">
        <f>IF(C482="","",IF(COUNTIF(Classifiers!$C$23:$C$30,D482)&gt;0,IF((IF(ISNUMBER(SEARCH(Classifiers!$E$23,E482)),1,0)+IF(ISNUMBER(SEARCH(Classifiers!$E$24,E482)),1,0)+IF(ISNUMBER(SEARCH(Classifiers!$E$25,E482)),1,0)+IF(ISNUMBER(SEARCH(Classifiers!$E$26,E482)),1,0)+IF(ISNUMBER(SEARCH(Classifiers!$E$27,E482)),1,0)+IF(ISNUMBER(SEARCH(Classifiers!$E$28,E482)),1,0)+IF(ISNUMBER(SEARCH(Classifiers!$E$29,E482)),1,0)+IF(ISNUMBER(SEARCH(Classifiers!$E$30,E482)),1,0))&gt;0,1,0),0))</f>
        <v/>
      </c>
      <c r="H482" s="6">
        <f>IF(C482="","",IF(OR(LEFT(C482,1)=".",AND(F482=0,G482=0)),0,1))</f>
        <v/>
      </c>
      <c r="I482" s="6">
        <f>IF(H482&lt;&gt;1,"",IF(SUM(J482:W482)=0,"unclassified",INDEX(Classifiers!$A$5:$A$18,MATCH(1,J482:W482,0),1)))</f>
        <v/>
      </c>
      <c r="J482" s="12">
        <f>IF(H482&lt;&gt;1,0,IF((IF(Classifiers!$B$5="",0,IF(ISNUMBER(SEARCH(Classifiers!$B$5,E482)),1,0))+IF(Classifiers!$C$5="",0,IF(ISNUMBER(SEARCH(Classifiers!$C$5,E482)),1,0))+IF(Classifiers!$D$5="",0,IF(ISNUMBER(SEARCH(Classifiers!$D$5,E482)),1,0))+IF(Classifiers!$E$5="",0,IF(ISNUMBER(SEARCH(Classifiers!$E$5,E482)),1,0))+IF(Classifiers!$F$5="",0,IF(ISNUMBER(SEARCH(Classifiers!$F$5,E482)),1,0))+IF(Classifiers!$G$5="",0,IF(ISNUMBER(SEARCH(Classifiers!$G$5,E482)),1,0)))&gt;0,1,0))</f>
        <v/>
      </c>
      <c r="K482" s="12">
        <f>IF(H482&lt;&gt;1,0,IF((IF(Classifiers!$B$6="",0,IF(ISNUMBER(SEARCH(Classifiers!$B$6,E482)),1,0))+IF(Classifiers!$C$6="",0,IF(ISNUMBER(SEARCH(Classifiers!$C$6,E482)),1,0))+IF(Classifiers!$D$6="",0,IF(ISNUMBER(SEARCH(Classifiers!$D$6,E482)),1,0))+IF(Classifiers!$E$6="",0,IF(ISNUMBER(SEARCH(Classifiers!$E$6,E482)),1,0))+IF(Classifiers!$F$6="",0,IF(ISNUMBER(SEARCH(Classifiers!$F$6,E482)),1,0))+IF(Classifiers!$G$6="",0,IF(ISNUMBER(SEARCH(Classifiers!$G$6,E482)),1,0)))&gt;0,1,0))</f>
        <v/>
      </c>
      <c r="L482" s="12">
        <f>IF(H482&lt;&gt;1,0,IF((IF(Classifiers!$B$7="",0,IF(ISNUMBER(SEARCH(Classifiers!$B$7,E482)),1,0))+IF(Classifiers!$C$7="",0,IF(ISNUMBER(SEARCH(Classifiers!$C$7,E482)),1,0))+IF(Classifiers!$D$7="",0,IF(ISNUMBER(SEARCH(Classifiers!$D$7,E482)),1,0))+IF(Classifiers!$E$7="",0,IF(ISNUMBER(SEARCH(Classifiers!$E$7,E482)),1,0))+IF(Classifiers!$F$7="",0,IF(ISNUMBER(SEARCH(Classifiers!$F$7,E482)),1,0))+IF(Classifiers!$G$7="",0,IF(ISNUMBER(SEARCH(Classifiers!$G$7,E482)),1,0)))&gt;0,1,0))</f>
        <v/>
      </c>
      <c r="M482" s="12">
        <f>IF(H482&lt;&gt;1,0,IF((IF(Classifiers!$B$8="",0,IF(ISNUMBER(SEARCH(Classifiers!$B$8,E482)),1,0))+IF(Classifiers!$C$8="",0,IF(ISNUMBER(SEARCH(Classifiers!$C$8,E482)),1,0))+IF(Classifiers!$D$8="",0,IF(ISNUMBER(SEARCH(Classifiers!$D$8,E482)),1,0))+IF(Classifiers!$E$8="",0,IF(ISNUMBER(SEARCH(Classifiers!$E$8,E482)),1,0))+IF(Classifiers!$F$8="",0,IF(ISNUMBER(SEARCH(Classifiers!$F$8,E482)),1,0))+IF(Classifiers!$G$8="",0,IF(ISNUMBER(SEARCH(Classifiers!$G$8,E482)),1,0)))&gt;0,1,0))</f>
        <v/>
      </c>
      <c r="N482" s="12">
        <f>IF(H482&lt;&gt;1,0,IF((IF(Classifiers!$B$9="",0,IF(ISNUMBER(SEARCH(Classifiers!$B$9,E482)),1,0))+IF(Classifiers!$C$9="",0,IF(ISNUMBER(SEARCH(Classifiers!$C$9,E482)),1,0))+IF(Classifiers!$D$9="",0,IF(ISNUMBER(SEARCH(Classifiers!$D$9,E482)),1,0))+IF(Classifiers!$E$9="",0,IF(ISNUMBER(SEARCH(Classifiers!$E$9,E482)),1,0))+IF(Classifiers!$F$9="",0,IF(ISNUMBER(SEARCH(Classifiers!$F$9,E482)),1,0))+IF(Classifiers!$G$9="",0,IF(ISNUMBER(SEARCH(Classifiers!$G$9,E482)),1,0)))&gt;0,1,0))</f>
        <v/>
      </c>
      <c r="O482" s="12">
        <f>IF(H482&lt;&gt;1,0,IF((IF(Classifiers!$B$10="",0,IF(ISNUMBER(SEARCH(Classifiers!$B$10,E482)),1,0))+IF(Classifiers!$C$10="",0,IF(ISNUMBER(SEARCH(Classifiers!$C$10,E482)),1,0))+IF(Classifiers!$D$10="",0,IF(ISNUMBER(SEARCH(Classifiers!$D$10,E482)),1,0))+IF(Classifiers!$E$10="",0,IF(ISNUMBER(SEARCH(Classifiers!$E$10,E482)),1,0))+IF(Classifiers!$F$10="",0,IF(ISNUMBER(SEARCH(Classifiers!$F$10,E482)),1,0))+IF(Classifiers!$G$10="",0,IF(ISNUMBER(SEARCH(Classifiers!$G$10,E482)),1,0)))&gt;0,1,0))</f>
        <v/>
      </c>
      <c r="P482" s="12">
        <f>IF(H482&lt;&gt;1,0,IF((IF(Classifiers!$B$11="",0,IF(ISNUMBER(SEARCH(Classifiers!$B$11,E482)),1,0))+IF(Classifiers!$C$11="",0,IF(ISNUMBER(SEARCH(Classifiers!$C$11,E482)),1,0))+IF(Classifiers!$D$11="",0,IF(ISNUMBER(SEARCH(Classifiers!$D$11,E482)),1,0))+IF(Classifiers!$E$11="",0,IF(ISNUMBER(SEARCH(Classifiers!$E$11,E482)),1,0))+IF(Classifiers!$F$11="",0,IF(ISNUMBER(SEARCH(Classifiers!$F$11,E482)),1,0))+IF(Classifiers!$G$11="",0,IF(ISNUMBER(SEARCH(Classifiers!$G$11,E482)),1,0)))&gt;0,1,0))</f>
        <v/>
      </c>
      <c r="Q482" s="12">
        <f>IF(H482&lt;&gt;1,0,IF((IF(Classifiers!$B$12="",0,IF(ISNUMBER(SEARCH(Classifiers!$B$12,E482)),1,0))+IF(Classifiers!$C$12="",0,IF(ISNUMBER(SEARCH(Classifiers!$C$12,E482)),1,0))+IF(Classifiers!$D$12="",0,IF(ISNUMBER(SEARCH(Classifiers!$D$12,E482)),1,0))+IF(Classifiers!$E$12="",0,IF(ISNUMBER(SEARCH(Classifiers!$E$12,E482)),1,0))+IF(Classifiers!$F$12="",0,IF(ISNUMBER(SEARCH(Classifiers!$F$12,E482)),1,0))+IF(Classifiers!$G$12="",0,IF(ISNUMBER(SEARCH(Classifiers!$G$12,E482)),1,0)))&gt;0,1,0))</f>
        <v/>
      </c>
      <c r="R482" s="12">
        <f>IF(H482&lt;&gt;1,0,IF((IF(Classifiers!$B$13="",0,IF(ISNUMBER(SEARCH(Classifiers!$B$13,E482)),1,0))+IF(Classifiers!$C$13="",0,IF(ISNUMBER(SEARCH(Classifiers!$C$13,E482)),1,0))+IF(Classifiers!$D$13="",0,IF(ISNUMBER(SEARCH(Classifiers!$D$13,E482)),1,0))+IF(Classifiers!$E$13="",0,IF(ISNUMBER(SEARCH(Classifiers!$E$13,E482)),1,0))+IF(Classifiers!$F$13="",0,IF(ISNUMBER(SEARCH(Classifiers!$F$13,E482)),1,0))+IF(Classifiers!$G$13="",0,IF(ISNUMBER(SEARCH(Classifiers!$G$13,E482)),1,0)))&gt;0,1,0))</f>
        <v/>
      </c>
      <c r="S482" s="12">
        <f>IF(H482&lt;&gt;1,0,IF((IF(Classifiers!$B$14="",0,IF(ISNUMBER(SEARCH(Classifiers!$B$14,E482)),1,0))+IF(Classifiers!$C$14="",0,IF(ISNUMBER(SEARCH(Classifiers!$C$14,E482)),1,0))+IF(Classifiers!$D$14="",0,IF(ISNUMBER(SEARCH(Classifiers!$D$14,E482)),1,0))+IF(Classifiers!$E$14="",0,IF(ISNUMBER(SEARCH(Classifiers!$E$14,E482)),1,0))+IF(Classifiers!$F$14="",0,IF(ISNUMBER(SEARCH(Classifiers!$F$14,E482)),1,0))+IF(Classifiers!$G$14="",0,IF(ISNUMBER(SEARCH(Classifiers!$G$14,E482)),1,0)))&gt;0,1,0))</f>
        <v/>
      </c>
      <c r="T482" s="12">
        <f>IF(H482&lt;&gt;1,0,IF((IF(Classifiers!$B$15="",0,IF(ISNUMBER(SEARCH(Classifiers!$B$15,E482)),1,0))+IF(Classifiers!$C$15="",0,IF(ISNUMBER(SEARCH(Classifiers!$C$15,E482)),1,0))+IF(Classifiers!$D$15="",0,IF(ISNUMBER(SEARCH(Classifiers!$D$15,E482)),1,0))+IF(Classifiers!$E$15="",0,IF(ISNUMBER(SEARCH(Classifiers!$E$15,E482)),1,0))+IF(Classifiers!$F$15="",0,IF(ISNUMBER(SEARCH(Classifiers!$F$15,E482)),1,0))+IF(Classifiers!$G$15="",0,IF(ISNUMBER(SEARCH(Classifiers!$G$15,E482)),1,0)))&gt;0,1,0))</f>
        <v/>
      </c>
      <c r="U482" s="12">
        <f>IF(H482&lt;&gt;1,0,IF((IF(Classifiers!$B$16="",0,IF(ISNUMBER(SEARCH(Classifiers!$B$16,E482)),1,0))+IF(Classifiers!$C$16="",0,IF(ISNUMBER(SEARCH(Classifiers!$C$16,E482)),1,0))+IF(Classifiers!$D$16="",0,IF(ISNUMBER(SEARCH(Classifiers!$D$16,E482)),1,0))+IF(Classifiers!$E$16="",0,IF(ISNUMBER(SEARCH(Classifiers!$E$16,E482)),1,0))+IF(Classifiers!$F$16="",0,IF(ISNUMBER(SEARCH(Classifiers!$F$16,E482)),1,0))+IF(Classifiers!$G$16="",0,IF(ISNUMBER(SEARCH(Classifiers!$G$16,E482)),1,0)))&gt;0,1,0))</f>
        <v/>
      </c>
      <c r="V482" s="12">
        <f>IF(H482&lt;&gt;1,0,IF((IF(Classifiers!$B$17="",0,IF(ISNUMBER(SEARCH(Classifiers!$B$17,E482)),1,0))+IF(Classifiers!$C$17="",0,IF(ISNUMBER(SEARCH(Classifiers!$C$17,E482)),1,0))+IF(Classifiers!$D$17="",0,IF(ISNUMBER(SEARCH(Classifiers!$D$17,E482)),1,0))+IF(Classifiers!$E$17="",0,IF(ISNUMBER(SEARCH(Classifiers!$E$17,E482)),1,0))+IF(Classifiers!$F$17="",0,IF(ISNUMBER(SEARCH(Classifiers!$F$17,E482)),1,0))+IF(Classifiers!$G$17="",0,IF(ISNUMBER(SEARCH(Classifiers!$G$17,E482)),1,0)))&gt;0,1,0))</f>
        <v/>
      </c>
      <c r="W482" s="12">
        <f>IF(H482&lt;&gt;1,0,IF((IF(Classifiers!$B$18="",0,IF(ISNUMBER(SEARCH(Classifiers!$B$18,E482)),1,0))+IF(Classifiers!$C$18="",0,IF(ISNUMBER(SEARCH(Classifiers!$C$18,E482)),1,0))+IF(Classifiers!$D$18="",0,IF(ISNUMBER(SEARCH(Classifiers!$D$18,E482)),1,0))+IF(Classifiers!$E$18="",0,IF(ISNUMBER(SEARCH(Classifiers!$E$18,E482)),1,0))+IF(Classifiers!$F$18="",0,IF(ISNUMBER(SEARCH(Classifiers!$F$18,E482)),1,0))+IF(Classifiers!$G$18="",0,IF(ISNUMBER(SEARCH(Classifiers!$G$18,E482)),1,0)))&gt;0,1,0))</f>
        <v/>
      </c>
    </row>
    <row r="483">
      <c r="A483" s="8" t="n"/>
      <c r="B483" s="11" t="n"/>
      <c r="C483" s="6">
        <f>IF(A483="","",TRIM(RIGHT(SUBSTITUTE(A483,"/",REPT(" ",250)),250)))</f>
        <v/>
      </c>
      <c r="D483" s="6">
        <f>IF(C483="","",IF(ISNUMBER(SEARCH(".",C483)),LOWER("."&amp;TRIM(RIGHT(SUBSTITUTE(C483,".",REPT(" ",250)),250))),""))</f>
        <v/>
      </c>
      <c r="E483" s="6">
        <f>IF(C483="","",TRIM(SUBSTITUTE(SUBSTITUTE(SUBSTITUTE(SUBSTITUTE(SUBSTITUTE(SUBSTITUTE(SUBSTITUTE(SUBSTITUTE(SUBSTITUTE(SUBSTITUTE(SUBSTITUTE(SUBSTITUTE(SUBSTITUTE(SUBSTITUTE(SUBSTITUTE(SUBSTITUTE(SUBSTITUTE(SUBSTITUTE(SUBSTITUTE(SUBSTITUTE(LOWER(LEFT(C483,LEN(C483)-LEN(D483))),"_"," "),"-"," "),"."," "),","," "),"("," "),")"," "),"["," "),"]"," "),"&amp;"," "),"+"," "),"@"," "),"#"," "),"!"," "),"'"," "),"/"," "),":"," "),";"," "),"="," "),"~"," "),"%"," ")))</f>
        <v/>
      </c>
      <c r="F483" s="6">
        <f>IF(C483="","",IF(COUNTIF(Classifiers!$A$23:$A$40,D483)&gt;0,1,0))</f>
        <v/>
      </c>
      <c r="G483" s="6">
        <f>IF(C483="","",IF(COUNTIF(Classifiers!$C$23:$C$30,D483)&gt;0,IF((IF(ISNUMBER(SEARCH(Classifiers!$E$23,E483)),1,0)+IF(ISNUMBER(SEARCH(Classifiers!$E$24,E483)),1,0)+IF(ISNUMBER(SEARCH(Classifiers!$E$25,E483)),1,0)+IF(ISNUMBER(SEARCH(Classifiers!$E$26,E483)),1,0)+IF(ISNUMBER(SEARCH(Classifiers!$E$27,E483)),1,0)+IF(ISNUMBER(SEARCH(Classifiers!$E$28,E483)),1,0)+IF(ISNUMBER(SEARCH(Classifiers!$E$29,E483)),1,0)+IF(ISNUMBER(SEARCH(Classifiers!$E$30,E483)),1,0))&gt;0,1,0),0))</f>
        <v/>
      </c>
      <c r="H483" s="6">
        <f>IF(C483="","",IF(OR(LEFT(C483,1)=".",AND(F483=0,G483=0)),0,1))</f>
        <v/>
      </c>
      <c r="I483" s="6">
        <f>IF(H483&lt;&gt;1,"",IF(SUM(J483:W483)=0,"unclassified",INDEX(Classifiers!$A$5:$A$18,MATCH(1,J483:W483,0),1)))</f>
        <v/>
      </c>
      <c r="J483" s="12">
        <f>IF(H483&lt;&gt;1,0,IF((IF(Classifiers!$B$5="",0,IF(ISNUMBER(SEARCH(Classifiers!$B$5,E483)),1,0))+IF(Classifiers!$C$5="",0,IF(ISNUMBER(SEARCH(Classifiers!$C$5,E483)),1,0))+IF(Classifiers!$D$5="",0,IF(ISNUMBER(SEARCH(Classifiers!$D$5,E483)),1,0))+IF(Classifiers!$E$5="",0,IF(ISNUMBER(SEARCH(Classifiers!$E$5,E483)),1,0))+IF(Classifiers!$F$5="",0,IF(ISNUMBER(SEARCH(Classifiers!$F$5,E483)),1,0))+IF(Classifiers!$G$5="",0,IF(ISNUMBER(SEARCH(Classifiers!$G$5,E483)),1,0)))&gt;0,1,0))</f>
        <v/>
      </c>
      <c r="K483" s="12">
        <f>IF(H483&lt;&gt;1,0,IF((IF(Classifiers!$B$6="",0,IF(ISNUMBER(SEARCH(Classifiers!$B$6,E483)),1,0))+IF(Classifiers!$C$6="",0,IF(ISNUMBER(SEARCH(Classifiers!$C$6,E483)),1,0))+IF(Classifiers!$D$6="",0,IF(ISNUMBER(SEARCH(Classifiers!$D$6,E483)),1,0))+IF(Classifiers!$E$6="",0,IF(ISNUMBER(SEARCH(Classifiers!$E$6,E483)),1,0))+IF(Classifiers!$F$6="",0,IF(ISNUMBER(SEARCH(Classifiers!$F$6,E483)),1,0))+IF(Classifiers!$G$6="",0,IF(ISNUMBER(SEARCH(Classifiers!$G$6,E483)),1,0)))&gt;0,1,0))</f>
        <v/>
      </c>
      <c r="L483" s="12">
        <f>IF(H483&lt;&gt;1,0,IF((IF(Classifiers!$B$7="",0,IF(ISNUMBER(SEARCH(Classifiers!$B$7,E483)),1,0))+IF(Classifiers!$C$7="",0,IF(ISNUMBER(SEARCH(Classifiers!$C$7,E483)),1,0))+IF(Classifiers!$D$7="",0,IF(ISNUMBER(SEARCH(Classifiers!$D$7,E483)),1,0))+IF(Classifiers!$E$7="",0,IF(ISNUMBER(SEARCH(Classifiers!$E$7,E483)),1,0))+IF(Classifiers!$F$7="",0,IF(ISNUMBER(SEARCH(Classifiers!$F$7,E483)),1,0))+IF(Classifiers!$G$7="",0,IF(ISNUMBER(SEARCH(Classifiers!$G$7,E483)),1,0)))&gt;0,1,0))</f>
        <v/>
      </c>
      <c r="M483" s="12">
        <f>IF(H483&lt;&gt;1,0,IF((IF(Classifiers!$B$8="",0,IF(ISNUMBER(SEARCH(Classifiers!$B$8,E483)),1,0))+IF(Classifiers!$C$8="",0,IF(ISNUMBER(SEARCH(Classifiers!$C$8,E483)),1,0))+IF(Classifiers!$D$8="",0,IF(ISNUMBER(SEARCH(Classifiers!$D$8,E483)),1,0))+IF(Classifiers!$E$8="",0,IF(ISNUMBER(SEARCH(Classifiers!$E$8,E483)),1,0))+IF(Classifiers!$F$8="",0,IF(ISNUMBER(SEARCH(Classifiers!$F$8,E483)),1,0))+IF(Classifiers!$G$8="",0,IF(ISNUMBER(SEARCH(Classifiers!$G$8,E483)),1,0)))&gt;0,1,0))</f>
        <v/>
      </c>
      <c r="N483" s="12">
        <f>IF(H483&lt;&gt;1,0,IF((IF(Classifiers!$B$9="",0,IF(ISNUMBER(SEARCH(Classifiers!$B$9,E483)),1,0))+IF(Classifiers!$C$9="",0,IF(ISNUMBER(SEARCH(Classifiers!$C$9,E483)),1,0))+IF(Classifiers!$D$9="",0,IF(ISNUMBER(SEARCH(Classifiers!$D$9,E483)),1,0))+IF(Classifiers!$E$9="",0,IF(ISNUMBER(SEARCH(Classifiers!$E$9,E483)),1,0))+IF(Classifiers!$F$9="",0,IF(ISNUMBER(SEARCH(Classifiers!$F$9,E483)),1,0))+IF(Classifiers!$G$9="",0,IF(ISNUMBER(SEARCH(Classifiers!$G$9,E483)),1,0)))&gt;0,1,0))</f>
        <v/>
      </c>
      <c r="O483" s="12">
        <f>IF(H483&lt;&gt;1,0,IF((IF(Classifiers!$B$10="",0,IF(ISNUMBER(SEARCH(Classifiers!$B$10,E483)),1,0))+IF(Classifiers!$C$10="",0,IF(ISNUMBER(SEARCH(Classifiers!$C$10,E483)),1,0))+IF(Classifiers!$D$10="",0,IF(ISNUMBER(SEARCH(Classifiers!$D$10,E483)),1,0))+IF(Classifiers!$E$10="",0,IF(ISNUMBER(SEARCH(Classifiers!$E$10,E483)),1,0))+IF(Classifiers!$F$10="",0,IF(ISNUMBER(SEARCH(Classifiers!$F$10,E483)),1,0))+IF(Classifiers!$G$10="",0,IF(ISNUMBER(SEARCH(Classifiers!$G$10,E483)),1,0)))&gt;0,1,0))</f>
        <v/>
      </c>
      <c r="P483" s="12">
        <f>IF(H483&lt;&gt;1,0,IF((IF(Classifiers!$B$11="",0,IF(ISNUMBER(SEARCH(Classifiers!$B$11,E483)),1,0))+IF(Classifiers!$C$11="",0,IF(ISNUMBER(SEARCH(Classifiers!$C$11,E483)),1,0))+IF(Classifiers!$D$11="",0,IF(ISNUMBER(SEARCH(Classifiers!$D$11,E483)),1,0))+IF(Classifiers!$E$11="",0,IF(ISNUMBER(SEARCH(Classifiers!$E$11,E483)),1,0))+IF(Classifiers!$F$11="",0,IF(ISNUMBER(SEARCH(Classifiers!$F$11,E483)),1,0))+IF(Classifiers!$G$11="",0,IF(ISNUMBER(SEARCH(Classifiers!$G$11,E483)),1,0)))&gt;0,1,0))</f>
        <v/>
      </c>
      <c r="Q483" s="12">
        <f>IF(H483&lt;&gt;1,0,IF((IF(Classifiers!$B$12="",0,IF(ISNUMBER(SEARCH(Classifiers!$B$12,E483)),1,0))+IF(Classifiers!$C$12="",0,IF(ISNUMBER(SEARCH(Classifiers!$C$12,E483)),1,0))+IF(Classifiers!$D$12="",0,IF(ISNUMBER(SEARCH(Classifiers!$D$12,E483)),1,0))+IF(Classifiers!$E$12="",0,IF(ISNUMBER(SEARCH(Classifiers!$E$12,E483)),1,0))+IF(Classifiers!$F$12="",0,IF(ISNUMBER(SEARCH(Classifiers!$F$12,E483)),1,0))+IF(Classifiers!$G$12="",0,IF(ISNUMBER(SEARCH(Classifiers!$G$12,E483)),1,0)))&gt;0,1,0))</f>
        <v/>
      </c>
      <c r="R483" s="12">
        <f>IF(H483&lt;&gt;1,0,IF((IF(Classifiers!$B$13="",0,IF(ISNUMBER(SEARCH(Classifiers!$B$13,E483)),1,0))+IF(Classifiers!$C$13="",0,IF(ISNUMBER(SEARCH(Classifiers!$C$13,E483)),1,0))+IF(Classifiers!$D$13="",0,IF(ISNUMBER(SEARCH(Classifiers!$D$13,E483)),1,0))+IF(Classifiers!$E$13="",0,IF(ISNUMBER(SEARCH(Classifiers!$E$13,E483)),1,0))+IF(Classifiers!$F$13="",0,IF(ISNUMBER(SEARCH(Classifiers!$F$13,E483)),1,0))+IF(Classifiers!$G$13="",0,IF(ISNUMBER(SEARCH(Classifiers!$G$13,E483)),1,0)))&gt;0,1,0))</f>
        <v/>
      </c>
      <c r="S483" s="12">
        <f>IF(H483&lt;&gt;1,0,IF((IF(Classifiers!$B$14="",0,IF(ISNUMBER(SEARCH(Classifiers!$B$14,E483)),1,0))+IF(Classifiers!$C$14="",0,IF(ISNUMBER(SEARCH(Classifiers!$C$14,E483)),1,0))+IF(Classifiers!$D$14="",0,IF(ISNUMBER(SEARCH(Classifiers!$D$14,E483)),1,0))+IF(Classifiers!$E$14="",0,IF(ISNUMBER(SEARCH(Classifiers!$E$14,E483)),1,0))+IF(Classifiers!$F$14="",0,IF(ISNUMBER(SEARCH(Classifiers!$F$14,E483)),1,0))+IF(Classifiers!$G$14="",0,IF(ISNUMBER(SEARCH(Classifiers!$G$14,E483)),1,0)))&gt;0,1,0))</f>
        <v/>
      </c>
      <c r="T483" s="12">
        <f>IF(H483&lt;&gt;1,0,IF((IF(Classifiers!$B$15="",0,IF(ISNUMBER(SEARCH(Classifiers!$B$15,E483)),1,0))+IF(Classifiers!$C$15="",0,IF(ISNUMBER(SEARCH(Classifiers!$C$15,E483)),1,0))+IF(Classifiers!$D$15="",0,IF(ISNUMBER(SEARCH(Classifiers!$D$15,E483)),1,0))+IF(Classifiers!$E$15="",0,IF(ISNUMBER(SEARCH(Classifiers!$E$15,E483)),1,0))+IF(Classifiers!$F$15="",0,IF(ISNUMBER(SEARCH(Classifiers!$F$15,E483)),1,0))+IF(Classifiers!$G$15="",0,IF(ISNUMBER(SEARCH(Classifiers!$G$15,E483)),1,0)))&gt;0,1,0))</f>
        <v/>
      </c>
      <c r="U483" s="12">
        <f>IF(H483&lt;&gt;1,0,IF((IF(Classifiers!$B$16="",0,IF(ISNUMBER(SEARCH(Classifiers!$B$16,E483)),1,0))+IF(Classifiers!$C$16="",0,IF(ISNUMBER(SEARCH(Classifiers!$C$16,E483)),1,0))+IF(Classifiers!$D$16="",0,IF(ISNUMBER(SEARCH(Classifiers!$D$16,E483)),1,0))+IF(Classifiers!$E$16="",0,IF(ISNUMBER(SEARCH(Classifiers!$E$16,E483)),1,0))+IF(Classifiers!$F$16="",0,IF(ISNUMBER(SEARCH(Classifiers!$F$16,E483)),1,0))+IF(Classifiers!$G$16="",0,IF(ISNUMBER(SEARCH(Classifiers!$G$16,E483)),1,0)))&gt;0,1,0))</f>
        <v/>
      </c>
      <c r="V483" s="12">
        <f>IF(H483&lt;&gt;1,0,IF((IF(Classifiers!$B$17="",0,IF(ISNUMBER(SEARCH(Classifiers!$B$17,E483)),1,0))+IF(Classifiers!$C$17="",0,IF(ISNUMBER(SEARCH(Classifiers!$C$17,E483)),1,0))+IF(Classifiers!$D$17="",0,IF(ISNUMBER(SEARCH(Classifiers!$D$17,E483)),1,0))+IF(Classifiers!$E$17="",0,IF(ISNUMBER(SEARCH(Classifiers!$E$17,E483)),1,0))+IF(Classifiers!$F$17="",0,IF(ISNUMBER(SEARCH(Classifiers!$F$17,E483)),1,0))+IF(Classifiers!$G$17="",0,IF(ISNUMBER(SEARCH(Classifiers!$G$17,E483)),1,0)))&gt;0,1,0))</f>
        <v/>
      </c>
      <c r="W483" s="12">
        <f>IF(H483&lt;&gt;1,0,IF((IF(Classifiers!$B$18="",0,IF(ISNUMBER(SEARCH(Classifiers!$B$18,E483)),1,0))+IF(Classifiers!$C$18="",0,IF(ISNUMBER(SEARCH(Classifiers!$C$18,E483)),1,0))+IF(Classifiers!$D$18="",0,IF(ISNUMBER(SEARCH(Classifiers!$D$18,E483)),1,0))+IF(Classifiers!$E$18="",0,IF(ISNUMBER(SEARCH(Classifiers!$E$18,E483)),1,0))+IF(Classifiers!$F$18="",0,IF(ISNUMBER(SEARCH(Classifiers!$F$18,E483)),1,0))+IF(Classifiers!$G$18="",0,IF(ISNUMBER(SEARCH(Classifiers!$G$18,E483)),1,0)))&gt;0,1,0))</f>
        <v/>
      </c>
    </row>
    <row r="484">
      <c r="A484" s="8" t="n"/>
      <c r="B484" s="11" t="n"/>
      <c r="C484" s="6">
        <f>IF(A484="","",TRIM(RIGHT(SUBSTITUTE(A484,"/",REPT(" ",250)),250)))</f>
        <v/>
      </c>
      <c r="D484" s="6">
        <f>IF(C484="","",IF(ISNUMBER(SEARCH(".",C484)),LOWER("."&amp;TRIM(RIGHT(SUBSTITUTE(C484,".",REPT(" ",250)),250))),""))</f>
        <v/>
      </c>
      <c r="E484" s="6">
        <f>IF(C484="","",TRIM(SUBSTITUTE(SUBSTITUTE(SUBSTITUTE(SUBSTITUTE(SUBSTITUTE(SUBSTITUTE(SUBSTITUTE(SUBSTITUTE(SUBSTITUTE(SUBSTITUTE(SUBSTITUTE(SUBSTITUTE(SUBSTITUTE(SUBSTITUTE(SUBSTITUTE(SUBSTITUTE(SUBSTITUTE(SUBSTITUTE(SUBSTITUTE(SUBSTITUTE(LOWER(LEFT(C484,LEN(C484)-LEN(D484))),"_"," "),"-"," "),"."," "),","," "),"("," "),")"," "),"["," "),"]"," "),"&amp;"," "),"+"," "),"@"," "),"#"," "),"!"," "),"'"," "),"/"," "),":"," "),";"," "),"="," "),"~"," "),"%"," ")))</f>
        <v/>
      </c>
      <c r="F484" s="6">
        <f>IF(C484="","",IF(COUNTIF(Classifiers!$A$23:$A$40,D484)&gt;0,1,0))</f>
        <v/>
      </c>
      <c r="G484" s="6">
        <f>IF(C484="","",IF(COUNTIF(Classifiers!$C$23:$C$30,D484)&gt;0,IF((IF(ISNUMBER(SEARCH(Classifiers!$E$23,E484)),1,0)+IF(ISNUMBER(SEARCH(Classifiers!$E$24,E484)),1,0)+IF(ISNUMBER(SEARCH(Classifiers!$E$25,E484)),1,0)+IF(ISNUMBER(SEARCH(Classifiers!$E$26,E484)),1,0)+IF(ISNUMBER(SEARCH(Classifiers!$E$27,E484)),1,0)+IF(ISNUMBER(SEARCH(Classifiers!$E$28,E484)),1,0)+IF(ISNUMBER(SEARCH(Classifiers!$E$29,E484)),1,0)+IF(ISNUMBER(SEARCH(Classifiers!$E$30,E484)),1,0))&gt;0,1,0),0))</f>
        <v/>
      </c>
      <c r="H484" s="6">
        <f>IF(C484="","",IF(OR(LEFT(C484,1)=".",AND(F484=0,G484=0)),0,1))</f>
        <v/>
      </c>
      <c r="I484" s="6">
        <f>IF(H484&lt;&gt;1,"",IF(SUM(J484:W484)=0,"unclassified",INDEX(Classifiers!$A$5:$A$18,MATCH(1,J484:W484,0),1)))</f>
        <v/>
      </c>
      <c r="J484" s="12">
        <f>IF(H484&lt;&gt;1,0,IF((IF(Classifiers!$B$5="",0,IF(ISNUMBER(SEARCH(Classifiers!$B$5,E484)),1,0))+IF(Classifiers!$C$5="",0,IF(ISNUMBER(SEARCH(Classifiers!$C$5,E484)),1,0))+IF(Classifiers!$D$5="",0,IF(ISNUMBER(SEARCH(Classifiers!$D$5,E484)),1,0))+IF(Classifiers!$E$5="",0,IF(ISNUMBER(SEARCH(Classifiers!$E$5,E484)),1,0))+IF(Classifiers!$F$5="",0,IF(ISNUMBER(SEARCH(Classifiers!$F$5,E484)),1,0))+IF(Classifiers!$G$5="",0,IF(ISNUMBER(SEARCH(Classifiers!$G$5,E484)),1,0)))&gt;0,1,0))</f>
        <v/>
      </c>
      <c r="K484" s="12">
        <f>IF(H484&lt;&gt;1,0,IF((IF(Classifiers!$B$6="",0,IF(ISNUMBER(SEARCH(Classifiers!$B$6,E484)),1,0))+IF(Classifiers!$C$6="",0,IF(ISNUMBER(SEARCH(Classifiers!$C$6,E484)),1,0))+IF(Classifiers!$D$6="",0,IF(ISNUMBER(SEARCH(Classifiers!$D$6,E484)),1,0))+IF(Classifiers!$E$6="",0,IF(ISNUMBER(SEARCH(Classifiers!$E$6,E484)),1,0))+IF(Classifiers!$F$6="",0,IF(ISNUMBER(SEARCH(Classifiers!$F$6,E484)),1,0))+IF(Classifiers!$G$6="",0,IF(ISNUMBER(SEARCH(Classifiers!$G$6,E484)),1,0)))&gt;0,1,0))</f>
        <v/>
      </c>
      <c r="L484" s="12">
        <f>IF(H484&lt;&gt;1,0,IF((IF(Classifiers!$B$7="",0,IF(ISNUMBER(SEARCH(Classifiers!$B$7,E484)),1,0))+IF(Classifiers!$C$7="",0,IF(ISNUMBER(SEARCH(Classifiers!$C$7,E484)),1,0))+IF(Classifiers!$D$7="",0,IF(ISNUMBER(SEARCH(Classifiers!$D$7,E484)),1,0))+IF(Classifiers!$E$7="",0,IF(ISNUMBER(SEARCH(Classifiers!$E$7,E484)),1,0))+IF(Classifiers!$F$7="",0,IF(ISNUMBER(SEARCH(Classifiers!$F$7,E484)),1,0))+IF(Classifiers!$G$7="",0,IF(ISNUMBER(SEARCH(Classifiers!$G$7,E484)),1,0)))&gt;0,1,0))</f>
        <v/>
      </c>
      <c r="M484" s="12">
        <f>IF(H484&lt;&gt;1,0,IF((IF(Classifiers!$B$8="",0,IF(ISNUMBER(SEARCH(Classifiers!$B$8,E484)),1,0))+IF(Classifiers!$C$8="",0,IF(ISNUMBER(SEARCH(Classifiers!$C$8,E484)),1,0))+IF(Classifiers!$D$8="",0,IF(ISNUMBER(SEARCH(Classifiers!$D$8,E484)),1,0))+IF(Classifiers!$E$8="",0,IF(ISNUMBER(SEARCH(Classifiers!$E$8,E484)),1,0))+IF(Classifiers!$F$8="",0,IF(ISNUMBER(SEARCH(Classifiers!$F$8,E484)),1,0))+IF(Classifiers!$G$8="",0,IF(ISNUMBER(SEARCH(Classifiers!$G$8,E484)),1,0)))&gt;0,1,0))</f>
        <v/>
      </c>
      <c r="N484" s="12">
        <f>IF(H484&lt;&gt;1,0,IF((IF(Classifiers!$B$9="",0,IF(ISNUMBER(SEARCH(Classifiers!$B$9,E484)),1,0))+IF(Classifiers!$C$9="",0,IF(ISNUMBER(SEARCH(Classifiers!$C$9,E484)),1,0))+IF(Classifiers!$D$9="",0,IF(ISNUMBER(SEARCH(Classifiers!$D$9,E484)),1,0))+IF(Classifiers!$E$9="",0,IF(ISNUMBER(SEARCH(Classifiers!$E$9,E484)),1,0))+IF(Classifiers!$F$9="",0,IF(ISNUMBER(SEARCH(Classifiers!$F$9,E484)),1,0))+IF(Classifiers!$G$9="",0,IF(ISNUMBER(SEARCH(Classifiers!$G$9,E484)),1,0)))&gt;0,1,0))</f>
        <v/>
      </c>
      <c r="O484" s="12">
        <f>IF(H484&lt;&gt;1,0,IF((IF(Classifiers!$B$10="",0,IF(ISNUMBER(SEARCH(Classifiers!$B$10,E484)),1,0))+IF(Classifiers!$C$10="",0,IF(ISNUMBER(SEARCH(Classifiers!$C$10,E484)),1,0))+IF(Classifiers!$D$10="",0,IF(ISNUMBER(SEARCH(Classifiers!$D$10,E484)),1,0))+IF(Classifiers!$E$10="",0,IF(ISNUMBER(SEARCH(Classifiers!$E$10,E484)),1,0))+IF(Classifiers!$F$10="",0,IF(ISNUMBER(SEARCH(Classifiers!$F$10,E484)),1,0))+IF(Classifiers!$G$10="",0,IF(ISNUMBER(SEARCH(Classifiers!$G$10,E484)),1,0)))&gt;0,1,0))</f>
        <v/>
      </c>
      <c r="P484" s="12">
        <f>IF(H484&lt;&gt;1,0,IF((IF(Classifiers!$B$11="",0,IF(ISNUMBER(SEARCH(Classifiers!$B$11,E484)),1,0))+IF(Classifiers!$C$11="",0,IF(ISNUMBER(SEARCH(Classifiers!$C$11,E484)),1,0))+IF(Classifiers!$D$11="",0,IF(ISNUMBER(SEARCH(Classifiers!$D$11,E484)),1,0))+IF(Classifiers!$E$11="",0,IF(ISNUMBER(SEARCH(Classifiers!$E$11,E484)),1,0))+IF(Classifiers!$F$11="",0,IF(ISNUMBER(SEARCH(Classifiers!$F$11,E484)),1,0))+IF(Classifiers!$G$11="",0,IF(ISNUMBER(SEARCH(Classifiers!$G$11,E484)),1,0)))&gt;0,1,0))</f>
        <v/>
      </c>
      <c r="Q484" s="12">
        <f>IF(H484&lt;&gt;1,0,IF((IF(Classifiers!$B$12="",0,IF(ISNUMBER(SEARCH(Classifiers!$B$12,E484)),1,0))+IF(Classifiers!$C$12="",0,IF(ISNUMBER(SEARCH(Classifiers!$C$12,E484)),1,0))+IF(Classifiers!$D$12="",0,IF(ISNUMBER(SEARCH(Classifiers!$D$12,E484)),1,0))+IF(Classifiers!$E$12="",0,IF(ISNUMBER(SEARCH(Classifiers!$E$12,E484)),1,0))+IF(Classifiers!$F$12="",0,IF(ISNUMBER(SEARCH(Classifiers!$F$12,E484)),1,0))+IF(Classifiers!$G$12="",0,IF(ISNUMBER(SEARCH(Classifiers!$G$12,E484)),1,0)))&gt;0,1,0))</f>
        <v/>
      </c>
      <c r="R484" s="12">
        <f>IF(H484&lt;&gt;1,0,IF((IF(Classifiers!$B$13="",0,IF(ISNUMBER(SEARCH(Classifiers!$B$13,E484)),1,0))+IF(Classifiers!$C$13="",0,IF(ISNUMBER(SEARCH(Classifiers!$C$13,E484)),1,0))+IF(Classifiers!$D$13="",0,IF(ISNUMBER(SEARCH(Classifiers!$D$13,E484)),1,0))+IF(Classifiers!$E$13="",0,IF(ISNUMBER(SEARCH(Classifiers!$E$13,E484)),1,0))+IF(Classifiers!$F$13="",0,IF(ISNUMBER(SEARCH(Classifiers!$F$13,E484)),1,0))+IF(Classifiers!$G$13="",0,IF(ISNUMBER(SEARCH(Classifiers!$G$13,E484)),1,0)))&gt;0,1,0))</f>
        <v/>
      </c>
      <c r="S484" s="12">
        <f>IF(H484&lt;&gt;1,0,IF((IF(Classifiers!$B$14="",0,IF(ISNUMBER(SEARCH(Classifiers!$B$14,E484)),1,0))+IF(Classifiers!$C$14="",0,IF(ISNUMBER(SEARCH(Classifiers!$C$14,E484)),1,0))+IF(Classifiers!$D$14="",0,IF(ISNUMBER(SEARCH(Classifiers!$D$14,E484)),1,0))+IF(Classifiers!$E$14="",0,IF(ISNUMBER(SEARCH(Classifiers!$E$14,E484)),1,0))+IF(Classifiers!$F$14="",0,IF(ISNUMBER(SEARCH(Classifiers!$F$14,E484)),1,0))+IF(Classifiers!$G$14="",0,IF(ISNUMBER(SEARCH(Classifiers!$G$14,E484)),1,0)))&gt;0,1,0))</f>
        <v/>
      </c>
      <c r="T484" s="12">
        <f>IF(H484&lt;&gt;1,0,IF((IF(Classifiers!$B$15="",0,IF(ISNUMBER(SEARCH(Classifiers!$B$15,E484)),1,0))+IF(Classifiers!$C$15="",0,IF(ISNUMBER(SEARCH(Classifiers!$C$15,E484)),1,0))+IF(Classifiers!$D$15="",0,IF(ISNUMBER(SEARCH(Classifiers!$D$15,E484)),1,0))+IF(Classifiers!$E$15="",0,IF(ISNUMBER(SEARCH(Classifiers!$E$15,E484)),1,0))+IF(Classifiers!$F$15="",0,IF(ISNUMBER(SEARCH(Classifiers!$F$15,E484)),1,0))+IF(Classifiers!$G$15="",0,IF(ISNUMBER(SEARCH(Classifiers!$G$15,E484)),1,0)))&gt;0,1,0))</f>
        <v/>
      </c>
      <c r="U484" s="12">
        <f>IF(H484&lt;&gt;1,0,IF((IF(Classifiers!$B$16="",0,IF(ISNUMBER(SEARCH(Classifiers!$B$16,E484)),1,0))+IF(Classifiers!$C$16="",0,IF(ISNUMBER(SEARCH(Classifiers!$C$16,E484)),1,0))+IF(Classifiers!$D$16="",0,IF(ISNUMBER(SEARCH(Classifiers!$D$16,E484)),1,0))+IF(Classifiers!$E$16="",0,IF(ISNUMBER(SEARCH(Classifiers!$E$16,E484)),1,0))+IF(Classifiers!$F$16="",0,IF(ISNUMBER(SEARCH(Classifiers!$F$16,E484)),1,0))+IF(Classifiers!$G$16="",0,IF(ISNUMBER(SEARCH(Classifiers!$G$16,E484)),1,0)))&gt;0,1,0))</f>
        <v/>
      </c>
      <c r="V484" s="12">
        <f>IF(H484&lt;&gt;1,0,IF((IF(Classifiers!$B$17="",0,IF(ISNUMBER(SEARCH(Classifiers!$B$17,E484)),1,0))+IF(Classifiers!$C$17="",0,IF(ISNUMBER(SEARCH(Classifiers!$C$17,E484)),1,0))+IF(Classifiers!$D$17="",0,IF(ISNUMBER(SEARCH(Classifiers!$D$17,E484)),1,0))+IF(Classifiers!$E$17="",0,IF(ISNUMBER(SEARCH(Classifiers!$E$17,E484)),1,0))+IF(Classifiers!$F$17="",0,IF(ISNUMBER(SEARCH(Classifiers!$F$17,E484)),1,0))+IF(Classifiers!$G$17="",0,IF(ISNUMBER(SEARCH(Classifiers!$G$17,E484)),1,0)))&gt;0,1,0))</f>
        <v/>
      </c>
      <c r="W484" s="12">
        <f>IF(H484&lt;&gt;1,0,IF((IF(Classifiers!$B$18="",0,IF(ISNUMBER(SEARCH(Classifiers!$B$18,E484)),1,0))+IF(Classifiers!$C$18="",0,IF(ISNUMBER(SEARCH(Classifiers!$C$18,E484)),1,0))+IF(Classifiers!$D$18="",0,IF(ISNUMBER(SEARCH(Classifiers!$D$18,E484)),1,0))+IF(Classifiers!$E$18="",0,IF(ISNUMBER(SEARCH(Classifiers!$E$18,E484)),1,0))+IF(Classifiers!$F$18="",0,IF(ISNUMBER(SEARCH(Classifiers!$F$18,E484)),1,0))+IF(Classifiers!$G$18="",0,IF(ISNUMBER(SEARCH(Classifiers!$G$18,E484)),1,0)))&gt;0,1,0))</f>
        <v/>
      </c>
    </row>
    <row r="485">
      <c r="A485" s="8" t="n"/>
      <c r="B485" s="11" t="n"/>
      <c r="C485" s="6">
        <f>IF(A485="","",TRIM(RIGHT(SUBSTITUTE(A485,"/",REPT(" ",250)),250)))</f>
        <v/>
      </c>
      <c r="D485" s="6">
        <f>IF(C485="","",IF(ISNUMBER(SEARCH(".",C485)),LOWER("."&amp;TRIM(RIGHT(SUBSTITUTE(C485,".",REPT(" ",250)),250))),""))</f>
        <v/>
      </c>
      <c r="E485" s="6">
        <f>IF(C485="","",TRIM(SUBSTITUTE(SUBSTITUTE(SUBSTITUTE(SUBSTITUTE(SUBSTITUTE(SUBSTITUTE(SUBSTITUTE(SUBSTITUTE(SUBSTITUTE(SUBSTITUTE(SUBSTITUTE(SUBSTITUTE(SUBSTITUTE(SUBSTITUTE(SUBSTITUTE(SUBSTITUTE(SUBSTITUTE(SUBSTITUTE(SUBSTITUTE(SUBSTITUTE(LOWER(LEFT(C485,LEN(C485)-LEN(D485))),"_"," "),"-"," "),"."," "),","," "),"("," "),")"," "),"["," "),"]"," "),"&amp;"," "),"+"," "),"@"," "),"#"," "),"!"," "),"'"," "),"/"," "),":"," "),";"," "),"="," "),"~"," "),"%"," ")))</f>
        <v/>
      </c>
      <c r="F485" s="6">
        <f>IF(C485="","",IF(COUNTIF(Classifiers!$A$23:$A$40,D485)&gt;0,1,0))</f>
        <v/>
      </c>
      <c r="G485" s="6">
        <f>IF(C485="","",IF(COUNTIF(Classifiers!$C$23:$C$30,D485)&gt;0,IF((IF(ISNUMBER(SEARCH(Classifiers!$E$23,E485)),1,0)+IF(ISNUMBER(SEARCH(Classifiers!$E$24,E485)),1,0)+IF(ISNUMBER(SEARCH(Classifiers!$E$25,E485)),1,0)+IF(ISNUMBER(SEARCH(Classifiers!$E$26,E485)),1,0)+IF(ISNUMBER(SEARCH(Classifiers!$E$27,E485)),1,0)+IF(ISNUMBER(SEARCH(Classifiers!$E$28,E485)),1,0)+IF(ISNUMBER(SEARCH(Classifiers!$E$29,E485)),1,0)+IF(ISNUMBER(SEARCH(Classifiers!$E$30,E485)),1,0))&gt;0,1,0),0))</f>
        <v/>
      </c>
      <c r="H485" s="6">
        <f>IF(C485="","",IF(OR(LEFT(C485,1)=".",AND(F485=0,G485=0)),0,1))</f>
        <v/>
      </c>
      <c r="I485" s="6">
        <f>IF(H485&lt;&gt;1,"",IF(SUM(J485:W485)=0,"unclassified",INDEX(Classifiers!$A$5:$A$18,MATCH(1,J485:W485,0),1)))</f>
        <v/>
      </c>
      <c r="J485" s="12">
        <f>IF(H485&lt;&gt;1,0,IF((IF(Classifiers!$B$5="",0,IF(ISNUMBER(SEARCH(Classifiers!$B$5,E485)),1,0))+IF(Classifiers!$C$5="",0,IF(ISNUMBER(SEARCH(Classifiers!$C$5,E485)),1,0))+IF(Classifiers!$D$5="",0,IF(ISNUMBER(SEARCH(Classifiers!$D$5,E485)),1,0))+IF(Classifiers!$E$5="",0,IF(ISNUMBER(SEARCH(Classifiers!$E$5,E485)),1,0))+IF(Classifiers!$F$5="",0,IF(ISNUMBER(SEARCH(Classifiers!$F$5,E485)),1,0))+IF(Classifiers!$G$5="",0,IF(ISNUMBER(SEARCH(Classifiers!$G$5,E485)),1,0)))&gt;0,1,0))</f>
        <v/>
      </c>
      <c r="K485" s="12">
        <f>IF(H485&lt;&gt;1,0,IF((IF(Classifiers!$B$6="",0,IF(ISNUMBER(SEARCH(Classifiers!$B$6,E485)),1,0))+IF(Classifiers!$C$6="",0,IF(ISNUMBER(SEARCH(Classifiers!$C$6,E485)),1,0))+IF(Classifiers!$D$6="",0,IF(ISNUMBER(SEARCH(Classifiers!$D$6,E485)),1,0))+IF(Classifiers!$E$6="",0,IF(ISNUMBER(SEARCH(Classifiers!$E$6,E485)),1,0))+IF(Classifiers!$F$6="",0,IF(ISNUMBER(SEARCH(Classifiers!$F$6,E485)),1,0))+IF(Classifiers!$G$6="",0,IF(ISNUMBER(SEARCH(Classifiers!$G$6,E485)),1,0)))&gt;0,1,0))</f>
        <v/>
      </c>
      <c r="L485" s="12">
        <f>IF(H485&lt;&gt;1,0,IF((IF(Classifiers!$B$7="",0,IF(ISNUMBER(SEARCH(Classifiers!$B$7,E485)),1,0))+IF(Classifiers!$C$7="",0,IF(ISNUMBER(SEARCH(Classifiers!$C$7,E485)),1,0))+IF(Classifiers!$D$7="",0,IF(ISNUMBER(SEARCH(Classifiers!$D$7,E485)),1,0))+IF(Classifiers!$E$7="",0,IF(ISNUMBER(SEARCH(Classifiers!$E$7,E485)),1,0))+IF(Classifiers!$F$7="",0,IF(ISNUMBER(SEARCH(Classifiers!$F$7,E485)),1,0))+IF(Classifiers!$G$7="",0,IF(ISNUMBER(SEARCH(Classifiers!$G$7,E485)),1,0)))&gt;0,1,0))</f>
        <v/>
      </c>
      <c r="M485" s="12">
        <f>IF(H485&lt;&gt;1,0,IF((IF(Classifiers!$B$8="",0,IF(ISNUMBER(SEARCH(Classifiers!$B$8,E485)),1,0))+IF(Classifiers!$C$8="",0,IF(ISNUMBER(SEARCH(Classifiers!$C$8,E485)),1,0))+IF(Classifiers!$D$8="",0,IF(ISNUMBER(SEARCH(Classifiers!$D$8,E485)),1,0))+IF(Classifiers!$E$8="",0,IF(ISNUMBER(SEARCH(Classifiers!$E$8,E485)),1,0))+IF(Classifiers!$F$8="",0,IF(ISNUMBER(SEARCH(Classifiers!$F$8,E485)),1,0))+IF(Classifiers!$G$8="",0,IF(ISNUMBER(SEARCH(Classifiers!$G$8,E485)),1,0)))&gt;0,1,0))</f>
        <v/>
      </c>
      <c r="N485" s="12">
        <f>IF(H485&lt;&gt;1,0,IF((IF(Classifiers!$B$9="",0,IF(ISNUMBER(SEARCH(Classifiers!$B$9,E485)),1,0))+IF(Classifiers!$C$9="",0,IF(ISNUMBER(SEARCH(Classifiers!$C$9,E485)),1,0))+IF(Classifiers!$D$9="",0,IF(ISNUMBER(SEARCH(Classifiers!$D$9,E485)),1,0))+IF(Classifiers!$E$9="",0,IF(ISNUMBER(SEARCH(Classifiers!$E$9,E485)),1,0))+IF(Classifiers!$F$9="",0,IF(ISNUMBER(SEARCH(Classifiers!$F$9,E485)),1,0))+IF(Classifiers!$G$9="",0,IF(ISNUMBER(SEARCH(Classifiers!$G$9,E485)),1,0)))&gt;0,1,0))</f>
        <v/>
      </c>
      <c r="O485" s="12">
        <f>IF(H485&lt;&gt;1,0,IF((IF(Classifiers!$B$10="",0,IF(ISNUMBER(SEARCH(Classifiers!$B$10,E485)),1,0))+IF(Classifiers!$C$10="",0,IF(ISNUMBER(SEARCH(Classifiers!$C$10,E485)),1,0))+IF(Classifiers!$D$10="",0,IF(ISNUMBER(SEARCH(Classifiers!$D$10,E485)),1,0))+IF(Classifiers!$E$10="",0,IF(ISNUMBER(SEARCH(Classifiers!$E$10,E485)),1,0))+IF(Classifiers!$F$10="",0,IF(ISNUMBER(SEARCH(Classifiers!$F$10,E485)),1,0))+IF(Classifiers!$G$10="",0,IF(ISNUMBER(SEARCH(Classifiers!$G$10,E485)),1,0)))&gt;0,1,0))</f>
        <v/>
      </c>
      <c r="P485" s="12">
        <f>IF(H485&lt;&gt;1,0,IF((IF(Classifiers!$B$11="",0,IF(ISNUMBER(SEARCH(Classifiers!$B$11,E485)),1,0))+IF(Classifiers!$C$11="",0,IF(ISNUMBER(SEARCH(Classifiers!$C$11,E485)),1,0))+IF(Classifiers!$D$11="",0,IF(ISNUMBER(SEARCH(Classifiers!$D$11,E485)),1,0))+IF(Classifiers!$E$11="",0,IF(ISNUMBER(SEARCH(Classifiers!$E$11,E485)),1,0))+IF(Classifiers!$F$11="",0,IF(ISNUMBER(SEARCH(Classifiers!$F$11,E485)),1,0))+IF(Classifiers!$G$11="",0,IF(ISNUMBER(SEARCH(Classifiers!$G$11,E485)),1,0)))&gt;0,1,0))</f>
        <v/>
      </c>
      <c r="Q485" s="12">
        <f>IF(H485&lt;&gt;1,0,IF((IF(Classifiers!$B$12="",0,IF(ISNUMBER(SEARCH(Classifiers!$B$12,E485)),1,0))+IF(Classifiers!$C$12="",0,IF(ISNUMBER(SEARCH(Classifiers!$C$12,E485)),1,0))+IF(Classifiers!$D$12="",0,IF(ISNUMBER(SEARCH(Classifiers!$D$12,E485)),1,0))+IF(Classifiers!$E$12="",0,IF(ISNUMBER(SEARCH(Classifiers!$E$12,E485)),1,0))+IF(Classifiers!$F$12="",0,IF(ISNUMBER(SEARCH(Classifiers!$F$12,E485)),1,0))+IF(Classifiers!$G$12="",0,IF(ISNUMBER(SEARCH(Classifiers!$G$12,E485)),1,0)))&gt;0,1,0))</f>
        <v/>
      </c>
      <c r="R485" s="12">
        <f>IF(H485&lt;&gt;1,0,IF((IF(Classifiers!$B$13="",0,IF(ISNUMBER(SEARCH(Classifiers!$B$13,E485)),1,0))+IF(Classifiers!$C$13="",0,IF(ISNUMBER(SEARCH(Classifiers!$C$13,E485)),1,0))+IF(Classifiers!$D$13="",0,IF(ISNUMBER(SEARCH(Classifiers!$D$13,E485)),1,0))+IF(Classifiers!$E$13="",0,IF(ISNUMBER(SEARCH(Classifiers!$E$13,E485)),1,0))+IF(Classifiers!$F$13="",0,IF(ISNUMBER(SEARCH(Classifiers!$F$13,E485)),1,0))+IF(Classifiers!$G$13="",0,IF(ISNUMBER(SEARCH(Classifiers!$G$13,E485)),1,0)))&gt;0,1,0))</f>
        <v/>
      </c>
      <c r="S485" s="12">
        <f>IF(H485&lt;&gt;1,0,IF((IF(Classifiers!$B$14="",0,IF(ISNUMBER(SEARCH(Classifiers!$B$14,E485)),1,0))+IF(Classifiers!$C$14="",0,IF(ISNUMBER(SEARCH(Classifiers!$C$14,E485)),1,0))+IF(Classifiers!$D$14="",0,IF(ISNUMBER(SEARCH(Classifiers!$D$14,E485)),1,0))+IF(Classifiers!$E$14="",0,IF(ISNUMBER(SEARCH(Classifiers!$E$14,E485)),1,0))+IF(Classifiers!$F$14="",0,IF(ISNUMBER(SEARCH(Classifiers!$F$14,E485)),1,0))+IF(Classifiers!$G$14="",0,IF(ISNUMBER(SEARCH(Classifiers!$G$14,E485)),1,0)))&gt;0,1,0))</f>
        <v/>
      </c>
      <c r="T485" s="12">
        <f>IF(H485&lt;&gt;1,0,IF((IF(Classifiers!$B$15="",0,IF(ISNUMBER(SEARCH(Classifiers!$B$15,E485)),1,0))+IF(Classifiers!$C$15="",0,IF(ISNUMBER(SEARCH(Classifiers!$C$15,E485)),1,0))+IF(Classifiers!$D$15="",0,IF(ISNUMBER(SEARCH(Classifiers!$D$15,E485)),1,0))+IF(Classifiers!$E$15="",0,IF(ISNUMBER(SEARCH(Classifiers!$E$15,E485)),1,0))+IF(Classifiers!$F$15="",0,IF(ISNUMBER(SEARCH(Classifiers!$F$15,E485)),1,0))+IF(Classifiers!$G$15="",0,IF(ISNUMBER(SEARCH(Classifiers!$G$15,E485)),1,0)))&gt;0,1,0))</f>
        <v/>
      </c>
      <c r="U485" s="12">
        <f>IF(H485&lt;&gt;1,0,IF((IF(Classifiers!$B$16="",0,IF(ISNUMBER(SEARCH(Classifiers!$B$16,E485)),1,0))+IF(Classifiers!$C$16="",0,IF(ISNUMBER(SEARCH(Classifiers!$C$16,E485)),1,0))+IF(Classifiers!$D$16="",0,IF(ISNUMBER(SEARCH(Classifiers!$D$16,E485)),1,0))+IF(Classifiers!$E$16="",0,IF(ISNUMBER(SEARCH(Classifiers!$E$16,E485)),1,0))+IF(Classifiers!$F$16="",0,IF(ISNUMBER(SEARCH(Classifiers!$F$16,E485)),1,0))+IF(Classifiers!$G$16="",0,IF(ISNUMBER(SEARCH(Classifiers!$G$16,E485)),1,0)))&gt;0,1,0))</f>
        <v/>
      </c>
      <c r="V485" s="12">
        <f>IF(H485&lt;&gt;1,0,IF((IF(Classifiers!$B$17="",0,IF(ISNUMBER(SEARCH(Classifiers!$B$17,E485)),1,0))+IF(Classifiers!$C$17="",0,IF(ISNUMBER(SEARCH(Classifiers!$C$17,E485)),1,0))+IF(Classifiers!$D$17="",0,IF(ISNUMBER(SEARCH(Classifiers!$D$17,E485)),1,0))+IF(Classifiers!$E$17="",0,IF(ISNUMBER(SEARCH(Classifiers!$E$17,E485)),1,0))+IF(Classifiers!$F$17="",0,IF(ISNUMBER(SEARCH(Classifiers!$F$17,E485)),1,0))+IF(Classifiers!$G$17="",0,IF(ISNUMBER(SEARCH(Classifiers!$G$17,E485)),1,0)))&gt;0,1,0))</f>
        <v/>
      </c>
      <c r="W485" s="12">
        <f>IF(H485&lt;&gt;1,0,IF((IF(Classifiers!$B$18="",0,IF(ISNUMBER(SEARCH(Classifiers!$B$18,E485)),1,0))+IF(Classifiers!$C$18="",0,IF(ISNUMBER(SEARCH(Classifiers!$C$18,E485)),1,0))+IF(Classifiers!$D$18="",0,IF(ISNUMBER(SEARCH(Classifiers!$D$18,E485)),1,0))+IF(Classifiers!$E$18="",0,IF(ISNUMBER(SEARCH(Classifiers!$E$18,E485)),1,0))+IF(Classifiers!$F$18="",0,IF(ISNUMBER(SEARCH(Classifiers!$F$18,E485)),1,0))+IF(Classifiers!$G$18="",0,IF(ISNUMBER(SEARCH(Classifiers!$G$18,E485)),1,0)))&gt;0,1,0))</f>
        <v/>
      </c>
    </row>
    <row r="486">
      <c r="A486" s="8" t="n"/>
      <c r="B486" s="11" t="n"/>
      <c r="C486" s="6">
        <f>IF(A486="","",TRIM(RIGHT(SUBSTITUTE(A486,"/",REPT(" ",250)),250)))</f>
        <v/>
      </c>
      <c r="D486" s="6">
        <f>IF(C486="","",IF(ISNUMBER(SEARCH(".",C486)),LOWER("."&amp;TRIM(RIGHT(SUBSTITUTE(C486,".",REPT(" ",250)),250))),""))</f>
        <v/>
      </c>
      <c r="E486" s="6">
        <f>IF(C486="","",TRIM(SUBSTITUTE(SUBSTITUTE(SUBSTITUTE(SUBSTITUTE(SUBSTITUTE(SUBSTITUTE(SUBSTITUTE(SUBSTITUTE(SUBSTITUTE(SUBSTITUTE(SUBSTITUTE(SUBSTITUTE(SUBSTITUTE(SUBSTITUTE(SUBSTITUTE(SUBSTITUTE(SUBSTITUTE(SUBSTITUTE(SUBSTITUTE(SUBSTITUTE(LOWER(LEFT(C486,LEN(C486)-LEN(D486))),"_"," "),"-"," "),"."," "),","," "),"("," "),")"," "),"["," "),"]"," "),"&amp;"," "),"+"," "),"@"," "),"#"," "),"!"," "),"'"," "),"/"," "),":"," "),";"," "),"="," "),"~"," "),"%"," ")))</f>
        <v/>
      </c>
      <c r="F486" s="6">
        <f>IF(C486="","",IF(COUNTIF(Classifiers!$A$23:$A$40,D486)&gt;0,1,0))</f>
        <v/>
      </c>
      <c r="G486" s="6">
        <f>IF(C486="","",IF(COUNTIF(Classifiers!$C$23:$C$30,D486)&gt;0,IF((IF(ISNUMBER(SEARCH(Classifiers!$E$23,E486)),1,0)+IF(ISNUMBER(SEARCH(Classifiers!$E$24,E486)),1,0)+IF(ISNUMBER(SEARCH(Classifiers!$E$25,E486)),1,0)+IF(ISNUMBER(SEARCH(Classifiers!$E$26,E486)),1,0)+IF(ISNUMBER(SEARCH(Classifiers!$E$27,E486)),1,0)+IF(ISNUMBER(SEARCH(Classifiers!$E$28,E486)),1,0)+IF(ISNUMBER(SEARCH(Classifiers!$E$29,E486)),1,0)+IF(ISNUMBER(SEARCH(Classifiers!$E$30,E486)),1,0))&gt;0,1,0),0))</f>
        <v/>
      </c>
      <c r="H486" s="6">
        <f>IF(C486="","",IF(OR(LEFT(C486,1)=".",AND(F486=0,G486=0)),0,1))</f>
        <v/>
      </c>
      <c r="I486" s="6">
        <f>IF(H486&lt;&gt;1,"",IF(SUM(J486:W486)=0,"unclassified",INDEX(Classifiers!$A$5:$A$18,MATCH(1,J486:W486,0),1)))</f>
        <v/>
      </c>
      <c r="J486" s="12">
        <f>IF(H486&lt;&gt;1,0,IF((IF(Classifiers!$B$5="",0,IF(ISNUMBER(SEARCH(Classifiers!$B$5,E486)),1,0))+IF(Classifiers!$C$5="",0,IF(ISNUMBER(SEARCH(Classifiers!$C$5,E486)),1,0))+IF(Classifiers!$D$5="",0,IF(ISNUMBER(SEARCH(Classifiers!$D$5,E486)),1,0))+IF(Classifiers!$E$5="",0,IF(ISNUMBER(SEARCH(Classifiers!$E$5,E486)),1,0))+IF(Classifiers!$F$5="",0,IF(ISNUMBER(SEARCH(Classifiers!$F$5,E486)),1,0))+IF(Classifiers!$G$5="",0,IF(ISNUMBER(SEARCH(Classifiers!$G$5,E486)),1,0)))&gt;0,1,0))</f>
        <v/>
      </c>
      <c r="K486" s="12">
        <f>IF(H486&lt;&gt;1,0,IF((IF(Classifiers!$B$6="",0,IF(ISNUMBER(SEARCH(Classifiers!$B$6,E486)),1,0))+IF(Classifiers!$C$6="",0,IF(ISNUMBER(SEARCH(Classifiers!$C$6,E486)),1,0))+IF(Classifiers!$D$6="",0,IF(ISNUMBER(SEARCH(Classifiers!$D$6,E486)),1,0))+IF(Classifiers!$E$6="",0,IF(ISNUMBER(SEARCH(Classifiers!$E$6,E486)),1,0))+IF(Classifiers!$F$6="",0,IF(ISNUMBER(SEARCH(Classifiers!$F$6,E486)),1,0))+IF(Classifiers!$G$6="",0,IF(ISNUMBER(SEARCH(Classifiers!$G$6,E486)),1,0)))&gt;0,1,0))</f>
        <v/>
      </c>
      <c r="L486" s="12">
        <f>IF(H486&lt;&gt;1,0,IF((IF(Classifiers!$B$7="",0,IF(ISNUMBER(SEARCH(Classifiers!$B$7,E486)),1,0))+IF(Classifiers!$C$7="",0,IF(ISNUMBER(SEARCH(Classifiers!$C$7,E486)),1,0))+IF(Classifiers!$D$7="",0,IF(ISNUMBER(SEARCH(Classifiers!$D$7,E486)),1,0))+IF(Classifiers!$E$7="",0,IF(ISNUMBER(SEARCH(Classifiers!$E$7,E486)),1,0))+IF(Classifiers!$F$7="",0,IF(ISNUMBER(SEARCH(Classifiers!$F$7,E486)),1,0))+IF(Classifiers!$G$7="",0,IF(ISNUMBER(SEARCH(Classifiers!$G$7,E486)),1,0)))&gt;0,1,0))</f>
        <v/>
      </c>
      <c r="M486" s="12">
        <f>IF(H486&lt;&gt;1,0,IF((IF(Classifiers!$B$8="",0,IF(ISNUMBER(SEARCH(Classifiers!$B$8,E486)),1,0))+IF(Classifiers!$C$8="",0,IF(ISNUMBER(SEARCH(Classifiers!$C$8,E486)),1,0))+IF(Classifiers!$D$8="",0,IF(ISNUMBER(SEARCH(Classifiers!$D$8,E486)),1,0))+IF(Classifiers!$E$8="",0,IF(ISNUMBER(SEARCH(Classifiers!$E$8,E486)),1,0))+IF(Classifiers!$F$8="",0,IF(ISNUMBER(SEARCH(Classifiers!$F$8,E486)),1,0))+IF(Classifiers!$G$8="",0,IF(ISNUMBER(SEARCH(Classifiers!$G$8,E486)),1,0)))&gt;0,1,0))</f>
        <v/>
      </c>
      <c r="N486" s="12">
        <f>IF(H486&lt;&gt;1,0,IF((IF(Classifiers!$B$9="",0,IF(ISNUMBER(SEARCH(Classifiers!$B$9,E486)),1,0))+IF(Classifiers!$C$9="",0,IF(ISNUMBER(SEARCH(Classifiers!$C$9,E486)),1,0))+IF(Classifiers!$D$9="",0,IF(ISNUMBER(SEARCH(Classifiers!$D$9,E486)),1,0))+IF(Classifiers!$E$9="",0,IF(ISNUMBER(SEARCH(Classifiers!$E$9,E486)),1,0))+IF(Classifiers!$F$9="",0,IF(ISNUMBER(SEARCH(Classifiers!$F$9,E486)),1,0))+IF(Classifiers!$G$9="",0,IF(ISNUMBER(SEARCH(Classifiers!$G$9,E486)),1,0)))&gt;0,1,0))</f>
        <v/>
      </c>
      <c r="O486" s="12">
        <f>IF(H486&lt;&gt;1,0,IF((IF(Classifiers!$B$10="",0,IF(ISNUMBER(SEARCH(Classifiers!$B$10,E486)),1,0))+IF(Classifiers!$C$10="",0,IF(ISNUMBER(SEARCH(Classifiers!$C$10,E486)),1,0))+IF(Classifiers!$D$10="",0,IF(ISNUMBER(SEARCH(Classifiers!$D$10,E486)),1,0))+IF(Classifiers!$E$10="",0,IF(ISNUMBER(SEARCH(Classifiers!$E$10,E486)),1,0))+IF(Classifiers!$F$10="",0,IF(ISNUMBER(SEARCH(Classifiers!$F$10,E486)),1,0))+IF(Classifiers!$G$10="",0,IF(ISNUMBER(SEARCH(Classifiers!$G$10,E486)),1,0)))&gt;0,1,0))</f>
        <v/>
      </c>
      <c r="P486" s="12">
        <f>IF(H486&lt;&gt;1,0,IF((IF(Classifiers!$B$11="",0,IF(ISNUMBER(SEARCH(Classifiers!$B$11,E486)),1,0))+IF(Classifiers!$C$11="",0,IF(ISNUMBER(SEARCH(Classifiers!$C$11,E486)),1,0))+IF(Classifiers!$D$11="",0,IF(ISNUMBER(SEARCH(Classifiers!$D$11,E486)),1,0))+IF(Classifiers!$E$11="",0,IF(ISNUMBER(SEARCH(Classifiers!$E$11,E486)),1,0))+IF(Classifiers!$F$11="",0,IF(ISNUMBER(SEARCH(Classifiers!$F$11,E486)),1,0))+IF(Classifiers!$G$11="",0,IF(ISNUMBER(SEARCH(Classifiers!$G$11,E486)),1,0)))&gt;0,1,0))</f>
        <v/>
      </c>
      <c r="Q486" s="12">
        <f>IF(H486&lt;&gt;1,0,IF((IF(Classifiers!$B$12="",0,IF(ISNUMBER(SEARCH(Classifiers!$B$12,E486)),1,0))+IF(Classifiers!$C$12="",0,IF(ISNUMBER(SEARCH(Classifiers!$C$12,E486)),1,0))+IF(Classifiers!$D$12="",0,IF(ISNUMBER(SEARCH(Classifiers!$D$12,E486)),1,0))+IF(Classifiers!$E$12="",0,IF(ISNUMBER(SEARCH(Classifiers!$E$12,E486)),1,0))+IF(Classifiers!$F$12="",0,IF(ISNUMBER(SEARCH(Classifiers!$F$12,E486)),1,0))+IF(Classifiers!$G$12="",0,IF(ISNUMBER(SEARCH(Classifiers!$G$12,E486)),1,0)))&gt;0,1,0))</f>
        <v/>
      </c>
      <c r="R486" s="12">
        <f>IF(H486&lt;&gt;1,0,IF((IF(Classifiers!$B$13="",0,IF(ISNUMBER(SEARCH(Classifiers!$B$13,E486)),1,0))+IF(Classifiers!$C$13="",0,IF(ISNUMBER(SEARCH(Classifiers!$C$13,E486)),1,0))+IF(Classifiers!$D$13="",0,IF(ISNUMBER(SEARCH(Classifiers!$D$13,E486)),1,0))+IF(Classifiers!$E$13="",0,IF(ISNUMBER(SEARCH(Classifiers!$E$13,E486)),1,0))+IF(Classifiers!$F$13="",0,IF(ISNUMBER(SEARCH(Classifiers!$F$13,E486)),1,0))+IF(Classifiers!$G$13="",0,IF(ISNUMBER(SEARCH(Classifiers!$G$13,E486)),1,0)))&gt;0,1,0))</f>
        <v/>
      </c>
      <c r="S486" s="12">
        <f>IF(H486&lt;&gt;1,0,IF((IF(Classifiers!$B$14="",0,IF(ISNUMBER(SEARCH(Classifiers!$B$14,E486)),1,0))+IF(Classifiers!$C$14="",0,IF(ISNUMBER(SEARCH(Classifiers!$C$14,E486)),1,0))+IF(Classifiers!$D$14="",0,IF(ISNUMBER(SEARCH(Classifiers!$D$14,E486)),1,0))+IF(Classifiers!$E$14="",0,IF(ISNUMBER(SEARCH(Classifiers!$E$14,E486)),1,0))+IF(Classifiers!$F$14="",0,IF(ISNUMBER(SEARCH(Classifiers!$F$14,E486)),1,0))+IF(Classifiers!$G$14="",0,IF(ISNUMBER(SEARCH(Classifiers!$G$14,E486)),1,0)))&gt;0,1,0))</f>
        <v/>
      </c>
      <c r="T486" s="12">
        <f>IF(H486&lt;&gt;1,0,IF((IF(Classifiers!$B$15="",0,IF(ISNUMBER(SEARCH(Classifiers!$B$15,E486)),1,0))+IF(Classifiers!$C$15="",0,IF(ISNUMBER(SEARCH(Classifiers!$C$15,E486)),1,0))+IF(Classifiers!$D$15="",0,IF(ISNUMBER(SEARCH(Classifiers!$D$15,E486)),1,0))+IF(Classifiers!$E$15="",0,IF(ISNUMBER(SEARCH(Classifiers!$E$15,E486)),1,0))+IF(Classifiers!$F$15="",0,IF(ISNUMBER(SEARCH(Classifiers!$F$15,E486)),1,0))+IF(Classifiers!$G$15="",0,IF(ISNUMBER(SEARCH(Classifiers!$G$15,E486)),1,0)))&gt;0,1,0))</f>
        <v/>
      </c>
      <c r="U486" s="12">
        <f>IF(H486&lt;&gt;1,0,IF((IF(Classifiers!$B$16="",0,IF(ISNUMBER(SEARCH(Classifiers!$B$16,E486)),1,0))+IF(Classifiers!$C$16="",0,IF(ISNUMBER(SEARCH(Classifiers!$C$16,E486)),1,0))+IF(Classifiers!$D$16="",0,IF(ISNUMBER(SEARCH(Classifiers!$D$16,E486)),1,0))+IF(Classifiers!$E$16="",0,IF(ISNUMBER(SEARCH(Classifiers!$E$16,E486)),1,0))+IF(Classifiers!$F$16="",0,IF(ISNUMBER(SEARCH(Classifiers!$F$16,E486)),1,0))+IF(Classifiers!$G$16="",0,IF(ISNUMBER(SEARCH(Classifiers!$G$16,E486)),1,0)))&gt;0,1,0))</f>
        <v/>
      </c>
      <c r="V486" s="12">
        <f>IF(H486&lt;&gt;1,0,IF((IF(Classifiers!$B$17="",0,IF(ISNUMBER(SEARCH(Classifiers!$B$17,E486)),1,0))+IF(Classifiers!$C$17="",0,IF(ISNUMBER(SEARCH(Classifiers!$C$17,E486)),1,0))+IF(Classifiers!$D$17="",0,IF(ISNUMBER(SEARCH(Classifiers!$D$17,E486)),1,0))+IF(Classifiers!$E$17="",0,IF(ISNUMBER(SEARCH(Classifiers!$E$17,E486)),1,0))+IF(Classifiers!$F$17="",0,IF(ISNUMBER(SEARCH(Classifiers!$F$17,E486)),1,0))+IF(Classifiers!$G$17="",0,IF(ISNUMBER(SEARCH(Classifiers!$G$17,E486)),1,0)))&gt;0,1,0))</f>
        <v/>
      </c>
      <c r="W486" s="12">
        <f>IF(H486&lt;&gt;1,0,IF((IF(Classifiers!$B$18="",0,IF(ISNUMBER(SEARCH(Classifiers!$B$18,E486)),1,0))+IF(Classifiers!$C$18="",0,IF(ISNUMBER(SEARCH(Classifiers!$C$18,E486)),1,0))+IF(Classifiers!$D$18="",0,IF(ISNUMBER(SEARCH(Classifiers!$D$18,E486)),1,0))+IF(Classifiers!$E$18="",0,IF(ISNUMBER(SEARCH(Classifiers!$E$18,E486)),1,0))+IF(Classifiers!$F$18="",0,IF(ISNUMBER(SEARCH(Classifiers!$F$18,E486)),1,0))+IF(Classifiers!$G$18="",0,IF(ISNUMBER(SEARCH(Classifiers!$G$18,E486)),1,0)))&gt;0,1,0))</f>
        <v/>
      </c>
    </row>
    <row r="487">
      <c r="A487" s="8" t="n"/>
      <c r="B487" s="11" t="n"/>
      <c r="C487" s="6">
        <f>IF(A487="","",TRIM(RIGHT(SUBSTITUTE(A487,"/",REPT(" ",250)),250)))</f>
        <v/>
      </c>
      <c r="D487" s="6">
        <f>IF(C487="","",IF(ISNUMBER(SEARCH(".",C487)),LOWER("."&amp;TRIM(RIGHT(SUBSTITUTE(C487,".",REPT(" ",250)),250))),""))</f>
        <v/>
      </c>
      <c r="E487" s="6">
        <f>IF(C487="","",TRIM(SUBSTITUTE(SUBSTITUTE(SUBSTITUTE(SUBSTITUTE(SUBSTITUTE(SUBSTITUTE(SUBSTITUTE(SUBSTITUTE(SUBSTITUTE(SUBSTITUTE(SUBSTITUTE(SUBSTITUTE(SUBSTITUTE(SUBSTITUTE(SUBSTITUTE(SUBSTITUTE(SUBSTITUTE(SUBSTITUTE(SUBSTITUTE(SUBSTITUTE(LOWER(LEFT(C487,LEN(C487)-LEN(D487))),"_"," "),"-"," "),"."," "),","," "),"("," "),")"," "),"["," "),"]"," "),"&amp;"," "),"+"," "),"@"," "),"#"," "),"!"," "),"'"," "),"/"," "),":"," "),";"," "),"="," "),"~"," "),"%"," ")))</f>
        <v/>
      </c>
      <c r="F487" s="6">
        <f>IF(C487="","",IF(COUNTIF(Classifiers!$A$23:$A$40,D487)&gt;0,1,0))</f>
        <v/>
      </c>
      <c r="G487" s="6">
        <f>IF(C487="","",IF(COUNTIF(Classifiers!$C$23:$C$30,D487)&gt;0,IF((IF(ISNUMBER(SEARCH(Classifiers!$E$23,E487)),1,0)+IF(ISNUMBER(SEARCH(Classifiers!$E$24,E487)),1,0)+IF(ISNUMBER(SEARCH(Classifiers!$E$25,E487)),1,0)+IF(ISNUMBER(SEARCH(Classifiers!$E$26,E487)),1,0)+IF(ISNUMBER(SEARCH(Classifiers!$E$27,E487)),1,0)+IF(ISNUMBER(SEARCH(Classifiers!$E$28,E487)),1,0)+IF(ISNUMBER(SEARCH(Classifiers!$E$29,E487)),1,0)+IF(ISNUMBER(SEARCH(Classifiers!$E$30,E487)),1,0))&gt;0,1,0),0))</f>
        <v/>
      </c>
      <c r="H487" s="6">
        <f>IF(C487="","",IF(OR(LEFT(C487,1)=".",AND(F487=0,G487=0)),0,1))</f>
        <v/>
      </c>
      <c r="I487" s="6">
        <f>IF(H487&lt;&gt;1,"",IF(SUM(J487:W487)=0,"unclassified",INDEX(Classifiers!$A$5:$A$18,MATCH(1,J487:W487,0),1)))</f>
        <v/>
      </c>
      <c r="J487" s="12">
        <f>IF(H487&lt;&gt;1,0,IF((IF(Classifiers!$B$5="",0,IF(ISNUMBER(SEARCH(Classifiers!$B$5,E487)),1,0))+IF(Classifiers!$C$5="",0,IF(ISNUMBER(SEARCH(Classifiers!$C$5,E487)),1,0))+IF(Classifiers!$D$5="",0,IF(ISNUMBER(SEARCH(Classifiers!$D$5,E487)),1,0))+IF(Classifiers!$E$5="",0,IF(ISNUMBER(SEARCH(Classifiers!$E$5,E487)),1,0))+IF(Classifiers!$F$5="",0,IF(ISNUMBER(SEARCH(Classifiers!$F$5,E487)),1,0))+IF(Classifiers!$G$5="",0,IF(ISNUMBER(SEARCH(Classifiers!$G$5,E487)),1,0)))&gt;0,1,0))</f>
        <v/>
      </c>
      <c r="K487" s="12">
        <f>IF(H487&lt;&gt;1,0,IF((IF(Classifiers!$B$6="",0,IF(ISNUMBER(SEARCH(Classifiers!$B$6,E487)),1,0))+IF(Classifiers!$C$6="",0,IF(ISNUMBER(SEARCH(Classifiers!$C$6,E487)),1,0))+IF(Classifiers!$D$6="",0,IF(ISNUMBER(SEARCH(Classifiers!$D$6,E487)),1,0))+IF(Classifiers!$E$6="",0,IF(ISNUMBER(SEARCH(Classifiers!$E$6,E487)),1,0))+IF(Classifiers!$F$6="",0,IF(ISNUMBER(SEARCH(Classifiers!$F$6,E487)),1,0))+IF(Classifiers!$G$6="",0,IF(ISNUMBER(SEARCH(Classifiers!$G$6,E487)),1,0)))&gt;0,1,0))</f>
        <v/>
      </c>
      <c r="L487" s="12">
        <f>IF(H487&lt;&gt;1,0,IF((IF(Classifiers!$B$7="",0,IF(ISNUMBER(SEARCH(Classifiers!$B$7,E487)),1,0))+IF(Classifiers!$C$7="",0,IF(ISNUMBER(SEARCH(Classifiers!$C$7,E487)),1,0))+IF(Classifiers!$D$7="",0,IF(ISNUMBER(SEARCH(Classifiers!$D$7,E487)),1,0))+IF(Classifiers!$E$7="",0,IF(ISNUMBER(SEARCH(Classifiers!$E$7,E487)),1,0))+IF(Classifiers!$F$7="",0,IF(ISNUMBER(SEARCH(Classifiers!$F$7,E487)),1,0))+IF(Classifiers!$G$7="",0,IF(ISNUMBER(SEARCH(Classifiers!$G$7,E487)),1,0)))&gt;0,1,0))</f>
        <v/>
      </c>
      <c r="M487" s="12">
        <f>IF(H487&lt;&gt;1,0,IF((IF(Classifiers!$B$8="",0,IF(ISNUMBER(SEARCH(Classifiers!$B$8,E487)),1,0))+IF(Classifiers!$C$8="",0,IF(ISNUMBER(SEARCH(Classifiers!$C$8,E487)),1,0))+IF(Classifiers!$D$8="",0,IF(ISNUMBER(SEARCH(Classifiers!$D$8,E487)),1,0))+IF(Classifiers!$E$8="",0,IF(ISNUMBER(SEARCH(Classifiers!$E$8,E487)),1,0))+IF(Classifiers!$F$8="",0,IF(ISNUMBER(SEARCH(Classifiers!$F$8,E487)),1,0))+IF(Classifiers!$G$8="",0,IF(ISNUMBER(SEARCH(Classifiers!$G$8,E487)),1,0)))&gt;0,1,0))</f>
        <v/>
      </c>
      <c r="N487" s="12">
        <f>IF(H487&lt;&gt;1,0,IF((IF(Classifiers!$B$9="",0,IF(ISNUMBER(SEARCH(Classifiers!$B$9,E487)),1,0))+IF(Classifiers!$C$9="",0,IF(ISNUMBER(SEARCH(Classifiers!$C$9,E487)),1,0))+IF(Classifiers!$D$9="",0,IF(ISNUMBER(SEARCH(Classifiers!$D$9,E487)),1,0))+IF(Classifiers!$E$9="",0,IF(ISNUMBER(SEARCH(Classifiers!$E$9,E487)),1,0))+IF(Classifiers!$F$9="",0,IF(ISNUMBER(SEARCH(Classifiers!$F$9,E487)),1,0))+IF(Classifiers!$G$9="",0,IF(ISNUMBER(SEARCH(Classifiers!$G$9,E487)),1,0)))&gt;0,1,0))</f>
        <v/>
      </c>
      <c r="O487" s="12">
        <f>IF(H487&lt;&gt;1,0,IF((IF(Classifiers!$B$10="",0,IF(ISNUMBER(SEARCH(Classifiers!$B$10,E487)),1,0))+IF(Classifiers!$C$10="",0,IF(ISNUMBER(SEARCH(Classifiers!$C$10,E487)),1,0))+IF(Classifiers!$D$10="",0,IF(ISNUMBER(SEARCH(Classifiers!$D$10,E487)),1,0))+IF(Classifiers!$E$10="",0,IF(ISNUMBER(SEARCH(Classifiers!$E$10,E487)),1,0))+IF(Classifiers!$F$10="",0,IF(ISNUMBER(SEARCH(Classifiers!$F$10,E487)),1,0))+IF(Classifiers!$G$10="",0,IF(ISNUMBER(SEARCH(Classifiers!$G$10,E487)),1,0)))&gt;0,1,0))</f>
        <v/>
      </c>
      <c r="P487" s="12">
        <f>IF(H487&lt;&gt;1,0,IF((IF(Classifiers!$B$11="",0,IF(ISNUMBER(SEARCH(Classifiers!$B$11,E487)),1,0))+IF(Classifiers!$C$11="",0,IF(ISNUMBER(SEARCH(Classifiers!$C$11,E487)),1,0))+IF(Classifiers!$D$11="",0,IF(ISNUMBER(SEARCH(Classifiers!$D$11,E487)),1,0))+IF(Classifiers!$E$11="",0,IF(ISNUMBER(SEARCH(Classifiers!$E$11,E487)),1,0))+IF(Classifiers!$F$11="",0,IF(ISNUMBER(SEARCH(Classifiers!$F$11,E487)),1,0))+IF(Classifiers!$G$11="",0,IF(ISNUMBER(SEARCH(Classifiers!$G$11,E487)),1,0)))&gt;0,1,0))</f>
        <v/>
      </c>
      <c r="Q487" s="12">
        <f>IF(H487&lt;&gt;1,0,IF((IF(Classifiers!$B$12="",0,IF(ISNUMBER(SEARCH(Classifiers!$B$12,E487)),1,0))+IF(Classifiers!$C$12="",0,IF(ISNUMBER(SEARCH(Classifiers!$C$12,E487)),1,0))+IF(Classifiers!$D$12="",0,IF(ISNUMBER(SEARCH(Classifiers!$D$12,E487)),1,0))+IF(Classifiers!$E$12="",0,IF(ISNUMBER(SEARCH(Classifiers!$E$12,E487)),1,0))+IF(Classifiers!$F$12="",0,IF(ISNUMBER(SEARCH(Classifiers!$F$12,E487)),1,0))+IF(Classifiers!$G$12="",0,IF(ISNUMBER(SEARCH(Classifiers!$G$12,E487)),1,0)))&gt;0,1,0))</f>
        <v/>
      </c>
      <c r="R487" s="12">
        <f>IF(H487&lt;&gt;1,0,IF((IF(Classifiers!$B$13="",0,IF(ISNUMBER(SEARCH(Classifiers!$B$13,E487)),1,0))+IF(Classifiers!$C$13="",0,IF(ISNUMBER(SEARCH(Classifiers!$C$13,E487)),1,0))+IF(Classifiers!$D$13="",0,IF(ISNUMBER(SEARCH(Classifiers!$D$13,E487)),1,0))+IF(Classifiers!$E$13="",0,IF(ISNUMBER(SEARCH(Classifiers!$E$13,E487)),1,0))+IF(Classifiers!$F$13="",0,IF(ISNUMBER(SEARCH(Classifiers!$F$13,E487)),1,0))+IF(Classifiers!$G$13="",0,IF(ISNUMBER(SEARCH(Classifiers!$G$13,E487)),1,0)))&gt;0,1,0))</f>
        <v/>
      </c>
      <c r="S487" s="12">
        <f>IF(H487&lt;&gt;1,0,IF((IF(Classifiers!$B$14="",0,IF(ISNUMBER(SEARCH(Classifiers!$B$14,E487)),1,0))+IF(Classifiers!$C$14="",0,IF(ISNUMBER(SEARCH(Classifiers!$C$14,E487)),1,0))+IF(Classifiers!$D$14="",0,IF(ISNUMBER(SEARCH(Classifiers!$D$14,E487)),1,0))+IF(Classifiers!$E$14="",0,IF(ISNUMBER(SEARCH(Classifiers!$E$14,E487)),1,0))+IF(Classifiers!$F$14="",0,IF(ISNUMBER(SEARCH(Classifiers!$F$14,E487)),1,0))+IF(Classifiers!$G$14="",0,IF(ISNUMBER(SEARCH(Classifiers!$G$14,E487)),1,0)))&gt;0,1,0))</f>
        <v/>
      </c>
      <c r="T487" s="12">
        <f>IF(H487&lt;&gt;1,0,IF((IF(Classifiers!$B$15="",0,IF(ISNUMBER(SEARCH(Classifiers!$B$15,E487)),1,0))+IF(Classifiers!$C$15="",0,IF(ISNUMBER(SEARCH(Classifiers!$C$15,E487)),1,0))+IF(Classifiers!$D$15="",0,IF(ISNUMBER(SEARCH(Classifiers!$D$15,E487)),1,0))+IF(Classifiers!$E$15="",0,IF(ISNUMBER(SEARCH(Classifiers!$E$15,E487)),1,0))+IF(Classifiers!$F$15="",0,IF(ISNUMBER(SEARCH(Classifiers!$F$15,E487)),1,0))+IF(Classifiers!$G$15="",0,IF(ISNUMBER(SEARCH(Classifiers!$G$15,E487)),1,0)))&gt;0,1,0))</f>
        <v/>
      </c>
      <c r="U487" s="12">
        <f>IF(H487&lt;&gt;1,0,IF((IF(Classifiers!$B$16="",0,IF(ISNUMBER(SEARCH(Classifiers!$B$16,E487)),1,0))+IF(Classifiers!$C$16="",0,IF(ISNUMBER(SEARCH(Classifiers!$C$16,E487)),1,0))+IF(Classifiers!$D$16="",0,IF(ISNUMBER(SEARCH(Classifiers!$D$16,E487)),1,0))+IF(Classifiers!$E$16="",0,IF(ISNUMBER(SEARCH(Classifiers!$E$16,E487)),1,0))+IF(Classifiers!$F$16="",0,IF(ISNUMBER(SEARCH(Classifiers!$F$16,E487)),1,0))+IF(Classifiers!$G$16="",0,IF(ISNUMBER(SEARCH(Classifiers!$G$16,E487)),1,0)))&gt;0,1,0))</f>
        <v/>
      </c>
      <c r="V487" s="12">
        <f>IF(H487&lt;&gt;1,0,IF((IF(Classifiers!$B$17="",0,IF(ISNUMBER(SEARCH(Classifiers!$B$17,E487)),1,0))+IF(Classifiers!$C$17="",0,IF(ISNUMBER(SEARCH(Classifiers!$C$17,E487)),1,0))+IF(Classifiers!$D$17="",0,IF(ISNUMBER(SEARCH(Classifiers!$D$17,E487)),1,0))+IF(Classifiers!$E$17="",0,IF(ISNUMBER(SEARCH(Classifiers!$E$17,E487)),1,0))+IF(Classifiers!$F$17="",0,IF(ISNUMBER(SEARCH(Classifiers!$F$17,E487)),1,0))+IF(Classifiers!$G$17="",0,IF(ISNUMBER(SEARCH(Classifiers!$G$17,E487)),1,0)))&gt;0,1,0))</f>
        <v/>
      </c>
      <c r="W487" s="12">
        <f>IF(H487&lt;&gt;1,0,IF((IF(Classifiers!$B$18="",0,IF(ISNUMBER(SEARCH(Classifiers!$B$18,E487)),1,0))+IF(Classifiers!$C$18="",0,IF(ISNUMBER(SEARCH(Classifiers!$C$18,E487)),1,0))+IF(Classifiers!$D$18="",0,IF(ISNUMBER(SEARCH(Classifiers!$D$18,E487)),1,0))+IF(Classifiers!$E$18="",0,IF(ISNUMBER(SEARCH(Classifiers!$E$18,E487)),1,0))+IF(Classifiers!$F$18="",0,IF(ISNUMBER(SEARCH(Classifiers!$F$18,E487)),1,0))+IF(Classifiers!$G$18="",0,IF(ISNUMBER(SEARCH(Classifiers!$G$18,E487)),1,0)))&gt;0,1,0))</f>
        <v/>
      </c>
    </row>
    <row r="488">
      <c r="A488" s="8" t="n"/>
      <c r="B488" s="11" t="n"/>
      <c r="C488" s="6">
        <f>IF(A488="","",TRIM(RIGHT(SUBSTITUTE(A488,"/",REPT(" ",250)),250)))</f>
        <v/>
      </c>
      <c r="D488" s="6">
        <f>IF(C488="","",IF(ISNUMBER(SEARCH(".",C488)),LOWER("."&amp;TRIM(RIGHT(SUBSTITUTE(C488,".",REPT(" ",250)),250))),""))</f>
        <v/>
      </c>
      <c r="E488" s="6">
        <f>IF(C488="","",TRIM(SUBSTITUTE(SUBSTITUTE(SUBSTITUTE(SUBSTITUTE(SUBSTITUTE(SUBSTITUTE(SUBSTITUTE(SUBSTITUTE(SUBSTITUTE(SUBSTITUTE(SUBSTITUTE(SUBSTITUTE(SUBSTITUTE(SUBSTITUTE(SUBSTITUTE(SUBSTITUTE(SUBSTITUTE(SUBSTITUTE(SUBSTITUTE(SUBSTITUTE(LOWER(LEFT(C488,LEN(C488)-LEN(D488))),"_"," "),"-"," "),"."," "),","," "),"("," "),")"," "),"["," "),"]"," "),"&amp;"," "),"+"," "),"@"," "),"#"," "),"!"," "),"'"," "),"/"," "),":"," "),";"," "),"="," "),"~"," "),"%"," ")))</f>
        <v/>
      </c>
      <c r="F488" s="6">
        <f>IF(C488="","",IF(COUNTIF(Classifiers!$A$23:$A$40,D488)&gt;0,1,0))</f>
        <v/>
      </c>
      <c r="G488" s="6">
        <f>IF(C488="","",IF(COUNTIF(Classifiers!$C$23:$C$30,D488)&gt;0,IF((IF(ISNUMBER(SEARCH(Classifiers!$E$23,E488)),1,0)+IF(ISNUMBER(SEARCH(Classifiers!$E$24,E488)),1,0)+IF(ISNUMBER(SEARCH(Classifiers!$E$25,E488)),1,0)+IF(ISNUMBER(SEARCH(Classifiers!$E$26,E488)),1,0)+IF(ISNUMBER(SEARCH(Classifiers!$E$27,E488)),1,0)+IF(ISNUMBER(SEARCH(Classifiers!$E$28,E488)),1,0)+IF(ISNUMBER(SEARCH(Classifiers!$E$29,E488)),1,0)+IF(ISNUMBER(SEARCH(Classifiers!$E$30,E488)),1,0))&gt;0,1,0),0))</f>
        <v/>
      </c>
      <c r="H488" s="6">
        <f>IF(C488="","",IF(OR(LEFT(C488,1)=".",AND(F488=0,G488=0)),0,1))</f>
        <v/>
      </c>
      <c r="I488" s="6">
        <f>IF(H488&lt;&gt;1,"",IF(SUM(J488:W488)=0,"unclassified",INDEX(Classifiers!$A$5:$A$18,MATCH(1,J488:W488,0),1)))</f>
        <v/>
      </c>
      <c r="J488" s="12">
        <f>IF(H488&lt;&gt;1,0,IF((IF(Classifiers!$B$5="",0,IF(ISNUMBER(SEARCH(Classifiers!$B$5,E488)),1,0))+IF(Classifiers!$C$5="",0,IF(ISNUMBER(SEARCH(Classifiers!$C$5,E488)),1,0))+IF(Classifiers!$D$5="",0,IF(ISNUMBER(SEARCH(Classifiers!$D$5,E488)),1,0))+IF(Classifiers!$E$5="",0,IF(ISNUMBER(SEARCH(Classifiers!$E$5,E488)),1,0))+IF(Classifiers!$F$5="",0,IF(ISNUMBER(SEARCH(Classifiers!$F$5,E488)),1,0))+IF(Classifiers!$G$5="",0,IF(ISNUMBER(SEARCH(Classifiers!$G$5,E488)),1,0)))&gt;0,1,0))</f>
        <v/>
      </c>
      <c r="K488" s="12">
        <f>IF(H488&lt;&gt;1,0,IF((IF(Classifiers!$B$6="",0,IF(ISNUMBER(SEARCH(Classifiers!$B$6,E488)),1,0))+IF(Classifiers!$C$6="",0,IF(ISNUMBER(SEARCH(Classifiers!$C$6,E488)),1,0))+IF(Classifiers!$D$6="",0,IF(ISNUMBER(SEARCH(Classifiers!$D$6,E488)),1,0))+IF(Classifiers!$E$6="",0,IF(ISNUMBER(SEARCH(Classifiers!$E$6,E488)),1,0))+IF(Classifiers!$F$6="",0,IF(ISNUMBER(SEARCH(Classifiers!$F$6,E488)),1,0))+IF(Classifiers!$G$6="",0,IF(ISNUMBER(SEARCH(Classifiers!$G$6,E488)),1,0)))&gt;0,1,0))</f>
        <v/>
      </c>
      <c r="L488" s="12">
        <f>IF(H488&lt;&gt;1,0,IF((IF(Classifiers!$B$7="",0,IF(ISNUMBER(SEARCH(Classifiers!$B$7,E488)),1,0))+IF(Classifiers!$C$7="",0,IF(ISNUMBER(SEARCH(Classifiers!$C$7,E488)),1,0))+IF(Classifiers!$D$7="",0,IF(ISNUMBER(SEARCH(Classifiers!$D$7,E488)),1,0))+IF(Classifiers!$E$7="",0,IF(ISNUMBER(SEARCH(Classifiers!$E$7,E488)),1,0))+IF(Classifiers!$F$7="",0,IF(ISNUMBER(SEARCH(Classifiers!$F$7,E488)),1,0))+IF(Classifiers!$G$7="",0,IF(ISNUMBER(SEARCH(Classifiers!$G$7,E488)),1,0)))&gt;0,1,0))</f>
        <v/>
      </c>
      <c r="M488" s="12">
        <f>IF(H488&lt;&gt;1,0,IF((IF(Classifiers!$B$8="",0,IF(ISNUMBER(SEARCH(Classifiers!$B$8,E488)),1,0))+IF(Classifiers!$C$8="",0,IF(ISNUMBER(SEARCH(Classifiers!$C$8,E488)),1,0))+IF(Classifiers!$D$8="",0,IF(ISNUMBER(SEARCH(Classifiers!$D$8,E488)),1,0))+IF(Classifiers!$E$8="",0,IF(ISNUMBER(SEARCH(Classifiers!$E$8,E488)),1,0))+IF(Classifiers!$F$8="",0,IF(ISNUMBER(SEARCH(Classifiers!$F$8,E488)),1,0))+IF(Classifiers!$G$8="",0,IF(ISNUMBER(SEARCH(Classifiers!$G$8,E488)),1,0)))&gt;0,1,0))</f>
        <v/>
      </c>
      <c r="N488" s="12">
        <f>IF(H488&lt;&gt;1,0,IF((IF(Classifiers!$B$9="",0,IF(ISNUMBER(SEARCH(Classifiers!$B$9,E488)),1,0))+IF(Classifiers!$C$9="",0,IF(ISNUMBER(SEARCH(Classifiers!$C$9,E488)),1,0))+IF(Classifiers!$D$9="",0,IF(ISNUMBER(SEARCH(Classifiers!$D$9,E488)),1,0))+IF(Classifiers!$E$9="",0,IF(ISNUMBER(SEARCH(Classifiers!$E$9,E488)),1,0))+IF(Classifiers!$F$9="",0,IF(ISNUMBER(SEARCH(Classifiers!$F$9,E488)),1,0))+IF(Classifiers!$G$9="",0,IF(ISNUMBER(SEARCH(Classifiers!$G$9,E488)),1,0)))&gt;0,1,0))</f>
        <v/>
      </c>
      <c r="O488" s="12">
        <f>IF(H488&lt;&gt;1,0,IF((IF(Classifiers!$B$10="",0,IF(ISNUMBER(SEARCH(Classifiers!$B$10,E488)),1,0))+IF(Classifiers!$C$10="",0,IF(ISNUMBER(SEARCH(Classifiers!$C$10,E488)),1,0))+IF(Classifiers!$D$10="",0,IF(ISNUMBER(SEARCH(Classifiers!$D$10,E488)),1,0))+IF(Classifiers!$E$10="",0,IF(ISNUMBER(SEARCH(Classifiers!$E$10,E488)),1,0))+IF(Classifiers!$F$10="",0,IF(ISNUMBER(SEARCH(Classifiers!$F$10,E488)),1,0))+IF(Classifiers!$G$10="",0,IF(ISNUMBER(SEARCH(Classifiers!$G$10,E488)),1,0)))&gt;0,1,0))</f>
        <v/>
      </c>
      <c r="P488" s="12">
        <f>IF(H488&lt;&gt;1,0,IF((IF(Classifiers!$B$11="",0,IF(ISNUMBER(SEARCH(Classifiers!$B$11,E488)),1,0))+IF(Classifiers!$C$11="",0,IF(ISNUMBER(SEARCH(Classifiers!$C$11,E488)),1,0))+IF(Classifiers!$D$11="",0,IF(ISNUMBER(SEARCH(Classifiers!$D$11,E488)),1,0))+IF(Classifiers!$E$11="",0,IF(ISNUMBER(SEARCH(Classifiers!$E$11,E488)),1,0))+IF(Classifiers!$F$11="",0,IF(ISNUMBER(SEARCH(Classifiers!$F$11,E488)),1,0))+IF(Classifiers!$G$11="",0,IF(ISNUMBER(SEARCH(Classifiers!$G$11,E488)),1,0)))&gt;0,1,0))</f>
        <v/>
      </c>
      <c r="Q488" s="12">
        <f>IF(H488&lt;&gt;1,0,IF((IF(Classifiers!$B$12="",0,IF(ISNUMBER(SEARCH(Classifiers!$B$12,E488)),1,0))+IF(Classifiers!$C$12="",0,IF(ISNUMBER(SEARCH(Classifiers!$C$12,E488)),1,0))+IF(Classifiers!$D$12="",0,IF(ISNUMBER(SEARCH(Classifiers!$D$12,E488)),1,0))+IF(Classifiers!$E$12="",0,IF(ISNUMBER(SEARCH(Classifiers!$E$12,E488)),1,0))+IF(Classifiers!$F$12="",0,IF(ISNUMBER(SEARCH(Classifiers!$F$12,E488)),1,0))+IF(Classifiers!$G$12="",0,IF(ISNUMBER(SEARCH(Classifiers!$G$12,E488)),1,0)))&gt;0,1,0))</f>
        <v/>
      </c>
      <c r="R488" s="12">
        <f>IF(H488&lt;&gt;1,0,IF((IF(Classifiers!$B$13="",0,IF(ISNUMBER(SEARCH(Classifiers!$B$13,E488)),1,0))+IF(Classifiers!$C$13="",0,IF(ISNUMBER(SEARCH(Classifiers!$C$13,E488)),1,0))+IF(Classifiers!$D$13="",0,IF(ISNUMBER(SEARCH(Classifiers!$D$13,E488)),1,0))+IF(Classifiers!$E$13="",0,IF(ISNUMBER(SEARCH(Classifiers!$E$13,E488)),1,0))+IF(Classifiers!$F$13="",0,IF(ISNUMBER(SEARCH(Classifiers!$F$13,E488)),1,0))+IF(Classifiers!$G$13="",0,IF(ISNUMBER(SEARCH(Classifiers!$G$13,E488)),1,0)))&gt;0,1,0))</f>
        <v/>
      </c>
      <c r="S488" s="12">
        <f>IF(H488&lt;&gt;1,0,IF((IF(Classifiers!$B$14="",0,IF(ISNUMBER(SEARCH(Classifiers!$B$14,E488)),1,0))+IF(Classifiers!$C$14="",0,IF(ISNUMBER(SEARCH(Classifiers!$C$14,E488)),1,0))+IF(Classifiers!$D$14="",0,IF(ISNUMBER(SEARCH(Classifiers!$D$14,E488)),1,0))+IF(Classifiers!$E$14="",0,IF(ISNUMBER(SEARCH(Classifiers!$E$14,E488)),1,0))+IF(Classifiers!$F$14="",0,IF(ISNUMBER(SEARCH(Classifiers!$F$14,E488)),1,0))+IF(Classifiers!$G$14="",0,IF(ISNUMBER(SEARCH(Classifiers!$G$14,E488)),1,0)))&gt;0,1,0))</f>
        <v/>
      </c>
      <c r="T488" s="12">
        <f>IF(H488&lt;&gt;1,0,IF((IF(Classifiers!$B$15="",0,IF(ISNUMBER(SEARCH(Classifiers!$B$15,E488)),1,0))+IF(Classifiers!$C$15="",0,IF(ISNUMBER(SEARCH(Classifiers!$C$15,E488)),1,0))+IF(Classifiers!$D$15="",0,IF(ISNUMBER(SEARCH(Classifiers!$D$15,E488)),1,0))+IF(Classifiers!$E$15="",0,IF(ISNUMBER(SEARCH(Classifiers!$E$15,E488)),1,0))+IF(Classifiers!$F$15="",0,IF(ISNUMBER(SEARCH(Classifiers!$F$15,E488)),1,0))+IF(Classifiers!$G$15="",0,IF(ISNUMBER(SEARCH(Classifiers!$G$15,E488)),1,0)))&gt;0,1,0))</f>
        <v/>
      </c>
      <c r="U488" s="12">
        <f>IF(H488&lt;&gt;1,0,IF((IF(Classifiers!$B$16="",0,IF(ISNUMBER(SEARCH(Classifiers!$B$16,E488)),1,0))+IF(Classifiers!$C$16="",0,IF(ISNUMBER(SEARCH(Classifiers!$C$16,E488)),1,0))+IF(Classifiers!$D$16="",0,IF(ISNUMBER(SEARCH(Classifiers!$D$16,E488)),1,0))+IF(Classifiers!$E$16="",0,IF(ISNUMBER(SEARCH(Classifiers!$E$16,E488)),1,0))+IF(Classifiers!$F$16="",0,IF(ISNUMBER(SEARCH(Classifiers!$F$16,E488)),1,0))+IF(Classifiers!$G$16="",0,IF(ISNUMBER(SEARCH(Classifiers!$G$16,E488)),1,0)))&gt;0,1,0))</f>
        <v/>
      </c>
      <c r="V488" s="12">
        <f>IF(H488&lt;&gt;1,0,IF((IF(Classifiers!$B$17="",0,IF(ISNUMBER(SEARCH(Classifiers!$B$17,E488)),1,0))+IF(Classifiers!$C$17="",0,IF(ISNUMBER(SEARCH(Classifiers!$C$17,E488)),1,0))+IF(Classifiers!$D$17="",0,IF(ISNUMBER(SEARCH(Classifiers!$D$17,E488)),1,0))+IF(Classifiers!$E$17="",0,IF(ISNUMBER(SEARCH(Classifiers!$E$17,E488)),1,0))+IF(Classifiers!$F$17="",0,IF(ISNUMBER(SEARCH(Classifiers!$F$17,E488)),1,0))+IF(Classifiers!$G$17="",0,IF(ISNUMBER(SEARCH(Classifiers!$G$17,E488)),1,0)))&gt;0,1,0))</f>
        <v/>
      </c>
      <c r="W488" s="12">
        <f>IF(H488&lt;&gt;1,0,IF((IF(Classifiers!$B$18="",0,IF(ISNUMBER(SEARCH(Classifiers!$B$18,E488)),1,0))+IF(Classifiers!$C$18="",0,IF(ISNUMBER(SEARCH(Classifiers!$C$18,E488)),1,0))+IF(Classifiers!$D$18="",0,IF(ISNUMBER(SEARCH(Classifiers!$D$18,E488)),1,0))+IF(Classifiers!$E$18="",0,IF(ISNUMBER(SEARCH(Classifiers!$E$18,E488)),1,0))+IF(Classifiers!$F$18="",0,IF(ISNUMBER(SEARCH(Classifiers!$F$18,E488)),1,0))+IF(Classifiers!$G$18="",0,IF(ISNUMBER(SEARCH(Classifiers!$G$18,E488)),1,0)))&gt;0,1,0))</f>
        <v/>
      </c>
    </row>
    <row r="489">
      <c r="A489" s="8" t="n"/>
      <c r="B489" s="11" t="n"/>
      <c r="C489" s="6">
        <f>IF(A489="","",TRIM(RIGHT(SUBSTITUTE(A489,"/",REPT(" ",250)),250)))</f>
        <v/>
      </c>
      <c r="D489" s="6">
        <f>IF(C489="","",IF(ISNUMBER(SEARCH(".",C489)),LOWER("."&amp;TRIM(RIGHT(SUBSTITUTE(C489,".",REPT(" ",250)),250))),""))</f>
        <v/>
      </c>
      <c r="E489" s="6">
        <f>IF(C489="","",TRIM(SUBSTITUTE(SUBSTITUTE(SUBSTITUTE(SUBSTITUTE(SUBSTITUTE(SUBSTITUTE(SUBSTITUTE(SUBSTITUTE(SUBSTITUTE(SUBSTITUTE(SUBSTITUTE(SUBSTITUTE(SUBSTITUTE(SUBSTITUTE(SUBSTITUTE(SUBSTITUTE(SUBSTITUTE(SUBSTITUTE(SUBSTITUTE(SUBSTITUTE(LOWER(LEFT(C489,LEN(C489)-LEN(D489))),"_"," "),"-"," "),"."," "),","," "),"("," "),")"," "),"["," "),"]"," "),"&amp;"," "),"+"," "),"@"," "),"#"," "),"!"," "),"'"," "),"/"," "),":"," "),";"," "),"="," "),"~"," "),"%"," ")))</f>
        <v/>
      </c>
      <c r="F489" s="6">
        <f>IF(C489="","",IF(COUNTIF(Classifiers!$A$23:$A$40,D489)&gt;0,1,0))</f>
        <v/>
      </c>
      <c r="G489" s="6">
        <f>IF(C489="","",IF(COUNTIF(Classifiers!$C$23:$C$30,D489)&gt;0,IF((IF(ISNUMBER(SEARCH(Classifiers!$E$23,E489)),1,0)+IF(ISNUMBER(SEARCH(Classifiers!$E$24,E489)),1,0)+IF(ISNUMBER(SEARCH(Classifiers!$E$25,E489)),1,0)+IF(ISNUMBER(SEARCH(Classifiers!$E$26,E489)),1,0)+IF(ISNUMBER(SEARCH(Classifiers!$E$27,E489)),1,0)+IF(ISNUMBER(SEARCH(Classifiers!$E$28,E489)),1,0)+IF(ISNUMBER(SEARCH(Classifiers!$E$29,E489)),1,0)+IF(ISNUMBER(SEARCH(Classifiers!$E$30,E489)),1,0))&gt;0,1,0),0))</f>
        <v/>
      </c>
      <c r="H489" s="6">
        <f>IF(C489="","",IF(OR(LEFT(C489,1)=".",AND(F489=0,G489=0)),0,1))</f>
        <v/>
      </c>
      <c r="I489" s="6">
        <f>IF(H489&lt;&gt;1,"",IF(SUM(J489:W489)=0,"unclassified",INDEX(Classifiers!$A$5:$A$18,MATCH(1,J489:W489,0),1)))</f>
        <v/>
      </c>
      <c r="J489" s="12">
        <f>IF(H489&lt;&gt;1,0,IF((IF(Classifiers!$B$5="",0,IF(ISNUMBER(SEARCH(Classifiers!$B$5,E489)),1,0))+IF(Classifiers!$C$5="",0,IF(ISNUMBER(SEARCH(Classifiers!$C$5,E489)),1,0))+IF(Classifiers!$D$5="",0,IF(ISNUMBER(SEARCH(Classifiers!$D$5,E489)),1,0))+IF(Classifiers!$E$5="",0,IF(ISNUMBER(SEARCH(Classifiers!$E$5,E489)),1,0))+IF(Classifiers!$F$5="",0,IF(ISNUMBER(SEARCH(Classifiers!$F$5,E489)),1,0))+IF(Classifiers!$G$5="",0,IF(ISNUMBER(SEARCH(Classifiers!$G$5,E489)),1,0)))&gt;0,1,0))</f>
        <v/>
      </c>
      <c r="K489" s="12">
        <f>IF(H489&lt;&gt;1,0,IF((IF(Classifiers!$B$6="",0,IF(ISNUMBER(SEARCH(Classifiers!$B$6,E489)),1,0))+IF(Classifiers!$C$6="",0,IF(ISNUMBER(SEARCH(Classifiers!$C$6,E489)),1,0))+IF(Classifiers!$D$6="",0,IF(ISNUMBER(SEARCH(Classifiers!$D$6,E489)),1,0))+IF(Classifiers!$E$6="",0,IF(ISNUMBER(SEARCH(Classifiers!$E$6,E489)),1,0))+IF(Classifiers!$F$6="",0,IF(ISNUMBER(SEARCH(Classifiers!$F$6,E489)),1,0))+IF(Classifiers!$G$6="",0,IF(ISNUMBER(SEARCH(Classifiers!$G$6,E489)),1,0)))&gt;0,1,0))</f>
        <v/>
      </c>
      <c r="L489" s="12">
        <f>IF(H489&lt;&gt;1,0,IF((IF(Classifiers!$B$7="",0,IF(ISNUMBER(SEARCH(Classifiers!$B$7,E489)),1,0))+IF(Classifiers!$C$7="",0,IF(ISNUMBER(SEARCH(Classifiers!$C$7,E489)),1,0))+IF(Classifiers!$D$7="",0,IF(ISNUMBER(SEARCH(Classifiers!$D$7,E489)),1,0))+IF(Classifiers!$E$7="",0,IF(ISNUMBER(SEARCH(Classifiers!$E$7,E489)),1,0))+IF(Classifiers!$F$7="",0,IF(ISNUMBER(SEARCH(Classifiers!$F$7,E489)),1,0))+IF(Classifiers!$G$7="",0,IF(ISNUMBER(SEARCH(Classifiers!$G$7,E489)),1,0)))&gt;0,1,0))</f>
        <v/>
      </c>
      <c r="M489" s="12">
        <f>IF(H489&lt;&gt;1,0,IF((IF(Classifiers!$B$8="",0,IF(ISNUMBER(SEARCH(Classifiers!$B$8,E489)),1,0))+IF(Classifiers!$C$8="",0,IF(ISNUMBER(SEARCH(Classifiers!$C$8,E489)),1,0))+IF(Classifiers!$D$8="",0,IF(ISNUMBER(SEARCH(Classifiers!$D$8,E489)),1,0))+IF(Classifiers!$E$8="",0,IF(ISNUMBER(SEARCH(Classifiers!$E$8,E489)),1,0))+IF(Classifiers!$F$8="",0,IF(ISNUMBER(SEARCH(Classifiers!$F$8,E489)),1,0))+IF(Classifiers!$G$8="",0,IF(ISNUMBER(SEARCH(Classifiers!$G$8,E489)),1,0)))&gt;0,1,0))</f>
        <v/>
      </c>
      <c r="N489" s="12">
        <f>IF(H489&lt;&gt;1,0,IF((IF(Classifiers!$B$9="",0,IF(ISNUMBER(SEARCH(Classifiers!$B$9,E489)),1,0))+IF(Classifiers!$C$9="",0,IF(ISNUMBER(SEARCH(Classifiers!$C$9,E489)),1,0))+IF(Classifiers!$D$9="",0,IF(ISNUMBER(SEARCH(Classifiers!$D$9,E489)),1,0))+IF(Classifiers!$E$9="",0,IF(ISNUMBER(SEARCH(Classifiers!$E$9,E489)),1,0))+IF(Classifiers!$F$9="",0,IF(ISNUMBER(SEARCH(Classifiers!$F$9,E489)),1,0))+IF(Classifiers!$G$9="",0,IF(ISNUMBER(SEARCH(Classifiers!$G$9,E489)),1,0)))&gt;0,1,0))</f>
        <v/>
      </c>
      <c r="O489" s="12">
        <f>IF(H489&lt;&gt;1,0,IF((IF(Classifiers!$B$10="",0,IF(ISNUMBER(SEARCH(Classifiers!$B$10,E489)),1,0))+IF(Classifiers!$C$10="",0,IF(ISNUMBER(SEARCH(Classifiers!$C$10,E489)),1,0))+IF(Classifiers!$D$10="",0,IF(ISNUMBER(SEARCH(Classifiers!$D$10,E489)),1,0))+IF(Classifiers!$E$10="",0,IF(ISNUMBER(SEARCH(Classifiers!$E$10,E489)),1,0))+IF(Classifiers!$F$10="",0,IF(ISNUMBER(SEARCH(Classifiers!$F$10,E489)),1,0))+IF(Classifiers!$G$10="",0,IF(ISNUMBER(SEARCH(Classifiers!$G$10,E489)),1,0)))&gt;0,1,0))</f>
        <v/>
      </c>
      <c r="P489" s="12">
        <f>IF(H489&lt;&gt;1,0,IF((IF(Classifiers!$B$11="",0,IF(ISNUMBER(SEARCH(Classifiers!$B$11,E489)),1,0))+IF(Classifiers!$C$11="",0,IF(ISNUMBER(SEARCH(Classifiers!$C$11,E489)),1,0))+IF(Classifiers!$D$11="",0,IF(ISNUMBER(SEARCH(Classifiers!$D$11,E489)),1,0))+IF(Classifiers!$E$11="",0,IF(ISNUMBER(SEARCH(Classifiers!$E$11,E489)),1,0))+IF(Classifiers!$F$11="",0,IF(ISNUMBER(SEARCH(Classifiers!$F$11,E489)),1,0))+IF(Classifiers!$G$11="",0,IF(ISNUMBER(SEARCH(Classifiers!$G$11,E489)),1,0)))&gt;0,1,0))</f>
        <v/>
      </c>
      <c r="Q489" s="12">
        <f>IF(H489&lt;&gt;1,0,IF((IF(Classifiers!$B$12="",0,IF(ISNUMBER(SEARCH(Classifiers!$B$12,E489)),1,0))+IF(Classifiers!$C$12="",0,IF(ISNUMBER(SEARCH(Classifiers!$C$12,E489)),1,0))+IF(Classifiers!$D$12="",0,IF(ISNUMBER(SEARCH(Classifiers!$D$12,E489)),1,0))+IF(Classifiers!$E$12="",0,IF(ISNUMBER(SEARCH(Classifiers!$E$12,E489)),1,0))+IF(Classifiers!$F$12="",0,IF(ISNUMBER(SEARCH(Classifiers!$F$12,E489)),1,0))+IF(Classifiers!$G$12="",0,IF(ISNUMBER(SEARCH(Classifiers!$G$12,E489)),1,0)))&gt;0,1,0))</f>
        <v/>
      </c>
      <c r="R489" s="12">
        <f>IF(H489&lt;&gt;1,0,IF((IF(Classifiers!$B$13="",0,IF(ISNUMBER(SEARCH(Classifiers!$B$13,E489)),1,0))+IF(Classifiers!$C$13="",0,IF(ISNUMBER(SEARCH(Classifiers!$C$13,E489)),1,0))+IF(Classifiers!$D$13="",0,IF(ISNUMBER(SEARCH(Classifiers!$D$13,E489)),1,0))+IF(Classifiers!$E$13="",0,IF(ISNUMBER(SEARCH(Classifiers!$E$13,E489)),1,0))+IF(Classifiers!$F$13="",0,IF(ISNUMBER(SEARCH(Classifiers!$F$13,E489)),1,0))+IF(Classifiers!$G$13="",0,IF(ISNUMBER(SEARCH(Classifiers!$G$13,E489)),1,0)))&gt;0,1,0))</f>
        <v/>
      </c>
      <c r="S489" s="12">
        <f>IF(H489&lt;&gt;1,0,IF((IF(Classifiers!$B$14="",0,IF(ISNUMBER(SEARCH(Classifiers!$B$14,E489)),1,0))+IF(Classifiers!$C$14="",0,IF(ISNUMBER(SEARCH(Classifiers!$C$14,E489)),1,0))+IF(Classifiers!$D$14="",0,IF(ISNUMBER(SEARCH(Classifiers!$D$14,E489)),1,0))+IF(Classifiers!$E$14="",0,IF(ISNUMBER(SEARCH(Classifiers!$E$14,E489)),1,0))+IF(Classifiers!$F$14="",0,IF(ISNUMBER(SEARCH(Classifiers!$F$14,E489)),1,0))+IF(Classifiers!$G$14="",0,IF(ISNUMBER(SEARCH(Classifiers!$G$14,E489)),1,0)))&gt;0,1,0))</f>
        <v/>
      </c>
      <c r="T489" s="12">
        <f>IF(H489&lt;&gt;1,0,IF((IF(Classifiers!$B$15="",0,IF(ISNUMBER(SEARCH(Classifiers!$B$15,E489)),1,0))+IF(Classifiers!$C$15="",0,IF(ISNUMBER(SEARCH(Classifiers!$C$15,E489)),1,0))+IF(Classifiers!$D$15="",0,IF(ISNUMBER(SEARCH(Classifiers!$D$15,E489)),1,0))+IF(Classifiers!$E$15="",0,IF(ISNUMBER(SEARCH(Classifiers!$E$15,E489)),1,0))+IF(Classifiers!$F$15="",0,IF(ISNUMBER(SEARCH(Classifiers!$F$15,E489)),1,0))+IF(Classifiers!$G$15="",0,IF(ISNUMBER(SEARCH(Classifiers!$G$15,E489)),1,0)))&gt;0,1,0))</f>
        <v/>
      </c>
      <c r="U489" s="12">
        <f>IF(H489&lt;&gt;1,0,IF((IF(Classifiers!$B$16="",0,IF(ISNUMBER(SEARCH(Classifiers!$B$16,E489)),1,0))+IF(Classifiers!$C$16="",0,IF(ISNUMBER(SEARCH(Classifiers!$C$16,E489)),1,0))+IF(Classifiers!$D$16="",0,IF(ISNUMBER(SEARCH(Classifiers!$D$16,E489)),1,0))+IF(Classifiers!$E$16="",0,IF(ISNUMBER(SEARCH(Classifiers!$E$16,E489)),1,0))+IF(Classifiers!$F$16="",0,IF(ISNUMBER(SEARCH(Classifiers!$F$16,E489)),1,0))+IF(Classifiers!$G$16="",0,IF(ISNUMBER(SEARCH(Classifiers!$G$16,E489)),1,0)))&gt;0,1,0))</f>
        <v/>
      </c>
      <c r="V489" s="12">
        <f>IF(H489&lt;&gt;1,0,IF((IF(Classifiers!$B$17="",0,IF(ISNUMBER(SEARCH(Classifiers!$B$17,E489)),1,0))+IF(Classifiers!$C$17="",0,IF(ISNUMBER(SEARCH(Classifiers!$C$17,E489)),1,0))+IF(Classifiers!$D$17="",0,IF(ISNUMBER(SEARCH(Classifiers!$D$17,E489)),1,0))+IF(Classifiers!$E$17="",0,IF(ISNUMBER(SEARCH(Classifiers!$E$17,E489)),1,0))+IF(Classifiers!$F$17="",0,IF(ISNUMBER(SEARCH(Classifiers!$F$17,E489)),1,0))+IF(Classifiers!$G$17="",0,IF(ISNUMBER(SEARCH(Classifiers!$G$17,E489)),1,0)))&gt;0,1,0))</f>
        <v/>
      </c>
      <c r="W489" s="12">
        <f>IF(H489&lt;&gt;1,0,IF((IF(Classifiers!$B$18="",0,IF(ISNUMBER(SEARCH(Classifiers!$B$18,E489)),1,0))+IF(Classifiers!$C$18="",0,IF(ISNUMBER(SEARCH(Classifiers!$C$18,E489)),1,0))+IF(Classifiers!$D$18="",0,IF(ISNUMBER(SEARCH(Classifiers!$D$18,E489)),1,0))+IF(Classifiers!$E$18="",0,IF(ISNUMBER(SEARCH(Classifiers!$E$18,E489)),1,0))+IF(Classifiers!$F$18="",0,IF(ISNUMBER(SEARCH(Classifiers!$F$18,E489)),1,0))+IF(Classifiers!$G$18="",0,IF(ISNUMBER(SEARCH(Classifiers!$G$18,E489)),1,0)))&gt;0,1,0))</f>
        <v/>
      </c>
    </row>
    <row r="490">
      <c r="A490" s="8" t="n"/>
      <c r="B490" s="11" t="n"/>
      <c r="C490" s="6">
        <f>IF(A490="","",TRIM(RIGHT(SUBSTITUTE(A490,"/",REPT(" ",250)),250)))</f>
        <v/>
      </c>
      <c r="D490" s="6">
        <f>IF(C490="","",IF(ISNUMBER(SEARCH(".",C490)),LOWER("."&amp;TRIM(RIGHT(SUBSTITUTE(C490,".",REPT(" ",250)),250))),""))</f>
        <v/>
      </c>
      <c r="E490" s="6">
        <f>IF(C490="","",TRIM(SUBSTITUTE(SUBSTITUTE(SUBSTITUTE(SUBSTITUTE(SUBSTITUTE(SUBSTITUTE(SUBSTITUTE(SUBSTITUTE(SUBSTITUTE(SUBSTITUTE(SUBSTITUTE(SUBSTITUTE(SUBSTITUTE(SUBSTITUTE(SUBSTITUTE(SUBSTITUTE(SUBSTITUTE(SUBSTITUTE(SUBSTITUTE(SUBSTITUTE(LOWER(LEFT(C490,LEN(C490)-LEN(D490))),"_"," "),"-"," "),"."," "),","," "),"("," "),")"," "),"["," "),"]"," "),"&amp;"," "),"+"," "),"@"," "),"#"," "),"!"," "),"'"," "),"/"," "),":"," "),";"," "),"="," "),"~"," "),"%"," ")))</f>
        <v/>
      </c>
      <c r="F490" s="6">
        <f>IF(C490="","",IF(COUNTIF(Classifiers!$A$23:$A$40,D490)&gt;0,1,0))</f>
        <v/>
      </c>
      <c r="G490" s="6">
        <f>IF(C490="","",IF(COUNTIF(Classifiers!$C$23:$C$30,D490)&gt;0,IF((IF(ISNUMBER(SEARCH(Classifiers!$E$23,E490)),1,0)+IF(ISNUMBER(SEARCH(Classifiers!$E$24,E490)),1,0)+IF(ISNUMBER(SEARCH(Classifiers!$E$25,E490)),1,0)+IF(ISNUMBER(SEARCH(Classifiers!$E$26,E490)),1,0)+IF(ISNUMBER(SEARCH(Classifiers!$E$27,E490)),1,0)+IF(ISNUMBER(SEARCH(Classifiers!$E$28,E490)),1,0)+IF(ISNUMBER(SEARCH(Classifiers!$E$29,E490)),1,0)+IF(ISNUMBER(SEARCH(Classifiers!$E$30,E490)),1,0))&gt;0,1,0),0))</f>
        <v/>
      </c>
      <c r="H490" s="6">
        <f>IF(C490="","",IF(OR(LEFT(C490,1)=".",AND(F490=0,G490=0)),0,1))</f>
        <v/>
      </c>
      <c r="I490" s="6">
        <f>IF(H490&lt;&gt;1,"",IF(SUM(J490:W490)=0,"unclassified",INDEX(Classifiers!$A$5:$A$18,MATCH(1,J490:W490,0),1)))</f>
        <v/>
      </c>
      <c r="J490" s="12">
        <f>IF(H490&lt;&gt;1,0,IF((IF(Classifiers!$B$5="",0,IF(ISNUMBER(SEARCH(Classifiers!$B$5,E490)),1,0))+IF(Classifiers!$C$5="",0,IF(ISNUMBER(SEARCH(Classifiers!$C$5,E490)),1,0))+IF(Classifiers!$D$5="",0,IF(ISNUMBER(SEARCH(Classifiers!$D$5,E490)),1,0))+IF(Classifiers!$E$5="",0,IF(ISNUMBER(SEARCH(Classifiers!$E$5,E490)),1,0))+IF(Classifiers!$F$5="",0,IF(ISNUMBER(SEARCH(Classifiers!$F$5,E490)),1,0))+IF(Classifiers!$G$5="",0,IF(ISNUMBER(SEARCH(Classifiers!$G$5,E490)),1,0)))&gt;0,1,0))</f>
        <v/>
      </c>
      <c r="K490" s="12">
        <f>IF(H490&lt;&gt;1,0,IF((IF(Classifiers!$B$6="",0,IF(ISNUMBER(SEARCH(Classifiers!$B$6,E490)),1,0))+IF(Classifiers!$C$6="",0,IF(ISNUMBER(SEARCH(Classifiers!$C$6,E490)),1,0))+IF(Classifiers!$D$6="",0,IF(ISNUMBER(SEARCH(Classifiers!$D$6,E490)),1,0))+IF(Classifiers!$E$6="",0,IF(ISNUMBER(SEARCH(Classifiers!$E$6,E490)),1,0))+IF(Classifiers!$F$6="",0,IF(ISNUMBER(SEARCH(Classifiers!$F$6,E490)),1,0))+IF(Classifiers!$G$6="",0,IF(ISNUMBER(SEARCH(Classifiers!$G$6,E490)),1,0)))&gt;0,1,0))</f>
        <v/>
      </c>
      <c r="L490" s="12">
        <f>IF(H490&lt;&gt;1,0,IF((IF(Classifiers!$B$7="",0,IF(ISNUMBER(SEARCH(Classifiers!$B$7,E490)),1,0))+IF(Classifiers!$C$7="",0,IF(ISNUMBER(SEARCH(Classifiers!$C$7,E490)),1,0))+IF(Classifiers!$D$7="",0,IF(ISNUMBER(SEARCH(Classifiers!$D$7,E490)),1,0))+IF(Classifiers!$E$7="",0,IF(ISNUMBER(SEARCH(Classifiers!$E$7,E490)),1,0))+IF(Classifiers!$F$7="",0,IF(ISNUMBER(SEARCH(Classifiers!$F$7,E490)),1,0))+IF(Classifiers!$G$7="",0,IF(ISNUMBER(SEARCH(Classifiers!$G$7,E490)),1,0)))&gt;0,1,0))</f>
        <v/>
      </c>
      <c r="M490" s="12">
        <f>IF(H490&lt;&gt;1,0,IF((IF(Classifiers!$B$8="",0,IF(ISNUMBER(SEARCH(Classifiers!$B$8,E490)),1,0))+IF(Classifiers!$C$8="",0,IF(ISNUMBER(SEARCH(Classifiers!$C$8,E490)),1,0))+IF(Classifiers!$D$8="",0,IF(ISNUMBER(SEARCH(Classifiers!$D$8,E490)),1,0))+IF(Classifiers!$E$8="",0,IF(ISNUMBER(SEARCH(Classifiers!$E$8,E490)),1,0))+IF(Classifiers!$F$8="",0,IF(ISNUMBER(SEARCH(Classifiers!$F$8,E490)),1,0))+IF(Classifiers!$G$8="",0,IF(ISNUMBER(SEARCH(Classifiers!$G$8,E490)),1,0)))&gt;0,1,0))</f>
        <v/>
      </c>
      <c r="N490" s="12">
        <f>IF(H490&lt;&gt;1,0,IF((IF(Classifiers!$B$9="",0,IF(ISNUMBER(SEARCH(Classifiers!$B$9,E490)),1,0))+IF(Classifiers!$C$9="",0,IF(ISNUMBER(SEARCH(Classifiers!$C$9,E490)),1,0))+IF(Classifiers!$D$9="",0,IF(ISNUMBER(SEARCH(Classifiers!$D$9,E490)),1,0))+IF(Classifiers!$E$9="",0,IF(ISNUMBER(SEARCH(Classifiers!$E$9,E490)),1,0))+IF(Classifiers!$F$9="",0,IF(ISNUMBER(SEARCH(Classifiers!$F$9,E490)),1,0))+IF(Classifiers!$G$9="",0,IF(ISNUMBER(SEARCH(Classifiers!$G$9,E490)),1,0)))&gt;0,1,0))</f>
        <v/>
      </c>
      <c r="O490" s="12">
        <f>IF(H490&lt;&gt;1,0,IF((IF(Classifiers!$B$10="",0,IF(ISNUMBER(SEARCH(Classifiers!$B$10,E490)),1,0))+IF(Classifiers!$C$10="",0,IF(ISNUMBER(SEARCH(Classifiers!$C$10,E490)),1,0))+IF(Classifiers!$D$10="",0,IF(ISNUMBER(SEARCH(Classifiers!$D$10,E490)),1,0))+IF(Classifiers!$E$10="",0,IF(ISNUMBER(SEARCH(Classifiers!$E$10,E490)),1,0))+IF(Classifiers!$F$10="",0,IF(ISNUMBER(SEARCH(Classifiers!$F$10,E490)),1,0))+IF(Classifiers!$G$10="",0,IF(ISNUMBER(SEARCH(Classifiers!$G$10,E490)),1,0)))&gt;0,1,0))</f>
        <v/>
      </c>
      <c r="P490" s="12">
        <f>IF(H490&lt;&gt;1,0,IF((IF(Classifiers!$B$11="",0,IF(ISNUMBER(SEARCH(Classifiers!$B$11,E490)),1,0))+IF(Classifiers!$C$11="",0,IF(ISNUMBER(SEARCH(Classifiers!$C$11,E490)),1,0))+IF(Classifiers!$D$11="",0,IF(ISNUMBER(SEARCH(Classifiers!$D$11,E490)),1,0))+IF(Classifiers!$E$11="",0,IF(ISNUMBER(SEARCH(Classifiers!$E$11,E490)),1,0))+IF(Classifiers!$F$11="",0,IF(ISNUMBER(SEARCH(Classifiers!$F$11,E490)),1,0))+IF(Classifiers!$G$11="",0,IF(ISNUMBER(SEARCH(Classifiers!$G$11,E490)),1,0)))&gt;0,1,0))</f>
        <v/>
      </c>
      <c r="Q490" s="12">
        <f>IF(H490&lt;&gt;1,0,IF((IF(Classifiers!$B$12="",0,IF(ISNUMBER(SEARCH(Classifiers!$B$12,E490)),1,0))+IF(Classifiers!$C$12="",0,IF(ISNUMBER(SEARCH(Classifiers!$C$12,E490)),1,0))+IF(Classifiers!$D$12="",0,IF(ISNUMBER(SEARCH(Classifiers!$D$12,E490)),1,0))+IF(Classifiers!$E$12="",0,IF(ISNUMBER(SEARCH(Classifiers!$E$12,E490)),1,0))+IF(Classifiers!$F$12="",0,IF(ISNUMBER(SEARCH(Classifiers!$F$12,E490)),1,0))+IF(Classifiers!$G$12="",0,IF(ISNUMBER(SEARCH(Classifiers!$G$12,E490)),1,0)))&gt;0,1,0))</f>
        <v/>
      </c>
      <c r="R490" s="12">
        <f>IF(H490&lt;&gt;1,0,IF((IF(Classifiers!$B$13="",0,IF(ISNUMBER(SEARCH(Classifiers!$B$13,E490)),1,0))+IF(Classifiers!$C$13="",0,IF(ISNUMBER(SEARCH(Classifiers!$C$13,E490)),1,0))+IF(Classifiers!$D$13="",0,IF(ISNUMBER(SEARCH(Classifiers!$D$13,E490)),1,0))+IF(Classifiers!$E$13="",0,IF(ISNUMBER(SEARCH(Classifiers!$E$13,E490)),1,0))+IF(Classifiers!$F$13="",0,IF(ISNUMBER(SEARCH(Classifiers!$F$13,E490)),1,0))+IF(Classifiers!$G$13="",0,IF(ISNUMBER(SEARCH(Classifiers!$G$13,E490)),1,0)))&gt;0,1,0))</f>
        <v/>
      </c>
      <c r="S490" s="12">
        <f>IF(H490&lt;&gt;1,0,IF((IF(Classifiers!$B$14="",0,IF(ISNUMBER(SEARCH(Classifiers!$B$14,E490)),1,0))+IF(Classifiers!$C$14="",0,IF(ISNUMBER(SEARCH(Classifiers!$C$14,E490)),1,0))+IF(Classifiers!$D$14="",0,IF(ISNUMBER(SEARCH(Classifiers!$D$14,E490)),1,0))+IF(Classifiers!$E$14="",0,IF(ISNUMBER(SEARCH(Classifiers!$E$14,E490)),1,0))+IF(Classifiers!$F$14="",0,IF(ISNUMBER(SEARCH(Classifiers!$F$14,E490)),1,0))+IF(Classifiers!$G$14="",0,IF(ISNUMBER(SEARCH(Classifiers!$G$14,E490)),1,0)))&gt;0,1,0))</f>
        <v/>
      </c>
      <c r="T490" s="12">
        <f>IF(H490&lt;&gt;1,0,IF((IF(Classifiers!$B$15="",0,IF(ISNUMBER(SEARCH(Classifiers!$B$15,E490)),1,0))+IF(Classifiers!$C$15="",0,IF(ISNUMBER(SEARCH(Classifiers!$C$15,E490)),1,0))+IF(Classifiers!$D$15="",0,IF(ISNUMBER(SEARCH(Classifiers!$D$15,E490)),1,0))+IF(Classifiers!$E$15="",0,IF(ISNUMBER(SEARCH(Classifiers!$E$15,E490)),1,0))+IF(Classifiers!$F$15="",0,IF(ISNUMBER(SEARCH(Classifiers!$F$15,E490)),1,0))+IF(Classifiers!$G$15="",0,IF(ISNUMBER(SEARCH(Classifiers!$G$15,E490)),1,0)))&gt;0,1,0))</f>
        <v/>
      </c>
      <c r="U490" s="12">
        <f>IF(H490&lt;&gt;1,0,IF((IF(Classifiers!$B$16="",0,IF(ISNUMBER(SEARCH(Classifiers!$B$16,E490)),1,0))+IF(Classifiers!$C$16="",0,IF(ISNUMBER(SEARCH(Classifiers!$C$16,E490)),1,0))+IF(Classifiers!$D$16="",0,IF(ISNUMBER(SEARCH(Classifiers!$D$16,E490)),1,0))+IF(Classifiers!$E$16="",0,IF(ISNUMBER(SEARCH(Classifiers!$E$16,E490)),1,0))+IF(Classifiers!$F$16="",0,IF(ISNUMBER(SEARCH(Classifiers!$F$16,E490)),1,0))+IF(Classifiers!$G$16="",0,IF(ISNUMBER(SEARCH(Classifiers!$G$16,E490)),1,0)))&gt;0,1,0))</f>
        <v/>
      </c>
      <c r="V490" s="12">
        <f>IF(H490&lt;&gt;1,0,IF((IF(Classifiers!$B$17="",0,IF(ISNUMBER(SEARCH(Classifiers!$B$17,E490)),1,0))+IF(Classifiers!$C$17="",0,IF(ISNUMBER(SEARCH(Classifiers!$C$17,E490)),1,0))+IF(Classifiers!$D$17="",0,IF(ISNUMBER(SEARCH(Classifiers!$D$17,E490)),1,0))+IF(Classifiers!$E$17="",0,IF(ISNUMBER(SEARCH(Classifiers!$E$17,E490)),1,0))+IF(Classifiers!$F$17="",0,IF(ISNUMBER(SEARCH(Classifiers!$F$17,E490)),1,0))+IF(Classifiers!$G$17="",0,IF(ISNUMBER(SEARCH(Classifiers!$G$17,E490)),1,0)))&gt;0,1,0))</f>
        <v/>
      </c>
      <c r="W490" s="12">
        <f>IF(H490&lt;&gt;1,0,IF((IF(Classifiers!$B$18="",0,IF(ISNUMBER(SEARCH(Classifiers!$B$18,E490)),1,0))+IF(Classifiers!$C$18="",0,IF(ISNUMBER(SEARCH(Classifiers!$C$18,E490)),1,0))+IF(Classifiers!$D$18="",0,IF(ISNUMBER(SEARCH(Classifiers!$D$18,E490)),1,0))+IF(Classifiers!$E$18="",0,IF(ISNUMBER(SEARCH(Classifiers!$E$18,E490)),1,0))+IF(Classifiers!$F$18="",0,IF(ISNUMBER(SEARCH(Classifiers!$F$18,E490)),1,0))+IF(Classifiers!$G$18="",0,IF(ISNUMBER(SEARCH(Classifiers!$G$18,E490)),1,0)))&gt;0,1,0))</f>
        <v/>
      </c>
    </row>
    <row r="491">
      <c r="A491" s="8" t="n"/>
      <c r="B491" s="11" t="n"/>
      <c r="C491" s="6">
        <f>IF(A491="","",TRIM(RIGHT(SUBSTITUTE(A491,"/",REPT(" ",250)),250)))</f>
        <v/>
      </c>
      <c r="D491" s="6">
        <f>IF(C491="","",IF(ISNUMBER(SEARCH(".",C491)),LOWER("."&amp;TRIM(RIGHT(SUBSTITUTE(C491,".",REPT(" ",250)),250))),""))</f>
        <v/>
      </c>
      <c r="E491" s="6">
        <f>IF(C491="","",TRIM(SUBSTITUTE(SUBSTITUTE(SUBSTITUTE(SUBSTITUTE(SUBSTITUTE(SUBSTITUTE(SUBSTITUTE(SUBSTITUTE(SUBSTITUTE(SUBSTITUTE(SUBSTITUTE(SUBSTITUTE(SUBSTITUTE(SUBSTITUTE(SUBSTITUTE(SUBSTITUTE(SUBSTITUTE(SUBSTITUTE(SUBSTITUTE(SUBSTITUTE(LOWER(LEFT(C491,LEN(C491)-LEN(D491))),"_"," "),"-"," "),"."," "),","," "),"("," "),")"," "),"["," "),"]"," "),"&amp;"," "),"+"," "),"@"," "),"#"," "),"!"," "),"'"," "),"/"," "),":"," "),";"," "),"="," "),"~"," "),"%"," ")))</f>
        <v/>
      </c>
      <c r="F491" s="6">
        <f>IF(C491="","",IF(COUNTIF(Classifiers!$A$23:$A$40,D491)&gt;0,1,0))</f>
        <v/>
      </c>
      <c r="G491" s="6">
        <f>IF(C491="","",IF(COUNTIF(Classifiers!$C$23:$C$30,D491)&gt;0,IF((IF(ISNUMBER(SEARCH(Classifiers!$E$23,E491)),1,0)+IF(ISNUMBER(SEARCH(Classifiers!$E$24,E491)),1,0)+IF(ISNUMBER(SEARCH(Classifiers!$E$25,E491)),1,0)+IF(ISNUMBER(SEARCH(Classifiers!$E$26,E491)),1,0)+IF(ISNUMBER(SEARCH(Classifiers!$E$27,E491)),1,0)+IF(ISNUMBER(SEARCH(Classifiers!$E$28,E491)),1,0)+IF(ISNUMBER(SEARCH(Classifiers!$E$29,E491)),1,0)+IF(ISNUMBER(SEARCH(Classifiers!$E$30,E491)),1,0))&gt;0,1,0),0))</f>
        <v/>
      </c>
      <c r="H491" s="6">
        <f>IF(C491="","",IF(OR(LEFT(C491,1)=".",AND(F491=0,G491=0)),0,1))</f>
        <v/>
      </c>
      <c r="I491" s="6">
        <f>IF(H491&lt;&gt;1,"",IF(SUM(J491:W491)=0,"unclassified",INDEX(Classifiers!$A$5:$A$18,MATCH(1,J491:W491,0),1)))</f>
        <v/>
      </c>
      <c r="J491" s="12">
        <f>IF(H491&lt;&gt;1,0,IF((IF(Classifiers!$B$5="",0,IF(ISNUMBER(SEARCH(Classifiers!$B$5,E491)),1,0))+IF(Classifiers!$C$5="",0,IF(ISNUMBER(SEARCH(Classifiers!$C$5,E491)),1,0))+IF(Classifiers!$D$5="",0,IF(ISNUMBER(SEARCH(Classifiers!$D$5,E491)),1,0))+IF(Classifiers!$E$5="",0,IF(ISNUMBER(SEARCH(Classifiers!$E$5,E491)),1,0))+IF(Classifiers!$F$5="",0,IF(ISNUMBER(SEARCH(Classifiers!$F$5,E491)),1,0))+IF(Classifiers!$G$5="",0,IF(ISNUMBER(SEARCH(Classifiers!$G$5,E491)),1,0)))&gt;0,1,0))</f>
        <v/>
      </c>
      <c r="K491" s="12">
        <f>IF(H491&lt;&gt;1,0,IF((IF(Classifiers!$B$6="",0,IF(ISNUMBER(SEARCH(Classifiers!$B$6,E491)),1,0))+IF(Classifiers!$C$6="",0,IF(ISNUMBER(SEARCH(Classifiers!$C$6,E491)),1,0))+IF(Classifiers!$D$6="",0,IF(ISNUMBER(SEARCH(Classifiers!$D$6,E491)),1,0))+IF(Classifiers!$E$6="",0,IF(ISNUMBER(SEARCH(Classifiers!$E$6,E491)),1,0))+IF(Classifiers!$F$6="",0,IF(ISNUMBER(SEARCH(Classifiers!$F$6,E491)),1,0))+IF(Classifiers!$G$6="",0,IF(ISNUMBER(SEARCH(Classifiers!$G$6,E491)),1,0)))&gt;0,1,0))</f>
        <v/>
      </c>
      <c r="L491" s="12">
        <f>IF(H491&lt;&gt;1,0,IF((IF(Classifiers!$B$7="",0,IF(ISNUMBER(SEARCH(Classifiers!$B$7,E491)),1,0))+IF(Classifiers!$C$7="",0,IF(ISNUMBER(SEARCH(Classifiers!$C$7,E491)),1,0))+IF(Classifiers!$D$7="",0,IF(ISNUMBER(SEARCH(Classifiers!$D$7,E491)),1,0))+IF(Classifiers!$E$7="",0,IF(ISNUMBER(SEARCH(Classifiers!$E$7,E491)),1,0))+IF(Classifiers!$F$7="",0,IF(ISNUMBER(SEARCH(Classifiers!$F$7,E491)),1,0))+IF(Classifiers!$G$7="",0,IF(ISNUMBER(SEARCH(Classifiers!$G$7,E491)),1,0)))&gt;0,1,0))</f>
        <v/>
      </c>
      <c r="M491" s="12">
        <f>IF(H491&lt;&gt;1,0,IF((IF(Classifiers!$B$8="",0,IF(ISNUMBER(SEARCH(Classifiers!$B$8,E491)),1,0))+IF(Classifiers!$C$8="",0,IF(ISNUMBER(SEARCH(Classifiers!$C$8,E491)),1,0))+IF(Classifiers!$D$8="",0,IF(ISNUMBER(SEARCH(Classifiers!$D$8,E491)),1,0))+IF(Classifiers!$E$8="",0,IF(ISNUMBER(SEARCH(Classifiers!$E$8,E491)),1,0))+IF(Classifiers!$F$8="",0,IF(ISNUMBER(SEARCH(Classifiers!$F$8,E491)),1,0))+IF(Classifiers!$G$8="",0,IF(ISNUMBER(SEARCH(Classifiers!$G$8,E491)),1,0)))&gt;0,1,0))</f>
        <v/>
      </c>
      <c r="N491" s="12">
        <f>IF(H491&lt;&gt;1,0,IF((IF(Classifiers!$B$9="",0,IF(ISNUMBER(SEARCH(Classifiers!$B$9,E491)),1,0))+IF(Classifiers!$C$9="",0,IF(ISNUMBER(SEARCH(Classifiers!$C$9,E491)),1,0))+IF(Classifiers!$D$9="",0,IF(ISNUMBER(SEARCH(Classifiers!$D$9,E491)),1,0))+IF(Classifiers!$E$9="",0,IF(ISNUMBER(SEARCH(Classifiers!$E$9,E491)),1,0))+IF(Classifiers!$F$9="",0,IF(ISNUMBER(SEARCH(Classifiers!$F$9,E491)),1,0))+IF(Classifiers!$G$9="",0,IF(ISNUMBER(SEARCH(Classifiers!$G$9,E491)),1,0)))&gt;0,1,0))</f>
        <v/>
      </c>
      <c r="O491" s="12">
        <f>IF(H491&lt;&gt;1,0,IF((IF(Classifiers!$B$10="",0,IF(ISNUMBER(SEARCH(Classifiers!$B$10,E491)),1,0))+IF(Classifiers!$C$10="",0,IF(ISNUMBER(SEARCH(Classifiers!$C$10,E491)),1,0))+IF(Classifiers!$D$10="",0,IF(ISNUMBER(SEARCH(Classifiers!$D$10,E491)),1,0))+IF(Classifiers!$E$10="",0,IF(ISNUMBER(SEARCH(Classifiers!$E$10,E491)),1,0))+IF(Classifiers!$F$10="",0,IF(ISNUMBER(SEARCH(Classifiers!$F$10,E491)),1,0))+IF(Classifiers!$G$10="",0,IF(ISNUMBER(SEARCH(Classifiers!$G$10,E491)),1,0)))&gt;0,1,0))</f>
        <v/>
      </c>
      <c r="P491" s="12">
        <f>IF(H491&lt;&gt;1,0,IF((IF(Classifiers!$B$11="",0,IF(ISNUMBER(SEARCH(Classifiers!$B$11,E491)),1,0))+IF(Classifiers!$C$11="",0,IF(ISNUMBER(SEARCH(Classifiers!$C$11,E491)),1,0))+IF(Classifiers!$D$11="",0,IF(ISNUMBER(SEARCH(Classifiers!$D$11,E491)),1,0))+IF(Classifiers!$E$11="",0,IF(ISNUMBER(SEARCH(Classifiers!$E$11,E491)),1,0))+IF(Classifiers!$F$11="",0,IF(ISNUMBER(SEARCH(Classifiers!$F$11,E491)),1,0))+IF(Classifiers!$G$11="",0,IF(ISNUMBER(SEARCH(Classifiers!$G$11,E491)),1,0)))&gt;0,1,0))</f>
        <v/>
      </c>
      <c r="Q491" s="12">
        <f>IF(H491&lt;&gt;1,0,IF((IF(Classifiers!$B$12="",0,IF(ISNUMBER(SEARCH(Classifiers!$B$12,E491)),1,0))+IF(Classifiers!$C$12="",0,IF(ISNUMBER(SEARCH(Classifiers!$C$12,E491)),1,0))+IF(Classifiers!$D$12="",0,IF(ISNUMBER(SEARCH(Classifiers!$D$12,E491)),1,0))+IF(Classifiers!$E$12="",0,IF(ISNUMBER(SEARCH(Classifiers!$E$12,E491)),1,0))+IF(Classifiers!$F$12="",0,IF(ISNUMBER(SEARCH(Classifiers!$F$12,E491)),1,0))+IF(Classifiers!$G$12="",0,IF(ISNUMBER(SEARCH(Classifiers!$G$12,E491)),1,0)))&gt;0,1,0))</f>
        <v/>
      </c>
      <c r="R491" s="12">
        <f>IF(H491&lt;&gt;1,0,IF((IF(Classifiers!$B$13="",0,IF(ISNUMBER(SEARCH(Classifiers!$B$13,E491)),1,0))+IF(Classifiers!$C$13="",0,IF(ISNUMBER(SEARCH(Classifiers!$C$13,E491)),1,0))+IF(Classifiers!$D$13="",0,IF(ISNUMBER(SEARCH(Classifiers!$D$13,E491)),1,0))+IF(Classifiers!$E$13="",0,IF(ISNUMBER(SEARCH(Classifiers!$E$13,E491)),1,0))+IF(Classifiers!$F$13="",0,IF(ISNUMBER(SEARCH(Classifiers!$F$13,E491)),1,0))+IF(Classifiers!$G$13="",0,IF(ISNUMBER(SEARCH(Classifiers!$G$13,E491)),1,0)))&gt;0,1,0))</f>
        <v/>
      </c>
      <c r="S491" s="12">
        <f>IF(H491&lt;&gt;1,0,IF((IF(Classifiers!$B$14="",0,IF(ISNUMBER(SEARCH(Classifiers!$B$14,E491)),1,0))+IF(Classifiers!$C$14="",0,IF(ISNUMBER(SEARCH(Classifiers!$C$14,E491)),1,0))+IF(Classifiers!$D$14="",0,IF(ISNUMBER(SEARCH(Classifiers!$D$14,E491)),1,0))+IF(Classifiers!$E$14="",0,IF(ISNUMBER(SEARCH(Classifiers!$E$14,E491)),1,0))+IF(Classifiers!$F$14="",0,IF(ISNUMBER(SEARCH(Classifiers!$F$14,E491)),1,0))+IF(Classifiers!$G$14="",0,IF(ISNUMBER(SEARCH(Classifiers!$G$14,E491)),1,0)))&gt;0,1,0))</f>
        <v/>
      </c>
      <c r="T491" s="12">
        <f>IF(H491&lt;&gt;1,0,IF((IF(Classifiers!$B$15="",0,IF(ISNUMBER(SEARCH(Classifiers!$B$15,E491)),1,0))+IF(Classifiers!$C$15="",0,IF(ISNUMBER(SEARCH(Classifiers!$C$15,E491)),1,0))+IF(Classifiers!$D$15="",0,IF(ISNUMBER(SEARCH(Classifiers!$D$15,E491)),1,0))+IF(Classifiers!$E$15="",0,IF(ISNUMBER(SEARCH(Classifiers!$E$15,E491)),1,0))+IF(Classifiers!$F$15="",0,IF(ISNUMBER(SEARCH(Classifiers!$F$15,E491)),1,0))+IF(Classifiers!$G$15="",0,IF(ISNUMBER(SEARCH(Classifiers!$G$15,E491)),1,0)))&gt;0,1,0))</f>
        <v/>
      </c>
      <c r="U491" s="12">
        <f>IF(H491&lt;&gt;1,0,IF((IF(Classifiers!$B$16="",0,IF(ISNUMBER(SEARCH(Classifiers!$B$16,E491)),1,0))+IF(Classifiers!$C$16="",0,IF(ISNUMBER(SEARCH(Classifiers!$C$16,E491)),1,0))+IF(Classifiers!$D$16="",0,IF(ISNUMBER(SEARCH(Classifiers!$D$16,E491)),1,0))+IF(Classifiers!$E$16="",0,IF(ISNUMBER(SEARCH(Classifiers!$E$16,E491)),1,0))+IF(Classifiers!$F$16="",0,IF(ISNUMBER(SEARCH(Classifiers!$F$16,E491)),1,0))+IF(Classifiers!$G$16="",0,IF(ISNUMBER(SEARCH(Classifiers!$G$16,E491)),1,0)))&gt;0,1,0))</f>
        <v/>
      </c>
      <c r="V491" s="12">
        <f>IF(H491&lt;&gt;1,0,IF((IF(Classifiers!$B$17="",0,IF(ISNUMBER(SEARCH(Classifiers!$B$17,E491)),1,0))+IF(Classifiers!$C$17="",0,IF(ISNUMBER(SEARCH(Classifiers!$C$17,E491)),1,0))+IF(Classifiers!$D$17="",0,IF(ISNUMBER(SEARCH(Classifiers!$D$17,E491)),1,0))+IF(Classifiers!$E$17="",0,IF(ISNUMBER(SEARCH(Classifiers!$E$17,E491)),1,0))+IF(Classifiers!$F$17="",0,IF(ISNUMBER(SEARCH(Classifiers!$F$17,E491)),1,0))+IF(Classifiers!$G$17="",0,IF(ISNUMBER(SEARCH(Classifiers!$G$17,E491)),1,0)))&gt;0,1,0))</f>
        <v/>
      </c>
      <c r="W491" s="12">
        <f>IF(H491&lt;&gt;1,0,IF((IF(Classifiers!$B$18="",0,IF(ISNUMBER(SEARCH(Classifiers!$B$18,E491)),1,0))+IF(Classifiers!$C$18="",0,IF(ISNUMBER(SEARCH(Classifiers!$C$18,E491)),1,0))+IF(Classifiers!$D$18="",0,IF(ISNUMBER(SEARCH(Classifiers!$D$18,E491)),1,0))+IF(Classifiers!$E$18="",0,IF(ISNUMBER(SEARCH(Classifiers!$E$18,E491)),1,0))+IF(Classifiers!$F$18="",0,IF(ISNUMBER(SEARCH(Classifiers!$F$18,E491)),1,0))+IF(Classifiers!$G$18="",0,IF(ISNUMBER(SEARCH(Classifiers!$G$18,E491)),1,0)))&gt;0,1,0))</f>
        <v/>
      </c>
    </row>
    <row r="492">
      <c r="A492" s="8" t="n"/>
      <c r="B492" s="11" t="n"/>
      <c r="C492" s="6">
        <f>IF(A492="","",TRIM(RIGHT(SUBSTITUTE(A492,"/",REPT(" ",250)),250)))</f>
        <v/>
      </c>
      <c r="D492" s="6">
        <f>IF(C492="","",IF(ISNUMBER(SEARCH(".",C492)),LOWER("."&amp;TRIM(RIGHT(SUBSTITUTE(C492,".",REPT(" ",250)),250))),""))</f>
        <v/>
      </c>
      <c r="E492" s="6">
        <f>IF(C492="","",TRIM(SUBSTITUTE(SUBSTITUTE(SUBSTITUTE(SUBSTITUTE(SUBSTITUTE(SUBSTITUTE(SUBSTITUTE(SUBSTITUTE(SUBSTITUTE(SUBSTITUTE(SUBSTITUTE(SUBSTITUTE(SUBSTITUTE(SUBSTITUTE(SUBSTITUTE(SUBSTITUTE(SUBSTITUTE(SUBSTITUTE(SUBSTITUTE(SUBSTITUTE(LOWER(LEFT(C492,LEN(C492)-LEN(D492))),"_"," "),"-"," "),"."," "),","," "),"("," "),")"," "),"["," "),"]"," "),"&amp;"," "),"+"," "),"@"," "),"#"," "),"!"," "),"'"," "),"/"," "),":"," "),";"," "),"="," "),"~"," "),"%"," ")))</f>
        <v/>
      </c>
      <c r="F492" s="6">
        <f>IF(C492="","",IF(COUNTIF(Classifiers!$A$23:$A$40,D492)&gt;0,1,0))</f>
        <v/>
      </c>
      <c r="G492" s="6">
        <f>IF(C492="","",IF(COUNTIF(Classifiers!$C$23:$C$30,D492)&gt;0,IF((IF(ISNUMBER(SEARCH(Classifiers!$E$23,E492)),1,0)+IF(ISNUMBER(SEARCH(Classifiers!$E$24,E492)),1,0)+IF(ISNUMBER(SEARCH(Classifiers!$E$25,E492)),1,0)+IF(ISNUMBER(SEARCH(Classifiers!$E$26,E492)),1,0)+IF(ISNUMBER(SEARCH(Classifiers!$E$27,E492)),1,0)+IF(ISNUMBER(SEARCH(Classifiers!$E$28,E492)),1,0)+IF(ISNUMBER(SEARCH(Classifiers!$E$29,E492)),1,0)+IF(ISNUMBER(SEARCH(Classifiers!$E$30,E492)),1,0))&gt;0,1,0),0))</f>
        <v/>
      </c>
      <c r="H492" s="6">
        <f>IF(C492="","",IF(OR(LEFT(C492,1)=".",AND(F492=0,G492=0)),0,1))</f>
        <v/>
      </c>
      <c r="I492" s="6">
        <f>IF(H492&lt;&gt;1,"",IF(SUM(J492:W492)=0,"unclassified",INDEX(Classifiers!$A$5:$A$18,MATCH(1,J492:W492,0),1)))</f>
        <v/>
      </c>
      <c r="J492" s="12">
        <f>IF(H492&lt;&gt;1,0,IF((IF(Classifiers!$B$5="",0,IF(ISNUMBER(SEARCH(Classifiers!$B$5,E492)),1,0))+IF(Classifiers!$C$5="",0,IF(ISNUMBER(SEARCH(Classifiers!$C$5,E492)),1,0))+IF(Classifiers!$D$5="",0,IF(ISNUMBER(SEARCH(Classifiers!$D$5,E492)),1,0))+IF(Classifiers!$E$5="",0,IF(ISNUMBER(SEARCH(Classifiers!$E$5,E492)),1,0))+IF(Classifiers!$F$5="",0,IF(ISNUMBER(SEARCH(Classifiers!$F$5,E492)),1,0))+IF(Classifiers!$G$5="",0,IF(ISNUMBER(SEARCH(Classifiers!$G$5,E492)),1,0)))&gt;0,1,0))</f>
        <v/>
      </c>
      <c r="K492" s="12">
        <f>IF(H492&lt;&gt;1,0,IF((IF(Classifiers!$B$6="",0,IF(ISNUMBER(SEARCH(Classifiers!$B$6,E492)),1,0))+IF(Classifiers!$C$6="",0,IF(ISNUMBER(SEARCH(Classifiers!$C$6,E492)),1,0))+IF(Classifiers!$D$6="",0,IF(ISNUMBER(SEARCH(Classifiers!$D$6,E492)),1,0))+IF(Classifiers!$E$6="",0,IF(ISNUMBER(SEARCH(Classifiers!$E$6,E492)),1,0))+IF(Classifiers!$F$6="",0,IF(ISNUMBER(SEARCH(Classifiers!$F$6,E492)),1,0))+IF(Classifiers!$G$6="",0,IF(ISNUMBER(SEARCH(Classifiers!$G$6,E492)),1,0)))&gt;0,1,0))</f>
        <v/>
      </c>
      <c r="L492" s="12">
        <f>IF(H492&lt;&gt;1,0,IF((IF(Classifiers!$B$7="",0,IF(ISNUMBER(SEARCH(Classifiers!$B$7,E492)),1,0))+IF(Classifiers!$C$7="",0,IF(ISNUMBER(SEARCH(Classifiers!$C$7,E492)),1,0))+IF(Classifiers!$D$7="",0,IF(ISNUMBER(SEARCH(Classifiers!$D$7,E492)),1,0))+IF(Classifiers!$E$7="",0,IF(ISNUMBER(SEARCH(Classifiers!$E$7,E492)),1,0))+IF(Classifiers!$F$7="",0,IF(ISNUMBER(SEARCH(Classifiers!$F$7,E492)),1,0))+IF(Classifiers!$G$7="",0,IF(ISNUMBER(SEARCH(Classifiers!$G$7,E492)),1,0)))&gt;0,1,0))</f>
        <v/>
      </c>
      <c r="M492" s="12">
        <f>IF(H492&lt;&gt;1,0,IF((IF(Classifiers!$B$8="",0,IF(ISNUMBER(SEARCH(Classifiers!$B$8,E492)),1,0))+IF(Classifiers!$C$8="",0,IF(ISNUMBER(SEARCH(Classifiers!$C$8,E492)),1,0))+IF(Classifiers!$D$8="",0,IF(ISNUMBER(SEARCH(Classifiers!$D$8,E492)),1,0))+IF(Classifiers!$E$8="",0,IF(ISNUMBER(SEARCH(Classifiers!$E$8,E492)),1,0))+IF(Classifiers!$F$8="",0,IF(ISNUMBER(SEARCH(Classifiers!$F$8,E492)),1,0))+IF(Classifiers!$G$8="",0,IF(ISNUMBER(SEARCH(Classifiers!$G$8,E492)),1,0)))&gt;0,1,0))</f>
        <v/>
      </c>
      <c r="N492" s="12">
        <f>IF(H492&lt;&gt;1,0,IF((IF(Classifiers!$B$9="",0,IF(ISNUMBER(SEARCH(Classifiers!$B$9,E492)),1,0))+IF(Classifiers!$C$9="",0,IF(ISNUMBER(SEARCH(Classifiers!$C$9,E492)),1,0))+IF(Classifiers!$D$9="",0,IF(ISNUMBER(SEARCH(Classifiers!$D$9,E492)),1,0))+IF(Classifiers!$E$9="",0,IF(ISNUMBER(SEARCH(Classifiers!$E$9,E492)),1,0))+IF(Classifiers!$F$9="",0,IF(ISNUMBER(SEARCH(Classifiers!$F$9,E492)),1,0))+IF(Classifiers!$G$9="",0,IF(ISNUMBER(SEARCH(Classifiers!$G$9,E492)),1,0)))&gt;0,1,0))</f>
        <v/>
      </c>
      <c r="O492" s="12">
        <f>IF(H492&lt;&gt;1,0,IF((IF(Classifiers!$B$10="",0,IF(ISNUMBER(SEARCH(Classifiers!$B$10,E492)),1,0))+IF(Classifiers!$C$10="",0,IF(ISNUMBER(SEARCH(Classifiers!$C$10,E492)),1,0))+IF(Classifiers!$D$10="",0,IF(ISNUMBER(SEARCH(Classifiers!$D$10,E492)),1,0))+IF(Classifiers!$E$10="",0,IF(ISNUMBER(SEARCH(Classifiers!$E$10,E492)),1,0))+IF(Classifiers!$F$10="",0,IF(ISNUMBER(SEARCH(Classifiers!$F$10,E492)),1,0))+IF(Classifiers!$G$10="",0,IF(ISNUMBER(SEARCH(Classifiers!$G$10,E492)),1,0)))&gt;0,1,0))</f>
        <v/>
      </c>
      <c r="P492" s="12">
        <f>IF(H492&lt;&gt;1,0,IF((IF(Classifiers!$B$11="",0,IF(ISNUMBER(SEARCH(Classifiers!$B$11,E492)),1,0))+IF(Classifiers!$C$11="",0,IF(ISNUMBER(SEARCH(Classifiers!$C$11,E492)),1,0))+IF(Classifiers!$D$11="",0,IF(ISNUMBER(SEARCH(Classifiers!$D$11,E492)),1,0))+IF(Classifiers!$E$11="",0,IF(ISNUMBER(SEARCH(Classifiers!$E$11,E492)),1,0))+IF(Classifiers!$F$11="",0,IF(ISNUMBER(SEARCH(Classifiers!$F$11,E492)),1,0))+IF(Classifiers!$G$11="",0,IF(ISNUMBER(SEARCH(Classifiers!$G$11,E492)),1,0)))&gt;0,1,0))</f>
        <v/>
      </c>
      <c r="Q492" s="12">
        <f>IF(H492&lt;&gt;1,0,IF((IF(Classifiers!$B$12="",0,IF(ISNUMBER(SEARCH(Classifiers!$B$12,E492)),1,0))+IF(Classifiers!$C$12="",0,IF(ISNUMBER(SEARCH(Classifiers!$C$12,E492)),1,0))+IF(Classifiers!$D$12="",0,IF(ISNUMBER(SEARCH(Classifiers!$D$12,E492)),1,0))+IF(Classifiers!$E$12="",0,IF(ISNUMBER(SEARCH(Classifiers!$E$12,E492)),1,0))+IF(Classifiers!$F$12="",0,IF(ISNUMBER(SEARCH(Classifiers!$F$12,E492)),1,0))+IF(Classifiers!$G$12="",0,IF(ISNUMBER(SEARCH(Classifiers!$G$12,E492)),1,0)))&gt;0,1,0))</f>
        <v/>
      </c>
      <c r="R492" s="12">
        <f>IF(H492&lt;&gt;1,0,IF((IF(Classifiers!$B$13="",0,IF(ISNUMBER(SEARCH(Classifiers!$B$13,E492)),1,0))+IF(Classifiers!$C$13="",0,IF(ISNUMBER(SEARCH(Classifiers!$C$13,E492)),1,0))+IF(Classifiers!$D$13="",0,IF(ISNUMBER(SEARCH(Classifiers!$D$13,E492)),1,0))+IF(Classifiers!$E$13="",0,IF(ISNUMBER(SEARCH(Classifiers!$E$13,E492)),1,0))+IF(Classifiers!$F$13="",0,IF(ISNUMBER(SEARCH(Classifiers!$F$13,E492)),1,0))+IF(Classifiers!$G$13="",0,IF(ISNUMBER(SEARCH(Classifiers!$G$13,E492)),1,0)))&gt;0,1,0))</f>
        <v/>
      </c>
      <c r="S492" s="12">
        <f>IF(H492&lt;&gt;1,0,IF((IF(Classifiers!$B$14="",0,IF(ISNUMBER(SEARCH(Classifiers!$B$14,E492)),1,0))+IF(Classifiers!$C$14="",0,IF(ISNUMBER(SEARCH(Classifiers!$C$14,E492)),1,0))+IF(Classifiers!$D$14="",0,IF(ISNUMBER(SEARCH(Classifiers!$D$14,E492)),1,0))+IF(Classifiers!$E$14="",0,IF(ISNUMBER(SEARCH(Classifiers!$E$14,E492)),1,0))+IF(Classifiers!$F$14="",0,IF(ISNUMBER(SEARCH(Classifiers!$F$14,E492)),1,0))+IF(Classifiers!$G$14="",0,IF(ISNUMBER(SEARCH(Classifiers!$G$14,E492)),1,0)))&gt;0,1,0))</f>
        <v/>
      </c>
      <c r="T492" s="12">
        <f>IF(H492&lt;&gt;1,0,IF((IF(Classifiers!$B$15="",0,IF(ISNUMBER(SEARCH(Classifiers!$B$15,E492)),1,0))+IF(Classifiers!$C$15="",0,IF(ISNUMBER(SEARCH(Classifiers!$C$15,E492)),1,0))+IF(Classifiers!$D$15="",0,IF(ISNUMBER(SEARCH(Classifiers!$D$15,E492)),1,0))+IF(Classifiers!$E$15="",0,IF(ISNUMBER(SEARCH(Classifiers!$E$15,E492)),1,0))+IF(Classifiers!$F$15="",0,IF(ISNUMBER(SEARCH(Classifiers!$F$15,E492)),1,0))+IF(Classifiers!$G$15="",0,IF(ISNUMBER(SEARCH(Classifiers!$G$15,E492)),1,0)))&gt;0,1,0))</f>
        <v/>
      </c>
      <c r="U492" s="12">
        <f>IF(H492&lt;&gt;1,0,IF((IF(Classifiers!$B$16="",0,IF(ISNUMBER(SEARCH(Classifiers!$B$16,E492)),1,0))+IF(Classifiers!$C$16="",0,IF(ISNUMBER(SEARCH(Classifiers!$C$16,E492)),1,0))+IF(Classifiers!$D$16="",0,IF(ISNUMBER(SEARCH(Classifiers!$D$16,E492)),1,0))+IF(Classifiers!$E$16="",0,IF(ISNUMBER(SEARCH(Classifiers!$E$16,E492)),1,0))+IF(Classifiers!$F$16="",0,IF(ISNUMBER(SEARCH(Classifiers!$F$16,E492)),1,0))+IF(Classifiers!$G$16="",0,IF(ISNUMBER(SEARCH(Classifiers!$G$16,E492)),1,0)))&gt;0,1,0))</f>
        <v/>
      </c>
      <c r="V492" s="12">
        <f>IF(H492&lt;&gt;1,0,IF((IF(Classifiers!$B$17="",0,IF(ISNUMBER(SEARCH(Classifiers!$B$17,E492)),1,0))+IF(Classifiers!$C$17="",0,IF(ISNUMBER(SEARCH(Classifiers!$C$17,E492)),1,0))+IF(Classifiers!$D$17="",0,IF(ISNUMBER(SEARCH(Classifiers!$D$17,E492)),1,0))+IF(Classifiers!$E$17="",0,IF(ISNUMBER(SEARCH(Classifiers!$E$17,E492)),1,0))+IF(Classifiers!$F$17="",0,IF(ISNUMBER(SEARCH(Classifiers!$F$17,E492)),1,0))+IF(Classifiers!$G$17="",0,IF(ISNUMBER(SEARCH(Classifiers!$G$17,E492)),1,0)))&gt;0,1,0))</f>
        <v/>
      </c>
      <c r="W492" s="12">
        <f>IF(H492&lt;&gt;1,0,IF((IF(Classifiers!$B$18="",0,IF(ISNUMBER(SEARCH(Classifiers!$B$18,E492)),1,0))+IF(Classifiers!$C$18="",0,IF(ISNUMBER(SEARCH(Classifiers!$C$18,E492)),1,0))+IF(Classifiers!$D$18="",0,IF(ISNUMBER(SEARCH(Classifiers!$D$18,E492)),1,0))+IF(Classifiers!$E$18="",0,IF(ISNUMBER(SEARCH(Classifiers!$E$18,E492)),1,0))+IF(Classifiers!$F$18="",0,IF(ISNUMBER(SEARCH(Classifiers!$F$18,E492)),1,0))+IF(Classifiers!$G$18="",0,IF(ISNUMBER(SEARCH(Classifiers!$G$18,E492)),1,0)))&gt;0,1,0))</f>
        <v/>
      </c>
    </row>
    <row r="493">
      <c r="A493" s="8" t="n"/>
      <c r="B493" s="11" t="n"/>
      <c r="C493" s="6">
        <f>IF(A493="","",TRIM(RIGHT(SUBSTITUTE(A493,"/",REPT(" ",250)),250)))</f>
        <v/>
      </c>
      <c r="D493" s="6">
        <f>IF(C493="","",IF(ISNUMBER(SEARCH(".",C493)),LOWER("."&amp;TRIM(RIGHT(SUBSTITUTE(C493,".",REPT(" ",250)),250))),""))</f>
        <v/>
      </c>
      <c r="E493" s="6">
        <f>IF(C493="","",TRIM(SUBSTITUTE(SUBSTITUTE(SUBSTITUTE(SUBSTITUTE(SUBSTITUTE(SUBSTITUTE(SUBSTITUTE(SUBSTITUTE(SUBSTITUTE(SUBSTITUTE(SUBSTITUTE(SUBSTITUTE(SUBSTITUTE(SUBSTITUTE(SUBSTITUTE(SUBSTITUTE(SUBSTITUTE(SUBSTITUTE(SUBSTITUTE(SUBSTITUTE(LOWER(LEFT(C493,LEN(C493)-LEN(D493))),"_"," "),"-"," "),"."," "),","," "),"("," "),")"," "),"["," "),"]"," "),"&amp;"," "),"+"," "),"@"," "),"#"," "),"!"," "),"'"," "),"/"," "),":"," "),";"," "),"="," "),"~"," "),"%"," ")))</f>
        <v/>
      </c>
      <c r="F493" s="6">
        <f>IF(C493="","",IF(COUNTIF(Classifiers!$A$23:$A$40,D493)&gt;0,1,0))</f>
        <v/>
      </c>
      <c r="G493" s="6">
        <f>IF(C493="","",IF(COUNTIF(Classifiers!$C$23:$C$30,D493)&gt;0,IF((IF(ISNUMBER(SEARCH(Classifiers!$E$23,E493)),1,0)+IF(ISNUMBER(SEARCH(Classifiers!$E$24,E493)),1,0)+IF(ISNUMBER(SEARCH(Classifiers!$E$25,E493)),1,0)+IF(ISNUMBER(SEARCH(Classifiers!$E$26,E493)),1,0)+IF(ISNUMBER(SEARCH(Classifiers!$E$27,E493)),1,0)+IF(ISNUMBER(SEARCH(Classifiers!$E$28,E493)),1,0)+IF(ISNUMBER(SEARCH(Classifiers!$E$29,E493)),1,0)+IF(ISNUMBER(SEARCH(Classifiers!$E$30,E493)),1,0))&gt;0,1,0),0))</f>
        <v/>
      </c>
      <c r="H493" s="6">
        <f>IF(C493="","",IF(OR(LEFT(C493,1)=".",AND(F493=0,G493=0)),0,1))</f>
        <v/>
      </c>
      <c r="I493" s="6">
        <f>IF(H493&lt;&gt;1,"",IF(SUM(J493:W493)=0,"unclassified",INDEX(Classifiers!$A$5:$A$18,MATCH(1,J493:W493,0),1)))</f>
        <v/>
      </c>
      <c r="J493" s="12">
        <f>IF(H493&lt;&gt;1,0,IF((IF(Classifiers!$B$5="",0,IF(ISNUMBER(SEARCH(Classifiers!$B$5,E493)),1,0))+IF(Classifiers!$C$5="",0,IF(ISNUMBER(SEARCH(Classifiers!$C$5,E493)),1,0))+IF(Classifiers!$D$5="",0,IF(ISNUMBER(SEARCH(Classifiers!$D$5,E493)),1,0))+IF(Classifiers!$E$5="",0,IF(ISNUMBER(SEARCH(Classifiers!$E$5,E493)),1,0))+IF(Classifiers!$F$5="",0,IF(ISNUMBER(SEARCH(Classifiers!$F$5,E493)),1,0))+IF(Classifiers!$G$5="",0,IF(ISNUMBER(SEARCH(Classifiers!$G$5,E493)),1,0)))&gt;0,1,0))</f>
        <v/>
      </c>
      <c r="K493" s="12">
        <f>IF(H493&lt;&gt;1,0,IF((IF(Classifiers!$B$6="",0,IF(ISNUMBER(SEARCH(Classifiers!$B$6,E493)),1,0))+IF(Classifiers!$C$6="",0,IF(ISNUMBER(SEARCH(Classifiers!$C$6,E493)),1,0))+IF(Classifiers!$D$6="",0,IF(ISNUMBER(SEARCH(Classifiers!$D$6,E493)),1,0))+IF(Classifiers!$E$6="",0,IF(ISNUMBER(SEARCH(Classifiers!$E$6,E493)),1,0))+IF(Classifiers!$F$6="",0,IF(ISNUMBER(SEARCH(Classifiers!$F$6,E493)),1,0))+IF(Classifiers!$G$6="",0,IF(ISNUMBER(SEARCH(Classifiers!$G$6,E493)),1,0)))&gt;0,1,0))</f>
        <v/>
      </c>
      <c r="L493" s="12">
        <f>IF(H493&lt;&gt;1,0,IF((IF(Classifiers!$B$7="",0,IF(ISNUMBER(SEARCH(Classifiers!$B$7,E493)),1,0))+IF(Classifiers!$C$7="",0,IF(ISNUMBER(SEARCH(Classifiers!$C$7,E493)),1,0))+IF(Classifiers!$D$7="",0,IF(ISNUMBER(SEARCH(Classifiers!$D$7,E493)),1,0))+IF(Classifiers!$E$7="",0,IF(ISNUMBER(SEARCH(Classifiers!$E$7,E493)),1,0))+IF(Classifiers!$F$7="",0,IF(ISNUMBER(SEARCH(Classifiers!$F$7,E493)),1,0))+IF(Classifiers!$G$7="",0,IF(ISNUMBER(SEARCH(Classifiers!$G$7,E493)),1,0)))&gt;0,1,0))</f>
        <v/>
      </c>
      <c r="M493" s="12">
        <f>IF(H493&lt;&gt;1,0,IF((IF(Classifiers!$B$8="",0,IF(ISNUMBER(SEARCH(Classifiers!$B$8,E493)),1,0))+IF(Classifiers!$C$8="",0,IF(ISNUMBER(SEARCH(Classifiers!$C$8,E493)),1,0))+IF(Classifiers!$D$8="",0,IF(ISNUMBER(SEARCH(Classifiers!$D$8,E493)),1,0))+IF(Classifiers!$E$8="",0,IF(ISNUMBER(SEARCH(Classifiers!$E$8,E493)),1,0))+IF(Classifiers!$F$8="",0,IF(ISNUMBER(SEARCH(Classifiers!$F$8,E493)),1,0))+IF(Classifiers!$G$8="",0,IF(ISNUMBER(SEARCH(Classifiers!$G$8,E493)),1,0)))&gt;0,1,0))</f>
        <v/>
      </c>
      <c r="N493" s="12">
        <f>IF(H493&lt;&gt;1,0,IF((IF(Classifiers!$B$9="",0,IF(ISNUMBER(SEARCH(Classifiers!$B$9,E493)),1,0))+IF(Classifiers!$C$9="",0,IF(ISNUMBER(SEARCH(Classifiers!$C$9,E493)),1,0))+IF(Classifiers!$D$9="",0,IF(ISNUMBER(SEARCH(Classifiers!$D$9,E493)),1,0))+IF(Classifiers!$E$9="",0,IF(ISNUMBER(SEARCH(Classifiers!$E$9,E493)),1,0))+IF(Classifiers!$F$9="",0,IF(ISNUMBER(SEARCH(Classifiers!$F$9,E493)),1,0))+IF(Classifiers!$G$9="",0,IF(ISNUMBER(SEARCH(Classifiers!$G$9,E493)),1,0)))&gt;0,1,0))</f>
        <v/>
      </c>
      <c r="O493" s="12">
        <f>IF(H493&lt;&gt;1,0,IF((IF(Classifiers!$B$10="",0,IF(ISNUMBER(SEARCH(Classifiers!$B$10,E493)),1,0))+IF(Classifiers!$C$10="",0,IF(ISNUMBER(SEARCH(Classifiers!$C$10,E493)),1,0))+IF(Classifiers!$D$10="",0,IF(ISNUMBER(SEARCH(Classifiers!$D$10,E493)),1,0))+IF(Classifiers!$E$10="",0,IF(ISNUMBER(SEARCH(Classifiers!$E$10,E493)),1,0))+IF(Classifiers!$F$10="",0,IF(ISNUMBER(SEARCH(Classifiers!$F$10,E493)),1,0))+IF(Classifiers!$G$10="",0,IF(ISNUMBER(SEARCH(Classifiers!$G$10,E493)),1,0)))&gt;0,1,0))</f>
        <v/>
      </c>
      <c r="P493" s="12">
        <f>IF(H493&lt;&gt;1,0,IF((IF(Classifiers!$B$11="",0,IF(ISNUMBER(SEARCH(Classifiers!$B$11,E493)),1,0))+IF(Classifiers!$C$11="",0,IF(ISNUMBER(SEARCH(Classifiers!$C$11,E493)),1,0))+IF(Classifiers!$D$11="",0,IF(ISNUMBER(SEARCH(Classifiers!$D$11,E493)),1,0))+IF(Classifiers!$E$11="",0,IF(ISNUMBER(SEARCH(Classifiers!$E$11,E493)),1,0))+IF(Classifiers!$F$11="",0,IF(ISNUMBER(SEARCH(Classifiers!$F$11,E493)),1,0))+IF(Classifiers!$G$11="",0,IF(ISNUMBER(SEARCH(Classifiers!$G$11,E493)),1,0)))&gt;0,1,0))</f>
        <v/>
      </c>
      <c r="Q493" s="12">
        <f>IF(H493&lt;&gt;1,0,IF((IF(Classifiers!$B$12="",0,IF(ISNUMBER(SEARCH(Classifiers!$B$12,E493)),1,0))+IF(Classifiers!$C$12="",0,IF(ISNUMBER(SEARCH(Classifiers!$C$12,E493)),1,0))+IF(Classifiers!$D$12="",0,IF(ISNUMBER(SEARCH(Classifiers!$D$12,E493)),1,0))+IF(Classifiers!$E$12="",0,IF(ISNUMBER(SEARCH(Classifiers!$E$12,E493)),1,0))+IF(Classifiers!$F$12="",0,IF(ISNUMBER(SEARCH(Classifiers!$F$12,E493)),1,0))+IF(Classifiers!$G$12="",0,IF(ISNUMBER(SEARCH(Classifiers!$G$12,E493)),1,0)))&gt;0,1,0))</f>
        <v/>
      </c>
      <c r="R493" s="12">
        <f>IF(H493&lt;&gt;1,0,IF((IF(Classifiers!$B$13="",0,IF(ISNUMBER(SEARCH(Classifiers!$B$13,E493)),1,0))+IF(Classifiers!$C$13="",0,IF(ISNUMBER(SEARCH(Classifiers!$C$13,E493)),1,0))+IF(Classifiers!$D$13="",0,IF(ISNUMBER(SEARCH(Classifiers!$D$13,E493)),1,0))+IF(Classifiers!$E$13="",0,IF(ISNUMBER(SEARCH(Classifiers!$E$13,E493)),1,0))+IF(Classifiers!$F$13="",0,IF(ISNUMBER(SEARCH(Classifiers!$F$13,E493)),1,0))+IF(Classifiers!$G$13="",0,IF(ISNUMBER(SEARCH(Classifiers!$G$13,E493)),1,0)))&gt;0,1,0))</f>
        <v/>
      </c>
      <c r="S493" s="12">
        <f>IF(H493&lt;&gt;1,0,IF((IF(Classifiers!$B$14="",0,IF(ISNUMBER(SEARCH(Classifiers!$B$14,E493)),1,0))+IF(Classifiers!$C$14="",0,IF(ISNUMBER(SEARCH(Classifiers!$C$14,E493)),1,0))+IF(Classifiers!$D$14="",0,IF(ISNUMBER(SEARCH(Classifiers!$D$14,E493)),1,0))+IF(Classifiers!$E$14="",0,IF(ISNUMBER(SEARCH(Classifiers!$E$14,E493)),1,0))+IF(Classifiers!$F$14="",0,IF(ISNUMBER(SEARCH(Classifiers!$F$14,E493)),1,0))+IF(Classifiers!$G$14="",0,IF(ISNUMBER(SEARCH(Classifiers!$G$14,E493)),1,0)))&gt;0,1,0))</f>
        <v/>
      </c>
      <c r="T493" s="12">
        <f>IF(H493&lt;&gt;1,0,IF((IF(Classifiers!$B$15="",0,IF(ISNUMBER(SEARCH(Classifiers!$B$15,E493)),1,0))+IF(Classifiers!$C$15="",0,IF(ISNUMBER(SEARCH(Classifiers!$C$15,E493)),1,0))+IF(Classifiers!$D$15="",0,IF(ISNUMBER(SEARCH(Classifiers!$D$15,E493)),1,0))+IF(Classifiers!$E$15="",0,IF(ISNUMBER(SEARCH(Classifiers!$E$15,E493)),1,0))+IF(Classifiers!$F$15="",0,IF(ISNUMBER(SEARCH(Classifiers!$F$15,E493)),1,0))+IF(Classifiers!$G$15="",0,IF(ISNUMBER(SEARCH(Classifiers!$G$15,E493)),1,0)))&gt;0,1,0))</f>
        <v/>
      </c>
      <c r="U493" s="12">
        <f>IF(H493&lt;&gt;1,0,IF((IF(Classifiers!$B$16="",0,IF(ISNUMBER(SEARCH(Classifiers!$B$16,E493)),1,0))+IF(Classifiers!$C$16="",0,IF(ISNUMBER(SEARCH(Classifiers!$C$16,E493)),1,0))+IF(Classifiers!$D$16="",0,IF(ISNUMBER(SEARCH(Classifiers!$D$16,E493)),1,0))+IF(Classifiers!$E$16="",0,IF(ISNUMBER(SEARCH(Classifiers!$E$16,E493)),1,0))+IF(Classifiers!$F$16="",0,IF(ISNUMBER(SEARCH(Classifiers!$F$16,E493)),1,0))+IF(Classifiers!$G$16="",0,IF(ISNUMBER(SEARCH(Classifiers!$G$16,E493)),1,0)))&gt;0,1,0))</f>
        <v/>
      </c>
      <c r="V493" s="12">
        <f>IF(H493&lt;&gt;1,0,IF((IF(Classifiers!$B$17="",0,IF(ISNUMBER(SEARCH(Classifiers!$B$17,E493)),1,0))+IF(Classifiers!$C$17="",0,IF(ISNUMBER(SEARCH(Classifiers!$C$17,E493)),1,0))+IF(Classifiers!$D$17="",0,IF(ISNUMBER(SEARCH(Classifiers!$D$17,E493)),1,0))+IF(Classifiers!$E$17="",0,IF(ISNUMBER(SEARCH(Classifiers!$E$17,E493)),1,0))+IF(Classifiers!$F$17="",0,IF(ISNUMBER(SEARCH(Classifiers!$F$17,E493)),1,0))+IF(Classifiers!$G$17="",0,IF(ISNUMBER(SEARCH(Classifiers!$G$17,E493)),1,0)))&gt;0,1,0))</f>
        <v/>
      </c>
      <c r="W493" s="12">
        <f>IF(H493&lt;&gt;1,0,IF((IF(Classifiers!$B$18="",0,IF(ISNUMBER(SEARCH(Classifiers!$B$18,E493)),1,0))+IF(Classifiers!$C$18="",0,IF(ISNUMBER(SEARCH(Classifiers!$C$18,E493)),1,0))+IF(Classifiers!$D$18="",0,IF(ISNUMBER(SEARCH(Classifiers!$D$18,E493)),1,0))+IF(Classifiers!$E$18="",0,IF(ISNUMBER(SEARCH(Classifiers!$E$18,E493)),1,0))+IF(Classifiers!$F$18="",0,IF(ISNUMBER(SEARCH(Classifiers!$F$18,E493)),1,0))+IF(Classifiers!$G$18="",0,IF(ISNUMBER(SEARCH(Classifiers!$G$18,E493)),1,0)))&gt;0,1,0))</f>
        <v/>
      </c>
    </row>
    <row r="494">
      <c r="A494" s="8" t="n"/>
      <c r="B494" s="11" t="n"/>
      <c r="C494" s="6">
        <f>IF(A494="","",TRIM(RIGHT(SUBSTITUTE(A494,"/",REPT(" ",250)),250)))</f>
        <v/>
      </c>
      <c r="D494" s="6">
        <f>IF(C494="","",IF(ISNUMBER(SEARCH(".",C494)),LOWER("."&amp;TRIM(RIGHT(SUBSTITUTE(C494,".",REPT(" ",250)),250))),""))</f>
        <v/>
      </c>
      <c r="E494" s="6">
        <f>IF(C494="","",TRIM(SUBSTITUTE(SUBSTITUTE(SUBSTITUTE(SUBSTITUTE(SUBSTITUTE(SUBSTITUTE(SUBSTITUTE(SUBSTITUTE(SUBSTITUTE(SUBSTITUTE(SUBSTITUTE(SUBSTITUTE(SUBSTITUTE(SUBSTITUTE(SUBSTITUTE(SUBSTITUTE(SUBSTITUTE(SUBSTITUTE(SUBSTITUTE(SUBSTITUTE(LOWER(LEFT(C494,LEN(C494)-LEN(D494))),"_"," "),"-"," "),"."," "),","," "),"("," "),")"," "),"["," "),"]"," "),"&amp;"," "),"+"," "),"@"," "),"#"," "),"!"," "),"'"," "),"/"," "),":"," "),";"," "),"="," "),"~"," "),"%"," ")))</f>
        <v/>
      </c>
      <c r="F494" s="6">
        <f>IF(C494="","",IF(COUNTIF(Classifiers!$A$23:$A$40,D494)&gt;0,1,0))</f>
        <v/>
      </c>
      <c r="G494" s="6">
        <f>IF(C494="","",IF(COUNTIF(Classifiers!$C$23:$C$30,D494)&gt;0,IF((IF(ISNUMBER(SEARCH(Classifiers!$E$23,E494)),1,0)+IF(ISNUMBER(SEARCH(Classifiers!$E$24,E494)),1,0)+IF(ISNUMBER(SEARCH(Classifiers!$E$25,E494)),1,0)+IF(ISNUMBER(SEARCH(Classifiers!$E$26,E494)),1,0)+IF(ISNUMBER(SEARCH(Classifiers!$E$27,E494)),1,0)+IF(ISNUMBER(SEARCH(Classifiers!$E$28,E494)),1,0)+IF(ISNUMBER(SEARCH(Classifiers!$E$29,E494)),1,0)+IF(ISNUMBER(SEARCH(Classifiers!$E$30,E494)),1,0))&gt;0,1,0),0))</f>
        <v/>
      </c>
      <c r="H494" s="6">
        <f>IF(C494="","",IF(OR(LEFT(C494,1)=".",AND(F494=0,G494=0)),0,1))</f>
        <v/>
      </c>
      <c r="I494" s="6">
        <f>IF(H494&lt;&gt;1,"",IF(SUM(J494:W494)=0,"unclassified",INDEX(Classifiers!$A$5:$A$18,MATCH(1,J494:W494,0),1)))</f>
        <v/>
      </c>
      <c r="J494" s="12">
        <f>IF(H494&lt;&gt;1,0,IF((IF(Classifiers!$B$5="",0,IF(ISNUMBER(SEARCH(Classifiers!$B$5,E494)),1,0))+IF(Classifiers!$C$5="",0,IF(ISNUMBER(SEARCH(Classifiers!$C$5,E494)),1,0))+IF(Classifiers!$D$5="",0,IF(ISNUMBER(SEARCH(Classifiers!$D$5,E494)),1,0))+IF(Classifiers!$E$5="",0,IF(ISNUMBER(SEARCH(Classifiers!$E$5,E494)),1,0))+IF(Classifiers!$F$5="",0,IF(ISNUMBER(SEARCH(Classifiers!$F$5,E494)),1,0))+IF(Classifiers!$G$5="",0,IF(ISNUMBER(SEARCH(Classifiers!$G$5,E494)),1,0)))&gt;0,1,0))</f>
        <v/>
      </c>
      <c r="K494" s="12">
        <f>IF(H494&lt;&gt;1,0,IF((IF(Classifiers!$B$6="",0,IF(ISNUMBER(SEARCH(Classifiers!$B$6,E494)),1,0))+IF(Classifiers!$C$6="",0,IF(ISNUMBER(SEARCH(Classifiers!$C$6,E494)),1,0))+IF(Classifiers!$D$6="",0,IF(ISNUMBER(SEARCH(Classifiers!$D$6,E494)),1,0))+IF(Classifiers!$E$6="",0,IF(ISNUMBER(SEARCH(Classifiers!$E$6,E494)),1,0))+IF(Classifiers!$F$6="",0,IF(ISNUMBER(SEARCH(Classifiers!$F$6,E494)),1,0))+IF(Classifiers!$G$6="",0,IF(ISNUMBER(SEARCH(Classifiers!$G$6,E494)),1,0)))&gt;0,1,0))</f>
        <v/>
      </c>
      <c r="L494" s="12">
        <f>IF(H494&lt;&gt;1,0,IF((IF(Classifiers!$B$7="",0,IF(ISNUMBER(SEARCH(Classifiers!$B$7,E494)),1,0))+IF(Classifiers!$C$7="",0,IF(ISNUMBER(SEARCH(Classifiers!$C$7,E494)),1,0))+IF(Classifiers!$D$7="",0,IF(ISNUMBER(SEARCH(Classifiers!$D$7,E494)),1,0))+IF(Classifiers!$E$7="",0,IF(ISNUMBER(SEARCH(Classifiers!$E$7,E494)),1,0))+IF(Classifiers!$F$7="",0,IF(ISNUMBER(SEARCH(Classifiers!$F$7,E494)),1,0))+IF(Classifiers!$G$7="",0,IF(ISNUMBER(SEARCH(Classifiers!$G$7,E494)),1,0)))&gt;0,1,0))</f>
        <v/>
      </c>
      <c r="M494" s="12">
        <f>IF(H494&lt;&gt;1,0,IF((IF(Classifiers!$B$8="",0,IF(ISNUMBER(SEARCH(Classifiers!$B$8,E494)),1,0))+IF(Classifiers!$C$8="",0,IF(ISNUMBER(SEARCH(Classifiers!$C$8,E494)),1,0))+IF(Classifiers!$D$8="",0,IF(ISNUMBER(SEARCH(Classifiers!$D$8,E494)),1,0))+IF(Classifiers!$E$8="",0,IF(ISNUMBER(SEARCH(Classifiers!$E$8,E494)),1,0))+IF(Classifiers!$F$8="",0,IF(ISNUMBER(SEARCH(Classifiers!$F$8,E494)),1,0))+IF(Classifiers!$G$8="",0,IF(ISNUMBER(SEARCH(Classifiers!$G$8,E494)),1,0)))&gt;0,1,0))</f>
        <v/>
      </c>
      <c r="N494" s="12">
        <f>IF(H494&lt;&gt;1,0,IF((IF(Classifiers!$B$9="",0,IF(ISNUMBER(SEARCH(Classifiers!$B$9,E494)),1,0))+IF(Classifiers!$C$9="",0,IF(ISNUMBER(SEARCH(Classifiers!$C$9,E494)),1,0))+IF(Classifiers!$D$9="",0,IF(ISNUMBER(SEARCH(Classifiers!$D$9,E494)),1,0))+IF(Classifiers!$E$9="",0,IF(ISNUMBER(SEARCH(Classifiers!$E$9,E494)),1,0))+IF(Classifiers!$F$9="",0,IF(ISNUMBER(SEARCH(Classifiers!$F$9,E494)),1,0))+IF(Classifiers!$G$9="",0,IF(ISNUMBER(SEARCH(Classifiers!$G$9,E494)),1,0)))&gt;0,1,0))</f>
        <v/>
      </c>
      <c r="O494" s="12">
        <f>IF(H494&lt;&gt;1,0,IF((IF(Classifiers!$B$10="",0,IF(ISNUMBER(SEARCH(Classifiers!$B$10,E494)),1,0))+IF(Classifiers!$C$10="",0,IF(ISNUMBER(SEARCH(Classifiers!$C$10,E494)),1,0))+IF(Classifiers!$D$10="",0,IF(ISNUMBER(SEARCH(Classifiers!$D$10,E494)),1,0))+IF(Classifiers!$E$10="",0,IF(ISNUMBER(SEARCH(Classifiers!$E$10,E494)),1,0))+IF(Classifiers!$F$10="",0,IF(ISNUMBER(SEARCH(Classifiers!$F$10,E494)),1,0))+IF(Classifiers!$G$10="",0,IF(ISNUMBER(SEARCH(Classifiers!$G$10,E494)),1,0)))&gt;0,1,0))</f>
        <v/>
      </c>
      <c r="P494" s="12">
        <f>IF(H494&lt;&gt;1,0,IF((IF(Classifiers!$B$11="",0,IF(ISNUMBER(SEARCH(Classifiers!$B$11,E494)),1,0))+IF(Classifiers!$C$11="",0,IF(ISNUMBER(SEARCH(Classifiers!$C$11,E494)),1,0))+IF(Classifiers!$D$11="",0,IF(ISNUMBER(SEARCH(Classifiers!$D$11,E494)),1,0))+IF(Classifiers!$E$11="",0,IF(ISNUMBER(SEARCH(Classifiers!$E$11,E494)),1,0))+IF(Classifiers!$F$11="",0,IF(ISNUMBER(SEARCH(Classifiers!$F$11,E494)),1,0))+IF(Classifiers!$G$11="",0,IF(ISNUMBER(SEARCH(Classifiers!$G$11,E494)),1,0)))&gt;0,1,0))</f>
        <v/>
      </c>
      <c r="Q494" s="12">
        <f>IF(H494&lt;&gt;1,0,IF((IF(Classifiers!$B$12="",0,IF(ISNUMBER(SEARCH(Classifiers!$B$12,E494)),1,0))+IF(Classifiers!$C$12="",0,IF(ISNUMBER(SEARCH(Classifiers!$C$12,E494)),1,0))+IF(Classifiers!$D$12="",0,IF(ISNUMBER(SEARCH(Classifiers!$D$12,E494)),1,0))+IF(Classifiers!$E$12="",0,IF(ISNUMBER(SEARCH(Classifiers!$E$12,E494)),1,0))+IF(Classifiers!$F$12="",0,IF(ISNUMBER(SEARCH(Classifiers!$F$12,E494)),1,0))+IF(Classifiers!$G$12="",0,IF(ISNUMBER(SEARCH(Classifiers!$G$12,E494)),1,0)))&gt;0,1,0))</f>
        <v/>
      </c>
      <c r="R494" s="12">
        <f>IF(H494&lt;&gt;1,0,IF((IF(Classifiers!$B$13="",0,IF(ISNUMBER(SEARCH(Classifiers!$B$13,E494)),1,0))+IF(Classifiers!$C$13="",0,IF(ISNUMBER(SEARCH(Classifiers!$C$13,E494)),1,0))+IF(Classifiers!$D$13="",0,IF(ISNUMBER(SEARCH(Classifiers!$D$13,E494)),1,0))+IF(Classifiers!$E$13="",0,IF(ISNUMBER(SEARCH(Classifiers!$E$13,E494)),1,0))+IF(Classifiers!$F$13="",0,IF(ISNUMBER(SEARCH(Classifiers!$F$13,E494)),1,0))+IF(Classifiers!$G$13="",0,IF(ISNUMBER(SEARCH(Classifiers!$G$13,E494)),1,0)))&gt;0,1,0))</f>
        <v/>
      </c>
      <c r="S494" s="12">
        <f>IF(H494&lt;&gt;1,0,IF((IF(Classifiers!$B$14="",0,IF(ISNUMBER(SEARCH(Classifiers!$B$14,E494)),1,0))+IF(Classifiers!$C$14="",0,IF(ISNUMBER(SEARCH(Classifiers!$C$14,E494)),1,0))+IF(Classifiers!$D$14="",0,IF(ISNUMBER(SEARCH(Classifiers!$D$14,E494)),1,0))+IF(Classifiers!$E$14="",0,IF(ISNUMBER(SEARCH(Classifiers!$E$14,E494)),1,0))+IF(Classifiers!$F$14="",0,IF(ISNUMBER(SEARCH(Classifiers!$F$14,E494)),1,0))+IF(Classifiers!$G$14="",0,IF(ISNUMBER(SEARCH(Classifiers!$G$14,E494)),1,0)))&gt;0,1,0))</f>
        <v/>
      </c>
      <c r="T494" s="12">
        <f>IF(H494&lt;&gt;1,0,IF((IF(Classifiers!$B$15="",0,IF(ISNUMBER(SEARCH(Classifiers!$B$15,E494)),1,0))+IF(Classifiers!$C$15="",0,IF(ISNUMBER(SEARCH(Classifiers!$C$15,E494)),1,0))+IF(Classifiers!$D$15="",0,IF(ISNUMBER(SEARCH(Classifiers!$D$15,E494)),1,0))+IF(Classifiers!$E$15="",0,IF(ISNUMBER(SEARCH(Classifiers!$E$15,E494)),1,0))+IF(Classifiers!$F$15="",0,IF(ISNUMBER(SEARCH(Classifiers!$F$15,E494)),1,0))+IF(Classifiers!$G$15="",0,IF(ISNUMBER(SEARCH(Classifiers!$G$15,E494)),1,0)))&gt;0,1,0))</f>
        <v/>
      </c>
      <c r="U494" s="12">
        <f>IF(H494&lt;&gt;1,0,IF((IF(Classifiers!$B$16="",0,IF(ISNUMBER(SEARCH(Classifiers!$B$16,E494)),1,0))+IF(Classifiers!$C$16="",0,IF(ISNUMBER(SEARCH(Classifiers!$C$16,E494)),1,0))+IF(Classifiers!$D$16="",0,IF(ISNUMBER(SEARCH(Classifiers!$D$16,E494)),1,0))+IF(Classifiers!$E$16="",0,IF(ISNUMBER(SEARCH(Classifiers!$E$16,E494)),1,0))+IF(Classifiers!$F$16="",0,IF(ISNUMBER(SEARCH(Classifiers!$F$16,E494)),1,0))+IF(Classifiers!$G$16="",0,IF(ISNUMBER(SEARCH(Classifiers!$G$16,E494)),1,0)))&gt;0,1,0))</f>
        <v/>
      </c>
      <c r="V494" s="12">
        <f>IF(H494&lt;&gt;1,0,IF((IF(Classifiers!$B$17="",0,IF(ISNUMBER(SEARCH(Classifiers!$B$17,E494)),1,0))+IF(Classifiers!$C$17="",0,IF(ISNUMBER(SEARCH(Classifiers!$C$17,E494)),1,0))+IF(Classifiers!$D$17="",0,IF(ISNUMBER(SEARCH(Classifiers!$D$17,E494)),1,0))+IF(Classifiers!$E$17="",0,IF(ISNUMBER(SEARCH(Classifiers!$E$17,E494)),1,0))+IF(Classifiers!$F$17="",0,IF(ISNUMBER(SEARCH(Classifiers!$F$17,E494)),1,0))+IF(Classifiers!$G$17="",0,IF(ISNUMBER(SEARCH(Classifiers!$G$17,E494)),1,0)))&gt;0,1,0))</f>
        <v/>
      </c>
      <c r="W494" s="12">
        <f>IF(H494&lt;&gt;1,0,IF((IF(Classifiers!$B$18="",0,IF(ISNUMBER(SEARCH(Classifiers!$B$18,E494)),1,0))+IF(Classifiers!$C$18="",0,IF(ISNUMBER(SEARCH(Classifiers!$C$18,E494)),1,0))+IF(Classifiers!$D$18="",0,IF(ISNUMBER(SEARCH(Classifiers!$D$18,E494)),1,0))+IF(Classifiers!$E$18="",0,IF(ISNUMBER(SEARCH(Classifiers!$E$18,E494)),1,0))+IF(Classifiers!$F$18="",0,IF(ISNUMBER(SEARCH(Classifiers!$F$18,E494)),1,0))+IF(Classifiers!$G$18="",0,IF(ISNUMBER(SEARCH(Classifiers!$G$18,E494)),1,0)))&gt;0,1,0))</f>
        <v/>
      </c>
    </row>
    <row r="495">
      <c r="A495" s="8" t="n"/>
      <c r="B495" s="11" t="n"/>
      <c r="C495" s="6">
        <f>IF(A495="","",TRIM(RIGHT(SUBSTITUTE(A495,"/",REPT(" ",250)),250)))</f>
        <v/>
      </c>
      <c r="D495" s="6">
        <f>IF(C495="","",IF(ISNUMBER(SEARCH(".",C495)),LOWER("."&amp;TRIM(RIGHT(SUBSTITUTE(C495,".",REPT(" ",250)),250))),""))</f>
        <v/>
      </c>
      <c r="E495" s="6">
        <f>IF(C495="","",TRIM(SUBSTITUTE(SUBSTITUTE(SUBSTITUTE(SUBSTITUTE(SUBSTITUTE(SUBSTITUTE(SUBSTITUTE(SUBSTITUTE(SUBSTITUTE(SUBSTITUTE(SUBSTITUTE(SUBSTITUTE(SUBSTITUTE(SUBSTITUTE(SUBSTITUTE(SUBSTITUTE(SUBSTITUTE(SUBSTITUTE(SUBSTITUTE(SUBSTITUTE(LOWER(LEFT(C495,LEN(C495)-LEN(D495))),"_"," "),"-"," "),"."," "),","," "),"("," "),")"," "),"["," "),"]"," "),"&amp;"," "),"+"," "),"@"," "),"#"," "),"!"," "),"'"," "),"/"," "),":"," "),";"," "),"="," "),"~"," "),"%"," ")))</f>
        <v/>
      </c>
      <c r="F495" s="6">
        <f>IF(C495="","",IF(COUNTIF(Classifiers!$A$23:$A$40,D495)&gt;0,1,0))</f>
        <v/>
      </c>
      <c r="G495" s="6">
        <f>IF(C495="","",IF(COUNTIF(Classifiers!$C$23:$C$30,D495)&gt;0,IF((IF(ISNUMBER(SEARCH(Classifiers!$E$23,E495)),1,0)+IF(ISNUMBER(SEARCH(Classifiers!$E$24,E495)),1,0)+IF(ISNUMBER(SEARCH(Classifiers!$E$25,E495)),1,0)+IF(ISNUMBER(SEARCH(Classifiers!$E$26,E495)),1,0)+IF(ISNUMBER(SEARCH(Classifiers!$E$27,E495)),1,0)+IF(ISNUMBER(SEARCH(Classifiers!$E$28,E495)),1,0)+IF(ISNUMBER(SEARCH(Classifiers!$E$29,E495)),1,0)+IF(ISNUMBER(SEARCH(Classifiers!$E$30,E495)),1,0))&gt;0,1,0),0))</f>
        <v/>
      </c>
      <c r="H495" s="6">
        <f>IF(C495="","",IF(OR(LEFT(C495,1)=".",AND(F495=0,G495=0)),0,1))</f>
        <v/>
      </c>
      <c r="I495" s="6">
        <f>IF(H495&lt;&gt;1,"",IF(SUM(J495:W495)=0,"unclassified",INDEX(Classifiers!$A$5:$A$18,MATCH(1,J495:W495,0),1)))</f>
        <v/>
      </c>
      <c r="J495" s="12">
        <f>IF(H495&lt;&gt;1,0,IF((IF(Classifiers!$B$5="",0,IF(ISNUMBER(SEARCH(Classifiers!$B$5,E495)),1,0))+IF(Classifiers!$C$5="",0,IF(ISNUMBER(SEARCH(Classifiers!$C$5,E495)),1,0))+IF(Classifiers!$D$5="",0,IF(ISNUMBER(SEARCH(Classifiers!$D$5,E495)),1,0))+IF(Classifiers!$E$5="",0,IF(ISNUMBER(SEARCH(Classifiers!$E$5,E495)),1,0))+IF(Classifiers!$F$5="",0,IF(ISNUMBER(SEARCH(Classifiers!$F$5,E495)),1,0))+IF(Classifiers!$G$5="",0,IF(ISNUMBER(SEARCH(Classifiers!$G$5,E495)),1,0)))&gt;0,1,0))</f>
        <v/>
      </c>
      <c r="K495" s="12">
        <f>IF(H495&lt;&gt;1,0,IF((IF(Classifiers!$B$6="",0,IF(ISNUMBER(SEARCH(Classifiers!$B$6,E495)),1,0))+IF(Classifiers!$C$6="",0,IF(ISNUMBER(SEARCH(Classifiers!$C$6,E495)),1,0))+IF(Classifiers!$D$6="",0,IF(ISNUMBER(SEARCH(Classifiers!$D$6,E495)),1,0))+IF(Classifiers!$E$6="",0,IF(ISNUMBER(SEARCH(Classifiers!$E$6,E495)),1,0))+IF(Classifiers!$F$6="",0,IF(ISNUMBER(SEARCH(Classifiers!$F$6,E495)),1,0))+IF(Classifiers!$G$6="",0,IF(ISNUMBER(SEARCH(Classifiers!$G$6,E495)),1,0)))&gt;0,1,0))</f>
        <v/>
      </c>
      <c r="L495" s="12">
        <f>IF(H495&lt;&gt;1,0,IF((IF(Classifiers!$B$7="",0,IF(ISNUMBER(SEARCH(Classifiers!$B$7,E495)),1,0))+IF(Classifiers!$C$7="",0,IF(ISNUMBER(SEARCH(Classifiers!$C$7,E495)),1,0))+IF(Classifiers!$D$7="",0,IF(ISNUMBER(SEARCH(Classifiers!$D$7,E495)),1,0))+IF(Classifiers!$E$7="",0,IF(ISNUMBER(SEARCH(Classifiers!$E$7,E495)),1,0))+IF(Classifiers!$F$7="",0,IF(ISNUMBER(SEARCH(Classifiers!$F$7,E495)),1,0))+IF(Classifiers!$G$7="",0,IF(ISNUMBER(SEARCH(Classifiers!$G$7,E495)),1,0)))&gt;0,1,0))</f>
        <v/>
      </c>
      <c r="M495" s="12">
        <f>IF(H495&lt;&gt;1,0,IF((IF(Classifiers!$B$8="",0,IF(ISNUMBER(SEARCH(Classifiers!$B$8,E495)),1,0))+IF(Classifiers!$C$8="",0,IF(ISNUMBER(SEARCH(Classifiers!$C$8,E495)),1,0))+IF(Classifiers!$D$8="",0,IF(ISNUMBER(SEARCH(Classifiers!$D$8,E495)),1,0))+IF(Classifiers!$E$8="",0,IF(ISNUMBER(SEARCH(Classifiers!$E$8,E495)),1,0))+IF(Classifiers!$F$8="",0,IF(ISNUMBER(SEARCH(Classifiers!$F$8,E495)),1,0))+IF(Classifiers!$G$8="",0,IF(ISNUMBER(SEARCH(Classifiers!$G$8,E495)),1,0)))&gt;0,1,0))</f>
        <v/>
      </c>
      <c r="N495" s="12">
        <f>IF(H495&lt;&gt;1,0,IF((IF(Classifiers!$B$9="",0,IF(ISNUMBER(SEARCH(Classifiers!$B$9,E495)),1,0))+IF(Classifiers!$C$9="",0,IF(ISNUMBER(SEARCH(Classifiers!$C$9,E495)),1,0))+IF(Classifiers!$D$9="",0,IF(ISNUMBER(SEARCH(Classifiers!$D$9,E495)),1,0))+IF(Classifiers!$E$9="",0,IF(ISNUMBER(SEARCH(Classifiers!$E$9,E495)),1,0))+IF(Classifiers!$F$9="",0,IF(ISNUMBER(SEARCH(Classifiers!$F$9,E495)),1,0))+IF(Classifiers!$G$9="",0,IF(ISNUMBER(SEARCH(Classifiers!$G$9,E495)),1,0)))&gt;0,1,0))</f>
        <v/>
      </c>
      <c r="O495" s="12">
        <f>IF(H495&lt;&gt;1,0,IF((IF(Classifiers!$B$10="",0,IF(ISNUMBER(SEARCH(Classifiers!$B$10,E495)),1,0))+IF(Classifiers!$C$10="",0,IF(ISNUMBER(SEARCH(Classifiers!$C$10,E495)),1,0))+IF(Classifiers!$D$10="",0,IF(ISNUMBER(SEARCH(Classifiers!$D$10,E495)),1,0))+IF(Classifiers!$E$10="",0,IF(ISNUMBER(SEARCH(Classifiers!$E$10,E495)),1,0))+IF(Classifiers!$F$10="",0,IF(ISNUMBER(SEARCH(Classifiers!$F$10,E495)),1,0))+IF(Classifiers!$G$10="",0,IF(ISNUMBER(SEARCH(Classifiers!$G$10,E495)),1,0)))&gt;0,1,0))</f>
        <v/>
      </c>
      <c r="P495" s="12">
        <f>IF(H495&lt;&gt;1,0,IF((IF(Classifiers!$B$11="",0,IF(ISNUMBER(SEARCH(Classifiers!$B$11,E495)),1,0))+IF(Classifiers!$C$11="",0,IF(ISNUMBER(SEARCH(Classifiers!$C$11,E495)),1,0))+IF(Classifiers!$D$11="",0,IF(ISNUMBER(SEARCH(Classifiers!$D$11,E495)),1,0))+IF(Classifiers!$E$11="",0,IF(ISNUMBER(SEARCH(Classifiers!$E$11,E495)),1,0))+IF(Classifiers!$F$11="",0,IF(ISNUMBER(SEARCH(Classifiers!$F$11,E495)),1,0))+IF(Classifiers!$G$11="",0,IF(ISNUMBER(SEARCH(Classifiers!$G$11,E495)),1,0)))&gt;0,1,0))</f>
        <v/>
      </c>
      <c r="Q495" s="12">
        <f>IF(H495&lt;&gt;1,0,IF((IF(Classifiers!$B$12="",0,IF(ISNUMBER(SEARCH(Classifiers!$B$12,E495)),1,0))+IF(Classifiers!$C$12="",0,IF(ISNUMBER(SEARCH(Classifiers!$C$12,E495)),1,0))+IF(Classifiers!$D$12="",0,IF(ISNUMBER(SEARCH(Classifiers!$D$12,E495)),1,0))+IF(Classifiers!$E$12="",0,IF(ISNUMBER(SEARCH(Classifiers!$E$12,E495)),1,0))+IF(Classifiers!$F$12="",0,IF(ISNUMBER(SEARCH(Classifiers!$F$12,E495)),1,0))+IF(Classifiers!$G$12="",0,IF(ISNUMBER(SEARCH(Classifiers!$G$12,E495)),1,0)))&gt;0,1,0))</f>
        <v/>
      </c>
      <c r="R495" s="12">
        <f>IF(H495&lt;&gt;1,0,IF((IF(Classifiers!$B$13="",0,IF(ISNUMBER(SEARCH(Classifiers!$B$13,E495)),1,0))+IF(Classifiers!$C$13="",0,IF(ISNUMBER(SEARCH(Classifiers!$C$13,E495)),1,0))+IF(Classifiers!$D$13="",0,IF(ISNUMBER(SEARCH(Classifiers!$D$13,E495)),1,0))+IF(Classifiers!$E$13="",0,IF(ISNUMBER(SEARCH(Classifiers!$E$13,E495)),1,0))+IF(Classifiers!$F$13="",0,IF(ISNUMBER(SEARCH(Classifiers!$F$13,E495)),1,0))+IF(Classifiers!$G$13="",0,IF(ISNUMBER(SEARCH(Classifiers!$G$13,E495)),1,0)))&gt;0,1,0))</f>
        <v/>
      </c>
      <c r="S495" s="12">
        <f>IF(H495&lt;&gt;1,0,IF((IF(Classifiers!$B$14="",0,IF(ISNUMBER(SEARCH(Classifiers!$B$14,E495)),1,0))+IF(Classifiers!$C$14="",0,IF(ISNUMBER(SEARCH(Classifiers!$C$14,E495)),1,0))+IF(Classifiers!$D$14="",0,IF(ISNUMBER(SEARCH(Classifiers!$D$14,E495)),1,0))+IF(Classifiers!$E$14="",0,IF(ISNUMBER(SEARCH(Classifiers!$E$14,E495)),1,0))+IF(Classifiers!$F$14="",0,IF(ISNUMBER(SEARCH(Classifiers!$F$14,E495)),1,0))+IF(Classifiers!$G$14="",0,IF(ISNUMBER(SEARCH(Classifiers!$G$14,E495)),1,0)))&gt;0,1,0))</f>
        <v/>
      </c>
      <c r="T495" s="12">
        <f>IF(H495&lt;&gt;1,0,IF((IF(Classifiers!$B$15="",0,IF(ISNUMBER(SEARCH(Classifiers!$B$15,E495)),1,0))+IF(Classifiers!$C$15="",0,IF(ISNUMBER(SEARCH(Classifiers!$C$15,E495)),1,0))+IF(Classifiers!$D$15="",0,IF(ISNUMBER(SEARCH(Classifiers!$D$15,E495)),1,0))+IF(Classifiers!$E$15="",0,IF(ISNUMBER(SEARCH(Classifiers!$E$15,E495)),1,0))+IF(Classifiers!$F$15="",0,IF(ISNUMBER(SEARCH(Classifiers!$F$15,E495)),1,0))+IF(Classifiers!$G$15="",0,IF(ISNUMBER(SEARCH(Classifiers!$G$15,E495)),1,0)))&gt;0,1,0))</f>
        <v/>
      </c>
      <c r="U495" s="12">
        <f>IF(H495&lt;&gt;1,0,IF((IF(Classifiers!$B$16="",0,IF(ISNUMBER(SEARCH(Classifiers!$B$16,E495)),1,0))+IF(Classifiers!$C$16="",0,IF(ISNUMBER(SEARCH(Classifiers!$C$16,E495)),1,0))+IF(Classifiers!$D$16="",0,IF(ISNUMBER(SEARCH(Classifiers!$D$16,E495)),1,0))+IF(Classifiers!$E$16="",0,IF(ISNUMBER(SEARCH(Classifiers!$E$16,E495)),1,0))+IF(Classifiers!$F$16="",0,IF(ISNUMBER(SEARCH(Classifiers!$F$16,E495)),1,0))+IF(Classifiers!$G$16="",0,IF(ISNUMBER(SEARCH(Classifiers!$G$16,E495)),1,0)))&gt;0,1,0))</f>
        <v/>
      </c>
      <c r="V495" s="12">
        <f>IF(H495&lt;&gt;1,0,IF((IF(Classifiers!$B$17="",0,IF(ISNUMBER(SEARCH(Classifiers!$B$17,E495)),1,0))+IF(Classifiers!$C$17="",0,IF(ISNUMBER(SEARCH(Classifiers!$C$17,E495)),1,0))+IF(Classifiers!$D$17="",0,IF(ISNUMBER(SEARCH(Classifiers!$D$17,E495)),1,0))+IF(Classifiers!$E$17="",0,IF(ISNUMBER(SEARCH(Classifiers!$E$17,E495)),1,0))+IF(Classifiers!$F$17="",0,IF(ISNUMBER(SEARCH(Classifiers!$F$17,E495)),1,0))+IF(Classifiers!$G$17="",0,IF(ISNUMBER(SEARCH(Classifiers!$G$17,E495)),1,0)))&gt;0,1,0))</f>
        <v/>
      </c>
      <c r="W495" s="12">
        <f>IF(H495&lt;&gt;1,0,IF((IF(Classifiers!$B$18="",0,IF(ISNUMBER(SEARCH(Classifiers!$B$18,E495)),1,0))+IF(Classifiers!$C$18="",0,IF(ISNUMBER(SEARCH(Classifiers!$C$18,E495)),1,0))+IF(Classifiers!$D$18="",0,IF(ISNUMBER(SEARCH(Classifiers!$D$18,E495)),1,0))+IF(Classifiers!$E$18="",0,IF(ISNUMBER(SEARCH(Classifiers!$E$18,E495)),1,0))+IF(Classifiers!$F$18="",0,IF(ISNUMBER(SEARCH(Classifiers!$F$18,E495)),1,0))+IF(Classifiers!$G$18="",0,IF(ISNUMBER(SEARCH(Classifiers!$G$18,E495)),1,0)))&gt;0,1,0))</f>
        <v/>
      </c>
    </row>
    <row r="496">
      <c r="A496" s="8" t="n"/>
      <c r="B496" s="11" t="n"/>
      <c r="C496" s="6">
        <f>IF(A496="","",TRIM(RIGHT(SUBSTITUTE(A496,"/",REPT(" ",250)),250)))</f>
        <v/>
      </c>
      <c r="D496" s="6">
        <f>IF(C496="","",IF(ISNUMBER(SEARCH(".",C496)),LOWER("."&amp;TRIM(RIGHT(SUBSTITUTE(C496,".",REPT(" ",250)),250))),""))</f>
        <v/>
      </c>
      <c r="E496" s="6">
        <f>IF(C496="","",TRIM(SUBSTITUTE(SUBSTITUTE(SUBSTITUTE(SUBSTITUTE(SUBSTITUTE(SUBSTITUTE(SUBSTITUTE(SUBSTITUTE(SUBSTITUTE(SUBSTITUTE(SUBSTITUTE(SUBSTITUTE(SUBSTITUTE(SUBSTITUTE(SUBSTITUTE(SUBSTITUTE(SUBSTITUTE(SUBSTITUTE(SUBSTITUTE(SUBSTITUTE(LOWER(LEFT(C496,LEN(C496)-LEN(D496))),"_"," "),"-"," "),"."," "),","," "),"("," "),")"," "),"["," "),"]"," "),"&amp;"," "),"+"," "),"@"," "),"#"," "),"!"," "),"'"," "),"/"," "),":"," "),";"," "),"="," "),"~"," "),"%"," ")))</f>
        <v/>
      </c>
      <c r="F496" s="6">
        <f>IF(C496="","",IF(COUNTIF(Classifiers!$A$23:$A$40,D496)&gt;0,1,0))</f>
        <v/>
      </c>
      <c r="G496" s="6">
        <f>IF(C496="","",IF(COUNTIF(Classifiers!$C$23:$C$30,D496)&gt;0,IF((IF(ISNUMBER(SEARCH(Classifiers!$E$23,E496)),1,0)+IF(ISNUMBER(SEARCH(Classifiers!$E$24,E496)),1,0)+IF(ISNUMBER(SEARCH(Classifiers!$E$25,E496)),1,0)+IF(ISNUMBER(SEARCH(Classifiers!$E$26,E496)),1,0)+IF(ISNUMBER(SEARCH(Classifiers!$E$27,E496)),1,0)+IF(ISNUMBER(SEARCH(Classifiers!$E$28,E496)),1,0)+IF(ISNUMBER(SEARCH(Classifiers!$E$29,E496)),1,0)+IF(ISNUMBER(SEARCH(Classifiers!$E$30,E496)),1,0))&gt;0,1,0),0))</f>
        <v/>
      </c>
      <c r="H496" s="6">
        <f>IF(C496="","",IF(OR(LEFT(C496,1)=".",AND(F496=0,G496=0)),0,1))</f>
        <v/>
      </c>
      <c r="I496" s="6">
        <f>IF(H496&lt;&gt;1,"",IF(SUM(J496:W496)=0,"unclassified",INDEX(Classifiers!$A$5:$A$18,MATCH(1,J496:W496,0),1)))</f>
        <v/>
      </c>
      <c r="J496" s="12">
        <f>IF(H496&lt;&gt;1,0,IF((IF(Classifiers!$B$5="",0,IF(ISNUMBER(SEARCH(Classifiers!$B$5,E496)),1,0))+IF(Classifiers!$C$5="",0,IF(ISNUMBER(SEARCH(Classifiers!$C$5,E496)),1,0))+IF(Classifiers!$D$5="",0,IF(ISNUMBER(SEARCH(Classifiers!$D$5,E496)),1,0))+IF(Classifiers!$E$5="",0,IF(ISNUMBER(SEARCH(Classifiers!$E$5,E496)),1,0))+IF(Classifiers!$F$5="",0,IF(ISNUMBER(SEARCH(Classifiers!$F$5,E496)),1,0))+IF(Classifiers!$G$5="",0,IF(ISNUMBER(SEARCH(Classifiers!$G$5,E496)),1,0)))&gt;0,1,0))</f>
        <v/>
      </c>
      <c r="K496" s="12">
        <f>IF(H496&lt;&gt;1,0,IF((IF(Classifiers!$B$6="",0,IF(ISNUMBER(SEARCH(Classifiers!$B$6,E496)),1,0))+IF(Classifiers!$C$6="",0,IF(ISNUMBER(SEARCH(Classifiers!$C$6,E496)),1,0))+IF(Classifiers!$D$6="",0,IF(ISNUMBER(SEARCH(Classifiers!$D$6,E496)),1,0))+IF(Classifiers!$E$6="",0,IF(ISNUMBER(SEARCH(Classifiers!$E$6,E496)),1,0))+IF(Classifiers!$F$6="",0,IF(ISNUMBER(SEARCH(Classifiers!$F$6,E496)),1,0))+IF(Classifiers!$G$6="",0,IF(ISNUMBER(SEARCH(Classifiers!$G$6,E496)),1,0)))&gt;0,1,0))</f>
        <v/>
      </c>
      <c r="L496" s="12">
        <f>IF(H496&lt;&gt;1,0,IF((IF(Classifiers!$B$7="",0,IF(ISNUMBER(SEARCH(Classifiers!$B$7,E496)),1,0))+IF(Classifiers!$C$7="",0,IF(ISNUMBER(SEARCH(Classifiers!$C$7,E496)),1,0))+IF(Classifiers!$D$7="",0,IF(ISNUMBER(SEARCH(Classifiers!$D$7,E496)),1,0))+IF(Classifiers!$E$7="",0,IF(ISNUMBER(SEARCH(Classifiers!$E$7,E496)),1,0))+IF(Classifiers!$F$7="",0,IF(ISNUMBER(SEARCH(Classifiers!$F$7,E496)),1,0))+IF(Classifiers!$G$7="",0,IF(ISNUMBER(SEARCH(Classifiers!$G$7,E496)),1,0)))&gt;0,1,0))</f>
        <v/>
      </c>
      <c r="M496" s="12">
        <f>IF(H496&lt;&gt;1,0,IF((IF(Classifiers!$B$8="",0,IF(ISNUMBER(SEARCH(Classifiers!$B$8,E496)),1,0))+IF(Classifiers!$C$8="",0,IF(ISNUMBER(SEARCH(Classifiers!$C$8,E496)),1,0))+IF(Classifiers!$D$8="",0,IF(ISNUMBER(SEARCH(Classifiers!$D$8,E496)),1,0))+IF(Classifiers!$E$8="",0,IF(ISNUMBER(SEARCH(Classifiers!$E$8,E496)),1,0))+IF(Classifiers!$F$8="",0,IF(ISNUMBER(SEARCH(Classifiers!$F$8,E496)),1,0))+IF(Classifiers!$G$8="",0,IF(ISNUMBER(SEARCH(Classifiers!$G$8,E496)),1,0)))&gt;0,1,0))</f>
        <v/>
      </c>
      <c r="N496" s="12">
        <f>IF(H496&lt;&gt;1,0,IF((IF(Classifiers!$B$9="",0,IF(ISNUMBER(SEARCH(Classifiers!$B$9,E496)),1,0))+IF(Classifiers!$C$9="",0,IF(ISNUMBER(SEARCH(Classifiers!$C$9,E496)),1,0))+IF(Classifiers!$D$9="",0,IF(ISNUMBER(SEARCH(Classifiers!$D$9,E496)),1,0))+IF(Classifiers!$E$9="",0,IF(ISNUMBER(SEARCH(Classifiers!$E$9,E496)),1,0))+IF(Classifiers!$F$9="",0,IF(ISNUMBER(SEARCH(Classifiers!$F$9,E496)),1,0))+IF(Classifiers!$G$9="",0,IF(ISNUMBER(SEARCH(Classifiers!$G$9,E496)),1,0)))&gt;0,1,0))</f>
        <v/>
      </c>
      <c r="O496" s="12">
        <f>IF(H496&lt;&gt;1,0,IF((IF(Classifiers!$B$10="",0,IF(ISNUMBER(SEARCH(Classifiers!$B$10,E496)),1,0))+IF(Classifiers!$C$10="",0,IF(ISNUMBER(SEARCH(Classifiers!$C$10,E496)),1,0))+IF(Classifiers!$D$10="",0,IF(ISNUMBER(SEARCH(Classifiers!$D$10,E496)),1,0))+IF(Classifiers!$E$10="",0,IF(ISNUMBER(SEARCH(Classifiers!$E$10,E496)),1,0))+IF(Classifiers!$F$10="",0,IF(ISNUMBER(SEARCH(Classifiers!$F$10,E496)),1,0))+IF(Classifiers!$G$10="",0,IF(ISNUMBER(SEARCH(Classifiers!$G$10,E496)),1,0)))&gt;0,1,0))</f>
        <v/>
      </c>
      <c r="P496" s="12">
        <f>IF(H496&lt;&gt;1,0,IF((IF(Classifiers!$B$11="",0,IF(ISNUMBER(SEARCH(Classifiers!$B$11,E496)),1,0))+IF(Classifiers!$C$11="",0,IF(ISNUMBER(SEARCH(Classifiers!$C$11,E496)),1,0))+IF(Classifiers!$D$11="",0,IF(ISNUMBER(SEARCH(Classifiers!$D$11,E496)),1,0))+IF(Classifiers!$E$11="",0,IF(ISNUMBER(SEARCH(Classifiers!$E$11,E496)),1,0))+IF(Classifiers!$F$11="",0,IF(ISNUMBER(SEARCH(Classifiers!$F$11,E496)),1,0))+IF(Classifiers!$G$11="",0,IF(ISNUMBER(SEARCH(Classifiers!$G$11,E496)),1,0)))&gt;0,1,0))</f>
        <v/>
      </c>
      <c r="Q496" s="12">
        <f>IF(H496&lt;&gt;1,0,IF((IF(Classifiers!$B$12="",0,IF(ISNUMBER(SEARCH(Classifiers!$B$12,E496)),1,0))+IF(Classifiers!$C$12="",0,IF(ISNUMBER(SEARCH(Classifiers!$C$12,E496)),1,0))+IF(Classifiers!$D$12="",0,IF(ISNUMBER(SEARCH(Classifiers!$D$12,E496)),1,0))+IF(Classifiers!$E$12="",0,IF(ISNUMBER(SEARCH(Classifiers!$E$12,E496)),1,0))+IF(Classifiers!$F$12="",0,IF(ISNUMBER(SEARCH(Classifiers!$F$12,E496)),1,0))+IF(Classifiers!$G$12="",0,IF(ISNUMBER(SEARCH(Classifiers!$G$12,E496)),1,0)))&gt;0,1,0))</f>
        <v/>
      </c>
      <c r="R496" s="12">
        <f>IF(H496&lt;&gt;1,0,IF((IF(Classifiers!$B$13="",0,IF(ISNUMBER(SEARCH(Classifiers!$B$13,E496)),1,0))+IF(Classifiers!$C$13="",0,IF(ISNUMBER(SEARCH(Classifiers!$C$13,E496)),1,0))+IF(Classifiers!$D$13="",0,IF(ISNUMBER(SEARCH(Classifiers!$D$13,E496)),1,0))+IF(Classifiers!$E$13="",0,IF(ISNUMBER(SEARCH(Classifiers!$E$13,E496)),1,0))+IF(Classifiers!$F$13="",0,IF(ISNUMBER(SEARCH(Classifiers!$F$13,E496)),1,0))+IF(Classifiers!$G$13="",0,IF(ISNUMBER(SEARCH(Classifiers!$G$13,E496)),1,0)))&gt;0,1,0))</f>
        <v/>
      </c>
      <c r="S496" s="12">
        <f>IF(H496&lt;&gt;1,0,IF((IF(Classifiers!$B$14="",0,IF(ISNUMBER(SEARCH(Classifiers!$B$14,E496)),1,0))+IF(Classifiers!$C$14="",0,IF(ISNUMBER(SEARCH(Classifiers!$C$14,E496)),1,0))+IF(Classifiers!$D$14="",0,IF(ISNUMBER(SEARCH(Classifiers!$D$14,E496)),1,0))+IF(Classifiers!$E$14="",0,IF(ISNUMBER(SEARCH(Classifiers!$E$14,E496)),1,0))+IF(Classifiers!$F$14="",0,IF(ISNUMBER(SEARCH(Classifiers!$F$14,E496)),1,0))+IF(Classifiers!$G$14="",0,IF(ISNUMBER(SEARCH(Classifiers!$G$14,E496)),1,0)))&gt;0,1,0))</f>
        <v/>
      </c>
      <c r="T496" s="12">
        <f>IF(H496&lt;&gt;1,0,IF((IF(Classifiers!$B$15="",0,IF(ISNUMBER(SEARCH(Classifiers!$B$15,E496)),1,0))+IF(Classifiers!$C$15="",0,IF(ISNUMBER(SEARCH(Classifiers!$C$15,E496)),1,0))+IF(Classifiers!$D$15="",0,IF(ISNUMBER(SEARCH(Classifiers!$D$15,E496)),1,0))+IF(Classifiers!$E$15="",0,IF(ISNUMBER(SEARCH(Classifiers!$E$15,E496)),1,0))+IF(Classifiers!$F$15="",0,IF(ISNUMBER(SEARCH(Classifiers!$F$15,E496)),1,0))+IF(Classifiers!$G$15="",0,IF(ISNUMBER(SEARCH(Classifiers!$G$15,E496)),1,0)))&gt;0,1,0))</f>
        <v/>
      </c>
      <c r="U496" s="12">
        <f>IF(H496&lt;&gt;1,0,IF((IF(Classifiers!$B$16="",0,IF(ISNUMBER(SEARCH(Classifiers!$B$16,E496)),1,0))+IF(Classifiers!$C$16="",0,IF(ISNUMBER(SEARCH(Classifiers!$C$16,E496)),1,0))+IF(Classifiers!$D$16="",0,IF(ISNUMBER(SEARCH(Classifiers!$D$16,E496)),1,0))+IF(Classifiers!$E$16="",0,IF(ISNUMBER(SEARCH(Classifiers!$E$16,E496)),1,0))+IF(Classifiers!$F$16="",0,IF(ISNUMBER(SEARCH(Classifiers!$F$16,E496)),1,0))+IF(Classifiers!$G$16="",0,IF(ISNUMBER(SEARCH(Classifiers!$G$16,E496)),1,0)))&gt;0,1,0))</f>
        <v/>
      </c>
      <c r="V496" s="12">
        <f>IF(H496&lt;&gt;1,0,IF((IF(Classifiers!$B$17="",0,IF(ISNUMBER(SEARCH(Classifiers!$B$17,E496)),1,0))+IF(Classifiers!$C$17="",0,IF(ISNUMBER(SEARCH(Classifiers!$C$17,E496)),1,0))+IF(Classifiers!$D$17="",0,IF(ISNUMBER(SEARCH(Classifiers!$D$17,E496)),1,0))+IF(Classifiers!$E$17="",0,IF(ISNUMBER(SEARCH(Classifiers!$E$17,E496)),1,0))+IF(Classifiers!$F$17="",0,IF(ISNUMBER(SEARCH(Classifiers!$F$17,E496)),1,0))+IF(Classifiers!$G$17="",0,IF(ISNUMBER(SEARCH(Classifiers!$G$17,E496)),1,0)))&gt;0,1,0))</f>
        <v/>
      </c>
      <c r="W496" s="12">
        <f>IF(H496&lt;&gt;1,0,IF((IF(Classifiers!$B$18="",0,IF(ISNUMBER(SEARCH(Classifiers!$B$18,E496)),1,0))+IF(Classifiers!$C$18="",0,IF(ISNUMBER(SEARCH(Classifiers!$C$18,E496)),1,0))+IF(Classifiers!$D$18="",0,IF(ISNUMBER(SEARCH(Classifiers!$D$18,E496)),1,0))+IF(Classifiers!$E$18="",0,IF(ISNUMBER(SEARCH(Classifiers!$E$18,E496)),1,0))+IF(Classifiers!$F$18="",0,IF(ISNUMBER(SEARCH(Classifiers!$F$18,E496)),1,0))+IF(Classifiers!$G$18="",0,IF(ISNUMBER(SEARCH(Classifiers!$G$18,E496)),1,0)))&gt;0,1,0))</f>
        <v/>
      </c>
    </row>
    <row r="497">
      <c r="A497" s="8" t="n"/>
      <c r="B497" s="11" t="n"/>
      <c r="C497" s="6">
        <f>IF(A497="","",TRIM(RIGHT(SUBSTITUTE(A497,"/",REPT(" ",250)),250)))</f>
        <v/>
      </c>
      <c r="D497" s="6">
        <f>IF(C497="","",IF(ISNUMBER(SEARCH(".",C497)),LOWER("."&amp;TRIM(RIGHT(SUBSTITUTE(C497,".",REPT(" ",250)),250))),""))</f>
        <v/>
      </c>
      <c r="E497" s="6">
        <f>IF(C497="","",TRIM(SUBSTITUTE(SUBSTITUTE(SUBSTITUTE(SUBSTITUTE(SUBSTITUTE(SUBSTITUTE(SUBSTITUTE(SUBSTITUTE(SUBSTITUTE(SUBSTITUTE(SUBSTITUTE(SUBSTITUTE(SUBSTITUTE(SUBSTITUTE(SUBSTITUTE(SUBSTITUTE(SUBSTITUTE(SUBSTITUTE(SUBSTITUTE(SUBSTITUTE(LOWER(LEFT(C497,LEN(C497)-LEN(D497))),"_"," "),"-"," "),"."," "),","," "),"("," "),")"," "),"["," "),"]"," "),"&amp;"," "),"+"," "),"@"," "),"#"," "),"!"," "),"'"," "),"/"," "),":"," "),";"," "),"="," "),"~"," "),"%"," ")))</f>
        <v/>
      </c>
      <c r="F497" s="6">
        <f>IF(C497="","",IF(COUNTIF(Classifiers!$A$23:$A$40,D497)&gt;0,1,0))</f>
        <v/>
      </c>
      <c r="G497" s="6">
        <f>IF(C497="","",IF(COUNTIF(Classifiers!$C$23:$C$30,D497)&gt;0,IF((IF(ISNUMBER(SEARCH(Classifiers!$E$23,E497)),1,0)+IF(ISNUMBER(SEARCH(Classifiers!$E$24,E497)),1,0)+IF(ISNUMBER(SEARCH(Classifiers!$E$25,E497)),1,0)+IF(ISNUMBER(SEARCH(Classifiers!$E$26,E497)),1,0)+IF(ISNUMBER(SEARCH(Classifiers!$E$27,E497)),1,0)+IF(ISNUMBER(SEARCH(Classifiers!$E$28,E497)),1,0)+IF(ISNUMBER(SEARCH(Classifiers!$E$29,E497)),1,0)+IF(ISNUMBER(SEARCH(Classifiers!$E$30,E497)),1,0))&gt;0,1,0),0))</f>
        <v/>
      </c>
      <c r="H497" s="6">
        <f>IF(C497="","",IF(OR(LEFT(C497,1)=".",AND(F497=0,G497=0)),0,1))</f>
        <v/>
      </c>
      <c r="I497" s="6">
        <f>IF(H497&lt;&gt;1,"",IF(SUM(J497:W497)=0,"unclassified",INDEX(Classifiers!$A$5:$A$18,MATCH(1,J497:W497,0),1)))</f>
        <v/>
      </c>
      <c r="J497" s="12">
        <f>IF(H497&lt;&gt;1,0,IF((IF(Classifiers!$B$5="",0,IF(ISNUMBER(SEARCH(Classifiers!$B$5,E497)),1,0))+IF(Classifiers!$C$5="",0,IF(ISNUMBER(SEARCH(Classifiers!$C$5,E497)),1,0))+IF(Classifiers!$D$5="",0,IF(ISNUMBER(SEARCH(Classifiers!$D$5,E497)),1,0))+IF(Classifiers!$E$5="",0,IF(ISNUMBER(SEARCH(Classifiers!$E$5,E497)),1,0))+IF(Classifiers!$F$5="",0,IF(ISNUMBER(SEARCH(Classifiers!$F$5,E497)),1,0))+IF(Classifiers!$G$5="",0,IF(ISNUMBER(SEARCH(Classifiers!$G$5,E497)),1,0)))&gt;0,1,0))</f>
        <v/>
      </c>
      <c r="K497" s="12">
        <f>IF(H497&lt;&gt;1,0,IF((IF(Classifiers!$B$6="",0,IF(ISNUMBER(SEARCH(Classifiers!$B$6,E497)),1,0))+IF(Classifiers!$C$6="",0,IF(ISNUMBER(SEARCH(Classifiers!$C$6,E497)),1,0))+IF(Classifiers!$D$6="",0,IF(ISNUMBER(SEARCH(Classifiers!$D$6,E497)),1,0))+IF(Classifiers!$E$6="",0,IF(ISNUMBER(SEARCH(Classifiers!$E$6,E497)),1,0))+IF(Classifiers!$F$6="",0,IF(ISNUMBER(SEARCH(Classifiers!$F$6,E497)),1,0))+IF(Classifiers!$G$6="",0,IF(ISNUMBER(SEARCH(Classifiers!$G$6,E497)),1,0)))&gt;0,1,0))</f>
        <v/>
      </c>
      <c r="L497" s="12">
        <f>IF(H497&lt;&gt;1,0,IF((IF(Classifiers!$B$7="",0,IF(ISNUMBER(SEARCH(Classifiers!$B$7,E497)),1,0))+IF(Classifiers!$C$7="",0,IF(ISNUMBER(SEARCH(Classifiers!$C$7,E497)),1,0))+IF(Classifiers!$D$7="",0,IF(ISNUMBER(SEARCH(Classifiers!$D$7,E497)),1,0))+IF(Classifiers!$E$7="",0,IF(ISNUMBER(SEARCH(Classifiers!$E$7,E497)),1,0))+IF(Classifiers!$F$7="",0,IF(ISNUMBER(SEARCH(Classifiers!$F$7,E497)),1,0))+IF(Classifiers!$G$7="",0,IF(ISNUMBER(SEARCH(Classifiers!$G$7,E497)),1,0)))&gt;0,1,0))</f>
        <v/>
      </c>
      <c r="M497" s="12">
        <f>IF(H497&lt;&gt;1,0,IF((IF(Classifiers!$B$8="",0,IF(ISNUMBER(SEARCH(Classifiers!$B$8,E497)),1,0))+IF(Classifiers!$C$8="",0,IF(ISNUMBER(SEARCH(Classifiers!$C$8,E497)),1,0))+IF(Classifiers!$D$8="",0,IF(ISNUMBER(SEARCH(Classifiers!$D$8,E497)),1,0))+IF(Classifiers!$E$8="",0,IF(ISNUMBER(SEARCH(Classifiers!$E$8,E497)),1,0))+IF(Classifiers!$F$8="",0,IF(ISNUMBER(SEARCH(Classifiers!$F$8,E497)),1,0))+IF(Classifiers!$G$8="",0,IF(ISNUMBER(SEARCH(Classifiers!$G$8,E497)),1,0)))&gt;0,1,0))</f>
        <v/>
      </c>
      <c r="N497" s="12">
        <f>IF(H497&lt;&gt;1,0,IF((IF(Classifiers!$B$9="",0,IF(ISNUMBER(SEARCH(Classifiers!$B$9,E497)),1,0))+IF(Classifiers!$C$9="",0,IF(ISNUMBER(SEARCH(Classifiers!$C$9,E497)),1,0))+IF(Classifiers!$D$9="",0,IF(ISNUMBER(SEARCH(Classifiers!$D$9,E497)),1,0))+IF(Classifiers!$E$9="",0,IF(ISNUMBER(SEARCH(Classifiers!$E$9,E497)),1,0))+IF(Classifiers!$F$9="",0,IF(ISNUMBER(SEARCH(Classifiers!$F$9,E497)),1,0))+IF(Classifiers!$G$9="",0,IF(ISNUMBER(SEARCH(Classifiers!$G$9,E497)),1,0)))&gt;0,1,0))</f>
        <v/>
      </c>
      <c r="O497" s="12">
        <f>IF(H497&lt;&gt;1,0,IF((IF(Classifiers!$B$10="",0,IF(ISNUMBER(SEARCH(Classifiers!$B$10,E497)),1,0))+IF(Classifiers!$C$10="",0,IF(ISNUMBER(SEARCH(Classifiers!$C$10,E497)),1,0))+IF(Classifiers!$D$10="",0,IF(ISNUMBER(SEARCH(Classifiers!$D$10,E497)),1,0))+IF(Classifiers!$E$10="",0,IF(ISNUMBER(SEARCH(Classifiers!$E$10,E497)),1,0))+IF(Classifiers!$F$10="",0,IF(ISNUMBER(SEARCH(Classifiers!$F$10,E497)),1,0))+IF(Classifiers!$G$10="",0,IF(ISNUMBER(SEARCH(Classifiers!$G$10,E497)),1,0)))&gt;0,1,0))</f>
        <v/>
      </c>
      <c r="P497" s="12">
        <f>IF(H497&lt;&gt;1,0,IF((IF(Classifiers!$B$11="",0,IF(ISNUMBER(SEARCH(Classifiers!$B$11,E497)),1,0))+IF(Classifiers!$C$11="",0,IF(ISNUMBER(SEARCH(Classifiers!$C$11,E497)),1,0))+IF(Classifiers!$D$11="",0,IF(ISNUMBER(SEARCH(Classifiers!$D$11,E497)),1,0))+IF(Classifiers!$E$11="",0,IF(ISNUMBER(SEARCH(Classifiers!$E$11,E497)),1,0))+IF(Classifiers!$F$11="",0,IF(ISNUMBER(SEARCH(Classifiers!$F$11,E497)),1,0))+IF(Classifiers!$G$11="",0,IF(ISNUMBER(SEARCH(Classifiers!$G$11,E497)),1,0)))&gt;0,1,0))</f>
        <v/>
      </c>
      <c r="Q497" s="12">
        <f>IF(H497&lt;&gt;1,0,IF((IF(Classifiers!$B$12="",0,IF(ISNUMBER(SEARCH(Classifiers!$B$12,E497)),1,0))+IF(Classifiers!$C$12="",0,IF(ISNUMBER(SEARCH(Classifiers!$C$12,E497)),1,0))+IF(Classifiers!$D$12="",0,IF(ISNUMBER(SEARCH(Classifiers!$D$12,E497)),1,0))+IF(Classifiers!$E$12="",0,IF(ISNUMBER(SEARCH(Classifiers!$E$12,E497)),1,0))+IF(Classifiers!$F$12="",0,IF(ISNUMBER(SEARCH(Classifiers!$F$12,E497)),1,0))+IF(Classifiers!$G$12="",0,IF(ISNUMBER(SEARCH(Classifiers!$G$12,E497)),1,0)))&gt;0,1,0))</f>
        <v/>
      </c>
      <c r="R497" s="12">
        <f>IF(H497&lt;&gt;1,0,IF((IF(Classifiers!$B$13="",0,IF(ISNUMBER(SEARCH(Classifiers!$B$13,E497)),1,0))+IF(Classifiers!$C$13="",0,IF(ISNUMBER(SEARCH(Classifiers!$C$13,E497)),1,0))+IF(Classifiers!$D$13="",0,IF(ISNUMBER(SEARCH(Classifiers!$D$13,E497)),1,0))+IF(Classifiers!$E$13="",0,IF(ISNUMBER(SEARCH(Classifiers!$E$13,E497)),1,0))+IF(Classifiers!$F$13="",0,IF(ISNUMBER(SEARCH(Classifiers!$F$13,E497)),1,0))+IF(Classifiers!$G$13="",0,IF(ISNUMBER(SEARCH(Classifiers!$G$13,E497)),1,0)))&gt;0,1,0))</f>
        <v/>
      </c>
      <c r="S497" s="12">
        <f>IF(H497&lt;&gt;1,0,IF((IF(Classifiers!$B$14="",0,IF(ISNUMBER(SEARCH(Classifiers!$B$14,E497)),1,0))+IF(Classifiers!$C$14="",0,IF(ISNUMBER(SEARCH(Classifiers!$C$14,E497)),1,0))+IF(Classifiers!$D$14="",0,IF(ISNUMBER(SEARCH(Classifiers!$D$14,E497)),1,0))+IF(Classifiers!$E$14="",0,IF(ISNUMBER(SEARCH(Classifiers!$E$14,E497)),1,0))+IF(Classifiers!$F$14="",0,IF(ISNUMBER(SEARCH(Classifiers!$F$14,E497)),1,0))+IF(Classifiers!$G$14="",0,IF(ISNUMBER(SEARCH(Classifiers!$G$14,E497)),1,0)))&gt;0,1,0))</f>
        <v/>
      </c>
      <c r="T497" s="12">
        <f>IF(H497&lt;&gt;1,0,IF((IF(Classifiers!$B$15="",0,IF(ISNUMBER(SEARCH(Classifiers!$B$15,E497)),1,0))+IF(Classifiers!$C$15="",0,IF(ISNUMBER(SEARCH(Classifiers!$C$15,E497)),1,0))+IF(Classifiers!$D$15="",0,IF(ISNUMBER(SEARCH(Classifiers!$D$15,E497)),1,0))+IF(Classifiers!$E$15="",0,IF(ISNUMBER(SEARCH(Classifiers!$E$15,E497)),1,0))+IF(Classifiers!$F$15="",0,IF(ISNUMBER(SEARCH(Classifiers!$F$15,E497)),1,0))+IF(Classifiers!$G$15="",0,IF(ISNUMBER(SEARCH(Classifiers!$G$15,E497)),1,0)))&gt;0,1,0))</f>
        <v/>
      </c>
      <c r="U497" s="12">
        <f>IF(H497&lt;&gt;1,0,IF((IF(Classifiers!$B$16="",0,IF(ISNUMBER(SEARCH(Classifiers!$B$16,E497)),1,0))+IF(Classifiers!$C$16="",0,IF(ISNUMBER(SEARCH(Classifiers!$C$16,E497)),1,0))+IF(Classifiers!$D$16="",0,IF(ISNUMBER(SEARCH(Classifiers!$D$16,E497)),1,0))+IF(Classifiers!$E$16="",0,IF(ISNUMBER(SEARCH(Classifiers!$E$16,E497)),1,0))+IF(Classifiers!$F$16="",0,IF(ISNUMBER(SEARCH(Classifiers!$F$16,E497)),1,0))+IF(Classifiers!$G$16="",0,IF(ISNUMBER(SEARCH(Classifiers!$G$16,E497)),1,0)))&gt;0,1,0))</f>
        <v/>
      </c>
      <c r="V497" s="12">
        <f>IF(H497&lt;&gt;1,0,IF((IF(Classifiers!$B$17="",0,IF(ISNUMBER(SEARCH(Classifiers!$B$17,E497)),1,0))+IF(Classifiers!$C$17="",0,IF(ISNUMBER(SEARCH(Classifiers!$C$17,E497)),1,0))+IF(Classifiers!$D$17="",0,IF(ISNUMBER(SEARCH(Classifiers!$D$17,E497)),1,0))+IF(Classifiers!$E$17="",0,IF(ISNUMBER(SEARCH(Classifiers!$E$17,E497)),1,0))+IF(Classifiers!$F$17="",0,IF(ISNUMBER(SEARCH(Classifiers!$F$17,E497)),1,0))+IF(Classifiers!$G$17="",0,IF(ISNUMBER(SEARCH(Classifiers!$G$17,E497)),1,0)))&gt;0,1,0))</f>
        <v/>
      </c>
      <c r="W497" s="12">
        <f>IF(H497&lt;&gt;1,0,IF((IF(Classifiers!$B$18="",0,IF(ISNUMBER(SEARCH(Classifiers!$B$18,E497)),1,0))+IF(Classifiers!$C$18="",0,IF(ISNUMBER(SEARCH(Classifiers!$C$18,E497)),1,0))+IF(Classifiers!$D$18="",0,IF(ISNUMBER(SEARCH(Classifiers!$D$18,E497)),1,0))+IF(Classifiers!$E$18="",0,IF(ISNUMBER(SEARCH(Classifiers!$E$18,E497)),1,0))+IF(Classifiers!$F$18="",0,IF(ISNUMBER(SEARCH(Classifiers!$F$18,E497)),1,0))+IF(Classifiers!$G$18="",0,IF(ISNUMBER(SEARCH(Classifiers!$G$18,E497)),1,0)))&gt;0,1,0))</f>
        <v/>
      </c>
    </row>
    <row r="498">
      <c r="A498" s="8" t="n"/>
      <c r="B498" s="11" t="n"/>
      <c r="C498" s="6">
        <f>IF(A498="","",TRIM(RIGHT(SUBSTITUTE(A498,"/",REPT(" ",250)),250)))</f>
        <v/>
      </c>
      <c r="D498" s="6">
        <f>IF(C498="","",IF(ISNUMBER(SEARCH(".",C498)),LOWER("."&amp;TRIM(RIGHT(SUBSTITUTE(C498,".",REPT(" ",250)),250))),""))</f>
        <v/>
      </c>
      <c r="E498" s="6">
        <f>IF(C498="","",TRIM(SUBSTITUTE(SUBSTITUTE(SUBSTITUTE(SUBSTITUTE(SUBSTITUTE(SUBSTITUTE(SUBSTITUTE(SUBSTITUTE(SUBSTITUTE(SUBSTITUTE(SUBSTITUTE(SUBSTITUTE(SUBSTITUTE(SUBSTITUTE(SUBSTITUTE(SUBSTITUTE(SUBSTITUTE(SUBSTITUTE(SUBSTITUTE(SUBSTITUTE(LOWER(LEFT(C498,LEN(C498)-LEN(D498))),"_"," "),"-"," "),"."," "),","," "),"("," "),")"," "),"["," "),"]"," "),"&amp;"," "),"+"," "),"@"," "),"#"," "),"!"," "),"'"," "),"/"," "),":"," "),";"," "),"="," "),"~"," "),"%"," ")))</f>
        <v/>
      </c>
      <c r="F498" s="6">
        <f>IF(C498="","",IF(COUNTIF(Classifiers!$A$23:$A$40,D498)&gt;0,1,0))</f>
        <v/>
      </c>
      <c r="G498" s="6">
        <f>IF(C498="","",IF(COUNTIF(Classifiers!$C$23:$C$30,D498)&gt;0,IF((IF(ISNUMBER(SEARCH(Classifiers!$E$23,E498)),1,0)+IF(ISNUMBER(SEARCH(Classifiers!$E$24,E498)),1,0)+IF(ISNUMBER(SEARCH(Classifiers!$E$25,E498)),1,0)+IF(ISNUMBER(SEARCH(Classifiers!$E$26,E498)),1,0)+IF(ISNUMBER(SEARCH(Classifiers!$E$27,E498)),1,0)+IF(ISNUMBER(SEARCH(Classifiers!$E$28,E498)),1,0)+IF(ISNUMBER(SEARCH(Classifiers!$E$29,E498)),1,0)+IF(ISNUMBER(SEARCH(Classifiers!$E$30,E498)),1,0))&gt;0,1,0),0))</f>
        <v/>
      </c>
      <c r="H498" s="6">
        <f>IF(C498="","",IF(OR(LEFT(C498,1)=".",AND(F498=0,G498=0)),0,1))</f>
        <v/>
      </c>
      <c r="I498" s="6">
        <f>IF(H498&lt;&gt;1,"",IF(SUM(J498:W498)=0,"unclassified",INDEX(Classifiers!$A$5:$A$18,MATCH(1,J498:W498,0),1)))</f>
        <v/>
      </c>
      <c r="J498" s="12">
        <f>IF(H498&lt;&gt;1,0,IF((IF(Classifiers!$B$5="",0,IF(ISNUMBER(SEARCH(Classifiers!$B$5,E498)),1,0))+IF(Classifiers!$C$5="",0,IF(ISNUMBER(SEARCH(Classifiers!$C$5,E498)),1,0))+IF(Classifiers!$D$5="",0,IF(ISNUMBER(SEARCH(Classifiers!$D$5,E498)),1,0))+IF(Classifiers!$E$5="",0,IF(ISNUMBER(SEARCH(Classifiers!$E$5,E498)),1,0))+IF(Classifiers!$F$5="",0,IF(ISNUMBER(SEARCH(Classifiers!$F$5,E498)),1,0))+IF(Classifiers!$G$5="",0,IF(ISNUMBER(SEARCH(Classifiers!$G$5,E498)),1,0)))&gt;0,1,0))</f>
        <v/>
      </c>
      <c r="K498" s="12">
        <f>IF(H498&lt;&gt;1,0,IF((IF(Classifiers!$B$6="",0,IF(ISNUMBER(SEARCH(Classifiers!$B$6,E498)),1,0))+IF(Classifiers!$C$6="",0,IF(ISNUMBER(SEARCH(Classifiers!$C$6,E498)),1,0))+IF(Classifiers!$D$6="",0,IF(ISNUMBER(SEARCH(Classifiers!$D$6,E498)),1,0))+IF(Classifiers!$E$6="",0,IF(ISNUMBER(SEARCH(Classifiers!$E$6,E498)),1,0))+IF(Classifiers!$F$6="",0,IF(ISNUMBER(SEARCH(Classifiers!$F$6,E498)),1,0))+IF(Classifiers!$G$6="",0,IF(ISNUMBER(SEARCH(Classifiers!$G$6,E498)),1,0)))&gt;0,1,0))</f>
        <v/>
      </c>
      <c r="L498" s="12">
        <f>IF(H498&lt;&gt;1,0,IF((IF(Classifiers!$B$7="",0,IF(ISNUMBER(SEARCH(Classifiers!$B$7,E498)),1,0))+IF(Classifiers!$C$7="",0,IF(ISNUMBER(SEARCH(Classifiers!$C$7,E498)),1,0))+IF(Classifiers!$D$7="",0,IF(ISNUMBER(SEARCH(Classifiers!$D$7,E498)),1,0))+IF(Classifiers!$E$7="",0,IF(ISNUMBER(SEARCH(Classifiers!$E$7,E498)),1,0))+IF(Classifiers!$F$7="",0,IF(ISNUMBER(SEARCH(Classifiers!$F$7,E498)),1,0))+IF(Classifiers!$G$7="",0,IF(ISNUMBER(SEARCH(Classifiers!$G$7,E498)),1,0)))&gt;0,1,0))</f>
        <v/>
      </c>
      <c r="M498" s="12">
        <f>IF(H498&lt;&gt;1,0,IF((IF(Classifiers!$B$8="",0,IF(ISNUMBER(SEARCH(Classifiers!$B$8,E498)),1,0))+IF(Classifiers!$C$8="",0,IF(ISNUMBER(SEARCH(Classifiers!$C$8,E498)),1,0))+IF(Classifiers!$D$8="",0,IF(ISNUMBER(SEARCH(Classifiers!$D$8,E498)),1,0))+IF(Classifiers!$E$8="",0,IF(ISNUMBER(SEARCH(Classifiers!$E$8,E498)),1,0))+IF(Classifiers!$F$8="",0,IF(ISNUMBER(SEARCH(Classifiers!$F$8,E498)),1,0))+IF(Classifiers!$G$8="",0,IF(ISNUMBER(SEARCH(Classifiers!$G$8,E498)),1,0)))&gt;0,1,0))</f>
        <v/>
      </c>
      <c r="N498" s="12">
        <f>IF(H498&lt;&gt;1,0,IF((IF(Classifiers!$B$9="",0,IF(ISNUMBER(SEARCH(Classifiers!$B$9,E498)),1,0))+IF(Classifiers!$C$9="",0,IF(ISNUMBER(SEARCH(Classifiers!$C$9,E498)),1,0))+IF(Classifiers!$D$9="",0,IF(ISNUMBER(SEARCH(Classifiers!$D$9,E498)),1,0))+IF(Classifiers!$E$9="",0,IF(ISNUMBER(SEARCH(Classifiers!$E$9,E498)),1,0))+IF(Classifiers!$F$9="",0,IF(ISNUMBER(SEARCH(Classifiers!$F$9,E498)),1,0))+IF(Classifiers!$G$9="",0,IF(ISNUMBER(SEARCH(Classifiers!$G$9,E498)),1,0)))&gt;0,1,0))</f>
        <v/>
      </c>
      <c r="O498" s="12">
        <f>IF(H498&lt;&gt;1,0,IF((IF(Classifiers!$B$10="",0,IF(ISNUMBER(SEARCH(Classifiers!$B$10,E498)),1,0))+IF(Classifiers!$C$10="",0,IF(ISNUMBER(SEARCH(Classifiers!$C$10,E498)),1,0))+IF(Classifiers!$D$10="",0,IF(ISNUMBER(SEARCH(Classifiers!$D$10,E498)),1,0))+IF(Classifiers!$E$10="",0,IF(ISNUMBER(SEARCH(Classifiers!$E$10,E498)),1,0))+IF(Classifiers!$F$10="",0,IF(ISNUMBER(SEARCH(Classifiers!$F$10,E498)),1,0))+IF(Classifiers!$G$10="",0,IF(ISNUMBER(SEARCH(Classifiers!$G$10,E498)),1,0)))&gt;0,1,0))</f>
        <v/>
      </c>
      <c r="P498" s="12">
        <f>IF(H498&lt;&gt;1,0,IF((IF(Classifiers!$B$11="",0,IF(ISNUMBER(SEARCH(Classifiers!$B$11,E498)),1,0))+IF(Classifiers!$C$11="",0,IF(ISNUMBER(SEARCH(Classifiers!$C$11,E498)),1,0))+IF(Classifiers!$D$11="",0,IF(ISNUMBER(SEARCH(Classifiers!$D$11,E498)),1,0))+IF(Classifiers!$E$11="",0,IF(ISNUMBER(SEARCH(Classifiers!$E$11,E498)),1,0))+IF(Classifiers!$F$11="",0,IF(ISNUMBER(SEARCH(Classifiers!$F$11,E498)),1,0))+IF(Classifiers!$G$11="",0,IF(ISNUMBER(SEARCH(Classifiers!$G$11,E498)),1,0)))&gt;0,1,0))</f>
        <v/>
      </c>
      <c r="Q498" s="12">
        <f>IF(H498&lt;&gt;1,0,IF((IF(Classifiers!$B$12="",0,IF(ISNUMBER(SEARCH(Classifiers!$B$12,E498)),1,0))+IF(Classifiers!$C$12="",0,IF(ISNUMBER(SEARCH(Classifiers!$C$12,E498)),1,0))+IF(Classifiers!$D$12="",0,IF(ISNUMBER(SEARCH(Classifiers!$D$12,E498)),1,0))+IF(Classifiers!$E$12="",0,IF(ISNUMBER(SEARCH(Classifiers!$E$12,E498)),1,0))+IF(Classifiers!$F$12="",0,IF(ISNUMBER(SEARCH(Classifiers!$F$12,E498)),1,0))+IF(Classifiers!$G$12="",0,IF(ISNUMBER(SEARCH(Classifiers!$G$12,E498)),1,0)))&gt;0,1,0))</f>
        <v/>
      </c>
      <c r="R498" s="12">
        <f>IF(H498&lt;&gt;1,0,IF((IF(Classifiers!$B$13="",0,IF(ISNUMBER(SEARCH(Classifiers!$B$13,E498)),1,0))+IF(Classifiers!$C$13="",0,IF(ISNUMBER(SEARCH(Classifiers!$C$13,E498)),1,0))+IF(Classifiers!$D$13="",0,IF(ISNUMBER(SEARCH(Classifiers!$D$13,E498)),1,0))+IF(Classifiers!$E$13="",0,IF(ISNUMBER(SEARCH(Classifiers!$E$13,E498)),1,0))+IF(Classifiers!$F$13="",0,IF(ISNUMBER(SEARCH(Classifiers!$F$13,E498)),1,0))+IF(Classifiers!$G$13="",0,IF(ISNUMBER(SEARCH(Classifiers!$G$13,E498)),1,0)))&gt;0,1,0))</f>
        <v/>
      </c>
      <c r="S498" s="12">
        <f>IF(H498&lt;&gt;1,0,IF((IF(Classifiers!$B$14="",0,IF(ISNUMBER(SEARCH(Classifiers!$B$14,E498)),1,0))+IF(Classifiers!$C$14="",0,IF(ISNUMBER(SEARCH(Classifiers!$C$14,E498)),1,0))+IF(Classifiers!$D$14="",0,IF(ISNUMBER(SEARCH(Classifiers!$D$14,E498)),1,0))+IF(Classifiers!$E$14="",0,IF(ISNUMBER(SEARCH(Classifiers!$E$14,E498)),1,0))+IF(Classifiers!$F$14="",0,IF(ISNUMBER(SEARCH(Classifiers!$F$14,E498)),1,0))+IF(Classifiers!$G$14="",0,IF(ISNUMBER(SEARCH(Classifiers!$G$14,E498)),1,0)))&gt;0,1,0))</f>
        <v/>
      </c>
      <c r="T498" s="12">
        <f>IF(H498&lt;&gt;1,0,IF((IF(Classifiers!$B$15="",0,IF(ISNUMBER(SEARCH(Classifiers!$B$15,E498)),1,0))+IF(Classifiers!$C$15="",0,IF(ISNUMBER(SEARCH(Classifiers!$C$15,E498)),1,0))+IF(Classifiers!$D$15="",0,IF(ISNUMBER(SEARCH(Classifiers!$D$15,E498)),1,0))+IF(Classifiers!$E$15="",0,IF(ISNUMBER(SEARCH(Classifiers!$E$15,E498)),1,0))+IF(Classifiers!$F$15="",0,IF(ISNUMBER(SEARCH(Classifiers!$F$15,E498)),1,0))+IF(Classifiers!$G$15="",0,IF(ISNUMBER(SEARCH(Classifiers!$G$15,E498)),1,0)))&gt;0,1,0))</f>
        <v/>
      </c>
      <c r="U498" s="12">
        <f>IF(H498&lt;&gt;1,0,IF((IF(Classifiers!$B$16="",0,IF(ISNUMBER(SEARCH(Classifiers!$B$16,E498)),1,0))+IF(Classifiers!$C$16="",0,IF(ISNUMBER(SEARCH(Classifiers!$C$16,E498)),1,0))+IF(Classifiers!$D$16="",0,IF(ISNUMBER(SEARCH(Classifiers!$D$16,E498)),1,0))+IF(Classifiers!$E$16="",0,IF(ISNUMBER(SEARCH(Classifiers!$E$16,E498)),1,0))+IF(Classifiers!$F$16="",0,IF(ISNUMBER(SEARCH(Classifiers!$F$16,E498)),1,0))+IF(Classifiers!$G$16="",0,IF(ISNUMBER(SEARCH(Classifiers!$G$16,E498)),1,0)))&gt;0,1,0))</f>
        <v/>
      </c>
      <c r="V498" s="12">
        <f>IF(H498&lt;&gt;1,0,IF((IF(Classifiers!$B$17="",0,IF(ISNUMBER(SEARCH(Classifiers!$B$17,E498)),1,0))+IF(Classifiers!$C$17="",0,IF(ISNUMBER(SEARCH(Classifiers!$C$17,E498)),1,0))+IF(Classifiers!$D$17="",0,IF(ISNUMBER(SEARCH(Classifiers!$D$17,E498)),1,0))+IF(Classifiers!$E$17="",0,IF(ISNUMBER(SEARCH(Classifiers!$E$17,E498)),1,0))+IF(Classifiers!$F$17="",0,IF(ISNUMBER(SEARCH(Classifiers!$F$17,E498)),1,0))+IF(Classifiers!$G$17="",0,IF(ISNUMBER(SEARCH(Classifiers!$G$17,E498)),1,0)))&gt;0,1,0))</f>
        <v/>
      </c>
      <c r="W498" s="12">
        <f>IF(H498&lt;&gt;1,0,IF((IF(Classifiers!$B$18="",0,IF(ISNUMBER(SEARCH(Classifiers!$B$18,E498)),1,0))+IF(Classifiers!$C$18="",0,IF(ISNUMBER(SEARCH(Classifiers!$C$18,E498)),1,0))+IF(Classifiers!$D$18="",0,IF(ISNUMBER(SEARCH(Classifiers!$D$18,E498)),1,0))+IF(Classifiers!$E$18="",0,IF(ISNUMBER(SEARCH(Classifiers!$E$18,E498)),1,0))+IF(Classifiers!$F$18="",0,IF(ISNUMBER(SEARCH(Classifiers!$F$18,E498)),1,0))+IF(Classifiers!$G$18="",0,IF(ISNUMBER(SEARCH(Classifiers!$G$18,E498)),1,0)))&gt;0,1,0))</f>
        <v/>
      </c>
    </row>
    <row r="499">
      <c r="A499" s="8" t="n"/>
      <c r="B499" s="11" t="n"/>
      <c r="C499" s="6">
        <f>IF(A499="","",TRIM(RIGHT(SUBSTITUTE(A499,"/",REPT(" ",250)),250)))</f>
        <v/>
      </c>
      <c r="D499" s="6">
        <f>IF(C499="","",IF(ISNUMBER(SEARCH(".",C499)),LOWER("."&amp;TRIM(RIGHT(SUBSTITUTE(C499,".",REPT(" ",250)),250))),""))</f>
        <v/>
      </c>
      <c r="E499" s="6">
        <f>IF(C499="","",TRIM(SUBSTITUTE(SUBSTITUTE(SUBSTITUTE(SUBSTITUTE(SUBSTITUTE(SUBSTITUTE(SUBSTITUTE(SUBSTITUTE(SUBSTITUTE(SUBSTITUTE(SUBSTITUTE(SUBSTITUTE(SUBSTITUTE(SUBSTITUTE(SUBSTITUTE(SUBSTITUTE(SUBSTITUTE(SUBSTITUTE(SUBSTITUTE(SUBSTITUTE(LOWER(LEFT(C499,LEN(C499)-LEN(D499))),"_"," "),"-"," "),"."," "),","," "),"("," "),")"," "),"["," "),"]"," "),"&amp;"," "),"+"," "),"@"," "),"#"," "),"!"," "),"'"," "),"/"," "),":"," "),";"," "),"="," "),"~"," "),"%"," ")))</f>
        <v/>
      </c>
      <c r="F499" s="6">
        <f>IF(C499="","",IF(COUNTIF(Classifiers!$A$23:$A$40,D499)&gt;0,1,0))</f>
        <v/>
      </c>
      <c r="G499" s="6">
        <f>IF(C499="","",IF(COUNTIF(Classifiers!$C$23:$C$30,D499)&gt;0,IF((IF(ISNUMBER(SEARCH(Classifiers!$E$23,E499)),1,0)+IF(ISNUMBER(SEARCH(Classifiers!$E$24,E499)),1,0)+IF(ISNUMBER(SEARCH(Classifiers!$E$25,E499)),1,0)+IF(ISNUMBER(SEARCH(Classifiers!$E$26,E499)),1,0)+IF(ISNUMBER(SEARCH(Classifiers!$E$27,E499)),1,0)+IF(ISNUMBER(SEARCH(Classifiers!$E$28,E499)),1,0)+IF(ISNUMBER(SEARCH(Classifiers!$E$29,E499)),1,0)+IF(ISNUMBER(SEARCH(Classifiers!$E$30,E499)),1,0))&gt;0,1,0),0))</f>
        <v/>
      </c>
      <c r="H499" s="6">
        <f>IF(C499="","",IF(OR(LEFT(C499,1)=".",AND(F499=0,G499=0)),0,1))</f>
        <v/>
      </c>
      <c r="I499" s="6">
        <f>IF(H499&lt;&gt;1,"",IF(SUM(J499:W499)=0,"unclassified",INDEX(Classifiers!$A$5:$A$18,MATCH(1,J499:W499,0),1)))</f>
        <v/>
      </c>
      <c r="J499" s="12">
        <f>IF(H499&lt;&gt;1,0,IF((IF(Classifiers!$B$5="",0,IF(ISNUMBER(SEARCH(Classifiers!$B$5,E499)),1,0))+IF(Classifiers!$C$5="",0,IF(ISNUMBER(SEARCH(Classifiers!$C$5,E499)),1,0))+IF(Classifiers!$D$5="",0,IF(ISNUMBER(SEARCH(Classifiers!$D$5,E499)),1,0))+IF(Classifiers!$E$5="",0,IF(ISNUMBER(SEARCH(Classifiers!$E$5,E499)),1,0))+IF(Classifiers!$F$5="",0,IF(ISNUMBER(SEARCH(Classifiers!$F$5,E499)),1,0))+IF(Classifiers!$G$5="",0,IF(ISNUMBER(SEARCH(Classifiers!$G$5,E499)),1,0)))&gt;0,1,0))</f>
        <v/>
      </c>
      <c r="K499" s="12">
        <f>IF(H499&lt;&gt;1,0,IF((IF(Classifiers!$B$6="",0,IF(ISNUMBER(SEARCH(Classifiers!$B$6,E499)),1,0))+IF(Classifiers!$C$6="",0,IF(ISNUMBER(SEARCH(Classifiers!$C$6,E499)),1,0))+IF(Classifiers!$D$6="",0,IF(ISNUMBER(SEARCH(Classifiers!$D$6,E499)),1,0))+IF(Classifiers!$E$6="",0,IF(ISNUMBER(SEARCH(Classifiers!$E$6,E499)),1,0))+IF(Classifiers!$F$6="",0,IF(ISNUMBER(SEARCH(Classifiers!$F$6,E499)),1,0))+IF(Classifiers!$G$6="",0,IF(ISNUMBER(SEARCH(Classifiers!$G$6,E499)),1,0)))&gt;0,1,0))</f>
        <v/>
      </c>
      <c r="L499" s="12">
        <f>IF(H499&lt;&gt;1,0,IF((IF(Classifiers!$B$7="",0,IF(ISNUMBER(SEARCH(Classifiers!$B$7,E499)),1,0))+IF(Classifiers!$C$7="",0,IF(ISNUMBER(SEARCH(Classifiers!$C$7,E499)),1,0))+IF(Classifiers!$D$7="",0,IF(ISNUMBER(SEARCH(Classifiers!$D$7,E499)),1,0))+IF(Classifiers!$E$7="",0,IF(ISNUMBER(SEARCH(Classifiers!$E$7,E499)),1,0))+IF(Classifiers!$F$7="",0,IF(ISNUMBER(SEARCH(Classifiers!$F$7,E499)),1,0))+IF(Classifiers!$G$7="",0,IF(ISNUMBER(SEARCH(Classifiers!$G$7,E499)),1,0)))&gt;0,1,0))</f>
        <v/>
      </c>
      <c r="M499" s="12">
        <f>IF(H499&lt;&gt;1,0,IF((IF(Classifiers!$B$8="",0,IF(ISNUMBER(SEARCH(Classifiers!$B$8,E499)),1,0))+IF(Classifiers!$C$8="",0,IF(ISNUMBER(SEARCH(Classifiers!$C$8,E499)),1,0))+IF(Classifiers!$D$8="",0,IF(ISNUMBER(SEARCH(Classifiers!$D$8,E499)),1,0))+IF(Classifiers!$E$8="",0,IF(ISNUMBER(SEARCH(Classifiers!$E$8,E499)),1,0))+IF(Classifiers!$F$8="",0,IF(ISNUMBER(SEARCH(Classifiers!$F$8,E499)),1,0))+IF(Classifiers!$G$8="",0,IF(ISNUMBER(SEARCH(Classifiers!$G$8,E499)),1,0)))&gt;0,1,0))</f>
        <v/>
      </c>
      <c r="N499" s="12">
        <f>IF(H499&lt;&gt;1,0,IF((IF(Classifiers!$B$9="",0,IF(ISNUMBER(SEARCH(Classifiers!$B$9,E499)),1,0))+IF(Classifiers!$C$9="",0,IF(ISNUMBER(SEARCH(Classifiers!$C$9,E499)),1,0))+IF(Classifiers!$D$9="",0,IF(ISNUMBER(SEARCH(Classifiers!$D$9,E499)),1,0))+IF(Classifiers!$E$9="",0,IF(ISNUMBER(SEARCH(Classifiers!$E$9,E499)),1,0))+IF(Classifiers!$F$9="",0,IF(ISNUMBER(SEARCH(Classifiers!$F$9,E499)),1,0))+IF(Classifiers!$G$9="",0,IF(ISNUMBER(SEARCH(Classifiers!$G$9,E499)),1,0)))&gt;0,1,0))</f>
        <v/>
      </c>
      <c r="O499" s="12">
        <f>IF(H499&lt;&gt;1,0,IF((IF(Classifiers!$B$10="",0,IF(ISNUMBER(SEARCH(Classifiers!$B$10,E499)),1,0))+IF(Classifiers!$C$10="",0,IF(ISNUMBER(SEARCH(Classifiers!$C$10,E499)),1,0))+IF(Classifiers!$D$10="",0,IF(ISNUMBER(SEARCH(Classifiers!$D$10,E499)),1,0))+IF(Classifiers!$E$10="",0,IF(ISNUMBER(SEARCH(Classifiers!$E$10,E499)),1,0))+IF(Classifiers!$F$10="",0,IF(ISNUMBER(SEARCH(Classifiers!$F$10,E499)),1,0))+IF(Classifiers!$G$10="",0,IF(ISNUMBER(SEARCH(Classifiers!$G$10,E499)),1,0)))&gt;0,1,0))</f>
        <v/>
      </c>
      <c r="P499" s="12">
        <f>IF(H499&lt;&gt;1,0,IF((IF(Classifiers!$B$11="",0,IF(ISNUMBER(SEARCH(Classifiers!$B$11,E499)),1,0))+IF(Classifiers!$C$11="",0,IF(ISNUMBER(SEARCH(Classifiers!$C$11,E499)),1,0))+IF(Classifiers!$D$11="",0,IF(ISNUMBER(SEARCH(Classifiers!$D$11,E499)),1,0))+IF(Classifiers!$E$11="",0,IF(ISNUMBER(SEARCH(Classifiers!$E$11,E499)),1,0))+IF(Classifiers!$F$11="",0,IF(ISNUMBER(SEARCH(Classifiers!$F$11,E499)),1,0))+IF(Classifiers!$G$11="",0,IF(ISNUMBER(SEARCH(Classifiers!$G$11,E499)),1,0)))&gt;0,1,0))</f>
        <v/>
      </c>
      <c r="Q499" s="12">
        <f>IF(H499&lt;&gt;1,0,IF((IF(Classifiers!$B$12="",0,IF(ISNUMBER(SEARCH(Classifiers!$B$12,E499)),1,0))+IF(Classifiers!$C$12="",0,IF(ISNUMBER(SEARCH(Classifiers!$C$12,E499)),1,0))+IF(Classifiers!$D$12="",0,IF(ISNUMBER(SEARCH(Classifiers!$D$12,E499)),1,0))+IF(Classifiers!$E$12="",0,IF(ISNUMBER(SEARCH(Classifiers!$E$12,E499)),1,0))+IF(Classifiers!$F$12="",0,IF(ISNUMBER(SEARCH(Classifiers!$F$12,E499)),1,0))+IF(Classifiers!$G$12="",0,IF(ISNUMBER(SEARCH(Classifiers!$G$12,E499)),1,0)))&gt;0,1,0))</f>
        <v/>
      </c>
      <c r="R499" s="12">
        <f>IF(H499&lt;&gt;1,0,IF((IF(Classifiers!$B$13="",0,IF(ISNUMBER(SEARCH(Classifiers!$B$13,E499)),1,0))+IF(Classifiers!$C$13="",0,IF(ISNUMBER(SEARCH(Classifiers!$C$13,E499)),1,0))+IF(Classifiers!$D$13="",0,IF(ISNUMBER(SEARCH(Classifiers!$D$13,E499)),1,0))+IF(Classifiers!$E$13="",0,IF(ISNUMBER(SEARCH(Classifiers!$E$13,E499)),1,0))+IF(Classifiers!$F$13="",0,IF(ISNUMBER(SEARCH(Classifiers!$F$13,E499)),1,0))+IF(Classifiers!$G$13="",0,IF(ISNUMBER(SEARCH(Classifiers!$G$13,E499)),1,0)))&gt;0,1,0))</f>
        <v/>
      </c>
      <c r="S499" s="12">
        <f>IF(H499&lt;&gt;1,0,IF((IF(Classifiers!$B$14="",0,IF(ISNUMBER(SEARCH(Classifiers!$B$14,E499)),1,0))+IF(Classifiers!$C$14="",0,IF(ISNUMBER(SEARCH(Classifiers!$C$14,E499)),1,0))+IF(Classifiers!$D$14="",0,IF(ISNUMBER(SEARCH(Classifiers!$D$14,E499)),1,0))+IF(Classifiers!$E$14="",0,IF(ISNUMBER(SEARCH(Classifiers!$E$14,E499)),1,0))+IF(Classifiers!$F$14="",0,IF(ISNUMBER(SEARCH(Classifiers!$F$14,E499)),1,0))+IF(Classifiers!$G$14="",0,IF(ISNUMBER(SEARCH(Classifiers!$G$14,E499)),1,0)))&gt;0,1,0))</f>
        <v/>
      </c>
      <c r="T499" s="12">
        <f>IF(H499&lt;&gt;1,0,IF((IF(Classifiers!$B$15="",0,IF(ISNUMBER(SEARCH(Classifiers!$B$15,E499)),1,0))+IF(Classifiers!$C$15="",0,IF(ISNUMBER(SEARCH(Classifiers!$C$15,E499)),1,0))+IF(Classifiers!$D$15="",0,IF(ISNUMBER(SEARCH(Classifiers!$D$15,E499)),1,0))+IF(Classifiers!$E$15="",0,IF(ISNUMBER(SEARCH(Classifiers!$E$15,E499)),1,0))+IF(Classifiers!$F$15="",0,IF(ISNUMBER(SEARCH(Classifiers!$F$15,E499)),1,0))+IF(Classifiers!$G$15="",0,IF(ISNUMBER(SEARCH(Classifiers!$G$15,E499)),1,0)))&gt;0,1,0))</f>
        <v/>
      </c>
      <c r="U499" s="12">
        <f>IF(H499&lt;&gt;1,0,IF((IF(Classifiers!$B$16="",0,IF(ISNUMBER(SEARCH(Classifiers!$B$16,E499)),1,0))+IF(Classifiers!$C$16="",0,IF(ISNUMBER(SEARCH(Classifiers!$C$16,E499)),1,0))+IF(Classifiers!$D$16="",0,IF(ISNUMBER(SEARCH(Classifiers!$D$16,E499)),1,0))+IF(Classifiers!$E$16="",0,IF(ISNUMBER(SEARCH(Classifiers!$E$16,E499)),1,0))+IF(Classifiers!$F$16="",0,IF(ISNUMBER(SEARCH(Classifiers!$F$16,E499)),1,0))+IF(Classifiers!$G$16="",0,IF(ISNUMBER(SEARCH(Classifiers!$G$16,E499)),1,0)))&gt;0,1,0))</f>
        <v/>
      </c>
      <c r="V499" s="12">
        <f>IF(H499&lt;&gt;1,0,IF((IF(Classifiers!$B$17="",0,IF(ISNUMBER(SEARCH(Classifiers!$B$17,E499)),1,0))+IF(Classifiers!$C$17="",0,IF(ISNUMBER(SEARCH(Classifiers!$C$17,E499)),1,0))+IF(Classifiers!$D$17="",0,IF(ISNUMBER(SEARCH(Classifiers!$D$17,E499)),1,0))+IF(Classifiers!$E$17="",0,IF(ISNUMBER(SEARCH(Classifiers!$E$17,E499)),1,0))+IF(Classifiers!$F$17="",0,IF(ISNUMBER(SEARCH(Classifiers!$F$17,E499)),1,0))+IF(Classifiers!$G$17="",0,IF(ISNUMBER(SEARCH(Classifiers!$G$17,E499)),1,0)))&gt;0,1,0))</f>
        <v/>
      </c>
      <c r="W499" s="12">
        <f>IF(H499&lt;&gt;1,0,IF((IF(Classifiers!$B$18="",0,IF(ISNUMBER(SEARCH(Classifiers!$B$18,E499)),1,0))+IF(Classifiers!$C$18="",0,IF(ISNUMBER(SEARCH(Classifiers!$C$18,E499)),1,0))+IF(Classifiers!$D$18="",0,IF(ISNUMBER(SEARCH(Classifiers!$D$18,E499)),1,0))+IF(Classifiers!$E$18="",0,IF(ISNUMBER(SEARCH(Classifiers!$E$18,E499)),1,0))+IF(Classifiers!$F$18="",0,IF(ISNUMBER(SEARCH(Classifiers!$F$18,E499)),1,0))+IF(Classifiers!$G$18="",0,IF(ISNUMBER(SEARCH(Classifiers!$G$18,E499)),1,0)))&gt;0,1,0))</f>
        <v/>
      </c>
    </row>
    <row r="500">
      <c r="A500" s="8" t="n"/>
      <c r="B500" s="11" t="n"/>
      <c r="C500" s="6">
        <f>IF(A500="","",TRIM(RIGHT(SUBSTITUTE(A500,"/",REPT(" ",250)),250)))</f>
        <v/>
      </c>
      <c r="D500" s="6">
        <f>IF(C500="","",IF(ISNUMBER(SEARCH(".",C500)),LOWER("."&amp;TRIM(RIGHT(SUBSTITUTE(C500,".",REPT(" ",250)),250))),""))</f>
        <v/>
      </c>
      <c r="E500" s="6">
        <f>IF(C500="","",TRIM(SUBSTITUTE(SUBSTITUTE(SUBSTITUTE(SUBSTITUTE(SUBSTITUTE(SUBSTITUTE(SUBSTITUTE(SUBSTITUTE(SUBSTITUTE(SUBSTITUTE(SUBSTITUTE(SUBSTITUTE(SUBSTITUTE(SUBSTITUTE(SUBSTITUTE(SUBSTITUTE(SUBSTITUTE(SUBSTITUTE(SUBSTITUTE(SUBSTITUTE(LOWER(LEFT(C500,LEN(C500)-LEN(D500))),"_"," "),"-"," "),"."," "),","," "),"("," "),")"," "),"["," "),"]"," "),"&amp;"," "),"+"," "),"@"," "),"#"," "),"!"," "),"'"," "),"/"," "),":"," "),";"," "),"="," "),"~"," "),"%"," ")))</f>
        <v/>
      </c>
      <c r="F500" s="6">
        <f>IF(C500="","",IF(COUNTIF(Classifiers!$A$23:$A$40,D500)&gt;0,1,0))</f>
        <v/>
      </c>
      <c r="G500" s="6">
        <f>IF(C500="","",IF(COUNTIF(Classifiers!$C$23:$C$30,D500)&gt;0,IF((IF(ISNUMBER(SEARCH(Classifiers!$E$23,E500)),1,0)+IF(ISNUMBER(SEARCH(Classifiers!$E$24,E500)),1,0)+IF(ISNUMBER(SEARCH(Classifiers!$E$25,E500)),1,0)+IF(ISNUMBER(SEARCH(Classifiers!$E$26,E500)),1,0)+IF(ISNUMBER(SEARCH(Classifiers!$E$27,E500)),1,0)+IF(ISNUMBER(SEARCH(Classifiers!$E$28,E500)),1,0)+IF(ISNUMBER(SEARCH(Classifiers!$E$29,E500)),1,0)+IF(ISNUMBER(SEARCH(Classifiers!$E$30,E500)),1,0))&gt;0,1,0),0))</f>
        <v/>
      </c>
      <c r="H500" s="6">
        <f>IF(C500="","",IF(OR(LEFT(C500,1)=".",AND(F500=0,G500=0)),0,1))</f>
        <v/>
      </c>
      <c r="I500" s="6">
        <f>IF(H500&lt;&gt;1,"",IF(SUM(J500:W500)=0,"unclassified",INDEX(Classifiers!$A$5:$A$18,MATCH(1,J500:W500,0),1)))</f>
        <v/>
      </c>
      <c r="J500" s="12">
        <f>IF(H500&lt;&gt;1,0,IF((IF(Classifiers!$B$5="",0,IF(ISNUMBER(SEARCH(Classifiers!$B$5,E500)),1,0))+IF(Classifiers!$C$5="",0,IF(ISNUMBER(SEARCH(Classifiers!$C$5,E500)),1,0))+IF(Classifiers!$D$5="",0,IF(ISNUMBER(SEARCH(Classifiers!$D$5,E500)),1,0))+IF(Classifiers!$E$5="",0,IF(ISNUMBER(SEARCH(Classifiers!$E$5,E500)),1,0))+IF(Classifiers!$F$5="",0,IF(ISNUMBER(SEARCH(Classifiers!$F$5,E500)),1,0))+IF(Classifiers!$G$5="",0,IF(ISNUMBER(SEARCH(Classifiers!$G$5,E500)),1,0)))&gt;0,1,0))</f>
        <v/>
      </c>
      <c r="K500" s="12">
        <f>IF(H500&lt;&gt;1,0,IF((IF(Classifiers!$B$6="",0,IF(ISNUMBER(SEARCH(Classifiers!$B$6,E500)),1,0))+IF(Classifiers!$C$6="",0,IF(ISNUMBER(SEARCH(Classifiers!$C$6,E500)),1,0))+IF(Classifiers!$D$6="",0,IF(ISNUMBER(SEARCH(Classifiers!$D$6,E500)),1,0))+IF(Classifiers!$E$6="",0,IF(ISNUMBER(SEARCH(Classifiers!$E$6,E500)),1,0))+IF(Classifiers!$F$6="",0,IF(ISNUMBER(SEARCH(Classifiers!$F$6,E500)),1,0))+IF(Classifiers!$G$6="",0,IF(ISNUMBER(SEARCH(Classifiers!$G$6,E500)),1,0)))&gt;0,1,0))</f>
        <v/>
      </c>
      <c r="L500" s="12">
        <f>IF(H500&lt;&gt;1,0,IF((IF(Classifiers!$B$7="",0,IF(ISNUMBER(SEARCH(Classifiers!$B$7,E500)),1,0))+IF(Classifiers!$C$7="",0,IF(ISNUMBER(SEARCH(Classifiers!$C$7,E500)),1,0))+IF(Classifiers!$D$7="",0,IF(ISNUMBER(SEARCH(Classifiers!$D$7,E500)),1,0))+IF(Classifiers!$E$7="",0,IF(ISNUMBER(SEARCH(Classifiers!$E$7,E500)),1,0))+IF(Classifiers!$F$7="",0,IF(ISNUMBER(SEARCH(Classifiers!$F$7,E500)),1,0))+IF(Classifiers!$G$7="",0,IF(ISNUMBER(SEARCH(Classifiers!$G$7,E500)),1,0)))&gt;0,1,0))</f>
        <v/>
      </c>
      <c r="M500" s="12">
        <f>IF(H500&lt;&gt;1,0,IF((IF(Classifiers!$B$8="",0,IF(ISNUMBER(SEARCH(Classifiers!$B$8,E500)),1,0))+IF(Classifiers!$C$8="",0,IF(ISNUMBER(SEARCH(Classifiers!$C$8,E500)),1,0))+IF(Classifiers!$D$8="",0,IF(ISNUMBER(SEARCH(Classifiers!$D$8,E500)),1,0))+IF(Classifiers!$E$8="",0,IF(ISNUMBER(SEARCH(Classifiers!$E$8,E500)),1,0))+IF(Classifiers!$F$8="",0,IF(ISNUMBER(SEARCH(Classifiers!$F$8,E500)),1,0))+IF(Classifiers!$G$8="",0,IF(ISNUMBER(SEARCH(Classifiers!$G$8,E500)),1,0)))&gt;0,1,0))</f>
        <v/>
      </c>
      <c r="N500" s="12">
        <f>IF(H500&lt;&gt;1,0,IF((IF(Classifiers!$B$9="",0,IF(ISNUMBER(SEARCH(Classifiers!$B$9,E500)),1,0))+IF(Classifiers!$C$9="",0,IF(ISNUMBER(SEARCH(Classifiers!$C$9,E500)),1,0))+IF(Classifiers!$D$9="",0,IF(ISNUMBER(SEARCH(Classifiers!$D$9,E500)),1,0))+IF(Classifiers!$E$9="",0,IF(ISNUMBER(SEARCH(Classifiers!$E$9,E500)),1,0))+IF(Classifiers!$F$9="",0,IF(ISNUMBER(SEARCH(Classifiers!$F$9,E500)),1,0))+IF(Classifiers!$G$9="",0,IF(ISNUMBER(SEARCH(Classifiers!$G$9,E500)),1,0)))&gt;0,1,0))</f>
        <v/>
      </c>
      <c r="O500" s="12">
        <f>IF(H500&lt;&gt;1,0,IF((IF(Classifiers!$B$10="",0,IF(ISNUMBER(SEARCH(Classifiers!$B$10,E500)),1,0))+IF(Classifiers!$C$10="",0,IF(ISNUMBER(SEARCH(Classifiers!$C$10,E500)),1,0))+IF(Classifiers!$D$10="",0,IF(ISNUMBER(SEARCH(Classifiers!$D$10,E500)),1,0))+IF(Classifiers!$E$10="",0,IF(ISNUMBER(SEARCH(Classifiers!$E$10,E500)),1,0))+IF(Classifiers!$F$10="",0,IF(ISNUMBER(SEARCH(Classifiers!$F$10,E500)),1,0))+IF(Classifiers!$G$10="",0,IF(ISNUMBER(SEARCH(Classifiers!$G$10,E500)),1,0)))&gt;0,1,0))</f>
        <v/>
      </c>
      <c r="P500" s="12">
        <f>IF(H500&lt;&gt;1,0,IF((IF(Classifiers!$B$11="",0,IF(ISNUMBER(SEARCH(Classifiers!$B$11,E500)),1,0))+IF(Classifiers!$C$11="",0,IF(ISNUMBER(SEARCH(Classifiers!$C$11,E500)),1,0))+IF(Classifiers!$D$11="",0,IF(ISNUMBER(SEARCH(Classifiers!$D$11,E500)),1,0))+IF(Classifiers!$E$11="",0,IF(ISNUMBER(SEARCH(Classifiers!$E$11,E500)),1,0))+IF(Classifiers!$F$11="",0,IF(ISNUMBER(SEARCH(Classifiers!$F$11,E500)),1,0))+IF(Classifiers!$G$11="",0,IF(ISNUMBER(SEARCH(Classifiers!$G$11,E500)),1,0)))&gt;0,1,0))</f>
        <v/>
      </c>
      <c r="Q500" s="12">
        <f>IF(H500&lt;&gt;1,0,IF((IF(Classifiers!$B$12="",0,IF(ISNUMBER(SEARCH(Classifiers!$B$12,E500)),1,0))+IF(Classifiers!$C$12="",0,IF(ISNUMBER(SEARCH(Classifiers!$C$12,E500)),1,0))+IF(Classifiers!$D$12="",0,IF(ISNUMBER(SEARCH(Classifiers!$D$12,E500)),1,0))+IF(Classifiers!$E$12="",0,IF(ISNUMBER(SEARCH(Classifiers!$E$12,E500)),1,0))+IF(Classifiers!$F$12="",0,IF(ISNUMBER(SEARCH(Classifiers!$F$12,E500)),1,0))+IF(Classifiers!$G$12="",0,IF(ISNUMBER(SEARCH(Classifiers!$G$12,E500)),1,0)))&gt;0,1,0))</f>
        <v/>
      </c>
      <c r="R500" s="12">
        <f>IF(H500&lt;&gt;1,0,IF((IF(Classifiers!$B$13="",0,IF(ISNUMBER(SEARCH(Classifiers!$B$13,E500)),1,0))+IF(Classifiers!$C$13="",0,IF(ISNUMBER(SEARCH(Classifiers!$C$13,E500)),1,0))+IF(Classifiers!$D$13="",0,IF(ISNUMBER(SEARCH(Classifiers!$D$13,E500)),1,0))+IF(Classifiers!$E$13="",0,IF(ISNUMBER(SEARCH(Classifiers!$E$13,E500)),1,0))+IF(Classifiers!$F$13="",0,IF(ISNUMBER(SEARCH(Classifiers!$F$13,E500)),1,0))+IF(Classifiers!$G$13="",0,IF(ISNUMBER(SEARCH(Classifiers!$G$13,E500)),1,0)))&gt;0,1,0))</f>
        <v/>
      </c>
      <c r="S500" s="12">
        <f>IF(H500&lt;&gt;1,0,IF((IF(Classifiers!$B$14="",0,IF(ISNUMBER(SEARCH(Classifiers!$B$14,E500)),1,0))+IF(Classifiers!$C$14="",0,IF(ISNUMBER(SEARCH(Classifiers!$C$14,E500)),1,0))+IF(Classifiers!$D$14="",0,IF(ISNUMBER(SEARCH(Classifiers!$D$14,E500)),1,0))+IF(Classifiers!$E$14="",0,IF(ISNUMBER(SEARCH(Classifiers!$E$14,E500)),1,0))+IF(Classifiers!$F$14="",0,IF(ISNUMBER(SEARCH(Classifiers!$F$14,E500)),1,0))+IF(Classifiers!$G$14="",0,IF(ISNUMBER(SEARCH(Classifiers!$G$14,E500)),1,0)))&gt;0,1,0))</f>
        <v/>
      </c>
      <c r="T500" s="12">
        <f>IF(H500&lt;&gt;1,0,IF((IF(Classifiers!$B$15="",0,IF(ISNUMBER(SEARCH(Classifiers!$B$15,E500)),1,0))+IF(Classifiers!$C$15="",0,IF(ISNUMBER(SEARCH(Classifiers!$C$15,E500)),1,0))+IF(Classifiers!$D$15="",0,IF(ISNUMBER(SEARCH(Classifiers!$D$15,E500)),1,0))+IF(Classifiers!$E$15="",0,IF(ISNUMBER(SEARCH(Classifiers!$E$15,E500)),1,0))+IF(Classifiers!$F$15="",0,IF(ISNUMBER(SEARCH(Classifiers!$F$15,E500)),1,0))+IF(Classifiers!$G$15="",0,IF(ISNUMBER(SEARCH(Classifiers!$G$15,E500)),1,0)))&gt;0,1,0))</f>
        <v/>
      </c>
      <c r="U500" s="12">
        <f>IF(H500&lt;&gt;1,0,IF((IF(Classifiers!$B$16="",0,IF(ISNUMBER(SEARCH(Classifiers!$B$16,E500)),1,0))+IF(Classifiers!$C$16="",0,IF(ISNUMBER(SEARCH(Classifiers!$C$16,E500)),1,0))+IF(Classifiers!$D$16="",0,IF(ISNUMBER(SEARCH(Classifiers!$D$16,E500)),1,0))+IF(Classifiers!$E$16="",0,IF(ISNUMBER(SEARCH(Classifiers!$E$16,E500)),1,0))+IF(Classifiers!$F$16="",0,IF(ISNUMBER(SEARCH(Classifiers!$F$16,E500)),1,0))+IF(Classifiers!$G$16="",0,IF(ISNUMBER(SEARCH(Classifiers!$G$16,E500)),1,0)))&gt;0,1,0))</f>
        <v/>
      </c>
      <c r="V500" s="12">
        <f>IF(H500&lt;&gt;1,0,IF((IF(Classifiers!$B$17="",0,IF(ISNUMBER(SEARCH(Classifiers!$B$17,E500)),1,0))+IF(Classifiers!$C$17="",0,IF(ISNUMBER(SEARCH(Classifiers!$C$17,E500)),1,0))+IF(Classifiers!$D$17="",0,IF(ISNUMBER(SEARCH(Classifiers!$D$17,E500)),1,0))+IF(Classifiers!$E$17="",0,IF(ISNUMBER(SEARCH(Classifiers!$E$17,E500)),1,0))+IF(Classifiers!$F$17="",0,IF(ISNUMBER(SEARCH(Classifiers!$F$17,E500)),1,0))+IF(Classifiers!$G$17="",0,IF(ISNUMBER(SEARCH(Classifiers!$G$17,E500)),1,0)))&gt;0,1,0))</f>
        <v/>
      </c>
      <c r="W500" s="12">
        <f>IF(H500&lt;&gt;1,0,IF((IF(Classifiers!$B$18="",0,IF(ISNUMBER(SEARCH(Classifiers!$B$18,E500)),1,0))+IF(Classifiers!$C$18="",0,IF(ISNUMBER(SEARCH(Classifiers!$C$18,E500)),1,0))+IF(Classifiers!$D$18="",0,IF(ISNUMBER(SEARCH(Classifiers!$D$18,E500)),1,0))+IF(Classifiers!$E$18="",0,IF(ISNUMBER(SEARCH(Classifiers!$E$18,E500)),1,0))+IF(Classifiers!$F$18="",0,IF(ISNUMBER(SEARCH(Classifiers!$F$18,E500)),1,0))+IF(Classifiers!$G$18="",0,IF(ISNUMBER(SEARCH(Classifiers!$G$18,E500)),1,0)))&gt;0,1,0))</f>
        <v/>
      </c>
    </row>
    <row r="501">
      <c r="A501" s="8" t="n"/>
      <c r="B501" s="11" t="n"/>
      <c r="C501" s="6">
        <f>IF(A501="","",TRIM(RIGHT(SUBSTITUTE(A501,"/",REPT(" ",250)),250)))</f>
        <v/>
      </c>
      <c r="D501" s="6">
        <f>IF(C501="","",IF(ISNUMBER(SEARCH(".",C501)),LOWER("."&amp;TRIM(RIGHT(SUBSTITUTE(C501,".",REPT(" ",250)),250))),""))</f>
        <v/>
      </c>
      <c r="E501" s="6">
        <f>IF(C501="","",TRIM(SUBSTITUTE(SUBSTITUTE(SUBSTITUTE(SUBSTITUTE(SUBSTITUTE(SUBSTITUTE(SUBSTITUTE(SUBSTITUTE(SUBSTITUTE(SUBSTITUTE(SUBSTITUTE(SUBSTITUTE(SUBSTITUTE(SUBSTITUTE(SUBSTITUTE(SUBSTITUTE(SUBSTITUTE(SUBSTITUTE(SUBSTITUTE(SUBSTITUTE(LOWER(LEFT(C501,LEN(C501)-LEN(D501))),"_"," "),"-"," "),"."," "),","," "),"("," "),")"," "),"["," "),"]"," "),"&amp;"," "),"+"," "),"@"," "),"#"," "),"!"," "),"'"," "),"/"," "),":"," "),";"," "),"="," "),"~"," "),"%"," ")))</f>
        <v/>
      </c>
      <c r="F501" s="6">
        <f>IF(C501="","",IF(COUNTIF(Classifiers!$A$23:$A$40,D501)&gt;0,1,0))</f>
        <v/>
      </c>
      <c r="G501" s="6">
        <f>IF(C501="","",IF(COUNTIF(Classifiers!$C$23:$C$30,D501)&gt;0,IF((IF(ISNUMBER(SEARCH(Classifiers!$E$23,E501)),1,0)+IF(ISNUMBER(SEARCH(Classifiers!$E$24,E501)),1,0)+IF(ISNUMBER(SEARCH(Classifiers!$E$25,E501)),1,0)+IF(ISNUMBER(SEARCH(Classifiers!$E$26,E501)),1,0)+IF(ISNUMBER(SEARCH(Classifiers!$E$27,E501)),1,0)+IF(ISNUMBER(SEARCH(Classifiers!$E$28,E501)),1,0)+IF(ISNUMBER(SEARCH(Classifiers!$E$29,E501)),1,0)+IF(ISNUMBER(SEARCH(Classifiers!$E$30,E501)),1,0))&gt;0,1,0),0))</f>
        <v/>
      </c>
      <c r="H501" s="6">
        <f>IF(C501="","",IF(OR(LEFT(C501,1)=".",AND(F501=0,G501=0)),0,1))</f>
        <v/>
      </c>
      <c r="I501" s="6">
        <f>IF(H501&lt;&gt;1,"",IF(SUM(J501:W501)=0,"unclassified",INDEX(Classifiers!$A$5:$A$18,MATCH(1,J501:W501,0),1)))</f>
        <v/>
      </c>
      <c r="J501" s="12">
        <f>IF(H501&lt;&gt;1,0,IF((IF(Classifiers!$B$5="",0,IF(ISNUMBER(SEARCH(Classifiers!$B$5,E501)),1,0))+IF(Classifiers!$C$5="",0,IF(ISNUMBER(SEARCH(Classifiers!$C$5,E501)),1,0))+IF(Classifiers!$D$5="",0,IF(ISNUMBER(SEARCH(Classifiers!$D$5,E501)),1,0))+IF(Classifiers!$E$5="",0,IF(ISNUMBER(SEARCH(Classifiers!$E$5,E501)),1,0))+IF(Classifiers!$F$5="",0,IF(ISNUMBER(SEARCH(Classifiers!$F$5,E501)),1,0))+IF(Classifiers!$G$5="",0,IF(ISNUMBER(SEARCH(Classifiers!$G$5,E501)),1,0)))&gt;0,1,0))</f>
        <v/>
      </c>
      <c r="K501" s="12">
        <f>IF(H501&lt;&gt;1,0,IF((IF(Classifiers!$B$6="",0,IF(ISNUMBER(SEARCH(Classifiers!$B$6,E501)),1,0))+IF(Classifiers!$C$6="",0,IF(ISNUMBER(SEARCH(Classifiers!$C$6,E501)),1,0))+IF(Classifiers!$D$6="",0,IF(ISNUMBER(SEARCH(Classifiers!$D$6,E501)),1,0))+IF(Classifiers!$E$6="",0,IF(ISNUMBER(SEARCH(Classifiers!$E$6,E501)),1,0))+IF(Classifiers!$F$6="",0,IF(ISNUMBER(SEARCH(Classifiers!$F$6,E501)),1,0))+IF(Classifiers!$G$6="",0,IF(ISNUMBER(SEARCH(Classifiers!$G$6,E501)),1,0)))&gt;0,1,0))</f>
        <v/>
      </c>
      <c r="L501" s="12">
        <f>IF(H501&lt;&gt;1,0,IF((IF(Classifiers!$B$7="",0,IF(ISNUMBER(SEARCH(Classifiers!$B$7,E501)),1,0))+IF(Classifiers!$C$7="",0,IF(ISNUMBER(SEARCH(Classifiers!$C$7,E501)),1,0))+IF(Classifiers!$D$7="",0,IF(ISNUMBER(SEARCH(Classifiers!$D$7,E501)),1,0))+IF(Classifiers!$E$7="",0,IF(ISNUMBER(SEARCH(Classifiers!$E$7,E501)),1,0))+IF(Classifiers!$F$7="",0,IF(ISNUMBER(SEARCH(Classifiers!$F$7,E501)),1,0))+IF(Classifiers!$G$7="",0,IF(ISNUMBER(SEARCH(Classifiers!$G$7,E501)),1,0)))&gt;0,1,0))</f>
        <v/>
      </c>
      <c r="M501" s="12">
        <f>IF(H501&lt;&gt;1,0,IF((IF(Classifiers!$B$8="",0,IF(ISNUMBER(SEARCH(Classifiers!$B$8,E501)),1,0))+IF(Classifiers!$C$8="",0,IF(ISNUMBER(SEARCH(Classifiers!$C$8,E501)),1,0))+IF(Classifiers!$D$8="",0,IF(ISNUMBER(SEARCH(Classifiers!$D$8,E501)),1,0))+IF(Classifiers!$E$8="",0,IF(ISNUMBER(SEARCH(Classifiers!$E$8,E501)),1,0))+IF(Classifiers!$F$8="",0,IF(ISNUMBER(SEARCH(Classifiers!$F$8,E501)),1,0))+IF(Classifiers!$G$8="",0,IF(ISNUMBER(SEARCH(Classifiers!$G$8,E501)),1,0)))&gt;0,1,0))</f>
        <v/>
      </c>
      <c r="N501" s="12">
        <f>IF(H501&lt;&gt;1,0,IF((IF(Classifiers!$B$9="",0,IF(ISNUMBER(SEARCH(Classifiers!$B$9,E501)),1,0))+IF(Classifiers!$C$9="",0,IF(ISNUMBER(SEARCH(Classifiers!$C$9,E501)),1,0))+IF(Classifiers!$D$9="",0,IF(ISNUMBER(SEARCH(Classifiers!$D$9,E501)),1,0))+IF(Classifiers!$E$9="",0,IF(ISNUMBER(SEARCH(Classifiers!$E$9,E501)),1,0))+IF(Classifiers!$F$9="",0,IF(ISNUMBER(SEARCH(Classifiers!$F$9,E501)),1,0))+IF(Classifiers!$G$9="",0,IF(ISNUMBER(SEARCH(Classifiers!$G$9,E501)),1,0)))&gt;0,1,0))</f>
        <v/>
      </c>
      <c r="O501" s="12">
        <f>IF(H501&lt;&gt;1,0,IF((IF(Classifiers!$B$10="",0,IF(ISNUMBER(SEARCH(Classifiers!$B$10,E501)),1,0))+IF(Classifiers!$C$10="",0,IF(ISNUMBER(SEARCH(Classifiers!$C$10,E501)),1,0))+IF(Classifiers!$D$10="",0,IF(ISNUMBER(SEARCH(Classifiers!$D$10,E501)),1,0))+IF(Classifiers!$E$10="",0,IF(ISNUMBER(SEARCH(Classifiers!$E$10,E501)),1,0))+IF(Classifiers!$F$10="",0,IF(ISNUMBER(SEARCH(Classifiers!$F$10,E501)),1,0))+IF(Classifiers!$G$10="",0,IF(ISNUMBER(SEARCH(Classifiers!$G$10,E501)),1,0)))&gt;0,1,0))</f>
        <v/>
      </c>
      <c r="P501" s="12">
        <f>IF(H501&lt;&gt;1,0,IF((IF(Classifiers!$B$11="",0,IF(ISNUMBER(SEARCH(Classifiers!$B$11,E501)),1,0))+IF(Classifiers!$C$11="",0,IF(ISNUMBER(SEARCH(Classifiers!$C$11,E501)),1,0))+IF(Classifiers!$D$11="",0,IF(ISNUMBER(SEARCH(Classifiers!$D$11,E501)),1,0))+IF(Classifiers!$E$11="",0,IF(ISNUMBER(SEARCH(Classifiers!$E$11,E501)),1,0))+IF(Classifiers!$F$11="",0,IF(ISNUMBER(SEARCH(Classifiers!$F$11,E501)),1,0))+IF(Classifiers!$G$11="",0,IF(ISNUMBER(SEARCH(Classifiers!$G$11,E501)),1,0)))&gt;0,1,0))</f>
        <v/>
      </c>
      <c r="Q501" s="12">
        <f>IF(H501&lt;&gt;1,0,IF((IF(Classifiers!$B$12="",0,IF(ISNUMBER(SEARCH(Classifiers!$B$12,E501)),1,0))+IF(Classifiers!$C$12="",0,IF(ISNUMBER(SEARCH(Classifiers!$C$12,E501)),1,0))+IF(Classifiers!$D$12="",0,IF(ISNUMBER(SEARCH(Classifiers!$D$12,E501)),1,0))+IF(Classifiers!$E$12="",0,IF(ISNUMBER(SEARCH(Classifiers!$E$12,E501)),1,0))+IF(Classifiers!$F$12="",0,IF(ISNUMBER(SEARCH(Classifiers!$F$12,E501)),1,0))+IF(Classifiers!$G$12="",0,IF(ISNUMBER(SEARCH(Classifiers!$G$12,E501)),1,0)))&gt;0,1,0))</f>
        <v/>
      </c>
      <c r="R501" s="12">
        <f>IF(H501&lt;&gt;1,0,IF((IF(Classifiers!$B$13="",0,IF(ISNUMBER(SEARCH(Classifiers!$B$13,E501)),1,0))+IF(Classifiers!$C$13="",0,IF(ISNUMBER(SEARCH(Classifiers!$C$13,E501)),1,0))+IF(Classifiers!$D$13="",0,IF(ISNUMBER(SEARCH(Classifiers!$D$13,E501)),1,0))+IF(Classifiers!$E$13="",0,IF(ISNUMBER(SEARCH(Classifiers!$E$13,E501)),1,0))+IF(Classifiers!$F$13="",0,IF(ISNUMBER(SEARCH(Classifiers!$F$13,E501)),1,0))+IF(Classifiers!$G$13="",0,IF(ISNUMBER(SEARCH(Classifiers!$G$13,E501)),1,0)))&gt;0,1,0))</f>
        <v/>
      </c>
      <c r="S501" s="12">
        <f>IF(H501&lt;&gt;1,0,IF((IF(Classifiers!$B$14="",0,IF(ISNUMBER(SEARCH(Classifiers!$B$14,E501)),1,0))+IF(Classifiers!$C$14="",0,IF(ISNUMBER(SEARCH(Classifiers!$C$14,E501)),1,0))+IF(Classifiers!$D$14="",0,IF(ISNUMBER(SEARCH(Classifiers!$D$14,E501)),1,0))+IF(Classifiers!$E$14="",0,IF(ISNUMBER(SEARCH(Classifiers!$E$14,E501)),1,0))+IF(Classifiers!$F$14="",0,IF(ISNUMBER(SEARCH(Classifiers!$F$14,E501)),1,0))+IF(Classifiers!$G$14="",0,IF(ISNUMBER(SEARCH(Classifiers!$G$14,E501)),1,0)))&gt;0,1,0))</f>
        <v/>
      </c>
      <c r="T501" s="12">
        <f>IF(H501&lt;&gt;1,0,IF((IF(Classifiers!$B$15="",0,IF(ISNUMBER(SEARCH(Classifiers!$B$15,E501)),1,0))+IF(Classifiers!$C$15="",0,IF(ISNUMBER(SEARCH(Classifiers!$C$15,E501)),1,0))+IF(Classifiers!$D$15="",0,IF(ISNUMBER(SEARCH(Classifiers!$D$15,E501)),1,0))+IF(Classifiers!$E$15="",0,IF(ISNUMBER(SEARCH(Classifiers!$E$15,E501)),1,0))+IF(Classifiers!$F$15="",0,IF(ISNUMBER(SEARCH(Classifiers!$F$15,E501)),1,0))+IF(Classifiers!$G$15="",0,IF(ISNUMBER(SEARCH(Classifiers!$G$15,E501)),1,0)))&gt;0,1,0))</f>
        <v/>
      </c>
      <c r="U501" s="12">
        <f>IF(H501&lt;&gt;1,0,IF((IF(Classifiers!$B$16="",0,IF(ISNUMBER(SEARCH(Classifiers!$B$16,E501)),1,0))+IF(Classifiers!$C$16="",0,IF(ISNUMBER(SEARCH(Classifiers!$C$16,E501)),1,0))+IF(Classifiers!$D$16="",0,IF(ISNUMBER(SEARCH(Classifiers!$D$16,E501)),1,0))+IF(Classifiers!$E$16="",0,IF(ISNUMBER(SEARCH(Classifiers!$E$16,E501)),1,0))+IF(Classifiers!$F$16="",0,IF(ISNUMBER(SEARCH(Classifiers!$F$16,E501)),1,0))+IF(Classifiers!$G$16="",0,IF(ISNUMBER(SEARCH(Classifiers!$G$16,E501)),1,0)))&gt;0,1,0))</f>
        <v/>
      </c>
      <c r="V501" s="12">
        <f>IF(H501&lt;&gt;1,0,IF((IF(Classifiers!$B$17="",0,IF(ISNUMBER(SEARCH(Classifiers!$B$17,E501)),1,0))+IF(Classifiers!$C$17="",0,IF(ISNUMBER(SEARCH(Classifiers!$C$17,E501)),1,0))+IF(Classifiers!$D$17="",0,IF(ISNUMBER(SEARCH(Classifiers!$D$17,E501)),1,0))+IF(Classifiers!$E$17="",0,IF(ISNUMBER(SEARCH(Classifiers!$E$17,E501)),1,0))+IF(Classifiers!$F$17="",0,IF(ISNUMBER(SEARCH(Classifiers!$F$17,E501)),1,0))+IF(Classifiers!$G$17="",0,IF(ISNUMBER(SEARCH(Classifiers!$G$17,E501)),1,0)))&gt;0,1,0))</f>
        <v/>
      </c>
      <c r="W501" s="12">
        <f>IF(H501&lt;&gt;1,0,IF((IF(Classifiers!$B$18="",0,IF(ISNUMBER(SEARCH(Classifiers!$B$18,E501)),1,0))+IF(Classifiers!$C$18="",0,IF(ISNUMBER(SEARCH(Classifiers!$C$18,E501)),1,0))+IF(Classifiers!$D$18="",0,IF(ISNUMBER(SEARCH(Classifiers!$D$18,E501)),1,0))+IF(Classifiers!$E$18="",0,IF(ISNUMBER(SEARCH(Classifiers!$E$18,E501)),1,0))+IF(Classifiers!$F$18="",0,IF(ISNUMBER(SEARCH(Classifiers!$F$18,E501)),1,0))+IF(Classifiers!$G$18="",0,IF(ISNUMBER(SEARCH(Classifiers!$G$18,E501)),1,0)))&gt;0,1,0))</f>
        <v/>
      </c>
    </row>
    <row r="502">
      <c r="A502" s="8" t="n"/>
      <c r="B502" s="11" t="n"/>
      <c r="C502" s="6">
        <f>IF(A502="","",TRIM(RIGHT(SUBSTITUTE(A502,"/",REPT(" ",250)),250)))</f>
        <v/>
      </c>
      <c r="D502" s="6">
        <f>IF(C502="","",IF(ISNUMBER(SEARCH(".",C502)),LOWER("."&amp;TRIM(RIGHT(SUBSTITUTE(C502,".",REPT(" ",250)),250))),""))</f>
        <v/>
      </c>
      <c r="E502" s="6">
        <f>IF(C502="","",TRIM(SUBSTITUTE(SUBSTITUTE(SUBSTITUTE(SUBSTITUTE(SUBSTITUTE(SUBSTITUTE(SUBSTITUTE(SUBSTITUTE(SUBSTITUTE(SUBSTITUTE(SUBSTITUTE(SUBSTITUTE(SUBSTITUTE(SUBSTITUTE(SUBSTITUTE(SUBSTITUTE(SUBSTITUTE(SUBSTITUTE(SUBSTITUTE(SUBSTITUTE(LOWER(LEFT(C502,LEN(C502)-LEN(D502))),"_"," "),"-"," "),"."," "),","," "),"("," "),")"," "),"["," "),"]"," "),"&amp;"," "),"+"," "),"@"," "),"#"," "),"!"," "),"'"," "),"/"," "),":"," "),";"," "),"="," "),"~"," "),"%"," ")))</f>
        <v/>
      </c>
      <c r="F502" s="6">
        <f>IF(C502="","",IF(COUNTIF(Classifiers!$A$23:$A$40,D502)&gt;0,1,0))</f>
        <v/>
      </c>
      <c r="G502" s="6">
        <f>IF(C502="","",IF(COUNTIF(Classifiers!$C$23:$C$30,D502)&gt;0,IF((IF(ISNUMBER(SEARCH(Classifiers!$E$23,E502)),1,0)+IF(ISNUMBER(SEARCH(Classifiers!$E$24,E502)),1,0)+IF(ISNUMBER(SEARCH(Classifiers!$E$25,E502)),1,0)+IF(ISNUMBER(SEARCH(Classifiers!$E$26,E502)),1,0)+IF(ISNUMBER(SEARCH(Classifiers!$E$27,E502)),1,0)+IF(ISNUMBER(SEARCH(Classifiers!$E$28,E502)),1,0)+IF(ISNUMBER(SEARCH(Classifiers!$E$29,E502)),1,0)+IF(ISNUMBER(SEARCH(Classifiers!$E$30,E502)),1,0))&gt;0,1,0),0))</f>
        <v/>
      </c>
      <c r="H502" s="6">
        <f>IF(C502="","",IF(OR(LEFT(C502,1)=".",AND(F502=0,G502=0)),0,1))</f>
        <v/>
      </c>
      <c r="I502" s="6">
        <f>IF(H502&lt;&gt;1,"",IF(SUM(J502:W502)=0,"unclassified",INDEX(Classifiers!$A$5:$A$18,MATCH(1,J502:W502,0),1)))</f>
        <v/>
      </c>
      <c r="J502" s="12">
        <f>IF(H502&lt;&gt;1,0,IF((IF(Classifiers!$B$5="",0,IF(ISNUMBER(SEARCH(Classifiers!$B$5,E502)),1,0))+IF(Classifiers!$C$5="",0,IF(ISNUMBER(SEARCH(Classifiers!$C$5,E502)),1,0))+IF(Classifiers!$D$5="",0,IF(ISNUMBER(SEARCH(Classifiers!$D$5,E502)),1,0))+IF(Classifiers!$E$5="",0,IF(ISNUMBER(SEARCH(Classifiers!$E$5,E502)),1,0))+IF(Classifiers!$F$5="",0,IF(ISNUMBER(SEARCH(Classifiers!$F$5,E502)),1,0))+IF(Classifiers!$G$5="",0,IF(ISNUMBER(SEARCH(Classifiers!$G$5,E502)),1,0)))&gt;0,1,0))</f>
        <v/>
      </c>
      <c r="K502" s="12">
        <f>IF(H502&lt;&gt;1,0,IF((IF(Classifiers!$B$6="",0,IF(ISNUMBER(SEARCH(Classifiers!$B$6,E502)),1,0))+IF(Classifiers!$C$6="",0,IF(ISNUMBER(SEARCH(Classifiers!$C$6,E502)),1,0))+IF(Classifiers!$D$6="",0,IF(ISNUMBER(SEARCH(Classifiers!$D$6,E502)),1,0))+IF(Classifiers!$E$6="",0,IF(ISNUMBER(SEARCH(Classifiers!$E$6,E502)),1,0))+IF(Classifiers!$F$6="",0,IF(ISNUMBER(SEARCH(Classifiers!$F$6,E502)),1,0))+IF(Classifiers!$G$6="",0,IF(ISNUMBER(SEARCH(Classifiers!$G$6,E502)),1,0)))&gt;0,1,0))</f>
        <v/>
      </c>
      <c r="L502" s="12">
        <f>IF(H502&lt;&gt;1,0,IF((IF(Classifiers!$B$7="",0,IF(ISNUMBER(SEARCH(Classifiers!$B$7,E502)),1,0))+IF(Classifiers!$C$7="",0,IF(ISNUMBER(SEARCH(Classifiers!$C$7,E502)),1,0))+IF(Classifiers!$D$7="",0,IF(ISNUMBER(SEARCH(Classifiers!$D$7,E502)),1,0))+IF(Classifiers!$E$7="",0,IF(ISNUMBER(SEARCH(Classifiers!$E$7,E502)),1,0))+IF(Classifiers!$F$7="",0,IF(ISNUMBER(SEARCH(Classifiers!$F$7,E502)),1,0))+IF(Classifiers!$G$7="",0,IF(ISNUMBER(SEARCH(Classifiers!$G$7,E502)),1,0)))&gt;0,1,0))</f>
        <v/>
      </c>
      <c r="M502" s="12">
        <f>IF(H502&lt;&gt;1,0,IF((IF(Classifiers!$B$8="",0,IF(ISNUMBER(SEARCH(Classifiers!$B$8,E502)),1,0))+IF(Classifiers!$C$8="",0,IF(ISNUMBER(SEARCH(Classifiers!$C$8,E502)),1,0))+IF(Classifiers!$D$8="",0,IF(ISNUMBER(SEARCH(Classifiers!$D$8,E502)),1,0))+IF(Classifiers!$E$8="",0,IF(ISNUMBER(SEARCH(Classifiers!$E$8,E502)),1,0))+IF(Classifiers!$F$8="",0,IF(ISNUMBER(SEARCH(Classifiers!$F$8,E502)),1,0))+IF(Classifiers!$G$8="",0,IF(ISNUMBER(SEARCH(Classifiers!$G$8,E502)),1,0)))&gt;0,1,0))</f>
        <v/>
      </c>
      <c r="N502" s="12">
        <f>IF(H502&lt;&gt;1,0,IF((IF(Classifiers!$B$9="",0,IF(ISNUMBER(SEARCH(Classifiers!$B$9,E502)),1,0))+IF(Classifiers!$C$9="",0,IF(ISNUMBER(SEARCH(Classifiers!$C$9,E502)),1,0))+IF(Classifiers!$D$9="",0,IF(ISNUMBER(SEARCH(Classifiers!$D$9,E502)),1,0))+IF(Classifiers!$E$9="",0,IF(ISNUMBER(SEARCH(Classifiers!$E$9,E502)),1,0))+IF(Classifiers!$F$9="",0,IF(ISNUMBER(SEARCH(Classifiers!$F$9,E502)),1,0))+IF(Classifiers!$G$9="",0,IF(ISNUMBER(SEARCH(Classifiers!$G$9,E502)),1,0)))&gt;0,1,0))</f>
        <v/>
      </c>
      <c r="O502" s="12">
        <f>IF(H502&lt;&gt;1,0,IF((IF(Classifiers!$B$10="",0,IF(ISNUMBER(SEARCH(Classifiers!$B$10,E502)),1,0))+IF(Classifiers!$C$10="",0,IF(ISNUMBER(SEARCH(Classifiers!$C$10,E502)),1,0))+IF(Classifiers!$D$10="",0,IF(ISNUMBER(SEARCH(Classifiers!$D$10,E502)),1,0))+IF(Classifiers!$E$10="",0,IF(ISNUMBER(SEARCH(Classifiers!$E$10,E502)),1,0))+IF(Classifiers!$F$10="",0,IF(ISNUMBER(SEARCH(Classifiers!$F$10,E502)),1,0))+IF(Classifiers!$G$10="",0,IF(ISNUMBER(SEARCH(Classifiers!$G$10,E502)),1,0)))&gt;0,1,0))</f>
        <v/>
      </c>
      <c r="P502" s="12">
        <f>IF(H502&lt;&gt;1,0,IF((IF(Classifiers!$B$11="",0,IF(ISNUMBER(SEARCH(Classifiers!$B$11,E502)),1,0))+IF(Classifiers!$C$11="",0,IF(ISNUMBER(SEARCH(Classifiers!$C$11,E502)),1,0))+IF(Classifiers!$D$11="",0,IF(ISNUMBER(SEARCH(Classifiers!$D$11,E502)),1,0))+IF(Classifiers!$E$11="",0,IF(ISNUMBER(SEARCH(Classifiers!$E$11,E502)),1,0))+IF(Classifiers!$F$11="",0,IF(ISNUMBER(SEARCH(Classifiers!$F$11,E502)),1,0))+IF(Classifiers!$G$11="",0,IF(ISNUMBER(SEARCH(Classifiers!$G$11,E502)),1,0)))&gt;0,1,0))</f>
        <v/>
      </c>
      <c r="Q502" s="12">
        <f>IF(H502&lt;&gt;1,0,IF((IF(Classifiers!$B$12="",0,IF(ISNUMBER(SEARCH(Classifiers!$B$12,E502)),1,0))+IF(Classifiers!$C$12="",0,IF(ISNUMBER(SEARCH(Classifiers!$C$12,E502)),1,0))+IF(Classifiers!$D$12="",0,IF(ISNUMBER(SEARCH(Classifiers!$D$12,E502)),1,0))+IF(Classifiers!$E$12="",0,IF(ISNUMBER(SEARCH(Classifiers!$E$12,E502)),1,0))+IF(Classifiers!$F$12="",0,IF(ISNUMBER(SEARCH(Classifiers!$F$12,E502)),1,0))+IF(Classifiers!$G$12="",0,IF(ISNUMBER(SEARCH(Classifiers!$G$12,E502)),1,0)))&gt;0,1,0))</f>
        <v/>
      </c>
      <c r="R502" s="12">
        <f>IF(H502&lt;&gt;1,0,IF((IF(Classifiers!$B$13="",0,IF(ISNUMBER(SEARCH(Classifiers!$B$13,E502)),1,0))+IF(Classifiers!$C$13="",0,IF(ISNUMBER(SEARCH(Classifiers!$C$13,E502)),1,0))+IF(Classifiers!$D$13="",0,IF(ISNUMBER(SEARCH(Classifiers!$D$13,E502)),1,0))+IF(Classifiers!$E$13="",0,IF(ISNUMBER(SEARCH(Classifiers!$E$13,E502)),1,0))+IF(Classifiers!$F$13="",0,IF(ISNUMBER(SEARCH(Classifiers!$F$13,E502)),1,0))+IF(Classifiers!$G$13="",0,IF(ISNUMBER(SEARCH(Classifiers!$G$13,E502)),1,0)))&gt;0,1,0))</f>
        <v/>
      </c>
      <c r="S502" s="12">
        <f>IF(H502&lt;&gt;1,0,IF((IF(Classifiers!$B$14="",0,IF(ISNUMBER(SEARCH(Classifiers!$B$14,E502)),1,0))+IF(Classifiers!$C$14="",0,IF(ISNUMBER(SEARCH(Classifiers!$C$14,E502)),1,0))+IF(Classifiers!$D$14="",0,IF(ISNUMBER(SEARCH(Classifiers!$D$14,E502)),1,0))+IF(Classifiers!$E$14="",0,IF(ISNUMBER(SEARCH(Classifiers!$E$14,E502)),1,0))+IF(Classifiers!$F$14="",0,IF(ISNUMBER(SEARCH(Classifiers!$F$14,E502)),1,0))+IF(Classifiers!$G$14="",0,IF(ISNUMBER(SEARCH(Classifiers!$G$14,E502)),1,0)))&gt;0,1,0))</f>
        <v/>
      </c>
      <c r="T502" s="12">
        <f>IF(H502&lt;&gt;1,0,IF((IF(Classifiers!$B$15="",0,IF(ISNUMBER(SEARCH(Classifiers!$B$15,E502)),1,0))+IF(Classifiers!$C$15="",0,IF(ISNUMBER(SEARCH(Classifiers!$C$15,E502)),1,0))+IF(Classifiers!$D$15="",0,IF(ISNUMBER(SEARCH(Classifiers!$D$15,E502)),1,0))+IF(Classifiers!$E$15="",0,IF(ISNUMBER(SEARCH(Classifiers!$E$15,E502)),1,0))+IF(Classifiers!$F$15="",0,IF(ISNUMBER(SEARCH(Classifiers!$F$15,E502)),1,0))+IF(Classifiers!$G$15="",0,IF(ISNUMBER(SEARCH(Classifiers!$G$15,E502)),1,0)))&gt;0,1,0))</f>
        <v/>
      </c>
      <c r="U502" s="12">
        <f>IF(H502&lt;&gt;1,0,IF((IF(Classifiers!$B$16="",0,IF(ISNUMBER(SEARCH(Classifiers!$B$16,E502)),1,0))+IF(Classifiers!$C$16="",0,IF(ISNUMBER(SEARCH(Classifiers!$C$16,E502)),1,0))+IF(Classifiers!$D$16="",0,IF(ISNUMBER(SEARCH(Classifiers!$D$16,E502)),1,0))+IF(Classifiers!$E$16="",0,IF(ISNUMBER(SEARCH(Classifiers!$E$16,E502)),1,0))+IF(Classifiers!$F$16="",0,IF(ISNUMBER(SEARCH(Classifiers!$F$16,E502)),1,0))+IF(Classifiers!$G$16="",0,IF(ISNUMBER(SEARCH(Classifiers!$G$16,E502)),1,0)))&gt;0,1,0))</f>
        <v/>
      </c>
      <c r="V502" s="12">
        <f>IF(H502&lt;&gt;1,0,IF((IF(Classifiers!$B$17="",0,IF(ISNUMBER(SEARCH(Classifiers!$B$17,E502)),1,0))+IF(Classifiers!$C$17="",0,IF(ISNUMBER(SEARCH(Classifiers!$C$17,E502)),1,0))+IF(Classifiers!$D$17="",0,IF(ISNUMBER(SEARCH(Classifiers!$D$17,E502)),1,0))+IF(Classifiers!$E$17="",0,IF(ISNUMBER(SEARCH(Classifiers!$E$17,E502)),1,0))+IF(Classifiers!$F$17="",0,IF(ISNUMBER(SEARCH(Classifiers!$F$17,E502)),1,0))+IF(Classifiers!$G$17="",0,IF(ISNUMBER(SEARCH(Classifiers!$G$17,E502)),1,0)))&gt;0,1,0))</f>
        <v/>
      </c>
      <c r="W502" s="12">
        <f>IF(H502&lt;&gt;1,0,IF((IF(Classifiers!$B$18="",0,IF(ISNUMBER(SEARCH(Classifiers!$B$18,E502)),1,0))+IF(Classifiers!$C$18="",0,IF(ISNUMBER(SEARCH(Classifiers!$C$18,E502)),1,0))+IF(Classifiers!$D$18="",0,IF(ISNUMBER(SEARCH(Classifiers!$D$18,E502)),1,0))+IF(Classifiers!$E$18="",0,IF(ISNUMBER(SEARCH(Classifiers!$E$18,E502)),1,0))+IF(Classifiers!$F$18="",0,IF(ISNUMBER(SEARCH(Classifiers!$F$18,E502)),1,0))+IF(Classifiers!$G$18="",0,IF(ISNUMBER(SEARCH(Classifiers!$G$18,E502)),1,0)))&gt;0,1,0))</f>
        <v/>
      </c>
    </row>
    <row r="503">
      <c r="A503" s="8" t="n"/>
      <c r="B503" s="11" t="n"/>
      <c r="C503" s="6">
        <f>IF(A503="","",TRIM(RIGHT(SUBSTITUTE(A503,"/",REPT(" ",250)),250)))</f>
        <v/>
      </c>
      <c r="D503" s="6">
        <f>IF(C503="","",IF(ISNUMBER(SEARCH(".",C503)),LOWER("."&amp;TRIM(RIGHT(SUBSTITUTE(C503,".",REPT(" ",250)),250))),""))</f>
        <v/>
      </c>
      <c r="E503" s="6">
        <f>IF(C503="","",TRIM(SUBSTITUTE(SUBSTITUTE(SUBSTITUTE(SUBSTITUTE(SUBSTITUTE(SUBSTITUTE(SUBSTITUTE(SUBSTITUTE(SUBSTITUTE(SUBSTITUTE(SUBSTITUTE(SUBSTITUTE(SUBSTITUTE(SUBSTITUTE(SUBSTITUTE(SUBSTITUTE(SUBSTITUTE(SUBSTITUTE(SUBSTITUTE(SUBSTITUTE(LOWER(LEFT(C503,LEN(C503)-LEN(D503))),"_"," "),"-"," "),"."," "),","," "),"("," "),")"," "),"["," "),"]"," "),"&amp;"," "),"+"," "),"@"," "),"#"," "),"!"," "),"'"," "),"/"," "),":"," "),";"," "),"="," "),"~"," "),"%"," ")))</f>
        <v/>
      </c>
      <c r="F503" s="6">
        <f>IF(C503="","",IF(COUNTIF(Classifiers!$A$23:$A$40,D503)&gt;0,1,0))</f>
        <v/>
      </c>
      <c r="G503" s="6">
        <f>IF(C503="","",IF(COUNTIF(Classifiers!$C$23:$C$30,D503)&gt;0,IF((IF(ISNUMBER(SEARCH(Classifiers!$E$23,E503)),1,0)+IF(ISNUMBER(SEARCH(Classifiers!$E$24,E503)),1,0)+IF(ISNUMBER(SEARCH(Classifiers!$E$25,E503)),1,0)+IF(ISNUMBER(SEARCH(Classifiers!$E$26,E503)),1,0)+IF(ISNUMBER(SEARCH(Classifiers!$E$27,E503)),1,0)+IF(ISNUMBER(SEARCH(Classifiers!$E$28,E503)),1,0)+IF(ISNUMBER(SEARCH(Classifiers!$E$29,E503)),1,0)+IF(ISNUMBER(SEARCH(Classifiers!$E$30,E503)),1,0))&gt;0,1,0),0))</f>
        <v/>
      </c>
      <c r="H503" s="6">
        <f>IF(C503="","",IF(OR(LEFT(C503,1)=".",AND(F503=0,G503=0)),0,1))</f>
        <v/>
      </c>
      <c r="I503" s="6">
        <f>IF(H503&lt;&gt;1,"",IF(SUM(J503:W503)=0,"unclassified",INDEX(Classifiers!$A$5:$A$18,MATCH(1,J503:W503,0),1)))</f>
        <v/>
      </c>
      <c r="J503" s="12">
        <f>IF(H503&lt;&gt;1,0,IF((IF(Classifiers!$B$5="",0,IF(ISNUMBER(SEARCH(Classifiers!$B$5,E503)),1,0))+IF(Classifiers!$C$5="",0,IF(ISNUMBER(SEARCH(Classifiers!$C$5,E503)),1,0))+IF(Classifiers!$D$5="",0,IF(ISNUMBER(SEARCH(Classifiers!$D$5,E503)),1,0))+IF(Classifiers!$E$5="",0,IF(ISNUMBER(SEARCH(Classifiers!$E$5,E503)),1,0))+IF(Classifiers!$F$5="",0,IF(ISNUMBER(SEARCH(Classifiers!$F$5,E503)),1,0))+IF(Classifiers!$G$5="",0,IF(ISNUMBER(SEARCH(Classifiers!$G$5,E503)),1,0)))&gt;0,1,0))</f>
        <v/>
      </c>
      <c r="K503" s="12">
        <f>IF(H503&lt;&gt;1,0,IF((IF(Classifiers!$B$6="",0,IF(ISNUMBER(SEARCH(Classifiers!$B$6,E503)),1,0))+IF(Classifiers!$C$6="",0,IF(ISNUMBER(SEARCH(Classifiers!$C$6,E503)),1,0))+IF(Classifiers!$D$6="",0,IF(ISNUMBER(SEARCH(Classifiers!$D$6,E503)),1,0))+IF(Classifiers!$E$6="",0,IF(ISNUMBER(SEARCH(Classifiers!$E$6,E503)),1,0))+IF(Classifiers!$F$6="",0,IF(ISNUMBER(SEARCH(Classifiers!$F$6,E503)),1,0))+IF(Classifiers!$G$6="",0,IF(ISNUMBER(SEARCH(Classifiers!$G$6,E503)),1,0)))&gt;0,1,0))</f>
        <v/>
      </c>
      <c r="L503" s="12">
        <f>IF(H503&lt;&gt;1,0,IF((IF(Classifiers!$B$7="",0,IF(ISNUMBER(SEARCH(Classifiers!$B$7,E503)),1,0))+IF(Classifiers!$C$7="",0,IF(ISNUMBER(SEARCH(Classifiers!$C$7,E503)),1,0))+IF(Classifiers!$D$7="",0,IF(ISNUMBER(SEARCH(Classifiers!$D$7,E503)),1,0))+IF(Classifiers!$E$7="",0,IF(ISNUMBER(SEARCH(Classifiers!$E$7,E503)),1,0))+IF(Classifiers!$F$7="",0,IF(ISNUMBER(SEARCH(Classifiers!$F$7,E503)),1,0))+IF(Classifiers!$G$7="",0,IF(ISNUMBER(SEARCH(Classifiers!$G$7,E503)),1,0)))&gt;0,1,0))</f>
        <v/>
      </c>
      <c r="M503" s="12">
        <f>IF(H503&lt;&gt;1,0,IF((IF(Classifiers!$B$8="",0,IF(ISNUMBER(SEARCH(Classifiers!$B$8,E503)),1,0))+IF(Classifiers!$C$8="",0,IF(ISNUMBER(SEARCH(Classifiers!$C$8,E503)),1,0))+IF(Classifiers!$D$8="",0,IF(ISNUMBER(SEARCH(Classifiers!$D$8,E503)),1,0))+IF(Classifiers!$E$8="",0,IF(ISNUMBER(SEARCH(Classifiers!$E$8,E503)),1,0))+IF(Classifiers!$F$8="",0,IF(ISNUMBER(SEARCH(Classifiers!$F$8,E503)),1,0))+IF(Classifiers!$G$8="",0,IF(ISNUMBER(SEARCH(Classifiers!$G$8,E503)),1,0)))&gt;0,1,0))</f>
        <v/>
      </c>
      <c r="N503" s="12">
        <f>IF(H503&lt;&gt;1,0,IF((IF(Classifiers!$B$9="",0,IF(ISNUMBER(SEARCH(Classifiers!$B$9,E503)),1,0))+IF(Classifiers!$C$9="",0,IF(ISNUMBER(SEARCH(Classifiers!$C$9,E503)),1,0))+IF(Classifiers!$D$9="",0,IF(ISNUMBER(SEARCH(Classifiers!$D$9,E503)),1,0))+IF(Classifiers!$E$9="",0,IF(ISNUMBER(SEARCH(Classifiers!$E$9,E503)),1,0))+IF(Classifiers!$F$9="",0,IF(ISNUMBER(SEARCH(Classifiers!$F$9,E503)),1,0))+IF(Classifiers!$G$9="",0,IF(ISNUMBER(SEARCH(Classifiers!$G$9,E503)),1,0)))&gt;0,1,0))</f>
        <v/>
      </c>
      <c r="O503" s="12">
        <f>IF(H503&lt;&gt;1,0,IF((IF(Classifiers!$B$10="",0,IF(ISNUMBER(SEARCH(Classifiers!$B$10,E503)),1,0))+IF(Classifiers!$C$10="",0,IF(ISNUMBER(SEARCH(Classifiers!$C$10,E503)),1,0))+IF(Classifiers!$D$10="",0,IF(ISNUMBER(SEARCH(Classifiers!$D$10,E503)),1,0))+IF(Classifiers!$E$10="",0,IF(ISNUMBER(SEARCH(Classifiers!$E$10,E503)),1,0))+IF(Classifiers!$F$10="",0,IF(ISNUMBER(SEARCH(Classifiers!$F$10,E503)),1,0))+IF(Classifiers!$G$10="",0,IF(ISNUMBER(SEARCH(Classifiers!$G$10,E503)),1,0)))&gt;0,1,0))</f>
        <v/>
      </c>
      <c r="P503" s="12">
        <f>IF(H503&lt;&gt;1,0,IF((IF(Classifiers!$B$11="",0,IF(ISNUMBER(SEARCH(Classifiers!$B$11,E503)),1,0))+IF(Classifiers!$C$11="",0,IF(ISNUMBER(SEARCH(Classifiers!$C$11,E503)),1,0))+IF(Classifiers!$D$11="",0,IF(ISNUMBER(SEARCH(Classifiers!$D$11,E503)),1,0))+IF(Classifiers!$E$11="",0,IF(ISNUMBER(SEARCH(Classifiers!$E$11,E503)),1,0))+IF(Classifiers!$F$11="",0,IF(ISNUMBER(SEARCH(Classifiers!$F$11,E503)),1,0))+IF(Classifiers!$G$11="",0,IF(ISNUMBER(SEARCH(Classifiers!$G$11,E503)),1,0)))&gt;0,1,0))</f>
        <v/>
      </c>
      <c r="Q503" s="12">
        <f>IF(H503&lt;&gt;1,0,IF((IF(Classifiers!$B$12="",0,IF(ISNUMBER(SEARCH(Classifiers!$B$12,E503)),1,0))+IF(Classifiers!$C$12="",0,IF(ISNUMBER(SEARCH(Classifiers!$C$12,E503)),1,0))+IF(Classifiers!$D$12="",0,IF(ISNUMBER(SEARCH(Classifiers!$D$12,E503)),1,0))+IF(Classifiers!$E$12="",0,IF(ISNUMBER(SEARCH(Classifiers!$E$12,E503)),1,0))+IF(Classifiers!$F$12="",0,IF(ISNUMBER(SEARCH(Classifiers!$F$12,E503)),1,0))+IF(Classifiers!$G$12="",0,IF(ISNUMBER(SEARCH(Classifiers!$G$12,E503)),1,0)))&gt;0,1,0))</f>
        <v/>
      </c>
      <c r="R503" s="12">
        <f>IF(H503&lt;&gt;1,0,IF((IF(Classifiers!$B$13="",0,IF(ISNUMBER(SEARCH(Classifiers!$B$13,E503)),1,0))+IF(Classifiers!$C$13="",0,IF(ISNUMBER(SEARCH(Classifiers!$C$13,E503)),1,0))+IF(Classifiers!$D$13="",0,IF(ISNUMBER(SEARCH(Classifiers!$D$13,E503)),1,0))+IF(Classifiers!$E$13="",0,IF(ISNUMBER(SEARCH(Classifiers!$E$13,E503)),1,0))+IF(Classifiers!$F$13="",0,IF(ISNUMBER(SEARCH(Classifiers!$F$13,E503)),1,0))+IF(Classifiers!$G$13="",0,IF(ISNUMBER(SEARCH(Classifiers!$G$13,E503)),1,0)))&gt;0,1,0))</f>
        <v/>
      </c>
      <c r="S503" s="12">
        <f>IF(H503&lt;&gt;1,0,IF((IF(Classifiers!$B$14="",0,IF(ISNUMBER(SEARCH(Classifiers!$B$14,E503)),1,0))+IF(Classifiers!$C$14="",0,IF(ISNUMBER(SEARCH(Classifiers!$C$14,E503)),1,0))+IF(Classifiers!$D$14="",0,IF(ISNUMBER(SEARCH(Classifiers!$D$14,E503)),1,0))+IF(Classifiers!$E$14="",0,IF(ISNUMBER(SEARCH(Classifiers!$E$14,E503)),1,0))+IF(Classifiers!$F$14="",0,IF(ISNUMBER(SEARCH(Classifiers!$F$14,E503)),1,0))+IF(Classifiers!$G$14="",0,IF(ISNUMBER(SEARCH(Classifiers!$G$14,E503)),1,0)))&gt;0,1,0))</f>
        <v/>
      </c>
      <c r="T503" s="12">
        <f>IF(H503&lt;&gt;1,0,IF((IF(Classifiers!$B$15="",0,IF(ISNUMBER(SEARCH(Classifiers!$B$15,E503)),1,0))+IF(Classifiers!$C$15="",0,IF(ISNUMBER(SEARCH(Classifiers!$C$15,E503)),1,0))+IF(Classifiers!$D$15="",0,IF(ISNUMBER(SEARCH(Classifiers!$D$15,E503)),1,0))+IF(Classifiers!$E$15="",0,IF(ISNUMBER(SEARCH(Classifiers!$E$15,E503)),1,0))+IF(Classifiers!$F$15="",0,IF(ISNUMBER(SEARCH(Classifiers!$F$15,E503)),1,0))+IF(Classifiers!$G$15="",0,IF(ISNUMBER(SEARCH(Classifiers!$G$15,E503)),1,0)))&gt;0,1,0))</f>
        <v/>
      </c>
      <c r="U503" s="12">
        <f>IF(H503&lt;&gt;1,0,IF((IF(Classifiers!$B$16="",0,IF(ISNUMBER(SEARCH(Classifiers!$B$16,E503)),1,0))+IF(Classifiers!$C$16="",0,IF(ISNUMBER(SEARCH(Classifiers!$C$16,E503)),1,0))+IF(Classifiers!$D$16="",0,IF(ISNUMBER(SEARCH(Classifiers!$D$16,E503)),1,0))+IF(Classifiers!$E$16="",0,IF(ISNUMBER(SEARCH(Classifiers!$E$16,E503)),1,0))+IF(Classifiers!$F$16="",0,IF(ISNUMBER(SEARCH(Classifiers!$F$16,E503)),1,0))+IF(Classifiers!$G$16="",0,IF(ISNUMBER(SEARCH(Classifiers!$G$16,E503)),1,0)))&gt;0,1,0))</f>
        <v/>
      </c>
      <c r="V503" s="12">
        <f>IF(H503&lt;&gt;1,0,IF((IF(Classifiers!$B$17="",0,IF(ISNUMBER(SEARCH(Classifiers!$B$17,E503)),1,0))+IF(Classifiers!$C$17="",0,IF(ISNUMBER(SEARCH(Classifiers!$C$17,E503)),1,0))+IF(Classifiers!$D$17="",0,IF(ISNUMBER(SEARCH(Classifiers!$D$17,E503)),1,0))+IF(Classifiers!$E$17="",0,IF(ISNUMBER(SEARCH(Classifiers!$E$17,E503)),1,0))+IF(Classifiers!$F$17="",0,IF(ISNUMBER(SEARCH(Classifiers!$F$17,E503)),1,0))+IF(Classifiers!$G$17="",0,IF(ISNUMBER(SEARCH(Classifiers!$G$17,E503)),1,0)))&gt;0,1,0))</f>
        <v/>
      </c>
      <c r="W503" s="12">
        <f>IF(H503&lt;&gt;1,0,IF((IF(Classifiers!$B$18="",0,IF(ISNUMBER(SEARCH(Classifiers!$B$18,E503)),1,0))+IF(Classifiers!$C$18="",0,IF(ISNUMBER(SEARCH(Classifiers!$C$18,E503)),1,0))+IF(Classifiers!$D$18="",0,IF(ISNUMBER(SEARCH(Classifiers!$D$18,E503)),1,0))+IF(Classifiers!$E$18="",0,IF(ISNUMBER(SEARCH(Classifiers!$E$18,E503)),1,0))+IF(Classifiers!$F$18="",0,IF(ISNUMBER(SEARCH(Classifiers!$F$18,E503)),1,0))+IF(Classifiers!$G$18="",0,IF(ISNUMBER(SEARCH(Classifiers!$G$18,E503)),1,0)))&gt;0,1,0))</f>
        <v/>
      </c>
    </row>
    <row r="504">
      <c r="A504" s="8" t="n"/>
      <c r="B504" s="11" t="n"/>
      <c r="C504" s="6">
        <f>IF(A504="","",TRIM(RIGHT(SUBSTITUTE(A504,"/",REPT(" ",250)),250)))</f>
        <v/>
      </c>
      <c r="D504" s="6">
        <f>IF(C504="","",IF(ISNUMBER(SEARCH(".",C504)),LOWER("."&amp;TRIM(RIGHT(SUBSTITUTE(C504,".",REPT(" ",250)),250))),""))</f>
        <v/>
      </c>
      <c r="E504" s="6">
        <f>IF(C504="","",TRIM(SUBSTITUTE(SUBSTITUTE(SUBSTITUTE(SUBSTITUTE(SUBSTITUTE(SUBSTITUTE(SUBSTITUTE(SUBSTITUTE(SUBSTITUTE(SUBSTITUTE(SUBSTITUTE(SUBSTITUTE(SUBSTITUTE(SUBSTITUTE(SUBSTITUTE(SUBSTITUTE(SUBSTITUTE(SUBSTITUTE(SUBSTITUTE(SUBSTITUTE(LOWER(LEFT(C504,LEN(C504)-LEN(D504))),"_"," "),"-"," "),"."," "),","," "),"("," "),")"," "),"["," "),"]"," "),"&amp;"," "),"+"," "),"@"," "),"#"," "),"!"," "),"'"," "),"/"," "),":"," "),";"," "),"="," "),"~"," "),"%"," ")))</f>
        <v/>
      </c>
      <c r="F504" s="6">
        <f>IF(C504="","",IF(COUNTIF(Classifiers!$A$23:$A$40,D504)&gt;0,1,0))</f>
        <v/>
      </c>
      <c r="G504" s="6">
        <f>IF(C504="","",IF(COUNTIF(Classifiers!$C$23:$C$30,D504)&gt;0,IF((IF(ISNUMBER(SEARCH(Classifiers!$E$23,E504)),1,0)+IF(ISNUMBER(SEARCH(Classifiers!$E$24,E504)),1,0)+IF(ISNUMBER(SEARCH(Classifiers!$E$25,E504)),1,0)+IF(ISNUMBER(SEARCH(Classifiers!$E$26,E504)),1,0)+IF(ISNUMBER(SEARCH(Classifiers!$E$27,E504)),1,0)+IF(ISNUMBER(SEARCH(Classifiers!$E$28,E504)),1,0)+IF(ISNUMBER(SEARCH(Classifiers!$E$29,E504)),1,0)+IF(ISNUMBER(SEARCH(Classifiers!$E$30,E504)),1,0))&gt;0,1,0),0))</f>
        <v/>
      </c>
      <c r="H504" s="6">
        <f>IF(C504="","",IF(OR(LEFT(C504,1)=".",AND(F504=0,G504=0)),0,1))</f>
        <v/>
      </c>
      <c r="I504" s="6">
        <f>IF(H504&lt;&gt;1,"",IF(SUM(J504:W504)=0,"unclassified",INDEX(Classifiers!$A$5:$A$18,MATCH(1,J504:W504,0),1)))</f>
        <v/>
      </c>
      <c r="J504" s="12">
        <f>IF(H504&lt;&gt;1,0,IF((IF(Classifiers!$B$5="",0,IF(ISNUMBER(SEARCH(Classifiers!$B$5,E504)),1,0))+IF(Classifiers!$C$5="",0,IF(ISNUMBER(SEARCH(Classifiers!$C$5,E504)),1,0))+IF(Classifiers!$D$5="",0,IF(ISNUMBER(SEARCH(Classifiers!$D$5,E504)),1,0))+IF(Classifiers!$E$5="",0,IF(ISNUMBER(SEARCH(Classifiers!$E$5,E504)),1,0))+IF(Classifiers!$F$5="",0,IF(ISNUMBER(SEARCH(Classifiers!$F$5,E504)),1,0))+IF(Classifiers!$G$5="",0,IF(ISNUMBER(SEARCH(Classifiers!$G$5,E504)),1,0)))&gt;0,1,0))</f>
        <v/>
      </c>
      <c r="K504" s="12">
        <f>IF(H504&lt;&gt;1,0,IF((IF(Classifiers!$B$6="",0,IF(ISNUMBER(SEARCH(Classifiers!$B$6,E504)),1,0))+IF(Classifiers!$C$6="",0,IF(ISNUMBER(SEARCH(Classifiers!$C$6,E504)),1,0))+IF(Classifiers!$D$6="",0,IF(ISNUMBER(SEARCH(Classifiers!$D$6,E504)),1,0))+IF(Classifiers!$E$6="",0,IF(ISNUMBER(SEARCH(Classifiers!$E$6,E504)),1,0))+IF(Classifiers!$F$6="",0,IF(ISNUMBER(SEARCH(Classifiers!$F$6,E504)),1,0))+IF(Classifiers!$G$6="",0,IF(ISNUMBER(SEARCH(Classifiers!$G$6,E504)),1,0)))&gt;0,1,0))</f>
        <v/>
      </c>
      <c r="L504" s="12">
        <f>IF(H504&lt;&gt;1,0,IF((IF(Classifiers!$B$7="",0,IF(ISNUMBER(SEARCH(Classifiers!$B$7,E504)),1,0))+IF(Classifiers!$C$7="",0,IF(ISNUMBER(SEARCH(Classifiers!$C$7,E504)),1,0))+IF(Classifiers!$D$7="",0,IF(ISNUMBER(SEARCH(Classifiers!$D$7,E504)),1,0))+IF(Classifiers!$E$7="",0,IF(ISNUMBER(SEARCH(Classifiers!$E$7,E504)),1,0))+IF(Classifiers!$F$7="",0,IF(ISNUMBER(SEARCH(Classifiers!$F$7,E504)),1,0))+IF(Classifiers!$G$7="",0,IF(ISNUMBER(SEARCH(Classifiers!$G$7,E504)),1,0)))&gt;0,1,0))</f>
        <v/>
      </c>
      <c r="M504" s="12">
        <f>IF(H504&lt;&gt;1,0,IF((IF(Classifiers!$B$8="",0,IF(ISNUMBER(SEARCH(Classifiers!$B$8,E504)),1,0))+IF(Classifiers!$C$8="",0,IF(ISNUMBER(SEARCH(Classifiers!$C$8,E504)),1,0))+IF(Classifiers!$D$8="",0,IF(ISNUMBER(SEARCH(Classifiers!$D$8,E504)),1,0))+IF(Classifiers!$E$8="",0,IF(ISNUMBER(SEARCH(Classifiers!$E$8,E504)),1,0))+IF(Classifiers!$F$8="",0,IF(ISNUMBER(SEARCH(Classifiers!$F$8,E504)),1,0))+IF(Classifiers!$G$8="",0,IF(ISNUMBER(SEARCH(Classifiers!$G$8,E504)),1,0)))&gt;0,1,0))</f>
        <v/>
      </c>
      <c r="N504" s="12">
        <f>IF(H504&lt;&gt;1,0,IF((IF(Classifiers!$B$9="",0,IF(ISNUMBER(SEARCH(Classifiers!$B$9,E504)),1,0))+IF(Classifiers!$C$9="",0,IF(ISNUMBER(SEARCH(Classifiers!$C$9,E504)),1,0))+IF(Classifiers!$D$9="",0,IF(ISNUMBER(SEARCH(Classifiers!$D$9,E504)),1,0))+IF(Classifiers!$E$9="",0,IF(ISNUMBER(SEARCH(Classifiers!$E$9,E504)),1,0))+IF(Classifiers!$F$9="",0,IF(ISNUMBER(SEARCH(Classifiers!$F$9,E504)),1,0))+IF(Classifiers!$G$9="",0,IF(ISNUMBER(SEARCH(Classifiers!$G$9,E504)),1,0)))&gt;0,1,0))</f>
        <v/>
      </c>
      <c r="O504" s="12">
        <f>IF(H504&lt;&gt;1,0,IF((IF(Classifiers!$B$10="",0,IF(ISNUMBER(SEARCH(Classifiers!$B$10,E504)),1,0))+IF(Classifiers!$C$10="",0,IF(ISNUMBER(SEARCH(Classifiers!$C$10,E504)),1,0))+IF(Classifiers!$D$10="",0,IF(ISNUMBER(SEARCH(Classifiers!$D$10,E504)),1,0))+IF(Classifiers!$E$10="",0,IF(ISNUMBER(SEARCH(Classifiers!$E$10,E504)),1,0))+IF(Classifiers!$F$10="",0,IF(ISNUMBER(SEARCH(Classifiers!$F$10,E504)),1,0))+IF(Classifiers!$G$10="",0,IF(ISNUMBER(SEARCH(Classifiers!$G$10,E504)),1,0)))&gt;0,1,0))</f>
        <v/>
      </c>
      <c r="P504" s="12">
        <f>IF(H504&lt;&gt;1,0,IF((IF(Classifiers!$B$11="",0,IF(ISNUMBER(SEARCH(Classifiers!$B$11,E504)),1,0))+IF(Classifiers!$C$11="",0,IF(ISNUMBER(SEARCH(Classifiers!$C$11,E504)),1,0))+IF(Classifiers!$D$11="",0,IF(ISNUMBER(SEARCH(Classifiers!$D$11,E504)),1,0))+IF(Classifiers!$E$11="",0,IF(ISNUMBER(SEARCH(Classifiers!$E$11,E504)),1,0))+IF(Classifiers!$F$11="",0,IF(ISNUMBER(SEARCH(Classifiers!$F$11,E504)),1,0))+IF(Classifiers!$G$11="",0,IF(ISNUMBER(SEARCH(Classifiers!$G$11,E504)),1,0)))&gt;0,1,0))</f>
        <v/>
      </c>
      <c r="Q504" s="12">
        <f>IF(H504&lt;&gt;1,0,IF((IF(Classifiers!$B$12="",0,IF(ISNUMBER(SEARCH(Classifiers!$B$12,E504)),1,0))+IF(Classifiers!$C$12="",0,IF(ISNUMBER(SEARCH(Classifiers!$C$12,E504)),1,0))+IF(Classifiers!$D$12="",0,IF(ISNUMBER(SEARCH(Classifiers!$D$12,E504)),1,0))+IF(Classifiers!$E$12="",0,IF(ISNUMBER(SEARCH(Classifiers!$E$12,E504)),1,0))+IF(Classifiers!$F$12="",0,IF(ISNUMBER(SEARCH(Classifiers!$F$12,E504)),1,0))+IF(Classifiers!$G$12="",0,IF(ISNUMBER(SEARCH(Classifiers!$G$12,E504)),1,0)))&gt;0,1,0))</f>
        <v/>
      </c>
      <c r="R504" s="12">
        <f>IF(H504&lt;&gt;1,0,IF((IF(Classifiers!$B$13="",0,IF(ISNUMBER(SEARCH(Classifiers!$B$13,E504)),1,0))+IF(Classifiers!$C$13="",0,IF(ISNUMBER(SEARCH(Classifiers!$C$13,E504)),1,0))+IF(Classifiers!$D$13="",0,IF(ISNUMBER(SEARCH(Classifiers!$D$13,E504)),1,0))+IF(Classifiers!$E$13="",0,IF(ISNUMBER(SEARCH(Classifiers!$E$13,E504)),1,0))+IF(Classifiers!$F$13="",0,IF(ISNUMBER(SEARCH(Classifiers!$F$13,E504)),1,0))+IF(Classifiers!$G$13="",0,IF(ISNUMBER(SEARCH(Classifiers!$G$13,E504)),1,0)))&gt;0,1,0))</f>
        <v/>
      </c>
      <c r="S504" s="12">
        <f>IF(H504&lt;&gt;1,0,IF((IF(Classifiers!$B$14="",0,IF(ISNUMBER(SEARCH(Classifiers!$B$14,E504)),1,0))+IF(Classifiers!$C$14="",0,IF(ISNUMBER(SEARCH(Classifiers!$C$14,E504)),1,0))+IF(Classifiers!$D$14="",0,IF(ISNUMBER(SEARCH(Classifiers!$D$14,E504)),1,0))+IF(Classifiers!$E$14="",0,IF(ISNUMBER(SEARCH(Classifiers!$E$14,E504)),1,0))+IF(Classifiers!$F$14="",0,IF(ISNUMBER(SEARCH(Classifiers!$F$14,E504)),1,0))+IF(Classifiers!$G$14="",0,IF(ISNUMBER(SEARCH(Classifiers!$G$14,E504)),1,0)))&gt;0,1,0))</f>
        <v/>
      </c>
      <c r="T504" s="12">
        <f>IF(H504&lt;&gt;1,0,IF((IF(Classifiers!$B$15="",0,IF(ISNUMBER(SEARCH(Classifiers!$B$15,E504)),1,0))+IF(Classifiers!$C$15="",0,IF(ISNUMBER(SEARCH(Classifiers!$C$15,E504)),1,0))+IF(Classifiers!$D$15="",0,IF(ISNUMBER(SEARCH(Classifiers!$D$15,E504)),1,0))+IF(Classifiers!$E$15="",0,IF(ISNUMBER(SEARCH(Classifiers!$E$15,E504)),1,0))+IF(Classifiers!$F$15="",0,IF(ISNUMBER(SEARCH(Classifiers!$F$15,E504)),1,0))+IF(Classifiers!$G$15="",0,IF(ISNUMBER(SEARCH(Classifiers!$G$15,E504)),1,0)))&gt;0,1,0))</f>
        <v/>
      </c>
      <c r="U504" s="12">
        <f>IF(H504&lt;&gt;1,0,IF((IF(Classifiers!$B$16="",0,IF(ISNUMBER(SEARCH(Classifiers!$B$16,E504)),1,0))+IF(Classifiers!$C$16="",0,IF(ISNUMBER(SEARCH(Classifiers!$C$16,E504)),1,0))+IF(Classifiers!$D$16="",0,IF(ISNUMBER(SEARCH(Classifiers!$D$16,E504)),1,0))+IF(Classifiers!$E$16="",0,IF(ISNUMBER(SEARCH(Classifiers!$E$16,E504)),1,0))+IF(Classifiers!$F$16="",0,IF(ISNUMBER(SEARCH(Classifiers!$F$16,E504)),1,0))+IF(Classifiers!$G$16="",0,IF(ISNUMBER(SEARCH(Classifiers!$G$16,E504)),1,0)))&gt;0,1,0))</f>
        <v/>
      </c>
      <c r="V504" s="12">
        <f>IF(H504&lt;&gt;1,0,IF((IF(Classifiers!$B$17="",0,IF(ISNUMBER(SEARCH(Classifiers!$B$17,E504)),1,0))+IF(Classifiers!$C$17="",0,IF(ISNUMBER(SEARCH(Classifiers!$C$17,E504)),1,0))+IF(Classifiers!$D$17="",0,IF(ISNUMBER(SEARCH(Classifiers!$D$17,E504)),1,0))+IF(Classifiers!$E$17="",0,IF(ISNUMBER(SEARCH(Classifiers!$E$17,E504)),1,0))+IF(Classifiers!$F$17="",0,IF(ISNUMBER(SEARCH(Classifiers!$F$17,E504)),1,0))+IF(Classifiers!$G$17="",0,IF(ISNUMBER(SEARCH(Classifiers!$G$17,E504)),1,0)))&gt;0,1,0))</f>
        <v/>
      </c>
      <c r="W504" s="12">
        <f>IF(H504&lt;&gt;1,0,IF((IF(Classifiers!$B$18="",0,IF(ISNUMBER(SEARCH(Classifiers!$B$18,E504)),1,0))+IF(Classifiers!$C$18="",0,IF(ISNUMBER(SEARCH(Classifiers!$C$18,E504)),1,0))+IF(Classifiers!$D$18="",0,IF(ISNUMBER(SEARCH(Classifiers!$D$18,E504)),1,0))+IF(Classifiers!$E$18="",0,IF(ISNUMBER(SEARCH(Classifiers!$E$18,E504)),1,0))+IF(Classifiers!$F$18="",0,IF(ISNUMBER(SEARCH(Classifiers!$F$18,E504)),1,0))+IF(Classifiers!$G$18="",0,IF(ISNUMBER(SEARCH(Classifiers!$G$18,E504)),1,0)))&gt;0,1,0)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6" customWidth="1" min="4" max="4"/>
    <col width="16" customWidth="1" min="5" max="5"/>
    <col width="14" customWidth="1" min="6" max="6"/>
    <col width="22" customWidth="1" min="7" max="7"/>
  </cols>
  <sheetData>
    <row r="1">
      <c r="A1" s="1" t="inlineStr">
        <is>
          <t>Classifier rules (category order = priority; signals are substrings of the normalised file stem)</t>
        </is>
      </c>
    </row>
    <row r="2"/>
    <row r="3"/>
    <row r="4">
      <c r="A4" s="7" t="inlineStr">
        <is>
          <t>category</t>
        </is>
      </c>
      <c r="B4" s="7" t="inlineStr">
        <is>
          <t>signal 1</t>
        </is>
      </c>
      <c r="C4" s="7" t="inlineStr">
        <is>
          <t>signal 2</t>
        </is>
      </c>
      <c r="D4" s="7" t="inlineStr">
        <is>
          <t>signal 3</t>
        </is>
      </c>
      <c r="E4" s="7" t="inlineStr">
        <is>
          <t>signal 4</t>
        </is>
      </c>
      <c r="F4" s="7" t="inlineStr">
        <is>
          <t>signal 5</t>
        </is>
      </c>
      <c r="G4" s="7" t="inlineStr">
        <is>
          <t>signal 6</t>
        </is>
      </c>
    </row>
    <row r="5">
      <c r="A5" s="8" t="inlineStr">
        <is>
          <t>profit_and_loss</t>
        </is>
      </c>
      <c r="B5" s="8" t="inlineStr">
        <is>
          <t>pnl</t>
        </is>
      </c>
      <c r="C5" s="8" t="inlineStr">
        <is>
          <t>p l</t>
        </is>
      </c>
      <c r="D5" s="8" t="inlineStr">
        <is>
          <t>profit loss</t>
        </is>
      </c>
      <c r="E5" s="8" t="inlineStr">
        <is>
          <t>income statement</t>
        </is>
      </c>
      <c r="F5" s="8" t="n"/>
      <c r="G5" s="8" t="n"/>
    </row>
    <row r="6">
      <c r="A6" s="8" t="inlineStr">
        <is>
          <t>balance_sheet</t>
        </is>
      </c>
      <c r="B6" s="8" t="inlineStr">
        <is>
          <t>balance sheet</t>
        </is>
      </c>
      <c r="C6" s="8" t="inlineStr">
        <is>
          <t>trial balance</t>
        </is>
      </c>
      <c r="D6" s="8" t="n"/>
      <c r="E6" s="8" t="n"/>
      <c r="F6" s="8" t="n"/>
      <c r="G6" s="8" t="n"/>
    </row>
    <row r="7">
      <c r="A7" s="8" t="inlineStr">
        <is>
          <t>ar_aging</t>
        </is>
      </c>
      <c r="B7" s="8" t="inlineStr">
        <is>
          <t>ar aging</t>
        </is>
      </c>
      <c r="C7" s="8" t="inlineStr">
        <is>
          <t>accounts receivable</t>
        </is>
      </c>
      <c r="D7" s="8" t="inlineStr">
        <is>
          <t>receivable aging</t>
        </is>
      </c>
      <c r="E7" s="8" t="n"/>
      <c r="F7" s="8" t="n"/>
      <c r="G7" s="8" t="n"/>
    </row>
    <row r="8">
      <c r="A8" s="8" t="inlineStr">
        <is>
          <t>ap_aging</t>
        </is>
      </c>
      <c r="B8" s="8" t="inlineStr">
        <is>
          <t>ap aging</t>
        </is>
      </c>
      <c r="C8" s="8" t="inlineStr">
        <is>
          <t>accounts payable</t>
        </is>
      </c>
      <c r="D8" s="8" t="inlineStr">
        <is>
          <t>payable aging</t>
        </is>
      </c>
      <c r="E8" s="8" t="n"/>
      <c r="F8" s="8" t="n"/>
      <c r="G8" s="8" t="n"/>
    </row>
    <row r="9">
      <c r="A9" s="8" t="inlineStr">
        <is>
          <t>inventory</t>
        </is>
      </c>
      <c r="B9" s="8" t="inlineStr">
        <is>
          <t>inventory</t>
        </is>
      </c>
      <c r="C9" s="8" t="inlineStr">
        <is>
          <t>stock on hand</t>
        </is>
      </c>
      <c r="D9" s="8" t="inlineStr">
        <is>
          <t>sku</t>
        </is>
      </c>
      <c r="E9" s="8" t="inlineStr">
        <is>
          <t>item detail</t>
        </is>
      </c>
      <c r="F9" s="8" t="n"/>
      <c r="G9" s="8" t="n"/>
    </row>
    <row r="10">
      <c r="A10" s="8" t="inlineStr">
        <is>
          <t>cash_and_bank</t>
        </is>
      </c>
      <c r="B10" s="8" t="inlineStr">
        <is>
          <t>cash</t>
        </is>
      </c>
      <c r="C10" s="8" t="inlineStr">
        <is>
          <t>bank</t>
        </is>
      </c>
      <c r="D10" s="8" t="inlineStr">
        <is>
          <t>treasury</t>
        </is>
      </c>
      <c r="E10" s="8" t="n"/>
      <c r="F10" s="8" t="n"/>
      <c r="G10" s="8" t="n"/>
    </row>
    <row r="11">
      <c r="A11" s="8" t="inlineStr">
        <is>
          <t>payroll_and_headcount</t>
        </is>
      </c>
      <c r="B11" s="8" t="inlineStr">
        <is>
          <t>payroll</t>
        </is>
      </c>
      <c r="C11" s="8" t="inlineStr">
        <is>
          <t>headcount</t>
        </is>
      </c>
      <c r="D11" s="8" t="inlineStr">
        <is>
          <t>wages</t>
        </is>
      </c>
      <c r="E11" s="8" t="inlineStr">
        <is>
          <t>compensation</t>
        </is>
      </c>
      <c r="F11" s="8" t="n"/>
      <c r="G11" s="8" t="n"/>
    </row>
    <row r="12">
      <c r="A12" s="8" t="inlineStr">
        <is>
          <t>sales_and_revenue</t>
        </is>
      </c>
      <c r="B12" s="8" t="inlineStr">
        <is>
          <t>sales</t>
        </is>
      </c>
      <c r="C12" s="8" t="inlineStr">
        <is>
          <t>revenue</t>
        </is>
      </c>
      <c r="D12" s="8" t="inlineStr">
        <is>
          <t>bookings</t>
        </is>
      </c>
      <c r="E12" s="8" t="inlineStr">
        <is>
          <t>orders</t>
        </is>
      </c>
      <c r="F12" s="8" t="inlineStr">
        <is>
          <t>crm</t>
        </is>
      </c>
      <c r="G12" s="8" t="n"/>
    </row>
    <row r="13">
      <c r="A13" s="8" t="inlineStr">
        <is>
          <t>budget_and_forecast</t>
        </is>
      </c>
      <c r="B13" s="8" t="inlineStr">
        <is>
          <t>budget</t>
        </is>
      </c>
      <c r="C13" s="8" t="inlineStr">
        <is>
          <t>forecast</t>
        </is>
      </c>
      <c r="D13" s="8" t="inlineStr">
        <is>
          <t>plan</t>
        </is>
      </c>
      <c r="E13" s="8" t="inlineStr">
        <is>
          <t>scenario</t>
        </is>
      </c>
      <c r="F13" s="8" t="n"/>
      <c r="G13" s="8" t="n"/>
    </row>
    <row r="14">
      <c r="A14" s="8" t="inlineStr">
        <is>
          <t>operations</t>
        </is>
      </c>
      <c r="B14" s="8" t="inlineStr">
        <is>
          <t>operations</t>
        </is>
      </c>
      <c r="C14" s="8" t="inlineStr">
        <is>
          <t>operational</t>
        </is>
      </c>
      <c r="D14" s="8" t="inlineStr">
        <is>
          <t>production</t>
        </is>
      </c>
      <c r="E14" s="8" t="inlineStr">
        <is>
          <t>utilization</t>
        </is>
      </c>
      <c r="F14" s="8" t="inlineStr">
        <is>
          <t>fleet</t>
        </is>
      </c>
      <c r="G14" s="8" t="n"/>
    </row>
    <row r="15">
      <c r="A15" s="8" t="inlineStr">
        <is>
          <t>gst_and_indirect_tax</t>
        </is>
      </c>
      <c r="B15" s="8" t="inlineStr">
        <is>
          <t>gstr</t>
        </is>
      </c>
      <c r="C15" s="8" t="inlineStr">
        <is>
          <t>gst</t>
        </is>
      </c>
      <c r="D15" s="8" t="inlineStr">
        <is>
          <t>e way</t>
        </is>
      </c>
      <c r="E15" s="8" t="inlineStr">
        <is>
          <t>eway</t>
        </is>
      </c>
      <c r="F15" s="8" t="inlineStr">
        <is>
          <t>e invoice</t>
        </is>
      </c>
      <c r="G15" s="8" t="inlineStr">
        <is>
          <t>itc</t>
        </is>
      </c>
    </row>
    <row r="16">
      <c r="A16" s="8" t="inlineStr">
        <is>
          <t>tds_and_direct_tax</t>
        </is>
      </c>
      <c r="B16" s="8" t="inlineStr">
        <is>
          <t>tds</t>
        </is>
      </c>
      <c r="C16" s="8" t="inlineStr">
        <is>
          <t>26as</t>
        </is>
      </c>
      <c r="D16" s="8" t="inlineStr">
        <is>
          <t>ais</t>
        </is>
      </c>
      <c r="E16" s="8" t="inlineStr">
        <is>
          <t>form 16</t>
        </is>
      </c>
      <c r="F16" s="8" t="inlineStr">
        <is>
          <t>advance tax</t>
        </is>
      </c>
      <c r="G16" s="8" t="inlineStr">
        <is>
          <t>itr</t>
        </is>
      </c>
    </row>
    <row r="17">
      <c r="A17" s="8" t="inlineStr">
        <is>
          <t>statutory_payroll</t>
        </is>
      </c>
      <c r="B17" s="8" t="inlineStr">
        <is>
          <t>epf</t>
        </is>
      </c>
      <c r="C17" s="8" t="inlineStr">
        <is>
          <t>pf ecr</t>
        </is>
      </c>
      <c r="D17" s="8" t="inlineStr">
        <is>
          <t>esi</t>
        </is>
      </c>
      <c r="E17" s="8" t="inlineStr">
        <is>
          <t>professional tax</t>
        </is>
      </c>
      <c r="F17" s="8" t="inlineStr">
        <is>
          <t>lwf</t>
        </is>
      </c>
      <c r="G17" s="8" t="inlineStr">
        <is>
          <t>gratuity</t>
        </is>
      </c>
    </row>
    <row r="18">
      <c r="A18" s="8" t="inlineStr">
        <is>
          <t>tally_or_erp_export</t>
        </is>
      </c>
      <c r="B18" s="8" t="inlineStr">
        <is>
          <t>tally</t>
        </is>
      </c>
      <c r="C18" s="8" t="inlineStr">
        <is>
          <t>daybook</t>
        </is>
      </c>
      <c r="D18" s="8" t="inlineStr">
        <is>
          <t>day book</t>
        </is>
      </c>
      <c r="E18" s="8" t="inlineStr">
        <is>
          <t>ledger</t>
        </is>
      </c>
      <c r="F18" s="8" t="inlineStr">
        <is>
          <t>zoho books</t>
        </is>
      </c>
      <c r="G18" s="8" t="inlineStr">
        <is>
          <t>busy</t>
        </is>
      </c>
    </row>
    <row r="19"/>
    <row r="20"/>
    <row r="21"/>
    <row r="22">
      <c r="A22" s="7" t="inlineStr">
        <is>
          <t>data extensions</t>
        </is>
      </c>
      <c r="C22" s="7" t="inlineStr">
        <is>
          <t>context extensions</t>
        </is>
      </c>
      <c r="E22" s="7" t="inlineStr">
        <is>
          <t>context signals</t>
        </is>
      </c>
      <c r="G22" s="7" t="inlineStr">
        <is>
          <t>priority categories</t>
        </is>
      </c>
    </row>
    <row r="23">
      <c r="A23" s="8" t="inlineStr">
        <is>
          <t>.csv</t>
        </is>
      </c>
      <c r="C23" s="8" t="inlineStr">
        <is>
          <t>.md</t>
        </is>
      </c>
      <c r="E23" s="8" t="inlineStr">
        <is>
          <t>business</t>
        </is>
      </c>
      <c r="G23" s="8" t="inlineStr">
        <is>
          <t>profit_and_loss</t>
        </is>
      </c>
    </row>
    <row r="24">
      <c r="A24" s="8" t="inlineStr">
        <is>
          <t>.json</t>
        </is>
      </c>
      <c r="C24" s="8" t="inlineStr">
        <is>
          <t>.txt</t>
        </is>
      </c>
      <c r="E24" s="8" t="inlineStr">
        <is>
          <t>board</t>
        </is>
      </c>
      <c r="G24" s="8" t="inlineStr">
        <is>
          <t>balance_sheet</t>
        </is>
      </c>
    </row>
    <row r="25">
      <c r="A25" s="8" t="inlineStr">
        <is>
          <t>.parquet</t>
        </is>
      </c>
      <c r="E25" s="8" t="inlineStr">
        <is>
          <t>covenant</t>
        </is>
      </c>
      <c r="G25" s="8" t="inlineStr">
        <is>
          <t>ar_aging</t>
        </is>
      </c>
    </row>
    <row r="26">
      <c r="A26" s="8" t="inlineStr">
        <is>
          <t>.pdf</t>
        </is>
      </c>
      <c r="E26" s="8" t="inlineStr">
        <is>
          <t>finance</t>
        </is>
      </c>
      <c r="G26" s="8" t="inlineStr">
        <is>
          <t>ap_aging</t>
        </is>
      </c>
    </row>
    <row r="27">
      <c r="A27" s="8" t="inlineStr">
        <is>
          <t>.tsv</t>
        </is>
      </c>
      <c r="E27" s="8" t="inlineStr">
        <is>
          <t>model</t>
        </is>
      </c>
      <c r="G27" s="8" t="inlineStr">
        <is>
          <t>inventory</t>
        </is>
      </c>
    </row>
    <row r="28">
      <c r="A28" s="8" t="inlineStr">
        <is>
          <t>.xls</t>
        </is>
      </c>
      <c r="E28" s="8" t="inlineStr">
        <is>
          <t>planning</t>
        </is>
      </c>
    </row>
    <row r="29">
      <c r="A29" s="8" t="inlineStr">
        <is>
          <t>.xlsm</t>
        </is>
      </c>
      <c r="E29" s="8" t="inlineStr">
        <is>
          <t>pricing</t>
        </is>
      </c>
    </row>
    <row r="30">
      <c r="A30" s="8" t="inlineStr">
        <is>
          <t>.xlsx</t>
        </is>
      </c>
      <c r="E30" s="8" t="inlineStr">
        <is>
          <t>strategy</t>
        </is>
      </c>
    </row>
    <row r="31">
      <c r="A31" s="8" t="inlineStr">
        <is>
          <t>.xml</t>
        </is>
      </c>
    </row>
    <row r="32">
      <c r="A32" s="8" t="inlineStr">
        <is>
          <t>.yaml</t>
        </is>
      </c>
    </row>
    <row r="33">
      <c r="A33" s="8" t="inlineStr">
        <is>
          <t>.yml</t>
        </is>
      </c>
    </row>
    <row r="34">
      <c r="A34" s="8" t="inlineStr">
        <is>
          <t>.ods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8" customWidth="1" min="4" max="4"/>
  </cols>
  <sheetData>
    <row r="1">
      <c r="A1" s="1" t="inlineStr">
        <is>
          <t>Inspect summary (InspectionResult)</t>
        </is>
      </c>
    </row>
    <row r="2"/>
    <row r="3"/>
    <row r="4">
      <c r="A4" t="inlineStr">
        <is>
          <t>candidate file_count</t>
        </is>
      </c>
      <c r="B4" s="12">
        <f>SUM(Inspect!H5:H504)</f>
        <v/>
      </c>
    </row>
    <row r="5"/>
    <row r="6">
      <c r="A6" s="7" t="inlineStr">
        <is>
          <t>category</t>
        </is>
      </c>
      <c r="B6" s="7" t="inlineStr">
        <is>
          <t>count</t>
        </is>
      </c>
      <c r="C6" s="7" t="inlineStr">
        <is>
          <t>priority?</t>
        </is>
      </c>
      <c r="D6" s="7" t="inlineStr">
        <is>
          <t>missing priority?</t>
        </is>
      </c>
    </row>
    <row r="7">
      <c r="A7" t="inlineStr">
        <is>
          <t>profit_and_loss</t>
        </is>
      </c>
      <c r="B7" s="12">
        <f>COUNTIF(Inspect!$I$5:$I$504,A7)</f>
        <v/>
      </c>
      <c r="C7" s="6">
        <f>IF(COUNTIF(Classifiers!$G$23:$G$30,A7)&gt;0,"yes","")</f>
        <v/>
      </c>
      <c r="D7" s="6">
        <f>IF(AND(C7="yes",B7=0),"MISSING","")</f>
        <v/>
      </c>
    </row>
    <row r="8">
      <c r="A8" t="inlineStr">
        <is>
          <t>balance_sheet</t>
        </is>
      </c>
      <c r="B8" s="12">
        <f>COUNTIF(Inspect!$I$5:$I$504,A8)</f>
        <v/>
      </c>
      <c r="C8" s="6">
        <f>IF(COUNTIF(Classifiers!$G$23:$G$30,A8)&gt;0,"yes","")</f>
        <v/>
      </c>
      <c r="D8" s="6">
        <f>IF(AND(C8="yes",B8=0),"MISSING","")</f>
        <v/>
      </c>
    </row>
    <row r="9">
      <c r="A9" t="inlineStr">
        <is>
          <t>ar_aging</t>
        </is>
      </c>
      <c r="B9" s="12">
        <f>COUNTIF(Inspect!$I$5:$I$504,A9)</f>
        <v/>
      </c>
      <c r="C9" s="6">
        <f>IF(COUNTIF(Classifiers!$G$23:$G$30,A9)&gt;0,"yes","")</f>
        <v/>
      </c>
      <c r="D9" s="6">
        <f>IF(AND(C9="yes",B9=0),"MISSING","")</f>
        <v/>
      </c>
    </row>
    <row r="10">
      <c r="A10" t="inlineStr">
        <is>
          <t>ap_aging</t>
        </is>
      </c>
      <c r="B10" s="12">
        <f>COUNTIF(Inspect!$I$5:$I$504,A10)</f>
        <v/>
      </c>
      <c r="C10" s="6">
        <f>IF(COUNTIF(Classifiers!$G$23:$G$30,A10)&gt;0,"yes","")</f>
        <v/>
      </c>
      <c r="D10" s="6">
        <f>IF(AND(C10="yes",B10=0),"MISSING","")</f>
        <v/>
      </c>
    </row>
    <row r="11">
      <c r="A11" t="inlineStr">
        <is>
          <t>inventory</t>
        </is>
      </c>
      <c r="B11" s="12">
        <f>COUNTIF(Inspect!$I$5:$I$504,A11)</f>
        <v/>
      </c>
      <c r="C11" s="6">
        <f>IF(COUNTIF(Classifiers!$G$23:$G$30,A11)&gt;0,"yes","")</f>
        <v/>
      </c>
      <c r="D11" s="6">
        <f>IF(AND(C11="yes",B11=0),"MISSING","")</f>
        <v/>
      </c>
    </row>
    <row r="12">
      <c r="A12" t="inlineStr">
        <is>
          <t>cash_and_bank</t>
        </is>
      </c>
      <c r="B12" s="12">
        <f>COUNTIF(Inspect!$I$5:$I$504,A12)</f>
        <v/>
      </c>
      <c r="C12" s="6">
        <f>IF(COUNTIF(Classifiers!$G$23:$G$30,A12)&gt;0,"yes","")</f>
        <v/>
      </c>
      <c r="D12" s="6">
        <f>IF(AND(C12="yes",B12=0),"MISSING","")</f>
        <v/>
      </c>
    </row>
    <row r="13">
      <c r="A13" t="inlineStr">
        <is>
          <t>payroll_and_headcount</t>
        </is>
      </c>
      <c r="B13" s="12">
        <f>COUNTIF(Inspect!$I$5:$I$504,A13)</f>
        <v/>
      </c>
      <c r="C13" s="6">
        <f>IF(COUNTIF(Classifiers!$G$23:$G$30,A13)&gt;0,"yes","")</f>
        <v/>
      </c>
      <c r="D13" s="6">
        <f>IF(AND(C13="yes",B13=0),"MISSING","")</f>
        <v/>
      </c>
    </row>
    <row r="14">
      <c r="A14" t="inlineStr">
        <is>
          <t>sales_and_revenue</t>
        </is>
      </c>
      <c r="B14" s="12">
        <f>COUNTIF(Inspect!$I$5:$I$504,A14)</f>
        <v/>
      </c>
      <c r="C14" s="6">
        <f>IF(COUNTIF(Classifiers!$G$23:$G$30,A14)&gt;0,"yes","")</f>
        <v/>
      </c>
      <c r="D14" s="6">
        <f>IF(AND(C14="yes",B14=0),"MISSING","")</f>
        <v/>
      </c>
    </row>
    <row r="15">
      <c r="A15" t="inlineStr">
        <is>
          <t>budget_and_forecast</t>
        </is>
      </c>
      <c r="B15" s="12">
        <f>COUNTIF(Inspect!$I$5:$I$504,A15)</f>
        <v/>
      </c>
      <c r="C15" s="6">
        <f>IF(COUNTIF(Classifiers!$G$23:$G$30,A15)&gt;0,"yes","")</f>
        <v/>
      </c>
      <c r="D15" s="6">
        <f>IF(AND(C15="yes",B15=0),"MISSING","")</f>
        <v/>
      </c>
    </row>
    <row r="16">
      <c r="A16" t="inlineStr">
        <is>
          <t>operations</t>
        </is>
      </c>
      <c r="B16" s="12">
        <f>COUNTIF(Inspect!$I$5:$I$504,A16)</f>
        <v/>
      </c>
      <c r="C16" s="6">
        <f>IF(COUNTIF(Classifiers!$G$23:$G$30,A16)&gt;0,"yes","")</f>
        <v/>
      </c>
      <c r="D16" s="6">
        <f>IF(AND(C16="yes",B16=0),"MISSING","")</f>
        <v/>
      </c>
    </row>
    <row r="17">
      <c r="A17" t="inlineStr">
        <is>
          <t>gst_and_indirect_tax</t>
        </is>
      </c>
      <c r="B17" s="12">
        <f>COUNTIF(Inspect!$I$5:$I$504,A17)</f>
        <v/>
      </c>
      <c r="C17" s="6">
        <f>IF(COUNTIF(Classifiers!$G$23:$G$30,A17)&gt;0,"yes","")</f>
        <v/>
      </c>
      <c r="D17" s="6">
        <f>IF(AND(C17="yes",B17=0),"MISSING","")</f>
        <v/>
      </c>
    </row>
    <row r="18">
      <c r="A18" t="inlineStr">
        <is>
          <t>tds_and_direct_tax</t>
        </is>
      </c>
      <c r="B18" s="12">
        <f>COUNTIF(Inspect!$I$5:$I$504,A18)</f>
        <v/>
      </c>
      <c r="C18" s="6">
        <f>IF(COUNTIF(Classifiers!$G$23:$G$30,A18)&gt;0,"yes","")</f>
        <v/>
      </c>
      <c r="D18" s="6">
        <f>IF(AND(C18="yes",B18=0),"MISSING","")</f>
        <v/>
      </c>
    </row>
    <row r="19">
      <c r="A19" t="inlineStr">
        <is>
          <t>statutory_payroll</t>
        </is>
      </c>
      <c r="B19" s="12">
        <f>COUNTIF(Inspect!$I$5:$I$504,A19)</f>
        <v/>
      </c>
      <c r="C19" s="6">
        <f>IF(COUNTIF(Classifiers!$G$23:$G$30,A19)&gt;0,"yes","")</f>
        <v/>
      </c>
      <c r="D19" s="6">
        <f>IF(AND(C19="yes",B19=0),"MISSING","")</f>
        <v/>
      </c>
    </row>
    <row r="20">
      <c r="A20" t="inlineStr">
        <is>
          <t>tally_or_erp_export</t>
        </is>
      </c>
      <c r="B20" s="12">
        <f>COUNTIF(Inspect!$I$5:$I$504,A20)</f>
        <v/>
      </c>
      <c r="C20" s="6">
        <f>IF(COUNTIF(Classifiers!$G$23:$G$30,A20)&gt;0,"yes","")</f>
        <v/>
      </c>
      <c r="D20" s="6">
        <f>IF(AND(C20="yes",B20=0),"MISSING","")</f>
        <v/>
      </c>
    </row>
    <row r="21">
      <c r="A21" t="inlineStr">
        <is>
          <t>unclassified</t>
        </is>
      </c>
      <c r="B21" s="12">
        <f>COUNTIF(Inspect!$I$5:$I$504,A21)</f>
        <v/>
      </c>
      <c r="C21" s="6">
        <f>IF(COUNTIF(Classifiers!$G$23:$G$30,A21)&gt;0,"yes","")</f>
        <v/>
      </c>
      <c r="D21" s="6">
        <f>IF(AND(C21="yes",B21=0),"MISSING","")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10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Profile (source-profile): paste header in row 10 and data from row 11 (cols A..O, up to 1,000 rows)</t>
        </is>
      </c>
    </row>
    <row r="2"/>
    <row r="3">
      <c r="A3" t="inlineStr">
        <is>
          <t>rows (non-empty)</t>
        </is>
      </c>
      <c r="B3" s="12">
        <f>SUM(R11:R1010)</f>
        <v/>
      </c>
    </row>
    <row r="4">
      <c r="A4" t="inlineStr">
        <is>
          <t>duplicate_rows (repeats of an earlier row)</t>
        </is>
      </c>
      <c r="B4" s="12">
        <f>SUM(S11:S1010)</f>
        <v/>
      </c>
    </row>
    <row r="5">
      <c r="A5" t="inlineStr">
        <is>
          <t>columns</t>
        </is>
      </c>
      <c r="B5" s="12">
        <f>SUMPRODUCT((A10:O10&lt;&gt;"")*1)</f>
        <v/>
      </c>
    </row>
    <row r="6"/>
    <row r="7">
      <c r="A7" t="inlineStr">
        <is>
          <t>empty_by_column -&gt;</t>
        </is>
      </c>
    </row>
    <row r="8">
      <c r="A8" s="12">
        <f>IF(A10="","",SUMPRODUCT(($R$11:$R$1010=1)*(A11:A1010="")))</f>
        <v/>
      </c>
      <c r="B8" s="12">
        <f>IF(B10="","",SUMPRODUCT(($R$11:$R$1010=1)*(B11:B1010="")))</f>
        <v/>
      </c>
      <c r="C8" s="12">
        <f>IF(C10="","",SUMPRODUCT(($R$11:$R$1010=1)*(C11:C1010="")))</f>
        <v/>
      </c>
      <c r="D8" s="12">
        <f>IF(D10="","",SUMPRODUCT(($R$11:$R$1010=1)*(D11:D1010="")))</f>
        <v/>
      </c>
      <c r="E8" s="12">
        <f>IF(E10="","",SUMPRODUCT(($R$11:$R$1010=1)*(E11:E1010="")))</f>
        <v/>
      </c>
      <c r="F8" s="12">
        <f>IF(F10="","",SUMPRODUCT(($R$11:$R$1010=1)*(F11:F1010="")))</f>
        <v/>
      </c>
      <c r="G8" s="12">
        <f>IF(G10="","",SUMPRODUCT(($R$11:$R$1010=1)*(G11:G1010="")))</f>
        <v/>
      </c>
      <c r="H8" s="12">
        <f>IF(H10="","",SUMPRODUCT(($R$11:$R$1010=1)*(H11:H1010="")))</f>
        <v/>
      </c>
      <c r="I8" s="12">
        <f>IF(I10="","",SUMPRODUCT(($R$11:$R$1010=1)*(I11:I1010="")))</f>
        <v/>
      </c>
      <c r="J8" s="12">
        <f>IF(J10="","",SUMPRODUCT(($R$11:$R$1010=1)*(J11:J1010="")))</f>
        <v/>
      </c>
      <c r="K8" s="12">
        <f>IF(K10="","",SUMPRODUCT(($R$11:$R$1010=1)*(K11:K1010="")))</f>
        <v/>
      </c>
      <c r="L8" s="12">
        <f>IF(L10="","",SUMPRODUCT(($R$11:$R$1010=1)*(L11:L1010="")))</f>
        <v/>
      </c>
      <c r="M8" s="12">
        <f>IF(M10="","",SUMPRODUCT(($R$11:$R$1010=1)*(M11:M1010="")))</f>
        <v/>
      </c>
      <c r="N8" s="12">
        <f>IF(N10="","",SUMPRODUCT(($R$11:$R$1010=1)*(N11:N1010="")))</f>
        <v/>
      </c>
      <c r="O8" s="12">
        <f>IF(O10="","",SUMPRODUCT(($R$11:$R$1010=1)*(O11:O1010="")))</f>
        <v/>
      </c>
    </row>
    <row r="9">
      <c r="Q9" t="inlineStr">
        <is>
          <t>row key (helper)</t>
        </is>
      </c>
      <c r="R9" t="inlineStr">
        <is>
          <t>non-empty</t>
        </is>
      </c>
      <c r="S9" t="inlineStr">
        <is>
          <t>duplicate of earlier</t>
        </is>
      </c>
    </row>
    <row r="10"/>
    <row r="11">
      <c r="Q11">
        <f>A11&amp;"|"&amp;B11&amp;"|"&amp;C11&amp;"|"&amp;D11&amp;"|"&amp;E11&amp;"|"&amp;F11&amp;"|"&amp;G11&amp;"|"&amp;H11&amp;"|"&amp;I11&amp;"|"&amp;J11&amp;"|"&amp;K11&amp;"|"&amp;L11&amp;"|"&amp;M11&amp;"|"&amp;N11&amp;"|"&amp;O11</f>
        <v/>
      </c>
      <c r="R11">
        <f>IF(Q11=REPT("|",14),0,1)</f>
        <v/>
      </c>
      <c r="S11">
        <f>0</f>
        <v/>
      </c>
    </row>
    <row r="12">
      <c r="Q12">
        <f>A12&amp;"|"&amp;B12&amp;"|"&amp;C12&amp;"|"&amp;D12&amp;"|"&amp;E12&amp;"|"&amp;F12&amp;"|"&amp;G12&amp;"|"&amp;H12&amp;"|"&amp;I12&amp;"|"&amp;J12&amp;"|"&amp;K12&amp;"|"&amp;L12&amp;"|"&amp;M12&amp;"|"&amp;N12&amp;"|"&amp;O12</f>
        <v/>
      </c>
      <c r="R12">
        <f>IF(Q12=REPT("|",14),0,1)</f>
        <v/>
      </c>
      <c r="S12">
        <f>IF(R12=0,0,IF(SUMPRODUCT(($Q$11:Q11=Q12)*($R$11:R11=1))&gt;0,1,0))</f>
        <v/>
      </c>
    </row>
    <row r="13">
      <c r="Q13">
        <f>A13&amp;"|"&amp;B13&amp;"|"&amp;C13&amp;"|"&amp;D13&amp;"|"&amp;E13&amp;"|"&amp;F13&amp;"|"&amp;G13&amp;"|"&amp;H13&amp;"|"&amp;I13&amp;"|"&amp;J13&amp;"|"&amp;K13&amp;"|"&amp;L13&amp;"|"&amp;M13&amp;"|"&amp;N13&amp;"|"&amp;O13</f>
        <v/>
      </c>
      <c r="R13">
        <f>IF(Q13=REPT("|",14),0,1)</f>
        <v/>
      </c>
      <c r="S13">
        <f>IF(R13=0,0,IF(SUMPRODUCT(($Q$11:Q12=Q13)*($R$11:R12=1))&gt;0,1,0))</f>
        <v/>
      </c>
    </row>
    <row r="14">
      <c r="Q14">
        <f>A14&amp;"|"&amp;B14&amp;"|"&amp;C14&amp;"|"&amp;D14&amp;"|"&amp;E14&amp;"|"&amp;F14&amp;"|"&amp;G14&amp;"|"&amp;H14&amp;"|"&amp;I14&amp;"|"&amp;J14&amp;"|"&amp;K14&amp;"|"&amp;L14&amp;"|"&amp;M14&amp;"|"&amp;N14&amp;"|"&amp;O14</f>
        <v/>
      </c>
      <c r="R14">
        <f>IF(Q14=REPT("|",14),0,1)</f>
        <v/>
      </c>
      <c r="S14">
        <f>IF(R14=0,0,IF(SUMPRODUCT(($Q$11:Q13=Q14)*($R$11:R13=1))&gt;0,1,0))</f>
        <v/>
      </c>
    </row>
    <row r="15">
      <c r="Q15">
        <f>A15&amp;"|"&amp;B15&amp;"|"&amp;C15&amp;"|"&amp;D15&amp;"|"&amp;E15&amp;"|"&amp;F15&amp;"|"&amp;G15&amp;"|"&amp;H15&amp;"|"&amp;I15&amp;"|"&amp;J15&amp;"|"&amp;K15&amp;"|"&amp;L15&amp;"|"&amp;M15&amp;"|"&amp;N15&amp;"|"&amp;O15</f>
        <v/>
      </c>
      <c r="R15">
        <f>IF(Q15=REPT("|",14),0,1)</f>
        <v/>
      </c>
      <c r="S15">
        <f>IF(R15=0,0,IF(SUMPRODUCT(($Q$11:Q14=Q15)*($R$11:R14=1))&gt;0,1,0))</f>
        <v/>
      </c>
    </row>
    <row r="16">
      <c r="Q16">
        <f>A16&amp;"|"&amp;B16&amp;"|"&amp;C16&amp;"|"&amp;D16&amp;"|"&amp;E16&amp;"|"&amp;F16&amp;"|"&amp;G16&amp;"|"&amp;H16&amp;"|"&amp;I16&amp;"|"&amp;J16&amp;"|"&amp;K16&amp;"|"&amp;L16&amp;"|"&amp;M16&amp;"|"&amp;N16&amp;"|"&amp;O16</f>
        <v/>
      </c>
      <c r="R16">
        <f>IF(Q16=REPT("|",14),0,1)</f>
        <v/>
      </c>
      <c r="S16">
        <f>IF(R16=0,0,IF(SUMPRODUCT(($Q$11:Q15=Q16)*($R$11:R15=1))&gt;0,1,0))</f>
        <v/>
      </c>
    </row>
    <row r="17">
      <c r="Q17">
        <f>A17&amp;"|"&amp;B17&amp;"|"&amp;C17&amp;"|"&amp;D17&amp;"|"&amp;E17&amp;"|"&amp;F17&amp;"|"&amp;G17&amp;"|"&amp;H17&amp;"|"&amp;I17&amp;"|"&amp;J17&amp;"|"&amp;K17&amp;"|"&amp;L17&amp;"|"&amp;M17&amp;"|"&amp;N17&amp;"|"&amp;O17</f>
        <v/>
      </c>
      <c r="R17">
        <f>IF(Q17=REPT("|",14),0,1)</f>
        <v/>
      </c>
      <c r="S17">
        <f>IF(R17=0,0,IF(SUMPRODUCT(($Q$11:Q16=Q17)*($R$11:R16=1))&gt;0,1,0))</f>
        <v/>
      </c>
    </row>
    <row r="18">
      <c r="Q18">
        <f>A18&amp;"|"&amp;B18&amp;"|"&amp;C18&amp;"|"&amp;D18&amp;"|"&amp;E18&amp;"|"&amp;F18&amp;"|"&amp;G18&amp;"|"&amp;H18&amp;"|"&amp;I18&amp;"|"&amp;J18&amp;"|"&amp;K18&amp;"|"&amp;L18&amp;"|"&amp;M18&amp;"|"&amp;N18&amp;"|"&amp;O18</f>
        <v/>
      </c>
      <c r="R18">
        <f>IF(Q18=REPT("|",14),0,1)</f>
        <v/>
      </c>
      <c r="S18">
        <f>IF(R18=0,0,IF(SUMPRODUCT(($Q$11:Q17=Q18)*($R$11:R17=1))&gt;0,1,0))</f>
        <v/>
      </c>
    </row>
    <row r="19">
      <c r="Q19">
        <f>A19&amp;"|"&amp;B19&amp;"|"&amp;C19&amp;"|"&amp;D19&amp;"|"&amp;E19&amp;"|"&amp;F19&amp;"|"&amp;G19&amp;"|"&amp;H19&amp;"|"&amp;I19&amp;"|"&amp;J19&amp;"|"&amp;K19&amp;"|"&amp;L19&amp;"|"&amp;M19&amp;"|"&amp;N19&amp;"|"&amp;O19</f>
        <v/>
      </c>
      <c r="R19">
        <f>IF(Q19=REPT("|",14),0,1)</f>
        <v/>
      </c>
      <c r="S19">
        <f>IF(R19=0,0,IF(SUMPRODUCT(($Q$11:Q18=Q19)*($R$11:R18=1))&gt;0,1,0))</f>
        <v/>
      </c>
    </row>
    <row r="20">
      <c r="Q20">
        <f>A20&amp;"|"&amp;B20&amp;"|"&amp;C20&amp;"|"&amp;D20&amp;"|"&amp;E20&amp;"|"&amp;F20&amp;"|"&amp;G20&amp;"|"&amp;H20&amp;"|"&amp;I20&amp;"|"&amp;J20&amp;"|"&amp;K20&amp;"|"&amp;L20&amp;"|"&amp;M20&amp;"|"&amp;N20&amp;"|"&amp;O20</f>
        <v/>
      </c>
      <c r="R20">
        <f>IF(Q20=REPT("|",14),0,1)</f>
        <v/>
      </c>
      <c r="S20">
        <f>IF(R20=0,0,IF(SUMPRODUCT(($Q$11:Q19=Q20)*($R$11:R19=1))&gt;0,1,0))</f>
        <v/>
      </c>
    </row>
    <row r="21">
      <c r="Q21">
        <f>A21&amp;"|"&amp;B21&amp;"|"&amp;C21&amp;"|"&amp;D21&amp;"|"&amp;E21&amp;"|"&amp;F21&amp;"|"&amp;G21&amp;"|"&amp;H21&amp;"|"&amp;I21&amp;"|"&amp;J21&amp;"|"&amp;K21&amp;"|"&amp;L21&amp;"|"&amp;M21&amp;"|"&amp;N21&amp;"|"&amp;O21</f>
        <v/>
      </c>
      <c r="R21">
        <f>IF(Q21=REPT("|",14),0,1)</f>
        <v/>
      </c>
      <c r="S21">
        <f>IF(R21=0,0,IF(SUMPRODUCT(($Q$11:Q20=Q21)*($R$11:R20=1))&gt;0,1,0))</f>
        <v/>
      </c>
    </row>
    <row r="22">
      <c r="Q22">
        <f>A22&amp;"|"&amp;B22&amp;"|"&amp;C22&amp;"|"&amp;D22&amp;"|"&amp;E22&amp;"|"&amp;F22&amp;"|"&amp;G22&amp;"|"&amp;H22&amp;"|"&amp;I22&amp;"|"&amp;J22&amp;"|"&amp;K22&amp;"|"&amp;L22&amp;"|"&amp;M22&amp;"|"&amp;N22&amp;"|"&amp;O22</f>
        <v/>
      </c>
      <c r="R22">
        <f>IF(Q22=REPT("|",14),0,1)</f>
        <v/>
      </c>
      <c r="S22">
        <f>IF(R22=0,0,IF(SUMPRODUCT(($Q$11:Q21=Q22)*($R$11:R21=1))&gt;0,1,0))</f>
        <v/>
      </c>
    </row>
    <row r="23">
      <c r="Q23">
        <f>A23&amp;"|"&amp;B23&amp;"|"&amp;C23&amp;"|"&amp;D23&amp;"|"&amp;E23&amp;"|"&amp;F23&amp;"|"&amp;G23&amp;"|"&amp;H23&amp;"|"&amp;I23&amp;"|"&amp;J23&amp;"|"&amp;K23&amp;"|"&amp;L23&amp;"|"&amp;M23&amp;"|"&amp;N23&amp;"|"&amp;O23</f>
        <v/>
      </c>
      <c r="R23">
        <f>IF(Q23=REPT("|",14),0,1)</f>
        <v/>
      </c>
      <c r="S23">
        <f>IF(R23=0,0,IF(SUMPRODUCT(($Q$11:Q22=Q23)*($R$11:R22=1))&gt;0,1,0))</f>
        <v/>
      </c>
    </row>
    <row r="24">
      <c r="Q24">
        <f>A24&amp;"|"&amp;B24&amp;"|"&amp;C24&amp;"|"&amp;D24&amp;"|"&amp;E24&amp;"|"&amp;F24&amp;"|"&amp;G24&amp;"|"&amp;H24&amp;"|"&amp;I24&amp;"|"&amp;J24&amp;"|"&amp;K24&amp;"|"&amp;L24&amp;"|"&amp;M24&amp;"|"&amp;N24&amp;"|"&amp;O24</f>
        <v/>
      </c>
      <c r="R24">
        <f>IF(Q24=REPT("|",14),0,1)</f>
        <v/>
      </c>
      <c r="S24">
        <f>IF(R24=0,0,IF(SUMPRODUCT(($Q$11:Q23=Q24)*($R$11:R23=1))&gt;0,1,0))</f>
        <v/>
      </c>
    </row>
    <row r="25">
      <c r="Q25">
        <f>A25&amp;"|"&amp;B25&amp;"|"&amp;C25&amp;"|"&amp;D25&amp;"|"&amp;E25&amp;"|"&amp;F25&amp;"|"&amp;G25&amp;"|"&amp;H25&amp;"|"&amp;I25&amp;"|"&amp;J25&amp;"|"&amp;K25&amp;"|"&amp;L25&amp;"|"&amp;M25&amp;"|"&amp;N25&amp;"|"&amp;O25</f>
        <v/>
      </c>
      <c r="R25">
        <f>IF(Q25=REPT("|",14),0,1)</f>
        <v/>
      </c>
      <c r="S25">
        <f>IF(R25=0,0,IF(SUMPRODUCT(($Q$11:Q24=Q25)*($R$11:R24=1))&gt;0,1,0))</f>
        <v/>
      </c>
    </row>
    <row r="26">
      <c r="Q26">
        <f>A26&amp;"|"&amp;B26&amp;"|"&amp;C26&amp;"|"&amp;D26&amp;"|"&amp;E26&amp;"|"&amp;F26&amp;"|"&amp;G26&amp;"|"&amp;H26&amp;"|"&amp;I26&amp;"|"&amp;J26&amp;"|"&amp;K26&amp;"|"&amp;L26&amp;"|"&amp;M26&amp;"|"&amp;N26&amp;"|"&amp;O26</f>
        <v/>
      </c>
      <c r="R26">
        <f>IF(Q26=REPT("|",14),0,1)</f>
        <v/>
      </c>
      <c r="S26">
        <f>IF(R26=0,0,IF(SUMPRODUCT(($Q$11:Q25=Q26)*($R$11:R25=1))&gt;0,1,0))</f>
        <v/>
      </c>
    </row>
    <row r="27">
      <c r="Q27">
        <f>A27&amp;"|"&amp;B27&amp;"|"&amp;C27&amp;"|"&amp;D27&amp;"|"&amp;E27&amp;"|"&amp;F27&amp;"|"&amp;G27&amp;"|"&amp;H27&amp;"|"&amp;I27&amp;"|"&amp;J27&amp;"|"&amp;K27&amp;"|"&amp;L27&amp;"|"&amp;M27&amp;"|"&amp;N27&amp;"|"&amp;O27</f>
        <v/>
      </c>
      <c r="R27">
        <f>IF(Q27=REPT("|",14),0,1)</f>
        <v/>
      </c>
      <c r="S27">
        <f>IF(R27=0,0,IF(SUMPRODUCT(($Q$11:Q26=Q27)*($R$11:R26=1))&gt;0,1,0))</f>
        <v/>
      </c>
    </row>
    <row r="28">
      <c r="Q28">
        <f>A28&amp;"|"&amp;B28&amp;"|"&amp;C28&amp;"|"&amp;D28&amp;"|"&amp;E28&amp;"|"&amp;F28&amp;"|"&amp;G28&amp;"|"&amp;H28&amp;"|"&amp;I28&amp;"|"&amp;J28&amp;"|"&amp;K28&amp;"|"&amp;L28&amp;"|"&amp;M28&amp;"|"&amp;N28&amp;"|"&amp;O28</f>
        <v/>
      </c>
      <c r="R28">
        <f>IF(Q28=REPT("|",14),0,1)</f>
        <v/>
      </c>
      <c r="S28">
        <f>IF(R28=0,0,IF(SUMPRODUCT(($Q$11:Q27=Q28)*($R$11:R27=1))&gt;0,1,0))</f>
        <v/>
      </c>
    </row>
    <row r="29">
      <c r="Q29">
        <f>A29&amp;"|"&amp;B29&amp;"|"&amp;C29&amp;"|"&amp;D29&amp;"|"&amp;E29&amp;"|"&amp;F29&amp;"|"&amp;G29&amp;"|"&amp;H29&amp;"|"&amp;I29&amp;"|"&amp;J29&amp;"|"&amp;K29&amp;"|"&amp;L29&amp;"|"&amp;M29&amp;"|"&amp;N29&amp;"|"&amp;O29</f>
        <v/>
      </c>
      <c r="R29">
        <f>IF(Q29=REPT("|",14),0,1)</f>
        <v/>
      </c>
      <c r="S29">
        <f>IF(R29=0,0,IF(SUMPRODUCT(($Q$11:Q28=Q29)*($R$11:R28=1))&gt;0,1,0))</f>
        <v/>
      </c>
    </row>
    <row r="30">
      <c r="Q30">
        <f>A30&amp;"|"&amp;B30&amp;"|"&amp;C30&amp;"|"&amp;D30&amp;"|"&amp;E30&amp;"|"&amp;F30&amp;"|"&amp;G30&amp;"|"&amp;H30&amp;"|"&amp;I30&amp;"|"&amp;J30&amp;"|"&amp;K30&amp;"|"&amp;L30&amp;"|"&amp;M30&amp;"|"&amp;N30&amp;"|"&amp;O30</f>
        <v/>
      </c>
      <c r="R30">
        <f>IF(Q30=REPT("|",14),0,1)</f>
        <v/>
      </c>
      <c r="S30">
        <f>IF(R30=0,0,IF(SUMPRODUCT(($Q$11:Q29=Q30)*($R$11:R29=1))&gt;0,1,0))</f>
        <v/>
      </c>
    </row>
    <row r="31">
      <c r="Q31">
        <f>A31&amp;"|"&amp;B31&amp;"|"&amp;C31&amp;"|"&amp;D31&amp;"|"&amp;E31&amp;"|"&amp;F31&amp;"|"&amp;G31&amp;"|"&amp;H31&amp;"|"&amp;I31&amp;"|"&amp;J31&amp;"|"&amp;K31&amp;"|"&amp;L31&amp;"|"&amp;M31&amp;"|"&amp;N31&amp;"|"&amp;O31</f>
        <v/>
      </c>
      <c r="R31">
        <f>IF(Q31=REPT("|",14),0,1)</f>
        <v/>
      </c>
      <c r="S31">
        <f>IF(R31=0,0,IF(SUMPRODUCT(($Q$11:Q30=Q31)*($R$11:R30=1))&gt;0,1,0))</f>
        <v/>
      </c>
    </row>
    <row r="32">
      <c r="Q32">
        <f>A32&amp;"|"&amp;B32&amp;"|"&amp;C32&amp;"|"&amp;D32&amp;"|"&amp;E32&amp;"|"&amp;F32&amp;"|"&amp;G32&amp;"|"&amp;H32&amp;"|"&amp;I32&amp;"|"&amp;J32&amp;"|"&amp;K32&amp;"|"&amp;L32&amp;"|"&amp;M32&amp;"|"&amp;N32&amp;"|"&amp;O32</f>
        <v/>
      </c>
      <c r="R32">
        <f>IF(Q32=REPT("|",14),0,1)</f>
        <v/>
      </c>
      <c r="S32">
        <f>IF(R32=0,0,IF(SUMPRODUCT(($Q$11:Q31=Q32)*($R$11:R31=1))&gt;0,1,0))</f>
        <v/>
      </c>
    </row>
    <row r="33">
      <c r="Q33">
        <f>A33&amp;"|"&amp;B33&amp;"|"&amp;C33&amp;"|"&amp;D33&amp;"|"&amp;E33&amp;"|"&amp;F33&amp;"|"&amp;G33&amp;"|"&amp;H33&amp;"|"&amp;I33&amp;"|"&amp;J33&amp;"|"&amp;K33&amp;"|"&amp;L33&amp;"|"&amp;M33&amp;"|"&amp;N33&amp;"|"&amp;O33</f>
        <v/>
      </c>
      <c r="R33">
        <f>IF(Q33=REPT("|",14),0,1)</f>
        <v/>
      </c>
      <c r="S33">
        <f>IF(R33=0,0,IF(SUMPRODUCT(($Q$11:Q32=Q33)*($R$11:R32=1))&gt;0,1,0))</f>
        <v/>
      </c>
    </row>
    <row r="34">
      <c r="Q34">
        <f>A34&amp;"|"&amp;B34&amp;"|"&amp;C34&amp;"|"&amp;D34&amp;"|"&amp;E34&amp;"|"&amp;F34&amp;"|"&amp;G34&amp;"|"&amp;H34&amp;"|"&amp;I34&amp;"|"&amp;J34&amp;"|"&amp;K34&amp;"|"&amp;L34&amp;"|"&amp;M34&amp;"|"&amp;N34&amp;"|"&amp;O34</f>
        <v/>
      </c>
      <c r="R34">
        <f>IF(Q34=REPT("|",14),0,1)</f>
        <v/>
      </c>
      <c r="S34">
        <f>IF(R34=0,0,IF(SUMPRODUCT(($Q$11:Q33=Q34)*($R$11:R33=1))&gt;0,1,0))</f>
        <v/>
      </c>
    </row>
    <row r="35">
      <c r="Q35">
        <f>A35&amp;"|"&amp;B35&amp;"|"&amp;C35&amp;"|"&amp;D35&amp;"|"&amp;E35&amp;"|"&amp;F35&amp;"|"&amp;G35&amp;"|"&amp;H35&amp;"|"&amp;I35&amp;"|"&amp;J35&amp;"|"&amp;K35&amp;"|"&amp;L35&amp;"|"&amp;M35&amp;"|"&amp;N35&amp;"|"&amp;O35</f>
        <v/>
      </c>
      <c r="R35">
        <f>IF(Q35=REPT("|",14),0,1)</f>
        <v/>
      </c>
      <c r="S35">
        <f>IF(R35=0,0,IF(SUMPRODUCT(($Q$11:Q34=Q35)*($R$11:R34=1))&gt;0,1,0))</f>
        <v/>
      </c>
    </row>
    <row r="36">
      <c r="Q36">
        <f>A36&amp;"|"&amp;B36&amp;"|"&amp;C36&amp;"|"&amp;D36&amp;"|"&amp;E36&amp;"|"&amp;F36&amp;"|"&amp;G36&amp;"|"&amp;H36&amp;"|"&amp;I36&amp;"|"&amp;J36&amp;"|"&amp;K36&amp;"|"&amp;L36&amp;"|"&amp;M36&amp;"|"&amp;N36&amp;"|"&amp;O36</f>
        <v/>
      </c>
      <c r="R36">
        <f>IF(Q36=REPT("|",14),0,1)</f>
        <v/>
      </c>
      <c r="S36">
        <f>IF(R36=0,0,IF(SUMPRODUCT(($Q$11:Q35=Q36)*($R$11:R35=1))&gt;0,1,0))</f>
        <v/>
      </c>
    </row>
    <row r="37">
      <c r="Q37">
        <f>A37&amp;"|"&amp;B37&amp;"|"&amp;C37&amp;"|"&amp;D37&amp;"|"&amp;E37&amp;"|"&amp;F37&amp;"|"&amp;G37&amp;"|"&amp;H37&amp;"|"&amp;I37&amp;"|"&amp;J37&amp;"|"&amp;K37&amp;"|"&amp;L37&amp;"|"&amp;M37&amp;"|"&amp;N37&amp;"|"&amp;O37</f>
        <v/>
      </c>
      <c r="R37">
        <f>IF(Q37=REPT("|",14),0,1)</f>
        <v/>
      </c>
      <c r="S37">
        <f>IF(R37=0,0,IF(SUMPRODUCT(($Q$11:Q36=Q37)*($R$11:R36=1))&gt;0,1,0))</f>
        <v/>
      </c>
    </row>
    <row r="38">
      <c r="Q38">
        <f>A38&amp;"|"&amp;B38&amp;"|"&amp;C38&amp;"|"&amp;D38&amp;"|"&amp;E38&amp;"|"&amp;F38&amp;"|"&amp;G38&amp;"|"&amp;H38&amp;"|"&amp;I38&amp;"|"&amp;J38&amp;"|"&amp;K38&amp;"|"&amp;L38&amp;"|"&amp;M38&amp;"|"&amp;N38&amp;"|"&amp;O38</f>
        <v/>
      </c>
      <c r="R38">
        <f>IF(Q38=REPT("|",14),0,1)</f>
        <v/>
      </c>
      <c r="S38">
        <f>IF(R38=0,0,IF(SUMPRODUCT(($Q$11:Q37=Q38)*($R$11:R37=1))&gt;0,1,0))</f>
        <v/>
      </c>
    </row>
    <row r="39">
      <c r="Q39">
        <f>A39&amp;"|"&amp;B39&amp;"|"&amp;C39&amp;"|"&amp;D39&amp;"|"&amp;E39&amp;"|"&amp;F39&amp;"|"&amp;G39&amp;"|"&amp;H39&amp;"|"&amp;I39&amp;"|"&amp;J39&amp;"|"&amp;K39&amp;"|"&amp;L39&amp;"|"&amp;M39&amp;"|"&amp;N39&amp;"|"&amp;O39</f>
        <v/>
      </c>
      <c r="R39">
        <f>IF(Q39=REPT("|",14),0,1)</f>
        <v/>
      </c>
      <c r="S39">
        <f>IF(R39=0,0,IF(SUMPRODUCT(($Q$11:Q38=Q39)*($R$11:R38=1))&gt;0,1,0))</f>
        <v/>
      </c>
    </row>
    <row r="40">
      <c r="Q40">
        <f>A40&amp;"|"&amp;B40&amp;"|"&amp;C40&amp;"|"&amp;D40&amp;"|"&amp;E40&amp;"|"&amp;F40&amp;"|"&amp;G40&amp;"|"&amp;H40&amp;"|"&amp;I40&amp;"|"&amp;J40&amp;"|"&amp;K40&amp;"|"&amp;L40&amp;"|"&amp;M40&amp;"|"&amp;N40&amp;"|"&amp;O40</f>
        <v/>
      </c>
      <c r="R40">
        <f>IF(Q40=REPT("|",14),0,1)</f>
        <v/>
      </c>
      <c r="S40">
        <f>IF(R40=0,0,IF(SUMPRODUCT(($Q$11:Q39=Q40)*($R$11:R39=1))&gt;0,1,0))</f>
        <v/>
      </c>
    </row>
    <row r="41">
      <c r="Q41">
        <f>A41&amp;"|"&amp;B41&amp;"|"&amp;C41&amp;"|"&amp;D41&amp;"|"&amp;E41&amp;"|"&amp;F41&amp;"|"&amp;G41&amp;"|"&amp;H41&amp;"|"&amp;I41&amp;"|"&amp;J41&amp;"|"&amp;K41&amp;"|"&amp;L41&amp;"|"&amp;M41&amp;"|"&amp;N41&amp;"|"&amp;O41</f>
        <v/>
      </c>
      <c r="R41">
        <f>IF(Q41=REPT("|",14),0,1)</f>
        <v/>
      </c>
      <c r="S41">
        <f>IF(R41=0,0,IF(SUMPRODUCT(($Q$11:Q40=Q41)*($R$11:R40=1))&gt;0,1,0))</f>
        <v/>
      </c>
    </row>
    <row r="42">
      <c r="Q42">
        <f>A42&amp;"|"&amp;B42&amp;"|"&amp;C42&amp;"|"&amp;D42&amp;"|"&amp;E42&amp;"|"&amp;F42&amp;"|"&amp;G42&amp;"|"&amp;H42&amp;"|"&amp;I42&amp;"|"&amp;J42&amp;"|"&amp;K42&amp;"|"&amp;L42&amp;"|"&amp;M42&amp;"|"&amp;N42&amp;"|"&amp;O42</f>
        <v/>
      </c>
      <c r="R42">
        <f>IF(Q42=REPT("|",14),0,1)</f>
        <v/>
      </c>
      <c r="S42">
        <f>IF(R42=0,0,IF(SUMPRODUCT(($Q$11:Q41=Q42)*($R$11:R41=1))&gt;0,1,0))</f>
        <v/>
      </c>
    </row>
    <row r="43">
      <c r="Q43">
        <f>A43&amp;"|"&amp;B43&amp;"|"&amp;C43&amp;"|"&amp;D43&amp;"|"&amp;E43&amp;"|"&amp;F43&amp;"|"&amp;G43&amp;"|"&amp;H43&amp;"|"&amp;I43&amp;"|"&amp;J43&amp;"|"&amp;K43&amp;"|"&amp;L43&amp;"|"&amp;M43&amp;"|"&amp;N43&amp;"|"&amp;O43</f>
        <v/>
      </c>
      <c r="R43">
        <f>IF(Q43=REPT("|",14),0,1)</f>
        <v/>
      </c>
      <c r="S43">
        <f>IF(R43=0,0,IF(SUMPRODUCT(($Q$11:Q42=Q43)*($R$11:R42=1))&gt;0,1,0))</f>
        <v/>
      </c>
    </row>
    <row r="44">
      <c r="Q44">
        <f>A44&amp;"|"&amp;B44&amp;"|"&amp;C44&amp;"|"&amp;D44&amp;"|"&amp;E44&amp;"|"&amp;F44&amp;"|"&amp;G44&amp;"|"&amp;H44&amp;"|"&amp;I44&amp;"|"&amp;J44&amp;"|"&amp;K44&amp;"|"&amp;L44&amp;"|"&amp;M44&amp;"|"&amp;N44&amp;"|"&amp;O44</f>
        <v/>
      </c>
      <c r="R44">
        <f>IF(Q44=REPT("|",14),0,1)</f>
        <v/>
      </c>
      <c r="S44">
        <f>IF(R44=0,0,IF(SUMPRODUCT(($Q$11:Q43=Q44)*($R$11:R43=1))&gt;0,1,0))</f>
        <v/>
      </c>
    </row>
    <row r="45">
      <c r="Q45">
        <f>A45&amp;"|"&amp;B45&amp;"|"&amp;C45&amp;"|"&amp;D45&amp;"|"&amp;E45&amp;"|"&amp;F45&amp;"|"&amp;G45&amp;"|"&amp;H45&amp;"|"&amp;I45&amp;"|"&amp;J45&amp;"|"&amp;K45&amp;"|"&amp;L45&amp;"|"&amp;M45&amp;"|"&amp;N45&amp;"|"&amp;O45</f>
        <v/>
      </c>
      <c r="R45">
        <f>IF(Q45=REPT("|",14),0,1)</f>
        <v/>
      </c>
      <c r="S45">
        <f>IF(R45=0,0,IF(SUMPRODUCT(($Q$11:Q44=Q45)*($R$11:R44=1))&gt;0,1,0))</f>
        <v/>
      </c>
    </row>
    <row r="46">
      <c r="Q46">
        <f>A46&amp;"|"&amp;B46&amp;"|"&amp;C46&amp;"|"&amp;D46&amp;"|"&amp;E46&amp;"|"&amp;F46&amp;"|"&amp;G46&amp;"|"&amp;H46&amp;"|"&amp;I46&amp;"|"&amp;J46&amp;"|"&amp;K46&amp;"|"&amp;L46&amp;"|"&amp;M46&amp;"|"&amp;N46&amp;"|"&amp;O46</f>
        <v/>
      </c>
      <c r="R46">
        <f>IF(Q46=REPT("|",14),0,1)</f>
        <v/>
      </c>
      <c r="S46">
        <f>IF(R46=0,0,IF(SUMPRODUCT(($Q$11:Q45=Q46)*($R$11:R45=1))&gt;0,1,0))</f>
        <v/>
      </c>
    </row>
    <row r="47">
      <c r="Q47">
        <f>A47&amp;"|"&amp;B47&amp;"|"&amp;C47&amp;"|"&amp;D47&amp;"|"&amp;E47&amp;"|"&amp;F47&amp;"|"&amp;G47&amp;"|"&amp;H47&amp;"|"&amp;I47&amp;"|"&amp;J47&amp;"|"&amp;K47&amp;"|"&amp;L47&amp;"|"&amp;M47&amp;"|"&amp;N47&amp;"|"&amp;O47</f>
        <v/>
      </c>
      <c r="R47">
        <f>IF(Q47=REPT("|",14),0,1)</f>
        <v/>
      </c>
      <c r="S47">
        <f>IF(R47=0,0,IF(SUMPRODUCT(($Q$11:Q46=Q47)*($R$11:R46=1))&gt;0,1,0))</f>
        <v/>
      </c>
    </row>
    <row r="48">
      <c r="Q48">
        <f>A48&amp;"|"&amp;B48&amp;"|"&amp;C48&amp;"|"&amp;D48&amp;"|"&amp;E48&amp;"|"&amp;F48&amp;"|"&amp;G48&amp;"|"&amp;H48&amp;"|"&amp;I48&amp;"|"&amp;J48&amp;"|"&amp;K48&amp;"|"&amp;L48&amp;"|"&amp;M48&amp;"|"&amp;N48&amp;"|"&amp;O48</f>
        <v/>
      </c>
      <c r="R48">
        <f>IF(Q48=REPT("|",14),0,1)</f>
        <v/>
      </c>
      <c r="S48">
        <f>IF(R48=0,0,IF(SUMPRODUCT(($Q$11:Q47=Q48)*($R$11:R47=1))&gt;0,1,0))</f>
        <v/>
      </c>
    </row>
    <row r="49">
      <c r="Q49">
        <f>A49&amp;"|"&amp;B49&amp;"|"&amp;C49&amp;"|"&amp;D49&amp;"|"&amp;E49&amp;"|"&amp;F49&amp;"|"&amp;G49&amp;"|"&amp;H49&amp;"|"&amp;I49&amp;"|"&amp;J49&amp;"|"&amp;K49&amp;"|"&amp;L49&amp;"|"&amp;M49&amp;"|"&amp;N49&amp;"|"&amp;O49</f>
        <v/>
      </c>
      <c r="R49">
        <f>IF(Q49=REPT("|",14),0,1)</f>
        <v/>
      </c>
      <c r="S49">
        <f>IF(R49=0,0,IF(SUMPRODUCT(($Q$11:Q48=Q49)*($R$11:R48=1))&gt;0,1,0))</f>
        <v/>
      </c>
    </row>
    <row r="50">
      <c r="Q50">
        <f>A50&amp;"|"&amp;B50&amp;"|"&amp;C50&amp;"|"&amp;D50&amp;"|"&amp;E50&amp;"|"&amp;F50&amp;"|"&amp;G50&amp;"|"&amp;H50&amp;"|"&amp;I50&amp;"|"&amp;J50&amp;"|"&amp;K50&amp;"|"&amp;L50&amp;"|"&amp;M50&amp;"|"&amp;N50&amp;"|"&amp;O50</f>
        <v/>
      </c>
      <c r="R50">
        <f>IF(Q50=REPT("|",14),0,1)</f>
        <v/>
      </c>
      <c r="S50">
        <f>IF(R50=0,0,IF(SUMPRODUCT(($Q$11:Q49=Q50)*($R$11:R49=1))&gt;0,1,0))</f>
        <v/>
      </c>
    </row>
    <row r="51">
      <c r="Q51">
        <f>A51&amp;"|"&amp;B51&amp;"|"&amp;C51&amp;"|"&amp;D51&amp;"|"&amp;E51&amp;"|"&amp;F51&amp;"|"&amp;G51&amp;"|"&amp;H51&amp;"|"&amp;I51&amp;"|"&amp;J51&amp;"|"&amp;K51&amp;"|"&amp;L51&amp;"|"&amp;M51&amp;"|"&amp;N51&amp;"|"&amp;O51</f>
        <v/>
      </c>
      <c r="R51">
        <f>IF(Q51=REPT("|",14),0,1)</f>
        <v/>
      </c>
      <c r="S51">
        <f>IF(R51=0,0,IF(SUMPRODUCT(($Q$11:Q50=Q51)*($R$11:R50=1))&gt;0,1,0))</f>
        <v/>
      </c>
    </row>
    <row r="52">
      <c r="Q52">
        <f>A52&amp;"|"&amp;B52&amp;"|"&amp;C52&amp;"|"&amp;D52&amp;"|"&amp;E52&amp;"|"&amp;F52&amp;"|"&amp;G52&amp;"|"&amp;H52&amp;"|"&amp;I52&amp;"|"&amp;J52&amp;"|"&amp;K52&amp;"|"&amp;L52&amp;"|"&amp;M52&amp;"|"&amp;N52&amp;"|"&amp;O52</f>
        <v/>
      </c>
      <c r="R52">
        <f>IF(Q52=REPT("|",14),0,1)</f>
        <v/>
      </c>
      <c r="S52">
        <f>IF(R52=0,0,IF(SUMPRODUCT(($Q$11:Q51=Q52)*($R$11:R51=1))&gt;0,1,0))</f>
        <v/>
      </c>
    </row>
    <row r="53">
      <c r="Q53">
        <f>A53&amp;"|"&amp;B53&amp;"|"&amp;C53&amp;"|"&amp;D53&amp;"|"&amp;E53&amp;"|"&amp;F53&amp;"|"&amp;G53&amp;"|"&amp;H53&amp;"|"&amp;I53&amp;"|"&amp;J53&amp;"|"&amp;K53&amp;"|"&amp;L53&amp;"|"&amp;M53&amp;"|"&amp;N53&amp;"|"&amp;O53</f>
        <v/>
      </c>
      <c r="R53">
        <f>IF(Q53=REPT("|",14),0,1)</f>
        <v/>
      </c>
      <c r="S53">
        <f>IF(R53=0,0,IF(SUMPRODUCT(($Q$11:Q52=Q53)*($R$11:R52=1))&gt;0,1,0))</f>
        <v/>
      </c>
    </row>
    <row r="54">
      <c r="Q54">
        <f>A54&amp;"|"&amp;B54&amp;"|"&amp;C54&amp;"|"&amp;D54&amp;"|"&amp;E54&amp;"|"&amp;F54&amp;"|"&amp;G54&amp;"|"&amp;H54&amp;"|"&amp;I54&amp;"|"&amp;J54&amp;"|"&amp;K54&amp;"|"&amp;L54&amp;"|"&amp;M54&amp;"|"&amp;N54&amp;"|"&amp;O54</f>
        <v/>
      </c>
      <c r="R54">
        <f>IF(Q54=REPT("|",14),0,1)</f>
        <v/>
      </c>
      <c r="S54">
        <f>IF(R54=0,0,IF(SUMPRODUCT(($Q$11:Q53=Q54)*($R$11:R53=1))&gt;0,1,0))</f>
        <v/>
      </c>
    </row>
    <row r="55">
      <c r="Q55">
        <f>A55&amp;"|"&amp;B55&amp;"|"&amp;C55&amp;"|"&amp;D55&amp;"|"&amp;E55&amp;"|"&amp;F55&amp;"|"&amp;G55&amp;"|"&amp;H55&amp;"|"&amp;I55&amp;"|"&amp;J55&amp;"|"&amp;K55&amp;"|"&amp;L55&amp;"|"&amp;M55&amp;"|"&amp;N55&amp;"|"&amp;O55</f>
        <v/>
      </c>
      <c r="R55">
        <f>IF(Q55=REPT("|",14),0,1)</f>
        <v/>
      </c>
      <c r="S55">
        <f>IF(R55=0,0,IF(SUMPRODUCT(($Q$11:Q54=Q55)*($R$11:R54=1))&gt;0,1,0))</f>
        <v/>
      </c>
    </row>
    <row r="56">
      <c r="Q56">
        <f>A56&amp;"|"&amp;B56&amp;"|"&amp;C56&amp;"|"&amp;D56&amp;"|"&amp;E56&amp;"|"&amp;F56&amp;"|"&amp;G56&amp;"|"&amp;H56&amp;"|"&amp;I56&amp;"|"&amp;J56&amp;"|"&amp;K56&amp;"|"&amp;L56&amp;"|"&amp;M56&amp;"|"&amp;N56&amp;"|"&amp;O56</f>
        <v/>
      </c>
      <c r="R56">
        <f>IF(Q56=REPT("|",14),0,1)</f>
        <v/>
      </c>
      <c r="S56">
        <f>IF(R56=0,0,IF(SUMPRODUCT(($Q$11:Q55=Q56)*($R$11:R55=1))&gt;0,1,0))</f>
        <v/>
      </c>
    </row>
    <row r="57">
      <c r="Q57">
        <f>A57&amp;"|"&amp;B57&amp;"|"&amp;C57&amp;"|"&amp;D57&amp;"|"&amp;E57&amp;"|"&amp;F57&amp;"|"&amp;G57&amp;"|"&amp;H57&amp;"|"&amp;I57&amp;"|"&amp;J57&amp;"|"&amp;K57&amp;"|"&amp;L57&amp;"|"&amp;M57&amp;"|"&amp;N57&amp;"|"&amp;O57</f>
        <v/>
      </c>
      <c r="R57">
        <f>IF(Q57=REPT("|",14),0,1)</f>
        <v/>
      </c>
      <c r="S57">
        <f>IF(R57=0,0,IF(SUMPRODUCT(($Q$11:Q56=Q57)*($R$11:R56=1))&gt;0,1,0))</f>
        <v/>
      </c>
    </row>
    <row r="58">
      <c r="Q58">
        <f>A58&amp;"|"&amp;B58&amp;"|"&amp;C58&amp;"|"&amp;D58&amp;"|"&amp;E58&amp;"|"&amp;F58&amp;"|"&amp;G58&amp;"|"&amp;H58&amp;"|"&amp;I58&amp;"|"&amp;J58&amp;"|"&amp;K58&amp;"|"&amp;L58&amp;"|"&amp;M58&amp;"|"&amp;N58&amp;"|"&amp;O58</f>
        <v/>
      </c>
      <c r="R58">
        <f>IF(Q58=REPT("|",14),0,1)</f>
        <v/>
      </c>
      <c r="S58">
        <f>IF(R58=0,0,IF(SUMPRODUCT(($Q$11:Q57=Q58)*($R$11:R57=1))&gt;0,1,0))</f>
        <v/>
      </c>
    </row>
    <row r="59">
      <c r="Q59">
        <f>A59&amp;"|"&amp;B59&amp;"|"&amp;C59&amp;"|"&amp;D59&amp;"|"&amp;E59&amp;"|"&amp;F59&amp;"|"&amp;G59&amp;"|"&amp;H59&amp;"|"&amp;I59&amp;"|"&amp;J59&amp;"|"&amp;K59&amp;"|"&amp;L59&amp;"|"&amp;M59&amp;"|"&amp;N59&amp;"|"&amp;O59</f>
        <v/>
      </c>
      <c r="R59">
        <f>IF(Q59=REPT("|",14),0,1)</f>
        <v/>
      </c>
      <c r="S59">
        <f>IF(R59=0,0,IF(SUMPRODUCT(($Q$11:Q58=Q59)*($R$11:R58=1))&gt;0,1,0))</f>
        <v/>
      </c>
    </row>
    <row r="60">
      <c r="Q60">
        <f>A60&amp;"|"&amp;B60&amp;"|"&amp;C60&amp;"|"&amp;D60&amp;"|"&amp;E60&amp;"|"&amp;F60&amp;"|"&amp;G60&amp;"|"&amp;H60&amp;"|"&amp;I60&amp;"|"&amp;J60&amp;"|"&amp;K60&amp;"|"&amp;L60&amp;"|"&amp;M60&amp;"|"&amp;N60&amp;"|"&amp;O60</f>
        <v/>
      </c>
      <c r="R60">
        <f>IF(Q60=REPT("|",14),0,1)</f>
        <v/>
      </c>
      <c r="S60">
        <f>IF(R60=0,0,IF(SUMPRODUCT(($Q$11:Q59=Q60)*($R$11:R59=1))&gt;0,1,0))</f>
        <v/>
      </c>
    </row>
    <row r="61">
      <c r="Q61">
        <f>A61&amp;"|"&amp;B61&amp;"|"&amp;C61&amp;"|"&amp;D61&amp;"|"&amp;E61&amp;"|"&amp;F61&amp;"|"&amp;G61&amp;"|"&amp;H61&amp;"|"&amp;I61&amp;"|"&amp;J61&amp;"|"&amp;K61&amp;"|"&amp;L61&amp;"|"&amp;M61&amp;"|"&amp;N61&amp;"|"&amp;O61</f>
        <v/>
      </c>
      <c r="R61">
        <f>IF(Q61=REPT("|",14),0,1)</f>
        <v/>
      </c>
      <c r="S61">
        <f>IF(R61=0,0,IF(SUMPRODUCT(($Q$11:Q60=Q61)*($R$11:R60=1))&gt;0,1,0))</f>
        <v/>
      </c>
    </row>
    <row r="62">
      <c r="Q62">
        <f>A62&amp;"|"&amp;B62&amp;"|"&amp;C62&amp;"|"&amp;D62&amp;"|"&amp;E62&amp;"|"&amp;F62&amp;"|"&amp;G62&amp;"|"&amp;H62&amp;"|"&amp;I62&amp;"|"&amp;J62&amp;"|"&amp;K62&amp;"|"&amp;L62&amp;"|"&amp;M62&amp;"|"&amp;N62&amp;"|"&amp;O62</f>
        <v/>
      </c>
      <c r="R62">
        <f>IF(Q62=REPT("|",14),0,1)</f>
        <v/>
      </c>
      <c r="S62">
        <f>IF(R62=0,0,IF(SUMPRODUCT(($Q$11:Q61=Q62)*($R$11:R61=1))&gt;0,1,0))</f>
        <v/>
      </c>
    </row>
    <row r="63">
      <c r="Q63">
        <f>A63&amp;"|"&amp;B63&amp;"|"&amp;C63&amp;"|"&amp;D63&amp;"|"&amp;E63&amp;"|"&amp;F63&amp;"|"&amp;G63&amp;"|"&amp;H63&amp;"|"&amp;I63&amp;"|"&amp;J63&amp;"|"&amp;K63&amp;"|"&amp;L63&amp;"|"&amp;M63&amp;"|"&amp;N63&amp;"|"&amp;O63</f>
        <v/>
      </c>
      <c r="R63">
        <f>IF(Q63=REPT("|",14),0,1)</f>
        <v/>
      </c>
      <c r="S63">
        <f>IF(R63=0,0,IF(SUMPRODUCT(($Q$11:Q62=Q63)*($R$11:R62=1))&gt;0,1,0))</f>
        <v/>
      </c>
    </row>
    <row r="64">
      <c r="Q64">
        <f>A64&amp;"|"&amp;B64&amp;"|"&amp;C64&amp;"|"&amp;D64&amp;"|"&amp;E64&amp;"|"&amp;F64&amp;"|"&amp;G64&amp;"|"&amp;H64&amp;"|"&amp;I64&amp;"|"&amp;J64&amp;"|"&amp;K64&amp;"|"&amp;L64&amp;"|"&amp;M64&amp;"|"&amp;N64&amp;"|"&amp;O64</f>
        <v/>
      </c>
      <c r="R64">
        <f>IF(Q64=REPT("|",14),0,1)</f>
        <v/>
      </c>
      <c r="S64">
        <f>IF(R64=0,0,IF(SUMPRODUCT(($Q$11:Q63=Q64)*($R$11:R63=1))&gt;0,1,0))</f>
        <v/>
      </c>
    </row>
    <row r="65">
      <c r="Q65">
        <f>A65&amp;"|"&amp;B65&amp;"|"&amp;C65&amp;"|"&amp;D65&amp;"|"&amp;E65&amp;"|"&amp;F65&amp;"|"&amp;G65&amp;"|"&amp;H65&amp;"|"&amp;I65&amp;"|"&amp;J65&amp;"|"&amp;K65&amp;"|"&amp;L65&amp;"|"&amp;M65&amp;"|"&amp;N65&amp;"|"&amp;O65</f>
        <v/>
      </c>
      <c r="R65">
        <f>IF(Q65=REPT("|",14),0,1)</f>
        <v/>
      </c>
      <c r="S65">
        <f>IF(R65=0,0,IF(SUMPRODUCT(($Q$11:Q64=Q65)*($R$11:R64=1))&gt;0,1,0))</f>
        <v/>
      </c>
    </row>
    <row r="66">
      <c r="Q66">
        <f>A66&amp;"|"&amp;B66&amp;"|"&amp;C66&amp;"|"&amp;D66&amp;"|"&amp;E66&amp;"|"&amp;F66&amp;"|"&amp;G66&amp;"|"&amp;H66&amp;"|"&amp;I66&amp;"|"&amp;J66&amp;"|"&amp;K66&amp;"|"&amp;L66&amp;"|"&amp;M66&amp;"|"&amp;N66&amp;"|"&amp;O66</f>
        <v/>
      </c>
      <c r="R66">
        <f>IF(Q66=REPT("|",14),0,1)</f>
        <v/>
      </c>
      <c r="S66">
        <f>IF(R66=0,0,IF(SUMPRODUCT(($Q$11:Q65=Q66)*($R$11:R65=1))&gt;0,1,0))</f>
        <v/>
      </c>
    </row>
    <row r="67">
      <c r="Q67">
        <f>A67&amp;"|"&amp;B67&amp;"|"&amp;C67&amp;"|"&amp;D67&amp;"|"&amp;E67&amp;"|"&amp;F67&amp;"|"&amp;G67&amp;"|"&amp;H67&amp;"|"&amp;I67&amp;"|"&amp;J67&amp;"|"&amp;K67&amp;"|"&amp;L67&amp;"|"&amp;M67&amp;"|"&amp;N67&amp;"|"&amp;O67</f>
        <v/>
      </c>
      <c r="R67">
        <f>IF(Q67=REPT("|",14),0,1)</f>
        <v/>
      </c>
      <c r="S67">
        <f>IF(R67=0,0,IF(SUMPRODUCT(($Q$11:Q66=Q67)*($R$11:R66=1))&gt;0,1,0))</f>
        <v/>
      </c>
    </row>
    <row r="68">
      <c r="Q68">
        <f>A68&amp;"|"&amp;B68&amp;"|"&amp;C68&amp;"|"&amp;D68&amp;"|"&amp;E68&amp;"|"&amp;F68&amp;"|"&amp;G68&amp;"|"&amp;H68&amp;"|"&amp;I68&amp;"|"&amp;J68&amp;"|"&amp;K68&amp;"|"&amp;L68&amp;"|"&amp;M68&amp;"|"&amp;N68&amp;"|"&amp;O68</f>
        <v/>
      </c>
      <c r="R68">
        <f>IF(Q68=REPT("|",14),0,1)</f>
        <v/>
      </c>
      <c r="S68">
        <f>IF(R68=0,0,IF(SUMPRODUCT(($Q$11:Q67=Q68)*($R$11:R67=1))&gt;0,1,0))</f>
        <v/>
      </c>
    </row>
    <row r="69">
      <c r="Q69">
        <f>A69&amp;"|"&amp;B69&amp;"|"&amp;C69&amp;"|"&amp;D69&amp;"|"&amp;E69&amp;"|"&amp;F69&amp;"|"&amp;G69&amp;"|"&amp;H69&amp;"|"&amp;I69&amp;"|"&amp;J69&amp;"|"&amp;K69&amp;"|"&amp;L69&amp;"|"&amp;M69&amp;"|"&amp;N69&amp;"|"&amp;O69</f>
        <v/>
      </c>
      <c r="R69">
        <f>IF(Q69=REPT("|",14),0,1)</f>
        <v/>
      </c>
      <c r="S69">
        <f>IF(R69=0,0,IF(SUMPRODUCT(($Q$11:Q68=Q69)*($R$11:R68=1))&gt;0,1,0))</f>
        <v/>
      </c>
    </row>
    <row r="70">
      <c r="Q70">
        <f>A70&amp;"|"&amp;B70&amp;"|"&amp;C70&amp;"|"&amp;D70&amp;"|"&amp;E70&amp;"|"&amp;F70&amp;"|"&amp;G70&amp;"|"&amp;H70&amp;"|"&amp;I70&amp;"|"&amp;J70&amp;"|"&amp;K70&amp;"|"&amp;L70&amp;"|"&amp;M70&amp;"|"&amp;N70&amp;"|"&amp;O70</f>
        <v/>
      </c>
      <c r="R70">
        <f>IF(Q70=REPT("|",14),0,1)</f>
        <v/>
      </c>
      <c r="S70">
        <f>IF(R70=0,0,IF(SUMPRODUCT(($Q$11:Q69=Q70)*($R$11:R69=1))&gt;0,1,0))</f>
        <v/>
      </c>
    </row>
    <row r="71">
      <c r="Q71">
        <f>A71&amp;"|"&amp;B71&amp;"|"&amp;C71&amp;"|"&amp;D71&amp;"|"&amp;E71&amp;"|"&amp;F71&amp;"|"&amp;G71&amp;"|"&amp;H71&amp;"|"&amp;I71&amp;"|"&amp;J71&amp;"|"&amp;K71&amp;"|"&amp;L71&amp;"|"&amp;M71&amp;"|"&amp;N71&amp;"|"&amp;O71</f>
        <v/>
      </c>
      <c r="R71">
        <f>IF(Q71=REPT("|",14),0,1)</f>
        <v/>
      </c>
      <c r="S71">
        <f>IF(R71=0,0,IF(SUMPRODUCT(($Q$11:Q70=Q71)*($R$11:R70=1))&gt;0,1,0))</f>
        <v/>
      </c>
    </row>
    <row r="72">
      <c r="Q72">
        <f>A72&amp;"|"&amp;B72&amp;"|"&amp;C72&amp;"|"&amp;D72&amp;"|"&amp;E72&amp;"|"&amp;F72&amp;"|"&amp;G72&amp;"|"&amp;H72&amp;"|"&amp;I72&amp;"|"&amp;J72&amp;"|"&amp;K72&amp;"|"&amp;L72&amp;"|"&amp;M72&amp;"|"&amp;N72&amp;"|"&amp;O72</f>
        <v/>
      </c>
      <c r="R72">
        <f>IF(Q72=REPT("|",14),0,1)</f>
        <v/>
      </c>
      <c r="S72">
        <f>IF(R72=0,0,IF(SUMPRODUCT(($Q$11:Q71=Q72)*($R$11:R71=1))&gt;0,1,0))</f>
        <v/>
      </c>
    </row>
    <row r="73">
      <c r="Q73">
        <f>A73&amp;"|"&amp;B73&amp;"|"&amp;C73&amp;"|"&amp;D73&amp;"|"&amp;E73&amp;"|"&amp;F73&amp;"|"&amp;G73&amp;"|"&amp;H73&amp;"|"&amp;I73&amp;"|"&amp;J73&amp;"|"&amp;K73&amp;"|"&amp;L73&amp;"|"&amp;M73&amp;"|"&amp;N73&amp;"|"&amp;O73</f>
        <v/>
      </c>
      <c r="R73">
        <f>IF(Q73=REPT("|",14),0,1)</f>
        <v/>
      </c>
      <c r="S73">
        <f>IF(R73=0,0,IF(SUMPRODUCT(($Q$11:Q72=Q73)*($R$11:R72=1))&gt;0,1,0))</f>
        <v/>
      </c>
    </row>
    <row r="74">
      <c r="Q74">
        <f>A74&amp;"|"&amp;B74&amp;"|"&amp;C74&amp;"|"&amp;D74&amp;"|"&amp;E74&amp;"|"&amp;F74&amp;"|"&amp;G74&amp;"|"&amp;H74&amp;"|"&amp;I74&amp;"|"&amp;J74&amp;"|"&amp;K74&amp;"|"&amp;L74&amp;"|"&amp;M74&amp;"|"&amp;N74&amp;"|"&amp;O74</f>
        <v/>
      </c>
      <c r="R74">
        <f>IF(Q74=REPT("|",14),0,1)</f>
        <v/>
      </c>
      <c r="S74">
        <f>IF(R74=0,0,IF(SUMPRODUCT(($Q$11:Q73=Q74)*($R$11:R73=1))&gt;0,1,0))</f>
        <v/>
      </c>
    </row>
    <row r="75">
      <c r="Q75">
        <f>A75&amp;"|"&amp;B75&amp;"|"&amp;C75&amp;"|"&amp;D75&amp;"|"&amp;E75&amp;"|"&amp;F75&amp;"|"&amp;G75&amp;"|"&amp;H75&amp;"|"&amp;I75&amp;"|"&amp;J75&amp;"|"&amp;K75&amp;"|"&amp;L75&amp;"|"&amp;M75&amp;"|"&amp;N75&amp;"|"&amp;O75</f>
        <v/>
      </c>
      <c r="R75">
        <f>IF(Q75=REPT("|",14),0,1)</f>
        <v/>
      </c>
      <c r="S75">
        <f>IF(R75=0,0,IF(SUMPRODUCT(($Q$11:Q74=Q75)*($R$11:R74=1))&gt;0,1,0))</f>
        <v/>
      </c>
    </row>
    <row r="76">
      <c r="Q76">
        <f>A76&amp;"|"&amp;B76&amp;"|"&amp;C76&amp;"|"&amp;D76&amp;"|"&amp;E76&amp;"|"&amp;F76&amp;"|"&amp;G76&amp;"|"&amp;H76&amp;"|"&amp;I76&amp;"|"&amp;J76&amp;"|"&amp;K76&amp;"|"&amp;L76&amp;"|"&amp;M76&amp;"|"&amp;N76&amp;"|"&amp;O76</f>
        <v/>
      </c>
      <c r="R76">
        <f>IF(Q76=REPT("|",14),0,1)</f>
        <v/>
      </c>
      <c r="S76">
        <f>IF(R76=0,0,IF(SUMPRODUCT(($Q$11:Q75=Q76)*($R$11:R75=1))&gt;0,1,0))</f>
        <v/>
      </c>
    </row>
    <row r="77">
      <c r="Q77">
        <f>A77&amp;"|"&amp;B77&amp;"|"&amp;C77&amp;"|"&amp;D77&amp;"|"&amp;E77&amp;"|"&amp;F77&amp;"|"&amp;G77&amp;"|"&amp;H77&amp;"|"&amp;I77&amp;"|"&amp;J77&amp;"|"&amp;K77&amp;"|"&amp;L77&amp;"|"&amp;M77&amp;"|"&amp;N77&amp;"|"&amp;O77</f>
        <v/>
      </c>
      <c r="R77">
        <f>IF(Q77=REPT("|",14),0,1)</f>
        <v/>
      </c>
      <c r="S77">
        <f>IF(R77=0,0,IF(SUMPRODUCT(($Q$11:Q76=Q77)*($R$11:R76=1))&gt;0,1,0))</f>
        <v/>
      </c>
    </row>
    <row r="78">
      <c r="Q78">
        <f>A78&amp;"|"&amp;B78&amp;"|"&amp;C78&amp;"|"&amp;D78&amp;"|"&amp;E78&amp;"|"&amp;F78&amp;"|"&amp;G78&amp;"|"&amp;H78&amp;"|"&amp;I78&amp;"|"&amp;J78&amp;"|"&amp;K78&amp;"|"&amp;L78&amp;"|"&amp;M78&amp;"|"&amp;N78&amp;"|"&amp;O78</f>
        <v/>
      </c>
      <c r="R78">
        <f>IF(Q78=REPT("|",14),0,1)</f>
        <v/>
      </c>
      <c r="S78">
        <f>IF(R78=0,0,IF(SUMPRODUCT(($Q$11:Q77=Q78)*($R$11:R77=1))&gt;0,1,0))</f>
        <v/>
      </c>
    </row>
    <row r="79">
      <c r="Q79">
        <f>A79&amp;"|"&amp;B79&amp;"|"&amp;C79&amp;"|"&amp;D79&amp;"|"&amp;E79&amp;"|"&amp;F79&amp;"|"&amp;G79&amp;"|"&amp;H79&amp;"|"&amp;I79&amp;"|"&amp;J79&amp;"|"&amp;K79&amp;"|"&amp;L79&amp;"|"&amp;M79&amp;"|"&amp;N79&amp;"|"&amp;O79</f>
        <v/>
      </c>
      <c r="R79">
        <f>IF(Q79=REPT("|",14),0,1)</f>
        <v/>
      </c>
      <c r="S79">
        <f>IF(R79=0,0,IF(SUMPRODUCT(($Q$11:Q78=Q79)*($R$11:R78=1))&gt;0,1,0))</f>
        <v/>
      </c>
    </row>
    <row r="80">
      <c r="Q80">
        <f>A80&amp;"|"&amp;B80&amp;"|"&amp;C80&amp;"|"&amp;D80&amp;"|"&amp;E80&amp;"|"&amp;F80&amp;"|"&amp;G80&amp;"|"&amp;H80&amp;"|"&amp;I80&amp;"|"&amp;J80&amp;"|"&amp;K80&amp;"|"&amp;L80&amp;"|"&amp;M80&amp;"|"&amp;N80&amp;"|"&amp;O80</f>
        <v/>
      </c>
      <c r="R80">
        <f>IF(Q80=REPT("|",14),0,1)</f>
        <v/>
      </c>
      <c r="S80">
        <f>IF(R80=0,0,IF(SUMPRODUCT(($Q$11:Q79=Q80)*($R$11:R79=1))&gt;0,1,0))</f>
        <v/>
      </c>
    </row>
    <row r="81">
      <c r="Q81">
        <f>A81&amp;"|"&amp;B81&amp;"|"&amp;C81&amp;"|"&amp;D81&amp;"|"&amp;E81&amp;"|"&amp;F81&amp;"|"&amp;G81&amp;"|"&amp;H81&amp;"|"&amp;I81&amp;"|"&amp;J81&amp;"|"&amp;K81&amp;"|"&amp;L81&amp;"|"&amp;M81&amp;"|"&amp;N81&amp;"|"&amp;O81</f>
        <v/>
      </c>
      <c r="R81">
        <f>IF(Q81=REPT("|",14),0,1)</f>
        <v/>
      </c>
      <c r="S81">
        <f>IF(R81=0,0,IF(SUMPRODUCT(($Q$11:Q80=Q81)*($R$11:R80=1))&gt;0,1,0))</f>
        <v/>
      </c>
    </row>
    <row r="82">
      <c r="Q82">
        <f>A82&amp;"|"&amp;B82&amp;"|"&amp;C82&amp;"|"&amp;D82&amp;"|"&amp;E82&amp;"|"&amp;F82&amp;"|"&amp;G82&amp;"|"&amp;H82&amp;"|"&amp;I82&amp;"|"&amp;J82&amp;"|"&amp;K82&amp;"|"&amp;L82&amp;"|"&amp;M82&amp;"|"&amp;N82&amp;"|"&amp;O82</f>
        <v/>
      </c>
      <c r="R82">
        <f>IF(Q82=REPT("|",14),0,1)</f>
        <v/>
      </c>
      <c r="S82">
        <f>IF(R82=0,0,IF(SUMPRODUCT(($Q$11:Q81=Q82)*($R$11:R81=1))&gt;0,1,0))</f>
        <v/>
      </c>
    </row>
    <row r="83">
      <c r="Q83">
        <f>A83&amp;"|"&amp;B83&amp;"|"&amp;C83&amp;"|"&amp;D83&amp;"|"&amp;E83&amp;"|"&amp;F83&amp;"|"&amp;G83&amp;"|"&amp;H83&amp;"|"&amp;I83&amp;"|"&amp;J83&amp;"|"&amp;K83&amp;"|"&amp;L83&amp;"|"&amp;M83&amp;"|"&amp;N83&amp;"|"&amp;O83</f>
        <v/>
      </c>
      <c r="R83">
        <f>IF(Q83=REPT("|",14),0,1)</f>
        <v/>
      </c>
      <c r="S83">
        <f>IF(R83=0,0,IF(SUMPRODUCT(($Q$11:Q82=Q83)*($R$11:R82=1))&gt;0,1,0))</f>
        <v/>
      </c>
    </row>
    <row r="84">
      <c r="Q84">
        <f>A84&amp;"|"&amp;B84&amp;"|"&amp;C84&amp;"|"&amp;D84&amp;"|"&amp;E84&amp;"|"&amp;F84&amp;"|"&amp;G84&amp;"|"&amp;H84&amp;"|"&amp;I84&amp;"|"&amp;J84&amp;"|"&amp;K84&amp;"|"&amp;L84&amp;"|"&amp;M84&amp;"|"&amp;N84&amp;"|"&amp;O84</f>
        <v/>
      </c>
      <c r="R84">
        <f>IF(Q84=REPT("|",14),0,1)</f>
        <v/>
      </c>
      <c r="S84">
        <f>IF(R84=0,0,IF(SUMPRODUCT(($Q$11:Q83=Q84)*($R$11:R83=1))&gt;0,1,0))</f>
        <v/>
      </c>
    </row>
    <row r="85">
      <c r="Q85">
        <f>A85&amp;"|"&amp;B85&amp;"|"&amp;C85&amp;"|"&amp;D85&amp;"|"&amp;E85&amp;"|"&amp;F85&amp;"|"&amp;G85&amp;"|"&amp;H85&amp;"|"&amp;I85&amp;"|"&amp;J85&amp;"|"&amp;K85&amp;"|"&amp;L85&amp;"|"&amp;M85&amp;"|"&amp;N85&amp;"|"&amp;O85</f>
        <v/>
      </c>
      <c r="R85">
        <f>IF(Q85=REPT("|",14),0,1)</f>
        <v/>
      </c>
      <c r="S85">
        <f>IF(R85=0,0,IF(SUMPRODUCT(($Q$11:Q84=Q85)*($R$11:R84=1))&gt;0,1,0))</f>
        <v/>
      </c>
    </row>
    <row r="86">
      <c r="Q86">
        <f>A86&amp;"|"&amp;B86&amp;"|"&amp;C86&amp;"|"&amp;D86&amp;"|"&amp;E86&amp;"|"&amp;F86&amp;"|"&amp;G86&amp;"|"&amp;H86&amp;"|"&amp;I86&amp;"|"&amp;J86&amp;"|"&amp;K86&amp;"|"&amp;L86&amp;"|"&amp;M86&amp;"|"&amp;N86&amp;"|"&amp;O86</f>
        <v/>
      </c>
      <c r="R86">
        <f>IF(Q86=REPT("|",14),0,1)</f>
        <v/>
      </c>
      <c r="S86">
        <f>IF(R86=0,0,IF(SUMPRODUCT(($Q$11:Q85=Q86)*($R$11:R85=1))&gt;0,1,0))</f>
        <v/>
      </c>
    </row>
    <row r="87">
      <c r="Q87">
        <f>A87&amp;"|"&amp;B87&amp;"|"&amp;C87&amp;"|"&amp;D87&amp;"|"&amp;E87&amp;"|"&amp;F87&amp;"|"&amp;G87&amp;"|"&amp;H87&amp;"|"&amp;I87&amp;"|"&amp;J87&amp;"|"&amp;K87&amp;"|"&amp;L87&amp;"|"&amp;M87&amp;"|"&amp;N87&amp;"|"&amp;O87</f>
        <v/>
      </c>
      <c r="R87">
        <f>IF(Q87=REPT("|",14),0,1)</f>
        <v/>
      </c>
      <c r="S87">
        <f>IF(R87=0,0,IF(SUMPRODUCT(($Q$11:Q86=Q87)*($R$11:R86=1))&gt;0,1,0))</f>
        <v/>
      </c>
    </row>
    <row r="88">
      <c r="Q88">
        <f>A88&amp;"|"&amp;B88&amp;"|"&amp;C88&amp;"|"&amp;D88&amp;"|"&amp;E88&amp;"|"&amp;F88&amp;"|"&amp;G88&amp;"|"&amp;H88&amp;"|"&amp;I88&amp;"|"&amp;J88&amp;"|"&amp;K88&amp;"|"&amp;L88&amp;"|"&amp;M88&amp;"|"&amp;N88&amp;"|"&amp;O88</f>
        <v/>
      </c>
      <c r="R88">
        <f>IF(Q88=REPT("|",14),0,1)</f>
        <v/>
      </c>
      <c r="S88">
        <f>IF(R88=0,0,IF(SUMPRODUCT(($Q$11:Q87=Q88)*($R$11:R87=1))&gt;0,1,0))</f>
        <v/>
      </c>
    </row>
    <row r="89">
      <c r="Q89">
        <f>A89&amp;"|"&amp;B89&amp;"|"&amp;C89&amp;"|"&amp;D89&amp;"|"&amp;E89&amp;"|"&amp;F89&amp;"|"&amp;G89&amp;"|"&amp;H89&amp;"|"&amp;I89&amp;"|"&amp;J89&amp;"|"&amp;K89&amp;"|"&amp;L89&amp;"|"&amp;M89&amp;"|"&amp;N89&amp;"|"&amp;O89</f>
        <v/>
      </c>
      <c r="R89">
        <f>IF(Q89=REPT("|",14),0,1)</f>
        <v/>
      </c>
      <c r="S89">
        <f>IF(R89=0,0,IF(SUMPRODUCT(($Q$11:Q88=Q89)*($R$11:R88=1))&gt;0,1,0))</f>
        <v/>
      </c>
    </row>
    <row r="90">
      <c r="Q90">
        <f>A90&amp;"|"&amp;B90&amp;"|"&amp;C90&amp;"|"&amp;D90&amp;"|"&amp;E90&amp;"|"&amp;F90&amp;"|"&amp;G90&amp;"|"&amp;H90&amp;"|"&amp;I90&amp;"|"&amp;J90&amp;"|"&amp;K90&amp;"|"&amp;L90&amp;"|"&amp;M90&amp;"|"&amp;N90&amp;"|"&amp;O90</f>
        <v/>
      </c>
      <c r="R90">
        <f>IF(Q90=REPT("|",14),0,1)</f>
        <v/>
      </c>
      <c r="S90">
        <f>IF(R90=0,0,IF(SUMPRODUCT(($Q$11:Q89=Q90)*($R$11:R89=1))&gt;0,1,0))</f>
        <v/>
      </c>
    </row>
    <row r="91">
      <c r="Q91">
        <f>A91&amp;"|"&amp;B91&amp;"|"&amp;C91&amp;"|"&amp;D91&amp;"|"&amp;E91&amp;"|"&amp;F91&amp;"|"&amp;G91&amp;"|"&amp;H91&amp;"|"&amp;I91&amp;"|"&amp;J91&amp;"|"&amp;K91&amp;"|"&amp;L91&amp;"|"&amp;M91&amp;"|"&amp;N91&amp;"|"&amp;O91</f>
        <v/>
      </c>
      <c r="R91">
        <f>IF(Q91=REPT("|",14),0,1)</f>
        <v/>
      </c>
      <c r="S91">
        <f>IF(R91=0,0,IF(SUMPRODUCT(($Q$11:Q90=Q91)*($R$11:R90=1))&gt;0,1,0))</f>
        <v/>
      </c>
    </row>
    <row r="92">
      <c r="Q92">
        <f>A92&amp;"|"&amp;B92&amp;"|"&amp;C92&amp;"|"&amp;D92&amp;"|"&amp;E92&amp;"|"&amp;F92&amp;"|"&amp;G92&amp;"|"&amp;H92&amp;"|"&amp;I92&amp;"|"&amp;J92&amp;"|"&amp;K92&amp;"|"&amp;L92&amp;"|"&amp;M92&amp;"|"&amp;N92&amp;"|"&amp;O92</f>
        <v/>
      </c>
      <c r="R92">
        <f>IF(Q92=REPT("|",14),0,1)</f>
        <v/>
      </c>
      <c r="S92">
        <f>IF(R92=0,0,IF(SUMPRODUCT(($Q$11:Q91=Q92)*($R$11:R91=1))&gt;0,1,0))</f>
        <v/>
      </c>
    </row>
    <row r="93">
      <c r="Q93">
        <f>A93&amp;"|"&amp;B93&amp;"|"&amp;C93&amp;"|"&amp;D93&amp;"|"&amp;E93&amp;"|"&amp;F93&amp;"|"&amp;G93&amp;"|"&amp;H93&amp;"|"&amp;I93&amp;"|"&amp;J93&amp;"|"&amp;K93&amp;"|"&amp;L93&amp;"|"&amp;M93&amp;"|"&amp;N93&amp;"|"&amp;O93</f>
        <v/>
      </c>
      <c r="R93">
        <f>IF(Q93=REPT("|",14),0,1)</f>
        <v/>
      </c>
      <c r="S93">
        <f>IF(R93=0,0,IF(SUMPRODUCT(($Q$11:Q92=Q93)*($R$11:R92=1))&gt;0,1,0))</f>
        <v/>
      </c>
    </row>
    <row r="94">
      <c r="Q94">
        <f>A94&amp;"|"&amp;B94&amp;"|"&amp;C94&amp;"|"&amp;D94&amp;"|"&amp;E94&amp;"|"&amp;F94&amp;"|"&amp;G94&amp;"|"&amp;H94&amp;"|"&amp;I94&amp;"|"&amp;J94&amp;"|"&amp;K94&amp;"|"&amp;L94&amp;"|"&amp;M94&amp;"|"&amp;N94&amp;"|"&amp;O94</f>
        <v/>
      </c>
      <c r="R94">
        <f>IF(Q94=REPT("|",14),0,1)</f>
        <v/>
      </c>
      <c r="S94">
        <f>IF(R94=0,0,IF(SUMPRODUCT(($Q$11:Q93=Q94)*($R$11:R93=1))&gt;0,1,0))</f>
        <v/>
      </c>
    </row>
    <row r="95">
      <c r="Q95">
        <f>A95&amp;"|"&amp;B95&amp;"|"&amp;C95&amp;"|"&amp;D95&amp;"|"&amp;E95&amp;"|"&amp;F95&amp;"|"&amp;G95&amp;"|"&amp;H95&amp;"|"&amp;I95&amp;"|"&amp;J95&amp;"|"&amp;K95&amp;"|"&amp;L95&amp;"|"&amp;M95&amp;"|"&amp;N95&amp;"|"&amp;O95</f>
        <v/>
      </c>
      <c r="R95">
        <f>IF(Q95=REPT("|",14),0,1)</f>
        <v/>
      </c>
      <c r="S95">
        <f>IF(R95=0,0,IF(SUMPRODUCT(($Q$11:Q94=Q95)*($R$11:R94=1))&gt;0,1,0))</f>
        <v/>
      </c>
    </row>
    <row r="96">
      <c r="Q96">
        <f>A96&amp;"|"&amp;B96&amp;"|"&amp;C96&amp;"|"&amp;D96&amp;"|"&amp;E96&amp;"|"&amp;F96&amp;"|"&amp;G96&amp;"|"&amp;H96&amp;"|"&amp;I96&amp;"|"&amp;J96&amp;"|"&amp;K96&amp;"|"&amp;L96&amp;"|"&amp;M96&amp;"|"&amp;N96&amp;"|"&amp;O96</f>
        <v/>
      </c>
      <c r="R96">
        <f>IF(Q96=REPT("|",14),0,1)</f>
        <v/>
      </c>
      <c r="S96">
        <f>IF(R96=0,0,IF(SUMPRODUCT(($Q$11:Q95=Q96)*($R$11:R95=1))&gt;0,1,0))</f>
        <v/>
      </c>
    </row>
    <row r="97">
      <c r="Q97">
        <f>A97&amp;"|"&amp;B97&amp;"|"&amp;C97&amp;"|"&amp;D97&amp;"|"&amp;E97&amp;"|"&amp;F97&amp;"|"&amp;G97&amp;"|"&amp;H97&amp;"|"&amp;I97&amp;"|"&amp;J97&amp;"|"&amp;K97&amp;"|"&amp;L97&amp;"|"&amp;M97&amp;"|"&amp;N97&amp;"|"&amp;O97</f>
        <v/>
      </c>
      <c r="R97">
        <f>IF(Q97=REPT("|",14),0,1)</f>
        <v/>
      </c>
      <c r="S97">
        <f>IF(R97=0,0,IF(SUMPRODUCT(($Q$11:Q96=Q97)*($R$11:R96=1))&gt;0,1,0))</f>
        <v/>
      </c>
    </row>
    <row r="98">
      <c r="Q98">
        <f>A98&amp;"|"&amp;B98&amp;"|"&amp;C98&amp;"|"&amp;D98&amp;"|"&amp;E98&amp;"|"&amp;F98&amp;"|"&amp;G98&amp;"|"&amp;H98&amp;"|"&amp;I98&amp;"|"&amp;J98&amp;"|"&amp;K98&amp;"|"&amp;L98&amp;"|"&amp;M98&amp;"|"&amp;N98&amp;"|"&amp;O98</f>
        <v/>
      </c>
      <c r="R98">
        <f>IF(Q98=REPT("|",14),0,1)</f>
        <v/>
      </c>
      <c r="S98">
        <f>IF(R98=0,0,IF(SUMPRODUCT(($Q$11:Q97=Q98)*($R$11:R97=1))&gt;0,1,0))</f>
        <v/>
      </c>
    </row>
    <row r="99">
      <c r="Q99">
        <f>A99&amp;"|"&amp;B99&amp;"|"&amp;C99&amp;"|"&amp;D99&amp;"|"&amp;E99&amp;"|"&amp;F99&amp;"|"&amp;G99&amp;"|"&amp;H99&amp;"|"&amp;I99&amp;"|"&amp;J99&amp;"|"&amp;K99&amp;"|"&amp;L99&amp;"|"&amp;M99&amp;"|"&amp;N99&amp;"|"&amp;O99</f>
        <v/>
      </c>
      <c r="R99">
        <f>IF(Q99=REPT("|",14),0,1)</f>
        <v/>
      </c>
      <c r="S99">
        <f>IF(R99=0,0,IF(SUMPRODUCT(($Q$11:Q98=Q99)*($R$11:R98=1))&gt;0,1,0))</f>
        <v/>
      </c>
    </row>
    <row r="100">
      <c r="Q100">
        <f>A100&amp;"|"&amp;B100&amp;"|"&amp;C100&amp;"|"&amp;D100&amp;"|"&amp;E100&amp;"|"&amp;F100&amp;"|"&amp;G100&amp;"|"&amp;H100&amp;"|"&amp;I100&amp;"|"&amp;J100&amp;"|"&amp;K100&amp;"|"&amp;L100&amp;"|"&amp;M100&amp;"|"&amp;N100&amp;"|"&amp;O100</f>
        <v/>
      </c>
      <c r="R100">
        <f>IF(Q100=REPT("|",14),0,1)</f>
        <v/>
      </c>
      <c r="S100">
        <f>IF(R100=0,0,IF(SUMPRODUCT(($Q$11:Q99=Q100)*($R$11:R99=1))&gt;0,1,0))</f>
        <v/>
      </c>
    </row>
    <row r="101">
      <c r="Q101">
        <f>A101&amp;"|"&amp;B101&amp;"|"&amp;C101&amp;"|"&amp;D101&amp;"|"&amp;E101&amp;"|"&amp;F101&amp;"|"&amp;G101&amp;"|"&amp;H101&amp;"|"&amp;I101&amp;"|"&amp;J101&amp;"|"&amp;K101&amp;"|"&amp;L101&amp;"|"&amp;M101&amp;"|"&amp;N101&amp;"|"&amp;O101</f>
        <v/>
      </c>
      <c r="R101">
        <f>IF(Q101=REPT("|",14),0,1)</f>
        <v/>
      </c>
      <c r="S101">
        <f>IF(R101=0,0,IF(SUMPRODUCT(($Q$11:Q100=Q101)*($R$11:R100=1))&gt;0,1,0))</f>
        <v/>
      </c>
    </row>
    <row r="102">
      <c r="Q102">
        <f>A102&amp;"|"&amp;B102&amp;"|"&amp;C102&amp;"|"&amp;D102&amp;"|"&amp;E102&amp;"|"&amp;F102&amp;"|"&amp;G102&amp;"|"&amp;H102&amp;"|"&amp;I102&amp;"|"&amp;J102&amp;"|"&amp;K102&amp;"|"&amp;L102&amp;"|"&amp;M102&amp;"|"&amp;N102&amp;"|"&amp;O102</f>
        <v/>
      </c>
      <c r="R102">
        <f>IF(Q102=REPT("|",14),0,1)</f>
        <v/>
      </c>
      <c r="S102">
        <f>IF(R102=0,0,IF(SUMPRODUCT(($Q$11:Q101=Q102)*($R$11:R101=1))&gt;0,1,0))</f>
        <v/>
      </c>
    </row>
    <row r="103">
      <c r="Q103">
        <f>A103&amp;"|"&amp;B103&amp;"|"&amp;C103&amp;"|"&amp;D103&amp;"|"&amp;E103&amp;"|"&amp;F103&amp;"|"&amp;G103&amp;"|"&amp;H103&amp;"|"&amp;I103&amp;"|"&amp;J103&amp;"|"&amp;K103&amp;"|"&amp;L103&amp;"|"&amp;M103&amp;"|"&amp;N103&amp;"|"&amp;O103</f>
        <v/>
      </c>
      <c r="R103">
        <f>IF(Q103=REPT("|",14),0,1)</f>
        <v/>
      </c>
      <c r="S103">
        <f>IF(R103=0,0,IF(SUMPRODUCT(($Q$11:Q102=Q103)*($R$11:R102=1))&gt;0,1,0))</f>
        <v/>
      </c>
    </row>
    <row r="104">
      <c r="Q104">
        <f>A104&amp;"|"&amp;B104&amp;"|"&amp;C104&amp;"|"&amp;D104&amp;"|"&amp;E104&amp;"|"&amp;F104&amp;"|"&amp;G104&amp;"|"&amp;H104&amp;"|"&amp;I104&amp;"|"&amp;J104&amp;"|"&amp;K104&amp;"|"&amp;L104&amp;"|"&amp;M104&amp;"|"&amp;N104&amp;"|"&amp;O104</f>
        <v/>
      </c>
      <c r="R104">
        <f>IF(Q104=REPT("|",14),0,1)</f>
        <v/>
      </c>
      <c r="S104">
        <f>IF(R104=0,0,IF(SUMPRODUCT(($Q$11:Q103=Q104)*($R$11:R103=1))&gt;0,1,0))</f>
        <v/>
      </c>
    </row>
    <row r="105">
      <c r="Q105">
        <f>A105&amp;"|"&amp;B105&amp;"|"&amp;C105&amp;"|"&amp;D105&amp;"|"&amp;E105&amp;"|"&amp;F105&amp;"|"&amp;G105&amp;"|"&amp;H105&amp;"|"&amp;I105&amp;"|"&amp;J105&amp;"|"&amp;K105&amp;"|"&amp;L105&amp;"|"&amp;M105&amp;"|"&amp;N105&amp;"|"&amp;O105</f>
        <v/>
      </c>
      <c r="R105">
        <f>IF(Q105=REPT("|",14),0,1)</f>
        <v/>
      </c>
      <c r="S105">
        <f>IF(R105=0,0,IF(SUMPRODUCT(($Q$11:Q104=Q105)*($R$11:R104=1))&gt;0,1,0))</f>
        <v/>
      </c>
    </row>
    <row r="106">
      <c r="Q106">
        <f>A106&amp;"|"&amp;B106&amp;"|"&amp;C106&amp;"|"&amp;D106&amp;"|"&amp;E106&amp;"|"&amp;F106&amp;"|"&amp;G106&amp;"|"&amp;H106&amp;"|"&amp;I106&amp;"|"&amp;J106&amp;"|"&amp;K106&amp;"|"&amp;L106&amp;"|"&amp;M106&amp;"|"&amp;N106&amp;"|"&amp;O106</f>
        <v/>
      </c>
      <c r="R106">
        <f>IF(Q106=REPT("|",14),0,1)</f>
        <v/>
      </c>
      <c r="S106">
        <f>IF(R106=0,0,IF(SUMPRODUCT(($Q$11:Q105=Q106)*($R$11:R105=1))&gt;0,1,0))</f>
        <v/>
      </c>
    </row>
    <row r="107">
      <c r="Q107">
        <f>A107&amp;"|"&amp;B107&amp;"|"&amp;C107&amp;"|"&amp;D107&amp;"|"&amp;E107&amp;"|"&amp;F107&amp;"|"&amp;G107&amp;"|"&amp;H107&amp;"|"&amp;I107&amp;"|"&amp;J107&amp;"|"&amp;K107&amp;"|"&amp;L107&amp;"|"&amp;M107&amp;"|"&amp;N107&amp;"|"&amp;O107</f>
        <v/>
      </c>
      <c r="R107">
        <f>IF(Q107=REPT("|",14),0,1)</f>
        <v/>
      </c>
      <c r="S107">
        <f>IF(R107=0,0,IF(SUMPRODUCT(($Q$11:Q106=Q107)*($R$11:R106=1))&gt;0,1,0))</f>
        <v/>
      </c>
    </row>
    <row r="108">
      <c r="Q108">
        <f>A108&amp;"|"&amp;B108&amp;"|"&amp;C108&amp;"|"&amp;D108&amp;"|"&amp;E108&amp;"|"&amp;F108&amp;"|"&amp;G108&amp;"|"&amp;H108&amp;"|"&amp;I108&amp;"|"&amp;J108&amp;"|"&amp;K108&amp;"|"&amp;L108&amp;"|"&amp;M108&amp;"|"&amp;N108&amp;"|"&amp;O108</f>
        <v/>
      </c>
      <c r="R108">
        <f>IF(Q108=REPT("|",14),0,1)</f>
        <v/>
      </c>
      <c r="S108">
        <f>IF(R108=0,0,IF(SUMPRODUCT(($Q$11:Q107=Q108)*($R$11:R107=1))&gt;0,1,0))</f>
        <v/>
      </c>
    </row>
    <row r="109">
      <c r="Q109">
        <f>A109&amp;"|"&amp;B109&amp;"|"&amp;C109&amp;"|"&amp;D109&amp;"|"&amp;E109&amp;"|"&amp;F109&amp;"|"&amp;G109&amp;"|"&amp;H109&amp;"|"&amp;I109&amp;"|"&amp;J109&amp;"|"&amp;K109&amp;"|"&amp;L109&amp;"|"&amp;M109&amp;"|"&amp;N109&amp;"|"&amp;O109</f>
        <v/>
      </c>
      <c r="R109">
        <f>IF(Q109=REPT("|",14),0,1)</f>
        <v/>
      </c>
      <c r="S109">
        <f>IF(R109=0,0,IF(SUMPRODUCT(($Q$11:Q108=Q109)*($R$11:R108=1))&gt;0,1,0))</f>
        <v/>
      </c>
    </row>
    <row r="110">
      <c r="Q110">
        <f>A110&amp;"|"&amp;B110&amp;"|"&amp;C110&amp;"|"&amp;D110&amp;"|"&amp;E110&amp;"|"&amp;F110&amp;"|"&amp;G110&amp;"|"&amp;H110&amp;"|"&amp;I110&amp;"|"&amp;J110&amp;"|"&amp;K110&amp;"|"&amp;L110&amp;"|"&amp;M110&amp;"|"&amp;N110&amp;"|"&amp;O110</f>
        <v/>
      </c>
      <c r="R110">
        <f>IF(Q110=REPT("|",14),0,1)</f>
        <v/>
      </c>
      <c r="S110">
        <f>IF(R110=0,0,IF(SUMPRODUCT(($Q$11:Q109=Q110)*($R$11:R109=1))&gt;0,1,0))</f>
        <v/>
      </c>
    </row>
    <row r="111">
      <c r="Q111">
        <f>A111&amp;"|"&amp;B111&amp;"|"&amp;C111&amp;"|"&amp;D111&amp;"|"&amp;E111&amp;"|"&amp;F111&amp;"|"&amp;G111&amp;"|"&amp;H111&amp;"|"&amp;I111&amp;"|"&amp;J111&amp;"|"&amp;K111&amp;"|"&amp;L111&amp;"|"&amp;M111&amp;"|"&amp;N111&amp;"|"&amp;O111</f>
        <v/>
      </c>
      <c r="R111">
        <f>IF(Q111=REPT("|",14),0,1)</f>
        <v/>
      </c>
      <c r="S111">
        <f>IF(R111=0,0,IF(SUMPRODUCT(($Q$11:Q110=Q111)*($R$11:R110=1))&gt;0,1,0))</f>
        <v/>
      </c>
    </row>
    <row r="112">
      <c r="Q112">
        <f>A112&amp;"|"&amp;B112&amp;"|"&amp;C112&amp;"|"&amp;D112&amp;"|"&amp;E112&amp;"|"&amp;F112&amp;"|"&amp;G112&amp;"|"&amp;H112&amp;"|"&amp;I112&amp;"|"&amp;J112&amp;"|"&amp;K112&amp;"|"&amp;L112&amp;"|"&amp;M112&amp;"|"&amp;N112&amp;"|"&amp;O112</f>
        <v/>
      </c>
      <c r="R112">
        <f>IF(Q112=REPT("|",14),0,1)</f>
        <v/>
      </c>
      <c r="S112">
        <f>IF(R112=0,0,IF(SUMPRODUCT(($Q$11:Q111=Q112)*($R$11:R111=1))&gt;0,1,0))</f>
        <v/>
      </c>
    </row>
    <row r="113">
      <c r="Q113">
        <f>A113&amp;"|"&amp;B113&amp;"|"&amp;C113&amp;"|"&amp;D113&amp;"|"&amp;E113&amp;"|"&amp;F113&amp;"|"&amp;G113&amp;"|"&amp;H113&amp;"|"&amp;I113&amp;"|"&amp;J113&amp;"|"&amp;K113&amp;"|"&amp;L113&amp;"|"&amp;M113&amp;"|"&amp;N113&amp;"|"&amp;O113</f>
        <v/>
      </c>
      <c r="R113">
        <f>IF(Q113=REPT("|",14),0,1)</f>
        <v/>
      </c>
      <c r="S113">
        <f>IF(R113=0,0,IF(SUMPRODUCT(($Q$11:Q112=Q113)*($R$11:R112=1))&gt;0,1,0))</f>
        <v/>
      </c>
    </row>
    <row r="114">
      <c r="Q114">
        <f>A114&amp;"|"&amp;B114&amp;"|"&amp;C114&amp;"|"&amp;D114&amp;"|"&amp;E114&amp;"|"&amp;F114&amp;"|"&amp;G114&amp;"|"&amp;H114&amp;"|"&amp;I114&amp;"|"&amp;J114&amp;"|"&amp;K114&amp;"|"&amp;L114&amp;"|"&amp;M114&amp;"|"&amp;N114&amp;"|"&amp;O114</f>
        <v/>
      </c>
      <c r="R114">
        <f>IF(Q114=REPT("|",14),0,1)</f>
        <v/>
      </c>
      <c r="S114">
        <f>IF(R114=0,0,IF(SUMPRODUCT(($Q$11:Q113=Q114)*($R$11:R113=1))&gt;0,1,0))</f>
        <v/>
      </c>
    </row>
    <row r="115">
      <c r="Q115">
        <f>A115&amp;"|"&amp;B115&amp;"|"&amp;C115&amp;"|"&amp;D115&amp;"|"&amp;E115&amp;"|"&amp;F115&amp;"|"&amp;G115&amp;"|"&amp;H115&amp;"|"&amp;I115&amp;"|"&amp;J115&amp;"|"&amp;K115&amp;"|"&amp;L115&amp;"|"&amp;M115&amp;"|"&amp;N115&amp;"|"&amp;O115</f>
        <v/>
      </c>
      <c r="R115">
        <f>IF(Q115=REPT("|",14),0,1)</f>
        <v/>
      </c>
      <c r="S115">
        <f>IF(R115=0,0,IF(SUMPRODUCT(($Q$11:Q114=Q115)*($R$11:R114=1))&gt;0,1,0))</f>
        <v/>
      </c>
    </row>
    <row r="116">
      <c r="Q116">
        <f>A116&amp;"|"&amp;B116&amp;"|"&amp;C116&amp;"|"&amp;D116&amp;"|"&amp;E116&amp;"|"&amp;F116&amp;"|"&amp;G116&amp;"|"&amp;H116&amp;"|"&amp;I116&amp;"|"&amp;J116&amp;"|"&amp;K116&amp;"|"&amp;L116&amp;"|"&amp;M116&amp;"|"&amp;N116&amp;"|"&amp;O116</f>
        <v/>
      </c>
      <c r="R116">
        <f>IF(Q116=REPT("|",14),0,1)</f>
        <v/>
      </c>
      <c r="S116">
        <f>IF(R116=0,0,IF(SUMPRODUCT(($Q$11:Q115=Q116)*($R$11:R115=1))&gt;0,1,0))</f>
        <v/>
      </c>
    </row>
    <row r="117">
      <c r="Q117">
        <f>A117&amp;"|"&amp;B117&amp;"|"&amp;C117&amp;"|"&amp;D117&amp;"|"&amp;E117&amp;"|"&amp;F117&amp;"|"&amp;G117&amp;"|"&amp;H117&amp;"|"&amp;I117&amp;"|"&amp;J117&amp;"|"&amp;K117&amp;"|"&amp;L117&amp;"|"&amp;M117&amp;"|"&amp;N117&amp;"|"&amp;O117</f>
        <v/>
      </c>
      <c r="R117">
        <f>IF(Q117=REPT("|",14),0,1)</f>
        <v/>
      </c>
      <c r="S117">
        <f>IF(R117=0,0,IF(SUMPRODUCT(($Q$11:Q116=Q117)*($R$11:R116=1))&gt;0,1,0))</f>
        <v/>
      </c>
    </row>
    <row r="118">
      <c r="Q118">
        <f>A118&amp;"|"&amp;B118&amp;"|"&amp;C118&amp;"|"&amp;D118&amp;"|"&amp;E118&amp;"|"&amp;F118&amp;"|"&amp;G118&amp;"|"&amp;H118&amp;"|"&amp;I118&amp;"|"&amp;J118&amp;"|"&amp;K118&amp;"|"&amp;L118&amp;"|"&amp;M118&amp;"|"&amp;N118&amp;"|"&amp;O118</f>
        <v/>
      </c>
      <c r="R118">
        <f>IF(Q118=REPT("|",14),0,1)</f>
        <v/>
      </c>
      <c r="S118">
        <f>IF(R118=0,0,IF(SUMPRODUCT(($Q$11:Q117=Q118)*($R$11:R117=1))&gt;0,1,0))</f>
        <v/>
      </c>
    </row>
    <row r="119">
      <c r="Q119">
        <f>A119&amp;"|"&amp;B119&amp;"|"&amp;C119&amp;"|"&amp;D119&amp;"|"&amp;E119&amp;"|"&amp;F119&amp;"|"&amp;G119&amp;"|"&amp;H119&amp;"|"&amp;I119&amp;"|"&amp;J119&amp;"|"&amp;K119&amp;"|"&amp;L119&amp;"|"&amp;M119&amp;"|"&amp;N119&amp;"|"&amp;O119</f>
        <v/>
      </c>
      <c r="R119">
        <f>IF(Q119=REPT("|",14),0,1)</f>
        <v/>
      </c>
      <c r="S119">
        <f>IF(R119=0,0,IF(SUMPRODUCT(($Q$11:Q118=Q119)*($R$11:R118=1))&gt;0,1,0))</f>
        <v/>
      </c>
    </row>
    <row r="120">
      <c r="Q120">
        <f>A120&amp;"|"&amp;B120&amp;"|"&amp;C120&amp;"|"&amp;D120&amp;"|"&amp;E120&amp;"|"&amp;F120&amp;"|"&amp;G120&amp;"|"&amp;H120&amp;"|"&amp;I120&amp;"|"&amp;J120&amp;"|"&amp;K120&amp;"|"&amp;L120&amp;"|"&amp;M120&amp;"|"&amp;N120&amp;"|"&amp;O120</f>
        <v/>
      </c>
      <c r="R120">
        <f>IF(Q120=REPT("|",14),0,1)</f>
        <v/>
      </c>
      <c r="S120">
        <f>IF(R120=0,0,IF(SUMPRODUCT(($Q$11:Q119=Q120)*($R$11:R119=1))&gt;0,1,0))</f>
        <v/>
      </c>
    </row>
    <row r="121">
      <c r="Q121">
        <f>A121&amp;"|"&amp;B121&amp;"|"&amp;C121&amp;"|"&amp;D121&amp;"|"&amp;E121&amp;"|"&amp;F121&amp;"|"&amp;G121&amp;"|"&amp;H121&amp;"|"&amp;I121&amp;"|"&amp;J121&amp;"|"&amp;K121&amp;"|"&amp;L121&amp;"|"&amp;M121&amp;"|"&amp;N121&amp;"|"&amp;O121</f>
        <v/>
      </c>
      <c r="R121">
        <f>IF(Q121=REPT("|",14),0,1)</f>
        <v/>
      </c>
      <c r="S121">
        <f>IF(R121=0,0,IF(SUMPRODUCT(($Q$11:Q120=Q121)*($R$11:R120=1))&gt;0,1,0))</f>
        <v/>
      </c>
    </row>
    <row r="122">
      <c r="Q122">
        <f>A122&amp;"|"&amp;B122&amp;"|"&amp;C122&amp;"|"&amp;D122&amp;"|"&amp;E122&amp;"|"&amp;F122&amp;"|"&amp;G122&amp;"|"&amp;H122&amp;"|"&amp;I122&amp;"|"&amp;J122&amp;"|"&amp;K122&amp;"|"&amp;L122&amp;"|"&amp;M122&amp;"|"&amp;N122&amp;"|"&amp;O122</f>
        <v/>
      </c>
      <c r="R122">
        <f>IF(Q122=REPT("|",14),0,1)</f>
        <v/>
      </c>
      <c r="S122">
        <f>IF(R122=0,0,IF(SUMPRODUCT(($Q$11:Q121=Q122)*($R$11:R121=1))&gt;0,1,0))</f>
        <v/>
      </c>
    </row>
    <row r="123">
      <c r="Q123">
        <f>A123&amp;"|"&amp;B123&amp;"|"&amp;C123&amp;"|"&amp;D123&amp;"|"&amp;E123&amp;"|"&amp;F123&amp;"|"&amp;G123&amp;"|"&amp;H123&amp;"|"&amp;I123&amp;"|"&amp;J123&amp;"|"&amp;K123&amp;"|"&amp;L123&amp;"|"&amp;M123&amp;"|"&amp;N123&amp;"|"&amp;O123</f>
        <v/>
      </c>
      <c r="R123">
        <f>IF(Q123=REPT("|",14),0,1)</f>
        <v/>
      </c>
      <c r="S123">
        <f>IF(R123=0,0,IF(SUMPRODUCT(($Q$11:Q122=Q123)*($R$11:R122=1))&gt;0,1,0))</f>
        <v/>
      </c>
    </row>
    <row r="124">
      <c r="Q124">
        <f>A124&amp;"|"&amp;B124&amp;"|"&amp;C124&amp;"|"&amp;D124&amp;"|"&amp;E124&amp;"|"&amp;F124&amp;"|"&amp;G124&amp;"|"&amp;H124&amp;"|"&amp;I124&amp;"|"&amp;J124&amp;"|"&amp;K124&amp;"|"&amp;L124&amp;"|"&amp;M124&amp;"|"&amp;N124&amp;"|"&amp;O124</f>
        <v/>
      </c>
      <c r="R124">
        <f>IF(Q124=REPT("|",14),0,1)</f>
        <v/>
      </c>
      <c r="S124">
        <f>IF(R124=0,0,IF(SUMPRODUCT(($Q$11:Q123=Q124)*($R$11:R123=1))&gt;0,1,0))</f>
        <v/>
      </c>
    </row>
    <row r="125">
      <c r="Q125">
        <f>A125&amp;"|"&amp;B125&amp;"|"&amp;C125&amp;"|"&amp;D125&amp;"|"&amp;E125&amp;"|"&amp;F125&amp;"|"&amp;G125&amp;"|"&amp;H125&amp;"|"&amp;I125&amp;"|"&amp;J125&amp;"|"&amp;K125&amp;"|"&amp;L125&amp;"|"&amp;M125&amp;"|"&amp;N125&amp;"|"&amp;O125</f>
        <v/>
      </c>
      <c r="R125">
        <f>IF(Q125=REPT("|",14),0,1)</f>
        <v/>
      </c>
      <c r="S125">
        <f>IF(R125=0,0,IF(SUMPRODUCT(($Q$11:Q124=Q125)*($R$11:R124=1))&gt;0,1,0))</f>
        <v/>
      </c>
    </row>
    <row r="126">
      <c r="Q126">
        <f>A126&amp;"|"&amp;B126&amp;"|"&amp;C126&amp;"|"&amp;D126&amp;"|"&amp;E126&amp;"|"&amp;F126&amp;"|"&amp;G126&amp;"|"&amp;H126&amp;"|"&amp;I126&amp;"|"&amp;J126&amp;"|"&amp;K126&amp;"|"&amp;L126&amp;"|"&amp;M126&amp;"|"&amp;N126&amp;"|"&amp;O126</f>
        <v/>
      </c>
      <c r="R126">
        <f>IF(Q126=REPT("|",14),0,1)</f>
        <v/>
      </c>
      <c r="S126">
        <f>IF(R126=0,0,IF(SUMPRODUCT(($Q$11:Q125=Q126)*($R$11:R125=1))&gt;0,1,0))</f>
        <v/>
      </c>
    </row>
    <row r="127">
      <c r="Q127">
        <f>A127&amp;"|"&amp;B127&amp;"|"&amp;C127&amp;"|"&amp;D127&amp;"|"&amp;E127&amp;"|"&amp;F127&amp;"|"&amp;G127&amp;"|"&amp;H127&amp;"|"&amp;I127&amp;"|"&amp;J127&amp;"|"&amp;K127&amp;"|"&amp;L127&amp;"|"&amp;M127&amp;"|"&amp;N127&amp;"|"&amp;O127</f>
        <v/>
      </c>
      <c r="R127">
        <f>IF(Q127=REPT("|",14),0,1)</f>
        <v/>
      </c>
      <c r="S127">
        <f>IF(R127=0,0,IF(SUMPRODUCT(($Q$11:Q126=Q127)*($R$11:R126=1))&gt;0,1,0))</f>
        <v/>
      </c>
    </row>
    <row r="128">
      <c r="Q128">
        <f>A128&amp;"|"&amp;B128&amp;"|"&amp;C128&amp;"|"&amp;D128&amp;"|"&amp;E128&amp;"|"&amp;F128&amp;"|"&amp;G128&amp;"|"&amp;H128&amp;"|"&amp;I128&amp;"|"&amp;J128&amp;"|"&amp;K128&amp;"|"&amp;L128&amp;"|"&amp;M128&amp;"|"&amp;N128&amp;"|"&amp;O128</f>
        <v/>
      </c>
      <c r="R128">
        <f>IF(Q128=REPT("|",14),0,1)</f>
        <v/>
      </c>
      <c r="S128">
        <f>IF(R128=0,0,IF(SUMPRODUCT(($Q$11:Q127=Q128)*($R$11:R127=1))&gt;0,1,0))</f>
        <v/>
      </c>
    </row>
    <row r="129">
      <c r="Q129">
        <f>A129&amp;"|"&amp;B129&amp;"|"&amp;C129&amp;"|"&amp;D129&amp;"|"&amp;E129&amp;"|"&amp;F129&amp;"|"&amp;G129&amp;"|"&amp;H129&amp;"|"&amp;I129&amp;"|"&amp;J129&amp;"|"&amp;K129&amp;"|"&amp;L129&amp;"|"&amp;M129&amp;"|"&amp;N129&amp;"|"&amp;O129</f>
        <v/>
      </c>
      <c r="R129">
        <f>IF(Q129=REPT("|",14),0,1)</f>
        <v/>
      </c>
      <c r="S129">
        <f>IF(R129=0,0,IF(SUMPRODUCT(($Q$11:Q128=Q129)*($R$11:R128=1))&gt;0,1,0))</f>
        <v/>
      </c>
    </row>
    <row r="130">
      <c r="Q130">
        <f>A130&amp;"|"&amp;B130&amp;"|"&amp;C130&amp;"|"&amp;D130&amp;"|"&amp;E130&amp;"|"&amp;F130&amp;"|"&amp;G130&amp;"|"&amp;H130&amp;"|"&amp;I130&amp;"|"&amp;J130&amp;"|"&amp;K130&amp;"|"&amp;L130&amp;"|"&amp;M130&amp;"|"&amp;N130&amp;"|"&amp;O130</f>
        <v/>
      </c>
      <c r="R130">
        <f>IF(Q130=REPT("|",14),0,1)</f>
        <v/>
      </c>
      <c r="S130">
        <f>IF(R130=0,0,IF(SUMPRODUCT(($Q$11:Q129=Q130)*($R$11:R129=1))&gt;0,1,0))</f>
        <v/>
      </c>
    </row>
    <row r="131">
      <c r="Q131">
        <f>A131&amp;"|"&amp;B131&amp;"|"&amp;C131&amp;"|"&amp;D131&amp;"|"&amp;E131&amp;"|"&amp;F131&amp;"|"&amp;G131&amp;"|"&amp;H131&amp;"|"&amp;I131&amp;"|"&amp;J131&amp;"|"&amp;K131&amp;"|"&amp;L131&amp;"|"&amp;M131&amp;"|"&amp;N131&amp;"|"&amp;O131</f>
        <v/>
      </c>
      <c r="R131">
        <f>IF(Q131=REPT("|",14),0,1)</f>
        <v/>
      </c>
      <c r="S131">
        <f>IF(R131=0,0,IF(SUMPRODUCT(($Q$11:Q130=Q131)*($R$11:R130=1))&gt;0,1,0))</f>
        <v/>
      </c>
    </row>
    <row r="132">
      <c r="Q132">
        <f>A132&amp;"|"&amp;B132&amp;"|"&amp;C132&amp;"|"&amp;D132&amp;"|"&amp;E132&amp;"|"&amp;F132&amp;"|"&amp;G132&amp;"|"&amp;H132&amp;"|"&amp;I132&amp;"|"&amp;J132&amp;"|"&amp;K132&amp;"|"&amp;L132&amp;"|"&amp;M132&amp;"|"&amp;N132&amp;"|"&amp;O132</f>
        <v/>
      </c>
      <c r="R132">
        <f>IF(Q132=REPT("|",14),0,1)</f>
        <v/>
      </c>
      <c r="S132">
        <f>IF(R132=0,0,IF(SUMPRODUCT(($Q$11:Q131=Q132)*($R$11:R131=1))&gt;0,1,0))</f>
        <v/>
      </c>
    </row>
    <row r="133">
      <c r="Q133">
        <f>A133&amp;"|"&amp;B133&amp;"|"&amp;C133&amp;"|"&amp;D133&amp;"|"&amp;E133&amp;"|"&amp;F133&amp;"|"&amp;G133&amp;"|"&amp;H133&amp;"|"&amp;I133&amp;"|"&amp;J133&amp;"|"&amp;K133&amp;"|"&amp;L133&amp;"|"&amp;M133&amp;"|"&amp;N133&amp;"|"&amp;O133</f>
        <v/>
      </c>
      <c r="R133">
        <f>IF(Q133=REPT("|",14),0,1)</f>
        <v/>
      </c>
      <c r="S133">
        <f>IF(R133=0,0,IF(SUMPRODUCT(($Q$11:Q132=Q133)*($R$11:R132=1))&gt;0,1,0))</f>
        <v/>
      </c>
    </row>
    <row r="134">
      <c r="Q134">
        <f>A134&amp;"|"&amp;B134&amp;"|"&amp;C134&amp;"|"&amp;D134&amp;"|"&amp;E134&amp;"|"&amp;F134&amp;"|"&amp;G134&amp;"|"&amp;H134&amp;"|"&amp;I134&amp;"|"&amp;J134&amp;"|"&amp;K134&amp;"|"&amp;L134&amp;"|"&amp;M134&amp;"|"&amp;N134&amp;"|"&amp;O134</f>
        <v/>
      </c>
      <c r="R134">
        <f>IF(Q134=REPT("|",14),0,1)</f>
        <v/>
      </c>
      <c r="S134">
        <f>IF(R134=0,0,IF(SUMPRODUCT(($Q$11:Q133=Q134)*($R$11:R133=1))&gt;0,1,0))</f>
        <v/>
      </c>
    </row>
    <row r="135">
      <c r="Q135">
        <f>A135&amp;"|"&amp;B135&amp;"|"&amp;C135&amp;"|"&amp;D135&amp;"|"&amp;E135&amp;"|"&amp;F135&amp;"|"&amp;G135&amp;"|"&amp;H135&amp;"|"&amp;I135&amp;"|"&amp;J135&amp;"|"&amp;K135&amp;"|"&amp;L135&amp;"|"&amp;M135&amp;"|"&amp;N135&amp;"|"&amp;O135</f>
        <v/>
      </c>
      <c r="R135">
        <f>IF(Q135=REPT("|",14),0,1)</f>
        <v/>
      </c>
      <c r="S135">
        <f>IF(R135=0,0,IF(SUMPRODUCT(($Q$11:Q134=Q135)*($R$11:R134=1))&gt;0,1,0))</f>
        <v/>
      </c>
    </row>
    <row r="136">
      <c r="Q136">
        <f>A136&amp;"|"&amp;B136&amp;"|"&amp;C136&amp;"|"&amp;D136&amp;"|"&amp;E136&amp;"|"&amp;F136&amp;"|"&amp;G136&amp;"|"&amp;H136&amp;"|"&amp;I136&amp;"|"&amp;J136&amp;"|"&amp;K136&amp;"|"&amp;L136&amp;"|"&amp;M136&amp;"|"&amp;N136&amp;"|"&amp;O136</f>
        <v/>
      </c>
      <c r="R136">
        <f>IF(Q136=REPT("|",14),0,1)</f>
        <v/>
      </c>
      <c r="S136">
        <f>IF(R136=0,0,IF(SUMPRODUCT(($Q$11:Q135=Q136)*($R$11:R135=1))&gt;0,1,0))</f>
        <v/>
      </c>
    </row>
    <row r="137">
      <c r="Q137">
        <f>A137&amp;"|"&amp;B137&amp;"|"&amp;C137&amp;"|"&amp;D137&amp;"|"&amp;E137&amp;"|"&amp;F137&amp;"|"&amp;G137&amp;"|"&amp;H137&amp;"|"&amp;I137&amp;"|"&amp;J137&amp;"|"&amp;K137&amp;"|"&amp;L137&amp;"|"&amp;M137&amp;"|"&amp;N137&amp;"|"&amp;O137</f>
        <v/>
      </c>
      <c r="R137">
        <f>IF(Q137=REPT("|",14),0,1)</f>
        <v/>
      </c>
      <c r="S137">
        <f>IF(R137=0,0,IF(SUMPRODUCT(($Q$11:Q136=Q137)*($R$11:R136=1))&gt;0,1,0))</f>
        <v/>
      </c>
    </row>
    <row r="138">
      <c r="Q138">
        <f>A138&amp;"|"&amp;B138&amp;"|"&amp;C138&amp;"|"&amp;D138&amp;"|"&amp;E138&amp;"|"&amp;F138&amp;"|"&amp;G138&amp;"|"&amp;H138&amp;"|"&amp;I138&amp;"|"&amp;J138&amp;"|"&amp;K138&amp;"|"&amp;L138&amp;"|"&amp;M138&amp;"|"&amp;N138&amp;"|"&amp;O138</f>
        <v/>
      </c>
      <c r="R138">
        <f>IF(Q138=REPT("|",14),0,1)</f>
        <v/>
      </c>
      <c r="S138">
        <f>IF(R138=0,0,IF(SUMPRODUCT(($Q$11:Q137=Q138)*($R$11:R137=1))&gt;0,1,0))</f>
        <v/>
      </c>
    </row>
    <row r="139">
      <c r="Q139">
        <f>A139&amp;"|"&amp;B139&amp;"|"&amp;C139&amp;"|"&amp;D139&amp;"|"&amp;E139&amp;"|"&amp;F139&amp;"|"&amp;G139&amp;"|"&amp;H139&amp;"|"&amp;I139&amp;"|"&amp;J139&amp;"|"&amp;K139&amp;"|"&amp;L139&amp;"|"&amp;M139&amp;"|"&amp;N139&amp;"|"&amp;O139</f>
        <v/>
      </c>
      <c r="R139">
        <f>IF(Q139=REPT("|",14),0,1)</f>
        <v/>
      </c>
      <c r="S139">
        <f>IF(R139=0,0,IF(SUMPRODUCT(($Q$11:Q138=Q139)*($R$11:R138=1))&gt;0,1,0))</f>
        <v/>
      </c>
    </row>
    <row r="140">
      <c r="Q140">
        <f>A140&amp;"|"&amp;B140&amp;"|"&amp;C140&amp;"|"&amp;D140&amp;"|"&amp;E140&amp;"|"&amp;F140&amp;"|"&amp;G140&amp;"|"&amp;H140&amp;"|"&amp;I140&amp;"|"&amp;J140&amp;"|"&amp;K140&amp;"|"&amp;L140&amp;"|"&amp;M140&amp;"|"&amp;N140&amp;"|"&amp;O140</f>
        <v/>
      </c>
      <c r="R140">
        <f>IF(Q140=REPT("|",14),0,1)</f>
        <v/>
      </c>
      <c r="S140">
        <f>IF(R140=0,0,IF(SUMPRODUCT(($Q$11:Q139=Q140)*($R$11:R139=1))&gt;0,1,0))</f>
        <v/>
      </c>
    </row>
    <row r="141">
      <c r="Q141">
        <f>A141&amp;"|"&amp;B141&amp;"|"&amp;C141&amp;"|"&amp;D141&amp;"|"&amp;E141&amp;"|"&amp;F141&amp;"|"&amp;G141&amp;"|"&amp;H141&amp;"|"&amp;I141&amp;"|"&amp;J141&amp;"|"&amp;K141&amp;"|"&amp;L141&amp;"|"&amp;M141&amp;"|"&amp;N141&amp;"|"&amp;O141</f>
        <v/>
      </c>
      <c r="R141">
        <f>IF(Q141=REPT("|",14),0,1)</f>
        <v/>
      </c>
      <c r="S141">
        <f>IF(R141=0,0,IF(SUMPRODUCT(($Q$11:Q140=Q141)*($R$11:R140=1))&gt;0,1,0))</f>
        <v/>
      </c>
    </row>
    <row r="142">
      <c r="Q142">
        <f>A142&amp;"|"&amp;B142&amp;"|"&amp;C142&amp;"|"&amp;D142&amp;"|"&amp;E142&amp;"|"&amp;F142&amp;"|"&amp;G142&amp;"|"&amp;H142&amp;"|"&amp;I142&amp;"|"&amp;J142&amp;"|"&amp;K142&amp;"|"&amp;L142&amp;"|"&amp;M142&amp;"|"&amp;N142&amp;"|"&amp;O142</f>
        <v/>
      </c>
      <c r="R142">
        <f>IF(Q142=REPT("|",14),0,1)</f>
        <v/>
      </c>
      <c r="S142">
        <f>IF(R142=0,0,IF(SUMPRODUCT(($Q$11:Q141=Q142)*($R$11:R141=1))&gt;0,1,0))</f>
        <v/>
      </c>
    </row>
    <row r="143">
      <c r="Q143">
        <f>A143&amp;"|"&amp;B143&amp;"|"&amp;C143&amp;"|"&amp;D143&amp;"|"&amp;E143&amp;"|"&amp;F143&amp;"|"&amp;G143&amp;"|"&amp;H143&amp;"|"&amp;I143&amp;"|"&amp;J143&amp;"|"&amp;K143&amp;"|"&amp;L143&amp;"|"&amp;M143&amp;"|"&amp;N143&amp;"|"&amp;O143</f>
        <v/>
      </c>
      <c r="R143">
        <f>IF(Q143=REPT("|",14),0,1)</f>
        <v/>
      </c>
      <c r="S143">
        <f>IF(R143=0,0,IF(SUMPRODUCT(($Q$11:Q142=Q143)*($R$11:R142=1))&gt;0,1,0))</f>
        <v/>
      </c>
    </row>
    <row r="144">
      <c r="Q144">
        <f>A144&amp;"|"&amp;B144&amp;"|"&amp;C144&amp;"|"&amp;D144&amp;"|"&amp;E144&amp;"|"&amp;F144&amp;"|"&amp;G144&amp;"|"&amp;H144&amp;"|"&amp;I144&amp;"|"&amp;J144&amp;"|"&amp;K144&amp;"|"&amp;L144&amp;"|"&amp;M144&amp;"|"&amp;N144&amp;"|"&amp;O144</f>
        <v/>
      </c>
      <c r="R144">
        <f>IF(Q144=REPT("|",14),0,1)</f>
        <v/>
      </c>
      <c r="S144">
        <f>IF(R144=0,0,IF(SUMPRODUCT(($Q$11:Q143=Q144)*($R$11:R143=1))&gt;0,1,0))</f>
        <v/>
      </c>
    </row>
    <row r="145">
      <c r="Q145">
        <f>A145&amp;"|"&amp;B145&amp;"|"&amp;C145&amp;"|"&amp;D145&amp;"|"&amp;E145&amp;"|"&amp;F145&amp;"|"&amp;G145&amp;"|"&amp;H145&amp;"|"&amp;I145&amp;"|"&amp;J145&amp;"|"&amp;K145&amp;"|"&amp;L145&amp;"|"&amp;M145&amp;"|"&amp;N145&amp;"|"&amp;O145</f>
        <v/>
      </c>
      <c r="R145">
        <f>IF(Q145=REPT("|",14),0,1)</f>
        <v/>
      </c>
      <c r="S145">
        <f>IF(R145=0,0,IF(SUMPRODUCT(($Q$11:Q144=Q145)*($R$11:R144=1))&gt;0,1,0))</f>
        <v/>
      </c>
    </row>
    <row r="146">
      <c r="Q146">
        <f>A146&amp;"|"&amp;B146&amp;"|"&amp;C146&amp;"|"&amp;D146&amp;"|"&amp;E146&amp;"|"&amp;F146&amp;"|"&amp;G146&amp;"|"&amp;H146&amp;"|"&amp;I146&amp;"|"&amp;J146&amp;"|"&amp;K146&amp;"|"&amp;L146&amp;"|"&amp;M146&amp;"|"&amp;N146&amp;"|"&amp;O146</f>
        <v/>
      </c>
      <c r="R146">
        <f>IF(Q146=REPT("|",14),0,1)</f>
        <v/>
      </c>
      <c r="S146">
        <f>IF(R146=0,0,IF(SUMPRODUCT(($Q$11:Q145=Q146)*($R$11:R145=1))&gt;0,1,0))</f>
        <v/>
      </c>
    </row>
    <row r="147">
      <c r="Q147">
        <f>A147&amp;"|"&amp;B147&amp;"|"&amp;C147&amp;"|"&amp;D147&amp;"|"&amp;E147&amp;"|"&amp;F147&amp;"|"&amp;G147&amp;"|"&amp;H147&amp;"|"&amp;I147&amp;"|"&amp;J147&amp;"|"&amp;K147&amp;"|"&amp;L147&amp;"|"&amp;M147&amp;"|"&amp;N147&amp;"|"&amp;O147</f>
        <v/>
      </c>
      <c r="R147">
        <f>IF(Q147=REPT("|",14),0,1)</f>
        <v/>
      </c>
      <c r="S147">
        <f>IF(R147=0,0,IF(SUMPRODUCT(($Q$11:Q146=Q147)*($R$11:R146=1))&gt;0,1,0))</f>
        <v/>
      </c>
    </row>
    <row r="148">
      <c r="Q148">
        <f>A148&amp;"|"&amp;B148&amp;"|"&amp;C148&amp;"|"&amp;D148&amp;"|"&amp;E148&amp;"|"&amp;F148&amp;"|"&amp;G148&amp;"|"&amp;H148&amp;"|"&amp;I148&amp;"|"&amp;J148&amp;"|"&amp;K148&amp;"|"&amp;L148&amp;"|"&amp;M148&amp;"|"&amp;N148&amp;"|"&amp;O148</f>
        <v/>
      </c>
      <c r="R148">
        <f>IF(Q148=REPT("|",14),0,1)</f>
        <v/>
      </c>
      <c r="S148">
        <f>IF(R148=0,0,IF(SUMPRODUCT(($Q$11:Q147=Q148)*($R$11:R147=1))&gt;0,1,0))</f>
        <v/>
      </c>
    </row>
    <row r="149">
      <c r="Q149">
        <f>A149&amp;"|"&amp;B149&amp;"|"&amp;C149&amp;"|"&amp;D149&amp;"|"&amp;E149&amp;"|"&amp;F149&amp;"|"&amp;G149&amp;"|"&amp;H149&amp;"|"&amp;I149&amp;"|"&amp;J149&amp;"|"&amp;K149&amp;"|"&amp;L149&amp;"|"&amp;M149&amp;"|"&amp;N149&amp;"|"&amp;O149</f>
        <v/>
      </c>
      <c r="R149">
        <f>IF(Q149=REPT("|",14),0,1)</f>
        <v/>
      </c>
      <c r="S149">
        <f>IF(R149=0,0,IF(SUMPRODUCT(($Q$11:Q148=Q149)*($R$11:R148=1))&gt;0,1,0))</f>
        <v/>
      </c>
    </row>
    <row r="150">
      <c r="Q150">
        <f>A150&amp;"|"&amp;B150&amp;"|"&amp;C150&amp;"|"&amp;D150&amp;"|"&amp;E150&amp;"|"&amp;F150&amp;"|"&amp;G150&amp;"|"&amp;H150&amp;"|"&amp;I150&amp;"|"&amp;J150&amp;"|"&amp;K150&amp;"|"&amp;L150&amp;"|"&amp;M150&amp;"|"&amp;N150&amp;"|"&amp;O150</f>
        <v/>
      </c>
      <c r="R150">
        <f>IF(Q150=REPT("|",14),0,1)</f>
        <v/>
      </c>
      <c r="S150">
        <f>IF(R150=0,0,IF(SUMPRODUCT(($Q$11:Q149=Q150)*($R$11:R149=1))&gt;0,1,0))</f>
        <v/>
      </c>
    </row>
    <row r="151">
      <c r="Q151">
        <f>A151&amp;"|"&amp;B151&amp;"|"&amp;C151&amp;"|"&amp;D151&amp;"|"&amp;E151&amp;"|"&amp;F151&amp;"|"&amp;G151&amp;"|"&amp;H151&amp;"|"&amp;I151&amp;"|"&amp;J151&amp;"|"&amp;K151&amp;"|"&amp;L151&amp;"|"&amp;M151&amp;"|"&amp;N151&amp;"|"&amp;O151</f>
        <v/>
      </c>
      <c r="R151">
        <f>IF(Q151=REPT("|",14),0,1)</f>
        <v/>
      </c>
      <c r="S151">
        <f>IF(R151=0,0,IF(SUMPRODUCT(($Q$11:Q150=Q151)*($R$11:R150=1))&gt;0,1,0))</f>
        <v/>
      </c>
    </row>
    <row r="152">
      <c r="Q152">
        <f>A152&amp;"|"&amp;B152&amp;"|"&amp;C152&amp;"|"&amp;D152&amp;"|"&amp;E152&amp;"|"&amp;F152&amp;"|"&amp;G152&amp;"|"&amp;H152&amp;"|"&amp;I152&amp;"|"&amp;J152&amp;"|"&amp;K152&amp;"|"&amp;L152&amp;"|"&amp;M152&amp;"|"&amp;N152&amp;"|"&amp;O152</f>
        <v/>
      </c>
      <c r="R152">
        <f>IF(Q152=REPT("|",14),0,1)</f>
        <v/>
      </c>
      <c r="S152">
        <f>IF(R152=0,0,IF(SUMPRODUCT(($Q$11:Q151=Q152)*($R$11:R151=1))&gt;0,1,0))</f>
        <v/>
      </c>
    </row>
    <row r="153">
      <c r="Q153">
        <f>A153&amp;"|"&amp;B153&amp;"|"&amp;C153&amp;"|"&amp;D153&amp;"|"&amp;E153&amp;"|"&amp;F153&amp;"|"&amp;G153&amp;"|"&amp;H153&amp;"|"&amp;I153&amp;"|"&amp;J153&amp;"|"&amp;K153&amp;"|"&amp;L153&amp;"|"&amp;M153&amp;"|"&amp;N153&amp;"|"&amp;O153</f>
        <v/>
      </c>
      <c r="R153">
        <f>IF(Q153=REPT("|",14),0,1)</f>
        <v/>
      </c>
      <c r="S153">
        <f>IF(R153=0,0,IF(SUMPRODUCT(($Q$11:Q152=Q153)*($R$11:R152=1))&gt;0,1,0))</f>
        <v/>
      </c>
    </row>
    <row r="154">
      <c r="Q154">
        <f>A154&amp;"|"&amp;B154&amp;"|"&amp;C154&amp;"|"&amp;D154&amp;"|"&amp;E154&amp;"|"&amp;F154&amp;"|"&amp;G154&amp;"|"&amp;H154&amp;"|"&amp;I154&amp;"|"&amp;J154&amp;"|"&amp;K154&amp;"|"&amp;L154&amp;"|"&amp;M154&amp;"|"&amp;N154&amp;"|"&amp;O154</f>
        <v/>
      </c>
      <c r="R154">
        <f>IF(Q154=REPT("|",14),0,1)</f>
        <v/>
      </c>
      <c r="S154">
        <f>IF(R154=0,0,IF(SUMPRODUCT(($Q$11:Q153=Q154)*($R$11:R153=1))&gt;0,1,0))</f>
        <v/>
      </c>
    </row>
    <row r="155">
      <c r="Q155">
        <f>A155&amp;"|"&amp;B155&amp;"|"&amp;C155&amp;"|"&amp;D155&amp;"|"&amp;E155&amp;"|"&amp;F155&amp;"|"&amp;G155&amp;"|"&amp;H155&amp;"|"&amp;I155&amp;"|"&amp;J155&amp;"|"&amp;K155&amp;"|"&amp;L155&amp;"|"&amp;M155&amp;"|"&amp;N155&amp;"|"&amp;O155</f>
        <v/>
      </c>
      <c r="R155">
        <f>IF(Q155=REPT("|",14),0,1)</f>
        <v/>
      </c>
      <c r="S155">
        <f>IF(R155=0,0,IF(SUMPRODUCT(($Q$11:Q154=Q155)*($R$11:R154=1))&gt;0,1,0))</f>
        <v/>
      </c>
    </row>
    <row r="156">
      <c r="Q156">
        <f>A156&amp;"|"&amp;B156&amp;"|"&amp;C156&amp;"|"&amp;D156&amp;"|"&amp;E156&amp;"|"&amp;F156&amp;"|"&amp;G156&amp;"|"&amp;H156&amp;"|"&amp;I156&amp;"|"&amp;J156&amp;"|"&amp;K156&amp;"|"&amp;L156&amp;"|"&amp;M156&amp;"|"&amp;N156&amp;"|"&amp;O156</f>
        <v/>
      </c>
      <c r="R156">
        <f>IF(Q156=REPT("|",14),0,1)</f>
        <v/>
      </c>
      <c r="S156">
        <f>IF(R156=0,0,IF(SUMPRODUCT(($Q$11:Q155=Q156)*($R$11:R155=1))&gt;0,1,0))</f>
        <v/>
      </c>
    </row>
    <row r="157">
      <c r="Q157">
        <f>A157&amp;"|"&amp;B157&amp;"|"&amp;C157&amp;"|"&amp;D157&amp;"|"&amp;E157&amp;"|"&amp;F157&amp;"|"&amp;G157&amp;"|"&amp;H157&amp;"|"&amp;I157&amp;"|"&amp;J157&amp;"|"&amp;K157&amp;"|"&amp;L157&amp;"|"&amp;M157&amp;"|"&amp;N157&amp;"|"&amp;O157</f>
        <v/>
      </c>
      <c r="R157">
        <f>IF(Q157=REPT("|",14),0,1)</f>
        <v/>
      </c>
      <c r="S157">
        <f>IF(R157=0,0,IF(SUMPRODUCT(($Q$11:Q156=Q157)*($R$11:R156=1))&gt;0,1,0))</f>
        <v/>
      </c>
    </row>
    <row r="158">
      <c r="Q158">
        <f>A158&amp;"|"&amp;B158&amp;"|"&amp;C158&amp;"|"&amp;D158&amp;"|"&amp;E158&amp;"|"&amp;F158&amp;"|"&amp;G158&amp;"|"&amp;H158&amp;"|"&amp;I158&amp;"|"&amp;J158&amp;"|"&amp;K158&amp;"|"&amp;L158&amp;"|"&amp;M158&amp;"|"&amp;N158&amp;"|"&amp;O158</f>
        <v/>
      </c>
      <c r="R158">
        <f>IF(Q158=REPT("|",14),0,1)</f>
        <v/>
      </c>
      <c r="S158">
        <f>IF(R158=0,0,IF(SUMPRODUCT(($Q$11:Q157=Q158)*($R$11:R157=1))&gt;0,1,0))</f>
        <v/>
      </c>
    </row>
    <row r="159">
      <c r="Q159">
        <f>A159&amp;"|"&amp;B159&amp;"|"&amp;C159&amp;"|"&amp;D159&amp;"|"&amp;E159&amp;"|"&amp;F159&amp;"|"&amp;G159&amp;"|"&amp;H159&amp;"|"&amp;I159&amp;"|"&amp;J159&amp;"|"&amp;K159&amp;"|"&amp;L159&amp;"|"&amp;M159&amp;"|"&amp;N159&amp;"|"&amp;O159</f>
        <v/>
      </c>
      <c r="R159">
        <f>IF(Q159=REPT("|",14),0,1)</f>
        <v/>
      </c>
      <c r="S159">
        <f>IF(R159=0,0,IF(SUMPRODUCT(($Q$11:Q158=Q159)*($R$11:R158=1))&gt;0,1,0))</f>
        <v/>
      </c>
    </row>
    <row r="160">
      <c r="Q160">
        <f>A160&amp;"|"&amp;B160&amp;"|"&amp;C160&amp;"|"&amp;D160&amp;"|"&amp;E160&amp;"|"&amp;F160&amp;"|"&amp;G160&amp;"|"&amp;H160&amp;"|"&amp;I160&amp;"|"&amp;J160&amp;"|"&amp;K160&amp;"|"&amp;L160&amp;"|"&amp;M160&amp;"|"&amp;N160&amp;"|"&amp;O160</f>
        <v/>
      </c>
      <c r="R160">
        <f>IF(Q160=REPT("|",14),0,1)</f>
        <v/>
      </c>
      <c r="S160">
        <f>IF(R160=0,0,IF(SUMPRODUCT(($Q$11:Q159=Q160)*($R$11:R159=1))&gt;0,1,0))</f>
        <v/>
      </c>
    </row>
    <row r="161">
      <c r="Q161">
        <f>A161&amp;"|"&amp;B161&amp;"|"&amp;C161&amp;"|"&amp;D161&amp;"|"&amp;E161&amp;"|"&amp;F161&amp;"|"&amp;G161&amp;"|"&amp;H161&amp;"|"&amp;I161&amp;"|"&amp;J161&amp;"|"&amp;K161&amp;"|"&amp;L161&amp;"|"&amp;M161&amp;"|"&amp;N161&amp;"|"&amp;O161</f>
        <v/>
      </c>
      <c r="R161">
        <f>IF(Q161=REPT("|",14),0,1)</f>
        <v/>
      </c>
      <c r="S161">
        <f>IF(R161=0,0,IF(SUMPRODUCT(($Q$11:Q160=Q161)*($R$11:R160=1))&gt;0,1,0))</f>
        <v/>
      </c>
    </row>
    <row r="162">
      <c r="Q162">
        <f>A162&amp;"|"&amp;B162&amp;"|"&amp;C162&amp;"|"&amp;D162&amp;"|"&amp;E162&amp;"|"&amp;F162&amp;"|"&amp;G162&amp;"|"&amp;H162&amp;"|"&amp;I162&amp;"|"&amp;J162&amp;"|"&amp;K162&amp;"|"&amp;L162&amp;"|"&amp;M162&amp;"|"&amp;N162&amp;"|"&amp;O162</f>
        <v/>
      </c>
      <c r="R162">
        <f>IF(Q162=REPT("|",14),0,1)</f>
        <v/>
      </c>
      <c r="S162">
        <f>IF(R162=0,0,IF(SUMPRODUCT(($Q$11:Q161=Q162)*($R$11:R161=1))&gt;0,1,0))</f>
        <v/>
      </c>
    </row>
    <row r="163">
      <c r="Q163">
        <f>A163&amp;"|"&amp;B163&amp;"|"&amp;C163&amp;"|"&amp;D163&amp;"|"&amp;E163&amp;"|"&amp;F163&amp;"|"&amp;G163&amp;"|"&amp;H163&amp;"|"&amp;I163&amp;"|"&amp;J163&amp;"|"&amp;K163&amp;"|"&amp;L163&amp;"|"&amp;M163&amp;"|"&amp;N163&amp;"|"&amp;O163</f>
        <v/>
      </c>
      <c r="R163">
        <f>IF(Q163=REPT("|",14),0,1)</f>
        <v/>
      </c>
      <c r="S163">
        <f>IF(R163=0,0,IF(SUMPRODUCT(($Q$11:Q162=Q163)*($R$11:R162=1))&gt;0,1,0))</f>
        <v/>
      </c>
    </row>
    <row r="164">
      <c r="Q164">
        <f>A164&amp;"|"&amp;B164&amp;"|"&amp;C164&amp;"|"&amp;D164&amp;"|"&amp;E164&amp;"|"&amp;F164&amp;"|"&amp;G164&amp;"|"&amp;H164&amp;"|"&amp;I164&amp;"|"&amp;J164&amp;"|"&amp;K164&amp;"|"&amp;L164&amp;"|"&amp;M164&amp;"|"&amp;N164&amp;"|"&amp;O164</f>
        <v/>
      </c>
      <c r="R164">
        <f>IF(Q164=REPT("|",14),0,1)</f>
        <v/>
      </c>
      <c r="S164">
        <f>IF(R164=0,0,IF(SUMPRODUCT(($Q$11:Q163=Q164)*($R$11:R163=1))&gt;0,1,0))</f>
        <v/>
      </c>
    </row>
    <row r="165">
      <c r="Q165">
        <f>A165&amp;"|"&amp;B165&amp;"|"&amp;C165&amp;"|"&amp;D165&amp;"|"&amp;E165&amp;"|"&amp;F165&amp;"|"&amp;G165&amp;"|"&amp;H165&amp;"|"&amp;I165&amp;"|"&amp;J165&amp;"|"&amp;K165&amp;"|"&amp;L165&amp;"|"&amp;M165&amp;"|"&amp;N165&amp;"|"&amp;O165</f>
        <v/>
      </c>
      <c r="R165">
        <f>IF(Q165=REPT("|",14),0,1)</f>
        <v/>
      </c>
      <c r="S165">
        <f>IF(R165=0,0,IF(SUMPRODUCT(($Q$11:Q164=Q165)*($R$11:R164=1))&gt;0,1,0))</f>
        <v/>
      </c>
    </row>
    <row r="166">
      <c r="Q166">
        <f>A166&amp;"|"&amp;B166&amp;"|"&amp;C166&amp;"|"&amp;D166&amp;"|"&amp;E166&amp;"|"&amp;F166&amp;"|"&amp;G166&amp;"|"&amp;H166&amp;"|"&amp;I166&amp;"|"&amp;J166&amp;"|"&amp;K166&amp;"|"&amp;L166&amp;"|"&amp;M166&amp;"|"&amp;N166&amp;"|"&amp;O166</f>
        <v/>
      </c>
      <c r="R166">
        <f>IF(Q166=REPT("|",14),0,1)</f>
        <v/>
      </c>
      <c r="S166">
        <f>IF(R166=0,0,IF(SUMPRODUCT(($Q$11:Q165=Q166)*($R$11:R165=1))&gt;0,1,0))</f>
        <v/>
      </c>
    </row>
    <row r="167">
      <c r="Q167">
        <f>A167&amp;"|"&amp;B167&amp;"|"&amp;C167&amp;"|"&amp;D167&amp;"|"&amp;E167&amp;"|"&amp;F167&amp;"|"&amp;G167&amp;"|"&amp;H167&amp;"|"&amp;I167&amp;"|"&amp;J167&amp;"|"&amp;K167&amp;"|"&amp;L167&amp;"|"&amp;M167&amp;"|"&amp;N167&amp;"|"&amp;O167</f>
        <v/>
      </c>
      <c r="R167">
        <f>IF(Q167=REPT("|",14),0,1)</f>
        <v/>
      </c>
      <c r="S167">
        <f>IF(R167=0,0,IF(SUMPRODUCT(($Q$11:Q166=Q167)*($R$11:R166=1))&gt;0,1,0))</f>
        <v/>
      </c>
    </row>
    <row r="168">
      <c r="Q168">
        <f>A168&amp;"|"&amp;B168&amp;"|"&amp;C168&amp;"|"&amp;D168&amp;"|"&amp;E168&amp;"|"&amp;F168&amp;"|"&amp;G168&amp;"|"&amp;H168&amp;"|"&amp;I168&amp;"|"&amp;J168&amp;"|"&amp;K168&amp;"|"&amp;L168&amp;"|"&amp;M168&amp;"|"&amp;N168&amp;"|"&amp;O168</f>
        <v/>
      </c>
      <c r="R168">
        <f>IF(Q168=REPT("|",14),0,1)</f>
        <v/>
      </c>
      <c r="S168">
        <f>IF(R168=0,0,IF(SUMPRODUCT(($Q$11:Q167=Q168)*($R$11:R167=1))&gt;0,1,0))</f>
        <v/>
      </c>
    </row>
    <row r="169">
      <c r="Q169">
        <f>A169&amp;"|"&amp;B169&amp;"|"&amp;C169&amp;"|"&amp;D169&amp;"|"&amp;E169&amp;"|"&amp;F169&amp;"|"&amp;G169&amp;"|"&amp;H169&amp;"|"&amp;I169&amp;"|"&amp;J169&amp;"|"&amp;K169&amp;"|"&amp;L169&amp;"|"&amp;M169&amp;"|"&amp;N169&amp;"|"&amp;O169</f>
        <v/>
      </c>
      <c r="R169">
        <f>IF(Q169=REPT("|",14),0,1)</f>
        <v/>
      </c>
      <c r="S169">
        <f>IF(R169=0,0,IF(SUMPRODUCT(($Q$11:Q168=Q169)*($R$11:R168=1))&gt;0,1,0))</f>
        <v/>
      </c>
    </row>
    <row r="170">
      <c r="Q170">
        <f>A170&amp;"|"&amp;B170&amp;"|"&amp;C170&amp;"|"&amp;D170&amp;"|"&amp;E170&amp;"|"&amp;F170&amp;"|"&amp;G170&amp;"|"&amp;H170&amp;"|"&amp;I170&amp;"|"&amp;J170&amp;"|"&amp;K170&amp;"|"&amp;L170&amp;"|"&amp;M170&amp;"|"&amp;N170&amp;"|"&amp;O170</f>
        <v/>
      </c>
      <c r="R170">
        <f>IF(Q170=REPT("|",14),0,1)</f>
        <v/>
      </c>
      <c r="S170">
        <f>IF(R170=0,0,IF(SUMPRODUCT(($Q$11:Q169=Q170)*($R$11:R169=1))&gt;0,1,0))</f>
        <v/>
      </c>
    </row>
    <row r="171">
      <c r="Q171">
        <f>A171&amp;"|"&amp;B171&amp;"|"&amp;C171&amp;"|"&amp;D171&amp;"|"&amp;E171&amp;"|"&amp;F171&amp;"|"&amp;G171&amp;"|"&amp;H171&amp;"|"&amp;I171&amp;"|"&amp;J171&amp;"|"&amp;K171&amp;"|"&amp;L171&amp;"|"&amp;M171&amp;"|"&amp;N171&amp;"|"&amp;O171</f>
        <v/>
      </c>
      <c r="R171">
        <f>IF(Q171=REPT("|",14),0,1)</f>
        <v/>
      </c>
      <c r="S171">
        <f>IF(R171=0,0,IF(SUMPRODUCT(($Q$11:Q170=Q171)*($R$11:R170=1))&gt;0,1,0))</f>
        <v/>
      </c>
    </row>
    <row r="172">
      <c r="Q172">
        <f>A172&amp;"|"&amp;B172&amp;"|"&amp;C172&amp;"|"&amp;D172&amp;"|"&amp;E172&amp;"|"&amp;F172&amp;"|"&amp;G172&amp;"|"&amp;H172&amp;"|"&amp;I172&amp;"|"&amp;J172&amp;"|"&amp;K172&amp;"|"&amp;L172&amp;"|"&amp;M172&amp;"|"&amp;N172&amp;"|"&amp;O172</f>
        <v/>
      </c>
      <c r="R172">
        <f>IF(Q172=REPT("|",14),0,1)</f>
        <v/>
      </c>
      <c r="S172">
        <f>IF(R172=0,0,IF(SUMPRODUCT(($Q$11:Q171=Q172)*($R$11:R171=1))&gt;0,1,0))</f>
        <v/>
      </c>
    </row>
    <row r="173">
      <c r="Q173">
        <f>A173&amp;"|"&amp;B173&amp;"|"&amp;C173&amp;"|"&amp;D173&amp;"|"&amp;E173&amp;"|"&amp;F173&amp;"|"&amp;G173&amp;"|"&amp;H173&amp;"|"&amp;I173&amp;"|"&amp;J173&amp;"|"&amp;K173&amp;"|"&amp;L173&amp;"|"&amp;M173&amp;"|"&amp;N173&amp;"|"&amp;O173</f>
        <v/>
      </c>
      <c r="R173">
        <f>IF(Q173=REPT("|",14),0,1)</f>
        <v/>
      </c>
      <c r="S173">
        <f>IF(R173=0,0,IF(SUMPRODUCT(($Q$11:Q172=Q173)*($R$11:R172=1))&gt;0,1,0))</f>
        <v/>
      </c>
    </row>
    <row r="174">
      <c r="Q174">
        <f>A174&amp;"|"&amp;B174&amp;"|"&amp;C174&amp;"|"&amp;D174&amp;"|"&amp;E174&amp;"|"&amp;F174&amp;"|"&amp;G174&amp;"|"&amp;H174&amp;"|"&amp;I174&amp;"|"&amp;J174&amp;"|"&amp;K174&amp;"|"&amp;L174&amp;"|"&amp;M174&amp;"|"&amp;N174&amp;"|"&amp;O174</f>
        <v/>
      </c>
      <c r="R174">
        <f>IF(Q174=REPT("|",14),0,1)</f>
        <v/>
      </c>
      <c r="S174">
        <f>IF(R174=0,0,IF(SUMPRODUCT(($Q$11:Q173=Q174)*($R$11:R173=1))&gt;0,1,0))</f>
        <v/>
      </c>
    </row>
    <row r="175">
      <c r="Q175">
        <f>A175&amp;"|"&amp;B175&amp;"|"&amp;C175&amp;"|"&amp;D175&amp;"|"&amp;E175&amp;"|"&amp;F175&amp;"|"&amp;G175&amp;"|"&amp;H175&amp;"|"&amp;I175&amp;"|"&amp;J175&amp;"|"&amp;K175&amp;"|"&amp;L175&amp;"|"&amp;M175&amp;"|"&amp;N175&amp;"|"&amp;O175</f>
        <v/>
      </c>
      <c r="R175">
        <f>IF(Q175=REPT("|",14),0,1)</f>
        <v/>
      </c>
      <c r="S175">
        <f>IF(R175=0,0,IF(SUMPRODUCT(($Q$11:Q174=Q175)*($R$11:R174=1))&gt;0,1,0))</f>
        <v/>
      </c>
    </row>
    <row r="176">
      <c r="Q176">
        <f>A176&amp;"|"&amp;B176&amp;"|"&amp;C176&amp;"|"&amp;D176&amp;"|"&amp;E176&amp;"|"&amp;F176&amp;"|"&amp;G176&amp;"|"&amp;H176&amp;"|"&amp;I176&amp;"|"&amp;J176&amp;"|"&amp;K176&amp;"|"&amp;L176&amp;"|"&amp;M176&amp;"|"&amp;N176&amp;"|"&amp;O176</f>
        <v/>
      </c>
      <c r="R176">
        <f>IF(Q176=REPT("|",14),0,1)</f>
        <v/>
      </c>
      <c r="S176">
        <f>IF(R176=0,0,IF(SUMPRODUCT(($Q$11:Q175=Q176)*($R$11:R175=1))&gt;0,1,0))</f>
        <v/>
      </c>
    </row>
    <row r="177">
      <c r="Q177">
        <f>A177&amp;"|"&amp;B177&amp;"|"&amp;C177&amp;"|"&amp;D177&amp;"|"&amp;E177&amp;"|"&amp;F177&amp;"|"&amp;G177&amp;"|"&amp;H177&amp;"|"&amp;I177&amp;"|"&amp;J177&amp;"|"&amp;K177&amp;"|"&amp;L177&amp;"|"&amp;M177&amp;"|"&amp;N177&amp;"|"&amp;O177</f>
        <v/>
      </c>
      <c r="R177">
        <f>IF(Q177=REPT("|",14),0,1)</f>
        <v/>
      </c>
      <c r="S177">
        <f>IF(R177=0,0,IF(SUMPRODUCT(($Q$11:Q176=Q177)*($R$11:R176=1))&gt;0,1,0))</f>
        <v/>
      </c>
    </row>
    <row r="178">
      <c r="Q178">
        <f>A178&amp;"|"&amp;B178&amp;"|"&amp;C178&amp;"|"&amp;D178&amp;"|"&amp;E178&amp;"|"&amp;F178&amp;"|"&amp;G178&amp;"|"&amp;H178&amp;"|"&amp;I178&amp;"|"&amp;J178&amp;"|"&amp;K178&amp;"|"&amp;L178&amp;"|"&amp;M178&amp;"|"&amp;N178&amp;"|"&amp;O178</f>
        <v/>
      </c>
      <c r="R178">
        <f>IF(Q178=REPT("|",14),0,1)</f>
        <v/>
      </c>
      <c r="S178">
        <f>IF(R178=0,0,IF(SUMPRODUCT(($Q$11:Q177=Q178)*($R$11:R177=1))&gt;0,1,0))</f>
        <v/>
      </c>
    </row>
    <row r="179">
      <c r="Q179">
        <f>A179&amp;"|"&amp;B179&amp;"|"&amp;C179&amp;"|"&amp;D179&amp;"|"&amp;E179&amp;"|"&amp;F179&amp;"|"&amp;G179&amp;"|"&amp;H179&amp;"|"&amp;I179&amp;"|"&amp;J179&amp;"|"&amp;K179&amp;"|"&amp;L179&amp;"|"&amp;M179&amp;"|"&amp;N179&amp;"|"&amp;O179</f>
        <v/>
      </c>
      <c r="R179">
        <f>IF(Q179=REPT("|",14),0,1)</f>
        <v/>
      </c>
      <c r="S179">
        <f>IF(R179=0,0,IF(SUMPRODUCT(($Q$11:Q178=Q179)*($R$11:R178=1))&gt;0,1,0))</f>
        <v/>
      </c>
    </row>
    <row r="180">
      <c r="Q180">
        <f>A180&amp;"|"&amp;B180&amp;"|"&amp;C180&amp;"|"&amp;D180&amp;"|"&amp;E180&amp;"|"&amp;F180&amp;"|"&amp;G180&amp;"|"&amp;H180&amp;"|"&amp;I180&amp;"|"&amp;J180&amp;"|"&amp;K180&amp;"|"&amp;L180&amp;"|"&amp;M180&amp;"|"&amp;N180&amp;"|"&amp;O180</f>
        <v/>
      </c>
      <c r="R180">
        <f>IF(Q180=REPT("|",14),0,1)</f>
        <v/>
      </c>
      <c r="S180">
        <f>IF(R180=0,0,IF(SUMPRODUCT(($Q$11:Q179=Q180)*($R$11:R179=1))&gt;0,1,0))</f>
        <v/>
      </c>
    </row>
    <row r="181">
      <c r="Q181">
        <f>A181&amp;"|"&amp;B181&amp;"|"&amp;C181&amp;"|"&amp;D181&amp;"|"&amp;E181&amp;"|"&amp;F181&amp;"|"&amp;G181&amp;"|"&amp;H181&amp;"|"&amp;I181&amp;"|"&amp;J181&amp;"|"&amp;K181&amp;"|"&amp;L181&amp;"|"&amp;M181&amp;"|"&amp;N181&amp;"|"&amp;O181</f>
        <v/>
      </c>
      <c r="R181">
        <f>IF(Q181=REPT("|",14),0,1)</f>
        <v/>
      </c>
      <c r="S181">
        <f>IF(R181=0,0,IF(SUMPRODUCT(($Q$11:Q180=Q181)*($R$11:R180=1))&gt;0,1,0))</f>
        <v/>
      </c>
    </row>
    <row r="182">
      <c r="Q182">
        <f>A182&amp;"|"&amp;B182&amp;"|"&amp;C182&amp;"|"&amp;D182&amp;"|"&amp;E182&amp;"|"&amp;F182&amp;"|"&amp;G182&amp;"|"&amp;H182&amp;"|"&amp;I182&amp;"|"&amp;J182&amp;"|"&amp;K182&amp;"|"&amp;L182&amp;"|"&amp;M182&amp;"|"&amp;N182&amp;"|"&amp;O182</f>
        <v/>
      </c>
      <c r="R182">
        <f>IF(Q182=REPT("|",14),0,1)</f>
        <v/>
      </c>
      <c r="S182">
        <f>IF(R182=0,0,IF(SUMPRODUCT(($Q$11:Q181=Q182)*($R$11:R181=1))&gt;0,1,0))</f>
        <v/>
      </c>
    </row>
    <row r="183">
      <c r="Q183">
        <f>A183&amp;"|"&amp;B183&amp;"|"&amp;C183&amp;"|"&amp;D183&amp;"|"&amp;E183&amp;"|"&amp;F183&amp;"|"&amp;G183&amp;"|"&amp;H183&amp;"|"&amp;I183&amp;"|"&amp;J183&amp;"|"&amp;K183&amp;"|"&amp;L183&amp;"|"&amp;M183&amp;"|"&amp;N183&amp;"|"&amp;O183</f>
        <v/>
      </c>
      <c r="R183">
        <f>IF(Q183=REPT("|",14),0,1)</f>
        <v/>
      </c>
      <c r="S183">
        <f>IF(R183=0,0,IF(SUMPRODUCT(($Q$11:Q182=Q183)*($R$11:R182=1))&gt;0,1,0))</f>
        <v/>
      </c>
    </row>
    <row r="184">
      <c r="Q184">
        <f>A184&amp;"|"&amp;B184&amp;"|"&amp;C184&amp;"|"&amp;D184&amp;"|"&amp;E184&amp;"|"&amp;F184&amp;"|"&amp;G184&amp;"|"&amp;H184&amp;"|"&amp;I184&amp;"|"&amp;J184&amp;"|"&amp;K184&amp;"|"&amp;L184&amp;"|"&amp;M184&amp;"|"&amp;N184&amp;"|"&amp;O184</f>
        <v/>
      </c>
      <c r="R184">
        <f>IF(Q184=REPT("|",14),0,1)</f>
        <v/>
      </c>
      <c r="S184">
        <f>IF(R184=0,0,IF(SUMPRODUCT(($Q$11:Q183=Q184)*($R$11:R183=1))&gt;0,1,0))</f>
        <v/>
      </c>
    </row>
    <row r="185">
      <c r="Q185">
        <f>A185&amp;"|"&amp;B185&amp;"|"&amp;C185&amp;"|"&amp;D185&amp;"|"&amp;E185&amp;"|"&amp;F185&amp;"|"&amp;G185&amp;"|"&amp;H185&amp;"|"&amp;I185&amp;"|"&amp;J185&amp;"|"&amp;K185&amp;"|"&amp;L185&amp;"|"&amp;M185&amp;"|"&amp;N185&amp;"|"&amp;O185</f>
        <v/>
      </c>
      <c r="R185">
        <f>IF(Q185=REPT("|",14),0,1)</f>
        <v/>
      </c>
      <c r="S185">
        <f>IF(R185=0,0,IF(SUMPRODUCT(($Q$11:Q184=Q185)*($R$11:R184=1))&gt;0,1,0))</f>
        <v/>
      </c>
    </row>
    <row r="186">
      <c r="Q186">
        <f>A186&amp;"|"&amp;B186&amp;"|"&amp;C186&amp;"|"&amp;D186&amp;"|"&amp;E186&amp;"|"&amp;F186&amp;"|"&amp;G186&amp;"|"&amp;H186&amp;"|"&amp;I186&amp;"|"&amp;J186&amp;"|"&amp;K186&amp;"|"&amp;L186&amp;"|"&amp;M186&amp;"|"&amp;N186&amp;"|"&amp;O186</f>
        <v/>
      </c>
      <c r="R186">
        <f>IF(Q186=REPT("|",14),0,1)</f>
        <v/>
      </c>
      <c r="S186">
        <f>IF(R186=0,0,IF(SUMPRODUCT(($Q$11:Q185=Q186)*($R$11:R185=1))&gt;0,1,0))</f>
        <v/>
      </c>
    </row>
    <row r="187">
      <c r="Q187">
        <f>A187&amp;"|"&amp;B187&amp;"|"&amp;C187&amp;"|"&amp;D187&amp;"|"&amp;E187&amp;"|"&amp;F187&amp;"|"&amp;G187&amp;"|"&amp;H187&amp;"|"&amp;I187&amp;"|"&amp;J187&amp;"|"&amp;K187&amp;"|"&amp;L187&amp;"|"&amp;M187&amp;"|"&amp;N187&amp;"|"&amp;O187</f>
        <v/>
      </c>
      <c r="R187">
        <f>IF(Q187=REPT("|",14),0,1)</f>
        <v/>
      </c>
      <c r="S187">
        <f>IF(R187=0,0,IF(SUMPRODUCT(($Q$11:Q186=Q187)*($R$11:R186=1))&gt;0,1,0))</f>
        <v/>
      </c>
    </row>
    <row r="188">
      <c r="Q188">
        <f>A188&amp;"|"&amp;B188&amp;"|"&amp;C188&amp;"|"&amp;D188&amp;"|"&amp;E188&amp;"|"&amp;F188&amp;"|"&amp;G188&amp;"|"&amp;H188&amp;"|"&amp;I188&amp;"|"&amp;J188&amp;"|"&amp;K188&amp;"|"&amp;L188&amp;"|"&amp;M188&amp;"|"&amp;N188&amp;"|"&amp;O188</f>
        <v/>
      </c>
      <c r="R188">
        <f>IF(Q188=REPT("|",14),0,1)</f>
        <v/>
      </c>
      <c r="S188">
        <f>IF(R188=0,0,IF(SUMPRODUCT(($Q$11:Q187=Q188)*($R$11:R187=1))&gt;0,1,0))</f>
        <v/>
      </c>
    </row>
    <row r="189">
      <c r="Q189">
        <f>A189&amp;"|"&amp;B189&amp;"|"&amp;C189&amp;"|"&amp;D189&amp;"|"&amp;E189&amp;"|"&amp;F189&amp;"|"&amp;G189&amp;"|"&amp;H189&amp;"|"&amp;I189&amp;"|"&amp;J189&amp;"|"&amp;K189&amp;"|"&amp;L189&amp;"|"&amp;M189&amp;"|"&amp;N189&amp;"|"&amp;O189</f>
        <v/>
      </c>
      <c r="R189">
        <f>IF(Q189=REPT("|",14),0,1)</f>
        <v/>
      </c>
      <c r="S189">
        <f>IF(R189=0,0,IF(SUMPRODUCT(($Q$11:Q188=Q189)*($R$11:R188=1))&gt;0,1,0))</f>
        <v/>
      </c>
    </row>
    <row r="190">
      <c r="Q190">
        <f>A190&amp;"|"&amp;B190&amp;"|"&amp;C190&amp;"|"&amp;D190&amp;"|"&amp;E190&amp;"|"&amp;F190&amp;"|"&amp;G190&amp;"|"&amp;H190&amp;"|"&amp;I190&amp;"|"&amp;J190&amp;"|"&amp;K190&amp;"|"&amp;L190&amp;"|"&amp;M190&amp;"|"&amp;N190&amp;"|"&amp;O190</f>
        <v/>
      </c>
      <c r="R190">
        <f>IF(Q190=REPT("|",14),0,1)</f>
        <v/>
      </c>
      <c r="S190">
        <f>IF(R190=0,0,IF(SUMPRODUCT(($Q$11:Q189=Q190)*($R$11:R189=1))&gt;0,1,0))</f>
        <v/>
      </c>
    </row>
    <row r="191">
      <c r="Q191">
        <f>A191&amp;"|"&amp;B191&amp;"|"&amp;C191&amp;"|"&amp;D191&amp;"|"&amp;E191&amp;"|"&amp;F191&amp;"|"&amp;G191&amp;"|"&amp;H191&amp;"|"&amp;I191&amp;"|"&amp;J191&amp;"|"&amp;K191&amp;"|"&amp;L191&amp;"|"&amp;M191&amp;"|"&amp;N191&amp;"|"&amp;O191</f>
        <v/>
      </c>
      <c r="R191">
        <f>IF(Q191=REPT("|",14),0,1)</f>
        <v/>
      </c>
      <c r="S191">
        <f>IF(R191=0,0,IF(SUMPRODUCT(($Q$11:Q190=Q191)*($R$11:R190=1))&gt;0,1,0))</f>
        <v/>
      </c>
    </row>
    <row r="192">
      <c r="Q192">
        <f>A192&amp;"|"&amp;B192&amp;"|"&amp;C192&amp;"|"&amp;D192&amp;"|"&amp;E192&amp;"|"&amp;F192&amp;"|"&amp;G192&amp;"|"&amp;H192&amp;"|"&amp;I192&amp;"|"&amp;J192&amp;"|"&amp;K192&amp;"|"&amp;L192&amp;"|"&amp;M192&amp;"|"&amp;N192&amp;"|"&amp;O192</f>
        <v/>
      </c>
      <c r="R192">
        <f>IF(Q192=REPT("|",14),0,1)</f>
        <v/>
      </c>
      <c r="S192">
        <f>IF(R192=0,0,IF(SUMPRODUCT(($Q$11:Q191=Q192)*($R$11:R191=1))&gt;0,1,0))</f>
        <v/>
      </c>
    </row>
    <row r="193">
      <c r="Q193">
        <f>A193&amp;"|"&amp;B193&amp;"|"&amp;C193&amp;"|"&amp;D193&amp;"|"&amp;E193&amp;"|"&amp;F193&amp;"|"&amp;G193&amp;"|"&amp;H193&amp;"|"&amp;I193&amp;"|"&amp;J193&amp;"|"&amp;K193&amp;"|"&amp;L193&amp;"|"&amp;M193&amp;"|"&amp;N193&amp;"|"&amp;O193</f>
        <v/>
      </c>
      <c r="R193">
        <f>IF(Q193=REPT("|",14),0,1)</f>
        <v/>
      </c>
      <c r="S193">
        <f>IF(R193=0,0,IF(SUMPRODUCT(($Q$11:Q192=Q193)*($R$11:R192=1))&gt;0,1,0))</f>
        <v/>
      </c>
    </row>
    <row r="194">
      <c r="Q194">
        <f>A194&amp;"|"&amp;B194&amp;"|"&amp;C194&amp;"|"&amp;D194&amp;"|"&amp;E194&amp;"|"&amp;F194&amp;"|"&amp;G194&amp;"|"&amp;H194&amp;"|"&amp;I194&amp;"|"&amp;J194&amp;"|"&amp;K194&amp;"|"&amp;L194&amp;"|"&amp;M194&amp;"|"&amp;N194&amp;"|"&amp;O194</f>
        <v/>
      </c>
      <c r="R194">
        <f>IF(Q194=REPT("|",14),0,1)</f>
        <v/>
      </c>
      <c r="S194">
        <f>IF(R194=0,0,IF(SUMPRODUCT(($Q$11:Q193=Q194)*($R$11:R193=1))&gt;0,1,0))</f>
        <v/>
      </c>
    </row>
    <row r="195">
      <c r="Q195">
        <f>A195&amp;"|"&amp;B195&amp;"|"&amp;C195&amp;"|"&amp;D195&amp;"|"&amp;E195&amp;"|"&amp;F195&amp;"|"&amp;G195&amp;"|"&amp;H195&amp;"|"&amp;I195&amp;"|"&amp;J195&amp;"|"&amp;K195&amp;"|"&amp;L195&amp;"|"&amp;M195&amp;"|"&amp;N195&amp;"|"&amp;O195</f>
        <v/>
      </c>
      <c r="R195">
        <f>IF(Q195=REPT("|",14),0,1)</f>
        <v/>
      </c>
      <c r="S195">
        <f>IF(R195=0,0,IF(SUMPRODUCT(($Q$11:Q194=Q195)*($R$11:R194=1))&gt;0,1,0))</f>
        <v/>
      </c>
    </row>
    <row r="196">
      <c r="Q196">
        <f>A196&amp;"|"&amp;B196&amp;"|"&amp;C196&amp;"|"&amp;D196&amp;"|"&amp;E196&amp;"|"&amp;F196&amp;"|"&amp;G196&amp;"|"&amp;H196&amp;"|"&amp;I196&amp;"|"&amp;J196&amp;"|"&amp;K196&amp;"|"&amp;L196&amp;"|"&amp;M196&amp;"|"&amp;N196&amp;"|"&amp;O196</f>
        <v/>
      </c>
      <c r="R196">
        <f>IF(Q196=REPT("|",14),0,1)</f>
        <v/>
      </c>
      <c r="S196">
        <f>IF(R196=0,0,IF(SUMPRODUCT(($Q$11:Q195=Q196)*($R$11:R195=1))&gt;0,1,0))</f>
        <v/>
      </c>
    </row>
    <row r="197">
      <c r="Q197">
        <f>A197&amp;"|"&amp;B197&amp;"|"&amp;C197&amp;"|"&amp;D197&amp;"|"&amp;E197&amp;"|"&amp;F197&amp;"|"&amp;G197&amp;"|"&amp;H197&amp;"|"&amp;I197&amp;"|"&amp;J197&amp;"|"&amp;K197&amp;"|"&amp;L197&amp;"|"&amp;M197&amp;"|"&amp;N197&amp;"|"&amp;O197</f>
        <v/>
      </c>
      <c r="R197">
        <f>IF(Q197=REPT("|",14),0,1)</f>
        <v/>
      </c>
      <c r="S197">
        <f>IF(R197=0,0,IF(SUMPRODUCT(($Q$11:Q196=Q197)*($R$11:R196=1))&gt;0,1,0))</f>
        <v/>
      </c>
    </row>
    <row r="198">
      <c r="Q198">
        <f>A198&amp;"|"&amp;B198&amp;"|"&amp;C198&amp;"|"&amp;D198&amp;"|"&amp;E198&amp;"|"&amp;F198&amp;"|"&amp;G198&amp;"|"&amp;H198&amp;"|"&amp;I198&amp;"|"&amp;J198&amp;"|"&amp;K198&amp;"|"&amp;L198&amp;"|"&amp;M198&amp;"|"&amp;N198&amp;"|"&amp;O198</f>
        <v/>
      </c>
      <c r="R198">
        <f>IF(Q198=REPT("|",14),0,1)</f>
        <v/>
      </c>
      <c r="S198">
        <f>IF(R198=0,0,IF(SUMPRODUCT(($Q$11:Q197=Q198)*($R$11:R197=1))&gt;0,1,0))</f>
        <v/>
      </c>
    </row>
    <row r="199">
      <c r="Q199">
        <f>A199&amp;"|"&amp;B199&amp;"|"&amp;C199&amp;"|"&amp;D199&amp;"|"&amp;E199&amp;"|"&amp;F199&amp;"|"&amp;G199&amp;"|"&amp;H199&amp;"|"&amp;I199&amp;"|"&amp;J199&amp;"|"&amp;K199&amp;"|"&amp;L199&amp;"|"&amp;M199&amp;"|"&amp;N199&amp;"|"&amp;O199</f>
        <v/>
      </c>
      <c r="R199">
        <f>IF(Q199=REPT("|",14),0,1)</f>
        <v/>
      </c>
      <c r="S199">
        <f>IF(R199=0,0,IF(SUMPRODUCT(($Q$11:Q198=Q199)*($R$11:R198=1))&gt;0,1,0))</f>
        <v/>
      </c>
    </row>
    <row r="200">
      <c r="Q200">
        <f>A200&amp;"|"&amp;B200&amp;"|"&amp;C200&amp;"|"&amp;D200&amp;"|"&amp;E200&amp;"|"&amp;F200&amp;"|"&amp;G200&amp;"|"&amp;H200&amp;"|"&amp;I200&amp;"|"&amp;J200&amp;"|"&amp;K200&amp;"|"&amp;L200&amp;"|"&amp;M200&amp;"|"&amp;N200&amp;"|"&amp;O200</f>
        <v/>
      </c>
      <c r="R200">
        <f>IF(Q200=REPT("|",14),0,1)</f>
        <v/>
      </c>
      <c r="S200">
        <f>IF(R200=0,0,IF(SUMPRODUCT(($Q$11:Q199=Q200)*($R$11:R199=1))&gt;0,1,0))</f>
        <v/>
      </c>
    </row>
    <row r="201">
      <c r="Q201">
        <f>A201&amp;"|"&amp;B201&amp;"|"&amp;C201&amp;"|"&amp;D201&amp;"|"&amp;E201&amp;"|"&amp;F201&amp;"|"&amp;G201&amp;"|"&amp;H201&amp;"|"&amp;I201&amp;"|"&amp;J201&amp;"|"&amp;K201&amp;"|"&amp;L201&amp;"|"&amp;M201&amp;"|"&amp;N201&amp;"|"&amp;O201</f>
        <v/>
      </c>
      <c r="R201">
        <f>IF(Q201=REPT("|",14),0,1)</f>
        <v/>
      </c>
      <c r="S201">
        <f>IF(R201=0,0,IF(SUMPRODUCT(($Q$11:Q200=Q201)*($R$11:R200=1))&gt;0,1,0))</f>
        <v/>
      </c>
    </row>
    <row r="202">
      <c r="Q202">
        <f>A202&amp;"|"&amp;B202&amp;"|"&amp;C202&amp;"|"&amp;D202&amp;"|"&amp;E202&amp;"|"&amp;F202&amp;"|"&amp;G202&amp;"|"&amp;H202&amp;"|"&amp;I202&amp;"|"&amp;J202&amp;"|"&amp;K202&amp;"|"&amp;L202&amp;"|"&amp;M202&amp;"|"&amp;N202&amp;"|"&amp;O202</f>
        <v/>
      </c>
      <c r="R202">
        <f>IF(Q202=REPT("|",14),0,1)</f>
        <v/>
      </c>
      <c r="S202">
        <f>IF(R202=0,0,IF(SUMPRODUCT(($Q$11:Q201=Q202)*($R$11:R201=1))&gt;0,1,0))</f>
        <v/>
      </c>
    </row>
    <row r="203">
      <c r="Q203">
        <f>A203&amp;"|"&amp;B203&amp;"|"&amp;C203&amp;"|"&amp;D203&amp;"|"&amp;E203&amp;"|"&amp;F203&amp;"|"&amp;G203&amp;"|"&amp;H203&amp;"|"&amp;I203&amp;"|"&amp;J203&amp;"|"&amp;K203&amp;"|"&amp;L203&amp;"|"&amp;M203&amp;"|"&amp;N203&amp;"|"&amp;O203</f>
        <v/>
      </c>
      <c r="R203">
        <f>IF(Q203=REPT("|",14),0,1)</f>
        <v/>
      </c>
      <c r="S203">
        <f>IF(R203=0,0,IF(SUMPRODUCT(($Q$11:Q202=Q203)*($R$11:R202=1))&gt;0,1,0))</f>
        <v/>
      </c>
    </row>
    <row r="204">
      <c r="Q204">
        <f>A204&amp;"|"&amp;B204&amp;"|"&amp;C204&amp;"|"&amp;D204&amp;"|"&amp;E204&amp;"|"&amp;F204&amp;"|"&amp;G204&amp;"|"&amp;H204&amp;"|"&amp;I204&amp;"|"&amp;J204&amp;"|"&amp;K204&amp;"|"&amp;L204&amp;"|"&amp;M204&amp;"|"&amp;N204&amp;"|"&amp;O204</f>
        <v/>
      </c>
      <c r="R204">
        <f>IF(Q204=REPT("|",14),0,1)</f>
        <v/>
      </c>
      <c r="S204">
        <f>IF(R204=0,0,IF(SUMPRODUCT(($Q$11:Q203=Q204)*($R$11:R203=1))&gt;0,1,0))</f>
        <v/>
      </c>
    </row>
    <row r="205">
      <c r="Q205">
        <f>A205&amp;"|"&amp;B205&amp;"|"&amp;C205&amp;"|"&amp;D205&amp;"|"&amp;E205&amp;"|"&amp;F205&amp;"|"&amp;G205&amp;"|"&amp;H205&amp;"|"&amp;I205&amp;"|"&amp;J205&amp;"|"&amp;K205&amp;"|"&amp;L205&amp;"|"&amp;M205&amp;"|"&amp;N205&amp;"|"&amp;O205</f>
        <v/>
      </c>
      <c r="R205">
        <f>IF(Q205=REPT("|",14),0,1)</f>
        <v/>
      </c>
      <c r="S205">
        <f>IF(R205=0,0,IF(SUMPRODUCT(($Q$11:Q204=Q205)*($R$11:R204=1))&gt;0,1,0))</f>
        <v/>
      </c>
    </row>
    <row r="206">
      <c r="Q206">
        <f>A206&amp;"|"&amp;B206&amp;"|"&amp;C206&amp;"|"&amp;D206&amp;"|"&amp;E206&amp;"|"&amp;F206&amp;"|"&amp;G206&amp;"|"&amp;H206&amp;"|"&amp;I206&amp;"|"&amp;J206&amp;"|"&amp;K206&amp;"|"&amp;L206&amp;"|"&amp;M206&amp;"|"&amp;N206&amp;"|"&amp;O206</f>
        <v/>
      </c>
      <c r="R206">
        <f>IF(Q206=REPT("|",14),0,1)</f>
        <v/>
      </c>
      <c r="S206">
        <f>IF(R206=0,0,IF(SUMPRODUCT(($Q$11:Q205=Q206)*($R$11:R205=1))&gt;0,1,0))</f>
        <v/>
      </c>
    </row>
    <row r="207">
      <c r="Q207">
        <f>A207&amp;"|"&amp;B207&amp;"|"&amp;C207&amp;"|"&amp;D207&amp;"|"&amp;E207&amp;"|"&amp;F207&amp;"|"&amp;G207&amp;"|"&amp;H207&amp;"|"&amp;I207&amp;"|"&amp;J207&amp;"|"&amp;K207&amp;"|"&amp;L207&amp;"|"&amp;M207&amp;"|"&amp;N207&amp;"|"&amp;O207</f>
        <v/>
      </c>
      <c r="R207">
        <f>IF(Q207=REPT("|",14),0,1)</f>
        <v/>
      </c>
      <c r="S207">
        <f>IF(R207=0,0,IF(SUMPRODUCT(($Q$11:Q206=Q207)*($R$11:R206=1))&gt;0,1,0))</f>
        <v/>
      </c>
    </row>
    <row r="208">
      <c r="Q208">
        <f>A208&amp;"|"&amp;B208&amp;"|"&amp;C208&amp;"|"&amp;D208&amp;"|"&amp;E208&amp;"|"&amp;F208&amp;"|"&amp;G208&amp;"|"&amp;H208&amp;"|"&amp;I208&amp;"|"&amp;J208&amp;"|"&amp;K208&amp;"|"&amp;L208&amp;"|"&amp;M208&amp;"|"&amp;N208&amp;"|"&amp;O208</f>
        <v/>
      </c>
      <c r="R208">
        <f>IF(Q208=REPT("|",14),0,1)</f>
        <v/>
      </c>
      <c r="S208">
        <f>IF(R208=0,0,IF(SUMPRODUCT(($Q$11:Q207=Q208)*($R$11:R207=1))&gt;0,1,0))</f>
        <v/>
      </c>
    </row>
    <row r="209">
      <c r="Q209">
        <f>A209&amp;"|"&amp;B209&amp;"|"&amp;C209&amp;"|"&amp;D209&amp;"|"&amp;E209&amp;"|"&amp;F209&amp;"|"&amp;G209&amp;"|"&amp;H209&amp;"|"&amp;I209&amp;"|"&amp;J209&amp;"|"&amp;K209&amp;"|"&amp;L209&amp;"|"&amp;M209&amp;"|"&amp;N209&amp;"|"&amp;O209</f>
        <v/>
      </c>
      <c r="R209">
        <f>IF(Q209=REPT("|",14),0,1)</f>
        <v/>
      </c>
      <c r="S209">
        <f>IF(R209=0,0,IF(SUMPRODUCT(($Q$11:Q208=Q209)*($R$11:R208=1))&gt;0,1,0))</f>
        <v/>
      </c>
    </row>
    <row r="210">
      <c r="Q210">
        <f>A210&amp;"|"&amp;B210&amp;"|"&amp;C210&amp;"|"&amp;D210&amp;"|"&amp;E210&amp;"|"&amp;F210&amp;"|"&amp;G210&amp;"|"&amp;H210&amp;"|"&amp;I210&amp;"|"&amp;J210&amp;"|"&amp;K210&amp;"|"&amp;L210&amp;"|"&amp;M210&amp;"|"&amp;N210&amp;"|"&amp;O210</f>
        <v/>
      </c>
      <c r="R210">
        <f>IF(Q210=REPT("|",14),0,1)</f>
        <v/>
      </c>
      <c r="S210">
        <f>IF(R210=0,0,IF(SUMPRODUCT(($Q$11:Q209=Q210)*($R$11:R209=1))&gt;0,1,0))</f>
        <v/>
      </c>
    </row>
    <row r="211">
      <c r="Q211">
        <f>A211&amp;"|"&amp;B211&amp;"|"&amp;C211&amp;"|"&amp;D211&amp;"|"&amp;E211&amp;"|"&amp;F211&amp;"|"&amp;G211&amp;"|"&amp;H211&amp;"|"&amp;I211&amp;"|"&amp;J211&amp;"|"&amp;K211&amp;"|"&amp;L211&amp;"|"&amp;M211&amp;"|"&amp;N211&amp;"|"&amp;O211</f>
        <v/>
      </c>
      <c r="R211">
        <f>IF(Q211=REPT("|",14),0,1)</f>
        <v/>
      </c>
      <c r="S211">
        <f>IF(R211=0,0,IF(SUMPRODUCT(($Q$11:Q210=Q211)*($R$11:R210=1))&gt;0,1,0))</f>
        <v/>
      </c>
    </row>
    <row r="212">
      <c r="Q212">
        <f>A212&amp;"|"&amp;B212&amp;"|"&amp;C212&amp;"|"&amp;D212&amp;"|"&amp;E212&amp;"|"&amp;F212&amp;"|"&amp;G212&amp;"|"&amp;H212&amp;"|"&amp;I212&amp;"|"&amp;J212&amp;"|"&amp;K212&amp;"|"&amp;L212&amp;"|"&amp;M212&amp;"|"&amp;N212&amp;"|"&amp;O212</f>
        <v/>
      </c>
      <c r="R212">
        <f>IF(Q212=REPT("|",14),0,1)</f>
        <v/>
      </c>
      <c r="S212">
        <f>IF(R212=0,0,IF(SUMPRODUCT(($Q$11:Q211=Q212)*($R$11:R211=1))&gt;0,1,0))</f>
        <v/>
      </c>
    </row>
    <row r="213">
      <c r="Q213">
        <f>A213&amp;"|"&amp;B213&amp;"|"&amp;C213&amp;"|"&amp;D213&amp;"|"&amp;E213&amp;"|"&amp;F213&amp;"|"&amp;G213&amp;"|"&amp;H213&amp;"|"&amp;I213&amp;"|"&amp;J213&amp;"|"&amp;K213&amp;"|"&amp;L213&amp;"|"&amp;M213&amp;"|"&amp;N213&amp;"|"&amp;O213</f>
        <v/>
      </c>
      <c r="R213">
        <f>IF(Q213=REPT("|",14),0,1)</f>
        <v/>
      </c>
      <c r="S213">
        <f>IF(R213=0,0,IF(SUMPRODUCT(($Q$11:Q212=Q213)*($R$11:R212=1))&gt;0,1,0))</f>
        <v/>
      </c>
    </row>
    <row r="214">
      <c r="Q214">
        <f>A214&amp;"|"&amp;B214&amp;"|"&amp;C214&amp;"|"&amp;D214&amp;"|"&amp;E214&amp;"|"&amp;F214&amp;"|"&amp;G214&amp;"|"&amp;H214&amp;"|"&amp;I214&amp;"|"&amp;J214&amp;"|"&amp;K214&amp;"|"&amp;L214&amp;"|"&amp;M214&amp;"|"&amp;N214&amp;"|"&amp;O214</f>
        <v/>
      </c>
      <c r="R214">
        <f>IF(Q214=REPT("|",14),0,1)</f>
        <v/>
      </c>
      <c r="S214">
        <f>IF(R214=0,0,IF(SUMPRODUCT(($Q$11:Q213=Q214)*($R$11:R213=1))&gt;0,1,0))</f>
        <v/>
      </c>
    </row>
    <row r="215">
      <c r="Q215">
        <f>A215&amp;"|"&amp;B215&amp;"|"&amp;C215&amp;"|"&amp;D215&amp;"|"&amp;E215&amp;"|"&amp;F215&amp;"|"&amp;G215&amp;"|"&amp;H215&amp;"|"&amp;I215&amp;"|"&amp;J215&amp;"|"&amp;K215&amp;"|"&amp;L215&amp;"|"&amp;M215&amp;"|"&amp;N215&amp;"|"&amp;O215</f>
        <v/>
      </c>
      <c r="R215">
        <f>IF(Q215=REPT("|",14),0,1)</f>
        <v/>
      </c>
      <c r="S215">
        <f>IF(R215=0,0,IF(SUMPRODUCT(($Q$11:Q214=Q215)*($R$11:R214=1))&gt;0,1,0))</f>
        <v/>
      </c>
    </row>
    <row r="216">
      <c r="Q216">
        <f>A216&amp;"|"&amp;B216&amp;"|"&amp;C216&amp;"|"&amp;D216&amp;"|"&amp;E216&amp;"|"&amp;F216&amp;"|"&amp;G216&amp;"|"&amp;H216&amp;"|"&amp;I216&amp;"|"&amp;J216&amp;"|"&amp;K216&amp;"|"&amp;L216&amp;"|"&amp;M216&amp;"|"&amp;N216&amp;"|"&amp;O216</f>
        <v/>
      </c>
      <c r="R216">
        <f>IF(Q216=REPT("|",14),0,1)</f>
        <v/>
      </c>
      <c r="S216">
        <f>IF(R216=0,0,IF(SUMPRODUCT(($Q$11:Q215=Q216)*($R$11:R215=1))&gt;0,1,0))</f>
        <v/>
      </c>
    </row>
    <row r="217">
      <c r="Q217">
        <f>A217&amp;"|"&amp;B217&amp;"|"&amp;C217&amp;"|"&amp;D217&amp;"|"&amp;E217&amp;"|"&amp;F217&amp;"|"&amp;G217&amp;"|"&amp;H217&amp;"|"&amp;I217&amp;"|"&amp;J217&amp;"|"&amp;K217&amp;"|"&amp;L217&amp;"|"&amp;M217&amp;"|"&amp;N217&amp;"|"&amp;O217</f>
        <v/>
      </c>
      <c r="R217">
        <f>IF(Q217=REPT("|",14),0,1)</f>
        <v/>
      </c>
      <c r="S217">
        <f>IF(R217=0,0,IF(SUMPRODUCT(($Q$11:Q216=Q217)*($R$11:R216=1))&gt;0,1,0))</f>
        <v/>
      </c>
    </row>
    <row r="218">
      <c r="Q218">
        <f>A218&amp;"|"&amp;B218&amp;"|"&amp;C218&amp;"|"&amp;D218&amp;"|"&amp;E218&amp;"|"&amp;F218&amp;"|"&amp;G218&amp;"|"&amp;H218&amp;"|"&amp;I218&amp;"|"&amp;J218&amp;"|"&amp;K218&amp;"|"&amp;L218&amp;"|"&amp;M218&amp;"|"&amp;N218&amp;"|"&amp;O218</f>
        <v/>
      </c>
      <c r="R218">
        <f>IF(Q218=REPT("|",14),0,1)</f>
        <v/>
      </c>
      <c r="S218">
        <f>IF(R218=0,0,IF(SUMPRODUCT(($Q$11:Q217=Q218)*($R$11:R217=1))&gt;0,1,0))</f>
        <v/>
      </c>
    </row>
    <row r="219">
      <c r="Q219">
        <f>A219&amp;"|"&amp;B219&amp;"|"&amp;C219&amp;"|"&amp;D219&amp;"|"&amp;E219&amp;"|"&amp;F219&amp;"|"&amp;G219&amp;"|"&amp;H219&amp;"|"&amp;I219&amp;"|"&amp;J219&amp;"|"&amp;K219&amp;"|"&amp;L219&amp;"|"&amp;M219&amp;"|"&amp;N219&amp;"|"&amp;O219</f>
        <v/>
      </c>
      <c r="R219">
        <f>IF(Q219=REPT("|",14),0,1)</f>
        <v/>
      </c>
      <c r="S219">
        <f>IF(R219=0,0,IF(SUMPRODUCT(($Q$11:Q218=Q219)*($R$11:R218=1))&gt;0,1,0))</f>
        <v/>
      </c>
    </row>
    <row r="220">
      <c r="Q220">
        <f>A220&amp;"|"&amp;B220&amp;"|"&amp;C220&amp;"|"&amp;D220&amp;"|"&amp;E220&amp;"|"&amp;F220&amp;"|"&amp;G220&amp;"|"&amp;H220&amp;"|"&amp;I220&amp;"|"&amp;J220&amp;"|"&amp;K220&amp;"|"&amp;L220&amp;"|"&amp;M220&amp;"|"&amp;N220&amp;"|"&amp;O220</f>
        <v/>
      </c>
      <c r="R220">
        <f>IF(Q220=REPT("|",14),0,1)</f>
        <v/>
      </c>
      <c r="S220">
        <f>IF(R220=0,0,IF(SUMPRODUCT(($Q$11:Q219=Q220)*($R$11:R219=1))&gt;0,1,0))</f>
        <v/>
      </c>
    </row>
    <row r="221">
      <c r="Q221">
        <f>A221&amp;"|"&amp;B221&amp;"|"&amp;C221&amp;"|"&amp;D221&amp;"|"&amp;E221&amp;"|"&amp;F221&amp;"|"&amp;G221&amp;"|"&amp;H221&amp;"|"&amp;I221&amp;"|"&amp;J221&amp;"|"&amp;K221&amp;"|"&amp;L221&amp;"|"&amp;M221&amp;"|"&amp;N221&amp;"|"&amp;O221</f>
        <v/>
      </c>
      <c r="R221">
        <f>IF(Q221=REPT("|",14),0,1)</f>
        <v/>
      </c>
      <c r="S221">
        <f>IF(R221=0,0,IF(SUMPRODUCT(($Q$11:Q220=Q221)*($R$11:R220=1))&gt;0,1,0))</f>
        <v/>
      </c>
    </row>
    <row r="222">
      <c r="Q222">
        <f>A222&amp;"|"&amp;B222&amp;"|"&amp;C222&amp;"|"&amp;D222&amp;"|"&amp;E222&amp;"|"&amp;F222&amp;"|"&amp;G222&amp;"|"&amp;H222&amp;"|"&amp;I222&amp;"|"&amp;J222&amp;"|"&amp;K222&amp;"|"&amp;L222&amp;"|"&amp;M222&amp;"|"&amp;N222&amp;"|"&amp;O222</f>
        <v/>
      </c>
      <c r="R222">
        <f>IF(Q222=REPT("|",14),0,1)</f>
        <v/>
      </c>
      <c r="S222">
        <f>IF(R222=0,0,IF(SUMPRODUCT(($Q$11:Q221=Q222)*($R$11:R221=1))&gt;0,1,0))</f>
        <v/>
      </c>
    </row>
    <row r="223">
      <c r="Q223">
        <f>A223&amp;"|"&amp;B223&amp;"|"&amp;C223&amp;"|"&amp;D223&amp;"|"&amp;E223&amp;"|"&amp;F223&amp;"|"&amp;G223&amp;"|"&amp;H223&amp;"|"&amp;I223&amp;"|"&amp;J223&amp;"|"&amp;K223&amp;"|"&amp;L223&amp;"|"&amp;M223&amp;"|"&amp;N223&amp;"|"&amp;O223</f>
        <v/>
      </c>
      <c r="R223">
        <f>IF(Q223=REPT("|",14),0,1)</f>
        <v/>
      </c>
      <c r="S223">
        <f>IF(R223=0,0,IF(SUMPRODUCT(($Q$11:Q222=Q223)*($R$11:R222=1))&gt;0,1,0))</f>
        <v/>
      </c>
    </row>
    <row r="224">
      <c r="Q224">
        <f>A224&amp;"|"&amp;B224&amp;"|"&amp;C224&amp;"|"&amp;D224&amp;"|"&amp;E224&amp;"|"&amp;F224&amp;"|"&amp;G224&amp;"|"&amp;H224&amp;"|"&amp;I224&amp;"|"&amp;J224&amp;"|"&amp;K224&amp;"|"&amp;L224&amp;"|"&amp;M224&amp;"|"&amp;N224&amp;"|"&amp;O224</f>
        <v/>
      </c>
      <c r="R224">
        <f>IF(Q224=REPT("|",14),0,1)</f>
        <v/>
      </c>
      <c r="S224">
        <f>IF(R224=0,0,IF(SUMPRODUCT(($Q$11:Q223=Q224)*($R$11:R223=1))&gt;0,1,0))</f>
        <v/>
      </c>
    </row>
    <row r="225">
      <c r="Q225">
        <f>A225&amp;"|"&amp;B225&amp;"|"&amp;C225&amp;"|"&amp;D225&amp;"|"&amp;E225&amp;"|"&amp;F225&amp;"|"&amp;G225&amp;"|"&amp;H225&amp;"|"&amp;I225&amp;"|"&amp;J225&amp;"|"&amp;K225&amp;"|"&amp;L225&amp;"|"&amp;M225&amp;"|"&amp;N225&amp;"|"&amp;O225</f>
        <v/>
      </c>
      <c r="R225">
        <f>IF(Q225=REPT("|",14),0,1)</f>
        <v/>
      </c>
      <c r="S225">
        <f>IF(R225=0,0,IF(SUMPRODUCT(($Q$11:Q224=Q225)*($R$11:R224=1))&gt;0,1,0))</f>
        <v/>
      </c>
    </row>
    <row r="226">
      <c r="Q226">
        <f>A226&amp;"|"&amp;B226&amp;"|"&amp;C226&amp;"|"&amp;D226&amp;"|"&amp;E226&amp;"|"&amp;F226&amp;"|"&amp;G226&amp;"|"&amp;H226&amp;"|"&amp;I226&amp;"|"&amp;J226&amp;"|"&amp;K226&amp;"|"&amp;L226&amp;"|"&amp;M226&amp;"|"&amp;N226&amp;"|"&amp;O226</f>
        <v/>
      </c>
      <c r="R226">
        <f>IF(Q226=REPT("|",14),0,1)</f>
        <v/>
      </c>
      <c r="S226">
        <f>IF(R226=0,0,IF(SUMPRODUCT(($Q$11:Q225=Q226)*($R$11:R225=1))&gt;0,1,0))</f>
        <v/>
      </c>
    </row>
    <row r="227">
      <c r="Q227">
        <f>A227&amp;"|"&amp;B227&amp;"|"&amp;C227&amp;"|"&amp;D227&amp;"|"&amp;E227&amp;"|"&amp;F227&amp;"|"&amp;G227&amp;"|"&amp;H227&amp;"|"&amp;I227&amp;"|"&amp;J227&amp;"|"&amp;K227&amp;"|"&amp;L227&amp;"|"&amp;M227&amp;"|"&amp;N227&amp;"|"&amp;O227</f>
        <v/>
      </c>
      <c r="R227">
        <f>IF(Q227=REPT("|",14),0,1)</f>
        <v/>
      </c>
      <c r="S227">
        <f>IF(R227=0,0,IF(SUMPRODUCT(($Q$11:Q226=Q227)*($R$11:R226=1))&gt;0,1,0))</f>
        <v/>
      </c>
    </row>
    <row r="228">
      <c r="Q228">
        <f>A228&amp;"|"&amp;B228&amp;"|"&amp;C228&amp;"|"&amp;D228&amp;"|"&amp;E228&amp;"|"&amp;F228&amp;"|"&amp;G228&amp;"|"&amp;H228&amp;"|"&amp;I228&amp;"|"&amp;J228&amp;"|"&amp;K228&amp;"|"&amp;L228&amp;"|"&amp;M228&amp;"|"&amp;N228&amp;"|"&amp;O228</f>
        <v/>
      </c>
      <c r="R228">
        <f>IF(Q228=REPT("|",14),0,1)</f>
        <v/>
      </c>
      <c r="S228">
        <f>IF(R228=0,0,IF(SUMPRODUCT(($Q$11:Q227=Q228)*($R$11:R227=1))&gt;0,1,0))</f>
        <v/>
      </c>
    </row>
    <row r="229">
      <c r="Q229">
        <f>A229&amp;"|"&amp;B229&amp;"|"&amp;C229&amp;"|"&amp;D229&amp;"|"&amp;E229&amp;"|"&amp;F229&amp;"|"&amp;G229&amp;"|"&amp;H229&amp;"|"&amp;I229&amp;"|"&amp;J229&amp;"|"&amp;K229&amp;"|"&amp;L229&amp;"|"&amp;M229&amp;"|"&amp;N229&amp;"|"&amp;O229</f>
        <v/>
      </c>
      <c r="R229">
        <f>IF(Q229=REPT("|",14),0,1)</f>
        <v/>
      </c>
      <c r="S229">
        <f>IF(R229=0,0,IF(SUMPRODUCT(($Q$11:Q228=Q229)*($R$11:R228=1))&gt;0,1,0))</f>
        <v/>
      </c>
    </row>
    <row r="230">
      <c r="Q230">
        <f>A230&amp;"|"&amp;B230&amp;"|"&amp;C230&amp;"|"&amp;D230&amp;"|"&amp;E230&amp;"|"&amp;F230&amp;"|"&amp;G230&amp;"|"&amp;H230&amp;"|"&amp;I230&amp;"|"&amp;J230&amp;"|"&amp;K230&amp;"|"&amp;L230&amp;"|"&amp;M230&amp;"|"&amp;N230&amp;"|"&amp;O230</f>
        <v/>
      </c>
      <c r="R230">
        <f>IF(Q230=REPT("|",14),0,1)</f>
        <v/>
      </c>
      <c r="S230">
        <f>IF(R230=0,0,IF(SUMPRODUCT(($Q$11:Q229=Q230)*($R$11:R229=1))&gt;0,1,0))</f>
        <v/>
      </c>
    </row>
    <row r="231">
      <c r="Q231">
        <f>A231&amp;"|"&amp;B231&amp;"|"&amp;C231&amp;"|"&amp;D231&amp;"|"&amp;E231&amp;"|"&amp;F231&amp;"|"&amp;G231&amp;"|"&amp;H231&amp;"|"&amp;I231&amp;"|"&amp;J231&amp;"|"&amp;K231&amp;"|"&amp;L231&amp;"|"&amp;M231&amp;"|"&amp;N231&amp;"|"&amp;O231</f>
        <v/>
      </c>
      <c r="R231">
        <f>IF(Q231=REPT("|",14),0,1)</f>
        <v/>
      </c>
      <c r="S231">
        <f>IF(R231=0,0,IF(SUMPRODUCT(($Q$11:Q230=Q231)*($R$11:R230=1))&gt;0,1,0))</f>
        <v/>
      </c>
    </row>
    <row r="232">
      <c r="Q232">
        <f>A232&amp;"|"&amp;B232&amp;"|"&amp;C232&amp;"|"&amp;D232&amp;"|"&amp;E232&amp;"|"&amp;F232&amp;"|"&amp;G232&amp;"|"&amp;H232&amp;"|"&amp;I232&amp;"|"&amp;J232&amp;"|"&amp;K232&amp;"|"&amp;L232&amp;"|"&amp;M232&amp;"|"&amp;N232&amp;"|"&amp;O232</f>
        <v/>
      </c>
      <c r="R232">
        <f>IF(Q232=REPT("|",14),0,1)</f>
        <v/>
      </c>
      <c r="S232">
        <f>IF(R232=0,0,IF(SUMPRODUCT(($Q$11:Q231=Q232)*($R$11:R231=1))&gt;0,1,0))</f>
        <v/>
      </c>
    </row>
    <row r="233">
      <c r="Q233">
        <f>A233&amp;"|"&amp;B233&amp;"|"&amp;C233&amp;"|"&amp;D233&amp;"|"&amp;E233&amp;"|"&amp;F233&amp;"|"&amp;G233&amp;"|"&amp;H233&amp;"|"&amp;I233&amp;"|"&amp;J233&amp;"|"&amp;K233&amp;"|"&amp;L233&amp;"|"&amp;M233&amp;"|"&amp;N233&amp;"|"&amp;O233</f>
        <v/>
      </c>
      <c r="R233">
        <f>IF(Q233=REPT("|",14),0,1)</f>
        <v/>
      </c>
      <c r="S233">
        <f>IF(R233=0,0,IF(SUMPRODUCT(($Q$11:Q232=Q233)*($R$11:R232=1))&gt;0,1,0))</f>
        <v/>
      </c>
    </row>
    <row r="234">
      <c r="Q234">
        <f>A234&amp;"|"&amp;B234&amp;"|"&amp;C234&amp;"|"&amp;D234&amp;"|"&amp;E234&amp;"|"&amp;F234&amp;"|"&amp;G234&amp;"|"&amp;H234&amp;"|"&amp;I234&amp;"|"&amp;J234&amp;"|"&amp;K234&amp;"|"&amp;L234&amp;"|"&amp;M234&amp;"|"&amp;N234&amp;"|"&amp;O234</f>
        <v/>
      </c>
      <c r="R234">
        <f>IF(Q234=REPT("|",14),0,1)</f>
        <v/>
      </c>
      <c r="S234">
        <f>IF(R234=0,0,IF(SUMPRODUCT(($Q$11:Q233=Q234)*($R$11:R233=1))&gt;0,1,0))</f>
        <v/>
      </c>
    </row>
    <row r="235">
      <c r="Q235">
        <f>A235&amp;"|"&amp;B235&amp;"|"&amp;C235&amp;"|"&amp;D235&amp;"|"&amp;E235&amp;"|"&amp;F235&amp;"|"&amp;G235&amp;"|"&amp;H235&amp;"|"&amp;I235&amp;"|"&amp;J235&amp;"|"&amp;K235&amp;"|"&amp;L235&amp;"|"&amp;M235&amp;"|"&amp;N235&amp;"|"&amp;O235</f>
        <v/>
      </c>
      <c r="R235">
        <f>IF(Q235=REPT("|",14),0,1)</f>
        <v/>
      </c>
      <c r="S235">
        <f>IF(R235=0,0,IF(SUMPRODUCT(($Q$11:Q234=Q235)*($R$11:R234=1))&gt;0,1,0))</f>
        <v/>
      </c>
    </row>
    <row r="236">
      <c r="Q236">
        <f>A236&amp;"|"&amp;B236&amp;"|"&amp;C236&amp;"|"&amp;D236&amp;"|"&amp;E236&amp;"|"&amp;F236&amp;"|"&amp;G236&amp;"|"&amp;H236&amp;"|"&amp;I236&amp;"|"&amp;J236&amp;"|"&amp;K236&amp;"|"&amp;L236&amp;"|"&amp;M236&amp;"|"&amp;N236&amp;"|"&amp;O236</f>
        <v/>
      </c>
      <c r="R236">
        <f>IF(Q236=REPT("|",14),0,1)</f>
        <v/>
      </c>
      <c r="S236">
        <f>IF(R236=0,0,IF(SUMPRODUCT(($Q$11:Q235=Q236)*($R$11:R235=1))&gt;0,1,0))</f>
        <v/>
      </c>
    </row>
    <row r="237">
      <c r="Q237">
        <f>A237&amp;"|"&amp;B237&amp;"|"&amp;C237&amp;"|"&amp;D237&amp;"|"&amp;E237&amp;"|"&amp;F237&amp;"|"&amp;G237&amp;"|"&amp;H237&amp;"|"&amp;I237&amp;"|"&amp;J237&amp;"|"&amp;K237&amp;"|"&amp;L237&amp;"|"&amp;M237&amp;"|"&amp;N237&amp;"|"&amp;O237</f>
        <v/>
      </c>
      <c r="R237">
        <f>IF(Q237=REPT("|",14),0,1)</f>
        <v/>
      </c>
      <c r="S237">
        <f>IF(R237=0,0,IF(SUMPRODUCT(($Q$11:Q236=Q237)*($R$11:R236=1))&gt;0,1,0))</f>
        <v/>
      </c>
    </row>
    <row r="238">
      <c r="Q238">
        <f>A238&amp;"|"&amp;B238&amp;"|"&amp;C238&amp;"|"&amp;D238&amp;"|"&amp;E238&amp;"|"&amp;F238&amp;"|"&amp;G238&amp;"|"&amp;H238&amp;"|"&amp;I238&amp;"|"&amp;J238&amp;"|"&amp;K238&amp;"|"&amp;L238&amp;"|"&amp;M238&amp;"|"&amp;N238&amp;"|"&amp;O238</f>
        <v/>
      </c>
      <c r="R238">
        <f>IF(Q238=REPT("|",14),0,1)</f>
        <v/>
      </c>
      <c r="S238">
        <f>IF(R238=0,0,IF(SUMPRODUCT(($Q$11:Q237=Q238)*($R$11:R237=1))&gt;0,1,0))</f>
        <v/>
      </c>
    </row>
    <row r="239">
      <c r="Q239">
        <f>A239&amp;"|"&amp;B239&amp;"|"&amp;C239&amp;"|"&amp;D239&amp;"|"&amp;E239&amp;"|"&amp;F239&amp;"|"&amp;G239&amp;"|"&amp;H239&amp;"|"&amp;I239&amp;"|"&amp;J239&amp;"|"&amp;K239&amp;"|"&amp;L239&amp;"|"&amp;M239&amp;"|"&amp;N239&amp;"|"&amp;O239</f>
        <v/>
      </c>
      <c r="R239">
        <f>IF(Q239=REPT("|",14),0,1)</f>
        <v/>
      </c>
      <c r="S239">
        <f>IF(R239=0,0,IF(SUMPRODUCT(($Q$11:Q238=Q239)*($R$11:R238=1))&gt;0,1,0))</f>
        <v/>
      </c>
    </row>
    <row r="240">
      <c r="Q240">
        <f>A240&amp;"|"&amp;B240&amp;"|"&amp;C240&amp;"|"&amp;D240&amp;"|"&amp;E240&amp;"|"&amp;F240&amp;"|"&amp;G240&amp;"|"&amp;H240&amp;"|"&amp;I240&amp;"|"&amp;J240&amp;"|"&amp;K240&amp;"|"&amp;L240&amp;"|"&amp;M240&amp;"|"&amp;N240&amp;"|"&amp;O240</f>
        <v/>
      </c>
      <c r="R240">
        <f>IF(Q240=REPT("|",14),0,1)</f>
        <v/>
      </c>
      <c r="S240">
        <f>IF(R240=0,0,IF(SUMPRODUCT(($Q$11:Q239=Q240)*($R$11:R239=1))&gt;0,1,0))</f>
        <v/>
      </c>
    </row>
    <row r="241">
      <c r="Q241">
        <f>A241&amp;"|"&amp;B241&amp;"|"&amp;C241&amp;"|"&amp;D241&amp;"|"&amp;E241&amp;"|"&amp;F241&amp;"|"&amp;G241&amp;"|"&amp;H241&amp;"|"&amp;I241&amp;"|"&amp;J241&amp;"|"&amp;K241&amp;"|"&amp;L241&amp;"|"&amp;M241&amp;"|"&amp;N241&amp;"|"&amp;O241</f>
        <v/>
      </c>
      <c r="R241">
        <f>IF(Q241=REPT("|",14),0,1)</f>
        <v/>
      </c>
      <c r="S241">
        <f>IF(R241=0,0,IF(SUMPRODUCT(($Q$11:Q240=Q241)*($R$11:R240=1))&gt;0,1,0))</f>
        <v/>
      </c>
    </row>
    <row r="242">
      <c r="Q242">
        <f>A242&amp;"|"&amp;B242&amp;"|"&amp;C242&amp;"|"&amp;D242&amp;"|"&amp;E242&amp;"|"&amp;F242&amp;"|"&amp;G242&amp;"|"&amp;H242&amp;"|"&amp;I242&amp;"|"&amp;J242&amp;"|"&amp;K242&amp;"|"&amp;L242&amp;"|"&amp;M242&amp;"|"&amp;N242&amp;"|"&amp;O242</f>
        <v/>
      </c>
      <c r="R242">
        <f>IF(Q242=REPT("|",14),0,1)</f>
        <v/>
      </c>
      <c r="S242">
        <f>IF(R242=0,0,IF(SUMPRODUCT(($Q$11:Q241=Q242)*($R$11:R241=1))&gt;0,1,0))</f>
        <v/>
      </c>
    </row>
    <row r="243">
      <c r="Q243">
        <f>A243&amp;"|"&amp;B243&amp;"|"&amp;C243&amp;"|"&amp;D243&amp;"|"&amp;E243&amp;"|"&amp;F243&amp;"|"&amp;G243&amp;"|"&amp;H243&amp;"|"&amp;I243&amp;"|"&amp;J243&amp;"|"&amp;K243&amp;"|"&amp;L243&amp;"|"&amp;M243&amp;"|"&amp;N243&amp;"|"&amp;O243</f>
        <v/>
      </c>
      <c r="R243">
        <f>IF(Q243=REPT("|",14),0,1)</f>
        <v/>
      </c>
      <c r="S243">
        <f>IF(R243=0,0,IF(SUMPRODUCT(($Q$11:Q242=Q243)*($R$11:R242=1))&gt;0,1,0))</f>
        <v/>
      </c>
    </row>
    <row r="244">
      <c r="Q244">
        <f>A244&amp;"|"&amp;B244&amp;"|"&amp;C244&amp;"|"&amp;D244&amp;"|"&amp;E244&amp;"|"&amp;F244&amp;"|"&amp;G244&amp;"|"&amp;H244&amp;"|"&amp;I244&amp;"|"&amp;J244&amp;"|"&amp;K244&amp;"|"&amp;L244&amp;"|"&amp;M244&amp;"|"&amp;N244&amp;"|"&amp;O244</f>
        <v/>
      </c>
      <c r="R244">
        <f>IF(Q244=REPT("|",14),0,1)</f>
        <v/>
      </c>
      <c r="S244">
        <f>IF(R244=0,0,IF(SUMPRODUCT(($Q$11:Q243=Q244)*($R$11:R243=1))&gt;0,1,0))</f>
        <v/>
      </c>
    </row>
    <row r="245">
      <c r="Q245">
        <f>A245&amp;"|"&amp;B245&amp;"|"&amp;C245&amp;"|"&amp;D245&amp;"|"&amp;E245&amp;"|"&amp;F245&amp;"|"&amp;G245&amp;"|"&amp;H245&amp;"|"&amp;I245&amp;"|"&amp;J245&amp;"|"&amp;K245&amp;"|"&amp;L245&amp;"|"&amp;M245&amp;"|"&amp;N245&amp;"|"&amp;O245</f>
        <v/>
      </c>
      <c r="R245">
        <f>IF(Q245=REPT("|",14),0,1)</f>
        <v/>
      </c>
      <c r="S245">
        <f>IF(R245=0,0,IF(SUMPRODUCT(($Q$11:Q244=Q245)*($R$11:R244=1))&gt;0,1,0))</f>
        <v/>
      </c>
    </row>
    <row r="246">
      <c r="Q246">
        <f>A246&amp;"|"&amp;B246&amp;"|"&amp;C246&amp;"|"&amp;D246&amp;"|"&amp;E246&amp;"|"&amp;F246&amp;"|"&amp;G246&amp;"|"&amp;H246&amp;"|"&amp;I246&amp;"|"&amp;J246&amp;"|"&amp;K246&amp;"|"&amp;L246&amp;"|"&amp;M246&amp;"|"&amp;N246&amp;"|"&amp;O246</f>
        <v/>
      </c>
      <c r="R246">
        <f>IF(Q246=REPT("|",14),0,1)</f>
        <v/>
      </c>
      <c r="S246">
        <f>IF(R246=0,0,IF(SUMPRODUCT(($Q$11:Q245=Q246)*($R$11:R245=1))&gt;0,1,0))</f>
        <v/>
      </c>
    </row>
    <row r="247">
      <c r="Q247">
        <f>A247&amp;"|"&amp;B247&amp;"|"&amp;C247&amp;"|"&amp;D247&amp;"|"&amp;E247&amp;"|"&amp;F247&amp;"|"&amp;G247&amp;"|"&amp;H247&amp;"|"&amp;I247&amp;"|"&amp;J247&amp;"|"&amp;K247&amp;"|"&amp;L247&amp;"|"&amp;M247&amp;"|"&amp;N247&amp;"|"&amp;O247</f>
        <v/>
      </c>
      <c r="R247">
        <f>IF(Q247=REPT("|",14),0,1)</f>
        <v/>
      </c>
      <c r="S247">
        <f>IF(R247=0,0,IF(SUMPRODUCT(($Q$11:Q246=Q247)*($R$11:R246=1))&gt;0,1,0))</f>
        <v/>
      </c>
    </row>
    <row r="248">
      <c r="Q248">
        <f>A248&amp;"|"&amp;B248&amp;"|"&amp;C248&amp;"|"&amp;D248&amp;"|"&amp;E248&amp;"|"&amp;F248&amp;"|"&amp;G248&amp;"|"&amp;H248&amp;"|"&amp;I248&amp;"|"&amp;J248&amp;"|"&amp;K248&amp;"|"&amp;L248&amp;"|"&amp;M248&amp;"|"&amp;N248&amp;"|"&amp;O248</f>
        <v/>
      </c>
      <c r="R248">
        <f>IF(Q248=REPT("|",14),0,1)</f>
        <v/>
      </c>
      <c r="S248">
        <f>IF(R248=0,0,IF(SUMPRODUCT(($Q$11:Q247=Q248)*($R$11:R247=1))&gt;0,1,0))</f>
        <v/>
      </c>
    </row>
    <row r="249">
      <c r="Q249">
        <f>A249&amp;"|"&amp;B249&amp;"|"&amp;C249&amp;"|"&amp;D249&amp;"|"&amp;E249&amp;"|"&amp;F249&amp;"|"&amp;G249&amp;"|"&amp;H249&amp;"|"&amp;I249&amp;"|"&amp;J249&amp;"|"&amp;K249&amp;"|"&amp;L249&amp;"|"&amp;M249&amp;"|"&amp;N249&amp;"|"&amp;O249</f>
        <v/>
      </c>
      <c r="R249">
        <f>IF(Q249=REPT("|",14),0,1)</f>
        <v/>
      </c>
      <c r="S249">
        <f>IF(R249=0,0,IF(SUMPRODUCT(($Q$11:Q248=Q249)*($R$11:R248=1))&gt;0,1,0))</f>
        <v/>
      </c>
    </row>
    <row r="250">
      <c r="Q250">
        <f>A250&amp;"|"&amp;B250&amp;"|"&amp;C250&amp;"|"&amp;D250&amp;"|"&amp;E250&amp;"|"&amp;F250&amp;"|"&amp;G250&amp;"|"&amp;H250&amp;"|"&amp;I250&amp;"|"&amp;J250&amp;"|"&amp;K250&amp;"|"&amp;L250&amp;"|"&amp;M250&amp;"|"&amp;N250&amp;"|"&amp;O250</f>
        <v/>
      </c>
      <c r="R250">
        <f>IF(Q250=REPT("|",14),0,1)</f>
        <v/>
      </c>
      <c r="S250">
        <f>IF(R250=0,0,IF(SUMPRODUCT(($Q$11:Q249=Q250)*($R$11:R249=1))&gt;0,1,0))</f>
        <v/>
      </c>
    </row>
    <row r="251">
      <c r="Q251">
        <f>A251&amp;"|"&amp;B251&amp;"|"&amp;C251&amp;"|"&amp;D251&amp;"|"&amp;E251&amp;"|"&amp;F251&amp;"|"&amp;G251&amp;"|"&amp;H251&amp;"|"&amp;I251&amp;"|"&amp;J251&amp;"|"&amp;K251&amp;"|"&amp;L251&amp;"|"&amp;M251&amp;"|"&amp;N251&amp;"|"&amp;O251</f>
        <v/>
      </c>
      <c r="R251">
        <f>IF(Q251=REPT("|",14),0,1)</f>
        <v/>
      </c>
      <c r="S251">
        <f>IF(R251=0,0,IF(SUMPRODUCT(($Q$11:Q250=Q251)*($R$11:R250=1))&gt;0,1,0))</f>
        <v/>
      </c>
    </row>
    <row r="252">
      <c r="Q252">
        <f>A252&amp;"|"&amp;B252&amp;"|"&amp;C252&amp;"|"&amp;D252&amp;"|"&amp;E252&amp;"|"&amp;F252&amp;"|"&amp;G252&amp;"|"&amp;H252&amp;"|"&amp;I252&amp;"|"&amp;J252&amp;"|"&amp;K252&amp;"|"&amp;L252&amp;"|"&amp;M252&amp;"|"&amp;N252&amp;"|"&amp;O252</f>
        <v/>
      </c>
      <c r="R252">
        <f>IF(Q252=REPT("|",14),0,1)</f>
        <v/>
      </c>
      <c r="S252">
        <f>IF(R252=0,0,IF(SUMPRODUCT(($Q$11:Q251=Q252)*($R$11:R251=1))&gt;0,1,0))</f>
        <v/>
      </c>
    </row>
    <row r="253">
      <c r="Q253">
        <f>A253&amp;"|"&amp;B253&amp;"|"&amp;C253&amp;"|"&amp;D253&amp;"|"&amp;E253&amp;"|"&amp;F253&amp;"|"&amp;G253&amp;"|"&amp;H253&amp;"|"&amp;I253&amp;"|"&amp;J253&amp;"|"&amp;K253&amp;"|"&amp;L253&amp;"|"&amp;M253&amp;"|"&amp;N253&amp;"|"&amp;O253</f>
        <v/>
      </c>
      <c r="R253">
        <f>IF(Q253=REPT("|",14),0,1)</f>
        <v/>
      </c>
      <c r="S253">
        <f>IF(R253=0,0,IF(SUMPRODUCT(($Q$11:Q252=Q253)*($R$11:R252=1))&gt;0,1,0))</f>
        <v/>
      </c>
    </row>
    <row r="254">
      <c r="Q254">
        <f>A254&amp;"|"&amp;B254&amp;"|"&amp;C254&amp;"|"&amp;D254&amp;"|"&amp;E254&amp;"|"&amp;F254&amp;"|"&amp;G254&amp;"|"&amp;H254&amp;"|"&amp;I254&amp;"|"&amp;J254&amp;"|"&amp;K254&amp;"|"&amp;L254&amp;"|"&amp;M254&amp;"|"&amp;N254&amp;"|"&amp;O254</f>
        <v/>
      </c>
      <c r="R254">
        <f>IF(Q254=REPT("|",14),0,1)</f>
        <v/>
      </c>
      <c r="S254">
        <f>IF(R254=0,0,IF(SUMPRODUCT(($Q$11:Q253=Q254)*($R$11:R253=1))&gt;0,1,0))</f>
        <v/>
      </c>
    </row>
    <row r="255">
      <c r="Q255">
        <f>A255&amp;"|"&amp;B255&amp;"|"&amp;C255&amp;"|"&amp;D255&amp;"|"&amp;E255&amp;"|"&amp;F255&amp;"|"&amp;G255&amp;"|"&amp;H255&amp;"|"&amp;I255&amp;"|"&amp;J255&amp;"|"&amp;K255&amp;"|"&amp;L255&amp;"|"&amp;M255&amp;"|"&amp;N255&amp;"|"&amp;O255</f>
        <v/>
      </c>
      <c r="R255">
        <f>IF(Q255=REPT("|",14),0,1)</f>
        <v/>
      </c>
      <c r="S255">
        <f>IF(R255=0,0,IF(SUMPRODUCT(($Q$11:Q254=Q255)*($R$11:R254=1))&gt;0,1,0))</f>
        <v/>
      </c>
    </row>
    <row r="256">
      <c r="Q256">
        <f>A256&amp;"|"&amp;B256&amp;"|"&amp;C256&amp;"|"&amp;D256&amp;"|"&amp;E256&amp;"|"&amp;F256&amp;"|"&amp;G256&amp;"|"&amp;H256&amp;"|"&amp;I256&amp;"|"&amp;J256&amp;"|"&amp;K256&amp;"|"&amp;L256&amp;"|"&amp;M256&amp;"|"&amp;N256&amp;"|"&amp;O256</f>
        <v/>
      </c>
      <c r="R256">
        <f>IF(Q256=REPT("|",14),0,1)</f>
        <v/>
      </c>
      <c r="S256">
        <f>IF(R256=0,0,IF(SUMPRODUCT(($Q$11:Q255=Q256)*($R$11:R255=1))&gt;0,1,0))</f>
        <v/>
      </c>
    </row>
    <row r="257">
      <c r="Q257">
        <f>A257&amp;"|"&amp;B257&amp;"|"&amp;C257&amp;"|"&amp;D257&amp;"|"&amp;E257&amp;"|"&amp;F257&amp;"|"&amp;G257&amp;"|"&amp;H257&amp;"|"&amp;I257&amp;"|"&amp;J257&amp;"|"&amp;K257&amp;"|"&amp;L257&amp;"|"&amp;M257&amp;"|"&amp;N257&amp;"|"&amp;O257</f>
        <v/>
      </c>
      <c r="R257">
        <f>IF(Q257=REPT("|",14),0,1)</f>
        <v/>
      </c>
      <c r="S257">
        <f>IF(R257=0,0,IF(SUMPRODUCT(($Q$11:Q256=Q257)*($R$11:R256=1))&gt;0,1,0))</f>
        <v/>
      </c>
    </row>
    <row r="258">
      <c r="Q258">
        <f>A258&amp;"|"&amp;B258&amp;"|"&amp;C258&amp;"|"&amp;D258&amp;"|"&amp;E258&amp;"|"&amp;F258&amp;"|"&amp;G258&amp;"|"&amp;H258&amp;"|"&amp;I258&amp;"|"&amp;J258&amp;"|"&amp;K258&amp;"|"&amp;L258&amp;"|"&amp;M258&amp;"|"&amp;N258&amp;"|"&amp;O258</f>
        <v/>
      </c>
      <c r="R258">
        <f>IF(Q258=REPT("|",14),0,1)</f>
        <v/>
      </c>
      <c r="S258">
        <f>IF(R258=0,0,IF(SUMPRODUCT(($Q$11:Q257=Q258)*($R$11:R257=1))&gt;0,1,0))</f>
        <v/>
      </c>
    </row>
    <row r="259">
      <c r="Q259">
        <f>A259&amp;"|"&amp;B259&amp;"|"&amp;C259&amp;"|"&amp;D259&amp;"|"&amp;E259&amp;"|"&amp;F259&amp;"|"&amp;G259&amp;"|"&amp;H259&amp;"|"&amp;I259&amp;"|"&amp;J259&amp;"|"&amp;K259&amp;"|"&amp;L259&amp;"|"&amp;M259&amp;"|"&amp;N259&amp;"|"&amp;O259</f>
        <v/>
      </c>
      <c r="R259">
        <f>IF(Q259=REPT("|",14),0,1)</f>
        <v/>
      </c>
      <c r="S259">
        <f>IF(R259=0,0,IF(SUMPRODUCT(($Q$11:Q258=Q259)*($R$11:R258=1))&gt;0,1,0))</f>
        <v/>
      </c>
    </row>
    <row r="260">
      <c r="Q260">
        <f>A260&amp;"|"&amp;B260&amp;"|"&amp;C260&amp;"|"&amp;D260&amp;"|"&amp;E260&amp;"|"&amp;F260&amp;"|"&amp;G260&amp;"|"&amp;H260&amp;"|"&amp;I260&amp;"|"&amp;J260&amp;"|"&amp;K260&amp;"|"&amp;L260&amp;"|"&amp;M260&amp;"|"&amp;N260&amp;"|"&amp;O260</f>
        <v/>
      </c>
      <c r="R260">
        <f>IF(Q260=REPT("|",14),0,1)</f>
        <v/>
      </c>
      <c r="S260">
        <f>IF(R260=0,0,IF(SUMPRODUCT(($Q$11:Q259=Q260)*($R$11:R259=1))&gt;0,1,0))</f>
        <v/>
      </c>
    </row>
    <row r="261">
      <c r="Q261">
        <f>A261&amp;"|"&amp;B261&amp;"|"&amp;C261&amp;"|"&amp;D261&amp;"|"&amp;E261&amp;"|"&amp;F261&amp;"|"&amp;G261&amp;"|"&amp;H261&amp;"|"&amp;I261&amp;"|"&amp;J261&amp;"|"&amp;K261&amp;"|"&amp;L261&amp;"|"&amp;M261&amp;"|"&amp;N261&amp;"|"&amp;O261</f>
        <v/>
      </c>
      <c r="R261">
        <f>IF(Q261=REPT("|",14),0,1)</f>
        <v/>
      </c>
      <c r="S261">
        <f>IF(R261=0,0,IF(SUMPRODUCT(($Q$11:Q260=Q261)*($R$11:R260=1))&gt;0,1,0))</f>
        <v/>
      </c>
    </row>
    <row r="262">
      <c r="Q262">
        <f>A262&amp;"|"&amp;B262&amp;"|"&amp;C262&amp;"|"&amp;D262&amp;"|"&amp;E262&amp;"|"&amp;F262&amp;"|"&amp;G262&amp;"|"&amp;H262&amp;"|"&amp;I262&amp;"|"&amp;J262&amp;"|"&amp;K262&amp;"|"&amp;L262&amp;"|"&amp;M262&amp;"|"&amp;N262&amp;"|"&amp;O262</f>
        <v/>
      </c>
      <c r="R262">
        <f>IF(Q262=REPT("|",14),0,1)</f>
        <v/>
      </c>
      <c r="S262">
        <f>IF(R262=0,0,IF(SUMPRODUCT(($Q$11:Q261=Q262)*($R$11:R261=1))&gt;0,1,0))</f>
        <v/>
      </c>
    </row>
    <row r="263">
      <c r="Q263">
        <f>A263&amp;"|"&amp;B263&amp;"|"&amp;C263&amp;"|"&amp;D263&amp;"|"&amp;E263&amp;"|"&amp;F263&amp;"|"&amp;G263&amp;"|"&amp;H263&amp;"|"&amp;I263&amp;"|"&amp;J263&amp;"|"&amp;K263&amp;"|"&amp;L263&amp;"|"&amp;M263&amp;"|"&amp;N263&amp;"|"&amp;O263</f>
        <v/>
      </c>
      <c r="R263">
        <f>IF(Q263=REPT("|",14),0,1)</f>
        <v/>
      </c>
      <c r="S263">
        <f>IF(R263=0,0,IF(SUMPRODUCT(($Q$11:Q262=Q263)*($R$11:R262=1))&gt;0,1,0))</f>
        <v/>
      </c>
    </row>
    <row r="264">
      <c r="Q264">
        <f>A264&amp;"|"&amp;B264&amp;"|"&amp;C264&amp;"|"&amp;D264&amp;"|"&amp;E264&amp;"|"&amp;F264&amp;"|"&amp;G264&amp;"|"&amp;H264&amp;"|"&amp;I264&amp;"|"&amp;J264&amp;"|"&amp;K264&amp;"|"&amp;L264&amp;"|"&amp;M264&amp;"|"&amp;N264&amp;"|"&amp;O264</f>
        <v/>
      </c>
      <c r="R264">
        <f>IF(Q264=REPT("|",14),0,1)</f>
        <v/>
      </c>
      <c r="S264">
        <f>IF(R264=0,0,IF(SUMPRODUCT(($Q$11:Q263=Q264)*($R$11:R263=1))&gt;0,1,0))</f>
        <v/>
      </c>
    </row>
    <row r="265">
      <c r="Q265">
        <f>A265&amp;"|"&amp;B265&amp;"|"&amp;C265&amp;"|"&amp;D265&amp;"|"&amp;E265&amp;"|"&amp;F265&amp;"|"&amp;G265&amp;"|"&amp;H265&amp;"|"&amp;I265&amp;"|"&amp;J265&amp;"|"&amp;K265&amp;"|"&amp;L265&amp;"|"&amp;M265&amp;"|"&amp;N265&amp;"|"&amp;O265</f>
        <v/>
      </c>
      <c r="R265">
        <f>IF(Q265=REPT("|",14),0,1)</f>
        <v/>
      </c>
      <c r="S265">
        <f>IF(R265=0,0,IF(SUMPRODUCT(($Q$11:Q264=Q265)*($R$11:R264=1))&gt;0,1,0))</f>
        <v/>
      </c>
    </row>
    <row r="266">
      <c r="Q266">
        <f>A266&amp;"|"&amp;B266&amp;"|"&amp;C266&amp;"|"&amp;D266&amp;"|"&amp;E266&amp;"|"&amp;F266&amp;"|"&amp;G266&amp;"|"&amp;H266&amp;"|"&amp;I266&amp;"|"&amp;J266&amp;"|"&amp;K266&amp;"|"&amp;L266&amp;"|"&amp;M266&amp;"|"&amp;N266&amp;"|"&amp;O266</f>
        <v/>
      </c>
      <c r="R266">
        <f>IF(Q266=REPT("|",14),0,1)</f>
        <v/>
      </c>
      <c r="S266">
        <f>IF(R266=0,0,IF(SUMPRODUCT(($Q$11:Q265=Q266)*($R$11:R265=1))&gt;0,1,0))</f>
        <v/>
      </c>
    </row>
    <row r="267">
      <c r="Q267">
        <f>A267&amp;"|"&amp;B267&amp;"|"&amp;C267&amp;"|"&amp;D267&amp;"|"&amp;E267&amp;"|"&amp;F267&amp;"|"&amp;G267&amp;"|"&amp;H267&amp;"|"&amp;I267&amp;"|"&amp;J267&amp;"|"&amp;K267&amp;"|"&amp;L267&amp;"|"&amp;M267&amp;"|"&amp;N267&amp;"|"&amp;O267</f>
        <v/>
      </c>
      <c r="R267">
        <f>IF(Q267=REPT("|",14),0,1)</f>
        <v/>
      </c>
      <c r="S267">
        <f>IF(R267=0,0,IF(SUMPRODUCT(($Q$11:Q266=Q267)*($R$11:R266=1))&gt;0,1,0))</f>
        <v/>
      </c>
    </row>
    <row r="268">
      <c r="Q268">
        <f>A268&amp;"|"&amp;B268&amp;"|"&amp;C268&amp;"|"&amp;D268&amp;"|"&amp;E268&amp;"|"&amp;F268&amp;"|"&amp;G268&amp;"|"&amp;H268&amp;"|"&amp;I268&amp;"|"&amp;J268&amp;"|"&amp;K268&amp;"|"&amp;L268&amp;"|"&amp;M268&amp;"|"&amp;N268&amp;"|"&amp;O268</f>
        <v/>
      </c>
      <c r="R268">
        <f>IF(Q268=REPT("|",14),0,1)</f>
        <v/>
      </c>
      <c r="S268">
        <f>IF(R268=0,0,IF(SUMPRODUCT(($Q$11:Q267=Q268)*($R$11:R267=1))&gt;0,1,0))</f>
        <v/>
      </c>
    </row>
    <row r="269">
      <c r="Q269">
        <f>A269&amp;"|"&amp;B269&amp;"|"&amp;C269&amp;"|"&amp;D269&amp;"|"&amp;E269&amp;"|"&amp;F269&amp;"|"&amp;G269&amp;"|"&amp;H269&amp;"|"&amp;I269&amp;"|"&amp;J269&amp;"|"&amp;K269&amp;"|"&amp;L269&amp;"|"&amp;M269&amp;"|"&amp;N269&amp;"|"&amp;O269</f>
        <v/>
      </c>
      <c r="R269">
        <f>IF(Q269=REPT("|",14),0,1)</f>
        <v/>
      </c>
      <c r="S269">
        <f>IF(R269=0,0,IF(SUMPRODUCT(($Q$11:Q268=Q269)*($R$11:R268=1))&gt;0,1,0))</f>
        <v/>
      </c>
    </row>
    <row r="270">
      <c r="Q270">
        <f>A270&amp;"|"&amp;B270&amp;"|"&amp;C270&amp;"|"&amp;D270&amp;"|"&amp;E270&amp;"|"&amp;F270&amp;"|"&amp;G270&amp;"|"&amp;H270&amp;"|"&amp;I270&amp;"|"&amp;J270&amp;"|"&amp;K270&amp;"|"&amp;L270&amp;"|"&amp;M270&amp;"|"&amp;N270&amp;"|"&amp;O270</f>
        <v/>
      </c>
      <c r="R270">
        <f>IF(Q270=REPT("|",14),0,1)</f>
        <v/>
      </c>
      <c r="S270">
        <f>IF(R270=0,0,IF(SUMPRODUCT(($Q$11:Q269=Q270)*($R$11:R269=1))&gt;0,1,0))</f>
        <v/>
      </c>
    </row>
    <row r="271">
      <c r="Q271">
        <f>A271&amp;"|"&amp;B271&amp;"|"&amp;C271&amp;"|"&amp;D271&amp;"|"&amp;E271&amp;"|"&amp;F271&amp;"|"&amp;G271&amp;"|"&amp;H271&amp;"|"&amp;I271&amp;"|"&amp;J271&amp;"|"&amp;K271&amp;"|"&amp;L271&amp;"|"&amp;M271&amp;"|"&amp;N271&amp;"|"&amp;O271</f>
        <v/>
      </c>
      <c r="R271">
        <f>IF(Q271=REPT("|",14),0,1)</f>
        <v/>
      </c>
      <c r="S271">
        <f>IF(R271=0,0,IF(SUMPRODUCT(($Q$11:Q270=Q271)*($R$11:R270=1))&gt;0,1,0))</f>
        <v/>
      </c>
    </row>
    <row r="272">
      <c r="Q272">
        <f>A272&amp;"|"&amp;B272&amp;"|"&amp;C272&amp;"|"&amp;D272&amp;"|"&amp;E272&amp;"|"&amp;F272&amp;"|"&amp;G272&amp;"|"&amp;H272&amp;"|"&amp;I272&amp;"|"&amp;J272&amp;"|"&amp;K272&amp;"|"&amp;L272&amp;"|"&amp;M272&amp;"|"&amp;N272&amp;"|"&amp;O272</f>
        <v/>
      </c>
      <c r="R272">
        <f>IF(Q272=REPT("|",14),0,1)</f>
        <v/>
      </c>
      <c r="S272">
        <f>IF(R272=0,0,IF(SUMPRODUCT(($Q$11:Q271=Q272)*($R$11:R271=1))&gt;0,1,0))</f>
        <v/>
      </c>
    </row>
    <row r="273">
      <c r="Q273">
        <f>A273&amp;"|"&amp;B273&amp;"|"&amp;C273&amp;"|"&amp;D273&amp;"|"&amp;E273&amp;"|"&amp;F273&amp;"|"&amp;G273&amp;"|"&amp;H273&amp;"|"&amp;I273&amp;"|"&amp;J273&amp;"|"&amp;K273&amp;"|"&amp;L273&amp;"|"&amp;M273&amp;"|"&amp;N273&amp;"|"&amp;O273</f>
        <v/>
      </c>
      <c r="R273">
        <f>IF(Q273=REPT("|",14),0,1)</f>
        <v/>
      </c>
      <c r="S273">
        <f>IF(R273=0,0,IF(SUMPRODUCT(($Q$11:Q272=Q273)*($R$11:R272=1))&gt;0,1,0))</f>
        <v/>
      </c>
    </row>
    <row r="274">
      <c r="Q274">
        <f>A274&amp;"|"&amp;B274&amp;"|"&amp;C274&amp;"|"&amp;D274&amp;"|"&amp;E274&amp;"|"&amp;F274&amp;"|"&amp;G274&amp;"|"&amp;H274&amp;"|"&amp;I274&amp;"|"&amp;J274&amp;"|"&amp;K274&amp;"|"&amp;L274&amp;"|"&amp;M274&amp;"|"&amp;N274&amp;"|"&amp;O274</f>
        <v/>
      </c>
      <c r="R274">
        <f>IF(Q274=REPT("|",14),0,1)</f>
        <v/>
      </c>
      <c r="S274">
        <f>IF(R274=0,0,IF(SUMPRODUCT(($Q$11:Q273=Q274)*($R$11:R273=1))&gt;0,1,0))</f>
        <v/>
      </c>
    </row>
    <row r="275">
      <c r="Q275">
        <f>A275&amp;"|"&amp;B275&amp;"|"&amp;C275&amp;"|"&amp;D275&amp;"|"&amp;E275&amp;"|"&amp;F275&amp;"|"&amp;G275&amp;"|"&amp;H275&amp;"|"&amp;I275&amp;"|"&amp;J275&amp;"|"&amp;K275&amp;"|"&amp;L275&amp;"|"&amp;M275&amp;"|"&amp;N275&amp;"|"&amp;O275</f>
        <v/>
      </c>
      <c r="R275">
        <f>IF(Q275=REPT("|",14),0,1)</f>
        <v/>
      </c>
      <c r="S275">
        <f>IF(R275=0,0,IF(SUMPRODUCT(($Q$11:Q274=Q275)*($R$11:R274=1))&gt;0,1,0))</f>
        <v/>
      </c>
    </row>
    <row r="276">
      <c r="Q276">
        <f>A276&amp;"|"&amp;B276&amp;"|"&amp;C276&amp;"|"&amp;D276&amp;"|"&amp;E276&amp;"|"&amp;F276&amp;"|"&amp;G276&amp;"|"&amp;H276&amp;"|"&amp;I276&amp;"|"&amp;J276&amp;"|"&amp;K276&amp;"|"&amp;L276&amp;"|"&amp;M276&amp;"|"&amp;N276&amp;"|"&amp;O276</f>
        <v/>
      </c>
      <c r="R276">
        <f>IF(Q276=REPT("|",14),0,1)</f>
        <v/>
      </c>
      <c r="S276">
        <f>IF(R276=0,0,IF(SUMPRODUCT(($Q$11:Q275=Q276)*($R$11:R275=1))&gt;0,1,0))</f>
        <v/>
      </c>
    </row>
    <row r="277">
      <c r="Q277">
        <f>A277&amp;"|"&amp;B277&amp;"|"&amp;C277&amp;"|"&amp;D277&amp;"|"&amp;E277&amp;"|"&amp;F277&amp;"|"&amp;G277&amp;"|"&amp;H277&amp;"|"&amp;I277&amp;"|"&amp;J277&amp;"|"&amp;K277&amp;"|"&amp;L277&amp;"|"&amp;M277&amp;"|"&amp;N277&amp;"|"&amp;O277</f>
        <v/>
      </c>
      <c r="R277">
        <f>IF(Q277=REPT("|",14),0,1)</f>
        <v/>
      </c>
      <c r="S277">
        <f>IF(R277=0,0,IF(SUMPRODUCT(($Q$11:Q276=Q277)*($R$11:R276=1))&gt;0,1,0))</f>
        <v/>
      </c>
    </row>
    <row r="278">
      <c r="Q278">
        <f>A278&amp;"|"&amp;B278&amp;"|"&amp;C278&amp;"|"&amp;D278&amp;"|"&amp;E278&amp;"|"&amp;F278&amp;"|"&amp;G278&amp;"|"&amp;H278&amp;"|"&amp;I278&amp;"|"&amp;J278&amp;"|"&amp;K278&amp;"|"&amp;L278&amp;"|"&amp;M278&amp;"|"&amp;N278&amp;"|"&amp;O278</f>
        <v/>
      </c>
      <c r="R278">
        <f>IF(Q278=REPT("|",14),0,1)</f>
        <v/>
      </c>
      <c r="S278">
        <f>IF(R278=0,0,IF(SUMPRODUCT(($Q$11:Q277=Q278)*($R$11:R277=1))&gt;0,1,0))</f>
        <v/>
      </c>
    </row>
    <row r="279">
      <c r="Q279">
        <f>A279&amp;"|"&amp;B279&amp;"|"&amp;C279&amp;"|"&amp;D279&amp;"|"&amp;E279&amp;"|"&amp;F279&amp;"|"&amp;G279&amp;"|"&amp;H279&amp;"|"&amp;I279&amp;"|"&amp;J279&amp;"|"&amp;K279&amp;"|"&amp;L279&amp;"|"&amp;M279&amp;"|"&amp;N279&amp;"|"&amp;O279</f>
        <v/>
      </c>
      <c r="R279">
        <f>IF(Q279=REPT("|",14),0,1)</f>
        <v/>
      </c>
      <c r="S279">
        <f>IF(R279=0,0,IF(SUMPRODUCT(($Q$11:Q278=Q279)*($R$11:R278=1))&gt;0,1,0))</f>
        <v/>
      </c>
    </row>
    <row r="280">
      <c r="Q280">
        <f>A280&amp;"|"&amp;B280&amp;"|"&amp;C280&amp;"|"&amp;D280&amp;"|"&amp;E280&amp;"|"&amp;F280&amp;"|"&amp;G280&amp;"|"&amp;H280&amp;"|"&amp;I280&amp;"|"&amp;J280&amp;"|"&amp;K280&amp;"|"&amp;L280&amp;"|"&amp;M280&amp;"|"&amp;N280&amp;"|"&amp;O280</f>
        <v/>
      </c>
      <c r="R280">
        <f>IF(Q280=REPT("|",14),0,1)</f>
        <v/>
      </c>
      <c r="S280">
        <f>IF(R280=0,0,IF(SUMPRODUCT(($Q$11:Q279=Q280)*($R$11:R279=1))&gt;0,1,0))</f>
        <v/>
      </c>
    </row>
    <row r="281">
      <c r="Q281">
        <f>A281&amp;"|"&amp;B281&amp;"|"&amp;C281&amp;"|"&amp;D281&amp;"|"&amp;E281&amp;"|"&amp;F281&amp;"|"&amp;G281&amp;"|"&amp;H281&amp;"|"&amp;I281&amp;"|"&amp;J281&amp;"|"&amp;K281&amp;"|"&amp;L281&amp;"|"&amp;M281&amp;"|"&amp;N281&amp;"|"&amp;O281</f>
        <v/>
      </c>
      <c r="R281">
        <f>IF(Q281=REPT("|",14),0,1)</f>
        <v/>
      </c>
      <c r="S281">
        <f>IF(R281=0,0,IF(SUMPRODUCT(($Q$11:Q280=Q281)*($R$11:R280=1))&gt;0,1,0))</f>
        <v/>
      </c>
    </row>
    <row r="282">
      <c r="Q282">
        <f>A282&amp;"|"&amp;B282&amp;"|"&amp;C282&amp;"|"&amp;D282&amp;"|"&amp;E282&amp;"|"&amp;F282&amp;"|"&amp;G282&amp;"|"&amp;H282&amp;"|"&amp;I282&amp;"|"&amp;J282&amp;"|"&amp;K282&amp;"|"&amp;L282&amp;"|"&amp;M282&amp;"|"&amp;N282&amp;"|"&amp;O282</f>
        <v/>
      </c>
      <c r="R282">
        <f>IF(Q282=REPT("|",14),0,1)</f>
        <v/>
      </c>
      <c r="S282">
        <f>IF(R282=0,0,IF(SUMPRODUCT(($Q$11:Q281=Q282)*($R$11:R281=1))&gt;0,1,0))</f>
        <v/>
      </c>
    </row>
    <row r="283">
      <c r="Q283">
        <f>A283&amp;"|"&amp;B283&amp;"|"&amp;C283&amp;"|"&amp;D283&amp;"|"&amp;E283&amp;"|"&amp;F283&amp;"|"&amp;G283&amp;"|"&amp;H283&amp;"|"&amp;I283&amp;"|"&amp;J283&amp;"|"&amp;K283&amp;"|"&amp;L283&amp;"|"&amp;M283&amp;"|"&amp;N283&amp;"|"&amp;O283</f>
        <v/>
      </c>
      <c r="R283">
        <f>IF(Q283=REPT("|",14),0,1)</f>
        <v/>
      </c>
      <c r="S283">
        <f>IF(R283=0,0,IF(SUMPRODUCT(($Q$11:Q282=Q283)*($R$11:R282=1))&gt;0,1,0))</f>
        <v/>
      </c>
    </row>
    <row r="284">
      <c r="Q284">
        <f>A284&amp;"|"&amp;B284&amp;"|"&amp;C284&amp;"|"&amp;D284&amp;"|"&amp;E284&amp;"|"&amp;F284&amp;"|"&amp;G284&amp;"|"&amp;H284&amp;"|"&amp;I284&amp;"|"&amp;J284&amp;"|"&amp;K284&amp;"|"&amp;L284&amp;"|"&amp;M284&amp;"|"&amp;N284&amp;"|"&amp;O284</f>
        <v/>
      </c>
      <c r="R284">
        <f>IF(Q284=REPT("|",14),0,1)</f>
        <v/>
      </c>
      <c r="S284">
        <f>IF(R284=0,0,IF(SUMPRODUCT(($Q$11:Q283=Q284)*($R$11:R283=1))&gt;0,1,0))</f>
        <v/>
      </c>
    </row>
    <row r="285">
      <c r="Q285">
        <f>A285&amp;"|"&amp;B285&amp;"|"&amp;C285&amp;"|"&amp;D285&amp;"|"&amp;E285&amp;"|"&amp;F285&amp;"|"&amp;G285&amp;"|"&amp;H285&amp;"|"&amp;I285&amp;"|"&amp;J285&amp;"|"&amp;K285&amp;"|"&amp;L285&amp;"|"&amp;M285&amp;"|"&amp;N285&amp;"|"&amp;O285</f>
        <v/>
      </c>
      <c r="R285">
        <f>IF(Q285=REPT("|",14),0,1)</f>
        <v/>
      </c>
      <c r="S285">
        <f>IF(R285=0,0,IF(SUMPRODUCT(($Q$11:Q284=Q285)*($R$11:R284=1))&gt;0,1,0))</f>
        <v/>
      </c>
    </row>
    <row r="286">
      <c r="Q286">
        <f>A286&amp;"|"&amp;B286&amp;"|"&amp;C286&amp;"|"&amp;D286&amp;"|"&amp;E286&amp;"|"&amp;F286&amp;"|"&amp;G286&amp;"|"&amp;H286&amp;"|"&amp;I286&amp;"|"&amp;J286&amp;"|"&amp;K286&amp;"|"&amp;L286&amp;"|"&amp;M286&amp;"|"&amp;N286&amp;"|"&amp;O286</f>
        <v/>
      </c>
      <c r="R286">
        <f>IF(Q286=REPT("|",14),0,1)</f>
        <v/>
      </c>
      <c r="S286">
        <f>IF(R286=0,0,IF(SUMPRODUCT(($Q$11:Q285=Q286)*($R$11:R285=1))&gt;0,1,0))</f>
        <v/>
      </c>
    </row>
    <row r="287">
      <c r="Q287">
        <f>A287&amp;"|"&amp;B287&amp;"|"&amp;C287&amp;"|"&amp;D287&amp;"|"&amp;E287&amp;"|"&amp;F287&amp;"|"&amp;G287&amp;"|"&amp;H287&amp;"|"&amp;I287&amp;"|"&amp;J287&amp;"|"&amp;K287&amp;"|"&amp;L287&amp;"|"&amp;M287&amp;"|"&amp;N287&amp;"|"&amp;O287</f>
        <v/>
      </c>
      <c r="R287">
        <f>IF(Q287=REPT("|",14),0,1)</f>
        <v/>
      </c>
      <c r="S287">
        <f>IF(R287=0,0,IF(SUMPRODUCT(($Q$11:Q286=Q287)*($R$11:R286=1))&gt;0,1,0))</f>
        <v/>
      </c>
    </row>
    <row r="288">
      <c r="Q288">
        <f>A288&amp;"|"&amp;B288&amp;"|"&amp;C288&amp;"|"&amp;D288&amp;"|"&amp;E288&amp;"|"&amp;F288&amp;"|"&amp;G288&amp;"|"&amp;H288&amp;"|"&amp;I288&amp;"|"&amp;J288&amp;"|"&amp;K288&amp;"|"&amp;L288&amp;"|"&amp;M288&amp;"|"&amp;N288&amp;"|"&amp;O288</f>
        <v/>
      </c>
      <c r="R288">
        <f>IF(Q288=REPT("|",14),0,1)</f>
        <v/>
      </c>
      <c r="S288">
        <f>IF(R288=0,0,IF(SUMPRODUCT(($Q$11:Q287=Q288)*($R$11:R287=1))&gt;0,1,0))</f>
        <v/>
      </c>
    </row>
    <row r="289">
      <c r="Q289">
        <f>A289&amp;"|"&amp;B289&amp;"|"&amp;C289&amp;"|"&amp;D289&amp;"|"&amp;E289&amp;"|"&amp;F289&amp;"|"&amp;G289&amp;"|"&amp;H289&amp;"|"&amp;I289&amp;"|"&amp;J289&amp;"|"&amp;K289&amp;"|"&amp;L289&amp;"|"&amp;M289&amp;"|"&amp;N289&amp;"|"&amp;O289</f>
        <v/>
      </c>
      <c r="R289">
        <f>IF(Q289=REPT("|",14),0,1)</f>
        <v/>
      </c>
      <c r="S289">
        <f>IF(R289=0,0,IF(SUMPRODUCT(($Q$11:Q288=Q289)*($R$11:R288=1))&gt;0,1,0))</f>
        <v/>
      </c>
    </row>
    <row r="290">
      <c r="Q290">
        <f>A290&amp;"|"&amp;B290&amp;"|"&amp;C290&amp;"|"&amp;D290&amp;"|"&amp;E290&amp;"|"&amp;F290&amp;"|"&amp;G290&amp;"|"&amp;H290&amp;"|"&amp;I290&amp;"|"&amp;J290&amp;"|"&amp;K290&amp;"|"&amp;L290&amp;"|"&amp;M290&amp;"|"&amp;N290&amp;"|"&amp;O290</f>
        <v/>
      </c>
      <c r="R290">
        <f>IF(Q290=REPT("|",14),0,1)</f>
        <v/>
      </c>
      <c r="S290">
        <f>IF(R290=0,0,IF(SUMPRODUCT(($Q$11:Q289=Q290)*($R$11:R289=1))&gt;0,1,0))</f>
        <v/>
      </c>
    </row>
    <row r="291">
      <c r="Q291">
        <f>A291&amp;"|"&amp;B291&amp;"|"&amp;C291&amp;"|"&amp;D291&amp;"|"&amp;E291&amp;"|"&amp;F291&amp;"|"&amp;G291&amp;"|"&amp;H291&amp;"|"&amp;I291&amp;"|"&amp;J291&amp;"|"&amp;K291&amp;"|"&amp;L291&amp;"|"&amp;M291&amp;"|"&amp;N291&amp;"|"&amp;O291</f>
        <v/>
      </c>
      <c r="R291">
        <f>IF(Q291=REPT("|",14),0,1)</f>
        <v/>
      </c>
      <c r="S291">
        <f>IF(R291=0,0,IF(SUMPRODUCT(($Q$11:Q290=Q291)*($R$11:R290=1))&gt;0,1,0))</f>
        <v/>
      </c>
    </row>
    <row r="292">
      <c r="Q292">
        <f>A292&amp;"|"&amp;B292&amp;"|"&amp;C292&amp;"|"&amp;D292&amp;"|"&amp;E292&amp;"|"&amp;F292&amp;"|"&amp;G292&amp;"|"&amp;H292&amp;"|"&amp;I292&amp;"|"&amp;J292&amp;"|"&amp;K292&amp;"|"&amp;L292&amp;"|"&amp;M292&amp;"|"&amp;N292&amp;"|"&amp;O292</f>
        <v/>
      </c>
      <c r="R292">
        <f>IF(Q292=REPT("|",14),0,1)</f>
        <v/>
      </c>
      <c r="S292">
        <f>IF(R292=0,0,IF(SUMPRODUCT(($Q$11:Q291=Q292)*($R$11:R291=1))&gt;0,1,0))</f>
        <v/>
      </c>
    </row>
    <row r="293">
      <c r="Q293">
        <f>A293&amp;"|"&amp;B293&amp;"|"&amp;C293&amp;"|"&amp;D293&amp;"|"&amp;E293&amp;"|"&amp;F293&amp;"|"&amp;G293&amp;"|"&amp;H293&amp;"|"&amp;I293&amp;"|"&amp;J293&amp;"|"&amp;K293&amp;"|"&amp;L293&amp;"|"&amp;M293&amp;"|"&amp;N293&amp;"|"&amp;O293</f>
        <v/>
      </c>
      <c r="R293">
        <f>IF(Q293=REPT("|",14),0,1)</f>
        <v/>
      </c>
      <c r="S293">
        <f>IF(R293=0,0,IF(SUMPRODUCT(($Q$11:Q292=Q293)*($R$11:R292=1))&gt;0,1,0))</f>
        <v/>
      </c>
    </row>
    <row r="294">
      <c r="Q294">
        <f>A294&amp;"|"&amp;B294&amp;"|"&amp;C294&amp;"|"&amp;D294&amp;"|"&amp;E294&amp;"|"&amp;F294&amp;"|"&amp;G294&amp;"|"&amp;H294&amp;"|"&amp;I294&amp;"|"&amp;J294&amp;"|"&amp;K294&amp;"|"&amp;L294&amp;"|"&amp;M294&amp;"|"&amp;N294&amp;"|"&amp;O294</f>
        <v/>
      </c>
      <c r="R294">
        <f>IF(Q294=REPT("|",14),0,1)</f>
        <v/>
      </c>
      <c r="S294">
        <f>IF(R294=0,0,IF(SUMPRODUCT(($Q$11:Q293=Q294)*($R$11:R293=1))&gt;0,1,0))</f>
        <v/>
      </c>
    </row>
    <row r="295">
      <c r="Q295">
        <f>A295&amp;"|"&amp;B295&amp;"|"&amp;C295&amp;"|"&amp;D295&amp;"|"&amp;E295&amp;"|"&amp;F295&amp;"|"&amp;G295&amp;"|"&amp;H295&amp;"|"&amp;I295&amp;"|"&amp;J295&amp;"|"&amp;K295&amp;"|"&amp;L295&amp;"|"&amp;M295&amp;"|"&amp;N295&amp;"|"&amp;O295</f>
        <v/>
      </c>
      <c r="R295">
        <f>IF(Q295=REPT("|",14),0,1)</f>
        <v/>
      </c>
      <c r="S295">
        <f>IF(R295=0,0,IF(SUMPRODUCT(($Q$11:Q294=Q295)*($R$11:R294=1))&gt;0,1,0))</f>
        <v/>
      </c>
    </row>
    <row r="296">
      <c r="Q296">
        <f>A296&amp;"|"&amp;B296&amp;"|"&amp;C296&amp;"|"&amp;D296&amp;"|"&amp;E296&amp;"|"&amp;F296&amp;"|"&amp;G296&amp;"|"&amp;H296&amp;"|"&amp;I296&amp;"|"&amp;J296&amp;"|"&amp;K296&amp;"|"&amp;L296&amp;"|"&amp;M296&amp;"|"&amp;N296&amp;"|"&amp;O296</f>
        <v/>
      </c>
      <c r="R296">
        <f>IF(Q296=REPT("|",14),0,1)</f>
        <v/>
      </c>
      <c r="S296">
        <f>IF(R296=0,0,IF(SUMPRODUCT(($Q$11:Q295=Q296)*($R$11:R295=1))&gt;0,1,0))</f>
        <v/>
      </c>
    </row>
    <row r="297">
      <c r="Q297">
        <f>A297&amp;"|"&amp;B297&amp;"|"&amp;C297&amp;"|"&amp;D297&amp;"|"&amp;E297&amp;"|"&amp;F297&amp;"|"&amp;G297&amp;"|"&amp;H297&amp;"|"&amp;I297&amp;"|"&amp;J297&amp;"|"&amp;K297&amp;"|"&amp;L297&amp;"|"&amp;M297&amp;"|"&amp;N297&amp;"|"&amp;O297</f>
        <v/>
      </c>
      <c r="R297">
        <f>IF(Q297=REPT("|",14),0,1)</f>
        <v/>
      </c>
      <c r="S297">
        <f>IF(R297=0,0,IF(SUMPRODUCT(($Q$11:Q296=Q297)*($R$11:R296=1))&gt;0,1,0))</f>
        <v/>
      </c>
    </row>
    <row r="298">
      <c r="Q298">
        <f>A298&amp;"|"&amp;B298&amp;"|"&amp;C298&amp;"|"&amp;D298&amp;"|"&amp;E298&amp;"|"&amp;F298&amp;"|"&amp;G298&amp;"|"&amp;H298&amp;"|"&amp;I298&amp;"|"&amp;J298&amp;"|"&amp;K298&amp;"|"&amp;L298&amp;"|"&amp;M298&amp;"|"&amp;N298&amp;"|"&amp;O298</f>
        <v/>
      </c>
      <c r="R298">
        <f>IF(Q298=REPT("|",14),0,1)</f>
        <v/>
      </c>
      <c r="S298">
        <f>IF(R298=0,0,IF(SUMPRODUCT(($Q$11:Q297=Q298)*($R$11:R297=1))&gt;0,1,0))</f>
        <v/>
      </c>
    </row>
    <row r="299">
      <c r="Q299">
        <f>A299&amp;"|"&amp;B299&amp;"|"&amp;C299&amp;"|"&amp;D299&amp;"|"&amp;E299&amp;"|"&amp;F299&amp;"|"&amp;G299&amp;"|"&amp;H299&amp;"|"&amp;I299&amp;"|"&amp;J299&amp;"|"&amp;K299&amp;"|"&amp;L299&amp;"|"&amp;M299&amp;"|"&amp;N299&amp;"|"&amp;O299</f>
        <v/>
      </c>
      <c r="R299">
        <f>IF(Q299=REPT("|",14),0,1)</f>
        <v/>
      </c>
      <c r="S299">
        <f>IF(R299=0,0,IF(SUMPRODUCT(($Q$11:Q298=Q299)*($R$11:R298=1))&gt;0,1,0))</f>
        <v/>
      </c>
    </row>
    <row r="300">
      <c r="Q300">
        <f>A300&amp;"|"&amp;B300&amp;"|"&amp;C300&amp;"|"&amp;D300&amp;"|"&amp;E300&amp;"|"&amp;F300&amp;"|"&amp;G300&amp;"|"&amp;H300&amp;"|"&amp;I300&amp;"|"&amp;J300&amp;"|"&amp;K300&amp;"|"&amp;L300&amp;"|"&amp;M300&amp;"|"&amp;N300&amp;"|"&amp;O300</f>
        <v/>
      </c>
      <c r="R300">
        <f>IF(Q300=REPT("|",14),0,1)</f>
        <v/>
      </c>
      <c r="S300">
        <f>IF(R300=0,0,IF(SUMPRODUCT(($Q$11:Q299=Q300)*($R$11:R299=1))&gt;0,1,0))</f>
        <v/>
      </c>
    </row>
    <row r="301">
      <c r="Q301">
        <f>A301&amp;"|"&amp;B301&amp;"|"&amp;C301&amp;"|"&amp;D301&amp;"|"&amp;E301&amp;"|"&amp;F301&amp;"|"&amp;G301&amp;"|"&amp;H301&amp;"|"&amp;I301&amp;"|"&amp;J301&amp;"|"&amp;K301&amp;"|"&amp;L301&amp;"|"&amp;M301&amp;"|"&amp;N301&amp;"|"&amp;O301</f>
        <v/>
      </c>
      <c r="R301">
        <f>IF(Q301=REPT("|",14),0,1)</f>
        <v/>
      </c>
      <c r="S301">
        <f>IF(R301=0,0,IF(SUMPRODUCT(($Q$11:Q300=Q301)*($R$11:R300=1))&gt;0,1,0))</f>
        <v/>
      </c>
    </row>
    <row r="302">
      <c r="Q302">
        <f>A302&amp;"|"&amp;B302&amp;"|"&amp;C302&amp;"|"&amp;D302&amp;"|"&amp;E302&amp;"|"&amp;F302&amp;"|"&amp;G302&amp;"|"&amp;H302&amp;"|"&amp;I302&amp;"|"&amp;J302&amp;"|"&amp;K302&amp;"|"&amp;L302&amp;"|"&amp;M302&amp;"|"&amp;N302&amp;"|"&amp;O302</f>
        <v/>
      </c>
      <c r="R302">
        <f>IF(Q302=REPT("|",14),0,1)</f>
        <v/>
      </c>
      <c r="S302">
        <f>IF(R302=0,0,IF(SUMPRODUCT(($Q$11:Q301=Q302)*($R$11:R301=1))&gt;0,1,0))</f>
        <v/>
      </c>
    </row>
    <row r="303">
      <c r="Q303">
        <f>A303&amp;"|"&amp;B303&amp;"|"&amp;C303&amp;"|"&amp;D303&amp;"|"&amp;E303&amp;"|"&amp;F303&amp;"|"&amp;G303&amp;"|"&amp;H303&amp;"|"&amp;I303&amp;"|"&amp;J303&amp;"|"&amp;K303&amp;"|"&amp;L303&amp;"|"&amp;M303&amp;"|"&amp;N303&amp;"|"&amp;O303</f>
        <v/>
      </c>
      <c r="R303">
        <f>IF(Q303=REPT("|",14),0,1)</f>
        <v/>
      </c>
      <c r="S303">
        <f>IF(R303=0,0,IF(SUMPRODUCT(($Q$11:Q302=Q303)*($R$11:R302=1))&gt;0,1,0))</f>
        <v/>
      </c>
    </row>
    <row r="304">
      <c r="Q304">
        <f>A304&amp;"|"&amp;B304&amp;"|"&amp;C304&amp;"|"&amp;D304&amp;"|"&amp;E304&amp;"|"&amp;F304&amp;"|"&amp;G304&amp;"|"&amp;H304&amp;"|"&amp;I304&amp;"|"&amp;J304&amp;"|"&amp;K304&amp;"|"&amp;L304&amp;"|"&amp;M304&amp;"|"&amp;N304&amp;"|"&amp;O304</f>
        <v/>
      </c>
      <c r="R304">
        <f>IF(Q304=REPT("|",14),0,1)</f>
        <v/>
      </c>
      <c r="S304">
        <f>IF(R304=0,0,IF(SUMPRODUCT(($Q$11:Q303=Q304)*($R$11:R303=1))&gt;0,1,0))</f>
        <v/>
      </c>
    </row>
    <row r="305">
      <c r="Q305">
        <f>A305&amp;"|"&amp;B305&amp;"|"&amp;C305&amp;"|"&amp;D305&amp;"|"&amp;E305&amp;"|"&amp;F305&amp;"|"&amp;G305&amp;"|"&amp;H305&amp;"|"&amp;I305&amp;"|"&amp;J305&amp;"|"&amp;K305&amp;"|"&amp;L305&amp;"|"&amp;M305&amp;"|"&amp;N305&amp;"|"&amp;O305</f>
        <v/>
      </c>
      <c r="R305">
        <f>IF(Q305=REPT("|",14),0,1)</f>
        <v/>
      </c>
      <c r="S305">
        <f>IF(R305=0,0,IF(SUMPRODUCT(($Q$11:Q304=Q305)*($R$11:R304=1))&gt;0,1,0))</f>
        <v/>
      </c>
    </row>
    <row r="306">
      <c r="Q306">
        <f>A306&amp;"|"&amp;B306&amp;"|"&amp;C306&amp;"|"&amp;D306&amp;"|"&amp;E306&amp;"|"&amp;F306&amp;"|"&amp;G306&amp;"|"&amp;H306&amp;"|"&amp;I306&amp;"|"&amp;J306&amp;"|"&amp;K306&amp;"|"&amp;L306&amp;"|"&amp;M306&amp;"|"&amp;N306&amp;"|"&amp;O306</f>
        <v/>
      </c>
      <c r="R306">
        <f>IF(Q306=REPT("|",14),0,1)</f>
        <v/>
      </c>
      <c r="S306">
        <f>IF(R306=0,0,IF(SUMPRODUCT(($Q$11:Q305=Q306)*($R$11:R305=1))&gt;0,1,0))</f>
        <v/>
      </c>
    </row>
    <row r="307">
      <c r="Q307">
        <f>A307&amp;"|"&amp;B307&amp;"|"&amp;C307&amp;"|"&amp;D307&amp;"|"&amp;E307&amp;"|"&amp;F307&amp;"|"&amp;G307&amp;"|"&amp;H307&amp;"|"&amp;I307&amp;"|"&amp;J307&amp;"|"&amp;K307&amp;"|"&amp;L307&amp;"|"&amp;M307&amp;"|"&amp;N307&amp;"|"&amp;O307</f>
        <v/>
      </c>
      <c r="R307">
        <f>IF(Q307=REPT("|",14),0,1)</f>
        <v/>
      </c>
      <c r="S307">
        <f>IF(R307=0,0,IF(SUMPRODUCT(($Q$11:Q306=Q307)*($R$11:R306=1))&gt;0,1,0))</f>
        <v/>
      </c>
    </row>
    <row r="308">
      <c r="Q308">
        <f>A308&amp;"|"&amp;B308&amp;"|"&amp;C308&amp;"|"&amp;D308&amp;"|"&amp;E308&amp;"|"&amp;F308&amp;"|"&amp;G308&amp;"|"&amp;H308&amp;"|"&amp;I308&amp;"|"&amp;J308&amp;"|"&amp;K308&amp;"|"&amp;L308&amp;"|"&amp;M308&amp;"|"&amp;N308&amp;"|"&amp;O308</f>
        <v/>
      </c>
      <c r="R308">
        <f>IF(Q308=REPT("|",14),0,1)</f>
        <v/>
      </c>
      <c r="S308">
        <f>IF(R308=0,0,IF(SUMPRODUCT(($Q$11:Q307=Q308)*($R$11:R307=1))&gt;0,1,0))</f>
        <v/>
      </c>
    </row>
    <row r="309">
      <c r="Q309">
        <f>A309&amp;"|"&amp;B309&amp;"|"&amp;C309&amp;"|"&amp;D309&amp;"|"&amp;E309&amp;"|"&amp;F309&amp;"|"&amp;G309&amp;"|"&amp;H309&amp;"|"&amp;I309&amp;"|"&amp;J309&amp;"|"&amp;K309&amp;"|"&amp;L309&amp;"|"&amp;M309&amp;"|"&amp;N309&amp;"|"&amp;O309</f>
        <v/>
      </c>
      <c r="R309">
        <f>IF(Q309=REPT("|",14),0,1)</f>
        <v/>
      </c>
      <c r="S309">
        <f>IF(R309=0,0,IF(SUMPRODUCT(($Q$11:Q308=Q309)*($R$11:R308=1))&gt;0,1,0))</f>
        <v/>
      </c>
    </row>
    <row r="310">
      <c r="Q310">
        <f>A310&amp;"|"&amp;B310&amp;"|"&amp;C310&amp;"|"&amp;D310&amp;"|"&amp;E310&amp;"|"&amp;F310&amp;"|"&amp;G310&amp;"|"&amp;H310&amp;"|"&amp;I310&amp;"|"&amp;J310&amp;"|"&amp;K310&amp;"|"&amp;L310&amp;"|"&amp;M310&amp;"|"&amp;N310&amp;"|"&amp;O310</f>
        <v/>
      </c>
      <c r="R310">
        <f>IF(Q310=REPT("|",14),0,1)</f>
        <v/>
      </c>
      <c r="S310">
        <f>IF(R310=0,0,IF(SUMPRODUCT(($Q$11:Q309=Q310)*($R$11:R309=1))&gt;0,1,0))</f>
        <v/>
      </c>
    </row>
    <row r="311">
      <c r="Q311">
        <f>A311&amp;"|"&amp;B311&amp;"|"&amp;C311&amp;"|"&amp;D311&amp;"|"&amp;E311&amp;"|"&amp;F311&amp;"|"&amp;G311&amp;"|"&amp;H311&amp;"|"&amp;I311&amp;"|"&amp;J311&amp;"|"&amp;K311&amp;"|"&amp;L311&amp;"|"&amp;M311&amp;"|"&amp;N311&amp;"|"&amp;O311</f>
        <v/>
      </c>
      <c r="R311">
        <f>IF(Q311=REPT("|",14),0,1)</f>
        <v/>
      </c>
      <c r="S311">
        <f>IF(R311=0,0,IF(SUMPRODUCT(($Q$11:Q310=Q311)*($R$11:R310=1))&gt;0,1,0))</f>
        <v/>
      </c>
    </row>
    <row r="312">
      <c r="Q312">
        <f>A312&amp;"|"&amp;B312&amp;"|"&amp;C312&amp;"|"&amp;D312&amp;"|"&amp;E312&amp;"|"&amp;F312&amp;"|"&amp;G312&amp;"|"&amp;H312&amp;"|"&amp;I312&amp;"|"&amp;J312&amp;"|"&amp;K312&amp;"|"&amp;L312&amp;"|"&amp;M312&amp;"|"&amp;N312&amp;"|"&amp;O312</f>
        <v/>
      </c>
      <c r="R312">
        <f>IF(Q312=REPT("|",14),0,1)</f>
        <v/>
      </c>
      <c r="S312">
        <f>IF(R312=0,0,IF(SUMPRODUCT(($Q$11:Q311=Q312)*($R$11:R311=1))&gt;0,1,0))</f>
        <v/>
      </c>
    </row>
    <row r="313">
      <c r="Q313">
        <f>A313&amp;"|"&amp;B313&amp;"|"&amp;C313&amp;"|"&amp;D313&amp;"|"&amp;E313&amp;"|"&amp;F313&amp;"|"&amp;G313&amp;"|"&amp;H313&amp;"|"&amp;I313&amp;"|"&amp;J313&amp;"|"&amp;K313&amp;"|"&amp;L313&amp;"|"&amp;M313&amp;"|"&amp;N313&amp;"|"&amp;O313</f>
        <v/>
      </c>
      <c r="R313">
        <f>IF(Q313=REPT("|",14),0,1)</f>
        <v/>
      </c>
      <c r="S313">
        <f>IF(R313=0,0,IF(SUMPRODUCT(($Q$11:Q312=Q313)*($R$11:R312=1))&gt;0,1,0))</f>
        <v/>
      </c>
    </row>
    <row r="314">
      <c r="Q314">
        <f>A314&amp;"|"&amp;B314&amp;"|"&amp;C314&amp;"|"&amp;D314&amp;"|"&amp;E314&amp;"|"&amp;F314&amp;"|"&amp;G314&amp;"|"&amp;H314&amp;"|"&amp;I314&amp;"|"&amp;J314&amp;"|"&amp;K314&amp;"|"&amp;L314&amp;"|"&amp;M314&amp;"|"&amp;N314&amp;"|"&amp;O314</f>
        <v/>
      </c>
      <c r="R314">
        <f>IF(Q314=REPT("|",14),0,1)</f>
        <v/>
      </c>
      <c r="S314">
        <f>IF(R314=0,0,IF(SUMPRODUCT(($Q$11:Q313=Q314)*($R$11:R313=1))&gt;0,1,0))</f>
        <v/>
      </c>
    </row>
    <row r="315">
      <c r="Q315">
        <f>A315&amp;"|"&amp;B315&amp;"|"&amp;C315&amp;"|"&amp;D315&amp;"|"&amp;E315&amp;"|"&amp;F315&amp;"|"&amp;G315&amp;"|"&amp;H315&amp;"|"&amp;I315&amp;"|"&amp;J315&amp;"|"&amp;K315&amp;"|"&amp;L315&amp;"|"&amp;M315&amp;"|"&amp;N315&amp;"|"&amp;O315</f>
        <v/>
      </c>
      <c r="R315">
        <f>IF(Q315=REPT("|",14),0,1)</f>
        <v/>
      </c>
      <c r="S315">
        <f>IF(R315=0,0,IF(SUMPRODUCT(($Q$11:Q314=Q315)*($R$11:R314=1))&gt;0,1,0))</f>
        <v/>
      </c>
    </row>
    <row r="316">
      <c r="Q316">
        <f>A316&amp;"|"&amp;B316&amp;"|"&amp;C316&amp;"|"&amp;D316&amp;"|"&amp;E316&amp;"|"&amp;F316&amp;"|"&amp;G316&amp;"|"&amp;H316&amp;"|"&amp;I316&amp;"|"&amp;J316&amp;"|"&amp;K316&amp;"|"&amp;L316&amp;"|"&amp;M316&amp;"|"&amp;N316&amp;"|"&amp;O316</f>
        <v/>
      </c>
      <c r="R316">
        <f>IF(Q316=REPT("|",14),0,1)</f>
        <v/>
      </c>
      <c r="S316">
        <f>IF(R316=0,0,IF(SUMPRODUCT(($Q$11:Q315=Q316)*($R$11:R315=1))&gt;0,1,0))</f>
        <v/>
      </c>
    </row>
    <row r="317">
      <c r="Q317">
        <f>A317&amp;"|"&amp;B317&amp;"|"&amp;C317&amp;"|"&amp;D317&amp;"|"&amp;E317&amp;"|"&amp;F317&amp;"|"&amp;G317&amp;"|"&amp;H317&amp;"|"&amp;I317&amp;"|"&amp;J317&amp;"|"&amp;K317&amp;"|"&amp;L317&amp;"|"&amp;M317&amp;"|"&amp;N317&amp;"|"&amp;O317</f>
        <v/>
      </c>
      <c r="R317">
        <f>IF(Q317=REPT("|",14),0,1)</f>
        <v/>
      </c>
      <c r="S317">
        <f>IF(R317=0,0,IF(SUMPRODUCT(($Q$11:Q316=Q317)*($R$11:R316=1))&gt;0,1,0))</f>
        <v/>
      </c>
    </row>
    <row r="318">
      <c r="Q318">
        <f>A318&amp;"|"&amp;B318&amp;"|"&amp;C318&amp;"|"&amp;D318&amp;"|"&amp;E318&amp;"|"&amp;F318&amp;"|"&amp;G318&amp;"|"&amp;H318&amp;"|"&amp;I318&amp;"|"&amp;J318&amp;"|"&amp;K318&amp;"|"&amp;L318&amp;"|"&amp;M318&amp;"|"&amp;N318&amp;"|"&amp;O318</f>
        <v/>
      </c>
      <c r="R318">
        <f>IF(Q318=REPT("|",14),0,1)</f>
        <v/>
      </c>
      <c r="S318">
        <f>IF(R318=0,0,IF(SUMPRODUCT(($Q$11:Q317=Q318)*($R$11:R317=1))&gt;0,1,0))</f>
        <v/>
      </c>
    </row>
    <row r="319">
      <c r="Q319">
        <f>A319&amp;"|"&amp;B319&amp;"|"&amp;C319&amp;"|"&amp;D319&amp;"|"&amp;E319&amp;"|"&amp;F319&amp;"|"&amp;G319&amp;"|"&amp;H319&amp;"|"&amp;I319&amp;"|"&amp;J319&amp;"|"&amp;K319&amp;"|"&amp;L319&amp;"|"&amp;M319&amp;"|"&amp;N319&amp;"|"&amp;O319</f>
        <v/>
      </c>
      <c r="R319">
        <f>IF(Q319=REPT("|",14),0,1)</f>
        <v/>
      </c>
      <c r="S319">
        <f>IF(R319=0,0,IF(SUMPRODUCT(($Q$11:Q318=Q319)*($R$11:R318=1))&gt;0,1,0))</f>
        <v/>
      </c>
    </row>
    <row r="320">
      <c r="Q320">
        <f>A320&amp;"|"&amp;B320&amp;"|"&amp;C320&amp;"|"&amp;D320&amp;"|"&amp;E320&amp;"|"&amp;F320&amp;"|"&amp;G320&amp;"|"&amp;H320&amp;"|"&amp;I320&amp;"|"&amp;J320&amp;"|"&amp;K320&amp;"|"&amp;L320&amp;"|"&amp;M320&amp;"|"&amp;N320&amp;"|"&amp;O320</f>
        <v/>
      </c>
      <c r="R320">
        <f>IF(Q320=REPT("|",14),0,1)</f>
        <v/>
      </c>
      <c r="S320">
        <f>IF(R320=0,0,IF(SUMPRODUCT(($Q$11:Q319=Q320)*($R$11:R319=1))&gt;0,1,0))</f>
        <v/>
      </c>
    </row>
    <row r="321">
      <c r="Q321">
        <f>A321&amp;"|"&amp;B321&amp;"|"&amp;C321&amp;"|"&amp;D321&amp;"|"&amp;E321&amp;"|"&amp;F321&amp;"|"&amp;G321&amp;"|"&amp;H321&amp;"|"&amp;I321&amp;"|"&amp;J321&amp;"|"&amp;K321&amp;"|"&amp;L321&amp;"|"&amp;M321&amp;"|"&amp;N321&amp;"|"&amp;O321</f>
        <v/>
      </c>
      <c r="R321">
        <f>IF(Q321=REPT("|",14),0,1)</f>
        <v/>
      </c>
      <c r="S321">
        <f>IF(R321=0,0,IF(SUMPRODUCT(($Q$11:Q320=Q321)*($R$11:R320=1))&gt;0,1,0))</f>
        <v/>
      </c>
    </row>
    <row r="322">
      <c r="Q322">
        <f>A322&amp;"|"&amp;B322&amp;"|"&amp;C322&amp;"|"&amp;D322&amp;"|"&amp;E322&amp;"|"&amp;F322&amp;"|"&amp;G322&amp;"|"&amp;H322&amp;"|"&amp;I322&amp;"|"&amp;J322&amp;"|"&amp;K322&amp;"|"&amp;L322&amp;"|"&amp;M322&amp;"|"&amp;N322&amp;"|"&amp;O322</f>
        <v/>
      </c>
      <c r="R322">
        <f>IF(Q322=REPT("|",14),0,1)</f>
        <v/>
      </c>
      <c r="S322">
        <f>IF(R322=0,0,IF(SUMPRODUCT(($Q$11:Q321=Q322)*($R$11:R321=1))&gt;0,1,0))</f>
        <v/>
      </c>
    </row>
    <row r="323">
      <c r="Q323">
        <f>A323&amp;"|"&amp;B323&amp;"|"&amp;C323&amp;"|"&amp;D323&amp;"|"&amp;E323&amp;"|"&amp;F323&amp;"|"&amp;G323&amp;"|"&amp;H323&amp;"|"&amp;I323&amp;"|"&amp;J323&amp;"|"&amp;K323&amp;"|"&amp;L323&amp;"|"&amp;M323&amp;"|"&amp;N323&amp;"|"&amp;O323</f>
        <v/>
      </c>
      <c r="R323">
        <f>IF(Q323=REPT("|",14),0,1)</f>
        <v/>
      </c>
      <c r="S323">
        <f>IF(R323=0,0,IF(SUMPRODUCT(($Q$11:Q322=Q323)*($R$11:R322=1))&gt;0,1,0))</f>
        <v/>
      </c>
    </row>
    <row r="324">
      <c r="Q324">
        <f>A324&amp;"|"&amp;B324&amp;"|"&amp;C324&amp;"|"&amp;D324&amp;"|"&amp;E324&amp;"|"&amp;F324&amp;"|"&amp;G324&amp;"|"&amp;H324&amp;"|"&amp;I324&amp;"|"&amp;J324&amp;"|"&amp;K324&amp;"|"&amp;L324&amp;"|"&amp;M324&amp;"|"&amp;N324&amp;"|"&amp;O324</f>
        <v/>
      </c>
      <c r="R324">
        <f>IF(Q324=REPT("|",14),0,1)</f>
        <v/>
      </c>
      <c r="S324">
        <f>IF(R324=0,0,IF(SUMPRODUCT(($Q$11:Q323=Q324)*($R$11:R323=1))&gt;0,1,0))</f>
        <v/>
      </c>
    </row>
    <row r="325">
      <c r="Q325">
        <f>A325&amp;"|"&amp;B325&amp;"|"&amp;C325&amp;"|"&amp;D325&amp;"|"&amp;E325&amp;"|"&amp;F325&amp;"|"&amp;G325&amp;"|"&amp;H325&amp;"|"&amp;I325&amp;"|"&amp;J325&amp;"|"&amp;K325&amp;"|"&amp;L325&amp;"|"&amp;M325&amp;"|"&amp;N325&amp;"|"&amp;O325</f>
        <v/>
      </c>
      <c r="R325">
        <f>IF(Q325=REPT("|",14),0,1)</f>
        <v/>
      </c>
      <c r="S325">
        <f>IF(R325=0,0,IF(SUMPRODUCT(($Q$11:Q324=Q325)*($R$11:R324=1))&gt;0,1,0))</f>
        <v/>
      </c>
    </row>
    <row r="326">
      <c r="Q326">
        <f>A326&amp;"|"&amp;B326&amp;"|"&amp;C326&amp;"|"&amp;D326&amp;"|"&amp;E326&amp;"|"&amp;F326&amp;"|"&amp;G326&amp;"|"&amp;H326&amp;"|"&amp;I326&amp;"|"&amp;J326&amp;"|"&amp;K326&amp;"|"&amp;L326&amp;"|"&amp;M326&amp;"|"&amp;N326&amp;"|"&amp;O326</f>
        <v/>
      </c>
      <c r="R326">
        <f>IF(Q326=REPT("|",14),0,1)</f>
        <v/>
      </c>
      <c r="S326">
        <f>IF(R326=0,0,IF(SUMPRODUCT(($Q$11:Q325=Q326)*($R$11:R325=1))&gt;0,1,0))</f>
        <v/>
      </c>
    </row>
    <row r="327">
      <c r="Q327">
        <f>A327&amp;"|"&amp;B327&amp;"|"&amp;C327&amp;"|"&amp;D327&amp;"|"&amp;E327&amp;"|"&amp;F327&amp;"|"&amp;G327&amp;"|"&amp;H327&amp;"|"&amp;I327&amp;"|"&amp;J327&amp;"|"&amp;K327&amp;"|"&amp;L327&amp;"|"&amp;M327&amp;"|"&amp;N327&amp;"|"&amp;O327</f>
        <v/>
      </c>
      <c r="R327">
        <f>IF(Q327=REPT("|",14),0,1)</f>
        <v/>
      </c>
      <c r="S327">
        <f>IF(R327=0,0,IF(SUMPRODUCT(($Q$11:Q326=Q327)*($R$11:R326=1))&gt;0,1,0))</f>
        <v/>
      </c>
    </row>
    <row r="328">
      <c r="Q328">
        <f>A328&amp;"|"&amp;B328&amp;"|"&amp;C328&amp;"|"&amp;D328&amp;"|"&amp;E328&amp;"|"&amp;F328&amp;"|"&amp;G328&amp;"|"&amp;H328&amp;"|"&amp;I328&amp;"|"&amp;J328&amp;"|"&amp;K328&amp;"|"&amp;L328&amp;"|"&amp;M328&amp;"|"&amp;N328&amp;"|"&amp;O328</f>
        <v/>
      </c>
      <c r="R328">
        <f>IF(Q328=REPT("|",14),0,1)</f>
        <v/>
      </c>
      <c r="S328">
        <f>IF(R328=0,0,IF(SUMPRODUCT(($Q$11:Q327=Q328)*($R$11:R327=1))&gt;0,1,0))</f>
        <v/>
      </c>
    </row>
    <row r="329">
      <c r="Q329">
        <f>A329&amp;"|"&amp;B329&amp;"|"&amp;C329&amp;"|"&amp;D329&amp;"|"&amp;E329&amp;"|"&amp;F329&amp;"|"&amp;G329&amp;"|"&amp;H329&amp;"|"&amp;I329&amp;"|"&amp;J329&amp;"|"&amp;K329&amp;"|"&amp;L329&amp;"|"&amp;M329&amp;"|"&amp;N329&amp;"|"&amp;O329</f>
        <v/>
      </c>
      <c r="R329">
        <f>IF(Q329=REPT("|",14),0,1)</f>
        <v/>
      </c>
      <c r="S329">
        <f>IF(R329=0,0,IF(SUMPRODUCT(($Q$11:Q328=Q329)*($R$11:R328=1))&gt;0,1,0))</f>
        <v/>
      </c>
    </row>
    <row r="330">
      <c r="Q330">
        <f>A330&amp;"|"&amp;B330&amp;"|"&amp;C330&amp;"|"&amp;D330&amp;"|"&amp;E330&amp;"|"&amp;F330&amp;"|"&amp;G330&amp;"|"&amp;H330&amp;"|"&amp;I330&amp;"|"&amp;J330&amp;"|"&amp;K330&amp;"|"&amp;L330&amp;"|"&amp;M330&amp;"|"&amp;N330&amp;"|"&amp;O330</f>
        <v/>
      </c>
      <c r="R330">
        <f>IF(Q330=REPT("|",14),0,1)</f>
        <v/>
      </c>
      <c r="S330">
        <f>IF(R330=0,0,IF(SUMPRODUCT(($Q$11:Q329=Q330)*($R$11:R329=1))&gt;0,1,0))</f>
        <v/>
      </c>
    </row>
    <row r="331">
      <c r="Q331">
        <f>A331&amp;"|"&amp;B331&amp;"|"&amp;C331&amp;"|"&amp;D331&amp;"|"&amp;E331&amp;"|"&amp;F331&amp;"|"&amp;G331&amp;"|"&amp;H331&amp;"|"&amp;I331&amp;"|"&amp;J331&amp;"|"&amp;K331&amp;"|"&amp;L331&amp;"|"&amp;M331&amp;"|"&amp;N331&amp;"|"&amp;O331</f>
        <v/>
      </c>
      <c r="R331">
        <f>IF(Q331=REPT("|",14),0,1)</f>
        <v/>
      </c>
      <c r="S331">
        <f>IF(R331=0,0,IF(SUMPRODUCT(($Q$11:Q330=Q331)*($R$11:R330=1))&gt;0,1,0))</f>
        <v/>
      </c>
    </row>
    <row r="332">
      <c r="Q332">
        <f>A332&amp;"|"&amp;B332&amp;"|"&amp;C332&amp;"|"&amp;D332&amp;"|"&amp;E332&amp;"|"&amp;F332&amp;"|"&amp;G332&amp;"|"&amp;H332&amp;"|"&amp;I332&amp;"|"&amp;J332&amp;"|"&amp;K332&amp;"|"&amp;L332&amp;"|"&amp;M332&amp;"|"&amp;N332&amp;"|"&amp;O332</f>
        <v/>
      </c>
      <c r="R332">
        <f>IF(Q332=REPT("|",14),0,1)</f>
        <v/>
      </c>
      <c r="S332">
        <f>IF(R332=0,0,IF(SUMPRODUCT(($Q$11:Q331=Q332)*($R$11:R331=1))&gt;0,1,0))</f>
        <v/>
      </c>
    </row>
    <row r="333">
      <c r="Q333">
        <f>A333&amp;"|"&amp;B333&amp;"|"&amp;C333&amp;"|"&amp;D333&amp;"|"&amp;E333&amp;"|"&amp;F333&amp;"|"&amp;G333&amp;"|"&amp;H333&amp;"|"&amp;I333&amp;"|"&amp;J333&amp;"|"&amp;K333&amp;"|"&amp;L333&amp;"|"&amp;M333&amp;"|"&amp;N333&amp;"|"&amp;O333</f>
        <v/>
      </c>
      <c r="R333">
        <f>IF(Q333=REPT("|",14),0,1)</f>
        <v/>
      </c>
      <c r="S333">
        <f>IF(R333=0,0,IF(SUMPRODUCT(($Q$11:Q332=Q333)*($R$11:R332=1))&gt;0,1,0))</f>
        <v/>
      </c>
    </row>
    <row r="334">
      <c r="Q334">
        <f>A334&amp;"|"&amp;B334&amp;"|"&amp;C334&amp;"|"&amp;D334&amp;"|"&amp;E334&amp;"|"&amp;F334&amp;"|"&amp;G334&amp;"|"&amp;H334&amp;"|"&amp;I334&amp;"|"&amp;J334&amp;"|"&amp;K334&amp;"|"&amp;L334&amp;"|"&amp;M334&amp;"|"&amp;N334&amp;"|"&amp;O334</f>
        <v/>
      </c>
      <c r="R334">
        <f>IF(Q334=REPT("|",14),0,1)</f>
        <v/>
      </c>
      <c r="S334">
        <f>IF(R334=0,0,IF(SUMPRODUCT(($Q$11:Q333=Q334)*($R$11:R333=1))&gt;0,1,0))</f>
        <v/>
      </c>
    </row>
    <row r="335">
      <c r="Q335">
        <f>A335&amp;"|"&amp;B335&amp;"|"&amp;C335&amp;"|"&amp;D335&amp;"|"&amp;E335&amp;"|"&amp;F335&amp;"|"&amp;G335&amp;"|"&amp;H335&amp;"|"&amp;I335&amp;"|"&amp;J335&amp;"|"&amp;K335&amp;"|"&amp;L335&amp;"|"&amp;M335&amp;"|"&amp;N335&amp;"|"&amp;O335</f>
        <v/>
      </c>
      <c r="R335">
        <f>IF(Q335=REPT("|",14),0,1)</f>
        <v/>
      </c>
      <c r="S335">
        <f>IF(R335=0,0,IF(SUMPRODUCT(($Q$11:Q334=Q335)*($R$11:R334=1))&gt;0,1,0))</f>
        <v/>
      </c>
    </row>
    <row r="336">
      <c r="Q336">
        <f>A336&amp;"|"&amp;B336&amp;"|"&amp;C336&amp;"|"&amp;D336&amp;"|"&amp;E336&amp;"|"&amp;F336&amp;"|"&amp;G336&amp;"|"&amp;H336&amp;"|"&amp;I336&amp;"|"&amp;J336&amp;"|"&amp;K336&amp;"|"&amp;L336&amp;"|"&amp;M336&amp;"|"&amp;N336&amp;"|"&amp;O336</f>
        <v/>
      </c>
      <c r="R336">
        <f>IF(Q336=REPT("|",14),0,1)</f>
        <v/>
      </c>
      <c r="S336">
        <f>IF(R336=0,0,IF(SUMPRODUCT(($Q$11:Q335=Q336)*($R$11:R335=1))&gt;0,1,0))</f>
        <v/>
      </c>
    </row>
    <row r="337">
      <c r="Q337">
        <f>A337&amp;"|"&amp;B337&amp;"|"&amp;C337&amp;"|"&amp;D337&amp;"|"&amp;E337&amp;"|"&amp;F337&amp;"|"&amp;G337&amp;"|"&amp;H337&amp;"|"&amp;I337&amp;"|"&amp;J337&amp;"|"&amp;K337&amp;"|"&amp;L337&amp;"|"&amp;M337&amp;"|"&amp;N337&amp;"|"&amp;O337</f>
        <v/>
      </c>
      <c r="R337">
        <f>IF(Q337=REPT("|",14),0,1)</f>
        <v/>
      </c>
      <c r="S337">
        <f>IF(R337=0,0,IF(SUMPRODUCT(($Q$11:Q336=Q337)*($R$11:R336=1))&gt;0,1,0))</f>
        <v/>
      </c>
    </row>
    <row r="338">
      <c r="Q338">
        <f>A338&amp;"|"&amp;B338&amp;"|"&amp;C338&amp;"|"&amp;D338&amp;"|"&amp;E338&amp;"|"&amp;F338&amp;"|"&amp;G338&amp;"|"&amp;H338&amp;"|"&amp;I338&amp;"|"&amp;J338&amp;"|"&amp;K338&amp;"|"&amp;L338&amp;"|"&amp;M338&amp;"|"&amp;N338&amp;"|"&amp;O338</f>
        <v/>
      </c>
      <c r="R338">
        <f>IF(Q338=REPT("|",14),0,1)</f>
        <v/>
      </c>
      <c r="S338">
        <f>IF(R338=0,0,IF(SUMPRODUCT(($Q$11:Q337=Q338)*($R$11:R337=1))&gt;0,1,0))</f>
        <v/>
      </c>
    </row>
    <row r="339">
      <c r="Q339">
        <f>A339&amp;"|"&amp;B339&amp;"|"&amp;C339&amp;"|"&amp;D339&amp;"|"&amp;E339&amp;"|"&amp;F339&amp;"|"&amp;G339&amp;"|"&amp;H339&amp;"|"&amp;I339&amp;"|"&amp;J339&amp;"|"&amp;K339&amp;"|"&amp;L339&amp;"|"&amp;M339&amp;"|"&amp;N339&amp;"|"&amp;O339</f>
        <v/>
      </c>
      <c r="R339">
        <f>IF(Q339=REPT("|",14),0,1)</f>
        <v/>
      </c>
      <c r="S339">
        <f>IF(R339=0,0,IF(SUMPRODUCT(($Q$11:Q338=Q339)*($R$11:R338=1))&gt;0,1,0))</f>
        <v/>
      </c>
    </row>
    <row r="340">
      <c r="Q340">
        <f>A340&amp;"|"&amp;B340&amp;"|"&amp;C340&amp;"|"&amp;D340&amp;"|"&amp;E340&amp;"|"&amp;F340&amp;"|"&amp;G340&amp;"|"&amp;H340&amp;"|"&amp;I340&amp;"|"&amp;J340&amp;"|"&amp;K340&amp;"|"&amp;L340&amp;"|"&amp;M340&amp;"|"&amp;N340&amp;"|"&amp;O340</f>
        <v/>
      </c>
      <c r="R340">
        <f>IF(Q340=REPT("|",14),0,1)</f>
        <v/>
      </c>
      <c r="S340">
        <f>IF(R340=0,0,IF(SUMPRODUCT(($Q$11:Q339=Q340)*($R$11:R339=1))&gt;0,1,0))</f>
        <v/>
      </c>
    </row>
    <row r="341">
      <c r="Q341">
        <f>A341&amp;"|"&amp;B341&amp;"|"&amp;C341&amp;"|"&amp;D341&amp;"|"&amp;E341&amp;"|"&amp;F341&amp;"|"&amp;G341&amp;"|"&amp;H341&amp;"|"&amp;I341&amp;"|"&amp;J341&amp;"|"&amp;K341&amp;"|"&amp;L341&amp;"|"&amp;M341&amp;"|"&amp;N341&amp;"|"&amp;O341</f>
        <v/>
      </c>
      <c r="R341">
        <f>IF(Q341=REPT("|",14),0,1)</f>
        <v/>
      </c>
      <c r="S341">
        <f>IF(R341=0,0,IF(SUMPRODUCT(($Q$11:Q340=Q341)*($R$11:R340=1))&gt;0,1,0))</f>
        <v/>
      </c>
    </row>
    <row r="342">
      <c r="Q342">
        <f>A342&amp;"|"&amp;B342&amp;"|"&amp;C342&amp;"|"&amp;D342&amp;"|"&amp;E342&amp;"|"&amp;F342&amp;"|"&amp;G342&amp;"|"&amp;H342&amp;"|"&amp;I342&amp;"|"&amp;J342&amp;"|"&amp;K342&amp;"|"&amp;L342&amp;"|"&amp;M342&amp;"|"&amp;N342&amp;"|"&amp;O342</f>
        <v/>
      </c>
      <c r="R342">
        <f>IF(Q342=REPT("|",14),0,1)</f>
        <v/>
      </c>
      <c r="S342">
        <f>IF(R342=0,0,IF(SUMPRODUCT(($Q$11:Q341=Q342)*($R$11:R341=1))&gt;0,1,0))</f>
        <v/>
      </c>
    </row>
    <row r="343">
      <c r="Q343">
        <f>A343&amp;"|"&amp;B343&amp;"|"&amp;C343&amp;"|"&amp;D343&amp;"|"&amp;E343&amp;"|"&amp;F343&amp;"|"&amp;G343&amp;"|"&amp;H343&amp;"|"&amp;I343&amp;"|"&amp;J343&amp;"|"&amp;K343&amp;"|"&amp;L343&amp;"|"&amp;M343&amp;"|"&amp;N343&amp;"|"&amp;O343</f>
        <v/>
      </c>
      <c r="R343">
        <f>IF(Q343=REPT("|",14),0,1)</f>
        <v/>
      </c>
      <c r="S343">
        <f>IF(R343=0,0,IF(SUMPRODUCT(($Q$11:Q342=Q343)*($R$11:R342=1))&gt;0,1,0))</f>
        <v/>
      </c>
    </row>
    <row r="344">
      <c r="Q344">
        <f>A344&amp;"|"&amp;B344&amp;"|"&amp;C344&amp;"|"&amp;D344&amp;"|"&amp;E344&amp;"|"&amp;F344&amp;"|"&amp;G344&amp;"|"&amp;H344&amp;"|"&amp;I344&amp;"|"&amp;J344&amp;"|"&amp;K344&amp;"|"&amp;L344&amp;"|"&amp;M344&amp;"|"&amp;N344&amp;"|"&amp;O344</f>
        <v/>
      </c>
      <c r="R344">
        <f>IF(Q344=REPT("|",14),0,1)</f>
        <v/>
      </c>
      <c r="S344">
        <f>IF(R344=0,0,IF(SUMPRODUCT(($Q$11:Q343=Q344)*($R$11:R343=1))&gt;0,1,0))</f>
        <v/>
      </c>
    </row>
    <row r="345">
      <c r="Q345">
        <f>A345&amp;"|"&amp;B345&amp;"|"&amp;C345&amp;"|"&amp;D345&amp;"|"&amp;E345&amp;"|"&amp;F345&amp;"|"&amp;G345&amp;"|"&amp;H345&amp;"|"&amp;I345&amp;"|"&amp;J345&amp;"|"&amp;K345&amp;"|"&amp;L345&amp;"|"&amp;M345&amp;"|"&amp;N345&amp;"|"&amp;O345</f>
        <v/>
      </c>
      <c r="R345">
        <f>IF(Q345=REPT("|",14),0,1)</f>
        <v/>
      </c>
      <c r="S345">
        <f>IF(R345=0,0,IF(SUMPRODUCT(($Q$11:Q344=Q345)*($R$11:R344=1))&gt;0,1,0))</f>
        <v/>
      </c>
    </row>
    <row r="346">
      <c r="Q346">
        <f>A346&amp;"|"&amp;B346&amp;"|"&amp;C346&amp;"|"&amp;D346&amp;"|"&amp;E346&amp;"|"&amp;F346&amp;"|"&amp;G346&amp;"|"&amp;H346&amp;"|"&amp;I346&amp;"|"&amp;J346&amp;"|"&amp;K346&amp;"|"&amp;L346&amp;"|"&amp;M346&amp;"|"&amp;N346&amp;"|"&amp;O346</f>
        <v/>
      </c>
      <c r="R346">
        <f>IF(Q346=REPT("|",14),0,1)</f>
        <v/>
      </c>
      <c r="S346">
        <f>IF(R346=0,0,IF(SUMPRODUCT(($Q$11:Q345=Q346)*($R$11:R345=1))&gt;0,1,0))</f>
        <v/>
      </c>
    </row>
    <row r="347">
      <c r="Q347">
        <f>A347&amp;"|"&amp;B347&amp;"|"&amp;C347&amp;"|"&amp;D347&amp;"|"&amp;E347&amp;"|"&amp;F347&amp;"|"&amp;G347&amp;"|"&amp;H347&amp;"|"&amp;I347&amp;"|"&amp;J347&amp;"|"&amp;K347&amp;"|"&amp;L347&amp;"|"&amp;M347&amp;"|"&amp;N347&amp;"|"&amp;O347</f>
        <v/>
      </c>
      <c r="R347">
        <f>IF(Q347=REPT("|",14),0,1)</f>
        <v/>
      </c>
      <c r="S347">
        <f>IF(R347=0,0,IF(SUMPRODUCT(($Q$11:Q346=Q347)*($R$11:R346=1))&gt;0,1,0))</f>
        <v/>
      </c>
    </row>
    <row r="348">
      <c r="Q348">
        <f>A348&amp;"|"&amp;B348&amp;"|"&amp;C348&amp;"|"&amp;D348&amp;"|"&amp;E348&amp;"|"&amp;F348&amp;"|"&amp;G348&amp;"|"&amp;H348&amp;"|"&amp;I348&amp;"|"&amp;J348&amp;"|"&amp;K348&amp;"|"&amp;L348&amp;"|"&amp;M348&amp;"|"&amp;N348&amp;"|"&amp;O348</f>
        <v/>
      </c>
      <c r="R348">
        <f>IF(Q348=REPT("|",14),0,1)</f>
        <v/>
      </c>
      <c r="S348">
        <f>IF(R348=0,0,IF(SUMPRODUCT(($Q$11:Q347=Q348)*($R$11:R347=1))&gt;0,1,0))</f>
        <v/>
      </c>
    </row>
    <row r="349">
      <c r="Q349">
        <f>A349&amp;"|"&amp;B349&amp;"|"&amp;C349&amp;"|"&amp;D349&amp;"|"&amp;E349&amp;"|"&amp;F349&amp;"|"&amp;G349&amp;"|"&amp;H349&amp;"|"&amp;I349&amp;"|"&amp;J349&amp;"|"&amp;K349&amp;"|"&amp;L349&amp;"|"&amp;M349&amp;"|"&amp;N349&amp;"|"&amp;O349</f>
        <v/>
      </c>
      <c r="R349">
        <f>IF(Q349=REPT("|",14),0,1)</f>
        <v/>
      </c>
      <c r="S349">
        <f>IF(R349=0,0,IF(SUMPRODUCT(($Q$11:Q348=Q349)*($R$11:R348=1))&gt;0,1,0))</f>
        <v/>
      </c>
    </row>
    <row r="350">
      <c r="Q350">
        <f>A350&amp;"|"&amp;B350&amp;"|"&amp;C350&amp;"|"&amp;D350&amp;"|"&amp;E350&amp;"|"&amp;F350&amp;"|"&amp;G350&amp;"|"&amp;H350&amp;"|"&amp;I350&amp;"|"&amp;J350&amp;"|"&amp;K350&amp;"|"&amp;L350&amp;"|"&amp;M350&amp;"|"&amp;N350&amp;"|"&amp;O350</f>
        <v/>
      </c>
      <c r="R350">
        <f>IF(Q350=REPT("|",14),0,1)</f>
        <v/>
      </c>
      <c r="S350">
        <f>IF(R350=0,0,IF(SUMPRODUCT(($Q$11:Q349=Q350)*($R$11:R349=1))&gt;0,1,0))</f>
        <v/>
      </c>
    </row>
    <row r="351">
      <c r="Q351">
        <f>A351&amp;"|"&amp;B351&amp;"|"&amp;C351&amp;"|"&amp;D351&amp;"|"&amp;E351&amp;"|"&amp;F351&amp;"|"&amp;G351&amp;"|"&amp;H351&amp;"|"&amp;I351&amp;"|"&amp;J351&amp;"|"&amp;K351&amp;"|"&amp;L351&amp;"|"&amp;M351&amp;"|"&amp;N351&amp;"|"&amp;O351</f>
        <v/>
      </c>
      <c r="R351">
        <f>IF(Q351=REPT("|",14),0,1)</f>
        <v/>
      </c>
      <c r="S351">
        <f>IF(R351=0,0,IF(SUMPRODUCT(($Q$11:Q350=Q351)*($R$11:R350=1))&gt;0,1,0))</f>
        <v/>
      </c>
    </row>
    <row r="352">
      <c r="Q352">
        <f>A352&amp;"|"&amp;B352&amp;"|"&amp;C352&amp;"|"&amp;D352&amp;"|"&amp;E352&amp;"|"&amp;F352&amp;"|"&amp;G352&amp;"|"&amp;H352&amp;"|"&amp;I352&amp;"|"&amp;J352&amp;"|"&amp;K352&amp;"|"&amp;L352&amp;"|"&amp;M352&amp;"|"&amp;N352&amp;"|"&amp;O352</f>
        <v/>
      </c>
      <c r="R352">
        <f>IF(Q352=REPT("|",14),0,1)</f>
        <v/>
      </c>
      <c r="S352">
        <f>IF(R352=0,0,IF(SUMPRODUCT(($Q$11:Q351=Q352)*($R$11:R351=1))&gt;0,1,0))</f>
        <v/>
      </c>
    </row>
    <row r="353">
      <c r="Q353">
        <f>A353&amp;"|"&amp;B353&amp;"|"&amp;C353&amp;"|"&amp;D353&amp;"|"&amp;E353&amp;"|"&amp;F353&amp;"|"&amp;G353&amp;"|"&amp;H353&amp;"|"&amp;I353&amp;"|"&amp;J353&amp;"|"&amp;K353&amp;"|"&amp;L353&amp;"|"&amp;M353&amp;"|"&amp;N353&amp;"|"&amp;O353</f>
        <v/>
      </c>
      <c r="R353">
        <f>IF(Q353=REPT("|",14),0,1)</f>
        <v/>
      </c>
      <c r="S353">
        <f>IF(R353=0,0,IF(SUMPRODUCT(($Q$11:Q352=Q353)*($R$11:R352=1))&gt;0,1,0))</f>
        <v/>
      </c>
    </row>
    <row r="354">
      <c r="Q354">
        <f>A354&amp;"|"&amp;B354&amp;"|"&amp;C354&amp;"|"&amp;D354&amp;"|"&amp;E354&amp;"|"&amp;F354&amp;"|"&amp;G354&amp;"|"&amp;H354&amp;"|"&amp;I354&amp;"|"&amp;J354&amp;"|"&amp;K354&amp;"|"&amp;L354&amp;"|"&amp;M354&amp;"|"&amp;N354&amp;"|"&amp;O354</f>
        <v/>
      </c>
      <c r="R354">
        <f>IF(Q354=REPT("|",14),0,1)</f>
        <v/>
      </c>
      <c r="S354">
        <f>IF(R354=0,0,IF(SUMPRODUCT(($Q$11:Q353=Q354)*($R$11:R353=1))&gt;0,1,0))</f>
        <v/>
      </c>
    </row>
    <row r="355">
      <c r="Q355">
        <f>A355&amp;"|"&amp;B355&amp;"|"&amp;C355&amp;"|"&amp;D355&amp;"|"&amp;E355&amp;"|"&amp;F355&amp;"|"&amp;G355&amp;"|"&amp;H355&amp;"|"&amp;I355&amp;"|"&amp;J355&amp;"|"&amp;K355&amp;"|"&amp;L355&amp;"|"&amp;M355&amp;"|"&amp;N355&amp;"|"&amp;O355</f>
        <v/>
      </c>
      <c r="R355">
        <f>IF(Q355=REPT("|",14),0,1)</f>
        <v/>
      </c>
      <c r="S355">
        <f>IF(R355=0,0,IF(SUMPRODUCT(($Q$11:Q354=Q355)*($R$11:R354=1))&gt;0,1,0))</f>
        <v/>
      </c>
    </row>
    <row r="356">
      <c r="Q356">
        <f>A356&amp;"|"&amp;B356&amp;"|"&amp;C356&amp;"|"&amp;D356&amp;"|"&amp;E356&amp;"|"&amp;F356&amp;"|"&amp;G356&amp;"|"&amp;H356&amp;"|"&amp;I356&amp;"|"&amp;J356&amp;"|"&amp;K356&amp;"|"&amp;L356&amp;"|"&amp;M356&amp;"|"&amp;N356&amp;"|"&amp;O356</f>
        <v/>
      </c>
      <c r="R356">
        <f>IF(Q356=REPT("|",14),0,1)</f>
        <v/>
      </c>
      <c r="S356">
        <f>IF(R356=0,0,IF(SUMPRODUCT(($Q$11:Q355=Q356)*($R$11:R355=1))&gt;0,1,0))</f>
        <v/>
      </c>
    </row>
    <row r="357">
      <c r="Q357">
        <f>A357&amp;"|"&amp;B357&amp;"|"&amp;C357&amp;"|"&amp;D357&amp;"|"&amp;E357&amp;"|"&amp;F357&amp;"|"&amp;G357&amp;"|"&amp;H357&amp;"|"&amp;I357&amp;"|"&amp;J357&amp;"|"&amp;K357&amp;"|"&amp;L357&amp;"|"&amp;M357&amp;"|"&amp;N357&amp;"|"&amp;O357</f>
        <v/>
      </c>
      <c r="R357">
        <f>IF(Q357=REPT("|",14),0,1)</f>
        <v/>
      </c>
      <c r="S357">
        <f>IF(R357=0,0,IF(SUMPRODUCT(($Q$11:Q356=Q357)*($R$11:R356=1))&gt;0,1,0))</f>
        <v/>
      </c>
    </row>
    <row r="358">
      <c r="Q358">
        <f>A358&amp;"|"&amp;B358&amp;"|"&amp;C358&amp;"|"&amp;D358&amp;"|"&amp;E358&amp;"|"&amp;F358&amp;"|"&amp;G358&amp;"|"&amp;H358&amp;"|"&amp;I358&amp;"|"&amp;J358&amp;"|"&amp;K358&amp;"|"&amp;L358&amp;"|"&amp;M358&amp;"|"&amp;N358&amp;"|"&amp;O358</f>
        <v/>
      </c>
      <c r="R358">
        <f>IF(Q358=REPT("|",14),0,1)</f>
        <v/>
      </c>
      <c r="S358">
        <f>IF(R358=0,0,IF(SUMPRODUCT(($Q$11:Q357=Q358)*($R$11:R357=1))&gt;0,1,0))</f>
        <v/>
      </c>
    </row>
    <row r="359">
      <c r="Q359">
        <f>A359&amp;"|"&amp;B359&amp;"|"&amp;C359&amp;"|"&amp;D359&amp;"|"&amp;E359&amp;"|"&amp;F359&amp;"|"&amp;G359&amp;"|"&amp;H359&amp;"|"&amp;I359&amp;"|"&amp;J359&amp;"|"&amp;K359&amp;"|"&amp;L359&amp;"|"&amp;M359&amp;"|"&amp;N359&amp;"|"&amp;O359</f>
        <v/>
      </c>
      <c r="R359">
        <f>IF(Q359=REPT("|",14),0,1)</f>
        <v/>
      </c>
      <c r="S359">
        <f>IF(R359=0,0,IF(SUMPRODUCT(($Q$11:Q358=Q359)*($R$11:R358=1))&gt;0,1,0))</f>
        <v/>
      </c>
    </row>
    <row r="360">
      <c r="Q360">
        <f>A360&amp;"|"&amp;B360&amp;"|"&amp;C360&amp;"|"&amp;D360&amp;"|"&amp;E360&amp;"|"&amp;F360&amp;"|"&amp;G360&amp;"|"&amp;H360&amp;"|"&amp;I360&amp;"|"&amp;J360&amp;"|"&amp;K360&amp;"|"&amp;L360&amp;"|"&amp;M360&amp;"|"&amp;N360&amp;"|"&amp;O360</f>
        <v/>
      </c>
      <c r="R360">
        <f>IF(Q360=REPT("|",14),0,1)</f>
        <v/>
      </c>
      <c r="S360">
        <f>IF(R360=0,0,IF(SUMPRODUCT(($Q$11:Q359=Q360)*($R$11:R359=1))&gt;0,1,0))</f>
        <v/>
      </c>
    </row>
    <row r="361">
      <c r="Q361">
        <f>A361&amp;"|"&amp;B361&amp;"|"&amp;C361&amp;"|"&amp;D361&amp;"|"&amp;E361&amp;"|"&amp;F361&amp;"|"&amp;G361&amp;"|"&amp;H361&amp;"|"&amp;I361&amp;"|"&amp;J361&amp;"|"&amp;K361&amp;"|"&amp;L361&amp;"|"&amp;M361&amp;"|"&amp;N361&amp;"|"&amp;O361</f>
        <v/>
      </c>
      <c r="R361">
        <f>IF(Q361=REPT("|",14),0,1)</f>
        <v/>
      </c>
      <c r="S361">
        <f>IF(R361=0,0,IF(SUMPRODUCT(($Q$11:Q360=Q361)*($R$11:R360=1))&gt;0,1,0))</f>
        <v/>
      </c>
    </row>
    <row r="362">
      <c r="Q362">
        <f>A362&amp;"|"&amp;B362&amp;"|"&amp;C362&amp;"|"&amp;D362&amp;"|"&amp;E362&amp;"|"&amp;F362&amp;"|"&amp;G362&amp;"|"&amp;H362&amp;"|"&amp;I362&amp;"|"&amp;J362&amp;"|"&amp;K362&amp;"|"&amp;L362&amp;"|"&amp;M362&amp;"|"&amp;N362&amp;"|"&amp;O362</f>
        <v/>
      </c>
      <c r="R362">
        <f>IF(Q362=REPT("|",14),0,1)</f>
        <v/>
      </c>
      <c r="S362">
        <f>IF(R362=0,0,IF(SUMPRODUCT(($Q$11:Q361=Q362)*($R$11:R361=1))&gt;0,1,0))</f>
        <v/>
      </c>
    </row>
    <row r="363">
      <c r="Q363">
        <f>A363&amp;"|"&amp;B363&amp;"|"&amp;C363&amp;"|"&amp;D363&amp;"|"&amp;E363&amp;"|"&amp;F363&amp;"|"&amp;G363&amp;"|"&amp;H363&amp;"|"&amp;I363&amp;"|"&amp;J363&amp;"|"&amp;K363&amp;"|"&amp;L363&amp;"|"&amp;M363&amp;"|"&amp;N363&amp;"|"&amp;O363</f>
        <v/>
      </c>
      <c r="R363">
        <f>IF(Q363=REPT("|",14),0,1)</f>
        <v/>
      </c>
      <c r="S363">
        <f>IF(R363=0,0,IF(SUMPRODUCT(($Q$11:Q362=Q363)*($R$11:R362=1))&gt;0,1,0))</f>
        <v/>
      </c>
    </row>
    <row r="364">
      <c r="Q364">
        <f>A364&amp;"|"&amp;B364&amp;"|"&amp;C364&amp;"|"&amp;D364&amp;"|"&amp;E364&amp;"|"&amp;F364&amp;"|"&amp;G364&amp;"|"&amp;H364&amp;"|"&amp;I364&amp;"|"&amp;J364&amp;"|"&amp;K364&amp;"|"&amp;L364&amp;"|"&amp;M364&amp;"|"&amp;N364&amp;"|"&amp;O364</f>
        <v/>
      </c>
      <c r="R364">
        <f>IF(Q364=REPT("|",14),0,1)</f>
        <v/>
      </c>
      <c r="S364">
        <f>IF(R364=0,0,IF(SUMPRODUCT(($Q$11:Q363=Q364)*($R$11:R363=1))&gt;0,1,0))</f>
        <v/>
      </c>
    </row>
    <row r="365">
      <c r="Q365">
        <f>A365&amp;"|"&amp;B365&amp;"|"&amp;C365&amp;"|"&amp;D365&amp;"|"&amp;E365&amp;"|"&amp;F365&amp;"|"&amp;G365&amp;"|"&amp;H365&amp;"|"&amp;I365&amp;"|"&amp;J365&amp;"|"&amp;K365&amp;"|"&amp;L365&amp;"|"&amp;M365&amp;"|"&amp;N365&amp;"|"&amp;O365</f>
        <v/>
      </c>
      <c r="R365">
        <f>IF(Q365=REPT("|",14),0,1)</f>
        <v/>
      </c>
      <c r="S365">
        <f>IF(R365=0,0,IF(SUMPRODUCT(($Q$11:Q364=Q365)*($R$11:R364=1))&gt;0,1,0))</f>
        <v/>
      </c>
    </row>
    <row r="366">
      <c r="Q366">
        <f>A366&amp;"|"&amp;B366&amp;"|"&amp;C366&amp;"|"&amp;D366&amp;"|"&amp;E366&amp;"|"&amp;F366&amp;"|"&amp;G366&amp;"|"&amp;H366&amp;"|"&amp;I366&amp;"|"&amp;J366&amp;"|"&amp;K366&amp;"|"&amp;L366&amp;"|"&amp;M366&amp;"|"&amp;N366&amp;"|"&amp;O366</f>
        <v/>
      </c>
      <c r="R366">
        <f>IF(Q366=REPT("|",14),0,1)</f>
        <v/>
      </c>
      <c r="S366">
        <f>IF(R366=0,0,IF(SUMPRODUCT(($Q$11:Q365=Q366)*($R$11:R365=1))&gt;0,1,0))</f>
        <v/>
      </c>
    </row>
    <row r="367">
      <c r="Q367">
        <f>A367&amp;"|"&amp;B367&amp;"|"&amp;C367&amp;"|"&amp;D367&amp;"|"&amp;E367&amp;"|"&amp;F367&amp;"|"&amp;G367&amp;"|"&amp;H367&amp;"|"&amp;I367&amp;"|"&amp;J367&amp;"|"&amp;K367&amp;"|"&amp;L367&amp;"|"&amp;M367&amp;"|"&amp;N367&amp;"|"&amp;O367</f>
        <v/>
      </c>
      <c r="R367">
        <f>IF(Q367=REPT("|",14),0,1)</f>
        <v/>
      </c>
      <c r="S367">
        <f>IF(R367=0,0,IF(SUMPRODUCT(($Q$11:Q366=Q367)*($R$11:R366=1))&gt;0,1,0))</f>
        <v/>
      </c>
    </row>
    <row r="368">
      <c r="Q368">
        <f>A368&amp;"|"&amp;B368&amp;"|"&amp;C368&amp;"|"&amp;D368&amp;"|"&amp;E368&amp;"|"&amp;F368&amp;"|"&amp;G368&amp;"|"&amp;H368&amp;"|"&amp;I368&amp;"|"&amp;J368&amp;"|"&amp;K368&amp;"|"&amp;L368&amp;"|"&amp;M368&amp;"|"&amp;N368&amp;"|"&amp;O368</f>
        <v/>
      </c>
      <c r="R368">
        <f>IF(Q368=REPT("|",14),0,1)</f>
        <v/>
      </c>
      <c r="S368">
        <f>IF(R368=0,0,IF(SUMPRODUCT(($Q$11:Q367=Q368)*($R$11:R367=1))&gt;0,1,0))</f>
        <v/>
      </c>
    </row>
    <row r="369">
      <c r="Q369">
        <f>A369&amp;"|"&amp;B369&amp;"|"&amp;C369&amp;"|"&amp;D369&amp;"|"&amp;E369&amp;"|"&amp;F369&amp;"|"&amp;G369&amp;"|"&amp;H369&amp;"|"&amp;I369&amp;"|"&amp;J369&amp;"|"&amp;K369&amp;"|"&amp;L369&amp;"|"&amp;M369&amp;"|"&amp;N369&amp;"|"&amp;O369</f>
        <v/>
      </c>
      <c r="R369">
        <f>IF(Q369=REPT("|",14),0,1)</f>
        <v/>
      </c>
      <c r="S369">
        <f>IF(R369=0,0,IF(SUMPRODUCT(($Q$11:Q368=Q369)*($R$11:R368=1))&gt;0,1,0))</f>
        <v/>
      </c>
    </row>
    <row r="370">
      <c r="Q370">
        <f>A370&amp;"|"&amp;B370&amp;"|"&amp;C370&amp;"|"&amp;D370&amp;"|"&amp;E370&amp;"|"&amp;F370&amp;"|"&amp;G370&amp;"|"&amp;H370&amp;"|"&amp;I370&amp;"|"&amp;J370&amp;"|"&amp;K370&amp;"|"&amp;L370&amp;"|"&amp;M370&amp;"|"&amp;N370&amp;"|"&amp;O370</f>
        <v/>
      </c>
      <c r="R370">
        <f>IF(Q370=REPT("|",14),0,1)</f>
        <v/>
      </c>
      <c r="S370">
        <f>IF(R370=0,0,IF(SUMPRODUCT(($Q$11:Q369=Q370)*($R$11:R369=1))&gt;0,1,0))</f>
        <v/>
      </c>
    </row>
    <row r="371">
      <c r="Q371">
        <f>A371&amp;"|"&amp;B371&amp;"|"&amp;C371&amp;"|"&amp;D371&amp;"|"&amp;E371&amp;"|"&amp;F371&amp;"|"&amp;G371&amp;"|"&amp;H371&amp;"|"&amp;I371&amp;"|"&amp;J371&amp;"|"&amp;K371&amp;"|"&amp;L371&amp;"|"&amp;M371&amp;"|"&amp;N371&amp;"|"&amp;O371</f>
        <v/>
      </c>
      <c r="R371">
        <f>IF(Q371=REPT("|",14),0,1)</f>
        <v/>
      </c>
      <c r="S371">
        <f>IF(R371=0,0,IF(SUMPRODUCT(($Q$11:Q370=Q371)*($R$11:R370=1))&gt;0,1,0))</f>
        <v/>
      </c>
    </row>
    <row r="372">
      <c r="Q372">
        <f>A372&amp;"|"&amp;B372&amp;"|"&amp;C372&amp;"|"&amp;D372&amp;"|"&amp;E372&amp;"|"&amp;F372&amp;"|"&amp;G372&amp;"|"&amp;H372&amp;"|"&amp;I372&amp;"|"&amp;J372&amp;"|"&amp;K372&amp;"|"&amp;L372&amp;"|"&amp;M372&amp;"|"&amp;N372&amp;"|"&amp;O372</f>
        <v/>
      </c>
      <c r="R372">
        <f>IF(Q372=REPT("|",14),0,1)</f>
        <v/>
      </c>
      <c r="S372">
        <f>IF(R372=0,0,IF(SUMPRODUCT(($Q$11:Q371=Q372)*($R$11:R371=1))&gt;0,1,0))</f>
        <v/>
      </c>
    </row>
    <row r="373">
      <c r="Q373">
        <f>A373&amp;"|"&amp;B373&amp;"|"&amp;C373&amp;"|"&amp;D373&amp;"|"&amp;E373&amp;"|"&amp;F373&amp;"|"&amp;G373&amp;"|"&amp;H373&amp;"|"&amp;I373&amp;"|"&amp;J373&amp;"|"&amp;K373&amp;"|"&amp;L373&amp;"|"&amp;M373&amp;"|"&amp;N373&amp;"|"&amp;O373</f>
        <v/>
      </c>
      <c r="R373">
        <f>IF(Q373=REPT("|",14),0,1)</f>
        <v/>
      </c>
      <c r="S373">
        <f>IF(R373=0,0,IF(SUMPRODUCT(($Q$11:Q372=Q373)*($R$11:R372=1))&gt;0,1,0))</f>
        <v/>
      </c>
    </row>
    <row r="374">
      <c r="Q374">
        <f>A374&amp;"|"&amp;B374&amp;"|"&amp;C374&amp;"|"&amp;D374&amp;"|"&amp;E374&amp;"|"&amp;F374&amp;"|"&amp;G374&amp;"|"&amp;H374&amp;"|"&amp;I374&amp;"|"&amp;J374&amp;"|"&amp;K374&amp;"|"&amp;L374&amp;"|"&amp;M374&amp;"|"&amp;N374&amp;"|"&amp;O374</f>
        <v/>
      </c>
      <c r="R374">
        <f>IF(Q374=REPT("|",14),0,1)</f>
        <v/>
      </c>
      <c r="S374">
        <f>IF(R374=0,0,IF(SUMPRODUCT(($Q$11:Q373=Q374)*($R$11:R373=1))&gt;0,1,0))</f>
        <v/>
      </c>
    </row>
    <row r="375">
      <c r="Q375">
        <f>A375&amp;"|"&amp;B375&amp;"|"&amp;C375&amp;"|"&amp;D375&amp;"|"&amp;E375&amp;"|"&amp;F375&amp;"|"&amp;G375&amp;"|"&amp;H375&amp;"|"&amp;I375&amp;"|"&amp;J375&amp;"|"&amp;K375&amp;"|"&amp;L375&amp;"|"&amp;M375&amp;"|"&amp;N375&amp;"|"&amp;O375</f>
        <v/>
      </c>
      <c r="R375">
        <f>IF(Q375=REPT("|",14),0,1)</f>
        <v/>
      </c>
      <c r="S375">
        <f>IF(R375=0,0,IF(SUMPRODUCT(($Q$11:Q374=Q375)*($R$11:R374=1))&gt;0,1,0))</f>
        <v/>
      </c>
    </row>
    <row r="376">
      <c r="Q376">
        <f>A376&amp;"|"&amp;B376&amp;"|"&amp;C376&amp;"|"&amp;D376&amp;"|"&amp;E376&amp;"|"&amp;F376&amp;"|"&amp;G376&amp;"|"&amp;H376&amp;"|"&amp;I376&amp;"|"&amp;J376&amp;"|"&amp;K376&amp;"|"&amp;L376&amp;"|"&amp;M376&amp;"|"&amp;N376&amp;"|"&amp;O376</f>
        <v/>
      </c>
      <c r="R376">
        <f>IF(Q376=REPT("|",14),0,1)</f>
        <v/>
      </c>
      <c r="S376">
        <f>IF(R376=0,0,IF(SUMPRODUCT(($Q$11:Q375=Q376)*($R$11:R375=1))&gt;0,1,0))</f>
        <v/>
      </c>
    </row>
    <row r="377">
      <c r="Q377">
        <f>A377&amp;"|"&amp;B377&amp;"|"&amp;C377&amp;"|"&amp;D377&amp;"|"&amp;E377&amp;"|"&amp;F377&amp;"|"&amp;G377&amp;"|"&amp;H377&amp;"|"&amp;I377&amp;"|"&amp;J377&amp;"|"&amp;K377&amp;"|"&amp;L377&amp;"|"&amp;M377&amp;"|"&amp;N377&amp;"|"&amp;O377</f>
        <v/>
      </c>
      <c r="R377">
        <f>IF(Q377=REPT("|",14),0,1)</f>
        <v/>
      </c>
      <c r="S377">
        <f>IF(R377=0,0,IF(SUMPRODUCT(($Q$11:Q376=Q377)*($R$11:R376=1))&gt;0,1,0))</f>
        <v/>
      </c>
    </row>
    <row r="378">
      <c r="Q378">
        <f>A378&amp;"|"&amp;B378&amp;"|"&amp;C378&amp;"|"&amp;D378&amp;"|"&amp;E378&amp;"|"&amp;F378&amp;"|"&amp;G378&amp;"|"&amp;H378&amp;"|"&amp;I378&amp;"|"&amp;J378&amp;"|"&amp;K378&amp;"|"&amp;L378&amp;"|"&amp;M378&amp;"|"&amp;N378&amp;"|"&amp;O378</f>
        <v/>
      </c>
      <c r="R378">
        <f>IF(Q378=REPT("|",14),0,1)</f>
        <v/>
      </c>
      <c r="S378">
        <f>IF(R378=0,0,IF(SUMPRODUCT(($Q$11:Q377=Q378)*($R$11:R377=1))&gt;0,1,0))</f>
        <v/>
      </c>
    </row>
    <row r="379">
      <c r="Q379">
        <f>A379&amp;"|"&amp;B379&amp;"|"&amp;C379&amp;"|"&amp;D379&amp;"|"&amp;E379&amp;"|"&amp;F379&amp;"|"&amp;G379&amp;"|"&amp;H379&amp;"|"&amp;I379&amp;"|"&amp;J379&amp;"|"&amp;K379&amp;"|"&amp;L379&amp;"|"&amp;M379&amp;"|"&amp;N379&amp;"|"&amp;O379</f>
        <v/>
      </c>
      <c r="R379">
        <f>IF(Q379=REPT("|",14),0,1)</f>
        <v/>
      </c>
      <c r="S379">
        <f>IF(R379=0,0,IF(SUMPRODUCT(($Q$11:Q378=Q379)*($R$11:R378=1))&gt;0,1,0))</f>
        <v/>
      </c>
    </row>
    <row r="380">
      <c r="Q380">
        <f>A380&amp;"|"&amp;B380&amp;"|"&amp;C380&amp;"|"&amp;D380&amp;"|"&amp;E380&amp;"|"&amp;F380&amp;"|"&amp;G380&amp;"|"&amp;H380&amp;"|"&amp;I380&amp;"|"&amp;J380&amp;"|"&amp;K380&amp;"|"&amp;L380&amp;"|"&amp;M380&amp;"|"&amp;N380&amp;"|"&amp;O380</f>
        <v/>
      </c>
      <c r="R380">
        <f>IF(Q380=REPT("|",14),0,1)</f>
        <v/>
      </c>
      <c r="S380">
        <f>IF(R380=0,0,IF(SUMPRODUCT(($Q$11:Q379=Q380)*($R$11:R379=1))&gt;0,1,0))</f>
        <v/>
      </c>
    </row>
    <row r="381">
      <c r="Q381">
        <f>A381&amp;"|"&amp;B381&amp;"|"&amp;C381&amp;"|"&amp;D381&amp;"|"&amp;E381&amp;"|"&amp;F381&amp;"|"&amp;G381&amp;"|"&amp;H381&amp;"|"&amp;I381&amp;"|"&amp;J381&amp;"|"&amp;K381&amp;"|"&amp;L381&amp;"|"&amp;M381&amp;"|"&amp;N381&amp;"|"&amp;O381</f>
        <v/>
      </c>
      <c r="R381">
        <f>IF(Q381=REPT("|",14),0,1)</f>
        <v/>
      </c>
      <c r="S381">
        <f>IF(R381=0,0,IF(SUMPRODUCT(($Q$11:Q380=Q381)*($R$11:R380=1))&gt;0,1,0))</f>
        <v/>
      </c>
    </row>
    <row r="382">
      <c r="Q382">
        <f>A382&amp;"|"&amp;B382&amp;"|"&amp;C382&amp;"|"&amp;D382&amp;"|"&amp;E382&amp;"|"&amp;F382&amp;"|"&amp;G382&amp;"|"&amp;H382&amp;"|"&amp;I382&amp;"|"&amp;J382&amp;"|"&amp;K382&amp;"|"&amp;L382&amp;"|"&amp;M382&amp;"|"&amp;N382&amp;"|"&amp;O382</f>
        <v/>
      </c>
      <c r="R382">
        <f>IF(Q382=REPT("|",14),0,1)</f>
        <v/>
      </c>
      <c r="S382">
        <f>IF(R382=0,0,IF(SUMPRODUCT(($Q$11:Q381=Q382)*($R$11:R381=1))&gt;0,1,0))</f>
        <v/>
      </c>
    </row>
    <row r="383">
      <c r="Q383">
        <f>A383&amp;"|"&amp;B383&amp;"|"&amp;C383&amp;"|"&amp;D383&amp;"|"&amp;E383&amp;"|"&amp;F383&amp;"|"&amp;G383&amp;"|"&amp;H383&amp;"|"&amp;I383&amp;"|"&amp;J383&amp;"|"&amp;K383&amp;"|"&amp;L383&amp;"|"&amp;M383&amp;"|"&amp;N383&amp;"|"&amp;O383</f>
        <v/>
      </c>
      <c r="R383">
        <f>IF(Q383=REPT("|",14),0,1)</f>
        <v/>
      </c>
      <c r="S383">
        <f>IF(R383=0,0,IF(SUMPRODUCT(($Q$11:Q382=Q383)*($R$11:R382=1))&gt;0,1,0))</f>
        <v/>
      </c>
    </row>
    <row r="384">
      <c r="Q384">
        <f>A384&amp;"|"&amp;B384&amp;"|"&amp;C384&amp;"|"&amp;D384&amp;"|"&amp;E384&amp;"|"&amp;F384&amp;"|"&amp;G384&amp;"|"&amp;H384&amp;"|"&amp;I384&amp;"|"&amp;J384&amp;"|"&amp;K384&amp;"|"&amp;L384&amp;"|"&amp;M384&amp;"|"&amp;N384&amp;"|"&amp;O384</f>
        <v/>
      </c>
      <c r="R384">
        <f>IF(Q384=REPT("|",14),0,1)</f>
        <v/>
      </c>
      <c r="S384">
        <f>IF(R384=0,0,IF(SUMPRODUCT(($Q$11:Q383=Q384)*($R$11:R383=1))&gt;0,1,0))</f>
        <v/>
      </c>
    </row>
    <row r="385">
      <c r="Q385">
        <f>A385&amp;"|"&amp;B385&amp;"|"&amp;C385&amp;"|"&amp;D385&amp;"|"&amp;E385&amp;"|"&amp;F385&amp;"|"&amp;G385&amp;"|"&amp;H385&amp;"|"&amp;I385&amp;"|"&amp;J385&amp;"|"&amp;K385&amp;"|"&amp;L385&amp;"|"&amp;M385&amp;"|"&amp;N385&amp;"|"&amp;O385</f>
        <v/>
      </c>
      <c r="R385">
        <f>IF(Q385=REPT("|",14),0,1)</f>
        <v/>
      </c>
      <c r="S385">
        <f>IF(R385=0,0,IF(SUMPRODUCT(($Q$11:Q384=Q385)*($R$11:R384=1))&gt;0,1,0))</f>
        <v/>
      </c>
    </row>
    <row r="386">
      <c r="Q386">
        <f>A386&amp;"|"&amp;B386&amp;"|"&amp;C386&amp;"|"&amp;D386&amp;"|"&amp;E386&amp;"|"&amp;F386&amp;"|"&amp;G386&amp;"|"&amp;H386&amp;"|"&amp;I386&amp;"|"&amp;J386&amp;"|"&amp;K386&amp;"|"&amp;L386&amp;"|"&amp;M386&amp;"|"&amp;N386&amp;"|"&amp;O386</f>
        <v/>
      </c>
      <c r="R386">
        <f>IF(Q386=REPT("|",14),0,1)</f>
        <v/>
      </c>
      <c r="S386">
        <f>IF(R386=0,0,IF(SUMPRODUCT(($Q$11:Q385=Q386)*($R$11:R385=1))&gt;0,1,0))</f>
        <v/>
      </c>
    </row>
    <row r="387">
      <c r="Q387">
        <f>A387&amp;"|"&amp;B387&amp;"|"&amp;C387&amp;"|"&amp;D387&amp;"|"&amp;E387&amp;"|"&amp;F387&amp;"|"&amp;G387&amp;"|"&amp;H387&amp;"|"&amp;I387&amp;"|"&amp;J387&amp;"|"&amp;K387&amp;"|"&amp;L387&amp;"|"&amp;M387&amp;"|"&amp;N387&amp;"|"&amp;O387</f>
        <v/>
      </c>
      <c r="R387">
        <f>IF(Q387=REPT("|",14),0,1)</f>
        <v/>
      </c>
      <c r="S387">
        <f>IF(R387=0,0,IF(SUMPRODUCT(($Q$11:Q386=Q387)*($R$11:R386=1))&gt;0,1,0))</f>
        <v/>
      </c>
    </row>
    <row r="388">
      <c r="Q388">
        <f>A388&amp;"|"&amp;B388&amp;"|"&amp;C388&amp;"|"&amp;D388&amp;"|"&amp;E388&amp;"|"&amp;F388&amp;"|"&amp;G388&amp;"|"&amp;H388&amp;"|"&amp;I388&amp;"|"&amp;J388&amp;"|"&amp;K388&amp;"|"&amp;L388&amp;"|"&amp;M388&amp;"|"&amp;N388&amp;"|"&amp;O388</f>
        <v/>
      </c>
      <c r="R388">
        <f>IF(Q388=REPT("|",14),0,1)</f>
        <v/>
      </c>
      <c r="S388">
        <f>IF(R388=0,0,IF(SUMPRODUCT(($Q$11:Q387=Q388)*($R$11:R387=1))&gt;0,1,0))</f>
        <v/>
      </c>
    </row>
    <row r="389">
      <c r="Q389">
        <f>A389&amp;"|"&amp;B389&amp;"|"&amp;C389&amp;"|"&amp;D389&amp;"|"&amp;E389&amp;"|"&amp;F389&amp;"|"&amp;G389&amp;"|"&amp;H389&amp;"|"&amp;I389&amp;"|"&amp;J389&amp;"|"&amp;K389&amp;"|"&amp;L389&amp;"|"&amp;M389&amp;"|"&amp;N389&amp;"|"&amp;O389</f>
        <v/>
      </c>
      <c r="R389">
        <f>IF(Q389=REPT("|",14),0,1)</f>
        <v/>
      </c>
      <c r="S389">
        <f>IF(R389=0,0,IF(SUMPRODUCT(($Q$11:Q388=Q389)*($R$11:R388=1))&gt;0,1,0))</f>
        <v/>
      </c>
    </row>
    <row r="390">
      <c r="Q390">
        <f>A390&amp;"|"&amp;B390&amp;"|"&amp;C390&amp;"|"&amp;D390&amp;"|"&amp;E390&amp;"|"&amp;F390&amp;"|"&amp;G390&amp;"|"&amp;H390&amp;"|"&amp;I390&amp;"|"&amp;J390&amp;"|"&amp;K390&amp;"|"&amp;L390&amp;"|"&amp;M390&amp;"|"&amp;N390&amp;"|"&amp;O390</f>
        <v/>
      </c>
      <c r="R390">
        <f>IF(Q390=REPT("|",14),0,1)</f>
        <v/>
      </c>
      <c r="S390">
        <f>IF(R390=0,0,IF(SUMPRODUCT(($Q$11:Q389=Q390)*($R$11:R389=1))&gt;0,1,0))</f>
        <v/>
      </c>
    </row>
    <row r="391">
      <c r="Q391">
        <f>A391&amp;"|"&amp;B391&amp;"|"&amp;C391&amp;"|"&amp;D391&amp;"|"&amp;E391&amp;"|"&amp;F391&amp;"|"&amp;G391&amp;"|"&amp;H391&amp;"|"&amp;I391&amp;"|"&amp;J391&amp;"|"&amp;K391&amp;"|"&amp;L391&amp;"|"&amp;M391&amp;"|"&amp;N391&amp;"|"&amp;O391</f>
        <v/>
      </c>
      <c r="R391">
        <f>IF(Q391=REPT("|",14),0,1)</f>
        <v/>
      </c>
      <c r="S391">
        <f>IF(R391=0,0,IF(SUMPRODUCT(($Q$11:Q390=Q391)*($R$11:R390=1))&gt;0,1,0))</f>
        <v/>
      </c>
    </row>
    <row r="392">
      <c r="Q392">
        <f>A392&amp;"|"&amp;B392&amp;"|"&amp;C392&amp;"|"&amp;D392&amp;"|"&amp;E392&amp;"|"&amp;F392&amp;"|"&amp;G392&amp;"|"&amp;H392&amp;"|"&amp;I392&amp;"|"&amp;J392&amp;"|"&amp;K392&amp;"|"&amp;L392&amp;"|"&amp;M392&amp;"|"&amp;N392&amp;"|"&amp;O392</f>
        <v/>
      </c>
      <c r="R392">
        <f>IF(Q392=REPT("|",14),0,1)</f>
        <v/>
      </c>
      <c r="S392">
        <f>IF(R392=0,0,IF(SUMPRODUCT(($Q$11:Q391=Q392)*($R$11:R391=1))&gt;0,1,0))</f>
        <v/>
      </c>
    </row>
    <row r="393">
      <c r="Q393">
        <f>A393&amp;"|"&amp;B393&amp;"|"&amp;C393&amp;"|"&amp;D393&amp;"|"&amp;E393&amp;"|"&amp;F393&amp;"|"&amp;G393&amp;"|"&amp;H393&amp;"|"&amp;I393&amp;"|"&amp;J393&amp;"|"&amp;K393&amp;"|"&amp;L393&amp;"|"&amp;M393&amp;"|"&amp;N393&amp;"|"&amp;O393</f>
        <v/>
      </c>
      <c r="R393">
        <f>IF(Q393=REPT("|",14),0,1)</f>
        <v/>
      </c>
      <c r="S393">
        <f>IF(R393=0,0,IF(SUMPRODUCT(($Q$11:Q392=Q393)*($R$11:R392=1))&gt;0,1,0))</f>
        <v/>
      </c>
    </row>
    <row r="394">
      <c r="Q394">
        <f>A394&amp;"|"&amp;B394&amp;"|"&amp;C394&amp;"|"&amp;D394&amp;"|"&amp;E394&amp;"|"&amp;F394&amp;"|"&amp;G394&amp;"|"&amp;H394&amp;"|"&amp;I394&amp;"|"&amp;J394&amp;"|"&amp;K394&amp;"|"&amp;L394&amp;"|"&amp;M394&amp;"|"&amp;N394&amp;"|"&amp;O394</f>
        <v/>
      </c>
      <c r="R394">
        <f>IF(Q394=REPT("|",14),0,1)</f>
        <v/>
      </c>
      <c r="S394">
        <f>IF(R394=0,0,IF(SUMPRODUCT(($Q$11:Q393=Q394)*($R$11:R393=1))&gt;0,1,0))</f>
        <v/>
      </c>
    </row>
    <row r="395">
      <c r="Q395">
        <f>A395&amp;"|"&amp;B395&amp;"|"&amp;C395&amp;"|"&amp;D395&amp;"|"&amp;E395&amp;"|"&amp;F395&amp;"|"&amp;G395&amp;"|"&amp;H395&amp;"|"&amp;I395&amp;"|"&amp;J395&amp;"|"&amp;K395&amp;"|"&amp;L395&amp;"|"&amp;M395&amp;"|"&amp;N395&amp;"|"&amp;O395</f>
        <v/>
      </c>
      <c r="R395">
        <f>IF(Q395=REPT("|",14),0,1)</f>
        <v/>
      </c>
      <c r="S395">
        <f>IF(R395=0,0,IF(SUMPRODUCT(($Q$11:Q394=Q395)*($R$11:R394=1))&gt;0,1,0))</f>
        <v/>
      </c>
    </row>
    <row r="396">
      <c r="Q396">
        <f>A396&amp;"|"&amp;B396&amp;"|"&amp;C396&amp;"|"&amp;D396&amp;"|"&amp;E396&amp;"|"&amp;F396&amp;"|"&amp;G396&amp;"|"&amp;H396&amp;"|"&amp;I396&amp;"|"&amp;J396&amp;"|"&amp;K396&amp;"|"&amp;L396&amp;"|"&amp;M396&amp;"|"&amp;N396&amp;"|"&amp;O396</f>
        <v/>
      </c>
      <c r="R396">
        <f>IF(Q396=REPT("|",14),0,1)</f>
        <v/>
      </c>
      <c r="S396">
        <f>IF(R396=0,0,IF(SUMPRODUCT(($Q$11:Q395=Q396)*($R$11:R395=1))&gt;0,1,0))</f>
        <v/>
      </c>
    </row>
    <row r="397">
      <c r="Q397">
        <f>A397&amp;"|"&amp;B397&amp;"|"&amp;C397&amp;"|"&amp;D397&amp;"|"&amp;E397&amp;"|"&amp;F397&amp;"|"&amp;G397&amp;"|"&amp;H397&amp;"|"&amp;I397&amp;"|"&amp;J397&amp;"|"&amp;K397&amp;"|"&amp;L397&amp;"|"&amp;M397&amp;"|"&amp;N397&amp;"|"&amp;O397</f>
        <v/>
      </c>
      <c r="R397">
        <f>IF(Q397=REPT("|",14),0,1)</f>
        <v/>
      </c>
      <c r="S397">
        <f>IF(R397=0,0,IF(SUMPRODUCT(($Q$11:Q396=Q397)*($R$11:R396=1))&gt;0,1,0))</f>
        <v/>
      </c>
    </row>
    <row r="398">
      <c r="Q398">
        <f>A398&amp;"|"&amp;B398&amp;"|"&amp;C398&amp;"|"&amp;D398&amp;"|"&amp;E398&amp;"|"&amp;F398&amp;"|"&amp;G398&amp;"|"&amp;H398&amp;"|"&amp;I398&amp;"|"&amp;J398&amp;"|"&amp;K398&amp;"|"&amp;L398&amp;"|"&amp;M398&amp;"|"&amp;N398&amp;"|"&amp;O398</f>
        <v/>
      </c>
      <c r="R398">
        <f>IF(Q398=REPT("|",14),0,1)</f>
        <v/>
      </c>
      <c r="S398">
        <f>IF(R398=0,0,IF(SUMPRODUCT(($Q$11:Q397=Q398)*($R$11:R397=1))&gt;0,1,0))</f>
        <v/>
      </c>
    </row>
    <row r="399">
      <c r="Q399">
        <f>A399&amp;"|"&amp;B399&amp;"|"&amp;C399&amp;"|"&amp;D399&amp;"|"&amp;E399&amp;"|"&amp;F399&amp;"|"&amp;G399&amp;"|"&amp;H399&amp;"|"&amp;I399&amp;"|"&amp;J399&amp;"|"&amp;K399&amp;"|"&amp;L399&amp;"|"&amp;M399&amp;"|"&amp;N399&amp;"|"&amp;O399</f>
        <v/>
      </c>
      <c r="R399">
        <f>IF(Q399=REPT("|",14),0,1)</f>
        <v/>
      </c>
      <c r="S399">
        <f>IF(R399=0,0,IF(SUMPRODUCT(($Q$11:Q398=Q399)*($R$11:R398=1))&gt;0,1,0))</f>
        <v/>
      </c>
    </row>
    <row r="400">
      <c r="Q400">
        <f>A400&amp;"|"&amp;B400&amp;"|"&amp;C400&amp;"|"&amp;D400&amp;"|"&amp;E400&amp;"|"&amp;F400&amp;"|"&amp;G400&amp;"|"&amp;H400&amp;"|"&amp;I400&amp;"|"&amp;J400&amp;"|"&amp;K400&amp;"|"&amp;L400&amp;"|"&amp;M400&amp;"|"&amp;N400&amp;"|"&amp;O400</f>
        <v/>
      </c>
      <c r="R400">
        <f>IF(Q400=REPT("|",14),0,1)</f>
        <v/>
      </c>
      <c r="S400">
        <f>IF(R400=0,0,IF(SUMPRODUCT(($Q$11:Q399=Q400)*($R$11:R399=1))&gt;0,1,0))</f>
        <v/>
      </c>
    </row>
    <row r="401">
      <c r="Q401">
        <f>A401&amp;"|"&amp;B401&amp;"|"&amp;C401&amp;"|"&amp;D401&amp;"|"&amp;E401&amp;"|"&amp;F401&amp;"|"&amp;G401&amp;"|"&amp;H401&amp;"|"&amp;I401&amp;"|"&amp;J401&amp;"|"&amp;K401&amp;"|"&amp;L401&amp;"|"&amp;M401&amp;"|"&amp;N401&amp;"|"&amp;O401</f>
        <v/>
      </c>
      <c r="R401">
        <f>IF(Q401=REPT("|",14),0,1)</f>
        <v/>
      </c>
      <c r="S401">
        <f>IF(R401=0,0,IF(SUMPRODUCT(($Q$11:Q400=Q401)*($R$11:R400=1))&gt;0,1,0))</f>
        <v/>
      </c>
    </row>
    <row r="402">
      <c r="Q402">
        <f>A402&amp;"|"&amp;B402&amp;"|"&amp;C402&amp;"|"&amp;D402&amp;"|"&amp;E402&amp;"|"&amp;F402&amp;"|"&amp;G402&amp;"|"&amp;H402&amp;"|"&amp;I402&amp;"|"&amp;J402&amp;"|"&amp;K402&amp;"|"&amp;L402&amp;"|"&amp;M402&amp;"|"&amp;N402&amp;"|"&amp;O402</f>
        <v/>
      </c>
      <c r="R402">
        <f>IF(Q402=REPT("|",14),0,1)</f>
        <v/>
      </c>
      <c r="S402">
        <f>IF(R402=0,0,IF(SUMPRODUCT(($Q$11:Q401=Q402)*($R$11:R401=1))&gt;0,1,0))</f>
        <v/>
      </c>
    </row>
    <row r="403">
      <c r="Q403">
        <f>A403&amp;"|"&amp;B403&amp;"|"&amp;C403&amp;"|"&amp;D403&amp;"|"&amp;E403&amp;"|"&amp;F403&amp;"|"&amp;G403&amp;"|"&amp;H403&amp;"|"&amp;I403&amp;"|"&amp;J403&amp;"|"&amp;K403&amp;"|"&amp;L403&amp;"|"&amp;M403&amp;"|"&amp;N403&amp;"|"&amp;O403</f>
        <v/>
      </c>
      <c r="R403">
        <f>IF(Q403=REPT("|",14),0,1)</f>
        <v/>
      </c>
      <c r="S403">
        <f>IF(R403=0,0,IF(SUMPRODUCT(($Q$11:Q402=Q403)*($R$11:R402=1))&gt;0,1,0))</f>
        <v/>
      </c>
    </row>
    <row r="404">
      <c r="Q404">
        <f>A404&amp;"|"&amp;B404&amp;"|"&amp;C404&amp;"|"&amp;D404&amp;"|"&amp;E404&amp;"|"&amp;F404&amp;"|"&amp;G404&amp;"|"&amp;H404&amp;"|"&amp;I404&amp;"|"&amp;J404&amp;"|"&amp;K404&amp;"|"&amp;L404&amp;"|"&amp;M404&amp;"|"&amp;N404&amp;"|"&amp;O404</f>
        <v/>
      </c>
      <c r="R404">
        <f>IF(Q404=REPT("|",14),0,1)</f>
        <v/>
      </c>
      <c r="S404">
        <f>IF(R404=0,0,IF(SUMPRODUCT(($Q$11:Q403=Q404)*($R$11:R403=1))&gt;0,1,0))</f>
        <v/>
      </c>
    </row>
    <row r="405">
      <c r="Q405">
        <f>A405&amp;"|"&amp;B405&amp;"|"&amp;C405&amp;"|"&amp;D405&amp;"|"&amp;E405&amp;"|"&amp;F405&amp;"|"&amp;G405&amp;"|"&amp;H405&amp;"|"&amp;I405&amp;"|"&amp;J405&amp;"|"&amp;K405&amp;"|"&amp;L405&amp;"|"&amp;M405&amp;"|"&amp;N405&amp;"|"&amp;O405</f>
        <v/>
      </c>
      <c r="R405">
        <f>IF(Q405=REPT("|",14),0,1)</f>
        <v/>
      </c>
      <c r="S405">
        <f>IF(R405=0,0,IF(SUMPRODUCT(($Q$11:Q404=Q405)*($R$11:R404=1))&gt;0,1,0))</f>
        <v/>
      </c>
    </row>
    <row r="406">
      <c r="Q406">
        <f>A406&amp;"|"&amp;B406&amp;"|"&amp;C406&amp;"|"&amp;D406&amp;"|"&amp;E406&amp;"|"&amp;F406&amp;"|"&amp;G406&amp;"|"&amp;H406&amp;"|"&amp;I406&amp;"|"&amp;J406&amp;"|"&amp;K406&amp;"|"&amp;L406&amp;"|"&amp;M406&amp;"|"&amp;N406&amp;"|"&amp;O406</f>
        <v/>
      </c>
      <c r="R406">
        <f>IF(Q406=REPT("|",14),0,1)</f>
        <v/>
      </c>
      <c r="S406">
        <f>IF(R406=0,0,IF(SUMPRODUCT(($Q$11:Q405=Q406)*($R$11:R405=1))&gt;0,1,0))</f>
        <v/>
      </c>
    </row>
    <row r="407">
      <c r="Q407">
        <f>A407&amp;"|"&amp;B407&amp;"|"&amp;C407&amp;"|"&amp;D407&amp;"|"&amp;E407&amp;"|"&amp;F407&amp;"|"&amp;G407&amp;"|"&amp;H407&amp;"|"&amp;I407&amp;"|"&amp;J407&amp;"|"&amp;K407&amp;"|"&amp;L407&amp;"|"&amp;M407&amp;"|"&amp;N407&amp;"|"&amp;O407</f>
        <v/>
      </c>
      <c r="R407">
        <f>IF(Q407=REPT("|",14),0,1)</f>
        <v/>
      </c>
      <c r="S407">
        <f>IF(R407=0,0,IF(SUMPRODUCT(($Q$11:Q406=Q407)*($R$11:R406=1))&gt;0,1,0))</f>
        <v/>
      </c>
    </row>
    <row r="408">
      <c r="Q408">
        <f>A408&amp;"|"&amp;B408&amp;"|"&amp;C408&amp;"|"&amp;D408&amp;"|"&amp;E408&amp;"|"&amp;F408&amp;"|"&amp;G408&amp;"|"&amp;H408&amp;"|"&amp;I408&amp;"|"&amp;J408&amp;"|"&amp;K408&amp;"|"&amp;L408&amp;"|"&amp;M408&amp;"|"&amp;N408&amp;"|"&amp;O408</f>
        <v/>
      </c>
      <c r="R408">
        <f>IF(Q408=REPT("|",14),0,1)</f>
        <v/>
      </c>
      <c r="S408">
        <f>IF(R408=0,0,IF(SUMPRODUCT(($Q$11:Q407=Q408)*($R$11:R407=1))&gt;0,1,0))</f>
        <v/>
      </c>
    </row>
    <row r="409">
      <c r="Q409">
        <f>A409&amp;"|"&amp;B409&amp;"|"&amp;C409&amp;"|"&amp;D409&amp;"|"&amp;E409&amp;"|"&amp;F409&amp;"|"&amp;G409&amp;"|"&amp;H409&amp;"|"&amp;I409&amp;"|"&amp;J409&amp;"|"&amp;K409&amp;"|"&amp;L409&amp;"|"&amp;M409&amp;"|"&amp;N409&amp;"|"&amp;O409</f>
        <v/>
      </c>
      <c r="R409">
        <f>IF(Q409=REPT("|",14),0,1)</f>
        <v/>
      </c>
      <c r="S409">
        <f>IF(R409=0,0,IF(SUMPRODUCT(($Q$11:Q408=Q409)*($R$11:R408=1))&gt;0,1,0))</f>
        <v/>
      </c>
    </row>
    <row r="410">
      <c r="Q410">
        <f>A410&amp;"|"&amp;B410&amp;"|"&amp;C410&amp;"|"&amp;D410&amp;"|"&amp;E410&amp;"|"&amp;F410&amp;"|"&amp;G410&amp;"|"&amp;H410&amp;"|"&amp;I410&amp;"|"&amp;J410&amp;"|"&amp;K410&amp;"|"&amp;L410&amp;"|"&amp;M410&amp;"|"&amp;N410&amp;"|"&amp;O410</f>
        <v/>
      </c>
      <c r="R410">
        <f>IF(Q410=REPT("|",14),0,1)</f>
        <v/>
      </c>
      <c r="S410">
        <f>IF(R410=0,0,IF(SUMPRODUCT(($Q$11:Q409=Q410)*($R$11:R409=1))&gt;0,1,0))</f>
        <v/>
      </c>
    </row>
    <row r="411">
      <c r="Q411">
        <f>A411&amp;"|"&amp;B411&amp;"|"&amp;C411&amp;"|"&amp;D411&amp;"|"&amp;E411&amp;"|"&amp;F411&amp;"|"&amp;G411&amp;"|"&amp;H411&amp;"|"&amp;I411&amp;"|"&amp;J411&amp;"|"&amp;K411&amp;"|"&amp;L411&amp;"|"&amp;M411&amp;"|"&amp;N411&amp;"|"&amp;O411</f>
        <v/>
      </c>
      <c r="R411">
        <f>IF(Q411=REPT("|",14),0,1)</f>
        <v/>
      </c>
      <c r="S411">
        <f>IF(R411=0,0,IF(SUMPRODUCT(($Q$11:Q410=Q411)*($R$11:R410=1))&gt;0,1,0))</f>
        <v/>
      </c>
    </row>
    <row r="412">
      <c r="Q412">
        <f>A412&amp;"|"&amp;B412&amp;"|"&amp;C412&amp;"|"&amp;D412&amp;"|"&amp;E412&amp;"|"&amp;F412&amp;"|"&amp;G412&amp;"|"&amp;H412&amp;"|"&amp;I412&amp;"|"&amp;J412&amp;"|"&amp;K412&amp;"|"&amp;L412&amp;"|"&amp;M412&amp;"|"&amp;N412&amp;"|"&amp;O412</f>
        <v/>
      </c>
      <c r="R412">
        <f>IF(Q412=REPT("|",14),0,1)</f>
        <v/>
      </c>
      <c r="S412">
        <f>IF(R412=0,0,IF(SUMPRODUCT(($Q$11:Q411=Q412)*($R$11:R411=1))&gt;0,1,0))</f>
        <v/>
      </c>
    </row>
    <row r="413">
      <c r="Q413">
        <f>A413&amp;"|"&amp;B413&amp;"|"&amp;C413&amp;"|"&amp;D413&amp;"|"&amp;E413&amp;"|"&amp;F413&amp;"|"&amp;G413&amp;"|"&amp;H413&amp;"|"&amp;I413&amp;"|"&amp;J413&amp;"|"&amp;K413&amp;"|"&amp;L413&amp;"|"&amp;M413&amp;"|"&amp;N413&amp;"|"&amp;O413</f>
        <v/>
      </c>
      <c r="R413">
        <f>IF(Q413=REPT("|",14),0,1)</f>
        <v/>
      </c>
      <c r="S413">
        <f>IF(R413=0,0,IF(SUMPRODUCT(($Q$11:Q412=Q413)*($R$11:R412=1))&gt;0,1,0))</f>
        <v/>
      </c>
    </row>
    <row r="414">
      <c r="Q414">
        <f>A414&amp;"|"&amp;B414&amp;"|"&amp;C414&amp;"|"&amp;D414&amp;"|"&amp;E414&amp;"|"&amp;F414&amp;"|"&amp;G414&amp;"|"&amp;H414&amp;"|"&amp;I414&amp;"|"&amp;J414&amp;"|"&amp;K414&amp;"|"&amp;L414&amp;"|"&amp;M414&amp;"|"&amp;N414&amp;"|"&amp;O414</f>
        <v/>
      </c>
      <c r="R414">
        <f>IF(Q414=REPT("|",14),0,1)</f>
        <v/>
      </c>
      <c r="S414">
        <f>IF(R414=0,0,IF(SUMPRODUCT(($Q$11:Q413=Q414)*($R$11:R413=1))&gt;0,1,0))</f>
        <v/>
      </c>
    </row>
    <row r="415">
      <c r="Q415">
        <f>A415&amp;"|"&amp;B415&amp;"|"&amp;C415&amp;"|"&amp;D415&amp;"|"&amp;E415&amp;"|"&amp;F415&amp;"|"&amp;G415&amp;"|"&amp;H415&amp;"|"&amp;I415&amp;"|"&amp;J415&amp;"|"&amp;K415&amp;"|"&amp;L415&amp;"|"&amp;M415&amp;"|"&amp;N415&amp;"|"&amp;O415</f>
        <v/>
      </c>
      <c r="R415">
        <f>IF(Q415=REPT("|",14),0,1)</f>
        <v/>
      </c>
      <c r="S415">
        <f>IF(R415=0,0,IF(SUMPRODUCT(($Q$11:Q414=Q415)*($R$11:R414=1))&gt;0,1,0))</f>
        <v/>
      </c>
    </row>
    <row r="416">
      <c r="Q416">
        <f>A416&amp;"|"&amp;B416&amp;"|"&amp;C416&amp;"|"&amp;D416&amp;"|"&amp;E416&amp;"|"&amp;F416&amp;"|"&amp;G416&amp;"|"&amp;H416&amp;"|"&amp;I416&amp;"|"&amp;J416&amp;"|"&amp;K416&amp;"|"&amp;L416&amp;"|"&amp;M416&amp;"|"&amp;N416&amp;"|"&amp;O416</f>
        <v/>
      </c>
      <c r="R416">
        <f>IF(Q416=REPT("|",14),0,1)</f>
        <v/>
      </c>
      <c r="S416">
        <f>IF(R416=0,0,IF(SUMPRODUCT(($Q$11:Q415=Q416)*($R$11:R415=1))&gt;0,1,0))</f>
        <v/>
      </c>
    </row>
    <row r="417">
      <c r="Q417">
        <f>A417&amp;"|"&amp;B417&amp;"|"&amp;C417&amp;"|"&amp;D417&amp;"|"&amp;E417&amp;"|"&amp;F417&amp;"|"&amp;G417&amp;"|"&amp;H417&amp;"|"&amp;I417&amp;"|"&amp;J417&amp;"|"&amp;K417&amp;"|"&amp;L417&amp;"|"&amp;M417&amp;"|"&amp;N417&amp;"|"&amp;O417</f>
        <v/>
      </c>
      <c r="R417">
        <f>IF(Q417=REPT("|",14),0,1)</f>
        <v/>
      </c>
      <c r="S417">
        <f>IF(R417=0,0,IF(SUMPRODUCT(($Q$11:Q416=Q417)*($R$11:R416=1))&gt;0,1,0))</f>
        <v/>
      </c>
    </row>
    <row r="418">
      <c r="Q418">
        <f>A418&amp;"|"&amp;B418&amp;"|"&amp;C418&amp;"|"&amp;D418&amp;"|"&amp;E418&amp;"|"&amp;F418&amp;"|"&amp;G418&amp;"|"&amp;H418&amp;"|"&amp;I418&amp;"|"&amp;J418&amp;"|"&amp;K418&amp;"|"&amp;L418&amp;"|"&amp;M418&amp;"|"&amp;N418&amp;"|"&amp;O418</f>
        <v/>
      </c>
      <c r="R418">
        <f>IF(Q418=REPT("|",14),0,1)</f>
        <v/>
      </c>
      <c r="S418">
        <f>IF(R418=0,0,IF(SUMPRODUCT(($Q$11:Q417=Q418)*($R$11:R417=1))&gt;0,1,0))</f>
        <v/>
      </c>
    </row>
    <row r="419">
      <c r="Q419">
        <f>A419&amp;"|"&amp;B419&amp;"|"&amp;C419&amp;"|"&amp;D419&amp;"|"&amp;E419&amp;"|"&amp;F419&amp;"|"&amp;G419&amp;"|"&amp;H419&amp;"|"&amp;I419&amp;"|"&amp;J419&amp;"|"&amp;K419&amp;"|"&amp;L419&amp;"|"&amp;M419&amp;"|"&amp;N419&amp;"|"&amp;O419</f>
        <v/>
      </c>
      <c r="R419">
        <f>IF(Q419=REPT("|",14),0,1)</f>
        <v/>
      </c>
      <c r="S419">
        <f>IF(R419=0,0,IF(SUMPRODUCT(($Q$11:Q418=Q419)*($R$11:R418=1))&gt;0,1,0))</f>
        <v/>
      </c>
    </row>
    <row r="420">
      <c r="Q420">
        <f>A420&amp;"|"&amp;B420&amp;"|"&amp;C420&amp;"|"&amp;D420&amp;"|"&amp;E420&amp;"|"&amp;F420&amp;"|"&amp;G420&amp;"|"&amp;H420&amp;"|"&amp;I420&amp;"|"&amp;J420&amp;"|"&amp;K420&amp;"|"&amp;L420&amp;"|"&amp;M420&amp;"|"&amp;N420&amp;"|"&amp;O420</f>
        <v/>
      </c>
      <c r="R420">
        <f>IF(Q420=REPT("|",14),0,1)</f>
        <v/>
      </c>
      <c r="S420">
        <f>IF(R420=0,0,IF(SUMPRODUCT(($Q$11:Q419=Q420)*($R$11:R419=1))&gt;0,1,0))</f>
        <v/>
      </c>
    </row>
    <row r="421">
      <c r="Q421">
        <f>A421&amp;"|"&amp;B421&amp;"|"&amp;C421&amp;"|"&amp;D421&amp;"|"&amp;E421&amp;"|"&amp;F421&amp;"|"&amp;G421&amp;"|"&amp;H421&amp;"|"&amp;I421&amp;"|"&amp;J421&amp;"|"&amp;K421&amp;"|"&amp;L421&amp;"|"&amp;M421&amp;"|"&amp;N421&amp;"|"&amp;O421</f>
        <v/>
      </c>
      <c r="R421">
        <f>IF(Q421=REPT("|",14),0,1)</f>
        <v/>
      </c>
      <c r="S421">
        <f>IF(R421=0,0,IF(SUMPRODUCT(($Q$11:Q420=Q421)*($R$11:R420=1))&gt;0,1,0))</f>
        <v/>
      </c>
    </row>
    <row r="422">
      <c r="Q422">
        <f>A422&amp;"|"&amp;B422&amp;"|"&amp;C422&amp;"|"&amp;D422&amp;"|"&amp;E422&amp;"|"&amp;F422&amp;"|"&amp;G422&amp;"|"&amp;H422&amp;"|"&amp;I422&amp;"|"&amp;J422&amp;"|"&amp;K422&amp;"|"&amp;L422&amp;"|"&amp;M422&amp;"|"&amp;N422&amp;"|"&amp;O422</f>
        <v/>
      </c>
      <c r="R422">
        <f>IF(Q422=REPT("|",14),0,1)</f>
        <v/>
      </c>
      <c r="S422">
        <f>IF(R422=0,0,IF(SUMPRODUCT(($Q$11:Q421=Q422)*($R$11:R421=1))&gt;0,1,0))</f>
        <v/>
      </c>
    </row>
    <row r="423">
      <c r="Q423">
        <f>A423&amp;"|"&amp;B423&amp;"|"&amp;C423&amp;"|"&amp;D423&amp;"|"&amp;E423&amp;"|"&amp;F423&amp;"|"&amp;G423&amp;"|"&amp;H423&amp;"|"&amp;I423&amp;"|"&amp;J423&amp;"|"&amp;K423&amp;"|"&amp;L423&amp;"|"&amp;M423&amp;"|"&amp;N423&amp;"|"&amp;O423</f>
        <v/>
      </c>
      <c r="R423">
        <f>IF(Q423=REPT("|",14),0,1)</f>
        <v/>
      </c>
      <c r="S423">
        <f>IF(R423=0,0,IF(SUMPRODUCT(($Q$11:Q422=Q423)*($R$11:R422=1))&gt;0,1,0))</f>
        <v/>
      </c>
    </row>
    <row r="424">
      <c r="Q424">
        <f>A424&amp;"|"&amp;B424&amp;"|"&amp;C424&amp;"|"&amp;D424&amp;"|"&amp;E424&amp;"|"&amp;F424&amp;"|"&amp;G424&amp;"|"&amp;H424&amp;"|"&amp;I424&amp;"|"&amp;J424&amp;"|"&amp;K424&amp;"|"&amp;L424&amp;"|"&amp;M424&amp;"|"&amp;N424&amp;"|"&amp;O424</f>
        <v/>
      </c>
      <c r="R424">
        <f>IF(Q424=REPT("|",14),0,1)</f>
        <v/>
      </c>
      <c r="S424">
        <f>IF(R424=0,0,IF(SUMPRODUCT(($Q$11:Q423=Q424)*($R$11:R423=1))&gt;0,1,0))</f>
        <v/>
      </c>
    </row>
    <row r="425">
      <c r="Q425">
        <f>A425&amp;"|"&amp;B425&amp;"|"&amp;C425&amp;"|"&amp;D425&amp;"|"&amp;E425&amp;"|"&amp;F425&amp;"|"&amp;G425&amp;"|"&amp;H425&amp;"|"&amp;I425&amp;"|"&amp;J425&amp;"|"&amp;K425&amp;"|"&amp;L425&amp;"|"&amp;M425&amp;"|"&amp;N425&amp;"|"&amp;O425</f>
        <v/>
      </c>
      <c r="R425">
        <f>IF(Q425=REPT("|",14),0,1)</f>
        <v/>
      </c>
      <c r="S425">
        <f>IF(R425=0,0,IF(SUMPRODUCT(($Q$11:Q424=Q425)*($R$11:R424=1))&gt;0,1,0))</f>
        <v/>
      </c>
    </row>
    <row r="426">
      <c r="Q426">
        <f>A426&amp;"|"&amp;B426&amp;"|"&amp;C426&amp;"|"&amp;D426&amp;"|"&amp;E426&amp;"|"&amp;F426&amp;"|"&amp;G426&amp;"|"&amp;H426&amp;"|"&amp;I426&amp;"|"&amp;J426&amp;"|"&amp;K426&amp;"|"&amp;L426&amp;"|"&amp;M426&amp;"|"&amp;N426&amp;"|"&amp;O426</f>
        <v/>
      </c>
      <c r="R426">
        <f>IF(Q426=REPT("|",14),0,1)</f>
        <v/>
      </c>
      <c r="S426">
        <f>IF(R426=0,0,IF(SUMPRODUCT(($Q$11:Q425=Q426)*($R$11:R425=1))&gt;0,1,0))</f>
        <v/>
      </c>
    </row>
    <row r="427">
      <c r="Q427">
        <f>A427&amp;"|"&amp;B427&amp;"|"&amp;C427&amp;"|"&amp;D427&amp;"|"&amp;E427&amp;"|"&amp;F427&amp;"|"&amp;G427&amp;"|"&amp;H427&amp;"|"&amp;I427&amp;"|"&amp;J427&amp;"|"&amp;K427&amp;"|"&amp;L427&amp;"|"&amp;M427&amp;"|"&amp;N427&amp;"|"&amp;O427</f>
        <v/>
      </c>
      <c r="R427">
        <f>IF(Q427=REPT("|",14),0,1)</f>
        <v/>
      </c>
      <c r="S427">
        <f>IF(R427=0,0,IF(SUMPRODUCT(($Q$11:Q426=Q427)*($R$11:R426=1))&gt;0,1,0))</f>
        <v/>
      </c>
    </row>
    <row r="428">
      <c r="Q428">
        <f>A428&amp;"|"&amp;B428&amp;"|"&amp;C428&amp;"|"&amp;D428&amp;"|"&amp;E428&amp;"|"&amp;F428&amp;"|"&amp;G428&amp;"|"&amp;H428&amp;"|"&amp;I428&amp;"|"&amp;J428&amp;"|"&amp;K428&amp;"|"&amp;L428&amp;"|"&amp;M428&amp;"|"&amp;N428&amp;"|"&amp;O428</f>
        <v/>
      </c>
      <c r="R428">
        <f>IF(Q428=REPT("|",14),0,1)</f>
        <v/>
      </c>
      <c r="S428">
        <f>IF(R428=0,0,IF(SUMPRODUCT(($Q$11:Q427=Q428)*($R$11:R427=1))&gt;0,1,0))</f>
        <v/>
      </c>
    </row>
    <row r="429">
      <c r="Q429">
        <f>A429&amp;"|"&amp;B429&amp;"|"&amp;C429&amp;"|"&amp;D429&amp;"|"&amp;E429&amp;"|"&amp;F429&amp;"|"&amp;G429&amp;"|"&amp;H429&amp;"|"&amp;I429&amp;"|"&amp;J429&amp;"|"&amp;K429&amp;"|"&amp;L429&amp;"|"&amp;M429&amp;"|"&amp;N429&amp;"|"&amp;O429</f>
        <v/>
      </c>
      <c r="R429">
        <f>IF(Q429=REPT("|",14),0,1)</f>
        <v/>
      </c>
      <c r="S429">
        <f>IF(R429=0,0,IF(SUMPRODUCT(($Q$11:Q428=Q429)*($R$11:R428=1))&gt;0,1,0))</f>
        <v/>
      </c>
    </row>
    <row r="430">
      <c r="Q430">
        <f>A430&amp;"|"&amp;B430&amp;"|"&amp;C430&amp;"|"&amp;D430&amp;"|"&amp;E430&amp;"|"&amp;F430&amp;"|"&amp;G430&amp;"|"&amp;H430&amp;"|"&amp;I430&amp;"|"&amp;J430&amp;"|"&amp;K430&amp;"|"&amp;L430&amp;"|"&amp;M430&amp;"|"&amp;N430&amp;"|"&amp;O430</f>
        <v/>
      </c>
      <c r="R430">
        <f>IF(Q430=REPT("|",14),0,1)</f>
        <v/>
      </c>
      <c r="S430">
        <f>IF(R430=0,0,IF(SUMPRODUCT(($Q$11:Q429=Q430)*($R$11:R429=1))&gt;0,1,0))</f>
        <v/>
      </c>
    </row>
    <row r="431">
      <c r="Q431">
        <f>A431&amp;"|"&amp;B431&amp;"|"&amp;C431&amp;"|"&amp;D431&amp;"|"&amp;E431&amp;"|"&amp;F431&amp;"|"&amp;G431&amp;"|"&amp;H431&amp;"|"&amp;I431&amp;"|"&amp;J431&amp;"|"&amp;K431&amp;"|"&amp;L431&amp;"|"&amp;M431&amp;"|"&amp;N431&amp;"|"&amp;O431</f>
        <v/>
      </c>
      <c r="R431">
        <f>IF(Q431=REPT("|",14),0,1)</f>
        <v/>
      </c>
      <c r="S431">
        <f>IF(R431=0,0,IF(SUMPRODUCT(($Q$11:Q430=Q431)*($R$11:R430=1))&gt;0,1,0))</f>
        <v/>
      </c>
    </row>
    <row r="432">
      <c r="Q432">
        <f>A432&amp;"|"&amp;B432&amp;"|"&amp;C432&amp;"|"&amp;D432&amp;"|"&amp;E432&amp;"|"&amp;F432&amp;"|"&amp;G432&amp;"|"&amp;H432&amp;"|"&amp;I432&amp;"|"&amp;J432&amp;"|"&amp;K432&amp;"|"&amp;L432&amp;"|"&amp;M432&amp;"|"&amp;N432&amp;"|"&amp;O432</f>
        <v/>
      </c>
      <c r="R432">
        <f>IF(Q432=REPT("|",14),0,1)</f>
        <v/>
      </c>
      <c r="S432">
        <f>IF(R432=0,0,IF(SUMPRODUCT(($Q$11:Q431=Q432)*($R$11:R431=1))&gt;0,1,0))</f>
        <v/>
      </c>
    </row>
    <row r="433">
      <c r="Q433">
        <f>A433&amp;"|"&amp;B433&amp;"|"&amp;C433&amp;"|"&amp;D433&amp;"|"&amp;E433&amp;"|"&amp;F433&amp;"|"&amp;G433&amp;"|"&amp;H433&amp;"|"&amp;I433&amp;"|"&amp;J433&amp;"|"&amp;K433&amp;"|"&amp;L433&amp;"|"&amp;M433&amp;"|"&amp;N433&amp;"|"&amp;O433</f>
        <v/>
      </c>
      <c r="R433">
        <f>IF(Q433=REPT("|",14),0,1)</f>
        <v/>
      </c>
      <c r="S433">
        <f>IF(R433=0,0,IF(SUMPRODUCT(($Q$11:Q432=Q433)*($R$11:R432=1))&gt;0,1,0))</f>
        <v/>
      </c>
    </row>
    <row r="434">
      <c r="Q434">
        <f>A434&amp;"|"&amp;B434&amp;"|"&amp;C434&amp;"|"&amp;D434&amp;"|"&amp;E434&amp;"|"&amp;F434&amp;"|"&amp;G434&amp;"|"&amp;H434&amp;"|"&amp;I434&amp;"|"&amp;J434&amp;"|"&amp;K434&amp;"|"&amp;L434&amp;"|"&amp;M434&amp;"|"&amp;N434&amp;"|"&amp;O434</f>
        <v/>
      </c>
      <c r="R434">
        <f>IF(Q434=REPT("|",14),0,1)</f>
        <v/>
      </c>
      <c r="S434">
        <f>IF(R434=0,0,IF(SUMPRODUCT(($Q$11:Q433=Q434)*($R$11:R433=1))&gt;0,1,0))</f>
        <v/>
      </c>
    </row>
    <row r="435">
      <c r="Q435">
        <f>A435&amp;"|"&amp;B435&amp;"|"&amp;C435&amp;"|"&amp;D435&amp;"|"&amp;E435&amp;"|"&amp;F435&amp;"|"&amp;G435&amp;"|"&amp;H435&amp;"|"&amp;I435&amp;"|"&amp;J435&amp;"|"&amp;K435&amp;"|"&amp;L435&amp;"|"&amp;M435&amp;"|"&amp;N435&amp;"|"&amp;O435</f>
        <v/>
      </c>
      <c r="R435">
        <f>IF(Q435=REPT("|",14),0,1)</f>
        <v/>
      </c>
      <c r="S435">
        <f>IF(R435=0,0,IF(SUMPRODUCT(($Q$11:Q434=Q435)*($R$11:R434=1))&gt;0,1,0))</f>
        <v/>
      </c>
    </row>
    <row r="436">
      <c r="Q436">
        <f>A436&amp;"|"&amp;B436&amp;"|"&amp;C436&amp;"|"&amp;D436&amp;"|"&amp;E436&amp;"|"&amp;F436&amp;"|"&amp;G436&amp;"|"&amp;H436&amp;"|"&amp;I436&amp;"|"&amp;J436&amp;"|"&amp;K436&amp;"|"&amp;L436&amp;"|"&amp;M436&amp;"|"&amp;N436&amp;"|"&amp;O436</f>
        <v/>
      </c>
      <c r="R436">
        <f>IF(Q436=REPT("|",14),0,1)</f>
        <v/>
      </c>
      <c r="S436">
        <f>IF(R436=0,0,IF(SUMPRODUCT(($Q$11:Q435=Q436)*($R$11:R435=1))&gt;0,1,0))</f>
        <v/>
      </c>
    </row>
    <row r="437">
      <c r="Q437">
        <f>A437&amp;"|"&amp;B437&amp;"|"&amp;C437&amp;"|"&amp;D437&amp;"|"&amp;E437&amp;"|"&amp;F437&amp;"|"&amp;G437&amp;"|"&amp;H437&amp;"|"&amp;I437&amp;"|"&amp;J437&amp;"|"&amp;K437&amp;"|"&amp;L437&amp;"|"&amp;M437&amp;"|"&amp;N437&amp;"|"&amp;O437</f>
        <v/>
      </c>
      <c r="R437">
        <f>IF(Q437=REPT("|",14),0,1)</f>
        <v/>
      </c>
      <c r="S437">
        <f>IF(R437=0,0,IF(SUMPRODUCT(($Q$11:Q436=Q437)*($R$11:R436=1))&gt;0,1,0))</f>
        <v/>
      </c>
    </row>
    <row r="438">
      <c r="Q438">
        <f>A438&amp;"|"&amp;B438&amp;"|"&amp;C438&amp;"|"&amp;D438&amp;"|"&amp;E438&amp;"|"&amp;F438&amp;"|"&amp;G438&amp;"|"&amp;H438&amp;"|"&amp;I438&amp;"|"&amp;J438&amp;"|"&amp;K438&amp;"|"&amp;L438&amp;"|"&amp;M438&amp;"|"&amp;N438&amp;"|"&amp;O438</f>
        <v/>
      </c>
      <c r="R438">
        <f>IF(Q438=REPT("|",14),0,1)</f>
        <v/>
      </c>
      <c r="S438">
        <f>IF(R438=0,0,IF(SUMPRODUCT(($Q$11:Q437=Q438)*($R$11:R437=1))&gt;0,1,0))</f>
        <v/>
      </c>
    </row>
    <row r="439">
      <c r="Q439">
        <f>A439&amp;"|"&amp;B439&amp;"|"&amp;C439&amp;"|"&amp;D439&amp;"|"&amp;E439&amp;"|"&amp;F439&amp;"|"&amp;G439&amp;"|"&amp;H439&amp;"|"&amp;I439&amp;"|"&amp;J439&amp;"|"&amp;K439&amp;"|"&amp;L439&amp;"|"&amp;M439&amp;"|"&amp;N439&amp;"|"&amp;O439</f>
        <v/>
      </c>
      <c r="R439">
        <f>IF(Q439=REPT("|",14),0,1)</f>
        <v/>
      </c>
      <c r="S439">
        <f>IF(R439=0,0,IF(SUMPRODUCT(($Q$11:Q438=Q439)*($R$11:R438=1))&gt;0,1,0))</f>
        <v/>
      </c>
    </row>
    <row r="440">
      <c r="Q440">
        <f>A440&amp;"|"&amp;B440&amp;"|"&amp;C440&amp;"|"&amp;D440&amp;"|"&amp;E440&amp;"|"&amp;F440&amp;"|"&amp;G440&amp;"|"&amp;H440&amp;"|"&amp;I440&amp;"|"&amp;J440&amp;"|"&amp;K440&amp;"|"&amp;L440&amp;"|"&amp;M440&amp;"|"&amp;N440&amp;"|"&amp;O440</f>
        <v/>
      </c>
      <c r="R440">
        <f>IF(Q440=REPT("|",14),0,1)</f>
        <v/>
      </c>
      <c r="S440">
        <f>IF(R440=0,0,IF(SUMPRODUCT(($Q$11:Q439=Q440)*($R$11:R439=1))&gt;0,1,0))</f>
        <v/>
      </c>
    </row>
    <row r="441">
      <c r="Q441">
        <f>A441&amp;"|"&amp;B441&amp;"|"&amp;C441&amp;"|"&amp;D441&amp;"|"&amp;E441&amp;"|"&amp;F441&amp;"|"&amp;G441&amp;"|"&amp;H441&amp;"|"&amp;I441&amp;"|"&amp;J441&amp;"|"&amp;K441&amp;"|"&amp;L441&amp;"|"&amp;M441&amp;"|"&amp;N441&amp;"|"&amp;O441</f>
        <v/>
      </c>
      <c r="R441">
        <f>IF(Q441=REPT("|",14),0,1)</f>
        <v/>
      </c>
      <c r="S441">
        <f>IF(R441=0,0,IF(SUMPRODUCT(($Q$11:Q440=Q441)*($R$11:R440=1))&gt;0,1,0))</f>
        <v/>
      </c>
    </row>
    <row r="442">
      <c r="Q442">
        <f>A442&amp;"|"&amp;B442&amp;"|"&amp;C442&amp;"|"&amp;D442&amp;"|"&amp;E442&amp;"|"&amp;F442&amp;"|"&amp;G442&amp;"|"&amp;H442&amp;"|"&amp;I442&amp;"|"&amp;J442&amp;"|"&amp;K442&amp;"|"&amp;L442&amp;"|"&amp;M442&amp;"|"&amp;N442&amp;"|"&amp;O442</f>
        <v/>
      </c>
      <c r="R442">
        <f>IF(Q442=REPT("|",14),0,1)</f>
        <v/>
      </c>
      <c r="S442">
        <f>IF(R442=0,0,IF(SUMPRODUCT(($Q$11:Q441=Q442)*($R$11:R441=1))&gt;0,1,0))</f>
        <v/>
      </c>
    </row>
    <row r="443">
      <c r="Q443">
        <f>A443&amp;"|"&amp;B443&amp;"|"&amp;C443&amp;"|"&amp;D443&amp;"|"&amp;E443&amp;"|"&amp;F443&amp;"|"&amp;G443&amp;"|"&amp;H443&amp;"|"&amp;I443&amp;"|"&amp;J443&amp;"|"&amp;K443&amp;"|"&amp;L443&amp;"|"&amp;M443&amp;"|"&amp;N443&amp;"|"&amp;O443</f>
        <v/>
      </c>
      <c r="R443">
        <f>IF(Q443=REPT("|",14),0,1)</f>
        <v/>
      </c>
      <c r="S443">
        <f>IF(R443=0,0,IF(SUMPRODUCT(($Q$11:Q442=Q443)*($R$11:R442=1))&gt;0,1,0))</f>
        <v/>
      </c>
    </row>
    <row r="444">
      <c r="Q444">
        <f>A444&amp;"|"&amp;B444&amp;"|"&amp;C444&amp;"|"&amp;D444&amp;"|"&amp;E444&amp;"|"&amp;F444&amp;"|"&amp;G444&amp;"|"&amp;H444&amp;"|"&amp;I444&amp;"|"&amp;J444&amp;"|"&amp;K444&amp;"|"&amp;L444&amp;"|"&amp;M444&amp;"|"&amp;N444&amp;"|"&amp;O444</f>
        <v/>
      </c>
      <c r="R444">
        <f>IF(Q444=REPT("|",14),0,1)</f>
        <v/>
      </c>
      <c r="S444">
        <f>IF(R444=0,0,IF(SUMPRODUCT(($Q$11:Q443=Q444)*($R$11:R443=1))&gt;0,1,0))</f>
        <v/>
      </c>
    </row>
    <row r="445">
      <c r="Q445">
        <f>A445&amp;"|"&amp;B445&amp;"|"&amp;C445&amp;"|"&amp;D445&amp;"|"&amp;E445&amp;"|"&amp;F445&amp;"|"&amp;G445&amp;"|"&amp;H445&amp;"|"&amp;I445&amp;"|"&amp;J445&amp;"|"&amp;K445&amp;"|"&amp;L445&amp;"|"&amp;M445&amp;"|"&amp;N445&amp;"|"&amp;O445</f>
        <v/>
      </c>
      <c r="R445">
        <f>IF(Q445=REPT("|",14),0,1)</f>
        <v/>
      </c>
      <c r="S445">
        <f>IF(R445=0,0,IF(SUMPRODUCT(($Q$11:Q444=Q445)*($R$11:R444=1))&gt;0,1,0))</f>
        <v/>
      </c>
    </row>
    <row r="446">
      <c r="Q446">
        <f>A446&amp;"|"&amp;B446&amp;"|"&amp;C446&amp;"|"&amp;D446&amp;"|"&amp;E446&amp;"|"&amp;F446&amp;"|"&amp;G446&amp;"|"&amp;H446&amp;"|"&amp;I446&amp;"|"&amp;J446&amp;"|"&amp;K446&amp;"|"&amp;L446&amp;"|"&amp;M446&amp;"|"&amp;N446&amp;"|"&amp;O446</f>
        <v/>
      </c>
      <c r="R446">
        <f>IF(Q446=REPT("|",14),0,1)</f>
        <v/>
      </c>
      <c r="S446">
        <f>IF(R446=0,0,IF(SUMPRODUCT(($Q$11:Q445=Q446)*($R$11:R445=1))&gt;0,1,0))</f>
        <v/>
      </c>
    </row>
    <row r="447">
      <c r="Q447">
        <f>A447&amp;"|"&amp;B447&amp;"|"&amp;C447&amp;"|"&amp;D447&amp;"|"&amp;E447&amp;"|"&amp;F447&amp;"|"&amp;G447&amp;"|"&amp;H447&amp;"|"&amp;I447&amp;"|"&amp;J447&amp;"|"&amp;K447&amp;"|"&amp;L447&amp;"|"&amp;M447&amp;"|"&amp;N447&amp;"|"&amp;O447</f>
        <v/>
      </c>
      <c r="R447">
        <f>IF(Q447=REPT("|",14),0,1)</f>
        <v/>
      </c>
      <c r="S447">
        <f>IF(R447=0,0,IF(SUMPRODUCT(($Q$11:Q446=Q447)*($R$11:R446=1))&gt;0,1,0))</f>
        <v/>
      </c>
    </row>
    <row r="448">
      <c r="Q448">
        <f>A448&amp;"|"&amp;B448&amp;"|"&amp;C448&amp;"|"&amp;D448&amp;"|"&amp;E448&amp;"|"&amp;F448&amp;"|"&amp;G448&amp;"|"&amp;H448&amp;"|"&amp;I448&amp;"|"&amp;J448&amp;"|"&amp;K448&amp;"|"&amp;L448&amp;"|"&amp;M448&amp;"|"&amp;N448&amp;"|"&amp;O448</f>
        <v/>
      </c>
      <c r="R448">
        <f>IF(Q448=REPT("|",14),0,1)</f>
        <v/>
      </c>
      <c r="S448">
        <f>IF(R448=0,0,IF(SUMPRODUCT(($Q$11:Q447=Q448)*($R$11:R447=1))&gt;0,1,0))</f>
        <v/>
      </c>
    </row>
    <row r="449">
      <c r="Q449">
        <f>A449&amp;"|"&amp;B449&amp;"|"&amp;C449&amp;"|"&amp;D449&amp;"|"&amp;E449&amp;"|"&amp;F449&amp;"|"&amp;G449&amp;"|"&amp;H449&amp;"|"&amp;I449&amp;"|"&amp;J449&amp;"|"&amp;K449&amp;"|"&amp;L449&amp;"|"&amp;M449&amp;"|"&amp;N449&amp;"|"&amp;O449</f>
        <v/>
      </c>
      <c r="R449">
        <f>IF(Q449=REPT("|",14),0,1)</f>
        <v/>
      </c>
      <c r="S449">
        <f>IF(R449=0,0,IF(SUMPRODUCT(($Q$11:Q448=Q449)*($R$11:R448=1))&gt;0,1,0))</f>
        <v/>
      </c>
    </row>
    <row r="450">
      <c r="Q450">
        <f>A450&amp;"|"&amp;B450&amp;"|"&amp;C450&amp;"|"&amp;D450&amp;"|"&amp;E450&amp;"|"&amp;F450&amp;"|"&amp;G450&amp;"|"&amp;H450&amp;"|"&amp;I450&amp;"|"&amp;J450&amp;"|"&amp;K450&amp;"|"&amp;L450&amp;"|"&amp;M450&amp;"|"&amp;N450&amp;"|"&amp;O450</f>
        <v/>
      </c>
      <c r="R450">
        <f>IF(Q450=REPT("|",14),0,1)</f>
        <v/>
      </c>
      <c r="S450">
        <f>IF(R450=0,0,IF(SUMPRODUCT(($Q$11:Q449=Q450)*($R$11:R449=1))&gt;0,1,0))</f>
        <v/>
      </c>
    </row>
    <row r="451">
      <c r="Q451">
        <f>A451&amp;"|"&amp;B451&amp;"|"&amp;C451&amp;"|"&amp;D451&amp;"|"&amp;E451&amp;"|"&amp;F451&amp;"|"&amp;G451&amp;"|"&amp;H451&amp;"|"&amp;I451&amp;"|"&amp;J451&amp;"|"&amp;K451&amp;"|"&amp;L451&amp;"|"&amp;M451&amp;"|"&amp;N451&amp;"|"&amp;O451</f>
        <v/>
      </c>
      <c r="R451">
        <f>IF(Q451=REPT("|",14),0,1)</f>
        <v/>
      </c>
      <c r="S451">
        <f>IF(R451=0,0,IF(SUMPRODUCT(($Q$11:Q450=Q451)*($R$11:R450=1))&gt;0,1,0))</f>
        <v/>
      </c>
    </row>
    <row r="452">
      <c r="Q452">
        <f>A452&amp;"|"&amp;B452&amp;"|"&amp;C452&amp;"|"&amp;D452&amp;"|"&amp;E452&amp;"|"&amp;F452&amp;"|"&amp;G452&amp;"|"&amp;H452&amp;"|"&amp;I452&amp;"|"&amp;J452&amp;"|"&amp;K452&amp;"|"&amp;L452&amp;"|"&amp;M452&amp;"|"&amp;N452&amp;"|"&amp;O452</f>
        <v/>
      </c>
      <c r="R452">
        <f>IF(Q452=REPT("|",14),0,1)</f>
        <v/>
      </c>
      <c r="S452">
        <f>IF(R452=0,0,IF(SUMPRODUCT(($Q$11:Q451=Q452)*($R$11:R451=1))&gt;0,1,0))</f>
        <v/>
      </c>
    </row>
    <row r="453">
      <c r="Q453">
        <f>A453&amp;"|"&amp;B453&amp;"|"&amp;C453&amp;"|"&amp;D453&amp;"|"&amp;E453&amp;"|"&amp;F453&amp;"|"&amp;G453&amp;"|"&amp;H453&amp;"|"&amp;I453&amp;"|"&amp;J453&amp;"|"&amp;K453&amp;"|"&amp;L453&amp;"|"&amp;M453&amp;"|"&amp;N453&amp;"|"&amp;O453</f>
        <v/>
      </c>
      <c r="R453">
        <f>IF(Q453=REPT("|",14),0,1)</f>
        <v/>
      </c>
      <c r="S453">
        <f>IF(R453=0,0,IF(SUMPRODUCT(($Q$11:Q452=Q453)*($R$11:R452=1))&gt;0,1,0))</f>
        <v/>
      </c>
    </row>
    <row r="454">
      <c r="Q454">
        <f>A454&amp;"|"&amp;B454&amp;"|"&amp;C454&amp;"|"&amp;D454&amp;"|"&amp;E454&amp;"|"&amp;F454&amp;"|"&amp;G454&amp;"|"&amp;H454&amp;"|"&amp;I454&amp;"|"&amp;J454&amp;"|"&amp;K454&amp;"|"&amp;L454&amp;"|"&amp;M454&amp;"|"&amp;N454&amp;"|"&amp;O454</f>
        <v/>
      </c>
      <c r="R454">
        <f>IF(Q454=REPT("|",14),0,1)</f>
        <v/>
      </c>
      <c r="S454">
        <f>IF(R454=0,0,IF(SUMPRODUCT(($Q$11:Q453=Q454)*($R$11:R453=1))&gt;0,1,0))</f>
        <v/>
      </c>
    </row>
    <row r="455">
      <c r="Q455">
        <f>A455&amp;"|"&amp;B455&amp;"|"&amp;C455&amp;"|"&amp;D455&amp;"|"&amp;E455&amp;"|"&amp;F455&amp;"|"&amp;G455&amp;"|"&amp;H455&amp;"|"&amp;I455&amp;"|"&amp;J455&amp;"|"&amp;K455&amp;"|"&amp;L455&amp;"|"&amp;M455&amp;"|"&amp;N455&amp;"|"&amp;O455</f>
        <v/>
      </c>
      <c r="R455">
        <f>IF(Q455=REPT("|",14),0,1)</f>
        <v/>
      </c>
      <c r="S455">
        <f>IF(R455=0,0,IF(SUMPRODUCT(($Q$11:Q454=Q455)*($R$11:R454=1))&gt;0,1,0))</f>
        <v/>
      </c>
    </row>
    <row r="456">
      <c r="Q456">
        <f>A456&amp;"|"&amp;B456&amp;"|"&amp;C456&amp;"|"&amp;D456&amp;"|"&amp;E456&amp;"|"&amp;F456&amp;"|"&amp;G456&amp;"|"&amp;H456&amp;"|"&amp;I456&amp;"|"&amp;J456&amp;"|"&amp;K456&amp;"|"&amp;L456&amp;"|"&amp;M456&amp;"|"&amp;N456&amp;"|"&amp;O456</f>
        <v/>
      </c>
      <c r="R456">
        <f>IF(Q456=REPT("|",14),0,1)</f>
        <v/>
      </c>
      <c r="S456">
        <f>IF(R456=0,0,IF(SUMPRODUCT(($Q$11:Q455=Q456)*($R$11:R455=1))&gt;0,1,0))</f>
        <v/>
      </c>
    </row>
    <row r="457">
      <c r="Q457">
        <f>A457&amp;"|"&amp;B457&amp;"|"&amp;C457&amp;"|"&amp;D457&amp;"|"&amp;E457&amp;"|"&amp;F457&amp;"|"&amp;G457&amp;"|"&amp;H457&amp;"|"&amp;I457&amp;"|"&amp;J457&amp;"|"&amp;K457&amp;"|"&amp;L457&amp;"|"&amp;M457&amp;"|"&amp;N457&amp;"|"&amp;O457</f>
        <v/>
      </c>
      <c r="R457">
        <f>IF(Q457=REPT("|",14),0,1)</f>
        <v/>
      </c>
      <c r="S457">
        <f>IF(R457=0,0,IF(SUMPRODUCT(($Q$11:Q456=Q457)*($R$11:R456=1))&gt;0,1,0))</f>
        <v/>
      </c>
    </row>
    <row r="458">
      <c r="Q458">
        <f>A458&amp;"|"&amp;B458&amp;"|"&amp;C458&amp;"|"&amp;D458&amp;"|"&amp;E458&amp;"|"&amp;F458&amp;"|"&amp;G458&amp;"|"&amp;H458&amp;"|"&amp;I458&amp;"|"&amp;J458&amp;"|"&amp;K458&amp;"|"&amp;L458&amp;"|"&amp;M458&amp;"|"&amp;N458&amp;"|"&amp;O458</f>
        <v/>
      </c>
      <c r="R458">
        <f>IF(Q458=REPT("|",14),0,1)</f>
        <v/>
      </c>
      <c r="S458">
        <f>IF(R458=0,0,IF(SUMPRODUCT(($Q$11:Q457=Q458)*($R$11:R457=1))&gt;0,1,0))</f>
        <v/>
      </c>
    </row>
    <row r="459">
      <c r="Q459">
        <f>A459&amp;"|"&amp;B459&amp;"|"&amp;C459&amp;"|"&amp;D459&amp;"|"&amp;E459&amp;"|"&amp;F459&amp;"|"&amp;G459&amp;"|"&amp;H459&amp;"|"&amp;I459&amp;"|"&amp;J459&amp;"|"&amp;K459&amp;"|"&amp;L459&amp;"|"&amp;M459&amp;"|"&amp;N459&amp;"|"&amp;O459</f>
        <v/>
      </c>
      <c r="R459">
        <f>IF(Q459=REPT("|",14),0,1)</f>
        <v/>
      </c>
      <c r="S459">
        <f>IF(R459=0,0,IF(SUMPRODUCT(($Q$11:Q458=Q459)*($R$11:R458=1))&gt;0,1,0))</f>
        <v/>
      </c>
    </row>
    <row r="460">
      <c r="Q460">
        <f>A460&amp;"|"&amp;B460&amp;"|"&amp;C460&amp;"|"&amp;D460&amp;"|"&amp;E460&amp;"|"&amp;F460&amp;"|"&amp;G460&amp;"|"&amp;H460&amp;"|"&amp;I460&amp;"|"&amp;J460&amp;"|"&amp;K460&amp;"|"&amp;L460&amp;"|"&amp;M460&amp;"|"&amp;N460&amp;"|"&amp;O460</f>
        <v/>
      </c>
      <c r="R460">
        <f>IF(Q460=REPT("|",14),0,1)</f>
        <v/>
      </c>
      <c r="S460">
        <f>IF(R460=0,0,IF(SUMPRODUCT(($Q$11:Q459=Q460)*($R$11:R459=1))&gt;0,1,0))</f>
        <v/>
      </c>
    </row>
    <row r="461">
      <c r="Q461">
        <f>A461&amp;"|"&amp;B461&amp;"|"&amp;C461&amp;"|"&amp;D461&amp;"|"&amp;E461&amp;"|"&amp;F461&amp;"|"&amp;G461&amp;"|"&amp;H461&amp;"|"&amp;I461&amp;"|"&amp;J461&amp;"|"&amp;K461&amp;"|"&amp;L461&amp;"|"&amp;M461&amp;"|"&amp;N461&amp;"|"&amp;O461</f>
        <v/>
      </c>
      <c r="R461">
        <f>IF(Q461=REPT("|",14),0,1)</f>
        <v/>
      </c>
      <c r="S461">
        <f>IF(R461=0,0,IF(SUMPRODUCT(($Q$11:Q460=Q461)*($R$11:R460=1))&gt;0,1,0))</f>
        <v/>
      </c>
    </row>
    <row r="462">
      <c r="Q462">
        <f>A462&amp;"|"&amp;B462&amp;"|"&amp;C462&amp;"|"&amp;D462&amp;"|"&amp;E462&amp;"|"&amp;F462&amp;"|"&amp;G462&amp;"|"&amp;H462&amp;"|"&amp;I462&amp;"|"&amp;J462&amp;"|"&amp;K462&amp;"|"&amp;L462&amp;"|"&amp;M462&amp;"|"&amp;N462&amp;"|"&amp;O462</f>
        <v/>
      </c>
      <c r="R462">
        <f>IF(Q462=REPT("|",14),0,1)</f>
        <v/>
      </c>
      <c r="S462">
        <f>IF(R462=0,0,IF(SUMPRODUCT(($Q$11:Q461=Q462)*($R$11:R461=1))&gt;0,1,0))</f>
        <v/>
      </c>
    </row>
    <row r="463">
      <c r="Q463">
        <f>A463&amp;"|"&amp;B463&amp;"|"&amp;C463&amp;"|"&amp;D463&amp;"|"&amp;E463&amp;"|"&amp;F463&amp;"|"&amp;G463&amp;"|"&amp;H463&amp;"|"&amp;I463&amp;"|"&amp;J463&amp;"|"&amp;K463&amp;"|"&amp;L463&amp;"|"&amp;M463&amp;"|"&amp;N463&amp;"|"&amp;O463</f>
        <v/>
      </c>
      <c r="R463">
        <f>IF(Q463=REPT("|",14),0,1)</f>
        <v/>
      </c>
      <c r="S463">
        <f>IF(R463=0,0,IF(SUMPRODUCT(($Q$11:Q462=Q463)*($R$11:R462=1))&gt;0,1,0))</f>
        <v/>
      </c>
    </row>
    <row r="464">
      <c r="Q464">
        <f>A464&amp;"|"&amp;B464&amp;"|"&amp;C464&amp;"|"&amp;D464&amp;"|"&amp;E464&amp;"|"&amp;F464&amp;"|"&amp;G464&amp;"|"&amp;H464&amp;"|"&amp;I464&amp;"|"&amp;J464&amp;"|"&amp;K464&amp;"|"&amp;L464&amp;"|"&amp;M464&amp;"|"&amp;N464&amp;"|"&amp;O464</f>
        <v/>
      </c>
      <c r="R464">
        <f>IF(Q464=REPT("|",14),0,1)</f>
        <v/>
      </c>
      <c r="S464">
        <f>IF(R464=0,0,IF(SUMPRODUCT(($Q$11:Q463=Q464)*($R$11:R463=1))&gt;0,1,0))</f>
        <v/>
      </c>
    </row>
    <row r="465">
      <c r="Q465">
        <f>A465&amp;"|"&amp;B465&amp;"|"&amp;C465&amp;"|"&amp;D465&amp;"|"&amp;E465&amp;"|"&amp;F465&amp;"|"&amp;G465&amp;"|"&amp;H465&amp;"|"&amp;I465&amp;"|"&amp;J465&amp;"|"&amp;K465&amp;"|"&amp;L465&amp;"|"&amp;M465&amp;"|"&amp;N465&amp;"|"&amp;O465</f>
        <v/>
      </c>
      <c r="R465">
        <f>IF(Q465=REPT("|",14),0,1)</f>
        <v/>
      </c>
      <c r="S465">
        <f>IF(R465=0,0,IF(SUMPRODUCT(($Q$11:Q464=Q465)*($R$11:R464=1))&gt;0,1,0))</f>
        <v/>
      </c>
    </row>
    <row r="466">
      <c r="Q466">
        <f>A466&amp;"|"&amp;B466&amp;"|"&amp;C466&amp;"|"&amp;D466&amp;"|"&amp;E466&amp;"|"&amp;F466&amp;"|"&amp;G466&amp;"|"&amp;H466&amp;"|"&amp;I466&amp;"|"&amp;J466&amp;"|"&amp;K466&amp;"|"&amp;L466&amp;"|"&amp;M466&amp;"|"&amp;N466&amp;"|"&amp;O466</f>
        <v/>
      </c>
      <c r="R466">
        <f>IF(Q466=REPT("|",14),0,1)</f>
        <v/>
      </c>
      <c r="S466">
        <f>IF(R466=0,0,IF(SUMPRODUCT(($Q$11:Q465=Q466)*($R$11:R465=1))&gt;0,1,0))</f>
        <v/>
      </c>
    </row>
    <row r="467">
      <c r="Q467">
        <f>A467&amp;"|"&amp;B467&amp;"|"&amp;C467&amp;"|"&amp;D467&amp;"|"&amp;E467&amp;"|"&amp;F467&amp;"|"&amp;G467&amp;"|"&amp;H467&amp;"|"&amp;I467&amp;"|"&amp;J467&amp;"|"&amp;K467&amp;"|"&amp;L467&amp;"|"&amp;M467&amp;"|"&amp;N467&amp;"|"&amp;O467</f>
        <v/>
      </c>
      <c r="R467">
        <f>IF(Q467=REPT("|",14),0,1)</f>
        <v/>
      </c>
      <c r="S467">
        <f>IF(R467=0,0,IF(SUMPRODUCT(($Q$11:Q466=Q467)*($R$11:R466=1))&gt;0,1,0))</f>
        <v/>
      </c>
    </row>
    <row r="468">
      <c r="Q468">
        <f>A468&amp;"|"&amp;B468&amp;"|"&amp;C468&amp;"|"&amp;D468&amp;"|"&amp;E468&amp;"|"&amp;F468&amp;"|"&amp;G468&amp;"|"&amp;H468&amp;"|"&amp;I468&amp;"|"&amp;J468&amp;"|"&amp;K468&amp;"|"&amp;L468&amp;"|"&amp;M468&amp;"|"&amp;N468&amp;"|"&amp;O468</f>
        <v/>
      </c>
      <c r="R468">
        <f>IF(Q468=REPT("|",14),0,1)</f>
        <v/>
      </c>
      <c r="S468">
        <f>IF(R468=0,0,IF(SUMPRODUCT(($Q$11:Q467=Q468)*($R$11:R467=1))&gt;0,1,0))</f>
        <v/>
      </c>
    </row>
    <row r="469">
      <c r="Q469">
        <f>A469&amp;"|"&amp;B469&amp;"|"&amp;C469&amp;"|"&amp;D469&amp;"|"&amp;E469&amp;"|"&amp;F469&amp;"|"&amp;G469&amp;"|"&amp;H469&amp;"|"&amp;I469&amp;"|"&amp;J469&amp;"|"&amp;K469&amp;"|"&amp;L469&amp;"|"&amp;M469&amp;"|"&amp;N469&amp;"|"&amp;O469</f>
        <v/>
      </c>
      <c r="R469">
        <f>IF(Q469=REPT("|",14),0,1)</f>
        <v/>
      </c>
      <c r="S469">
        <f>IF(R469=0,0,IF(SUMPRODUCT(($Q$11:Q468=Q469)*($R$11:R468=1))&gt;0,1,0))</f>
        <v/>
      </c>
    </row>
    <row r="470">
      <c r="Q470">
        <f>A470&amp;"|"&amp;B470&amp;"|"&amp;C470&amp;"|"&amp;D470&amp;"|"&amp;E470&amp;"|"&amp;F470&amp;"|"&amp;G470&amp;"|"&amp;H470&amp;"|"&amp;I470&amp;"|"&amp;J470&amp;"|"&amp;K470&amp;"|"&amp;L470&amp;"|"&amp;M470&amp;"|"&amp;N470&amp;"|"&amp;O470</f>
        <v/>
      </c>
      <c r="R470">
        <f>IF(Q470=REPT("|",14),0,1)</f>
        <v/>
      </c>
      <c r="S470">
        <f>IF(R470=0,0,IF(SUMPRODUCT(($Q$11:Q469=Q470)*($R$11:R469=1))&gt;0,1,0))</f>
        <v/>
      </c>
    </row>
    <row r="471">
      <c r="Q471">
        <f>A471&amp;"|"&amp;B471&amp;"|"&amp;C471&amp;"|"&amp;D471&amp;"|"&amp;E471&amp;"|"&amp;F471&amp;"|"&amp;G471&amp;"|"&amp;H471&amp;"|"&amp;I471&amp;"|"&amp;J471&amp;"|"&amp;K471&amp;"|"&amp;L471&amp;"|"&amp;M471&amp;"|"&amp;N471&amp;"|"&amp;O471</f>
        <v/>
      </c>
      <c r="R471">
        <f>IF(Q471=REPT("|",14),0,1)</f>
        <v/>
      </c>
      <c r="S471">
        <f>IF(R471=0,0,IF(SUMPRODUCT(($Q$11:Q470=Q471)*($R$11:R470=1))&gt;0,1,0))</f>
        <v/>
      </c>
    </row>
    <row r="472">
      <c r="Q472">
        <f>A472&amp;"|"&amp;B472&amp;"|"&amp;C472&amp;"|"&amp;D472&amp;"|"&amp;E472&amp;"|"&amp;F472&amp;"|"&amp;G472&amp;"|"&amp;H472&amp;"|"&amp;I472&amp;"|"&amp;J472&amp;"|"&amp;K472&amp;"|"&amp;L472&amp;"|"&amp;M472&amp;"|"&amp;N472&amp;"|"&amp;O472</f>
        <v/>
      </c>
      <c r="R472">
        <f>IF(Q472=REPT("|",14),0,1)</f>
        <v/>
      </c>
      <c r="S472">
        <f>IF(R472=0,0,IF(SUMPRODUCT(($Q$11:Q471=Q472)*($R$11:R471=1))&gt;0,1,0))</f>
        <v/>
      </c>
    </row>
    <row r="473">
      <c r="Q473">
        <f>A473&amp;"|"&amp;B473&amp;"|"&amp;C473&amp;"|"&amp;D473&amp;"|"&amp;E473&amp;"|"&amp;F473&amp;"|"&amp;G473&amp;"|"&amp;H473&amp;"|"&amp;I473&amp;"|"&amp;J473&amp;"|"&amp;K473&amp;"|"&amp;L473&amp;"|"&amp;M473&amp;"|"&amp;N473&amp;"|"&amp;O473</f>
        <v/>
      </c>
      <c r="R473">
        <f>IF(Q473=REPT("|",14),0,1)</f>
        <v/>
      </c>
      <c r="S473">
        <f>IF(R473=0,0,IF(SUMPRODUCT(($Q$11:Q472=Q473)*($R$11:R472=1))&gt;0,1,0))</f>
        <v/>
      </c>
    </row>
    <row r="474">
      <c r="Q474">
        <f>A474&amp;"|"&amp;B474&amp;"|"&amp;C474&amp;"|"&amp;D474&amp;"|"&amp;E474&amp;"|"&amp;F474&amp;"|"&amp;G474&amp;"|"&amp;H474&amp;"|"&amp;I474&amp;"|"&amp;J474&amp;"|"&amp;K474&amp;"|"&amp;L474&amp;"|"&amp;M474&amp;"|"&amp;N474&amp;"|"&amp;O474</f>
        <v/>
      </c>
      <c r="R474">
        <f>IF(Q474=REPT("|",14),0,1)</f>
        <v/>
      </c>
      <c r="S474">
        <f>IF(R474=0,0,IF(SUMPRODUCT(($Q$11:Q473=Q474)*($R$11:R473=1))&gt;0,1,0))</f>
        <v/>
      </c>
    </row>
    <row r="475">
      <c r="Q475">
        <f>A475&amp;"|"&amp;B475&amp;"|"&amp;C475&amp;"|"&amp;D475&amp;"|"&amp;E475&amp;"|"&amp;F475&amp;"|"&amp;G475&amp;"|"&amp;H475&amp;"|"&amp;I475&amp;"|"&amp;J475&amp;"|"&amp;K475&amp;"|"&amp;L475&amp;"|"&amp;M475&amp;"|"&amp;N475&amp;"|"&amp;O475</f>
        <v/>
      </c>
      <c r="R475">
        <f>IF(Q475=REPT("|",14),0,1)</f>
        <v/>
      </c>
      <c r="S475">
        <f>IF(R475=0,0,IF(SUMPRODUCT(($Q$11:Q474=Q475)*($R$11:R474=1))&gt;0,1,0))</f>
        <v/>
      </c>
    </row>
    <row r="476">
      <c r="Q476">
        <f>A476&amp;"|"&amp;B476&amp;"|"&amp;C476&amp;"|"&amp;D476&amp;"|"&amp;E476&amp;"|"&amp;F476&amp;"|"&amp;G476&amp;"|"&amp;H476&amp;"|"&amp;I476&amp;"|"&amp;J476&amp;"|"&amp;K476&amp;"|"&amp;L476&amp;"|"&amp;M476&amp;"|"&amp;N476&amp;"|"&amp;O476</f>
        <v/>
      </c>
      <c r="R476">
        <f>IF(Q476=REPT("|",14),0,1)</f>
        <v/>
      </c>
      <c r="S476">
        <f>IF(R476=0,0,IF(SUMPRODUCT(($Q$11:Q475=Q476)*($R$11:R475=1))&gt;0,1,0))</f>
        <v/>
      </c>
    </row>
    <row r="477">
      <c r="Q477">
        <f>A477&amp;"|"&amp;B477&amp;"|"&amp;C477&amp;"|"&amp;D477&amp;"|"&amp;E477&amp;"|"&amp;F477&amp;"|"&amp;G477&amp;"|"&amp;H477&amp;"|"&amp;I477&amp;"|"&amp;J477&amp;"|"&amp;K477&amp;"|"&amp;L477&amp;"|"&amp;M477&amp;"|"&amp;N477&amp;"|"&amp;O477</f>
        <v/>
      </c>
      <c r="R477">
        <f>IF(Q477=REPT("|",14),0,1)</f>
        <v/>
      </c>
      <c r="S477">
        <f>IF(R477=0,0,IF(SUMPRODUCT(($Q$11:Q476=Q477)*($R$11:R476=1))&gt;0,1,0))</f>
        <v/>
      </c>
    </row>
    <row r="478">
      <c r="Q478">
        <f>A478&amp;"|"&amp;B478&amp;"|"&amp;C478&amp;"|"&amp;D478&amp;"|"&amp;E478&amp;"|"&amp;F478&amp;"|"&amp;G478&amp;"|"&amp;H478&amp;"|"&amp;I478&amp;"|"&amp;J478&amp;"|"&amp;K478&amp;"|"&amp;L478&amp;"|"&amp;M478&amp;"|"&amp;N478&amp;"|"&amp;O478</f>
        <v/>
      </c>
      <c r="R478">
        <f>IF(Q478=REPT("|",14),0,1)</f>
        <v/>
      </c>
      <c r="S478">
        <f>IF(R478=0,0,IF(SUMPRODUCT(($Q$11:Q477=Q478)*($R$11:R477=1))&gt;0,1,0))</f>
        <v/>
      </c>
    </row>
    <row r="479">
      <c r="Q479">
        <f>A479&amp;"|"&amp;B479&amp;"|"&amp;C479&amp;"|"&amp;D479&amp;"|"&amp;E479&amp;"|"&amp;F479&amp;"|"&amp;G479&amp;"|"&amp;H479&amp;"|"&amp;I479&amp;"|"&amp;J479&amp;"|"&amp;K479&amp;"|"&amp;L479&amp;"|"&amp;M479&amp;"|"&amp;N479&amp;"|"&amp;O479</f>
        <v/>
      </c>
      <c r="R479">
        <f>IF(Q479=REPT("|",14),0,1)</f>
        <v/>
      </c>
      <c r="S479">
        <f>IF(R479=0,0,IF(SUMPRODUCT(($Q$11:Q478=Q479)*($R$11:R478=1))&gt;0,1,0))</f>
        <v/>
      </c>
    </row>
    <row r="480">
      <c r="Q480">
        <f>A480&amp;"|"&amp;B480&amp;"|"&amp;C480&amp;"|"&amp;D480&amp;"|"&amp;E480&amp;"|"&amp;F480&amp;"|"&amp;G480&amp;"|"&amp;H480&amp;"|"&amp;I480&amp;"|"&amp;J480&amp;"|"&amp;K480&amp;"|"&amp;L480&amp;"|"&amp;M480&amp;"|"&amp;N480&amp;"|"&amp;O480</f>
        <v/>
      </c>
      <c r="R480">
        <f>IF(Q480=REPT("|",14),0,1)</f>
        <v/>
      </c>
      <c r="S480">
        <f>IF(R480=0,0,IF(SUMPRODUCT(($Q$11:Q479=Q480)*($R$11:R479=1))&gt;0,1,0))</f>
        <v/>
      </c>
    </row>
    <row r="481">
      <c r="Q481">
        <f>A481&amp;"|"&amp;B481&amp;"|"&amp;C481&amp;"|"&amp;D481&amp;"|"&amp;E481&amp;"|"&amp;F481&amp;"|"&amp;G481&amp;"|"&amp;H481&amp;"|"&amp;I481&amp;"|"&amp;J481&amp;"|"&amp;K481&amp;"|"&amp;L481&amp;"|"&amp;M481&amp;"|"&amp;N481&amp;"|"&amp;O481</f>
        <v/>
      </c>
      <c r="R481">
        <f>IF(Q481=REPT("|",14),0,1)</f>
        <v/>
      </c>
      <c r="S481">
        <f>IF(R481=0,0,IF(SUMPRODUCT(($Q$11:Q480=Q481)*($R$11:R480=1))&gt;0,1,0))</f>
        <v/>
      </c>
    </row>
    <row r="482">
      <c r="Q482">
        <f>A482&amp;"|"&amp;B482&amp;"|"&amp;C482&amp;"|"&amp;D482&amp;"|"&amp;E482&amp;"|"&amp;F482&amp;"|"&amp;G482&amp;"|"&amp;H482&amp;"|"&amp;I482&amp;"|"&amp;J482&amp;"|"&amp;K482&amp;"|"&amp;L482&amp;"|"&amp;M482&amp;"|"&amp;N482&amp;"|"&amp;O482</f>
        <v/>
      </c>
      <c r="R482">
        <f>IF(Q482=REPT("|",14),0,1)</f>
        <v/>
      </c>
      <c r="S482">
        <f>IF(R482=0,0,IF(SUMPRODUCT(($Q$11:Q481=Q482)*($R$11:R481=1))&gt;0,1,0))</f>
        <v/>
      </c>
    </row>
    <row r="483">
      <c r="Q483">
        <f>A483&amp;"|"&amp;B483&amp;"|"&amp;C483&amp;"|"&amp;D483&amp;"|"&amp;E483&amp;"|"&amp;F483&amp;"|"&amp;G483&amp;"|"&amp;H483&amp;"|"&amp;I483&amp;"|"&amp;J483&amp;"|"&amp;K483&amp;"|"&amp;L483&amp;"|"&amp;M483&amp;"|"&amp;N483&amp;"|"&amp;O483</f>
        <v/>
      </c>
      <c r="R483">
        <f>IF(Q483=REPT("|",14),0,1)</f>
        <v/>
      </c>
      <c r="S483">
        <f>IF(R483=0,0,IF(SUMPRODUCT(($Q$11:Q482=Q483)*($R$11:R482=1))&gt;0,1,0))</f>
        <v/>
      </c>
    </row>
    <row r="484">
      <c r="Q484">
        <f>A484&amp;"|"&amp;B484&amp;"|"&amp;C484&amp;"|"&amp;D484&amp;"|"&amp;E484&amp;"|"&amp;F484&amp;"|"&amp;G484&amp;"|"&amp;H484&amp;"|"&amp;I484&amp;"|"&amp;J484&amp;"|"&amp;K484&amp;"|"&amp;L484&amp;"|"&amp;M484&amp;"|"&amp;N484&amp;"|"&amp;O484</f>
        <v/>
      </c>
      <c r="R484">
        <f>IF(Q484=REPT("|",14),0,1)</f>
        <v/>
      </c>
      <c r="S484">
        <f>IF(R484=0,0,IF(SUMPRODUCT(($Q$11:Q483=Q484)*($R$11:R483=1))&gt;0,1,0))</f>
        <v/>
      </c>
    </row>
    <row r="485">
      <c r="Q485">
        <f>A485&amp;"|"&amp;B485&amp;"|"&amp;C485&amp;"|"&amp;D485&amp;"|"&amp;E485&amp;"|"&amp;F485&amp;"|"&amp;G485&amp;"|"&amp;H485&amp;"|"&amp;I485&amp;"|"&amp;J485&amp;"|"&amp;K485&amp;"|"&amp;L485&amp;"|"&amp;M485&amp;"|"&amp;N485&amp;"|"&amp;O485</f>
        <v/>
      </c>
      <c r="R485">
        <f>IF(Q485=REPT("|",14),0,1)</f>
        <v/>
      </c>
      <c r="S485">
        <f>IF(R485=0,0,IF(SUMPRODUCT(($Q$11:Q484=Q485)*($R$11:R484=1))&gt;0,1,0))</f>
        <v/>
      </c>
    </row>
    <row r="486">
      <c r="Q486">
        <f>A486&amp;"|"&amp;B486&amp;"|"&amp;C486&amp;"|"&amp;D486&amp;"|"&amp;E486&amp;"|"&amp;F486&amp;"|"&amp;G486&amp;"|"&amp;H486&amp;"|"&amp;I486&amp;"|"&amp;J486&amp;"|"&amp;K486&amp;"|"&amp;L486&amp;"|"&amp;M486&amp;"|"&amp;N486&amp;"|"&amp;O486</f>
        <v/>
      </c>
      <c r="R486">
        <f>IF(Q486=REPT("|",14),0,1)</f>
        <v/>
      </c>
      <c r="S486">
        <f>IF(R486=0,0,IF(SUMPRODUCT(($Q$11:Q485=Q486)*($R$11:R485=1))&gt;0,1,0))</f>
        <v/>
      </c>
    </row>
    <row r="487">
      <c r="Q487">
        <f>A487&amp;"|"&amp;B487&amp;"|"&amp;C487&amp;"|"&amp;D487&amp;"|"&amp;E487&amp;"|"&amp;F487&amp;"|"&amp;G487&amp;"|"&amp;H487&amp;"|"&amp;I487&amp;"|"&amp;J487&amp;"|"&amp;K487&amp;"|"&amp;L487&amp;"|"&amp;M487&amp;"|"&amp;N487&amp;"|"&amp;O487</f>
        <v/>
      </c>
      <c r="R487">
        <f>IF(Q487=REPT("|",14),0,1)</f>
        <v/>
      </c>
      <c r="S487">
        <f>IF(R487=0,0,IF(SUMPRODUCT(($Q$11:Q486=Q487)*($R$11:R486=1))&gt;0,1,0))</f>
        <v/>
      </c>
    </row>
    <row r="488">
      <c r="Q488">
        <f>A488&amp;"|"&amp;B488&amp;"|"&amp;C488&amp;"|"&amp;D488&amp;"|"&amp;E488&amp;"|"&amp;F488&amp;"|"&amp;G488&amp;"|"&amp;H488&amp;"|"&amp;I488&amp;"|"&amp;J488&amp;"|"&amp;K488&amp;"|"&amp;L488&amp;"|"&amp;M488&amp;"|"&amp;N488&amp;"|"&amp;O488</f>
        <v/>
      </c>
      <c r="R488">
        <f>IF(Q488=REPT("|",14),0,1)</f>
        <v/>
      </c>
      <c r="S488">
        <f>IF(R488=0,0,IF(SUMPRODUCT(($Q$11:Q487=Q488)*($R$11:R487=1))&gt;0,1,0))</f>
        <v/>
      </c>
    </row>
    <row r="489">
      <c r="Q489">
        <f>A489&amp;"|"&amp;B489&amp;"|"&amp;C489&amp;"|"&amp;D489&amp;"|"&amp;E489&amp;"|"&amp;F489&amp;"|"&amp;G489&amp;"|"&amp;H489&amp;"|"&amp;I489&amp;"|"&amp;J489&amp;"|"&amp;K489&amp;"|"&amp;L489&amp;"|"&amp;M489&amp;"|"&amp;N489&amp;"|"&amp;O489</f>
        <v/>
      </c>
      <c r="R489">
        <f>IF(Q489=REPT("|",14),0,1)</f>
        <v/>
      </c>
      <c r="S489">
        <f>IF(R489=0,0,IF(SUMPRODUCT(($Q$11:Q488=Q489)*($R$11:R488=1))&gt;0,1,0))</f>
        <v/>
      </c>
    </row>
    <row r="490">
      <c r="Q490">
        <f>A490&amp;"|"&amp;B490&amp;"|"&amp;C490&amp;"|"&amp;D490&amp;"|"&amp;E490&amp;"|"&amp;F490&amp;"|"&amp;G490&amp;"|"&amp;H490&amp;"|"&amp;I490&amp;"|"&amp;J490&amp;"|"&amp;K490&amp;"|"&amp;L490&amp;"|"&amp;M490&amp;"|"&amp;N490&amp;"|"&amp;O490</f>
        <v/>
      </c>
      <c r="R490">
        <f>IF(Q490=REPT("|",14),0,1)</f>
        <v/>
      </c>
      <c r="S490">
        <f>IF(R490=0,0,IF(SUMPRODUCT(($Q$11:Q489=Q490)*($R$11:R489=1))&gt;0,1,0))</f>
        <v/>
      </c>
    </row>
    <row r="491">
      <c r="Q491">
        <f>A491&amp;"|"&amp;B491&amp;"|"&amp;C491&amp;"|"&amp;D491&amp;"|"&amp;E491&amp;"|"&amp;F491&amp;"|"&amp;G491&amp;"|"&amp;H491&amp;"|"&amp;I491&amp;"|"&amp;J491&amp;"|"&amp;K491&amp;"|"&amp;L491&amp;"|"&amp;M491&amp;"|"&amp;N491&amp;"|"&amp;O491</f>
        <v/>
      </c>
      <c r="R491">
        <f>IF(Q491=REPT("|",14),0,1)</f>
        <v/>
      </c>
      <c r="S491">
        <f>IF(R491=0,0,IF(SUMPRODUCT(($Q$11:Q490=Q491)*($R$11:R490=1))&gt;0,1,0))</f>
        <v/>
      </c>
    </row>
    <row r="492">
      <c r="Q492">
        <f>A492&amp;"|"&amp;B492&amp;"|"&amp;C492&amp;"|"&amp;D492&amp;"|"&amp;E492&amp;"|"&amp;F492&amp;"|"&amp;G492&amp;"|"&amp;H492&amp;"|"&amp;I492&amp;"|"&amp;J492&amp;"|"&amp;K492&amp;"|"&amp;L492&amp;"|"&amp;M492&amp;"|"&amp;N492&amp;"|"&amp;O492</f>
        <v/>
      </c>
      <c r="R492">
        <f>IF(Q492=REPT("|",14),0,1)</f>
        <v/>
      </c>
      <c r="S492">
        <f>IF(R492=0,0,IF(SUMPRODUCT(($Q$11:Q491=Q492)*($R$11:R491=1))&gt;0,1,0))</f>
        <v/>
      </c>
    </row>
    <row r="493">
      <c r="Q493">
        <f>A493&amp;"|"&amp;B493&amp;"|"&amp;C493&amp;"|"&amp;D493&amp;"|"&amp;E493&amp;"|"&amp;F493&amp;"|"&amp;G493&amp;"|"&amp;H493&amp;"|"&amp;I493&amp;"|"&amp;J493&amp;"|"&amp;K493&amp;"|"&amp;L493&amp;"|"&amp;M493&amp;"|"&amp;N493&amp;"|"&amp;O493</f>
        <v/>
      </c>
      <c r="R493">
        <f>IF(Q493=REPT("|",14),0,1)</f>
        <v/>
      </c>
      <c r="S493">
        <f>IF(R493=0,0,IF(SUMPRODUCT(($Q$11:Q492=Q493)*($R$11:R492=1))&gt;0,1,0))</f>
        <v/>
      </c>
    </row>
    <row r="494">
      <c r="Q494">
        <f>A494&amp;"|"&amp;B494&amp;"|"&amp;C494&amp;"|"&amp;D494&amp;"|"&amp;E494&amp;"|"&amp;F494&amp;"|"&amp;G494&amp;"|"&amp;H494&amp;"|"&amp;I494&amp;"|"&amp;J494&amp;"|"&amp;K494&amp;"|"&amp;L494&amp;"|"&amp;M494&amp;"|"&amp;N494&amp;"|"&amp;O494</f>
        <v/>
      </c>
      <c r="R494">
        <f>IF(Q494=REPT("|",14),0,1)</f>
        <v/>
      </c>
      <c r="S494">
        <f>IF(R494=0,0,IF(SUMPRODUCT(($Q$11:Q493=Q494)*($R$11:R493=1))&gt;0,1,0))</f>
        <v/>
      </c>
    </row>
    <row r="495">
      <c r="Q495">
        <f>A495&amp;"|"&amp;B495&amp;"|"&amp;C495&amp;"|"&amp;D495&amp;"|"&amp;E495&amp;"|"&amp;F495&amp;"|"&amp;G495&amp;"|"&amp;H495&amp;"|"&amp;I495&amp;"|"&amp;J495&amp;"|"&amp;K495&amp;"|"&amp;L495&amp;"|"&amp;M495&amp;"|"&amp;N495&amp;"|"&amp;O495</f>
        <v/>
      </c>
      <c r="R495">
        <f>IF(Q495=REPT("|",14),0,1)</f>
        <v/>
      </c>
      <c r="S495">
        <f>IF(R495=0,0,IF(SUMPRODUCT(($Q$11:Q494=Q495)*($R$11:R494=1))&gt;0,1,0))</f>
        <v/>
      </c>
    </row>
    <row r="496">
      <c r="Q496">
        <f>A496&amp;"|"&amp;B496&amp;"|"&amp;C496&amp;"|"&amp;D496&amp;"|"&amp;E496&amp;"|"&amp;F496&amp;"|"&amp;G496&amp;"|"&amp;H496&amp;"|"&amp;I496&amp;"|"&amp;J496&amp;"|"&amp;K496&amp;"|"&amp;L496&amp;"|"&amp;M496&amp;"|"&amp;N496&amp;"|"&amp;O496</f>
        <v/>
      </c>
      <c r="R496">
        <f>IF(Q496=REPT("|",14),0,1)</f>
        <v/>
      </c>
      <c r="S496">
        <f>IF(R496=0,0,IF(SUMPRODUCT(($Q$11:Q495=Q496)*($R$11:R495=1))&gt;0,1,0))</f>
        <v/>
      </c>
    </row>
    <row r="497">
      <c r="Q497">
        <f>A497&amp;"|"&amp;B497&amp;"|"&amp;C497&amp;"|"&amp;D497&amp;"|"&amp;E497&amp;"|"&amp;F497&amp;"|"&amp;G497&amp;"|"&amp;H497&amp;"|"&amp;I497&amp;"|"&amp;J497&amp;"|"&amp;K497&amp;"|"&amp;L497&amp;"|"&amp;M497&amp;"|"&amp;N497&amp;"|"&amp;O497</f>
        <v/>
      </c>
      <c r="R497">
        <f>IF(Q497=REPT("|",14),0,1)</f>
        <v/>
      </c>
      <c r="S497">
        <f>IF(R497=0,0,IF(SUMPRODUCT(($Q$11:Q496=Q497)*($R$11:R496=1))&gt;0,1,0))</f>
        <v/>
      </c>
    </row>
    <row r="498">
      <c r="Q498">
        <f>A498&amp;"|"&amp;B498&amp;"|"&amp;C498&amp;"|"&amp;D498&amp;"|"&amp;E498&amp;"|"&amp;F498&amp;"|"&amp;G498&amp;"|"&amp;H498&amp;"|"&amp;I498&amp;"|"&amp;J498&amp;"|"&amp;K498&amp;"|"&amp;L498&amp;"|"&amp;M498&amp;"|"&amp;N498&amp;"|"&amp;O498</f>
        <v/>
      </c>
      <c r="R498">
        <f>IF(Q498=REPT("|",14),0,1)</f>
        <v/>
      </c>
      <c r="S498">
        <f>IF(R498=0,0,IF(SUMPRODUCT(($Q$11:Q497=Q498)*($R$11:R497=1))&gt;0,1,0))</f>
        <v/>
      </c>
    </row>
    <row r="499">
      <c r="Q499">
        <f>A499&amp;"|"&amp;B499&amp;"|"&amp;C499&amp;"|"&amp;D499&amp;"|"&amp;E499&amp;"|"&amp;F499&amp;"|"&amp;G499&amp;"|"&amp;H499&amp;"|"&amp;I499&amp;"|"&amp;J499&amp;"|"&amp;K499&amp;"|"&amp;L499&amp;"|"&amp;M499&amp;"|"&amp;N499&amp;"|"&amp;O499</f>
        <v/>
      </c>
      <c r="R499">
        <f>IF(Q499=REPT("|",14),0,1)</f>
        <v/>
      </c>
      <c r="S499">
        <f>IF(R499=0,0,IF(SUMPRODUCT(($Q$11:Q498=Q499)*($R$11:R498=1))&gt;0,1,0))</f>
        <v/>
      </c>
    </row>
    <row r="500">
      <c r="Q500">
        <f>A500&amp;"|"&amp;B500&amp;"|"&amp;C500&amp;"|"&amp;D500&amp;"|"&amp;E500&amp;"|"&amp;F500&amp;"|"&amp;G500&amp;"|"&amp;H500&amp;"|"&amp;I500&amp;"|"&amp;J500&amp;"|"&amp;K500&amp;"|"&amp;L500&amp;"|"&amp;M500&amp;"|"&amp;N500&amp;"|"&amp;O500</f>
        <v/>
      </c>
      <c r="R500">
        <f>IF(Q500=REPT("|",14),0,1)</f>
        <v/>
      </c>
      <c r="S500">
        <f>IF(R500=0,0,IF(SUMPRODUCT(($Q$11:Q499=Q500)*($R$11:R499=1))&gt;0,1,0))</f>
        <v/>
      </c>
    </row>
    <row r="501">
      <c r="Q501">
        <f>A501&amp;"|"&amp;B501&amp;"|"&amp;C501&amp;"|"&amp;D501&amp;"|"&amp;E501&amp;"|"&amp;F501&amp;"|"&amp;G501&amp;"|"&amp;H501&amp;"|"&amp;I501&amp;"|"&amp;J501&amp;"|"&amp;K501&amp;"|"&amp;L501&amp;"|"&amp;M501&amp;"|"&amp;N501&amp;"|"&amp;O501</f>
        <v/>
      </c>
      <c r="R501">
        <f>IF(Q501=REPT("|",14),0,1)</f>
        <v/>
      </c>
      <c r="S501">
        <f>IF(R501=0,0,IF(SUMPRODUCT(($Q$11:Q500=Q501)*($R$11:R500=1))&gt;0,1,0))</f>
        <v/>
      </c>
    </row>
    <row r="502">
      <c r="Q502">
        <f>A502&amp;"|"&amp;B502&amp;"|"&amp;C502&amp;"|"&amp;D502&amp;"|"&amp;E502&amp;"|"&amp;F502&amp;"|"&amp;G502&amp;"|"&amp;H502&amp;"|"&amp;I502&amp;"|"&amp;J502&amp;"|"&amp;K502&amp;"|"&amp;L502&amp;"|"&amp;M502&amp;"|"&amp;N502&amp;"|"&amp;O502</f>
        <v/>
      </c>
      <c r="R502">
        <f>IF(Q502=REPT("|",14),0,1)</f>
        <v/>
      </c>
      <c r="S502">
        <f>IF(R502=0,0,IF(SUMPRODUCT(($Q$11:Q501=Q502)*($R$11:R501=1))&gt;0,1,0))</f>
        <v/>
      </c>
    </row>
    <row r="503">
      <c r="Q503">
        <f>A503&amp;"|"&amp;B503&amp;"|"&amp;C503&amp;"|"&amp;D503&amp;"|"&amp;E503&amp;"|"&amp;F503&amp;"|"&amp;G503&amp;"|"&amp;H503&amp;"|"&amp;I503&amp;"|"&amp;J503&amp;"|"&amp;K503&amp;"|"&amp;L503&amp;"|"&amp;M503&amp;"|"&amp;N503&amp;"|"&amp;O503</f>
        <v/>
      </c>
      <c r="R503">
        <f>IF(Q503=REPT("|",14),0,1)</f>
        <v/>
      </c>
      <c r="S503">
        <f>IF(R503=0,0,IF(SUMPRODUCT(($Q$11:Q502=Q503)*($R$11:R502=1))&gt;0,1,0))</f>
        <v/>
      </c>
    </row>
    <row r="504">
      <c r="Q504">
        <f>A504&amp;"|"&amp;B504&amp;"|"&amp;C504&amp;"|"&amp;D504&amp;"|"&amp;E504&amp;"|"&amp;F504&amp;"|"&amp;G504&amp;"|"&amp;H504&amp;"|"&amp;I504&amp;"|"&amp;J504&amp;"|"&amp;K504&amp;"|"&amp;L504&amp;"|"&amp;M504&amp;"|"&amp;N504&amp;"|"&amp;O504</f>
        <v/>
      </c>
      <c r="R504">
        <f>IF(Q504=REPT("|",14),0,1)</f>
        <v/>
      </c>
      <c r="S504">
        <f>IF(R504=0,0,IF(SUMPRODUCT(($Q$11:Q503=Q504)*($R$11:R503=1))&gt;0,1,0))</f>
        <v/>
      </c>
    </row>
    <row r="505">
      <c r="Q505">
        <f>A505&amp;"|"&amp;B505&amp;"|"&amp;C505&amp;"|"&amp;D505&amp;"|"&amp;E505&amp;"|"&amp;F505&amp;"|"&amp;G505&amp;"|"&amp;H505&amp;"|"&amp;I505&amp;"|"&amp;J505&amp;"|"&amp;K505&amp;"|"&amp;L505&amp;"|"&amp;M505&amp;"|"&amp;N505&amp;"|"&amp;O505</f>
        <v/>
      </c>
      <c r="R505">
        <f>IF(Q505=REPT("|",14),0,1)</f>
        <v/>
      </c>
      <c r="S505">
        <f>IF(R505=0,0,IF(SUMPRODUCT(($Q$11:Q504=Q505)*($R$11:R504=1))&gt;0,1,0))</f>
        <v/>
      </c>
    </row>
    <row r="506">
      <c r="Q506">
        <f>A506&amp;"|"&amp;B506&amp;"|"&amp;C506&amp;"|"&amp;D506&amp;"|"&amp;E506&amp;"|"&amp;F506&amp;"|"&amp;G506&amp;"|"&amp;H506&amp;"|"&amp;I506&amp;"|"&amp;J506&amp;"|"&amp;K506&amp;"|"&amp;L506&amp;"|"&amp;M506&amp;"|"&amp;N506&amp;"|"&amp;O506</f>
        <v/>
      </c>
      <c r="R506">
        <f>IF(Q506=REPT("|",14),0,1)</f>
        <v/>
      </c>
      <c r="S506">
        <f>IF(R506=0,0,IF(SUMPRODUCT(($Q$11:Q505=Q506)*($R$11:R505=1))&gt;0,1,0))</f>
        <v/>
      </c>
    </row>
    <row r="507">
      <c r="Q507">
        <f>A507&amp;"|"&amp;B507&amp;"|"&amp;C507&amp;"|"&amp;D507&amp;"|"&amp;E507&amp;"|"&amp;F507&amp;"|"&amp;G507&amp;"|"&amp;H507&amp;"|"&amp;I507&amp;"|"&amp;J507&amp;"|"&amp;K507&amp;"|"&amp;L507&amp;"|"&amp;M507&amp;"|"&amp;N507&amp;"|"&amp;O507</f>
        <v/>
      </c>
      <c r="R507">
        <f>IF(Q507=REPT("|",14),0,1)</f>
        <v/>
      </c>
      <c r="S507">
        <f>IF(R507=0,0,IF(SUMPRODUCT(($Q$11:Q506=Q507)*($R$11:R506=1))&gt;0,1,0))</f>
        <v/>
      </c>
    </row>
    <row r="508">
      <c r="Q508">
        <f>A508&amp;"|"&amp;B508&amp;"|"&amp;C508&amp;"|"&amp;D508&amp;"|"&amp;E508&amp;"|"&amp;F508&amp;"|"&amp;G508&amp;"|"&amp;H508&amp;"|"&amp;I508&amp;"|"&amp;J508&amp;"|"&amp;K508&amp;"|"&amp;L508&amp;"|"&amp;M508&amp;"|"&amp;N508&amp;"|"&amp;O508</f>
        <v/>
      </c>
      <c r="R508">
        <f>IF(Q508=REPT("|",14),0,1)</f>
        <v/>
      </c>
      <c r="S508">
        <f>IF(R508=0,0,IF(SUMPRODUCT(($Q$11:Q507=Q508)*($R$11:R507=1))&gt;0,1,0))</f>
        <v/>
      </c>
    </row>
    <row r="509">
      <c r="Q509">
        <f>A509&amp;"|"&amp;B509&amp;"|"&amp;C509&amp;"|"&amp;D509&amp;"|"&amp;E509&amp;"|"&amp;F509&amp;"|"&amp;G509&amp;"|"&amp;H509&amp;"|"&amp;I509&amp;"|"&amp;J509&amp;"|"&amp;K509&amp;"|"&amp;L509&amp;"|"&amp;M509&amp;"|"&amp;N509&amp;"|"&amp;O509</f>
        <v/>
      </c>
      <c r="R509">
        <f>IF(Q509=REPT("|",14),0,1)</f>
        <v/>
      </c>
      <c r="S509">
        <f>IF(R509=0,0,IF(SUMPRODUCT(($Q$11:Q508=Q509)*($R$11:R508=1))&gt;0,1,0))</f>
        <v/>
      </c>
    </row>
    <row r="510">
      <c r="Q510">
        <f>A510&amp;"|"&amp;B510&amp;"|"&amp;C510&amp;"|"&amp;D510&amp;"|"&amp;E510&amp;"|"&amp;F510&amp;"|"&amp;G510&amp;"|"&amp;H510&amp;"|"&amp;I510&amp;"|"&amp;J510&amp;"|"&amp;K510&amp;"|"&amp;L510&amp;"|"&amp;M510&amp;"|"&amp;N510&amp;"|"&amp;O510</f>
        <v/>
      </c>
      <c r="R510">
        <f>IF(Q510=REPT("|",14),0,1)</f>
        <v/>
      </c>
      <c r="S510">
        <f>IF(R510=0,0,IF(SUMPRODUCT(($Q$11:Q509=Q510)*($R$11:R509=1))&gt;0,1,0))</f>
        <v/>
      </c>
    </row>
    <row r="511">
      <c r="Q511">
        <f>A511&amp;"|"&amp;B511&amp;"|"&amp;C511&amp;"|"&amp;D511&amp;"|"&amp;E511&amp;"|"&amp;F511&amp;"|"&amp;G511&amp;"|"&amp;H511&amp;"|"&amp;I511&amp;"|"&amp;J511&amp;"|"&amp;K511&amp;"|"&amp;L511&amp;"|"&amp;M511&amp;"|"&amp;N511&amp;"|"&amp;O511</f>
        <v/>
      </c>
      <c r="R511">
        <f>IF(Q511=REPT("|",14),0,1)</f>
        <v/>
      </c>
      <c r="S511">
        <f>IF(R511=0,0,IF(SUMPRODUCT(($Q$11:Q510=Q511)*($R$11:R510=1))&gt;0,1,0))</f>
        <v/>
      </c>
    </row>
    <row r="512">
      <c r="Q512">
        <f>A512&amp;"|"&amp;B512&amp;"|"&amp;C512&amp;"|"&amp;D512&amp;"|"&amp;E512&amp;"|"&amp;F512&amp;"|"&amp;G512&amp;"|"&amp;H512&amp;"|"&amp;I512&amp;"|"&amp;J512&amp;"|"&amp;K512&amp;"|"&amp;L512&amp;"|"&amp;M512&amp;"|"&amp;N512&amp;"|"&amp;O512</f>
        <v/>
      </c>
      <c r="R512">
        <f>IF(Q512=REPT("|",14),0,1)</f>
        <v/>
      </c>
      <c r="S512">
        <f>IF(R512=0,0,IF(SUMPRODUCT(($Q$11:Q511=Q512)*($R$11:R511=1))&gt;0,1,0))</f>
        <v/>
      </c>
    </row>
    <row r="513">
      <c r="Q513">
        <f>A513&amp;"|"&amp;B513&amp;"|"&amp;C513&amp;"|"&amp;D513&amp;"|"&amp;E513&amp;"|"&amp;F513&amp;"|"&amp;G513&amp;"|"&amp;H513&amp;"|"&amp;I513&amp;"|"&amp;J513&amp;"|"&amp;K513&amp;"|"&amp;L513&amp;"|"&amp;M513&amp;"|"&amp;N513&amp;"|"&amp;O513</f>
        <v/>
      </c>
      <c r="R513">
        <f>IF(Q513=REPT("|",14),0,1)</f>
        <v/>
      </c>
      <c r="S513">
        <f>IF(R513=0,0,IF(SUMPRODUCT(($Q$11:Q512=Q513)*($R$11:R512=1))&gt;0,1,0))</f>
        <v/>
      </c>
    </row>
    <row r="514">
      <c r="Q514">
        <f>A514&amp;"|"&amp;B514&amp;"|"&amp;C514&amp;"|"&amp;D514&amp;"|"&amp;E514&amp;"|"&amp;F514&amp;"|"&amp;G514&amp;"|"&amp;H514&amp;"|"&amp;I514&amp;"|"&amp;J514&amp;"|"&amp;K514&amp;"|"&amp;L514&amp;"|"&amp;M514&amp;"|"&amp;N514&amp;"|"&amp;O514</f>
        <v/>
      </c>
      <c r="R514">
        <f>IF(Q514=REPT("|",14),0,1)</f>
        <v/>
      </c>
      <c r="S514">
        <f>IF(R514=0,0,IF(SUMPRODUCT(($Q$11:Q513=Q514)*($R$11:R513=1))&gt;0,1,0))</f>
        <v/>
      </c>
    </row>
    <row r="515">
      <c r="Q515">
        <f>A515&amp;"|"&amp;B515&amp;"|"&amp;C515&amp;"|"&amp;D515&amp;"|"&amp;E515&amp;"|"&amp;F515&amp;"|"&amp;G515&amp;"|"&amp;H515&amp;"|"&amp;I515&amp;"|"&amp;J515&amp;"|"&amp;K515&amp;"|"&amp;L515&amp;"|"&amp;M515&amp;"|"&amp;N515&amp;"|"&amp;O515</f>
        <v/>
      </c>
      <c r="R515">
        <f>IF(Q515=REPT("|",14),0,1)</f>
        <v/>
      </c>
      <c r="S515">
        <f>IF(R515=0,0,IF(SUMPRODUCT(($Q$11:Q514=Q515)*($R$11:R514=1))&gt;0,1,0))</f>
        <v/>
      </c>
    </row>
    <row r="516">
      <c r="Q516">
        <f>A516&amp;"|"&amp;B516&amp;"|"&amp;C516&amp;"|"&amp;D516&amp;"|"&amp;E516&amp;"|"&amp;F516&amp;"|"&amp;G516&amp;"|"&amp;H516&amp;"|"&amp;I516&amp;"|"&amp;J516&amp;"|"&amp;K516&amp;"|"&amp;L516&amp;"|"&amp;M516&amp;"|"&amp;N516&amp;"|"&amp;O516</f>
        <v/>
      </c>
      <c r="R516">
        <f>IF(Q516=REPT("|",14),0,1)</f>
        <v/>
      </c>
      <c r="S516">
        <f>IF(R516=0,0,IF(SUMPRODUCT(($Q$11:Q515=Q516)*($R$11:R515=1))&gt;0,1,0))</f>
        <v/>
      </c>
    </row>
    <row r="517">
      <c r="Q517">
        <f>A517&amp;"|"&amp;B517&amp;"|"&amp;C517&amp;"|"&amp;D517&amp;"|"&amp;E517&amp;"|"&amp;F517&amp;"|"&amp;G517&amp;"|"&amp;H517&amp;"|"&amp;I517&amp;"|"&amp;J517&amp;"|"&amp;K517&amp;"|"&amp;L517&amp;"|"&amp;M517&amp;"|"&amp;N517&amp;"|"&amp;O517</f>
        <v/>
      </c>
      <c r="R517">
        <f>IF(Q517=REPT("|",14),0,1)</f>
        <v/>
      </c>
      <c r="S517">
        <f>IF(R517=0,0,IF(SUMPRODUCT(($Q$11:Q516=Q517)*($R$11:R516=1))&gt;0,1,0))</f>
        <v/>
      </c>
    </row>
    <row r="518">
      <c r="Q518">
        <f>A518&amp;"|"&amp;B518&amp;"|"&amp;C518&amp;"|"&amp;D518&amp;"|"&amp;E518&amp;"|"&amp;F518&amp;"|"&amp;G518&amp;"|"&amp;H518&amp;"|"&amp;I518&amp;"|"&amp;J518&amp;"|"&amp;K518&amp;"|"&amp;L518&amp;"|"&amp;M518&amp;"|"&amp;N518&amp;"|"&amp;O518</f>
        <v/>
      </c>
      <c r="R518">
        <f>IF(Q518=REPT("|",14),0,1)</f>
        <v/>
      </c>
      <c r="S518">
        <f>IF(R518=0,0,IF(SUMPRODUCT(($Q$11:Q517=Q518)*($R$11:R517=1))&gt;0,1,0))</f>
        <v/>
      </c>
    </row>
    <row r="519">
      <c r="Q519">
        <f>A519&amp;"|"&amp;B519&amp;"|"&amp;C519&amp;"|"&amp;D519&amp;"|"&amp;E519&amp;"|"&amp;F519&amp;"|"&amp;G519&amp;"|"&amp;H519&amp;"|"&amp;I519&amp;"|"&amp;J519&amp;"|"&amp;K519&amp;"|"&amp;L519&amp;"|"&amp;M519&amp;"|"&amp;N519&amp;"|"&amp;O519</f>
        <v/>
      </c>
      <c r="R519">
        <f>IF(Q519=REPT("|",14),0,1)</f>
        <v/>
      </c>
      <c r="S519">
        <f>IF(R519=0,0,IF(SUMPRODUCT(($Q$11:Q518=Q519)*($R$11:R518=1))&gt;0,1,0))</f>
        <v/>
      </c>
    </row>
    <row r="520">
      <c r="Q520">
        <f>A520&amp;"|"&amp;B520&amp;"|"&amp;C520&amp;"|"&amp;D520&amp;"|"&amp;E520&amp;"|"&amp;F520&amp;"|"&amp;G520&amp;"|"&amp;H520&amp;"|"&amp;I520&amp;"|"&amp;J520&amp;"|"&amp;K520&amp;"|"&amp;L520&amp;"|"&amp;M520&amp;"|"&amp;N520&amp;"|"&amp;O520</f>
        <v/>
      </c>
      <c r="R520">
        <f>IF(Q520=REPT("|",14),0,1)</f>
        <v/>
      </c>
      <c r="S520">
        <f>IF(R520=0,0,IF(SUMPRODUCT(($Q$11:Q519=Q520)*($R$11:R519=1))&gt;0,1,0))</f>
        <v/>
      </c>
    </row>
    <row r="521">
      <c r="Q521">
        <f>A521&amp;"|"&amp;B521&amp;"|"&amp;C521&amp;"|"&amp;D521&amp;"|"&amp;E521&amp;"|"&amp;F521&amp;"|"&amp;G521&amp;"|"&amp;H521&amp;"|"&amp;I521&amp;"|"&amp;J521&amp;"|"&amp;K521&amp;"|"&amp;L521&amp;"|"&amp;M521&amp;"|"&amp;N521&amp;"|"&amp;O521</f>
        <v/>
      </c>
      <c r="R521">
        <f>IF(Q521=REPT("|",14),0,1)</f>
        <v/>
      </c>
      <c r="S521">
        <f>IF(R521=0,0,IF(SUMPRODUCT(($Q$11:Q520=Q521)*($R$11:R520=1))&gt;0,1,0))</f>
        <v/>
      </c>
    </row>
    <row r="522">
      <c r="Q522">
        <f>A522&amp;"|"&amp;B522&amp;"|"&amp;C522&amp;"|"&amp;D522&amp;"|"&amp;E522&amp;"|"&amp;F522&amp;"|"&amp;G522&amp;"|"&amp;H522&amp;"|"&amp;I522&amp;"|"&amp;J522&amp;"|"&amp;K522&amp;"|"&amp;L522&amp;"|"&amp;M522&amp;"|"&amp;N522&amp;"|"&amp;O522</f>
        <v/>
      </c>
      <c r="R522">
        <f>IF(Q522=REPT("|",14),0,1)</f>
        <v/>
      </c>
      <c r="S522">
        <f>IF(R522=0,0,IF(SUMPRODUCT(($Q$11:Q521=Q522)*($R$11:R521=1))&gt;0,1,0))</f>
        <v/>
      </c>
    </row>
    <row r="523">
      <c r="Q523">
        <f>A523&amp;"|"&amp;B523&amp;"|"&amp;C523&amp;"|"&amp;D523&amp;"|"&amp;E523&amp;"|"&amp;F523&amp;"|"&amp;G523&amp;"|"&amp;H523&amp;"|"&amp;I523&amp;"|"&amp;J523&amp;"|"&amp;K523&amp;"|"&amp;L523&amp;"|"&amp;M523&amp;"|"&amp;N523&amp;"|"&amp;O523</f>
        <v/>
      </c>
      <c r="R523">
        <f>IF(Q523=REPT("|",14),0,1)</f>
        <v/>
      </c>
      <c r="S523">
        <f>IF(R523=0,0,IF(SUMPRODUCT(($Q$11:Q522=Q523)*($R$11:R522=1))&gt;0,1,0))</f>
        <v/>
      </c>
    </row>
    <row r="524">
      <c r="Q524">
        <f>A524&amp;"|"&amp;B524&amp;"|"&amp;C524&amp;"|"&amp;D524&amp;"|"&amp;E524&amp;"|"&amp;F524&amp;"|"&amp;G524&amp;"|"&amp;H524&amp;"|"&amp;I524&amp;"|"&amp;J524&amp;"|"&amp;K524&amp;"|"&amp;L524&amp;"|"&amp;M524&amp;"|"&amp;N524&amp;"|"&amp;O524</f>
        <v/>
      </c>
      <c r="R524">
        <f>IF(Q524=REPT("|",14),0,1)</f>
        <v/>
      </c>
      <c r="S524">
        <f>IF(R524=0,0,IF(SUMPRODUCT(($Q$11:Q523=Q524)*($R$11:R523=1))&gt;0,1,0))</f>
        <v/>
      </c>
    </row>
    <row r="525">
      <c r="Q525">
        <f>A525&amp;"|"&amp;B525&amp;"|"&amp;C525&amp;"|"&amp;D525&amp;"|"&amp;E525&amp;"|"&amp;F525&amp;"|"&amp;G525&amp;"|"&amp;H525&amp;"|"&amp;I525&amp;"|"&amp;J525&amp;"|"&amp;K525&amp;"|"&amp;L525&amp;"|"&amp;M525&amp;"|"&amp;N525&amp;"|"&amp;O525</f>
        <v/>
      </c>
      <c r="R525">
        <f>IF(Q525=REPT("|",14),0,1)</f>
        <v/>
      </c>
      <c r="S525">
        <f>IF(R525=0,0,IF(SUMPRODUCT(($Q$11:Q524=Q525)*($R$11:R524=1))&gt;0,1,0))</f>
        <v/>
      </c>
    </row>
    <row r="526">
      <c r="Q526">
        <f>A526&amp;"|"&amp;B526&amp;"|"&amp;C526&amp;"|"&amp;D526&amp;"|"&amp;E526&amp;"|"&amp;F526&amp;"|"&amp;G526&amp;"|"&amp;H526&amp;"|"&amp;I526&amp;"|"&amp;J526&amp;"|"&amp;K526&amp;"|"&amp;L526&amp;"|"&amp;M526&amp;"|"&amp;N526&amp;"|"&amp;O526</f>
        <v/>
      </c>
      <c r="R526">
        <f>IF(Q526=REPT("|",14),0,1)</f>
        <v/>
      </c>
      <c r="S526">
        <f>IF(R526=0,0,IF(SUMPRODUCT(($Q$11:Q525=Q526)*($R$11:R525=1))&gt;0,1,0))</f>
        <v/>
      </c>
    </row>
    <row r="527">
      <c r="Q527">
        <f>A527&amp;"|"&amp;B527&amp;"|"&amp;C527&amp;"|"&amp;D527&amp;"|"&amp;E527&amp;"|"&amp;F527&amp;"|"&amp;G527&amp;"|"&amp;H527&amp;"|"&amp;I527&amp;"|"&amp;J527&amp;"|"&amp;K527&amp;"|"&amp;L527&amp;"|"&amp;M527&amp;"|"&amp;N527&amp;"|"&amp;O527</f>
        <v/>
      </c>
      <c r="R527">
        <f>IF(Q527=REPT("|",14),0,1)</f>
        <v/>
      </c>
      <c r="S527">
        <f>IF(R527=0,0,IF(SUMPRODUCT(($Q$11:Q526=Q527)*($R$11:R526=1))&gt;0,1,0))</f>
        <v/>
      </c>
    </row>
    <row r="528">
      <c r="Q528">
        <f>A528&amp;"|"&amp;B528&amp;"|"&amp;C528&amp;"|"&amp;D528&amp;"|"&amp;E528&amp;"|"&amp;F528&amp;"|"&amp;G528&amp;"|"&amp;H528&amp;"|"&amp;I528&amp;"|"&amp;J528&amp;"|"&amp;K528&amp;"|"&amp;L528&amp;"|"&amp;M528&amp;"|"&amp;N528&amp;"|"&amp;O528</f>
        <v/>
      </c>
      <c r="R528">
        <f>IF(Q528=REPT("|",14),0,1)</f>
        <v/>
      </c>
      <c r="S528">
        <f>IF(R528=0,0,IF(SUMPRODUCT(($Q$11:Q527=Q528)*($R$11:R527=1))&gt;0,1,0))</f>
        <v/>
      </c>
    </row>
    <row r="529">
      <c r="Q529">
        <f>A529&amp;"|"&amp;B529&amp;"|"&amp;C529&amp;"|"&amp;D529&amp;"|"&amp;E529&amp;"|"&amp;F529&amp;"|"&amp;G529&amp;"|"&amp;H529&amp;"|"&amp;I529&amp;"|"&amp;J529&amp;"|"&amp;K529&amp;"|"&amp;L529&amp;"|"&amp;M529&amp;"|"&amp;N529&amp;"|"&amp;O529</f>
        <v/>
      </c>
      <c r="R529">
        <f>IF(Q529=REPT("|",14),0,1)</f>
        <v/>
      </c>
      <c r="S529">
        <f>IF(R529=0,0,IF(SUMPRODUCT(($Q$11:Q528=Q529)*($R$11:R528=1))&gt;0,1,0))</f>
        <v/>
      </c>
    </row>
    <row r="530">
      <c r="Q530">
        <f>A530&amp;"|"&amp;B530&amp;"|"&amp;C530&amp;"|"&amp;D530&amp;"|"&amp;E530&amp;"|"&amp;F530&amp;"|"&amp;G530&amp;"|"&amp;H530&amp;"|"&amp;I530&amp;"|"&amp;J530&amp;"|"&amp;K530&amp;"|"&amp;L530&amp;"|"&amp;M530&amp;"|"&amp;N530&amp;"|"&amp;O530</f>
        <v/>
      </c>
      <c r="R530">
        <f>IF(Q530=REPT("|",14),0,1)</f>
        <v/>
      </c>
      <c r="S530">
        <f>IF(R530=0,0,IF(SUMPRODUCT(($Q$11:Q529=Q530)*($R$11:R529=1))&gt;0,1,0))</f>
        <v/>
      </c>
    </row>
    <row r="531">
      <c r="Q531">
        <f>A531&amp;"|"&amp;B531&amp;"|"&amp;C531&amp;"|"&amp;D531&amp;"|"&amp;E531&amp;"|"&amp;F531&amp;"|"&amp;G531&amp;"|"&amp;H531&amp;"|"&amp;I531&amp;"|"&amp;J531&amp;"|"&amp;K531&amp;"|"&amp;L531&amp;"|"&amp;M531&amp;"|"&amp;N531&amp;"|"&amp;O531</f>
        <v/>
      </c>
      <c r="R531">
        <f>IF(Q531=REPT("|",14),0,1)</f>
        <v/>
      </c>
      <c r="S531">
        <f>IF(R531=0,0,IF(SUMPRODUCT(($Q$11:Q530=Q531)*($R$11:R530=1))&gt;0,1,0))</f>
        <v/>
      </c>
    </row>
    <row r="532">
      <c r="Q532">
        <f>A532&amp;"|"&amp;B532&amp;"|"&amp;C532&amp;"|"&amp;D532&amp;"|"&amp;E532&amp;"|"&amp;F532&amp;"|"&amp;G532&amp;"|"&amp;H532&amp;"|"&amp;I532&amp;"|"&amp;J532&amp;"|"&amp;K532&amp;"|"&amp;L532&amp;"|"&amp;M532&amp;"|"&amp;N532&amp;"|"&amp;O532</f>
        <v/>
      </c>
      <c r="R532">
        <f>IF(Q532=REPT("|",14),0,1)</f>
        <v/>
      </c>
      <c r="S532">
        <f>IF(R532=0,0,IF(SUMPRODUCT(($Q$11:Q531=Q532)*($R$11:R531=1))&gt;0,1,0))</f>
        <v/>
      </c>
    </row>
    <row r="533">
      <c r="Q533">
        <f>A533&amp;"|"&amp;B533&amp;"|"&amp;C533&amp;"|"&amp;D533&amp;"|"&amp;E533&amp;"|"&amp;F533&amp;"|"&amp;G533&amp;"|"&amp;H533&amp;"|"&amp;I533&amp;"|"&amp;J533&amp;"|"&amp;K533&amp;"|"&amp;L533&amp;"|"&amp;M533&amp;"|"&amp;N533&amp;"|"&amp;O533</f>
        <v/>
      </c>
      <c r="R533">
        <f>IF(Q533=REPT("|",14),0,1)</f>
        <v/>
      </c>
      <c r="S533">
        <f>IF(R533=0,0,IF(SUMPRODUCT(($Q$11:Q532=Q533)*($R$11:R532=1))&gt;0,1,0))</f>
        <v/>
      </c>
    </row>
    <row r="534">
      <c r="Q534">
        <f>A534&amp;"|"&amp;B534&amp;"|"&amp;C534&amp;"|"&amp;D534&amp;"|"&amp;E534&amp;"|"&amp;F534&amp;"|"&amp;G534&amp;"|"&amp;H534&amp;"|"&amp;I534&amp;"|"&amp;J534&amp;"|"&amp;K534&amp;"|"&amp;L534&amp;"|"&amp;M534&amp;"|"&amp;N534&amp;"|"&amp;O534</f>
        <v/>
      </c>
      <c r="R534">
        <f>IF(Q534=REPT("|",14),0,1)</f>
        <v/>
      </c>
      <c r="S534">
        <f>IF(R534=0,0,IF(SUMPRODUCT(($Q$11:Q533=Q534)*($R$11:R533=1))&gt;0,1,0))</f>
        <v/>
      </c>
    </row>
    <row r="535">
      <c r="Q535">
        <f>A535&amp;"|"&amp;B535&amp;"|"&amp;C535&amp;"|"&amp;D535&amp;"|"&amp;E535&amp;"|"&amp;F535&amp;"|"&amp;G535&amp;"|"&amp;H535&amp;"|"&amp;I535&amp;"|"&amp;J535&amp;"|"&amp;K535&amp;"|"&amp;L535&amp;"|"&amp;M535&amp;"|"&amp;N535&amp;"|"&amp;O535</f>
        <v/>
      </c>
      <c r="R535">
        <f>IF(Q535=REPT("|",14),0,1)</f>
        <v/>
      </c>
      <c r="S535">
        <f>IF(R535=0,0,IF(SUMPRODUCT(($Q$11:Q534=Q535)*($R$11:R534=1))&gt;0,1,0))</f>
        <v/>
      </c>
    </row>
    <row r="536">
      <c r="Q536">
        <f>A536&amp;"|"&amp;B536&amp;"|"&amp;C536&amp;"|"&amp;D536&amp;"|"&amp;E536&amp;"|"&amp;F536&amp;"|"&amp;G536&amp;"|"&amp;H536&amp;"|"&amp;I536&amp;"|"&amp;J536&amp;"|"&amp;K536&amp;"|"&amp;L536&amp;"|"&amp;M536&amp;"|"&amp;N536&amp;"|"&amp;O536</f>
        <v/>
      </c>
      <c r="R536">
        <f>IF(Q536=REPT("|",14),0,1)</f>
        <v/>
      </c>
      <c r="S536">
        <f>IF(R536=0,0,IF(SUMPRODUCT(($Q$11:Q535=Q536)*($R$11:R535=1))&gt;0,1,0))</f>
        <v/>
      </c>
    </row>
    <row r="537">
      <c r="Q537">
        <f>A537&amp;"|"&amp;B537&amp;"|"&amp;C537&amp;"|"&amp;D537&amp;"|"&amp;E537&amp;"|"&amp;F537&amp;"|"&amp;G537&amp;"|"&amp;H537&amp;"|"&amp;I537&amp;"|"&amp;J537&amp;"|"&amp;K537&amp;"|"&amp;L537&amp;"|"&amp;M537&amp;"|"&amp;N537&amp;"|"&amp;O537</f>
        <v/>
      </c>
      <c r="R537">
        <f>IF(Q537=REPT("|",14),0,1)</f>
        <v/>
      </c>
      <c r="S537">
        <f>IF(R537=0,0,IF(SUMPRODUCT(($Q$11:Q536=Q537)*($R$11:R536=1))&gt;0,1,0))</f>
        <v/>
      </c>
    </row>
    <row r="538">
      <c r="Q538">
        <f>A538&amp;"|"&amp;B538&amp;"|"&amp;C538&amp;"|"&amp;D538&amp;"|"&amp;E538&amp;"|"&amp;F538&amp;"|"&amp;G538&amp;"|"&amp;H538&amp;"|"&amp;I538&amp;"|"&amp;J538&amp;"|"&amp;K538&amp;"|"&amp;L538&amp;"|"&amp;M538&amp;"|"&amp;N538&amp;"|"&amp;O538</f>
        <v/>
      </c>
      <c r="R538">
        <f>IF(Q538=REPT("|",14),0,1)</f>
        <v/>
      </c>
      <c r="S538">
        <f>IF(R538=0,0,IF(SUMPRODUCT(($Q$11:Q537=Q538)*($R$11:R537=1))&gt;0,1,0))</f>
        <v/>
      </c>
    </row>
    <row r="539">
      <c r="Q539">
        <f>A539&amp;"|"&amp;B539&amp;"|"&amp;C539&amp;"|"&amp;D539&amp;"|"&amp;E539&amp;"|"&amp;F539&amp;"|"&amp;G539&amp;"|"&amp;H539&amp;"|"&amp;I539&amp;"|"&amp;J539&amp;"|"&amp;K539&amp;"|"&amp;L539&amp;"|"&amp;M539&amp;"|"&amp;N539&amp;"|"&amp;O539</f>
        <v/>
      </c>
      <c r="R539">
        <f>IF(Q539=REPT("|",14),0,1)</f>
        <v/>
      </c>
      <c r="S539">
        <f>IF(R539=0,0,IF(SUMPRODUCT(($Q$11:Q538=Q539)*($R$11:R538=1))&gt;0,1,0))</f>
        <v/>
      </c>
    </row>
    <row r="540">
      <c r="Q540">
        <f>A540&amp;"|"&amp;B540&amp;"|"&amp;C540&amp;"|"&amp;D540&amp;"|"&amp;E540&amp;"|"&amp;F540&amp;"|"&amp;G540&amp;"|"&amp;H540&amp;"|"&amp;I540&amp;"|"&amp;J540&amp;"|"&amp;K540&amp;"|"&amp;L540&amp;"|"&amp;M540&amp;"|"&amp;N540&amp;"|"&amp;O540</f>
        <v/>
      </c>
      <c r="R540">
        <f>IF(Q540=REPT("|",14),0,1)</f>
        <v/>
      </c>
      <c r="S540">
        <f>IF(R540=0,0,IF(SUMPRODUCT(($Q$11:Q539=Q540)*($R$11:R539=1))&gt;0,1,0))</f>
        <v/>
      </c>
    </row>
    <row r="541">
      <c r="Q541">
        <f>A541&amp;"|"&amp;B541&amp;"|"&amp;C541&amp;"|"&amp;D541&amp;"|"&amp;E541&amp;"|"&amp;F541&amp;"|"&amp;G541&amp;"|"&amp;H541&amp;"|"&amp;I541&amp;"|"&amp;J541&amp;"|"&amp;K541&amp;"|"&amp;L541&amp;"|"&amp;M541&amp;"|"&amp;N541&amp;"|"&amp;O541</f>
        <v/>
      </c>
      <c r="R541">
        <f>IF(Q541=REPT("|",14),0,1)</f>
        <v/>
      </c>
      <c r="S541">
        <f>IF(R541=0,0,IF(SUMPRODUCT(($Q$11:Q540=Q541)*($R$11:R540=1))&gt;0,1,0))</f>
        <v/>
      </c>
    </row>
    <row r="542">
      <c r="Q542">
        <f>A542&amp;"|"&amp;B542&amp;"|"&amp;C542&amp;"|"&amp;D542&amp;"|"&amp;E542&amp;"|"&amp;F542&amp;"|"&amp;G542&amp;"|"&amp;H542&amp;"|"&amp;I542&amp;"|"&amp;J542&amp;"|"&amp;K542&amp;"|"&amp;L542&amp;"|"&amp;M542&amp;"|"&amp;N542&amp;"|"&amp;O542</f>
        <v/>
      </c>
      <c r="R542">
        <f>IF(Q542=REPT("|",14),0,1)</f>
        <v/>
      </c>
      <c r="S542">
        <f>IF(R542=0,0,IF(SUMPRODUCT(($Q$11:Q541=Q542)*($R$11:R541=1))&gt;0,1,0))</f>
        <v/>
      </c>
    </row>
    <row r="543">
      <c r="Q543">
        <f>A543&amp;"|"&amp;B543&amp;"|"&amp;C543&amp;"|"&amp;D543&amp;"|"&amp;E543&amp;"|"&amp;F543&amp;"|"&amp;G543&amp;"|"&amp;H543&amp;"|"&amp;I543&amp;"|"&amp;J543&amp;"|"&amp;K543&amp;"|"&amp;L543&amp;"|"&amp;M543&amp;"|"&amp;N543&amp;"|"&amp;O543</f>
        <v/>
      </c>
      <c r="R543">
        <f>IF(Q543=REPT("|",14),0,1)</f>
        <v/>
      </c>
      <c r="S543">
        <f>IF(R543=0,0,IF(SUMPRODUCT(($Q$11:Q542=Q543)*($R$11:R542=1))&gt;0,1,0))</f>
        <v/>
      </c>
    </row>
    <row r="544">
      <c r="Q544">
        <f>A544&amp;"|"&amp;B544&amp;"|"&amp;C544&amp;"|"&amp;D544&amp;"|"&amp;E544&amp;"|"&amp;F544&amp;"|"&amp;G544&amp;"|"&amp;H544&amp;"|"&amp;I544&amp;"|"&amp;J544&amp;"|"&amp;K544&amp;"|"&amp;L544&amp;"|"&amp;M544&amp;"|"&amp;N544&amp;"|"&amp;O544</f>
        <v/>
      </c>
      <c r="R544">
        <f>IF(Q544=REPT("|",14),0,1)</f>
        <v/>
      </c>
      <c r="S544">
        <f>IF(R544=0,0,IF(SUMPRODUCT(($Q$11:Q543=Q544)*($R$11:R543=1))&gt;0,1,0))</f>
        <v/>
      </c>
    </row>
    <row r="545">
      <c r="Q545">
        <f>A545&amp;"|"&amp;B545&amp;"|"&amp;C545&amp;"|"&amp;D545&amp;"|"&amp;E545&amp;"|"&amp;F545&amp;"|"&amp;G545&amp;"|"&amp;H545&amp;"|"&amp;I545&amp;"|"&amp;J545&amp;"|"&amp;K545&amp;"|"&amp;L545&amp;"|"&amp;M545&amp;"|"&amp;N545&amp;"|"&amp;O545</f>
        <v/>
      </c>
      <c r="R545">
        <f>IF(Q545=REPT("|",14),0,1)</f>
        <v/>
      </c>
      <c r="S545">
        <f>IF(R545=0,0,IF(SUMPRODUCT(($Q$11:Q544=Q545)*($R$11:R544=1))&gt;0,1,0))</f>
        <v/>
      </c>
    </row>
    <row r="546">
      <c r="Q546">
        <f>A546&amp;"|"&amp;B546&amp;"|"&amp;C546&amp;"|"&amp;D546&amp;"|"&amp;E546&amp;"|"&amp;F546&amp;"|"&amp;G546&amp;"|"&amp;H546&amp;"|"&amp;I546&amp;"|"&amp;J546&amp;"|"&amp;K546&amp;"|"&amp;L546&amp;"|"&amp;M546&amp;"|"&amp;N546&amp;"|"&amp;O546</f>
        <v/>
      </c>
      <c r="R546">
        <f>IF(Q546=REPT("|",14),0,1)</f>
        <v/>
      </c>
      <c r="S546">
        <f>IF(R546=0,0,IF(SUMPRODUCT(($Q$11:Q545=Q546)*($R$11:R545=1))&gt;0,1,0))</f>
        <v/>
      </c>
    </row>
    <row r="547">
      <c r="Q547">
        <f>A547&amp;"|"&amp;B547&amp;"|"&amp;C547&amp;"|"&amp;D547&amp;"|"&amp;E547&amp;"|"&amp;F547&amp;"|"&amp;G547&amp;"|"&amp;H547&amp;"|"&amp;I547&amp;"|"&amp;J547&amp;"|"&amp;K547&amp;"|"&amp;L547&amp;"|"&amp;M547&amp;"|"&amp;N547&amp;"|"&amp;O547</f>
        <v/>
      </c>
      <c r="R547">
        <f>IF(Q547=REPT("|",14),0,1)</f>
        <v/>
      </c>
      <c r="S547">
        <f>IF(R547=0,0,IF(SUMPRODUCT(($Q$11:Q546=Q547)*($R$11:R546=1))&gt;0,1,0))</f>
        <v/>
      </c>
    </row>
    <row r="548">
      <c r="Q548">
        <f>A548&amp;"|"&amp;B548&amp;"|"&amp;C548&amp;"|"&amp;D548&amp;"|"&amp;E548&amp;"|"&amp;F548&amp;"|"&amp;G548&amp;"|"&amp;H548&amp;"|"&amp;I548&amp;"|"&amp;J548&amp;"|"&amp;K548&amp;"|"&amp;L548&amp;"|"&amp;M548&amp;"|"&amp;N548&amp;"|"&amp;O548</f>
        <v/>
      </c>
      <c r="R548">
        <f>IF(Q548=REPT("|",14),0,1)</f>
        <v/>
      </c>
      <c r="S548">
        <f>IF(R548=0,0,IF(SUMPRODUCT(($Q$11:Q547=Q548)*($R$11:R547=1))&gt;0,1,0))</f>
        <v/>
      </c>
    </row>
    <row r="549">
      <c r="Q549">
        <f>A549&amp;"|"&amp;B549&amp;"|"&amp;C549&amp;"|"&amp;D549&amp;"|"&amp;E549&amp;"|"&amp;F549&amp;"|"&amp;G549&amp;"|"&amp;H549&amp;"|"&amp;I549&amp;"|"&amp;J549&amp;"|"&amp;K549&amp;"|"&amp;L549&amp;"|"&amp;M549&amp;"|"&amp;N549&amp;"|"&amp;O549</f>
        <v/>
      </c>
      <c r="R549">
        <f>IF(Q549=REPT("|",14),0,1)</f>
        <v/>
      </c>
      <c r="S549">
        <f>IF(R549=0,0,IF(SUMPRODUCT(($Q$11:Q548=Q549)*($R$11:R548=1))&gt;0,1,0))</f>
        <v/>
      </c>
    </row>
    <row r="550">
      <c r="Q550">
        <f>A550&amp;"|"&amp;B550&amp;"|"&amp;C550&amp;"|"&amp;D550&amp;"|"&amp;E550&amp;"|"&amp;F550&amp;"|"&amp;G550&amp;"|"&amp;H550&amp;"|"&amp;I550&amp;"|"&amp;J550&amp;"|"&amp;K550&amp;"|"&amp;L550&amp;"|"&amp;M550&amp;"|"&amp;N550&amp;"|"&amp;O550</f>
        <v/>
      </c>
      <c r="R550">
        <f>IF(Q550=REPT("|",14),0,1)</f>
        <v/>
      </c>
      <c r="S550">
        <f>IF(R550=0,0,IF(SUMPRODUCT(($Q$11:Q549=Q550)*($R$11:R549=1))&gt;0,1,0))</f>
        <v/>
      </c>
    </row>
    <row r="551">
      <c r="Q551">
        <f>A551&amp;"|"&amp;B551&amp;"|"&amp;C551&amp;"|"&amp;D551&amp;"|"&amp;E551&amp;"|"&amp;F551&amp;"|"&amp;G551&amp;"|"&amp;H551&amp;"|"&amp;I551&amp;"|"&amp;J551&amp;"|"&amp;K551&amp;"|"&amp;L551&amp;"|"&amp;M551&amp;"|"&amp;N551&amp;"|"&amp;O551</f>
        <v/>
      </c>
      <c r="R551">
        <f>IF(Q551=REPT("|",14),0,1)</f>
        <v/>
      </c>
      <c r="S551">
        <f>IF(R551=0,0,IF(SUMPRODUCT(($Q$11:Q550=Q551)*($R$11:R550=1))&gt;0,1,0))</f>
        <v/>
      </c>
    </row>
    <row r="552">
      <c r="Q552">
        <f>A552&amp;"|"&amp;B552&amp;"|"&amp;C552&amp;"|"&amp;D552&amp;"|"&amp;E552&amp;"|"&amp;F552&amp;"|"&amp;G552&amp;"|"&amp;H552&amp;"|"&amp;I552&amp;"|"&amp;J552&amp;"|"&amp;K552&amp;"|"&amp;L552&amp;"|"&amp;M552&amp;"|"&amp;N552&amp;"|"&amp;O552</f>
        <v/>
      </c>
      <c r="R552">
        <f>IF(Q552=REPT("|",14),0,1)</f>
        <v/>
      </c>
      <c r="S552">
        <f>IF(R552=0,0,IF(SUMPRODUCT(($Q$11:Q551=Q552)*($R$11:R551=1))&gt;0,1,0))</f>
        <v/>
      </c>
    </row>
    <row r="553">
      <c r="Q553">
        <f>A553&amp;"|"&amp;B553&amp;"|"&amp;C553&amp;"|"&amp;D553&amp;"|"&amp;E553&amp;"|"&amp;F553&amp;"|"&amp;G553&amp;"|"&amp;H553&amp;"|"&amp;I553&amp;"|"&amp;J553&amp;"|"&amp;K553&amp;"|"&amp;L553&amp;"|"&amp;M553&amp;"|"&amp;N553&amp;"|"&amp;O553</f>
        <v/>
      </c>
      <c r="R553">
        <f>IF(Q553=REPT("|",14),0,1)</f>
        <v/>
      </c>
      <c r="S553">
        <f>IF(R553=0,0,IF(SUMPRODUCT(($Q$11:Q552=Q553)*($R$11:R552=1))&gt;0,1,0))</f>
        <v/>
      </c>
    </row>
    <row r="554">
      <c r="Q554">
        <f>A554&amp;"|"&amp;B554&amp;"|"&amp;C554&amp;"|"&amp;D554&amp;"|"&amp;E554&amp;"|"&amp;F554&amp;"|"&amp;G554&amp;"|"&amp;H554&amp;"|"&amp;I554&amp;"|"&amp;J554&amp;"|"&amp;K554&amp;"|"&amp;L554&amp;"|"&amp;M554&amp;"|"&amp;N554&amp;"|"&amp;O554</f>
        <v/>
      </c>
      <c r="R554">
        <f>IF(Q554=REPT("|",14),0,1)</f>
        <v/>
      </c>
      <c r="S554">
        <f>IF(R554=0,0,IF(SUMPRODUCT(($Q$11:Q553=Q554)*($R$11:R553=1))&gt;0,1,0))</f>
        <v/>
      </c>
    </row>
    <row r="555">
      <c r="Q555">
        <f>A555&amp;"|"&amp;B555&amp;"|"&amp;C555&amp;"|"&amp;D555&amp;"|"&amp;E555&amp;"|"&amp;F555&amp;"|"&amp;G555&amp;"|"&amp;H555&amp;"|"&amp;I555&amp;"|"&amp;J555&amp;"|"&amp;K555&amp;"|"&amp;L555&amp;"|"&amp;M555&amp;"|"&amp;N555&amp;"|"&amp;O555</f>
        <v/>
      </c>
      <c r="R555">
        <f>IF(Q555=REPT("|",14),0,1)</f>
        <v/>
      </c>
      <c r="S555">
        <f>IF(R555=0,0,IF(SUMPRODUCT(($Q$11:Q554=Q555)*($R$11:R554=1))&gt;0,1,0))</f>
        <v/>
      </c>
    </row>
    <row r="556">
      <c r="Q556">
        <f>A556&amp;"|"&amp;B556&amp;"|"&amp;C556&amp;"|"&amp;D556&amp;"|"&amp;E556&amp;"|"&amp;F556&amp;"|"&amp;G556&amp;"|"&amp;H556&amp;"|"&amp;I556&amp;"|"&amp;J556&amp;"|"&amp;K556&amp;"|"&amp;L556&amp;"|"&amp;M556&amp;"|"&amp;N556&amp;"|"&amp;O556</f>
        <v/>
      </c>
      <c r="R556">
        <f>IF(Q556=REPT("|",14),0,1)</f>
        <v/>
      </c>
      <c r="S556">
        <f>IF(R556=0,0,IF(SUMPRODUCT(($Q$11:Q555=Q556)*($R$11:R555=1))&gt;0,1,0))</f>
        <v/>
      </c>
    </row>
    <row r="557">
      <c r="Q557">
        <f>A557&amp;"|"&amp;B557&amp;"|"&amp;C557&amp;"|"&amp;D557&amp;"|"&amp;E557&amp;"|"&amp;F557&amp;"|"&amp;G557&amp;"|"&amp;H557&amp;"|"&amp;I557&amp;"|"&amp;J557&amp;"|"&amp;K557&amp;"|"&amp;L557&amp;"|"&amp;M557&amp;"|"&amp;N557&amp;"|"&amp;O557</f>
        <v/>
      </c>
      <c r="R557">
        <f>IF(Q557=REPT("|",14),0,1)</f>
        <v/>
      </c>
      <c r="S557">
        <f>IF(R557=0,0,IF(SUMPRODUCT(($Q$11:Q556=Q557)*($R$11:R556=1))&gt;0,1,0))</f>
        <v/>
      </c>
    </row>
    <row r="558">
      <c r="Q558">
        <f>A558&amp;"|"&amp;B558&amp;"|"&amp;C558&amp;"|"&amp;D558&amp;"|"&amp;E558&amp;"|"&amp;F558&amp;"|"&amp;G558&amp;"|"&amp;H558&amp;"|"&amp;I558&amp;"|"&amp;J558&amp;"|"&amp;K558&amp;"|"&amp;L558&amp;"|"&amp;M558&amp;"|"&amp;N558&amp;"|"&amp;O558</f>
        <v/>
      </c>
      <c r="R558">
        <f>IF(Q558=REPT("|",14),0,1)</f>
        <v/>
      </c>
      <c r="S558">
        <f>IF(R558=0,0,IF(SUMPRODUCT(($Q$11:Q557=Q558)*($R$11:R557=1))&gt;0,1,0))</f>
        <v/>
      </c>
    </row>
    <row r="559">
      <c r="Q559">
        <f>A559&amp;"|"&amp;B559&amp;"|"&amp;C559&amp;"|"&amp;D559&amp;"|"&amp;E559&amp;"|"&amp;F559&amp;"|"&amp;G559&amp;"|"&amp;H559&amp;"|"&amp;I559&amp;"|"&amp;J559&amp;"|"&amp;K559&amp;"|"&amp;L559&amp;"|"&amp;M559&amp;"|"&amp;N559&amp;"|"&amp;O559</f>
        <v/>
      </c>
      <c r="R559">
        <f>IF(Q559=REPT("|",14),0,1)</f>
        <v/>
      </c>
      <c r="S559">
        <f>IF(R559=0,0,IF(SUMPRODUCT(($Q$11:Q558=Q559)*($R$11:R558=1))&gt;0,1,0))</f>
        <v/>
      </c>
    </row>
    <row r="560">
      <c r="Q560">
        <f>A560&amp;"|"&amp;B560&amp;"|"&amp;C560&amp;"|"&amp;D560&amp;"|"&amp;E560&amp;"|"&amp;F560&amp;"|"&amp;G560&amp;"|"&amp;H560&amp;"|"&amp;I560&amp;"|"&amp;J560&amp;"|"&amp;K560&amp;"|"&amp;L560&amp;"|"&amp;M560&amp;"|"&amp;N560&amp;"|"&amp;O560</f>
        <v/>
      </c>
      <c r="R560">
        <f>IF(Q560=REPT("|",14),0,1)</f>
        <v/>
      </c>
      <c r="S560">
        <f>IF(R560=0,0,IF(SUMPRODUCT(($Q$11:Q559=Q560)*($R$11:R559=1))&gt;0,1,0))</f>
        <v/>
      </c>
    </row>
    <row r="561">
      <c r="Q561">
        <f>A561&amp;"|"&amp;B561&amp;"|"&amp;C561&amp;"|"&amp;D561&amp;"|"&amp;E561&amp;"|"&amp;F561&amp;"|"&amp;G561&amp;"|"&amp;H561&amp;"|"&amp;I561&amp;"|"&amp;J561&amp;"|"&amp;K561&amp;"|"&amp;L561&amp;"|"&amp;M561&amp;"|"&amp;N561&amp;"|"&amp;O561</f>
        <v/>
      </c>
      <c r="R561">
        <f>IF(Q561=REPT("|",14),0,1)</f>
        <v/>
      </c>
      <c r="S561">
        <f>IF(R561=0,0,IF(SUMPRODUCT(($Q$11:Q560=Q561)*($R$11:R560=1))&gt;0,1,0))</f>
        <v/>
      </c>
    </row>
    <row r="562">
      <c r="Q562">
        <f>A562&amp;"|"&amp;B562&amp;"|"&amp;C562&amp;"|"&amp;D562&amp;"|"&amp;E562&amp;"|"&amp;F562&amp;"|"&amp;G562&amp;"|"&amp;H562&amp;"|"&amp;I562&amp;"|"&amp;J562&amp;"|"&amp;K562&amp;"|"&amp;L562&amp;"|"&amp;M562&amp;"|"&amp;N562&amp;"|"&amp;O562</f>
        <v/>
      </c>
      <c r="R562">
        <f>IF(Q562=REPT("|",14),0,1)</f>
        <v/>
      </c>
      <c r="S562">
        <f>IF(R562=0,0,IF(SUMPRODUCT(($Q$11:Q561=Q562)*($R$11:R561=1))&gt;0,1,0))</f>
        <v/>
      </c>
    </row>
    <row r="563">
      <c r="Q563">
        <f>A563&amp;"|"&amp;B563&amp;"|"&amp;C563&amp;"|"&amp;D563&amp;"|"&amp;E563&amp;"|"&amp;F563&amp;"|"&amp;G563&amp;"|"&amp;H563&amp;"|"&amp;I563&amp;"|"&amp;J563&amp;"|"&amp;K563&amp;"|"&amp;L563&amp;"|"&amp;M563&amp;"|"&amp;N563&amp;"|"&amp;O563</f>
        <v/>
      </c>
      <c r="R563">
        <f>IF(Q563=REPT("|",14),0,1)</f>
        <v/>
      </c>
      <c r="S563">
        <f>IF(R563=0,0,IF(SUMPRODUCT(($Q$11:Q562=Q563)*($R$11:R562=1))&gt;0,1,0))</f>
        <v/>
      </c>
    </row>
    <row r="564">
      <c r="Q564">
        <f>A564&amp;"|"&amp;B564&amp;"|"&amp;C564&amp;"|"&amp;D564&amp;"|"&amp;E564&amp;"|"&amp;F564&amp;"|"&amp;G564&amp;"|"&amp;H564&amp;"|"&amp;I564&amp;"|"&amp;J564&amp;"|"&amp;K564&amp;"|"&amp;L564&amp;"|"&amp;M564&amp;"|"&amp;N564&amp;"|"&amp;O564</f>
        <v/>
      </c>
      <c r="R564">
        <f>IF(Q564=REPT("|",14),0,1)</f>
        <v/>
      </c>
      <c r="S564">
        <f>IF(R564=0,0,IF(SUMPRODUCT(($Q$11:Q563=Q564)*($R$11:R563=1))&gt;0,1,0))</f>
        <v/>
      </c>
    </row>
    <row r="565">
      <c r="Q565">
        <f>A565&amp;"|"&amp;B565&amp;"|"&amp;C565&amp;"|"&amp;D565&amp;"|"&amp;E565&amp;"|"&amp;F565&amp;"|"&amp;G565&amp;"|"&amp;H565&amp;"|"&amp;I565&amp;"|"&amp;J565&amp;"|"&amp;K565&amp;"|"&amp;L565&amp;"|"&amp;M565&amp;"|"&amp;N565&amp;"|"&amp;O565</f>
        <v/>
      </c>
      <c r="R565">
        <f>IF(Q565=REPT("|",14),0,1)</f>
        <v/>
      </c>
      <c r="S565">
        <f>IF(R565=0,0,IF(SUMPRODUCT(($Q$11:Q564=Q565)*($R$11:R564=1))&gt;0,1,0))</f>
        <v/>
      </c>
    </row>
    <row r="566">
      <c r="Q566">
        <f>A566&amp;"|"&amp;B566&amp;"|"&amp;C566&amp;"|"&amp;D566&amp;"|"&amp;E566&amp;"|"&amp;F566&amp;"|"&amp;G566&amp;"|"&amp;H566&amp;"|"&amp;I566&amp;"|"&amp;J566&amp;"|"&amp;K566&amp;"|"&amp;L566&amp;"|"&amp;M566&amp;"|"&amp;N566&amp;"|"&amp;O566</f>
        <v/>
      </c>
      <c r="R566">
        <f>IF(Q566=REPT("|",14),0,1)</f>
        <v/>
      </c>
      <c r="S566">
        <f>IF(R566=0,0,IF(SUMPRODUCT(($Q$11:Q565=Q566)*($R$11:R565=1))&gt;0,1,0))</f>
        <v/>
      </c>
    </row>
    <row r="567">
      <c r="Q567">
        <f>A567&amp;"|"&amp;B567&amp;"|"&amp;C567&amp;"|"&amp;D567&amp;"|"&amp;E567&amp;"|"&amp;F567&amp;"|"&amp;G567&amp;"|"&amp;H567&amp;"|"&amp;I567&amp;"|"&amp;J567&amp;"|"&amp;K567&amp;"|"&amp;L567&amp;"|"&amp;M567&amp;"|"&amp;N567&amp;"|"&amp;O567</f>
        <v/>
      </c>
      <c r="R567">
        <f>IF(Q567=REPT("|",14),0,1)</f>
        <v/>
      </c>
      <c r="S567">
        <f>IF(R567=0,0,IF(SUMPRODUCT(($Q$11:Q566=Q567)*($R$11:R566=1))&gt;0,1,0))</f>
        <v/>
      </c>
    </row>
    <row r="568">
      <c r="Q568">
        <f>A568&amp;"|"&amp;B568&amp;"|"&amp;C568&amp;"|"&amp;D568&amp;"|"&amp;E568&amp;"|"&amp;F568&amp;"|"&amp;G568&amp;"|"&amp;H568&amp;"|"&amp;I568&amp;"|"&amp;J568&amp;"|"&amp;K568&amp;"|"&amp;L568&amp;"|"&amp;M568&amp;"|"&amp;N568&amp;"|"&amp;O568</f>
        <v/>
      </c>
      <c r="R568">
        <f>IF(Q568=REPT("|",14),0,1)</f>
        <v/>
      </c>
      <c r="S568">
        <f>IF(R568=0,0,IF(SUMPRODUCT(($Q$11:Q567=Q568)*($R$11:R567=1))&gt;0,1,0))</f>
        <v/>
      </c>
    </row>
    <row r="569">
      <c r="Q569">
        <f>A569&amp;"|"&amp;B569&amp;"|"&amp;C569&amp;"|"&amp;D569&amp;"|"&amp;E569&amp;"|"&amp;F569&amp;"|"&amp;G569&amp;"|"&amp;H569&amp;"|"&amp;I569&amp;"|"&amp;J569&amp;"|"&amp;K569&amp;"|"&amp;L569&amp;"|"&amp;M569&amp;"|"&amp;N569&amp;"|"&amp;O569</f>
        <v/>
      </c>
      <c r="R569">
        <f>IF(Q569=REPT("|",14),0,1)</f>
        <v/>
      </c>
      <c r="S569">
        <f>IF(R569=0,0,IF(SUMPRODUCT(($Q$11:Q568=Q569)*($R$11:R568=1))&gt;0,1,0))</f>
        <v/>
      </c>
    </row>
    <row r="570">
      <c r="Q570">
        <f>A570&amp;"|"&amp;B570&amp;"|"&amp;C570&amp;"|"&amp;D570&amp;"|"&amp;E570&amp;"|"&amp;F570&amp;"|"&amp;G570&amp;"|"&amp;H570&amp;"|"&amp;I570&amp;"|"&amp;J570&amp;"|"&amp;K570&amp;"|"&amp;L570&amp;"|"&amp;M570&amp;"|"&amp;N570&amp;"|"&amp;O570</f>
        <v/>
      </c>
      <c r="R570">
        <f>IF(Q570=REPT("|",14),0,1)</f>
        <v/>
      </c>
      <c r="S570">
        <f>IF(R570=0,0,IF(SUMPRODUCT(($Q$11:Q569=Q570)*($R$11:R569=1))&gt;0,1,0))</f>
        <v/>
      </c>
    </row>
    <row r="571">
      <c r="Q571">
        <f>A571&amp;"|"&amp;B571&amp;"|"&amp;C571&amp;"|"&amp;D571&amp;"|"&amp;E571&amp;"|"&amp;F571&amp;"|"&amp;G571&amp;"|"&amp;H571&amp;"|"&amp;I571&amp;"|"&amp;J571&amp;"|"&amp;K571&amp;"|"&amp;L571&amp;"|"&amp;M571&amp;"|"&amp;N571&amp;"|"&amp;O571</f>
        <v/>
      </c>
      <c r="R571">
        <f>IF(Q571=REPT("|",14),0,1)</f>
        <v/>
      </c>
      <c r="S571">
        <f>IF(R571=0,0,IF(SUMPRODUCT(($Q$11:Q570=Q571)*($R$11:R570=1))&gt;0,1,0))</f>
        <v/>
      </c>
    </row>
    <row r="572">
      <c r="Q572">
        <f>A572&amp;"|"&amp;B572&amp;"|"&amp;C572&amp;"|"&amp;D572&amp;"|"&amp;E572&amp;"|"&amp;F572&amp;"|"&amp;G572&amp;"|"&amp;H572&amp;"|"&amp;I572&amp;"|"&amp;J572&amp;"|"&amp;K572&amp;"|"&amp;L572&amp;"|"&amp;M572&amp;"|"&amp;N572&amp;"|"&amp;O572</f>
        <v/>
      </c>
      <c r="R572">
        <f>IF(Q572=REPT("|",14),0,1)</f>
        <v/>
      </c>
      <c r="S572">
        <f>IF(R572=0,0,IF(SUMPRODUCT(($Q$11:Q571=Q572)*($R$11:R571=1))&gt;0,1,0))</f>
        <v/>
      </c>
    </row>
    <row r="573">
      <c r="Q573">
        <f>A573&amp;"|"&amp;B573&amp;"|"&amp;C573&amp;"|"&amp;D573&amp;"|"&amp;E573&amp;"|"&amp;F573&amp;"|"&amp;G573&amp;"|"&amp;H573&amp;"|"&amp;I573&amp;"|"&amp;J573&amp;"|"&amp;K573&amp;"|"&amp;L573&amp;"|"&amp;M573&amp;"|"&amp;N573&amp;"|"&amp;O573</f>
        <v/>
      </c>
      <c r="R573">
        <f>IF(Q573=REPT("|",14),0,1)</f>
        <v/>
      </c>
      <c r="S573">
        <f>IF(R573=0,0,IF(SUMPRODUCT(($Q$11:Q572=Q573)*($R$11:R572=1))&gt;0,1,0))</f>
        <v/>
      </c>
    </row>
    <row r="574">
      <c r="Q574">
        <f>A574&amp;"|"&amp;B574&amp;"|"&amp;C574&amp;"|"&amp;D574&amp;"|"&amp;E574&amp;"|"&amp;F574&amp;"|"&amp;G574&amp;"|"&amp;H574&amp;"|"&amp;I574&amp;"|"&amp;J574&amp;"|"&amp;K574&amp;"|"&amp;L574&amp;"|"&amp;M574&amp;"|"&amp;N574&amp;"|"&amp;O574</f>
        <v/>
      </c>
      <c r="R574">
        <f>IF(Q574=REPT("|",14),0,1)</f>
        <v/>
      </c>
      <c r="S574">
        <f>IF(R574=0,0,IF(SUMPRODUCT(($Q$11:Q573=Q574)*($R$11:R573=1))&gt;0,1,0))</f>
        <v/>
      </c>
    </row>
    <row r="575">
      <c r="Q575">
        <f>A575&amp;"|"&amp;B575&amp;"|"&amp;C575&amp;"|"&amp;D575&amp;"|"&amp;E575&amp;"|"&amp;F575&amp;"|"&amp;G575&amp;"|"&amp;H575&amp;"|"&amp;I575&amp;"|"&amp;J575&amp;"|"&amp;K575&amp;"|"&amp;L575&amp;"|"&amp;M575&amp;"|"&amp;N575&amp;"|"&amp;O575</f>
        <v/>
      </c>
      <c r="R575">
        <f>IF(Q575=REPT("|",14),0,1)</f>
        <v/>
      </c>
      <c r="S575">
        <f>IF(R575=0,0,IF(SUMPRODUCT(($Q$11:Q574=Q575)*($R$11:R574=1))&gt;0,1,0))</f>
        <v/>
      </c>
    </row>
    <row r="576">
      <c r="Q576">
        <f>A576&amp;"|"&amp;B576&amp;"|"&amp;C576&amp;"|"&amp;D576&amp;"|"&amp;E576&amp;"|"&amp;F576&amp;"|"&amp;G576&amp;"|"&amp;H576&amp;"|"&amp;I576&amp;"|"&amp;J576&amp;"|"&amp;K576&amp;"|"&amp;L576&amp;"|"&amp;M576&amp;"|"&amp;N576&amp;"|"&amp;O576</f>
        <v/>
      </c>
      <c r="R576">
        <f>IF(Q576=REPT("|",14),0,1)</f>
        <v/>
      </c>
      <c r="S576">
        <f>IF(R576=0,0,IF(SUMPRODUCT(($Q$11:Q575=Q576)*($R$11:R575=1))&gt;0,1,0))</f>
        <v/>
      </c>
    </row>
    <row r="577">
      <c r="Q577">
        <f>A577&amp;"|"&amp;B577&amp;"|"&amp;C577&amp;"|"&amp;D577&amp;"|"&amp;E577&amp;"|"&amp;F577&amp;"|"&amp;G577&amp;"|"&amp;H577&amp;"|"&amp;I577&amp;"|"&amp;J577&amp;"|"&amp;K577&amp;"|"&amp;L577&amp;"|"&amp;M577&amp;"|"&amp;N577&amp;"|"&amp;O577</f>
        <v/>
      </c>
      <c r="R577">
        <f>IF(Q577=REPT("|",14),0,1)</f>
        <v/>
      </c>
      <c r="S577">
        <f>IF(R577=0,0,IF(SUMPRODUCT(($Q$11:Q576=Q577)*($R$11:R576=1))&gt;0,1,0))</f>
        <v/>
      </c>
    </row>
    <row r="578">
      <c r="Q578">
        <f>A578&amp;"|"&amp;B578&amp;"|"&amp;C578&amp;"|"&amp;D578&amp;"|"&amp;E578&amp;"|"&amp;F578&amp;"|"&amp;G578&amp;"|"&amp;H578&amp;"|"&amp;I578&amp;"|"&amp;J578&amp;"|"&amp;K578&amp;"|"&amp;L578&amp;"|"&amp;M578&amp;"|"&amp;N578&amp;"|"&amp;O578</f>
        <v/>
      </c>
      <c r="R578">
        <f>IF(Q578=REPT("|",14),0,1)</f>
        <v/>
      </c>
      <c r="S578">
        <f>IF(R578=0,0,IF(SUMPRODUCT(($Q$11:Q577=Q578)*($R$11:R577=1))&gt;0,1,0))</f>
        <v/>
      </c>
    </row>
    <row r="579">
      <c r="Q579">
        <f>A579&amp;"|"&amp;B579&amp;"|"&amp;C579&amp;"|"&amp;D579&amp;"|"&amp;E579&amp;"|"&amp;F579&amp;"|"&amp;G579&amp;"|"&amp;H579&amp;"|"&amp;I579&amp;"|"&amp;J579&amp;"|"&amp;K579&amp;"|"&amp;L579&amp;"|"&amp;M579&amp;"|"&amp;N579&amp;"|"&amp;O579</f>
        <v/>
      </c>
      <c r="R579">
        <f>IF(Q579=REPT("|",14),0,1)</f>
        <v/>
      </c>
      <c r="S579">
        <f>IF(R579=0,0,IF(SUMPRODUCT(($Q$11:Q578=Q579)*($R$11:R578=1))&gt;0,1,0))</f>
        <v/>
      </c>
    </row>
    <row r="580">
      <c r="Q580">
        <f>A580&amp;"|"&amp;B580&amp;"|"&amp;C580&amp;"|"&amp;D580&amp;"|"&amp;E580&amp;"|"&amp;F580&amp;"|"&amp;G580&amp;"|"&amp;H580&amp;"|"&amp;I580&amp;"|"&amp;J580&amp;"|"&amp;K580&amp;"|"&amp;L580&amp;"|"&amp;M580&amp;"|"&amp;N580&amp;"|"&amp;O580</f>
        <v/>
      </c>
      <c r="R580">
        <f>IF(Q580=REPT("|",14),0,1)</f>
        <v/>
      </c>
      <c r="S580">
        <f>IF(R580=0,0,IF(SUMPRODUCT(($Q$11:Q579=Q580)*($R$11:R579=1))&gt;0,1,0))</f>
        <v/>
      </c>
    </row>
    <row r="581">
      <c r="Q581">
        <f>A581&amp;"|"&amp;B581&amp;"|"&amp;C581&amp;"|"&amp;D581&amp;"|"&amp;E581&amp;"|"&amp;F581&amp;"|"&amp;G581&amp;"|"&amp;H581&amp;"|"&amp;I581&amp;"|"&amp;J581&amp;"|"&amp;K581&amp;"|"&amp;L581&amp;"|"&amp;M581&amp;"|"&amp;N581&amp;"|"&amp;O581</f>
        <v/>
      </c>
      <c r="R581">
        <f>IF(Q581=REPT("|",14),0,1)</f>
        <v/>
      </c>
      <c r="S581">
        <f>IF(R581=0,0,IF(SUMPRODUCT(($Q$11:Q580=Q581)*($R$11:R580=1))&gt;0,1,0))</f>
        <v/>
      </c>
    </row>
    <row r="582">
      <c r="Q582">
        <f>A582&amp;"|"&amp;B582&amp;"|"&amp;C582&amp;"|"&amp;D582&amp;"|"&amp;E582&amp;"|"&amp;F582&amp;"|"&amp;G582&amp;"|"&amp;H582&amp;"|"&amp;I582&amp;"|"&amp;J582&amp;"|"&amp;K582&amp;"|"&amp;L582&amp;"|"&amp;M582&amp;"|"&amp;N582&amp;"|"&amp;O582</f>
        <v/>
      </c>
      <c r="R582">
        <f>IF(Q582=REPT("|",14),0,1)</f>
        <v/>
      </c>
      <c r="S582">
        <f>IF(R582=0,0,IF(SUMPRODUCT(($Q$11:Q581=Q582)*($R$11:R581=1))&gt;0,1,0))</f>
        <v/>
      </c>
    </row>
    <row r="583">
      <c r="Q583">
        <f>A583&amp;"|"&amp;B583&amp;"|"&amp;C583&amp;"|"&amp;D583&amp;"|"&amp;E583&amp;"|"&amp;F583&amp;"|"&amp;G583&amp;"|"&amp;H583&amp;"|"&amp;I583&amp;"|"&amp;J583&amp;"|"&amp;K583&amp;"|"&amp;L583&amp;"|"&amp;M583&amp;"|"&amp;N583&amp;"|"&amp;O583</f>
        <v/>
      </c>
      <c r="R583">
        <f>IF(Q583=REPT("|",14),0,1)</f>
        <v/>
      </c>
      <c r="S583">
        <f>IF(R583=0,0,IF(SUMPRODUCT(($Q$11:Q582=Q583)*($R$11:R582=1))&gt;0,1,0))</f>
        <v/>
      </c>
    </row>
    <row r="584">
      <c r="Q584">
        <f>A584&amp;"|"&amp;B584&amp;"|"&amp;C584&amp;"|"&amp;D584&amp;"|"&amp;E584&amp;"|"&amp;F584&amp;"|"&amp;G584&amp;"|"&amp;H584&amp;"|"&amp;I584&amp;"|"&amp;J584&amp;"|"&amp;K584&amp;"|"&amp;L584&amp;"|"&amp;M584&amp;"|"&amp;N584&amp;"|"&amp;O584</f>
        <v/>
      </c>
      <c r="R584">
        <f>IF(Q584=REPT("|",14),0,1)</f>
        <v/>
      </c>
      <c r="S584">
        <f>IF(R584=0,0,IF(SUMPRODUCT(($Q$11:Q583=Q584)*($R$11:R583=1))&gt;0,1,0))</f>
        <v/>
      </c>
    </row>
    <row r="585">
      <c r="Q585">
        <f>A585&amp;"|"&amp;B585&amp;"|"&amp;C585&amp;"|"&amp;D585&amp;"|"&amp;E585&amp;"|"&amp;F585&amp;"|"&amp;G585&amp;"|"&amp;H585&amp;"|"&amp;I585&amp;"|"&amp;J585&amp;"|"&amp;K585&amp;"|"&amp;L585&amp;"|"&amp;M585&amp;"|"&amp;N585&amp;"|"&amp;O585</f>
        <v/>
      </c>
      <c r="R585">
        <f>IF(Q585=REPT("|",14),0,1)</f>
        <v/>
      </c>
      <c r="S585">
        <f>IF(R585=0,0,IF(SUMPRODUCT(($Q$11:Q584=Q585)*($R$11:R584=1))&gt;0,1,0))</f>
        <v/>
      </c>
    </row>
    <row r="586">
      <c r="Q586">
        <f>A586&amp;"|"&amp;B586&amp;"|"&amp;C586&amp;"|"&amp;D586&amp;"|"&amp;E586&amp;"|"&amp;F586&amp;"|"&amp;G586&amp;"|"&amp;H586&amp;"|"&amp;I586&amp;"|"&amp;J586&amp;"|"&amp;K586&amp;"|"&amp;L586&amp;"|"&amp;M586&amp;"|"&amp;N586&amp;"|"&amp;O586</f>
        <v/>
      </c>
      <c r="R586">
        <f>IF(Q586=REPT("|",14),0,1)</f>
        <v/>
      </c>
      <c r="S586">
        <f>IF(R586=0,0,IF(SUMPRODUCT(($Q$11:Q585=Q586)*($R$11:R585=1))&gt;0,1,0))</f>
        <v/>
      </c>
    </row>
    <row r="587">
      <c r="Q587">
        <f>A587&amp;"|"&amp;B587&amp;"|"&amp;C587&amp;"|"&amp;D587&amp;"|"&amp;E587&amp;"|"&amp;F587&amp;"|"&amp;G587&amp;"|"&amp;H587&amp;"|"&amp;I587&amp;"|"&amp;J587&amp;"|"&amp;K587&amp;"|"&amp;L587&amp;"|"&amp;M587&amp;"|"&amp;N587&amp;"|"&amp;O587</f>
        <v/>
      </c>
      <c r="R587">
        <f>IF(Q587=REPT("|",14),0,1)</f>
        <v/>
      </c>
      <c r="S587">
        <f>IF(R587=0,0,IF(SUMPRODUCT(($Q$11:Q586=Q587)*($R$11:R586=1))&gt;0,1,0))</f>
        <v/>
      </c>
    </row>
    <row r="588">
      <c r="Q588">
        <f>A588&amp;"|"&amp;B588&amp;"|"&amp;C588&amp;"|"&amp;D588&amp;"|"&amp;E588&amp;"|"&amp;F588&amp;"|"&amp;G588&amp;"|"&amp;H588&amp;"|"&amp;I588&amp;"|"&amp;J588&amp;"|"&amp;K588&amp;"|"&amp;L588&amp;"|"&amp;M588&amp;"|"&amp;N588&amp;"|"&amp;O588</f>
        <v/>
      </c>
      <c r="R588">
        <f>IF(Q588=REPT("|",14),0,1)</f>
        <v/>
      </c>
      <c r="S588">
        <f>IF(R588=0,0,IF(SUMPRODUCT(($Q$11:Q587=Q588)*($R$11:R587=1))&gt;0,1,0))</f>
        <v/>
      </c>
    </row>
    <row r="589">
      <c r="Q589">
        <f>A589&amp;"|"&amp;B589&amp;"|"&amp;C589&amp;"|"&amp;D589&amp;"|"&amp;E589&amp;"|"&amp;F589&amp;"|"&amp;G589&amp;"|"&amp;H589&amp;"|"&amp;I589&amp;"|"&amp;J589&amp;"|"&amp;K589&amp;"|"&amp;L589&amp;"|"&amp;M589&amp;"|"&amp;N589&amp;"|"&amp;O589</f>
        <v/>
      </c>
      <c r="R589">
        <f>IF(Q589=REPT("|",14),0,1)</f>
        <v/>
      </c>
      <c r="S589">
        <f>IF(R589=0,0,IF(SUMPRODUCT(($Q$11:Q588=Q589)*($R$11:R588=1))&gt;0,1,0))</f>
        <v/>
      </c>
    </row>
    <row r="590">
      <c r="Q590">
        <f>A590&amp;"|"&amp;B590&amp;"|"&amp;C590&amp;"|"&amp;D590&amp;"|"&amp;E590&amp;"|"&amp;F590&amp;"|"&amp;G590&amp;"|"&amp;H590&amp;"|"&amp;I590&amp;"|"&amp;J590&amp;"|"&amp;K590&amp;"|"&amp;L590&amp;"|"&amp;M590&amp;"|"&amp;N590&amp;"|"&amp;O590</f>
        <v/>
      </c>
      <c r="R590">
        <f>IF(Q590=REPT("|",14),0,1)</f>
        <v/>
      </c>
      <c r="S590">
        <f>IF(R590=0,0,IF(SUMPRODUCT(($Q$11:Q589=Q590)*($R$11:R589=1))&gt;0,1,0))</f>
        <v/>
      </c>
    </row>
    <row r="591">
      <c r="Q591">
        <f>A591&amp;"|"&amp;B591&amp;"|"&amp;C591&amp;"|"&amp;D591&amp;"|"&amp;E591&amp;"|"&amp;F591&amp;"|"&amp;G591&amp;"|"&amp;H591&amp;"|"&amp;I591&amp;"|"&amp;J591&amp;"|"&amp;K591&amp;"|"&amp;L591&amp;"|"&amp;M591&amp;"|"&amp;N591&amp;"|"&amp;O591</f>
        <v/>
      </c>
      <c r="R591">
        <f>IF(Q591=REPT("|",14),0,1)</f>
        <v/>
      </c>
      <c r="S591">
        <f>IF(R591=0,0,IF(SUMPRODUCT(($Q$11:Q590=Q591)*($R$11:R590=1))&gt;0,1,0))</f>
        <v/>
      </c>
    </row>
    <row r="592">
      <c r="Q592">
        <f>A592&amp;"|"&amp;B592&amp;"|"&amp;C592&amp;"|"&amp;D592&amp;"|"&amp;E592&amp;"|"&amp;F592&amp;"|"&amp;G592&amp;"|"&amp;H592&amp;"|"&amp;I592&amp;"|"&amp;J592&amp;"|"&amp;K592&amp;"|"&amp;L592&amp;"|"&amp;M592&amp;"|"&amp;N592&amp;"|"&amp;O592</f>
        <v/>
      </c>
      <c r="R592">
        <f>IF(Q592=REPT("|",14),0,1)</f>
        <v/>
      </c>
      <c r="S592">
        <f>IF(R592=0,0,IF(SUMPRODUCT(($Q$11:Q591=Q592)*($R$11:R591=1))&gt;0,1,0))</f>
        <v/>
      </c>
    </row>
    <row r="593">
      <c r="Q593">
        <f>A593&amp;"|"&amp;B593&amp;"|"&amp;C593&amp;"|"&amp;D593&amp;"|"&amp;E593&amp;"|"&amp;F593&amp;"|"&amp;G593&amp;"|"&amp;H593&amp;"|"&amp;I593&amp;"|"&amp;J593&amp;"|"&amp;K593&amp;"|"&amp;L593&amp;"|"&amp;M593&amp;"|"&amp;N593&amp;"|"&amp;O593</f>
        <v/>
      </c>
      <c r="R593">
        <f>IF(Q593=REPT("|",14),0,1)</f>
        <v/>
      </c>
      <c r="S593">
        <f>IF(R593=0,0,IF(SUMPRODUCT(($Q$11:Q592=Q593)*($R$11:R592=1))&gt;0,1,0))</f>
        <v/>
      </c>
    </row>
    <row r="594">
      <c r="Q594">
        <f>A594&amp;"|"&amp;B594&amp;"|"&amp;C594&amp;"|"&amp;D594&amp;"|"&amp;E594&amp;"|"&amp;F594&amp;"|"&amp;G594&amp;"|"&amp;H594&amp;"|"&amp;I594&amp;"|"&amp;J594&amp;"|"&amp;K594&amp;"|"&amp;L594&amp;"|"&amp;M594&amp;"|"&amp;N594&amp;"|"&amp;O594</f>
        <v/>
      </c>
      <c r="R594">
        <f>IF(Q594=REPT("|",14),0,1)</f>
        <v/>
      </c>
      <c r="S594">
        <f>IF(R594=0,0,IF(SUMPRODUCT(($Q$11:Q593=Q594)*($R$11:R593=1))&gt;0,1,0))</f>
        <v/>
      </c>
    </row>
    <row r="595">
      <c r="Q595">
        <f>A595&amp;"|"&amp;B595&amp;"|"&amp;C595&amp;"|"&amp;D595&amp;"|"&amp;E595&amp;"|"&amp;F595&amp;"|"&amp;G595&amp;"|"&amp;H595&amp;"|"&amp;I595&amp;"|"&amp;J595&amp;"|"&amp;K595&amp;"|"&amp;L595&amp;"|"&amp;M595&amp;"|"&amp;N595&amp;"|"&amp;O595</f>
        <v/>
      </c>
      <c r="R595">
        <f>IF(Q595=REPT("|",14),0,1)</f>
        <v/>
      </c>
      <c r="S595">
        <f>IF(R595=0,0,IF(SUMPRODUCT(($Q$11:Q594=Q595)*($R$11:R594=1))&gt;0,1,0))</f>
        <v/>
      </c>
    </row>
    <row r="596">
      <c r="Q596">
        <f>A596&amp;"|"&amp;B596&amp;"|"&amp;C596&amp;"|"&amp;D596&amp;"|"&amp;E596&amp;"|"&amp;F596&amp;"|"&amp;G596&amp;"|"&amp;H596&amp;"|"&amp;I596&amp;"|"&amp;J596&amp;"|"&amp;K596&amp;"|"&amp;L596&amp;"|"&amp;M596&amp;"|"&amp;N596&amp;"|"&amp;O596</f>
        <v/>
      </c>
      <c r="R596">
        <f>IF(Q596=REPT("|",14),0,1)</f>
        <v/>
      </c>
      <c r="S596">
        <f>IF(R596=0,0,IF(SUMPRODUCT(($Q$11:Q595=Q596)*($R$11:R595=1))&gt;0,1,0))</f>
        <v/>
      </c>
    </row>
    <row r="597">
      <c r="Q597">
        <f>A597&amp;"|"&amp;B597&amp;"|"&amp;C597&amp;"|"&amp;D597&amp;"|"&amp;E597&amp;"|"&amp;F597&amp;"|"&amp;G597&amp;"|"&amp;H597&amp;"|"&amp;I597&amp;"|"&amp;J597&amp;"|"&amp;K597&amp;"|"&amp;L597&amp;"|"&amp;M597&amp;"|"&amp;N597&amp;"|"&amp;O597</f>
        <v/>
      </c>
      <c r="R597">
        <f>IF(Q597=REPT("|",14),0,1)</f>
        <v/>
      </c>
      <c r="S597">
        <f>IF(R597=0,0,IF(SUMPRODUCT(($Q$11:Q596=Q597)*($R$11:R596=1))&gt;0,1,0))</f>
        <v/>
      </c>
    </row>
    <row r="598">
      <c r="Q598">
        <f>A598&amp;"|"&amp;B598&amp;"|"&amp;C598&amp;"|"&amp;D598&amp;"|"&amp;E598&amp;"|"&amp;F598&amp;"|"&amp;G598&amp;"|"&amp;H598&amp;"|"&amp;I598&amp;"|"&amp;J598&amp;"|"&amp;K598&amp;"|"&amp;L598&amp;"|"&amp;M598&amp;"|"&amp;N598&amp;"|"&amp;O598</f>
        <v/>
      </c>
      <c r="R598">
        <f>IF(Q598=REPT("|",14),0,1)</f>
        <v/>
      </c>
      <c r="S598">
        <f>IF(R598=0,0,IF(SUMPRODUCT(($Q$11:Q597=Q598)*($R$11:R597=1))&gt;0,1,0))</f>
        <v/>
      </c>
    </row>
    <row r="599">
      <c r="Q599">
        <f>A599&amp;"|"&amp;B599&amp;"|"&amp;C599&amp;"|"&amp;D599&amp;"|"&amp;E599&amp;"|"&amp;F599&amp;"|"&amp;G599&amp;"|"&amp;H599&amp;"|"&amp;I599&amp;"|"&amp;J599&amp;"|"&amp;K599&amp;"|"&amp;L599&amp;"|"&amp;M599&amp;"|"&amp;N599&amp;"|"&amp;O599</f>
        <v/>
      </c>
      <c r="R599">
        <f>IF(Q599=REPT("|",14),0,1)</f>
        <v/>
      </c>
      <c r="S599">
        <f>IF(R599=0,0,IF(SUMPRODUCT(($Q$11:Q598=Q599)*($R$11:R598=1))&gt;0,1,0))</f>
        <v/>
      </c>
    </row>
    <row r="600">
      <c r="Q600">
        <f>A600&amp;"|"&amp;B600&amp;"|"&amp;C600&amp;"|"&amp;D600&amp;"|"&amp;E600&amp;"|"&amp;F600&amp;"|"&amp;G600&amp;"|"&amp;H600&amp;"|"&amp;I600&amp;"|"&amp;J600&amp;"|"&amp;K600&amp;"|"&amp;L600&amp;"|"&amp;M600&amp;"|"&amp;N600&amp;"|"&amp;O600</f>
        <v/>
      </c>
      <c r="R600">
        <f>IF(Q600=REPT("|",14),0,1)</f>
        <v/>
      </c>
      <c r="S600">
        <f>IF(R600=0,0,IF(SUMPRODUCT(($Q$11:Q599=Q600)*($R$11:R599=1))&gt;0,1,0))</f>
        <v/>
      </c>
    </row>
    <row r="601">
      <c r="Q601">
        <f>A601&amp;"|"&amp;B601&amp;"|"&amp;C601&amp;"|"&amp;D601&amp;"|"&amp;E601&amp;"|"&amp;F601&amp;"|"&amp;G601&amp;"|"&amp;H601&amp;"|"&amp;I601&amp;"|"&amp;J601&amp;"|"&amp;K601&amp;"|"&amp;L601&amp;"|"&amp;M601&amp;"|"&amp;N601&amp;"|"&amp;O601</f>
        <v/>
      </c>
      <c r="R601">
        <f>IF(Q601=REPT("|",14),0,1)</f>
        <v/>
      </c>
      <c r="S601">
        <f>IF(R601=0,0,IF(SUMPRODUCT(($Q$11:Q600=Q601)*($R$11:R600=1))&gt;0,1,0))</f>
        <v/>
      </c>
    </row>
    <row r="602">
      <c r="Q602">
        <f>A602&amp;"|"&amp;B602&amp;"|"&amp;C602&amp;"|"&amp;D602&amp;"|"&amp;E602&amp;"|"&amp;F602&amp;"|"&amp;G602&amp;"|"&amp;H602&amp;"|"&amp;I602&amp;"|"&amp;J602&amp;"|"&amp;K602&amp;"|"&amp;L602&amp;"|"&amp;M602&amp;"|"&amp;N602&amp;"|"&amp;O602</f>
        <v/>
      </c>
      <c r="R602">
        <f>IF(Q602=REPT("|",14),0,1)</f>
        <v/>
      </c>
      <c r="S602">
        <f>IF(R602=0,0,IF(SUMPRODUCT(($Q$11:Q601=Q602)*($R$11:R601=1))&gt;0,1,0))</f>
        <v/>
      </c>
    </row>
    <row r="603">
      <c r="Q603">
        <f>A603&amp;"|"&amp;B603&amp;"|"&amp;C603&amp;"|"&amp;D603&amp;"|"&amp;E603&amp;"|"&amp;F603&amp;"|"&amp;G603&amp;"|"&amp;H603&amp;"|"&amp;I603&amp;"|"&amp;J603&amp;"|"&amp;K603&amp;"|"&amp;L603&amp;"|"&amp;M603&amp;"|"&amp;N603&amp;"|"&amp;O603</f>
        <v/>
      </c>
      <c r="R603">
        <f>IF(Q603=REPT("|",14),0,1)</f>
        <v/>
      </c>
      <c r="S603">
        <f>IF(R603=0,0,IF(SUMPRODUCT(($Q$11:Q602=Q603)*($R$11:R602=1))&gt;0,1,0))</f>
        <v/>
      </c>
    </row>
    <row r="604">
      <c r="Q604">
        <f>A604&amp;"|"&amp;B604&amp;"|"&amp;C604&amp;"|"&amp;D604&amp;"|"&amp;E604&amp;"|"&amp;F604&amp;"|"&amp;G604&amp;"|"&amp;H604&amp;"|"&amp;I604&amp;"|"&amp;J604&amp;"|"&amp;K604&amp;"|"&amp;L604&amp;"|"&amp;M604&amp;"|"&amp;N604&amp;"|"&amp;O604</f>
        <v/>
      </c>
      <c r="R604">
        <f>IF(Q604=REPT("|",14),0,1)</f>
        <v/>
      </c>
      <c r="S604">
        <f>IF(R604=0,0,IF(SUMPRODUCT(($Q$11:Q603=Q604)*($R$11:R603=1))&gt;0,1,0))</f>
        <v/>
      </c>
    </row>
    <row r="605">
      <c r="Q605">
        <f>A605&amp;"|"&amp;B605&amp;"|"&amp;C605&amp;"|"&amp;D605&amp;"|"&amp;E605&amp;"|"&amp;F605&amp;"|"&amp;G605&amp;"|"&amp;H605&amp;"|"&amp;I605&amp;"|"&amp;J605&amp;"|"&amp;K605&amp;"|"&amp;L605&amp;"|"&amp;M605&amp;"|"&amp;N605&amp;"|"&amp;O605</f>
        <v/>
      </c>
      <c r="R605">
        <f>IF(Q605=REPT("|",14),0,1)</f>
        <v/>
      </c>
      <c r="S605">
        <f>IF(R605=0,0,IF(SUMPRODUCT(($Q$11:Q604=Q605)*($R$11:R604=1))&gt;0,1,0))</f>
        <v/>
      </c>
    </row>
    <row r="606">
      <c r="Q606">
        <f>A606&amp;"|"&amp;B606&amp;"|"&amp;C606&amp;"|"&amp;D606&amp;"|"&amp;E606&amp;"|"&amp;F606&amp;"|"&amp;G606&amp;"|"&amp;H606&amp;"|"&amp;I606&amp;"|"&amp;J606&amp;"|"&amp;K606&amp;"|"&amp;L606&amp;"|"&amp;M606&amp;"|"&amp;N606&amp;"|"&amp;O606</f>
        <v/>
      </c>
      <c r="R606">
        <f>IF(Q606=REPT("|",14),0,1)</f>
        <v/>
      </c>
      <c r="S606">
        <f>IF(R606=0,0,IF(SUMPRODUCT(($Q$11:Q605=Q606)*($R$11:R605=1))&gt;0,1,0))</f>
        <v/>
      </c>
    </row>
    <row r="607">
      <c r="Q607">
        <f>A607&amp;"|"&amp;B607&amp;"|"&amp;C607&amp;"|"&amp;D607&amp;"|"&amp;E607&amp;"|"&amp;F607&amp;"|"&amp;G607&amp;"|"&amp;H607&amp;"|"&amp;I607&amp;"|"&amp;J607&amp;"|"&amp;K607&amp;"|"&amp;L607&amp;"|"&amp;M607&amp;"|"&amp;N607&amp;"|"&amp;O607</f>
        <v/>
      </c>
      <c r="R607">
        <f>IF(Q607=REPT("|",14),0,1)</f>
        <v/>
      </c>
      <c r="S607">
        <f>IF(R607=0,0,IF(SUMPRODUCT(($Q$11:Q606=Q607)*($R$11:R606=1))&gt;0,1,0))</f>
        <v/>
      </c>
    </row>
    <row r="608">
      <c r="Q608">
        <f>A608&amp;"|"&amp;B608&amp;"|"&amp;C608&amp;"|"&amp;D608&amp;"|"&amp;E608&amp;"|"&amp;F608&amp;"|"&amp;G608&amp;"|"&amp;H608&amp;"|"&amp;I608&amp;"|"&amp;J608&amp;"|"&amp;K608&amp;"|"&amp;L608&amp;"|"&amp;M608&amp;"|"&amp;N608&amp;"|"&amp;O608</f>
        <v/>
      </c>
      <c r="R608">
        <f>IF(Q608=REPT("|",14),0,1)</f>
        <v/>
      </c>
      <c r="S608">
        <f>IF(R608=0,0,IF(SUMPRODUCT(($Q$11:Q607=Q608)*($R$11:R607=1))&gt;0,1,0))</f>
        <v/>
      </c>
    </row>
    <row r="609">
      <c r="Q609">
        <f>A609&amp;"|"&amp;B609&amp;"|"&amp;C609&amp;"|"&amp;D609&amp;"|"&amp;E609&amp;"|"&amp;F609&amp;"|"&amp;G609&amp;"|"&amp;H609&amp;"|"&amp;I609&amp;"|"&amp;J609&amp;"|"&amp;K609&amp;"|"&amp;L609&amp;"|"&amp;M609&amp;"|"&amp;N609&amp;"|"&amp;O609</f>
        <v/>
      </c>
      <c r="R609">
        <f>IF(Q609=REPT("|",14),0,1)</f>
        <v/>
      </c>
      <c r="S609">
        <f>IF(R609=0,0,IF(SUMPRODUCT(($Q$11:Q608=Q609)*($R$11:R608=1))&gt;0,1,0))</f>
        <v/>
      </c>
    </row>
    <row r="610">
      <c r="Q610">
        <f>A610&amp;"|"&amp;B610&amp;"|"&amp;C610&amp;"|"&amp;D610&amp;"|"&amp;E610&amp;"|"&amp;F610&amp;"|"&amp;G610&amp;"|"&amp;H610&amp;"|"&amp;I610&amp;"|"&amp;J610&amp;"|"&amp;K610&amp;"|"&amp;L610&amp;"|"&amp;M610&amp;"|"&amp;N610&amp;"|"&amp;O610</f>
        <v/>
      </c>
      <c r="R610">
        <f>IF(Q610=REPT("|",14),0,1)</f>
        <v/>
      </c>
      <c r="S610">
        <f>IF(R610=0,0,IF(SUMPRODUCT(($Q$11:Q609=Q610)*($R$11:R609=1))&gt;0,1,0))</f>
        <v/>
      </c>
    </row>
    <row r="611">
      <c r="Q611">
        <f>A611&amp;"|"&amp;B611&amp;"|"&amp;C611&amp;"|"&amp;D611&amp;"|"&amp;E611&amp;"|"&amp;F611&amp;"|"&amp;G611&amp;"|"&amp;H611&amp;"|"&amp;I611&amp;"|"&amp;J611&amp;"|"&amp;K611&amp;"|"&amp;L611&amp;"|"&amp;M611&amp;"|"&amp;N611&amp;"|"&amp;O611</f>
        <v/>
      </c>
      <c r="R611">
        <f>IF(Q611=REPT("|",14),0,1)</f>
        <v/>
      </c>
      <c r="S611">
        <f>IF(R611=0,0,IF(SUMPRODUCT(($Q$11:Q610=Q611)*($R$11:R610=1))&gt;0,1,0))</f>
        <v/>
      </c>
    </row>
    <row r="612">
      <c r="Q612">
        <f>A612&amp;"|"&amp;B612&amp;"|"&amp;C612&amp;"|"&amp;D612&amp;"|"&amp;E612&amp;"|"&amp;F612&amp;"|"&amp;G612&amp;"|"&amp;H612&amp;"|"&amp;I612&amp;"|"&amp;J612&amp;"|"&amp;K612&amp;"|"&amp;L612&amp;"|"&amp;M612&amp;"|"&amp;N612&amp;"|"&amp;O612</f>
        <v/>
      </c>
      <c r="R612">
        <f>IF(Q612=REPT("|",14),0,1)</f>
        <v/>
      </c>
      <c r="S612">
        <f>IF(R612=0,0,IF(SUMPRODUCT(($Q$11:Q611=Q612)*($R$11:R611=1))&gt;0,1,0))</f>
        <v/>
      </c>
    </row>
    <row r="613">
      <c r="Q613">
        <f>A613&amp;"|"&amp;B613&amp;"|"&amp;C613&amp;"|"&amp;D613&amp;"|"&amp;E613&amp;"|"&amp;F613&amp;"|"&amp;G613&amp;"|"&amp;H613&amp;"|"&amp;I613&amp;"|"&amp;J613&amp;"|"&amp;K613&amp;"|"&amp;L613&amp;"|"&amp;M613&amp;"|"&amp;N613&amp;"|"&amp;O613</f>
        <v/>
      </c>
      <c r="R613">
        <f>IF(Q613=REPT("|",14),0,1)</f>
        <v/>
      </c>
      <c r="S613">
        <f>IF(R613=0,0,IF(SUMPRODUCT(($Q$11:Q612=Q613)*($R$11:R612=1))&gt;0,1,0))</f>
        <v/>
      </c>
    </row>
    <row r="614">
      <c r="Q614">
        <f>A614&amp;"|"&amp;B614&amp;"|"&amp;C614&amp;"|"&amp;D614&amp;"|"&amp;E614&amp;"|"&amp;F614&amp;"|"&amp;G614&amp;"|"&amp;H614&amp;"|"&amp;I614&amp;"|"&amp;J614&amp;"|"&amp;K614&amp;"|"&amp;L614&amp;"|"&amp;M614&amp;"|"&amp;N614&amp;"|"&amp;O614</f>
        <v/>
      </c>
      <c r="R614">
        <f>IF(Q614=REPT("|",14),0,1)</f>
        <v/>
      </c>
      <c r="S614">
        <f>IF(R614=0,0,IF(SUMPRODUCT(($Q$11:Q613=Q614)*($R$11:R613=1))&gt;0,1,0))</f>
        <v/>
      </c>
    </row>
    <row r="615">
      <c r="Q615">
        <f>A615&amp;"|"&amp;B615&amp;"|"&amp;C615&amp;"|"&amp;D615&amp;"|"&amp;E615&amp;"|"&amp;F615&amp;"|"&amp;G615&amp;"|"&amp;H615&amp;"|"&amp;I615&amp;"|"&amp;J615&amp;"|"&amp;K615&amp;"|"&amp;L615&amp;"|"&amp;M615&amp;"|"&amp;N615&amp;"|"&amp;O615</f>
        <v/>
      </c>
      <c r="R615">
        <f>IF(Q615=REPT("|",14),0,1)</f>
        <v/>
      </c>
      <c r="S615">
        <f>IF(R615=0,0,IF(SUMPRODUCT(($Q$11:Q614=Q615)*($R$11:R614=1))&gt;0,1,0))</f>
        <v/>
      </c>
    </row>
    <row r="616">
      <c r="Q616">
        <f>A616&amp;"|"&amp;B616&amp;"|"&amp;C616&amp;"|"&amp;D616&amp;"|"&amp;E616&amp;"|"&amp;F616&amp;"|"&amp;G616&amp;"|"&amp;H616&amp;"|"&amp;I616&amp;"|"&amp;J616&amp;"|"&amp;K616&amp;"|"&amp;L616&amp;"|"&amp;M616&amp;"|"&amp;N616&amp;"|"&amp;O616</f>
        <v/>
      </c>
      <c r="R616">
        <f>IF(Q616=REPT("|",14),0,1)</f>
        <v/>
      </c>
      <c r="S616">
        <f>IF(R616=0,0,IF(SUMPRODUCT(($Q$11:Q615=Q616)*($R$11:R615=1))&gt;0,1,0))</f>
        <v/>
      </c>
    </row>
    <row r="617">
      <c r="Q617">
        <f>A617&amp;"|"&amp;B617&amp;"|"&amp;C617&amp;"|"&amp;D617&amp;"|"&amp;E617&amp;"|"&amp;F617&amp;"|"&amp;G617&amp;"|"&amp;H617&amp;"|"&amp;I617&amp;"|"&amp;J617&amp;"|"&amp;K617&amp;"|"&amp;L617&amp;"|"&amp;M617&amp;"|"&amp;N617&amp;"|"&amp;O617</f>
        <v/>
      </c>
      <c r="R617">
        <f>IF(Q617=REPT("|",14),0,1)</f>
        <v/>
      </c>
      <c r="S617">
        <f>IF(R617=0,0,IF(SUMPRODUCT(($Q$11:Q616=Q617)*($R$11:R616=1))&gt;0,1,0))</f>
        <v/>
      </c>
    </row>
    <row r="618">
      <c r="Q618">
        <f>A618&amp;"|"&amp;B618&amp;"|"&amp;C618&amp;"|"&amp;D618&amp;"|"&amp;E618&amp;"|"&amp;F618&amp;"|"&amp;G618&amp;"|"&amp;H618&amp;"|"&amp;I618&amp;"|"&amp;J618&amp;"|"&amp;K618&amp;"|"&amp;L618&amp;"|"&amp;M618&amp;"|"&amp;N618&amp;"|"&amp;O618</f>
        <v/>
      </c>
      <c r="R618">
        <f>IF(Q618=REPT("|",14),0,1)</f>
        <v/>
      </c>
      <c r="S618">
        <f>IF(R618=0,0,IF(SUMPRODUCT(($Q$11:Q617=Q618)*($R$11:R617=1))&gt;0,1,0))</f>
        <v/>
      </c>
    </row>
    <row r="619">
      <c r="Q619">
        <f>A619&amp;"|"&amp;B619&amp;"|"&amp;C619&amp;"|"&amp;D619&amp;"|"&amp;E619&amp;"|"&amp;F619&amp;"|"&amp;G619&amp;"|"&amp;H619&amp;"|"&amp;I619&amp;"|"&amp;J619&amp;"|"&amp;K619&amp;"|"&amp;L619&amp;"|"&amp;M619&amp;"|"&amp;N619&amp;"|"&amp;O619</f>
        <v/>
      </c>
      <c r="R619">
        <f>IF(Q619=REPT("|",14),0,1)</f>
        <v/>
      </c>
      <c r="S619">
        <f>IF(R619=0,0,IF(SUMPRODUCT(($Q$11:Q618=Q619)*($R$11:R618=1))&gt;0,1,0))</f>
        <v/>
      </c>
    </row>
    <row r="620">
      <c r="Q620">
        <f>A620&amp;"|"&amp;B620&amp;"|"&amp;C620&amp;"|"&amp;D620&amp;"|"&amp;E620&amp;"|"&amp;F620&amp;"|"&amp;G620&amp;"|"&amp;H620&amp;"|"&amp;I620&amp;"|"&amp;J620&amp;"|"&amp;K620&amp;"|"&amp;L620&amp;"|"&amp;M620&amp;"|"&amp;N620&amp;"|"&amp;O620</f>
        <v/>
      </c>
      <c r="R620">
        <f>IF(Q620=REPT("|",14),0,1)</f>
        <v/>
      </c>
      <c r="S620">
        <f>IF(R620=0,0,IF(SUMPRODUCT(($Q$11:Q619=Q620)*($R$11:R619=1))&gt;0,1,0))</f>
        <v/>
      </c>
    </row>
    <row r="621">
      <c r="Q621">
        <f>A621&amp;"|"&amp;B621&amp;"|"&amp;C621&amp;"|"&amp;D621&amp;"|"&amp;E621&amp;"|"&amp;F621&amp;"|"&amp;G621&amp;"|"&amp;H621&amp;"|"&amp;I621&amp;"|"&amp;J621&amp;"|"&amp;K621&amp;"|"&amp;L621&amp;"|"&amp;M621&amp;"|"&amp;N621&amp;"|"&amp;O621</f>
        <v/>
      </c>
      <c r="R621">
        <f>IF(Q621=REPT("|",14),0,1)</f>
        <v/>
      </c>
      <c r="S621">
        <f>IF(R621=0,0,IF(SUMPRODUCT(($Q$11:Q620=Q621)*($R$11:R620=1))&gt;0,1,0))</f>
        <v/>
      </c>
    </row>
    <row r="622">
      <c r="Q622">
        <f>A622&amp;"|"&amp;B622&amp;"|"&amp;C622&amp;"|"&amp;D622&amp;"|"&amp;E622&amp;"|"&amp;F622&amp;"|"&amp;G622&amp;"|"&amp;H622&amp;"|"&amp;I622&amp;"|"&amp;J622&amp;"|"&amp;K622&amp;"|"&amp;L622&amp;"|"&amp;M622&amp;"|"&amp;N622&amp;"|"&amp;O622</f>
        <v/>
      </c>
      <c r="R622">
        <f>IF(Q622=REPT("|",14),0,1)</f>
        <v/>
      </c>
      <c r="S622">
        <f>IF(R622=0,0,IF(SUMPRODUCT(($Q$11:Q621=Q622)*($R$11:R621=1))&gt;0,1,0))</f>
        <v/>
      </c>
    </row>
    <row r="623">
      <c r="Q623">
        <f>A623&amp;"|"&amp;B623&amp;"|"&amp;C623&amp;"|"&amp;D623&amp;"|"&amp;E623&amp;"|"&amp;F623&amp;"|"&amp;G623&amp;"|"&amp;H623&amp;"|"&amp;I623&amp;"|"&amp;J623&amp;"|"&amp;K623&amp;"|"&amp;L623&amp;"|"&amp;M623&amp;"|"&amp;N623&amp;"|"&amp;O623</f>
        <v/>
      </c>
      <c r="R623">
        <f>IF(Q623=REPT("|",14),0,1)</f>
        <v/>
      </c>
      <c r="S623">
        <f>IF(R623=0,0,IF(SUMPRODUCT(($Q$11:Q622=Q623)*($R$11:R622=1))&gt;0,1,0))</f>
        <v/>
      </c>
    </row>
    <row r="624">
      <c r="Q624">
        <f>A624&amp;"|"&amp;B624&amp;"|"&amp;C624&amp;"|"&amp;D624&amp;"|"&amp;E624&amp;"|"&amp;F624&amp;"|"&amp;G624&amp;"|"&amp;H624&amp;"|"&amp;I624&amp;"|"&amp;J624&amp;"|"&amp;K624&amp;"|"&amp;L624&amp;"|"&amp;M624&amp;"|"&amp;N624&amp;"|"&amp;O624</f>
        <v/>
      </c>
      <c r="R624">
        <f>IF(Q624=REPT("|",14),0,1)</f>
        <v/>
      </c>
      <c r="S624">
        <f>IF(R624=0,0,IF(SUMPRODUCT(($Q$11:Q623=Q624)*($R$11:R623=1))&gt;0,1,0))</f>
        <v/>
      </c>
    </row>
    <row r="625">
      <c r="Q625">
        <f>A625&amp;"|"&amp;B625&amp;"|"&amp;C625&amp;"|"&amp;D625&amp;"|"&amp;E625&amp;"|"&amp;F625&amp;"|"&amp;G625&amp;"|"&amp;H625&amp;"|"&amp;I625&amp;"|"&amp;J625&amp;"|"&amp;K625&amp;"|"&amp;L625&amp;"|"&amp;M625&amp;"|"&amp;N625&amp;"|"&amp;O625</f>
        <v/>
      </c>
      <c r="R625">
        <f>IF(Q625=REPT("|",14),0,1)</f>
        <v/>
      </c>
      <c r="S625">
        <f>IF(R625=0,0,IF(SUMPRODUCT(($Q$11:Q624=Q625)*($R$11:R624=1))&gt;0,1,0))</f>
        <v/>
      </c>
    </row>
    <row r="626">
      <c r="Q626">
        <f>A626&amp;"|"&amp;B626&amp;"|"&amp;C626&amp;"|"&amp;D626&amp;"|"&amp;E626&amp;"|"&amp;F626&amp;"|"&amp;G626&amp;"|"&amp;H626&amp;"|"&amp;I626&amp;"|"&amp;J626&amp;"|"&amp;K626&amp;"|"&amp;L626&amp;"|"&amp;M626&amp;"|"&amp;N626&amp;"|"&amp;O626</f>
        <v/>
      </c>
      <c r="R626">
        <f>IF(Q626=REPT("|",14),0,1)</f>
        <v/>
      </c>
      <c r="S626">
        <f>IF(R626=0,0,IF(SUMPRODUCT(($Q$11:Q625=Q626)*($R$11:R625=1))&gt;0,1,0))</f>
        <v/>
      </c>
    </row>
    <row r="627">
      <c r="Q627">
        <f>A627&amp;"|"&amp;B627&amp;"|"&amp;C627&amp;"|"&amp;D627&amp;"|"&amp;E627&amp;"|"&amp;F627&amp;"|"&amp;G627&amp;"|"&amp;H627&amp;"|"&amp;I627&amp;"|"&amp;J627&amp;"|"&amp;K627&amp;"|"&amp;L627&amp;"|"&amp;M627&amp;"|"&amp;N627&amp;"|"&amp;O627</f>
        <v/>
      </c>
      <c r="R627">
        <f>IF(Q627=REPT("|",14),0,1)</f>
        <v/>
      </c>
      <c r="S627">
        <f>IF(R627=0,0,IF(SUMPRODUCT(($Q$11:Q626=Q627)*($R$11:R626=1))&gt;0,1,0))</f>
        <v/>
      </c>
    </row>
    <row r="628">
      <c r="Q628">
        <f>A628&amp;"|"&amp;B628&amp;"|"&amp;C628&amp;"|"&amp;D628&amp;"|"&amp;E628&amp;"|"&amp;F628&amp;"|"&amp;G628&amp;"|"&amp;H628&amp;"|"&amp;I628&amp;"|"&amp;J628&amp;"|"&amp;K628&amp;"|"&amp;L628&amp;"|"&amp;M628&amp;"|"&amp;N628&amp;"|"&amp;O628</f>
        <v/>
      </c>
      <c r="R628">
        <f>IF(Q628=REPT("|",14),0,1)</f>
        <v/>
      </c>
      <c r="S628">
        <f>IF(R628=0,0,IF(SUMPRODUCT(($Q$11:Q627=Q628)*($R$11:R627=1))&gt;0,1,0))</f>
        <v/>
      </c>
    </row>
    <row r="629">
      <c r="Q629">
        <f>A629&amp;"|"&amp;B629&amp;"|"&amp;C629&amp;"|"&amp;D629&amp;"|"&amp;E629&amp;"|"&amp;F629&amp;"|"&amp;G629&amp;"|"&amp;H629&amp;"|"&amp;I629&amp;"|"&amp;J629&amp;"|"&amp;K629&amp;"|"&amp;L629&amp;"|"&amp;M629&amp;"|"&amp;N629&amp;"|"&amp;O629</f>
        <v/>
      </c>
      <c r="R629">
        <f>IF(Q629=REPT("|",14),0,1)</f>
        <v/>
      </c>
      <c r="S629">
        <f>IF(R629=0,0,IF(SUMPRODUCT(($Q$11:Q628=Q629)*($R$11:R628=1))&gt;0,1,0))</f>
        <v/>
      </c>
    </row>
    <row r="630">
      <c r="Q630">
        <f>A630&amp;"|"&amp;B630&amp;"|"&amp;C630&amp;"|"&amp;D630&amp;"|"&amp;E630&amp;"|"&amp;F630&amp;"|"&amp;G630&amp;"|"&amp;H630&amp;"|"&amp;I630&amp;"|"&amp;J630&amp;"|"&amp;K630&amp;"|"&amp;L630&amp;"|"&amp;M630&amp;"|"&amp;N630&amp;"|"&amp;O630</f>
        <v/>
      </c>
      <c r="R630">
        <f>IF(Q630=REPT("|",14),0,1)</f>
        <v/>
      </c>
      <c r="S630">
        <f>IF(R630=0,0,IF(SUMPRODUCT(($Q$11:Q629=Q630)*($R$11:R629=1))&gt;0,1,0))</f>
        <v/>
      </c>
    </row>
    <row r="631">
      <c r="Q631">
        <f>A631&amp;"|"&amp;B631&amp;"|"&amp;C631&amp;"|"&amp;D631&amp;"|"&amp;E631&amp;"|"&amp;F631&amp;"|"&amp;G631&amp;"|"&amp;H631&amp;"|"&amp;I631&amp;"|"&amp;J631&amp;"|"&amp;K631&amp;"|"&amp;L631&amp;"|"&amp;M631&amp;"|"&amp;N631&amp;"|"&amp;O631</f>
        <v/>
      </c>
      <c r="R631">
        <f>IF(Q631=REPT("|",14),0,1)</f>
        <v/>
      </c>
      <c r="S631">
        <f>IF(R631=0,0,IF(SUMPRODUCT(($Q$11:Q630=Q631)*($R$11:R630=1))&gt;0,1,0))</f>
        <v/>
      </c>
    </row>
    <row r="632">
      <c r="Q632">
        <f>A632&amp;"|"&amp;B632&amp;"|"&amp;C632&amp;"|"&amp;D632&amp;"|"&amp;E632&amp;"|"&amp;F632&amp;"|"&amp;G632&amp;"|"&amp;H632&amp;"|"&amp;I632&amp;"|"&amp;J632&amp;"|"&amp;K632&amp;"|"&amp;L632&amp;"|"&amp;M632&amp;"|"&amp;N632&amp;"|"&amp;O632</f>
        <v/>
      </c>
      <c r="R632">
        <f>IF(Q632=REPT("|",14),0,1)</f>
        <v/>
      </c>
      <c r="S632">
        <f>IF(R632=0,0,IF(SUMPRODUCT(($Q$11:Q631=Q632)*($R$11:R631=1))&gt;0,1,0))</f>
        <v/>
      </c>
    </row>
    <row r="633">
      <c r="Q633">
        <f>A633&amp;"|"&amp;B633&amp;"|"&amp;C633&amp;"|"&amp;D633&amp;"|"&amp;E633&amp;"|"&amp;F633&amp;"|"&amp;G633&amp;"|"&amp;H633&amp;"|"&amp;I633&amp;"|"&amp;J633&amp;"|"&amp;K633&amp;"|"&amp;L633&amp;"|"&amp;M633&amp;"|"&amp;N633&amp;"|"&amp;O633</f>
        <v/>
      </c>
      <c r="R633">
        <f>IF(Q633=REPT("|",14),0,1)</f>
        <v/>
      </c>
      <c r="S633">
        <f>IF(R633=0,0,IF(SUMPRODUCT(($Q$11:Q632=Q633)*($R$11:R632=1))&gt;0,1,0))</f>
        <v/>
      </c>
    </row>
    <row r="634">
      <c r="Q634">
        <f>A634&amp;"|"&amp;B634&amp;"|"&amp;C634&amp;"|"&amp;D634&amp;"|"&amp;E634&amp;"|"&amp;F634&amp;"|"&amp;G634&amp;"|"&amp;H634&amp;"|"&amp;I634&amp;"|"&amp;J634&amp;"|"&amp;K634&amp;"|"&amp;L634&amp;"|"&amp;M634&amp;"|"&amp;N634&amp;"|"&amp;O634</f>
        <v/>
      </c>
      <c r="R634">
        <f>IF(Q634=REPT("|",14),0,1)</f>
        <v/>
      </c>
      <c r="S634">
        <f>IF(R634=0,0,IF(SUMPRODUCT(($Q$11:Q633=Q634)*($R$11:R633=1))&gt;0,1,0))</f>
        <v/>
      </c>
    </row>
    <row r="635">
      <c r="Q635">
        <f>A635&amp;"|"&amp;B635&amp;"|"&amp;C635&amp;"|"&amp;D635&amp;"|"&amp;E635&amp;"|"&amp;F635&amp;"|"&amp;G635&amp;"|"&amp;H635&amp;"|"&amp;I635&amp;"|"&amp;J635&amp;"|"&amp;K635&amp;"|"&amp;L635&amp;"|"&amp;M635&amp;"|"&amp;N635&amp;"|"&amp;O635</f>
        <v/>
      </c>
      <c r="R635">
        <f>IF(Q635=REPT("|",14),0,1)</f>
        <v/>
      </c>
      <c r="S635">
        <f>IF(R635=0,0,IF(SUMPRODUCT(($Q$11:Q634=Q635)*($R$11:R634=1))&gt;0,1,0))</f>
        <v/>
      </c>
    </row>
    <row r="636">
      <c r="Q636">
        <f>A636&amp;"|"&amp;B636&amp;"|"&amp;C636&amp;"|"&amp;D636&amp;"|"&amp;E636&amp;"|"&amp;F636&amp;"|"&amp;G636&amp;"|"&amp;H636&amp;"|"&amp;I636&amp;"|"&amp;J636&amp;"|"&amp;K636&amp;"|"&amp;L636&amp;"|"&amp;M636&amp;"|"&amp;N636&amp;"|"&amp;O636</f>
        <v/>
      </c>
      <c r="R636">
        <f>IF(Q636=REPT("|",14),0,1)</f>
        <v/>
      </c>
      <c r="S636">
        <f>IF(R636=0,0,IF(SUMPRODUCT(($Q$11:Q635=Q636)*($R$11:R635=1))&gt;0,1,0))</f>
        <v/>
      </c>
    </row>
    <row r="637">
      <c r="Q637">
        <f>A637&amp;"|"&amp;B637&amp;"|"&amp;C637&amp;"|"&amp;D637&amp;"|"&amp;E637&amp;"|"&amp;F637&amp;"|"&amp;G637&amp;"|"&amp;H637&amp;"|"&amp;I637&amp;"|"&amp;J637&amp;"|"&amp;K637&amp;"|"&amp;L637&amp;"|"&amp;M637&amp;"|"&amp;N637&amp;"|"&amp;O637</f>
        <v/>
      </c>
      <c r="R637">
        <f>IF(Q637=REPT("|",14),0,1)</f>
        <v/>
      </c>
      <c r="S637">
        <f>IF(R637=0,0,IF(SUMPRODUCT(($Q$11:Q636=Q637)*($R$11:R636=1))&gt;0,1,0))</f>
        <v/>
      </c>
    </row>
    <row r="638">
      <c r="Q638">
        <f>A638&amp;"|"&amp;B638&amp;"|"&amp;C638&amp;"|"&amp;D638&amp;"|"&amp;E638&amp;"|"&amp;F638&amp;"|"&amp;G638&amp;"|"&amp;H638&amp;"|"&amp;I638&amp;"|"&amp;J638&amp;"|"&amp;K638&amp;"|"&amp;L638&amp;"|"&amp;M638&amp;"|"&amp;N638&amp;"|"&amp;O638</f>
        <v/>
      </c>
      <c r="R638">
        <f>IF(Q638=REPT("|",14),0,1)</f>
        <v/>
      </c>
      <c r="S638">
        <f>IF(R638=0,0,IF(SUMPRODUCT(($Q$11:Q637=Q638)*($R$11:R637=1))&gt;0,1,0))</f>
        <v/>
      </c>
    </row>
    <row r="639">
      <c r="Q639">
        <f>A639&amp;"|"&amp;B639&amp;"|"&amp;C639&amp;"|"&amp;D639&amp;"|"&amp;E639&amp;"|"&amp;F639&amp;"|"&amp;G639&amp;"|"&amp;H639&amp;"|"&amp;I639&amp;"|"&amp;J639&amp;"|"&amp;K639&amp;"|"&amp;L639&amp;"|"&amp;M639&amp;"|"&amp;N639&amp;"|"&amp;O639</f>
        <v/>
      </c>
      <c r="R639">
        <f>IF(Q639=REPT("|",14),0,1)</f>
        <v/>
      </c>
      <c r="S639">
        <f>IF(R639=0,0,IF(SUMPRODUCT(($Q$11:Q638=Q639)*($R$11:R638=1))&gt;0,1,0))</f>
        <v/>
      </c>
    </row>
    <row r="640">
      <c r="Q640">
        <f>A640&amp;"|"&amp;B640&amp;"|"&amp;C640&amp;"|"&amp;D640&amp;"|"&amp;E640&amp;"|"&amp;F640&amp;"|"&amp;G640&amp;"|"&amp;H640&amp;"|"&amp;I640&amp;"|"&amp;J640&amp;"|"&amp;K640&amp;"|"&amp;L640&amp;"|"&amp;M640&amp;"|"&amp;N640&amp;"|"&amp;O640</f>
        <v/>
      </c>
      <c r="R640">
        <f>IF(Q640=REPT("|",14),0,1)</f>
        <v/>
      </c>
      <c r="S640">
        <f>IF(R640=0,0,IF(SUMPRODUCT(($Q$11:Q639=Q640)*($R$11:R639=1))&gt;0,1,0))</f>
        <v/>
      </c>
    </row>
    <row r="641">
      <c r="Q641">
        <f>A641&amp;"|"&amp;B641&amp;"|"&amp;C641&amp;"|"&amp;D641&amp;"|"&amp;E641&amp;"|"&amp;F641&amp;"|"&amp;G641&amp;"|"&amp;H641&amp;"|"&amp;I641&amp;"|"&amp;J641&amp;"|"&amp;K641&amp;"|"&amp;L641&amp;"|"&amp;M641&amp;"|"&amp;N641&amp;"|"&amp;O641</f>
        <v/>
      </c>
      <c r="R641">
        <f>IF(Q641=REPT("|",14),0,1)</f>
        <v/>
      </c>
      <c r="S641">
        <f>IF(R641=0,0,IF(SUMPRODUCT(($Q$11:Q640=Q641)*($R$11:R640=1))&gt;0,1,0))</f>
        <v/>
      </c>
    </row>
    <row r="642">
      <c r="Q642">
        <f>A642&amp;"|"&amp;B642&amp;"|"&amp;C642&amp;"|"&amp;D642&amp;"|"&amp;E642&amp;"|"&amp;F642&amp;"|"&amp;G642&amp;"|"&amp;H642&amp;"|"&amp;I642&amp;"|"&amp;J642&amp;"|"&amp;K642&amp;"|"&amp;L642&amp;"|"&amp;M642&amp;"|"&amp;N642&amp;"|"&amp;O642</f>
        <v/>
      </c>
      <c r="R642">
        <f>IF(Q642=REPT("|",14),0,1)</f>
        <v/>
      </c>
      <c r="S642">
        <f>IF(R642=0,0,IF(SUMPRODUCT(($Q$11:Q641=Q642)*($R$11:R641=1))&gt;0,1,0))</f>
        <v/>
      </c>
    </row>
    <row r="643">
      <c r="Q643">
        <f>A643&amp;"|"&amp;B643&amp;"|"&amp;C643&amp;"|"&amp;D643&amp;"|"&amp;E643&amp;"|"&amp;F643&amp;"|"&amp;G643&amp;"|"&amp;H643&amp;"|"&amp;I643&amp;"|"&amp;J643&amp;"|"&amp;K643&amp;"|"&amp;L643&amp;"|"&amp;M643&amp;"|"&amp;N643&amp;"|"&amp;O643</f>
        <v/>
      </c>
      <c r="R643">
        <f>IF(Q643=REPT("|",14),0,1)</f>
        <v/>
      </c>
      <c r="S643">
        <f>IF(R643=0,0,IF(SUMPRODUCT(($Q$11:Q642=Q643)*($R$11:R642=1))&gt;0,1,0))</f>
        <v/>
      </c>
    </row>
    <row r="644">
      <c r="Q644">
        <f>A644&amp;"|"&amp;B644&amp;"|"&amp;C644&amp;"|"&amp;D644&amp;"|"&amp;E644&amp;"|"&amp;F644&amp;"|"&amp;G644&amp;"|"&amp;H644&amp;"|"&amp;I644&amp;"|"&amp;J644&amp;"|"&amp;K644&amp;"|"&amp;L644&amp;"|"&amp;M644&amp;"|"&amp;N644&amp;"|"&amp;O644</f>
        <v/>
      </c>
      <c r="R644">
        <f>IF(Q644=REPT("|",14),0,1)</f>
        <v/>
      </c>
      <c r="S644">
        <f>IF(R644=0,0,IF(SUMPRODUCT(($Q$11:Q643=Q644)*($R$11:R643=1))&gt;0,1,0))</f>
        <v/>
      </c>
    </row>
    <row r="645">
      <c r="Q645">
        <f>A645&amp;"|"&amp;B645&amp;"|"&amp;C645&amp;"|"&amp;D645&amp;"|"&amp;E645&amp;"|"&amp;F645&amp;"|"&amp;G645&amp;"|"&amp;H645&amp;"|"&amp;I645&amp;"|"&amp;J645&amp;"|"&amp;K645&amp;"|"&amp;L645&amp;"|"&amp;M645&amp;"|"&amp;N645&amp;"|"&amp;O645</f>
        <v/>
      </c>
      <c r="R645">
        <f>IF(Q645=REPT("|",14),0,1)</f>
        <v/>
      </c>
      <c r="S645">
        <f>IF(R645=0,0,IF(SUMPRODUCT(($Q$11:Q644=Q645)*($R$11:R644=1))&gt;0,1,0))</f>
        <v/>
      </c>
    </row>
    <row r="646">
      <c r="Q646">
        <f>A646&amp;"|"&amp;B646&amp;"|"&amp;C646&amp;"|"&amp;D646&amp;"|"&amp;E646&amp;"|"&amp;F646&amp;"|"&amp;G646&amp;"|"&amp;H646&amp;"|"&amp;I646&amp;"|"&amp;J646&amp;"|"&amp;K646&amp;"|"&amp;L646&amp;"|"&amp;M646&amp;"|"&amp;N646&amp;"|"&amp;O646</f>
        <v/>
      </c>
      <c r="R646">
        <f>IF(Q646=REPT("|",14),0,1)</f>
        <v/>
      </c>
      <c r="S646">
        <f>IF(R646=0,0,IF(SUMPRODUCT(($Q$11:Q645=Q646)*($R$11:R645=1))&gt;0,1,0))</f>
        <v/>
      </c>
    </row>
    <row r="647">
      <c r="Q647">
        <f>A647&amp;"|"&amp;B647&amp;"|"&amp;C647&amp;"|"&amp;D647&amp;"|"&amp;E647&amp;"|"&amp;F647&amp;"|"&amp;G647&amp;"|"&amp;H647&amp;"|"&amp;I647&amp;"|"&amp;J647&amp;"|"&amp;K647&amp;"|"&amp;L647&amp;"|"&amp;M647&amp;"|"&amp;N647&amp;"|"&amp;O647</f>
        <v/>
      </c>
      <c r="R647">
        <f>IF(Q647=REPT("|",14),0,1)</f>
        <v/>
      </c>
      <c r="S647">
        <f>IF(R647=0,0,IF(SUMPRODUCT(($Q$11:Q646=Q647)*($R$11:R646=1))&gt;0,1,0))</f>
        <v/>
      </c>
    </row>
    <row r="648">
      <c r="Q648">
        <f>A648&amp;"|"&amp;B648&amp;"|"&amp;C648&amp;"|"&amp;D648&amp;"|"&amp;E648&amp;"|"&amp;F648&amp;"|"&amp;G648&amp;"|"&amp;H648&amp;"|"&amp;I648&amp;"|"&amp;J648&amp;"|"&amp;K648&amp;"|"&amp;L648&amp;"|"&amp;M648&amp;"|"&amp;N648&amp;"|"&amp;O648</f>
        <v/>
      </c>
      <c r="R648">
        <f>IF(Q648=REPT("|",14),0,1)</f>
        <v/>
      </c>
      <c r="S648">
        <f>IF(R648=0,0,IF(SUMPRODUCT(($Q$11:Q647=Q648)*($R$11:R647=1))&gt;0,1,0))</f>
        <v/>
      </c>
    </row>
    <row r="649">
      <c r="Q649">
        <f>A649&amp;"|"&amp;B649&amp;"|"&amp;C649&amp;"|"&amp;D649&amp;"|"&amp;E649&amp;"|"&amp;F649&amp;"|"&amp;G649&amp;"|"&amp;H649&amp;"|"&amp;I649&amp;"|"&amp;J649&amp;"|"&amp;K649&amp;"|"&amp;L649&amp;"|"&amp;M649&amp;"|"&amp;N649&amp;"|"&amp;O649</f>
        <v/>
      </c>
      <c r="R649">
        <f>IF(Q649=REPT("|",14),0,1)</f>
        <v/>
      </c>
      <c r="S649">
        <f>IF(R649=0,0,IF(SUMPRODUCT(($Q$11:Q648=Q649)*($R$11:R648=1))&gt;0,1,0))</f>
        <v/>
      </c>
    </row>
    <row r="650">
      <c r="Q650">
        <f>A650&amp;"|"&amp;B650&amp;"|"&amp;C650&amp;"|"&amp;D650&amp;"|"&amp;E650&amp;"|"&amp;F650&amp;"|"&amp;G650&amp;"|"&amp;H650&amp;"|"&amp;I650&amp;"|"&amp;J650&amp;"|"&amp;K650&amp;"|"&amp;L650&amp;"|"&amp;M650&amp;"|"&amp;N650&amp;"|"&amp;O650</f>
        <v/>
      </c>
      <c r="R650">
        <f>IF(Q650=REPT("|",14),0,1)</f>
        <v/>
      </c>
      <c r="S650">
        <f>IF(R650=0,0,IF(SUMPRODUCT(($Q$11:Q649=Q650)*($R$11:R649=1))&gt;0,1,0))</f>
        <v/>
      </c>
    </row>
    <row r="651">
      <c r="Q651">
        <f>A651&amp;"|"&amp;B651&amp;"|"&amp;C651&amp;"|"&amp;D651&amp;"|"&amp;E651&amp;"|"&amp;F651&amp;"|"&amp;G651&amp;"|"&amp;H651&amp;"|"&amp;I651&amp;"|"&amp;J651&amp;"|"&amp;K651&amp;"|"&amp;L651&amp;"|"&amp;M651&amp;"|"&amp;N651&amp;"|"&amp;O651</f>
        <v/>
      </c>
      <c r="R651">
        <f>IF(Q651=REPT("|",14),0,1)</f>
        <v/>
      </c>
      <c r="S651">
        <f>IF(R651=0,0,IF(SUMPRODUCT(($Q$11:Q650=Q651)*($R$11:R650=1))&gt;0,1,0))</f>
        <v/>
      </c>
    </row>
    <row r="652">
      <c r="Q652">
        <f>A652&amp;"|"&amp;B652&amp;"|"&amp;C652&amp;"|"&amp;D652&amp;"|"&amp;E652&amp;"|"&amp;F652&amp;"|"&amp;G652&amp;"|"&amp;H652&amp;"|"&amp;I652&amp;"|"&amp;J652&amp;"|"&amp;K652&amp;"|"&amp;L652&amp;"|"&amp;M652&amp;"|"&amp;N652&amp;"|"&amp;O652</f>
        <v/>
      </c>
      <c r="R652">
        <f>IF(Q652=REPT("|",14),0,1)</f>
        <v/>
      </c>
      <c r="S652">
        <f>IF(R652=0,0,IF(SUMPRODUCT(($Q$11:Q651=Q652)*($R$11:R651=1))&gt;0,1,0))</f>
        <v/>
      </c>
    </row>
    <row r="653">
      <c r="Q653">
        <f>A653&amp;"|"&amp;B653&amp;"|"&amp;C653&amp;"|"&amp;D653&amp;"|"&amp;E653&amp;"|"&amp;F653&amp;"|"&amp;G653&amp;"|"&amp;H653&amp;"|"&amp;I653&amp;"|"&amp;J653&amp;"|"&amp;K653&amp;"|"&amp;L653&amp;"|"&amp;M653&amp;"|"&amp;N653&amp;"|"&amp;O653</f>
        <v/>
      </c>
      <c r="R653">
        <f>IF(Q653=REPT("|",14),0,1)</f>
        <v/>
      </c>
      <c r="S653">
        <f>IF(R653=0,0,IF(SUMPRODUCT(($Q$11:Q652=Q653)*($R$11:R652=1))&gt;0,1,0))</f>
        <v/>
      </c>
    </row>
    <row r="654">
      <c r="Q654">
        <f>A654&amp;"|"&amp;B654&amp;"|"&amp;C654&amp;"|"&amp;D654&amp;"|"&amp;E654&amp;"|"&amp;F654&amp;"|"&amp;G654&amp;"|"&amp;H654&amp;"|"&amp;I654&amp;"|"&amp;J654&amp;"|"&amp;K654&amp;"|"&amp;L654&amp;"|"&amp;M654&amp;"|"&amp;N654&amp;"|"&amp;O654</f>
        <v/>
      </c>
      <c r="R654">
        <f>IF(Q654=REPT("|",14),0,1)</f>
        <v/>
      </c>
      <c r="S654">
        <f>IF(R654=0,0,IF(SUMPRODUCT(($Q$11:Q653=Q654)*($R$11:R653=1))&gt;0,1,0))</f>
        <v/>
      </c>
    </row>
    <row r="655">
      <c r="Q655">
        <f>A655&amp;"|"&amp;B655&amp;"|"&amp;C655&amp;"|"&amp;D655&amp;"|"&amp;E655&amp;"|"&amp;F655&amp;"|"&amp;G655&amp;"|"&amp;H655&amp;"|"&amp;I655&amp;"|"&amp;J655&amp;"|"&amp;K655&amp;"|"&amp;L655&amp;"|"&amp;M655&amp;"|"&amp;N655&amp;"|"&amp;O655</f>
        <v/>
      </c>
      <c r="R655">
        <f>IF(Q655=REPT("|",14),0,1)</f>
        <v/>
      </c>
      <c r="S655">
        <f>IF(R655=0,0,IF(SUMPRODUCT(($Q$11:Q654=Q655)*($R$11:R654=1))&gt;0,1,0))</f>
        <v/>
      </c>
    </row>
    <row r="656">
      <c r="Q656">
        <f>A656&amp;"|"&amp;B656&amp;"|"&amp;C656&amp;"|"&amp;D656&amp;"|"&amp;E656&amp;"|"&amp;F656&amp;"|"&amp;G656&amp;"|"&amp;H656&amp;"|"&amp;I656&amp;"|"&amp;J656&amp;"|"&amp;K656&amp;"|"&amp;L656&amp;"|"&amp;M656&amp;"|"&amp;N656&amp;"|"&amp;O656</f>
        <v/>
      </c>
      <c r="R656">
        <f>IF(Q656=REPT("|",14),0,1)</f>
        <v/>
      </c>
      <c r="S656">
        <f>IF(R656=0,0,IF(SUMPRODUCT(($Q$11:Q655=Q656)*($R$11:R655=1))&gt;0,1,0))</f>
        <v/>
      </c>
    </row>
    <row r="657">
      <c r="Q657">
        <f>A657&amp;"|"&amp;B657&amp;"|"&amp;C657&amp;"|"&amp;D657&amp;"|"&amp;E657&amp;"|"&amp;F657&amp;"|"&amp;G657&amp;"|"&amp;H657&amp;"|"&amp;I657&amp;"|"&amp;J657&amp;"|"&amp;K657&amp;"|"&amp;L657&amp;"|"&amp;M657&amp;"|"&amp;N657&amp;"|"&amp;O657</f>
        <v/>
      </c>
      <c r="R657">
        <f>IF(Q657=REPT("|",14),0,1)</f>
        <v/>
      </c>
      <c r="S657">
        <f>IF(R657=0,0,IF(SUMPRODUCT(($Q$11:Q656=Q657)*($R$11:R656=1))&gt;0,1,0))</f>
        <v/>
      </c>
    </row>
    <row r="658">
      <c r="Q658">
        <f>A658&amp;"|"&amp;B658&amp;"|"&amp;C658&amp;"|"&amp;D658&amp;"|"&amp;E658&amp;"|"&amp;F658&amp;"|"&amp;G658&amp;"|"&amp;H658&amp;"|"&amp;I658&amp;"|"&amp;J658&amp;"|"&amp;K658&amp;"|"&amp;L658&amp;"|"&amp;M658&amp;"|"&amp;N658&amp;"|"&amp;O658</f>
        <v/>
      </c>
      <c r="R658">
        <f>IF(Q658=REPT("|",14),0,1)</f>
        <v/>
      </c>
      <c r="S658">
        <f>IF(R658=0,0,IF(SUMPRODUCT(($Q$11:Q657=Q658)*($R$11:R657=1))&gt;0,1,0))</f>
        <v/>
      </c>
    </row>
    <row r="659">
      <c r="Q659">
        <f>A659&amp;"|"&amp;B659&amp;"|"&amp;C659&amp;"|"&amp;D659&amp;"|"&amp;E659&amp;"|"&amp;F659&amp;"|"&amp;G659&amp;"|"&amp;H659&amp;"|"&amp;I659&amp;"|"&amp;J659&amp;"|"&amp;K659&amp;"|"&amp;L659&amp;"|"&amp;M659&amp;"|"&amp;N659&amp;"|"&amp;O659</f>
        <v/>
      </c>
      <c r="R659">
        <f>IF(Q659=REPT("|",14),0,1)</f>
        <v/>
      </c>
      <c r="S659">
        <f>IF(R659=0,0,IF(SUMPRODUCT(($Q$11:Q658=Q659)*($R$11:R658=1))&gt;0,1,0))</f>
        <v/>
      </c>
    </row>
    <row r="660">
      <c r="Q660">
        <f>A660&amp;"|"&amp;B660&amp;"|"&amp;C660&amp;"|"&amp;D660&amp;"|"&amp;E660&amp;"|"&amp;F660&amp;"|"&amp;G660&amp;"|"&amp;H660&amp;"|"&amp;I660&amp;"|"&amp;J660&amp;"|"&amp;K660&amp;"|"&amp;L660&amp;"|"&amp;M660&amp;"|"&amp;N660&amp;"|"&amp;O660</f>
        <v/>
      </c>
      <c r="R660">
        <f>IF(Q660=REPT("|",14),0,1)</f>
        <v/>
      </c>
      <c r="S660">
        <f>IF(R660=0,0,IF(SUMPRODUCT(($Q$11:Q659=Q660)*($R$11:R659=1))&gt;0,1,0))</f>
        <v/>
      </c>
    </row>
    <row r="661">
      <c r="Q661">
        <f>A661&amp;"|"&amp;B661&amp;"|"&amp;C661&amp;"|"&amp;D661&amp;"|"&amp;E661&amp;"|"&amp;F661&amp;"|"&amp;G661&amp;"|"&amp;H661&amp;"|"&amp;I661&amp;"|"&amp;J661&amp;"|"&amp;K661&amp;"|"&amp;L661&amp;"|"&amp;M661&amp;"|"&amp;N661&amp;"|"&amp;O661</f>
        <v/>
      </c>
      <c r="R661">
        <f>IF(Q661=REPT("|",14),0,1)</f>
        <v/>
      </c>
      <c r="S661">
        <f>IF(R661=0,0,IF(SUMPRODUCT(($Q$11:Q660=Q661)*($R$11:R660=1))&gt;0,1,0))</f>
        <v/>
      </c>
    </row>
    <row r="662">
      <c r="Q662">
        <f>A662&amp;"|"&amp;B662&amp;"|"&amp;C662&amp;"|"&amp;D662&amp;"|"&amp;E662&amp;"|"&amp;F662&amp;"|"&amp;G662&amp;"|"&amp;H662&amp;"|"&amp;I662&amp;"|"&amp;J662&amp;"|"&amp;K662&amp;"|"&amp;L662&amp;"|"&amp;M662&amp;"|"&amp;N662&amp;"|"&amp;O662</f>
        <v/>
      </c>
      <c r="R662">
        <f>IF(Q662=REPT("|",14),0,1)</f>
        <v/>
      </c>
      <c r="S662">
        <f>IF(R662=0,0,IF(SUMPRODUCT(($Q$11:Q661=Q662)*($R$11:R661=1))&gt;0,1,0))</f>
        <v/>
      </c>
    </row>
    <row r="663">
      <c r="Q663">
        <f>A663&amp;"|"&amp;B663&amp;"|"&amp;C663&amp;"|"&amp;D663&amp;"|"&amp;E663&amp;"|"&amp;F663&amp;"|"&amp;G663&amp;"|"&amp;H663&amp;"|"&amp;I663&amp;"|"&amp;J663&amp;"|"&amp;K663&amp;"|"&amp;L663&amp;"|"&amp;M663&amp;"|"&amp;N663&amp;"|"&amp;O663</f>
        <v/>
      </c>
      <c r="R663">
        <f>IF(Q663=REPT("|",14),0,1)</f>
        <v/>
      </c>
      <c r="S663">
        <f>IF(R663=0,0,IF(SUMPRODUCT(($Q$11:Q662=Q663)*($R$11:R662=1))&gt;0,1,0))</f>
        <v/>
      </c>
    </row>
    <row r="664">
      <c r="Q664">
        <f>A664&amp;"|"&amp;B664&amp;"|"&amp;C664&amp;"|"&amp;D664&amp;"|"&amp;E664&amp;"|"&amp;F664&amp;"|"&amp;G664&amp;"|"&amp;H664&amp;"|"&amp;I664&amp;"|"&amp;J664&amp;"|"&amp;K664&amp;"|"&amp;L664&amp;"|"&amp;M664&amp;"|"&amp;N664&amp;"|"&amp;O664</f>
        <v/>
      </c>
      <c r="R664">
        <f>IF(Q664=REPT("|",14),0,1)</f>
        <v/>
      </c>
      <c r="S664">
        <f>IF(R664=0,0,IF(SUMPRODUCT(($Q$11:Q663=Q664)*($R$11:R663=1))&gt;0,1,0))</f>
        <v/>
      </c>
    </row>
    <row r="665">
      <c r="Q665">
        <f>A665&amp;"|"&amp;B665&amp;"|"&amp;C665&amp;"|"&amp;D665&amp;"|"&amp;E665&amp;"|"&amp;F665&amp;"|"&amp;G665&amp;"|"&amp;H665&amp;"|"&amp;I665&amp;"|"&amp;J665&amp;"|"&amp;K665&amp;"|"&amp;L665&amp;"|"&amp;M665&amp;"|"&amp;N665&amp;"|"&amp;O665</f>
        <v/>
      </c>
      <c r="R665">
        <f>IF(Q665=REPT("|",14),0,1)</f>
        <v/>
      </c>
      <c r="S665">
        <f>IF(R665=0,0,IF(SUMPRODUCT(($Q$11:Q664=Q665)*($R$11:R664=1))&gt;0,1,0))</f>
        <v/>
      </c>
    </row>
    <row r="666">
      <c r="Q666">
        <f>A666&amp;"|"&amp;B666&amp;"|"&amp;C666&amp;"|"&amp;D666&amp;"|"&amp;E666&amp;"|"&amp;F666&amp;"|"&amp;G666&amp;"|"&amp;H666&amp;"|"&amp;I666&amp;"|"&amp;J666&amp;"|"&amp;K666&amp;"|"&amp;L666&amp;"|"&amp;M666&amp;"|"&amp;N666&amp;"|"&amp;O666</f>
        <v/>
      </c>
      <c r="R666">
        <f>IF(Q666=REPT("|",14),0,1)</f>
        <v/>
      </c>
      <c r="S666">
        <f>IF(R666=0,0,IF(SUMPRODUCT(($Q$11:Q665=Q666)*($R$11:R665=1))&gt;0,1,0))</f>
        <v/>
      </c>
    </row>
    <row r="667">
      <c r="Q667">
        <f>A667&amp;"|"&amp;B667&amp;"|"&amp;C667&amp;"|"&amp;D667&amp;"|"&amp;E667&amp;"|"&amp;F667&amp;"|"&amp;G667&amp;"|"&amp;H667&amp;"|"&amp;I667&amp;"|"&amp;J667&amp;"|"&amp;K667&amp;"|"&amp;L667&amp;"|"&amp;M667&amp;"|"&amp;N667&amp;"|"&amp;O667</f>
        <v/>
      </c>
      <c r="R667">
        <f>IF(Q667=REPT("|",14),0,1)</f>
        <v/>
      </c>
      <c r="S667">
        <f>IF(R667=0,0,IF(SUMPRODUCT(($Q$11:Q666=Q667)*($R$11:R666=1))&gt;0,1,0))</f>
        <v/>
      </c>
    </row>
    <row r="668">
      <c r="Q668">
        <f>A668&amp;"|"&amp;B668&amp;"|"&amp;C668&amp;"|"&amp;D668&amp;"|"&amp;E668&amp;"|"&amp;F668&amp;"|"&amp;G668&amp;"|"&amp;H668&amp;"|"&amp;I668&amp;"|"&amp;J668&amp;"|"&amp;K668&amp;"|"&amp;L668&amp;"|"&amp;M668&amp;"|"&amp;N668&amp;"|"&amp;O668</f>
        <v/>
      </c>
      <c r="R668">
        <f>IF(Q668=REPT("|",14),0,1)</f>
        <v/>
      </c>
      <c r="S668">
        <f>IF(R668=0,0,IF(SUMPRODUCT(($Q$11:Q667=Q668)*($R$11:R667=1))&gt;0,1,0))</f>
        <v/>
      </c>
    </row>
    <row r="669">
      <c r="Q669">
        <f>A669&amp;"|"&amp;B669&amp;"|"&amp;C669&amp;"|"&amp;D669&amp;"|"&amp;E669&amp;"|"&amp;F669&amp;"|"&amp;G669&amp;"|"&amp;H669&amp;"|"&amp;I669&amp;"|"&amp;J669&amp;"|"&amp;K669&amp;"|"&amp;L669&amp;"|"&amp;M669&amp;"|"&amp;N669&amp;"|"&amp;O669</f>
        <v/>
      </c>
      <c r="R669">
        <f>IF(Q669=REPT("|",14),0,1)</f>
        <v/>
      </c>
      <c r="S669">
        <f>IF(R669=0,0,IF(SUMPRODUCT(($Q$11:Q668=Q669)*($R$11:R668=1))&gt;0,1,0))</f>
        <v/>
      </c>
    </row>
    <row r="670">
      <c r="Q670">
        <f>A670&amp;"|"&amp;B670&amp;"|"&amp;C670&amp;"|"&amp;D670&amp;"|"&amp;E670&amp;"|"&amp;F670&amp;"|"&amp;G670&amp;"|"&amp;H670&amp;"|"&amp;I670&amp;"|"&amp;J670&amp;"|"&amp;K670&amp;"|"&amp;L670&amp;"|"&amp;M670&amp;"|"&amp;N670&amp;"|"&amp;O670</f>
        <v/>
      </c>
      <c r="R670">
        <f>IF(Q670=REPT("|",14),0,1)</f>
        <v/>
      </c>
      <c r="S670">
        <f>IF(R670=0,0,IF(SUMPRODUCT(($Q$11:Q669=Q670)*($R$11:R669=1))&gt;0,1,0))</f>
        <v/>
      </c>
    </row>
    <row r="671">
      <c r="Q671">
        <f>A671&amp;"|"&amp;B671&amp;"|"&amp;C671&amp;"|"&amp;D671&amp;"|"&amp;E671&amp;"|"&amp;F671&amp;"|"&amp;G671&amp;"|"&amp;H671&amp;"|"&amp;I671&amp;"|"&amp;J671&amp;"|"&amp;K671&amp;"|"&amp;L671&amp;"|"&amp;M671&amp;"|"&amp;N671&amp;"|"&amp;O671</f>
        <v/>
      </c>
      <c r="R671">
        <f>IF(Q671=REPT("|",14),0,1)</f>
        <v/>
      </c>
      <c r="S671">
        <f>IF(R671=0,0,IF(SUMPRODUCT(($Q$11:Q670=Q671)*($R$11:R670=1))&gt;0,1,0))</f>
        <v/>
      </c>
    </row>
    <row r="672">
      <c r="Q672">
        <f>A672&amp;"|"&amp;B672&amp;"|"&amp;C672&amp;"|"&amp;D672&amp;"|"&amp;E672&amp;"|"&amp;F672&amp;"|"&amp;G672&amp;"|"&amp;H672&amp;"|"&amp;I672&amp;"|"&amp;J672&amp;"|"&amp;K672&amp;"|"&amp;L672&amp;"|"&amp;M672&amp;"|"&amp;N672&amp;"|"&amp;O672</f>
        <v/>
      </c>
      <c r="R672">
        <f>IF(Q672=REPT("|",14),0,1)</f>
        <v/>
      </c>
      <c r="S672">
        <f>IF(R672=0,0,IF(SUMPRODUCT(($Q$11:Q671=Q672)*($R$11:R671=1))&gt;0,1,0))</f>
        <v/>
      </c>
    </row>
    <row r="673">
      <c r="Q673">
        <f>A673&amp;"|"&amp;B673&amp;"|"&amp;C673&amp;"|"&amp;D673&amp;"|"&amp;E673&amp;"|"&amp;F673&amp;"|"&amp;G673&amp;"|"&amp;H673&amp;"|"&amp;I673&amp;"|"&amp;J673&amp;"|"&amp;K673&amp;"|"&amp;L673&amp;"|"&amp;M673&amp;"|"&amp;N673&amp;"|"&amp;O673</f>
        <v/>
      </c>
      <c r="R673">
        <f>IF(Q673=REPT("|",14),0,1)</f>
        <v/>
      </c>
      <c r="S673">
        <f>IF(R673=0,0,IF(SUMPRODUCT(($Q$11:Q672=Q673)*($R$11:R672=1))&gt;0,1,0))</f>
        <v/>
      </c>
    </row>
    <row r="674">
      <c r="Q674">
        <f>A674&amp;"|"&amp;B674&amp;"|"&amp;C674&amp;"|"&amp;D674&amp;"|"&amp;E674&amp;"|"&amp;F674&amp;"|"&amp;G674&amp;"|"&amp;H674&amp;"|"&amp;I674&amp;"|"&amp;J674&amp;"|"&amp;K674&amp;"|"&amp;L674&amp;"|"&amp;M674&amp;"|"&amp;N674&amp;"|"&amp;O674</f>
        <v/>
      </c>
      <c r="R674">
        <f>IF(Q674=REPT("|",14),0,1)</f>
        <v/>
      </c>
      <c r="S674">
        <f>IF(R674=0,0,IF(SUMPRODUCT(($Q$11:Q673=Q674)*($R$11:R673=1))&gt;0,1,0))</f>
        <v/>
      </c>
    </row>
    <row r="675">
      <c r="Q675">
        <f>A675&amp;"|"&amp;B675&amp;"|"&amp;C675&amp;"|"&amp;D675&amp;"|"&amp;E675&amp;"|"&amp;F675&amp;"|"&amp;G675&amp;"|"&amp;H675&amp;"|"&amp;I675&amp;"|"&amp;J675&amp;"|"&amp;K675&amp;"|"&amp;L675&amp;"|"&amp;M675&amp;"|"&amp;N675&amp;"|"&amp;O675</f>
        <v/>
      </c>
      <c r="R675">
        <f>IF(Q675=REPT("|",14),0,1)</f>
        <v/>
      </c>
      <c r="S675">
        <f>IF(R675=0,0,IF(SUMPRODUCT(($Q$11:Q674=Q675)*($R$11:R674=1))&gt;0,1,0))</f>
        <v/>
      </c>
    </row>
    <row r="676">
      <c r="Q676">
        <f>A676&amp;"|"&amp;B676&amp;"|"&amp;C676&amp;"|"&amp;D676&amp;"|"&amp;E676&amp;"|"&amp;F676&amp;"|"&amp;G676&amp;"|"&amp;H676&amp;"|"&amp;I676&amp;"|"&amp;J676&amp;"|"&amp;K676&amp;"|"&amp;L676&amp;"|"&amp;M676&amp;"|"&amp;N676&amp;"|"&amp;O676</f>
        <v/>
      </c>
      <c r="R676">
        <f>IF(Q676=REPT("|",14),0,1)</f>
        <v/>
      </c>
      <c r="S676">
        <f>IF(R676=0,0,IF(SUMPRODUCT(($Q$11:Q675=Q676)*($R$11:R675=1))&gt;0,1,0))</f>
        <v/>
      </c>
    </row>
    <row r="677">
      <c r="Q677">
        <f>A677&amp;"|"&amp;B677&amp;"|"&amp;C677&amp;"|"&amp;D677&amp;"|"&amp;E677&amp;"|"&amp;F677&amp;"|"&amp;G677&amp;"|"&amp;H677&amp;"|"&amp;I677&amp;"|"&amp;J677&amp;"|"&amp;K677&amp;"|"&amp;L677&amp;"|"&amp;M677&amp;"|"&amp;N677&amp;"|"&amp;O677</f>
        <v/>
      </c>
      <c r="R677">
        <f>IF(Q677=REPT("|",14),0,1)</f>
        <v/>
      </c>
      <c r="S677">
        <f>IF(R677=0,0,IF(SUMPRODUCT(($Q$11:Q676=Q677)*($R$11:R676=1))&gt;0,1,0))</f>
        <v/>
      </c>
    </row>
    <row r="678">
      <c r="Q678">
        <f>A678&amp;"|"&amp;B678&amp;"|"&amp;C678&amp;"|"&amp;D678&amp;"|"&amp;E678&amp;"|"&amp;F678&amp;"|"&amp;G678&amp;"|"&amp;H678&amp;"|"&amp;I678&amp;"|"&amp;J678&amp;"|"&amp;K678&amp;"|"&amp;L678&amp;"|"&amp;M678&amp;"|"&amp;N678&amp;"|"&amp;O678</f>
        <v/>
      </c>
      <c r="R678">
        <f>IF(Q678=REPT("|",14),0,1)</f>
        <v/>
      </c>
      <c r="S678">
        <f>IF(R678=0,0,IF(SUMPRODUCT(($Q$11:Q677=Q678)*($R$11:R677=1))&gt;0,1,0))</f>
        <v/>
      </c>
    </row>
    <row r="679">
      <c r="Q679">
        <f>A679&amp;"|"&amp;B679&amp;"|"&amp;C679&amp;"|"&amp;D679&amp;"|"&amp;E679&amp;"|"&amp;F679&amp;"|"&amp;G679&amp;"|"&amp;H679&amp;"|"&amp;I679&amp;"|"&amp;J679&amp;"|"&amp;K679&amp;"|"&amp;L679&amp;"|"&amp;M679&amp;"|"&amp;N679&amp;"|"&amp;O679</f>
        <v/>
      </c>
      <c r="R679">
        <f>IF(Q679=REPT("|",14),0,1)</f>
        <v/>
      </c>
      <c r="S679">
        <f>IF(R679=0,0,IF(SUMPRODUCT(($Q$11:Q678=Q679)*($R$11:R678=1))&gt;0,1,0))</f>
        <v/>
      </c>
    </row>
    <row r="680">
      <c r="Q680">
        <f>A680&amp;"|"&amp;B680&amp;"|"&amp;C680&amp;"|"&amp;D680&amp;"|"&amp;E680&amp;"|"&amp;F680&amp;"|"&amp;G680&amp;"|"&amp;H680&amp;"|"&amp;I680&amp;"|"&amp;J680&amp;"|"&amp;K680&amp;"|"&amp;L680&amp;"|"&amp;M680&amp;"|"&amp;N680&amp;"|"&amp;O680</f>
        <v/>
      </c>
      <c r="R680">
        <f>IF(Q680=REPT("|",14),0,1)</f>
        <v/>
      </c>
      <c r="S680">
        <f>IF(R680=0,0,IF(SUMPRODUCT(($Q$11:Q679=Q680)*($R$11:R679=1))&gt;0,1,0))</f>
        <v/>
      </c>
    </row>
    <row r="681">
      <c r="Q681">
        <f>A681&amp;"|"&amp;B681&amp;"|"&amp;C681&amp;"|"&amp;D681&amp;"|"&amp;E681&amp;"|"&amp;F681&amp;"|"&amp;G681&amp;"|"&amp;H681&amp;"|"&amp;I681&amp;"|"&amp;J681&amp;"|"&amp;K681&amp;"|"&amp;L681&amp;"|"&amp;M681&amp;"|"&amp;N681&amp;"|"&amp;O681</f>
        <v/>
      </c>
      <c r="R681">
        <f>IF(Q681=REPT("|",14),0,1)</f>
        <v/>
      </c>
      <c r="S681">
        <f>IF(R681=0,0,IF(SUMPRODUCT(($Q$11:Q680=Q681)*($R$11:R680=1))&gt;0,1,0))</f>
        <v/>
      </c>
    </row>
    <row r="682">
      <c r="Q682">
        <f>A682&amp;"|"&amp;B682&amp;"|"&amp;C682&amp;"|"&amp;D682&amp;"|"&amp;E682&amp;"|"&amp;F682&amp;"|"&amp;G682&amp;"|"&amp;H682&amp;"|"&amp;I682&amp;"|"&amp;J682&amp;"|"&amp;K682&amp;"|"&amp;L682&amp;"|"&amp;M682&amp;"|"&amp;N682&amp;"|"&amp;O682</f>
        <v/>
      </c>
      <c r="R682">
        <f>IF(Q682=REPT("|",14),0,1)</f>
        <v/>
      </c>
      <c r="S682">
        <f>IF(R682=0,0,IF(SUMPRODUCT(($Q$11:Q681=Q682)*($R$11:R681=1))&gt;0,1,0))</f>
        <v/>
      </c>
    </row>
    <row r="683">
      <c r="Q683">
        <f>A683&amp;"|"&amp;B683&amp;"|"&amp;C683&amp;"|"&amp;D683&amp;"|"&amp;E683&amp;"|"&amp;F683&amp;"|"&amp;G683&amp;"|"&amp;H683&amp;"|"&amp;I683&amp;"|"&amp;J683&amp;"|"&amp;K683&amp;"|"&amp;L683&amp;"|"&amp;M683&amp;"|"&amp;N683&amp;"|"&amp;O683</f>
        <v/>
      </c>
      <c r="R683">
        <f>IF(Q683=REPT("|",14),0,1)</f>
        <v/>
      </c>
      <c r="S683">
        <f>IF(R683=0,0,IF(SUMPRODUCT(($Q$11:Q682=Q683)*($R$11:R682=1))&gt;0,1,0))</f>
        <v/>
      </c>
    </row>
    <row r="684">
      <c r="Q684">
        <f>A684&amp;"|"&amp;B684&amp;"|"&amp;C684&amp;"|"&amp;D684&amp;"|"&amp;E684&amp;"|"&amp;F684&amp;"|"&amp;G684&amp;"|"&amp;H684&amp;"|"&amp;I684&amp;"|"&amp;J684&amp;"|"&amp;K684&amp;"|"&amp;L684&amp;"|"&amp;M684&amp;"|"&amp;N684&amp;"|"&amp;O684</f>
        <v/>
      </c>
      <c r="R684">
        <f>IF(Q684=REPT("|",14),0,1)</f>
        <v/>
      </c>
      <c r="S684">
        <f>IF(R684=0,0,IF(SUMPRODUCT(($Q$11:Q683=Q684)*($R$11:R683=1))&gt;0,1,0))</f>
        <v/>
      </c>
    </row>
    <row r="685">
      <c r="Q685">
        <f>A685&amp;"|"&amp;B685&amp;"|"&amp;C685&amp;"|"&amp;D685&amp;"|"&amp;E685&amp;"|"&amp;F685&amp;"|"&amp;G685&amp;"|"&amp;H685&amp;"|"&amp;I685&amp;"|"&amp;J685&amp;"|"&amp;K685&amp;"|"&amp;L685&amp;"|"&amp;M685&amp;"|"&amp;N685&amp;"|"&amp;O685</f>
        <v/>
      </c>
      <c r="R685">
        <f>IF(Q685=REPT("|",14),0,1)</f>
        <v/>
      </c>
      <c r="S685">
        <f>IF(R685=0,0,IF(SUMPRODUCT(($Q$11:Q684=Q685)*($R$11:R684=1))&gt;0,1,0))</f>
        <v/>
      </c>
    </row>
    <row r="686">
      <c r="Q686">
        <f>A686&amp;"|"&amp;B686&amp;"|"&amp;C686&amp;"|"&amp;D686&amp;"|"&amp;E686&amp;"|"&amp;F686&amp;"|"&amp;G686&amp;"|"&amp;H686&amp;"|"&amp;I686&amp;"|"&amp;J686&amp;"|"&amp;K686&amp;"|"&amp;L686&amp;"|"&amp;M686&amp;"|"&amp;N686&amp;"|"&amp;O686</f>
        <v/>
      </c>
      <c r="R686">
        <f>IF(Q686=REPT("|",14),0,1)</f>
        <v/>
      </c>
      <c r="S686">
        <f>IF(R686=0,0,IF(SUMPRODUCT(($Q$11:Q685=Q686)*($R$11:R685=1))&gt;0,1,0))</f>
        <v/>
      </c>
    </row>
    <row r="687">
      <c r="Q687">
        <f>A687&amp;"|"&amp;B687&amp;"|"&amp;C687&amp;"|"&amp;D687&amp;"|"&amp;E687&amp;"|"&amp;F687&amp;"|"&amp;G687&amp;"|"&amp;H687&amp;"|"&amp;I687&amp;"|"&amp;J687&amp;"|"&amp;K687&amp;"|"&amp;L687&amp;"|"&amp;M687&amp;"|"&amp;N687&amp;"|"&amp;O687</f>
        <v/>
      </c>
      <c r="R687">
        <f>IF(Q687=REPT("|",14),0,1)</f>
        <v/>
      </c>
      <c r="S687">
        <f>IF(R687=0,0,IF(SUMPRODUCT(($Q$11:Q686=Q687)*($R$11:R686=1))&gt;0,1,0))</f>
        <v/>
      </c>
    </row>
    <row r="688">
      <c r="Q688">
        <f>A688&amp;"|"&amp;B688&amp;"|"&amp;C688&amp;"|"&amp;D688&amp;"|"&amp;E688&amp;"|"&amp;F688&amp;"|"&amp;G688&amp;"|"&amp;H688&amp;"|"&amp;I688&amp;"|"&amp;J688&amp;"|"&amp;K688&amp;"|"&amp;L688&amp;"|"&amp;M688&amp;"|"&amp;N688&amp;"|"&amp;O688</f>
        <v/>
      </c>
      <c r="R688">
        <f>IF(Q688=REPT("|",14),0,1)</f>
        <v/>
      </c>
      <c r="S688">
        <f>IF(R688=0,0,IF(SUMPRODUCT(($Q$11:Q687=Q688)*($R$11:R687=1))&gt;0,1,0))</f>
        <v/>
      </c>
    </row>
    <row r="689">
      <c r="Q689">
        <f>A689&amp;"|"&amp;B689&amp;"|"&amp;C689&amp;"|"&amp;D689&amp;"|"&amp;E689&amp;"|"&amp;F689&amp;"|"&amp;G689&amp;"|"&amp;H689&amp;"|"&amp;I689&amp;"|"&amp;J689&amp;"|"&amp;K689&amp;"|"&amp;L689&amp;"|"&amp;M689&amp;"|"&amp;N689&amp;"|"&amp;O689</f>
        <v/>
      </c>
      <c r="R689">
        <f>IF(Q689=REPT("|",14),0,1)</f>
        <v/>
      </c>
      <c r="S689">
        <f>IF(R689=0,0,IF(SUMPRODUCT(($Q$11:Q688=Q689)*($R$11:R688=1))&gt;0,1,0))</f>
        <v/>
      </c>
    </row>
    <row r="690">
      <c r="Q690">
        <f>A690&amp;"|"&amp;B690&amp;"|"&amp;C690&amp;"|"&amp;D690&amp;"|"&amp;E690&amp;"|"&amp;F690&amp;"|"&amp;G690&amp;"|"&amp;H690&amp;"|"&amp;I690&amp;"|"&amp;J690&amp;"|"&amp;K690&amp;"|"&amp;L690&amp;"|"&amp;M690&amp;"|"&amp;N690&amp;"|"&amp;O690</f>
        <v/>
      </c>
      <c r="R690">
        <f>IF(Q690=REPT("|",14),0,1)</f>
        <v/>
      </c>
      <c r="S690">
        <f>IF(R690=0,0,IF(SUMPRODUCT(($Q$11:Q689=Q690)*($R$11:R689=1))&gt;0,1,0))</f>
        <v/>
      </c>
    </row>
    <row r="691">
      <c r="Q691">
        <f>A691&amp;"|"&amp;B691&amp;"|"&amp;C691&amp;"|"&amp;D691&amp;"|"&amp;E691&amp;"|"&amp;F691&amp;"|"&amp;G691&amp;"|"&amp;H691&amp;"|"&amp;I691&amp;"|"&amp;J691&amp;"|"&amp;K691&amp;"|"&amp;L691&amp;"|"&amp;M691&amp;"|"&amp;N691&amp;"|"&amp;O691</f>
        <v/>
      </c>
      <c r="R691">
        <f>IF(Q691=REPT("|",14),0,1)</f>
        <v/>
      </c>
      <c r="S691">
        <f>IF(R691=0,0,IF(SUMPRODUCT(($Q$11:Q690=Q691)*($R$11:R690=1))&gt;0,1,0))</f>
        <v/>
      </c>
    </row>
    <row r="692">
      <c r="Q692">
        <f>A692&amp;"|"&amp;B692&amp;"|"&amp;C692&amp;"|"&amp;D692&amp;"|"&amp;E692&amp;"|"&amp;F692&amp;"|"&amp;G692&amp;"|"&amp;H692&amp;"|"&amp;I692&amp;"|"&amp;J692&amp;"|"&amp;K692&amp;"|"&amp;L692&amp;"|"&amp;M692&amp;"|"&amp;N692&amp;"|"&amp;O692</f>
        <v/>
      </c>
      <c r="R692">
        <f>IF(Q692=REPT("|",14),0,1)</f>
        <v/>
      </c>
      <c r="S692">
        <f>IF(R692=0,0,IF(SUMPRODUCT(($Q$11:Q691=Q692)*($R$11:R691=1))&gt;0,1,0))</f>
        <v/>
      </c>
    </row>
    <row r="693">
      <c r="Q693">
        <f>A693&amp;"|"&amp;B693&amp;"|"&amp;C693&amp;"|"&amp;D693&amp;"|"&amp;E693&amp;"|"&amp;F693&amp;"|"&amp;G693&amp;"|"&amp;H693&amp;"|"&amp;I693&amp;"|"&amp;J693&amp;"|"&amp;K693&amp;"|"&amp;L693&amp;"|"&amp;M693&amp;"|"&amp;N693&amp;"|"&amp;O693</f>
        <v/>
      </c>
      <c r="R693">
        <f>IF(Q693=REPT("|",14),0,1)</f>
        <v/>
      </c>
      <c r="S693">
        <f>IF(R693=0,0,IF(SUMPRODUCT(($Q$11:Q692=Q693)*($R$11:R692=1))&gt;0,1,0))</f>
        <v/>
      </c>
    </row>
    <row r="694">
      <c r="Q694">
        <f>A694&amp;"|"&amp;B694&amp;"|"&amp;C694&amp;"|"&amp;D694&amp;"|"&amp;E694&amp;"|"&amp;F694&amp;"|"&amp;G694&amp;"|"&amp;H694&amp;"|"&amp;I694&amp;"|"&amp;J694&amp;"|"&amp;K694&amp;"|"&amp;L694&amp;"|"&amp;M694&amp;"|"&amp;N694&amp;"|"&amp;O694</f>
        <v/>
      </c>
      <c r="R694">
        <f>IF(Q694=REPT("|",14),0,1)</f>
        <v/>
      </c>
      <c r="S694">
        <f>IF(R694=0,0,IF(SUMPRODUCT(($Q$11:Q693=Q694)*($R$11:R693=1))&gt;0,1,0))</f>
        <v/>
      </c>
    </row>
    <row r="695">
      <c r="Q695">
        <f>A695&amp;"|"&amp;B695&amp;"|"&amp;C695&amp;"|"&amp;D695&amp;"|"&amp;E695&amp;"|"&amp;F695&amp;"|"&amp;G695&amp;"|"&amp;H695&amp;"|"&amp;I695&amp;"|"&amp;J695&amp;"|"&amp;K695&amp;"|"&amp;L695&amp;"|"&amp;M695&amp;"|"&amp;N695&amp;"|"&amp;O695</f>
        <v/>
      </c>
      <c r="R695">
        <f>IF(Q695=REPT("|",14),0,1)</f>
        <v/>
      </c>
      <c r="S695">
        <f>IF(R695=0,0,IF(SUMPRODUCT(($Q$11:Q694=Q695)*($R$11:R694=1))&gt;0,1,0))</f>
        <v/>
      </c>
    </row>
    <row r="696">
      <c r="Q696">
        <f>A696&amp;"|"&amp;B696&amp;"|"&amp;C696&amp;"|"&amp;D696&amp;"|"&amp;E696&amp;"|"&amp;F696&amp;"|"&amp;G696&amp;"|"&amp;H696&amp;"|"&amp;I696&amp;"|"&amp;J696&amp;"|"&amp;K696&amp;"|"&amp;L696&amp;"|"&amp;M696&amp;"|"&amp;N696&amp;"|"&amp;O696</f>
        <v/>
      </c>
      <c r="R696">
        <f>IF(Q696=REPT("|",14),0,1)</f>
        <v/>
      </c>
      <c r="S696">
        <f>IF(R696=0,0,IF(SUMPRODUCT(($Q$11:Q695=Q696)*($R$11:R695=1))&gt;0,1,0))</f>
        <v/>
      </c>
    </row>
    <row r="697">
      <c r="Q697">
        <f>A697&amp;"|"&amp;B697&amp;"|"&amp;C697&amp;"|"&amp;D697&amp;"|"&amp;E697&amp;"|"&amp;F697&amp;"|"&amp;G697&amp;"|"&amp;H697&amp;"|"&amp;I697&amp;"|"&amp;J697&amp;"|"&amp;K697&amp;"|"&amp;L697&amp;"|"&amp;M697&amp;"|"&amp;N697&amp;"|"&amp;O697</f>
        <v/>
      </c>
      <c r="R697">
        <f>IF(Q697=REPT("|",14),0,1)</f>
        <v/>
      </c>
      <c r="S697">
        <f>IF(R697=0,0,IF(SUMPRODUCT(($Q$11:Q696=Q697)*($R$11:R696=1))&gt;0,1,0))</f>
        <v/>
      </c>
    </row>
    <row r="698">
      <c r="Q698">
        <f>A698&amp;"|"&amp;B698&amp;"|"&amp;C698&amp;"|"&amp;D698&amp;"|"&amp;E698&amp;"|"&amp;F698&amp;"|"&amp;G698&amp;"|"&amp;H698&amp;"|"&amp;I698&amp;"|"&amp;J698&amp;"|"&amp;K698&amp;"|"&amp;L698&amp;"|"&amp;M698&amp;"|"&amp;N698&amp;"|"&amp;O698</f>
        <v/>
      </c>
      <c r="R698">
        <f>IF(Q698=REPT("|",14),0,1)</f>
        <v/>
      </c>
      <c r="S698">
        <f>IF(R698=0,0,IF(SUMPRODUCT(($Q$11:Q697=Q698)*($R$11:R697=1))&gt;0,1,0))</f>
        <v/>
      </c>
    </row>
    <row r="699">
      <c r="Q699">
        <f>A699&amp;"|"&amp;B699&amp;"|"&amp;C699&amp;"|"&amp;D699&amp;"|"&amp;E699&amp;"|"&amp;F699&amp;"|"&amp;G699&amp;"|"&amp;H699&amp;"|"&amp;I699&amp;"|"&amp;J699&amp;"|"&amp;K699&amp;"|"&amp;L699&amp;"|"&amp;M699&amp;"|"&amp;N699&amp;"|"&amp;O699</f>
        <v/>
      </c>
      <c r="R699">
        <f>IF(Q699=REPT("|",14),0,1)</f>
        <v/>
      </c>
      <c r="S699">
        <f>IF(R699=0,0,IF(SUMPRODUCT(($Q$11:Q698=Q699)*($R$11:R698=1))&gt;0,1,0))</f>
        <v/>
      </c>
    </row>
    <row r="700">
      <c r="Q700">
        <f>A700&amp;"|"&amp;B700&amp;"|"&amp;C700&amp;"|"&amp;D700&amp;"|"&amp;E700&amp;"|"&amp;F700&amp;"|"&amp;G700&amp;"|"&amp;H700&amp;"|"&amp;I700&amp;"|"&amp;J700&amp;"|"&amp;K700&amp;"|"&amp;L700&amp;"|"&amp;M700&amp;"|"&amp;N700&amp;"|"&amp;O700</f>
        <v/>
      </c>
      <c r="R700">
        <f>IF(Q700=REPT("|",14),0,1)</f>
        <v/>
      </c>
      <c r="S700">
        <f>IF(R700=0,0,IF(SUMPRODUCT(($Q$11:Q699=Q700)*($R$11:R699=1))&gt;0,1,0))</f>
        <v/>
      </c>
    </row>
    <row r="701">
      <c r="Q701">
        <f>A701&amp;"|"&amp;B701&amp;"|"&amp;C701&amp;"|"&amp;D701&amp;"|"&amp;E701&amp;"|"&amp;F701&amp;"|"&amp;G701&amp;"|"&amp;H701&amp;"|"&amp;I701&amp;"|"&amp;J701&amp;"|"&amp;K701&amp;"|"&amp;L701&amp;"|"&amp;M701&amp;"|"&amp;N701&amp;"|"&amp;O701</f>
        <v/>
      </c>
      <c r="R701">
        <f>IF(Q701=REPT("|",14),0,1)</f>
        <v/>
      </c>
      <c r="S701">
        <f>IF(R701=0,0,IF(SUMPRODUCT(($Q$11:Q700=Q701)*($R$11:R700=1))&gt;0,1,0))</f>
        <v/>
      </c>
    </row>
    <row r="702">
      <c r="Q702">
        <f>A702&amp;"|"&amp;B702&amp;"|"&amp;C702&amp;"|"&amp;D702&amp;"|"&amp;E702&amp;"|"&amp;F702&amp;"|"&amp;G702&amp;"|"&amp;H702&amp;"|"&amp;I702&amp;"|"&amp;J702&amp;"|"&amp;K702&amp;"|"&amp;L702&amp;"|"&amp;M702&amp;"|"&amp;N702&amp;"|"&amp;O702</f>
        <v/>
      </c>
      <c r="R702">
        <f>IF(Q702=REPT("|",14),0,1)</f>
        <v/>
      </c>
      <c r="S702">
        <f>IF(R702=0,0,IF(SUMPRODUCT(($Q$11:Q701=Q702)*($R$11:R701=1))&gt;0,1,0))</f>
        <v/>
      </c>
    </row>
    <row r="703">
      <c r="Q703">
        <f>A703&amp;"|"&amp;B703&amp;"|"&amp;C703&amp;"|"&amp;D703&amp;"|"&amp;E703&amp;"|"&amp;F703&amp;"|"&amp;G703&amp;"|"&amp;H703&amp;"|"&amp;I703&amp;"|"&amp;J703&amp;"|"&amp;K703&amp;"|"&amp;L703&amp;"|"&amp;M703&amp;"|"&amp;N703&amp;"|"&amp;O703</f>
        <v/>
      </c>
      <c r="R703">
        <f>IF(Q703=REPT("|",14),0,1)</f>
        <v/>
      </c>
      <c r="S703">
        <f>IF(R703=0,0,IF(SUMPRODUCT(($Q$11:Q702=Q703)*($R$11:R702=1))&gt;0,1,0))</f>
        <v/>
      </c>
    </row>
    <row r="704">
      <c r="Q704">
        <f>A704&amp;"|"&amp;B704&amp;"|"&amp;C704&amp;"|"&amp;D704&amp;"|"&amp;E704&amp;"|"&amp;F704&amp;"|"&amp;G704&amp;"|"&amp;H704&amp;"|"&amp;I704&amp;"|"&amp;J704&amp;"|"&amp;K704&amp;"|"&amp;L704&amp;"|"&amp;M704&amp;"|"&amp;N704&amp;"|"&amp;O704</f>
        <v/>
      </c>
      <c r="R704">
        <f>IF(Q704=REPT("|",14),0,1)</f>
        <v/>
      </c>
      <c r="S704">
        <f>IF(R704=0,0,IF(SUMPRODUCT(($Q$11:Q703=Q704)*($R$11:R703=1))&gt;0,1,0))</f>
        <v/>
      </c>
    </row>
    <row r="705">
      <c r="Q705">
        <f>A705&amp;"|"&amp;B705&amp;"|"&amp;C705&amp;"|"&amp;D705&amp;"|"&amp;E705&amp;"|"&amp;F705&amp;"|"&amp;G705&amp;"|"&amp;H705&amp;"|"&amp;I705&amp;"|"&amp;J705&amp;"|"&amp;K705&amp;"|"&amp;L705&amp;"|"&amp;M705&amp;"|"&amp;N705&amp;"|"&amp;O705</f>
        <v/>
      </c>
      <c r="R705">
        <f>IF(Q705=REPT("|",14),0,1)</f>
        <v/>
      </c>
      <c r="S705">
        <f>IF(R705=0,0,IF(SUMPRODUCT(($Q$11:Q704=Q705)*($R$11:R704=1))&gt;0,1,0))</f>
        <v/>
      </c>
    </row>
    <row r="706">
      <c r="Q706">
        <f>A706&amp;"|"&amp;B706&amp;"|"&amp;C706&amp;"|"&amp;D706&amp;"|"&amp;E706&amp;"|"&amp;F706&amp;"|"&amp;G706&amp;"|"&amp;H706&amp;"|"&amp;I706&amp;"|"&amp;J706&amp;"|"&amp;K706&amp;"|"&amp;L706&amp;"|"&amp;M706&amp;"|"&amp;N706&amp;"|"&amp;O706</f>
        <v/>
      </c>
      <c r="R706">
        <f>IF(Q706=REPT("|",14),0,1)</f>
        <v/>
      </c>
      <c r="S706">
        <f>IF(R706=0,0,IF(SUMPRODUCT(($Q$11:Q705=Q706)*($R$11:R705=1))&gt;0,1,0))</f>
        <v/>
      </c>
    </row>
    <row r="707">
      <c r="Q707">
        <f>A707&amp;"|"&amp;B707&amp;"|"&amp;C707&amp;"|"&amp;D707&amp;"|"&amp;E707&amp;"|"&amp;F707&amp;"|"&amp;G707&amp;"|"&amp;H707&amp;"|"&amp;I707&amp;"|"&amp;J707&amp;"|"&amp;K707&amp;"|"&amp;L707&amp;"|"&amp;M707&amp;"|"&amp;N707&amp;"|"&amp;O707</f>
        <v/>
      </c>
      <c r="R707">
        <f>IF(Q707=REPT("|",14),0,1)</f>
        <v/>
      </c>
      <c r="S707">
        <f>IF(R707=0,0,IF(SUMPRODUCT(($Q$11:Q706=Q707)*($R$11:R706=1))&gt;0,1,0))</f>
        <v/>
      </c>
    </row>
    <row r="708">
      <c r="Q708">
        <f>A708&amp;"|"&amp;B708&amp;"|"&amp;C708&amp;"|"&amp;D708&amp;"|"&amp;E708&amp;"|"&amp;F708&amp;"|"&amp;G708&amp;"|"&amp;H708&amp;"|"&amp;I708&amp;"|"&amp;J708&amp;"|"&amp;K708&amp;"|"&amp;L708&amp;"|"&amp;M708&amp;"|"&amp;N708&amp;"|"&amp;O708</f>
        <v/>
      </c>
      <c r="R708">
        <f>IF(Q708=REPT("|",14),0,1)</f>
        <v/>
      </c>
      <c r="S708">
        <f>IF(R708=0,0,IF(SUMPRODUCT(($Q$11:Q707=Q708)*($R$11:R707=1))&gt;0,1,0))</f>
        <v/>
      </c>
    </row>
    <row r="709">
      <c r="Q709">
        <f>A709&amp;"|"&amp;B709&amp;"|"&amp;C709&amp;"|"&amp;D709&amp;"|"&amp;E709&amp;"|"&amp;F709&amp;"|"&amp;G709&amp;"|"&amp;H709&amp;"|"&amp;I709&amp;"|"&amp;J709&amp;"|"&amp;K709&amp;"|"&amp;L709&amp;"|"&amp;M709&amp;"|"&amp;N709&amp;"|"&amp;O709</f>
        <v/>
      </c>
      <c r="R709">
        <f>IF(Q709=REPT("|",14),0,1)</f>
        <v/>
      </c>
      <c r="S709">
        <f>IF(R709=0,0,IF(SUMPRODUCT(($Q$11:Q708=Q709)*($R$11:R708=1))&gt;0,1,0))</f>
        <v/>
      </c>
    </row>
    <row r="710">
      <c r="Q710">
        <f>A710&amp;"|"&amp;B710&amp;"|"&amp;C710&amp;"|"&amp;D710&amp;"|"&amp;E710&amp;"|"&amp;F710&amp;"|"&amp;G710&amp;"|"&amp;H710&amp;"|"&amp;I710&amp;"|"&amp;J710&amp;"|"&amp;K710&amp;"|"&amp;L710&amp;"|"&amp;M710&amp;"|"&amp;N710&amp;"|"&amp;O710</f>
        <v/>
      </c>
      <c r="R710">
        <f>IF(Q710=REPT("|",14),0,1)</f>
        <v/>
      </c>
      <c r="S710">
        <f>IF(R710=0,0,IF(SUMPRODUCT(($Q$11:Q709=Q710)*($R$11:R709=1))&gt;0,1,0))</f>
        <v/>
      </c>
    </row>
    <row r="711">
      <c r="Q711">
        <f>A711&amp;"|"&amp;B711&amp;"|"&amp;C711&amp;"|"&amp;D711&amp;"|"&amp;E711&amp;"|"&amp;F711&amp;"|"&amp;G711&amp;"|"&amp;H711&amp;"|"&amp;I711&amp;"|"&amp;J711&amp;"|"&amp;K711&amp;"|"&amp;L711&amp;"|"&amp;M711&amp;"|"&amp;N711&amp;"|"&amp;O711</f>
        <v/>
      </c>
      <c r="R711">
        <f>IF(Q711=REPT("|",14),0,1)</f>
        <v/>
      </c>
      <c r="S711">
        <f>IF(R711=0,0,IF(SUMPRODUCT(($Q$11:Q710=Q711)*($R$11:R710=1))&gt;0,1,0))</f>
        <v/>
      </c>
    </row>
    <row r="712">
      <c r="Q712">
        <f>A712&amp;"|"&amp;B712&amp;"|"&amp;C712&amp;"|"&amp;D712&amp;"|"&amp;E712&amp;"|"&amp;F712&amp;"|"&amp;G712&amp;"|"&amp;H712&amp;"|"&amp;I712&amp;"|"&amp;J712&amp;"|"&amp;K712&amp;"|"&amp;L712&amp;"|"&amp;M712&amp;"|"&amp;N712&amp;"|"&amp;O712</f>
        <v/>
      </c>
      <c r="R712">
        <f>IF(Q712=REPT("|",14),0,1)</f>
        <v/>
      </c>
      <c r="S712">
        <f>IF(R712=0,0,IF(SUMPRODUCT(($Q$11:Q711=Q712)*($R$11:R711=1))&gt;0,1,0))</f>
        <v/>
      </c>
    </row>
    <row r="713">
      <c r="Q713">
        <f>A713&amp;"|"&amp;B713&amp;"|"&amp;C713&amp;"|"&amp;D713&amp;"|"&amp;E713&amp;"|"&amp;F713&amp;"|"&amp;G713&amp;"|"&amp;H713&amp;"|"&amp;I713&amp;"|"&amp;J713&amp;"|"&amp;K713&amp;"|"&amp;L713&amp;"|"&amp;M713&amp;"|"&amp;N713&amp;"|"&amp;O713</f>
        <v/>
      </c>
      <c r="R713">
        <f>IF(Q713=REPT("|",14),0,1)</f>
        <v/>
      </c>
      <c r="S713">
        <f>IF(R713=0,0,IF(SUMPRODUCT(($Q$11:Q712=Q713)*($R$11:R712=1))&gt;0,1,0))</f>
        <v/>
      </c>
    </row>
    <row r="714">
      <c r="Q714">
        <f>A714&amp;"|"&amp;B714&amp;"|"&amp;C714&amp;"|"&amp;D714&amp;"|"&amp;E714&amp;"|"&amp;F714&amp;"|"&amp;G714&amp;"|"&amp;H714&amp;"|"&amp;I714&amp;"|"&amp;J714&amp;"|"&amp;K714&amp;"|"&amp;L714&amp;"|"&amp;M714&amp;"|"&amp;N714&amp;"|"&amp;O714</f>
        <v/>
      </c>
      <c r="R714">
        <f>IF(Q714=REPT("|",14),0,1)</f>
        <v/>
      </c>
      <c r="S714">
        <f>IF(R714=0,0,IF(SUMPRODUCT(($Q$11:Q713=Q714)*($R$11:R713=1))&gt;0,1,0))</f>
        <v/>
      </c>
    </row>
    <row r="715">
      <c r="Q715">
        <f>A715&amp;"|"&amp;B715&amp;"|"&amp;C715&amp;"|"&amp;D715&amp;"|"&amp;E715&amp;"|"&amp;F715&amp;"|"&amp;G715&amp;"|"&amp;H715&amp;"|"&amp;I715&amp;"|"&amp;J715&amp;"|"&amp;K715&amp;"|"&amp;L715&amp;"|"&amp;M715&amp;"|"&amp;N715&amp;"|"&amp;O715</f>
        <v/>
      </c>
      <c r="R715">
        <f>IF(Q715=REPT("|",14),0,1)</f>
        <v/>
      </c>
      <c r="S715">
        <f>IF(R715=0,0,IF(SUMPRODUCT(($Q$11:Q714=Q715)*($R$11:R714=1))&gt;0,1,0))</f>
        <v/>
      </c>
    </row>
    <row r="716">
      <c r="Q716">
        <f>A716&amp;"|"&amp;B716&amp;"|"&amp;C716&amp;"|"&amp;D716&amp;"|"&amp;E716&amp;"|"&amp;F716&amp;"|"&amp;G716&amp;"|"&amp;H716&amp;"|"&amp;I716&amp;"|"&amp;J716&amp;"|"&amp;K716&amp;"|"&amp;L716&amp;"|"&amp;M716&amp;"|"&amp;N716&amp;"|"&amp;O716</f>
        <v/>
      </c>
      <c r="R716">
        <f>IF(Q716=REPT("|",14),0,1)</f>
        <v/>
      </c>
      <c r="S716">
        <f>IF(R716=0,0,IF(SUMPRODUCT(($Q$11:Q715=Q716)*($R$11:R715=1))&gt;0,1,0))</f>
        <v/>
      </c>
    </row>
    <row r="717">
      <c r="Q717">
        <f>A717&amp;"|"&amp;B717&amp;"|"&amp;C717&amp;"|"&amp;D717&amp;"|"&amp;E717&amp;"|"&amp;F717&amp;"|"&amp;G717&amp;"|"&amp;H717&amp;"|"&amp;I717&amp;"|"&amp;J717&amp;"|"&amp;K717&amp;"|"&amp;L717&amp;"|"&amp;M717&amp;"|"&amp;N717&amp;"|"&amp;O717</f>
        <v/>
      </c>
      <c r="R717">
        <f>IF(Q717=REPT("|",14),0,1)</f>
        <v/>
      </c>
      <c r="S717">
        <f>IF(R717=0,0,IF(SUMPRODUCT(($Q$11:Q716=Q717)*($R$11:R716=1))&gt;0,1,0))</f>
        <v/>
      </c>
    </row>
    <row r="718">
      <c r="Q718">
        <f>A718&amp;"|"&amp;B718&amp;"|"&amp;C718&amp;"|"&amp;D718&amp;"|"&amp;E718&amp;"|"&amp;F718&amp;"|"&amp;G718&amp;"|"&amp;H718&amp;"|"&amp;I718&amp;"|"&amp;J718&amp;"|"&amp;K718&amp;"|"&amp;L718&amp;"|"&amp;M718&amp;"|"&amp;N718&amp;"|"&amp;O718</f>
        <v/>
      </c>
      <c r="R718">
        <f>IF(Q718=REPT("|",14),0,1)</f>
        <v/>
      </c>
      <c r="S718">
        <f>IF(R718=0,0,IF(SUMPRODUCT(($Q$11:Q717=Q718)*($R$11:R717=1))&gt;0,1,0))</f>
        <v/>
      </c>
    </row>
    <row r="719">
      <c r="Q719">
        <f>A719&amp;"|"&amp;B719&amp;"|"&amp;C719&amp;"|"&amp;D719&amp;"|"&amp;E719&amp;"|"&amp;F719&amp;"|"&amp;G719&amp;"|"&amp;H719&amp;"|"&amp;I719&amp;"|"&amp;J719&amp;"|"&amp;K719&amp;"|"&amp;L719&amp;"|"&amp;M719&amp;"|"&amp;N719&amp;"|"&amp;O719</f>
        <v/>
      </c>
      <c r="R719">
        <f>IF(Q719=REPT("|",14),0,1)</f>
        <v/>
      </c>
      <c r="S719">
        <f>IF(R719=0,0,IF(SUMPRODUCT(($Q$11:Q718=Q719)*($R$11:R718=1))&gt;0,1,0))</f>
        <v/>
      </c>
    </row>
    <row r="720">
      <c r="Q720">
        <f>A720&amp;"|"&amp;B720&amp;"|"&amp;C720&amp;"|"&amp;D720&amp;"|"&amp;E720&amp;"|"&amp;F720&amp;"|"&amp;G720&amp;"|"&amp;H720&amp;"|"&amp;I720&amp;"|"&amp;J720&amp;"|"&amp;K720&amp;"|"&amp;L720&amp;"|"&amp;M720&amp;"|"&amp;N720&amp;"|"&amp;O720</f>
        <v/>
      </c>
      <c r="R720">
        <f>IF(Q720=REPT("|",14),0,1)</f>
        <v/>
      </c>
      <c r="S720">
        <f>IF(R720=0,0,IF(SUMPRODUCT(($Q$11:Q719=Q720)*($R$11:R719=1))&gt;0,1,0))</f>
        <v/>
      </c>
    </row>
    <row r="721">
      <c r="Q721">
        <f>A721&amp;"|"&amp;B721&amp;"|"&amp;C721&amp;"|"&amp;D721&amp;"|"&amp;E721&amp;"|"&amp;F721&amp;"|"&amp;G721&amp;"|"&amp;H721&amp;"|"&amp;I721&amp;"|"&amp;J721&amp;"|"&amp;K721&amp;"|"&amp;L721&amp;"|"&amp;M721&amp;"|"&amp;N721&amp;"|"&amp;O721</f>
        <v/>
      </c>
      <c r="R721">
        <f>IF(Q721=REPT("|",14),0,1)</f>
        <v/>
      </c>
      <c r="S721">
        <f>IF(R721=0,0,IF(SUMPRODUCT(($Q$11:Q720=Q721)*($R$11:R720=1))&gt;0,1,0))</f>
        <v/>
      </c>
    </row>
    <row r="722">
      <c r="Q722">
        <f>A722&amp;"|"&amp;B722&amp;"|"&amp;C722&amp;"|"&amp;D722&amp;"|"&amp;E722&amp;"|"&amp;F722&amp;"|"&amp;G722&amp;"|"&amp;H722&amp;"|"&amp;I722&amp;"|"&amp;J722&amp;"|"&amp;K722&amp;"|"&amp;L722&amp;"|"&amp;M722&amp;"|"&amp;N722&amp;"|"&amp;O722</f>
        <v/>
      </c>
      <c r="R722">
        <f>IF(Q722=REPT("|",14),0,1)</f>
        <v/>
      </c>
      <c r="S722">
        <f>IF(R722=0,0,IF(SUMPRODUCT(($Q$11:Q721=Q722)*($R$11:R721=1))&gt;0,1,0))</f>
        <v/>
      </c>
    </row>
    <row r="723">
      <c r="Q723">
        <f>A723&amp;"|"&amp;B723&amp;"|"&amp;C723&amp;"|"&amp;D723&amp;"|"&amp;E723&amp;"|"&amp;F723&amp;"|"&amp;G723&amp;"|"&amp;H723&amp;"|"&amp;I723&amp;"|"&amp;J723&amp;"|"&amp;K723&amp;"|"&amp;L723&amp;"|"&amp;M723&amp;"|"&amp;N723&amp;"|"&amp;O723</f>
        <v/>
      </c>
      <c r="R723">
        <f>IF(Q723=REPT("|",14),0,1)</f>
        <v/>
      </c>
      <c r="S723">
        <f>IF(R723=0,0,IF(SUMPRODUCT(($Q$11:Q722=Q723)*($R$11:R722=1))&gt;0,1,0))</f>
        <v/>
      </c>
    </row>
    <row r="724">
      <c r="Q724">
        <f>A724&amp;"|"&amp;B724&amp;"|"&amp;C724&amp;"|"&amp;D724&amp;"|"&amp;E724&amp;"|"&amp;F724&amp;"|"&amp;G724&amp;"|"&amp;H724&amp;"|"&amp;I724&amp;"|"&amp;J724&amp;"|"&amp;K724&amp;"|"&amp;L724&amp;"|"&amp;M724&amp;"|"&amp;N724&amp;"|"&amp;O724</f>
        <v/>
      </c>
      <c r="R724">
        <f>IF(Q724=REPT("|",14),0,1)</f>
        <v/>
      </c>
      <c r="S724">
        <f>IF(R724=0,0,IF(SUMPRODUCT(($Q$11:Q723=Q724)*($R$11:R723=1))&gt;0,1,0))</f>
        <v/>
      </c>
    </row>
    <row r="725">
      <c r="Q725">
        <f>A725&amp;"|"&amp;B725&amp;"|"&amp;C725&amp;"|"&amp;D725&amp;"|"&amp;E725&amp;"|"&amp;F725&amp;"|"&amp;G725&amp;"|"&amp;H725&amp;"|"&amp;I725&amp;"|"&amp;J725&amp;"|"&amp;K725&amp;"|"&amp;L725&amp;"|"&amp;M725&amp;"|"&amp;N725&amp;"|"&amp;O725</f>
        <v/>
      </c>
      <c r="R725">
        <f>IF(Q725=REPT("|",14),0,1)</f>
        <v/>
      </c>
      <c r="S725">
        <f>IF(R725=0,0,IF(SUMPRODUCT(($Q$11:Q724=Q725)*($R$11:R724=1))&gt;0,1,0))</f>
        <v/>
      </c>
    </row>
    <row r="726">
      <c r="Q726">
        <f>A726&amp;"|"&amp;B726&amp;"|"&amp;C726&amp;"|"&amp;D726&amp;"|"&amp;E726&amp;"|"&amp;F726&amp;"|"&amp;G726&amp;"|"&amp;H726&amp;"|"&amp;I726&amp;"|"&amp;J726&amp;"|"&amp;K726&amp;"|"&amp;L726&amp;"|"&amp;M726&amp;"|"&amp;N726&amp;"|"&amp;O726</f>
        <v/>
      </c>
      <c r="R726">
        <f>IF(Q726=REPT("|",14),0,1)</f>
        <v/>
      </c>
      <c r="S726">
        <f>IF(R726=0,0,IF(SUMPRODUCT(($Q$11:Q725=Q726)*($R$11:R725=1))&gt;0,1,0))</f>
        <v/>
      </c>
    </row>
    <row r="727">
      <c r="Q727">
        <f>A727&amp;"|"&amp;B727&amp;"|"&amp;C727&amp;"|"&amp;D727&amp;"|"&amp;E727&amp;"|"&amp;F727&amp;"|"&amp;G727&amp;"|"&amp;H727&amp;"|"&amp;I727&amp;"|"&amp;J727&amp;"|"&amp;K727&amp;"|"&amp;L727&amp;"|"&amp;M727&amp;"|"&amp;N727&amp;"|"&amp;O727</f>
        <v/>
      </c>
      <c r="R727">
        <f>IF(Q727=REPT("|",14),0,1)</f>
        <v/>
      </c>
      <c r="S727">
        <f>IF(R727=0,0,IF(SUMPRODUCT(($Q$11:Q726=Q727)*($R$11:R726=1))&gt;0,1,0))</f>
        <v/>
      </c>
    </row>
    <row r="728">
      <c r="Q728">
        <f>A728&amp;"|"&amp;B728&amp;"|"&amp;C728&amp;"|"&amp;D728&amp;"|"&amp;E728&amp;"|"&amp;F728&amp;"|"&amp;G728&amp;"|"&amp;H728&amp;"|"&amp;I728&amp;"|"&amp;J728&amp;"|"&amp;K728&amp;"|"&amp;L728&amp;"|"&amp;M728&amp;"|"&amp;N728&amp;"|"&amp;O728</f>
        <v/>
      </c>
      <c r="R728">
        <f>IF(Q728=REPT("|",14),0,1)</f>
        <v/>
      </c>
      <c r="S728">
        <f>IF(R728=0,0,IF(SUMPRODUCT(($Q$11:Q727=Q728)*($R$11:R727=1))&gt;0,1,0))</f>
        <v/>
      </c>
    </row>
    <row r="729">
      <c r="Q729">
        <f>A729&amp;"|"&amp;B729&amp;"|"&amp;C729&amp;"|"&amp;D729&amp;"|"&amp;E729&amp;"|"&amp;F729&amp;"|"&amp;G729&amp;"|"&amp;H729&amp;"|"&amp;I729&amp;"|"&amp;J729&amp;"|"&amp;K729&amp;"|"&amp;L729&amp;"|"&amp;M729&amp;"|"&amp;N729&amp;"|"&amp;O729</f>
        <v/>
      </c>
      <c r="R729">
        <f>IF(Q729=REPT("|",14),0,1)</f>
        <v/>
      </c>
      <c r="S729">
        <f>IF(R729=0,0,IF(SUMPRODUCT(($Q$11:Q728=Q729)*($R$11:R728=1))&gt;0,1,0))</f>
        <v/>
      </c>
    </row>
    <row r="730">
      <c r="Q730">
        <f>A730&amp;"|"&amp;B730&amp;"|"&amp;C730&amp;"|"&amp;D730&amp;"|"&amp;E730&amp;"|"&amp;F730&amp;"|"&amp;G730&amp;"|"&amp;H730&amp;"|"&amp;I730&amp;"|"&amp;J730&amp;"|"&amp;K730&amp;"|"&amp;L730&amp;"|"&amp;M730&amp;"|"&amp;N730&amp;"|"&amp;O730</f>
        <v/>
      </c>
      <c r="R730">
        <f>IF(Q730=REPT("|",14),0,1)</f>
        <v/>
      </c>
      <c r="S730">
        <f>IF(R730=0,0,IF(SUMPRODUCT(($Q$11:Q729=Q730)*($R$11:R729=1))&gt;0,1,0))</f>
        <v/>
      </c>
    </row>
    <row r="731">
      <c r="Q731">
        <f>A731&amp;"|"&amp;B731&amp;"|"&amp;C731&amp;"|"&amp;D731&amp;"|"&amp;E731&amp;"|"&amp;F731&amp;"|"&amp;G731&amp;"|"&amp;H731&amp;"|"&amp;I731&amp;"|"&amp;J731&amp;"|"&amp;K731&amp;"|"&amp;L731&amp;"|"&amp;M731&amp;"|"&amp;N731&amp;"|"&amp;O731</f>
        <v/>
      </c>
      <c r="R731">
        <f>IF(Q731=REPT("|",14),0,1)</f>
        <v/>
      </c>
      <c r="S731">
        <f>IF(R731=0,0,IF(SUMPRODUCT(($Q$11:Q730=Q731)*($R$11:R730=1))&gt;0,1,0))</f>
        <v/>
      </c>
    </row>
    <row r="732">
      <c r="Q732">
        <f>A732&amp;"|"&amp;B732&amp;"|"&amp;C732&amp;"|"&amp;D732&amp;"|"&amp;E732&amp;"|"&amp;F732&amp;"|"&amp;G732&amp;"|"&amp;H732&amp;"|"&amp;I732&amp;"|"&amp;J732&amp;"|"&amp;K732&amp;"|"&amp;L732&amp;"|"&amp;M732&amp;"|"&amp;N732&amp;"|"&amp;O732</f>
        <v/>
      </c>
      <c r="R732">
        <f>IF(Q732=REPT("|",14),0,1)</f>
        <v/>
      </c>
      <c r="S732">
        <f>IF(R732=0,0,IF(SUMPRODUCT(($Q$11:Q731=Q732)*($R$11:R731=1))&gt;0,1,0))</f>
        <v/>
      </c>
    </row>
    <row r="733">
      <c r="Q733">
        <f>A733&amp;"|"&amp;B733&amp;"|"&amp;C733&amp;"|"&amp;D733&amp;"|"&amp;E733&amp;"|"&amp;F733&amp;"|"&amp;G733&amp;"|"&amp;H733&amp;"|"&amp;I733&amp;"|"&amp;J733&amp;"|"&amp;K733&amp;"|"&amp;L733&amp;"|"&amp;M733&amp;"|"&amp;N733&amp;"|"&amp;O733</f>
        <v/>
      </c>
      <c r="R733">
        <f>IF(Q733=REPT("|",14),0,1)</f>
        <v/>
      </c>
      <c r="S733">
        <f>IF(R733=0,0,IF(SUMPRODUCT(($Q$11:Q732=Q733)*($R$11:R732=1))&gt;0,1,0))</f>
        <v/>
      </c>
    </row>
    <row r="734">
      <c r="Q734">
        <f>A734&amp;"|"&amp;B734&amp;"|"&amp;C734&amp;"|"&amp;D734&amp;"|"&amp;E734&amp;"|"&amp;F734&amp;"|"&amp;G734&amp;"|"&amp;H734&amp;"|"&amp;I734&amp;"|"&amp;J734&amp;"|"&amp;K734&amp;"|"&amp;L734&amp;"|"&amp;M734&amp;"|"&amp;N734&amp;"|"&amp;O734</f>
        <v/>
      </c>
      <c r="R734">
        <f>IF(Q734=REPT("|",14),0,1)</f>
        <v/>
      </c>
      <c r="S734">
        <f>IF(R734=0,0,IF(SUMPRODUCT(($Q$11:Q733=Q734)*($R$11:R733=1))&gt;0,1,0))</f>
        <v/>
      </c>
    </row>
    <row r="735">
      <c r="Q735">
        <f>A735&amp;"|"&amp;B735&amp;"|"&amp;C735&amp;"|"&amp;D735&amp;"|"&amp;E735&amp;"|"&amp;F735&amp;"|"&amp;G735&amp;"|"&amp;H735&amp;"|"&amp;I735&amp;"|"&amp;J735&amp;"|"&amp;K735&amp;"|"&amp;L735&amp;"|"&amp;M735&amp;"|"&amp;N735&amp;"|"&amp;O735</f>
        <v/>
      </c>
      <c r="R735">
        <f>IF(Q735=REPT("|",14),0,1)</f>
        <v/>
      </c>
      <c r="S735">
        <f>IF(R735=0,0,IF(SUMPRODUCT(($Q$11:Q734=Q735)*($R$11:R734=1))&gt;0,1,0))</f>
        <v/>
      </c>
    </row>
    <row r="736">
      <c r="Q736">
        <f>A736&amp;"|"&amp;B736&amp;"|"&amp;C736&amp;"|"&amp;D736&amp;"|"&amp;E736&amp;"|"&amp;F736&amp;"|"&amp;G736&amp;"|"&amp;H736&amp;"|"&amp;I736&amp;"|"&amp;J736&amp;"|"&amp;K736&amp;"|"&amp;L736&amp;"|"&amp;M736&amp;"|"&amp;N736&amp;"|"&amp;O736</f>
        <v/>
      </c>
      <c r="R736">
        <f>IF(Q736=REPT("|",14),0,1)</f>
        <v/>
      </c>
      <c r="S736">
        <f>IF(R736=0,0,IF(SUMPRODUCT(($Q$11:Q735=Q736)*($R$11:R735=1))&gt;0,1,0))</f>
        <v/>
      </c>
    </row>
    <row r="737">
      <c r="Q737">
        <f>A737&amp;"|"&amp;B737&amp;"|"&amp;C737&amp;"|"&amp;D737&amp;"|"&amp;E737&amp;"|"&amp;F737&amp;"|"&amp;G737&amp;"|"&amp;H737&amp;"|"&amp;I737&amp;"|"&amp;J737&amp;"|"&amp;K737&amp;"|"&amp;L737&amp;"|"&amp;M737&amp;"|"&amp;N737&amp;"|"&amp;O737</f>
        <v/>
      </c>
      <c r="R737">
        <f>IF(Q737=REPT("|",14),0,1)</f>
        <v/>
      </c>
      <c r="S737">
        <f>IF(R737=0,0,IF(SUMPRODUCT(($Q$11:Q736=Q737)*($R$11:R736=1))&gt;0,1,0))</f>
        <v/>
      </c>
    </row>
    <row r="738">
      <c r="Q738">
        <f>A738&amp;"|"&amp;B738&amp;"|"&amp;C738&amp;"|"&amp;D738&amp;"|"&amp;E738&amp;"|"&amp;F738&amp;"|"&amp;G738&amp;"|"&amp;H738&amp;"|"&amp;I738&amp;"|"&amp;J738&amp;"|"&amp;K738&amp;"|"&amp;L738&amp;"|"&amp;M738&amp;"|"&amp;N738&amp;"|"&amp;O738</f>
        <v/>
      </c>
      <c r="R738">
        <f>IF(Q738=REPT("|",14),0,1)</f>
        <v/>
      </c>
      <c r="S738">
        <f>IF(R738=0,0,IF(SUMPRODUCT(($Q$11:Q737=Q738)*($R$11:R737=1))&gt;0,1,0))</f>
        <v/>
      </c>
    </row>
    <row r="739">
      <c r="Q739">
        <f>A739&amp;"|"&amp;B739&amp;"|"&amp;C739&amp;"|"&amp;D739&amp;"|"&amp;E739&amp;"|"&amp;F739&amp;"|"&amp;G739&amp;"|"&amp;H739&amp;"|"&amp;I739&amp;"|"&amp;J739&amp;"|"&amp;K739&amp;"|"&amp;L739&amp;"|"&amp;M739&amp;"|"&amp;N739&amp;"|"&amp;O739</f>
        <v/>
      </c>
      <c r="R739">
        <f>IF(Q739=REPT("|",14),0,1)</f>
        <v/>
      </c>
      <c r="S739">
        <f>IF(R739=0,0,IF(SUMPRODUCT(($Q$11:Q738=Q739)*($R$11:R738=1))&gt;0,1,0))</f>
        <v/>
      </c>
    </row>
    <row r="740">
      <c r="Q740">
        <f>A740&amp;"|"&amp;B740&amp;"|"&amp;C740&amp;"|"&amp;D740&amp;"|"&amp;E740&amp;"|"&amp;F740&amp;"|"&amp;G740&amp;"|"&amp;H740&amp;"|"&amp;I740&amp;"|"&amp;J740&amp;"|"&amp;K740&amp;"|"&amp;L740&amp;"|"&amp;M740&amp;"|"&amp;N740&amp;"|"&amp;O740</f>
        <v/>
      </c>
      <c r="R740">
        <f>IF(Q740=REPT("|",14),0,1)</f>
        <v/>
      </c>
      <c r="S740">
        <f>IF(R740=0,0,IF(SUMPRODUCT(($Q$11:Q739=Q740)*($R$11:R739=1))&gt;0,1,0))</f>
        <v/>
      </c>
    </row>
    <row r="741">
      <c r="Q741">
        <f>A741&amp;"|"&amp;B741&amp;"|"&amp;C741&amp;"|"&amp;D741&amp;"|"&amp;E741&amp;"|"&amp;F741&amp;"|"&amp;G741&amp;"|"&amp;H741&amp;"|"&amp;I741&amp;"|"&amp;J741&amp;"|"&amp;K741&amp;"|"&amp;L741&amp;"|"&amp;M741&amp;"|"&amp;N741&amp;"|"&amp;O741</f>
        <v/>
      </c>
      <c r="R741">
        <f>IF(Q741=REPT("|",14),0,1)</f>
        <v/>
      </c>
      <c r="S741">
        <f>IF(R741=0,0,IF(SUMPRODUCT(($Q$11:Q740=Q741)*($R$11:R740=1))&gt;0,1,0))</f>
        <v/>
      </c>
    </row>
    <row r="742">
      <c r="Q742">
        <f>A742&amp;"|"&amp;B742&amp;"|"&amp;C742&amp;"|"&amp;D742&amp;"|"&amp;E742&amp;"|"&amp;F742&amp;"|"&amp;G742&amp;"|"&amp;H742&amp;"|"&amp;I742&amp;"|"&amp;J742&amp;"|"&amp;K742&amp;"|"&amp;L742&amp;"|"&amp;M742&amp;"|"&amp;N742&amp;"|"&amp;O742</f>
        <v/>
      </c>
      <c r="R742">
        <f>IF(Q742=REPT("|",14),0,1)</f>
        <v/>
      </c>
      <c r="S742">
        <f>IF(R742=0,0,IF(SUMPRODUCT(($Q$11:Q741=Q742)*($R$11:R741=1))&gt;0,1,0))</f>
        <v/>
      </c>
    </row>
    <row r="743">
      <c r="Q743">
        <f>A743&amp;"|"&amp;B743&amp;"|"&amp;C743&amp;"|"&amp;D743&amp;"|"&amp;E743&amp;"|"&amp;F743&amp;"|"&amp;G743&amp;"|"&amp;H743&amp;"|"&amp;I743&amp;"|"&amp;J743&amp;"|"&amp;K743&amp;"|"&amp;L743&amp;"|"&amp;M743&amp;"|"&amp;N743&amp;"|"&amp;O743</f>
        <v/>
      </c>
      <c r="R743">
        <f>IF(Q743=REPT("|",14),0,1)</f>
        <v/>
      </c>
      <c r="S743">
        <f>IF(R743=0,0,IF(SUMPRODUCT(($Q$11:Q742=Q743)*($R$11:R742=1))&gt;0,1,0))</f>
        <v/>
      </c>
    </row>
    <row r="744">
      <c r="Q744">
        <f>A744&amp;"|"&amp;B744&amp;"|"&amp;C744&amp;"|"&amp;D744&amp;"|"&amp;E744&amp;"|"&amp;F744&amp;"|"&amp;G744&amp;"|"&amp;H744&amp;"|"&amp;I744&amp;"|"&amp;J744&amp;"|"&amp;K744&amp;"|"&amp;L744&amp;"|"&amp;M744&amp;"|"&amp;N744&amp;"|"&amp;O744</f>
        <v/>
      </c>
      <c r="R744">
        <f>IF(Q744=REPT("|",14),0,1)</f>
        <v/>
      </c>
      <c r="S744">
        <f>IF(R744=0,0,IF(SUMPRODUCT(($Q$11:Q743=Q744)*($R$11:R743=1))&gt;0,1,0))</f>
        <v/>
      </c>
    </row>
    <row r="745">
      <c r="Q745">
        <f>A745&amp;"|"&amp;B745&amp;"|"&amp;C745&amp;"|"&amp;D745&amp;"|"&amp;E745&amp;"|"&amp;F745&amp;"|"&amp;G745&amp;"|"&amp;H745&amp;"|"&amp;I745&amp;"|"&amp;J745&amp;"|"&amp;K745&amp;"|"&amp;L745&amp;"|"&amp;M745&amp;"|"&amp;N745&amp;"|"&amp;O745</f>
        <v/>
      </c>
      <c r="R745">
        <f>IF(Q745=REPT("|",14),0,1)</f>
        <v/>
      </c>
      <c r="S745">
        <f>IF(R745=0,0,IF(SUMPRODUCT(($Q$11:Q744=Q745)*($R$11:R744=1))&gt;0,1,0))</f>
        <v/>
      </c>
    </row>
    <row r="746">
      <c r="Q746">
        <f>A746&amp;"|"&amp;B746&amp;"|"&amp;C746&amp;"|"&amp;D746&amp;"|"&amp;E746&amp;"|"&amp;F746&amp;"|"&amp;G746&amp;"|"&amp;H746&amp;"|"&amp;I746&amp;"|"&amp;J746&amp;"|"&amp;K746&amp;"|"&amp;L746&amp;"|"&amp;M746&amp;"|"&amp;N746&amp;"|"&amp;O746</f>
        <v/>
      </c>
      <c r="R746">
        <f>IF(Q746=REPT("|",14),0,1)</f>
        <v/>
      </c>
      <c r="S746">
        <f>IF(R746=0,0,IF(SUMPRODUCT(($Q$11:Q745=Q746)*($R$11:R745=1))&gt;0,1,0))</f>
        <v/>
      </c>
    </row>
    <row r="747">
      <c r="Q747">
        <f>A747&amp;"|"&amp;B747&amp;"|"&amp;C747&amp;"|"&amp;D747&amp;"|"&amp;E747&amp;"|"&amp;F747&amp;"|"&amp;G747&amp;"|"&amp;H747&amp;"|"&amp;I747&amp;"|"&amp;J747&amp;"|"&amp;K747&amp;"|"&amp;L747&amp;"|"&amp;M747&amp;"|"&amp;N747&amp;"|"&amp;O747</f>
        <v/>
      </c>
      <c r="R747">
        <f>IF(Q747=REPT("|",14),0,1)</f>
        <v/>
      </c>
      <c r="S747">
        <f>IF(R747=0,0,IF(SUMPRODUCT(($Q$11:Q746=Q747)*($R$11:R746=1))&gt;0,1,0))</f>
        <v/>
      </c>
    </row>
    <row r="748">
      <c r="Q748">
        <f>A748&amp;"|"&amp;B748&amp;"|"&amp;C748&amp;"|"&amp;D748&amp;"|"&amp;E748&amp;"|"&amp;F748&amp;"|"&amp;G748&amp;"|"&amp;H748&amp;"|"&amp;I748&amp;"|"&amp;J748&amp;"|"&amp;K748&amp;"|"&amp;L748&amp;"|"&amp;M748&amp;"|"&amp;N748&amp;"|"&amp;O748</f>
        <v/>
      </c>
      <c r="R748">
        <f>IF(Q748=REPT("|",14),0,1)</f>
        <v/>
      </c>
      <c r="S748">
        <f>IF(R748=0,0,IF(SUMPRODUCT(($Q$11:Q747=Q748)*($R$11:R747=1))&gt;0,1,0))</f>
        <v/>
      </c>
    </row>
    <row r="749">
      <c r="Q749">
        <f>A749&amp;"|"&amp;B749&amp;"|"&amp;C749&amp;"|"&amp;D749&amp;"|"&amp;E749&amp;"|"&amp;F749&amp;"|"&amp;G749&amp;"|"&amp;H749&amp;"|"&amp;I749&amp;"|"&amp;J749&amp;"|"&amp;K749&amp;"|"&amp;L749&amp;"|"&amp;M749&amp;"|"&amp;N749&amp;"|"&amp;O749</f>
        <v/>
      </c>
      <c r="R749">
        <f>IF(Q749=REPT("|",14),0,1)</f>
        <v/>
      </c>
      <c r="S749">
        <f>IF(R749=0,0,IF(SUMPRODUCT(($Q$11:Q748=Q749)*($R$11:R748=1))&gt;0,1,0))</f>
        <v/>
      </c>
    </row>
    <row r="750">
      <c r="Q750">
        <f>A750&amp;"|"&amp;B750&amp;"|"&amp;C750&amp;"|"&amp;D750&amp;"|"&amp;E750&amp;"|"&amp;F750&amp;"|"&amp;G750&amp;"|"&amp;H750&amp;"|"&amp;I750&amp;"|"&amp;J750&amp;"|"&amp;K750&amp;"|"&amp;L750&amp;"|"&amp;M750&amp;"|"&amp;N750&amp;"|"&amp;O750</f>
        <v/>
      </c>
      <c r="R750">
        <f>IF(Q750=REPT("|",14),0,1)</f>
        <v/>
      </c>
      <c r="S750">
        <f>IF(R750=0,0,IF(SUMPRODUCT(($Q$11:Q749=Q750)*($R$11:R749=1))&gt;0,1,0))</f>
        <v/>
      </c>
    </row>
    <row r="751">
      <c r="Q751">
        <f>A751&amp;"|"&amp;B751&amp;"|"&amp;C751&amp;"|"&amp;D751&amp;"|"&amp;E751&amp;"|"&amp;F751&amp;"|"&amp;G751&amp;"|"&amp;H751&amp;"|"&amp;I751&amp;"|"&amp;J751&amp;"|"&amp;K751&amp;"|"&amp;L751&amp;"|"&amp;M751&amp;"|"&amp;N751&amp;"|"&amp;O751</f>
        <v/>
      </c>
      <c r="R751">
        <f>IF(Q751=REPT("|",14),0,1)</f>
        <v/>
      </c>
      <c r="S751">
        <f>IF(R751=0,0,IF(SUMPRODUCT(($Q$11:Q750=Q751)*($R$11:R750=1))&gt;0,1,0))</f>
        <v/>
      </c>
    </row>
    <row r="752">
      <c r="Q752">
        <f>A752&amp;"|"&amp;B752&amp;"|"&amp;C752&amp;"|"&amp;D752&amp;"|"&amp;E752&amp;"|"&amp;F752&amp;"|"&amp;G752&amp;"|"&amp;H752&amp;"|"&amp;I752&amp;"|"&amp;J752&amp;"|"&amp;K752&amp;"|"&amp;L752&amp;"|"&amp;M752&amp;"|"&amp;N752&amp;"|"&amp;O752</f>
        <v/>
      </c>
      <c r="R752">
        <f>IF(Q752=REPT("|",14),0,1)</f>
        <v/>
      </c>
      <c r="S752">
        <f>IF(R752=0,0,IF(SUMPRODUCT(($Q$11:Q751=Q752)*($R$11:R751=1))&gt;0,1,0))</f>
        <v/>
      </c>
    </row>
    <row r="753">
      <c r="Q753">
        <f>A753&amp;"|"&amp;B753&amp;"|"&amp;C753&amp;"|"&amp;D753&amp;"|"&amp;E753&amp;"|"&amp;F753&amp;"|"&amp;G753&amp;"|"&amp;H753&amp;"|"&amp;I753&amp;"|"&amp;J753&amp;"|"&amp;K753&amp;"|"&amp;L753&amp;"|"&amp;M753&amp;"|"&amp;N753&amp;"|"&amp;O753</f>
        <v/>
      </c>
      <c r="R753">
        <f>IF(Q753=REPT("|",14),0,1)</f>
        <v/>
      </c>
      <c r="S753">
        <f>IF(R753=0,0,IF(SUMPRODUCT(($Q$11:Q752=Q753)*($R$11:R752=1))&gt;0,1,0))</f>
        <v/>
      </c>
    </row>
    <row r="754">
      <c r="Q754">
        <f>A754&amp;"|"&amp;B754&amp;"|"&amp;C754&amp;"|"&amp;D754&amp;"|"&amp;E754&amp;"|"&amp;F754&amp;"|"&amp;G754&amp;"|"&amp;H754&amp;"|"&amp;I754&amp;"|"&amp;J754&amp;"|"&amp;K754&amp;"|"&amp;L754&amp;"|"&amp;M754&amp;"|"&amp;N754&amp;"|"&amp;O754</f>
        <v/>
      </c>
      <c r="R754">
        <f>IF(Q754=REPT("|",14),0,1)</f>
        <v/>
      </c>
      <c r="S754">
        <f>IF(R754=0,0,IF(SUMPRODUCT(($Q$11:Q753=Q754)*($R$11:R753=1))&gt;0,1,0))</f>
        <v/>
      </c>
    </row>
    <row r="755">
      <c r="Q755">
        <f>A755&amp;"|"&amp;B755&amp;"|"&amp;C755&amp;"|"&amp;D755&amp;"|"&amp;E755&amp;"|"&amp;F755&amp;"|"&amp;G755&amp;"|"&amp;H755&amp;"|"&amp;I755&amp;"|"&amp;J755&amp;"|"&amp;K755&amp;"|"&amp;L755&amp;"|"&amp;M755&amp;"|"&amp;N755&amp;"|"&amp;O755</f>
        <v/>
      </c>
      <c r="R755">
        <f>IF(Q755=REPT("|",14),0,1)</f>
        <v/>
      </c>
      <c r="S755">
        <f>IF(R755=0,0,IF(SUMPRODUCT(($Q$11:Q754=Q755)*($R$11:R754=1))&gt;0,1,0))</f>
        <v/>
      </c>
    </row>
    <row r="756">
      <c r="Q756">
        <f>A756&amp;"|"&amp;B756&amp;"|"&amp;C756&amp;"|"&amp;D756&amp;"|"&amp;E756&amp;"|"&amp;F756&amp;"|"&amp;G756&amp;"|"&amp;H756&amp;"|"&amp;I756&amp;"|"&amp;J756&amp;"|"&amp;K756&amp;"|"&amp;L756&amp;"|"&amp;M756&amp;"|"&amp;N756&amp;"|"&amp;O756</f>
        <v/>
      </c>
      <c r="R756">
        <f>IF(Q756=REPT("|",14),0,1)</f>
        <v/>
      </c>
      <c r="S756">
        <f>IF(R756=0,0,IF(SUMPRODUCT(($Q$11:Q755=Q756)*($R$11:R755=1))&gt;0,1,0))</f>
        <v/>
      </c>
    </row>
    <row r="757">
      <c r="Q757">
        <f>A757&amp;"|"&amp;B757&amp;"|"&amp;C757&amp;"|"&amp;D757&amp;"|"&amp;E757&amp;"|"&amp;F757&amp;"|"&amp;G757&amp;"|"&amp;H757&amp;"|"&amp;I757&amp;"|"&amp;J757&amp;"|"&amp;K757&amp;"|"&amp;L757&amp;"|"&amp;M757&amp;"|"&amp;N757&amp;"|"&amp;O757</f>
        <v/>
      </c>
      <c r="R757">
        <f>IF(Q757=REPT("|",14),0,1)</f>
        <v/>
      </c>
      <c r="S757">
        <f>IF(R757=0,0,IF(SUMPRODUCT(($Q$11:Q756=Q757)*($R$11:R756=1))&gt;0,1,0))</f>
        <v/>
      </c>
    </row>
    <row r="758">
      <c r="Q758">
        <f>A758&amp;"|"&amp;B758&amp;"|"&amp;C758&amp;"|"&amp;D758&amp;"|"&amp;E758&amp;"|"&amp;F758&amp;"|"&amp;G758&amp;"|"&amp;H758&amp;"|"&amp;I758&amp;"|"&amp;J758&amp;"|"&amp;K758&amp;"|"&amp;L758&amp;"|"&amp;M758&amp;"|"&amp;N758&amp;"|"&amp;O758</f>
        <v/>
      </c>
      <c r="R758">
        <f>IF(Q758=REPT("|",14),0,1)</f>
        <v/>
      </c>
      <c r="S758">
        <f>IF(R758=0,0,IF(SUMPRODUCT(($Q$11:Q757=Q758)*($R$11:R757=1))&gt;0,1,0))</f>
        <v/>
      </c>
    </row>
    <row r="759">
      <c r="Q759">
        <f>A759&amp;"|"&amp;B759&amp;"|"&amp;C759&amp;"|"&amp;D759&amp;"|"&amp;E759&amp;"|"&amp;F759&amp;"|"&amp;G759&amp;"|"&amp;H759&amp;"|"&amp;I759&amp;"|"&amp;J759&amp;"|"&amp;K759&amp;"|"&amp;L759&amp;"|"&amp;M759&amp;"|"&amp;N759&amp;"|"&amp;O759</f>
        <v/>
      </c>
      <c r="R759">
        <f>IF(Q759=REPT("|",14),0,1)</f>
        <v/>
      </c>
      <c r="S759">
        <f>IF(R759=0,0,IF(SUMPRODUCT(($Q$11:Q758=Q759)*($R$11:R758=1))&gt;0,1,0))</f>
        <v/>
      </c>
    </row>
    <row r="760">
      <c r="Q760">
        <f>A760&amp;"|"&amp;B760&amp;"|"&amp;C760&amp;"|"&amp;D760&amp;"|"&amp;E760&amp;"|"&amp;F760&amp;"|"&amp;G760&amp;"|"&amp;H760&amp;"|"&amp;I760&amp;"|"&amp;J760&amp;"|"&amp;K760&amp;"|"&amp;L760&amp;"|"&amp;M760&amp;"|"&amp;N760&amp;"|"&amp;O760</f>
        <v/>
      </c>
      <c r="R760">
        <f>IF(Q760=REPT("|",14),0,1)</f>
        <v/>
      </c>
      <c r="S760">
        <f>IF(R760=0,0,IF(SUMPRODUCT(($Q$11:Q759=Q760)*($R$11:R759=1))&gt;0,1,0))</f>
        <v/>
      </c>
    </row>
    <row r="761">
      <c r="Q761">
        <f>A761&amp;"|"&amp;B761&amp;"|"&amp;C761&amp;"|"&amp;D761&amp;"|"&amp;E761&amp;"|"&amp;F761&amp;"|"&amp;G761&amp;"|"&amp;H761&amp;"|"&amp;I761&amp;"|"&amp;J761&amp;"|"&amp;K761&amp;"|"&amp;L761&amp;"|"&amp;M761&amp;"|"&amp;N761&amp;"|"&amp;O761</f>
        <v/>
      </c>
      <c r="R761">
        <f>IF(Q761=REPT("|",14),0,1)</f>
        <v/>
      </c>
      <c r="S761">
        <f>IF(R761=0,0,IF(SUMPRODUCT(($Q$11:Q760=Q761)*($R$11:R760=1))&gt;0,1,0))</f>
        <v/>
      </c>
    </row>
    <row r="762">
      <c r="Q762">
        <f>A762&amp;"|"&amp;B762&amp;"|"&amp;C762&amp;"|"&amp;D762&amp;"|"&amp;E762&amp;"|"&amp;F762&amp;"|"&amp;G762&amp;"|"&amp;H762&amp;"|"&amp;I762&amp;"|"&amp;J762&amp;"|"&amp;K762&amp;"|"&amp;L762&amp;"|"&amp;M762&amp;"|"&amp;N762&amp;"|"&amp;O762</f>
        <v/>
      </c>
      <c r="R762">
        <f>IF(Q762=REPT("|",14),0,1)</f>
        <v/>
      </c>
      <c r="S762">
        <f>IF(R762=0,0,IF(SUMPRODUCT(($Q$11:Q761=Q762)*($R$11:R761=1))&gt;0,1,0))</f>
        <v/>
      </c>
    </row>
    <row r="763">
      <c r="Q763">
        <f>A763&amp;"|"&amp;B763&amp;"|"&amp;C763&amp;"|"&amp;D763&amp;"|"&amp;E763&amp;"|"&amp;F763&amp;"|"&amp;G763&amp;"|"&amp;H763&amp;"|"&amp;I763&amp;"|"&amp;J763&amp;"|"&amp;K763&amp;"|"&amp;L763&amp;"|"&amp;M763&amp;"|"&amp;N763&amp;"|"&amp;O763</f>
        <v/>
      </c>
      <c r="R763">
        <f>IF(Q763=REPT("|",14),0,1)</f>
        <v/>
      </c>
      <c r="S763">
        <f>IF(R763=0,0,IF(SUMPRODUCT(($Q$11:Q762=Q763)*($R$11:R762=1))&gt;0,1,0))</f>
        <v/>
      </c>
    </row>
    <row r="764">
      <c r="Q764">
        <f>A764&amp;"|"&amp;B764&amp;"|"&amp;C764&amp;"|"&amp;D764&amp;"|"&amp;E764&amp;"|"&amp;F764&amp;"|"&amp;G764&amp;"|"&amp;H764&amp;"|"&amp;I764&amp;"|"&amp;J764&amp;"|"&amp;K764&amp;"|"&amp;L764&amp;"|"&amp;M764&amp;"|"&amp;N764&amp;"|"&amp;O764</f>
        <v/>
      </c>
      <c r="R764">
        <f>IF(Q764=REPT("|",14),0,1)</f>
        <v/>
      </c>
      <c r="S764">
        <f>IF(R764=0,0,IF(SUMPRODUCT(($Q$11:Q763=Q764)*($R$11:R763=1))&gt;0,1,0))</f>
        <v/>
      </c>
    </row>
    <row r="765">
      <c r="Q765">
        <f>A765&amp;"|"&amp;B765&amp;"|"&amp;C765&amp;"|"&amp;D765&amp;"|"&amp;E765&amp;"|"&amp;F765&amp;"|"&amp;G765&amp;"|"&amp;H765&amp;"|"&amp;I765&amp;"|"&amp;J765&amp;"|"&amp;K765&amp;"|"&amp;L765&amp;"|"&amp;M765&amp;"|"&amp;N765&amp;"|"&amp;O765</f>
        <v/>
      </c>
      <c r="R765">
        <f>IF(Q765=REPT("|",14),0,1)</f>
        <v/>
      </c>
      <c r="S765">
        <f>IF(R765=0,0,IF(SUMPRODUCT(($Q$11:Q764=Q765)*($R$11:R764=1))&gt;0,1,0))</f>
        <v/>
      </c>
    </row>
    <row r="766">
      <c r="Q766">
        <f>A766&amp;"|"&amp;B766&amp;"|"&amp;C766&amp;"|"&amp;D766&amp;"|"&amp;E766&amp;"|"&amp;F766&amp;"|"&amp;G766&amp;"|"&amp;H766&amp;"|"&amp;I766&amp;"|"&amp;J766&amp;"|"&amp;K766&amp;"|"&amp;L766&amp;"|"&amp;M766&amp;"|"&amp;N766&amp;"|"&amp;O766</f>
        <v/>
      </c>
      <c r="R766">
        <f>IF(Q766=REPT("|",14),0,1)</f>
        <v/>
      </c>
      <c r="S766">
        <f>IF(R766=0,0,IF(SUMPRODUCT(($Q$11:Q765=Q766)*($R$11:R765=1))&gt;0,1,0))</f>
        <v/>
      </c>
    </row>
    <row r="767">
      <c r="Q767">
        <f>A767&amp;"|"&amp;B767&amp;"|"&amp;C767&amp;"|"&amp;D767&amp;"|"&amp;E767&amp;"|"&amp;F767&amp;"|"&amp;G767&amp;"|"&amp;H767&amp;"|"&amp;I767&amp;"|"&amp;J767&amp;"|"&amp;K767&amp;"|"&amp;L767&amp;"|"&amp;M767&amp;"|"&amp;N767&amp;"|"&amp;O767</f>
        <v/>
      </c>
      <c r="R767">
        <f>IF(Q767=REPT("|",14),0,1)</f>
        <v/>
      </c>
      <c r="S767">
        <f>IF(R767=0,0,IF(SUMPRODUCT(($Q$11:Q766=Q767)*($R$11:R766=1))&gt;0,1,0))</f>
        <v/>
      </c>
    </row>
    <row r="768">
      <c r="Q768">
        <f>A768&amp;"|"&amp;B768&amp;"|"&amp;C768&amp;"|"&amp;D768&amp;"|"&amp;E768&amp;"|"&amp;F768&amp;"|"&amp;G768&amp;"|"&amp;H768&amp;"|"&amp;I768&amp;"|"&amp;J768&amp;"|"&amp;K768&amp;"|"&amp;L768&amp;"|"&amp;M768&amp;"|"&amp;N768&amp;"|"&amp;O768</f>
        <v/>
      </c>
      <c r="R768">
        <f>IF(Q768=REPT("|",14),0,1)</f>
        <v/>
      </c>
      <c r="S768">
        <f>IF(R768=0,0,IF(SUMPRODUCT(($Q$11:Q767=Q768)*($R$11:R767=1))&gt;0,1,0))</f>
        <v/>
      </c>
    </row>
    <row r="769">
      <c r="Q769">
        <f>A769&amp;"|"&amp;B769&amp;"|"&amp;C769&amp;"|"&amp;D769&amp;"|"&amp;E769&amp;"|"&amp;F769&amp;"|"&amp;G769&amp;"|"&amp;H769&amp;"|"&amp;I769&amp;"|"&amp;J769&amp;"|"&amp;K769&amp;"|"&amp;L769&amp;"|"&amp;M769&amp;"|"&amp;N769&amp;"|"&amp;O769</f>
        <v/>
      </c>
      <c r="R769">
        <f>IF(Q769=REPT("|",14),0,1)</f>
        <v/>
      </c>
      <c r="S769">
        <f>IF(R769=0,0,IF(SUMPRODUCT(($Q$11:Q768=Q769)*($R$11:R768=1))&gt;0,1,0))</f>
        <v/>
      </c>
    </row>
    <row r="770">
      <c r="Q770">
        <f>A770&amp;"|"&amp;B770&amp;"|"&amp;C770&amp;"|"&amp;D770&amp;"|"&amp;E770&amp;"|"&amp;F770&amp;"|"&amp;G770&amp;"|"&amp;H770&amp;"|"&amp;I770&amp;"|"&amp;J770&amp;"|"&amp;K770&amp;"|"&amp;L770&amp;"|"&amp;M770&amp;"|"&amp;N770&amp;"|"&amp;O770</f>
        <v/>
      </c>
      <c r="R770">
        <f>IF(Q770=REPT("|",14),0,1)</f>
        <v/>
      </c>
      <c r="S770">
        <f>IF(R770=0,0,IF(SUMPRODUCT(($Q$11:Q769=Q770)*($R$11:R769=1))&gt;0,1,0))</f>
        <v/>
      </c>
    </row>
    <row r="771">
      <c r="Q771">
        <f>A771&amp;"|"&amp;B771&amp;"|"&amp;C771&amp;"|"&amp;D771&amp;"|"&amp;E771&amp;"|"&amp;F771&amp;"|"&amp;G771&amp;"|"&amp;H771&amp;"|"&amp;I771&amp;"|"&amp;J771&amp;"|"&amp;K771&amp;"|"&amp;L771&amp;"|"&amp;M771&amp;"|"&amp;N771&amp;"|"&amp;O771</f>
        <v/>
      </c>
      <c r="R771">
        <f>IF(Q771=REPT("|",14),0,1)</f>
        <v/>
      </c>
      <c r="S771">
        <f>IF(R771=0,0,IF(SUMPRODUCT(($Q$11:Q770=Q771)*($R$11:R770=1))&gt;0,1,0))</f>
        <v/>
      </c>
    </row>
    <row r="772">
      <c r="Q772">
        <f>A772&amp;"|"&amp;B772&amp;"|"&amp;C772&amp;"|"&amp;D772&amp;"|"&amp;E772&amp;"|"&amp;F772&amp;"|"&amp;G772&amp;"|"&amp;H772&amp;"|"&amp;I772&amp;"|"&amp;J772&amp;"|"&amp;K772&amp;"|"&amp;L772&amp;"|"&amp;M772&amp;"|"&amp;N772&amp;"|"&amp;O772</f>
        <v/>
      </c>
      <c r="R772">
        <f>IF(Q772=REPT("|",14),0,1)</f>
        <v/>
      </c>
      <c r="S772">
        <f>IF(R772=0,0,IF(SUMPRODUCT(($Q$11:Q771=Q772)*($R$11:R771=1))&gt;0,1,0))</f>
        <v/>
      </c>
    </row>
    <row r="773">
      <c r="Q773">
        <f>A773&amp;"|"&amp;B773&amp;"|"&amp;C773&amp;"|"&amp;D773&amp;"|"&amp;E773&amp;"|"&amp;F773&amp;"|"&amp;G773&amp;"|"&amp;H773&amp;"|"&amp;I773&amp;"|"&amp;J773&amp;"|"&amp;K773&amp;"|"&amp;L773&amp;"|"&amp;M773&amp;"|"&amp;N773&amp;"|"&amp;O773</f>
        <v/>
      </c>
      <c r="R773">
        <f>IF(Q773=REPT("|",14),0,1)</f>
        <v/>
      </c>
      <c r="S773">
        <f>IF(R773=0,0,IF(SUMPRODUCT(($Q$11:Q772=Q773)*($R$11:R772=1))&gt;0,1,0))</f>
        <v/>
      </c>
    </row>
    <row r="774">
      <c r="Q774">
        <f>A774&amp;"|"&amp;B774&amp;"|"&amp;C774&amp;"|"&amp;D774&amp;"|"&amp;E774&amp;"|"&amp;F774&amp;"|"&amp;G774&amp;"|"&amp;H774&amp;"|"&amp;I774&amp;"|"&amp;J774&amp;"|"&amp;K774&amp;"|"&amp;L774&amp;"|"&amp;M774&amp;"|"&amp;N774&amp;"|"&amp;O774</f>
        <v/>
      </c>
      <c r="R774">
        <f>IF(Q774=REPT("|",14),0,1)</f>
        <v/>
      </c>
      <c r="S774">
        <f>IF(R774=0,0,IF(SUMPRODUCT(($Q$11:Q773=Q774)*($R$11:R773=1))&gt;0,1,0))</f>
        <v/>
      </c>
    </row>
    <row r="775">
      <c r="Q775">
        <f>A775&amp;"|"&amp;B775&amp;"|"&amp;C775&amp;"|"&amp;D775&amp;"|"&amp;E775&amp;"|"&amp;F775&amp;"|"&amp;G775&amp;"|"&amp;H775&amp;"|"&amp;I775&amp;"|"&amp;J775&amp;"|"&amp;K775&amp;"|"&amp;L775&amp;"|"&amp;M775&amp;"|"&amp;N775&amp;"|"&amp;O775</f>
        <v/>
      </c>
      <c r="R775">
        <f>IF(Q775=REPT("|",14),0,1)</f>
        <v/>
      </c>
      <c r="S775">
        <f>IF(R775=0,0,IF(SUMPRODUCT(($Q$11:Q774=Q775)*($R$11:R774=1))&gt;0,1,0))</f>
        <v/>
      </c>
    </row>
    <row r="776">
      <c r="Q776">
        <f>A776&amp;"|"&amp;B776&amp;"|"&amp;C776&amp;"|"&amp;D776&amp;"|"&amp;E776&amp;"|"&amp;F776&amp;"|"&amp;G776&amp;"|"&amp;H776&amp;"|"&amp;I776&amp;"|"&amp;J776&amp;"|"&amp;K776&amp;"|"&amp;L776&amp;"|"&amp;M776&amp;"|"&amp;N776&amp;"|"&amp;O776</f>
        <v/>
      </c>
      <c r="R776">
        <f>IF(Q776=REPT("|",14),0,1)</f>
        <v/>
      </c>
      <c r="S776">
        <f>IF(R776=0,0,IF(SUMPRODUCT(($Q$11:Q775=Q776)*($R$11:R775=1))&gt;0,1,0))</f>
        <v/>
      </c>
    </row>
    <row r="777">
      <c r="Q777">
        <f>A777&amp;"|"&amp;B777&amp;"|"&amp;C777&amp;"|"&amp;D777&amp;"|"&amp;E777&amp;"|"&amp;F777&amp;"|"&amp;G777&amp;"|"&amp;H777&amp;"|"&amp;I777&amp;"|"&amp;J777&amp;"|"&amp;K777&amp;"|"&amp;L777&amp;"|"&amp;M777&amp;"|"&amp;N777&amp;"|"&amp;O777</f>
        <v/>
      </c>
      <c r="R777">
        <f>IF(Q777=REPT("|",14),0,1)</f>
        <v/>
      </c>
      <c r="S777">
        <f>IF(R777=0,0,IF(SUMPRODUCT(($Q$11:Q776=Q777)*($R$11:R776=1))&gt;0,1,0))</f>
        <v/>
      </c>
    </row>
    <row r="778">
      <c r="Q778">
        <f>A778&amp;"|"&amp;B778&amp;"|"&amp;C778&amp;"|"&amp;D778&amp;"|"&amp;E778&amp;"|"&amp;F778&amp;"|"&amp;G778&amp;"|"&amp;H778&amp;"|"&amp;I778&amp;"|"&amp;J778&amp;"|"&amp;K778&amp;"|"&amp;L778&amp;"|"&amp;M778&amp;"|"&amp;N778&amp;"|"&amp;O778</f>
        <v/>
      </c>
      <c r="R778">
        <f>IF(Q778=REPT("|",14),0,1)</f>
        <v/>
      </c>
      <c r="S778">
        <f>IF(R778=0,0,IF(SUMPRODUCT(($Q$11:Q777=Q778)*($R$11:R777=1))&gt;0,1,0))</f>
        <v/>
      </c>
    </row>
    <row r="779">
      <c r="Q779">
        <f>A779&amp;"|"&amp;B779&amp;"|"&amp;C779&amp;"|"&amp;D779&amp;"|"&amp;E779&amp;"|"&amp;F779&amp;"|"&amp;G779&amp;"|"&amp;H779&amp;"|"&amp;I779&amp;"|"&amp;J779&amp;"|"&amp;K779&amp;"|"&amp;L779&amp;"|"&amp;M779&amp;"|"&amp;N779&amp;"|"&amp;O779</f>
        <v/>
      </c>
      <c r="R779">
        <f>IF(Q779=REPT("|",14),0,1)</f>
        <v/>
      </c>
      <c r="S779">
        <f>IF(R779=0,0,IF(SUMPRODUCT(($Q$11:Q778=Q779)*($R$11:R778=1))&gt;0,1,0))</f>
        <v/>
      </c>
    </row>
    <row r="780">
      <c r="Q780">
        <f>A780&amp;"|"&amp;B780&amp;"|"&amp;C780&amp;"|"&amp;D780&amp;"|"&amp;E780&amp;"|"&amp;F780&amp;"|"&amp;G780&amp;"|"&amp;H780&amp;"|"&amp;I780&amp;"|"&amp;J780&amp;"|"&amp;K780&amp;"|"&amp;L780&amp;"|"&amp;M780&amp;"|"&amp;N780&amp;"|"&amp;O780</f>
        <v/>
      </c>
      <c r="R780">
        <f>IF(Q780=REPT("|",14),0,1)</f>
        <v/>
      </c>
      <c r="S780">
        <f>IF(R780=0,0,IF(SUMPRODUCT(($Q$11:Q779=Q780)*($R$11:R779=1))&gt;0,1,0))</f>
        <v/>
      </c>
    </row>
    <row r="781">
      <c r="Q781">
        <f>A781&amp;"|"&amp;B781&amp;"|"&amp;C781&amp;"|"&amp;D781&amp;"|"&amp;E781&amp;"|"&amp;F781&amp;"|"&amp;G781&amp;"|"&amp;H781&amp;"|"&amp;I781&amp;"|"&amp;J781&amp;"|"&amp;K781&amp;"|"&amp;L781&amp;"|"&amp;M781&amp;"|"&amp;N781&amp;"|"&amp;O781</f>
        <v/>
      </c>
      <c r="R781">
        <f>IF(Q781=REPT("|",14),0,1)</f>
        <v/>
      </c>
      <c r="S781">
        <f>IF(R781=0,0,IF(SUMPRODUCT(($Q$11:Q780=Q781)*($R$11:R780=1))&gt;0,1,0))</f>
        <v/>
      </c>
    </row>
    <row r="782">
      <c r="Q782">
        <f>A782&amp;"|"&amp;B782&amp;"|"&amp;C782&amp;"|"&amp;D782&amp;"|"&amp;E782&amp;"|"&amp;F782&amp;"|"&amp;G782&amp;"|"&amp;H782&amp;"|"&amp;I782&amp;"|"&amp;J782&amp;"|"&amp;K782&amp;"|"&amp;L782&amp;"|"&amp;M782&amp;"|"&amp;N782&amp;"|"&amp;O782</f>
        <v/>
      </c>
      <c r="R782">
        <f>IF(Q782=REPT("|",14),0,1)</f>
        <v/>
      </c>
      <c r="S782">
        <f>IF(R782=0,0,IF(SUMPRODUCT(($Q$11:Q781=Q782)*($R$11:R781=1))&gt;0,1,0))</f>
        <v/>
      </c>
    </row>
    <row r="783">
      <c r="Q783">
        <f>A783&amp;"|"&amp;B783&amp;"|"&amp;C783&amp;"|"&amp;D783&amp;"|"&amp;E783&amp;"|"&amp;F783&amp;"|"&amp;G783&amp;"|"&amp;H783&amp;"|"&amp;I783&amp;"|"&amp;J783&amp;"|"&amp;K783&amp;"|"&amp;L783&amp;"|"&amp;M783&amp;"|"&amp;N783&amp;"|"&amp;O783</f>
        <v/>
      </c>
      <c r="R783">
        <f>IF(Q783=REPT("|",14),0,1)</f>
        <v/>
      </c>
      <c r="S783">
        <f>IF(R783=0,0,IF(SUMPRODUCT(($Q$11:Q782=Q783)*($R$11:R782=1))&gt;0,1,0))</f>
        <v/>
      </c>
    </row>
    <row r="784">
      <c r="Q784">
        <f>A784&amp;"|"&amp;B784&amp;"|"&amp;C784&amp;"|"&amp;D784&amp;"|"&amp;E784&amp;"|"&amp;F784&amp;"|"&amp;G784&amp;"|"&amp;H784&amp;"|"&amp;I784&amp;"|"&amp;J784&amp;"|"&amp;K784&amp;"|"&amp;L784&amp;"|"&amp;M784&amp;"|"&amp;N784&amp;"|"&amp;O784</f>
        <v/>
      </c>
      <c r="R784">
        <f>IF(Q784=REPT("|",14),0,1)</f>
        <v/>
      </c>
      <c r="S784">
        <f>IF(R784=0,0,IF(SUMPRODUCT(($Q$11:Q783=Q784)*($R$11:R783=1))&gt;0,1,0))</f>
        <v/>
      </c>
    </row>
    <row r="785">
      <c r="Q785">
        <f>A785&amp;"|"&amp;B785&amp;"|"&amp;C785&amp;"|"&amp;D785&amp;"|"&amp;E785&amp;"|"&amp;F785&amp;"|"&amp;G785&amp;"|"&amp;H785&amp;"|"&amp;I785&amp;"|"&amp;J785&amp;"|"&amp;K785&amp;"|"&amp;L785&amp;"|"&amp;M785&amp;"|"&amp;N785&amp;"|"&amp;O785</f>
        <v/>
      </c>
      <c r="R785">
        <f>IF(Q785=REPT("|",14),0,1)</f>
        <v/>
      </c>
      <c r="S785">
        <f>IF(R785=0,0,IF(SUMPRODUCT(($Q$11:Q784=Q785)*($R$11:R784=1))&gt;0,1,0))</f>
        <v/>
      </c>
    </row>
    <row r="786">
      <c r="Q786">
        <f>A786&amp;"|"&amp;B786&amp;"|"&amp;C786&amp;"|"&amp;D786&amp;"|"&amp;E786&amp;"|"&amp;F786&amp;"|"&amp;G786&amp;"|"&amp;H786&amp;"|"&amp;I786&amp;"|"&amp;J786&amp;"|"&amp;K786&amp;"|"&amp;L786&amp;"|"&amp;M786&amp;"|"&amp;N786&amp;"|"&amp;O786</f>
        <v/>
      </c>
      <c r="R786">
        <f>IF(Q786=REPT("|",14),0,1)</f>
        <v/>
      </c>
      <c r="S786">
        <f>IF(R786=0,0,IF(SUMPRODUCT(($Q$11:Q785=Q786)*($R$11:R785=1))&gt;0,1,0))</f>
        <v/>
      </c>
    </row>
    <row r="787">
      <c r="Q787">
        <f>A787&amp;"|"&amp;B787&amp;"|"&amp;C787&amp;"|"&amp;D787&amp;"|"&amp;E787&amp;"|"&amp;F787&amp;"|"&amp;G787&amp;"|"&amp;H787&amp;"|"&amp;I787&amp;"|"&amp;J787&amp;"|"&amp;K787&amp;"|"&amp;L787&amp;"|"&amp;M787&amp;"|"&amp;N787&amp;"|"&amp;O787</f>
        <v/>
      </c>
      <c r="R787">
        <f>IF(Q787=REPT("|",14),0,1)</f>
        <v/>
      </c>
      <c r="S787">
        <f>IF(R787=0,0,IF(SUMPRODUCT(($Q$11:Q786=Q787)*($R$11:R786=1))&gt;0,1,0))</f>
        <v/>
      </c>
    </row>
    <row r="788">
      <c r="Q788">
        <f>A788&amp;"|"&amp;B788&amp;"|"&amp;C788&amp;"|"&amp;D788&amp;"|"&amp;E788&amp;"|"&amp;F788&amp;"|"&amp;G788&amp;"|"&amp;H788&amp;"|"&amp;I788&amp;"|"&amp;J788&amp;"|"&amp;K788&amp;"|"&amp;L788&amp;"|"&amp;M788&amp;"|"&amp;N788&amp;"|"&amp;O788</f>
        <v/>
      </c>
      <c r="R788">
        <f>IF(Q788=REPT("|",14),0,1)</f>
        <v/>
      </c>
      <c r="S788">
        <f>IF(R788=0,0,IF(SUMPRODUCT(($Q$11:Q787=Q788)*($R$11:R787=1))&gt;0,1,0))</f>
        <v/>
      </c>
    </row>
    <row r="789">
      <c r="Q789">
        <f>A789&amp;"|"&amp;B789&amp;"|"&amp;C789&amp;"|"&amp;D789&amp;"|"&amp;E789&amp;"|"&amp;F789&amp;"|"&amp;G789&amp;"|"&amp;H789&amp;"|"&amp;I789&amp;"|"&amp;J789&amp;"|"&amp;K789&amp;"|"&amp;L789&amp;"|"&amp;M789&amp;"|"&amp;N789&amp;"|"&amp;O789</f>
        <v/>
      </c>
      <c r="R789">
        <f>IF(Q789=REPT("|",14),0,1)</f>
        <v/>
      </c>
      <c r="S789">
        <f>IF(R789=0,0,IF(SUMPRODUCT(($Q$11:Q788=Q789)*($R$11:R788=1))&gt;0,1,0))</f>
        <v/>
      </c>
    </row>
    <row r="790">
      <c r="Q790">
        <f>A790&amp;"|"&amp;B790&amp;"|"&amp;C790&amp;"|"&amp;D790&amp;"|"&amp;E790&amp;"|"&amp;F790&amp;"|"&amp;G790&amp;"|"&amp;H790&amp;"|"&amp;I790&amp;"|"&amp;J790&amp;"|"&amp;K790&amp;"|"&amp;L790&amp;"|"&amp;M790&amp;"|"&amp;N790&amp;"|"&amp;O790</f>
        <v/>
      </c>
      <c r="R790">
        <f>IF(Q790=REPT("|",14),0,1)</f>
        <v/>
      </c>
      <c r="S790">
        <f>IF(R790=0,0,IF(SUMPRODUCT(($Q$11:Q789=Q790)*($R$11:R789=1))&gt;0,1,0))</f>
        <v/>
      </c>
    </row>
    <row r="791">
      <c r="Q791">
        <f>A791&amp;"|"&amp;B791&amp;"|"&amp;C791&amp;"|"&amp;D791&amp;"|"&amp;E791&amp;"|"&amp;F791&amp;"|"&amp;G791&amp;"|"&amp;H791&amp;"|"&amp;I791&amp;"|"&amp;J791&amp;"|"&amp;K791&amp;"|"&amp;L791&amp;"|"&amp;M791&amp;"|"&amp;N791&amp;"|"&amp;O791</f>
        <v/>
      </c>
      <c r="R791">
        <f>IF(Q791=REPT("|",14),0,1)</f>
        <v/>
      </c>
      <c r="S791">
        <f>IF(R791=0,0,IF(SUMPRODUCT(($Q$11:Q790=Q791)*($R$11:R790=1))&gt;0,1,0))</f>
        <v/>
      </c>
    </row>
    <row r="792">
      <c r="Q792">
        <f>A792&amp;"|"&amp;B792&amp;"|"&amp;C792&amp;"|"&amp;D792&amp;"|"&amp;E792&amp;"|"&amp;F792&amp;"|"&amp;G792&amp;"|"&amp;H792&amp;"|"&amp;I792&amp;"|"&amp;J792&amp;"|"&amp;K792&amp;"|"&amp;L792&amp;"|"&amp;M792&amp;"|"&amp;N792&amp;"|"&amp;O792</f>
        <v/>
      </c>
      <c r="R792">
        <f>IF(Q792=REPT("|",14),0,1)</f>
        <v/>
      </c>
      <c r="S792">
        <f>IF(R792=0,0,IF(SUMPRODUCT(($Q$11:Q791=Q792)*($R$11:R791=1))&gt;0,1,0))</f>
        <v/>
      </c>
    </row>
    <row r="793">
      <c r="Q793">
        <f>A793&amp;"|"&amp;B793&amp;"|"&amp;C793&amp;"|"&amp;D793&amp;"|"&amp;E793&amp;"|"&amp;F793&amp;"|"&amp;G793&amp;"|"&amp;H793&amp;"|"&amp;I793&amp;"|"&amp;J793&amp;"|"&amp;K793&amp;"|"&amp;L793&amp;"|"&amp;M793&amp;"|"&amp;N793&amp;"|"&amp;O793</f>
        <v/>
      </c>
      <c r="R793">
        <f>IF(Q793=REPT("|",14),0,1)</f>
        <v/>
      </c>
      <c r="S793">
        <f>IF(R793=0,0,IF(SUMPRODUCT(($Q$11:Q792=Q793)*($R$11:R792=1))&gt;0,1,0))</f>
        <v/>
      </c>
    </row>
    <row r="794">
      <c r="Q794">
        <f>A794&amp;"|"&amp;B794&amp;"|"&amp;C794&amp;"|"&amp;D794&amp;"|"&amp;E794&amp;"|"&amp;F794&amp;"|"&amp;G794&amp;"|"&amp;H794&amp;"|"&amp;I794&amp;"|"&amp;J794&amp;"|"&amp;K794&amp;"|"&amp;L794&amp;"|"&amp;M794&amp;"|"&amp;N794&amp;"|"&amp;O794</f>
        <v/>
      </c>
      <c r="R794">
        <f>IF(Q794=REPT("|",14),0,1)</f>
        <v/>
      </c>
      <c r="S794">
        <f>IF(R794=0,0,IF(SUMPRODUCT(($Q$11:Q793=Q794)*($R$11:R793=1))&gt;0,1,0))</f>
        <v/>
      </c>
    </row>
    <row r="795">
      <c r="Q795">
        <f>A795&amp;"|"&amp;B795&amp;"|"&amp;C795&amp;"|"&amp;D795&amp;"|"&amp;E795&amp;"|"&amp;F795&amp;"|"&amp;G795&amp;"|"&amp;H795&amp;"|"&amp;I795&amp;"|"&amp;J795&amp;"|"&amp;K795&amp;"|"&amp;L795&amp;"|"&amp;M795&amp;"|"&amp;N795&amp;"|"&amp;O795</f>
        <v/>
      </c>
      <c r="R795">
        <f>IF(Q795=REPT("|",14),0,1)</f>
        <v/>
      </c>
      <c r="S795">
        <f>IF(R795=0,0,IF(SUMPRODUCT(($Q$11:Q794=Q795)*($R$11:R794=1))&gt;0,1,0))</f>
        <v/>
      </c>
    </row>
    <row r="796">
      <c r="Q796">
        <f>A796&amp;"|"&amp;B796&amp;"|"&amp;C796&amp;"|"&amp;D796&amp;"|"&amp;E796&amp;"|"&amp;F796&amp;"|"&amp;G796&amp;"|"&amp;H796&amp;"|"&amp;I796&amp;"|"&amp;J796&amp;"|"&amp;K796&amp;"|"&amp;L796&amp;"|"&amp;M796&amp;"|"&amp;N796&amp;"|"&amp;O796</f>
        <v/>
      </c>
      <c r="R796">
        <f>IF(Q796=REPT("|",14),0,1)</f>
        <v/>
      </c>
      <c r="S796">
        <f>IF(R796=0,0,IF(SUMPRODUCT(($Q$11:Q795=Q796)*($R$11:R795=1))&gt;0,1,0))</f>
        <v/>
      </c>
    </row>
    <row r="797">
      <c r="Q797">
        <f>A797&amp;"|"&amp;B797&amp;"|"&amp;C797&amp;"|"&amp;D797&amp;"|"&amp;E797&amp;"|"&amp;F797&amp;"|"&amp;G797&amp;"|"&amp;H797&amp;"|"&amp;I797&amp;"|"&amp;J797&amp;"|"&amp;K797&amp;"|"&amp;L797&amp;"|"&amp;M797&amp;"|"&amp;N797&amp;"|"&amp;O797</f>
        <v/>
      </c>
      <c r="R797">
        <f>IF(Q797=REPT("|",14),0,1)</f>
        <v/>
      </c>
      <c r="S797">
        <f>IF(R797=0,0,IF(SUMPRODUCT(($Q$11:Q796=Q797)*($R$11:R796=1))&gt;0,1,0))</f>
        <v/>
      </c>
    </row>
    <row r="798">
      <c r="Q798">
        <f>A798&amp;"|"&amp;B798&amp;"|"&amp;C798&amp;"|"&amp;D798&amp;"|"&amp;E798&amp;"|"&amp;F798&amp;"|"&amp;G798&amp;"|"&amp;H798&amp;"|"&amp;I798&amp;"|"&amp;J798&amp;"|"&amp;K798&amp;"|"&amp;L798&amp;"|"&amp;M798&amp;"|"&amp;N798&amp;"|"&amp;O798</f>
        <v/>
      </c>
      <c r="R798">
        <f>IF(Q798=REPT("|",14),0,1)</f>
        <v/>
      </c>
      <c r="S798">
        <f>IF(R798=0,0,IF(SUMPRODUCT(($Q$11:Q797=Q798)*($R$11:R797=1))&gt;0,1,0))</f>
        <v/>
      </c>
    </row>
    <row r="799">
      <c r="Q799">
        <f>A799&amp;"|"&amp;B799&amp;"|"&amp;C799&amp;"|"&amp;D799&amp;"|"&amp;E799&amp;"|"&amp;F799&amp;"|"&amp;G799&amp;"|"&amp;H799&amp;"|"&amp;I799&amp;"|"&amp;J799&amp;"|"&amp;K799&amp;"|"&amp;L799&amp;"|"&amp;M799&amp;"|"&amp;N799&amp;"|"&amp;O799</f>
        <v/>
      </c>
      <c r="R799">
        <f>IF(Q799=REPT("|",14),0,1)</f>
        <v/>
      </c>
      <c r="S799">
        <f>IF(R799=0,0,IF(SUMPRODUCT(($Q$11:Q798=Q799)*($R$11:R798=1))&gt;0,1,0))</f>
        <v/>
      </c>
    </row>
    <row r="800">
      <c r="Q800">
        <f>A800&amp;"|"&amp;B800&amp;"|"&amp;C800&amp;"|"&amp;D800&amp;"|"&amp;E800&amp;"|"&amp;F800&amp;"|"&amp;G800&amp;"|"&amp;H800&amp;"|"&amp;I800&amp;"|"&amp;J800&amp;"|"&amp;K800&amp;"|"&amp;L800&amp;"|"&amp;M800&amp;"|"&amp;N800&amp;"|"&amp;O800</f>
        <v/>
      </c>
      <c r="R800">
        <f>IF(Q800=REPT("|",14),0,1)</f>
        <v/>
      </c>
      <c r="S800">
        <f>IF(R800=0,0,IF(SUMPRODUCT(($Q$11:Q799=Q800)*($R$11:R799=1))&gt;0,1,0))</f>
        <v/>
      </c>
    </row>
    <row r="801">
      <c r="Q801">
        <f>A801&amp;"|"&amp;B801&amp;"|"&amp;C801&amp;"|"&amp;D801&amp;"|"&amp;E801&amp;"|"&amp;F801&amp;"|"&amp;G801&amp;"|"&amp;H801&amp;"|"&amp;I801&amp;"|"&amp;J801&amp;"|"&amp;K801&amp;"|"&amp;L801&amp;"|"&amp;M801&amp;"|"&amp;N801&amp;"|"&amp;O801</f>
        <v/>
      </c>
      <c r="R801">
        <f>IF(Q801=REPT("|",14),0,1)</f>
        <v/>
      </c>
      <c r="S801">
        <f>IF(R801=0,0,IF(SUMPRODUCT(($Q$11:Q800=Q801)*($R$11:R800=1))&gt;0,1,0))</f>
        <v/>
      </c>
    </row>
    <row r="802">
      <c r="Q802">
        <f>A802&amp;"|"&amp;B802&amp;"|"&amp;C802&amp;"|"&amp;D802&amp;"|"&amp;E802&amp;"|"&amp;F802&amp;"|"&amp;G802&amp;"|"&amp;H802&amp;"|"&amp;I802&amp;"|"&amp;J802&amp;"|"&amp;K802&amp;"|"&amp;L802&amp;"|"&amp;M802&amp;"|"&amp;N802&amp;"|"&amp;O802</f>
        <v/>
      </c>
      <c r="R802">
        <f>IF(Q802=REPT("|",14),0,1)</f>
        <v/>
      </c>
      <c r="S802">
        <f>IF(R802=0,0,IF(SUMPRODUCT(($Q$11:Q801=Q802)*($R$11:R801=1))&gt;0,1,0))</f>
        <v/>
      </c>
    </row>
    <row r="803">
      <c r="Q803">
        <f>A803&amp;"|"&amp;B803&amp;"|"&amp;C803&amp;"|"&amp;D803&amp;"|"&amp;E803&amp;"|"&amp;F803&amp;"|"&amp;G803&amp;"|"&amp;H803&amp;"|"&amp;I803&amp;"|"&amp;J803&amp;"|"&amp;K803&amp;"|"&amp;L803&amp;"|"&amp;M803&amp;"|"&amp;N803&amp;"|"&amp;O803</f>
        <v/>
      </c>
      <c r="R803">
        <f>IF(Q803=REPT("|",14),0,1)</f>
        <v/>
      </c>
      <c r="S803">
        <f>IF(R803=0,0,IF(SUMPRODUCT(($Q$11:Q802=Q803)*($R$11:R802=1))&gt;0,1,0))</f>
        <v/>
      </c>
    </row>
    <row r="804">
      <c r="Q804">
        <f>A804&amp;"|"&amp;B804&amp;"|"&amp;C804&amp;"|"&amp;D804&amp;"|"&amp;E804&amp;"|"&amp;F804&amp;"|"&amp;G804&amp;"|"&amp;H804&amp;"|"&amp;I804&amp;"|"&amp;J804&amp;"|"&amp;K804&amp;"|"&amp;L804&amp;"|"&amp;M804&amp;"|"&amp;N804&amp;"|"&amp;O804</f>
        <v/>
      </c>
      <c r="R804">
        <f>IF(Q804=REPT("|",14),0,1)</f>
        <v/>
      </c>
      <c r="S804">
        <f>IF(R804=0,0,IF(SUMPRODUCT(($Q$11:Q803=Q804)*($R$11:R803=1))&gt;0,1,0))</f>
        <v/>
      </c>
    </row>
    <row r="805">
      <c r="Q805">
        <f>A805&amp;"|"&amp;B805&amp;"|"&amp;C805&amp;"|"&amp;D805&amp;"|"&amp;E805&amp;"|"&amp;F805&amp;"|"&amp;G805&amp;"|"&amp;H805&amp;"|"&amp;I805&amp;"|"&amp;J805&amp;"|"&amp;K805&amp;"|"&amp;L805&amp;"|"&amp;M805&amp;"|"&amp;N805&amp;"|"&amp;O805</f>
        <v/>
      </c>
      <c r="R805">
        <f>IF(Q805=REPT("|",14),0,1)</f>
        <v/>
      </c>
      <c r="S805">
        <f>IF(R805=0,0,IF(SUMPRODUCT(($Q$11:Q804=Q805)*($R$11:R804=1))&gt;0,1,0))</f>
        <v/>
      </c>
    </row>
    <row r="806">
      <c r="Q806">
        <f>A806&amp;"|"&amp;B806&amp;"|"&amp;C806&amp;"|"&amp;D806&amp;"|"&amp;E806&amp;"|"&amp;F806&amp;"|"&amp;G806&amp;"|"&amp;H806&amp;"|"&amp;I806&amp;"|"&amp;J806&amp;"|"&amp;K806&amp;"|"&amp;L806&amp;"|"&amp;M806&amp;"|"&amp;N806&amp;"|"&amp;O806</f>
        <v/>
      </c>
      <c r="R806">
        <f>IF(Q806=REPT("|",14),0,1)</f>
        <v/>
      </c>
      <c r="S806">
        <f>IF(R806=0,0,IF(SUMPRODUCT(($Q$11:Q805=Q806)*($R$11:R805=1))&gt;0,1,0))</f>
        <v/>
      </c>
    </row>
    <row r="807">
      <c r="Q807">
        <f>A807&amp;"|"&amp;B807&amp;"|"&amp;C807&amp;"|"&amp;D807&amp;"|"&amp;E807&amp;"|"&amp;F807&amp;"|"&amp;G807&amp;"|"&amp;H807&amp;"|"&amp;I807&amp;"|"&amp;J807&amp;"|"&amp;K807&amp;"|"&amp;L807&amp;"|"&amp;M807&amp;"|"&amp;N807&amp;"|"&amp;O807</f>
        <v/>
      </c>
      <c r="R807">
        <f>IF(Q807=REPT("|",14),0,1)</f>
        <v/>
      </c>
      <c r="S807">
        <f>IF(R807=0,0,IF(SUMPRODUCT(($Q$11:Q806=Q807)*($R$11:R806=1))&gt;0,1,0))</f>
        <v/>
      </c>
    </row>
    <row r="808">
      <c r="Q808">
        <f>A808&amp;"|"&amp;B808&amp;"|"&amp;C808&amp;"|"&amp;D808&amp;"|"&amp;E808&amp;"|"&amp;F808&amp;"|"&amp;G808&amp;"|"&amp;H808&amp;"|"&amp;I808&amp;"|"&amp;J808&amp;"|"&amp;K808&amp;"|"&amp;L808&amp;"|"&amp;M808&amp;"|"&amp;N808&amp;"|"&amp;O808</f>
        <v/>
      </c>
      <c r="R808">
        <f>IF(Q808=REPT("|",14),0,1)</f>
        <v/>
      </c>
      <c r="S808">
        <f>IF(R808=0,0,IF(SUMPRODUCT(($Q$11:Q807=Q808)*($R$11:R807=1))&gt;0,1,0))</f>
        <v/>
      </c>
    </row>
    <row r="809">
      <c r="Q809">
        <f>A809&amp;"|"&amp;B809&amp;"|"&amp;C809&amp;"|"&amp;D809&amp;"|"&amp;E809&amp;"|"&amp;F809&amp;"|"&amp;G809&amp;"|"&amp;H809&amp;"|"&amp;I809&amp;"|"&amp;J809&amp;"|"&amp;K809&amp;"|"&amp;L809&amp;"|"&amp;M809&amp;"|"&amp;N809&amp;"|"&amp;O809</f>
        <v/>
      </c>
      <c r="R809">
        <f>IF(Q809=REPT("|",14),0,1)</f>
        <v/>
      </c>
      <c r="S809">
        <f>IF(R809=0,0,IF(SUMPRODUCT(($Q$11:Q808=Q809)*($R$11:R808=1))&gt;0,1,0))</f>
        <v/>
      </c>
    </row>
    <row r="810">
      <c r="Q810">
        <f>A810&amp;"|"&amp;B810&amp;"|"&amp;C810&amp;"|"&amp;D810&amp;"|"&amp;E810&amp;"|"&amp;F810&amp;"|"&amp;G810&amp;"|"&amp;H810&amp;"|"&amp;I810&amp;"|"&amp;J810&amp;"|"&amp;K810&amp;"|"&amp;L810&amp;"|"&amp;M810&amp;"|"&amp;N810&amp;"|"&amp;O810</f>
        <v/>
      </c>
      <c r="R810">
        <f>IF(Q810=REPT("|",14),0,1)</f>
        <v/>
      </c>
      <c r="S810">
        <f>IF(R810=0,0,IF(SUMPRODUCT(($Q$11:Q809=Q810)*($R$11:R809=1))&gt;0,1,0))</f>
        <v/>
      </c>
    </row>
    <row r="811">
      <c r="Q811">
        <f>A811&amp;"|"&amp;B811&amp;"|"&amp;C811&amp;"|"&amp;D811&amp;"|"&amp;E811&amp;"|"&amp;F811&amp;"|"&amp;G811&amp;"|"&amp;H811&amp;"|"&amp;I811&amp;"|"&amp;J811&amp;"|"&amp;K811&amp;"|"&amp;L811&amp;"|"&amp;M811&amp;"|"&amp;N811&amp;"|"&amp;O811</f>
        <v/>
      </c>
      <c r="R811">
        <f>IF(Q811=REPT("|",14),0,1)</f>
        <v/>
      </c>
      <c r="S811">
        <f>IF(R811=0,0,IF(SUMPRODUCT(($Q$11:Q810=Q811)*($R$11:R810=1))&gt;0,1,0))</f>
        <v/>
      </c>
    </row>
    <row r="812">
      <c r="Q812">
        <f>A812&amp;"|"&amp;B812&amp;"|"&amp;C812&amp;"|"&amp;D812&amp;"|"&amp;E812&amp;"|"&amp;F812&amp;"|"&amp;G812&amp;"|"&amp;H812&amp;"|"&amp;I812&amp;"|"&amp;J812&amp;"|"&amp;K812&amp;"|"&amp;L812&amp;"|"&amp;M812&amp;"|"&amp;N812&amp;"|"&amp;O812</f>
        <v/>
      </c>
      <c r="R812">
        <f>IF(Q812=REPT("|",14),0,1)</f>
        <v/>
      </c>
      <c r="S812">
        <f>IF(R812=0,0,IF(SUMPRODUCT(($Q$11:Q811=Q812)*($R$11:R811=1))&gt;0,1,0))</f>
        <v/>
      </c>
    </row>
    <row r="813">
      <c r="Q813">
        <f>A813&amp;"|"&amp;B813&amp;"|"&amp;C813&amp;"|"&amp;D813&amp;"|"&amp;E813&amp;"|"&amp;F813&amp;"|"&amp;G813&amp;"|"&amp;H813&amp;"|"&amp;I813&amp;"|"&amp;J813&amp;"|"&amp;K813&amp;"|"&amp;L813&amp;"|"&amp;M813&amp;"|"&amp;N813&amp;"|"&amp;O813</f>
        <v/>
      </c>
      <c r="R813">
        <f>IF(Q813=REPT("|",14),0,1)</f>
        <v/>
      </c>
      <c r="S813">
        <f>IF(R813=0,0,IF(SUMPRODUCT(($Q$11:Q812=Q813)*($R$11:R812=1))&gt;0,1,0))</f>
        <v/>
      </c>
    </row>
    <row r="814">
      <c r="Q814">
        <f>A814&amp;"|"&amp;B814&amp;"|"&amp;C814&amp;"|"&amp;D814&amp;"|"&amp;E814&amp;"|"&amp;F814&amp;"|"&amp;G814&amp;"|"&amp;H814&amp;"|"&amp;I814&amp;"|"&amp;J814&amp;"|"&amp;K814&amp;"|"&amp;L814&amp;"|"&amp;M814&amp;"|"&amp;N814&amp;"|"&amp;O814</f>
        <v/>
      </c>
      <c r="R814">
        <f>IF(Q814=REPT("|",14),0,1)</f>
        <v/>
      </c>
      <c r="S814">
        <f>IF(R814=0,0,IF(SUMPRODUCT(($Q$11:Q813=Q814)*($R$11:R813=1))&gt;0,1,0))</f>
        <v/>
      </c>
    </row>
    <row r="815">
      <c r="Q815">
        <f>A815&amp;"|"&amp;B815&amp;"|"&amp;C815&amp;"|"&amp;D815&amp;"|"&amp;E815&amp;"|"&amp;F815&amp;"|"&amp;G815&amp;"|"&amp;H815&amp;"|"&amp;I815&amp;"|"&amp;J815&amp;"|"&amp;K815&amp;"|"&amp;L815&amp;"|"&amp;M815&amp;"|"&amp;N815&amp;"|"&amp;O815</f>
        <v/>
      </c>
      <c r="R815">
        <f>IF(Q815=REPT("|",14),0,1)</f>
        <v/>
      </c>
      <c r="S815">
        <f>IF(R815=0,0,IF(SUMPRODUCT(($Q$11:Q814=Q815)*($R$11:R814=1))&gt;0,1,0))</f>
        <v/>
      </c>
    </row>
    <row r="816">
      <c r="Q816">
        <f>A816&amp;"|"&amp;B816&amp;"|"&amp;C816&amp;"|"&amp;D816&amp;"|"&amp;E816&amp;"|"&amp;F816&amp;"|"&amp;G816&amp;"|"&amp;H816&amp;"|"&amp;I816&amp;"|"&amp;J816&amp;"|"&amp;K816&amp;"|"&amp;L816&amp;"|"&amp;M816&amp;"|"&amp;N816&amp;"|"&amp;O816</f>
        <v/>
      </c>
      <c r="R816">
        <f>IF(Q816=REPT("|",14),0,1)</f>
        <v/>
      </c>
      <c r="S816">
        <f>IF(R816=0,0,IF(SUMPRODUCT(($Q$11:Q815=Q816)*($R$11:R815=1))&gt;0,1,0))</f>
        <v/>
      </c>
    </row>
    <row r="817">
      <c r="Q817">
        <f>A817&amp;"|"&amp;B817&amp;"|"&amp;C817&amp;"|"&amp;D817&amp;"|"&amp;E817&amp;"|"&amp;F817&amp;"|"&amp;G817&amp;"|"&amp;H817&amp;"|"&amp;I817&amp;"|"&amp;J817&amp;"|"&amp;K817&amp;"|"&amp;L817&amp;"|"&amp;M817&amp;"|"&amp;N817&amp;"|"&amp;O817</f>
        <v/>
      </c>
      <c r="R817">
        <f>IF(Q817=REPT("|",14),0,1)</f>
        <v/>
      </c>
      <c r="S817">
        <f>IF(R817=0,0,IF(SUMPRODUCT(($Q$11:Q816=Q817)*($R$11:R816=1))&gt;0,1,0))</f>
        <v/>
      </c>
    </row>
    <row r="818">
      <c r="Q818">
        <f>A818&amp;"|"&amp;B818&amp;"|"&amp;C818&amp;"|"&amp;D818&amp;"|"&amp;E818&amp;"|"&amp;F818&amp;"|"&amp;G818&amp;"|"&amp;H818&amp;"|"&amp;I818&amp;"|"&amp;J818&amp;"|"&amp;K818&amp;"|"&amp;L818&amp;"|"&amp;M818&amp;"|"&amp;N818&amp;"|"&amp;O818</f>
        <v/>
      </c>
      <c r="R818">
        <f>IF(Q818=REPT("|",14),0,1)</f>
        <v/>
      </c>
      <c r="S818">
        <f>IF(R818=0,0,IF(SUMPRODUCT(($Q$11:Q817=Q818)*($R$11:R817=1))&gt;0,1,0))</f>
        <v/>
      </c>
    </row>
    <row r="819">
      <c r="Q819">
        <f>A819&amp;"|"&amp;B819&amp;"|"&amp;C819&amp;"|"&amp;D819&amp;"|"&amp;E819&amp;"|"&amp;F819&amp;"|"&amp;G819&amp;"|"&amp;H819&amp;"|"&amp;I819&amp;"|"&amp;J819&amp;"|"&amp;K819&amp;"|"&amp;L819&amp;"|"&amp;M819&amp;"|"&amp;N819&amp;"|"&amp;O819</f>
        <v/>
      </c>
      <c r="R819">
        <f>IF(Q819=REPT("|",14),0,1)</f>
        <v/>
      </c>
      <c r="S819">
        <f>IF(R819=0,0,IF(SUMPRODUCT(($Q$11:Q818=Q819)*($R$11:R818=1))&gt;0,1,0))</f>
        <v/>
      </c>
    </row>
    <row r="820">
      <c r="Q820">
        <f>A820&amp;"|"&amp;B820&amp;"|"&amp;C820&amp;"|"&amp;D820&amp;"|"&amp;E820&amp;"|"&amp;F820&amp;"|"&amp;G820&amp;"|"&amp;H820&amp;"|"&amp;I820&amp;"|"&amp;J820&amp;"|"&amp;K820&amp;"|"&amp;L820&amp;"|"&amp;M820&amp;"|"&amp;N820&amp;"|"&amp;O820</f>
        <v/>
      </c>
      <c r="R820">
        <f>IF(Q820=REPT("|",14),0,1)</f>
        <v/>
      </c>
      <c r="S820">
        <f>IF(R820=0,0,IF(SUMPRODUCT(($Q$11:Q819=Q820)*($R$11:R819=1))&gt;0,1,0))</f>
        <v/>
      </c>
    </row>
    <row r="821">
      <c r="Q821">
        <f>A821&amp;"|"&amp;B821&amp;"|"&amp;C821&amp;"|"&amp;D821&amp;"|"&amp;E821&amp;"|"&amp;F821&amp;"|"&amp;G821&amp;"|"&amp;H821&amp;"|"&amp;I821&amp;"|"&amp;J821&amp;"|"&amp;K821&amp;"|"&amp;L821&amp;"|"&amp;M821&amp;"|"&amp;N821&amp;"|"&amp;O821</f>
        <v/>
      </c>
      <c r="R821">
        <f>IF(Q821=REPT("|",14),0,1)</f>
        <v/>
      </c>
      <c r="S821">
        <f>IF(R821=0,0,IF(SUMPRODUCT(($Q$11:Q820=Q821)*($R$11:R820=1))&gt;0,1,0))</f>
        <v/>
      </c>
    </row>
    <row r="822">
      <c r="Q822">
        <f>A822&amp;"|"&amp;B822&amp;"|"&amp;C822&amp;"|"&amp;D822&amp;"|"&amp;E822&amp;"|"&amp;F822&amp;"|"&amp;G822&amp;"|"&amp;H822&amp;"|"&amp;I822&amp;"|"&amp;J822&amp;"|"&amp;K822&amp;"|"&amp;L822&amp;"|"&amp;M822&amp;"|"&amp;N822&amp;"|"&amp;O822</f>
        <v/>
      </c>
      <c r="R822">
        <f>IF(Q822=REPT("|",14),0,1)</f>
        <v/>
      </c>
      <c r="S822">
        <f>IF(R822=0,0,IF(SUMPRODUCT(($Q$11:Q821=Q822)*($R$11:R821=1))&gt;0,1,0))</f>
        <v/>
      </c>
    </row>
    <row r="823">
      <c r="Q823">
        <f>A823&amp;"|"&amp;B823&amp;"|"&amp;C823&amp;"|"&amp;D823&amp;"|"&amp;E823&amp;"|"&amp;F823&amp;"|"&amp;G823&amp;"|"&amp;H823&amp;"|"&amp;I823&amp;"|"&amp;J823&amp;"|"&amp;K823&amp;"|"&amp;L823&amp;"|"&amp;M823&amp;"|"&amp;N823&amp;"|"&amp;O823</f>
        <v/>
      </c>
      <c r="R823">
        <f>IF(Q823=REPT("|",14),0,1)</f>
        <v/>
      </c>
      <c r="S823">
        <f>IF(R823=0,0,IF(SUMPRODUCT(($Q$11:Q822=Q823)*($R$11:R822=1))&gt;0,1,0))</f>
        <v/>
      </c>
    </row>
    <row r="824">
      <c r="Q824">
        <f>A824&amp;"|"&amp;B824&amp;"|"&amp;C824&amp;"|"&amp;D824&amp;"|"&amp;E824&amp;"|"&amp;F824&amp;"|"&amp;G824&amp;"|"&amp;H824&amp;"|"&amp;I824&amp;"|"&amp;J824&amp;"|"&amp;K824&amp;"|"&amp;L824&amp;"|"&amp;M824&amp;"|"&amp;N824&amp;"|"&amp;O824</f>
        <v/>
      </c>
      <c r="R824">
        <f>IF(Q824=REPT("|",14),0,1)</f>
        <v/>
      </c>
      <c r="S824">
        <f>IF(R824=0,0,IF(SUMPRODUCT(($Q$11:Q823=Q824)*($R$11:R823=1))&gt;0,1,0))</f>
        <v/>
      </c>
    </row>
    <row r="825">
      <c r="Q825">
        <f>A825&amp;"|"&amp;B825&amp;"|"&amp;C825&amp;"|"&amp;D825&amp;"|"&amp;E825&amp;"|"&amp;F825&amp;"|"&amp;G825&amp;"|"&amp;H825&amp;"|"&amp;I825&amp;"|"&amp;J825&amp;"|"&amp;K825&amp;"|"&amp;L825&amp;"|"&amp;M825&amp;"|"&amp;N825&amp;"|"&amp;O825</f>
        <v/>
      </c>
      <c r="R825">
        <f>IF(Q825=REPT("|",14),0,1)</f>
        <v/>
      </c>
      <c r="S825">
        <f>IF(R825=0,0,IF(SUMPRODUCT(($Q$11:Q824=Q825)*($R$11:R824=1))&gt;0,1,0))</f>
        <v/>
      </c>
    </row>
    <row r="826">
      <c r="Q826">
        <f>A826&amp;"|"&amp;B826&amp;"|"&amp;C826&amp;"|"&amp;D826&amp;"|"&amp;E826&amp;"|"&amp;F826&amp;"|"&amp;G826&amp;"|"&amp;H826&amp;"|"&amp;I826&amp;"|"&amp;J826&amp;"|"&amp;K826&amp;"|"&amp;L826&amp;"|"&amp;M826&amp;"|"&amp;N826&amp;"|"&amp;O826</f>
        <v/>
      </c>
      <c r="R826">
        <f>IF(Q826=REPT("|",14),0,1)</f>
        <v/>
      </c>
      <c r="S826">
        <f>IF(R826=0,0,IF(SUMPRODUCT(($Q$11:Q825=Q826)*($R$11:R825=1))&gt;0,1,0))</f>
        <v/>
      </c>
    </row>
    <row r="827">
      <c r="Q827">
        <f>A827&amp;"|"&amp;B827&amp;"|"&amp;C827&amp;"|"&amp;D827&amp;"|"&amp;E827&amp;"|"&amp;F827&amp;"|"&amp;G827&amp;"|"&amp;H827&amp;"|"&amp;I827&amp;"|"&amp;J827&amp;"|"&amp;K827&amp;"|"&amp;L827&amp;"|"&amp;M827&amp;"|"&amp;N827&amp;"|"&amp;O827</f>
        <v/>
      </c>
      <c r="R827">
        <f>IF(Q827=REPT("|",14),0,1)</f>
        <v/>
      </c>
      <c r="S827">
        <f>IF(R827=0,0,IF(SUMPRODUCT(($Q$11:Q826=Q827)*($R$11:R826=1))&gt;0,1,0))</f>
        <v/>
      </c>
    </row>
    <row r="828">
      <c r="Q828">
        <f>A828&amp;"|"&amp;B828&amp;"|"&amp;C828&amp;"|"&amp;D828&amp;"|"&amp;E828&amp;"|"&amp;F828&amp;"|"&amp;G828&amp;"|"&amp;H828&amp;"|"&amp;I828&amp;"|"&amp;J828&amp;"|"&amp;K828&amp;"|"&amp;L828&amp;"|"&amp;M828&amp;"|"&amp;N828&amp;"|"&amp;O828</f>
        <v/>
      </c>
      <c r="R828">
        <f>IF(Q828=REPT("|",14),0,1)</f>
        <v/>
      </c>
      <c r="S828">
        <f>IF(R828=0,0,IF(SUMPRODUCT(($Q$11:Q827=Q828)*($R$11:R827=1))&gt;0,1,0))</f>
        <v/>
      </c>
    </row>
    <row r="829">
      <c r="Q829">
        <f>A829&amp;"|"&amp;B829&amp;"|"&amp;C829&amp;"|"&amp;D829&amp;"|"&amp;E829&amp;"|"&amp;F829&amp;"|"&amp;G829&amp;"|"&amp;H829&amp;"|"&amp;I829&amp;"|"&amp;J829&amp;"|"&amp;K829&amp;"|"&amp;L829&amp;"|"&amp;M829&amp;"|"&amp;N829&amp;"|"&amp;O829</f>
        <v/>
      </c>
      <c r="R829">
        <f>IF(Q829=REPT("|",14),0,1)</f>
        <v/>
      </c>
      <c r="S829">
        <f>IF(R829=0,0,IF(SUMPRODUCT(($Q$11:Q828=Q829)*($R$11:R828=1))&gt;0,1,0))</f>
        <v/>
      </c>
    </row>
    <row r="830">
      <c r="Q830">
        <f>A830&amp;"|"&amp;B830&amp;"|"&amp;C830&amp;"|"&amp;D830&amp;"|"&amp;E830&amp;"|"&amp;F830&amp;"|"&amp;G830&amp;"|"&amp;H830&amp;"|"&amp;I830&amp;"|"&amp;J830&amp;"|"&amp;K830&amp;"|"&amp;L830&amp;"|"&amp;M830&amp;"|"&amp;N830&amp;"|"&amp;O830</f>
        <v/>
      </c>
      <c r="R830">
        <f>IF(Q830=REPT("|",14),0,1)</f>
        <v/>
      </c>
      <c r="S830">
        <f>IF(R830=0,0,IF(SUMPRODUCT(($Q$11:Q829=Q830)*($R$11:R829=1))&gt;0,1,0))</f>
        <v/>
      </c>
    </row>
    <row r="831">
      <c r="Q831">
        <f>A831&amp;"|"&amp;B831&amp;"|"&amp;C831&amp;"|"&amp;D831&amp;"|"&amp;E831&amp;"|"&amp;F831&amp;"|"&amp;G831&amp;"|"&amp;H831&amp;"|"&amp;I831&amp;"|"&amp;J831&amp;"|"&amp;K831&amp;"|"&amp;L831&amp;"|"&amp;M831&amp;"|"&amp;N831&amp;"|"&amp;O831</f>
        <v/>
      </c>
      <c r="R831">
        <f>IF(Q831=REPT("|",14),0,1)</f>
        <v/>
      </c>
      <c r="S831">
        <f>IF(R831=0,0,IF(SUMPRODUCT(($Q$11:Q830=Q831)*($R$11:R830=1))&gt;0,1,0))</f>
        <v/>
      </c>
    </row>
    <row r="832">
      <c r="Q832">
        <f>A832&amp;"|"&amp;B832&amp;"|"&amp;C832&amp;"|"&amp;D832&amp;"|"&amp;E832&amp;"|"&amp;F832&amp;"|"&amp;G832&amp;"|"&amp;H832&amp;"|"&amp;I832&amp;"|"&amp;J832&amp;"|"&amp;K832&amp;"|"&amp;L832&amp;"|"&amp;M832&amp;"|"&amp;N832&amp;"|"&amp;O832</f>
        <v/>
      </c>
      <c r="R832">
        <f>IF(Q832=REPT("|",14),0,1)</f>
        <v/>
      </c>
      <c r="S832">
        <f>IF(R832=0,0,IF(SUMPRODUCT(($Q$11:Q831=Q832)*($R$11:R831=1))&gt;0,1,0))</f>
        <v/>
      </c>
    </row>
    <row r="833">
      <c r="Q833">
        <f>A833&amp;"|"&amp;B833&amp;"|"&amp;C833&amp;"|"&amp;D833&amp;"|"&amp;E833&amp;"|"&amp;F833&amp;"|"&amp;G833&amp;"|"&amp;H833&amp;"|"&amp;I833&amp;"|"&amp;J833&amp;"|"&amp;K833&amp;"|"&amp;L833&amp;"|"&amp;M833&amp;"|"&amp;N833&amp;"|"&amp;O833</f>
        <v/>
      </c>
      <c r="R833">
        <f>IF(Q833=REPT("|",14),0,1)</f>
        <v/>
      </c>
      <c r="S833">
        <f>IF(R833=0,0,IF(SUMPRODUCT(($Q$11:Q832=Q833)*($R$11:R832=1))&gt;0,1,0))</f>
        <v/>
      </c>
    </row>
    <row r="834">
      <c r="Q834">
        <f>A834&amp;"|"&amp;B834&amp;"|"&amp;C834&amp;"|"&amp;D834&amp;"|"&amp;E834&amp;"|"&amp;F834&amp;"|"&amp;G834&amp;"|"&amp;H834&amp;"|"&amp;I834&amp;"|"&amp;J834&amp;"|"&amp;K834&amp;"|"&amp;L834&amp;"|"&amp;M834&amp;"|"&amp;N834&amp;"|"&amp;O834</f>
        <v/>
      </c>
      <c r="R834">
        <f>IF(Q834=REPT("|",14),0,1)</f>
        <v/>
      </c>
      <c r="S834">
        <f>IF(R834=0,0,IF(SUMPRODUCT(($Q$11:Q833=Q834)*($R$11:R833=1))&gt;0,1,0))</f>
        <v/>
      </c>
    </row>
    <row r="835">
      <c r="Q835">
        <f>A835&amp;"|"&amp;B835&amp;"|"&amp;C835&amp;"|"&amp;D835&amp;"|"&amp;E835&amp;"|"&amp;F835&amp;"|"&amp;G835&amp;"|"&amp;H835&amp;"|"&amp;I835&amp;"|"&amp;J835&amp;"|"&amp;K835&amp;"|"&amp;L835&amp;"|"&amp;M835&amp;"|"&amp;N835&amp;"|"&amp;O835</f>
        <v/>
      </c>
      <c r="R835">
        <f>IF(Q835=REPT("|",14),0,1)</f>
        <v/>
      </c>
      <c r="S835">
        <f>IF(R835=0,0,IF(SUMPRODUCT(($Q$11:Q834=Q835)*($R$11:R834=1))&gt;0,1,0))</f>
        <v/>
      </c>
    </row>
    <row r="836">
      <c r="Q836">
        <f>A836&amp;"|"&amp;B836&amp;"|"&amp;C836&amp;"|"&amp;D836&amp;"|"&amp;E836&amp;"|"&amp;F836&amp;"|"&amp;G836&amp;"|"&amp;H836&amp;"|"&amp;I836&amp;"|"&amp;J836&amp;"|"&amp;K836&amp;"|"&amp;L836&amp;"|"&amp;M836&amp;"|"&amp;N836&amp;"|"&amp;O836</f>
        <v/>
      </c>
      <c r="R836">
        <f>IF(Q836=REPT("|",14),0,1)</f>
        <v/>
      </c>
      <c r="S836">
        <f>IF(R836=0,0,IF(SUMPRODUCT(($Q$11:Q835=Q836)*($R$11:R835=1))&gt;0,1,0))</f>
        <v/>
      </c>
    </row>
    <row r="837">
      <c r="Q837">
        <f>A837&amp;"|"&amp;B837&amp;"|"&amp;C837&amp;"|"&amp;D837&amp;"|"&amp;E837&amp;"|"&amp;F837&amp;"|"&amp;G837&amp;"|"&amp;H837&amp;"|"&amp;I837&amp;"|"&amp;J837&amp;"|"&amp;K837&amp;"|"&amp;L837&amp;"|"&amp;M837&amp;"|"&amp;N837&amp;"|"&amp;O837</f>
        <v/>
      </c>
      <c r="R837">
        <f>IF(Q837=REPT("|",14),0,1)</f>
        <v/>
      </c>
      <c r="S837">
        <f>IF(R837=0,0,IF(SUMPRODUCT(($Q$11:Q836=Q837)*($R$11:R836=1))&gt;0,1,0))</f>
        <v/>
      </c>
    </row>
    <row r="838">
      <c r="Q838">
        <f>A838&amp;"|"&amp;B838&amp;"|"&amp;C838&amp;"|"&amp;D838&amp;"|"&amp;E838&amp;"|"&amp;F838&amp;"|"&amp;G838&amp;"|"&amp;H838&amp;"|"&amp;I838&amp;"|"&amp;J838&amp;"|"&amp;K838&amp;"|"&amp;L838&amp;"|"&amp;M838&amp;"|"&amp;N838&amp;"|"&amp;O838</f>
        <v/>
      </c>
      <c r="R838">
        <f>IF(Q838=REPT("|",14),0,1)</f>
        <v/>
      </c>
      <c r="S838">
        <f>IF(R838=0,0,IF(SUMPRODUCT(($Q$11:Q837=Q838)*($R$11:R837=1))&gt;0,1,0))</f>
        <v/>
      </c>
    </row>
    <row r="839">
      <c r="Q839">
        <f>A839&amp;"|"&amp;B839&amp;"|"&amp;C839&amp;"|"&amp;D839&amp;"|"&amp;E839&amp;"|"&amp;F839&amp;"|"&amp;G839&amp;"|"&amp;H839&amp;"|"&amp;I839&amp;"|"&amp;J839&amp;"|"&amp;K839&amp;"|"&amp;L839&amp;"|"&amp;M839&amp;"|"&amp;N839&amp;"|"&amp;O839</f>
        <v/>
      </c>
      <c r="R839">
        <f>IF(Q839=REPT("|",14),0,1)</f>
        <v/>
      </c>
      <c r="S839">
        <f>IF(R839=0,0,IF(SUMPRODUCT(($Q$11:Q838=Q839)*($R$11:R838=1))&gt;0,1,0))</f>
        <v/>
      </c>
    </row>
    <row r="840">
      <c r="Q840">
        <f>A840&amp;"|"&amp;B840&amp;"|"&amp;C840&amp;"|"&amp;D840&amp;"|"&amp;E840&amp;"|"&amp;F840&amp;"|"&amp;G840&amp;"|"&amp;H840&amp;"|"&amp;I840&amp;"|"&amp;J840&amp;"|"&amp;K840&amp;"|"&amp;L840&amp;"|"&amp;M840&amp;"|"&amp;N840&amp;"|"&amp;O840</f>
        <v/>
      </c>
      <c r="R840">
        <f>IF(Q840=REPT("|",14),0,1)</f>
        <v/>
      </c>
      <c r="S840">
        <f>IF(R840=0,0,IF(SUMPRODUCT(($Q$11:Q839=Q840)*($R$11:R839=1))&gt;0,1,0))</f>
        <v/>
      </c>
    </row>
    <row r="841">
      <c r="Q841">
        <f>A841&amp;"|"&amp;B841&amp;"|"&amp;C841&amp;"|"&amp;D841&amp;"|"&amp;E841&amp;"|"&amp;F841&amp;"|"&amp;G841&amp;"|"&amp;H841&amp;"|"&amp;I841&amp;"|"&amp;J841&amp;"|"&amp;K841&amp;"|"&amp;L841&amp;"|"&amp;M841&amp;"|"&amp;N841&amp;"|"&amp;O841</f>
        <v/>
      </c>
      <c r="R841">
        <f>IF(Q841=REPT("|",14),0,1)</f>
        <v/>
      </c>
      <c r="S841">
        <f>IF(R841=0,0,IF(SUMPRODUCT(($Q$11:Q840=Q841)*($R$11:R840=1))&gt;0,1,0))</f>
        <v/>
      </c>
    </row>
    <row r="842">
      <c r="Q842">
        <f>A842&amp;"|"&amp;B842&amp;"|"&amp;C842&amp;"|"&amp;D842&amp;"|"&amp;E842&amp;"|"&amp;F842&amp;"|"&amp;G842&amp;"|"&amp;H842&amp;"|"&amp;I842&amp;"|"&amp;J842&amp;"|"&amp;K842&amp;"|"&amp;L842&amp;"|"&amp;M842&amp;"|"&amp;N842&amp;"|"&amp;O842</f>
        <v/>
      </c>
      <c r="R842">
        <f>IF(Q842=REPT("|",14),0,1)</f>
        <v/>
      </c>
      <c r="S842">
        <f>IF(R842=0,0,IF(SUMPRODUCT(($Q$11:Q841=Q842)*($R$11:R841=1))&gt;0,1,0))</f>
        <v/>
      </c>
    </row>
    <row r="843">
      <c r="Q843">
        <f>A843&amp;"|"&amp;B843&amp;"|"&amp;C843&amp;"|"&amp;D843&amp;"|"&amp;E843&amp;"|"&amp;F843&amp;"|"&amp;G843&amp;"|"&amp;H843&amp;"|"&amp;I843&amp;"|"&amp;J843&amp;"|"&amp;K843&amp;"|"&amp;L843&amp;"|"&amp;M843&amp;"|"&amp;N843&amp;"|"&amp;O843</f>
        <v/>
      </c>
      <c r="R843">
        <f>IF(Q843=REPT("|",14),0,1)</f>
        <v/>
      </c>
      <c r="S843">
        <f>IF(R843=0,0,IF(SUMPRODUCT(($Q$11:Q842=Q843)*($R$11:R842=1))&gt;0,1,0))</f>
        <v/>
      </c>
    </row>
    <row r="844">
      <c r="Q844">
        <f>A844&amp;"|"&amp;B844&amp;"|"&amp;C844&amp;"|"&amp;D844&amp;"|"&amp;E844&amp;"|"&amp;F844&amp;"|"&amp;G844&amp;"|"&amp;H844&amp;"|"&amp;I844&amp;"|"&amp;J844&amp;"|"&amp;K844&amp;"|"&amp;L844&amp;"|"&amp;M844&amp;"|"&amp;N844&amp;"|"&amp;O844</f>
        <v/>
      </c>
      <c r="R844">
        <f>IF(Q844=REPT("|",14),0,1)</f>
        <v/>
      </c>
      <c r="S844">
        <f>IF(R844=0,0,IF(SUMPRODUCT(($Q$11:Q843=Q844)*($R$11:R843=1))&gt;0,1,0))</f>
        <v/>
      </c>
    </row>
    <row r="845">
      <c r="Q845">
        <f>A845&amp;"|"&amp;B845&amp;"|"&amp;C845&amp;"|"&amp;D845&amp;"|"&amp;E845&amp;"|"&amp;F845&amp;"|"&amp;G845&amp;"|"&amp;H845&amp;"|"&amp;I845&amp;"|"&amp;J845&amp;"|"&amp;K845&amp;"|"&amp;L845&amp;"|"&amp;M845&amp;"|"&amp;N845&amp;"|"&amp;O845</f>
        <v/>
      </c>
      <c r="R845">
        <f>IF(Q845=REPT("|",14),0,1)</f>
        <v/>
      </c>
      <c r="S845">
        <f>IF(R845=0,0,IF(SUMPRODUCT(($Q$11:Q844=Q845)*($R$11:R844=1))&gt;0,1,0))</f>
        <v/>
      </c>
    </row>
    <row r="846">
      <c r="Q846">
        <f>A846&amp;"|"&amp;B846&amp;"|"&amp;C846&amp;"|"&amp;D846&amp;"|"&amp;E846&amp;"|"&amp;F846&amp;"|"&amp;G846&amp;"|"&amp;H846&amp;"|"&amp;I846&amp;"|"&amp;J846&amp;"|"&amp;K846&amp;"|"&amp;L846&amp;"|"&amp;M846&amp;"|"&amp;N846&amp;"|"&amp;O846</f>
        <v/>
      </c>
      <c r="R846">
        <f>IF(Q846=REPT("|",14),0,1)</f>
        <v/>
      </c>
      <c r="S846">
        <f>IF(R846=0,0,IF(SUMPRODUCT(($Q$11:Q845=Q846)*($R$11:R845=1))&gt;0,1,0))</f>
        <v/>
      </c>
    </row>
    <row r="847">
      <c r="Q847">
        <f>A847&amp;"|"&amp;B847&amp;"|"&amp;C847&amp;"|"&amp;D847&amp;"|"&amp;E847&amp;"|"&amp;F847&amp;"|"&amp;G847&amp;"|"&amp;H847&amp;"|"&amp;I847&amp;"|"&amp;J847&amp;"|"&amp;K847&amp;"|"&amp;L847&amp;"|"&amp;M847&amp;"|"&amp;N847&amp;"|"&amp;O847</f>
        <v/>
      </c>
      <c r="R847">
        <f>IF(Q847=REPT("|",14),0,1)</f>
        <v/>
      </c>
      <c r="S847">
        <f>IF(R847=0,0,IF(SUMPRODUCT(($Q$11:Q846=Q847)*($R$11:R846=1))&gt;0,1,0))</f>
        <v/>
      </c>
    </row>
    <row r="848">
      <c r="Q848">
        <f>A848&amp;"|"&amp;B848&amp;"|"&amp;C848&amp;"|"&amp;D848&amp;"|"&amp;E848&amp;"|"&amp;F848&amp;"|"&amp;G848&amp;"|"&amp;H848&amp;"|"&amp;I848&amp;"|"&amp;J848&amp;"|"&amp;K848&amp;"|"&amp;L848&amp;"|"&amp;M848&amp;"|"&amp;N848&amp;"|"&amp;O848</f>
        <v/>
      </c>
      <c r="R848">
        <f>IF(Q848=REPT("|",14),0,1)</f>
        <v/>
      </c>
      <c r="S848">
        <f>IF(R848=0,0,IF(SUMPRODUCT(($Q$11:Q847=Q848)*($R$11:R847=1))&gt;0,1,0))</f>
        <v/>
      </c>
    </row>
    <row r="849">
      <c r="Q849">
        <f>A849&amp;"|"&amp;B849&amp;"|"&amp;C849&amp;"|"&amp;D849&amp;"|"&amp;E849&amp;"|"&amp;F849&amp;"|"&amp;G849&amp;"|"&amp;H849&amp;"|"&amp;I849&amp;"|"&amp;J849&amp;"|"&amp;K849&amp;"|"&amp;L849&amp;"|"&amp;M849&amp;"|"&amp;N849&amp;"|"&amp;O849</f>
        <v/>
      </c>
      <c r="R849">
        <f>IF(Q849=REPT("|",14),0,1)</f>
        <v/>
      </c>
      <c r="S849">
        <f>IF(R849=0,0,IF(SUMPRODUCT(($Q$11:Q848=Q849)*($R$11:R848=1))&gt;0,1,0))</f>
        <v/>
      </c>
    </row>
    <row r="850">
      <c r="Q850">
        <f>A850&amp;"|"&amp;B850&amp;"|"&amp;C850&amp;"|"&amp;D850&amp;"|"&amp;E850&amp;"|"&amp;F850&amp;"|"&amp;G850&amp;"|"&amp;H850&amp;"|"&amp;I850&amp;"|"&amp;J850&amp;"|"&amp;K850&amp;"|"&amp;L850&amp;"|"&amp;M850&amp;"|"&amp;N850&amp;"|"&amp;O850</f>
        <v/>
      </c>
      <c r="R850">
        <f>IF(Q850=REPT("|",14),0,1)</f>
        <v/>
      </c>
      <c r="S850">
        <f>IF(R850=0,0,IF(SUMPRODUCT(($Q$11:Q849=Q850)*($R$11:R849=1))&gt;0,1,0))</f>
        <v/>
      </c>
    </row>
    <row r="851">
      <c r="Q851">
        <f>A851&amp;"|"&amp;B851&amp;"|"&amp;C851&amp;"|"&amp;D851&amp;"|"&amp;E851&amp;"|"&amp;F851&amp;"|"&amp;G851&amp;"|"&amp;H851&amp;"|"&amp;I851&amp;"|"&amp;J851&amp;"|"&amp;K851&amp;"|"&amp;L851&amp;"|"&amp;M851&amp;"|"&amp;N851&amp;"|"&amp;O851</f>
        <v/>
      </c>
      <c r="R851">
        <f>IF(Q851=REPT("|",14),0,1)</f>
        <v/>
      </c>
      <c r="S851">
        <f>IF(R851=0,0,IF(SUMPRODUCT(($Q$11:Q850=Q851)*($R$11:R850=1))&gt;0,1,0))</f>
        <v/>
      </c>
    </row>
    <row r="852">
      <c r="Q852">
        <f>A852&amp;"|"&amp;B852&amp;"|"&amp;C852&amp;"|"&amp;D852&amp;"|"&amp;E852&amp;"|"&amp;F852&amp;"|"&amp;G852&amp;"|"&amp;H852&amp;"|"&amp;I852&amp;"|"&amp;J852&amp;"|"&amp;K852&amp;"|"&amp;L852&amp;"|"&amp;M852&amp;"|"&amp;N852&amp;"|"&amp;O852</f>
        <v/>
      </c>
      <c r="R852">
        <f>IF(Q852=REPT("|",14),0,1)</f>
        <v/>
      </c>
      <c r="S852">
        <f>IF(R852=0,0,IF(SUMPRODUCT(($Q$11:Q851=Q852)*($R$11:R851=1))&gt;0,1,0))</f>
        <v/>
      </c>
    </row>
    <row r="853">
      <c r="Q853">
        <f>A853&amp;"|"&amp;B853&amp;"|"&amp;C853&amp;"|"&amp;D853&amp;"|"&amp;E853&amp;"|"&amp;F853&amp;"|"&amp;G853&amp;"|"&amp;H853&amp;"|"&amp;I853&amp;"|"&amp;J853&amp;"|"&amp;K853&amp;"|"&amp;L853&amp;"|"&amp;M853&amp;"|"&amp;N853&amp;"|"&amp;O853</f>
        <v/>
      </c>
      <c r="R853">
        <f>IF(Q853=REPT("|",14),0,1)</f>
        <v/>
      </c>
      <c r="S853">
        <f>IF(R853=0,0,IF(SUMPRODUCT(($Q$11:Q852=Q853)*($R$11:R852=1))&gt;0,1,0))</f>
        <v/>
      </c>
    </row>
    <row r="854">
      <c r="Q854">
        <f>A854&amp;"|"&amp;B854&amp;"|"&amp;C854&amp;"|"&amp;D854&amp;"|"&amp;E854&amp;"|"&amp;F854&amp;"|"&amp;G854&amp;"|"&amp;H854&amp;"|"&amp;I854&amp;"|"&amp;J854&amp;"|"&amp;K854&amp;"|"&amp;L854&amp;"|"&amp;M854&amp;"|"&amp;N854&amp;"|"&amp;O854</f>
        <v/>
      </c>
      <c r="R854">
        <f>IF(Q854=REPT("|",14),0,1)</f>
        <v/>
      </c>
      <c r="S854">
        <f>IF(R854=0,0,IF(SUMPRODUCT(($Q$11:Q853=Q854)*($R$11:R853=1))&gt;0,1,0))</f>
        <v/>
      </c>
    </row>
    <row r="855">
      <c r="Q855">
        <f>A855&amp;"|"&amp;B855&amp;"|"&amp;C855&amp;"|"&amp;D855&amp;"|"&amp;E855&amp;"|"&amp;F855&amp;"|"&amp;G855&amp;"|"&amp;H855&amp;"|"&amp;I855&amp;"|"&amp;J855&amp;"|"&amp;K855&amp;"|"&amp;L855&amp;"|"&amp;M855&amp;"|"&amp;N855&amp;"|"&amp;O855</f>
        <v/>
      </c>
      <c r="R855">
        <f>IF(Q855=REPT("|",14),0,1)</f>
        <v/>
      </c>
      <c r="S855">
        <f>IF(R855=0,0,IF(SUMPRODUCT(($Q$11:Q854=Q855)*($R$11:R854=1))&gt;0,1,0))</f>
        <v/>
      </c>
    </row>
    <row r="856">
      <c r="Q856">
        <f>A856&amp;"|"&amp;B856&amp;"|"&amp;C856&amp;"|"&amp;D856&amp;"|"&amp;E856&amp;"|"&amp;F856&amp;"|"&amp;G856&amp;"|"&amp;H856&amp;"|"&amp;I856&amp;"|"&amp;J856&amp;"|"&amp;K856&amp;"|"&amp;L856&amp;"|"&amp;M856&amp;"|"&amp;N856&amp;"|"&amp;O856</f>
        <v/>
      </c>
      <c r="R856">
        <f>IF(Q856=REPT("|",14),0,1)</f>
        <v/>
      </c>
      <c r="S856">
        <f>IF(R856=0,0,IF(SUMPRODUCT(($Q$11:Q855=Q856)*($R$11:R855=1))&gt;0,1,0))</f>
        <v/>
      </c>
    </row>
    <row r="857">
      <c r="Q857">
        <f>A857&amp;"|"&amp;B857&amp;"|"&amp;C857&amp;"|"&amp;D857&amp;"|"&amp;E857&amp;"|"&amp;F857&amp;"|"&amp;G857&amp;"|"&amp;H857&amp;"|"&amp;I857&amp;"|"&amp;J857&amp;"|"&amp;K857&amp;"|"&amp;L857&amp;"|"&amp;M857&amp;"|"&amp;N857&amp;"|"&amp;O857</f>
        <v/>
      </c>
      <c r="R857">
        <f>IF(Q857=REPT("|",14),0,1)</f>
        <v/>
      </c>
      <c r="S857">
        <f>IF(R857=0,0,IF(SUMPRODUCT(($Q$11:Q856=Q857)*($R$11:R856=1))&gt;0,1,0))</f>
        <v/>
      </c>
    </row>
    <row r="858">
      <c r="Q858">
        <f>A858&amp;"|"&amp;B858&amp;"|"&amp;C858&amp;"|"&amp;D858&amp;"|"&amp;E858&amp;"|"&amp;F858&amp;"|"&amp;G858&amp;"|"&amp;H858&amp;"|"&amp;I858&amp;"|"&amp;J858&amp;"|"&amp;K858&amp;"|"&amp;L858&amp;"|"&amp;M858&amp;"|"&amp;N858&amp;"|"&amp;O858</f>
        <v/>
      </c>
      <c r="R858">
        <f>IF(Q858=REPT("|",14),0,1)</f>
        <v/>
      </c>
      <c r="S858">
        <f>IF(R858=0,0,IF(SUMPRODUCT(($Q$11:Q857=Q858)*($R$11:R857=1))&gt;0,1,0))</f>
        <v/>
      </c>
    </row>
    <row r="859">
      <c r="Q859">
        <f>A859&amp;"|"&amp;B859&amp;"|"&amp;C859&amp;"|"&amp;D859&amp;"|"&amp;E859&amp;"|"&amp;F859&amp;"|"&amp;G859&amp;"|"&amp;H859&amp;"|"&amp;I859&amp;"|"&amp;J859&amp;"|"&amp;K859&amp;"|"&amp;L859&amp;"|"&amp;M859&amp;"|"&amp;N859&amp;"|"&amp;O859</f>
        <v/>
      </c>
      <c r="R859">
        <f>IF(Q859=REPT("|",14),0,1)</f>
        <v/>
      </c>
      <c r="S859">
        <f>IF(R859=0,0,IF(SUMPRODUCT(($Q$11:Q858=Q859)*($R$11:R858=1))&gt;0,1,0))</f>
        <v/>
      </c>
    </row>
    <row r="860">
      <c r="Q860">
        <f>A860&amp;"|"&amp;B860&amp;"|"&amp;C860&amp;"|"&amp;D860&amp;"|"&amp;E860&amp;"|"&amp;F860&amp;"|"&amp;G860&amp;"|"&amp;H860&amp;"|"&amp;I860&amp;"|"&amp;J860&amp;"|"&amp;K860&amp;"|"&amp;L860&amp;"|"&amp;M860&amp;"|"&amp;N860&amp;"|"&amp;O860</f>
        <v/>
      </c>
      <c r="R860">
        <f>IF(Q860=REPT("|",14),0,1)</f>
        <v/>
      </c>
      <c r="S860">
        <f>IF(R860=0,0,IF(SUMPRODUCT(($Q$11:Q859=Q860)*($R$11:R859=1))&gt;0,1,0))</f>
        <v/>
      </c>
    </row>
    <row r="861">
      <c r="Q861">
        <f>A861&amp;"|"&amp;B861&amp;"|"&amp;C861&amp;"|"&amp;D861&amp;"|"&amp;E861&amp;"|"&amp;F861&amp;"|"&amp;G861&amp;"|"&amp;H861&amp;"|"&amp;I861&amp;"|"&amp;J861&amp;"|"&amp;K861&amp;"|"&amp;L861&amp;"|"&amp;M861&amp;"|"&amp;N861&amp;"|"&amp;O861</f>
        <v/>
      </c>
      <c r="R861">
        <f>IF(Q861=REPT("|",14),0,1)</f>
        <v/>
      </c>
      <c r="S861">
        <f>IF(R861=0,0,IF(SUMPRODUCT(($Q$11:Q860=Q861)*($R$11:R860=1))&gt;0,1,0))</f>
        <v/>
      </c>
    </row>
    <row r="862">
      <c r="Q862">
        <f>A862&amp;"|"&amp;B862&amp;"|"&amp;C862&amp;"|"&amp;D862&amp;"|"&amp;E862&amp;"|"&amp;F862&amp;"|"&amp;G862&amp;"|"&amp;H862&amp;"|"&amp;I862&amp;"|"&amp;J862&amp;"|"&amp;K862&amp;"|"&amp;L862&amp;"|"&amp;M862&amp;"|"&amp;N862&amp;"|"&amp;O862</f>
        <v/>
      </c>
      <c r="R862">
        <f>IF(Q862=REPT("|",14),0,1)</f>
        <v/>
      </c>
      <c r="S862">
        <f>IF(R862=0,0,IF(SUMPRODUCT(($Q$11:Q861=Q862)*($R$11:R861=1))&gt;0,1,0))</f>
        <v/>
      </c>
    </row>
    <row r="863">
      <c r="Q863">
        <f>A863&amp;"|"&amp;B863&amp;"|"&amp;C863&amp;"|"&amp;D863&amp;"|"&amp;E863&amp;"|"&amp;F863&amp;"|"&amp;G863&amp;"|"&amp;H863&amp;"|"&amp;I863&amp;"|"&amp;J863&amp;"|"&amp;K863&amp;"|"&amp;L863&amp;"|"&amp;M863&amp;"|"&amp;N863&amp;"|"&amp;O863</f>
        <v/>
      </c>
      <c r="R863">
        <f>IF(Q863=REPT("|",14),0,1)</f>
        <v/>
      </c>
      <c r="S863">
        <f>IF(R863=0,0,IF(SUMPRODUCT(($Q$11:Q862=Q863)*($R$11:R862=1))&gt;0,1,0))</f>
        <v/>
      </c>
    </row>
    <row r="864">
      <c r="Q864">
        <f>A864&amp;"|"&amp;B864&amp;"|"&amp;C864&amp;"|"&amp;D864&amp;"|"&amp;E864&amp;"|"&amp;F864&amp;"|"&amp;G864&amp;"|"&amp;H864&amp;"|"&amp;I864&amp;"|"&amp;J864&amp;"|"&amp;K864&amp;"|"&amp;L864&amp;"|"&amp;M864&amp;"|"&amp;N864&amp;"|"&amp;O864</f>
        <v/>
      </c>
      <c r="R864">
        <f>IF(Q864=REPT("|",14),0,1)</f>
        <v/>
      </c>
      <c r="S864">
        <f>IF(R864=0,0,IF(SUMPRODUCT(($Q$11:Q863=Q864)*($R$11:R863=1))&gt;0,1,0))</f>
        <v/>
      </c>
    </row>
    <row r="865">
      <c r="Q865">
        <f>A865&amp;"|"&amp;B865&amp;"|"&amp;C865&amp;"|"&amp;D865&amp;"|"&amp;E865&amp;"|"&amp;F865&amp;"|"&amp;G865&amp;"|"&amp;H865&amp;"|"&amp;I865&amp;"|"&amp;J865&amp;"|"&amp;K865&amp;"|"&amp;L865&amp;"|"&amp;M865&amp;"|"&amp;N865&amp;"|"&amp;O865</f>
        <v/>
      </c>
      <c r="R865">
        <f>IF(Q865=REPT("|",14),0,1)</f>
        <v/>
      </c>
      <c r="S865">
        <f>IF(R865=0,0,IF(SUMPRODUCT(($Q$11:Q864=Q865)*($R$11:R864=1))&gt;0,1,0))</f>
        <v/>
      </c>
    </row>
    <row r="866">
      <c r="Q866">
        <f>A866&amp;"|"&amp;B866&amp;"|"&amp;C866&amp;"|"&amp;D866&amp;"|"&amp;E866&amp;"|"&amp;F866&amp;"|"&amp;G866&amp;"|"&amp;H866&amp;"|"&amp;I866&amp;"|"&amp;J866&amp;"|"&amp;K866&amp;"|"&amp;L866&amp;"|"&amp;M866&amp;"|"&amp;N866&amp;"|"&amp;O866</f>
        <v/>
      </c>
      <c r="R866">
        <f>IF(Q866=REPT("|",14),0,1)</f>
        <v/>
      </c>
      <c r="S866">
        <f>IF(R866=0,0,IF(SUMPRODUCT(($Q$11:Q865=Q866)*($R$11:R865=1))&gt;0,1,0))</f>
        <v/>
      </c>
    </row>
    <row r="867">
      <c r="Q867">
        <f>A867&amp;"|"&amp;B867&amp;"|"&amp;C867&amp;"|"&amp;D867&amp;"|"&amp;E867&amp;"|"&amp;F867&amp;"|"&amp;G867&amp;"|"&amp;H867&amp;"|"&amp;I867&amp;"|"&amp;J867&amp;"|"&amp;K867&amp;"|"&amp;L867&amp;"|"&amp;M867&amp;"|"&amp;N867&amp;"|"&amp;O867</f>
        <v/>
      </c>
      <c r="R867">
        <f>IF(Q867=REPT("|",14),0,1)</f>
        <v/>
      </c>
      <c r="S867">
        <f>IF(R867=0,0,IF(SUMPRODUCT(($Q$11:Q866=Q867)*($R$11:R866=1))&gt;0,1,0))</f>
        <v/>
      </c>
    </row>
    <row r="868">
      <c r="Q868">
        <f>A868&amp;"|"&amp;B868&amp;"|"&amp;C868&amp;"|"&amp;D868&amp;"|"&amp;E868&amp;"|"&amp;F868&amp;"|"&amp;G868&amp;"|"&amp;H868&amp;"|"&amp;I868&amp;"|"&amp;J868&amp;"|"&amp;K868&amp;"|"&amp;L868&amp;"|"&amp;M868&amp;"|"&amp;N868&amp;"|"&amp;O868</f>
        <v/>
      </c>
      <c r="R868">
        <f>IF(Q868=REPT("|",14),0,1)</f>
        <v/>
      </c>
      <c r="S868">
        <f>IF(R868=0,0,IF(SUMPRODUCT(($Q$11:Q867=Q868)*($R$11:R867=1))&gt;0,1,0))</f>
        <v/>
      </c>
    </row>
    <row r="869">
      <c r="Q869">
        <f>A869&amp;"|"&amp;B869&amp;"|"&amp;C869&amp;"|"&amp;D869&amp;"|"&amp;E869&amp;"|"&amp;F869&amp;"|"&amp;G869&amp;"|"&amp;H869&amp;"|"&amp;I869&amp;"|"&amp;J869&amp;"|"&amp;K869&amp;"|"&amp;L869&amp;"|"&amp;M869&amp;"|"&amp;N869&amp;"|"&amp;O869</f>
        <v/>
      </c>
      <c r="R869">
        <f>IF(Q869=REPT("|",14),0,1)</f>
        <v/>
      </c>
      <c r="S869">
        <f>IF(R869=0,0,IF(SUMPRODUCT(($Q$11:Q868=Q869)*($R$11:R868=1))&gt;0,1,0))</f>
        <v/>
      </c>
    </row>
    <row r="870">
      <c r="Q870">
        <f>A870&amp;"|"&amp;B870&amp;"|"&amp;C870&amp;"|"&amp;D870&amp;"|"&amp;E870&amp;"|"&amp;F870&amp;"|"&amp;G870&amp;"|"&amp;H870&amp;"|"&amp;I870&amp;"|"&amp;J870&amp;"|"&amp;K870&amp;"|"&amp;L870&amp;"|"&amp;M870&amp;"|"&amp;N870&amp;"|"&amp;O870</f>
        <v/>
      </c>
      <c r="R870">
        <f>IF(Q870=REPT("|",14),0,1)</f>
        <v/>
      </c>
      <c r="S870">
        <f>IF(R870=0,0,IF(SUMPRODUCT(($Q$11:Q869=Q870)*($R$11:R869=1))&gt;0,1,0))</f>
        <v/>
      </c>
    </row>
    <row r="871">
      <c r="Q871">
        <f>A871&amp;"|"&amp;B871&amp;"|"&amp;C871&amp;"|"&amp;D871&amp;"|"&amp;E871&amp;"|"&amp;F871&amp;"|"&amp;G871&amp;"|"&amp;H871&amp;"|"&amp;I871&amp;"|"&amp;J871&amp;"|"&amp;K871&amp;"|"&amp;L871&amp;"|"&amp;M871&amp;"|"&amp;N871&amp;"|"&amp;O871</f>
        <v/>
      </c>
      <c r="R871">
        <f>IF(Q871=REPT("|",14),0,1)</f>
        <v/>
      </c>
      <c r="S871">
        <f>IF(R871=0,0,IF(SUMPRODUCT(($Q$11:Q870=Q871)*($R$11:R870=1))&gt;0,1,0))</f>
        <v/>
      </c>
    </row>
    <row r="872">
      <c r="Q872">
        <f>A872&amp;"|"&amp;B872&amp;"|"&amp;C872&amp;"|"&amp;D872&amp;"|"&amp;E872&amp;"|"&amp;F872&amp;"|"&amp;G872&amp;"|"&amp;H872&amp;"|"&amp;I872&amp;"|"&amp;J872&amp;"|"&amp;K872&amp;"|"&amp;L872&amp;"|"&amp;M872&amp;"|"&amp;N872&amp;"|"&amp;O872</f>
        <v/>
      </c>
      <c r="R872">
        <f>IF(Q872=REPT("|",14),0,1)</f>
        <v/>
      </c>
      <c r="S872">
        <f>IF(R872=0,0,IF(SUMPRODUCT(($Q$11:Q871=Q872)*($R$11:R871=1))&gt;0,1,0))</f>
        <v/>
      </c>
    </row>
    <row r="873">
      <c r="Q873">
        <f>A873&amp;"|"&amp;B873&amp;"|"&amp;C873&amp;"|"&amp;D873&amp;"|"&amp;E873&amp;"|"&amp;F873&amp;"|"&amp;G873&amp;"|"&amp;H873&amp;"|"&amp;I873&amp;"|"&amp;J873&amp;"|"&amp;K873&amp;"|"&amp;L873&amp;"|"&amp;M873&amp;"|"&amp;N873&amp;"|"&amp;O873</f>
        <v/>
      </c>
      <c r="R873">
        <f>IF(Q873=REPT("|",14),0,1)</f>
        <v/>
      </c>
      <c r="S873">
        <f>IF(R873=0,0,IF(SUMPRODUCT(($Q$11:Q872=Q873)*($R$11:R872=1))&gt;0,1,0))</f>
        <v/>
      </c>
    </row>
    <row r="874">
      <c r="Q874">
        <f>A874&amp;"|"&amp;B874&amp;"|"&amp;C874&amp;"|"&amp;D874&amp;"|"&amp;E874&amp;"|"&amp;F874&amp;"|"&amp;G874&amp;"|"&amp;H874&amp;"|"&amp;I874&amp;"|"&amp;J874&amp;"|"&amp;K874&amp;"|"&amp;L874&amp;"|"&amp;M874&amp;"|"&amp;N874&amp;"|"&amp;O874</f>
        <v/>
      </c>
      <c r="R874">
        <f>IF(Q874=REPT("|",14),0,1)</f>
        <v/>
      </c>
      <c r="S874">
        <f>IF(R874=0,0,IF(SUMPRODUCT(($Q$11:Q873=Q874)*($R$11:R873=1))&gt;0,1,0))</f>
        <v/>
      </c>
    </row>
    <row r="875">
      <c r="Q875">
        <f>A875&amp;"|"&amp;B875&amp;"|"&amp;C875&amp;"|"&amp;D875&amp;"|"&amp;E875&amp;"|"&amp;F875&amp;"|"&amp;G875&amp;"|"&amp;H875&amp;"|"&amp;I875&amp;"|"&amp;J875&amp;"|"&amp;K875&amp;"|"&amp;L875&amp;"|"&amp;M875&amp;"|"&amp;N875&amp;"|"&amp;O875</f>
        <v/>
      </c>
      <c r="R875">
        <f>IF(Q875=REPT("|",14),0,1)</f>
        <v/>
      </c>
      <c r="S875">
        <f>IF(R875=0,0,IF(SUMPRODUCT(($Q$11:Q874=Q875)*($R$11:R874=1))&gt;0,1,0))</f>
        <v/>
      </c>
    </row>
    <row r="876">
      <c r="Q876">
        <f>A876&amp;"|"&amp;B876&amp;"|"&amp;C876&amp;"|"&amp;D876&amp;"|"&amp;E876&amp;"|"&amp;F876&amp;"|"&amp;G876&amp;"|"&amp;H876&amp;"|"&amp;I876&amp;"|"&amp;J876&amp;"|"&amp;K876&amp;"|"&amp;L876&amp;"|"&amp;M876&amp;"|"&amp;N876&amp;"|"&amp;O876</f>
        <v/>
      </c>
      <c r="R876">
        <f>IF(Q876=REPT("|",14),0,1)</f>
        <v/>
      </c>
      <c r="S876">
        <f>IF(R876=0,0,IF(SUMPRODUCT(($Q$11:Q875=Q876)*($R$11:R875=1))&gt;0,1,0))</f>
        <v/>
      </c>
    </row>
    <row r="877">
      <c r="Q877">
        <f>A877&amp;"|"&amp;B877&amp;"|"&amp;C877&amp;"|"&amp;D877&amp;"|"&amp;E877&amp;"|"&amp;F877&amp;"|"&amp;G877&amp;"|"&amp;H877&amp;"|"&amp;I877&amp;"|"&amp;J877&amp;"|"&amp;K877&amp;"|"&amp;L877&amp;"|"&amp;M877&amp;"|"&amp;N877&amp;"|"&amp;O877</f>
        <v/>
      </c>
      <c r="R877">
        <f>IF(Q877=REPT("|",14),0,1)</f>
        <v/>
      </c>
      <c r="S877">
        <f>IF(R877=0,0,IF(SUMPRODUCT(($Q$11:Q876=Q877)*($R$11:R876=1))&gt;0,1,0))</f>
        <v/>
      </c>
    </row>
    <row r="878">
      <c r="Q878">
        <f>A878&amp;"|"&amp;B878&amp;"|"&amp;C878&amp;"|"&amp;D878&amp;"|"&amp;E878&amp;"|"&amp;F878&amp;"|"&amp;G878&amp;"|"&amp;H878&amp;"|"&amp;I878&amp;"|"&amp;J878&amp;"|"&amp;K878&amp;"|"&amp;L878&amp;"|"&amp;M878&amp;"|"&amp;N878&amp;"|"&amp;O878</f>
        <v/>
      </c>
      <c r="R878">
        <f>IF(Q878=REPT("|",14),0,1)</f>
        <v/>
      </c>
      <c r="S878">
        <f>IF(R878=0,0,IF(SUMPRODUCT(($Q$11:Q877=Q878)*($R$11:R877=1))&gt;0,1,0))</f>
        <v/>
      </c>
    </row>
    <row r="879">
      <c r="Q879">
        <f>A879&amp;"|"&amp;B879&amp;"|"&amp;C879&amp;"|"&amp;D879&amp;"|"&amp;E879&amp;"|"&amp;F879&amp;"|"&amp;G879&amp;"|"&amp;H879&amp;"|"&amp;I879&amp;"|"&amp;J879&amp;"|"&amp;K879&amp;"|"&amp;L879&amp;"|"&amp;M879&amp;"|"&amp;N879&amp;"|"&amp;O879</f>
        <v/>
      </c>
      <c r="R879">
        <f>IF(Q879=REPT("|",14),0,1)</f>
        <v/>
      </c>
      <c r="S879">
        <f>IF(R879=0,0,IF(SUMPRODUCT(($Q$11:Q878=Q879)*($R$11:R878=1))&gt;0,1,0))</f>
        <v/>
      </c>
    </row>
    <row r="880">
      <c r="Q880">
        <f>A880&amp;"|"&amp;B880&amp;"|"&amp;C880&amp;"|"&amp;D880&amp;"|"&amp;E880&amp;"|"&amp;F880&amp;"|"&amp;G880&amp;"|"&amp;H880&amp;"|"&amp;I880&amp;"|"&amp;J880&amp;"|"&amp;K880&amp;"|"&amp;L880&amp;"|"&amp;M880&amp;"|"&amp;N880&amp;"|"&amp;O880</f>
        <v/>
      </c>
      <c r="R880">
        <f>IF(Q880=REPT("|",14),0,1)</f>
        <v/>
      </c>
      <c r="S880">
        <f>IF(R880=0,0,IF(SUMPRODUCT(($Q$11:Q879=Q880)*($R$11:R879=1))&gt;0,1,0))</f>
        <v/>
      </c>
    </row>
    <row r="881">
      <c r="Q881">
        <f>A881&amp;"|"&amp;B881&amp;"|"&amp;C881&amp;"|"&amp;D881&amp;"|"&amp;E881&amp;"|"&amp;F881&amp;"|"&amp;G881&amp;"|"&amp;H881&amp;"|"&amp;I881&amp;"|"&amp;J881&amp;"|"&amp;K881&amp;"|"&amp;L881&amp;"|"&amp;M881&amp;"|"&amp;N881&amp;"|"&amp;O881</f>
        <v/>
      </c>
      <c r="R881">
        <f>IF(Q881=REPT("|",14),0,1)</f>
        <v/>
      </c>
      <c r="S881">
        <f>IF(R881=0,0,IF(SUMPRODUCT(($Q$11:Q880=Q881)*($R$11:R880=1))&gt;0,1,0))</f>
        <v/>
      </c>
    </row>
    <row r="882">
      <c r="Q882">
        <f>A882&amp;"|"&amp;B882&amp;"|"&amp;C882&amp;"|"&amp;D882&amp;"|"&amp;E882&amp;"|"&amp;F882&amp;"|"&amp;G882&amp;"|"&amp;H882&amp;"|"&amp;I882&amp;"|"&amp;J882&amp;"|"&amp;K882&amp;"|"&amp;L882&amp;"|"&amp;M882&amp;"|"&amp;N882&amp;"|"&amp;O882</f>
        <v/>
      </c>
      <c r="R882">
        <f>IF(Q882=REPT("|",14),0,1)</f>
        <v/>
      </c>
      <c r="S882">
        <f>IF(R882=0,0,IF(SUMPRODUCT(($Q$11:Q881=Q882)*($R$11:R881=1))&gt;0,1,0))</f>
        <v/>
      </c>
    </row>
    <row r="883">
      <c r="Q883">
        <f>A883&amp;"|"&amp;B883&amp;"|"&amp;C883&amp;"|"&amp;D883&amp;"|"&amp;E883&amp;"|"&amp;F883&amp;"|"&amp;G883&amp;"|"&amp;H883&amp;"|"&amp;I883&amp;"|"&amp;J883&amp;"|"&amp;K883&amp;"|"&amp;L883&amp;"|"&amp;M883&amp;"|"&amp;N883&amp;"|"&amp;O883</f>
        <v/>
      </c>
      <c r="R883">
        <f>IF(Q883=REPT("|",14),0,1)</f>
        <v/>
      </c>
      <c r="S883">
        <f>IF(R883=0,0,IF(SUMPRODUCT(($Q$11:Q882=Q883)*($R$11:R882=1))&gt;0,1,0))</f>
        <v/>
      </c>
    </row>
    <row r="884">
      <c r="Q884">
        <f>A884&amp;"|"&amp;B884&amp;"|"&amp;C884&amp;"|"&amp;D884&amp;"|"&amp;E884&amp;"|"&amp;F884&amp;"|"&amp;G884&amp;"|"&amp;H884&amp;"|"&amp;I884&amp;"|"&amp;J884&amp;"|"&amp;K884&amp;"|"&amp;L884&amp;"|"&amp;M884&amp;"|"&amp;N884&amp;"|"&amp;O884</f>
        <v/>
      </c>
      <c r="R884">
        <f>IF(Q884=REPT("|",14),0,1)</f>
        <v/>
      </c>
      <c r="S884">
        <f>IF(R884=0,0,IF(SUMPRODUCT(($Q$11:Q883=Q884)*($R$11:R883=1))&gt;0,1,0))</f>
        <v/>
      </c>
    </row>
    <row r="885">
      <c r="Q885">
        <f>A885&amp;"|"&amp;B885&amp;"|"&amp;C885&amp;"|"&amp;D885&amp;"|"&amp;E885&amp;"|"&amp;F885&amp;"|"&amp;G885&amp;"|"&amp;H885&amp;"|"&amp;I885&amp;"|"&amp;J885&amp;"|"&amp;K885&amp;"|"&amp;L885&amp;"|"&amp;M885&amp;"|"&amp;N885&amp;"|"&amp;O885</f>
        <v/>
      </c>
      <c r="R885">
        <f>IF(Q885=REPT("|",14),0,1)</f>
        <v/>
      </c>
      <c r="S885">
        <f>IF(R885=0,0,IF(SUMPRODUCT(($Q$11:Q884=Q885)*($R$11:R884=1))&gt;0,1,0))</f>
        <v/>
      </c>
    </row>
    <row r="886">
      <c r="Q886">
        <f>A886&amp;"|"&amp;B886&amp;"|"&amp;C886&amp;"|"&amp;D886&amp;"|"&amp;E886&amp;"|"&amp;F886&amp;"|"&amp;G886&amp;"|"&amp;H886&amp;"|"&amp;I886&amp;"|"&amp;J886&amp;"|"&amp;K886&amp;"|"&amp;L886&amp;"|"&amp;M886&amp;"|"&amp;N886&amp;"|"&amp;O886</f>
        <v/>
      </c>
      <c r="R886">
        <f>IF(Q886=REPT("|",14),0,1)</f>
        <v/>
      </c>
      <c r="S886">
        <f>IF(R886=0,0,IF(SUMPRODUCT(($Q$11:Q885=Q886)*($R$11:R885=1))&gt;0,1,0))</f>
        <v/>
      </c>
    </row>
    <row r="887">
      <c r="Q887">
        <f>A887&amp;"|"&amp;B887&amp;"|"&amp;C887&amp;"|"&amp;D887&amp;"|"&amp;E887&amp;"|"&amp;F887&amp;"|"&amp;G887&amp;"|"&amp;H887&amp;"|"&amp;I887&amp;"|"&amp;J887&amp;"|"&amp;K887&amp;"|"&amp;L887&amp;"|"&amp;M887&amp;"|"&amp;N887&amp;"|"&amp;O887</f>
        <v/>
      </c>
      <c r="R887">
        <f>IF(Q887=REPT("|",14),0,1)</f>
        <v/>
      </c>
      <c r="S887">
        <f>IF(R887=0,0,IF(SUMPRODUCT(($Q$11:Q886=Q887)*($R$11:R886=1))&gt;0,1,0))</f>
        <v/>
      </c>
    </row>
    <row r="888">
      <c r="Q888">
        <f>A888&amp;"|"&amp;B888&amp;"|"&amp;C888&amp;"|"&amp;D888&amp;"|"&amp;E888&amp;"|"&amp;F888&amp;"|"&amp;G888&amp;"|"&amp;H888&amp;"|"&amp;I888&amp;"|"&amp;J888&amp;"|"&amp;K888&amp;"|"&amp;L888&amp;"|"&amp;M888&amp;"|"&amp;N888&amp;"|"&amp;O888</f>
        <v/>
      </c>
      <c r="R888">
        <f>IF(Q888=REPT("|",14),0,1)</f>
        <v/>
      </c>
      <c r="S888">
        <f>IF(R888=0,0,IF(SUMPRODUCT(($Q$11:Q887=Q888)*($R$11:R887=1))&gt;0,1,0))</f>
        <v/>
      </c>
    </row>
    <row r="889">
      <c r="Q889">
        <f>A889&amp;"|"&amp;B889&amp;"|"&amp;C889&amp;"|"&amp;D889&amp;"|"&amp;E889&amp;"|"&amp;F889&amp;"|"&amp;G889&amp;"|"&amp;H889&amp;"|"&amp;I889&amp;"|"&amp;J889&amp;"|"&amp;K889&amp;"|"&amp;L889&amp;"|"&amp;M889&amp;"|"&amp;N889&amp;"|"&amp;O889</f>
        <v/>
      </c>
      <c r="R889">
        <f>IF(Q889=REPT("|",14),0,1)</f>
        <v/>
      </c>
      <c r="S889">
        <f>IF(R889=0,0,IF(SUMPRODUCT(($Q$11:Q888=Q889)*($R$11:R888=1))&gt;0,1,0))</f>
        <v/>
      </c>
    </row>
    <row r="890">
      <c r="Q890">
        <f>A890&amp;"|"&amp;B890&amp;"|"&amp;C890&amp;"|"&amp;D890&amp;"|"&amp;E890&amp;"|"&amp;F890&amp;"|"&amp;G890&amp;"|"&amp;H890&amp;"|"&amp;I890&amp;"|"&amp;J890&amp;"|"&amp;K890&amp;"|"&amp;L890&amp;"|"&amp;M890&amp;"|"&amp;N890&amp;"|"&amp;O890</f>
        <v/>
      </c>
      <c r="R890">
        <f>IF(Q890=REPT("|",14),0,1)</f>
        <v/>
      </c>
      <c r="S890">
        <f>IF(R890=0,0,IF(SUMPRODUCT(($Q$11:Q889=Q890)*($R$11:R889=1))&gt;0,1,0))</f>
        <v/>
      </c>
    </row>
    <row r="891">
      <c r="Q891">
        <f>A891&amp;"|"&amp;B891&amp;"|"&amp;C891&amp;"|"&amp;D891&amp;"|"&amp;E891&amp;"|"&amp;F891&amp;"|"&amp;G891&amp;"|"&amp;H891&amp;"|"&amp;I891&amp;"|"&amp;J891&amp;"|"&amp;K891&amp;"|"&amp;L891&amp;"|"&amp;M891&amp;"|"&amp;N891&amp;"|"&amp;O891</f>
        <v/>
      </c>
      <c r="R891">
        <f>IF(Q891=REPT("|",14),0,1)</f>
        <v/>
      </c>
      <c r="S891">
        <f>IF(R891=0,0,IF(SUMPRODUCT(($Q$11:Q890=Q891)*($R$11:R890=1))&gt;0,1,0))</f>
        <v/>
      </c>
    </row>
    <row r="892">
      <c r="Q892">
        <f>A892&amp;"|"&amp;B892&amp;"|"&amp;C892&amp;"|"&amp;D892&amp;"|"&amp;E892&amp;"|"&amp;F892&amp;"|"&amp;G892&amp;"|"&amp;H892&amp;"|"&amp;I892&amp;"|"&amp;J892&amp;"|"&amp;K892&amp;"|"&amp;L892&amp;"|"&amp;M892&amp;"|"&amp;N892&amp;"|"&amp;O892</f>
        <v/>
      </c>
      <c r="R892">
        <f>IF(Q892=REPT("|",14),0,1)</f>
        <v/>
      </c>
      <c r="S892">
        <f>IF(R892=0,0,IF(SUMPRODUCT(($Q$11:Q891=Q892)*($R$11:R891=1))&gt;0,1,0))</f>
        <v/>
      </c>
    </row>
    <row r="893">
      <c r="Q893">
        <f>A893&amp;"|"&amp;B893&amp;"|"&amp;C893&amp;"|"&amp;D893&amp;"|"&amp;E893&amp;"|"&amp;F893&amp;"|"&amp;G893&amp;"|"&amp;H893&amp;"|"&amp;I893&amp;"|"&amp;J893&amp;"|"&amp;K893&amp;"|"&amp;L893&amp;"|"&amp;M893&amp;"|"&amp;N893&amp;"|"&amp;O893</f>
        <v/>
      </c>
      <c r="R893">
        <f>IF(Q893=REPT("|",14),0,1)</f>
        <v/>
      </c>
      <c r="S893">
        <f>IF(R893=0,0,IF(SUMPRODUCT(($Q$11:Q892=Q893)*($R$11:R892=1))&gt;0,1,0))</f>
        <v/>
      </c>
    </row>
    <row r="894">
      <c r="Q894">
        <f>A894&amp;"|"&amp;B894&amp;"|"&amp;C894&amp;"|"&amp;D894&amp;"|"&amp;E894&amp;"|"&amp;F894&amp;"|"&amp;G894&amp;"|"&amp;H894&amp;"|"&amp;I894&amp;"|"&amp;J894&amp;"|"&amp;K894&amp;"|"&amp;L894&amp;"|"&amp;M894&amp;"|"&amp;N894&amp;"|"&amp;O894</f>
        <v/>
      </c>
      <c r="R894">
        <f>IF(Q894=REPT("|",14),0,1)</f>
        <v/>
      </c>
      <c r="S894">
        <f>IF(R894=0,0,IF(SUMPRODUCT(($Q$11:Q893=Q894)*($R$11:R893=1))&gt;0,1,0))</f>
        <v/>
      </c>
    </row>
    <row r="895">
      <c r="Q895">
        <f>A895&amp;"|"&amp;B895&amp;"|"&amp;C895&amp;"|"&amp;D895&amp;"|"&amp;E895&amp;"|"&amp;F895&amp;"|"&amp;G895&amp;"|"&amp;H895&amp;"|"&amp;I895&amp;"|"&amp;J895&amp;"|"&amp;K895&amp;"|"&amp;L895&amp;"|"&amp;M895&amp;"|"&amp;N895&amp;"|"&amp;O895</f>
        <v/>
      </c>
      <c r="R895">
        <f>IF(Q895=REPT("|",14),0,1)</f>
        <v/>
      </c>
      <c r="S895">
        <f>IF(R895=0,0,IF(SUMPRODUCT(($Q$11:Q894=Q895)*($R$11:R894=1))&gt;0,1,0))</f>
        <v/>
      </c>
    </row>
    <row r="896">
      <c r="Q896">
        <f>A896&amp;"|"&amp;B896&amp;"|"&amp;C896&amp;"|"&amp;D896&amp;"|"&amp;E896&amp;"|"&amp;F896&amp;"|"&amp;G896&amp;"|"&amp;H896&amp;"|"&amp;I896&amp;"|"&amp;J896&amp;"|"&amp;K896&amp;"|"&amp;L896&amp;"|"&amp;M896&amp;"|"&amp;N896&amp;"|"&amp;O896</f>
        <v/>
      </c>
      <c r="R896">
        <f>IF(Q896=REPT("|",14),0,1)</f>
        <v/>
      </c>
      <c r="S896">
        <f>IF(R896=0,0,IF(SUMPRODUCT(($Q$11:Q895=Q896)*($R$11:R895=1))&gt;0,1,0))</f>
        <v/>
      </c>
    </row>
    <row r="897">
      <c r="Q897">
        <f>A897&amp;"|"&amp;B897&amp;"|"&amp;C897&amp;"|"&amp;D897&amp;"|"&amp;E897&amp;"|"&amp;F897&amp;"|"&amp;G897&amp;"|"&amp;H897&amp;"|"&amp;I897&amp;"|"&amp;J897&amp;"|"&amp;K897&amp;"|"&amp;L897&amp;"|"&amp;M897&amp;"|"&amp;N897&amp;"|"&amp;O897</f>
        <v/>
      </c>
      <c r="R897">
        <f>IF(Q897=REPT("|",14),0,1)</f>
        <v/>
      </c>
      <c r="S897">
        <f>IF(R897=0,0,IF(SUMPRODUCT(($Q$11:Q896=Q897)*($R$11:R896=1))&gt;0,1,0))</f>
        <v/>
      </c>
    </row>
    <row r="898">
      <c r="Q898">
        <f>A898&amp;"|"&amp;B898&amp;"|"&amp;C898&amp;"|"&amp;D898&amp;"|"&amp;E898&amp;"|"&amp;F898&amp;"|"&amp;G898&amp;"|"&amp;H898&amp;"|"&amp;I898&amp;"|"&amp;J898&amp;"|"&amp;K898&amp;"|"&amp;L898&amp;"|"&amp;M898&amp;"|"&amp;N898&amp;"|"&amp;O898</f>
        <v/>
      </c>
      <c r="R898">
        <f>IF(Q898=REPT("|",14),0,1)</f>
        <v/>
      </c>
      <c r="S898">
        <f>IF(R898=0,0,IF(SUMPRODUCT(($Q$11:Q897=Q898)*($R$11:R897=1))&gt;0,1,0))</f>
        <v/>
      </c>
    </row>
    <row r="899">
      <c r="Q899">
        <f>A899&amp;"|"&amp;B899&amp;"|"&amp;C899&amp;"|"&amp;D899&amp;"|"&amp;E899&amp;"|"&amp;F899&amp;"|"&amp;G899&amp;"|"&amp;H899&amp;"|"&amp;I899&amp;"|"&amp;J899&amp;"|"&amp;K899&amp;"|"&amp;L899&amp;"|"&amp;M899&amp;"|"&amp;N899&amp;"|"&amp;O899</f>
        <v/>
      </c>
      <c r="R899">
        <f>IF(Q899=REPT("|",14),0,1)</f>
        <v/>
      </c>
      <c r="S899">
        <f>IF(R899=0,0,IF(SUMPRODUCT(($Q$11:Q898=Q899)*($R$11:R898=1))&gt;0,1,0))</f>
        <v/>
      </c>
    </row>
    <row r="900">
      <c r="Q900">
        <f>A900&amp;"|"&amp;B900&amp;"|"&amp;C900&amp;"|"&amp;D900&amp;"|"&amp;E900&amp;"|"&amp;F900&amp;"|"&amp;G900&amp;"|"&amp;H900&amp;"|"&amp;I900&amp;"|"&amp;J900&amp;"|"&amp;K900&amp;"|"&amp;L900&amp;"|"&amp;M900&amp;"|"&amp;N900&amp;"|"&amp;O900</f>
        <v/>
      </c>
      <c r="R900">
        <f>IF(Q900=REPT("|",14),0,1)</f>
        <v/>
      </c>
      <c r="S900">
        <f>IF(R900=0,0,IF(SUMPRODUCT(($Q$11:Q899=Q900)*($R$11:R899=1))&gt;0,1,0))</f>
        <v/>
      </c>
    </row>
    <row r="901">
      <c r="Q901">
        <f>A901&amp;"|"&amp;B901&amp;"|"&amp;C901&amp;"|"&amp;D901&amp;"|"&amp;E901&amp;"|"&amp;F901&amp;"|"&amp;G901&amp;"|"&amp;H901&amp;"|"&amp;I901&amp;"|"&amp;J901&amp;"|"&amp;K901&amp;"|"&amp;L901&amp;"|"&amp;M901&amp;"|"&amp;N901&amp;"|"&amp;O901</f>
        <v/>
      </c>
      <c r="R901">
        <f>IF(Q901=REPT("|",14),0,1)</f>
        <v/>
      </c>
      <c r="S901">
        <f>IF(R901=0,0,IF(SUMPRODUCT(($Q$11:Q900=Q901)*($R$11:R900=1))&gt;0,1,0))</f>
        <v/>
      </c>
    </row>
    <row r="902">
      <c r="Q902">
        <f>A902&amp;"|"&amp;B902&amp;"|"&amp;C902&amp;"|"&amp;D902&amp;"|"&amp;E902&amp;"|"&amp;F902&amp;"|"&amp;G902&amp;"|"&amp;H902&amp;"|"&amp;I902&amp;"|"&amp;J902&amp;"|"&amp;K902&amp;"|"&amp;L902&amp;"|"&amp;M902&amp;"|"&amp;N902&amp;"|"&amp;O902</f>
        <v/>
      </c>
      <c r="R902">
        <f>IF(Q902=REPT("|",14),0,1)</f>
        <v/>
      </c>
      <c r="S902">
        <f>IF(R902=0,0,IF(SUMPRODUCT(($Q$11:Q901=Q902)*($R$11:R901=1))&gt;0,1,0))</f>
        <v/>
      </c>
    </row>
    <row r="903">
      <c r="Q903">
        <f>A903&amp;"|"&amp;B903&amp;"|"&amp;C903&amp;"|"&amp;D903&amp;"|"&amp;E903&amp;"|"&amp;F903&amp;"|"&amp;G903&amp;"|"&amp;H903&amp;"|"&amp;I903&amp;"|"&amp;J903&amp;"|"&amp;K903&amp;"|"&amp;L903&amp;"|"&amp;M903&amp;"|"&amp;N903&amp;"|"&amp;O903</f>
        <v/>
      </c>
      <c r="R903">
        <f>IF(Q903=REPT("|",14),0,1)</f>
        <v/>
      </c>
      <c r="S903">
        <f>IF(R903=0,0,IF(SUMPRODUCT(($Q$11:Q902=Q903)*($R$11:R902=1))&gt;0,1,0))</f>
        <v/>
      </c>
    </row>
    <row r="904">
      <c r="Q904">
        <f>A904&amp;"|"&amp;B904&amp;"|"&amp;C904&amp;"|"&amp;D904&amp;"|"&amp;E904&amp;"|"&amp;F904&amp;"|"&amp;G904&amp;"|"&amp;H904&amp;"|"&amp;I904&amp;"|"&amp;J904&amp;"|"&amp;K904&amp;"|"&amp;L904&amp;"|"&amp;M904&amp;"|"&amp;N904&amp;"|"&amp;O904</f>
        <v/>
      </c>
      <c r="R904">
        <f>IF(Q904=REPT("|",14),0,1)</f>
        <v/>
      </c>
      <c r="S904">
        <f>IF(R904=0,0,IF(SUMPRODUCT(($Q$11:Q903=Q904)*($R$11:R903=1))&gt;0,1,0))</f>
        <v/>
      </c>
    </row>
    <row r="905">
      <c r="Q905">
        <f>A905&amp;"|"&amp;B905&amp;"|"&amp;C905&amp;"|"&amp;D905&amp;"|"&amp;E905&amp;"|"&amp;F905&amp;"|"&amp;G905&amp;"|"&amp;H905&amp;"|"&amp;I905&amp;"|"&amp;J905&amp;"|"&amp;K905&amp;"|"&amp;L905&amp;"|"&amp;M905&amp;"|"&amp;N905&amp;"|"&amp;O905</f>
        <v/>
      </c>
      <c r="R905">
        <f>IF(Q905=REPT("|",14),0,1)</f>
        <v/>
      </c>
      <c r="S905">
        <f>IF(R905=0,0,IF(SUMPRODUCT(($Q$11:Q904=Q905)*($R$11:R904=1))&gt;0,1,0))</f>
        <v/>
      </c>
    </row>
    <row r="906">
      <c r="Q906">
        <f>A906&amp;"|"&amp;B906&amp;"|"&amp;C906&amp;"|"&amp;D906&amp;"|"&amp;E906&amp;"|"&amp;F906&amp;"|"&amp;G906&amp;"|"&amp;H906&amp;"|"&amp;I906&amp;"|"&amp;J906&amp;"|"&amp;K906&amp;"|"&amp;L906&amp;"|"&amp;M906&amp;"|"&amp;N906&amp;"|"&amp;O906</f>
        <v/>
      </c>
      <c r="R906">
        <f>IF(Q906=REPT("|",14),0,1)</f>
        <v/>
      </c>
      <c r="S906">
        <f>IF(R906=0,0,IF(SUMPRODUCT(($Q$11:Q905=Q906)*($R$11:R905=1))&gt;0,1,0))</f>
        <v/>
      </c>
    </row>
    <row r="907">
      <c r="Q907">
        <f>A907&amp;"|"&amp;B907&amp;"|"&amp;C907&amp;"|"&amp;D907&amp;"|"&amp;E907&amp;"|"&amp;F907&amp;"|"&amp;G907&amp;"|"&amp;H907&amp;"|"&amp;I907&amp;"|"&amp;J907&amp;"|"&amp;K907&amp;"|"&amp;L907&amp;"|"&amp;M907&amp;"|"&amp;N907&amp;"|"&amp;O907</f>
        <v/>
      </c>
      <c r="R907">
        <f>IF(Q907=REPT("|",14),0,1)</f>
        <v/>
      </c>
      <c r="S907">
        <f>IF(R907=0,0,IF(SUMPRODUCT(($Q$11:Q906=Q907)*($R$11:R906=1))&gt;0,1,0))</f>
        <v/>
      </c>
    </row>
    <row r="908">
      <c r="Q908">
        <f>A908&amp;"|"&amp;B908&amp;"|"&amp;C908&amp;"|"&amp;D908&amp;"|"&amp;E908&amp;"|"&amp;F908&amp;"|"&amp;G908&amp;"|"&amp;H908&amp;"|"&amp;I908&amp;"|"&amp;J908&amp;"|"&amp;K908&amp;"|"&amp;L908&amp;"|"&amp;M908&amp;"|"&amp;N908&amp;"|"&amp;O908</f>
        <v/>
      </c>
      <c r="R908">
        <f>IF(Q908=REPT("|",14),0,1)</f>
        <v/>
      </c>
      <c r="S908">
        <f>IF(R908=0,0,IF(SUMPRODUCT(($Q$11:Q907=Q908)*($R$11:R907=1))&gt;0,1,0))</f>
        <v/>
      </c>
    </row>
    <row r="909">
      <c r="Q909">
        <f>A909&amp;"|"&amp;B909&amp;"|"&amp;C909&amp;"|"&amp;D909&amp;"|"&amp;E909&amp;"|"&amp;F909&amp;"|"&amp;G909&amp;"|"&amp;H909&amp;"|"&amp;I909&amp;"|"&amp;J909&amp;"|"&amp;K909&amp;"|"&amp;L909&amp;"|"&amp;M909&amp;"|"&amp;N909&amp;"|"&amp;O909</f>
        <v/>
      </c>
      <c r="R909">
        <f>IF(Q909=REPT("|",14),0,1)</f>
        <v/>
      </c>
      <c r="S909">
        <f>IF(R909=0,0,IF(SUMPRODUCT(($Q$11:Q908=Q909)*($R$11:R908=1))&gt;0,1,0))</f>
        <v/>
      </c>
    </row>
    <row r="910">
      <c r="Q910">
        <f>A910&amp;"|"&amp;B910&amp;"|"&amp;C910&amp;"|"&amp;D910&amp;"|"&amp;E910&amp;"|"&amp;F910&amp;"|"&amp;G910&amp;"|"&amp;H910&amp;"|"&amp;I910&amp;"|"&amp;J910&amp;"|"&amp;K910&amp;"|"&amp;L910&amp;"|"&amp;M910&amp;"|"&amp;N910&amp;"|"&amp;O910</f>
        <v/>
      </c>
      <c r="R910">
        <f>IF(Q910=REPT("|",14),0,1)</f>
        <v/>
      </c>
      <c r="S910">
        <f>IF(R910=0,0,IF(SUMPRODUCT(($Q$11:Q909=Q910)*($R$11:R909=1))&gt;0,1,0))</f>
        <v/>
      </c>
    </row>
    <row r="911">
      <c r="Q911">
        <f>A911&amp;"|"&amp;B911&amp;"|"&amp;C911&amp;"|"&amp;D911&amp;"|"&amp;E911&amp;"|"&amp;F911&amp;"|"&amp;G911&amp;"|"&amp;H911&amp;"|"&amp;I911&amp;"|"&amp;J911&amp;"|"&amp;K911&amp;"|"&amp;L911&amp;"|"&amp;M911&amp;"|"&amp;N911&amp;"|"&amp;O911</f>
        <v/>
      </c>
      <c r="R911">
        <f>IF(Q911=REPT("|",14),0,1)</f>
        <v/>
      </c>
      <c r="S911">
        <f>IF(R911=0,0,IF(SUMPRODUCT(($Q$11:Q910=Q911)*($R$11:R910=1))&gt;0,1,0))</f>
        <v/>
      </c>
    </row>
    <row r="912">
      <c r="Q912">
        <f>A912&amp;"|"&amp;B912&amp;"|"&amp;C912&amp;"|"&amp;D912&amp;"|"&amp;E912&amp;"|"&amp;F912&amp;"|"&amp;G912&amp;"|"&amp;H912&amp;"|"&amp;I912&amp;"|"&amp;J912&amp;"|"&amp;K912&amp;"|"&amp;L912&amp;"|"&amp;M912&amp;"|"&amp;N912&amp;"|"&amp;O912</f>
        <v/>
      </c>
      <c r="R912">
        <f>IF(Q912=REPT("|",14),0,1)</f>
        <v/>
      </c>
      <c r="S912">
        <f>IF(R912=0,0,IF(SUMPRODUCT(($Q$11:Q911=Q912)*($R$11:R911=1))&gt;0,1,0))</f>
        <v/>
      </c>
    </row>
    <row r="913">
      <c r="Q913">
        <f>A913&amp;"|"&amp;B913&amp;"|"&amp;C913&amp;"|"&amp;D913&amp;"|"&amp;E913&amp;"|"&amp;F913&amp;"|"&amp;G913&amp;"|"&amp;H913&amp;"|"&amp;I913&amp;"|"&amp;J913&amp;"|"&amp;K913&amp;"|"&amp;L913&amp;"|"&amp;M913&amp;"|"&amp;N913&amp;"|"&amp;O913</f>
        <v/>
      </c>
      <c r="R913">
        <f>IF(Q913=REPT("|",14),0,1)</f>
        <v/>
      </c>
      <c r="S913">
        <f>IF(R913=0,0,IF(SUMPRODUCT(($Q$11:Q912=Q913)*($R$11:R912=1))&gt;0,1,0))</f>
        <v/>
      </c>
    </row>
    <row r="914">
      <c r="Q914">
        <f>A914&amp;"|"&amp;B914&amp;"|"&amp;C914&amp;"|"&amp;D914&amp;"|"&amp;E914&amp;"|"&amp;F914&amp;"|"&amp;G914&amp;"|"&amp;H914&amp;"|"&amp;I914&amp;"|"&amp;J914&amp;"|"&amp;K914&amp;"|"&amp;L914&amp;"|"&amp;M914&amp;"|"&amp;N914&amp;"|"&amp;O914</f>
        <v/>
      </c>
      <c r="R914">
        <f>IF(Q914=REPT("|",14),0,1)</f>
        <v/>
      </c>
      <c r="S914">
        <f>IF(R914=0,0,IF(SUMPRODUCT(($Q$11:Q913=Q914)*($R$11:R913=1))&gt;0,1,0))</f>
        <v/>
      </c>
    </row>
    <row r="915">
      <c r="Q915">
        <f>A915&amp;"|"&amp;B915&amp;"|"&amp;C915&amp;"|"&amp;D915&amp;"|"&amp;E915&amp;"|"&amp;F915&amp;"|"&amp;G915&amp;"|"&amp;H915&amp;"|"&amp;I915&amp;"|"&amp;J915&amp;"|"&amp;K915&amp;"|"&amp;L915&amp;"|"&amp;M915&amp;"|"&amp;N915&amp;"|"&amp;O915</f>
        <v/>
      </c>
      <c r="R915">
        <f>IF(Q915=REPT("|",14),0,1)</f>
        <v/>
      </c>
      <c r="S915">
        <f>IF(R915=0,0,IF(SUMPRODUCT(($Q$11:Q914=Q915)*($R$11:R914=1))&gt;0,1,0))</f>
        <v/>
      </c>
    </row>
    <row r="916">
      <c r="Q916">
        <f>A916&amp;"|"&amp;B916&amp;"|"&amp;C916&amp;"|"&amp;D916&amp;"|"&amp;E916&amp;"|"&amp;F916&amp;"|"&amp;G916&amp;"|"&amp;H916&amp;"|"&amp;I916&amp;"|"&amp;J916&amp;"|"&amp;K916&amp;"|"&amp;L916&amp;"|"&amp;M916&amp;"|"&amp;N916&amp;"|"&amp;O916</f>
        <v/>
      </c>
      <c r="R916">
        <f>IF(Q916=REPT("|",14),0,1)</f>
        <v/>
      </c>
      <c r="S916">
        <f>IF(R916=0,0,IF(SUMPRODUCT(($Q$11:Q915=Q916)*($R$11:R915=1))&gt;0,1,0))</f>
        <v/>
      </c>
    </row>
    <row r="917">
      <c r="Q917">
        <f>A917&amp;"|"&amp;B917&amp;"|"&amp;C917&amp;"|"&amp;D917&amp;"|"&amp;E917&amp;"|"&amp;F917&amp;"|"&amp;G917&amp;"|"&amp;H917&amp;"|"&amp;I917&amp;"|"&amp;J917&amp;"|"&amp;K917&amp;"|"&amp;L917&amp;"|"&amp;M917&amp;"|"&amp;N917&amp;"|"&amp;O917</f>
        <v/>
      </c>
      <c r="R917">
        <f>IF(Q917=REPT("|",14),0,1)</f>
        <v/>
      </c>
      <c r="S917">
        <f>IF(R917=0,0,IF(SUMPRODUCT(($Q$11:Q916=Q917)*($R$11:R916=1))&gt;0,1,0))</f>
        <v/>
      </c>
    </row>
    <row r="918">
      <c r="Q918">
        <f>A918&amp;"|"&amp;B918&amp;"|"&amp;C918&amp;"|"&amp;D918&amp;"|"&amp;E918&amp;"|"&amp;F918&amp;"|"&amp;G918&amp;"|"&amp;H918&amp;"|"&amp;I918&amp;"|"&amp;J918&amp;"|"&amp;K918&amp;"|"&amp;L918&amp;"|"&amp;M918&amp;"|"&amp;N918&amp;"|"&amp;O918</f>
        <v/>
      </c>
      <c r="R918">
        <f>IF(Q918=REPT("|",14),0,1)</f>
        <v/>
      </c>
      <c r="S918">
        <f>IF(R918=0,0,IF(SUMPRODUCT(($Q$11:Q917=Q918)*($R$11:R917=1))&gt;0,1,0))</f>
        <v/>
      </c>
    </row>
    <row r="919">
      <c r="Q919">
        <f>A919&amp;"|"&amp;B919&amp;"|"&amp;C919&amp;"|"&amp;D919&amp;"|"&amp;E919&amp;"|"&amp;F919&amp;"|"&amp;G919&amp;"|"&amp;H919&amp;"|"&amp;I919&amp;"|"&amp;J919&amp;"|"&amp;K919&amp;"|"&amp;L919&amp;"|"&amp;M919&amp;"|"&amp;N919&amp;"|"&amp;O919</f>
        <v/>
      </c>
      <c r="R919">
        <f>IF(Q919=REPT("|",14),0,1)</f>
        <v/>
      </c>
      <c r="S919">
        <f>IF(R919=0,0,IF(SUMPRODUCT(($Q$11:Q918=Q919)*($R$11:R918=1))&gt;0,1,0))</f>
        <v/>
      </c>
    </row>
    <row r="920">
      <c r="Q920">
        <f>A920&amp;"|"&amp;B920&amp;"|"&amp;C920&amp;"|"&amp;D920&amp;"|"&amp;E920&amp;"|"&amp;F920&amp;"|"&amp;G920&amp;"|"&amp;H920&amp;"|"&amp;I920&amp;"|"&amp;J920&amp;"|"&amp;K920&amp;"|"&amp;L920&amp;"|"&amp;M920&amp;"|"&amp;N920&amp;"|"&amp;O920</f>
        <v/>
      </c>
      <c r="R920">
        <f>IF(Q920=REPT("|",14),0,1)</f>
        <v/>
      </c>
      <c r="S920">
        <f>IF(R920=0,0,IF(SUMPRODUCT(($Q$11:Q919=Q920)*($R$11:R919=1))&gt;0,1,0))</f>
        <v/>
      </c>
    </row>
    <row r="921">
      <c r="Q921">
        <f>A921&amp;"|"&amp;B921&amp;"|"&amp;C921&amp;"|"&amp;D921&amp;"|"&amp;E921&amp;"|"&amp;F921&amp;"|"&amp;G921&amp;"|"&amp;H921&amp;"|"&amp;I921&amp;"|"&amp;J921&amp;"|"&amp;K921&amp;"|"&amp;L921&amp;"|"&amp;M921&amp;"|"&amp;N921&amp;"|"&amp;O921</f>
        <v/>
      </c>
      <c r="R921">
        <f>IF(Q921=REPT("|",14),0,1)</f>
        <v/>
      </c>
      <c r="S921">
        <f>IF(R921=0,0,IF(SUMPRODUCT(($Q$11:Q920=Q921)*($R$11:R920=1))&gt;0,1,0))</f>
        <v/>
      </c>
    </row>
    <row r="922">
      <c r="Q922">
        <f>A922&amp;"|"&amp;B922&amp;"|"&amp;C922&amp;"|"&amp;D922&amp;"|"&amp;E922&amp;"|"&amp;F922&amp;"|"&amp;G922&amp;"|"&amp;H922&amp;"|"&amp;I922&amp;"|"&amp;J922&amp;"|"&amp;K922&amp;"|"&amp;L922&amp;"|"&amp;M922&amp;"|"&amp;N922&amp;"|"&amp;O922</f>
        <v/>
      </c>
      <c r="R922">
        <f>IF(Q922=REPT("|",14),0,1)</f>
        <v/>
      </c>
      <c r="S922">
        <f>IF(R922=0,0,IF(SUMPRODUCT(($Q$11:Q921=Q922)*($R$11:R921=1))&gt;0,1,0))</f>
        <v/>
      </c>
    </row>
    <row r="923">
      <c r="Q923">
        <f>A923&amp;"|"&amp;B923&amp;"|"&amp;C923&amp;"|"&amp;D923&amp;"|"&amp;E923&amp;"|"&amp;F923&amp;"|"&amp;G923&amp;"|"&amp;H923&amp;"|"&amp;I923&amp;"|"&amp;J923&amp;"|"&amp;K923&amp;"|"&amp;L923&amp;"|"&amp;M923&amp;"|"&amp;N923&amp;"|"&amp;O923</f>
        <v/>
      </c>
      <c r="R923">
        <f>IF(Q923=REPT("|",14),0,1)</f>
        <v/>
      </c>
      <c r="S923">
        <f>IF(R923=0,0,IF(SUMPRODUCT(($Q$11:Q922=Q923)*($R$11:R922=1))&gt;0,1,0))</f>
        <v/>
      </c>
    </row>
    <row r="924">
      <c r="Q924">
        <f>A924&amp;"|"&amp;B924&amp;"|"&amp;C924&amp;"|"&amp;D924&amp;"|"&amp;E924&amp;"|"&amp;F924&amp;"|"&amp;G924&amp;"|"&amp;H924&amp;"|"&amp;I924&amp;"|"&amp;J924&amp;"|"&amp;K924&amp;"|"&amp;L924&amp;"|"&amp;M924&amp;"|"&amp;N924&amp;"|"&amp;O924</f>
        <v/>
      </c>
      <c r="R924">
        <f>IF(Q924=REPT("|",14),0,1)</f>
        <v/>
      </c>
      <c r="S924">
        <f>IF(R924=0,0,IF(SUMPRODUCT(($Q$11:Q923=Q924)*($R$11:R923=1))&gt;0,1,0))</f>
        <v/>
      </c>
    </row>
    <row r="925">
      <c r="Q925">
        <f>A925&amp;"|"&amp;B925&amp;"|"&amp;C925&amp;"|"&amp;D925&amp;"|"&amp;E925&amp;"|"&amp;F925&amp;"|"&amp;G925&amp;"|"&amp;H925&amp;"|"&amp;I925&amp;"|"&amp;J925&amp;"|"&amp;K925&amp;"|"&amp;L925&amp;"|"&amp;M925&amp;"|"&amp;N925&amp;"|"&amp;O925</f>
        <v/>
      </c>
      <c r="R925">
        <f>IF(Q925=REPT("|",14),0,1)</f>
        <v/>
      </c>
      <c r="S925">
        <f>IF(R925=0,0,IF(SUMPRODUCT(($Q$11:Q924=Q925)*($R$11:R924=1))&gt;0,1,0))</f>
        <v/>
      </c>
    </row>
    <row r="926">
      <c r="Q926">
        <f>A926&amp;"|"&amp;B926&amp;"|"&amp;C926&amp;"|"&amp;D926&amp;"|"&amp;E926&amp;"|"&amp;F926&amp;"|"&amp;G926&amp;"|"&amp;H926&amp;"|"&amp;I926&amp;"|"&amp;J926&amp;"|"&amp;K926&amp;"|"&amp;L926&amp;"|"&amp;M926&amp;"|"&amp;N926&amp;"|"&amp;O926</f>
        <v/>
      </c>
      <c r="R926">
        <f>IF(Q926=REPT("|",14),0,1)</f>
        <v/>
      </c>
      <c r="S926">
        <f>IF(R926=0,0,IF(SUMPRODUCT(($Q$11:Q925=Q926)*($R$11:R925=1))&gt;0,1,0))</f>
        <v/>
      </c>
    </row>
    <row r="927">
      <c r="Q927">
        <f>A927&amp;"|"&amp;B927&amp;"|"&amp;C927&amp;"|"&amp;D927&amp;"|"&amp;E927&amp;"|"&amp;F927&amp;"|"&amp;G927&amp;"|"&amp;H927&amp;"|"&amp;I927&amp;"|"&amp;J927&amp;"|"&amp;K927&amp;"|"&amp;L927&amp;"|"&amp;M927&amp;"|"&amp;N927&amp;"|"&amp;O927</f>
        <v/>
      </c>
      <c r="R927">
        <f>IF(Q927=REPT("|",14),0,1)</f>
        <v/>
      </c>
      <c r="S927">
        <f>IF(R927=0,0,IF(SUMPRODUCT(($Q$11:Q926=Q927)*($R$11:R926=1))&gt;0,1,0))</f>
        <v/>
      </c>
    </row>
    <row r="928">
      <c r="Q928">
        <f>A928&amp;"|"&amp;B928&amp;"|"&amp;C928&amp;"|"&amp;D928&amp;"|"&amp;E928&amp;"|"&amp;F928&amp;"|"&amp;G928&amp;"|"&amp;H928&amp;"|"&amp;I928&amp;"|"&amp;J928&amp;"|"&amp;K928&amp;"|"&amp;L928&amp;"|"&amp;M928&amp;"|"&amp;N928&amp;"|"&amp;O928</f>
        <v/>
      </c>
      <c r="R928">
        <f>IF(Q928=REPT("|",14),0,1)</f>
        <v/>
      </c>
      <c r="S928">
        <f>IF(R928=0,0,IF(SUMPRODUCT(($Q$11:Q927=Q928)*($R$11:R927=1))&gt;0,1,0))</f>
        <v/>
      </c>
    </row>
    <row r="929">
      <c r="Q929">
        <f>A929&amp;"|"&amp;B929&amp;"|"&amp;C929&amp;"|"&amp;D929&amp;"|"&amp;E929&amp;"|"&amp;F929&amp;"|"&amp;G929&amp;"|"&amp;H929&amp;"|"&amp;I929&amp;"|"&amp;J929&amp;"|"&amp;K929&amp;"|"&amp;L929&amp;"|"&amp;M929&amp;"|"&amp;N929&amp;"|"&amp;O929</f>
        <v/>
      </c>
      <c r="R929">
        <f>IF(Q929=REPT("|",14),0,1)</f>
        <v/>
      </c>
      <c r="S929">
        <f>IF(R929=0,0,IF(SUMPRODUCT(($Q$11:Q928=Q929)*($R$11:R928=1))&gt;0,1,0))</f>
        <v/>
      </c>
    </row>
    <row r="930">
      <c r="Q930">
        <f>A930&amp;"|"&amp;B930&amp;"|"&amp;C930&amp;"|"&amp;D930&amp;"|"&amp;E930&amp;"|"&amp;F930&amp;"|"&amp;G930&amp;"|"&amp;H930&amp;"|"&amp;I930&amp;"|"&amp;J930&amp;"|"&amp;K930&amp;"|"&amp;L930&amp;"|"&amp;M930&amp;"|"&amp;N930&amp;"|"&amp;O930</f>
        <v/>
      </c>
      <c r="R930">
        <f>IF(Q930=REPT("|",14),0,1)</f>
        <v/>
      </c>
      <c r="S930">
        <f>IF(R930=0,0,IF(SUMPRODUCT(($Q$11:Q929=Q930)*($R$11:R929=1))&gt;0,1,0))</f>
        <v/>
      </c>
    </row>
    <row r="931">
      <c r="Q931">
        <f>A931&amp;"|"&amp;B931&amp;"|"&amp;C931&amp;"|"&amp;D931&amp;"|"&amp;E931&amp;"|"&amp;F931&amp;"|"&amp;G931&amp;"|"&amp;H931&amp;"|"&amp;I931&amp;"|"&amp;J931&amp;"|"&amp;K931&amp;"|"&amp;L931&amp;"|"&amp;M931&amp;"|"&amp;N931&amp;"|"&amp;O931</f>
        <v/>
      </c>
      <c r="R931">
        <f>IF(Q931=REPT("|",14),0,1)</f>
        <v/>
      </c>
      <c r="S931">
        <f>IF(R931=0,0,IF(SUMPRODUCT(($Q$11:Q930=Q931)*($R$11:R930=1))&gt;0,1,0))</f>
        <v/>
      </c>
    </row>
    <row r="932">
      <c r="Q932">
        <f>A932&amp;"|"&amp;B932&amp;"|"&amp;C932&amp;"|"&amp;D932&amp;"|"&amp;E932&amp;"|"&amp;F932&amp;"|"&amp;G932&amp;"|"&amp;H932&amp;"|"&amp;I932&amp;"|"&amp;J932&amp;"|"&amp;K932&amp;"|"&amp;L932&amp;"|"&amp;M932&amp;"|"&amp;N932&amp;"|"&amp;O932</f>
        <v/>
      </c>
      <c r="R932">
        <f>IF(Q932=REPT("|",14),0,1)</f>
        <v/>
      </c>
      <c r="S932">
        <f>IF(R932=0,0,IF(SUMPRODUCT(($Q$11:Q931=Q932)*($R$11:R931=1))&gt;0,1,0))</f>
        <v/>
      </c>
    </row>
    <row r="933">
      <c r="Q933">
        <f>A933&amp;"|"&amp;B933&amp;"|"&amp;C933&amp;"|"&amp;D933&amp;"|"&amp;E933&amp;"|"&amp;F933&amp;"|"&amp;G933&amp;"|"&amp;H933&amp;"|"&amp;I933&amp;"|"&amp;J933&amp;"|"&amp;K933&amp;"|"&amp;L933&amp;"|"&amp;M933&amp;"|"&amp;N933&amp;"|"&amp;O933</f>
        <v/>
      </c>
      <c r="R933">
        <f>IF(Q933=REPT("|",14),0,1)</f>
        <v/>
      </c>
      <c r="S933">
        <f>IF(R933=0,0,IF(SUMPRODUCT(($Q$11:Q932=Q933)*($R$11:R932=1))&gt;0,1,0))</f>
        <v/>
      </c>
    </row>
    <row r="934">
      <c r="Q934">
        <f>A934&amp;"|"&amp;B934&amp;"|"&amp;C934&amp;"|"&amp;D934&amp;"|"&amp;E934&amp;"|"&amp;F934&amp;"|"&amp;G934&amp;"|"&amp;H934&amp;"|"&amp;I934&amp;"|"&amp;J934&amp;"|"&amp;K934&amp;"|"&amp;L934&amp;"|"&amp;M934&amp;"|"&amp;N934&amp;"|"&amp;O934</f>
        <v/>
      </c>
      <c r="R934">
        <f>IF(Q934=REPT("|",14),0,1)</f>
        <v/>
      </c>
      <c r="S934">
        <f>IF(R934=0,0,IF(SUMPRODUCT(($Q$11:Q933=Q934)*($R$11:R933=1))&gt;0,1,0))</f>
        <v/>
      </c>
    </row>
    <row r="935">
      <c r="Q935">
        <f>A935&amp;"|"&amp;B935&amp;"|"&amp;C935&amp;"|"&amp;D935&amp;"|"&amp;E935&amp;"|"&amp;F935&amp;"|"&amp;G935&amp;"|"&amp;H935&amp;"|"&amp;I935&amp;"|"&amp;J935&amp;"|"&amp;K935&amp;"|"&amp;L935&amp;"|"&amp;M935&amp;"|"&amp;N935&amp;"|"&amp;O935</f>
        <v/>
      </c>
      <c r="R935">
        <f>IF(Q935=REPT("|",14),0,1)</f>
        <v/>
      </c>
      <c r="S935">
        <f>IF(R935=0,0,IF(SUMPRODUCT(($Q$11:Q934=Q935)*($R$11:R934=1))&gt;0,1,0))</f>
        <v/>
      </c>
    </row>
    <row r="936">
      <c r="Q936">
        <f>A936&amp;"|"&amp;B936&amp;"|"&amp;C936&amp;"|"&amp;D936&amp;"|"&amp;E936&amp;"|"&amp;F936&amp;"|"&amp;G936&amp;"|"&amp;H936&amp;"|"&amp;I936&amp;"|"&amp;J936&amp;"|"&amp;K936&amp;"|"&amp;L936&amp;"|"&amp;M936&amp;"|"&amp;N936&amp;"|"&amp;O936</f>
        <v/>
      </c>
      <c r="R936">
        <f>IF(Q936=REPT("|",14),0,1)</f>
        <v/>
      </c>
      <c r="S936">
        <f>IF(R936=0,0,IF(SUMPRODUCT(($Q$11:Q935=Q936)*($R$11:R935=1))&gt;0,1,0))</f>
        <v/>
      </c>
    </row>
    <row r="937">
      <c r="Q937">
        <f>A937&amp;"|"&amp;B937&amp;"|"&amp;C937&amp;"|"&amp;D937&amp;"|"&amp;E937&amp;"|"&amp;F937&amp;"|"&amp;G937&amp;"|"&amp;H937&amp;"|"&amp;I937&amp;"|"&amp;J937&amp;"|"&amp;K937&amp;"|"&amp;L937&amp;"|"&amp;M937&amp;"|"&amp;N937&amp;"|"&amp;O937</f>
        <v/>
      </c>
      <c r="R937">
        <f>IF(Q937=REPT("|",14),0,1)</f>
        <v/>
      </c>
      <c r="S937">
        <f>IF(R937=0,0,IF(SUMPRODUCT(($Q$11:Q936=Q937)*($R$11:R936=1))&gt;0,1,0))</f>
        <v/>
      </c>
    </row>
    <row r="938">
      <c r="Q938">
        <f>A938&amp;"|"&amp;B938&amp;"|"&amp;C938&amp;"|"&amp;D938&amp;"|"&amp;E938&amp;"|"&amp;F938&amp;"|"&amp;G938&amp;"|"&amp;H938&amp;"|"&amp;I938&amp;"|"&amp;J938&amp;"|"&amp;K938&amp;"|"&amp;L938&amp;"|"&amp;M938&amp;"|"&amp;N938&amp;"|"&amp;O938</f>
        <v/>
      </c>
      <c r="R938">
        <f>IF(Q938=REPT("|",14),0,1)</f>
        <v/>
      </c>
      <c r="S938">
        <f>IF(R938=0,0,IF(SUMPRODUCT(($Q$11:Q937=Q938)*($R$11:R937=1))&gt;0,1,0))</f>
        <v/>
      </c>
    </row>
    <row r="939">
      <c r="Q939">
        <f>A939&amp;"|"&amp;B939&amp;"|"&amp;C939&amp;"|"&amp;D939&amp;"|"&amp;E939&amp;"|"&amp;F939&amp;"|"&amp;G939&amp;"|"&amp;H939&amp;"|"&amp;I939&amp;"|"&amp;J939&amp;"|"&amp;K939&amp;"|"&amp;L939&amp;"|"&amp;M939&amp;"|"&amp;N939&amp;"|"&amp;O939</f>
        <v/>
      </c>
      <c r="R939">
        <f>IF(Q939=REPT("|",14),0,1)</f>
        <v/>
      </c>
      <c r="S939">
        <f>IF(R939=0,0,IF(SUMPRODUCT(($Q$11:Q938=Q939)*($R$11:R938=1))&gt;0,1,0))</f>
        <v/>
      </c>
    </row>
    <row r="940">
      <c r="Q940">
        <f>A940&amp;"|"&amp;B940&amp;"|"&amp;C940&amp;"|"&amp;D940&amp;"|"&amp;E940&amp;"|"&amp;F940&amp;"|"&amp;G940&amp;"|"&amp;H940&amp;"|"&amp;I940&amp;"|"&amp;J940&amp;"|"&amp;K940&amp;"|"&amp;L940&amp;"|"&amp;M940&amp;"|"&amp;N940&amp;"|"&amp;O940</f>
        <v/>
      </c>
      <c r="R940">
        <f>IF(Q940=REPT("|",14),0,1)</f>
        <v/>
      </c>
      <c r="S940">
        <f>IF(R940=0,0,IF(SUMPRODUCT(($Q$11:Q939=Q940)*($R$11:R939=1))&gt;0,1,0))</f>
        <v/>
      </c>
    </row>
    <row r="941">
      <c r="Q941">
        <f>A941&amp;"|"&amp;B941&amp;"|"&amp;C941&amp;"|"&amp;D941&amp;"|"&amp;E941&amp;"|"&amp;F941&amp;"|"&amp;G941&amp;"|"&amp;H941&amp;"|"&amp;I941&amp;"|"&amp;J941&amp;"|"&amp;K941&amp;"|"&amp;L941&amp;"|"&amp;M941&amp;"|"&amp;N941&amp;"|"&amp;O941</f>
        <v/>
      </c>
      <c r="R941">
        <f>IF(Q941=REPT("|",14),0,1)</f>
        <v/>
      </c>
      <c r="S941">
        <f>IF(R941=0,0,IF(SUMPRODUCT(($Q$11:Q940=Q941)*($R$11:R940=1))&gt;0,1,0))</f>
        <v/>
      </c>
    </row>
    <row r="942">
      <c r="Q942">
        <f>A942&amp;"|"&amp;B942&amp;"|"&amp;C942&amp;"|"&amp;D942&amp;"|"&amp;E942&amp;"|"&amp;F942&amp;"|"&amp;G942&amp;"|"&amp;H942&amp;"|"&amp;I942&amp;"|"&amp;J942&amp;"|"&amp;K942&amp;"|"&amp;L942&amp;"|"&amp;M942&amp;"|"&amp;N942&amp;"|"&amp;O942</f>
        <v/>
      </c>
      <c r="R942">
        <f>IF(Q942=REPT("|",14),0,1)</f>
        <v/>
      </c>
      <c r="S942">
        <f>IF(R942=0,0,IF(SUMPRODUCT(($Q$11:Q941=Q942)*($R$11:R941=1))&gt;0,1,0))</f>
        <v/>
      </c>
    </row>
    <row r="943">
      <c r="Q943">
        <f>A943&amp;"|"&amp;B943&amp;"|"&amp;C943&amp;"|"&amp;D943&amp;"|"&amp;E943&amp;"|"&amp;F943&amp;"|"&amp;G943&amp;"|"&amp;H943&amp;"|"&amp;I943&amp;"|"&amp;J943&amp;"|"&amp;K943&amp;"|"&amp;L943&amp;"|"&amp;M943&amp;"|"&amp;N943&amp;"|"&amp;O943</f>
        <v/>
      </c>
      <c r="R943">
        <f>IF(Q943=REPT("|",14),0,1)</f>
        <v/>
      </c>
      <c r="S943">
        <f>IF(R943=0,0,IF(SUMPRODUCT(($Q$11:Q942=Q943)*($R$11:R942=1))&gt;0,1,0))</f>
        <v/>
      </c>
    </row>
    <row r="944">
      <c r="Q944">
        <f>A944&amp;"|"&amp;B944&amp;"|"&amp;C944&amp;"|"&amp;D944&amp;"|"&amp;E944&amp;"|"&amp;F944&amp;"|"&amp;G944&amp;"|"&amp;H944&amp;"|"&amp;I944&amp;"|"&amp;J944&amp;"|"&amp;K944&amp;"|"&amp;L944&amp;"|"&amp;M944&amp;"|"&amp;N944&amp;"|"&amp;O944</f>
        <v/>
      </c>
      <c r="R944">
        <f>IF(Q944=REPT("|",14),0,1)</f>
        <v/>
      </c>
      <c r="S944">
        <f>IF(R944=0,0,IF(SUMPRODUCT(($Q$11:Q943=Q944)*($R$11:R943=1))&gt;0,1,0))</f>
        <v/>
      </c>
    </row>
    <row r="945">
      <c r="Q945">
        <f>A945&amp;"|"&amp;B945&amp;"|"&amp;C945&amp;"|"&amp;D945&amp;"|"&amp;E945&amp;"|"&amp;F945&amp;"|"&amp;G945&amp;"|"&amp;H945&amp;"|"&amp;I945&amp;"|"&amp;J945&amp;"|"&amp;K945&amp;"|"&amp;L945&amp;"|"&amp;M945&amp;"|"&amp;N945&amp;"|"&amp;O945</f>
        <v/>
      </c>
      <c r="R945">
        <f>IF(Q945=REPT("|",14),0,1)</f>
        <v/>
      </c>
      <c r="S945">
        <f>IF(R945=0,0,IF(SUMPRODUCT(($Q$11:Q944=Q945)*($R$11:R944=1))&gt;0,1,0))</f>
        <v/>
      </c>
    </row>
    <row r="946">
      <c r="Q946">
        <f>A946&amp;"|"&amp;B946&amp;"|"&amp;C946&amp;"|"&amp;D946&amp;"|"&amp;E946&amp;"|"&amp;F946&amp;"|"&amp;G946&amp;"|"&amp;H946&amp;"|"&amp;I946&amp;"|"&amp;J946&amp;"|"&amp;K946&amp;"|"&amp;L946&amp;"|"&amp;M946&amp;"|"&amp;N946&amp;"|"&amp;O946</f>
        <v/>
      </c>
      <c r="R946">
        <f>IF(Q946=REPT("|",14),0,1)</f>
        <v/>
      </c>
      <c r="S946">
        <f>IF(R946=0,0,IF(SUMPRODUCT(($Q$11:Q945=Q946)*($R$11:R945=1))&gt;0,1,0))</f>
        <v/>
      </c>
    </row>
    <row r="947">
      <c r="Q947">
        <f>A947&amp;"|"&amp;B947&amp;"|"&amp;C947&amp;"|"&amp;D947&amp;"|"&amp;E947&amp;"|"&amp;F947&amp;"|"&amp;G947&amp;"|"&amp;H947&amp;"|"&amp;I947&amp;"|"&amp;J947&amp;"|"&amp;K947&amp;"|"&amp;L947&amp;"|"&amp;M947&amp;"|"&amp;N947&amp;"|"&amp;O947</f>
        <v/>
      </c>
      <c r="R947">
        <f>IF(Q947=REPT("|",14),0,1)</f>
        <v/>
      </c>
      <c r="S947">
        <f>IF(R947=0,0,IF(SUMPRODUCT(($Q$11:Q946=Q947)*($R$11:R946=1))&gt;0,1,0))</f>
        <v/>
      </c>
    </row>
    <row r="948">
      <c r="Q948">
        <f>A948&amp;"|"&amp;B948&amp;"|"&amp;C948&amp;"|"&amp;D948&amp;"|"&amp;E948&amp;"|"&amp;F948&amp;"|"&amp;G948&amp;"|"&amp;H948&amp;"|"&amp;I948&amp;"|"&amp;J948&amp;"|"&amp;K948&amp;"|"&amp;L948&amp;"|"&amp;M948&amp;"|"&amp;N948&amp;"|"&amp;O948</f>
        <v/>
      </c>
      <c r="R948">
        <f>IF(Q948=REPT("|",14),0,1)</f>
        <v/>
      </c>
      <c r="S948">
        <f>IF(R948=0,0,IF(SUMPRODUCT(($Q$11:Q947=Q948)*($R$11:R947=1))&gt;0,1,0))</f>
        <v/>
      </c>
    </row>
    <row r="949">
      <c r="Q949">
        <f>A949&amp;"|"&amp;B949&amp;"|"&amp;C949&amp;"|"&amp;D949&amp;"|"&amp;E949&amp;"|"&amp;F949&amp;"|"&amp;G949&amp;"|"&amp;H949&amp;"|"&amp;I949&amp;"|"&amp;J949&amp;"|"&amp;K949&amp;"|"&amp;L949&amp;"|"&amp;M949&amp;"|"&amp;N949&amp;"|"&amp;O949</f>
        <v/>
      </c>
      <c r="R949">
        <f>IF(Q949=REPT("|",14),0,1)</f>
        <v/>
      </c>
      <c r="S949">
        <f>IF(R949=0,0,IF(SUMPRODUCT(($Q$11:Q948=Q949)*($R$11:R948=1))&gt;0,1,0))</f>
        <v/>
      </c>
    </row>
    <row r="950">
      <c r="Q950">
        <f>A950&amp;"|"&amp;B950&amp;"|"&amp;C950&amp;"|"&amp;D950&amp;"|"&amp;E950&amp;"|"&amp;F950&amp;"|"&amp;G950&amp;"|"&amp;H950&amp;"|"&amp;I950&amp;"|"&amp;J950&amp;"|"&amp;K950&amp;"|"&amp;L950&amp;"|"&amp;M950&amp;"|"&amp;N950&amp;"|"&amp;O950</f>
        <v/>
      </c>
      <c r="R950">
        <f>IF(Q950=REPT("|",14),0,1)</f>
        <v/>
      </c>
      <c r="S950">
        <f>IF(R950=0,0,IF(SUMPRODUCT(($Q$11:Q949=Q950)*($R$11:R949=1))&gt;0,1,0))</f>
        <v/>
      </c>
    </row>
    <row r="951">
      <c r="Q951">
        <f>A951&amp;"|"&amp;B951&amp;"|"&amp;C951&amp;"|"&amp;D951&amp;"|"&amp;E951&amp;"|"&amp;F951&amp;"|"&amp;G951&amp;"|"&amp;H951&amp;"|"&amp;I951&amp;"|"&amp;J951&amp;"|"&amp;K951&amp;"|"&amp;L951&amp;"|"&amp;M951&amp;"|"&amp;N951&amp;"|"&amp;O951</f>
        <v/>
      </c>
      <c r="R951">
        <f>IF(Q951=REPT("|",14),0,1)</f>
        <v/>
      </c>
      <c r="S951">
        <f>IF(R951=0,0,IF(SUMPRODUCT(($Q$11:Q950=Q951)*($R$11:R950=1))&gt;0,1,0))</f>
        <v/>
      </c>
    </row>
    <row r="952">
      <c r="Q952">
        <f>A952&amp;"|"&amp;B952&amp;"|"&amp;C952&amp;"|"&amp;D952&amp;"|"&amp;E952&amp;"|"&amp;F952&amp;"|"&amp;G952&amp;"|"&amp;H952&amp;"|"&amp;I952&amp;"|"&amp;J952&amp;"|"&amp;K952&amp;"|"&amp;L952&amp;"|"&amp;M952&amp;"|"&amp;N952&amp;"|"&amp;O952</f>
        <v/>
      </c>
      <c r="R952">
        <f>IF(Q952=REPT("|",14),0,1)</f>
        <v/>
      </c>
      <c r="S952">
        <f>IF(R952=0,0,IF(SUMPRODUCT(($Q$11:Q951=Q952)*($R$11:R951=1))&gt;0,1,0))</f>
        <v/>
      </c>
    </row>
    <row r="953">
      <c r="Q953">
        <f>A953&amp;"|"&amp;B953&amp;"|"&amp;C953&amp;"|"&amp;D953&amp;"|"&amp;E953&amp;"|"&amp;F953&amp;"|"&amp;G953&amp;"|"&amp;H953&amp;"|"&amp;I953&amp;"|"&amp;J953&amp;"|"&amp;K953&amp;"|"&amp;L953&amp;"|"&amp;M953&amp;"|"&amp;N953&amp;"|"&amp;O953</f>
        <v/>
      </c>
      <c r="R953">
        <f>IF(Q953=REPT("|",14),0,1)</f>
        <v/>
      </c>
      <c r="S953">
        <f>IF(R953=0,0,IF(SUMPRODUCT(($Q$11:Q952=Q953)*($R$11:R952=1))&gt;0,1,0))</f>
        <v/>
      </c>
    </row>
    <row r="954">
      <c r="Q954">
        <f>A954&amp;"|"&amp;B954&amp;"|"&amp;C954&amp;"|"&amp;D954&amp;"|"&amp;E954&amp;"|"&amp;F954&amp;"|"&amp;G954&amp;"|"&amp;H954&amp;"|"&amp;I954&amp;"|"&amp;J954&amp;"|"&amp;K954&amp;"|"&amp;L954&amp;"|"&amp;M954&amp;"|"&amp;N954&amp;"|"&amp;O954</f>
        <v/>
      </c>
      <c r="R954">
        <f>IF(Q954=REPT("|",14),0,1)</f>
        <v/>
      </c>
      <c r="S954">
        <f>IF(R954=0,0,IF(SUMPRODUCT(($Q$11:Q953=Q954)*($R$11:R953=1))&gt;0,1,0))</f>
        <v/>
      </c>
    </row>
    <row r="955">
      <c r="Q955">
        <f>A955&amp;"|"&amp;B955&amp;"|"&amp;C955&amp;"|"&amp;D955&amp;"|"&amp;E955&amp;"|"&amp;F955&amp;"|"&amp;G955&amp;"|"&amp;H955&amp;"|"&amp;I955&amp;"|"&amp;J955&amp;"|"&amp;K955&amp;"|"&amp;L955&amp;"|"&amp;M955&amp;"|"&amp;N955&amp;"|"&amp;O955</f>
        <v/>
      </c>
      <c r="R955">
        <f>IF(Q955=REPT("|",14),0,1)</f>
        <v/>
      </c>
      <c r="S955">
        <f>IF(R955=0,0,IF(SUMPRODUCT(($Q$11:Q954=Q955)*($R$11:R954=1))&gt;0,1,0))</f>
        <v/>
      </c>
    </row>
    <row r="956">
      <c r="Q956">
        <f>A956&amp;"|"&amp;B956&amp;"|"&amp;C956&amp;"|"&amp;D956&amp;"|"&amp;E956&amp;"|"&amp;F956&amp;"|"&amp;G956&amp;"|"&amp;H956&amp;"|"&amp;I956&amp;"|"&amp;J956&amp;"|"&amp;K956&amp;"|"&amp;L956&amp;"|"&amp;M956&amp;"|"&amp;N956&amp;"|"&amp;O956</f>
        <v/>
      </c>
      <c r="R956">
        <f>IF(Q956=REPT("|",14),0,1)</f>
        <v/>
      </c>
      <c r="S956">
        <f>IF(R956=0,0,IF(SUMPRODUCT(($Q$11:Q955=Q956)*($R$11:R955=1))&gt;0,1,0))</f>
        <v/>
      </c>
    </row>
    <row r="957">
      <c r="Q957">
        <f>A957&amp;"|"&amp;B957&amp;"|"&amp;C957&amp;"|"&amp;D957&amp;"|"&amp;E957&amp;"|"&amp;F957&amp;"|"&amp;G957&amp;"|"&amp;H957&amp;"|"&amp;I957&amp;"|"&amp;J957&amp;"|"&amp;K957&amp;"|"&amp;L957&amp;"|"&amp;M957&amp;"|"&amp;N957&amp;"|"&amp;O957</f>
        <v/>
      </c>
      <c r="R957">
        <f>IF(Q957=REPT("|",14),0,1)</f>
        <v/>
      </c>
      <c r="S957">
        <f>IF(R957=0,0,IF(SUMPRODUCT(($Q$11:Q956=Q957)*($R$11:R956=1))&gt;0,1,0))</f>
        <v/>
      </c>
    </row>
    <row r="958">
      <c r="Q958">
        <f>A958&amp;"|"&amp;B958&amp;"|"&amp;C958&amp;"|"&amp;D958&amp;"|"&amp;E958&amp;"|"&amp;F958&amp;"|"&amp;G958&amp;"|"&amp;H958&amp;"|"&amp;I958&amp;"|"&amp;J958&amp;"|"&amp;K958&amp;"|"&amp;L958&amp;"|"&amp;M958&amp;"|"&amp;N958&amp;"|"&amp;O958</f>
        <v/>
      </c>
      <c r="R958">
        <f>IF(Q958=REPT("|",14),0,1)</f>
        <v/>
      </c>
      <c r="S958">
        <f>IF(R958=0,0,IF(SUMPRODUCT(($Q$11:Q957=Q958)*($R$11:R957=1))&gt;0,1,0))</f>
        <v/>
      </c>
    </row>
    <row r="959">
      <c r="Q959">
        <f>A959&amp;"|"&amp;B959&amp;"|"&amp;C959&amp;"|"&amp;D959&amp;"|"&amp;E959&amp;"|"&amp;F959&amp;"|"&amp;G959&amp;"|"&amp;H959&amp;"|"&amp;I959&amp;"|"&amp;J959&amp;"|"&amp;K959&amp;"|"&amp;L959&amp;"|"&amp;M959&amp;"|"&amp;N959&amp;"|"&amp;O959</f>
        <v/>
      </c>
      <c r="R959">
        <f>IF(Q959=REPT("|",14),0,1)</f>
        <v/>
      </c>
      <c r="S959">
        <f>IF(R959=0,0,IF(SUMPRODUCT(($Q$11:Q958=Q959)*($R$11:R958=1))&gt;0,1,0))</f>
        <v/>
      </c>
    </row>
    <row r="960">
      <c r="Q960">
        <f>A960&amp;"|"&amp;B960&amp;"|"&amp;C960&amp;"|"&amp;D960&amp;"|"&amp;E960&amp;"|"&amp;F960&amp;"|"&amp;G960&amp;"|"&amp;H960&amp;"|"&amp;I960&amp;"|"&amp;J960&amp;"|"&amp;K960&amp;"|"&amp;L960&amp;"|"&amp;M960&amp;"|"&amp;N960&amp;"|"&amp;O960</f>
        <v/>
      </c>
      <c r="R960">
        <f>IF(Q960=REPT("|",14),0,1)</f>
        <v/>
      </c>
      <c r="S960">
        <f>IF(R960=0,0,IF(SUMPRODUCT(($Q$11:Q959=Q960)*($R$11:R959=1))&gt;0,1,0))</f>
        <v/>
      </c>
    </row>
    <row r="961">
      <c r="Q961">
        <f>A961&amp;"|"&amp;B961&amp;"|"&amp;C961&amp;"|"&amp;D961&amp;"|"&amp;E961&amp;"|"&amp;F961&amp;"|"&amp;G961&amp;"|"&amp;H961&amp;"|"&amp;I961&amp;"|"&amp;J961&amp;"|"&amp;K961&amp;"|"&amp;L961&amp;"|"&amp;M961&amp;"|"&amp;N961&amp;"|"&amp;O961</f>
        <v/>
      </c>
      <c r="R961">
        <f>IF(Q961=REPT("|",14),0,1)</f>
        <v/>
      </c>
      <c r="S961">
        <f>IF(R961=0,0,IF(SUMPRODUCT(($Q$11:Q960=Q961)*($R$11:R960=1))&gt;0,1,0))</f>
        <v/>
      </c>
    </row>
    <row r="962">
      <c r="Q962">
        <f>A962&amp;"|"&amp;B962&amp;"|"&amp;C962&amp;"|"&amp;D962&amp;"|"&amp;E962&amp;"|"&amp;F962&amp;"|"&amp;G962&amp;"|"&amp;H962&amp;"|"&amp;I962&amp;"|"&amp;J962&amp;"|"&amp;K962&amp;"|"&amp;L962&amp;"|"&amp;M962&amp;"|"&amp;N962&amp;"|"&amp;O962</f>
        <v/>
      </c>
      <c r="R962">
        <f>IF(Q962=REPT("|",14),0,1)</f>
        <v/>
      </c>
      <c r="S962">
        <f>IF(R962=0,0,IF(SUMPRODUCT(($Q$11:Q961=Q962)*($R$11:R961=1))&gt;0,1,0))</f>
        <v/>
      </c>
    </row>
    <row r="963">
      <c r="Q963">
        <f>A963&amp;"|"&amp;B963&amp;"|"&amp;C963&amp;"|"&amp;D963&amp;"|"&amp;E963&amp;"|"&amp;F963&amp;"|"&amp;G963&amp;"|"&amp;H963&amp;"|"&amp;I963&amp;"|"&amp;J963&amp;"|"&amp;K963&amp;"|"&amp;L963&amp;"|"&amp;M963&amp;"|"&amp;N963&amp;"|"&amp;O963</f>
        <v/>
      </c>
      <c r="R963">
        <f>IF(Q963=REPT("|",14),0,1)</f>
        <v/>
      </c>
      <c r="S963">
        <f>IF(R963=0,0,IF(SUMPRODUCT(($Q$11:Q962=Q963)*($R$11:R962=1))&gt;0,1,0))</f>
        <v/>
      </c>
    </row>
    <row r="964">
      <c r="Q964">
        <f>A964&amp;"|"&amp;B964&amp;"|"&amp;C964&amp;"|"&amp;D964&amp;"|"&amp;E964&amp;"|"&amp;F964&amp;"|"&amp;G964&amp;"|"&amp;H964&amp;"|"&amp;I964&amp;"|"&amp;J964&amp;"|"&amp;K964&amp;"|"&amp;L964&amp;"|"&amp;M964&amp;"|"&amp;N964&amp;"|"&amp;O964</f>
        <v/>
      </c>
      <c r="R964">
        <f>IF(Q964=REPT("|",14),0,1)</f>
        <v/>
      </c>
      <c r="S964">
        <f>IF(R964=0,0,IF(SUMPRODUCT(($Q$11:Q963=Q964)*($R$11:R963=1))&gt;0,1,0))</f>
        <v/>
      </c>
    </row>
    <row r="965">
      <c r="Q965">
        <f>A965&amp;"|"&amp;B965&amp;"|"&amp;C965&amp;"|"&amp;D965&amp;"|"&amp;E965&amp;"|"&amp;F965&amp;"|"&amp;G965&amp;"|"&amp;H965&amp;"|"&amp;I965&amp;"|"&amp;J965&amp;"|"&amp;K965&amp;"|"&amp;L965&amp;"|"&amp;M965&amp;"|"&amp;N965&amp;"|"&amp;O965</f>
        <v/>
      </c>
      <c r="R965">
        <f>IF(Q965=REPT("|",14),0,1)</f>
        <v/>
      </c>
      <c r="S965">
        <f>IF(R965=0,0,IF(SUMPRODUCT(($Q$11:Q964=Q965)*($R$11:R964=1))&gt;0,1,0))</f>
        <v/>
      </c>
    </row>
    <row r="966">
      <c r="Q966">
        <f>A966&amp;"|"&amp;B966&amp;"|"&amp;C966&amp;"|"&amp;D966&amp;"|"&amp;E966&amp;"|"&amp;F966&amp;"|"&amp;G966&amp;"|"&amp;H966&amp;"|"&amp;I966&amp;"|"&amp;J966&amp;"|"&amp;K966&amp;"|"&amp;L966&amp;"|"&amp;M966&amp;"|"&amp;N966&amp;"|"&amp;O966</f>
        <v/>
      </c>
      <c r="R966">
        <f>IF(Q966=REPT("|",14),0,1)</f>
        <v/>
      </c>
      <c r="S966">
        <f>IF(R966=0,0,IF(SUMPRODUCT(($Q$11:Q965=Q966)*($R$11:R965=1))&gt;0,1,0))</f>
        <v/>
      </c>
    </row>
    <row r="967">
      <c r="Q967">
        <f>A967&amp;"|"&amp;B967&amp;"|"&amp;C967&amp;"|"&amp;D967&amp;"|"&amp;E967&amp;"|"&amp;F967&amp;"|"&amp;G967&amp;"|"&amp;H967&amp;"|"&amp;I967&amp;"|"&amp;J967&amp;"|"&amp;K967&amp;"|"&amp;L967&amp;"|"&amp;M967&amp;"|"&amp;N967&amp;"|"&amp;O967</f>
        <v/>
      </c>
      <c r="R967">
        <f>IF(Q967=REPT("|",14),0,1)</f>
        <v/>
      </c>
      <c r="S967">
        <f>IF(R967=0,0,IF(SUMPRODUCT(($Q$11:Q966=Q967)*($R$11:R966=1))&gt;0,1,0))</f>
        <v/>
      </c>
    </row>
    <row r="968">
      <c r="Q968">
        <f>A968&amp;"|"&amp;B968&amp;"|"&amp;C968&amp;"|"&amp;D968&amp;"|"&amp;E968&amp;"|"&amp;F968&amp;"|"&amp;G968&amp;"|"&amp;H968&amp;"|"&amp;I968&amp;"|"&amp;J968&amp;"|"&amp;K968&amp;"|"&amp;L968&amp;"|"&amp;M968&amp;"|"&amp;N968&amp;"|"&amp;O968</f>
        <v/>
      </c>
      <c r="R968">
        <f>IF(Q968=REPT("|",14),0,1)</f>
        <v/>
      </c>
      <c r="S968">
        <f>IF(R968=0,0,IF(SUMPRODUCT(($Q$11:Q967=Q968)*($R$11:R967=1))&gt;0,1,0))</f>
        <v/>
      </c>
    </row>
    <row r="969">
      <c r="Q969">
        <f>A969&amp;"|"&amp;B969&amp;"|"&amp;C969&amp;"|"&amp;D969&amp;"|"&amp;E969&amp;"|"&amp;F969&amp;"|"&amp;G969&amp;"|"&amp;H969&amp;"|"&amp;I969&amp;"|"&amp;J969&amp;"|"&amp;K969&amp;"|"&amp;L969&amp;"|"&amp;M969&amp;"|"&amp;N969&amp;"|"&amp;O969</f>
        <v/>
      </c>
      <c r="R969">
        <f>IF(Q969=REPT("|",14),0,1)</f>
        <v/>
      </c>
      <c r="S969">
        <f>IF(R969=0,0,IF(SUMPRODUCT(($Q$11:Q968=Q969)*($R$11:R968=1))&gt;0,1,0))</f>
        <v/>
      </c>
    </row>
    <row r="970">
      <c r="Q970">
        <f>A970&amp;"|"&amp;B970&amp;"|"&amp;C970&amp;"|"&amp;D970&amp;"|"&amp;E970&amp;"|"&amp;F970&amp;"|"&amp;G970&amp;"|"&amp;H970&amp;"|"&amp;I970&amp;"|"&amp;J970&amp;"|"&amp;K970&amp;"|"&amp;L970&amp;"|"&amp;M970&amp;"|"&amp;N970&amp;"|"&amp;O970</f>
        <v/>
      </c>
      <c r="R970">
        <f>IF(Q970=REPT("|",14),0,1)</f>
        <v/>
      </c>
      <c r="S970">
        <f>IF(R970=0,0,IF(SUMPRODUCT(($Q$11:Q969=Q970)*($R$11:R969=1))&gt;0,1,0))</f>
        <v/>
      </c>
    </row>
    <row r="971">
      <c r="Q971">
        <f>A971&amp;"|"&amp;B971&amp;"|"&amp;C971&amp;"|"&amp;D971&amp;"|"&amp;E971&amp;"|"&amp;F971&amp;"|"&amp;G971&amp;"|"&amp;H971&amp;"|"&amp;I971&amp;"|"&amp;J971&amp;"|"&amp;K971&amp;"|"&amp;L971&amp;"|"&amp;M971&amp;"|"&amp;N971&amp;"|"&amp;O971</f>
        <v/>
      </c>
      <c r="R971">
        <f>IF(Q971=REPT("|",14),0,1)</f>
        <v/>
      </c>
      <c r="S971">
        <f>IF(R971=0,0,IF(SUMPRODUCT(($Q$11:Q970=Q971)*($R$11:R970=1))&gt;0,1,0))</f>
        <v/>
      </c>
    </row>
    <row r="972">
      <c r="Q972">
        <f>A972&amp;"|"&amp;B972&amp;"|"&amp;C972&amp;"|"&amp;D972&amp;"|"&amp;E972&amp;"|"&amp;F972&amp;"|"&amp;G972&amp;"|"&amp;H972&amp;"|"&amp;I972&amp;"|"&amp;J972&amp;"|"&amp;K972&amp;"|"&amp;L972&amp;"|"&amp;M972&amp;"|"&amp;N972&amp;"|"&amp;O972</f>
        <v/>
      </c>
      <c r="R972">
        <f>IF(Q972=REPT("|",14),0,1)</f>
        <v/>
      </c>
      <c r="S972">
        <f>IF(R972=0,0,IF(SUMPRODUCT(($Q$11:Q971=Q972)*($R$11:R971=1))&gt;0,1,0))</f>
        <v/>
      </c>
    </row>
    <row r="973">
      <c r="Q973">
        <f>A973&amp;"|"&amp;B973&amp;"|"&amp;C973&amp;"|"&amp;D973&amp;"|"&amp;E973&amp;"|"&amp;F973&amp;"|"&amp;G973&amp;"|"&amp;H973&amp;"|"&amp;I973&amp;"|"&amp;J973&amp;"|"&amp;K973&amp;"|"&amp;L973&amp;"|"&amp;M973&amp;"|"&amp;N973&amp;"|"&amp;O973</f>
        <v/>
      </c>
      <c r="R973">
        <f>IF(Q973=REPT("|",14),0,1)</f>
        <v/>
      </c>
      <c r="S973">
        <f>IF(R973=0,0,IF(SUMPRODUCT(($Q$11:Q972=Q973)*($R$11:R972=1))&gt;0,1,0))</f>
        <v/>
      </c>
    </row>
    <row r="974">
      <c r="Q974">
        <f>A974&amp;"|"&amp;B974&amp;"|"&amp;C974&amp;"|"&amp;D974&amp;"|"&amp;E974&amp;"|"&amp;F974&amp;"|"&amp;G974&amp;"|"&amp;H974&amp;"|"&amp;I974&amp;"|"&amp;J974&amp;"|"&amp;K974&amp;"|"&amp;L974&amp;"|"&amp;M974&amp;"|"&amp;N974&amp;"|"&amp;O974</f>
        <v/>
      </c>
      <c r="R974">
        <f>IF(Q974=REPT("|",14),0,1)</f>
        <v/>
      </c>
      <c r="S974">
        <f>IF(R974=0,0,IF(SUMPRODUCT(($Q$11:Q973=Q974)*($R$11:R973=1))&gt;0,1,0))</f>
        <v/>
      </c>
    </row>
    <row r="975">
      <c r="Q975">
        <f>A975&amp;"|"&amp;B975&amp;"|"&amp;C975&amp;"|"&amp;D975&amp;"|"&amp;E975&amp;"|"&amp;F975&amp;"|"&amp;G975&amp;"|"&amp;H975&amp;"|"&amp;I975&amp;"|"&amp;J975&amp;"|"&amp;K975&amp;"|"&amp;L975&amp;"|"&amp;M975&amp;"|"&amp;N975&amp;"|"&amp;O975</f>
        <v/>
      </c>
      <c r="R975">
        <f>IF(Q975=REPT("|",14),0,1)</f>
        <v/>
      </c>
      <c r="S975">
        <f>IF(R975=0,0,IF(SUMPRODUCT(($Q$11:Q974=Q975)*($R$11:R974=1))&gt;0,1,0))</f>
        <v/>
      </c>
    </row>
    <row r="976">
      <c r="Q976">
        <f>A976&amp;"|"&amp;B976&amp;"|"&amp;C976&amp;"|"&amp;D976&amp;"|"&amp;E976&amp;"|"&amp;F976&amp;"|"&amp;G976&amp;"|"&amp;H976&amp;"|"&amp;I976&amp;"|"&amp;J976&amp;"|"&amp;K976&amp;"|"&amp;L976&amp;"|"&amp;M976&amp;"|"&amp;N976&amp;"|"&amp;O976</f>
        <v/>
      </c>
      <c r="R976">
        <f>IF(Q976=REPT("|",14),0,1)</f>
        <v/>
      </c>
      <c r="S976">
        <f>IF(R976=0,0,IF(SUMPRODUCT(($Q$11:Q975=Q976)*($R$11:R975=1))&gt;0,1,0))</f>
        <v/>
      </c>
    </row>
    <row r="977">
      <c r="Q977">
        <f>A977&amp;"|"&amp;B977&amp;"|"&amp;C977&amp;"|"&amp;D977&amp;"|"&amp;E977&amp;"|"&amp;F977&amp;"|"&amp;G977&amp;"|"&amp;H977&amp;"|"&amp;I977&amp;"|"&amp;J977&amp;"|"&amp;K977&amp;"|"&amp;L977&amp;"|"&amp;M977&amp;"|"&amp;N977&amp;"|"&amp;O977</f>
        <v/>
      </c>
      <c r="R977">
        <f>IF(Q977=REPT("|",14),0,1)</f>
        <v/>
      </c>
      <c r="S977">
        <f>IF(R977=0,0,IF(SUMPRODUCT(($Q$11:Q976=Q977)*($R$11:R976=1))&gt;0,1,0))</f>
        <v/>
      </c>
    </row>
    <row r="978">
      <c r="Q978">
        <f>A978&amp;"|"&amp;B978&amp;"|"&amp;C978&amp;"|"&amp;D978&amp;"|"&amp;E978&amp;"|"&amp;F978&amp;"|"&amp;G978&amp;"|"&amp;H978&amp;"|"&amp;I978&amp;"|"&amp;J978&amp;"|"&amp;K978&amp;"|"&amp;L978&amp;"|"&amp;M978&amp;"|"&amp;N978&amp;"|"&amp;O978</f>
        <v/>
      </c>
      <c r="R978">
        <f>IF(Q978=REPT("|",14),0,1)</f>
        <v/>
      </c>
      <c r="S978">
        <f>IF(R978=0,0,IF(SUMPRODUCT(($Q$11:Q977=Q978)*($R$11:R977=1))&gt;0,1,0))</f>
        <v/>
      </c>
    </row>
    <row r="979">
      <c r="Q979">
        <f>A979&amp;"|"&amp;B979&amp;"|"&amp;C979&amp;"|"&amp;D979&amp;"|"&amp;E979&amp;"|"&amp;F979&amp;"|"&amp;G979&amp;"|"&amp;H979&amp;"|"&amp;I979&amp;"|"&amp;J979&amp;"|"&amp;K979&amp;"|"&amp;L979&amp;"|"&amp;M979&amp;"|"&amp;N979&amp;"|"&amp;O979</f>
        <v/>
      </c>
      <c r="R979">
        <f>IF(Q979=REPT("|",14),0,1)</f>
        <v/>
      </c>
      <c r="S979">
        <f>IF(R979=0,0,IF(SUMPRODUCT(($Q$11:Q978=Q979)*($R$11:R978=1))&gt;0,1,0))</f>
        <v/>
      </c>
    </row>
    <row r="980">
      <c r="Q980">
        <f>A980&amp;"|"&amp;B980&amp;"|"&amp;C980&amp;"|"&amp;D980&amp;"|"&amp;E980&amp;"|"&amp;F980&amp;"|"&amp;G980&amp;"|"&amp;H980&amp;"|"&amp;I980&amp;"|"&amp;J980&amp;"|"&amp;K980&amp;"|"&amp;L980&amp;"|"&amp;M980&amp;"|"&amp;N980&amp;"|"&amp;O980</f>
        <v/>
      </c>
      <c r="R980">
        <f>IF(Q980=REPT("|",14),0,1)</f>
        <v/>
      </c>
      <c r="S980">
        <f>IF(R980=0,0,IF(SUMPRODUCT(($Q$11:Q979=Q980)*($R$11:R979=1))&gt;0,1,0))</f>
        <v/>
      </c>
    </row>
    <row r="981">
      <c r="Q981">
        <f>A981&amp;"|"&amp;B981&amp;"|"&amp;C981&amp;"|"&amp;D981&amp;"|"&amp;E981&amp;"|"&amp;F981&amp;"|"&amp;G981&amp;"|"&amp;H981&amp;"|"&amp;I981&amp;"|"&amp;J981&amp;"|"&amp;K981&amp;"|"&amp;L981&amp;"|"&amp;M981&amp;"|"&amp;N981&amp;"|"&amp;O981</f>
        <v/>
      </c>
      <c r="R981">
        <f>IF(Q981=REPT("|",14),0,1)</f>
        <v/>
      </c>
      <c r="S981">
        <f>IF(R981=0,0,IF(SUMPRODUCT(($Q$11:Q980=Q981)*($R$11:R980=1))&gt;0,1,0))</f>
        <v/>
      </c>
    </row>
    <row r="982">
      <c r="Q982">
        <f>A982&amp;"|"&amp;B982&amp;"|"&amp;C982&amp;"|"&amp;D982&amp;"|"&amp;E982&amp;"|"&amp;F982&amp;"|"&amp;G982&amp;"|"&amp;H982&amp;"|"&amp;I982&amp;"|"&amp;J982&amp;"|"&amp;K982&amp;"|"&amp;L982&amp;"|"&amp;M982&amp;"|"&amp;N982&amp;"|"&amp;O982</f>
        <v/>
      </c>
      <c r="R982">
        <f>IF(Q982=REPT("|",14),0,1)</f>
        <v/>
      </c>
      <c r="S982">
        <f>IF(R982=0,0,IF(SUMPRODUCT(($Q$11:Q981=Q982)*($R$11:R981=1))&gt;0,1,0))</f>
        <v/>
      </c>
    </row>
    <row r="983">
      <c r="Q983">
        <f>A983&amp;"|"&amp;B983&amp;"|"&amp;C983&amp;"|"&amp;D983&amp;"|"&amp;E983&amp;"|"&amp;F983&amp;"|"&amp;G983&amp;"|"&amp;H983&amp;"|"&amp;I983&amp;"|"&amp;J983&amp;"|"&amp;K983&amp;"|"&amp;L983&amp;"|"&amp;M983&amp;"|"&amp;N983&amp;"|"&amp;O983</f>
        <v/>
      </c>
      <c r="R983">
        <f>IF(Q983=REPT("|",14),0,1)</f>
        <v/>
      </c>
      <c r="S983">
        <f>IF(R983=0,0,IF(SUMPRODUCT(($Q$11:Q982=Q983)*($R$11:R982=1))&gt;0,1,0))</f>
        <v/>
      </c>
    </row>
    <row r="984">
      <c r="Q984">
        <f>A984&amp;"|"&amp;B984&amp;"|"&amp;C984&amp;"|"&amp;D984&amp;"|"&amp;E984&amp;"|"&amp;F984&amp;"|"&amp;G984&amp;"|"&amp;H984&amp;"|"&amp;I984&amp;"|"&amp;J984&amp;"|"&amp;K984&amp;"|"&amp;L984&amp;"|"&amp;M984&amp;"|"&amp;N984&amp;"|"&amp;O984</f>
        <v/>
      </c>
      <c r="R984">
        <f>IF(Q984=REPT("|",14),0,1)</f>
        <v/>
      </c>
      <c r="S984">
        <f>IF(R984=0,0,IF(SUMPRODUCT(($Q$11:Q983=Q984)*($R$11:R983=1))&gt;0,1,0))</f>
        <v/>
      </c>
    </row>
    <row r="985">
      <c r="Q985">
        <f>A985&amp;"|"&amp;B985&amp;"|"&amp;C985&amp;"|"&amp;D985&amp;"|"&amp;E985&amp;"|"&amp;F985&amp;"|"&amp;G985&amp;"|"&amp;H985&amp;"|"&amp;I985&amp;"|"&amp;J985&amp;"|"&amp;K985&amp;"|"&amp;L985&amp;"|"&amp;M985&amp;"|"&amp;N985&amp;"|"&amp;O985</f>
        <v/>
      </c>
      <c r="R985">
        <f>IF(Q985=REPT("|",14),0,1)</f>
        <v/>
      </c>
      <c r="S985">
        <f>IF(R985=0,0,IF(SUMPRODUCT(($Q$11:Q984=Q985)*($R$11:R984=1))&gt;0,1,0))</f>
        <v/>
      </c>
    </row>
    <row r="986">
      <c r="Q986">
        <f>A986&amp;"|"&amp;B986&amp;"|"&amp;C986&amp;"|"&amp;D986&amp;"|"&amp;E986&amp;"|"&amp;F986&amp;"|"&amp;G986&amp;"|"&amp;H986&amp;"|"&amp;I986&amp;"|"&amp;J986&amp;"|"&amp;K986&amp;"|"&amp;L986&amp;"|"&amp;M986&amp;"|"&amp;N986&amp;"|"&amp;O986</f>
        <v/>
      </c>
      <c r="R986">
        <f>IF(Q986=REPT("|",14),0,1)</f>
        <v/>
      </c>
      <c r="S986">
        <f>IF(R986=0,0,IF(SUMPRODUCT(($Q$11:Q985=Q986)*($R$11:R985=1))&gt;0,1,0))</f>
        <v/>
      </c>
    </row>
    <row r="987">
      <c r="Q987">
        <f>A987&amp;"|"&amp;B987&amp;"|"&amp;C987&amp;"|"&amp;D987&amp;"|"&amp;E987&amp;"|"&amp;F987&amp;"|"&amp;G987&amp;"|"&amp;H987&amp;"|"&amp;I987&amp;"|"&amp;J987&amp;"|"&amp;K987&amp;"|"&amp;L987&amp;"|"&amp;M987&amp;"|"&amp;N987&amp;"|"&amp;O987</f>
        <v/>
      </c>
      <c r="R987">
        <f>IF(Q987=REPT("|",14),0,1)</f>
        <v/>
      </c>
      <c r="S987">
        <f>IF(R987=0,0,IF(SUMPRODUCT(($Q$11:Q986=Q987)*($R$11:R986=1))&gt;0,1,0))</f>
        <v/>
      </c>
    </row>
    <row r="988">
      <c r="Q988">
        <f>A988&amp;"|"&amp;B988&amp;"|"&amp;C988&amp;"|"&amp;D988&amp;"|"&amp;E988&amp;"|"&amp;F988&amp;"|"&amp;G988&amp;"|"&amp;H988&amp;"|"&amp;I988&amp;"|"&amp;J988&amp;"|"&amp;K988&amp;"|"&amp;L988&amp;"|"&amp;M988&amp;"|"&amp;N988&amp;"|"&amp;O988</f>
        <v/>
      </c>
      <c r="R988">
        <f>IF(Q988=REPT("|",14),0,1)</f>
        <v/>
      </c>
      <c r="S988">
        <f>IF(R988=0,0,IF(SUMPRODUCT(($Q$11:Q987=Q988)*($R$11:R987=1))&gt;0,1,0))</f>
        <v/>
      </c>
    </row>
    <row r="989">
      <c r="Q989">
        <f>A989&amp;"|"&amp;B989&amp;"|"&amp;C989&amp;"|"&amp;D989&amp;"|"&amp;E989&amp;"|"&amp;F989&amp;"|"&amp;G989&amp;"|"&amp;H989&amp;"|"&amp;I989&amp;"|"&amp;J989&amp;"|"&amp;K989&amp;"|"&amp;L989&amp;"|"&amp;M989&amp;"|"&amp;N989&amp;"|"&amp;O989</f>
        <v/>
      </c>
      <c r="R989">
        <f>IF(Q989=REPT("|",14),0,1)</f>
        <v/>
      </c>
      <c r="S989">
        <f>IF(R989=0,0,IF(SUMPRODUCT(($Q$11:Q988=Q989)*($R$11:R988=1))&gt;0,1,0))</f>
        <v/>
      </c>
    </row>
    <row r="990">
      <c r="Q990">
        <f>A990&amp;"|"&amp;B990&amp;"|"&amp;C990&amp;"|"&amp;D990&amp;"|"&amp;E990&amp;"|"&amp;F990&amp;"|"&amp;G990&amp;"|"&amp;H990&amp;"|"&amp;I990&amp;"|"&amp;J990&amp;"|"&amp;K990&amp;"|"&amp;L990&amp;"|"&amp;M990&amp;"|"&amp;N990&amp;"|"&amp;O990</f>
        <v/>
      </c>
      <c r="R990">
        <f>IF(Q990=REPT("|",14),0,1)</f>
        <v/>
      </c>
      <c r="S990">
        <f>IF(R990=0,0,IF(SUMPRODUCT(($Q$11:Q989=Q990)*($R$11:R989=1))&gt;0,1,0))</f>
        <v/>
      </c>
    </row>
    <row r="991">
      <c r="Q991">
        <f>A991&amp;"|"&amp;B991&amp;"|"&amp;C991&amp;"|"&amp;D991&amp;"|"&amp;E991&amp;"|"&amp;F991&amp;"|"&amp;G991&amp;"|"&amp;H991&amp;"|"&amp;I991&amp;"|"&amp;J991&amp;"|"&amp;K991&amp;"|"&amp;L991&amp;"|"&amp;M991&amp;"|"&amp;N991&amp;"|"&amp;O991</f>
        <v/>
      </c>
      <c r="R991">
        <f>IF(Q991=REPT("|",14),0,1)</f>
        <v/>
      </c>
      <c r="S991">
        <f>IF(R991=0,0,IF(SUMPRODUCT(($Q$11:Q990=Q991)*($R$11:R990=1))&gt;0,1,0))</f>
        <v/>
      </c>
    </row>
    <row r="992">
      <c r="Q992">
        <f>A992&amp;"|"&amp;B992&amp;"|"&amp;C992&amp;"|"&amp;D992&amp;"|"&amp;E992&amp;"|"&amp;F992&amp;"|"&amp;G992&amp;"|"&amp;H992&amp;"|"&amp;I992&amp;"|"&amp;J992&amp;"|"&amp;K992&amp;"|"&amp;L992&amp;"|"&amp;M992&amp;"|"&amp;N992&amp;"|"&amp;O992</f>
        <v/>
      </c>
      <c r="R992">
        <f>IF(Q992=REPT("|",14),0,1)</f>
        <v/>
      </c>
      <c r="S992">
        <f>IF(R992=0,0,IF(SUMPRODUCT(($Q$11:Q991=Q992)*($R$11:R991=1))&gt;0,1,0))</f>
        <v/>
      </c>
    </row>
    <row r="993">
      <c r="Q993">
        <f>A993&amp;"|"&amp;B993&amp;"|"&amp;C993&amp;"|"&amp;D993&amp;"|"&amp;E993&amp;"|"&amp;F993&amp;"|"&amp;G993&amp;"|"&amp;H993&amp;"|"&amp;I993&amp;"|"&amp;J993&amp;"|"&amp;K993&amp;"|"&amp;L993&amp;"|"&amp;M993&amp;"|"&amp;N993&amp;"|"&amp;O993</f>
        <v/>
      </c>
      <c r="R993">
        <f>IF(Q993=REPT("|",14),0,1)</f>
        <v/>
      </c>
      <c r="S993">
        <f>IF(R993=0,0,IF(SUMPRODUCT(($Q$11:Q992=Q993)*($R$11:R992=1))&gt;0,1,0))</f>
        <v/>
      </c>
    </row>
    <row r="994">
      <c r="Q994">
        <f>A994&amp;"|"&amp;B994&amp;"|"&amp;C994&amp;"|"&amp;D994&amp;"|"&amp;E994&amp;"|"&amp;F994&amp;"|"&amp;G994&amp;"|"&amp;H994&amp;"|"&amp;I994&amp;"|"&amp;J994&amp;"|"&amp;K994&amp;"|"&amp;L994&amp;"|"&amp;M994&amp;"|"&amp;N994&amp;"|"&amp;O994</f>
        <v/>
      </c>
      <c r="R994">
        <f>IF(Q994=REPT("|",14),0,1)</f>
        <v/>
      </c>
      <c r="S994">
        <f>IF(R994=0,0,IF(SUMPRODUCT(($Q$11:Q993=Q994)*($R$11:R993=1))&gt;0,1,0))</f>
        <v/>
      </c>
    </row>
    <row r="995">
      <c r="Q995">
        <f>A995&amp;"|"&amp;B995&amp;"|"&amp;C995&amp;"|"&amp;D995&amp;"|"&amp;E995&amp;"|"&amp;F995&amp;"|"&amp;G995&amp;"|"&amp;H995&amp;"|"&amp;I995&amp;"|"&amp;J995&amp;"|"&amp;K995&amp;"|"&amp;L995&amp;"|"&amp;M995&amp;"|"&amp;N995&amp;"|"&amp;O995</f>
        <v/>
      </c>
      <c r="R995">
        <f>IF(Q995=REPT("|",14),0,1)</f>
        <v/>
      </c>
      <c r="S995">
        <f>IF(R995=0,0,IF(SUMPRODUCT(($Q$11:Q994=Q995)*($R$11:R994=1))&gt;0,1,0))</f>
        <v/>
      </c>
    </row>
    <row r="996">
      <c r="Q996">
        <f>A996&amp;"|"&amp;B996&amp;"|"&amp;C996&amp;"|"&amp;D996&amp;"|"&amp;E996&amp;"|"&amp;F996&amp;"|"&amp;G996&amp;"|"&amp;H996&amp;"|"&amp;I996&amp;"|"&amp;J996&amp;"|"&amp;K996&amp;"|"&amp;L996&amp;"|"&amp;M996&amp;"|"&amp;N996&amp;"|"&amp;O996</f>
        <v/>
      </c>
      <c r="R996">
        <f>IF(Q996=REPT("|",14),0,1)</f>
        <v/>
      </c>
      <c r="S996">
        <f>IF(R996=0,0,IF(SUMPRODUCT(($Q$11:Q995=Q996)*($R$11:R995=1))&gt;0,1,0))</f>
        <v/>
      </c>
    </row>
    <row r="997">
      <c r="Q997">
        <f>A997&amp;"|"&amp;B997&amp;"|"&amp;C997&amp;"|"&amp;D997&amp;"|"&amp;E997&amp;"|"&amp;F997&amp;"|"&amp;G997&amp;"|"&amp;H997&amp;"|"&amp;I997&amp;"|"&amp;J997&amp;"|"&amp;K997&amp;"|"&amp;L997&amp;"|"&amp;M997&amp;"|"&amp;N997&amp;"|"&amp;O997</f>
        <v/>
      </c>
      <c r="R997">
        <f>IF(Q997=REPT("|",14),0,1)</f>
        <v/>
      </c>
      <c r="S997">
        <f>IF(R997=0,0,IF(SUMPRODUCT(($Q$11:Q996=Q997)*($R$11:R996=1))&gt;0,1,0))</f>
        <v/>
      </c>
    </row>
    <row r="998">
      <c r="Q998">
        <f>A998&amp;"|"&amp;B998&amp;"|"&amp;C998&amp;"|"&amp;D998&amp;"|"&amp;E998&amp;"|"&amp;F998&amp;"|"&amp;G998&amp;"|"&amp;H998&amp;"|"&amp;I998&amp;"|"&amp;J998&amp;"|"&amp;K998&amp;"|"&amp;L998&amp;"|"&amp;M998&amp;"|"&amp;N998&amp;"|"&amp;O998</f>
        <v/>
      </c>
      <c r="R998">
        <f>IF(Q998=REPT("|",14),0,1)</f>
        <v/>
      </c>
      <c r="S998">
        <f>IF(R998=0,0,IF(SUMPRODUCT(($Q$11:Q997=Q998)*($R$11:R997=1))&gt;0,1,0))</f>
        <v/>
      </c>
    </row>
    <row r="999">
      <c r="Q999">
        <f>A999&amp;"|"&amp;B999&amp;"|"&amp;C999&amp;"|"&amp;D999&amp;"|"&amp;E999&amp;"|"&amp;F999&amp;"|"&amp;G999&amp;"|"&amp;H999&amp;"|"&amp;I999&amp;"|"&amp;J999&amp;"|"&amp;K999&amp;"|"&amp;L999&amp;"|"&amp;M999&amp;"|"&amp;N999&amp;"|"&amp;O999</f>
        <v/>
      </c>
      <c r="R999">
        <f>IF(Q999=REPT("|",14),0,1)</f>
        <v/>
      </c>
      <c r="S999">
        <f>IF(R999=0,0,IF(SUMPRODUCT(($Q$11:Q998=Q999)*($R$11:R998=1))&gt;0,1,0))</f>
        <v/>
      </c>
    </row>
    <row r="1000">
      <c r="Q1000">
        <f>A1000&amp;"|"&amp;B1000&amp;"|"&amp;C1000&amp;"|"&amp;D1000&amp;"|"&amp;E1000&amp;"|"&amp;F1000&amp;"|"&amp;G1000&amp;"|"&amp;H1000&amp;"|"&amp;I1000&amp;"|"&amp;J1000&amp;"|"&amp;K1000&amp;"|"&amp;L1000&amp;"|"&amp;M1000&amp;"|"&amp;N1000&amp;"|"&amp;O1000</f>
        <v/>
      </c>
      <c r="R1000">
        <f>IF(Q1000=REPT("|",14),0,1)</f>
        <v/>
      </c>
      <c r="S1000">
        <f>IF(R1000=0,0,IF(SUMPRODUCT(($Q$11:Q999=Q1000)*($R$11:R999=1))&gt;0,1,0))</f>
        <v/>
      </c>
    </row>
    <row r="1001">
      <c r="Q1001">
        <f>A1001&amp;"|"&amp;B1001&amp;"|"&amp;C1001&amp;"|"&amp;D1001&amp;"|"&amp;E1001&amp;"|"&amp;F1001&amp;"|"&amp;G1001&amp;"|"&amp;H1001&amp;"|"&amp;I1001&amp;"|"&amp;J1001&amp;"|"&amp;K1001&amp;"|"&amp;L1001&amp;"|"&amp;M1001&amp;"|"&amp;N1001&amp;"|"&amp;O1001</f>
        <v/>
      </c>
      <c r="R1001">
        <f>IF(Q1001=REPT("|",14),0,1)</f>
        <v/>
      </c>
      <c r="S1001">
        <f>IF(R1001=0,0,IF(SUMPRODUCT(($Q$11:Q1000=Q1001)*($R$11:R1000=1))&gt;0,1,0))</f>
        <v/>
      </c>
    </row>
    <row r="1002">
      <c r="Q1002">
        <f>A1002&amp;"|"&amp;B1002&amp;"|"&amp;C1002&amp;"|"&amp;D1002&amp;"|"&amp;E1002&amp;"|"&amp;F1002&amp;"|"&amp;G1002&amp;"|"&amp;H1002&amp;"|"&amp;I1002&amp;"|"&amp;J1002&amp;"|"&amp;K1002&amp;"|"&amp;L1002&amp;"|"&amp;M1002&amp;"|"&amp;N1002&amp;"|"&amp;O1002</f>
        <v/>
      </c>
      <c r="R1002">
        <f>IF(Q1002=REPT("|",14),0,1)</f>
        <v/>
      </c>
      <c r="S1002">
        <f>IF(R1002=0,0,IF(SUMPRODUCT(($Q$11:Q1001=Q1002)*($R$11:R1001=1))&gt;0,1,0))</f>
        <v/>
      </c>
    </row>
    <row r="1003">
      <c r="Q1003">
        <f>A1003&amp;"|"&amp;B1003&amp;"|"&amp;C1003&amp;"|"&amp;D1003&amp;"|"&amp;E1003&amp;"|"&amp;F1003&amp;"|"&amp;G1003&amp;"|"&amp;H1003&amp;"|"&amp;I1003&amp;"|"&amp;J1003&amp;"|"&amp;K1003&amp;"|"&amp;L1003&amp;"|"&amp;M1003&amp;"|"&amp;N1003&amp;"|"&amp;O1003</f>
        <v/>
      </c>
      <c r="R1003">
        <f>IF(Q1003=REPT("|",14),0,1)</f>
        <v/>
      </c>
      <c r="S1003">
        <f>IF(R1003=0,0,IF(SUMPRODUCT(($Q$11:Q1002=Q1003)*($R$11:R1002=1))&gt;0,1,0))</f>
        <v/>
      </c>
    </row>
    <row r="1004">
      <c r="Q1004">
        <f>A1004&amp;"|"&amp;B1004&amp;"|"&amp;C1004&amp;"|"&amp;D1004&amp;"|"&amp;E1004&amp;"|"&amp;F1004&amp;"|"&amp;G1004&amp;"|"&amp;H1004&amp;"|"&amp;I1004&amp;"|"&amp;J1004&amp;"|"&amp;K1004&amp;"|"&amp;L1004&amp;"|"&amp;M1004&amp;"|"&amp;N1004&amp;"|"&amp;O1004</f>
        <v/>
      </c>
      <c r="R1004">
        <f>IF(Q1004=REPT("|",14),0,1)</f>
        <v/>
      </c>
      <c r="S1004">
        <f>IF(R1004=0,0,IF(SUMPRODUCT(($Q$11:Q1003=Q1004)*($R$11:R1003=1))&gt;0,1,0))</f>
        <v/>
      </c>
    </row>
    <row r="1005">
      <c r="Q1005">
        <f>A1005&amp;"|"&amp;B1005&amp;"|"&amp;C1005&amp;"|"&amp;D1005&amp;"|"&amp;E1005&amp;"|"&amp;F1005&amp;"|"&amp;G1005&amp;"|"&amp;H1005&amp;"|"&amp;I1005&amp;"|"&amp;J1005&amp;"|"&amp;K1005&amp;"|"&amp;L1005&amp;"|"&amp;M1005&amp;"|"&amp;N1005&amp;"|"&amp;O1005</f>
        <v/>
      </c>
      <c r="R1005">
        <f>IF(Q1005=REPT("|",14),0,1)</f>
        <v/>
      </c>
      <c r="S1005">
        <f>IF(R1005=0,0,IF(SUMPRODUCT(($Q$11:Q1004=Q1005)*($R$11:R1004=1))&gt;0,1,0))</f>
        <v/>
      </c>
    </row>
    <row r="1006">
      <c r="Q1006">
        <f>A1006&amp;"|"&amp;B1006&amp;"|"&amp;C1006&amp;"|"&amp;D1006&amp;"|"&amp;E1006&amp;"|"&amp;F1006&amp;"|"&amp;G1006&amp;"|"&amp;H1006&amp;"|"&amp;I1006&amp;"|"&amp;J1006&amp;"|"&amp;K1006&amp;"|"&amp;L1006&amp;"|"&amp;M1006&amp;"|"&amp;N1006&amp;"|"&amp;O1006</f>
        <v/>
      </c>
      <c r="R1006">
        <f>IF(Q1006=REPT("|",14),0,1)</f>
        <v/>
      </c>
      <c r="S1006">
        <f>IF(R1006=0,0,IF(SUMPRODUCT(($Q$11:Q1005=Q1006)*($R$11:R1005=1))&gt;0,1,0))</f>
        <v/>
      </c>
    </row>
    <row r="1007">
      <c r="Q1007">
        <f>A1007&amp;"|"&amp;B1007&amp;"|"&amp;C1007&amp;"|"&amp;D1007&amp;"|"&amp;E1007&amp;"|"&amp;F1007&amp;"|"&amp;G1007&amp;"|"&amp;H1007&amp;"|"&amp;I1007&amp;"|"&amp;J1007&amp;"|"&amp;K1007&amp;"|"&amp;L1007&amp;"|"&amp;M1007&amp;"|"&amp;N1007&amp;"|"&amp;O1007</f>
        <v/>
      </c>
      <c r="R1007">
        <f>IF(Q1007=REPT("|",14),0,1)</f>
        <v/>
      </c>
      <c r="S1007">
        <f>IF(R1007=0,0,IF(SUMPRODUCT(($Q$11:Q1006=Q1007)*($R$11:R1006=1))&gt;0,1,0))</f>
        <v/>
      </c>
    </row>
    <row r="1008">
      <c r="Q1008">
        <f>A1008&amp;"|"&amp;B1008&amp;"|"&amp;C1008&amp;"|"&amp;D1008&amp;"|"&amp;E1008&amp;"|"&amp;F1008&amp;"|"&amp;G1008&amp;"|"&amp;H1008&amp;"|"&amp;I1008&amp;"|"&amp;J1008&amp;"|"&amp;K1008&amp;"|"&amp;L1008&amp;"|"&amp;M1008&amp;"|"&amp;N1008&amp;"|"&amp;O1008</f>
        <v/>
      </c>
      <c r="R1008">
        <f>IF(Q1008=REPT("|",14),0,1)</f>
        <v/>
      </c>
      <c r="S1008">
        <f>IF(R1008=0,0,IF(SUMPRODUCT(($Q$11:Q1007=Q1008)*($R$11:R1007=1))&gt;0,1,0))</f>
        <v/>
      </c>
    </row>
    <row r="1009">
      <c r="Q1009">
        <f>A1009&amp;"|"&amp;B1009&amp;"|"&amp;C1009&amp;"|"&amp;D1009&amp;"|"&amp;E1009&amp;"|"&amp;F1009&amp;"|"&amp;G1009&amp;"|"&amp;H1009&amp;"|"&amp;I1009&amp;"|"&amp;J1009&amp;"|"&amp;K1009&amp;"|"&amp;L1009&amp;"|"&amp;M1009&amp;"|"&amp;N1009&amp;"|"&amp;O1009</f>
        <v/>
      </c>
      <c r="R1009">
        <f>IF(Q1009=REPT("|",14),0,1)</f>
        <v/>
      </c>
      <c r="S1009">
        <f>IF(R1009=0,0,IF(SUMPRODUCT(($Q$11:Q1008=Q1009)*($R$11:R1008=1))&gt;0,1,0))</f>
        <v/>
      </c>
    </row>
    <row r="1010">
      <c r="Q1010">
        <f>A1010&amp;"|"&amp;B1010&amp;"|"&amp;C1010&amp;"|"&amp;D1010&amp;"|"&amp;E1010&amp;"|"&amp;F1010&amp;"|"&amp;G1010&amp;"|"&amp;H1010&amp;"|"&amp;I1010&amp;"|"&amp;J1010&amp;"|"&amp;K1010&amp;"|"&amp;L1010&amp;"|"&amp;M1010&amp;"|"&amp;N1010&amp;"|"&amp;O1010</f>
        <v/>
      </c>
      <c r="R1010">
        <f>IF(Q1010=REPT("|",14),0,1)</f>
        <v/>
      </c>
      <c r="S1010">
        <f>IF(R1010=0,0,IF(SUMPRODUCT(($Q$11:Q1009=Q1010)*($R$11:R1009=1))&gt;0,1,0))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04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34" customWidth="1" min="3" max="3"/>
    <col width="12" customWidth="1" min="4" max="4"/>
    <col width="40" customWidth="1" min="5" max="5"/>
    <col width="40" customWidth="1" min="6" max="6"/>
  </cols>
  <sheetData>
    <row r="1">
      <c r="A1" s="1" t="inlineStr">
        <is>
          <t>Mapping registry rows (paste memory/mappings/registry.csv)</t>
        </is>
      </c>
    </row>
    <row r="2"/>
    <row r="3"/>
    <row r="4">
      <c r="A4" s="7" t="inlineStr">
        <is>
          <t>source_id</t>
        </is>
      </c>
      <c r="B4" s="7" t="inlineStr">
        <is>
          <t>source_value</t>
        </is>
      </c>
      <c r="C4" s="7" t="inlineStr">
        <is>
          <t>target</t>
        </is>
      </c>
      <c r="D4" s="7" t="inlineStr">
        <is>
          <t>status (mapped/ignored)</t>
        </is>
      </c>
      <c r="E4" s="7" t="inlineStr">
        <is>
          <t>rationale</t>
        </is>
      </c>
      <c r="F4" s="7" t="inlineStr">
        <is>
          <t>key (formula)</t>
        </is>
      </c>
      <c r="G4" s="7" t="inlineStr">
        <is>
          <t>valid rule?</t>
        </is>
      </c>
      <c r="H4" s="7" t="inlineStr">
        <is>
          <t>first target occurrence (helper)</t>
        </is>
      </c>
    </row>
    <row r="5">
      <c r="A5" s="8" t="inlineStr">
        <is>
          <t>tally-pl-monthly</t>
        </is>
      </c>
      <c r="B5" s="8" t="inlineStr">
        <is>
          <t>Sales - Domestic (TN) @18%</t>
        </is>
      </c>
      <c r="C5" s="8" t="inlineStr">
        <is>
          <t>income_statement.revenue</t>
        </is>
      </c>
      <c r="D5" s="8" t="inlineStr">
        <is>
          <t>mapped</t>
        </is>
      </c>
      <c r="E5" s="8" t="inlineStr"/>
      <c r="F5" s="6">
        <f>IF(B5="","",TRIM(A5)&amp;"||"&amp;TRIM(B5))</f>
        <v/>
      </c>
      <c r="G5" s="6">
        <f>IF(B5="","",IF(OR(AND(LOWER(D5)="mapped",TRIM(C5)&lt;&gt;""),AND(LOWER(D5)="ignored",TRIM(E5)&lt;&gt;"")),1,0))</f>
        <v/>
      </c>
      <c r="H5" s="6">
        <f>IF(AND(TRIM(A5)=Setup!$B$4,LOWER(D5)="mapped",TRIM(C5)&lt;&gt;""),IF(SUMPRODUCT((TRIM($A$5:A5)=Setup!$B$4)*(LOWER($D$5:D5)="mapped")*(TRIM($C$5:C5)=TRIM(C5)))=1,ROW(),""),"")</f>
        <v/>
      </c>
    </row>
    <row r="6">
      <c r="A6" s="8" t="inlineStr">
        <is>
          <t>tally-pl-monthly</t>
        </is>
      </c>
      <c r="B6" s="8" t="inlineStr">
        <is>
          <t>Sales - Interstate (Kerala/Karnataka) @18%</t>
        </is>
      </c>
      <c r="C6" s="8" t="inlineStr">
        <is>
          <t>income_statement.revenue</t>
        </is>
      </c>
      <c r="D6" s="8" t="inlineStr">
        <is>
          <t>mapped</t>
        </is>
      </c>
      <c r="E6" s="8" t="inlineStr"/>
      <c r="F6" s="6">
        <f>IF(B6="","",TRIM(A6)&amp;"||"&amp;TRIM(B6))</f>
        <v/>
      </c>
      <c r="G6" s="6">
        <f>IF(B6="","",IF(OR(AND(LOWER(D6)="mapped",TRIM(C6)&lt;&gt;""),AND(LOWER(D6)="ignored",TRIM(E6)&lt;&gt;"")),1,0))</f>
        <v/>
      </c>
      <c r="H6" s="6">
        <f>IF(AND(TRIM(A6)=Setup!$B$4,LOWER(D6)="mapped",TRIM(C6)&lt;&gt;""),IF(SUMPRODUCT((TRIM($A$5:A6)=Setup!$B$4)*(LOWER($D$5:D6)="mapped")*(TRIM($C$5:C6)=TRIM(C6)))=1,ROW(),""),"")</f>
        <v/>
      </c>
    </row>
    <row r="7">
      <c r="A7" s="8" t="inlineStr">
        <is>
          <t>tally-pl-monthly</t>
        </is>
      </c>
      <c r="B7" s="8" t="inlineStr">
        <is>
          <t>Sales - Marketplace (Amazon/Flipkart)</t>
        </is>
      </c>
      <c r="C7" s="8" t="inlineStr">
        <is>
          <t>income_statement.revenue</t>
        </is>
      </c>
      <c r="D7" s="8" t="inlineStr">
        <is>
          <t>mapped</t>
        </is>
      </c>
      <c r="E7" s="8" t="inlineStr"/>
      <c r="F7" s="6">
        <f>IF(B7="","",TRIM(A7)&amp;"||"&amp;TRIM(B7))</f>
        <v/>
      </c>
      <c r="G7" s="6">
        <f>IF(B7="","",IF(OR(AND(LOWER(D7)="mapped",TRIM(C7)&lt;&gt;""),AND(LOWER(D7)="ignored",TRIM(E7)&lt;&gt;"")),1,0))</f>
        <v/>
      </c>
      <c r="H7" s="6">
        <f>IF(AND(TRIM(A7)=Setup!$B$4,LOWER(D7)="mapped",TRIM(C7)&lt;&gt;""),IF(SUMPRODUCT((TRIM($A$5:A7)=Setup!$B$4)*(LOWER($D$5:D7)="mapped")*(TRIM($C$5:C7)=TRIM(C7)))=1,ROW(),""),"")</f>
        <v/>
      </c>
    </row>
    <row r="8">
      <c r="A8" s="8" t="inlineStr">
        <is>
          <t>tally-pl-monthly</t>
        </is>
      </c>
      <c r="B8" s="8" t="inlineStr">
        <is>
          <t>Sales Returns &amp; Dealer Schemes</t>
        </is>
      </c>
      <c r="C8" s="8" t="inlineStr">
        <is>
          <t>income_statement.revenue</t>
        </is>
      </c>
      <c r="D8" s="8" t="inlineStr">
        <is>
          <t>mapped</t>
        </is>
      </c>
      <c r="E8" s="8" t="inlineStr">
        <is>
          <t>schemes are revenue deductions (Ind AS 115 / AS 9)</t>
        </is>
      </c>
      <c r="F8" s="6">
        <f>IF(B8="","",TRIM(A8)&amp;"||"&amp;TRIM(B8))</f>
        <v/>
      </c>
      <c r="G8" s="6">
        <f>IF(B8="","",IF(OR(AND(LOWER(D8)="mapped",TRIM(C8)&lt;&gt;""),AND(LOWER(D8)="ignored",TRIM(E8)&lt;&gt;"")),1,0))</f>
        <v/>
      </c>
      <c r="H8" s="6">
        <f>IF(AND(TRIM(A8)=Setup!$B$4,LOWER(D8)="mapped",TRIM(C8)&lt;&gt;""),IF(SUMPRODUCT((TRIM($A$5:A8)=Setup!$B$4)*(LOWER($D$5:D8)="mapped")*(TRIM($C$5:C8)=TRIM(C8)))=1,ROW(),""),"")</f>
        <v/>
      </c>
    </row>
    <row r="9">
      <c r="A9" s="8" t="inlineStr">
        <is>
          <t>tally-pl-monthly</t>
        </is>
      </c>
      <c r="B9" s="8" t="inlineStr">
        <is>
          <t>Purchase - Rubberwood &amp; Teak</t>
        </is>
      </c>
      <c r="C9" s="8" t="inlineStr">
        <is>
          <t>income_statement.cogs</t>
        </is>
      </c>
      <c r="D9" s="8" t="inlineStr">
        <is>
          <t>mapped</t>
        </is>
      </c>
      <c r="E9" s="8" t="inlineStr"/>
      <c r="F9" s="6">
        <f>IF(B9="","",TRIM(A9)&amp;"||"&amp;TRIM(B9))</f>
        <v/>
      </c>
      <c r="G9" s="6">
        <f>IF(B9="","",IF(OR(AND(LOWER(D9)="mapped",TRIM(C9)&lt;&gt;""),AND(LOWER(D9)="ignored",TRIM(E9)&lt;&gt;"")),1,0))</f>
        <v/>
      </c>
      <c r="H9" s="6">
        <f>IF(AND(TRIM(A9)=Setup!$B$4,LOWER(D9)="mapped",TRIM(C9)&lt;&gt;""),IF(SUMPRODUCT((TRIM($A$5:A9)=Setup!$B$4)*(LOWER($D$5:D9)="mapped")*(TRIM($C$5:C9)=TRIM(C9)))=1,ROW(),""),"")</f>
        <v/>
      </c>
    </row>
    <row r="10">
      <c r="A10" s="8" t="inlineStr">
        <is>
          <t>tally-pl-monthly</t>
        </is>
      </c>
      <c r="B10" s="8" t="inlineStr">
        <is>
          <t>Purchase - Steel &amp; Mechanisms (incl. import)</t>
        </is>
      </c>
      <c r="C10" s="8" t="inlineStr">
        <is>
          <t>income_statement.cogs</t>
        </is>
      </c>
      <c r="D10" s="8" t="inlineStr">
        <is>
          <t>mapped</t>
        </is>
      </c>
      <c r="E10" s="8" t="inlineStr"/>
      <c r="F10" s="6">
        <f>IF(B10="","",TRIM(A10)&amp;"||"&amp;TRIM(B10))</f>
        <v/>
      </c>
      <c r="G10" s="6">
        <f>IF(B10="","",IF(OR(AND(LOWER(D10)="mapped",TRIM(C10)&lt;&gt;""),AND(LOWER(D10)="ignored",TRIM(E10)&lt;&gt;"")),1,0))</f>
        <v/>
      </c>
      <c r="H10" s="6">
        <f>IF(AND(TRIM(A10)=Setup!$B$4,LOWER(D10)="mapped",TRIM(C10)&lt;&gt;""),IF(SUMPRODUCT((TRIM($A$5:A10)=Setup!$B$4)*(LOWER($D$5:D10)="mapped")*(TRIM($C$5:C10)=TRIM(C10)))=1,ROW(),""),"")</f>
        <v/>
      </c>
    </row>
    <row r="11">
      <c r="A11" s="8" t="inlineStr">
        <is>
          <t>tally-pl-monthly</t>
        </is>
      </c>
      <c r="B11" s="8" t="inlineStr">
        <is>
          <t>Factory Wages &amp; Job Work</t>
        </is>
      </c>
      <c r="C11" s="8" t="inlineStr">
        <is>
          <t>income_statement.cogs</t>
        </is>
      </c>
      <c r="D11" s="8" t="inlineStr">
        <is>
          <t>mapped</t>
        </is>
      </c>
      <c r="E11" s="8" t="inlineStr"/>
      <c r="F11" s="6">
        <f>IF(B11="","",TRIM(A11)&amp;"||"&amp;TRIM(B11))</f>
        <v/>
      </c>
      <c r="G11" s="6">
        <f>IF(B11="","",IF(OR(AND(LOWER(D11)="mapped",TRIM(C11)&lt;&gt;""),AND(LOWER(D11)="ignored",TRIM(E11)&lt;&gt;"")),1,0))</f>
        <v/>
      </c>
      <c r="H11" s="6">
        <f>IF(AND(TRIM(A11)=Setup!$B$4,LOWER(D11)="mapped",TRIM(C11)&lt;&gt;""),IF(SUMPRODUCT((TRIM($A$5:A11)=Setup!$B$4)*(LOWER($D$5:D11)="mapped")*(TRIM($C$5:C11)=TRIM(C11)))=1,ROW(),""),"")</f>
        <v/>
      </c>
    </row>
    <row r="12">
      <c r="A12" s="8" t="inlineStr">
        <is>
          <t>tally-pl-monthly</t>
        </is>
      </c>
      <c r="B12" s="8" t="inlineStr">
        <is>
          <t>Marketplace Commission &amp; Fees</t>
        </is>
      </c>
      <c r="C12" s="8" t="inlineStr">
        <is>
          <t>income_statement.cogs</t>
        </is>
      </c>
      <c r="D12" s="8" t="inlineStr">
        <is>
          <t>mapped</t>
        </is>
      </c>
      <c r="E12" s="8" t="inlineStr">
        <is>
          <t>channel cost kept in online COGS</t>
        </is>
      </c>
      <c r="F12" s="6">
        <f>IF(B12="","",TRIM(A12)&amp;"||"&amp;TRIM(B12))</f>
        <v/>
      </c>
      <c r="G12" s="6">
        <f>IF(B12="","",IF(OR(AND(LOWER(D12)="mapped",TRIM(C12)&lt;&gt;""),AND(LOWER(D12)="ignored",TRIM(E12)&lt;&gt;"")),1,0))</f>
        <v/>
      </c>
      <c r="H12" s="6">
        <f>IF(AND(TRIM(A12)=Setup!$B$4,LOWER(D12)="mapped",TRIM(C12)&lt;&gt;""),IF(SUMPRODUCT((TRIM($A$5:A12)=Setup!$B$4)*(LOWER($D$5:D12)="mapped")*(TRIM($C$5:C12)=TRIM(C12)))=1,ROW(),""),"")</f>
        <v/>
      </c>
    </row>
    <row r="13">
      <c r="A13" s="8" t="inlineStr">
        <is>
          <t>tally-pl-monthly</t>
        </is>
      </c>
      <c r="B13" s="8" t="inlineStr">
        <is>
          <t>Salaries &amp; Staff Welfare (office/sales)</t>
        </is>
      </c>
      <c r="C13" s="8" t="inlineStr">
        <is>
          <t>opex.payroll</t>
        </is>
      </c>
      <c r="D13" s="8" t="inlineStr">
        <is>
          <t>mapped</t>
        </is>
      </c>
      <c r="E13" s="8" t="inlineStr"/>
      <c r="F13" s="6">
        <f>IF(B13="","",TRIM(A13)&amp;"||"&amp;TRIM(B13))</f>
        <v/>
      </c>
      <c r="G13" s="6">
        <f>IF(B13="","",IF(OR(AND(LOWER(D13)="mapped",TRIM(C13)&lt;&gt;""),AND(LOWER(D13)="ignored",TRIM(E13)&lt;&gt;"")),1,0))</f>
        <v/>
      </c>
      <c r="H13" s="6">
        <f>IF(AND(TRIM(A13)=Setup!$B$4,LOWER(D13)="mapped",TRIM(C13)&lt;&gt;""),IF(SUMPRODUCT((TRIM($A$5:A13)=Setup!$B$4)*(LOWER($D$5:D13)="mapped")*(TRIM($C$5:C13)=TRIM(C13)))=1,ROW(),""),"")</f>
        <v/>
      </c>
    </row>
    <row r="14">
      <c r="A14" s="8" t="inlineStr">
        <is>
          <t>tally-pl-monthly</t>
        </is>
      </c>
      <c r="B14" s="8" t="inlineStr">
        <is>
          <t>PF &amp; ESI - Employer</t>
        </is>
      </c>
      <c r="C14" s="8" t="inlineStr">
        <is>
          <t>opex.payroll</t>
        </is>
      </c>
      <c r="D14" s="8" t="inlineStr">
        <is>
          <t>mapped</t>
        </is>
      </c>
      <c r="E14" s="8" t="inlineStr"/>
      <c r="F14" s="6">
        <f>IF(B14="","",TRIM(A14)&amp;"||"&amp;TRIM(B14))</f>
        <v/>
      </c>
      <c r="G14" s="6">
        <f>IF(B14="","",IF(OR(AND(LOWER(D14)="mapped",TRIM(C14)&lt;&gt;""),AND(LOWER(D14)="ignored",TRIM(E14)&lt;&gt;"")),1,0))</f>
        <v/>
      </c>
      <c r="H14" s="6">
        <f>IF(AND(TRIM(A14)=Setup!$B$4,LOWER(D14)="mapped",TRIM(C14)&lt;&gt;""),IF(SUMPRODUCT((TRIM($A$5:A14)=Setup!$B$4)*(LOWER($D$5:D14)="mapped")*(TRIM($C$5:C14)=TRIM(C14)))=1,ROW(),""),"")</f>
        <v/>
      </c>
    </row>
    <row r="15">
      <c r="A15" s="8" t="inlineStr">
        <is>
          <t>tally-pl-monthly</t>
        </is>
      </c>
      <c r="B15" s="8" t="inlineStr">
        <is>
          <t>Advertisement &amp; Dealer Meets</t>
        </is>
      </c>
      <c r="C15" s="8" t="inlineStr">
        <is>
          <t>opex.marketing</t>
        </is>
      </c>
      <c r="D15" s="8" t="inlineStr">
        <is>
          <t>mapped</t>
        </is>
      </c>
      <c r="E15" s="8" t="inlineStr"/>
      <c r="F15" s="6">
        <f>IF(B15="","",TRIM(A15)&amp;"||"&amp;TRIM(B15))</f>
        <v/>
      </c>
      <c r="G15" s="6">
        <f>IF(B15="","",IF(OR(AND(LOWER(D15)="mapped",TRIM(C15)&lt;&gt;""),AND(LOWER(D15)="ignored",TRIM(E15)&lt;&gt;"")),1,0))</f>
        <v/>
      </c>
      <c r="H15" s="6">
        <f>IF(AND(TRIM(A15)=Setup!$B$4,LOWER(D15)="mapped",TRIM(C15)&lt;&gt;""),IF(SUMPRODUCT((TRIM($A$5:A15)=Setup!$B$4)*(LOWER($D$5:D15)="mapped")*(TRIM($C$5:C15)=TRIM(C15)))=1,ROW(),""),"")</f>
        <v/>
      </c>
    </row>
    <row r="16">
      <c r="A16" s="8" t="inlineStr">
        <is>
          <t>tally-pl-monthly</t>
        </is>
      </c>
      <c r="B16" s="8" t="inlineStr">
        <is>
          <t>Freight Outward</t>
        </is>
      </c>
      <c r="C16" s="8" t="inlineStr">
        <is>
          <t>opex.freight</t>
        </is>
      </c>
      <c r="D16" s="8" t="inlineStr">
        <is>
          <t>mapped</t>
        </is>
      </c>
      <c r="E16" s="8" t="inlineStr"/>
      <c r="F16" s="6">
        <f>IF(B16="","",TRIM(A16)&amp;"||"&amp;TRIM(B16))</f>
        <v/>
      </c>
      <c r="G16" s="6">
        <f>IF(B16="","",IF(OR(AND(LOWER(D16)="mapped",TRIM(C16)&lt;&gt;""),AND(LOWER(D16)="ignored",TRIM(E16)&lt;&gt;"")),1,0))</f>
        <v/>
      </c>
      <c r="H16" s="6">
        <f>IF(AND(TRIM(A16)=Setup!$B$4,LOWER(D16)="mapped",TRIM(C16)&lt;&gt;""),IF(SUMPRODUCT((TRIM($A$5:A16)=Setup!$B$4)*(LOWER($D$5:D16)="mapped")*(TRIM($C$5:C16)=TRIM(C16)))=1,ROW(),""),"")</f>
        <v/>
      </c>
    </row>
    <row r="17">
      <c r="A17" s="8" t="inlineStr">
        <is>
          <t>tally-pl-monthly</t>
        </is>
      </c>
      <c r="B17" s="8" t="inlineStr">
        <is>
          <t>Rent - Factory Land (related party)</t>
        </is>
      </c>
      <c r="C17" s="8" t="inlineStr">
        <is>
          <t>opex.rent_facilities</t>
        </is>
      </c>
      <c r="D17" s="8" t="inlineStr">
        <is>
          <t>mapped</t>
        </is>
      </c>
      <c r="E17" s="8" t="inlineStr">
        <is>
          <t>RPT - see D28</t>
        </is>
      </c>
      <c r="F17" s="6">
        <f>IF(B17="","",TRIM(A17)&amp;"||"&amp;TRIM(B17))</f>
        <v/>
      </c>
      <c r="G17" s="6">
        <f>IF(B17="","",IF(OR(AND(LOWER(D17)="mapped",TRIM(C17)&lt;&gt;""),AND(LOWER(D17)="ignored",TRIM(E17)&lt;&gt;"")),1,0))</f>
        <v/>
      </c>
      <c r="H17" s="6">
        <f>IF(AND(TRIM(A17)=Setup!$B$4,LOWER(D17)="mapped",TRIM(C17)&lt;&gt;""),IF(SUMPRODUCT((TRIM($A$5:A17)=Setup!$B$4)*(LOWER($D$5:D17)="mapped")*(TRIM($C$5:C17)=TRIM(C17)))=1,ROW(),""),"")</f>
        <v/>
      </c>
    </row>
    <row r="18">
      <c r="A18" s="8" t="inlineStr">
        <is>
          <t>tally-pl-monthly</t>
        </is>
      </c>
      <c r="B18" s="8" t="inlineStr">
        <is>
          <t>Electricity (TNPDCL) &amp; Maintenance</t>
        </is>
      </c>
      <c r="C18" s="8" t="inlineStr">
        <is>
          <t>opex.rent_facilities</t>
        </is>
      </c>
      <c r="D18" s="8" t="inlineStr">
        <is>
          <t>mapped</t>
        </is>
      </c>
      <c r="E18" s="8" t="inlineStr"/>
      <c r="F18" s="6">
        <f>IF(B18="","",TRIM(A18)&amp;"||"&amp;TRIM(B18))</f>
        <v/>
      </c>
      <c r="G18" s="6">
        <f>IF(B18="","",IF(OR(AND(LOWER(D18)="mapped",TRIM(C18)&lt;&gt;""),AND(LOWER(D18)="ignored",TRIM(E18)&lt;&gt;"")),1,0))</f>
        <v/>
      </c>
      <c r="H18" s="6">
        <f>IF(AND(TRIM(A18)=Setup!$B$4,LOWER(D18)="mapped",TRIM(C18)&lt;&gt;""),IF(SUMPRODUCT((TRIM($A$5:A18)=Setup!$B$4)*(LOWER($D$5:D18)="mapped")*(TRIM($C$5:C18)=TRIM(C18)))=1,ROW(),""),"")</f>
        <v/>
      </c>
    </row>
    <row r="19">
      <c r="A19" s="8" t="inlineStr">
        <is>
          <t>tally-pl-monthly</t>
        </is>
      </c>
      <c r="B19" s="8" t="inlineStr">
        <is>
          <t>Professional Fees, Software &amp; Admin</t>
        </is>
      </c>
      <c r="C19" s="8" t="inlineStr">
        <is>
          <t>opex.admin</t>
        </is>
      </c>
      <c r="D19" s="8" t="inlineStr">
        <is>
          <t>mapped</t>
        </is>
      </c>
      <c r="E19" s="8" t="inlineStr"/>
      <c r="F19" s="6">
        <f>IF(B19="","",TRIM(A19)&amp;"||"&amp;TRIM(B19))</f>
        <v/>
      </c>
      <c r="G19" s="6">
        <f>IF(B19="","",IF(OR(AND(LOWER(D19)="mapped",TRIM(C19)&lt;&gt;""),AND(LOWER(D19)="ignored",TRIM(E19)&lt;&gt;"")),1,0))</f>
        <v/>
      </c>
      <c r="H19" s="6">
        <f>IF(AND(TRIM(A19)=Setup!$B$4,LOWER(D19)="mapped",TRIM(C19)&lt;&gt;""),IF(SUMPRODUCT((TRIM($A$5:A19)=Setup!$B$4)*(LOWER($D$5:D19)="mapped")*(TRIM($C$5:C19)=TRIM(C19)))=1,ROW(),""),"")</f>
        <v/>
      </c>
    </row>
    <row r="20">
      <c r="A20" s="8" t="inlineStr">
        <is>
          <t>tally-pl-monthly</t>
        </is>
      </c>
      <c r="B20" s="8" t="inlineStr">
        <is>
          <t>Interest on Cash Credit</t>
        </is>
      </c>
      <c r="C20" s="8" t="inlineStr"/>
      <c r="D20" s="8" t="inlineStr">
        <is>
          <t>ignored</t>
        </is>
      </c>
      <c r="E20" s="8" t="inlineStr">
        <is>
          <t>modelled in K01 debt schedule</t>
        </is>
      </c>
      <c r="F20" s="6">
        <f>IF(B20="","",TRIM(A20)&amp;"||"&amp;TRIM(B20))</f>
        <v/>
      </c>
      <c r="G20" s="6">
        <f>IF(B20="","",IF(OR(AND(LOWER(D20)="mapped",TRIM(C20)&lt;&gt;""),AND(LOWER(D20)="ignored",TRIM(E20)&lt;&gt;"")),1,0))</f>
        <v/>
      </c>
      <c r="H20" s="6">
        <f>IF(AND(TRIM(A20)=Setup!$B$4,LOWER(D20)="mapped",TRIM(C20)&lt;&gt;""),IF(SUMPRODUCT((TRIM($A$5:A20)=Setup!$B$4)*(LOWER($D$5:D20)="mapped")*(TRIM($C$5:C20)=TRIM(C20)))=1,ROW(),""),"")</f>
        <v/>
      </c>
    </row>
    <row r="21">
      <c r="A21" s="8" t="inlineStr">
        <is>
          <t>tally-pl-monthly</t>
        </is>
      </c>
      <c r="B21" s="8" t="inlineStr">
        <is>
          <t>Interest on TIIC Term Loan</t>
        </is>
      </c>
      <c r="C21" s="8" t="inlineStr"/>
      <c r="D21" s="8" t="inlineStr">
        <is>
          <t>ignored</t>
        </is>
      </c>
      <c r="E21" s="8" t="inlineStr">
        <is>
          <t>modelled in K01 debt schedule</t>
        </is>
      </c>
      <c r="F21" s="6">
        <f>IF(B21="","",TRIM(A21)&amp;"||"&amp;TRIM(B21))</f>
        <v/>
      </c>
      <c r="G21" s="6">
        <f>IF(B21="","",IF(OR(AND(LOWER(D21)="mapped",TRIM(C21)&lt;&gt;""),AND(LOWER(D21)="ignored",TRIM(E21)&lt;&gt;"")),1,0))</f>
        <v/>
      </c>
      <c r="H21" s="6">
        <f>IF(AND(TRIM(A21)=Setup!$B$4,LOWER(D21)="mapped",TRIM(C21)&lt;&gt;""),IF(SUMPRODUCT((TRIM($A$5:A21)=Setup!$B$4)*(LOWER($D$5:D21)="mapped")*(TRIM($C$5:C21)=TRIM(C21)))=1,ROW(),""),"")</f>
        <v/>
      </c>
    </row>
    <row r="22">
      <c r="A22" s="8" t="inlineStr">
        <is>
          <t>tally-pl-monthly</t>
        </is>
      </c>
      <c r="B22" s="8" t="inlineStr">
        <is>
          <t>Depreciation</t>
        </is>
      </c>
      <c r="C22" s="8" t="inlineStr">
        <is>
          <t>da</t>
        </is>
      </c>
      <c r="D22" s="8" t="inlineStr">
        <is>
          <t>mapped</t>
        </is>
      </c>
      <c r="E22" s="8" t="inlineStr"/>
      <c r="F22" s="6">
        <f>IF(B22="","",TRIM(A22)&amp;"||"&amp;TRIM(B22))</f>
        <v/>
      </c>
      <c r="G22" s="6">
        <f>IF(B22="","",IF(OR(AND(LOWER(D22)="mapped",TRIM(C22)&lt;&gt;""),AND(LOWER(D22)="ignored",TRIM(E22)&lt;&gt;"")),1,0))</f>
        <v/>
      </c>
      <c r="H22" s="6">
        <f>IF(AND(TRIM(A22)=Setup!$B$4,LOWER(D22)="mapped",TRIM(C22)&lt;&gt;""),IF(SUMPRODUCT((TRIM($A$5:A22)=Setup!$B$4)*(LOWER($D$5:D22)="mapped")*(TRIM($C$5:C22)=TRIM(C22)))=1,ROW(),""),"")</f>
        <v/>
      </c>
    </row>
    <row r="23">
      <c r="A23" s="8" t="inlineStr">
        <is>
          <t>tally-pl-monthly</t>
        </is>
      </c>
      <c r="B23" s="8" t="inlineStr">
        <is>
          <t>Output CGST</t>
        </is>
      </c>
      <c r="C23" s="8" t="inlineStr"/>
      <c r="D23" s="8" t="inlineStr">
        <is>
          <t>ignored</t>
        </is>
      </c>
      <c r="E23" s="8" t="inlineStr">
        <is>
          <t>GST control ledger - GST cash in K02 via D24</t>
        </is>
      </c>
      <c r="F23" s="6">
        <f>IF(B23="","",TRIM(A23)&amp;"||"&amp;TRIM(B23))</f>
        <v/>
      </c>
      <c r="G23" s="6">
        <f>IF(B23="","",IF(OR(AND(LOWER(D23)="mapped",TRIM(C23)&lt;&gt;""),AND(LOWER(D23)="ignored",TRIM(E23)&lt;&gt;"")),1,0))</f>
        <v/>
      </c>
      <c r="H23" s="6">
        <f>IF(AND(TRIM(A23)=Setup!$B$4,LOWER(D23)="mapped",TRIM(C23)&lt;&gt;""),IF(SUMPRODUCT((TRIM($A$5:A23)=Setup!$B$4)*(LOWER($D$5:D23)="mapped")*(TRIM($C$5:C23)=TRIM(C23)))=1,ROW(),""),"")</f>
        <v/>
      </c>
    </row>
    <row r="24">
      <c r="A24" s="8" t="inlineStr">
        <is>
          <t>tally-pl-monthly</t>
        </is>
      </c>
      <c r="B24" s="8" t="inlineStr">
        <is>
          <t>Output SGST</t>
        </is>
      </c>
      <c r="C24" s="8" t="inlineStr"/>
      <c r="D24" s="8" t="inlineStr">
        <is>
          <t>ignored</t>
        </is>
      </c>
      <c r="E24" s="8" t="inlineStr">
        <is>
          <t>GST control ledger - GST cash in K02 via D24</t>
        </is>
      </c>
      <c r="F24" s="6">
        <f>IF(B24="","",TRIM(A24)&amp;"||"&amp;TRIM(B24))</f>
        <v/>
      </c>
      <c r="G24" s="6">
        <f>IF(B24="","",IF(OR(AND(LOWER(D24)="mapped",TRIM(C24)&lt;&gt;""),AND(LOWER(D24)="ignored",TRIM(E24)&lt;&gt;"")),1,0))</f>
        <v/>
      </c>
      <c r="H24" s="6">
        <f>IF(AND(TRIM(A24)=Setup!$B$4,LOWER(D24)="mapped",TRIM(C24)&lt;&gt;""),IF(SUMPRODUCT((TRIM($A$5:A24)=Setup!$B$4)*(LOWER($D$5:D24)="mapped")*(TRIM($C$5:C24)=TRIM(C24)))=1,ROW(),""),"")</f>
        <v/>
      </c>
    </row>
    <row r="25">
      <c r="A25" s="8" t="n"/>
      <c r="B25" s="8" t="n"/>
      <c r="C25" s="8" t="n"/>
      <c r="D25" s="8" t="n"/>
      <c r="E25" s="8" t="n"/>
      <c r="F25" s="6">
        <f>IF(B25="","",TRIM(A25)&amp;"||"&amp;TRIM(B25))</f>
        <v/>
      </c>
      <c r="G25" s="6">
        <f>IF(B25="","",IF(OR(AND(LOWER(D25)="mapped",TRIM(C25)&lt;&gt;""),AND(LOWER(D25)="ignored",TRIM(E25)&lt;&gt;"")),1,0))</f>
        <v/>
      </c>
      <c r="H25" s="6">
        <f>IF(AND(TRIM(A25)=Setup!$B$4,LOWER(D25)="mapped",TRIM(C25)&lt;&gt;""),IF(SUMPRODUCT((TRIM($A$5:A25)=Setup!$B$4)*(LOWER($D$5:D25)="mapped")*(TRIM($C$5:C25)=TRIM(C25)))=1,ROW(),""),"")</f>
        <v/>
      </c>
    </row>
    <row r="26">
      <c r="A26" s="8" t="n"/>
      <c r="B26" s="8" t="n"/>
      <c r="C26" s="8" t="n"/>
      <c r="D26" s="8" t="n"/>
      <c r="E26" s="8" t="n"/>
      <c r="F26" s="6">
        <f>IF(B26="","",TRIM(A26)&amp;"||"&amp;TRIM(B26))</f>
        <v/>
      </c>
      <c r="G26" s="6">
        <f>IF(B26="","",IF(OR(AND(LOWER(D26)="mapped",TRIM(C26)&lt;&gt;""),AND(LOWER(D26)="ignored",TRIM(E26)&lt;&gt;"")),1,0))</f>
        <v/>
      </c>
      <c r="H26" s="6">
        <f>IF(AND(TRIM(A26)=Setup!$B$4,LOWER(D26)="mapped",TRIM(C26)&lt;&gt;""),IF(SUMPRODUCT((TRIM($A$5:A26)=Setup!$B$4)*(LOWER($D$5:D26)="mapped")*(TRIM($C$5:C26)=TRIM(C26)))=1,ROW(),""),"")</f>
        <v/>
      </c>
    </row>
    <row r="27">
      <c r="A27" s="8" t="n"/>
      <c r="B27" s="8" t="n"/>
      <c r="C27" s="8" t="n"/>
      <c r="D27" s="8" t="n"/>
      <c r="E27" s="8" t="n"/>
      <c r="F27" s="6">
        <f>IF(B27="","",TRIM(A27)&amp;"||"&amp;TRIM(B27))</f>
        <v/>
      </c>
      <c r="G27" s="6">
        <f>IF(B27="","",IF(OR(AND(LOWER(D27)="mapped",TRIM(C27)&lt;&gt;""),AND(LOWER(D27)="ignored",TRIM(E27)&lt;&gt;"")),1,0))</f>
        <v/>
      </c>
      <c r="H27" s="6">
        <f>IF(AND(TRIM(A27)=Setup!$B$4,LOWER(D27)="mapped",TRIM(C27)&lt;&gt;""),IF(SUMPRODUCT((TRIM($A$5:A27)=Setup!$B$4)*(LOWER($D$5:D27)="mapped")*(TRIM($C$5:C27)=TRIM(C27)))=1,ROW(),""),"")</f>
        <v/>
      </c>
    </row>
    <row r="28">
      <c r="A28" s="8" t="n"/>
      <c r="B28" s="8" t="n"/>
      <c r="C28" s="8" t="n"/>
      <c r="D28" s="8" t="n"/>
      <c r="E28" s="8" t="n"/>
      <c r="F28" s="6">
        <f>IF(B28="","",TRIM(A28)&amp;"||"&amp;TRIM(B28))</f>
        <v/>
      </c>
      <c r="G28" s="6">
        <f>IF(B28="","",IF(OR(AND(LOWER(D28)="mapped",TRIM(C28)&lt;&gt;""),AND(LOWER(D28)="ignored",TRIM(E28)&lt;&gt;"")),1,0))</f>
        <v/>
      </c>
      <c r="H28" s="6">
        <f>IF(AND(TRIM(A28)=Setup!$B$4,LOWER(D28)="mapped",TRIM(C28)&lt;&gt;""),IF(SUMPRODUCT((TRIM($A$5:A28)=Setup!$B$4)*(LOWER($D$5:D28)="mapped")*(TRIM($C$5:C28)=TRIM(C28)))=1,ROW(),""),"")</f>
        <v/>
      </c>
    </row>
    <row r="29">
      <c r="A29" s="8" t="n"/>
      <c r="B29" s="8" t="n"/>
      <c r="C29" s="8" t="n"/>
      <c r="D29" s="8" t="n"/>
      <c r="E29" s="8" t="n"/>
      <c r="F29" s="6">
        <f>IF(B29="","",TRIM(A29)&amp;"||"&amp;TRIM(B29))</f>
        <v/>
      </c>
      <c r="G29" s="6">
        <f>IF(B29="","",IF(OR(AND(LOWER(D29)="mapped",TRIM(C29)&lt;&gt;""),AND(LOWER(D29)="ignored",TRIM(E29)&lt;&gt;"")),1,0))</f>
        <v/>
      </c>
      <c r="H29" s="6">
        <f>IF(AND(TRIM(A29)=Setup!$B$4,LOWER(D29)="mapped",TRIM(C29)&lt;&gt;""),IF(SUMPRODUCT((TRIM($A$5:A29)=Setup!$B$4)*(LOWER($D$5:D29)="mapped")*(TRIM($C$5:C29)=TRIM(C29)))=1,ROW(),""),"")</f>
        <v/>
      </c>
    </row>
    <row r="30">
      <c r="A30" s="8" t="n"/>
      <c r="B30" s="8" t="n"/>
      <c r="C30" s="8" t="n"/>
      <c r="D30" s="8" t="n"/>
      <c r="E30" s="8" t="n"/>
      <c r="F30" s="6">
        <f>IF(B30="","",TRIM(A30)&amp;"||"&amp;TRIM(B30))</f>
        <v/>
      </c>
      <c r="G30" s="6">
        <f>IF(B30="","",IF(OR(AND(LOWER(D30)="mapped",TRIM(C30)&lt;&gt;""),AND(LOWER(D30)="ignored",TRIM(E30)&lt;&gt;"")),1,0))</f>
        <v/>
      </c>
      <c r="H30" s="6">
        <f>IF(AND(TRIM(A30)=Setup!$B$4,LOWER(D30)="mapped",TRIM(C30)&lt;&gt;""),IF(SUMPRODUCT((TRIM($A$5:A30)=Setup!$B$4)*(LOWER($D$5:D30)="mapped")*(TRIM($C$5:C30)=TRIM(C30)))=1,ROW(),""),"")</f>
        <v/>
      </c>
    </row>
    <row r="31">
      <c r="A31" s="8" t="n"/>
      <c r="B31" s="8" t="n"/>
      <c r="C31" s="8" t="n"/>
      <c r="D31" s="8" t="n"/>
      <c r="E31" s="8" t="n"/>
      <c r="F31" s="6">
        <f>IF(B31="","",TRIM(A31)&amp;"||"&amp;TRIM(B31))</f>
        <v/>
      </c>
      <c r="G31" s="6">
        <f>IF(B31="","",IF(OR(AND(LOWER(D31)="mapped",TRIM(C31)&lt;&gt;""),AND(LOWER(D31)="ignored",TRIM(E31)&lt;&gt;"")),1,0))</f>
        <v/>
      </c>
      <c r="H31" s="6">
        <f>IF(AND(TRIM(A31)=Setup!$B$4,LOWER(D31)="mapped",TRIM(C31)&lt;&gt;""),IF(SUMPRODUCT((TRIM($A$5:A31)=Setup!$B$4)*(LOWER($D$5:D31)="mapped")*(TRIM($C$5:C31)=TRIM(C31)))=1,ROW(),""),"")</f>
        <v/>
      </c>
    </row>
    <row r="32">
      <c r="A32" s="8" t="n"/>
      <c r="B32" s="8" t="n"/>
      <c r="C32" s="8" t="n"/>
      <c r="D32" s="8" t="n"/>
      <c r="E32" s="8" t="n"/>
      <c r="F32" s="6">
        <f>IF(B32="","",TRIM(A32)&amp;"||"&amp;TRIM(B32))</f>
        <v/>
      </c>
      <c r="G32" s="6">
        <f>IF(B32="","",IF(OR(AND(LOWER(D32)="mapped",TRIM(C32)&lt;&gt;""),AND(LOWER(D32)="ignored",TRIM(E32)&lt;&gt;"")),1,0))</f>
        <v/>
      </c>
      <c r="H32" s="6">
        <f>IF(AND(TRIM(A32)=Setup!$B$4,LOWER(D32)="mapped",TRIM(C32)&lt;&gt;""),IF(SUMPRODUCT((TRIM($A$5:A32)=Setup!$B$4)*(LOWER($D$5:D32)="mapped")*(TRIM($C$5:C32)=TRIM(C32)))=1,ROW(),""),"")</f>
        <v/>
      </c>
    </row>
    <row r="33">
      <c r="A33" s="8" t="n"/>
      <c r="B33" s="8" t="n"/>
      <c r="C33" s="8" t="n"/>
      <c r="D33" s="8" t="n"/>
      <c r="E33" s="8" t="n"/>
      <c r="F33" s="6">
        <f>IF(B33="","",TRIM(A33)&amp;"||"&amp;TRIM(B33))</f>
        <v/>
      </c>
      <c r="G33" s="6">
        <f>IF(B33="","",IF(OR(AND(LOWER(D33)="mapped",TRIM(C33)&lt;&gt;""),AND(LOWER(D33)="ignored",TRIM(E33)&lt;&gt;"")),1,0))</f>
        <v/>
      </c>
      <c r="H33" s="6">
        <f>IF(AND(TRIM(A33)=Setup!$B$4,LOWER(D33)="mapped",TRIM(C33)&lt;&gt;""),IF(SUMPRODUCT((TRIM($A$5:A33)=Setup!$B$4)*(LOWER($D$5:D33)="mapped")*(TRIM($C$5:C33)=TRIM(C33)))=1,ROW(),""),"")</f>
        <v/>
      </c>
    </row>
    <row r="34">
      <c r="A34" s="8" t="n"/>
      <c r="B34" s="8" t="n"/>
      <c r="C34" s="8" t="n"/>
      <c r="D34" s="8" t="n"/>
      <c r="E34" s="8" t="n"/>
      <c r="F34" s="6">
        <f>IF(B34="","",TRIM(A34)&amp;"||"&amp;TRIM(B34))</f>
        <v/>
      </c>
      <c r="G34" s="6">
        <f>IF(B34="","",IF(OR(AND(LOWER(D34)="mapped",TRIM(C34)&lt;&gt;""),AND(LOWER(D34)="ignored",TRIM(E34)&lt;&gt;"")),1,0))</f>
        <v/>
      </c>
      <c r="H34" s="6">
        <f>IF(AND(TRIM(A34)=Setup!$B$4,LOWER(D34)="mapped",TRIM(C34)&lt;&gt;""),IF(SUMPRODUCT((TRIM($A$5:A34)=Setup!$B$4)*(LOWER($D$5:D34)="mapped")*(TRIM($C$5:C34)=TRIM(C34)))=1,ROW(),""),"")</f>
        <v/>
      </c>
    </row>
    <row r="35">
      <c r="A35" s="8" t="n"/>
      <c r="B35" s="8" t="n"/>
      <c r="C35" s="8" t="n"/>
      <c r="D35" s="8" t="n"/>
      <c r="E35" s="8" t="n"/>
      <c r="F35" s="6">
        <f>IF(B35="","",TRIM(A35)&amp;"||"&amp;TRIM(B35))</f>
        <v/>
      </c>
      <c r="G35" s="6">
        <f>IF(B35="","",IF(OR(AND(LOWER(D35)="mapped",TRIM(C35)&lt;&gt;""),AND(LOWER(D35)="ignored",TRIM(E35)&lt;&gt;"")),1,0))</f>
        <v/>
      </c>
      <c r="H35" s="6">
        <f>IF(AND(TRIM(A35)=Setup!$B$4,LOWER(D35)="mapped",TRIM(C35)&lt;&gt;""),IF(SUMPRODUCT((TRIM($A$5:A35)=Setup!$B$4)*(LOWER($D$5:D35)="mapped")*(TRIM($C$5:C35)=TRIM(C35)))=1,ROW(),""),"")</f>
        <v/>
      </c>
    </row>
    <row r="36">
      <c r="A36" s="8" t="n"/>
      <c r="B36" s="8" t="n"/>
      <c r="C36" s="8" t="n"/>
      <c r="D36" s="8" t="n"/>
      <c r="E36" s="8" t="n"/>
      <c r="F36" s="6">
        <f>IF(B36="","",TRIM(A36)&amp;"||"&amp;TRIM(B36))</f>
        <v/>
      </c>
      <c r="G36" s="6">
        <f>IF(B36="","",IF(OR(AND(LOWER(D36)="mapped",TRIM(C36)&lt;&gt;""),AND(LOWER(D36)="ignored",TRIM(E36)&lt;&gt;"")),1,0))</f>
        <v/>
      </c>
      <c r="H36" s="6">
        <f>IF(AND(TRIM(A36)=Setup!$B$4,LOWER(D36)="mapped",TRIM(C36)&lt;&gt;""),IF(SUMPRODUCT((TRIM($A$5:A36)=Setup!$B$4)*(LOWER($D$5:D36)="mapped")*(TRIM($C$5:C36)=TRIM(C36)))=1,ROW(),""),"")</f>
        <v/>
      </c>
    </row>
    <row r="37">
      <c r="A37" s="8" t="n"/>
      <c r="B37" s="8" t="n"/>
      <c r="C37" s="8" t="n"/>
      <c r="D37" s="8" t="n"/>
      <c r="E37" s="8" t="n"/>
      <c r="F37" s="6">
        <f>IF(B37="","",TRIM(A37)&amp;"||"&amp;TRIM(B37))</f>
        <v/>
      </c>
      <c r="G37" s="6">
        <f>IF(B37="","",IF(OR(AND(LOWER(D37)="mapped",TRIM(C37)&lt;&gt;""),AND(LOWER(D37)="ignored",TRIM(E37)&lt;&gt;"")),1,0))</f>
        <v/>
      </c>
      <c r="H37" s="6">
        <f>IF(AND(TRIM(A37)=Setup!$B$4,LOWER(D37)="mapped",TRIM(C37)&lt;&gt;""),IF(SUMPRODUCT((TRIM($A$5:A37)=Setup!$B$4)*(LOWER($D$5:D37)="mapped")*(TRIM($C$5:C37)=TRIM(C37)))=1,ROW(),""),"")</f>
        <v/>
      </c>
    </row>
    <row r="38">
      <c r="A38" s="8" t="n"/>
      <c r="B38" s="8" t="n"/>
      <c r="C38" s="8" t="n"/>
      <c r="D38" s="8" t="n"/>
      <c r="E38" s="8" t="n"/>
      <c r="F38" s="6">
        <f>IF(B38="","",TRIM(A38)&amp;"||"&amp;TRIM(B38))</f>
        <v/>
      </c>
      <c r="G38" s="6">
        <f>IF(B38="","",IF(OR(AND(LOWER(D38)="mapped",TRIM(C38)&lt;&gt;""),AND(LOWER(D38)="ignored",TRIM(E38)&lt;&gt;"")),1,0))</f>
        <v/>
      </c>
      <c r="H38" s="6">
        <f>IF(AND(TRIM(A38)=Setup!$B$4,LOWER(D38)="mapped",TRIM(C38)&lt;&gt;""),IF(SUMPRODUCT((TRIM($A$5:A38)=Setup!$B$4)*(LOWER($D$5:D38)="mapped")*(TRIM($C$5:C38)=TRIM(C38)))=1,ROW(),""),"")</f>
        <v/>
      </c>
    </row>
    <row r="39">
      <c r="A39" s="8" t="n"/>
      <c r="B39" s="8" t="n"/>
      <c r="C39" s="8" t="n"/>
      <c r="D39" s="8" t="n"/>
      <c r="E39" s="8" t="n"/>
      <c r="F39" s="6">
        <f>IF(B39="","",TRIM(A39)&amp;"||"&amp;TRIM(B39))</f>
        <v/>
      </c>
      <c r="G39" s="6">
        <f>IF(B39="","",IF(OR(AND(LOWER(D39)="mapped",TRIM(C39)&lt;&gt;""),AND(LOWER(D39)="ignored",TRIM(E39)&lt;&gt;"")),1,0))</f>
        <v/>
      </c>
      <c r="H39" s="6">
        <f>IF(AND(TRIM(A39)=Setup!$B$4,LOWER(D39)="mapped",TRIM(C39)&lt;&gt;""),IF(SUMPRODUCT((TRIM($A$5:A39)=Setup!$B$4)*(LOWER($D$5:D39)="mapped")*(TRIM($C$5:C39)=TRIM(C39)))=1,ROW(),""),"")</f>
        <v/>
      </c>
    </row>
    <row r="40">
      <c r="A40" s="8" t="n"/>
      <c r="B40" s="8" t="n"/>
      <c r="C40" s="8" t="n"/>
      <c r="D40" s="8" t="n"/>
      <c r="E40" s="8" t="n"/>
      <c r="F40" s="6">
        <f>IF(B40="","",TRIM(A40)&amp;"||"&amp;TRIM(B40))</f>
        <v/>
      </c>
      <c r="G40" s="6">
        <f>IF(B40="","",IF(OR(AND(LOWER(D40)="mapped",TRIM(C40)&lt;&gt;""),AND(LOWER(D40)="ignored",TRIM(E40)&lt;&gt;"")),1,0))</f>
        <v/>
      </c>
      <c r="H40" s="6">
        <f>IF(AND(TRIM(A40)=Setup!$B$4,LOWER(D40)="mapped",TRIM(C40)&lt;&gt;""),IF(SUMPRODUCT((TRIM($A$5:A40)=Setup!$B$4)*(LOWER($D$5:D40)="mapped")*(TRIM($C$5:C40)=TRIM(C40)))=1,ROW(),""),"")</f>
        <v/>
      </c>
    </row>
    <row r="41">
      <c r="A41" s="8" t="n"/>
      <c r="B41" s="8" t="n"/>
      <c r="C41" s="8" t="n"/>
      <c r="D41" s="8" t="n"/>
      <c r="E41" s="8" t="n"/>
      <c r="F41" s="6">
        <f>IF(B41="","",TRIM(A41)&amp;"||"&amp;TRIM(B41))</f>
        <v/>
      </c>
      <c r="G41" s="6">
        <f>IF(B41="","",IF(OR(AND(LOWER(D41)="mapped",TRIM(C41)&lt;&gt;""),AND(LOWER(D41)="ignored",TRIM(E41)&lt;&gt;"")),1,0))</f>
        <v/>
      </c>
      <c r="H41" s="6">
        <f>IF(AND(TRIM(A41)=Setup!$B$4,LOWER(D41)="mapped",TRIM(C41)&lt;&gt;""),IF(SUMPRODUCT((TRIM($A$5:A41)=Setup!$B$4)*(LOWER($D$5:D41)="mapped")*(TRIM($C$5:C41)=TRIM(C41)))=1,ROW(),""),"")</f>
        <v/>
      </c>
    </row>
    <row r="42">
      <c r="A42" s="8" t="n"/>
      <c r="B42" s="8" t="n"/>
      <c r="C42" s="8" t="n"/>
      <c r="D42" s="8" t="n"/>
      <c r="E42" s="8" t="n"/>
      <c r="F42" s="6">
        <f>IF(B42="","",TRIM(A42)&amp;"||"&amp;TRIM(B42))</f>
        <v/>
      </c>
      <c r="G42" s="6">
        <f>IF(B42="","",IF(OR(AND(LOWER(D42)="mapped",TRIM(C42)&lt;&gt;""),AND(LOWER(D42)="ignored",TRIM(E42)&lt;&gt;"")),1,0))</f>
        <v/>
      </c>
      <c r="H42" s="6">
        <f>IF(AND(TRIM(A42)=Setup!$B$4,LOWER(D42)="mapped",TRIM(C42)&lt;&gt;""),IF(SUMPRODUCT((TRIM($A$5:A42)=Setup!$B$4)*(LOWER($D$5:D42)="mapped")*(TRIM($C$5:C42)=TRIM(C42)))=1,ROW(),""),"")</f>
        <v/>
      </c>
    </row>
    <row r="43">
      <c r="A43" s="8" t="n"/>
      <c r="B43" s="8" t="n"/>
      <c r="C43" s="8" t="n"/>
      <c r="D43" s="8" t="n"/>
      <c r="E43" s="8" t="n"/>
      <c r="F43" s="6">
        <f>IF(B43="","",TRIM(A43)&amp;"||"&amp;TRIM(B43))</f>
        <v/>
      </c>
      <c r="G43" s="6">
        <f>IF(B43="","",IF(OR(AND(LOWER(D43)="mapped",TRIM(C43)&lt;&gt;""),AND(LOWER(D43)="ignored",TRIM(E43)&lt;&gt;"")),1,0))</f>
        <v/>
      </c>
      <c r="H43" s="6">
        <f>IF(AND(TRIM(A43)=Setup!$B$4,LOWER(D43)="mapped",TRIM(C43)&lt;&gt;""),IF(SUMPRODUCT((TRIM($A$5:A43)=Setup!$B$4)*(LOWER($D$5:D43)="mapped")*(TRIM($C$5:C43)=TRIM(C43)))=1,ROW(),""),"")</f>
        <v/>
      </c>
    </row>
    <row r="44">
      <c r="A44" s="8" t="n"/>
      <c r="B44" s="8" t="n"/>
      <c r="C44" s="8" t="n"/>
      <c r="D44" s="8" t="n"/>
      <c r="E44" s="8" t="n"/>
      <c r="F44" s="6">
        <f>IF(B44="","",TRIM(A44)&amp;"||"&amp;TRIM(B44))</f>
        <v/>
      </c>
      <c r="G44" s="6">
        <f>IF(B44="","",IF(OR(AND(LOWER(D44)="mapped",TRIM(C44)&lt;&gt;""),AND(LOWER(D44)="ignored",TRIM(E44)&lt;&gt;"")),1,0))</f>
        <v/>
      </c>
      <c r="H44" s="6">
        <f>IF(AND(TRIM(A44)=Setup!$B$4,LOWER(D44)="mapped",TRIM(C44)&lt;&gt;""),IF(SUMPRODUCT((TRIM($A$5:A44)=Setup!$B$4)*(LOWER($D$5:D44)="mapped")*(TRIM($C$5:C44)=TRIM(C44)))=1,ROW(),""),"")</f>
        <v/>
      </c>
    </row>
    <row r="45">
      <c r="A45" s="8" t="n"/>
      <c r="B45" s="8" t="n"/>
      <c r="C45" s="8" t="n"/>
      <c r="D45" s="8" t="n"/>
      <c r="E45" s="8" t="n"/>
      <c r="F45" s="6">
        <f>IF(B45="","",TRIM(A45)&amp;"||"&amp;TRIM(B45))</f>
        <v/>
      </c>
      <c r="G45" s="6">
        <f>IF(B45="","",IF(OR(AND(LOWER(D45)="mapped",TRIM(C45)&lt;&gt;""),AND(LOWER(D45)="ignored",TRIM(E45)&lt;&gt;"")),1,0))</f>
        <v/>
      </c>
      <c r="H45" s="6">
        <f>IF(AND(TRIM(A45)=Setup!$B$4,LOWER(D45)="mapped",TRIM(C45)&lt;&gt;""),IF(SUMPRODUCT((TRIM($A$5:A45)=Setup!$B$4)*(LOWER($D$5:D45)="mapped")*(TRIM($C$5:C45)=TRIM(C45)))=1,ROW(),""),"")</f>
        <v/>
      </c>
    </row>
    <row r="46">
      <c r="A46" s="8" t="n"/>
      <c r="B46" s="8" t="n"/>
      <c r="C46" s="8" t="n"/>
      <c r="D46" s="8" t="n"/>
      <c r="E46" s="8" t="n"/>
      <c r="F46" s="6">
        <f>IF(B46="","",TRIM(A46)&amp;"||"&amp;TRIM(B46))</f>
        <v/>
      </c>
      <c r="G46" s="6">
        <f>IF(B46="","",IF(OR(AND(LOWER(D46)="mapped",TRIM(C46)&lt;&gt;""),AND(LOWER(D46)="ignored",TRIM(E46)&lt;&gt;"")),1,0))</f>
        <v/>
      </c>
      <c r="H46" s="6">
        <f>IF(AND(TRIM(A46)=Setup!$B$4,LOWER(D46)="mapped",TRIM(C46)&lt;&gt;""),IF(SUMPRODUCT((TRIM($A$5:A46)=Setup!$B$4)*(LOWER($D$5:D46)="mapped")*(TRIM($C$5:C46)=TRIM(C46)))=1,ROW(),""),"")</f>
        <v/>
      </c>
    </row>
    <row r="47">
      <c r="A47" s="8" t="n"/>
      <c r="B47" s="8" t="n"/>
      <c r="C47" s="8" t="n"/>
      <c r="D47" s="8" t="n"/>
      <c r="E47" s="8" t="n"/>
      <c r="F47" s="6">
        <f>IF(B47="","",TRIM(A47)&amp;"||"&amp;TRIM(B47))</f>
        <v/>
      </c>
      <c r="G47" s="6">
        <f>IF(B47="","",IF(OR(AND(LOWER(D47)="mapped",TRIM(C47)&lt;&gt;""),AND(LOWER(D47)="ignored",TRIM(E47)&lt;&gt;"")),1,0))</f>
        <v/>
      </c>
      <c r="H47" s="6">
        <f>IF(AND(TRIM(A47)=Setup!$B$4,LOWER(D47)="mapped",TRIM(C47)&lt;&gt;""),IF(SUMPRODUCT((TRIM($A$5:A47)=Setup!$B$4)*(LOWER($D$5:D47)="mapped")*(TRIM($C$5:C47)=TRIM(C47)))=1,ROW(),""),"")</f>
        <v/>
      </c>
    </row>
    <row r="48">
      <c r="A48" s="8" t="n"/>
      <c r="B48" s="8" t="n"/>
      <c r="C48" s="8" t="n"/>
      <c r="D48" s="8" t="n"/>
      <c r="E48" s="8" t="n"/>
      <c r="F48" s="6">
        <f>IF(B48="","",TRIM(A48)&amp;"||"&amp;TRIM(B48))</f>
        <v/>
      </c>
      <c r="G48" s="6">
        <f>IF(B48="","",IF(OR(AND(LOWER(D48)="mapped",TRIM(C48)&lt;&gt;""),AND(LOWER(D48)="ignored",TRIM(E48)&lt;&gt;"")),1,0))</f>
        <v/>
      </c>
      <c r="H48" s="6">
        <f>IF(AND(TRIM(A48)=Setup!$B$4,LOWER(D48)="mapped",TRIM(C48)&lt;&gt;""),IF(SUMPRODUCT((TRIM($A$5:A48)=Setup!$B$4)*(LOWER($D$5:D48)="mapped")*(TRIM($C$5:C48)=TRIM(C48)))=1,ROW(),""),"")</f>
        <v/>
      </c>
    </row>
    <row r="49">
      <c r="A49" s="8" t="n"/>
      <c r="B49" s="8" t="n"/>
      <c r="C49" s="8" t="n"/>
      <c r="D49" s="8" t="n"/>
      <c r="E49" s="8" t="n"/>
      <c r="F49" s="6">
        <f>IF(B49="","",TRIM(A49)&amp;"||"&amp;TRIM(B49))</f>
        <v/>
      </c>
      <c r="G49" s="6">
        <f>IF(B49="","",IF(OR(AND(LOWER(D49)="mapped",TRIM(C49)&lt;&gt;""),AND(LOWER(D49)="ignored",TRIM(E49)&lt;&gt;"")),1,0))</f>
        <v/>
      </c>
      <c r="H49" s="6">
        <f>IF(AND(TRIM(A49)=Setup!$B$4,LOWER(D49)="mapped",TRIM(C49)&lt;&gt;""),IF(SUMPRODUCT((TRIM($A$5:A49)=Setup!$B$4)*(LOWER($D$5:D49)="mapped")*(TRIM($C$5:C49)=TRIM(C49)))=1,ROW(),""),"")</f>
        <v/>
      </c>
    </row>
    <row r="50">
      <c r="A50" s="8" t="n"/>
      <c r="B50" s="8" t="n"/>
      <c r="C50" s="8" t="n"/>
      <c r="D50" s="8" t="n"/>
      <c r="E50" s="8" t="n"/>
      <c r="F50" s="6">
        <f>IF(B50="","",TRIM(A50)&amp;"||"&amp;TRIM(B50))</f>
        <v/>
      </c>
      <c r="G50" s="6">
        <f>IF(B50="","",IF(OR(AND(LOWER(D50)="mapped",TRIM(C50)&lt;&gt;""),AND(LOWER(D50)="ignored",TRIM(E50)&lt;&gt;"")),1,0))</f>
        <v/>
      </c>
      <c r="H50" s="6">
        <f>IF(AND(TRIM(A50)=Setup!$B$4,LOWER(D50)="mapped",TRIM(C50)&lt;&gt;""),IF(SUMPRODUCT((TRIM($A$5:A50)=Setup!$B$4)*(LOWER($D$5:D50)="mapped")*(TRIM($C$5:C50)=TRIM(C50)))=1,ROW(),""),"")</f>
        <v/>
      </c>
    </row>
    <row r="51">
      <c r="A51" s="8" t="n"/>
      <c r="B51" s="8" t="n"/>
      <c r="C51" s="8" t="n"/>
      <c r="D51" s="8" t="n"/>
      <c r="E51" s="8" t="n"/>
      <c r="F51" s="6">
        <f>IF(B51="","",TRIM(A51)&amp;"||"&amp;TRIM(B51))</f>
        <v/>
      </c>
      <c r="G51" s="6">
        <f>IF(B51="","",IF(OR(AND(LOWER(D51)="mapped",TRIM(C51)&lt;&gt;""),AND(LOWER(D51)="ignored",TRIM(E51)&lt;&gt;"")),1,0))</f>
        <v/>
      </c>
      <c r="H51" s="6">
        <f>IF(AND(TRIM(A51)=Setup!$B$4,LOWER(D51)="mapped",TRIM(C51)&lt;&gt;""),IF(SUMPRODUCT((TRIM($A$5:A51)=Setup!$B$4)*(LOWER($D$5:D51)="mapped")*(TRIM($C$5:C51)=TRIM(C51)))=1,ROW(),""),"")</f>
        <v/>
      </c>
    </row>
    <row r="52">
      <c r="A52" s="8" t="n"/>
      <c r="B52" s="8" t="n"/>
      <c r="C52" s="8" t="n"/>
      <c r="D52" s="8" t="n"/>
      <c r="E52" s="8" t="n"/>
      <c r="F52" s="6">
        <f>IF(B52="","",TRIM(A52)&amp;"||"&amp;TRIM(B52))</f>
        <v/>
      </c>
      <c r="G52" s="6">
        <f>IF(B52="","",IF(OR(AND(LOWER(D52)="mapped",TRIM(C52)&lt;&gt;""),AND(LOWER(D52)="ignored",TRIM(E52)&lt;&gt;"")),1,0))</f>
        <v/>
      </c>
      <c r="H52" s="6">
        <f>IF(AND(TRIM(A52)=Setup!$B$4,LOWER(D52)="mapped",TRIM(C52)&lt;&gt;""),IF(SUMPRODUCT((TRIM($A$5:A52)=Setup!$B$4)*(LOWER($D$5:D52)="mapped")*(TRIM($C$5:C52)=TRIM(C52)))=1,ROW(),""),"")</f>
        <v/>
      </c>
    </row>
    <row r="53">
      <c r="A53" s="8" t="n"/>
      <c r="B53" s="8" t="n"/>
      <c r="C53" s="8" t="n"/>
      <c r="D53" s="8" t="n"/>
      <c r="E53" s="8" t="n"/>
      <c r="F53" s="6">
        <f>IF(B53="","",TRIM(A53)&amp;"||"&amp;TRIM(B53))</f>
        <v/>
      </c>
      <c r="G53" s="6">
        <f>IF(B53="","",IF(OR(AND(LOWER(D53)="mapped",TRIM(C53)&lt;&gt;""),AND(LOWER(D53)="ignored",TRIM(E53)&lt;&gt;"")),1,0))</f>
        <v/>
      </c>
      <c r="H53" s="6">
        <f>IF(AND(TRIM(A53)=Setup!$B$4,LOWER(D53)="mapped",TRIM(C53)&lt;&gt;""),IF(SUMPRODUCT((TRIM($A$5:A53)=Setup!$B$4)*(LOWER($D$5:D53)="mapped")*(TRIM($C$5:C53)=TRIM(C53)))=1,ROW(),""),"")</f>
        <v/>
      </c>
    </row>
    <row r="54">
      <c r="A54" s="8" t="n"/>
      <c r="B54" s="8" t="n"/>
      <c r="C54" s="8" t="n"/>
      <c r="D54" s="8" t="n"/>
      <c r="E54" s="8" t="n"/>
      <c r="F54" s="6">
        <f>IF(B54="","",TRIM(A54)&amp;"||"&amp;TRIM(B54))</f>
        <v/>
      </c>
      <c r="G54" s="6">
        <f>IF(B54="","",IF(OR(AND(LOWER(D54)="mapped",TRIM(C54)&lt;&gt;""),AND(LOWER(D54)="ignored",TRIM(E54)&lt;&gt;"")),1,0))</f>
        <v/>
      </c>
      <c r="H54" s="6">
        <f>IF(AND(TRIM(A54)=Setup!$B$4,LOWER(D54)="mapped",TRIM(C54)&lt;&gt;""),IF(SUMPRODUCT((TRIM($A$5:A54)=Setup!$B$4)*(LOWER($D$5:D54)="mapped")*(TRIM($C$5:C54)=TRIM(C54)))=1,ROW(),""),"")</f>
        <v/>
      </c>
    </row>
    <row r="55">
      <c r="A55" s="8" t="n"/>
      <c r="B55" s="8" t="n"/>
      <c r="C55" s="8" t="n"/>
      <c r="D55" s="8" t="n"/>
      <c r="E55" s="8" t="n"/>
      <c r="F55" s="6">
        <f>IF(B55="","",TRIM(A55)&amp;"||"&amp;TRIM(B55))</f>
        <v/>
      </c>
      <c r="G55" s="6">
        <f>IF(B55="","",IF(OR(AND(LOWER(D55)="mapped",TRIM(C55)&lt;&gt;""),AND(LOWER(D55)="ignored",TRIM(E55)&lt;&gt;"")),1,0))</f>
        <v/>
      </c>
      <c r="H55" s="6">
        <f>IF(AND(TRIM(A55)=Setup!$B$4,LOWER(D55)="mapped",TRIM(C55)&lt;&gt;""),IF(SUMPRODUCT((TRIM($A$5:A55)=Setup!$B$4)*(LOWER($D$5:D55)="mapped")*(TRIM($C$5:C55)=TRIM(C55)))=1,ROW(),""),"")</f>
        <v/>
      </c>
    </row>
    <row r="56">
      <c r="A56" s="8" t="n"/>
      <c r="B56" s="8" t="n"/>
      <c r="C56" s="8" t="n"/>
      <c r="D56" s="8" t="n"/>
      <c r="E56" s="8" t="n"/>
      <c r="F56" s="6">
        <f>IF(B56="","",TRIM(A56)&amp;"||"&amp;TRIM(B56))</f>
        <v/>
      </c>
      <c r="G56" s="6">
        <f>IF(B56="","",IF(OR(AND(LOWER(D56)="mapped",TRIM(C56)&lt;&gt;""),AND(LOWER(D56)="ignored",TRIM(E56)&lt;&gt;"")),1,0))</f>
        <v/>
      </c>
      <c r="H56" s="6">
        <f>IF(AND(TRIM(A56)=Setup!$B$4,LOWER(D56)="mapped",TRIM(C56)&lt;&gt;""),IF(SUMPRODUCT((TRIM($A$5:A56)=Setup!$B$4)*(LOWER($D$5:D56)="mapped")*(TRIM($C$5:C56)=TRIM(C56)))=1,ROW(),""),"")</f>
        <v/>
      </c>
    </row>
    <row r="57">
      <c r="A57" s="8" t="n"/>
      <c r="B57" s="8" t="n"/>
      <c r="C57" s="8" t="n"/>
      <c r="D57" s="8" t="n"/>
      <c r="E57" s="8" t="n"/>
      <c r="F57" s="6">
        <f>IF(B57="","",TRIM(A57)&amp;"||"&amp;TRIM(B57))</f>
        <v/>
      </c>
      <c r="G57" s="6">
        <f>IF(B57="","",IF(OR(AND(LOWER(D57)="mapped",TRIM(C57)&lt;&gt;""),AND(LOWER(D57)="ignored",TRIM(E57)&lt;&gt;"")),1,0))</f>
        <v/>
      </c>
      <c r="H57" s="6">
        <f>IF(AND(TRIM(A57)=Setup!$B$4,LOWER(D57)="mapped",TRIM(C57)&lt;&gt;""),IF(SUMPRODUCT((TRIM($A$5:A57)=Setup!$B$4)*(LOWER($D$5:D57)="mapped")*(TRIM($C$5:C57)=TRIM(C57)))=1,ROW(),""),"")</f>
        <v/>
      </c>
    </row>
    <row r="58">
      <c r="A58" s="8" t="n"/>
      <c r="B58" s="8" t="n"/>
      <c r="C58" s="8" t="n"/>
      <c r="D58" s="8" t="n"/>
      <c r="E58" s="8" t="n"/>
      <c r="F58" s="6">
        <f>IF(B58="","",TRIM(A58)&amp;"||"&amp;TRIM(B58))</f>
        <v/>
      </c>
      <c r="G58" s="6">
        <f>IF(B58="","",IF(OR(AND(LOWER(D58)="mapped",TRIM(C58)&lt;&gt;""),AND(LOWER(D58)="ignored",TRIM(E58)&lt;&gt;"")),1,0))</f>
        <v/>
      </c>
      <c r="H58" s="6">
        <f>IF(AND(TRIM(A58)=Setup!$B$4,LOWER(D58)="mapped",TRIM(C58)&lt;&gt;""),IF(SUMPRODUCT((TRIM($A$5:A58)=Setup!$B$4)*(LOWER($D$5:D58)="mapped")*(TRIM($C$5:C58)=TRIM(C58)))=1,ROW(),""),"")</f>
        <v/>
      </c>
    </row>
    <row r="59">
      <c r="A59" s="8" t="n"/>
      <c r="B59" s="8" t="n"/>
      <c r="C59" s="8" t="n"/>
      <c r="D59" s="8" t="n"/>
      <c r="E59" s="8" t="n"/>
      <c r="F59" s="6">
        <f>IF(B59="","",TRIM(A59)&amp;"||"&amp;TRIM(B59))</f>
        <v/>
      </c>
      <c r="G59" s="6">
        <f>IF(B59="","",IF(OR(AND(LOWER(D59)="mapped",TRIM(C59)&lt;&gt;""),AND(LOWER(D59)="ignored",TRIM(E59)&lt;&gt;"")),1,0))</f>
        <v/>
      </c>
      <c r="H59" s="6">
        <f>IF(AND(TRIM(A59)=Setup!$B$4,LOWER(D59)="mapped",TRIM(C59)&lt;&gt;""),IF(SUMPRODUCT((TRIM($A$5:A59)=Setup!$B$4)*(LOWER($D$5:D59)="mapped")*(TRIM($C$5:C59)=TRIM(C59)))=1,ROW(),""),"")</f>
        <v/>
      </c>
    </row>
    <row r="60">
      <c r="A60" s="8" t="n"/>
      <c r="B60" s="8" t="n"/>
      <c r="C60" s="8" t="n"/>
      <c r="D60" s="8" t="n"/>
      <c r="E60" s="8" t="n"/>
      <c r="F60" s="6">
        <f>IF(B60="","",TRIM(A60)&amp;"||"&amp;TRIM(B60))</f>
        <v/>
      </c>
      <c r="G60" s="6">
        <f>IF(B60="","",IF(OR(AND(LOWER(D60)="mapped",TRIM(C60)&lt;&gt;""),AND(LOWER(D60)="ignored",TRIM(E60)&lt;&gt;"")),1,0))</f>
        <v/>
      </c>
      <c r="H60" s="6">
        <f>IF(AND(TRIM(A60)=Setup!$B$4,LOWER(D60)="mapped",TRIM(C60)&lt;&gt;""),IF(SUMPRODUCT((TRIM($A$5:A60)=Setup!$B$4)*(LOWER($D$5:D60)="mapped")*(TRIM($C$5:C60)=TRIM(C60)))=1,ROW(),""),"")</f>
        <v/>
      </c>
    </row>
    <row r="61">
      <c r="A61" s="8" t="n"/>
      <c r="B61" s="8" t="n"/>
      <c r="C61" s="8" t="n"/>
      <c r="D61" s="8" t="n"/>
      <c r="E61" s="8" t="n"/>
      <c r="F61" s="6">
        <f>IF(B61="","",TRIM(A61)&amp;"||"&amp;TRIM(B61))</f>
        <v/>
      </c>
      <c r="G61" s="6">
        <f>IF(B61="","",IF(OR(AND(LOWER(D61)="mapped",TRIM(C61)&lt;&gt;""),AND(LOWER(D61)="ignored",TRIM(E61)&lt;&gt;"")),1,0))</f>
        <v/>
      </c>
      <c r="H61" s="6">
        <f>IF(AND(TRIM(A61)=Setup!$B$4,LOWER(D61)="mapped",TRIM(C61)&lt;&gt;""),IF(SUMPRODUCT((TRIM($A$5:A61)=Setup!$B$4)*(LOWER($D$5:D61)="mapped")*(TRIM($C$5:C61)=TRIM(C61)))=1,ROW(),""),"")</f>
        <v/>
      </c>
    </row>
    <row r="62">
      <c r="A62" s="8" t="n"/>
      <c r="B62" s="8" t="n"/>
      <c r="C62" s="8" t="n"/>
      <c r="D62" s="8" t="n"/>
      <c r="E62" s="8" t="n"/>
      <c r="F62" s="6">
        <f>IF(B62="","",TRIM(A62)&amp;"||"&amp;TRIM(B62))</f>
        <v/>
      </c>
      <c r="G62" s="6">
        <f>IF(B62="","",IF(OR(AND(LOWER(D62)="mapped",TRIM(C62)&lt;&gt;""),AND(LOWER(D62)="ignored",TRIM(E62)&lt;&gt;"")),1,0))</f>
        <v/>
      </c>
      <c r="H62" s="6">
        <f>IF(AND(TRIM(A62)=Setup!$B$4,LOWER(D62)="mapped",TRIM(C62)&lt;&gt;""),IF(SUMPRODUCT((TRIM($A$5:A62)=Setup!$B$4)*(LOWER($D$5:D62)="mapped")*(TRIM($C$5:C62)=TRIM(C62)))=1,ROW(),""),"")</f>
        <v/>
      </c>
    </row>
    <row r="63">
      <c r="A63" s="8" t="n"/>
      <c r="B63" s="8" t="n"/>
      <c r="C63" s="8" t="n"/>
      <c r="D63" s="8" t="n"/>
      <c r="E63" s="8" t="n"/>
      <c r="F63" s="6">
        <f>IF(B63="","",TRIM(A63)&amp;"||"&amp;TRIM(B63))</f>
        <v/>
      </c>
      <c r="G63" s="6">
        <f>IF(B63="","",IF(OR(AND(LOWER(D63)="mapped",TRIM(C63)&lt;&gt;""),AND(LOWER(D63)="ignored",TRIM(E63)&lt;&gt;"")),1,0))</f>
        <v/>
      </c>
      <c r="H63" s="6">
        <f>IF(AND(TRIM(A63)=Setup!$B$4,LOWER(D63)="mapped",TRIM(C63)&lt;&gt;""),IF(SUMPRODUCT((TRIM($A$5:A63)=Setup!$B$4)*(LOWER($D$5:D63)="mapped")*(TRIM($C$5:C63)=TRIM(C63)))=1,ROW(),""),"")</f>
        <v/>
      </c>
    </row>
    <row r="64">
      <c r="A64" s="8" t="n"/>
      <c r="B64" s="8" t="n"/>
      <c r="C64" s="8" t="n"/>
      <c r="D64" s="8" t="n"/>
      <c r="E64" s="8" t="n"/>
      <c r="F64" s="6">
        <f>IF(B64="","",TRIM(A64)&amp;"||"&amp;TRIM(B64))</f>
        <v/>
      </c>
      <c r="G64" s="6">
        <f>IF(B64="","",IF(OR(AND(LOWER(D64)="mapped",TRIM(C64)&lt;&gt;""),AND(LOWER(D64)="ignored",TRIM(E64)&lt;&gt;"")),1,0))</f>
        <v/>
      </c>
      <c r="H64" s="6">
        <f>IF(AND(TRIM(A64)=Setup!$B$4,LOWER(D64)="mapped",TRIM(C64)&lt;&gt;""),IF(SUMPRODUCT((TRIM($A$5:A64)=Setup!$B$4)*(LOWER($D$5:D64)="mapped")*(TRIM($C$5:C64)=TRIM(C64)))=1,ROW(),""),"")</f>
        <v/>
      </c>
    </row>
    <row r="65">
      <c r="A65" s="8" t="n"/>
      <c r="B65" s="8" t="n"/>
      <c r="C65" s="8" t="n"/>
      <c r="D65" s="8" t="n"/>
      <c r="E65" s="8" t="n"/>
      <c r="F65" s="6">
        <f>IF(B65="","",TRIM(A65)&amp;"||"&amp;TRIM(B65))</f>
        <v/>
      </c>
      <c r="G65" s="6">
        <f>IF(B65="","",IF(OR(AND(LOWER(D65)="mapped",TRIM(C65)&lt;&gt;""),AND(LOWER(D65)="ignored",TRIM(E65)&lt;&gt;"")),1,0))</f>
        <v/>
      </c>
      <c r="H65" s="6">
        <f>IF(AND(TRIM(A65)=Setup!$B$4,LOWER(D65)="mapped",TRIM(C65)&lt;&gt;""),IF(SUMPRODUCT((TRIM($A$5:A65)=Setup!$B$4)*(LOWER($D$5:D65)="mapped")*(TRIM($C$5:C65)=TRIM(C65)))=1,ROW(),""),"")</f>
        <v/>
      </c>
    </row>
    <row r="66">
      <c r="A66" s="8" t="n"/>
      <c r="B66" s="8" t="n"/>
      <c r="C66" s="8" t="n"/>
      <c r="D66" s="8" t="n"/>
      <c r="E66" s="8" t="n"/>
      <c r="F66" s="6">
        <f>IF(B66="","",TRIM(A66)&amp;"||"&amp;TRIM(B66))</f>
        <v/>
      </c>
      <c r="G66" s="6">
        <f>IF(B66="","",IF(OR(AND(LOWER(D66)="mapped",TRIM(C66)&lt;&gt;""),AND(LOWER(D66)="ignored",TRIM(E66)&lt;&gt;"")),1,0))</f>
        <v/>
      </c>
      <c r="H66" s="6">
        <f>IF(AND(TRIM(A66)=Setup!$B$4,LOWER(D66)="mapped",TRIM(C66)&lt;&gt;""),IF(SUMPRODUCT((TRIM($A$5:A66)=Setup!$B$4)*(LOWER($D$5:D66)="mapped")*(TRIM($C$5:C66)=TRIM(C66)))=1,ROW(),""),"")</f>
        <v/>
      </c>
    </row>
    <row r="67">
      <c r="A67" s="8" t="n"/>
      <c r="B67" s="8" t="n"/>
      <c r="C67" s="8" t="n"/>
      <c r="D67" s="8" t="n"/>
      <c r="E67" s="8" t="n"/>
      <c r="F67" s="6">
        <f>IF(B67="","",TRIM(A67)&amp;"||"&amp;TRIM(B67))</f>
        <v/>
      </c>
      <c r="G67" s="6">
        <f>IF(B67="","",IF(OR(AND(LOWER(D67)="mapped",TRIM(C67)&lt;&gt;""),AND(LOWER(D67)="ignored",TRIM(E67)&lt;&gt;"")),1,0))</f>
        <v/>
      </c>
      <c r="H67" s="6">
        <f>IF(AND(TRIM(A67)=Setup!$B$4,LOWER(D67)="mapped",TRIM(C67)&lt;&gt;""),IF(SUMPRODUCT((TRIM($A$5:A67)=Setup!$B$4)*(LOWER($D$5:D67)="mapped")*(TRIM($C$5:C67)=TRIM(C67)))=1,ROW(),""),"")</f>
        <v/>
      </c>
    </row>
    <row r="68">
      <c r="A68" s="8" t="n"/>
      <c r="B68" s="8" t="n"/>
      <c r="C68" s="8" t="n"/>
      <c r="D68" s="8" t="n"/>
      <c r="E68" s="8" t="n"/>
      <c r="F68" s="6">
        <f>IF(B68="","",TRIM(A68)&amp;"||"&amp;TRIM(B68))</f>
        <v/>
      </c>
      <c r="G68" s="6">
        <f>IF(B68="","",IF(OR(AND(LOWER(D68)="mapped",TRIM(C68)&lt;&gt;""),AND(LOWER(D68)="ignored",TRIM(E68)&lt;&gt;"")),1,0))</f>
        <v/>
      </c>
      <c r="H68" s="6">
        <f>IF(AND(TRIM(A68)=Setup!$B$4,LOWER(D68)="mapped",TRIM(C68)&lt;&gt;""),IF(SUMPRODUCT((TRIM($A$5:A68)=Setup!$B$4)*(LOWER($D$5:D68)="mapped")*(TRIM($C$5:C68)=TRIM(C68)))=1,ROW(),""),"")</f>
        <v/>
      </c>
    </row>
    <row r="69">
      <c r="A69" s="8" t="n"/>
      <c r="B69" s="8" t="n"/>
      <c r="C69" s="8" t="n"/>
      <c r="D69" s="8" t="n"/>
      <c r="E69" s="8" t="n"/>
      <c r="F69" s="6">
        <f>IF(B69="","",TRIM(A69)&amp;"||"&amp;TRIM(B69))</f>
        <v/>
      </c>
      <c r="G69" s="6">
        <f>IF(B69="","",IF(OR(AND(LOWER(D69)="mapped",TRIM(C69)&lt;&gt;""),AND(LOWER(D69)="ignored",TRIM(E69)&lt;&gt;"")),1,0))</f>
        <v/>
      </c>
      <c r="H69" s="6">
        <f>IF(AND(TRIM(A69)=Setup!$B$4,LOWER(D69)="mapped",TRIM(C69)&lt;&gt;""),IF(SUMPRODUCT((TRIM($A$5:A69)=Setup!$B$4)*(LOWER($D$5:D69)="mapped")*(TRIM($C$5:C69)=TRIM(C69)))=1,ROW(),""),"")</f>
        <v/>
      </c>
    </row>
    <row r="70">
      <c r="A70" s="8" t="n"/>
      <c r="B70" s="8" t="n"/>
      <c r="C70" s="8" t="n"/>
      <c r="D70" s="8" t="n"/>
      <c r="E70" s="8" t="n"/>
      <c r="F70" s="6">
        <f>IF(B70="","",TRIM(A70)&amp;"||"&amp;TRIM(B70))</f>
        <v/>
      </c>
      <c r="G70" s="6">
        <f>IF(B70="","",IF(OR(AND(LOWER(D70)="mapped",TRIM(C70)&lt;&gt;""),AND(LOWER(D70)="ignored",TRIM(E70)&lt;&gt;"")),1,0))</f>
        <v/>
      </c>
      <c r="H70" s="6">
        <f>IF(AND(TRIM(A70)=Setup!$B$4,LOWER(D70)="mapped",TRIM(C70)&lt;&gt;""),IF(SUMPRODUCT((TRIM($A$5:A70)=Setup!$B$4)*(LOWER($D$5:D70)="mapped")*(TRIM($C$5:C70)=TRIM(C70)))=1,ROW(),""),"")</f>
        <v/>
      </c>
    </row>
    <row r="71">
      <c r="A71" s="8" t="n"/>
      <c r="B71" s="8" t="n"/>
      <c r="C71" s="8" t="n"/>
      <c r="D71" s="8" t="n"/>
      <c r="E71" s="8" t="n"/>
      <c r="F71" s="6">
        <f>IF(B71="","",TRIM(A71)&amp;"||"&amp;TRIM(B71))</f>
        <v/>
      </c>
      <c r="G71" s="6">
        <f>IF(B71="","",IF(OR(AND(LOWER(D71)="mapped",TRIM(C71)&lt;&gt;""),AND(LOWER(D71)="ignored",TRIM(E71)&lt;&gt;"")),1,0))</f>
        <v/>
      </c>
      <c r="H71" s="6">
        <f>IF(AND(TRIM(A71)=Setup!$B$4,LOWER(D71)="mapped",TRIM(C71)&lt;&gt;""),IF(SUMPRODUCT((TRIM($A$5:A71)=Setup!$B$4)*(LOWER($D$5:D71)="mapped")*(TRIM($C$5:C71)=TRIM(C71)))=1,ROW(),""),"")</f>
        <v/>
      </c>
    </row>
    <row r="72">
      <c r="A72" s="8" t="n"/>
      <c r="B72" s="8" t="n"/>
      <c r="C72" s="8" t="n"/>
      <c r="D72" s="8" t="n"/>
      <c r="E72" s="8" t="n"/>
      <c r="F72" s="6">
        <f>IF(B72="","",TRIM(A72)&amp;"||"&amp;TRIM(B72))</f>
        <v/>
      </c>
      <c r="G72" s="6">
        <f>IF(B72="","",IF(OR(AND(LOWER(D72)="mapped",TRIM(C72)&lt;&gt;""),AND(LOWER(D72)="ignored",TRIM(E72)&lt;&gt;"")),1,0))</f>
        <v/>
      </c>
      <c r="H72" s="6">
        <f>IF(AND(TRIM(A72)=Setup!$B$4,LOWER(D72)="mapped",TRIM(C72)&lt;&gt;""),IF(SUMPRODUCT((TRIM($A$5:A72)=Setup!$B$4)*(LOWER($D$5:D72)="mapped")*(TRIM($C$5:C72)=TRIM(C72)))=1,ROW(),""),"")</f>
        <v/>
      </c>
    </row>
    <row r="73">
      <c r="A73" s="8" t="n"/>
      <c r="B73" s="8" t="n"/>
      <c r="C73" s="8" t="n"/>
      <c r="D73" s="8" t="n"/>
      <c r="E73" s="8" t="n"/>
      <c r="F73" s="6">
        <f>IF(B73="","",TRIM(A73)&amp;"||"&amp;TRIM(B73))</f>
        <v/>
      </c>
      <c r="G73" s="6">
        <f>IF(B73="","",IF(OR(AND(LOWER(D73)="mapped",TRIM(C73)&lt;&gt;""),AND(LOWER(D73)="ignored",TRIM(E73)&lt;&gt;"")),1,0))</f>
        <v/>
      </c>
      <c r="H73" s="6">
        <f>IF(AND(TRIM(A73)=Setup!$B$4,LOWER(D73)="mapped",TRIM(C73)&lt;&gt;""),IF(SUMPRODUCT((TRIM($A$5:A73)=Setup!$B$4)*(LOWER($D$5:D73)="mapped")*(TRIM($C$5:C73)=TRIM(C73)))=1,ROW(),""),"")</f>
        <v/>
      </c>
    </row>
    <row r="74">
      <c r="A74" s="8" t="n"/>
      <c r="B74" s="8" t="n"/>
      <c r="C74" s="8" t="n"/>
      <c r="D74" s="8" t="n"/>
      <c r="E74" s="8" t="n"/>
      <c r="F74" s="6">
        <f>IF(B74="","",TRIM(A74)&amp;"||"&amp;TRIM(B74))</f>
        <v/>
      </c>
      <c r="G74" s="6">
        <f>IF(B74="","",IF(OR(AND(LOWER(D74)="mapped",TRIM(C74)&lt;&gt;""),AND(LOWER(D74)="ignored",TRIM(E74)&lt;&gt;"")),1,0))</f>
        <v/>
      </c>
      <c r="H74" s="6">
        <f>IF(AND(TRIM(A74)=Setup!$B$4,LOWER(D74)="mapped",TRIM(C74)&lt;&gt;""),IF(SUMPRODUCT((TRIM($A$5:A74)=Setup!$B$4)*(LOWER($D$5:D74)="mapped")*(TRIM($C$5:C74)=TRIM(C74)))=1,ROW(),""),"")</f>
        <v/>
      </c>
    </row>
    <row r="75">
      <c r="A75" s="8" t="n"/>
      <c r="B75" s="8" t="n"/>
      <c r="C75" s="8" t="n"/>
      <c r="D75" s="8" t="n"/>
      <c r="E75" s="8" t="n"/>
      <c r="F75" s="6">
        <f>IF(B75="","",TRIM(A75)&amp;"||"&amp;TRIM(B75))</f>
        <v/>
      </c>
      <c r="G75" s="6">
        <f>IF(B75="","",IF(OR(AND(LOWER(D75)="mapped",TRIM(C75)&lt;&gt;""),AND(LOWER(D75)="ignored",TRIM(E75)&lt;&gt;"")),1,0))</f>
        <v/>
      </c>
      <c r="H75" s="6">
        <f>IF(AND(TRIM(A75)=Setup!$B$4,LOWER(D75)="mapped",TRIM(C75)&lt;&gt;""),IF(SUMPRODUCT((TRIM($A$5:A75)=Setup!$B$4)*(LOWER($D$5:D75)="mapped")*(TRIM($C$5:C75)=TRIM(C75)))=1,ROW(),""),"")</f>
        <v/>
      </c>
    </row>
    <row r="76">
      <c r="A76" s="8" t="n"/>
      <c r="B76" s="8" t="n"/>
      <c r="C76" s="8" t="n"/>
      <c r="D76" s="8" t="n"/>
      <c r="E76" s="8" t="n"/>
      <c r="F76" s="6">
        <f>IF(B76="","",TRIM(A76)&amp;"||"&amp;TRIM(B76))</f>
        <v/>
      </c>
      <c r="G76" s="6">
        <f>IF(B76="","",IF(OR(AND(LOWER(D76)="mapped",TRIM(C76)&lt;&gt;""),AND(LOWER(D76)="ignored",TRIM(E76)&lt;&gt;"")),1,0))</f>
        <v/>
      </c>
      <c r="H76" s="6">
        <f>IF(AND(TRIM(A76)=Setup!$B$4,LOWER(D76)="mapped",TRIM(C76)&lt;&gt;""),IF(SUMPRODUCT((TRIM($A$5:A76)=Setup!$B$4)*(LOWER($D$5:D76)="mapped")*(TRIM($C$5:C76)=TRIM(C76)))=1,ROW(),""),"")</f>
        <v/>
      </c>
    </row>
    <row r="77">
      <c r="A77" s="8" t="n"/>
      <c r="B77" s="8" t="n"/>
      <c r="C77" s="8" t="n"/>
      <c r="D77" s="8" t="n"/>
      <c r="E77" s="8" t="n"/>
      <c r="F77" s="6">
        <f>IF(B77="","",TRIM(A77)&amp;"||"&amp;TRIM(B77))</f>
        <v/>
      </c>
      <c r="G77" s="6">
        <f>IF(B77="","",IF(OR(AND(LOWER(D77)="mapped",TRIM(C77)&lt;&gt;""),AND(LOWER(D77)="ignored",TRIM(E77)&lt;&gt;"")),1,0))</f>
        <v/>
      </c>
      <c r="H77" s="6">
        <f>IF(AND(TRIM(A77)=Setup!$B$4,LOWER(D77)="mapped",TRIM(C77)&lt;&gt;""),IF(SUMPRODUCT((TRIM($A$5:A77)=Setup!$B$4)*(LOWER($D$5:D77)="mapped")*(TRIM($C$5:C77)=TRIM(C77)))=1,ROW(),""),"")</f>
        <v/>
      </c>
    </row>
    <row r="78">
      <c r="A78" s="8" t="n"/>
      <c r="B78" s="8" t="n"/>
      <c r="C78" s="8" t="n"/>
      <c r="D78" s="8" t="n"/>
      <c r="E78" s="8" t="n"/>
      <c r="F78" s="6">
        <f>IF(B78="","",TRIM(A78)&amp;"||"&amp;TRIM(B78))</f>
        <v/>
      </c>
      <c r="G78" s="6">
        <f>IF(B78="","",IF(OR(AND(LOWER(D78)="mapped",TRIM(C78)&lt;&gt;""),AND(LOWER(D78)="ignored",TRIM(E78)&lt;&gt;"")),1,0))</f>
        <v/>
      </c>
      <c r="H78" s="6">
        <f>IF(AND(TRIM(A78)=Setup!$B$4,LOWER(D78)="mapped",TRIM(C78)&lt;&gt;""),IF(SUMPRODUCT((TRIM($A$5:A78)=Setup!$B$4)*(LOWER($D$5:D78)="mapped")*(TRIM($C$5:C78)=TRIM(C78)))=1,ROW(),""),"")</f>
        <v/>
      </c>
    </row>
    <row r="79">
      <c r="A79" s="8" t="n"/>
      <c r="B79" s="8" t="n"/>
      <c r="C79" s="8" t="n"/>
      <c r="D79" s="8" t="n"/>
      <c r="E79" s="8" t="n"/>
      <c r="F79" s="6">
        <f>IF(B79="","",TRIM(A79)&amp;"||"&amp;TRIM(B79))</f>
        <v/>
      </c>
      <c r="G79" s="6">
        <f>IF(B79="","",IF(OR(AND(LOWER(D79)="mapped",TRIM(C79)&lt;&gt;""),AND(LOWER(D79)="ignored",TRIM(E79)&lt;&gt;"")),1,0))</f>
        <v/>
      </c>
      <c r="H79" s="6">
        <f>IF(AND(TRIM(A79)=Setup!$B$4,LOWER(D79)="mapped",TRIM(C79)&lt;&gt;""),IF(SUMPRODUCT((TRIM($A$5:A79)=Setup!$B$4)*(LOWER($D$5:D79)="mapped")*(TRIM($C$5:C79)=TRIM(C79)))=1,ROW(),""),"")</f>
        <v/>
      </c>
    </row>
    <row r="80">
      <c r="A80" s="8" t="n"/>
      <c r="B80" s="8" t="n"/>
      <c r="C80" s="8" t="n"/>
      <c r="D80" s="8" t="n"/>
      <c r="E80" s="8" t="n"/>
      <c r="F80" s="6">
        <f>IF(B80="","",TRIM(A80)&amp;"||"&amp;TRIM(B80))</f>
        <v/>
      </c>
      <c r="G80" s="6">
        <f>IF(B80="","",IF(OR(AND(LOWER(D80)="mapped",TRIM(C80)&lt;&gt;""),AND(LOWER(D80)="ignored",TRIM(E80)&lt;&gt;"")),1,0))</f>
        <v/>
      </c>
      <c r="H80" s="6">
        <f>IF(AND(TRIM(A80)=Setup!$B$4,LOWER(D80)="mapped",TRIM(C80)&lt;&gt;""),IF(SUMPRODUCT((TRIM($A$5:A80)=Setup!$B$4)*(LOWER($D$5:D80)="mapped")*(TRIM($C$5:C80)=TRIM(C80)))=1,ROW(),""),"")</f>
        <v/>
      </c>
    </row>
    <row r="81">
      <c r="A81" s="8" t="n"/>
      <c r="B81" s="8" t="n"/>
      <c r="C81" s="8" t="n"/>
      <c r="D81" s="8" t="n"/>
      <c r="E81" s="8" t="n"/>
      <c r="F81" s="6">
        <f>IF(B81="","",TRIM(A81)&amp;"||"&amp;TRIM(B81))</f>
        <v/>
      </c>
      <c r="G81" s="6">
        <f>IF(B81="","",IF(OR(AND(LOWER(D81)="mapped",TRIM(C81)&lt;&gt;""),AND(LOWER(D81)="ignored",TRIM(E81)&lt;&gt;"")),1,0))</f>
        <v/>
      </c>
      <c r="H81" s="6">
        <f>IF(AND(TRIM(A81)=Setup!$B$4,LOWER(D81)="mapped",TRIM(C81)&lt;&gt;""),IF(SUMPRODUCT((TRIM($A$5:A81)=Setup!$B$4)*(LOWER($D$5:D81)="mapped")*(TRIM($C$5:C81)=TRIM(C81)))=1,ROW(),""),"")</f>
        <v/>
      </c>
    </row>
    <row r="82">
      <c r="A82" s="8" t="n"/>
      <c r="B82" s="8" t="n"/>
      <c r="C82" s="8" t="n"/>
      <c r="D82" s="8" t="n"/>
      <c r="E82" s="8" t="n"/>
      <c r="F82" s="6">
        <f>IF(B82="","",TRIM(A82)&amp;"||"&amp;TRIM(B82))</f>
        <v/>
      </c>
      <c r="G82" s="6">
        <f>IF(B82="","",IF(OR(AND(LOWER(D82)="mapped",TRIM(C82)&lt;&gt;""),AND(LOWER(D82)="ignored",TRIM(E82)&lt;&gt;"")),1,0))</f>
        <v/>
      </c>
      <c r="H82" s="6">
        <f>IF(AND(TRIM(A82)=Setup!$B$4,LOWER(D82)="mapped",TRIM(C82)&lt;&gt;""),IF(SUMPRODUCT((TRIM($A$5:A82)=Setup!$B$4)*(LOWER($D$5:D82)="mapped")*(TRIM($C$5:C82)=TRIM(C82)))=1,ROW(),""),"")</f>
        <v/>
      </c>
    </row>
    <row r="83">
      <c r="A83" s="8" t="n"/>
      <c r="B83" s="8" t="n"/>
      <c r="C83" s="8" t="n"/>
      <c r="D83" s="8" t="n"/>
      <c r="E83" s="8" t="n"/>
      <c r="F83" s="6">
        <f>IF(B83="","",TRIM(A83)&amp;"||"&amp;TRIM(B83))</f>
        <v/>
      </c>
      <c r="G83" s="6">
        <f>IF(B83="","",IF(OR(AND(LOWER(D83)="mapped",TRIM(C83)&lt;&gt;""),AND(LOWER(D83)="ignored",TRIM(E83)&lt;&gt;"")),1,0))</f>
        <v/>
      </c>
      <c r="H83" s="6">
        <f>IF(AND(TRIM(A83)=Setup!$B$4,LOWER(D83)="mapped",TRIM(C83)&lt;&gt;""),IF(SUMPRODUCT((TRIM($A$5:A83)=Setup!$B$4)*(LOWER($D$5:D83)="mapped")*(TRIM($C$5:C83)=TRIM(C83)))=1,ROW(),""),"")</f>
        <v/>
      </c>
    </row>
    <row r="84">
      <c r="A84" s="8" t="n"/>
      <c r="B84" s="8" t="n"/>
      <c r="C84" s="8" t="n"/>
      <c r="D84" s="8" t="n"/>
      <c r="E84" s="8" t="n"/>
      <c r="F84" s="6">
        <f>IF(B84="","",TRIM(A84)&amp;"||"&amp;TRIM(B84))</f>
        <v/>
      </c>
      <c r="G84" s="6">
        <f>IF(B84="","",IF(OR(AND(LOWER(D84)="mapped",TRIM(C84)&lt;&gt;""),AND(LOWER(D84)="ignored",TRIM(E84)&lt;&gt;"")),1,0))</f>
        <v/>
      </c>
      <c r="H84" s="6">
        <f>IF(AND(TRIM(A84)=Setup!$B$4,LOWER(D84)="mapped",TRIM(C84)&lt;&gt;""),IF(SUMPRODUCT((TRIM($A$5:A84)=Setup!$B$4)*(LOWER($D$5:D84)="mapped")*(TRIM($C$5:C84)=TRIM(C84)))=1,ROW(),""),"")</f>
        <v/>
      </c>
    </row>
    <row r="85">
      <c r="A85" s="8" t="n"/>
      <c r="B85" s="8" t="n"/>
      <c r="C85" s="8" t="n"/>
      <c r="D85" s="8" t="n"/>
      <c r="E85" s="8" t="n"/>
      <c r="F85" s="6">
        <f>IF(B85="","",TRIM(A85)&amp;"||"&amp;TRIM(B85))</f>
        <v/>
      </c>
      <c r="G85" s="6">
        <f>IF(B85="","",IF(OR(AND(LOWER(D85)="mapped",TRIM(C85)&lt;&gt;""),AND(LOWER(D85)="ignored",TRIM(E85)&lt;&gt;"")),1,0))</f>
        <v/>
      </c>
      <c r="H85" s="6">
        <f>IF(AND(TRIM(A85)=Setup!$B$4,LOWER(D85)="mapped",TRIM(C85)&lt;&gt;""),IF(SUMPRODUCT((TRIM($A$5:A85)=Setup!$B$4)*(LOWER($D$5:D85)="mapped")*(TRIM($C$5:C85)=TRIM(C85)))=1,ROW(),""),"")</f>
        <v/>
      </c>
    </row>
    <row r="86">
      <c r="A86" s="8" t="n"/>
      <c r="B86" s="8" t="n"/>
      <c r="C86" s="8" t="n"/>
      <c r="D86" s="8" t="n"/>
      <c r="E86" s="8" t="n"/>
      <c r="F86" s="6">
        <f>IF(B86="","",TRIM(A86)&amp;"||"&amp;TRIM(B86))</f>
        <v/>
      </c>
      <c r="G86" s="6">
        <f>IF(B86="","",IF(OR(AND(LOWER(D86)="mapped",TRIM(C86)&lt;&gt;""),AND(LOWER(D86)="ignored",TRIM(E86)&lt;&gt;"")),1,0))</f>
        <v/>
      </c>
      <c r="H86" s="6">
        <f>IF(AND(TRIM(A86)=Setup!$B$4,LOWER(D86)="mapped",TRIM(C86)&lt;&gt;""),IF(SUMPRODUCT((TRIM($A$5:A86)=Setup!$B$4)*(LOWER($D$5:D86)="mapped")*(TRIM($C$5:C86)=TRIM(C86)))=1,ROW(),""),"")</f>
        <v/>
      </c>
    </row>
    <row r="87">
      <c r="A87" s="8" t="n"/>
      <c r="B87" s="8" t="n"/>
      <c r="C87" s="8" t="n"/>
      <c r="D87" s="8" t="n"/>
      <c r="E87" s="8" t="n"/>
      <c r="F87" s="6">
        <f>IF(B87="","",TRIM(A87)&amp;"||"&amp;TRIM(B87))</f>
        <v/>
      </c>
      <c r="G87" s="6">
        <f>IF(B87="","",IF(OR(AND(LOWER(D87)="mapped",TRIM(C87)&lt;&gt;""),AND(LOWER(D87)="ignored",TRIM(E87)&lt;&gt;"")),1,0))</f>
        <v/>
      </c>
      <c r="H87" s="6">
        <f>IF(AND(TRIM(A87)=Setup!$B$4,LOWER(D87)="mapped",TRIM(C87)&lt;&gt;""),IF(SUMPRODUCT((TRIM($A$5:A87)=Setup!$B$4)*(LOWER($D$5:D87)="mapped")*(TRIM($C$5:C87)=TRIM(C87)))=1,ROW(),""),"")</f>
        <v/>
      </c>
    </row>
    <row r="88">
      <c r="A88" s="8" t="n"/>
      <c r="B88" s="8" t="n"/>
      <c r="C88" s="8" t="n"/>
      <c r="D88" s="8" t="n"/>
      <c r="E88" s="8" t="n"/>
      <c r="F88" s="6">
        <f>IF(B88="","",TRIM(A88)&amp;"||"&amp;TRIM(B88))</f>
        <v/>
      </c>
      <c r="G88" s="6">
        <f>IF(B88="","",IF(OR(AND(LOWER(D88)="mapped",TRIM(C88)&lt;&gt;""),AND(LOWER(D88)="ignored",TRIM(E88)&lt;&gt;"")),1,0))</f>
        <v/>
      </c>
      <c r="H88" s="6">
        <f>IF(AND(TRIM(A88)=Setup!$B$4,LOWER(D88)="mapped",TRIM(C88)&lt;&gt;""),IF(SUMPRODUCT((TRIM($A$5:A88)=Setup!$B$4)*(LOWER($D$5:D88)="mapped")*(TRIM($C$5:C88)=TRIM(C88)))=1,ROW(),""),"")</f>
        <v/>
      </c>
    </row>
    <row r="89">
      <c r="A89" s="8" t="n"/>
      <c r="B89" s="8" t="n"/>
      <c r="C89" s="8" t="n"/>
      <c r="D89" s="8" t="n"/>
      <c r="E89" s="8" t="n"/>
      <c r="F89" s="6">
        <f>IF(B89="","",TRIM(A89)&amp;"||"&amp;TRIM(B89))</f>
        <v/>
      </c>
      <c r="G89" s="6">
        <f>IF(B89="","",IF(OR(AND(LOWER(D89)="mapped",TRIM(C89)&lt;&gt;""),AND(LOWER(D89)="ignored",TRIM(E89)&lt;&gt;"")),1,0))</f>
        <v/>
      </c>
      <c r="H89" s="6">
        <f>IF(AND(TRIM(A89)=Setup!$B$4,LOWER(D89)="mapped",TRIM(C89)&lt;&gt;""),IF(SUMPRODUCT((TRIM($A$5:A89)=Setup!$B$4)*(LOWER($D$5:D89)="mapped")*(TRIM($C$5:C89)=TRIM(C89)))=1,ROW(),""),"")</f>
        <v/>
      </c>
    </row>
    <row r="90">
      <c r="A90" s="8" t="n"/>
      <c r="B90" s="8" t="n"/>
      <c r="C90" s="8" t="n"/>
      <c r="D90" s="8" t="n"/>
      <c r="E90" s="8" t="n"/>
      <c r="F90" s="6">
        <f>IF(B90="","",TRIM(A90)&amp;"||"&amp;TRIM(B90))</f>
        <v/>
      </c>
      <c r="G90" s="6">
        <f>IF(B90="","",IF(OR(AND(LOWER(D90)="mapped",TRIM(C90)&lt;&gt;""),AND(LOWER(D90)="ignored",TRIM(E90)&lt;&gt;"")),1,0))</f>
        <v/>
      </c>
      <c r="H90" s="6">
        <f>IF(AND(TRIM(A90)=Setup!$B$4,LOWER(D90)="mapped",TRIM(C90)&lt;&gt;""),IF(SUMPRODUCT((TRIM($A$5:A90)=Setup!$B$4)*(LOWER($D$5:D90)="mapped")*(TRIM($C$5:C90)=TRIM(C90)))=1,ROW(),""),"")</f>
        <v/>
      </c>
    </row>
    <row r="91">
      <c r="A91" s="8" t="n"/>
      <c r="B91" s="8" t="n"/>
      <c r="C91" s="8" t="n"/>
      <c r="D91" s="8" t="n"/>
      <c r="E91" s="8" t="n"/>
      <c r="F91" s="6">
        <f>IF(B91="","",TRIM(A91)&amp;"||"&amp;TRIM(B91))</f>
        <v/>
      </c>
      <c r="G91" s="6">
        <f>IF(B91="","",IF(OR(AND(LOWER(D91)="mapped",TRIM(C91)&lt;&gt;""),AND(LOWER(D91)="ignored",TRIM(E91)&lt;&gt;"")),1,0))</f>
        <v/>
      </c>
      <c r="H91" s="6">
        <f>IF(AND(TRIM(A91)=Setup!$B$4,LOWER(D91)="mapped",TRIM(C91)&lt;&gt;""),IF(SUMPRODUCT((TRIM($A$5:A91)=Setup!$B$4)*(LOWER($D$5:D91)="mapped")*(TRIM($C$5:C91)=TRIM(C91)))=1,ROW(),""),"")</f>
        <v/>
      </c>
    </row>
    <row r="92">
      <c r="A92" s="8" t="n"/>
      <c r="B92" s="8" t="n"/>
      <c r="C92" s="8" t="n"/>
      <c r="D92" s="8" t="n"/>
      <c r="E92" s="8" t="n"/>
      <c r="F92" s="6">
        <f>IF(B92="","",TRIM(A92)&amp;"||"&amp;TRIM(B92))</f>
        <v/>
      </c>
      <c r="G92" s="6">
        <f>IF(B92="","",IF(OR(AND(LOWER(D92)="mapped",TRIM(C92)&lt;&gt;""),AND(LOWER(D92)="ignored",TRIM(E92)&lt;&gt;"")),1,0))</f>
        <v/>
      </c>
      <c r="H92" s="6">
        <f>IF(AND(TRIM(A92)=Setup!$B$4,LOWER(D92)="mapped",TRIM(C92)&lt;&gt;""),IF(SUMPRODUCT((TRIM($A$5:A92)=Setup!$B$4)*(LOWER($D$5:D92)="mapped")*(TRIM($C$5:C92)=TRIM(C92)))=1,ROW(),""),"")</f>
        <v/>
      </c>
    </row>
    <row r="93">
      <c r="A93" s="8" t="n"/>
      <c r="B93" s="8" t="n"/>
      <c r="C93" s="8" t="n"/>
      <c r="D93" s="8" t="n"/>
      <c r="E93" s="8" t="n"/>
      <c r="F93" s="6">
        <f>IF(B93="","",TRIM(A93)&amp;"||"&amp;TRIM(B93))</f>
        <v/>
      </c>
      <c r="G93" s="6">
        <f>IF(B93="","",IF(OR(AND(LOWER(D93)="mapped",TRIM(C93)&lt;&gt;""),AND(LOWER(D93)="ignored",TRIM(E93)&lt;&gt;"")),1,0))</f>
        <v/>
      </c>
      <c r="H93" s="6">
        <f>IF(AND(TRIM(A93)=Setup!$B$4,LOWER(D93)="mapped",TRIM(C93)&lt;&gt;""),IF(SUMPRODUCT((TRIM($A$5:A93)=Setup!$B$4)*(LOWER($D$5:D93)="mapped")*(TRIM($C$5:C93)=TRIM(C93)))=1,ROW(),""),"")</f>
        <v/>
      </c>
    </row>
    <row r="94">
      <c r="A94" s="8" t="n"/>
      <c r="B94" s="8" t="n"/>
      <c r="C94" s="8" t="n"/>
      <c r="D94" s="8" t="n"/>
      <c r="E94" s="8" t="n"/>
      <c r="F94" s="6">
        <f>IF(B94="","",TRIM(A94)&amp;"||"&amp;TRIM(B94))</f>
        <v/>
      </c>
      <c r="G94" s="6">
        <f>IF(B94="","",IF(OR(AND(LOWER(D94)="mapped",TRIM(C94)&lt;&gt;""),AND(LOWER(D94)="ignored",TRIM(E94)&lt;&gt;"")),1,0))</f>
        <v/>
      </c>
      <c r="H94" s="6">
        <f>IF(AND(TRIM(A94)=Setup!$B$4,LOWER(D94)="mapped",TRIM(C94)&lt;&gt;""),IF(SUMPRODUCT((TRIM($A$5:A94)=Setup!$B$4)*(LOWER($D$5:D94)="mapped")*(TRIM($C$5:C94)=TRIM(C94)))=1,ROW(),""),"")</f>
        <v/>
      </c>
    </row>
    <row r="95">
      <c r="A95" s="8" t="n"/>
      <c r="B95" s="8" t="n"/>
      <c r="C95" s="8" t="n"/>
      <c r="D95" s="8" t="n"/>
      <c r="E95" s="8" t="n"/>
      <c r="F95" s="6">
        <f>IF(B95="","",TRIM(A95)&amp;"||"&amp;TRIM(B95))</f>
        <v/>
      </c>
      <c r="G95" s="6">
        <f>IF(B95="","",IF(OR(AND(LOWER(D95)="mapped",TRIM(C95)&lt;&gt;""),AND(LOWER(D95)="ignored",TRIM(E95)&lt;&gt;"")),1,0))</f>
        <v/>
      </c>
      <c r="H95" s="6">
        <f>IF(AND(TRIM(A95)=Setup!$B$4,LOWER(D95)="mapped",TRIM(C95)&lt;&gt;""),IF(SUMPRODUCT((TRIM($A$5:A95)=Setup!$B$4)*(LOWER($D$5:D95)="mapped")*(TRIM($C$5:C95)=TRIM(C95)))=1,ROW(),""),"")</f>
        <v/>
      </c>
    </row>
    <row r="96">
      <c r="A96" s="8" t="n"/>
      <c r="B96" s="8" t="n"/>
      <c r="C96" s="8" t="n"/>
      <c r="D96" s="8" t="n"/>
      <c r="E96" s="8" t="n"/>
      <c r="F96" s="6">
        <f>IF(B96="","",TRIM(A96)&amp;"||"&amp;TRIM(B96))</f>
        <v/>
      </c>
      <c r="G96" s="6">
        <f>IF(B96="","",IF(OR(AND(LOWER(D96)="mapped",TRIM(C96)&lt;&gt;""),AND(LOWER(D96)="ignored",TRIM(E96)&lt;&gt;"")),1,0))</f>
        <v/>
      </c>
      <c r="H96" s="6">
        <f>IF(AND(TRIM(A96)=Setup!$B$4,LOWER(D96)="mapped",TRIM(C96)&lt;&gt;""),IF(SUMPRODUCT((TRIM($A$5:A96)=Setup!$B$4)*(LOWER($D$5:D96)="mapped")*(TRIM($C$5:C96)=TRIM(C96)))=1,ROW(),""),"")</f>
        <v/>
      </c>
    </row>
    <row r="97">
      <c r="A97" s="8" t="n"/>
      <c r="B97" s="8" t="n"/>
      <c r="C97" s="8" t="n"/>
      <c r="D97" s="8" t="n"/>
      <c r="E97" s="8" t="n"/>
      <c r="F97" s="6">
        <f>IF(B97="","",TRIM(A97)&amp;"||"&amp;TRIM(B97))</f>
        <v/>
      </c>
      <c r="G97" s="6">
        <f>IF(B97="","",IF(OR(AND(LOWER(D97)="mapped",TRIM(C97)&lt;&gt;""),AND(LOWER(D97)="ignored",TRIM(E97)&lt;&gt;"")),1,0))</f>
        <v/>
      </c>
      <c r="H97" s="6">
        <f>IF(AND(TRIM(A97)=Setup!$B$4,LOWER(D97)="mapped",TRIM(C97)&lt;&gt;""),IF(SUMPRODUCT((TRIM($A$5:A97)=Setup!$B$4)*(LOWER($D$5:D97)="mapped")*(TRIM($C$5:C97)=TRIM(C97)))=1,ROW(),""),"")</f>
        <v/>
      </c>
    </row>
    <row r="98">
      <c r="A98" s="8" t="n"/>
      <c r="B98" s="8" t="n"/>
      <c r="C98" s="8" t="n"/>
      <c r="D98" s="8" t="n"/>
      <c r="E98" s="8" t="n"/>
      <c r="F98" s="6">
        <f>IF(B98="","",TRIM(A98)&amp;"||"&amp;TRIM(B98))</f>
        <v/>
      </c>
      <c r="G98" s="6">
        <f>IF(B98="","",IF(OR(AND(LOWER(D98)="mapped",TRIM(C98)&lt;&gt;""),AND(LOWER(D98)="ignored",TRIM(E98)&lt;&gt;"")),1,0))</f>
        <v/>
      </c>
      <c r="H98" s="6">
        <f>IF(AND(TRIM(A98)=Setup!$B$4,LOWER(D98)="mapped",TRIM(C98)&lt;&gt;""),IF(SUMPRODUCT((TRIM($A$5:A98)=Setup!$B$4)*(LOWER($D$5:D98)="mapped")*(TRIM($C$5:C98)=TRIM(C98)))=1,ROW(),""),"")</f>
        <v/>
      </c>
    </row>
    <row r="99">
      <c r="A99" s="8" t="n"/>
      <c r="B99" s="8" t="n"/>
      <c r="C99" s="8" t="n"/>
      <c r="D99" s="8" t="n"/>
      <c r="E99" s="8" t="n"/>
      <c r="F99" s="6">
        <f>IF(B99="","",TRIM(A99)&amp;"||"&amp;TRIM(B99))</f>
        <v/>
      </c>
      <c r="G99" s="6">
        <f>IF(B99="","",IF(OR(AND(LOWER(D99)="mapped",TRIM(C99)&lt;&gt;""),AND(LOWER(D99)="ignored",TRIM(E99)&lt;&gt;"")),1,0))</f>
        <v/>
      </c>
      <c r="H99" s="6">
        <f>IF(AND(TRIM(A99)=Setup!$B$4,LOWER(D99)="mapped",TRIM(C99)&lt;&gt;""),IF(SUMPRODUCT((TRIM($A$5:A99)=Setup!$B$4)*(LOWER($D$5:D99)="mapped")*(TRIM($C$5:C99)=TRIM(C99)))=1,ROW(),""),"")</f>
        <v/>
      </c>
    </row>
    <row r="100">
      <c r="A100" s="8" t="n"/>
      <c r="B100" s="8" t="n"/>
      <c r="C100" s="8" t="n"/>
      <c r="D100" s="8" t="n"/>
      <c r="E100" s="8" t="n"/>
      <c r="F100" s="6">
        <f>IF(B100="","",TRIM(A100)&amp;"||"&amp;TRIM(B100))</f>
        <v/>
      </c>
      <c r="G100" s="6">
        <f>IF(B100="","",IF(OR(AND(LOWER(D100)="mapped",TRIM(C100)&lt;&gt;""),AND(LOWER(D100)="ignored",TRIM(E100)&lt;&gt;"")),1,0))</f>
        <v/>
      </c>
      <c r="H100" s="6">
        <f>IF(AND(TRIM(A100)=Setup!$B$4,LOWER(D100)="mapped",TRIM(C100)&lt;&gt;""),IF(SUMPRODUCT((TRIM($A$5:A100)=Setup!$B$4)*(LOWER($D$5:D100)="mapped")*(TRIM($C$5:C100)=TRIM(C100)))=1,ROW(),""),"")</f>
        <v/>
      </c>
    </row>
    <row r="101">
      <c r="A101" s="8" t="n"/>
      <c r="B101" s="8" t="n"/>
      <c r="C101" s="8" t="n"/>
      <c r="D101" s="8" t="n"/>
      <c r="E101" s="8" t="n"/>
      <c r="F101" s="6">
        <f>IF(B101="","",TRIM(A101)&amp;"||"&amp;TRIM(B101))</f>
        <v/>
      </c>
      <c r="G101" s="6">
        <f>IF(B101="","",IF(OR(AND(LOWER(D101)="mapped",TRIM(C101)&lt;&gt;""),AND(LOWER(D101)="ignored",TRIM(E101)&lt;&gt;"")),1,0))</f>
        <v/>
      </c>
      <c r="H101" s="6">
        <f>IF(AND(TRIM(A101)=Setup!$B$4,LOWER(D101)="mapped",TRIM(C101)&lt;&gt;""),IF(SUMPRODUCT((TRIM($A$5:A101)=Setup!$B$4)*(LOWER($D$5:D101)="mapped")*(TRIM($C$5:C101)=TRIM(C101)))=1,ROW(),""),"")</f>
        <v/>
      </c>
    </row>
    <row r="102">
      <c r="A102" s="8" t="n"/>
      <c r="B102" s="8" t="n"/>
      <c r="C102" s="8" t="n"/>
      <c r="D102" s="8" t="n"/>
      <c r="E102" s="8" t="n"/>
      <c r="F102" s="6">
        <f>IF(B102="","",TRIM(A102)&amp;"||"&amp;TRIM(B102))</f>
        <v/>
      </c>
      <c r="G102" s="6">
        <f>IF(B102="","",IF(OR(AND(LOWER(D102)="mapped",TRIM(C102)&lt;&gt;""),AND(LOWER(D102)="ignored",TRIM(E102)&lt;&gt;"")),1,0))</f>
        <v/>
      </c>
      <c r="H102" s="6">
        <f>IF(AND(TRIM(A102)=Setup!$B$4,LOWER(D102)="mapped",TRIM(C102)&lt;&gt;""),IF(SUMPRODUCT((TRIM($A$5:A102)=Setup!$B$4)*(LOWER($D$5:D102)="mapped")*(TRIM($C$5:C102)=TRIM(C102)))=1,ROW(),""),"")</f>
        <v/>
      </c>
    </row>
    <row r="103">
      <c r="A103" s="8" t="n"/>
      <c r="B103" s="8" t="n"/>
      <c r="C103" s="8" t="n"/>
      <c r="D103" s="8" t="n"/>
      <c r="E103" s="8" t="n"/>
      <c r="F103" s="6">
        <f>IF(B103="","",TRIM(A103)&amp;"||"&amp;TRIM(B103))</f>
        <v/>
      </c>
      <c r="G103" s="6">
        <f>IF(B103="","",IF(OR(AND(LOWER(D103)="mapped",TRIM(C103)&lt;&gt;""),AND(LOWER(D103)="ignored",TRIM(E103)&lt;&gt;"")),1,0))</f>
        <v/>
      </c>
      <c r="H103" s="6">
        <f>IF(AND(TRIM(A103)=Setup!$B$4,LOWER(D103)="mapped",TRIM(C103)&lt;&gt;""),IF(SUMPRODUCT((TRIM($A$5:A103)=Setup!$B$4)*(LOWER($D$5:D103)="mapped")*(TRIM($C$5:C103)=TRIM(C103)))=1,ROW(),""),"")</f>
        <v/>
      </c>
    </row>
    <row r="104">
      <c r="A104" s="8" t="n"/>
      <c r="B104" s="8" t="n"/>
      <c r="C104" s="8" t="n"/>
      <c r="D104" s="8" t="n"/>
      <c r="E104" s="8" t="n"/>
      <c r="F104" s="6">
        <f>IF(B104="","",TRIM(A104)&amp;"||"&amp;TRIM(B104))</f>
        <v/>
      </c>
      <c r="G104" s="6">
        <f>IF(B104="","",IF(OR(AND(LOWER(D104)="mapped",TRIM(C104)&lt;&gt;""),AND(LOWER(D104)="ignored",TRIM(E104)&lt;&gt;"")),1,0))</f>
        <v/>
      </c>
      <c r="H104" s="6">
        <f>IF(AND(TRIM(A104)=Setup!$B$4,LOWER(D104)="mapped",TRIM(C104)&lt;&gt;""),IF(SUMPRODUCT((TRIM($A$5:A104)=Setup!$B$4)*(LOWER($D$5:D104)="mapped")*(TRIM($C$5:C104)=TRIM(C104)))=1,ROW(),""),"")</f>
        <v/>
      </c>
    </row>
    <row r="105">
      <c r="A105" s="8" t="n"/>
      <c r="B105" s="8" t="n"/>
      <c r="C105" s="8" t="n"/>
      <c r="D105" s="8" t="n"/>
      <c r="E105" s="8" t="n"/>
      <c r="F105" s="6">
        <f>IF(B105="","",TRIM(A105)&amp;"||"&amp;TRIM(B105))</f>
        <v/>
      </c>
      <c r="G105" s="6">
        <f>IF(B105="","",IF(OR(AND(LOWER(D105)="mapped",TRIM(C105)&lt;&gt;""),AND(LOWER(D105)="ignored",TRIM(E105)&lt;&gt;"")),1,0))</f>
        <v/>
      </c>
      <c r="H105" s="6">
        <f>IF(AND(TRIM(A105)=Setup!$B$4,LOWER(D105)="mapped",TRIM(C105)&lt;&gt;""),IF(SUMPRODUCT((TRIM($A$5:A105)=Setup!$B$4)*(LOWER($D$5:D105)="mapped")*(TRIM($C$5:C105)=TRIM(C105)))=1,ROW(),""),"")</f>
        <v/>
      </c>
    </row>
    <row r="106">
      <c r="A106" s="8" t="n"/>
      <c r="B106" s="8" t="n"/>
      <c r="C106" s="8" t="n"/>
      <c r="D106" s="8" t="n"/>
      <c r="E106" s="8" t="n"/>
      <c r="F106" s="6">
        <f>IF(B106="","",TRIM(A106)&amp;"||"&amp;TRIM(B106))</f>
        <v/>
      </c>
      <c r="G106" s="6">
        <f>IF(B106="","",IF(OR(AND(LOWER(D106)="mapped",TRIM(C106)&lt;&gt;""),AND(LOWER(D106)="ignored",TRIM(E106)&lt;&gt;"")),1,0))</f>
        <v/>
      </c>
      <c r="H106" s="6">
        <f>IF(AND(TRIM(A106)=Setup!$B$4,LOWER(D106)="mapped",TRIM(C106)&lt;&gt;""),IF(SUMPRODUCT((TRIM($A$5:A106)=Setup!$B$4)*(LOWER($D$5:D106)="mapped")*(TRIM($C$5:C106)=TRIM(C106)))=1,ROW(),""),"")</f>
        <v/>
      </c>
    </row>
    <row r="107">
      <c r="A107" s="8" t="n"/>
      <c r="B107" s="8" t="n"/>
      <c r="C107" s="8" t="n"/>
      <c r="D107" s="8" t="n"/>
      <c r="E107" s="8" t="n"/>
      <c r="F107" s="6">
        <f>IF(B107="","",TRIM(A107)&amp;"||"&amp;TRIM(B107))</f>
        <v/>
      </c>
      <c r="G107" s="6">
        <f>IF(B107="","",IF(OR(AND(LOWER(D107)="mapped",TRIM(C107)&lt;&gt;""),AND(LOWER(D107)="ignored",TRIM(E107)&lt;&gt;"")),1,0))</f>
        <v/>
      </c>
      <c r="H107" s="6">
        <f>IF(AND(TRIM(A107)=Setup!$B$4,LOWER(D107)="mapped",TRIM(C107)&lt;&gt;""),IF(SUMPRODUCT((TRIM($A$5:A107)=Setup!$B$4)*(LOWER($D$5:D107)="mapped")*(TRIM($C$5:C107)=TRIM(C107)))=1,ROW(),""),"")</f>
        <v/>
      </c>
    </row>
    <row r="108">
      <c r="A108" s="8" t="n"/>
      <c r="B108" s="8" t="n"/>
      <c r="C108" s="8" t="n"/>
      <c r="D108" s="8" t="n"/>
      <c r="E108" s="8" t="n"/>
      <c r="F108" s="6">
        <f>IF(B108="","",TRIM(A108)&amp;"||"&amp;TRIM(B108))</f>
        <v/>
      </c>
      <c r="G108" s="6">
        <f>IF(B108="","",IF(OR(AND(LOWER(D108)="mapped",TRIM(C108)&lt;&gt;""),AND(LOWER(D108)="ignored",TRIM(E108)&lt;&gt;"")),1,0))</f>
        <v/>
      </c>
      <c r="H108" s="6">
        <f>IF(AND(TRIM(A108)=Setup!$B$4,LOWER(D108)="mapped",TRIM(C108)&lt;&gt;""),IF(SUMPRODUCT((TRIM($A$5:A108)=Setup!$B$4)*(LOWER($D$5:D108)="mapped")*(TRIM($C$5:C108)=TRIM(C108)))=1,ROW(),""),"")</f>
        <v/>
      </c>
    </row>
    <row r="109">
      <c r="A109" s="8" t="n"/>
      <c r="B109" s="8" t="n"/>
      <c r="C109" s="8" t="n"/>
      <c r="D109" s="8" t="n"/>
      <c r="E109" s="8" t="n"/>
      <c r="F109" s="6">
        <f>IF(B109="","",TRIM(A109)&amp;"||"&amp;TRIM(B109))</f>
        <v/>
      </c>
      <c r="G109" s="6">
        <f>IF(B109="","",IF(OR(AND(LOWER(D109)="mapped",TRIM(C109)&lt;&gt;""),AND(LOWER(D109)="ignored",TRIM(E109)&lt;&gt;"")),1,0))</f>
        <v/>
      </c>
      <c r="H109" s="6">
        <f>IF(AND(TRIM(A109)=Setup!$B$4,LOWER(D109)="mapped",TRIM(C109)&lt;&gt;""),IF(SUMPRODUCT((TRIM($A$5:A109)=Setup!$B$4)*(LOWER($D$5:D109)="mapped")*(TRIM($C$5:C109)=TRIM(C109)))=1,ROW(),""),"")</f>
        <v/>
      </c>
    </row>
    <row r="110">
      <c r="A110" s="8" t="n"/>
      <c r="B110" s="8" t="n"/>
      <c r="C110" s="8" t="n"/>
      <c r="D110" s="8" t="n"/>
      <c r="E110" s="8" t="n"/>
      <c r="F110" s="6">
        <f>IF(B110="","",TRIM(A110)&amp;"||"&amp;TRIM(B110))</f>
        <v/>
      </c>
      <c r="G110" s="6">
        <f>IF(B110="","",IF(OR(AND(LOWER(D110)="mapped",TRIM(C110)&lt;&gt;""),AND(LOWER(D110)="ignored",TRIM(E110)&lt;&gt;"")),1,0))</f>
        <v/>
      </c>
      <c r="H110" s="6">
        <f>IF(AND(TRIM(A110)=Setup!$B$4,LOWER(D110)="mapped",TRIM(C110)&lt;&gt;""),IF(SUMPRODUCT((TRIM($A$5:A110)=Setup!$B$4)*(LOWER($D$5:D110)="mapped")*(TRIM($C$5:C110)=TRIM(C110)))=1,ROW(),""),"")</f>
        <v/>
      </c>
    </row>
    <row r="111">
      <c r="A111" s="8" t="n"/>
      <c r="B111" s="8" t="n"/>
      <c r="C111" s="8" t="n"/>
      <c r="D111" s="8" t="n"/>
      <c r="E111" s="8" t="n"/>
      <c r="F111" s="6">
        <f>IF(B111="","",TRIM(A111)&amp;"||"&amp;TRIM(B111))</f>
        <v/>
      </c>
      <c r="G111" s="6">
        <f>IF(B111="","",IF(OR(AND(LOWER(D111)="mapped",TRIM(C111)&lt;&gt;""),AND(LOWER(D111)="ignored",TRIM(E111)&lt;&gt;"")),1,0))</f>
        <v/>
      </c>
      <c r="H111" s="6">
        <f>IF(AND(TRIM(A111)=Setup!$B$4,LOWER(D111)="mapped",TRIM(C111)&lt;&gt;""),IF(SUMPRODUCT((TRIM($A$5:A111)=Setup!$B$4)*(LOWER($D$5:D111)="mapped")*(TRIM($C$5:C111)=TRIM(C111)))=1,ROW(),""),"")</f>
        <v/>
      </c>
    </row>
    <row r="112">
      <c r="A112" s="8" t="n"/>
      <c r="B112" s="8" t="n"/>
      <c r="C112" s="8" t="n"/>
      <c r="D112" s="8" t="n"/>
      <c r="E112" s="8" t="n"/>
      <c r="F112" s="6">
        <f>IF(B112="","",TRIM(A112)&amp;"||"&amp;TRIM(B112))</f>
        <v/>
      </c>
      <c r="G112" s="6">
        <f>IF(B112="","",IF(OR(AND(LOWER(D112)="mapped",TRIM(C112)&lt;&gt;""),AND(LOWER(D112)="ignored",TRIM(E112)&lt;&gt;"")),1,0))</f>
        <v/>
      </c>
      <c r="H112" s="6">
        <f>IF(AND(TRIM(A112)=Setup!$B$4,LOWER(D112)="mapped",TRIM(C112)&lt;&gt;""),IF(SUMPRODUCT((TRIM($A$5:A112)=Setup!$B$4)*(LOWER($D$5:D112)="mapped")*(TRIM($C$5:C112)=TRIM(C112)))=1,ROW(),""),"")</f>
        <v/>
      </c>
    </row>
    <row r="113">
      <c r="A113" s="8" t="n"/>
      <c r="B113" s="8" t="n"/>
      <c r="C113" s="8" t="n"/>
      <c r="D113" s="8" t="n"/>
      <c r="E113" s="8" t="n"/>
      <c r="F113" s="6">
        <f>IF(B113="","",TRIM(A113)&amp;"||"&amp;TRIM(B113))</f>
        <v/>
      </c>
      <c r="G113" s="6">
        <f>IF(B113="","",IF(OR(AND(LOWER(D113)="mapped",TRIM(C113)&lt;&gt;""),AND(LOWER(D113)="ignored",TRIM(E113)&lt;&gt;"")),1,0))</f>
        <v/>
      </c>
      <c r="H113" s="6">
        <f>IF(AND(TRIM(A113)=Setup!$B$4,LOWER(D113)="mapped",TRIM(C113)&lt;&gt;""),IF(SUMPRODUCT((TRIM($A$5:A113)=Setup!$B$4)*(LOWER($D$5:D113)="mapped")*(TRIM($C$5:C113)=TRIM(C113)))=1,ROW(),""),"")</f>
        <v/>
      </c>
    </row>
    <row r="114">
      <c r="A114" s="8" t="n"/>
      <c r="B114" s="8" t="n"/>
      <c r="C114" s="8" t="n"/>
      <c r="D114" s="8" t="n"/>
      <c r="E114" s="8" t="n"/>
      <c r="F114" s="6">
        <f>IF(B114="","",TRIM(A114)&amp;"||"&amp;TRIM(B114))</f>
        <v/>
      </c>
      <c r="G114" s="6">
        <f>IF(B114="","",IF(OR(AND(LOWER(D114)="mapped",TRIM(C114)&lt;&gt;""),AND(LOWER(D114)="ignored",TRIM(E114)&lt;&gt;"")),1,0))</f>
        <v/>
      </c>
      <c r="H114" s="6">
        <f>IF(AND(TRIM(A114)=Setup!$B$4,LOWER(D114)="mapped",TRIM(C114)&lt;&gt;""),IF(SUMPRODUCT((TRIM($A$5:A114)=Setup!$B$4)*(LOWER($D$5:D114)="mapped")*(TRIM($C$5:C114)=TRIM(C114)))=1,ROW(),""),"")</f>
        <v/>
      </c>
    </row>
    <row r="115">
      <c r="A115" s="8" t="n"/>
      <c r="B115" s="8" t="n"/>
      <c r="C115" s="8" t="n"/>
      <c r="D115" s="8" t="n"/>
      <c r="E115" s="8" t="n"/>
      <c r="F115" s="6">
        <f>IF(B115="","",TRIM(A115)&amp;"||"&amp;TRIM(B115))</f>
        <v/>
      </c>
      <c r="G115" s="6">
        <f>IF(B115="","",IF(OR(AND(LOWER(D115)="mapped",TRIM(C115)&lt;&gt;""),AND(LOWER(D115)="ignored",TRIM(E115)&lt;&gt;"")),1,0))</f>
        <v/>
      </c>
      <c r="H115" s="6">
        <f>IF(AND(TRIM(A115)=Setup!$B$4,LOWER(D115)="mapped",TRIM(C115)&lt;&gt;""),IF(SUMPRODUCT((TRIM($A$5:A115)=Setup!$B$4)*(LOWER($D$5:D115)="mapped")*(TRIM($C$5:C115)=TRIM(C115)))=1,ROW(),""),"")</f>
        <v/>
      </c>
    </row>
    <row r="116">
      <c r="A116" s="8" t="n"/>
      <c r="B116" s="8" t="n"/>
      <c r="C116" s="8" t="n"/>
      <c r="D116" s="8" t="n"/>
      <c r="E116" s="8" t="n"/>
      <c r="F116" s="6">
        <f>IF(B116="","",TRIM(A116)&amp;"||"&amp;TRIM(B116))</f>
        <v/>
      </c>
      <c r="G116" s="6">
        <f>IF(B116="","",IF(OR(AND(LOWER(D116)="mapped",TRIM(C116)&lt;&gt;""),AND(LOWER(D116)="ignored",TRIM(E116)&lt;&gt;"")),1,0))</f>
        <v/>
      </c>
      <c r="H116" s="6">
        <f>IF(AND(TRIM(A116)=Setup!$B$4,LOWER(D116)="mapped",TRIM(C116)&lt;&gt;""),IF(SUMPRODUCT((TRIM($A$5:A116)=Setup!$B$4)*(LOWER($D$5:D116)="mapped")*(TRIM($C$5:C116)=TRIM(C116)))=1,ROW(),""),"")</f>
        <v/>
      </c>
    </row>
    <row r="117">
      <c r="A117" s="8" t="n"/>
      <c r="B117" s="8" t="n"/>
      <c r="C117" s="8" t="n"/>
      <c r="D117" s="8" t="n"/>
      <c r="E117" s="8" t="n"/>
      <c r="F117" s="6">
        <f>IF(B117="","",TRIM(A117)&amp;"||"&amp;TRIM(B117))</f>
        <v/>
      </c>
      <c r="G117" s="6">
        <f>IF(B117="","",IF(OR(AND(LOWER(D117)="mapped",TRIM(C117)&lt;&gt;""),AND(LOWER(D117)="ignored",TRIM(E117)&lt;&gt;"")),1,0))</f>
        <v/>
      </c>
      <c r="H117" s="6">
        <f>IF(AND(TRIM(A117)=Setup!$B$4,LOWER(D117)="mapped",TRIM(C117)&lt;&gt;""),IF(SUMPRODUCT((TRIM($A$5:A117)=Setup!$B$4)*(LOWER($D$5:D117)="mapped")*(TRIM($C$5:C117)=TRIM(C117)))=1,ROW(),""),"")</f>
        <v/>
      </c>
    </row>
    <row r="118">
      <c r="A118" s="8" t="n"/>
      <c r="B118" s="8" t="n"/>
      <c r="C118" s="8" t="n"/>
      <c r="D118" s="8" t="n"/>
      <c r="E118" s="8" t="n"/>
      <c r="F118" s="6">
        <f>IF(B118="","",TRIM(A118)&amp;"||"&amp;TRIM(B118))</f>
        <v/>
      </c>
      <c r="G118" s="6">
        <f>IF(B118="","",IF(OR(AND(LOWER(D118)="mapped",TRIM(C118)&lt;&gt;""),AND(LOWER(D118)="ignored",TRIM(E118)&lt;&gt;"")),1,0))</f>
        <v/>
      </c>
      <c r="H118" s="6">
        <f>IF(AND(TRIM(A118)=Setup!$B$4,LOWER(D118)="mapped",TRIM(C118)&lt;&gt;""),IF(SUMPRODUCT((TRIM($A$5:A118)=Setup!$B$4)*(LOWER($D$5:D118)="mapped")*(TRIM($C$5:C118)=TRIM(C118)))=1,ROW(),""),"")</f>
        <v/>
      </c>
    </row>
    <row r="119">
      <c r="A119" s="8" t="n"/>
      <c r="B119" s="8" t="n"/>
      <c r="C119" s="8" t="n"/>
      <c r="D119" s="8" t="n"/>
      <c r="E119" s="8" t="n"/>
      <c r="F119" s="6">
        <f>IF(B119="","",TRIM(A119)&amp;"||"&amp;TRIM(B119))</f>
        <v/>
      </c>
      <c r="G119" s="6">
        <f>IF(B119="","",IF(OR(AND(LOWER(D119)="mapped",TRIM(C119)&lt;&gt;""),AND(LOWER(D119)="ignored",TRIM(E119)&lt;&gt;"")),1,0))</f>
        <v/>
      </c>
      <c r="H119" s="6">
        <f>IF(AND(TRIM(A119)=Setup!$B$4,LOWER(D119)="mapped",TRIM(C119)&lt;&gt;""),IF(SUMPRODUCT((TRIM($A$5:A119)=Setup!$B$4)*(LOWER($D$5:D119)="mapped")*(TRIM($C$5:C119)=TRIM(C119)))=1,ROW(),""),"")</f>
        <v/>
      </c>
    </row>
    <row r="120">
      <c r="A120" s="8" t="n"/>
      <c r="B120" s="8" t="n"/>
      <c r="C120" s="8" t="n"/>
      <c r="D120" s="8" t="n"/>
      <c r="E120" s="8" t="n"/>
      <c r="F120" s="6">
        <f>IF(B120="","",TRIM(A120)&amp;"||"&amp;TRIM(B120))</f>
        <v/>
      </c>
      <c r="G120" s="6">
        <f>IF(B120="","",IF(OR(AND(LOWER(D120)="mapped",TRIM(C120)&lt;&gt;""),AND(LOWER(D120)="ignored",TRIM(E120)&lt;&gt;"")),1,0))</f>
        <v/>
      </c>
      <c r="H120" s="6">
        <f>IF(AND(TRIM(A120)=Setup!$B$4,LOWER(D120)="mapped",TRIM(C120)&lt;&gt;""),IF(SUMPRODUCT((TRIM($A$5:A120)=Setup!$B$4)*(LOWER($D$5:D120)="mapped")*(TRIM($C$5:C120)=TRIM(C120)))=1,ROW(),""),"")</f>
        <v/>
      </c>
    </row>
    <row r="121">
      <c r="A121" s="8" t="n"/>
      <c r="B121" s="8" t="n"/>
      <c r="C121" s="8" t="n"/>
      <c r="D121" s="8" t="n"/>
      <c r="E121" s="8" t="n"/>
      <c r="F121" s="6">
        <f>IF(B121="","",TRIM(A121)&amp;"||"&amp;TRIM(B121))</f>
        <v/>
      </c>
      <c r="G121" s="6">
        <f>IF(B121="","",IF(OR(AND(LOWER(D121)="mapped",TRIM(C121)&lt;&gt;""),AND(LOWER(D121)="ignored",TRIM(E121)&lt;&gt;"")),1,0))</f>
        <v/>
      </c>
      <c r="H121" s="6">
        <f>IF(AND(TRIM(A121)=Setup!$B$4,LOWER(D121)="mapped",TRIM(C121)&lt;&gt;""),IF(SUMPRODUCT((TRIM($A$5:A121)=Setup!$B$4)*(LOWER($D$5:D121)="mapped")*(TRIM($C$5:C121)=TRIM(C121)))=1,ROW(),""),"")</f>
        <v/>
      </c>
    </row>
    <row r="122">
      <c r="A122" s="8" t="n"/>
      <c r="B122" s="8" t="n"/>
      <c r="C122" s="8" t="n"/>
      <c r="D122" s="8" t="n"/>
      <c r="E122" s="8" t="n"/>
      <c r="F122" s="6">
        <f>IF(B122="","",TRIM(A122)&amp;"||"&amp;TRIM(B122))</f>
        <v/>
      </c>
      <c r="G122" s="6">
        <f>IF(B122="","",IF(OR(AND(LOWER(D122)="mapped",TRIM(C122)&lt;&gt;""),AND(LOWER(D122)="ignored",TRIM(E122)&lt;&gt;"")),1,0))</f>
        <v/>
      </c>
      <c r="H122" s="6">
        <f>IF(AND(TRIM(A122)=Setup!$B$4,LOWER(D122)="mapped",TRIM(C122)&lt;&gt;""),IF(SUMPRODUCT((TRIM($A$5:A122)=Setup!$B$4)*(LOWER($D$5:D122)="mapped")*(TRIM($C$5:C122)=TRIM(C122)))=1,ROW(),""),"")</f>
        <v/>
      </c>
    </row>
    <row r="123">
      <c r="A123" s="8" t="n"/>
      <c r="B123" s="8" t="n"/>
      <c r="C123" s="8" t="n"/>
      <c r="D123" s="8" t="n"/>
      <c r="E123" s="8" t="n"/>
      <c r="F123" s="6">
        <f>IF(B123="","",TRIM(A123)&amp;"||"&amp;TRIM(B123))</f>
        <v/>
      </c>
      <c r="G123" s="6">
        <f>IF(B123="","",IF(OR(AND(LOWER(D123)="mapped",TRIM(C123)&lt;&gt;""),AND(LOWER(D123)="ignored",TRIM(E123)&lt;&gt;"")),1,0))</f>
        <v/>
      </c>
      <c r="H123" s="6">
        <f>IF(AND(TRIM(A123)=Setup!$B$4,LOWER(D123)="mapped",TRIM(C123)&lt;&gt;""),IF(SUMPRODUCT((TRIM($A$5:A123)=Setup!$B$4)*(LOWER($D$5:D123)="mapped")*(TRIM($C$5:C123)=TRIM(C123)))=1,ROW(),""),"")</f>
        <v/>
      </c>
    </row>
    <row r="124">
      <c r="A124" s="8" t="n"/>
      <c r="B124" s="8" t="n"/>
      <c r="C124" s="8" t="n"/>
      <c r="D124" s="8" t="n"/>
      <c r="E124" s="8" t="n"/>
      <c r="F124" s="6">
        <f>IF(B124="","",TRIM(A124)&amp;"||"&amp;TRIM(B124))</f>
        <v/>
      </c>
      <c r="G124" s="6">
        <f>IF(B124="","",IF(OR(AND(LOWER(D124)="mapped",TRIM(C124)&lt;&gt;""),AND(LOWER(D124)="ignored",TRIM(E124)&lt;&gt;"")),1,0))</f>
        <v/>
      </c>
      <c r="H124" s="6">
        <f>IF(AND(TRIM(A124)=Setup!$B$4,LOWER(D124)="mapped",TRIM(C124)&lt;&gt;""),IF(SUMPRODUCT((TRIM($A$5:A124)=Setup!$B$4)*(LOWER($D$5:D124)="mapped")*(TRIM($C$5:C124)=TRIM(C124)))=1,ROW(),""),"")</f>
        <v/>
      </c>
    </row>
    <row r="125">
      <c r="A125" s="8" t="n"/>
      <c r="B125" s="8" t="n"/>
      <c r="C125" s="8" t="n"/>
      <c r="D125" s="8" t="n"/>
      <c r="E125" s="8" t="n"/>
      <c r="F125" s="6">
        <f>IF(B125="","",TRIM(A125)&amp;"||"&amp;TRIM(B125))</f>
        <v/>
      </c>
      <c r="G125" s="6">
        <f>IF(B125="","",IF(OR(AND(LOWER(D125)="mapped",TRIM(C125)&lt;&gt;""),AND(LOWER(D125)="ignored",TRIM(E125)&lt;&gt;"")),1,0))</f>
        <v/>
      </c>
      <c r="H125" s="6">
        <f>IF(AND(TRIM(A125)=Setup!$B$4,LOWER(D125)="mapped",TRIM(C125)&lt;&gt;""),IF(SUMPRODUCT((TRIM($A$5:A125)=Setup!$B$4)*(LOWER($D$5:D125)="mapped")*(TRIM($C$5:C125)=TRIM(C125)))=1,ROW(),""),"")</f>
        <v/>
      </c>
    </row>
    <row r="126">
      <c r="A126" s="8" t="n"/>
      <c r="B126" s="8" t="n"/>
      <c r="C126" s="8" t="n"/>
      <c r="D126" s="8" t="n"/>
      <c r="E126" s="8" t="n"/>
      <c r="F126" s="6">
        <f>IF(B126="","",TRIM(A126)&amp;"||"&amp;TRIM(B126))</f>
        <v/>
      </c>
      <c r="G126" s="6">
        <f>IF(B126="","",IF(OR(AND(LOWER(D126)="mapped",TRIM(C126)&lt;&gt;""),AND(LOWER(D126)="ignored",TRIM(E126)&lt;&gt;"")),1,0))</f>
        <v/>
      </c>
      <c r="H126" s="6">
        <f>IF(AND(TRIM(A126)=Setup!$B$4,LOWER(D126)="mapped",TRIM(C126)&lt;&gt;""),IF(SUMPRODUCT((TRIM($A$5:A126)=Setup!$B$4)*(LOWER($D$5:D126)="mapped")*(TRIM($C$5:C126)=TRIM(C126)))=1,ROW(),""),"")</f>
        <v/>
      </c>
    </row>
    <row r="127">
      <c r="A127" s="8" t="n"/>
      <c r="B127" s="8" t="n"/>
      <c r="C127" s="8" t="n"/>
      <c r="D127" s="8" t="n"/>
      <c r="E127" s="8" t="n"/>
      <c r="F127" s="6">
        <f>IF(B127="","",TRIM(A127)&amp;"||"&amp;TRIM(B127))</f>
        <v/>
      </c>
      <c r="G127" s="6">
        <f>IF(B127="","",IF(OR(AND(LOWER(D127)="mapped",TRIM(C127)&lt;&gt;""),AND(LOWER(D127)="ignored",TRIM(E127)&lt;&gt;"")),1,0))</f>
        <v/>
      </c>
      <c r="H127" s="6">
        <f>IF(AND(TRIM(A127)=Setup!$B$4,LOWER(D127)="mapped",TRIM(C127)&lt;&gt;""),IF(SUMPRODUCT((TRIM($A$5:A127)=Setup!$B$4)*(LOWER($D$5:D127)="mapped")*(TRIM($C$5:C127)=TRIM(C127)))=1,ROW(),""),"")</f>
        <v/>
      </c>
    </row>
    <row r="128">
      <c r="A128" s="8" t="n"/>
      <c r="B128" s="8" t="n"/>
      <c r="C128" s="8" t="n"/>
      <c r="D128" s="8" t="n"/>
      <c r="E128" s="8" t="n"/>
      <c r="F128" s="6">
        <f>IF(B128="","",TRIM(A128)&amp;"||"&amp;TRIM(B128))</f>
        <v/>
      </c>
      <c r="G128" s="6">
        <f>IF(B128="","",IF(OR(AND(LOWER(D128)="mapped",TRIM(C128)&lt;&gt;""),AND(LOWER(D128)="ignored",TRIM(E128)&lt;&gt;"")),1,0))</f>
        <v/>
      </c>
      <c r="H128" s="6">
        <f>IF(AND(TRIM(A128)=Setup!$B$4,LOWER(D128)="mapped",TRIM(C128)&lt;&gt;""),IF(SUMPRODUCT((TRIM($A$5:A128)=Setup!$B$4)*(LOWER($D$5:D128)="mapped")*(TRIM($C$5:C128)=TRIM(C128)))=1,ROW(),""),"")</f>
        <v/>
      </c>
    </row>
    <row r="129">
      <c r="A129" s="8" t="n"/>
      <c r="B129" s="8" t="n"/>
      <c r="C129" s="8" t="n"/>
      <c r="D129" s="8" t="n"/>
      <c r="E129" s="8" t="n"/>
      <c r="F129" s="6">
        <f>IF(B129="","",TRIM(A129)&amp;"||"&amp;TRIM(B129))</f>
        <v/>
      </c>
      <c r="G129" s="6">
        <f>IF(B129="","",IF(OR(AND(LOWER(D129)="mapped",TRIM(C129)&lt;&gt;""),AND(LOWER(D129)="ignored",TRIM(E129)&lt;&gt;"")),1,0))</f>
        <v/>
      </c>
      <c r="H129" s="6">
        <f>IF(AND(TRIM(A129)=Setup!$B$4,LOWER(D129)="mapped",TRIM(C129)&lt;&gt;""),IF(SUMPRODUCT((TRIM($A$5:A129)=Setup!$B$4)*(LOWER($D$5:D129)="mapped")*(TRIM($C$5:C129)=TRIM(C129)))=1,ROW(),""),"")</f>
        <v/>
      </c>
    </row>
    <row r="130">
      <c r="A130" s="8" t="n"/>
      <c r="B130" s="8" t="n"/>
      <c r="C130" s="8" t="n"/>
      <c r="D130" s="8" t="n"/>
      <c r="E130" s="8" t="n"/>
      <c r="F130" s="6">
        <f>IF(B130="","",TRIM(A130)&amp;"||"&amp;TRIM(B130))</f>
        <v/>
      </c>
      <c r="G130" s="6">
        <f>IF(B130="","",IF(OR(AND(LOWER(D130)="mapped",TRIM(C130)&lt;&gt;""),AND(LOWER(D130)="ignored",TRIM(E130)&lt;&gt;"")),1,0))</f>
        <v/>
      </c>
      <c r="H130" s="6">
        <f>IF(AND(TRIM(A130)=Setup!$B$4,LOWER(D130)="mapped",TRIM(C130)&lt;&gt;""),IF(SUMPRODUCT((TRIM($A$5:A130)=Setup!$B$4)*(LOWER($D$5:D130)="mapped")*(TRIM($C$5:C130)=TRIM(C130)))=1,ROW(),""),"")</f>
        <v/>
      </c>
    </row>
    <row r="131">
      <c r="A131" s="8" t="n"/>
      <c r="B131" s="8" t="n"/>
      <c r="C131" s="8" t="n"/>
      <c r="D131" s="8" t="n"/>
      <c r="E131" s="8" t="n"/>
      <c r="F131" s="6">
        <f>IF(B131="","",TRIM(A131)&amp;"||"&amp;TRIM(B131))</f>
        <v/>
      </c>
      <c r="G131" s="6">
        <f>IF(B131="","",IF(OR(AND(LOWER(D131)="mapped",TRIM(C131)&lt;&gt;""),AND(LOWER(D131)="ignored",TRIM(E131)&lt;&gt;"")),1,0))</f>
        <v/>
      </c>
      <c r="H131" s="6">
        <f>IF(AND(TRIM(A131)=Setup!$B$4,LOWER(D131)="mapped",TRIM(C131)&lt;&gt;""),IF(SUMPRODUCT((TRIM($A$5:A131)=Setup!$B$4)*(LOWER($D$5:D131)="mapped")*(TRIM($C$5:C131)=TRIM(C131)))=1,ROW(),""),"")</f>
        <v/>
      </c>
    </row>
    <row r="132">
      <c r="A132" s="8" t="n"/>
      <c r="B132" s="8" t="n"/>
      <c r="C132" s="8" t="n"/>
      <c r="D132" s="8" t="n"/>
      <c r="E132" s="8" t="n"/>
      <c r="F132" s="6">
        <f>IF(B132="","",TRIM(A132)&amp;"||"&amp;TRIM(B132))</f>
        <v/>
      </c>
      <c r="G132" s="6">
        <f>IF(B132="","",IF(OR(AND(LOWER(D132)="mapped",TRIM(C132)&lt;&gt;""),AND(LOWER(D132)="ignored",TRIM(E132)&lt;&gt;"")),1,0))</f>
        <v/>
      </c>
      <c r="H132" s="6">
        <f>IF(AND(TRIM(A132)=Setup!$B$4,LOWER(D132)="mapped",TRIM(C132)&lt;&gt;""),IF(SUMPRODUCT((TRIM($A$5:A132)=Setup!$B$4)*(LOWER($D$5:D132)="mapped")*(TRIM($C$5:C132)=TRIM(C132)))=1,ROW(),""),"")</f>
        <v/>
      </c>
    </row>
    <row r="133">
      <c r="A133" s="8" t="n"/>
      <c r="B133" s="8" t="n"/>
      <c r="C133" s="8" t="n"/>
      <c r="D133" s="8" t="n"/>
      <c r="E133" s="8" t="n"/>
      <c r="F133" s="6">
        <f>IF(B133="","",TRIM(A133)&amp;"||"&amp;TRIM(B133))</f>
        <v/>
      </c>
      <c r="G133" s="6">
        <f>IF(B133="","",IF(OR(AND(LOWER(D133)="mapped",TRIM(C133)&lt;&gt;""),AND(LOWER(D133)="ignored",TRIM(E133)&lt;&gt;"")),1,0))</f>
        <v/>
      </c>
      <c r="H133" s="6">
        <f>IF(AND(TRIM(A133)=Setup!$B$4,LOWER(D133)="mapped",TRIM(C133)&lt;&gt;""),IF(SUMPRODUCT((TRIM($A$5:A133)=Setup!$B$4)*(LOWER($D$5:D133)="mapped")*(TRIM($C$5:C133)=TRIM(C133)))=1,ROW(),""),"")</f>
        <v/>
      </c>
    </row>
    <row r="134">
      <c r="A134" s="8" t="n"/>
      <c r="B134" s="8" t="n"/>
      <c r="C134" s="8" t="n"/>
      <c r="D134" s="8" t="n"/>
      <c r="E134" s="8" t="n"/>
      <c r="F134" s="6">
        <f>IF(B134="","",TRIM(A134)&amp;"||"&amp;TRIM(B134))</f>
        <v/>
      </c>
      <c r="G134" s="6">
        <f>IF(B134="","",IF(OR(AND(LOWER(D134)="mapped",TRIM(C134)&lt;&gt;""),AND(LOWER(D134)="ignored",TRIM(E134)&lt;&gt;"")),1,0))</f>
        <v/>
      </c>
      <c r="H134" s="6">
        <f>IF(AND(TRIM(A134)=Setup!$B$4,LOWER(D134)="mapped",TRIM(C134)&lt;&gt;""),IF(SUMPRODUCT((TRIM($A$5:A134)=Setup!$B$4)*(LOWER($D$5:D134)="mapped")*(TRIM($C$5:C134)=TRIM(C134)))=1,ROW(),""),"")</f>
        <v/>
      </c>
    </row>
    <row r="135">
      <c r="A135" s="8" t="n"/>
      <c r="B135" s="8" t="n"/>
      <c r="C135" s="8" t="n"/>
      <c r="D135" s="8" t="n"/>
      <c r="E135" s="8" t="n"/>
      <c r="F135" s="6">
        <f>IF(B135="","",TRIM(A135)&amp;"||"&amp;TRIM(B135))</f>
        <v/>
      </c>
      <c r="G135" s="6">
        <f>IF(B135="","",IF(OR(AND(LOWER(D135)="mapped",TRIM(C135)&lt;&gt;""),AND(LOWER(D135)="ignored",TRIM(E135)&lt;&gt;"")),1,0))</f>
        <v/>
      </c>
      <c r="H135" s="6">
        <f>IF(AND(TRIM(A135)=Setup!$B$4,LOWER(D135)="mapped",TRIM(C135)&lt;&gt;""),IF(SUMPRODUCT((TRIM($A$5:A135)=Setup!$B$4)*(LOWER($D$5:D135)="mapped")*(TRIM($C$5:C135)=TRIM(C135)))=1,ROW(),""),"")</f>
        <v/>
      </c>
    </row>
    <row r="136">
      <c r="A136" s="8" t="n"/>
      <c r="B136" s="8" t="n"/>
      <c r="C136" s="8" t="n"/>
      <c r="D136" s="8" t="n"/>
      <c r="E136" s="8" t="n"/>
      <c r="F136" s="6">
        <f>IF(B136="","",TRIM(A136)&amp;"||"&amp;TRIM(B136))</f>
        <v/>
      </c>
      <c r="G136" s="6">
        <f>IF(B136="","",IF(OR(AND(LOWER(D136)="mapped",TRIM(C136)&lt;&gt;""),AND(LOWER(D136)="ignored",TRIM(E136)&lt;&gt;"")),1,0))</f>
        <v/>
      </c>
      <c r="H136" s="6">
        <f>IF(AND(TRIM(A136)=Setup!$B$4,LOWER(D136)="mapped",TRIM(C136)&lt;&gt;""),IF(SUMPRODUCT((TRIM($A$5:A136)=Setup!$B$4)*(LOWER($D$5:D136)="mapped")*(TRIM($C$5:C136)=TRIM(C136)))=1,ROW(),""),"")</f>
        <v/>
      </c>
    </row>
    <row r="137">
      <c r="A137" s="8" t="n"/>
      <c r="B137" s="8" t="n"/>
      <c r="C137" s="8" t="n"/>
      <c r="D137" s="8" t="n"/>
      <c r="E137" s="8" t="n"/>
      <c r="F137" s="6">
        <f>IF(B137="","",TRIM(A137)&amp;"||"&amp;TRIM(B137))</f>
        <v/>
      </c>
      <c r="G137" s="6">
        <f>IF(B137="","",IF(OR(AND(LOWER(D137)="mapped",TRIM(C137)&lt;&gt;""),AND(LOWER(D137)="ignored",TRIM(E137)&lt;&gt;"")),1,0))</f>
        <v/>
      </c>
      <c r="H137" s="6">
        <f>IF(AND(TRIM(A137)=Setup!$B$4,LOWER(D137)="mapped",TRIM(C137)&lt;&gt;""),IF(SUMPRODUCT((TRIM($A$5:A137)=Setup!$B$4)*(LOWER($D$5:D137)="mapped")*(TRIM($C$5:C137)=TRIM(C137)))=1,ROW(),""),"")</f>
        <v/>
      </c>
    </row>
    <row r="138">
      <c r="A138" s="8" t="n"/>
      <c r="B138" s="8" t="n"/>
      <c r="C138" s="8" t="n"/>
      <c r="D138" s="8" t="n"/>
      <c r="E138" s="8" t="n"/>
      <c r="F138" s="6">
        <f>IF(B138="","",TRIM(A138)&amp;"||"&amp;TRIM(B138))</f>
        <v/>
      </c>
      <c r="G138" s="6">
        <f>IF(B138="","",IF(OR(AND(LOWER(D138)="mapped",TRIM(C138)&lt;&gt;""),AND(LOWER(D138)="ignored",TRIM(E138)&lt;&gt;"")),1,0))</f>
        <v/>
      </c>
      <c r="H138" s="6">
        <f>IF(AND(TRIM(A138)=Setup!$B$4,LOWER(D138)="mapped",TRIM(C138)&lt;&gt;""),IF(SUMPRODUCT((TRIM($A$5:A138)=Setup!$B$4)*(LOWER($D$5:D138)="mapped")*(TRIM($C$5:C138)=TRIM(C138)))=1,ROW(),""),"")</f>
        <v/>
      </c>
    </row>
    <row r="139">
      <c r="A139" s="8" t="n"/>
      <c r="B139" s="8" t="n"/>
      <c r="C139" s="8" t="n"/>
      <c r="D139" s="8" t="n"/>
      <c r="E139" s="8" t="n"/>
      <c r="F139" s="6">
        <f>IF(B139="","",TRIM(A139)&amp;"||"&amp;TRIM(B139))</f>
        <v/>
      </c>
      <c r="G139" s="6">
        <f>IF(B139="","",IF(OR(AND(LOWER(D139)="mapped",TRIM(C139)&lt;&gt;""),AND(LOWER(D139)="ignored",TRIM(E139)&lt;&gt;"")),1,0))</f>
        <v/>
      </c>
      <c r="H139" s="6">
        <f>IF(AND(TRIM(A139)=Setup!$B$4,LOWER(D139)="mapped",TRIM(C139)&lt;&gt;""),IF(SUMPRODUCT((TRIM($A$5:A139)=Setup!$B$4)*(LOWER($D$5:D139)="mapped")*(TRIM($C$5:C139)=TRIM(C139)))=1,ROW(),""),"")</f>
        <v/>
      </c>
    </row>
    <row r="140">
      <c r="A140" s="8" t="n"/>
      <c r="B140" s="8" t="n"/>
      <c r="C140" s="8" t="n"/>
      <c r="D140" s="8" t="n"/>
      <c r="E140" s="8" t="n"/>
      <c r="F140" s="6">
        <f>IF(B140="","",TRIM(A140)&amp;"||"&amp;TRIM(B140))</f>
        <v/>
      </c>
      <c r="G140" s="6">
        <f>IF(B140="","",IF(OR(AND(LOWER(D140)="mapped",TRIM(C140)&lt;&gt;""),AND(LOWER(D140)="ignored",TRIM(E140)&lt;&gt;"")),1,0))</f>
        <v/>
      </c>
      <c r="H140" s="6">
        <f>IF(AND(TRIM(A140)=Setup!$B$4,LOWER(D140)="mapped",TRIM(C140)&lt;&gt;""),IF(SUMPRODUCT((TRIM($A$5:A140)=Setup!$B$4)*(LOWER($D$5:D140)="mapped")*(TRIM($C$5:C140)=TRIM(C140)))=1,ROW(),""),"")</f>
        <v/>
      </c>
    </row>
    <row r="141">
      <c r="A141" s="8" t="n"/>
      <c r="B141" s="8" t="n"/>
      <c r="C141" s="8" t="n"/>
      <c r="D141" s="8" t="n"/>
      <c r="E141" s="8" t="n"/>
      <c r="F141" s="6">
        <f>IF(B141="","",TRIM(A141)&amp;"||"&amp;TRIM(B141))</f>
        <v/>
      </c>
      <c r="G141" s="6">
        <f>IF(B141="","",IF(OR(AND(LOWER(D141)="mapped",TRIM(C141)&lt;&gt;""),AND(LOWER(D141)="ignored",TRIM(E141)&lt;&gt;"")),1,0))</f>
        <v/>
      </c>
      <c r="H141" s="6">
        <f>IF(AND(TRIM(A141)=Setup!$B$4,LOWER(D141)="mapped",TRIM(C141)&lt;&gt;""),IF(SUMPRODUCT((TRIM($A$5:A141)=Setup!$B$4)*(LOWER($D$5:D141)="mapped")*(TRIM($C$5:C141)=TRIM(C141)))=1,ROW(),""),"")</f>
        <v/>
      </c>
    </row>
    <row r="142">
      <c r="A142" s="8" t="n"/>
      <c r="B142" s="8" t="n"/>
      <c r="C142" s="8" t="n"/>
      <c r="D142" s="8" t="n"/>
      <c r="E142" s="8" t="n"/>
      <c r="F142" s="6">
        <f>IF(B142="","",TRIM(A142)&amp;"||"&amp;TRIM(B142))</f>
        <v/>
      </c>
      <c r="G142" s="6">
        <f>IF(B142="","",IF(OR(AND(LOWER(D142)="mapped",TRIM(C142)&lt;&gt;""),AND(LOWER(D142)="ignored",TRIM(E142)&lt;&gt;"")),1,0))</f>
        <v/>
      </c>
      <c r="H142" s="6">
        <f>IF(AND(TRIM(A142)=Setup!$B$4,LOWER(D142)="mapped",TRIM(C142)&lt;&gt;""),IF(SUMPRODUCT((TRIM($A$5:A142)=Setup!$B$4)*(LOWER($D$5:D142)="mapped")*(TRIM($C$5:C142)=TRIM(C142)))=1,ROW(),""),"")</f>
        <v/>
      </c>
    </row>
    <row r="143">
      <c r="A143" s="8" t="n"/>
      <c r="B143" s="8" t="n"/>
      <c r="C143" s="8" t="n"/>
      <c r="D143" s="8" t="n"/>
      <c r="E143" s="8" t="n"/>
      <c r="F143" s="6">
        <f>IF(B143="","",TRIM(A143)&amp;"||"&amp;TRIM(B143))</f>
        <v/>
      </c>
      <c r="G143" s="6">
        <f>IF(B143="","",IF(OR(AND(LOWER(D143)="mapped",TRIM(C143)&lt;&gt;""),AND(LOWER(D143)="ignored",TRIM(E143)&lt;&gt;"")),1,0))</f>
        <v/>
      </c>
      <c r="H143" s="6">
        <f>IF(AND(TRIM(A143)=Setup!$B$4,LOWER(D143)="mapped",TRIM(C143)&lt;&gt;""),IF(SUMPRODUCT((TRIM($A$5:A143)=Setup!$B$4)*(LOWER($D$5:D143)="mapped")*(TRIM($C$5:C143)=TRIM(C143)))=1,ROW(),""),"")</f>
        <v/>
      </c>
    </row>
    <row r="144">
      <c r="A144" s="8" t="n"/>
      <c r="B144" s="8" t="n"/>
      <c r="C144" s="8" t="n"/>
      <c r="D144" s="8" t="n"/>
      <c r="E144" s="8" t="n"/>
      <c r="F144" s="6">
        <f>IF(B144="","",TRIM(A144)&amp;"||"&amp;TRIM(B144))</f>
        <v/>
      </c>
      <c r="G144" s="6">
        <f>IF(B144="","",IF(OR(AND(LOWER(D144)="mapped",TRIM(C144)&lt;&gt;""),AND(LOWER(D144)="ignored",TRIM(E144)&lt;&gt;"")),1,0))</f>
        <v/>
      </c>
      <c r="H144" s="6">
        <f>IF(AND(TRIM(A144)=Setup!$B$4,LOWER(D144)="mapped",TRIM(C144)&lt;&gt;""),IF(SUMPRODUCT((TRIM($A$5:A144)=Setup!$B$4)*(LOWER($D$5:D144)="mapped")*(TRIM($C$5:C144)=TRIM(C144)))=1,ROW(),""),"")</f>
        <v/>
      </c>
    </row>
    <row r="145">
      <c r="A145" s="8" t="n"/>
      <c r="B145" s="8" t="n"/>
      <c r="C145" s="8" t="n"/>
      <c r="D145" s="8" t="n"/>
      <c r="E145" s="8" t="n"/>
      <c r="F145" s="6">
        <f>IF(B145="","",TRIM(A145)&amp;"||"&amp;TRIM(B145))</f>
        <v/>
      </c>
      <c r="G145" s="6">
        <f>IF(B145="","",IF(OR(AND(LOWER(D145)="mapped",TRIM(C145)&lt;&gt;""),AND(LOWER(D145)="ignored",TRIM(E145)&lt;&gt;"")),1,0))</f>
        <v/>
      </c>
      <c r="H145" s="6">
        <f>IF(AND(TRIM(A145)=Setup!$B$4,LOWER(D145)="mapped",TRIM(C145)&lt;&gt;""),IF(SUMPRODUCT((TRIM($A$5:A145)=Setup!$B$4)*(LOWER($D$5:D145)="mapped")*(TRIM($C$5:C145)=TRIM(C145)))=1,ROW(),""),"")</f>
        <v/>
      </c>
    </row>
    <row r="146">
      <c r="A146" s="8" t="n"/>
      <c r="B146" s="8" t="n"/>
      <c r="C146" s="8" t="n"/>
      <c r="D146" s="8" t="n"/>
      <c r="E146" s="8" t="n"/>
      <c r="F146" s="6">
        <f>IF(B146="","",TRIM(A146)&amp;"||"&amp;TRIM(B146))</f>
        <v/>
      </c>
      <c r="G146" s="6">
        <f>IF(B146="","",IF(OR(AND(LOWER(D146)="mapped",TRIM(C146)&lt;&gt;""),AND(LOWER(D146)="ignored",TRIM(E146)&lt;&gt;"")),1,0))</f>
        <v/>
      </c>
      <c r="H146" s="6">
        <f>IF(AND(TRIM(A146)=Setup!$B$4,LOWER(D146)="mapped",TRIM(C146)&lt;&gt;""),IF(SUMPRODUCT((TRIM($A$5:A146)=Setup!$B$4)*(LOWER($D$5:D146)="mapped")*(TRIM($C$5:C146)=TRIM(C146)))=1,ROW(),""),"")</f>
        <v/>
      </c>
    </row>
    <row r="147">
      <c r="A147" s="8" t="n"/>
      <c r="B147" s="8" t="n"/>
      <c r="C147" s="8" t="n"/>
      <c r="D147" s="8" t="n"/>
      <c r="E147" s="8" t="n"/>
      <c r="F147" s="6">
        <f>IF(B147="","",TRIM(A147)&amp;"||"&amp;TRIM(B147))</f>
        <v/>
      </c>
      <c r="G147" s="6">
        <f>IF(B147="","",IF(OR(AND(LOWER(D147)="mapped",TRIM(C147)&lt;&gt;""),AND(LOWER(D147)="ignored",TRIM(E147)&lt;&gt;"")),1,0))</f>
        <v/>
      </c>
      <c r="H147" s="6">
        <f>IF(AND(TRIM(A147)=Setup!$B$4,LOWER(D147)="mapped",TRIM(C147)&lt;&gt;""),IF(SUMPRODUCT((TRIM($A$5:A147)=Setup!$B$4)*(LOWER($D$5:D147)="mapped")*(TRIM($C$5:C147)=TRIM(C147)))=1,ROW(),""),"")</f>
        <v/>
      </c>
    </row>
    <row r="148">
      <c r="A148" s="8" t="n"/>
      <c r="B148" s="8" t="n"/>
      <c r="C148" s="8" t="n"/>
      <c r="D148" s="8" t="n"/>
      <c r="E148" s="8" t="n"/>
      <c r="F148" s="6">
        <f>IF(B148="","",TRIM(A148)&amp;"||"&amp;TRIM(B148))</f>
        <v/>
      </c>
      <c r="G148" s="6">
        <f>IF(B148="","",IF(OR(AND(LOWER(D148)="mapped",TRIM(C148)&lt;&gt;""),AND(LOWER(D148)="ignored",TRIM(E148)&lt;&gt;"")),1,0))</f>
        <v/>
      </c>
      <c r="H148" s="6">
        <f>IF(AND(TRIM(A148)=Setup!$B$4,LOWER(D148)="mapped",TRIM(C148)&lt;&gt;""),IF(SUMPRODUCT((TRIM($A$5:A148)=Setup!$B$4)*(LOWER($D$5:D148)="mapped")*(TRIM($C$5:C148)=TRIM(C148)))=1,ROW(),""),"")</f>
        <v/>
      </c>
    </row>
    <row r="149">
      <c r="A149" s="8" t="n"/>
      <c r="B149" s="8" t="n"/>
      <c r="C149" s="8" t="n"/>
      <c r="D149" s="8" t="n"/>
      <c r="E149" s="8" t="n"/>
      <c r="F149" s="6">
        <f>IF(B149="","",TRIM(A149)&amp;"||"&amp;TRIM(B149))</f>
        <v/>
      </c>
      <c r="G149" s="6">
        <f>IF(B149="","",IF(OR(AND(LOWER(D149)="mapped",TRIM(C149)&lt;&gt;""),AND(LOWER(D149)="ignored",TRIM(E149)&lt;&gt;"")),1,0))</f>
        <v/>
      </c>
      <c r="H149" s="6">
        <f>IF(AND(TRIM(A149)=Setup!$B$4,LOWER(D149)="mapped",TRIM(C149)&lt;&gt;""),IF(SUMPRODUCT((TRIM($A$5:A149)=Setup!$B$4)*(LOWER($D$5:D149)="mapped")*(TRIM($C$5:C149)=TRIM(C149)))=1,ROW(),""),"")</f>
        <v/>
      </c>
    </row>
    <row r="150">
      <c r="A150" s="8" t="n"/>
      <c r="B150" s="8" t="n"/>
      <c r="C150" s="8" t="n"/>
      <c r="D150" s="8" t="n"/>
      <c r="E150" s="8" t="n"/>
      <c r="F150" s="6">
        <f>IF(B150="","",TRIM(A150)&amp;"||"&amp;TRIM(B150))</f>
        <v/>
      </c>
      <c r="G150" s="6">
        <f>IF(B150="","",IF(OR(AND(LOWER(D150)="mapped",TRIM(C150)&lt;&gt;""),AND(LOWER(D150)="ignored",TRIM(E150)&lt;&gt;"")),1,0))</f>
        <v/>
      </c>
      <c r="H150" s="6">
        <f>IF(AND(TRIM(A150)=Setup!$B$4,LOWER(D150)="mapped",TRIM(C150)&lt;&gt;""),IF(SUMPRODUCT((TRIM($A$5:A150)=Setup!$B$4)*(LOWER($D$5:D150)="mapped")*(TRIM($C$5:C150)=TRIM(C150)))=1,ROW(),""),"")</f>
        <v/>
      </c>
    </row>
    <row r="151">
      <c r="A151" s="8" t="n"/>
      <c r="B151" s="8" t="n"/>
      <c r="C151" s="8" t="n"/>
      <c r="D151" s="8" t="n"/>
      <c r="E151" s="8" t="n"/>
      <c r="F151" s="6">
        <f>IF(B151="","",TRIM(A151)&amp;"||"&amp;TRIM(B151))</f>
        <v/>
      </c>
      <c r="G151" s="6">
        <f>IF(B151="","",IF(OR(AND(LOWER(D151)="mapped",TRIM(C151)&lt;&gt;""),AND(LOWER(D151)="ignored",TRIM(E151)&lt;&gt;"")),1,0))</f>
        <v/>
      </c>
      <c r="H151" s="6">
        <f>IF(AND(TRIM(A151)=Setup!$B$4,LOWER(D151)="mapped",TRIM(C151)&lt;&gt;""),IF(SUMPRODUCT((TRIM($A$5:A151)=Setup!$B$4)*(LOWER($D$5:D151)="mapped")*(TRIM($C$5:C151)=TRIM(C151)))=1,ROW(),""),"")</f>
        <v/>
      </c>
    </row>
    <row r="152">
      <c r="A152" s="8" t="n"/>
      <c r="B152" s="8" t="n"/>
      <c r="C152" s="8" t="n"/>
      <c r="D152" s="8" t="n"/>
      <c r="E152" s="8" t="n"/>
      <c r="F152" s="6">
        <f>IF(B152="","",TRIM(A152)&amp;"||"&amp;TRIM(B152))</f>
        <v/>
      </c>
      <c r="G152" s="6">
        <f>IF(B152="","",IF(OR(AND(LOWER(D152)="mapped",TRIM(C152)&lt;&gt;""),AND(LOWER(D152)="ignored",TRIM(E152)&lt;&gt;"")),1,0))</f>
        <v/>
      </c>
      <c r="H152" s="6">
        <f>IF(AND(TRIM(A152)=Setup!$B$4,LOWER(D152)="mapped",TRIM(C152)&lt;&gt;""),IF(SUMPRODUCT((TRIM($A$5:A152)=Setup!$B$4)*(LOWER($D$5:D152)="mapped")*(TRIM($C$5:C152)=TRIM(C152)))=1,ROW(),""),"")</f>
        <v/>
      </c>
    </row>
    <row r="153">
      <c r="A153" s="8" t="n"/>
      <c r="B153" s="8" t="n"/>
      <c r="C153" s="8" t="n"/>
      <c r="D153" s="8" t="n"/>
      <c r="E153" s="8" t="n"/>
      <c r="F153" s="6">
        <f>IF(B153="","",TRIM(A153)&amp;"||"&amp;TRIM(B153))</f>
        <v/>
      </c>
      <c r="G153" s="6">
        <f>IF(B153="","",IF(OR(AND(LOWER(D153)="mapped",TRIM(C153)&lt;&gt;""),AND(LOWER(D153)="ignored",TRIM(E153)&lt;&gt;"")),1,0))</f>
        <v/>
      </c>
      <c r="H153" s="6">
        <f>IF(AND(TRIM(A153)=Setup!$B$4,LOWER(D153)="mapped",TRIM(C153)&lt;&gt;""),IF(SUMPRODUCT((TRIM($A$5:A153)=Setup!$B$4)*(LOWER($D$5:D153)="mapped")*(TRIM($C$5:C153)=TRIM(C153)))=1,ROW(),""),"")</f>
        <v/>
      </c>
    </row>
    <row r="154">
      <c r="A154" s="8" t="n"/>
      <c r="B154" s="8" t="n"/>
      <c r="C154" s="8" t="n"/>
      <c r="D154" s="8" t="n"/>
      <c r="E154" s="8" t="n"/>
      <c r="F154" s="6">
        <f>IF(B154="","",TRIM(A154)&amp;"||"&amp;TRIM(B154))</f>
        <v/>
      </c>
      <c r="G154" s="6">
        <f>IF(B154="","",IF(OR(AND(LOWER(D154)="mapped",TRIM(C154)&lt;&gt;""),AND(LOWER(D154)="ignored",TRIM(E154)&lt;&gt;"")),1,0))</f>
        <v/>
      </c>
      <c r="H154" s="6">
        <f>IF(AND(TRIM(A154)=Setup!$B$4,LOWER(D154)="mapped",TRIM(C154)&lt;&gt;""),IF(SUMPRODUCT((TRIM($A$5:A154)=Setup!$B$4)*(LOWER($D$5:D154)="mapped")*(TRIM($C$5:C154)=TRIM(C154)))=1,ROW(),""),"")</f>
        <v/>
      </c>
    </row>
    <row r="155">
      <c r="A155" s="8" t="n"/>
      <c r="B155" s="8" t="n"/>
      <c r="C155" s="8" t="n"/>
      <c r="D155" s="8" t="n"/>
      <c r="E155" s="8" t="n"/>
      <c r="F155" s="6">
        <f>IF(B155="","",TRIM(A155)&amp;"||"&amp;TRIM(B155))</f>
        <v/>
      </c>
      <c r="G155" s="6">
        <f>IF(B155="","",IF(OR(AND(LOWER(D155)="mapped",TRIM(C155)&lt;&gt;""),AND(LOWER(D155)="ignored",TRIM(E155)&lt;&gt;"")),1,0))</f>
        <v/>
      </c>
      <c r="H155" s="6">
        <f>IF(AND(TRIM(A155)=Setup!$B$4,LOWER(D155)="mapped",TRIM(C155)&lt;&gt;""),IF(SUMPRODUCT((TRIM($A$5:A155)=Setup!$B$4)*(LOWER($D$5:D155)="mapped")*(TRIM($C$5:C155)=TRIM(C155)))=1,ROW(),""),"")</f>
        <v/>
      </c>
    </row>
    <row r="156">
      <c r="A156" s="8" t="n"/>
      <c r="B156" s="8" t="n"/>
      <c r="C156" s="8" t="n"/>
      <c r="D156" s="8" t="n"/>
      <c r="E156" s="8" t="n"/>
      <c r="F156" s="6">
        <f>IF(B156="","",TRIM(A156)&amp;"||"&amp;TRIM(B156))</f>
        <v/>
      </c>
      <c r="G156" s="6">
        <f>IF(B156="","",IF(OR(AND(LOWER(D156)="mapped",TRIM(C156)&lt;&gt;""),AND(LOWER(D156)="ignored",TRIM(E156)&lt;&gt;"")),1,0))</f>
        <v/>
      </c>
      <c r="H156" s="6">
        <f>IF(AND(TRIM(A156)=Setup!$B$4,LOWER(D156)="mapped",TRIM(C156)&lt;&gt;""),IF(SUMPRODUCT((TRIM($A$5:A156)=Setup!$B$4)*(LOWER($D$5:D156)="mapped")*(TRIM($C$5:C156)=TRIM(C156)))=1,ROW(),""),"")</f>
        <v/>
      </c>
    </row>
    <row r="157">
      <c r="A157" s="8" t="n"/>
      <c r="B157" s="8" t="n"/>
      <c r="C157" s="8" t="n"/>
      <c r="D157" s="8" t="n"/>
      <c r="E157" s="8" t="n"/>
      <c r="F157" s="6">
        <f>IF(B157="","",TRIM(A157)&amp;"||"&amp;TRIM(B157))</f>
        <v/>
      </c>
      <c r="G157" s="6">
        <f>IF(B157="","",IF(OR(AND(LOWER(D157)="mapped",TRIM(C157)&lt;&gt;""),AND(LOWER(D157)="ignored",TRIM(E157)&lt;&gt;"")),1,0))</f>
        <v/>
      </c>
      <c r="H157" s="6">
        <f>IF(AND(TRIM(A157)=Setup!$B$4,LOWER(D157)="mapped",TRIM(C157)&lt;&gt;""),IF(SUMPRODUCT((TRIM($A$5:A157)=Setup!$B$4)*(LOWER($D$5:D157)="mapped")*(TRIM($C$5:C157)=TRIM(C157)))=1,ROW(),""),"")</f>
        <v/>
      </c>
    </row>
    <row r="158">
      <c r="A158" s="8" t="n"/>
      <c r="B158" s="8" t="n"/>
      <c r="C158" s="8" t="n"/>
      <c r="D158" s="8" t="n"/>
      <c r="E158" s="8" t="n"/>
      <c r="F158" s="6">
        <f>IF(B158="","",TRIM(A158)&amp;"||"&amp;TRIM(B158))</f>
        <v/>
      </c>
      <c r="G158" s="6">
        <f>IF(B158="","",IF(OR(AND(LOWER(D158)="mapped",TRIM(C158)&lt;&gt;""),AND(LOWER(D158)="ignored",TRIM(E158)&lt;&gt;"")),1,0))</f>
        <v/>
      </c>
      <c r="H158" s="6">
        <f>IF(AND(TRIM(A158)=Setup!$B$4,LOWER(D158)="mapped",TRIM(C158)&lt;&gt;""),IF(SUMPRODUCT((TRIM($A$5:A158)=Setup!$B$4)*(LOWER($D$5:D158)="mapped")*(TRIM($C$5:C158)=TRIM(C158)))=1,ROW(),""),"")</f>
        <v/>
      </c>
    </row>
    <row r="159">
      <c r="A159" s="8" t="n"/>
      <c r="B159" s="8" t="n"/>
      <c r="C159" s="8" t="n"/>
      <c r="D159" s="8" t="n"/>
      <c r="E159" s="8" t="n"/>
      <c r="F159" s="6">
        <f>IF(B159="","",TRIM(A159)&amp;"||"&amp;TRIM(B159))</f>
        <v/>
      </c>
      <c r="G159" s="6">
        <f>IF(B159="","",IF(OR(AND(LOWER(D159)="mapped",TRIM(C159)&lt;&gt;""),AND(LOWER(D159)="ignored",TRIM(E159)&lt;&gt;"")),1,0))</f>
        <v/>
      </c>
      <c r="H159" s="6">
        <f>IF(AND(TRIM(A159)=Setup!$B$4,LOWER(D159)="mapped",TRIM(C159)&lt;&gt;""),IF(SUMPRODUCT((TRIM($A$5:A159)=Setup!$B$4)*(LOWER($D$5:D159)="mapped")*(TRIM($C$5:C159)=TRIM(C159)))=1,ROW(),""),"")</f>
        <v/>
      </c>
    </row>
    <row r="160">
      <c r="A160" s="8" t="n"/>
      <c r="B160" s="8" t="n"/>
      <c r="C160" s="8" t="n"/>
      <c r="D160" s="8" t="n"/>
      <c r="E160" s="8" t="n"/>
      <c r="F160" s="6">
        <f>IF(B160="","",TRIM(A160)&amp;"||"&amp;TRIM(B160))</f>
        <v/>
      </c>
      <c r="G160" s="6">
        <f>IF(B160="","",IF(OR(AND(LOWER(D160)="mapped",TRIM(C160)&lt;&gt;""),AND(LOWER(D160)="ignored",TRIM(E160)&lt;&gt;"")),1,0))</f>
        <v/>
      </c>
      <c r="H160" s="6">
        <f>IF(AND(TRIM(A160)=Setup!$B$4,LOWER(D160)="mapped",TRIM(C160)&lt;&gt;""),IF(SUMPRODUCT((TRIM($A$5:A160)=Setup!$B$4)*(LOWER($D$5:D160)="mapped")*(TRIM($C$5:C160)=TRIM(C160)))=1,ROW(),""),"")</f>
        <v/>
      </c>
    </row>
    <row r="161">
      <c r="A161" s="8" t="n"/>
      <c r="B161" s="8" t="n"/>
      <c r="C161" s="8" t="n"/>
      <c r="D161" s="8" t="n"/>
      <c r="E161" s="8" t="n"/>
      <c r="F161" s="6">
        <f>IF(B161="","",TRIM(A161)&amp;"||"&amp;TRIM(B161))</f>
        <v/>
      </c>
      <c r="G161" s="6">
        <f>IF(B161="","",IF(OR(AND(LOWER(D161)="mapped",TRIM(C161)&lt;&gt;""),AND(LOWER(D161)="ignored",TRIM(E161)&lt;&gt;"")),1,0))</f>
        <v/>
      </c>
      <c r="H161" s="6">
        <f>IF(AND(TRIM(A161)=Setup!$B$4,LOWER(D161)="mapped",TRIM(C161)&lt;&gt;""),IF(SUMPRODUCT((TRIM($A$5:A161)=Setup!$B$4)*(LOWER($D$5:D161)="mapped")*(TRIM($C$5:C161)=TRIM(C161)))=1,ROW(),""),"")</f>
        <v/>
      </c>
    </row>
    <row r="162">
      <c r="A162" s="8" t="n"/>
      <c r="B162" s="8" t="n"/>
      <c r="C162" s="8" t="n"/>
      <c r="D162" s="8" t="n"/>
      <c r="E162" s="8" t="n"/>
      <c r="F162" s="6">
        <f>IF(B162="","",TRIM(A162)&amp;"||"&amp;TRIM(B162))</f>
        <v/>
      </c>
      <c r="G162" s="6">
        <f>IF(B162="","",IF(OR(AND(LOWER(D162)="mapped",TRIM(C162)&lt;&gt;""),AND(LOWER(D162)="ignored",TRIM(E162)&lt;&gt;"")),1,0))</f>
        <v/>
      </c>
      <c r="H162" s="6">
        <f>IF(AND(TRIM(A162)=Setup!$B$4,LOWER(D162)="mapped",TRIM(C162)&lt;&gt;""),IF(SUMPRODUCT((TRIM($A$5:A162)=Setup!$B$4)*(LOWER($D$5:D162)="mapped")*(TRIM($C$5:C162)=TRIM(C162)))=1,ROW(),""),"")</f>
        <v/>
      </c>
    </row>
    <row r="163">
      <c r="A163" s="8" t="n"/>
      <c r="B163" s="8" t="n"/>
      <c r="C163" s="8" t="n"/>
      <c r="D163" s="8" t="n"/>
      <c r="E163" s="8" t="n"/>
      <c r="F163" s="6">
        <f>IF(B163="","",TRIM(A163)&amp;"||"&amp;TRIM(B163))</f>
        <v/>
      </c>
      <c r="G163" s="6">
        <f>IF(B163="","",IF(OR(AND(LOWER(D163)="mapped",TRIM(C163)&lt;&gt;""),AND(LOWER(D163)="ignored",TRIM(E163)&lt;&gt;"")),1,0))</f>
        <v/>
      </c>
      <c r="H163" s="6">
        <f>IF(AND(TRIM(A163)=Setup!$B$4,LOWER(D163)="mapped",TRIM(C163)&lt;&gt;""),IF(SUMPRODUCT((TRIM($A$5:A163)=Setup!$B$4)*(LOWER($D$5:D163)="mapped")*(TRIM($C$5:C163)=TRIM(C163)))=1,ROW(),""),"")</f>
        <v/>
      </c>
    </row>
    <row r="164">
      <c r="A164" s="8" t="n"/>
      <c r="B164" s="8" t="n"/>
      <c r="C164" s="8" t="n"/>
      <c r="D164" s="8" t="n"/>
      <c r="E164" s="8" t="n"/>
      <c r="F164" s="6">
        <f>IF(B164="","",TRIM(A164)&amp;"||"&amp;TRIM(B164))</f>
        <v/>
      </c>
      <c r="G164" s="6">
        <f>IF(B164="","",IF(OR(AND(LOWER(D164)="mapped",TRIM(C164)&lt;&gt;""),AND(LOWER(D164)="ignored",TRIM(E164)&lt;&gt;"")),1,0))</f>
        <v/>
      </c>
      <c r="H164" s="6">
        <f>IF(AND(TRIM(A164)=Setup!$B$4,LOWER(D164)="mapped",TRIM(C164)&lt;&gt;""),IF(SUMPRODUCT((TRIM($A$5:A164)=Setup!$B$4)*(LOWER($D$5:D164)="mapped")*(TRIM($C$5:C164)=TRIM(C164)))=1,ROW(),""),"")</f>
        <v/>
      </c>
    </row>
    <row r="165">
      <c r="A165" s="8" t="n"/>
      <c r="B165" s="8" t="n"/>
      <c r="C165" s="8" t="n"/>
      <c r="D165" s="8" t="n"/>
      <c r="E165" s="8" t="n"/>
      <c r="F165" s="6">
        <f>IF(B165="","",TRIM(A165)&amp;"||"&amp;TRIM(B165))</f>
        <v/>
      </c>
      <c r="G165" s="6">
        <f>IF(B165="","",IF(OR(AND(LOWER(D165)="mapped",TRIM(C165)&lt;&gt;""),AND(LOWER(D165)="ignored",TRIM(E165)&lt;&gt;"")),1,0))</f>
        <v/>
      </c>
      <c r="H165" s="6">
        <f>IF(AND(TRIM(A165)=Setup!$B$4,LOWER(D165)="mapped",TRIM(C165)&lt;&gt;""),IF(SUMPRODUCT((TRIM($A$5:A165)=Setup!$B$4)*(LOWER($D$5:D165)="mapped")*(TRIM($C$5:C165)=TRIM(C165)))=1,ROW(),""),"")</f>
        <v/>
      </c>
    </row>
    <row r="166">
      <c r="A166" s="8" t="n"/>
      <c r="B166" s="8" t="n"/>
      <c r="C166" s="8" t="n"/>
      <c r="D166" s="8" t="n"/>
      <c r="E166" s="8" t="n"/>
      <c r="F166" s="6">
        <f>IF(B166="","",TRIM(A166)&amp;"||"&amp;TRIM(B166))</f>
        <v/>
      </c>
      <c r="G166" s="6">
        <f>IF(B166="","",IF(OR(AND(LOWER(D166)="mapped",TRIM(C166)&lt;&gt;""),AND(LOWER(D166)="ignored",TRIM(E166)&lt;&gt;"")),1,0))</f>
        <v/>
      </c>
      <c r="H166" s="6">
        <f>IF(AND(TRIM(A166)=Setup!$B$4,LOWER(D166)="mapped",TRIM(C166)&lt;&gt;""),IF(SUMPRODUCT((TRIM($A$5:A166)=Setup!$B$4)*(LOWER($D$5:D166)="mapped")*(TRIM($C$5:C166)=TRIM(C166)))=1,ROW(),""),"")</f>
        <v/>
      </c>
    </row>
    <row r="167">
      <c r="A167" s="8" t="n"/>
      <c r="B167" s="8" t="n"/>
      <c r="C167" s="8" t="n"/>
      <c r="D167" s="8" t="n"/>
      <c r="E167" s="8" t="n"/>
      <c r="F167" s="6">
        <f>IF(B167="","",TRIM(A167)&amp;"||"&amp;TRIM(B167))</f>
        <v/>
      </c>
      <c r="G167" s="6">
        <f>IF(B167="","",IF(OR(AND(LOWER(D167)="mapped",TRIM(C167)&lt;&gt;""),AND(LOWER(D167)="ignored",TRIM(E167)&lt;&gt;"")),1,0))</f>
        <v/>
      </c>
      <c r="H167" s="6">
        <f>IF(AND(TRIM(A167)=Setup!$B$4,LOWER(D167)="mapped",TRIM(C167)&lt;&gt;""),IF(SUMPRODUCT((TRIM($A$5:A167)=Setup!$B$4)*(LOWER($D$5:D167)="mapped")*(TRIM($C$5:C167)=TRIM(C167)))=1,ROW(),""),"")</f>
        <v/>
      </c>
    </row>
    <row r="168">
      <c r="A168" s="8" t="n"/>
      <c r="B168" s="8" t="n"/>
      <c r="C168" s="8" t="n"/>
      <c r="D168" s="8" t="n"/>
      <c r="E168" s="8" t="n"/>
      <c r="F168" s="6">
        <f>IF(B168="","",TRIM(A168)&amp;"||"&amp;TRIM(B168))</f>
        <v/>
      </c>
      <c r="G168" s="6">
        <f>IF(B168="","",IF(OR(AND(LOWER(D168)="mapped",TRIM(C168)&lt;&gt;""),AND(LOWER(D168)="ignored",TRIM(E168)&lt;&gt;"")),1,0))</f>
        <v/>
      </c>
      <c r="H168" s="6">
        <f>IF(AND(TRIM(A168)=Setup!$B$4,LOWER(D168)="mapped",TRIM(C168)&lt;&gt;""),IF(SUMPRODUCT((TRIM($A$5:A168)=Setup!$B$4)*(LOWER($D$5:D168)="mapped")*(TRIM($C$5:C168)=TRIM(C168)))=1,ROW(),""),"")</f>
        <v/>
      </c>
    </row>
    <row r="169">
      <c r="A169" s="8" t="n"/>
      <c r="B169" s="8" t="n"/>
      <c r="C169" s="8" t="n"/>
      <c r="D169" s="8" t="n"/>
      <c r="E169" s="8" t="n"/>
      <c r="F169" s="6">
        <f>IF(B169="","",TRIM(A169)&amp;"||"&amp;TRIM(B169))</f>
        <v/>
      </c>
      <c r="G169" s="6">
        <f>IF(B169="","",IF(OR(AND(LOWER(D169)="mapped",TRIM(C169)&lt;&gt;""),AND(LOWER(D169)="ignored",TRIM(E169)&lt;&gt;"")),1,0))</f>
        <v/>
      </c>
      <c r="H169" s="6">
        <f>IF(AND(TRIM(A169)=Setup!$B$4,LOWER(D169)="mapped",TRIM(C169)&lt;&gt;""),IF(SUMPRODUCT((TRIM($A$5:A169)=Setup!$B$4)*(LOWER($D$5:D169)="mapped")*(TRIM($C$5:C169)=TRIM(C169)))=1,ROW(),""),"")</f>
        <v/>
      </c>
    </row>
    <row r="170">
      <c r="A170" s="8" t="n"/>
      <c r="B170" s="8" t="n"/>
      <c r="C170" s="8" t="n"/>
      <c r="D170" s="8" t="n"/>
      <c r="E170" s="8" t="n"/>
      <c r="F170" s="6">
        <f>IF(B170="","",TRIM(A170)&amp;"||"&amp;TRIM(B170))</f>
        <v/>
      </c>
      <c r="G170" s="6">
        <f>IF(B170="","",IF(OR(AND(LOWER(D170)="mapped",TRIM(C170)&lt;&gt;""),AND(LOWER(D170)="ignored",TRIM(E170)&lt;&gt;"")),1,0))</f>
        <v/>
      </c>
      <c r="H170" s="6">
        <f>IF(AND(TRIM(A170)=Setup!$B$4,LOWER(D170)="mapped",TRIM(C170)&lt;&gt;""),IF(SUMPRODUCT((TRIM($A$5:A170)=Setup!$B$4)*(LOWER($D$5:D170)="mapped")*(TRIM($C$5:C170)=TRIM(C170)))=1,ROW(),""),"")</f>
        <v/>
      </c>
    </row>
    <row r="171">
      <c r="A171" s="8" t="n"/>
      <c r="B171" s="8" t="n"/>
      <c r="C171" s="8" t="n"/>
      <c r="D171" s="8" t="n"/>
      <c r="E171" s="8" t="n"/>
      <c r="F171" s="6">
        <f>IF(B171="","",TRIM(A171)&amp;"||"&amp;TRIM(B171))</f>
        <v/>
      </c>
      <c r="G171" s="6">
        <f>IF(B171="","",IF(OR(AND(LOWER(D171)="mapped",TRIM(C171)&lt;&gt;""),AND(LOWER(D171)="ignored",TRIM(E171)&lt;&gt;"")),1,0))</f>
        <v/>
      </c>
      <c r="H171" s="6">
        <f>IF(AND(TRIM(A171)=Setup!$B$4,LOWER(D171)="mapped",TRIM(C171)&lt;&gt;""),IF(SUMPRODUCT((TRIM($A$5:A171)=Setup!$B$4)*(LOWER($D$5:D171)="mapped")*(TRIM($C$5:C171)=TRIM(C171)))=1,ROW(),""),"")</f>
        <v/>
      </c>
    </row>
    <row r="172">
      <c r="A172" s="8" t="n"/>
      <c r="B172" s="8" t="n"/>
      <c r="C172" s="8" t="n"/>
      <c r="D172" s="8" t="n"/>
      <c r="E172" s="8" t="n"/>
      <c r="F172" s="6">
        <f>IF(B172="","",TRIM(A172)&amp;"||"&amp;TRIM(B172))</f>
        <v/>
      </c>
      <c r="G172" s="6">
        <f>IF(B172="","",IF(OR(AND(LOWER(D172)="mapped",TRIM(C172)&lt;&gt;""),AND(LOWER(D172)="ignored",TRIM(E172)&lt;&gt;"")),1,0))</f>
        <v/>
      </c>
      <c r="H172" s="6">
        <f>IF(AND(TRIM(A172)=Setup!$B$4,LOWER(D172)="mapped",TRIM(C172)&lt;&gt;""),IF(SUMPRODUCT((TRIM($A$5:A172)=Setup!$B$4)*(LOWER($D$5:D172)="mapped")*(TRIM($C$5:C172)=TRIM(C172)))=1,ROW(),""),"")</f>
        <v/>
      </c>
    </row>
    <row r="173">
      <c r="A173" s="8" t="n"/>
      <c r="B173" s="8" t="n"/>
      <c r="C173" s="8" t="n"/>
      <c r="D173" s="8" t="n"/>
      <c r="E173" s="8" t="n"/>
      <c r="F173" s="6">
        <f>IF(B173="","",TRIM(A173)&amp;"||"&amp;TRIM(B173))</f>
        <v/>
      </c>
      <c r="G173" s="6">
        <f>IF(B173="","",IF(OR(AND(LOWER(D173)="mapped",TRIM(C173)&lt;&gt;""),AND(LOWER(D173)="ignored",TRIM(E173)&lt;&gt;"")),1,0))</f>
        <v/>
      </c>
      <c r="H173" s="6">
        <f>IF(AND(TRIM(A173)=Setup!$B$4,LOWER(D173)="mapped",TRIM(C173)&lt;&gt;""),IF(SUMPRODUCT((TRIM($A$5:A173)=Setup!$B$4)*(LOWER($D$5:D173)="mapped")*(TRIM($C$5:C173)=TRIM(C173)))=1,ROW(),""),"")</f>
        <v/>
      </c>
    </row>
    <row r="174">
      <c r="A174" s="8" t="n"/>
      <c r="B174" s="8" t="n"/>
      <c r="C174" s="8" t="n"/>
      <c r="D174" s="8" t="n"/>
      <c r="E174" s="8" t="n"/>
      <c r="F174" s="6">
        <f>IF(B174="","",TRIM(A174)&amp;"||"&amp;TRIM(B174))</f>
        <v/>
      </c>
      <c r="G174" s="6">
        <f>IF(B174="","",IF(OR(AND(LOWER(D174)="mapped",TRIM(C174)&lt;&gt;""),AND(LOWER(D174)="ignored",TRIM(E174)&lt;&gt;"")),1,0))</f>
        <v/>
      </c>
      <c r="H174" s="6">
        <f>IF(AND(TRIM(A174)=Setup!$B$4,LOWER(D174)="mapped",TRIM(C174)&lt;&gt;""),IF(SUMPRODUCT((TRIM($A$5:A174)=Setup!$B$4)*(LOWER($D$5:D174)="mapped")*(TRIM($C$5:C174)=TRIM(C174)))=1,ROW(),""),"")</f>
        <v/>
      </c>
    </row>
    <row r="175">
      <c r="A175" s="8" t="n"/>
      <c r="B175" s="8" t="n"/>
      <c r="C175" s="8" t="n"/>
      <c r="D175" s="8" t="n"/>
      <c r="E175" s="8" t="n"/>
      <c r="F175" s="6">
        <f>IF(B175="","",TRIM(A175)&amp;"||"&amp;TRIM(B175))</f>
        <v/>
      </c>
      <c r="G175" s="6">
        <f>IF(B175="","",IF(OR(AND(LOWER(D175)="mapped",TRIM(C175)&lt;&gt;""),AND(LOWER(D175)="ignored",TRIM(E175)&lt;&gt;"")),1,0))</f>
        <v/>
      </c>
      <c r="H175" s="6">
        <f>IF(AND(TRIM(A175)=Setup!$B$4,LOWER(D175)="mapped",TRIM(C175)&lt;&gt;""),IF(SUMPRODUCT((TRIM($A$5:A175)=Setup!$B$4)*(LOWER($D$5:D175)="mapped")*(TRIM($C$5:C175)=TRIM(C175)))=1,ROW(),""),"")</f>
        <v/>
      </c>
    </row>
    <row r="176">
      <c r="A176" s="8" t="n"/>
      <c r="B176" s="8" t="n"/>
      <c r="C176" s="8" t="n"/>
      <c r="D176" s="8" t="n"/>
      <c r="E176" s="8" t="n"/>
      <c r="F176" s="6">
        <f>IF(B176="","",TRIM(A176)&amp;"||"&amp;TRIM(B176))</f>
        <v/>
      </c>
      <c r="G176" s="6">
        <f>IF(B176="","",IF(OR(AND(LOWER(D176)="mapped",TRIM(C176)&lt;&gt;""),AND(LOWER(D176)="ignored",TRIM(E176)&lt;&gt;"")),1,0))</f>
        <v/>
      </c>
      <c r="H176" s="6">
        <f>IF(AND(TRIM(A176)=Setup!$B$4,LOWER(D176)="mapped",TRIM(C176)&lt;&gt;""),IF(SUMPRODUCT((TRIM($A$5:A176)=Setup!$B$4)*(LOWER($D$5:D176)="mapped")*(TRIM($C$5:C176)=TRIM(C176)))=1,ROW(),""),"")</f>
        <v/>
      </c>
    </row>
    <row r="177">
      <c r="A177" s="8" t="n"/>
      <c r="B177" s="8" t="n"/>
      <c r="C177" s="8" t="n"/>
      <c r="D177" s="8" t="n"/>
      <c r="E177" s="8" t="n"/>
      <c r="F177" s="6">
        <f>IF(B177="","",TRIM(A177)&amp;"||"&amp;TRIM(B177))</f>
        <v/>
      </c>
      <c r="G177" s="6">
        <f>IF(B177="","",IF(OR(AND(LOWER(D177)="mapped",TRIM(C177)&lt;&gt;""),AND(LOWER(D177)="ignored",TRIM(E177)&lt;&gt;"")),1,0))</f>
        <v/>
      </c>
      <c r="H177" s="6">
        <f>IF(AND(TRIM(A177)=Setup!$B$4,LOWER(D177)="mapped",TRIM(C177)&lt;&gt;""),IF(SUMPRODUCT((TRIM($A$5:A177)=Setup!$B$4)*(LOWER($D$5:D177)="mapped")*(TRIM($C$5:C177)=TRIM(C177)))=1,ROW(),""),"")</f>
        <v/>
      </c>
    </row>
    <row r="178">
      <c r="A178" s="8" t="n"/>
      <c r="B178" s="8" t="n"/>
      <c r="C178" s="8" t="n"/>
      <c r="D178" s="8" t="n"/>
      <c r="E178" s="8" t="n"/>
      <c r="F178" s="6">
        <f>IF(B178="","",TRIM(A178)&amp;"||"&amp;TRIM(B178))</f>
        <v/>
      </c>
      <c r="G178" s="6">
        <f>IF(B178="","",IF(OR(AND(LOWER(D178)="mapped",TRIM(C178)&lt;&gt;""),AND(LOWER(D178)="ignored",TRIM(E178)&lt;&gt;"")),1,0))</f>
        <v/>
      </c>
      <c r="H178" s="6">
        <f>IF(AND(TRIM(A178)=Setup!$B$4,LOWER(D178)="mapped",TRIM(C178)&lt;&gt;""),IF(SUMPRODUCT((TRIM($A$5:A178)=Setup!$B$4)*(LOWER($D$5:D178)="mapped")*(TRIM($C$5:C178)=TRIM(C178)))=1,ROW(),""),"")</f>
        <v/>
      </c>
    </row>
    <row r="179">
      <c r="A179" s="8" t="n"/>
      <c r="B179" s="8" t="n"/>
      <c r="C179" s="8" t="n"/>
      <c r="D179" s="8" t="n"/>
      <c r="E179" s="8" t="n"/>
      <c r="F179" s="6">
        <f>IF(B179="","",TRIM(A179)&amp;"||"&amp;TRIM(B179))</f>
        <v/>
      </c>
      <c r="G179" s="6">
        <f>IF(B179="","",IF(OR(AND(LOWER(D179)="mapped",TRIM(C179)&lt;&gt;""),AND(LOWER(D179)="ignored",TRIM(E179)&lt;&gt;"")),1,0))</f>
        <v/>
      </c>
      <c r="H179" s="6">
        <f>IF(AND(TRIM(A179)=Setup!$B$4,LOWER(D179)="mapped",TRIM(C179)&lt;&gt;""),IF(SUMPRODUCT((TRIM($A$5:A179)=Setup!$B$4)*(LOWER($D$5:D179)="mapped")*(TRIM($C$5:C179)=TRIM(C179)))=1,ROW(),""),"")</f>
        <v/>
      </c>
    </row>
    <row r="180">
      <c r="A180" s="8" t="n"/>
      <c r="B180" s="8" t="n"/>
      <c r="C180" s="8" t="n"/>
      <c r="D180" s="8" t="n"/>
      <c r="E180" s="8" t="n"/>
      <c r="F180" s="6">
        <f>IF(B180="","",TRIM(A180)&amp;"||"&amp;TRIM(B180))</f>
        <v/>
      </c>
      <c r="G180" s="6">
        <f>IF(B180="","",IF(OR(AND(LOWER(D180)="mapped",TRIM(C180)&lt;&gt;""),AND(LOWER(D180)="ignored",TRIM(E180)&lt;&gt;"")),1,0))</f>
        <v/>
      </c>
      <c r="H180" s="6">
        <f>IF(AND(TRIM(A180)=Setup!$B$4,LOWER(D180)="mapped",TRIM(C180)&lt;&gt;""),IF(SUMPRODUCT((TRIM($A$5:A180)=Setup!$B$4)*(LOWER($D$5:D180)="mapped")*(TRIM($C$5:C180)=TRIM(C180)))=1,ROW(),""),"")</f>
        <v/>
      </c>
    </row>
    <row r="181">
      <c r="A181" s="8" t="n"/>
      <c r="B181" s="8" t="n"/>
      <c r="C181" s="8" t="n"/>
      <c r="D181" s="8" t="n"/>
      <c r="E181" s="8" t="n"/>
      <c r="F181" s="6">
        <f>IF(B181="","",TRIM(A181)&amp;"||"&amp;TRIM(B181))</f>
        <v/>
      </c>
      <c r="G181" s="6">
        <f>IF(B181="","",IF(OR(AND(LOWER(D181)="mapped",TRIM(C181)&lt;&gt;""),AND(LOWER(D181)="ignored",TRIM(E181)&lt;&gt;"")),1,0))</f>
        <v/>
      </c>
      <c r="H181" s="6">
        <f>IF(AND(TRIM(A181)=Setup!$B$4,LOWER(D181)="mapped",TRIM(C181)&lt;&gt;""),IF(SUMPRODUCT((TRIM($A$5:A181)=Setup!$B$4)*(LOWER($D$5:D181)="mapped")*(TRIM($C$5:C181)=TRIM(C181)))=1,ROW(),""),"")</f>
        <v/>
      </c>
    </row>
    <row r="182">
      <c r="A182" s="8" t="n"/>
      <c r="B182" s="8" t="n"/>
      <c r="C182" s="8" t="n"/>
      <c r="D182" s="8" t="n"/>
      <c r="E182" s="8" t="n"/>
      <c r="F182" s="6">
        <f>IF(B182="","",TRIM(A182)&amp;"||"&amp;TRIM(B182))</f>
        <v/>
      </c>
      <c r="G182" s="6">
        <f>IF(B182="","",IF(OR(AND(LOWER(D182)="mapped",TRIM(C182)&lt;&gt;""),AND(LOWER(D182)="ignored",TRIM(E182)&lt;&gt;"")),1,0))</f>
        <v/>
      </c>
      <c r="H182" s="6">
        <f>IF(AND(TRIM(A182)=Setup!$B$4,LOWER(D182)="mapped",TRIM(C182)&lt;&gt;""),IF(SUMPRODUCT((TRIM($A$5:A182)=Setup!$B$4)*(LOWER($D$5:D182)="mapped")*(TRIM($C$5:C182)=TRIM(C182)))=1,ROW(),""),"")</f>
        <v/>
      </c>
    </row>
    <row r="183">
      <c r="A183" s="8" t="n"/>
      <c r="B183" s="8" t="n"/>
      <c r="C183" s="8" t="n"/>
      <c r="D183" s="8" t="n"/>
      <c r="E183" s="8" t="n"/>
      <c r="F183" s="6">
        <f>IF(B183="","",TRIM(A183)&amp;"||"&amp;TRIM(B183))</f>
        <v/>
      </c>
      <c r="G183" s="6">
        <f>IF(B183="","",IF(OR(AND(LOWER(D183)="mapped",TRIM(C183)&lt;&gt;""),AND(LOWER(D183)="ignored",TRIM(E183)&lt;&gt;"")),1,0))</f>
        <v/>
      </c>
      <c r="H183" s="6">
        <f>IF(AND(TRIM(A183)=Setup!$B$4,LOWER(D183)="mapped",TRIM(C183)&lt;&gt;""),IF(SUMPRODUCT((TRIM($A$5:A183)=Setup!$B$4)*(LOWER($D$5:D183)="mapped")*(TRIM($C$5:C183)=TRIM(C183)))=1,ROW(),""),"")</f>
        <v/>
      </c>
    </row>
    <row r="184">
      <c r="A184" s="8" t="n"/>
      <c r="B184" s="8" t="n"/>
      <c r="C184" s="8" t="n"/>
      <c r="D184" s="8" t="n"/>
      <c r="E184" s="8" t="n"/>
      <c r="F184" s="6">
        <f>IF(B184="","",TRIM(A184)&amp;"||"&amp;TRIM(B184))</f>
        <v/>
      </c>
      <c r="G184" s="6">
        <f>IF(B184="","",IF(OR(AND(LOWER(D184)="mapped",TRIM(C184)&lt;&gt;""),AND(LOWER(D184)="ignored",TRIM(E184)&lt;&gt;"")),1,0))</f>
        <v/>
      </c>
      <c r="H184" s="6">
        <f>IF(AND(TRIM(A184)=Setup!$B$4,LOWER(D184)="mapped",TRIM(C184)&lt;&gt;""),IF(SUMPRODUCT((TRIM($A$5:A184)=Setup!$B$4)*(LOWER($D$5:D184)="mapped")*(TRIM($C$5:C184)=TRIM(C184)))=1,ROW(),""),"")</f>
        <v/>
      </c>
    </row>
    <row r="185">
      <c r="A185" s="8" t="n"/>
      <c r="B185" s="8" t="n"/>
      <c r="C185" s="8" t="n"/>
      <c r="D185" s="8" t="n"/>
      <c r="E185" s="8" t="n"/>
      <c r="F185" s="6">
        <f>IF(B185="","",TRIM(A185)&amp;"||"&amp;TRIM(B185))</f>
        <v/>
      </c>
      <c r="G185" s="6">
        <f>IF(B185="","",IF(OR(AND(LOWER(D185)="mapped",TRIM(C185)&lt;&gt;""),AND(LOWER(D185)="ignored",TRIM(E185)&lt;&gt;"")),1,0))</f>
        <v/>
      </c>
      <c r="H185" s="6">
        <f>IF(AND(TRIM(A185)=Setup!$B$4,LOWER(D185)="mapped",TRIM(C185)&lt;&gt;""),IF(SUMPRODUCT((TRIM($A$5:A185)=Setup!$B$4)*(LOWER($D$5:D185)="mapped")*(TRIM($C$5:C185)=TRIM(C185)))=1,ROW(),""),"")</f>
        <v/>
      </c>
    </row>
    <row r="186">
      <c r="A186" s="8" t="n"/>
      <c r="B186" s="8" t="n"/>
      <c r="C186" s="8" t="n"/>
      <c r="D186" s="8" t="n"/>
      <c r="E186" s="8" t="n"/>
      <c r="F186" s="6">
        <f>IF(B186="","",TRIM(A186)&amp;"||"&amp;TRIM(B186))</f>
        <v/>
      </c>
      <c r="G186" s="6">
        <f>IF(B186="","",IF(OR(AND(LOWER(D186)="mapped",TRIM(C186)&lt;&gt;""),AND(LOWER(D186)="ignored",TRIM(E186)&lt;&gt;"")),1,0))</f>
        <v/>
      </c>
      <c r="H186" s="6">
        <f>IF(AND(TRIM(A186)=Setup!$B$4,LOWER(D186)="mapped",TRIM(C186)&lt;&gt;""),IF(SUMPRODUCT((TRIM($A$5:A186)=Setup!$B$4)*(LOWER($D$5:D186)="mapped")*(TRIM($C$5:C186)=TRIM(C186)))=1,ROW(),""),"")</f>
        <v/>
      </c>
    </row>
    <row r="187">
      <c r="A187" s="8" t="n"/>
      <c r="B187" s="8" t="n"/>
      <c r="C187" s="8" t="n"/>
      <c r="D187" s="8" t="n"/>
      <c r="E187" s="8" t="n"/>
      <c r="F187" s="6">
        <f>IF(B187="","",TRIM(A187)&amp;"||"&amp;TRIM(B187))</f>
        <v/>
      </c>
      <c r="G187" s="6">
        <f>IF(B187="","",IF(OR(AND(LOWER(D187)="mapped",TRIM(C187)&lt;&gt;""),AND(LOWER(D187)="ignored",TRIM(E187)&lt;&gt;"")),1,0))</f>
        <v/>
      </c>
      <c r="H187" s="6">
        <f>IF(AND(TRIM(A187)=Setup!$B$4,LOWER(D187)="mapped",TRIM(C187)&lt;&gt;""),IF(SUMPRODUCT((TRIM($A$5:A187)=Setup!$B$4)*(LOWER($D$5:D187)="mapped")*(TRIM($C$5:C187)=TRIM(C187)))=1,ROW(),""),"")</f>
        <v/>
      </c>
    </row>
    <row r="188">
      <c r="A188" s="8" t="n"/>
      <c r="B188" s="8" t="n"/>
      <c r="C188" s="8" t="n"/>
      <c r="D188" s="8" t="n"/>
      <c r="E188" s="8" t="n"/>
      <c r="F188" s="6">
        <f>IF(B188="","",TRIM(A188)&amp;"||"&amp;TRIM(B188))</f>
        <v/>
      </c>
      <c r="G188" s="6">
        <f>IF(B188="","",IF(OR(AND(LOWER(D188)="mapped",TRIM(C188)&lt;&gt;""),AND(LOWER(D188)="ignored",TRIM(E188)&lt;&gt;"")),1,0))</f>
        <v/>
      </c>
      <c r="H188" s="6">
        <f>IF(AND(TRIM(A188)=Setup!$B$4,LOWER(D188)="mapped",TRIM(C188)&lt;&gt;""),IF(SUMPRODUCT((TRIM($A$5:A188)=Setup!$B$4)*(LOWER($D$5:D188)="mapped")*(TRIM($C$5:C188)=TRIM(C188)))=1,ROW(),""),"")</f>
        <v/>
      </c>
    </row>
    <row r="189">
      <c r="A189" s="8" t="n"/>
      <c r="B189" s="8" t="n"/>
      <c r="C189" s="8" t="n"/>
      <c r="D189" s="8" t="n"/>
      <c r="E189" s="8" t="n"/>
      <c r="F189" s="6">
        <f>IF(B189="","",TRIM(A189)&amp;"||"&amp;TRIM(B189))</f>
        <v/>
      </c>
      <c r="G189" s="6">
        <f>IF(B189="","",IF(OR(AND(LOWER(D189)="mapped",TRIM(C189)&lt;&gt;""),AND(LOWER(D189)="ignored",TRIM(E189)&lt;&gt;"")),1,0))</f>
        <v/>
      </c>
      <c r="H189" s="6">
        <f>IF(AND(TRIM(A189)=Setup!$B$4,LOWER(D189)="mapped",TRIM(C189)&lt;&gt;""),IF(SUMPRODUCT((TRIM($A$5:A189)=Setup!$B$4)*(LOWER($D$5:D189)="mapped")*(TRIM($C$5:C189)=TRIM(C189)))=1,ROW(),""),"")</f>
        <v/>
      </c>
    </row>
    <row r="190">
      <c r="A190" s="8" t="n"/>
      <c r="B190" s="8" t="n"/>
      <c r="C190" s="8" t="n"/>
      <c r="D190" s="8" t="n"/>
      <c r="E190" s="8" t="n"/>
      <c r="F190" s="6">
        <f>IF(B190="","",TRIM(A190)&amp;"||"&amp;TRIM(B190))</f>
        <v/>
      </c>
      <c r="G190" s="6">
        <f>IF(B190="","",IF(OR(AND(LOWER(D190)="mapped",TRIM(C190)&lt;&gt;""),AND(LOWER(D190)="ignored",TRIM(E190)&lt;&gt;"")),1,0))</f>
        <v/>
      </c>
      <c r="H190" s="6">
        <f>IF(AND(TRIM(A190)=Setup!$B$4,LOWER(D190)="mapped",TRIM(C190)&lt;&gt;""),IF(SUMPRODUCT((TRIM($A$5:A190)=Setup!$B$4)*(LOWER($D$5:D190)="mapped")*(TRIM($C$5:C190)=TRIM(C190)))=1,ROW(),""),"")</f>
        <v/>
      </c>
    </row>
    <row r="191">
      <c r="A191" s="8" t="n"/>
      <c r="B191" s="8" t="n"/>
      <c r="C191" s="8" t="n"/>
      <c r="D191" s="8" t="n"/>
      <c r="E191" s="8" t="n"/>
      <c r="F191" s="6">
        <f>IF(B191="","",TRIM(A191)&amp;"||"&amp;TRIM(B191))</f>
        <v/>
      </c>
      <c r="G191" s="6">
        <f>IF(B191="","",IF(OR(AND(LOWER(D191)="mapped",TRIM(C191)&lt;&gt;""),AND(LOWER(D191)="ignored",TRIM(E191)&lt;&gt;"")),1,0))</f>
        <v/>
      </c>
      <c r="H191" s="6">
        <f>IF(AND(TRIM(A191)=Setup!$B$4,LOWER(D191)="mapped",TRIM(C191)&lt;&gt;""),IF(SUMPRODUCT((TRIM($A$5:A191)=Setup!$B$4)*(LOWER($D$5:D191)="mapped")*(TRIM($C$5:C191)=TRIM(C191)))=1,ROW(),""),"")</f>
        <v/>
      </c>
    </row>
    <row r="192">
      <c r="A192" s="8" t="n"/>
      <c r="B192" s="8" t="n"/>
      <c r="C192" s="8" t="n"/>
      <c r="D192" s="8" t="n"/>
      <c r="E192" s="8" t="n"/>
      <c r="F192" s="6">
        <f>IF(B192="","",TRIM(A192)&amp;"||"&amp;TRIM(B192))</f>
        <v/>
      </c>
      <c r="G192" s="6">
        <f>IF(B192="","",IF(OR(AND(LOWER(D192)="mapped",TRIM(C192)&lt;&gt;""),AND(LOWER(D192)="ignored",TRIM(E192)&lt;&gt;"")),1,0))</f>
        <v/>
      </c>
      <c r="H192" s="6">
        <f>IF(AND(TRIM(A192)=Setup!$B$4,LOWER(D192)="mapped",TRIM(C192)&lt;&gt;""),IF(SUMPRODUCT((TRIM($A$5:A192)=Setup!$B$4)*(LOWER($D$5:D192)="mapped")*(TRIM($C$5:C192)=TRIM(C192)))=1,ROW(),""),"")</f>
        <v/>
      </c>
    </row>
    <row r="193">
      <c r="A193" s="8" t="n"/>
      <c r="B193" s="8" t="n"/>
      <c r="C193" s="8" t="n"/>
      <c r="D193" s="8" t="n"/>
      <c r="E193" s="8" t="n"/>
      <c r="F193" s="6">
        <f>IF(B193="","",TRIM(A193)&amp;"||"&amp;TRIM(B193))</f>
        <v/>
      </c>
      <c r="G193" s="6">
        <f>IF(B193="","",IF(OR(AND(LOWER(D193)="mapped",TRIM(C193)&lt;&gt;""),AND(LOWER(D193)="ignored",TRIM(E193)&lt;&gt;"")),1,0))</f>
        <v/>
      </c>
      <c r="H193" s="6">
        <f>IF(AND(TRIM(A193)=Setup!$B$4,LOWER(D193)="mapped",TRIM(C193)&lt;&gt;""),IF(SUMPRODUCT((TRIM($A$5:A193)=Setup!$B$4)*(LOWER($D$5:D193)="mapped")*(TRIM($C$5:C193)=TRIM(C193)))=1,ROW(),""),"")</f>
        <v/>
      </c>
    </row>
    <row r="194">
      <c r="A194" s="8" t="n"/>
      <c r="B194" s="8" t="n"/>
      <c r="C194" s="8" t="n"/>
      <c r="D194" s="8" t="n"/>
      <c r="E194" s="8" t="n"/>
      <c r="F194" s="6">
        <f>IF(B194="","",TRIM(A194)&amp;"||"&amp;TRIM(B194))</f>
        <v/>
      </c>
      <c r="G194" s="6">
        <f>IF(B194="","",IF(OR(AND(LOWER(D194)="mapped",TRIM(C194)&lt;&gt;""),AND(LOWER(D194)="ignored",TRIM(E194)&lt;&gt;"")),1,0))</f>
        <v/>
      </c>
      <c r="H194" s="6">
        <f>IF(AND(TRIM(A194)=Setup!$B$4,LOWER(D194)="mapped",TRIM(C194)&lt;&gt;""),IF(SUMPRODUCT((TRIM($A$5:A194)=Setup!$B$4)*(LOWER($D$5:D194)="mapped")*(TRIM($C$5:C194)=TRIM(C194)))=1,ROW(),""),"")</f>
        <v/>
      </c>
    </row>
    <row r="195">
      <c r="A195" s="8" t="n"/>
      <c r="B195" s="8" t="n"/>
      <c r="C195" s="8" t="n"/>
      <c r="D195" s="8" t="n"/>
      <c r="E195" s="8" t="n"/>
      <c r="F195" s="6">
        <f>IF(B195="","",TRIM(A195)&amp;"||"&amp;TRIM(B195))</f>
        <v/>
      </c>
      <c r="G195" s="6">
        <f>IF(B195="","",IF(OR(AND(LOWER(D195)="mapped",TRIM(C195)&lt;&gt;""),AND(LOWER(D195)="ignored",TRIM(E195)&lt;&gt;"")),1,0))</f>
        <v/>
      </c>
      <c r="H195" s="6">
        <f>IF(AND(TRIM(A195)=Setup!$B$4,LOWER(D195)="mapped",TRIM(C195)&lt;&gt;""),IF(SUMPRODUCT((TRIM($A$5:A195)=Setup!$B$4)*(LOWER($D$5:D195)="mapped")*(TRIM($C$5:C195)=TRIM(C195)))=1,ROW(),""),"")</f>
        <v/>
      </c>
    </row>
    <row r="196">
      <c r="A196" s="8" t="n"/>
      <c r="B196" s="8" t="n"/>
      <c r="C196" s="8" t="n"/>
      <c r="D196" s="8" t="n"/>
      <c r="E196" s="8" t="n"/>
      <c r="F196" s="6">
        <f>IF(B196="","",TRIM(A196)&amp;"||"&amp;TRIM(B196))</f>
        <v/>
      </c>
      <c r="G196" s="6">
        <f>IF(B196="","",IF(OR(AND(LOWER(D196)="mapped",TRIM(C196)&lt;&gt;""),AND(LOWER(D196)="ignored",TRIM(E196)&lt;&gt;"")),1,0))</f>
        <v/>
      </c>
      <c r="H196" s="6">
        <f>IF(AND(TRIM(A196)=Setup!$B$4,LOWER(D196)="mapped",TRIM(C196)&lt;&gt;""),IF(SUMPRODUCT((TRIM($A$5:A196)=Setup!$B$4)*(LOWER($D$5:D196)="mapped")*(TRIM($C$5:C196)=TRIM(C196)))=1,ROW(),""),"")</f>
        <v/>
      </c>
    </row>
    <row r="197">
      <c r="A197" s="8" t="n"/>
      <c r="B197" s="8" t="n"/>
      <c r="C197" s="8" t="n"/>
      <c r="D197" s="8" t="n"/>
      <c r="E197" s="8" t="n"/>
      <c r="F197" s="6">
        <f>IF(B197="","",TRIM(A197)&amp;"||"&amp;TRIM(B197))</f>
        <v/>
      </c>
      <c r="G197" s="6">
        <f>IF(B197="","",IF(OR(AND(LOWER(D197)="mapped",TRIM(C197)&lt;&gt;""),AND(LOWER(D197)="ignored",TRIM(E197)&lt;&gt;"")),1,0))</f>
        <v/>
      </c>
      <c r="H197" s="6">
        <f>IF(AND(TRIM(A197)=Setup!$B$4,LOWER(D197)="mapped",TRIM(C197)&lt;&gt;""),IF(SUMPRODUCT((TRIM($A$5:A197)=Setup!$B$4)*(LOWER($D$5:D197)="mapped")*(TRIM($C$5:C197)=TRIM(C197)))=1,ROW(),""),"")</f>
        <v/>
      </c>
    </row>
    <row r="198">
      <c r="A198" s="8" t="n"/>
      <c r="B198" s="8" t="n"/>
      <c r="C198" s="8" t="n"/>
      <c r="D198" s="8" t="n"/>
      <c r="E198" s="8" t="n"/>
      <c r="F198" s="6">
        <f>IF(B198="","",TRIM(A198)&amp;"||"&amp;TRIM(B198))</f>
        <v/>
      </c>
      <c r="G198" s="6">
        <f>IF(B198="","",IF(OR(AND(LOWER(D198)="mapped",TRIM(C198)&lt;&gt;""),AND(LOWER(D198)="ignored",TRIM(E198)&lt;&gt;"")),1,0))</f>
        <v/>
      </c>
      <c r="H198" s="6">
        <f>IF(AND(TRIM(A198)=Setup!$B$4,LOWER(D198)="mapped",TRIM(C198)&lt;&gt;""),IF(SUMPRODUCT((TRIM($A$5:A198)=Setup!$B$4)*(LOWER($D$5:D198)="mapped")*(TRIM($C$5:C198)=TRIM(C198)))=1,ROW(),""),"")</f>
        <v/>
      </c>
    </row>
    <row r="199">
      <c r="A199" s="8" t="n"/>
      <c r="B199" s="8" t="n"/>
      <c r="C199" s="8" t="n"/>
      <c r="D199" s="8" t="n"/>
      <c r="E199" s="8" t="n"/>
      <c r="F199" s="6">
        <f>IF(B199="","",TRIM(A199)&amp;"||"&amp;TRIM(B199))</f>
        <v/>
      </c>
      <c r="G199" s="6">
        <f>IF(B199="","",IF(OR(AND(LOWER(D199)="mapped",TRIM(C199)&lt;&gt;""),AND(LOWER(D199)="ignored",TRIM(E199)&lt;&gt;"")),1,0))</f>
        <v/>
      </c>
      <c r="H199" s="6">
        <f>IF(AND(TRIM(A199)=Setup!$B$4,LOWER(D199)="mapped",TRIM(C199)&lt;&gt;""),IF(SUMPRODUCT((TRIM($A$5:A199)=Setup!$B$4)*(LOWER($D$5:D199)="mapped")*(TRIM($C$5:C199)=TRIM(C199)))=1,ROW(),""),"")</f>
        <v/>
      </c>
    </row>
    <row r="200">
      <c r="A200" s="8" t="n"/>
      <c r="B200" s="8" t="n"/>
      <c r="C200" s="8" t="n"/>
      <c r="D200" s="8" t="n"/>
      <c r="E200" s="8" t="n"/>
      <c r="F200" s="6">
        <f>IF(B200="","",TRIM(A200)&amp;"||"&amp;TRIM(B200))</f>
        <v/>
      </c>
      <c r="G200" s="6">
        <f>IF(B200="","",IF(OR(AND(LOWER(D200)="mapped",TRIM(C200)&lt;&gt;""),AND(LOWER(D200)="ignored",TRIM(E200)&lt;&gt;"")),1,0))</f>
        <v/>
      </c>
      <c r="H200" s="6">
        <f>IF(AND(TRIM(A200)=Setup!$B$4,LOWER(D200)="mapped",TRIM(C200)&lt;&gt;""),IF(SUMPRODUCT((TRIM($A$5:A200)=Setup!$B$4)*(LOWER($D$5:D200)="mapped")*(TRIM($C$5:C200)=TRIM(C200)))=1,ROW(),""),"")</f>
        <v/>
      </c>
    </row>
    <row r="201">
      <c r="A201" s="8" t="n"/>
      <c r="B201" s="8" t="n"/>
      <c r="C201" s="8" t="n"/>
      <c r="D201" s="8" t="n"/>
      <c r="E201" s="8" t="n"/>
      <c r="F201" s="6">
        <f>IF(B201="","",TRIM(A201)&amp;"||"&amp;TRIM(B201))</f>
        <v/>
      </c>
      <c r="G201" s="6">
        <f>IF(B201="","",IF(OR(AND(LOWER(D201)="mapped",TRIM(C201)&lt;&gt;""),AND(LOWER(D201)="ignored",TRIM(E201)&lt;&gt;"")),1,0))</f>
        <v/>
      </c>
      <c r="H201" s="6">
        <f>IF(AND(TRIM(A201)=Setup!$B$4,LOWER(D201)="mapped",TRIM(C201)&lt;&gt;""),IF(SUMPRODUCT((TRIM($A$5:A201)=Setup!$B$4)*(LOWER($D$5:D201)="mapped")*(TRIM($C$5:C201)=TRIM(C201)))=1,ROW(),""),"")</f>
        <v/>
      </c>
    </row>
    <row r="202">
      <c r="A202" s="8" t="n"/>
      <c r="B202" s="8" t="n"/>
      <c r="C202" s="8" t="n"/>
      <c r="D202" s="8" t="n"/>
      <c r="E202" s="8" t="n"/>
      <c r="F202" s="6">
        <f>IF(B202="","",TRIM(A202)&amp;"||"&amp;TRIM(B202))</f>
        <v/>
      </c>
      <c r="G202" s="6">
        <f>IF(B202="","",IF(OR(AND(LOWER(D202)="mapped",TRIM(C202)&lt;&gt;""),AND(LOWER(D202)="ignored",TRIM(E202)&lt;&gt;"")),1,0))</f>
        <v/>
      </c>
      <c r="H202" s="6">
        <f>IF(AND(TRIM(A202)=Setup!$B$4,LOWER(D202)="mapped",TRIM(C202)&lt;&gt;""),IF(SUMPRODUCT((TRIM($A$5:A202)=Setup!$B$4)*(LOWER($D$5:D202)="mapped")*(TRIM($C$5:C202)=TRIM(C202)))=1,ROW(),""),"")</f>
        <v/>
      </c>
    </row>
    <row r="203">
      <c r="A203" s="8" t="n"/>
      <c r="B203" s="8" t="n"/>
      <c r="C203" s="8" t="n"/>
      <c r="D203" s="8" t="n"/>
      <c r="E203" s="8" t="n"/>
      <c r="F203" s="6">
        <f>IF(B203="","",TRIM(A203)&amp;"||"&amp;TRIM(B203))</f>
        <v/>
      </c>
      <c r="G203" s="6">
        <f>IF(B203="","",IF(OR(AND(LOWER(D203)="mapped",TRIM(C203)&lt;&gt;""),AND(LOWER(D203)="ignored",TRIM(E203)&lt;&gt;"")),1,0))</f>
        <v/>
      </c>
      <c r="H203" s="6">
        <f>IF(AND(TRIM(A203)=Setup!$B$4,LOWER(D203)="mapped",TRIM(C203)&lt;&gt;""),IF(SUMPRODUCT((TRIM($A$5:A203)=Setup!$B$4)*(LOWER($D$5:D203)="mapped")*(TRIM($C$5:C203)=TRIM(C203)))=1,ROW(),""),"")</f>
        <v/>
      </c>
    </row>
    <row r="204">
      <c r="A204" s="8" t="n"/>
      <c r="B204" s="8" t="n"/>
      <c r="C204" s="8" t="n"/>
      <c r="D204" s="8" t="n"/>
      <c r="E204" s="8" t="n"/>
      <c r="F204" s="6">
        <f>IF(B204="","",TRIM(A204)&amp;"||"&amp;TRIM(B204))</f>
        <v/>
      </c>
      <c r="G204" s="6">
        <f>IF(B204="","",IF(OR(AND(LOWER(D204)="mapped",TRIM(C204)&lt;&gt;""),AND(LOWER(D204)="ignored",TRIM(E204)&lt;&gt;"")),1,0))</f>
        <v/>
      </c>
      <c r="H204" s="6">
        <f>IF(AND(TRIM(A204)=Setup!$B$4,LOWER(D204)="mapped",TRIM(C204)&lt;&gt;""),IF(SUMPRODUCT((TRIM($A$5:A204)=Setup!$B$4)*(LOWER($D$5:D204)="mapped")*(TRIM($C$5:C204)=TRIM(C204)))=1,ROW(),""),"")</f>
        <v/>
      </c>
    </row>
    <row r="205">
      <c r="A205" s="8" t="n"/>
      <c r="B205" s="8" t="n"/>
      <c r="C205" s="8" t="n"/>
      <c r="D205" s="8" t="n"/>
      <c r="E205" s="8" t="n"/>
      <c r="F205" s="6">
        <f>IF(B205="","",TRIM(A205)&amp;"||"&amp;TRIM(B205))</f>
        <v/>
      </c>
      <c r="G205" s="6">
        <f>IF(B205="","",IF(OR(AND(LOWER(D205)="mapped",TRIM(C205)&lt;&gt;""),AND(LOWER(D205)="ignored",TRIM(E205)&lt;&gt;"")),1,0))</f>
        <v/>
      </c>
      <c r="H205" s="6">
        <f>IF(AND(TRIM(A205)=Setup!$B$4,LOWER(D205)="mapped",TRIM(C205)&lt;&gt;""),IF(SUMPRODUCT((TRIM($A$5:A205)=Setup!$B$4)*(LOWER($D$5:D205)="mapped")*(TRIM($C$5:C205)=TRIM(C205)))=1,ROW(),""),"")</f>
        <v/>
      </c>
    </row>
    <row r="206">
      <c r="A206" s="8" t="n"/>
      <c r="B206" s="8" t="n"/>
      <c r="C206" s="8" t="n"/>
      <c r="D206" s="8" t="n"/>
      <c r="E206" s="8" t="n"/>
      <c r="F206" s="6">
        <f>IF(B206="","",TRIM(A206)&amp;"||"&amp;TRIM(B206))</f>
        <v/>
      </c>
      <c r="G206" s="6">
        <f>IF(B206="","",IF(OR(AND(LOWER(D206)="mapped",TRIM(C206)&lt;&gt;""),AND(LOWER(D206)="ignored",TRIM(E206)&lt;&gt;"")),1,0))</f>
        <v/>
      </c>
      <c r="H206" s="6">
        <f>IF(AND(TRIM(A206)=Setup!$B$4,LOWER(D206)="mapped",TRIM(C206)&lt;&gt;""),IF(SUMPRODUCT((TRIM($A$5:A206)=Setup!$B$4)*(LOWER($D$5:D206)="mapped")*(TRIM($C$5:C206)=TRIM(C206)))=1,ROW(),""),"")</f>
        <v/>
      </c>
    </row>
    <row r="207">
      <c r="A207" s="8" t="n"/>
      <c r="B207" s="8" t="n"/>
      <c r="C207" s="8" t="n"/>
      <c r="D207" s="8" t="n"/>
      <c r="E207" s="8" t="n"/>
      <c r="F207" s="6">
        <f>IF(B207="","",TRIM(A207)&amp;"||"&amp;TRIM(B207))</f>
        <v/>
      </c>
      <c r="G207" s="6">
        <f>IF(B207="","",IF(OR(AND(LOWER(D207)="mapped",TRIM(C207)&lt;&gt;""),AND(LOWER(D207)="ignored",TRIM(E207)&lt;&gt;"")),1,0))</f>
        <v/>
      </c>
      <c r="H207" s="6">
        <f>IF(AND(TRIM(A207)=Setup!$B$4,LOWER(D207)="mapped",TRIM(C207)&lt;&gt;""),IF(SUMPRODUCT((TRIM($A$5:A207)=Setup!$B$4)*(LOWER($D$5:D207)="mapped")*(TRIM($C$5:C207)=TRIM(C207)))=1,ROW(),""),"")</f>
        <v/>
      </c>
    </row>
    <row r="208">
      <c r="A208" s="8" t="n"/>
      <c r="B208" s="8" t="n"/>
      <c r="C208" s="8" t="n"/>
      <c r="D208" s="8" t="n"/>
      <c r="E208" s="8" t="n"/>
      <c r="F208" s="6">
        <f>IF(B208="","",TRIM(A208)&amp;"||"&amp;TRIM(B208))</f>
        <v/>
      </c>
      <c r="G208" s="6">
        <f>IF(B208="","",IF(OR(AND(LOWER(D208)="mapped",TRIM(C208)&lt;&gt;""),AND(LOWER(D208)="ignored",TRIM(E208)&lt;&gt;"")),1,0))</f>
        <v/>
      </c>
      <c r="H208" s="6">
        <f>IF(AND(TRIM(A208)=Setup!$B$4,LOWER(D208)="mapped",TRIM(C208)&lt;&gt;""),IF(SUMPRODUCT((TRIM($A$5:A208)=Setup!$B$4)*(LOWER($D$5:D208)="mapped")*(TRIM($C$5:C208)=TRIM(C208)))=1,ROW(),""),"")</f>
        <v/>
      </c>
    </row>
    <row r="209">
      <c r="A209" s="8" t="n"/>
      <c r="B209" s="8" t="n"/>
      <c r="C209" s="8" t="n"/>
      <c r="D209" s="8" t="n"/>
      <c r="E209" s="8" t="n"/>
      <c r="F209" s="6">
        <f>IF(B209="","",TRIM(A209)&amp;"||"&amp;TRIM(B209))</f>
        <v/>
      </c>
      <c r="G209" s="6">
        <f>IF(B209="","",IF(OR(AND(LOWER(D209)="mapped",TRIM(C209)&lt;&gt;""),AND(LOWER(D209)="ignored",TRIM(E209)&lt;&gt;"")),1,0))</f>
        <v/>
      </c>
      <c r="H209" s="6">
        <f>IF(AND(TRIM(A209)=Setup!$B$4,LOWER(D209)="mapped",TRIM(C209)&lt;&gt;""),IF(SUMPRODUCT((TRIM($A$5:A209)=Setup!$B$4)*(LOWER($D$5:D209)="mapped")*(TRIM($C$5:C209)=TRIM(C209)))=1,ROW(),""),"")</f>
        <v/>
      </c>
    </row>
    <row r="210">
      <c r="A210" s="8" t="n"/>
      <c r="B210" s="8" t="n"/>
      <c r="C210" s="8" t="n"/>
      <c r="D210" s="8" t="n"/>
      <c r="E210" s="8" t="n"/>
      <c r="F210" s="6">
        <f>IF(B210="","",TRIM(A210)&amp;"||"&amp;TRIM(B210))</f>
        <v/>
      </c>
      <c r="G210" s="6">
        <f>IF(B210="","",IF(OR(AND(LOWER(D210)="mapped",TRIM(C210)&lt;&gt;""),AND(LOWER(D210)="ignored",TRIM(E210)&lt;&gt;"")),1,0))</f>
        <v/>
      </c>
      <c r="H210" s="6">
        <f>IF(AND(TRIM(A210)=Setup!$B$4,LOWER(D210)="mapped",TRIM(C210)&lt;&gt;""),IF(SUMPRODUCT((TRIM($A$5:A210)=Setup!$B$4)*(LOWER($D$5:D210)="mapped")*(TRIM($C$5:C210)=TRIM(C210)))=1,ROW(),""),"")</f>
        <v/>
      </c>
    </row>
    <row r="211">
      <c r="A211" s="8" t="n"/>
      <c r="B211" s="8" t="n"/>
      <c r="C211" s="8" t="n"/>
      <c r="D211" s="8" t="n"/>
      <c r="E211" s="8" t="n"/>
      <c r="F211" s="6">
        <f>IF(B211="","",TRIM(A211)&amp;"||"&amp;TRIM(B211))</f>
        <v/>
      </c>
      <c r="G211" s="6">
        <f>IF(B211="","",IF(OR(AND(LOWER(D211)="mapped",TRIM(C211)&lt;&gt;""),AND(LOWER(D211)="ignored",TRIM(E211)&lt;&gt;"")),1,0))</f>
        <v/>
      </c>
      <c r="H211" s="6">
        <f>IF(AND(TRIM(A211)=Setup!$B$4,LOWER(D211)="mapped",TRIM(C211)&lt;&gt;""),IF(SUMPRODUCT((TRIM($A$5:A211)=Setup!$B$4)*(LOWER($D$5:D211)="mapped")*(TRIM($C$5:C211)=TRIM(C211)))=1,ROW(),""),"")</f>
        <v/>
      </c>
    </row>
    <row r="212">
      <c r="A212" s="8" t="n"/>
      <c r="B212" s="8" t="n"/>
      <c r="C212" s="8" t="n"/>
      <c r="D212" s="8" t="n"/>
      <c r="E212" s="8" t="n"/>
      <c r="F212" s="6">
        <f>IF(B212="","",TRIM(A212)&amp;"||"&amp;TRIM(B212))</f>
        <v/>
      </c>
      <c r="G212" s="6">
        <f>IF(B212="","",IF(OR(AND(LOWER(D212)="mapped",TRIM(C212)&lt;&gt;""),AND(LOWER(D212)="ignored",TRIM(E212)&lt;&gt;"")),1,0))</f>
        <v/>
      </c>
      <c r="H212" s="6">
        <f>IF(AND(TRIM(A212)=Setup!$B$4,LOWER(D212)="mapped",TRIM(C212)&lt;&gt;""),IF(SUMPRODUCT((TRIM($A$5:A212)=Setup!$B$4)*(LOWER($D$5:D212)="mapped")*(TRIM($C$5:C212)=TRIM(C212)))=1,ROW(),""),"")</f>
        <v/>
      </c>
    </row>
    <row r="213">
      <c r="A213" s="8" t="n"/>
      <c r="B213" s="8" t="n"/>
      <c r="C213" s="8" t="n"/>
      <c r="D213" s="8" t="n"/>
      <c r="E213" s="8" t="n"/>
      <c r="F213" s="6">
        <f>IF(B213="","",TRIM(A213)&amp;"||"&amp;TRIM(B213))</f>
        <v/>
      </c>
      <c r="G213" s="6">
        <f>IF(B213="","",IF(OR(AND(LOWER(D213)="mapped",TRIM(C213)&lt;&gt;""),AND(LOWER(D213)="ignored",TRIM(E213)&lt;&gt;"")),1,0))</f>
        <v/>
      </c>
      <c r="H213" s="6">
        <f>IF(AND(TRIM(A213)=Setup!$B$4,LOWER(D213)="mapped",TRIM(C213)&lt;&gt;""),IF(SUMPRODUCT((TRIM($A$5:A213)=Setup!$B$4)*(LOWER($D$5:D213)="mapped")*(TRIM($C$5:C213)=TRIM(C213)))=1,ROW(),""),"")</f>
        <v/>
      </c>
    </row>
    <row r="214">
      <c r="A214" s="8" t="n"/>
      <c r="B214" s="8" t="n"/>
      <c r="C214" s="8" t="n"/>
      <c r="D214" s="8" t="n"/>
      <c r="E214" s="8" t="n"/>
      <c r="F214" s="6">
        <f>IF(B214="","",TRIM(A214)&amp;"||"&amp;TRIM(B214))</f>
        <v/>
      </c>
      <c r="G214" s="6">
        <f>IF(B214="","",IF(OR(AND(LOWER(D214)="mapped",TRIM(C214)&lt;&gt;""),AND(LOWER(D214)="ignored",TRIM(E214)&lt;&gt;"")),1,0))</f>
        <v/>
      </c>
      <c r="H214" s="6">
        <f>IF(AND(TRIM(A214)=Setup!$B$4,LOWER(D214)="mapped",TRIM(C214)&lt;&gt;""),IF(SUMPRODUCT((TRIM($A$5:A214)=Setup!$B$4)*(LOWER($D$5:D214)="mapped")*(TRIM($C$5:C214)=TRIM(C214)))=1,ROW(),""),"")</f>
        <v/>
      </c>
    </row>
    <row r="215">
      <c r="A215" s="8" t="n"/>
      <c r="B215" s="8" t="n"/>
      <c r="C215" s="8" t="n"/>
      <c r="D215" s="8" t="n"/>
      <c r="E215" s="8" t="n"/>
      <c r="F215" s="6">
        <f>IF(B215="","",TRIM(A215)&amp;"||"&amp;TRIM(B215))</f>
        <v/>
      </c>
      <c r="G215" s="6">
        <f>IF(B215="","",IF(OR(AND(LOWER(D215)="mapped",TRIM(C215)&lt;&gt;""),AND(LOWER(D215)="ignored",TRIM(E215)&lt;&gt;"")),1,0))</f>
        <v/>
      </c>
      <c r="H215" s="6">
        <f>IF(AND(TRIM(A215)=Setup!$B$4,LOWER(D215)="mapped",TRIM(C215)&lt;&gt;""),IF(SUMPRODUCT((TRIM($A$5:A215)=Setup!$B$4)*(LOWER($D$5:D215)="mapped")*(TRIM($C$5:C215)=TRIM(C215)))=1,ROW(),""),"")</f>
        <v/>
      </c>
    </row>
    <row r="216">
      <c r="A216" s="8" t="n"/>
      <c r="B216" s="8" t="n"/>
      <c r="C216" s="8" t="n"/>
      <c r="D216" s="8" t="n"/>
      <c r="E216" s="8" t="n"/>
      <c r="F216" s="6">
        <f>IF(B216="","",TRIM(A216)&amp;"||"&amp;TRIM(B216))</f>
        <v/>
      </c>
      <c r="G216" s="6">
        <f>IF(B216="","",IF(OR(AND(LOWER(D216)="mapped",TRIM(C216)&lt;&gt;""),AND(LOWER(D216)="ignored",TRIM(E216)&lt;&gt;"")),1,0))</f>
        <v/>
      </c>
      <c r="H216" s="6">
        <f>IF(AND(TRIM(A216)=Setup!$B$4,LOWER(D216)="mapped",TRIM(C216)&lt;&gt;""),IF(SUMPRODUCT((TRIM($A$5:A216)=Setup!$B$4)*(LOWER($D$5:D216)="mapped")*(TRIM($C$5:C216)=TRIM(C216)))=1,ROW(),""),"")</f>
        <v/>
      </c>
    </row>
    <row r="217">
      <c r="A217" s="8" t="n"/>
      <c r="B217" s="8" t="n"/>
      <c r="C217" s="8" t="n"/>
      <c r="D217" s="8" t="n"/>
      <c r="E217" s="8" t="n"/>
      <c r="F217" s="6">
        <f>IF(B217="","",TRIM(A217)&amp;"||"&amp;TRIM(B217))</f>
        <v/>
      </c>
      <c r="G217" s="6">
        <f>IF(B217="","",IF(OR(AND(LOWER(D217)="mapped",TRIM(C217)&lt;&gt;""),AND(LOWER(D217)="ignored",TRIM(E217)&lt;&gt;"")),1,0))</f>
        <v/>
      </c>
      <c r="H217" s="6">
        <f>IF(AND(TRIM(A217)=Setup!$B$4,LOWER(D217)="mapped",TRIM(C217)&lt;&gt;""),IF(SUMPRODUCT((TRIM($A$5:A217)=Setup!$B$4)*(LOWER($D$5:D217)="mapped")*(TRIM($C$5:C217)=TRIM(C217)))=1,ROW(),""),"")</f>
        <v/>
      </c>
    </row>
    <row r="218">
      <c r="A218" s="8" t="n"/>
      <c r="B218" s="8" t="n"/>
      <c r="C218" s="8" t="n"/>
      <c r="D218" s="8" t="n"/>
      <c r="E218" s="8" t="n"/>
      <c r="F218" s="6">
        <f>IF(B218="","",TRIM(A218)&amp;"||"&amp;TRIM(B218))</f>
        <v/>
      </c>
      <c r="G218" s="6">
        <f>IF(B218="","",IF(OR(AND(LOWER(D218)="mapped",TRIM(C218)&lt;&gt;""),AND(LOWER(D218)="ignored",TRIM(E218)&lt;&gt;"")),1,0))</f>
        <v/>
      </c>
      <c r="H218" s="6">
        <f>IF(AND(TRIM(A218)=Setup!$B$4,LOWER(D218)="mapped",TRIM(C218)&lt;&gt;""),IF(SUMPRODUCT((TRIM($A$5:A218)=Setup!$B$4)*(LOWER($D$5:D218)="mapped")*(TRIM($C$5:C218)=TRIM(C218)))=1,ROW(),""),"")</f>
        <v/>
      </c>
    </row>
    <row r="219">
      <c r="A219" s="8" t="n"/>
      <c r="B219" s="8" t="n"/>
      <c r="C219" s="8" t="n"/>
      <c r="D219" s="8" t="n"/>
      <c r="E219" s="8" t="n"/>
      <c r="F219" s="6">
        <f>IF(B219="","",TRIM(A219)&amp;"||"&amp;TRIM(B219))</f>
        <v/>
      </c>
      <c r="G219" s="6">
        <f>IF(B219="","",IF(OR(AND(LOWER(D219)="mapped",TRIM(C219)&lt;&gt;""),AND(LOWER(D219)="ignored",TRIM(E219)&lt;&gt;"")),1,0))</f>
        <v/>
      </c>
      <c r="H219" s="6">
        <f>IF(AND(TRIM(A219)=Setup!$B$4,LOWER(D219)="mapped",TRIM(C219)&lt;&gt;""),IF(SUMPRODUCT((TRIM($A$5:A219)=Setup!$B$4)*(LOWER($D$5:D219)="mapped")*(TRIM($C$5:C219)=TRIM(C219)))=1,ROW(),""),"")</f>
        <v/>
      </c>
    </row>
    <row r="220">
      <c r="A220" s="8" t="n"/>
      <c r="B220" s="8" t="n"/>
      <c r="C220" s="8" t="n"/>
      <c r="D220" s="8" t="n"/>
      <c r="E220" s="8" t="n"/>
      <c r="F220" s="6">
        <f>IF(B220="","",TRIM(A220)&amp;"||"&amp;TRIM(B220))</f>
        <v/>
      </c>
      <c r="G220" s="6">
        <f>IF(B220="","",IF(OR(AND(LOWER(D220)="mapped",TRIM(C220)&lt;&gt;""),AND(LOWER(D220)="ignored",TRIM(E220)&lt;&gt;"")),1,0))</f>
        <v/>
      </c>
      <c r="H220" s="6">
        <f>IF(AND(TRIM(A220)=Setup!$B$4,LOWER(D220)="mapped",TRIM(C220)&lt;&gt;""),IF(SUMPRODUCT((TRIM($A$5:A220)=Setup!$B$4)*(LOWER($D$5:D220)="mapped")*(TRIM($C$5:C220)=TRIM(C220)))=1,ROW(),""),"")</f>
        <v/>
      </c>
    </row>
    <row r="221">
      <c r="A221" s="8" t="n"/>
      <c r="B221" s="8" t="n"/>
      <c r="C221" s="8" t="n"/>
      <c r="D221" s="8" t="n"/>
      <c r="E221" s="8" t="n"/>
      <c r="F221" s="6">
        <f>IF(B221="","",TRIM(A221)&amp;"||"&amp;TRIM(B221))</f>
        <v/>
      </c>
      <c r="G221" s="6">
        <f>IF(B221="","",IF(OR(AND(LOWER(D221)="mapped",TRIM(C221)&lt;&gt;""),AND(LOWER(D221)="ignored",TRIM(E221)&lt;&gt;"")),1,0))</f>
        <v/>
      </c>
      <c r="H221" s="6">
        <f>IF(AND(TRIM(A221)=Setup!$B$4,LOWER(D221)="mapped",TRIM(C221)&lt;&gt;""),IF(SUMPRODUCT((TRIM($A$5:A221)=Setup!$B$4)*(LOWER($D$5:D221)="mapped")*(TRIM($C$5:C221)=TRIM(C221)))=1,ROW(),""),"")</f>
        <v/>
      </c>
    </row>
    <row r="222">
      <c r="A222" s="8" t="n"/>
      <c r="B222" s="8" t="n"/>
      <c r="C222" s="8" t="n"/>
      <c r="D222" s="8" t="n"/>
      <c r="E222" s="8" t="n"/>
      <c r="F222" s="6">
        <f>IF(B222="","",TRIM(A222)&amp;"||"&amp;TRIM(B222))</f>
        <v/>
      </c>
      <c r="G222" s="6">
        <f>IF(B222="","",IF(OR(AND(LOWER(D222)="mapped",TRIM(C222)&lt;&gt;""),AND(LOWER(D222)="ignored",TRIM(E222)&lt;&gt;"")),1,0))</f>
        <v/>
      </c>
      <c r="H222" s="6">
        <f>IF(AND(TRIM(A222)=Setup!$B$4,LOWER(D222)="mapped",TRIM(C222)&lt;&gt;""),IF(SUMPRODUCT((TRIM($A$5:A222)=Setup!$B$4)*(LOWER($D$5:D222)="mapped")*(TRIM($C$5:C222)=TRIM(C222)))=1,ROW(),""),"")</f>
        <v/>
      </c>
    </row>
    <row r="223">
      <c r="A223" s="8" t="n"/>
      <c r="B223" s="8" t="n"/>
      <c r="C223" s="8" t="n"/>
      <c r="D223" s="8" t="n"/>
      <c r="E223" s="8" t="n"/>
      <c r="F223" s="6">
        <f>IF(B223="","",TRIM(A223)&amp;"||"&amp;TRIM(B223))</f>
        <v/>
      </c>
      <c r="G223" s="6">
        <f>IF(B223="","",IF(OR(AND(LOWER(D223)="mapped",TRIM(C223)&lt;&gt;""),AND(LOWER(D223)="ignored",TRIM(E223)&lt;&gt;"")),1,0))</f>
        <v/>
      </c>
      <c r="H223" s="6">
        <f>IF(AND(TRIM(A223)=Setup!$B$4,LOWER(D223)="mapped",TRIM(C223)&lt;&gt;""),IF(SUMPRODUCT((TRIM($A$5:A223)=Setup!$B$4)*(LOWER($D$5:D223)="mapped")*(TRIM($C$5:C223)=TRIM(C223)))=1,ROW(),""),"")</f>
        <v/>
      </c>
    </row>
    <row r="224">
      <c r="A224" s="8" t="n"/>
      <c r="B224" s="8" t="n"/>
      <c r="C224" s="8" t="n"/>
      <c r="D224" s="8" t="n"/>
      <c r="E224" s="8" t="n"/>
      <c r="F224" s="6">
        <f>IF(B224="","",TRIM(A224)&amp;"||"&amp;TRIM(B224))</f>
        <v/>
      </c>
      <c r="G224" s="6">
        <f>IF(B224="","",IF(OR(AND(LOWER(D224)="mapped",TRIM(C224)&lt;&gt;""),AND(LOWER(D224)="ignored",TRIM(E224)&lt;&gt;"")),1,0))</f>
        <v/>
      </c>
      <c r="H224" s="6">
        <f>IF(AND(TRIM(A224)=Setup!$B$4,LOWER(D224)="mapped",TRIM(C224)&lt;&gt;""),IF(SUMPRODUCT((TRIM($A$5:A224)=Setup!$B$4)*(LOWER($D$5:D224)="mapped")*(TRIM($C$5:C224)=TRIM(C224)))=1,ROW(),""),"")</f>
        <v/>
      </c>
    </row>
    <row r="225">
      <c r="A225" s="8" t="n"/>
      <c r="B225" s="8" t="n"/>
      <c r="C225" s="8" t="n"/>
      <c r="D225" s="8" t="n"/>
      <c r="E225" s="8" t="n"/>
      <c r="F225" s="6">
        <f>IF(B225="","",TRIM(A225)&amp;"||"&amp;TRIM(B225))</f>
        <v/>
      </c>
      <c r="G225" s="6">
        <f>IF(B225="","",IF(OR(AND(LOWER(D225)="mapped",TRIM(C225)&lt;&gt;""),AND(LOWER(D225)="ignored",TRIM(E225)&lt;&gt;"")),1,0))</f>
        <v/>
      </c>
      <c r="H225" s="6">
        <f>IF(AND(TRIM(A225)=Setup!$B$4,LOWER(D225)="mapped",TRIM(C225)&lt;&gt;""),IF(SUMPRODUCT((TRIM($A$5:A225)=Setup!$B$4)*(LOWER($D$5:D225)="mapped")*(TRIM($C$5:C225)=TRIM(C225)))=1,ROW(),""),"")</f>
        <v/>
      </c>
    </row>
    <row r="226">
      <c r="A226" s="8" t="n"/>
      <c r="B226" s="8" t="n"/>
      <c r="C226" s="8" t="n"/>
      <c r="D226" s="8" t="n"/>
      <c r="E226" s="8" t="n"/>
      <c r="F226" s="6">
        <f>IF(B226="","",TRIM(A226)&amp;"||"&amp;TRIM(B226))</f>
        <v/>
      </c>
      <c r="G226" s="6">
        <f>IF(B226="","",IF(OR(AND(LOWER(D226)="mapped",TRIM(C226)&lt;&gt;""),AND(LOWER(D226)="ignored",TRIM(E226)&lt;&gt;"")),1,0))</f>
        <v/>
      </c>
      <c r="H226" s="6">
        <f>IF(AND(TRIM(A226)=Setup!$B$4,LOWER(D226)="mapped",TRIM(C226)&lt;&gt;""),IF(SUMPRODUCT((TRIM($A$5:A226)=Setup!$B$4)*(LOWER($D$5:D226)="mapped")*(TRIM($C$5:C226)=TRIM(C226)))=1,ROW(),""),"")</f>
        <v/>
      </c>
    </row>
    <row r="227">
      <c r="A227" s="8" t="n"/>
      <c r="B227" s="8" t="n"/>
      <c r="C227" s="8" t="n"/>
      <c r="D227" s="8" t="n"/>
      <c r="E227" s="8" t="n"/>
      <c r="F227" s="6">
        <f>IF(B227="","",TRIM(A227)&amp;"||"&amp;TRIM(B227))</f>
        <v/>
      </c>
      <c r="G227" s="6">
        <f>IF(B227="","",IF(OR(AND(LOWER(D227)="mapped",TRIM(C227)&lt;&gt;""),AND(LOWER(D227)="ignored",TRIM(E227)&lt;&gt;"")),1,0))</f>
        <v/>
      </c>
      <c r="H227" s="6">
        <f>IF(AND(TRIM(A227)=Setup!$B$4,LOWER(D227)="mapped",TRIM(C227)&lt;&gt;""),IF(SUMPRODUCT((TRIM($A$5:A227)=Setup!$B$4)*(LOWER($D$5:D227)="mapped")*(TRIM($C$5:C227)=TRIM(C227)))=1,ROW(),""),"")</f>
        <v/>
      </c>
    </row>
    <row r="228">
      <c r="A228" s="8" t="n"/>
      <c r="B228" s="8" t="n"/>
      <c r="C228" s="8" t="n"/>
      <c r="D228" s="8" t="n"/>
      <c r="E228" s="8" t="n"/>
      <c r="F228" s="6">
        <f>IF(B228="","",TRIM(A228)&amp;"||"&amp;TRIM(B228))</f>
        <v/>
      </c>
      <c r="G228" s="6">
        <f>IF(B228="","",IF(OR(AND(LOWER(D228)="mapped",TRIM(C228)&lt;&gt;""),AND(LOWER(D228)="ignored",TRIM(E228)&lt;&gt;"")),1,0))</f>
        <v/>
      </c>
      <c r="H228" s="6">
        <f>IF(AND(TRIM(A228)=Setup!$B$4,LOWER(D228)="mapped",TRIM(C228)&lt;&gt;""),IF(SUMPRODUCT((TRIM($A$5:A228)=Setup!$B$4)*(LOWER($D$5:D228)="mapped")*(TRIM($C$5:C228)=TRIM(C228)))=1,ROW(),""),"")</f>
        <v/>
      </c>
    </row>
    <row r="229">
      <c r="A229" s="8" t="n"/>
      <c r="B229" s="8" t="n"/>
      <c r="C229" s="8" t="n"/>
      <c r="D229" s="8" t="n"/>
      <c r="E229" s="8" t="n"/>
      <c r="F229" s="6">
        <f>IF(B229="","",TRIM(A229)&amp;"||"&amp;TRIM(B229))</f>
        <v/>
      </c>
      <c r="G229" s="6">
        <f>IF(B229="","",IF(OR(AND(LOWER(D229)="mapped",TRIM(C229)&lt;&gt;""),AND(LOWER(D229)="ignored",TRIM(E229)&lt;&gt;"")),1,0))</f>
        <v/>
      </c>
      <c r="H229" s="6">
        <f>IF(AND(TRIM(A229)=Setup!$B$4,LOWER(D229)="mapped",TRIM(C229)&lt;&gt;""),IF(SUMPRODUCT((TRIM($A$5:A229)=Setup!$B$4)*(LOWER($D$5:D229)="mapped")*(TRIM($C$5:C229)=TRIM(C229)))=1,ROW(),""),"")</f>
        <v/>
      </c>
    </row>
    <row r="230">
      <c r="A230" s="8" t="n"/>
      <c r="B230" s="8" t="n"/>
      <c r="C230" s="8" t="n"/>
      <c r="D230" s="8" t="n"/>
      <c r="E230" s="8" t="n"/>
      <c r="F230" s="6">
        <f>IF(B230="","",TRIM(A230)&amp;"||"&amp;TRIM(B230))</f>
        <v/>
      </c>
      <c r="G230" s="6">
        <f>IF(B230="","",IF(OR(AND(LOWER(D230)="mapped",TRIM(C230)&lt;&gt;""),AND(LOWER(D230)="ignored",TRIM(E230)&lt;&gt;"")),1,0))</f>
        <v/>
      </c>
      <c r="H230" s="6">
        <f>IF(AND(TRIM(A230)=Setup!$B$4,LOWER(D230)="mapped",TRIM(C230)&lt;&gt;""),IF(SUMPRODUCT((TRIM($A$5:A230)=Setup!$B$4)*(LOWER($D$5:D230)="mapped")*(TRIM($C$5:C230)=TRIM(C230)))=1,ROW(),""),"")</f>
        <v/>
      </c>
    </row>
    <row r="231">
      <c r="A231" s="8" t="n"/>
      <c r="B231" s="8" t="n"/>
      <c r="C231" s="8" t="n"/>
      <c r="D231" s="8" t="n"/>
      <c r="E231" s="8" t="n"/>
      <c r="F231" s="6">
        <f>IF(B231="","",TRIM(A231)&amp;"||"&amp;TRIM(B231))</f>
        <v/>
      </c>
      <c r="G231" s="6">
        <f>IF(B231="","",IF(OR(AND(LOWER(D231)="mapped",TRIM(C231)&lt;&gt;""),AND(LOWER(D231)="ignored",TRIM(E231)&lt;&gt;"")),1,0))</f>
        <v/>
      </c>
      <c r="H231" s="6">
        <f>IF(AND(TRIM(A231)=Setup!$B$4,LOWER(D231)="mapped",TRIM(C231)&lt;&gt;""),IF(SUMPRODUCT((TRIM($A$5:A231)=Setup!$B$4)*(LOWER($D$5:D231)="mapped")*(TRIM($C$5:C231)=TRIM(C231)))=1,ROW(),""),"")</f>
        <v/>
      </c>
    </row>
    <row r="232">
      <c r="A232" s="8" t="n"/>
      <c r="B232" s="8" t="n"/>
      <c r="C232" s="8" t="n"/>
      <c r="D232" s="8" t="n"/>
      <c r="E232" s="8" t="n"/>
      <c r="F232" s="6">
        <f>IF(B232="","",TRIM(A232)&amp;"||"&amp;TRIM(B232))</f>
        <v/>
      </c>
      <c r="G232" s="6">
        <f>IF(B232="","",IF(OR(AND(LOWER(D232)="mapped",TRIM(C232)&lt;&gt;""),AND(LOWER(D232)="ignored",TRIM(E232)&lt;&gt;"")),1,0))</f>
        <v/>
      </c>
      <c r="H232" s="6">
        <f>IF(AND(TRIM(A232)=Setup!$B$4,LOWER(D232)="mapped",TRIM(C232)&lt;&gt;""),IF(SUMPRODUCT((TRIM($A$5:A232)=Setup!$B$4)*(LOWER($D$5:D232)="mapped")*(TRIM($C$5:C232)=TRIM(C232)))=1,ROW(),""),"")</f>
        <v/>
      </c>
    </row>
    <row r="233">
      <c r="A233" s="8" t="n"/>
      <c r="B233" s="8" t="n"/>
      <c r="C233" s="8" t="n"/>
      <c r="D233" s="8" t="n"/>
      <c r="E233" s="8" t="n"/>
      <c r="F233" s="6">
        <f>IF(B233="","",TRIM(A233)&amp;"||"&amp;TRIM(B233))</f>
        <v/>
      </c>
      <c r="G233" s="6">
        <f>IF(B233="","",IF(OR(AND(LOWER(D233)="mapped",TRIM(C233)&lt;&gt;""),AND(LOWER(D233)="ignored",TRIM(E233)&lt;&gt;"")),1,0))</f>
        <v/>
      </c>
      <c r="H233" s="6">
        <f>IF(AND(TRIM(A233)=Setup!$B$4,LOWER(D233)="mapped",TRIM(C233)&lt;&gt;""),IF(SUMPRODUCT((TRIM($A$5:A233)=Setup!$B$4)*(LOWER($D$5:D233)="mapped")*(TRIM($C$5:C233)=TRIM(C233)))=1,ROW(),""),"")</f>
        <v/>
      </c>
    </row>
    <row r="234">
      <c r="A234" s="8" t="n"/>
      <c r="B234" s="8" t="n"/>
      <c r="C234" s="8" t="n"/>
      <c r="D234" s="8" t="n"/>
      <c r="E234" s="8" t="n"/>
      <c r="F234" s="6">
        <f>IF(B234="","",TRIM(A234)&amp;"||"&amp;TRIM(B234))</f>
        <v/>
      </c>
      <c r="G234" s="6">
        <f>IF(B234="","",IF(OR(AND(LOWER(D234)="mapped",TRIM(C234)&lt;&gt;""),AND(LOWER(D234)="ignored",TRIM(E234)&lt;&gt;"")),1,0))</f>
        <v/>
      </c>
      <c r="H234" s="6">
        <f>IF(AND(TRIM(A234)=Setup!$B$4,LOWER(D234)="mapped",TRIM(C234)&lt;&gt;""),IF(SUMPRODUCT((TRIM($A$5:A234)=Setup!$B$4)*(LOWER($D$5:D234)="mapped")*(TRIM($C$5:C234)=TRIM(C234)))=1,ROW(),""),"")</f>
        <v/>
      </c>
    </row>
    <row r="235">
      <c r="A235" s="8" t="n"/>
      <c r="B235" s="8" t="n"/>
      <c r="C235" s="8" t="n"/>
      <c r="D235" s="8" t="n"/>
      <c r="E235" s="8" t="n"/>
      <c r="F235" s="6">
        <f>IF(B235="","",TRIM(A235)&amp;"||"&amp;TRIM(B235))</f>
        <v/>
      </c>
      <c r="G235" s="6">
        <f>IF(B235="","",IF(OR(AND(LOWER(D235)="mapped",TRIM(C235)&lt;&gt;""),AND(LOWER(D235)="ignored",TRIM(E235)&lt;&gt;"")),1,0))</f>
        <v/>
      </c>
      <c r="H235" s="6">
        <f>IF(AND(TRIM(A235)=Setup!$B$4,LOWER(D235)="mapped",TRIM(C235)&lt;&gt;""),IF(SUMPRODUCT((TRIM($A$5:A235)=Setup!$B$4)*(LOWER($D$5:D235)="mapped")*(TRIM($C$5:C235)=TRIM(C235)))=1,ROW(),""),"")</f>
        <v/>
      </c>
    </row>
    <row r="236">
      <c r="A236" s="8" t="n"/>
      <c r="B236" s="8" t="n"/>
      <c r="C236" s="8" t="n"/>
      <c r="D236" s="8" t="n"/>
      <c r="E236" s="8" t="n"/>
      <c r="F236" s="6">
        <f>IF(B236="","",TRIM(A236)&amp;"||"&amp;TRIM(B236))</f>
        <v/>
      </c>
      <c r="G236" s="6">
        <f>IF(B236="","",IF(OR(AND(LOWER(D236)="mapped",TRIM(C236)&lt;&gt;""),AND(LOWER(D236)="ignored",TRIM(E236)&lt;&gt;"")),1,0))</f>
        <v/>
      </c>
      <c r="H236" s="6">
        <f>IF(AND(TRIM(A236)=Setup!$B$4,LOWER(D236)="mapped",TRIM(C236)&lt;&gt;""),IF(SUMPRODUCT((TRIM($A$5:A236)=Setup!$B$4)*(LOWER($D$5:D236)="mapped")*(TRIM($C$5:C236)=TRIM(C236)))=1,ROW(),""),"")</f>
        <v/>
      </c>
    </row>
    <row r="237">
      <c r="A237" s="8" t="n"/>
      <c r="B237" s="8" t="n"/>
      <c r="C237" s="8" t="n"/>
      <c r="D237" s="8" t="n"/>
      <c r="E237" s="8" t="n"/>
      <c r="F237" s="6">
        <f>IF(B237="","",TRIM(A237)&amp;"||"&amp;TRIM(B237))</f>
        <v/>
      </c>
      <c r="G237" s="6">
        <f>IF(B237="","",IF(OR(AND(LOWER(D237)="mapped",TRIM(C237)&lt;&gt;""),AND(LOWER(D237)="ignored",TRIM(E237)&lt;&gt;"")),1,0))</f>
        <v/>
      </c>
      <c r="H237" s="6">
        <f>IF(AND(TRIM(A237)=Setup!$B$4,LOWER(D237)="mapped",TRIM(C237)&lt;&gt;""),IF(SUMPRODUCT((TRIM($A$5:A237)=Setup!$B$4)*(LOWER($D$5:D237)="mapped")*(TRIM($C$5:C237)=TRIM(C237)))=1,ROW(),""),"")</f>
        <v/>
      </c>
    </row>
    <row r="238">
      <c r="A238" s="8" t="n"/>
      <c r="B238" s="8" t="n"/>
      <c r="C238" s="8" t="n"/>
      <c r="D238" s="8" t="n"/>
      <c r="E238" s="8" t="n"/>
      <c r="F238" s="6">
        <f>IF(B238="","",TRIM(A238)&amp;"||"&amp;TRIM(B238))</f>
        <v/>
      </c>
      <c r="G238" s="6">
        <f>IF(B238="","",IF(OR(AND(LOWER(D238)="mapped",TRIM(C238)&lt;&gt;""),AND(LOWER(D238)="ignored",TRIM(E238)&lt;&gt;"")),1,0))</f>
        <v/>
      </c>
      <c r="H238" s="6">
        <f>IF(AND(TRIM(A238)=Setup!$B$4,LOWER(D238)="mapped",TRIM(C238)&lt;&gt;""),IF(SUMPRODUCT((TRIM($A$5:A238)=Setup!$B$4)*(LOWER($D$5:D238)="mapped")*(TRIM($C$5:C238)=TRIM(C238)))=1,ROW(),""),"")</f>
        <v/>
      </c>
    </row>
    <row r="239">
      <c r="A239" s="8" t="n"/>
      <c r="B239" s="8" t="n"/>
      <c r="C239" s="8" t="n"/>
      <c r="D239" s="8" t="n"/>
      <c r="E239" s="8" t="n"/>
      <c r="F239" s="6">
        <f>IF(B239="","",TRIM(A239)&amp;"||"&amp;TRIM(B239))</f>
        <v/>
      </c>
      <c r="G239" s="6">
        <f>IF(B239="","",IF(OR(AND(LOWER(D239)="mapped",TRIM(C239)&lt;&gt;""),AND(LOWER(D239)="ignored",TRIM(E239)&lt;&gt;"")),1,0))</f>
        <v/>
      </c>
      <c r="H239" s="6">
        <f>IF(AND(TRIM(A239)=Setup!$B$4,LOWER(D239)="mapped",TRIM(C239)&lt;&gt;""),IF(SUMPRODUCT((TRIM($A$5:A239)=Setup!$B$4)*(LOWER($D$5:D239)="mapped")*(TRIM($C$5:C239)=TRIM(C239)))=1,ROW(),""),"")</f>
        <v/>
      </c>
    </row>
    <row r="240">
      <c r="A240" s="8" t="n"/>
      <c r="B240" s="8" t="n"/>
      <c r="C240" s="8" t="n"/>
      <c r="D240" s="8" t="n"/>
      <c r="E240" s="8" t="n"/>
      <c r="F240" s="6">
        <f>IF(B240="","",TRIM(A240)&amp;"||"&amp;TRIM(B240))</f>
        <v/>
      </c>
      <c r="G240" s="6">
        <f>IF(B240="","",IF(OR(AND(LOWER(D240)="mapped",TRIM(C240)&lt;&gt;""),AND(LOWER(D240)="ignored",TRIM(E240)&lt;&gt;"")),1,0))</f>
        <v/>
      </c>
      <c r="H240" s="6">
        <f>IF(AND(TRIM(A240)=Setup!$B$4,LOWER(D240)="mapped",TRIM(C240)&lt;&gt;""),IF(SUMPRODUCT((TRIM($A$5:A240)=Setup!$B$4)*(LOWER($D$5:D240)="mapped")*(TRIM($C$5:C240)=TRIM(C240)))=1,ROW(),""),"")</f>
        <v/>
      </c>
    </row>
    <row r="241">
      <c r="A241" s="8" t="n"/>
      <c r="B241" s="8" t="n"/>
      <c r="C241" s="8" t="n"/>
      <c r="D241" s="8" t="n"/>
      <c r="E241" s="8" t="n"/>
      <c r="F241" s="6">
        <f>IF(B241="","",TRIM(A241)&amp;"||"&amp;TRIM(B241))</f>
        <v/>
      </c>
      <c r="G241" s="6">
        <f>IF(B241="","",IF(OR(AND(LOWER(D241)="mapped",TRIM(C241)&lt;&gt;""),AND(LOWER(D241)="ignored",TRIM(E241)&lt;&gt;"")),1,0))</f>
        <v/>
      </c>
      <c r="H241" s="6">
        <f>IF(AND(TRIM(A241)=Setup!$B$4,LOWER(D241)="mapped",TRIM(C241)&lt;&gt;""),IF(SUMPRODUCT((TRIM($A$5:A241)=Setup!$B$4)*(LOWER($D$5:D241)="mapped")*(TRIM($C$5:C241)=TRIM(C241)))=1,ROW(),""),"")</f>
        <v/>
      </c>
    </row>
    <row r="242">
      <c r="A242" s="8" t="n"/>
      <c r="B242" s="8" t="n"/>
      <c r="C242" s="8" t="n"/>
      <c r="D242" s="8" t="n"/>
      <c r="E242" s="8" t="n"/>
      <c r="F242" s="6">
        <f>IF(B242="","",TRIM(A242)&amp;"||"&amp;TRIM(B242))</f>
        <v/>
      </c>
      <c r="G242" s="6">
        <f>IF(B242="","",IF(OR(AND(LOWER(D242)="mapped",TRIM(C242)&lt;&gt;""),AND(LOWER(D242)="ignored",TRIM(E242)&lt;&gt;"")),1,0))</f>
        <v/>
      </c>
      <c r="H242" s="6">
        <f>IF(AND(TRIM(A242)=Setup!$B$4,LOWER(D242)="mapped",TRIM(C242)&lt;&gt;""),IF(SUMPRODUCT((TRIM($A$5:A242)=Setup!$B$4)*(LOWER($D$5:D242)="mapped")*(TRIM($C$5:C242)=TRIM(C242)))=1,ROW(),""),"")</f>
        <v/>
      </c>
    </row>
    <row r="243">
      <c r="A243" s="8" t="n"/>
      <c r="B243" s="8" t="n"/>
      <c r="C243" s="8" t="n"/>
      <c r="D243" s="8" t="n"/>
      <c r="E243" s="8" t="n"/>
      <c r="F243" s="6">
        <f>IF(B243="","",TRIM(A243)&amp;"||"&amp;TRIM(B243))</f>
        <v/>
      </c>
      <c r="G243" s="6">
        <f>IF(B243="","",IF(OR(AND(LOWER(D243)="mapped",TRIM(C243)&lt;&gt;""),AND(LOWER(D243)="ignored",TRIM(E243)&lt;&gt;"")),1,0))</f>
        <v/>
      </c>
      <c r="H243" s="6">
        <f>IF(AND(TRIM(A243)=Setup!$B$4,LOWER(D243)="mapped",TRIM(C243)&lt;&gt;""),IF(SUMPRODUCT((TRIM($A$5:A243)=Setup!$B$4)*(LOWER($D$5:D243)="mapped")*(TRIM($C$5:C243)=TRIM(C243)))=1,ROW(),""),"")</f>
        <v/>
      </c>
    </row>
    <row r="244">
      <c r="A244" s="8" t="n"/>
      <c r="B244" s="8" t="n"/>
      <c r="C244" s="8" t="n"/>
      <c r="D244" s="8" t="n"/>
      <c r="E244" s="8" t="n"/>
      <c r="F244" s="6">
        <f>IF(B244="","",TRIM(A244)&amp;"||"&amp;TRIM(B244))</f>
        <v/>
      </c>
      <c r="G244" s="6">
        <f>IF(B244="","",IF(OR(AND(LOWER(D244)="mapped",TRIM(C244)&lt;&gt;""),AND(LOWER(D244)="ignored",TRIM(E244)&lt;&gt;"")),1,0))</f>
        <v/>
      </c>
      <c r="H244" s="6">
        <f>IF(AND(TRIM(A244)=Setup!$B$4,LOWER(D244)="mapped",TRIM(C244)&lt;&gt;""),IF(SUMPRODUCT((TRIM($A$5:A244)=Setup!$B$4)*(LOWER($D$5:D244)="mapped")*(TRIM($C$5:C244)=TRIM(C244)))=1,ROW(),""),"")</f>
        <v/>
      </c>
    </row>
    <row r="245">
      <c r="A245" s="8" t="n"/>
      <c r="B245" s="8" t="n"/>
      <c r="C245" s="8" t="n"/>
      <c r="D245" s="8" t="n"/>
      <c r="E245" s="8" t="n"/>
      <c r="F245" s="6">
        <f>IF(B245="","",TRIM(A245)&amp;"||"&amp;TRIM(B245))</f>
        <v/>
      </c>
      <c r="G245" s="6">
        <f>IF(B245="","",IF(OR(AND(LOWER(D245)="mapped",TRIM(C245)&lt;&gt;""),AND(LOWER(D245)="ignored",TRIM(E245)&lt;&gt;"")),1,0))</f>
        <v/>
      </c>
      <c r="H245" s="6">
        <f>IF(AND(TRIM(A245)=Setup!$B$4,LOWER(D245)="mapped",TRIM(C245)&lt;&gt;""),IF(SUMPRODUCT((TRIM($A$5:A245)=Setup!$B$4)*(LOWER($D$5:D245)="mapped")*(TRIM($C$5:C245)=TRIM(C245)))=1,ROW(),""),"")</f>
        <v/>
      </c>
    </row>
    <row r="246">
      <c r="A246" s="8" t="n"/>
      <c r="B246" s="8" t="n"/>
      <c r="C246" s="8" t="n"/>
      <c r="D246" s="8" t="n"/>
      <c r="E246" s="8" t="n"/>
      <c r="F246" s="6">
        <f>IF(B246="","",TRIM(A246)&amp;"||"&amp;TRIM(B246))</f>
        <v/>
      </c>
      <c r="G246" s="6">
        <f>IF(B246="","",IF(OR(AND(LOWER(D246)="mapped",TRIM(C246)&lt;&gt;""),AND(LOWER(D246)="ignored",TRIM(E246)&lt;&gt;"")),1,0))</f>
        <v/>
      </c>
      <c r="H246" s="6">
        <f>IF(AND(TRIM(A246)=Setup!$B$4,LOWER(D246)="mapped",TRIM(C246)&lt;&gt;""),IF(SUMPRODUCT((TRIM($A$5:A246)=Setup!$B$4)*(LOWER($D$5:D246)="mapped")*(TRIM($C$5:C246)=TRIM(C246)))=1,ROW(),""),"")</f>
        <v/>
      </c>
    </row>
    <row r="247">
      <c r="A247" s="8" t="n"/>
      <c r="B247" s="8" t="n"/>
      <c r="C247" s="8" t="n"/>
      <c r="D247" s="8" t="n"/>
      <c r="E247" s="8" t="n"/>
      <c r="F247" s="6">
        <f>IF(B247="","",TRIM(A247)&amp;"||"&amp;TRIM(B247))</f>
        <v/>
      </c>
      <c r="G247" s="6">
        <f>IF(B247="","",IF(OR(AND(LOWER(D247)="mapped",TRIM(C247)&lt;&gt;""),AND(LOWER(D247)="ignored",TRIM(E247)&lt;&gt;"")),1,0))</f>
        <v/>
      </c>
      <c r="H247" s="6">
        <f>IF(AND(TRIM(A247)=Setup!$B$4,LOWER(D247)="mapped",TRIM(C247)&lt;&gt;""),IF(SUMPRODUCT((TRIM($A$5:A247)=Setup!$B$4)*(LOWER($D$5:D247)="mapped")*(TRIM($C$5:C247)=TRIM(C247)))=1,ROW(),""),"")</f>
        <v/>
      </c>
    </row>
    <row r="248">
      <c r="A248" s="8" t="n"/>
      <c r="B248" s="8" t="n"/>
      <c r="C248" s="8" t="n"/>
      <c r="D248" s="8" t="n"/>
      <c r="E248" s="8" t="n"/>
      <c r="F248" s="6">
        <f>IF(B248="","",TRIM(A248)&amp;"||"&amp;TRIM(B248))</f>
        <v/>
      </c>
      <c r="G248" s="6">
        <f>IF(B248="","",IF(OR(AND(LOWER(D248)="mapped",TRIM(C248)&lt;&gt;""),AND(LOWER(D248)="ignored",TRIM(E248)&lt;&gt;"")),1,0))</f>
        <v/>
      </c>
      <c r="H248" s="6">
        <f>IF(AND(TRIM(A248)=Setup!$B$4,LOWER(D248)="mapped",TRIM(C248)&lt;&gt;""),IF(SUMPRODUCT((TRIM($A$5:A248)=Setup!$B$4)*(LOWER($D$5:D248)="mapped")*(TRIM($C$5:C248)=TRIM(C248)))=1,ROW(),""),"")</f>
        <v/>
      </c>
    </row>
    <row r="249">
      <c r="A249" s="8" t="n"/>
      <c r="B249" s="8" t="n"/>
      <c r="C249" s="8" t="n"/>
      <c r="D249" s="8" t="n"/>
      <c r="E249" s="8" t="n"/>
      <c r="F249" s="6">
        <f>IF(B249="","",TRIM(A249)&amp;"||"&amp;TRIM(B249))</f>
        <v/>
      </c>
      <c r="G249" s="6">
        <f>IF(B249="","",IF(OR(AND(LOWER(D249)="mapped",TRIM(C249)&lt;&gt;""),AND(LOWER(D249)="ignored",TRIM(E249)&lt;&gt;"")),1,0))</f>
        <v/>
      </c>
      <c r="H249" s="6">
        <f>IF(AND(TRIM(A249)=Setup!$B$4,LOWER(D249)="mapped",TRIM(C249)&lt;&gt;""),IF(SUMPRODUCT((TRIM($A$5:A249)=Setup!$B$4)*(LOWER($D$5:D249)="mapped")*(TRIM($C$5:C249)=TRIM(C249)))=1,ROW(),""),"")</f>
        <v/>
      </c>
    </row>
    <row r="250">
      <c r="A250" s="8" t="n"/>
      <c r="B250" s="8" t="n"/>
      <c r="C250" s="8" t="n"/>
      <c r="D250" s="8" t="n"/>
      <c r="E250" s="8" t="n"/>
      <c r="F250" s="6">
        <f>IF(B250="","",TRIM(A250)&amp;"||"&amp;TRIM(B250))</f>
        <v/>
      </c>
      <c r="G250" s="6">
        <f>IF(B250="","",IF(OR(AND(LOWER(D250)="mapped",TRIM(C250)&lt;&gt;""),AND(LOWER(D250)="ignored",TRIM(E250)&lt;&gt;"")),1,0))</f>
        <v/>
      </c>
      <c r="H250" s="6">
        <f>IF(AND(TRIM(A250)=Setup!$B$4,LOWER(D250)="mapped",TRIM(C250)&lt;&gt;""),IF(SUMPRODUCT((TRIM($A$5:A250)=Setup!$B$4)*(LOWER($D$5:D250)="mapped")*(TRIM($C$5:C250)=TRIM(C250)))=1,ROW(),""),"")</f>
        <v/>
      </c>
    </row>
    <row r="251">
      <c r="A251" s="8" t="n"/>
      <c r="B251" s="8" t="n"/>
      <c r="C251" s="8" t="n"/>
      <c r="D251" s="8" t="n"/>
      <c r="E251" s="8" t="n"/>
      <c r="F251" s="6">
        <f>IF(B251="","",TRIM(A251)&amp;"||"&amp;TRIM(B251))</f>
        <v/>
      </c>
      <c r="G251" s="6">
        <f>IF(B251="","",IF(OR(AND(LOWER(D251)="mapped",TRIM(C251)&lt;&gt;""),AND(LOWER(D251)="ignored",TRIM(E251)&lt;&gt;"")),1,0))</f>
        <v/>
      </c>
      <c r="H251" s="6">
        <f>IF(AND(TRIM(A251)=Setup!$B$4,LOWER(D251)="mapped",TRIM(C251)&lt;&gt;""),IF(SUMPRODUCT((TRIM($A$5:A251)=Setup!$B$4)*(LOWER($D$5:D251)="mapped")*(TRIM($C$5:C251)=TRIM(C251)))=1,ROW(),""),"")</f>
        <v/>
      </c>
    </row>
    <row r="252">
      <c r="A252" s="8" t="n"/>
      <c r="B252" s="8" t="n"/>
      <c r="C252" s="8" t="n"/>
      <c r="D252" s="8" t="n"/>
      <c r="E252" s="8" t="n"/>
      <c r="F252" s="6">
        <f>IF(B252="","",TRIM(A252)&amp;"||"&amp;TRIM(B252))</f>
        <v/>
      </c>
      <c r="G252" s="6">
        <f>IF(B252="","",IF(OR(AND(LOWER(D252)="mapped",TRIM(C252)&lt;&gt;""),AND(LOWER(D252)="ignored",TRIM(E252)&lt;&gt;"")),1,0))</f>
        <v/>
      </c>
      <c r="H252" s="6">
        <f>IF(AND(TRIM(A252)=Setup!$B$4,LOWER(D252)="mapped",TRIM(C252)&lt;&gt;""),IF(SUMPRODUCT((TRIM($A$5:A252)=Setup!$B$4)*(LOWER($D$5:D252)="mapped")*(TRIM($C$5:C252)=TRIM(C252)))=1,ROW(),""),"")</f>
        <v/>
      </c>
    </row>
    <row r="253">
      <c r="A253" s="8" t="n"/>
      <c r="B253" s="8" t="n"/>
      <c r="C253" s="8" t="n"/>
      <c r="D253" s="8" t="n"/>
      <c r="E253" s="8" t="n"/>
      <c r="F253" s="6">
        <f>IF(B253="","",TRIM(A253)&amp;"||"&amp;TRIM(B253))</f>
        <v/>
      </c>
      <c r="G253" s="6">
        <f>IF(B253="","",IF(OR(AND(LOWER(D253)="mapped",TRIM(C253)&lt;&gt;""),AND(LOWER(D253)="ignored",TRIM(E253)&lt;&gt;"")),1,0))</f>
        <v/>
      </c>
      <c r="H253" s="6">
        <f>IF(AND(TRIM(A253)=Setup!$B$4,LOWER(D253)="mapped",TRIM(C253)&lt;&gt;""),IF(SUMPRODUCT((TRIM($A$5:A253)=Setup!$B$4)*(LOWER($D$5:D253)="mapped")*(TRIM($C$5:C253)=TRIM(C253)))=1,ROW(),""),"")</f>
        <v/>
      </c>
    </row>
    <row r="254">
      <c r="A254" s="8" t="n"/>
      <c r="B254" s="8" t="n"/>
      <c r="C254" s="8" t="n"/>
      <c r="D254" s="8" t="n"/>
      <c r="E254" s="8" t="n"/>
      <c r="F254" s="6">
        <f>IF(B254="","",TRIM(A254)&amp;"||"&amp;TRIM(B254))</f>
        <v/>
      </c>
      <c r="G254" s="6">
        <f>IF(B254="","",IF(OR(AND(LOWER(D254)="mapped",TRIM(C254)&lt;&gt;""),AND(LOWER(D254)="ignored",TRIM(E254)&lt;&gt;"")),1,0))</f>
        <v/>
      </c>
      <c r="H254" s="6">
        <f>IF(AND(TRIM(A254)=Setup!$B$4,LOWER(D254)="mapped",TRIM(C254)&lt;&gt;""),IF(SUMPRODUCT((TRIM($A$5:A254)=Setup!$B$4)*(LOWER($D$5:D254)="mapped")*(TRIM($C$5:C254)=TRIM(C254)))=1,ROW(),""),"")</f>
        <v/>
      </c>
    </row>
    <row r="255">
      <c r="A255" s="8" t="n"/>
      <c r="B255" s="8" t="n"/>
      <c r="C255" s="8" t="n"/>
      <c r="D255" s="8" t="n"/>
      <c r="E255" s="8" t="n"/>
      <c r="F255" s="6">
        <f>IF(B255="","",TRIM(A255)&amp;"||"&amp;TRIM(B255))</f>
        <v/>
      </c>
      <c r="G255" s="6">
        <f>IF(B255="","",IF(OR(AND(LOWER(D255)="mapped",TRIM(C255)&lt;&gt;""),AND(LOWER(D255)="ignored",TRIM(E255)&lt;&gt;"")),1,0))</f>
        <v/>
      </c>
      <c r="H255" s="6">
        <f>IF(AND(TRIM(A255)=Setup!$B$4,LOWER(D255)="mapped",TRIM(C255)&lt;&gt;""),IF(SUMPRODUCT((TRIM($A$5:A255)=Setup!$B$4)*(LOWER($D$5:D255)="mapped")*(TRIM($C$5:C255)=TRIM(C255)))=1,ROW(),""),"")</f>
        <v/>
      </c>
    </row>
    <row r="256">
      <c r="A256" s="8" t="n"/>
      <c r="B256" s="8" t="n"/>
      <c r="C256" s="8" t="n"/>
      <c r="D256" s="8" t="n"/>
      <c r="E256" s="8" t="n"/>
      <c r="F256" s="6">
        <f>IF(B256="","",TRIM(A256)&amp;"||"&amp;TRIM(B256))</f>
        <v/>
      </c>
      <c r="G256" s="6">
        <f>IF(B256="","",IF(OR(AND(LOWER(D256)="mapped",TRIM(C256)&lt;&gt;""),AND(LOWER(D256)="ignored",TRIM(E256)&lt;&gt;"")),1,0))</f>
        <v/>
      </c>
      <c r="H256" s="6">
        <f>IF(AND(TRIM(A256)=Setup!$B$4,LOWER(D256)="mapped",TRIM(C256)&lt;&gt;""),IF(SUMPRODUCT((TRIM($A$5:A256)=Setup!$B$4)*(LOWER($D$5:D256)="mapped")*(TRIM($C$5:C256)=TRIM(C256)))=1,ROW(),""),"")</f>
        <v/>
      </c>
    </row>
    <row r="257">
      <c r="A257" s="8" t="n"/>
      <c r="B257" s="8" t="n"/>
      <c r="C257" s="8" t="n"/>
      <c r="D257" s="8" t="n"/>
      <c r="E257" s="8" t="n"/>
      <c r="F257" s="6">
        <f>IF(B257="","",TRIM(A257)&amp;"||"&amp;TRIM(B257))</f>
        <v/>
      </c>
      <c r="G257" s="6">
        <f>IF(B257="","",IF(OR(AND(LOWER(D257)="mapped",TRIM(C257)&lt;&gt;""),AND(LOWER(D257)="ignored",TRIM(E257)&lt;&gt;"")),1,0))</f>
        <v/>
      </c>
      <c r="H257" s="6">
        <f>IF(AND(TRIM(A257)=Setup!$B$4,LOWER(D257)="mapped",TRIM(C257)&lt;&gt;""),IF(SUMPRODUCT((TRIM($A$5:A257)=Setup!$B$4)*(LOWER($D$5:D257)="mapped")*(TRIM($C$5:C257)=TRIM(C257)))=1,ROW(),""),"")</f>
        <v/>
      </c>
    </row>
    <row r="258">
      <c r="A258" s="8" t="n"/>
      <c r="B258" s="8" t="n"/>
      <c r="C258" s="8" t="n"/>
      <c r="D258" s="8" t="n"/>
      <c r="E258" s="8" t="n"/>
      <c r="F258" s="6">
        <f>IF(B258="","",TRIM(A258)&amp;"||"&amp;TRIM(B258))</f>
        <v/>
      </c>
      <c r="G258" s="6">
        <f>IF(B258="","",IF(OR(AND(LOWER(D258)="mapped",TRIM(C258)&lt;&gt;""),AND(LOWER(D258)="ignored",TRIM(E258)&lt;&gt;"")),1,0))</f>
        <v/>
      </c>
      <c r="H258" s="6">
        <f>IF(AND(TRIM(A258)=Setup!$B$4,LOWER(D258)="mapped",TRIM(C258)&lt;&gt;""),IF(SUMPRODUCT((TRIM($A$5:A258)=Setup!$B$4)*(LOWER($D$5:D258)="mapped")*(TRIM($C$5:C258)=TRIM(C258)))=1,ROW(),""),"")</f>
        <v/>
      </c>
    </row>
    <row r="259">
      <c r="A259" s="8" t="n"/>
      <c r="B259" s="8" t="n"/>
      <c r="C259" s="8" t="n"/>
      <c r="D259" s="8" t="n"/>
      <c r="E259" s="8" t="n"/>
      <c r="F259" s="6">
        <f>IF(B259="","",TRIM(A259)&amp;"||"&amp;TRIM(B259))</f>
        <v/>
      </c>
      <c r="G259" s="6">
        <f>IF(B259="","",IF(OR(AND(LOWER(D259)="mapped",TRIM(C259)&lt;&gt;""),AND(LOWER(D259)="ignored",TRIM(E259)&lt;&gt;"")),1,0))</f>
        <v/>
      </c>
      <c r="H259" s="6">
        <f>IF(AND(TRIM(A259)=Setup!$B$4,LOWER(D259)="mapped",TRIM(C259)&lt;&gt;""),IF(SUMPRODUCT((TRIM($A$5:A259)=Setup!$B$4)*(LOWER($D$5:D259)="mapped")*(TRIM($C$5:C259)=TRIM(C259)))=1,ROW(),""),"")</f>
        <v/>
      </c>
    </row>
    <row r="260">
      <c r="A260" s="8" t="n"/>
      <c r="B260" s="8" t="n"/>
      <c r="C260" s="8" t="n"/>
      <c r="D260" s="8" t="n"/>
      <c r="E260" s="8" t="n"/>
      <c r="F260" s="6">
        <f>IF(B260="","",TRIM(A260)&amp;"||"&amp;TRIM(B260))</f>
        <v/>
      </c>
      <c r="G260" s="6">
        <f>IF(B260="","",IF(OR(AND(LOWER(D260)="mapped",TRIM(C260)&lt;&gt;""),AND(LOWER(D260)="ignored",TRIM(E260)&lt;&gt;"")),1,0))</f>
        <v/>
      </c>
      <c r="H260" s="6">
        <f>IF(AND(TRIM(A260)=Setup!$B$4,LOWER(D260)="mapped",TRIM(C260)&lt;&gt;""),IF(SUMPRODUCT((TRIM($A$5:A260)=Setup!$B$4)*(LOWER($D$5:D260)="mapped")*(TRIM($C$5:C260)=TRIM(C260)))=1,ROW(),""),"")</f>
        <v/>
      </c>
    </row>
    <row r="261">
      <c r="A261" s="8" t="n"/>
      <c r="B261" s="8" t="n"/>
      <c r="C261" s="8" t="n"/>
      <c r="D261" s="8" t="n"/>
      <c r="E261" s="8" t="n"/>
      <c r="F261" s="6">
        <f>IF(B261="","",TRIM(A261)&amp;"||"&amp;TRIM(B261))</f>
        <v/>
      </c>
      <c r="G261" s="6">
        <f>IF(B261="","",IF(OR(AND(LOWER(D261)="mapped",TRIM(C261)&lt;&gt;""),AND(LOWER(D261)="ignored",TRIM(E261)&lt;&gt;"")),1,0))</f>
        <v/>
      </c>
      <c r="H261" s="6">
        <f>IF(AND(TRIM(A261)=Setup!$B$4,LOWER(D261)="mapped",TRIM(C261)&lt;&gt;""),IF(SUMPRODUCT((TRIM($A$5:A261)=Setup!$B$4)*(LOWER($D$5:D261)="mapped")*(TRIM($C$5:C261)=TRIM(C261)))=1,ROW(),""),"")</f>
        <v/>
      </c>
    </row>
    <row r="262">
      <c r="A262" s="8" t="n"/>
      <c r="B262" s="8" t="n"/>
      <c r="C262" s="8" t="n"/>
      <c r="D262" s="8" t="n"/>
      <c r="E262" s="8" t="n"/>
      <c r="F262" s="6">
        <f>IF(B262="","",TRIM(A262)&amp;"||"&amp;TRIM(B262))</f>
        <v/>
      </c>
      <c r="G262" s="6">
        <f>IF(B262="","",IF(OR(AND(LOWER(D262)="mapped",TRIM(C262)&lt;&gt;""),AND(LOWER(D262)="ignored",TRIM(E262)&lt;&gt;"")),1,0))</f>
        <v/>
      </c>
      <c r="H262" s="6">
        <f>IF(AND(TRIM(A262)=Setup!$B$4,LOWER(D262)="mapped",TRIM(C262)&lt;&gt;""),IF(SUMPRODUCT((TRIM($A$5:A262)=Setup!$B$4)*(LOWER($D$5:D262)="mapped")*(TRIM($C$5:C262)=TRIM(C262)))=1,ROW(),""),"")</f>
        <v/>
      </c>
    </row>
    <row r="263">
      <c r="A263" s="8" t="n"/>
      <c r="B263" s="8" t="n"/>
      <c r="C263" s="8" t="n"/>
      <c r="D263" s="8" t="n"/>
      <c r="E263" s="8" t="n"/>
      <c r="F263" s="6">
        <f>IF(B263="","",TRIM(A263)&amp;"||"&amp;TRIM(B263))</f>
        <v/>
      </c>
      <c r="G263" s="6">
        <f>IF(B263="","",IF(OR(AND(LOWER(D263)="mapped",TRIM(C263)&lt;&gt;""),AND(LOWER(D263)="ignored",TRIM(E263)&lt;&gt;"")),1,0))</f>
        <v/>
      </c>
      <c r="H263" s="6">
        <f>IF(AND(TRIM(A263)=Setup!$B$4,LOWER(D263)="mapped",TRIM(C263)&lt;&gt;""),IF(SUMPRODUCT((TRIM($A$5:A263)=Setup!$B$4)*(LOWER($D$5:D263)="mapped")*(TRIM($C$5:C263)=TRIM(C263)))=1,ROW(),""),"")</f>
        <v/>
      </c>
    </row>
    <row r="264">
      <c r="A264" s="8" t="n"/>
      <c r="B264" s="8" t="n"/>
      <c r="C264" s="8" t="n"/>
      <c r="D264" s="8" t="n"/>
      <c r="E264" s="8" t="n"/>
      <c r="F264" s="6">
        <f>IF(B264="","",TRIM(A264)&amp;"||"&amp;TRIM(B264))</f>
        <v/>
      </c>
      <c r="G264" s="6">
        <f>IF(B264="","",IF(OR(AND(LOWER(D264)="mapped",TRIM(C264)&lt;&gt;""),AND(LOWER(D264)="ignored",TRIM(E264)&lt;&gt;"")),1,0))</f>
        <v/>
      </c>
      <c r="H264" s="6">
        <f>IF(AND(TRIM(A264)=Setup!$B$4,LOWER(D264)="mapped",TRIM(C264)&lt;&gt;""),IF(SUMPRODUCT((TRIM($A$5:A264)=Setup!$B$4)*(LOWER($D$5:D264)="mapped")*(TRIM($C$5:C264)=TRIM(C264)))=1,ROW(),""),"")</f>
        <v/>
      </c>
    </row>
    <row r="265">
      <c r="A265" s="8" t="n"/>
      <c r="B265" s="8" t="n"/>
      <c r="C265" s="8" t="n"/>
      <c r="D265" s="8" t="n"/>
      <c r="E265" s="8" t="n"/>
      <c r="F265" s="6">
        <f>IF(B265="","",TRIM(A265)&amp;"||"&amp;TRIM(B265))</f>
        <v/>
      </c>
      <c r="G265" s="6">
        <f>IF(B265="","",IF(OR(AND(LOWER(D265)="mapped",TRIM(C265)&lt;&gt;""),AND(LOWER(D265)="ignored",TRIM(E265)&lt;&gt;"")),1,0))</f>
        <v/>
      </c>
      <c r="H265" s="6">
        <f>IF(AND(TRIM(A265)=Setup!$B$4,LOWER(D265)="mapped",TRIM(C265)&lt;&gt;""),IF(SUMPRODUCT((TRIM($A$5:A265)=Setup!$B$4)*(LOWER($D$5:D265)="mapped")*(TRIM($C$5:C265)=TRIM(C265)))=1,ROW(),""),"")</f>
        <v/>
      </c>
    </row>
    <row r="266">
      <c r="A266" s="8" t="n"/>
      <c r="B266" s="8" t="n"/>
      <c r="C266" s="8" t="n"/>
      <c r="D266" s="8" t="n"/>
      <c r="E266" s="8" t="n"/>
      <c r="F266" s="6">
        <f>IF(B266="","",TRIM(A266)&amp;"||"&amp;TRIM(B266))</f>
        <v/>
      </c>
      <c r="G266" s="6">
        <f>IF(B266="","",IF(OR(AND(LOWER(D266)="mapped",TRIM(C266)&lt;&gt;""),AND(LOWER(D266)="ignored",TRIM(E266)&lt;&gt;"")),1,0))</f>
        <v/>
      </c>
      <c r="H266" s="6">
        <f>IF(AND(TRIM(A266)=Setup!$B$4,LOWER(D266)="mapped",TRIM(C266)&lt;&gt;""),IF(SUMPRODUCT((TRIM($A$5:A266)=Setup!$B$4)*(LOWER($D$5:D266)="mapped")*(TRIM($C$5:C266)=TRIM(C266)))=1,ROW(),""),"")</f>
        <v/>
      </c>
    </row>
    <row r="267">
      <c r="A267" s="8" t="n"/>
      <c r="B267" s="8" t="n"/>
      <c r="C267" s="8" t="n"/>
      <c r="D267" s="8" t="n"/>
      <c r="E267" s="8" t="n"/>
      <c r="F267" s="6">
        <f>IF(B267="","",TRIM(A267)&amp;"||"&amp;TRIM(B267))</f>
        <v/>
      </c>
      <c r="G267" s="6">
        <f>IF(B267="","",IF(OR(AND(LOWER(D267)="mapped",TRIM(C267)&lt;&gt;""),AND(LOWER(D267)="ignored",TRIM(E267)&lt;&gt;"")),1,0))</f>
        <v/>
      </c>
      <c r="H267" s="6">
        <f>IF(AND(TRIM(A267)=Setup!$B$4,LOWER(D267)="mapped",TRIM(C267)&lt;&gt;""),IF(SUMPRODUCT((TRIM($A$5:A267)=Setup!$B$4)*(LOWER($D$5:D267)="mapped")*(TRIM($C$5:C267)=TRIM(C267)))=1,ROW(),""),"")</f>
        <v/>
      </c>
    </row>
    <row r="268">
      <c r="A268" s="8" t="n"/>
      <c r="B268" s="8" t="n"/>
      <c r="C268" s="8" t="n"/>
      <c r="D268" s="8" t="n"/>
      <c r="E268" s="8" t="n"/>
      <c r="F268" s="6">
        <f>IF(B268="","",TRIM(A268)&amp;"||"&amp;TRIM(B268))</f>
        <v/>
      </c>
      <c r="G268" s="6">
        <f>IF(B268="","",IF(OR(AND(LOWER(D268)="mapped",TRIM(C268)&lt;&gt;""),AND(LOWER(D268)="ignored",TRIM(E268)&lt;&gt;"")),1,0))</f>
        <v/>
      </c>
      <c r="H268" s="6">
        <f>IF(AND(TRIM(A268)=Setup!$B$4,LOWER(D268)="mapped",TRIM(C268)&lt;&gt;""),IF(SUMPRODUCT((TRIM($A$5:A268)=Setup!$B$4)*(LOWER($D$5:D268)="mapped")*(TRIM($C$5:C268)=TRIM(C268)))=1,ROW(),""),"")</f>
        <v/>
      </c>
    </row>
    <row r="269">
      <c r="A269" s="8" t="n"/>
      <c r="B269" s="8" t="n"/>
      <c r="C269" s="8" t="n"/>
      <c r="D269" s="8" t="n"/>
      <c r="E269" s="8" t="n"/>
      <c r="F269" s="6">
        <f>IF(B269="","",TRIM(A269)&amp;"||"&amp;TRIM(B269))</f>
        <v/>
      </c>
      <c r="G269" s="6">
        <f>IF(B269="","",IF(OR(AND(LOWER(D269)="mapped",TRIM(C269)&lt;&gt;""),AND(LOWER(D269)="ignored",TRIM(E269)&lt;&gt;"")),1,0))</f>
        <v/>
      </c>
      <c r="H269" s="6">
        <f>IF(AND(TRIM(A269)=Setup!$B$4,LOWER(D269)="mapped",TRIM(C269)&lt;&gt;""),IF(SUMPRODUCT((TRIM($A$5:A269)=Setup!$B$4)*(LOWER($D$5:D269)="mapped")*(TRIM($C$5:C269)=TRIM(C269)))=1,ROW(),""),"")</f>
        <v/>
      </c>
    </row>
    <row r="270">
      <c r="A270" s="8" t="n"/>
      <c r="B270" s="8" t="n"/>
      <c r="C270" s="8" t="n"/>
      <c r="D270" s="8" t="n"/>
      <c r="E270" s="8" t="n"/>
      <c r="F270" s="6">
        <f>IF(B270="","",TRIM(A270)&amp;"||"&amp;TRIM(B270))</f>
        <v/>
      </c>
      <c r="G270" s="6">
        <f>IF(B270="","",IF(OR(AND(LOWER(D270)="mapped",TRIM(C270)&lt;&gt;""),AND(LOWER(D270)="ignored",TRIM(E270)&lt;&gt;"")),1,0))</f>
        <v/>
      </c>
      <c r="H270" s="6">
        <f>IF(AND(TRIM(A270)=Setup!$B$4,LOWER(D270)="mapped",TRIM(C270)&lt;&gt;""),IF(SUMPRODUCT((TRIM($A$5:A270)=Setup!$B$4)*(LOWER($D$5:D270)="mapped")*(TRIM($C$5:C270)=TRIM(C270)))=1,ROW(),""),"")</f>
        <v/>
      </c>
    </row>
    <row r="271">
      <c r="A271" s="8" t="n"/>
      <c r="B271" s="8" t="n"/>
      <c r="C271" s="8" t="n"/>
      <c r="D271" s="8" t="n"/>
      <c r="E271" s="8" t="n"/>
      <c r="F271" s="6">
        <f>IF(B271="","",TRIM(A271)&amp;"||"&amp;TRIM(B271))</f>
        <v/>
      </c>
      <c r="G271" s="6">
        <f>IF(B271="","",IF(OR(AND(LOWER(D271)="mapped",TRIM(C271)&lt;&gt;""),AND(LOWER(D271)="ignored",TRIM(E271)&lt;&gt;"")),1,0))</f>
        <v/>
      </c>
      <c r="H271" s="6">
        <f>IF(AND(TRIM(A271)=Setup!$B$4,LOWER(D271)="mapped",TRIM(C271)&lt;&gt;""),IF(SUMPRODUCT((TRIM($A$5:A271)=Setup!$B$4)*(LOWER($D$5:D271)="mapped")*(TRIM($C$5:C271)=TRIM(C271)))=1,ROW(),""),"")</f>
        <v/>
      </c>
    </row>
    <row r="272">
      <c r="A272" s="8" t="n"/>
      <c r="B272" s="8" t="n"/>
      <c r="C272" s="8" t="n"/>
      <c r="D272" s="8" t="n"/>
      <c r="E272" s="8" t="n"/>
      <c r="F272" s="6">
        <f>IF(B272="","",TRIM(A272)&amp;"||"&amp;TRIM(B272))</f>
        <v/>
      </c>
      <c r="G272" s="6">
        <f>IF(B272="","",IF(OR(AND(LOWER(D272)="mapped",TRIM(C272)&lt;&gt;""),AND(LOWER(D272)="ignored",TRIM(E272)&lt;&gt;"")),1,0))</f>
        <v/>
      </c>
      <c r="H272" s="6">
        <f>IF(AND(TRIM(A272)=Setup!$B$4,LOWER(D272)="mapped",TRIM(C272)&lt;&gt;""),IF(SUMPRODUCT((TRIM($A$5:A272)=Setup!$B$4)*(LOWER($D$5:D272)="mapped")*(TRIM($C$5:C272)=TRIM(C272)))=1,ROW(),""),"")</f>
        <v/>
      </c>
    </row>
    <row r="273">
      <c r="A273" s="8" t="n"/>
      <c r="B273" s="8" t="n"/>
      <c r="C273" s="8" t="n"/>
      <c r="D273" s="8" t="n"/>
      <c r="E273" s="8" t="n"/>
      <c r="F273" s="6">
        <f>IF(B273="","",TRIM(A273)&amp;"||"&amp;TRIM(B273))</f>
        <v/>
      </c>
      <c r="G273" s="6">
        <f>IF(B273="","",IF(OR(AND(LOWER(D273)="mapped",TRIM(C273)&lt;&gt;""),AND(LOWER(D273)="ignored",TRIM(E273)&lt;&gt;"")),1,0))</f>
        <v/>
      </c>
      <c r="H273" s="6">
        <f>IF(AND(TRIM(A273)=Setup!$B$4,LOWER(D273)="mapped",TRIM(C273)&lt;&gt;""),IF(SUMPRODUCT((TRIM($A$5:A273)=Setup!$B$4)*(LOWER($D$5:D273)="mapped")*(TRIM($C$5:C273)=TRIM(C273)))=1,ROW(),""),"")</f>
        <v/>
      </c>
    </row>
    <row r="274">
      <c r="A274" s="8" t="n"/>
      <c r="B274" s="8" t="n"/>
      <c r="C274" s="8" t="n"/>
      <c r="D274" s="8" t="n"/>
      <c r="E274" s="8" t="n"/>
      <c r="F274" s="6">
        <f>IF(B274="","",TRIM(A274)&amp;"||"&amp;TRIM(B274))</f>
        <v/>
      </c>
      <c r="G274" s="6">
        <f>IF(B274="","",IF(OR(AND(LOWER(D274)="mapped",TRIM(C274)&lt;&gt;""),AND(LOWER(D274)="ignored",TRIM(E274)&lt;&gt;"")),1,0))</f>
        <v/>
      </c>
      <c r="H274" s="6">
        <f>IF(AND(TRIM(A274)=Setup!$B$4,LOWER(D274)="mapped",TRIM(C274)&lt;&gt;""),IF(SUMPRODUCT((TRIM($A$5:A274)=Setup!$B$4)*(LOWER($D$5:D274)="mapped")*(TRIM($C$5:C274)=TRIM(C274)))=1,ROW(),""),"")</f>
        <v/>
      </c>
    </row>
    <row r="275">
      <c r="A275" s="8" t="n"/>
      <c r="B275" s="8" t="n"/>
      <c r="C275" s="8" t="n"/>
      <c r="D275" s="8" t="n"/>
      <c r="E275" s="8" t="n"/>
      <c r="F275" s="6">
        <f>IF(B275="","",TRIM(A275)&amp;"||"&amp;TRIM(B275))</f>
        <v/>
      </c>
      <c r="G275" s="6">
        <f>IF(B275="","",IF(OR(AND(LOWER(D275)="mapped",TRIM(C275)&lt;&gt;""),AND(LOWER(D275)="ignored",TRIM(E275)&lt;&gt;"")),1,0))</f>
        <v/>
      </c>
      <c r="H275" s="6">
        <f>IF(AND(TRIM(A275)=Setup!$B$4,LOWER(D275)="mapped",TRIM(C275)&lt;&gt;""),IF(SUMPRODUCT((TRIM($A$5:A275)=Setup!$B$4)*(LOWER($D$5:D275)="mapped")*(TRIM($C$5:C275)=TRIM(C275)))=1,ROW(),""),"")</f>
        <v/>
      </c>
    </row>
    <row r="276">
      <c r="A276" s="8" t="n"/>
      <c r="B276" s="8" t="n"/>
      <c r="C276" s="8" t="n"/>
      <c r="D276" s="8" t="n"/>
      <c r="E276" s="8" t="n"/>
      <c r="F276" s="6">
        <f>IF(B276="","",TRIM(A276)&amp;"||"&amp;TRIM(B276))</f>
        <v/>
      </c>
      <c r="G276" s="6">
        <f>IF(B276="","",IF(OR(AND(LOWER(D276)="mapped",TRIM(C276)&lt;&gt;""),AND(LOWER(D276)="ignored",TRIM(E276)&lt;&gt;"")),1,0))</f>
        <v/>
      </c>
      <c r="H276" s="6">
        <f>IF(AND(TRIM(A276)=Setup!$B$4,LOWER(D276)="mapped",TRIM(C276)&lt;&gt;""),IF(SUMPRODUCT((TRIM($A$5:A276)=Setup!$B$4)*(LOWER($D$5:D276)="mapped")*(TRIM($C$5:C276)=TRIM(C276)))=1,ROW(),""),"")</f>
        <v/>
      </c>
    </row>
    <row r="277">
      <c r="A277" s="8" t="n"/>
      <c r="B277" s="8" t="n"/>
      <c r="C277" s="8" t="n"/>
      <c r="D277" s="8" t="n"/>
      <c r="E277" s="8" t="n"/>
      <c r="F277" s="6">
        <f>IF(B277="","",TRIM(A277)&amp;"||"&amp;TRIM(B277))</f>
        <v/>
      </c>
      <c r="G277" s="6">
        <f>IF(B277="","",IF(OR(AND(LOWER(D277)="mapped",TRIM(C277)&lt;&gt;""),AND(LOWER(D277)="ignored",TRIM(E277)&lt;&gt;"")),1,0))</f>
        <v/>
      </c>
      <c r="H277" s="6">
        <f>IF(AND(TRIM(A277)=Setup!$B$4,LOWER(D277)="mapped",TRIM(C277)&lt;&gt;""),IF(SUMPRODUCT((TRIM($A$5:A277)=Setup!$B$4)*(LOWER($D$5:D277)="mapped")*(TRIM($C$5:C277)=TRIM(C277)))=1,ROW(),""),"")</f>
        <v/>
      </c>
    </row>
    <row r="278">
      <c r="A278" s="8" t="n"/>
      <c r="B278" s="8" t="n"/>
      <c r="C278" s="8" t="n"/>
      <c r="D278" s="8" t="n"/>
      <c r="E278" s="8" t="n"/>
      <c r="F278" s="6">
        <f>IF(B278="","",TRIM(A278)&amp;"||"&amp;TRIM(B278))</f>
        <v/>
      </c>
      <c r="G278" s="6">
        <f>IF(B278="","",IF(OR(AND(LOWER(D278)="mapped",TRIM(C278)&lt;&gt;""),AND(LOWER(D278)="ignored",TRIM(E278)&lt;&gt;"")),1,0))</f>
        <v/>
      </c>
      <c r="H278" s="6">
        <f>IF(AND(TRIM(A278)=Setup!$B$4,LOWER(D278)="mapped",TRIM(C278)&lt;&gt;""),IF(SUMPRODUCT((TRIM($A$5:A278)=Setup!$B$4)*(LOWER($D$5:D278)="mapped")*(TRIM($C$5:C278)=TRIM(C278)))=1,ROW(),""),"")</f>
        <v/>
      </c>
    </row>
    <row r="279">
      <c r="A279" s="8" t="n"/>
      <c r="B279" s="8" t="n"/>
      <c r="C279" s="8" t="n"/>
      <c r="D279" s="8" t="n"/>
      <c r="E279" s="8" t="n"/>
      <c r="F279" s="6">
        <f>IF(B279="","",TRIM(A279)&amp;"||"&amp;TRIM(B279))</f>
        <v/>
      </c>
      <c r="G279" s="6">
        <f>IF(B279="","",IF(OR(AND(LOWER(D279)="mapped",TRIM(C279)&lt;&gt;""),AND(LOWER(D279)="ignored",TRIM(E279)&lt;&gt;"")),1,0))</f>
        <v/>
      </c>
      <c r="H279" s="6">
        <f>IF(AND(TRIM(A279)=Setup!$B$4,LOWER(D279)="mapped",TRIM(C279)&lt;&gt;""),IF(SUMPRODUCT((TRIM($A$5:A279)=Setup!$B$4)*(LOWER($D$5:D279)="mapped")*(TRIM($C$5:C279)=TRIM(C279)))=1,ROW(),""),"")</f>
        <v/>
      </c>
    </row>
    <row r="280">
      <c r="A280" s="8" t="n"/>
      <c r="B280" s="8" t="n"/>
      <c r="C280" s="8" t="n"/>
      <c r="D280" s="8" t="n"/>
      <c r="E280" s="8" t="n"/>
      <c r="F280" s="6">
        <f>IF(B280="","",TRIM(A280)&amp;"||"&amp;TRIM(B280))</f>
        <v/>
      </c>
      <c r="G280" s="6">
        <f>IF(B280="","",IF(OR(AND(LOWER(D280)="mapped",TRIM(C280)&lt;&gt;""),AND(LOWER(D280)="ignored",TRIM(E280)&lt;&gt;"")),1,0))</f>
        <v/>
      </c>
      <c r="H280" s="6">
        <f>IF(AND(TRIM(A280)=Setup!$B$4,LOWER(D280)="mapped",TRIM(C280)&lt;&gt;""),IF(SUMPRODUCT((TRIM($A$5:A280)=Setup!$B$4)*(LOWER($D$5:D280)="mapped")*(TRIM($C$5:C280)=TRIM(C280)))=1,ROW(),""),"")</f>
        <v/>
      </c>
    </row>
    <row r="281">
      <c r="A281" s="8" t="n"/>
      <c r="B281" s="8" t="n"/>
      <c r="C281" s="8" t="n"/>
      <c r="D281" s="8" t="n"/>
      <c r="E281" s="8" t="n"/>
      <c r="F281" s="6">
        <f>IF(B281="","",TRIM(A281)&amp;"||"&amp;TRIM(B281))</f>
        <v/>
      </c>
      <c r="G281" s="6">
        <f>IF(B281="","",IF(OR(AND(LOWER(D281)="mapped",TRIM(C281)&lt;&gt;""),AND(LOWER(D281)="ignored",TRIM(E281)&lt;&gt;"")),1,0))</f>
        <v/>
      </c>
      <c r="H281" s="6">
        <f>IF(AND(TRIM(A281)=Setup!$B$4,LOWER(D281)="mapped",TRIM(C281)&lt;&gt;""),IF(SUMPRODUCT((TRIM($A$5:A281)=Setup!$B$4)*(LOWER($D$5:D281)="mapped")*(TRIM($C$5:C281)=TRIM(C281)))=1,ROW(),""),"")</f>
        <v/>
      </c>
    </row>
    <row r="282">
      <c r="A282" s="8" t="n"/>
      <c r="B282" s="8" t="n"/>
      <c r="C282" s="8" t="n"/>
      <c r="D282" s="8" t="n"/>
      <c r="E282" s="8" t="n"/>
      <c r="F282" s="6">
        <f>IF(B282="","",TRIM(A282)&amp;"||"&amp;TRIM(B282))</f>
        <v/>
      </c>
      <c r="G282" s="6">
        <f>IF(B282="","",IF(OR(AND(LOWER(D282)="mapped",TRIM(C282)&lt;&gt;""),AND(LOWER(D282)="ignored",TRIM(E282)&lt;&gt;"")),1,0))</f>
        <v/>
      </c>
      <c r="H282" s="6">
        <f>IF(AND(TRIM(A282)=Setup!$B$4,LOWER(D282)="mapped",TRIM(C282)&lt;&gt;""),IF(SUMPRODUCT((TRIM($A$5:A282)=Setup!$B$4)*(LOWER($D$5:D282)="mapped")*(TRIM($C$5:C282)=TRIM(C282)))=1,ROW(),""),"")</f>
        <v/>
      </c>
    </row>
    <row r="283">
      <c r="A283" s="8" t="n"/>
      <c r="B283" s="8" t="n"/>
      <c r="C283" s="8" t="n"/>
      <c r="D283" s="8" t="n"/>
      <c r="E283" s="8" t="n"/>
      <c r="F283" s="6">
        <f>IF(B283="","",TRIM(A283)&amp;"||"&amp;TRIM(B283))</f>
        <v/>
      </c>
      <c r="G283" s="6">
        <f>IF(B283="","",IF(OR(AND(LOWER(D283)="mapped",TRIM(C283)&lt;&gt;""),AND(LOWER(D283)="ignored",TRIM(E283)&lt;&gt;"")),1,0))</f>
        <v/>
      </c>
      <c r="H283" s="6">
        <f>IF(AND(TRIM(A283)=Setup!$B$4,LOWER(D283)="mapped",TRIM(C283)&lt;&gt;""),IF(SUMPRODUCT((TRIM($A$5:A283)=Setup!$B$4)*(LOWER($D$5:D283)="mapped")*(TRIM($C$5:C283)=TRIM(C283)))=1,ROW(),""),"")</f>
        <v/>
      </c>
    </row>
    <row r="284">
      <c r="A284" s="8" t="n"/>
      <c r="B284" s="8" t="n"/>
      <c r="C284" s="8" t="n"/>
      <c r="D284" s="8" t="n"/>
      <c r="E284" s="8" t="n"/>
      <c r="F284" s="6">
        <f>IF(B284="","",TRIM(A284)&amp;"||"&amp;TRIM(B284))</f>
        <v/>
      </c>
      <c r="G284" s="6">
        <f>IF(B284="","",IF(OR(AND(LOWER(D284)="mapped",TRIM(C284)&lt;&gt;""),AND(LOWER(D284)="ignored",TRIM(E284)&lt;&gt;"")),1,0))</f>
        <v/>
      </c>
      <c r="H284" s="6">
        <f>IF(AND(TRIM(A284)=Setup!$B$4,LOWER(D284)="mapped",TRIM(C284)&lt;&gt;""),IF(SUMPRODUCT((TRIM($A$5:A284)=Setup!$B$4)*(LOWER($D$5:D284)="mapped")*(TRIM($C$5:C284)=TRIM(C284)))=1,ROW(),""),"")</f>
        <v/>
      </c>
    </row>
    <row r="285">
      <c r="A285" s="8" t="n"/>
      <c r="B285" s="8" t="n"/>
      <c r="C285" s="8" t="n"/>
      <c r="D285" s="8" t="n"/>
      <c r="E285" s="8" t="n"/>
      <c r="F285" s="6">
        <f>IF(B285="","",TRIM(A285)&amp;"||"&amp;TRIM(B285))</f>
        <v/>
      </c>
      <c r="G285" s="6">
        <f>IF(B285="","",IF(OR(AND(LOWER(D285)="mapped",TRIM(C285)&lt;&gt;""),AND(LOWER(D285)="ignored",TRIM(E285)&lt;&gt;"")),1,0))</f>
        <v/>
      </c>
      <c r="H285" s="6">
        <f>IF(AND(TRIM(A285)=Setup!$B$4,LOWER(D285)="mapped",TRIM(C285)&lt;&gt;""),IF(SUMPRODUCT((TRIM($A$5:A285)=Setup!$B$4)*(LOWER($D$5:D285)="mapped")*(TRIM($C$5:C285)=TRIM(C285)))=1,ROW(),""),"")</f>
        <v/>
      </c>
    </row>
    <row r="286">
      <c r="A286" s="8" t="n"/>
      <c r="B286" s="8" t="n"/>
      <c r="C286" s="8" t="n"/>
      <c r="D286" s="8" t="n"/>
      <c r="E286" s="8" t="n"/>
      <c r="F286" s="6">
        <f>IF(B286="","",TRIM(A286)&amp;"||"&amp;TRIM(B286))</f>
        <v/>
      </c>
      <c r="G286" s="6">
        <f>IF(B286="","",IF(OR(AND(LOWER(D286)="mapped",TRIM(C286)&lt;&gt;""),AND(LOWER(D286)="ignored",TRIM(E286)&lt;&gt;"")),1,0))</f>
        <v/>
      </c>
      <c r="H286" s="6">
        <f>IF(AND(TRIM(A286)=Setup!$B$4,LOWER(D286)="mapped",TRIM(C286)&lt;&gt;""),IF(SUMPRODUCT((TRIM($A$5:A286)=Setup!$B$4)*(LOWER($D$5:D286)="mapped")*(TRIM($C$5:C286)=TRIM(C286)))=1,ROW(),""),"")</f>
        <v/>
      </c>
    </row>
    <row r="287">
      <c r="A287" s="8" t="n"/>
      <c r="B287" s="8" t="n"/>
      <c r="C287" s="8" t="n"/>
      <c r="D287" s="8" t="n"/>
      <c r="E287" s="8" t="n"/>
      <c r="F287" s="6">
        <f>IF(B287="","",TRIM(A287)&amp;"||"&amp;TRIM(B287))</f>
        <v/>
      </c>
      <c r="G287" s="6">
        <f>IF(B287="","",IF(OR(AND(LOWER(D287)="mapped",TRIM(C287)&lt;&gt;""),AND(LOWER(D287)="ignored",TRIM(E287)&lt;&gt;"")),1,0))</f>
        <v/>
      </c>
      <c r="H287" s="6">
        <f>IF(AND(TRIM(A287)=Setup!$B$4,LOWER(D287)="mapped",TRIM(C287)&lt;&gt;""),IF(SUMPRODUCT((TRIM($A$5:A287)=Setup!$B$4)*(LOWER($D$5:D287)="mapped")*(TRIM($C$5:C287)=TRIM(C287)))=1,ROW(),""),"")</f>
        <v/>
      </c>
    </row>
    <row r="288">
      <c r="A288" s="8" t="n"/>
      <c r="B288" s="8" t="n"/>
      <c r="C288" s="8" t="n"/>
      <c r="D288" s="8" t="n"/>
      <c r="E288" s="8" t="n"/>
      <c r="F288" s="6">
        <f>IF(B288="","",TRIM(A288)&amp;"||"&amp;TRIM(B288))</f>
        <v/>
      </c>
      <c r="G288" s="6">
        <f>IF(B288="","",IF(OR(AND(LOWER(D288)="mapped",TRIM(C288)&lt;&gt;""),AND(LOWER(D288)="ignored",TRIM(E288)&lt;&gt;"")),1,0))</f>
        <v/>
      </c>
      <c r="H288" s="6">
        <f>IF(AND(TRIM(A288)=Setup!$B$4,LOWER(D288)="mapped",TRIM(C288)&lt;&gt;""),IF(SUMPRODUCT((TRIM($A$5:A288)=Setup!$B$4)*(LOWER($D$5:D288)="mapped")*(TRIM($C$5:C288)=TRIM(C288)))=1,ROW(),""),"")</f>
        <v/>
      </c>
    </row>
    <row r="289">
      <c r="A289" s="8" t="n"/>
      <c r="B289" s="8" t="n"/>
      <c r="C289" s="8" t="n"/>
      <c r="D289" s="8" t="n"/>
      <c r="E289" s="8" t="n"/>
      <c r="F289" s="6">
        <f>IF(B289="","",TRIM(A289)&amp;"||"&amp;TRIM(B289))</f>
        <v/>
      </c>
      <c r="G289" s="6">
        <f>IF(B289="","",IF(OR(AND(LOWER(D289)="mapped",TRIM(C289)&lt;&gt;""),AND(LOWER(D289)="ignored",TRIM(E289)&lt;&gt;"")),1,0))</f>
        <v/>
      </c>
      <c r="H289" s="6">
        <f>IF(AND(TRIM(A289)=Setup!$B$4,LOWER(D289)="mapped",TRIM(C289)&lt;&gt;""),IF(SUMPRODUCT((TRIM($A$5:A289)=Setup!$B$4)*(LOWER($D$5:D289)="mapped")*(TRIM($C$5:C289)=TRIM(C289)))=1,ROW(),""),"")</f>
        <v/>
      </c>
    </row>
    <row r="290">
      <c r="A290" s="8" t="n"/>
      <c r="B290" s="8" t="n"/>
      <c r="C290" s="8" t="n"/>
      <c r="D290" s="8" t="n"/>
      <c r="E290" s="8" t="n"/>
      <c r="F290" s="6">
        <f>IF(B290="","",TRIM(A290)&amp;"||"&amp;TRIM(B290))</f>
        <v/>
      </c>
      <c r="G290" s="6">
        <f>IF(B290="","",IF(OR(AND(LOWER(D290)="mapped",TRIM(C290)&lt;&gt;""),AND(LOWER(D290)="ignored",TRIM(E290)&lt;&gt;"")),1,0))</f>
        <v/>
      </c>
      <c r="H290" s="6">
        <f>IF(AND(TRIM(A290)=Setup!$B$4,LOWER(D290)="mapped",TRIM(C290)&lt;&gt;""),IF(SUMPRODUCT((TRIM($A$5:A290)=Setup!$B$4)*(LOWER($D$5:D290)="mapped")*(TRIM($C$5:C290)=TRIM(C290)))=1,ROW(),""),"")</f>
        <v/>
      </c>
    </row>
    <row r="291">
      <c r="A291" s="8" t="n"/>
      <c r="B291" s="8" t="n"/>
      <c r="C291" s="8" t="n"/>
      <c r="D291" s="8" t="n"/>
      <c r="E291" s="8" t="n"/>
      <c r="F291" s="6">
        <f>IF(B291="","",TRIM(A291)&amp;"||"&amp;TRIM(B291))</f>
        <v/>
      </c>
      <c r="G291" s="6">
        <f>IF(B291="","",IF(OR(AND(LOWER(D291)="mapped",TRIM(C291)&lt;&gt;""),AND(LOWER(D291)="ignored",TRIM(E291)&lt;&gt;"")),1,0))</f>
        <v/>
      </c>
      <c r="H291" s="6">
        <f>IF(AND(TRIM(A291)=Setup!$B$4,LOWER(D291)="mapped",TRIM(C291)&lt;&gt;""),IF(SUMPRODUCT((TRIM($A$5:A291)=Setup!$B$4)*(LOWER($D$5:D291)="mapped")*(TRIM($C$5:C291)=TRIM(C291)))=1,ROW(),""),"")</f>
        <v/>
      </c>
    </row>
    <row r="292">
      <c r="A292" s="8" t="n"/>
      <c r="B292" s="8" t="n"/>
      <c r="C292" s="8" t="n"/>
      <c r="D292" s="8" t="n"/>
      <c r="E292" s="8" t="n"/>
      <c r="F292" s="6">
        <f>IF(B292="","",TRIM(A292)&amp;"||"&amp;TRIM(B292))</f>
        <v/>
      </c>
      <c r="G292" s="6">
        <f>IF(B292="","",IF(OR(AND(LOWER(D292)="mapped",TRIM(C292)&lt;&gt;""),AND(LOWER(D292)="ignored",TRIM(E292)&lt;&gt;"")),1,0))</f>
        <v/>
      </c>
      <c r="H292" s="6">
        <f>IF(AND(TRIM(A292)=Setup!$B$4,LOWER(D292)="mapped",TRIM(C292)&lt;&gt;""),IF(SUMPRODUCT((TRIM($A$5:A292)=Setup!$B$4)*(LOWER($D$5:D292)="mapped")*(TRIM($C$5:C292)=TRIM(C292)))=1,ROW(),""),"")</f>
        <v/>
      </c>
    </row>
    <row r="293">
      <c r="A293" s="8" t="n"/>
      <c r="B293" s="8" t="n"/>
      <c r="C293" s="8" t="n"/>
      <c r="D293" s="8" t="n"/>
      <c r="E293" s="8" t="n"/>
      <c r="F293" s="6">
        <f>IF(B293="","",TRIM(A293)&amp;"||"&amp;TRIM(B293))</f>
        <v/>
      </c>
      <c r="G293" s="6">
        <f>IF(B293="","",IF(OR(AND(LOWER(D293)="mapped",TRIM(C293)&lt;&gt;""),AND(LOWER(D293)="ignored",TRIM(E293)&lt;&gt;"")),1,0))</f>
        <v/>
      </c>
      <c r="H293" s="6">
        <f>IF(AND(TRIM(A293)=Setup!$B$4,LOWER(D293)="mapped",TRIM(C293)&lt;&gt;""),IF(SUMPRODUCT((TRIM($A$5:A293)=Setup!$B$4)*(LOWER($D$5:D293)="mapped")*(TRIM($C$5:C293)=TRIM(C293)))=1,ROW(),""),"")</f>
        <v/>
      </c>
    </row>
    <row r="294">
      <c r="A294" s="8" t="n"/>
      <c r="B294" s="8" t="n"/>
      <c r="C294" s="8" t="n"/>
      <c r="D294" s="8" t="n"/>
      <c r="E294" s="8" t="n"/>
      <c r="F294" s="6">
        <f>IF(B294="","",TRIM(A294)&amp;"||"&amp;TRIM(B294))</f>
        <v/>
      </c>
      <c r="G294" s="6">
        <f>IF(B294="","",IF(OR(AND(LOWER(D294)="mapped",TRIM(C294)&lt;&gt;""),AND(LOWER(D294)="ignored",TRIM(E294)&lt;&gt;"")),1,0))</f>
        <v/>
      </c>
      <c r="H294" s="6">
        <f>IF(AND(TRIM(A294)=Setup!$B$4,LOWER(D294)="mapped",TRIM(C294)&lt;&gt;""),IF(SUMPRODUCT((TRIM($A$5:A294)=Setup!$B$4)*(LOWER($D$5:D294)="mapped")*(TRIM($C$5:C294)=TRIM(C294)))=1,ROW(),""),"")</f>
        <v/>
      </c>
    </row>
    <row r="295">
      <c r="A295" s="8" t="n"/>
      <c r="B295" s="8" t="n"/>
      <c r="C295" s="8" t="n"/>
      <c r="D295" s="8" t="n"/>
      <c r="E295" s="8" t="n"/>
      <c r="F295" s="6">
        <f>IF(B295="","",TRIM(A295)&amp;"||"&amp;TRIM(B295))</f>
        <v/>
      </c>
      <c r="G295" s="6">
        <f>IF(B295="","",IF(OR(AND(LOWER(D295)="mapped",TRIM(C295)&lt;&gt;""),AND(LOWER(D295)="ignored",TRIM(E295)&lt;&gt;"")),1,0))</f>
        <v/>
      </c>
      <c r="H295" s="6">
        <f>IF(AND(TRIM(A295)=Setup!$B$4,LOWER(D295)="mapped",TRIM(C295)&lt;&gt;""),IF(SUMPRODUCT((TRIM($A$5:A295)=Setup!$B$4)*(LOWER($D$5:D295)="mapped")*(TRIM($C$5:C295)=TRIM(C295)))=1,ROW(),""),"")</f>
        <v/>
      </c>
    </row>
    <row r="296">
      <c r="A296" s="8" t="n"/>
      <c r="B296" s="8" t="n"/>
      <c r="C296" s="8" t="n"/>
      <c r="D296" s="8" t="n"/>
      <c r="E296" s="8" t="n"/>
      <c r="F296" s="6">
        <f>IF(B296="","",TRIM(A296)&amp;"||"&amp;TRIM(B296))</f>
        <v/>
      </c>
      <c r="G296" s="6">
        <f>IF(B296="","",IF(OR(AND(LOWER(D296)="mapped",TRIM(C296)&lt;&gt;""),AND(LOWER(D296)="ignored",TRIM(E296)&lt;&gt;"")),1,0))</f>
        <v/>
      </c>
      <c r="H296" s="6">
        <f>IF(AND(TRIM(A296)=Setup!$B$4,LOWER(D296)="mapped",TRIM(C296)&lt;&gt;""),IF(SUMPRODUCT((TRIM($A$5:A296)=Setup!$B$4)*(LOWER($D$5:D296)="mapped")*(TRIM($C$5:C296)=TRIM(C296)))=1,ROW(),""),"")</f>
        <v/>
      </c>
    </row>
    <row r="297">
      <c r="A297" s="8" t="n"/>
      <c r="B297" s="8" t="n"/>
      <c r="C297" s="8" t="n"/>
      <c r="D297" s="8" t="n"/>
      <c r="E297" s="8" t="n"/>
      <c r="F297" s="6">
        <f>IF(B297="","",TRIM(A297)&amp;"||"&amp;TRIM(B297))</f>
        <v/>
      </c>
      <c r="G297" s="6">
        <f>IF(B297="","",IF(OR(AND(LOWER(D297)="mapped",TRIM(C297)&lt;&gt;""),AND(LOWER(D297)="ignored",TRIM(E297)&lt;&gt;"")),1,0))</f>
        <v/>
      </c>
      <c r="H297" s="6">
        <f>IF(AND(TRIM(A297)=Setup!$B$4,LOWER(D297)="mapped",TRIM(C297)&lt;&gt;""),IF(SUMPRODUCT((TRIM($A$5:A297)=Setup!$B$4)*(LOWER($D$5:D297)="mapped")*(TRIM($C$5:C297)=TRIM(C297)))=1,ROW(),""),"")</f>
        <v/>
      </c>
    </row>
    <row r="298">
      <c r="A298" s="8" t="n"/>
      <c r="B298" s="8" t="n"/>
      <c r="C298" s="8" t="n"/>
      <c r="D298" s="8" t="n"/>
      <c r="E298" s="8" t="n"/>
      <c r="F298" s="6">
        <f>IF(B298="","",TRIM(A298)&amp;"||"&amp;TRIM(B298))</f>
        <v/>
      </c>
      <c r="G298" s="6">
        <f>IF(B298="","",IF(OR(AND(LOWER(D298)="mapped",TRIM(C298)&lt;&gt;""),AND(LOWER(D298)="ignored",TRIM(E298)&lt;&gt;"")),1,0))</f>
        <v/>
      </c>
      <c r="H298" s="6">
        <f>IF(AND(TRIM(A298)=Setup!$B$4,LOWER(D298)="mapped",TRIM(C298)&lt;&gt;""),IF(SUMPRODUCT((TRIM($A$5:A298)=Setup!$B$4)*(LOWER($D$5:D298)="mapped")*(TRIM($C$5:C298)=TRIM(C298)))=1,ROW(),""),"")</f>
        <v/>
      </c>
    </row>
    <row r="299">
      <c r="A299" s="8" t="n"/>
      <c r="B299" s="8" t="n"/>
      <c r="C299" s="8" t="n"/>
      <c r="D299" s="8" t="n"/>
      <c r="E299" s="8" t="n"/>
      <c r="F299" s="6">
        <f>IF(B299="","",TRIM(A299)&amp;"||"&amp;TRIM(B299))</f>
        <v/>
      </c>
      <c r="G299" s="6">
        <f>IF(B299="","",IF(OR(AND(LOWER(D299)="mapped",TRIM(C299)&lt;&gt;""),AND(LOWER(D299)="ignored",TRIM(E299)&lt;&gt;"")),1,0))</f>
        <v/>
      </c>
      <c r="H299" s="6">
        <f>IF(AND(TRIM(A299)=Setup!$B$4,LOWER(D299)="mapped",TRIM(C299)&lt;&gt;""),IF(SUMPRODUCT((TRIM($A$5:A299)=Setup!$B$4)*(LOWER($D$5:D299)="mapped")*(TRIM($C$5:C299)=TRIM(C299)))=1,ROW(),""),"")</f>
        <v/>
      </c>
    </row>
    <row r="300">
      <c r="A300" s="8" t="n"/>
      <c r="B300" s="8" t="n"/>
      <c r="C300" s="8" t="n"/>
      <c r="D300" s="8" t="n"/>
      <c r="E300" s="8" t="n"/>
      <c r="F300" s="6">
        <f>IF(B300="","",TRIM(A300)&amp;"||"&amp;TRIM(B300))</f>
        <v/>
      </c>
      <c r="G300" s="6">
        <f>IF(B300="","",IF(OR(AND(LOWER(D300)="mapped",TRIM(C300)&lt;&gt;""),AND(LOWER(D300)="ignored",TRIM(E300)&lt;&gt;"")),1,0))</f>
        <v/>
      </c>
      <c r="H300" s="6">
        <f>IF(AND(TRIM(A300)=Setup!$B$4,LOWER(D300)="mapped",TRIM(C300)&lt;&gt;""),IF(SUMPRODUCT((TRIM($A$5:A300)=Setup!$B$4)*(LOWER($D$5:D300)="mapped")*(TRIM($C$5:C300)=TRIM(C300)))=1,ROW(),""),"")</f>
        <v/>
      </c>
    </row>
    <row r="301">
      <c r="A301" s="8" t="n"/>
      <c r="B301" s="8" t="n"/>
      <c r="C301" s="8" t="n"/>
      <c r="D301" s="8" t="n"/>
      <c r="E301" s="8" t="n"/>
      <c r="F301" s="6">
        <f>IF(B301="","",TRIM(A301)&amp;"||"&amp;TRIM(B301))</f>
        <v/>
      </c>
      <c r="G301" s="6">
        <f>IF(B301="","",IF(OR(AND(LOWER(D301)="mapped",TRIM(C301)&lt;&gt;""),AND(LOWER(D301)="ignored",TRIM(E301)&lt;&gt;"")),1,0))</f>
        <v/>
      </c>
      <c r="H301" s="6">
        <f>IF(AND(TRIM(A301)=Setup!$B$4,LOWER(D301)="mapped",TRIM(C301)&lt;&gt;""),IF(SUMPRODUCT((TRIM($A$5:A301)=Setup!$B$4)*(LOWER($D$5:D301)="mapped")*(TRIM($C$5:C301)=TRIM(C301)))=1,ROW(),""),"")</f>
        <v/>
      </c>
    </row>
    <row r="302">
      <c r="A302" s="8" t="n"/>
      <c r="B302" s="8" t="n"/>
      <c r="C302" s="8" t="n"/>
      <c r="D302" s="8" t="n"/>
      <c r="E302" s="8" t="n"/>
      <c r="F302" s="6">
        <f>IF(B302="","",TRIM(A302)&amp;"||"&amp;TRIM(B302))</f>
        <v/>
      </c>
      <c r="G302" s="6">
        <f>IF(B302="","",IF(OR(AND(LOWER(D302)="mapped",TRIM(C302)&lt;&gt;""),AND(LOWER(D302)="ignored",TRIM(E302)&lt;&gt;"")),1,0))</f>
        <v/>
      </c>
      <c r="H302" s="6">
        <f>IF(AND(TRIM(A302)=Setup!$B$4,LOWER(D302)="mapped",TRIM(C302)&lt;&gt;""),IF(SUMPRODUCT((TRIM($A$5:A302)=Setup!$B$4)*(LOWER($D$5:D302)="mapped")*(TRIM($C$5:C302)=TRIM(C302)))=1,ROW(),""),"")</f>
        <v/>
      </c>
    </row>
    <row r="303">
      <c r="A303" s="8" t="n"/>
      <c r="B303" s="8" t="n"/>
      <c r="C303" s="8" t="n"/>
      <c r="D303" s="8" t="n"/>
      <c r="E303" s="8" t="n"/>
      <c r="F303" s="6">
        <f>IF(B303="","",TRIM(A303)&amp;"||"&amp;TRIM(B303))</f>
        <v/>
      </c>
      <c r="G303" s="6">
        <f>IF(B303="","",IF(OR(AND(LOWER(D303)="mapped",TRIM(C303)&lt;&gt;""),AND(LOWER(D303)="ignored",TRIM(E303)&lt;&gt;"")),1,0))</f>
        <v/>
      </c>
      <c r="H303" s="6">
        <f>IF(AND(TRIM(A303)=Setup!$B$4,LOWER(D303)="mapped",TRIM(C303)&lt;&gt;""),IF(SUMPRODUCT((TRIM($A$5:A303)=Setup!$B$4)*(LOWER($D$5:D303)="mapped")*(TRIM($C$5:C303)=TRIM(C303)))=1,ROW(),""),"")</f>
        <v/>
      </c>
    </row>
    <row r="304">
      <c r="A304" s="8" t="n"/>
      <c r="B304" s="8" t="n"/>
      <c r="C304" s="8" t="n"/>
      <c r="D304" s="8" t="n"/>
      <c r="E304" s="8" t="n"/>
      <c r="F304" s="6">
        <f>IF(B304="","",TRIM(A304)&amp;"||"&amp;TRIM(B304))</f>
        <v/>
      </c>
      <c r="G304" s="6">
        <f>IF(B304="","",IF(OR(AND(LOWER(D304)="mapped",TRIM(C304)&lt;&gt;""),AND(LOWER(D304)="ignored",TRIM(E304)&lt;&gt;"")),1,0))</f>
        <v/>
      </c>
      <c r="H304" s="6">
        <f>IF(AND(TRIM(A304)=Setup!$B$4,LOWER(D304)="mapped",TRIM(C304)&lt;&gt;""),IF(SUMPRODUCT((TRIM($A$5:A304)=Setup!$B$4)*(LOWER($D$5:D304)="mapped")*(TRIM($C$5:C304)=TRIM(C304)))=1,ROW(),""),"")</f>
        <v/>
      </c>
    </row>
    <row r="305">
      <c r="A305" s="8" t="n"/>
      <c r="B305" s="8" t="n"/>
      <c r="C305" s="8" t="n"/>
      <c r="D305" s="8" t="n"/>
      <c r="E305" s="8" t="n"/>
      <c r="F305" s="6">
        <f>IF(B305="","",TRIM(A305)&amp;"||"&amp;TRIM(B305))</f>
        <v/>
      </c>
      <c r="G305" s="6">
        <f>IF(B305="","",IF(OR(AND(LOWER(D305)="mapped",TRIM(C305)&lt;&gt;""),AND(LOWER(D305)="ignored",TRIM(E305)&lt;&gt;"")),1,0))</f>
        <v/>
      </c>
      <c r="H305" s="6">
        <f>IF(AND(TRIM(A305)=Setup!$B$4,LOWER(D305)="mapped",TRIM(C305)&lt;&gt;""),IF(SUMPRODUCT((TRIM($A$5:A305)=Setup!$B$4)*(LOWER($D$5:D305)="mapped")*(TRIM($C$5:C305)=TRIM(C305)))=1,ROW(),""),"")</f>
        <v/>
      </c>
    </row>
    <row r="306">
      <c r="A306" s="8" t="n"/>
      <c r="B306" s="8" t="n"/>
      <c r="C306" s="8" t="n"/>
      <c r="D306" s="8" t="n"/>
      <c r="E306" s="8" t="n"/>
      <c r="F306" s="6">
        <f>IF(B306="","",TRIM(A306)&amp;"||"&amp;TRIM(B306))</f>
        <v/>
      </c>
      <c r="G306" s="6">
        <f>IF(B306="","",IF(OR(AND(LOWER(D306)="mapped",TRIM(C306)&lt;&gt;""),AND(LOWER(D306)="ignored",TRIM(E306)&lt;&gt;"")),1,0))</f>
        <v/>
      </c>
      <c r="H306" s="6">
        <f>IF(AND(TRIM(A306)=Setup!$B$4,LOWER(D306)="mapped",TRIM(C306)&lt;&gt;""),IF(SUMPRODUCT((TRIM($A$5:A306)=Setup!$B$4)*(LOWER($D$5:D306)="mapped")*(TRIM($C$5:C306)=TRIM(C306)))=1,ROW(),""),"")</f>
        <v/>
      </c>
    </row>
    <row r="307">
      <c r="A307" s="8" t="n"/>
      <c r="B307" s="8" t="n"/>
      <c r="C307" s="8" t="n"/>
      <c r="D307" s="8" t="n"/>
      <c r="E307" s="8" t="n"/>
      <c r="F307" s="6">
        <f>IF(B307="","",TRIM(A307)&amp;"||"&amp;TRIM(B307))</f>
        <v/>
      </c>
      <c r="G307" s="6">
        <f>IF(B307="","",IF(OR(AND(LOWER(D307)="mapped",TRIM(C307)&lt;&gt;""),AND(LOWER(D307)="ignored",TRIM(E307)&lt;&gt;"")),1,0))</f>
        <v/>
      </c>
      <c r="H307" s="6">
        <f>IF(AND(TRIM(A307)=Setup!$B$4,LOWER(D307)="mapped",TRIM(C307)&lt;&gt;""),IF(SUMPRODUCT((TRIM($A$5:A307)=Setup!$B$4)*(LOWER($D$5:D307)="mapped")*(TRIM($C$5:C307)=TRIM(C307)))=1,ROW(),""),"")</f>
        <v/>
      </c>
    </row>
    <row r="308">
      <c r="A308" s="8" t="n"/>
      <c r="B308" s="8" t="n"/>
      <c r="C308" s="8" t="n"/>
      <c r="D308" s="8" t="n"/>
      <c r="E308" s="8" t="n"/>
      <c r="F308" s="6">
        <f>IF(B308="","",TRIM(A308)&amp;"||"&amp;TRIM(B308))</f>
        <v/>
      </c>
      <c r="G308" s="6">
        <f>IF(B308="","",IF(OR(AND(LOWER(D308)="mapped",TRIM(C308)&lt;&gt;""),AND(LOWER(D308)="ignored",TRIM(E308)&lt;&gt;"")),1,0))</f>
        <v/>
      </c>
      <c r="H308" s="6">
        <f>IF(AND(TRIM(A308)=Setup!$B$4,LOWER(D308)="mapped",TRIM(C308)&lt;&gt;""),IF(SUMPRODUCT((TRIM($A$5:A308)=Setup!$B$4)*(LOWER($D$5:D308)="mapped")*(TRIM($C$5:C308)=TRIM(C308)))=1,ROW(),""),"")</f>
        <v/>
      </c>
    </row>
    <row r="309">
      <c r="A309" s="8" t="n"/>
      <c r="B309" s="8" t="n"/>
      <c r="C309" s="8" t="n"/>
      <c r="D309" s="8" t="n"/>
      <c r="E309" s="8" t="n"/>
      <c r="F309" s="6">
        <f>IF(B309="","",TRIM(A309)&amp;"||"&amp;TRIM(B309))</f>
        <v/>
      </c>
      <c r="G309" s="6">
        <f>IF(B309="","",IF(OR(AND(LOWER(D309)="mapped",TRIM(C309)&lt;&gt;""),AND(LOWER(D309)="ignored",TRIM(E309)&lt;&gt;"")),1,0))</f>
        <v/>
      </c>
      <c r="H309" s="6">
        <f>IF(AND(TRIM(A309)=Setup!$B$4,LOWER(D309)="mapped",TRIM(C309)&lt;&gt;""),IF(SUMPRODUCT((TRIM($A$5:A309)=Setup!$B$4)*(LOWER($D$5:D309)="mapped")*(TRIM($C$5:C309)=TRIM(C309)))=1,ROW(),""),"")</f>
        <v/>
      </c>
    </row>
    <row r="310">
      <c r="A310" s="8" t="n"/>
      <c r="B310" s="8" t="n"/>
      <c r="C310" s="8" t="n"/>
      <c r="D310" s="8" t="n"/>
      <c r="E310" s="8" t="n"/>
      <c r="F310" s="6">
        <f>IF(B310="","",TRIM(A310)&amp;"||"&amp;TRIM(B310))</f>
        <v/>
      </c>
      <c r="G310" s="6">
        <f>IF(B310="","",IF(OR(AND(LOWER(D310)="mapped",TRIM(C310)&lt;&gt;""),AND(LOWER(D310)="ignored",TRIM(E310)&lt;&gt;"")),1,0))</f>
        <v/>
      </c>
      <c r="H310" s="6">
        <f>IF(AND(TRIM(A310)=Setup!$B$4,LOWER(D310)="mapped",TRIM(C310)&lt;&gt;""),IF(SUMPRODUCT((TRIM($A$5:A310)=Setup!$B$4)*(LOWER($D$5:D310)="mapped")*(TRIM($C$5:C310)=TRIM(C310)))=1,ROW(),""),"")</f>
        <v/>
      </c>
    </row>
    <row r="311">
      <c r="A311" s="8" t="n"/>
      <c r="B311" s="8" t="n"/>
      <c r="C311" s="8" t="n"/>
      <c r="D311" s="8" t="n"/>
      <c r="E311" s="8" t="n"/>
      <c r="F311" s="6">
        <f>IF(B311="","",TRIM(A311)&amp;"||"&amp;TRIM(B311))</f>
        <v/>
      </c>
      <c r="G311" s="6">
        <f>IF(B311="","",IF(OR(AND(LOWER(D311)="mapped",TRIM(C311)&lt;&gt;""),AND(LOWER(D311)="ignored",TRIM(E311)&lt;&gt;"")),1,0))</f>
        <v/>
      </c>
      <c r="H311" s="6">
        <f>IF(AND(TRIM(A311)=Setup!$B$4,LOWER(D311)="mapped",TRIM(C311)&lt;&gt;""),IF(SUMPRODUCT((TRIM($A$5:A311)=Setup!$B$4)*(LOWER($D$5:D311)="mapped")*(TRIM($C$5:C311)=TRIM(C311)))=1,ROW(),""),"")</f>
        <v/>
      </c>
    </row>
    <row r="312">
      <c r="A312" s="8" t="n"/>
      <c r="B312" s="8" t="n"/>
      <c r="C312" s="8" t="n"/>
      <c r="D312" s="8" t="n"/>
      <c r="E312" s="8" t="n"/>
      <c r="F312" s="6">
        <f>IF(B312="","",TRIM(A312)&amp;"||"&amp;TRIM(B312))</f>
        <v/>
      </c>
      <c r="G312" s="6">
        <f>IF(B312="","",IF(OR(AND(LOWER(D312)="mapped",TRIM(C312)&lt;&gt;""),AND(LOWER(D312)="ignored",TRIM(E312)&lt;&gt;"")),1,0))</f>
        <v/>
      </c>
      <c r="H312" s="6">
        <f>IF(AND(TRIM(A312)=Setup!$B$4,LOWER(D312)="mapped",TRIM(C312)&lt;&gt;""),IF(SUMPRODUCT((TRIM($A$5:A312)=Setup!$B$4)*(LOWER($D$5:D312)="mapped")*(TRIM($C$5:C312)=TRIM(C312)))=1,ROW(),""),"")</f>
        <v/>
      </c>
    </row>
    <row r="313">
      <c r="A313" s="8" t="n"/>
      <c r="B313" s="8" t="n"/>
      <c r="C313" s="8" t="n"/>
      <c r="D313" s="8" t="n"/>
      <c r="E313" s="8" t="n"/>
      <c r="F313" s="6">
        <f>IF(B313="","",TRIM(A313)&amp;"||"&amp;TRIM(B313))</f>
        <v/>
      </c>
      <c r="G313" s="6">
        <f>IF(B313="","",IF(OR(AND(LOWER(D313)="mapped",TRIM(C313)&lt;&gt;""),AND(LOWER(D313)="ignored",TRIM(E313)&lt;&gt;"")),1,0))</f>
        <v/>
      </c>
      <c r="H313" s="6">
        <f>IF(AND(TRIM(A313)=Setup!$B$4,LOWER(D313)="mapped",TRIM(C313)&lt;&gt;""),IF(SUMPRODUCT((TRIM($A$5:A313)=Setup!$B$4)*(LOWER($D$5:D313)="mapped")*(TRIM($C$5:C313)=TRIM(C313)))=1,ROW(),""),"")</f>
        <v/>
      </c>
    </row>
    <row r="314">
      <c r="A314" s="8" t="n"/>
      <c r="B314" s="8" t="n"/>
      <c r="C314" s="8" t="n"/>
      <c r="D314" s="8" t="n"/>
      <c r="E314" s="8" t="n"/>
      <c r="F314" s="6">
        <f>IF(B314="","",TRIM(A314)&amp;"||"&amp;TRIM(B314))</f>
        <v/>
      </c>
      <c r="G314" s="6">
        <f>IF(B314="","",IF(OR(AND(LOWER(D314)="mapped",TRIM(C314)&lt;&gt;""),AND(LOWER(D314)="ignored",TRIM(E314)&lt;&gt;"")),1,0))</f>
        <v/>
      </c>
      <c r="H314" s="6">
        <f>IF(AND(TRIM(A314)=Setup!$B$4,LOWER(D314)="mapped",TRIM(C314)&lt;&gt;""),IF(SUMPRODUCT((TRIM($A$5:A314)=Setup!$B$4)*(LOWER($D$5:D314)="mapped")*(TRIM($C$5:C314)=TRIM(C314)))=1,ROW(),""),"")</f>
        <v/>
      </c>
    </row>
    <row r="315">
      <c r="A315" s="8" t="n"/>
      <c r="B315" s="8" t="n"/>
      <c r="C315" s="8" t="n"/>
      <c r="D315" s="8" t="n"/>
      <c r="E315" s="8" t="n"/>
      <c r="F315" s="6">
        <f>IF(B315="","",TRIM(A315)&amp;"||"&amp;TRIM(B315))</f>
        <v/>
      </c>
      <c r="G315" s="6">
        <f>IF(B315="","",IF(OR(AND(LOWER(D315)="mapped",TRIM(C315)&lt;&gt;""),AND(LOWER(D315)="ignored",TRIM(E315)&lt;&gt;"")),1,0))</f>
        <v/>
      </c>
      <c r="H315" s="6">
        <f>IF(AND(TRIM(A315)=Setup!$B$4,LOWER(D315)="mapped",TRIM(C315)&lt;&gt;""),IF(SUMPRODUCT((TRIM($A$5:A315)=Setup!$B$4)*(LOWER($D$5:D315)="mapped")*(TRIM($C$5:C315)=TRIM(C315)))=1,ROW(),""),"")</f>
        <v/>
      </c>
    </row>
    <row r="316">
      <c r="A316" s="8" t="n"/>
      <c r="B316" s="8" t="n"/>
      <c r="C316" s="8" t="n"/>
      <c r="D316" s="8" t="n"/>
      <c r="E316" s="8" t="n"/>
      <c r="F316" s="6">
        <f>IF(B316="","",TRIM(A316)&amp;"||"&amp;TRIM(B316))</f>
        <v/>
      </c>
      <c r="G316" s="6">
        <f>IF(B316="","",IF(OR(AND(LOWER(D316)="mapped",TRIM(C316)&lt;&gt;""),AND(LOWER(D316)="ignored",TRIM(E316)&lt;&gt;"")),1,0))</f>
        <v/>
      </c>
      <c r="H316" s="6">
        <f>IF(AND(TRIM(A316)=Setup!$B$4,LOWER(D316)="mapped",TRIM(C316)&lt;&gt;""),IF(SUMPRODUCT((TRIM($A$5:A316)=Setup!$B$4)*(LOWER($D$5:D316)="mapped")*(TRIM($C$5:C316)=TRIM(C316)))=1,ROW(),""),"")</f>
        <v/>
      </c>
    </row>
    <row r="317">
      <c r="A317" s="8" t="n"/>
      <c r="B317" s="8" t="n"/>
      <c r="C317" s="8" t="n"/>
      <c r="D317" s="8" t="n"/>
      <c r="E317" s="8" t="n"/>
      <c r="F317" s="6">
        <f>IF(B317="","",TRIM(A317)&amp;"||"&amp;TRIM(B317))</f>
        <v/>
      </c>
      <c r="G317" s="6">
        <f>IF(B317="","",IF(OR(AND(LOWER(D317)="mapped",TRIM(C317)&lt;&gt;""),AND(LOWER(D317)="ignored",TRIM(E317)&lt;&gt;"")),1,0))</f>
        <v/>
      </c>
      <c r="H317" s="6">
        <f>IF(AND(TRIM(A317)=Setup!$B$4,LOWER(D317)="mapped",TRIM(C317)&lt;&gt;""),IF(SUMPRODUCT((TRIM($A$5:A317)=Setup!$B$4)*(LOWER($D$5:D317)="mapped")*(TRIM($C$5:C317)=TRIM(C317)))=1,ROW(),""),"")</f>
        <v/>
      </c>
    </row>
    <row r="318">
      <c r="A318" s="8" t="n"/>
      <c r="B318" s="8" t="n"/>
      <c r="C318" s="8" t="n"/>
      <c r="D318" s="8" t="n"/>
      <c r="E318" s="8" t="n"/>
      <c r="F318" s="6">
        <f>IF(B318="","",TRIM(A318)&amp;"||"&amp;TRIM(B318))</f>
        <v/>
      </c>
      <c r="G318" s="6">
        <f>IF(B318="","",IF(OR(AND(LOWER(D318)="mapped",TRIM(C318)&lt;&gt;""),AND(LOWER(D318)="ignored",TRIM(E318)&lt;&gt;"")),1,0))</f>
        <v/>
      </c>
      <c r="H318" s="6">
        <f>IF(AND(TRIM(A318)=Setup!$B$4,LOWER(D318)="mapped",TRIM(C318)&lt;&gt;""),IF(SUMPRODUCT((TRIM($A$5:A318)=Setup!$B$4)*(LOWER($D$5:D318)="mapped")*(TRIM($C$5:C318)=TRIM(C318)))=1,ROW(),""),"")</f>
        <v/>
      </c>
    </row>
    <row r="319">
      <c r="A319" s="8" t="n"/>
      <c r="B319" s="8" t="n"/>
      <c r="C319" s="8" t="n"/>
      <c r="D319" s="8" t="n"/>
      <c r="E319" s="8" t="n"/>
      <c r="F319" s="6">
        <f>IF(B319="","",TRIM(A319)&amp;"||"&amp;TRIM(B319))</f>
        <v/>
      </c>
      <c r="G319" s="6">
        <f>IF(B319="","",IF(OR(AND(LOWER(D319)="mapped",TRIM(C319)&lt;&gt;""),AND(LOWER(D319)="ignored",TRIM(E319)&lt;&gt;"")),1,0))</f>
        <v/>
      </c>
      <c r="H319" s="6">
        <f>IF(AND(TRIM(A319)=Setup!$B$4,LOWER(D319)="mapped",TRIM(C319)&lt;&gt;""),IF(SUMPRODUCT((TRIM($A$5:A319)=Setup!$B$4)*(LOWER($D$5:D319)="mapped")*(TRIM($C$5:C319)=TRIM(C319)))=1,ROW(),""),"")</f>
        <v/>
      </c>
    </row>
    <row r="320">
      <c r="A320" s="8" t="n"/>
      <c r="B320" s="8" t="n"/>
      <c r="C320" s="8" t="n"/>
      <c r="D320" s="8" t="n"/>
      <c r="E320" s="8" t="n"/>
      <c r="F320" s="6">
        <f>IF(B320="","",TRIM(A320)&amp;"||"&amp;TRIM(B320))</f>
        <v/>
      </c>
      <c r="G320" s="6">
        <f>IF(B320="","",IF(OR(AND(LOWER(D320)="mapped",TRIM(C320)&lt;&gt;""),AND(LOWER(D320)="ignored",TRIM(E320)&lt;&gt;"")),1,0))</f>
        <v/>
      </c>
      <c r="H320" s="6">
        <f>IF(AND(TRIM(A320)=Setup!$B$4,LOWER(D320)="mapped",TRIM(C320)&lt;&gt;""),IF(SUMPRODUCT((TRIM($A$5:A320)=Setup!$B$4)*(LOWER($D$5:D320)="mapped")*(TRIM($C$5:C320)=TRIM(C320)))=1,ROW(),""),"")</f>
        <v/>
      </c>
    </row>
    <row r="321">
      <c r="A321" s="8" t="n"/>
      <c r="B321" s="8" t="n"/>
      <c r="C321" s="8" t="n"/>
      <c r="D321" s="8" t="n"/>
      <c r="E321" s="8" t="n"/>
      <c r="F321" s="6">
        <f>IF(B321="","",TRIM(A321)&amp;"||"&amp;TRIM(B321))</f>
        <v/>
      </c>
      <c r="G321" s="6">
        <f>IF(B321="","",IF(OR(AND(LOWER(D321)="mapped",TRIM(C321)&lt;&gt;""),AND(LOWER(D321)="ignored",TRIM(E321)&lt;&gt;"")),1,0))</f>
        <v/>
      </c>
      <c r="H321" s="6">
        <f>IF(AND(TRIM(A321)=Setup!$B$4,LOWER(D321)="mapped",TRIM(C321)&lt;&gt;""),IF(SUMPRODUCT((TRIM($A$5:A321)=Setup!$B$4)*(LOWER($D$5:D321)="mapped")*(TRIM($C$5:C321)=TRIM(C321)))=1,ROW(),""),"")</f>
        <v/>
      </c>
    </row>
    <row r="322">
      <c r="A322" s="8" t="n"/>
      <c r="B322" s="8" t="n"/>
      <c r="C322" s="8" t="n"/>
      <c r="D322" s="8" t="n"/>
      <c r="E322" s="8" t="n"/>
      <c r="F322" s="6">
        <f>IF(B322="","",TRIM(A322)&amp;"||"&amp;TRIM(B322))</f>
        <v/>
      </c>
      <c r="G322" s="6">
        <f>IF(B322="","",IF(OR(AND(LOWER(D322)="mapped",TRIM(C322)&lt;&gt;""),AND(LOWER(D322)="ignored",TRIM(E322)&lt;&gt;"")),1,0))</f>
        <v/>
      </c>
      <c r="H322" s="6">
        <f>IF(AND(TRIM(A322)=Setup!$B$4,LOWER(D322)="mapped",TRIM(C322)&lt;&gt;""),IF(SUMPRODUCT((TRIM($A$5:A322)=Setup!$B$4)*(LOWER($D$5:D322)="mapped")*(TRIM($C$5:C322)=TRIM(C322)))=1,ROW(),""),"")</f>
        <v/>
      </c>
    </row>
    <row r="323">
      <c r="A323" s="8" t="n"/>
      <c r="B323" s="8" t="n"/>
      <c r="C323" s="8" t="n"/>
      <c r="D323" s="8" t="n"/>
      <c r="E323" s="8" t="n"/>
      <c r="F323" s="6">
        <f>IF(B323="","",TRIM(A323)&amp;"||"&amp;TRIM(B323))</f>
        <v/>
      </c>
      <c r="G323" s="6">
        <f>IF(B323="","",IF(OR(AND(LOWER(D323)="mapped",TRIM(C323)&lt;&gt;""),AND(LOWER(D323)="ignored",TRIM(E323)&lt;&gt;"")),1,0))</f>
        <v/>
      </c>
      <c r="H323" s="6">
        <f>IF(AND(TRIM(A323)=Setup!$B$4,LOWER(D323)="mapped",TRIM(C323)&lt;&gt;""),IF(SUMPRODUCT((TRIM($A$5:A323)=Setup!$B$4)*(LOWER($D$5:D323)="mapped")*(TRIM($C$5:C323)=TRIM(C323)))=1,ROW(),""),"")</f>
        <v/>
      </c>
    </row>
    <row r="324">
      <c r="A324" s="8" t="n"/>
      <c r="B324" s="8" t="n"/>
      <c r="C324" s="8" t="n"/>
      <c r="D324" s="8" t="n"/>
      <c r="E324" s="8" t="n"/>
      <c r="F324" s="6">
        <f>IF(B324="","",TRIM(A324)&amp;"||"&amp;TRIM(B324))</f>
        <v/>
      </c>
      <c r="G324" s="6">
        <f>IF(B324="","",IF(OR(AND(LOWER(D324)="mapped",TRIM(C324)&lt;&gt;""),AND(LOWER(D324)="ignored",TRIM(E324)&lt;&gt;"")),1,0))</f>
        <v/>
      </c>
      <c r="H324" s="6">
        <f>IF(AND(TRIM(A324)=Setup!$B$4,LOWER(D324)="mapped",TRIM(C324)&lt;&gt;""),IF(SUMPRODUCT((TRIM($A$5:A324)=Setup!$B$4)*(LOWER($D$5:D324)="mapped")*(TRIM($C$5:C324)=TRIM(C324)))=1,ROW(),""),"")</f>
        <v/>
      </c>
    </row>
    <row r="325">
      <c r="A325" s="8" t="n"/>
      <c r="B325" s="8" t="n"/>
      <c r="C325" s="8" t="n"/>
      <c r="D325" s="8" t="n"/>
      <c r="E325" s="8" t="n"/>
      <c r="F325" s="6">
        <f>IF(B325="","",TRIM(A325)&amp;"||"&amp;TRIM(B325))</f>
        <v/>
      </c>
      <c r="G325" s="6">
        <f>IF(B325="","",IF(OR(AND(LOWER(D325)="mapped",TRIM(C325)&lt;&gt;""),AND(LOWER(D325)="ignored",TRIM(E325)&lt;&gt;"")),1,0))</f>
        <v/>
      </c>
      <c r="H325" s="6">
        <f>IF(AND(TRIM(A325)=Setup!$B$4,LOWER(D325)="mapped",TRIM(C325)&lt;&gt;""),IF(SUMPRODUCT((TRIM($A$5:A325)=Setup!$B$4)*(LOWER($D$5:D325)="mapped")*(TRIM($C$5:C325)=TRIM(C325)))=1,ROW(),""),"")</f>
        <v/>
      </c>
    </row>
    <row r="326">
      <c r="A326" s="8" t="n"/>
      <c r="B326" s="8" t="n"/>
      <c r="C326" s="8" t="n"/>
      <c r="D326" s="8" t="n"/>
      <c r="E326" s="8" t="n"/>
      <c r="F326" s="6">
        <f>IF(B326="","",TRIM(A326)&amp;"||"&amp;TRIM(B326))</f>
        <v/>
      </c>
      <c r="G326" s="6">
        <f>IF(B326="","",IF(OR(AND(LOWER(D326)="mapped",TRIM(C326)&lt;&gt;""),AND(LOWER(D326)="ignored",TRIM(E326)&lt;&gt;"")),1,0))</f>
        <v/>
      </c>
      <c r="H326" s="6">
        <f>IF(AND(TRIM(A326)=Setup!$B$4,LOWER(D326)="mapped",TRIM(C326)&lt;&gt;""),IF(SUMPRODUCT((TRIM($A$5:A326)=Setup!$B$4)*(LOWER($D$5:D326)="mapped")*(TRIM($C$5:C326)=TRIM(C326)))=1,ROW(),""),"")</f>
        <v/>
      </c>
    </row>
    <row r="327">
      <c r="A327" s="8" t="n"/>
      <c r="B327" s="8" t="n"/>
      <c r="C327" s="8" t="n"/>
      <c r="D327" s="8" t="n"/>
      <c r="E327" s="8" t="n"/>
      <c r="F327" s="6">
        <f>IF(B327="","",TRIM(A327)&amp;"||"&amp;TRIM(B327))</f>
        <v/>
      </c>
      <c r="G327" s="6">
        <f>IF(B327="","",IF(OR(AND(LOWER(D327)="mapped",TRIM(C327)&lt;&gt;""),AND(LOWER(D327)="ignored",TRIM(E327)&lt;&gt;"")),1,0))</f>
        <v/>
      </c>
      <c r="H327" s="6">
        <f>IF(AND(TRIM(A327)=Setup!$B$4,LOWER(D327)="mapped",TRIM(C327)&lt;&gt;""),IF(SUMPRODUCT((TRIM($A$5:A327)=Setup!$B$4)*(LOWER($D$5:D327)="mapped")*(TRIM($C$5:C327)=TRIM(C327)))=1,ROW(),""),"")</f>
        <v/>
      </c>
    </row>
    <row r="328">
      <c r="A328" s="8" t="n"/>
      <c r="B328" s="8" t="n"/>
      <c r="C328" s="8" t="n"/>
      <c r="D328" s="8" t="n"/>
      <c r="E328" s="8" t="n"/>
      <c r="F328" s="6">
        <f>IF(B328="","",TRIM(A328)&amp;"||"&amp;TRIM(B328))</f>
        <v/>
      </c>
      <c r="G328" s="6">
        <f>IF(B328="","",IF(OR(AND(LOWER(D328)="mapped",TRIM(C328)&lt;&gt;""),AND(LOWER(D328)="ignored",TRIM(E328)&lt;&gt;"")),1,0))</f>
        <v/>
      </c>
      <c r="H328" s="6">
        <f>IF(AND(TRIM(A328)=Setup!$B$4,LOWER(D328)="mapped",TRIM(C328)&lt;&gt;""),IF(SUMPRODUCT((TRIM($A$5:A328)=Setup!$B$4)*(LOWER($D$5:D328)="mapped")*(TRIM($C$5:C328)=TRIM(C328)))=1,ROW(),""),"")</f>
        <v/>
      </c>
    </row>
    <row r="329">
      <c r="A329" s="8" t="n"/>
      <c r="B329" s="8" t="n"/>
      <c r="C329" s="8" t="n"/>
      <c r="D329" s="8" t="n"/>
      <c r="E329" s="8" t="n"/>
      <c r="F329" s="6">
        <f>IF(B329="","",TRIM(A329)&amp;"||"&amp;TRIM(B329))</f>
        <v/>
      </c>
      <c r="G329" s="6">
        <f>IF(B329="","",IF(OR(AND(LOWER(D329)="mapped",TRIM(C329)&lt;&gt;""),AND(LOWER(D329)="ignored",TRIM(E329)&lt;&gt;"")),1,0))</f>
        <v/>
      </c>
      <c r="H329" s="6">
        <f>IF(AND(TRIM(A329)=Setup!$B$4,LOWER(D329)="mapped",TRIM(C329)&lt;&gt;""),IF(SUMPRODUCT((TRIM($A$5:A329)=Setup!$B$4)*(LOWER($D$5:D329)="mapped")*(TRIM($C$5:C329)=TRIM(C329)))=1,ROW(),""),"")</f>
        <v/>
      </c>
    </row>
    <row r="330">
      <c r="A330" s="8" t="n"/>
      <c r="B330" s="8" t="n"/>
      <c r="C330" s="8" t="n"/>
      <c r="D330" s="8" t="n"/>
      <c r="E330" s="8" t="n"/>
      <c r="F330" s="6">
        <f>IF(B330="","",TRIM(A330)&amp;"||"&amp;TRIM(B330))</f>
        <v/>
      </c>
      <c r="G330" s="6">
        <f>IF(B330="","",IF(OR(AND(LOWER(D330)="mapped",TRIM(C330)&lt;&gt;""),AND(LOWER(D330)="ignored",TRIM(E330)&lt;&gt;"")),1,0))</f>
        <v/>
      </c>
      <c r="H330" s="6">
        <f>IF(AND(TRIM(A330)=Setup!$B$4,LOWER(D330)="mapped",TRIM(C330)&lt;&gt;""),IF(SUMPRODUCT((TRIM($A$5:A330)=Setup!$B$4)*(LOWER($D$5:D330)="mapped")*(TRIM($C$5:C330)=TRIM(C330)))=1,ROW(),""),"")</f>
        <v/>
      </c>
    </row>
    <row r="331">
      <c r="A331" s="8" t="n"/>
      <c r="B331" s="8" t="n"/>
      <c r="C331" s="8" t="n"/>
      <c r="D331" s="8" t="n"/>
      <c r="E331" s="8" t="n"/>
      <c r="F331" s="6">
        <f>IF(B331="","",TRIM(A331)&amp;"||"&amp;TRIM(B331))</f>
        <v/>
      </c>
      <c r="G331" s="6">
        <f>IF(B331="","",IF(OR(AND(LOWER(D331)="mapped",TRIM(C331)&lt;&gt;""),AND(LOWER(D331)="ignored",TRIM(E331)&lt;&gt;"")),1,0))</f>
        <v/>
      </c>
      <c r="H331" s="6">
        <f>IF(AND(TRIM(A331)=Setup!$B$4,LOWER(D331)="mapped",TRIM(C331)&lt;&gt;""),IF(SUMPRODUCT((TRIM($A$5:A331)=Setup!$B$4)*(LOWER($D$5:D331)="mapped")*(TRIM($C$5:C331)=TRIM(C331)))=1,ROW(),""),"")</f>
        <v/>
      </c>
    </row>
    <row r="332">
      <c r="A332" s="8" t="n"/>
      <c r="B332" s="8" t="n"/>
      <c r="C332" s="8" t="n"/>
      <c r="D332" s="8" t="n"/>
      <c r="E332" s="8" t="n"/>
      <c r="F332" s="6">
        <f>IF(B332="","",TRIM(A332)&amp;"||"&amp;TRIM(B332))</f>
        <v/>
      </c>
      <c r="G332" s="6">
        <f>IF(B332="","",IF(OR(AND(LOWER(D332)="mapped",TRIM(C332)&lt;&gt;""),AND(LOWER(D332)="ignored",TRIM(E332)&lt;&gt;"")),1,0))</f>
        <v/>
      </c>
      <c r="H332" s="6">
        <f>IF(AND(TRIM(A332)=Setup!$B$4,LOWER(D332)="mapped",TRIM(C332)&lt;&gt;""),IF(SUMPRODUCT((TRIM($A$5:A332)=Setup!$B$4)*(LOWER($D$5:D332)="mapped")*(TRIM($C$5:C332)=TRIM(C332)))=1,ROW(),""),"")</f>
        <v/>
      </c>
    </row>
    <row r="333">
      <c r="A333" s="8" t="n"/>
      <c r="B333" s="8" t="n"/>
      <c r="C333" s="8" t="n"/>
      <c r="D333" s="8" t="n"/>
      <c r="E333" s="8" t="n"/>
      <c r="F333" s="6">
        <f>IF(B333="","",TRIM(A333)&amp;"||"&amp;TRIM(B333))</f>
        <v/>
      </c>
      <c r="G333" s="6">
        <f>IF(B333="","",IF(OR(AND(LOWER(D333)="mapped",TRIM(C333)&lt;&gt;""),AND(LOWER(D333)="ignored",TRIM(E333)&lt;&gt;"")),1,0))</f>
        <v/>
      </c>
      <c r="H333" s="6">
        <f>IF(AND(TRIM(A333)=Setup!$B$4,LOWER(D333)="mapped",TRIM(C333)&lt;&gt;""),IF(SUMPRODUCT((TRIM($A$5:A333)=Setup!$B$4)*(LOWER($D$5:D333)="mapped")*(TRIM($C$5:C333)=TRIM(C333)))=1,ROW(),""),"")</f>
        <v/>
      </c>
    </row>
    <row r="334">
      <c r="A334" s="8" t="n"/>
      <c r="B334" s="8" t="n"/>
      <c r="C334" s="8" t="n"/>
      <c r="D334" s="8" t="n"/>
      <c r="E334" s="8" t="n"/>
      <c r="F334" s="6">
        <f>IF(B334="","",TRIM(A334)&amp;"||"&amp;TRIM(B334))</f>
        <v/>
      </c>
      <c r="G334" s="6">
        <f>IF(B334="","",IF(OR(AND(LOWER(D334)="mapped",TRIM(C334)&lt;&gt;""),AND(LOWER(D334)="ignored",TRIM(E334)&lt;&gt;"")),1,0))</f>
        <v/>
      </c>
      <c r="H334" s="6">
        <f>IF(AND(TRIM(A334)=Setup!$B$4,LOWER(D334)="mapped",TRIM(C334)&lt;&gt;""),IF(SUMPRODUCT((TRIM($A$5:A334)=Setup!$B$4)*(LOWER($D$5:D334)="mapped")*(TRIM($C$5:C334)=TRIM(C334)))=1,ROW(),""),"")</f>
        <v/>
      </c>
    </row>
    <row r="335">
      <c r="A335" s="8" t="n"/>
      <c r="B335" s="8" t="n"/>
      <c r="C335" s="8" t="n"/>
      <c r="D335" s="8" t="n"/>
      <c r="E335" s="8" t="n"/>
      <c r="F335" s="6">
        <f>IF(B335="","",TRIM(A335)&amp;"||"&amp;TRIM(B335))</f>
        <v/>
      </c>
      <c r="G335" s="6">
        <f>IF(B335="","",IF(OR(AND(LOWER(D335)="mapped",TRIM(C335)&lt;&gt;""),AND(LOWER(D335)="ignored",TRIM(E335)&lt;&gt;"")),1,0))</f>
        <v/>
      </c>
      <c r="H335" s="6">
        <f>IF(AND(TRIM(A335)=Setup!$B$4,LOWER(D335)="mapped",TRIM(C335)&lt;&gt;""),IF(SUMPRODUCT((TRIM($A$5:A335)=Setup!$B$4)*(LOWER($D$5:D335)="mapped")*(TRIM($C$5:C335)=TRIM(C335)))=1,ROW(),""),"")</f>
        <v/>
      </c>
    </row>
    <row r="336">
      <c r="A336" s="8" t="n"/>
      <c r="B336" s="8" t="n"/>
      <c r="C336" s="8" t="n"/>
      <c r="D336" s="8" t="n"/>
      <c r="E336" s="8" t="n"/>
      <c r="F336" s="6">
        <f>IF(B336="","",TRIM(A336)&amp;"||"&amp;TRIM(B336))</f>
        <v/>
      </c>
      <c r="G336" s="6">
        <f>IF(B336="","",IF(OR(AND(LOWER(D336)="mapped",TRIM(C336)&lt;&gt;""),AND(LOWER(D336)="ignored",TRIM(E336)&lt;&gt;"")),1,0))</f>
        <v/>
      </c>
      <c r="H336" s="6">
        <f>IF(AND(TRIM(A336)=Setup!$B$4,LOWER(D336)="mapped",TRIM(C336)&lt;&gt;""),IF(SUMPRODUCT((TRIM($A$5:A336)=Setup!$B$4)*(LOWER($D$5:D336)="mapped")*(TRIM($C$5:C336)=TRIM(C336)))=1,ROW(),""),"")</f>
        <v/>
      </c>
    </row>
    <row r="337">
      <c r="A337" s="8" t="n"/>
      <c r="B337" s="8" t="n"/>
      <c r="C337" s="8" t="n"/>
      <c r="D337" s="8" t="n"/>
      <c r="E337" s="8" t="n"/>
      <c r="F337" s="6">
        <f>IF(B337="","",TRIM(A337)&amp;"||"&amp;TRIM(B337))</f>
        <v/>
      </c>
      <c r="G337" s="6">
        <f>IF(B337="","",IF(OR(AND(LOWER(D337)="mapped",TRIM(C337)&lt;&gt;""),AND(LOWER(D337)="ignored",TRIM(E337)&lt;&gt;"")),1,0))</f>
        <v/>
      </c>
      <c r="H337" s="6">
        <f>IF(AND(TRIM(A337)=Setup!$B$4,LOWER(D337)="mapped",TRIM(C337)&lt;&gt;""),IF(SUMPRODUCT((TRIM($A$5:A337)=Setup!$B$4)*(LOWER($D$5:D337)="mapped")*(TRIM($C$5:C337)=TRIM(C337)))=1,ROW(),""),"")</f>
        <v/>
      </c>
    </row>
    <row r="338">
      <c r="A338" s="8" t="n"/>
      <c r="B338" s="8" t="n"/>
      <c r="C338" s="8" t="n"/>
      <c r="D338" s="8" t="n"/>
      <c r="E338" s="8" t="n"/>
      <c r="F338" s="6">
        <f>IF(B338="","",TRIM(A338)&amp;"||"&amp;TRIM(B338))</f>
        <v/>
      </c>
      <c r="G338" s="6">
        <f>IF(B338="","",IF(OR(AND(LOWER(D338)="mapped",TRIM(C338)&lt;&gt;""),AND(LOWER(D338)="ignored",TRIM(E338)&lt;&gt;"")),1,0))</f>
        <v/>
      </c>
      <c r="H338" s="6">
        <f>IF(AND(TRIM(A338)=Setup!$B$4,LOWER(D338)="mapped",TRIM(C338)&lt;&gt;""),IF(SUMPRODUCT((TRIM($A$5:A338)=Setup!$B$4)*(LOWER($D$5:D338)="mapped")*(TRIM($C$5:C338)=TRIM(C338)))=1,ROW(),""),"")</f>
        <v/>
      </c>
    </row>
    <row r="339">
      <c r="A339" s="8" t="n"/>
      <c r="B339" s="8" t="n"/>
      <c r="C339" s="8" t="n"/>
      <c r="D339" s="8" t="n"/>
      <c r="E339" s="8" t="n"/>
      <c r="F339" s="6">
        <f>IF(B339="","",TRIM(A339)&amp;"||"&amp;TRIM(B339))</f>
        <v/>
      </c>
      <c r="G339" s="6">
        <f>IF(B339="","",IF(OR(AND(LOWER(D339)="mapped",TRIM(C339)&lt;&gt;""),AND(LOWER(D339)="ignored",TRIM(E339)&lt;&gt;"")),1,0))</f>
        <v/>
      </c>
      <c r="H339" s="6">
        <f>IF(AND(TRIM(A339)=Setup!$B$4,LOWER(D339)="mapped",TRIM(C339)&lt;&gt;""),IF(SUMPRODUCT((TRIM($A$5:A339)=Setup!$B$4)*(LOWER($D$5:D339)="mapped")*(TRIM($C$5:C339)=TRIM(C339)))=1,ROW(),""),"")</f>
        <v/>
      </c>
    </row>
    <row r="340">
      <c r="A340" s="8" t="n"/>
      <c r="B340" s="8" t="n"/>
      <c r="C340" s="8" t="n"/>
      <c r="D340" s="8" t="n"/>
      <c r="E340" s="8" t="n"/>
      <c r="F340" s="6">
        <f>IF(B340="","",TRIM(A340)&amp;"||"&amp;TRIM(B340))</f>
        <v/>
      </c>
      <c r="G340" s="6">
        <f>IF(B340="","",IF(OR(AND(LOWER(D340)="mapped",TRIM(C340)&lt;&gt;""),AND(LOWER(D340)="ignored",TRIM(E340)&lt;&gt;"")),1,0))</f>
        <v/>
      </c>
      <c r="H340" s="6">
        <f>IF(AND(TRIM(A340)=Setup!$B$4,LOWER(D340)="mapped",TRIM(C340)&lt;&gt;""),IF(SUMPRODUCT((TRIM($A$5:A340)=Setup!$B$4)*(LOWER($D$5:D340)="mapped")*(TRIM($C$5:C340)=TRIM(C340)))=1,ROW(),""),"")</f>
        <v/>
      </c>
    </row>
    <row r="341">
      <c r="A341" s="8" t="n"/>
      <c r="B341" s="8" t="n"/>
      <c r="C341" s="8" t="n"/>
      <c r="D341" s="8" t="n"/>
      <c r="E341" s="8" t="n"/>
      <c r="F341" s="6">
        <f>IF(B341="","",TRIM(A341)&amp;"||"&amp;TRIM(B341))</f>
        <v/>
      </c>
      <c r="G341" s="6">
        <f>IF(B341="","",IF(OR(AND(LOWER(D341)="mapped",TRIM(C341)&lt;&gt;""),AND(LOWER(D341)="ignored",TRIM(E341)&lt;&gt;"")),1,0))</f>
        <v/>
      </c>
      <c r="H341" s="6">
        <f>IF(AND(TRIM(A341)=Setup!$B$4,LOWER(D341)="mapped",TRIM(C341)&lt;&gt;""),IF(SUMPRODUCT((TRIM($A$5:A341)=Setup!$B$4)*(LOWER($D$5:D341)="mapped")*(TRIM($C$5:C341)=TRIM(C341)))=1,ROW(),""),"")</f>
        <v/>
      </c>
    </row>
    <row r="342">
      <c r="A342" s="8" t="n"/>
      <c r="B342" s="8" t="n"/>
      <c r="C342" s="8" t="n"/>
      <c r="D342" s="8" t="n"/>
      <c r="E342" s="8" t="n"/>
      <c r="F342" s="6">
        <f>IF(B342="","",TRIM(A342)&amp;"||"&amp;TRIM(B342))</f>
        <v/>
      </c>
      <c r="G342" s="6">
        <f>IF(B342="","",IF(OR(AND(LOWER(D342)="mapped",TRIM(C342)&lt;&gt;""),AND(LOWER(D342)="ignored",TRIM(E342)&lt;&gt;"")),1,0))</f>
        <v/>
      </c>
      <c r="H342" s="6">
        <f>IF(AND(TRIM(A342)=Setup!$B$4,LOWER(D342)="mapped",TRIM(C342)&lt;&gt;""),IF(SUMPRODUCT((TRIM($A$5:A342)=Setup!$B$4)*(LOWER($D$5:D342)="mapped")*(TRIM($C$5:C342)=TRIM(C342)))=1,ROW(),""),"")</f>
        <v/>
      </c>
    </row>
    <row r="343">
      <c r="A343" s="8" t="n"/>
      <c r="B343" s="8" t="n"/>
      <c r="C343" s="8" t="n"/>
      <c r="D343" s="8" t="n"/>
      <c r="E343" s="8" t="n"/>
      <c r="F343" s="6">
        <f>IF(B343="","",TRIM(A343)&amp;"||"&amp;TRIM(B343))</f>
        <v/>
      </c>
      <c r="G343" s="6">
        <f>IF(B343="","",IF(OR(AND(LOWER(D343)="mapped",TRIM(C343)&lt;&gt;""),AND(LOWER(D343)="ignored",TRIM(E343)&lt;&gt;"")),1,0))</f>
        <v/>
      </c>
      <c r="H343" s="6">
        <f>IF(AND(TRIM(A343)=Setup!$B$4,LOWER(D343)="mapped",TRIM(C343)&lt;&gt;""),IF(SUMPRODUCT((TRIM($A$5:A343)=Setup!$B$4)*(LOWER($D$5:D343)="mapped")*(TRIM($C$5:C343)=TRIM(C343)))=1,ROW(),""),"")</f>
        <v/>
      </c>
    </row>
    <row r="344">
      <c r="A344" s="8" t="n"/>
      <c r="B344" s="8" t="n"/>
      <c r="C344" s="8" t="n"/>
      <c r="D344" s="8" t="n"/>
      <c r="E344" s="8" t="n"/>
      <c r="F344" s="6">
        <f>IF(B344="","",TRIM(A344)&amp;"||"&amp;TRIM(B344))</f>
        <v/>
      </c>
      <c r="G344" s="6">
        <f>IF(B344="","",IF(OR(AND(LOWER(D344)="mapped",TRIM(C344)&lt;&gt;""),AND(LOWER(D344)="ignored",TRIM(E344)&lt;&gt;"")),1,0))</f>
        <v/>
      </c>
      <c r="H344" s="6">
        <f>IF(AND(TRIM(A344)=Setup!$B$4,LOWER(D344)="mapped",TRIM(C344)&lt;&gt;""),IF(SUMPRODUCT((TRIM($A$5:A344)=Setup!$B$4)*(LOWER($D$5:D344)="mapped")*(TRIM($C$5:C344)=TRIM(C344)))=1,ROW(),""),"")</f>
        <v/>
      </c>
    </row>
    <row r="345">
      <c r="A345" s="8" t="n"/>
      <c r="B345" s="8" t="n"/>
      <c r="C345" s="8" t="n"/>
      <c r="D345" s="8" t="n"/>
      <c r="E345" s="8" t="n"/>
      <c r="F345" s="6">
        <f>IF(B345="","",TRIM(A345)&amp;"||"&amp;TRIM(B345))</f>
        <v/>
      </c>
      <c r="G345" s="6">
        <f>IF(B345="","",IF(OR(AND(LOWER(D345)="mapped",TRIM(C345)&lt;&gt;""),AND(LOWER(D345)="ignored",TRIM(E345)&lt;&gt;"")),1,0))</f>
        <v/>
      </c>
      <c r="H345" s="6">
        <f>IF(AND(TRIM(A345)=Setup!$B$4,LOWER(D345)="mapped",TRIM(C345)&lt;&gt;""),IF(SUMPRODUCT((TRIM($A$5:A345)=Setup!$B$4)*(LOWER($D$5:D345)="mapped")*(TRIM($C$5:C345)=TRIM(C345)))=1,ROW(),""),"")</f>
        <v/>
      </c>
    </row>
    <row r="346">
      <c r="A346" s="8" t="n"/>
      <c r="B346" s="8" t="n"/>
      <c r="C346" s="8" t="n"/>
      <c r="D346" s="8" t="n"/>
      <c r="E346" s="8" t="n"/>
      <c r="F346" s="6">
        <f>IF(B346="","",TRIM(A346)&amp;"||"&amp;TRIM(B346))</f>
        <v/>
      </c>
      <c r="G346" s="6">
        <f>IF(B346="","",IF(OR(AND(LOWER(D346)="mapped",TRIM(C346)&lt;&gt;""),AND(LOWER(D346)="ignored",TRIM(E346)&lt;&gt;"")),1,0))</f>
        <v/>
      </c>
      <c r="H346" s="6">
        <f>IF(AND(TRIM(A346)=Setup!$B$4,LOWER(D346)="mapped",TRIM(C346)&lt;&gt;""),IF(SUMPRODUCT((TRIM($A$5:A346)=Setup!$B$4)*(LOWER($D$5:D346)="mapped")*(TRIM($C$5:C346)=TRIM(C346)))=1,ROW(),""),"")</f>
        <v/>
      </c>
    </row>
    <row r="347">
      <c r="A347" s="8" t="n"/>
      <c r="B347" s="8" t="n"/>
      <c r="C347" s="8" t="n"/>
      <c r="D347" s="8" t="n"/>
      <c r="E347" s="8" t="n"/>
      <c r="F347" s="6">
        <f>IF(B347="","",TRIM(A347)&amp;"||"&amp;TRIM(B347))</f>
        <v/>
      </c>
      <c r="G347" s="6">
        <f>IF(B347="","",IF(OR(AND(LOWER(D347)="mapped",TRIM(C347)&lt;&gt;""),AND(LOWER(D347)="ignored",TRIM(E347)&lt;&gt;"")),1,0))</f>
        <v/>
      </c>
      <c r="H347" s="6">
        <f>IF(AND(TRIM(A347)=Setup!$B$4,LOWER(D347)="mapped",TRIM(C347)&lt;&gt;""),IF(SUMPRODUCT((TRIM($A$5:A347)=Setup!$B$4)*(LOWER($D$5:D347)="mapped")*(TRIM($C$5:C347)=TRIM(C347)))=1,ROW(),""),"")</f>
        <v/>
      </c>
    </row>
    <row r="348">
      <c r="A348" s="8" t="n"/>
      <c r="B348" s="8" t="n"/>
      <c r="C348" s="8" t="n"/>
      <c r="D348" s="8" t="n"/>
      <c r="E348" s="8" t="n"/>
      <c r="F348" s="6">
        <f>IF(B348="","",TRIM(A348)&amp;"||"&amp;TRIM(B348))</f>
        <v/>
      </c>
      <c r="G348" s="6">
        <f>IF(B348="","",IF(OR(AND(LOWER(D348)="mapped",TRIM(C348)&lt;&gt;""),AND(LOWER(D348)="ignored",TRIM(E348)&lt;&gt;"")),1,0))</f>
        <v/>
      </c>
      <c r="H348" s="6">
        <f>IF(AND(TRIM(A348)=Setup!$B$4,LOWER(D348)="mapped",TRIM(C348)&lt;&gt;""),IF(SUMPRODUCT((TRIM($A$5:A348)=Setup!$B$4)*(LOWER($D$5:D348)="mapped")*(TRIM($C$5:C348)=TRIM(C348)))=1,ROW(),""),"")</f>
        <v/>
      </c>
    </row>
    <row r="349">
      <c r="A349" s="8" t="n"/>
      <c r="B349" s="8" t="n"/>
      <c r="C349" s="8" t="n"/>
      <c r="D349" s="8" t="n"/>
      <c r="E349" s="8" t="n"/>
      <c r="F349" s="6">
        <f>IF(B349="","",TRIM(A349)&amp;"||"&amp;TRIM(B349))</f>
        <v/>
      </c>
      <c r="G349" s="6">
        <f>IF(B349="","",IF(OR(AND(LOWER(D349)="mapped",TRIM(C349)&lt;&gt;""),AND(LOWER(D349)="ignored",TRIM(E349)&lt;&gt;"")),1,0))</f>
        <v/>
      </c>
      <c r="H349" s="6">
        <f>IF(AND(TRIM(A349)=Setup!$B$4,LOWER(D349)="mapped",TRIM(C349)&lt;&gt;""),IF(SUMPRODUCT((TRIM($A$5:A349)=Setup!$B$4)*(LOWER($D$5:D349)="mapped")*(TRIM($C$5:C349)=TRIM(C349)))=1,ROW(),""),"")</f>
        <v/>
      </c>
    </row>
    <row r="350">
      <c r="A350" s="8" t="n"/>
      <c r="B350" s="8" t="n"/>
      <c r="C350" s="8" t="n"/>
      <c r="D350" s="8" t="n"/>
      <c r="E350" s="8" t="n"/>
      <c r="F350" s="6">
        <f>IF(B350="","",TRIM(A350)&amp;"||"&amp;TRIM(B350))</f>
        <v/>
      </c>
      <c r="G350" s="6">
        <f>IF(B350="","",IF(OR(AND(LOWER(D350)="mapped",TRIM(C350)&lt;&gt;""),AND(LOWER(D350)="ignored",TRIM(E350)&lt;&gt;"")),1,0))</f>
        <v/>
      </c>
      <c r="H350" s="6">
        <f>IF(AND(TRIM(A350)=Setup!$B$4,LOWER(D350)="mapped",TRIM(C350)&lt;&gt;""),IF(SUMPRODUCT((TRIM($A$5:A350)=Setup!$B$4)*(LOWER($D$5:D350)="mapped")*(TRIM($C$5:C350)=TRIM(C350)))=1,ROW(),""),"")</f>
        <v/>
      </c>
    </row>
    <row r="351">
      <c r="A351" s="8" t="n"/>
      <c r="B351" s="8" t="n"/>
      <c r="C351" s="8" t="n"/>
      <c r="D351" s="8" t="n"/>
      <c r="E351" s="8" t="n"/>
      <c r="F351" s="6">
        <f>IF(B351="","",TRIM(A351)&amp;"||"&amp;TRIM(B351))</f>
        <v/>
      </c>
      <c r="G351" s="6">
        <f>IF(B351="","",IF(OR(AND(LOWER(D351)="mapped",TRIM(C351)&lt;&gt;""),AND(LOWER(D351)="ignored",TRIM(E351)&lt;&gt;"")),1,0))</f>
        <v/>
      </c>
      <c r="H351" s="6">
        <f>IF(AND(TRIM(A351)=Setup!$B$4,LOWER(D351)="mapped",TRIM(C351)&lt;&gt;""),IF(SUMPRODUCT((TRIM($A$5:A351)=Setup!$B$4)*(LOWER($D$5:D351)="mapped")*(TRIM($C$5:C351)=TRIM(C351)))=1,ROW(),""),"")</f>
        <v/>
      </c>
    </row>
    <row r="352">
      <c r="A352" s="8" t="n"/>
      <c r="B352" s="8" t="n"/>
      <c r="C352" s="8" t="n"/>
      <c r="D352" s="8" t="n"/>
      <c r="E352" s="8" t="n"/>
      <c r="F352" s="6">
        <f>IF(B352="","",TRIM(A352)&amp;"||"&amp;TRIM(B352))</f>
        <v/>
      </c>
      <c r="G352" s="6">
        <f>IF(B352="","",IF(OR(AND(LOWER(D352)="mapped",TRIM(C352)&lt;&gt;""),AND(LOWER(D352)="ignored",TRIM(E352)&lt;&gt;"")),1,0))</f>
        <v/>
      </c>
      <c r="H352" s="6">
        <f>IF(AND(TRIM(A352)=Setup!$B$4,LOWER(D352)="mapped",TRIM(C352)&lt;&gt;""),IF(SUMPRODUCT((TRIM($A$5:A352)=Setup!$B$4)*(LOWER($D$5:D352)="mapped")*(TRIM($C$5:C352)=TRIM(C352)))=1,ROW(),""),"")</f>
        <v/>
      </c>
    </row>
    <row r="353">
      <c r="A353" s="8" t="n"/>
      <c r="B353" s="8" t="n"/>
      <c r="C353" s="8" t="n"/>
      <c r="D353" s="8" t="n"/>
      <c r="E353" s="8" t="n"/>
      <c r="F353" s="6">
        <f>IF(B353="","",TRIM(A353)&amp;"||"&amp;TRIM(B353))</f>
        <v/>
      </c>
      <c r="G353" s="6">
        <f>IF(B353="","",IF(OR(AND(LOWER(D353)="mapped",TRIM(C353)&lt;&gt;""),AND(LOWER(D353)="ignored",TRIM(E353)&lt;&gt;"")),1,0))</f>
        <v/>
      </c>
      <c r="H353" s="6">
        <f>IF(AND(TRIM(A353)=Setup!$B$4,LOWER(D353)="mapped",TRIM(C353)&lt;&gt;""),IF(SUMPRODUCT((TRIM($A$5:A353)=Setup!$B$4)*(LOWER($D$5:D353)="mapped")*(TRIM($C$5:C353)=TRIM(C353)))=1,ROW(),""),"")</f>
        <v/>
      </c>
    </row>
    <row r="354">
      <c r="A354" s="8" t="n"/>
      <c r="B354" s="8" t="n"/>
      <c r="C354" s="8" t="n"/>
      <c r="D354" s="8" t="n"/>
      <c r="E354" s="8" t="n"/>
      <c r="F354" s="6">
        <f>IF(B354="","",TRIM(A354)&amp;"||"&amp;TRIM(B354))</f>
        <v/>
      </c>
      <c r="G354" s="6">
        <f>IF(B354="","",IF(OR(AND(LOWER(D354)="mapped",TRIM(C354)&lt;&gt;""),AND(LOWER(D354)="ignored",TRIM(E354)&lt;&gt;"")),1,0))</f>
        <v/>
      </c>
      <c r="H354" s="6">
        <f>IF(AND(TRIM(A354)=Setup!$B$4,LOWER(D354)="mapped",TRIM(C354)&lt;&gt;""),IF(SUMPRODUCT((TRIM($A$5:A354)=Setup!$B$4)*(LOWER($D$5:D354)="mapped")*(TRIM($C$5:C354)=TRIM(C354)))=1,ROW(),""),"")</f>
        <v/>
      </c>
    </row>
    <row r="355">
      <c r="A355" s="8" t="n"/>
      <c r="B355" s="8" t="n"/>
      <c r="C355" s="8" t="n"/>
      <c r="D355" s="8" t="n"/>
      <c r="E355" s="8" t="n"/>
      <c r="F355" s="6">
        <f>IF(B355="","",TRIM(A355)&amp;"||"&amp;TRIM(B355))</f>
        <v/>
      </c>
      <c r="G355" s="6">
        <f>IF(B355="","",IF(OR(AND(LOWER(D355)="mapped",TRIM(C355)&lt;&gt;""),AND(LOWER(D355)="ignored",TRIM(E355)&lt;&gt;"")),1,0))</f>
        <v/>
      </c>
      <c r="H355" s="6">
        <f>IF(AND(TRIM(A355)=Setup!$B$4,LOWER(D355)="mapped",TRIM(C355)&lt;&gt;""),IF(SUMPRODUCT((TRIM($A$5:A355)=Setup!$B$4)*(LOWER($D$5:D355)="mapped")*(TRIM($C$5:C355)=TRIM(C355)))=1,ROW(),""),"")</f>
        <v/>
      </c>
    </row>
    <row r="356">
      <c r="A356" s="8" t="n"/>
      <c r="B356" s="8" t="n"/>
      <c r="C356" s="8" t="n"/>
      <c r="D356" s="8" t="n"/>
      <c r="E356" s="8" t="n"/>
      <c r="F356" s="6">
        <f>IF(B356="","",TRIM(A356)&amp;"||"&amp;TRIM(B356))</f>
        <v/>
      </c>
      <c r="G356" s="6">
        <f>IF(B356="","",IF(OR(AND(LOWER(D356)="mapped",TRIM(C356)&lt;&gt;""),AND(LOWER(D356)="ignored",TRIM(E356)&lt;&gt;"")),1,0))</f>
        <v/>
      </c>
      <c r="H356" s="6">
        <f>IF(AND(TRIM(A356)=Setup!$B$4,LOWER(D356)="mapped",TRIM(C356)&lt;&gt;""),IF(SUMPRODUCT((TRIM($A$5:A356)=Setup!$B$4)*(LOWER($D$5:D356)="mapped")*(TRIM($C$5:C356)=TRIM(C356)))=1,ROW(),""),"")</f>
        <v/>
      </c>
    </row>
    <row r="357">
      <c r="A357" s="8" t="n"/>
      <c r="B357" s="8" t="n"/>
      <c r="C357" s="8" t="n"/>
      <c r="D357" s="8" t="n"/>
      <c r="E357" s="8" t="n"/>
      <c r="F357" s="6">
        <f>IF(B357="","",TRIM(A357)&amp;"||"&amp;TRIM(B357))</f>
        <v/>
      </c>
      <c r="G357" s="6">
        <f>IF(B357="","",IF(OR(AND(LOWER(D357)="mapped",TRIM(C357)&lt;&gt;""),AND(LOWER(D357)="ignored",TRIM(E357)&lt;&gt;"")),1,0))</f>
        <v/>
      </c>
      <c r="H357" s="6">
        <f>IF(AND(TRIM(A357)=Setup!$B$4,LOWER(D357)="mapped",TRIM(C357)&lt;&gt;""),IF(SUMPRODUCT((TRIM($A$5:A357)=Setup!$B$4)*(LOWER($D$5:D357)="mapped")*(TRIM($C$5:C357)=TRIM(C357)))=1,ROW(),""),"")</f>
        <v/>
      </c>
    </row>
    <row r="358">
      <c r="A358" s="8" t="n"/>
      <c r="B358" s="8" t="n"/>
      <c r="C358" s="8" t="n"/>
      <c r="D358" s="8" t="n"/>
      <c r="E358" s="8" t="n"/>
      <c r="F358" s="6">
        <f>IF(B358="","",TRIM(A358)&amp;"||"&amp;TRIM(B358))</f>
        <v/>
      </c>
      <c r="G358" s="6">
        <f>IF(B358="","",IF(OR(AND(LOWER(D358)="mapped",TRIM(C358)&lt;&gt;""),AND(LOWER(D358)="ignored",TRIM(E358)&lt;&gt;"")),1,0))</f>
        <v/>
      </c>
      <c r="H358" s="6">
        <f>IF(AND(TRIM(A358)=Setup!$B$4,LOWER(D358)="mapped",TRIM(C358)&lt;&gt;""),IF(SUMPRODUCT((TRIM($A$5:A358)=Setup!$B$4)*(LOWER($D$5:D358)="mapped")*(TRIM($C$5:C358)=TRIM(C358)))=1,ROW(),""),"")</f>
        <v/>
      </c>
    </row>
    <row r="359">
      <c r="A359" s="8" t="n"/>
      <c r="B359" s="8" t="n"/>
      <c r="C359" s="8" t="n"/>
      <c r="D359" s="8" t="n"/>
      <c r="E359" s="8" t="n"/>
      <c r="F359" s="6">
        <f>IF(B359="","",TRIM(A359)&amp;"||"&amp;TRIM(B359))</f>
        <v/>
      </c>
      <c r="G359" s="6">
        <f>IF(B359="","",IF(OR(AND(LOWER(D359)="mapped",TRIM(C359)&lt;&gt;""),AND(LOWER(D359)="ignored",TRIM(E359)&lt;&gt;"")),1,0))</f>
        <v/>
      </c>
      <c r="H359" s="6">
        <f>IF(AND(TRIM(A359)=Setup!$B$4,LOWER(D359)="mapped",TRIM(C359)&lt;&gt;""),IF(SUMPRODUCT((TRIM($A$5:A359)=Setup!$B$4)*(LOWER($D$5:D359)="mapped")*(TRIM($C$5:C359)=TRIM(C359)))=1,ROW(),""),"")</f>
        <v/>
      </c>
    </row>
    <row r="360">
      <c r="A360" s="8" t="n"/>
      <c r="B360" s="8" t="n"/>
      <c r="C360" s="8" t="n"/>
      <c r="D360" s="8" t="n"/>
      <c r="E360" s="8" t="n"/>
      <c r="F360" s="6">
        <f>IF(B360="","",TRIM(A360)&amp;"||"&amp;TRIM(B360))</f>
        <v/>
      </c>
      <c r="G360" s="6">
        <f>IF(B360="","",IF(OR(AND(LOWER(D360)="mapped",TRIM(C360)&lt;&gt;""),AND(LOWER(D360)="ignored",TRIM(E360)&lt;&gt;"")),1,0))</f>
        <v/>
      </c>
      <c r="H360" s="6">
        <f>IF(AND(TRIM(A360)=Setup!$B$4,LOWER(D360)="mapped",TRIM(C360)&lt;&gt;""),IF(SUMPRODUCT((TRIM($A$5:A360)=Setup!$B$4)*(LOWER($D$5:D360)="mapped")*(TRIM($C$5:C360)=TRIM(C360)))=1,ROW(),""),"")</f>
        <v/>
      </c>
    </row>
    <row r="361">
      <c r="A361" s="8" t="n"/>
      <c r="B361" s="8" t="n"/>
      <c r="C361" s="8" t="n"/>
      <c r="D361" s="8" t="n"/>
      <c r="E361" s="8" t="n"/>
      <c r="F361" s="6">
        <f>IF(B361="","",TRIM(A361)&amp;"||"&amp;TRIM(B361))</f>
        <v/>
      </c>
      <c r="G361" s="6">
        <f>IF(B361="","",IF(OR(AND(LOWER(D361)="mapped",TRIM(C361)&lt;&gt;""),AND(LOWER(D361)="ignored",TRIM(E361)&lt;&gt;"")),1,0))</f>
        <v/>
      </c>
      <c r="H361" s="6">
        <f>IF(AND(TRIM(A361)=Setup!$B$4,LOWER(D361)="mapped",TRIM(C361)&lt;&gt;""),IF(SUMPRODUCT((TRIM($A$5:A361)=Setup!$B$4)*(LOWER($D$5:D361)="mapped")*(TRIM($C$5:C361)=TRIM(C361)))=1,ROW(),""),"")</f>
        <v/>
      </c>
    </row>
    <row r="362">
      <c r="A362" s="8" t="n"/>
      <c r="B362" s="8" t="n"/>
      <c r="C362" s="8" t="n"/>
      <c r="D362" s="8" t="n"/>
      <c r="E362" s="8" t="n"/>
      <c r="F362" s="6">
        <f>IF(B362="","",TRIM(A362)&amp;"||"&amp;TRIM(B362))</f>
        <v/>
      </c>
      <c r="G362" s="6">
        <f>IF(B362="","",IF(OR(AND(LOWER(D362)="mapped",TRIM(C362)&lt;&gt;""),AND(LOWER(D362)="ignored",TRIM(E362)&lt;&gt;"")),1,0))</f>
        <v/>
      </c>
      <c r="H362" s="6">
        <f>IF(AND(TRIM(A362)=Setup!$B$4,LOWER(D362)="mapped",TRIM(C362)&lt;&gt;""),IF(SUMPRODUCT((TRIM($A$5:A362)=Setup!$B$4)*(LOWER($D$5:D362)="mapped")*(TRIM($C$5:C362)=TRIM(C362)))=1,ROW(),""),"")</f>
        <v/>
      </c>
    </row>
    <row r="363">
      <c r="A363" s="8" t="n"/>
      <c r="B363" s="8" t="n"/>
      <c r="C363" s="8" t="n"/>
      <c r="D363" s="8" t="n"/>
      <c r="E363" s="8" t="n"/>
      <c r="F363" s="6">
        <f>IF(B363="","",TRIM(A363)&amp;"||"&amp;TRIM(B363))</f>
        <v/>
      </c>
      <c r="G363" s="6">
        <f>IF(B363="","",IF(OR(AND(LOWER(D363)="mapped",TRIM(C363)&lt;&gt;""),AND(LOWER(D363)="ignored",TRIM(E363)&lt;&gt;"")),1,0))</f>
        <v/>
      </c>
      <c r="H363" s="6">
        <f>IF(AND(TRIM(A363)=Setup!$B$4,LOWER(D363)="mapped",TRIM(C363)&lt;&gt;""),IF(SUMPRODUCT((TRIM($A$5:A363)=Setup!$B$4)*(LOWER($D$5:D363)="mapped")*(TRIM($C$5:C363)=TRIM(C363)))=1,ROW(),""),"")</f>
        <v/>
      </c>
    </row>
    <row r="364">
      <c r="A364" s="8" t="n"/>
      <c r="B364" s="8" t="n"/>
      <c r="C364" s="8" t="n"/>
      <c r="D364" s="8" t="n"/>
      <c r="E364" s="8" t="n"/>
      <c r="F364" s="6">
        <f>IF(B364="","",TRIM(A364)&amp;"||"&amp;TRIM(B364))</f>
        <v/>
      </c>
      <c r="G364" s="6">
        <f>IF(B364="","",IF(OR(AND(LOWER(D364)="mapped",TRIM(C364)&lt;&gt;""),AND(LOWER(D364)="ignored",TRIM(E364)&lt;&gt;"")),1,0))</f>
        <v/>
      </c>
      <c r="H364" s="6">
        <f>IF(AND(TRIM(A364)=Setup!$B$4,LOWER(D364)="mapped",TRIM(C364)&lt;&gt;""),IF(SUMPRODUCT((TRIM($A$5:A364)=Setup!$B$4)*(LOWER($D$5:D364)="mapped")*(TRIM($C$5:C364)=TRIM(C364)))=1,ROW(),""),"")</f>
        <v/>
      </c>
    </row>
    <row r="365">
      <c r="A365" s="8" t="n"/>
      <c r="B365" s="8" t="n"/>
      <c r="C365" s="8" t="n"/>
      <c r="D365" s="8" t="n"/>
      <c r="E365" s="8" t="n"/>
      <c r="F365" s="6">
        <f>IF(B365="","",TRIM(A365)&amp;"||"&amp;TRIM(B365))</f>
        <v/>
      </c>
      <c r="G365" s="6">
        <f>IF(B365="","",IF(OR(AND(LOWER(D365)="mapped",TRIM(C365)&lt;&gt;""),AND(LOWER(D365)="ignored",TRIM(E365)&lt;&gt;"")),1,0))</f>
        <v/>
      </c>
      <c r="H365" s="6">
        <f>IF(AND(TRIM(A365)=Setup!$B$4,LOWER(D365)="mapped",TRIM(C365)&lt;&gt;""),IF(SUMPRODUCT((TRIM($A$5:A365)=Setup!$B$4)*(LOWER($D$5:D365)="mapped")*(TRIM($C$5:C365)=TRIM(C365)))=1,ROW(),""),"")</f>
        <v/>
      </c>
    </row>
    <row r="366">
      <c r="A366" s="8" t="n"/>
      <c r="B366" s="8" t="n"/>
      <c r="C366" s="8" t="n"/>
      <c r="D366" s="8" t="n"/>
      <c r="E366" s="8" t="n"/>
      <c r="F366" s="6">
        <f>IF(B366="","",TRIM(A366)&amp;"||"&amp;TRIM(B366))</f>
        <v/>
      </c>
      <c r="G366" s="6">
        <f>IF(B366="","",IF(OR(AND(LOWER(D366)="mapped",TRIM(C366)&lt;&gt;""),AND(LOWER(D366)="ignored",TRIM(E366)&lt;&gt;"")),1,0))</f>
        <v/>
      </c>
      <c r="H366" s="6">
        <f>IF(AND(TRIM(A366)=Setup!$B$4,LOWER(D366)="mapped",TRIM(C366)&lt;&gt;""),IF(SUMPRODUCT((TRIM($A$5:A366)=Setup!$B$4)*(LOWER($D$5:D366)="mapped")*(TRIM($C$5:C366)=TRIM(C366)))=1,ROW(),""),"")</f>
        <v/>
      </c>
    </row>
    <row r="367">
      <c r="A367" s="8" t="n"/>
      <c r="B367" s="8" t="n"/>
      <c r="C367" s="8" t="n"/>
      <c r="D367" s="8" t="n"/>
      <c r="E367" s="8" t="n"/>
      <c r="F367" s="6">
        <f>IF(B367="","",TRIM(A367)&amp;"||"&amp;TRIM(B367))</f>
        <v/>
      </c>
      <c r="G367" s="6">
        <f>IF(B367="","",IF(OR(AND(LOWER(D367)="mapped",TRIM(C367)&lt;&gt;""),AND(LOWER(D367)="ignored",TRIM(E367)&lt;&gt;"")),1,0))</f>
        <v/>
      </c>
      <c r="H367" s="6">
        <f>IF(AND(TRIM(A367)=Setup!$B$4,LOWER(D367)="mapped",TRIM(C367)&lt;&gt;""),IF(SUMPRODUCT((TRIM($A$5:A367)=Setup!$B$4)*(LOWER($D$5:D367)="mapped")*(TRIM($C$5:C367)=TRIM(C367)))=1,ROW(),""),"")</f>
        <v/>
      </c>
    </row>
    <row r="368">
      <c r="A368" s="8" t="n"/>
      <c r="B368" s="8" t="n"/>
      <c r="C368" s="8" t="n"/>
      <c r="D368" s="8" t="n"/>
      <c r="E368" s="8" t="n"/>
      <c r="F368" s="6">
        <f>IF(B368="","",TRIM(A368)&amp;"||"&amp;TRIM(B368))</f>
        <v/>
      </c>
      <c r="G368" s="6">
        <f>IF(B368="","",IF(OR(AND(LOWER(D368)="mapped",TRIM(C368)&lt;&gt;""),AND(LOWER(D368)="ignored",TRIM(E368)&lt;&gt;"")),1,0))</f>
        <v/>
      </c>
      <c r="H368" s="6">
        <f>IF(AND(TRIM(A368)=Setup!$B$4,LOWER(D368)="mapped",TRIM(C368)&lt;&gt;""),IF(SUMPRODUCT((TRIM($A$5:A368)=Setup!$B$4)*(LOWER($D$5:D368)="mapped")*(TRIM($C$5:C368)=TRIM(C368)))=1,ROW(),""),"")</f>
        <v/>
      </c>
    </row>
    <row r="369">
      <c r="A369" s="8" t="n"/>
      <c r="B369" s="8" t="n"/>
      <c r="C369" s="8" t="n"/>
      <c r="D369" s="8" t="n"/>
      <c r="E369" s="8" t="n"/>
      <c r="F369" s="6">
        <f>IF(B369="","",TRIM(A369)&amp;"||"&amp;TRIM(B369))</f>
        <v/>
      </c>
      <c r="G369" s="6">
        <f>IF(B369="","",IF(OR(AND(LOWER(D369)="mapped",TRIM(C369)&lt;&gt;""),AND(LOWER(D369)="ignored",TRIM(E369)&lt;&gt;"")),1,0))</f>
        <v/>
      </c>
      <c r="H369" s="6">
        <f>IF(AND(TRIM(A369)=Setup!$B$4,LOWER(D369)="mapped",TRIM(C369)&lt;&gt;""),IF(SUMPRODUCT((TRIM($A$5:A369)=Setup!$B$4)*(LOWER($D$5:D369)="mapped")*(TRIM($C$5:C369)=TRIM(C369)))=1,ROW(),""),"")</f>
        <v/>
      </c>
    </row>
    <row r="370">
      <c r="A370" s="8" t="n"/>
      <c r="B370" s="8" t="n"/>
      <c r="C370" s="8" t="n"/>
      <c r="D370" s="8" t="n"/>
      <c r="E370" s="8" t="n"/>
      <c r="F370" s="6">
        <f>IF(B370="","",TRIM(A370)&amp;"||"&amp;TRIM(B370))</f>
        <v/>
      </c>
      <c r="G370" s="6">
        <f>IF(B370="","",IF(OR(AND(LOWER(D370)="mapped",TRIM(C370)&lt;&gt;""),AND(LOWER(D370)="ignored",TRIM(E370)&lt;&gt;"")),1,0))</f>
        <v/>
      </c>
      <c r="H370" s="6">
        <f>IF(AND(TRIM(A370)=Setup!$B$4,LOWER(D370)="mapped",TRIM(C370)&lt;&gt;""),IF(SUMPRODUCT((TRIM($A$5:A370)=Setup!$B$4)*(LOWER($D$5:D370)="mapped")*(TRIM($C$5:C370)=TRIM(C370)))=1,ROW(),""),"")</f>
        <v/>
      </c>
    </row>
    <row r="371">
      <c r="A371" s="8" t="n"/>
      <c r="B371" s="8" t="n"/>
      <c r="C371" s="8" t="n"/>
      <c r="D371" s="8" t="n"/>
      <c r="E371" s="8" t="n"/>
      <c r="F371" s="6">
        <f>IF(B371="","",TRIM(A371)&amp;"||"&amp;TRIM(B371))</f>
        <v/>
      </c>
      <c r="G371" s="6">
        <f>IF(B371="","",IF(OR(AND(LOWER(D371)="mapped",TRIM(C371)&lt;&gt;""),AND(LOWER(D371)="ignored",TRIM(E371)&lt;&gt;"")),1,0))</f>
        <v/>
      </c>
      <c r="H371" s="6">
        <f>IF(AND(TRIM(A371)=Setup!$B$4,LOWER(D371)="mapped",TRIM(C371)&lt;&gt;""),IF(SUMPRODUCT((TRIM($A$5:A371)=Setup!$B$4)*(LOWER($D$5:D371)="mapped")*(TRIM($C$5:C371)=TRIM(C371)))=1,ROW(),""),"")</f>
        <v/>
      </c>
    </row>
    <row r="372">
      <c r="A372" s="8" t="n"/>
      <c r="B372" s="8" t="n"/>
      <c r="C372" s="8" t="n"/>
      <c r="D372" s="8" t="n"/>
      <c r="E372" s="8" t="n"/>
      <c r="F372" s="6">
        <f>IF(B372="","",TRIM(A372)&amp;"||"&amp;TRIM(B372))</f>
        <v/>
      </c>
      <c r="G372" s="6">
        <f>IF(B372="","",IF(OR(AND(LOWER(D372)="mapped",TRIM(C372)&lt;&gt;""),AND(LOWER(D372)="ignored",TRIM(E372)&lt;&gt;"")),1,0))</f>
        <v/>
      </c>
      <c r="H372" s="6">
        <f>IF(AND(TRIM(A372)=Setup!$B$4,LOWER(D372)="mapped",TRIM(C372)&lt;&gt;""),IF(SUMPRODUCT((TRIM($A$5:A372)=Setup!$B$4)*(LOWER($D$5:D372)="mapped")*(TRIM($C$5:C372)=TRIM(C372)))=1,ROW(),""),"")</f>
        <v/>
      </c>
    </row>
    <row r="373">
      <c r="A373" s="8" t="n"/>
      <c r="B373" s="8" t="n"/>
      <c r="C373" s="8" t="n"/>
      <c r="D373" s="8" t="n"/>
      <c r="E373" s="8" t="n"/>
      <c r="F373" s="6">
        <f>IF(B373="","",TRIM(A373)&amp;"||"&amp;TRIM(B373))</f>
        <v/>
      </c>
      <c r="G373" s="6">
        <f>IF(B373="","",IF(OR(AND(LOWER(D373)="mapped",TRIM(C373)&lt;&gt;""),AND(LOWER(D373)="ignored",TRIM(E373)&lt;&gt;"")),1,0))</f>
        <v/>
      </c>
      <c r="H373" s="6">
        <f>IF(AND(TRIM(A373)=Setup!$B$4,LOWER(D373)="mapped",TRIM(C373)&lt;&gt;""),IF(SUMPRODUCT((TRIM($A$5:A373)=Setup!$B$4)*(LOWER($D$5:D373)="mapped")*(TRIM($C$5:C373)=TRIM(C373)))=1,ROW(),""),"")</f>
        <v/>
      </c>
    </row>
    <row r="374">
      <c r="A374" s="8" t="n"/>
      <c r="B374" s="8" t="n"/>
      <c r="C374" s="8" t="n"/>
      <c r="D374" s="8" t="n"/>
      <c r="E374" s="8" t="n"/>
      <c r="F374" s="6">
        <f>IF(B374="","",TRIM(A374)&amp;"||"&amp;TRIM(B374))</f>
        <v/>
      </c>
      <c r="G374" s="6">
        <f>IF(B374="","",IF(OR(AND(LOWER(D374)="mapped",TRIM(C374)&lt;&gt;""),AND(LOWER(D374)="ignored",TRIM(E374)&lt;&gt;"")),1,0))</f>
        <v/>
      </c>
      <c r="H374" s="6">
        <f>IF(AND(TRIM(A374)=Setup!$B$4,LOWER(D374)="mapped",TRIM(C374)&lt;&gt;""),IF(SUMPRODUCT((TRIM($A$5:A374)=Setup!$B$4)*(LOWER($D$5:D374)="mapped")*(TRIM($C$5:C374)=TRIM(C374)))=1,ROW(),""),"")</f>
        <v/>
      </c>
    </row>
    <row r="375">
      <c r="A375" s="8" t="n"/>
      <c r="B375" s="8" t="n"/>
      <c r="C375" s="8" t="n"/>
      <c r="D375" s="8" t="n"/>
      <c r="E375" s="8" t="n"/>
      <c r="F375" s="6">
        <f>IF(B375="","",TRIM(A375)&amp;"||"&amp;TRIM(B375))</f>
        <v/>
      </c>
      <c r="G375" s="6">
        <f>IF(B375="","",IF(OR(AND(LOWER(D375)="mapped",TRIM(C375)&lt;&gt;""),AND(LOWER(D375)="ignored",TRIM(E375)&lt;&gt;"")),1,0))</f>
        <v/>
      </c>
      <c r="H375" s="6">
        <f>IF(AND(TRIM(A375)=Setup!$B$4,LOWER(D375)="mapped",TRIM(C375)&lt;&gt;""),IF(SUMPRODUCT((TRIM($A$5:A375)=Setup!$B$4)*(LOWER($D$5:D375)="mapped")*(TRIM($C$5:C375)=TRIM(C375)))=1,ROW(),""),"")</f>
        <v/>
      </c>
    </row>
    <row r="376">
      <c r="A376" s="8" t="n"/>
      <c r="B376" s="8" t="n"/>
      <c r="C376" s="8" t="n"/>
      <c r="D376" s="8" t="n"/>
      <c r="E376" s="8" t="n"/>
      <c r="F376" s="6">
        <f>IF(B376="","",TRIM(A376)&amp;"||"&amp;TRIM(B376))</f>
        <v/>
      </c>
      <c r="G376" s="6">
        <f>IF(B376="","",IF(OR(AND(LOWER(D376)="mapped",TRIM(C376)&lt;&gt;""),AND(LOWER(D376)="ignored",TRIM(E376)&lt;&gt;"")),1,0))</f>
        <v/>
      </c>
      <c r="H376" s="6">
        <f>IF(AND(TRIM(A376)=Setup!$B$4,LOWER(D376)="mapped",TRIM(C376)&lt;&gt;""),IF(SUMPRODUCT((TRIM($A$5:A376)=Setup!$B$4)*(LOWER($D$5:D376)="mapped")*(TRIM($C$5:C376)=TRIM(C376)))=1,ROW(),""),"")</f>
        <v/>
      </c>
    </row>
    <row r="377">
      <c r="A377" s="8" t="n"/>
      <c r="B377" s="8" t="n"/>
      <c r="C377" s="8" t="n"/>
      <c r="D377" s="8" t="n"/>
      <c r="E377" s="8" t="n"/>
      <c r="F377" s="6">
        <f>IF(B377="","",TRIM(A377)&amp;"||"&amp;TRIM(B377))</f>
        <v/>
      </c>
      <c r="G377" s="6">
        <f>IF(B377="","",IF(OR(AND(LOWER(D377)="mapped",TRIM(C377)&lt;&gt;""),AND(LOWER(D377)="ignored",TRIM(E377)&lt;&gt;"")),1,0))</f>
        <v/>
      </c>
      <c r="H377" s="6">
        <f>IF(AND(TRIM(A377)=Setup!$B$4,LOWER(D377)="mapped",TRIM(C377)&lt;&gt;""),IF(SUMPRODUCT((TRIM($A$5:A377)=Setup!$B$4)*(LOWER($D$5:D377)="mapped")*(TRIM($C$5:C377)=TRIM(C377)))=1,ROW(),""),"")</f>
        <v/>
      </c>
    </row>
    <row r="378">
      <c r="A378" s="8" t="n"/>
      <c r="B378" s="8" t="n"/>
      <c r="C378" s="8" t="n"/>
      <c r="D378" s="8" t="n"/>
      <c r="E378" s="8" t="n"/>
      <c r="F378" s="6">
        <f>IF(B378="","",TRIM(A378)&amp;"||"&amp;TRIM(B378))</f>
        <v/>
      </c>
      <c r="G378" s="6">
        <f>IF(B378="","",IF(OR(AND(LOWER(D378)="mapped",TRIM(C378)&lt;&gt;""),AND(LOWER(D378)="ignored",TRIM(E378)&lt;&gt;"")),1,0))</f>
        <v/>
      </c>
      <c r="H378" s="6">
        <f>IF(AND(TRIM(A378)=Setup!$B$4,LOWER(D378)="mapped",TRIM(C378)&lt;&gt;""),IF(SUMPRODUCT((TRIM($A$5:A378)=Setup!$B$4)*(LOWER($D$5:D378)="mapped")*(TRIM($C$5:C378)=TRIM(C378)))=1,ROW(),""),"")</f>
        <v/>
      </c>
    </row>
    <row r="379">
      <c r="A379" s="8" t="n"/>
      <c r="B379" s="8" t="n"/>
      <c r="C379" s="8" t="n"/>
      <c r="D379" s="8" t="n"/>
      <c r="E379" s="8" t="n"/>
      <c r="F379" s="6">
        <f>IF(B379="","",TRIM(A379)&amp;"||"&amp;TRIM(B379))</f>
        <v/>
      </c>
      <c r="G379" s="6">
        <f>IF(B379="","",IF(OR(AND(LOWER(D379)="mapped",TRIM(C379)&lt;&gt;""),AND(LOWER(D379)="ignored",TRIM(E379)&lt;&gt;"")),1,0))</f>
        <v/>
      </c>
      <c r="H379" s="6">
        <f>IF(AND(TRIM(A379)=Setup!$B$4,LOWER(D379)="mapped",TRIM(C379)&lt;&gt;""),IF(SUMPRODUCT((TRIM($A$5:A379)=Setup!$B$4)*(LOWER($D$5:D379)="mapped")*(TRIM($C$5:C379)=TRIM(C379)))=1,ROW(),""),"")</f>
        <v/>
      </c>
    </row>
    <row r="380">
      <c r="A380" s="8" t="n"/>
      <c r="B380" s="8" t="n"/>
      <c r="C380" s="8" t="n"/>
      <c r="D380" s="8" t="n"/>
      <c r="E380" s="8" t="n"/>
      <c r="F380" s="6">
        <f>IF(B380="","",TRIM(A380)&amp;"||"&amp;TRIM(B380))</f>
        <v/>
      </c>
      <c r="G380" s="6">
        <f>IF(B380="","",IF(OR(AND(LOWER(D380)="mapped",TRIM(C380)&lt;&gt;""),AND(LOWER(D380)="ignored",TRIM(E380)&lt;&gt;"")),1,0))</f>
        <v/>
      </c>
      <c r="H380" s="6">
        <f>IF(AND(TRIM(A380)=Setup!$B$4,LOWER(D380)="mapped",TRIM(C380)&lt;&gt;""),IF(SUMPRODUCT((TRIM($A$5:A380)=Setup!$B$4)*(LOWER($D$5:D380)="mapped")*(TRIM($C$5:C380)=TRIM(C380)))=1,ROW(),""),"")</f>
        <v/>
      </c>
    </row>
    <row r="381">
      <c r="A381" s="8" t="n"/>
      <c r="B381" s="8" t="n"/>
      <c r="C381" s="8" t="n"/>
      <c r="D381" s="8" t="n"/>
      <c r="E381" s="8" t="n"/>
      <c r="F381" s="6">
        <f>IF(B381="","",TRIM(A381)&amp;"||"&amp;TRIM(B381))</f>
        <v/>
      </c>
      <c r="G381" s="6">
        <f>IF(B381="","",IF(OR(AND(LOWER(D381)="mapped",TRIM(C381)&lt;&gt;""),AND(LOWER(D381)="ignored",TRIM(E381)&lt;&gt;"")),1,0))</f>
        <v/>
      </c>
      <c r="H381" s="6">
        <f>IF(AND(TRIM(A381)=Setup!$B$4,LOWER(D381)="mapped",TRIM(C381)&lt;&gt;""),IF(SUMPRODUCT((TRIM($A$5:A381)=Setup!$B$4)*(LOWER($D$5:D381)="mapped")*(TRIM($C$5:C381)=TRIM(C381)))=1,ROW(),""),"")</f>
        <v/>
      </c>
    </row>
    <row r="382">
      <c r="A382" s="8" t="n"/>
      <c r="B382" s="8" t="n"/>
      <c r="C382" s="8" t="n"/>
      <c r="D382" s="8" t="n"/>
      <c r="E382" s="8" t="n"/>
      <c r="F382" s="6">
        <f>IF(B382="","",TRIM(A382)&amp;"||"&amp;TRIM(B382))</f>
        <v/>
      </c>
      <c r="G382" s="6">
        <f>IF(B382="","",IF(OR(AND(LOWER(D382)="mapped",TRIM(C382)&lt;&gt;""),AND(LOWER(D382)="ignored",TRIM(E382)&lt;&gt;"")),1,0))</f>
        <v/>
      </c>
      <c r="H382" s="6">
        <f>IF(AND(TRIM(A382)=Setup!$B$4,LOWER(D382)="mapped",TRIM(C382)&lt;&gt;""),IF(SUMPRODUCT((TRIM($A$5:A382)=Setup!$B$4)*(LOWER($D$5:D382)="mapped")*(TRIM($C$5:C382)=TRIM(C382)))=1,ROW(),""),"")</f>
        <v/>
      </c>
    </row>
    <row r="383">
      <c r="A383" s="8" t="n"/>
      <c r="B383" s="8" t="n"/>
      <c r="C383" s="8" t="n"/>
      <c r="D383" s="8" t="n"/>
      <c r="E383" s="8" t="n"/>
      <c r="F383" s="6">
        <f>IF(B383="","",TRIM(A383)&amp;"||"&amp;TRIM(B383))</f>
        <v/>
      </c>
      <c r="G383" s="6">
        <f>IF(B383="","",IF(OR(AND(LOWER(D383)="mapped",TRIM(C383)&lt;&gt;""),AND(LOWER(D383)="ignored",TRIM(E383)&lt;&gt;"")),1,0))</f>
        <v/>
      </c>
      <c r="H383" s="6">
        <f>IF(AND(TRIM(A383)=Setup!$B$4,LOWER(D383)="mapped",TRIM(C383)&lt;&gt;""),IF(SUMPRODUCT((TRIM($A$5:A383)=Setup!$B$4)*(LOWER($D$5:D383)="mapped")*(TRIM($C$5:C383)=TRIM(C383)))=1,ROW(),""),"")</f>
        <v/>
      </c>
    </row>
    <row r="384">
      <c r="A384" s="8" t="n"/>
      <c r="B384" s="8" t="n"/>
      <c r="C384" s="8" t="n"/>
      <c r="D384" s="8" t="n"/>
      <c r="E384" s="8" t="n"/>
      <c r="F384" s="6">
        <f>IF(B384="","",TRIM(A384)&amp;"||"&amp;TRIM(B384))</f>
        <v/>
      </c>
      <c r="G384" s="6">
        <f>IF(B384="","",IF(OR(AND(LOWER(D384)="mapped",TRIM(C384)&lt;&gt;""),AND(LOWER(D384)="ignored",TRIM(E384)&lt;&gt;"")),1,0))</f>
        <v/>
      </c>
      <c r="H384" s="6">
        <f>IF(AND(TRIM(A384)=Setup!$B$4,LOWER(D384)="mapped",TRIM(C384)&lt;&gt;""),IF(SUMPRODUCT((TRIM($A$5:A384)=Setup!$B$4)*(LOWER($D$5:D384)="mapped")*(TRIM($C$5:C384)=TRIM(C384)))=1,ROW(),""),"")</f>
        <v/>
      </c>
    </row>
    <row r="385">
      <c r="A385" s="8" t="n"/>
      <c r="B385" s="8" t="n"/>
      <c r="C385" s="8" t="n"/>
      <c r="D385" s="8" t="n"/>
      <c r="E385" s="8" t="n"/>
      <c r="F385" s="6">
        <f>IF(B385="","",TRIM(A385)&amp;"||"&amp;TRIM(B385))</f>
        <v/>
      </c>
      <c r="G385" s="6">
        <f>IF(B385="","",IF(OR(AND(LOWER(D385)="mapped",TRIM(C385)&lt;&gt;""),AND(LOWER(D385)="ignored",TRIM(E385)&lt;&gt;"")),1,0))</f>
        <v/>
      </c>
      <c r="H385" s="6">
        <f>IF(AND(TRIM(A385)=Setup!$B$4,LOWER(D385)="mapped",TRIM(C385)&lt;&gt;""),IF(SUMPRODUCT((TRIM($A$5:A385)=Setup!$B$4)*(LOWER($D$5:D385)="mapped")*(TRIM($C$5:C385)=TRIM(C385)))=1,ROW(),""),"")</f>
        <v/>
      </c>
    </row>
    <row r="386">
      <c r="A386" s="8" t="n"/>
      <c r="B386" s="8" t="n"/>
      <c r="C386" s="8" t="n"/>
      <c r="D386" s="8" t="n"/>
      <c r="E386" s="8" t="n"/>
      <c r="F386" s="6">
        <f>IF(B386="","",TRIM(A386)&amp;"||"&amp;TRIM(B386))</f>
        <v/>
      </c>
      <c r="G386" s="6">
        <f>IF(B386="","",IF(OR(AND(LOWER(D386)="mapped",TRIM(C386)&lt;&gt;""),AND(LOWER(D386)="ignored",TRIM(E386)&lt;&gt;"")),1,0))</f>
        <v/>
      </c>
      <c r="H386" s="6">
        <f>IF(AND(TRIM(A386)=Setup!$B$4,LOWER(D386)="mapped",TRIM(C386)&lt;&gt;""),IF(SUMPRODUCT((TRIM($A$5:A386)=Setup!$B$4)*(LOWER($D$5:D386)="mapped")*(TRIM($C$5:C386)=TRIM(C386)))=1,ROW(),""),"")</f>
        <v/>
      </c>
    </row>
    <row r="387">
      <c r="A387" s="8" t="n"/>
      <c r="B387" s="8" t="n"/>
      <c r="C387" s="8" t="n"/>
      <c r="D387" s="8" t="n"/>
      <c r="E387" s="8" t="n"/>
      <c r="F387" s="6">
        <f>IF(B387="","",TRIM(A387)&amp;"||"&amp;TRIM(B387))</f>
        <v/>
      </c>
      <c r="G387" s="6">
        <f>IF(B387="","",IF(OR(AND(LOWER(D387)="mapped",TRIM(C387)&lt;&gt;""),AND(LOWER(D387)="ignored",TRIM(E387)&lt;&gt;"")),1,0))</f>
        <v/>
      </c>
      <c r="H387" s="6">
        <f>IF(AND(TRIM(A387)=Setup!$B$4,LOWER(D387)="mapped",TRIM(C387)&lt;&gt;""),IF(SUMPRODUCT((TRIM($A$5:A387)=Setup!$B$4)*(LOWER($D$5:D387)="mapped")*(TRIM($C$5:C387)=TRIM(C387)))=1,ROW(),""),"")</f>
        <v/>
      </c>
    </row>
    <row r="388">
      <c r="A388" s="8" t="n"/>
      <c r="B388" s="8" t="n"/>
      <c r="C388" s="8" t="n"/>
      <c r="D388" s="8" t="n"/>
      <c r="E388" s="8" t="n"/>
      <c r="F388" s="6">
        <f>IF(B388="","",TRIM(A388)&amp;"||"&amp;TRIM(B388))</f>
        <v/>
      </c>
      <c r="G388" s="6">
        <f>IF(B388="","",IF(OR(AND(LOWER(D388)="mapped",TRIM(C388)&lt;&gt;""),AND(LOWER(D388)="ignored",TRIM(E388)&lt;&gt;"")),1,0))</f>
        <v/>
      </c>
      <c r="H388" s="6">
        <f>IF(AND(TRIM(A388)=Setup!$B$4,LOWER(D388)="mapped",TRIM(C388)&lt;&gt;""),IF(SUMPRODUCT((TRIM($A$5:A388)=Setup!$B$4)*(LOWER($D$5:D388)="mapped")*(TRIM($C$5:C388)=TRIM(C388)))=1,ROW(),""),"")</f>
        <v/>
      </c>
    </row>
    <row r="389">
      <c r="A389" s="8" t="n"/>
      <c r="B389" s="8" t="n"/>
      <c r="C389" s="8" t="n"/>
      <c r="D389" s="8" t="n"/>
      <c r="E389" s="8" t="n"/>
      <c r="F389" s="6">
        <f>IF(B389="","",TRIM(A389)&amp;"||"&amp;TRIM(B389))</f>
        <v/>
      </c>
      <c r="G389" s="6">
        <f>IF(B389="","",IF(OR(AND(LOWER(D389)="mapped",TRIM(C389)&lt;&gt;""),AND(LOWER(D389)="ignored",TRIM(E389)&lt;&gt;"")),1,0))</f>
        <v/>
      </c>
      <c r="H389" s="6">
        <f>IF(AND(TRIM(A389)=Setup!$B$4,LOWER(D389)="mapped",TRIM(C389)&lt;&gt;""),IF(SUMPRODUCT((TRIM($A$5:A389)=Setup!$B$4)*(LOWER($D$5:D389)="mapped")*(TRIM($C$5:C389)=TRIM(C389)))=1,ROW(),""),"")</f>
        <v/>
      </c>
    </row>
    <row r="390">
      <c r="A390" s="8" t="n"/>
      <c r="B390" s="8" t="n"/>
      <c r="C390" s="8" t="n"/>
      <c r="D390" s="8" t="n"/>
      <c r="E390" s="8" t="n"/>
      <c r="F390" s="6">
        <f>IF(B390="","",TRIM(A390)&amp;"||"&amp;TRIM(B390))</f>
        <v/>
      </c>
      <c r="G390" s="6">
        <f>IF(B390="","",IF(OR(AND(LOWER(D390)="mapped",TRIM(C390)&lt;&gt;""),AND(LOWER(D390)="ignored",TRIM(E390)&lt;&gt;"")),1,0))</f>
        <v/>
      </c>
      <c r="H390" s="6">
        <f>IF(AND(TRIM(A390)=Setup!$B$4,LOWER(D390)="mapped",TRIM(C390)&lt;&gt;""),IF(SUMPRODUCT((TRIM($A$5:A390)=Setup!$B$4)*(LOWER($D$5:D390)="mapped")*(TRIM($C$5:C390)=TRIM(C390)))=1,ROW(),""),"")</f>
        <v/>
      </c>
    </row>
    <row r="391">
      <c r="A391" s="8" t="n"/>
      <c r="B391" s="8" t="n"/>
      <c r="C391" s="8" t="n"/>
      <c r="D391" s="8" t="n"/>
      <c r="E391" s="8" t="n"/>
      <c r="F391" s="6">
        <f>IF(B391="","",TRIM(A391)&amp;"||"&amp;TRIM(B391))</f>
        <v/>
      </c>
      <c r="G391" s="6">
        <f>IF(B391="","",IF(OR(AND(LOWER(D391)="mapped",TRIM(C391)&lt;&gt;""),AND(LOWER(D391)="ignored",TRIM(E391)&lt;&gt;"")),1,0))</f>
        <v/>
      </c>
      <c r="H391" s="6">
        <f>IF(AND(TRIM(A391)=Setup!$B$4,LOWER(D391)="mapped",TRIM(C391)&lt;&gt;""),IF(SUMPRODUCT((TRIM($A$5:A391)=Setup!$B$4)*(LOWER($D$5:D391)="mapped")*(TRIM($C$5:C391)=TRIM(C391)))=1,ROW(),""),"")</f>
        <v/>
      </c>
    </row>
    <row r="392">
      <c r="A392" s="8" t="n"/>
      <c r="B392" s="8" t="n"/>
      <c r="C392" s="8" t="n"/>
      <c r="D392" s="8" t="n"/>
      <c r="E392" s="8" t="n"/>
      <c r="F392" s="6">
        <f>IF(B392="","",TRIM(A392)&amp;"||"&amp;TRIM(B392))</f>
        <v/>
      </c>
      <c r="G392" s="6">
        <f>IF(B392="","",IF(OR(AND(LOWER(D392)="mapped",TRIM(C392)&lt;&gt;""),AND(LOWER(D392)="ignored",TRIM(E392)&lt;&gt;"")),1,0))</f>
        <v/>
      </c>
      <c r="H392" s="6">
        <f>IF(AND(TRIM(A392)=Setup!$B$4,LOWER(D392)="mapped",TRIM(C392)&lt;&gt;""),IF(SUMPRODUCT((TRIM($A$5:A392)=Setup!$B$4)*(LOWER($D$5:D392)="mapped")*(TRIM($C$5:C392)=TRIM(C392)))=1,ROW(),""),"")</f>
        <v/>
      </c>
    </row>
    <row r="393">
      <c r="A393" s="8" t="n"/>
      <c r="B393" s="8" t="n"/>
      <c r="C393" s="8" t="n"/>
      <c r="D393" s="8" t="n"/>
      <c r="E393" s="8" t="n"/>
      <c r="F393" s="6">
        <f>IF(B393="","",TRIM(A393)&amp;"||"&amp;TRIM(B393))</f>
        <v/>
      </c>
      <c r="G393" s="6">
        <f>IF(B393="","",IF(OR(AND(LOWER(D393)="mapped",TRIM(C393)&lt;&gt;""),AND(LOWER(D393)="ignored",TRIM(E393)&lt;&gt;"")),1,0))</f>
        <v/>
      </c>
      <c r="H393" s="6">
        <f>IF(AND(TRIM(A393)=Setup!$B$4,LOWER(D393)="mapped",TRIM(C393)&lt;&gt;""),IF(SUMPRODUCT((TRIM($A$5:A393)=Setup!$B$4)*(LOWER($D$5:D393)="mapped")*(TRIM($C$5:C393)=TRIM(C393)))=1,ROW(),""),"")</f>
        <v/>
      </c>
    </row>
    <row r="394">
      <c r="A394" s="8" t="n"/>
      <c r="B394" s="8" t="n"/>
      <c r="C394" s="8" t="n"/>
      <c r="D394" s="8" t="n"/>
      <c r="E394" s="8" t="n"/>
      <c r="F394" s="6">
        <f>IF(B394="","",TRIM(A394)&amp;"||"&amp;TRIM(B394))</f>
        <v/>
      </c>
      <c r="G394" s="6">
        <f>IF(B394="","",IF(OR(AND(LOWER(D394)="mapped",TRIM(C394)&lt;&gt;""),AND(LOWER(D394)="ignored",TRIM(E394)&lt;&gt;"")),1,0))</f>
        <v/>
      </c>
      <c r="H394" s="6">
        <f>IF(AND(TRIM(A394)=Setup!$B$4,LOWER(D394)="mapped",TRIM(C394)&lt;&gt;""),IF(SUMPRODUCT((TRIM($A$5:A394)=Setup!$B$4)*(LOWER($D$5:D394)="mapped")*(TRIM($C$5:C394)=TRIM(C394)))=1,ROW(),""),"")</f>
        <v/>
      </c>
    </row>
    <row r="395">
      <c r="A395" s="8" t="n"/>
      <c r="B395" s="8" t="n"/>
      <c r="C395" s="8" t="n"/>
      <c r="D395" s="8" t="n"/>
      <c r="E395" s="8" t="n"/>
      <c r="F395" s="6">
        <f>IF(B395="","",TRIM(A395)&amp;"||"&amp;TRIM(B395))</f>
        <v/>
      </c>
      <c r="G395" s="6">
        <f>IF(B395="","",IF(OR(AND(LOWER(D395)="mapped",TRIM(C395)&lt;&gt;""),AND(LOWER(D395)="ignored",TRIM(E395)&lt;&gt;"")),1,0))</f>
        <v/>
      </c>
      <c r="H395" s="6">
        <f>IF(AND(TRIM(A395)=Setup!$B$4,LOWER(D395)="mapped",TRIM(C395)&lt;&gt;""),IF(SUMPRODUCT((TRIM($A$5:A395)=Setup!$B$4)*(LOWER($D$5:D395)="mapped")*(TRIM($C$5:C395)=TRIM(C395)))=1,ROW(),""),"")</f>
        <v/>
      </c>
    </row>
    <row r="396">
      <c r="A396" s="8" t="n"/>
      <c r="B396" s="8" t="n"/>
      <c r="C396" s="8" t="n"/>
      <c r="D396" s="8" t="n"/>
      <c r="E396" s="8" t="n"/>
      <c r="F396" s="6">
        <f>IF(B396="","",TRIM(A396)&amp;"||"&amp;TRIM(B396))</f>
        <v/>
      </c>
      <c r="G396" s="6">
        <f>IF(B396="","",IF(OR(AND(LOWER(D396)="mapped",TRIM(C396)&lt;&gt;""),AND(LOWER(D396)="ignored",TRIM(E396)&lt;&gt;"")),1,0))</f>
        <v/>
      </c>
      <c r="H396" s="6">
        <f>IF(AND(TRIM(A396)=Setup!$B$4,LOWER(D396)="mapped",TRIM(C396)&lt;&gt;""),IF(SUMPRODUCT((TRIM($A$5:A396)=Setup!$B$4)*(LOWER($D$5:D396)="mapped")*(TRIM($C$5:C396)=TRIM(C396)))=1,ROW(),""),"")</f>
        <v/>
      </c>
    </row>
    <row r="397">
      <c r="A397" s="8" t="n"/>
      <c r="B397" s="8" t="n"/>
      <c r="C397" s="8" t="n"/>
      <c r="D397" s="8" t="n"/>
      <c r="E397" s="8" t="n"/>
      <c r="F397" s="6">
        <f>IF(B397="","",TRIM(A397)&amp;"||"&amp;TRIM(B397))</f>
        <v/>
      </c>
      <c r="G397" s="6">
        <f>IF(B397="","",IF(OR(AND(LOWER(D397)="mapped",TRIM(C397)&lt;&gt;""),AND(LOWER(D397)="ignored",TRIM(E397)&lt;&gt;"")),1,0))</f>
        <v/>
      </c>
      <c r="H397" s="6">
        <f>IF(AND(TRIM(A397)=Setup!$B$4,LOWER(D397)="mapped",TRIM(C397)&lt;&gt;""),IF(SUMPRODUCT((TRIM($A$5:A397)=Setup!$B$4)*(LOWER($D$5:D397)="mapped")*(TRIM($C$5:C397)=TRIM(C397)))=1,ROW(),""),"")</f>
        <v/>
      </c>
    </row>
    <row r="398">
      <c r="A398" s="8" t="n"/>
      <c r="B398" s="8" t="n"/>
      <c r="C398" s="8" t="n"/>
      <c r="D398" s="8" t="n"/>
      <c r="E398" s="8" t="n"/>
      <c r="F398" s="6">
        <f>IF(B398="","",TRIM(A398)&amp;"||"&amp;TRIM(B398))</f>
        <v/>
      </c>
      <c r="G398" s="6">
        <f>IF(B398="","",IF(OR(AND(LOWER(D398)="mapped",TRIM(C398)&lt;&gt;""),AND(LOWER(D398)="ignored",TRIM(E398)&lt;&gt;"")),1,0))</f>
        <v/>
      </c>
      <c r="H398" s="6">
        <f>IF(AND(TRIM(A398)=Setup!$B$4,LOWER(D398)="mapped",TRIM(C398)&lt;&gt;""),IF(SUMPRODUCT((TRIM($A$5:A398)=Setup!$B$4)*(LOWER($D$5:D398)="mapped")*(TRIM($C$5:C398)=TRIM(C398)))=1,ROW(),""),"")</f>
        <v/>
      </c>
    </row>
    <row r="399">
      <c r="A399" s="8" t="n"/>
      <c r="B399" s="8" t="n"/>
      <c r="C399" s="8" t="n"/>
      <c r="D399" s="8" t="n"/>
      <c r="E399" s="8" t="n"/>
      <c r="F399" s="6">
        <f>IF(B399="","",TRIM(A399)&amp;"||"&amp;TRIM(B399))</f>
        <v/>
      </c>
      <c r="G399" s="6">
        <f>IF(B399="","",IF(OR(AND(LOWER(D399)="mapped",TRIM(C399)&lt;&gt;""),AND(LOWER(D399)="ignored",TRIM(E399)&lt;&gt;"")),1,0))</f>
        <v/>
      </c>
      <c r="H399" s="6">
        <f>IF(AND(TRIM(A399)=Setup!$B$4,LOWER(D399)="mapped",TRIM(C399)&lt;&gt;""),IF(SUMPRODUCT((TRIM($A$5:A399)=Setup!$B$4)*(LOWER($D$5:D399)="mapped")*(TRIM($C$5:C399)=TRIM(C399)))=1,ROW(),""),"")</f>
        <v/>
      </c>
    </row>
    <row r="400">
      <c r="A400" s="8" t="n"/>
      <c r="B400" s="8" t="n"/>
      <c r="C400" s="8" t="n"/>
      <c r="D400" s="8" t="n"/>
      <c r="E400" s="8" t="n"/>
      <c r="F400" s="6">
        <f>IF(B400="","",TRIM(A400)&amp;"||"&amp;TRIM(B400))</f>
        <v/>
      </c>
      <c r="G400" s="6">
        <f>IF(B400="","",IF(OR(AND(LOWER(D400)="mapped",TRIM(C400)&lt;&gt;""),AND(LOWER(D400)="ignored",TRIM(E400)&lt;&gt;"")),1,0))</f>
        <v/>
      </c>
      <c r="H400" s="6">
        <f>IF(AND(TRIM(A400)=Setup!$B$4,LOWER(D400)="mapped",TRIM(C400)&lt;&gt;""),IF(SUMPRODUCT((TRIM($A$5:A400)=Setup!$B$4)*(LOWER($D$5:D400)="mapped")*(TRIM($C$5:C400)=TRIM(C400)))=1,ROW(),""),"")</f>
        <v/>
      </c>
    </row>
    <row r="401">
      <c r="A401" s="8" t="n"/>
      <c r="B401" s="8" t="n"/>
      <c r="C401" s="8" t="n"/>
      <c r="D401" s="8" t="n"/>
      <c r="E401" s="8" t="n"/>
      <c r="F401" s="6">
        <f>IF(B401="","",TRIM(A401)&amp;"||"&amp;TRIM(B401))</f>
        <v/>
      </c>
      <c r="G401" s="6">
        <f>IF(B401="","",IF(OR(AND(LOWER(D401)="mapped",TRIM(C401)&lt;&gt;""),AND(LOWER(D401)="ignored",TRIM(E401)&lt;&gt;"")),1,0))</f>
        <v/>
      </c>
      <c r="H401" s="6">
        <f>IF(AND(TRIM(A401)=Setup!$B$4,LOWER(D401)="mapped",TRIM(C401)&lt;&gt;""),IF(SUMPRODUCT((TRIM($A$5:A401)=Setup!$B$4)*(LOWER($D$5:D401)="mapped")*(TRIM($C$5:C401)=TRIM(C401)))=1,ROW(),""),"")</f>
        <v/>
      </c>
    </row>
    <row r="402">
      <c r="A402" s="8" t="n"/>
      <c r="B402" s="8" t="n"/>
      <c r="C402" s="8" t="n"/>
      <c r="D402" s="8" t="n"/>
      <c r="E402" s="8" t="n"/>
      <c r="F402" s="6">
        <f>IF(B402="","",TRIM(A402)&amp;"||"&amp;TRIM(B402))</f>
        <v/>
      </c>
      <c r="G402" s="6">
        <f>IF(B402="","",IF(OR(AND(LOWER(D402)="mapped",TRIM(C402)&lt;&gt;""),AND(LOWER(D402)="ignored",TRIM(E402)&lt;&gt;"")),1,0))</f>
        <v/>
      </c>
      <c r="H402" s="6">
        <f>IF(AND(TRIM(A402)=Setup!$B$4,LOWER(D402)="mapped",TRIM(C402)&lt;&gt;""),IF(SUMPRODUCT((TRIM($A$5:A402)=Setup!$B$4)*(LOWER($D$5:D402)="mapped")*(TRIM($C$5:C402)=TRIM(C402)))=1,ROW(),""),"")</f>
        <v/>
      </c>
    </row>
    <row r="403">
      <c r="A403" s="8" t="n"/>
      <c r="B403" s="8" t="n"/>
      <c r="C403" s="8" t="n"/>
      <c r="D403" s="8" t="n"/>
      <c r="E403" s="8" t="n"/>
      <c r="F403" s="6">
        <f>IF(B403="","",TRIM(A403)&amp;"||"&amp;TRIM(B403))</f>
        <v/>
      </c>
      <c r="G403" s="6">
        <f>IF(B403="","",IF(OR(AND(LOWER(D403)="mapped",TRIM(C403)&lt;&gt;""),AND(LOWER(D403)="ignored",TRIM(E403)&lt;&gt;"")),1,0))</f>
        <v/>
      </c>
      <c r="H403" s="6">
        <f>IF(AND(TRIM(A403)=Setup!$B$4,LOWER(D403)="mapped",TRIM(C403)&lt;&gt;""),IF(SUMPRODUCT((TRIM($A$5:A403)=Setup!$B$4)*(LOWER($D$5:D403)="mapped")*(TRIM($C$5:C403)=TRIM(C403)))=1,ROW(),""),"")</f>
        <v/>
      </c>
    </row>
    <row r="404">
      <c r="A404" s="8" t="n"/>
      <c r="B404" s="8" t="n"/>
      <c r="C404" s="8" t="n"/>
      <c r="D404" s="8" t="n"/>
      <c r="E404" s="8" t="n"/>
      <c r="F404" s="6">
        <f>IF(B404="","",TRIM(A404)&amp;"||"&amp;TRIM(B404))</f>
        <v/>
      </c>
      <c r="G404" s="6">
        <f>IF(B404="","",IF(OR(AND(LOWER(D404)="mapped",TRIM(C404)&lt;&gt;""),AND(LOWER(D404)="ignored",TRIM(E404)&lt;&gt;"")),1,0))</f>
        <v/>
      </c>
      <c r="H404" s="6">
        <f>IF(AND(TRIM(A404)=Setup!$B$4,LOWER(D404)="mapped",TRIM(C404)&lt;&gt;""),IF(SUMPRODUCT((TRIM($A$5:A404)=Setup!$B$4)*(LOWER($D$5:D404)="mapped")*(TRIM($C$5:C404)=TRIM(C404)))=1,ROW(),""),"")</f>
        <v/>
      </c>
    </row>
    <row r="405">
      <c r="A405" s="8" t="n"/>
      <c r="B405" s="8" t="n"/>
      <c r="C405" s="8" t="n"/>
      <c r="D405" s="8" t="n"/>
      <c r="E405" s="8" t="n"/>
      <c r="F405" s="6">
        <f>IF(B405="","",TRIM(A405)&amp;"||"&amp;TRIM(B405))</f>
        <v/>
      </c>
      <c r="G405" s="6">
        <f>IF(B405="","",IF(OR(AND(LOWER(D405)="mapped",TRIM(C405)&lt;&gt;""),AND(LOWER(D405)="ignored",TRIM(E405)&lt;&gt;"")),1,0))</f>
        <v/>
      </c>
      <c r="H405" s="6">
        <f>IF(AND(TRIM(A405)=Setup!$B$4,LOWER(D405)="mapped",TRIM(C405)&lt;&gt;""),IF(SUMPRODUCT((TRIM($A$5:A405)=Setup!$B$4)*(LOWER($D$5:D405)="mapped")*(TRIM($C$5:C405)=TRIM(C405)))=1,ROW(),""),"")</f>
        <v/>
      </c>
    </row>
    <row r="406">
      <c r="A406" s="8" t="n"/>
      <c r="B406" s="8" t="n"/>
      <c r="C406" s="8" t="n"/>
      <c r="D406" s="8" t="n"/>
      <c r="E406" s="8" t="n"/>
      <c r="F406" s="6">
        <f>IF(B406="","",TRIM(A406)&amp;"||"&amp;TRIM(B406))</f>
        <v/>
      </c>
      <c r="G406" s="6">
        <f>IF(B406="","",IF(OR(AND(LOWER(D406)="mapped",TRIM(C406)&lt;&gt;""),AND(LOWER(D406)="ignored",TRIM(E406)&lt;&gt;"")),1,0))</f>
        <v/>
      </c>
      <c r="H406" s="6">
        <f>IF(AND(TRIM(A406)=Setup!$B$4,LOWER(D406)="mapped",TRIM(C406)&lt;&gt;""),IF(SUMPRODUCT((TRIM($A$5:A406)=Setup!$B$4)*(LOWER($D$5:D406)="mapped")*(TRIM($C$5:C406)=TRIM(C406)))=1,ROW(),""),"")</f>
        <v/>
      </c>
    </row>
    <row r="407">
      <c r="A407" s="8" t="n"/>
      <c r="B407" s="8" t="n"/>
      <c r="C407" s="8" t="n"/>
      <c r="D407" s="8" t="n"/>
      <c r="E407" s="8" t="n"/>
      <c r="F407" s="6">
        <f>IF(B407="","",TRIM(A407)&amp;"||"&amp;TRIM(B407))</f>
        <v/>
      </c>
      <c r="G407" s="6">
        <f>IF(B407="","",IF(OR(AND(LOWER(D407)="mapped",TRIM(C407)&lt;&gt;""),AND(LOWER(D407)="ignored",TRIM(E407)&lt;&gt;"")),1,0))</f>
        <v/>
      </c>
      <c r="H407" s="6">
        <f>IF(AND(TRIM(A407)=Setup!$B$4,LOWER(D407)="mapped",TRIM(C407)&lt;&gt;""),IF(SUMPRODUCT((TRIM($A$5:A407)=Setup!$B$4)*(LOWER($D$5:D407)="mapped")*(TRIM($C$5:C407)=TRIM(C407)))=1,ROW(),""),"")</f>
        <v/>
      </c>
    </row>
    <row r="408">
      <c r="A408" s="8" t="n"/>
      <c r="B408" s="8" t="n"/>
      <c r="C408" s="8" t="n"/>
      <c r="D408" s="8" t="n"/>
      <c r="E408" s="8" t="n"/>
      <c r="F408" s="6">
        <f>IF(B408="","",TRIM(A408)&amp;"||"&amp;TRIM(B408))</f>
        <v/>
      </c>
      <c r="G408" s="6">
        <f>IF(B408="","",IF(OR(AND(LOWER(D408)="mapped",TRIM(C408)&lt;&gt;""),AND(LOWER(D408)="ignored",TRIM(E408)&lt;&gt;"")),1,0))</f>
        <v/>
      </c>
      <c r="H408" s="6">
        <f>IF(AND(TRIM(A408)=Setup!$B$4,LOWER(D408)="mapped",TRIM(C408)&lt;&gt;""),IF(SUMPRODUCT((TRIM($A$5:A408)=Setup!$B$4)*(LOWER($D$5:D408)="mapped")*(TRIM($C$5:C408)=TRIM(C408)))=1,ROW(),""),"")</f>
        <v/>
      </c>
    </row>
    <row r="409">
      <c r="A409" s="8" t="n"/>
      <c r="B409" s="8" t="n"/>
      <c r="C409" s="8" t="n"/>
      <c r="D409" s="8" t="n"/>
      <c r="E409" s="8" t="n"/>
      <c r="F409" s="6">
        <f>IF(B409="","",TRIM(A409)&amp;"||"&amp;TRIM(B409))</f>
        <v/>
      </c>
      <c r="G409" s="6">
        <f>IF(B409="","",IF(OR(AND(LOWER(D409)="mapped",TRIM(C409)&lt;&gt;""),AND(LOWER(D409)="ignored",TRIM(E409)&lt;&gt;"")),1,0))</f>
        <v/>
      </c>
      <c r="H409" s="6">
        <f>IF(AND(TRIM(A409)=Setup!$B$4,LOWER(D409)="mapped",TRIM(C409)&lt;&gt;""),IF(SUMPRODUCT((TRIM($A$5:A409)=Setup!$B$4)*(LOWER($D$5:D409)="mapped")*(TRIM($C$5:C409)=TRIM(C409)))=1,ROW(),""),"")</f>
        <v/>
      </c>
    </row>
    <row r="410">
      <c r="A410" s="8" t="n"/>
      <c r="B410" s="8" t="n"/>
      <c r="C410" s="8" t="n"/>
      <c r="D410" s="8" t="n"/>
      <c r="E410" s="8" t="n"/>
      <c r="F410" s="6">
        <f>IF(B410="","",TRIM(A410)&amp;"||"&amp;TRIM(B410))</f>
        <v/>
      </c>
      <c r="G410" s="6">
        <f>IF(B410="","",IF(OR(AND(LOWER(D410)="mapped",TRIM(C410)&lt;&gt;""),AND(LOWER(D410)="ignored",TRIM(E410)&lt;&gt;"")),1,0))</f>
        <v/>
      </c>
      <c r="H410" s="6">
        <f>IF(AND(TRIM(A410)=Setup!$B$4,LOWER(D410)="mapped",TRIM(C410)&lt;&gt;""),IF(SUMPRODUCT((TRIM($A$5:A410)=Setup!$B$4)*(LOWER($D$5:D410)="mapped")*(TRIM($C$5:C410)=TRIM(C410)))=1,ROW(),""),"")</f>
        <v/>
      </c>
    </row>
    <row r="411">
      <c r="A411" s="8" t="n"/>
      <c r="B411" s="8" t="n"/>
      <c r="C411" s="8" t="n"/>
      <c r="D411" s="8" t="n"/>
      <c r="E411" s="8" t="n"/>
      <c r="F411" s="6">
        <f>IF(B411="","",TRIM(A411)&amp;"||"&amp;TRIM(B411))</f>
        <v/>
      </c>
      <c r="G411" s="6">
        <f>IF(B411="","",IF(OR(AND(LOWER(D411)="mapped",TRIM(C411)&lt;&gt;""),AND(LOWER(D411)="ignored",TRIM(E411)&lt;&gt;"")),1,0))</f>
        <v/>
      </c>
      <c r="H411" s="6">
        <f>IF(AND(TRIM(A411)=Setup!$B$4,LOWER(D411)="mapped",TRIM(C411)&lt;&gt;""),IF(SUMPRODUCT((TRIM($A$5:A411)=Setup!$B$4)*(LOWER($D$5:D411)="mapped")*(TRIM($C$5:C411)=TRIM(C411)))=1,ROW(),""),"")</f>
        <v/>
      </c>
    </row>
    <row r="412">
      <c r="A412" s="8" t="n"/>
      <c r="B412" s="8" t="n"/>
      <c r="C412" s="8" t="n"/>
      <c r="D412" s="8" t="n"/>
      <c r="E412" s="8" t="n"/>
      <c r="F412" s="6">
        <f>IF(B412="","",TRIM(A412)&amp;"||"&amp;TRIM(B412))</f>
        <v/>
      </c>
      <c r="G412" s="6">
        <f>IF(B412="","",IF(OR(AND(LOWER(D412)="mapped",TRIM(C412)&lt;&gt;""),AND(LOWER(D412)="ignored",TRIM(E412)&lt;&gt;"")),1,0))</f>
        <v/>
      </c>
      <c r="H412" s="6">
        <f>IF(AND(TRIM(A412)=Setup!$B$4,LOWER(D412)="mapped",TRIM(C412)&lt;&gt;""),IF(SUMPRODUCT((TRIM($A$5:A412)=Setup!$B$4)*(LOWER($D$5:D412)="mapped")*(TRIM($C$5:C412)=TRIM(C412)))=1,ROW(),""),"")</f>
        <v/>
      </c>
    </row>
    <row r="413">
      <c r="A413" s="8" t="n"/>
      <c r="B413" s="8" t="n"/>
      <c r="C413" s="8" t="n"/>
      <c r="D413" s="8" t="n"/>
      <c r="E413" s="8" t="n"/>
      <c r="F413" s="6">
        <f>IF(B413="","",TRIM(A413)&amp;"||"&amp;TRIM(B413))</f>
        <v/>
      </c>
      <c r="G413" s="6">
        <f>IF(B413="","",IF(OR(AND(LOWER(D413)="mapped",TRIM(C413)&lt;&gt;""),AND(LOWER(D413)="ignored",TRIM(E413)&lt;&gt;"")),1,0))</f>
        <v/>
      </c>
      <c r="H413" s="6">
        <f>IF(AND(TRIM(A413)=Setup!$B$4,LOWER(D413)="mapped",TRIM(C413)&lt;&gt;""),IF(SUMPRODUCT((TRIM($A$5:A413)=Setup!$B$4)*(LOWER($D$5:D413)="mapped")*(TRIM($C$5:C413)=TRIM(C413)))=1,ROW(),""),"")</f>
        <v/>
      </c>
    </row>
    <row r="414">
      <c r="A414" s="8" t="n"/>
      <c r="B414" s="8" t="n"/>
      <c r="C414" s="8" t="n"/>
      <c r="D414" s="8" t="n"/>
      <c r="E414" s="8" t="n"/>
      <c r="F414" s="6">
        <f>IF(B414="","",TRIM(A414)&amp;"||"&amp;TRIM(B414))</f>
        <v/>
      </c>
      <c r="G414" s="6">
        <f>IF(B414="","",IF(OR(AND(LOWER(D414)="mapped",TRIM(C414)&lt;&gt;""),AND(LOWER(D414)="ignored",TRIM(E414)&lt;&gt;"")),1,0))</f>
        <v/>
      </c>
      <c r="H414" s="6">
        <f>IF(AND(TRIM(A414)=Setup!$B$4,LOWER(D414)="mapped",TRIM(C414)&lt;&gt;""),IF(SUMPRODUCT((TRIM($A$5:A414)=Setup!$B$4)*(LOWER($D$5:D414)="mapped")*(TRIM($C$5:C414)=TRIM(C414)))=1,ROW(),""),"")</f>
        <v/>
      </c>
    </row>
    <row r="415">
      <c r="A415" s="8" t="n"/>
      <c r="B415" s="8" t="n"/>
      <c r="C415" s="8" t="n"/>
      <c r="D415" s="8" t="n"/>
      <c r="E415" s="8" t="n"/>
      <c r="F415" s="6">
        <f>IF(B415="","",TRIM(A415)&amp;"||"&amp;TRIM(B415))</f>
        <v/>
      </c>
      <c r="G415" s="6">
        <f>IF(B415="","",IF(OR(AND(LOWER(D415)="mapped",TRIM(C415)&lt;&gt;""),AND(LOWER(D415)="ignored",TRIM(E415)&lt;&gt;"")),1,0))</f>
        <v/>
      </c>
      <c r="H415" s="6">
        <f>IF(AND(TRIM(A415)=Setup!$B$4,LOWER(D415)="mapped",TRIM(C415)&lt;&gt;""),IF(SUMPRODUCT((TRIM($A$5:A415)=Setup!$B$4)*(LOWER($D$5:D415)="mapped")*(TRIM($C$5:C415)=TRIM(C415)))=1,ROW(),""),"")</f>
        <v/>
      </c>
    </row>
    <row r="416">
      <c r="A416" s="8" t="n"/>
      <c r="B416" s="8" t="n"/>
      <c r="C416" s="8" t="n"/>
      <c r="D416" s="8" t="n"/>
      <c r="E416" s="8" t="n"/>
      <c r="F416" s="6">
        <f>IF(B416="","",TRIM(A416)&amp;"||"&amp;TRIM(B416))</f>
        <v/>
      </c>
      <c r="G416" s="6">
        <f>IF(B416="","",IF(OR(AND(LOWER(D416)="mapped",TRIM(C416)&lt;&gt;""),AND(LOWER(D416)="ignored",TRIM(E416)&lt;&gt;"")),1,0))</f>
        <v/>
      </c>
      <c r="H416" s="6">
        <f>IF(AND(TRIM(A416)=Setup!$B$4,LOWER(D416)="mapped",TRIM(C416)&lt;&gt;""),IF(SUMPRODUCT((TRIM($A$5:A416)=Setup!$B$4)*(LOWER($D$5:D416)="mapped")*(TRIM($C$5:C416)=TRIM(C416)))=1,ROW(),""),"")</f>
        <v/>
      </c>
    </row>
    <row r="417">
      <c r="A417" s="8" t="n"/>
      <c r="B417" s="8" t="n"/>
      <c r="C417" s="8" t="n"/>
      <c r="D417" s="8" t="n"/>
      <c r="E417" s="8" t="n"/>
      <c r="F417" s="6">
        <f>IF(B417="","",TRIM(A417)&amp;"||"&amp;TRIM(B417))</f>
        <v/>
      </c>
      <c r="G417" s="6">
        <f>IF(B417="","",IF(OR(AND(LOWER(D417)="mapped",TRIM(C417)&lt;&gt;""),AND(LOWER(D417)="ignored",TRIM(E417)&lt;&gt;"")),1,0))</f>
        <v/>
      </c>
      <c r="H417" s="6">
        <f>IF(AND(TRIM(A417)=Setup!$B$4,LOWER(D417)="mapped",TRIM(C417)&lt;&gt;""),IF(SUMPRODUCT((TRIM($A$5:A417)=Setup!$B$4)*(LOWER($D$5:D417)="mapped")*(TRIM($C$5:C417)=TRIM(C417)))=1,ROW(),""),"")</f>
        <v/>
      </c>
    </row>
    <row r="418">
      <c r="A418" s="8" t="n"/>
      <c r="B418" s="8" t="n"/>
      <c r="C418" s="8" t="n"/>
      <c r="D418" s="8" t="n"/>
      <c r="E418" s="8" t="n"/>
      <c r="F418" s="6">
        <f>IF(B418="","",TRIM(A418)&amp;"||"&amp;TRIM(B418))</f>
        <v/>
      </c>
      <c r="G418" s="6">
        <f>IF(B418="","",IF(OR(AND(LOWER(D418)="mapped",TRIM(C418)&lt;&gt;""),AND(LOWER(D418)="ignored",TRIM(E418)&lt;&gt;"")),1,0))</f>
        <v/>
      </c>
      <c r="H418" s="6">
        <f>IF(AND(TRIM(A418)=Setup!$B$4,LOWER(D418)="mapped",TRIM(C418)&lt;&gt;""),IF(SUMPRODUCT((TRIM($A$5:A418)=Setup!$B$4)*(LOWER($D$5:D418)="mapped")*(TRIM($C$5:C418)=TRIM(C418)))=1,ROW(),""),"")</f>
        <v/>
      </c>
    </row>
    <row r="419">
      <c r="A419" s="8" t="n"/>
      <c r="B419" s="8" t="n"/>
      <c r="C419" s="8" t="n"/>
      <c r="D419" s="8" t="n"/>
      <c r="E419" s="8" t="n"/>
      <c r="F419" s="6">
        <f>IF(B419="","",TRIM(A419)&amp;"||"&amp;TRIM(B419))</f>
        <v/>
      </c>
      <c r="G419" s="6">
        <f>IF(B419="","",IF(OR(AND(LOWER(D419)="mapped",TRIM(C419)&lt;&gt;""),AND(LOWER(D419)="ignored",TRIM(E419)&lt;&gt;"")),1,0))</f>
        <v/>
      </c>
      <c r="H419" s="6">
        <f>IF(AND(TRIM(A419)=Setup!$B$4,LOWER(D419)="mapped",TRIM(C419)&lt;&gt;""),IF(SUMPRODUCT((TRIM($A$5:A419)=Setup!$B$4)*(LOWER($D$5:D419)="mapped")*(TRIM($C$5:C419)=TRIM(C419)))=1,ROW(),""),"")</f>
        <v/>
      </c>
    </row>
    <row r="420">
      <c r="A420" s="8" t="n"/>
      <c r="B420" s="8" t="n"/>
      <c r="C420" s="8" t="n"/>
      <c r="D420" s="8" t="n"/>
      <c r="E420" s="8" t="n"/>
      <c r="F420" s="6">
        <f>IF(B420="","",TRIM(A420)&amp;"||"&amp;TRIM(B420))</f>
        <v/>
      </c>
      <c r="G420" s="6">
        <f>IF(B420="","",IF(OR(AND(LOWER(D420)="mapped",TRIM(C420)&lt;&gt;""),AND(LOWER(D420)="ignored",TRIM(E420)&lt;&gt;"")),1,0))</f>
        <v/>
      </c>
      <c r="H420" s="6">
        <f>IF(AND(TRIM(A420)=Setup!$B$4,LOWER(D420)="mapped",TRIM(C420)&lt;&gt;""),IF(SUMPRODUCT((TRIM($A$5:A420)=Setup!$B$4)*(LOWER($D$5:D420)="mapped")*(TRIM($C$5:C420)=TRIM(C420)))=1,ROW(),""),"")</f>
        <v/>
      </c>
    </row>
    <row r="421">
      <c r="A421" s="8" t="n"/>
      <c r="B421" s="8" t="n"/>
      <c r="C421" s="8" t="n"/>
      <c r="D421" s="8" t="n"/>
      <c r="E421" s="8" t="n"/>
      <c r="F421" s="6">
        <f>IF(B421="","",TRIM(A421)&amp;"||"&amp;TRIM(B421))</f>
        <v/>
      </c>
      <c r="G421" s="6">
        <f>IF(B421="","",IF(OR(AND(LOWER(D421)="mapped",TRIM(C421)&lt;&gt;""),AND(LOWER(D421)="ignored",TRIM(E421)&lt;&gt;"")),1,0))</f>
        <v/>
      </c>
      <c r="H421" s="6">
        <f>IF(AND(TRIM(A421)=Setup!$B$4,LOWER(D421)="mapped",TRIM(C421)&lt;&gt;""),IF(SUMPRODUCT((TRIM($A$5:A421)=Setup!$B$4)*(LOWER($D$5:D421)="mapped")*(TRIM($C$5:C421)=TRIM(C421)))=1,ROW(),""),"")</f>
        <v/>
      </c>
    </row>
    <row r="422">
      <c r="A422" s="8" t="n"/>
      <c r="B422" s="8" t="n"/>
      <c r="C422" s="8" t="n"/>
      <c r="D422" s="8" t="n"/>
      <c r="E422" s="8" t="n"/>
      <c r="F422" s="6">
        <f>IF(B422="","",TRIM(A422)&amp;"||"&amp;TRIM(B422))</f>
        <v/>
      </c>
      <c r="G422" s="6">
        <f>IF(B422="","",IF(OR(AND(LOWER(D422)="mapped",TRIM(C422)&lt;&gt;""),AND(LOWER(D422)="ignored",TRIM(E422)&lt;&gt;"")),1,0))</f>
        <v/>
      </c>
      <c r="H422" s="6">
        <f>IF(AND(TRIM(A422)=Setup!$B$4,LOWER(D422)="mapped",TRIM(C422)&lt;&gt;""),IF(SUMPRODUCT((TRIM($A$5:A422)=Setup!$B$4)*(LOWER($D$5:D422)="mapped")*(TRIM($C$5:C422)=TRIM(C422)))=1,ROW(),""),"")</f>
        <v/>
      </c>
    </row>
    <row r="423">
      <c r="A423" s="8" t="n"/>
      <c r="B423" s="8" t="n"/>
      <c r="C423" s="8" t="n"/>
      <c r="D423" s="8" t="n"/>
      <c r="E423" s="8" t="n"/>
      <c r="F423" s="6">
        <f>IF(B423="","",TRIM(A423)&amp;"||"&amp;TRIM(B423))</f>
        <v/>
      </c>
      <c r="G423" s="6">
        <f>IF(B423="","",IF(OR(AND(LOWER(D423)="mapped",TRIM(C423)&lt;&gt;""),AND(LOWER(D423)="ignored",TRIM(E423)&lt;&gt;"")),1,0))</f>
        <v/>
      </c>
      <c r="H423" s="6">
        <f>IF(AND(TRIM(A423)=Setup!$B$4,LOWER(D423)="mapped",TRIM(C423)&lt;&gt;""),IF(SUMPRODUCT((TRIM($A$5:A423)=Setup!$B$4)*(LOWER($D$5:D423)="mapped")*(TRIM($C$5:C423)=TRIM(C423)))=1,ROW(),""),"")</f>
        <v/>
      </c>
    </row>
    <row r="424">
      <c r="A424" s="8" t="n"/>
      <c r="B424" s="8" t="n"/>
      <c r="C424" s="8" t="n"/>
      <c r="D424" s="8" t="n"/>
      <c r="E424" s="8" t="n"/>
      <c r="F424" s="6">
        <f>IF(B424="","",TRIM(A424)&amp;"||"&amp;TRIM(B424))</f>
        <v/>
      </c>
      <c r="G424" s="6">
        <f>IF(B424="","",IF(OR(AND(LOWER(D424)="mapped",TRIM(C424)&lt;&gt;""),AND(LOWER(D424)="ignored",TRIM(E424)&lt;&gt;"")),1,0))</f>
        <v/>
      </c>
      <c r="H424" s="6">
        <f>IF(AND(TRIM(A424)=Setup!$B$4,LOWER(D424)="mapped",TRIM(C424)&lt;&gt;""),IF(SUMPRODUCT((TRIM($A$5:A424)=Setup!$B$4)*(LOWER($D$5:D424)="mapped")*(TRIM($C$5:C424)=TRIM(C424)))=1,ROW(),""),"")</f>
        <v/>
      </c>
    </row>
    <row r="425">
      <c r="A425" s="8" t="n"/>
      <c r="B425" s="8" t="n"/>
      <c r="C425" s="8" t="n"/>
      <c r="D425" s="8" t="n"/>
      <c r="E425" s="8" t="n"/>
      <c r="F425" s="6">
        <f>IF(B425="","",TRIM(A425)&amp;"||"&amp;TRIM(B425))</f>
        <v/>
      </c>
      <c r="G425" s="6">
        <f>IF(B425="","",IF(OR(AND(LOWER(D425)="mapped",TRIM(C425)&lt;&gt;""),AND(LOWER(D425)="ignored",TRIM(E425)&lt;&gt;"")),1,0))</f>
        <v/>
      </c>
      <c r="H425" s="6">
        <f>IF(AND(TRIM(A425)=Setup!$B$4,LOWER(D425)="mapped",TRIM(C425)&lt;&gt;""),IF(SUMPRODUCT((TRIM($A$5:A425)=Setup!$B$4)*(LOWER($D$5:D425)="mapped")*(TRIM($C$5:C425)=TRIM(C425)))=1,ROW(),""),"")</f>
        <v/>
      </c>
    </row>
    <row r="426">
      <c r="A426" s="8" t="n"/>
      <c r="B426" s="8" t="n"/>
      <c r="C426" s="8" t="n"/>
      <c r="D426" s="8" t="n"/>
      <c r="E426" s="8" t="n"/>
      <c r="F426" s="6">
        <f>IF(B426="","",TRIM(A426)&amp;"||"&amp;TRIM(B426))</f>
        <v/>
      </c>
      <c r="G426" s="6">
        <f>IF(B426="","",IF(OR(AND(LOWER(D426)="mapped",TRIM(C426)&lt;&gt;""),AND(LOWER(D426)="ignored",TRIM(E426)&lt;&gt;"")),1,0))</f>
        <v/>
      </c>
      <c r="H426" s="6">
        <f>IF(AND(TRIM(A426)=Setup!$B$4,LOWER(D426)="mapped",TRIM(C426)&lt;&gt;""),IF(SUMPRODUCT((TRIM($A$5:A426)=Setup!$B$4)*(LOWER($D$5:D426)="mapped")*(TRIM($C$5:C426)=TRIM(C426)))=1,ROW(),""),"")</f>
        <v/>
      </c>
    </row>
    <row r="427">
      <c r="A427" s="8" t="n"/>
      <c r="B427" s="8" t="n"/>
      <c r="C427" s="8" t="n"/>
      <c r="D427" s="8" t="n"/>
      <c r="E427" s="8" t="n"/>
      <c r="F427" s="6">
        <f>IF(B427="","",TRIM(A427)&amp;"||"&amp;TRIM(B427))</f>
        <v/>
      </c>
      <c r="G427" s="6">
        <f>IF(B427="","",IF(OR(AND(LOWER(D427)="mapped",TRIM(C427)&lt;&gt;""),AND(LOWER(D427)="ignored",TRIM(E427)&lt;&gt;"")),1,0))</f>
        <v/>
      </c>
      <c r="H427" s="6">
        <f>IF(AND(TRIM(A427)=Setup!$B$4,LOWER(D427)="mapped",TRIM(C427)&lt;&gt;""),IF(SUMPRODUCT((TRIM($A$5:A427)=Setup!$B$4)*(LOWER($D$5:D427)="mapped")*(TRIM($C$5:C427)=TRIM(C427)))=1,ROW(),""),"")</f>
        <v/>
      </c>
    </row>
    <row r="428">
      <c r="A428" s="8" t="n"/>
      <c r="B428" s="8" t="n"/>
      <c r="C428" s="8" t="n"/>
      <c r="D428" s="8" t="n"/>
      <c r="E428" s="8" t="n"/>
      <c r="F428" s="6">
        <f>IF(B428="","",TRIM(A428)&amp;"||"&amp;TRIM(B428))</f>
        <v/>
      </c>
      <c r="G428" s="6">
        <f>IF(B428="","",IF(OR(AND(LOWER(D428)="mapped",TRIM(C428)&lt;&gt;""),AND(LOWER(D428)="ignored",TRIM(E428)&lt;&gt;"")),1,0))</f>
        <v/>
      </c>
      <c r="H428" s="6">
        <f>IF(AND(TRIM(A428)=Setup!$B$4,LOWER(D428)="mapped",TRIM(C428)&lt;&gt;""),IF(SUMPRODUCT((TRIM($A$5:A428)=Setup!$B$4)*(LOWER($D$5:D428)="mapped")*(TRIM($C$5:C428)=TRIM(C428)))=1,ROW(),""),"")</f>
        <v/>
      </c>
    </row>
    <row r="429">
      <c r="A429" s="8" t="n"/>
      <c r="B429" s="8" t="n"/>
      <c r="C429" s="8" t="n"/>
      <c r="D429" s="8" t="n"/>
      <c r="E429" s="8" t="n"/>
      <c r="F429" s="6">
        <f>IF(B429="","",TRIM(A429)&amp;"||"&amp;TRIM(B429))</f>
        <v/>
      </c>
      <c r="G429" s="6">
        <f>IF(B429="","",IF(OR(AND(LOWER(D429)="mapped",TRIM(C429)&lt;&gt;""),AND(LOWER(D429)="ignored",TRIM(E429)&lt;&gt;"")),1,0))</f>
        <v/>
      </c>
      <c r="H429" s="6">
        <f>IF(AND(TRIM(A429)=Setup!$B$4,LOWER(D429)="mapped",TRIM(C429)&lt;&gt;""),IF(SUMPRODUCT((TRIM($A$5:A429)=Setup!$B$4)*(LOWER($D$5:D429)="mapped")*(TRIM($C$5:C429)=TRIM(C429)))=1,ROW(),""),"")</f>
        <v/>
      </c>
    </row>
    <row r="430">
      <c r="A430" s="8" t="n"/>
      <c r="B430" s="8" t="n"/>
      <c r="C430" s="8" t="n"/>
      <c r="D430" s="8" t="n"/>
      <c r="E430" s="8" t="n"/>
      <c r="F430" s="6">
        <f>IF(B430="","",TRIM(A430)&amp;"||"&amp;TRIM(B430))</f>
        <v/>
      </c>
      <c r="G430" s="6">
        <f>IF(B430="","",IF(OR(AND(LOWER(D430)="mapped",TRIM(C430)&lt;&gt;""),AND(LOWER(D430)="ignored",TRIM(E430)&lt;&gt;"")),1,0))</f>
        <v/>
      </c>
      <c r="H430" s="6">
        <f>IF(AND(TRIM(A430)=Setup!$B$4,LOWER(D430)="mapped",TRIM(C430)&lt;&gt;""),IF(SUMPRODUCT((TRIM($A$5:A430)=Setup!$B$4)*(LOWER($D$5:D430)="mapped")*(TRIM($C$5:C430)=TRIM(C430)))=1,ROW(),""),"")</f>
        <v/>
      </c>
    </row>
    <row r="431">
      <c r="A431" s="8" t="n"/>
      <c r="B431" s="8" t="n"/>
      <c r="C431" s="8" t="n"/>
      <c r="D431" s="8" t="n"/>
      <c r="E431" s="8" t="n"/>
      <c r="F431" s="6">
        <f>IF(B431="","",TRIM(A431)&amp;"||"&amp;TRIM(B431))</f>
        <v/>
      </c>
      <c r="G431" s="6">
        <f>IF(B431="","",IF(OR(AND(LOWER(D431)="mapped",TRIM(C431)&lt;&gt;""),AND(LOWER(D431)="ignored",TRIM(E431)&lt;&gt;"")),1,0))</f>
        <v/>
      </c>
      <c r="H431" s="6">
        <f>IF(AND(TRIM(A431)=Setup!$B$4,LOWER(D431)="mapped",TRIM(C431)&lt;&gt;""),IF(SUMPRODUCT((TRIM($A$5:A431)=Setup!$B$4)*(LOWER($D$5:D431)="mapped")*(TRIM($C$5:C431)=TRIM(C431)))=1,ROW(),""),"")</f>
        <v/>
      </c>
    </row>
    <row r="432">
      <c r="A432" s="8" t="n"/>
      <c r="B432" s="8" t="n"/>
      <c r="C432" s="8" t="n"/>
      <c r="D432" s="8" t="n"/>
      <c r="E432" s="8" t="n"/>
      <c r="F432" s="6">
        <f>IF(B432="","",TRIM(A432)&amp;"||"&amp;TRIM(B432))</f>
        <v/>
      </c>
      <c r="G432" s="6">
        <f>IF(B432="","",IF(OR(AND(LOWER(D432)="mapped",TRIM(C432)&lt;&gt;""),AND(LOWER(D432)="ignored",TRIM(E432)&lt;&gt;"")),1,0))</f>
        <v/>
      </c>
      <c r="H432" s="6">
        <f>IF(AND(TRIM(A432)=Setup!$B$4,LOWER(D432)="mapped",TRIM(C432)&lt;&gt;""),IF(SUMPRODUCT((TRIM($A$5:A432)=Setup!$B$4)*(LOWER($D$5:D432)="mapped")*(TRIM($C$5:C432)=TRIM(C432)))=1,ROW(),""),"")</f>
        <v/>
      </c>
    </row>
    <row r="433">
      <c r="A433" s="8" t="n"/>
      <c r="B433" s="8" t="n"/>
      <c r="C433" s="8" t="n"/>
      <c r="D433" s="8" t="n"/>
      <c r="E433" s="8" t="n"/>
      <c r="F433" s="6">
        <f>IF(B433="","",TRIM(A433)&amp;"||"&amp;TRIM(B433))</f>
        <v/>
      </c>
      <c r="G433" s="6">
        <f>IF(B433="","",IF(OR(AND(LOWER(D433)="mapped",TRIM(C433)&lt;&gt;""),AND(LOWER(D433)="ignored",TRIM(E433)&lt;&gt;"")),1,0))</f>
        <v/>
      </c>
      <c r="H433" s="6">
        <f>IF(AND(TRIM(A433)=Setup!$B$4,LOWER(D433)="mapped",TRIM(C433)&lt;&gt;""),IF(SUMPRODUCT((TRIM($A$5:A433)=Setup!$B$4)*(LOWER($D$5:D433)="mapped")*(TRIM($C$5:C433)=TRIM(C433)))=1,ROW(),""),"")</f>
        <v/>
      </c>
    </row>
    <row r="434">
      <c r="A434" s="8" t="n"/>
      <c r="B434" s="8" t="n"/>
      <c r="C434" s="8" t="n"/>
      <c r="D434" s="8" t="n"/>
      <c r="E434" s="8" t="n"/>
      <c r="F434" s="6">
        <f>IF(B434="","",TRIM(A434)&amp;"||"&amp;TRIM(B434))</f>
        <v/>
      </c>
      <c r="G434" s="6">
        <f>IF(B434="","",IF(OR(AND(LOWER(D434)="mapped",TRIM(C434)&lt;&gt;""),AND(LOWER(D434)="ignored",TRIM(E434)&lt;&gt;"")),1,0))</f>
        <v/>
      </c>
      <c r="H434" s="6">
        <f>IF(AND(TRIM(A434)=Setup!$B$4,LOWER(D434)="mapped",TRIM(C434)&lt;&gt;""),IF(SUMPRODUCT((TRIM($A$5:A434)=Setup!$B$4)*(LOWER($D$5:D434)="mapped")*(TRIM($C$5:C434)=TRIM(C434)))=1,ROW(),""),"")</f>
        <v/>
      </c>
    </row>
    <row r="435">
      <c r="A435" s="8" t="n"/>
      <c r="B435" s="8" t="n"/>
      <c r="C435" s="8" t="n"/>
      <c r="D435" s="8" t="n"/>
      <c r="E435" s="8" t="n"/>
      <c r="F435" s="6">
        <f>IF(B435="","",TRIM(A435)&amp;"||"&amp;TRIM(B435))</f>
        <v/>
      </c>
      <c r="G435" s="6">
        <f>IF(B435="","",IF(OR(AND(LOWER(D435)="mapped",TRIM(C435)&lt;&gt;""),AND(LOWER(D435)="ignored",TRIM(E435)&lt;&gt;"")),1,0))</f>
        <v/>
      </c>
      <c r="H435" s="6">
        <f>IF(AND(TRIM(A435)=Setup!$B$4,LOWER(D435)="mapped",TRIM(C435)&lt;&gt;""),IF(SUMPRODUCT((TRIM($A$5:A435)=Setup!$B$4)*(LOWER($D$5:D435)="mapped")*(TRIM($C$5:C435)=TRIM(C435)))=1,ROW(),""),"")</f>
        <v/>
      </c>
    </row>
    <row r="436">
      <c r="A436" s="8" t="n"/>
      <c r="B436" s="8" t="n"/>
      <c r="C436" s="8" t="n"/>
      <c r="D436" s="8" t="n"/>
      <c r="E436" s="8" t="n"/>
      <c r="F436" s="6">
        <f>IF(B436="","",TRIM(A436)&amp;"||"&amp;TRIM(B436))</f>
        <v/>
      </c>
      <c r="G436" s="6">
        <f>IF(B436="","",IF(OR(AND(LOWER(D436)="mapped",TRIM(C436)&lt;&gt;""),AND(LOWER(D436)="ignored",TRIM(E436)&lt;&gt;"")),1,0))</f>
        <v/>
      </c>
      <c r="H436" s="6">
        <f>IF(AND(TRIM(A436)=Setup!$B$4,LOWER(D436)="mapped",TRIM(C436)&lt;&gt;""),IF(SUMPRODUCT((TRIM($A$5:A436)=Setup!$B$4)*(LOWER($D$5:D436)="mapped")*(TRIM($C$5:C436)=TRIM(C436)))=1,ROW(),""),"")</f>
        <v/>
      </c>
    </row>
    <row r="437">
      <c r="A437" s="8" t="n"/>
      <c r="B437" s="8" t="n"/>
      <c r="C437" s="8" t="n"/>
      <c r="D437" s="8" t="n"/>
      <c r="E437" s="8" t="n"/>
      <c r="F437" s="6">
        <f>IF(B437="","",TRIM(A437)&amp;"||"&amp;TRIM(B437))</f>
        <v/>
      </c>
      <c r="G437" s="6">
        <f>IF(B437="","",IF(OR(AND(LOWER(D437)="mapped",TRIM(C437)&lt;&gt;""),AND(LOWER(D437)="ignored",TRIM(E437)&lt;&gt;"")),1,0))</f>
        <v/>
      </c>
      <c r="H437" s="6">
        <f>IF(AND(TRIM(A437)=Setup!$B$4,LOWER(D437)="mapped",TRIM(C437)&lt;&gt;""),IF(SUMPRODUCT((TRIM($A$5:A437)=Setup!$B$4)*(LOWER($D$5:D437)="mapped")*(TRIM($C$5:C437)=TRIM(C437)))=1,ROW(),""),"")</f>
        <v/>
      </c>
    </row>
    <row r="438">
      <c r="A438" s="8" t="n"/>
      <c r="B438" s="8" t="n"/>
      <c r="C438" s="8" t="n"/>
      <c r="D438" s="8" t="n"/>
      <c r="E438" s="8" t="n"/>
      <c r="F438" s="6">
        <f>IF(B438="","",TRIM(A438)&amp;"||"&amp;TRIM(B438))</f>
        <v/>
      </c>
      <c r="G438" s="6">
        <f>IF(B438="","",IF(OR(AND(LOWER(D438)="mapped",TRIM(C438)&lt;&gt;""),AND(LOWER(D438)="ignored",TRIM(E438)&lt;&gt;"")),1,0))</f>
        <v/>
      </c>
      <c r="H438" s="6">
        <f>IF(AND(TRIM(A438)=Setup!$B$4,LOWER(D438)="mapped",TRIM(C438)&lt;&gt;""),IF(SUMPRODUCT((TRIM($A$5:A438)=Setup!$B$4)*(LOWER($D$5:D438)="mapped")*(TRIM($C$5:C438)=TRIM(C438)))=1,ROW(),""),"")</f>
        <v/>
      </c>
    </row>
    <row r="439">
      <c r="A439" s="8" t="n"/>
      <c r="B439" s="8" t="n"/>
      <c r="C439" s="8" t="n"/>
      <c r="D439" s="8" t="n"/>
      <c r="E439" s="8" t="n"/>
      <c r="F439" s="6">
        <f>IF(B439="","",TRIM(A439)&amp;"||"&amp;TRIM(B439))</f>
        <v/>
      </c>
      <c r="G439" s="6">
        <f>IF(B439="","",IF(OR(AND(LOWER(D439)="mapped",TRIM(C439)&lt;&gt;""),AND(LOWER(D439)="ignored",TRIM(E439)&lt;&gt;"")),1,0))</f>
        <v/>
      </c>
      <c r="H439" s="6">
        <f>IF(AND(TRIM(A439)=Setup!$B$4,LOWER(D439)="mapped",TRIM(C439)&lt;&gt;""),IF(SUMPRODUCT((TRIM($A$5:A439)=Setup!$B$4)*(LOWER($D$5:D439)="mapped")*(TRIM($C$5:C439)=TRIM(C439)))=1,ROW(),""),"")</f>
        <v/>
      </c>
    </row>
    <row r="440">
      <c r="A440" s="8" t="n"/>
      <c r="B440" s="8" t="n"/>
      <c r="C440" s="8" t="n"/>
      <c r="D440" s="8" t="n"/>
      <c r="E440" s="8" t="n"/>
      <c r="F440" s="6">
        <f>IF(B440="","",TRIM(A440)&amp;"||"&amp;TRIM(B440))</f>
        <v/>
      </c>
      <c r="G440" s="6">
        <f>IF(B440="","",IF(OR(AND(LOWER(D440)="mapped",TRIM(C440)&lt;&gt;""),AND(LOWER(D440)="ignored",TRIM(E440)&lt;&gt;"")),1,0))</f>
        <v/>
      </c>
      <c r="H440" s="6">
        <f>IF(AND(TRIM(A440)=Setup!$B$4,LOWER(D440)="mapped",TRIM(C440)&lt;&gt;""),IF(SUMPRODUCT((TRIM($A$5:A440)=Setup!$B$4)*(LOWER($D$5:D440)="mapped")*(TRIM($C$5:C440)=TRIM(C440)))=1,ROW(),""),"")</f>
        <v/>
      </c>
    </row>
    <row r="441">
      <c r="A441" s="8" t="n"/>
      <c r="B441" s="8" t="n"/>
      <c r="C441" s="8" t="n"/>
      <c r="D441" s="8" t="n"/>
      <c r="E441" s="8" t="n"/>
      <c r="F441" s="6">
        <f>IF(B441="","",TRIM(A441)&amp;"||"&amp;TRIM(B441))</f>
        <v/>
      </c>
      <c r="G441" s="6">
        <f>IF(B441="","",IF(OR(AND(LOWER(D441)="mapped",TRIM(C441)&lt;&gt;""),AND(LOWER(D441)="ignored",TRIM(E441)&lt;&gt;"")),1,0))</f>
        <v/>
      </c>
      <c r="H441" s="6">
        <f>IF(AND(TRIM(A441)=Setup!$B$4,LOWER(D441)="mapped",TRIM(C441)&lt;&gt;""),IF(SUMPRODUCT((TRIM($A$5:A441)=Setup!$B$4)*(LOWER($D$5:D441)="mapped")*(TRIM($C$5:C441)=TRIM(C441)))=1,ROW(),""),"")</f>
        <v/>
      </c>
    </row>
    <row r="442">
      <c r="A442" s="8" t="n"/>
      <c r="B442" s="8" t="n"/>
      <c r="C442" s="8" t="n"/>
      <c r="D442" s="8" t="n"/>
      <c r="E442" s="8" t="n"/>
      <c r="F442" s="6">
        <f>IF(B442="","",TRIM(A442)&amp;"||"&amp;TRIM(B442))</f>
        <v/>
      </c>
      <c r="G442" s="6">
        <f>IF(B442="","",IF(OR(AND(LOWER(D442)="mapped",TRIM(C442)&lt;&gt;""),AND(LOWER(D442)="ignored",TRIM(E442)&lt;&gt;"")),1,0))</f>
        <v/>
      </c>
      <c r="H442" s="6">
        <f>IF(AND(TRIM(A442)=Setup!$B$4,LOWER(D442)="mapped",TRIM(C442)&lt;&gt;""),IF(SUMPRODUCT((TRIM($A$5:A442)=Setup!$B$4)*(LOWER($D$5:D442)="mapped")*(TRIM($C$5:C442)=TRIM(C442)))=1,ROW(),""),"")</f>
        <v/>
      </c>
    </row>
    <row r="443">
      <c r="A443" s="8" t="n"/>
      <c r="B443" s="8" t="n"/>
      <c r="C443" s="8" t="n"/>
      <c r="D443" s="8" t="n"/>
      <c r="E443" s="8" t="n"/>
      <c r="F443" s="6">
        <f>IF(B443="","",TRIM(A443)&amp;"||"&amp;TRIM(B443))</f>
        <v/>
      </c>
      <c r="G443" s="6">
        <f>IF(B443="","",IF(OR(AND(LOWER(D443)="mapped",TRIM(C443)&lt;&gt;""),AND(LOWER(D443)="ignored",TRIM(E443)&lt;&gt;"")),1,0))</f>
        <v/>
      </c>
      <c r="H443" s="6">
        <f>IF(AND(TRIM(A443)=Setup!$B$4,LOWER(D443)="mapped",TRIM(C443)&lt;&gt;""),IF(SUMPRODUCT((TRIM($A$5:A443)=Setup!$B$4)*(LOWER($D$5:D443)="mapped")*(TRIM($C$5:C443)=TRIM(C443)))=1,ROW(),""),"")</f>
        <v/>
      </c>
    </row>
    <row r="444">
      <c r="A444" s="8" t="n"/>
      <c r="B444" s="8" t="n"/>
      <c r="C444" s="8" t="n"/>
      <c r="D444" s="8" t="n"/>
      <c r="E444" s="8" t="n"/>
      <c r="F444" s="6">
        <f>IF(B444="","",TRIM(A444)&amp;"||"&amp;TRIM(B444))</f>
        <v/>
      </c>
      <c r="G444" s="6">
        <f>IF(B444="","",IF(OR(AND(LOWER(D444)="mapped",TRIM(C444)&lt;&gt;""),AND(LOWER(D444)="ignored",TRIM(E444)&lt;&gt;"")),1,0))</f>
        <v/>
      </c>
      <c r="H444" s="6">
        <f>IF(AND(TRIM(A444)=Setup!$B$4,LOWER(D444)="mapped",TRIM(C444)&lt;&gt;""),IF(SUMPRODUCT((TRIM($A$5:A444)=Setup!$B$4)*(LOWER($D$5:D444)="mapped")*(TRIM($C$5:C444)=TRIM(C444)))=1,ROW(),""),"")</f>
        <v/>
      </c>
    </row>
    <row r="445">
      <c r="A445" s="8" t="n"/>
      <c r="B445" s="8" t="n"/>
      <c r="C445" s="8" t="n"/>
      <c r="D445" s="8" t="n"/>
      <c r="E445" s="8" t="n"/>
      <c r="F445" s="6">
        <f>IF(B445="","",TRIM(A445)&amp;"||"&amp;TRIM(B445))</f>
        <v/>
      </c>
      <c r="G445" s="6">
        <f>IF(B445="","",IF(OR(AND(LOWER(D445)="mapped",TRIM(C445)&lt;&gt;""),AND(LOWER(D445)="ignored",TRIM(E445)&lt;&gt;"")),1,0))</f>
        <v/>
      </c>
      <c r="H445" s="6">
        <f>IF(AND(TRIM(A445)=Setup!$B$4,LOWER(D445)="mapped",TRIM(C445)&lt;&gt;""),IF(SUMPRODUCT((TRIM($A$5:A445)=Setup!$B$4)*(LOWER($D$5:D445)="mapped")*(TRIM($C$5:C445)=TRIM(C445)))=1,ROW(),""),"")</f>
        <v/>
      </c>
    </row>
    <row r="446">
      <c r="A446" s="8" t="n"/>
      <c r="B446" s="8" t="n"/>
      <c r="C446" s="8" t="n"/>
      <c r="D446" s="8" t="n"/>
      <c r="E446" s="8" t="n"/>
      <c r="F446" s="6">
        <f>IF(B446="","",TRIM(A446)&amp;"||"&amp;TRIM(B446))</f>
        <v/>
      </c>
      <c r="G446" s="6">
        <f>IF(B446="","",IF(OR(AND(LOWER(D446)="mapped",TRIM(C446)&lt;&gt;""),AND(LOWER(D446)="ignored",TRIM(E446)&lt;&gt;"")),1,0))</f>
        <v/>
      </c>
      <c r="H446" s="6">
        <f>IF(AND(TRIM(A446)=Setup!$B$4,LOWER(D446)="mapped",TRIM(C446)&lt;&gt;""),IF(SUMPRODUCT((TRIM($A$5:A446)=Setup!$B$4)*(LOWER($D$5:D446)="mapped")*(TRIM($C$5:C446)=TRIM(C446)))=1,ROW(),""),"")</f>
        <v/>
      </c>
    </row>
    <row r="447">
      <c r="A447" s="8" t="n"/>
      <c r="B447" s="8" t="n"/>
      <c r="C447" s="8" t="n"/>
      <c r="D447" s="8" t="n"/>
      <c r="E447" s="8" t="n"/>
      <c r="F447" s="6">
        <f>IF(B447="","",TRIM(A447)&amp;"||"&amp;TRIM(B447))</f>
        <v/>
      </c>
      <c r="G447" s="6">
        <f>IF(B447="","",IF(OR(AND(LOWER(D447)="mapped",TRIM(C447)&lt;&gt;""),AND(LOWER(D447)="ignored",TRIM(E447)&lt;&gt;"")),1,0))</f>
        <v/>
      </c>
      <c r="H447" s="6">
        <f>IF(AND(TRIM(A447)=Setup!$B$4,LOWER(D447)="mapped",TRIM(C447)&lt;&gt;""),IF(SUMPRODUCT((TRIM($A$5:A447)=Setup!$B$4)*(LOWER($D$5:D447)="mapped")*(TRIM($C$5:C447)=TRIM(C447)))=1,ROW(),""),"")</f>
        <v/>
      </c>
    </row>
    <row r="448">
      <c r="A448" s="8" t="n"/>
      <c r="B448" s="8" t="n"/>
      <c r="C448" s="8" t="n"/>
      <c r="D448" s="8" t="n"/>
      <c r="E448" s="8" t="n"/>
      <c r="F448" s="6">
        <f>IF(B448="","",TRIM(A448)&amp;"||"&amp;TRIM(B448))</f>
        <v/>
      </c>
      <c r="G448" s="6">
        <f>IF(B448="","",IF(OR(AND(LOWER(D448)="mapped",TRIM(C448)&lt;&gt;""),AND(LOWER(D448)="ignored",TRIM(E448)&lt;&gt;"")),1,0))</f>
        <v/>
      </c>
      <c r="H448" s="6">
        <f>IF(AND(TRIM(A448)=Setup!$B$4,LOWER(D448)="mapped",TRIM(C448)&lt;&gt;""),IF(SUMPRODUCT((TRIM($A$5:A448)=Setup!$B$4)*(LOWER($D$5:D448)="mapped")*(TRIM($C$5:C448)=TRIM(C448)))=1,ROW(),""),"")</f>
        <v/>
      </c>
    </row>
    <row r="449">
      <c r="A449" s="8" t="n"/>
      <c r="B449" s="8" t="n"/>
      <c r="C449" s="8" t="n"/>
      <c r="D449" s="8" t="n"/>
      <c r="E449" s="8" t="n"/>
      <c r="F449" s="6">
        <f>IF(B449="","",TRIM(A449)&amp;"||"&amp;TRIM(B449))</f>
        <v/>
      </c>
      <c r="G449" s="6">
        <f>IF(B449="","",IF(OR(AND(LOWER(D449)="mapped",TRIM(C449)&lt;&gt;""),AND(LOWER(D449)="ignored",TRIM(E449)&lt;&gt;"")),1,0))</f>
        <v/>
      </c>
      <c r="H449" s="6">
        <f>IF(AND(TRIM(A449)=Setup!$B$4,LOWER(D449)="mapped",TRIM(C449)&lt;&gt;""),IF(SUMPRODUCT((TRIM($A$5:A449)=Setup!$B$4)*(LOWER($D$5:D449)="mapped")*(TRIM($C$5:C449)=TRIM(C449)))=1,ROW(),""),"")</f>
        <v/>
      </c>
    </row>
    <row r="450">
      <c r="A450" s="8" t="n"/>
      <c r="B450" s="8" t="n"/>
      <c r="C450" s="8" t="n"/>
      <c r="D450" s="8" t="n"/>
      <c r="E450" s="8" t="n"/>
      <c r="F450" s="6">
        <f>IF(B450="","",TRIM(A450)&amp;"||"&amp;TRIM(B450))</f>
        <v/>
      </c>
      <c r="G450" s="6">
        <f>IF(B450="","",IF(OR(AND(LOWER(D450)="mapped",TRIM(C450)&lt;&gt;""),AND(LOWER(D450)="ignored",TRIM(E450)&lt;&gt;"")),1,0))</f>
        <v/>
      </c>
      <c r="H450" s="6">
        <f>IF(AND(TRIM(A450)=Setup!$B$4,LOWER(D450)="mapped",TRIM(C450)&lt;&gt;""),IF(SUMPRODUCT((TRIM($A$5:A450)=Setup!$B$4)*(LOWER($D$5:D450)="mapped")*(TRIM($C$5:C450)=TRIM(C450)))=1,ROW(),""),"")</f>
        <v/>
      </c>
    </row>
    <row r="451">
      <c r="A451" s="8" t="n"/>
      <c r="B451" s="8" t="n"/>
      <c r="C451" s="8" t="n"/>
      <c r="D451" s="8" t="n"/>
      <c r="E451" s="8" t="n"/>
      <c r="F451" s="6">
        <f>IF(B451="","",TRIM(A451)&amp;"||"&amp;TRIM(B451))</f>
        <v/>
      </c>
      <c r="G451" s="6">
        <f>IF(B451="","",IF(OR(AND(LOWER(D451)="mapped",TRIM(C451)&lt;&gt;""),AND(LOWER(D451)="ignored",TRIM(E451)&lt;&gt;"")),1,0))</f>
        <v/>
      </c>
      <c r="H451" s="6">
        <f>IF(AND(TRIM(A451)=Setup!$B$4,LOWER(D451)="mapped",TRIM(C451)&lt;&gt;""),IF(SUMPRODUCT((TRIM($A$5:A451)=Setup!$B$4)*(LOWER($D$5:D451)="mapped")*(TRIM($C$5:C451)=TRIM(C451)))=1,ROW(),""),"")</f>
        <v/>
      </c>
    </row>
    <row r="452">
      <c r="A452" s="8" t="n"/>
      <c r="B452" s="8" t="n"/>
      <c r="C452" s="8" t="n"/>
      <c r="D452" s="8" t="n"/>
      <c r="E452" s="8" t="n"/>
      <c r="F452" s="6">
        <f>IF(B452="","",TRIM(A452)&amp;"||"&amp;TRIM(B452))</f>
        <v/>
      </c>
      <c r="G452" s="6">
        <f>IF(B452="","",IF(OR(AND(LOWER(D452)="mapped",TRIM(C452)&lt;&gt;""),AND(LOWER(D452)="ignored",TRIM(E452)&lt;&gt;"")),1,0))</f>
        <v/>
      </c>
      <c r="H452" s="6">
        <f>IF(AND(TRIM(A452)=Setup!$B$4,LOWER(D452)="mapped",TRIM(C452)&lt;&gt;""),IF(SUMPRODUCT((TRIM($A$5:A452)=Setup!$B$4)*(LOWER($D$5:D452)="mapped")*(TRIM($C$5:C452)=TRIM(C452)))=1,ROW(),""),"")</f>
        <v/>
      </c>
    </row>
    <row r="453">
      <c r="A453" s="8" t="n"/>
      <c r="B453" s="8" t="n"/>
      <c r="C453" s="8" t="n"/>
      <c r="D453" s="8" t="n"/>
      <c r="E453" s="8" t="n"/>
      <c r="F453" s="6">
        <f>IF(B453="","",TRIM(A453)&amp;"||"&amp;TRIM(B453))</f>
        <v/>
      </c>
      <c r="G453" s="6">
        <f>IF(B453="","",IF(OR(AND(LOWER(D453)="mapped",TRIM(C453)&lt;&gt;""),AND(LOWER(D453)="ignored",TRIM(E453)&lt;&gt;"")),1,0))</f>
        <v/>
      </c>
      <c r="H453" s="6">
        <f>IF(AND(TRIM(A453)=Setup!$B$4,LOWER(D453)="mapped",TRIM(C453)&lt;&gt;""),IF(SUMPRODUCT((TRIM($A$5:A453)=Setup!$B$4)*(LOWER($D$5:D453)="mapped")*(TRIM($C$5:C453)=TRIM(C453)))=1,ROW(),""),"")</f>
        <v/>
      </c>
    </row>
    <row r="454">
      <c r="A454" s="8" t="n"/>
      <c r="B454" s="8" t="n"/>
      <c r="C454" s="8" t="n"/>
      <c r="D454" s="8" t="n"/>
      <c r="E454" s="8" t="n"/>
      <c r="F454" s="6">
        <f>IF(B454="","",TRIM(A454)&amp;"||"&amp;TRIM(B454))</f>
        <v/>
      </c>
      <c r="G454" s="6">
        <f>IF(B454="","",IF(OR(AND(LOWER(D454)="mapped",TRIM(C454)&lt;&gt;""),AND(LOWER(D454)="ignored",TRIM(E454)&lt;&gt;"")),1,0))</f>
        <v/>
      </c>
      <c r="H454" s="6">
        <f>IF(AND(TRIM(A454)=Setup!$B$4,LOWER(D454)="mapped",TRIM(C454)&lt;&gt;""),IF(SUMPRODUCT((TRIM($A$5:A454)=Setup!$B$4)*(LOWER($D$5:D454)="mapped")*(TRIM($C$5:C454)=TRIM(C454)))=1,ROW(),""),"")</f>
        <v/>
      </c>
    </row>
    <row r="455">
      <c r="A455" s="8" t="n"/>
      <c r="B455" s="8" t="n"/>
      <c r="C455" s="8" t="n"/>
      <c r="D455" s="8" t="n"/>
      <c r="E455" s="8" t="n"/>
      <c r="F455" s="6">
        <f>IF(B455="","",TRIM(A455)&amp;"||"&amp;TRIM(B455))</f>
        <v/>
      </c>
      <c r="G455" s="6">
        <f>IF(B455="","",IF(OR(AND(LOWER(D455)="mapped",TRIM(C455)&lt;&gt;""),AND(LOWER(D455)="ignored",TRIM(E455)&lt;&gt;"")),1,0))</f>
        <v/>
      </c>
      <c r="H455" s="6">
        <f>IF(AND(TRIM(A455)=Setup!$B$4,LOWER(D455)="mapped",TRIM(C455)&lt;&gt;""),IF(SUMPRODUCT((TRIM($A$5:A455)=Setup!$B$4)*(LOWER($D$5:D455)="mapped")*(TRIM($C$5:C455)=TRIM(C455)))=1,ROW(),""),"")</f>
        <v/>
      </c>
    </row>
    <row r="456">
      <c r="A456" s="8" t="n"/>
      <c r="B456" s="8" t="n"/>
      <c r="C456" s="8" t="n"/>
      <c r="D456" s="8" t="n"/>
      <c r="E456" s="8" t="n"/>
      <c r="F456" s="6">
        <f>IF(B456="","",TRIM(A456)&amp;"||"&amp;TRIM(B456))</f>
        <v/>
      </c>
      <c r="G456" s="6">
        <f>IF(B456="","",IF(OR(AND(LOWER(D456)="mapped",TRIM(C456)&lt;&gt;""),AND(LOWER(D456)="ignored",TRIM(E456)&lt;&gt;"")),1,0))</f>
        <v/>
      </c>
      <c r="H456" s="6">
        <f>IF(AND(TRIM(A456)=Setup!$B$4,LOWER(D456)="mapped",TRIM(C456)&lt;&gt;""),IF(SUMPRODUCT((TRIM($A$5:A456)=Setup!$B$4)*(LOWER($D$5:D456)="mapped")*(TRIM($C$5:C456)=TRIM(C456)))=1,ROW(),""),"")</f>
        <v/>
      </c>
    </row>
    <row r="457">
      <c r="A457" s="8" t="n"/>
      <c r="B457" s="8" t="n"/>
      <c r="C457" s="8" t="n"/>
      <c r="D457" s="8" t="n"/>
      <c r="E457" s="8" t="n"/>
      <c r="F457" s="6">
        <f>IF(B457="","",TRIM(A457)&amp;"||"&amp;TRIM(B457))</f>
        <v/>
      </c>
      <c r="G457" s="6">
        <f>IF(B457="","",IF(OR(AND(LOWER(D457)="mapped",TRIM(C457)&lt;&gt;""),AND(LOWER(D457)="ignored",TRIM(E457)&lt;&gt;"")),1,0))</f>
        <v/>
      </c>
      <c r="H457" s="6">
        <f>IF(AND(TRIM(A457)=Setup!$B$4,LOWER(D457)="mapped",TRIM(C457)&lt;&gt;""),IF(SUMPRODUCT((TRIM($A$5:A457)=Setup!$B$4)*(LOWER($D$5:D457)="mapped")*(TRIM($C$5:C457)=TRIM(C457)))=1,ROW(),""),"")</f>
        <v/>
      </c>
    </row>
    <row r="458">
      <c r="A458" s="8" t="n"/>
      <c r="B458" s="8" t="n"/>
      <c r="C458" s="8" t="n"/>
      <c r="D458" s="8" t="n"/>
      <c r="E458" s="8" t="n"/>
      <c r="F458" s="6">
        <f>IF(B458="","",TRIM(A458)&amp;"||"&amp;TRIM(B458))</f>
        <v/>
      </c>
      <c r="G458" s="6">
        <f>IF(B458="","",IF(OR(AND(LOWER(D458)="mapped",TRIM(C458)&lt;&gt;""),AND(LOWER(D458)="ignored",TRIM(E458)&lt;&gt;"")),1,0))</f>
        <v/>
      </c>
      <c r="H458" s="6">
        <f>IF(AND(TRIM(A458)=Setup!$B$4,LOWER(D458)="mapped",TRIM(C458)&lt;&gt;""),IF(SUMPRODUCT((TRIM($A$5:A458)=Setup!$B$4)*(LOWER($D$5:D458)="mapped")*(TRIM($C$5:C458)=TRIM(C458)))=1,ROW(),""),"")</f>
        <v/>
      </c>
    </row>
    <row r="459">
      <c r="A459" s="8" t="n"/>
      <c r="B459" s="8" t="n"/>
      <c r="C459" s="8" t="n"/>
      <c r="D459" s="8" t="n"/>
      <c r="E459" s="8" t="n"/>
      <c r="F459" s="6">
        <f>IF(B459="","",TRIM(A459)&amp;"||"&amp;TRIM(B459))</f>
        <v/>
      </c>
      <c r="G459" s="6">
        <f>IF(B459="","",IF(OR(AND(LOWER(D459)="mapped",TRIM(C459)&lt;&gt;""),AND(LOWER(D459)="ignored",TRIM(E459)&lt;&gt;"")),1,0))</f>
        <v/>
      </c>
      <c r="H459" s="6">
        <f>IF(AND(TRIM(A459)=Setup!$B$4,LOWER(D459)="mapped",TRIM(C459)&lt;&gt;""),IF(SUMPRODUCT((TRIM($A$5:A459)=Setup!$B$4)*(LOWER($D$5:D459)="mapped")*(TRIM($C$5:C459)=TRIM(C459)))=1,ROW(),""),"")</f>
        <v/>
      </c>
    </row>
    <row r="460">
      <c r="A460" s="8" t="n"/>
      <c r="B460" s="8" t="n"/>
      <c r="C460" s="8" t="n"/>
      <c r="D460" s="8" t="n"/>
      <c r="E460" s="8" t="n"/>
      <c r="F460" s="6">
        <f>IF(B460="","",TRIM(A460)&amp;"||"&amp;TRIM(B460))</f>
        <v/>
      </c>
      <c r="G460" s="6">
        <f>IF(B460="","",IF(OR(AND(LOWER(D460)="mapped",TRIM(C460)&lt;&gt;""),AND(LOWER(D460)="ignored",TRIM(E460)&lt;&gt;"")),1,0))</f>
        <v/>
      </c>
      <c r="H460" s="6">
        <f>IF(AND(TRIM(A460)=Setup!$B$4,LOWER(D460)="mapped",TRIM(C460)&lt;&gt;""),IF(SUMPRODUCT((TRIM($A$5:A460)=Setup!$B$4)*(LOWER($D$5:D460)="mapped")*(TRIM($C$5:C460)=TRIM(C460)))=1,ROW(),""),"")</f>
        <v/>
      </c>
    </row>
    <row r="461">
      <c r="A461" s="8" t="n"/>
      <c r="B461" s="8" t="n"/>
      <c r="C461" s="8" t="n"/>
      <c r="D461" s="8" t="n"/>
      <c r="E461" s="8" t="n"/>
      <c r="F461" s="6">
        <f>IF(B461="","",TRIM(A461)&amp;"||"&amp;TRIM(B461))</f>
        <v/>
      </c>
      <c r="G461" s="6">
        <f>IF(B461="","",IF(OR(AND(LOWER(D461)="mapped",TRIM(C461)&lt;&gt;""),AND(LOWER(D461)="ignored",TRIM(E461)&lt;&gt;"")),1,0))</f>
        <v/>
      </c>
      <c r="H461" s="6">
        <f>IF(AND(TRIM(A461)=Setup!$B$4,LOWER(D461)="mapped",TRIM(C461)&lt;&gt;""),IF(SUMPRODUCT((TRIM($A$5:A461)=Setup!$B$4)*(LOWER($D$5:D461)="mapped")*(TRIM($C$5:C461)=TRIM(C461)))=1,ROW(),""),"")</f>
        <v/>
      </c>
    </row>
    <row r="462">
      <c r="A462" s="8" t="n"/>
      <c r="B462" s="8" t="n"/>
      <c r="C462" s="8" t="n"/>
      <c r="D462" s="8" t="n"/>
      <c r="E462" s="8" t="n"/>
      <c r="F462" s="6">
        <f>IF(B462="","",TRIM(A462)&amp;"||"&amp;TRIM(B462))</f>
        <v/>
      </c>
      <c r="G462" s="6">
        <f>IF(B462="","",IF(OR(AND(LOWER(D462)="mapped",TRIM(C462)&lt;&gt;""),AND(LOWER(D462)="ignored",TRIM(E462)&lt;&gt;"")),1,0))</f>
        <v/>
      </c>
      <c r="H462" s="6">
        <f>IF(AND(TRIM(A462)=Setup!$B$4,LOWER(D462)="mapped",TRIM(C462)&lt;&gt;""),IF(SUMPRODUCT((TRIM($A$5:A462)=Setup!$B$4)*(LOWER($D$5:D462)="mapped")*(TRIM($C$5:C462)=TRIM(C462)))=1,ROW(),""),"")</f>
        <v/>
      </c>
    </row>
    <row r="463">
      <c r="A463" s="8" t="n"/>
      <c r="B463" s="8" t="n"/>
      <c r="C463" s="8" t="n"/>
      <c r="D463" s="8" t="n"/>
      <c r="E463" s="8" t="n"/>
      <c r="F463" s="6">
        <f>IF(B463="","",TRIM(A463)&amp;"||"&amp;TRIM(B463))</f>
        <v/>
      </c>
      <c r="G463" s="6">
        <f>IF(B463="","",IF(OR(AND(LOWER(D463)="mapped",TRIM(C463)&lt;&gt;""),AND(LOWER(D463)="ignored",TRIM(E463)&lt;&gt;"")),1,0))</f>
        <v/>
      </c>
      <c r="H463" s="6">
        <f>IF(AND(TRIM(A463)=Setup!$B$4,LOWER(D463)="mapped",TRIM(C463)&lt;&gt;""),IF(SUMPRODUCT((TRIM($A$5:A463)=Setup!$B$4)*(LOWER($D$5:D463)="mapped")*(TRIM($C$5:C463)=TRIM(C463)))=1,ROW(),""),"")</f>
        <v/>
      </c>
    </row>
    <row r="464">
      <c r="A464" s="8" t="n"/>
      <c r="B464" s="8" t="n"/>
      <c r="C464" s="8" t="n"/>
      <c r="D464" s="8" t="n"/>
      <c r="E464" s="8" t="n"/>
      <c r="F464" s="6">
        <f>IF(B464="","",TRIM(A464)&amp;"||"&amp;TRIM(B464))</f>
        <v/>
      </c>
      <c r="G464" s="6">
        <f>IF(B464="","",IF(OR(AND(LOWER(D464)="mapped",TRIM(C464)&lt;&gt;""),AND(LOWER(D464)="ignored",TRIM(E464)&lt;&gt;"")),1,0))</f>
        <v/>
      </c>
      <c r="H464" s="6">
        <f>IF(AND(TRIM(A464)=Setup!$B$4,LOWER(D464)="mapped",TRIM(C464)&lt;&gt;""),IF(SUMPRODUCT((TRIM($A$5:A464)=Setup!$B$4)*(LOWER($D$5:D464)="mapped")*(TRIM($C$5:C464)=TRIM(C464)))=1,ROW(),""),"")</f>
        <v/>
      </c>
    </row>
    <row r="465">
      <c r="A465" s="8" t="n"/>
      <c r="B465" s="8" t="n"/>
      <c r="C465" s="8" t="n"/>
      <c r="D465" s="8" t="n"/>
      <c r="E465" s="8" t="n"/>
      <c r="F465" s="6">
        <f>IF(B465="","",TRIM(A465)&amp;"||"&amp;TRIM(B465))</f>
        <v/>
      </c>
      <c r="G465" s="6">
        <f>IF(B465="","",IF(OR(AND(LOWER(D465)="mapped",TRIM(C465)&lt;&gt;""),AND(LOWER(D465)="ignored",TRIM(E465)&lt;&gt;"")),1,0))</f>
        <v/>
      </c>
      <c r="H465" s="6">
        <f>IF(AND(TRIM(A465)=Setup!$B$4,LOWER(D465)="mapped",TRIM(C465)&lt;&gt;""),IF(SUMPRODUCT((TRIM($A$5:A465)=Setup!$B$4)*(LOWER($D$5:D465)="mapped")*(TRIM($C$5:C465)=TRIM(C465)))=1,ROW(),""),"")</f>
        <v/>
      </c>
    </row>
    <row r="466">
      <c r="A466" s="8" t="n"/>
      <c r="B466" s="8" t="n"/>
      <c r="C466" s="8" t="n"/>
      <c r="D466" s="8" t="n"/>
      <c r="E466" s="8" t="n"/>
      <c r="F466" s="6">
        <f>IF(B466="","",TRIM(A466)&amp;"||"&amp;TRIM(B466))</f>
        <v/>
      </c>
      <c r="G466" s="6">
        <f>IF(B466="","",IF(OR(AND(LOWER(D466)="mapped",TRIM(C466)&lt;&gt;""),AND(LOWER(D466)="ignored",TRIM(E466)&lt;&gt;"")),1,0))</f>
        <v/>
      </c>
      <c r="H466" s="6">
        <f>IF(AND(TRIM(A466)=Setup!$B$4,LOWER(D466)="mapped",TRIM(C466)&lt;&gt;""),IF(SUMPRODUCT((TRIM($A$5:A466)=Setup!$B$4)*(LOWER($D$5:D466)="mapped")*(TRIM($C$5:C466)=TRIM(C466)))=1,ROW(),""),"")</f>
        <v/>
      </c>
    </row>
    <row r="467">
      <c r="A467" s="8" t="n"/>
      <c r="B467" s="8" t="n"/>
      <c r="C467" s="8" t="n"/>
      <c r="D467" s="8" t="n"/>
      <c r="E467" s="8" t="n"/>
      <c r="F467" s="6">
        <f>IF(B467="","",TRIM(A467)&amp;"||"&amp;TRIM(B467))</f>
        <v/>
      </c>
      <c r="G467" s="6">
        <f>IF(B467="","",IF(OR(AND(LOWER(D467)="mapped",TRIM(C467)&lt;&gt;""),AND(LOWER(D467)="ignored",TRIM(E467)&lt;&gt;"")),1,0))</f>
        <v/>
      </c>
      <c r="H467" s="6">
        <f>IF(AND(TRIM(A467)=Setup!$B$4,LOWER(D467)="mapped",TRIM(C467)&lt;&gt;""),IF(SUMPRODUCT((TRIM($A$5:A467)=Setup!$B$4)*(LOWER($D$5:D467)="mapped")*(TRIM($C$5:C467)=TRIM(C467)))=1,ROW(),""),"")</f>
        <v/>
      </c>
    </row>
    <row r="468">
      <c r="A468" s="8" t="n"/>
      <c r="B468" s="8" t="n"/>
      <c r="C468" s="8" t="n"/>
      <c r="D468" s="8" t="n"/>
      <c r="E468" s="8" t="n"/>
      <c r="F468" s="6">
        <f>IF(B468="","",TRIM(A468)&amp;"||"&amp;TRIM(B468))</f>
        <v/>
      </c>
      <c r="G468" s="6">
        <f>IF(B468="","",IF(OR(AND(LOWER(D468)="mapped",TRIM(C468)&lt;&gt;""),AND(LOWER(D468)="ignored",TRIM(E468)&lt;&gt;"")),1,0))</f>
        <v/>
      </c>
      <c r="H468" s="6">
        <f>IF(AND(TRIM(A468)=Setup!$B$4,LOWER(D468)="mapped",TRIM(C468)&lt;&gt;""),IF(SUMPRODUCT((TRIM($A$5:A468)=Setup!$B$4)*(LOWER($D$5:D468)="mapped")*(TRIM($C$5:C468)=TRIM(C468)))=1,ROW(),""),"")</f>
        <v/>
      </c>
    </row>
    <row r="469">
      <c r="A469" s="8" t="n"/>
      <c r="B469" s="8" t="n"/>
      <c r="C469" s="8" t="n"/>
      <c r="D469" s="8" t="n"/>
      <c r="E469" s="8" t="n"/>
      <c r="F469" s="6">
        <f>IF(B469="","",TRIM(A469)&amp;"||"&amp;TRIM(B469))</f>
        <v/>
      </c>
      <c r="G469" s="6">
        <f>IF(B469="","",IF(OR(AND(LOWER(D469)="mapped",TRIM(C469)&lt;&gt;""),AND(LOWER(D469)="ignored",TRIM(E469)&lt;&gt;"")),1,0))</f>
        <v/>
      </c>
      <c r="H469" s="6">
        <f>IF(AND(TRIM(A469)=Setup!$B$4,LOWER(D469)="mapped",TRIM(C469)&lt;&gt;""),IF(SUMPRODUCT((TRIM($A$5:A469)=Setup!$B$4)*(LOWER($D$5:D469)="mapped")*(TRIM($C$5:C469)=TRIM(C469)))=1,ROW(),""),"")</f>
        <v/>
      </c>
    </row>
    <row r="470">
      <c r="A470" s="8" t="n"/>
      <c r="B470" s="8" t="n"/>
      <c r="C470" s="8" t="n"/>
      <c r="D470" s="8" t="n"/>
      <c r="E470" s="8" t="n"/>
      <c r="F470" s="6">
        <f>IF(B470="","",TRIM(A470)&amp;"||"&amp;TRIM(B470))</f>
        <v/>
      </c>
      <c r="G470" s="6">
        <f>IF(B470="","",IF(OR(AND(LOWER(D470)="mapped",TRIM(C470)&lt;&gt;""),AND(LOWER(D470)="ignored",TRIM(E470)&lt;&gt;"")),1,0))</f>
        <v/>
      </c>
      <c r="H470" s="6">
        <f>IF(AND(TRIM(A470)=Setup!$B$4,LOWER(D470)="mapped",TRIM(C470)&lt;&gt;""),IF(SUMPRODUCT((TRIM($A$5:A470)=Setup!$B$4)*(LOWER($D$5:D470)="mapped")*(TRIM($C$5:C470)=TRIM(C470)))=1,ROW(),""),"")</f>
        <v/>
      </c>
    </row>
    <row r="471">
      <c r="A471" s="8" t="n"/>
      <c r="B471" s="8" t="n"/>
      <c r="C471" s="8" t="n"/>
      <c r="D471" s="8" t="n"/>
      <c r="E471" s="8" t="n"/>
      <c r="F471" s="6">
        <f>IF(B471="","",TRIM(A471)&amp;"||"&amp;TRIM(B471))</f>
        <v/>
      </c>
      <c r="G471" s="6">
        <f>IF(B471="","",IF(OR(AND(LOWER(D471)="mapped",TRIM(C471)&lt;&gt;""),AND(LOWER(D471)="ignored",TRIM(E471)&lt;&gt;"")),1,0))</f>
        <v/>
      </c>
      <c r="H471" s="6">
        <f>IF(AND(TRIM(A471)=Setup!$B$4,LOWER(D471)="mapped",TRIM(C471)&lt;&gt;""),IF(SUMPRODUCT((TRIM($A$5:A471)=Setup!$B$4)*(LOWER($D$5:D471)="mapped")*(TRIM($C$5:C471)=TRIM(C471)))=1,ROW(),""),"")</f>
        <v/>
      </c>
    </row>
    <row r="472">
      <c r="A472" s="8" t="n"/>
      <c r="B472" s="8" t="n"/>
      <c r="C472" s="8" t="n"/>
      <c r="D472" s="8" t="n"/>
      <c r="E472" s="8" t="n"/>
      <c r="F472" s="6">
        <f>IF(B472="","",TRIM(A472)&amp;"||"&amp;TRIM(B472))</f>
        <v/>
      </c>
      <c r="G472" s="6">
        <f>IF(B472="","",IF(OR(AND(LOWER(D472)="mapped",TRIM(C472)&lt;&gt;""),AND(LOWER(D472)="ignored",TRIM(E472)&lt;&gt;"")),1,0))</f>
        <v/>
      </c>
      <c r="H472" s="6">
        <f>IF(AND(TRIM(A472)=Setup!$B$4,LOWER(D472)="mapped",TRIM(C472)&lt;&gt;""),IF(SUMPRODUCT((TRIM($A$5:A472)=Setup!$B$4)*(LOWER($D$5:D472)="mapped")*(TRIM($C$5:C472)=TRIM(C472)))=1,ROW(),""),"")</f>
        <v/>
      </c>
    </row>
    <row r="473">
      <c r="A473" s="8" t="n"/>
      <c r="B473" s="8" t="n"/>
      <c r="C473" s="8" t="n"/>
      <c r="D473" s="8" t="n"/>
      <c r="E473" s="8" t="n"/>
      <c r="F473" s="6">
        <f>IF(B473="","",TRIM(A473)&amp;"||"&amp;TRIM(B473))</f>
        <v/>
      </c>
      <c r="G473" s="6">
        <f>IF(B473="","",IF(OR(AND(LOWER(D473)="mapped",TRIM(C473)&lt;&gt;""),AND(LOWER(D473)="ignored",TRIM(E473)&lt;&gt;"")),1,0))</f>
        <v/>
      </c>
      <c r="H473" s="6">
        <f>IF(AND(TRIM(A473)=Setup!$B$4,LOWER(D473)="mapped",TRIM(C473)&lt;&gt;""),IF(SUMPRODUCT((TRIM($A$5:A473)=Setup!$B$4)*(LOWER($D$5:D473)="mapped")*(TRIM($C$5:C473)=TRIM(C473)))=1,ROW(),""),"")</f>
        <v/>
      </c>
    </row>
    <row r="474">
      <c r="A474" s="8" t="n"/>
      <c r="B474" s="8" t="n"/>
      <c r="C474" s="8" t="n"/>
      <c r="D474" s="8" t="n"/>
      <c r="E474" s="8" t="n"/>
      <c r="F474" s="6">
        <f>IF(B474="","",TRIM(A474)&amp;"||"&amp;TRIM(B474))</f>
        <v/>
      </c>
      <c r="G474" s="6">
        <f>IF(B474="","",IF(OR(AND(LOWER(D474)="mapped",TRIM(C474)&lt;&gt;""),AND(LOWER(D474)="ignored",TRIM(E474)&lt;&gt;"")),1,0))</f>
        <v/>
      </c>
      <c r="H474" s="6">
        <f>IF(AND(TRIM(A474)=Setup!$B$4,LOWER(D474)="mapped",TRIM(C474)&lt;&gt;""),IF(SUMPRODUCT((TRIM($A$5:A474)=Setup!$B$4)*(LOWER($D$5:D474)="mapped")*(TRIM($C$5:C474)=TRIM(C474)))=1,ROW(),""),"")</f>
        <v/>
      </c>
    </row>
    <row r="475">
      <c r="A475" s="8" t="n"/>
      <c r="B475" s="8" t="n"/>
      <c r="C475" s="8" t="n"/>
      <c r="D475" s="8" t="n"/>
      <c r="E475" s="8" t="n"/>
      <c r="F475" s="6">
        <f>IF(B475="","",TRIM(A475)&amp;"||"&amp;TRIM(B475))</f>
        <v/>
      </c>
      <c r="G475" s="6">
        <f>IF(B475="","",IF(OR(AND(LOWER(D475)="mapped",TRIM(C475)&lt;&gt;""),AND(LOWER(D475)="ignored",TRIM(E475)&lt;&gt;"")),1,0))</f>
        <v/>
      </c>
      <c r="H475" s="6">
        <f>IF(AND(TRIM(A475)=Setup!$B$4,LOWER(D475)="mapped",TRIM(C475)&lt;&gt;""),IF(SUMPRODUCT((TRIM($A$5:A475)=Setup!$B$4)*(LOWER($D$5:D475)="mapped")*(TRIM($C$5:C475)=TRIM(C475)))=1,ROW(),""),"")</f>
        <v/>
      </c>
    </row>
    <row r="476">
      <c r="A476" s="8" t="n"/>
      <c r="B476" s="8" t="n"/>
      <c r="C476" s="8" t="n"/>
      <c r="D476" s="8" t="n"/>
      <c r="E476" s="8" t="n"/>
      <c r="F476" s="6">
        <f>IF(B476="","",TRIM(A476)&amp;"||"&amp;TRIM(B476))</f>
        <v/>
      </c>
      <c r="G476" s="6">
        <f>IF(B476="","",IF(OR(AND(LOWER(D476)="mapped",TRIM(C476)&lt;&gt;""),AND(LOWER(D476)="ignored",TRIM(E476)&lt;&gt;"")),1,0))</f>
        <v/>
      </c>
      <c r="H476" s="6">
        <f>IF(AND(TRIM(A476)=Setup!$B$4,LOWER(D476)="mapped",TRIM(C476)&lt;&gt;""),IF(SUMPRODUCT((TRIM($A$5:A476)=Setup!$B$4)*(LOWER($D$5:D476)="mapped")*(TRIM($C$5:C476)=TRIM(C476)))=1,ROW(),""),"")</f>
        <v/>
      </c>
    </row>
    <row r="477">
      <c r="A477" s="8" t="n"/>
      <c r="B477" s="8" t="n"/>
      <c r="C477" s="8" t="n"/>
      <c r="D477" s="8" t="n"/>
      <c r="E477" s="8" t="n"/>
      <c r="F477" s="6">
        <f>IF(B477="","",TRIM(A477)&amp;"||"&amp;TRIM(B477))</f>
        <v/>
      </c>
      <c r="G477" s="6">
        <f>IF(B477="","",IF(OR(AND(LOWER(D477)="mapped",TRIM(C477)&lt;&gt;""),AND(LOWER(D477)="ignored",TRIM(E477)&lt;&gt;"")),1,0))</f>
        <v/>
      </c>
      <c r="H477" s="6">
        <f>IF(AND(TRIM(A477)=Setup!$B$4,LOWER(D477)="mapped",TRIM(C477)&lt;&gt;""),IF(SUMPRODUCT((TRIM($A$5:A477)=Setup!$B$4)*(LOWER($D$5:D477)="mapped")*(TRIM($C$5:C477)=TRIM(C477)))=1,ROW(),""),"")</f>
        <v/>
      </c>
    </row>
    <row r="478">
      <c r="A478" s="8" t="n"/>
      <c r="B478" s="8" t="n"/>
      <c r="C478" s="8" t="n"/>
      <c r="D478" s="8" t="n"/>
      <c r="E478" s="8" t="n"/>
      <c r="F478" s="6">
        <f>IF(B478="","",TRIM(A478)&amp;"||"&amp;TRIM(B478))</f>
        <v/>
      </c>
      <c r="G478" s="6">
        <f>IF(B478="","",IF(OR(AND(LOWER(D478)="mapped",TRIM(C478)&lt;&gt;""),AND(LOWER(D478)="ignored",TRIM(E478)&lt;&gt;"")),1,0))</f>
        <v/>
      </c>
      <c r="H478" s="6">
        <f>IF(AND(TRIM(A478)=Setup!$B$4,LOWER(D478)="mapped",TRIM(C478)&lt;&gt;""),IF(SUMPRODUCT((TRIM($A$5:A478)=Setup!$B$4)*(LOWER($D$5:D478)="mapped")*(TRIM($C$5:C478)=TRIM(C478)))=1,ROW(),""),"")</f>
        <v/>
      </c>
    </row>
    <row r="479">
      <c r="A479" s="8" t="n"/>
      <c r="B479" s="8" t="n"/>
      <c r="C479" s="8" t="n"/>
      <c r="D479" s="8" t="n"/>
      <c r="E479" s="8" t="n"/>
      <c r="F479" s="6">
        <f>IF(B479="","",TRIM(A479)&amp;"||"&amp;TRIM(B479))</f>
        <v/>
      </c>
      <c r="G479" s="6">
        <f>IF(B479="","",IF(OR(AND(LOWER(D479)="mapped",TRIM(C479)&lt;&gt;""),AND(LOWER(D479)="ignored",TRIM(E479)&lt;&gt;"")),1,0))</f>
        <v/>
      </c>
      <c r="H479" s="6">
        <f>IF(AND(TRIM(A479)=Setup!$B$4,LOWER(D479)="mapped",TRIM(C479)&lt;&gt;""),IF(SUMPRODUCT((TRIM($A$5:A479)=Setup!$B$4)*(LOWER($D$5:D479)="mapped")*(TRIM($C$5:C479)=TRIM(C479)))=1,ROW(),""),"")</f>
        <v/>
      </c>
    </row>
    <row r="480">
      <c r="A480" s="8" t="n"/>
      <c r="B480" s="8" t="n"/>
      <c r="C480" s="8" t="n"/>
      <c r="D480" s="8" t="n"/>
      <c r="E480" s="8" t="n"/>
      <c r="F480" s="6">
        <f>IF(B480="","",TRIM(A480)&amp;"||"&amp;TRIM(B480))</f>
        <v/>
      </c>
      <c r="G480" s="6">
        <f>IF(B480="","",IF(OR(AND(LOWER(D480)="mapped",TRIM(C480)&lt;&gt;""),AND(LOWER(D480)="ignored",TRIM(E480)&lt;&gt;"")),1,0))</f>
        <v/>
      </c>
      <c r="H480" s="6">
        <f>IF(AND(TRIM(A480)=Setup!$B$4,LOWER(D480)="mapped",TRIM(C480)&lt;&gt;""),IF(SUMPRODUCT((TRIM($A$5:A480)=Setup!$B$4)*(LOWER($D$5:D480)="mapped")*(TRIM($C$5:C480)=TRIM(C480)))=1,ROW(),""),"")</f>
        <v/>
      </c>
    </row>
    <row r="481">
      <c r="A481" s="8" t="n"/>
      <c r="B481" s="8" t="n"/>
      <c r="C481" s="8" t="n"/>
      <c r="D481" s="8" t="n"/>
      <c r="E481" s="8" t="n"/>
      <c r="F481" s="6">
        <f>IF(B481="","",TRIM(A481)&amp;"||"&amp;TRIM(B481))</f>
        <v/>
      </c>
      <c r="G481" s="6">
        <f>IF(B481="","",IF(OR(AND(LOWER(D481)="mapped",TRIM(C481)&lt;&gt;""),AND(LOWER(D481)="ignored",TRIM(E481)&lt;&gt;"")),1,0))</f>
        <v/>
      </c>
      <c r="H481" s="6">
        <f>IF(AND(TRIM(A481)=Setup!$B$4,LOWER(D481)="mapped",TRIM(C481)&lt;&gt;""),IF(SUMPRODUCT((TRIM($A$5:A481)=Setup!$B$4)*(LOWER($D$5:D481)="mapped")*(TRIM($C$5:C481)=TRIM(C481)))=1,ROW(),""),"")</f>
        <v/>
      </c>
    </row>
    <row r="482">
      <c r="A482" s="8" t="n"/>
      <c r="B482" s="8" t="n"/>
      <c r="C482" s="8" t="n"/>
      <c r="D482" s="8" t="n"/>
      <c r="E482" s="8" t="n"/>
      <c r="F482" s="6">
        <f>IF(B482="","",TRIM(A482)&amp;"||"&amp;TRIM(B482))</f>
        <v/>
      </c>
      <c r="G482" s="6">
        <f>IF(B482="","",IF(OR(AND(LOWER(D482)="mapped",TRIM(C482)&lt;&gt;""),AND(LOWER(D482)="ignored",TRIM(E482)&lt;&gt;"")),1,0))</f>
        <v/>
      </c>
      <c r="H482" s="6">
        <f>IF(AND(TRIM(A482)=Setup!$B$4,LOWER(D482)="mapped",TRIM(C482)&lt;&gt;""),IF(SUMPRODUCT((TRIM($A$5:A482)=Setup!$B$4)*(LOWER($D$5:D482)="mapped")*(TRIM($C$5:C482)=TRIM(C482)))=1,ROW(),""),"")</f>
        <v/>
      </c>
    </row>
    <row r="483">
      <c r="A483" s="8" t="n"/>
      <c r="B483" s="8" t="n"/>
      <c r="C483" s="8" t="n"/>
      <c r="D483" s="8" t="n"/>
      <c r="E483" s="8" t="n"/>
      <c r="F483" s="6">
        <f>IF(B483="","",TRIM(A483)&amp;"||"&amp;TRIM(B483))</f>
        <v/>
      </c>
      <c r="G483" s="6">
        <f>IF(B483="","",IF(OR(AND(LOWER(D483)="mapped",TRIM(C483)&lt;&gt;""),AND(LOWER(D483)="ignored",TRIM(E483)&lt;&gt;"")),1,0))</f>
        <v/>
      </c>
      <c r="H483" s="6">
        <f>IF(AND(TRIM(A483)=Setup!$B$4,LOWER(D483)="mapped",TRIM(C483)&lt;&gt;""),IF(SUMPRODUCT((TRIM($A$5:A483)=Setup!$B$4)*(LOWER($D$5:D483)="mapped")*(TRIM($C$5:C483)=TRIM(C483)))=1,ROW(),""),"")</f>
        <v/>
      </c>
    </row>
    <row r="484">
      <c r="A484" s="8" t="n"/>
      <c r="B484" s="8" t="n"/>
      <c r="C484" s="8" t="n"/>
      <c r="D484" s="8" t="n"/>
      <c r="E484" s="8" t="n"/>
      <c r="F484" s="6">
        <f>IF(B484="","",TRIM(A484)&amp;"||"&amp;TRIM(B484))</f>
        <v/>
      </c>
      <c r="G484" s="6">
        <f>IF(B484="","",IF(OR(AND(LOWER(D484)="mapped",TRIM(C484)&lt;&gt;""),AND(LOWER(D484)="ignored",TRIM(E484)&lt;&gt;"")),1,0))</f>
        <v/>
      </c>
      <c r="H484" s="6">
        <f>IF(AND(TRIM(A484)=Setup!$B$4,LOWER(D484)="mapped",TRIM(C484)&lt;&gt;""),IF(SUMPRODUCT((TRIM($A$5:A484)=Setup!$B$4)*(LOWER($D$5:D484)="mapped")*(TRIM($C$5:C484)=TRIM(C484)))=1,ROW(),""),"")</f>
        <v/>
      </c>
    </row>
    <row r="485">
      <c r="A485" s="8" t="n"/>
      <c r="B485" s="8" t="n"/>
      <c r="C485" s="8" t="n"/>
      <c r="D485" s="8" t="n"/>
      <c r="E485" s="8" t="n"/>
      <c r="F485" s="6">
        <f>IF(B485="","",TRIM(A485)&amp;"||"&amp;TRIM(B485))</f>
        <v/>
      </c>
      <c r="G485" s="6">
        <f>IF(B485="","",IF(OR(AND(LOWER(D485)="mapped",TRIM(C485)&lt;&gt;""),AND(LOWER(D485)="ignored",TRIM(E485)&lt;&gt;"")),1,0))</f>
        <v/>
      </c>
      <c r="H485" s="6">
        <f>IF(AND(TRIM(A485)=Setup!$B$4,LOWER(D485)="mapped",TRIM(C485)&lt;&gt;""),IF(SUMPRODUCT((TRIM($A$5:A485)=Setup!$B$4)*(LOWER($D$5:D485)="mapped")*(TRIM($C$5:C485)=TRIM(C485)))=1,ROW(),""),"")</f>
        <v/>
      </c>
    </row>
    <row r="486">
      <c r="A486" s="8" t="n"/>
      <c r="B486" s="8" t="n"/>
      <c r="C486" s="8" t="n"/>
      <c r="D486" s="8" t="n"/>
      <c r="E486" s="8" t="n"/>
      <c r="F486" s="6">
        <f>IF(B486="","",TRIM(A486)&amp;"||"&amp;TRIM(B486))</f>
        <v/>
      </c>
      <c r="G486" s="6">
        <f>IF(B486="","",IF(OR(AND(LOWER(D486)="mapped",TRIM(C486)&lt;&gt;""),AND(LOWER(D486)="ignored",TRIM(E486)&lt;&gt;"")),1,0))</f>
        <v/>
      </c>
      <c r="H486" s="6">
        <f>IF(AND(TRIM(A486)=Setup!$B$4,LOWER(D486)="mapped",TRIM(C486)&lt;&gt;""),IF(SUMPRODUCT((TRIM($A$5:A486)=Setup!$B$4)*(LOWER($D$5:D486)="mapped")*(TRIM($C$5:C486)=TRIM(C486)))=1,ROW(),""),"")</f>
        <v/>
      </c>
    </row>
    <row r="487">
      <c r="A487" s="8" t="n"/>
      <c r="B487" s="8" t="n"/>
      <c r="C487" s="8" t="n"/>
      <c r="D487" s="8" t="n"/>
      <c r="E487" s="8" t="n"/>
      <c r="F487" s="6">
        <f>IF(B487="","",TRIM(A487)&amp;"||"&amp;TRIM(B487))</f>
        <v/>
      </c>
      <c r="G487" s="6">
        <f>IF(B487="","",IF(OR(AND(LOWER(D487)="mapped",TRIM(C487)&lt;&gt;""),AND(LOWER(D487)="ignored",TRIM(E487)&lt;&gt;"")),1,0))</f>
        <v/>
      </c>
      <c r="H487" s="6">
        <f>IF(AND(TRIM(A487)=Setup!$B$4,LOWER(D487)="mapped",TRIM(C487)&lt;&gt;""),IF(SUMPRODUCT((TRIM($A$5:A487)=Setup!$B$4)*(LOWER($D$5:D487)="mapped")*(TRIM($C$5:C487)=TRIM(C487)))=1,ROW(),""),"")</f>
        <v/>
      </c>
    </row>
    <row r="488">
      <c r="A488" s="8" t="n"/>
      <c r="B488" s="8" t="n"/>
      <c r="C488" s="8" t="n"/>
      <c r="D488" s="8" t="n"/>
      <c r="E488" s="8" t="n"/>
      <c r="F488" s="6">
        <f>IF(B488="","",TRIM(A488)&amp;"||"&amp;TRIM(B488))</f>
        <v/>
      </c>
      <c r="G488" s="6">
        <f>IF(B488="","",IF(OR(AND(LOWER(D488)="mapped",TRIM(C488)&lt;&gt;""),AND(LOWER(D488)="ignored",TRIM(E488)&lt;&gt;"")),1,0))</f>
        <v/>
      </c>
      <c r="H488" s="6">
        <f>IF(AND(TRIM(A488)=Setup!$B$4,LOWER(D488)="mapped",TRIM(C488)&lt;&gt;""),IF(SUMPRODUCT((TRIM($A$5:A488)=Setup!$B$4)*(LOWER($D$5:D488)="mapped")*(TRIM($C$5:C488)=TRIM(C488)))=1,ROW(),""),"")</f>
        <v/>
      </c>
    </row>
    <row r="489">
      <c r="A489" s="8" t="n"/>
      <c r="B489" s="8" t="n"/>
      <c r="C489" s="8" t="n"/>
      <c r="D489" s="8" t="n"/>
      <c r="E489" s="8" t="n"/>
      <c r="F489" s="6">
        <f>IF(B489="","",TRIM(A489)&amp;"||"&amp;TRIM(B489))</f>
        <v/>
      </c>
      <c r="G489" s="6">
        <f>IF(B489="","",IF(OR(AND(LOWER(D489)="mapped",TRIM(C489)&lt;&gt;""),AND(LOWER(D489)="ignored",TRIM(E489)&lt;&gt;"")),1,0))</f>
        <v/>
      </c>
      <c r="H489" s="6">
        <f>IF(AND(TRIM(A489)=Setup!$B$4,LOWER(D489)="mapped",TRIM(C489)&lt;&gt;""),IF(SUMPRODUCT((TRIM($A$5:A489)=Setup!$B$4)*(LOWER($D$5:D489)="mapped")*(TRIM($C$5:C489)=TRIM(C489)))=1,ROW(),""),"")</f>
        <v/>
      </c>
    </row>
    <row r="490">
      <c r="A490" s="8" t="n"/>
      <c r="B490" s="8" t="n"/>
      <c r="C490" s="8" t="n"/>
      <c r="D490" s="8" t="n"/>
      <c r="E490" s="8" t="n"/>
      <c r="F490" s="6">
        <f>IF(B490="","",TRIM(A490)&amp;"||"&amp;TRIM(B490))</f>
        <v/>
      </c>
      <c r="G490" s="6">
        <f>IF(B490="","",IF(OR(AND(LOWER(D490)="mapped",TRIM(C490)&lt;&gt;""),AND(LOWER(D490)="ignored",TRIM(E490)&lt;&gt;"")),1,0))</f>
        <v/>
      </c>
      <c r="H490" s="6">
        <f>IF(AND(TRIM(A490)=Setup!$B$4,LOWER(D490)="mapped",TRIM(C490)&lt;&gt;""),IF(SUMPRODUCT((TRIM($A$5:A490)=Setup!$B$4)*(LOWER($D$5:D490)="mapped")*(TRIM($C$5:C490)=TRIM(C490)))=1,ROW(),""),"")</f>
        <v/>
      </c>
    </row>
    <row r="491">
      <c r="A491" s="8" t="n"/>
      <c r="B491" s="8" t="n"/>
      <c r="C491" s="8" t="n"/>
      <c r="D491" s="8" t="n"/>
      <c r="E491" s="8" t="n"/>
      <c r="F491" s="6">
        <f>IF(B491="","",TRIM(A491)&amp;"||"&amp;TRIM(B491))</f>
        <v/>
      </c>
      <c r="G491" s="6">
        <f>IF(B491="","",IF(OR(AND(LOWER(D491)="mapped",TRIM(C491)&lt;&gt;""),AND(LOWER(D491)="ignored",TRIM(E491)&lt;&gt;"")),1,0))</f>
        <v/>
      </c>
      <c r="H491" s="6">
        <f>IF(AND(TRIM(A491)=Setup!$B$4,LOWER(D491)="mapped",TRIM(C491)&lt;&gt;""),IF(SUMPRODUCT((TRIM($A$5:A491)=Setup!$B$4)*(LOWER($D$5:D491)="mapped")*(TRIM($C$5:C491)=TRIM(C491)))=1,ROW(),""),"")</f>
        <v/>
      </c>
    </row>
    <row r="492">
      <c r="A492" s="8" t="n"/>
      <c r="B492" s="8" t="n"/>
      <c r="C492" s="8" t="n"/>
      <c r="D492" s="8" t="n"/>
      <c r="E492" s="8" t="n"/>
      <c r="F492" s="6">
        <f>IF(B492="","",TRIM(A492)&amp;"||"&amp;TRIM(B492))</f>
        <v/>
      </c>
      <c r="G492" s="6">
        <f>IF(B492="","",IF(OR(AND(LOWER(D492)="mapped",TRIM(C492)&lt;&gt;""),AND(LOWER(D492)="ignored",TRIM(E492)&lt;&gt;"")),1,0))</f>
        <v/>
      </c>
      <c r="H492" s="6">
        <f>IF(AND(TRIM(A492)=Setup!$B$4,LOWER(D492)="mapped",TRIM(C492)&lt;&gt;""),IF(SUMPRODUCT((TRIM($A$5:A492)=Setup!$B$4)*(LOWER($D$5:D492)="mapped")*(TRIM($C$5:C492)=TRIM(C492)))=1,ROW(),""),"")</f>
        <v/>
      </c>
    </row>
    <row r="493">
      <c r="A493" s="8" t="n"/>
      <c r="B493" s="8" t="n"/>
      <c r="C493" s="8" t="n"/>
      <c r="D493" s="8" t="n"/>
      <c r="E493" s="8" t="n"/>
      <c r="F493" s="6">
        <f>IF(B493="","",TRIM(A493)&amp;"||"&amp;TRIM(B493))</f>
        <v/>
      </c>
      <c r="G493" s="6">
        <f>IF(B493="","",IF(OR(AND(LOWER(D493)="mapped",TRIM(C493)&lt;&gt;""),AND(LOWER(D493)="ignored",TRIM(E493)&lt;&gt;"")),1,0))</f>
        <v/>
      </c>
      <c r="H493" s="6">
        <f>IF(AND(TRIM(A493)=Setup!$B$4,LOWER(D493)="mapped",TRIM(C493)&lt;&gt;""),IF(SUMPRODUCT((TRIM($A$5:A493)=Setup!$B$4)*(LOWER($D$5:D493)="mapped")*(TRIM($C$5:C493)=TRIM(C493)))=1,ROW(),""),"")</f>
        <v/>
      </c>
    </row>
    <row r="494">
      <c r="A494" s="8" t="n"/>
      <c r="B494" s="8" t="n"/>
      <c r="C494" s="8" t="n"/>
      <c r="D494" s="8" t="n"/>
      <c r="E494" s="8" t="n"/>
      <c r="F494" s="6">
        <f>IF(B494="","",TRIM(A494)&amp;"||"&amp;TRIM(B494))</f>
        <v/>
      </c>
      <c r="G494" s="6">
        <f>IF(B494="","",IF(OR(AND(LOWER(D494)="mapped",TRIM(C494)&lt;&gt;""),AND(LOWER(D494)="ignored",TRIM(E494)&lt;&gt;"")),1,0))</f>
        <v/>
      </c>
      <c r="H494" s="6">
        <f>IF(AND(TRIM(A494)=Setup!$B$4,LOWER(D494)="mapped",TRIM(C494)&lt;&gt;""),IF(SUMPRODUCT((TRIM($A$5:A494)=Setup!$B$4)*(LOWER($D$5:D494)="mapped")*(TRIM($C$5:C494)=TRIM(C494)))=1,ROW(),""),"")</f>
        <v/>
      </c>
    </row>
    <row r="495">
      <c r="A495" s="8" t="n"/>
      <c r="B495" s="8" t="n"/>
      <c r="C495" s="8" t="n"/>
      <c r="D495" s="8" t="n"/>
      <c r="E495" s="8" t="n"/>
      <c r="F495" s="6">
        <f>IF(B495="","",TRIM(A495)&amp;"||"&amp;TRIM(B495))</f>
        <v/>
      </c>
      <c r="G495" s="6">
        <f>IF(B495="","",IF(OR(AND(LOWER(D495)="mapped",TRIM(C495)&lt;&gt;""),AND(LOWER(D495)="ignored",TRIM(E495)&lt;&gt;"")),1,0))</f>
        <v/>
      </c>
      <c r="H495" s="6">
        <f>IF(AND(TRIM(A495)=Setup!$B$4,LOWER(D495)="mapped",TRIM(C495)&lt;&gt;""),IF(SUMPRODUCT((TRIM($A$5:A495)=Setup!$B$4)*(LOWER($D$5:D495)="mapped")*(TRIM($C$5:C495)=TRIM(C495)))=1,ROW(),""),"")</f>
        <v/>
      </c>
    </row>
    <row r="496">
      <c r="A496" s="8" t="n"/>
      <c r="B496" s="8" t="n"/>
      <c r="C496" s="8" t="n"/>
      <c r="D496" s="8" t="n"/>
      <c r="E496" s="8" t="n"/>
      <c r="F496" s="6">
        <f>IF(B496="","",TRIM(A496)&amp;"||"&amp;TRIM(B496))</f>
        <v/>
      </c>
      <c r="G496" s="6">
        <f>IF(B496="","",IF(OR(AND(LOWER(D496)="mapped",TRIM(C496)&lt;&gt;""),AND(LOWER(D496)="ignored",TRIM(E496)&lt;&gt;"")),1,0))</f>
        <v/>
      </c>
      <c r="H496" s="6">
        <f>IF(AND(TRIM(A496)=Setup!$B$4,LOWER(D496)="mapped",TRIM(C496)&lt;&gt;""),IF(SUMPRODUCT((TRIM($A$5:A496)=Setup!$B$4)*(LOWER($D$5:D496)="mapped")*(TRIM($C$5:C496)=TRIM(C496)))=1,ROW(),""),"")</f>
        <v/>
      </c>
    </row>
    <row r="497">
      <c r="A497" s="8" t="n"/>
      <c r="B497" s="8" t="n"/>
      <c r="C497" s="8" t="n"/>
      <c r="D497" s="8" t="n"/>
      <c r="E497" s="8" t="n"/>
      <c r="F497" s="6">
        <f>IF(B497="","",TRIM(A497)&amp;"||"&amp;TRIM(B497))</f>
        <v/>
      </c>
      <c r="G497" s="6">
        <f>IF(B497="","",IF(OR(AND(LOWER(D497)="mapped",TRIM(C497)&lt;&gt;""),AND(LOWER(D497)="ignored",TRIM(E497)&lt;&gt;"")),1,0))</f>
        <v/>
      </c>
      <c r="H497" s="6">
        <f>IF(AND(TRIM(A497)=Setup!$B$4,LOWER(D497)="mapped",TRIM(C497)&lt;&gt;""),IF(SUMPRODUCT((TRIM($A$5:A497)=Setup!$B$4)*(LOWER($D$5:D497)="mapped")*(TRIM($C$5:C497)=TRIM(C497)))=1,ROW(),""),"")</f>
        <v/>
      </c>
    </row>
    <row r="498">
      <c r="A498" s="8" t="n"/>
      <c r="B498" s="8" t="n"/>
      <c r="C498" s="8" t="n"/>
      <c r="D498" s="8" t="n"/>
      <c r="E498" s="8" t="n"/>
      <c r="F498" s="6">
        <f>IF(B498="","",TRIM(A498)&amp;"||"&amp;TRIM(B498))</f>
        <v/>
      </c>
      <c r="G498" s="6">
        <f>IF(B498="","",IF(OR(AND(LOWER(D498)="mapped",TRIM(C498)&lt;&gt;""),AND(LOWER(D498)="ignored",TRIM(E498)&lt;&gt;"")),1,0))</f>
        <v/>
      </c>
      <c r="H498" s="6">
        <f>IF(AND(TRIM(A498)=Setup!$B$4,LOWER(D498)="mapped",TRIM(C498)&lt;&gt;""),IF(SUMPRODUCT((TRIM($A$5:A498)=Setup!$B$4)*(LOWER($D$5:D498)="mapped")*(TRIM($C$5:C498)=TRIM(C498)))=1,ROW(),""),"")</f>
        <v/>
      </c>
    </row>
    <row r="499">
      <c r="A499" s="8" t="n"/>
      <c r="B499" s="8" t="n"/>
      <c r="C499" s="8" t="n"/>
      <c r="D499" s="8" t="n"/>
      <c r="E499" s="8" t="n"/>
      <c r="F499" s="6">
        <f>IF(B499="","",TRIM(A499)&amp;"||"&amp;TRIM(B499))</f>
        <v/>
      </c>
      <c r="G499" s="6">
        <f>IF(B499="","",IF(OR(AND(LOWER(D499)="mapped",TRIM(C499)&lt;&gt;""),AND(LOWER(D499)="ignored",TRIM(E499)&lt;&gt;"")),1,0))</f>
        <v/>
      </c>
      <c r="H499" s="6">
        <f>IF(AND(TRIM(A499)=Setup!$B$4,LOWER(D499)="mapped",TRIM(C499)&lt;&gt;""),IF(SUMPRODUCT((TRIM($A$5:A499)=Setup!$B$4)*(LOWER($D$5:D499)="mapped")*(TRIM($C$5:C499)=TRIM(C499)))=1,ROW(),""),"")</f>
        <v/>
      </c>
    </row>
    <row r="500">
      <c r="A500" s="8" t="n"/>
      <c r="B500" s="8" t="n"/>
      <c r="C500" s="8" t="n"/>
      <c r="D500" s="8" t="n"/>
      <c r="E500" s="8" t="n"/>
      <c r="F500" s="6">
        <f>IF(B500="","",TRIM(A500)&amp;"||"&amp;TRIM(B500))</f>
        <v/>
      </c>
      <c r="G500" s="6">
        <f>IF(B500="","",IF(OR(AND(LOWER(D500)="mapped",TRIM(C500)&lt;&gt;""),AND(LOWER(D500)="ignored",TRIM(E500)&lt;&gt;"")),1,0))</f>
        <v/>
      </c>
      <c r="H500" s="6">
        <f>IF(AND(TRIM(A500)=Setup!$B$4,LOWER(D500)="mapped",TRIM(C500)&lt;&gt;""),IF(SUMPRODUCT((TRIM($A$5:A500)=Setup!$B$4)*(LOWER($D$5:D500)="mapped")*(TRIM($C$5:C500)=TRIM(C500)))=1,ROW(),""),"")</f>
        <v/>
      </c>
    </row>
    <row r="501">
      <c r="A501" s="8" t="n"/>
      <c r="B501" s="8" t="n"/>
      <c r="C501" s="8" t="n"/>
      <c r="D501" s="8" t="n"/>
      <c r="E501" s="8" t="n"/>
      <c r="F501" s="6">
        <f>IF(B501="","",TRIM(A501)&amp;"||"&amp;TRIM(B501))</f>
        <v/>
      </c>
      <c r="G501" s="6">
        <f>IF(B501="","",IF(OR(AND(LOWER(D501)="mapped",TRIM(C501)&lt;&gt;""),AND(LOWER(D501)="ignored",TRIM(E501)&lt;&gt;"")),1,0))</f>
        <v/>
      </c>
      <c r="H501" s="6">
        <f>IF(AND(TRIM(A501)=Setup!$B$4,LOWER(D501)="mapped",TRIM(C501)&lt;&gt;""),IF(SUMPRODUCT((TRIM($A$5:A501)=Setup!$B$4)*(LOWER($D$5:D501)="mapped")*(TRIM($C$5:C501)=TRIM(C501)))=1,ROW(),""),"")</f>
        <v/>
      </c>
    </row>
    <row r="502">
      <c r="A502" s="8" t="n"/>
      <c r="B502" s="8" t="n"/>
      <c r="C502" s="8" t="n"/>
      <c r="D502" s="8" t="n"/>
      <c r="E502" s="8" t="n"/>
      <c r="F502" s="6">
        <f>IF(B502="","",TRIM(A502)&amp;"||"&amp;TRIM(B502))</f>
        <v/>
      </c>
      <c r="G502" s="6">
        <f>IF(B502="","",IF(OR(AND(LOWER(D502)="mapped",TRIM(C502)&lt;&gt;""),AND(LOWER(D502)="ignored",TRIM(E502)&lt;&gt;"")),1,0))</f>
        <v/>
      </c>
      <c r="H502" s="6">
        <f>IF(AND(TRIM(A502)=Setup!$B$4,LOWER(D502)="mapped",TRIM(C502)&lt;&gt;""),IF(SUMPRODUCT((TRIM($A$5:A502)=Setup!$B$4)*(LOWER($D$5:D502)="mapped")*(TRIM($C$5:C502)=TRIM(C502)))=1,ROW(),""),"")</f>
        <v/>
      </c>
    </row>
    <row r="503">
      <c r="A503" s="8" t="n"/>
      <c r="B503" s="8" t="n"/>
      <c r="C503" s="8" t="n"/>
      <c r="D503" s="8" t="n"/>
      <c r="E503" s="8" t="n"/>
      <c r="F503" s="6">
        <f>IF(B503="","",TRIM(A503)&amp;"||"&amp;TRIM(B503))</f>
        <v/>
      </c>
      <c r="G503" s="6">
        <f>IF(B503="","",IF(OR(AND(LOWER(D503)="mapped",TRIM(C503)&lt;&gt;""),AND(LOWER(D503)="ignored",TRIM(E503)&lt;&gt;"")),1,0))</f>
        <v/>
      </c>
      <c r="H503" s="6">
        <f>IF(AND(TRIM(A503)=Setup!$B$4,LOWER(D503)="mapped",TRIM(C503)&lt;&gt;""),IF(SUMPRODUCT((TRIM($A$5:A503)=Setup!$B$4)*(LOWER($D$5:D503)="mapped")*(TRIM($C$5:C503)=TRIM(C503)))=1,ROW(),""),"")</f>
        <v/>
      </c>
    </row>
    <row r="504">
      <c r="A504" s="8" t="n"/>
      <c r="B504" s="8" t="n"/>
      <c r="C504" s="8" t="n"/>
      <c r="D504" s="8" t="n"/>
      <c r="E504" s="8" t="n"/>
      <c r="F504" s="6">
        <f>IF(B504="","",TRIM(A504)&amp;"||"&amp;TRIM(B504))</f>
        <v/>
      </c>
      <c r="G504" s="6">
        <f>IF(B504="","",IF(OR(AND(LOWER(D504)="mapped",TRIM(C504)&lt;&gt;""),AND(LOWER(D504)="ignored",TRIM(E504)&lt;&gt;"")),1,0))</f>
        <v/>
      </c>
      <c r="H504" s="6">
        <f>IF(AND(TRIM(A504)=Setup!$B$4,LOWER(D504)="mapped",TRIM(C504)&lt;&gt;""),IF(SUMPRODUCT((TRIM($A$5:A504)=Setup!$B$4)*(LOWER($D$5:D504)="mapped")*(TRIM($C$5:C504)=TRIM(C504)))=1,ROW(),""),"")</f>
        <v/>
      </c>
    </row>
  </sheetData>
  <dataValidations count="1">
    <dataValidation sqref="D5:D504" showDropDown="0" showInputMessage="0" showErrorMessage="0" allowBlank="1" type="list">
      <formula1>"mapped,ignored"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5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30" customWidth="1" min="3" max="3"/>
    <col width="16" customWidth="1" min="4" max="4"/>
    <col width="16" customWidth="1" min="7" max="7"/>
    <col width="30" customWidth="1" min="12" max="12"/>
  </cols>
  <sheetData>
    <row r="1">
      <c r="A1" s="1" t="inlineStr">
        <is>
          <t>Reconcile (reconcile-source / connector-validate). Paste Account in A and Amount in B from row 12.</t>
        </is>
      </c>
    </row>
    <row r="2"/>
    <row r="3">
      <c r="A3" t="inlineStr">
        <is>
          <t>row_count</t>
        </is>
      </c>
      <c r="B3" s="12">
        <f>SUMPRODUCT((C12:C1511&lt;&gt;"")*1)</f>
        <v/>
      </c>
    </row>
    <row r="4">
      <c r="A4" t="inlineStr">
        <is>
          <t>source_total</t>
        </is>
      </c>
      <c r="B4" s="13">
        <f>SUM(G12:G1511)</f>
        <v/>
      </c>
    </row>
    <row r="5">
      <c r="A5" t="inlineStr">
        <is>
          <t>mapped_total</t>
        </is>
      </c>
      <c r="B5" s="13">
        <f>SUMIF(K12:K1511,"mapped",G12:G1511)</f>
        <v/>
      </c>
    </row>
    <row r="6">
      <c r="A6" t="inlineStr">
        <is>
          <t>duplicates (count of distinct accounts)</t>
        </is>
      </c>
      <c r="B6" s="12">
        <f>COUNT(O12:O1511)</f>
        <v/>
      </c>
    </row>
    <row r="7">
      <c r="A7" t="inlineStr">
        <is>
          <t>unmapped (distinct)</t>
        </is>
      </c>
      <c r="B7" s="12">
        <f>COUNT(N12:N1511)</f>
        <v/>
      </c>
    </row>
    <row r="8">
      <c r="A8" t="inlineStr">
        <is>
          <t>unparseable amounts</t>
        </is>
      </c>
      <c r="B8" s="12">
        <f>COUNTIF(H12:H1511,0)</f>
        <v/>
      </c>
    </row>
    <row r="9">
      <c r="A9" t="inlineStr">
        <is>
          <t>PASSED</t>
        </is>
      </c>
      <c r="B9" s="5">
        <f>IF(AND(B6=0,OR(B7=0,LOWER(Setup!$B$9)="yes"),B8=0,Results!B3),"PASS","FAIL")</f>
        <v/>
      </c>
    </row>
    <row r="10"/>
    <row r="11">
      <c r="A11" s="7" t="inlineStr">
        <is>
          <t>account (raw)</t>
        </is>
      </c>
      <c r="B11" s="7" t="inlineStr">
        <is>
          <t>amount (raw)</t>
        </is>
      </c>
      <c r="C11" s="7" t="inlineStr">
        <is>
          <t>account</t>
        </is>
      </c>
      <c r="D11" s="7" t="inlineStr">
        <is>
          <t>cleaned</t>
        </is>
      </c>
      <c r="E11" s="7" t="inlineStr">
        <is>
          <t>Dr/Cr</t>
        </is>
      </c>
      <c r="F11" s="7" t="inlineStr">
        <is>
          <t>paren?</t>
        </is>
      </c>
      <c r="G11" s="7" t="inlineStr">
        <is>
          <t>amount (parsed)</t>
        </is>
      </c>
      <c r="H11" s="7" t="inlineStr">
        <is>
          <t>parse ok?</t>
        </is>
      </c>
      <c r="I11" s="7" t="inlineStr">
        <is>
          <t>duplicate?</t>
        </is>
      </c>
      <c r="J11" s="7" t="inlineStr">
        <is>
          <t>rule row</t>
        </is>
      </c>
      <c r="K11" s="7" t="inlineStr">
        <is>
          <t>status</t>
        </is>
      </c>
      <c r="L11" s="7" t="inlineStr">
        <is>
          <t>target</t>
        </is>
      </c>
      <c r="M11" s="7" t="inlineStr">
        <is>
          <t>first-occurrence (helper)</t>
        </is>
      </c>
      <c r="N11" s="7" t="inlineStr">
        <is>
          <t>unmapped list (helper)</t>
        </is>
      </c>
      <c r="O11" s="7" t="inlineStr">
        <is>
          <t>dup list (helper)</t>
        </is>
      </c>
      <c r="P11" s="7" t="inlineStr">
        <is>
          <t>ignored list (helper)</t>
        </is>
      </c>
    </row>
    <row r="12">
      <c r="A12" s="8" t="inlineStr">
        <is>
          <t>Sales - Domestic (TN) @18%</t>
        </is>
      </c>
      <c r="B12" s="8" t="inlineStr">
        <is>
          <t>21,84,00,000.00 Cr</t>
        </is>
      </c>
      <c r="C12" s="6">
        <f>TRIM(A12&amp;"")</f>
        <v/>
      </c>
      <c r="D12" s="6">
        <f>IF(C12="","",SUBSTITUTE(SUBSTITUTE(SUBSTITUTE(SUBSTITUTE(SUBSTITUTE(SUBSTITUTE(SUBSTITUTE(UPPER(TRIM(B12&amp;"")),"₹",""),"RS.",""),"RS",""),"INR",""),"$",""),",","")," ",""))</f>
        <v/>
      </c>
      <c r="E12" s="6">
        <f>IF(C12="","",IF(RIGHT(D12,2)="CR","Cr",IF(RIGHT(D12,2)="DR","Dr","")))</f>
        <v/>
      </c>
      <c r="F12" s="6">
        <f>IF(C12="","",IF(E12&lt;&gt;"",LEFT(D12,LEN(D12)-2),D12))</f>
        <v/>
      </c>
      <c r="G12" s="13">
        <f>IF(C12="","",IF(OR(IF(AND(LEFT(F12,1)="(",RIGHT(F12,1)=")"),MID(F12,2,LEN(F12)-2),F12)="",IF(AND(LEFT(F12,1)="(",RIGHT(F12,1)=")"),MID(F12,2,LEN(F12)-2),F12)="-"),0,IFERROR(VALUE(IF(AND(LEFT(F12,1)="(",RIGHT(F12,1)=")"),MID(F12,2,LEN(F12)-2),F12))*IF(AND(LEFT(F12,1)="(",RIGHT(F12,1)=")"),-1,1)*IF(E12="Cr",Setup!$B$6,1),"ERR")))</f>
        <v/>
      </c>
      <c r="H12" s="6">
        <f>IF(C12="","",IF(ISNUMBER(G12),1,0))</f>
        <v/>
      </c>
      <c r="I12" s="6">
        <f>IF(C12="","",IF(SUMPRODUCT(($C$12:$C$1511=C12)*1)&gt;1,1,0))</f>
        <v/>
      </c>
      <c r="J12" s="6">
        <f>IF(C12="","",SUMPRODUCT((Mapping!$F$5:$F$504=Setup!$B$4&amp;"||"&amp;C12)*ROW(Mapping!$F$5:$F$504)))</f>
        <v/>
      </c>
      <c r="K12" s="6">
        <f>IF(C12="","",IF(J12=0,"UNMAPPED",LOWER(INDEX(Mapping!$D$1:$D$504,J12))))</f>
        <v/>
      </c>
      <c r="L12" s="6">
        <f>IF(K12="mapped",TRIM(INDEX(Mapping!$C$1:$C$504,J12)),"")</f>
        <v/>
      </c>
      <c r="M12" s="6">
        <f>IF(C12="","",IF(SUMPRODUCT(($C$12:C12=C12)*1)=1,1,0))</f>
        <v/>
      </c>
      <c r="N12" s="6">
        <f>IF(AND(K12="UNMAPPED",M12=1),ROW(),"")</f>
        <v/>
      </c>
      <c r="O12" s="6">
        <f>IF(AND(I12=1,M12=1),ROW(),"")</f>
        <v/>
      </c>
      <c r="P12" s="6">
        <f>IF(AND(K12="ignored",M12=1),ROW(),"")</f>
        <v/>
      </c>
    </row>
    <row r="13">
      <c r="A13" s="8" t="inlineStr">
        <is>
          <t>Sales - Interstate (Kerala/Karnataka) @18%</t>
        </is>
      </c>
      <c r="B13" s="8" t="inlineStr">
        <is>
          <t>4,68,00,000.00 Cr</t>
        </is>
      </c>
      <c r="C13" s="6">
        <f>TRIM(A13&amp;"")</f>
        <v/>
      </c>
      <c r="D13" s="6">
        <f>IF(C13="","",SUBSTITUTE(SUBSTITUTE(SUBSTITUTE(SUBSTITUTE(SUBSTITUTE(SUBSTITUTE(SUBSTITUTE(UPPER(TRIM(B13&amp;"")),"₹",""),"RS.",""),"RS",""),"INR",""),"$",""),",","")," ",""))</f>
        <v/>
      </c>
      <c r="E13" s="6">
        <f>IF(C13="","",IF(RIGHT(D13,2)="CR","Cr",IF(RIGHT(D13,2)="DR","Dr","")))</f>
        <v/>
      </c>
      <c r="F13" s="6">
        <f>IF(C13="","",IF(E13&lt;&gt;"",LEFT(D13,LEN(D13)-2),D13))</f>
        <v/>
      </c>
      <c r="G13" s="13">
        <f>IF(C13="","",IF(OR(IF(AND(LEFT(F13,1)="(",RIGHT(F13,1)=")"),MID(F13,2,LEN(F13)-2),F13)="",IF(AND(LEFT(F13,1)="(",RIGHT(F13,1)=")"),MID(F13,2,LEN(F13)-2),F13)="-"),0,IFERROR(VALUE(IF(AND(LEFT(F13,1)="(",RIGHT(F13,1)=")"),MID(F13,2,LEN(F13)-2),F13))*IF(AND(LEFT(F13,1)="(",RIGHT(F13,1)=")"),-1,1)*IF(E13="Cr",Setup!$B$6,1),"ERR")))</f>
        <v/>
      </c>
      <c r="H13" s="6">
        <f>IF(C13="","",IF(ISNUMBER(G13),1,0))</f>
        <v/>
      </c>
      <c r="I13" s="6">
        <f>IF(C13="","",IF(SUMPRODUCT(($C$12:$C$1511=C13)*1)&gt;1,1,0))</f>
        <v/>
      </c>
      <c r="J13" s="6">
        <f>IF(C13="","",SUMPRODUCT((Mapping!$F$5:$F$504=Setup!$B$4&amp;"||"&amp;C13)*ROW(Mapping!$F$5:$F$504)))</f>
        <v/>
      </c>
      <c r="K13" s="6">
        <f>IF(C13="","",IF(J13=0,"UNMAPPED",LOWER(INDEX(Mapping!$D$1:$D$504,J13))))</f>
        <v/>
      </c>
      <c r="L13" s="6">
        <f>IF(K13="mapped",TRIM(INDEX(Mapping!$C$1:$C$504,J13)),"")</f>
        <v/>
      </c>
      <c r="M13" s="6">
        <f>IF(C13="","",IF(SUMPRODUCT(($C$12:C13=C13)*1)=1,1,0))</f>
        <v/>
      </c>
      <c r="N13" s="6">
        <f>IF(AND(K13="UNMAPPED",M13=1),ROW(),"")</f>
        <v/>
      </c>
      <c r="O13" s="6">
        <f>IF(AND(I13=1,M13=1),ROW(),"")</f>
        <v/>
      </c>
      <c r="P13" s="6">
        <f>IF(AND(K13="ignored",M13=1),ROW(),"")</f>
        <v/>
      </c>
    </row>
    <row r="14">
      <c r="A14" s="8" t="inlineStr">
        <is>
          <t>Sales - Marketplace (Amazon/Flipkart)</t>
        </is>
      </c>
      <c r="B14" s="8" t="inlineStr">
        <is>
          <t>3,27,00,000.00 Cr</t>
        </is>
      </c>
      <c r="C14" s="6">
        <f>TRIM(A14&amp;"")</f>
        <v/>
      </c>
      <c r="D14" s="6">
        <f>IF(C14="","",SUBSTITUTE(SUBSTITUTE(SUBSTITUTE(SUBSTITUTE(SUBSTITUTE(SUBSTITUTE(SUBSTITUTE(UPPER(TRIM(B14&amp;"")),"₹",""),"RS.",""),"RS",""),"INR",""),"$",""),",","")," ",""))</f>
        <v/>
      </c>
      <c r="E14" s="6">
        <f>IF(C14="","",IF(RIGHT(D14,2)="CR","Cr",IF(RIGHT(D14,2)="DR","Dr","")))</f>
        <v/>
      </c>
      <c r="F14" s="6">
        <f>IF(C14="","",IF(E14&lt;&gt;"",LEFT(D14,LEN(D14)-2),D14))</f>
        <v/>
      </c>
      <c r="G14" s="13">
        <f>IF(C14="","",IF(OR(IF(AND(LEFT(F14,1)="(",RIGHT(F14,1)=")"),MID(F14,2,LEN(F14)-2),F14)="",IF(AND(LEFT(F14,1)="(",RIGHT(F14,1)=")"),MID(F14,2,LEN(F14)-2),F14)="-"),0,IFERROR(VALUE(IF(AND(LEFT(F14,1)="(",RIGHT(F14,1)=")"),MID(F14,2,LEN(F14)-2),F14))*IF(AND(LEFT(F14,1)="(",RIGHT(F14,1)=")"),-1,1)*IF(E14="Cr",Setup!$B$6,1),"ERR")))</f>
        <v/>
      </c>
      <c r="H14" s="6">
        <f>IF(C14="","",IF(ISNUMBER(G14),1,0))</f>
        <v/>
      </c>
      <c r="I14" s="6">
        <f>IF(C14="","",IF(SUMPRODUCT(($C$12:$C$1511=C14)*1)&gt;1,1,0))</f>
        <v/>
      </c>
      <c r="J14" s="6">
        <f>IF(C14="","",SUMPRODUCT((Mapping!$F$5:$F$504=Setup!$B$4&amp;"||"&amp;C14)*ROW(Mapping!$F$5:$F$504)))</f>
        <v/>
      </c>
      <c r="K14" s="6">
        <f>IF(C14="","",IF(J14=0,"UNMAPPED",LOWER(INDEX(Mapping!$D$1:$D$504,J14))))</f>
        <v/>
      </c>
      <c r="L14" s="6">
        <f>IF(K14="mapped",TRIM(INDEX(Mapping!$C$1:$C$504,J14)),"")</f>
        <v/>
      </c>
      <c r="M14" s="6">
        <f>IF(C14="","",IF(SUMPRODUCT(($C$12:C14=C14)*1)=1,1,0))</f>
        <v/>
      </c>
      <c r="N14" s="6">
        <f>IF(AND(K14="UNMAPPED",M14=1),ROW(),"")</f>
        <v/>
      </c>
      <c r="O14" s="6">
        <f>IF(AND(I14=1,M14=1),ROW(),"")</f>
        <v/>
      </c>
      <c r="P14" s="6">
        <f>IF(AND(K14="ignored",M14=1),ROW(),"")</f>
        <v/>
      </c>
    </row>
    <row r="15">
      <c r="A15" s="8" t="inlineStr">
        <is>
          <t>Sales Returns &amp; Dealer Schemes</t>
        </is>
      </c>
      <c r="B15" s="8" t="inlineStr">
        <is>
          <t>41,00,000.00 Dr</t>
        </is>
      </c>
      <c r="C15" s="6">
        <f>TRIM(A15&amp;"")</f>
        <v/>
      </c>
      <c r="D15" s="6">
        <f>IF(C15="","",SUBSTITUTE(SUBSTITUTE(SUBSTITUTE(SUBSTITUTE(SUBSTITUTE(SUBSTITUTE(SUBSTITUTE(UPPER(TRIM(B15&amp;"")),"₹",""),"RS.",""),"RS",""),"INR",""),"$",""),",","")," ",""))</f>
        <v/>
      </c>
      <c r="E15" s="6">
        <f>IF(C15="","",IF(RIGHT(D15,2)="CR","Cr",IF(RIGHT(D15,2)="DR","Dr","")))</f>
        <v/>
      </c>
      <c r="F15" s="6">
        <f>IF(C15="","",IF(E15&lt;&gt;"",LEFT(D15,LEN(D15)-2),D15))</f>
        <v/>
      </c>
      <c r="G15" s="13">
        <f>IF(C15="","",IF(OR(IF(AND(LEFT(F15,1)="(",RIGHT(F15,1)=")"),MID(F15,2,LEN(F15)-2),F15)="",IF(AND(LEFT(F15,1)="(",RIGHT(F15,1)=")"),MID(F15,2,LEN(F15)-2),F15)="-"),0,IFERROR(VALUE(IF(AND(LEFT(F15,1)="(",RIGHT(F15,1)=")"),MID(F15,2,LEN(F15)-2),F15))*IF(AND(LEFT(F15,1)="(",RIGHT(F15,1)=")"),-1,1)*IF(E15="Cr",Setup!$B$6,1),"ERR")))</f>
        <v/>
      </c>
      <c r="H15" s="6">
        <f>IF(C15="","",IF(ISNUMBER(G15),1,0))</f>
        <v/>
      </c>
      <c r="I15" s="6">
        <f>IF(C15="","",IF(SUMPRODUCT(($C$12:$C$1511=C15)*1)&gt;1,1,0))</f>
        <v/>
      </c>
      <c r="J15" s="6">
        <f>IF(C15="","",SUMPRODUCT((Mapping!$F$5:$F$504=Setup!$B$4&amp;"||"&amp;C15)*ROW(Mapping!$F$5:$F$504)))</f>
        <v/>
      </c>
      <c r="K15" s="6">
        <f>IF(C15="","",IF(J15=0,"UNMAPPED",LOWER(INDEX(Mapping!$D$1:$D$504,J15))))</f>
        <v/>
      </c>
      <c r="L15" s="6">
        <f>IF(K15="mapped",TRIM(INDEX(Mapping!$C$1:$C$504,J15)),"")</f>
        <v/>
      </c>
      <c r="M15" s="6">
        <f>IF(C15="","",IF(SUMPRODUCT(($C$12:C15=C15)*1)=1,1,0))</f>
        <v/>
      </c>
      <c r="N15" s="6">
        <f>IF(AND(K15="UNMAPPED",M15=1),ROW(),"")</f>
        <v/>
      </c>
      <c r="O15" s="6">
        <f>IF(AND(I15=1,M15=1),ROW(),"")</f>
        <v/>
      </c>
      <c r="P15" s="6">
        <f>IF(AND(K15="ignored",M15=1),ROW(),"")</f>
        <v/>
      </c>
    </row>
    <row r="16">
      <c r="A16" s="8" t="inlineStr">
        <is>
          <t>Purchase - Rubberwood &amp; Teak</t>
        </is>
      </c>
      <c r="B16" s="8" t="inlineStr">
        <is>
          <t>9,12,00,000.00 Dr</t>
        </is>
      </c>
      <c r="C16" s="6">
        <f>TRIM(A16&amp;"")</f>
        <v/>
      </c>
      <c r="D16" s="6">
        <f>IF(C16="","",SUBSTITUTE(SUBSTITUTE(SUBSTITUTE(SUBSTITUTE(SUBSTITUTE(SUBSTITUTE(SUBSTITUTE(UPPER(TRIM(B16&amp;"")),"₹",""),"RS.",""),"RS",""),"INR",""),"$",""),",","")," ",""))</f>
        <v/>
      </c>
      <c r="E16" s="6">
        <f>IF(C16="","",IF(RIGHT(D16,2)="CR","Cr",IF(RIGHT(D16,2)="DR","Dr","")))</f>
        <v/>
      </c>
      <c r="F16" s="6">
        <f>IF(C16="","",IF(E16&lt;&gt;"",LEFT(D16,LEN(D16)-2),D16))</f>
        <v/>
      </c>
      <c r="G16" s="13">
        <f>IF(C16="","",IF(OR(IF(AND(LEFT(F16,1)="(",RIGHT(F16,1)=")"),MID(F16,2,LEN(F16)-2),F16)="",IF(AND(LEFT(F16,1)="(",RIGHT(F16,1)=")"),MID(F16,2,LEN(F16)-2),F16)="-"),0,IFERROR(VALUE(IF(AND(LEFT(F16,1)="(",RIGHT(F16,1)=")"),MID(F16,2,LEN(F16)-2),F16))*IF(AND(LEFT(F16,1)="(",RIGHT(F16,1)=")"),-1,1)*IF(E16="Cr",Setup!$B$6,1),"ERR")))</f>
        <v/>
      </c>
      <c r="H16" s="6">
        <f>IF(C16="","",IF(ISNUMBER(G16),1,0))</f>
        <v/>
      </c>
      <c r="I16" s="6">
        <f>IF(C16="","",IF(SUMPRODUCT(($C$12:$C$1511=C16)*1)&gt;1,1,0))</f>
        <v/>
      </c>
      <c r="J16" s="6">
        <f>IF(C16="","",SUMPRODUCT((Mapping!$F$5:$F$504=Setup!$B$4&amp;"||"&amp;C16)*ROW(Mapping!$F$5:$F$504)))</f>
        <v/>
      </c>
      <c r="K16" s="6">
        <f>IF(C16="","",IF(J16=0,"UNMAPPED",LOWER(INDEX(Mapping!$D$1:$D$504,J16))))</f>
        <v/>
      </c>
      <c r="L16" s="6">
        <f>IF(K16="mapped",TRIM(INDEX(Mapping!$C$1:$C$504,J16)),"")</f>
        <v/>
      </c>
      <c r="M16" s="6">
        <f>IF(C16="","",IF(SUMPRODUCT(($C$12:C16=C16)*1)=1,1,0))</f>
        <v/>
      </c>
      <c r="N16" s="6">
        <f>IF(AND(K16="UNMAPPED",M16=1),ROW(),"")</f>
        <v/>
      </c>
      <c r="O16" s="6">
        <f>IF(AND(I16=1,M16=1),ROW(),"")</f>
        <v/>
      </c>
      <c r="P16" s="6">
        <f>IF(AND(K16="ignored",M16=1),ROW(),"")</f>
        <v/>
      </c>
    </row>
    <row r="17">
      <c r="A17" s="8" t="inlineStr">
        <is>
          <t>Purchase - Steel &amp; Mechanisms (incl. import)</t>
        </is>
      </c>
      <c r="B17" s="8" t="inlineStr">
        <is>
          <t>6,05,00,000.00 Dr</t>
        </is>
      </c>
      <c r="C17" s="6">
        <f>TRIM(A17&amp;"")</f>
        <v/>
      </c>
      <c r="D17" s="6">
        <f>IF(C17="","",SUBSTITUTE(SUBSTITUTE(SUBSTITUTE(SUBSTITUTE(SUBSTITUTE(SUBSTITUTE(SUBSTITUTE(UPPER(TRIM(B17&amp;"")),"₹",""),"RS.",""),"RS",""),"INR",""),"$",""),",","")," ",""))</f>
        <v/>
      </c>
      <c r="E17" s="6">
        <f>IF(C17="","",IF(RIGHT(D17,2)="CR","Cr",IF(RIGHT(D17,2)="DR","Dr","")))</f>
        <v/>
      </c>
      <c r="F17" s="6">
        <f>IF(C17="","",IF(E17&lt;&gt;"",LEFT(D17,LEN(D17)-2),D17))</f>
        <v/>
      </c>
      <c r="G17" s="13">
        <f>IF(C17="","",IF(OR(IF(AND(LEFT(F17,1)="(",RIGHT(F17,1)=")"),MID(F17,2,LEN(F17)-2),F17)="",IF(AND(LEFT(F17,1)="(",RIGHT(F17,1)=")"),MID(F17,2,LEN(F17)-2),F17)="-"),0,IFERROR(VALUE(IF(AND(LEFT(F17,1)="(",RIGHT(F17,1)=")"),MID(F17,2,LEN(F17)-2),F17))*IF(AND(LEFT(F17,1)="(",RIGHT(F17,1)=")"),-1,1)*IF(E17="Cr",Setup!$B$6,1),"ERR")))</f>
        <v/>
      </c>
      <c r="H17" s="6">
        <f>IF(C17="","",IF(ISNUMBER(G17),1,0))</f>
        <v/>
      </c>
      <c r="I17" s="6">
        <f>IF(C17="","",IF(SUMPRODUCT(($C$12:$C$1511=C17)*1)&gt;1,1,0))</f>
        <v/>
      </c>
      <c r="J17" s="6">
        <f>IF(C17="","",SUMPRODUCT((Mapping!$F$5:$F$504=Setup!$B$4&amp;"||"&amp;C17)*ROW(Mapping!$F$5:$F$504)))</f>
        <v/>
      </c>
      <c r="K17" s="6">
        <f>IF(C17="","",IF(J17=0,"UNMAPPED",LOWER(INDEX(Mapping!$D$1:$D$504,J17))))</f>
        <v/>
      </c>
      <c r="L17" s="6">
        <f>IF(K17="mapped",TRIM(INDEX(Mapping!$C$1:$C$504,J17)),"")</f>
        <v/>
      </c>
      <c r="M17" s="6">
        <f>IF(C17="","",IF(SUMPRODUCT(($C$12:C17=C17)*1)=1,1,0))</f>
        <v/>
      </c>
      <c r="N17" s="6">
        <f>IF(AND(K17="UNMAPPED",M17=1),ROW(),"")</f>
        <v/>
      </c>
      <c r="O17" s="6">
        <f>IF(AND(I17=1,M17=1),ROW(),"")</f>
        <v/>
      </c>
      <c r="P17" s="6">
        <f>IF(AND(K17="ignored",M17=1),ROW(),"")</f>
        <v/>
      </c>
    </row>
    <row r="18">
      <c r="A18" s="8" t="inlineStr">
        <is>
          <t>Factory Wages &amp; Job Work</t>
        </is>
      </c>
      <c r="B18" s="8" t="inlineStr">
        <is>
          <t>1,38,00,000.00 Dr</t>
        </is>
      </c>
      <c r="C18" s="6">
        <f>TRIM(A18&amp;"")</f>
        <v/>
      </c>
      <c r="D18" s="6">
        <f>IF(C18="","",SUBSTITUTE(SUBSTITUTE(SUBSTITUTE(SUBSTITUTE(SUBSTITUTE(SUBSTITUTE(SUBSTITUTE(UPPER(TRIM(B18&amp;"")),"₹",""),"RS.",""),"RS",""),"INR",""),"$",""),",","")," ",""))</f>
        <v/>
      </c>
      <c r="E18" s="6">
        <f>IF(C18="","",IF(RIGHT(D18,2)="CR","Cr",IF(RIGHT(D18,2)="DR","Dr","")))</f>
        <v/>
      </c>
      <c r="F18" s="6">
        <f>IF(C18="","",IF(E18&lt;&gt;"",LEFT(D18,LEN(D18)-2),D18))</f>
        <v/>
      </c>
      <c r="G18" s="13">
        <f>IF(C18="","",IF(OR(IF(AND(LEFT(F18,1)="(",RIGHT(F18,1)=")"),MID(F18,2,LEN(F18)-2),F18)="",IF(AND(LEFT(F18,1)="(",RIGHT(F18,1)=")"),MID(F18,2,LEN(F18)-2),F18)="-"),0,IFERROR(VALUE(IF(AND(LEFT(F18,1)="(",RIGHT(F18,1)=")"),MID(F18,2,LEN(F18)-2),F18))*IF(AND(LEFT(F18,1)="(",RIGHT(F18,1)=")"),-1,1)*IF(E18="Cr",Setup!$B$6,1),"ERR")))</f>
        <v/>
      </c>
      <c r="H18" s="6">
        <f>IF(C18="","",IF(ISNUMBER(G18),1,0))</f>
        <v/>
      </c>
      <c r="I18" s="6">
        <f>IF(C18="","",IF(SUMPRODUCT(($C$12:$C$1511=C18)*1)&gt;1,1,0))</f>
        <v/>
      </c>
      <c r="J18" s="6">
        <f>IF(C18="","",SUMPRODUCT((Mapping!$F$5:$F$504=Setup!$B$4&amp;"||"&amp;C18)*ROW(Mapping!$F$5:$F$504)))</f>
        <v/>
      </c>
      <c r="K18" s="6">
        <f>IF(C18="","",IF(J18=0,"UNMAPPED",LOWER(INDEX(Mapping!$D$1:$D$504,J18))))</f>
        <v/>
      </c>
      <c r="L18" s="6">
        <f>IF(K18="mapped",TRIM(INDEX(Mapping!$C$1:$C$504,J18)),"")</f>
        <v/>
      </c>
      <c r="M18" s="6">
        <f>IF(C18="","",IF(SUMPRODUCT(($C$12:C18=C18)*1)=1,1,0))</f>
        <v/>
      </c>
      <c r="N18" s="6">
        <f>IF(AND(K18="UNMAPPED",M18=1),ROW(),"")</f>
        <v/>
      </c>
      <c r="O18" s="6">
        <f>IF(AND(I18=1,M18=1),ROW(),"")</f>
        <v/>
      </c>
      <c r="P18" s="6">
        <f>IF(AND(K18="ignored",M18=1),ROW(),"")</f>
        <v/>
      </c>
    </row>
    <row r="19">
      <c r="A19" s="8" t="inlineStr">
        <is>
          <t>Marketplace Commission &amp; Fees</t>
        </is>
      </c>
      <c r="B19" s="8" t="inlineStr">
        <is>
          <t>52,00,000.00 Dr</t>
        </is>
      </c>
      <c r="C19" s="6">
        <f>TRIM(A19&amp;"")</f>
        <v/>
      </c>
      <c r="D19" s="6">
        <f>IF(C19="","",SUBSTITUTE(SUBSTITUTE(SUBSTITUTE(SUBSTITUTE(SUBSTITUTE(SUBSTITUTE(SUBSTITUTE(UPPER(TRIM(B19&amp;"")),"₹",""),"RS.",""),"RS",""),"INR",""),"$",""),",","")," ",""))</f>
        <v/>
      </c>
      <c r="E19" s="6">
        <f>IF(C19="","",IF(RIGHT(D19,2)="CR","Cr",IF(RIGHT(D19,2)="DR","Dr","")))</f>
        <v/>
      </c>
      <c r="F19" s="6">
        <f>IF(C19="","",IF(E19&lt;&gt;"",LEFT(D19,LEN(D19)-2),D19))</f>
        <v/>
      </c>
      <c r="G19" s="13">
        <f>IF(C19="","",IF(OR(IF(AND(LEFT(F19,1)="(",RIGHT(F19,1)=")"),MID(F19,2,LEN(F19)-2),F19)="",IF(AND(LEFT(F19,1)="(",RIGHT(F19,1)=")"),MID(F19,2,LEN(F19)-2),F19)="-"),0,IFERROR(VALUE(IF(AND(LEFT(F19,1)="(",RIGHT(F19,1)=")"),MID(F19,2,LEN(F19)-2),F19))*IF(AND(LEFT(F19,1)="(",RIGHT(F19,1)=")"),-1,1)*IF(E19="Cr",Setup!$B$6,1),"ERR")))</f>
        <v/>
      </c>
      <c r="H19" s="6">
        <f>IF(C19="","",IF(ISNUMBER(G19),1,0))</f>
        <v/>
      </c>
      <c r="I19" s="6">
        <f>IF(C19="","",IF(SUMPRODUCT(($C$12:$C$1511=C19)*1)&gt;1,1,0))</f>
        <v/>
      </c>
      <c r="J19" s="6">
        <f>IF(C19="","",SUMPRODUCT((Mapping!$F$5:$F$504=Setup!$B$4&amp;"||"&amp;C19)*ROW(Mapping!$F$5:$F$504)))</f>
        <v/>
      </c>
      <c r="K19" s="6">
        <f>IF(C19="","",IF(J19=0,"UNMAPPED",LOWER(INDEX(Mapping!$D$1:$D$504,J19))))</f>
        <v/>
      </c>
      <c r="L19" s="6">
        <f>IF(K19="mapped",TRIM(INDEX(Mapping!$C$1:$C$504,J19)),"")</f>
        <v/>
      </c>
      <c r="M19" s="6">
        <f>IF(C19="","",IF(SUMPRODUCT(($C$12:C19=C19)*1)=1,1,0))</f>
        <v/>
      </c>
      <c r="N19" s="6">
        <f>IF(AND(K19="UNMAPPED",M19=1),ROW(),"")</f>
        <v/>
      </c>
      <c r="O19" s="6">
        <f>IF(AND(I19=1,M19=1),ROW(),"")</f>
        <v/>
      </c>
      <c r="P19" s="6">
        <f>IF(AND(K19="ignored",M19=1),ROW(),"")</f>
        <v/>
      </c>
    </row>
    <row r="20">
      <c r="A20" s="8" t="inlineStr">
        <is>
          <t>Salaries &amp; Staff Welfare (office/sales)</t>
        </is>
      </c>
      <c r="B20" s="8" t="inlineStr">
        <is>
          <t>2,46,00,000.00 Dr</t>
        </is>
      </c>
      <c r="C20" s="6">
        <f>TRIM(A20&amp;"")</f>
        <v/>
      </c>
      <c r="D20" s="6">
        <f>IF(C20="","",SUBSTITUTE(SUBSTITUTE(SUBSTITUTE(SUBSTITUTE(SUBSTITUTE(SUBSTITUTE(SUBSTITUTE(UPPER(TRIM(B20&amp;"")),"₹",""),"RS.",""),"RS",""),"INR",""),"$",""),",","")," ",""))</f>
        <v/>
      </c>
      <c r="E20" s="6">
        <f>IF(C20="","",IF(RIGHT(D20,2)="CR","Cr",IF(RIGHT(D20,2)="DR","Dr","")))</f>
        <v/>
      </c>
      <c r="F20" s="6">
        <f>IF(C20="","",IF(E20&lt;&gt;"",LEFT(D20,LEN(D20)-2),D20))</f>
        <v/>
      </c>
      <c r="G20" s="13">
        <f>IF(C20="","",IF(OR(IF(AND(LEFT(F20,1)="(",RIGHT(F20,1)=")"),MID(F20,2,LEN(F20)-2),F20)="",IF(AND(LEFT(F20,1)="(",RIGHT(F20,1)=")"),MID(F20,2,LEN(F20)-2),F20)="-"),0,IFERROR(VALUE(IF(AND(LEFT(F20,1)="(",RIGHT(F20,1)=")"),MID(F20,2,LEN(F20)-2),F20))*IF(AND(LEFT(F20,1)="(",RIGHT(F20,1)=")"),-1,1)*IF(E20="Cr",Setup!$B$6,1),"ERR")))</f>
        <v/>
      </c>
      <c r="H20" s="6">
        <f>IF(C20="","",IF(ISNUMBER(G20),1,0))</f>
        <v/>
      </c>
      <c r="I20" s="6">
        <f>IF(C20="","",IF(SUMPRODUCT(($C$12:$C$1511=C20)*1)&gt;1,1,0))</f>
        <v/>
      </c>
      <c r="J20" s="6">
        <f>IF(C20="","",SUMPRODUCT((Mapping!$F$5:$F$504=Setup!$B$4&amp;"||"&amp;C20)*ROW(Mapping!$F$5:$F$504)))</f>
        <v/>
      </c>
      <c r="K20" s="6">
        <f>IF(C20="","",IF(J20=0,"UNMAPPED",LOWER(INDEX(Mapping!$D$1:$D$504,J20))))</f>
        <v/>
      </c>
      <c r="L20" s="6">
        <f>IF(K20="mapped",TRIM(INDEX(Mapping!$C$1:$C$504,J20)),"")</f>
        <v/>
      </c>
      <c r="M20" s="6">
        <f>IF(C20="","",IF(SUMPRODUCT(($C$12:C20=C20)*1)=1,1,0))</f>
        <v/>
      </c>
      <c r="N20" s="6">
        <f>IF(AND(K20="UNMAPPED",M20=1),ROW(),"")</f>
        <v/>
      </c>
      <c r="O20" s="6">
        <f>IF(AND(I20=1,M20=1),ROW(),"")</f>
        <v/>
      </c>
      <c r="P20" s="6">
        <f>IF(AND(K20="ignored",M20=1),ROW(),"")</f>
        <v/>
      </c>
    </row>
    <row r="21">
      <c r="A21" s="8" t="inlineStr">
        <is>
          <t>PF &amp; ESI - Employer</t>
        </is>
      </c>
      <c r="B21" s="8" t="inlineStr">
        <is>
          <t>38,40,000.00 Dr</t>
        </is>
      </c>
      <c r="C21" s="6">
        <f>TRIM(A21&amp;"")</f>
        <v/>
      </c>
      <c r="D21" s="6">
        <f>IF(C21="","",SUBSTITUTE(SUBSTITUTE(SUBSTITUTE(SUBSTITUTE(SUBSTITUTE(SUBSTITUTE(SUBSTITUTE(UPPER(TRIM(B21&amp;"")),"₹",""),"RS.",""),"RS",""),"INR",""),"$",""),",","")," ",""))</f>
        <v/>
      </c>
      <c r="E21" s="6">
        <f>IF(C21="","",IF(RIGHT(D21,2)="CR","Cr",IF(RIGHT(D21,2)="DR","Dr","")))</f>
        <v/>
      </c>
      <c r="F21" s="6">
        <f>IF(C21="","",IF(E21&lt;&gt;"",LEFT(D21,LEN(D21)-2),D21))</f>
        <v/>
      </c>
      <c r="G21" s="13">
        <f>IF(C21="","",IF(OR(IF(AND(LEFT(F21,1)="(",RIGHT(F21,1)=")"),MID(F21,2,LEN(F21)-2),F21)="",IF(AND(LEFT(F21,1)="(",RIGHT(F21,1)=")"),MID(F21,2,LEN(F21)-2),F21)="-"),0,IFERROR(VALUE(IF(AND(LEFT(F21,1)="(",RIGHT(F21,1)=")"),MID(F21,2,LEN(F21)-2),F21))*IF(AND(LEFT(F21,1)="(",RIGHT(F21,1)=")"),-1,1)*IF(E21="Cr",Setup!$B$6,1),"ERR")))</f>
        <v/>
      </c>
      <c r="H21" s="6">
        <f>IF(C21="","",IF(ISNUMBER(G21),1,0))</f>
        <v/>
      </c>
      <c r="I21" s="6">
        <f>IF(C21="","",IF(SUMPRODUCT(($C$12:$C$1511=C21)*1)&gt;1,1,0))</f>
        <v/>
      </c>
      <c r="J21" s="6">
        <f>IF(C21="","",SUMPRODUCT((Mapping!$F$5:$F$504=Setup!$B$4&amp;"||"&amp;C21)*ROW(Mapping!$F$5:$F$504)))</f>
        <v/>
      </c>
      <c r="K21" s="6">
        <f>IF(C21="","",IF(J21=0,"UNMAPPED",LOWER(INDEX(Mapping!$D$1:$D$504,J21))))</f>
        <v/>
      </c>
      <c r="L21" s="6">
        <f>IF(K21="mapped",TRIM(INDEX(Mapping!$C$1:$C$504,J21)),"")</f>
        <v/>
      </c>
      <c r="M21" s="6">
        <f>IF(C21="","",IF(SUMPRODUCT(($C$12:C21=C21)*1)=1,1,0))</f>
        <v/>
      </c>
      <c r="N21" s="6">
        <f>IF(AND(K21="UNMAPPED",M21=1),ROW(),"")</f>
        <v/>
      </c>
      <c r="O21" s="6">
        <f>IF(AND(I21=1,M21=1),ROW(),"")</f>
        <v/>
      </c>
      <c r="P21" s="6">
        <f>IF(AND(K21="ignored",M21=1),ROW(),"")</f>
        <v/>
      </c>
    </row>
    <row r="22">
      <c r="A22" s="8" t="inlineStr">
        <is>
          <t>Advertisement &amp; Dealer Meets</t>
        </is>
      </c>
      <c r="B22" s="8" t="inlineStr">
        <is>
          <t>1,68,00,000.00 Dr</t>
        </is>
      </c>
      <c r="C22" s="6">
        <f>TRIM(A22&amp;"")</f>
        <v/>
      </c>
      <c r="D22" s="6">
        <f>IF(C22="","",SUBSTITUTE(SUBSTITUTE(SUBSTITUTE(SUBSTITUTE(SUBSTITUTE(SUBSTITUTE(SUBSTITUTE(UPPER(TRIM(B22&amp;"")),"₹",""),"RS.",""),"RS",""),"INR",""),"$",""),",","")," ",""))</f>
        <v/>
      </c>
      <c r="E22" s="6">
        <f>IF(C22="","",IF(RIGHT(D22,2)="CR","Cr",IF(RIGHT(D22,2)="DR","Dr","")))</f>
        <v/>
      </c>
      <c r="F22" s="6">
        <f>IF(C22="","",IF(E22&lt;&gt;"",LEFT(D22,LEN(D22)-2),D22))</f>
        <v/>
      </c>
      <c r="G22" s="13">
        <f>IF(C22="","",IF(OR(IF(AND(LEFT(F22,1)="(",RIGHT(F22,1)=")"),MID(F22,2,LEN(F22)-2),F22)="",IF(AND(LEFT(F22,1)="(",RIGHT(F22,1)=")"),MID(F22,2,LEN(F22)-2),F22)="-"),0,IFERROR(VALUE(IF(AND(LEFT(F22,1)="(",RIGHT(F22,1)=")"),MID(F22,2,LEN(F22)-2),F22))*IF(AND(LEFT(F22,1)="(",RIGHT(F22,1)=")"),-1,1)*IF(E22="Cr",Setup!$B$6,1),"ERR")))</f>
        <v/>
      </c>
      <c r="H22" s="6">
        <f>IF(C22="","",IF(ISNUMBER(G22),1,0))</f>
        <v/>
      </c>
      <c r="I22" s="6">
        <f>IF(C22="","",IF(SUMPRODUCT(($C$12:$C$1511=C22)*1)&gt;1,1,0))</f>
        <v/>
      </c>
      <c r="J22" s="6">
        <f>IF(C22="","",SUMPRODUCT((Mapping!$F$5:$F$504=Setup!$B$4&amp;"||"&amp;C22)*ROW(Mapping!$F$5:$F$504)))</f>
        <v/>
      </c>
      <c r="K22" s="6">
        <f>IF(C22="","",IF(J22=0,"UNMAPPED",LOWER(INDEX(Mapping!$D$1:$D$504,J22))))</f>
        <v/>
      </c>
      <c r="L22" s="6">
        <f>IF(K22="mapped",TRIM(INDEX(Mapping!$C$1:$C$504,J22)),"")</f>
        <v/>
      </c>
      <c r="M22" s="6">
        <f>IF(C22="","",IF(SUMPRODUCT(($C$12:C22=C22)*1)=1,1,0))</f>
        <v/>
      </c>
      <c r="N22" s="6">
        <f>IF(AND(K22="UNMAPPED",M22=1),ROW(),"")</f>
        <v/>
      </c>
      <c r="O22" s="6">
        <f>IF(AND(I22=1,M22=1),ROW(),"")</f>
        <v/>
      </c>
      <c r="P22" s="6">
        <f>IF(AND(K22="ignored",M22=1),ROW(),"")</f>
        <v/>
      </c>
    </row>
    <row r="23">
      <c r="A23" s="8" t="inlineStr">
        <is>
          <t>Freight Outward</t>
        </is>
      </c>
      <c r="B23" s="8" t="inlineStr">
        <is>
          <t>1,09,00,000.00 Dr</t>
        </is>
      </c>
      <c r="C23" s="6">
        <f>TRIM(A23&amp;"")</f>
        <v/>
      </c>
      <c r="D23" s="6">
        <f>IF(C23="","",SUBSTITUTE(SUBSTITUTE(SUBSTITUTE(SUBSTITUTE(SUBSTITUTE(SUBSTITUTE(SUBSTITUTE(UPPER(TRIM(B23&amp;"")),"₹",""),"RS.",""),"RS",""),"INR",""),"$",""),",","")," ",""))</f>
        <v/>
      </c>
      <c r="E23" s="6">
        <f>IF(C23="","",IF(RIGHT(D23,2)="CR","Cr",IF(RIGHT(D23,2)="DR","Dr","")))</f>
        <v/>
      </c>
      <c r="F23" s="6">
        <f>IF(C23="","",IF(E23&lt;&gt;"",LEFT(D23,LEN(D23)-2),D23))</f>
        <v/>
      </c>
      <c r="G23" s="13">
        <f>IF(C23="","",IF(OR(IF(AND(LEFT(F23,1)="(",RIGHT(F23,1)=")"),MID(F23,2,LEN(F23)-2),F23)="",IF(AND(LEFT(F23,1)="(",RIGHT(F23,1)=")"),MID(F23,2,LEN(F23)-2),F23)="-"),0,IFERROR(VALUE(IF(AND(LEFT(F23,1)="(",RIGHT(F23,1)=")"),MID(F23,2,LEN(F23)-2),F23))*IF(AND(LEFT(F23,1)="(",RIGHT(F23,1)=")"),-1,1)*IF(E23="Cr",Setup!$B$6,1),"ERR")))</f>
        <v/>
      </c>
      <c r="H23" s="6">
        <f>IF(C23="","",IF(ISNUMBER(G23),1,0))</f>
        <v/>
      </c>
      <c r="I23" s="6">
        <f>IF(C23="","",IF(SUMPRODUCT(($C$12:$C$1511=C23)*1)&gt;1,1,0))</f>
        <v/>
      </c>
      <c r="J23" s="6">
        <f>IF(C23="","",SUMPRODUCT((Mapping!$F$5:$F$504=Setup!$B$4&amp;"||"&amp;C23)*ROW(Mapping!$F$5:$F$504)))</f>
        <v/>
      </c>
      <c r="K23" s="6">
        <f>IF(C23="","",IF(J23=0,"UNMAPPED",LOWER(INDEX(Mapping!$D$1:$D$504,J23))))</f>
        <v/>
      </c>
      <c r="L23" s="6">
        <f>IF(K23="mapped",TRIM(INDEX(Mapping!$C$1:$C$504,J23)),"")</f>
        <v/>
      </c>
      <c r="M23" s="6">
        <f>IF(C23="","",IF(SUMPRODUCT(($C$12:C23=C23)*1)=1,1,0))</f>
        <v/>
      </c>
      <c r="N23" s="6">
        <f>IF(AND(K23="UNMAPPED",M23=1),ROW(),"")</f>
        <v/>
      </c>
      <c r="O23" s="6">
        <f>IF(AND(I23=1,M23=1),ROW(),"")</f>
        <v/>
      </c>
      <c r="P23" s="6">
        <f>IF(AND(K23="ignored",M23=1),ROW(),"")</f>
        <v/>
      </c>
    </row>
    <row r="24">
      <c r="A24" s="8" t="inlineStr">
        <is>
          <t>Rent - Factory Land (related party)</t>
        </is>
      </c>
      <c r="B24" s="8" t="inlineStr">
        <is>
          <t>54,00,000.00 Dr</t>
        </is>
      </c>
      <c r="C24" s="6">
        <f>TRIM(A24&amp;"")</f>
        <v/>
      </c>
      <c r="D24" s="6">
        <f>IF(C24="","",SUBSTITUTE(SUBSTITUTE(SUBSTITUTE(SUBSTITUTE(SUBSTITUTE(SUBSTITUTE(SUBSTITUTE(UPPER(TRIM(B24&amp;"")),"₹",""),"RS.",""),"RS",""),"INR",""),"$",""),",","")," ",""))</f>
        <v/>
      </c>
      <c r="E24" s="6">
        <f>IF(C24="","",IF(RIGHT(D24,2)="CR","Cr",IF(RIGHT(D24,2)="DR","Dr","")))</f>
        <v/>
      </c>
      <c r="F24" s="6">
        <f>IF(C24="","",IF(E24&lt;&gt;"",LEFT(D24,LEN(D24)-2),D24))</f>
        <v/>
      </c>
      <c r="G24" s="13">
        <f>IF(C24="","",IF(OR(IF(AND(LEFT(F24,1)="(",RIGHT(F24,1)=")"),MID(F24,2,LEN(F24)-2),F24)="",IF(AND(LEFT(F24,1)="(",RIGHT(F24,1)=")"),MID(F24,2,LEN(F24)-2),F24)="-"),0,IFERROR(VALUE(IF(AND(LEFT(F24,1)="(",RIGHT(F24,1)=")"),MID(F24,2,LEN(F24)-2),F24))*IF(AND(LEFT(F24,1)="(",RIGHT(F24,1)=")"),-1,1)*IF(E24="Cr",Setup!$B$6,1),"ERR")))</f>
        <v/>
      </c>
      <c r="H24" s="6">
        <f>IF(C24="","",IF(ISNUMBER(G24),1,0))</f>
        <v/>
      </c>
      <c r="I24" s="6">
        <f>IF(C24="","",IF(SUMPRODUCT(($C$12:$C$1511=C24)*1)&gt;1,1,0))</f>
        <v/>
      </c>
      <c r="J24" s="6">
        <f>IF(C24="","",SUMPRODUCT((Mapping!$F$5:$F$504=Setup!$B$4&amp;"||"&amp;C24)*ROW(Mapping!$F$5:$F$504)))</f>
        <v/>
      </c>
      <c r="K24" s="6">
        <f>IF(C24="","",IF(J24=0,"UNMAPPED",LOWER(INDEX(Mapping!$D$1:$D$504,J24))))</f>
        <v/>
      </c>
      <c r="L24" s="6">
        <f>IF(K24="mapped",TRIM(INDEX(Mapping!$C$1:$C$504,J24)),"")</f>
        <v/>
      </c>
      <c r="M24" s="6">
        <f>IF(C24="","",IF(SUMPRODUCT(($C$12:C24=C24)*1)=1,1,0))</f>
        <v/>
      </c>
      <c r="N24" s="6">
        <f>IF(AND(K24="UNMAPPED",M24=1),ROW(),"")</f>
        <v/>
      </c>
      <c r="O24" s="6">
        <f>IF(AND(I24=1,M24=1),ROW(),"")</f>
        <v/>
      </c>
      <c r="P24" s="6">
        <f>IF(AND(K24="ignored",M24=1),ROW(),"")</f>
        <v/>
      </c>
    </row>
    <row r="25">
      <c r="A25" s="8" t="inlineStr">
        <is>
          <t>Electricity (TNPDCL) &amp; Maintenance</t>
        </is>
      </c>
      <c r="B25" s="8" t="inlineStr">
        <is>
          <t>24,00,000.00 Dr</t>
        </is>
      </c>
      <c r="C25" s="6">
        <f>TRIM(A25&amp;"")</f>
        <v/>
      </c>
      <c r="D25" s="6">
        <f>IF(C25="","",SUBSTITUTE(SUBSTITUTE(SUBSTITUTE(SUBSTITUTE(SUBSTITUTE(SUBSTITUTE(SUBSTITUTE(UPPER(TRIM(B25&amp;"")),"₹",""),"RS.",""),"RS",""),"INR",""),"$",""),",","")," ",""))</f>
        <v/>
      </c>
      <c r="E25" s="6">
        <f>IF(C25="","",IF(RIGHT(D25,2)="CR","Cr",IF(RIGHT(D25,2)="DR","Dr","")))</f>
        <v/>
      </c>
      <c r="F25" s="6">
        <f>IF(C25="","",IF(E25&lt;&gt;"",LEFT(D25,LEN(D25)-2),D25))</f>
        <v/>
      </c>
      <c r="G25" s="13">
        <f>IF(C25="","",IF(OR(IF(AND(LEFT(F25,1)="(",RIGHT(F25,1)=")"),MID(F25,2,LEN(F25)-2),F25)="",IF(AND(LEFT(F25,1)="(",RIGHT(F25,1)=")"),MID(F25,2,LEN(F25)-2),F25)="-"),0,IFERROR(VALUE(IF(AND(LEFT(F25,1)="(",RIGHT(F25,1)=")"),MID(F25,2,LEN(F25)-2),F25))*IF(AND(LEFT(F25,1)="(",RIGHT(F25,1)=")"),-1,1)*IF(E25="Cr",Setup!$B$6,1),"ERR")))</f>
        <v/>
      </c>
      <c r="H25" s="6">
        <f>IF(C25="","",IF(ISNUMBER(G25),1,0))</f>
        <v/>
      </c>
      <c r="I25" s="6">
        <f>IF(C25="","",IF(SUMPRODUCT(($C$12:$C$1511=C25)*1)&gt;1,1,0))</f>
        <v/>
      </c>
      <c r="J25" s="6">
        <f>IF(C25="","",SUMPRODUCT((Mapping!$F$5:$F$504=Setup!$B$4&amp;"||"&amp;C25)*ROW(Mapping!$F$5:$F$504)))</f>
        <v/>
      </c>
      <c r="K25" s="6">
        <f>IF(C25="","",IF(J25=0,"UNMAPPED",LOWER(INDEX(Mapping!$D$1:$D$504,J25))))</f>
        <v/>
      </c>
      <c r="L25" s="6">
        <f>IF(K25="mapped",TRIM(INDEX(Mapping!$C$1:$C$504,J25)),"")</f>
        <v/>
      </c>
      <c r="M25" s="6">
        <f>IF(C25="","",IF(SUMPRODUCT(($C$12:C25=C25)*1)=1,1,0))</f>
        <v/>
      </c>
      <c r="N25" s="6">
        <f>IF(AND(K25="UNMAPPED",M25=1),ROW(),"")</f>
        <v/>
      </c>
      <c r="O25" s="6">
        <f>IF(AND(I25=1,M25=1),ROW(),"")</f>
        <v/>
      </c>
      <c r="P25" s="6">
        <f>IF(AND(K25="ignored",M25=1),ROW(),"")</f>
        <v/>
      </c>
    </row>
    <row r="26">
      <c r="A26" s="8" t="inlineStr">
        <is>
          <t>Professional Fees, Software &amp; Admin</t>
        </is>
      </c>
      <c r="B26" s="8" t="inlineStr">
        <is>
          <t>46,00,000.00 Dr</t>
        </is>
      </c>
      <c r="C26" s="6">
        <f>TRIM(A26&amp;"")</f>
        <v/>
      </c>
      <c r="D26" s="6">
        <f>IF(C26="","",SUBSTITUTE(SUBSTITUTE(SUBSTITUTE(SUBSTITUTE(SUBSTITUTE(SUBSTITUTE(SUBSTITUTE(UPPER(TRIM(B26&amp;"")),"₹",""),"RS.",""),"RS",""),"INR",""),"$",""),",","")," ",""))</f>
        <v/>
      </c>
      <c r="E26" s="6">
        <f>IF(C26="","",IF(RIGHT(D26,2)="CR","Cr",IF(RIGHT(D26,2)="DR","Dr","")))</f>
        <v/>
      </c>
      <c r="F26" s="6">
        <f>IF(C26="","",IF(E26&lt;&gt;"",LEFT(D26,LEN(D26)-2),D26))</f>
        <v/>
      </c>
      <c r="G26" s="13">
        <f>IF(C26="","",IF(OR(IF(AND(LEFT(F26,1)="(",RIGHT(F26,1)=")"),MID(F26,2,LEN(F26)-2),F26)="",IF(AND(LEFT(F26,1)="(",RIGHT(F26,1)=")"),MID(F26,2,LEN(F26)-2),F26)="-"),0,IFERROR(VALUE(IF(AND(LEFT(F26,1)="(",RIGHT(F26,1)=")"),MID(F26,2,LEN(F26)-2),F26))*IF(AND(LEFT(F26,1)="(",RIGHT(F26,1)=")"),-1,1)*IF(E26="Cr",Setup!$B$6,1),"ERR")))</f>
        <v/>
      </c>
      <c r="H26" s="6">
        <f>IF(C26="","",IF(ISNUMBER(G26),1,0))</f>
        <v/>
      </c>
      <c r="I26" s="6">
        <f>IF(C26="","",IF(SUMPRODUCT(($C$12:$C$1511=C26)*1)&gt;1,1,0))</f>
        <v/>
      </c>
      <c r="J26" s="6">
        <f>IF(C26="","",SUMPRODUCT((Mapping!$F$5:$F$504=Setup!$B$4&amp;"||"&amp;C26)*ROW(Mapping!$F$5:$F$504)))</f>
        <v/>
      </c>
      <c r="K26" s="6">
        <f>IF(C26="","",IF(J26=0,"UNMAPPED",LOWER(INDEX(Mapping!$D$1:$D$504,J26))))</f>
        <v/>
      </c>
      <c r="L26" s="6">
        <f>IF(K26="mapped",TRIM(INDEX(Mapping!$C$1:$C$504,J26)),"")</f>
        <v/>
      </c>
      <c r="M26" s="6">
        <f>IF(C26="","",IF(SUMPRODUCT(($C$12:C26=C26)*1)=1,1,0))</f>
        <v/>
      </c>
      <c r="N26" s="6">
        <f>IF(AND(K26="UNMAPPED",M26=1),ROW(),"")</f>
        <v/>
      </c>
      <c r="O26" s="6">
        <f>IF(AND(I26=1,M26=1),ROW(),"")</f>
        <v/>
      </c>
      <c r="P26" s="6">
        <f>IF(AND(K26="ignored",M26=1),ROW(),"")</f>
        <v/>
      </c>
    </row>
    <row r="27">
      <c r="A27" s="8" t="inlineStr">
        <is>
          <t>Interest on Cash Credit</t>
        </is>
      </c>
      <c r="B27" s="8" t="inlineStr">
        <is>
          <t>30,50,000.00 Dr</t>
        </is>
      </c>
      <c r="C27" s="6">
        <f>TRIM(A27&amp;"")</f>
        <v/>
      </c>
      <c r="D27" s="6">
        <f>IF(C27="","",SUBSTITUTE(SUBSTITUTE(SUBSTITUTE(SUBSTITUTE(SUBSTITUTE(SUBSTITUTE(SUBSTITUTE(UPPER(TRIM(B27&amp;"")),"₹",""),"RS.",""),"RS",""),"INR",""),"$",""),",","")," ",""))</f>
        <v/>
      </c>
      <c r="E27" s="6">
        <f>IF(C27="","",IF(RIGHT(D27,2)="CR","Cr",IF(RIGHT(D27,2)="DR","Dr","")))</f>
        <v/>
      </c>
      <c r="F27" s="6">
        <f>IF(C27="","",IF(E27&lt;&gt;"",LEFT(D27,LEN(D27)-2),D27))</f>
        <v/>
      </c>
      <c r="G27" s="13">
        <f>IF(C27="","",IF(OR(IF(AND(LEFT(F27,1)="(",RIGHT(F27,1)=")"),MID(F27,2,LEN(F27)-2),F27)="",IF(AND(LEFT(F27,1)="(",RIGHT(F27,1)=")"),MID(F27,2,LEN(F27)-2),F27)="-"),0,IFERROR(VALUE(IF(AND(LEFT(F27,1)="(",RIGHT(F27,1)=")"),MID(F27,2,LEN(F27)-2),F27))*IF(AND(LEFT(F27,1)="(",RIGHT(F27,1)=")"),-1,1)*IF(E27="Cr",Setup!$B$6,1),"ERR")))</f>
        <v/>
      </c>
      <c r="H27" s="6">
        <f>IF(C27="","",IF(ISNUMBER(G27),1,0))</f>
        <v/>
      </c>
      <c r="I27" s="6">
        <f>IF(C27="","",IF(SUMPRODUCT(($C$12:$C$1511=C27)*1)&gt;1,1,0))</f>
        <v/>
      </c>
      <c r="J27" s="6">
        <f>IF(C27="","",SUMPRODUCT((Mapping!$F$5:$F$504=Setup!$B$4&amp;"||"&amp;C27)*ROW(Mapping!$F$5:$F$504)))</f>
        <v/>
      </c>
      <c r="K27" s="6">
        <f>IF(C27="","",IF(J27=0,"UNMAPPED",LOWER(INDEX(Mapping!$D$1:$D$504,J27))))</f>
        <v/>
      </c>
      <c r="L27" s="6">
        <f>IF(K27="mapped",TRIM(INDEX(Mapping!$C$1:$C$504,J27)),"")</f>
        <v/>
      </c>
      <c r="M27" s="6">
        <f>IF(C27="","",IF(SUMPRODUCT(($C$12:C27=C27)*1)=1,1,0))</f>
        <v/>
      </c>
      <c r="N27" s="6">
        <f>IF(AND(K27="UNMAPPED",M27=1),ROW(),"")</f>
        <v/>
      </c>
      <c r="O27" s="6">
        <f>IF(AND(I27=1,M27=1),ROW(),"")</f>
        <v/>
      </c>
      <c r="P27" s="6">
        <f>IF(AND(K27="ignored",M27=1),ROW(),"")</f>
        <v/>
      </c>
    </row>
    <row r="28">
      <c r="A28" s="8" t="inlineStr">
        <is>
          <t>Interest on TIIC Term Loan</t>
        </is>
      </c>
      <c r="B28" s="8" t="inlineStr">
        <is>
          <t>27,10,000.00 Dr</t>
        </is>
      </c>
      <c r="C28" s="6">
        <f>TRIM(A28&amp;"")</f>
        <v/>
      </c>
      <c r="D28" s="6">
        <f>IF(C28="","",SUBSTITUTE(SUBSTITUTE(SUBSTITUTE(SUBSTITUTE(SUBSTITUTE(SUBSTITUTE(SUBSTITUTE(UPPER(TRIM(B28&amp;"")),"₹",""),"RS.",""),"RS",""),"INR",""),"$",""),",","")," ",""))</f>
        <v/>
      </c>
      <c r="E28" s="6">
        <f>IF(C28="","",IF(RIGHT(D28,2)="CR","Cr",IF(RIGHT(D28,2)="DR","Dr","")))</f>
        <v/>
      </c>
      <c r="F28" s="6">
        <f>IF(C28="","",IF(E28&lt;&gt;"",LEFT(D28,LEN(D28)-2),D28))</f>
        <v/>
      </c>
      <c r="G28" s="13">
        <f>IF(C28="","",IF(OR(IF(AND(LEFT(F28,1)="(",RIGHT(F28,1)=")"),MID(F28,2,LEN(F28)-2),F28)="",IF(AND(LEFT(F28,1)="(",RIGHT(F28,1)=")"),MID(F28,2,LEN(F28)-2),F28)="-"),0,IFERROR(VALUE(IF(AND(LEFT(F28,1)="(",RIGHT(F28,1)=")"),MID(F28,2,LEN(F28)-2),F28))*IF(AND(LEFT(F28,1)="(",RIGHT(F28,1)=")"),-1,1)*IF(E28="Cr",Setup!$B$6,1),"ERR")))</f>
        <v/>
      </c>
      <c r="H28" s="6">
        <f>IF(C28="","",IF(ISNUMBER(G28),1,0))</f>
        <v/>
      </c>
      <c r="I28" s="6">
        <f>IF(C28="","",IF(SUMPRODUCT(($C$12:$C$1511=C28)*1)&gt;1,1,0))</f>
        <v/>
      </c>
      <c r="J28" s="6">
        <f>IF(C28="","",SUMPRODUCT((Mapping!$F$5:$F$504=Setup!$B$4&amp;"||"&amp;C28)*ROW(Mapping!$F$5:$F$504)))</f>
        <v/>
      </c>
      <c r="K28" s="6">
        <f>IF(C28="","",IF(J28=0,"UNMAPPED",LOWER(INDEX(Mapping!$D$1:$D$504,J28))))</f>
        <v/>
      </c>
      <c r="L28" s="6">
        <f>IF(K28="mapped",TRIM(INDEX(Mapping!$C$1:$C$504,J28)),"")</f>
        <v/>
      </c>
      <c r="M28" s="6">
        <f>IF(C28="","",IF(SUMPRODUCT(($C$12:C28=C28)*1)=1,1,0))</f>
        <v/>
      </c>
      <c r="N28" s="6">
        <f>IF(AND(K28="UNMAPPED",M28=1),ROW(),"")</f>
        <v/>
      </c>
      <c r="O28" s="6">
        <f>IF(AND(I28=1,M28=1),ROW(),"")</f>
        <v/>
      </c>
      <c r="P28" s="6">
        <f>IF(AND(K28="ignored",M28=1),ROW(),"")</f>
        <v/>
      </c>
    </row>
    <row r="29">
      <c r="A29" s="8" t="inlineStr">
        <is>
          <t>Depreciation</t>
        </is>
      </c>
      <c r="B29" s="8" t="inlineStr">
        <is>
          <t>1,02,00,000.00 Dr</t>
        </is>
      </c>
      <c r="C29" s="6">
        <f>TRIM(A29&amp;"")</f>
        <v/>
      </c>
      <c r="D29" s="6">
        <f>IF(C29="","",SUBSTITUTE(SUBSTITUTE(SUBSTITUTE(SUBSTITUTE(SUBSTITUTE(SUBSTITUTE(SUBSTITUTE(UPPER(TRIM(B29&amp;"")),"₹",""),"RS.",""),"RS",""),"INR",""),"$",""),",","")," ",""))</f>
        <v/>
      </c>
      <c r="E29" s="6">
        <f>IF(C29="","",IF(RIGHT(D29,2)="CR","Cr",IF(RIGHT(D29,2)="DR","Dr","")))</f>
        <v/>
      </c>
      <c r="F29" s="6">
        <f>IF(C29="","",IF(E29&lt;&gt;"",LEFT(D29,LEN(D29)-2),D29))</f>
        <v/>
      </c>
      <c r="G29" s="13">
        <f>IF(C29="","",IF(OR(IF(AND(LEFT(F29,1)="(",RIGHT(F29,1)=")"),MID(F29,2,LEN(F29)-2),F29)="",IF(AND(LEFT(F29,1)="(",RIGHT(F29,1)=")"),MID(F29,2,LEN(F29)-2),F29)="-"),0,IFERROR(VALUE(IF(AND(LEFT(F29,1)="(",RIGHT(F29,1)=")"),MID(F29,2,LEN(F29)-2),F29))*IF(AND(LEFT(F29,1)="(",RIGHT(F29,1)=")"),-1,1)*IF(E29="Cr",Setup!$B$6,1),"ERR")))</f>
        <v/>
      </c>
      <c r="H29" s="6">
        <f>IF(C29="","",IF(ISNUMBER(G29),1,0))</f>
        <v/>
      </c>
      <c r="I29" s="6">
        <f>IF(C29="","",IF(SUMPRODUCT(($C$12:$C$1511=C29)*1)&gt;1,1,0))</f>
        <v/>
      </c>
      <c r="J29" s="6">
        <f>IF(C29="","",SUMPRODUCT((Mapping!$F$5:$F$504=Setup!$B$4&amp;"||"&amp;C29)*ROW(Mapping!$F$5:$F$504)))</f>
        <v/>
      </c>
      <c r="K29" s="6">
        <f>IF(C29="","",IF(J29=0,"UNMAPPED",LOWER(INDEX(Mapping!$D$1:$D$504,J29))))</f>
        <v/>
      </c>
      <c r="L29" s="6">
        <f>IF(K29="mapped",TRIM(INDEX(Mapping!$C$1:$C$504,J29)),"")</f>
        <v/>
      </c>
      <c r="M29" s="6">
        <f>IF(C29="","",IF(SUMPRODUCT(($C$12:C29=C29)*1)=1,1,0))</f>
        <v/>
      </c>
      <c r="N29" s="6">
        <f>IF(AND(K29="UNMAPPED",M29=1),ROW(),"")</f>
        <v/>
      </c>
      <c r="O29" s="6">
        <f>IF(AND(I29=1,M29=1),ROW(),"")</f>
        <v/>
      </c>
      <c r="P29" s="6">
        <f>IF(AND(K29="ignored",M29=1),ROW(),"")</f>
        <v/>
      </c>
    </row>
    <row r="30">
      <c r="A30" s="8" t="inlineStr">
        <is>
          <t>Output CGST</t>
        </is>
      </c>
      <c r="B30" s="8" t="inlineStr">
        <is>
          <t>2,36,00,000.00 Cr</t>
        </is>
      </c>
      <c r="C30" s="6">
        <f>TRIM(A30&amp;"")</f>
        <v/>
      </c>
      <c r="D30" s="6">
        <f>IF(C30="","",SUBSTITUTE(SUBSTITUTE(SUBSTITUTE(SUBSTITUTE(SUBSTITUTE(SUBSTITUTE(SUBSTITUTE(UPPER(TRIM(B30&amp;"")),"₹",""),"RS.",""),"RS",""),"INR",""),"$",""),",","")," ",""))</f>
        <v/>
      </c>
      <c r="E30" s="6">
        <f>IF(C30="","",IF(RIGHT(D30,2)="CR","Cr",IF(RIGHT(D30,2)="DR","Dr","")))</f>
        <v/>
      </c>
      <c r="F30" s="6">
        <f>IF(C30="","",IF(E30&lt;&gt;"",LEFT(D30,LEN(D30)-2),D30))</f>
        <v/>
      </c>
      <c r="G30" s="13">
        <f>IF(C30="","",IF(OR(IF(AND(LEFT(F30,1)="(",RIGHT(F30,1)=")"),MID(F30,2,LEN(F30)-2),F30)="",IF(AND(LEFT(F30,1)="(",RIGHT(F30,1)=")"),MID(F30,2,LEN(F30)-2),F30)="-"),0,IFERROR(VALUE(IF(AND(LEFT(F30,1)="(",RIGHT(F30,1)=")"),MID(F30,2,LEN(F30)-2),F30))*IF(AND(LEFT(F30,1)="(",RIGHT(F30,1)=")"),-1,1)*IF(E30="Cr",Setup!$B$6,1),"ERR")))</f>
        <v/>
      </c>
      <c r="H30" s="6">
        <f>IF(C30="","",IF(ISNUMBER(G30),1,0))</f>
        <v/>
      </c>
      <c r="I30" s="6">
        <f>IF(C30="","",IF(SUMPRODUCT(($C$12:$C$1511=C30)*1)&gt;1,1,0))</f>
        <v/>
      </c>
      <c r="J30" s="6">
        <f>IF(C30="","",SUMPRODUCT((Mapping!$F$5:$F$504=Setup!$B$4&amp;"||"&amp;C30)*ROW(Mapping!$F$5:$F$504)))</f>
        <v/>
      </c>
      <c r="K30" s="6">
        <f>IF(C30="","",IF(J30=0,"UNMAPPED",LOWER(INDEX(Mapping!$D$1:$D$504,J30))))</f>
        <v/>
      </c>
      <c r="L30" s="6">
        <f>IF(K30="mapped",TRIM(INDEX(Mapping!$C$1:$C$504,J30)),"")</f>
        <v/>
      </c>
      <c r="M30" s="6">
        <f>IF(C30="","",IF(SUMPRODUCT(($C$12:C30=C30)*1)=1,1,0))</f>
        <v/>
      </c>
      <c r="N30" s="6">
        <f>IF(AND(K30="UNMAPPED",M30=1),ROW(),"")</f>
        <v/>
      </c>
      <c r="O30" s="6">
        <f>IF(AND(I30=1,M30=1),ROW(),"")</f>
        <v/>
      </c>
      <c r="P30" s="6">
        <f>IF(AND(K30="ignored",M30=1),ROW(),"")</f>
        <v/>
      </c>
    </row>
    <row r="31">
      <c r="A31" s="8" t="inlineStr">
        <is>
          <t>Output SGST</t>
        </is>
      </c>
      <c r="B31" s="8" t="inlineStr">
        <is>
          <t>2,36,00,000.00 Cr</t>
        </is>
      </c>
      <c r="C31" s="6">
        <f>TRIM(A31&amp;"")</f>
        <v/>
      </c>
      <c r="D31" s="6">
        <f>IF(C31="","",SUBSTITUTE(SUBSTITUTE(SUBSTITUTE(SUBSTITUTE(SUBSTITUTE(SUBSTITUTE(SUBSTITUTE(UPPER(TRIM(B31&amp;"")),"₹",""),"RS.",""),"RS",""),"INR",""),"$",""),",","")," ",""))</f>
        <v/>
      </c>
      <c r="E31" s="6">
        <f>IF(C31="","",IF(RIGHT(D31,2)="CR","Cr",IF(RIGHT(D31,2)="DR","Dr","")))</f>
        <v/>
      </c>
      <c r="F31" s="6">
        <f>IF(C31="","",IF(E31&lt;&gt;"",LEFT(D31,LEN(D31)-2),D31))</f>
        <v/>
      </c>
      <c r="G31" s="13">
        <f>IF(C31="","",IF(OR(IF(AND(LEFT(F31,1)="(",RIGHT(F31,1)=")"),MID(F31,2,LEN(F31)-2),F31)="",IF(AND(LEFT(F31,1)="(",RIGHT(F31,1)=")"),MID(F31,2,LEN(F31)-2),F31)="-"),0,IFERROR(VALUE(IF(AND(LEFT(F31,1)="(",RIGHT(F31,1)=")"),MID(F31,2,LEN(F31)-2),F31))*IF(AND(LEFT(F31,1)="(",RIGHT(F31,1)=")"),-1,1)*IF(E31="Cr",Setup!$B$6,1),"ERR")))</f>
        <v/>
      </c>
      <c r="H31" s="6">
        <f>IF(C31="","",IF(ISNUMBER(G31),1,0))</f>
        <v/>
      </c>
      <c r="I31" s="6">
        <f>IF(C31="","",IF(SUMPRODUCT(($C$12:$C$1511=C31)*1)&gt;1,1,0))</f>
        <v/>
      </c>
      <c r="J31" s="6">
        <f>IF(C31="","",SUMPRODUCT((Mapping!$F$5:$F$504=Setup!$B$4&amp;"||"&amp;C31)*ROW(Mapping!$F$5:$F$504)))</f>
        <v/>
      </c>
      <c r="K31" s="6">
        <f>IF(C31="","",IF(J31=0,"UNMAPPED",LOWER(INDEX(Mapping!$D$1:$D$504,J31))))</f>
        <v/>
      </c>
      <c r="L31" s="6">
        <f>IF(K31="mapped",TRIM(INDEX(Mapping!$C$1:$C$504,J31)),"")</f>
        <v/>
      </c>
      <c r="M31" s="6">
        <f>IF(C31="","",IF(SUMPRODUCT(($C$12:C31=C31)*1)=1,1,0))</f>
        <v/>
      </c>
      <c r="N31" s="6">
        <f>IF(AND(K31="UNMAPPED",M31=1),ROW(),"")</f>
        <v/>
      </c>
      <c r="O31" s="6">
        <f>IF(AND(I31=1,M31=1),ROW(),"")</f>
        <v/>
      </c>
      <c r="P31" s="6">
        <f>IF(AND(K31="ignored",M31=1),ROW(),"")</f>
        <v/>
      </c>
    </row>
    <row r="32">
      <c r="A32" s="8" t="n"/>
      <c r="B32" s="8" t="n"/>
      <c r="C32" s="6">
        <f>TRIM(A32&amp;"")</f>
        <v/>
      </c>
      <c r="D32" s="6">
        <f>IF(C32="","",SUBSTITUTE(SUBSTITUTE(SUBSTITUTE(SUBSTITUTE(SUBSTITUTE(SUBSTITUTE(SUBSTITUTE(UPPER(TRIM(B32&amp;"")),"₹",""),"RS.",""),"RS",""),"INR",""),"$",""),",","")," ",""))</f>
        <v/>
      </c>
      <c r="E32" s="6">
        <f>IF(C32="","",IF(RIGHT(D32,2)="CR","Cr",IF(RIGHT(D32,2)="DR","Dr","")))</f>
        <v/>
      </c>
      <c r="F32" s="6">
        <f>IF(C32="","",IF(E32&lt;&gt;"",LEFT(D32,LEN(D32)-2),D32))</f>
        <v/>
      </c>
      <c r="G32" s="13">
        <f>IF(C32="","",IF(OR(IF(AND(LEFT(F32,1)="(",RIGHT(F32,1)=")"),MID(F32,2,LEN(F32)-2),F32)="",IF(AND(LEFT(F32,1)="(",RIGHT(F32,1)=")"),MID(F32,2,LEN(F32)-2),F32)="-"),0,IFERROR(VALUE(IF(AND(LEFT(F32,1)="(",RIGHT(F32,1)=")"),MID(F32,2,LEN(F32)-2),F32))*IF(AND(LEFT(F32,1)="(",RIGHT(F32,1)=")"),-1,1)*IF(E32="Cr",Setup!$B$6,1),"ERR")))</f>
        <v/>
      </c>
      <c r="H32" s="6">
        <f>IF(C32="","",IF(ISNUMBER(G32),1,0))</f>
        <v/>
      </c>
      <c r="I32" s="6">
        <f>IF(C32="","",IF(SUMPRODUCT(($C$12:$C$1511=C32)*1)&gt;1,1,0))</f>
        <v/>
      </c>
      <c r="J32" s="6">
        <f>IF(C32="","",SUMPRODUCT((Mapping!$F$5:$F$504=Setup!$B$4&amp;"||"&amp;C32)*ROW(Mapping!$F$5:$F$504)))</f>
        <v/>
      </c>
      <c r="K32" s="6">
        <f>IF(C32="","",IF(J32=0,"UNMAPPED",LOWER(INDEX(Mapping!$D$1:$D$504,J32))))</f>
        <v/>
      </c>
      <c r="L32" s="6">
        <f>IF(K32="mapped",TRIM(INDEX(Mapping!$C$1:$C$504,J32)),"")</f>
        <v/>
      </c>
      <c r="M32" s="6">
        <f>IF(C32="","",IF(SUMPRODUCT(($C$12:C32=C32)*1)=1,1,0))</f>
        <v/>
      </c>
      <c r="N32" s="6">
        <f>IF(AND(K32="UNMAPPED",M32=1),ROW(),"")</f>
        <v/>
      </c>
      <c r="O32" s="6">
        <f>IF(AND(I32=1,M32=1),ROW(),"")</f>
        <v/>
      </c>
      <c r="P32" s="6">
        <f>IF(AND(K32="ignored",M32=1),ROW(),"")</f>
        <v/>
      </c>
    </row>
    <row r="33">
      <c r="A33" s="8" t="n"/>
      <c r="B33" s="8" t="n"/>
      <c r="C33" s="6">
        <f>TRIM(A33&amp;"")</f>
        <v/>
      </c>
      <c r="D33" s="6">
        <f>IF(C33="","",SUBSTITUTE(SUBSTITUTE(SUBSTITUTE(SUBSTITUTE(SUBSTITUTE(SUBSTITUTE(SUBSTITUTE(UPPER(TRIM(B33&amp;"")),"₹",""),"RS.",""),"RS",""),"INR",""),"$",""),",","")," ",""))</f>
        <v/>
      </c>
      <c r="E33" s="6">
        <f>IF(C33="","",IF(RIGHT(D33,2)="CR","Cr",IF(RIGHT(D33,2)="DR","Dr","")))</f>
        <v/>
      </c>
      <c r="F33" s="6">
        <f>IF(C33="","",IF(E33&lt;&gt;"",LEFT(D33,LEN(D33)-2),D33))</f>
        <v/>
      </c>
      <c r="G33" s="13">
        <f>IF(C33="","",IF(OR(IF(AND(LEFT(F33,1)="(",RIGHT(F33,1)=")"),MID(F33,2,LEN(F33)-2),F33)="",IF(AND(LEFT(F33,1)="(",RIGHT(F33,1)=")"),MID(F33,2,LEN(F33)-2),F33)="-"),0,IFERROR(VALUE(IF(AND(LEFT(F33,1)="(",RIGHT(F33,1)=")"),MID(F33,2,LEN(F33)-2),F33))*IF(AND(LEFT(F33,1)="(",RIGHT(F33,1)=")"),-1,1)*IF(E33="Cr",Setup!$B$6,1),"ERR")))</f>
        <v/>
      </c>
      <c r="H33" s="6">
        <f>IF(C33="","",IF(ISNUMBER(G33),1,0))</f>
        <v/>
      </c>
      <c r="I33" s="6">
        <f>IF(C33="","",IF(SUMPRODUCT(($C$12:$C$1511=C33)*1)&gt;1,1,0))</f>
        <v/>
      </c>
      <c r="J33" s="6">
        <f>IF(C33="","",SUMPRODUCT((Mapping!$F$5:$F$504=Setup!$B$4&amp;"||"&amp;C33)*ROW(Mapping!$F$5:$F$504)))</f>
        <v/>
      </c>
      <c r="K33" s="6">
        <f>IF(C33="","",IF(J33=0,"UNMAPPED",LOWER(INDEX(Mapping!$D$1:$D$504,J33))))</f>
        <v/>
      </c>
      <c r="L33" s="6">
        <f>IF(K33="mapped",TRIM(INDEX(Mapping!$C$1:$C$504,J33)),"")</f>
        <v/>
      </c>
      <c r="M33" s="6">
        <f>IF(C33="","",IF(SUMPRODUCT(($C$12:C33=C33)*1)=1,1,0))</f>
        <v/>
      </c>
      <c r="N33" s="6">
        <f>IF(AND(K33="UNMAPPED",M33=1),ROW(),"")</f>
        <v/>
      </c>
      <c r="O33" s="6">
        <f>IF(AND(I33=1,M33=1),ROW(),"")</f>
        <v/>
      </c>
      <c r="P33" s="6">
        <f>IF(AND(K33="ignored",M33=1),ROW(),"")</f>
        <v/>
      </c>
    </row>
    <row r="34">
      <c r="A34" s="8" t="n"/>
      <c r="B34" s="8" t="n"/>
      <c r="C34" s="6">
        <f>TRIM(A34&amp;"")</f>
        <v/>
      </c>
      <c r="D34" s="6">
        <f>IF(C34="","",SUBSTITUTE(SUBSTITUTE(SUBSTITUTE(SUBSTITUTE(SUBSTITUTE(SUBSTITUTE(SUBSTITUTE(UPPER(TRIM(B34&amp;"")),"₹",""),"RS.",""),"RS",""),"INR",""),"$",""),",","")," ",""))</f>
        <v/>
      </c>
      <c r="E34" s="6">
        <f>IF(C34="","",IF(RIGHT(D34,2)="CR","Cr",IF(RIGHT(D34,2)="DR","Dr","")))</f>
        <v/>
      </c>
      <c r="F34" s="6">
        <f>IF(C34="","",IF(E34&lt;&gt;"",LEFT(D34,LEN(D34)-2),D34))</f>
        <v/>
      </c>
      <c r="G34" s="13">
        <f>IF(C34="","",IF(OR(IF(AND(LEFT(F34,1)="(",RIGHT(F34,1)=")"),MID(F34,2,LEN(F34)-2),F34)="",IF(AND(LEFT(F34,1)="(",RIGHT(F34,1)=")"),MID(F34,2,LEN(F34)-2),F34)="-"),0,IFERROR(VALUE(IF(AND(LEFT(F34,1)="(",RIGHT(F34,1)=")"),MID(F34,2,LEN(F34)-2),F34))*IF(AND(LEFT(F34,1)="(",RIGHT(F34,1)=")"),-1,1)*IF(E34="Cr",Setup!$B$6,1),"ERR")))</f>
        <v/>
      </c>
      <c r="H34" s="6">
        <f>IF(C34="","",IF(ISNUMBER(G34),1,0))</f>
        <v/>
      </c>
      <c r="I34" s="6">
        <f>IF(C34="","",IF(SUMPRODUCT(($C$12:$C$1511=C34)*1)&gt;1,1,0))</f>
        <v/>
      </c>
      <c r="J34" s="6">
        <f>IF(C34="","",SUMPRODUCT((Mapping!$F$5:$F$504=Setup!$B$4&amp;"||"&amp;C34)*ROW(Mapping!$F$5:$F$504)))</f>
        <v/>
      </c>
      <c r="K34" s="6">
        <f>IF(C34="","",IF(J34=0,"UNMAPPED",LOWER(INDEX(Mapping!$D$1:$D$504,J34))))</f>
        <v/>
      </c>
      <c r="L34" s="6">
        <f>IF(K34="mapped",TRIM(INDEX(Mapping!$C$1:$C$504,J34)),"")</f>
        <v/>
      </c>
      <c r="M34" s="6">
        <f>IF(C34="","",IF(SUMPRODUCT(($C$12:C34=C34)*1)=1,1,0))</f>
        <v/>
      </c>
      <c r="N34" s="6">
        <f>IF(AND(K34="UNMAPPED",M34=1),ROW(),"")</f>
        <v/>
      </c>
      <c r="O34" s="6">
        <f>IF(AND(I34=1,M34=1),ROW(),"")</f>
        <v/>
      </c>
      <c r="P34" s="6">
        <f>IF(AND(K34="ignored",M34=1),ROW(),"")</f>
        <v/>
      </c>
    </row>
    <row r="35">
      <c r="A35" s="8" t="n"/>
      <c r="B35" s="8" t="n"/>
      <c r="C35" s="6">
        <f>TRIM(A35&amp;"")</f>
        <v/>
      </c>
      <c r="D35" s="6">
        <f>IF(C35="","",SUBSTITUTE(SUBSTITUTE(SUBSTITUTE(SUBSTITUTE(SUBSTITUTE(SUBSTITUTE(SUBSTITUTE(UPPER(TRIM(B35&amp;"")),"₹",""),"RS.",""),"RS",""),"INR",""),"$",""),",","")," ",""))</f>
        <v/>
      </c>
      <c r="E35" s="6">
        <f>IF(C35="","",IF(RIGHT(D35,2)="CR","Cr",IF(RIGHT(D35,2)="DR","Dr","")))</f>
        <v/>
      </c>
      <c r="F35" s="6">
        <f>IF(C35="","",IF(E35&lt;&gt;"",LEFT(D35,LEN(D35)-2),D35))</f>
        <v/>
      </c>
      <c r="G35" s="13">
        <f>IF(C35="","",IF(OR(IF(AND(LEFT(F35,1)="(",RIGHT(F35,1)=")"),MID(F35,2,LEN(F35)-2),F35)="",IF(AND(LEFT(F35,1)="(",RIGHT(F35,1)=")"),MID(F35,2,LEN(F35)-2),F35)="-"),0,IFERROR(VALUE(IF(AND(LEFT(F35,1)="(",RIGHT(F35,1)=")"),MID(F35,2,LEN(F35)-2),F35))*IF(AND(LEFT(F35,1)="(",RIGHT(F35,1)=")"),-1,1)*IF(E35="Cr",Setup!$B$6,1),"ERR")))</f>
        <v/>
      </c>
      <c r="H35" s="6">
        <f>IF(C35="","",IF(ISNUMBER(G35),1,0))</f>
        <v/>
      </c>
      <c r="I35" s="6">
        <f>IF(C35="","",IF(SUMPRODUCT(($C$12:$C$1511=C35)*1)&gt;1,1,0))</f>
        <v/>
      </c>
      <c r="J35" s="6">
        <f>IF(C35="","",SUMPRODUCT((Mapping!$F$5:$F$504=Setup!$B$4&amp;"||"&amp;C35)*ROW(Mapping!$F$5:$F$504)))</f>
        <v/>
      </c>
      <c r="K35" s="6">
        <f>IF(C35="","",IF(J35=0,"UNMAPPED",LOWER(INDEX(Mapping!$D$1:$D$504,J35))))</f>
        <v/>
      </c>
      <c r="L35" s="6">
        <f>IF(K35="mapped",TRIM(INDEX(Mapping!$C$1:$C$504,J35)),"")</f>
        <v/>
      </c>
      <c r="M35" s="6">
        <f>IF(C35="","",IF(SUMPRODUCT(($C$12:C35=C35)*1)=1,1,0))</f>
        <v/>
      </c>
      <c r="N35" s="6">
        <f>IF(AND(K35="UNMAPPED",M35=1),ROW(),"")</f>
        <v/>
      </c>
      <c r="O35" s="6">
        <f>IF(AND(I35=1,M35=1),ROW(),"")</f>
        <v/>
      </c>
      <c r="P35" s="6">
        <f>IF(AND(K35="ignored",M35=1),ROW(),"")</f>
        <v/>
      </c>
    </row>
    <row r="36">
      <c r="A36" s="8" t="n"/>
      <c r="B36" s="8" t="n"/>
      <c r="C36" s="6">
        <f>TRIM(A36&amp;"")</f>
        <v/>
      </c>
      <c r="D36" s="6">
        <f>IF(C36="","",SUBSTITUTE(SUBSTITUTE(SUBSTITUTE(SUBSTITUTE(SUBSTITUTE(SUBSTITUTE(SUBSTITUTE(UPPER(TRIM(B36&amp;"")),"₹",""),"RS.",""),"RS",""),"INR",""),"$",""),",","")," ",""))</f>
        <v/>
      </c>
      <c r="E36" s="6">
        <f>IF(C36="","",IF(RIGHT(D36,2)="CR","Cr",IF(RIGHT(D36,2)="DR","Dr","")))</f>
        <v/>
      </c>
      <c r="F36" s="6">
        <f>IF(C36="","",IF(E36&lt;&gt;"",LEFT(D36,LEN(D36)-2),D36))</f>
        <v/>
      </c>
      <c r="G36" s="13">
        <f>IF(C36="","",IF(OR(IF(AND(LEFT(F36,1)="(",RIGHT(F36,1)=")"),MID(F36,2,LEN(F36)-2),F36)="",IF(AND(LEFT(F36,1)="(",RIGHT(F36,1)=")"),MID(F36,2,LEN(F36)-2),F36)="-"),0,IFERROR(VALUE(IF(AND(LEFT(F36,1)="(",RIGHT(F36,1)=")"),MID(F36,2,LEN(F36)-2),F36))*IF(AND(LEFT(F36,1)="(",RIGHT(F36,1)=")"),-1,1)*IF(E36="Cr",Setup!$B$6,1),"ERR")))</f>
        <v/>
      </c>
      <c r="H36" s="6">
        <f>IF(C36="","",IF(ISNUMBER(G36),1,0))</f>
        <v/>
      </c>
      <c r="I36" s="6">
        <f>IF(C36="","",IF(SUMPRODUCT(($C$12:$C$1511=C36)*1)&gt;1,1,0))</f>
        <v/>
      </c>
      <c r="J36" s="6">
        <f>IF(C36="","",SUMPRODUCT((Mapping!$F$5:$F$504=Setup!$B$4&amp;"||"&amp;C36)*ROW(Mapping!$F$5:$F$504)))</f>
        <v/>
      </c>
      <c r="K36" s="6">
        <f>IF(C36="","",IF(J36=0,"UNMAPPED",LOWER(INDEX(Mapping!$D$1:$D$504,J36))))</f>
        <v/>
      </c>
      <c r="L36" s="6">
        <f>IF(K36="mapped",TRIM(INDEX(Mapping!$C$1:$C$504,J36)),"")</f>
        <v/>
      </c>
      <c r="M36" s="6">
        <f>IF(C36="","",IF(SUMPRODUCT(($C$12:C36=C36)*1)=1,1,0))</f>
        <v/>
      </c>
      <c r="N36" s="6">
        <f>IF(AND(K36="UNMAPPED",M36=1),ROW(),"")</f>
        <v/>
      </c>
      <c r="O36" s="6">
        <f>IF(AND(I36=1,M36=1),ROW(),"")</f>
        <v/>
      </c>
      <c r="P36" s="6">
        <f>IF(AND(K36="ignored",M36=1),ROW(),"")</f>
        <v/>
      </c>
    </row>
    <row r="37">
      <c r="A37" s="8" t="n"/>
      <c r="B37" s="8" t="n"/>
      <c r="C37" s="6">
        <f>TRIM(A37&amp;"")</f>
        <v/>
      </c>
      <c r="D37" s="6">
        <f>IF(C37="","",SUBSTITUTE(SUBSTITUTE(SUBSTITUTE(SUBSTITUTE(SUBSTITUTE(SUBSTITUTE(SUBSTITUTE(UPPER(TRIM(B37&amp;"")),"₹",""),"RS.",""),"RS",""),"INR",""),"$",""),",","")," ",""))</f>
        <v/>
      </c>
      <c r="E37" s="6">
        <f>IF(C37="","",IF(RIGHT(D37,2)="CR","Cr",IF(RIGHT(D37,2)="DR","Dr","")))</f>
        <v/>
      </c>
      <c r="F37" s="6">
        <f>IF(C37="","",IF(E37&lt;&gt;"",LEFT(D37,LEN(D37)-2),D37))</f>
        <v/>
      </c>
      <c r="G37" s="13">
        <f>IF(C37="","",IF(OR(IF(AND(LEFT(F37,1)="(",RIGHT(F37,1)=")"),MID(F37,2,LEN(F37)-2),F37)="",IF(AND(LEFT(F37,1)="(",RIGHT(F37,1)=")"),MID(F37,2,LEN(F37)-2),F37)="-"),0,IFERROR(VALUE(IF(AND(LEFT(F37,1)="(",RIGHT(F37,1)=")"),MID(F37,2,LEN(F37)-2),F37))*IF(AND(LEFT(F37,1)="(",RIGHT(F37,1)=")"),-1,1)*IF(E37="Cr",Setup!$B$6,1),"ERR")))</f>
        <v/>
      </c>
      <c r="H37" s="6">
        <f>IF(C37="","",IF(ISNUMBER(G37),1,0))</f>
        <v/>
      </c>
      <c r="I37" s="6">
        <f>IF(C37="","",IF(SUMPRODUCT(($C$12:$C$1511=C37)*1)&gt;1,1,0))</f>
        <v/>
      </c>
      <c r="J37" s="6">
        <f>IF(C37="","",SUMPRODUCT((Mapping!$F$5:$F$504=Setup!$B$4&amp;"||"&amp;C37)*ROW(Mapping!$F$5:$F$504)))</f>
        <v/>
      </c>
      <c r="K37" s="6">
        <f>IF(C37="","",IF(J37=0,"UNMAPPED",LOWER(INDEX(Mapping!$D$1:$D$504,J37))))</f>
        <v/>
      </c>
      <c r="L37" s="6">
        <f>IF(K37="mapped",TRIM(INDEX(Mapping!$C$1:$C$504,J37)),"")</f>
        <v/>
      </c>
      <c r="M37" s="6">
        <f>IF(C37="","",IF(SUMPRODUCT(($C$12:C37=C37)*1)=1,1,0))</f>
        <v/>
      </c>
      <c r="N37" s="6">
        <f>IF(AND(K37="UNMAPPED",M37=1),ROW(),"")</f>
        <v/>
      </c>
      <c r="O37" s="6">
        <f>IF(AND(I37=1,M37=1),ROW(),"")</f>
        <v/>
      </c>
      <c r="P37" s="6">
        <f>IF(AND(K37="ignored",M37=1),ROW(),"")</f>
        <v/>
      </c>
    </row>
    <row r="38">
      <c r="A38" s="8" t="n"/>
      <c r="B38" s="8" t="n"/>
      <c r="C38" s="6">
        <f>TRIM(A38&amp;"")</f>
        <v/>
      </c>
      <c r="D38" s="6">
        <f>IF(C38="","",SUBSTITUTE(SUBSTITUTE(SUBSTITUTE(SUBSTITUTE(SUBSTITUTE(SUBSTITUTE(SUBSTITUTE(UPPER(TRIM(B38&amp;"")),"₹",""),"RS.",""),"RS",""),"INR",""),"$",""),",","")," ",""))</f>
        <v/>
      </c>
      <c r="E38" s="6">
        <f>IF(C38="","",IF(RIGHT(D38,2)="CR","Cr",IF(RIGHT(D38,2)="DR","Dr","")))</f>
        <v/>
      </c>
      <c r="F38" s="6">
        <f>IF(C38="","",IF(E38&lt;&gt;"",LEFT(D38,LEN(D38)-2),D38))</f>
        <v/>
      </c>
      <c r="G38" s="13">
        <f>IF(C38="","",IF(OR(IF(AND(LEFT(F38,1)="(",RIGHT(F38,1)=")"),MID(F38,2,LEN(F38)-2),F38)="",IF(AND(LEFT(F38,1)="(",RIGHT(F38,1)=")"),MID(F38,2,LEN(F38)-2),F38)="-"),0,IFERROR(VALUE(IF(AND(LEFT(F38,1)="(",RIGHT(F38,1)=")"),MID(F38,2,LEN(F38)-2),F38))*IF(AND(LEFT(F38,1)="(",RIGHT(F38,1)=")"),-1,1)*IF(E38="Cr",Setup!$B$6,1),"ERR")))</f>
        <v/>
      </c>
      <c r="H38" s="6">
        <f>IF(C38="","",IF(ISNUMBER(G38),1,0))</f>
        <v/>
      </c>
      <c r="I38" s="6">
        <f>IF(C38="","",IF(SUMPRODUCT(($C$12:$C$1511=C38)*1)&gt;1,1,0))</f>
        <v/>
      </c>
      <c r="J38" s="6">
        <f>IF(C38="","",SUMPRODUCT((Mapping!$F$5:$F$504=Setup!$B$4&amp;"||"&amp;C38)*ROW(Mapping!$F$5:$F$504)))</f>
        <v/>
      </c>
      <c r="K38" s="6">
        <f>IF(C38="","",IF(J38=0,"UNMAPPED",LOWER(INDEX(Mapping!$D$1:$D$504,J38))))</f>
        <v/>
      </c>
      <c r="L38" s="6">
        <f>IF(K38="mapped",TRIM(INDEX(Mapping!$C$1:$C$504,J38)),"")</f>
        <v/>
      </c>
      <c r="M38" s="6">
        <f>IF(C38="","",IF(SUMPRODUCT(($C$12:C38=C38)*1)=1,1,0))</f>
        <v/>
      </c>
      <c r="N38" s="6">
        <f>IF(AND(K38="UNMAPPED",M38=1),ROW(),"")</f>
        <v/>
      </c>
      <c r="O38" s="6">
        <f>IF(AND(I38=1,M38=1),ROW(),"")</f>
        <v/>
      </c>
      <c r="P38" s="6">
        <f>IF(AND(K38="ignored",M38=1),ROW(),"")</f>
        <v/>
      </c>
    </row>
    <row r="39">
      <c r="A39" s="8" t="n"/>
      <c r="B39" s="8" t="n"/>
      <c r="C39" s="6">
        <f>TRIM(A39&amp;"")</f>
        <v/>
      </c>
      <c r="D39" s="6">
        <f>IF(C39="","",SUBSTITUTE(SUBSTITUTE(SUBSTITUTE(SUBSTITUTE(SUBSTITUTE(SUBSTITUTE(SUBSTITUTE(UPPER(TRIM(B39&amp;"")),"₹",""),"RS.",""),"RS",""),"INR",""),"$",""),",","")," ",""))</f>
        <v/>
      </c>
      <c r="E39" s="6">
        <f>IF(C39="","",IF(RIGHT(D39,2)="CR","Cr",IF(RIGHT(D39,2)="DR","Dr","")))</f>
        <v/>
      </c>
      <c r="F39" s="6">
        <f>IF(C39="","",IF(E39&lt;&gt;"",LEFT(D39,LEN(D39)-2),D39))</f>
        <v/>
      </c>
      <c r="G39" s="13">
        <f>IF(C39="","",IF(OR(IF(AND(LEFT(F39,1)="(",RIGHT(F39,1)=")"),MID(F39,2,LEN(F39)-2),F39)="",IF(AND(LEFT(F39,1)="(",RIGHT(F39,1)=")"),MID(F39,2,LEN(F39)-2),F39)="-"),0,IFERROR(VALUE(IF(AND(LEFT(F39,1)="(",RIGHT(F39,1)=")"),MID(F39,2,LEN(F39)-2),F39))*IF(AND(LEFT(F39,1)="(",RIGHT(F39,1)=")"),-1,1)*IF(E39="Cr",Setup!$B$6,1),"ERR")))</f>
        <v/>
      </c>
      <c r="H39" s="6">
        <f>IF(C39="","",IF(ISNUMBER(G39),1,0))</f>
        <v/>
      </c>
      <c r="I39" s="6">
        <f>IF(C39="","",IF(SUMPRODUCT(($C$12:$C$1511=C39)*1)&gt;1,1,0))</f>
        <v/>
      </c>
      <c r="J39" s="6">
        <f>IF(C39="","",SUMPRODUCT((Mapping!$F$5:$F$504=Setup!$B$4&amp;"||"&amp;C39)*ROW(Mapping!$F$5:$F$504)))</f>
        <v/>
      </c>
      <c r="K39" s="6">
        <f>IF(C39="","",IF(J39=0,"UNMAPPED",LOWER(INDEX(Mapping!$D$1:$D$504,J39))))</f>
        <v/>
      </c>
      <c r="L39" s="6">
        <f>IF(K39="mapped",TRIM(INDEX(Mapping!$C$1:$C$504,J39)),"")</f>
        <v/>
      </c>
      <c r="M39" s="6">
        <f>IF(C39="","",IF(SUMPRODUCT(($C$12:C39=C39)*1)=1,1,0))</f>
        <v/>
      </c>
      <c r="N39" s="6">
        <f>IF(AND(K39="UNMAPPED",M39=1),ROW(),"")</f>
        <v/>
      </c>
      <c r="O39" s="6">
        <f>IF(AND(I39=1,M39=1),ROW(),"")</f>
        <v/>
      </c>
      <c r="P39" s="6">
        <f>IF(AND(K39="ignored",M39=1),ROW(),"")</f>
        <v/>
      </c>
    </row>
    <row r="40">
      <c r="A40" s="8" t="n"/>
      <c r="B40" s="8" t="n"/>
      <c r="C40" s="6">
        <f>TRIM(A40&amp;"")</f>
        <v/>
      </c>
      <c r="D40" s="6">
        <f>IF(C40="","",SUBSTITUTE(SUBSTITUTE(SUBSTITUTE(SUBSTITUTE(SUBSTITUTE(SUBSTITUTE(SUBSTITUTE(UPPER(TRIM(B40&amp;"")),"₹",""),"RS.",""),"RS",""),"INR",""),"$",""),",","")," ",""))</f>
        <v/>
      </c>
      <c r="E40" s="6">
        <f>IF(C40="","",IF(RIGHT(D40,2)="CR","Cr",IF(RIGHT(D40,2)="DR","Dr","")))</f>
        <v/>
      </c>
      <c r="F40" s="6">
        <f>IF(C40="","",IF(E40&lt;&gt;"",LEFT(D40,LEN(D40)-2),D40))</f>
        <v/>
      </c>
      <c r="G40" s="13">
        <f>IF(C40="","",IF(OR(IF(AND(LEFT(F40,1)="(",RIGHT(F40,1)=")"),MID(F40,2,LEN(F40)-2),F40)="",IF(AND(LEFT(F40,1)="(",RIGHT(F40,1)=")"),MID(F40,2,LEN(F40)-2),F40)="-"),0,IFERROR(VALUE(IF(AND(LEFT(F40,1)="(",RIGHT(F40,1)=")"),MID(F40,2,LEN(F40)-2),F40))*IF(AND(LEFT(F40,1)="(",RIGHT(F40,1)=")"),-1,1)*IF(E40="Cr",Setup!$B$6,1),"ERR")))</f>
        <v/>
      </c>
      <c r="H40" s="6">
        <f>IF(C40="","",IF(ISNUMBER(G40),1,0))</f>
        <v/>
      </c>
      <c r="I40" s="6">
        <f>IF(C40="","",IF(SUMPRODUCT(($C$12:$C$1511=C40)*1)&gt;1,1,0))</f>
        <v/>
      </c>
      <c r="J40" s="6">
        <f>IF(C40="","",SUMPRODUCT((Mapping!$F$5:$F$504=Setup!$B$4&amp;"||"&amp;C40)*ROW(Mapping!$F$5:$F$504)))</f>
        <v/>
      </c>
      <c r="K40" s="6">
        <f>IF(C40="","",IF(J40=0,"UNMAPPED",LOWER(INDEX(Mapping!$D$1:$D$504,J40))))</f>
        <v/>
      </c>
      <c r="L40" s="6">
        <f>IF(K40="mapped",TRIM(INDEX(Mapping!$C$1:$C$504,J40)),"")</f>
        <v/>
      </c>
      <c r="M40" s="6">
        <f>IF(C40="","",IF(SUMPRODUCT(($C$12:C40=C40)*1)=1,1,0))</f>
        <v/>
      </c>
      <c r="N40" s="6">
        <f>IF(AND(K40="UNMAPPED",M40=1),ROW(),"")</f>
        <v/>
      </c>
      <c r="O40" s="6">
        <f>IF(AND(I40=1,M40=1),ROW(),"")</f>
        <v/>
      </c>
      <c r="P40" s="6">
        <f>IF(AND(K40="ignored",M40=1),ROW(),"")</f>
        <v/>
      </c>
    </row>
    <row r="41">
      <c r="A41" s="8" t="n"/>
      <c r="B41" s="8" t="n"/>
      <c r="C41" s="6">
        <f>TRIM(A41&amp;"")</f>
        <v/>
      </c>
      <c r="D41" s="6">
        <f>IF(C41="","",SUBSTITUTE(SUBSTITUTE(SUBSTITUTE(SUBSTITUTE(SUBSTITUTE(SUBSTITUTE(SUBSTITUTE(UPPER(TRIM(B41&amp;"")),"₹",""),"RS.",""),"RS",""),"INR",""),"$",""),",","")," ",""))</f>
        <v/>
      </c>
      <c r="E41" s="6">
        <f>IF(C41="","",IF(RIGHT(D41,2)="CR","Cr",IF(RIGHT(D41,2)="DR","Dr","")))</f>
        <v/>
      </c>
      <c r="F41" s="6">
        <f>IF(C41="","",IF(E41&lt;&gt;"",LEFT(D41,LEN(D41)-2),D41))</f>
        <v/>
      </c>
      <c r="G41" s="13">
        <f>IF(C41="","",IF(OR(IF(AND(LEFT(F41,1)="(",RIGHT(F41,1)=")"),MID(F41,2,LEN(F41)-2),F41)="",IF(AND(LEFT(F41,1)="(",RIGHT(F41,1)=")"),MID(F41,2,LEN(F41)-2),F41)="-"),0,IFERROR(VALUE(IF(AND(LEFT(F41,1)="(",RIGHT(F41,1)=")"),MID(F41,2,LEN(F41)-2),F41))*IF(AND(LEFT(F41,1)="(",RIGHT(F41,1)=")"),-1,1)*IF(E41="Cr",Setup!$B$6,1),"ERR")))</f>
        <v/>
      </c>
      <c r="H41" s="6">
        <f>IF(C41="","",IF(ISNUMBER(G41),1,0))</f>
        <v/>
      </c>
      <c r="I41" s="6">
        <f>IF(C41="","",IF(SUMPRODUCT(($C$12:$C$1511=C41)*1)&gt;1,1,0))</f>
        <v/>
      </c>
      <c r="J41" s="6">
        <f>IF(C41="","",SUMPRODUCT((Mapping!$F$5:$F$504=Setup!$B$4&amp;"||"&amp;C41)*ROW(Mapping!$F$5:$F$504)))</f>
        <v/>
      </c>
      <c r="K41" s="6">
        <f>IF(C41="","",IF(J41=0,"UNMAPPED",LOWER(INDEX(Mapping!$D$1:$D$504,J41))))</f>
        <v/>
      </c>
      <c r="L41" s="6">
        <f>IF(K41="mapped",TRIM(INDEX(Mapping!$C$1:$C$504,J41)),"")</f>
        <v/>
      </c>
      <c r="M41" s="6">
        <f>IF(C41="","",IF(SUMPRODUCT(($C$12:C41=C41)*1)=1,1,0))</f>
        <v/>
      </c>
      <c r="N41" s="6">
        <f>IF(AND(K41="UNMAPPED",M41=1),ROW(),"")</f>
        <v/>
      </c>
      <c r="O41" s="6">
        <f>IF(AND(I41=1,M41=1),ROW(),"")</f>
        <v/>
      </c>
      <c r="P41" s="6">
        <f>IF(AND(K41="ignored",M41=1),ROW(),"")</f>
        <v/>
      </c>
    </row>
    <row r="42">
      <c r="A42" s="8" t="n"/>
      <c r="B42" s="8" t="n"/>
      <c r="C42" s="6">
        <f>TRIM(A42&amp;"")</f>
        <v/>
      </c>
      <c r="D42" s="6">
        <f>IF(C42="","",SUBSTITUTE(SUBSTITUTE(SUBSTITUTE(SUBSTITUTE(SUBSTITUTE(SUBSTITUTE(SUBSTITUTE(UPPER(TRIM(B42&amp;"")),"₹",""),"RS.",""),"RS",""),"INR",""),"$",""),",","")," ",""))</f>
        <v/>
      </c>
      <c r="E42" s="6">
        <f>IF(C42="","",IF(RIGHT(D42,2)="CR","Cr",IF(RIGHT(D42,2)="DR","Dr","")))</f>
        <v/>
      </c>
      <c r="F42" s="6">
        <f>IF(C42="","",IF(E42&lt;&gt;"",LEFT(D42,LEN(D42)-2),D42))</f>
        <v/>
      </c>
      <c r="G42" s="13">
        <f>IF(C42="","",IF(OR(IF(AND(LEFT(F42,1)="(",RIGHT(F42,1)=")"),MID(F42,2,LEN(F42)-2),F42)="",IF(AND(LEFT(F42,1)="(",RIGHT(F42,1)=")"),MID(F42,2,LEN(F42)-2),F42)="-"),0,IFERROR(VALUE(IF(AND(LEFT(F42,1)="(",RIGHT(F42,1)=")"),MID(F42,2,LEN(F42)-2),F42))*IF(AND(LEFT(F42,1)="(",RIGHT(F42,1)=")"),-1,1)*IF(E42="Cr",Setup!$B$6,1),"ERR")))</f>
        <v/>
      </c>
      <c r="H42" s="6">
        <f>IF(C42="","",IF(ISNUMBER(G42),1,0))</f>
        <v/>
      </c>
      <c r="I42" s="6">
        <f>IF(C42="","",IF(SUMPRODUCT(($C$12:$C$1511=C42)*1)&gt;1,1,0))</f>
        <v/>
      </c>
      <c r="J42" s="6">
        <f>IF(C42="","",SUMPRODUCT((Mapping!$F$5:$F$504=Setup!$B$4&amp;"||"&amp;C42)*ROW(Mapping!$F$5:$F$504)))</f>
        <v/>
      </c>
      <c r="K42" s="6">
        <f>IF(C42="","",IF(J42=0,"UNMAPPED",LOWER(INDEX(Mapping!$D$1:$D$504,J42))))</f>
        <v/>
      </c>
      <c r="L42" s="6">
        <f>IF(K42="mapped",TRIM(INDEX(Mapping!$C$1:$C$504,J42)),"")</f>
        <v/>
      </c>
      <c r="M42" s="6">
        <f>IF(C42="","",IF(SUMPRODUCT(($C$12:C42=C42)*1)=1,1,0))</f>
        <v/>
      </c>
      <c r="N42" s="6">
        <f>IF(AND(K42="UNMAPPED",M42=1),ROW(),"")</f>
        <v/>
      </c>
      <c r="O42" s="6">
        <f>IF(AND(I42=1,M42=1),ROW(),"")</f>
        <v/>
      </c>
      <c r="P42" s="6">
        <f>IF(AND(K42="ignored",M42=1),ROW(),"")</f>
        <v/>
      </c>
    </row>
    <row r="43">
      <c r="A43" s="8" t="n"/>
      <c r="B43" s="8" t="n"/>
      <c r="C43" s="6">
        <f>TRIM(A43&amp;"")</f>
        <v/>
      </c>
      <c r="D43" s="6">
        <f>IF(C43="","",SUBSTITUTE(SUBSTITUTE(SUBSTITUTE(SUBSTITUTE(SUBSTITUTE(SUBSTITUTE(SUBSTITUTE(UPPER(TRIM(B43&amp;"")),"₹",""),"RS.",""),"RS",""),"INR",""),"$",""),",","")," ",""))</f>
        <v/>
      </c>
      <c r="E43" s="6">
        <f>IF(C43="","",IF(RIGHT(D43,2)="CR","Cr",IF(RIGHT(D43,2)="DR","Dr","")))</f>
        <v/>
      </c>
      <c r="F43" s="6">
        <f>IF(C43="","",IF(E43&lt;&gt;"",LEFT(D43,LEN(D43)-2),D43))</f>
        <v/>
      </c>
      <c r="G43" s="13">
        <f>IF(C43="","",IF(OR(IF(AND(LEFT(F43,1)="(",RIGHT(F43,1)=")"),MID(F43,2,LEN(F43)-2),F43)="",IF(AND(LEFT(F43,1)="(",RIGHT(F43,1)=")"),MID(F43,2,LEN(F43)-2),F43)="-"),0,IFERROR(VALUE(IF(AND(LEFT(F43,1)="(",RIGHT(F43,1)=")"),MID(F43,2,LEN(F43)-2),F43))*IF(AND(LEFT(F43,1)="(",RIGHT(F43,1)=")"),-1,1)*IF(E43="Cr",Setup!$B$6,1),"ERR")))</f>
        <v/>
      </c>
      <c r="H43" s="6">
        <f>IF(C43="","",IF(ISNUMBER(G43),1,0))</f>
        <v/>
      </c>
      <c r="I43" s="6">
        <f>IF(C43="","",IF(SUMPRODUCT(($C$12:$C$1511=C43)*1)&gt;1,1,0))</f>
        <v/>
      </c>
      <c r="J43" s="6">
        <f>IF(C43="","",SUMPRODUCT((Mapping!$F$5:$F$504=Setup!$B$4&amp;"||"&amp;C43)*ROW(Mapping!$F$5:$F$504)))</f>
        <v/>
      </c>
      <c r="K43" s="6">
        <f>IF(C43="","",IF(J43=0,"UNMAPPED",LOWER(INDEX(Mapping!$D$1:$D$504,J43))))</f>
        <v/>
      </c>
      <c r="L43" s="6">
        <f>IF(K43="mapped",TRIM(INDEX(Mapping!$C$1:$C$504,J43)),"")</f>
        <v/>
      </c>
      <c r="M43" s="6">
        <f>IF(C43="","",IF(SUMPRODUCT(($C$12:C43=C43)*1)=1,1,0))</f>
        <v/>
      </c>
      <c r="N43" s="6">
        <f>IF(AND(K43="UNMAPPED",M43=1),ROW(),"")</f>
        <v/>
      </c>
      <c r="O43" s="6">
        <f>IF(AND(I43=1,M43=1),ROW(),"")</f>
        <v/>
      </c>
      <c r="P43" s="6">
        <f>IF(AND(K43="ignored",M43=1),ROW(),"")</f>
        <v/>
      </c>
    </row>
    <row r="44">
      <c r="A44" s="8" t="n"/>
      <c r="B44" s="8" t="n"/>
      <c r="C44" s="6">
        <f>TRIM(A44&amp;"")</f>
        <v/>
      </c>
      <c r="D44" s="6">
        <f>IF(C44="","",SUBSTITUTE(SUBSTITUTE(SUBSTITUTE(SUBSTITUTE(SUBSTITUTE(SUBSTITUTE(SUBSTITUTE(UPPER(TRIM(B44&amp;"")),"₹",""),"RS.",""),"RS",""),"INR",""),"$",""),",","")," ",""))</f>
        <v/>
      </c>
      <c r="E44" s="6">
        <f>IF(C44="","",IF(RIGHT(D44,2)="CR","Cr",IF(RIGHT(D44,2)="DR","Dr","")))</f>
        <v/>
      </c>
      <c r="F44" s="6">
        <f>IF(C44="","",IF(E44&lt;&gt;"",LEFT(D44,LEN(D44)-2),D44))</f>
        <v/>
      </c>
      <c r="G44" s="13">
        <f>IF(C44="","",IF(OR(IF(AND(LEFT(F44,1)="(",RIGHT(F44,1)=")"),MID(F44,2,LEN(F44)-2),F44)="",IF(AND(LEFT(F44,1)="(",RIGHT(F44,1)=")"),MID(F44,2,LEN(F44)-2),F44)="-"),0,IFERROR(VALUE(IF(AND(LEFT(F44,1)="(",RIGHT(F44,1)=")"),MID(F44,2,LEN(F44)-2),F44))*IF(AND(LEFT(F44,1)="(",RIGHT(F44,1)=")"),-1,1)*IF(E44="Cr",Setup!$B$6,1),"ERR")))</f>
        <v/>
      </c>
      <c r="H44" s="6">
        <f>IF(C44="","",IF(ISNUMBER(G44),1,0))</f>
        <v/>
      </c>
      <c r="I44" s="6">
        <f>IF(C44="","",IF(SUMPRODUCT(($C$12:$C$1511=C44)*1)&gt;1,1,0))</f>
        <v/>
      </c>
      <c r="J44" s="6">
        <f>IF(C44="","",SUMPRODUCT((Mapping!$F$5:$F$504=Setup!$B$4&amp;"||"&amp;C44)*ROW(Mapping!$F$5:$F$504)))</f>
        <v/>
      </c>
      <c r="K44" s="6">
        <f>IF(C44="","",IF(J44=0,"UNMAPPED",LOWER(INDEX(Mapping!$D$1:$D$504,J44))))</f>
        <v/>
      </c>
      <c r="L44" s="6">
        <f>IF(K44="mapped",TRIM(INDEX(Mapping!$C$1:$C$504,J44)),"")</f>
        <v/>
      </c>
      <c r="M44" s="6">
        <f>IF(C44="","",IF(SUMPRODUCT(($C$12:C44=C44)*1)=1,1,0))</f>
        <v/>
      </c>
      <c r="N44" s="6">
        <f>IF(AND(K44="UNMAPPED",M44=1),ROW(),"")</f>
        <v/>
      </c>
      <c r="O44" s="6">
        <f>IF(AND(I44=1,M44=1),ROW(),"")</f>
        <v/>
      </c>
      <c r="P44" s="6">
        <f>IF(AND(K44="ignored",M44=1),ROW(),"")</f>
        <v/>
      </c>
    </row>
    <row r="45">
      <c r="A45" s="8" t="n"/>
      <c r="B45" s="8" t="n"/>
      <c r="C45" s="6">
        <f>TRIM(A45&amp;"")</f>
        <v/>
      </c>
      <c r="D45" s="6">
        <f>IF(C45="","",SUBSTITUTE(SUBSTITUTE(SUBSTITUTE(SUBSTITUTE(SUBSTITUTE(SUBSTITUTE(SUBSTITUTE(UPPER(TRIM(B45&amp;"")),"₹",""),"RS.",""),"RS",""),"INR",""),"$",""),",","")," ",""))</f>
        <v/>
      </c>
      <c r="E45" s="6">
        <f>IF(C45="","",IF(RIGHT(D45,2)="CR","Cr",IF(RIGHT(D45,2)="DR","Dr","")))</f>
        <v/>
      </c>
      <c r="F45" s="6">
        <f>IF(C45="","",IF(E45&lt;&gt;"",LEFT(D45,LEN(D45)-2),D45))</f>
        <v/>
      </c>
      <c r="G45" s="13">
        <f>IF(C45="","",IF(OR(IF(AND(LEFT(F45,1)="(",RIGHT(F45,1)=")"),MID(F45,2,LEN(F45)-2),F45)="",IF(AND(LEFT(F45,1)="(",RIGHT(F45,1)=")"),MID(F45,2,LEN(F45)-2),F45)="-"),0,IFERROR(VALUE(IF(AND(LEFT(F45,1)="(",RIGHT(F45,1)=")"),MID(F45,2,LEN(F45)-2),F45))*IF(AND(LEFT(F45,1)="(",RIGHT(F45,1)=")"),-1,1)*IF(E45="Cr",Setup!$B$6,1),"ERR")))</f>
        <v/>
      </c>
      <c r="H45" s="6">
        <f>IF(C45="","",IF(ISNUMBER(G45),1,0))</f>
        <v/>
      </c>
      <c r="I45" s="6">
        <f>IF(C45="","",IF(SUMPRODUCT(($C$12:$C$1511=C45)*1)&gt;1,1,0))</f>
        <v/>
      </c>
      <c r="J45" s="6">
        <f>IF(C45="","",SUMPRODUCT((Mapping!$F$5:$F$504=Setup!$B$4&amp;"||"&amp;C45)*ROW(Mapping!$F$5:$F$504)))</f>
        <v/>
      </c>
      <c r="K45" s="6">
        <f>IF(C45="","",IF(J45=0,"UNMAPPED",LOWER(INDEX(Mapping!$D$1:$D$504,J45))))</f>
        <v/>
      </c>
      <c r="L45" s="6">
        <f>IF(K45="mapped",TRIM(INDEX(Mapping!$C$1:$C$504,J45)),"")</f>
        <v/>
      </c>
      <c r="M45" s="6">
        <f>IF(C45="","",IF(SUMPRODUCT(($C$12:C45=C45)*1)=1,1,0))</f>
        <v/>
      </c>
      <c r="N45" s="6">
        <f>IF(AND(K45="UNMAPPED",M45=1),ROW(),"")</f>
        <v/>
      </c>
      <c r="O45" s="6">
        <f>IF(AND(I45=1,M45=1),ROW(),"")</f>
        <v/>
      </c>
      <c r="P45" s="6">
        <f>IF(AND(K45="ignored",M45=1),ROW(),"")</f>
        <v/>
      </c>
    </row>
    <row r="46">
      <c r="A46" s="8" t="n"/>
      <c r="B46" s="8" t="n"/>
      <c r="C46" s="6">
        <f>TRIM(A46&amp;"")</f>
        <v/>
      </c>
      <c r="D46" s="6">
        <f>IF(C46="","",SUBSTITUTE(SUBSTITUTE(SUBSTITUTE(SUBSTITUTE(SUBSTITUTE(SUBSTITUTE(SUBSTITUTE(UPPER(TRIM(B46&amp;"")),"₹",""),"RS.",""),"RS",""),"INR",""),"$",""),",","")," ",""))</f>
        <v/>
      </c>
      <c r="E46" s="6">
        <f>IF(C46="","",IF(RIGHT(D46,2)="CR","Cr",IF(RIGHT(D46,2)="DR","Dr","")))</f>
        <v/>
      </c>
      <c r="F46" s="6">
        <f>IF(C46="","",IF(E46&lt;&gt;"",LEFT(D46,LEN(D46)-2),D46))</f>
        <v/>
      </c>
      <c r="G46" s="13">
        <f>IF(C46="","",IF(OR(IF(AND(LEFT(F46,1)="(",RIGHT(F46,1)=")"),MID(F46,2,LEN(F46)-2),F46)="",IF(AND(LEFT(F46,1)="(",RIGHT(F46,1)=")"),MID(F46,2,LEN(F46)-2),F46)="-"),0,IFERROR(VALUE(IF(AND(LEFT(F46,1)="(",RIGHT(F46,1)=")"),MID(F46,2,LEN(F46)-2),F46))*IF(AND(LEFT(F46,1)="(",RIGHT(F46,1)=")"),-1,1)*IF(E46="Cr",Setup!$B$6,1),"ERR")))</f>
        <v/>
      </c>
      <c r="H46" s="6">
        <f>IF(C46="","",IF(ISNUMBER(G46),1,0))</f>
        <v/>
      </c>
      <c r="I46" s="6">
        <f>IF(C46="","",IF(SUMPRODUCT(($C$12:$C$1511=C46)*1)&gt;1,1,0))</f>
        <v/>
      </c>
      <c r="J46" s="6">
        <f>IF(C46="","",SUMPRODUCT((Mapping!$F$5:$F$504=Setup!$B$4&amp;"||"&amp;C46)*ROW(Mapping!$F$5:$F$504)))</f>
        <v/>
      </c>
      <c r="K46" s="6">
        <f>IF(C46="","",IF(J46=0,"UNMAPPED",LOWER(INDEX(Mapping!$D$1:$D$504,J46))))</f>
        <v/>
      </c>
      <c r="L46" s="6">
        <f>IF(K46="mapped",TRIM(INDEX(Mapping!$C$1:$C$504,J46)),"")</f>
        <v/>
      </c>
      <c r="M46" s="6">
        <f>IF(C46="","",IF(SUMPRODUCT(($C$12:C46=C46)*1)=1,1,0))</f>
        <v/>
      </c>
      <c r="N46" s="6">
        <f>IF(AND(K46="UNMAPPED",M46=1),ROW(),"")</f>
        <v/>
      </c>
      <c r="O46" s="6">
        <f>IF(AND(I46=1,M46=1),ROW(),"")</f>
        <v/>
      </c>
      <c r="P46" s="6">
        <f>IF(AND(K46="ignored",M46=1),ROW(),"")</f>
        <v/>
      </c>
    </row>
    <row r="47">
      <c r="A47" s="8" t="n"/>
      <c r="B47" s="8" t="n"/>
      <c r="C47" s="6">
        <f>TRIM(A47&amp;"")</f>
        <v/>
      </c>
      <c r="D47" s="6">
        <f>IF(C47="","",SUBSTITUTE(SUBSTITUTE(SUBSTITUTE(SUBSTITUTE(SUBSTITUTE(SUBSTITUTE(SUBSTITUTE(UPPER(TRIM(B47&amp;"")),"₹",""),"RS.",""),"RS",""),"INR",""),"$",""),",","")," ",""))</f>
        <v/>
      </c>
      <c r="E47" s="6">
        <f>IF(C47="","",IF(RIGHT(D47,2)="CR","Cr",IF(RIGHT(D47,2)="DR","Dr","")))</f>
        <v/>
      </c>
      <c r="F47" s="6">
        <f>IF(C47="","",IF(E47&lt;&gt;"",LEFT(D47,LEN(D47)-2),D47))</f>
        <v/>
      </c>
      <c r="G47" s="13">
        <f>IF(C47="","",IF(OR(IF(AND(LEFT(F47,1)="(",RIGHT(F47,1)=")"),MID(F47,2,LEN(F47)-2),F47)="",IF(AND(LEFT(F47,1)="(",RIGHT(F47,1)=")"),MID(F47,2,LEN(F47)-2),F47)="-"),0,IFERROR(VALUE(IF(AND(LEFT(F47,1)="(",RIGHT(F47,1)=")"),MID(F47,2,LEN(F47)-2),F47))*IF(AND(LEFT(F47,1)="(",RIGHT(F47,1)=")"),-1,1)*IF(E47="Cr",Setup!$B$6,1),"ERR")))</f>
        <v/>
      </c>
      <c r="H47" s="6">
        <f>IF(C47="","",IF(ISNUMBER(G47),1,0))</f>
        <v/>
      </c>
      <c r="I47" s="6">
        <f>IF(C47="","",IF(SUMPRODUCT(($C$12:$C$1511=C47)*1)&gt;1,1,0))</f>
        <v/>
      </c>
      <c r="J47" s="6">
        <f>IF(C47="","",SUMPRODUCT((Mapping!$F$5:$F$504=Setup!$B$4&amp;"||"&amp;C47)*ROW(Mapping!$F$5:$F$504)))</f>
        <v/>
      </c>
      <c r="K47" s="6">
        <f>IF(C47="","",IF(J47=0,"UNMAPPED",LOWER(INDEX(Mapping!$D$1:$D$504,J47))))</f>
        <v/>
      </c>
      <c r="L47" s="6">
        <f>IF(K47="mapped",TRIM(INDEX(Mapping!$C$1:$C$504,J47)),"")</f>
        <v/>
      </c>
      <c r="M47" s="6">
        <f>IF(C47="","",IF(SUMPRODUCT(($C$12:C47=C47)*1)=1,1,0))</f>
        <v/>
      </c>
      <c r="N47" s="6">
        <f>IF(AND(K47="UNMAPPED",M47=1),ROW(),"")</f>
        <v/>
      </c>
      <c r="O47" s="6">
        <f>IF(AND(I47=1,M47=1),ROW(),"")</f>
        <v/>
      </c>
      <c r="P47" s="6">
        <f>IF(AND(K47="ignored",M47=1),ROW(),"")</f>
        <v/>
      </c>
    </row>
    <row r="48">
      <c r="A48" s="8" t="n"/>
      <c r="B48" s="8" t="n"/>
      <c r="C48" s="6">
        <f>TRIM(A48&amp;"")</f>
        <v/>
      </c>
      <c r="D48" s="6">
        <f>IF(C48="","",SUBSTITUTE(SUBSTITUTE(SUBSTITUTE(SUBSTITUTE(SUBSTITUTE(SUBSTITUTE(SUBSTITUTE(UPPER(TRIM(B48&amp;"")),"₹",""),"RS.",""),"RS",""),"INR",""),"$",""),",","")," ",""))</f>
        <v/>
      </c>
      <c r="E48" s="6">
        <f>IF(C48="","",IF(RIGHT(D48,2)="CR","Cr",IF(RIGHT(D48,2)="DR","Dr","")))</f>
        <v/>
      </c>
      <c r="F48" s="6">
        <f>IF(C48="","",IF(E48&lt;&gt;"",LEFT(D48,LEN(D48)-2),D48))</f>
        <v/>
      </c>
      <c r="G48" s="13">
        <f>IF(C48="","",IF(OR(IF(AND(LEFT(F48,1)="(",RIGHT(F48,1)=")"),MID(F48,2,LEN(F48)-2),F48)="",IF(AND(LEFT(F48,1)="(",RIGHT(F48,1)=")"),MID(F48,2,LEN(F48)-2),F48)="-"),0,IFERROR(VALUE(IF(AND(LEFT(F48,1)="(",RIGHT(F48,1)=")"),MID(F48,2,LEN(F48)-2),F48))*IF(AND(LEFT(F48,1)="(",RIGHT(F48,1)=")"),-1,1)*IF(E48="Cr",Setup!$B$6,1),"ERR")))</f>
        <v/>
      </c>
      <c r="H48" s="6">
        <f>IF(C48="","",IF(ISNUMBER(G48),1,0))</f>
        <v/>
      </c>
      <c r="I48" s="6">
        <f>IF(C48="","",IF(SUMPRODUCT(($C$12:$C$1511=C48)*1)&gt;1,1,0))</f>
        <v/>
      </c>
      <c r="J48" s="6">
        <f>IF(C48="","",SUMPRODUCT((Mapping!$F$5:$F$504=Setup!$B$4&amp;"||"&amp;C48)*ROW(Mapping!$F$5:$F$504)))</f>
        <v/>
      </c>
      <c r="K48" s="6">
        <f>IF(C48="","",IF(J48=0,"UNMAPPED",LOWER(INDEX(Mapping!$D$1:$D$504,J48))))</f>
        <v/>
      </c>
      <c r="L48" s="6">
        <f>IF(K48="mapped",TRIM(INDEX(Mapping!$C$1:$C$504,J48)),"")</f>
        <v/>
      </c>
      <c r="M48" s="6">
        <f>IF(C48="","",IF(SUMPRODUCT(($C$12:C48=C48)*1)=1,1,0))</f>
        <v/>
      </c>
      <c r="N48" s="6">
        <f>IF(AND(K48="UNMAPPED",M48=1),ROW(),"")</f>
        <v/>
      </c>
      <c r="O48" s="6">
        <f>IF(AND(I48=1,M48=1),ROW(),"")</f>
        <v/>
      </c>
      <c r="P48" s="6">
        <f>IF(AND(K48="ignored",M48=1),ROW(),"")</f>
        <v/>
      </c>
    </row>
    <row r="49">
      <c r="A49" s="8" t="n"/>
      <c r="B49" s="8" t="n"/>
      <c r="C49" s="6">
        <f>TRIM(A49&amp;"")</f>
        <v/>
      </c>
      <c r="D49" s="6">
        <f>IF(C49="","",SUBSTITUTE(SUBSTITUTE(SUBSTITUTE(SUBSTITUTE(SUBSTITUTE(SUBSTITUTE(SUBSTITUTE(UPPER(TRIM(B49&amp;"")),"₹",""),"RS.",""),"RS",""),"INR",""),"$",""),",","")," ",""))</f>
        <v/>
      </c>
      <c r="E49" s="6">
        <f>IF(C49="","",IF(RIGHT(D49,2)="CR","Cr",IF(RIGHT(D49,2)="DR","Dr","")))</f>
        <v/>
      </c>
      <c r="F49" s="6">
        <f>IF(C49="","",IF(E49&lt;&gt;"",LEFT(D49,LEN(D49)-2),D49))</f>
        <v/>
      </c>
      <c r="G49" s="13">
        <f>IF(C49="","",IF(OR(IF(AND(LEFT(F49,1)="(",RIGHT(F49,1)=")"),MID(F49,2,LEN(F49)-2),F49)="",IF(AND(LEFT(F49,1)="(",RIGHT(F49,1)=")"),MID(F49,2,LEN(F49)-2),F49)="-"),0,IFERROR(VALUE(IF(AND(LEFT(F49,1)="(",RIGHT(F49,1)=")"),MID(F49,2,LEN(F49)-2),F49))*IF(AND(LEFT(F49,1)="(",RIGHT(F49,1)=")"),-1,1)*IF(E49="Cr",Setup!$B$6,1),"ERR")))</f>
        <v/>
      </c>
      <c r="H49" s="6">
        <f>IF(C49="","",IF(ISNUMBER(G49),1,0))</f>
        <v/>
      </c>
      <c r="I49" s="6">
        <f>IF(C49="","",IF(SUMPRODUCT(($C$12:$C$1511=C49)*1)&gt;1,1,0))</f>
        <v/>
      </c>
      <c r="J49" s="6">
        <f>IF(C49="","",SUMPRODUCT((Mapping!$F$5:$F$504=Setup!$B$4&amp;"||"&amp;C49)*ROW(Mapping!$F$5:$F$504)))</f>
        <v/>
      </c>
      <c r="K49" s="6">
        <f>IF(C49="","",IF(J49=0,"UNMAPPED",LOWER(INDEX(Mapping!$D$1:$D$504,J49))))</f>
        <v/>
      </c>
      <c r="L49" s="6">
        <f>IF(K49="mapped",TRIM(INDEX(Mapping!$C$1:$C$504,J49)),"")</f>
        <v/>
      </c>
      <c r="M49" s="6">
        <f>IF(C49="","",IF(SUMPRODUCT(($C$12:C49=C49)*1)=1,1,0))</f>
        <v/>
      </c>
      <c r="N49" s="6">
        <f>IF(AND(K49="UNMAPPED",M49=1),ROW(),"")</f>
        <v/>
      </c>
      <c r="O49" s="6">
        <f>IF(AND(I49=1,M49=1),ROW(),"")</f>
        <v/>
      </c>
      <c r="P49" s="6">
        <f>IF(AND(K49="ignored",M49=1),ROW(),"")</f>
        <v/>
      </c>
    </row>
    <row r="50">
      <c r="A50" s="8" t="n"/>
      <c r="B50" s="8" t="n"/>
      <c r="C50" s="6">
        <f>TRIM(A50&amp;"")</f>
        <v/>
      </c>
      <c r="D50" s="6">
        <f>IF(C50="","",SUBSTITUTE(SUBSTITUTE(SUBSTITUTE(SUBSTITUTE(SUBSTITUTE(SUBSTITUTE(SUBSTITUTE(UPPER(TRIM(B50&amp;"")),"₹",""),"RS.",""),"RS",""),"INR",""),"$",""),",","")," ",""))</f>
        <v/>
      </c>
      <c r="E50" s="6">
        <f>IF(C50="","",IF(RIGHT(D50,2)="CR","Cr",IF(RIGHT(D50,2)="DR","Dr","")))</f>
        <v/>
      </c>
      <c r="F50" s="6">
        <f>IF(C50="","",IF(E50&lt;&gt;"",LEFT(D50,LEN(D50)-2),D50))</f>
        <v/>
      </c>
      <c r="G50" s="13">
        <f>IF(C50="","",IF(OR(IF(AND(LEFT(F50,1)="(",RIGHT(F50,1)=")"),MID(F50,2,LEN(F50)-2),F50)="",IF(AND(LEFT(F50,1)="(",RIGHT(F50,1)=")"),MID(F50,2,LEN(F50)-2),F50)="-"),0,IFERROR(VALUE(IF(AND(LEFT(F50,1)="(",RIGHT(F50,1)=")"),MID(F50,2,LEN(F50)-2),F50))*IF(AND(LEFT(F50,1)="(",RIGHT(F50,1)=")"),-1,1)*IF(E50="Cr",Setup!$B$6,1),"ERR")))</f>
        <v/>
      </c>
      <c r="H50" s="6">
        <f>IF(C50="","",IF(ISNUMBER(G50),1,0))</f>
        <v/>
      </c>
      <c r="I50" s="6">
        <f>IF(C50="","",IF(SUMPRODUCT(($C$12:$C$1511=C50)*1)&gt;1,1,0))</f>
        <v/>
      </c>
      <c r="J50" s="6">
        <f>IF(C50="","",SUMPRODUCT((Mapping!$F$5:$F$504=Setup!$B$4&amp;"||"&amp;C50)*ROW(Mapping!$F$5:$F$504)))</f>
        <v/>
      </c>
      <c r="K50" s="6">
        <f>IF(C50="","",IF(J50=0,"UNMAPPED",LOWER(INDEX(Mapping!$D$1:$D$504,J50))))</f>
        <v/>
      </c>
      <c r="L50" s="6">
        <f>IF(K50="mapped",TRIM(INDEX(Mapping!$C$1:$C$504,J50)),"")</f>
        <v/>
      </c>
      <c r="M50" s="6">
        <f>IF(C50="","",IF(SUMPRODUCT(($C$12:C50=C50)*1)=1,1,0))</f>
        <v/>
      </c>
      <c r="N50" s="6">
        <f>IF(AND(K50="UNMAPPED",M50=1),ROW(),"")</f>
        <v/>
      </c>
      <c r="O50" s="6">
        <f>IF(AND(I50=1,M50=1),ROW(),"")</f>
        <v/>
      </c>
      <c r="P50" s="6">
        <f>IF(AND(K50="ignored",M50=1),ROW(),"")</f>
        <v/>
      </c>
    </row>
    <row r="51">
      <c r="A51" s="8" t="n"/>
      <c r="B51" s="8" t="n"/>
      <c r="C51" s="6">
        <f>TRIM(A51&amp;"")</f>
        <v/>
      </c>
      <c r="D51" s="6">
        <f>IF(C51="","",SUBSTITUTE(SUBSTITUTE(SUBSTITUTE(SUBSTITUTE(SUBSTITUTE(SUBSTITUTE(SUBSTITUTE(UPPER(TRIM(B51&amp;"")),"₹",""),"RS.",""),"RS",""),"INR",""),"$",""),",","")," ",""))</f>
        <v/>
      </c>
      <c r="E51" s="6">
        <f>IF(C51="","",IF(RIGHT(D51,2)="CR","Cr",IF(RIGHT(D51,2)="DR","Dr","")))</f>
        <v/>
      </c>
      <c r="F51" s="6">
        <f>IF(C51="","",IF(E51&lt;&gt;"",LEFT(D51,LEN(D51)-2),D51))</f>
        <v/>
      </c>
      <c r="G51" s="13">
        <f>IF(C51="","",IF(OR(IF(AND(LEFT(F51,1)="(",RIGHT(F51,1)=")"),MID(F51,2,LEN(F51)-2),F51)="",IF(AND(LEFT(F51,1)="(",RIGHT(F51,1)=")"),MID(F51,2,LEN(F51)-2),F51)="-"),0,IFERROR(VALUE(IF(AND(LEFT(F51,1)="(",RIGHT(F51,1)=")"),MID(F51,2,LEN(F51)-2),F51))*IF(AND(LEFT(F51,1)="(",RIGHT(F51,1)=")"),-1,1)*IF(E51="Cr",Setup!$B$6,1),"ERR")))</f>
        <v/>
      </c>
      <c r="H51" s="6">
        <f>IF(C51="","",IF(ISNUMBER(G51),1,0))</f>
        <v/>
      </c>
      <c r="I51" s="6">
        <f>IF(C51="","",IF(SUMPRODUCT(($C$12:$C$1511=C51)*1)&gt;1,1,0))</f>
        <v/>
      </c>
      <c r="J51" s="6">
        <f>IF(C51="","",SUMPRODUCT((Mapping!$F$5:$F$504=Setup!$B$4&amp;"||"&amp;C51)*ROW(Mapping!$F$5:$F$504)))</f>
        <v/>
      </c>
      <c r="K51" s="6">
        <f>IF(C51="","",IF(J51=0,"UNMAPPED",LOWER(INDEX(Mapping!$D$1:$D$504,J51))))</f>
        <v/>
      </c>
      <c r="L51" s="6">
        <f>IF(K51="mapped",TRIM(INDEX(Mapping!$C$1:$C$504,J51)),"")</f>
        <v/>
      </c>
      <c r="M51" s="6">
        <f>IF(C51="","",IF(SUMPRODUCT(($C$12:C51=C51)*1)=1,1,0))</f>
        <v/>
      </c>
      <c r="N51" s="6">
        <f>IF(AND(K51="UNMAPPED",M51=1),ROW(),"")</f>
        <v/>
      </c>
      <c r="O51" s="6">
        <f>IF(AND(I51=1,M51=1),ROW(),"")</f>
        <v/>
      </c>
      <c r="P51" s="6">
        <f>IF(AND(K51="ignored",M51=1),ROW(),"")</f>
        <v/>
      </c>
    </row>
    <row r="52">
      <c r="A52" s="8" t="n"/>
      <c r="B52" s="8" t="n"/>
      <c r="C52" s="6">
        <f>TRIM(A52&amp;"")</f>
        <v/>
      </c>
      <c r="D52" s="6">
        <f>IF(C52="","",SUBSTITUTE(SUBSTITUTE(SUBSTITUTE(SUBSTITUTE(SUBSTITUTE(SUBSTITUTE(SUBSTITUTE(UPPER(TRIM(B52&amp;"")),"₹",""),"RS.",""),"RS",""),"INR",""),"$",""),",","")," ",""))</f>
        <v/>
      </c>
      <c r="E52" s="6">
        <f>IF(C52="","",IF(RIGHT(D52,2)="CR","Cr",IF(RIGHT(D52,2)="DR","Dr","")))</f>
        <v/>
      </c>
      <c r="F52" s="6">
        <f>IF(C52="","",IF(E52&lt;&gt;"",LEFT(D52,LEN(D52)-2),D52))</f>
        <v/>
      </c>
      <c r="G52" s="13">
        <f>IF(C52="","",IF(OR(IF(AND(LEFT(F52,1)="(",RIGHT(F52,1)=")"),MID(F52,2,LEN(F52)-2),F52)="",IF(AND(LEFT(F52,1)="(",RIGHT(F52,1)=")"),MID(F52,2,LEN(F52)-2),F52)="-"),0,IFERROR(VALUE(IF(AND(LEFT(F52,1)="(",RIGHT(F52,1)=")"),MID(F52,2,LEN(F52)-2),F52))*IF(AND(LEFT(F52,1)="(",RIGHT(F52,1)=")"),-1,1)*IF(E52="Cr",Setup!$B$6,1),"ERR")))</f>
        <v/>
      </c>
      <c r="H52" s="6">
        <f>IF(C52="","",IF(ISNUMBER(G52),1,0))</f>
        <v/>
      </c>
      <c r="I52" s="6">
        <f>IF(C52="","",IF(SUMPRODUCT(($C$12:$C$1511=C52)*1)&gt;1,1,0))</f>
        <v/>
      </c>
      <c r="J52" s="6">
        <f>IF(C52="","",SUMPRODUCT((Mapping!$F$5:$F$504=Setup!$B$4&amp;"||"&amp;C52)*ROW(Mapping!$F$5:$F$504)))</f>
        <v/>
      </c>
      <c r="K52" s="6">
        <f>IF(C52="","",IF(J52=0,"UNMAPPED",LOWER(INDEX(Mapping!$D$1:$D$504,J52))))</f>
        <v/>
      </c>
      <c r="L52" s="6">
        <f>IF(K52="mapped",TRIM(INDEX(Mapping!$C$1:$C$504,J52)),"")</f>
        <v/>
      </c>
      <c r="M52" s="6">
        <f>IF(C52="","",IF(SUMPRODUCT(($C$12:C52=C52)*1)=1,1,0))</f>
        <v/>
      </c>
      <c r="N52" s="6">
        <f>IF(AND(K52="UNMAPPED",M52=1),ROW(),"")</f>
        <v/>
      </c>
      <c r="O52" s="6">
        <f>IF(AND(I52=1,M52=1),ROW(),"")</f>
        <v/>
      </c>
      <c r="P52" s="6">
        <f>IF(AND(K52="ignored",M52=1),ROW(),"")</f>
        <v/>
      </c>
    </row>
    <row r="53">
      <c r="A53" s="8" t="n"/>
      <c r="B53" s="8" t="n"/>
      <c r="C53" s="6">
        <f>TRIM(A53&amp;"")</f>
        <v/>
      </c>
      <c r="D53" s="6">
        <f>IF(C53="","",SUBSTITUTE(SUBSTITUTE(SUBSTITUTE(SUBSTITUTE(SUBSTITUTE(SUBSTITUTE(SUBSTITUTE(UPPER(TRIM(B53&amp;"")),"₹",""),"RS.",""),"RS",""),"INR",""),"$",""),",","")," ",""))</f>
        <v/>
      </c>
      <c r="E53" s="6">
        <f>IF(C53="","",IF(RIGHT(D53,2)="CR","Cr",IF(RIGHT(D53,2)="DR","Dr","")))</f>
        <v/>
      </c>
      <c r="F53" s="6">
        <f>IF(C53="","",IF(E53&lt;&gt;"",LEFT(D53,LEN(D53)-2),D53))</f>
        <v/>
      </c>
      <c r="G53" s="13">
        <f>IF(C53="","",IF(OR(IF(AND(LEFT(F53,1)="(",RIGHT(F53,1)=")"),MID(F53,2,LEN(F53)-2),F53)="",IF(AND(LEFT(F53,1)="(",RIGHT(F53,1)=")"),MID(F53,2,LEN(F53)-2),F53)="-"),0,IFERROR(VALUE(IF(AND(LEFT(F53,1)="(",RIGHT(F53,1)=")"),MID(F53,2,LEN(F53)-2),F53))*IF(AND(LEFT(F53,1)="(",RIGHT(F53,1)=")"),-1,1)*IF(E53="Cr",Setup!$B$6,1),"ERR")))</f>
        <v/>
      </c>
      <c r="H53" s="6">
        <f>IF(C53="","",IF(ISNUMBER(G53),1,0))</f>
        <v/>
      </c>
      <c r="I53" s="6">
        <f>IF(C53="","",IF(SUMPRODUCT(($C$12:$C$1511=C53)*1)&gt;1,1,0))</f>
        <v/>
      </c>
      <c r="J53" s="6">
        <f>IF(C53="","",SUMPRODUCT((Mapping!$F$5:$F$504=Setup!$B$4&amp;"||"&amp;C53)*ROW(Mapping!$F$5:$F$504)))</f>
        <v/>
      </c>
      <c r="K53" s="6">
        <f>IF(C53="","",IF(J53=0,"UNMAPPED",LOWER(INDEX(Mapping!$D$1:$D$504,J53))))</f>
        <v/>
      </c>
      <c r="L53" s="6">
        <f>IF(K53="mapped",TRIM(INDEX(Mapping!$C$1:$C$504,J53)),"")</f>
        <v/>
      </c>
      <c r="M53" s="6">
        <f>IF(C53="","",IF(SUMPRODUCT(($C$12:C53=C53)*1)=1,1,0))</f>
        <v/>
      </c>
      <c r="N53" s="6">
        <f>IF(AND(K53="UNMAPPED",M53=1),ROW(),"")</f>
        <v/>
      </c>
      <c r="O53" s="6">
        <f>IF(AND(I53=1,M53=1),ROW(),"")</f>
        <v/>
      </c>
      <c r="P53" s="6">
        <f>IF(AND(K53="ignored",M53=1),ROW(),"")</f>
        <v/>
      </c>
    </row>
    <row r="54">
      <c r="A54" s="8" t="n"/>
      <c r="B54" s="8" t="n"/>
      <c r="C54" s="6">
        <f>TRIM(A54&amp;"")</f>
        <v/>
      </c>
      <c r="D54" s="6">
        <f>IF(C54="","",SUBSTITUTE(SUBSTITUTE(SUBSTITUTE(SUBSTITUTE(SUBSTITUTE(SUBSTITUTE(SUBSTITUTE(UPPER(TRIM(B54&amp;"")),"₹",""),"RS.",""),"RS",""),"INR",""),"$",""),",","")," ",""))</f>
        <v/>
      </c>
      <c r="E54" s="6">
        <f>IF(C54="","",IF(RIGHT(D54,2)="CR","Cr",IF(RIGHT(D54,2)="DR","Dr","")))</f>
        <v/>
      </c>
      <c r="F54" s="6">
        <f>IF(C54="","",IF(E54&lt;&gt;"",LEFT(D54,LEN(D54)-2),D54))</f>
        <v/>
      </c>
      <c r="G54" s="13">
        <f>IF(C54="","",IF(OR(IF(AND(LEFT(F54,1)="(",RIGHT(F54,1)=")"),MID(F54,2,LEN(F54)-2),F54)="",IF(AND(LEFT(F54,1)="(",RIGHT(F54,1)=")"),MID(F54,2,LEN(F54)-2),F54)="-"),0,IFERROR(VALUE(IF(AND(LEFT(F54,1)="(",RIGHT(F54,1)=")"),MID(F54,2,LEN(F54)-2),F54))*IF(AND(LEFT(F54,1)="(",RIGHT(F54,1)=")"),-1,1)*IF(E54="Cr",Setup!$B$6,1),"ERR")))</f>
        <v/>
      </c>
      <c r="H54" s="6">
        <f>IF(C54="","",IF(ISNUMBER(G54),1,0))</f>
        <v/>
      </c>
      <c r="I54" s="6">
        <f>IF(C54="","",IF(SUMPRODUCT(($C$12:$C$1511=C54)*1)&gt;1,1,0))</f>
        <v/>
      </c>
      <c r="J54" s="6">
        <f>IF(C54="","",SUMPRODUCT((Mapping!$F$5:$F$504=Setup!$B$4&amp;"||"&amp;C54)*ROW(Mapping!$F$5:$F$504)))</f>
        <v/>
      </c>
      <c r="K54" s="6">
        <f>IF(C54="","",IF(J54=0,"UNMAPPED",LOWER(INDEX(Mapping!$D$1:$D$504,J54))))</f>
        <v/>
      </c>
      <c r="L54" s="6">
        <f>IF(K54="mapped",TRIM(INDEX(Mapping!$C$1:$C$504,J54)),"")</f>
        <v/>
      </c>
      <c r="M54" s="6">
        <f>IF(C54="","",IF(SUMPRODUCT(($C$12:C54=C54)*1)=1,1,0))</f>
        <v/>
      </c>
      <c r="N54" s="6">
        <f>IF(AND(K54="UNMAPPED",M54=1),ROW(),"")</f>
        <v/>
      </c>
      <c r="O54" s="6">
        <f>IF(AND(I54=1,M54=1),ROW(),"")</f>
        <v/>
      </c>
      <c r="P54" s="6">
        <f>IF(AND(K54="ignored",M54=1),ROW(),"")</f>
        <v/>
      </c>
    </row>
    <row r="55">
      <c r="A55" s="8" t="n"/>
      <c r="B55" s="8" t="n"/>
      <c r="C55" s="6">
        <f>TRIM(A55&amp;"")</f>
        <v/>
      </c>
      <c r="D55" s="6">
        <f>IF(C55="","",SUBSTITUTE(SUBSTITUTE(SUBSTITUTE(SUBSTITUTE(SUBSTITUTE(SUBSTITUTE(SUBSTITUTE(UPPER(TRIM(B55&amp;"")),"₹",""),"RS.",""),"RS",""),"INR",""),"$",""),",","")," ",""))</f>
        <v/>
      </c>
      <c r="E55" s="6">
        <f>IF(C55="","",IF(RIGHT(D55,2)="CR","Cr",IF(RIGHT(D55,2)="DR","Dr","")))</f>
        <v/>
      </c>
      <c r="F55" s="6">
        <f>IF(C55="","",IF(E55&lt;&gt;"",LEFT(D55,LEN(D55)-2),D55))</f>
        <v/>
      </c>
      <c r="G55" s="13">
        <f>IF(C55="","",IF(OR(IF(AND(LEFT(F55,1)="(",RIGHT(F55,1)=")"),MID(F55,2,LEN(F55)-2),F55)="",IF(AND(LEFT(F55,1)="(",RIGHT(F55,1)=")"),MID(F55,2,LEN(F55)-2),F55)="-"),0,IFERROR(VALUE(IF(AND(LEFT(F55,1)="(",RIGHT(F55,1)=")"),MID(F55,2,LEN(F55)-2),F55))*IF(AND(LEFT(F55,1)="(",RIGHT(F55,1)=")"),-1,1)*IF(E55="Cr",Setup!$B$6,1),"ERR")))</f>
        <v/>
      </c>
      <c r="H55" s="6">
        <f>IF(C55="","",IF(ISNUMBER(G55),1,0))</f>
        <v/>
      </c>
      <c r="I55" s="6">
        <f>IF(C55="","",IF(SUMPRODUCT(($C$12:$C$1511=C55)*1)&gt;1,1,0))</f>
        <v/>
      </c>
      <c r="J55" s="6">
        <f>IF(C55="","",SUMPRODUCT((Mapping!$F$5:$F$504=Setup!$B$4&amp;"||"&amp;C55)*ROW(Mapping!$F$5:$F$504)))</f>
        <v/>
      </c>
      <c r="K55" s="6">
        <f>IF(C55="","",IF(J55=0,"UNMAPPED",LOWER(INDEX(Mapping!$D$1:$D$504,J55))))</f>
        <v/>
      </c>
      <c r="L55" s="6">
        <f>IF(K55="mapped",TRIM(INDEX(Mapping!$C$1:$C$504,J55)),"")</f>
        <v/>
      </c>
      <c r="M55" s="6">
        <f>IF(C55="","",IF(SUMPRODUCT(($C$12:C55=C55)*1)=1,1,0))</f>
        <v/>
      </c>
      <c r="N55" s="6">
        <f>IF(AND(K55="UNMAPPED",M55=1),ROW(),"")</f>
        <v/>
      </c>
      <c r="O55" s="6">
        <f>IF(AND(I55=1,M55=1),ROW(),"")</f>
        <v/>
      </c>
      <c r="P55" s="6">
        <f>IF(AND(K55="ignored",M55=1),ROW(),"")</f>
        <v/>
      </c>
    </row>
    <row r="56">
      <c r="A56" s="8" t="n"/>
      <c r="B56" s="8" t="n"/>
      <c r="C56" s="6">
        <f>TRIM(A56&amp;"")</f>
        <v/>
      </c>
      <c r="D56" s="6">
        <f>IF(C56="","",SUBSTITUTE(SUBSTITUTE(SUBSTITUTE(SUBSTITUTE(SUBSTITUTE(SUBSTITUTE(SUBSTITUTE(UPPER(TRIM(B56&amp;"")),"₹",""),"RS.",""),"RS",""),"INR",""),"$",""),",","")," ",""))</f>
        <v/>
      </c>
      <c r="E56" s="6">
        <f>IF(C56="","",IF(RIGHT(D56,2)="CR","Cr",IF(RIGHT(D56,2)="DR","Dr","")))</f>
        <v/>
      </c>
      <c r="F56" s="6">
        <f>IF(C56="","",IF(E56&lt;&gt;"",LEFT(D56,LEN(D56)-2),D56))</f>
        <v/>
      </c>
      <c r="G56" s="13">
        <f>IF(C56="","",IF(OR(IF(AND(LEFT(F56,1)="(",RIGHT(F56,1)=")"),MID(F56,2,LEN(F56)-2),F56)="",IF(AND(LEFT(F56,1)="(",RIGHT(F56,1)=")"),MID(F56,2,LEN(F56)-2),F56)="-"),0,IFERROR(VALUE(IF(AND(LEFT(F56,1)="(",RIGHT(F56,1)=")"),MID(F56,2,LEN(F56)-2),F56))*IF(AND(LEFT(F56,1)="(",RIGHT(F56,1)=")"),-1,1)*IF(E56="Cr",Setup!$B$6,1),"ERR")))</f>
        <v/>
      </c>
      <c r="H56" s="6">
        <f>IF(C56="","",IF(ISNUMBER(G56),1,0))</f>
        <v/>
      </c>
      <c r="I56" s="6">
        <f>IF(C56="","",IF(SUMPRODUCT(($C$12:$C$1511=C56)*1)&gt;1,1,0))</f>
        <v/>
      </c>
      <c r="J56" s="6">
        <f>IF(C56="","",SUMPRODUCT((Mapping!$F$5:$F$504=Setup!$B$4&amp;"||"&amp;C56)*ROW(Mapping!$F$5:$F$504)))</f>
        <v/>
      </c>
      <c r="K56" s="6">
        <f>IF(C56="","",IF(J56=0,"UNMAPPED",LOWER(INDEX(Mapping!$D$1:$D$504,J56))))</f>
        <v/>
      </c>
      <c r="L56" s="6">
        <f>IF(K56="mapped",TRIM(INDEX(Mapping!$C$1:$C$504,J56)),"")</f>
        <v/>
      </c>
      <c r="M56" s="6">
        <f>IF(C56="","",IF(SUMPRODUCT(($C$12:C56=C56)*1)=1,1,0))</f>
        <v/>
      </c>
      <c r="N56" s="6">
        <f>IF(AND(K56="UNMAPPED",M56=1),ROW(),"")</f>
        <v/>
      </c>
      <c r="O56" s="6">
        <f>IF(AND(I56=1,M56=1),ROW(),"")</f>
        <v/>
      </c>
      <c r="P56" s="6">
        <f>IF(AND(K56="ignored",M56=1),ROW(),"")</f>
        <v/>
      </c>
    </row>
    <row r="57">
      <c r="A57" s="8" t="n"/>
      <c r="B57" s="8" t="n"/>
      <c r="C57" s="6">
        <f>TRIM(A57&amp;"")</f>
        <v/>
      </c>
      <c r="D57" s="6">
        <f>IF(C57="","",SUBSTITUTE(SUBSTITUTE(SUBSTITUTE(SUBSTITUTE(SUBSTITUTE(SUBSTITUTE(SUBSTITUTE(UPPER(TRIM(B57&amp;"")),"₹",""),"RS.",""),"RS",""),"INR",""),"$",""),",","")," ",""))</f>
        <v/>
      </c>
      <c r="E57" s="6">
        <f>IF(C57="","",IF(RIGHT(D57,2)="CR","Cr",IF(RIGHT(D57,2)="DR","Dr","")))</f>
        <v/>
      </c>
      <c r="F57" s="6">
        <f>IF(C57="","",IF(E57&lt;&gt;"",LEFT(D57,LEN(D57)-2),D57))</f>
        <v/>
      </c>
      <c r="G57" s="13">
        <f>IF(C57="","",IF(OR(IF(AND(LEFT(F57,1)="(",RIGHT(F57,1)=")"),MID(F57,2,LEN(F57)-2),F57)="",IF(AND(LEFT(F57,1)="(",RIGHT(F57,1)=")"),MID(F57,2,LEN(F57)-2),F57)="-"),0,IFERROR(VALUE(IF(AND(LEFT(F57,1)="(",RIGHT(F57,1)=")"),MID(F57,2,LEN(F57)-2),F57))*IF(AND(LEFT(F57,1)="(",RIGHT(F57,1)=")"),-1,1)*IF(E57="Cr",Setup!$B$6,1),"ERR")))</f>
        <v/>
      </c>
      <c r="H57" s="6">
        <f>IF(C57="","",IF(ISNUMBER(G57),1,0))</f>
        <v/>
      </c>
      <c r="I57" s="6">
        <f>IF(C57="","",IF(SUMPRODUCT(($C$12:$C$1511=C57)*1)&gt;1,1,0))</f>
        <v/>
      </c>
      <c r="J57" s="6">
        <f>IF(C57="","",SUMPRODUCT((Mapping!$F$5:$F$504=Setup!$B$4&amp;"||"&amp;C57)*ROW(Mapping!$F$5:$F$504)))</f>
        <v/>
      </c>
      <c r="K57" s="6">
        <f>IF(C57="","",IF(J57=0,"UNMAPPED",LOWER(INDEX(Mapping!$D$1:$D$504,J57))))</f>
        <v/>
      </c>
      <c r="L57" s="6">
        <f>IF(K57="mapped",TRIM(INDEX(Mapping!$C$1:$C$504,J57)),"")</f>
        <v/>
      </c>
      <c r="M57" s="6">
        <f>IF(C57="","",IF(SUMPRODUCT(($C$12:C57=C57)*1)=1,1,0))</f>
        <v/>
      </c>
      <c r="N57" s="6">
        <f>IF(AND(K57="UNMAPPED",M57=1),ROW(),"")</f>
        <v/>
      </c>
      <c r="O57" s="6">
        <f>IF(AND(I57=1,M57=1),ROW(),"")</f>
        <v/>
      </c>
      <c r="P57" s="6">
        <f>IF(AND(K57="ignored",M57=1),ROW(),"")</f>
        <v/>
      </c>
    </row>
    <row r="58">
      <c r="A58" s="8" t="n"/>
      <c r="B58" s="8" t="n"/>
      <c r="C58" s="6">
        <f>TRIM(A58&amp;"")</f>
        <v/>
      </c>
      <c r="D58" s="6">
        <f>IF(C58="","",SUBSTITUTE(SUBSTITUTE(SUBSTITUTE(SUBSTITUTE(SUBSTITUTE(SUBSTITUTE(SUBSTITUTE(UPPER(TRIM(B58&amp;"")),"₹",""),"RS.",""),"RS",""),"INR",""),"$",""),",","")," ",""))</f>
        <v/>
      </c>
      <c r="E58" s="6">
        <f>IF(C58="","",IF(RIGHT(D58,2)="CR","Cr",IF(RIGHT(D58,2)="DR","Dr","")))</f>
        <v/>
      </c>
      <c r="F58" s="6">
        <f>IF(C58="","",IF(E58&lt;&gt;"",LEFT(D58,LEN(D58)-2),D58))</f>
        <v/>
      </c>
      <c r="G58" s="13">
        <f>IF(C58="","",IF(OR(IF(AND(LEFT(F58,1)="(",RIGHT(F58,1)=")"),MID(F58,2,LEN(F58)-2),F58)="",IF(AND(LEFT(F58,1)="(",RIGHT(F58,1)=")"),MID(F58,2,LEN(F58)-2),F58)="-"),0,IFERROR(VALUE(IF(AND(LEFT(F58,1)="(",RIGHT(F58,1)=")"),MID(F58,2,LEN(F58)-2),F58))*IF(AND(LEFT(F58,1)="(",RIGHT(F58,1)=")"),-1,1)*IF(E58="Cr",Setup!$B$6,1),"ERR")))</f>
        <v/>
      </c>
      <c r="H58" s="6">
        <f>IF(C58="","",IF(ISNUMBER(G58),1,0))</f>
        <v/>
      </c>
      <c r="I58" s="6">
        <f>IF(C58="","",IF(SUMPRODUCT(($C$12:$C$1511=C58)*1)&gt;1,1,0))</f>
        <v/>
      </c>
      <c r="J58" s="6">
        <f>IF(C58="","",SUMPRODUCT((Mapping!$F$5:$F$504=Setup!$B$4&amp;"||"&amp;C58)*ROW(Mapping!$F$5:$F$504)))</f>
        <v/>
      </c>
      <c r="K58" s="6">
        <f>IF(C58="","",IF(J58=0,"UNMAPPED",LOWER(INDEX(Mapping!$D$1:$D$504,J58))))</f>
        <v/>
      </c>
      <c r="L58" s="6">
        <f>IF(K58="mapped",TRIM(INDEX(Mapping!$C$1:$C$504,J58)),"")</f>
        <v/>
      </c>
      <c r="M58" s="6">
        <f>IF(C58="","",IF(SUMPRODUCT(($C$12:C58=C58)*1)=1,1,0))</f>
        <v/>
      </c>
      <c r="N58" s="6">
        <f>IF(AND(K58="UNMAPPED",M58=1),ROW(),"")</f>
        <v/>
      </c>
      <c r="O58" s="6">
        <f>IF(AND(I58=1,M58=1),ROW(),"")</f>
        <v/>
      </c>
      <c r="P58" s="6">
        <f>IF(AND(K58="ignored",M58=1),ROW(),"")</f>
        <v/>
      </c>
    </row>
    <row r="59">
      <c r="A59" s="8" t="n"/>
      <c r="B59" s="8" t="n"/>
      <c r="C59" s="6">
        <f>TRIM(A59&amp;"")</f>
        <v/>
      </c>
      <c r="D59" s="6">
        <f>IF(C59="","",SUBSTITUTE(SUBSTITUTE(SUBSTITUTE(SUBSTITUTE(SUBSTITUTE(SUBSTITUTE(SUBSTITUTE(UPPER(TRIM(B59&amp;"")),"₹",""),"RS.",""),"RS",""),"INR",""),"$",""),",","")," ",""))</f>
        <v/>
      </c>
      <c r="E59" s="6">
        <f>IF(C59="","",IF(RIGHT(D59,2)="CR","Cr",IF(RIGHT(D59,2)="DR","Dr","")))</f>
        <v/>
      </c>
      <c r="F59" s="6">
        <f>IF(C59="","",IF(E59&lt;&gt;"",LEFT(D59,LEN(D59)-2),D59))</f>
        <v/>
      </c>
      <c r="G59" s="13">
        <f>IF(C59="","",IF(OR(IF(AND(LEFT(F59,1)="(",RIGHT(F59,1)=")"),MID(F59,2,LEN(F59)-2),F59)="",IF(AND(LEFT(F59,1)="(",RIGHT(F59,1)=")"),MID(F59,2,LEN(F59)-2),F59)="-"),0,IFERROR(VALUE(IF(AND(LEFT(F59,1)="(",RIGHT(F59,1)=")"),MID(F59,2,LEN(F59)-2),F59))*IF(AND(LEFT(F59,1)="(",RIGHT(F59,1)=")"),-1,1)*IF(E59="Cr",Setup!$B$6,1),"ERR")))</f>
        <v/>
      </c>
      <c r="H59" s="6">
        <f>IF(C59="","",IF(ISNUMBER(G59),1,0))</f>
        <v/>
      </c>
      <c r="I59" s="6">
        <f>IF(C59="","",IF(SUMPRODUCT(($C$12:$C$1511=C59)*1)&gt;1,1,0))</f>
        <v/>
      </c>
      <c r="J59" s="6">
        <f>IF(C59="","",SUMPRODUCT((Mapping!$F$5:$F$504=Setup!$B$4&amp;"||"&amp;C59)*ROW(Mapping!$F$5:$F$504)))</f>
        <v/>
      </c>
      <c r="K59" s="6">
        <f>IF(C59="","",IF(J59=0,"UNMAPPED",LOWER(INDEX(Mapping!$D$1:$D$504,J59))))</f>
        <v/>
      </c>
      <c r="L59" s="6">
        <f>IF(K59="mapped",TRIM(INDEX(Mapping!$C$1:$C$504,J59)),"")</f>
        <v/>
      </c>
      <c r="M59" s="6">
        <f>IF(C59="","",IF(SUMPRODUCT(($C$12:C59=C59)*1)=1,1,0))</f>
        <v/>
      </c>
      <c r="N59" s="6">
        <f>IF(AND(K59="UNMAPPED",M59=1),ROW(),"")</f>
        <v/>
      </c>
      <c r="O59" s="6">
        <f>IF(AND(I59=1,M59=1),ROW(),"")</f>
        <v/>
      </c>
      <c r="P59" s="6">
        <f>IF(AND(K59="ignored",M59=1),ROW(),"")</f>
        <v/>
      </c>
    </row>
    <row r="60">
      <c r="A60" s="8" t="n"/>
      <c r="B60" s="8" t="n"/>
      <c r="C60" s="6">
        <f>TRIM(A60&amp;"")</f>
        <v/>
      </c>
      <c r="D60" s="6">
        <f>IF(C60="","",SUBSTITUTE(SUBSTITUTE(SUBSTITUTE(SUBSTITUTE(SUBSTITUTE(SUBSTITUTE(SUBSTITUTE(UPPER(TRIM(B60&amp;"")),"₹",""),"RS.",""),"RS",""),"INR",""),"$",""),",","")," ",""))</f>
        <v/>
      </c>
      <c r="E60" s="6">
        <f>IF(C60="","",IF(RIGHT(D60,2)="CR","Cr",IF(RIGHT(D60,2)="DR","Dr","")))</f>
        <v/>
      </c>
      <c r="F60" s="6">
        <f>IF(C60="","",IF(E60&lt;&gt;"",LEFT(D60,LEN(D60)-2),D60))</f>
        <v/>
      </c>
      <c r="G60" s="13">
        <f>IF(C60="","",IF(OR(IF(AND(LEFT(F60,1)="(",RIGHT(F60,1)=")"),MID(F60,2,LEN(F60)-2),F60)="",IF(AND(LEFT(F60,1)="(",RIGHT(F60,1)=")"),MID(F60,2,LEN(F60)-2),F60)="-"),0,IFERROR(VALUE(IF(AND(LEFT(F60,1)="(",RIGHT(F60,1)=")"),MID(F60,2,LEN(F60)-2),F60))*IF(AND(LEFT(F60,1)="(",RIGHT(F60,1)=")"),-1,1)*IF(E60="Cr",Setup!$B$6,1),"ERR")))</f>
        <v/>
      </c>
      <c r="H60" s="6">
        <f>IF(C60="","",IF(ISNUMBER(G60),1,0))</f>
        <v/>
      </c>
      <c r="I60" s="6">
        <f>IF(C60="","",IF(SUMPRODUCT(($C$12:$C$1511=C60)*1)&gt;1,1,0))</f>
        <v/>
      </c>
      <c r="J60" s="6">
        <f>IF(C60="","",SUMPRODUCT((Mapping!$F$5:$F$504=Setup!$B$4&amp;"||"&amp;C60)*ROW(Mapping!$F$5:$F$504)))</f>
        <v/>
      </c>
      <c r="K60" s="6">
        <f>IF(C60="","",IF(J60=0,"UNMAPPED",LOWER(INDEX(Mapping!$D$1:$D$504,J60))))</f>
        <v/>
      </c>
      <c r="L60" s="6">
        <f>IF(K60="mapped",TRIM(INDEX(Mapping!$C$1:$C$504,J60)),"")</f>
        <v/>
      </c>
      <c r="M60" s="6">
        <f>IF(C60="","",IF(SUMPRODUCT(($C$12:C60=C60)*1)=1,1,0))</f>
        <v/>
      </c>
      <c r="N60" s="6">
        <f>IF(AND(K60="UNMAPPED",M60=1),ROW(),"")</f>
        <v/>
      </c>
      <c r="O60" s="6">
        <f>IF(AND(I60=1,M60=1),ROW(),"")</f>
        <v/>
      </c>
      <c r="P60" s="6">
        <f>IF(AND(K60="ignored",M60=1),ROW(),"")</f>
        <v/>
      </c>
    </row>
    <row r="61">
      <c r="A61" s="8" t="n"/>
      <c r="B61" s="8" t="n"/>
      <c r="C61" s="6">
        <f>TRIM(A61&amp;"")</f>
        <v/>
      </c>
      <c r="D61" s="6">
        <f>IF(C61="","",SUBSTITUTE(SUBSTITUTE(SUBSTITUTE(SUBSTITUTE(SUBSTITUTE(SUBSTITUTE(SUBSTITUTE(UPPER(TRIM(B61&amp;"")),"₹",""),"RS.",""),"RS",""),"INR",""),"$",""),",","")," ",""))</f>
        <v/>
      </c>
      <c r="E61" s="6">
        <f>IF(C61="","",IF(RIGHT(D61,2)="CR","Cr",IF(RIGHT(D61,2)="DR","Dr","")))</f>
        <v/>
      </c>
      <c r="F61" s="6">
        <f>IF(C61="","",IF(E61&lt;&gt;"",LEFT(D61,LEN(D61)-2),D61))</f>
        <v/>
      </c>
      <c r="G61" s="13">
        <f>IF(C61="","",IF(OR(IF(AND(LEFT(F61,1)="(",RIGHT(F61,1)=")"),MID(F61,2,LEN(F61)-2),F61)="",IF(AND(LEFT(F61,1)="(",RIGHT(F61,1)=")"),MID(F61,2,LEN(F61)-2),F61)="-"),0,IFERROR(VALUE(IF(AND(LEFT(F61,1)="(",RIGHT(F61,1)=")"),MID(F61,2,LEN(F61)-2),F61))*IF(AND(LEFT(F61,1)="(",RIGHT(F61,1)=")"),-1,1)*IF(E61="Cr",Setup!$B$6,1),"ERR")))</f>
        <v/>
      </c>
      <c r="H61" s="6">
        <f>IF(C61="","",IF(ISNUMBER(G61),1,0))</f>
        <v/>
      </c>
      <c r="I61" s="6">
        <f>IF(C61="","",IF(SUMPRODUCT(($C$12:$C$1511=C61)*1)&gt;1,1,0))</f>
        <v/>
      </c>
      <c r="J61" s="6">
        <f>IF(C61="","",SUMPRODUCT((Mapping!$F$5:$F$504=Setup!$B$4&amp;"||"&amp;C61)*ROW(Mapping!$F$5:$F$504)))</f>
        <v/>
      </c>
      <c r="K61" s="6">
        <f>IF(C61="","",IF(J61=0,"UNMAPPED",LOWER(INDEX(Mapping!$D$1:$D$504,J61))))</f>
        <v/>
      </c>
      <c r="L61" s="6">
        <f>IF(K61="mapped",TRIM(INDEX(Mapping!$C$1:$C$504,J61)),"")</f>
        <v/>
      </c>
      <c r="M61" s="6">
        <f>IF(C61="","",IF(SUMPRODUCT(($C$12:C61=C61)*1)=1,1,0))</f>
        <v/>
      </c>
      <c r="N61" s="6">
        <f>IF(AND(K61="UNMAPPED",M61=1),ROW(),"")</f>
        <v/>
      </c>
      <c r="O61" s="6">
        <f>IF(AND(I61=1,M61=1),ROW(),"")</f>
        <v/>
      </c>
      <c r="P61" s="6">
        <f>IF(AND(K61="ignored",M61=1),ROW(),"")</f>
        <v/>
      </c>
    </row>
    <row r="62">
      <c r="A62" s="8" t="n"/>
      <c r="B62" s="8" t="n"/>
      <c r="C62" s="6">
        <f>TRIM(A62&amp;"")</f>
        <v/>
      </c>
      <c r="D62" s="6">
        <f>IF(C62="","",SUBSTITUTE(SUBSTITUTE(SUBSTITUTE(SUBSTITUTE(SUBSTITUTE(SUBSTITUTE(SUBSTITUTE(UPPER(TRIM(B62&amp;"")),"₹",""),"RS.",""),"RS",""),"INR",""),"$",""),",","")," ",""))</f>
        <v/>
      </c>
      <c r="E62" s="6">
        <f>IF(C62="","",IF(RIGHT(D62,2)="CR","Cr",IF(RIGHT(D62,2)="DR","Dr","")))</f>
        <v/>
      </c>
      <c r="F62" s="6">
        <f>IF(C62="","",IF(E62&lt;&gt;"",LEFT(D62,LEN(D62)-2),D62))</f>
        <v/>
      </c>
      <c r="G62" s="13">
        <f>IF(C62="","",IF(OR(IF(AND(LEFT(F62,1)="(",RIGHT(F62,1)=")"),MID(F62,2,LEN(F62)-2),F62)="",IF(AND(LEFT(F62,1)="(",RIGHT(F62,1)=")"),MID(F62,2,LEN(F62)-2),F62)="-"),0,IFERROR(VALUE(IF(AND(LEFT(F62,1)="(",RIGHT(F62,1)=")"),MID(F62,2,LEN(F62)-2),F62))*IF(AND(LEFT(F62,1)="(",RIGHT(F62,1)=")"),-1,1)*IF(E62="Cr",Setup!$B$6,1),"ERR")))</f>
        <v/>
      </c>
      <c r="H62" s="6">
        <f>IF(C62="","",IF(ISNUMBER(G62),1,0))</f>
        <v/>
      </c>
      <c r="I62" s="6">
        <f>IF(C62="","",IF(SUMPRODUCT(($C$12:$C$1511=C62)*1)&gt;1,1,0))</f>
        <v/>
      </c>
      <c r="J62" s="6">
        <f>IF(C62="","",SUMPRODUCT((Mapping!$F$5:$F$504=Setup!$B$4&amp;"||"&amp;C62)*ROW(Mapping!$F$5:$F$504)))</f>
        <v/>
      </c>
      <c r="K62" s="6">
        <f>IF(C62="","",IF(J62=0,"UNMAPPED",LOWER(INDEX(Mapping!$D$1:$D$504,J62))))</f>
        <v/>
      </c>
      <c r="L62" s="6">
        <f>IF(K62="mapped",TRIM(INDEX(Mapping!$C$1:$C$504,J62)),"")</f>
        <v/>
      </c>
      <c r="M62" s="6">
        <f>IF(C62="","",IF(SUMPRODUCT(($C$12:C62=C62)*1)=1,1,0))</f>
        <v/>
      </c>
      <c r="N62" s="6">
        <f>IF(AND(K62="UNMAPPED",M62=1),ROW(),"")</f>
        <v/>
      </c>
      <c r="O62" s="6">
        <f>IF(AND(I62=1,M62=1),ROW(),"")</f>
        <v/>
      </c>
      <c r="P62" s="6">
        <f>IF(AND(K62="ignored",M62=1),ROW(),"")</f>
        <v/>
      </c>
    </row>
    <row r="63">
      <c r="A63" s="8" t="n"/>
      <c r="B63" s="8" t="n"/>
      <c r="C63" s="6">
        <f>TRIM(A63&amp;"")</f>
        <v/>
      </c>
      <c r="D63" s="6">
        <f>IF(C63="","",SUBSTITUTE(SUBSTITUTE(SUBSTITUTE(SUBSTITUTE(SUBSTITUTE(SUBSTITUTE(SUBSTITUTE(UPPER(TRIM(B63&amp;"")),"₹",""),"RS.",""),"RS",""),"INR",""),"$",""),",","")," ",""))</f>
        <v/>
      </c>
      <c r="E63" s="6">
        <f>IF(C63="","",IF(RIGHT(D63,2)="CR","Cr",IF(RIGHT(D63,2)="DR","Dr","")))</f>
        <v/>
      </c>
      <c r="F63" s="6">
        <f>IF(C63="","",IF(E63&lt;&gt;"",LEFT(D63,LEN(D63)-2),D63))</f>
        <v/>
      </c>
      <c r="G63" s="13">
        <f>IF(C63="","",IF(OR(IF(AND(LEFT(F63,1)="(",RIGHT(F63,1)=")"),MID(F63,2,LEN(F63)-2),F63)="",IF(AND(LEFT(F63,1)="(",RIGHT(F63,1)=")"),MID(F63,2,LEN(F63)-2),F63)="-"),0,IFERROR(VALUE(IF(AND(LEFT(F63,1)="(",RIGHT(F63,1)=")"),MID(F63,2,LEN(F63)-2),F63))*IF(AND(LEFT(F63,1)="(",RIGHT(F63,1)=")"),-1,1)*IF(E63="Cr",Setup!$B$6,1),"ERR")))</f>
        <v/>
      </c>
      <c r="H63" s="6">
        <f>IF(C63="","",IF(ISNUMBER(G63),1,0))</f>
        <v/>
      </c>
      <c r="I63" s="6">
        <f>IF(C63="","",IF(SUMPRODUCT(($C$12:$C$1511=C63)*1)&gt;1,1,0))</f>
        <v/>
      </c>
      <c r="J63" s="6">
        <f>IF(C63="","",SUMPRODUCT((Mapping!$F$5:$F$504=Setup!$B$4&amp;"||"&amp;C63)*ROW(Mapping!$F$5:$F$504)))</f>
        <v/>
      </c>
      <c r="K63" s="6">
        <f>IF(C63="","",IF(J63=0,"UNMAPPED",LOWER(INDEX(Mapping!$D$1:$D$504,J63))))</f>
        <v/>
      </c>
      <c r="L63" s="6">
        <f>IF(K63="mapped",TRIM(INDEX(Mapping!$C$1:$C$504,J63)),"")</f>
        <v/>
      </c>
      <c r="M63" s="6">
        <f>IF(C63="","",IF(SUMPRODUCT(($C$12:C63=C63)*1)=1,1,0))</f>
        <v/>
      </c>
      <c r="N63" s="6">
        <f>IF(AND(K63="UNMAPPED",M63=1),ROW(),"")</f>
        <v/>
      </c>
      <c r="O63" s="6">
        <f>IF(AND(I63=1,M63=1),ROW(),"")</f>
        <v/>
      </c>
      <c r="P63" s="6">
        <f>IF(AND(K63="ignored",M63=1),ROW(),"")</f>
        <v/>
      </c>
    </row>
    <row r="64">
      <c r="A64" s="8" t="n"/>
      <c r="B64" s="8" t="n"/>
      <c r="C64" s="6">
        <f>TRIM(A64&amp;"")</f>
        <v/>
      </c>
      <c r="D64" s="6">
        <f>IF(C64="","",SUBSTITUTE(SUBSTITUTE(SUBSTITUTE(SUBSTITUTE(SUBSTITUTE(SUBSTITUTE(SUBSTITUTE(UPPER(TRIM(B64&amp;"")),"₹",""),"RS.",""),"RS",""),"INR",""),"$",""),",","")," ",""))</f>
        <v/>
      </c>
      <c r="E64" s="6">
        <f>IF(C64="","",IF(RIGHT(D64,2)="CR","Cr",IF(RIGHT(D64,2)="DR","Dr","")))</f>
        <v/>
      </c>
      <c r="F64" s="6">
        <f>IF(C64="","",IF(E64&lt;&gt;"",LEFT(D64,LEN(D64)-2),D64))</f>
        <v/>
      </c>
      <c r="G64" s="13">
        <f>IF(C64="","",IF(OR(IF(AND(LEFT(F64,1)="(",RIGHT(F64,1)=")"),MID(F64,2,LEN(F64)-2),F64)="",IF(AND(LEFT(F64,1)="(",RIGHT(F64,1)=")"),MID(F64,2,LEN(F64)-2),F64)="-"),0,IFERROR(VALUE(IF(AND(LEFT(F64,1)="(",RIGHT(F64,1)=")"),MID(F64,2,LEN(F64)-2),F64))*IF(AND(LEFT(F64,1)="(",RIGHT(F64,1)=")"),-1,1)*IF(E64="Cr",Setup!$B$6,1),"ERR")))</f>
        <v/>
      </c>
      <c r="H64" s="6">
        <f>IF(C64="","",IF(ISNUMBER(G64),1,0))</f>
        <v/>
      </c>
      <c r="I64" s="6">
        <f>IF(C64="","",IF(SUMPRODUCT(($C$12:$C$1511=C64)*1)&gt;1,1,0))</f>
        <v/>
      </c>
      <c r="J64" s="6">
        <f>IF(C64="","",SUMPRODUCT((Mapping!$F$5:$F$504=Setup!$B$4&amp;"||"&amp;C64)*ROW(Mapping!$F$5:$F$504)))</f>
        <v/>
      </c>
      <c r="K64" s="6">
        <f>IF(C64="","",IF(J64=0,"UNMAPPED",LOWER(INDEX(Mapping!$D$1:$D$504,J64))))</f>
        <v/>
      </c>
      <c r="L64" s="6">
        <f>IF(K64="mapped",TRIM(INDEX(Mapping!$C$1:$C$504,J64)),"")</f>
        <v/>
      </c>
      <c r="M64" s="6">
        <f>IF(C64="","",IF(SUMPRODUCT(($C$12:C64=C64)*1)=1,1,0))</f>
        <v/>
      </c>
      <c r="N64" s="6">
        <f>IF(AND(K64="UNMAPPED",M64=1),ROW(),"")</f>
        <v/>
      </c>
      <c r="O64" s="6">
        <f>IF(AND(I64=1,M64=1),ROW(),"")</f>
        <v/>
      </c>
      <c r="P64" s="6">
        <f>IF(AND(K64="ignored",M64=1),ROW(),"")</f>
        <v/>
      </c>
    </row>
    <row r="65">
      <c r="A65" s="8" t="n"/>
      <c r="B65" s="8" t="n"/>
      <c r="C65" s="6">
        <f>TRIM(A65&amp;"")</f>
        <v/>
      </c>
      <c r="D65" s="6">
        <f>IF(C65="","",SUBSTITUTE(SUBSTITUTE(SUBSTITUTE(SUBSTITUTE(SUBSTITUTE(SUBSTITUTE(SUBSTITUTE(UPPER(TRIM(B65&amp;"")),"₹",""),"RS.",""),"RS",""),"INR",""),"$",""),",","")," ",""))</f>
        <v/>
      </c>
      <c r="E65" s="6">
        <f>IF(C65="","",IF(RIGHT(D65,2)="CR","Cr",IF(RIGHT(D65,2)="DR","Dr","")))</f>
        <v/>
      </c>
      <c r="F65" s="6">
        <f>IF(C65="","",IF(E65&lt;&gt;"",LEFT(D65,LEN(D65)-2),D65))</f>
        <v/>
      </c>
      <c r="G65" s="13">
        <f>IF(C65="","",IF(OR(IF(AND(LEFT(F65,1)="(",RIGHT(F65,1)=")"),MID(F65,2,LEN(F65)-2),F65)="",IF(AND(LEFT(F65,1)="(",RIGHT(F65,1)=")"),MID(F65,2,LEN(F65)-2),F65)="-"),0,IFERROR(VALUE(IF(AND(LEFT(F65,1)="(",RIGHT(F65,1)=")"),MID(F65,2,LEN(F65)-2),F65))*IF(AND(LEFT(F65,1)="(",RIGHT(F65,1)=")"),-1,1)*IF(E65="Cr",Setup!$B$6,1),"ERR")))</f>
        <v/>
      </c>
      <c r="H65" s="6">
        <f>IF(C65="","",IF(ISNUMBER(G65),1,0))</f>
        <v/>
      </c>
      <c r="I65" s="6">
        <f>IF(C65="","",IF(SUMPRODUCT(($C$12:$C$1511=C65)*1)&gt;1,1,0))</f>
        <v/>
      </c>
      <c r="J65" s="6">
        <f>IF(C65="","",SUMPRODUCT((Mapping!$F$5:$F$504=Setup!$B$4&amp;"||"&amp;C65)*ROW(Mapping!$F$5:$F$504)))</f>
        <v/>
      </c>
      <c r="K65" s="6">
        <f>IF(C65="","",IF(J65=0,"UNMAPPED",LOWER(INDEX(Mapping!$D$1:$D$504,J65))))</f>
        <v/>
      </c>
      <c r="L65" s="6">
        <f>IF(K65="mapped",TRIM(INDEX(Mapping!$C$1:$C$504,J65)),"")</f>
        <v/>
      </c>
      <c r="M65" s="6">
        <f>IF(C65="","",IF(SUMPRODUCT(($C$12:C65=C65)*1)=1,1,0))</f>
        <v/>
      </c>
      <c r="N65" s="6">
        <f>IF(AND(K65="UNMAPPED",M65=1),ROW(),"")</f>
        <v/>
      </c>
      <c r="O65" s="6">
        <f>IF(AND(I65=1,M65=1),ROW(),"")</f>
        <v/>
      </c>
      <c r="P65" s="6">
        <f>IF(AND(K65="ignored",M65=1),ROW(),"")</f>
        <v/>
      </c>
    </row>
    <row r="66">
      <c r="A66" s="8" t="n"/>
      <c r="B66" s="8" t="n"/>
      <c r="C66" s="6">
        <f>TRIM(A66&amp;"")</f>
        <v/>
      </c>
      <c r="D66" s="6">
        <f>IF(C66="","",SUBSTITUTE(SUBSTITUTE(SUBSTITUTE(SUBSTITUTE(SUBSTITUTE(SUBSTITUTE(SUBSTITUTE(UPPER(TRIM(B66&amp;"")),"₹",""),"RS.",""),"RS",""),"INR",""),"$",""),",","")," ",""))</f>
        <v/>
      </c>
      <c r="E66" s="6">
        <f>IF(C66="","",IF(RIGHT(D66,2)="CR","Cr",IF(RIGHT(D66,2)="DR","Dr","")))</f>
        <v/>
      </c>
      <c r="F66" s="6">
        <f>IF(C66="","",IF(E66&lt;&gt;"",LEFT(D66,LEN(D66)-2),D66))</f>
        <v/>
      </c>
      <c r="G66" s="13">
        <f>IF(C66="","",IF(OR(IF(AND(LEFT(F66,1)="(",RIGHT(F66,1)=")"),MID(F66,2,LEN(F66)-2),F66)="",IF(AND(LEFT(F66,1)="(",RIGHT(F66,1)=")"),MID(F66,2,LEN(F66)-2),F66)="-"),0,IFERROR(VALUE(IF(AND(LEFT(F66,1)="(",RIGHT(F66,1)=")"),MID(F66,2,LEN(F66)-2),F66))*IF(AND(LEFT(F66,1)="(",RIGHT(F66,1)=")"),-1,1)*IF(E66="Cr",Setup!$B$6,1),"ERR")))</f>
        <v/>
      </c>
      <c r="H66" s="6">
        <f>IF(C66="","",IF(ISNUMBER(G66),1,0))</f>
        <v/>
      </c>
      <c r="I66" s="6">
        <f>IF(C66="","",IF(SUMPRODUCT(($C$12:$C$1511=C66)*1)&gt;1,1,0))</f>
        <v/>
      </c>
      <c r="J66" s="6">
        <f>IF(C66="","",SUMPRODUCT((Mapping!$F$5:$F$504=Setup!$B$4&amp;"||"&amp;C66)*ROW(Mapping!$F$5:$F$504)))</f>
        <v/>
      </c>
      <c r="K66" s="6">
        <f>IF(C66="","",IF(J66=0,"UNMAPPED",LOWER(INDEX(Mapping!$D$1:$D$504,J66))))</f>
        <v/>
      </c>
      <c r="L66" s="6">
        <f>IF(K66="mapped",TRIM(INDEX(Mapping!$C$1:$C$504,J66)),"")</f>
        <v/>
      </c>
      <c r="M66" s="6">
        <f>IF(C66="","",IF(SUMPRODUCT(($C$12:C66=C66)*1)=1,1,0))</f>
        <v/>
      </c>
      <c r="N66" s="6">
        <f>IF(AND(K66="UNMAPPED",M66=1),ROW(),"")</f>
        <v/>
      </c>
      <c r="O66" s="6">
        <f>IF(AND(I66=1,M66=1),ROW(),"")</f>
        <v/>
      </c>
      <c r="P66" s="6">
        <f>IF(AND(K66="ignored",M66=1),ROW(),"")</f>
        <v/>
      </c>
    </row>
    <row r="67">
      <c r="A67" s="8" t="n"/>
      <c r="B67" s="8" t="n"/>
      <c r="C67" s="6">
        <f>TRIM(A67&amp;"")</f>
        <v/>
      </c>
      <c r="D67" s="6">
        <f>IF(C67="","",SUBSTITUTE(SUBSTITUTE(SUBSTITUTE(SUBSTITUTE(SUBSTITUTE(SUBSTITUTE(SUBSTITUTE(UPPER(TRIM(B67&amp;"")),"₹",""),"RS.",""),"RS",""),"INR",""),"$",""),",","")," ",""))</f>
        <v/>
      </c>
      <c r="E67" s="6">
        <f>IF(C67="","",IF(RIGHT(D67,2)="CR","Cr",IF(RIGHT(D67,2)="DR","Dr","")))</f>
        <v/>
      </c>
      <c r="F67" s="6">
        <f>IF(C67="","",IF(E67&lt;&gt;"",LEFT(D67,LEN(D67)-2),D67))</f>
        <v/>
      </c>
      <c r="G67" s="13">
        <f>IF(C67="","",IF(OR(IF(AND(LEFT(F67,1)="(",RIGHT(F67,1)=")"),MID(F67,2,LEN(F67)-2),F67)="",IF(AND(LEFT(F67,1)="(",RIGHT(F67,1)=")"),MID(F67,2,LEN(F67)-2),F67)="-"),0,IFERROR(VALUE(IF(AND(LEFT(F67,1)="(",RIGHT(F67,1)=")"),MID(F67,2,LEN(F67)-2),F67))*IF(AND(LEFT(F67,1)="(",RIGHT(F67,1)=")"),-1,1)*IF(E67="Cr",Setup!$B$6,1),"ERR")))</f>
        <v/>
      </c>
      <c r="H67" s="6">
        <f>IF(C67="","",IF(ISNUMBER(G67),1,0))</f>
        <v/>
      </c>
      <c r="I67" s="6">
        <f>IF(C67="","",IF(SUMPRODUCT(($C$12:$C$1511=C67)*1)&gt;1,1,0))</f>
        <v/>
      </c>
      <c r="J67" s="6">
        <f>IF(C67="","",SUMPRODUCT((Mapping!$F$5:$F$504=Setup!$B$4&amp;"||"&amp;C67)*ROW(Mapping!$F$5:$F$504)))</f>
        <v/>
      </c>
      <c r="K67" s="6">
        <f>IF(C67="","",IF(J67=0,"UNMAPPED",LOWER(INDEX(Mapping!$D$1:$D$504,J67))))</f>
        <v/>
      </c>
      <c r="L67" s="6">
        <f>IF(K67="mapped",TRIM(INDEX(Mapping!$C$1:$C$504,J67)),"")</f>
        <v/>
      </c>
      <c r="M67" s="6">
        <f>IF(C67="","",IF(SUMPRODUCT(($C$12:C67=C67)*1)=1,1,0))</f>
        <v/>
      </c>
      <c r="N67" s="6">
        <f>IF(AND(K67="UNMAPPED",M67=1),ROW(),"")</f>
        <v/>
      </c>
      <c r="O67" s="6">
        <f>IF(AND(I67=1,M67=1),ROW(),"")</f>
        <v/>
      </c>
      <c r="P67" s="6">
        <f>IF(AND(K67="ignored",M67=1),ROW(),"")</f>
        <v/>
      </c>
    </row>
    <row r="68">
      <c r="A68" s="8" t="n"/>
      <c r="B68" s="8" t="n"/>
      <c r="C68" s="6">
        <f>TRIM(A68&amp;"")</f>
        <v/>
      </c>
      <c r="D68" s="6">
        <f>IF(C68="","",SUBSTITUTE(SUBSTITUTE(SUBSTITUTE(SUBSTITUTE(SUBSTITUTE(SUBSTITUTE(SUBSTITUTE(UPPER(TRIM(B68&amp;"")),"₹",""),"RS.",""),"RS",""),"INR",""),"$",""),",","")," ",""))</f>
        <v/>
      </c>
      <c r="E68" s="6">
        <f>IF(C68="","",IF(RIGHT(D68,2)="CR","Cr",IF(RIGHT(D68,2)="DR","Dr","")))</f>
        <v/>
      </c>
      <c r="F68" s="6">
        <f>IF(C68="","",IF(E68&lt;&gt;"",LEFT(D68,LEN(D68)-2),D68))</f>
        <v/>
      </c>
      <c r="G68" s="13">
        <f>IF(C68="","",IF(OR(IF(AND(LEFT(F68,1)="(",RIGHT(F68,1)=")"),MID(F68,2,LEN(F68)-2),F68)="",IF(AND(LEFT(F68,1)="(",RIGHT(F68,1)=")"),MID(F68,2,LEN(F68)-2),F68)="-"),0,IFERROR(VALUE(IF(AND(LEFT(F68,1)="(",RIGHT(F68,1)=")"),MID(F68,2,LEN(F68)-2),F68))*IF(AND(LEFT(F68,1)="(",RIGHT(F68,1)=")"),-1,1)*IF(E68="Cr",Setup!$B$6,1),"ERR")))</f>
        <v/>
      </c>
      <c r="H68" s="6">
        <f>IF(C68="","",IF(ISNUMBER(G68),1,0))</f>
        <v/>
      </c>
      <c r="I68" s="6">
        <f>IF(C68="","",IF(SUMPRODUCT(($C$12:$C$1511=C68)*1)&gt;1,1,0))</f>
        <v/>
      </c>
      <c r="J68" s="6">
        <f>IF(C68="","",SUMPRODUCT((Mapping!$F$5:$F$504=Setup!$B$4&amp;"||"&amp;C68)*ROW(Mapping!$F$5:$F$504)))</f>
        <v/>
      </c>
      <c r="K68" s="6">
        <f>IF(C68="","",IF(J68=0,"UNMAPPED",LOWER(INDEX(Mapping!$D$1:$D$504,J68))))</f>
        <v/>
      </c>
      <c r="L68" s="6">
        <f>IF(K68="mapped",TRIM(INDEX(Mapping!$C$1:$C$504,J68)),"")</f>
        <v/>
      </c>
      <c r="M68" s="6">
        <f>IF(C68="","",IF(SUMPRODUCT(($C$12:C68=C68)*1)=1,1,0))</f>
        <v/>
      </c>
      <c r="N68" s="6">
        <f>IF(AND(K68="UNMAPPED",M68=1),ROW(),"")</f>
        <v/>
      </c>
      <c r="O68" s="6">
        <f>IF(AND(I68=1,M68=1),ROW(),"")</f>
        <v/>
      </c>
      <c r="P68" s="6">
        <f>IF(AND(K68="ignored",M68=1),ROW(),"")</f>
        <v/>
      </c>
    </row>
    <row r="69">
      <c r="A69" s="8" t="n"/>
      <c r="B69" s="8" t="n"/>
      <c r="C69" s="6">
        <f>TRIM(A69&amp;"")</f>
        <v/>
      </c>
      <c r="D69" s="6">
        <f>IF(C69="","",SUBSTITUTE(SUBSTITUTE(SUBSTITUTE(SUBSTITUTE(SUBSTITUTE(SUBSTITUTE(SUBSTITUTE(UPPER(TRIM(B69&amp;"")),"₹",""),"RS.",""),"RS",""),"INR",""),"$",""),",","")," ",""))</f>
        <v/>
      </c>
      <c r="E69" s="6">
        <f>IF(C69="","",IF(RIGHT(D69,2)="CR","Cr",IF(RIGHT(D69,2)="DR","Dr","")))</f>
        <v/>
      </c>
      <c r="F69" s="6">
        <f>IF(C69="","",IF(E69&lt;&gt;"",LEFT(D69,LEN(D69)-2),D69))</f>
        <v/>
      </c>
      <c r="G69" s="13">
        <f>IF(C69="","",IF(OR(IF(AND(LEFT(F69,1)="(",RIGHT(F69,1)=")"),MID(F69,2,LEN(F69)-2),F69)="",IF(AND(LEFT(F69,1)="(",RIGHT(F69,1)=")"),MID(F69,2,LEN(F69)-2),F69)="-"),0,IFERROR(VALUE(IF(AND(LEFT(F69,1)="(",RIGHT(F69,1)=")"),MID(F69,2,LEN(F69)-2),F69))*IF(AND(LEFT(F69,1)="(",RIGHT(F69,1)=")"),-1,1)*IF(E69="Cr",Setup!$B$6,1),"ERR")))</f>
        <v/>
      </c>
      <c r="H69" s="6">
        <f>IF(C69="","",IF(ISNUMBER(G69),1,0))</f>
        <v/>
      </c>
      <c r="I69" s="6">
        <f>IF(C69="","",IF(SUMPRODUCT(($C$12:$C$1511=C69)*1)&gt;1,1,0))</f>
        <v/>
      </c>
      <c r="J69" s="6">
        <f>IF(C69="","",SUMPRODUCT((Mapping!$F$5:$F$504=Setup!$B$4&amp;"||"&amp;C69)*ROW(Mapping!$F$5:$F$504)))</f>
        <v/>
      </c>
      <c r="K69" s="6">
        <f>IF(C69="","",IF(J69=0,"UNMAPPED",LOWER(INDEX(Mapping!$D$1:$D$504,J69))))</f>
        <v/>
      </c>
      <c r="L69" s="6">
        <f>IF(K69="mapped",TRIM(INDEX(Mapping!$C$1:$C$504,J69)),"")</f>
        <v/>
      </c>
      <c r="M69" s="6">
        <f>IF(C69="","",IF(SUMPRODUCT(($C$12:C69=C69)*1)=1,1,0))</f>
        <v/>
      </c>
      <c r="N69" s="6">
        <f>IF(AND(K69="UNMAPPED",M69=1),ROW(),"")</f>
        <v/>
      </c>
      <c r="O69" s="6">
        <f>IF(AND(I69=1,M69=1),ROW(),"")</f>
        <v/>
      </c>
      <c r="P69" s="6">
        <f>IF(AND(K69="ignored",M69=1),ROW(),"")</f>
        <v/>
      </c>
    </row>
    <row r="70">
      <c r="A70" s="8" t="n"/>
      <c r="B70" s="8" t="n"/>
      <c r="C70" s="6">
        <f>TRIM(A70&amp;"")</f>
        <v/>
      </c>
      <c r="D70" s="6">
        <f>IF(C70="","",SUBSTITUTE(SUBSTITUTE(SUBSTITUTE(SUBSTITUTE(SUBSTITUTE(SUBSTITUTE(SUBSTITUTE(UPPER(TRIM(B70&amp;"")),"₹",""),"RS.",""),"RS",""),"INR",""),"$",""),",","")," ",""))</f>
        <v/>
      </c>
      <c r="E70" s="6">
        <f>IF(C70="","",IF(RIGHT(D70,2)="CR","Cr",IF(RIGHT(D70,2)="DR","Dr","")))</f>
        <v/>
      </c>
      <c r="F70" s="6">
        <f>IF(C70="","",IF(E70&lt;&gt;"",LEFT(D70,LEN(D70)-2),D70))</f>
        <v/>
      </c>
      <c r="G70" s="13">
        <f>IF(C70="","",IF(OR(IF(AND(LEFT(F70,1)="(",RIGHT(F70,1)=")"),MID(F70,2,LEN(F70)-2),F70)="",IF(AND(LEFT(F70,1)="(",RIGHT(F70,1)=")"),MID(F70,2,LEN(F70)-2),F70)="-"),0,IFERROR(VALUE(IF(AND(LEFT(F70,1)="(",RIGHT(F70,1)=")"),MID(F70,2,LEN(F70)-2),F70))*IF(AND(LEFT(F70,1)="(",RIGHT(F70,1)=")"),-1,1)*IF(E70="Cr",Setup!$B$6,1),"ERR")))</f>
        <v/>
      </c>
      <c r="H70" s="6">
        <f>IF(C70="","",IF(ISNUMBER(G70),1,0))</f>
        <v/>
      </c>
      <c r="I70" s="6">
        <f>IF(C70="","",IF(SUMPRODUCT(($C$12:$C$1511=C70)*1)&gt;1,1,0))</f>
        <v/>
      </c>
      <c r="J70" s="6">
        <f>IF(C70="","",SUMPRODUCT((Mapping!$F$5:$F$504=Setup!$B$4&amp;"||"&amp;C70)*ROW(Mapping!$F$5:$F$504)))</f>
        <v/>
      </c>
      <c r="K70" s="6">
        <f>IF(C70="","",IF(J70=0,"UNMAPPED",LOWER(INDEX(Mapping!$D$1:$D$504,J70))))</f>
        <v/>
      </c>
      <c r="L70" s="6">
        <f>IF(K70="mapped",TRIM(INDEX(Mapping!$C$1:$C$504,J70)),"")</f>
        <v/>
      </c>
      <c r="M70" s="6">
        <f>IF(C70="","",IF(SUMPRODUCT(($C$12:C70=C70)*1)=1,1,0))</f>
        <v/>
      </c>
      <c r="N70" s="6">
        <f>IF(AND(K70="UNMAPPED",M70=1),ROW(),"")</f>
        <v/>
      </c>
      <c r="O70" s="6">
        <f>IF(AND(I70=1,M70=1),ROW(),"")</f>
        <v/>
      </c>
      <c r="P70" s="6">
        <f>IF(AND(K70="ignored",M70=1),ROW(),"")</f>
        <v/>
      </c>
    </row>
    <row r="71">
      <c r="A71" s="8" t="n"/>
      <c r="B71" s="8" t="n"/>
      <c r="C71" s="6">
        <f>TRIM(A71&amp;"")</f>
        <v/>
      </c>
      <c r="D71" s="6">
        <f>IF(C71="","",SUBSTITUTE(SUBSTITUTE(SUBSTITUTE(SUBSTITUTE(SUBSTITUTE(SUBSTITUTE(SUBSTITUTE(UPPER(TRIM(B71&amp;"")),"₹",""),"RS.",""),"RS",""),"INR",""),"$",""),",","")," ",""))</f>
        <v/>
      </c>
      <c r="E71" s="6">
        <f>IF(C71="","",IF(RIGHT(D71,2)="CR","Cr",IF(RIGHT(D71,2)="DR","Dr","")))</f>
        <v/>
      </c>
      <c r="F71" s="6">
        <f>IF(C71="","",IF(E71&lt;&gt;"",LEFT(D71,LEN(D71)-2),D71))</f>
        <v/>
      </c>
      <c r="G71" s="13">
        <f>IF(C71="","",IF(OR(IF(AND(LEFT(F71,1)="(",RIGHT(F71,1)=")"),MID(F71,2,LEN(F71)-2),F71)="",IF(AND(LEFT(F71,1)="(",RIGHT(F71,1)=")"),MID(F71,2,LEN(F71)-2),F71)="-"),0,IFERROR(VALUE(IF(AND(LEFT(F71,1)="(",RIGHT(F71,1)=")"),MID(F71,2,LEN(F71)-2),F71))*IF(AND(LEFT(F71,1)="(",RIGHT(F71,1)=")"),-1,1)*IF(E71="Cr",Setup!$B$6,1),"ERR")))</f>
        <v/>
      </c>
      <c r="H71" s="6">
        <f>IF(C71="","",IF(ISNUMBER(G71),1,0))</f>
        <v/>
      </c>
      <c r="I71" s="6">
        <f>IF(C71="","",IF(SUMPRODUCT(($C$12:$C$1511=C71)*1)&gt;1,1,0))</f>
        <v/>
      </c>
      <c r="J71" s="6">
        <f>IF(C71="","",SUMPRODUCT((Mapping!$F$5:$F$504=Setup!$B$4&amp;"||"&amp;C71)*ROW(Mapping!$F$5:$F$504)))</f>
        <v/>
      </c>
      <c r="K71" s="6">
        <f>IF(C71="","",IF(J71=0,"UNMAPPED",LOWER(INDEX(Mapping!$D$1:$D$504,J71))))</f>
        <v/>
      </c>
      <c r="L71" s="6">
        <f>IF(K71="mapped",TRIM(INDEX(Mapping!$C$1:$C$504,J71)),"")</f>
        <v/>
      </c>
      <c r="M71" s="6">
        <f>IF(C71="","",IF(SUMPRODUCT(($C$12:C71=C71)*1)=1,1,0))</f>
        <v/>
      </c>
      <c r="N71" s="6">
        <f>IF(AND(K71="UNMAPPED",M71=1),ROW(),"")</f>
        <v/>
      </c>
      <c r="O71" s="6">
        <f>IF(AND(I71=1,M71=1),ROW(),"")</f>
        <v/>
      </c>
      <c r="P71" s="6">
        <f>IF(AND(K71="ignored",M71=1),ROW(),"")</f>
        <v/>
      </c>
    </row>
    <row r="72">
      <c r="A72" s="8" t="n"/>
      <c r="B72" s="8" t="n"/>
      <c r="C72" s="6">
        <f>TRIM(A72&amp;"")</f>
        <v/>
      </c>
      <c r="D72" s="6">
        <f>IF(C72="","",SUBSTITUTE(SUBSTITUTE(SUBSTITUTE(SUBSTITUTE(SUBSTITUTE(SUBSTITUTE(SUBSTITUTE(UPPER(TRIM(B72&amp;"")),"₹",""),"RS.",""),"RS",""),"INR",""),"$",""),",","")," ",""))</f>
        <v/>
      </c>
      <c r="E72" s="6">
        <f>IF(C72="","",IF(RIGHT(D72,2)="CR","Cr",IF(RIGHT(D72,2)="DR","Dr","")))</f>
        <v/>
      </c>
      <c r="F72" s="6">
        <f>IF(C72="","",IF(E72&lt;&gt;"",LEFT(D72,LEN(D72)-2),D72))</f>
        <v/>
      </c>
      <c r="G72" s="13">
        <f>IF(C72="","",IF(OR(IF(AND(LEFT(F72,1)="(",RIGHT(F72,1)=")"),MID(F72,2,LEN(F72)-2),F72)="",IF(AND(LEFT(F72,1)="(",RIGHT(F72,1)=")"),MID(F72,2,LEN(F72)-2),F72)="-"),0,IFERROR(VALUE(IF(AND(LEFT(F72,1)="(",RIGHT(F72,1)=")"),MID(F72,2,LEN(F72)-2),F72))*IF(AND(LEFT(F72,1)="(",RIGHT(F72,1)=")"),-1,1)*IF(E72="Cr",Setup!$B$6,1),"ERR")))</f>
        <v/>
      </c>
      <c r="H72" s="6">
        <f>IF(C72="","",IF(ISNUMBER(G72),1,0))</f>
        <v/>
      </c>
      <c r="I72" s="6">
        <f>IF(C72="","",IF(SUMPRODUCT(($C$12:$C$1511=C72)*1)&gt;1,1,0))</f>
        <v/>
      </c>
      <c r="J72" s="6">
        <f>IF(C72="","",SUMPRODUCT((Mapping!$F$5:$F$504=Setup!$B$4&amp;"||"&amp;C72)*ROW(Mapping!$F$5:$F$504)))</f>
        <v/>
      </c>
      <c r="K72" s="6">
        <f>IF(C72="","",IF(J72=0,"UNMAPPED",LOWER(INDEX(Mapping!$D$1:$D$504,J72))))</f>
        <v/>
      </c>
      <c r="L72" s="6">
        <f>IF(K72="mapped",TRIM(INDEX(Mapping!$C$1:$C$504,J72)),"")</f>
        <v/>
      </c>
      <c r="M72" s="6">
        <f>IF(C72="","",IF(SUMPRODUCT(($C$12:C72=C72)*1)=1,1,0))</f>
        <v/>
      </c>
      <c r="N72" s="6">
        <f>IF(AND(K72="UNMAPPED",M72=1),ROW(),"")</f>
        <v/>
      </c>
      <c r="O72" s="6">
        <f>IF(AND(I72=1,M72=1),ROW(),"")</f>
        <v/>
      </c>
      <c r="P72" s="6">
        <f>IF(AND(K72="ignored",M72=1),ROW(),"")</f>
        <v/>
      </c>
    </row>
    <row r="73">
      <c r="A73" s="8" t="n"/>
      <c r="B73" s="8" t="n"/>
      <c r="C73" s="6">
        <f>TRIM(A73&amp;"")</f>
        <v/>
      </c>
      <c r="D73" s="6">
        <f>IF(C73="","",SUBSTITUTE(SUBSTITUTE(SUBSTITUTE(SUBSTITUTE(SUBSTITUTE(SUBSTITUTE(SUBSTITUTE(UPPER(TRIM(B73&amp;"")),"₹",""),"RS.",""),"RS",""),"INR",""),"$",""),",","")," ",""))</f>
        <v/>
      </c>
      <c r="E73" s="6">
        <f>IF(C73="","",IF(RIGHT(D73,2)="CR","Cr",IF(RIGHT(D73,2)="DR","Dr","")))</f>
        <v/>
      </c>
      <c r="F73" s="6">
        <f>IF(C73="","",IF(E73&lt;&gt;"",LEFT(D73,LEN(D73)-2),D73))</f>
        <v/>
      </c>
      <c r="G73" s="13">
        <f>IF(C73="","",IF(OR(IF(AND(LEFT(F73,1)="(",RIGHT(F73,1)=")"),MID(F73,2,LEN(F73)-2),F73)="",IF(AND(LEFT(F73,1)="(",RIGHT(F73,1)=")"),MID(F73,2,LEN(F73)-2),F73)="-"),0,IFERROR(VALUE(IF(AND(LEFT(F73,1)="(",RIGHT(F73,1)=")"),MID(F73,2,LEN(F73)-2),F73))*IF(AND(LEFT(F73,1)="(",RIGHT(F73,1)=")"),-1,1)*IF(E73="Cr",Setup!$B$6,1),"ERR")))</f>
        <v/>
      </c>
      <c r="H73" s="6">
        <f>IF(C73="","",IF(ISNUMBER(G73),1,0))</f>
        <v/>
      </c>
      <c r="I73" s="6">
        <f>IF(C73="","",IF(SUMPRODUCT(($C$12:$C$1511=C73)*1)&gt;1,1,0))</f>
        <v/>
      </c>
      <c r="J73" s="6">
        <f>IF(C73="","",SUMPRODUCT((Mapping!$F$5:$F$504=Setup!$B$4&amp;"||"&amp;C73)*ROW(Mapping!$F$5:$F$504)))</f>
        <v/>
      </c>
      <c r="K73" s="6">
        <f>IF(C73="","",IF(J73=0,"UNMAPPED",LOWER(INDEX(Mapping!$D$1:$D$504,J73))))</f>
        <v/>
      </c>
      <c r="L73" s="6">
        <f>IF(K73="mapped",TRIM(INDEX(Mapping!$C$1:$C$504,J73)),"")</f>
        <v/>
      </c>
      <c r="M73" s="6">
        <f>IF(C73="","",IF(SUMPRODUCT(($C$12:C73=C73)*1)=1,1,0))</f>
        <v/>
      </c>
      <c r="N73" s="6">
        <f>IF(AND(K73="UNMAPPED",M73=1),ROW(),"")</f>
        <v/>
      </c>
      <c r="O73" s="6">
        <f>IF(AND(I73=1,M73=1),ROW(),"")</f>
        <v/>
      </c>
      <c r="P73" s="6">
        <f>IF(AND(K73="ignored",M73=1),ROW(),"")</f>
        <v/>
      </c>
    </row>
    <row r="74">
      <c r="A74" s="8" t="n"/>
      <c r="B74" s="8" t="n"/>
      <c r="C74" s="6">
        <f>TRIM(A74&amp;"")</f>
        <v/>
      </c>
      <c r="D74" s="6">
        <f>IF(C74="","",SUBSTITUTE(SUBSTITUTE(SUBSTITUTE(SUBSTITUTE(SUBSTITUTE(SUBSTITUTE(SUBSTITUTE(UPPER(TRIM(B74&amp;"")),"₹",""),"RS.",""),"RS",""),"INR",""),"$",""),",","")," ",""))</f>
        <v/>
      </c>
      <c r="E74" s="6">
        <f>IF(C74="","",IF(RIGHT(D74,2)="CR","Cr",IF(RIGHT(D74,2)="DR","Dr","")))</f>
        <v/>
      </c>
      <c r="F74" s="6">
        <f>IF(C74="","",IF(E74&lt;&gt;"",LEFT(D74,LEN(D74)-2),D74))</f>
        <v/>
      </c>
      <c r="G74" s="13">
        <f>IF(C74="","",IF(OR(IF(AND(LEFT(F74,1)="(",RIGHT(F74,1)=")"),MID(F74,2,LEN(F74)-2),F74)="",IF(AND(LEFT(F74,1)="(",RIGHT(F74,1)=")"),MID(F74,2,LEN(F74)-2),F74)="-"),0,IFERROR(VALUE(IF(AND(LEFT(F74,1)="(",RIGHT(F74,1)=")"),MID(F74,2,LEN(F74)-2),F74))*IF(AND(LEFT(F74,1)="(",RIGHT(F74,1)=")"),-1,1)*IF(E74="Cr",Setup!$B$6,1),"ERR")))</f>
        <v/>
      </c>
      <c r="H74" s="6">
        <f>IF(C74="","",IF(ISNUMBER(G74),1,0))</f>
        <v/>
      </c>
      <c r="I74" s="6">
        <f>IF(C74="","",IF(SUMPRODUCT(($C$12:$C$1511=C74)*1)&gt;1,1,0))</f>
        <v/>
      </c>
      <c r="J74" s="6">
        <f>IF(C74="","",SUMPRODUCT((Mapping!$F$5:$F$504=Setup!$B$4&amp;"||"&amp;C74)*ROW(Mapping!$F$5:$F$504)))</f>
        <v/>
      </c>
      <c r="K74" s="6">
        <f>IF(C74="","",IF(J74=0,"UNMAPPED",LOWER(INDEX(Mapping!$D$1:$D$504,J74))))</f>
        <v/>
      </c>
      <c r="L74" s="6">
        <f>IF(K74="mapped",TRIM(INDEX(Mapping!$C$1:$C$504,J74)),"")</f>
        <v/>
      </c>
      <c r="M74" s="6">
        <f>IF(C74="","",IF(SUMPRODUCT(($C$12:C74=C74)*1)=1,1,0))</f>
        <v/>
      </c>
      <c r="N74" s="6">
        <f>IF(AND(K74="UNMAPPED",M74=1),ROW(),"")</f>
        <v/>
      </c>
      <c r="O74" s="6">
        <f>IF(AND(I74=1,M74=1),ROW(),"")</f>
        <v/>
      </c>
      <c r="P74" s="6">
        <f>IF(AND(K74="ignored",M74=1),ROW(),"")</f>
        <v/>
      </c>
    </row>
    <row r="75">
      <c r="A75" s="8" t="n"/>
      <c r="B75" s="8" t="n"/>
      <c r="C75" s="6">
        <f>TRIM(A75&amp;"")</f>
        <v/>
      </c>
      <c r="D75" s="6">
        <f>IF(C75="","",SUBSTITUTE(SUBSTITUTE(SUBSTITUTE(SUBSTITUTE(SUBSTITUTE(SUBSTITUTE(SUBSTITUTE(UPPER(TRIM(B75&amp;"")),"₹",""),"RS.",""),"RS",""),"INR",""),"$",""),",","")," ",""))</f>
        <v/>
      </c>
      <c r="E75" s="6">
        <f>IF(C75="","",IF(RIGHT(D75,2)="CR","Cr",IF(RIGHT(D75,2)="DR","Dr","")))</f>
        <v/>
      </c>
      <c r="F75" s="6">
        <f>IF(C75="","",IF(E75&lt;&gt;"",LEFT(D75,LEN(D75)-2),D75))</f>
        <v/>
      </c>
      <c r="G75" s="13">
        <f>IF(C75="","",IF(OR(IF(AND(LEFT(F75,1)="(",RIGHT(F75,1)=")"),MID(F75,2,LEN(F75)-2),F75)="",IF(AND(LEFT(F75,1)="(",RIGHT(F75,1)=")"),MID(F75,2,LEN(F75)-2),F75)="-"),0,IFERROR(VALUE(IF(AND(LEFT(F75,1)="(",RIGHT(F75,1)=")"),MID(F75,2,LEN(F75)-2),F75))*IF(AND(LEFT(F75,1)="(",RIGHT(F75,1)=")"),-1,1)*IF(E75="Cr",Setup!$B$6,1),"ERR")))</f>
        <v/>
      </c>
      <c r="H75" s="6">
        <f>IF(C75="","",IF(ISNUMBER(G75),1,0))</f>
        <v/>
      </c>
      <c r="I75" s="6">
        <f>IF(C75="","",IF(SUMPRODUCT(($C$12:$C$1511=C75)*1)&gt;1,1,0))</f>
        <v/>
      </c>
      <c r="J75" s="6">
        <f>IF(C75="","",SUMPRODUCT((Mapping!$F$5:$F$504=Setup!$B$4&amp;"||"&amp;C75)*ROW(Mapping!$F$5:$F$504)))</f>
        <v/>
      </c>
      <c r="K75" s="6">
        <f>IF(C75="","",IF(J75=0,"UNMAPPED",LOWER(INDEX(Mapping!$D$1:$D$504,J75))))</f>
        <v/>
      </c>
      <c r="L75" s="6">
        <f>IF(K75="mapped",TRIM(INDEX(Mapping!$C$1:$C$504,J75)),"")</f>
        <v/>
      </c>
      <c r="M75" s="6">
        <f>IF(C75="","",IF(SUMPRODUCT(($C$12:C75=C75)*1)=1,1,0))</f>
        <v/>
      </c>
      <c r="N75" s="6">
        <f>IF(AND(K75="UNMAPPED",M75=1),ROW(),"")</f>
        <v/>
      </c>
      <c r="O75" s="6">
        <f>IF(AND(I75=1,M75=1),ROW(),"")</f>
        <v/>
      </c>
      <c r="P75" s="6">
        <f>IF(AND(K75="ignored",M75=1),ROW(),"")</f>
        <v/>
      </c>
    </row>
    <row r="76">
      <c r="A76" s="8" t="n"/>
      <c r="B76" s="8" t="n"/>
      <c r="C76" s="6">
        <f>TRIM(A76&amp;"")</f>
        <v/>
      </c>
      <c r="D76" s="6">
        <f>IF(C76="","",SUBSTITUTE(SUBSTITUTE(SUBSTITUTE(SUBSTITUTE(SUBSTITUTE(SUBSTITUTE(SUBSTITUTE(UPPER(TRIM(B76&amp;"")),"₹",""),"RS.",""),"RS",""),"INR",""),"$",""),",","")," ",""))</f>
        <v/>
      </c>
      <c r="E76" s="6">
        <f>IF(C76="","",IF(RIGHT(D76,2)="CR","Cr",IF(RIGHT(D76,2)="DR","Dr","")))</f>
        <v/>
      </c>
      <c r="F76" s="6">
        <f>IF(C76="","",IF(E76&lt;&gt;"",LEFT(D76,LEN(D76)-2),D76))</f>
        <v/>
      </c>
      <c r="G76" s="13">
        <f>IF(C76="","",IF(OR(IF(AND(LEFT(F76,1)="(",RIGHT(F76,1)=")"),MID(F76,2,LEN(F76)-2),F76)="",IF(AND(LEFT(F76,1)="(",RIGHT(F76,1)=")"),MID(F76,2,LEN(F76)-2),F76)="-"),0,IFERROR(VALUE(IF(AND(LEFT(F76,1)="(",RIGHT(F76,1)=")"),MID(F76,2,LEN(F76)-2),F76))*IF(AND(LEFT(F76,1)="(",RIGHT(F76,1)=")"),-1,1)*IF(E76="Cr",Setup!$B$6,1),"ERR")))</f>
        <v/>
      </c>
      <c r="H76" s="6">
        <f>IF(C76="","",IF(ISNUMBER(G76),1,0))</f>
        <v/>
      </c>
      <c r="I76" s="6">
        <f>IF(C76="","",IF(SUMPRODUCT(($C$12:$C$1511=C76)*1)&gt;1,1,0))</f>
        <v/>
      </c>
      <c r="J76" s="6">
        <f>IF(C76="","",SUMPRODUCT((Mapping!$F$5:$F$504=Setup!$B$4&amp;"||"&amp;C76)*ROW(Mapping!$F$5:$F$504)))</f>
        <v/>
      </c>
      <c r="K76" s="6">
        <f>IF(C76="","",IF(J76=0,"UNMAPPED",LOWER(INDEX(Mapping!$D$1:$D$504,J76))))</f>
        <v/>
      </c>
      <c r="L76" s="6">
        <f>IF(K76="mapped",TRIM(INDEX(Mapping!$C$1:$C$504,J76)),"")</f>
        <v/>
      </c>
      <c r="M76" s="6">
        <f>IF(C76="","",IF(SUMPRODUCT(($C$12:C76=C76)*1)=1,1,0))</f>
        <v/>
      </c>
      <c r="N76" s="6">
        <f>IF(AND(K76="UNMAPPED",M76=1),ROW(),"")</f>
        <v/>
      </c>
      <c r="O76" s="6">
        <f>IF(AND(I76=1,M76=1),ROW(),"")</f>
        <v/>
      </c>
      <c r="P76" s="6">
        <f>IF(AND(K76="ignored",M76=1),ROW(),"")</f>
        <v/>
      </c>
    </row>
    <row r="77">
      <c r="A77" s="8" t="n"/>
      <c r="B77" s="8" t="n"/>
      <c r="C77" s="6">
        <f>TRIM(A77&amp;"")</f>
        <v/>
      </c>
      <c r="D77" s="6">
        <f>IF(C77="","",SUBSTITUTE(SUBSTITUTE(SUBSTITUTE(SUBSTITUTE(SUBSTITUTE(SUBSTITUTE(SUBSTITUTE(UPPER(TRIM(B77&amp;"")),"₹",""),"RS.",""),"RS",""),"INR",""),"$",""),",","")," ",""))</f>
        <v/>
      </c>
      <c r="E77" s="6">
        <f>IF(C77="","",IF(RIGHT(D77,2)="CR","Cr",IF(RIGHT(D77,2)="DR","Dr","")))</f>
        <v/>
      </c>
      <c r="F77" s="6">
        <f>IF(C77="","",IF(E77&lt;&gt;"",LEFT(D77,LEN(D77)-2),D77))</f>
        <v/>
      </c>
      <c r="G77" s="13">
        <f>IF(C77="","",IF(OR(IF(AND(LEFT(F77,1)="(",RIGHT(F77,1)=")"),MID(F77,2,LEN(F77)-2),F77)="",IF(AND(LEFT(F77,1)="(",RIGHT(F77,1)=")"),MID(F77,2,LEN(F77)-2),F77)="-"),0,IFERROR(VALUE(IF(AND(LEFT(F77,1)="(",RIGHT(F77,1)=")"),MID(F77,2,LEN(F77)-2),F77))*IF(AND(LEFT(F77,1)="(",RIGHT(F77,1)=")"),-1,1)*IF(E77="Cr",Setup!$B$6,1),"ERR")))</f>
        <v/>
      </c>
      <c r="H77" s="6">
        <f>IF(C77="","",IF(ISNUMBER(G77),1,0))</f>
        <v/>
      </c>
      <c r="I77" s="6">
        <f>IF(C77="","",IF(SUMPRODUCT(($C$12:$C$1511=C77)*1)&gt;1,1,0))</f>
        <v/>
      </c>
      <c r="J77" s="6">
        <f>IF(C77="","",SUMPRODUCT((Mapping!$F$5:$F$504=Setup!$B$4&amp;"||"&amp;C77)*ROW(Mapping!$F$5:$F$504)))</f>
        <v/>
      </c>
      <c r="K77" s="6">
        <f>IF(C77="","",IF(J77=0,"UNMAPPED",LOWER(INDEX(Mapping!$D$1:$D$504,J77))))</f>
        <v/>
      </c>
      <c r="L77" s="6">
        <f>IF(K77="mapped",TRIM(INDEX(Mapping!$C$1:$C$504,J77)),"")</f>
        <v/>
      </c>
      <c r="M77" s="6">
        <f>IF(C77="","",IF(SUMPRODUCT(($C$12:C77=C77)*1)=1,1,0))</f>
        <v/>
      </c>
      <c r="N77" s="6">
        <f>IF(AND(K77="UNMAPPED",M77=1),ROW(),"")</f>
        <v/>
      </c>
      <c r="O77" s="6">
        <f>IF(AND(I77=1,M77=1),ROW(),"")</f>
        <v/>
      </c>
      <c r="P77" s="6">
        <f>IF(AND(K77="ignored",M77=1),ROW(),"")</f>
        <v/>
      </c>
    </row>
    <row r="78">
      <c r="A78" s="8" t="n"/>
      <c r="B78" s="8" t="n"/>
      <c r="C78" s="6">
        <f>TRIM(A78&amp;"")</f>
        <v/>
      </c>
      <c r="D78" s="6">
        <f>IF(C78="","",SUBSTITUTE(SUBSTITUTE(SUBSTITUTE(SUBSTITUTE(SUBSTITUTE(SUBSTITUTE(SUBSTITUTE(UPPER(TRIM(B78&amp;"")),"₹",""),"RS.",""),"RS",""),"INR",""),"$",""),",","")," ",""))</f>
        <v/>
      </c>
      <c r="E78" s="6">
        <f>IF(C78="","",IF(RIGHT(D78,2)="CR","Cr",IF(RIGHT(D78,2)="DR","Dr","")))</f>
        <v/>
      </c>
      <c r="F78" s="6">
        <f>IF(C78="","",IF(E78&lt;&gt;"",LEFT(D78,LEN(D78)-2),D78))</f>
        <v/>
      </c>
      <c r="G78" s="13">
        <f>IF(C78="","",IF(OR(IF(AND(LEFT(F78,1)="(",RIGHT(F78,1)=")"),MID(F78,2,LEN(F78)-2),F78)="",IF(AND(LEFT(F78,1)="(",RIGHT(F78,1)=")"),MID(F78,2,LEN(F78)-2),F78)="-"),0,IFERROR(VALUE(IF(AND(LEFT(F78,1)="(",RIGHT(F78,1)=")"),MID(F78,2,LEN(F78)-2),F78))*IF(AND(LEFT(F78,1)="(",RIGHT(F78,1)=")"),-1,1)*IF(E78="Cr",Setup!$B$6,1),"ERR")))</f>
        <v/>
      </c>
      <c r="H78" s="6">
        <f>IF(C78="","",IF(ISNUMBER(G78),1,0))</f>
        <v/>
      </c>
      <c r="I78" s="6">
        <f>IF(C78="","",IF(SUMPRODUCT(($C$12:$C$1511=C78)*1)&gt;1,1,0))</f>
        <v/>
      </c>
      <c r="J78" s="6">
        <f>IF(C78="","",SUMPRODUCT((Mapping!$F$5:$F$504=Setup!$B$4&amp;"||"&amp;C78)*ROW(Mapping!$F$5:$F$504)))</f>
        <v/>
      </c>
      <c r="K78" s="6">
        <f>IF(C78="","",IF(J78=0,"UNMAPPED",LOWER(INDEX(Mapping!$D$1:$D$504,J78))))</f>
        <v/>
      </c>
      <c r="L78" s="6">
        <f>IF(K78="mapped",TRIM(INDEX(Mapping!$C$1:$C$504,J78)),"")</f>
        <v/>
      </c>
      <c r="M78" s="6">
        <f>IF(C78="","",IF(SUMPRODUCT(($C$12:C78=C78)*1)=1,1,0))</f>
        <v/>
      </c>
      <c r="N78" s="6">
        <f>IF(AND(K78="UNMAPPED",M78=1),ROW(),"")</f>
        <v/>
      </c>
      <c r="O78" s="6">
        <f>IF(AND(I78=1,M78=1),ROW(),"")</f>
        <v/>
      </c>
      <c r="P78" s="6">
        <f>IF(AND(K78="ignored",M78=1),ROW(),"")</f>
        <v/>
      </c>
    </row>
    <row r="79">
      <c r="A79" s="8" t="n"/>
      <c r="B79" s="8" t="n"/>
      <c r="C79" s="6">
        <f>TRIM(A79&amp;"")</f>
        <v/>
      </c>
      <c r="D79" s="6">
        <f>IF(C79="","",SUBSTITUTE(SUBSTITUTE(SUBSTITUTE(SUBSTITUTE(SUBSTITUTE(SUBSTITUTE(SUBSTITUTE(UPPER(TRIM(B79&amp;"")),"₹",""),"RS.",""),"RS",""),"INR",""),"$",""),",","")," ",""))</f>
        <v/>
      </c>
      <c r="E79" s="6">
        <f>IF(C79="","",IF(RIGHT(D79,2)="CR","Cr",IF(RIGHT(D79,2)="DR","Dr","")))</f>
        <v/>
      </c>
      <c r="F79" s="6">
        <f>IF(C79="","",IF(E79&lt;&gt;"",LEFT(D79,LEN(D79)-2),D79))</f>
        <v/>
      </c>
      <c r="G79" s="13">
        <f>IF(C79="","",IF(OR(IF(AND(LEFT(F79,1)="(",RIGHT(F79,1)=")"),MID(F79,2,LEN(F79)-2),F79)="",IF(AND(LEFT(F79,1)="(",RIGHT(F79,1)=")"),MID(F79,2,LEN(F79)-2),F79)="-"),0,IFERROR(VALUE(IF(AND(LEFT(F79,1)="(",RIGHT(F79,1)=")"),MID(F79,2,LEN(F79)-2),F79))*IF(AND(LEFT(F79,1)="(",RIGHT(F79,1)=")"),-1,1)*IF(E79="Cr",Setup!$B$6,1),"ERR")))</f>
        <v/>
      </c>
      <c r="H79" s="6">
        <f>IF(C79="","",IF(ISNUMBER(G79),1,0))</f>
        <v/>
      </c>
      <c r="I79" s="6">
        <f>IF(C79="","",IF(SUMPRODUCT(($C$12:$C$1511=C79)*1)&gt;1,1,0))</f>
        <v/>
      </c>
      <c r="J79" s="6">
        <f>IF(C79="","",SUMPRODUCT((Mapping!$F$5:$F$504=Setup!$B$4&amp;"||"&amp;C79)*ROW(Mapping!$F$5:$F$504)))</f>
        <v/>
      </c>
      <c r="K79" s="6">
        <f>IF(C79="","",IF(J79=0,"UNMAPPED",LOWER(INDEX(Mapping!$D$1:$D$504,J79))))</f>
        <v/>
      </c>
      <c r="L79" s="6">
        <f>IF(K79="mapped",TRIM(INDEX(Mapping!$C$1:$C$504,J79)),"")</f>
        <v/>
      </c>
      <c r="M79" s="6">
        <f>IF(C79="","",IF(SUMPRODUCT(($C$12:C79=C79)*1)=1,1,0))</f>
        <v/>
      </c>
      <c r="N79" s="6">
        <f>IF(AND(K79="UNMAPPED",M79=1),ROW(),"")</f>
        <v/>
      </c>
      <c r="O79" s="6">
        <f>IF(AND(I79=1,M79=1),ROW(),"")</f>
        <v/>
      </c>
      <c r="P79" s="6">
        <f>IF(AND(K79="ignored",M79=1),ROW(),"")</f>
        <v/>
      </c>
    </row>
    <row r="80">
      <c r="A80" s="8" t="n"/>
      <c r="B80" s="8" t="n"/>
      <c r="C80" s="6">
        <f>TRIM(A80&amp;"")</f>
        <v/>
      </c>
      <c r="D80" s="6">
        <f>IF(C80="","",SUBSTITUTE(SUBSTITUTE(SUBSTITUTE(SUBSTITUTE(SUBSTITUTE(SUBSTITUTE(SUBSTITUTE(UPPER(TRIM(B80&amp;"")),"₹",""),"RS.",""),"RS",""),"INR",""),"$",""),",","")," ",""))</f>
        <v/>
      </c>
      <c r="E80" s="6">
        <f>IF(C80="","",IF(RIGHT(D80,2)="CR","Cr",IF(RIGHT(D80,2)="DR","Dr","")))</f>
        <v/>
      </c>
      <c r="F80" s="6">
        <f>IF(C80="","",IF(E80&lt;&gt;"",LEFT(D80,LEN(D80)-2),D80))</f>
        <v/>
      </c>
      <c r="G80" s="13">
        <f>IF(C80="","",IF(OR(IF(AND(LEFT(F80,1)="(",RIGHT(F80,1)=")"),MID(F80,2,LEN(F80)-2),F80)="",IF(AND(LEFT(F80,1)="(",RIGHT(F80,1)=")"),MID(F80,2,LEN(F80)-2),F80)="-"),0,IFERROR(VALUE(IF(AND(LEFT(F80,1)="(",RIGHT(F80,1)=")"),MID(F80,2,LEN(F80)-2),F80))*IF(AND(LEFT(F80,1)="(",RIGHT(F80,1)=")"),-1,1)*IF(E80="Cr",Setup!$B$6,1),"ERR")))</f>
        <v/>
      </c>
      <c r="H80" s="6">
        <f>IF(C80="","",IF(ISNUMBER(G80),1,0))</f>
        <v/>
      </c>
      <c r="I80" s="6">
        <f>IF(C80="","",IF(SUMPRODUCT(($C$12:$C$1511=C80)*1)&gt;1,1,0))</f>
        <v/>
      </c>
      <c r="J80" s="6">
        <f>IF(C80="","",SUMPRODUCT((Mapping!$F$5:$F$504=Setup!$B$4&amp;"||"&amp;C80)*ROW(Mapping!$F$5:$F$504)))</f>
        <v/>
      </c>
      <c r="K80" s="6">
        <f>IF(C80="","",IF(J80=0,"UNMAPPED",LOWER(INDEX(Mapping!$D$1:$D$504,J80))))</f>
        <v/>
      </c>
      <c r="L80" s="6">
        <f>IF(K80="mapped",TRIM(INDEX(Mapping!$C$1:$C$504,J80)),"")</f>
        <v/>
      </c>
      <c r="M80" s="6">
        <f>IF(C80="","",IF(SUMPRODUCT(($C$12:C80=C80)*1)=1,1,0))</f>
        <v/>
      </c>
      <c r="N80" s="6">
        <f>IF(AND(K80="UNMAPPED",M80=1),ROW(),"")</f>
        <v/>
      </c>
      <c r="O80" s="6">
        <f>IF(AND(I80=1,M80=1),ROW(),"")</f>
        <v/>
      </c>
      <c r="P80" s="6">
        <f>IF(AND(K80="ignored",M80=1),ROW(),"")</f>
        <v/>
      </c>
    </row>
    <row r="81">
      <c r="A81" s="8" t="n"/>
      <c r="B81" s="8" t="n"/>
      <c r="C81" s="6">
        <f>TRIM(A81&amp;"")</f>
        <v/>
      </c>
      <c r="D81" s="6">
        <f>IF(C81="","",SUBSTITUTE(SUBSTITUTE(SUBSTITUTE(SUBSTITUTE(SUBSTITUTE(SUBSTITUTE(SUBSTITUTE(UPPER(TRIM(B81&amp;"")),"₹",""),"RS.",""),"RS",""),"INR",""),"$",""),",","")," ",""))</f>
        <v/>
      </c>
      <c r="E81" s="6">
        <f>IF(C81="","",IF(RIGHT(D81,2)="CR","Cr",IF(RIGHT(D81,2)="DR","Dr","")))</f>
        <v/>
      </c>
      <c r="F81" s="6">
        <f>IF(C81="","",IF(E81&lt;&gt;"",LEFT(D81,LEN(D81)-2),D81))</f>
        <v/>
      </c>
      <c r="G81" s="13">
        <f>IF(C81="","",IF(OR(IF(AND(LEFT(F81,1)="(",RIGHT(F81,1)=")"),MID(F81,2,LEN(F81)-2),F81)="",IF(AND(LEFT(F81,1)="(",RIGHT(F81,1)=")"),MID(F81,2,LEN(F81)-2),F81)="-"),0,IFERROR(VALUE(IF(AND(LEFT(F81,1)="(",RIGHT(F81,1)=")"),MID(F81,2,LEN(F81)-2),F81))*IF(AND(LEFT(F81,1)="(",RIGHT(F81,1)=")"),-1,1)*IF(E81="Cr",Setup!$B$6,1),"ERR")))</f>
        <v/>
      </c>
      <c r="H81" s="6">
        <f>IF(C81="","",IF(ISNUMBER(G81),1,0))</f>
        <v/>
      </c>
      <c r="I81" s="6">
        <f>IF(C81="","",IF(SUMPRODUCT(($C$12:$C$1511=C81)*1)&gt;1,1,0))</f>
        <v/>
      </c>
      <c r="J81" s="6">
        <f>IF(C81="","",SUMPRODUCT((Mapping!$F$5:$F$504=Setup!$B$4&amp;"||"&amp;C81)*ROW(Mapping!$F$5:$F$504)))</f>
        <v/>
      </c>
      <c r="K81" s="6">
        <f>IF(C81="","",IF(J81=0,"UNMAPPED",LOWER(INDEX(Mapping!$D$1:$D$504,J81))))</f>
        <v/>
      </c>
      <c r="L81" s="6">
        <f>IF(K81="mapped",TRIM(INDEX(Mapping!$C$1:$C$504,J81)),"")</f>
        <v/>
      </c>
      <c r="M81" s="6">
        <f>IF(C81="","",IF(SUMPRODUCT(($C$12:C81=C81)*1)=1,1,0))</f>
        <v/>
      </c>
      <c r="N81" s="6">
        <f>IF(AND(K81="UNMAPPED",M81=1),ROW(),"")</f>
        <v/>
      </c>
      <c r="O81" s="6">
        <f>IF(AND(I81=1,M81=1),ROW(),"")</f>
        <v/>
      </c>
      <c r="P81" s="6">
        <f>IF(AND(K81="ignored",M81=1),ROW(),"")</f>
        <v/>
      </c>
    </row>
    <row r="82">
      <c r="A82" s="8" t="n"/>
      <c r="B82" s="8" t="n"/>
      <c r="C82" s="6">
        <f>TRIM(A82&amp;"")</f>
        <v/>
      </c>
      <c r="D82" s="6">
        <f>IF(C82="","",SUBSTITUTE(SUBSTITUTE(SUBSTITUTE(SUBSTITUTE(SUBSTITUTE(SUBSTITUTE(SUBSTITUTE(UPPER(TRIM(B82&amp;"")),"₹",""),"RS.",""),"RS",""),"INR",""),"$",""),",","")," ",""))</f>
        <v/>
      </c>
      <c r="E82" s="6">
        <f>IF(C82="","",IF(RIGHT(D82,2)="CR","Cr",IF(RIGHT(D82,2)="DR","Dr","")))</f>
        <v/>
      </c>
      <c r="F82" s="6">
        <f>IF(C82="","",IF(E82&lt;&gt;"",LEFT(D82,LEN(D82)-2),D82))</f>
        <v/>
      </c>
      <c r="G82" s="13">
        <f>IF(C82="","",IF(OR(IF(AND(LEFT(F82,1)="(",RIGHT(F82,1)=")"),MID(F82,2,LEN(F82)-2),F82)="",IF(AND(LEFT(F82,1)="(",RIGHT(F82,1)=")"),MID(F82,2,LEN(F82)-2),F82)="-"),0,IFERROR(VALUE(IF(AND(LEFT(F82,1)="(",RIGHT(F82,1)=")"),MID(F82,2,LEN(F82)-2),F82))*IF(AND(LEFT(F82,1)="(",RIGHT(F82,1)=")"),-1,1)*IF(E82="Cr",Setup!$B$6,1),"ERR")))</f>
        <v/>
      </c>
      <c r="H82" s="6">
        <f>IF(C82="","",IF(ISNUMBER(G82),1,0))</f>
        <v/>
      </c>
      <c r="I82" s="6">
        <f>IF(C82="","",IF(SUMPRODUCT(($C$12:$C$1511=C82)*1)&gt;1,1,0))</f>
        <v/>
      </c>
      <c r="J82" s="6">
        <f>IF(C82="","",SUMPRODUCT((Mapping!$F$5:$F$504=Setup!$B$4&amp;"||"&amp;C82)*ROW(Mapping!$F$5:$F$504)))</f>
        <v/>
      </c>
      <c r="K82" s="6">
        <f>IF(C82="","",IF(J82=0,"UNMAPPED",LOWER(INDEX(Mapping!$D$1:$D$504,J82))))</f>
        <v/>
      </c>
      <c r="L82" s="6">
        <f>IF(K82="mapped",TRIM(INDEX(Mapping!$C$1:$C$504,J82)),"")</f>
        <v/>
      </c>
      <c r="M82" s="6">
        <f>IF(C82="","",IF(SUMPRODUCT(($C$12:C82=C82)*1)=1,1,0))</f>
        <v/>
      </c>
      <c r="N82" s="6">
        <f>IF(AND(K82="UNMAPPED",M82=1),ROW(),"")</f>
        <v/>
      </c>
      <c r="O82" s="6">
        <f>IF(AND(I82=1,M82=1),ROW(),"")</f>
        <v/>
      </c>
      <c r="P82" s="6">
        <f>IF(AND(K82="ignored",M82=1),ROW(),"")</f>
        <v/>
      </c>
    </row>
    <row r="83">
      <c r="A83" s="8" t="n"/>
      <c r="B83" s="8" t="n"/>
      <c r="C83" s="6">
        <f>TRIM(A83&amp;"")</f>
        <v/>
      </c>
      <c r="D83" s="6">
        <f>IF(C83="","",SUBSTITUTE(SUBSTITUTE(SUBSTITUTE(SUBSTITUTE(SUBSTITUTE(SUBSTITUTE(SUBSTITUTE(UPPER(TRIM(B83&amp;"")),"₹",""),"RS.",""),"RS",""),"INR",""),"$",""),",","")," ",""))</f>
        <v/>
      </c>
      <c r="E83" s="6">
        <f>IF(C83="","",IF(RIGHT(D83,2)="CR","Cr",IF(RIGHT(D83,2)="DR","Dr","")))</f>
        <v/>
      </c>
      <c r="F83" s="6">
        <f>IF(C83="","",IF(E83&lt;&gt;"",LEFT(D83,LEN(D83)-2),D83))</f>
        <v/>
      </c>
      <c r="G83" s="13">
        <f>IF(C83="","",IF(OR(IF(AND(LEFT(F83,1)="(",RIGHT(F83,1)=")"),MID(F83,2,LEN(F83)-2),F83)="",IF(AND(LEFT(F83,1)="(",RIGHT(F83,1)=")"),MID(F83,2,LEN(F83)-2),F83)="-"),0,IFERROR(VALUE(IF(AND(LEFT(F83,1)="(",RIGHT(F83,1)=")"),MID(F83,2,LEN(F83)-2),F83))*IF(AND(LEFT(F83,1)="(",RIGHT(F83,1)=")"),-1,1)*IF(E83="Cr",Setup!$B$6,1),"ERR")))</f>
        <v/>
      </c>
      <c r="H83" s="6">
        <f>IF(C83="","",IF(ISNUMBER(G83),1,0))</f>
        <v/>
      </c>
      <c r="I83" s="6">
        <f>IF(C83="","",IF(SUMPRODUCT(($C$12:$C$1511=C83)*1)&gt;1,1,0))</f>
        <v/>
      </c>
      <c r="J83" s="6">
        <f>IF(C83="","",SUMPRODUCT((Mapping!$F$5:$F$504=Setup!$B$4&amp;"||"&amp;C83)*ROW(Mapping!$F$5:$F$504)))</f>
        <v/>
      </c>
      <c r="K83" s="6">
        <f>IF(C83="","",IF(J83=0,"UNMAPPED",LOWER(INDEX(Mapping!$D$1:$D$504,J83))))</f>
        <v/>
      </c>
      <c r="L83" s="6">
        <f>IF(K83="mapped",TRIM(INDEX(Mapping!$C$1:$C$504,J83)),"")</f>
        <v/>
      </c>
      <c r="M83" s="6">
        <f>IF(C83="","",IF(SUMPRODUCT(($C$12:C83=C83)*1)=1,1,0))</f>
        <v/>
      </c>
      <c r="N83" s="6">
        <f>IF(AND(K83="UNMAPPED",M83=1),ROW(),"")</f>
        <v/>
      </c>
      <c r="O83" s="6">
        <f>IF(AND(I83=1,M83=1),ROW(),"")</f>
        <v/>
      </c>
      <c r="P83" s="6">
        <f>IF(AND(K83="ignored",M83=1),ROW(),"")</f>
        <v/>
      </c>
    </row>
    <row r="84">
      <c r="A84" s="8" t="n"/>
      <c r="B84" s="8" t="n"/>
      <c r="C84" s="6">
        <f>TRIM(A84&amp;"")</f>
        <v/>
      </c>
      <c r="D84" s="6">
        <f>IF(C84="","",SUBSTITUTE(SUBSTITUTE(SUBSTITUTE(SUBSTITUTE(SUBSTITUTE(SUBSTITUTE(SUBSTITUTE(UPPER(TRIM(B84&amp;"")),"₹",""),"RS.",""),"RS",""),"INR",""),"$",""),",","")," ",""))</f>
        <v/>
      </c>
      <c r="E84" s="6">
        <f>IF(C84="","",IF(RIGHT(D84,2)="CR","Cr",IF(RIGHT(D84,2)="DR","Dr","")))</f>
        <v/>
      </c>
      <c r="F84" s="6">
        <f>IF(C84="","",IF(E84&lt;&gt;"",LEFT(D84,LEN(D84)-2),D84))</f>
        <v/>
      </c>
      <c r="G84" s="13">
        <f>IF(C84="","",IF(OR(IF(AND(LEFT(F84,1)="(",RIGHT(F84,1)=")"),MID(F84,2,LEN(F84)-2),F84)="",IF(AND(LEFT(F84,1)="(",RIGHT(F84,1)=")"),MID(F84,2,LEN(F84)-2),F84)="-"),0,IFERROR(VALUE(IF(AND(LEFT(F84,1)="(",RIGHT(F84,1)=")"),MID(F84,2,LEN(F84)-2),F84))*IF(AND(LEFT(F84,1)="(",RIGHT(F84,1)=")"),-1,1)*IF(E84="Cr",Setup!$B$6,1),"ERR")))</f>
        <v/>
      </c>
      <c r="H84" s="6">
        <f>IF(C84="","",IF(ISNUMBER(G84),1,0))</f>
        <v/>
      </c>
      <c r="I84" s="6">
        <f>IF(C84="","",IF(SUMPRODUCT(($C$12:$C$1511=C84)*1)&gt;1,1,0))</f>
        <v/>
      </c>
      <c r="J84" s="6">
        <f>IF(C84="","",SUMPRODUCT((Mapping!$F$5:$F$504=Setup!$B$4&amp;"||"&amp;C84)*ROW(Mapping!$F$5:$F$504)))</f>
        <v/>
      </c>
      <c r="K84" s="6">
        <f>IF(C84="","",IF(J84=0,"UNMAPPED",LOWER(INDEX(Mapping!$D$1:$D$504,J84))))</f>
        <v/>
      </c>
      <c r="L84" s="6">
        <f>IF(K84="mapped",TRIM(INDEX(Mapping!$C$1:$C$504,J84)),"")</f>
        <v/>
      </c>
      <c r="M84" s="6">
        <f>IF(C84="","",IF(SUMPRODUCT(($C$12:C84=C84)*1)=1,1,0))</f>
        <v/>
      </c>
      <c r="N84" s="6">
        <f>IF(AND(K84="UNMAPPED",M84=1),ROW(),"")</f>
        <v/>
      </c>
      <c r="O84" s="6">
        <f>IF(AND(I84=1,M84=1),ROW(),"")</f>
        <v/>
      </c>
      <c r="P84" s="6">
        <f>IF(AND(K84="ignored",M84=1),ROW(),"")</f>
        <v/>
      </c>
    </row>
    <row r="85">
      <c r="A85" s="8" t="n"/>
      <c r="B85" s="8" t="n"/>
      <c r="C85" s="6">
        <f>TRIM(A85&amp;"")</f>
        <v/>
      </c>
      <c r="D85" s="6">
        <f>IF(C85="","",SUBSTITUTE(SUBSTITUTE(SUBSTITUTE(SUBSTITUTE(SUBSTITUTE(SUBSTITUTE(SUBSTITUTE(UPPER(TRIM(B85&amp;"")),"₹",""),"RS.",""),"RS",""),"INR",""),"$",""),",","")," ",""))</f>
        <v/>
      </c>
      <c r="E85" s="6">
        <f>IF(C85="","",IF(RIGHT(D85,2)="CR","Cr",IF(RIGHT(D85,2)="DR","Dr","")))</f>
        <v/>
      </c>
      <c r="F85" s="6">
        <f>IF(C85="","",IF(E85&lt;&gt;"",LEFT(D85,LEN(D85)-2),D85))</f>
        <v/>
      </c>
      <c r="G85" s="13">
        <f>IF(C85="","",IF(OR(IF(AND(LEFT(F85,1)="(",RIGHT(F85,1)=")"),MID(F85,2,LEN(F85)-2),F85)="",IF(AND(LEFT(F85,1)="(",RIGHT(F85,1)=")"),MID(F85,2,LEN(F85)-2),F85)="-"),0,IFERROR(VALUE(IF(AND(LEFT(F85,1)="(",RIGHT(F85,1)=")"),MID(F85,2,LEN(F85)-2),F85))*IF(AND(LEFT(F85,1)="(",RIGHT(F85,1)=")"),-1,1)*IF(E85="Cr",Setup!$B$6,1),"ERR")))</f>
        <v/>
      </c>
      <c r="H85" s="6">
        <f>IF(C85="","",IF(ISNUMBER(G85),1,0))</f>
        <v/>
      </c>
      <c r="I85" s="6">
        <f>IF(C85="","",IF(SUMPRODUCT(($C$12:$C$1511=C85)*1)&gt;1,1,0))</f>
        <v/>
      </c>
      <c r="J85" s="6">
        <f>IF(C85="","",SUMPRODUCT((Mapping!$F$5:$F$504=Setup!$B$4&amp;"||"&amp;C85)*ROW(Mapping!$F$5:$F$504)))</f>
        <v/>
      </c>
      <c r="K85" s="6">
        <f>IF(C85="","",IF(J85=0,"UNMAPPED",LOWER(INDEX(Mapping!$D$1:$D$504,J85))))</f>
        <v/>
      </c>
      <c r="L85" s="6">
        <f>IF(K85="mapped",TRIM(INDEX(Mapping!$C$1:$C$504,J85)),"")</f>
        <v/>
      </c>
      <c r="M85" s="6">
        <f>IF(C85="","",IF(SUMPRODUCT(($C$12:C85=C85)*1)=1,1,0))</f>
        <v/>
      </c>
      <c r="N85" s="6">
        <f>IF(AND(K85="UNMAPPED",M85=1),ROW(),"")</f>
        <v/>
      </c>
      <c r="O85" s="6">
        <f>IF(AND(I85=1,M85=1),ROW(),"")</f>
        <v/>
      </c>
      <c r="P85" s="6">
        <f>IF(AND(K85="ignored",M85=1),ROW(),"")</f>
        <v/>
      </c>
    </row>
    <row r="86">
      <c r="A86" s="8" t="n"/>
      <c r="B86" s="8" t="n"/>
      <c r="C86" s="6">
        <f>TRIM(A86&amp;"")</f>
        <v/>
      </c>
      <c r="D86" s="6">
        <f>IF(C86="","",SUBSTITUTE(SUBSTITUTE(SUBSTITUTE(SUBSTITUTE(SUBSTITUTE(SUBSTITUTE(SUBSTITUTE(UPPER(TRIM(B86&amp;"")),"₹",""),"RS.",""),"RS",""),"INR",""),"$",""),",","")," ",""))</f>
        <v/>
      </c>
      <c r="E86" s="6">
        <f>IF(C86="","",IF(RIGHT(D86,2)="CR","Cr",IF(RIGHT(D86,2)="DR","Dr","")))</f>
        <v/>
      </c>
      <c r="F86" s="6">
        <f>IF(C86="","",IF(E86&lt;&gt;"",LEFT(D86,LEN(D86)-2),D86))</f>
        <v/>
      </c>
      <c r="G86" s="13">
        <f>IF(C86="","",IF(OR(IF(AND(LEFT(F86,1)="(",RIGHT(F86,1)=")"),MID(F86,2,LEN(F86)-2),F86)="",IF(AND(LEFT(F86,1)="(",RIGHT(F86,1)=")"),MID(F86,2,LEN(F86)-2),F86)="-"),0,IFERROR(VALUE(IF(AND(LEFT(F86,1)="(",RIGHT(F86,1)=")"),MID(F86,2,LEN(F86)-2),F86))*IF(AND(LEFT(F86,1)="(",RIGHT(F86,1)=")"),-1,1)*IF(E86="Cr",Setup!$B$6,1),"ERR")))</f>
        <v/>
      </c>
      <c r="H86" s="6">
        <f>IF(C86="","",IF(ISNUMBER(G86),1,0))</f>
        <v/>
      </c>
      <c r="I86" s="6">
        <f>IF(C86="","",IF(SUMPRODUCT(($C$12:$C$1511=C86)*1)&gt;1,1,0))</f>
        <v/>
      </c>
      <c r="J86" s="6">
        <f>IF(C86="","",SUMPRODUCT((Mapping!$F$5:$F$504=Setup!$B$4&amp;"||"&amp;C86)*ROW(Mapping!$F$5:$F$504)))</f>
        <v/>
      </c>
      <c r="K86" s="6">
        <f>IF(C86="","",IF(J86=0,"UNMAPPED",LOWER(INDEX(Mapping!$D$1:$D$504,J86))))</f>
        <v/>
      </c>
      <c r="L86" s="6">
        <f>IF(K86="mapped",TRIM(INDEX(Mapping!$C$1:$C$504,J86)),"")</f>
        <v/>
      </c>
      <c r="M86" s="6">
        <f>IF(C86="","",IF(SUMPRODUCT(($C$12:C86=C86)*1)=1,1,0))</f>
        <v/>
      </c>
      <c r="N86" s="6">
        <f>IF(AND(K86="UNMAPPED",M86=1),ROW(),"")</f>
        <v/>
      </c>
      <c r="O86" s="6">
        <f>IF(AND(I86=1,M86=1),ROW(),"")</f>
        <v/>
      </c>
      <c r="P86" s="6">
        <f>IF(AND(K86="ignored",M86=1),ROW(),"")</f>
        <v/>
      </c>
    </row>
    <row r="87">
      <c r="A87" s="8" t="n"/>
      <c r="B87" s="8" t="n"/>
      <c r="C87" s="6">
        <f>TRIM(A87&amp;"")</f>
        <v/>
      </c>
      <c r="D87" s="6">
        <f>IF(C87="","",SUBSTITUTE(SUBSTITUTE(SUBSTITUTE(SUBSTITUTE(SUBSTITUTE(SUBSTITUTE(SUBSTITUTE(UPPER(TRIM(B87&amp;"")),"₹",""),"RS.",""),"RS",""),"INR",""),"$",""),",","")," ",""))</f>
        <v/>
      </c>
      <c r="E87" s="6">
        <f>IF(C87="","",IF(RIGHT(D87,2)="CR","Cr",IF(RIGHT(D87,2)="DR","Dr","")))</f>
        <v/>
      </c>
      <c r="F87" s="6">
        <f>IF(C87="","",IF(E87&lt;&gt;"",LEFT(D87,LEN(D87)-2),D87))</f>
        <v/>
      </c>
      <c r="G87" s="13">
        <f>IF(C87="","",IF(OR(IF(AND(LEFT(F87,1)="(",RIGHT(F87,1)=")"),MID(F87,2,LEN(F87)-2),F87)="",IF(AND(LEFT(F87,1)="(",RIGHT(F87,1)=")"),MID(F87,2,LEN(F87)-2),F87)="-"),0,IFERROR(VALUE(IF(AND(LEFT(F87,1)="(",RIGHT(F87,1)=")"),MID(F87,2,LEN(F87)-2),F87))*IF(AND(LEFT(F87,1)="(",RIGHT(F87,1)=")"),-1,1)*IF(E87="Cr",Setup!$B$6,1),"ERR")))</f>
        <v/>
      </c>
      <c r="H87" s="6">
        <f>IF(C87="","",IF(ISNUMBER(G87),1,0))</f>
        <v/>
      </c>
      <c r="I87" s="6">
        <f>IF(C87="","",IF(SUMPRODUCT(($C$12:$C$1511=C87)*1)&gt;1,1,0))</f>
        <v/>
      </c>
      <c r="J87" s="6">
        <f>IF(C87="","",SUMPRODUCT((Mapping!$F$5:$F$504=Setup!$B$4&amp;"||"&amp;C87)*ROW(Mapping!$F$5:$F$504)))</f>
        <v/>
      </c>
      <c r="K87" s="6">
        <f>IF(C87="","",IF(J87=0,"UNMAPPED",LOWER(INDEX(Mapping!$D$1:$D$504,J87))))</f>
        <v/>
      </c>
      <c r="L87" s="6">
        <f>IF(K87="mapped",TRIM(INDEX(Mapping!$C$1:$C$504,J87)),"")</f>
        <v/>
      </c>
      <c r="M87" s="6">
        <f>IF(C87="","",IF(SUMPRODUCT(($C$12:C87=C87)*1)=1,1,0))</f>
        <v/>
      </c>
      <c r="N87" s="6">
        <f>IF(AND(K87="UNMAPPED",M87=1),ROW(),"")</f>
        <v/>
      </c>
      <c r="O87" s="6">
        <f>IF(AND(I87=1,M87=1),ROW(),"")</f>
        <v/>
      </c>
      <c r="P87" s="6">
        <f>IF(AND(K87="ignored",M87=1),ROW(),"")</f>
        <v/>
      </c>
    </row>
    <row r="88">
      <c r="A88" s="8" t="n"/>
      <c r="B88" s="8" t="n"/>
      <c r="C88" s="6">
        <f>TRIM(A88&amp;"")</f>
        <v/>
      </c>
      <c r="D88" s="6">
        <f>IF(C88="","",SUBSTITUTE(SUBSTITUTE(SUBSTITUTE(SUBSTITUTE(SUBSTITUTE(SUBSTITUTE(SUBSTITUTE(UPPER(TRIM(B88&amp;"")),"₹",""),"RS.",""),"RS",""),"INR",""),"$",""),",","")," ",""))</f>
        <v/>
      </c>
      <c r="E88" s="6">
        <f>IF(C88="","",IF(RIGHT(D88,2)="CR","Cr",IF(RIGHT(D88,2)="DR","Dr","")))</f>
        <v/>
      </c>
      <c r="F88" s="6">
        <f>IF(C88="","",IF(E88&lt;&gt;"",LEFT(D88,LEN(D88)-2),D88))</f>
        <v/>
      </c>
      <c r="G88" s="13">
        <f>IF(C88="","",IF(OR(IF(AND(LEFT(F88,1)="(",RIGHT(F88,1)=")"),MID(F88,2,LEN(F88)-2),F88)="",IF(AND(LEFT(F88,1)="(",RIGHT(F88,1)=")"),MID(F88,2,LEN(F88)-2),F88)="-"),0,IFERROR(VALUE(IF(AND(LEFT(F88,1)="(",RIGHT(F88,1)=")"),MID(F88,2,LEN(F88)-2),F88))*IF(AND(LEFT(F88,1)="(",RIGHT(F88,1)=")"),-1,1)*IF(E88="Cr",Setup!$B$6,1),"ERR")))</f>
        <v/>
      </c>
      <c r="H88" s="6">
        <f>IF(C88="","",IF(ISNUMBER(G88),1,0))</f>
        <v/>
      </c>
      <c r="I88" s="6">
        <f>IF(C88="","",IF(SUMPRODUCT(($C$12:$C$1511=C88)*1)&gt;1,1,0))</f>
        <v/>
      </c>
      <c r="J88" s="6">
        <f>IF(C88="","",SUMPRODUCT((Mapping!$F$5:$F$504=Setup!$B$4&amp;"||"&amp;C88)*ROW(Mapping!$F$5:$F$504)))</f>
        <v/>
      </c>
      <c r="K88" s="6">
        <f>IF(C88="","",IF(J88=0,"UNMAPPED",LOWER(INDEX(Mapping!$D$1:$D$504,J88))))</f>
        <v/>
      </c>
      <c r="L88" s="6">
        <f>IF(K88="mapped",TRIM(INDEX(Mapping!$C$1:$C$504,J88)),"")</f>
        <v/>
      </c>
      <c r="M88" s="6">
        <f>IF(C88="","",IF(SUMPRODUCT(($C$12:C88=C88)*1)=1,1,0))</f>
        <v/>
      </c>
      <c r="N88" s="6">
        <f>IF(AND(K88="UNMAPPED",M88=1),ROW(),"")</f>
        <v/>
      </c>
      <c r="O88" s="6">
        <f>IF(AND(I88=1,M88=1),ROW(),"")</f>
        <v/>
      </c>
      <c r="P88" s="6">
        <f>IF(AND(K88="ignored",M88=1),ROW(),"")</f>
        <v/>
      </c>
    </row>
    <row r="89">
      <c r="A89" s="8" t="n"/>
      <c r="B89" s="8" t="n"/>
      <c r="C89" s="6">
        <f>TRIM(A89&amp;"")</f>
        <v/>
      </c>
      <c r="D89" s="6">
        <f>IF(C89="","",SUBSTITUTE(SUBSTITUTE(SUBSTITUTE(SUBSTITUTE(SUBSTITUTE(SUBSTITUTE(SUBSTITUTE(UPPER(TRIM(B89&amp;"")),"₹",""),"RS.",""),"RS",""),"INR",""),"$",""),",","")," ",""))</f>
        <v/>
      </c>
      <c r="E89" s="6">
        <f>IF(C89="","",IF(RIGHT(D89,2)="CR","Cr",IF(RIGHT(D89,2)="DR","Dr","")))</f>
        <v/>
      </c>
      <c r="F89" s="6">
        <f>IF(C89="","",IF(E89&lt;&gt;"",LEFT(D89,LEN(D89)-2),D89))</f>
        <v/>
      </c>
      <c r="G89" s="13">
        <f>IF(C89="","",IF(OR(IF(AND(LEFT(F89,1)="(",RIGHT(F89,1)=")"),MID(F89,2,LEN(F89)-2),F89)="",IF(AND(LEFT(F89,1)="(",RIGHT(F89,1)=")"),MID(F89,2,LEN(F89)-2),F89)="-"),0,IFERROR(VALUE(IF(AND(LEFT(F89,1)="(",RIGHT(F89,1)=")"),MID(F89,2,LEN(F89)-2),F89))*IF(AND(LEFT(F89,1)="(",RIGHT(F89,1)=")"),-1,1)*IF(E89="Cr",Setup!$B$6,1),"ERR")))</f>
        <v/>
      </c>
      <c r="H89" s="6">
        <f>IF(C89="","",IF(ISNUMBER(G89),1,0))</f>
        <v/>
      </c>
      <c r="I89" s="6">
        <f>IF(C89="","",IF(SUMPRODUCT(($C$12:$C$1511=C89)*1)&gt;1,1,0))</f>
        <v/>
      </c>
      <c r="J89" s="6">
        <f>IF(C89="","",SUMPRODUCT((Mapping!$F$5:$F$504=Setup!$B$4&amp;"||"&amp;C89)*ROW(Mapping!$F$5:$F$504)))</f>
        <v/>
      </c>
      <c r="K89" s="6">
        <f>IF(C89="","",IF(J89=0,"UNMAPPED",LOWER(INDEX(Mapping!$D$1:$D$504,J89))))</f>
        <v/>
      </c>
      <c r="L89" s="6">
        <f>IF(K89="mapped",TRIM(INDEX(Mapping!$C$1:$C$504,J89)),"")</f>
        <v/>
      </c>
      <c r="M89" s="6">
        <f>IF(C89="","",IF(SUMPRODUCT(($C$12:C89=C89)*1)=1,1,0))</f>
        <v/>
      </c>
      <c r="N89" s="6">
        <f>IF(AND(K89="UNMAPPED",M89=1),ROW(),"")</f>
        <v/>
      </c>
      <c r="O89" s="6">
        <f>IF(AND(I89=1,M89=1),ROW(),"")</f>
        <v/>
      </c>
      <c r="P89" s="6">
        <f>IF(AND(K89="ignored",M89=1),ROW(),"")</f>
        <v/>
      </c>
    </row>
    <row r="90">
      <c r="A90" s="8" t="n"/>
      <c r="B90" s="8" t="n"/>
      <c r="C90" s="6">
        <f>TRIM(A90&amp;"")</f>
        <v/>
      </c>
      <c r="D90" s="6">
        <f>IF(C90="","",SUBSTITUTE(SUBSTITUTE(SUBSTITUTE(SUBSTITUTE(SUBSTITUTE(SUBSTITUTE(SUBSTITUTE(UPPER(TRIM(B90&amp;"")),"₹",""),"RS.",""),"RS",""),"INR",""),"$",""),",","")," ",""))</f>
        <v/>
      </c>
      <c r="E90" s="6">
        <f>IF(C90="","",IF(RIGHT(D90,2)="CR","Cr",IF(RIGHT(D90,2)="DR","Dr","")))</f>
        <v/>
      </c>
      <c r="F90" s="6">
        <f>IF(C90="","",IF(E90&lt;&gt;"",LEFT(D90,LEN(D90)-2),D90))</f>
        <v/>
      </c>
      <c r="G90" s="13">
        <f>IF(C90="","",IF(OR(IF(AND(LEFT(F90,1)="(",RIGHT(F90,1)=")"),MID(F90,2,LEN(F90)-2),F90)="",IF(AND(LEFT(F90,1)="(",RIGHT(F90,1)=")"),MID(F90,2,LEN(F90)-2),F90)="-"),0,IFERROR(VALUE(IF(AND(LEFT(F90,1)="(",RIGHT(F90,1)=")"),MID(F90,2,LEN(F90)-2),F90))*IF(AND(LEFT(F90,1)="(",RIGHT(F90,1)=")"),-1,1)*IF(E90="Cr",Setup!$B$6,1),"ERR")))</f>
        <v/>
      </c>
      <c r="H90" s="6">
        <f>IF(C90="","",IF(ISNUMBER(G90),1,0))</f>
        <v/>
      </c>
      <c r="I90" s="6">
        <f>IF(C90="","",IF(SUMPRODUCT(($C$12:$C$1511=C90)*1)&gt;1,1,0))</f>
        <v/>
      </c>
      <c r="J90" s="6">
        <f>IF(C90="","",SUMPRODUCT((Mapping!$F$5:$F$504=Setup!$B$4&amp;"||"&amp;C90)*ROW(Mapping!$F$5:$F$504)))</f>
        <v/>
      </c>
      <c r="K90" s="6">
        <f>IF(C90="","",IF(J90=0,"UNMAPPED",LOWER(INDEX(Mapping!$D$1:$D$504,J90))))</f>
        <v/>
      </c>
      <c r="L90" s="6">
        <f>IF(K90="mapped",TRIM(INDEX(Mapping!$C$1:$C$504,J90)),"")</f>
        <v/>
      </c>
      <c r="M90" s="6">
        <f>IF(C90="","",IF(SUMPRODUCT(($C$12:C90=C90)*1)=1,1,0))</f>
        <v/>
      </c>
      <c r="N90" s="6">
        <f>IF(AND(K90="UNMAPPED",M90=1),ROW(),"")</f>
        <v/>
      </c>
      <c r="O90" s="6">
        <f>IF(AND(I90=1,M90=1),ROW(),"")</f>
        <v/>
      </c>
      <c r="P90" s="6">
        <f>IF(AND(K90="ignored",M90=1),ROW(),"")</f>
        <v/>
      </c>
    </row>
    <row r="91">
      <c r="A91" s="8" t="n"/>
      <c r="B91" s="8" t="n"/>
      <c r="C91" s="6">
        <f>TRIM(A91&amp;"")</f>
        <v/>
      </c>
      <c r="D91" s="6">
        <f>IF(C91="","",SUBSTITUTE(SUBSTITUTE(SUBSTITUTE(SUBSTITUTE(SUBSTITUTE(SUBSTITUTE(SUBSTITUTE(UPPER(TRIM(B91&amp;"")),"₹",""),"RS.",""),"RS",""),"INR",""),"$",""),",","")," ",""))</f>
        <v/>
      </c>
      <c r="E91" s="6">
        <f>IF(C91="","",IF(RIGHT(D91,2)="CR","Cr",IF(RIGHT(D91,2)="DR","Dr","")))</f>
        <v/>
      </c>
      <c r="F91" s="6">
        <f>IF(C91="","",IF(E91&lt;&gt;"",LEFT(D91,LEN(D91)-2),D91))</f>
        <v/>
      </c>
      <c r="G91" s="13">
        <f>IF(C91="","",IF(OR(IF(AND(LEFT(F91,1)="(",RIGHT(F91,1)=")"),MID(F91,2,LEN(F91)-2),F91)="",IF(AND(LEFT(F91,1)="(",RIGHT(F91,1)=")"),MID(F91,2,LEN(F91)-2),F91)="-"),0,IFERROR(VALUE(IF(AND(LEFT(F91,1)="(",RIGHT(F91,1)=")"),MID(F91,2,LEN(F91)-2),F91))*IF(AND(LEFT(F91,1)="(",RIGHT(F91,1)=")"),-1,1)*IF(E91="Cr",Setup!$B$6,1),"ERR")))</f>
        <v/>
      </c>
      <c r="H91" s="6">
        <f>IF(C91="","",IF(ISNUMBER(G91),1,0))</f>
        <v/>
      </c>
      <c r="I91" s="6">
        <f>IF(C91="","",IF(SUMPRODUCT(($C$12:$C$1511=C91)*1)&gt;1,1,0))</f>
        <v/>
      </c>
      <c r="J91" s="6">
        <f>IF(C91="","",SUMPRODUCT((Mapping!$F$5:$F$504=Setup!$B$4&amp;"||"&amp;C91)*ROW(Mapping!$F$5:$F$504)))</f>
        <v/>
      </c>
      <c r="K91" s="6">
        <f>IF(C91="","",IF(J91=0,"UNMAPPED",LOWER(INDEX(Mapping!$D$1:$D$504,J91))))</f>
        <v/>
      </c>
      <c r="L91" s="6">
        <f>IF(K91="mapped",TRIM(INDEX(Mapping!$C$1:$C$504,J91)),"")</f>
        <v/>
      </c>
      <c r="M91" s="6">
        <f>IF(C91="","",IF(SUMPRODUCT(($C$12:C91=C91)*1)=1,1,0))</f>
        <v/>
      </c>
      <c r="N91" s="6">
        <f>IF(AND(K91="UNMAPPED",M91=1),ROW(),"")</f>
        <v/>
      </c>
      <c r="O91" s="6">
        <f>IF(AND(I91=1,M91=1),ROW(),"")</f>
        <v/>
      </c>
      <c r="P91" s="6">
        <f>IF(AND(K91="ignored",M91=1),ROW(),"")</f>
        <v/>
      </c>
    </row>
    <row r="92">
      <c r="A92" s="8" t="n"/>
      <c r="B92" s="8" t="n"/>
      <c r="C92" s="6">
        <f>TRIM(A92&amp;"")</f>
        <v/>
      </c>
      <c r="D92" s="6">
        <f>IF(C92="","",SUBSTITUTE(SUBSTITUTE(SUBSTITUTE(SUBSTITUTE(SUBSTITUTE(SUBSTITUTE(SUBSTITUTE(UPPER(TRIM(B92&amp;"")),"₹",""),"RS.",""),"RS",""),"INR",""),"$",""),",","")," ",""))</f>
        <v/>
      </c>
      <c r="E92" s="6">
        <f>IF(C92="","",IF(RIGHT(D92,2)="CR","Cr",IF(RIGHT(D92,2)="DR","Dr","")))</f>
        <v/>
      </c>
      <c r="F92" s="6">
        <f>IF(C92="","",IF(E92&lt;&gt;"",LEFT(D92,LEN(D92)-2),D92))</f>
        <v/>
      </c>
      <c r="G92" s="13">
        <f>IF(C92="","",IF(OR(IF(AND(LEFT(F92,1)="(",RIGHT(F92,1)=")"),MID(F92,2,LEN(F92)-2),F92)="",IF(AND(LEFT(F92,1)="(",RIGHT(F92,1)=")"),MID(F92,2,LEN(F92)-2),F92)="-"),0,IFERROR(VALUE(IF(AND(LEFT(F92,1)="(",RIGHT(F92,1)=")"),MID(F92,2,LEN(F92)-2),F92))*IF(AND(LEFT(F92,1)="(",RIGHT(F92,1)=")"),-1,1)*IF(E92="Cr",Setup!$B$6,1),"ERR")))</f>
        <v/>
      </c>
      <c r="H92" s="6">
        <f>IF(C92="","",IF(ISNUMBER(G92),1,0))</f>
        <v/>
      </c>
      <c r="I92" s="6">
        <f>IF(C92="","",IF(SUMPRODUCT(($C$12:$C$1511=C92)*1)&gt;1,1,0))</f>
        <v/>
      </c>
      <c r="J92" s="6">
        <f>IF(C92="","",SUMPRODUCT((Mapping!$F$5:$F$504=Setup!$B$4&amp;"||"&amp;C92)*ROW(Mapping!$F$5:$F$504)))</f>
        <v/>
      </c>
      <c r="K92" s="6">
        <f>IF(C92="","",IF(J92=0,"UNMAPPED",LOWER(INDEX(Mapping!$D$1:$D$504,J92))))</f>
        <v/>
      </c>
      <c r="L92" s="6">
        <f>IF(K92="mapped",TRIM(INDEX(Mapping!$C$1:$C$504,J92)),"")</f>
        <v/>
      </c>
      <c r="M92" s="6">
        <f>IF(C92="","",IF(SUMPRODUCT(($C$12:C92=C92)*1)=1,1,0))</f>
        <v/>
      </c>
      <c r="N92" s="6">
        <f>IF(AND(K92="UNMAPPED",M92=1),ROW(),"")</f>
        <v/>
      </c>
      <c r="O92" s="6">
        <f>IF(AND(I92=1,M92=1),ROW(),"")</f>
        <v/>
      </c>
      <c r="P92" s="6">
        <f>IF(AND(K92="ignored",M92=1),ROW(),"")</f>
        <v/>
      </c>
    </row>
    <row r="93">
      <c r="A93" s="8" t="n"/>
      <c r="B93" s="8" t="n"/>
      <c r="C93" s="6">
        <f>TRIM(A93&amp;"")</f>
        <v/>
      </c>
      <c r="D93" s="6">
        <f>IF(C93="","",SUBSTITUTE(SUBSTITUTE(SUBSTITUTE(SUBSTITUTE(SUBSTITUTE(SUBSTITUTE(SUBSTITUTE(UPPER(TRIM(B93&amp;"")),"₹",""),"RS.",""),"RS",""),"INR",""),"$",""),",","")," ",""))</f>
        <v/>
      </c>
      <c r="E93" s="6">
        <f>IF(C93="","",IF(RIGHT(D93,2)="CR","Cr",IF(RIGHT(D93,2)="DR","Dr","")))</f>
        <v/>
      </c>
      <c r="F93" s="6">
        <f>IF(C93="","",IF(E93&lt;&gt;"",LEFT(D93,LEN(D93)-2),D93))</f>
        <v/>
      </c>
      <c r="G93" s="13">
        <f>IF(C93="","",IF(OR(IF(AND(LEFT(F93,1)="(",RIGHT(F93,1)=")"),MID(F93,2,LEN(F93)-2),F93)="",IF(AND(LEFT(F93,1)="(",RIGHT(F93,1)=")"),MID(F93,2,LEN(F93)-2),F93)="-"),0,IFERROR(VALUE(IF(AND(LEFT(F93,1)="(",RIGHT(F93,1)=")"),MID(F93,2,LEN(F93)-2),F93))*IF(AND(LEFT(F93,1)="(",RIGHT(F93,1)=")"),-1,1)*IF(E93="Cr",Setup!$B$6,1),"ERR")))</f>
        <v/>
      </c>
      <c r="H93" s="6">
        <f>IF(C93="","",IF(ISNUMBER(G93),1,0))</f>
        <v/>
      </c>
      <c r="I93" s="6">
        <f>IF(C93="","",IF(SUMPRODUCT(($C$12:$C$1511=C93)*1)&gt;1,1,0))</f>
        <v/>
      </c>
      <c r="J93" s="6">
        <f>IF(C93="","",SUMPRODUCT((Mapping!$F$5:$F$504=Setup!$B$4&amp;"||"&amp;C93)*ROW(Mapping!$F$5:$F$504)))</f>
        <v/>
      </c>
      <c r="K93" s="6">
        <f>IF(C93="","",IF(J93=0,"UNMAPPED",LOWER(INDEX(Mapping!$D$1:$D$504,J93))))</f>
        <v/>
      </c>
      <c r="L93" s="6">
        <f>IF(K93="mapped",TRIM(INDEX(Mapping!$C$1:$C$504,J93)),"")</f>
        <v/>
      </c>
      <c r="M93" s="6">
        <f>IF(C93="","",IF(SUMPRODUCT(($C$12:C93=C93)*1)=1,1,0))</f>
        <v/>
      </c>
      <c r="N93" s="6">
        <f>IF(AND(K93="UNMAPPED",M93=1),ROW(),"")</f>
        <v/>
      </c>
      <c r="O93" s="6">
        <f>IF(AND(I93=1,M93=1),ROW(),"")</f>
        <v/>
      </c>
      <c r="P93" s="6">
        <f>IF(AND(K93="ignored",M93=1),ROW(),"")</f>
        <v/>
      </c>
    </row>
    <row r="94">
      <c r="A94" s="8" t="n"/>
      <c r="B94" s="8" t="n"/>
      <c r="C94" s="6">
        <f>TRIM(A94&amp;"")</f>
        <v/>
      </c>
      <c r="D94" s="6">
        <f>IF(C94="","",SUBSTITUTE(SUBSTITUTE(SUBSTITUTE(SUBSTITUTE(SUBSTITUTE(SUBSTITUTE(SUBSTITUTE(UPPER(TRIM(B94&amp;"")),"₹",""),"RS.",""),"RS",""),"INR",""),"$",""),",","")," ",""))</f>
        <v/>
      </c>
      <c r="E94" s="6">
        <f>IF(C94="","",IF(RIGHT(D94,2)="CR","Cr",IF(RIGHT(D94,2)="DR","Dr","")))</f>
        <v/>
      </c>
      <c r="F94" s="6">
        <f>IF(C94="","",IF(E94&lt;&gt;"",LEFT(D94,LEN(D94)-2),D94))</f>
        <v/>
      </c>
      <c r="G94" s="13">
        <f>IF(C94="","",IF(OR(IF(AND(LEFT(F94,1)="(",RIGHT(F94,1)=")"),MID(F94,2,LEN(F94)-2),F94)="",IF(AND(LEFT(F94,1)="(",RIGHT(F94,1)=")"),MID(F94,2,LEN(F94)-2),F94)="-"),0,IFERROR(VALUE(IF(AND(LEFT(F94,1)="(",RIGHT(F94,1)=")"),MID(F94,2,LEN(F94)-2),F94))*IF(AND(LEFT(F94,1)="(",RIGHT(F94,1)=")"),-1,1)*IF(E94="Cr",Setup!$B$6,1),"ERR")))</f>
        <v/>
      </c>
      <c r="H94" s="6">
        <f>IF(C94="","",IF(ISNUMBER(G94),1,0))</f>
        <v/>
      </c>
      <c r="I94" s="6">
        <f>IF(C94="","",IF(SUMPRODUCT(($C$12:$C$1511=C94)*1)&gt;1,1,0))</f>
        <v/>
      </c>
      <c r="J94" s="6">
        <f>IF(C94="","",SUMPRODUCT((Mapping!$F$5:$F$504=Setup!$B$4&amp;"||"&amp;C94)*ROW(Mapping!$F$5:$F$504)))</f>
        <v/>
      </c>
      <c r="K94" s="6">
        <f>IF(C94="","",IF(J94=0,"UNMAPPED",LOWER(INDEX(Mapping!$D$1:$D$504,J94))))</f>
        <v/>
      </c>
      <c r="L94" s="6">
        <f>IF(K94="mapped",TRIM(INDEX(Mapping!$C$1:$C$504,J94)),"")</f>
        <v/>
      </c>
      <c r="M94" s="6">
        <f>IF(C94="","",IF(SUMPRODUCT(($C$12:C94=C94)*1)=1,1,0))</f>
        <v/>
      </c>
      <c r="N94" s="6">
        <f>IF(AND(K94="UNMAPPED",M94=1),ROW(),"")</f>
        <v/>
      </c>
      <c r="O94" s="6">
        <f>IF(AND(I94=1,M94=1),ROW(),"")</f>
        <v/>
      </c>
      <c r="P94" s="6">
        <f>IF(AND(K94="ignored",M94=1),ROW(),"")</f>
        <v/>
      </c>
    </row>
    <row r="95">
      <c r="A95" s="8" t="n"/>
      <c r="B95" s="8" t="n"/>
      <c r="C95" s="6">
        <f>TRIM(A95&amp;"")</f>
        <v/>
      </c>
      <c r="D95" s="6">
        <f>IF(C95="","",SUBSTITUTE(SUBSTITUTE(SUBSTITUTE(SUBSTITUTE(SUBSTITUTE(SUBSTITUTE(SUBSTITUTE(UPPER(TRIM(B95&amp;"")),"₹",""),"RS.",""),"RS",""),"INR",""),"$",""),",","")," ",""))</f>
        <v/>
      </c>
      <c r="E95" s="6">
        <f>IF(C95="","",IF(RIGHT(D95,2)="CR","Cr",IF(RIGHT(D95,2)="DR","Dr","")))</f>
        <v/>
      </c>
      <c r="F95" s="6">
        <f>IF(C95="","",IF(E95&lt;&gt;"",LEFT(D95,LEN(D95)-2),D95))</f>
        <v/>
      </c>
      <c r="G95" s="13">
        <f>IF(C95="","",IF(OR(IF(AND(LEFT(F95,1)="(",RIGHT(F95,1)=")"),MID(F95,2,LEN(F95)-2),F95)="",IF(AND(LEFT(F95,1)="(",RIGHT(F95,1)=")"),MID(F95,2,LEN(F95)-2),F95)="-"),0,IFERROR(VALUE(IF(AND(LEFT(F95,1)="(",RIGHT(F95,1)=")"),MID(F95,2,LEN(F95)-2),F95))*IF(AND(LEFT(F95,1)="(",RIGHT(F95,1)=")"),-1,1)*IF(E95="Cr",Setup!$B$6,1),"ERR")))</f>
        <v/>
      </c>
      <c r="H95" s="6">
        <f>IF(C95="","",IF(ISNUMBER(G95),1,0))</f>
        <v/>
      </c>
      <c r="I95" s="6">
        <f>IF(C95="","",IF(SUMPRODUCT(($C$12:$C$1511=C95)*1)&gt;1,1,0))</f>
        <v/>
      </c>
      <c r="J95" s="6">
        <f>IF(C95="","",SUMPRODUCT((Mapping!$F$5:$F$504=Setup!$B$4&amp;"||"&amp;C95)*ROW(Mapping!$F$5:$F$504)))</f>
        <v/>
      </c>
      <c r="K95" s="6">
        <f>IF(C95="","",IF(J95=0,"UNMAPPED",LOWER(INDEX(Mapping!$D$1:$D$504,J95))))</f>
        <v/>
      </c>
      <c r="L95" s="6">
        <f>IF(K95="mapped",TRIM(INDEX(Mapping!$C$1:$C$504,J95)),"")</f>
        <v/>
      </c>
      <c r="M95" s="6">
        <f>IF(C95="","",IF(SUMPRODUCT(($C$12:C95=C95)*1)=1,1,0))</f>
        <v/>
      </c>
      <c r="N95" s="6">
        <f>IF(AND(K95="UNMAPPED",M95=1),ROW(),"")</f>
        <v/>
      </c>
      <c r="O95" s="6">
        <f>IF(AND(I95=1,M95=1),ROW(),"")</f>
        <v/>
      </c>
      <c r="P95" s="6">
        <f>IF(AND(K95="ignored",M95=1),ROW(),"")</f>
        <v/>
      </c>
    </row>
    <row r="96">
      <c r="A96" s="8" t="n"/>
      <c r="B96" s="8" t="n"/>
      <c r="C96" s="6">
        <f>TRIM(A96&amp;"")</f>
        <v/>
      </c>
      <c r="D96" s="6">
        <f>IF(C96="","",SUBSTITUTE(SUBSTITUTE(SUBSTITUTE(SUBSTITUTE(SUBSTITUTE(SUBSTITUTE(SUBSTITUTE(UPPER(TRIM(B96&amp;"")),"₹",""),"RS.",""),"RS",""),"INR",""),"$",""),",","")," ",""))</f>
        <v/>
      </c>
      <c r="E96" s="6">
        <f>IF(C96="","",IF(RIGHT(D96,2)="CR","Cr",IF(RIGHT(D96,2)="DR","Dr","")))</f>
        <v/>
      </c>
      <c r="F96" s="6">
        <f>IF(C96="","",IF(E96&lt;&gt;"",LEFT(D96,LEN(D96)-2),D96))</f>
        <v/>
      </c>
      <c r="G96" s="13">
        <f>IF(C96="","",IF(OR(IF(AND(LEFT(F96,1)="(",RIGHT(F96,1)=")"),MID(F96,2,LEN(F96)-2),F96)="",IF(AND(LEFT(F96,1)="(",RIGHT(F96,1)=")"),MID(F96,2,LEN(F96)-2),F96)="-"),0,IFERROR(VALUE(IF(AND(LEFT(F96,1)="(",RIGHT(F96,1)=")"),MID(F96,2,LEN(F96)-2),F96))*IF(AND(LEFT(F96,1)="(",RIGHT(F96,1)=")"),-1,1)*IF(E96="Cr",Setup!$B$6,1),"ERR")))</f>
        <v/>
      </c>
      <c r="H96" s="6">
        <f>IF(C96="","",IF(ISNUMBER(G96),1,0))</f>
        <v/>
      </c>
      <c r="I96" s="6">
        <f>IF(C96="","",IF(SUMPRODUCT(($C$12:$C$1511=C96)*1)&gt;1,1,0))</f>
        <v/>
      </c>
      <c r="J96" s="6">
        <f>IF(C96="","",SUMPRODUCT((Mapping!$F$5:$F$504=Setup!$B$4&amp;"||"&amp;C96)*ROW(Mapping!$F$5:$F$504)))</f>
        <v/>
      </c>
      <c r="K96" s="6">
        <f>IF(C96="","",IF(J96=0,"UNMAPPED",LOWER(INDEX(Mapping!$D$1:$D$504,J96))))</f>
        <v/>
      </c>
      <c r="L96" s="6">
        <f>IF(K96="mapped",TRIM(INDEX(Mapping!$C$1:$C$504,J96)),"")</f>
        <v/>
      </c>
      <c r="M96" s="6">
        <f>IF(C96="","",IF(SUMPRODUCT(($C$12:C96=C96)*1)=1,1,0))</f>
        <v/>
      </c>
      <c r="N96" s="6">
        <f>IF(AND(K96="UNMAPPED",M96=1),ROW(),"")</f>
        <v/>
      </c>
      <c r="O96" s="6">
        <f>IF(AND(I96=1,M96=1),ROW(),"")</f>
        <v/>
      </c>
      <c r="P96" s="6">
        <f>IF(AND(K96="ignored",M96=1),ROW(),"")</f>
        <v/>
      </c>
    </row>
    <row r="97">
      <c r="A97" s="8" t="n"/>
      <c r="B97" s="8" t="n"/>
      <c r="C97" s="6">
        <f>TRIM(A97&amp;"")</f>
        <v/>
      </c>
      <c r="D97" s="6">
        <f>IF(C97="","",SUBSTITUTE(SUBSTITUTE(SUBSTITUTE(SUBSTITUTE(SUBSTITUTE(SUBSTITUTE(SUBSTITUTE(UPPER(TRIM(B97&amp;"")),"₹",""),"RS.",""),"RS",""),"INR",""),"$",""),",","")," ",""))</f>
        <v/>
      </c>
      <c r="E97" s="6">
        <f>IF(C97="","",IF(RIGHT(D97,2)="CR","Cr",IF(RIGHT(D97,2)="DR","Dr","")))</f>
        <v/>
      </c>
      <c r="F97" s="6">
        <f>IF(C97="","",IF(E97&lt;&gt;"",LEFT(D97,LEN(D97)-2),D97))</f>
        <v/>
      </c>
      <c r="G97" s="13">
        <f>IF(C97="","",IF(OR(IF(AND(LEFT(F97,1)="(",RIGHT(F97,1)=")"),MID(F97,2,LEN(F97)-2),F97)="",IF(AND(LEFT(F97,1)="(",RIGHT(F97,1)=")"),MID(F97,2,LEN(F97)-2),F97)="-"),0,IFERROR(VALUE(IF(AND(LEFT(F97,1)="(",RIGHT(F97,1)=")"),MID(F97,2,LEN(F97)-2),F97))*IF(AND(LEFT(F97,1)="(",RIGHT(F97,1)=")"),-1,1)*IF(E97="Cr",Setup!$B$6,1),"ERR")))</f>
        <v/>
      </c>
      <c r="H97" s="6">
        <f>IF(C97="","",IF(ISNUMBER(G97),1,0))</f>
        <v/>
      </c>
      <c r="I97" s="6">
        <f>IF(C97="","",IF(SUMPRODUCT(($C$12:$C$1511=C97)*1)&gt;1,1,0))</f>
        <v/>
      </c>
      <c r="J97" s="6">
        <f>IF(C97="","",SUMPRODUCT((Mapping!$F$5:$F$504=Setup!$B$4&amp;"||"&amp;C97)*ROW(Mapping!$F$5:$F$504)))</f>
        <v/>
      </c>
      <c r="K97" s="6">
        <f>IF(C97="","",IF(J97=0,"UNMAPPED",LOWER(INDEX(Mapping!$D$1:$D$504,J97))))</f>
        <v/>
      </c>
      <c r="L97" s="6">
        <f>IF(K97="mapped",TRIM(INDEX(Mapping!$C$1:$C$504,J97)),"")</f>
        <v/>
      </c>
      <c r="M97" s="6">
        <f>IF(C97="","",IF(SUMPRODUCT(($C$12:C97=C97)*1)=1,1,0))</f>
        <v/>
      </c>
      <c r="N97" s="6">
        <f>IF(AND(K97="UNMAPPED",M97=1),ROW(),"")</f>
        <v/>
      </c>
      <c r="O97" s="6">
        <f>IF(AND(I97=1,M97=1),ROW(),"")</f>
        <v/>
      </c>
      <c r="P97" s="6">
        <f>IF(AND(K97="ignored",M97=1),ROW(),"")</f>
        <v/>
      </c>
    </row>
    <row r="98">
      <c r="A98" s="8" t="n"/>
      <c r="B98" s="8" t="n"/>
      <c r="C98" s="6">
        <f>TRIM(A98&amp;"")</f>
        <v/>
      </c>
      <c r="D98" s="6">
        <f>IF(C98="","",SUBSTITUTE(SUBSTITUTE(SUBSTITUTE(SUBSTITUTE(SUBSTITUTE(SUBSTITUTE(SUBSTITUTE(UPPER(TRIM(B98&amp;"")),"₹",""),"RS.",""),"RS",""),"INR",""),"$",""),",","")," ",""))</f>
        <v/>
      </c>
      <c r="E98" s="6">
        <f>IF(C98="","",IF(RIGHT(D98,2)="CR","Cr",IF(RIGHT(D98,2)="DR","Dr","")))</f>
        <v/>
      </c>
      <c r="F98" s="6">
        <f>IF(C98="","",IF(E98&lt;&gt;"",LEFT(D98,LEN(D98)-2),D98))</f>
        <v/>
      </c>
      <c r="G98" s="13">
        <f>IF(C98="","",IF(OR(IF(AND(LEFT(F98,1)="(",RIGHT(F98,1)=")"),MID(F98,2,LEN(F98)-2),F98)="",IF(AND(LEFT(F98,1)="(",RIGHT(F98,1)=")"),MID(F98,2,LEN(F98)-2),F98)="-"),0,IFERROR(VALUE(IF(AND(LEFT(F98,1)="(",RIGHT(F98,1)=")"),MID(F98,2,LEN(F98)-2),F98))*IF(AND(LEFT(F98,1)="(",RIGHT(F98,1)=")"),-1,1)*IF(E98="Cr",Setup!$B$6,1),"ERR")))</f>
        <v/>
      </c>
      <c r="H98" s="6">
        <f>IF(C98="","",IF(ISNUMBER(G98),1,0))</f>
        <v/>
      </c>
      <c r="I98" s="6">
        <f>IF(C98="","",IF(SUMPRODUCT(($C$12:$C$1511=C98)*1)&gt;1,1,0))</f>
        <v/>
      </c>
      <c r="J98" s="6">
        <f>IF(C98="","",SUMPRODUCT((Mapping!$F$5:$F$504=Setup!$B$4&amp;"||"&amp;C98)*ROW(Mapping!$F$5:$F$504)))</f>
        <v/>
      </c>
      <c r="K98" s="6">
        <f>IF(C98="","",IF(J98=0,"UNMAPPED",LOWER(INDEX(Mapping!$D$1:$D$504,J98))))</f>
        <v/>
      </c>
      <c r="L98" s="6">
        <f>IF(K98="mapped",TRIM(INDEX(Mapping!$C$1:$C$504,J98)),"")</f>
        <v/>
      </c>
      <c r="M98" s="6">
        <f>IF(C98="","",IF(SUMPRODUCT(($C$12:C98=C98)*1)=1,1,0))</f>
        <v/>
      </c>
      <c r="N98" s="6">
        <f>IF(AND(K98="UNMAPPED",M98=1),ROW(),"")</f>
        <v/>
      </c>
      <c r="O98" s="6">
        <f>IF(AND(I98=1,M98=1),ROW(),"")</f>
        <v/>
      </c>
      <c r="P98" s="6">
        <f>IF(AND(K98="ignored",M98=1),ROW(),"")</f>
        <v/>
      </c>
    </row>
    <row r="99">
      <c r="A99" s="8" t="n"/>
      <c r="B99" s="8" t="n"/>
      <c r="C99" s="6">
        <f>TRIM(A99&amp;"")</f>
        <v/>
      </c>
      <c r="D99" s="6">
        <f>IF(C99="","",SUBSTITUTE(SUBSTITUTE(SUBSTITUTE(SUBSTITUTE(SUBSTITUTE(SUBSTITUTE(SUBSTITUTE(UPPER(TRIM(B99&amp;"")),"₹",""),"RS.",""),"RS",""),"INR",""),"$",""),",","")," ",""))</f>
        <v/>
      </c>
      <c r="E99" s="6">
        <f>IF(C99="","",IF(RIGHT(D99,2)="CR","Cr",IF(RIGHT(D99,2)="DR","Dr","")))</f>
        <v/>
      </c>
      <c r="F99" s="6">
        <f>IF(C99="","",IF(E99&lt;&gt;"",LEFT(D99,LEN(D99)-2),D99))</f>
        <v/>
      </c>
      <c r="G99" s="13">
        <f>IF(C99="","",IF(OR(IF(AND(LEFT(F99,1)="(",RIGHT(F99,1)=")"),MID(F99,2,LEN(F99)-2),F99)="",IF(AND(LEFT(F99,1)="(",RIGHT(F99,1)=")"),MID(F99,2,LEN(F99)-2),F99)="-"),0,IFERROR(VALUE(IF(AND(LEFT(F99,1)="(",RIGHT(F99,1)=")"),MID(F99,2,LEN(F99)-2),F99))*IF(AND(LEFT(F99,1)="(",RIGHT(F99,1)=")"),-1,1)*IF(E99="Cr",Setup!$B$6,1),"ERR")))</f>
        <v/>
      </c>
      <c r="H99" s="6">
        <f>IF(C99="","",IF(ISNUMBER(G99),1,0))</f>
        <v/>
      </c>
      <c r="I99" s="6">
        <f>IF(C99="","",IF(SUMPRODUCT(($C$12:$C$1511=C99)*1)&gt;1,1,0))</f>
        <v/>
      </c>
      <c r="J99" s="6">
        <f>IF(C99="","",SUMPRODUCT((Mapping!$F$5:$F$504=Setup!$B$4&amp;"||"&amp;C99)*ROW(Mapping!$F$5:$F$504)))</f>
        <v/>
      </c>
      <c r="K99" s="6">
        <f>IF(C99="","",IF(J99=0,"UNMAPPED",LOWER(INDEX(Mapping!$D$1:$D$504,J99))))</f>
        <v/>
      </c>
      <c r="L99" s="6">
        <f>IF(K99="mapped",TRIM(INDEX(Mapping!$C$1:$C$504,J99)),"")</f>
        <v/>
      </c>
      <c r="M99" s="6">
        <f>IF(C99="","",IF(SUMPRODUCT(($C$12:C99=C99)*1)=1,1,0))</f>
        <v/>
      </c>
      <c r="N99" s="6">
        <f>IF(AND(K99="UNMAPPED",M99=1),ROW(),"")</f>
        <v/>
      </c>
      <c r="O99" s="6">
        <f>IF(AND(I99=1,M99=1),ROW(),"")</f>
        <v/>
      </c>
      <c r="P99" s="6">
        <f>IF(AND(K99="ignored",M99=1),ROW(),"")</f>
        <v/>
      </c>
    </row>
    <row r="100">
      <c r="A100" s="8" t="n"/>
      <c r="B100" s="8" t="n"/>
      <c r="C100" s="6">
        <f>TRIM(A100&amp;"")</f>
        <v/>
      </c>
      <c r="D100" s="6">
        <f>IF(C100="","",SUBSTITUTE(SUBSTITUTE(SUBSTITUTE(SUBSTITUTE(SUBSTITUTE(SUBSTITUTE(SUBSTITUTE(UPPER(TRIM(B100&amp;"")),"₹",""),"RS.",""),"RS",""),"INR",""),"$",""),",","")," ",""))</f>
        <v/>
      </c>
      <c r="E100" s="6">
        <f>IF(C100="","",IF(RIGHT(D100,2)="CR","Cr",IF(RIGHT(D100,2)="DR","Dr","")))</f>
        <v/>
      </c>
      <c r="F100" s="6">
        <f>IF(C100="","",IF(E100&lt;&gt;"",LEFT(D100,LEN(D100)-2),D100))</f>
        <v/>
      </c>
      <c r="G100" s="13">
        <f>IF(C100="","",IF(OR(IF(AND(LEFT(F100,1)="(",RIGHT(F100,1)=")"),MID(F100,2,LEN(F100)-2),F100)="",IF(AND(LEFT(F100,1)="(",RIGHT(F100,1)=")"),MID(F100,2,LEN(F100)-2),F100)="-"),0,IFERROR(VALUE(IF(AND(LEFT(F100,1)="(",RIGHT(F100,1)=")"),MID(F100,2,LEN(F100)-2),F100))*IF(AND(LEFT(F100,1)="(",RIGHT(F100,1)=")"),-1,1)*IF(E100="Cr",Setup!$B$6,1),"ERR")))</f>
        <v/>
      </c>
      <c r="H100" s="6">
        <f>IF(C100="","",IF(ISNUMBER(G100),1,0))</f>
        <v/>
      </c>
      <c r="I100" s="6">
        <f>IF(C100="","",IF(SUMPRODUCT(($C$12:$C$1511=C100)*1)&gt;1,1,0))</f>
        <v/>
      </c>
      <c r="J100" s="6">
        <f>IF(C100="","",SUMPRODUCT((Mapping!$F$5:$F$504=Setup!$B$4&amp;"||"&amp;C100)*ROW(Mapping!$F$5:$F$504)))</f>
        <v/>
      </c>
      <c r="K100" s="6">
        <f>IF(C100="","",IF(J100=0,"UNMAPPED",LOWER(INDEX(Mapping!$D$1:$D$504,J100))))</f>
        <v/>
      </c>
      <c r="L100" s="6">
        <f>IF(K100="mapped",TRIM(INDEX(Mapping!$C$1:$C$504,J100)),"")</f>
        <v/>
      </c>
      <c r="M100" s="6">
        <f>IF(C100="","",IF(SUMPRODUCT(($C$12:C100=C100)*1)=1,1,0))</f>
        <v/>
      </c>
      <c r="N100" s="6">
        <f>IF(AND(K100="UNMAPPED",M100=1),ROW(),"")</f>
        <v/>
      </c>
      <c r="O100" s="6">
        <f>IF(AND(I100=1,M100=1),ROW(),"")</f>
        <v/>
      </c>
      <c r="P100" s="6">
        <f>IF(AND(K100="ignored",M100=1),ROW(),"")</f>
        <v/>
      </c>
    </row>
    <row r="101">
      <c r="A101" s="8" t="n"/>
      <c r="B101" s="8" t="n"/>
      <c r="C101" s="6">
        <f>TRIM(A101&amp;"")</f>
        <v/>
      </c>
      <c r="D101" s="6">
        <f>IF(C101="","",SUBSTITUTE(SUBSTITUTE(SUBSTITUTE(SUBSTITUTE(SUBSTITUTE(SUBSTITUTE(SUBSTITUTE(UPPER(TRIM(B101&amp;"")),"₹",""),"RS.",""),"RS",""),"INR",""),"$",""),",","")," ",""))</f>
        <v/>
      </c>
      <c r="E101" s="6">
        <f>IF(C101="","",IF(RIGHT(D101,2)="CR","Cr",IF(RIGHT(D101,2)="DR","Dr","")))</f>
        <v/>
      </c>
      <c r="F101" s="6">
        <f>IF(C101="","",IF(E101&lt;&gt;"",LEFT(D101,LEN(D101)-2),D101))</f>
        <v/>
      </c>
      <c r="G101" s="13">
        <f>IF(C101="","",IF(OR(IF(AND(LEFT(F101,1)="(",RIGHT(F101,1)=")"),MID(F101,2,LEN(F101)-2),F101)="",IF(AND(LEFT(F101,1)="(",RIGHT(F101,1)=")"),MID(F101,2,LEN(F101)-2),F101)="-"),0,IFERROR(VALUE(IF(AND(LEFT(F101,1)="(",RIGHT(F101,1)=")"),MID(F101,2,LEN(F101)-2),F101))*IF(AND(LEFT(F101,1)="(",RIGHT(F101,1)=")"),-1,1)*IF(E101="Cr",Setup!$B$6,1),"ERR")))</f>
        <v/>
      </c>
      <c r="H101" s="6">
        <f>IF(C101="","",IF(ISNUMBER(G101),1,0))</f>
        <v/>
      </c>
      <c r="I101" s="6">
        <f>IF(C101="","",IF(SUMPRODUCT(($C$12:$C$1511=C101)*1)&gt;1,1,0))</f>
        <v/>
      </c>
      <c r="J101" s="6">
        <f>IF(C101="","",SUMPRODUCT((Mapping!$F$5:$F$504=Setup!$B$4&amp;"||"&amp;C101)*ROW(Mapping!$F$5:$F$504)))</f>
        <v/>
      </c>
      <c r="K101" s="6">
        <f>IF(C101="","",IF(J101=0,"UNMAPPED",LOWER(INDEX(Mapping!$D$1:$D$504,J101))))</f>
        <v/>
      </c>
      <c r="L101" s="6">
        <f>IF(K101="mapped",TRIM(INDEX(Mapping!$C$1:$C$504,J101)),"")</f>
        <v/>
      </c>
      <c r="M101" s="6">
        <f>IF(C101="","",IF(SUMPRODUCT(($C$12:C101=C101)*1)=1,1,0))</f>
        <v/>
      </c>
      <c r="N101" s="6">
        <f>IF(AND(K101="UNMAPPED",M101=1),ROW(),"")</f>
        <v/>
      </c>
      <c r="O101" s="6">
        <f>IF(AND(I101=1,M101=1),ROW(),"")</f>
        <v/>
      </c>
      <c r="P101" s="6">
        <f>IF(AND(K101="ignored",M101=1),ROW(),"")</f>
        <v/>
      </c>
    </row>
    <row r="102">
      <c r="A102" s="8" t="n"/>
      <c r="B102" s="8" t="n"/>
      <c r="C102" s="6">
        <f>TRIM(A102&amp;"")</f>
        <v/>
      </c>
      <c r="D102" s="6">
        <f>IF(C102="","",SUBSTITUTE(SUBSTITUTE(SUBSTITUTE(SUBSTITUTE(SUBSTITUTE(SUBSTITUTE(SUBSTITUTE(UPPER(TRIM(B102&amp;"")),"₹",""),"RS.",""),"RS",""),"INR",""),"$",""),",","")," ",""))</f>
        <v/>
      </c>
      <c r="E102" s="6">
        <f>IF(C102="","",IF(RIGHT(D102,2)="CR","Cr",IF(RIGHT(D102,2)="DR","Dr","")))</f>
        <v/>
      </c>
      <c r="F102" s="6">
        <f>IF(C102="","",IF(E102&lt;&gt;"",LEFT(D102,LEN(D102)-2),D102))</f>
        <v/>
      </c>
      <c r="G102" s="13">
        <f>IF(C102="","",IF(OR(IF(AND(LEFT(F102,1)="(",RIGHT(F102,1)=")"),MID(F102,2,LEN(F102)-2),F102)="",IF(AND(LEFT(F102,1)="(",RIGHT(F102,1)=")"),MID(F102,2,LEN(F102)-2),F102)="-"),0,IFERROR(VALUE(IF(AND(LEFT(F102,1)="(",RIGHT(F102,1)=")"),MID(F102,2,LEN(F102)-2),F102))*IF(AND(LEFT(F102,1)="(",RIGHT(F102,1)=")"),-1,1)*IF(E102="Cr",Setup!$B$6,1),"ERR")))</f>
        <v/>
      </c>
      <c r="H102" s="6">
        <f>IF(C102="","",IF(ISNUMBER(G102),1,0))</f>
        <v/>
      </c>
      <c r="I102" s="6">
        <f>IF(C102="","",IF(SUMPRODUCT(($C$12:$C$1511=C102)*1)&gt;1,1,0))</f>
        <v/>
      </c>
      <c r="J102" s="6">
        <f>IF(C102="","",SUMPRODUCT((Mapping!$F$5:$F$504=Setup!$B$4&amp;"||"&amp;C102)*ROW(Mapping!$F$5:$F$504)))</f>
        <v/>
      </c>
      <c r="K102" s="6">
        <f>IF(C102="","",IF(J102=0,"UNMAPPED",LOWER(INDEX(Mapping!$D$1:$D$504,J102))))</f>
        <v/>
      </c>
      <c r="L102" s="6">
        <f>IF(K102="mapped",TRIM(INDEX(Mapping!$C$1:$C$504,J102)),"")</f>
        <v/>
      </c>
      <c r="M102" s="6">
        <f>IF(C102="","",IF(SUMPRODUCT(($C$12:C102=C102)*1)=1,1,0))</f>
        <v/>
      </c>
      <c r="N102" s="6">
        <f>IF(AND(K102="UNMAPPED",M102=1),ROW(),"")</f>
        <v/>
      </c>
      <c r="O102" s="6">
        <f>IF(AND(I102=1,M102=1),ROW(),"")</f>
        <v/>
      </c>
      <c r="P102" s="6">
        <f>IF(AND(K102="ignored",M102=1),ROW(),"")</f>
        <v/>
      </c>
    </row>
    <row r="103">
      <c r="A103" s="8" t="n"/>
      <c r="B103" s="8" t="n"/>
      <c r="C103" s="6">
        <f>TRIM(A103&amp;"")</f>
        <v/>
      </c>
      <c r="D103" s="6">
        <f>IF(C103="","",SUBSTITUTE(SUBSTITUTE(SUBSTITUTE(SUBSTITUTE(SUBSTITUTE(SUBSTITUTE(SUBSTITUTE(UPPER(TRIM(B103&amp;"")),"₹",""),"RS.",""),"RS",""),"INR",""),"$",""),",","")," ",""))</f>
        <v/>
      </c>
      <c r="E103" s="6">
        <f>IF(C103="","",IF(RIGHT(D103,2)="CR","Cr",IF(RIGHT(D103,2)="DR","Dr","")))</f>
        <v/>
      </c>
      <c r="F103" s="6">
        <f>IF(C103="","",IF(E103&lt;&gt;"",LEFT(D103,LEN(D103)-2),D103))</f>
        <v/>
      </c>
      <c r="G103" s="13">
        <f>IF(C103="","",IF(OR(IF(AND(LEFT(F103,1)="(",RIGHT(F103,1)=")"),MID(F103,2,LEN(F103)-2),F103)="",IF(AND(LEFT(F103,1)="(",RIGHT(F103,1)=")"),MID(F103,2,LEN(F103)-2),F103)="-"),0,IFERROR(VALUE(IF(AND(LEFT(F103,1)="(",RIGHT(F103,1)=")"),MID(F103,2,LEN(F103)-2),F103))*IF(AND(LEFT(F103,1)="(",RIGHT(F103,1)=")"),-1,1)*IF(E103="Cr",Setup!$B$6,1),"ERR")))</f>
        <v/>
      </c>
      <c r="H103" s="6">
        <f>IF(C103="","",IF(ISNUMBER(G103),1,0))</f>
        <v/>
      </c>
      <c r="I103" s="6">
        <f>IF(C103="","",IF(SUMPRODUCT(($C$12:$C$1511=C103)*1)&gt;1,1,0))</f>
        <v/>
      </c>
      <c r="J103" s="6">
        <f>IF(C103="","",SUMPRODUCT((Mapping!$F$5:$F$504=Setup!$B$4&amp;"||"&amp;C103)*ROW(Mapping!$F$5:$F$504)))</f>
        <v/>
      </c>
      <c r="K103" s="6">
        <f>IF(C103="","",IF(J103=0,"UNMAPPED",LOWER(INDEX(Mapping!$D$1:$D$504,J103))))</f>
        <v/>
      </c>
      <c r="L103" s="6">
        <f>IF(K103="mapped",TRIM(INDEX(Mapping!$C$1:$C$504,J103)),"")</f>
        <v/>
      </c>
      <c r="M103" s="6">
        <f>IF(C103="","",IF(SUMPRODUCT(($C$12:C103=C103)*1)=1,1,0))</f>
        <v/>
      </c>
      <c r="N103" s="6">
        <f>IF(AND(K103="UNMAPPED",M103=1),ROW(),"")</f>
        <v/>
      </c>
      <c r="O103" s="6">
        <f>IF(AND(I103=1,M103=1),ROW(),"")</f>
        <v/>
      </c>
      <c r="P103" s="6">
        <f>IF(AND(K103="ignored",M103=1),ROW(),"")</f>
        <v/>
      </c>
    </row>
    <row r="104">
      <c r="A104" s="8" t="n"/>
      <c r="B104" s="8" t="n"/>
      <c r="C104" s="6">
        <f>TRIM(A104&amp;"")</f>
        <v/>
      </c>
      <c r="D104" s="6">
        <f>IF(C104="","",SUBSTITUTE(SUBSTITUTE(SUBSTITUTE(SUBSTITUTE(SUBSTITUTE(SUBSTITUTE(SUBSTITUTE(UPPER(TRIM(B104&amp;"")),"₹",""),"RS.",""),"RS",""),"INR",""),"$",""),",","")," ",""))</f>
        <v/>
      </c>
      <c r="E104" s="6">
        <f>IF(C104="","",IF(RIGHT(D104,2)="CR","Cr",IF(RIGHT(D104,2)="DR","Dr","")))</f>
        <v/>
      </c>
      <c r="F104" s="6">
        <f>IF(C104="","",IF(E104&lt;&gt;"",LEFT(D104,LEN(D104)-2),D104))</f>
        <v/>
      </c>
      <c r="G104" s="13">
        <f>IF(C104="","",IF(OR(IF(AND(LEFT(F104,1)="(",RIGHT(F104,1)=")"),MID(F104,2,LEN(F104)-2),F104)="",IF(AND(LEFT(F104,1)="(",RIGHT(F104,1)=")"),MID(F104,2,LEN(F104)-2),F104)="-"),0,IFERROR(VALUE(IF(AND(LEFT(F104,1)="(",RIGHT(F104,1)=")"),MID(F104,2,LEN(F104)-2),F104))*IF(AND(LEFT(F104,1)="(",RIGHT(F104,1)=")"),-1,1)*IF(E104="Cr",Setup!$B$6,1),"ERR")))</f>
        <v/>
      </c>
      <c r="H104" s="6">
        <f>IF(C104="","",IF(ISNUMBER(G104),1,0))</f>
        <v/>
      </c>
      <c r="I104" s="6">
        <f>IF(C104="","",IF(SUMPRODUCT(($C$12:$C$1511=C104)*1)&gt;1,1,0))</f>
        <v/>
      </c>
      <c r="J104" s="6">
        <f>IF(C104="","",SUMPRODUCT((Mapping!$F$5:$F$504=Setup!$B$4&amp;"||"&amp;C104)*ROW(Mapping!$F$5:$F$504)))</f>
        <v/>
      </c>
      <c r="K104" s="6">
        <f>IF(C104="","",IF(J104=0,"UNMAPPED",LOWER(INDEX(Mapping!$D$1:$D$504,J104))))</f>
        <v/>
      </c>
      <c r="L104" s="6">
        <f>IF(K104="mapped",TRIM(INDEX(Mapping!$C$1:$C$504,J104)),"")</f>
        <v/>
      </c>
      <c r="M104" s="6">
        <f>IF(C104="","",IF(SUMPRODUCT(($C$12:C104=C104)*1)=1,1,0))</f>
        <v/>
      </c>
      <c r="N104" s="6">
        <f>IF(AND(K104="UNMAPPED",M104=1),ROW(),"")</f>
        <v/>
      </c>
      <c r="O104" s="6">
        <f>IF(AND(I104=1,M104=1),ROW(),"")</f>
        <v/>
      </c>
      <c r="P104" s="6">
        <f>IF(AND(K104="ignored",M104=1),ROW(),"")</f>
        <v/>
      </c>
    </row>
    <row r="105">
      <c r="A105" s="8" t="n"/>
      <c r="B105" s="8" t="n"/>
      <c r="C105" s="6">
        <f>TRIM(A105&amp;"")</f>
        <v/>
      </c>
      <c r="D105" s="6">
        <f>IF(C105="","",SUBSTITUTE(SUBSTITUTE(SUBSTITUTE(SUBSTITUTE(SUBSTITUTE(SUBSTITUTE(SUBSTITUTE(UPPER(TRIM(B105&amp;"")),"₹",""),"RS.",""),"RS",""),"INR",""),"$",""),",","")," ",""))</f>
        <v/>
      </c>
      <c r="E105" s="6">
        <f>IF(C105="","",IF(RIGHT(D105,2)="CR","Cr",IF(RIGHT(D105,2)="DR","Dr","")))</f>
        <v/>
      </c>
      <c r="F105" s="6">
        <f>IF(C105="","",IF(E105&lt;&gt;"",LEFT(D105,LEN(D105)-2),D105))</f>
        <v/>
      </c>
      <c r="G105" s="13">
        <f>IF(C105="","",IF(OR(IF(AND(LEFT(F105,1)="(",RIGHT(F105,1)=")"),MID(F105,2,LEN(F105)-2),F105)="",IF(AND(LEFT(F105,1)="(",RIGHT(F105,1)=")"),MID(F105,2,LEN(F105)-2),F105)="-"),0,IFERROR(VALUE(IF(AND(LEFT(F105,1)="(",RIGHT(F105,1)=")"),MID(F105,2,LEN(F105)-2),F105))*IF(AND(LEFT(F105,1)="(",RIGHT(F105,1)=")"),-1,1)*IF(E105="Cr",Setup!$B$6,1),"ERR")))</f>
        <v/>
      </c>
      <c r="H105" s="6">
        <f>IF(C105="","",IF(ISNUMBER(G105),1,0))</f>
        <v/>
      </c>
      <c r="I105" s="6">
        <f>IF(C105="","",IF(SUMPRODUCT(($C$12:$C$1511=C105)*1)&gt;1,1,0))</f>
        <v/>
      </c>
      <c r="J105" s="6">
        <f>IF(C105="","",SUMPRODUCT((Mapping!$F$5:$F$504=Setup!$B$4&amp;"||"&amp;C105)*ROW(Mapping!$F$5:$F$504)))</f>
        <v/>
      </c>
      <c r="K105" s="6">
        <f>IF(C105="","",IF(J105=0,"UNMAPPED",LOWER(INDEX(Mapping!$D$1:$D$504,J105))))</f>
        <v/>
      </c>
      <c r="L105" s="6">
        <f>IF(K105="mapped",TRIM(INDEX(Mapping!$C$1:$C$504,J105)),"")</f>
        <v/>
      </c>
      <c r="M105" s="6">
        <f>IF(C105="","",IF(SUMPRODUCT(($C$12:C105=C105)*1)=1,1,0))</f>
        <v/>
      </c>
      <c r="N105" s="6">
        <f>IF(AND(K105="UNMAPPED",M105=1),ROW(),"")</f>
        <v/>
      </c>
      <c r="O105" s="6">
        <f>IF(AND(I105=1,M105=1),ROW(),"")</f>
        <v/>
      </c>
      <c r="P105" s="6">
        <f>IF(AND(K105="ignored",M105=1),ROW(),"")</f>
        <v/>
      </c>
    </row>
    <row r="106">
      <c r="A106" s="8" t="n"/>
      <c r="B106" s="8" t="n"/>
      <c r="C106" s="6">
        <f>TRIM(A106&amp;"")</f>
        <v/>
      </c>
      <c r="D106" s="6">
        <f>IF(C106="","",SUBSTITUTE(SUBSTITUTE(SUBSTITUTE(SUBSTITUTE(SUBSTITUTE(SUBSTITUTE(SUBSTITUTE(UPPER(TRIM(B106&amp;"")),"₹",""),"RS.",""),"RS",""),"INR",""),"$",""),",","")," ",""))</f>
        <v/>
      </c>
      <c r="E106" s="6">
        <f>IF(C106="","",IF(RIGHT(D106,2)="CR","Cr",IF(RIGHT(D106,2)="DR","Dr","")))</f>
        <v/>
      </c>
      <c r="F106" s="6">
        <f>IF(C106="","",IF(E106&lt;&gt;"",LEFT(D106,LEN(D106)-2),D106))</f>
        <v/>
      </c>
      <c r="G106" s="13">
        <f>IF(C106="","",IF(OR(IF(AND(LEFT(F106,1)="(",RIGHT(F106,1)=")"),MID(F106,2,LEN(F106)-2),F106)="",IF(AND(LEFT(F106,1)="(",RIGHT(F106,1)=")"),MID(F106,2,LEN(F106)-2),F106)="-"),0,IFERROR(VALUE(IF(AND(LEFT(F106,1)="(",RIGHT(F106,1)=")"),MID(F106,2,LEN(F106)-2),F106))*IF(AND(LEFT(F106,1)="(",RIGHT(F106,1)=")"),-1,1)*IF(E106="Cr",Setup!$B$6,1),"ERR")))</f>
        <v/>
      </c>
      <c r="H106" s="6">
        <f>IF(C106="","",IF(ISNUMBER(G106),1,0))</f>
        <v/>
      </c>
      <c r="I106" s="6">
        <f>IF(C106="","",IF(SUMPRODUCT(($C$12:$C$1511=C106)*1)&gt;1,1,0))</f>
        <v/>
      </c>
      <c r="J106" s="6">
        <f>IF(C106="","",SUMPRODUCT((Mapping!$F$5:$F$504=Setup!$B$4&amp;"||"&amp;C106)*ROW(Mapping!$F$5:$F$504)))</f>
        <v/>
      </c>
      <c r="K106" s="6">
        <f>IF(C106="","",IF(J106=0,"UNMAPPED",LOWER(INDEX(Mapping!$D$1:$D$504,J106))))</f>
        <v/>
      </c>
      <c r="L106" s="6">
        <f>IF(K106="mapped",TRIM(INDEX(Mapping!$C$1:$C$504,J106)),"")</f>
        <v/>
      </c>
      <c r="M106" s="6">
        <f>IF(C106="","",IF(SUMPRODUCT(($C$12:C106=C106)*1)=1,1,0))</f>
        <v/>
      </c>
      <c r="N106" s="6">
        <f>IF(AND(K106="UNMAPPED",M106=1),ROW(),"")</f>
        <v/>
      </c>
      <c r="O106" s="6">
        <f>IF(AND(I106=1,M106=1),ROW(),"")</f>
        <v/>
      </c>
      <c r="P106" s="6">
        <f>IF(AND(K106="ignored",M106=1),ROW(),"")</f>
        <v/>
      </c>
    </row>
    <row r="107">
      <c r="A107" s="8" t="n"/>
      <c r="B107" s="8" t="n"/>
      <c r="C107" s="6">
        <f>TRIM(A107&amp;"")</f>
        <v/>
      </c>
      <c r="D107" s="6">
        <f>IF(C107="","",SUBSTITUTE(SUBSTITUTE(SUBSTITUTE(SUBSTITUTE(SUBSTITUTE(SUBSTITUTE(SUBSTITUTE(UPPER(TRIM(B107&amp;"")),"₹",""),"RS.",""),"RS",""),"INR",""),"$",""),",","")," ",""))</f>
        <v/>
      </c>
      <c r="E107" s="6">
        <f>IF(C107="","",IF(RIGHT(D107,2)="CR","Cr",IF(RIGHT(D107,2)="DR","Dr","")))</f>
        <v/>
      </c>
      <c r="F107" s="6">
        <f>IF(C107="","",IF(E107&lt;&gt;"",LEFT(D107,LEN(D107)-2),D107))</f>
        <v/>
      </c>
      <c r="G107" s="13">
        <f>IF(C107="","",IF(OR(IF(AND(LEFT(F107,1)="(",RIGHT(F107,1)=")"),MID(F107,2,LEN(F107)-2),F107)="",IF(AND(LEFT(F107,1)="(",RIGHT(F107,1)=")"),MID(F107,2,LEN(F107)-2),F107)="-"),0,IFERROR(VALUE(IF(AND(LEFT(F107,1)="(",RIGHT(F107,1)=")"),MID(F107,2,LEN(F107)-2),F107))*IF(AND(LEFT(F107,1)="(",RIGHT(F107,1)=")"),-1,1)*IF(E107="Cr",Setup!$B$6,1),"ERR")))</f>
        <v/>
      </c>
      <c r="H107" s="6">
        <f>IF(C107="","",IF(ISNUMBER(G107),1,0))</f>
        <v/>
      </c>
      <c r="I107" s="6">
        <f>IF(C107="","",IF(SUMPRODUCT(($C$12:$C$1511=C107)*1)&gt;1,1,0))</f>
        <v/>
      </c>
      <c r="J107" s="6">
        <f>IF(C107="","",SUMPRODUCT((Mapping!$F$5:$F$504=Setup!$B$4&amp;"||"&amp;C107)*ROW(Mapping!$F$5:$F$504)))</f>
        <v/>
      </c>
      <c r="K107" s="6">
        <f>IF(C107="","",IF(J107=0,"UNMAPPED",LOWER(INDEX(Mapping!$D$1:$D$504,J107))))</f>
        <v/>
      </c>
      <c r="L107" s="6">
        <f>IF(K107="mapped",TRIM(INDEX(Mapping!$C$1:$C$504,J107)),"")</f>
        <v/>
      </c>
      <c r="M107" s="6">
        <f>IF(C107="","",IF(SUMPRODUCT(($C$12:C107=C107)*1)=1,1,0))</f>
        <v/>
      </c>
      <c r="N107" s="6">
        <f>IF(AND(K107="UNMAPPED",M107=1),ROW(),"")</f>
        <v/>
      </c>
      <c r="O107" s="6">
        <f>IF(AND(I107=1,M107=1),ROW(),"")</f>
        <v/>
      </c>
      <c r="P107" s="6">
        <f>IF(AND(K107="ignored",M107=1),ROW(),"")</f>
        <v/>
      </c>
    </row>
    <row r="108">
      <c r="A108" s="8" t="n"/>
      <c r="B108" s="8" t="n"/>
      <c r="C108" s="6">
        <f>TRIM(A108&amp;"")</f>
        <v/>
      </c>
      <c r="D108" s="6">
        <f>IF(C108="","",SUBSTITUTE(SUBSTITUTE(SUBSTITUTE(SUBSTITUTE(SUBSTITUTE(SUBSTITUTE(SUBSTITUTE(UPPER(TRIM(B108&amp;"")),"₹",""),"RS.",""),"RS",""),"INR",""),"$",""),",","")," ",""))</f>
        <v/>
      </c>
      <c r="E108" s="6">
        <f>IF(C108="","",IF(RIGHT(D108,2)="CR","Cr",IF(RIGHT(D108,2)="DR","Dr","")))</f>
        <v/>
      </c>
      <c r="F108" s="6">
        <f>IF(C108="","",IF(E108&lt;&gt;"",LEFT(D108,LEN(D108)-2),D108))</f>
        <v/>
      </c>
      <c r="G108" s="13">
        <f>IF(C108="","",IF(OR(IF(AND(LEFT(F108,1)="(",RIGHT(F108,1)=")"),MID(F108,2,LEN(F108)-2),F108)="",IF(AND(LEFT(F108,1)="(",RIGHT(F108,1)=")"),MID(F108,2,LEN(F108)-2),F108)="-"),0,IFERROR(VALUE(IF(AND(LEFT(F108,1)="(",RIGHT(F108,1)=")"),MID(F108,2,LEN(F108)-2),F108))*IF(AND(LEFT(F108,1)="(",RIGHT(F108,1)=")"),-1,1)*IF(E108="Cr",Setup!$B$6,1),"ERR")))</f>
        <v/>
      </c>
      <c r="H108" s="6">
        <f>IF(C108="","",IF(ISNUMBER(G108),1,0))</f>
        <v/>
      </c>
      <c r="I108" s="6">
        <f>IF(C108="","",IF(SUMPRODUCT(($C$12:$C$1511=C108)*1)&gt;1,1,0))</f>
        <v/>
      </c>
      <c r="J108" s="6">
        <f>IF(C108="","",SUMPRODUCT((Mapping!$F$5:$F$504=Setup!$B$4&amp;"||"&amp;C108)*ROW(Mapping!$F$5:$F$504)))</f>
        <v/>
      </c>
      <c r="K108" s="6">
        <f>IF(C108="","",IF(J108=0,"UNMAPPED",LOWER(INDEX(Mapping!$D$1:$D$504,J108))))</f>
        <v/>
      </c>
      <c r="L108" s="6">
        <f>IF(K108="mapped",TRIM(INDEX(Mapping!$C$1:$C$504,J108)),"")</f>
        <v/>
      </c>
      <c r="M108" s="6">
        <f>IF(C108="","",IF(SUMPRODUCT(($C$12:C108=C108)*1)=1,1,0))</f>
        <v/>
      </c>
      <c r="N108" s="6">
        <f>IF(AND(K108="UNMAPPED",M108=1),ROW(),"")</f>
        <v/>
      </c>
      <c r="O108" s="6">
        <f>IF(AND(I108=1,M108=1),ROW(),"")</f>
        <v/>
      </c>
      <c r="P108" s="6">
        <f>IF(AND(K108="ignored",M108=1),ROW(),"")</f>
        <v/>
      </c>
    </row>
    <row r="109">
      <c r="A109" s="8" t="n"/>
      <c r="B109" s="8" t="n"/>
      <c r="C109" s="6">
        <f>TRIM(A109&amp;"")</f>
        <v/>
      </c>
      <c r="D109" s="6">
        <f>IF(C109="","",SUBSTITUTE(SUBSTITUTE(SUBSTITUTE(SUBSTITUTE(SUBSTITUTE(SUBSTITUTE(SUBSTITUTE(UPPER(TRIM(B109&amp;"")),"₹",""),"RS.",""),"RS",""),"INR",""),"$",""),",","")," ",""))</f>
        <v/>
      </c>
      <c r="E109" s="6">
        <f>IF(C109="","",IF(RIGHT(D109,2)="CR","Cr",IF(RIGHT(D109,2)="DR","Dr","")))</f>
        <v/>
      </c>
      <c r="F109" s="6">
        <f>IF(C109="","",IF(E109&lt;&gt;"",LEFT(D109,LEN(D109)-2),D109))</f>
        <v/>
      </c>
      <c r="G109" s="13">
        <f>IF(C109="","",IF(OR(IF(AND(LEFT(F109,1)="(",RIGHT(F109,1)=")"),MID(F109,2,LEN(F109)-2),F109)="",IF(AND(LEFT(F109,1)="(",RIGHT(F109,1)=")"),MID(F109,2,LEN(F109)-2),F109)="-"),0,IFERROR(VALUE(IF(AND(LEFT(F109,1)="(",RIGHT(F109,1)=")"),MID(F109,2,LEN(F109)-2),F109))*IF(AND(LEFT(F109,1)="(",RIGHT(F109,1)=")"),-1,1)*IF(E109="Cr",Setup!$B$6,1),"ERR")))</f>
        <v/>
      </c>
      <c r="H109" s="6">
        <f>IF(C109="","",IF(ISNUMBER(G109),1,0))</f>
        <v/>
      </c>
      <c r="I109" s="6">
        <f>IF(C109="","",IF(SUMPRODUCT(($C$12:$C$1511=C109)*1)&gt;1,1,0))</f>
        <v/>
      </c>
      <c r="J109" s="6">
        <f>IF(C109="","",SUMPRODUCT((Mapping!$F$5:$F$504=Setup!$B$4&amp;"||"&amp;C109)*ROW(Mapping!$F$5:$F$504)))</f>
        <v/>
      </c>
      <c r="K109" s="6">
        <f>IF(C109="","",IF(J109=0,"UNMAPPED",LOWER(INDEX(Mapping!$D$1:$D$504,J109))))</f>
        <v/>
      </c>
      <c r="L109" s="6">
        <f>IF(K109="mapped",TRIM(INDEX(Mapping!$C$1:$C$504,J109)),"")</f>
        <v/>
      </c>
      <c r="M109" s="6">
        <f>IF(C109="","",IF(SUMPRODUCT(($C$12:C109=C109)*1)=1,1,0))</f>
        <v/>
      </c>
      <c r="N109" s="6">
        <f>IF(AND(K109="UNMAPPED",M109=1),ROW(),"")</f>
        <v/>
      </c>
      <c r="O109" s="6">
        <f>IF(AND(I109=1,M109=1),ROW(),"")</f>
        <v/>
      </c>
      <c r="P109" s="6">
        <f>IF(AND(K109="ignored",M109=1),ROW(),"")</f>
        <v/>
      </c>
    </row>
    <row r="110">
      <c r="A110" s="8" t="n"/>
      <c r="B110" s="8" t="n"/>
      <c r="C110" s="6">
        <f>TRIM(A110&amp;"")</f>
        <v/>
      </c>
      <c r="D110" s="6">
        <f>IF(C110="","",SUBSTITUTE(SUBSTITUTE(SUBSTITUTE(SUBSTITUTE(SUBSTITUTE(SUBSTITUTE(SUBSTITUTE(UPPER(TRIM(B110&amp;"")),"₹",""),"RS.",""),"RS",""),"INR",""),"$",""),",","")," ",""))</f>
        <v/>
      </c>
      <c r="E110" s="6">
        <f>IF(C110="","",IF(RIGHT(D110,2)="CR","Cr",IF(RIGHT(D110,2)="DR","Dr","")))</f>
        <v/>
      </c>
      <c r="F110" s="6">
        <f>IF(C110="","",IF(E110&lt;&gt;"",LEFT(D110,LEN(D110)-2),D110))</f>
        <v/>
      </c>
      <c r="G110" s="13">
        <f>IF(C110="","",IF(OR(IF(AND(LEFT(F110,1)="(",RIGHT(F110,1)=")"),MID(F110,2,LEN(F110)-2),F110)="",IF(AND(LEFT(F110,1)="(",RIGHT(F110,1)=")"),MID(F110,2,LEN(F110)-2),F110)="-"),0,IFERROR(VALUE(IF(AND(LEFT(F110,1)="(",RIGHT(F110,1)=")"),MID(F110,2,LEN(F110)-2),F110))*IF(AND(LEFT(F110,1)="(",RIGHT(F110,1)=")"),-1,1)*IF(E110="Cr",Setup!$B$6,1),"ERR")))</f>
        <v/>
      </c>
      <c r="H110" s="6">
        <f>IF(C110="","",IF(ISNUMBER(G110),1,0))</f>
        <v/>
      </c>
      <c r="I110" s="6">
        <f>IF(C110="","",IF(SUMPRODUCT(($C$12:$C$1511=C110)*1)&gt;1,1,0))</f>
        <v/>
      </c>
      <c r="J110" s="6">
        <f>IF(C110="","",SUMPRODUCT((Mapping!$F$5:$F$504=Setup!$B$4&amp;"||"&amp;C110)*ROW(Mapping!$F$5:$F$504)))</f>
        <v/>
      </c>
      <c r="K110" s="6">
        <f>IF(C110="","",IF(J110=0,"UNMAPPED",LOWER(INDEX(Mapping!$D$1:$D$504,J110))))</f>
        <v/>
      </c>
      <c r="L110" s="6">
        <f>IF(K110="mapped",TRIM(INDEX(Mapping!$C$1:$C$504,J110)),"")</f>
        <v/>
      </c>
      <c r="M110" s="6">
        <f>IF(C110="","",IF(SUMPRODUCT(($C$12:C110=C110)*1)=1,1,0))</f>
        <v/>
      </c>
      <c r="N110" s="6">
        <f>IF(AND(K110="UNMAPPED",M110=1),ROW(),"")</f>
        <v/>
      </c>
      <c r="O110" s="6">
        <f>IF(AND(I110=1,M110=1),ROW(),"")</f>
        <v/>
      </c>
      <c r="P110" s="6">
        <f>IF(AND(K110="ignored",M110=1),ROW(),"")</f>
        <v/>
      </c>
    </row>
    <row r="111">
      <c r="A111" s="8" t="n"/>
      <c r="B111" s="8" t="n"/>
      <c r="C111" s="6">
        <f>TRIM(A111&amp;"")</f>
        <v/>
      </c>
      <c r="D111" s="6">
        <f>IF(C111="","",SUBSTITUTE(SUBSTITUTE(SUBSTITUTE(SUBSTITUTE(SUBSTITUTE(SUBSTITUTE(SUBSTITUTE(UPPER(TRIM(B111&amp;"")),"₹",""),"RS.",""),"RS",""),"INR",""),"$",""),",","")," ",""))</f>
        <v/>
      </c>
      <c r="E111" s="6">
        <f>IF(C111="","",IF(RIGHT(D111,2)="CR","Cr",IF(RIGHT(D111,2)="DR","Dr","")))</f>
        <v/>
      </c>
      <c r="F111" s="6">
        <f>IF(C111="","",IF(E111&lt;&gt;"",LEFT(D111,LEN(D111)-2),D111))</f>
        <v/>
      </c>
      <c r="G111" s="13">
        <f>IF(C111="","",IF(OR(IF(AND(LEFT(F111,1)="(",RIGHT(F111,1)=")"),MID(F111,2,LEN(F111)-2),F111)="",IF(AND(LEFT(F111,1)="(",RIGHT(F111,1)=")"),MID(F111,2,LEN(F111)-2),F111)="-"),0,IFERROR(VALUE(IF(AND(LEFT(F111,1)="(",RIGHT(F111,1)=")"),MID(F111,2,LEN(F111)-2),F111))*IF(AND(LEFT(F111,1)="(",RIGHT(F111,1)=")"),-1,1)*IF(E111="Cr",Setup!$B$6,1),"ERR")))</f>
        <v/>
      </c>
      <c r="H111" s="6">
        <f>IF(C111="","",IF(ISNUMBER(G111),1,0))</f>
        <v/>
      </c>
      <c r="I111" s="6">
        <f>IF(C111="","",IF(SUMPRODUCT(($C$12:$C$1511=C111)*1)&gt;1,1,0))</f>
        <v/>
      </c>
      <c r="J111" s="6">
        <f>IF(C111="","",SUMPRODUCT((Mapping!$F$5:$F$504=Setup!$B$4&amp;"||"&amp;C111)*ROW(Mapping!$F$5:$F$504)))</f>
        <v/>
      </c>
      <c r="K111" s="6">
        <f>IF(C111="","",IF(J111=0,"UNMAPPED",LOWER(INDEX(Mapping!$D$1:$D$504,J111))))</f>
        <v/>
      </c>
      <c r="L111" s="6">
        <f>IF(K111="mapped",TRIM(INDEX(Mapping!$C$1:$C$504,J111)),"")</f>
        <v/>
      </c>
      <c r="M111" s="6">
        <f>IF(C111="","",IF(SUMPRODUCT(($C$12:C111=C111)*1)=1,1,0))</f>
        <v/>
      </c>
      <c r="N111" s="6">
        <f>IF(AND(K111="UNMAPPED",M111=1),ROW(),"")</f>
        <v/>
      </c>
      <c r="O111" s="6">
        <f>IF(AND(I111=1,M111=1),ROW(),"")</f>
        <v/>
      </c>
      <c r="P111" s="6">
        <f>IF(AND(K111="ignored",M111=1),ROW(),"")</f>
        <v/>
      </c>
    </row>
    <row r="112">
      <c r="A112" s="8" t="n"/>
      <c r="B112" s="8" t="n"/>
      <c r="C112" s="6">
        <f>TRIM(A112&amp;"")</f>
        <v/>
      </c>
      <c r="D112" s="6">
        <f>IF(C112="","",SUBSTITUTE(SUBSTITUTE(SUBSTITUTE(SUBSTITUTE(SUBSTITUTE(SUBSTITUTE(SUBSTITUTE(UPPER(TRIM(B112&amp;"")),"₹",""),"RS.",""),"RS",""),"INR",""),"$",""),",","")," ",""))</f>
        <v/>
      </c>
      <c r="E112" s="6">
        <f>IF(C112="","",IF(RIGHT(D112,2)="CR","Cr",IF(RIGHT(D112,2)="DR","Dr","")))</f>
        <v/>
      </c>
      <c r="F112" s="6">
        <f>IF(C112="","",IF(E112&lt;&gt;"",LEFT(D112,LEN(D112)-2),D112))</f>
        <v/>
      </c>
      <c r="G112" s="13">
        <f>IF(C112="","",IF(OR(IF(AND(LEFT(F112,1)="(",RIGHT(F112,1)=")"),MID(F112,2,LEN(F112)-2),F112)="",IF(AND(LEFT(F112,1)="(",RIGHT(F112,1)=")"),MID(F112,2,LEN(F112)-2),F112)="-"),0,IFERROR(VALUE(IF(AND(LEFT(F112,1)="(",RIGHT(F112,1)=")"),MID(F112,2,LEN(F112)-2),F112))*IF(AND(LEFT(F112,1)="(",RIGHT(F112,1)=")"),-1,1)*IF(E112="Cr",Setup!$B$6,1),"ERR")))</f>
        <v/>
      </c>
      <c r="H112" s="6">
        <f>IF(C112="","",IF(ISNUMBER(G112),1,0))</f>
        <v/>
      </c>
      <c r="I112" s="6">
        <f>IF(C112="","",IF(SUMPRODUCT(($C$12:$C$1511=C112)*1)&gt;1,1,0))</f>
        <v/>
      </c>
      <c r="J112" s="6">
        <f>IF(C112="","",SUMPRODUCT((Mapping!$F$5:$F$504=Setup!$B$4&amp;"||"&amp;C112)*ROW(Mapping!$F$5:$F$504)))</f>
        <v/>
      </c>
      <c r="K112" s="6">
        <f>IF(C112="","",IF(J112=0,"UNMAPPED",LOWER(INDEX(Mapping!$D$1:$D$504,J112))))</f>
        <v/>
      </c>
      <c r="L112" s="6">
        <f>IF(K112="mapped",TRIM(INDEX(Mapping!$C$1:$C$504,J112)),"")</f>
        <v/>
      </c>
      <c r="M112" s="6">
        <f>IF(C112="","",IF(SUMPRODUCT(($C$12:C112=C112)*1)=1,1,0))</f>
        <v/>
      </c>
      <c r="N112" s="6">
        <f>IF(AND(K112="UNMAPPED",M112=1),ROW(),"")</f>
        <v/>
      </c>
      <c r="O112" s="6">
        <f>IF(AND(I112=1,M112=1),ROW(),"")</f>
        <v/>
      </c>
      <c r="P112" s="6">
        <f>IF(AND(K112="ignored",M112=1),ROW(),"")</f>
        <v/>
      </c>
    </row>
    <row r="113">
      <c r="A113" s="8" t="n"/>
      <c r="B113" s="8" t="n"/>
      <c r="C113" s="6">
        <f>TRIM(A113&amp;"")</f>
        <v/>
      </c>
      <c r="D113" s="6">
        <f>IF(C113="","",SUBSTITUTE(SUBSTITUTE(SUBSTITUTE(SUBSTITUTE(SUBSTITUTE(SUBSTITUTE(SUBSTITUTE(UPPER(TRIM(B113&amp;"")),"₹",""),"RS.",""),"RS",""),"INR",""),"$",""),",","")," ",""))</f>
        <v/>
      </c>
      <c r="E113" s="6">
        <f>IF(C113="","",IF(RIGHT(D113,2)="CR","Cr",IF(RIGHT(D113,2)="DR","Dr","")))</f>
        <v/>
      </c>
      <c r="F113" s="6">
        <f>IF(C113="","",IF(E113&lt;&gt;"",LEFT(D113,LEN(D113)-2),D113))</f>
        <v/>
      </c>
      <c r="G113" s="13">
        <f>IF(C113="","",IF(OR(IF(AND(LEFT(F113,1)="(",RIGHT(F113,1)=")"),MID(F113,2,LEN(F113)-2),F113)="",IF(AND(LEFT(F113,1)="(",RIGHT(F113,1)=")"),MID(F113,2,LEN(F113)-2),F113)="-"),0,IFERROR(VALUE(IF(AND(LEFT(F113,1)="(",RIGHT(F113,1)=")"),MID(F113,2,LEN(F113)-2),F113))*IF(AND(LEFT(F113,1)="(",RIGHT(F113,1)=")"),-1,1)*IF(E113="Cr",Setup!$B$6,1),"ERR")))</f>
        <v/>
      </c>
      <c r="H113" s="6">
        <f>IF(C113="","",IF(ISNUMBER(G113),1,0))</f>
        <v/>
      </c>
      <c r="I113" s="6">
        <f>IF(C113="","",IF(SUMPRODUCT(($C$12:$C$1511=C113)*1)&gt;1,1,0))</f>
        <v/>
      </c>
      <c r="J113" s="6">
        <f>IF(C113="","",SUMPRODUCT((Mapping!$F$5:$F$504=Setup!$B$4&amp;"||"&amp;C113)*ROW(Mapping!$F$5:$F$504)))</f>
        <v/>
      </c>
      <c r="K113" s="6">
        <f>IF(C113="","",IF(J113=0,"UNMAPPED",LOWER(INDEX(Mapping!$D$1:$D$504,J113))))</f>
        <v/>
      </c>
      <c r="L113" s="6">
        <f>IF(K113="mapped",TRIM(INDEX(Mapping!$C$1:$C$504,J113)),"")</f>
        <v/>
      </c>
      <c r="M113" s="6">
        <f>IF(C113="","",IF(SUMPRODUCT(($C$12:C113=C113)*1)=1,1,0))</f>
        <v/>
      </c>
      <c r="N113" s="6">
        <f>IF(AND(K113="UNMAPPED",M113=1),ROW(),"")</f>
        <v/>
      </c>
      <c r="O113" s="6">
        <f>IF(AND(I113=1,M113=1),ROW(),"")</f>
        <v/>
      </c>
      <c r="P113" s="6">
        <f>IF(AND(K113="ignored",M113=1),ROW(),"")</f>
        <v/>
      </c>
    </row>
    <row r="114">
      <c r="A114" s="8" t="n"/>
      <c r="B114" s="8" t="n"/>
      <c r="C114" s="6">
        <f>TRIM(A114&amp;"")</f>
        <v/>
      </c>
      <c r="D114" s="6">
        <f>IF(C114="","",SUBSTITUTE(SUBSTITUTE(SUBSTITUTE(SUBSTITUTE(SUBSTITUTE(SUBSTITUTE(SUBSTITUTE(UPPER(TRIM(B114&amp;"")),"₹",""),"RS.",""),"RS",""),"INR",""),"$",""),",","")," ",""))</f>
        <v/>
      </c>
      <c r="E114" s="6">
        <f>IF(C114="","",IF(RIGHT(D114,2)="CR","Cr",IF(RIGHT(D114,2)="DR","Dr","")))</f>
        <v/>
      </c>
      <c r="F114" s="6">
        <f>IF(C114="","",IF(E114&lt;&gt;"",LEFT(D114,LEN(D114)-2),D114))</f>
        <v/>
      </c>
      <c r="G114" s="13">
        <f>IF(C114="","",IF(OR(IF(AND(LEFT(F114,1)="(",RIGHT(F114,1)=")"),MID(F114,2,LEN(F114)-2),F114)="",IF(AND(LEFT(F114,1)="(",RIGHT(F114,1)=")"),MID(F114,2,LEN(F114)-2),F114)="-"),0,IFERROR(VALUE(IF(AND(LEFT(F114,1)="(",RIGHT(F114,1)=")"),MID(F114,2,LEN(F114)-2),F114))*IF(AND(LEFT(F114,1)="(",RIGHT(F114,1)=")"),-1,1)*IF(E114="Cr",Setup!$B$6,1),"ERR")))</f>
        <v/>
      </c>
      <c r="H114" s="6">
        <f>IF(C114="","",IF(ISNUMBER(G114),1,0))</f>
        <v/>
      </c>
      <c r="I114" s="6">
        <f>IF(C114="","",IF(SUMPRODUCT(($C$12:$C$1511=C114)*1)&gt;1,1,0))</f>
        <v/>
      </c>
      <c r="J114" s="6">
        <f>IF(C114="","",SUMPRODUCT((Mapping!$F$5:$F$504=Setup!$B$4&amp;"||"&amp;C114)*ROW(Mapping!$F$5:$F$504)))</f>
        <v/>
      </c>
      <c r="K114" s="6">
        <f>IF(C114="","",IF(J114=0,"UNMAPPED",LOWER(INDEX(Mapping!$D$1:$D$504,J114))))</f>
        <v/>
      </c>
      <c r="L114" s="6">
        <f>IF(K114="mapped",TRIM(INDEX(Mapping!$C$1:$C$504,J114)),"")</f>
        <v/>
      </c>
      <c r="M114" s="6">
        <f>IF(C114="","",IF(SUMPRODUCT(($C$12:C114=C114)*1)=1,1,0))</f>
        <v/>
      </c>
      <c r="N114" s="6">
        <f>IF(AND(K114="UNMAPPED",M114=1),ROW(),"")</f>
        <v/>
      </c>
      <c r="O114" s="6">
        <f>IF(AND(I114=1,M114=1),ROW(),"")</f>
        <v/>
      </c>
      <c r="P114" s="6">
        <f>IF(AND(K114="ignored",M114=1),ROW(),"")</f>
        <v/>
      </c>
    </row>
    <row r="115">
      <c r="A115" s="8" t="n"/>
      <c r="B115" s="8" t="n"/>
      <c r="C115" s="6">
        <f>TRIM(A115&amp;"")</f>
        <v/>
      </c>
      <c r="D115" s="6">
        <f>IF(C115="","",SUBSTITUTE(SUBSTITUTE(SUBSTITUTE(SUBSTITUTE(SUBSTITUTE(SUBSTITUTE(SUBSTITUTE(UPPER(TRIM(B115&amp;"")),"₹",""),"RS.",""),"RS",""),"INR",""),"$",""),",","")," ",""))</f>
        <v/>
      </c>
      <c r="E115" s="6">
        <f>IF(C115="","",IF(RIGHT(D115,2)="CR","Cr",IF(RIGHT(D115,2)="DR","Dr","")))</f>
        <v/>
      </c>
      <c r="F115" s="6">
        <f>IF(C115="","",IF(E115&lt;&gt;"",LEFT(D115,LEN(D115)-2),D115))</f>
        <v/>
      </c>
      <c r="G115" s="13">
        <f>IF(C115="","",IF(OR(IF(AND(LEFT(F115,1)="(",RIGHT(F115,1)=")"),MID(F115,2,LEN(F115)-2),F115)="",IF(AND(LEFT(F115,1)="(",RIGHT(F115,1)=")"),MID(F115,2,LEN(F115)-2),F115)="-"),0,IFERROR(VALUE(IF(AND(LEFT(F115,1)="(",RIGHT(F115,1)=")"),MID(F115,2,LEN(F115)-2),F115))*IF(AND(LEFT(F115,1)="(",RIGHT(F115,1)=")"),-1,1)*IF(E115="Cr",Setup!$B$6,1),"ERR")))</f>
        <v/>
      </c>
      <c r="H115" s="6">
        <f>IF(C115="","",IF(ISNUMBER(G115),1,0))</f>
        <v/>
      </c>
      <c r="I115" s="6">
        <f>IF(C115="","",IF(SUMPRODUCT(($C$12:$C$1511=C115)*1)&gt;1,1,0))</f>
        <v/>
      </c>
      <c r="J115" s="6">
        <f>IF(C115="","",SUMPRODUCT((Mapping!$F$5:$F$504=Setup!$B$4&amp;"||"&amp;C115)*ROW(Mapping!$F$5:$F$504)))</f>
        <v/>
      </c>
      <c r="K115" s="6">
        <f>IF(C115="","",IF(J115=0,"UNMAPPED",LOWER(INDEX(Mapping!$D$1:$D$504,J115))))</f>
        <v/>
      </c>
      <c r="L115" s="6">
        <f>IF(K115="mapped",TRIM(INDEX(Mapping!$C$1:$C$504,J115)),"")</f>
        <v/>
      </c>
      <c r="M115" s="6">
        <f>IF(C115="","",IF(SUMPRODUCT(($C$12:C115=C115)*1)=1,1,0))</f>
        <v/>
      </c>
      <c r="N115" s="6">
        <f>IF(AND(K115="UNMAPPED",M115=1),ROW(),"")</f>
        <v/>
      </c>
      <c r="O115" s="6">
        <f>IF(AND(I115=1,M115=1),ROW(),"")</f>
        <v/>
      </c>
      <c r="P115" s="6">
        <f>IF(AND(K115="ignored",M115=1),ROW(),"")</f>
        <v/>
      </c>
    </row>
    <row r="116">
      <c r="A116" s="8" t="n"/>
      <c r="B116" s="8" t="n"/>
      <c r="C116" s="6">
        <f>TRIM(A116&amp;"")</f>
        <v/>
      </c>
      <c r="D116" s="6">
        <f>IF(C116="","",SUBSTITUTE(SUBSTITUTE(SUBSTITUTE(SUBSTITUTE(SUBSTITUTE(SUBSTITUTE(SUBSTITUTE(UPPER(TRIM(B116&amp;"")),"₹",""),"RS.",""),"RS",""),"INR",""),"$",""),",","")," ",""))</f>
        <v/>
      </c>
      <c r="E116" s="6">
        <f>IF(C116="","",IF(RIGHT(D116,2)="CR","Cr",IF(RIGHT(D116,2)="DR","Dr","")))</f>
        <v/>
      </c>
      <c r="F116" s="6">
        <f>IF(C116="","",IF(E116&lt;&gt;"",LEFT(D116,LEN(D116)-2),D116))</f>
        <v/>
      </c>
      <c r="G116" s="13">
        <f>IF(C116="","",IF(OR(IF(AND(LEFT(F116,1)="(",RIGHT(F116,1)=")"),MID(F116,2,LEN(F116)-2),F116)="",IF(AND(LEFT(F116,1)="(",RIGHT(F116,1)=")"),MID(F116,2,LEN(F116)-2),F116)="-"),0,IFERROR(VALUE(IF(AND(LEFT(F116,1)="(",RIGHT(F116,1)=")"),MID(F116,2,LEN(F116)-2),F116))*IF(AND(LEFT(F116,1)="(",RIGHT(F116,1)=")"),-1,1)*IF(E116="Cr",Setup!$B$6,1),"ERR")))</f>
        <v/>
      </c>
      <c r="H116" s="6">
        <f>IF(C116="","",IF(ISNUMBER(G116),1,0))</f>
        <v/>
      </c>
      <c r="I116" s="6">
        <f>IF(C116="","",IF(SUMPRODUCT(($C$12:$C$1511=C116)*1)&gt;1,1,0))</f>
        <v/>
      </c>
      <c r="J116" s="6">
        <f>IF(C116="","",SUMPRODUCT((Mapping!$F$5:$F$504=Setup!$B$4&amp;"||"&amp;C116)*ROW(Mapping!$F$5:$F$504)))</f>
        <v/>
      </c>
      <c r="K116" s="6">
        <f>IF(C116="","",IF(J116=0,"UNMAPPED",LOWER(INDEX(Mapping!$D$1:$D$504,J116))))</f>
        <v/>
      </c>
      <c r="L116" s="6">
        <f>IF(K116="mapped",TRIM(INDEX(Mapping!$C$1:$C$504,J116)),"")</f>
        <v/>
      </c>
      <c r="M116" s="6">
        <f>IF(C116="","",IF(SUMPRODUCT(($C$12:C116=C116)*1)=1,1,0))</f>
        <v/>
      </c>
      <c r="N116" s="6">
        <f>IF(AND(K116="UNMAPPED",M116=1),ROW(),"")</f>
        <v/>
      </c>
      <c r="O116" s="6">
        <f>IF(AND(I116=1,M116=1),ROW(),"")</f>
        <v/>
      </c>
      <c r="P116" s="6">
        <f>IF(AND(K116="ignored",M116=1),ROW(),"")</f>
        <v/>
      </c>
    </row>
    <row r="117">
      <c r="A117" s="8" t="n"/>
      <c r="B117" s="8" t="n"/>
      <c r="C117" s="6">
        <f>TRIM(A117&amp;"")</f>
        <v/>
      </c>
      <c r="D117" s="6">
        <f>IF(C117="","",SUBSTITUTE(SUBSTITUTE(SUBSTITUTE(SUBSTITUTE(SUBSTITUTE(SUBSTITUTE(SUBSTITUTE(UPPER(TRIM(B117&amp;"")),"₹",""),"RS.",""),"RS",""),"INR",""),"$",""),",","")," ",""))</f>
        <v/>
      </c>
      <c r="E117" s="6">
        <f>IF(C117="","",IF(RIGHT(D117,2)="CR","Cr",IF(RIGHT(D117,2)="DR","Dr","")))</f>
        <v/>
      </c>
      <c r="F117" s="6">
        <f>IF(C117="","",IF(E117&lt;&gt;"",LEFT(D117,LEN(D117)-2),D117))</f>
        <v/>
      </c>
      <c r="G117" s="13">
        <f>IF(C117="","",IF(OR(IF(AND(LEFT(F117,1)="(",RIGHT(F117,1)=")"),MID(F117,2,LEN(F117)-2),F117)="",IF(AND(LEFT(F117,1)="(",RIGHT(F117,1)=")"),MID(F117,2,LEN(F117)-2),F117)="-"),0,IFERROR(VALUE(IF(AND(LEFT(F117,1)="(",RIGHT(F117,1)=")"),MID(F117,2,LEN(F117)-2),F117))*IF(AND(LEFT(F117,1)="(",RIGHT(F117,1)=")"),-1,1)*IF(E117="Cr",Setup!$B$6,1),"ERR")))</f>
        <v/>
      </c>
      <c r="H117" s="6">
        <f>IF(C117="","",IF(ISNUMBER(G117),1,0))</f>
        <v/>
      </c>
      <c r="I117" s="6">
        <f>IF(C117="","",IF(SUMPRODUCT(($C$12:$C$1511=C117)*1)&gt;1,1,0))</f>
        <v/>
      </c>
      <c r="J117" s="6">
        <f>IF(C117="","",SUMPRODUCT((Mapping!$F$5:$F$504=Setup!$B$4&amp;"||"&amp;C117)*ROW(Mapping!$F$5:$F$504)))</f>
        <v/>
      </c>
      <c r="K117" s="6">
        <f>IF(C117="","",IF(J117=0,"UNMAPPED",LOWER(INDEX(Mapping!$D$1:$D$504,J117))))</f>
        <v/>
      </c>
      <c r="L117" s="6">
        <f>IF(K117="mapped",TRIM(INDEX(Mapping!$C$1:$C$504,J117)),"")</f>
        <v/>
      </c>
      <c r="M117" s="6">
        <f>IF(C117="","",IF(SUMPRODUCT(($C$12:C117=C117)*1)=1,1,0))</f>
        <v/>
      </c>
      <c r="N117" s="6">
        <f>IF(AND(K117="UNMAPPED",M117=1),ROW(),"")</f>
        <v/>
      </c>
      <c r="O117" s="6">
        <f>IF(AND(I117=1,M117=1),ROW(),"")</f>
        <v/>
      </c>
      <c r="P117" s="6">
        <f>IF(AND(K117="ignored",M117=1),ROW(),"")</f>
        <v/>
      </c>
    </row>
    <row r="118">
      <c r="A118" s="8" t="n"/>
      <c r="B118" s="8" t="n"/>
      <c r="C118" s="6">
        <f>TRIM(A118&amp;"")</f>
        <v/>
      </c>
      <c r="D118" s="6">
        <f>IF(C118="","",SUBSTITUTE(SUBSTITUTE(SUBSTITUTE(SUBSTITUTE(SUBSTITUTE(SUBSTITUTE(SUBSTITUTE(UPPER(TRIM(B118&amp;"")),"₹",""),"RS.",""),"RS",""),"INR",""),"$",""),",","")," ",""))</f>
        <v/>
      </c>
      <c r="E118" s="6">
        <f>IF(C118="","",IF(RIGHT(D118,2)="CR","Cr",IF(RIGHT(D118,2)="DR","Dr","")))</f>
        <v/>
      </c>
      <c r="F118" s="6">
        <f>IF(C118="","",IF(E118&lt;&gt;"",LEFT(D118,LEN(D118)-2),D118))</f>
        <v/>
      </c>
      <c r="G118" s="13">
        <f>IF(C118="","",IF(OR(IF(AND(LEFT(F118,1)="(",RIGHT(F118,1)=")"),MID(F118,2,LEN(F118)-2),F118)="",IF(AND(LEFT(F118,1)="(",RIGHT(F118,1)=")"),MID(F118,2,LEN(F118)-2),F118)="-"),0,IFERROR(VALUE(IF(AND(LEFT(F118,1)="(",RIGHT(F118,1)=")"),MID(F118,2,LEN(F118)-2),F118))*IF(AND(LEFT(F118,1)="(",RIGHT(F118,1)=")"),-1,1)*IF(E118="Cr",Setup!$B$6,1),"ERR")))</f>
        <v/>
      </c>
      <c r="H118" s="6">
        <f>IF(C118="","",IF(ISNUMBER(G118),1,0))</f>
        <v/>
      </c>
      <c r="I118" s="6">
        <f>IF(C118="","",IF(SUMPRODUCT(($C$12:$C$1511=C118)*1)&gt;1,1,0))</f>
        <v/>
      </c>
      <c r="J118" s="6">
        <f>IF(C118="","",SUMPRODUCT((Mapping!$F$5:$F$504=Setup!$B$4&amp;"||"&amp;C118)*ROW(Mapping!$F$5:$F$504)))</f>
        <v/>
      </c>
      <c r="K118" s="6">
        <f>IF(C118="","",IF(J118=0,"UNMAPPED",LOWER(INDEX(Mapping!$D$1:$D$504,J118))))</f>
        <v/>
      </c>
      <c r="L118" s="6">
        <f>IF(K118="mapped",TRIM(INDEX(Mapping!$C$1:$C$504,J118)),"")</f>
        <v/>
      </c>
      <c r="M118" s="6">
        <f>IF(C118="","",IF(SUMPRODUCT(($C$12:C118=C118)*1)=1,1,0))</f>
        <v/>
      </c>
      <c r="N118" s="6">
        <f>IF(AND(K118="UNMAPPED",M118=1),ROW(),"")</f>
        <v/>
      </c>
      <c r="O118" s="6">
        <f>IF(AND(I118=1,M118=1),ROW(),"")</f>
        <v/>
      </c>
      <c r="P118" s="6">
        <f>IF(AND(K118="ignored",M118=1),ROW(),"")</f>
        <v/>
      </c>
    </row>
    <row r="119">
      <c r="A119" s="8" t="n"/>
      <c r="B119" s="8" t="n"/>
      <c r="C119" s="6">
        <f>TRIM(A119&amp;"")</f>
        <v/>
      </c>
      <c r="D119" s="6">
        <f>IF(C119="","",SUBSTITUTE(SUBSTITUTE(SUBSTITUTE(SUBSTITUTE(SUBSTITUTE(SUBSTITUTE(SUBSTITUTE(UPPER(TRIM(B119&amp;"")),"₹",""),"RS.",""),"RS",""),"INR",""),"$",""),",","")," ",""))</f>
        <v/>
      </c>
      <c r="E119" s="6">
        <f>IF(C119="","",IF(RIGHT(D119,2)="CR","Cr",IF(RIGHT(D119,2)="DR","Dr","")))</f>
        <v/>
      </c>
      <c r="F119" s="6">
        <f>IF(C119="","",IF(E119&lt;&gt;"",LEFT(D119,LEN(D119)-2),D119))</f>
        <v/>
      </c>
      <c r="G119" s="13">
        <f>IF(C119="","",IF(OR(IF(AND(LEFT(F119,1)="(",RIGHT(F119,1)=")"),MID(F119,2,LEN(F119)-2),F119)="",IF(AND(LEFT(F119,1)="(",RIGHT(F119,1)=")"),MID(F119,2,LEN(F119)-2),F119)="-"),0,IFERROR(VALUE(IF(AND(LEFT(F119,1)="(",RIGHT(F119,1)=")"),MID(F119,2,LEN(F119)-2),F119))*IF(AND(LEFT(F119,1)="(",RIGHT(F119,1)=")"),-1,1)*IF(E119="Cr",Setup!$B$6,1),"ERR")))</f>
        <v/>
      </c>
      <c r="H119" s="6">
        <f>IF(C119="","",IF(ISNUMBER(G119),1,0))</f>
        <v/>
      </c>
      <c r="I119" s="6">
        <f>IF(C119="","",IF(SUMPRODUCT(($C$12:$C$1511=C119)*1)&gt;1,1,0))</f>
        <v/>
      </c>
      <c r="J119" s="6">
        <f>IF(C119="","",SUMPRODUCT((Mapping!$F$5:$F$504=Setup!$B$4&amp;"||"&amp;C119)*ROW(Mapping!$F$5:$F$504)))</f>
        <v/>
      </c>
      <c r="K119" s="6">
        <f>IF(C119="","",IF(J119=0,"UNMAPPED",LOWER(INDEX(Mapping!$D$1:$D$504,J119))))</f>
        <v/>
      </c>
      <c r="L119" s="6">
        <f>IF(K119="mapped",TRIM(INDEX(Mapping!$C$1:$C$504,J119)),"")</f>
        <v/>
      </c>
      <c r="M119" s="6">
        <f>IF(C119="","",IF(SUMPRODUCT(($C$12:C119=C119)*1)=1,1,0))</f>
        <v/>
      </c>
      <c r="N119" s="6">
        <f>IF(AND(K119="UNMAPPED",M119=1),ROW(),"")</f>
        <v/>
      </c>
      <c r="O119" s="6">
        <f>IF(AND(I119=1,M119=1),ROW(),"")</f>
        <v/>
      </c>
      <c r="P119" s="6">
        <f>IF(AND(K119="ignored",M119=1),ROW(),"")</f>
        <v/>
      </c>
    </row>
    <row r="120">
      <c r="A120" s="8" t="n"/>
      <c r="B120" s="8" t="n"/>
      <c r="C120" s="6">
        <f>TRIM(A120&amp;"")</f>
        <v/>
      </c>
      <c r="D120" s="6">
        <f>IF(C120="","",SUBSTITUTE(SUBSTITUTE(SUBSTITUTE(SUBSTITUTE(SUBSTITUTE(SUBSTITUTE(SUBSTITUTE(UPPER(TRIM(B120&amp;"")),"₹",""),"RS.",""),"RS",""),"INR",""),"$",""),",","")," ",""))</f>
        <v/>
      </c>
      <c r="E120" s="6">
        <f>IF(C120="","",IF(RIGHT(D120,2)="CR","Cr",IF(RIGHT(D120,2)="DR","Dr","")))</f>
        <v/>
      </c>
      <c r="F120" s="6">
        <f>IF(C120="","",IF(E120&lt;&gt;"",LEFT(D120,LEN(D120)-2),D120))</f>
        <v/>
      </c>
      <c r="G120" s="13">
        <f>IF(C120="","",IF(OR(IF(AND(LEFT(F120,1)="(",RIGHT(F120,1)=")"),MID(F120,2,LEN(F120)-2),F120)="",IF(AND(LEFT(F120,1)="(",RIGHT(F120,1)=")"),MID(F120,2,LEN(F120)-2),F120)="-"),0,IFERROR(VALUE(IF(AND(LEFT(F120,1)="(",RIGHT(F120,1)=")"),MID(F120,2,LEN(F120)-2),F120))*IF(AND(LEFT(F120,1)="(",RIGHT(F120,1)=")"),-1,1)*IF(E120="Cr",Setup!$B$6,1),"ERR")))</f>
        <v/>
      </c>
      <c r="H120" s="6">
        <f>IF(C120="","",IF(ISNUMBER(G120),1,0))</f>
        <v/>
      </c>
      <c r="I120" s="6">
        <f>IF(C120="","",IF(SUMPRODUCT(($C$12:$C$1511=C120)*1)&gt;1,1,0))</f>
        <v/>
      </c>
      <c r="J120" s="6">
        <f>IF(C120="","",SUMPRODUCT((Mapping!$F$5:$F$504=Setup!$B$4&amp;"||"&amp;C120)*ROW(Mapping!$F$5:$F$504)))</f>
        <v/>
      </c>
      <c r="K120" s="6">
        <f>IF(C120="","",IF(J120=0,"UNMAPPED",LOWER(INDEX(Mapping!$D$1:$D$504,J120))))</f>
        <v/>
      </c>
      <c r="L120" s="6">
        <f>IF(K120="mapped",TRIM(INDEX(Mapping!$C$1:$C$504,J120)),"")</f>
        <v/>
      </c>
      <c r="M120" s="6">
        <f>IF(C120="","",IF(SUMPRODUCT(($C$12:C120=C120)*1)=1,1,0))</f>
        <v/>
      </c>
      <c r="N120" s="6">
        <f>IF(AND(K120="UNMAPPED",M120=1),ROW(),"")</f>
        <v/>
      </c>
      <c r="O120" s="6">
        <f>IF(AND(I120=1,M120=1),ROW(),"")</f>
        <v/>
      </c>
      <c r="P120" s="6">
        <f>IF(AND(K120="ignored",M120=1),ROW(),"")</f>
        <v/>
      </c>
    </row>
    <row r="121">
      <c r="A121" s="8" t="n"/>
      <c r="B121" s="8" t="n"/>
      <c r="C121" s="6">
        <f>TRIM(A121&amp;"")</f>
        <v/>
      </c>
      <c r="D121" s="6">
        <f>IF(C121="","",SUBSTITUTE(SUBSTITUTE(SUBSTITUTE(SUBSTITUTE(SUBSTITUTE(SUBSTITUTE(SUBSTITUTE(UPPER(TRIM(B121&amp;"")),"₹",""),"RS.",""),"RS",""),"INR",""),"$",""),",","")," ",""))</f>
        <v/>
      </c>
      <c r="E121" s="6">
        <f>IF(C121="","",IF(RIGHT(D121,2)="CR","Cr",IF(RIGHT(D121,2)="DR","Dr","")))</f>
        <v/>
      </c>
      <c r="F121" s="6">
        <f>IF(C121="","",IF(E121&lt;&gt;"",LEFT(D121,LEN(D121)-2),D121))</f>
        <v/>
      </c>
      <c r="G121" s="13">
        <f>IF(C121="","",IF(OR(IF(AND(LEFT(F121,1)="(",RIGHT(F121,1)=")"),MID(F121,2,LEN(F121)-2),F121)="",IF(AND(LEFT(F121,1)="(",RIGHT(F121,1)=")"),MID(F121,2,LEN(F121)-2),F121)="-"),0,IFERROR(VALUE(IF(AND(LEFT(F121,1)="(",RIGHT(F121,1)=")"),MID(F121,2,LEN(F121)-2),F121))*IF(AND(LEFT(F121,1)="(",RIGHT(F121,1)=")"),-1,1)*IF(E121="Cr",Setup!$B$6,1),"ERR")))</f>
        <v/>
      </c>
      <c r="H121" s="6">
        <f>IF(C121="","",IF(ISNUMBER(G121),1,0))</f>
        <v/>
      </c>
      <c r="I121" s="6">
        <f>IF(C121="","",IF(SUMPRODUCT(($C$12:$C$1511=C121)*1)&gt;1,1,0))</f>
        <v/>
      </c>
      <c r="J121" s="6">
        <f>IF(C121="","",SUMPRODUCT((Mapping!$F$5:$F$504=Setup!$B$4&amp;"||"&amp;C121)*ROW(Mapping!$F$5:$F$504)))</f>
        <v/>
      </c>
      <c r="K121" s="6">
        <f>IF(C121="","",IF(J121=0,"UNMAPPED",LOWER(INDEX(Mapping!$D$1:$D$504,J121))))</f>
        <v/>
      </c>
      <c r="L121" s="6">
        <f>IF(K121="mapped",TRIM(INDEX(Mapping!$C$1:$C$504,J121)),"")</f>
        <v/>
      </c>
      <c r="M121" s="6">
        <f>IF(C121="","",IF(SUMPRODUCT(($C$12:C121=C121)*1)=1,1,0))</f>
        <v/>
      </c>
      <c r="N121" s="6">
        <f>IF(AND(K121="UNMAPPED",M121=1),ROW(),"")</f>
        <v/>
      </c>
      <c r="O121" s="6">
        <f>IF(AND(I121=1,M121=1),ROW(),"")</f>
        <v/>
      </c>
      <c r="P121" s="6">
        <f>IF(AND(K121="ignored",M121=1),ROW(),"")</f>
        <v/>
      </c>
    </row>
    <row r="122">
      <c r="A122" s="8" t="n"/>
      <c r="B122" s="8" t="n"/>
      <c r="C122" s="6">
        <f>TRIM(A122&amp;"")</f>
        <v/>
      </c>
      <c r="D122" s="6">
        <f>IF(C122="","",SUBSTITUTE(SUBSTITUTE(SUBSTITUTE(SUBSTITUTE(SUBSTITUTE(SUBSTITUTE(SUBSTITUTE(UPPER(TRIM(B122&amp;"")),"₹",""),"RS.",""),"RS",""),"INR",""),"$",""),",","")," ",""))</f>
        <v/>
      </c>
      <c r="E122" s="6">
        <f>IF(C122="","",IF(RIGHT(D122,2)="CR","Cr",IF(RIGHT(D122,2)="DR","Dr","")))</f>
        <v/>
      </c>
      <c r="F122" s="6">
        <f>IF(C122="","",IF(E122&lt;&gt;"",LEFT(D122,LEN(D122)-2),D122))</f>
        <v/>
      </c>
      <c r="G122" s="13">
        <f>IF(C122="","",IF(OR(IF(AND(LEFT(F122,1)="(",RIGHT(F122,1)=")"),MID(F122,2,LEN(F122)-2),F122)="",IF(AND(LEFT(F122,1)="(",RIGHT(F122,1)=")"),MID(F122,2,LEN(F122)-2),F122)="-"),0,IFERROR(VALUE(IF(AND(LEFT(F122,1)="(",RIGHT(F122,1)=")"),MID(F122,2,LEN(F122)-2),F122))*IF(AND(LEFT(F122,1)="(",RIGHT(F122,1)=")"),-1,1)*IF(E122="Cr",Setup!$B$6,1),"ERR")))</f>
        <v/>
      </c>
      <c r="H122" s="6">
        <f>IF(C122="","",IF(ISNUMBER(G122),1,0))</f>
        <v/>
      </c>
      <c r="I122" s="6">
        <f>IF(C122="","",IF(SUMPRODUCT(($C$12:$C$1511=C122)*1)&gt;1,1,0))</f>
        <v/>
      </c>
      <c r="J122" s="6">
        <f>IF(C122="","",SUMPRODUCT((Mapping!$F$5:$F$504=Setup!$B$4&amp;"||"&amp;C122)*ROW(Mapping!$F$5:$F$504)))</f>
        <v/>
      </c>
      <c r="K122" s="6">
        <f>IF(C122="","",IF(J122=0,"UNMAPPED",LOWER(INDEX(Mapping!$D$1:$D$504,J122))))</f>
        <v/>
      </c>
      <c r="L122" s="6">
        <f>IF(K122="mapped",TRIM(INDEX(Mapping!$C$1:$C$504,J122)),"")</f>
        <v/>
      </c>
      <c r="M122" s="6">
        <f>IF(C122="","",IF(SUMPRODUCT(($C$12:C122=C122)*1)=1,1,0))</f>
        <v/>
      </c>
      <c r="N122" s="6">
        <f>IF(AND(K122="UNMAPPED",M122=1),ROW(),"")</f>
        <v/>
      </c>
      <c r="O122" s="6">
        <f>IF(AND(I122=1,M122=1),ROW(),"")</f>
        <v/>
      </c>
      <c r="P122" s="6">
        <f>IF(AND(K122="ignored",M122=1),ROW(),"")</f>
        <v/>
      </c>
    </row>
    <row r="123">
      <c r="A123" s="8" t="n"/>
      <c r="B123" s="8" t="n"/>
      <c r="C123" s="6">
        <f>TRIM(A123&amp;"")</f>
        <v/>
      </c>
      <c r="D123" s="6">
        <f>IF(C123="","",SUBSTITUTE(SUBSTITUTE(SUBSTITUTE(SUBSTITUTE(SUBSTITUTE(SUBSTITUTE(SUBSTITUTE(UPPER(TRIM(B123&amp;"")),"₹",""),"RS.",""),"RS",""),"INR",""),"$",""),",","")," ",""))</f>
        <v/>
      </c>
      <c r="E123" s="6">
        <f>IF(C123="","",IF(RIGHT(D123,2)="CR","Cr",IF(RIGHT(D123,2)="DR","Dr","")))</f>
        <v/>
      </c>
      <c r="F123" s="6">
        <f>IF(C123="","",IF(E123&lt;&gt;"",LEFT(D123,LEN(D123)-2),D123))</f>
        <v/>
      </c>
      <c r="G123" s="13">
        <f>IF(C123="","",IF(OR(IF(AND(LEFT(F123,1)="(",RIGHT(F123,1)=")"),MID(F123,2,LEN(F123)-2),F123)="",IF(AND(LEFT(F123,1)="(",RIGHT(F123,1)=")"),MID(F123,2,LEN(F123)-2),F123)="-"),0,IFERROR(VALUE(IF(AND(LEFT(F123,1)="(",RIGHT(F123,1)=")"),MID(F123,2,LEN(F123)-2),F123))*IF(AND(LEFT(F123,1)="(",RIGHT(F123,1)=")"),-1,1)*IF(E123="Cr",Setup!$B$6,1),"ERR")))</f>
        <v/>
      </c>
      <c r="H123" s="6">
        <f>IF(C123="","",IF(ISNUMBER(G123),1,0))</f>
        <v/>
      </c>
      <c r="I123" s="6">
        <f>IF(C123="","",IF(SUMPRODUCT(($C$12:$C$1511=C123)*1)&gt;1,1,0))</f>
        <v/>
      </c>
      <c r="J123" s="6">
        <f>IF(C123="","",SUMPRODUCT((Mapping!$F$5:$F$504=Setup!$B$4&amp;"||"&amp;C123)*ROW(Mapping!$F$5:$F$504)))</f>
        <v/>
      </c>
      <c r="K123" s="6">
        <f>IF(C123="","",IF(J123=0,"UNMAPPED",LOWER(INDEX(Mapping!$D$1:$D$504,J123))))</f>
        <v/>
      </c>
      <c r="L123" s="6">
        <f>IF(K123="mapped",TRIM(INDEX(Mapping!$C$1:$C$504,J123)),"")</f>
        <v/>
      </c>
      <c r="M123" s="6">
        <f>IF(C123="","",IF(SUMPRODUCT(($C$12:C123=C123)*1)=1,1,0))</f>
        <v/>
      </c>
      <c r="N123" s="6">
        <f>IF(AND(K123="UNMAPPED",M123=1),ROW(),"")</f>
        <v/>
      </c>
      <c r="O123" s="6">
        <f>IF(AND(I123=1,M123=1),ROW(),"")</f>
        <v/>
      </c>
      <c r="P123" s="6">
        <f>IF(AND(K123="ignored",M123=1),ROW(),"")</f>
        <v/>
      </c>
    </row>
    <row r="124">
      <c r="A124" s="8" t="n"/>
      <c r="B124" s="8" t="n"/>
      <c r="C124" s="6">
        <f>TRIM(A124&amp;"")</f>
        <v/>
      </c>
      <c r="D124" s="6">
        <f>IF(C124="","",SUBSTITUTE(SUBSTITUTE(SUBSTITUTE(SUBSTITUTE(SUBSTITUTE(SUBSTITUTE(SUBSTITUTE(UPPER(TRIM(B124&amp;"")),"₹",""),"RS.",""),"RS",""),"INR",""),"$",""),",","")," ",""))</f>
        <v/>
      </c>
      <c r="E124" s="6">
        <f>IF(C124="","",IF(RIGHT(D124,2)="CR","Cr",IF(RIGHT(D124,2)="DR","Dr","")))</f>
        <v/>
      </c>
      <c r="F124" s="6">
        <f>IF(C124="","",IF(E124&lt;&gt;"",LEFT(D124,LEN(D124)-2),D124))</f>
        <v/>
      </c>
      <c r="G124" s="13">
        <f>IF(C124="","",IF(OR(IF(AND(LEFT(F124,1)="(",RIGHT(F124,1)=")"),MID(F124,2,LEN(F124)-2),F124)="",IF(AND(LEFT(F124,1)="(",RIGHT(F124,1)=")"),MID(F124,2,LEN(F124)-2),F124)="-"),0,IFERROR(VALUE(IF(AND(LEFT(F124,1)="(",RIGHT(F124,1)=")"),MID(F124,2,LEN(F124)-2),F124))*IF(AND(LEFT(F124,1)="(",RIGHT(F124,1)=")"),-1,1)*IF(E124="Cr",Setup!$B$6,1),"ERR")))</f>
        <v/>
      </c>
      <c r="H124" s="6">
        <f>IF(C124="","",IF(ISNUMBER(G124),1,0))</f>
        <v/>
      </c>
      <c r="I124" s="6">
        <f>IF(C124="","",IF(SUMPRODUCT(($C$12:$C$1511=C124)*1)&gt;1,1,0))</f>
        <v/>
      </c>
      <c r="J124" s="6">
        <f>IF(C124="","",SUMPRODUCT((Mapping!$F$5:$F$504=Setup!$B$4&amp;"||"&amp;C124)*ROW(Mapping!$F$5:$F$504)))</f>
        <v/>
      </c>
      <c r="K124" s="6">
        <f>IF(C124="","",IF(J124=0,"UNMAPPED",LOWER(INDEX(Mapping!$D$1:$D$504,J124))))</f>
        <v/>
      </c>
      <c r="L124" s="6">
        <f>IF(K124="mapped",TRIM(INDEX(Mapping!$C$1:$C$504,J124)),"")</f>
        <v/>
      </c>
      <c r="M124" s="6">
        <f>IF(C124="","",IF(SUMPRODUCT(($C$12:C124=C124)*1)=1,1,0))</f>
        <v/>
      </c>
      <c r="N124" s="6">
        <f>IF(AND(K124="UNMAPPED",M124=1),ROW(),"")</f>
        <v/>
      </c>
      <c r="O124" s="6">
        <f>IF(AND(I124=1,M124=1),ROW(),"")</f>
        <v/>
      </c>
      <c r="P124" s="6">
        <f>IF(AND(K124="ignored",M124=1),ROW(),"")</f>
        <v/>
      </c>
    </row>
    <row r="125">
      <c r="A125" s="8" t="n"/>
      <c r="B125" s="8" t="n"/>
      <c r="C125" s="6">
        <f>TRIM(A125&amp;"")</f>
        <v/>
      </c>
      <c r="D125" s="6">
        <f>IF(C125="","",SUBSTITUTE(SUBSTITUTE(SUBSTITUTE(SUBSTITUTE(SUBSTITUTE(SUBSTITUTE(SUBSTITUTE(UPPER(TRIM(B125&amp;"")),"₹",""),"RS.",""),"RS",""),"INR",""),"$",""),",","")," ",""))</f>
        <v/>
      </c>
      <c r="E125" s="6">
        <f>IF(C125="","",IF(RIGHT(D125,2)="CR","Cr",IF(RIGHT(D125,2)="DR","Dr","")))</f>
        <v/>
      </c>
      <c r="F125" s="6">
        <f>IF(C125="","",IF(E125&lt;&gt;"",LEFT(D125,LEN(D125)-2),D125))</f>
        <v/>
      </c>
      <c r="G125" s="13">
        <f>IF(C125="","",IF(OR(IF(AND(LEFT(F125,1)="(",RIGHT(F125,1)=")"),MID(F125,2,LEN(F125)-2),F125)="",IF(AND(LEFT(F125,1)="(",RIGHT(F125,1)=")"),MID(F125,2,LEN(F125)-2),F125)="-"),0,IFERROR(VALUE(IF(AND(LEFT(F125,1)="(",RIGHT(F125,1)=")"),MID(F125,2,LEN(F125)-2),F125))*IF(AND(LEFT(F125,1)="(",RIGHT(F125,1)=")"),-1,1)*IF(E125="Cr",Setup!$B$6,1),"ERR")))</f>
        <v/>
      </c>
      <c r="H125" s="6">
        <f>IF(C125="","",IF(ISNUMBER(G125),1,0))</f>
        <v/>
      </c>
      <c r="I125" s="6">
        <f>IF(C125="","",IF(SUMPRODUCT(($C$12:$C$1511=C125)*1)&gt;1,1,0))</f>
        <v/>
      </c>
      <c r="J125" s="6">
        <f>IF(C125="","",SUMPRODUCT((Mapping!$F$5:$F$504=Setup!$B$4&amp;"||"&amp;C125)*ROW(Mapping!$F$5:$F$504)))</f>
        <v/>
      </c>
      <c r="K125" s="6">
        <f>IF(C125="","",IF(J125=0,"UNMAPPED",LOWER(INDEX(Mapping!$D$1:$D$504,J125))))</f>
        <v/>
      </c>
      <c r="L125" s="6">
        <f>IF(K125="mapped",TRIM(INDEX(Mapping!$C$1:$C$504,J125)),"")</f>
        <v/>
      </c>
      <c r="M125" s="6">
        <f>IF(C125="","",IF(SUMPRODUCT(($C$12:C125=C125)*1)=1,1,0))</f>
        <v/>
      </c>
      <c r="N125" s="6">
        <f>IF(AND(K125="UNMAPPED",M125=1),ROW(),"")</f>
        <v/>
      </c>
      <c r="O125" s="6">
        <f>IF(AND(I125=1,M125=1),ROW(),"")</f>
        <v/>
      </c>
      <c r="P125" s="6">
        <f>IF(AND(K125="ignored",M125=1),ROW(),"")</f>
        <v/>
      </c>
    </row>
    <row r="126">
      <c r="A126" s="8" t="n"/>
      <c r="B126" s="8" t="n"/>
      <c r="C126" s="6">
        <f>TRIM(A126&amp;"")</f>
        <v/>
      </c>
      <c r="D126" s="6">
        <f>IF(C126="","",SUBSTITUTE(SUBSTITUTE(SUBSTITUTE(SUBSTITUTE(SUBSTITUTE(SUBSTITUTE(SUBSTITUTE(UPPER(TRIM(B126&amp;"")),"₹",""),"RS.",""),"RS",""),"INR",""),"$",""),",","")," ",""))</f>
        <v/>
      </c>
      <c r="E126" s="6">
        <f>IF(C126="","",IF(RIGHT(D126,2)="CR","Cr",IF(RIGHT(D126,2)="DR","Dr","")))</f>
        <v/>
      </c>
      <c r="F126" s="6">
        <f>IF(C126="","",IF(E126&lt;&gt;"",LEFT(D126,LEN(D126)-2),D126))</f>
        <v/>
      </c>
      <c r="G126" s="13">
        <f>IF(C126="","",IF(OR(IF(AND(LEFT(F126,1)="(",RIGHT(F126,1)=")"),MID(F126,2,LEN(F126)-2),F126)="",IF(AND(LEFT(F126,1)="(",RIGHT(F126,1)=")"),MID(F126,2,LEN(F126)-2),F126)="-"),0,IFERROR(VALUE(IF(AND(LEFT(F126,1)="(",RIGHT(F126,1)=")"),MID(F126,2,LEN(F126)-2),F126))*IF(AND(LEFT(F126,1)="(",RIGHT(F126,1)=")"),-1,1)*IF(E126="Cr",Setup!$B$6,1),"ERR")))</f>
        <v/>
      </c>
      <c r="H126" s="6">
        <f>IF(C126="","",IF(ISNUMBER(G126),1,0))</f>
        <v/>
      </c>
      <c r="I126" s="6">
        <f>IF(C126="","",IF(SUMPRODUCT(($C$12:$C$1511=C126)*1)&gt;1,1,0))</f>
        <v/>
      </c>
      <c r="J126" s="6">
        <f>IF(C126="","",SUMPRODUCT((Mapping!$F$5:$F$504=Setup!$B$4&amp;"||"&amp;C126)*ROW(Mapping!$F$5:$F$504)))</f>
        <v/>
      </c>
      <c r="K126" s="6">
        <f>IF(C126="","",IF(J126=0,"UNMAPPED",LOWER(INDEX(Mapping!$D$1:$D$504,J126))))</f>
        <v/>
      </c>
      <c r="L126" s="6">
        <f>IF(K126="mapped",TRIM(INDEX(Mapping!$C$1:$C$504,J126)),"")</f>
        <v/>
      </c>
      <c r="M126" s="6">
        <f>IF(C126="","",IF(SUMPRODUCT(($C$12:C126=C126)*1)=1,1,0))</f>
        <v/>
      </c>
      <c r="N126" s="6">
        <f>IF(AND(K126="UNMAPPED",M126=1),ROW(),"")</f>
        <v/>
      </c>
      <c r="O126" s="6">
        <f>IF(AND(I126=1,M126=1),ROW(),"")</f>
        <v/>
      </c>
      <c r="P126" s="6">
        <f>IF(AND(K126="ignored",M126=1),ROW(),"")</f>
        <v/>
      </c>
    </row>
    <row r="127">
      <c r="A127" s="8" t="n"/>
      <c r="B127" s="8" t="n"/>
      <c r="C127" s="6">
        <f>TRIM(A127&amp;"")</f>
        <v/>
      </c>
      <c r="D127" s="6">
        <f>IF(C127="","",SUBSTITUTE(SUBSTITUTE(SUBSTITUTE(SUBSTITUTE(SUBSTITUTE(SUBSTITUTE(SUBSTITUTE(UPPER(TRIM(B127&amp;"")),"₹",""),"RS.",""),"RS",""),"INR",""),"$",""),",","")," ",""))</f>
        <v/>
      </c>
      <c r="E127" s="6">
        <f>IF(C127="","",IF(RIGHT(D127,2)="CR","Cr",IF(RIGHT(D127,2)="DR","Dr","")))</f>
        <v/>
      </c>
      <c r="F127" s="6">
        <f>IF(C127="","",IF(E127&lt;&gt;"",LEFT(D127,LEN(D127)-2),D127))</f>
        <v/>
      </c>
      <c r="G127" s="13">
        <f>IF(C127="","",IF(OR(IF(AND(LEFT(F127,1)="(",RIGHT(F127,1)=")"),MID(F127,2,LEN(F127)-2),F127)="",IF(AND(LEFT(F127,1)="(",RIGHT(F127,1)=")"),MID(F127,2,LEN(F127)-2),F127)="-"),0,IFERROR(VALUE(IF(AND(LEFT(F127,1)="(",RIGHT(F127,1)=")"),MID(F127,2,LEN(F127)-2),F127))*IF(AND(LEFT(F127,1)="(",RIGHT(F127,1)=")"),-1,1)*IF(E127="Cr",Setup!$B$6,1),"ERR")))</f>
        <v/>
      </c>
      <c r="H127" s="6">
        <f>IF(C127="","",IF(ISNUMBER(G127),1,0))</f>
        <v/>
      </c>
      <c r="I127" s="6">
        <f>IF(C127="","",IF(SUMPRODUCT(($C$12:$C$1511=C127)*1)&gt;1,1,0))</f>
        <v/>
      </c>
      <c r="J127" s="6">
        <f>IF(C127="","",SUMPRODUCT((Mapping!$F$5:$F$504=Setup!$B$4&amp;"||"&amp;C127)*ROW(Mapping!$F$5:$F$504)))</f>
        <v/>
      </c>
      <c r="K127" s="6">
        <f>IF(C127="","",IF(J127=0,"UNMAPPED",LOWER(INDEX(Mapping!$D$1:$D$504,J127))))</f>
        <v/>
      </c>
      <c r="L127" s="6">
        <f>IF(K127="mapped",TRIM(INDEX(Mapping!$C$1:$C$504,J127)),"")</f>
        <v/>
      </c>
      <c r="M127" s="6">
        <f>IF(C127="","",IF(SUMPRODUCT(($C$12:C127=C127)*1)=1,1,0))</f>
        <v/>
      </c>
      <c r="N127" s="6">
        <f>IF(AND(K127="UNMAPPED",M127=1),ROW(),"")</f>
        <v/>
      </c>
      <c r="O127" s="6">
        <f>IF(AND(I127=1,M127=1),ROW(),"")</f>
        <v/>
      </c>
      <c r="P127" s="6">
        <f>IF(AND(K127="ignored",M127=1),ROW(),"")</f>
        <v/>
      </c>
    </row>
    <row r="128">
      <c r="A128" s="8" t="n"/>
      <c r="B128" s="8" t="n"/>
      <c r="C128" s="6">
        <f>TRIM(A128&amp;"")</f>
        <v/>
      </c>
      <c r="D128" s="6">
        <f>IF(C128="","",SUBSTITUTE(SUBSTITUTE(SUBSTITUTE(SUBSTITUTE(SUBSTITUTE(SUBSTITUTE(SUBSTITUTE(UPPER(TRIM(B128&amp;"")),"₹",""),"RS.",""),"RS",""),"INR",""),"$",""),",","")," ",""))</f>
        <v/>
      </c>
      <c r="E128" s="6">
        <f>IF(C128="","",IF(RIGHT(D128,2)="CR","Cr",IF(RIGHT(D128,2)="DR","Dr","")))</f>
        <v/>
      </c>
      <c r="F128" s="6">
        <f>IF(C128="","",IF(E128&lt;&gt;"",LEFT(D128,LEN(D128)-2),D128))</f>
        <v/>
      </c>
      <c r="G128" s="13">
        <f>IF(C128="","",IF(OR(IF(AND(LEFT(F128,1)="(",RIGHT(F128,1)=")"),MID(F128,2,LEN(F128)-2),F128)="",IF(AND(LEFT(F128,1)="(",RIGHT(F128,1)=")"),MID(F128,2,LEN(F128)-2),F128)="-"),0,IFERROR(VALUE(IF(AND(LEFT(F128,1)="(",RIGHT(F128,1)=")"),MID(F128,2,LEN(F128)-2),F128))*IF(AND(LEFT(F128,1)="(",RIGHT(F128,1)=")"),-1,1)*IF(E128="Cr",Setup!$B$6,1),"ERR")))</f>
        <v/>
      </c>
      <c r="H128" s="6">
        <f>IF(C128="","",IF(ISNUMBER(G128),1,0))</f>
        <v/>
      </c>
      <c r="I128" s="6">
        <f>IF(C128="","",IF(SUMPRODUCT(($C$12:$C$1511=C128)*1)&gt;1,1,0))</f>
        <v/>
      </c>
      <c r="J128" s="6">
        <f>IF(C128="","",SUMPRODUCT((Mapping!$F$5:$F$504=Setup!$B$4&amp;"||"&amp;C128)*ROW(Mapping!$F$5:$F$504)))</f>
        <v/>
      </c>
      <c r="K128" s="6">
        <f>IF(C128="","",IF(J128=0,"UNMAPPED",LOWER(INDEX(Mapping!$D$1:$D$504,J128))))</f>
        <v/>
      </c>
      <c r="L128" s="6">
        <f>IF(K128="mapped",TRIM(INDEX(Mapping!$C$1:$C$504,J128)),"")</f>
        <v/>
      </c>
      <c r="M128" s="6">
        <f>IF(C128="","",IF(SUMPRODUCT(($C$12:C128=C128)*1)=1,1,0))</f>
        <v/>
      </c>
      <c r="N128" s="6">
        <f>IF(AND(K128="UNMAPPED",M128=1),ROW(),"")</f>
        <v/>
      </c>
      <c r="O128" s="6">
        <f>IF(AND(I128=1,M128=1),ROW(),"")</f>
        <v/>
      </c>
      <c r="P128" s="6">
        <f>IF(AND(K128="ignored",M128=1),ROW(),"")</f>
        <v/>
      </c>
    </row>
    <row r="129">
      <c r="A129" s="8" t="n"/>
      <c r="B129" s="8" t="n"/>
      <c r="C129" s="6">
        <f>TRIM(A129&amp;"")</f>
        <v/>
      </c>
      <c r="D129" s="6">
        <f>IF(C129="","",SUBSTITUTE(SUBSTITUTE(SUBSTITUTE(SUBSTITUTE(SUBSTITUTE(SUBSTITUTE(SUBSTITUTE(UPPER(TRIM(B129&amp;"")),"₹",""),"RS.",""),"RS",""),"INR",""),"$",""),",","")," ",""))</f>
        <v/>
      </c>
      <c r="E129" s="6">
        <f>IF(C129="","",IF(RIGHT(D129,2)="CR","Cr",IF(RIGHT(D129,2)="DR","Dr","")))</f>
        <v/>
      </c>
      <c r="F129" s="6">
        <f>IF(C129="","",IF(E129&lt;&gt;"",LEFT(D129,LEN(D129)-2),D129))</f>
        <v/>
      </c>
      <c r="G129" s="13">
        <f>IF(C129="","",IF(OR(IF(AND(LEFT(F129,1)="(",RIGHT(F129,1)=")"),MID(F129,2,LEN(F129)-2),F129)="",IF(AND(LEFT(F129,1)="(",RIGHT(F129,1)=")"),MID(F129,2,LEN(F129)-2),F129)="-"),0,IFERROR(VALUE(IF(AND(LEFT(F129,1)="(",RIGHT(F129,1)=")"),MID(F129,2,LEN(F129)-2),F129))*IF(AND(LEFT(F129,1)="(",RIGHT(F129,1)=")"),-1,1)*IF(E129="Cr",Setup!$B$6,1),"ERR")))</f>
        <v/>
      </c>
      <c r="H129" s="6">
        <f>IF(C129="","",IF(ISNUMBER(G129),1,0))</f>
        <v/>
      </c>
      <c r="I129" s="6">
        <f>IF(C129="","",IF(SUMPRODUCT(($C$12:$C$1511=C129)*1)&gt;1,1,0))</f>
        <v/>
      </c>
      <c r="J129" s="6">
        <f>IF(C129="","",SUMPRODUCT((Mapping!$F$5:$F$504=Setup!$B$4&amp;"||"&amp;C129)*ROW(Mapping!$F$5:$F$504)))</f>
        <v/>
      </c>
      <c r="K129" s="6">
        <f>IF(C129="","",IF(J129=0,"UNMAPPED",LOWER(INDEX(Mapping!$D$1:$D$504,J129))))</f>
        <v/>
      </c>
      <c r="L129" s="6">
        <f>IF(K129="mapped",TRIM(INDEX(Mapping!$C$1:$C$504,J129)),"")</f>
        <v/>
      </c>
      <c r="M129" s="6">
        <f>IF(C129="","",IF(SUMPRODUCT(($C$12:C129=C129)*1)=1,1,0))</f>
        <v/>
      </c>
      <c r="N129" s="6">
        <f>IF(AND(K129="UNMAPPED",M129=1),ROW(),"")</f>
        <v/>
      </c>
      <c r="O129" s="6">
        <f>IF(AND(I129=1,M129=1),ROW(),"")</f>
        <v/>
      </c>
      <c r="P129" s="6">
        <f>IF(AND(K129="ignored",M129=1),ROW(),"")</f>
        <v/>
      </c>
    </row>
    <row r="130">
      <c r="A130" s="8" t="n"/>
      <c r="B130" s="8" t="n"/>
      <c r="C130" s="6">
        <f>TRIM(A130&amp;"")</f>
        <v/>
      </c>
      <c r="D130" s="6">
        <f>IF(C130="","",SUBSTITUTE(SUBSTITUTE(SUBSTITUTE(SUBSTITUTE(SUBSTITUTE(SUBSTITUTE(SUBSTITUTE(UPPER(TRIM(B130&amp;"")),"₹",""),"RS.",""),"RS",""),"INR",""),"$",""),",","")," ",""))</f>
        <v/>
      </c>
      <c r="E130" s="6">
        <f>IF(C130="","",IF(RIGHT(D130,2)="CR","Cr",IF(RIGHT(D130,2)="DR","Dr","")))</f>
        <v/>
      </c>
      <c r="F130" s="6">
        <f>IF(C130="","",IF(E130&lt;&gt;"",LEFT(D130,LEN(D130)-2),D130))</f>
        <v/>
      </c>
      <c r="G130" s="13">
        <f>IF(C130="","",IF(OR(IF(AND(LEFT(F130,1)="(",RIGHT(F130,1)=")"),MID(F130,2,LEN(F130)-2),F130)="",IF(AND(LEFT(F130,1)="(",RIGHT(F130,1)=")"),MID(F130,2,LEN(F130)-2),F130)="-"),0,IFERROR(VALUE(IF(AND(LEFT(F130,1)="(",RIGHT(F130,1)=")"),MID(F130,2,LEN(F130)-2),F130))*IF(AND(LEFT(F130,1)="(",RIGHT(F130,1)=")"),-1,1)*IF(E130="Cr",Setup!$B$6,1),"ERR")))</f>
        <v/>
      </c>
      <c r="H130" s="6">
        <f>IF(C130="","",IF(ISNUMBER(G130),1,0))</f>
        <v/>
      </c>
      <c r="I130" s="6">
        <f>IF(C130="","",IF(SUMPRODUCT(($C$12:$C$1511=C130)*1)&gt;1,1,0))</f>
        <v/>
      </c>
      <c r="J130" s="6">
        <f>IF(C130="","",SUMPRODUCT((Mapping!$F$5:$F$504=Setup!$B$4&amp;"||"&amp;C130)*ROW(Mapping!$F$5:$F$504)))</f>
        <v/>
      </c>
      <c r="K130" s="6">
        <f>IF(C130="","",IF(J130=0,"UNMAPPED",LOWER(INDEX(Mapping!$D$1:$D$504,J130))))</f>
        <v/>
      </c>
      <c r="L130" s="6">
        <f>IF(K130="mapped",TRIM(INDEX(Mapping!$C$1:$C$504,J130)),"")</f>
        <v/>
      </c>
      <c r="M130" s="6">
        <f>IF(C130="","",IF(SUMPRODUCT(($C$12:C130=C130)*1)=1,1,0))</f>
        <v/>
      </c>
      <c r="N130" s="6">
        <f>IF(AND(K130="UNMAPPED",M130=1),ROW(),"")</f>
        <v/>
      </c>
      <c r="O130" s="6">
        <f>IF(AND(I130=1,M130=1),ROW(),"")</f>
        <v/>
      </c>
      <c r="P130" s="6">
        <f>IF(AND(K130="ignored",M130=1),ROW(),"")</f>
        <v/>
      </c>
    </row>
    <row r="131">
      <c r="A131" s="8" t="n"/>
      <c r="B131" s="8" t="n"/>
      <c r="C131" s="6">
        <f>TRIM(A131&amp;"")</f>
        <v/>
      </c>
      <c r="D131" s="6">
        <f>IF(C131="","",SUBSTITUTE(SUBSTITUTE(SUBSTITUTE(SUBSTITUTE(SUBSTITUTE(SUBSTITUTE(SUBSTITUTE(UPPER(TRIM(B131&amp;"")),"₹",""),"RS.",""),"RS",""),"INR",""),"$",""),",","")," ",""))</f>
        <v/>
      </c>
      <c r="E131" s="6">
        <f>IF(C131="","",IF(RIGHT(D131,2)="CR","Cr",IF(RIGHT(D131,2)="DR","Dr","")))</f>
        <v/>
      </c>
      <c r="F131" s="6">
        <f>IF(C131="","",IF(E131&lt;&gt;"",LEFT(D131,LEN(D131)-2),D131))</f>
        <v/>
      </c>
      <c r="G131" s="13">
        <f>IF(C131="","",IF(OR(IF(AND(LEFT(F131,1)="(",RIGHT(F131,1)=")"),MID(F131,2,LEN(F131)-2),F131)="",IF(AND(LEFT(F131,1)="(",RIGHT(F131,1)=")"),MID(F131,2,LEN(F131)-2),F131)="-"),0,IFERROR(VALUE(IF(AND(LEFT(F131,1)="(",RIGHT(F131,1)=")"),MID(F131,2,LEN(F131)-2),F131))*IF(AND(LEFT(F131,1)="(",RIGHT(F131,1)=")"),-1,1)*IF(E131="Cr",Setup!$B$6,1),"ERR")))</f>
        <v/>
      </c>
      <c r="H131" s="6">
        <f>IF(C131="","",IF(ISNUMBER(G131),1,0))</f>
        <v/>
      </c>
      <c r="I131" s="6">
        <f>IF(C131="","",IF(SUMPRODUCT(($C$12:$C$1511=C131)*1)&gt;1,1,0))</f>
        <v/>
      </c>
      <c r="J131" s="6">
        <f>IF(C131="","",SUMPRODUCT((Mapping!$F$5:$F$504=Setup!$B$4&amp;"||"&amp;C131)*ROW(Mapping!$F$5:$F$504)))</f>
        <v/>
      </c>
      <c r="K131" s="6">
        <f>IF(C131="","",IF(J131=0,"UNMAPPED",LOWER(INDEX(Mapping!$D$1:$D$504,J131))))</f>
        <v/>
      </c>
      <c r="L131" s="6">
        <f>IF(K131="mapped",TRIM(INDEX(Mapping!$C$1:$C$504,J131)),"")</f>
        <v/>
      </c>
      <c r="M131" s="6">
        <f>IF(C131="","",IF(SUMPRODUCT(($C$12:C131=C131)*1)=1,1,0))</f>
        <v/>
      </c>
      <c r="N131" s="6">
        <f>IF(AND(K131="UNMAPPED",M131=1),ROW(),"")</f>
        <v/>
      </c>
      <c r="O131" s="6">
        <f>IF(AND(I131=1,M131=1),ROW(),"")</f>
        <v/>
      </c>
      <c r="P131" s="6">
        <f>IF(AND(K131="ignored",M131=1),ROW(),"")</f>
        <v/>
      </c>
    </row>
    <row r="132">
      <c r="A132" s="8" t="n"/>
      <c r="B132" s="8" t="n"/>
      <c r="C132" s="6">
        <f>TRIM(A132&amp;"")</f>
        <v/>
      </c>
      <c r="D132" s="6">
        <f>IF(C132="","",SUBSTITUTE(SUBSTITUTE(SUBSTITUTE(SUBSTITUTE(SUBSTITUTE(SUBSTITUTE(SUBSTITUTE(UPPER(TRIM(B132&amp;"")),"₹",""),"RS.",""),"RS",""),"INR",""),"$",""),",","")," ",""))</f>
        <v/>
      </c>
      <c r="E132" s="6">
        <f>IF(C132="","",IF(RIGHT(D132,2)="CR","Cr",IF(RIGHT(D132,2)="DR","Dr","")))</f>
        <v/>
      </c>
      <c r="F132" s="6">
        <f>IF(C132="","",IF(E132&lt;&gt;"",LEFT(D132,LEN(D132)-2),D132))</f>
        <v/>
      </c>
      <c r="G132" s="13">
        <f>IF(C132="","",IF(OR(IF(AND(LEFT(F132,1)="(",RIGHT(F132,1)=")"),MID(F132,2,LEN(F132)-2),F132)="",IF(AND(LEFT(F132,1)="(",RIGHT(F132,1)=")"),MID(F132,2,LEN(F132)-2),F132)="-"),0,IFERROR(VALUE(IF(AND(LEFT(F132,1)="(",RIGHT(F132,1)=")"),MID(F132,2,LEN(F132)-2),F132))*IF(AND(LEFT(F132,1)="(",RIGHT(F132,1)=")"),-1,1)*IF(E132="Cr",Setup!$B$6,1),"ERR")))</f>
        <v/>
      </c>
      <c r="H132" s="6">
        <f>IF(C132="","",IF(ISNUMBER(G132),1,0))</f>
        <v/>
      </c>
      <c r="I132" s="6">
        <f>IF(C132="","",IF(SUMPRODUCT(($C$12:$C$1511=C132)*1)&gt;1,1,0))</f>
        <v/>
      </c>
      <c r="J132" s="6">
        <f>IF(C132="","",SUMPRODUCT((Mapping!$F$5:$F$504=Setup!$B$4&amp;"||"&amp;C132)*ROW(Mapping!$F$5:$F$504)))</f>
        <v/>
      </c>
      <c r="K132" s="6">
        <f>IF(C132="","",IF(J132=0,"UNMAPPED",LOWER(INDEX(Mapping!$D$1:$D$504,J132))))</f>
        <v/>
      </c>
      <c r="L132" s="6">
        <f>IF(K132="mapped",TRIM(INDEX(Mapping!$C$1:$C$504,J132)),"")</f>
        <v/>
      </c>
      <c r="M132" s="6">
        <f>IF(C132="","",IF(SUMPRODUCT(($C$12:C132=C132)*1)=1,1,0))</f>
        <v/>
      </c>
      <c r="N132" s="6">
        <f>IF(AND(K132="UNMAPPED",M132=1),ROW(),"")</f>
        <v/>
      </c>
      <c r="O132" s="6">
        <f>IF(AND(I132=1,M132=1),ROW(),"")</f>
        <v/>
      </c>
      <c r="P132" s="6">
        <f>IF(AND(K132="ignored",M132=1),ROW(),"")</f>
        <v/>
      </c>
    </row>
    <row r="133">
      <c r="A133" s="8" t="n"/>
      <c r="B133" s="8" t="n"/>
      <c r="C133" s="6">
        <f>TRIM(A133&amp;"")</f>
        <v/>
      </c>
      <c r="D133" s="6">
        <f>IF(C133="","",SUBSTITUTE(SUBSTITUTE(SUBSTITUTE(SUBSTITUTE(SUBSTITUTE(SUBSTITUTE(SUBSTITUTE(UPPER(TRIM(B133&amp;"")),"₹",""),"RS.",""),"RS",""),"INR",""),"$",""),",","")," ",""))</f>
        <v/>
      </c>
      <c r="E133" s="6">
        <f>IF(C133="","",IF(RIGHT(D133,2)="CR","Cr",IF(RIGHT(D133,2)="DR","Dr","")))</f>
        <v/>
      </c>
      <c r="F133" s="6">
        <f>IF(C133="","",IF(E133&lt;&gt;"",LEFT(D133,LEN(D133)-2),D133))</f>
        <v/>
      </c>
      <c r="G133" s="13">
        <f>IF(C133="","",IF(OR(IF(AND(LEFT(F133,1)="(",RIGHT(F133,1)=")"),MID(F133,2,LEN(F133)-2),F133)="",IF(AND(LEFT(F133,1)="(",RIGHT(F133,1)=")"),MID(F133,2,LEN(F133)-2),F133)="-"),0,IFERROR(VALUE(IF(AND(LEFT(F133,1)="(",RIGHT(F133,1)=")"),MID(F133,2,LEN(F133)-2),F133))*IF(AND(LEFT(F133,1)="(",RIGHT(F133,1)=")"),-1,1)*IF(E133="Cr",Setup!$B$6,1),"ERR")))</f>
        <v/>
      </c>
      <c r="H133" s="6">
        <f>IF(C133="","",IF(ISNUMBER(G133),1,0))</f>
        <v/>
      </c>
      <c r="I133" s="6">
        <f>IF(C133="","",IF(SUMPRODUCT(($C$12:$C$1511=C133)*1)&gt;1,1,0))</f>
        <v/>
      </c>
      <c r="J133" s="6">
        <f>IF(C133="","",SUMPRODUCT((Mapping!$F$5:$F$504=Setup!$B$4&amp;"||"&amp;C133)*ROW(Mapping!$F$5:$F$504)))</f>
        <v/>
      </c>
      <c r="K133" s="6">
        <f>IF(C133="","",IF(J133=0,"UNMAPPED",LOWER(INDEX(Mapping!$D$1:$D$504,J133))))</f>
        <v/>
      </c>
      <c r="L133" s="6">
        <f>IF(K133="mapped",TRIM(INDEX(Mapping!$C$1:$C$504,J133)),"")</f>
        <v/>
      </c>
      <c r="M133" s="6">
        <f>IF(C133="","",IF(SUMPRODUCT(($C$12:C133=C133)*1)=1,1,0))</f>
        <v/>
      </c>
      <c r="N133" s="6">
        <f>IF(AND(K133="UNMAPPED",M133=1),ROW(),"")</f>
        <v/>
      </c>
      <c r="O133" s="6">
        <f>IF(AND(I133=1,M133=1),ROW(),"")</f>
        <v/>
      </c>
      <c r="P133" s="6">
        <f>IF(AND(K133="ignored",M133=1),ROW(),"")</f>
        <v/>
      </c>
    </row>
    <row r="134">
      <c r="A134" s="8" t="n"/>
      <c r="B134" s="8" t="n"/>
      <c r="C134" s="6">
        <f>TRIM(A134&amp;"")</f>
        <v/>
      </c>
      <c r="D134" s="6">
        <f>IF(C134="","",SUBSTITUTE(SUBSTITUTE(SUBSTITUTE(SUBSTITUTE(SUBSTITUTE(SUBSTITUTE(SUBSTITUTE(UPPER(TRIM(B134&amp;"")),"₹",""),"RS.",""),"RS",""),"INR",""),"$",""),",","")," ",""))</f>
        <v/>
      </c>
      <c r="E134" s="6">
        <f>IF(C134="","",IF(RIGHT(D134,2)="CR","Cr",IF(RIGHT(D134,2)="DR","Dr","")))</f>
        <v/>
      </c>
      <c r="F134" s="6">
        <f>IF(C134="","",IF(E134&lt;&gt;"",LEFT(D134,LEN(D134)-2),D134))</f>
        <v/>
      </c>
      <c r="G134" s="13">
        <f>IF(C134="","",IF(OR(IF(AND(LEFT(F134,1)="(",RIGHT(F134,1)=")"),MID(F134,2,LEN(F134)-2),F134)="",IF(AND(LEFT(F134,1)="(",RIGHT(F134,1)=")"),MID(F134,2,LEN(F134)-2),F134)="-"),0,IFERROR(VALUE(IF(AND(LEFT(F134,1)="(",RIGHT(F134,1)=")"),MID(F134,2,LEN(F134)-2),F134))*IF(AND(LEFT(F134,1)="(",RIGHT(F134,1)=")"),-1,1)*IF(E134="Cr",Setup!$B$6,1),"ERR")))</f>
        <v/>
      </c>
      <c r="H134" s="6">
        <f>IF(C134="","",IF(ISNUMBER(G134),1,0))</f>
        <v/>
      </c>
      <c r="I134" s="6">
        <f>IF(C134="","",IF(SUMPRODUCT(($C$12:$C$1511=C134)*1)&gt;1,1,0))</f>
        <v/>
      </c>
      <c r="J134" s="6">
        <f>IF(C134="","",SUMPRODUCT((Mapping!$F$5:$F$504=Setup!$B$4&amp;"||"&amp;C134)*ROW(Mapping!$F$5:$F$504)))</f>
        <v/>
      </c>
      <c r="K134" s="6">
        <f>IF(C134="","",IF(J134=0,"UNMAPPED",LOWER(INDEX(Mapping!$D$1:$D$504,J134))))</f>
        <v/>
      </c>
      <c r="L134" s="6">
        <f>IF(K134="mapped",TRIM(INDEX(Mapping!$C$1:$C$504,J134)),"")</f>
        <v/>
      </c>
      <c r="M134" s="6">
        <f>IF(C134="","",IF(SUMPRODUCT(($C$12:C134=C134)*1)=1,1,0))</f>
        <v/>
      </c>
      <c r="N134" s="6">
        <f>IF(AND(K134="UNMAPPED",M134=1),ROW(),"")</f>
        <v/>
      </c>
      <c r="O134" s="6">
        <f>IF(AND(I134=1,M134=1),ROW(),"")</f>
        <v/>
      </c>
      <c r="P134" s="6">
        <f>IF(AND(K134="ignored",M134=1),ROW(),"")</f>
        <v/>
      </c>
    </row>
    <row r="135">
      <c r="A135" s="8" t="n"/>
      <c r="B135" s="8" t="n"/>
      <c r="C135" s="6">
        <f>TRIM(A135&amp;"")</f>
        <v/>
      </c>
      <c r="D135" s="6">
        <f>IF(C135="","",SUBSTITUTE(SUBSTITUTE(SUBSTITUTE(SUBSTITUTE(SUBSTITUTE(SUBSTITUTE(SUBSTITUTE(UPPER(TRIM(B135&amp;"")),"₹",""),"RS.",""),"RS",""),"INR",""),"$",""),",","")," ",""))</f>
        <v/>
      </c>
      <c r="E135" s="6">
        <f>IF(C135="","",IF(RIGHT(D135,2)="CR","Cr",IF(RIGHT(D135,2)="DR","Dr","")))</f>
        <v/>
      </c>
      <c r="F135" s="6">
        <f>IF(C135="","",IF(E135&lt;&gt;"",LEFT(D135,LEN(D135)-2),D135))</f>
        <v/>
      </c>
      <c r="G135" s="13">
        <f>IF(C135="","",IF(OR(IF(AND(LEFT(F135,1)="(",RIGHT(F135,1)=")"),MID(F135,2,LEN(F135)-2),F135)="",IF(AND(LEFT(F135,1)="(",RIGHT(F135,1)=")"),MID(F135,2,LEN(F135)-2),F135)="-"),0,IFERROR(VALUE(IF(AND(LEFT(F135,1)="(",RIGHT(F135,1)=")"),MID(F135,2,LEN(F135)-2),F135))*IF(AND(LEFT(F135,1)="(",RIGHT(F135,1)=")"),-1,1)*IF(E135="Cr",Setup!$B$6,1),"ERR")))</f>
        <v/>
      </c>
      <c r="H135" s="6">
        <f>IF(C135="","",IF(ISNUMBER(G135),1,0))</f>
        <v/>
      </c>
      <c r="I135" s="6">
        <f>IF(C135="","",IF(SUMPRODUCT(($C$12:$C$1511=C135)*1)&gt;1,1,0))</f>
        <v/>
      </c>
      <c r="J135" s="6">
        <f>IF(C135="","",SUMPRODUCT((Mapping!$F$5:$F$504=Setup!$B$4&amp;"||"&amp;C135)*ROW(Mapping!$F$5:$F$504)))</f>
        <v/>
      </c>
      <c r="K135" s="6">
        <f>IF(C135="","",IF(J135=0,"UNMAPPED",LOWER(INDEX(Mapping!$D$1:$D$504,J135))))</f>
        <v/>
      </c>
      <c r="L135" s="6">
        <f>IF(K135="mapped",TRIM(INDEX(Mapping!$C$1:$C$504,J135)),"")</f>
        <v/>
      </c>
      <c r="M135" s="6">
        <f>IF(C135="","",IF(SUMPRODUCT(($C$12:C135=C135)*1)=1,1,0))</f>
        <v/>
      </c>
      <c r="N135" s="6">
        <f>IF(AND(K135="UNMAPPED",M135=1),ROW(),"")</f>
        <v/>
      </c>
      <c r="O135" s="6">
        <f>IF(AND(I135=1,M135=1),ROW(),"")</f>
        <v/>
      </c>
      <c r="P135" s="6">
        <f>IF(AND(K135="ignored",M135=1),ROW(),"")</f>
        <v/>
      </c>
    </row>
    <row r="136">
      <c r="A136" s="8" t="n"/>
      <c r="B136" s="8" t="n"/>
      <c r="C136" s="6">
        <f>TRIM(A136&amp;"")</f>
        <v/>
      </c>
      <c r="D136" s="6">
        <f>IF(C136="","",SUBSTITUTE(SUBSTITUTE(SUBSTITUTE(SUBSTITUTE(SUBSTITUTE(SUBSTITUTE(SUBSTITUTE(UPPER(TRIM(B136&amp;"")),"₹",""),"RS.",""),"RS",""),"INR",""),"$",""),",","")," ",""))</f>
        <v/>
      </c>
      <c r="E136" s="6">
        <f>IF(C136="","",IF(RIGHT(D136,2)="CR","Cr",IF(RIGHT(D136,2)="DR","Dr","")))</f>
        <v/>
      </c>
      <c r="F136" s="6">
        <f>IF(C136="","",IF(E136&lt;&gt;"",LEFT(D136,LEN(D136)-2),D136))</f>
        <v/>
      </c>
      <c r="G136" s="13">
        <f>IF(C136="","",IF(OR(IF(AND(LEFT(F136,1)="(",RIGHT(F136,1)=")"),MID(F136,2,LEN(F136)-2),F136)="",IF(AND(LEFT(F136,1)="(",RIGHT(F136,1)=")"),MID(F136,2,LEN(F136)-2),F136)="-"),0,IFERROR(VALUE(IF(AND(LEFT(F136,1)="(",RIGHT(F136,1)=")"),MID(F136,2,LEN(F136)-2),F136))*IF(AND(LEFT(F136,1)="(",RIGHT(F136,1)=")"),-1,1)*IF(E136="Cr",Setup!$B$6,1),"ERR")))</f>
        <v/>
      </c>
      <c r="H136" s="6">
        <f>IF(C136="","",IF(ISNUMBER(G136),1,0))</f>
        <v/>
      </c>
      <c r="I136" s="6">
        <f>IF(C136="","",IF(SUMPRODUCT(($C$12:$C$1511=C136)*1)&gt;1,1,0))</f>
        <v/>
      </c>
      <c r="J136" s="6">
        <f>IF(C136="","",SUMPRODUCT((Mapping!$F$5:$F$504=Setup!$B$4&amp;"||"&amp;C136)*ROW(Mapping!$F$5:$F$504)))</f>
        <v/>
      </c>
      <c r="K136" s="6">
        <f>IF(C136="","",IF(J136=0,"UNMAPPED",LOWER(INDEX(Mapping!$D$1:$D$504,J136))))</f>
        <v/>
      </c>
      <c r="L136" s="6">
        <f>IF(K136="mapped",TRIM(INDEX(Mapping!$C$1:$C$504,J136)),"")</f>
        <v/>
      </c>
      <c r="M136" s="6">
        <f>IF(C136="","",IF(SUMPRODUCT(($C$12:C136=C136)*1)=1,1,0))</f>
        <v/>
      </c>
      <c r="N136" s="6">
        <f>IF(AND(K136="UNMAPPED",M136=1),ROW(),"")</f>
        <v/>
      </c>
      <c r="O136" s="6">
        <f>IF(AND(I136=1,M136=1),ROW(),"")</f>
        <v/>
      </c>
      <c r="P136" s="6">
        <f>IF(AND(K136="ignored",M136=1),ROW(),"")</f>
        <v/>
      </c>
    </row>
    <row r="137">
      <c r="A137" s="8" t="n"/>
      <c r="B137" s="8" t="n"/>
      <c r="C137" s="6">
        <f>TRIM(A137&amp;"")</f>
        <v/>
      </c>
      <c r="D137" s="6">
        <f>IF(C137="","",SUBSTITUTE(SUBSTITUTE(SUBSTITUTE(SUBSTITUTE(SUBSTITUTE(SUBSTITUTE(SUBSTITUTE(UPPER(TRIM(B137&amp;"")),"₹",""),"RS.",""),"RS",""),"INR",""),"$",""),",","")," ",""))</f>
        <v/>
      </c>
      <c r="E137" s="6">
        <f>IF(C137="","",IF(RIGHT(D137,2)="CR","Cr",IF(RIGHT(D137,2)="DR","Dr","")))</f>
        <v/>
      </c>
      <c r="F137" s="6">
        <f>IF(C137="","",IF(E137&lt;&gt;"",LEFT(D137,LEN(D137)-2),D137))</f>
        <v/>
      </c>
      <c r="G137" s="13">
        <f>IF(C137="","",IF(OR(IF(AND(LEFT(F137,1)="(",RIGHT(F137,1)=")"),MID(F137,2,LEN(F137)-2),F137)="",IF(AND(LEFT(F137,1)="(",RIGHT(F137,1)=")"),MID(F137,2,LEN(F137)-2),F137)="-"),0,IFERROR(VALUE(IF(AND(LEFT(F137,1)="(",RIGHT(F137,1)=")"),MID(F137,2,LEN(F137)-2),F137))*IF(AND(LEFT(F137,1)="(",RIGHT(F137,1)=")"),-1,1)*IF(E137="Cr",Setup!$B$6,1),"ERR")))</f>
        <v/>
      </c>
      <c r="H137" s="6">
        <f>IF(C137="","",IF(ISNUMBER(G137),1,0))</f>
        <v/>
      </c>
      <c r="I137" s="6">
        <f>IF(C137="","",IF(SUMPRODUCT(($C$12:$C$1511=C137)*1)&gt;1,1,0))</f>
        <v/>
      </c>
      <c r="J137" s="6">
        <f>IF(C137="","",SUMPRODUCT((Mapping!$F$5:$F$504=Setup!$B$4&amp;"||"&amp;C137)*ROW(Mapping!$F$5:$F$504)))</f>
        <v/>
      </c>
      <c r="K137" s="6">
        <f>IF(C137="","",IF(J137=0,"UNMAPPED",LOWER(INDEX(Mapping!$D$1:$D$504,J137))))</f>
        <v/>
      </c>
      <c r="L137" s="6">
        <f>IF(K137="mapped",TRIM(INDEX(Mapping!$C$1:$C$504,J137)),"")</f>
        <v/>
      </c>
      <c r="M137" s="6">
        <f>IF(C137="","",IF(SUMPRODUCT(($C$12:C137=C137)*1)=1,1,0))</f>
        <v/>
      </c>
      <c r="N137" s="6">
        <f>IF(AND(K137="UNMAPPED",M137=1),ROW(),"")</f>
        <v/>
      </c>
      <c r="O137" s="6">
        <f>IF(AND(I137=1,M137=1),ROW(),"")</f>
        <v/>
      </c>
      <c r="P137" s="6">
        <f>IF(AND(K137="ignored",M137=1),ROW(),"")</f>
        <v/>
      </c>
    </row>
    <row r="138">
      <c r="A138" s="8" t="n"/>
      <c r="B138" s="8" t="n"/>
      <c r="C138" s="6">
        <f>TRIM(A138&amp;"")</f>
        <v/>
      </c>
      <c r="D138" s="6">
        <f>IF(C138="","",SUBSTITUTE(SUBSTITUTE(SUBSTITUTE(SUBSTITUTE(SUBSTITUTE(SUBSTITUTE(SUBSTITUTE(UPPER(TRIM(B138&amp;"")),"₹",""),"RS.",""),"RS",""),"INR",""),"$",""),",","")," ",""))</f>
        <v/>
      </c>
      <c r="E138" s="6">
        <f>IF(C138="","",IF(RIGHT(D138,2)="CR","Cr",IF(RIGHT(D138,2)="DR","Dr","")))</f>
        <v/>
      </c>
      <c r="F138" s="6">
        <f>IF(C138="","",IF(E138&lt;&gt;"",LEFT(D138,LEN(D138)-2),D138))</f>
        <v/>
      </c>
      <c r="G138" s="13">
        <f>IF(C138="","",IF(OR(IF(AND(LEFT(F138,1)="(",RIGHT(F138,1)=")"),MID(F138,2,LEN(F138)-2),F138)="",IF(AND(LEFT(F138,1)="(",RIGHT(F138,1)=")"),MID(F138,2,LEN(F138)-2),F138)="-"),0,IFERROR(VALUE(IF(AND(LEFT(F138,1)="(",RIGHT(F138,1)=")"),MID(F138,2,LEN(F138)-2),F138))*IF(AND(LEFT(F138,1)="(",RIGHT(F138,1)=")"),-1,1)*IF(E138="Cr",Setup!$B$6,1),"ERR")))</f>
        <v/>
      </c>
      <c r="H138" s="6">
        <f>IF(C138="","",IF(ISNUMBER(G138),1,0))</f>
        <v/>
      </c>
      <c r="I138" s="6">
        <f>IF(C138="","",IF(SUMPRODUCT(($C$12:$C$1511=C138)*1)&gt;1,1,0))</f>
        <v/>
      </c>
      <c r="J138" s="6">
        <f>IF(C138="","",SUMPRODUCT((Mapping!$F$5:$F$504=Setup!$B$4&amp;"||"&amp;C138)*ROW(Mapping!$F$5:$F$504)))</f>
        <v/>
      </c>
      <c r="K138" s="6">
        <f>IF(C138="","",IF(J138=0,"UNMAPPED",LOWER(INDEX(Mapping!$D$1:$D$504,J138))))</f>
        <v/>
      </c>
      <c r="L138" s="6">
        <f>IF(K138="mapped",TRIM(INDEX(Mapping!$C$1:$C$504,J138)),"")</f>
        <v/>
      </c>
      <c r="M138" s="6">
        <f>IF(C138="","",IF(SUMPRODUCT(($C$12:C138=C138)*1)=1,1,0))</f>
        <v/>
      </c>
      <c r="N138" s="6">
        <f>IF(AND(K138="UNMAPPED",M138=1),ROW(),"")</f>
        <v/>
      </c>
      <c r="O138" s="6">
        <f>IF(AND(I138=1,M138=1),ROW(),"")</f>
        <v/>
      </c>
      <c r="P138" s="6">
        <f>IF(AND(K138="ignored",M138=1),ROW(),"")</f>
        <v/>
      </c>
    </row>
    <row r="139">
      <c r="A139" s="8" t="n"/>
      <c r="B139" s="8" t="n"/>
      <c r="C139" s="6">
        <f>TRIM(A139&amp;"")</f>
        <v/>
      </c>
      <c r="D139" s="6">
        <f>IF(C139="","",SUBSTITUTE(SUBSTITUTE(SUBSTITUTE(SUBSTITUTE(SUBSTITUTE(SUBSTITUTE(SUBSTITUTE(UPPER(TRIM(B139&amp;"")),"₹",""),"RS.",""),"RS",""),"INR",""),"$",""),",","")," ",""))</f>
        <v/>
      </c>
      <c r="E139" s="6">
        <f>IF(C139="","",IF(RIGHT(D139,2)="CR","Cr",IF(RIGHT(D139,2)="DR","Dr","")))</f>
        <v/>
      </c>
      <c r="F139" s="6">
        <f>IF(C139="","",IF(E139&lt;&gt;"",LEFT(D139,LEN(D139)-2),D139))</f>
        <v/>
      </c>
      <c r="G139" s="13">
        <f>IF(C139="","",IF(OR(IF(AND(LEFT(F139,1)="(",RIGHT(F139,1)=")"),MID(F139,2,LEN(F139)-2),F139)="",IF(AND(LEFT(F139,1)="(",RIGHT(F139,1)=")"),MID(F139,2,LEN(F139)-2),F139)="-"),0,IFERROR(VALUE(IF(AND(LEFT(F139,1)="(",RIGHT(F139,1)=")"),MID(F139,2,LEN(F139)-2),F139))*IF(AND(LEFT(F139,1)="(",RIGHT(F139,1)=")"),-1,1)*IF(E139="Cr",Setup!$B$6,1),"ERR")))</f>
        <v/>
      </c>
      <c r="H139" s="6">
        <f>IF(C139="","",IF(ISNUMBER(G139),1,0))</f>
        <v/>
      </c>
      <c r="I139" s="6">
        <f>IF(C139="","",IF(SUMPRODUCT(($C$12:$C$1511=C139)*1)&gt;1,1,0))</f>
        <v/>
      </c>
      <c r="J139" s="6">
        <f>IF(C139="","",SUMPRODUCT((Mapping!$F$5:$F$504=Setup!$B$4&amp;"||"&amp;C139)*ROW(Mapping!$F$5:$F$504)))</f>
        <v/>
      </c>
      <c r="K139" s="6">
        <f>IF(C139="","",IF(J139=0,"UNMAPPED",LOWER(INDEX(Mapping!$D$1:$D$504,J139))))</f>
        <v/>
      </c>
      <c r="L139" s="6">
        <f>IF(K139="mapped",TRIM(INDEX(Mapping!$C$1:$C$504,J139)),"")</f>
        <v/>
      </c>
      <c r="M139" s="6">
        <f>IF(C139="","",IF(SUMPRODUCT(($C$12:C139=C139)*1)=1,1,0))</f>
        <v/>
      </c>
      <c r="N139" s="6">
        <f>IF(AND(K139="UNMAPPED",M139=1),ROW(),"")</f>
        <v/>
      </c>
      <c r="O139" s="6">
        <f>IF(AND(I139=1,M139=1),ROW(),"")</f>
        <v/>
      </c>
      <c r="P139" s="6">
        <f>IF(AND(K139="ignored",M139=1),ROW(),"")</f>
        <v/>
      </c>
    </row>
    <row r="140">
      <c r="A140" s="8" t="n"/>
      <c r="B140" s="8" t="n"/>
      <c r="C140" s="6">
        <f>TRIM(A140&amp;"")</f>
        <v/>
      </c>
      <c r="D140" s="6">
        <f>IF(C140="","",SUBSTITUTE(SUBSTITUTE(SUBSTITUTE(SUBSTITUTE(SUBSTITUTE(SUBSTITUTE(SUBSTITUTE(UPPER(TRIM(B140&amp;"")),"₹",""),"RS.",""),"RS",""),"INR",""),"$",""),",","")," ",""))</f>
        <v/>
      </c>
      <c r="E140" s="6">
        <f>IF(C140="","",IF(RIGHT(D140,2)="CR","Cr",IF(RIGHT(D140,2)="DR","Dr","")))</f>
        <v/>
      </c>
      <c r="F140" s="6">
        <f>IF(C140="","",IF(E140&lt;&gt;"",LEFT(D140,LEN(D140)-2),D140))</f>
        <v/>
      </c>
      <c r="G140" s="13">
        <f>IF(C140="","",IF(OR(IF(AND(LEFT(F140,1)="(",RIGHT(F140,1)=")"),MID(F140,2,LEN(F140)-2),F140)="",IF(AND(LEFT(F140,1)="(",RIGHT(F140,1)=")"),MID(F140,2,LEN(F140)-2),F140)="-"),0,IFERROR(VALUE(IF(AND(LEFT(F140,1)="(",RIGHT(F140,1)=")"),MID(F140,2,LEN(F140)-2),F140))*IF(AND(LEFT(F140,1)="(",RIGHT(F140,1)=")"),-1,1)*IF(E140="Cr",Setup!$B$6,1),"ERR")))</f>
        <v/>
      </c>
      <c r="H140" s="6">
        <f>IF(C140="","",IF(ISNUMBER(G140),1,0))</f>
        <v/>
      </c>
      <c r="I140" s="6">
        <f>IF(C140="","",IF(SUMPRODUCT(($C$12:$C$1511=C140)*1)&gt;1,1,0))</f>
        <v/>
      </c>
      <c r="J140" s="6">
        <f>IF(C140="","",SUMPRODUCT((Mapping!$F$5:$F$504=Setup!$B$4&amp;"||"&amp;C140)*ROW(Mapping!$F$5:$F$504)))</f>
        <v/>
      </c>
      <c r="K140" s="6">
        <f>IF(C140="","",IF(J140=0,"UNMAPPED",LOWER(INDEX(Mapping!$D$1:$D$504,J140))))</f>
        <v/>
      </c>
      <c r="L140" s="6">
        <f>IF(K140="mapped",TRIM(INDEX(Mapping!$C$1:$C$504,J140)),"")</f>
        <v/>
      </c>
      <c r="M140" s="6">
        <f>IF(C140="","",IF(SUMPRODUCT(($C$12:C140=C140)*1)=1,1,0))</f>
        <v/>
      </c>
      <c r="N140" s="6">
        <f>IF(AND(K140="UNMAPPED",M140=1),ROW(),"")</f>
        <v/>
      </c>
      <c r="O140" s="6">
        <f>IF(AND(I140=1,M140=1),ROW(),"")</f>
        <v/>
      </c>
      <c r="P140" s="6">
        <f>IF(AND(K140="ignored",M140=1),ROW(),"")</f>
        <v/>
      </c>
    </row>
    <row r="141">
      <c r="A141" s="8" t="n"/>
      <c r="B141" s="8" t="n"/>
      <c r="C141" s="6">
        <f>TRIM(A141&amp;"")</f>
        <v/>
      </c>
      <c r="D141" s="6">
        <f>IF(C141="","",SUBSTITUTE(SUBSTITUTE(SUBSTITUTE(SUBSTITUTE(SUBSTITUTE(SUBSTITUTE(SUBSTITUTE(UPPER(TRIM(B141&amp;"")),"₹",""),"RS.",""),"RS",""),"INR",""),"$",""),",","")," ",""))</f>
        <v/>
      </c>
      <c r="E141" s="6">
        <f>IF(C141="","",IF(RIGHT(D141,2)="CR","Cr",IF(RIGHT(D141,2)="DR","Dr","")))</f>
        <v/>
      </c>
      <c r="F141" s="6">
        <f>IF(C141="","",IF(E141&lt;&gt;"",LEFT(D141,LEN(D141)-2),D141))</f>
        <v/>
      </c>
      <c r="G141" s="13">
        <f>IF(C141="","",IF(OR(IF(AND(LEFT(F141,1)="(",RIGHT(F141,1)=")"),MID(F141,2,LEN(F141)-2),F141)="",IF(AND(LEFT(F141,1)="(",RIGHT(F141,1)=")"),MID(F141,2,LEN(F141)-2),F141)="-"),0,IFERROR(VALUE(IF(AND(LEFT(F141,1)="(",RIGHT(F141,1)=")"),MID(F141,2,LEN(F141)-2),F141))*IF(AND(LEFT(F141,1)="(",RIGHT(F141,1)=")"),-1,1)*IF(E141="Cr",Setup!$B$6,1),"ERR")))</f>
        <v/>
      </c>
      <c r="H141" s="6">
        <f>IF(C141="","",IF(ISNUMBER(G141),1,0))</f>
        <v/>
      </c>
      <c r="I141" s="6">
        <f>IF(C141="","",IF(SUMPRODUCT(($C$12:$C$1511=C141)*1)&gt;1,1,0))</f>
        <v/>
      </c>
      <c r="J141" s="6">
        <f>IF(C141="","",SUMPRODUCT((Mapping!$F$5:$F$504=Setup!$B$4&amp;"||"&amp;C141)*ROW(Mapping!$F$5:$F$504)))</f>
        <v/>
      </c>
      <c r="K141" s="6">
        <f>IF(C141="","",IF(J141=0,"UNMAPPED",LOWER(INDEX(Mapping!$D$1:$D$504,J141))))</f>
        <v/>
      </c>
      <c r="L141" s="6">
        <f>IF(K141="mapped",TRIM(INDEX(Mapping!$C$1:$C$504,J141)),"")</f>
        <v/>
      </c>
      <c r="M141" s="6">
        <f>IF(C141="","",IF(SUMPRODUCT(($C$12:C141=C141)*1)=1,1,0))</f>
        <v/>
      </c>
      <c r="N141" s="6">
        <f>IF(AND(K141="UNMAPPED",M141=1),ROW(),"")</f>
        <v/>
      </c>
      <c r="O141" s="6">
        <f>IF(AND(I141=1,M141=1),ROW(),"")</f>
        <v/>
      </c>
      <c r="P141" s="6">
        <f>IF(AND(K141="ignored",M141=1),ROW(),"")</f>
        <v/>
      </c>
    </row>
    <row r="142">
      <c r="A142" s="8" t="n"/>
      <c r="B142" s="8" t="n"/>
      <c r="C142" s="6">
        <f>TRIM(A142&amp;"")</f>
        <v/>
      </c>
      <c r="D142" s="6">
        <f>IF(C142="","",SUBSTITUTE(SUBSTITUTE(SUBSTITUTE(SUBSTITUTE(SUBSTITUTE(SUBSTITUTE(SUBSTITUTE(UPPER(TRIM(B142&amp;"")),"₹",""),"RS.",""),"RS",""),"INR",""),"$",""),",","")," ",""))</f>
        <v/>
      </c>
      <c r="E142" s="6">
        <f>IF(C142="","",IF(RIGHT(D142,2)="CR","Cr",IF(RIGHT(D142,2)="DR","Dr","")))</f>
        <v/>
      </c>
      <c r="F142" s="6">
        <f>IF(C142="","",IF(E142&lt;&gt;"",LEFT(D142,LEN(D142)-2),D142))</f>
        <v/>
      </c>
      <c r="G142" s="13">
        <f>IF(C142="","",IF(OR(IF(AND(LEFT(F142,1)="(",RIGHT(F142,1)=")"),MID(F142,2,LEN(F142)-2),F142)="",IF(AND(LEFT(F142,1)="(",RIGHT(F142,1)=")"),MID(F142,2,LEN(F142)-2),F142)="-"),0,IFERROR(VALUE(IF(AND(LEFT(F142,1)="(",RIGHT(F142,1)=")"),MID(F142,2,LEN(F142)-2),F142))*IF(AND(LEFT(F142,1)="(",RIGHT(F142,1)=")"),-1,1)*IF(E142="Cr",Setup!$B$6,1),"ERR")))</f>
        <v/>
      </c>
      <c r="H142" s="6">
        <f>IF(C142="","",IF(ISNUMBER(G142),1,0))</f>
        <v/>
      </c>
      <c r="I142" s="6">
        <f>IF(C142="","",IF(SUMPRODUCT(($C$12:$C$1511=C142)*1)&gt;1,1,0))</f>
        <v/>
      </c>
      <c r="J142" s="6">
        <f>IF(C142="","",SUMPRODUCT((Mapping!$F$5:$F$504=Setup!$B$4&amp;"||"&amp;C142)*ROW(Mapping!$F$5:$F$504)))</f>
        <v/>
      </c>
      <c r="K142" s="6">
        <f>IF(C142="","",IF(J142=0,"UNMAPPED",LOWER(INDEX(Mapping!$D$1:$D$504,J142))))</f>
        <v/>
      </c>
      <c r="L142" s="6">
        <f>IF(K142="mapped",TRIM(INDEX(Mapping!$C$1:$C$504,J142)),"")</f>
        <v/>
      </c>
      <c r="M142" s="6">
        <f>IF(C142="","",IF(SUMPRODUCT(($C$12:C142=C142)*1)=1,1,0))</f>
        <v/>
      </c>
      <c r="N142" s="6">
        <f>IF(AND(K142="UNMAPPED",M142=1),ROW(),"")</f>
        <v/>
      </c>
      <c r="O142" s="6">
        <f>IF(AND(I142=1,M142=1),ROW(),"")</f>
        <v/>
      </c>
      <c r="P142" s="6">
        <f>IF(AND(K142="ignored",M142=1),ROW(),"")</f>
        <v/>
      </c>
    </row>
    <row r="143">
      <c r="A143" s="8" t="n"/>
      <c r="B143" s="8" t="n"/>
      <c r="C143" s="6">
        <f>TRIM(A143&amp;"")</f>
        <v/>
      </c>
      <c r="D143" s="6">
        <f>IF(C143="","",SUBSTITUTE(SUBSTITUTE(SUBSTITUTE(SUBSTITUTE(SUBSTITUTE(SUBSTITUTE(SUBSTITUTE(UPPER(TRIM(B143&amp;"")),"₹",""),"RS.",""),"RS",""),"INR",""),"$",""),",","")," ",""))</f>
        <v/>
      </c>
      <c r="E143" s="6">
        <f>IF(C143="","",IF(RIGHT(D143,2)="CR","Cr",IF(RIGHT(D143,2)="DR","Dr","")))</f>
        <v/>
      </c>
      <c r="F143" s="6">
        <f>IF(C143="","",IF(E143&lt;&gt;"",LEFT(D143,LEN(D143)-2),D143))</f>
        <v/>
      </c>
      <c r="G143" s="13">
        <f>IF(C143="","",IF(OR(IF(AND(LEFT(F143,1)="(",RIGHT(F143,1)=")"),MID(F143,2,LEN(F143)-2),F143)="",IF(AND(LEFT(F143,1)="(",RIGHT(F143,1)=")"),MID(F143,2,LEN(F143)-2),F143)="-"),0,IFERROR(VALUE(IF(AND(LEFT(F143,1)="(",RIGHT(F143,1)=")"),MID(F143,2,LEN(F143)-2),F143))*IF(AND(LEFT(F143,1)="(",RIGHT(F143,1)=")"),-1,1)*IF(E143="Cr",Setup!$B$6,1),"ERR")))</f>
        <v/>
      </c>
      <c r="H143" s="6">
        <f>IF(C143="","",IF(ISNUMBER(G143),1,0))</f>
        <v/>
      </c>
      <c r="I143" s="6">
        <f>IF(C143="","",IF(SUMPRODUCT(($C$12:$C$1511=C143)*1)&gt;1,1,0))</f>
        <v/>
      </c>
      <c r="J143" s="6">
        <f>IF(C143="","",SUMPRODUCT((Mapping!$F$5:$F$504=Setup!$B$4&amp;"||"&amp;C143)*ROW(Mapping!$F$5:$F$504)))</f>
        <v/>
      </c>
      <c r="K143" s="6">
        <f>IF(C143="","",IF(J143=0,"UNMAPPED",LOWER(INDEX(Mapping!$D$1:$D$504,J143))))</f>
        <v/>
      </c>
      <c r="L143" s="6">
        <f>IF(K143="mapped",TRIM(INDEX(Mapping!$C$1:$C$504,J143)),"")</f>
        <v/>
      </c>
      <c r="M143" s="6">
        <f>IF(C143="","",IF(SUMPRODUCT(($C$12:C143=C143)*1)=1,1,0))</f>
        <v/>
      </c>
      <c r="N143" s="6">
        <f>IF(AND(K143="UNMAPPED",M143=1),ROW(),"")</f>
        <v/>
      </c>
      <c r="O143" s="6">
        <f>IF(AND(I143=1,M143=1),ROW(),"")</f>
        <v/>
      </c>
      <c r="P143" s="6">
        <f>IF(AND(K143="ignored",M143=1),ROW(),"")</f>
        <v/>
      </c>
    </row>
    <row r="144">
      <c r="A144" s="8" t="n"/>
      <c r="B144" s="8" t="n"/>
      <c r="C144" s="6">
        <f>TRIM(A144&amp;"")</f>
        <v/>
      </c>
      <c r="D144" s="6">
        <f>IF(C144="","",SUBSTITUTE(SUBSTITUTE(SUBSTITUTE(SUBSTITUTE(SUBSTITUTE(SUBSTITUTE(SUBSTITUTE(UPPER(TRIM(B144&amp;"")),"₹",""),"RS.",""),"RS",""),"INR",""),"$",""),",","")," ",""))</f>
        <v/>
      </c>
      <c r="E144" s="6">
        <f>IF(C144="","",IF(RIGHT(D144,2)="CR","Cr",IF(RIGHT(D144,2)="DR","Dr","")))</f>
        <v/>
      </c>
      <c r="F144" s="6">
        <f>IF(C144="","",IF(E144&lt;&gt;"",LEFT(D144,LEN(D144)-2),D144))</f>
        <v/>
      </c>
      <c r="G144" s="13">
        <f>IF(C144="","",IF(OR(IF(AND(LEFT(F144,1)="(",RIGHT(F144,1)=")"),MID(F144,2,LEN(F144)-2),F144)="",IF(AND(LEFT(F144,1)="(",RIGHT(F144,1)=")"),MID(F144,2,LEN(F144)-2),F144)="-"),0,IFERROR(VALUE(IF(AND(LEFT(F144,1)="(",RIGHT(F144,1)=")"),MID(F144,2,LEN(F144)-2),F144))*IF(AND(LEFT(F144,1)="(",RIGHT(F144,1)=")"),-1,1)*IF(E144="Cr",Setup!$B$6,1),"ERR")))</f>
        <v/>
      </c>
      <c r="H144" s="6">
        <f>IF(C144="","",IF(ISNUMBER(G144),1,0))</f>
        <v/>
      </c>
      <c r="I144" s="6">
        <f>IF(C144="","",IF(SUMPRODUCT(($C$12:$C$1511=C144)*1)&gt;1,1,0))</f>
        <v/>
      </c>
      <c r="J144" s="6">
        <f>IF(C144="","",SUMPRODUCT((Mapping!$F$5:$F$504=Setup!$B$4&amp;"||"&amp;C144)*ROW(Mapping!$F$5:$F$504)))</f>
        <v/>
      </c>
      <c r="K144" s="6">
        <f>IF(C144="","",IF(J144=0,"UNMAPPED",LOWER(INDEX(Mapping!$D$1:$D$504,J144))))</f>
        <v/>
      </c>
      <c r="L144" s="6">
        <f>IF(K144="mapped",TRIM(INDEX(Mapping!$C$1:$C$504,J144)),"")</f>
        <v/>
      </c>
      <c r="M144" s="6">
        <f>IF(C144="","",IF(SUMPRODUCT(($C$12:C144=C144)*1)=1,1,0))</f>
        <v/>
      </c>
      <c r="N144" s="6">
        <f>IF(AND(K144="UNMAPPED",M144=1),ROW(),"")</f>
        <v/>
      </c>
      <c r="O144" s="6">
        <f>IF(AND(I144=1,M144=1),ROW(),"")</f>
        <v/>
      </c>
      <c r="P144" s="6">
        <f>IF(AND(K144="ignored",M144=1),ROW(),"")</f>
        <v/>
      </c>
    </row>
    <row r="145">
      <c r="A145" s="8" t="n"/>
      <c r="B145" s="8" t="n"/>
      <c r="C145" s="6">
        <f>TRIM(A145&amp;"")</f>
        <v/>
      </c>
      <c r="D145" s="6">
        <f>IF(C145="","",SUBSTITUTE(SUBSTITUTE(SUBSTITUTE(SUBSTITUTE(SUBSTITUTE(SUBSTITUTE(SUBSTITUTE(UPPER(TRIM(B145&amp;"")),"₹",""),"RS.",""),"RS",""),"INR",""),"$",""),",","")," ",""))</f>
        <v/>
      </c>
      <c r="E145" s="6">
        <f>IF(C145="","",IF(RIGHT(D145,2)="CR","Cr",IF(RIGHT(D145,2)="DR","Dr","")))</f>
        <v/>
      </c>
      <c r="F145" s="6">
        <f>IF(C145="","",IF(E145&lt;&gt;"",LEFT(D145,LEN(D145)-2),D145))</f>
        <v/>
      </c>
      <c r="G145" s="13">
        <f>IF(C145="","",IF(OR(IF(AND(LEFT(F145,1)="(",RIGHT(F145,1)=")"),MID(F145,2,LEN(F145)-2),F145)="",IF(AND(LEFT(F145,1)="(",RIGHT(F145,1)=")"),MID(F145,2,LEN(F145)-2),F145)="-"),0,IFERROR(VALUE(IF(AND(LEFT(F145,1)="(",RIGHT(F145,1)=")"),MID(F145,2,LEN(F145)-2),F145))*IF(AND(LEFT(F145,1)="(",RIGHT(F145,1)=")"),-1,1)*IF(E145="Cr",Setup!$B$6,1),"ERR")))</f>
        <v/>
      </c>
      <c r="H145" s="6">
        <f>IF(C145="","",IF(ISNUMBER(G145),1,0))</f>
        <v/>
      </c>
      <c r="I145" s="6">
        <f>IF(C145="","",IF(SUMPRODUCT(($C$12:$C$1511=C145)*1)&gt;1,1,0))</f>
        <v/>
      </c>
      <c r="J145" s="6">
        <f>IF(C145="","",SUMPRODUCT((Mapping!$F$5:$F$504=Setup!$B$4&amp;"||"&amp;C145)*ROW(Mapping!$F$5:$F$504)))</f>
        <v/>
      </c>
      <c r="K145" s="6">
        <f>IF(C145="","",IF(J145=0,"UNMAPPED",LOWER(INDEX(Mapping!$D$1:$D$504,J145))))</f>
        <v/>
      </c>
      <c r="L145" s="6">
        <f>IF(K145="mapped",TRIM(INDEX(Mapping!$C$1:$C$504,J145)),"")</f>
        <v/>
      </c>
      <c r="M145" s="6">
        <f>IF(C145="","",IF(SUMPRODUCT(($C$12:C145=C145)*1)=1,1,0))</f>
        <v/>
      </c>
      <c r="N145" s="6">
        <f>IF(AND(K145="UNMAPPED",M145=1),ROW(),"")</f>
        <v/>
      </c>
      <c r="O145" s="6">
        <f>IF(AND(I145=1,M145=1),ROW(),"")</f>
        <v/>
      </c>
      <c r="P145" s="6">
        <f>IF(AND(K145="ignored",M145=1),ROW(),"")</f>
        <v/>
      </c>
    </row>
    <row r="146">
      <c r="A146" s="8" t="n"/>
      <c r="B146" s="8" t="n"/>
      <c r="C146" s="6">
        <f>TRIM(A146&amp;"")</f>
        <v/>
      </c>
      <c r="D146" s="6">
        <f>IF(C146="","",SUBSTITUTE(SUBSTITUTE(SUBSTITUTE(SUBSTITUTE(SUBSTITUTE(SUBSTITUTE(SUBSTITUTE(UPPER(TRIM(B146&amp;"")),"₹",""),"RS.",""),"RS",""),"INR",""),"$",""),",","")," ",""))</f>
        <v/>
      </c>
      <c r="E146" s="6">
        <f>IF(C146="","",IF(RIGHT(D146,2)="CR","Cr",IF(RIGHT(D146,2)="DR","Dr","")))</f>
        <v/>
      </c>
      <c r="F146" s="6">
        <f>IF(C146="","",IF(E146&lt;&gt;"",LEFT(D146,LEN(D146)-2),D146))</f>
        <v/>
      </c>
      <c r="G146" s="13">
        <f>IF(C146="","",IF(OR(IF(AND(LEFT(F146,1)="(",RIGHT(F146,1)=")"),MID(F146,2,LEN(F146)-2),F146)="",IF(AND(LEFT(F146,1)="(",RIGHT(F146,1)=")"),MID(F146,2,LEN(F146)-2),F146)="-"),0,IFERROR(VALUE(IF(AND(LEFT(F146,1)="(",RIGHT(F146,1)=")"),MID(F146,2,LEN(F146)-2),F146))*IF(AND(LEFT(F146,1)="(",RIGHT(F146,1)=")"),-1,1)*IF(E146="Cr",Setup!$B$6,1),"ERR")))</f>
        <v/>
      </c>
      <c r="H146" s="6">
        <f>IF(C146="","",IF(ISNUMBER(G146),1,0))</f>
        <v/>
      </c>
      <c r="I146" s="6">
        <f>IF(C146="","",IF(SUMPRODUCT(($C$12:$C$1511=C146)*1)&gt;1,1,0))</f>
        <v/>
      </c>
      <c r="J146" s="6">
        <f>IF(C146="","",SUMPRODUCT((Mapping!$F$5:$F$504=Setup!$B$4&amp;"||"&amp;C146)*ROW(Mapping!$F$5:$F$504)))</f>
        <v/>
      </c>
      <c r="K146" s="6">
        <f>IF(C146="","",IF(J146=0,"UNMAPPED",LOWER(INDEX(Mapping!$D$1:$D$504,J146))))</f>
        <v/>
      </c>
      <c r="L146" s="6">
        <f>IF(K146="mapped",TRIM(INDEX(Mapping!$C$1:$C$504,J146)),"")</f>
        <v/>
      </c>
      <c r="M146" s="6">
        <f>IF(C146="","",IF(SUMPRODUCT(($C$12:C146=C146)*1)=1,1,0))</f>
        <v/>
      </c>
      <c r="N146" s="6">
        <f>IF(AND(K146="UNMAPPED",M146=1),ROW(),"")</f>
        <v/>
      </c>
      <c r="O146" s="6">
        <f>IF(AND(I146=1,M146=1),ROW(),"")</f>
        <v/>
      </c>
      <c r="P146" s="6">
        <f>IF(AND(K146="ignored",M146=1),ROW(),"")</f>
        <v/>
      </c>
    </row>
    <row r="147">
      <c r="A147" s="8" t="n"/>
      <c r="B147" s="8" t="n"/>
      <c r="C147" s="6">
        <f>TRIM(A147&amp;"")</f>
        <v/>
      </c>
      <c r="D147" s="6">
        <f>IF(C147="","",SUBSTITUTE(SUBSTITUTE(SUBSTITUTE(SUBSTITUTE(SUBSTITUTE(SUBSTITUTE(SUBSTITUTE(UPPER(TRIM(B147&amp;"")),"₹",""),"RS.",""),"RS",""),"INR",""),"$",""),",","")," ",""))</f>
        <v/>
      </c>
      <c r="E147" s="6">
        <f>IF(C147="","",IF(RIGHT(D147,2)="CR","Cr",IF(RIGHT(D147,2)="DR","Dr","")))</f>
        <v/>
      </c>
      <c r="F147" s="6">
        <f>IF(C147="","",IF(E147&lt;&gt;"",LEFT(D147,LEN(D147)-2),D147))</f>
        <v/>
      </c>
      <c r="G147" s="13">
        <f>IF(C147="","",IF(OR(IF(AND(LEFT(F147,1)="(",RIGHT(F147,1)=")"),MID(F147,2,LEN(F147)-2),F147)="",IF(AND(LEFT(F147,1)="(",RIGHT(F147,1)=")"),MID(F147,2,LEN(F147)-2),F147)="-"),0,IFERROR(VALUE(IF(AND(LEFT(F147,1)="(",RIGHT(F147,1)=")"),MID(F147,2,LEN(F147)-2),F147))*IF(AND(LEFT(F147,1)="(",RIGHT(F147,1)=")"),-1,1)*IF(E147="Cr",Setup!$B$6,1),"ERR")))</f>
        <v/>
      </c>
      <c r="H147" s="6">
        <f>IF(C147="","",IF(ISNUMBER(G147),1,0))</f>
        <v/>
      </c>
      <c r="I147" s="6">
        <f>IF(C147="","",IF(SUMPRODUCT(($C$12:$C$1511=C147)*1)&gt;1,1,0))</f>
        <v/>
      </c>
      <c r="J147" s="6">
        <f>IF(C147="","",SUMPRODUCT((Mapping!$F$5:$F$504=Setup!$B$4&amp;"||"&amp;C147)*ROW(Mapping!$F$5:$F$504)))</f>
        <v/>
      </c>
      <c r="K147" s="6">
        <f>IF(C147="","",IF(J147=0,"UNMAPPED",LOWER(INDEX(Mapping!$D$1:$D$504,J147))))</f>
        <v/>
      </c>
      <c r="L147" s="6">
        <f>IF(K147="mapped",TRIM(INDEX(Mapping!$C$1:$C$504,J147)),"")</f>
        <v/>
      </c>
      <c r="M147" s="6">
        <f>IF(C147="","",IF(SUMPRODUCT(($C$12:C147=C147)*1)=1,1,0))</f>
        <v/>
      </c>
      <c r="N147" s="6">
        <f>IF(AND(K147="UNMAPPED",M147=1),ROW(),"")</f>
        <v/>
      </c>
      <c r="O147" s="6">
        <f>IF(AND(I147=1,M147=1),ROW(),"")</f>
        <v/>
      </c>
      <c r="P147" s="6">
        <f>IF(AND(K147="ignored",M147=1),ROW(),"")</f>
        <v/>
      </c>
    </row>
    <row r="148">
      <c r="A148" s="8" t="n"/>
      <c r="B148" s="8" t="n"/>
      <c r="C148" s="6">
        <f>TRIM(A148&amp;"")</f>
        <v/>
      </c>
      <c r="D148" s="6">
        <f>IF(C148="","",SUBSTITUTE(SUBSTITUTE(SUBSTITUTE(SUBSTITUTE(SUBSTITUTE(SUBSTITUTE(SUBSTITUTE(UPPER(TRIM(B148&amp;"")),"₹",""),"RS.",""),"RS",""),"INR",""),"$",""),",","")," ",""))</f>
        <v/>
      </c>
      <c r="E148" s="6">
        <f>IF(C148="","",IF(RIGHT(D148,2)="CR","Cr",IF(RIGHT(D148,2)="DR","Dr","")))</f>
        <v/>
      </c>
      <c r="F148" s="6">
        <f>IF(C148="","",IF(E148&lt;&gt;"",LEFT(D148,LEN(D148)-2),D148))</f>
        <v/>
      </c>
      <c r="G148" s="13">
        <f>IF(C148="","",IF(OR(IF(AND(LEFT(F148,1)="(",RIGHT(F148,1)=")"),MID(F148,2,LEN(F148)-2),F148)="",IF(AND(LEFT(F148,1)="(",RIGHT(F148,1)=")"),MID(F148,2,LEN(F148)-2),F148)="-"),0,IFERROR(VALUE(IF(AND(LEFT(F148,1)="(",RIGHT(F148,1)=")"),MID(F148,2,LEN(F148)-2),F148))*IF(AND(LEFT(F148,1)="(",RIGHT(F148,1)=")"),-1,1)*IF(E148="Cr",Setup!$B$6,1),"ERR")))</f>
        <v/>
      </c>
      <c r="H148" s="6">
        <f>IF(C148="","",IF(ISNUMBER(G148),1,0))</f>
        <v/>
      </c>
      <c r="I148" s="6">
        <f>IF(C148="","",IF(SUMPRODUCT(($C$12:$C$1511=C148)*1)&gt;1,1,0))</f>
        <v/>
      </c>
      <c r="J148" s="6">
        <f>IF(C148="","",SUMPRODUCT((Mapping!$F$5:$F$504=Setup!$B$4&amp;"||"&amp;C148)*ROW(Mapping!$F$5:$F$504)))</f>
        <v/>
      </c>
      <c r="K148" s="6">
        <f>IF(C148="","",IF(J148=0,"UNMAPPED",LOWER(INDEX(Mapping!$D$1:$D$504,J148))))</f>
        <v/>
      </c>
      <c r="L148" s="6">
        <f>IF(K148="mapped",TRIM(INDEX(Mapping!$C$1:$C$504,J148)),"")</f>
        <v/>
      </c>
      <c r="M148" s="6">
        <f>IF(C148="","",IF(SUMPRODUCT(($C$12:C148=C148)*1)=1,1,0))</f>
        <v/>
      </c>
      <c r="N148" s="6">
        <f>IF(AND(K148="UNMAPPED",M148=1),ROW(),"")</f>
        <v/>
      </c>
      <c r="O148" s="6">
        <f>IF(AND(I148=1,M148=1),ROW(),"")</f>
        <v/>
      </c>
      <c r="P148" s="6">
        <f>IF(AND(K148="ignored",M148=1),ROW(),"")</f>
        <v/>
      </c>
    </row>
    <row r="149">
      <c r="A149" s="8" t="n"/>
      <c r="B149" s="8" t="n"/>
      <c r="C149" s="6">
        <f>TRIM(A149&amp;"")</f>
        <v/>
      </c>
      <c r="D149" s="6">
        <f>IF(C149="","",SUBSTITUTE(SUBSTITUTE(SUBSTITUTE(SUBSTITUTE(SUBSTITUTE(SUBSTITUTE(SUBSTITUTE(UPPER(TRIM(B149&amp;"")),"₹",""),"RS.",""),"RS",""),"INR",""),"$",""),",","")," ",""))</f>
        <v/>
      </c>
      <c r="E149" s="6">
        <f>IF(C149="","",IF(RIGHT(D149,2)="CR","Cr",IF(RIGHT(D149,2)="DR","Dr","")))</f>
        <v/>
      </c>
      <c r="F149" s="6">
        <f>IF(C149="","",IF(E149&lt;&gt;"",LEFT(D149,LEN(D149)-2),D149))</f>
        <v/>
      </c>
      <c r="G149" s="13">
        <f>IF(C149="","",IF(OR(IF(AND(LEFT(F149,1)="(",RIGHT(F149,1)=")"),MID(F149,2,LEN(F149)-2),F149)="",IF(AND(LEFT(F149,1)="(",RIGHT(F149,1)=")"),MID(F149,2,LEN(F149)-2),F149)="-"),0,IFERROR(VALUE(IF(AND(LEFT(F149,1)="(",RIGHT(F149,1)=")"),MID(F149,2,LEN(F149)-2),F149))*IF(AND(LEFT(F149,1)="(",RIGHT(F149,1)=")"),-1,1)*IF(E149="Cr",Setup!$B$6,1),"ERR")))</f>
        <v/>
      </c>
      <c r="H149" s="6">
        <f>IF(C149="","",IF(ISNUMBER(G149),1,0))</f>
        <v/>
      </c>
      <c r="I149" s="6">
        <f>IF(C149="","",IF(SUMPRODUCT(($C$12:$C$1511=C149)*1)&gt;1,1,0))</f>
        <v/>
      </c>
      <c r="J149" s="6">
        <f>IF(C149="","",SUMPRODUCT((Mapping!$F$5:$F$504=Setup!$B$4&amp;"||"&amp;C149)*ROW(Mapping!$F$5:$F$504)))</f>
        <v/>
      </c>
      <c r="K149" s="6">
        <f>IF(C149="","",IF(J149=0,"UNMAPPED",LOWER(INDEX(Mapping!$D$1:$D$504,J149))))</f>
        <v/>
      </c>
      <c r="L149" s="6">
        <f>IF(K149="mapped",TRIM(INDEX(Mapping!$C$1:$C$504,J149)),"")</f>
        <v/>
      </c>
      <c r="M149" s="6">
        <f>IF(C149="","",IF(SUMPRODUCT(($C$12:C149=C149)*1)=1,1,0))</f>
        <v/>
      </c>
      <c r="N149" s="6">
        <f>IF(AND(K149="UNMAPPED",M149=1),ROW(),"")</f>
        <v/>
      </c>
      <c r="O149" s="6">
        <f>IF(AND(I149=1,M149=1),ROW(),"")</f>
        <v/>
      </c>
      <c r="P149" s="6">
        <f>IF(AND(K149="ignored",M149=1),ROW(),"")</f>
        <v/>
      </c>
    </row>
    <row r="150">
      <c r="A150" s="8" t="n"/>
      <c r="B150" s="8" t="n"/>
      <c r="C150" s="6">
        <f>TRIM(A150&amp;"")</f>
        <v/>
      </c>
      <c r="D150" s="6">
        <f>IF(C150="","",SUBSTITUTE(SUBSTITUTE(SUBSTITUTE(SUBSTITUTE(SUBSTITUTE(SUBSTITUTE(SUBSTITUTE(UPPER(TRIM(B150&amp;"")),"₹",""),"RS.",""),"RS",""),"INR",""),"$",""),",","")," ",""))</f>
        <v/>
      </c>
      <c r="E150" s="6">
        <f>IF(C150="","",IF(RIGHT(D150,2)="CR","Cr",IF(RIGHT(D150,2)="DR","Dr","")))</f>
        <v/>
      </c>
      <c r="F150" s="6">
        <f>IF(C150="","",IF(E150&lt;&gt;"",LEFT(D150,LEN(D150)-2),D150))</f>
        <v/>
      </c>
      <c r="G150" s="13">
        <f>IF(C150="","",IF(OR(IF(AND(LEFT(F150,1)="(",RIGHT(F150,1)=")"),MID(F150,2,LEN(F150)-2),F150)="",IF(AND(LEFT(F150,1)="(",RIGHT(F150,1)=")"),MID(F150,2,LEN(F150)-2),F150)="-"),0,IFERROR(VALUE(IF(AND(LEFT(F150,1)="(",RIGHT(F150,1)=")"),MID(F150,2,LEN(F150)-2),F150))*IF(AND(LEFT(F150,1)="(",RIGHT(F150,1)=")"),-1,1)*IF(E150="Cr",Setup!$B$6,1),"ERR")))</f>
        <v/>
      </c>
      <c r="H150" s="6">
        <f>IF(C150="","",IF(ISNUMBER(G150),1,0))</f>
        <v/>
      </c>
      <c r="I150" s="6">
        <f>IF(C150="","",IF(SUMPRODUCT(($C$12:$C$1511=C150)*1)&gt;1,1,0))</f>
        <v/>
      </c>
      <c r="J150" s="6">
        <f>IF(C150="","",SUMPRODUCT((Mapping!$F$5:$F$504=Setup!$B$4&amp;"||"&amp;C150)*ROW(Mapping!$F$5:$F$504)))</f>
        <v/>
      </c>
      <c r="K150" s="6">
        <f>IF(C150="","",IF(J150=0,"UNMAPPED",LOWER(INDEX(Mapping!$D$1:$D$504,J150))))</f>
        <v/>
      </c>
      <c r="L150" s="6">
        <f>IF(K150="mapped",TRIM(INDEX(Mapping!$C$1:$C$504,J150)),"")</f>
        <v/>
      </c>
      <c r="M150" s="6">
        <f>IF(C150="","",IF(SUMPRODUCT(($C$12:C150=C150)*1)=1,1,0))</f>
        <v/>
      </c>
      <c r="N150" s="6">
        <f>IF(AND(K150="UNMAPPED",M150=1),ROW(),"")</f>
        <v/>
      </c>
      <c r="O150" s="6">
        <f>IF(AND(I150=1,M150=1),ROW(),"")</f>
        <v/>
      </c>
      <c r="P150" s="6">
        <f>IF(AND(K150="ignored",M150=1),ROW(),"")</f>
        <v/>
      </c>
    </row>
    <row r="151">
      <c r="A151" s="8" t="n"/>
      <c r="B151" s="8" t="n"/>
      <c r="C151" s="6">
        <f>TRIM(A151&amp;"")</f>
        <v/>
      </c>
      <c r="D151" s="6">
        <f>IF(C151="","",SUBSTITUTE(SUBSTITUTE(SUBSTITUTE(SUBSTITUTE(SUBSTITUTE(SUBSTITUTE(SUBSTITUTE(UPPER(TRIM(B151&amp;"")),"₹",""),"RS.",""),"RS",""),"INR",""),"$",""),",","")," ",""))</f>
        <v/>
      </c>
      <c r="E151" s="6">
        <f>IF(C151="","",IF(RIGHT(D151,2)="CR","Cr",IF(RIGHT(D151,2)="DR","Dr","")))</f>
        <v/>
      </c>
      <c r="F151" s="6">
        <f>IF(C151="","",IF(E151&lt;&gt;"",LEFT(D151,LEN(D151)-2),D151))</f>
        <v/>
      </c>
      <c r="G151" s="13">
        <f>IF(C151="","",IF(OR(IF(AND(LEFT(F151,1)="(",RIGHT(F151,1)=")"),MID(F151,2,LEN(F151)-2),F151)="",IF(AND(LEFT(F151,1)="(",RIGHT(F151,1)=")"),MID(F151,2,LEN(F151)-2),F151)="-"),0,IFERROR(VALUE(IF(AND(LEFT(F151,1)="(",RIGHT(F151,1)=")"),MID(F151,2,LEN(F151)-2),F151))*IF(AND(LEFT(F151,1)="(",RIGHT(F151,1)=")"),-1,1)*IF(E151="Cr",Setup!$B$6,1),"ERR")))</f>
        <v/>
      </c>
      <c r="H151" s="6">
        <f>IF(C151="","",IF(ISNUMBER(G151),1,0))</f>
        <v/>
      </c>
      <c r="I151" s="6">
        <f>IF(C151="","",IF(SUMPRODUCT(($C$12:$C$1511=C151)*1)&gt;1,1,0))</f>
        <v/>
      </c>
      <c r="J151" s="6">
        <f>IF(C151="","",SUMPRODUCT((Mapping!$F$5:$F$504=Setup!$B$4&amp;"||"&amp;C151)*ROW(Mapping!$F$5:$F$504)))</f>
        <v/>
      </c>
      <c r="K151" s="6">
        <f>IF(C151="","",IF(J151=0,"UNMAPPED",LOWER(INDEX(Mapping!$D$1:$D$504,J151))))</f>
        <v/>
      </c>
      <c r="L151" s="6">
        <f>IF(K151="mapped",TRIM(INDEX(Mapping!$C$1:$C$504,J151)),"")</f>
        <v/>
      </c>
      <c r="M151" s="6">
        <f>IF(C151="","",IF(SUMPRODUCT(($C$12:C151=C151)*1)=1,1,0))</f>
        <v/>
      </c>
      <c r="N151" s="6">
        <f>IF(AND(K151="UNMAPPED",M151=1),ROW(),"")</f>
        <v/>
      </c>
      <c r="O151" s="6">
        <f>IF(AND(I151=1,M151=1),ROW(),"")</f>
        <v/>
      </c>
      <c r="P151" s="6">
        <f>IF(AND(K151="ignored",M151=1),ROW(),"")</f>
        <v/>
      </c>
    </row>
    <row r="152">
      <c r="A152" s="8" t="n"/>
      <c r="B152" s="8" t="n"/>
      <c r="C152" s="6">
        <f>TRIM(A152&amp;"")</f>
        <v/>
      </c>
      <c r="D152" s="6">
        <f>IF(C152="","",SUBSTITUTE(SUBSTITUTE(SUBSTITUTE(SUBSTITUTE(SUBSTITUTE(SUBSTITUTE(SUBSTITUTE(UPPER(TRIM(B152&amp;"")),"₹",""),"RS.",""),"RS",""),"INR",""),"$",""),",","")," ",""))</f>
        <v/>
      </c>
      <c r="E152" s="6">
        <f>IF(C152="","",IF(RIGHT(D152,2)="CR","Cr",IF(RIGHT(D152,2)="DR","Dr","")))</f>
        <v/>
      </c>
      <c r="F152" s="6">
        <f>IF(C152="","",IF(E152&lt;&gt;"",LEFT(D152,LEN(D152)-2),D152))</f>
        <v/>
      </c>
      <c r="G152" s="13">
        <f>IF(C152="","",IF(OR(IF(AND(LEFT(F152,1)="(",RIGHT(F152,1)=")"),MID(F152,2,LEN(F152)-2),F152)="",IF(AND(LEFT(F152,1)="(",RIGHT(F152,1)=")"),MID(F152,2,LEN(F152)-2),F152)="-"),0,IFERROR(VALUE(IF(AND(LEFT(F152,1)="(",RIGHT(F152,1)=")"),MID(F152,2,LEN(F152)-2),F152))*IF(AND(LEFT(F152,1)="(",RIGHT(F152,1)=")"),-1,1)*IF(E152="Cr",Setup!$B$6,1),"ERR")))</f>
        <v/>
      </c>
      <c r="H152" s="6">
        <f>IF(C152="","",IF(ISNUMBER(G152),1,0))</f>
        <v/>
      </c>
      <c r="I152" s="6">
        <f>IF(C152="","",IF(SUMPRODUCT(($C$12:$C$1511=C152)*1)&gt;1,1,0))</f>
        <v/>
      </c>
      <c r="J152" s="6">
        <f>IF(C152="","",SUMPRODUCT((Mapping!$F$5:$F$504=Setup!$B$4&amp;"||"&amp;C152)*ROW(Mapping!$F$5:$F$504)))</f>
        <v/>
      </c>
      <c r="K152" s="6">
        <f>IF(C152="","",IF(J152=0,"UNMAPPED",LOWER(INDEX(Mapping!$D$1:$D$504,J152))))</f>
        <v/>
      </c>
      <c r="L152" s="6">
        <f>IF(K152="mapped",TRIM(INDEX(Mapping!$C$1:$C$504,J152)),"")</f>
        <v/>
      </c>
      <c r="M152" s="6">
        <f>IF(C152="","",IF(SUMPRODUCT(($C$12:C152=C152)*1)=1,1,0))</f>
        <v/>
      </c>
      <c r="N152" s="6">
        <f>IF(AND(K152="UNMAPPED",M152=1),ROW(),"")</f>
        <v/>
      </c>
      <c r="O152" s="6">
        <f>IF(AND(I152=1,M152=1),ROW(),"")</f>
        <v/>
      </c>
      <c r="P152" s="6">
        <f>IF(AND(K152="ignored",M152=1),ROW(),"")</f>
        <v/>
      </c>
    </row>
    <row r="153">
      <c r="A153" s="8" t="n"/>
      <c r="B153" s="8" t="n"/>
      <c r="C153" s="6">
        <f>TRIM(A153&amp;"")</f>
        <v/>
      </c>
      <c r="D153" s="6">
        <f>IF(C153="","",SUBSTITUTE(SUBSTITUTE(SUBSTITUTE(SUBSTITUTE(SUBSTITUTE(SUBSTITUTE(SUBSTITUTE(UPPER(TRIM(B153&amp;"")),"₹",""),"RS.",""),"RS",""),"INR",""),"$",""),",","")," ",""))</f>
        <v/>
      </c>
      <c r="E153" s="6">
        <f>IF(C153="","",IF(RIGHT(D153,2)="CR","Cr",IF(RIGHT(D153,2)="DR","Dr","")))</f>
        <v/>
      </c>
      <c r="F153" s="6">
        <f>IF(C153="","",IF(E153&lt;&gt;"",LEFT(D153,LEN(D153)-2),D153))</f>
        <v/>
      </c>
      <c r="G153" s="13">
        <f>IF(C153="","",IF(OR(IF(AND(LEFT(F153,1)="(",RIGHT(F153,1)=")"),MID(F153,2,LEN(F153)-2),F153)="",IF(AND(LEFT(F153,1)="(",RIGHT(F153,1)=")"),MID(F153,2,LEN(F153)-2),F153)="-"),0,IFERROR(VALUE(IF(AND(LEFT(F153,1)="(",RIGHT(F153,1)=")"),MID(F153,2,LEN(F153)-2),F153))*IF(AND(LEFT(F153,1)="(",RIGHT(F153,1)=")"),-1,1)*IF(E153="Cr",Setup!$B$6,1),"ERR")))</f>
        <v/>
      </c>
      <c r="H153" s="6">
        <f>IF(C153="","",IF(ISNUMBER(G153),1,0))</f>
        <v/>
      </c>
      <c r="I153" s="6">
        <f>IF(C153="","",IF(SUMPRODUCT(($C$12:$C$1511=C153)*1)&gt;1,1,0))</f>
        <v/>
      </c>
      <c r="J153" s="6">
        <f>IF(C153="","",SUMPRODUCT((Mapping!$F$5:$F$504=Setup!$B$4&amp;"||"&amp;C153)*ROW(Mapping!$F$5:$F$504)))</f>
        <v/>
      </c>
      <c r="K153" s="6">
        <f>IF(C153="","",IF(J153=0,"UNMAPPED",LOWER(INDEX(Mapping!$D$1:$D$504,J153))))</f>
        <v/>
      </c>
      <c r="L153" s="6">
        <f>IF(K153="mapped",TRIM(INDEX(Mapping!$C$1:$C$504,J153)),"")</f>
        <v/>
      </c>
      <c r="M153" s="6">
        <f>IF(C153="","",IF(SUMPRODUCT(($C$12:C153=C153)*1)=1,1,0))</f>
        <v/>
      </c>
      <c r="N153" s="6">
        <f>IF(AND(K153="UNMAPPED",M153=1),ROW(),"")</f>
        <v/>
      </c>
      <c r="O153" s="6">
        <f>IF(AND(I153=1,M153=1),ROW(),"")</f>
        <v/>
      </c>
      <c r="P153" s="6">
        <f>IF(AND(K153="ignored",M153=1),ROW(),"")</f>
        <v/>
      </c>
    </row>
    <row r="154">
      <c r="A154" s="8" t="n"/>
      <c r="B154" s="8" t="n"/>
      <c r="C154" s="6">
        <f>TRIM(A154&amp;"")</f>
        <v/>
      </c>
      <c r="D154" s="6">
        <f>IF(C154="","",SUBSTITUTE(SUBSTITUTE(SUBSTITUTE(SUBSTITUTE(SUBSTITUTE(SUBSTITUTE(SUBSTITUTE(UPPER(TRIM(B154&amp;"")),"₹",""),"RS.",""),"RS",""),"INR",""),"$",""),",","")," ",""))</f>
        <v/>
      </c>
      <c r="E154" s="6">
        <f>IF(C154="","",IF(RIGHT(D154,2)="CR","Cr",IF(RIGHT(D154,2)="DR","Dr","")))</f>
        <v/>
      </c>
      <c r="F154" s="6">
        <f>IF(C154="","",IF(E154&lt;&gt;"",LEFT(D154,LEN(D154)-2),D154))</f>
        <v/>
      </c>
      <c r="G154" s="13">
        <f>IF(C154="","",IF(OR(IF(AND(LEFT(F154,1)="(",RIGHT(F154,1)=")"),MID(F154,2,LEN(F154)-2),F154)="",IF(AND(LEFT(F154,1)="(",RIGHT(F154,1)=")"),MID(F154,2,LEN(F154)-2),F154)="-"),0,IFERROR(VALUE(IF(AND(LEFT(F154,1)="(",RIGHT(F154,1)=")"),MID(F154,2,LEN(F154)-2),F154))*IF(AND(LEFT(F154,1)="(",RIGHT(F154,1)=")"),-1,1)*IF(E154="Cr",Setup!$B$6,1),"ERR")))</f>
        <v/>
      </c>
      <c r="H154" s="6">
        <f>IF(C154="","",IF(ISNUMBER(G154),1,0))</f>
        <v/>
      </c>
      <c r="I154" s="6">
        <f>IF(C154="","",IF(SUMPRODUCT(($C$12:$C$1511=C154)*1)&gt;1,1,0))</f>
        <v/>
      </c>
      <c r="J154" s="6">
        <f>IF(C154="","",SUMPRODUCT((Mapping!$F$5:$F$504=Setup!$B$4&amp;"||"&amp;C154)*ROW(Mapping!$F$5:$F$504)))</f>
        <v/>
      </c>
      <c r="K154" s="6">
        <f>IF(C154="","",IF(J154=0,"UNMAPPED",LOWER(INDEX(Mapping!$D$1:$D$504,J154))))</f>
        <v/>
      </c>
      <c r="L154" s="6">
        <f>IF(K154="mapped",TRIM(INDEX(Mapping!$C$1:$C$504,J154)),"")</f>
        <v/>
      </c>
      <c r="M154" s="6">
        <f>IF(C154="","",IF(SUMPRODUCT(($C$12:C154=C154)*1)=1,1,0))</f>
        <v/>
      </c>
      <c r="N154" s="6">
        <f>IF(AND(K154="UNMAPPED",M154=1),ROW(),"")</f>
        <v/>
      </c>
      <c r="O154" s="6">
        <f>IF(AND(I154=1,M154=1),ROW(),"")</f>
        <v/>
      </c>
      <c r="P154" s="6">
        <f>IF(AND(K154="ignored",M154=1),ROW(),"")</f>
        <v/>
      </c>
    </row>
    <row r="155">
      <c r="A155" s="8" t="n"/>
      <c r="B155" s="8" t="n"/>
      <c r="C155" s="6">
        <f>TRIM(A155&amp;"")</f>
        <v/>
      </c>
      <c r="D155" s="6">
        <f>IF(C155="","",SUBSTITUTE(SUBSTITUTE(SUBSTITUTE(SUBSTITUTE(SUBSTITUTE(SUBSTITUTE(SUBSTITUTE(UPPER(TRIM(B155&amp;"")),"₹",""),"RS.",""),"RS",""),"INR",""),"$",""),",","")," ",""))</f>
        <v/>
      </c>
      <c r="E155" s="6">
        <f>IF(C155="","",IF(RIGHT(D155,2)="CR","Cr",IF(RIGHT(D155,2)="DR","Dr","")))</f>
        <v/>
      </c>
      <c r="F155" s="6">
        <f>IF(C155="","",IF(E155&lt;&gt;"",LEFT(D155,LEN(D155)-2),D155))</f>
        <v/>
      </c>
      <c r="G155" s="13">
        <f>IF(C155="","",IF(OR(IF(AND(LEFT(F155,1)="(",RIGHT(F155,1)=")"),MID(F155,2,LEN(F155)-2),F155)="",IF(AND(LEFT(F155,1)="(",RIGHT(F155,1)=")"),MID(F155,2,LEN(F155)-2),F155)="-"),0,IFERROR(VALUE(IF(AND(LEFT(F155,1)="(",RIGHT(F155,1)=")"),MID(F155,2,LEN(F155)-2),F155))*IF(AND(LEFT(F155,1)="(",RIGHT(F155,1)=")"),-1,1)*IF(E155="Cr",Setup!$B$6,1),"ERR")))</f>
        <v/>
      </c>
      <c r="H155" s="6">
        <f>IF(C155="","",IF(ISNUMBER(G155),1,0))</f>
        <v/>
      </c>
      <c r="I155" s="6">
        <f>IF(C155="","",IF(SUMPRODUCT(($C$12:$C$1511=C155)*1)&gt;1,1,0))</f>
        <v/>
      </c>
      <c r="J155" s="6">
        <f>IF(C155="","",SUMPRODUCT((Mapping!$F$5:$F$504=Setup!$B$4&amp;"||"&amp;C155)*ROW(Mapping!$F$5:$F$504)))</f>
        <v/>
      </c>
      <c r="K155" s="6">
        <f>IF(C155="","",IF(J155=0,"UNMAPPED",LOWER(INDEX(Mapping!$D$1:$D$504,J155))))</f>
        <v/>
      </c>
      <c r="L155" s="6">
        <f>IF(K155="mapped",TRIM(INDEX(Mapping!$C$1:$C$504,J155)),"")</f>
        <v/>
      </c>
      <c r="M155" s="6">
        <f>IF(C155="","",IF(SUMPRODUCT(($C$12:C155=C155)*1)=1,1,0))</f>
        <v/>
      </c>
      <c r="N155" s="6">
        <f>IF(AND(K155="UNMAPPED",M155=1),ROW(),"")</f>
        <v/>
      </c>
      <c r="O155" s="6">
        <f>IF(AND(I155=1,M155=1),ROW(),"")</f>
        <v/>
      </c>
      <c r="P155" s="6">
        <f>IF(AND(K155="ignored",M155=1),ROW(),"")</f>
        <v/>
      </c>
    </row>
    <row r="156">
      <c r="A156" s="8" t="n"/>
      <c r="B156" s="8" t="n"/>
      <c r="C156" s="6">
        <f>TRIM(A156&amp;"")</f>
        <v/>
      </c>
      <c r="D156" s="6">
        <f>IF(C156="","",SUBSTITUTE(SUBSTITUTE(SUBSTITUTE(SUBSTITUTE(SUBSTITUTE(SUBSTITUTE(SUBSTITUTE(UPPER(TRIM(B156&amp;"")),"₹",""),"RS.",""),"RS",""),"INR",""),"$",""),",","")," ",""))</f>
        <v/>
      </c>
      <c r="E156" s="6">
        <f>IF(C156="","",IF(RIGHT(D156,2)="CR","Cr",IF(RIGHT(D156,2)="DR","Dr","")))</f>
        <v/>
      </c>
      <c r="F156" s="6">
        <f>IF(C156="","",IF(E156&lt;&gt;"",LEFT(D156,LEN(D156)-2),D156))</f>
        <v/>
      </c>
      <c r="G156" s="13">
        <f>IF(C156="","",IF(OR(IF(AND(LEFT(F156,1)="(",RIGHT(F156,1)=")"),MID(F156,2,LEN(F156)-2),F156)="",IF(AND(LEFT(F156,1)="(",RIGHT(F156,1)=")"),MID(F156,2,LEN(F156)-2),F156)="-"),0,IFERROR(VALUE(IF(AND(LEFT(F156,1)="(",RIGHT(F156,1)=")"),MID(F156,2,LEN(F156)-2),F156))*IF(AND(LEFT(F156,1)="(",RIGHT(F156,1)=")"),-1,1)*IF(E156="Cr",Setup!$B$6,1),"ERR")))</f>
        <v/>
      </c>
      <c r="H156" s="6">
        <f>IF(C156="","",IF(ISNUMBER(G156),1,0))</f>
        <v/>
      </c>
      <c r="I156" s="6">
        <f>IF(C156="","",IF(SUMPRODUCT(($C$12:$C$1511=C156)*1)&gt;1,1,0))</f>
        <v/>
      </c>
      <c r="J156" s="6">
        <f>IF(C156="","",SUMPRODUCT((Mapping!$F$5:$F$504=Setup!$B$4&amp;"||"&amp;C156)*ROW(Mapping!$F$5:$F$504)))</f>
        <v/>
      </c>
      <c r="K156" s="6">
        <f>IF(C156="","",IF(J156=0,"UNMAPPED",LOWER(INDEX(Mapping!$D$1:$D$504,J156))))</f>
        <v/>
      </c>
      <c r="L156" s="6">
        <f>IF(K156="mapped",TRIM(INDEX(Mapping!$C$1:$C$504,J156)),"")</f>
        <v/>
      </c>
      <c r="M156" s="6">
        <f>IF(C156="","",IF(SUMPRODUCT(($C$12:C156=C156)*1)=1,1,0))</f>
        <v/>
      </c>
      <c r="N156" s="6">
        <f>IF(AND(K156="UNMAPPED",M156=1),ROW(),"")</f>
        <v/>
      </c>
      <c r="O156" s="6">
        <f>IF(AND(I156=1,M156=1),ROW(),"")</f>
        <v/>
      </c>
      <c r="P156" s="6">
        <f>IF(AND(K156="ignored",M156=1),ROW(),"")</f>
        <v/>
      </c>
    </row>
    <row r="157">
      <c r="A157" s="8" t="n"/>
      <c r="B157" s="8" t="n"/>
      <c r="C157" s="6">
        <f>TRIM(A157&amp;"")</f>
        <v/>
      </c>
      <c r="D157" s="6">
        <f>IF(C157="","",SUBSTITUTE(SUBSTITUTE(SUBSTITUTE(SUBSTITUTE(SUBSTITUTE(SUBSTITUTE(SUBSTITUTE(UPPER(TRIM(B157&amp;"")),"₹",""),"RS.",""),"RS",""),"INR",""),"$",""),",","")," ",""))</f>
        <v/>
      </c>
      <c r="E157" s="6">
        <f>IF(C157="","",IF(RIGHT(D157,2)="CR","Cr",IF(RIGHT(D157,2)="DR","Dr","")))</f>
        <v/>
      </c>
      <c r="F157" s="6">
        <f>IF(C157="","",IF(E157&lt;&gt;"",LEFT(D157,LEN(D157)-2),D157))</f>
        <v/>
      </c>
      <c r="G157" s="13">
        <f>IF(C157="","",IF(OR(IF(AND(LEFT(F157,1)="(",RIGHT(F157,1)=")"),MID(F157,2,LEN(F157)-2),F157)="",IF(AND(LEFT(F157,1)="(",RIGHT(F157,1)=")"),MID(F157,2,LEN(F157)-2),F157)="-"),0,IFERROR(VALUE(IF(AND(LEFT(F157,1)="(",RIGHT(F157,1)=")"),MID(F157,2,LEN(F157)-2),F157))*IF(AND(LEFT(F157,1)="(",RIGHT(F157,1)=")"),-1,1)*IF(E157="Cr",Setup!$B$6,1),"ERR")))</f>
        <v/>
      </c>
      <c r="H157" s="6">
        <f>IF(C157="","",IF(ISNUMBER(G157),1,0))</f>
        <v/>
      </c>
      <c r="I157" s="6">
        <f>IF(C157="","",IF(SUMPRODUCT(($C$12:$C$1511=C157)*1)&gt;1,1,0))</f>
        <v/>
      </c>
      <c r="J157" s="6">
        <f>IF(C157="","",SUMPRODUCT((Mapping!$F$5:$F$504=Setup!$B$4&amp;"||"&amp;C157)*ROW(Mapping!$F$5:$F$504)))</f>
        <v/>
      </c>
      <c r="K157" s="6">
        <f>IF(C157="","",IF(J157=0,"UNMAPPED",LOWER(INDEX(Mapping!$D$1:$D$504,J157))))</f>
        <v/>
      </c>
      <c r="L157" s="6">
        <f>IF(K157="mapped",TRIM(INDEX(Mapping!$C$1:$C$504,J157)),"")</f>
        <v/>
      </c>
      <c r="M157" s="6">
        <f>IF(C157="","",IF(SUMPRODUCT(($C$12:C157=C157)*1)=1,1,0))</f>
        <v/>
      </c>
      <c r="N157" s="6">
        <f>IF(AND(K157="UNMAPPED",M157=1),ROW(),"")</f>
        <v/>
      </c>
      <c r="O157" s="6">
        <f>IF(AND(I157=1,M157=1),ROW(),"")</f>
        <v/>
      </c>
      <c r="P157" s="6">
        <f>IF(AND(K157="ignored",M157=1),ROW(),"")</f>
        <v/>
      </c>
    </row>
    <row r="158">
      <c r="A158" s="8" t="n"/>
      <c r="B158" s="8" t="n"/>
      <c r="C158" s="6">
        <f>TRIM(A158&amp;"")</f>
        <v/>
      </c>
      <c r="D158" s="6">
        <f>IF(C158="","",SUBSTITUTE(SUBSTITUTE(SUBSTITUTE(SUBSTITUTE(SUBSTITUTE(SUBSTITUTE(SUBSTITUTE(UPPER(TRIM(B158&amp;"")),"₹",""),"RS.",""),"RS",""),"INR",""),"$",""),",","")," ",""))</f>
        <v/>
      </c>
      <c r="E158" s="6">
        <f>IF(C158="","",IF(RIGHT(D158,2)="CR","Cr",IF(RIGHT(D158,2)="DR","Dr","")))</f>
        <v/>
      </c>
      <c r="F158" s="6">
        <f>IF(C158="","",IF(E158&lt;&gt;"",LEFT(D158,LEN(D158)-2),D158))</f>
        <v/>
      </c>
      <c r="G158" s="13">
        <f>IF(C158="","",IF(OR(IF(AND(LEFT(F158,1)="(",RIGHT(F158,1)=")"),MID(F158,2,LEN(F158)-2),F158)="",IF(AND(LEFT(F158,1)="(",RIGHT(F158,1)=")"),MID(F158,2,LEN(F158)-2),F158)="-"),0,IFERROR(VALUE(IF(AND(LEFT(F158,1)="(",RIGHT(F158,1)=")"),MID(F158,2,LEN(F158)-2),F158))*IF(AND(LEFT(F158,1)="(",RIGHT(F158,1)=")"),-1,1)*IF(E158="Cr",Setup!$B$6,1),"ERR")))</f>
        <v/>
      </c>
      <c r="H158" s="6">
        <f>IF(C158="","",IF(ISNUMBER(G158),1,0))</f>
        <v/>
      </c>
      <c r="I158" s="6">
        <f>IF(C158="","",IF(SUMPRODUCT(($C$12:$C$1511=C158)*1)&gt;1,1,0))</f>
        <v/>
      </c>
      <c r="J158" s="6">
        <f>IF(C158="","",SUMPRODUCT((Mapping!$F$5:$F$504=Setup!$B$4&amp;"||"&amp;C158)*ROW(Mapping!$F$5:$F$504)))</f>
        <v/>
      </c>
      <c r="K158" s="6">
        <f>IF(C158="","",IF(J158=0,"UNMAPPED",LOWER(INDEX(Mapping!$D$1:$D$504,J158))))</f>
        <v/>
      </c>
      <c r="L158" s="6">
        <f>IF(K158="mapped",TRIM(INDEX(Mapping!$C$1:$C$504,J158)),"")</f>
        <v/>
      </c>
      <c r="M158" s="6">
        <f>IF(C158="","",IF(SUMPRODUCT(($C$12:C158=C158)*1)=1,1,0))</f>
        <v/>
      </c>
      <c r="N158" s="6">
        <f>IF(AND(K158="UNMAPPED",M158=1),ROW(),"")</f>
        <v/>
      </c>
      <c r="O158" s="6">
        <f>IF(AND(I158=1,M158=1),ROW(),"")</f>
        <v/>
      </c>
      <c r="P158" s="6">
        <f>IF(AND(K158="ignored",M158=1),ROW(),"")</f>
        <v/>
      </c>
    </row>
    <row r="159">
      <c r="A159" s="8" t="n"/>
      <c r="B159" s="8" t="n"/>
      <c r="C159" s="6">
        <f>TRIM(A159&amp;"")</f>
        <v/>
      </c>
      <c r="D159" s="6">
        <f>IF(C159="","",SUBSTITUTE(SUBSTITUTE(SUBSTITUTE(SUBSTITUTE(SUBSTITUTE(SUBSTITUTE(SUBSTITUTE(UPPER(TRIM(B159&amp;"")),"₹",""),"RS.",""),"RS",""),"INR",""),"$",""),",","")," ",""))</f>
        <v/>
      </c>
      <c r="E159" s="6">
        <f>IF(C159="","",IF(RIGHT(D159,2)="CR","Cr",IF(RIGHT(D159,2)="DR","Dr","")))</f>
        <v/>
      </c>
      <c r="F159" s="6">
        <f>IF(C159="","",IF(E159&lt;&gt;"",LEFT(D159,LEN(D159)-2),D159))</f>
        <v/>
      </c>
      <c r="G159" s="13">
        <f>IF(C159="","",IF(OR(IF(AND(LEFT(F159,1)="(",RIGHT(F159,1)=")"),MID(F159,2,LEN(F159)-2),F159)="",IF(AND(LEFT(F159,1)="(",RIGHT(F159,1)=")"),MID(F159,2,LEN(F159)-2),F159)="-"),0,IFERROR(VALUE(IF(AND(LEFT(F159,1)="(",RIGHT(F159,1)=")"),MID(F159,2,LEN(F159)-2),F159))*IF(AND(LEFT(F159,1)="(",RIGHT(F159,1)=")"),-1,1)*IF(E159="Cr",Setup!$B$6,1),"ERR")))</f>
        <v/>
      </c>
      <c r="H159" s="6">
        <f>IF(C159="","",IF(ISNUMBER(G159),1,0))</f>
        <v/>
      </c>
      <c r="I159" s="6">
        <f>IF(C159="","",IF(SUMPRODUCT(($C$12:$C$1511=C159)*1)&gt;1,1,0))</f>
        <v/>
      </c>
      <c r="J159" s="6">
        <f>IF(C159="","",SUMPRODUCT((Mapping!$F$5:$F$504=Setup!$B$4&amp;"||"&amp;C159)*ROW(Mapping!$F$5:$F$504)))</f>
        <v/>
      </c>
      <c r="K159" s="6">
        <f>IF(C159="","",IF(J159=0,"UNMAPPED",LOWER(INDEX(Mapping!$D$1:$D$504,J159))))</f>
        <v/>
      </c>
      <c r="L159" s="6">
        <f>IF(K159="mapped",TRIM(INDEX(Mapping!$C$1:$C$504,J159)),"")</f>
        <v/>
      </c>
      <c r="M159" s="6">
        <f>IF(C159="","",IF(SUMPRODUCT(($C$12:C159=C159)*1)=1,1,0))</f>
        <v/>
      </c>
      <c r="N159" s="6">
        <f>IF(AND(K159="UNMAPPED",M159=1),ROW(),"")</f>
        <v/>
      </c>
      <c r="O159" s="6">
        <f>IF(AND(I159=1,M159=1),ROW(),"")</f>
        <v/>
      </c>
      <c r="P159" s="6">
        <f>IF(AND(K159="ignored",M159=1),ROW(),"")</f>
        <v/>
      </c>
    </row>
    <row r="160">
      <c r="A160" s="8" t="n"/>
      <c r="B160" s="8" t="n"/>
      <c r="C160" s="6">
        <f>TRIM(A160&amp;"")</f>
        <v/>
      </c>
      <c r="D160" s="6">
        <f>IF(C160="","",SUBSTITUTE(SUBSTITUTE(SUBSTITUTE(SUBSTITUTE(SUBSTITUTE(SUBSTITUTE(SUBSTITUTE(UPPER(TRIM(B160&amp;"")),"₹",""),"RS.",""),"RS",""),"INR",""),"$",""),",","")," ",""))</f>
        <v/>
      </c>
      <c r="E160" s="6">
        <f>IF(C160="","",IF(RIGHT(D160,2)="CR","Cr",IF(RIGHT(D160,2)="DR","Dr","")))</f>
        <v/>
      </c>
      <c r="F160" s="6">
        <f>IF(C160="","",IF(E160&lt;&gt;"",LEFT(D160,LEN(D160)-2),D160))</f>
        <v/>
      </c>
      <c r="G160" s="13">
        <f>IF(C160="","",IF(OR(IF(AND(LEFT(F160,1)="(",RIGHT(F160,1)=")"),MID(F160,2,LEN(F160)-2),F160)="",IF(AND(LEFT(F160,1)="(",RIGHT(F160,1)=")"),MID(F160,2,LEN(F160)-2),F160)="-"),0,IFERROR(VALUE(IF(AND(LEFT(F160,1)="(",RIGHT(F160,1)=")"),MID(F160,2,LEN(F160)-2),F160))*IF(AND(LEFT(F160,1)="(",RIGHT(F160,1)=")"),-1,1)*IF(E160="Cr",Setup!$B$6,1),"ERR")))</f>
        <v/>
      </c>
      <c r="H160" s="6">
        <f>IF(C160="","",IF(ISNUMBER(G160),1,0))</f>
        <v/>
      </c>
      <c r="I160" s="6">
        <f>IF(C160="","",IF(SUMPRODUCT(($C$12:$C$1511=C160)*1)&gt;1,1,0))</f>
        <v/>
      </c>
      <c r="J160" s="6">
        <f>IF(C160="","",SUMPRODUCT((Mapping!$F$5:$F$504=Setup!$B$4&amp;"||"&amp;C160)*ROW(Mapping!$F$5:$F$504)))</f>
        <v/>
      </c>
      <c r="K160" s="6">
        <f>IF(C160="","",IF(J160=0,"UNMAPPED",LOWER(INDEX(Mapping!$D$1:$D$504,J160))))</f>
        <v/>
      </c>
      <c r="L160" s="6">
        <f>IF(K160="mapped",TRIM(INDEX(Mapping!$C$1:$C$504,J160)),"")</f>
        <v/>
      </c>
      <c r="M160" s="6">
        <f>IF(C160="","",IF(SUMPRODUCT(($C$12:C160=C160)*1)=1,1,0))</f>
        <v/>
      </c>
      <c r="N160" s="6">
        <f>IF(AND(K160="UNMAPPED",M160=1),ROW(),"")</f>
        <v/>
      </c>
      <c r="O160" s="6">
        <f>IF(AND(I160=1,M160=1),ROW(),"")</f>
        <v/>
      </c>
      <c r="P160" s="6">
        <f>IF(AND(K160="ignored",M160=1),ROW(),"")</f>
        <v/>
      </c>
    </row>
    <row r="161">
      <c r="A161" s="8" t="n"/>
      <c r="B161" s="8" t="n"/>
      <c r="C161" s="6">
        <f>TRIM(A161&amp;"")</f>
        <v/>
      </c>
      <c r="D161" s="6">
        <f>IF(C161="","",SUBSTITUTE(SUBSTITUTE(SUBSTITUTE(SUBSTITUTE(SUBSTITUTE(SUBSTITUTE(SUBSTITUTE(UPPER(TRIM(B161&amp;"")),"₹",""),"RS.",""),"RS",""),"INR",""),"$",""),",","")," ",""))</f>
        <v/>
      </c>
      <c r="E161" s="6">
        <f>IF(C161="","",IF(RIGHT(D161,2)="CR","Cr",IF(RIGHT(D161,2)="DR","Dr","")))</f>
        <v/>
      </c>
      <c r="F161" s="6">
        <f>IF(C161="","",IF(E161&lt;&gt;"",LEFT(D161,LEN(D161)-2),D161))</f>
        <v/>
      </c>
      <c r="G161" s="13">
        <f>IF(C161="","",IF(OR(IF(AND(LEFT(F161,1)="(",RIGHT(F161,1)=")"),MID(F161,2,LEN(F161)-2),F161)="",IF(AND(LEFT(F161,1)="(",RIGHT(F161,1)=")"),MID(F161,2,LEN(F161)-2),F161)="-"),0,IFERROR(VALUE(IF(AND(LEFT(F161,1)="(",RIGHT(F161,1)=")"),MID(F161,2,LEN(F161)-2),F161))*IF(AND(LEFT(F161,1)="(",RIGHT(F161,1)=")"),-1,1)*IF(E161="Cr",Setup!$B$6,1),"ERR")))</f>
        <v/>
      </c>
      <c r="H161" s="6">
        <f>IF(C161="","",IF(ISNUMBER(G161),1,0))</f>
        <v/>
      </c>
      <c r="I161" s="6">
        <f>IF(C161="","",IF(SUMPRODUCT(($C$12:$C$1511=C161)*1)&gt;1,1,0))</f>
        <v/>
      </c>
      <c r="J161" s="6">
        <f>IF(C161="","",SUMPRODUCT((Mapping!$F$5:$F$504=Setup!$B$4&amp;"||"&amp;C161)*ROW(Mapping!$F$5:$F$504)))</f>
        <v/>
      </c>
      <c r="K161" s="6">
        <f>IF(C161="","",IF(J161=0,"UNMAPPED",LOWER(INDEX(Mapping!$D$1:$D$504,J161))))</f>
        <v/>
      </c>
      <c r="L161" s="6">
        <f>IF(K161="mapped",TRIM(INDEX(Mapping!$C$1:$C$504,J161)),"")</f>
        <v/>
      </c>
      <c r="M161" s="6">
        <f>IF(C161="","",IF(SUMPRODUCT(($C$12:C161=C161)*1)=1,1,0))</f>
        <v/>
      </c>
      <c r="N161" s="6">
        <f>IF(AND(K161="UNMAPPED",M161=1),ROW(),"")</f>
        <v/>
      </c>
      <c r="O161" s="6">
        <f>IF(AND(I161=1,M161=1),ROW(),"")</f>
        <v/>
      </c>
      <c r="P161" s="6">
        <f>IF(AND(K161="ignored",M161=1),ROW(),"")</f>
        <v/>
      </c>
    </row>
    <row r="162">
      <c r="A162" s="8" t="n"/>
      <c r="B162" s="8" t="n"/>
      <c r="C162" s="6">
        <f>TRIM(A162&amp;"")</f>
        <v/>
      </c>
      <c r="D162" s="6">
        <f>IF(C162="","",SUBSTITUTE(SUBSTITUTE(SUBSTITUTE(SUBSTITUTE(SUBSTITUTE(SUBSTITUTE(SUBSTITUTE(UPPER(TRIM(B162&amp;"")),"₹",""),"RS.",""),"RS",""),"INR",""),"$",""),",","")," ",""))</f>
        <v/>
      </c>
      <c r="E162" s="6">
        <f>IF(C162="","",IF(RIGHT(D162,2)="CR","Cr",IF(RIGHT(D162,2)="DR","Dr","")))</f>
        <v/>
      </c>
      <c r="F162" s="6">
        <f>IF(C162="","",IF(E162&lt;&gt;"",LEFT(D162,LEN(D162)-2),D162))</f>
        <v/>
      </c>
      <c r="G162" s="13">
        <f>IF(C162="","",IF(OR(IF(AND(LEFT(F162,1)="(",RIGHT(F162,1)=")"),MID(F162,2,LEN(F162)-2),F162)="",IF(AND(LEFT(F162,1)="(",RIGHT(F162,1)=")"),MID(F162,2,LEN(F162)-2),F162)="-"),0,IFERROR(VALUE(IF(AND(LEFT(F162,1)="(",RIGHT(F162,1)=")"),MID(F162,2,LEN(F162)-2),F162))*IF(AND(LEFT(F162,1)="(",RIGHT(F162,1)=")"),-1,1)*IF(E162="Cr",Setup!$B$6,1),"ERR")))</f>
        <v/>
      </c>
      <c r="H162" s="6">
        <f>IF(C162="","",IF(ISNUMBER(G162),1,0))</f>
        <v/>
      </c>
      <c r="I162" s="6">
        <f>IF(C162="","",IF(SUMPRODUCT(($C$12:$C$1511=C162)*1)&gt;1,1,0))</f>
        <v/>
      </c>
      <c r="J162" s="6">
        <f>IF(C162="","",SUMPRODUCT((Mapping!$F$5:$F$504=Setup!$B$4&amp;"||"&amp;C162)*ROW(Mapping!$F$5:$F$504)))</f>
        <v/>
      </c>
      <c r="K162" s="6">
        <f>IF(C162="","",IF(J162=0,"UNMAPPED",LOWER(INDEX(Mapping!$D$1:$D$504,J162))))</f>
        <v/>
      </c>
      <c r="L162" s="6">
        <f>IF(K162="mapped",TRIM(INDEX(Mapping!$C$1:$C$504,J162)),"")</f>
        <v/>
      </c>
      <c r="M162" s="6">
        <f>IF(C162="","",IF(SUMPRODUCT(($C$12:C162=C162)*1)=1,1,0))</f>
        <v/>
      </c>
      <c r="N162" s="6">
        <f>IF(AND(K162="UNMAPPED",M162=1),ROW(),"")</f>
        <v/>
      </c>
      <c r="O162" s="6">
        <f>IF(AND(I162=1,M162=1),ROW(),"")</f>
        <v/>
      </c>
      <c r="P162" s="6">
        <f>IF(AND(K162="ignored",M162=1),ROW(),"")</f>
        <v/>
      </c>
    </row>
    <row r="163">
      <c r="A163" s="8" t="n"/>
      <c r="B163" s="8" t="n"/>
      <c r="C163" s="6">
        <f>TRIM(A163&amp;"")</f>
        <v/>
      </c>
      <c r="D163" s="6">
        <f>IF(C163="","",SUBSTITUTE(SUBSTITUTE(SUBSTITUTE(SUBSTITUTE(SUBSTITUTE(SUBSTITUTE(SUBSTITUTE(UPPER(TRIM(B163&amp;"")),"₹",""),"RS.",""),"RS",""),"INR",""),"$",""),",","")," ",""))</f>
        <v/>
      </c>
      <c r="E163" s="6">
        <f>IF(C163="","",IF(RIGHT(D163,2)="CR","Cr",IF(RIGHT(D163,2)="DR","Dr","")))</f>
        <v/>
      </c>
      <c r="F163" s="6">
        <f>IF(C163="","",IF(E163&lt;&gt;"",LEFT(D163,LEN(D163)-2),D163))</f>
        <v/>
      </c>
      <c r="G163" s="13">
        <f>IF(C163="","",IF(OR(IF(AND(LEFT(F163,1)="(",RIGHT(F163,1)=")"),MID(F163,2,LEN(F163)-2),F163)="",IF(AND(LEFT(F163,1)="(",RIGHT(F163,1)=")"),MID(F163,2,LEN(F163)-2),F163)="-"),0,IFERROR(VALUE(IF(AND(LEFT(F163,1)="(",RIGHT(F163,1)=")"),MID(F163,2,LEN(F163)-2),F163))*IF(AND(LEFT(F163,1)="(",RIGHT(F163,1)=")"),-1,1)*IF(E163="Cr",Setup!$B$6,1),"ERR")))</f>
        <v/>
      </c>
      <c r="H163" s="6">
        <f>IF(C163="","",IF(ISNUMBER(G163),1,0))</f>
        <v/>
      </c>
      <c r="I163" s="6">
        <f>IF(C163="","",IF(SUMPRODUCT(($C$12:$C$1511=C163)*1)&gt;1,1,0))</f>
        <v/>
      </c>
      <c r="J163" s="6">
        <f>IF(C163="","",SUMPRODUCT((Mapping!$F$5:$F$504=Setup!$B$4&amp;"||"&amp;C163)*ROW(Mapping!$F$5:$F$504)))</f>
        <v/>
      </c>
      <c r="K163" s="6">
        <f>IF(C163="","",IF(J163=0,"UNMAPPED",LOWER(INDEX(Mapping!$D$1:$D$504,J163))))</f>
        <v/>
      </c>
      <c r="L163" s="6">
        <f>IF(K163="mapped",TRIM(INDEX(Mapping!$C$1:$C$504,J163)),"")</f>
        <v/>
      </c>
      <c r="M163" s="6">
        <f>IF(C163="","",IF(SUMPRODUCT(($C$12:C163=C163)*1)=1,1,0))</f>
        <v/>
      </c>
      <c r="N163" s="6">
        <f>IF(AND(K163="UNMAPPED",M163=1),ROW(),"")</f>
        <v/>
      </c>
      <c r="O163" s="6">
        <f>IF(AND(I163=1,M163=1),ROW(),"")</f>
        <v/>
      </c>
      <c r="P163" s="6">
        <f>IF(AND(K163="ignored",M163=1),ROW(),"")</f>
        <v/>
      </c>
    </row>
    <row r="164">
      <c r="A164" s="8" t="n"/>
      <c r="B164" s="8" t="n"/>
      <c r="C164" s="6">
        <f>TRIM(A164&amp;"")</f>
        <v/>
      </c>
      <c r="D164" s="6">
        <f>IF(C164="","",SUBSTITUTE(SUBSTITUTE(SUBSTITUTE(SUBSTITUTE(SUBSTITUTE(SUBSTITUTE(SUBSTITUTE(UPPER(TRIM(B164&amp;"")),"₹",""),"RS.",""),"RS",""),"INR",""),"$",""),",","")," ",""))</f>
        <v/>
      </c>
      <c r="E164" s="6">
        <f>IF(C164="","",IF(RIGHT(D164,2)="CR","Cr",IF(RIGHT(D164,2)="DR","Dr","")))</f>
        <v/>
      </c>
      <c r="F164" s="6">
        <f>IF(C164="","",IF(E164&lt;&gt;"",LEFT(D164,LEN(D164)-2),D164))</f>
        <v/>
      </c>
      <c r="G164" s="13">
        <f>IF(C164="","",IF(OR(IF(AND(LEFT(F164,1)="(",RIGHT(F164,1)=")"),MID(F164,2,LEN(F164)-2),F164)="",IF(AND(LEFT(F164,1)="(",RIGHT(F164,1)=")"),MID(F164,2,LEN(F164)-2),F164)="-"),0,IFERROR(VALUE(IF(AND(LEFT(F164,1)="(",RIGHT(F164,1)=")"),MID(F164,2,LEN(F164)-2),F164))*IF(AND(LEFT(F164,1)="(",RIGHT(F164,1)=")"),-1,1)*IF(E164="Cr",Setup!$B$6,1),"ERR")))</f>
        <v/>
      </c>
      <c r="H164" s="6">
        <f>IF(C164="","",IF(ISNUMBER(G164),1,0))</f>
        <v/>
      </c>
      <c r="I164" s="6">
        <f>IF(C164="","",IF(SUMPRODUCT(($C$12:$C$1511=C164)*1)&gt;1,1,0))</f>
        <v/>
      </c>
      <c r="J164" s="6">
        <f>IF(C164="","",SUMPRODUCT((Mapping!$F$5:$F$504=Setup!$B$4&amp;"||"&amp;C164)*ROW(Mapping!$F$5:$F$504)))</f>
        <v/>
      </c>
      <c r="K164" s="6">
        <f>IF(C164="","",IF(J164=0,"UNMAPPED",LOWER(INDEX(Mapping!$D$1:$D$504,J164))))</f>
        <v/>
      </c>
      <c r="L164" s="6">
        <f>IF(K164="mapped",TRIM(INDEX(Mapping!$C$1:$C$504,J164)),"")</f>
        <v/>
      </c>
      <c r="M164" s="6">
        <f>IF(C164="","",IF(SUMPRODUCT(($C$12:C164=C164)*1)=1,1,0))</f>
        <v/>
      </c>
      <c r="N164" s="6">
        <f>IF(AND(K164="UNMAPPED",M164=1),ROW(),"")</f>
        <v/>
      </c>
      <c r="O164" s="6">
        <f>IF(AND(I164=1,M164=1),ROW(),"")</f>
        <v/>
      </c>
      <c r="P164" s="6">
        <f>IF(AND(K164="ignored",M164=1),ROW(),"")</f>
        <v/>
      </c>
    </row>
    <row r="165">
      <c r="A165" s="8" t="n"/>
      <c r="B165" s="8" t="n"/>
      <c r="C165" s="6">
        <f>TRIM(A165&amp;"")</f>
        <v/>
      </c>
      <c r="D165" s="6">
        <f>IF(C165="","",SUBSTITUTE(SUBSTITUTE(SUBSTITUTE(SUBSTITUTE(SUBSTITUTE(SUBSTITUTE(SUBSTITUTE(UPPER(TRIM(B165&amp;"")),"₹",""),"RS.",""),"RS",""),"INR",""),"$",""),",","")," ",""))</f>
        <v/>
      </c>
      <c r="E165" s="6">
        <f>IF(C165="","",IF(RIGHT(D165,2)="CR","Cr",IF(RIGHT(D165,2)="DR","Dr","")))</f>
        <v/>
      </c>
      <c r="F165" s="6">
        <f>IF(C165="","",IF(E165&lt;&gt;"",LEFT(D165,LEN(D165)-2),D165))</f>
        <v/>
      </c>
      <c r="G165" s="13">
        <f>IF(C165="","",IF(OR(IF(AND(LEFT(F165,1)="(",RIGHT(F165,1)=")"),MID(F165,2,LEN(F165)-2),F165)="",IF(AND(LEFT(F165,1)="(",RIGHT(F165,1)=")"),MID(F165,2,LEN(F165)-2),F165)="-"),0,IFERROR(VALUE(IF(AND(LEFT(F165,1)="(",RIGHT(F165,1)=")"),MID(F165,2,LEN(F165)-2),F165))*IF(AND(LEFT(F165,1)="(",RIGHT(F165,1)=")"),-1,1)*IF(E165="Cr",Setup!$B$6,1),"ERR")))</f>
        <v/>
      </c>
      <c r="H165" s="6">
        <f>IF(C165="","",IF(ISNUMBER(G165),1,0))</f>
        <v/>
      </c>
      <c r="I165" s="6">
        <f>IF(C165="","",IF(SUMPRODUCT(($C$12:$C$1511=C165)*1)&gt;1,1,0))</f>
        <v/>
      </c>
      <c r="J165" s="6">
        <f>IF(C165="","",SUMPRODUCT((Mapping!$F$5:$F$504=Setup!$B$4&amp;"||"&amp;C165)*ROW(Mapping!$F$5:$F$504)))</f>
        <v/>
      </c>
      <c r="K165" s="6">
        <f>IF(C165="","",IF(J165=0,"UNMAPPED",LOWER(INDEX(Mapping!$D$1:$D$504,J165))))</f>
        <v/>
      </c>
      <c r="L165" s="6">
        <f>IF(K165="mapped",TRIM(INDEX(Mapping!$C$1:$C$504,J165)),"")</f>
        <v/>
      </c>
      <c r="M165" s="6">
        <f>IF(C165="","",IF(SUMPRODUCT(($C$12:C165=C165)*1)=1,1,0))</f>
        <v/>
      </c>
      <c r="N165" s="6">
        <f>IF(AND(K165="UNMAPPED",M165=1),ROW(),"")</f>
        <v/>
      </c>
      <c r="O165" s="6">
        <f>IF(AND(I165=1,M165=1),ROW(),"")</f>
        <v/>
      </c>
      <c r="P165" s="6">
        <f>IF(AND(K165="ignored",M165=1),ROW(),"")</f>
        <v/>
      </c>
    </row>
    <row r="166">
      <c r="A166" s="8" t="n"/>
      <c r="B166" s="8" t="n"/>
      <c r="C166" s="6">
        <f>TRIM(A166&amp;"")</f>
        <v/>
      </c>
      <c r="D166" s="6">
        <f>IF(C166="","",SUBSTITUTE(SUBSTITUTE(SUBSTITUTE(SUBSTITUTE(SUBSTITUTE(SUBSTITUTE(SUBSTITUTE(UPPER(TRIM(B166&amp;"")),"₹",""),"RS.",""),"RS",""),"INR",""),"$",""),",","")," ",""))</f>
        <v/>
      </c>
      <c r="E166" s="6">
        <f>IF(C166="","",IF(RIGHT(D166,2)="CR","Cr",IF(RIGHT(D166,2)="DR","Dr","")))</f>
        <v/>
      </c>
      <c r="F166" s="6">
        <f>IF(C166="","",IF(E166&lt;&gt;"",LEFT(D166,LEN(D166)-2),D166))</f>
        <v/>
      </c>
      <c r="G166" s="13">
        <f>IF(C166="","",IF(OR(IF(AND(LEFT(F166,1)="(",RIGHT(F166,1)=")"),MID(F166,2,LEN(F166)-2),F166)="",IF(AND(LEFT(F166,1)="(",RIGHT(F166,1)=")"),MID(F166,2,LEN(F166)-2),F166)="-"),0,IFERROR(VALUE(IF(AND(LEFT(F166,1)="(",RIGHT(F166,1)=")"),MID(F166,2,LEN(F166)-2),F166))*IF(AND(LEFT(F166,1)="(",RIGHT(F166,1)=")"),-1,1)*IF(E166="Cr",Setup!$B$6,1),"ERR")))</f>
        <v/>
      </c>
      <c r="H166" s="6">
        <f>IF(C166="","",IF(ISNUMBER(G166),1,0))</f>
        <v/>
      </c>
      <c r="I166" s="6">
        <f>IF(C166="","",IF(SUMPRODUCT(($C$12:$C$1511=C166)*1)&gt;1,1,0))</f>
        <v/>
      </c>
      <c r="J166" s="6">
        <f>IF(C166="","",SUMPRODUCT((Mapping!$F$5:$F$504=Setup!$B$4&amp;"||"&amp;C166)*ROW(Mapping!$F$5:$F$504)))</f>
        <v/>
      </c>
      <c r="K166" s="6">
        <f>IF(C166="","",IF(J166=0,"UNMAPPED",LOWER(INDEX(Mapping!$D$1:$D$504,J166))))</f>
        <v/>
      </c>
      <c r="L166" s="6">
        <f>IF(K166="mapped",TRIM(INDEX(Mapping!$C$1:$C$504,J166)),"")</f>
        <v/>
      </c>
      <c r="M166" s="6">
        <f>IF(C166="","",IF(SUMPRODUCT(($C$12:C166=C166)*1)=1,1,0))</f>
        <v/>
      </c>
      <c r="N166" s="6">
        <f>IF(AND(K166="UNMAPPED",M166=1),ROW(),"")</f>
        <v/>
      </c>
      <c r="O166" s="6">
        <f>IF(AND(I166=1,M166=1),ROW(),"")</f>
        <v/>
      </c>
      <c r="P166" s="6">
        <f>IF(AND(K166="ignored",M166=1),ROW(),"")</f>
        <v/>
      </c>
    </row>
    <row r="167">
      <c r="A167" s="8" t="n"/>
      <c r="B167" s="8" t="n"/>
      <c r="C167" s="6">
        <f>TRIM(A167&amp;"")</f>
        <v/>
      </c>
      <c r="D167" s="6">
        <f>IF(C167="","",SUBSTITUTE(SUBSTITUTE(SUBSTITUTE(SUBSTITUTE(SUBSTITUTE(SUBSTITUTE(SUBSTITUTE(UPPER(TRIM(B167&amp;"")),"₹",""),"RS.",""),"RS",""),"INR",""),"$",""),",","")," ",""))</f>
        <v/>
      </c>
      <c r="E167" s="6">
        <f>IF(C167="","",IF(RIGHT(D167,2)="CR","Cr",IF(RIGHT(D167,2)="DR","Dr","")))</f>
        <v/>
      </c>
      <c r="F167" s="6">
        <f>IF(C167="","",IF(E167&lt;&gt;"",LEFT(D167,LEN(D167)-2),D167))</f>
        <v/>
      </c>
      <c r="G167" s="13">
        <f>IF(C167="","",IF(OR(IF(AND(LEFT(F167,1)="(",RIGHT(F167,1)=")"),MID(F167,2,LEN(F167)-2),F167)="",IF(AND(LEFT(F167,1)="(",RIGHT(F167,1)=")"),MID(F167,2,LEN(F167)-2),F167)="-"),0,IFERROR(VALUE(IF(AND(LEFT(F167,1)="(",RIGHT(F167,1)=")"),MID(F167,2,LEN(F167)-2),F167))*IF(AND(LEFT(F167,1)="(",RIGHT(F167,1)=")"),-1,1)*IF(E167="Cr",Setup!$B$6,1),"ERR")))</f>
        <v/>
      </c>
      <c r="H167" s="6">
        <f>IF(C167="","",IF(ISNUMBER(G167),1,0))</f>
        <v/>
      </c>
      <c r="I167" s="6">
        <f>IF(C167="","",IF(SUMPRODUCT(($C$12:$C$1511=C167)*1)&gt;1,1,0))</f>
        <v/>
      </c>
      <c r="J167" s="6">
        <f>IF(C167="","",SUMPRODUCT((Mapping!$F$5:$F$504=Setup!$B$4&amp;"||"&amp;C167)*ROW(Mapping!$F$5:$F$504)))</f>
        <v/>
      </c>
      <c r="K167" s="6">
        <f>IF(C167="","",IF(J167=0,"UNMAPPED",LOWER(INDEX(Mapping!$D$1:$D$504,J167))))</f>
        <v/>
      </c>
      <c r="L167" s="6">
        <f>IF(K167="mapped",TRIM(INDEX(Mapping!$C$1:$C$504,J167)),"")</f>
        <v/>
      </c>
      <c r="M167" s="6">
        <f>IF(C167="","",IF(SUMPRODUCT(($C$12:C167=C167)*1)=1,1,0))</f>
        <v/>
      </c>
      <c r="N167" s="6">
        <f>IF(AND(K167="UNMAPPED",M167=1),ROW(),"")</f>
        <v/>
      </c>
      <c r="O167" s="6">
        <f>IF(AND(I167=1,M167=1),ROW(),"")</f>
        <v/>
      </c>
      <c r="P167" s="6">
        <f>IF(AND(K167="ignored",M167=1),ROW(),"")</f>
        <v/>
      </c>
    </row>
    <row r="168">
      <c r="A168" s="8" t="n"/>
      <c r="B168" s="8" t="n"/>
      <c r="C168" s="6">
        <f>TRIM(A168&amp;"")</f>
        <v/>
      </c>
      <c r="D168" s="6">
        <f>IF(C168="","",SUBSTITUTE(SUBSTITUTE(SUBSTITUTE(SUBSTITUTE(SUBSTITUTE(SUBSTITUTE(SUBSTITUTE(UPPER(TRIM(B168&amp;"")),"₹",""),"RS.",""),"RS",""),"INR",""),"$",""),",","")," ",""))</f>
        <v/>
      </c>
      <c r="E168" s="6">
        <f>IF(C168="","",IF(RIGHT(D168,2)="CR","Cr",IF(RIGHT(D168,2)="DR","Dr","")))</f>
        <v/>
      </c>
      <c r="F168" s="6">
        <f>IF(C168="","",IF(E168&lt;&gt;"",LEFT(D168,LEN(D168)-2),D168))</f>
        <v/>
      </c>
      <c r="G168" s="13">
        <f>IF(C168="","",IF(OR(IF(AND(LEFT(F168,1)="(",RIGHT(F168,1)=")"),MID(F168,2,LEN(F168)-2),F168)="",IF(AND(LEFT(F168,1)="(",RIGHT(F168,1)=")"),MID(F168,2,LEN(F168)-2),F168)="-"),0,IFERROR(VALUE(IF(AND(LEFT(F168,1)="(",RIGHT(F168,1)=")"),MID(F168,2,LEN(F168)-2),F168))*IF(AND(LEFT(F168,1)="(",RIGHT(F168,1)=")"),-1,1)*IF(E168="Cr",Setup!$B$6,1),"ERR")))</f>
        <v/>
      </c>
      <c r="H168" s="6">
        <f>IF(C168="","",IF(ISNUMBER(G168),1,0))</f>
        <v/>
      </c>
      <c r="I168" s="6">
        <f>IF(C168="","",IF(SUMPRODUCT(($C$12:$C$1511=C168)*1)&gt;1,1,0))</f>
        <v/>
      </c>
      <c r="J168" s="6">
        <f>IF(C168="","",SUMPRODUCT((Mapping!$F$5:$F$504=Setup!$B$4&amp;"||"&amp;C168)*ROW(Mapping!$F$5:$F$504)))</f>
        <v/>
      </c>
      <c r="K168" s="6">
        <f>IF(C168="","",IF(J168=0,"UNMAPPED",LOWER(INDEX(Mapping!$D$1:$D$504,J168))))</f>
        <v/>
      </c>
      <c r="L168" s="6">
        <f>IF(K168="mapped",TRIM(INDEX(Mapping!$C$1:$C$504,J168)),"")</f>
        <v/>
      </c>
      <c r="M168" s="6">
        <f>IF(C168="","",IF(SUMPRODUCT(($C$12:C168=C168)*1)=1,1,0))</f>
        <v/>
      </c>
      <c r="N168" s="6">
        <f>IF(AND(K168="UNMAPPED",M168=1),ROW(),"")</f>
        <v/>
      </c>
      <c r="O168" s="6">
        <f>IF(AND(I168=1,M168=1),ROW(),"")</f>
        <v/>
      </c>
      <c r="P168" s="6">
        <f>IF(AND(K168="ignored",M168=1),ROW(),"")</f>
        <v/>
      </c>
    </row>
    <row r="169">
      <c r="A169" s="8" t="n"/>
      <c r="B169" s="8" t="n"/>
      <c r="C169" s="6">
        <f>TRIM(A169&amp;"")</f>
        <v/>
      </c>
      <c r="D169" s="6">
        <f>IF(C169="","",SUBSTITUTE(SUBSTITUTE(SUBSTITUTE(SUBSTITUTE(SUBSTITUTE(SUBSTITUTE(SUBSTITUTE(UPPER(TRIM(B169&amp;"")),"₹",""),"RS.",""),"RS",""),"INR",""),"$",""),",","")," ",""))</f>
        <v/>
      </c>
      <c r="E169" s="6">
        <f>IF(C169="","",IF(RIGHT(D169,2)="CR","Cr",IF(RIGHT(D169,2)="DR","Dr","")))</f>
        <v/>
      </c>
      <c r="F169" s="6">
        <f>IF(C169="","",IF(E169&lt;&gt;"",LEFT(D169,LEN(D169)-2),D169))</f>
        <v/>
      </c>
      <c r="G169" s="13">
        <f>IF(C169="","",IF(OR(IF(AND(LEFT(F169,1)="(",RIGHT(F169,1)=")"),MID(F169,2,LEN(F169)-2),F169)="",IF(AND(LEFT(F169,1)="(",RIGHT(F169,1)=")"),MID(F169,2,LEN(F169)-2),F169)="-"),0,IFERROR(VALUE(IF(AND(LEFT(F169,1)="(",RIGHT(F169,1)=")"),MID(F169,2,LEN(F169)-2),F169))*IF(AND(LEFT(F169,1)="(",RIGHT(F169,1)=")"),-1,1)*IF(E169="Cr",Setup!$B$6,1),"ERR")))</f>
        <v/>
      </c>
      <c r="H169" s="6">
        <f>IF(C169="","",IF(ISNUMBER(G169),1,0))</f>
        <v/>
      </c>
      <c r="I169" s="6">
        <f>IF(C169="","",IF(SUMPRODUCT(($C$12:$C$1511=C169)*1)&gt;1,1,0))</f>
        <v/>
      </c>
      <c r="J169" s="6">
        <f>IF(C169="","",SUMPRODUCT((Mapping!$F$5:$F$504=Setup!$B$4&amp;"||"&amp;C169)*ROW(Mapping!$F$5:$F$504)))</f>
        <v/>
      </c>
      <c r="K169" s="6">
        <f>IF(C169="","",IF(J169=0,"UNMAPPED",LOWER(INDEX(Mapping!$D$1:$D$504,J169))))</f>
        <v/>
      </c>
      <c r="L169" s="6">
        <f>IF(K169="mapped",TRIM(INDEX(Mapping!$C$1:$C$504,J169)),"")</f>
        <v/>
      </c>
      <c r="M169" s="6">
        <f>IF(C169="","",IF(SUMPRODUCT(($C$12:C169=C169)*1)=1,1,0))</f>
        <v/>
      </c>
      <c r="N169" s="6">
        <f>IF(AND(K169="UNMAPPED",M169=1),ROW(),"")</f>
        <v/>
      </c>
      <c r="O169" s="6">
        <f>IF(AND(I169=1,M169=1),ROW(),"")</f>
        <v/>
      </c>
      <c r="P169" s="6">
        <f>IF(AND(K169="ignored",M169=1),ROW(),"")</f>
        <v/>
      </c>
    </row>
    <row r="170">
      <c r="A170" s="8" t="n"/>
      <c r="B170" s="8" t="n"/>
      <c r="C170" s="6">
        <f>TRIM(A170&amp;"")</f>
        <v/>
      </c>
      <c r="D170" s="6">
        <f>IF(C170="","",SUBSTITUTE(SUBSTITUTE(SUBSTITUTE(SUBSTITUTE(SUBSTITUTE(SUBSTITUTE(SUBSTITUTE(UPPER(TRIM(B170&amp;"")),"₹",""),"RS.",""),"RS",""),"INR",""),"$",""),",","")," ",""))</f>
        <v/>
      </c>
      <c r="E170" s="6">
        <f>IF(C170="","",IF(RIGHT(D170,2)="CR","Cr",IF(RIGHT(D170,2)="DR","Dr","")))</f>
        <v/>
      </c>
      <c r="F170" s="6">
        <f>IF(C170="","",IF(E170&lt;&gt;"",LEFT(D170,LEN(D170)-2),D170))</f>
        <v/>
      </c>
      <c r="G170" s="13">
        <f>IF(C170="","",IF(OR(IF(AND(LEFT(F170,1)="(",RIGHT(F170,1)=")"),MID(F170,2,LEN(F170)-2),F170)="",IF(AND(LEFT(F170,1)="(",RIGHT(F170,1)=")"),MID(F170,2,LEN(F170)-2),F170)="-"),0,IFERROR(VALUE(IF(AND(LEFT(F170,1)="(",RIGHT(F170,1)=")"),MID(F170,2,LEN(F170)-2),F170))*IF(AND(LEFT(F170,1)="(",RIGHT(F170,1)=")"),-1,1)*IF(E170="Cr",Setup!$B$6,1),"ERR")))</f>
        <v/>
      </c>
      <c r="H170" s="6">
        <f>IF(C170="","",IF(ISNUMBER(G170),1,0))</f>
        <v/>
      </c>
      <c r="I170" s="6">
        <f>IF(C170="","",IF(SUMPRODUCT(($C$12:$C$1511=C170)*1)&gt;1,1,0))</f>
        <v/>
      </c>
      <c r="J170" s="6">
        <f>IF(C170="","",SUMPRODUCT((Mapping!$F$5:$F$504=Setup!$B$4&amp;"||"&amp;C170)*ROW(Mapping!$F$5:$F$504)))</f>
        <v/>
      </c>
      <c r="K170" s="6">
        <f>IF(C170="","",IF(J170=0,"UNMAPPED",LOWER(INDEX(Mapping!$D$1:$D$504,J170))))</f>
        <v/>
      </c>
      <c r="L170" s="6">
        <f>IF(K170="mapped",TRIM(INDEX(Mapping!$C$1:$C$504,J170)),"")</f>
        <v/>
      </c>
      <c r="M170" s="6">
        <f>IF(C170="","",IF(SUMPRODUCT(($C$12:C170=C170)*1)=1,1,0))</f>
        <v/>
      </c>
      <c r="N170" s="6">
        <f>IF(AND(K170="UNMAPPED",M170=1),ROW(),"")</f>
        <v/>
      </c>
      <c r="O170" s="6">
        <f>IF(AND(I170=1,M170=1),ROW(),"")</f>
        <v/>
      </c>
      <c r="P170" s="6">
        <f>IF(AND(K170="ignored",M170=1),ROW(),"")</f>
        <v/>
      </c>
    </row>
    <row r="171">
      <c r="A171" s="8" t="n"/>
      <c r="B171" s="8" t="n"/>
      <c r="C171" s="6">
        <f>TRIM(A171&amp;"")</f>
        <v/>
      </c>
      <c r="D171" s="6">
        <f>IF(C171="","",SUBSTITUTE(SUBSTITUTE(SUBSTITUTE(SUBSTITUTE(SUBSTITUTE(SUBSTITUTE(SUBSTITUTE(UPPER(TRIM(B171&amp;"")),"₹",""),"RS.",""),"RS",""),"INR",""),"$",""),",","")," ",""))</f>
        <v/>
      </c>
      <c r="E171" s="6">
        <f>IF(C171="","",IF(RIGHT(D171,2)="CR","Cr",IF(RIGHT(D171,2)="DR","Dr","")))</f>
        <v/>
      </c>
      <c r="F171" s="6">
        <f>IF(C171="","",IF(E171&lt;&gt;"",LEFT(D171,LEN(D171)-2),D171))</f>
        <v/>
      </c>
      <c r="G171" s="13">
        <f>IF(C171="","",IF(OR(IF(AND(LEFT(F171,1)="(",RIGHT(F171,1)=")"),MID(F171,2,LEN(F171)-2),F171)="",IF(AND(LEFT(F171,1)="(",RIGHT(F171,1)=")"),MID(F171,2,LEN(F171)-2),F171)="-"),0,IFERROR(VALUE(IF(AND(LEFT(F171,1)="(",RIGHT(F171,1)=")"),MID(F171,2,LEN(F171)-2),F171))*IF(AND(LEFT(F171,1)="(",RIGHT(F171,1)=")"),-1,1)*IF(E171="Cr",Setup!$B$6,1),"ERR")))</f>
        <v/>
      </c>
      <c r="H171" s="6">
        <f>IF(C171="","",IF(ISNUMBER(G171),1,0))</f>
        <v/>
      </c>
      <c r="I171" s="6">
        <f>IF(C171="","",IF(SUMPRODUCT(($C$12:$C$1511=C171)*1)&gt;1,1,0))</f>
        <v/>
      </c>
      <c r="J171" s="6">
        <f>IF(C171="","",SUMPRODUCT((Mapping!$F$5:$F$504=Setup!$B$4&amp;"||"&amp;C171)*ROW(Mapping!$F$5:$F$504)))</f>
        <v/>
      </c>
      <c r="K171" s="6">
        <f>IF(C171="","",IF(J171=0,"UNMAPPED",LOWER(INDEX(Mapping!$D$1:$D$504,J171))))</f>
        <v/>
      </c>
      <c r="L171" s="6">
        <f>IF(K171="mapped",TRIM(INDEX(Mapping!$C$1:$C$504,J171)),"")</f>
        <v/>
      </c>
      <c r="M171" s="6">
        <f>IF(C171="","",IF(SUMPRODUCT(($C$12:C171=C171)*1)=1,1,0))</f>
        <v/>
      </c>
      <c r="N171" s="6">
        <f>IF(AND(K171="UNMAPPED",M171=1),ROW(),"")</f>
        <v/>
      </c>
      <c r="O171" s="6">
        <f>IF(AND(I171=1,M171=1),ROW(),"")</f>
        <v/>
      </c>
      <c r="P171" s="6">
        <f>IF(AND(K171="ignored",M171=1),ROW(),"")</f>
        <v/>
      </c>
    </row>
    <row r="172">
      <c r="A172" s="8" t="n"/>
      <c r="B172" s="8" t="n"/>
      <c r="C172" s="6">
        <f>TRIM(A172&amp;"")</f>
        <v/>
      </c>
      <c r="D172" s="6">
        <f>IF(C172="","",SUBSTITUTE(SUBSTITUTE(SUBSTITUTE(SUBSTITUTE(SUBSTITUTE(SUBSTITUTE(SUBSTITUTE(UPPER(TRIM(B172&amp;"")),"₹",""),"RS.",""),"RS",""),"INR",""),"$",""),",","")," ",""))</f>
        <v/>
      </c>
      <c r="E172" s="6">
        <f>IF(C172="","",IF(RIGHT(D172,2)="CR","Cr",IF(RIGHT(D172,2)="DR","Dr","")))</f>
        <v/>
      </c>
      <c r="F172" s="6">
        <f>IF(C172="","",IF(E172&lt;&gt;"",LEFT(D172,LEN(D172)-2),D172))</f>
        <v/>
      </c>
      <c r="G172" s="13">
        <f>IF(C172="","",IF(OR(IF(AND(LEFT(F172,1)="(",RIGHT(F172,1)=")"),MID(F172,2,LEN(F172)-2),F172)="",IF(AND(LEFT(F172,1)="(",RIGHT(F172,1)=")"),MID(F172,2,LEN(F172)-2),F172)="-"),0,IFERROR(VALUE(IF(AND(LEFT(F172,1)="(",RIGHT(F172,1)=")"),MID(F172,2,LEN(F172)-2),F172))*IF(AND(LEFT(F172,1)="(",RIGHT(F172,1)=")"),-1,1)*IF(E172="Cr",Setup!$B$6,1),"ERR")))</f>
        <v/>
      </c>
      <c r="H172" s="6">
        <f>IF(C172="","",IF(ISNUMBER(G172),1,0))</f>
        <v/>
      </c>
      <c r="I172" s="6">
        <f>IF(C172="","",IF(SUMPRODUCT(($C$12:$C$1511=C172)*1)&gt;1,1,0))</f>
        <v/>
      </c>
      <c r="J172" s="6">
        <f>IF(C172="","",SUMPRODUCT((Mapping!$F$5:$F$504=Setup!$B$4&amp;"||"&amp;C172)*ROW(Mapping!$F$5:$F$504)))</f>
        <v/>
      </c>
      <c r="K172" s="6">
        <f>IF(C172="","",IF(J172=0,"UNMAPPED",LOWER(INDEX(Mapping!$D$1:$D$504,J172))))</f>
        <v/>
      </c>
      <c r="L172" s="6">
        <f>IF(K172="mapped",TRIM(INDEX(Mapping!$C$1:$C$504,J172)),"")</f>
        <v/>
      </c>
      <c r="M172" s="6">
        <f>IF(C172="","",IF(SUMPRODUCT(($C$12:C172=C172)*1)=1,1,0))</f>
        <v/>
      </c>
      <c r="N172" s="6">
        <f>IF(AND(K172="UNMAPPED",M172=1),ROW(),"")</f>
        <v/>
      </c>
      <c r="O172" s="6">
        <f>IF(AND(I172=1,M172=1),ROW(),"")</f>
        <v/>
      </c>
      <c r="P172" s="6">
        <f>IF(AND(K172="ignored",M172=1),ROW(),"")</f>
        <v/>
      </c>
    </row>
    <row r="173">
      <c r="A173" s="8" t="n"/>
      <c r="B173" s="8" t="n"/>
      <c r="C173" s="6">
        <f>TRIM(A173&amp;"")</f>
        <v/>
      </c>
      <c r="D173" s="6">
        <f>IF(C173="","",SUBSTITUTE(SUBSTITUTE(SUBSTITUTE(SUBSTITUTE(SUBSTITUTE(SUBSTITUTE(SUBSTITUTE(UPPER(TRIM(B173&amp;"")),"₹",""),"RS.",""),"RS",""),"INR",""),"$",""),",","")," ",""))</f>
        <v/>
      </c>
      <c r="E173" s="6">
        <f>IF(C173="","",IF(RIGHT(D173,2)="CR","Cr",IF(RIGHT(D173,2)="DR","Dr","")))</f>
        <v/>
      </c>
      <c r="F173" s="6">
        <f>IF(C173="","",IF(E173&lt;&gt;"",LEFT(D173,LEN(D173)-2),D173))</f>
        <v/>
      </c>
      <c r="G173" s="13">
        <f>IF(C173="","",IF(OR(IF(AND(LEFT(F173,1)="(",RIGHT(F173,1)=")"),MID(F173,2,LEN(F173)-2),F173)="",IF(AND(LEFT(F173,1)="(",RIGHT(F173,1)=")"),MID(F173,2,LEN(F173)-2),F173)="-"),0,IFERROR(VALUE(IF(AND(LEFT(F173,1)="(",RIGHT(F173,1)=")"),MID(F173,2,LEN(F173)-2),F173))*IF(AND(LEFT(F173,1)="(",RIGHT(F173,1)=")"),-1,1)*IF(E173="Cr",Setup!$B$6,1),"ERR")))</f>
        <v/>
      </c>
      <c r="H173" s="6">
        <f>IF(C173="","",IF(ISNUMBER(G173),1,0))</f>
        <v/>
      </c>
      <c r="I173" s="6">
        <f>IF(C173="","",IF(SUMPRODUCT(($C$12:$C$1511=C173)*1)&gt;1,1,0))</f>
        <v/>
      </c>
      <c r="J173" s="6">
        <f>IF(C173="","",SUMPRODUCT((Mapping!$F$5:$F$504=Setup!$B$4&amp;"||"&amp;C173)*ROW(Mapping!$F$5:$F$504)))</f>
        <v/>
      </c>
      <c r="K173" s="6">
        <f>IF(C173="","",IF(J173=0,"UNMAPPED",LOWER(INDEX(Mapping!$D$1:$D$504,J173))))</f>
        <v/>
      </c>
      <c r="L173" s="6">
        <f>IF(K173="mapped",TRIM(INDEX(Mapping!$C$1:$C$504,J173)),"")</f>
        <v/>
      </c>
      <c r="M173" s="6">
        <f>IF(C173="","",IF(SUMPRODUCT(($C$12:C173=C173)*1)=1,1,0))</f>
        <v/>
      </c>
      <c r="N173" s="6">
        <f>IF(AND(K173="UNMAPPED",M173=1),ROW(),"")</f>
        <v/>
      </c>
      <c r="O173" s="6">
        <f>IF(AND(I173=1,M173=1),ROW(),"")</f>
        <v/>
      </c>
      <c r="P173" s="6">
        <f>IF(AND(K173="ignored",M173=1),ROW(),"")</f>
        <v/>
      </c>
    </row>
    <row r="174">
      <c r="A174" s="8" t="n"/>
      <c r="B174" s="8" t="n"/>
      <c r="C174" s="6">
        <f>TRIM(A174&amp;"")</f>
        <v/>
      </c>
      <c r="D174" s="6">
        <f>IF(C174="","",SUBSTITUTE(SUBSTITUTE(SUBSTITUTE(SUBSTITUTE(SUBSTITUTE(SUBSTITUTE(SUBSTITUTE(UPPER(TRIM(B174&amp;"")),"₹",""),"RS.",""),"RS",""),"INR",""),"$",""),",","")," ",""))</f>
        <v/>
      </c>
      <c r="E174" s="6">
        <f>IF(C174="","",IF(RIGHT(D174,2)="CR","Cr",IF(RIGHT(D174,2)="DR","Dr","")))</f>
        <v/>
      </c>
      <c r="F174" s="6">
        <f>IF(C174="","",IF(E174&lt;&gt;"",LEFT(D174,LEN(D174)-2),D174))</f>
        <v/>
      </c>
      <c r="G174" s="13">
        <f>IF(C174="","",IF(OR(IF(AND(LEFT(F174,1)="(",RIGHT(F174,1)=")"),MID(F174,2,LEN(F174)-2),F174)="",IF(AND(LEFT(F174,1)="(",RIGHT(F174,1)=")"),MID(F174,2,LEN(F174)-2),F174)="-"),0,IFERROR(VALUE(IF(AND(LEFT(F174,1)="(",RIGHT(F174,1)=")"),MID(F174,2,LEN(F174)-2),F174))*IF(AND(LEFT(F174,1)="(",RIGHT(F174,1)=")"),-1,1)*IF(E174="Cr",Setup!$B$6,1),"ERR")))</f>
        <v/>
      </c>
      <c r="H174" s="6">
        <f>IF(C174="","",IF(ISNUMBER(G174),1,0))</f>
        <v/>
      </c>
      <c r="I174" s="6">
        <f>IF(C174="","",IF(SUMPRODUCT(($C$12:$C$1511=C174)*1)&gt;1,1,0))</f>
        <v/>
      </c>
      <c r="J174" s="6">
        <f>IF(C174="","",SUMPRODUCT((Mapping!$F$5:$F$504=Setup!$B$4&amp;"||"&amp;C174)*ROW(Mapping!$F$5:$F$504)))</f>
        <v/>
      </c>
      <c r="K174" s="6">
        <f>IF(C174="","",IF(J174=0,"UNMAPPED",LOWER(INDEX(Mapping!$D$1:$D$504,J174))))</f>
        <v/>
      </c>
      <c r="L174" s="6">
        <f>IF(K174="mapped",TRIM(INDEX(Mapping!$C$1:$C$504,J174)),"")</f>
        <v/>
      </c>
      <c r="M174" s="6">
        <f>IF(C174="","",IF(SUMPRODUCT(($C$12:C174=C174)*1)=1,1,0))</f>
        <v/>
      </c>
      <c r="N174" s="6">
        <f>IF(AND(K174="UNMAPPED",M174=1),ROW(),"")</f>
        <v/>
      </c>
      <c r="O174" s="6">
        <f>IF(AND(I174=1,M174=1),ROW(),"")</f>
        <v/>
      </c>
      <c r="P174" s="6">
        <f>IF(AND(K174="ignored",M174=1),ROW(),"")</f>
        <v/>
      </c>
    </row>
    <row r="175">
      <c r="A175" s="8" t="n"/>
      <c r="B175" s="8" t="n"/>
      <c r="C175" s="6">
        <f>TRIM(A175&amp;"")</f>
        <v/>
      </c>
      <c r="D175" s="6">
        <f>IF(C175="","",SUBSTITUTE(SUBSTITUTE(SUBSTITUTE(SUBSTITUTE(SUBSTITUTE(SUBSTITUTE(SUBSTITUTE(UPPER(TRIM(B175&amp;"")),"₹",""),"RS.",""),"RS",""),"INR",""),"$",""),",","")," ",""))</f>
        <v/>
      </c>
      <c r="E175" s="6">
        <f>IF(C175="","",IF(RIGHT(D175,2)="CR","Cr",IF(RIGHT(D175,2)="DR","Dr","")))</f>
        <v/>
      </c>
      <c r="F175" s="6">
        <f>IF(C175="","",IF(E175&lt;&gt;"",LEFT(D175,LEN(D175)-2),D175))</f>
        <v/>
      </c>
      <c r="G175" s="13">
        <f>IF(C175="","",IF(OR(IF(AND(LEFT(F175,1)="(",RIGHT(F175,1)=")"),MID(F175,2,LEN(F175)-2),F175)="",IF(AND(LEFT(F175,1)="(",RIGHT(F175,1)=")"),MID(F175,2,LEN(F175)-2),F175)="-"),0,IFERROR(VALUE(IF(AND(LEFT(F175,1)="(",RIGHT(F175,1)=")"),MID(F175,2,LEN(F175)-2),F175))*IF(AND(LEFT(F175,1)="(",RIGHT(F175,1)=")"),-1,1)*IF(E175="Cr",Setup!$B$6,1),"ERR")))</f>
        <v/>
      </c>
      <c r="H175" s="6">
        <f>IF(C175="","",IF(ISNUMBER(G175),1,0))</f>
        <v/>
      </c>
      <c r="I175" s="6">
        <f>IF(C175="","",IF(SUMPRODUCT(($C$12:$C$1511=C175)*1)&gt;1,1,0))</f>
        <v/>
      </c>
      <c r="J175" s="6">
        <f>IF(C175="","",SUMPRODUCT((Mapping!$F$5:$F$504=Setup!$B$4&amp;"||"&amp;C175)*ROW(Mapping!$F$5:$F$504)))</f>
        <v/>
      </c>
      <c r="K175" s="6">
        <f>IF(C175="","",IF(J175=0,"UNMAPPED",LOWER(INDEX(Mapping!$D$1:$D$504,J175))))</f>
        <v/>
      </c>
      <c r="L175" s="6">
        <f>IF(K175="mapped",TRIM(INDEX(Mapping!$C$1:$C$504,J175)),"")</f>
        <v/>
      </c>
      <c r="M175" s="6">
        <f>IF(C175="","",IF(SUMPRODUCT(($C$12:C175=C175)*1)=1,1,0))</f>
        <v/>
      </c>
      <c r="N175" s="6">
        <f>IF(AND(K175="UNMAPPED",M175=1),ROW(),"")</f>
        <v/>
      </c>
      <c r="O175" s="6">
        <f>IF(AND(I175=1,M175=1),ROW(),"")</f>
        <v/>
      </c>
      <c r="P175" s="6">
        <f>IF(AND(K175="ignored",M175=1),ROW(),"")</f>
        <v/>
      </c>
    </row>
    <row r="176">
      <c r="A176" s="8" t="n"/>
      <c r="B176" s="8" t="n"/>
      <c r="C176" s="6">
        <f>TRIM(A176&amp;"")</f>
        <v/>
      </c>
      <c r="D176" s="6">
        <f>IF(C176="","",SUBSTITUTE(SUBSTITUTE(SUBSTITUTE(SUBSTITUTE(SUBSTITUTE(SUBSTITUTE(SUBSTITUTE(UPPER(TRIM(B176&amp;"")),"₹",""),"RS.",""),"RS",""),"INR",""),"$",""),",","")," ",""))</f>
        <v/>
      </c>
      <c r="E176" s="6">
        <f>IF(C176="","",IF(RIGHT(D176,2)="CR","Cr",IF(RIGHT(D176,2)="DR","Dr","")))</f>
        <v/>
      </c>
      <c r="F176" s="6">
        <f>IF(C176="","",IF(E176&lt;&gt;"",LEFT(D176,LEN(D176)-2),D176))</f>
        <v/>
      </c>
      <c r="G176" s="13">
        <f>IF(C176="","",IF(OR(IF(AND(LEFT(F176,1)="(",RIGHT(F176,1)=")"),MID(F176,2,LEN(F176)-2),F176)="",IF(AND(LEFT(F176,1)="(",RIGHT(F176,1)=")"),MID(F176,2,LEN(F176)-2),F176)="-"),0,IFERROR(VALUE(IF(AND(LEFT(F176,1)="(",RIGHT(F176,1)=")"),MID(F176,2,LEN(F176)-2),F176))*IF(AND(LEFT(F176,1)="(",RIGHT(F176,1)=")"),-1,1)*IF(E176="Cr",Setup!$B$6,1),"ERR")))</f>
        <v/>
      </c>
      <c r="H176" s="6">
        <f>IF(C176="","",IF(ISNUMBER(G176),1,0))</f>
        <v/>
      </c>
      <c r="I176" s="6">
        <f>IF(C176="","",IF(SUMPRODUCT(($C$12:$C$1511=C176)*1)&gt;1,1,0))</f>
        <v/>
      </c>
      <c r="J176" s="6">
        <f>IF(C176="","",SUMPRODUCT((Mapping!$F$5:$F$504=Setup!$B$4&amp;"||"&amp;C176)*ROW(Mapping!$F$5:$F$504)))</f>
        <v/>
      </c>
      <c r="K176" s="6">
        <f>IF(C176="","",IF(J176=0,"UNMAPPED",LOWER(INDEX(Mapping!$D$1:$D$504,J176))))</f>
        <v/>
      </c>
      <c r="L176" s="6">
        <f>IF(K176="mapped",TRIM(INDEX(Mapping!$C$1:$C$504,J176)),"")</f>
        <v/>
      </c>
      <c r="M176" s="6">
        <f>IF(C176="","",IF(SUMPRODUCT(($C$12:C176=C176)*1)=1,1,0))</f>
        <v/>
      </c>
      <c r="N176" s="6">
        <f>IF(AND(K176="UNMAPPED",M176=1),ROW(),"")</f>
        <v/>
      </c>
      <c r="O176" s="6">
        <f>IF(AND(I176=1,M176=1),ROW(),"")</f>
        <v/>
      </c>
      <c r="P176" s="6">
        <f>IF(AND(K176="ignored",M176=1),ROW(),"")</f>
        <v/>
      </c>
    </row>
    <row r="177">
      <c r="A177" s="8" t="n"/>
      <c r="B177" s="8" t="n"/>
      <c r="C177" s="6">
        <f>TRIM(A177&amp;"")</f>
        <v/>
      </c>
      <c r="D177" s="6">
        <f>IF(C177="","",SUBSTITUTE(SUBSTITUTE(SUBSTITUTE(SUBSTITUTE(SUBSTITUTE(SUBSTITUTE(SUBSTITUTE(UPPER(TRIM(B177&amp;"")),"₹",""),"RS.",""),"RS",""),"INR",""),"$",""),",","")," ",""))</f>
        <v/>
      </c>
      <c r="E177" s="6">
        <f>IF(C177="","",IF(RIGHT(D177,2)="CR","Cr",IF(RIGHT(D177,2)="DR","Dr","")))</f>
        <v/>
      </c>
      <c r="F177" s="6">
        <f>IF(C177="","",IF(E177&lt;&gt;"",LEFT(D177,LEN(D177)-2),D177))</f>
        <v/>
      </c>
      <c r="G177" s="13">
        <f>IF(C177="","",IF(OR(IF(AND(LEFT(F177,1)="(",RIGHT(F177,1)=")"),MID(F177,2,LEN(F177)-2),F177)="",IF(AND(LEFT(F177,1)="(",RIGHT(F177,1)=")"),MID(F177,2,LEN(F177)-2),F177)="-"),0,IFERROR(VALUE(IF(AND(LEFT(F177,1)="(",RIGHT(F177,1)=")"),MID(F177,2,LEN(F177)-2),F177))*IF(AND(LEFT(F177,1)="(",RIGHT(F177,1)=")"),-1,1)*IF(E177="Cr",Setup!$B$6,1),"ERR")))</f>
        <v/>
      </c>
      <c r="H177" s="6">
        <f>IF(C177="","",IF(ISNUMBER(G177),1,0))</f>
        <v/>
      </c>
      <c r="I177" s="6">
        <f>IF(C177="","",IF(SUMPRODUCT(($C$12:$C$1511=C177)*1)&gt;1,1,0))</f>
        <v/>
      </c>
      <c r="J177" s="6">
        <f>IF(C177="","",SUMPRODUCT((Mapping!$F$5:$F$504=Setup!$B$4&amp;"||"&amp;C177)*ROW(Mapping!$F$5:$F$504)))</f>
        <v/>
      </c>
      <c r="K177" s="6">
        <f>IF(C177="","",IF(J177=0,"UNMAPPED",LOWER(INDEX(Mapping!$D$1:$D$504,J177))))</f>
        <v/>
      </c>
      <c r="L177" s="6">
        <f>IF(K177="mapped",TRIM(INDEX(Mapping!$C$1:$C$504,J177)),"")</f>
        <v/>
      </c>
      <c r="M177" s="6">
        <f>IF(C177="","",IF(SUMPRODUCT(($C$12:C177=C177)*1)=1,1,0))</f>
        <v/>
      </c>
      <c r="N177" s="6">
        <f>IF(AND(K177="UNMAPPED",M177=1),ROW(),"")</f>
        <v/>
      </c>
      <c r="O177" s="6">
        <f>IF(AND(I177=1,M177=1),ROW(),"")</f>
        <v/>
      </c>
      <c r="P177" s="6">
        <f>IF(AND(K177="ignored",M177=1),ROW(),"")</f>
        <v/>
      </c>
    </row>
    <row r="178">
      <c r="A178" s="8" t="n"/>
      <c r="B178" s="8" t="n"/>
      <c r="C178" s="6">
        <f>TRIM(A178&amp;"")</f>
        <v/>
      </c>
      <c r="D178" s="6">
        <f>IF(C178="","",SUBSTITUTE(SUBSTITUTE(SUBSTITUTE(SUBSTITUTE(SUBSTITUTE(SUBSTITUTE(SUBSTITUTE(UPPER(TRIM(B178&amp;"")),"₹",""),"RS.",""),"RS",""),"INR",""),"$",""),",","")," ",""))</f>
        <v/>
      </c>
      <c r="E178" s="6">
        <f>IF(C178="","",IF(RIGHT(D178,2)="CR","Cr",IF(RIGHT(D178,2)="DR","Dr","")))</f>
        <v/>
      </c>
      <c r="F178" s="6">
        <f>IF(C178="","",IF(E178&lt;&gt;"",LEFT(D178,LEN(D178)-2),D178))</f>
        <v/>
      </c>
      <c r="G178" s="13">
        <f>IF(C178="","",IF(OR(IF(AND(LEFT(F178,1)="(",RIGHT(F178,1)=")"),MID(F178,2,LEN(F178)-2),F178)="",IF(AND(LEFT(F178,1)="(",RIGHT(F178,1)=")"),MID(F178,2,LEN(F178)-2),F178)="-"),0,IFERROR(VALUE(IF(AND(LEFT(F178,1)="(",RIGHT(F178,1)=")"),MID(F178,2,LEN(F178)-2),F178))*IF(AND(LEFT(F178,1)="(",RIGHT(F178,1)=")"),-1,1)*IF(E178="Cr",Setup!$B$6,1),"ERR")))</f>
        <v/>
      </c>
      <c r="H178" s="6">
        <f>IF(C178="","",IF(ISNUMBER(G178),1,0))</f>
        <v/>
      </c>
      <c r="I178" s="6">
        <f>IF(C178="","",IF(SUMPRODUCT(($C$12:$C$1511=C178)*1)&gt;1,1,0))</f>
        <v/>
      </c>
      <c r="J178" s="6">
        <f>IF(C178="","",SUMPRODUCT((Mapping!$F$5:$F$504=Setup!$B$4&amp;"||"&amp;C178)*ROW(Mapping!$F$5:$F$504)))</f>
        <v/>
      </c>
      <c r="K178" s="6">
        <f>IF(C178="","",IF(J178=0,"UNMAPPED",LOWER(INDEX(Mapping!$D$1:$D$504,J178))))</f>
        <v/>
      </c>
      <c r="L178" s="6">
        <f>IF(K178="mapped",TRIM(INDEX(Mapping!$C$1:$C$504,J178)),"")</f>
        <v/>
      </c>
      <c r="M178" s="6">
        <f>IF(C178="","",IF(SUMPRODUCT(($C$12:C178=C178)*1)=1,1,0))</f>
        <v/>
      </c>
      <c r="N178" s="6">
        <f>IF(AND(K178="UNMAPPED",M178=1),ROW(),"")</f>
        <v/>
      </c>
      <c r="O178" s="6">
        <f>IF(AND(I178=1,M178=1),ROW(),"")</f>
        <v/>
      </c>
      <c r="P178" s="6">
        <f>IF(AND(K178="ignored",M178=1),ROW(),"")</f>
        <v/>
      </c>
    </row>
    <row r="179">
      <c r="A179" s="8" t="n"/>
      <c r="B179" s="8" t="n"/>
      <c r="C179" s="6">
        <f>TRIM(A179&amp;"")</f>
        <v/>
      </c>
      <c r="D179" s="6">
        <f>IF(C179="","",SUBSTITUTE(SUBSTITUTE(SUBSTITUTE(SUBSTITUTE(SUBSTITUTE(SUBSTITUTE(SUBSTITUTE(UPPER(TRIM(B179&amp;"")),"₹",""),"RS.",""),"RS",""),"INR",""),"$",""),",","")," ",""))</f>
        <v/>
      </c>
      <c r="E179" s="6">
        <f>IF(C179="","",IF(RIGHT(D179,2)="CR","Cr",IF(RIGHT(D179,2)="DR","Dr","")))</f>
        <v/>
      </c>
      <c r="F179" s="6">
        <f>IF(C179="","",IF(E179&lt;&gt;"",LEFT(D179,LEN(D179)-2),D179))</f>
        <v/>
      </c>
      <c r="G179" s="13">
        <f>IF(C179="","",IF(OR(IF(AND(LEFT(F179,1)="(",RIGHT(F179,1)=")"),MID(F179,2,LEN(F179)-2),F179)="",IF(AND(LEFT(F179,1)="(",RIGHT(F179,1)=")"),MID(F179,2,LEN(F179)-2),F179)="-"),0,IFERROR(VALUE(IF(AND(LEFT(F179,1)="(",RIGHT(F179,1)=")"),MID(F179,2,LEN(F179)-2),F179))*IF(AND(LEFT(F179,1)="(",RIGHT(F179,1)=")"),-1,1)*IF(E179="Cr",Setup!$B$6,1),"ERR")))</f>
        <v/>
      </c>
      <c r="H179" s="6">
        <f>IF(C179="","",IF(ISNUMBER(G179),1,0))</f>
        <v/>
      </c>
      <c r="I179" s="6">
        <f>IF(C179="","",IF(SUMPRODUCT(($C$12:$C$1511=C179)*1)&gt;1,1,0))</f>
        <v/>
      </c>
      <c r="J179" s="6">
        <f>IF(C179="","",SUMPRODUCT((Mapping!$F$5:$F$504=Setup!$B$4&amp;"||"&amp;C179)*ROW(Mapping!$F$5:$F$504)))</f>
        <v/>
      </c>
      <c r="K179" s="6">
        <f>IF(C179="","",IF(J179=0,"UNMAPPED",LOWER(INDEX(Mapping!$D$1:$D$504,J179))))</f>
        <v/>
      </c>
      <c r="L179" s="6">
        <f>IF(K179="mapped",TRIM(INDEX(Mapping!$C$1:$C$504,J179)),"")</f>
        <v/>
      </c>
      <c r="M179" s="6">
        <f>IF(C179="","",IF(SUMPRODUCT(($C$12:C179=C179)*1)=1,1,0))</f>
        <v/>
      </c>
      <c r="N179" s="6">
        <f>IF(AND(K179="UNMAPPED",M179=1),ROW(),"")</f>
        <v/>
      </c>
      <c r="O179" s="6">
        <f>IF(AND(I179=1,M179=1),ROW(),"")</f>
        <v/>
      </c>
      <c r="P179" s="6">
        <f>IF(AND(K179="ignored",M179=1),ROW(),"")</f>
        <v/>
      </c>
    </row>
    <row r="180">
      <c r="A180" s="8" t="n"/>
      <c r="B180" s="8" t="n"/>
      <c r="C180" s="6">
        <f>TRIM(A180&amp;"")</f>
        <v/>
      </c>
      <c r="D180" s="6">
        <f>IF(C180="","",SUBSTITUTE(SUBSTITUTE(SUBSTITUTE(SUBSTITUTE(SUBSTITUTE(SUBSTITUTE(SUBSTITUTE(UPPER(TRIM(B180&amp;"")),"₹",""),"RS.",""),"RS",""),"INR",""),"$",""),",","")," ",""))</f>
        <v/>
      </c>
      <c r="E180" s="6">
        <f>IF(C180="","",IF(RIGHT(D180,2)="CR","Cr",IF(RIGHT(D180,2)="DR","Dr","")))</f>
        <v/>
      </c>
      <c r="F180" s="6">
        <f>IF(C180="","",IF(E180&lt;&gt;"",LEFT(D180,LEN(D180)-2),D180))</f>
        <v/>
      </c>
      <c r="G180" s="13">
        <f>IF(C180="","",IF(OR(IF(AND(LEFT(F180,1)="(",RIGHT(F180,1)=")"),MID(F180,2,LEN(F180)-2),F180)="",IF(AND(LEFT(F180,1)="(",RIGHT(F180,1)=")"),MID(F180,2,LEN(F180)-2),F180)="-"),0,IFERROR(VALUE(IF(AND(LEFT(F180,1)="(",RIGHT(F180,1)=")"),MID(F180,2,LEN(F180)-2),F180))*IF(AND(LEFT(F180,1)="(",RIGHT(F180,1)=")"),-1,1)*IF(E180="Cr",Setup!$B$6,1),"ERR")))</f>
        <v/>
      </c>
      <c r="H180" s="6">
        <f>IF(C180="","",IF(ISNUMBER(G180),1,0))</f>
        <v/>
      </c>
      <c r="I180" s="6">
        <f>IF(C180="","",IF(SUMPRODUCT(($C$12:$C$1511=C180)*1)&gt;1,1,0))</f>
        <v/>
      </c>
      <c r="J180" s="6">
        <f>IF(C180="","",SUMPRODUCT((Mapping!$F$5:$F$504=Setup!$B$4&amp;"||"&amp;C180)*ROW(Mapping!$F$5:$F$504)))</f>
        <v/>
      </c>
      <c r="K180" s="6">
        <f>IF(C180="","",IF(J180=0,"UNMAPPED",LOWER(INDEX(Mapping!$D$1:$D$504,J180))))</f>
        <v/>
      </c>
      <c r="L180" s="6">
        <f>IF(K180="mapped",TRIM(INDEX(Mapping!$C$1:$C$504,J180)),"")</f>
        <v/>
      </c>
      <c r="M180" s="6">
        <f>IF(C180="","",IF(SUMPRODUCT(($C$12:C180=C180)*1)=1,1,0))</f>
        <v/>
      </c>
      <c r="N180" s="6">
        <f>IF(AND(K180="UNMAPPED",M180=1),ROW(),"")</f>
        <v/>
      </c>
      <c r="O180" s="6">
        <f>IF(AND(I180=1,M180=1),ROW(),"")</f>
        <v/>
      </c>
      <c r="P180" s="6">
        <f>IF(AND(K180="ignored",M180=1),ROW(),"")</f>
        <v/>
      </c>
    </row>
    <row r="181">
      <c r="A181" s="8" t="n"/>
      <c r="B181" s="8" t="n"/>
      <c r="C181" s="6">
        <f>TRIM(A181&amp;"")</f>
        <v/>
      </c>
      <c r="D181" s="6">
        <f>IF(C181="","",SUBSTITUTE(SUBSTITUTE(SUBSTITUTE(SUBSTITUTE(SUBSTITUTE(SUBSTITUTE(SUBSTITUTE(UPPER(TRIM(B181&amp;"")),"₹",""),"RS.",""),"RS",""),"INR",""),"$",""),",","")," ",""))</f>
        <v/>
      </c>
      <c r="E181" s="6">
        <f>IF(C181="","",IF(RIGHT(D181,2)="CR","Cr",IF(RIGHT(D181,2)="DR","Dr","")))</f>
        <v/>
      </c>
      <c r="F181" s="6">
        <f>IF(C181="","",IF(E181&lt;&gt;"",LEFT(D181,LEN(D181)-2),D181))</f>
        <v/>
      </c>
      <c r="G181" s="13">
        <f>IF(C181="","",IF(OR(IF(AND(LEFT(F181,1)="(",RIGHT(F181,1)=")"),MID(F181,2,LEN(F181)-2),F181)="",IF(AND(LEFT(F181,1)="(",RIGHT(F181,1)=")"),MID(F181,2,LEN(F181)-2),F181)="-"),0,IFERROR(VALUE(IF(AND(LEFT(F181,1)="(",RIGHT(F181,1)=")"),MID(F181,2,LEN(F181)-2),F181))*IF(AND(LEFT(F181,1)="(",RIGHT(F181,1)=")"),-1,1)*IF(E181="Cr",Setup!$B$6,1),"ERR")))</f>
        <v/>
      </c>
      <c r="H181" s="6">
        <f>IF(C181="","",IF(ISNUMBER(G181),1,0))</f>
        <v/>
      </c>
      <c r="I181" s="6">
        <f>IF(C181="","",IF(SUMPRODUCT(($C$12:$C$1511=C181)*1)&gt;1,1,0))</f>
        <v/>
      </c>
      <c r="J181" s="6">
        <f>IF(C181="","",SUMPRODUCT((Mapping!$F$5:$F$504=Setup!$B$4&amp;"||"&amp;C181)*ROW(Mapping!$F$5:$F$504)))</f>
        <v/>
      </c>
      <c r="K181" s="6">
        <f>IF(C181="","",IF(J181=0,"UNMAPPED",LOWER(INDEX(Mapping!$D$1:$D$504,J181))))</f>
        <v/>
      </c>
      <c r="L181" s="6">
        <f>IF(K181="mapped",TRIM(INDEX(Mapping!$C$1:$C$504,J181)),"")</f>
        <v/>
      </c>
      <c r="M181" s="6">
        <f>IF(C181="","",IF(SUMPRODUCT(($C$12:C181=C181)*1)=1,1,0))</f>
        <v/>
      </c>
      <c r="N181" s="6">
        <f>IF(AND(K181="UNMAPPED",M181=1),ROW(),"")</f>
        <v/>
      </c>
      <c r="O181" s="6">
        <f>IF(AND(I181=1,M181=1),ROW(),"")</f>
        <v/>
      </c>
      <c r="P181" s="6">
        <f>IF(AND(K181="ignored",M181=1),ROW(),"")</f>
        <v/>
      </c>
    </row>
    <row r="182">
      <c r="A182" s="8" t="n"/>
      <c r="B182" s="8" t="n"/>
      <c r="C182" s="6">
        <f>TRIM(A182&amp;"")</f>
        <v/>
      </c>
      <c r="D182" s="6">
        <f>IF(C182="","",SUBSTITUTE(SUBSTITUTE(SUBSTITUTE(SUBSTITUTE(SUBSTITUTE(SUBSTITUTE(SUBSTITUTE(UPPER(TRIM(B182&amp;"")),"₹",""),"RS.",""),"RS",""),"INR",""),"$",""),",","")," ",""))</f>
        <v/>
      </c>
      <c r="E182" s="6">
        <f>IF(C182="","",IF(RIGHT(D182,2)="CR","Cr",IF(RIGHT(D182,2)="DR","Dr","")))</f>
        <v/>
      </c>
      <c r="F182" s="6">
        <f>IF(C182="","",IF(E182&lt;&gt;"",LEFT(D182,LEN(D182)-2),D182))</f>
        <v/>
      </c>
      <c r="G182" s="13">
        <f>IF(C182="","",IF(OR(IF(AND(LEFT(F182,1)="(",RIGHT(F182,1)=")"),MID(F182,2,LEN(F182)-2),F182)="",IF(AND(LEFT(F182,1)="(",RIGHT(F182,1)=")"),MID(F182,2,LEN(F182)-2),F182)="-"),0,IFERROR(VALUE(IF(AND(LEFT(F182,1)="(",RIGHT(F182,1)=")"),MID(F182,2,LEN(F182)-2),F182))*IF(AND(LEFT(F182,1)="(",RIGHT(F182,1)=")"),-1,1)*IF(E182="Cr",Setup!$B$6,1),"ERR")))</f>
        <v/>
      </c>
      <c r="H182" s="6">
        <f>IF(C182="","",IF(ISNUMBER(G182),1,0))</f>
        <v/>
      </c>
      <c r="I182" s="6">
        <f>IF(C182="","",IF(SUMPRODUCT(($C$12:$C$1511=C182)*1)&gt;1,1,0))</f>
        <v/>
      </c>
      <c r="J182" s="6">
        <f>IF(C182="","",SUMPRODUCT((Mapping!$F$5:$F$504=Setup!$B$4&amp;"||"&amp;C182)*ROW(Mapping!$F$5:$F$504)))</f>
        <v/>
      </c>
      <c r="K182" s="6">
        <f>IF(C182="","",IF(J182=0,"UNMAPPED",LOWER(INDEX(Mapping!$D$1:$D$504,J182))))</f>
        <v/>
      </c>
      <c r="L182" s="6">
        <f>IF(K182="mapped",TRIM(INDEX(Mapping!$C$1:$C$504,J182)),"")</f>
        <v/>
      </c>
      <c r="M182" s="6">
        <f>IF(C182="","",IF(SUMPRODUCT(($C$12:C182=C182)*1)=1,1,0))</f>
        <v/>
      </c>
      <c r="N182" s="6">
        <f>IF(AND(K182="UNMAPPED",M182=1),ROW(),"")</f>
        <v/>
      </c>
      <c r="O182" s="6">
        <f>IF(AND(I182=1,M182=1),ROW(),"")</f>
        <v/>
      </c>
      <c r="P182" s="6">
        <f>IF(AND(K182="ignored",M182=1),ROW(),"")</f>
        <v/>
      </c>
    </row>
    <row r="183">
      <c r="A183" s="8" t="n"/>
      <c r="B183" s="8" t="n"/>
      <c r="C183" s="6">
        <f>TRIM(A183&amp;"")</f>
        <v/>
      </c>
      <c r="D183" s="6">
        <f>IF(C183="","",SUBSTITUTE(SUBSTITUTE(SUBSTITUTE(SUBSTITUTE(SUBSTITUTE(SUBSTITUTE(SUBSTITUTE(UPPER(TRIM(B183&amp;"")),"₹",""),"RS.",""),"RS",""),"INR",""),"$",""),",","")," ",""))</f>
        <v/>
      </c>
      <c r="E183" s="6">
        <f>IF(C183="","",IF(RIGHT(D183,2)="CR","Cr",IF(RIGHT(D183,2)="DR","Dr","")))</f>
        <v/>
      </c>
      <c r="F183" s="6">
        <f>IF(C183="","",IF(E183&lt;&gt;"",LEFT(D183,LEN(D183)-2),D183))</f>
        <v/>
      </c>
      <c r="G183" s="13">
        <f>IF(C183="","",IF(OR(IF(AND(LEFT(F183,1)="(",RIGHT(F183,1)=")"),MID(F183,2,LEN(F183)-2),F183)="",IF(AND(LEFT(F183,1)="(",RIGHT(F183,1)=")"),MID(F183,2,LEN(F183)-2),F183)="-"),0,IFERROR(VALUE(IF(AND(LEFT(F183,1)="(",RIGHT(F183,1)=")"),MID(F183,2,LEN(F183)-2),F183))*IF(AND(LEFT(F183,1)="(",RIGHT(F183,1)=")"),-1,1)*IF(E183="Cr",Setup!$B$6,1),"ERR")))</f>
        <v/>
      </c>
      <c r="H183" s="6">
        <f>IF(C183="","",IF(ISNUMBER(G183),1,0))</f>
        <v/>
      </c>
      <c r="I183" s="6">
        <f>IF(C183="","",IF(SUMPRODUCT(($C$12:$C$1511=C183)*1)&gt;1,1,0))</f>
        <v/>
      </c>
      <c r="J183" s="6">
        <f>IF(C183="","",SUMPRODUCT((Mapping!$F$5:$F$504=Setup!$B$4&amp;"||"&amp;C183)*ROW(Mapping!$F$5:$F$504)))</f>
        <v/>
      </c>
      <c r="K183" s="6">
        <f>IF(C183="","",IF(J183=0,"UNMAPPED",LOWER(INDEX(Mapping!$D$1:$D$504,J183))))</f>
        <v/>
      </c>
      <c r="L183" s="6">
        <f>IF(K183="mapped",TRIM(INDEX(Mapping!$C$1:$C$504,J183)),"")</f>
        <v/>
      </c>
      <c r="M183" s="6">
        <f>IF(C183="","",IF(SUMPRODUCT(($C$12:C183=C183)*1)=1,1,0))</f>
        <v/>
      </c>
      <c r="N183" s="6">
        <f>IF(AND(K183="UNMAPPED",M183=1),ROW(),"")</f>
        <v/>
      </c>
      <c r="O183" s="6">
        <f>IF(AND(I183=1,M183=1),ROW(),"")</f>
        <v/>
      </c>
      <c r="P183" s="6">
        <f>IF(AND(K183="ignored",M183=1),ROW(),"")</f>
        <v/>
      </c>
    </row>
    <row r="184">
      <c r="A184" s="8" t="n"/>
      <c r="B184" s="8" t="n"/>
      <c r="C184" s="6">
        <f>TRIM(A184&amp;"")</f>
        <v/>
      </c>
      <c r="D184" s="6">
        <f>IF(C184="","",SUBSTITUTE(SUBSTITUTE(SUBSTITUTE(SUBSTITUTE(SUBSTITUTE(SUBSTITUTE(SUBSTITUTE(UPPER(TRIM(B184&amp;"")),"₹",""),"RS.",""),"RS",""),"INR",""),"$",""),",","")," ",""))</f>
        <v/>
      </c>
      <c r="E184" s="6">
        <f>IF(C184="","",IF(RIGHT(D184,2)="CR","Cr",IF(RIGHT(D184,2)="DR","Dr","")))</f>
        <v/>
      </c>
      <c r="F184" s="6">
        <f>IF(C184="","",IF(E184&lt;&gt;"",LEFT(D184,LEN(D184)-2),D184))</f>
        <v/>
      </c>
      <c r="G184" s="13">
        <f>IF(C184="","",IF(OR(IF(AND(LEFT(F184,1)="(",RIGHT(F184,1)=")"),MID(F184,2,LEN(F184)-2),F184)="",IF(AND(LEFT(F184,1)="(",RIGHT(F184,1)=")"),MID(F184,2,LEN(F184)-2),F184)="-"),0,IFERROR(VALUE(IF(AND(LEFT(F184,1)="(",RIGHT(F184,1)=")"),MID(F184,2,LEN(F184)-2),F184))*IF(AND(LEFT(F184,1)="(",RIGHT(F184,1)=")"),-1,1)*IF(E184="Cr",Setup!$B$6,1),"ERR")))</f>
        <v/>
      </c>
      <c r="H184" s="6">
        <f>IF(C184="","",IF(ISNUMBER(G184),1,0))</f>
        <v/>
      </c>
      <c r="I184" s="6">
        <f>IF(C184="","",IF(SUMPRODUCT(($C$12:$C$1511=C184)*1)&gt;1,1,0))</f>
        <v/>
      </c>
      <c r="J184" s="6">
        <f>IF(C184="","",SUMPRODUCT((Mapping!$F$5:$F$504=Setup!$B$4&amp;"||"&amp;C184)*ROW(Mapping!$F$5:$F$504)))</f>
        <v/>
      </c>
      <c r="K184" s="6">
        <f>IF(C184="","",IF(J184=0,"UNMAPPED",LOWER(INDEX(Mapping!$D$1:$D$504,J184))))</f>
        <v/>
      </c>
      <c r="L184" s="6">
        <f>IF(K184="mapped",TRIM(INDEX(Mapping!$C$1:$C$504,J184)),"")</f>
        <v/>
      </c>
      <c r="M184" s="6">
        <f>IF(C184="","",IF(SUMPRODUCT(($C$12:C184=C184)*1)=1,1,0))</f>
        <v/>
      </c>
      <c r="N184" s="6">
        <f>IF(AND(K184="UNMAPPED",M184=1),ROW(),"")</f>
        <v/>
      </c>
      <c r="O184" s="6">
        <f>IF(AND(I184=1,M184=1),ROW(),"")</f>
        <v/>
      </c>
      <c r="P184" s="6">
        <f>IF(AND(K184="ignored",M184=1),ROW(),"")</f>
        <v/>
      </c>
    </row>
    <row r="185">
      <c r="A185" s="8" t="n"/>
      <c r="B185" s="8" t="n"/>
      <c r="C185" s="6">
        <f>TRIM(A185&amp;"")</f>
        <v/>
      </c>
      <c r="D185" s="6">
        <f>IF(C185="","",SUBSTITUTE(SUBSTITUTE(SUBSTITUTE(SUBSTITUTE(SUBSTITUTE(SUBSTITUTE(SUBSTITUTE(UPPER(TRIM(B185&amp;"")),"₹",""),"RS.",""),"RS",""),"INR",""),"$",""),",","")," ",""))</f>
        <v/>
      </c>
      <c r="E185" s="6">
        <f>IF(C185="","",IF(RIGHT(D185,2)="CR","Cr",IF(RIGHT(D185,2)="DR","Dr","")))</f>
        <v/>
      </c>
      <c r="F185" s="6">
        <f>IF(C185="","",IF(E185&lt;&gt;"",LEFT(D185,LEN(D185)-2),D185))</f>
        <v/>
      </c>
      <c r="G185" s="13">
        <f>IF(C185="","",IF(OR(IF(AND(LEFT(F185,1)="(",RIGHT(F185,1)=")"),MID(F185,2,LEN(F185)-2),F185)="",IF(AND(LEFT(F185,1)="(",RIGHT(F185,1)=")"),MID(F185,2,LEN(F185)-2),F185)="-"),0,IFERROR(VALUE(IF(AND(LEFT(F185,1)="(",RIGHT(F185,1)=")"),MID(F185,2,LEN(F185)-2),F185))*IF(AND(LEFT(F185,1)="(",RIGHT(F185,1)=")"),-1,1)*IF(E185="Cr",Setup!$B$6,1),"ERR")))</f>
        <v/>
      </c>
      <c r="H185" s="6">
        <f>IF(C185="","",IF(ISNUMBER(G185),1,0))</f>
        <v/>
      </c>
      <c r="I185" s="6">
        <f>IF(C185="","",IF(SUMPRODUCT(($C$12:$C$1511=C185)*1)&gt;1,1,0))</f>
        <v/>
      </c>
      <c r="J185" s="6">
        <f>IF(C185="","",SUMPRODUCT((Mapping!$F$5:$F$504=Setup!$B$4&amp;"||"&amp;C185)*ROW(Mapping!$F$5:$F$504)))</f>
        <v/>
      </c>
      <c r="K185" s="6">
        <f>IF(C185="","",IF(J185=0,"UNMAPPED",LOWER(INDEX(Mapping!$D$1:$D$504,J185))))</f>
        <v/>
      </c>
      <c r="L185" s="6">
        <f>IF(K185="mapped",TRIM(INDEX(Mapping!$C$1:$C$504,J185)),"")</f>
        <v/>
      </c>
      <c r="M185" s="6">
        <f>IF(C185="","",IF(SUMPRODUCT(($C$12:C185=C185)*1)=1,1,0))</f>
        <v/>
      </c>
      <c r="N185" s="6">
        <f>IF(AND(K185="UNMAPPED",M185=1),ROW(),"")</f>
        <v/>
      </c>
      <c r="O185" s="6">
        <f>IF(AND(I185=1,M185=1),ROW(),"")</f>
        <v/>
      </c>
      <c r="P185" s="6">
        <f>IF(AND(K185="ignored",M185=1),ROW(),"")</f>
        <v/>
      </c>
    </row>
    <row r="186">
      <c r="A186" s="8" t="n"/>
      <c r="B186" s="8" t="n"/>
      <c r="C186" s="6">
        <f>TRIM(A186&amp;"")</f>
        <v/>
      </c>
      <c r="D186" s="6">
        <f>IF(C186="","",SUBSTITUTE(SUBSTITUTE(SUBSTITUTE(SUBSTITUTE(SUBSTITUTE(SUBSTITUTE(SUBSTITUTE(UPPER(TRIM(B186&amp;"")),"₹",""),"RS.",""),"RS",""),"INR",""),"$",""),",","")," ",""))</f>
        <v/>
      </c>
      <c r="E186" s="6">
        <f>IF(C186="","",IF(RIGHT(D186,2)="CR","Cr",IF(RIGHT(D186,2)="DR","Dr","")))</f>
        <v/>
      </c>
      <c r="F186" s="6">
        <f>IF(C186="","",IF(E186&lt;&gt;"",LEFT(D186,LEN(D186)-2),D186))</f>
        <v/>
      </c>
      <c r="G186" s="13">
        <f>IF(C186="","",IF(OR(IF(AND(LEFT(F186,1)="(",RIGHT(F186,1)=")"),MID(F186,2,LEN(F186)-2),F186)="",IF(AND(LEFT(F186,1)="(",RIGHT(F186,1)=")"),MID(F186,2,LEN(F186)-2),F186)="-"),0,IFERROR(VALUE(IF(AND(LEFT(F186,1)="(",RIGHT(F186,1)=")"),MID(F186,2,LEN(F186)-2),F186))*IF(AND(LEFT(F186,1)="(",RIGHT(F186,1)=")"),-1,1)*IF(E186="Cr",Setup!$B$6,1),"ERR")))</f>
        <v/>
      </c>
      <c r="H186" s="6">
        <f>IF(C186="","",IF(ISNUMBER(G186),1,0))</f>
        <v/>
      </c>
      <c r="I186" s="6">
        <f>IF(C186="","",IF(SUMPRODUCT(($C$12:$C$1511=C186)*1)&gt;1,1,0))</f>
        <v/>
      </c>
      <c r="J186" s="6">
        <f>IF(C186="","",SUMPRODUCT((Mapping!$F$5:$F$504=Setup!$B$4&amp;"||"&amp;C186)*ROW(Mapping!$F$5:$F$504)))</f>
        <v/>
      </c>
      <c r="K186" s="6">
        <f>IF(C186="","",IF(J186=0,"UNMAPPED",LOWER(INDEX(Mapping!$D$1:$D$504,J186))))</f>
        <v/>
      </c>
      <c r="L186" s="6">
        <f>IF(K186="mapped",TRIM(INDEX(Mapping!$C$1:$C$504,J186)),"")</f>
        <v/>
      </c>
      <c r="M186" s="6">
        <f>IF(C186="","",IF(SUMPRODUCT(($C$12:C186=C186)*1)=1,1,0))</f>
        <v/>
      </c>
      <c r="N186" s="6">
        <f>IF(AND(K186="UNMAPPED",M186=1),ROW(),"")</f>
        <v/>
      </c>
      <c r="O186" s="6">
        <f>IF(AND(I186=1,M186=1),ROW(),"")</f>
        <v/>
      </c>
      <c r="P186" s="6">
        <f>IF(AND(K186="ignored",M186=1),ROW(),"")</f>
        <v/>
      </c>
    </row>
    <row r="187">
      <c r="A187" s="8" t="n"/>
      <c r="B187" s="8" t="n"/>
      <c r="C187" s="6">
        <f>TRIM(A187&amp;"")</f>
        <v/>
      </c>
      <c r="D187" s="6">
        <f>IF(C187="","",SUBSTITUTE(SUBSTITUTE(SUBSTITUTE(SUBSTITUTE(SUBSTITUTE(SUBSTITUTE(SUBSTITUTE(UPPER(TRIM(B187&amp;"")),"₹",""),"RS.",""),"RS",""),"INR",""),"$",""),",","")," ",""))</f>
        <v/>
      </c>
      <c r="E187" s="6">
        <f>IF(C187="","",IF(RIGHT(D187,2)="CR","Cr",IF(RIGHT(D187,2)="DR","Dr","")))</f>
        <v/>
      </c>
      <c r="F187" s="6">
        <f>IF(C187="","",IF(E187&lt;&gt;"",LEFT(D187,LEN(D187)-2),D187))</f>
        <v/>
      </c>
      <c r="G187" s="13">
        <f>IF(C187="","",IF(OR(IF(AND(LEFT(F187,1)="(",RIGHT(F187,1)=")"),MID(F187,2,LEN(F187)-2),F187)="",IF(AND(LEFT(F187,1)="(",RIGHT(F187,1)=")"),MID(F187,2,LEN(F187)-2),F187)="-"),0,IFERROR(VALUE(IF(AND(LEFT(F187,1)="(",RIGHT(F187,1)=")"),MID(F187,2,LEN(F187)-2),F187))*IF(AND(LEFT(F187,1)="(",RIGHT(F187,1)=")"),-1,1)*IF(E187="Cr",Setup!$B$6,1),"ERR")))</f>
        <v/>
      </c>
      <c r="H187" s="6">
        <f>IF(C187="","",IF(ISNUMBER(G187),1,0))</f>
        <v/>
      </c>
      <c r="I187" s="6">
        <f>IF(C187="","",IF(SUMPRODUCT(($C$12:$C$1511=C187)*1)&gt;1,1,0))</f>
        <v/>
      </c>
      <c r="J187" s="6">
        <f>IF(C187="","",SUMPRODUCT((Mapping!$F$5:$F$504=Setup!$B$4&amp;"||"&amp;C187)*ROW(Mapping!$F$5:$F$504)))</f>
        <v/>
      </c>
      <c r="K187" s="6">
        <f>IF(C187="","",IF(J187=0,"UNMAPPED",LOWER(INDEX(Mapping!$D$1:$D$504,J187))))</f>
        <v/>
      </c>
      <c r="L187" s="6">
        <f>IF(K187="mapped",TRIM(INDEX(Mapping!$C$1:$C$504,J187)),"")</f>
        <v/>
      </c>
      <c r="M187" s="6">
        <f>IF(C187="","",IF(SUMPRODUCT(($C$12:C187=C187)*1)=1,1,0))</f>
        <v/>
      </c>
      <c r="N187" s="6">
        <f>IF(AND(K187="UNMAPPED",M187=1),ROW(),"")</f>
        <v/>
      </c>
      <c r="O187" s="6">
        <f>IF(AND(I187=1,M187=1),ROW(),"")</f>
        <v/>
      </c>
      <c r="P187" s="6">
        <f>IF(AND(K187="ignored",M187=1),ROW(),"")</f>
        <v/>
      </c>
    </row>
    <row r="188">
      <c r="A188" s="8" t="n"/>
      <c r="B188" s="8" t="n"/>
      <c r="C188" s="6">
        <f>TRIM(A188&amp;"")</f>
        <v/>
      </c>
      <c r="D188" s="6">
        <f>IF(C188="","",SUBSTITUTE(SUBSTITUTE(SUBSTITUTE(SUBSTITUTE(SUBSTITUTE(SUBSTITUTE(SUBSTITUTE(UPPER(TRIM(B188&amp;"")),"₹",""),"RS.",""),"RS",""),"INR",""),"$",""),",","")," ",""))</f>
        <v/>
      </c>
      <c r="E188" s="6">
        <f>IF(C188="","",IF(RIGHT(D188,2)="CR","Cr",IF(RIGHT(D188,2)="DR","Dr","")))</f>
        <v/>
      </c>
      <c r="F188" s="6">
        <f>IF(C188="","",IF(E188&lt;&gt;"",LEFT(D188,LEN(D188)-2),D188))</f>
        <v/>
      </c>
      <c r="G188" s="13">
        <f>IF(C188="","",IF(OR(IF(AND(LEFT(F188,1)="(",RIGHT(F188,1)=")"),MID(F188,2,LEN(F188)-2),F188)="",IF(AND(LEFT(F188,1)="(",RIGHT(F188,1)=")"),MID(F188,2,LEN(F188)-2),F188)="-"),0,IFERROR(VALUE(IF(AND(LEFT(F188,1)="(",RIGHT(F188,1)=")"),MID(F188,2,LEN(F188)-2),F188))*IF(AND(LEFT(F188,1)="(",RIGHT(F188,1)=")"),-1,1)*IF(E188="Cr",Setup!$B$6,1),"ERR")))</f>
        <v/>
      </c>
      <c r="H188" s="6">
        <f>IF(C188="","",IF(ISNUMBER(G188),1,0))</f>
        <v/>
      </c>
      <c r="I188" s="6">
        <f>IF(C188="","",IF(SUMPRODUCT(($C$12:$C$1511=C188)*1)&gt;1,1,0))</f>
        <v/>
      </c>
      <c r="J188" s="6">
        <f>IF(C188="","",SUMPRODUCT((Mapping!$F$5:$F$504=Setup!$B$4&amp;"||"&amp;C188)*ROW(Mapping!$F$5:$F$504)))</f>
        <v/>
      </c>
      <c r="K188" s="6">
        <f>IF(C188="","",IF(J188=0,"UNMAPPED",LOWER(INDEX(Mapping!$D$1:$D$504,J188))))</f>
        <v/>
      </c>
      <c r="L188" s="6">
        <f>IF(K188="mapped",TRIM(INDEX(Mapping!$C$1:$C$504,J188)),"")</f>
        <v/>
      </c>
      <c r="M188" s="6">
        <f>IF(C188="","",IF(SUMPRODUCT(($C$12:C188=C188)*1)=1,1,0))</f>
        <v/>
      </c>
      <c r="N188" s="6">
        <f>IF(AND(K188="UNMAPPED",M188=1),ROW(),"")</f>
        <v/>
      </c>
      <c r="O188" s="6">
        <f>IF(AND(I188=1,M188=1),ROW(),"")</f>
        <v/>
      </c>
      <c r="P188" s="6">
        <f>IF(AND(K188="ignored",M188=1),ROW(),"")</f>
        <v/>
      </c>
    </row>
    <row r="189">
      <c r="A189" s="8" t="n"/>
      <c r="B189" s="8" t="n"/>
      <c r="C189" s="6">
        <f>TRIM(A189&amp;"")</f>
        <v/>
      </c>
      <c r="D189" s="6">
        <f>IF(C189="","",SUBSTITUTE(SUBSTITUTE(SUBSTITUTE(SUBSTITUTE(SUBSTITUTE(SUBSTITUTE(SUBSTITUTE(UPPER(TRIM(B189&amp;"")),"₹",""),"RS.",""),"RS",""),"INR",""),"$",""),",","")," ",""))</f>
        <v/>
      </c>
      <c r="E189" s="6">
        <f>IF(C189="","",IF(RIGHT(D189,2)="CR","Cr",IF(RIGHT(D189,2)="DR","Dr","")))</f>
        <v/>
      </c>
      <c r="F189" s="6">
        <f>IF(C189="","",IF(E189&lt;&gt;"",LEFT(D189,LEN(D189)-2),D189))</f>
        <v/>
      </c>
      <c r="G189" s="13">
        <f>IF(C189="","",IF(OR(IF(AND(LEFT(F189,1)="(",RIGHT(F189,1)=")"),MID(F189,2,LEN(F189)-2),F189)="",IF(AND(LEFT(F189,1)="(",RIGHT(F189,1)=")"),MID(F189,2,LEN(F189)-2),F189)="-"),0,IFERROR(VALUE(IF(AND(LEFT(F189,1)="(",RIGHT(F189,1)=")"),MID(F189,2,LEN(F189)-2),F189))*IF(AND(LEFT(F189,1)="(",RIGHT(F189,1)=")"),-1,1)*IF(E189="Cr",Setup!$B$6,1),"ERR")))</f>
        <v/>
      </c>
      <c r="H189" s="6">
        <f>IF(C189="","",IF(ISNUMBER(G189),1,0))</f>
        <v/>
      </c>
      <c r="I189" s="6">
        <f>IF(C189="","",IF(SUMPRODUCT(($C$12:$C$1511=C189)*1)&gt;1,1,0))</f>
        <v/>
      </c>
      <c r="J189" s="6">
        <f>IF(C189="","",SUMPRODUCT((Mapping!$F$5:$F$504=Setup!$B$4&amp;"||"&amp;C189)*ROW(Mapping!$F$5:$F$504)))</f>
        <v/>
      </c>
      <c r="K189" s="6">
        <f>IF(C189="","",IF(J189=0,"UNMAPPED",LOWER(INDEX(Mapping!$D$1:$D$504,J189))))</f>
        <v/>
      </c>
      <c r="L189" s="6">
        <f>IF(K189="mapped",TRIM(INDEX(Mapping!$C$1:$C$504,J189)),"")</f>
        <v/>
      </c>
      <c r="M189" s="6">
        <f>IF(C189="","",IF(SUMPRODUCT(($C$12:C189=C189)*1)=1,1,0))</f>
        <v/>
      </c>
      <c r="N189" s="6">
        <f>IF(AND(K189="UNMAPPED",M189=1),ROW(),"")</f>
        <v/>
      </c>
      <c r="O189" s="6">
        <f>IF(AND(I189=1,M189=1),ROW(),"")</f>
        <v/>
      </c>
      <c r="P189" s="6">
        <f>IF(AND(K189="ignored",M189=1),ROW(),"")</f>
        <v/>
      </c>
    </row>
    <row r="190">
      <c r="A190" s="8" t="n"/>
      <c r="B190" s="8" t="n"/>
      <c r="C190" s="6">
        <f>TRIM(A190&amp;"")</f>
        <v/>
      </c>
      <c r="D190" s="6">
        <f>IF(C190="","",SUBSTITUTE(SUBSTITUTE(SUBSTITUTE(SUBSTITUTE(SUBSTITUTE(SUBSTITUTE(SUBSTITUTE(UPPER(TRIM(B190&amp;"")),"₹",""),"RS.",""),"RS",""),"INR",""),"$",""),",","")," ",""))</f>
        <v/>
      </c>
      <c r="E190" s="6">
        <f>IF(C190="","",IF(RIGHT(D190,2)="CR","Cr",IF(RIGHT(D190,2)="DR","Dr","")))</f>
        <v/>
      </c>
      <c r="F190" s="6">
        <f>IF(C190="","",IF(E190&lt;&gt;"",LEFT(D190,LEN(D190)-2),D190))</f>
        <v/>
      </c>
      <c r="G190" s="13">
        <f>IF(C190="","",IF(OR(IF(AND(LEFT(F190,1)="(",RIGHT(F190,1)=")"),MID(F190,2,LEN(F190)-2),F190)="",IF(AND(LEFT(F190,1)="(",RIGHT(F190,1)=")"),MID(F190,2,LEN(F190)-2),F190)="-"),0,IFERROR(VALUE(IF(AND(LEFT(F190,1)="(",RIGHT(F190,1)=")"),MID(F190,2,LEN(F190)-2),F190))*IF(AND(LEFT(F190,1)="(",RIGHT(F190,1)=")"),-1,1)*IF(E190="Cr",Setup!$B$6,1),"ERR")))</f>
        <v/>
      </c>
      <c r="H190" s="6">
        <f>IF(C190="","",IF(ISNUMBER(G190),1,0))</f>
        <v/>
      </c>
      <c r="I190" s="6">
        <f>IF(C190="","",IF(SUMPRODUCT(($C$12:$C$1511=C190)*1)&gt;1,1,0))</f>
        <v/>
      </c>
      <c r="J190" s="6">
        <f>IF(C190="","",SUMPRODUCT((Mapping!$F$5:$F$504=Setup!$B$4&amp;"||"&amp;C190)*ROW(Mapping!$F$5:$F$504)))</f>
        <v/>
      </c>
      <c r="K190" s="6">
        <f>IF(C190="","",IF(J190=0,"UNMAPPED",LOWER(INDEX(Mapping!$D$1:$D$504,J190))))</f>
        <v/>
      </c>
      <c r="L190" s="6">
        <f>IF(K190="mapped",TRIM(INDEX(Mapping!$C$1:$C$504,J190)),"")</f>
        <v/>
      </c>
      <c r="M190" s="6">
        <f>IF(C190="","",IF(SUMPRODUCT(($C$12:C190=C190)*1)=1,1,0))</f>
        <v/>
      </c>
      <c r="N190" s="6">
        <f>IF(AND(K190="UNMAPPED",M190=1),ROW(),"")</f>
        <v/>
      </c>
      <c r="O190" s="6">
        <f>IF(AND(I190=1,M190=1),ROW(),"")</f>
        <v/>
      </c>
      <c r="P190" s="6">
        <f>IF(AND(K190="ignored",M190=1),ROW(),"")</f>
        <v/>
      </c>
    </row>
    <row r="191">
      <c r="A191" s="8" t="n"/>
      <c r="B191" s="8" t="n"/>
      <c r="C191" s="6">
        <f>TRIM(A191&amp;"")</f>
        <v/>
      </c>
      <c r="D191" s="6">
        <f>IF(C191="","",SUBSTITUTE(SUBSTITUTE(SUBSTITUTE(SUBSTITUTE(SUBSTITUTE(SUBSTITUTE(SUBSTITUTE(UPPER(TRIM(B191&amp;"")),"₹",""),"RS.",""),"RS",""),"INR",""),"$",""),",","")," ",""))</f>
        <v/>
      </c>
      <c r="E191" s="6">
        <f>IF(C191="","",IF(RIGHT(D191,2)="CR","Cr",IF(RIGHT(D191,2)="DR","Dr","")))</f>
        <v/>
      </c>
      <c r="F191" s="6">
        <f>IF(C191="","",IF(E191&lt;&gt;"",LEFT(D191,LEN(D191)-2),D191))</f>
        <v/>
      </c>
      <c r="G191" s="13">
        <f>IF(C191="","",IF(OR(IF(AND(LEFT(F191,1)="(",RIGHT(F191,1)=")"),MID(F191,2,LEN(F191)-2),F191)="",IF(AND(LEFT(F191,1)="(",RIGHT(F191,1)=")"),MID(F191,2,LEN(F191)-2),F191)="-"),0,IFERROR(VALUE(IF(AND(LEFT(F191,1)="(",RIGHT(F191,1)=")"),MID(F191,2,LEN(F191)-2),F191))*IF(AND(LEFT(F191,1)="(",RIGHT(F191,1)=")"),-1,1)*IF(E191="Cr",Setup!$B$6,1),"ERR")))</f>
        <v/>
      </c>
      <c r="H191" s="6">
        <f>IF(C191="","",IF(ISNUMBER(G191),1,0))</f>
        <v/>
      </c>
      <c r="I191" s="6">
        <f>IF(C191="","",IF(SUMPRODUCT(($C$12:$C$1511=C191)*1)&gt;1,1,0))</f>
        <v/>
      </c>
      <c r="J191" s="6">
        <f>IF(C191="","",SUMPRODUCT((Mapping!$F$5:$F$504=Setup!$B$4&amp;"||"&amp;C191)*ROW(Mapping!$F$5:$F$504)))</f>
        <v/>
      </c>
      <c r="K191" s="6">
        <f>IF(C191="","",IF(J191=0,"UNMAPPED",LOWER(INDEX(Mapping!$D$1:$D$504,J191))))</f>
        <v/>
      </c>
      <c r="L191" s="6">
        <f>IF(K191="mapped",TRIM(INDEX(Mapping!$C$1:$C$504,J191)),"")</f>
        <v/>
      </c>
      <c r="M191" s="6">
        <f>IF(C191="","",IF(SUMPRODUCT(($C$12:C191=C191)*1)=1,1,0))</f>
        <v/>
      </c>
      <c r="N191" s="6">
        <f>IF(AND(K191="UNMAPPED",M191=1),ROW(),"")</f>
        <v/>
      </c>
      <c r="O191" s="6">
        <f>IF(AND(I191=1,M191=1),ROW(),"")</f>
        <v/>
      </c>
      <c r="P191" s="6">
        <f>IF(AND(K191="ignored",M191=1),ROW(),"")</f>
        <v/>
      </c>
    </row>
    <row r="192">
      <c r="A192" s="8" t="n"/>
      <c r="B192" s="8" t="n"/>
      <c r="C192" s="6">
        <f>TRIM(A192&amp;"")</f>
        <v/>
      </c>
      <c r="D192" s="6">
        <f>IF(C192="","",SUBSTITUTE(SUBSTITUTE(SUBSTITUTE(SUBSTITUTE(SUBSTITUTE(SUBSTITUTE(SUBSTITUTE(UPPER(TRIM(B192&amp;"")),"₹",""),"RS.",""),"RS",""),"INR",""),"$",""),",","")," ",""))</f>
        <v/>
      </c>
      <c r="E192" s="6">
        <f>IF(C192="","",IF(RIGHT(D192,2)="CR","Cr",IF(RIGHT(D192,2)="DR","Dr","")))</f>
        <v/>
      </c>
      <c r="F192" s="6">
        <f>IF(C192="","",IF(E192&lt;&gt;"",LEFT(D192,LEN(D192)-2),D192))</f>
        <v/>
      </c>
      <c r="G192" s="13">
        <f>IF(C192="","",IF(OR(IF(AND(LEFT(F192,1)="(",RIGHT(F192,1)=")"),MID(F192,2,LEN(F192)-2),F192)="",IF(AND(LEFT(F192,1)="(",RIGHT(F192,1)=")"),MID(F192,2,LEN(F192)-2),F192)="-"),0,IFERROR(VALUE(IF(AND(LEFT(F192,1)="(",RIGHT(F192,1)=")"),MID(F192,2,LEN(F192)-2),F192))*IF(AND(LEFT(F192,1)="(",RIGHT(F192,1)=")"),-1,1)*IF(E192="Cr",Setup!$B$6,1),"ERR")))</f>
        <v/>
      </c>
      <c r="H192" s="6">
        <f>IF(C192="","",IF(ISNUMBER(G192),1,0))</f>
        <v/>
      </c>
      <c r="I192" s="6">
        <f>IF(C192="","",IF(SUMPRODUCT(($C$12:$C$1511=C192)*1)&gt;1,1,0))</f>
        <v/>
      </c>
      <c r="J192" s="6">
        <f>IF(C192="","",SUMPRODUCT((Mapping!$F$5:$F$504=Setup!$B$4&amp;"||"&amp;C192)*ROW(Mapping!$F$5:$F$504)))</f>
        <v/>
      </c>
      <c r="K192" s="6">
        <f>IF(C192="","",IF(J192=0,"UNMAPPED",LOWER(INDEX(Mapping!$D$1:$D$504,J192))))</f>
        <v/>
      </c>
      <c r="L192" s="6">
        <f>IF(K192="mapped",TRIM(INDEX(Mapping!$C$1:$C$504,J192)),"")</f>
        <v/>
      </c>
      <c r="M192" s="6">
        <f>IF(C192="","",IF(SUMPRODUCT(($C$12:C192=C192)*1)=1,1,0))</f>
        <v/>
      </c>
      <c r="N192" s="6">
        <f>IF(AND(K192="UNMAPPED",M192=1),ROW(),"")</f>
        <v/>
      </c>
      <c r="O192" s="6">
        <f>IF(AND(I192=1,M192=1),ROW(),"")</f>
        <v/>
      </c>
      <c r="P192" s="6">
        <f>IF(AND(K192="ignored",M192=1),ROW(),"")</f>
        <v/>
      </c>
    </row>
    <row r="193">
      <c r="A193" s="8" t="n"/>
      <c r="B193" s="8" t="n"/>
      <c r="C193" s="6">
        <f>TRIM(A193&amp;"")</f>
        <v/>
      </c>
      <c r="D193" s="6">
        <f>IF(C193="","",SUBSTITUTE(SUBSTITUTE(SUBSTITUTE(SUBSTITUTE(SUBSTITUTE(SUBSTITUTE(SUBSTITUTE(UPPER(TRIM(B193&amp;"")),"₹",""),"RS.",""),"RS",""),"INR",""),"$",""),",","")," ",""))</f>
        <v/>
      </c>
      <c r="E193" s="6">
        <f>IF(C193="","",IF(RIGHT(D193,2)="CR","Cr",IF(RIGHT(D193,2)="DR","Dr","")))</f>
        <v/>
      </c>
      <c r="F193" s="6">
        <f>IF(C193="","",IF(E193&lt;&gt;"",LEFT(D193,LEN(D193)-2),D193))</f>
        <v/>
      </c>
      <c r="G193" s="13">
        <f>IF(C193="","",IF(OR(IF(AND(LEFT(F193,1)="(",RIGHT(F193,1)=")"),MID(F193,2,LEN(F193)-2),F193)="",IF(AND(LEFT(F193,1)="(",RIGHT(F193,1)=")"),MID(F193,2,LEN(F193)-2),F193)="-"),0,IFERROR(VALUE(IF(AND(LEFT(F193,1)="(",RIGHT(F193,1)=")"),MID(F193,2,LEN(F193)-2),F193))*IF(AND(LEFT(F193,1)="(",RIGHT(F193,1)=")"),-1,1)*IF(E193="Cr",Setup!$B$6,1),"ERR")))</f>
        <v/>
      </c>
      <c r="H193" s="6">
        <f>IF(C193="","",IF(ISNUMBER(G193),1,0))</f>
        <v/>
      </c>
      <c r="I193" s="6">
        <f>IF(C193="","",IF(SUMPRODUCT(($C$12:$C$1511=C193)*1)&gt;1,1,0))</f>
        <v/>
      </c>
      <c r="J193" s="6">
        <f>IF(C193="","",SUMPRODUCT((Mapping!$F$5:$F$504=Setup!$B$4&amp;"||"&amp;C193)*ROW(Mapping!$F$5:$F$504)))</f>
        <v/>
      </c>
      <c r="K193" s="6">
        <f>IF(C193="","",IF(J193=0,"UNMAPPED",LOWER(INDEX(Mapping!$D$1:$D$504,J193))))</f>
        <v/>
      </c>
      <c r="L193" s="6">
        <f>IF(K193="mapped",TRIM(INDEX(Mapping!$C$1:$C$504,J193)),"")</f>
        <v/>
      </c>
      <c r="M193" s="6">
        <f>IF(C193="","",IF(SUMPRODUCT(($C$12:C193=C193)*1)=1,1,0))</f>
        <v/>
      </c>
      <c r="N193" s="6">
        <f>IF(AND(K193="UNMAPPED",M193=1),ROW(),"")</f>
        <v/>
      </c>
      <c r="O193" s="6">
        <f>IF(AND(I193=1,M193=1),ROW(),"")</f>
        <v/>
      </c>
      <c r="P193" s="6">
        <f>IF(AND(K193="ignored",M193=1),ROW(),"")</f>
        <v/>
      </c>
    </row>
    <row r="194">
      <c r="A194" s="8" t="n"/>
      <c r="B194" s="8" t="n"/>
      <c r="C194" s="6">
        <f>TRIM(A194&amp;"")</f>
        <v/>
      </c>
      <c r="D194" s="6">
        <f>IF(C194="","",SUBSTITUTE(SUBSTITUTE(SUBSTITUTE(SUBSTITUTE(SUBSTITUTE(SUBSTITUTE(SUBSTITUTE(UPPER(TRIM(B194&amp;"")),"₹",""),"RS.",""),"RS",""),"INR",""),"$",""),",","")," ",""))</f>
        <v/>
      </c>
      <c r="E194" s="6">
        <f>IF(C194="","",IF(RIGHT(D194,2)="CR","Cr",IF(RIGHT(D194,2)="DR","Dr","")))</f>
        <v/>
      </c>
      <c r="F194" s="6">
        <f>IF(C194="","",IF(E194&lt;&gt;"",LEFT(D194,LEN(D194)-2),D194))</f>
        <v/>
      </c>
      <c r="G194" s="13">
        <f>IF(C194="","",IF(OR(IF(AND(LEFT(F194,1)="(",RIGHT(F194,1)=")"),MID(F194,2,LEN(F194)-2),F194)="",IF(AND(LEFT(F194,1)="(",RIGHT(F194,1)=")"),MID(F194,2,LEN(F194)-2),F194)="-"),0,IFERROR(VALUE(IF(AND(LEFT(F194,1)="(",RIGHT(F194,1)=")"),MID(F194,2,LEN(F194)-2),F194))*IF(AND(LEFT(F194,1)="(",RIGHT(F194,1)=")"),-1,1)*IF(E194="Cr",Setup!$B$6,1),"ERR")))</f>
        <v/>
      </c>
      <c r="H194" s="6">
        <f>IF(C194="","",IF(ISNUMBER(G194),1,0))</f>
        <v/>
      </c>
      <c r="I194" s="6">
        <f>IF(C194="","",IF(SUMPRODUCT(($C$12:$C$1511=C194)*1)&gt;1,1,0))</f>
        <v/>
      </c>
      <c r="J194" s="6">
        <f>IF(C194="","",SUMPRODUCT((Mapping!$F$5:$F$504=Setup!$B$4&amp;"||"&amp;C194)*ROW(Mapping!$F$5:$F$504)))</f>
        <v/>
      </c>
      <c r="K194" s="6">
        <f>IF(C194="","",IF(J194=0,"UNMAPPED",LOWER(INDEX(Mapping!$D$1:$D$504,J194))))</f>
        <v/>
      </c>
      <c r="L194" s="6">
        <f>IF(K194="mapped",TRIM(INDEX(Mapping!$C$1:$C$504,J194)),"")</f>
        <v/>
      </c>
      <c r="M194" s="6">
        <f>IF(C194="","",IF(SUMPRODUCT(($C$12:C194=C194)*1)=1,1,0))</f>
        <v/>
      </c>
      <c r="N194" s="6">
        <f>IF(AND(K194="UNMAPPED",M194=1),ROW(),"")</f>
        <v/>
      </c>
      <c r="O194" s="6">
        <f>IF(AND(I194=1,M194=1),ROW(),"")</f>
        <v/>
      </c>
      <c r="P194" s="6">
        <f>IF(AND(K194="ignored",M194=1),ROW(),"")</f>
        <v/>
      </c>
    </row>
    <row r="195">
      <c r="A195" s="8" t="n"/>
      <c r="B195" s="8" t="n"/>
      <c r="C195" s="6">
        <f>TRIM(A195&amp;"")</f>
        <v/>
      </c>
      <c r="D195" s="6">
        <f>IF(C195="","",SUBSTITUTE(SUBSTITUTE(SUBSTITUTE(SUBSTITUTE(SUBSTITUTE(SUBSTITUTE(SUBSTITUTE(UPPER(TRIM(B195&amp;"")),"₹",""),"RS.",""),"RS",""),"INR",""),"$",""),",","")," ",""))</f>
        <v/>
      </c>
      <c r="E195" s="6">
        <f>IF(C195="","",IF(RIGHT(D195,2)="CR","Cr",IF(RIGHT(D195,2)="DR","Dr","")))</f>
        <v/>
      </c>
      <c r="F195" s="6">
        <f>IF(C195="","",IF(E195&lt;&gt;"",LEFT(D195,LEN(D195)-2),D195))</f>
        <v/>
      </c>
      <c r="G195" s="13">
        <f>IF(C195="","",IF(OR(IF(AND(LEFT(F195,1)="(",RIGHT(F195,1)=")"),MID(F195,2,LEN(F195)-2),F195)="",IF(AND(LEFT(F195,1)="(",RIGHT(F195,1)=")"),MID(F195,2,LEN(F195)-2),F195)="-"),0,IFERROR(VALUE(IF(AND(LEFT(F195,1)="(",RIGHT(F195,1)=")"),MID(F195,2,LEN(F195)-2),F195))*IF(AND(LEFT(F195,1)="(",RIGHT(F195,1)=")"),-1,1)*IF(E195="Cr",Setup!$B$6,1),"ERR")))</f>
        <v/>
      </c>
      <c r="H195" s="6">
        <f>IF(C195="","",IF(ISNUMBER(G195),1,0))</f>
        <v/>
      </c>
      <c r="I195" s="6">
        <f>IF(C195="","",IF(SUMPRODUCT(($C$12:$C$1511=C195)*1)&gt;1,1,0))</f>
        <v/>
      </c>
      <c r="J195" s="6">
        <f>IF(C195="","",SUMPRODUCT((Mapping!$F$5:$F$504=Setup!$B$4&amp;"||"&amp;C195)*ROW(Mapping!$F$5:$F$504)))</f>
        <v/>
      </c>
      <c r="K195" s="6">
        <f>IF(C195="","",IF(J195=0,"UNMAPPED",LOWER(INDEX(Mapping!$D$1:$D$504,J195))))</f>
        <v/>
      </c>
      <c r="L195" s="6">
        <f>IF(K195="mapped",TRIM(INDEX(Mapping!$C$1:$C$504,J195)),"")</f>
        <v/>
      </c>
      <c r="M195" s="6">
        <f>IF(C195="","",IF(SUMPRODUCT(($C$12:C195=C195)*1)=1,1,0))</f>
        <v/>
      </c>
      <c r="N195" s="6">
        <f>IF(AND(K195="UNMAPPED",M195=1),ROW(),"")</f>
        <v/>
      </c>
      <c r="O195" s="6">
        <f>IF(AND(I195=1,M195=1),ROW(),"")</f>
        <v/>
      </c>
      <c r="P195" s="6">
        <f>IF(AND(K195="ignored",M195=1),ROW(),"")</f>
        <v/>
      </c>
    </row>
    <row r="196">
      <c r="A196" s="8" t="n"/>
      <c r="B196" s="8" t="n"/>
      <c r="C196" s="6">
        <f>TRIM(A196&amp;"")</f>
        <v/>
      </c>
      <c r="D196" s="6">
        <f>IF(C196="","",SUBSTITUTE(SUBSTITUTE(SUBSTITUTE(SUBSTITUTE(SUBSTITUTE(SUBSTITUTE(SUBSTITUTE(UPPER(TRIM(B196&amp;"")),"₹",""),"RS.",""),"RS",""),"INR",""),"$",""),",","")," ",""))</f>
        <v/>
      </c>
      <c r="E196" s="6">
        <f>IF(C196="","",IF(RIGHT(D196,2)="CR","Cr",IF(RIGHT(D196,2)="DR","Dr","")))</f>
        <v/>
      </c>
      <c r="F196" s="6">
        <f>IF(C196="","",IF(E196&lt;&gt;"",LEFT(D196,LEN(D196)-2),D196))</f>
        <v/>
      </c>
      <c r="G196" s="13">
        <f>IF(C196="","",IF(OR(IF(AND(LEFT(F196,1)="(",RIGHT(F196,1)=")"),MID(F196,2,LEN(F196)-2),F196)="",IF(AND(LEFT(F196,1)="(",RIGHT(F196,1)=")"),MID(F196,2,LEN(F196)-2),F196)="-"),0,IFERROR(VALUE(IF(AND(LEFT(F196,1)="(",RIGHT(F196,1)=")"),MID(F196,2,LEN(F196)-2),F196))*IF(AND(LEFT(F196,1)="(",RIGHT(F196,1)=")"),-1,1)*IF(E196="Cr",Setup!$B$6,1),"ERR")))</f>
        <v/>
      </c>
      <c r="H196" s="6">
        <f>IF(C196="","",IF(ISNUMBER(G196),1,0))</f>
        <v/>
      </c>
      <c r="I196" s="6">
        <f>IF(C196="","",IF(SUMPRODUCT(($C$12:$C$1511=C196)*1)&gt;1,1,0))</f>
        <v/>
      </c>
      <c r="J196" s="6">
        <f>IF(C196="","",SUMPRODUCT((Mapping!$F$5:$F$504=Setup!$B$4&amp;"||"&amp;C196)*ROW(Mapping!$F$5:$F$504)))</f>
        <v/>
      </c>
      <c r="K196" s="6">
        <f>IF(C196="","",IF(J196=0,"UNMAPPED",LOWER(INDEX(Mapping!$D$1:$D$504,J196))))</f>
        <v/>
      </c>
      <c r="L196" s="6">
        <f>IF(K196="mapped",TRIM(INDEX(Mapping!$C$1:$C$504,J196)),"")</f>
        <v/>
      </c>
      <c r="M196" s="6">
        <f>IF(C196="","",IF(SUMPRODUCT(($C$12:C196=C196)*1)=1,1,0))</f>
        <v/>
      </c>
      <c r="N196" s="6">
        <f>IF(AND(K196="UNMAPPED",M196=1),ROW(),"")</f>
        <v/>
      </c>
      <c r="O196" s="6">
        <f>IF(AND(I196=1,M196=1),ROW(),"")</f>
        <v/>
      </c>
      <c r="P196" s="6">
        <f>IF(AND(K196="ignored",M196=1),ROW(),"")</f>
        <v/>
      </c>
    </row>
    <row r="197">
      <c r="A197" s="8" t="n"/>
      <c r="B197" s="8" t="n"/>
      <c r="C197" s="6">
        <f>TRIM(A197&amp;"")</f>
        <v/>
      </c>
      <c r="D197" s="6">
        <f>IF(C197="","",SUBSTITUTE(SUBSTITUTE(SUBSTITUTE(SUBSTITUTE(SUBSTITUTE(SUBSTITUTE(SUBSTITUTE(UPPER(TRIM(B197&amp;"")),"₹",""),"RS.",""),"RS",""),"INR",""),"$",""),",","")," ",""))</f>
        <v/>
      </c>
      <c r="E197" s="6">
        <f>IF(C197="","",IF(RIGHT(D197,2)="CR","Cr",IF(RIGHT(D197,2)="DR","Dr","")))</f>
        <v/>
      </c>
      <c r="F197" s="6">
        <f>IF(C197="","",IF(E197&lt;&gt;"",LEFT(D197,LEN(D197)-2),D197))</f>
        <v/>
      </c>
      <c r="G197" s="13">
        <f>IF(C197="","",IF(OR(IF(AND(LEFT(F197,1)="(",RIGHT(F197,1)=")"),MID(F197,2,LEN(F197)-2),F197)="",IF(AND(LEFT(F197,1)="(",RIGHT(F197,1)=")"),MID(F197,2,LEN(F197)-2),F197)="-"),0,IFERROR(VALUE(IF(AND(LEFT(F197,1)="(",RIGHT(F197,1)=")"),MID(F197,2,LEN(F197)-2),F197))*IF(AND(LEFT(F197,1)="(",RIGHT(F197,1)=")"),-1,1)*IF(E197="Cr",Setup!$B$6,1),"ERR")))</f>
        <v/>
      </c>
      <c r="H197" s="6">
        <f>IF(C197="","",IF(ISNUMBER(G197),1,0))</f>
        <v/>
      </c>
      <c r="I197" s="6">
        <f>IF(C197="","",IF(SUMPRODUCT(($C$12:$C$1511=C197)*1)&gt;1,1,0))</f>
        <v/>
      </c>
      <c r="J197" s="6">
        <f>IF(C197="","",SUMPRODUCT((Mapping!$F$5:$F$504=Setup!$B$4&amp;"||"&amp;C197)*ROW(Mapping!$F$5:$F$504)))</f>
        <v/>
      </c>
      <c r="K197" s="6">
        <f>IF(C197="","",IF(J197=0,"UNMAPPED",LOWER(INDEX(Mapping!$D$1:$D$504,J197))))</f>
        <v/>
      </c>
      <c r="L197" s="6">
        <f>IF(K197="mapped",TRIM(INDEX(Mapping!$C$1:$C$504,J197)),"")</f>
        <v/>
      </c>
      <c r="M197" s="6">
        <f>IF(C197="","",IF(SUMPRODUCT(($C$12:C197=C197)*1)=1,1,0))</f>
        <v/>
      </c>
      <c r="N197" s="6">
        <f>IF(AND(K197="UNMAPPED",M197=1),ROW(),"")</f>
        <v/>
      </c>
      <c r="O197" s="6">
        <f>IF(AND(I197=1,M197=1),ROW(),"")</f>
        <v/>
      </c>
      <c r="P197" s="6">
        <f>IF(AND(K197="ignored",M197=1),ROW(),"")</f>
        <v/>
      </c>
    </row>
    <row r="198">
      <c r="A198" s="8" t="n"/>
      <c r="B198" s="8" t="n"/>
      <c r="C198" s="6">
        <f>TRIM(A198&amp;"")</f>
        <v/>
      </c>
      <c r="D198" s="6">
        <f>IF(C198="","",SUBSTITUTE(SUBSTITUTE(SUBSTITUTE(SUBSTITUTE(SUBSTITUTE(SUBSTITUTE(SUBSTITUTE(UPPER(TRIM(B198&amp;"")),"₹",""),"RS.",""),"RS",""),"INR",""),"$",""),",","")," ",""))</f>
        <v/>
      </c>
      <c r="E198" s="6">
        <f>IF(C198="","",IF(RIGHT(D198,2)="CR","Cr",IF(RIGHT(D198,2)="DR","Dr","")))</f>
        <v/>
      </c>
      <c r="F198" s="6">
        <f>IF(C198="","",IF(E198&lt;&gt;"",LEFT(D198,LEN(D198)-2),D198))</f>
        <v/>
      </c>
      <c r="G198" s="13">
        <f>IF(C198="","",IF(OR(IF(AND(LEFT(F198,1)="(",RIGHT(F198,1)=")"),MID(F198,2,LEN(F198)-2),F198)="",IF(AND(LEFT(F198,1)="(",RIGHT(F198,1)=")"),MID(F198,2,LEN(F198)-2),F198)="-"),0,IFERROR(VALUE(IF(AND(LEFT(F198,1)="(",RIGHT(F198,1)=")"),MID(F198,2,LEN(F198)-2),F198))*IF(AND(LEFT(F198,1)="(",RIGHT(F198,1)=")"),-1,1)*IF(E198="Cr",Setup!$B$6,1),"ERR")))</f>
        <v/>
      </c>
      <c r="H198" s="6">
        <f>IF(C198="","",IF(ISNUMBER(G198),1,0))</f>
        <v/>
      </c>
      <c r="I198" s="6">
        <f>IF(C198="","",IF(SUMPRODUCT(($C$12:$C$1511=C198)*1)&gt;1,1,0))</f>
        <v/>
      </c>
      <c r="J198" s="6">
        <f>IF(C198="","",SUMPRODUCT((Mapping!$F$5:$F$504=Setup!$B$4&amp;"||"&amp;C198)*ROW(Mapping!$F$5:$F$504)))</f>
        <v/>
      </c>
      <c r="K198" s="6">
        <f>IF(C198="","",IF(J198=0,"UNMAPPED",LOWER(INDEX(Mapping!$D$1:$D$504,J198))))</f>
        <v/>
      </c>
      <c r="L198" s="6">
        <f>IF(K198="mapped",TRIM(INDEX(Mapping!$C$1:$C$504,J198)),"")</f>
        <v/>
      </c>
      <c r="M198" s="6">
        <f>IF(C198="","",IF(SUMPRODUCT(($C$12:C198=C198)*1)=1,1,0))</f>
        <v/>
      </c>
      <c r="N198" s="6">
        <f>IF(AND(K198="UNMAPPED",M198=1),ROW(),"")</f>
        <v/>
      </c>
      <c r="O198" s="6">
        <f>IF(AND(I198=1,M198=1),ROW(),"")</f>
        <v/>
      </c>
      <c r="P198" s="6">
        <f>IF(AND(K198="ignored",M198=1),ROW(),"")</f>
        <v/>
      </c>
    </row>
    <row r="199">
      <c r="A199" s="8" t="n"/>
      <c r="B199" s="8" t="n"/>
      <c r="C199" s="6">
        <f>TRIM(A199&amp;"")</f>
        <v/>
      </c>
      <c r="D199" s="6">
        <f>IF(C199="","",SUBSTITUTE(SUBSTITUTE(SUBSTITUTE(SUBSTITUTE(SUBSTITUTE(SUBSTITUTE(SUBSTITUTE(UPPER(TRIM(B199&amp;"")),"₹",""),"RS.",""),"RS",""),"INR",""),"$",""),",","")," ",""))</f>
        <v/>
      </c>
      <c r="E199" s="6">
        <f>IF(C199="","",IF(RIGHT(D199,2)="CR","Cr",IF(RIGHT(D199,2)="DR","Dr","")))</f>
        <v/>
      </c>
      <c r="F199" s="6">
        <f>IF(C199="","",IF(E199&lt;&gt;"",LEFT(D199,LEN(D199)-2),D199))</f>
        <v/>
      </c>
      <c r="G199" s="13">
        <f>IF(C199="","",IF(OR(IF(AND(LEFT(F199,1)="(",RIGHT(F199,1)=")"),MID(F199,2,LEN(F199)-2),F199)="",IF(AND(LEFT(F199,1)="(",RIGHT(F199,1)=")"),MID(F199,2,LEN(F199)-2),F199)="-"),0,IFERROR(VALUE(IF(AND(LEFT(F199,1)="(",RIGHT(F199,1)=")"),MID(F199,2,LEN(F199)-2),F199))*IF(AND(LEFT(F199,1)="(",RIGHT(F199,1)=")"),-1,1)*IF(E199="Cr",Setup!$B$6,1),"ERR")))</f>
        <v/>
      </c>
      <c r="H199" s="6">
        <f>IF(C199="","",IF(ISNUMBER(G199),1,0))</f>
        <v/>
      </c>
      <c r="I199" s="6">
        <f>IF(C199="","",IF(SUMPRODUCT(($C$12:$C$1511=C199)*1)&gt;1,1,0))</f>
        <v/>
      </c>
      <c r="J199" s="6">
        <f>IF(C199="","",SUMPRODUCT((Mapping!$F$5:$F$504=Setup!$B$4&amp;"||"&amp;C199)*ROW(Mapping!$F$5:$F$504)))</f>
        <v/>
      </c>
      <c r="K199" s="6">
        <f>IF(C199="","",IF(J199=0,"UNMAPPED",LOWER(INDEX(Mapping!$D$1:$D$504,J199))))</f>
        <v/>
      </c>
      <c r="L199" s="6">
        <f>IF(K199="mapped",TRIM(INDEX(Mapping!$C$1:$C$504,J199)),"")</f>
        <v/>
      </c>
      <c r="M199" s="6">
        <f>IF(C199="","",IF(SUMPRODUCT(($C$12:C199=C199)*1)=1,1,0))</f>
        <v/>
      </c>
      <c r="N199" s="6">
        <f>IF(AND(K199="UNMAPPED",M199=1),ROW(),"")</f>
        <v/>
      </c>
      <c r="O199" s="6">
        <f>IF(AND(I199=1,M199=1),ROW(),"")</f>
        <v/>
      </c>
      <c r="P199" s="6">
        <f>IF(AND(K199="ignored",M199=1),ROW(),"")</f>
        <v/>
      </c>
    </row>
    <row r="200">
      <c r="A200" s="8" t="n"/>
      <c r="B200" s="8" t="n"/>
      <c r="C200" s="6">
        <f>TRIM(A200&amp;"")</f>
        <v/>
      </c>
      <c r="D200" s="6">
        <f>IF(C200="","",SUBSTITUTE(SUBSTITUTE(SUBSTITUTE(SUBSTITUTE(SUBSTITUTE(SUBSTITUTE(SUBSTITUTE(UPPER(TRIM(B200&amp;"")),"₹",""),"RS.",""),"RS",""),"INR",""),"$",""),",","")," ",""))</f>
        <v/>
      </c>
      <c r="E200" s="6">
        <f>IF(C200="","",IF(RIGHT(D200,2)="CR","Cr",IF(RIGHT(D200,2)="DR","Dr","")))</f>
        <v/>
      </c>
      <c r="F200" s="6">
        <f>IF(C200="","",IF(E200&lt;&gt;"",LEFT(D200,LEN(D200)-2),D200))</f>
        <v/>
      </c>
      <c r="G200" s="13">
        <f>IF(C200="","",IF(OR(IF(AND(LEFT(F200,1)="(",RIGHT(F200,1)=")"),MID(F200,2,LEN(F200)-2),F200)="",IF(AND(LEFT(F200,1)="(",RIGHT(F200,1)=")"),MID(F200,2,LEN(F200)-2),F200)="-"),0,IFERROR(VALUE(IF(AND(LEFT(F200,1)="(",RIGHT(F200,1)=")"),MID(F200,2,LEN(F200)-2),F200))*IF(AND(LEFT(F200,1)="(",RIGHT(F200,1)=")"),-1,1)*IF(E200="Cr",Setup!$B$6,1),"ERR")))</f>
        <v/>
      </c>
      <c r="H200" s="6">
        <f>IF(C200="","",IF(ISNUMBER(G200),1,0))</f>
        <v/>
      </c>
      <c r="I200" s="6">
        <f>IF(C200="","",IF(SUMPRODUCT(($C$12:$C$1511=C200)*1)&gt;1,1,0))</f>
        <v/>
      </c>
      <c r="J200" s="6">
        <f>IF(C200="","",SUMPRODUCT((Mapping!$F$5:$F$504=Setup!$B$4&amp;"||"&amp;C200)*ROW(Mapping!$F$5:$F$504)))</f>
        <v/>
      </c>
      <c r="K200" s="6">
        <f>IF(C200="","",IF(J200=0,"UNMAPPED",LOWER(INDEX(Mapping!$D$1:$D$504,J200))))</f>
        <v/>
      </c>
      <c r="L200" s="6">
        <f>IF(K200="mapped",TRIM(INDEX(Mapping!$C$1:$C$504,J200)),"")</f>
        <v/>
      </c>
      <c r="M200" s="6">
        <f>IF(C200="","",IF(SUMPRODUCT(($C$12:C200=C200)*1)=1,1,0))</f>
        <v/>
      </c>
      <c r="N200" s="6">
        <f>IF(AND(K200="UNMAPPED",M200=1),ROW(),"")</f>
        <v/>
      </c>
      <c r="O200" s="6">
        <f>IF(AND(I200=1,M200=1),ROW(),"")</f>
        <v/>
      </c>
      <c r="P200" s="6">
        <f>IF(AND(K200="ignored",M200=1),ROW(),"")</f>
        <v/>
      </c>
    </row>
    <row r="201">
      <c r="A201" s="8" t="n"/>
      <c r="B201" s="8" t="n"/>
      <c r="C201" s="6">
        <f>TRIM(A201&amp;"")</f>
        <v/>
      </c>
      <c r="D201" s="6">
        <f>IF(C201="","",SUBSTITUTE(SUBSTITUTE(SUBSTITUTE(SUBSTITUTE(SUBSTITUTE(SUBSTITUTE(SUBSTITUTE(UPPER(TRIM(B201&amp;"")),"₹",""),"RS.",""),"RS",""),"INR",""),"$",""),",","")," ",""))</f>
        <v/>
      </c>
      <c r="E201" s="6">
        <f>IF(C201="","",IF(RIGHT(D201,2)="CR","Cr",IF(RIGHT(D201,2)="DR","Dr","")))</f>
        <v/>
      </c>
      <c r="F201" s="6">
        <f>IF(C201="","",IF(E201&lt;&gt;"",LEFT(D201,LEN(D201)-2),D201))</f>
        <v/>
      </c>
      <c r="G201" s="13">
        <f>IF(C201="","",IF(OR(IF(AND(LEFT(F201,1)="(",RIGHT(F201,1)=")"),MID(F201,2,LEN(F201)-2),F201)="",IF(AND(LEFT(F201,1)="(",RIGHT(F201,1)=")"),MID(F201,2,LEN(F201)-2),F201)="-"),0,IFERROR(VALUE(IF(AND(LEFT(F201,1)="(",RIGHT(F201,1)=")"),MID(F201,2,LEN(F201)-2),F201))*IF(AND(LEFT(F201,1)="(",RIGHT(F201,1)=")"),-1,1)*IF(E201="Cr",Setup!$B$6,1),"ERR")))</f>
        <v/>
      </c>
      <c r="H201" s="6">
        <f>IF(C201="","",IF(ISNUMBER(G201),1,0))</f>
        <v/>
      </c>
      <c r="I201" s="6">
        <f>IF(C201="","",IF(SUMPRODUCT(($C$12:$C$1511=C201)*1)&gt;1,1,0))</f>
        <v/>
      </c>
      <c r="J201" s="6">
        <f>IF(C201="","",SUMPRODUCT((Mapping!$F$5:$F$504=Setup!$B$4&amp;"||"&amp;C201)*ROW(Mapping!$F$5:$F$504)))</f>
        <v/>
      </c>
      <c r="K201" s="6">
        <f>IF(C201="","",IF(J201=0,"UNMAPPED",LOWER(INDEX(Mapping!$D$1:$D$504,J201))))</f>
        <v/>
      </c>
      <c r="L201" s="6">
        <f>IF(K201="mapped",TRIM(INDEX(Mapping!$C$1:$C$504,J201)),"")</f>
        <v/>
      </c>
      <c r="M201" s="6">
        <f>IF(C201="","",IF(SUMPRODUCT(($C$12:C201=C201)*1)=1,1,0))</f>
        <v/>
      </c>
      <c r="N201" s="6">
        <f>IF(AND(K201="UNMAPPED",M201=1),ROW(),"")</f>
        <v/>
      </c>
      <c r="O201" s="6">
        <f>IF(AND(I201=1,M201=1),ROW(),"")</f>
        <v/>
      </c>
      <c r="P201" s="6">
        <f>IF(AND(K201="ignored",M201=1),ROW(),"")</f>
        <v/>
      </c>
    </row>
    <row r="202">
      <c r="A202" s="8" t="n"/>
      <c r="B202" s="8" t="n"/>
      <c r="C202" s="6">
        <f>TRIM(A202&amp;"")</f>
        <v/>
      </c>
      <c r="D202" s="6">
        <f>IF(C202="","",SUBSTITUTE(SUBSTITUTE(SUBSTITUTE(SUBSTITUTE(SUBSTITUTE(SUBSTITUTE(SUBSTITUTE(UPPER(TRIM(B202&amp;"")),"₹",""),"RS.",""),"RS",""),"INR",""),"$",""),",","")," ",""))</f>
        <v/>
      </c>
      <c r="E202" s="6">
        <f>IF(C202="","",IF(RIGHT(D202,2)="CR","Cr",IF(RIGHT(D202,2)="DR","Dr","")))</f>
        <v/>
      </c>
      <c r="F202" s="6">
        <f>IF(C202="","",IF(E202&lt;&gt;"",LEFT(D202,LEN(D202)-2),D202))</f>
        <v/>
      </c>
      <c r="G202" s="13">
        <f>IF(C202="","",IF(OR(IF(AND(LEFT(F202,1)="(",RIGHT(F202,1)=")"),MID(F202,2,LEN(F202)-2),F202)="",IF(AND(LEFT(F202,1)="(",RIGHT(F202,1)=")"),MID(F202,2,LEN(F202)-2),F202)="-"),0,IFERROR(VALUE(IF(AND(LEFT(F202,1)="(",RIGHT(F202,1)=")"),MID(F202,2,LEN(F202)-2),F202))*IF(AND(LEFT(F202,1)="(",RIGHT(F202,1)=")"),-1,1)*IF(E202="Cr",Setup!$B$6,1),"ERR")))</f>
        <v/>
      </c>
      <c r="H202" s="6">
        <f>IF(C202="","",IF(ISNUMBER(G202),1,0))</f>
        <v/>
      </c>
      <c r="I202" s="6">
        <f>IF(C202="","",IF(SUMPRODUCT(($C$12:$C$1511=C202)*1)&gt;1,1,0))</f>
        <v/>
      </c>
      <c r="J202" s="6">
        <f>IF(C202="","",SUMPRODUCT((Mapping!$F$5:$F$504=Setup!$B$4&amp;"||"&amp;C202)*ROW(Mapping!$F$5:$F$504)))</f>
        <v/>
      </c>
      <c r="K202" s="6">
        <f>IF(C202="","",IF(J202=0,"UNMAPPED",LOWER(INDEX(Mapping!$D$1:$D$504,J202))))</f>
        <v/>
      </c>
      <c r="L202" s="6">
        <f>IF(K202="mapped",TRIM(INDEX(Mapping!$C$1:$C$504,J202)),"")</f>
        <v/>
      </c>
      <c r="M202" s="6">
        <f>IF(C202="","",IF(SUMPRODUCT(($C$12:C202=C202)*1)=1,1,0))</f>
        <v/>
      </c>
      <c r="N202" s="6">
        <f>IF(AND(K202="UNMAPPED",M202=1),ROW(),"")</f>
        <v/>
      </c>
      <c r="O202" s="6">
        <f>IF(AND(I202=1,M202=1),ROW(),"")</f>
        <v/>
      </c>
      <c r="P202" s="6">
        <f>IF(AND(K202="ignored",M202=1),ROW(),"")</f>
        <v/>
      </c>
    </row>
    <row r="203">
      <c r="A203" s="8" t="n"/>
      <c r="B203" s="8" t="n"/>
      <c r="C203" s="6">
        <f>TRIM(A203&amp;"")</f>
        <v/>
      </c>
      <c r="D203" s="6">
        <f>IF(C203="","",SUBSTITUTE(SUBSTITUTE(SUBSTITUTE(SUBSTITUTE(SUBSTITUTE(SUBSTITUTE(SUBSTITUTE(UPPER(TRIM(B203&amp;"")),"₹",""),"RS.",""),"RS",""),"INR",""),"$",""),",","")," ",""))</f>
        <v/>
      </c>
      <c r="E203" s="6">
        <f>IF(C203="","",IF(RIGHT(D203,2)="CR","Cr",IF(RIGHT(D203,2)="DR","Dr","")))</f>
        <v/>
      </c>
      <c r="F203" s="6">
        <f>IF(C203="","",IF(E203&lt;&gt;"",LEFT(D203,LEN(D203)-2),D203))</f>
        <v/>
      </c>
      <c r="G203" s="13">
        <f>IF(C203="","",IF(OR(IF(AND(LEFT(F203,1)="(",RIGHT(F203,1)=")"),MID(F203,2,LEN(F203)-2),F203)="",IF(AND(LEFT(F203,1)="(",RIGHT(F203,1)=")"),MID(F203,2,LEN(F203)-2),F203)="-"),0,IFERROR(VALUE(IF(AND(LEFT(F203,1)="(",RIGHT(F203,1)=")"),MID(F203,2,LEN(F203)-2),F203))*IF(AND(LEFT(F203,1)="(",RIGHT(F203,1)=")"),-1,1)*IF(E203="Cr",Setup!$B$6,1),"ERR")))</f>
        <v/>
      </c>
      <c r="H203" s="6">
        <f>IF(C203="","",IF(ISNUMBER(G203),1,0))</f>
        <v/>
      </c>
      <c r="I203" s="6">
        <f>IF(C203="","",IF(SUMPRODUCT(($C$12:$C$1511=C203)*1)&gt;1,1,0))</f>
        <v/>
      </c>
      <c r="J203" s="6">
        <f>IF(C203="","",SUMPRODUCT((Mapping!$F$5:$F$504=Setup!$B$4&amp;"||"&amp;C203)*ROW(Mapping!$F$5:$F$504)))</f>
        <v/>
      </c>
      <c r="K203" s="6">
        <f>IF(C203="","",IF(J203=0,"UNMAPPED",LOWER(INDEX(Mapping!$D$1:$D$504,J203))))</f>
        <v/>
      </c>
      <c r="L203" s="6">
        <f>IF(K203="mapped",TRIM(INDEX(Mapping!$C$1:$C$504,J203)),"")</f>
        <v/>
      </c>
      <c r="M203" s="6">
        <f>IF(C203="","",IF(SUMPRODUCT(($C$12:C203=C203)*1)=1,1,0))</f>
        <v/>
      </c>
      <c r="N203" s="6">
        <f>IF(AND(K203="UNMAPPED",M203=1),ROW(),"")</f>
        <v/>
      </c>
      <c r="O203" s="6">
        <f>IF(AND(I203=1,M203=1),ROW(),"")</f>
        <v/>
      </c>
      <c r="P203" s="6">
        <f>IF(AND(K203="ignored",M203=1),ROW(),"")</f>
        <v/>
      </c>
    </row>
    <row r="204">
      <c r="A204" s="8" t="n"/>
      <c r="B204" s="8" t="n"/>
      <c r="C204" s="6">
        <f>TRIM(A204&amp;"")</f>
        <v/>
      </c>
      <c r="D204" s="6">
        <f>IF(C204="","",SUBSTITUTE(SUBSTITUTE(SUBSTITUTE(SUBSTITUTE(SUBSTITUTE(SUBSTITUTE(SUBSTITUTE(UPPER(TRIM(B204&amp;"")),"₹",""),"RS.",""),"RS",""),"INR",""),"$",""),",","")," ",""))</f>
        <v/>
      </c>
      <c r="E204" s="6">
        <f>IF(C204="","",IF(RIGHT(D204,2)="CR","Cr",IF(RIGHT(D204,2)="DR","Dr","")))</f>
        <v/>
      </c>
      <c r="F204" s="6">
        <f>IF(C204="","",IF(E204&lt;&gt;"",LEFT(D204,LEN(D204)-2),D204))</f>
        <v/>
      </c>
      <c r="G204" s="13">
        <f>IF(C204="","",IF(OR(IF(AND(LEFT(F204,1)="(",RIGHT(F204,1)=")"),MID(F204,2,LEN(F204)-2),F204)="",IF(AND(LEFT(F204,1)="(",RIGHT(F204,1)=")"),MID(F204,2,LEN(F204)-2),F204)="-"),0,IFERROR(VALUE(IF(AND(LEFT(F204,1)="(",RIGHT(F204,1)=")"),MID(F204,2,LEN(F204)-2),F204))*IF(AND(LEFT(F204,1)="(",RIGHT(F204,1)=")"),-1,1)*IF(E204="Cr",Setup!$B$6,1),"ERR")))</f>
        <v/>
      </c>
      <c r="H204" s="6">
        <f>IF(C204="","",IF(ISNUMBER(G204),1,0))</f>
        <v/>
      </c>
      <c r="I204" s="6">
        <f>IF(C204="","",IF(SUMPRODUCT(($C$12:$C$1511=C204)*1)&gt;1,1,0))</f>
        <v/>
      </c>
      <c r="J204" s="6">
        <f>IF(C204="","",SUMPRODUCT((Mapping!$F$5:$F$504=Setup!$B$4&amp;"||"&amp;C204)*ROW(Mapping!$F$5:$F$504)))</f>
        <v/>
      </c>
      <c r="K204" s="6">
        <f>IF(C204="","",IF(J204=0,"UNMAPPED",LOWER(INDEX(Mapping!$D$1:$D$504,J204))))</f>
        <v/>
      </c>
      <c r="L204" s="6">
        <f>IF(K204="mapped",TRIM(INDEX(Mapping!$C$1:$C$504,J204)),"")</f>
        <v/>
      </c>
      <c r="M204" s="6">
        <f>IF(C204="","",IF(SUMPRODUCT(($C$12:C204=C204)*1)=1,1,0))</f>
        <v/>
      </c>
      <c r="N204" s="6">
        <f>IF(AND(K204="UNMAPPED",M204=1),ROW(),"")</f>
        <v/>
      </c>
      <c r="O204" s="6">
        <f>IF(AND(I204=1,M204=1),ROW(),"")</f>
        <v/>
      </c>
      <c r="P204" s="6">
        <f>IF(AND(K204="ignored",M204=1),ROW(),"")</f>
        <v/>
      </c>
    </row>
    <row r="205">
      <c r="A205" s="8" t="n"/>
      <c r="B205" s="8" t="n"/>
      <c r="C205" s="6">
        <f>TRIM(A205&amp;"")</f>
        <v/>
      </c>
      <c r="D205" s="6">
        <f>IF(C205="","",SUBSTITUTE(SUBSTITUTE(SUBSTITUTE(SUBSTITUTE(SUBSTITUTE(SUBSTITUTE(SUBSTITUTE(UPPER(TRIM(B205&amp;"")),"₹",""),"RS.",""),"RS",""),"INR",""),"$",""),",","")," ",""))</f>
        <v/>
      </c>
      <c r="E205" s="6">
        <f>IF(C205="","",IF(RIGHT(D205,2)="CR","Cr",IF(RIGHT(D205,2)="DR","Dr","")))</f>
        <v/>
      </c>
      <c r="F205" s="6">
        <f>IF(C205="","",IF(E205&lt;&gt;"",LEFT(D205,LEN(D205)-2),D205))</f>
        <v/>
      </c>
      <c r="G205" s="13">
        <f>IF(C205="","",IF(OR(IF(AND(LEFT(F205,1)="(",RIGHT(F205,1)=")"),MID(F205,2,LEN(F205)-2),F205)="",IF(AND(LEFT(F205,1)="(",RIGHT(F205,1)=")"),MID(F205,2,LEN(F205)-2),F205)="-"),0,IFERROR(VALUE(IF(AND(LEFT(F205,1)="(",RIGHT(F205,1)=")"),MID(F205,2,LEN(F205)-2),F205))*IF(AND(LEFT(F205,1)="(",RIGHT(F205,1)=")"),-1,1)*IF(E205="Cr",Setup!$B$6,1),"ERR")))</f>
        <v/>
      </c>
      <c r="H205" s="6">
        <f>IF(C205="","",IF(ISNUMBER(G205),1,0))</f>
        <v/>
      </c>
      <c r="I205" s="6">
        <f>IF(C205="","",IF(SUMPRODUCT(($C$12:$C$1511=C205)*1)&gt;1,1,0))</f>
        <v/>
      </c>
      <c r="J205" s="6">
        <f>IF(C205="","",SUMPRODUCT((Mapping!$F$5:$F$504=Setup!$B$4&amp;"||"&amp;C205)*ROW(Mapping!$F$5:$F$504)))</f>
        <v/>
      </c>
      <c r="K205" s="6">
        <f>IF(C205="","",IF(J205=0,"UNMAPPED",LOWER(INDEX(Mapping!$D$1:$D$504,J205))))</f>
        <v/>
      </c>
      <c r="L205" s="6">
        <f>IF(K205="mapped",TRIM(INDEX(Mapping!$C$1:$C$504,J205)),"")</f>
        <v/>
      </c>
      <c r="M205" s="6">
        <f>IF(C205="","",IF(SUMPRODUCT(($C$12:C205=C205)*1)=1,1,0))</f>
        <v/>
      </c>
      <c r="N205" s="6">
        <f>IF(AND(K205="UNMAPPED",M205=1),ROW(),"")</f>
        <v/>
      </c>
      <c r="O205" s="6">
        <f>IF(AND(I205=1,M205=1),ROW(),"")</f>
        <v/>
      </c>
      <c r="P205" s="6">
        <f>IF(AND(K205="ignored",M205=1),ROW(),"")</f>
        <v/>
      </c>
    </row>
    <row r="206">
      <c r="A206" s="8" t="n"/>
      <c r="B206" s="8" t="n"/>
      <c r="C206" s="6">
        <f>TRIM(A206&amp;"")</f>
        <v/>
      </c>
      <c r="D206" s="6">
        <f>IF(C206="","",SUBSTITUTE(SUBSTITUTE(SUBSTITUTE(SUBSTITUTE(SUBSTITUTE(SUBSTITUTE(SUBSTITUTE(UPPER(TRIM(B206&amp;"")),"₹",""),"RS.",""),"RS",""),"INR",""),"$",""),",","")," ",""))</f>
        <v/>
      </c>
      <c r="E206" s="6">
        <f>IF(C206="","",IF(RIGHT(D206,2)="CR","Cr",IF(RIGHT(D206,2)="DR","Dr","")))</f>
        <v/>
      </c>
      <c r="F206" s="6">
        <f>IF(C206="","",IF(E206&lt;&gt;"",LEFT(D206,LEN(D206)-2),D206))</f>
        <v/>
      </c>
      <c r="G206" s="13">
        <f>IF(C206="","",IF(OR(IF(AND(LEFT(F206,1)="(",RIGHT(F206,1)=")"),MID(F206,2,LEN(F206)-2),F206)="",IF(AND(LEFT(F206,1)="(",RIGHT(F206,1)=")"),MID(F206,2,LEN(F206)-2),F206)="-"),0,IFERROR(VALUE(IF(AND(LEFT(F206,1)="(",RIGHT(F206,1)=")"),MID(F206,2,LEN(F206)-2),F206))*IF(AND(LEFT(F206,1)="(",RIGHT(F206,1)=")"),-1,1)*IF(E206="Cr",Setup!$B$6,1),"ERR")))</f>
        <v/>
      </c>
      <c r="H206" s="6">
        <f>IF(C206="","",IF(ISNUMBER(G206),1,0))</f>
        <v/>
      </c>
      <c r="I206" s="6">
        <f>IF(C206="","",IF(SUMPRODUCT(($C$12:$C$1511=C206)*1)&gt;1,1,0))</f>
        <v/>
      </c>
      <c r="J206" s="6">
        <f>IF(C206="","",SUMPRODUCT((Mapping!$F$5:$F$504=Setup!$B$4&amp;"||"&amp;C206)*ROW(Mapping!$F$5:$F$504)))</f>
        <v/>
      </c>
      <c r="K206" s="6">
        <f>IF(C206="","",IF(J206=0,"UNMAPPED",LOWER(INDEX(Mapping!$D$1:$D$504,J206))))</f>
        <v/>
      </c>
      <c r="L206" s="6">
        <f>IF(K206="mapped",TRIM(INDEX(Mapping!$C$1:$C$504,J206)),"")</f>
        <v/>
      </c>
      <c r="M206" s="6">
        <f>IF(C206="","",IF(SUMPRODUCT(($C$12:C206=C206)*1)=1,1,0))</f>
        <v/>
      </c>
      <c r="N206" s="6">
        <f>IF(AND(K206="UNMAPPED",M206=1),ROW(),"")</f>
        <v/>
      </c>
      <c r="O206" s="6">
        <f>IF(AND(I206=1,M206=1),ROW(),"")</f>
        <v/>
      </c>
      <c r="P206" s="6">
        <f>IF(AND(K206="ignored",M206=1),ROW(),"")</f>
        <v/>
      </c>
    </row>
    <row r="207">
      <c r="A207" s="8" t="n"/>
      <c r="B207" s="8" t="n"/>
      <c r="C207" s="6">
        <f>TRIM(A207&amp;"")</f>
        <v/>
      </c>
      <c r="D207" s="6">
        <f>IF(C207="","",SUBSTITUTE(SUBSTITUTE(SUBSTITUTE(SUBSTITUTE(SUBSTITUTE(SUBSTITUTE(SUBSTITUTE(UPPER(TRIM(B207&amp;"")),"₹",""),"RS.",""),"RS",""),"INR",""),"$",""),",","")," ",""))</f>
        <v/>
      </c>
      <c r="E207" s="6">
        <f>IF(C207="","",IF(RIGHT(D207,2)="CR","Cr",IF(RIGHT(D207,2)="DR","Dr","")))</f>
        <v/>
      </c>
      <c r="F207" s="6">
        <f>IF(C207="","",IF(E207&lt;&gt;"",LEFT(D207,LEN(D207)-2),D207))</f>
        <v/>
      </c>
      <c r="G207" s="13">
        <f>IF(C207="","",IF(OR(IF(AND(LEFT(F207,1)="(",RIGHT(F207,1)=")"),MID(F207,2,LEN(F207)-2),F207)="",IF(AND(LEFT(F207,1)="(",RIGHT(F207,1)=")"),MID(F207,2,LEN(F207)-2),F207)="-"),0,IFERROR(VALUE(IF(AND(LEFT(F207,1)="(",RIGHT(F207,1)=")"),MID(F207,2,LEN(F207)-2),F207))*IF(AND(LEFT(F207,1)="(",RIGHT(F207,1)=")"),-1,1)*IF(E207="Cr",Setup!$B$6,1),"ERR")))</f>
        <v/>
      </c>
      <c r="H207" s="6">
        <f>IF(C207="","",IF(ISNUMBER(G207),1,0))</f>
        <v/>
      </c>
      <c r="I207" s="6">
        <f>IF(C207="","",IF(SUMPRODUCT(($C$12:$C$1511=C207)*1)&gt;1,1,0))</f>
        <v/>
      </c>
      <c r="J207" s="6">
        <f>IF(C207="","",SUMPRODUCT((Mapping!$F$5:$F$504=Setup!$B$4&amp;"||"&amp;C207)*ROW(Mapping!$F$5:$F$504)))</f>
        <v/>
      </c>
      <c r="K207" s="6">
        <f>IF(C207="","",IF(J207=0,"UNMAPPED",LOWER(INDEX(Mapping!$D$1:$D$504,J207))))</f>
        <v/>
      </c>
      <c r="L207" s="6">
        <f>IF(K207="mapped",TRIM(INDEX(Mapping!$C$1:$C$504,J207)),"")</f>
        <v/>
      </c>
      <c r="M207" s="6">
        <f>IF(C207="","",IF(SUMPRODUCT(($C$12:C207=C207)*1)=1,1,0))</f>
        <v/>
      </c>
      <c r="N207" s="6">
        <f>IF(AND(K207="UNMAPPED",M207=1),ROW(),"")</f>
        <v/>
      </c>
      <c r="O207" s="6">
        <f>IF(AND(I207=1,M207=1),ROW(),"")</f>
        <v/>
      </c>
      <c r="P207" s="6">
        <f>IF(AND(K207="ignored",M207=1),ROW(),"")</f>
        <v/>
      </c>
    </row>
    <row r="208">
      <c r="A208" s="8" t="n"/>
      <c r="B208" s="8" t="n"/>
      <c r="C208" s="6">
        <f>TRIM(A208&amp;"")</f>
        <v/>
      </c>
      <c r="D208" s="6">
        <f>IF(C208="","",SUBSTITUTE(SUBSTITUTE(SUBSTITUTE(SUBSTITUTE(SUBSTITUTE(SUBSTITUTE(SUBSTITUTE(UPPER(TRIM(B208&amp;"")),"₹",""),"RS.",""),"RS",""),"INR",""),"$",""),",","")," ",""))</f>
        <v/>
      </c>
      <c r="E208" s="6">
        <f>IF(C208="","",IF(RIGHT(D208,2)="CR","Cr",IF(RIGHT(D208,2)="DR","Dr","")))</f>
        <v/>
      </c>
      <c r="F208" s="6">
        <f>IF(C208="","",IF(E208&lt;&gt;"",LEFT(D208,LEN(D208)-2),D208))</f>
        <v/>
      </c>
      <c r="G208" s="13">
        <f>IF(C208="","",IF(OR(IF(AND(LEFT(F208,1)="(",RIGHT(F208,1)=")"),MID(F208,2,LEN(F208)-2),F208)="",IF(AND(LEFT(F208,1)="(",RIGHT(F208,1)=")"),MID(F208,2,LEN(F208)-2),F208)="-"),0,IFERROR(VALUE(IF(AND(LEFT(F208,1)="(",RIGHT(F208,1)=")"),MID(F208,2,LEN(F208)-2),F208))*IF(AND(LEFT(F208,1)="(",RIGHT(F208,1)=")"),-1,1)*IF(E208="Cr",Setup!$B$6,1),"ERR")))</f>
        <v/>
      </c>
      <c r="H208" s="6">
        <f>IF(C208="","",IF(ISNUMBER(G208),1,0))</f>
        <v/>
      </c>
      <c r="I208" s="6">
        <f>IF(C208="","",IF(SUMPRODUCT(($C$12:$C$1511=C208)*1)&gt;1,1,0))</f>
        <v/>
      </c>
      <c r="J208" s="6">
        <f>IF(C208="","",SUMPRODUCT((Mapping!$F$5:$F$504=Setup!$B$4&amp;"||"&amp;C208)*ROW(Mapping!$F$5:$F$504)))</f>
        <v/>
      </c>
      <c r="K208" s="6">
        <f>IF(C208="","",IF(J208=0,"UNMAPPED",LOWER(INDEX(Mapping!$D$1:$D$504,J208))))</f>
        <v/>
      </c>
      <c r="L208" s="6">
        <f>IF(K208="mapped",TRIM(INDEX(Mapping!$C$1:$C$504,J208)),"")</f>
        <v/>
      </c>
      <c r="M208" s="6">
        <f>IF(C208="","",IF(SUMPRODUCT(($C$12:C208=C208)*1)=1,1,0))</f>
        <v/>
      </c>
      <c r="N208" s="6">
        <f>IF(AND(K208="UNMAPPED",M208=1),ROW(),"")</f>
        <v/>
      </c>
      <c r="O208" s="6">
        <f>IF(AND(I208=1,M208=1),ROW(),"")</f>
        <v/>
      </c>
      <c r="P208" s="6">
        <f>IF(AND(K208="ignored",M208=1),ROW(),"")</f>
        <v/>
      </c>
    </row>
    <row r="209">
      <c r="A209" s="8" t="n"/>
      <c r="B209" s="8" t="n"/>
      <c r="C209" s="6">
        <f>TRIM(A209&amp;"")</f>
        <v/>
      </c>
      <c r="D209" s="6">
        <f>IF(C209="","",SUBSTITUTE(SUBSTITUTE(SUBSTITUTE(SUBSTITUTE(SUBSTITUTE(SUBSTITUTE(SUBSTITUTE(UPPER(TRIM(B209&amp;"")),"₹",""),"RS.",""),"RS",""),"INR",""),"$",""),",","")," ",""))</f>
        <v/>
      </c>
      <c r="E209" s="6">
        <f>IF(C209="","",IF(RIGHT(D209,2)="CR","Cr",IF(RIGHT(D209,2)="DR","Dr","")))</f>
        <v/>
      </c>
      <c r="F209" s="6">
        <f>IF(C209="","",IF(E209&lt;&gt;"",LEFT(D209,LEN(D209)-2),D209))</f>
        <v/>
      </c>
      <c r="G209" s="13">
        <f>IF(C209="","",IF(OR(IF(AND(LEFT(F209,1)="(",RIGHT(F209,1)=")"),MID(F209,2,LEN(F209)-2),F209)="",IF(AND(LEFT(F209,1)="(",RIGHT(F209,1)=")"),MID(F209,2,LEN(F209)-2),F209)="-"),0,IFERROR(VALUE(IF(AND(LEFT(F209,1)="(",RIGHT(F209,1)=")"),MID(F209,2,LEN(F209)-2),F209))*IF(AND(LEFT(F209,1)="(",RIGHT(F209,1)=")"),-1,1)*IF(E209="Cr",Setup!$B$6,1),"ERR")))</f>
        <v/>
      </c>
      <c r="H209" s="6">
        <f>IF(C209="","",IF(ISNUMBER(G209),1,0))</f>
        <v/>
      </c>
      <c r="I209" s="6">
        <f>IF(C209="","",IF(SUMPRODUCT(($C$12:$C$1511=C209)*1)&gt;1,1,0))</f>
        <v/>
      </c>
      <c r="J209" s="6">
        <f>IF(C209="","",SUMPRODUCT((Mapping!$F$5:$F$504=Setup!$B$4&amp;"||"&amp;C209)*ROW(Mapping!$F$5:$F$504)))</f>
        <v/>
      </c>
      <c r="K209" s="6">
        <f>IF(C209="","",IF(J209=0,"UNMAPPED",LOWER(INDEX(Mapping!$D$1:$D$504,J209))))</f>
        <v/>
      </c>
      <c r="L209" s="6">
        <f>IF(K209="mapped",TRIM(INDEX(Mapping!$C$1:$C$504,J209)),"")</f>
        <v/>
      </c>
      <c r="M209" s="6">
        <f>IF(C209="","",IF(SUMPRODUCT(($C$12:C209=C209)*1)=1,1,0))</f>
        <v/>
      </c>
      <c r="N209" s="6">
        <f>IF(AND(K209="UNMAPPED",M209=1),ROW(),"")</f>
        <v/>
      </c>
      <c r="O209" s="6">
        <f>IF(AND(I209=1,M209=1),ROW(),"")</f>
        <v/>
      </c>
      <c r="P209" s="6">
        <f>IF(AND(K209="ignored",M209=1),ROW(),"")</f>
        <v/>
      </c>
    </row>
    <row r="210">
      <c r="A210" s="8" t="n"/>
      <c r="B210" s="8" t="n"/>
      <c r="C210" s="6">
        <f>TRIM(A210&amp;"")</f>
        <v/>
      </c>
      <c r="D210" s="6">
        <f>IF(C210="","",SUBSTITUTE(SUBSTITUTE(SUBSTITUTE(SUBSTITUTE(SUBSTITUTE(SUBSTITUTE(SUBSTITUTE(UPPER(TRIM(B210&amp;"")),"₹",""),"RS.",""),"RS",""),"INR",""),"$",""),",","")," ",""))</f>
        <v/>
      </c>
      <c r="E210" s="6">
        <f>IF(C210="","",IF(RIGHT(D210,2)="CR","Cr",IF(RIGHT(D210,2)="DR","Dr","")))</f>
        <v/>
      </c>
      <c r="F210" s="6">
        <f>IF(C210="","",IF(E210&lt;&gt;"",LEFT(D210,LEN(D210)-2),D210))</f>
        <v/>
      </c>
      <c r="G210" s="13">
        <f>IF(C210="","",IF(OR(IF(AND(LEFT(F210,1)="(",RIGHT(F210,1)=")"),MID(F210,2,LEN(F210)-2),F210)="",IF(AND(LEFT(F210,1)="(",RIGHT(F210,1)=")"),MID(F210,2,LEN(F210)-2),F210)="-"),0,IFERROR(VALUE(IF(AND(LEFT(F210,1)="(",RIGHT(F210,1)=")"),MID(F210,2,LEN(F210)-2),F210))*IF(AND(LEFT(F210,1)="(",RIGHT(F210,1)=")"),-1,1)*IF(E210="Cr",Setup!$B$6,1),"ERR")))</f>
        <v/>
      </c>
      <c r="H210" s="6">
        <f>IF(C210="","",IF(ISNUMBER(G210),1,0))</f>
        <v/>
      </c>
      <c r="I210" s="6">
        <f>IF(C210="","",IF(SUMPRODUCT(($C$12:$C$1511=C210)*1)&gt;1,1,0))</f>
        <v/>
      </c>
      <c r="J210" s="6">
        <f>IF(C210="","",SUMPRODUCT((Mapping!$F$5:$F$504=Setup!$B$4&amp;"||"&amp;C210)*ROW(Mapping!$F$5:$F$504)))</f>
        <v/>
      </c>
      <c r="K210" s="6">
        <f>IF(C210="","",IF(J210=0,"UNMAPPED",LOWER(INDEX(Mapping!$D$1:$D$504,J210))))</f>
        <v/>
      </c>
      <c r="L210" s="6">
        <f>IF(K210="mapped",TRIM(INDEX(Mapping!$C$1:$C$504,J210)),"")</f>
        <v/>
      </c>
      <c r="M210" s="6">
        <f>IF(C210="","",IF(SUMPRODUCT(($C$12:C210=C210)*1)=1,1,0))</f>
        <v/>
      </c>
      <c r="N210" s="6">
        <f>IF(AND(K210="UNMAPPED",M210=1),ROW(),"")</f>
        <v/>
      </c>
      <c r="O210" s="6">
        <f>IF(AND(I210=1,M210=1),ROW(),"")</f>
        <v/>
      </c>
      <c r="P210" s="6">
        <f>IF(AND(K210="ignored",M210=1),ROW(),"")</f>
        <v/>
      </c>
    </row>
    <row r="211">
      <c r="A211" s="8" t="n"/>
      <c r="B211" s="8" t="n"/>
      <c r="C211" s="6">
        <f>TRIM(A211&amp;"")</f>
        <v/>
      </c>
      <c r="D211" s="6">
        <f>IF(C211="","",SUBSTITUTE(SUBSTITUTE(SUBSTITUTE(SUBSTITUTE(SUBSTITUTE(SUBSTITUTE(SUBSTITUTE(UPPER(TRIM(B211&amp;"")),"₹",""),"RS.",""),"RS",""),"INR",""),"$",""),",","")," ",""))</f>
        <v/>
      </c>
      <c r="E211" s="6">
        <f>IF(C211="","",IF(RIGHT(D211,2)="CR","Cr",IF(RIGHT(D211,2)="DR","Dr","")))</f>
        <v/>
      </c>
      <c r="F211" s="6">
        <f>IF(C211="","",IF(E211&lt;&gt;"",LEFT(D211,LEN(D211)-2),D211))</f>
        <v/>
      </c>
      <c r="G211" s="13">
        <f>IF(C211="","",IF(OR(IF(AND(LEFT(F211,1)="(",RIGHT(F211,1)=")"),MID(F211,2,LEN(F211)-2),F211)="",IF(AND(LEFT(F211,1)="(",RIGHT(F211,1)=")"),MID(F211,2,LEN(F211)-2),F211)="-"),0,IFERROR(VALUE(IF(AND(LEFT(F211,1)="(",RIGHT(F211,1)=")"),MID(F211,2,LEN(F211)-2),F211))*IF(AND(LEFT(F211,1)="(",RIGHT(F211,1)=")"),-1,1)*IF(E211="Cr",Setup!$B$6,1),"ERR")))</f>
        <v/>
      </c>
      <c r="H211" s="6">
        <f>IF(C211="","",IF(ISNUMBER(G211),1,0))</f>
        <v/>
      </c>
      <c r="I211" s="6">
        <f>IF(C211="","",IF(SUMPRODUCT(($C$12:$C$1511=C211)*1)&gt;1,1,0))</f>
        <v/>
      </c>
      <c r="J211" s="6">
        <f>IF(C211="","",SUMPRODUCT((Mapping!$F$5:$F$504=Setup!$B$4&amp;"||"&amp;C211)*ROW(Mapping!$F$5:$F$504)))</f>
        <v/>
      </c>
      <c r="K211" s="6">
        <f>IF(C211="","",IF(J211=0,"UNMAPPED",LOWER(INDEX(Mapping!$D$1:$D$504,J211))))</f>
        <v/>
      </c>
      <c r="L211" s="6">
        <f>IF(K211="mapped",TRIM(INDEX(Mapping!$C$1:$C$504,J211)),"")</f>
        <v/>
      </c>
      <c r="M211" s="6">
        <f>IF(C211="","",IF(SUMPRODUCT(($C$12:C211=C211)*1)=1,1,0))</f>
        <v/>
      </c>
      <c r="N211" s="6">
        <f>IF(AND(K211="UNMAPPED",M211=1),ROW(),"")</f>
        <v/>
      </c>
      <c r="O211" s="6">
        <f>IF(AND(I211=1,M211=1),ROW(),"")</f>
        <v/>
      </c>
      <c r="P211" s="6">
        <f>IF(AND(K211="ignored",M211=1),ROW(),"")</f>
        <v/>
      </c>
    </row>
    <row r="212">
      <c r="A212" s="8" t="n"/>
      <c r="B212" s="8" t="n"/>
      <c r="C212" s="6">
        <f>TRIM(A212&amp;"")</f>
        <v/>
      </c>
      <c r="D212" s="6">
        <f>IF(C212="","",SUBSTITUTE(SUBSTITUTE(SUBSTITUTE(SUBSTITUTE(SUBSTITUTE(SUBSTITUTE(SUBSTITUTE(UPPER(TRIM(B212&amp;"")),"₹",""),"RS.",""),"RS",""),"INR",""),"$",""),",","")," ",""))</f>
        <v/>
      </c>
      <c r="E212" s="6">
        <f>IF(C212="","",IF(RIGHT(D212,2)="CR","Cr",IF(RIGHT(D212,2)="DR","Dr","")))</f>
        <v/>
      </c>
      <c r="F212" s="6">
        <f>IF(C212="","",IF(E212&lt;&gt;"",LEFT(D212,LEN(D212)-2),D212))</f>
        <v/>
      </c>
      <c r="G212" s="13">
        <f>IF(C212="","",IF(OR(IF(AND(LEFT(F212,1)="(",RIGHT(F212,1)=")"),MID(F212,2,LEN(F212)-2),F212)="",IF(AND(LEFT(F212,1)="(",RIGHT(F212,1)=")"),MID(F212,2,LEN(F212)-2),F212)="-"),0,IFERROR(VALUE(IF(AND(LEFT(F212,1)="(",RIGHT(F212,1)=")"),MID(F212,2,LEN(F212)-2),F212))*IF(AND(LEFT(F212,1)="(",RIGHT(F212,1)=")"),-1,1)*IF(E212="Cr",Setup!$B$6,1),"ERR")))</f>
        <v/>
      </c>
      <c r="H212" s="6">
        <f>IF(C212="","",IF(ISNUMBER(G212),1,0))</f>
        <v/>
      </c>
      <c r="I212" s="6">
        <f>IF(C212="","",IF(SUMPRODUCT(($C$12:$C$1511=C212)*1)&gt;1,1,0))</f>
        <v/>
      </c>
      <c r="J212" s="6">
        <f>IF(C212="","",SUMPRODUCT((Mapping!$F$5:$F$504=Setup!$B$4&amp;"||"&amp;C212)*ROW(Mapping!$F$5:$F$504)))</f>
        <v/>
      </c>
      <c r="K212" s="6">
        <f>IF(C212="","",IF(J212=0,"UNMAPPED",LOWER(INDEX(Mapping!$D$1:$D$504,J212))))</f>
        <v/>
      </c>
      <c r="L212" s="6">
        <f>IF(K212="mapped",TRIM(INDEX(Mapping!$C$1:$C$504,J212)),"")</f>
        <v/>
      </c>
      <c r="M212" s="6">
        <f>IF(C212="","",IF(SUMPRODUCT(($C$12:C212=C212)*1)=1,1,0))</f>
        <v/>
      </c>
      <c r="N212" s="6">
        <f>IF(AND(K212="UNMAPPED",M212=1),ROW(),"")</f>
        <v/>
      </c>
      <c r="O212" s="6">
        <f>IF(AND(I212=1,M212=1),ROW(),"")</f>
        <v/>
      </c>
      <c r="P212" s="6">
        <f>IF(AND(K212="ignored",M212=1),ROW(),"")</f>
        <v/>
      </c>
    </row>
    <row r="213">
      <c r="A213" s="8" t="n"/>
      <c r="B213" s="8" t="n"/>
      <c r="C213" s="6">
        <f>TRIM(A213&amp;"")</f>
        <v/>
      </c>
      <c r="D213" s="6">
        <f>IF(C213="","",SUBSTITUTE(SUBSTITUTE(SUBSTITUTE(SUBSTITUTE(SUBSTITUTE(SUBSTITUTE(SUBSTITUTE(UPPER(TRIM(B213&amp;"")),"₹",""),"RS.",""),"RS",""),"INR",""),"$",""),",","")," ",""))</f>
        <v/>
      </c>
      <c r="E213" s="6">
        <f>IF(C213="","",IF(RIGHT(D213,2)="CR","Cr",IF(RIGHT(D213,2)="DR","Dr","")))</f>
        <v/>
      </c>
      <c r="F213" s="6">
        <f>IF(C213="","",IF(E213&lt;&gt;"",LEFT(D213,LEN(D213)-2),D213))</f>
        <v/>
      </c>
      <c r="G213" s="13">
        <f>IF(C213="","",IF(OR(IF(AND(LEFT(F213,1)="(",RIGHT(F213,1)=")"),MID(F213,2,LEN(F213)-2),F213)="",IF(AND(LEFT(F213,1)="(",RIGHT(F213,1)=")"),MID(F213,2,LEN(F213)-2),F213)="-"),0,IFERROR(VALUE(IF(AND(LEFT(F213,1)="(",RIGHT(F213,1)=")"),MID(F213,2,LEN(F213)-2),F213))*IF(AND(LEFT(F213,1)="(",RIGHT(F213,1)=")"),-1,1)*IF(E213="Cr",Setup!$B$6,1),"ERR")))</f>
        <v/>
      </c>
      <c r="H213" s="6">
        <f>IF(C213="","",IF(ISNUMBER(G213),1,0))</f>
        <v/>
      </c>
      <c r="I213" s="6">
        <f>IF(C213="","",IF(SUMPRODUCT(($C$12:$C$1511=C213)*1)&gt;1,1,0))</f>
        <v/>
      </c>
      <c r="J213" s="6">
        <f>IF(C213="","",SUMPRODUCT((Mapping!$F$5:$F$504=Setup!$B$4&amp;"||"&amp;C213)*ROW(Mapping!$F$5:$F$504)))</f>
        <v/>
      </c>
      <c r="K213" s="6">
        <f>IF(C213="","",IF(J213=0,"UNMAPPED",LOWER(INDEX(Mapping!$D$1:$D$504,J213))))</f>
        <v/>
      </c>
      <c r="L213" s="6">
        <f>IF(K213="mapped",TRIM(INDEX(Mapping!$C$1:$C$504,J213)),"")</f>
        <v/>
      </c>
      <c r="M213" s="6">
        <f>IF(C213="","",IF(SUMPRODUCT(($C$12:C213=C213)*1)=1,1,0))</f>
        <v/>
      </c>
      <c r="N213" s="6">
        <f>IF(AND(K213="UNMAPPED",M213=1),ROW(),"")</f>
        <v/>
      </c>
      <c r="O213" s="6">
        <f>IF(AND(I213=1,M213=1),ROW(),"")</f>
        <v/>
      </c>
      <c r="P213" s="6">
        <f>IF(AND(K213="ignored",M213=1),ROW(),"")</f>
        <v/>
      </c>
    </row>
    <row r="214">
      <c r="A214" s="8" t="n"/>
      <c r="B214" s="8" t="n"/>
      <c r="C214" s="6">
        <f>TRIM(A214&amp;"")</f>
        <v/>
      </c>
      <c r="D214" s="6">
        <f>IF(C214="","",SUBSTITUTE(SUBSTITUTE(SUBSTITUTE(SUBSTITUTE(SUBSTITUTE(SUBSTITUTE(SUBSTITUTE(UPPER(TRIM(B214&amp;"")),"₹",""),"RS.",""),"RS",""),"INR",""),"$",""),",","")," ",""))</f>
        <v/>
      </c>
      <c r="E214" s="6">
        <f>IF(C214="","",IF(RIGHT(D214,2)="CR","Cr",IF(RIGHT(D214,2)="DR","Dr","")))</f>
        <v/>
      </c>
      <c r="F214" s="6">
        <f>IF(C214="","",IF(E214&lt;&gt;"",LEFT(D214,LEN(D214)-2),D214))</f>
        <v/>
      </c>
      <c r="G214" s="13">
        <f>IF(C214="","",IF(OR(IF(AND(LEFT(F214,1)="(",RIGHT(F214,1)=")"),MID(F214,2,LEN(F214)-2),F214)="",IF(AND(LEFT(F214,1)="(",RIGHT(F214,1)=")"),MID(F214,2,LEN(F214)-2),F214)="-"),0,IFERROR(VALUE(IF(AND(LEFT(F214,1)="(",RIGHT(F214,1)=")"),MID(F214,2,LEN(F214)-2),F214))*IF(AND(LEFT(F214,1)="(",RIGHT(F214,1)=")"),-1,1)*IF(E214="Cr",Setup!$B$6,1),"ERR")))</f>
        <v/>
      </c>
      <c r="H214" s="6">
        <f>IF(C214="","",IF(ISNUMBER(G214),1,0))</f>
        <v/>
      </c>
      <c r="I214" s="6">
        <f>IF(C214="","",IF(SUMPRODUCT(($C$12:$C$1511=C214)*1)&gt;1,1,0))</f>
        <v/>
      </c>
      <c r="J214" s="6">
        <f>IF(C214="","",SUMPRODUCT((Mapping!$F$5:$F$504=Setup!$B$4&amp;"||"&amp;C214)*ROW(Mapping!$F$5:$F$504)))</f>
        <v/>
      </c>
      <c r="K214" s="6">
        <f>IF(C214="","",IF(J214=0,"UNMAPPED",LOWER(INDEX(Mapping!$D$1:$D$504,J214))))</f>
        <v/>
      </c>
      <c r="L214" s="6">
        <f>IF(K214="mapped",TRIM(INDEX(Mapping!$C$1:$C$504,J214)),"")</f>
        <v/>
      </c>
      <c r="M214" s="6">
        <f>IF(C214="","",IF(SUMPRODUCT(($C$12:C214=C214)*1)=1,1,0))</f>
        <v/>
      </c>
      <c r="N214" s="6">
        <f>IF(AND(K214="UNMAPPED",M214=1),ROW(),"")</f>
        <v/>
      </c>
      <c r="O214" s="6">
        <f>IF(AND(I214=1,M214=1),ROW(),"")</f>
        <v/>
      </c>
      <c r="P214" s="6">
        <f>IF(AND(K214="ignored",M214=1),ROW(),"")</f>
        <v/>
      </c>
    </row>
    <row r="215">
      <c r="A215" s="8" t="n"/>
      <c r="B215" s="8" t="n"/>
      <c r="C215" s="6">
        <f>TRIM(A215&amp;"")</f>
        <v/>
      </c>
      <c r="D215" s="6">
        <f>IF(C215="","",SUBSTITUTE(SUBSTITUTE(SUBSTITUTE(SUBSTITUTE(SUBSTITUTE(SUBSTITUTE(SUBSTITUTE(UPPER(TRIM(B215&amp;"")),"₹",""),"RS.",""),"RS",""),"INR",""),"$",""),",","")," ",""))</f>
        <v/>
      </c>
      <c r="E215" s="6">
        <f>IF(C215="","",IF(RIGHT(D215,2)="CR","Cr",IF(RIGHT(D215,2)="DR","Dr","")))</f>
        <v/>
      </c>
      <c r="F215" s="6">
        <f>IF(C215="","",IF(E215&lt;&gt;"",LEFT(D215,LEN(D215)-2),D215))</f>
        <v/>
      </c>
      <c r="G215" s="13">
        <f>IF(C215="","",IF(OR(IF(AND(LEFT(F215,1)="(",RIGHT(F215,1)=")"),MID(F215,2,LEN(F215)-2),F215)="",IF(AND(LEFT(F215,1)="(",RIGHT(F215,1)=")"),MID(F215,2,LEN(F215)-2),F215)="-"),0,IFERROR(VALUE(IF(AND(LEFT(F215,1)="(",RIGHT(F215,1)=")"),MID(F215,2,LEN(F215)-2),F215))*IF(AND(LEFT(F215,1)="(",RIGHT(F215,1)=")"),-1,1)*IF(E215="Cr",Setup!$B$6,1),"ERR")))</f>
        <v/>
      </c>
      <c r="H215" s="6">
        <f>IF(C215="","",IF(ISNUMBER(G215),1,0))</f>
        <v/>
      </c>
      <c r="I215" s="6">
        <f>IF(C215="","",IF(SUMPRODUCT(($C$12:$C$1511=C215)*1)&gt;1,1,0))</f>
        <v/>
      </c>
      <c r="J215" s="6">
        <f>IF(C215="","",SUMPRODUCT((Mapping!$F$5:$F$504=Setup!$B$4&amp;"||"&amp;C215)*ROW(Mapping!$F$5:$F$504)))</f>
        <v/>
      </c>
      <c r="K215" s="6">
        <f>IF(C215="","",IF(J215=0,"UNMAPPED",LOWER(INDEX(Mapping!$D$1:$D$504,J215))))</f>
        <v/>
      </c>
      <c r="L215" s="6">
        <f>IF(K215="mapped",TRIM(INDEX(Mapping!$C$1:$C$504,J215)),"")</f>
        <v/>
      </c>
      <c r="M215" s="6">
        <f>IF(C215="","",IF(SUMPRODUCT(($C$12:C215=C215)*1)=1,1,0))</f>
        <v/>
      </c>
      <c r="N215" s="6">
        <f>IF(AND(K215="UNMAPPED",M215=1),ROW(),"")</f>
        <v/>
      </c>
      <c r="O215" s="6">
        <f>IF(AND(I215=1,M215=1),ROW(),"")</f>
        <v/>
      </c>
      <c r="P215" s="6">
        <f>IF(AND(K215="ignored",M215=1),ROW(),"")</f>
        <v/>
      </c>
    </row>
    <row r="216">
      <c r="A216" s="8" t="n"/>
      <c r="B216" s="8" t="n"/>
      <c r="C216" s="6">
        <f>TRIM(A216&amp;"")</f>
        <v/>
      </c>
      <c r="D216" s="6">
        <f>IF(C216="","",SUBSTITUTE(SUBSTITUTE(SUBSTITUTE(SUBSTITUTE(SUBSTITUTE(SUBSTITUTE(SUBSTITUTE(UPPER(TRIM(B216&amp;"")),"₹",""),"RS.",""),"RS",""),"INR",""),"$",""),",","")," ",""))</f>
        <v/>
      </c>
      <c r="E216" s="6">
        <f>IF(C216="","",IF(RIGHT(D216,2)="CR","Cr",IF(RIGHT(D216,2)="DR","Dr","")))</f>
        <v/>
      </c>
      <c r="F216" s="6">
        <f>IF(C216="","",IF(E216&lt;&gt;"",LEFT(D216,LEN(D216)-2),D216))</f>
        <v/>
      </c>
      <c r="G216" s="13">
        <f>IF(C216="","",IF(OR(IF(AND(LEFT(F216,1)="(",RIGHT(F216,1)=")"),MID(F216,2,LEN(F216)-2),F216)="",IF(AND(LEFT(F216,1)="(",RIGHT(F216,1)=")"),MID(F216,2,LEN(F216)-2),F216)="-"),0,IFERROR(VALUE(IF(AND(LEFT(F216,1)="(",RIGHT(F216,1)=")"),MID(F216,2,LEN(F216)-2),F216))*IF(AND(LEFT(F216,1)="(",RIGHT(F216,1)=")"),-1,1)*IF(E216="Cr",Setup!$B$6,1),"ERR")))</f>
        <v/>
      </c>
      <c r="H216" s="6">
        <f>IF(C216="","",IF(ISNUMBER(G216),1,0))</f>
        <v/>
      </c>
      <c r="I216" s="6">
        <f>IF(C216="","",IF(SUMPRODUCT(($C$12:$C$1511=C216)*1)&gt;1,1,0))</f>
        <v/>
      </c>
      <c r="J216" s="6">
        <f>IF(C216="","",SUMPRODUCT((Mapping!$F$5:$F$504=Setup!$B$4&amp;"||"&amp;C216)*ROW(Mapping!$F$5:$F$504)))</f>
        <v/>
      </c>
      <c r="K216" s="6">
        <f>IF(C216="","",IF(J216=0,"UNMAPPED",LOWER(INDEX(Mapping!$D$1:$D$504,J216))))</f>
        <v/>
      </c>
      <c r="L216" s="6">
        <f>IF(K216="mapped",TRIM(INDEX(Mapping!$C$1:$C$504,J216)),"")</f>
        <v/>
      </c>
      <c r="M216" s="6">
        <f>IF(C216="","",IF(SUMPRODUCT(($C$12:C216=C216)*1)=1,1,0))</f>
        <v/>
      </c>
      <c r="N216" s="6">
        <f>IF(AND(K216="UNMAPPED",M216=1),ROW(),"")</f>
        <v/>
      </c>
      <c r="O216" s="6">
        <f>IF(AND(I216=1,M216=1),ROW(),"")</f>
        <v/>
      </c>
      <c r="P216" s="6">
        <f>IF(AND(K216="ignored",M216=1),ROW(),"")</f>
        <v/>
      </c>
    </row>
    <row r="217">
      <c r="A217" s="8" t="n"/>
      <c r="B217" s="8" t="n"/>
      <c r="C217" s="6">
        <f>TRIM(A217&amp;"")</f>
        <v/>
      </c>
      <c r="D217" s="6">
        <f>IF(C217="","",SUBSTITUTE(SUBSTITUTE(SUBSTITUTE(SUBSTITUTE(SUBSTITUTE(SUBSTITUTE(SUBSTITUTE(UPPER(TRIM(B217&amp;"")),"₹",""),"RS.",""),"RS",""),"INR",""),"$",""),",","")," ",""))</f>
        <v/>
      </c>
      <c r="E217" s="6">
        <f>IF(C217="","",IF(RIGHT(D217,2)="CR","Cr",IF(RIGHT(D217,2)="DR","Dr","")))</f>
        <v/>
      </c>
      <c r="F217" s="6">
        <f>IF(C217="","",IF(E217&lt;&gt;"",LEFT(D217,LEN(D217)-2),D217))</f>
        <v/>
      </c>
      <c r="G217" s="13">
        <f>IF(C217="","",IF(OR(IF(AND(LEFT(F217,1)="(",RIGHT(F217,1)=")"),MID(F217,2,LEN(F217)-2),F217)="",IF(AND(LEFT(F217,1)="(",RIGHT(F217,1)=")"),MID(F217,2,LEN(F217)-2),F217)="-"),0,IFERROR(VALUE(IF(AND(LEFT(F217,1)="(",RIGHT(F217,1)=")"),MID(F217,2,LEN(F217)-2),F217))*IF(AND(LEFT(F217,1)="(",RIGHT(F217,1)=")"),-1,1)*IF(E217="Cr",Setup!$B$6,1),"ERR")))</f>
        <v/>
      </c>
      <c r="H217" s="6">
        <f>IF(C217="","",IF(ISNUMBER(G217),1,0))</f>
        <v/>
      </c>
      <c r="I217" s="6">
        <f>IF(C217="","",IF(SUMPRODUCT(($C$12:$C$1511=C217)*1)&gt;1,1,0))</f>
        <v/>
      </c>
      <c r="J217" s="6">
        <f>IF(C217="","",SUMPRODUCT((Mapping!$F$5:$F$504=Setup!$B$4&amp;"||"&amp;C217)*ROW(Mapping!$F$5:$F$504)))</f>
        <v/>
      </c>
      <c r="K217" s="6">
        <f>IF(C217="","",IF(J217=0,"UNMAPPED",LOWER(INDEX(Mapping!$D$1:$D$504,J217))))</f>
        <v/>
      </c>
      <c r="L217" s="6">
        <f>IF(K217="mapped",TRIM(INDEX(Mapping!$C$1:$C$504,J217)),"")</f>
        <v/>
      </c>
      <c r="M217" s="6">
        <f>IF(C217="","",IF(SUMPRODUCT(($C$12:C217=C217)*1)=1,1,0))</f>
        <v/>
      </c>
      <c r="N217" s="6">
        <f>IF(AND(K217="UNMAPPED",M217=1),ROW(),"")</f>
        <v/>
      </c>
      <c r="O217" s="6">
        <f>IF(AND(I217=1,M217=1),ROW(),"")</f>
        <v/>
      </c>
      <c r="P217" s="6">
        <f>IF(AND(K217="ignored",M217=1),ROW(),"")</f>
        <v/>
      </c>
    </row>
    <row r="218">
      <c r="A218" s="8" t="n"/>
      <c r="B218" s="8" t="n"/>
      <c r="C218" s="6">
        <f>TRIM(A218&amp;"")</f>
        <v/>
      </c>
      <c r="D218" s="6">
        <f>IF(C218="","",SUBSTITUTE(SUBSTITUTE(SUBSTITUTE(SUBSTITUTE(SUBSTITUTE(SUBSTITUTE(SUBSTITUTE(UPPER(TRIM(B218&amp;"")),"₹",""),"RS.",""),"RS",""),"INR",""),"$",""),",","")," ",""))</f>
        <v/>
      </c>
      <c r="E218" s="6">
        <f>IF(C218="","",IF(RIGHT(D218,2)="CR","Cr",IF(RIGHT(D218,2)="DR","Dr","")))</f>
        <v/>
      </c>
      <c r="F218" s="6">
        <f>IF(C218="","",IF(E218&lt;&gt;"",LEFT(D218,LEN(D218)-2),D218))</f>
        <v/>
      </c>
      <c r="G218" s="13">
        <f>IF(C218="","",IF(OR(IF(AND(LEFT(F218,1)="(",RIGHT(F218,1)=")"),MID(F218,2,LEN(F218)-2),F218)="",IF(AND(LEFT(F218,1)="(",RIGHT(F218,1)=")"),MID(F218,2,LEN(F218)-2),F218)="-"),0,IFERROR(VALUE(IF(AND(LEFT(F218,1)="(",RIGHT(F218,1)=")"),MID(F218,2,LEN(F218)-2),F218))*IF(AND(LEFT(F218,1)="(",RIGHT(F218,1)=")"),-1,1)*IF(E218="Cr",Setup!$B$6,1),"ERR")))</f>
        <v/>
      </c>
      <c r="H218" s="6">
        <f>IF(C218="","",IF(ISNUMBER(G218),1,0))</f>
        <v/>
      </c>
      <c r="I218" s="6">
        <f>IF(C218="","",IF(SUMPRODUCT(($C$12:$C$1511=C218)*1)&gt;1,1,0))</f>
        <v/>
      </c>
      <c r="J218" s="6">
        <f>IF(C218="","",SUMPRODUCT((Mapping!$F$5:$F$504=Setup!$B$4&amp;"||"&amp;C218)*ROW(Mapping!$F$5:$F$504)))</f>
        <v/>
      </c>
      <c r="K218" s="6">
        <f>IF(C218="","",IF(J218=0,"UNMAPPED",LOWER(INDEX(Mapping!$D$1:$D$504,J218))))</f>
        <v/>
      </c>
      <c r="L218" s="6">
        <f>IF(K218="mapped",TRIM(INDEX(Mapping!$C$1:$C$504,J218)),"")</f>
        <v/>
      </c>
      <c r="M218" s="6">
        <f>IF(C218="","",IF(SUMPRODUCT(($C$12:C218=C218)*1)=1,1,0))</f>
        <v/>
      </c>
      <c r="N218" s="6">
        <f>IF(AND(K218="UNMAPPED",M218=1),ROW(),"")</f>
        <v/>
      </c>
      <c r="O218" s="6">
        <f>IF(AND(I218=1,M218=1),ROW(),"")</f>
        <v/>
      </c>
      <c r="P218" s="6">
        <f>IF(AND(K218="ignored",M218=1),ROW(),"")</f>
        <v/>
      </c>
    </row>
    <row r="219">
      <c r="A219" s="8" t="n"/>
      <c r="B219" s="8" t="n"/>
      <c r="C219" s="6">
        <f>TRIM(A219&amp;"")</f>
        <v/>
      </c>
      <c r="D219" s="6">
        <f>IF(C219="","",SUBSTITUTE(SUBSTITUTE(SUBSTITUTE(SUBSTITUTE(SUBSTITUTE(SUBSTITUTE(SUBSTITUTE(UPPER(TRIM(B219&amp;"")),"₹",""),"RS.",""),"RS",""),"INR",""),"$",""),",","")," ",""))</f>
        <v/>
      </c>
      <c r="E219" s="6">
        <f>IF(C219="","",IF(RIGHT(D219,2)="CR","Cr",IF(RIGHT(D219,2)="DR","Dr","")))</f>
        <v/>
      </c>
      <c r="F219" s="6">
        <f>IF(C219="","",IF(E219&lt;&gt;"",LEFT(D219,LEN(D219)-2),D219))</f>
        <v/>
      </c>
      <c r="G219" s="13">
        <f>IF(C219="","",IF(OR(IF(AND(LEFT(F219,1)="(",RIGHT(F219,1)=")"),MID(F219,2,LEN(F219)-2),F219)="",IF(AND(LEFT(F219,1)="(",RIGHT(F219,1)=")"),MID(F219,2,LEN(F219)-2),F219)="-"),0,IFERROR(VALUE(IF(AND(LEFT(F219,1)="(",RIGHT(F219,1)=")"),MID(F219,2,LEN(F219)-2),F219))*IF(AND(LEFT(F219,1)="(",RIGHT(F219,1)=")"),-1,1)*IF(E219="Cr",Setup!$B$6,1),"ERR")))</f>
        <v/>
      </c>
      <c r="H219" s="6">
        <f>IF(C219="","",IF(ISNUMBER(G219),1,0))</f>
        <v/>
      </c>
      <c r="I219" s="6">
        <f>IF(C219="","",IF(SUMPRODUCT(($C$12:$C$1511=C219)*1)&gt;1,1,0))</f>
        <v/>
      </c>
      <c r="J219" s="6">
        <f>IF(C219="","",SUMPRODUCT((Mapping!$F$5:$F$504=Setup!$B$4&amp;"||"&amp;C219)*ROW(Mapping!$F$5:$F$504)))</f>
        <v/>
      </c>
      <c r="K219" s="6">
        <f>IF(C219="","",IF(J219=0,"UNMAPPED",LOWER(INDEX(Mapping!$D$1:$D$504,J219))))</f>
        <v/>
      </c>
      <c r="L219" s="6">
        <f>IF(K219="mapped",TRIM(INDEX(Mapping!$C$1:$C$504,J219)),"")</f>
        <v/>
      </c>
      <c r="M219" s="6">
        <f>IF(C219="","",IF(SUMPRODUCT(($C$12:C219=C219)*1)=1,1,0))</f>
        <v/>
      </c>
      <c r="N219" s="6">
        <f>IF(AND(K219="UNMAPPED",M219=1),ROW(),"")</f>
        <v/>
      </c>
      <c r="O219" s="6">
        <f>IF(AND(I219=1,M219=1),ROW(),"")</f>
        <v/>
      </c>
      <c r="P219" s="6">
        <f>IF(AND(K219="ignored",M219=1),ROW(),"")</f>
        <v/>
      </c>
    </row>
    <row r="220">
      <c r="A220" s="8" t="n"/>
      <c r="B220" s="8" t="n"/>
      <c r="C220" s="6">
        <f>TRIM(A220&amp;"")</f>
        <v/>
      </c>
      <c r="D220" s="6">
        <f>IF(C220="","",SUBSTITUTE(SUBSTITUTE(SUBSTITUTE(SUBSTITUTE(SUBSTITUTE(SUBSTITUTE(SUBSTITUTE(UPPER(TRIM(B220&amp;"")),"₹",""),"RS.",""),"RS",""),"INR",""),"$",""),",","")," ",""))</f>
        <v/>
      </c>
      <c r="E220" s="6">
        <f>IF(C220="","",IF(RIGHT(D220,2)="CR","Cr",IF(RIGHT(D220,2)="DR","Dr","")))</f>
        <v/>
      </c>
      <c r="F220" s="6">
        <f>IF(C220="","",IF(E220&lt;&gt;"",LEFT(D220,LEN(D220)-2),D220))</f>
        <v/>
      </c>
      <c r="G220" s="13">
        <f>IF(C220="","",IF(OR(IF(AND(LEFT(F220,1)="(",RIGHT(F220,1)=")"),MID(F220,2,LEN(F220)-2),F220)="",IF(AND(LEFT(F220,1)="(",RIGHT(F220,1)=")"),MID(F220,2,LEN(F220)-2),F220)="-"),0,IFERROR(VALUE(IF(AND(LEFT(F220,1)="(",RIGHT(F220,1)=")"),MID(F220,2,LEN(F220)-2),F220))*IF(AND(LEFT(F220,1)="(",RIGHT(F220,1)=")"),-1,1)*IF(E220="Cr",Setup!$B$6,1),"ERR")))</f>
        <v/>
      </c>
      <c r="H220" s="6">
        <f>IF(C220="","",IF(ISNUMBER(G220),1,0))</f>
        <v/>
      </c>
      <c r="I220" s="6">
        <f>IF(C220="","",IF(SUMPRODUCT(($C$12:$C$1511=C220)*1)&gt;1,1,0))</f>
        <v/>
      </c>
      <c r="J220" s="6">
        <f>IF(C220="","",SUMPRODUCT((Mapping!$F$5:$F$504=Setup!$B$4&amp;"||"&amp;C220)*ROW(Mapping!$F$5:$F$504)))</f>
        <v/>
      </c>
      <c r="K220" s="6">
        <f>IF(C220="","",IF(J220=0,"UNMAPPED",LOWER(INDEX(Mapping!$D$1:$D$504,J220))))</f>
        <v/>
      </c>
      <c r="L220" s="6">
        <f>IF(K220="mapped",TRIM(INDEX(Mapping!$C$1:$C$504,J220)),"")</f>
        <v/>
      </c>
      <c r="M220" s="6">
        <f>IF(C220="","",IF(SUMPRODUCT(($C$12:C220=C220)*1)=1,1,0))</f>
        <v/>
      </c>
      <c r="N220" s="6">
        <f>IF(AND(K220="UNMAPPED",M220=1),ROW(),"")</f>
        <v/>
      </c>
      <c r="O220" s="6">
        <f>IF(AND(I220=1,M220=1),ROW(),"")</f>
        <v/>
      </c>
      <c r="P220" s="6">
        <f>IF(AND(K220="ignored",M220=1),ROW(),"")</f>
        <v/>
      </c>
    </row>
    <row r="221">
      <c r="A221" s="8" t="n"/>
      <c r="B221" s="8" t="n"/>
      <c r="C221" s="6">
        <f>TRIM(A221&amp;"")</f>
        <v/>
      </c>
      <c r="D221" s="6">
        <f>IF(C221="","",SUBSTITUTE(SUBSTITUTE(SUBSTITUTE(SUBSTITUTE(SUBSTITUTE(SUBSTITUTE(SUBSTITUTE(UPPER(TRIM(B221&amp;"")),"₹",""),"RS.",""),"RS",""),"INR",""),"$",""),",","")," ",""))</f>
        <v/>
      </c>
      <c r="E221" s="6">
        <f>IF(C221="","",IF(RIGHT(D221,2)="CR","Cr",IF(RIGHT(D221,2)="DR","Dr","")))</f>
        <v/>
      </c>
      <c r="F221" s="6">
        <f>IF(C221="","",IF(E221&lt;&gt;"",LEFT(D221,LEN(D221)-2),D221))</f>
        <v/>
      </c>
      <c r="G221" s="13">
        <f>IF(C221="","",IF(OR(IF(AND(LEFT(F221,1)="(",RIGHT(F221,1)=")"),MID(F221,2,LEN(F221)-2),F221)="",IF(AND(LEFT(F221,1)="(",RIGHT(F221,1)=")"),MID(F221,2,LEN(F221)-2),F221)="-"),0,IFERROR(VALUE(IF(AND(LEFT(F221,1)="(",RIGHT(F221,1)=")"),MID(F221,2,LEN(F221)-2),F221))*IF(AND(LEFT(F221,1)="(",RIGHT(F221,1)=")"),-1,1)*IF(E221="Cr",Setup!$B$6,1),"ERR")))</f>
        <v/>
      </c>
      <c r="H221" s="6">
        <f>IF(C221="","",IF(ISNUMBER(G221),1,0))</f>
        <v/>
      </c>
      <c r="I221" s="6">
        <f>IF(C221="","",IF(SUMPRODUCT(($C$12:$C$1511=C221)*1)&gt;1,1,0))</f>
        <v/>
      </c>
      <c r="J221" s="6">
        <f>IF(C221="","",SUMPRODUCT((Mapping!$F$5:$F$504=Setup!$B$4&amp;"||"&amp;C221)*ROW(Mapping!$F$5:$F$504)))</f>
        <v/>
      </c>
      <c r="K221" s="6">
        <f>IF(C221="","",IF(J221=0,"UNMAPPED",LOWER(INDEX(Mapping!$D$1:$D$504,J221))))</f>
        <v/>
      </c>
      <c r="L221" s="6">
        <f>IF(K221="mapped",TRIM(INDEX(Mapping!$C$1:$C$504,J221)),"")</f>
        <v/>
      </c>
      <c r="M221" s="6">
        <f>IF(C221="","",IF(SUMPRODUCT(($C$12:C221=C221)*1)=1,1,0))</f>
        <v/>
      </c>
      <c r="N221" s="6">
        <f>IF(AND(K221="UNMAPPED",M221=1),ROW(),"")</f>
        <v/>
      </c>
      <c r="O221" s="6">
        <f>IF(AND(I221=1,M221=1),ROW(),"")</f>
        <v/>
      </c>
      <c r="P221" s="6">
        <f>IF(AND(K221="ignored",M221=1),ROW(),"")</f>
        <v/>
      </c>
    </row>
    <row r="222">
      <c r="A222" s="8" t="n"/>
      <c r="B222" s="8" t="n"/>
      <c r="C222" s="6">
        <f>TRIM(A222&amp;"")</f>
        <v/>
      </c>
      <c r="D222" s="6">
        <f>IF(C222="","",SUBSTITUTE(SUBSTITUTE(SUBSTITUTE(SUBSTITUTE(SUBSTITUTE(SUBSTITUTE(SUBSTITUTE(UPPER(TRIM(B222&amp;"")),"₹",""),"RS.",""),"RS",""),"INR",""),"$",""),",","")," ",""))</f>
        <v/>
      </c>
      <c r="E222" s="6">
        <f>IF(C222="","",IF(RIGHT(D222,2)="CR","Cr",IF(RIGHT(D222,2)="DR","Dr","")))</f>
        <v/>
      </c>
      <c r="F222" s="6">
        <f>IF(C222="","",IF(E222&lt;&gt;"",LEFT(D222,LEN(D222)-2),D222))</f>
        <v/>
      </c>
      <c r="G222" s="13">
        <f>IF(C222="","",IF(OR(IF(AND(LEFT(F222,1)="(",RIGHT(F222,1)=")"),MID(F222,2,LEN(F222)-2),F222)="",IF(AND(LEFT(F222,1)="(",RIGHT(F222,1)=")"),MID(F222,2,LEN(F222)-2),F222)="-"),0,IFERROR(VALUE(IF(AND(LEFT(F222,1)="(",RIGHT(F222,1)=")"),MID(F222,2,LEN(F222)-2),F222))*IF(AND(LEFT(F222,1)="(",RIGHT(F222,1)=")"),-1,1)*IF(E222="Cr",Setup!$B$6,1),"ERR")))</f>
        <v/>
      </c>
      <c r="H222" s="6">
        <f>IF(C222="","",IF(ISNUMBER(G222),1,0))</f>
        <v/>
      </c>
      <c r="I222" s="6">
        <f>IF(C222="","",IF(SUMPRODUCT(($C$12:$C$1511=C222)*1)&gt;1,1,0))</f>
        <v/>
      </c>
      <c r="J222" s="6">
        <f>IF(C222="","",SUMPRODUCT((Mapping!$F$5:$F$504=Setup!$B$4&amp;"||"&amp;C222)*ROW(Mapping!$F$5:$F$504)))</f>
        <v/>
      </c>
      <c r="K222" s="6">
        <f>IF(C222="","",IF(J222=0,"UNMAPPED",LOWER(INDEX(Mapping!$D$1:$D$504,J222))))</f>
        <v/>
      </c>
      <c r="L222" s="6">
        <f>IF(K222="mapped",TRIM(INDEX(Mapping!$C$1:$C$504,J222)),"")</f>
        <v/>
      </c>
      <c r="M222" s="6">
        <f>IF(C222="","",IF(SUMPRODUCT(($C$12:C222=C222)*1)=1,1,0))</f>
        <v/>
      </c>
      <c r="N222" s="6">
        <f>IF(AND(K222="UNMAPPED",M222=1),ROW(),"")</f>
        <v/>
      </c>
      <c r="O222" s="6">
        <f>IF(AND(I222=1,M222=1),ROW(),"")</f>
        <v/>
      </c>
      <c r="P222" s="6">
        <f>IF(AND(K222="ignored",M222=1),ROW(),"")</f>
        <v/>
      </c>
    </row>
    <row r="223">
      <c r="A223" s="8" t="n"/>
      <c r="B223" s="8" t="n"/>
      <c r="C223" s="6">
        <f>TRIM(A223&amp;"")</f>
        <v/>
      </c>
      <c r="D223" s="6">
        <f>IF(C223="","",SUBSTITUTE(SUBSTITUTE(SUBSTITUTE(SUBSTITUTE(SUBSTITUTE(SUBSTITUTE(SUBSTITUTE(UPPER(TRIM(B223&amp;"")),"₹",""),"RS.",""),"RS",""),"INR",""),"$",""),",","")," ",""))</f>
        <v/>
      </c>
      <c r="E223" s="6">
        <f>IF(C223="","",IF(RIGHT(D223,2)="CR","Cr",IF(RIGHT(D223,2)="DR","Dr","")))</f>
        <v/>
      </c>
      <c r="F223" s="6">
        <f>IF(C223="","",IF(E223&lt;&gt;"",LEFT(D223,LEN(D223)-2),D223))</f>
        <v/>
      </c>
      <c r="G223" s="13">
        <f>IF(C223="","",IF(OR(IF(AND(LEFT(F223,1)="(",RIGHT(F223,1)=")"),MID(F223,2,LEN(F223)-2),F223)="",IF(AND(LEFT(F223,1)="(",RIGHT(F223,1)=")"),MID(F223,2,LEN(F223)-2),F223)="-"),0,IFERROR(VALUE(IF(AND(LEFT(F223,1)="(",RIGHT(F223,1)=")"),MID(F223,2,LEN(F223)-2),F223))*IF(AND(LEFT(F223,1)="(",RIGHT(F223,1)=")"),-1,1)*IF(E223="Cr",Setup!$B$6,1),"ERR")))</f>
        <v/>
      </c>
      <c r="H223" s="6">
        <f>IF(C223="","",IF(ISNUMBER(G223),1,0))</f>
        <v/>
      </c>
      <c r="I223" s="6">
        <f>IF(C223="","",IF(SUMPRODUCT(($C$12:$C$1511=C223)*1)&gt;1,1,0))</f>
        <v/>
      </c>
      <c r="J223" s="6">
        <f>IF(C223="","",SUMPRODUCT((Mapping!$F$5:$F$504=Setup!$B$4&amp;"||"&amp;C223)*ROW(Mapping!$F$5:$F$504)))</f>
        <v/>
      </c>
      <c r="K223" s="6">
        <f>IF(C223="","",IF(J223=0,"UNMAPPED",LOWER(INDEX(Mapping!$D$1:$D$504,J223))))</f>
        <v/>
      </c>
      <c r="L223" s="6">
        <f>IF(K223="mapped",TRIM(INDEX(Mapping!$C$1:$C$504,J223)),"")</f>
        <v/>
      </c>
      <c r="M223" s="6">
        <f>IF(C223="","",IF(SUMPRODUCT(($C$12:C223=C223)*1)=1,1,0))</f>
        <v/>
      </c>
      <c r="N223" s="6">
        <f>IF(AND(K223="UNMAPPED",M223=1),ROW(),"")</f>
        <v/>
      </c>
      <c r="O223" s="6">
        <f>IF(AND(I223=1,M223=1),ROW(),"")</f>
        <v/>
      </c>
      <c r="P223" s="6">
        <f>IF(AND(K223="ignored",M223=1),ROW(),"")</f>
        <v/>
      </c>
    </row>
    <row r="224">
      <c r="A224" s="8" t="n"/>
      <c r="B224" s="8" t="n"/>
      <c r="C224" s="6">
        <f>TRIM(A224&amp;"")</f>
        <v/>
      </c>
      <c r="D224" s="6">
        <f>IF(C224="","",SUBSTITUTE(SUBSTITUTE(SUBSTITUTE(SUBSTITUTE(SUBSTITUTE(SUBSTITUTE(SUBSTITUTE(UPPER(TRIM(B224&amp;"")),"₹",""),"RS.",""),"RS",""),"INR",""),"$",""),",","")," ",""))</f>
        <v/>
      </c>
      <c r="E224" s="6">
        <f>IF(C224="","",IF(RIGHT(D224,2)="CR","Cr",IF(RIGHT(D224,2)="DR","Dr","")))</f>
        <v/>
      </c>
      <c r="F224" s="6">
        <f>IF(C224="","",IF(E224&lt;&gt;"",LEFT(D224,LEN(D224)-2),D224))</f>
        <v/>
      </c>
      <c r="G224" s="13">
        <f>IF(C224="","",IF(OR(IF(AND(LEFT(F224,1)="(",RIGHT(F224,1)=")"),MID(F224,2,LEN(F224)-2),F224)="",IF(AND(LEFT(F224,1)="(",RIGHT(F224,1)=")"),MID(F224,2,LEN(F224)-2),F224)="-"),0,IFERROR(VALUE(IF(AND(LEFT(F224,1)="(",RIGHT(F224,1)=")"),MID(F224,2,LEN(F224)-2),F224))*IF(AND(LEFT(F224,1)="(",RIGHT(F224,1)=")"),-1,1)*IF(E224="Cr",Setup!$B$6,1),"ERR")))</f>
        <v/>
      </c>
      <c r="H224" s="6">
        <f>IF(C224="","",IF(ISNUMBER(G224),1,0))</f>
        <v/>
      </c>
      <c r="I224" s="6">
        <f>IF(C224="","",IF(SUMPRODUCT(($C$12:$C$1511=C224)*1)&gt;1,1,0))</f>
        <v/>
      </c>
      <c r="J224" s="6">
        <f>IF(C224="","",SUMPRODUCT((Mapping!$F$5:$F$504=Setup!$B$4&amp;"||"&amp;C224)*ROW(Mapping!$F$5:$F$504)))</f>
        <v/>
      </c>
      <c r="K224" s="6">
        <f>IF(C224="","",IF(J224=0,"UNMAPPED",LOWER(INDEX(Mapping!$D$1:$D$504,J224))))</f>
        <v/>
      </c>
      <c r="L224" s="6">
        <f>IF(K224="mapped",TRIM(INDEX(Mapping!$C$1:$C$504,J224)),"")</f>
        <v/>
      </c>
      <c r="M224" s="6">
        <f>IF(C224="","",IF(SUMPRODUCT(($C$12:C224=C224)*1)=1,1,0))</f>
        <v/>
      </c>
      <c r="N224" s="6">
        <f>IF(AND(K224="UNMAPPED",M224=1),ROW(),"")</f>
        <v/>
      </c>
      <c r="O224" s="6">
        <f>IF(AND(I224=1,M224=1),ROW(),"")</f>
        <v/>
      </c>
      <c r="P224" s="6">
        <f>IF(AND(K224="ignored",M224=1),ROW(),"")</f>
        <v/>
      </c>
    </row>
    <row r="225">
      <c r="A225" s="8" t="n"/>
      <c r="B225" s="8" t="n"/>
      <c r="C225" s="6">
        <f>TRIM(A225&amp;"")</f>
        <v/>
      </c>
      <c r="D225" s="6">
        <f>IF(C225="","",SUBSTITUTE(SUBSTITUTE(SUBSTITUTE(SUBSTITUTE(SUBSTITUTE(SUBSTITUTE(SUBSTITUTE(UPPER(TRIM(B225&amp;"")),"₹",""),"RS.",""),"RS",""),"INR",""),"$",""),",","")," ",""))</f>
        <v/>
      </c>
      <c r="E225" s="6">
        <f>IF(C225="","",IF(RIGHT(D225,2)="CR","Cr",IF(RIGHT(D225,2)="DR","Dr","")))</f>
        <v/>
      </c>
      <c r="F225" s="6">
        <f>IF(C225="","",IF(E225&lt;&gt;"",LEFT(D225,LEN(D225)-2),D225))</f>
        <v/>
      </c>
      <c r="G225" s="13">
        <f>IF(C225="","",IF(OR(IF(AND(LEFT(F225,1)="(",RIGHT(F225,1)=")"),MID(F225,2,LEN(F225)-2),F225)="",IF(AND(LEFT(F225,1)="(",RIGHT(F225,1)=")"),MID(F225,2,LEN(F225)-2),F225)="-"),0,IFERROR(VALUE(IF(AND(LEFT(F225,1)="(",RIGHT(F225,1)=")"),MID(F225,2,LEN(F225)-2),F225))*IF(AND(LEFT(F225,1)="(",RIGHT(F225,1)=")"),-1,1)*IF(E225="Cr",Setup!$B$6,1),"ERR")))</f>
        <v/>
      </c>
      <c r="H225" s="6">
        <f>IF(C225="","",IF(ISNUMBER(G225),1,0))</f>
        <v/>
      </c>
      <c r="I225" s="6">
        <f>IF(C225="","",IF(SUMPRODUCT(($C$12:$C$1511=C225)*1)&gt;1,1,0))</f>
        <v/>
      </c>
      <c r="J225" s="6">
        <f>IF(C225="","",SUMPRODUCT((Mapping!$F$5:$F$504=Setup!$B$4&amp;"||"&amp;C225)*ROW(Mapping!$F$5:$F$504)))</f>
        <v/>
      </c>
      <c r="K225" s="6">
        <f>IF(C225="","",IF(J225=0,"UNMAPPED",LOWER(INDEX(Mapping!$D$1:$D$504,J225))))</f>
        <v/>
      </c>
      <c r="L225" s="6">
        <f>IF(K225="mapped",TRIM(INDEX(Mapping!$C$1:$C$504,J225)),"")</f>
        <v/>
      </c>
      <c r="M225" s="6">
        <f>IF(C225="","",IF(SUMPRODUCT(($C$12:C225=C225)*1)=1,1,0))</f>
        <v/>
      </c>
      <c r="N225" s="6">
        <f>IF(AND(K225="UNMAPPED",M225=1),ROW(),"")</f>
        <v/>
      </c>
      <c r="O225" s="6">
        <f>IF(AND(I225=1,M225=1),ROW(),"")</f>
        <v/>
      </c>
      <c r="P225" s="6">
        <f>IF(AND(K225="ignored",M225=1),ROW(),"")</f>
        <v/>
      </c>
    </row>
    <row r="226">
      <c r="A226" s="8" t="n"/>
      <c r="B226" s="8" t="n"/>
      <c r="C226" s="6">
        <f>TRIM(A226&amp;"")</f>
        <v/>
      </c>
      <c r="D226" s="6">
        <f>IF(C226="","",SUBSTITUTE(SUBSTITUTE(SUBSTITUTE(SUBSTITUTE(SUBSTITUTE(SUBSTITUTE(SUBSTITUTE(UPPER(TRIM(B226&amp;"")),"₹",""),"RS.",""),"RS",""),"INR",""),"$",""),",","")," ",""))</f>
        <v/>
      </c>
      <c r="E226" s="6">
        <f>IF(C226="","",IF(RIGHT(D226,2)="CR","Cr",IF(RIGHT(D226,2)="DR","Dr","")))</f>
        <v/>
      </c>
      <c r="F226" s="6">
        <f>IF(C226="","",IF(E226&lt;&gt;"",LEFT(D226,LEN(D226)-2),D226))</f>
        <v/>
      </c>
      <c r="G226" s="13">
        <f>IF(C226="","",IF(OR(IF(AND(LEFT(F226,1)="(",RIGHT(F226,1)=")"),MID(F226,2,LEN(F226)-2),F226)="",IF(AND(LEFT(F226,1)="(",RIGHT(F226,1)=")"),MID(F226,2,LEN(F226)-2),F226)="-"),0,IFERROR(VALUE(IF(AND(LEFT(F226,1)="(",RIGHT(F226,1)=")"),MID(F226,2,LEN(F226)-2),F226))*IF(AND(LEFT(F226,1)="(",RIGHT(F226,1)=")"),-1,1)*IF(E226="Cr",Setup!$B$6,1),"ERR")))</f>
        <v/>
      </c>
      <c r="H226" s="6">
        <f>IF(C226="","",IF(ISNUMBER(G226),1,0))</f>
        <v/>
      </c>
      <c r="I226" s="6">
        <f>IF(C226="","",IF(SUMPRODUCT(($C$12:$C$1511=C226)*1)&gt;1,1,0))</f>
        <v/>
      </c>
      <c r="J226" s="6">
        <f>IF(C226="","",SUMPRODUCT((Mapping!$F$5:$F$504=Setup!$B$4&amp;"||"&amp;C226)*ROW(Mapping!$F$5:$F$504)))</f>
        <v/>
      </c>
      <c r="K226" s="6">
        <f>IF(C226="","",IF(J226=0,"UNMAPPED",LOWER(INDEX(Mapping!$D$1:$D$504,J226))))</f>
        <v/>
      </c>
      <c r="L226" s="6">
        <f>IF(K226="mapped",TRIM(INDEX(Mapping!$C$1:$C$504,J226)),"")</f>
        <v/>
      </c>
      <c r="M226" s="6">
        <f>IF(C226="","",IF(SUMPRODUCT(($C$12:C226=C226)*1)=1,1,0))</f>
        <v/>
      </c>
      <c r="N226" s="6">
        <f>IF(AND(K226="UNMAPPED",M226=1),ROW(),"")</f>
        <v/>
      </c>
      <c r="O226" s="6">
        <f>IF(AND(I226=1,M226=1),ROW(),"")</f>
        <v/>
      </c>
      <c r="P226" s="6">
        <f>IF(AND(K226="ignored",M226=1),ROW(),"")</f>
        <v/>
      </c>
    </row>
    <row r="227">
      <c r="A227" s="8" t="n"/>
      <c r="B227" s="8" t="n"/>
      <c r="C227" s="6">
        <f>TRIM(A227&amp;"")</f>
        <v/>
      </c>
      <c r="D227" s="6">
        <f>IF(C227="","",SUBSTITUTE(SUBSTITUTE(SUBSTITUTE(SUBSTITUTE(SUBSTITUTE(SUBSTITUTE(SUBSTITUTE(UPPER(TRIM(B227&amp;"")),"₹",""),"RS.",""),"RS",""),"INR",""),"$",""),",","")," ",""))</f>
        <v/>
      </c>
      <c r="E227" s="6">
        <f>IF(C227="","",IF(RIGHT(D227,2)="CR","Cr",IF(RIGHT(D227,2)="DR","Dr","")))</f>
        <v/>
      </c>
      <c r="F227" s="6">
        <f>IF(C227="","",IF(E227&lt;&gt;"",LEFT(D227,LEN(D227)-2),D227))</f>
        <v/>
      </c>
      <c r="G227" s="13">
        <f>IF(C227="","",IF(OR(IF(AND(LEFT(F227,1)="(",RIGHT(F227,1)=")"),MID(F227,2,LEN(F227)-2),F227)="",IF(AND(LEFT(F227,1)="(",RIGHT(F227,1)=")"),MID(F227,2,LEN(F227)-2),F227)="-"),0,IFERROR(VALUE(IF(AND(LEFT(F227,1)="(",RIGHT(F227,1)=")"),MID(F227,2,LEN(F227)-2),F227))*IF(AND(LEFT(F227,1)="(",RIGHT(F227,1)=")"),-1,1)*IF(E227="Cr",Setup!$B$6,1),"ERR")))</f>
        <v/>
      </c>
      <c r="H227" s="6">
        <f>IF(C227="","",IF(ISNUMBER(G227),1,0))</f>
        <v/>
      </c>
      <c r="I227" s="6">
        <f>IF(C227="","",IF(SUMPRODUCT(($C$12:$C$1511=C227)*1)&gt;1,1,0))</f>
        <v/>
      </c>
      <c r="J227" s="6">
        <f>IF(C227="","",SUMPRODUCT((Mapping!$F$5:$F$504=Setup!$B$4&amp;"||"&amp;C227)*ROW(Mapping!$F$5:$F$504)))</f>
        <v/>
      </c>
      <c r="K227" s="6">
        <f>IF(C227="","",IF(J227=0,"UNMAPPED",LOWER(INDEX(Mapping!$D$1:$D$504,J227))))</f>
        <v/>
      </c>
      <c r="L227" s="6">
        <f>IF(K227="mapped",TRIM(INDEX(Mapping!$C$1:$C$504,J227)),"")</f>
        <v/>
      </c>
      <c r="M227" s="6">
        <f>IF(C227="","",IF(SUMPRODUCT(($C$12:C227=C227)*1)=1,1,0))</f>
        <v/>
      </c>
      <c r="N227" s="6">
        <f>IF(AND(K227="UNMAPPED",M227=1),ROW(),"")</f>
        <v/>
      </c>
      <c r="O227" s="6">
        <f>IF(AND(I227=1,M227=1),ROW(),"")</f>
        <v/>
      </c>
      <c r="P227" s="6">
        <f>IF(AND(K227="ignored",M227=1),ROW(),"")</f>
        <v/>
      </c>
    </row>
    <row r="228">
      <c r="A228" s="8" t="n"/>
      <c r="B228" s="8" t="n"/>
      <c r="C228" s="6">
        <f>TRIM(A228&amp;"")</f>
        <v/>
      </c>
      <c r="D228" s="6">
        <f>IF(C228="","",SUBSTITUTE(SUBSTITUTE(SUBSTITUTE(SUBSTITUTE(SUBSTITUTE(SUBSTITUTE(SUBSTITUTE(UPPER(TRIM(B228&amp;"")),"₹",""),"RS.",""),"RS",""),"INR",""),"$",""),",","")," ",""))</f>
        <v/>
      </c>
      <c r="E228" s="6">
        <f>IF(C228="","",IF(RIGHT(D228,2)="CR","Cr",IF(RIGHT(D228,2)="DR","Dr","")))</f>
        <v/>
      </c>
      <c r="F228" s="6">
        <f>IF(C228="","",IF(E228&lt;&gt;"",LEFT(D228,LEN(D228)-2),D228))</f>
        <v/>
      </c>
      <c r="G228" s="13">
        <f>IF(C228="","",IF(OR(IF(AND(LEFT(F228,1)="(",RIGHT(F228,1)=")"),MID(F228,2,LEN(F228)-2),F228)="",IF(AND(LEFT(F228,1)="(",RIGHT(F228,1)=")"),MID(F228,2,LEN(F228)-2),F228)="-"),0,IFERROR(VALUE(IF(AND(LEFT(F228,1)="(",RIGHT(F228,1)=")"),MID(F228,2,LEN(F228)-2),F228))*IF(AND(LEFT(F228,1)="(",RIGHT(F228,1)=")"),-1,1)*IF(E228="Cr",Setup!$B$6,1),"ERR")))</f>
        <v/>
      </c>
      <c r="H228" s="6">
        <f>IF(C228="","",IF(ISNUMBER(G228),1,0))</f>
        <v/>
      </c>
      <c r="I228" s="6">
        <f>IF(C228="","",IF(SUMPRODUCT(($C$12:$C$1511=C228)*1)&gt;1,1,0))</f>
        <v/>
      </c>
      <c r="J228" s="6">
        <f>IF(C228="","",SUMPRODUCT((Mapping!$F$5:$F$504=Setup!$B$4&amp;"||"&amp;C228)*ROW(Mapping!$F$5:$F$504)))</f>
        <v/>
      </c>
      <c r="K228" s="6">
        <f>IF(C228="","",IF(J228=0,"UNMAPPED",LOWER(INDEX(Mapping!$D$1:$D$504,J228))))</f>
        <v/>
      </c>
      <c r="L228" s="6">
        <f>IF(K228="mapped",TRIM(INDEX(Mapping!$C$1:$C$504,J228)),"")</f>
        <v/>
      </c>
      <c r="M228" s="6">
        <f>IF(C228="","",IF(SUMPRODUCT(($C$12:C228=C228)*1)=1,1,0))</f>
        <v/>
      </c>
      <c r="N228" s="6">
        <f>IF(AND(K228="UNMAPPED",M228=1),ROW(),"")</f>
        <v/>
      </c>
      <c r="O228" s="6">
        <f>IF(AND(I228=1,M228=1),ROW(),"")</f>
        <v/>
      </c>
      <c r="P228" s="6">
        <f>IF(AND(K228="ignored",M228=1),ROW(),"")</f>
        <v/>
      </c>
    </row>
    <row r="229">
      <c r="A229" s="8" t="n"/>
      <c r="B229" s="8" t="n"/>
      <c r="C229" s="6">
        <f>TRIM(A229&amp;"")</f>
        <v/>
      </c>
      <c r="D229" s="6">
        <f>IF(C229="","",SUBSTITUTE(SUBSTITUTE(SUBSTITUTE(SUBSTITUTE(SUBSTITUTE(SUBSTITUTE(SUBSTITUTE(UPPER(TRIM(B229&amp;"")),"₹",""),"RS.",""),"RS",""),"INR",""),"$",""),",","")," ",""))</f>
        <v/>
      </c>
      <c r="E229" s="6">
        <f>IF(C229="","",IF(RIGHT(D229,2)="CR","Cr",IF(RIGHT(D229,2)="DR","Dr","")))</f>
        <v/>
      </c>
      <c r="F229" s="6">
        <f>IF(C229="","",IF(E229&lt;&gt;"",LEFT(D229,LEN(D229)-2),D229))</f>
        <v/>
      </c>
      <c r="G229" s="13">
        <f>IF(C229="","",IF(OR(IF(AND(LEFT(F229,1)="(",RIGHT(F229,1)=")"),MID(F229,2,LEN(F229)-2),F229)="",IF(AND(LEFT(F229,1)="(",RIGHT(F229,1)=")"),MID(F229,2,LEN(F229)-2),F229)="-"),0,IFERROR(VALUE(IF(AND(LEFT(F229,1)="(",RIGHT(F229,1)=")"),MID(F229,2,LEN(F229)-2),F229))*IF(AND(LEFT(F229,1)="(",RIGHT(F229,1)=")"),-1,1)*IF(E229="Cr",Setup!$B$6,1),"ERR")))</f>
        <v/>
      </c>
      <c r="H229" s="6">
        <f>IF(C229="","",IF(ISNUMBER(G229),1,0))</f>
        <v/>
      </c>
      <c r="I229" s="6">
        <f>IF(C229="","",IF(SUMPRODUCT(($C$12:$C$1511=C229)*1)&gt;1,1,0))</f>
        <v/>
      </c>
      <c r="J229" s="6">
        <f>IF(C229="","",SUMPRODUCT((Mapping!$F$5:$F$504=Setup!$B$4&amp;"||"&amp;C229)*ROW(Mapping!$F$5:$F$504)))</f>
        <v/>
      </c>
      <c r="K229" s="6">
        <f>IF(C229="","",IF(J229=0,"UNMAPPED",LOWER(INDEX(Mapping!$D$1:$D$504,J229))))</f>
        <v/>
      </c>
      <c r="L229" s="6">
        <f>IF(K229="mapped",TRIM(INDEX(Mapping!$C$1:$C$504,J229)),"")</f>
        <v/>
      </c>
      <c r="M229" s="6">
        <f>IF(C229="","",IF(SUMPRODUCT(($C$12:C229=C229)*1)=1,1,0))</f>
        <v/>
      </c>
      <c r="N229" s="6">
        <f>IF(AND(K229="UNMAPPED",M229=1),ROW(),"")</f>
        <v/>
      </c>
      <c r="O229" s="6">
        <f>IF(AND(I229=1,M229=1),ROW(),"")</f>
        <v/>
      </c>
      <c r="P229" s="6">
        <f>IF(AND(K229="ignored",M229=1),ROW(),"")</f>
        <v/>
      </c>
    </row>
    <row r="230">
      <c r="A230" s="8" t="n"/>
      <c r="B230" s="8" t="n"/>
      <c r="C230" s="6">
        <f>TRIM(A230&amp;"")</f>
        <v/>
      </c>
      <c r="D230" s="6">
        <f>IF(C230="","",SUBSTITUTE(SUBSTITUTE(SUBSTITUTE(SUBSTITUTE(SUBSTITUTE(SUBSTITUTE(SUBSTITUTE(UPPER(TRIM(B230&amp;"")),"₹",""),"RS.",""),"RS",""),"INR",""),"$",""),",","")," ",""))</f>
        <v/>
      </c>
      <c r="E230" s="6">
        <f>IF(C230="","",IF(RIGHT(D230,2)="CR","Cr",IF(RIGHT(D230,2)="DR","Dr","")))</f>
        <v/>
      </c>
      <c r="F230" s="6">
        <f>IF(C230="","",IF(E230&lt;&gt;"",LEFT(D230,LEN(D230)-2),D230))</f>
        <v/>
      </c>
      <c r="G230" s="13">
        <f>IF(C230="","",IF(OR(IF(AND(LEFT(F230,1)="(",RIGHT(F230,1)=")"),MID(F230,2,LEN(F230)-2),F230)="",IF(AND(LEFT(F230,1)="(",RIGHT(F230,1)=")"),MID(F230,2,LEN(F230)-2),F230)="-"),0,IFERROR(VALUE(IF(AND(LEFT(F230,1)="(",RIGHT(F230,1)=")"),MID(F230,2,LEN(F230)-2),F230))*IF(AND(LEFT(F230,1)="(",RIGHT(F230,1)=")"),-1,1)*IF(E230="Cr",Setup!$B$6,1),"ERR")))</f>
        <v/>
      </c>
      <c r="H230" s="6">
        <f>IF(C230="","",IF(ISNUMBER(G230),1,0))</f>
        <v/>
      </c>
      <c r="I230" s="6">
        <f>IF(C230="","",IF(SUMPRODUCT(($C$12:$C$1511=C230)*1)&gt;1,1,0))</f>
        <v/>
      </c>
      <c r="J230" s="6">
        <f>IF(C230="","",SUMPRODUCT((Mapping!$F$5:$F$504=Setup!$B$4&amp;"||"&amp;C230)*ROW(Mapping!$F$5:$F$504)))</f>
        <v/>
      </c>
      <c r="K230" s="6">
        <f>IF(C230="","",IF(J230=0,"UNMAPPED",LOWER(INDEX(Mapping!$D$1:$D$504,J230))))</f>
        <v/>
      </c>
      <c r="L230" s="6">
        <f>IF(K230="mapped",TRIM(INDEX(Mapping!$C$1:$C$504,J230)),"")</f>
        <v/>
      </c>
      <c r="M230" s="6">
        <f>IF(C230="","",IF(SUMPRODUCT(($C$12:C230=C230)*1)=1,1,0))</f>
        <v/>
      </c>
      <c r="N230" s="6">
        <f>IF(AND(K230="UNMAPPED",M230=1),ROW(),"")</f>
        <v/>
      </c>
      <c r="O230" s="6">
        <f>IF(AND(I230=1,M230=1),ROW(),"")</f>
        <v/>
      </c>
      <c r="P230" s="6">
        <f>IF(AND(K230="ignored",M230=1),ROW(),"")</f>
        <v/>
      </c>
    </row>
    <row r="231">
      <c r="A231" s="8" t="n"/>
      <c r="B231" s="8" t="n"/>
      <c r="C231" s="6">
        <f>TRIM(A231&amp;"")</f>
        <v/>
      </c>
      <c r="D231" s="6">
        <f>IF(C231="","",SUBSTITUTE(SUBSTITUTE(SUBSTITUTE(SUBSTITUTE(SUBSTITUTE(SUBSTITUTE(SUBSTITUTE(UPPER(TRIM(B231&amp;"")),"₹",""),"RS.",""),"RS",""),"INR",""),"$",""),",","")," ",""))</f>
        <v/>
      </c>
      <c r="E231" s="6">
        <f>IF(C231="","",IF(RIGHT(D231,2)="CR","Cr",IF(RIGHT(D231,2)="DR","Dr","")))</f>
        <v/>
      </c>
      <c r="F231" s="6">
        <f>IF(C231="","",IF(E231&lt;&gt;"",LEFT(D231,LEN(D231)-2),D231))</f>
        <v/>
      </c>
      <c r="G231" s="13">
        <f>IF(C231="","",IF(OR(IF(AND(LEFT(F231,1)="(",RIGHT(F231,1)=")"),MID(F231,2,LEN(F231)-2),F231)="",IF(AND(LEFT(F231,1)="(",RIGHT(F231,1)=")"),MID(F231,2,LEN(F231)-2),F231)="-"),0,IFERROR(VALUE(IF(AND(LEFT(F231,1)="(",RIGHT(F231,1)=")"),MID(F231,2,LEN(F231)-2),F231))*IF(AND(LEFT(F231,1)="(",RIGHT(F231,1)=")"),-1,1)*IF(E231="Cr",Setup!$B$6,1),"ERR")))</f>
        <v/>
      </c>
      <c r="H231" s="6">
        <f>IF(C231="","",IF(ISNUMBER(G231),1,0))</f>
        <v/>
      </c>
      <c r="I231" s="6">
        <f>IF(C231="","",IF(SUMPRODUCT(($C$12:$C$1511=C231)*1)&gt;1,1,0))</f>
        <v/>
      </c>
      <c r="J231" s="6">
        <f>IF(C231="","",SUMPRODUCT((Mapping!$F$5:$F$504=Setup!$B$4&amp;"||"&amp;C231)*ROW(Mapping!$F$5:$F$504)))</f>
        <v/>
      </c>
      <c r="K231" s="6">
        <f>IF(C231="","",IF(J231=0,"UNMAPPED",LOWER(INDEX(Mapping!$D$1:$D$504,J231))))</f>
        <v/>
      </c>
      <c r="L231" s="6">
        <f>IF(K231="mapped",TRIM(INDEX(Mapping!$C$1:$C$504,J231)),"")</f>
        <v/>
      </c>
      <c r="M231" s="6">
        <f>IF(C231="","",IF(SUMPRODUCT(($C$12:C231=C231)*1)=1,1,0))</f>
        <v/>
      </c>
      <c r="N231" s="6">
        <f>IF(AND(K231="UNMAPPED",M231=1),ROW(),"")</f>
        <v/>
      </c>
      <c r="O231" s="6">
        <f>IF(AND(I231=1,M231=1),ROW(),"")</f>
        <v/>
      </c>
      <c r="P231" s="6">
        <f>IF(AND(K231="ignored",M231=1),ROW(),"")</f>
        <v/>
      </c>
    </row>
    <row r="232">
      <c r="A232" s="8" t="n"/>
      <c r="B232" s="8" t="n"/>
      <c r="C232" s="6">
        <f>TRIM(A232&amp;"")</f>
        <v/>
      </c>
      <c r="D232" s="6">
        <f>IF(C232="","",SUBSTITUTE(SUBSTITUTE(SUBSTITUTE(SUBSTITUTE(SUBSTITUTE(SUBSTITUTE(SUBSTITUTE(UPPER(TRIM(B232&amp;"")),"₹",""),"RS.",""),"RS",""),"INR",""),"$",""),",","")," ",""))</f>
        <v/>
      </c>
      <c r="E232" s="6">
        <f>IF(C232="","",IF(RIGHT(D232,2)="CR","Cr",IF(RIGHT(D232,2)="DR","Dr","")))</f>
        <v/>
      </c>
      <c r="F232" s="6">
        <f>IF(C232="","",IF(E232&lt;&gt;"",LEFT(D232,LEN(D232)-2),D232))</f>
        <v/>
      </c>
      <c r="G232" s="13">
        <f>IF(C232="","",IF(OR(IF(AND(LEFT(F232,1)="(",RIGHT(F232,1)=")"),MID(F232,2,LEN(F232)-2),F232)="",IF(AND(LEFT(F232,1)="(",RIGHT(F232,1)=")"),MID(F232,2,LEN(F232)-2),F232)="-"),0,IFERROR(VALUE(IF(AND(LEFT(F232,1)="(",RIGHT(F232,1)=")"),MID(F232,2,LEN(F232)-2),F232))*IF(AND(LEFT(F232,1)="(",RIGHT(F232,1)=")"),-1,1)*IF(E232="Cr",Setup!$B$6,1),"ERR")))</f>
        <v/>
      </c>
      <c r="H232" s="6">
        <f>IF(C232="","",IF(ISNUMBER(G232),1,0))</f>
        <v/>
      </c>
      <c r="I232" s="6">
        <f>IF(C232="","",IF(SUMPRODUCT(($C$12:$C$1511=C232)*1)&gt;1,1,0))</f>
        <v/>
      </c>
      <c r="J232" s="6">
        <f>IF(C232="","",SUMPRODUCT((Mapping!$F$5:$F$504=Setup!$B$4&amp;"||"&amp;C232)*ROW(Mapping!$F$5:$F$504)))</f>
        <v/>
      </c>
      <c r="K232" s="6">
        <f>IF(C232="","",IF(J232=0,"UNMAPPED",LOWER(INDEX(Mapping!$D$1:$D$504,J232))))</f>
        <v/>
      </c>
      <c r="L232" s="6">
        <f>IF(K232="mapped",TRIM(INDEX(Mapping!$C$1:$C$504,J232)),"")</f>
        <v/>
      </c>
      <c r="M232" s="6">
        <f>IF(C232="","",IF(SUMPRODUCT(($C$12:C232=C232)*1)=1,1,0))</f>
        <v/>
      </c>
      <c r="N232" s="6">
        <f>IF(AND(K232="UNMAPPED",M232=1),ROW(),"")</f>
        <v/>
      </c>
      <c r="O232" s="6">
        <f>IF(AND(I232=1,M232=1),ROW(),"")</f>
        <v/>
      </c>
      <c r="P232" s="6">
        <f>IF(AND(K232="ignored",M232=1),ROW(),"")</f>
        <v/>
      </c>
    </row>
    <row r="233">
      <c r="A233" s="8" t="n"/>
      <c r="B233" s="8" t="n"/>
      <c r="C233" s="6">
        <f>TRIM(A233&amp;"")</f>
        <v/>
      </c>
      <c r="D233" s="6">
        <f>IF(C233="","",SUBSTITUTE(SUBSTITUTE(SUBSTITUTE(SUBSTITUTE(SUBSTITUTE(SUBSTITUTE(SUBSTITUTE(UPPER(TRIM(B233&amp;"")),"₹",""),"RS.",""),"RS",""),"INR",""),"$",""),",","")," ",""))</f>
        <v/>
      </c>
      <c r="E233" s="6">
        <f>IF(C233="","",IF(RIGHT(D233,2)="CR","Cr",IF(RIGHT(D233,2)="DR","Dr","")))</f>
        <v/>
      </c>
      <c r="F233" s="6">
        <f>IF(C233="","",IF(E233&lt;&gt;"",LEFT(D233,LEN(D233)-2),D233))</f>
        <v/>
      </c>
      <c r="G233" s="13">
        <f>IF(C233="","",IF(OR(IF(AND(LEFT(F233,1)="(",RIGHT(F233,1)=")"),MID(F233,2,LEN(F233)-2),F233)="",IF(AND(LEFT(F233,1)="(",RIGHT(F233,1)=")"),MID(F233,2,LEN(F233)-2),F233)="-"),0,IFERROR(VALUE(IF(AND(LEFT(F233,1)="(",RIGHT(F233,1)=")"),MID(F233,2,LEN(F233)-2),F233))*IF(AND(LEFT(F233,1)="(",RIGHT(F233,1)=")"),-1,1)*IF(E233="Cr",Setup!$B$6,1),"ERR")))</f>
        <v/>
      </c>
      <c r="H233" s="6">
        <f>IF(C233="","",IF(ISNUMBER(G233),1,0))</f>
        <v/>
      </c>
      <c r="I233" s="6">
        <f>IF(C233="","",IF(SUMPRODUCT(($C$12:$C$1511=C233)*1)&gt;1,1,0))</f>
        <v/>
      </c>
      <c r="J233" s="6">
        <f>IF(C233="","",SUMPRODUCT((Mapping!$F$5:$F$504=Setup!$B$4&amp;"||"&amp;C233)*ROW(Mapping!$F$5:$F$504)))</f>
        <v/>
      </c>
      <c r="K233" s="6">
        <f>IF(C233="","",IF(J233=0,"UNMAPPED",LOWER(INDEX(Mapping!$D$1:$D$504,J233))))</f>
        <v/>
      </c>
      <c r="L233" s="6">
        <f>IF(K233="mapped",TRIM(INDEX(Mapping!$C$1:$C$504,J233)),"")</f>
        <v/>
      </c>
      <c r="M233" s="6">
        <f>IF(C233="","",IF(SUMPRODUCT(($C$12:C233=C233)*1)=1,1,0))</f>
        <v/>
      </c>
      <c r="N233" s="6">
        <f>IF(AND(K233="UNMAPPED",M233=1),ROW(),"")</f>
        <v/>
      </c>
      <c r="O233" s="6">
        <f>IF(AND(I233=1,M233=1),ROW(),"")</f>
        <v/>
      </c>
      <c r="P233" s="6">
        <f>IF(AND(K233="ignored",M233=1),ROW(),"")</f>
        <v/>
      </c>
    </row>
    <row r="234">
      <c r="A234" s="8" t="n"/>
      <c r="B234" s="8" t="n"/>
      <c r="C234" s="6">
        <f>TRIM(A234&amp;"")</f>
        <v/>
      </c>
      <c r="D234" s="6">
        <f>IF(C234="","",SUBSTITUTE(SUBSTITUTE(SUBSTITUTE(SUBSTITUTE(SUBSTITUTE(SUBSTITUTE(SUBSTITUTE(UPPER(TRIM(B234&amp;"")),"₹",""),"RS.",""),"RS",""),"INR",""),"$",""),",","")," ",""))</f>
        <v/>
      </c>
      <c r="E234" s="6">
        <f>IF(C234="","",IF(RIGHT(D234,2)="CR","Cr",IF(RIGHT(D234,2)="DR","Dr","")))</f>
        <v/>
      </c>
      <c r="F234" s="6">
        <f>IF(C234="","",IF(E234&lt;&gt;"",LEFT(D234,LEN(D234)-2),D234))</f>
        <v/>
      </c>
      <c r="G234" s="13">
        <f>IF(C234="","",IF(OR(IF(AND(LEFT(F234,1)="(",RIGHT(F234,1)=")"),MID(F234,2,LEN(F234)-2),F234)="",IF(AND(LEFT(F234,1)="(",RIGHT(F234,1)=")"),MID(F234,2,LEN(F234)-2),F234)="-"),0,IFERROR(VALUE(IF(AND(LEFT(F234,1)="(",RIGHT(F234,1)=")"),MID(F234,2,LEN(F234)-2),F234))*IF(AND(LEFT(F234,1)="(",RIGHT(F234,1)=")"),-1,1)*IF(E234="Cr",Setup!$B$6,1),"ERR")))</f>
        <v/>
      </c>
      <c r="H234" s="6">
        <f>IF(C234="","",IF(ISNUMBER(G234),1,0))</f>
        <v/>
      </c>
      <c r="I234" s="6">
        <f>IF(C234="","",IF(SUMPRODUCT(($C$12:$C$1511=C234)*1)&gt;1,1,0))</f>
        <v/>
      </c>
      <c r="J234" s="6">
        <f>IF(C234="","",SUMPRODUCT((Mapping!$F$5:$F$504=Setup!$B$4&amp;"||"&amp;C234)*ROW(Mapping!$F$5:$F$504)))</f>
        <v/>
      </c>
      <c r="K234" s="6">
        <f>IF(C234="","",IF(J234=0,"UNMAPPED",LOWER(INDEX(Mapping!$D$1:$D$504,J234))))</f>
        <v/>
      </c>
      <c r="L234" s="6">
        <f>IF(K234="mapped",TRIM(INDEX(Mapping!$C$1:$C$504,J234)),"")</f>
        <v/>
      </c>
      <c r="M234" s="6">
        <f>IF(C234="","",IF(SUMPRODUCT(($C$12:C234=C234)*1)=1,1,0))</f>
        <v/>
      </c>
      <c r="N234" s="6">
        <f>IF(AND(K234="UNMAPPED",M234=1),ROW(),"")</f>
        <v/>
      </c>
      <c r="O234" s="6">
        <f>IF(AND(I234=1,M234=1),ROW(),"")</f>
        <v/>
      </c>
      <c r="P234" s="6">
        <f>IF(AND(K234="ignored",M234=1),ROW(),"")</f>
        <v/>
      </c>
    </row>
    <row r="235">
      <c r="A235" s="8" t="n"/>
      <c r="B235" s="8" t="n"/>
      <c r="C235" s="6">
        <f>TRIM(A235&amp;"")</f>
        <v/>
      </c>
      <c r="D235" s="6">
        <f>IF(C235="","",SUBSTITUTE(SUBSTITUTE(SUBSTITUTE(SUBSTITUTE(SUBSTITUTE(SUBSTITUTE(SUBSTITUTE(UPPER(TRIM(B235&amp;"")),"₹",""),"RS.",""),"RS",""),"INR",""),"$",""),",","")," ",""))</f>
        <v/>
      </c>
      <c r="E235" s="6">
        <f>IF(C235="","",IF(RIGHT(D235,2)="CR","Cr",IF(RIGHT(D235,2)="DR","Dr","")))</f>
        <v/>
      </c>
      <c r="F235" s="6">
        <f>IF(C235="","",IF(E235&lt;&gt;"",LEFT(D235,LEN(D235)-2),D235))</f>
        <v/>
      </c>
      <c r="G235" s="13">
        <f>IF(C235="","",IF(OR(IF(AND(LEFT(F235,1)="(",RIGHT(F235,1)=")"),MID(F235,2,LEN(F235)-2),F235)="",IF(AND(LEFT(F235,1)="(",RIGHT(F235,1)=")"),MID(F235,2,LEN(F235)-2),F235)="-"),0,IFERROR(VALUE(IF(AND(LEFT(F235,1)="(",RIGHT(F235,1)=")"),MID(F235,2,LEN(F235)-2),F235))*IF(AND(LEFT(F235,1)="(",RIGHT(F235,1)=")"),-1,1)*IF(E235="Cr",Setup!$B$6,1),"ERR")))</f>
        <v/>
      </c>
      <c r="H235" s="6">
        <f>IF(C235="","",IF(ISNUMBER(G235),1,0))</f>
        <v/>
      </c>
      <c r="I235" s="6">
        <f>IF(C235="","",IF(SUMPRODUCT(($C$12:$C$1511=C235)*1)&gt;1,1,0))</f>
        <v/>
      </c>
      <c r="J235" s="6">
        <f>IF(C235="","",SUMPRODUCT((Mapping!$F$5:$F$504=Setup!$B$4&amp;"||"&amp;C235)*ROW(Mapping!$F$5:$F$504)))</f>
        <v/>
      </c>
      <c r="K235" s="6">
        <f>IF(C235="","",IF(J235=0,"UNMAPPED",LOWER(INDEX(Mapping!$D$1:$D$504,J235))))</f>
        <v/>
      </c>
      <c r="L235" s="6">
        <f>IF(K235="mapped",TRIM(INDEX(Mapping!$C$1:$C$504,J235)),"")</f>
        <v/>
      </c>
      <c r="M235" s="6">
        <f>IF(C235="","",IF(SUMPRODUCT(($C$12:C235=C235)*1)=1,1,0))</f>
        <v/>
      </c>
      <c r="N235" s="6">
        <f>IF(AND(K235="UNMAPPED",M235=1),ROW(),"")</f>
        <v/>
      </c>
      <c r="O235" s="6">
        <f>IF(AND(I235=1,M235=1),ROW(),"")</f>
        <v/>
      </c>
      <c r="P235" s="6">
        <f>IF(AND(K235="ignored",M235=1),ROW(),"")</f>
        <v/>
      </c>
    </row>
    <row r="236">
      <c r="A236" s="8" t="n"/>
      <c r="B236" s="8" t="n"/>
      <c r="C236" s="6">
        <f>TRIM(A236&amp;"")</f>
        <v/>
      </c>
      <c r="D236" s="6">
        <f>IF(C236="","",SUBSTITUTE(SUBSTITUTE(SUBSTITUTE(SUBSTITUTE(SUBSTITUTE(SUBSTITUTE(SUBSTITUTE(UPPER(TRIM(B236&amp;"")),"₹",""),"RS.",""),"RS",""),"INR",""),"$",""),",","")," ",""))</f>
        <v/>
      </c>
      <c r="E236" s="6">
        <f>IF(C236="","",IF(RIGHT(D236,2)="CR","Cr",IF(RIGHT(D236,2)="DR","Dr","")))</f>
        <v/>
      </c>
      <c r="F236" s="6">
        <f>IF(C236="","",IF(E236&lt;&gt;"",LEFT(D236,LEN(D236)-2),D236))</f>
        <v/>
      </c>
      <c r="G236" s="13">
        <f>IF(C236="","",IF(OR(IF(AND(LEFT(F236,1)="(",RIGHT(F236,1)=")"),MID(F236,2,LEN(F236)-2),F236)="",IF(AND(LEFT(F236,1)="(",RIGHT(F236,1)=")"),MID(F236,2,LEN(F236)-2),F236)="-"),0,IFERROR(VALUE(IF(AND(LEFT(F236,1)="(",RIGHT(F236,1)=")"),MID(F236,2,LEN(F236)-2),F236))*IF(AND(LEFT(F236,1)="(",RIGHT(F236,1)=")"),-1,1)*IF(E236="Cr",Setup!$B$6,1),"ERR")))</f>
        <v/>
      </c>
      <c r="H236" s="6">
        <f>IF(C236="","",IF(ISNUMBER(G236),1,0))</f>
        <v/>
      </c>
      <c r="I236" s="6">
        <f>IF(C236="","",IF(SUMPRODUCT(($C$12:$C$1511=C236)*1)&gt;1,1,0))</f>
        <v/>
      </c>
      <c r="J236" s="6">
        <f>IF(C236="","",SUMPRODUCT((Mapping!$F$5:$F$504=Setup!$B$4&amp;"||"&amp;C236)*ROW(Mapping!$F$5:$F$504)))</f>
        <v/>
      </c>
      <c r="K236" s="6">
        <f>IF(C236="","",IF(J236=0,"UNMAPPED",LOWER(INDEX(Mapping!$D$1:$D$504,J236))))</f>
        <v/>
      </c>
      <c r="L236" s="6">
        <f>IF(K236="mapped",TRIM(INDEX(Mapping!$C$1:$C$504,J236)),"")</f>
        <v/>
      </c>
      <c r="M236" s="6">
        <f>IF(C236="","",IF(SUMPRODUCT(($C$12:C236=C236)*1)=1,1,0))</f>
        <v/>
      </c>
      <c r="N236" s="6">
        <f>IF(AND(K236="UNMAPPED",M236=1),ROW(),"")</f>
        <v/>
      </c>
      <c r="O236" s="6">
        <f>IF(AND(I236=1,M236=1),ROW(),"")</f>
        <v/>
      </c>
      <c r="P236" s="6">
        <f>IF(AND(K236="ignored",M236=1),ROW(),"")</f>
        <v/>
      </c>
    </row>
    <row r="237">
      <c r="A237" s="8" t="n"/>
      <c r="B237" s="8" t="n"/>
      <c r="C237" s="6">
        <f>TRIM(A237&amp;"")</f>
        <v/>
      </c>
      <c r="D237" s="6">
        <f>IF(C237="","",SUBSTITUTE(SUBSTITUTE(SUBSTITUTE(SUBSTITUTE(SUBSTITUTE(SUBSTITUTE(SUBSTITUTE(UPPER(TRIM(B237&amp;"")),"₹",""),"RS.",""),"RS",""),"INR",""),"$",""),",","")," ",""))</f>
        <v/>
      </c>
      <c r="E237" s="6">
        <f>IF(C237="","",IF(RIGHT(D237,2)="CR","Cr",IF(RIGHT(D237,2)="DR","Dr","")))</f>
        <v/>
      </c>
      <c r="F237" s="6">
        <f>IF(C237="","",IF(E237&lt;&gt;"",LEFT(D237,LEN(D237)-2),D237))</f>
        <v/>
      </c>
      <c r="G237" s="13">
        <f>IF(C237="","",IF(OR(IF(AND(LEFT(F237,1)="(",RIGHT(F237,1)=")"),MID(F237,2,LEN(F237)-2),F237)="",IF(AND(LEFT(F237,1)="(",RIGHT(F237,1)=")"),MID(F237,2,LEN(F237)-2),F237)="-"),0,IFERROR(VALUE(IF(AND(LEFT(F237,1)="(",RIGHT(F237,1)=")"),MID(F237,2,LEN(F237)-2),F237))*IF(AND(LEFT(F237,1)="(",RIGHT(F237,1)=")"),-1,1)*IF(E237="Cr",Setup!$B$6,1),"ERR")))</f>
        <v/>
      </c>
      <c r="H237" s="6">
        <f>IF(C237="","",IF(ISNUMBER(G237),1,0))</f>
        <v/>
      </c>
      <c r="I237" s="6">
        <f>IF(C237="","",IF(SUMPRODUCT(($C$12:$C$1511=C237)*1)&gt;1,1,0))</f>
        <v/>
      </c>
      <c r="J237" s="6">
        <f>IF(C237="","",SUMPRODUCT((Mapping!$F$5:$F$504=Setup!$B$4&amp;"||"&amp;C237)*ROW(Mapping!$F$5:$F$504)))</f>
        <v/>
      </c>
      <c r="K237" s="6">
        <f>IF(C237="","",IF(J237=0,"UNMAPPED",LOWER(INDEX(Mapping!$D$1:$D$504,J237))))</f>
        <v/>
      </c>
      <c r="L237" s="6">
        <f>IF(K237="mapped",TRIM(INDEX(Mapping!$C$1:$C$504,J237)),"")</f>
        <v/>
      </c>
      <c r="M237" s="6">
        <f>IF(C237="","",IF(SUMPRODUCT(($C$12:C237=C237)*1)=1,1,0))</f>
        <v/>
      </c>
      <c r="N237" s="6">
        <f>IF(AND(K237="UNMAPPED",M237=1),ROW(),"")</f>
        <v/>
      </c>
      <c r="O237" s="6">
        <f>IF(AND(I237=1,M237=1),ROW(),"")</f>
        <v/>
      </c>
      <c r="P237" s="6">
        <f>IF(AND(K237="ignored",M237=1),ROW(),"")</f>
        <v/>
      </c>
    </row>
    <row r="238">
      <c r="A238" s="8" t="n"/>
      <c r="B238" s="8" t="n"/>
      <c r="C238" s="6">
        <f>TRIM(A238&amp;"")</f>
        <v/>
      </c>
      <c r="D238" s="6">
        <f>IF(C238="","",SUBSTITUTE(SUBSTITUTE(SUBSTITUTE(SUBSTITUTE(SUBSTITUTE(SUBSTITUTE(SUBSTITUTE(UPPER(TRIM(B238&amp;"")),"₹",""),"RS.",""),"RS",""),"INR",""),"$",""),",","")," ",""))</f>
        <v/>
      </c>
      <c r="E238" s="6">
        <f>IF(C238="","",IF(RIGHT(D238,2)="CR","Cr",IF(RIGHT(D238,2)="DR","Dr","")))</f>
        <v/>
      </c>
      <c r="F238" s="6">
        <f>IF(C238="","",IF(E238&lt;&gt;"",LEFT(D238,LEN(D238)-2),D238))</f>
        <v/>
      </c>
      <c r="G238" s="13">
        <f>IF(C238="","",IF(OR(IF(AND(LEFT(F238,1)="(",RIGHT(F238,1)=")"),MID(F238,2,LEN(F238)-2),F238)="",IF(AND(LEFT(F238,1)="(",RIGHT(F238,1)=")"),MID(F238,2,LEN(F238)-2),F238)="-"),0,IFERROR(VALUE(IF(AND(LEFT(F238,1)="(",RIGHT(F238,1)=")"),MID(F238,2,LEN(F238)-2),F238))*IF(AND(LEFT(F238,1)="(",RIGHT(F238,1)=")"),-1,1)*IF(E238="Cr",Setup!$B$6,1),"ERR")))</f>
        <v/>
      </c>
      <c r="H238" s="6">
        <f>IF(C238="","",IF(ISNUMBER(G238),1,0))</f>
        <v/>
      </c>
      <c r="I238" s="6">
        <f>IF(C238="","",IF(SUMPRODUCT(($C$12:$C$1511=C238)*1)&gt;1,1,0))</f>
        <v/>
      </c>
      <c r="J238" s="6">
        <f>IF(C238="","",SUMPRODUCT((Mapping!$F$5:$F$504=Setup!$B$4&amp;"||"&amp;C238)*ROW(Mapping!$F$5:$F$504)))</f>
        <v/>
      </c>
      <c r="K238" s="6">
        <f>IF(C238="","",IF(J238=0,"UNMAPPED",LOWER(INDEX(Mapping!$D$1:$D$504,J238))))</f>
        <v/>
      </c>
      <c r="L238" s="6">
        <f>IF(K238="mapped",TRIM(INDEX(Mapping!$C$1:$C$504,J238)),"")</f>
        <v/>
      </c>
      <c r="M238" s="6">
        <f>IF(C238="","",IF(SUMPRODUCT(($C$12:C238=C238)*1)=1,1,0))</f>
        <v/>
      </c>
      <c r="N238" s="6">
        <f>IF(AND(K238="UNMAPPED",M238=1),ROW(),"")</f>
        <v/>
      </c>
      <c r="O238" s="6">
        <f>IF(AND(I238=1,M238=1),ROW(),"")</f>
        <v/>
      </c>
      <c r="P238" s="6">
        <f>IF(AND(K238="ignored",M238=1),ROW(),"")</f>
        <v/>
      </c>
    </row>
    <row r="239">
      <c r="A239" s="8" t="n"/>
      <c r="B239" s="8" t="n"/>
      <c r="C239" s="6">
        <f>TRIM(A239&amp;"")</f>
        <v/>
      </c>
      <c r="D239" s="6">
        <f>IF(C239="","",SUBSTITUTE(SUBSTITUTE(SUBSTITUTE(SUBSTITUTE(SUBSTITUTE(SUBSTITUTE(SUBSTITUTE(UPPER(TRIM(B239&amp;"")),"₹",""),"RS.",""),"RS",""),"INR",""),"$",""),",","")," ",""))</f>
        <v/>
      </c>
      <c r="E239" s="6">
        <f>IF(C239="","",IF(RIGHT(D239,2)="CR","Cr",IF(RIGHT(D239,2)="DR","Dr","")))</f>
        <v/>
      </c>
      <c r="F239" s="6">
        <f>IF(C239="","",IF(E239&lt;&gt;"",LEFT(D239,LEN(D239)-2),D239))</f>
        <v/>
      </c>
      <c r="G239" s="13">
        <f>IF(C239="","",IF(OR(IF(AND(LEFT(F239,1)="(",RIGHT(F239,1)=")"),MID(F239,2,LEN(F239)-2),F239)="",IF(AND(LEFT(F239,1)="(",RIGHT(F239,1)=")"),MID(F239,2,LEN(F239)-2),F239)="-"),0,IFERROR(VALUE(IF(AND(LEFT(F239,1)="(",RIGHT(F239,1)=")"),MID(F239,2,LEN(F239)-2),F239))*IF(AND(LEFT(F239,1)="(",RIGHT(F239,1)=")"),-1,1)*IF(E239="Cr",Setup!$B$6,1),"ERR")))</f>
        <v/>
      </c>
      <c r="H239" s="6">
        <f>IF(C239="","",IF(ISNUMBER(G239),1,0))</f>
        <v/>
      </c>
      <c r="I239" s="6">
        <f>IF(C239="","",IF(SUMPRODUCT(($C$12:$C$1511=C239)*1)&gt;1,1,0))</f>
        <v/>
      </c>
      <c r="J239" s="6">
        <f>IF(C239="","",SUMPRODUCT((Mapping!$F$5:$F$504=Setup!$B$4&amp;"||"&amp;C239)*ROW(Mapping!$F$5:$F$504)))</f>
        <v/>
      </c>
      <c r="K239" s="6">
        <f>IF(C239="","",IF(J239=0,"UNMAPPED",LOWER(INDEX(Mapping!$D$1:$D$504,J239))))</f>
        <v/>
      </c>
      <c r="L239" s="6">
        <f>IF(K239="mapped",TRIM(INDEX(Mapping!$C$1:$C$504,J239)),"")</f>
        <v/>
      </c>
      <c r="M239" s="6">
        <f>IF(C239="","",IF(SUMPRODUCT(($C$12:C239=C239)*1)=1,1,0))</f>
        <v/>
      </c>
      <c r="N239" s="6">
        <f>IF(AND(K239="UNMAPPED",M239=1),ROW(),"")</f>
        <v/>
      </c>
      <c r="O239" s="6">
        <f>IF(AND(I239=1,M239=1),ROW(),"")</f>
        <v/>
      </c>
      <c r="P239" s="6">
        <f>IF(AND(K239="ignored",M239=1),ROW(),"")</f>
        <v/>
      </c>
    </row>
    <row r="240">
      <c r="A240" s="8" t="n"/>
      <c r="B240" s="8" t="n"/>
      <c r="C240" s="6">
        <f>TRIM(A240&amp;"")</f>
        <v/>
      </c>
      <c r="D240" s="6">
        <f>IF(C240="","",SUBSTITUTE(SUBSTITUTE(SUBSTITUTE(SUBSTITUTE(SUBSTITUTE(SUBSTITUTE(SUBSTITUTE(UPPER(TRIM(B240&amp;"")),"₹",""),"RS.",""),"RS",""),"INR",""),"$",""),",","")," ",""))</f>
        <v/>
      </c>
      <c r="E240" s="6">
        <f>IF(C240="","",IF(RIGHT(D240,2)="CR","Cr",IF(RIGHT(D240,2)="DR","Dr","")))</f>
        <v/>
      </c>
      <c r="F240" s="6">
        <f>IF(C240="","",IF(E240&lt;&gt;"",LEFT(D240,LEN(D240)-2),D240))</f>
        <v/>
      </c>
      <c r="G240" s="13">
        <f>IF(C240="","",IF(OR(IF(AND(LEFT(F240,1)="(",RIGHT(F240,1)=")"),MID(F240,2,LEN(F240)-2),F240)="",IF(AND(LEFT(F240,1)="(",RIGHT(F240,1)=")"),MID(F240,2,LEN(F240)-2),F240)="-"),0,IFERROR(VALUE(IF(AND(LEFT(F240,1)="(",RIGHT(F240,1)=")"),MID(F240,2,LEN(F240)-2),F240))*IF(AND(LEFT(F240,1)="(",RIGHT(F240,1)=")"),-1,1)*IF(E240="Cr",Setup!$B$6,1),"ERR")))</f>
        <v/>
      </c>
      <c r="H240" s="6">
        <f>IF(C240="","",IF(ISNUMBER(G240),1,0))</f>
        <v/>
      </c>
      <c r="I240" s="6">
        <f>IF(C240="","",IF(SUMPRODUCT(($C$12:$C$1511=C240)*1)&gt;1,1,0))</f>
        <v/>
      </c>
      <c r="J240" s="6">
        <f>IF(C240="","",SUMPRODUCT((Mapping!$F$5:$F$504=Setup!$B$4&amp;"||"&amp;C240)*ROW(Mapping!$F$5:$F$504)))</f>
        <v/>
      </c>
      <c r="K240" s="6">
        <f>IF(C240="","",IF(J240=0,"UNMAPPED",LOWER(INDEX(Mapping!$D$1:$D$504,J240))))</f>
        <v/>
      </c>
      <c r="L240" s="6">
        <f>IF(K240="mapped",TRIM(INDEX(Mapping!$C$1:$C$504,J240)),"")</f>
        <v/>
      </c>
      <c r="M240" s="6">
        <f>IF(C240="","",IF(SUMPRODUCT(($C$12:C240=C240)*1)=1,1,0))</f>
        <v/>
      </c>
      <c r="N240" s="6">
        <f>IF(AND(K240="UNMAPPED",M240=1),ROW(),"")</f>
        <v/>
      </c>
      <c r="O240" s="6">
        <f>IF(AND(I240=1,M240=1),ROW(),"")</f>
        <v/>
      </c>
      <c r="P240" s="6">
        <f>IF(AND(K240="ignored",M240=1),ROW(),"")</f>
        <v/>
      </c>
    </row>
    <row r="241">
      <c r="A241" s="8" t="n"/>
      <c r="B241" s="8" t="n"/>
      <c r="C241" s="6">
        <f>TRIM(A241&amp;"")</f>
        <v/>
      </c>
      <c r="D241" s="6">
        <f>IF(C241="","",SUBSTITUTE(SUBSTITUTE(SUBSTITUTE(SUBSTITUTE(SUBSTITUTE(SUBSTITUTE(SUBSTITUTE(UPPER(TRIM(B241&amp;"")),"₹",""),"RS.",""),"RS",""),"INR",""),"$",""),",","")," ",""))</f>
        <v/>
      </c>
      <c r="E241" s="6">
        <f>IF(C241="","",IF(RIGHT(D241,2)="CR","Cr",IF(RIGHT(D241,2)="DR","Dr","")))</f>
        <v/>
      </c>
      <c r="F241" s="6">
        <f>IF(C241="","",IF(E241&lt;&gt;"",LEFT(D241,LEN(D241)-2),D241))</f>
        <v/>
      </c>
      <c r="G241" s="13">
        <f>IF(C241="","",IF(OR(IF(AND(LEFT(F241,1)="(",RIGHT(F241,1)=")"),MID(F241,2,LEN(F241)-2),F241)="",IF(AND(LEFT(F241,1)="(",RIGHT(F241,1)=")"),MID(F241,2,LEN(F241)-2),F241)="-"),0,IFERROR(VALUE(IF(AND(LEFT(F241,1)="(",RIGHT(F241,1)=")"),MID(F241,2,LEN(F241)-2),F241))*IF(AND(LEFT(F241,1)="(",RIGHT(F241,1)=")"),-1,1)*IF(E241="Cr",Setup!$B$6,1),"ERR")))</f>
        <v/>
      </c>
      <c r="H241" s="6">
        <f>IF(C241="","",IF(ISNUMBER(G241),1,0))</f>
        <v/>
      </c>
      <c r="I241" s="6">
        <f>IF(C241="","",IF(SUMPRODUCT(($C$12:$C$1511=C241)*1)&gt;1,1,0))</f>
        <v/>
      </c>
      <c r="J241" s="6">
        <f>IF(C241="","",SUMPRODUCT((Mapping!$F$5:$F$504=Setup!$B$4&amp;"||"&amp;C241)*ROW(Mapping!$F$5:$F$504)))</f>
        <v/>
      </c>
      <c r="K241" s="6">
        <f>IF(C241="","",IF(J241=0,"UNMAPPED",LOWER(INDEX(Mapping!$D$1:$D$504,J241))))</f>
        <v/>
      </c>
      <c r="L241" s="6">
        <f>IF(K241="mapped",TRIM(INDEX(Mapping!$C$1:$C$504,J241)),"")</f>
        <v/>
      </c>
      <c r="M241" s="6">
        <f>IF(C241="","",IF(SUMPRODUCT(($C$12:C241=C241)*1)=1,1,0))</f>
        <v/>
      </c>
      <c r="N241" s="6">
        <f>IF(AND(K241="UNMAPPED",M241=1),ROW(),"")</f>
        <v/>
      </c>
      <c r="O241" s="6">
        <f>IF(AND(I241=1,M241=1),ROW(),"")</f>
        <v/>
      </c>
      <c r="P241" s="6">
        <f>IF(AND(K241="ignored",M241=1),ROW(),"")</f>
        <v/>
      </c>
    </row>
    <row r="242">
      <c r="A242" s="8" t="n"/>
      <c r="B242" s="8" t="n"/>
      <c r="C242" s="6">
        <f>TRIM(A242&amp;"")</f>
        <v/>
      </c>
      <c r="D242" s="6">
        <f>IF(C242="","",SUBSTITUTE(SUBSTITUTE(SUBSTITUTE(SUBSTITUTE(SUBSTITUTE(SUBSTITUTE(SUBSTITUTE(UPPER(TRIM(B242&amp;"")),"₹",""),"RS.",""),"RS",""),"INR",""),"$",""),",","")," ",""))</f>
        <v/>
      </c>
      <c r="E242" s="6">
        <f>IF(C242="","",IF(RIGHT(D242,2)="CR","Cr",IF(RIGHT(D242,2)="DR","Dr","")))</f>
        <v/>
      </c>
      <c r="F242" s="6">
        <f>IF(C242="","",IF(E242&lt;&gt;"",LEFT(D242,LEN(D242)-2),D242))</f>
        <v/>
      </c>
      <c r="G242" s="13">
        <f>IF(C242="","",IF(OR(IF(AND(LEFT(F242,1)="(",RIGHT(F242,1)=")"),MID(F242,2,LEN(F242)-2),F242)="",IF(AND(LEFT(F242,1)="(",RIGHT(F242,1)=")"),MID(F242,2,LEN(F242)-2),F242)="-"),0,IFERROR(VALUE(IF(AND(LEFT(F242,1)="(",RIGHT(F242,1)=")"),MID(F242,2,LEN(F242)-2),F242))*IF(AND(LEFT(F242,1)="(",RIGHT(F242,1)=")"),-1,1)*IF(E242="Cr",Setup!$B$6,1),"ERR")))</f>
        <v/>
      </c>
      <c r="H242" s="6">
        <f>IF(C242="","",IF(ISNUMBER(G242),1,0))</f>
        <v/>
      </c>
      <c r="I242" s="6">
        <f>IF(C242="","",IF(SUMPRODUCT(($C$12:$C$1511=C242)*1)&gt;1,1,0))</f>
        <v/>
      </c>
      <c r="J242" s="6">
        <f>IF(C242="","",SUMPRODUCT((Mapping!$F$5:$F$504=Setup!$B$4&amp;"||"&amp;C242)*ROW(Mapping!$F$5:$F$504)))</f>
        <v/>
      </c>
      <c r="K242" s="6">
        <f>IF(C242="","",IF(J242=0,"UNMAPPED",LOWER(INDEX(Mapping!$D$1:$D$504,J242))))</f>
        <v/>
      </c>
      <c r="L242" s="6">
        <f>IF(K242="mapped",TRIM(INDEX(Mapping!$C$1:$C$504,J242)),"")</f>
        <v/>
      </c>
      <c r="M242" s="6">
        <f>IF(C242="","",IF(SUMPRODUCT(($C$12:C242=C242)*1)=1,1,0))</f>
        <v/>
      </c>
      <c r="N242" s="6">
        <f>IF(AND(K242="UNMAPPED",M242=1),ROW(),"")</f>
        <v/>
      </c>
      <c r="O242" s="6">
        <f>IF(AND(I242=1,M242=1),ROW(),"")</f>
        <v/>
      </c>
      <c r="P242" s="6">
        <f>IF(AND(K242="ignored",M242=1),ROW(),"")</f>
        <v/>
      </c>
    </row>
    <row r="243">
      <c r="A243" s="8" t="n"/>
      <c r="B243" s="8" t="n"/>
      <c r="C243" s="6">
        <f>TRIM(A243&amp;"")</f>
        <v/>
      </c>
      <c r="D243" s="6">
        <f>IF(C243="","",SUBSTITUTE(SUBSTITUTE(SUBSTITUTE(SUBSTITUTE(SUBSTITUTE(SUBSTITUTE(SUBSTITUTE(UPPER(TRIM(B243&amp;"")),"₹",""),"RS.",""),"RS",""),"INR",""),"$",""),",","")," ",""))</f>
        <v/>
      </c>
      <c r="E243" s="6">
        <f>IF(C243="","",IF(RIGHT(D243,2)="CR","Cr",IF(RIGHT(D243,2)="DR","Dr","")))</f>
        <v/>
      </c>
      <c r="F243" s="6">
        <f>IF(C243="","",IF(E243&lt;&gt;"",LEFT(D243,LEN(D243)-2),D243))</f>
        <v/>
      </c>
      <c r="G243" s="13">
        <f>IF(C243="","",IF(OR(IF(AND(LEFT(F243,1)="(",RIGHT(F243,1)=")"),MID(F243,2,LEN(F243)-2),F243)="",IF(AND(LEFT(F243,1)="(",RIGHT(F243,1)=")"),MID(F243,2,LEN(F243)-2),F243)="-"),0,IFERROR(VALUE(IF(AND(LEFT(F243,1)="(",RIGHT(F243,1)=")"),MID(F243,2,LEN(F243)-2),F243))*IF(AND(LEFT(F243,1)="(",RIGHT(F243,1)=")"),-1,1)*IF(E243="Cr",Setup!$B$6,1),"ERR")))</f>
        <v/>
      </c>
      <c r="H243" s="6">
        <f>IF(C243="","",IF(ISNUMBER(G243),1,0))</f>
        <v/>
      </c>
      <c r="I243" s="6">
        <f>IF(C243="","",IF(SUMPRODUCT(($C$12:$C$1511=C243)*1)&gt;1,1,0))</f>
        <v/>
      </c>
      <c r="J243" s="6">
        <f>IF(C243="","",SUMPRODUCT((Mapping!$F$5:$F$504=Setup!$B$4&amp;"||"&amp;C243)*ROW(Mapping!$F$5:$F$504)))</f>
        <v/>
      </c>
      <c r="K243" s="6">
        <f>IF(C243="","",IF(J243=0,"UNMAPPED",LOWER(INDEX(Mapping!$D$1:$D$504,J243))))</f>
        <v/>
      </c>
      <c r="L243" s="6">
        <f>IF(K243="mapped",TRIM(INDEX(Mapping!$C$1:$C$504,J243)),"")</f>
        <v/>
      </c>
      <c r="M243" s="6">
        <f>IF(C243="","",IF(SUMPRODUCT(($C$12:C243=C243)*1)=1,1,0))</f>
        <v/>
      </c>
      <c r="N243" s="6">
        <f>IF(AND(K243="UNMAPPED",M243=1),ROW(),"")</f>
        <v/>
      </c>
      <c r="O243" s="6">
        <f>IF(AND(I243=1,M243=1),ROW(),"")</f>
        <v/>
      </c>
      <c r="P243" s="6">
        <f>IF(AND(K243="ignored",M243=1),ROW(),"")</f>
        <v/>
      </c>
    </row>
    <row r="244">
      <c r="A244" s="8" t="n"/>
      <c r="B244" s="8" t="n"/>
      <c r="C244" s="6">
        <f>TRIM(A244&amp;"")</f>
        <v/>
      </c>
      <c r="D244" s="6">
        <f>IF(C244="","",SUBSTITUTE(SUBSTITUTE(SUBSTITUTE(SUBSTITUTE(SUBSTITUTE(SUBSTITUTE(SUBSTITUTE(UPPER(TRIM(B244&amp;"")),"₹",""),"RS.",""),"RS",""),"INR",""),"$",""),",","")," ",""))</f>
        <v/>
      </c>
      <c r="E244" s="6">
        <f>IF(C244="","",IF(RIGHT(D244,2)="CR","Cr",IF(RIGHT(D244,2)="DR","Dr","")))</f>
        <v/>
      </c>
      <c r="F244" s="6">
        <f>IF(C244="","",IF(E244&lt;&gt;"",LEFT(D244,LEN(D244)-2),D244))</f>
        <v/>
      </c>
      <c r="G244" s="13">
        <f>IF(C244="","",IF(OR(IF(AND(LEFT(F244,1)="(",RIGHT(F244,1)=")"),MID(F244,2,LEN(F244)-2),F244)="",IF(AND(LEFT(F244,1)="(",RIGHT(F244,1)=")"),MID(F244,2,LEN(F244)-2),F244)="-"),0,IFERROR(VALUE(IF(AND(LEFT(F244,1)="(",RIGHT(F244,1)=")"),MID(F244,2,LEN(F244)-2),F244))*IF(AND(LEFT(F244,1)="(",RIGHT(F244,1)=")"),-1,1)*IF(E244="Cr",Setup!$B$6,1),"ERR")))</f>
        <v/>
      </c>
      <c r="H244" s="6">
        <f>IF(C244="","",IF(ISNUMBER(G244),1,0))</f>
        <v/>
      </c>
      <c r="I244" s="6">
        <f>IF(C244="","",IF(SUMPRODUCT(($C$12:$C$1511=C244)*1)&gt;1,1,0))</f>
        <v/>
      </c>
      <c r="J244" s="6">
        <f>IF(C244="","",SUMPRODUCT((Mapping!$F$5:$F$504=Setup!$B$4&amp;"||"&amp;C244)*ROW(Mapping!$F$5:$F$504)))</f>
        <v/>
      </c>
      <c r="K244" s="6">
        <f>IF(C244="","",IF(J244=0,"UNMAPPED",LOWER(INDEX(Mapping!$D$1:$D$504,J244))))</f>
        <v/>
      </c>
      <c r="L244" s="6">
        <f>IF(K244="mapped",TRIM(INDEX(Mapping!$C$1:$C$504,J244)),"")</f>
        <v/>
      </c>
      <c r="M244" s="6">
        <f>IF(C244="","",IF(SUMPRODUCT(($C$12:C244=C244)*1)=1,1,0))</f>
        <v/>
      </c>
      <c r="N244" s="6">
        <f>IF(AND(K244="UNMAPPED",M244=1),ROW(),"")</f>
        <v/>
      </c>
      <c r="O244" s="6">
        <f>IF(AND(I244=1,M244=1),ROW(),"")</f>
        <v/>
      </c>
      <c r="P244" s="6">
        <f>IF(AND(K244="ignored",M244=1),ROW(),"")</f>
        <v/>
      </c>
    </row>
    <row r="245">
      <c r="A245" s="8" t="n"/>
      <c r="B245" s="8" t="n"/>
      <c r="C245" s="6">
        <f>TRIM(A245&amp;"")</f>
        <v/>
      </c>
      <c r="D245" s="6">
        <f>IF(C245="","",SUBSTITUTE(SUBSTITUTE(SUBSTITUTE(SUBSTITUTE(SUBSTITUTE(SUBSTITUTE(SUBSTITUTE(UPPER(TRIM(B245&amp;"")),"₹",""),"RS.",""),"RS",""),"INR",""),"$",""),",","")," ",""))</f>
        <v/>
      </c>
      <c r="E245" s="6">
        <f>IF(C245="","",IF(RIGHT(D245,2)="CR","Cr",IF(RIGHT(D245,2)="DR","Dr","")))</f>
        <v/>
      </c>
      <c r="F245" s="6">
        <f>IF(C245="","",IF(E245&lt;&gt;"",LEFT(D245,LEN(D245)-2),D245))</f>
        <v/>
      </c>
      <c r="G245" s="13">
        <f>IF(C245="","",IF(OR(IF(AND(LEFT(F245,1)="(",RIGHT(F245,1)=")"),MID(F245,2,LEN(F245)-2),F245)="",IF(AND(LEFT(F245,1)="(",RIGHT(F245,1)=")"),MID(F245,2,LEN(F245)-2),F245)="-"),0,IFERROR(VALUE(IF(AND(LEFT(F245,1)="(",RIGHT(F245,1)=")"),MID(F245,2,LEN(F245)-2),F245))*IF(AND(LEFT(F245,1)="(",RIGHT(F245,1)=")"),-1,1)*IF(E245="Cr",Setup!$B$6,1),"ERR")))</f>
        <v/>
      </c>
      <c r="H245" s="6">
        <f>IF(C245="","",IF(ISNUMBER(G245),1,0))</f>
        <v/>
      </c>
      <c r="I245" s="6">
        <f>IF(C245="","",IF(SUMPRODUCT(($C$12:$C$1511=C245)*1)&gt;1,1,0))</f>
        <v/>
      </c>
      <c r="J245" s="6">
        <f>IF(C245="","",SUMPRODUCT((Mapping!$F$5:$F$504=Setup!$B$4&amp;"||"&amp;C245)*ROW(Mapping!$F$5:$F$504)))</f>
        <v/>
      </c>
      <c r="K245" s="6">
        <f>IF(C245="","",IF(J245=0,"UNMAPPED",LOWER(INDEX(Mapping!$D$1:$D$504,J245))))</f>
        <v/>
      </c>
      <c r="L245" s="6">
        <f>IF(K245="mapped",TRIM(INDEX(Mapping!$C$1:$C$504,J245)),"")</f>
        <v/>
      </c>
      <c r="M245" s="6">
        <f>IF(C245="","",IF(SUMPRODUCT(($C$12:C245=C245)*1)=1,1,0))</f>
        <v/>
      </c>
      <c r="N245" s="6">
        <f>IF(AND(K245="UNMAPPED",M245=1),ROW(),"")</f>
        <v/>
      </c>
      <c r="O245" s="6">
        <f>IF(AND(I245=1,M245=1),ROW(),"")</f>
        <v/>
      </c>
      <c r="P245" s="6">
        <f>IF(AND(K245="ignored",M245=1),ROW(),"")</f>
        <v/>
      </c>
    </row>
    <row r="246">
      <c r="A246" s="8" t="n"/>
      <c r="B246" s="8" t="n"/>
      <c r="C246" s="6">
        <f>TRIM(A246&amp;"")</f>
        <v/>
      </c>
      <c r="D246" s="6">
        <f>IF(C246="","",SUBSTITUTE(SUBSTITUTE(SUBSTITUTE(SUBSTITUTE(SUBSTITUTE(SUBSTITUTE(SUBSTITUTE(UPPER(TRIM(B246&amp;"")),"₹",""),"RS.",""),"RS",""),"INR",""),"$",""),",","")," ",""))</f>
        <v/>
      </c>
      <c r="E246" s="6">
        <f>IF(C246="","",IF(RIGHT(D246,2)="CR","Cr",IF(RIGHT(D246,2)="DR","Dr","")))</f>
        <v/>
      </c>
      <c r="F246" s="6">
        <f>IF(C246="","",IF(E246&lt;&gt;"",LEFT(D246,LEN(D246)-2),D246))</f>
        <v/>
      </c>
      <c r="G246" s="13">
        <f>IF(C246="","",IF(OR(IF(AND(LEFT(F246,1)="(",RIGHT(F246,1)=")"),MID(F246,2,LEN(F246)-2),F246)="",IF(AND(LEFT(F246,1)="(",RIGHT(F246,1)=")"),MID(F246,2,LEN(F246)-2),F246)="-"),0,IFERROR(VALUE(IF(AND(LEFT(F246,1)="(",RIGHT(F246,1)=")"),MID(F246,2,LEN(F246)-2),F246))*IF(AND(LEFT(F246,1)="(",RIGHT(F246,1)=")"),-1,1)*IF(E246="Cr",Setup!$B$6,1),"ERR")))</f>
        <v/>
      </c>
      <c r="H246" s="6">
        <f>IF(C246="","",IF(ISNUMBER(G246),1,0))</f>
        <v/>
      </c>
      <c r="I246" s="6">
        <f>IF(C246="","",IF(SUMPRODUCT(($C$12:$C$1511=C246)*1)&gt;1,1,0))</f>
        <v/>
      </c>
      <c r="J246" s="6">
        <f>IF(C246="","",SUMPRODUCT((Mapping!$F$5:$F$504=Setup!$B$4&amp;"||"&amp;C246)*ROW(Mapping!$F$5:$F$504)))</f>
        <v/>
      </c>
      <c r="K246" s="6">
        <f>IF(C246="","",IF(J246=0,"UNMAPPED",LOWER(INDEX(Mapping!$D$1:$D$504,J246))))</f>
        <v/>
      </c>
      <c r="L246" s="6">
        <f>IF(K246="mapped",TRIM(INDEX(Mapping!$C$1:$C$504,J246)),"")</f>
        <v/>
      </c>
      <c r="M246" s="6">
        <f>IF(C246="","",IF(SUMPRODUCT(($C$12:C246=C246)*1)=1,1,0))</f>
        <v/>
      </c>
      <c r="N246" s="6">
        <f>IF(AND(K246="UNMAPPED",M246=1),ROW(),"")</f>
        <v/>
      </c>
      <c r="O246" s="6">
        <f>IF(AND(I246=1,M246=1),ROW(),"")</f>
        <v/>
      </c>
      <c r="P246" s="6">
        <f>IF(AND(K246="ignored",M246=1),ROW(),"")</f>
        <v/>
      </c>
    </row>
    <row r="247">
      <c r="A247" s="8" t="n"/>
      <c r="B247" s="8" t="n"/>
      <c r="C247" s="6">
        <f>TRIM(A247&amp;"")</f>
        <v/>
      </c>
      <c r="D247" s="6">
        <f>IF(C247="","",SUBSTITUTE(SUBSTITUTE(SUBSTITUTE(SUBSTITUTE(SUBSTITUTE(SUBSTITUTE(SUBSTITUTE(UPPER(TRIM(B247&amp;"")),"₹",""),"RS.",""),"RS",""),"INR",""),"$",""),",","")," ",""))</f>
        <v/>
      </c>
      <c r="E247" s="6">
        <f>IF(C247="","",IF(RIGHT(D247,2)="CR","Cr",IF(RIGHT(D247,2)="DR","Dr","")))</f>
        <v/>
      </c>
      <c r="F247" s="6">
        <f>IF(C247="","",IF(E247&lt;&gt;"",LEFT(D247,LEN(D247)-2),D247))</f>
        <v/>
      </c>
      <c r="G247" s="13">
        <f>IF(C247="","",IF(OR(IF(AND(LEFT(F247,1)="(",RIGHT(F247,1)=")"),MID(F247,2,LEN(F247)-2),F247)="",IF(AND(LEFT(F247,1)="(",RIGHT(F247,1)=")"),MID(F247,2,LEN(F247)-2),F247)="-"),0,IFERROR(VALUE(IF(AND(LEFT(F247,1)="(",RIGHT(F247,1)=")"),MID(F247,2,LEN(F247)-2),F247))*IF(AND(LEFT(F247,1)="(",RIGHT(F247,1)=")"),-1,1)*IF(E247="Cr",Setup!$B$6,1),"ERR")))</f>
        <v/>
      </c>
      <c r="H247" s="6">
        <f>IF(C247="","",IF(ISNUMBER(G247),1,0))</f>
        <v/>
      </c>
      <c r="I247" s="6">
        <f>IF(C247="","",IF(SUMPRODUCT(($C$12:$C$1511=C247)*1)&gt;1,1,0))</f>
        <v/>
      </c>
      <c r="J247" s="6">
        <f>IF(C247="","",SUMPRODUCT((Mapping!$F$5:$F$504=Setup!$B$4&amp;"||"&amp;C247)*ROW(Mapping!$F$5:$F$504)))</f>
        <v/>
      </c>
      <c r="K247" s="6">
        <f>IF(C247="","",IF(J247=0,"UNMAPPED",LOWER(INDEX(Mapping!$D$1:$D$504,J247))))</f>
        <v/>
      </c>
      <c r="L247" s="6">
        <f>IF(K247="mapped",TRIM(INDEX(Mapping!$C$1:$C$504,J247)),"")</f>
        <v/>
      </c>
      <c r="M247" s="6">
        <f>IF(C247="","",IF(SUMPRODUCT(($C$12:C247=C247)*1)=1,1,0))</f>
        <v/>
      </c>
      <c r="N247" s="6">
        <f>IF(AND(K247="UNMAPPED",M247=1),ROW(),"")</f>
        <v/>
      </c>
      <c r="O247" s="6">
        <f>IF(AND(I247=1,M247=1),ROW(),"")</f>
        <v/>
      </c>
      <c r="P247" s="6">
        <f>IF(AND(K247="ignored",M247=1),ROW(),"")</f>
        <v/>
      </c>
    </row>
    <row r="248">
      <c r="A248" s="8" t="n"/>
      <c r="B248" s="8" t="n"/>
      <c r="C248" s="6">
        <f>TRIM(A248&amp;"")</f>
        <v/>
      </c>
      <c r="D248" s="6">
        <f>IF(C248="","",SUBSTITUTE(SUBSTITUTE(SUBSTITUTE(SUBSTITUTE(SUBSTITUTE(SUBSTITUTE(SUBSTITUTE(UPPER(TRIM(B248&amp;"")),"₹",""),"RS.",""),"RS",""),"INR",""),"$",""),",","")," ",""))</f>
        <v/>
      </c>
      <c r="E248" s="6">
        <f>IF(C248="","",IF(RIGHT(D248,2)="CR","Cr",IF(RIGHT(D248,2)="DR","Dr","")))</f>
        <v/>
      </c>
      <c r="F248" s="6">
        <f>IF(C248="","",IF(E248&lt;&gt;"",LEFT(D248,LEN(D248)-2),D248))</f>
        <v/>
      </c>
      <c r="G248" s="13">
        <f>IF(C248="","",IF(OR(IF(AND(LEFT(F248,1)="(",RIGHT(F248,1)=")"),MID(F248,2,LEN(F248)-2),F248)="",IF(AND(LEFT(F248,1)="(",RIGHT(F248,1)=")"),MID(F248,2,LEN(F248)-2),F248)="-"),0,IFERROR(VALUE(IF(AND(LEFT(F248,1)="(",RIGHT(F248,1)=")"),MID(F248,2,LEN(F248)-2),F248))*IF(AND(LEFT(F248,1)="(",RIGHT(F248,1)=")"),-1,1)*IF(E248="Cr",Setup!$B$6,1),"ERR")))</f>
        <v/>
      </c>
      <c r="H248" s="6">
        <f>IF(C248="","",IF(ISNUMBER(G248),1,0))</f>
        <v/>
      </c>
      <c r="I248" s="6">
        <f>IF(C248="","",IF(SUMPRODUCT(($C$12:$C$1511=C248)*1)&gt;1,1,0))</f>
        <v/>
      </c>
      <c r="J248" s="6">
        <f>IF(C248="","",SUMPRODUCT((Mapping!$F$5:$F$504=Setup!$B$4&amp;"||"&amp;C248)*ROW(Mapping!$F$5:$F$504)))</f>
        <v/>
      </c>
      <c r="K248" s="6">
        <f>IF(C248="","",IF(J248=0,"UNMAPPED",LOWER(INDEX(Mapping!$D$1:$D$504,J248))))</f>
        <v/>
      </c>
      <c r="L248" s="6">
        <f>IF(K248="mapped",TRIM(INDEX(Mapping!$C$1:$C$504,J248)),"")</f>
        <v/>
      </c>
      <c r="M248" s="6">
        <f>IF(C248="","",IF(SUMPRODUCT(($C$12:C248=C248)*1)=1,1,0))</f>
        <v/>
      </c>
      <c r="N248" s="6">
        <f>IF(AND(K248="UNMAPPED",M248=1),ROW(),"")</f>
        <v/>
      </c>
      <c r="O248" s="6">
        <f>IF(AND(I248=1,M248=1),ROW(),"")</f>
        <v/>
      </c>
      <c r="P248" s="6">
        <f>IF(AND(K248="ignored",M248=1),ROW(),"")</f>
        <v/>
      </c>
    </row>
    <row r="249">
      <c r="A249" s="8" t="n"/>
      <c r="B249" s="8" t="n"/>
      <c r="C249" s="6">
        <f>TRIM(A249&amp;"")</f>
        <v/>
      </c>
      <c r="D249" s="6">
        <f>IF(C249="","",SUBSTITUTE(SUBSTITUTE(SUBSTITUTE(SUBSTITUTE(SUBSTITUTE(SUBSTITUTE(SUBSTITUTE(UPPER(TRIM(B249&amp;"")),"₹",""),"RS.",""),"RS",""),"INR",""),"$",""),",","")," ",""))</f>
        <v/>
      </c>
      <c r="E249" s="6">
        <f>IF(C249="","",IF(RIGHT(D249,2)="CR","Cr",IF(RIGHT(D249,2)="DR","Dr","")))</f>
        <v/>
      </c>
      <c r="F249" s="6">
        <f>IF(C249="","",IF(E249&lt;&gt;"",LEFT(D249,LEN(D249)-2),D249))</f>
        <v/>
      </c>
      <c r="G249" s="13">
        <f>IF(C249="","",IF(OR(IF(AND(LEFT(F249,1)="(",RIGHT(F249,1)=")"),MID(F249,2,LEN(F249)-2),F249)="",IF(AND(LEFT(F249,1)="(",RIGHT(F249,1)=")"),MID(F249,2,LEN(F249)-2),F249)="-"),0,IFERROR(VALUE(IF(AND(LEFT(F249,1)="(",RIGHT(F249,1)=")"),MID(F249,2,LEN(F249)-2),F249))*IF(AND(LEFT(F249,1)="(",RIGHT(F249,1)=")"),-1,1)*IF(E249="Cr",Setup!$B$6,1),"ERR")))</f>
        <v/>
      </c>
      <c r="H249" s="6">
        <f>IF(C249="","",IF(ISNUMBER(G249),1,0))</f>
        <v/>
      </c>
      <c r="I249" s="6">
        <f>IF(C249="","",IF(SUMPRODUCT(($C$12:$C$1511=C249)*1)&gt;1,1,0))</f>
        <v/>
      </c>
      <c r="J249" s="6">
        <f>IF(C249="","",SUMPRODUCT((Mapping!$F$5:$F$504=Setup!$B$4&amp;"||"&amp;C249)*ROW(Mapping!$F$5:$F$504)))</f>
        <v/>
      </c>
      <c r="K249" s="6">
        <f>IF(C249="","",IF(J249=0,"UNMAPPED",LOWER(INDEX(Mapping!$D$1:$D$504,J249))))</f>
        <v/>
      </c>
      <c r="L249" s="6">
        <f>IF(K249="mapped",TRIM(INDEX(Mapping!$C$1:$C$504,J249)),"")</f>
        <v/>
      </c>
      <c r="M249" s="6">
        <f>IF(C249="","",IF(SUMPRODUCT(($C$12:C249=C249)*1)=1,1,0))</f>
        <v/>
      </c>
      <c r="N249" s="6">
        <f>IF(AND(K249="UNMAPPED",M249=1),ROW(),"")</f>
        <v/>
      </c>
      <c r="O249" s="6">
        <f>IF(AND(I249=1,M249=1),ROW(),"")</f>
        <v/>
      </c>
      <c r="P249" s="6">
        <f>IF(AND(K249="ignored",M249=1),ROW(),"")</f>
        <v/>
      </c>
    </row>
    <row r="250">
      <c r="A250" s="8" t="n"/>
      <c r="B250" s="8" t="n"/>
      <c r="C250" s="6">
        <f>TRIM(A250&amp;"")</f>
        <v/>
      </c>
      <c r="D250" s="6">
        <f>IF(C250="","",SUBSTITUTE(SUBSTITUTE(SUBSTITUTE(SUBSTITUTE(SUBSTITUTE(SUBSTITUTE(SUBSTITUTE(UPPER(TRIM(B250&amp;"")),"₹",""),"RS.",""),"RS",""),"INR",""),"$",""),",","")," ",""))</f>
        <v/>
      </c>
      <c r="E250" s="6">
        <f>IF(C250="","",IF(RIGHT(D250,2)="CR","Cr",IF(RIGHT(D250,2)="DR","Dr","")))</f>
        <v/>
      </c>
      <c r="F250" s="6">
        <f>IF(C250="","",IF(E250&lt;&gt;"",LEFT(D250,LEN(D250)-2),D250))</f>
        <v/>
      </c>
      <c r="G250" s="13">
        <f>IF(C250="","",IF(OR(IF(AND(LEFT(F250,1)="(",RIGHT(F250,1)=")"),MID(F250,2,LEN(F250)-2),F250)="",IF(AND(LEFT(F250,1)="(",RIGHT(F250,1)=")"),MID(F250,2,LEN(F250)-2),F250)="-"),0,IFERROR(VALUE(IF(AND(LEFT(F250,1)="(",RIGHT(F250,1)=")"),MID(F250,2,LEN(F250)-2),F250))*IF(AND(LEFT(F250,1)="(",RIGHT(F250,1)=")"),-1,1)*IF(E250="Cr",Setup!$B$6,1),"ERR")))</f>
        <v/>
      </c>
      <c r="H250" s="6">
        <f>IF(C250="","",IF(ISNUMBER(G250),1,0))</f>
        <v/>
      </c>
      <c r="I250" s="6">
        <f>IF(C250="","",IF(SUMPRODUCT(($C$12:$C$1511=C250)*1)&gt;1,1,0))</f>
        <v/>
      </c>
      <c r="J250" s="6">
        <f>IF(C250="","",SUMPRODUCT((Mapping!$F$5:$F$504=Setup!$B$4&amp;"||"&amp;C250)*ROW(Mapping!$F$5:$F$504)))</f>
        <v/>
      </c>
      <c r="K250" s="6">
        <f>IF(C250="","",IF(J250=0,"UNMAPPED",LOWER(INDEX(Mapping!$D$1:$D$504,J250))))</f>
        <v/>
      </c>
      <c r="L250" s="6">
        <f>IF(K250="mapped",TRIM(INDEX(Mapping!$C$1:$C$504,J250)),"")</f>
        <v/>
      </c>
      <c r="M250" s="6">
        <f>IF(C250="","",IF(SUMPRODUCT(($C$12:C250=C250)*1)=1,1,0))</f>
        <v/>
      </c>
      <c r="N250" s="6">
        <f>IF(AND(K250="UNMAPPED",M250=1),ROW(),"")</f>
        <v/>
      </c>
      <c r="O250" s="6">
        <f>IF(AND(I250=1,M250=1),ROW(),"")</f>
        <v/>
      </c>
      <c r="P250" s="6">
        <f>IF(AND(K250="ignored",M250=1),ROW(),"")</f>
        <v/>
      </c>
    </row>
    <row r="251">
      <c r="A251" s="8" t="n"/>
      <c r="B251" s="8" t="n"/>
      <c r="C251" s="6">
        <f>TRIM(A251&amp;"")</f>
        <v/>
      </c>
      <c r="D251" s="6">
        <f>IF(C251="","",SUBSTITUTE(SUBSTITUTE(SUBSTITUTE(SUBSTITUTE(SUBSTITUTE(SUBSTITUTE(SUBSTITUTE(UPPER(TRIM(B251&amp;"")),"₹",""),"RS.",""),"RS",""),"INR",""),"$",""),",","")," ",""))</f>
        <v/>
      </c>
      <c r="E251" s="6">
        <f>IF(C251="","",IF(RIGHT(D251,2)="CR","Cr",IF(RIGHT(D251,2)="DR","Dr","")))</f>
        <v/>
      </c>
      <c r="F251" s="6">
        <f>IF(C251="","",IF(E251&lt;&gt;"",LEFT(D251,LEN(D251)-2),D251))</f>
        <v/>
      </c>
      <c r="G251" s="13">
        <f>IF(C251="","",IF(OR(IF(AND(LEFT(F251,1)="(",RIGHT(F251,1)=")"),MID(F251,2,LEN(F251)-2),F251)="",IF(AND(LEFT(F251,1)="(",RIGHT(F251,1)=")"),MID(F251,2,LEN(F251)-2),F251)="-"),0,IFERROR(VALUE(IF(AND(LEFT(F251,1)="(",RIGHT(F251,1)=")"),MID(F251,2,LEN(F251)-2),F251))*IF(AND(LEFT(F251,1)="(",RIGHT(F251,1)=")"),-1,1)*IF(E251="Cr",Setup!$B$6,1),"ERR")))</f>
        <v/>
      </c>
      <c r="H251" s="6">
        <f>IF(C251="","",IF(ISNUMBER(G251),1,0))</f>
        <v/>
      </c>
      <c r="I251" s="6">
        <f>IF(C251="","",IF(SUMPRODUCT(($C$12:$C$1511=C251)*1)&gt;1,1,0))</f>
        <v/>
      </c>
      <c r="J251" s="6">
        <f>IF(C251="","",SUMPRODUCT((Mapping!$F$5:$F$504=Setup!$B$4&amp;"||"&amp;C251)*ROW(Mapping!$F$5:$F$504)))</f>
        <v/>
      </c>
      <c r="K251" s="6">
        <f>IF(C251="","",IF(J251=0,"UNMAPPED",LOWER(INDEX(Mapping!$D$1:$D$504,J251))))</f>
        <v/>
      </c>
      <c r="L251" s="6">
        <f>IF(K251="mapped",TRIM(INDEX(Mapping!$C$1:$C$504,J251)),"")</f>
        <v/>
      </c>
      <c r="M251" s="6">
        <f>IF(C251="","",IF(SUMPRODUCT(($C$12:C251=C251)*1)=1,1,0))</f>
        <v/>
      </c>
      <c r="N251" s="6">
        <f>IF(AND(K251="UNMAPPED",M251=1),ROW(),"")</f>
        <v/>
      </c>
      <c r="O251" s="6">
        <f>IF(AND(I251=1,M251=1),ROW(),"")</f>
        <v/>
      </c>
      <c r="P251" s="6">
        <f>IF(AND(K251="ignored",M251=1),ROW(),"")</f>
        <v/>
      </c>
    </row>
    <row r="252">
      <c r="A252" s="8" t="n"/>
      <c r="B252" s="8" t="n"/>
      <c r="C252" s="6">
        <f>TRIM(A252&amp;"")</f>
        <v/>
      </c>
      <c r="D252" s="6">
        <f>IF(C252="","",SUBSTITUTE(SUBSTITUTE(SUBSTITUTE(SUBSTITUTE(SUBSTITUTE(SUBSTITUTE(SUBSTITUTE(UPPER(TRIM(B252&amp;"")),"₹",""),"RS.",""),"RS",""),"INR",""),"$",""),",","")," ",""))</f>
        <v/>
      </c>
      <c r="E252" s="6">
        <f>IF(C252="","",IF(RIGHT(D252,2)="CR","Cr",IF(RIGHT(D252,2)="DR","Dr","")))</f>
        <v/>
      </c>
      <c r="F252" s="6">
        <f>IF(C252="","",IF(E252&lt;&gt;"",LEFT(D252,LEN(D252)-2),D252))</f>
        <v/>
      </c>
      <c r="G252" s="13">
        <f>IF(C252="","",IF(OR(IF(AND(LEFT(F252,1)="(",RIGHT(F252,1)=")"),MID(F252,2,LEN(F252)-2),F252)="",IF(AND(LEFT(F252,1)="(",RIGHT(F252,1)=")"),MID(F252,2,LEN(F252)-2),F252)="-"),0,IFERROR(VALUE(IF(AND(LEFT(F252,1)="(",RIGHT(F252,1)=")"),MID(F252,2,LEN(F252)-2),F252))*IF(AND(LEFT(F252,1)="(",RIGHT(F252,1)=")"),-1,1)*IF(E252="Cr",Setup!$B$6,1),"ERR")))</f>
        <v/>
      </c>
      <c r="H252" s="6">
        <f>IF(C252="","",IF(ISNUMBER(G252),1,0))</f>
        <v/>
      </c>
      <c r="I252" s="6">
        <f>IF(C252="","",IF(SUMPRODUCT(($C$12:$C$1511=C252)*1)&gt;1,1,0))</f>
        <v/>
      </c>
      <c r="J252" s="6">
        <f>IF(C252="","",SUMPRODUCT((Mapping!$F$5:$F$504=Setup!$B$4&amp;"||"&amp;C252)*ROW(Mapping!$F$5:$F$504)))</f>
        <v/>
      </c>
      <c r="K252" s="6">
        <f>IF(C252="","",IF(J252=0,"UNMAPPED",LOWER(INDEX(Mapping!$D$1:$D$504,J252))))</f>
        <v/>
      </c>
      <c r="L252" s="6">
        <f>IF(K252="mapped",TRIM(INDEX(Mapping!$C$1:$C$504,J252)),"")</f>
        <v/>
      </c>
      <c r="M252" s="6">
        <f>IF(C252="","",IF(SUMPRODUCT(($C$12:C252=C252)*1)=1,1,0))</f>
        <v/>
      </c>
      <c r="N252" s="6">
        <f>IF(AND(K252="UNMAPPED",M252=1),ROW(),"")</f>
        <v/>
      </c>
      <c r="O252" s="6">
        <f>IF(AND(I252=1,M252=1),ROW(),"")</f>
        <v/>
      </c>
      <c r="P252" s="6">
        <f>IF(AND(K252="ignored",M252=1),ROW(),"")</f>
        <v/>
      </c>
    </row>
    <row r="253">
      <c r="A253" s="8" t="n"/>
      <c r="B253" s="8" t="n"/>
      <c r="C253" s="6">
        <f>TRIM(A253&amp;"")</f>
        <v/>
      </c>
      <c r="D253" s="6">
        <f>IF(C253="","",SUBSTITUTE(SUBSTITUTE(SUBSTITUTE(SUBSTITUTE(SUBSTITUTE(SUBSTITUTE(SUBSTITUTE(UPPER(TRIM(B253&amp;"")),"₹",""),"RS.",""),"RS",""),"INR",""),"$",""),",","")," ",""))</f>
        <v/>
      </c>
      <c r="E253" s="6">
        <f>IF(C253="","",IF(RIGHT(D253,2)="CR","Cr",IF(RIGHT(D253,2)="DR","Dr","")))</f>
        <v/>
      </c>
      <c r="F253" s="6">
        <f>IF(C253="","",IF(E253&lt;&gt;"",LEFT(D253,LEN(D253)-2),D253))</f>
        <v/>
      </c>
      <c r="G253" s="13">
        <f>IF(C253="","",IF(OR(IF(AND(LEFT(F253,1)="(",RIGHT(F253,1)=")"),MID(F253,2,LEN(F253)-2),F253)="",IF(AND(LEFT(F253,1)="(",RIGHT(F253,1)=")"),MID(F253,2,LEN(F253)-2),F253)="-"),0,IFERROR(VALUE(IF(AND(LEFT(F253,1)="(",RIGHT(F253,1)=")"),MID(F253,2,LEN(F253)-2),F253))*IF(AND(LEFT(F253,1)="(",RIGHT(F253,1)=")"),-1,1)*IF(E253="Cr",Setup!$B$6,1),"ERR")))</f>
        <v/>
      </c>
      <c r="H253" s="6">
        <f>IF(C253="","",IF(ISNUMBER(G253),1,0))</f>
        <v/>
      </c>
      <c r="I253" s="6">
        <f>IF(C253="","",IF(SUMPRODUCT(($C$12:$C$1511=C253)*1)&gt;1,1,0))</f>
        <v/>
      </c>
      <c r="J253" s="6">
        <f>IF(C253="","",SUMPRODUCT((Mapping!$F$5:$F$504=Setup!$B$4&amp;"||"&amp;C253)*ROW(Mapping!$F$5:$F$504)))</f>
        <v/>
      </c>
      <c r="K253" s="6">
        <f>IF(C253="","",IF(J253=0,"UNMAPPED",LOWER(INDEX(Mapping!$D$1:$D$504,J253))))</f>
        <v/>
      </c>
      <c r="L253" s="6">
        <f>IF(K253="mapped",TRIM(INDEX(Mapping!$C$1:$C$504,J253)),"")</f>
        <v/>
      </c>
      <c r="M253" s="6">
        <f>IF(C253="","",IF(SUMPRODUCT(($C$12:C253=C253)*1)=1,1,0))</f>
        <v/>
      </c>
      <c r="N253" s="6">
        <f>IF(AND(K253="UNMAPPED",M253=1),ROW(),"")</f>
        <v/>
      </c>
      <c r="O253" s="6">
        <f>IF(AND(I253=1,M253=1),ROW(),"")</f>
        <v/>
      </c>
      <c r="P253" s="6">
        <f>IF(AND(K253="ignored",M253=1),ROW(),"")</f>
        <v/>
      </c>
    </row>
    <row r="254">
      <c r="A254" s="8" t="n"/>
      <c r="B254" s="8" t="n"/>
      <c r="C254" s="6">
        <f>TRIM(A254&amp;"")</f>
        <v/>
      </c>
      <c r="D254" s="6">
        <f>IF(C254="","",SUBSTITUTE(SUBSTITUTE(SUBSTITUTE(SUBSTITUTE(SUBSTITUTE(SUBSTITUTE(SUBSTITUTE(UPPER(TRIM(B254&amp;"")),"₹",""),"RS.",""),"RS",""),"INR",""),"$",""),",","")," ",""))</f>
        <v/>
      </c>
      <c r="E254" s="6">
        <f>IF(C254="","",IF(RIGHT(D254,2)="CR","Cr",IF(RIGHT(D254,2)="DR","Dr","")))</f>
        <v/>
      </c>
      <c r="F254" s="6">
        <f>IF(C254="","",IF(E254&lt;&gt;"",LEFT(D254,LEN(D254)-2),D254))</f>
        <v/>
      </c>
      <c r="G254" s="13">
        <f>IF(C254="","",IF(OR(IF(AND(LEFT(F254,1)="(",RIGHT(F254,1)=")"),MID(F254,2,LEN(F254)-2),F254)="",IF(AND(LEFT(F254,1)="(",RIGHT(F254,1)=")"),MID(F254,2,LEN(F254)-2),F254)="-"),0,IFERROR(VALUE(IF(AND(LEFT(F254,1)="(",RIGHT(F254,1)=")"),MID(F254,2,LEN(F254)-2),F254))*IF(AND(LEFT(F254,1)="(",RIGHT(F254,1)=")"),-1,1)*IF(E254="Cr",Setup!$B$6,1),"ERR")))</f>
        <v/>
      </c>
      <c r="H254" s="6">
        <f>IF(C254="","",IF(ISNUMBER(G254),1,0))</f>
        <v/>
      </c>
      <c r="I254" s="6">
        <f>IF(C254="","",IF(SUMPRODUCT(($C$12:$C$1511=C254)*1)&gt;1,1,0))</f>
        <v/>
      </c>
      <c r="J254" s="6">
        <f>IF(C254="","",SUMPRODUCT((Mapping!$F$5:$F$504=Setup!$B$4&amp;"||"&amp;C254)*ROW(Mapping!$F$5:$F$504)))</f>
        <v/>
      </c>
      <c r="K254" s="6">
        <f>IF(C254="","",IF(J254=0,"UNMAPPED",LOWER(INDEX(Mapping!$D$1:$D$504,J254))))</f>
        <v/>
      </c>
      <c r="L254" s="6">
        <f>IF(K254="mapped",TRIM(INDEX(Mapping!$C$1:$C$504,J254)),"")</f>
        <v/>
      </c>
      <c r="M254" s="6">
        <f>IF(C254="","",IF(SUMPRODUCT(($C$12:C254=C254)*1)=1,1,0))</f>
        <v/>
      </c>
      <c r="N254" s="6">
        <f>IF(AND(K254="UNMAPPED",M254=1),ROW(),"")</f>
        <v/>
      </c>
      <c r="O254" s="6">
        <f>IF(AND(I254=1,M254=1),ROW(),"")</f>
        <v/>
      </c>
      <c r="P254" s="6">
        <f>IF(AND(K254="ignored",M254=1),ROW(),"")</f>
        <v/>
      </c>
    </row>
    <row r="255">
      <c r="A255" s="8" t="n"/>
      <c r="B255" s="8" t="n"/>
      <c r="C255" s="6">
        <f>TRIM(A255&amp;"")</f>
        <v/>
      </c>
      <c r="D255" s="6">
        <f>IF(C255="","",SUBSTITUTE(SUBSTITUTE(SUBSTITUTE(SUBSTITUTE(SUBSTITUTE(SUBSTITUTE(SUBSTITUTE(UPPER(TRIM(B255&amp;"")),"₹",""),"RS.",""),"RS",""),"INR",""),"$",""),",","")," ",""))</f>
        <v/>
      </c>
      <c r="E255" s="6">
        <f>IF(C255="","",IF(RIGHT(D255,2)="CR","Cr",IF(RIGHT(D255,2)="DR","Dr","")))</f>
        <v/>
      </c>
      <c r="F255" s="6">
        <f>IF(C255="","",IF(E255&lt;&gt;"",LEFT(D255,LEN(D255)-2),D255))</f>
        <v/>
      </c>
      <c r="G255" s="13">
        <f>IF(C255="","",IF(OR(IF(AND(LEFT(F255,1)="(",RIGHT(F255,1)=")"),MID(F255,2,LEN(F255)-2),F255)="",IF(AND(LEFT(F255,1)="(",RIGHT(F255,1)=")"),MID(F255,2,LEN(F255)-2),F255)="-"),0,IFERROR(VALUE(IF(AND(LEFT(F255,1)="(",RIGHT(F255,1)=")"),MID(F255,2,LEN(F255)-2),F255))*IF(AND(LEFT(F255,1)="(",RIGHT(F255,1)=")"),-1,1)*IF(E255="Cr",Setup!$B$6,1),"ERR")))</f>
        <v/>
      </c>
      <c r="H255" s="6">
        <f>IF(C255="","",IF(ISNUMBER(G255),1,0))</f>
        <v/>
      </c>
      <c r="I255" s="6">
        <f>IF(C255="","",IF(SUMPRODUCT(($C$12:$C$1511=C255)*1)&gt;1,1,0))</f>
        <v/>
      </c>
      <c r="J255" s="6">
        <f>IF(C255="","",SUMPRODUCT((Mapping!$F$5:$F$504=Setup!$B$4&amp;"||"&amp;C255)*ROW(Mapping!$F$5:$F$504)))</f>
        <v/>
      </c>
      <c r="K255" s="6">
        <f>IF(C255="","",IF(J255=0,"UNMAPPED",LOWER(INDEX(Mapping!$D$1:$D$504,J255))))</f>
        <v/>
      </c>
      <c r="L255" s="6">
        <f>IF(K255="mapped",TRIM(INDEX(Mapping!$C$1:$C$504,J255)),"")</f>
        <v/>
      </c>
      <c r="M255" s="6">
        <f>IF(C255="","",IF(SUMPRODUCT(($C$12:C255=C255)*1)=1,1,0))</f>
        <v/>
      </c>
      <c r="N255" s="6">
        <f>IF(AND(K255="UNMAPPED",M255=1),ROW(),"")</f>
        <v/>
      </c>
      <c r="O255" s="6">
        <f>IF(AND(I255=1,M255=1),ROW(),"")</f>
        <v/>
      </c>
      <c r="P255" s="6">
        <f>IF(AND(K255="ignored",M255=1),ROW(),"")</f>
        <v/>
      </c>
    </row>
    <row r="256">
      <c r="A256" s="8" t="n"/>
      <c r="B256" s="8" t="n"/>
      <c r="C256" s="6">
        <f>TRIM(A256&amp;"")</f>
        <v/>
      </c>
      <c r="D256" s="6">
        <f>IF(C256="","",SUBSTITUTE(SUBSTITUTE(SUBSTITUTE(SUBSTITUTE(SUBSTITUTE(SUBSTITUTE(SUBSTITUTE(UPPER(TRIM(B256&amp;"")),"₹",""),"RS.",""),"RS",""),"INR",""),"$",""),",","")," ",""))</f>
        <v/>
      </c>
      <c r="E256" s="6">
        <f>IF(C256="","",IF(RIGHT(D256,2)="CR","Cr",IF(RIGHT(D256,2)="DR","Dr","")))</f>
        <v/>
      </c>
      <c r="F256" s="6">
        <f>IF(C256="","",IF(E256&lt;&gt;"",LEFT(D256,LEN(D256)-2),D256))</f>
        <v/>
      </c>
      <c r="G256" s="13">
        <f>IF(C256="","",IF(OR(IF(AND(LEFT(F256,1)="(",RIGHT(F256,1)=")"),MID(F256,2,LEN(F256)-2),F256)="",IF(AND(LEFT(F256,1)="(",RIGHT(F256,1)=")"),MID(F256,2,LEN(F256)-2),F256)="-"),0,IFERROR(VALUE(IF(AND(LEFT(F256,1)="(",RIGHT(F256,1)=")"),MID(F256,2,LEN(F256)-2),F256))*IF(AND(LEFT(F256,1)="(",RIGHT(F256,1)=")"),-1,1)*IF(E256="Cr",Setup!$B$6,1),"ERR")))</f>
        <v/>
      </c>
      <c r="H256" s="6">
        <f>IF(C256="","",IF(ISNUMBER(G256),1,0))</f>
        <v/>
      </c>
      <c r="I256" s="6">
        <f>IF(C256="","",IF(SUMPRODUCT(($C$12:$C$1511=C256)*1)&gt;1,1,0))</f>
        <v/>
      </c>
      <c r="J256" s="6">
        <f>IF(C256="","",SUMPRODUCT((Mapping!$F$5:$F$504=Setup!$B$4&amp;"||"&amp;C256)*ROW(Mapping!$F$5:$F$504)))</f>
        <v/>
      </c>
      <c r="K256" s="6">
        <f>IF(C256="","",IF(J256=0,"UNMAPPED",LOWER(INDEX(Mapping!$D$1:$D$504,J256))))</f>
        <v/>
      </c>
      <c r="L256" s="6">
        <f>IF(K256="mapped",TRIM(INDEX(Mapping!$C$1:$C$504,J256)),"")</f>
        <v/>
      </c>
      <c r="M256" s="6">
        <f>IF(C256="","",IF(SUMPRODUCT(($C$12:C256=C256)*1)=1,1,0))</f>
        <v/>
      </c>
      <c r="N256" s="6">
        <f>IF(AND(K256="UNMAPPED",M256=1),ROW(),"")</f>
        <v/>
      </c>
      <c r="O256" s="6">
        <f>IF(AND(I256=1,M256=1),ROW(),"")</f>
        <v/>
      </c>
      <c r="P256" s="6">
        <f>IF(AND(K256="ignored",M256=1),ROW(),"")</f>
        <v/>
      </c>
    </row>
    <row r="257">
      <c r="A257" s="8" t="n"/>
      <c r="B257" s="8" t="n"/>
      <c r="C257" s="6">
        <f>TRIM(A257&amp;"")</f>
        <v/>
      </c>
      <c r="D257" s="6">
        <f>IF(C257="","",SUBSTITUTE(SUBSTITUTE(SUBSTITUTE(SUBSTITUTE(SUBSTITUTE(SUBSTITUTE(SUBSTITUTE(UPPER(TRIM(B257&amp;"")),"₹",""),"RS.",""),"RS",""),"INR",""),"$",""),",","")," ",""))</f>
        <v/>
      </c>
      <c r="E257" s="6">
        <f>IF(C257="","",IF(RIGHT(D257,2)="CR","Cr",IF(RIGHT(D257,2)="DR","Dr","")))</f>
        <v/>
      </c>
      <c r="F257" s="6">
        <f>IF(C257="","",IF(E257&lt;&gt;"",LEFT(D257,LEN(D257)-2),D257))</f>
        <v/>
      </c>
      <c r="G257" s="13">
        <f>IF(C257="","",IF(OR(IF(AND(LEFT(F257,1)="(",RIGHT(F257,1)=")"),MID(F257,2,LEN(F257)-2),F257)="",IF(AND(LEFT(F257,1)="(",RIGHT(F257,1)=")"),MID(F257,2,LEN(F257)-2),F257)="-"),0,IFERROR(VALUE(IF(AND(LEFT(F257,1)="(",RIGHT(F257,1)=")"),MID(F257,2,LEN(F257)-2),F257))*IF(AND(LEFT(F257,1)="(",RIGHT(F257,1)=")"),-1,1)*IF(E257="Cr",Setup!$B$6,1),"ERR")))</f>
        <v/>
      </c>
      <c r="H257" s="6">
        <f>IF(C257="","",IF(ISNUMBER(G257),1,0))</f>
        <v/>
      </c>
      <c r="I257" s="6">
        <f>IF(C257="","",IF(SUMPRODUCT(($C$12:$C$1511=C257)*1)&gt;1,1,0))</f>
        <v/>
      </c>
      <c r="J257" s="6">
        <f>IF(C257="","",SUMPRODUCT((Mapping!$F$5:$F$504=Setup!$B$4&amp;"||"&amp;C257)*ROW(Mapping!$F$5:$F$504)))</f>
        <v/>
      </c>
      <c r="K257" s="6">
        <f>IF(C257="","",IF(J257=0,"UNMAPPED",LOWER(INDEX(Mapping!$D$1:$D$504,J257))))</f>
        <v/>
      </c>
      <c r="L257" s="6">
        <f>IF(K257="mapped",TRIM(INDEX(Mapping!$C$1:$C$504,J257)),"")</f>
        <v/>
      </c>
      <c r="M257" s="6">
        <f>IF(C257="","",IF(SUMPRODUCT(($C$12:C257=C257)*1)=1,1,0))</f>
        <v/>
      </c>
      <c r="N257" s="6">
        <f>IF(AND(K257="UNMAPPED",M257=1),ROW(),"")</f>
        <v/>
      </c>
      <c r="O257" s="6">
        <f>IF(AND(I257=1,M257=1),ROW(),"")</f>
        <v/>
      </c>
      <c r="P257" s="6">
        <f>IF(AND(K257="ignored",M257=1),ROW(),"")</f>
        <v/>
      </c>
    </row>
    <row r="258">
      <c r="A258" s="8" t="n"/>
      <c r="B258" s="8" t="n"/>
      <c r="C258" s="6">
        <f>TRIM(A258&amp;"")</f>
        <v/>
      </c>
      <c r="D258" s="6">
        <f>IF(C258="","",SUBSTITUTE(SUBSTITUTE(SUBSTITUTE(SUBSTITUTE(SUBSTITUTE(SUBSTITUTE(SUBSTITUTE(UPPER(TRIM(B258&amp;"")),"₹",""),"RS.",""),"RS",""),"INR",""),"$",""),",","")," ",""))</f>
        <v/>
      </c>
      <c r="E258" s="6">
        <f>IF(C258="","",IF(RIGHT(D258,2)="CR","Cr",IF(RIGHT(D258,2)="DR","Dr","")))</f>
        <v/>
      </c>
      <c r="F258" s="6">
        <f>IF(C258="","",IF(E258&lt;&gt;"",LEFT(D258,LEN(D258)-2),D258))</f>
        <v/>
      </c>
      <c r="G258" s="13">
        <f>IF(C258="","",IF(OR(IF(AND(LEFT(F258,1)="(",RIGHT(F258,1)=")"),MID(F258,2,LEN(F258)-2),F258)="",IF(AND(LEFT(F258,1)="(",RIGHT(F258,1)=")"),MID(F258,2,LEN(F258)-2),F258)="-"),0,IFERROR(VALUE(IF(AND(LEFT(F258,1)="(",RIGHT(F258,1)=")"),MID(F258,2,LEN(F258)-2),F258))*IF(AND(LEFT(F258,1)="(",RIGHT(F258,1)=")"),-1,1)*IF(E258="Cr",Setup!$B$6,1),"ERR")))</f>
        <v/>
      </c>
      <c r="H258" s="6">
        <f>IF(C258="","",IF(ISNUMBER(G258),1,0))</f>
        <v/>
      </c>
      <c r="I258" s="6">
        <f>IF(C258="","",IF(SUMPRODUCT(($C$12:$C$1511=C258)*1)&gt;1,1,0))</f>
        <v/>
      </c>
      <c r="J258" s="6">
        <f>IF(C258="","",SUMPRODUCT((Mapping!$F$5:$F$504=Setup!$B$4&amp;"||"&amp;C258)*ROW(Mapping!$F$5:$F$504)))</f>
        <v/>
      </c>
      <c r="K258" s="6">
        <f>IF(C258="","",IF(J258=0,"UNMAPPED",LOWER(INDEX(Mapping!$D$1:$D$504,J258))))</f>
        <v/>
      </c>
      <c r="L258" s="6">
        <f>IF(K258="mapped",TRIM(INDEX(Mapping!$C$1:$C$504,J258)),"")</f>
        <v/>
      </c>
      <c r="M258" s="6">
        <f>IF(C258="","",IF(SUMPRODUCT(($C$12:C258=C258)*1)=1,1,0))</f>
        <v/>
      </c>
      <c r="N258" s="6">
        <f>IF(AND(K258="UNMAPPED",M258=1),ROW(),"")</f>
        <v/>
      </c>
      <c r="O258" s="6">
        <f>IF(AND(I258=1,M258=1),ROW(),"")</f>
        <v/>
      </c>
      <c r="P258" s="6">
        <f>IF(AND(K258="ignored",M258=1),ROW(),"")</f>
        <v/>
      </c>
    </row>
    <row r="259">
      <c r="A259" s="8" t="n"/>
      <c r="B259" s="8" t="n"/>
      <c r="C259" s="6">
        <f>TRIM(A259&amp;"")</f>
        <v/>
      </c>
      <c r="D259" s="6">
        <f>IF(C259="","",SUBSTITUTE(SUBSTITUTE(SUBSTITUTE(SUBSTITUTE(SUBSTITUTE(SUBSTITUTE(SUBSTITUTE(UPPER(TRIM(B259&amp;"")),"₹",""),"RS.",""),"RS",""),"INR",""),"$",""),",","")," ",""))</f>
        <v/>
      </c>
      <c r="E259" s="6">
        <f>IF(C259="","",IF(RIGHT(D259,2)="CR","Cr",IF(RIGHT(D259,2)="DR","Dr","")))</f>
        <v/>
      </c>
      <c r="F259" s="6">
        <f>IF(C259="","",IF(E259&lt;&gt;"",LEFT(D259,LEN(D259)-2),D259))</f>
        <v/>
      </c>
      <c r="G259" s="13">
        <f>IF(C259="","",IF(OR(IF(AND(LEFT(F259,1)="(",RIGHT(F259,1)=")"),MID(F259,2,LEN(F259)-2),F259)="",IF(AND(LEFT(F259,1)="(",RIGHT(F259,1)=")"),MID(F259,2,LEN(F259)-2),F259)="-"),0,IFERROR(VALUE(IF(AND(LEFT(F259,1)="(",RIGHT(F259,1)=")"),MID(F259,2,LEN(F259)-2),F259))*IF(AND(LEFT(F259,1)="(",RIGHT(F259,1)=")"),-1,1)*IF(E259="Cr",Setup!$B$6,1),"ERR")))</f>
        <v/>
      </c>
      <c r="H259" s="6">
        <f>IF(C259="","",IF(ISNUMBER(G259),1,0))</f>
        <v/>
      </c>
      <c r="I259" s="6">
        <f>IF(C259="","",IF(SUMPRODUCT(($C$12:$C$1511=C259)*1)&gt;1,1,0))</f>
        <v/>
      </c>
      <c r="J259" s="6">
        <f>IF(C259="","",SUMPRODUCT((Mapping!$F$5:$F$504=Setup!$B$4&amp;"||"&amp;C259)*ROW(Mapping!$F$5:$F$504)))</f>
        <v/>
      </c>
      <c r="K259" s="6">
        <f>IF(C259="","",IF(J259=0,"UNMAPPED",LOWER(INDEX(Mapping!$D$1:$D$504,J259))))</f>
        <v/>
      </c>
      <c r="L259" s="6">
        <f>IF(K259="mapped",TRIM(INDEX(Mapping!$C$1:$C$504,J259)),"")</f>
        <v/>
      </c>
      <c r="M259" s="6">
        <f>IF(C259="","",IF(SUMPRODUCT(($C$12:C259=C259)*1)=1,1,0))</f>
        <v/>
      </c>
      <c r="N259" s="6">
        <f>IF(AND(K259="UNMAPPED",M259=1),ROW(),"")</f>
        <v/>
      </c>
      <c r="O259" s="6">
        <f>IF(AND(I259=1,M259=1),ROW(),"")</f>
        <v/>
      </c>
      <c r="P259" s="6">
        <f>IF(AND(K259="ignored",M259=1),ROW(),"")</f>
        <v/>
      </c>
    </row>
    <row r="260">
      <c r="A260" s="8" t="n"/>
      <c r="B260" s="8" t="n"/>
      <c r="C260" s="6">
        <f>TRIM(A260&amp;"")</f>
        <v/>
      </c>
      <c r="D260" s="6">
        <f>IF(C260="","",SUBSTITUTE(SUBSTITUTE(SUBSTITUTE(SUBSTITUTE(SUBSTITUTE(SUBSTITUTE(SUBSTITUTE(UPPER(TRIM(B260&amp;"")),"₹",""),"RS.",""),"RS",""),"INR",""),"$",""),",","")," ",""))</f>
        <v/>
      </c>
      <c r="E260" s="6">
        <f>IF(C260="","",IF(RIGHT(D260,2)="CR","Cr",IF(RIGHT(D260,2)="DR","Dr","")))</f>
        <v/>
      </c>
      <c r="F260" s="6">
        <f>IF(C260="","",IF(E260&lt;&gt;"",LEFT(D260,LEN(D260)-2),D260))</f>
        <v/>
      </c>
      <c r="G260" s="13">
        <f>IF(C260="","",IF(OR(IF(AND(LEFT(F260,1)="(",RIGHT(F260,1)=")"),MID(F260,2,LEN(F260)-2),F260)="",IF(AND(LEFT(F260,1)="(",RIGHT(F260,1)=")"),MID(F260,2,LEN(F260)-2),F260)="-"),0,IFERROR(VALUE(IF(AND(LEFT(F260,1)="(",RIGHT(F260,1)=")"),MID(F260,2,LEN(F260)-2),F260))*IF(AND(LEFT(F260,1)="(",RIGHT(F260,1)=")"),-1,1)*IF(E260="Cr",Setup!$B$6,1),"ERR")))</f>
        <v/>
      </c>
      <c r="H260" s="6">
        <f>IF(C260="","",IF(ISNUMBER(G260),1,0))</f>
        <v/>
      </c>
      <c r="I260" s="6">
        <f>IF(C260="","",IF(SUMPRODUCT(($C$12:$C$1511=C260)*1)&gt;1,1,0))</f>
        <v/>
      </c>
      <c r="J260" s="6">
        <f>IF(C260="","",SUMPRODUCT((Mapping!$F$5:$F$504=Setup!$B$4&amp;"||"&amp;C260)*ROW(Mapping!$F$5:$F$504)))</f>
        <v/>
      </c>
      <c r="K260" s="6">
        <f>IF(C260="","",IF(J260=0,"UNMAPPED",LOWER(INDEX(Mapping!$D$1:$D$504,J260))))</f>
        <v/>
      </c>
      <c r="L260" s="6">
        <f>IF(K260="mapped",TRIM(INDEX(Mapping!$C$1:$C$504,J260)),"")</f>
        <v/>
      </c>
      <c r="M260" s="6">
        <f>IF(C260="","",IF(SUMPRODUCT(($C$12:C260=C260)*1)=1,1,0))</f>
        <v/>
      </c>
      <c r="N260" s="6">
        <f>IF(AND(K260="UNMAPPED",M260=1),ROW(),"")</f>
        <v/>
      </c>
      <c r="O260" s="6">
        <f>IF(AND(I260=1,M260=1),ROW(),"")</f>
        <v/>
      </c>
      <c r="P260" s="6">
        <f>IF(AND(K260="ignored",M260=1),ROW(),"")</f>
        <v/>
      </c>
    </row>
    <row r="261">
      <c r="A261" s="8" t="n"/>
      <c r="B261" s="8" t="n"/>
      <c r="C261" s="6">
        <f>TRIM(A261&amp;"")</f>
        <v/>
      </c>
      <c r="D261" s="6">
        <f>IF(C261="","",SUBSTITUTE(SUBSTITUTE(SUBSTITUTE(SUBSTITUTE(SUBSTITUTE(SUBSTITUTE(SUBSTITUTE(UPPER(TRIM(B261&amp;"")),"₹",""),"RS.",""),"RS",""),"INR",""),"$",""),",","")," ",""))</f>
        <v/>
      </c>
      <c r="E261" s="6">
        <f>IF(C261="","",IF(RIGHT(D261,2)="CR","Cr",IF(RIGHT(D261,2)="DR","Dr","")))</f>
        <v/>
      </c>
      <c r="F261" s="6">
        <f>IF(C261="","",IF(E261&lt;&gt;"",LEFT(D261,LEN(D261)-2),D261))</f>
        <v/>
      </c>
      <c r="G261" s="13">
        <f>IF(C261="","",IF(OR(IF(AND(LEFT(F261,1)="(",RIGHT(F261,1)=")"),MID(F261,2,LEN(F261)-2),F261)="",IF(AND(LEFT(F261,1)="(",RIGHT(F261,1)=")"),MID(F261,2,LEN(F261)-2),F261)="-"),0,IFERROR(VALUE(IF(AND(LEFT(F261,1)="(",RIGHT(F261,1)=")"),MID(F261,2,LEN(F261)-2),F261))*IF(AND(LEFT(F261,1)="(",RIGHT(F261,1)=")"),-1,1)*IF(E261="Cr",Setup!$B$6,1),"ERR")))</f>
        <v/>
      </c>
      <c r="H261" s="6">
        <f>IF(C261="","",IF(ISNUMBER(G261),1,0))</f>
        <v/>
      </c>
      <c r="I261" s="6">
        <f>IF(C261="","",IF(SUMPRODUCT(($C$12:$C$1511=C261)*1)&gt;1,1,0))</f>
        <v/>
      </c>
      <c r="J261" s="6">
        <f>IF(C261="","",SUMPRODUCT((Mapping!$F$5:$F$504=Setup!$B$4&amp;"||"&amp;C261)*ROW(Mapping!$F$5:$F$504)))</f>
        <v/>
      </c>
      <c r="K261" s="6">
        <f>IF(C261="","",IF(J261=0,"UNMAPPED",LOWER(INDEX(Mapping!$D$1:$D$504,J261))))</f>
        <v/>
      </c>
      <c r="L261" s="6">
        <f>IF(K261="mapped",TRIM(INDEX(Mapping!$C$1:$C$504,J261)),"")</f>
        <v/>
      </c>
      <c r="M261" s="6">
        <f>IF(C261="","",IF(SUMPRODUCT(($C$12:C261=C261)*1)=1,1,0))</f>
        <v/>
      </c>
      <c r="N261" s="6">
        <f>IF(AND(K261="UNMAPPED",M261=1),ROW(),"")</f>
        <v/>
      </c>
      <c r="O261" s="6">
        <f>IF(AND(I261=1,M261=1),ROW(),"")</f>
        <v/>
      </c>
      <c r="P261" s="6">
        <f>IF(AND(K261="ignored",M261=1),ROW(),"")</f>
        <v/>
      </c>
    </row>
    <row r="262">
      <c r="A262" s="8" t="n"/>
      <c r="B262" s="8" t="n"/>
      <c r="C262" s="6">
        <f>TRIM(A262&amp;"")</f>
        <v/>
      </c>
      <c r="D262" s="6">
        <f>IF(C262="","",SUBSTITUTE(SUBSTITUTE(SUBSTITUTE(SUBSTITUTE(SUBSTITUTE(SUBSTITUTE(SUBSTITUTE(UPPER(TRIM(B262&amp;"")),"₹",""),"RS.",""),"RS",""),"INR",""),"$",""),",","")," ",""))</f>
        <v/>
      </c>
      <c r="E262" s="6">
        <f>IF(C262="","",IF(RIGHT(D262,2)="CR","Cr",IF(RIGHT(D262,2)="DR","Dr","")))</f>
        <v/>
      </c>
      <c r="F262" s="6">
        <f>IF(C262="","",IF(E262&lt;&gt;"",LEFT(D262,LEN(D262)-2),D262))</f>
        <v/>
      </c>
      <c r="G262" s="13">
        <f>IF(C262="","",IF(OR(IF(AND(LEFT(F262,1)="(",RIGHT(F262,1)=")"),MID(F262,2,LEN(F262)-2),F262)="",IF(AND(LEFT(F262,1)="(",RIGHT(F262,1)=")"),MID(F262,2,LEN(F262)-2),F262)="-"),0,IFERROR(VALUE(IF(AND(LEFT(F262,1)="(",RIGHT(F262,1)=")"),MID(F262,2,LEN(F262)-2),F262))*IF(AND(LEFT(F262,1)="(",RIGHT(F262,1)=")"),-1,1)*IF(E262="Cr",Setup!$B$6,1),"ERR")))</f>
        <v/>
      </c>
      <c r="H262" s="6">
        <f>IF(C262="","",IF(ISNUMBER(G262),1,0))</f>
        <v/>
      </c>
      <c r="I262" s="6">
        <f>IF(C262="","",IF(SUMPRODUCT(($C$12:$C$1511=C262)*1)&gt;1,1,0))</f>
        <v/>
      </c>
      <c r="J262" s="6">
        <f>IF(C262="","",SUMPRODUCT((Mapping!$F$5:$F$504=Setup!$B$4&amp;"||"&amp;C262)*ROW(Mapping!$F$5:$F$504)))</f>
        <v/>
      </c>
      <c r="K262" s="6">
        <f>IF(C262="","",IF(J262=0,"UNMAPPED",LOWER(INDEX(Mapping!$D$1:$D$504,J262))))</f>
        <v/>
      </c>
      <c r="L262" s="6">
        <f>IF(K262="mapped",TRIM(INDEX(Mapping!$C$1:$C$504,J262)),"")</f>
        <v/>
      </c>
      <c r="M262" s="6">
        <f>IF(C262="","",IF(SUMPRODUCT(($C$12:C262=C262)*1)=1,1,0))</f>
        <v/>
      </c>
      <c r="N262" s="6">
        <f>IF(AND(K262="UNMAPPED",M262=1),ROW(),"")</f>
        <v/>
      </c>
      <c r="O262" s="6">
        <f>IF(AND(I262=1,M262=1),ROW(),"")</f>
        <v/>
      </c>
      <c r="P262" s="6">
        <f>IF(AND(K262="ignored",M262=1),ROW(),"")</f>
        <v/>
      </c>
    </row>
    <row r="263">
      <c r="A263" s="8" t="n"/>
      <c r="B263" s="8" t="n"/>
      <c r="C263" s="6">
        <f>TRIM(A263&amp;"")</f>
        <v/>
      </c>
      <c r="D263" s="6">
        <f>IF(C263="","",SUBSTITUTE(SUBSTITUTE(SUBSTITUTE(SUBSTITUTE(SUBSTITUTE(SUBSTITUTE(SUBSTITUTE(UPPER(TRIM(B263&amp;"")),"₹",""),"RS.",""),"RS",""),"INR",""),"$",""),",","")," ",""))</f>
        <v/>
      </c>
      <c r="E263" s="6">
        <f>IF(C263="","",IF(RIGHT(D263,2)="CR","Cr",IF(RIGHT(D263,2)="DR","Dr","")))</f>
        <v/>
      </c>
      <c r="F263" s="6">
        <f>IF(C263="","",IF(E263&lt;&gt;"",LEFT(D263,LEN(D263)-2),D263))</f>
        <v/>
      </c>
      <c r="G263" s="13">
        <f>IF(C263="","",IF(OR(IF(AND(LEFT(F263,1)="(",RIGHT(F263,1)=")"),MID(F263,2,LEN(F263)-2),F263)="",IF(AND(LEFT(F263,1)="(",RIGHT(F263,1)=")"),MID(F263,2,LEN(F263)-2),F263)="-"),0,IFERROR(VALUE(IF(AND(LEFT(F263,1)="(",RIGHT(F263,1)=")"),MID(F263,2,LEN(F263)-2),F263))*IF(AND(LEFT(F263,1)="(",RIGHT(F263,1)=")"),-1,1)*IF(E263="Cr",Setup!$B$6,1),"ERR")))</f>
        <v/>
      </c>
      <c r="H263" s="6">
        <f>IF(C263="","",IF(ISNUMBER(G263),1,0))</f>
        <v/>
      </c>
      <c r="I263" s="6">
        <f>IF(C263="","",IF(SUMPRODUCT(($C$12:$C$1511=C263)*1)&gt;1,1,0))</f>
        <v/>
      </c>
      <c r="J263" s="6">
        <f>IF(C263="","",SUMPRODUCT((Mapping!$F$5:$F$504=Setup!$B$4&amp;"||"&amp;C263)*ROW(Mapping!$F$5:$F$504)))</f>
        <v/>
      </c>
      <c r="K263" s="6">
        <f>IF(C263="","",IF(J263=0,"UNMAPPED",LOWER(INDEX(Mapping!$D$1:$D$504,J263))))</f>
        <v/>
      </c>
      <c r="L263" s="6">
        <f>IF(K263="mapped",TRIM(INDEX(Mapping!$C$1:$C$504,J263)),"")</f>
        <v/>
      </c>
      <c r="M263" s="6">
        <f>IF(C263="","",IF(SUMPRODUCT(($C$12:C263=C263)*1)=1,1,0))</f>
        <v/>
      </c>
      <c r="N263" s="6">
        <f>IF(AND(K263="UNMAPPED",M263=1),ROW(),"")</f>
        <v/>
      </c>
      <c r="O263" s="6">
        <f>IF(AND(I263=1,M263=1),ROW(),"")</f>
        <v/>
      </c>
      <c r="P263" s="6">
        <f>IF(AND(K263="ignored",M263=1),ROW(),"")</f>
        <v/>
      </c>
    </row>
    <row r="264">
      <c r="A264" s="8" t="n"/>
      <c r="B264" s="8" t="n"/>
      <c r="C264" s="6">
        <f>TRIM(A264&amp;"")</f>
        <v/>
      </c>
      <c r="D264" s="6">
        <f>IF(C264="","",SUBSTITUTE(SUBSTITUTE(SUBSTITUTE(SUBSTITUTE(SUBSTITUTE(SUBSTITUTE(SUBSTITUTE(UPPER(TRIM(B264&amp;"")),"₹",""),"RS.",""),"RS",""),"INR",""),"$",""),",","")," ",""))</f>
        <v/>
      </c>
      <c r="E264" s="6">
        <f>IF(C264="","",IF(RIGHT(D264,2)="CR","Cr",IF(RIGHT(D264,2)="DR","Dr","")))</f>
        <v/>
      </c>
      <c r="F264" s="6">
        <f>IF(C264="","",IF(E264&lt;&gt;"",LEFT(D264,LEN(D264)-2),D264))</f>
        <v/>
      </c>
      <c r="G264" s="13">
        <f>IF(C264="","",IF(OR(IF(AND(LEFT(F264,1)="(",RIGHT(F264,1)=")"),MID(F264,2,LEN(F264)-2),F264)="",IF(AND(LEFT(F264,1)="(",RIGHT(F264,1)=")"),MID(F264,2,LEN(F264)-2),F264)="-"),0,IFERROR(VALUE(IF(AND(LEFT(F264,1)="(",RIGHT(F264,1)=")"),MID(F264,2,LEN(F264)-2),F264))*IF(AND(LEFT(F264,1)="(",RIGHT(F264,1)=")"),-1,1)*IF(E264="Cr",Setup!$B$6,1),"ERR")))</f>
        <v/>
      </c>
      <c r="H264" s="6">
        <f>IF(C264="","",IF(ISNUMBER(G264),1,0))</f>
        <v/>
      </c>
      <c r="I264" s="6">
        <f>IF(C264="","",IF(SUMPRODUCT(($C$12:$C$1511=C264)*1)&gt;1,1,0))</f>
        <v/>
      </c>
      <c r="J264" s="6">
        <f>IF(C264="","",SUMPRODUCT((Mapping!$F$5:$F$504=Setup!$B$4&amp;"||"&amp;C264)*ROW(Mapping!$F$5:$F$504)))</f>
        <v/>
      </c>
      <c r="K264" s="6">
        <f>IF(C264="","",IF(J264=0,"UNMAPPED",LOWER(INDEX(Mapping!$D$1:$D$504,J264))))</f>
        <v/>
      </c>
      <c r="L264" s="6">
        <f>IF(K264="mapped",TRIM(INDEX(Mapping!$C$1:$C$504,J264)),"")</f>
        <v/>
      </c>
      <c r="M264" s="6">
        <f>IF(C264="","",IF(SUMPRODUCT(($C$12:C264=C264)*1)=1,1,0))</f>
        <v/>
      </c>
      <c r="N264" s="6">
        <f>IF(AND(K264="UNMAPPED",M264=1),ROW(),"")</f>
        <v/>
      </c>
      <c r="O264" s="6">
        <f>IF(AND(I264=1,M264=1),ROW(),"")</f>
        <v/>
      </c>
      <c r="P264" s="6">
        <f>IF(AND(K264="ignored",M264=1),ROW(),"")</f>
        <v/>
      </c>
    </row>
    <row r="265">
      <c r="A265" s="8" t="n"/>
      <c r="B265" s="8" t="n"/>
      <c r="C265" s="6">
        <f>TRIM(A265&amp;"")</f>
        <v/>
      </c>
      <c r="D265" s="6">
        <f>IF(C265="","",SUBSTITUTE(SUBSTITUTE(SUBSTITUTE(SUBSTITUTE(SUBSTITUTE(SUBSTITUTE(SUBSTITUTE(UPPER(TRIM(B265&amp;"")),"₹",""),"RS.",""),"RS",""),"INR",""),"$",""),",","")," ",""))</f>
        <v/>
      </c>
      <c r="E265" s="6">
        <f>IF(C265="","",IF(RIGHT(D265,2)="CR","Cr",IF(RIGHT(D265,2)="DR","Dr","")))</f>
        <v/>
      </c>
      <c r="F265" s="6">
        <f>IF(C265="","",IF(E265&lt;&gt;"",LEFT(D265,LEN(D265)-2),D265))</f>
        <v/>
      </c>
      <c r="G265" s="13">
        <f>IF(C265="","",IF(OR(IF(AND(LEFT(F265,1)="(",RIGHT(F265,1)=")"),MID(F265,2,LEN(F265)-2),F265)="",IF(AND(LEFT(F265,1)="(",RIGHT(F265,1)=")"),MID(F265,2,LEN(F265)-2),F265)="-"),0,IFERROR(VALUE(IF(AND(LEFT(F265,1)="(",RIGHT(F265,1)=")"),MID(F265,2,LEN(F265)-2),F265))*IF(AND(LEFT(F265,1)="(",RIGHT(F265,1)=")"),-1,1)*IF(E265="Cr",Setup!$B$6,1),"ERR")))</f>
        <v/>
      </c>
      <c r="H265" s="6">
        <f>IF(C265="","",IF(ISNUMBER(G265),1,0))</f>
        <v/>
      </c>
      <c r="I265" s="6">
        <f>IF(C265="","",IF(SUMPRODUCT(($C$12:$C$1511=C265)*1)&gt;1,1,0))</f>
        <v/>
      </c>
      <c r="J265" s="6">
        <f>IF(C265="","",SUMPRODUCT((Mapping!$F$5:$F$504=Setup!$B$4&amp;"||"&amp;C265)*ROW(Mapping!$F$5:$F$504)))</f>
        <v/>
      </c>
      <c r="K265" s="6">
        <f>IF(C265="","",IF(J265=0,"UNMAPPED",LOWER(INDEX(Mapping!$D$1:$D$504,J265))))</f>
        <v/>
      </c>
      <c r="L265" s="6">
        <f>IF(K265="mapped",TRIM(INDEX(Mapping!$C$1:$C$504,J265)),"")</f>
        <v/>
      </c>
      <c r="M265" s="6">
        <f>IF(C265="","",IF(SUMPRODUCT(($C$12:C265=C265)*1)=1,1,0))</f>
        <v/>
      </c>
      <c r="N265" s="6">
        <f>IF(AND(K265="UNMAPPED",M265=1),ROW(),"")</f>
        <v/>
      </c>
      <c r="O265" s="6">
        <f>IF(AND(I265=1,M265=1),ROW(),"")</f>
        <v/>
      </c>
      <c r="P265" s="6">
        <f>IF(AND(K265="ignored",M265=1),ROW(),"")</f>
        <v/>
      </c>
    </row>
    <row r="266">
      <c r="A266" s="8" t="n"/>
      <c r="B266" s="8" t="n"/>
      <c r="C266" s="6">
        <f>TRIM(A266&amp;"")</f>
        <v/>
      </c>
      <c r="D266" s="6">
        <f>IF(C266="","",SUBSTITUTE(SUBSTITUTE(SUBSTITUTE(SUBSTITUTE(SUBSTITUTE(SUBSTITUTE(SUBSTITUTE(UPPER(TRIM(B266&amp;"")),"₹",""),"RS.",""),"RS",""),"INR",""),"$",""),",","")," ",""))</f>
        <v/>
      </c>
      <c r="E266" s="6">
        <f>IF(C266="","",IF(RIGHT(D266,2)="CR","Cr",IF(RIGHT(D266,2)="DR","Dr","")))</f>
        <v/>
      </c>
      <c r="F266" s="6">
        <f>IF(C266="","",IF(E266&lt;&gt;"",LEFT(D266,LEN(D266)-2),D266))</f>
        <v/>
      </c>
      <c r="G266" s="13">
        <f>IF(C266="","",IF(OR(IF(AND(LEFT(F266,1)="(",RIGHT(F266,1)=")"),MID(F266,2,LEN(F266)-2),F266)="",IF(AND(LEFT(F266,1)="(",RIGHT(F266,1)=")"),MID(F266,2,LEN(F266)-2),F266)="-"),0,IFERROR(VALUE(IF(AND(LEFT(F266,1)="(",RIGHT(F266,1)=")"),MID(F266,2,LEN(F266)-2),F266))*IF(AND(LEFT(F266,1)="(",RIGHT(F266,1)=")"),-1,1)*IF(E266="Cr",Setup!$B$6,1),"ERR")))</f>
        <v/>
      </c>
      <c r="H266" s="6">
        <f>IF(C266="","",IF(ISNUMBER(G266),1,0))</f>
        <v/>
      </c>
      <c r="I266" s="6">
        <f>IF(C266="","",IF(SUMPRODUCT(($C$12:$C$1511=C266)*1)&gt;1,1,0))</f>
        <v/>
      </c>
      <c r="J266" s="6">
        <f>IF(C266="","",SUMPRODUCT((Mapping!$F$5:$F$504=Setup!$B$4&amp;"||"&amp;C266)*ROW(Mapping!$F$5:$F$504)))</f>
        <v/>
      </c>
      <c r="K266" s="6">
        <f>IF(C266="","",IF(J266=0,"UNMAPPED",LOWER(INDEX(Mapping!$D$1:$D$504,J266))))</f>
        <v/>
      </c>
      <c r="L266" s="6">
        <f>IF(K266="mapped",TRIM(INDEX(Mapping!$C$1:$C$504,J266)),"")</f>
        <v/>
      </c>
      <c r="M266" s="6">
        <f>IF(C266="","",IF(SUMPRODUCT(($C$12:C266=C266)*1)=1,1,0))</f>
        <v/>
      </c>
      <c r="N266" s="6">
        <f>IF(AND(K266="UNMAPPED",M266=1),ROW(),"")</f>
        <v/>
      </c>
      <c r="O266" s="6">
        <f>IF(AND(I266=1,M266=1),ROW(),"")</f>
        <v/>
      </c>
      <c r="P266" s="6">
        <f>IF(AND(K266="ignored",M266=1),ROW(),"")</f>
        <v/>
      </c>
    </row>
    <row r="267">
      <c r="A267" s="8" t="n"/>
      <c r="B267" s="8" t="n"/>
      <c r="C267" s="6">
        <f>TRIM(A267&amp;"")</f>
        <v/>
      </c>
      <c r="D267" s="6">
        <f>IF(C267="","",SUBSTITUTE(SUBSTITUTE(SUBSTITUTE(SUBSTITUTE(SUBSTITUTE(SUBSTITUTE(SUBSTITUTE(UPPER(TRIM(B267&amp;"")),"₹",""),"RS.",""),"RS",""),"INR",""),"$",""),",","")," ",""))</f>
        <v/>
      </c>
      <c r="E267" s="6">
        <f>IF(C267="","",IF(RIGHT(D267,2)="CR","Cr",IF(RIGHT(D267,2)="DR","Dr","")))</f>
        <v/>
      </c>
      <c r="F267" s="6">
        <f>IF(C267="","",IF(E267&lt;&gt;"",LEFT(D267,LEN(D267)-2),D267))</f>
        <v/>
      </c>
      <c r="G267" s="13">
        <f>IF(C267="","",IF(OR(IF(AND(LEFT(F267,1)="(",RIGHT(F267,1)=")"),MID(F267,2,LEN(F267)-2),F267)="",IF(AND(LEFT(F267,1)="(",RIGHT(F267,1)=")"),MID(F267,2,LEN(F267)-2),F267)="-"),0,IFERROR(VALUE(IF(AND(LEFT(F267,1)="(",RIGHT(F267,1)=")"),MID(F267,2,LEN(F267)-2),F267))*IF(AND(LEFT(F267,1)="(",RIGHT(F267,1)=")"),-1,1)*IF(E267="Cr",Setup!$B$6,1),"ERR")))</f>
        <v/>
      </c>
      <c r="H267" s="6">
        <f>IF(C267="","",IF(ISNUMBER(G267),1,0))</f>
        <v/>
      </c>
      <c r="I267" s="6">
        <f>IF(C267="","",IF(SUMPRODUCT(($C$12:$C$1511=C267)*1)&gt;1,1,0))</f>
        <v/>
      </c>
      <c r="J267" s="6">
        <f>IF(C267="","",SUMPRODUCT((Mapping!$F$5:$F$504=Setup!$B$4&amp;"||"&amp;C267)*ROW(Mapping!$F$5:$F$504)))</f>
        <v/>
      </c>
      <c r="K267" s="6">
        <f>IF(C267="","",IF(J267=0,"UNMAPPED",LOWER(INDEX(Mapping!$D$1:$D$504,J267))))</f>
        <v/>
      </c>
      <c r="L267" s="6">
        <f>IF(K267="mapped",TRIM(INDEX(Mapping!$C$1:$C$504,J267)),"")</f>
        <v/>
      </c>
      <c r="M267" s="6">
        <f>IF(C267="","",IF(SUMPRODUCT(($C$12:C267=C267)*1)=1,1,0))</f>
        <v/>
      </c>
      <c r="N267" s="6">
        <f>IF(AND(K267="UNMAPPED",M267=1),ROW(),"")</f>
        <v/>
      </c>
      <c r="O267" s="6">
        <f>IF(AND(I267=1,M267=1),ROW(),"")</f>
        <v/>
      </c>
      <c r="P267" s="6">
        <f>IF(AND(K267="ignored",M267=1),ROW(),"")</f>
        <v/>
      </c>
    </row>
    <row r="268">
      <c r="A268" s="8" t="n"/>
      <c r="B268" s="8" t="n"/>
      <c r="C268" s="6">
        <f>TRIM(A268&amp;"")</f>
        <v/>
      </c>
      <c r="D268" s="6">
        <f>IF(C268="","",SUBSTITUTE(SUBSTITUTE(SUBSTITUTE(SUBSTITUTE(SUBSTITUTE(SUBSTITUTE(SUBSTITUTE(UPPER(TRIM(B268&amp;"")),"₹",""),"RS.",""),"RS",""),"INR",""),"$",""),",","")," ",""))</f>
        <v/>
      </c>
      <c r="E268" s="6">
        <f>IF(C268="","",IF(RIGHT(D268,2)="CR","Cr",IF(RIGHT(D268,2)="DR","Dr","")))</f>
        <v/>
      </c>
      <c r="F268" s="6">
        <f>IF(C268="","",IF(E268&lt;&gt;"",LEFT(D268,LEN(D268)-2),D268))</f>
        <v/>
      </c>
      <c r="G268" s="13">
        <f>IF(C268="","",IF(OR(IF(AND(LEFT(F268,1)="(",RIGHT(F268,1)=")"),MID(F268,2,LEN(F268)-2),F268)="",IF(AND(LEFT(F268,1)="(",RIGHT(F268,1)=")"),MID(F268,2,LEN(F268)-2),F268)="-"),0,IFERROR(VALUE(IF(AND(LEFT(F268,1)="(",RIGHT(F268,1)=")"),MID(F268,2,LEN(F268)-2),F268))*IF(AND(LEFT(F268,1)="(",RIGHT(F268,1)=")"),-1,1)*IF(E268="Cr",Setup!$B$6,1),"ERR")))</f>
        <v/>
      </c>
      <c r="H268" s="6">
        <f>IF(C268="","",IF(ISNUMBER(G268),1,0))</f>
        <v/>
      </c>
      <c r="I268" s="6">
        <f>IF(C268="","",IF(SUMPRODUCT(($C$12:$C$1511=C268)*1)&gt;1,1,0))</f>
        <v/>
      </c>
      <c r="J268" s="6">
        <f>IF(C268="","",SUMPRODUCT((Mapping!$F$5:$F$504=Setup!$B$4&amp;"||"&amp;C268)*ROW(Mapping!$F$5:$F$504)))</f>
        <v/>
      </c>
      <c r="K268" s="6">
        <f>IF(C268="","",IF(J268=0,"UNMAPPED",LOWER(INDEX(Mapping!$D$1:$D$504,J268))))</f>
        <v/>
      </c>
      <c r="L268" s="6">
        <f>IF(K268="mapped",TRIM(INDEX(Mapping!$C$1:$C$504,J268)),"")</f>
        <v/>
      </c>
      <c r="M268" s="6">
        <f>IF(C268="","",IF(SUMPRODUCT(($C$12:C268=C268)*1)=1,1,0))</f>
        <v/>
      </c>
      <c r="N268" s="6">
        <f>IF(AND(K268="UNMAPPED",M268=1),ROW(),"")</f>
        <v/>
      </c>
      <c r="O268" s="6">
        <f>IF(AND(I268=1,M268=1),ROW(),"")</f>
        <v/>
      </c>
      <c r="P268" s="6">
        <f>IF(AND(K268="ignored",M268=1),ROW(),"")</f>
        <v/>
      </c>
    </row>
    <row r="269">
      <c r="A269" s="8" t="n"/>
      <c r="B269" s="8" t="n"/>
      <c r="C269" s="6">
        <f>TRIM(A269&amp;"")</f>
        <v/>
      </c>
      <c r="D269" s="6">
        <f>IF(C269="","",SUBSTITUTE(SUBSTITUTE(SUBSTITUTE(SUBSTITUTE(SUBSTITUTE(SUBSTITUTE(SUBSTITUTE(UPPER(TRIM(B269&amp;"")),"₹",""),"RS.",""),"RS",""),"INR",""),"$",""),",","")," ",""))</f>
        <v/>
      </c>
      <c r="E269" s="6">
        <f>IF(C269="","",IF(RIGHT(D269,2)="CR","Cr",IF(RIGHT(D269,2)="DR","Dr","")))</f>
        <v/>
      </c>
      <c r="F269" s="6">
        <f>IF(C269="","",IF(E269&lt;&gt;"",LEFT(D269,LEN(D269)-2),D269))</f>
        <v/>
      </c>
      <c r="G269" s="13">
        <f>IF(C269="","",IF(OR(IF(AND(LEFT(F269,1)="(",RIGHT(F269,1)=")"),MID(F269,2,LEN(F269)-2),F269)="",IF(AND(LEFT(F269,1)="(",RIGHT(F269,1)=")"),MID(F269,2,LEN(F269)-2),F269)="-"),0,IFERROR(VALUE(IF(AND(LEFT(F269,1)="(",RIGHT(F269,1)=")"),MID(F269,2,LEN(F269)-2),F269))*IF(AND(LEFT(F269,1)="(",RIGHT(F269,1)=")"),-1,1)*IF(E269="Cr",Setup!$B$6,1),"ERR")))</f>
        <v/>
      </c>
      <c r="H269" s="6">
        <f>IF(C269="","",IF(ISNUMBER(G269),1,0))</f>
        <v/>
      </c>
      <c r="I269" s="6">
        <f>IF(C269="","",IF(SUMPRODUCT(($C$12:$C$1511=C269)*1)&gt;1,1,0))</f>
        <v/>
      </c>
      <c r="J269" s="6">
        <f>IF(C269="","",SUMPRODUCT((Mapping!$F$5:$F$504=Setup!$B$4&amp;"||"&amp;C269)*ROW(Mapping!$F$5:$F$504)))</f>
        <v/>
      </c>
      <c r="K269" s="6">
        <f>IF(C269="","",IF(J269=0,"UNMAPPED",LOWER(INDEX(Mapping!$D$1:$D$504,J269))))</f>
        <v/>
      </c>
      <c r="L269" s="6">
        <f>IF(K269="mapped",TRIM(INDEX(Mapping!$C$1:$C$504,J269)),"")</f>
        <v/>
      </c>
      <c r="M269" s="6">
        <f>IF(C269="","",IF(SUMPRODUCT(($C$12:C269=C269)*1)=1,1,0))</f>
        <v/>
      </c>
      <c r="N269" s="6">
        <f>IF(AND(K269="UNMAPPED",M269=1),ROW(),"")</f>
        <v/>
      </c>
      <c r="O269" s="6">
        <f>IF(AND(I269=1,M269=1),ROW(),"")</f>
        <v/>
      </c>
      <c r="P269" s="6">
        <f>IF(AND(K269="ignored",M269=1),ROW(),"")</f>
        <v/>
      </c>
    </row>
    <row r="270">
      <c r="A270" s="8" t="n"/>
      <c r="B270" s="8" t="n"/>
      <c r="C270" s="6">
        <f>TRIM(A270&amp;"")</f>
        <v/>
      </c>
      <c r="D270" s="6">
        <f>IF(C270="","",SUBSTITUTE(SUBSTITUTE(SUBSTITUTE(SUBSTITUTE(SUBSTITUTE(SUBSTITUTE(SUBSTITUTE(UPPER(TRIM(B270&amp;"")),"₹",""),"RS.",""),"RS",""),"INR",""),"$",""),",","")," ",""))</f>
        <v/>
      </c>
      <c r="E270" s="6">
        <f>IF(C270="","",IF(RIGHT(D270,2)="CR","Cr",IF(RIGHT(D270,2)="DR","Dr","")))</f>
        <v/>
      </c>
      <c r="F270" s="6">
        <f>IF(C270="","",IF(E270&lt;&gt;"",LEFT(D270,LEN(D270)-2),D270))</f>
        <v/>
      </c>
      <c r="G270" s="13">
        <f>IF(C270="","",IF(OR(IF(AND(LEFT(F270,1)="(",RIGHT(F270,1)=")"),MID(F270,2,LEN(F270)-2),F270)="",IF(AND(LEFT(F270,1)="(",RIGHT(F270,1)=")"),MID(F270,2,LEN(F270)-2),F270)="-"),0,IFERROR(VALUE(IF(AND(LEFT(F270,1)="(",RIGHT(F270,1)=")"),MID(F270,2,LEN(F270)-2),F270))*IF(AND(LEFT(F270,1)="(",RIGHT(F270,1)=")"),-1,1)*IF(E270="Cr",Setup!$B$6,1),"ERR")))</f>
        <v/>
      </c>
      <c r="H270" s="6">
        <f>IF(C270="","",IF(ISNUMBER(G270),1,0))</f>
        <v/>
      </c>
      <c r="I270" s="6">
        <f>IF(C270="","",IF(SUMPRODUCT(($C$12:$C$1511=C270)*1)&gt;1,1,0))</f>
        <v/>
      </c>
      <c r="J270" s="6">
        <f>IF(C270="","",SUMPRODUCT((Mapping!$F$5:$F$504=Setup!$B$4&amp;"||"&amp;C270)*ROW(Mapping!$F$5:$F$504)))</f>
        <v/>
      </c>
      <c r="K270" s="6">
        <f>IF(C270="","",IF(J270=0,"UNMAPPED",LOWER(INDEX(Mapping!$D$1:$D$504,J270))))</f>
        <v/>
      </c>
      <c r="L270" s="6">
        <f>IF(K270="mapped",TRIM(INDEX(Mapping!$C$1:$C$504,J270)),"")</f>
        <v/>
      </c>
      <c r="M270" s="6">
        <f>IF(C270="","",IF(SUMPRODUCT(($C$12:C270=C270)*1)=1,1,0))</f>
        <v/>
      </c>
      <c r="N270" s="6">
        <f>IF(AND(K270="UNMAPPED",M270=1),ROW(),"")</f>
        <v/>
      </c>
      <c r="O270" s="6">
        <f>IF(AND(I270=1,M270=1),ROW(),"")</f>
        <v/>
      </c>
      <c r="P270" s="6">
        <f>IF(AND(K270="ignored",M270=1),ROW(),"")</f>
        <v/>
      </c>
    </row>
    <row r="271">
      <c r="A271" s="8" t="n"/>
      <c r="B271" s="8" t="n"/>
      <c r="C271" s="6">
        <f>TRIM(A271&amp;"")</f>
        <v/>
      </c>
      <c r="D271" s="6">
        <f>IF(C271="","",SUBSTITUTE(SUBSTITUTE(SUBSTITUTE(SUBSTITUTE(SUBSTITUTE(SUBSTITUTE(SUBSTITUTE(UPPER(TRIM(B271&amp;"")),"₹",""),"RS.",""),"RS",""),"INR",""),"$",""),",","")," ",""))</f>
        <v/>
      </c>
      <c r="E271" s="6">
        <f>IF(C271="","",IF(RIGHT(D271,2)="CR","Cr",IF(RIGHT(D271,2)="DR","Dr","")))</f>
        <v/>
      </c>
      <c r="F271" s="6">
        <f>IF(C271="","",IF(E271&lt;&gt;"",LEFT(D271,LEN(D271)-2),D271))</f>
        <v/>
      </c>
      <c r="G271" s="13">
        <f>IF(C271="","",IF(OR(IF(AND(LEFT(F271,1)="(",RIGHT(F271,1)=")"),MID(F271,2,LEN(F271)-2),F271)="",IF(AND(LEFT(F271,1)="(",RIGHT(F271,1)=")"),MID(F271,2,LEN(F271)-2),F271)="-"),0,IFERROR(VALUE(IF(AND(LEFT(F271,1)="(",RIGHT(F271,1)=")"),MID(F271,2,LEN(F271)-2),F271))*IF(AND(LEFT(F271,1)="(",RIGHT(F271,1)=")"),-1,1)*IF(E271="Cr",Setup!$B$6,1),"ERR")))</f>
        <v/>
      </c>
      <c r="H271" s="6">
        <f>IF(C271="","",IF(ISNUMBER(G271),1,0))</f>
        <v/>
      </c>
      <c r="I271" s="6">
        <f>IF(C271="","",IF(SUMPRODUCT(($C$12:$C$1511=C271)*1)&gt;1,1,0))</f>
        <v/>
      </c>
      <c r="J271" s="6">
        <f>IF(C271="","",SUMPRODUCT((Mapping!$F$5:$F$504=Setup!$B$4&amp;"||"&amp;C271)*ROW(Mapping!$F$5:$F$504)))</f>
        <v/>
      </c>
      <c r="K271" s="6">
        <f>IF(C271="","",IF(J271=0,"UNMAPPED",LOWER(INDEX(Mapping!$D$1:$D$504,J271))))</f>
        <v/>
      </c>
      <c r="L271" s="6">
        <f>IF(K271="mapped",TRIM(INDEX(Mapping!$C$1:$C$504,J271)),"")</f>
        <v/>
      </c>
      <c r="M271" s="6">
        <f>IF(C271="","",IF(SUMPRODUCT(($C$12:C271=C271)*1)=1,1,0))</f>
        <v/>
      </c>
      <c r="N271" s="6">
        <f>IF(AND(K271="UNMAPPED",M271=1),ROW(),"")</f>
        <v/>
      </c>
      <c r="O271" s="6">
        <f>IF(AND(I271=1,M271=1),ROW(),"")</f>
        <v/>
      </c>
      <c r="P271" s="6">
        <f>IF(AND(K271="ignored",M271=1),ROW(),"")</f>
        <v/>
      </c>
    </row>
    <row r="272">
      <c r="A272" s="8" t="n"/>
      <c r="B272" s="8" t="n"/>
      <c r="C272" s="6">
        <f>TRIM(A272&amp;"")</f>
        <v/>
      </c>
      <c r="D272" s="6">
        <f>IF(C272="","",SUBSTITUTE(SUBSTITUTE(SUBSTITUTE(SUBSTITUTE(SUBSTITUTE(SUBSTITUTE(SUBSTITUTE(UPPER(TRIM(B272&amp;"")),"₹",""),"RS.",""),"RS",""),"INR",""),"$",""),",","")," ",""))</f>
        <v/>
      </c>
      <c r="E272" s="6">
        <f>IF(C272="","",IF(RIGHT(D272,2)="CR","Cr",IF(RIGHT(D272,2)="DR","Dr","")))</f>
        <v/>
      </c>
      <c r="F272" s="6">
        <f>IF(C272="","",IF(E272&lt;&gt;"",LEFT(D272,LEN(D272)-2),D272))</f>
        <v/>
      </c>
      <c r="G272" s="13">
        <f>IF(C272="","",IF(OR(IF(AND(LEFT(F272,1)="(",RIGHT(F272,1)=")"),MID(F272,2,LEN(F272)-2),F272)="",IF(AND(LEFT(F272,1)="(",RIGHT(F272,1)=")"),MID(F272,2,LEN(F272)-2),F272)="-"),0,IFERROR(VALUE(IF(AND(LEFT(F272,1)="(",RIGHT(F272,1)=")"),MID(F272,2,LEN(F272)-2),F272))*IF(AND(LEFT(F272,1)="(",RIGHT(F272,1)=")"),-1,1)*IF(E272="Cr",Setup!$B$6,1),"ERR")))</f>
        <v/>
      </c>
      <c r="H272" s="6">
        <f>IF(C272="","",IF(ISNUMBER(G272),1,0))</f>
        <v/>
      </c>
      <c r="I272" s="6">
        <f>IF(C272="","",IF(SUMPRODUCT(($C$12:$C$1511=C272)*1)&gt;1,1,0))</f>
        <v/>
      </c>
      <c r="J272" s="6">
        <f>IF(C272="","",SUMPRODUCT((Mapping!$F$5:$F$504=Setup!$B$4&amp;"||"&amp;C272)*ROW(Mapping!$F$5:$F$504)))</f>
        <v/>
      </c>
      <c r="K272" s="6">
        <f>IF(C272="","",IF(J272=0,"UNMAPPED",LOWER(INDEX(Mapping!$D$1:$D$504,J272))))</f>
        <v/>
      </c>
      <c r="L272" s="6">
        <f>IF(K272="mapped",TRIM(INDEX(Mapping!$C$1:$C$504,J272)),"")</f>
        <v/>
      </c>
      <c r="M272" s="6">
        <f>IF(C272="","",IF(SUMPRODUCT(($C$12:C272=C272)*1)=1,1,0))</f>
        <v/>
      </c>
      <c r="N272" s="6">
        <f>IF(AND(K272="UNMAPPED",M272=1),ROW(),"")</f>
        <v/>
      </c>
      <c r="O272" s="6">
        <f>IF(AND(I272=1,M272=1),ROW(),"")</f>
        <v/>
      </c>
      <c r="P272" s="6">
        <f>IF(AND(K272="ignored",M272=1),ROW(),"")</f>
        <v/>
      </c>
    </row>
    <row r="273">
      <c r="A273" s="8" t="n"/>
      <c r="B273" s="8" t="n"/>
      <c r="C273" s="6">
        <f>TRIM(A273&amp;"")</f>
        <v/>
      </c>
      <c r="D273" s="6">
        <f>IF(C273="","",SUBSTITUTE(SUBSTITUTE(SUBSTITUTE(SUBSTITUTE(SUBSTITUTE(SUBSTITUTE(SUBSTITUTE(UPPER(TRIM(B273&amp;"")),"₹",""),"RS.",""),"RS",""),"INR",""),"$",""),",","")," ",""))</f>
        <v/>
      </c>
      <c r="E273" s="6">
        <f>IF(C273="","",IF(RIGHT(D273,2)="CR","Cr",IF(RIGHT(D273,2)="DR","Dr","")))</f>
        <v/>
      </c>
      <c r="F273" s="6">
        <f>IF(C273="","",IF(E273&lt;&gt;"",LEFT(D273,LEN(D273)-2),D273))</f>
        <v/>
      </c>
      <c r="G273" s="13">
        <f>IF(C273="","",IF(OR(IF(AND(LEFT(F273,1)="(",RIGHT(F273,1)=")"),MID(F273,2,LEN(F273)-2),F273)="",IF(AND(LEFT(F273,1)="(",RIGHT(F273,1)=")"),MID(F273,2,LEN(F273)-2),F273)="-"),0,IFERROR(VALUE(IF(AND(LEFT(F273,1)="(",RIGHT(F273,1)=")"),MID(F273,2,LEN(F273)-2),F273))*IF(AND(LEFT(F273,1)="(",RIGHT(F273,1)=")"),-1,1)*IF(E273="Cr",Setup!$B$6,1),"ERR")))</f>
        <v/>
      </c>
      <c r="H273" s="6">
        <f>IF(C273="","",IF(ISNUMBER(G273),1,0))</f>
        <v/>
      </c>
      <c r="I273" s="6">
        <f>IF(C273="","",IF(SUMPRODUCT(($C$12:$C$1511=C273)*1)&gt;1,1,0))</f>
        <v/>
      </c>
      <c r="J273" s="6">
        <f>IF(C273="","",SUMPRODUCT((Mapping!$F$5:$F$504=Setup!$B$4&amp;"||"&amp;C273)*ROW(Mapping!$F$5:$F$504)))</f>
        <v/>
      </c>
      <c r="K273" s="6">
        <f>IF(C273="","",IF(J273=0,"UNMAPPED",LOWER(INDEX(Mapping!$D$1:$D$504,J273))))</f>
        <v/>
      </c>
      <c r="L273" s="6">
        <f>IF(K273="mapped",TRIM(INDEX(Mapping!$C$1:$C$504,J273)),"")</f>
        <v/>
      </c>
      <c r="M273" s="6">
        <f>IF(C273="","",IF(SUMPRODUCT(($C$12:C273=C273)*1)=1,1,0))</f>
        <v/>
      </c>
      <c r="N273" s="6">
        <f>IF(AND(K273="UNMAPPED",M273=1),ROW(),"")</f>
        <v/>
      </c>
      <c r="O273" s="6">
        <f>IF(AND(I273=1,M273=1),ROW(),"")</f>
        <v/>
      </c>
      <c r="P273" s="6">
        <f>IF(AND(K273="ignored",M273=1),ROW(),"")</f>
        <v/>
      </c>
    </row>
    <row r="274">
      <c r="A274" s="8" t="n"/>
      <c r="B274" s="8" t="n"/>
      <c r="C274" s="6">
        <f>TRIM(A274&amp;"")</f>
        <v/>
      </c>
      <c r="D274" s="6">
        <f>IF(C274="","",SUBSTITUTE(SUBSTITUTE(SUBSTITUTE(SUBSTITUTE(SUBSTITUTE(SUBSTITUTE(SUBSTITUTE(UPPER(TRIM(B274&amp;"")),"₹",""),"RS.",""),"RS",""),"INR",""),"$",""),",","")," ",""))</f>
        <v/>
      </c>
      <c r="E274" s="6">
        <f>IF(C274="","",IF(RIGHT(D274,2)="CR","Cr",IF(RIGHT(D274,2)="DR","Dr","")))</f>
        <v/>
      </c>
      <c r="F274" s="6">
        <f>IF(C274="","",IF(E274&lt;&gt;"",LEFT(D274,LEN(D274)-2),D274))</f>
        <v/>
      </c>
      <c r="G274" s="13">
        <f>IF(C274="","",IF(OR(IF(AND(LEFT(F274,1)="(",RIGHT(F274,1)=")"),MID(F274,2,LEN(F274)-2),F274)="",IF(AND(LEFT(F274,1)="(",RIGHT(F274,1)=")"),MID(F274,2,LEN(F274)-2),F274)="-"),0,IFERROR(VALUE(IF(AND(LEFT(F274,1)="(",RIGHT(F274,1)=")"),MID(F274,2,LEN(F274)-2),F274))*IF(AND(LEFT(F274,1)="(",RIGHT(F274,1)=")"),-1,1)*IF(E274="Cr",Setup!$B$6,1),"ERR")))</f>
        <v/>
      </c>
      <c r="H274" s="6">
        <f>IF(C274="","",IF(ISNUMBER(G274),1,0))</f>
        <v/>
      </c>
      <c r="I274" s="6">
        <f>IF(C274="","",IF(SUMPRODUCT(($C$12:$C$1511=C274)*1)&gt;1,1,0))</f>
        <v/>
      </c>
      <c r="J274" s="6">
        <f>IF(C274="","",SUMPRODUCT((Mapping!$F$5:$F$504=Setup!$B$4&amp;"||"&amp;C274)*ROW(Mapping!$F$5:$F$504)))</f>
        <v/>
      </c>
      <c r="K274" s="6">
        <f>IF(C274="","",IF(J274=0,"UNMAPPED",LOWER(INDEX(Mapping!$D$1:$D$504,J274))))</f>
        <v/>
      </c>
      <c r="L274" s="6">
        <f>IF(K274="mapped",TRIM(INDEX(Mapping!$C$1:$C$504,J274)),"")</f>
        <v/>
      </c>
      <c r="M274" s="6">
        <f>IF(C274="","",IF(SUMPRODUCT(($C$12:C274=C274)*1)=1,1,0))</f>
        <v/>
      </c>
      <c r="N274" s="6">
        <f>IF(AND(K274="UNMAPPED",M274=1),ROW(),"")</f>
        <v/>
      </c>
      <c r="O274" s="6">
        <f>IF(AND(I274=1,M274=1),ROW(),"")</f>
        <v/>
      </c>
      <c r="P274" s="6">
        <f>IF(AND(K274="ignored",M274=1),ROW(),"")</f>
        <v/>
      </c>
    </row>
    <row r="275">
      <c r="A275" s="8" t="n"/>
      <c r="B275" s="8" t="n"/>
      <c r="C275" s="6">
        <f>TRIM(A275&amp;"")</f>
        <v/>
      </c>
      <c r="D275" s="6">
        <f>IF(C275="","",SUBSTITUTE(SUBSTITUTE(SUBSTITUTE(SUBSTITUTE(SUBSTITUTE(SUBSTITUTE(SUBSTITUTE(UPPER(TRIM(B275&amp;"")),"₹",""),"RS.",""),"RS",""),"INR",""),"$",""),",","")," ",""))</f>
        <v/>
      </c>
      <c r="E275" s="6">
        <f>IF(C275="","",IF(RIGHT(D275,2)="CR","Cr",IF(RIGHT(D275,2)="DR","Dr","")))</f>
        <v/>
      </c>
      <c r="F275" s="6">
        <f>IF(C275="","",IF(E275&lt;&gt;"",LEFT(D275,LEN(D275)-2),D275))</f>
        <v/>
      </c>
      <c r="G275" s="13">
        <f>IF(C275="","",IF(OR(IF(AND(LEFT(F275,1)="(",RIGHT(F275,1)=")"),MID(F275,2,LEN(F275)-2),F275)="",IF(AND(LEFT(F275,1)="(",RIGHT(F275,1)=")"),MID(F275,2,LEN(F275)-2),F275)="-"),0,IFERROR(VALUE(IF(AND(LEFT(F275,1)="(",RIGHT(F275,1)=")"),MID(F275,2,LEN(F275)-2),F275))*IF(AND(LEFT(F275,1)="(",RIGHT(F275,1)=")"),-1,1)*IF(E275="Cr",Setup!$B$6,1),"ERR")))</f>
        <v/>
      </c>
      <c r="H275" s="6">
        <f>IF(C275="","",IF(ISNUMBER(G275),1,0))</f>
        <v/>
      </c>
      <c r="I275" s="6">
        <f>IF(C275="","",IF(SUMPRODUCT(($C$12:$C$1511=C275)*1)&gt;1,1,0))</f>
        <v/>
      </c>
      <c r="J275" s="6">
        <f>IF(C275="","",SUMPRODUCT((Mapping!$F$5:$F$504=Setup!$B$4&amp;"||"&amp;C275)*ROW(Mapping!$F$5:$F$504)))</f>
        <v/>
      </c>
      <c r="K275" s="6">
        <f>IF(C275="","",IF(J275=0,"UNMAPPED",LOWER(INDEX(Mapping!$D$1:$D$504,J275))))</f>
        <v/>
      </c>
      <c r="L275" s="6">
        <f>IF(K275="mapped",TRIM(INDEX(Mapping!$C$1:$C$504,J275)),"")</f>
        <v/>
      </c>
      <c r="M275" s="6">
        <f>IF(C275="","",IF(SUMPRODUCT(($C$12:C275=C275)*1)=1,1,0))</f>
        <v/>
      </c>
      <c r="N275" s="6">
        <f>IF(AND(K275="UNMAPPED",M275=1),ROW(),"")</f>
        <v/>
      </c>
      <c r="O275" s="6">
        <f>IF(AND(I275=1,M275=1),ROW(),"")</f>
        <v/>
      </c>
      <c r="P275" s="6">
        <f>IF(AND(K275="ignored",M275=1),ROW(),"")</f>
        <v/>
      </c>
    </row>
    <row r="276">
      <c r="A276" s="8" t="n"/>
      <c r="B276" s="8" t="n"/>
      <c r="C276" s="6">
        <f>TRIM(A276&amp;"")</f>
        <v/>
      </c>
      <c r="D276" s="6">
        <f>IF(C276="","",SUBSTITUTE(SUBSTITUTE(SUBSTITUTE(SUBSTITUTE(SUBSTITUTE(SUBSTITUTE(SUBSTITUTE(UPPER(TRIM(B276&amp;"")),"₹",""),"RS.",""),"RS",""),"INR",""),"$",""),",","")," ",""))</f>
        <v/>
      </c>
      <c r="E276" s="6">
        <f>IF(C276="","",IF(RIGHT(D276,2)="CR","Cr",IF(RIGHT(D276,2)="DR","Dr","")))</f>
        <v/>
      </c>
      <c r="F276" s="6">
        <f>IF(C276="","",IF(E276&lt;&gt;"",LEFT(D276,LEN(D276)-2),D276))</f>
        <v/>
      </c>
      <c r="G276" s="13">
        <f>IF(C276="","",IF(OR(IF(AND(LEFT(F276,1)="(",RIGHT(F276,1)=")"),MID(F276,2,LEN(F276)-2),F276)="",IF(AND(LEFT(F276,1)="(",RIGHT(F276,1)=")"),MID(F276,2,LEN(F276)-2),F276)="-"),0,IFERROR(VALUE(IF(AND(LEFT(F276,1)="(",RIGHT(F276,1)=")"),MID(F276,2,LEN(F276)-2),F276))*IF(AND(LEFT(F276,1)="(",RIGHT(F276,1)=")"),-1,1)*IF(E276="Cr",Setup!$B$6,1),"ERR")))</f>
        <v/>
      </c>
      <c r="H276" s="6">
        <f>IF(C276="","",IF(ISNUMBER(G276),1,0))</f>
        <v/>
      </c>
      <c r="I276" s="6">
        <f>IF(C276="","",IF(SUMPRODUCT(($C$12:$C$1511=C276)*1)&gt;1,1,0))</f>
        <v/>
      </c>
      <c r="J276" s="6">
        <f>IF(C276="","",SUMPRODUCT((Mapping!$F$5:$F$504=Setup!$B$4&amp;"||"&amp;C276)*ROW(Mapping!$F$5:$F$504)))</f>
        <v/>
      </c>
      <c r="K276" s="6">
        <f>IF(C276="","",IF(J276=0,"UNMAPPED",LOWER(INDEX(Mapping!$D$1:$D$504,J276))))</f>
        <v/>
      </c>
      <c r="L276" s="6">
        <f>IF(K276="mapped",TRIM(INDEX(Mapping!$C$1:$C$504,J276)),"")</f>
        <v/>
      </c>
      <c r="M276" s="6">
        <f>IF(C276="","",IF(SUMPRODUCT(($C$12:C276=C276)*1)=1,1,0))</f>
        <v/>
      </c>
      <c r="N276" s="6">
        <f>IF(AND(K276="UNMAPPED",M276=1),ROW(),"")</f>
        <v/>
      </c>
      <c r="O276" s="6">
        <f>IF(AND(I276=1,M276=1),ROW(),"")</f>
        <v/>
      </c>
      <c r="P276" s="6">
        <f>IF(AND(K276="ignored",M276=1),ROW(),"")</f>
        <v/>
      </c>
    </row>
    <row r="277">
      <c r="A277" s="8" t="n"/>
      <c r="B277" s="8" t="n"/>
      <c r="C277" s="6">
        <f>TRIM(A277&amp;"")</f>
        <v/>
      </c>
      <c r="D277" s="6">
        <f>IF(C277="","",SUBSTITUTE(SUBSTITUTE(SUBSTITUTE(SUBSTITUTE(SUBSTITUTE(SUBSTITUTE(SUBSTITUTE(UPPER(TRIM(B277&amp;"")),"₹",""),"RS.",""),"RS",""),"INR",""),"$",""),",","")," ",""))</f>
        <v/>
      </c>
      <c r="E277" s="6">
        <f>IF(C277="","",IF(RIGHT(D277,2)="CR","Cr",IF(RIGHT(D277,2)="DR","Dr","")))</f>
        <v/>
      </c>
      <c r="F277" s="6">
        <f>IF(C277="","",IF(E277&lt;&gt;"",LEFT(D277,LEN(D277)-2),D277))</f>
        <v/>
      </c>
      <c r="G277" s="13">
        <f>IF(C277="","",IF(OR(IF(AND(LEFT(F277,1)="(",RIGHT(F277,1)=")"),MID(F277,2,LEN(F277)-2),F277)="",IF(AND(LEFT(F277,1)="(",RIGHT(F277,1)=")"),MID(F277,2,LEN(F277)-2),F277)="-"),0,IFERROR(VALUE(IF(AND(LEFT(F277,1)="(",RIGHT(F277,1)=")"),MID(F277,2,LEN(F277)-2),F277))*IF(AND(LEFT(F277,1)="(",RIGHT(F277,1)=")"),-1,1)*IF(E277="Cr",Setup!$B$6,1),"ERR")))</f>
        <v/>
      </c>
      <c r="H277" s="6">
        <f>IF(C277="","",IF(ISNUMBER(G277),1,0))</f>
        <v/>
      </c>
      <c r="I277" s="6">
        <f>IF(C277="","",IF(SUMPRODUCT(($C$12:$C$1511=C277)*1)&gt;1,1,0))</f>
        <v/>
      </c>
      <c r="J277" s="6">
        <f>IF(C277="","",SUMPRODUCT((Mapping!$F$5:$F$504=Setup!$B$4&amp;"||"&amp;C277)*ROW(Mapping!$F$5:$F$504)))</f>
        <v/>
      </c>
      <c r="K277" s="6">
        <f>IF(C277="","",IF(J277=0,"UNMAPPED",LOWER(INDEX(Mapping!$D$1:$D$504,J277))))</f>
        <v/>
      </c>
      <c r="L277" s="6">
        <f>IF(K277="mapped",TRIM(INDEX(Mapping!$C$1:$C$504,J277)),"")</f>
        <v/>
      </c>
      <c r="M277" s="6">
        <f>IF(C277="","",IF(SUMPRODUCT(($C$12:C277=C277)*1)=1,1,0))</f>
        <v/>
      </c>
      <c r="N277" s="6">
        <f>IF(AND(K277="UNMAPPED",M277=1),ROW(),"")</f>
        <v/>
      </c>
      <c r="O277" s="6">
        <f>IF(AND(I277=1,M277=1),ROW(),"")</f>
        <v/>
      </c>
      <c r="P277" s="6">
        <f>IF(AND(K277="ignored",M277=1),ROW(),"")</f>
        <v/>
      </c>
    </row>
    <row r="278">
      <c r="A278" s="8" t="n"/>
      <c r="B278" s="8" t="n"/>
      <c r="C278" s="6">
        <f>TRIM(A278&amp;"")</f>
        <v/>
      </c>
      <c r="D278" s="6">
        <f>IF(C278="","",SUBSTITUTE(SUBSTITUTE(SUBSTITUTE(SUBSTITUTE(SUBSTITUTE(SUBSTITUTE(SUBSTITUTE(UPPER(TRIM(B278&amp;"")),"₹",""),"RS.",""),"RS",""),"INR",""),"$",""),",","")," ",""))</f>
        <v/>
      </c>
      <c r="E278" s="6">
        <f>IF(C278="","",IF(RIGHT(D278,2)="CR","Cr",IF(RIGHT(D278,2)="DR","Dr","")))</f>
        <v/>
      </c>
      <c r="F278" s="6">
        <f>IF(C278="","",IF(E278&lt;&gt;"",LEFT(D278,LEN(D278)-2),D278))</f>
        <v/>
      </c>
      <c r="G278" s="13">
        <f>IF(C278="","",IF(OR(IF(AND(LEFT(F278,1)="(",RIGHT(F278,1)=")"),MID(F278,2,LEN(F278)-2),F278)="",IF(AND(LEFT(F278,1)="(",RIGHT(F278,1)=")"),MID(F278,2,LEN(F278)-2),F278)="-"),0,IFERROR(VALUE(IF(AND(LEFT(F278,1)="(",RIGHT(F278,1)=")"),MID(F278,2,LEN(F278)-2),F278))*IF(AND(LEFT(F278,1)="(",RIGHT(F278,1)=")"),-1,1)*IF(E278="Cr",Setup!$B$6,1),"ERR")))</f>
        <v/>
      </c>
      <c r="H278" s="6">
        <f>IF(C278="","",IF(ISNUMBER(G278),1,0))</f>
        <v/>
      </c>
      <c r="I278" s="6">
        <f>IF(C278="","",IF(SUMPRODUCT(($C$12:$C$1511=C278)*1)&gt;1,1,0))</f>
        <v/>
      </c>
      <c r="J278" s="6">
        <f>IF(C278="","",SUMPRODUCT((Mapping!$F$5:$F$504=Setup!$B$4&amp;"||"&amp;C278)*ROW(Mapping!$F$5:$F$504)))</f>
        <v/>
      </c>
      <c r="K278" s="6">
        <f>IF(C278="","",IF(J278=0,"UNMAPPED",LOWER(INDEX(Mapping!$D$1:$D$504,J278))))</f>
        <v/>
      </c>
      <c r="L278" s="6">
        <f>IF(K278="mapped",TRIM(INDEX(Mapping!$C$1:$C$504,J278)),"")</f>
        <v/>
      </c>
      <c r="M278" s="6">
        <f>IF(C278="","",IF(SUMPRODUCT(($C$12:C278=C278)*1)=1,1,0))</f>
        <v/>
      </c>
      <c r="N278" s="6">
        <f>IF(AND(K278="UNMAPPED",M278=1),ROW(),"")</f>
        <v/>
      </c>
      <c r="O278" s="6">
        <f>IF(AND(I278=1,M278=1),ROW(),"")</f>
        <v/>
      </c>
      <c r="P278" s="6">
        <f>IF(AND(K278="ignored",M278=1),ROW(),"")</f>
        <v/>
      </c>
    </row>
    <row r="279">
      <c r="A279" s="8" t="n"/>
      <c r="B279" s="8" t="n"/>
      <c r="C279" s="6">
        <f>TRIM(A279&amp;"")</f>
        <v/>
      </c>
      <c r="D279" s="6">
        <f>IF(C279="","",SUBSTITUTE(SUBSTITUTE(SUBSTITUTE(SUBSTITUTE(SUBSTITUTE(SUBSTITUTE(SUBSTITUTE(UPPER(TRIM(B279&amp;"")),"₹",""),"RS.",""),"RS",""),"INR",""),"$",""),",","")," ",""))</f>
        <v/>
      </c>
      <c r="E279" s="6">
        <f>IF(C279="","",IF(RIGHT(D279,2)="CR","Cr",IF(RIGHT(D279,2)="DR","Dr","")))</f>
        <v/>
      </c>
      <c r="F279" s="6">
        <f>IF(C279="","",IF(E279&lt;&gt;"",LEFT(D279,LEN(D279)-2),D279))</f>
        <v/>
      </c>
      <c r="G279" s="13">
        <f>IF(C279="","",IF(OR(IF(AND(LEFT(F279,1)="(",RIGHT(F279,1)=")"),MID(F279,2,LEN(F279)-2),F279)="",IF(AND(LEFT(F279,1)="(",RIGHT(F279,1)=")"),MID(F279,2,LEN(F279)-2),F279)="-"),0,IFERROR(VALUE(IF(AND(LEFT(F279,1)="(",RIGHT(F279,1)=")"),MID(F279,2,LEN(F279)-2),F279))*IF(AND(LEFT(F279,1)="(",RIGHT(F279,1)=")"),-1,1)*IF(E279="Cr",Setup!$B$6,1),"ERR")))</f>
        <v/>
      </c>
      <c r="H279" s="6">
        <f>IF(C279="","",IF(ISNUMBER(G279),1,0))</f>
        <v/>
      </c>
      <c r="I279" s="6">
        <f>IF(C279="","",IF(SUMPRODUCT(($C$12:$C$1511=C279)*1)&gt;1,1,0))</f>
        <v/>
      </c>
      <c r="J279" s="6">
        <f>IF(C279="","",SUMPRODUCT((Mapping!$F$5:$F$504=Setup!$B$4&amp;"||"&amp;C279)*ROW(Mapping!$F$5:$F$504)))</f>
        <v/>
      </c>
      <c r="K279" s="6">
        <f>IF(C279="","",IF(J279=0,"UNMAPPED",LOWER(INDEX(Mapping!$D$1:$D$504,J279))))</f>
        <v/>
      </c>
      <c r="L279" s="6">
        <f>IF(K279="mapped",TRIM(INDEX(Mapping!$C$1:$C$504,J279)),"")</f>
        <v/>
      </c>
      <c r="M279" s="6">
        <f>IF(C279="","",IF(SUMPRODUCT(($C$12:C279=C279)*1)=1,1,0))</f>
        <v/>
      </c>
      <c r="N279" s="6">
        <f>IF(AND(K279="UNMAPPED",M279=1),ROW(),"")</f>
        <v/>
      </c>
      <c r="O279" s="6">
        <f>IF(AND(I279=1,M279=1),ROW(),"")</f>
        <v/>
      </c>
      <c r="P279" s="6">
        <f>IF(AND(K279="ignored",M279=1),ROW(),"")</f>
        <v/>
      </c>
    </row>
    <row r="280">
      <c r="A280" s="8" t="n"/>
      <c r="B280" s="8" t="n"/>
      <c r="C280" s="6">
        <f>TRIM(A280&amp;"")</f>
        <v/>
      </c>
      <c r="D280" s="6">
        <f>IF(C280="","",SUBSTITUTE(SUBSTITUTE(SUBSTITUTE(SUBSTITUTE(SUBSTITUTE(SUBSTITUTE(SUBSTITUTE(UPPER(TRIM(B280&amp;"")),"₹",""),"RS.",""),"RS",""),"INR",""),"$",""),",","")," ",""))</f>
        <v/>
      </c>
      <c r="E280" s="6">
        <f>IF(C280="","",IF(RIGHT(D280,2)="CR","Cr",IF(RIGHT(D280,2)="DR","Dr","")))</f>
        <v/>
      </c>
      <c r="F280" s="6">
        <f>IF(C280="","",IF(E280&lt;&gt;"",LEFT(D280,LEN(D280)-2),D280))</f>
        <v/>
      </c>
      <c r="G280" s="13">
        <f>IF(C280="","",IF(OR(IF(AND(LEFT(F280,1)="(",RIGHT(F280,1)=")"),MID(F280,2,LEN(F280)-2),F280)="",IF(AND(LEFT(F280,1)="(",RIGHT(F280,1)=")"),MID(F280,2,LEN(F280)-2),F280)="-"),0,IFERROR(VALUE(IF(AND(LEFT(F280,1)="(",RIGHT(F280,1)=")"),MID(F280,2,LEN(F280)-2),F280))*IF(AND(LEFT(F280,1)="(",RIGHT(F280,1)=")"),-1,1)*IF(E280="Cr",Setup!$B$6,1),"ERR")))</f>
        <v/>
      </c>
      <c r="H280" s="6">
        <f>IF(C280="","",IF(ISNUMBER(G280),1,0))</f>
        <v/>
      </c>
      <c r="I280" s="6">
        <f>IF(C280="","",IF(SUMPRODUCT(($C$12:$C$1511=C280)*1)&gt;1,1,0))</f>
        <v/>
      </c>
      <c r="J280" s="6">
        <f>IF(C280="","",SUMPRODUCT((Mapping!$F$5:$F$504=Setup!$B$4&amp;"||"&amp;C280)*ROW(Mapping!$F$5:$F$504)))</f>
        <v/>
      </c>
      <c r="K280" s="6">
        <f>IF(C280="","",IF(J280=0,"UNMAPPED",LOWER(INDEX(Mapping!$D$1:$D$504,J280))))</f>
        <v/>
      </c>
      <c r="L280" s="6">
        <f>IF(K280="mapped",TRIM(INDEX(Mapping!$C$1:$C$504,J280)),"")</f>
        <v/>
      </c>
      <c r="M280" s="6">
        <f>IF(C280="","",IF(SUMPRODUCT(($C$12:C280=C280)*1)=1,1,0))</f>
        <v/>
      </c>
      <c r="N280" s="6">
        <f>IF(AND(K280="UNMAPPED",M280=1),ROW(),"")</f>
        <v/>
      </c>
      <c r="O280" s="6">
        <f>IF(AND(I280=1,M280=1),ROW(),"")</f>
        <v/>
      </c>
      <c r="P280" s="6">
        <f>IF(AND(K280="ignored",M280=1),ROW(),"")</f>
        <v/>
      </c>
    </row>
    <row r="281">
      <c r="A281" s="8" t="n"/>
      <c r="B281" s="8" t="n"/>
      <c r="C281" s="6">
        <f>TRIM(A281&amp;"")</f>
        <v/>
      </c>
      <c r="D281" s="6">
        <f>IF(C281="","",SUBSTITUTE(SUBSTITUTE(SUBSTITUTE(SUBSTITUTE(SUBSTITUTE(SUBSTITUTE(SUBSTITUTE(UPPER(TRIM(B281&amp;"")),"₹",""),"RS.",""),"RS",""),"INR",""),"$",""),",","")," ",""))</f>
        <v/>
      </c>
      <c r="E281" s="6">
        <f>IF(C281="","",IF(RIGHT(D281,2)="CR","Cr",IF(RIGHT(D281,2)="DR","Dr","")))</f>
        <v/>
      </c>
      <c r="F281" s="6">
        <f>IF(C281="","",IF(E281&lt;&gt;"",LEFT(D281,LEN(D281)-2),D281))</f>
        <v/>
      </c>
      <c r="G281" s="13">
        <f>IF(C281="","",IF(OR(IF(AND(LEFT(F281,1)="(",RIGHT(F281,1)=")"),MID(F281,2,LEN(F281)-2),F281)="",IF(AND(LEFT(F281,1)="(",RIGHT(F281,1)=")"),MID(F281,2,LEN(F281)-2),F281)="-"),0,IFERROR(VALUE(IF(AND(LEFT(F281,1)="(",RIGHT(F281,1)=")"),MID(F281,2,LEN(F281)-2),F281))*IF(AND(LEFT(F281,1)="(",RIGHT(F281,1)=")"),-1,1)*IF(E281="Cr",Setup!$B$6,1),"ERR")))</f>
        <v/>
      </c>
      <c r="H281" s="6">
        <f>IF(C281="","",IF(ISNUMBER(G281),1,0))</f>
        <v/>
      </c>
      <c r="I281" s="6">
        <f>IF(C281="","",IF(SUMPRODUCT(($C$12:$C$1511=C281)*1)&gt;1,1,0))</f>
        <v/>
      </c>
      <c r="J281" s="6">
        <f>IF(C281="","",SUMPRODUCT((Mapping!$F$5:$F$504=Setup!$B$4&amp;"||"&amp;C281)*ROW(Mapping!$F$5:$F$504)))</f>
        <v/>
      </c>
      <c r="K281" s="6">
        <f>IF(C281="","",IF(J281=0,"UNMAPPED",LOWER(INDEX(Mapping!$D$1:$D$504,J281))))</f>
        <v/>
      </c>
      <c r="L281" s="6">
        <f>IF(K281="mapped",TRIM(INDEX(Mapping!$C$1:$C$504,J281)),"")</f>
        <v/>
      </c>
      <c r="M281" s="6">
        <f>IF(C281="","",IF(SUMPRODUCT(($C$12:C281=C281)*1)=1,1,0))</f>
        <v/>
      </c>
      <c r="N281" s="6">
        <f>IF(AND(K281="UNMAPPED",M281=1),ROW(),"")</f>
        <v/>
      </c>
      <c r="O281" s="6">
        <f>IF(AND(I281=1,M281=1),ROW(),"")</f>
        <v/>
      </c>
      <c r="P281" s="6">
        <f>IF(AND(K281="ignored",M281=1),ROW(),"")</f>
        <v/>
      </c>
    </row>
    <row r="282">
      <c r="A282" s="8" t="n"/>
      <c r="B282" s="8" t="n"/>
      <c r="C282" s="6">
        <f>TRIM(A282&amp;"")</f>
        <v/>
      </c>
      <c r="D282" s="6">
        <f>IF(C282="","",SUBSTITUTE(SUBSTITUTE(SUBSTITUTE(SUBSTITUTE(SUBSTITUTE(SUBSTITUTE(SUBSTITUTE(UPPER(TRIM(B282&amp;"")),"₹",""),"RS.",""),"RS",""),"INR",""),"$",""),",","")," ",""))</f>
        <v/>
      </c>
      <c r="E282" s="6">
        <f>IF(C282="","",IF(RIGHT(D282,2)="CR","Cr",IF(RIGHT(D282,2)="DR","Dr","")))</f>
        <v/>
      </c>
      <c r="F282" s="6">
        <f>IF(C282="","",IF(E282&lt;&gt;"",LEFT(D282,LEN(D282)-2),D282))</f>
        <v/>
      </c>
      <c r="G282" s="13">
        <f>IF(C282="","",IF(OR(IF(AND(LEFT(F282,1)="(",RIGHT(F282,1)=")"),MID(F282,2,LEN(F282)-2),F282)="",IF(AND(LEFT(F282,1)="(",RIGHT(F282,1)=")"),MID(F282,2,LEN(F282)-2),F282)="-"),0,IFERROR(VALUE(IF(AND(LEFT(F282,1)="(",RIGHT(F282,1)=")"),MID(F282,2,LEN(F282)-2),F282))*IF(AND(LEFT(F282,1)="(",RIGHT(F282,1)=")"),-1,1)*IF(E282="Cr",Setup!$B$6,1),"ERR")))</f>
        <v/>
      </c>
      <c r="H282" s="6">
        <f>IF(C282="","",IF(ISNUMBER(G282),1,0))</f>
        <v/>
      </c>
      <c r="I282" s="6">
        <f>IF(C282="","",IF(SUMPRODUCT(($C$12:$C$1511=C282)*1)&gt;1,1,0))</f>
        <v/>
      </c>
      <c r="J282" s="6">
        <f>IF(C282="","",SUMPRODUCT((Mapping!$F$5:$F$504=Setup!$B$4&amp;"||"&amp;C282)*ROW(Mapping!$F$5:$F$504)))</f>
        <v/>
      </c>
      <c r="K282" s="6">
        <f>IF(C282="","",IF(J282=0,"UNMAPPED",LOWER(INDEX(Mapping!$D$1:$D$504,J282))))</f>
        <v/>
      </c>
      <c r="L282" s="6">
        <f>IF(K282="mapped",TRIM(INDEX(Mapping!$C$1:$C$504,J282)),"")</f>
        <v/>
      </c>
      <c r="M282" s="6">
        <f>IF(C282="","",IF(SUMPRODUCT(($C$12:C282=C282)*1)=1,1,0))</f>
        <v/>
      </c>
      <c r="N282" s="6">
        <f>IF(AND(K282="UNMAPPED",M282=1),ROW(),"")</f>
        <v/>
      </c>
      <c r="O282" s="6">
        <f>IF(AND(I282=1,M282=1),ROW(),"")</f>
        <v/>
      </c>
      <c r="P282" s="6">
        <f>IF(AND(K282="ignored",M282=1),ROW(),"")</f>
        <v/>
      </c>
    </row>
    <row r="283">
      <c r="A283" s="8" t="n"/>
      <c r="B283" s="8" t="n"/>
      <c r="C283" s="6">
        <f>TRIM(A283&amp;"")</f>
        <v/>
      </c>
      <c r="D283" s="6">
        <f>IF(C283="","",SUBSTITUTE(SUBSTITUTE(SUBSTITUTE(SUBSTITUTE(SUBSTITUTE(SUBSTITUTE(SUBSTITUTE(UPPER(TRIM(B283&amp;"")),"₹",""),"RS.",""),"RS",""),"INR",""),"$",""),",","")," ",""))</f>
        <v/>
      </c>
      <c r="E283" s="6">
        <f>IF(C283="","",IF(RIGHT(D283,2)="CR","Cr",IF(RIGHT(D283,2)="DR","Dr","")))</f>
        <v/>
      </c>
      <c r="F283" s="6">
        <f>IF(C283="","",IF(E283&lt;&gt;"",LEFT(D283,LEN(D283)-2),D283))</f>
        <v/>
      </c>
      <c r="G283" s="13">
        <f>IF(C283="","",IF(OR(IF(AND(LEFT(F283,1)="(",RIGHT(F283,1)=")"),MID(F283,2,LEN(F283)-2),F283)="",IF(AND(LEFT(F283,1)="(",RIGHT(F283,1)=")"),MID(F283,2,LEN(F283)-2),F283)="-"),0,IFERROR(VALUE(IF(AND(LEFT(F283,1)="(",RIGHT(F283,1)=")"),MID(F283,2,LEN(F283)-2),F283))*IF(AND(LEFT(F283,1)="(",RIGHT(F283,1)=")"),-1,1)*IF(E283="Cr",Setup!$B$6,1),"ERR")))</f>
        <v/>
      </c>
      <c r="H283" s="6">
        <f>IF(C283="","",IF(ISNUMBER(G283),1,0))</f>
        <v/>
      </c>
      <c r="I283" s="6">
        <f>IF(C283="","",IF(SUMPRODUCT(($C$12:$C$1511=C283)*1)&gt;1,1,0))</f>
        <v/>
      </c>
      <c r="J283" s="6">
        <f>IF(C283="","",SUMPRODUCT((Mapping!$F$5:$F$504=Setup!$B$4&amp;"||"&amp;C283)*ROW(Mapping!$F$5:$F$504)))</f>
        <v/>
      </c>
      <c r="K283" s="6">
        <f>IF(C283="","",IF(J283=0,"UNMAPPED",LOWER(INDEX(Mapping!$D$1:$D$504,J283))))</f>
        <v/>
      </c>
      <c r="L283" s="6">
        <f>IF(K283="mapped",TRIM(INDEX(Mapping!$C$1:$C$504,J283)),"")</f>
        <v/>
      </c>
      <c r="M283" s="6">
        <f>IF(C283="","",IF(SUMPRODUCT(($C$12:C283=C283)*1)=1,1,0))</f>
        <v/>
      </c>
      <c r="N283" s="6">
        <f>IF(AND(K283="UNMAPPED",M283=1),ROW(),"")</f>
        <v/>
      </c>
      <c r="O283" s="6">
        <f>IF(AND(I283=1,M283=1),ROW(),"")</f>
        <v/>
      </c>
      <c r="P283" s="6">
        <f>IF(AND(K283="ignored",M283=1),ROW(),"")</f>
        <v/>
      </c>
    </row>
    <row r="284">
      <c r="A284" s="8" t="n"/>
      <c r="B284" s="8" t="n"/>
      <c r="C284" s="6">
        <f>TRIM(A284&amp;"")</f>
        <v/>
      </c>
      <c r="D284" s="6">
        <f>IF(C284="","",SUBSTITUTE(SUBSTITUTE(SUBSTITUTE(SUBSTITUTE(SUBSTITUTE(SUBSTITUTE(SUBSTITUTE(UPPER(TRIM(B284&amp;"")),"₹",""),"RS.",""),"RS",""),"INR",""),"$",""),",","")," ",""))</f>
        <v/>
      </c>
      <c r="E284" s="6">
        <f>IF(C284="","",IF(RIGHT(D284,2)="CR","Cr",IF(RIGHT(D284,2)="DR","Dr","")))</f>
        <v/>
      </c>
      <c r="F284" s="6">
        <f>IF(C284="","",IF(E284&lt;&gt;"",LEFT(D284,LEN(D284)-2),D284))</f>
        <v/>
      </c>
      <c r="G284" s="13">
        <f>IF(C284="","",IF(OR(IF(AND(LEFT(F284,1)="(",RIGHT(F284,1)=")"),MID(F284,2,LEN(F284)-2),F284)="",IF(AND(LEFT(F284,1)="(",RIGHT(F284,1)=")"),MID(F284,2,LEN(F284)-2),F284)="-"),0,IFERROR(VALUE(IF(AND(LEFT(F284,1)="(",RIGHT(F284,1)=")"),MID(F284,2,LEN(F284)-2),F284))*IF(AND(LEFT(F284,1)="(",RIGHT(F284,1)=")"),-1,1)*IF(E284="Cr",Setup!$B$6,1),"ERR")))</f>
        <v/>
      </c>
      <c r="H284" s="6">
        <f>IF(C284="","",IF(ISNUMBER(G284),1,0))</f>
        <v/>
      </c>
      <c r="I284" s="6">
        <f>IF(C284="","",IF(SUMPRODUCT(($C$12:$C$1511=C284)*1)&gt;1,1,0))</f>
        <v/>
      </c>
      <c r="J284" s="6">
        <f>IF(C284="","",SUMPRODUCT((Mapping!$F$5:$F$504=Setup!$B$4&amp;"||"&amp;C284)*ROW(Mapping!$F$5:$F$504)))</f>
        <v/>
      </c>
      <c r="K284" s="6">
        <f>IF(C284="","",IF(J284=0,"UNMAPPED",LOWER(INDEX(Mapping!$D$1:$D$504,J284))))</f>
        <v/>
      </c>
      <c r="L284" s="6">
        <f>IF(K284="mapped",TRIM(INDEX(Mapping!$C$1:$C$504,J284)),"")</f>
        <v/>
      </c>
      <c r="M284" s="6">
        <f>IF(C284="","",IF(SUMPRODUCT(($C$12:C284=C284)*1)=1,1,0))</f>
        <v/>
      </c>
      <c r="N284" s="6">
        <f>IF(AND(K284="UNMAPPED",M284=1),ROW(),"")</f>
        <v/>
      </c>
      <c r="O284" s="6">
        <f>IF(AND(I284=1,M284=1),ROW(),"")</f>
        <v/>
      </c>
      <c r="P284" s="6">
        <f>IF(AND(K284="ignored",M284=1),ROW(),"")</f>
        <v/>
      </c>
    </row>
    <row r="285">
      <c r="A285" s="8" t="n"/>
      <c r="B285" s="8" t="n"/>
      <c r="C285" s="6">
        <f>TRIM(A285&amp;"")</f>
        <v/>
      </c>
      <c r="D285" s="6">
        <f>IF(C285="","",SUBSTITUTE(SUBSTITUTE(SUBSTITUTE(SUBSTITUTE(SUBSTITUTE(SUBSTITUTE(SUBSTITUTE(UPPER(TRIM(B285&amp;"")),"₹",""),"RS.",""),"RS",""),"INR",""),"$",""),",","")," ",""))</f>
        <v/>
      </c>
      <c r="E285" s="6">
        <f>IF(C285="","",IF(RIGHT(D285,2)="CR","Cr",IF(RIGHT(D285,2)="DR","Dr","")))</f>
        <v/>
      </c>
      <c r="F285" s="6">
        <f>IF(C285="","",IF(E285&lt;&gt;"",LEFT(D285,LEN(D285)-2),D285))</f>
        <v/>
      </c>
      <c r="G285" s="13">
        <f>IF(C285="","",IF(OR(IF(AND(LEFT(F285,1)="(",RIGHT(F285,1)=")"),MID(F285,2,LEN(F285)-2),F285)="",IF(AND(LEFT(F285,1)="(",RIGHT(F285,1)=")"),MID(F285,2,LEN(F285)-2),F285)="-"),0,IFERROR(VALUE(IF(AND(LEFT(F285,1)="(",RIGHT(F285,1)=")"),MID(F285,2,LEN(F285)-2),F285))*IF(AND(LEFT(F285,1)="(",RIGHT(F285,1)=")"),-1,1)*IF(E285="Cr",Setup!$B$6,1),"ERR")))</f>
        <v/>
      </c>
      <c r="H285" s="6">
        <f>IF(C285="","",IF(ISNUMBER(G285),1,0))</f>
        <v/>
      </c>
      <c r="I285" s="6">
        <f>IF(C285="","",IF(SUMPRODUCT(($C$12:$C$1511=C285)*1)&gt;1,1,0))</f>
        <v/>
      </c>
      <c r="J285" s="6">
        <f>IF(C285="","",SUMPRODUCT((Mapping!$F$5:$F$504=Setup!$B$4&amp;"||"&amp;C285)*ROW(Mapping!$F$5:$F$504)))</f>
        <v/>
      </c>
      <c r="K285" s="6">
        <f>IF(C285="","",IF(J285=0,"UNMAPPED",LOWER(INDEX(Mapping!$D$1:$D$504,J285))))</f>
        <v/>
      </c>
      <c r="L285" s="6">
        <f>IF(K285="mapped",TRIM(INDEX(Mapping!$C$1:$C$504,J285)),"")</f>
        <v/>
      </c>
      <c r="M285" s="6">
        <f>IF(C285="","",IF(SUMPRODUCT(($C$12:C285=C285)*1)=1,1,0))</f>
        <v/>
      </c>
      <c r="N285" s="6">
        <f>IF(AND(K285="UNMAPPED",M285=1),ROW(),"")</f>
        <v/>
      </c>
      <c r="O285" s="6">
        <f>IF(AND(I285=1,M285=1),ROW(),"")</f>
        <v/>
      </c>
      <c r="P285" s="6">
        <f>IF(AND(K285="ignored",M285=1),ROW(),"")</f>
        <v/>
      </c>
    </row>
    <row r="286">
      <c r="A286" s="8" t="n"/>
      <c r="B286" s="8" t="n"/>
      <c r="C286" s="6">
        <f>TRIM(A286&amp;"")</f>
        <v/>
      </c>
      <c r="D286" s="6">
        <f>IF(C286="","",SUBSTITUTE(SUBSTITUTE(SUBSTITUTE(SUBSTITUTE(SUBSTITUTE(SUBSTITUTE(SUBSTITUTE(UPPER(TRIM(B286&amp;"")),"₹",""),"RS.",""),"RS",""),"INR",""),"$",""),",","")," ",""))</f>
        <v/>
      </c>
      <c r="E286" s="6">
        <f>IF(C286="","",IF(RIGHT(D286,2)="CR","Cr",IF(RIGHT(D286,2)="DR","Dr","")))</f>
        <v/>
      </c>
      <c r="F286" s="6">
        <f>IF(C286="","",IF(E286&lt;&gt;"",LEFT(D286,LEN(D286)-2),D286))</f>
        <v/>
      </c>
      <c r="G286" s="13">
        <f>IF(C286="","",IF(OR(IF(AND(LEFT(F286,1)="(",RIGHT(F286,1)=")"),MID(F286,2,LEN(F286)-2),F286)="",IF(AND(LEFT(F286,1)="(",RIGHT(F286,1)=")"),MID(F286,2,LEN(F286)-2),F286)="-"),0,IFERROR(VALUE(IF(AND(LEFT(F286,1)="(",RIGHT(F286,1)=")"),MID(F286,2,LEN(F286)-2),F286))*IF(AND(LEFT(F286,1)="(",RIGHT(F286,1)=")"),-1,1)*IF(E286="Cr",Setup!$B$6,1),"ERR")))</f>
        <v/>
      </c>
      <c r="H286" s="6">
        <f>IF(C286="","",IF(ISNUMBER(G286),1,0))</f>
        <v/>
      </c>
      <c r="I286" s="6">
        <f>IF(C286="","",IF(SUMPRODUCT(($C$12:$C$1511=C286)*1)&gt;1,1,0))</f>
        <v/>
      </c>
      <c r="J286" s="6">
        <f>IF(C286="","",SUMPRODUCT((Mapping!$F$5:$F$504=Setup!$B$4&amp;"||"&amp;C286)*ROW(Mapping!$F$5:$F$504)))</f>
        <v/>
      </c>
      <c r="K286" s="6">
        <f>IF(C286="","",IF(J286=0,"UNMAPPED",LOWER(INDEX(Mapping!$D$1:$D$504,J286))))</f>
        <v/>
      </c>
      <c r="L286" s="6">
        <f>IF(K286="mapped",TRIM(INDEX(Mapping!$C$1:$C$504,J286)),"")</f>
        <v/>
      </c>
      <c r="M286" s="6">
        <f>IF(C286="","",IF(SUMPRODUCT(($C$12:C286=C286)*1)=1,1,0))</f>
        <v/>
      </c>
      <c r="N286" s="6">
        <f>IF(AND(K286="UNMAPPED",M286=1),ROW(),"")</f>
        <v/>
      </c>
      <c r="O286" s="6">
        <f>IF(AND(I286=1,M286=1),ROW(),"")</f>
        <v/>
      </c>
      <c r="P286" s="6">
        <f>IF(AND(K286="ignored",M286=1),ROW(),"")</f>
        <v/>
      </c>
    </row>
    <row r="287">
      <c r="A287" s="8" t="n"/>
      <c r="B287" s="8" t="n"/>
      <c r="C287" s="6">
        <f>TRIM(A287&amp;"")</f>
        <v/>
      </c>
      <c r="D287" s="6">
        <f>IF(C287="","",SUBSTITUTE(SUBSTITUTE(SUBSTITUTE(SUBSTITUTE(SUBSTITUTE(SUBSTITUTE(SUBSTITUTE(UPPER(TRIM(B287&amp;"")),"₹",""),"RS.",""),"RS",""),"INR",""),"$",""),",","")," ",""))</f>
        <v/>
      </c>
      <c r="E287" s="6">
        <f>IF(C287="","",IF(RIGHT(D287,2)="CR","Cr",IF(RIGHT(D287,2)="DR","Dr","")))</f>
        <v/>
      </c>
      <c r="F287" s="6">
        <f>IF(C287="","",IF(E287&lt;&gt;"",LEFT(D287,LEN(D287)-2),D287))</f>
        <v/>
      </c>
      <c r="G287" s="13">
        <f>IF(C287="","",IF(OR(IF(AND(LEFT(F287,1)="(",RIGHT(F287,1)=")"),MID(F287,2,LEN(F287)-2),F287)="",IF(AND(LEFT(F287,1)="(",RIGHT(F287,1)=")"),MID(F287,2,LEN(F287)-2),F287)="-"),0,IFERROR(VALUE(IF(AND(LEFT(F287,1)="(",RIGHT(F287,1)=")"),MID(F287,2,LEN(F287)-2),F287))*IF(AND(LEFT(F287,1)="(",RIGHT(F287,1)=")"),-1,1)*IF(E287="Cr",Setup!$B$6,1),"ERR")))</f>
        <v/>
      </c>
      <c r="H287" s="6">
        <f>IF(C287="","",IF(ISNUMBER(G287),1,0))</f>
        <v/>
      </c>
      <c r="I287" s="6">
        <f>IF(C287="","",IF(SUMPRODUCT(($C$12:$C$1511=C287)*1)&gt;1,1,0))</f>
        <v/>
      </c>
      <c r="J287" s="6">
        <f>IF(C287="","",SUMPRODUCT((Mapping!$F$5:$F$504=Setup!$B$4&amp;"||"&amp;C287)*ROW(Mapping!$F$5:$F$504)))</f>
        <v/>
      </c>
      <c r="K287" s="6">
        <f>IF(C287="","",IF(J287=0,"UNMAPPED",LOWER(INDEX(Mapping!$D$1:$D$504,J287))))</f>
        <v/>
      </c>
      <c r="L287" s="6">
        <f>IF(K287="mapped",TRIM(INDEX(Mapping!$C$1:$C$504,J287)),"")</f>
        <v/>
      </c>
      <c r="M287" s="6">
        <f>IF(C287="","",IF(SUMPRODUCT(($C$12:C287=C287)*1)=1,1,0))</f>
        <v/>
      </c>
      <c r="N287" s="6">
        <f>IF(AND(K287="UNMAPPED",M287=1),ROW(),"")</f>
        <v/>
      </c>
      <c r="O287" s="6">
        <f>IF(AND(I287=1,M287=1),ROW(),"")</f>
        <v/>
      </c>
      <c r="P287" s="6">
        <f>IF(AND(K287="ignored",M287=1),ROW(),"")</f>
        <v/>
      </c>
    </row>
    <row r="288">
      <c r="A288" s="8" t="n"/>
      <c r="B288" s="8" t="n"/>
      <c r="C288" s="6">
        <f>TRIM(A288&amp;"")</f>
        <v/>
      </c>
      <c r="D288" s="6">
        <f>IF(C288="","",SUBSTITUTE(SUBSTITUTE(SUBSTITUTE(SUBSTITUTE(SUBSTITUTE(SUBSTITUTE(SUBSTITUTE(UPPER(TRIM(B288&amp;"")),"₹",""),"RS.",""),"RS",""),"INR",""),"$",""),",","")," ",""))</f>
        <v/>
      </c>
      <c r="E288" s="6">
        <f>IF(C288="","",IF(RIGHT(D288,2)="CR","Cr",IF(RIGHT(D288,2)="DR","Dr","")))</f>
        <v/>
      </c>
      <c r="F288" s="6">
        <f>IF(C288="","",IF(E288&lt;&gt;"",LEFT(D288,LEN(D288)-2),D288))</f>
        <v/>
      </c>
      <c r="G288" s="13">
        <f>IF(C288="","",IF(OR(IF(AND(LEFT(F288,1)="(",RIGHT(F288,1)=")"),MID(F288,2,LEN(F288)-2),F288)="",IF(AND(LEFT(F288,1)="(",RIGHT(F288,1)=")"),MID(F288,2,LEN(F288)-2),F288)="-"),0,IFERROR(VALUE(IF(AND(LEFT(F288,1)="(",RIGHT(F288,1)=")"),MID(F288,2,LEN(F288)-2),F288))*IF(AND(LEFT(F288,1)="(",RIGHT(F288,1)=")"),-1,1)*IF(E288="Cr",Setup!$B$6,1),"ERR")))</f>
        <v/>
      </c>
      <c r="H288" s="6">
        <f>IF(C288="","",IF(ISNUMBER(G288),1,0))</f>
        <v/>
      </c>
      <c r="I288" s="6">
        <f>IF(C288="","",IF(SUMPRODUCT(($C$12:$C$1511=C288)*1)&gt;1,1,0))</f>
        <v/>
      </c>
      <c r="J288" s="6">
        <f>IF(C288="","",SUMPRODUCT((Mapping!$F$5:$F$504=Setup!$B$4&amp;"||"&amp;C288)*ROW(Mapping!$F$5:$F$504)))</f>
        <v/>
      </c>
      <c r="K288" s="6">
        <f>IF(C288="","",IF(J288=0,"UNMAPPED",LOWER(INDEX(Mapping!$D$1:$D$504,J288))))</f>
        <v/>
      </c>
      <c r="L288" s="6">
        <f>IF(K288="mapped",TRIM(INDEX(Mapping!$C$1:$C$504,J288)),"")</f>
        <v/>
      </c>
      <c r="M288" s="6">
        <f>IF(C288="","",IF(SUMPRODUCT(($C$12:C288=C288)*1)=1,1,0))</f>
        <v/>
      </c>
      <c r="N288" s="6">
        <f>IF(AND(K288="UNMAPPED",M288=1),ROW(),"")</f>
        <v/>
      </c>
      <c r="O288" s="6">
        <f>IF(AND(I288=1,M288=1),ROW(),"")</f>
        <v/>
      </c>
      <c r="P288" s="6">
        <f>IF(AND(K288="ignored",M288=1),ROW(),"")</f>
        <v/>
      </c>
    </row>
    <row r="289">
      <c r="A289" s="8" t="n"/>
      <c r="B289" s="8" t="n"/>
      <c r="C289" s="6">
        <f>TRIM(A289&amp;"")</f>
        <v/>
      </c>
      <c r="D289" s="6">
        <f>IF(C289="","",SUBSTITUTE(SUBSTITUTE(SUBSTITUTE(SUBSTITUTE(SUBSTITUTE(SUBSTITUTE(SUBSTITUTE(UPPER(TRIM(B289&amp;"")),"₹",""),"RS.",""),"RS",""),"INR",""),"$",""),",","")," ",""))</f>
        <v/>
      </c>
      <c r="E289" s="6">
        <f>IF(C289="","",IF(RIGHT(D289,2)="CR","Cr",IF(RIGHT(D289,2)="DR","Dr","")))</f>
        <v/>
      </c>
      <c r="F289" s="6">
        <f>IF(C289="","",IF(E289&lt;&gt;"",LEFT(D289,LEN(D289)-2),D289))</f>
        <v/>
      </c>
      <c r="G289" s="13">
        <f>IF(C289="","",IF(OR(IF(AND(LEFT(F289,1)="(",RIGHT(F289,1)=")"),MID(F289,2,LEN(F289)-2),F289)="",IF(AND(LEFT(F289,1)="(",RIGHT(F289,1)=")"),MID(F289,2,LEN(F289)-2),F289)="-"),0,IFERROR(VALUE(IF(AND(LEFT(F289,1)="(",RIGHT(F289,1)=")"),MID(F289,2,LEN(F289)-2),F289))*IF(AND(LEFT(F289,1)="(",RIGHT(F289,1)=")"),-1,1)*IF(E289="Cr",Setup!$B$6,1),"ERR")))</f>
        <v/>
      </c>
      <c r="H289" s="6">
        <f>IF(C289="","",IF(ISNUMBER(G289),1,0))</f>
        <v/>
      </c>
      <c r="I289" s="6">
        <f>IF(C289="","",IF(SUMPRODUCT(($C$12:$C$1511=C289)*1)&gt;1,1,0))</f>
        <v/>
      </c>
      <c r="J289" s="6">
        <f>IF(C289="","",SUMPRODUCT((Mapping!$F$5:$F$504=Setup!$B$4&amp;"||"&amp;C289)*ROW(Mapping!$F$5:$F$504)))</f>
        <v/>
      </c>
      <c r="K289" s="6">
        <f>IF(C289="","",IF(J289=0,"UNMAPPED",LOWER(INDEX(Mapping!$D$1:$D$504,J289))))</f>
        <v/>
      </c>
      <c r="L289" s="6">
        <f>IF(K289="mapped",TRIM(INDEX(Mapping!$C$1:$C$504,J289)),"")</f>
        <v/>
      </c>
      <c r="M289" s="6">
        <f>IF(C289="","",IF(SUMPRODUCT(($C$12:C289=C289)*1)=1,1,0))</f>
        <v/>
      </c>
      <c r="N289" s="6">
        <f>IF(AND(K289="UNMAPPED",M289=1),ROW(),"")</f>
        <v/>
      </c>
      <c r="O289" s="6">
        <f>IF(AND(I289=1,M289=1),ROW(),"")</f>
        <v/>
      </c>
      <c r="P289" s="6">
        <f>IF(AND(K289="ignored",M289=1),ROW(),"")</f>
        <v/>
      </c>
    </row>
    <row r="290">
      <c r="A290" s="8" t="n"/>
      <c r="B290" s="8" t="n"/>
      <c r="C290" s="6">
        <f>TRIM(A290&amp;"")</f>
        <v/>
      </c>
      <c r="D290" s="6">
        <f>IF(C290="","",SUBSTITUTE(SUBSTITUTE(SUBSTITUTE(SUBSTITUTE(SUBSTITUTE(SUBSTITUTE(SUBSTITUTE(UPPER(TRIM(B290&amp;"")),"₹",""),"RS.",""),"RS",""),"INR",""),"$",""),",","")," ",""))</f>
        <v/>
      </c>
      <c r="E290" s="6">
        <f>IF(C290="","",IF(RIGHT(D290,2)="CR","Cr",IF(RIGHT(D290,2)="DR","Dr","")))</f>
        <v/>
      </c>
      <c r="F290" s="6">
        <f>IF(C290="","",IF(E290&lt;&gt;"",LEFT(D290,LEN(D290)-2),D290))</f>
        <v/>
      </c>
      <c r="G290" s="13">
        <f>IF(C290="","",IF(OR(IF(AND(LEFT(F290,1)="(",RIGHT(F290,1)=")"),MID(F290,2,LEN(F290)-2),F290)="",IF(AND(LEFT(F290,1)="(",RIGHT(F290,1)=")"),MID(F290,2,LEN(F290)-2),F290)="-"),0,IFERROR(VALUE(IF(AND(LEFT(F290,1)="(",RIGHT(F290,1)=")"),MID(F290,2,LEN(F290)-2),F290))*IF(AND(LEFT(F290,1)="(",RIGHT(F290,1)=")"),-1,1)*IF(E290="Cr",Setup!$B$6,1),"ERR")))</f>
        <v/>
      </c>
      <c r="H290" s="6">
        <f>IF(C290="","",IF(ISNUMBER(G290),1,0))</f>
        <v/>
      </c>
      <c r="I290" s="6">
        <f>IF(C290="","",IF(SUMPRODUCT(($C$12:$C$1511=C290)*1)&gt;1,1,0))</f>
        <v/>
      </c>
      <c r="J290" s="6">
        <f>IF(C290="","",SUMPRODUCT((Mapping!$F$5:$F$504=Setup!$B$4&amp;"||"&amp;C290)*ROW(Mapping!$F$5:$F$504)))</f>
        <v/>
      </c>
      <c r="K290" s="6">
        <f>IF(C290="","",IF(J290=0,"UNMAPPED",LOWER(INDEX(Mapping!$D$1:$D$504,J290))))</f>
        <v/>
      </c>
      <c r="L290" s="6">
        <f>IF(K290="mapped",TRIM(INDEX(Mapping!$C$1:$C$504,J290)),"")</f>
        <v/>
      </c>
      <c r="M290" s="6">
        <f>IF(C290="","",IF(SUMPRODUCT(($C$12:C290=C290)*1)=1,1,0))</f>
        <v/>
      </c>
      <c r="N290" s="6">
        <f>IF(AND(K290="UNMAPPED",M290=1),ROW(),"")</f>
        <v/>
      </c>
      <c r="O290" s="6">
        <f>IF(AND(I290=1,M290=1),ROW(),"")</f>
        <v/>
      </c>
      <c r="P290" s="6">
        <f>IF(AND(K290="ignored",M290=1),ROW(),"")</f>
        <v/>
      </c>
    </row>
    <row r="291">
      <c r="A291" s="8" t="n"/>
      <c r="B291" s="8" t="n"/>
      <c r="C291" s="6">
        <f>TRIM(A291&amp;"")</f>
        <v/>
      </c>
      <c r="D291" s="6">
        <f>IF(C291="","",SUBSTITUTE(SUBSTITUTE(SUBSTITUTE(SUBSTITUTE(SUBSTITUTE(SUBSTITUTE(SUBSTITUTE(UPPER(TRIM(B291&amp;"")),"₹",""),"RS.",""),"RS",""),"INR",""),"$",""),",","")," ",""))</f>
        <v/>
      </c>
      <c r="E291" s="6">
        <f>IF(C291="","",IF(RIGHT(D291,2)="CR","Cr",IF(RIGHT(D291,2)="DR","Dr","")))</f>
        <v/>
      </c>
      <c r="F291" s="6">
        <f>IF(C291="","",IF(E291&lt;&gt;"",LEFT(D291,LEN(D291)-2),D291))</f>
        <v/>
      </c>
      <c r="G291" s="13">
        <f>IF(C291="","",IF(OR(IF(AND(LEFT(F291,1)="(",RIGHT(F291,1)=")"),MID(F291,2,LEN(F291)-2),F291)="",IF(AND(LEFT(F291,1)="(",RIGHT(F291,1)=")"),MID(F291,2,LEN(F291)-2),F291)="-"),0,IFERROR(VALUE(IF(AND(LEFT(F291,1)="(",RIGHT(F291,1)=")"),MID(F291,2,LEN(F291)-2),F291))*IF(AND(LEFT(F291,1)="(",RIGHT(F291,1)=")"),-1,1)*IF(E291="Cr",Setup!$B$6,1),"ERR")))</f>
        <v/>
      </c>
      <c r="H291" s="6">
        <f>IF(C291="","",IF(ISNUMBER(G291),1,0))</f>
        <v/>
      </c>
      <c r="I291" s="6">
        <f>IF(C291="","",IF(SUMPRODUCT(($C$12:$C$1511=C291)*1)&gt;1,1,0))</f>
        <v/>
      </c>
      <c r="J291" s="6">
        <f>IF(C291="","",SUMPRODUCT((Mapping!$F$5:$F$504=Setup!$B$4&amp;"||"&amp;C291)*ROW(Mapping!$F$5:$F$504)))</f>
        <v/>
      </c>
      <c r="K291" s="6">
        <f>IF(C291="","",IF(J291=0,"UNMAPPED",LOWER(INDEX(Mapping!$D$1:$D$504,J291))))</f>
        <v/>
      </c>
      <c r="L291" s="6">
        <f>IF(K291="mapped",TRIM(INDEX(Mapping!$C$1:$C$504,J291)),"")</f>
        <v/>
      </c>
      <c r="M291" s="6">
        <f>IF(C291="","",IF(SUMPRODUCT(($C$12:C291=C291)*1)=1,1,0))</f>
        <v/>
      </c>
      <c r="N291" s="6">
        <f>IF(AND(K291="UNMAPPED",M291=1),ROW(),"")</f>
        <v/>
      </c>
      <c r="O291" s="6">
        <f>IF(AND(I291=1,M291=1),ROW(),"")</f>
        <v/>
      </c>
      <c r="P291" s="6">
        <f>IF(AND(K291="ignored",M291=1),ROW(),"")</f>
        <v/>
      </c>
    </row>
    <row r="292">
      <c r="A292" s="8" t="n"/>
      <c r="B292" s="8" t="n"/>
      <c r="C292" s="6">
        <f>TRIM(A292&amp;"")</f>
        <v/>
      </c>
      <c r="D292" s="6">
        <f>IF(C292="","",SUBSTITUTE(SUBSTITUTE(SUBSTITUTE(SUBSTITUTE(SUBSTITUTE(SUBSTITUTE(SUBSTITUTE(UPPER(TRIM(B292&amp;"")),"₹",""),"RS.",""),"RS",""),"INR",""),"$",""),",","")," ",""))</f>
        <v/>
      </c>
      <c r="E292" s="6">
        <f>IF(C292="","",IF(RIGHT(D292,2)="CR","Cr",IF(RIGHT(D292,2)="DR","Dr","")))</f>
        <v/>
      </c>
      <c r="F292" s="6">
        <f>IF(C292="","",IF(E292&lt;&gt;"",LEFT(D292,LEN(D292)-2),D292))</f>
        <v/>
      </c>
      <c r="G292" s="13">
        <f>IF(C292="","",IF(OR(IF(AND(LEFT(F292,1)="(",RIGHT(F292,1)=")"),MID(F292,2,LEN(F292)-2),F292)="",IF(AND(LEFT(F292,1)="(",RIGHT(F292,1)=")"),MID(F292,2,LEN(F292)-2),F292)="-"),0,IFERROR(VALUE(IF(AND(LEFT(F292,1)="(",RIGHT(F292,1)=")"),MID(F292,2,LEN(F292)-2),F292))*IF(AND(LEFT(F292,1)="(",RIGHT(F292,1)=")"),-1,1)*IF(E292="Cr",Setup!$B$6,1),"ERR")))</f>
        <v/>
      </c>
      <c r="H292" s="6">
        <f>IF(C292="","",IF(ISNUMBER(G292),1,0))</f>
        <v/>
      </c>
      <c r="I292" s="6">
        <f>IF(C292="","",IF(SUMPRODUCT(($C$12:$C$1511=C292)*1)&gt;1,1,0))</f>
        <v/>
      </c>
      <c r="J292" s="6">
        <f>IF(C292="","",SUMPRODUCT((Mapping!$F$5:$F$504=Setup!$B$4&amp;"||"&amp;C292)*ROW(Mapping!$F$5:$F$504)))</f>
        <v/>
      </c>
      <c r="K292" s="6">
        <f>IF(C292="","",IF(J292=0,"UNMAPPED",LOWER(INDEX(Mapping!$D$1:$D$504,J292))))</f>
        <v/>
      </c>
      <c r="L292" s="6">
        <f>IF(K292="mapped",TRIM(INDEX(Mapping!$C$1:$C$504,J292)),"")</f>
        <v/>
      </c>
      <c r="M292" s="6">
        <f>IF(C292="","",IF(SUMPRODUCT(($C$12:C292=C292)*1)=1,1,0))</f>
        <v/>
      </c>
      <c r="N292" s="6">
        <f>IF(AND(K292="UNMAPPED",M292=1),ROW(),"")</f>
        <v/>
      </c>
      <c r="O292" s="6">
        <f>IF(AND(I292=1,M292=1),ROW(),"")</f>
        <v/>
      </c>
      <c r="P292" s="6">
        <f>IF(AND(K292="ignored",M292=1),ROW(),"")</f>
        <v/>
      </c>
    </row>
    <row r="293">
      <c r="A293" s="8" t="n"/>
      <c r="B293" s="8" t="n"/>
      <c r="C293" s="6">
        <f>TRIM(A293&amp;"")</f>
        <v/>
      </c>
      <c r="D293" s="6">
        <f>IF(C293="","",SUBSTITUTE(SUBSTITUTE(SUBSTITUTE(SUBSTITUTE(SUBSTITUTE(SUBSTITUTE(SUBSTITUTE(UPPER(TRIM(B293&amp;"")),"₹",""),"RS.",""),"RS",""),"INR",""),"$",""),",","")," ",""))</f>
        <v/>
      </c>
      <c r="E293" s="6">
        <f>IF(C293="","",IF(RIGHT(D293,2)="CR","Cr",IF(RIGHT(D293,2)="DR","Dr","")))</f>
        <v/>
      </c>
      <c r="F293" s="6">
        <f>IF(C293="","",IF(E293&lt;&gt;"",LEFT(D293,LEN(D293)-2),D293))</f>
        <v/>
      </c>
      <c r="G293" s="13">
        <f>IF(C293="","",IF(OR(IF(AND(LEFT(F293,1)="(",RIGHT(F293,1)=")"),MID(F293,2,LEN(F293)-2),F293)="",IF(AND(LEFT(F293,1)="(",RIGHT(F293,1)=")"),MID(F293,2,LEN(F293)-2),F293)="-"),0,IFERROR(VALUE(IF(AND(LEFT(F293,1)="(",RIGHT(F293,1)=")"),MID(F293,2,LEN(F293)-2),F293))*IF(AND(LEFT(F293,1)="(",RIGHT(F293,1)=")"),-1,1)*IF(E293="Cr",Setup!$B$6,1),"ERR")))</f>
        <v/>
      </c>
      <c r="H293" s="6">
        <f>IF(C293="","",IF(ISNUMBER(G293),1,0))</f>
        <v/>
      </c>
      <c r="I293" s="6">
        <f>IF(C293="","",IF(SUMPRODUCT(($C$12:$C$1511=C293)*1)&gt;1,1,0))</f>
        <v/>
      </c>
      <c r="J293" s="6">
        <f>IF(C293="","",SUMPRODUCT((Mapping!$F$5:$F$504=Setup!$B$4&amp;"||"&amp;C293)*ROW(Mapping!$F$5:$F$504)))</f>
        <v/>
      </c>
      <c r="K293" s="6">
        <f>IF(C293="","",IF(J293=0,"UNMAPPED",LOWER(INDEX(Mapping!$D$1:$D$504,J293))))</f>
        <v/>
      </c>
      <c r="L293" s="6">
        <f>IF(K293="mapped",TRIM(INDEX(Mapping!$C$1:$C$504,J293)),"")</f>
        <v/>
      </c>
      <c r="M293" s="6">
        <f>IF(C293="","",IF(SUMPRODUCT(($C$12:C293=C293)*1)=1,1,0))</f>
        <v/>
      </c>
      <c r="N293" s="6">
        <f>IF(AND(K293="UNMAPPED",M293=1),ROW(),"")</f>
        <v/>
      </c>
      <c r="O293" s="6">
        <f>IF(AND(I293=1,M293=1),ROW(),"")</f>
        <v/>
      </c>
      <c r="P293" s="6">
        <f>IF(AND(K293="ignored",M293=1),ROW(),"")</f>
        <v/>
      </c>
    </row>
    <row r="294">
      <c r="A294" s="8" t="n"/>
      <c r="B294" s="8" t="n"/>
      <c r="C294" s="6">
        <f>TRIM(A294&amp;"")</f>
        <v/>
      </c>
      <c r="D294" s="6">
        <f>IF(C294="","",SUBSTITUTE(SUBSTITUTE(SUBSTITUTE(SUBSTITUTE(SUBSTITUTE(SUBSTITUTE(SUBSTITUTE(UPPER(TRIM(B294&amp;"")),"₹",""),"RS.",""),"RS",""),"INR",""),"$",""),",","")," ",""))</f>
        <v/>
      </c>
      <c r="E294" s="6">
        <f>IF(C294="","",IF(RIGHT(D294,2)="CR","Cr",IF(RIGHT(D294,2)="DR","Dr","")))</f>
        <v/>
      </c>
      <c r="F294" s="6">
        <f>IF(C294="","",IF(E294&lt;&gt;"",LEFT(D294,LEN(D294)-2),D294))</f>
        <v/>
      </c>
      <c r="G294" s="13">
        <f>IF(C294="","",IF(OR(IF(AND(LEFT(F294,1)="(",RIGHT(F294,1)=")"),MID(F294,2,LEN(F294)-2),F294)="",IF(AND(LEFT(F294,1)="(",RIGHT(F294,1)=")"),MID(F294,2,LEN(F294)-2),F294)="-"),0,IFERROR(VALUE(IF(AND(LEFT(F294,1)="(",RIGHT(F294,1)=")"),MID(F294,2,LEN(F294)-2),F294))*IF(AND(LEFT(F294,1)="(",RIGHT(F294,1)=")"),-1,1)*IF(E294="Cr",Setup!$B$6,1),"ERR")))</f>
        <v/>
      </c>
      <c r="H294" s="6">
        <f>IF(C294="","",IF(ISNUMBER(G294),1,0))</f>
        <v/>
      </c>
      <c r="I294" s="6">
        <f>IF(C294="","",IF(SUMPRODUCT(($C$12:$C$1511=C294)*1)&gt;1,1,0))</f>
        <v/>
      </c>
      <c r="J294" s="6">
        <f>IF(C294="","",SUMPRODUCT((Mapping!$F$5:$F$504=Setup!$B$4&amp;"||"&amp;C294)*ROW(Mapping!$F$5:$F$504)))</f>
        <v/>
      </c>
      <c r="K294" s="6">
        <f>IF(C294="","",IF(J294=0,"UNMAPPED",LOWER(INDEX(Mapping!$D$1:$D$504,J294))))</f>
        <v/>
      </c>
      <c r="L294" s="6">
        <f>IF(K294="mapped",TRIM(INDEX(Mapping!$C$1:$C$504,J294)),"")</f>
        <v/>
      </c>
      <c r="M294" s="6">
        <f>IF(C294="","",IF(SUMPRODUCT(($C$12:C294=C294)*1)=1,1,0))</f>
        <v/>
      </c>
      <c r="N294" s="6">
        <f>IF(AND(K294="UNMAPPED",M294=1),ROW(),"")</f>
        <v/>
      </c>
      <c r="O294" s="6">
        <f>IF(AND(I294=1,M294=1),ROW(),"")</f>
        <v/>
      </c>
      <c r="P294" s="6">
        <f>IF(AND(K294="ignored",M294=1),ROW(),"")</f>
        <v/>
      </c>
    </row>
    <row r="295">
      <c r="A295" s="8" t="n"/>
      <c r="B295" s="8" t="n"/>
      <c r="C295" s="6">
        <f>TRIM(A295&amp;"")</f>
        <v/>
      </c>
      <c r="D295" s="6">
        <f>IF(C295="","",SUBSTITUTE(SUBSTITUTE(SUBSTITUTE(SUBSTITUTE(SUBSTITUTE(SUBSTITUTE(SUBSTITUTE(UPPER(TRIM(B295&amp;"")),"₹",""),"RS.",""),"RS",""),"INR",""),"$",""),",","")," ",""))</f>
        <v/>
      </c>
      <c r="E295" s="6">
        <f>IF(C295="","",IF(RIGHT(D295,2)="CR","Cr",IF(RIGHT(D295,2)="DR","Dr","")))</f>
        <v/>
      </c>
      <c r="F295" s="6">
        <f>IF(C295="","",IF(E295&lt;&gt;"",LEFT(D295,LEN(D295)-2),D295))</f>
        <v/>
      </c>
      <c r="G295" s="13">
        <f>IF(C295="","",IF(OR(IF(AND(LEFT(F295,1)="(",RIGHT(F295,1)=")"),MID(F295,2,LEN(F295)-2),F295)="",IF(AND(LEFT(F295,1)="(",RIGHT(F295,1)=")"),MID(F295,2,LEN(F295)-2),F295)="-"),0,IFERROR(VALUE(IF(AND(LEFT(F295,1)="(",RIGHT(F295,1)=")"),MID(F295,2,LEN(F295)-2),F295))*IF(AND(LEFT(F295,1)="(",RIGHT(F295,1)=")"),-1,1)*IF(E295="Cr",Setup!$B$6,1),"ERR")))</f>
        <v/>
      </c>
      <c r="H295" s="6">
        <f>IF(C295="","",IF(ISNUMBER(G295),1,0))</f>
        <v/>
      </c>
      <c r="I295" s="6">
        <f>IF(C295="","",IF(SUMPRODUCT(($C$12:$C$1511=C295)*1)&gt;1,1,0))</f>
        <v/>
      </c>
      <c r="J295" s="6">
        <f>IF(C295="","",SUMPRODUCT((Mapping!$F$5:$F$504=Setup!$B$4&amp;"||"&amp;C295)*ROW(Mapping!$F$5:$F$504)))</f>
        <v/>
      </c>
      <c r="K295" s="6">
        <f>IF(C295="","",IF(J295=0,"UNMAPPED",LOWER(INDEX(Mapping!$D$1:$D$504,J295))))</f>
        <v/>
      </c>
      <c r="L295" s="6">
        <f>IF(K295="mapped",TRIM(INDEX(Mapping!$C$1:$C$504,J295)),"")</f>
        <v/>
      </c>
      <c r="M295" s="6">
        <f>IF(C295="","",IF(SUMPRODUCT(($C$12:C295=C295)*1)=1,1,0))</f>
        <v/>
      </c>
      <c r="N295" s="6">
        <f>IF(AND(K295="UNMAPPED",M295=1),ROW(),"")</f>
        <v/>
      </c>
      <c r="O295" s="6">
        <f>IF(AND(I295=1,M295=1),ROW(),"")</f>
        <v/>
      </c>
      <c r="P295" s="6">
        <f>IF(AND(K295="ignored",M295=1),ROW(),"")</f>
        <v/>
      </c>
    </row>
    <row r="296">
      <c r="A296" s="8" t="n"/>
      <c r="B296" s="8" t="n"/>
      <c r="C296" s="6">
        <f>TRIM(A296&amp;"")</f>
        <v/>
      </c>
      <c r="D296" s="6">
        <f>IF(C296="","",SUBSTITUTE(SUBSTITUTE(SUBSTITUTE(SUBSTITUTE(SUBSTITUTE(SUBSTITUTE(SUBSTITUTE(UPPER(TRIM(B296&amp;"")),"₹",""),"RS.",""),"RS",""),"INR",""),"$",""),",","")," ",""))</f>
        <v/>
      </c>
      <c r="E296" s="6">
        <f>IF(C296="","",IF(RIGHT(D296,2)="CR","Cr",IF(RIGHT(D296,2)="DR","Dr","")))</f>
        <v/>
      </c>
      <c r="F296" s="6">
        <f>IF(C296="","",IF(E296&lt;&gt;"",LEFT(D296,LEN(D296)-2),D296))</f>
        <v/>
      </c>
      <c r="G296" s="13">
        <f>IF(C296="","",IF(OR(IF(AND(LEFT(F296,1)="(",RIGHT(F296,1)=")"),MID(F296,2,LEN(F296)-2),F296)="",IF(AND(LEFT(F296,1)="(",RIGHT(F296,1)=")"),MID(F296,2,LEN(F296)-2),F296)="-"),0,IFERROR(VALUE(IF(AND(LEFT(F296,1)="(",RIGHT(F296,1)=")"),MID(F296,2,LEN(F296)-2),F296))*IF(AND(LEFT(F296,1)="(",RIGHT(F296,1)=")"),-1,1)*IF(E296="Cr",Setup!$B$6,1),"ERR")))</f>
        <v/>
      </c>
      <c r="H296" s="6">
        <f>IF(C296="","",IF(ISNUMBER(G296),1,0))</f>
        <v/>
      </c>
      <c r="I296" s="6">
        <f>IF(C296="","",IF(SUMPRODUCT(($C$12:$C$1511=C296)*1)&gt;1,1,0))</f>
        <v/>
      </c>
      <c r="J296" s="6">
        <f>IF(C296="","",SUMPRODUCT((Mapping!$F$5:$F$504=Setup!$B$4&amp;"||"&amp;C296)*ROW(Mapping!$F$5:$F$504)))</f>
        <v/>
      </c>
      <c r="K296" s="6">
        <f>IF(C296="","",IF(J296=0,"UNMAPPED",LOWER(INDEX(Mapping!$D$1:$D$504,J296))))</f>
        <v/>
      </c>
      <c r="L296" s="6">
        <f>IF(K296="mapped",TRIM(INDEX(Mapping!$C$1:$C$504,J296)),"")</f>
        <v/>
      </c>
      <c r="M296" s="6">
        <f>IF(C296="","",IF(SUMPRODUCT(($C$12:C296=C296)*1)=1,1,0))</f>
        <v/>
      </c>
      <c r="N296" s="6">
        <f>IF(AND(K296="UNMAPPED",M296=1),ROW(),"")</f>
        <v/>
      </c>
      <c r="O296" s="6">
        <f>IF(AND(I296=1,M296=1),ROW(),"")</f>
        <v/>
      </c>
      <c r="P296" s="6">
        <f>IF(AND(K296="ignored",M296=1),ROW(),"")</f>
        <v/>
      </c>
    </row>
    <row r="297">
      <c r="A297" s="8" t="n"/>
      <c r="B297" s="8" t="n"/>
      <c r="C297" s="6">
        <f>TRIM(A297&amp;"")</f>
        <v/>
      </c>
      <c r="D297" s="6">
        <f>IF(C297="","",SUBSTITUTE(SUBSTITUTE(SUBSTITUTE(SUBSTITUTE(SUBSTITUTE(SUBSTITUTE(SUBSTITUTE(UPPER(TRIM(B297&amp;"")),"₹",""),"RS.",""),"RS",""),"INR",""),"$",""),",","")," ",""))</f>
        <v/>
      </c>
      <c r="E297" s="6">
        <f>IF(C297="","",IF(RIGHT(D297,2)="CR","Cr",IF(RIGHT(D297,2)="DR","Dr","")))</f>
        <v/>
      </c>
      <c r="F297" s="6">
        <f>IF(C297="","",IF(E297&lt;&gt;"",LEFT(D297,LEN(D297)-2),D297))</f>
        <v/>
      </c>
      <c r="G297" s="13">
        <f>IF(C297="","",IF(OR(IF(AND(LEFT(F297,1)="(",RIGHT(F297,1)=")"),MID(F297,2,LEN(F297)-2),F297)="",IF(AND(LEFT(F297,1)="(",RIGHT(F297,1)=")"),MID(F297,2,LEN(F297)-2),F297)="-"),0,IFERROR(VALUE(IF(AND(LEFT(F297,1)="(",RIGHT(F297,1)=")"),MID(F297,2,LEN(F297)-2),F297))*IF(AND(LEFT(F297,1)="(",RIGHT(F297,1)=")"),-1,1)*IF(E297="Cr",Setup!$B$6,1),"ERR")))</f>
        <v/>
      </c>
      <c r="H297" s="6">
        <f>IF(C297="","",IF(ISNUMBER(G297),1,0))</f>
        <v/>
      </c>
      <c r="I297" s="6">
        <f>IF(C297="","",IF(SUMPRODUCT(($C$12:$C$1511=C297)*1)&gt;1,1,0))</f>
        <v/>
      </c>
      <c r="J297" s="6">
        <f>IF(C297="","",SUMPRODUCT((Mapping!$F$5:$F$504=Setup!$B$4&amp;"||"&amp;C297)*ROW(Mapping!$F$5:$F$504)))</f>
        <v/>
      </c>
      <c r="K297" s="6">
        <f>IF(C297="","",IF(J297=0,"UNMAPPED",LOWER(INDEX(Mapping!$D$1:$D$504,J297))))</f>
        <v/>
      </c>
      <c r="L297" s="6">
        <f>IF(K297="mapped",TRIM(INDEX(Mapping!$C$1:$C$504,J297)),"")</f>
        <v/>
      </c>
      <c r="M297" s="6">
        <f>IF(C297="","",IF(SUMPRODUCT(($C$12:C297=C297)*1)=1,1,0))</f>
        <v/>
      </c>
      <c r="N297" s="6">
        <f>IF(AND(K297="UNMAPPED",M297=1),ROW(),"")</f>
        <v/>
      </c>
      <c r="O297" s="6">
        <f>IF(AND(I297=1,M297=1),ROW(),"")</f>
        <v/>
      </c>
      <c r="P297" s="6">
        <f>IF(AND(K297="ignored",M297=1),ROW(),"")</f>
        <v/>
      </c>
    </row>
    <row r="298">
      <c r="A298" s="8" t="n"/>
      <c r="B298" s="8" t="n"/>
      <c r="C298" s="6">
        <f>TRIM(A298&amp;"")</f>
        <v/>
      </c>
      <c r="D298" s="6">
        <f>IF(C298="","",SUBSTITUTE(SUBSTITUTE(SUBSTITUTE(SUBSTITUTE(SUBSTITUTE(SUBSTITUTE(SUBSTITUTE(UPPER(TRIM(B298&amp;"")),"₹",""),"RS.",""),"RS",""),"INR",""),"$",""),",","")," ",""))</f>
        <v/>
      </c>
      <c r="E298" s="6">
        <f>IF(C298="","",IF(RIGHT(D298,2)="CR","Cr",IF(RIGHT(D298,2)="DR","Dr","")))</f>
        <v/>
      </c>
      <c r="F298" s="6">
        <f>IF(C298="","",IF(E298&lt;&gt;"",LEFT(D298,LEN(D298)-2),D298))</f>
        <v/>
      </c>
      <c r="G298" s="13">
        <f>IF(C298="","",IF(OR(IF(AND(LEFT(F298,1)="(",RIGHT(F298,1)=")"),MID(F298,2,LEN(F298)-2),F298)="",IF(AND(LEFT(F298,1)="(",RIGHT(F298,1)=")"),MID(F298,2,LEN(F298)-2),F298)="-"),0,IFERROR(VALUE(IF(AND(LEFT(F298,1)="(",RIGHT(F298,1)=")"),MID(F298,2,LEN(F298)-2),F298))*IF(AND(LEFT(F298,1)="(",RIGHT(F298,1)=")"),-1,1)*IF(E298="Cr",Setup!$B$6,1),"ERR")))</f>
        <v/>
      </c>
      <c r="H298" s="6">
        <f>IF(C298="","",IF(ISNUMBER(G298),1,0))</f>
        <v/>
      </c>
      <c r="I298" s="6">
        <f>IF(C298="","",IF(SUMPRODUCT(($C$12:$C$1511=C298)*1)&gt;1,1,0))</f>
        <v/>
      </c>
      <c r="J298" s="6">
        <f>IF(C298="","",SUMPRODUCT((Mapping!$F$5:$F$504=Setup!$B$4&amp;"||"&amp;C298)*ROW(Mapping!$F$5:$F$504)))</f>
        <v/>
      </c>
      <c r="K298" s="6">
        <f>IF(C298="","",IF(J298=0,"UNMAPPED",LOWER(INDEX(Mapping!$D$1:$D$504,J298))))</f>
        <v/>
      </c>
      <c r="L298" s="6">
        <f>IF(K298="mapped",TRIM(INDEX(Mapping!$C$1:$C$504,J298)),"")</f>
        <v/>
      </c>
      <c r="M298" s="6">
        <f>IF(C298="","",IF(SUMPRODUCT(($C$12:C298=C298)*1)=1,1,0))</f>
        <v/>
      </c>
      <c r="N298" s="6">
        <f>IF(AND(K298="UNMAPPED",M298=1),ROW(),"")</f>
        <v/>
      </c>
      <c r="O298" s="6">
        <f>IF(AND(I298=1,M298=1),ROW(),"")</f>
        <v/>
      </c>
      <c r="P298" s="6">
        <f>IF(AND(K298="ignored",M298=1),ROW(),"")</f>
        <v/>
      </c>
    </row>
    <row r="299">
      <c r="A299" s="8" t="n"/>
      <c r="B299" s="8" t="n"/>
      <c r="C299" s="6">
        <f>TRIM(A299&amp;"")</f>
        <v/>
      </c>
      <c r="D299" s="6">
        <f>IF(C299="","",SUBSTITUTE(SUBSTITUTE(SUBSTITUTE(SUBSTITUTE(SUBSTITUTE(SUBSTITUTE(SUBSTITUTE(UPPER(TRIM(B299&amp;"")),"₹",""),"RS.",""),"RS",""),"INR",""),"$",""),",","")," ",""))</f>
        <v/>
      </c>
      <c r="E299" s="6">
        <f>IF(C299="","",IF(RIGHT(D299,2)="CR","Cr",IF(RIGHT(D299,2)="DR","Dr","")))</f>
        <v/>
      </c>
      <c r="F299" s="6">
        <f>IF(C299="","",IF(E299&lt;&gt;"",LEFT(D299,LEN(D299)-2),D299))</f>
        <v/>
      </c>
      <c r="G299" s="13">
        <f>IF(C299="","",IF(OR(IF(AND(LEFT(F299,1)="(",RIGHT(F299,1)=")"),MID(F299,2,LEN(F299)-2),F299)="",IF(AND(LEFT(F299,1)="(",RIGHT(F299,1)=")"),MID(F299,2,LEN(F299)-2),F299)="-"),0,IFERROR(VALUE(IF(AND(LEFT(F299,1)="(",RIGHT(F299,1)=")"),MID(F299,2,LEN(F299)-2),F299))*IF(AND(LEFT(F299,1)="(",RIGHT(F299,1)=")"),-1,1)*IF(E299="Cr",Setup!$B$6,1),"ERR")))</f>
        <v/>
      </c>
      <c r="H299" s="6">
        <f>IF(C299="","",IF(ISNUMBER(G299),1,0))</f>
        <v/>
      </c>
      <c r="I299" s="6">
        <f>IF(C299="","",IF(SUMPRODUCT(($C$12:$C$1511=C299)*1)&gt;1,1,0))</f>
        <v/>
      </c>
      <c r="J299" s="6">
        <f>IF(C299="","",SUMPRODUCT((Mapping!$F$5:$F$504=Setup!$B$4&amp;"||"&amp;C299)*ROW(Mapping!$F$5:$F$504)))</f>
        <v/>
      </c>
      <c r="K299" s="6">
        <f>IF(C299="","",IF(J299=0,"UNMAPPED",LOWER(INDEX(Mapping!$D$1:$D$504,J299))))</f>
        <v/>
      </c>
      <c r="L299" s="6">
        <f>IF(K299="mapped",TRIM(INDEX(Mapping!$C$1:$C$504,J299)),"")</f>
        <v/>
      </c>
      <c r="M299" s="6">
        <f>IF(C299="","",IF(SUMPRODUCT(($C$12:C299=C299)*1)=1,1,0))</f>
        <v/>
      </c>
      <c r="N299" s="6">
        <f>IF(AND(K299="UNMAPPED",M299=1),ROW(),"")</f>
        <v/>
      </c>
      <c r="O299" s="6">
        <f>IF(AND(I299=1,M299=1),ROW(),"")</f>
        <v/>
      </c>
      <c r="P299" s="6">
        <f>IF(AND(K299="ignored",M299=1),ROW(),"")</f>
        <v/>
      </c>
    </row>
    <row r="300">
      <c r="A300" s="8" t="n"/>
      <c r="B300" s="8" t="n"/>
      <c r="C300" s="6">
        <f>TRIM(A300&amp;"")</f>
        <v/>
      </c>
      <c r="D300" s="6">
        <f>IF(C300="","",SUBSTITUTE(SUBSTITUTE(SUBSTITUTE(SUBSTITUTE(SUBSTITUTE(SUBSTITUTE(SUBSTITUTE(UPPER(TRIM(B300&amp;"")),"₹",""),"RS.",""),"RS",""),"INR",""),"$",""),",","")," ",""))</f>
        <v/>
      </c>
      <c r="E300" s="6">
        <f>IF(C300="","",IF(RIGHT(D300,2)="CR","Cr",IF(RIGHT(D300,2)="DR","Dr","")))</f>
        <v/>
      </c>
      <c r="F300" s="6">
        <f>IF(C300="","",IF(E300&lt;&gt;"",LEFT(D300,LEN(D300)-2),D300))</f>
        <v/>
      </c>
      <c r="G300" s="13">
        <f>IF(C300="","",IF(OR(IF(AND(LEFT(F300,1)="(",RIGHT(F300,1)=")"),MID(F300,2,LEN(F300)-2),F300)="",IF(AND(LEFT(F300,1)="(",RIGHT(F300,1)=")"),MID(F300,2,LEN(F300)-2),F300)="-"),0,IFERROR(VALUE(IF(AND(LEFT(F300,1)="(",RIGHT(F300,1)=")"),MID(F300,2,LEN(F300)-2),F300))*IF(AND(LEFT(F300,1)="(",RIGHT(F300,1)=")"),-1,1)*IF(E300="Cr",Setup!$B$6,1),"ERR")))</f>
        <v/>
      </c>
      <c r="H300" s="6">
        <f>IF(C300="","",IF(ISNUMBER(G300),1,0))</f>
        <v/>
      </c>
      <c r="I300" s="6">
        <f>IF(C300="","",IF(SUMPRODUCT(($C$12:$C$1511=C300)*1)&gt;1,1,0))</f>
        <v/>
      </c>
      <c r="J300" s="6">
        <f>IF(C300="","",SUMPRODUCT((Mapping!$F$5:$F$504=Setup!$B$4&amp;"||"&amp;C300)*ROW(Mapping!$F$5:$F$504)))</f>
        <v/>
      </c>
      <c r="K300" s="6">
        <f>IF(C300="","",IF(J300=0,"UNMAPPED",LOWER(INDEX(Mapping!$D$1:$D$504,J300))))</f>
        <v/>
      </c>
      <c r="L300" s="6">
        <f>IF(K300="mapped",TRIM(INDEX(Mapping!$C$1:$C$504,J300)),"")</f>
        <v/>
      </c>
      <c r="M300" s="6">
        <f>IF(C300="","",IF(SUMPRODUCT(($C$12:C300=C300)*1)=1,1,0))</f>
        <v/>
      </c>
      <c r="N300" s="6">
        <f>IF(AND(K300="UNMAPPED",M300=1),ROW(),"")</f>
        <v/>
      </c>
      <c r="O300" s="6">
        <f>IF(AND(I300=1,M300=1),ROW(),"")</f>
        <v/>
      </c>
      <c r="P300" s="6">
        <f>IF(AND(K300="ignored",M300=1),ROW(),"")</f>
        <v/>
      </c>
    </row>
    <row r="301">
      <c r="A301" s="8" t="n"/>
      <c r="B301" s="8" t="n"/>
      <c r="C301" s="6">
        <f>TRIM(A301&amp;"")</f>
        <v/>
      </c>
      <c r="D301" s="6">
        <f>IF(C301="","",SUBSTITUTE(SUBSTITUTE(SUBSTITUTE(SUBSTITUTE(SUBSTITUTE(SUBSTITUTE(SUBSTITUTE(UPPER(TRIM(B301&amp;"")),"₹",""),"RS.",""),"RS",""),"INR",""),"$",""),",","")," ",""))</f>
        <v/>
      </c>
      <c r="E301" s="6">
        <f>IF(C301="","",IF(RIGHT(D301,2)="CR","Cr",IF(RIGHT(D301,2)="DR","Dr","")))</f>
        <v/>
      </c>
      <c r="F301" s="6">
        <f>IF(C301="","",IF(E301&lt;&gt;"",LEFT(D301,LEN(D301)-2),D301))</f>
        <v/>
      </c>
      <c r="G301" s="13">
        <f>IF(C301="","",IF(OR(IF(AND(LEFT(F301,1)="(",RIGHT(F301,1)=")"),MID(F301,2,LEN(F301)-2),F301)="",IF(AND(LEFT(F301,1)="(",RIGHT(F301,1)=")"),MID(F301,2,LEN(F301)-2),F301)="-"),0,IFERROR(VALUE(IF(AND(LEFT(F301,1)="(",RIGHT(F301,1)=")"),MID(F301,2,LEN(F301)-2),F301))*IF(AND(LEFT(F301,1)="(",RIGHT(F301,1)=")"),-1,1)*IF(E301="Cr",Setup!$B$6,1),"ERR")))</f>
        <v/>
      </c>
      <c r="H301" s="6">
        <f>IF(C301="","",IF(ISNUMBER(G301),1,0))</f>
        <v/>
      </c>
      <c r="I301" s="6">
        <f>IF(C301="","",IF(SUMPRODUCT(($C$12:$C$1511=C301)*1)&gt;1,1,0))</f>
        <v/>
      </c>
      <c r="J301" s="6">
        <f>IF(C301="","",SUMPRODUCT((Mapping!$F$5:$F$504=Setup!$B$4&amp;"||"&amp;C301)*ROW(Mapping!$F$5:$F$504)))</f>
        <v/>
      </c>
      <c r="K301" s="6">
        <f>IF(C301="","",IF(J301=0,"UNMAPPED",LOWER(INDEX(Mapping!$D$1:$D$504,J301))))</f>
        <v/>
      </c>
      <c r="L301" s="6">
        <f>IF(K301="mapped",TRIM(INDEX(Mapping!$C$1:$C$504,J301)),"")</f>
        <v/>
      </c>
      <c r="M301" s="6">
        <f>IF(C301="","",IF(SUMPRODUCT(($C$12:C301=C301)*1)=1,1,0))</f>
        <v/>
      </c>
      <c r="N301" s="6">
        <f>IF(AND(K301="UNMAPPED",M301=1),ROW(),"")</f>
        <v/>
      </c>
      <c r="O301" s="6">
        <f>IF(AND(I301=1,M301=1),ROW(),"")</f>
        <v/>
      </c>
      <c r="P301" s="6">
        <f>IF(AND(K301="ignored",M301=1),ROW(),"")</f>
        <v/>
      </c>
    </row>
    <row r="302">
      <c r="A302" s="8" t="n"/>
      <c r="B302" s="8" t="n"/>
      <c r="C302" s="6">
        <f>TRIM(A302&amp;"")</f>
        <v/>
      </c>
      <c r="D302" s="6">
        <f>IF(C302="","",SUBSTITUTE(SUBSTITUTE(SUBSTITUTE(SUBSTITUTE(SUBSTITUTE(SUBSTITUTE(SUBSTITUTE(UPPER(TRIM(B302&amp;"")),"₹",""),"RS.",""),"RS",""),"INR",""),"$",""),",","")," ",""))</f>
        <v/>
      </c>
      <c r="E302" s="6">
        <f>IF(C302="","",IF(RIGHT(D302,2)="CR","Cr",IF(RIGHT(D302,2)="DR","Dr","")))</f>
        <v/>
      </c>
      <c r="F302" s="6">
        <f>IF(C302="","",IF(E302&lt;&gt;"",LEFT(D302,LEN(D302)-2),D302))</f>
        <v/>
      </c>
      <c r="G302" s="13">
        <f>IF(C302="","",IF(OR(IF(AND(LEFT(F302,1)="(",RIGHT(F302,1)=")"),MID(F302,2,LEN(F302)-2),F302)="",IF(AND(LEFT(F302,1)="(",RIGHT(F302,1)=")"),MID(F302,2,LEN(F302)-2),F302)="-"),0,IFERROR(VALUE(IF(AND(LEFT(F302,1)="(",RIGHT(F302,1)=")"),MID(F302,2,LEN(F302)-2),F302))*IF(AND(LEFT(F302,1)="(",RIGHT(F302,1)=")"),-1,1)*IF(E302="Cr",Setup!$B$6,1),"ERR")))</f>
        <v/>
      </c>
      <c r="H302" s="6">
        <f>IF(C302="","",IF(ISNUMBER(G302),1,0))</f>
        <v/>
      </c>
      <c r="I302" s="6">
        <f>IF(C302="","",IF(SUMPRODUCT(($C$12:$C$1511=C302)*1)&gt;1,1,0))</f>
        <v/>
      </c>
      <c r="J302" s="6">
        <f>IF(C302="","",SUMPRODUCT((Mapping!$F$5:$F$504=Setup!$B$4&amp;"||"&amp;C302)*ROW(Mapping!$F$5:$F$504)))</f>
        <v/>
      </c>
      <c r="K302" s="6">
        <f>IF(C302="","",IF(J302=0,"UNMAPPED",LOWER(INDEX(Mapping!$D$1:$D$504,J302))))</f>
        <v/>
      </c>
      <c r="L302" s="6">
        <f>IF(K302="mapped",TRIM(INDEX(Mapping!$C$1:$C$504,J302)),"")</f>
        <v/>
      </c>
      <c r="M302" s="6">
        <f>IF(C302="","",IF(SUMPRODUCT(($C$12:C302=C302)*1)=1,1,0))</f>
        <v/>
      </c>
      <c r="N302" s="6">
        <f>IF(AND(K302="UNMAPPED",M302=1),ROW(),"")</f>
        <v/>
      </c>
      <c r="O302" s="6">
        <f>IF(AND(I302=1,M302=1),ROW(),"")</f>
        <v/>
      </c>
      <c r="P302" s="6">
        <f>IF(AND(K302="ignored",M302=1),ROW(),"")</f>
        <v/>
      </c>
    </row>
    <row r="303">
      <c r="A303" s="8" t="n"/>
      <c r="B303" s="8" t="n"/>
      <c r="C303" s="6">
        <f>TRIM(A303&amp;"")</f>
        <v/>
      </c>
      <c r="D303" s="6">
        <f>IF(C303="","",SUBSTITUTE(SUBSTITUTE(SUBSTITUTE(SUBSTITUTE(SUBSTITUTE(SUBSTITUTE(SUBSTITUTE(UPPER(TRIM(B303&amp;"")),"₹",""),"RS.",""),"RS",""),"INR",""),"$",""),",","")," ",""))</f>
        <v/>
      </c>
      <c r="E303" s="6">
        <f>IF(C303="","",IF(RIGHT(D303,2)="CR","Cr",IF(RIGHT(D303,2)="DR","Dr","")))</f>
        <v/>
      </c>
      <c r="F303" s="6">
        <f>IF(C303="","",IF(E303&lt;&gt;"",LEFT(D303,LEN(D303)-2),D303))</f>
        <v/>
      </c>
      <c r="G303" s="13">
        <f>IF(C303="","",IF(OR(IF(AND(LEFT(F303,1)="(",RIGHT(F303,1)=")"),MID(F303,2,LEN(F303)-2),F303)="",IF(AND(LEFT(F303,1)="(",RIGHT(F303,1)=")"),MID(F303,2,LEN(F303)-2),F303)="-"),0,IFERROR(VALUE(IF(AND(LEFT(F303,1)="(",RIGHT(F303,1)=")"),MID(F303,2,LEN(F303)-2),F303))*IF(AND(LEFT(F303,1)="(",RIGHT(F303,1)=")"),-1,1)*IF(E303="Cr",Setup!$B$6,1),"ERR")))</f>
        <v/>
      </c>
      <c r="H303" s="6">
        <f>IF(C303="","",IF(ISNUMBER(G303),1,0))</f>
        <v/>
      </c>
      <c r="I303" s="6">
        <f>IF(C303="","",IF(SUMPRODUCT(($C$12:$C$1511=C303)*1)&gt;1,1,0))</f>
        <v/>
      </c>
      <c r="J303" s="6">
        <f>IF(C303="","",SUMPRODUCT((Mapping!$F$5:$F$504=Setup!$B$4&amp;"||"&amp;C303)*ROW(Mapping!$F$5:$F$504)))</f>
        <v/>
      </c>
      <c r="K303" s="6">
        <f>IF(C303="","",IF(J303=0,"UNMAPPED",LOWER(INDEX(Mapping!$D$1:$D$504,J303))))</f>
        <v/>
      </c>
      <c r="L303" s="6">
        <f>IF(K303="mapped",TRIM(INDEX(Mapping!$C$1:$C$504,J303)),"")</f>
        <v/>
      </c>
      <c r="M303" s="6">
        <f>IF(C303="","",IF(SUMPRODUCT(($C$12:C303=C303)*1)=1,1,0))</f>
        <v/>
      </c>
      <c r="N303" s="6">
        <f>IF(AND(K303="UNMAPPED",M303=1),ROW(),"")</f>
        <v/>
      </c>
      <c r="O303" s="6">
        <f>IF(AND(I303=1,M303=1),ROW(),"")</f>
        <v/>
      </c>
      <c r="P303" s="6">
        <f>IF(AND(K303="ignored",M303=1),ROW(),"")</f>
        <v/>
      </c>
    </row>
    <row r="304">
      <c r="A304" s="8" t="n"/>
      <c r="B304" s="8" t="n"/>
      <c r="C304" s="6">
        <f>TRIM(A304&amp;"")</f>
        <v/>
      </c>
      <c r="D304" s="6">
        <f>IF(C304="","",SUBSTITUTE(SUBSTITUTE(SUBSTITUTE(SUBSTITUTE(SUBSTITUTE(SUBSTITUTE(SUBSTITUTE(UPPER(TRIM(B304&amp;"")),"₹",""),"RS.",""),"RS",""),"INR",""),"$",""),",","")," ",""))</f>
        <v/>
      </c>
      <c r="E304" s="6">
        <f>IF(C304="","",IF(RIGHT(D304,2)="CR","Cr",IF(RIGHT(D304,2)="DR","Dr","")))</f>
        <v/>
      </c>
      <c r="F304" s="6">
        <f>IF(C304="","",IF(E304&lt;&gt;"",LEFT(D304,LEN(D304)-2),D304))</f>
        <v/>
      </c>
      <c r="G304" s="13">
        <f>IF(C304="","",IF(OR(IF(AND(LEFT(F304,1)="(",RIGHT(F304,1)=")"),MID(F304,2,LEN(F304)-2),F304)="",IF(AND(LEFT(F304,1)="(",RIGHT(F304,1)=")"),MID(F304,2,LEN(F304)-2),F304)="-"),0,IFERROR(VALUE(IF(AND(LEFT(F304,1)="(",RIGHT(F304,1)=")"),MID(F304,2,LEN(F304)-2),F304))*IF(AND(LEFT(F304,1)="(",RIGHT(F304,1)=")"),-1,1)*IF(E304="Cr",Setup!$B$6,1),"ERR")))</f>
        <v/>
      </c>
      <c r="H304" s="6">
        <f>IF(C304="","",IF(ISNUMBER(G304),1,0))</f>
        <v/>
      </c>
      <c r="I304" s="6">
        <f>IF(C304="","",IF(SUMPRODUCT(($C$12:$C$1511=C304)*1)&gt;1,1,0))</f>
        <v/>
      </c>
      <c r="J304" s="6">
        <f>IF(C304="","",SUMPRODUCT((Mapping!$F$5:$F$504=Setup!$B$4&amp;"||"&amp;C304)*ROW(Mapping!$F$5:$F$504)))</f>
        <v/>
      </c>
      <c r="K304" s="6">
        <f>IF(C304="","",IF(J304=0,"UNMAPPED",LOWER(INDEX(Mapping!$D$1:$D$504,J304))))</f>
        <v/>
      </c>
      <c r="L304" s="6">
        <f>IF(K304="mapped",TRIM(INDEX(Mapping!$C$1:$C$504,J304)),"")</f>
        <v/>
      </c>
      <c r="M304" s="6">
        <f>IF(C304="","",IF(SUMPRODUCT(($C$12:C304=C304)*1)=1,1,0))</f>
        <v/>
      </c>
      <c r="N304" s="6">
        <f>IF(AND(K304="UNMAPPED",M304=1),ROW(),"")</f>
        <v/>
      </c>
      <c r="O304" s="6">
        <f>IF(AND(I304=1,M304=1),ROW(),"")</f>
        <v/>
      </c>
      <c r="P304" s="6">
        <f>IF(AND(K304="ignored",M304=1),ROW(),"")</f>
        <v/>
      </c>
    </row>
    <row r="305">
      <c r="A305" s="8" t="n"/>
      <c r="B305" s="8" t="n"/>
      <c r="C305" s="6">
        <f>TRIM(A305&amp;"")</f>
        <v/>
      </c>
      <c r="D305" s="6">
        <f>IF(C305="","",SUBSTITUTE(SUBSTITUTE(SUBSTITUTE(SUBSTITUTE(SUBSTITUTE(SUBSTITUTE(SUBSTITUTE(UPPER(TRIM(B305&amp;"")),"₹",""),"RS.",""),"RS",""),"INR",""),"$",""),",","")," ",""))</f>
        <v/>
      </c>
      <c r="E305" s="6">
        <f>IF(C305="","",IF(RIGHT(D305,2)="CR","Cr",IF(RIGHT(D305,2)="DR","Dr","")))</f>
        <v/>
      </c>
      <c r="F305" s="6">
        <f>IF(C305="","",IF(E305&lt;&gt;"",LEFT(D305,LEN(D305)-2),D305))</f>
        <v/>
      </c>
      <c r="G305" s="13">
        <f>IF(C305="","",IF(OR(IF(AND(LEFT(F305,1)="(",RIGHT(F305,1)=")"),MID(F305,2,LEN(F305)-2),F305)="",IF(AND(LEFT(F305,1)="(",RIGHT(F305,1)=")"),MID(F305,2,LEN(F305)-2),F305)="-"),0,IFERROR(VALUE(IF(AND(LEFT(F305,1)="(",RIGHT(F305,1)=")"),MID(F305,2,LEN(F305)-2),F305))*IF(AND(LEFT(F305,1)="(",RIGHT(F305,1)=")"),-1,1)*IF(E305="Cr",Setup!$B$6,1),"ERR")))</f>
        <v/>
      </c>
      <c r="H305" s="6">
        <f>IF(C305="","",IF(ISNUMBER(G305),1,0))</f>
        <v/>
      </c>
      <c r="I305" s="6">
        <f>IF(C305="","",IF(SUMPRODUCT(($C$12:$C$1511=C305)*1)&gt;1,1,0))</f>
        <v/>
      </c>
      <c r="J305" s="6">
        <f>IF(C305="","",SUMPRODUCT((Mapping!$F$5:$F$504=Setup!$B$4&amp;"||"&amp;C305)*ROW(Mapping!$F$5:$F$504)))</f>
        <v/>
      </c>
      <c r="K305" s="6">
        <f>IF(C305="","",IF(J305=0,"UNMAPPED",LOWER(INDEX(Mapping!$D$1:$D$504,J305))))</f>
        <v/>
      </c>
      <c r="L305" s="6">
        <f>IF(K305="mapped",TRIM(INDEX(Mapping!$C$1:$C$504,J305)),"")</f>
        <v/>
      </c>
      <c r="M305" s="6">
        <f>IF(C305="","",IF(SUMPRODUCT(($C$12:C305=C305)*1)=1,1,0))</f>
        <v/>
      </c>
      <c r="N305" s="6">
        <f>IF(AND(K305="UNMAPPED",M305=1),ROW(),"")</f>
        <v/>
      </c>
      <c r="O305" s="6">
        <f>IF(AND(I305=1,M305=1),ROW(),"")</f>
        <v/>
      </c>
      <c r="P305" s="6">
        <f>IF(AND(K305="ignored",M305=1),ROW(),"")</f>
        <v/>
      </c>
    </row>
    <row r="306">
      <c r="A306" s="8" t="n"/>
      <c r="B306" s="8" t="n"/>
      <c r="C306" s="6">
        <f>TRIM(A306&amp;"")</f>
        <v/>
      </c>
      <c r="D306" s="6">
        <f>IF(C306="","",SUBSTITUTE(SUBSTITUTE(SUBSTITUTE(SUBSTITUTE(SUBSTITUTE(SUBSTITUTE(SUBSTITUTE(UPPER(TRIM(B306&amp;"")),"₹",""),"RS.",""),"RS",""),"INR",""),"$",""),",","")," ",""))</f>
        <v/>
      </c>
      <c r="E306" s="6">
        <f>IF(C306="","",IF(RIGHT(D306,2)="CR","Cr",IF(RIGHT(D306,2)="DR","Dr","")))</f>
        <v/>
      </c>
      <c r="F306" s="6">
        <f>IF(C306="","",IF(E306&lt;&gt;"",LEFT(D306,LEN(D306)-2),D306))</f>
        <v/>
      </c>
      <c r="G306" s="13">
        <f>IF(C306="","",IF(OR(IF(AND(LEFT(F306,1)="(",RIGHT(F306,1)=")"),MID(F306,2,LEN(F306)-2),F306)="",IF(AND(LEFT(F306,1)="(",RIGHT(F306,1)=")"),MID(F306,2,LEN(F306)-2),F306)="-"),0,IFERROR(VALUE(IF(AND(LEFT(F306,1)="(",RIGHT(F306,1)=")"),MID(F306,2,LEN(F306)-2),F306))*IF(AND(LEFT(F306,1)="(",RIGHT(F306,1)=")"),-1,1)*IF(E306="Cr",Setup!$B$6,1),"ERR")))</f>
        <v/>
      </c>
      <c r="H306" s="6">
        <f>IF(C306="","",IF(ISNUMBER(G306),1,0))</f>
        <v/>
      </c>
      <c r="I306" s="6">
        <f>IF(C306="","",IF(SUMPRODUCT(($C$12:$C$1511=C306)*1)&gt;1,1,0))</f>
        <v/>
      </c>
      <c r="J306" s="6">
        <f>IF(C306="","",SUMPRODUCT((Mapping!$F$5:$F$504=Setup!$B$4&amp;"||"&amp;C306)*ROW(Mapping!$F$5:$F$504)))</f>
        <v/>
      </c>
      <c r="K306" s="6">
        <f>IF(C306="","",IF(J306=0,"UNMAPPED",LOWER(INDEX(Mapping!$D$1:$D$504,J306))))</f>
        <v/>
      </c>
      <c r="L306" s="6">
        <f>IF(K306="mapped",TRIM(INDEX(Mapping!$C$1:$C$504,J306)),"")</f>
        <v/>
      </c>
      <c r="M306" s="6">
        <f>IF(C306="","",IF(SUMPRODUCT(($C$12:C306=C306)*1)=1,1,0))</f>
        <v/>
      </c>
      <c r="N306" s="6">
        <f>IF(AND(K306="UNMAPPED",M306=1),ROW(),"")</f>
        <v/>
      </c>
      <c r="O306" s="6">
        <f>IF(AND(I306=1,M306=1),ROW(),"")</f>
        <v/>
      </c>
      <c r="P306" s="6">
        <f>IF(AND(K306="ignored",M306=1),ROW(),"")</f>
        <v/>
      </c>
    </row>
    <row r="307">
      <c r="A307" s="8" t="n"/>
      <c r="B307" s="8" t="n"/>
      <c r="C307" s="6">
        <f>TRIM(A307&amp;"")</f>
        <v/>
      </c>
      <c r="D307" s="6">
        <f>IF(C307="","",SUBSTITUTE(SUBSTITUTE(SUBSTITUTE(SUBSTITUTE(SUBSTITUTE(SUBSTITUTE(SUBSTITUTE(UPPER(TRIM(B307&amp;"")),"₹",""),"RS.",""),"RS",""),"INR",""),"$",""),",","")," ",""))</f>
        <v/>
      </c>
      <c r="E307" s="6">
        <f>IF(C307="","",IF(RIGHT(D307,2)="CR","Cr",IF(RIGHT(D307,2)="DR","Dr","")))</f>
        <v/>
      </c>
      <c r="F307" s="6">
        <f>IF(C307="","",IF(E307&lt;&gt;"",LEFT(D307,LEN(D307)-2),D307))</f>
        <v/>
      </c>
      <c r="G307" s="13">
        <f>IF(C307="","",IF(OR(IF(AND(LEFT(F307,1)="(",RIGHT(F307,1)=")"),MID(F307,2,LEN(F307)-2),F307)="",IF(AND(LEFT(F307,1)="(",RIGHT(F307,1)=")"),MID(F307,2,LEN(F307)-2),F307)="-"),0,IFERROR(VALUE(IF(AND(LEFT(F307,1)="(",RIGHT(F307,1)=")"),MID(F307,2,LEN(F307)-2),F307))*IF(AND(LEFT(F307,1)="(",RIGHT(F307,1)=")"),-1,1)*IF(E307="Cr",Setup!$B$6,1),"ERR")))</f>
        <v/>
      </c>
      <c r="H307" s="6">
        <f>IF(C307="","",IF(ISNUMBER(G307),1,0))</f>
        <v/>
      </c>
      <c r="I307" s="6">
        <f>IF(C307="","",IF(SUMPRODUCT(($C$12:$C$1511=C307)*1)&gt;1,1,0))</f>
        <v/>
      </c>
      <c r="J307" s="6">
        <f>IF(C307="","",SUMPRODUCT((Mapping!$F$5:$F$504=Setup!$B$4&amp;"||"&amp;C307)*ROW(Mapping!$F$5:$F$504)))</f>
        <v/>
      </c>
      <c r="K307" s="6">
        <f>IF(C307="","",IF(J307=0,"UNMAPPED",LOWER(INDEX(Mapping!$D$1:$D$504,J307))))</f>
        <v/>
      </c>
      <c r="L307" s="6">
        <f>IF(K307="mapped",TRIM(INDEX(Mapping!$C$1:$C$504,J307)),"")</f>
        <v/>
      </c>
      <c r="M307" s="6">
        <f>IF(C307="","",IF(SUMPRODUCT(($C$12:C307=C307)*1)=1,1,0))</f>
        <v/>
      </c>
      <c r="N307" s="6">
        <f>IF(AND(K307="UNMAPPED",M307=1),ROW(),"")</f>
        <v/>
      </c>
      <c r="O307" s="6">
        <f>IF(AND(I307=1,M307=1),ROW(),"")</f>
        <v/>
      </c>
      <c r="P307" s="6">
        <f>IF(AND(K307="ignored",M307=1),ROW(),"")</f>
        <v/>
      </c>
    </row>
    <row r="308">
      <c r="A308" s="8" t="n"/>
      <c r="B308" s="8" t="n"/>
      <c r="C308" s="6">
        <f>TRIM(A308&amp;"")</f>
        <v/>
      </c>
      <c r="D308" s="6">
        <f>IF(C308="","",SUBSTITUTE(SUBSTITUTE(SUBSTITUTE(SUBSTITUTE(SUBSTITUTE(SUBSTITUTE(SUBSTITUTE(UPPER(TRIM(B308&amp;"")),"₹",""),"RS.",""),"RS",""),"INR",""),"$",""),",","")," ",""))</f>
        <v/>
      </c>
      <c r="E308" s="6">
        <f>IF(C308="","",IF(RIGHT(D308,2)="CR","Cr",IF(RIGHT(D308,2)="DR","Dr","")))</f>
        <v/>
      </c>
      <c r="F308" s="6">
        <f>IF(C308="","",IF(E308&lt;&gt;"",LEFT(D308,LEN(D308)-2),D308))</f>
        <v/>
      </c>
      <c r="G308" s="13">
        <f>IF(C308="","",IF(OR(IF(AND(LEFT(F308,1)="(",RIGHT(F308,1)=")"),MID(F308,2,LEN(F308)-2),F308)="",IF(AND(LEFT(F308,1)="(",RIGHT(F308,1)=")"),MID(F308,2,LEN(F308)-2),F308)="-"),0,IFERROR(VALUE(IF(AND(LEFT(F308,1)="(",RIGHT(F308,1)=")"),MID(F308,2,LEN(F308)-2),F308))*IF(AND(LEFT(F308,1)="(",RIGHT(F308,1)=")"),-1,1)*IF(E308="Cr",Setup!$B$6,1),"ERR")))</f>
        <v/>
      </c>
      <c r="H308" s="6">
        <f>IF(C308="","",IF(ISNUMBER(G308),1,0))</f>
        <v/>
      </c>
      <c r="I308" s="6">
        <f>IF(C308="","",IF(SUMPRODUCT(($C$12:$C$1511=C308)*1)&gt;1,1,0))</f>
        <v/>
      </c>
      <c r="J308" s="6">
        <f>IF(C308="","",SUMPRODUCT((Mapping!$F$5:$F$504=Setup!$B$4&amp;"||"&amp;C308)*ROW(Mapping!$F$5:$F$504)))</f>
        <v/>
      </c>
      <c r="K308" s="6">
        <f>IF(C308="","",IF(J308=0,"UNMAPPED",LOWER(INDEX(Mapping!$D$1:$D$504,J308))))</f>
        <v/>
      </c>
      <c r="L308" s="6">
        <f>IF(K308="mapped",TRIM(INDEX(Mapping!$C$1:$C$504,J308)),"")</f>
        <v/>
      </c>
      <c r="M308" s="6">
        <f>IF(C308="","",IF(SUMPRODUCT(($C$12:C308=C308)*1)=1,1,0))</f>
        <v/>
      </c>
      <c r="N308" s="6">
        <f>IF(AND(K308="UNMAPPED",M308=1),ROW(),"")</f>
        <v/>
      </c>
      <c r="O308" s="6">
        <f>IF(AND(I308=1,M308=1),ROW(),"")</f>
        <v/>
      </c>
      <c r="P308" s="6">
        <f>IF(AND(K308="ignored",M308=1),ROW(),"")</f>
        <v/>
      </c>
    </row>
    <row r="309">
      <c r="A309" s="8" t="n"/>
      <c r="B309" s="8" t="n"/>
      <c r="C309" s="6">
        <f>TRIM(A309&amp;"")</f>
        <v/>
      </c>
      <c r="D309" s="6">
        <f>IF(C309="","",SUBSTITUTE(SUBSTITUTE(SUBSTITUTE(SUBSTITUTE(SUBSTITUTE(SUBSTITUTE(SUBSTITUTE(UPPER(TRIM(B309&amp;"")),"₹",""),"RS.",""),"RS",""),"INR",""),"$",""),",","")," ",""))</f>
        <v/>
      </c>
      <c r="E309" s="6">
        <f>IF(C309="","",IF(RIGHT(D309,2)="CR","Cr",IF(RIGHT(D309,2)="DR","Dr","")))</f>
        <v/>
      </c>
      <c r="F309" s="6">
        <f>IF(C309="","",IF(E309&lt;&gt;"",LEFT(D309,LEN(D309)-2),D309))</f>
        <v/>
      </c>
      <c r="G309" s="13">
        <f>IF(C309="","",IF(OR(IF(AND(LEFT(F309,1)="(",RIGHT(F309,1)=")"),MID(F309,2,LEN(F309)-2),F309)="",IF(AND(LEFT(F309,1)="(",RIGHT(F309,1)=")"),MID(F309,2,LEN(F309)-2),F309)="-"),0,IFERROR(VALUE(IF(AND(LEFT(F309,1)="(",RIGHT(F309,1)=")"),MID(F309,2,LEN(F309)-2),F309))*IF(AND(LEFT(F309,1)="(",RIGHT(F309,1)=")"),-1,1)*IF(E309="Cr",Setup!$B$6,1),"ERR")))</f>
        <v/>
      </c>
      <c r="H309" s="6">
        <f>IF(C309="","",IF(ISNUMBER(G309),1,0))</f>
        <v/>
      </c>
      <c r="I309" s="6">
        <f>IF(C309="","",IF(SUMPRODUCT(($C$12:$C$1511=C309)*1)&gt;1,1,0))</f>
        <v/>
      </c>
      <c r="J309" s="6">
        <f>IF(C309="","",SUMPRODUCT((Mapping!$F$5:$F$504=Setup!$B$4&amp;"||"&amp;C309)*ROW(Mapping!$F$5:$F$504)))</f>
        <v/>
      </c>
      <c r="K309" s="6">
        <f>IF(C309="","",IF(J309=0,"UNMAPPED",LOWER(INDEX(Mapping!$D$1:$D$504,J309))))</f>
        <v/>
      </c>
      <c r="L309" s="6">
        <f>IF(K309="mapped",TRIM(INDEX(Mapping!$C$1:$C$504,J309)),"")</f>
        <v/>
      </c>
      <c r="M309" s="6">
        <f>IF(C309="","",IF(SUMPRODUCT(($C$12:C309=C309)*1)=1,1,0))</f>
        <v/>
      </c>
      <c r="N309" s="6">
        <f>IF(AND(K309="UNMAPPED",M309=1),ROW(),"")</f>
        <v/>
      </c>
      <c r="O309" s="6">
        <f>IF(AND(I309=1,M309=1),ROW(),"")</f>
        <v/>
      </c>
      <c r="P309" s="6">
        <f>IF(AND(K309="ignored",M309=1),ROW(),"")</f>
        <v/>
      </c>
    </row>
    <row r="310">
      <c r="A310" s="8" t="n"/>
      <c r="B310" s="8" t="n"/>
      <c r="C310" s="6">
        <f>TRIM(A310&amp;"")</f>
        <v/>
      </c>
      <c r="D310" s="6">
        <f>IF(C310="","",SUBSTITUTE(SUBSTITUTE(SUBSTITUTE(SUBSTITUTE(SUBSTITUTE(SUBSTITUTE(SUBSTITUTE(UPPER(TRIM(B310&amp;"")),"₹",""),"RS.",""),"RS",""),"INR",""),"$",""),",","")," ",""))</f>
        <v/>
      </c>
      <c r="E310" s="6">
        <f>IF(C310="","",IF(RIGHT(D310,2)="CR","Cr",IF(RIGHT(D310,2)="DR","Dr","")))</f>
        <v/>
      </c>
      <c r="F310" s="6">
        <f>IF(C310="","",IF(E310&lt;&gt;"",LEFT(D310,LEN(D310)-2),D310))</f>
        <v/>
      </c>
      <c r="G310" s="13">
        <f>IF(C310="","",IF(OR(IF(AND(LEFT(F310,1)="(",RIGHT(F310,1)=")"),MID(F310,2,LEN(F310)-2),F310)="",IF(AND(LEFT(F310,1)="(",RIGHT(F310,1)=")"),MID(F310,2,LEN(F310)-2),F310)="-"),0,IFERROR(VALUE(IF(AND(LEFT(F310,1)="(",RIGHT(F310,1)=")"),MID(F310,2,LEN(F310)-2),F310))*IF(AND(LEFT(F310,1)="(",RIGHT(F310,1)=")"),-1,1)*IF(E310="Cr",Setup!$B$6,1),"ERR")))</f>
        <v/>
      </c>
      <c r="H310" s="6">
        <f>IF(C310="","",IF(ISNUMBER(G310),1,0))</f>
        <v/>
      </c>
      <c r="I310" s="6">
        <f>IF(C310="","",IF(SUMPRODUCT(($C$12:$C$1511=C310)*1)&gt;1,1,0))</f>
        <v/>
      </c>
      <c r="J310" s="6">
        <f>IF(C310="","",SUMPRODUCT((Mapping!$F$5:$F$504=Setup!$B$4&amp;"||"&amp;C310)*ROW(Mapping!$F$5:$F$504)))</f>
        <v/>
      </c>
      <c r="K310" s="6">
        <f>IF(C310="","",IF(J310=0,"UNMAPPED",LOWER(INDEX(Mapping!$D$1:$D$504,J310))))</f>
        <v/>
      </c>
      <c r="L310" s="6">
        <f>IF(K310="mapped",TRIM(INDEX(Mapping!$C$1:$C$504,J310)),"")</f>
        <v/>
      </c>
      <c r="M310" s="6">
        <f>IF(C310="","",IF(SUMPRODUCT(($C$12:C310=C310)*1)=1,1,0))</f>
        <v/>
      </c>
      <c r="N310" s="6">
        <f>IF(AND(K310="UNMAPPED",M310=1),ROW(),"")</f>
        <v/>
      </c>
      <c r="O310" s="6">
        <f>IF(AND(I310=1,M310=1),ROW(),"")</f>
        <v/>
      </c>
      <c r="P310" s="6">
        <f>IF(AND(K310="ignored",M310=1),ROW(),"")</f>
        <v/>
      </c>
    </row>
    <row r="311">
      <c r="A311" s="8" t="n"/>
      <c r="B311" s="8" t="n"/>
      <c r="C311" s="6">
        <f>TRIM(A311&amp;"")</f>
        <v/>
      </c>
      <c r="D311" s="6">
        <f>IF(C311="","",SUBSTITUTE(SUBSTITUTE(SUBSTITUTE(SUBSTITUTE(SUBSTITUTE(SUBSTITUTE(SUBSTITUTE(UPPER(TRIM(B311&amp;"")),"₹",""),"RS.",""),"RS",""),"INR",""),"$",""),",","")," ",""))</f>
        <v/>
      </c>
      <c r="E311" s="6">
        <f>IF(C311="","",IF(RIGHT(D311,2)="CR","Cr",IF(RIGHT(D311,2)="DR","Dr","")))</f>
        <v/>
      </c>
      <c r="F311" s="6">
        <f>IF(C311="","",IF(E311&lt;&gt;"",LEFT(D311,LEN(D311)-2),D311))</f>
        <v/>
      </c>
      <c r="G311" s="13">
        <f>IF(C311="","",IF(OR(IF(AND(LEFT(F311,1)="(",RIGHT(F311,1)=")"),MID(F311,2,LEN(F311)-2),F311)="",IF(AND(LEFT(F311,1)="(",RIGHT(F311,1)=")"),MID(F311,2,LEN(F311)-2),F311)="-"),0,IFERROR(VALUE(IF(AND(LEFT(F311,1)="(",RIGHT(F311,1)=")"),MID(F311,2,LEN(F311)-2),F311))*IF(AND(LEFT(F311,1)="(",RIGHT(F311,1)=")"),-1,1)*IF(E311="Cr",Setup!$B$6,1),"ERR")))</f>
        <v/>
      </c>
      <c r="H311" s="6">
        <f>IF(C311="","",IF(ISNUMBER(G311),1,0))</f>
        <v/>
      </c>
      <c r="I311" s="6">
        <f>IF(C311="","",IF(SUMPRODUCT(($C$12:$C$1511=C311)*1)&gt;1,1,0))</f>
        <v/>
      </c>
      <c r="J311" s="6">
        <f>IF(C311="","",SUMPRODUCT((Mapping!$F$5:$F$504=Setup!$B$4&amp;"||"&amp;C311)*ROW(Mapping!$F$5:$F$504)))</f>
        <v/>
      </c>
      <c r="K311" s="6">
        <f>IF(C311="","",IF(J311=0,"UNMAPPED",LOWER(INDEX(Mapping!$D$1:$D$504,J311))))</f>
        <v/>
      </c>
      <c r="L311" s="6">
        <f>IF(K311="mapped",TRIM(INDEX(Mapping!$C$1:$C$504,J311)),"")</f>
        <v/>
      </c>
      <c r="M311" s="6">
        <f>IF(C311="","",IF(SUMPRODUCT(($C$12:C311=C311)*1)=1,1,0))</f>
        <v/>
      </c>
      <c r="N311" s="6">
        <f>IF(AND(K311="UNMAPPED",M311=1),ROW(),"")</f>
        <v/>
      </c>
      <c r="O311" s="6">
        <f>IF(AND(I311=1,M311=1),ROW(),"")</f>
        <v/>
      </c>
      <c r="P311" s="6">
        <f>IF(AND(K311="ignored",M311=1),ROW(),"")</f>
        <v/>
      </c>
    </row>
    <row r="312">
      <c r="A312" s="8" t="n"/>
      <c r="B312" s="8" t="n"/>
      <c r="C312" s="6">
        <f>TRIM(A312&amp;"")</f>
        <v/>
      </c>
      <c r="D312" s="6">
        <f>IF(C312="","",SUBSTITUTE(SUBSTITUTE(SUBSTITUTE(SUBSTITUTE(SUBSTITUTE(SUBSTITUTE(SUBSTITUTE(UPPER(TRIM(B312&amp;"")),"₹",""),"RS.",""),"RS",""),"INR",""),"$",""),",","")," ",""))</f>
        <v/>
      </c>
      <c r="E312" s="6">
        <f>IF(C312="","",IF(RIGHT(D312,2)="CR","Cr",IF(RIGHT(D312,2)="DR","Dr","")))</f>
        <v/>
      </c>
      <c r="F312" s="6">
        <f>IF(C312="","",IF(E312&lt;&gt;"",LEFT(D312,LEN(D312)-2),D312))</f>
        <v/>
      </c>
      <c r="G312" s="13">
        <f>IF(C312="","",IF(OR(IF(AND(LEFT(F312,1)="(",RIGHT(F312,1)=")"),MID(F312,2,LEN(F312)-2),F312)="",IF(AND(LEFT(F312,1)="(",RIGHT(F312,1)=")"),MID(F312,2,LEN(F312)-2),F312)="-"),0,IFERROR(VALUE(IF(AND(LEFT(F312,1)="(",RIGHT(F312,1)=")"),MID(F312,2,LEN(F312)-2),F312))*IF(AND(LEFT(F312,1)="(",RIGHT(F312,1)=")"),-1,1)*IF(E312="Cr",Setup!$B$6,1),"ERR")))</f>
        <v/>
      </c>
      <c r="H312" s="6">
        <f>IF(C312="","",IF(ISNUMBER(G312),1,0))</f>
        <v/>
      </c>
      <c r="I312" s="6">
        <f>IF(C312="","",IF(SUMPRODUCT(($C$12:$C$1511=C312)*1)&gt;1,1,0))</f>
        <v/>
      </c>
      <c r="J312" s="6">
        <f>IF(C312="","",SUMPRODUCT((Mapping!$F$5:$F$504=Setup!$B$4&amp;"||"&amp;C312)*ROW(Mapping!$F$5:$F$504)))</f>
        <v/>
      </c>
      <c r="K312" s="6">
        <f>IF(C312="","",IF(J312=0,"UNMAPPED",LOWER(INDEX(Mapping!$D$1:$D$504,J312))))</f>
        <v/>
      </c>
      <c r="L312" s="6">
        <f>IF(K312="mapped",TRIM(INDEX(Mapping!$C$1:$C$504,J312)),"")</f>
        <v/>
      </c>
      <c r="M312" s="6">
        <f>IF(C312="","",IF(SUMPRODUCT(($C$12:C312=C312)*1)=1,1,0))</f>
        <v/>
      </c>
      <c r="N312" s="6">
        <f>IF(AND(K312="UNMAPPED",M312=1),ROW(),"")</f>
        <v/>
      </c>
      <c r="O312" s="6">
        <f>IF(AND(I312=1,M312=1),ROW(),"")</f>
        <v/>
      </c>
      <c r="P312" s="6">
        <f>IF(AND(K312="ignored",M312=1),ROW(),"")</f>
        <v/>
      </c>
    </row>
    <row r="313">
      <c r="A313" s="8" t="n"/>
      <c r="B313" s="8" t="n"/>
      <c r="C313" s="6">
        <f>TRIM(A313&amp;"")</f>
        <v/>
      </c>
      <c r="D313" s="6">
        <f>IF(C313="","",SUBSTITUTE(SUBSTITUTE(SUBSTITUTE(SUBSTITUTE(SUBSTITUTE(SUBSTITUTE(SUBSTITUTE(UPPER(TRIM(B313&amp;"")),"₹",""),"RS.",""),"RS",""),"INR",""),"$",""),",","")," ",""))</f>
        <v/>
      </c>
      <c r="E313" s="6">
        <f>IF(C313="","",IF(RIGHT(D313,2)="CR","Cr",IF(RIGHT(D313,2)="DR","Dr","")))</f>
        <v/>
      </c>
      <c r="F313" s="6">
        <f>IF(C313="","",IF(E313&lt;&gt;"",LEFT(D313,LEN(D313)-2),D313))</f>
        <v/>
      </c>
      <c r="G313" s="13">
        <f>IF(C313="","",IF(OR(IF(AND(LEFT(F313,1)="(",RIGHT(F313,1)=")"),MID(F313,2,LEN(F313)-2),F313)="",IF(AND(LEFT(F313,1)="(",RIGHT(F313,1)=")"),MID(F313,2,LEN(F313)-2),F313)="-"),0,IFERROR(VALUE(IF(AND(LEFT(F313,1)="(",RIGHT(F313,1)=")"),MID(F313,2,LEN(F313)-2),F313))*IF(AND(LEFT(F313,1)="(",RIGHT(F313,1)=")"),-1,1)*IF(E313="Cr",Setup!$B$6,1),"ERR")))</f>
        <v/>
      </c>
      <c r="H313" s="6">
        <f>IF(C313="","",IF(ISNUMBER(G313),1,0))</f>
        <v/>
      </c>
      <c r="I313" s="6">
        <f>IF(C313="","",IF(SUMPRODUCT(($C$12:$C$1511=C313)*1)&gt;1,1,0))</f>
        <v/>
      </c>
      <c r="J313" s="6">
        <f>IF(C313="","",SUMPRODUCT((Mapping!$F$5:$F$504=Setup!$B$4&amp;"||"&amp;C313)*ROW(Mapping!$F$5:$F$504)))</f>
        <v/>
      </c>
      <c r="K313" s="6">
        <f>IF(C313="","",IF(J313=0,"UNMAPPED",LOWER(INDEX(Mapping!$D$1:$D$504,J313))))</f>
        <v/>
      </c>
      <c r="L313" s="6">
        <f>IF(K313="mapped",TRIM(INDEX(Mapping!$C$1:$C$504,J313)),"")</f>
        <v/>
      </c>
      <c r="M313" s="6">
        <f>IF(C313="","",IF(SUMPRODUCT(($C$12:C313=C313)*1)=1,1,0))</f>
        <v/>
      </c>
      <c r="N313" s="6">
        <f>IF(AND(K313="UNMAPPED",M313=1),ROW(),"")</f>
        <v/>
      </c>
      <c r="O313" s="6">
        <f>IF(AND(I313=1,M313=1),ROW(),"")</f>
        <v/>
      </c>
      <c r="P313" s="6">
        <f>IF(AND(K313="ignored",M313=1),ROW(),"")</f>
        <v/>
      </c>
    </row>
    <row r="314">
      <c r="A314" s="8" t="n"/>
      <c r="B314" s="8" t="n"/>
      <c r="C314" s="6">
        <f>TRIM(A314&amp;"")</f>
        <v/>
      </c>
      <c r="D314" s="6">
        <f>IF(C314="","",SUBSTITUTE(SUBSTITUTE(SUBSTITUTE(SUBSTITUTE(SUBSTITUTE(SUBSTITUTE(SUBSTITUTE(UPPER(TRIM(B314&amp;"")),"₹",""),"RS.",""),"RS",""),"INR",""),"$",""),",","")," ",""))</f>
        <v/>
      </c>
      <c r="E314" s="6">
        <f>IF(C314="","",IF(RIGHT(D314,2)="CR","Cr",IF(RIGHT(D314,2)="DR","Dr","")))</f>
        <v/>
      </c>
      <c r="F314" s="6">
        <f>IF(C314="","",IF(E314&lt;&gt;"",LEFT(D314,LEN(D314)-2),D314))</f>
        <v/>
      </c>
      <c r="G314" s="13">
        <f>IF(C314="","",IF(OR(IF(AND(LEFT(F314,1)="(",RIGHT(F314,1)=")"),MID(F314,2,LEN(F314)-2),F314)="",IF(AND(LEFT(F314,1)="(",RIGHT(F314,1)=")"),MID(F314,2,LEN(F314)-2),F314)="-"),0,IFERROR(VALUE(IF(AND(LEFT(F314,1)="(",RIGHT(F314,1)=")"),MID(F314,2,LEN(F314)-2),F314))*IF(AND(LEFT(F314,1)="(",RIGHT(F314,1)=")"),-1,1)*IF(E314="Cr",Setup!$B$6,1),"ERR")))</f>
        <v/>
      </c>
      <c r="H314" s="6">
        <f>IF(C314="","",IF(ISNUMBER(G314),1,0))</f>
        <v/>
      </c>
      <c r="I314" s="6">
        <f>IF(C314="","",IF(SUMPRODUCT(($C$12:$C$1511=C314)*1)&gt;1,1,0))</f>
        <v/>
      </c>
      <c r="J314" s="6">
        <f>IF(C314="","",SUMPRODUCT((Mapping!$F$5:$F$504=Setup!$B$4&amp;"||"&amp;C314)*ROW(Mapping!$F$5:$F$504)))</f>
        <v/>
      </c>
      <c r="K314" s="6">
        <f>IF(C314="","",IF(J314=0,"UNMAPPED",LOWER(INDEX(Mapping!$D$1:$D$504,J314))))</f>
        <v/>
      </c>
      <c r="L314" s="6">
        <f>IF(K314="mapped",TRIM(INDEX(Mapping!$C$1:$C$504,J314)),"")</f>
        <v/>
      </c>
      <c r="M314" s="6">
        <f>IF(C314="","",IF(SUMPRODUCT(($C$12:C314=C314)*1)=1,1,0))</f>
        <v/>
      </c>
      <c r="N314" s="6">
        <f>IF(AND(K314="UNMAPPED",M314=1),ROW(),"")</f>
        <v/>
      </c>
      <c r="O314" s="6">
        <f>IF(AND(I314=1,M314=1),ROW(),"")</f>
        <v/>
      </c>
      <c r="P314" s="6">
        <f>IF(AND(K314="ignored",M314=1),ROW(),"")</f>
        <v/>
      </c>
    </row>
    <row r="315">
      <c r="A315" s="8" t="n"/>
      <c r="B315" s="8" t="n"/>
      <c r="C315" s="6">
        <f>TRIM(A315&amp;"")</f>
        <v/>
      </c>
      <c r="D315" s="6">
        <f>IF(C315="","",SUBSTITUTE(SUBSTITUTE(SUBSTITUTE(SUBSTITUTE(SUBSTITUTE(SUBSTITUTE(SUBSTITUTE(UPPER(TRIM(B315&amp;"")),"₹",""),"RS.",""),"RS",""),"INR",""),"$",""),",","")," ",""))</f>
        <v/>
      </c>
      <c r="E315" s="6">
        <f>IF(C315="","",IF(RIGHT(D315,2)="CR","Cr",IF(RIGHT(D315,2)="DR","Dr","")))</f>
        <v/>
      </c>
      <c r="F315" s="6">
        <f>IF(C315="","",IF(E315&lt;&gt;"",LEFT(D315,LEN(D315)-2),D315))</f>
        <v/>
      </c>
      <c r="G315" s="13">
        <f>IF(C315="","",IF(OR(IF(AND(LEFT(F315,1)="(",RIGHT(F315,1)=")"),MID(F315,2,LEN(F315)-2),F315)="",IF(AND(LEFT(F315,1)="(",RIGHT(F315,1)=")"),MID(F315,2,LEN(F315)-2),F315)="-"),0,IFERROR(VALUE(IF(AND(LEFT(F315,1)="(",RIGHT(F315,1)=")"),MID(F315,2,LEN(F315)-2),F315))*IF(AND(LEFT(F315,1)="(",RIGHT(F315,1)=")"),-1,1)*IF(E315="Cr",Setup!$B$6,1),"ERR")))</f>
        <v/>
      </c>
      <c r="H315" s="6">
        <f>IF(C315="","",IF(ISNUMBER(G315),1,0))</f>
        <v/>
      </c>
      <c r="I315" s="6">
        <f>IF(C315="","",IF(SUMPRODUCT(($C$12:$C$1511=C315)*1)&gt;1,1,0))</f>
        <v/>
      </c>
      <c r="J315" s="6">
        <f>IF(C315="","",SUMPRODUCT((Mapping!$F$5:$F$504=Setup!$B$4&amp;"||"&amp;C315)*ROW(Mapping!$F$5:$F$504)))</f>
        <v/>
      </c>
      <c r="K315" s="6">
        <f>IF(C315="","",IF(J315=0,"UNMAPPED",LOWER(INDEX(Mapping!$D$1:$D$504,J315))))</f>
        <v/>
      </c>
      <c r="L315" s="6">
        <f>IF(K315="mapped",TRIM(INDEX(Mapping!$C$1:$C$504,J315)),"")</f>
        <v/>
      </c>
      <c r="M315" s="6">
        <f>IF(C315="","",IF(SUMPRODUCT(($C$12:C315=C315)*1)=1,1,0))</f>
        <v/>
      </c>
      <c r="N315" s="6">
        <f>IF(AND(K315="UNMAPPED",M315=1),ROW(),"")</f>
        <v/>
      </c>
      <c r="O315" s="6">
        <f>IF(AND(I315=1,M315=1),ROW(),"")</f>
        <v/>
      </c>
      <c r="P315" s="6">
        <f>IF(AND(K315="ignored",M315=1),ROW(),"")</f>
        <v/>
      </c>
    </row>
    <row r="316">
      <c r="A316" s="8" t="n"/>
      <c r="B316" s="8" t="n"/>
      <c r="C316" s="6">
        <f>TRIM(A316&amp;"")</f>
        <v/>
      </c>
      <c r="D316" s="6">
        <f>IF(C316="","",SUBSTITUTE(SUBSTITUTE(SUBSTITUTE(SUBSTITUTE(SUBSTITUTE(SUBSTITUTE(SUBSTITUTE(UPPER(TRIM(B316&amp;"")),"₹",""),"RS.",""),"RS",""),"INR",""),"$",""),",","")," ",""))</f>
        <v/>
      </c>
      <c r="E316" s="6">
        <f>IF(C316="","",IF(RIGHT(D316,2)="CR","Cr",IF(RIGHT(D316,2)="DR","Dr","")))</f>
        <v/>
      </c>
      <c r="F316" s="6">
        <f>IF(C316="","",IF(E316&lt;&gt;"",LEFT(D316,LEN(D316)-2),D316))</f>
        <v/>
      </c>
      <c r="G316" s="13">
        <f>IF(C316="","",IF(OR(IF(AND(LEFT(F316,1)="(",RIGHT(F316,1)=")"),MID(F316,2,LEN(F316)-2),F316)="",IF(AND(LEFT(F316,1)="(",RIGHT(F316,1)=")"),MID(F316,2,LEN(F316)-2),F316)="-"),0,IFERROR(VALUE(IF(AND(LEFT(F316,1)="(",RIGHT(F316,1)=")"),MID(F316,2,LEN(F316)-2),F316))*IF(AND(LEFT(F316,1)="(",RIGHT(F316,1)=")"),-1,1)*IF(E316="Cr",Setup!$B$6,1),"ERR")))</f>
        <v/>
      </c>
      <c r="H316" s="6">
        <f>IF(C316="","",IF(ISNUMBER(G316),1,0))</f>
        <v/>
      </c>
      <c r="I316" s="6">
        <f>IF(C316="","",IF(SUMPRODUCT(($C$12:$C$1511=C316)*1)&gt;1,1,0))</f>
        <v/>
      </c>
      <c r="J316" s="6">
        <f>IF(C316="","",SUMPRODUCT((Mapping!$F$5:$F$504=Setup!$B$4&amp;"||"&amp;C316)*ROW(Mapping!$F$5:$F$504)))</f>
        <v/>
      </c>
      <c r="K316" s="6">
        <f>IF(C316="","",IF(J316=0,"UNMAPPED",LOWER(INDEX(Mapping!$D$1:$D$504,J316))))</f>
        <v/>
      </c>
      <c r="L316" s="6">
        <f>IF(K316="mapped",TRIM(INDEX(Mapping!$C$1:$C$504,J316)),"")</f>
        <v/>
      </c>
      <c r="M316" s="6">
        <f>IF(C316="","",IF(SUMPRODUCT(($C$12:C316=C316)*1)=1,1,0))</f>
        <v/>
      </c>
      <c r="N316" s="6">
        <f>IF(AND(K316="UNMAPPED",M316=1),ROW(),"")</f>
        <v/>
      </c>
      <c r="O316" s="6">
        <f>IF(AND(I316=1,M316=1),ROW(),"")</f>
        <v/>
      </c>
      <c r="P316" s="6">
        <f>IF(AND(K316="ignored",M316=1),ROW(),"")</f>
        <v/>
      </c>
    </row>
    <row r="317">
      <c r="A317" s="8" t="n"/>
      <c r="B317" s="8" t="n"/>
      <c r="C317" s="6">
        <f>TRIM(A317&amp;"")</f>
        <v/>
      </c>
      <c r="D317" s="6">
        <f>IF(C317="","",SUBSTITUTE(SUBSTITUTE(SUBSTITUTE(SUBSTITUTE(SUBSTITUTE(SUBSTITUTE(SUBSTITUTE(UPPER(TRIM(B317&amp;"")),"₹",""),"RS.",""),"RS",""),"INR",""),"$",""),",","")," ",""))</f>
        <v/>
      </c>
      <c r="E317" s="6">
        <f>IF(C317="","",IF(RIGHT(D317,2)="CR","Cr",IF(RIGHT(D317,2)="DR","Dr","")))</f>
        <v/>
      </c>
      <c r="F317" s="6">
        <f>IF(C317="","",IF(E317&lt;&gt;"",LEFT(D317,LEN(D317)-2),D317))</f>
        <v/>
      </c>
      <c r="G317" s="13">
        <f>IF(C317="","",IF(OR(IF(AND(LEFT(F317,1)="(",RIGHT(F317,1)=")"),MID(F317,2,LEN(F317)-2),F317)="",IF(AND(LEFT(F317,1)="(",RIGHT(F317,1)=")"),MID(F317,2,LEN(F317)-2),F317)="-"),0,IFERROR(VALUE(IF(AND(LEFT(F317,1)="(",RIGHT(F317,1)=")"),MID(F317,2,LEN(F317)-2),F317))*IF(AND(LEFT(F317,1)="(",RIGHT(F317,1)=")"),-1,1)*IF(E317="Cr",Setup!$B$6,1),"ERR")))</f>
        <v/>
      </c>
      <c r="H317" s="6">
        <f>IF(C317="","",IF(ISNUMBER(G317),1,0))</f>
        <v/>
      </c>
      <c r="I317" s="6">
        <f>IF(C317="","",IF(SUMPRODUCT(($C$12:$C$1511=C317)*1)&gt;1,1,0))</f>
        <v/>
      </c>
      <c r="J317" s="6">
        <f>IF(C317="","",SUMPRODUCT((Mapping!$F$5:$F$504=Setup!$B$4&amp;"||"&amp;C317)*ROW(Mapping!$F$5:$F$504)))</f>
        <v/>
      </c>
      <c r="K317" s="6">
        <f>IF(C317="","",IF(J317=0,"UNMAPPED",LOWER(INDEX(Mapping!$D$1:$D$504,J317))))</f>
        <v/>
      </c>
      <c r="L317" s="6">
        <f>IF(K317="mapped",TRIM(INDEX(Mapping!$C$1:$C$504,J317)),"")</f>
        <v/>
      </c>
      <c r="M317" s="6">
        <f>IF(C317="","",IF(SUMPRODUCT(($C$12:C317=C317)*1)=1,1,0))</f>
        <v/>
      </c>
      <c r="N317" s="6">
        <f>IF(AND(K317="UNMAPPED",M317=1),ROW(),"")</f>
        <v/>
      </c>
      <c r="O317" s="6">
        <f>IF(AND(I317=1,M317=1),ROW(),"")</f>
        <v/>
      </c>
      <c r="P317" s="6">
        <f>IF(AND(K317="ignored",M317=1),ROW(),"")</f>
        <v/>
      </c>
    </row>
    <row r="318">
      <c r="A318" s="8" t="n"/>
      <c r="B318" s="8" t="n"/>
      <c r="C318" s="6">
        <f>TRIM(A318&amp;"")</f>
        <v/>
      </c>
      <c r="D318" s="6">
        <f>IF(C318="","",SUBSTITUTE(SUBSTITUTE(SUBSTITUTE(SUBSTITUTE(SUBSTITUTE(SUBSTITUTE(SUBSTITUTE(UPPER(TRIM(B318&amp;"")),"₹",""),"RS.",""),"RS",""),"INR",""),"$",""),",","")," ",""))</f>
        <v/>
      </c>
      <c r="E318" s="6">
        <f>IF(C318="","",IF(RIGHT(D318,2)="CR","Cr",IF(RIGHT(D318,2)="DR","Dr","")))</f>
        <v/>
      </c>
      <c r="F318" s="6">
        <f>IF(C318="","",IF(E318&lt;&gt;"",LEFT(D318,LEN(D318)-2),D318))</f>
        <v/>
      </c>
      <c r="G318" s="13">
        <f>IF(C318="","",IF(OR(IF(AND(LEFT(F318,1)="(",RIGHT(F318,1)=")"),MID(F318,2,LEN(F318)-2),F318)="",IF(AND(LEFT(F318,1)="(",RIGHT(F318,1)=")"),MID(F318,2,LEN(F318)-2),F318)="-"),0,IFERROR(VALUE(IF(AND(LEFT(F318,1)="(",RIGHT(F318,1)=")"),MID(F318,2,LEN(F318)-2),F318))*IF(AND(LEFT(F318,1)="(",RIGHT(F318,1)=")"),-1,1)*IF(E318="Cr",Setup!$B$6,1),"ERR")))</f>
        <v/>
      </c>
      <c r="H318" s="6">
        <f>IF(C318="","",IF(ISNUMBER(G318),1,0))</f>
        <v/>
      </c>
      <c r="I318" s="6">
        <f>IF(C318="","",IF(SUMPRODUCT(($C$12:$C$1511=C318)*1)&gt;1,1,0))</f>
        <v/>
      </c>
      <c r="J318" s="6">
        <f>IF(C318="","",SUMPRODUCT((Mapping!$F$5:$F$504=Setup!$B$4&amp;"||"&amp;C318)*ROW(Mapping!$F$5:$F$504)))</f>
        <v/>
      </c>
      <c r="K318" s="6">
        <f>IF(C318="","",IF(J318=0,"UNMAPPED",LOWER(INDEX(Mapping!$D$1:$D$504,J318))))</f>
        <v/>
      </c>
      <c r="L318" s="6">
        <f>IF(K318="mapped",TRIM(INDEX(Mapping!$C$1:$C$504,J318)),"")</f>
        <v/>
      </c>
      <c r="M318" s="6">
        <f>IF(C318="","",IF(SUMPRODUCT(($C$12:C318=C318)*1)=1,1,0))</f>
        <v/>
      </c>
      <c r="N318" s="6">
        <f>IF(AND(K318="UNMAPPED",M318=1),ROW(),"")</f>
        <v/>
      </c>
      <c r="O318" s="6">
        <f>IF(AND(I318=1,M318=1),ROW(),"")</f>
        <v/>
      </c>
      <c r="P318" s="6">
        <f>IF(AND(K318="ignored",M318=1),ROW(),"")</f>
        <v/>
      </c>
    </row>
    <row r="319">
      <c r="A319" s="8" t="n"/>
      <c r="B319" s="8" t="n"/>
      <c r="C319" s="6">
        <f>TRIM(A319&amp;"")</f>
        <v/>
      </c>
      <c r="D319" s="6">
        <f>IF(C319="","",SUBSTITUTE(SUBSTITUTE(SUBSTITUTE(SUBSTITUTE(SUBSTITUTE(SUBSTITUTE(SUBSTITUTE(UPPER(TRIM(B319&amp;"")),"₹",""),"RS.",""),"RS",""),"INR",""),"$",""),",","")," ",""))</f>
        <v/>
      </c>
      <c r="E319" s="6">
        <f>IF(C319="","",IF(RIGHT(D319,2)="CR","Cr",IF(RIGHT(D319,2)="DR","Dr","")))</f>
        <v/>
      </c>
      <c r="F319" s="6">
        <f>IF(C319="","",IF(E319&lt;&gt;"",LEFT(D319,LEN(D319)-2),D319))</f>
        <v/>
      </c>
      <c r="G319" s="13">
        <f>IF(C319="","",IF(OR(IF(AND(LEFT(F319,1)="(",RIGHT(F319,1)=")"),MID(F319,2,LEN(F319)-2),F319)="",IF(AND(LEFT(F319,1)="(",RIGHT(F319,1)=")"),MID(F319,2,LEN(F319)-2),F319)="-"),0,IFERROR(VALUE(IF(AND(LEFT(F319,1)="(",RIGHT(F319,1)=")"),MID(F319,2,LEN(F319)-2),F319))*IF(AND(LEFT(F319,1)="(",RIGHT(F319,1)=")"),-1,1)*IF(E319="Cr",Setup!$B$6,1),"ERR")))</f>
        <v/>
      </c>
      <c r="H319" s="6">
        <f>IF(C319="","",IF(ISNUMBER(G319),1,0))</f>
        <v/>
      </c>
      <c r="I319" s="6">
        <f>IF(C319="","",IF(SUMPRODUCT(($C$12:$C$1511=C319)*1)&gt;1,1,0))</f>
        <v/>
      </c>
      <c r="J319" s="6">
        <f>IF(C319="","",SUMPRODUCT((Mapping!$F$5:$F$504=Setup!$B$4&amp;"||"&amp;C319)*ROW(Mapping!$F$5:$F$504)))</f>
        <v/>
      </c>
      <c r="K319" s="6">
        <f>IF(C319="","",IF(J319=0,"UNMAPPED",LOWER(INDEX(Mapping!$D$1:$D$504,J319))))</f>
        <v/>
      </c>
      <c r="L319" s="6">
        <f>IF(K319="mapped",TRIM(INDEX(Mapping!$C$1:$C$504,J319)),"")</f>
        <v/>
      </c>
      <c r="M319" s="6">
        <f>IF(C319="","",IF(SUMPRODUCT(($C$12:C319=C319)*1)=1,1,0))</f>
        <v/>
      </c>
      <c r="N319" s="6">
        <f>IF(AND(K319="UNMAPPED",M319=1),ROW(),"")</f>
        <v/>
      </c>
      <c r="O319" s="6">
        <f>IF(AND(I319=1,M319=1),ROW(),"")</f>
        <v/>
      </c>
      <c r="P319" s="6">
        <f>IF(AND(K319="ignored",M319=1),ROW(),"")</f>
        <v/>
      </c>
    </row>
    <row r="320">
      <c r="A320" s="8" t="n"/>
      <c r="B320" s="8" t="n"/>
      <c r="C320" s="6">
        <f>TRIM(A320&amp;"")</f>
        <v/>
      </c>
      <c r="D320" s="6">
        <f>IF(C320="","",SUBSTITUTE(SUBSTITUTE(SUBSTITUTE(SUBSTITUTE(SUBSTITUTE(SUBSTITUTE(SUBSTITUTE(UPPER(TRIM(B320&amp;"")),"₹",""),"RS.",""),"RS",""),"INR",""),"$",""),",","")," ",""))</f>
        <v/>
      </c>
      <c r="E320" s="6">
        <f>IF(C320="","",IF(RIGHT(D320,2)="CR","Cr",IF(RIGHT(D320,2)="DR","Dr","")))</f>
        <v/>
      </c>
      <c r="F320" s="6">
        <f>IF(C320="","",IF(E320&lt;&gt;"",LEFT(D320,LEN(D320)-2),D320))</f>
        <v/>
      </c>
      <c r="G320" s="13">
        <f>IF(C320="","",IF(OR(IF(AND(LEFT(F320,1)="(",RIGHT(F320,1)=")"),MID(F320,2,LEN(F320)-2),F320)="",IF(AND(LEFT(F320,1)="(",RIGHT(F320,1)=")"),MID(F320,2,LEN(F320)-2),F320)="-"),0,IFERROR(VALUE(IF(AND(LEFT(F320,1)="(",RIGHT(F320,1)=")"),MID(F320,2,LEN(F320)-2),F320))*IF(AND(LEFT(F320,1)="(",RIGHT(F320,1)=")"),-1,1)*IF(E320="Cr",Setup!$B$6,1),"ERR")))</f>
        <v/>
      </c>
      <c r="H320" s="6">
        <f>IF(C320="","",IF(ISNUMBER(G320),1,0))</f>
        <v/>
      </c>
      <c r="I320" s="6">
        <f>IF(C320="","",IF(SUMPRODUCT(($C$12:$C$1511=C320)*1)&gt;1,1,0))</f>
        <v/>
      </c>
      <c r="J320" s="6">
        <f>IF(C320="","",SUMPRODUCT((Mapping!$F$5:$F$504=Setup!$B$4&amp;"||"&amp;C320)*ROW(Mapping!$F$5:$F$504)))</f>
        <v/>
      </c>
      <c r="K320" s="6">
        <f>IF(C320="","",IF(J320=0,"UNMAPPED",LOWER(INDEX(Mapping!$D$1:$D$504,J320))))</f>
        <v/>
      </c>
      <c r="L320" s="6">
        <f>IF(K320="mapped",TRIM(INDEX(Mapping!$C$1:$C$504,J320)),"")</f>
        <v/>
      </c>
      <c r="M320" s="6">
        <f>IF(C320="","",IF(SUMPRODUCT(($C$12:C320=C320)*1)=1,1,0))</f>
        <v/>
      </c>
      <c r="N320" s="6">
        <f>IF(AND(K320="UNMAPPED",M320=1),ROW(),"")</f>
        <v/>
      </c>
      <c r="O320" s="6">
        <f>IF(AND(I320=1,M320=1),ROW(),"")</f>
        <v/>
      </c>
      <c r="P320" s="6">
        <f>IF(AND(K320="ignored",M320=1),ROW(),"")</f>
        <v/>
      </c>
    </row>
    <row r="321">
      <c r="A321" s="8" t="n"/>
      <c r="B321" s="8" t="n"/>
      <c r="C321" s="6">
        <f>TRIM(A321&amp;"")</f>
        <v/>
      </c>
      <c r="D321" s="6">
        <f>IF(C321="","",SUBSTITUTE(SUBSTITUTE(SUBSTITUTE(SUBSTITUTE(SUBSTITUTE(SUBSTITUTE(SUBSTITUTE(UPPER(TRIM(B321&amp;"")),"₹",""),"RS.",""),"RS",""),"INR",""),"$",""),",","")," ",""))</f>
        <v/>
      </c>
      <c r="E321" s="6">
        <f>IF(C321="","",IF(RIGHT(D321,2)="CR","Cr",IF(RIGHT(D321,2)="DR","Dr","")))</f>
        <v/>
      </c>
      <c r="F321" s="6">
        <f>IF(C321="","",IF(E321&lt;&gt;"",LEFT(D321,LEN(D321)-2),D321))</f>
        <v/>
      </c>
      <c r="G321" s="13">
        <f>IF(C321="","",IF(OR(IF(AND(LEFT(F321,1)="(",RIGHT(F321,1)=")"),MID(F321,2,LEN(F321)-2),F321)="",IF(AND(LEFT(F321,1)="(",RIGHT(F321,1)=")"),MID(F321,2,LEN(F321)-2),F321)="-"),0,IFERROR(VALUE(IF(AND(LEFT(F321,1)="(",RIGHT(F321,1)=")"),MID(F321,2,LEN(F321)-2),F321))*IF(AND(LEFT(F321,1)="(",RIGHT(F321,1)=")"),-1,1)*IF(E321="Cr",Setup!$B$6,1),"ERR")))</f>
        <v/>
      </c>
      <c r="H321" s="6">
        <f>IF(C321="","",IF(ISNUMBER(G321),1,0))</f>
        <v/>
      </c>
      <c r="I321" s="6">
        <f>IF(C321="","",IF(SUMPRODUCT(($C$12:$C$1511=C321)*1)&gt;1,1,0))</f>
        <v/>
      </c>
      <c r="J321" s="6">
        <f>IF(C321="","",SUMPRODUCT((Mapping!$F$5:$F$504=Setup!$B$4&amp;"||"&amp;C321)*ROW(Mapping!$F$5:$F$504)))</f>
        <v/>
      </c>
      <c r="K321" s="6">
        <f>IF(C321="","",IF(J321=0,"UNMAPPED",LOWER(INDEX(Mapping!$D$1:$D$504,J321))))</f>
        <v/>
      </c>
      <c r="L321" s="6">
        <f>IF(K321="mapped",TRIM(INDEX(Mapping!$C$1:$C$504,J321)),"")</f>
        <v/>
      </c>
      <c r="M321" s="6">
        <f>IF(C321="","",IF(SUMPRODUCT(($C$12:C321=C321)*1)=1,1,0))</f>
        <v/>
      </c>
      <c r="N321" s="6">
        <f>IF(AND(K321="UNMAPPED",M321=1),ROW(),"")</f>
        <v/>
      </c>
      <c r="O321" s="6">
        <f>IF(AND(I321=1,M321=1),ROW(),"")</f>
        <v/>
      </c>
      <c r="P321" s="6">
        <f>IF(AND(K321="ignored",M321=1),ROW(),"")</f>
        <v/>
      </c>
    </row>
    <row r="322">
      <c r="A322" s="8" t="n"/>
      <c r="B322" s="8" t="n"/>
      <c r="C322" s="6">
        <f>TRIM(A322&amp;"")</f>
        <v/>
      </c>
      <c r="D322" s="6">
        <f>IF(C322="","",SUBSTITUTE(SUBSTITUTE(SUBSTITUTE(SUBSTITUTE(SUBSTITUTE(SUBSTITUTE(SUBSTITUTE(UPPER(TRIM(B322&amp;"")),"₹",""),"RS.",""),"RS",""),"INR",""),"$",""),",","")," ",""))</f>
        <v/>
      </c>
      <c r="E322" s="6">
        <f>IF(C322="","",IF(RIGHT(D322,2)="CR","Cr",IF(RIGHT(D322,2)="DR","Dr","")))</f>
        <v/>
      </c>
      <c r="F322" s="6">
        <f>IF(C322="","",IF(E322&lt;&gt;"",LEFT(D322,LEN(D322)-2),D322))</f>
        <v/>
      </c>
      <c r="G322" s="13">
        <f>IF(C322="","",IF(OR(IF(AND(LEFT(F322,1)="(",RIGHT(F322,1)=")"),MID(F322,2,LEN(F322)-2),F322)="",IF(AND(LEFT(F322,1)="(",RIGHT(F322,1)=")"),MID(F322,2,LEN(F322)-2),F322)="-"),0,IFERROR(VALUE(IF(AND(LEFT(F322,1)="(",RIGHT(F322,1)=")"),MID(F322,2,LEN(F322)-2),F322))*IF(AND(LEFT(F322,1)="(",RIGHT(F322,1)=")"),-1,1)*IF(E322="Cr",Setup!$B$6,1),"ERR")))</f>
        <v/>
      </c>
      <c r="H322" s="6">
        <f>IF(C322="","",IF(ISNUMBER(G322),1,0))</f>
        <v/>
      </c>
      <c r="I322" s="6">
        <f>IF(C322="","",IF(SUMPRODUCT(($C$12:$C$1511=C322)*1)&gt;1,1,0))</f>
        <v/>
      </c>
      <c r="J322" s="6">
        <f>IF(C322="","",SUMPRODUCT((Mapping!$F$5:$F$504=Setup!$B$4&amp;"||"&amp;C322)*ROW(Mapping!$F$5:$F$504)))</f>
        <v/>
      </c>
      <c r="K322" s="6">
        <f>IF(C322="","",IF(J322=0,"UNMAPPED",LOWER(INDEX(Mapping!$D$1:$D$504,J322))))</f>
        <v/>
      </c>
      <c r="L322" s="6">
        <f>IF(K322="mapped",TRIM(INDEX(Mapping!$C$1:$C$504,J322)),"")</f>
        <v/>
      </c>
      <c r="M322" s="6">
        <f>IF(C322="","",IF(SUMPRODUCT(($C$12:C322=C322)*1)=1,1,0))</f>
        <v/>
      </c>
      <c r="N322" s="6">
        <f>IF(AND(K322="UNMAPPED",M322=1),ROW(),"")</f>
        <v/>
      </c>
      <c r="O322" s="6">
        <f>IF(AND(I322=1,M322=1),ROW(),"")</f>
        <v/>
      </c>
      <c r="P322" s="6">
        <f>IF(AND(K322="ignored",M322=1),ROW(),"")</f>
        <v/>
      </c>
    </row>
    <row r="323">
      <c r="A323" s="8" t="n"/>
      <c r="B323" s="8" t="n"/>
      <c r="C323" s="6">
        <f>TRIM(A323&amp;"")</f>
        <v/>
      </c>
      <c r="D323" s="6">
        <f>IF(C323="","",SUBSTITUTE(SUBSTITUTE(SUBSTITUTE(SUBSTITUTE(SUBSTITUTE(SUBSTITUTE(SUBSTITUTE(UPPER(TRIM(B323&amp;"")),"₹",""),"RS.",""),"RS",""),"INR",""),"$",""),",","")," ",""))</f>
        <v/>
      </c>
      <c r="E323" s="6">
        <f>IF(C323="","",IF(RIGHT(D323,2)="CR","Cr",IF(RIGHT(D323,2)="DR","Dr","")))</f>
        <v/>
      </c>
      <c r="F323" s="6">
        <f>IF(C323="","",IF(E323&lt;&gt;"",LEFT(D323,LEN(D323)-2),D323))</f>
        <v/>
      </c>
      <c r="G323" s="13">
        <f>IF(C323="","",IF(OR(IF(AND(LEFT(F323,1)="(",RIGHT(F323,1)=")"),MID(F323,2,LEN(F323)-2),F323)="",IF(AND(LEFT(F323,1)="(",RIGHT(F323,1)=")"),MID(F323,2,LEN(F323)-2),F323)="-"),0,IFERROR(VALUE(IF(AND(LEFT(F323,1)="(",RIGHT(F323,1)=")"),MID(F323,2,LEN(F323)-2),F323))*IF(AND(LEFT(F323,1)="(",RIGHT(F323,1)=")"),-1,1)*IF(E323="Cr",Setup!$B$6,1),"ERR")))</f>
        <v/>
      </c>
      <c r="H323" s="6">
        <f>IF(C323="","",IF(ISNUMBER(G323),1,0))</f>
        <v/>
      </c>
      <c r="I323" s="6">
        <f>IF(C323="","",IF(SUMPRODUCT(($C$12:$C$1511=C323)*1)&gt;1,1,0))</f>
        <v/>
      </c>
      <c r="J323" s="6">
        <f>IF(C323="","",SUMPRODUCT((Mapping!$F$5:$F$504=Setup!$B$4&amp;"||"&amp;C323)*ROW(Mapping!$F$5:$F$504)))</f>
        <v/>
      </c>
      <c r="K323" s="6">
        <f>IF(C323="","",IF(J323=0,"UNMAPPED",LOWER(INDEX(Mapping!$D$1:$D$504,J323))))</f>
        <v/>
      </c>
      <c r="L323" s="6">
        <f>IF(K323="mapped",TRIM(INDEX(Mapping!$C$1:$C$504,J323)),"")</f>
        <v/>
      </c>
      <c r="M323" s="6">
        <f>IF(C323="","",IF(SUMPRODUCT(($C$12:C323=C323)*1)=1,1,0))</f>
        <v/>
      </c>
      <c r="N323" s="6">
        <f>IF(AND(K323="UNMAPPED",M323=1),ROW(),"")</f>
        <v/>
      </c>
      <c r="O323" s="6">
        <f>IF(AND(I323=1,M323=1),ROW(),"")</f>
        <v/>
      </c>
      <c r="P323" s="6">
        <f>IF(AND(K323="ignored",M323=1),ROW(),"")</f>
        <v/>
      </c>
    </row>
    <row r="324">
      <c r="A324" s="8" t="n"/>
      <c r="B324" s="8" t="n"/>
      <c r="C324" s="6">
        <f>TRIM(A324&amp;"")</f>
        <v/>
      </c>
      <c r="D324" s="6">
        <f>IF(C324="","",SUBSTITUTE(SUBSTITUTE(SUBSTITUTE(SUBSTITUTE(SUBSTITUTE(SUBSTITUTE(SUBSTITUTE(UPPER(TRIM(B324&amp;"")),"₹",""),"RS.",""),"RS",""),"INR",""),"$",""),",","")," ",""))</f>
        <v/>
      </c>
      <c r="E324" s="6">
        <f>IF(C324="","",IF(RIGHT(D324,2)="CR","Cr",IF(RIGHT(D324,2)="DR","Dr","")))</f>
        <v/>
      </c>
      <c r="F324" s="6">
        <f>IF(C324="","",IF(E324&lt;&gt;"",LEFT(D324,LEN(D324)-2),D324))</f>
        <v/>
      </c>
      <c r="G324" s="13">
        <f>IF(C324="","",IF(OR(IF(AND(LEFT(F324,1)="(",RIGHT(F324,1)=")"),MID(F324,2,LEN(F324)-2),F324)="",IF(AND(LEFT(F324,1)="(",RIGHT(F324,1)=")"),MID(F324,2,LEN(F324)-2),F324)="-"),0,IFERROR(VALUE(IF(AND(LEFT(F324,1)="(",RIGHT(F324,1)=")"),MID(F324,2,LEN(F324)-2),F324))*IF(AND(LEFT(F324,1)="(",RIGHT(F324,1)=")"),-1,1)*IF(E324="Cr",Setup!$B$6,1),"ERR")))</f>
        <v/>
      </c>
      <c r="H324" s="6">
        <f>IF(C324="","",IF(ISNUMBER(G324),1,0))</f>
        <v/>
      </c>
      <c r="I324" s="6">
        <f>IF(C324="","",IF(SUMPRODUCT(($C$12:$C$1511=C324)*1)&gt;1,1,0))</f>
        <v/>
      </c>
      <c r="J324" s="6">
        <f>IF(C324="","",SUMPRODUCT((Mapping!$F$5:$F$504=Setup!$B$4&amp;"||"&amp;C324)*ROW(Mapping!$F$5:$F$504)))</f>
        <v/>
      </c>
      <c r="K324" s="6">
        <f>IF(C324="","",IF(J324=0,"UNMAPPED",LOWER(INDEX(Mapping!$D$1:$D$504,J324))))</f>
        <v/>
      </c>
      <c r="L324" s="6">
        <f>IF(K324="mapped",TRIM(INDEX(Mapping!$C$1:$C$504,J324)),"")</f>
        <v/>
      </c>
      <c r="M324" s="6">
        <f>IF(C324="","",IF(SUMPRODUCT(($C$12:C324=C324)*1)=1,1,0))</f>
        <v/>
      </c>
      <c r="N324" s="6">
        <f>IF(AND(K324="UNMAPPED",M324=1),ROW(),"")</f>
        <v/>
      </c>
      <c r="O324" s="6">
        <f>IF(AND(I324=1,M324=1),ROW(),"")</f>
        <v/>
      </c>
      <c r="P324" s="6">
        <f>IF(AND(K324="ignored",M324=1),ROW(),"")</f>
        <v/>
      </c>
    </row>
    <row r="325">
      <c r="A325" s="8" t="n"/>
      <c r="B325" s="8" t="n"/>
      <c r="C325" s="6">
        <f>TRIM(A325&amp;"")</f>
        <v/>
      </c>
      <c r="D325" s="6">
        <f>IF(C325="","",SUBSTITUTE(SUBSTITUTE(SUBSTITUTE(SUBSTITUTE(SUBSTITUTE(SUBSTITUTE(SUBSTITUTE(UPPER(TRIM(B325&amp;"")),"₹",""),"RS.",""),"RS",""),"INR",""),"$",""),",","")," ",""))</f>
        <v/>
      </c>
      <c r="E325" s="6">
        <f>IF(C325="","",IF(RIGHT(D325,2)="CR","Cr",IF(RIGHT(D325,2)="DR","Dr","")))</f>
        <v/>
      </c>
      <c r="F325" s="6">
        <f>IF(C325="","",IF(E325&lt;&gt;"",LEFT(D325,LEN(D325)-2),D325))</f>
        <v/>
      </c>
      <c r="G325" s="13">
        <f>IF(C325="","",IF(OR(IF(AND(LEFT(F325,1)="(",RIGHT(F325,1)=")"),MID(F325,2,LEN(F325)-2),F325)="",IF(AND(LEFT(F325,1)="(",RIGHT(F325,1)=")"),MID(F325,2,LEN(F325)-2),F325)="-"),0,IFERROR(VALUE(IF(AND(LEFT(F325,1)="(",RIGHT(F325,1)=")"),MID(F325,2,LEN(F325)-2),F325))*IF(AND(LEFT(F325,1)="(",RIGHT(F325,1)=")"),-1,1)*IF(E325="Cr",Setup!$B$6,1),"ERR")))</f>
        <v/>
      </c>
      <c r="H325" s="6">
        <f>IF(C325="","",IF(ISNUMBER(G325),1,0))</f>
        <v/>
      </c>
      <c r="I325" s="6">
        <f>IF(C325="","",IF(SUMPRODUCT(($C$12:$C$1511=C325)*1)&gt;1,1,0))</f>
        <v/>
      </c>
      <c r="J325" s="6">
        <f>IF(C325="","",SUMPRODUCT((Mapping!$F$5:$F$504=Setup!$B$4&amp;"||"&amp;C325)*ROW(Mapping!$F$5:$F$504)))</f>
        <v/>
      </c>
      <c r="K325" s="6">
        <f>IF(C325="","",IF(J325=0,"UNMAPPED",LOWER(INDEX(Mapping!$D$1:$D$504,J325))))</f>
        <v/>
      </c>
      <c r="L325" s="6">
        <f>IF(K325="mapped",TRIM(INDEX(Mapping!$C$1:$C$504,J325)),"")</f>
        <v/>
      </c>
      <c r="M325" s="6">
        <f>IF(C325="","",IF(SUMPRODUCT(($C$12:C325=C325)*1)=1,1,0))</f>
        <v/>
      </c>
      <c r="N325" s="6">
        <f>IF(AND(K325="UNMAPPED",M325=1),ROW(),"")</f>
        <v/>
      </c>
      <c r="O325" s="6">
        <f>IF(AND(I325=1,M325=1),ROW(),"")</f>
        <v/>
      </c>
      <c r="P325" s="6">
        <f>IF(AND(K325="ignored",M325=1),ROW(),"")</f>
        <v/>
      </c>
    </row>
    <row r="326">
      <c r="A326" s="8" t="n"/>
      <c r="B326" s="8" t="n"/>
      <c r="C326" s="6">
        <f>TRIM(A326&amp;"")</f>
        <v/>
      </c>
      <c r="D326" s="6">
        <f>IF(C326="","",SUBSTITUTE(SUBSTITUTE(SUBSTITUTE(SUBSTITUTE(SUBSTITUTE(SUBSTITUTE(SUBSTITUTE(UPPER(TRIM(B326&amp;"")),"₹",""),"RS.",""),"RS",""),"INR",""),"$",""),",","")," ",""))</f>
        <v/>
      </c>
      <c r="E326" s="6">
        <f>IF(C326="","",IF(RIGHT(D326,2)="CR","Cr",IF(RIGHT(D326,2)="DR","Dr","")))</f>
        <v/>
      </c>
      <c r="F326" s="6">
        <f>IF(C326="","",IF(E326&lt;&gt;"",LEFT(D326,LEN(D326)-2),D326))</f>
        <v/>
      </c>
      <c r="G326" s="13">
        <f>IF(C326="","",IF(OR(IF(AND(LEFT(F326,1)="(",RIGHT(F326,1)=")"),MID(F326,2,LEN(F326)-2),F326)="",IF(AND(LEFT(F326,1)="(",RIGHT(F326,1)=")"),MID(F326,2,LEN(F326)-2),F326)="-"),0,IFERROR(VALUE(IF(AND(LEFT(F326,1)="(",RIGHT(F326,1)=")"),MID(F326,2,LEN(F326)-2),F326))*IF(AND(LEFT(F326,1)="(",RIGHT(F326,1)=")"),-1,1)*IF(E326="Cr",Setup!$B$6,1),"ERR")))</f>
        <v/>
      </c>
      <c r="H326" s="6">
        <f>IF(C326="","",IF(ISNUMBER(G326),1,0))</f>
        <v/>
      </c>
      <c r="I326" s="6">
        <f>IF(C326="","",IF(SUMPRODUCT(($C$12:$C$1511=C326)*1)&gt;1,1,0))</f>
        <v/>
      </c>
      <c r="J326" s="6">
        <f>IF(C326="","",SUMPRODUCT((Mapping!$F$5:$F$504=Setup!$B$4&amp;"||"&amp;C326)*ROW(Mapping!$F$5:$F$504)))</f>
        <v/>
      </c>
      <c r="K326" s="6">
        <f>IF(C326="","",IF(J326=0,"UNMAPPED",LOWER(INDEX(Mapping!$D$1:$D$504,J326))))</f>
        <v/>
      </c>
      <c r="L326" s="6">
        <f>IF(K326="mapped",TRIM(INDEX(Mapping!$C$1:$C$504,J326)),"")</f>
        <v/>
      </c>
      <c r="M326" s="6">
        <f>IF(C326="","",IF(SUMPRODUCT(($C$12:C326=C326)*1)=1,1,0))</f>
        <v/>
      </c>
      <c r="N326" s="6">
        <f>IF(AND(K326="UNMAPPED",M326=1),ROW(),"")</f>
        <v/>
      </c>
      <c r="O326" s="6">
        <f>IF(AND(I326=1,M326=1),ROW(),"")</f>
        <v/>
      </c>
      <c r="P326" s="6">
        <f>IF(AND(K326="ignored",M326=1),ROW(),"")</f>
        <v/>
      </c>
    </row>
    <row r="327">
      <c r="A327" s="8" t="n"/>
      <c r="B327" s="8" t="n"/>
      <c r="C327" s="6">
        <f>TRIM(A327&amp;"")</f>
        <v/>
      </c>
      <c r="D327" s="6">
        <f>IF(C327="","",SUBSTITUTE(SUBSTITUTE(SUBSTITUTE(SUBSTITUTE(SUBSTITUTE(SUBSTITUTE(SUBSTITUTE(UPPER(TRIM(B327&amp;"")),"₹",""),"RS.",""),"RS",""),"INR",""),"$",""),",","")," ",""))</f>
        <v/>
      </c>
      <c r="E327" s="6">
        <f>IF(C327="","",IF(RIGHT(D327,2)="CR","Cr",IF(RIGHT(D327,2)="DR","Dr","")))</f>
        <v/>
      </c>
      <c r="F327" s="6">
        <f>IF(C327="","",IF(E327&lt;&gt;"",LEFT(D327,LEN(D327)-2),D327))</f>
        <v/>
      </c>
      <c r="G327" s="13">
        <f>IF(C327="","",IF(OR(IF(AND(LEFT(F327,1)="(",RIGHT(F327,1)=")"),MID(F327,2,LEN(F327)-2),F327)="",IF(AND(LEFT(F327,1)="(",RIGHT(F327,1)=")"),MID(F327,2,LEN(F327)-2),F327)="-"),0,IFERROR(VALUE(IF(AND(LEFT(F327,1)="(",RIGHT(F327,1)=")"),MID(F327,2,LEN(F327)-2),F327))*IF(AND(LEFT(F327,1)="(",RIGHT(F327,1)=")"),-1,1)*IF(E327="Cr",Setup!$B$6,1),"ERR")))</f>
        <v/>
      </c>
      <c r="H327" s="6">
        <f>IF(C327="","",IF(ISNUMBER(G327),1,0))</f>
        <v/>
      </c>
      <c r="I327" s="6">
        <f>IF(C327="","",IF(SUMPRODUCT(($C$12:$C$1511=C327)*1)&gt;1,1,0))</f>
        <v/>
      </c>
      <c r="J327" s="6">
        <f>IF(C327="","",SUMPRODUCT((Mapping!$F$5:$F$504=Setup!$B$4&amp;"||"&amp;C327)*ROW(Mapping!$F$5:$F$504)))</f>
        <v/>
      </c>
      <c r="K327" s="6">
        <f>IF(C327="","",IF(J327=0,"UNMAPPED",LOWER(INDEX(Mapping!$D$1:$D$504,J327))))</f>
        <v/>
      </c>
      <c r="L327" s="6">
        <f>IF(K327="mapped",TRIM(INDEX(Mapping!$C$1:$C$504,J327)),"")</f>
        <v/>
      </c>
      <c r="M327" s="6">
        <f>IF(C327="","",IF(SUMPRODUCT(($C$12:C327=C327)*1)=1,1,0))</f>
        <v/>
      </c>
      <c r="N327" s="6">
        <f>IF(AND(K327="UNMAPPED",M327=1),ROW(),"")</f>
        <v/>
      </c>
      <c r="O327" s="6">
        <f>IF(AND(I327=1,M327=1),ROW(),"")</f>
        <v/>
      </c>
      <c r="P327" s="6">
        <f>IF(AND(K327="ignored",M327=1),ROW(),"")</f>
        <v/>
      </c>
    </row>
    <row r="328">
      <c r="A328" s="8" t="n"/>
      <c r="B328" s="8" t="n"/>
      <c r="C328" s="6">
        <f>TRIM(A328&amp;"")</f>
        <v/>
      </c>
      <c r="D328" s="6">
        <f>IF(C328="","",SUBSTITUTE(SUBSTITUTE(SUBSTITUTE(SUBSTITUTE(SUBSTITUTE(SUBSTITUTE(SUBSTITUTE(UPPER(TRIM(B328&amp;"")),"₹",""),"RS.",""),"RS",""),"INR",""),"$",""),",","")," ",""))</f>
        <v/>
      </c>
      <c r="E328" s="6">
        <f>IF(C328="","",IF(RIGHT(D328,2)="CR","Cr",IF(RIGHT(D328,2)="DR","Dr","")))</f>
        <v/>
      </c>
      <c r="F328" s="6">
        <f>IF(C328="","",IF(E328&lt;&gt;"",LEFT(D328,LEN(D328)-2),D328))</f>
        <v/>
      </c>
      <c r="G328" s="13">
        <f>IF(C328="","",IF(OR(IF(AND(LEFT(F328,1)="(",RIGHT(F328,1)=")"),MID(F328,2,LEN(F328)-2),F328)="",IF(AND(LEFT(F328,1)="(",RIGHT(F328,1)=")"),MID(F328,2,LEN(F328)-2),F328)="-"),0,IFERROR(VALUE(IF(AND(LEFT(F328,1)="(",RIGHT(F328,1)=")"),MID(F328,2,LEN(F328)-2),F328))*IF(AND(LEFT(F328,1)="(",RIGHT(F328,1)=")"),-1,1)*IF(E328="Cr",Setup!$B$6,1),"ERR")))</f>
        <v/>
      </c>
      <c r="H328" s="6">
        <f>IF(C328="","",IF(ISNUMBER(G328),1,0))</f>
        <v/>
      </c>
      <c r="I328" s="6">
        <f>IF(C328="","",IF(SUMPRODUCT(($C$12:$C$1511=C328)*1)&gt;1,1,0))</f>
        <v/>
      </c>
      <c r="J328" s="6">
        <f>IF(C328="","",SUMPRODUCT((Mapping!$F$5:$F$504=Setup!$B$4&amp;"||"&amp;C328)*ROW(Mapping!$F$5:$F$504)))</f>
        <v/>
      </c>
      <c r="K328" s="6">
        <f>IF(C328="","",IF(J328=0,"UNMAPPED",LOWER(INDEX(Mapping!$D$1:$D$504,J328))))</f>
        <v/>
      </c>
      <c r="L328" s="6">
        <f>IF(K328="mapped",TRIM(INDEX(Mapping!$C$1:$C$504,J328)),"")</f>
        <v/>
      </c>
      <c r="M328" s="6">
        <f>IF(C328="","",IF(SUMPRODUCT(($C$12:C328=C328)*1)=1,1,0))</f>
        <v/>
      </c>
      <c r="N328" s="6">
        <f>IF(AND(K328="UNMAPPED",M328=1),ROW(),"")</f>
        <v/>
      </c>
      <c r="O328" s="6">
        <f>IF(AND(I328=1,M328=1),ROW(),"")</f>
        <v/>
      </c>
      <c r="P328" s="6">
        <f>IF(AND(K328="ignored",M328=1),ROW(),"")</f>
        <v/>
      </c>
    </row>
    <row r="329">
      <c r="A329" s="8" t="n"/>
      <c r="B329" s="8" t="n"/>
      <c r="C329" s="6">
        <f>TRIM(A329&amp;"")</f>
        <v/>
      </c>
      <c r="D329" s="6">
        <f>IF(C329="","",SUBSTITUTE(SUBSTITUTE(SUBSTITUTE(SUBSTITUTE(SUBSTITUTE(SUBSTITUTE(SUBSTITUTE(UPPER(TRIM(B329&amp;"")),"₹",""),"RS.",""),"RS",""),"INR",""),"$",""),",","")," ",""))</f>
        <v/>
      </c>
      <c r="E329" s="6">
        <f>IF(C329="","",IF(RIGHT(D329,2)="CR","Cr",IF(RIGHT(D329,2)="DR","Dr","")))</f>
        <v/>
      </c>
      <c r="F329" s="6">
        <f>IF(C329="","",IF(E329&lt;&gt;"",LEFT(D329,LEN(D329)-2),D329))</f>
        <v/>
      </c>
      <c r="G329" s="13">
        <f>IF(C329="","",IF(OR(IF(AND(LEFT(F329,1)="(",RIGHT(F329,1)=")"),MID(F329,2,LEN(F329)-2),F329)="",IF(AND(LEFT(F329,1)="(",RIGHT(F329,1)=")"),MID(F329,2,LEN(F329)-2),F329)="-"),0,IFERROR(VALUE(IF(AND(LEFT(F329,1)="(",RIGHT(F329,1)=")"),MID(F329,2,LEN(F329)-2),F329))*IF(AND(LEFT(F329,1)="(",RIGHT(F329,1)=")"),-1,1)*IF(E329="Cr",Setup!$B$6,1),"ERR")))</f>
        <v/>
      </c>
      <c r="H329" s="6">
        <f>IF(C329="","",IF(ISNUMBER(G329),1,0))</f>
        <v/>
      </c>
      <c r="I329" s="6">
        <f>IF(C329="","",IF(SUMPRODUCT(($C$12:$C$1511=C329)*1)&gt;1,1,0))</f>
        <v/>
      </c>
      <c r="J329" s="6">
        <f>IF(C329="","",SUMPRODUCT((Mapping!$F$5:$F$504=Setup!$B$4&amp;"||"&amp;C329)*ROW(Mapping!$F$5:$F$504)))</f>
        <v/>
      </c>
      <c r="K329" s="6">
        <f>IF(C329="","",IF(J329=0,"UNMAPPED",LOWER(INDEX(Mapping!$D$1:$D$504,J329))))</f>
        <v/>
      </c>
      <c r="L329" s="6">
        <f>IF(K329="mapped",TRIM(INDEX(Mapping!$C$1:$C$504,J329)),"")</f>
        <v/>
      </c>
      <c r="M329" s="6">
        <f>IF(C329="","",IF(SUMPRODUCT(($C$12:C329=C329)*1)=1,1,0))</f>
        <v/>
      </c>
      <c r="N329" s="6">
        <f>IF(AND(K329="UNMAPPED",M329=1),ROW(),"")</f>
        <v/>
      </c>
      <c r="O329" s="6">
        <f>IF(AND(I329=1,M329=1),ROW(),"")</f>
        <v/>
      </c>
      <c r="P329" s="6">
        <f>IF(AND(K329="ignored",M329=1),ROW(),"")</f>
        <v/>
      </c>
    </row>
    <row r="330">
      <c r="A330" s="8" t="n"/>
      <c r="B330" s="8" t="n"/>
      <c r="C330" s="6">
        <f>TRIM(A330&amp;"")</f>
        <v/>
      </c>
      <c r="D330" s="6">
        <f>IF(C330="","",SUBSTITUTE(SUBSTITUTE(SUBSTITUTE(SUBSTITUTE(SUBSTITUTE(SUBSTITUTE(SUBSTITUTE(UPPER(TRIM(B330&amp;"")),"₹",""),"RS.",""),"RS",""),"INR",""),"$",""),",","")," ",""))</f>
        <v/>
      </c>
      <c r="E330" s="6">
        <f>IF(C330="","",IF(RIGHT(D330,2)="CR","Cr",IF(RIGHT(D330,2)="DR","Dr","")))</f>
        <v/>
      </c>
      <c r="F330" s="6">
        <f>IF(C330="","",IF(E330&lt;&gt;"",LEFT(D330,LEN(D330)-2),D330))</f>
        <v/>
      </c>
      <c r="G330" s="13">
        <f>IF(C330="","",IF(OR(IF(AND(LEFT(F330,1)="(",RIGHT(F330,1)=")"),MID(F330,2,LEN(F330)-2),F330)="",IF(AND(LEFT(F330,1)="(",RIGHT(F330,1)=")"),MID(F330,2,LEN(F330)-2),F330)="-"),0,IFERROR(VALUE(IF(AND(LEFT(F330,1)="(",RIGHT(F330,1)=")"),MID(F330,2,LEN(F330)-2),F330))*IF(AND(LEFT(F330,1)="(",RIGHT(F330,1)=")"),-1,1)*IF(E330="Cr",Setup!$B$6,1),"ERR")))</f>
        <v/>
      </c>
      <c r="H330" s="6">
        <f>IF(C330="","",IF(ISNUMBER(G330),1,0))</f>
        <v/>
      </c>
      <c r="I330" s="6">
        <f>IF(C330="","",IF(SUMPRODUCT(($C$12:$C$1511=C330)*1)&gt;1,1,0))</f>
        <v/>
      </c>
      <c r="J330" s="6">
        <f>IF(C330="","",SUMPRODUCT((Mapping!$F$5:$F$504=Setup!$B$4&amp;"||"&amp;C330)*ROW(Mapping!$F$5:$F$504)))</f>
        <v/>
      </c>
      <c r="K330" s="6">
        <f>IF(C330="","",IF(J330=0,"UNMAPPED",LOWER(INDEX(Mapping!$D$1:$D$504,J330))))</f>
        <v/>
      </c>
      <c r="L330" s="6">
        <f>IF(K330="mapped",TRIM(INDEX(Mapping!$C$1:$C$504,J330)),"")</f>
        <v/>
      </c>
      <c r="M330" s="6">
        <f>IF(C330="","",IF(SUMPRODUCT(($C$12:C330=C330)*1)=1,1,0))</f>
        <v/>
      </c>
      <c r="N330" s="6">
        <f>IF(AND(K330="UNMAPPED",M330=1),ROW(),"")</f>
        <v/>
      </c>
      <c r="O330" s="6">
        <f>IF(AND(I330=1,M330=1),ROW(),"")</f>
        <v/>
      </c>
      <c r="P330" s="6">
        <f>IF(AND(K330="ignored",M330=1),ROW(),"")</f>
        <v/>
      </c>
    </row>
    <row r="331">
      <c r="A331" s="8" t="n"/>
      <c r="B331" s="8" t="n"/>
      <c r="C331" s="6">
        <f>TRIM(A331&amp;"")</f>
        <v/>
      </c>
      <c r="D331" s="6">
        <f>IF(C331="","",SUBSTITUTE(SUBSTITUTE(SUBSTITUTE(SUBSTITUTE(SUBSTITUTE(SUBSTITUTE(SUBSTITUTE(UPPER(TRIM(B331&amp;"")),"₹",""),"RS.",""),"RS",""),"INR",""),"$",""),",","")," ",""))</f>
        <v/>
      </c>
      <c r="E331" s="6">
        <f>IF(C331="","",IF(RIGHT(D331,2)="CR","Cr",IF(RIGHT(D331,2)="DR","Dr","")))</f>
        <v/>
      </c>
      <c r="F331" s="6">
        <f>IF(C331="","",IF(E331&lt;&gt;"",LEFT(D331,LEN(D331)-2),D331))</f>
        <v/>
      </c>
      <c r="G331" s="13">
        <f>IF(C331="","",IF(OR(IF(AND(LEFT(F331,1)="(",RIGHT(F331,1)=")"),MID(F331,2,LEN(F331)-2),F331)="",IF(AND(LEFT(F331,1)="(",RIGHT(F331,1)=")"),MID(F331,2,LEN(F331)-2),F331)="-"),0,IFERROR(VALUE(IF(AND(LEFT(F331,1)="(",RIGHT(F331,1)=")"),MID(F331,2,LEN(F331)-2),F331))*IF(AND(LEFT(F331,1)="(",RIGHT(F331,1)=")"),-1,1)*IF(E331="Cr",Setup!$B$6,1),"ERR")))</f>
        <v/>
      </c>
      <c r="H331" s="6">
        <f>IF(C331="","",IF(ISNUMBER(G331),1,0))</f>
        <v/>
      </c>
      <c r="I331" s="6">
        <f>IF(C331="","",IF(SUMPRODUCT(($C$12:$C$1511=C331)*1)&gt;1,1,0))</f>
        <v/>
      </c>
      <c r="J331" s="6">
        <f>IF(C331="","",SUMPRODUCT((Mapping!$F$5:$F$504=Setup!$B$4&amp;"||"&amp;C331)*ROW(Mapping!$F$5:$F$504)))</f>
        <v/>
      </c>
      <c r="K331" s="6">
        <f>IF(C331="","",IF(J331=0,"UNMAPPED",LOWER(INDEX(Mapping!$D$1:$D$504,J331))))</f>
        <v/>
      </c>
      <c r="L331" s="6">
        <f>IF(K331="mapped",TRIM(INDEX(Mapping!$C$1:$C$504,J331)),"")</f>
        <v/>
      </c>
      <c r="M331" s="6">
        <f>IF(C331="","",IF(SUMPRODUCT(($C$12:C331=C331)*1)=1,1,0))</f>
        <v/>
      </c>
      <c r="N331" s="6">
        <f>IF(AND(K331="UNMAPPED",M331=1),ROW(),"")</f>
        <v/>
      </c>
      <c r="O331" s="6">
        <f>IF(AND(I331=1,M331=1),ROW(),"")</f>
        <v/>
      </c>
      <c r="P331" s="6">
        <f>IF(AND(K331="ignored",M331=1),ROW(),"")</f>
        <v/>
      </c>
    </row>
    <row r="332">
      <c r="A332" s="8" t="n"/>
      <c r="B332" s="8" t="n"/>
      <c r="C332" s="6">
        <f>TRIM(A332&amp;"")</f>
        <v/>
      </c>
      <c r="D332" s="6">
        <f>IF(C332="","",SUBSTITUTE(SUBSTITUTE(SUBSTITUTE(SUBSTITUTE(SUBSTITUTE(SUBSTITUTE(SUBSTITUTE(UPPER(TRIM(B332&amp;"")),"₹",""),"RS.",""),"RS",""),"INR",""),"$",""),",","")," ",""))</f>
        <v/>
      </c>
      <c r="E332" s="6">
        <f>IF(C332="","",IF(RIGHT(D332,2)="CR","Cr",IF(RIGHT(D332,2)="DR","Dr","")))</f>
        <v/>
      </c>
      <c r="F332" s="6">
        <f>IF(C332="","",IF(E332&lt;&gt;"",LEFT(D332,LEN(D332)-2),D332))</f>
        <v/>
      </c>
      <c r="G332" s="13">
        <f>IF(C332="","",IF(OR(IF(AND(LEFT(F332,1)="(",RIGHT(F332,1)=")"),MID(F332,2,LEN(F332)-2),F332)="",IF(AND(LEFT(F332,1)="(",RIGHT(F332,1)=")"),MID(F332,2,LEN(F332)-2),F332)="-"),0,IFERROR(VALUE(IF(AND(LEFT(F332,1)="(",RIGHT(F332,1)=")"),MID(F332,2,LEN(F332)-2),F332))*IF(AND(LEFT(F332,1)="(",RIGHT(F332,1)=")"),-1,1)*IF(E332="Cr",Setup!$B$6,1),"ERR")))</f>
        <v/>
      </c>
      <c r="H332" s="6">
        <f>IF(C332="","",IF(ISNUMBER(G332),1,0))</f>
        <v/>
      </c>
      <c r="I332" s="6">
        <f>IF(C332="","",IF(SUMPRODUCT(($C$12:$C$1511=C332)*1)&gt;1,1,0))</f>
        <v/>
      </c>
      <c r="J332" s="6">
        <f>IF(C332="","",SUMPRODUCT((Mapping!$F$5:$F$504=Setup!$B$4&amp;"||"&amp;C332)*ROW(Mapping!$F$5:$F$504)))</f>
        <v/>
      </c>
      <c r="K332" s="6">
        <f>IF(C332="","",IF(J332=0,"UNMAPPED",LOWER(INDEX(Mapping!$D$1:$D$504,J332))))</f>
        <v/>
      </c>
      <c r="L332" s="6">
        <f>IF(K332="mapped",TRIM(INDEX(Mapping!$C$1:$C$504,J332)),"")</f>
        <v/>
      </c>
      <c r="M332" s="6">
        <f>IF(C332="","",IF(SUMPRODUCT(($C$12:C332=C332)*1)=1,1,0))</f>
        <v/>
      </c>
      <c r="N332" s="6">
        <f>IF(AND(K332="UNMAPPED",M332=1),ROW(),"")</f>
        <v/>
      </c>
      <c r="O332" s="6">
        <f>IF(AND(I332=1,M332=1),ROW(),"")</f>
        <v/>
      </c>
      <c r="P332" s="6">
        <f>IF(AND(K332="ignored",M332=1),ROW(),"")</f>
        <v/>
      </c>
    </row>
    <row r="333">
      <c r="A333" s="8" t="n"/>
      <c r="B333" s="8" t="n"/>
      <c r="C333" s="6">
        <f>TRIM(A333&amp;"")</f>
        <v/>
      </c>
      <c r="D333" s="6">
        <f>IF(C333="","",SUBSTITUTE(SUBSTITUTE(SUBSTITUTE(SUBSTITUTE(SUBSTITUTE(SUBSTITUTE(SUBSTITUTE(UPPER(TRIM(B333&amp;"")),"₹",""),"RS.",""),"RS",""),"INR",""),"$",""),",","")," ",""))</f>
        <v/>
      </c>
      <c r="E333" s="6">
        <f>IF(C333="","",IF(RIGHT(D333,2)="CR","Cr",IF(RIGHT(D333,2)="DR","Dr","")))</f>
        <v/>
      </c>
      <c r="F333" s="6">
        <f>IF(C333="","",IF(E333&lt;&gt;"",LEFT(D333,LEN(D333)-2),D333))</f>
        <v/>
      </c>
      <c r="G333" s="13">
        <f>IF(C333="","",IF(OR(IF(AND(LEFT(F333,1)="(",RIGHT(F333,1)=")"),MID(F333,2,LEN(F333)-2),F333)="",IF(AND(LEFT(F333,1)="(",RIGHT(F333,1)=")"),MID(F333,2,LEN(F333)-2),F333)="-"),0,IFERROR(VALUE(IF(AND(LEFT(F333,1)="(",RIGHT(F333,1)=")"),MID(F333,2,LEN(F333)-2),F333))*IF(AND(LEFT(F333,1)="(",RIGHT(F333,1)=")"),-1,1)*IF(E333="Cr",Setup!$B$6,1),"ERR")))</f>
        <v/>
      </c>
      <c r="H333" s="6">
        <f>IF(C333="","",IF(ISNUMBER(G333),1,0))</f>
        <v/>
      </c>
      <c r="I333" s="6">
        <f>IF(C333="","",IF(SUMPRODUCT(($C$12:$C$1511=C333)*1)&gt;1,1,0))</f>
        <v/>
      </c>
      <c r="J333" s="6">
        <f>IF(C333="","",SUMPRODUCT((Mapping!$F$5:$F$504=Setup!$B$4&amp;"||"&amp;C333)*ROW(Mapping!$F$5:$F$504)))</f>
        <v/>
      </c>
      <c r="K333" s="6">
        <f>IF(C333="","",IF(J333=0,"UNMAPPED",LOWER(INDEX(Mapping!$D$1:$D$504,J333))))</f>
        <v/>
      </c>
      <c r="L333" s="6">
        <f>IF(K333="mapped",TRIM(INDEX(Mapping!$C$1:$C$504,J333)),"")</f>
        <v/>
      </c>
      <c r="M333" s="6">
        <f>IF(C333="","",IF(SUMPRODUCT(($C$12:C333=C333)*1)=1,1,0))</f>
        <v/>
      </c>
      <c r="N333" s="6">
        <f>IF(AND(K333="UNMAPPED",M333=1),ROW(),"")</f>
        <v/>
      </c>
      <c r="O333" s="6">
        <f>IF(AND(I333=1,M333=1),ROW(),"")</f>
        <v/>
      </c>
      <c r="P333" s="6">
        <f>IF(AND(K333="ignored",M333=1),ROW(),"")</f>
        <v/>
      </c>
    </row>
    <row r="334">
      <c r="A334" s="8" t="n"/>
      <c r="B334" s="8" t="n"/>
      <c r="C334" s="6">
        <f>TRIM(A334&amp;"")</f>
        <v/>
      </c>
      <c r="D334" s="6">
        <f>IF(C334="","",SUBSTITUTE(SUBSTITUTE(SUBSTITUTE(SUBSTITUTE(SUBSTITUTE(SUBSTITUTE(SUBSTITUTE(UPPER(TRIM(B334&amp;"")),"₹",""),"RS.",""),"RS",""),"INR",""),"$",""),",","")," ",""))</f>
        <v/>
      </c>
      <c r="E334" s="6">
        <f>IF(C334="","",IF(RIGHT(D334,2)="CR","Cr",IF(RIGHT(D334,2)="DR","Dr","")))</f>
        <v/>
      </c>
      <c r="F334" s="6">
        <f>IF(C334="","",IF(E334&lt;&gt;"",LEFT(D334,LEN(D334)-2),D334))</f>
        <v/>
      </c>
      <c r="G334" s="13">
        <f>IF(C334="","",IF(OR(IF(AND(LEFT(F334,1)="(",RIGHT(F334,1)=")"),MID(F334,2,LEN(F334)-2),F334)="",IF(AND(LEFT(F334,1)="(",RIGHT(F334,1)=")"),MID(F334,2,LEN(F334)-2),F334)="-"),0,IFERROR(VALUE(IF(AND(LEFT(F334,1)="(",RIGHT(F334,1)=")"),MID(F334,2,LEN(F334)-2),F334))*IF(AND(LEFT(F334,1)="(",RIGHT(F334,1)=")"),-1,1)*IF(E334="Cr",Setup!$B$6,1),"ERR")))</f>
        <v/>
      </c>
      <c r="H334" s="6">
        <f>IF(C334="","",IF(ISNUMBER(G334),1,0))</f>
        <v/>
      </c>
      <c r="I334" s="6">
        <f>IF(C334="","",IF(SUMPRODUCT(($C$12:$C$1511=C334)*1)&gt;1,1,0))</f>
        <v/>
      </c>
      <c r="J334" s="6">
        <f>IF(C334="","",SUMPRODUCT((Mapping!$F$5:$F$504=Setup!$B$4&amp;"||"&amp;C334)*ROW(Mapping!$F$5:$F$504)))</f>
        <v/>
      </c>
      <c r="K334" s="6">
        <f>IF(C334="","",IF(J334=0,"UNMAPPED",LOWER(INDEX(Mapping!$D$1:$D$504,J334))))</f>
        <v/>
      </c>
      <c r="L334" s="6">
        <f>IF(K334="mapped",TRIM(INDEX(Mapping!$C$1:$C$504,J334)),"")</f>
        <v/>
      </c>
      <c r="M334" s="6">
        <f>IF(C334="","",IF(SUMPRODUCT(($C$12:C334=C334)*1)=1,1,0))</f>
        <v/>
      </c>
      <c r="N334" s="6">
        <f>IF(AND(K334="UNMAPPED",M334=1),ROW(),"")</f>
        <v/>
      </c>
      <c r="O334" s="6">
        <f>IF(AND(I334=1,M334=1),ROW(),"")</f>
        <v/>
      </c>
      <c r="P334" s="6">
        <f>IF(AND(K334="ignored",M334=1),ROW(),"")</f>
        <v/>
      </c>
    </row>
    <row r="335">
      <c r="A335" s="8" t="n"/>
      <c r="B335" s="8" t="n"/>
      <c r="C335" s="6">
        <f>TRIM(A335&amp;"")</f>
        <v/>
      </c>
      <c r="D335" s="6">
        <f>IF(C335="","",SUBSTITUTE(SUBSTITUTE(SUBSTITUTE(SUBSTITUTE(SUBSTITUTE(SUBSTITUTE(SUBSTITUTE(UPPER(TRIM(B335&amp;"")),"₹",""),"RS.",""),"RS",""),"INR",""),"$",""),",","")," ",""))</f>
        <v/>
      </c>
      <c r="E335" s="6">
        <f>IF(C335="","",IF(RIGHT(D335,2)="CR","Cr",IF(RIGHT(D335,2)="DR","Dr","")))</f>
        <v/>
      </c>
      <c r="F335" s="6">
        <f>IF(C335="","",IF(E335&lt;&gt;"",LEFT(D335,LEN(D335)-2),D335))</f>
        <v/>
      </c>
      <c r="G335" s="13">
        <f>IF(C335="","",IF(OR(IF(AND(LEFT(F335,1)="(",RIGHT(F335,1)=")"),MID(F335,2,LEN(F335)-2),F335)="",IF(AND(LEFT(F335,1)="(",RIGHT(F335,1)=")"),MID(F335,2,LEN(F335)-2),F335)="-"),0,IFERROR(VALUE(IF(AND(LEFT(F335,1)="(",RIGHT(F335,1)=")"),MID(F335,2,LEN(F335)-2),F335))*IF(AND(LEFT(F335,1)="(",RIGHT(F335,1)=")"),-1,1)*IF(E335="Cr",Setup!$B$6,1),"ERR")))</f>
        <v/>
      </c>
      <c r="H335" s="6">
        <f>IF(C335="","",IF(ISNUMBER(G335),1,0))</f>
        <v/>
      </c>
      <c r="I335" s="6">
        <f>IF(C335="","",IF(SUMPRODUCT(($C$12:$C$1511=C335)*1)&gt;1,1,0))</f>
        <v/>
      </c>
      <c r="J335" s="6">
        <f>IF(C335="","",SUMPRODUCT((Mapping!$F$5:$F$504=Setup!$B$4&amp;"||"&amp;C335)*ROW(Mapping!$F$5:$F$504)))</f>
        <v/>
      </c>
      <c r="K335" s="6">
        <f>IF(C335="","",IF(J335=0,"UNMAPPED",LOWER(INDEX(Mapping!$D$1:$D$504,J335))))</f>
        <v/>
      </c>
      <c r="L335" s="6">
        <f>IF(K335="mapped",TRIM(INDEX(Mapping!$C$1:$C$504,J335)),"")</f>
        <v/>
      </c>
      <c r="M335" s="6">
        <f>IF(C335="","",IF(SUMPRODUCT(($C$12:C335=C335)*1)=1,1,0))</f>
        <v/>
      </c>
      <c r="N335" s="6">
        <f>IF(AND(K335="UNMAPPED",M335=1),ROW(),"")</f>
        <v/>
      </c>
      <c r="O335" s="6">
        <f>IF(AND(I335=1,M335=1),ROW(),"")</f>
        <v/>
      </c>
      <c r="P335" s="6">
        <f>IF(AND(K335="ignored",M335=1),ROW(),"")</f>
        <v/>
      </c>
    </row>
    <row r="336">
      <c r="A336" s="8" t="n"/>
      <c r="B336" s="8" t="n"/>
      <c r="C336" s="6">
        <f>TRIM(A336&amp;"")</f>
        <v/>
      </c>
      <c r="D336" s="6">
        <f>IF(C336="","",SUBSTITUTE(SUBSTITUTE(SUBSTITUTE(SUBSTITUTE(SUBSTITUTE(SUBSTITUTE(SUBSTITUTE(UPPER(TRIM(B336&amp;"")),"₹",""),"RS.",""),"RS",""),"INR",""),"$",""),",","")," ",""))</f>
        <v/>
      </c>
      <c r="E336" s="6">
        <f>IF(C336="","",IF(RIGHT(D336,2)="CR","Cr",IF(RIGHT(D336,2)="DR","Dr","")))</f>
        <v/>
      </c>
      <c r="F336" s="6">
        <f>IF(C336="","",IF(E336&lt;&gt;"",LEFT(D336,LEN(D336)-2),D336))</f>
        <v/>
      </c>
      <c r="G336" s="13">
        <f>IF(C336="","",IF(OR(IF(AND(LEFT(F336,1)="(",RIGHT(F336,1)=")"),MID(F336,2,LEN(F336)-2),F336)="",IF(AND(LEFT(F336,1)="(",RIGHT(F336,1)=")"),MID(F336,2,LEN(F336)-2),F336)="-"),0,IFERROR(VALUE(IF(AND(LEFT(F336,1)="(",RIGHT(F336,1)=")"),MID(F336,2,LEN(F336)-2),F336))*IF(AND(LEFT(F336,1)="(",RIGHT(F336,1)=")"),-1,1)*IF(E336="Cr",Setup!$B$6,1),"ERR")))</f>
        <v/>
      </c>
      <c r="H336" s="6">
        <f>IF(C336="","",IF(ISNUMBER(G336),1,0))</f>
        <v/>
      </c>
      <c r="I336" s="6">
        <f>IF(C336="","",IF(SUMPRODUCT(($C$12:$C$1511=C336)*1)&gt;1,1,0))</f>
        <v/>
      </c>
      <c r="J336" s="6">
        <f>IF(C336="","",SUMPRODUCT((Mapping!$F$5:$F$504=Setup!$B$4&amp;"||"&amp;C336)*ROW(Mapping!$F$5:$F$504)))</f>
        <v/>
      </c>
      <c r="K336" s="6">
        <f>IF(C336="","",IF(J336=0,"UNMAPPED",LOWER(INDEX(Mapping!$D$1:$D$504,J336))))</f>
        <v/>
      </c>
      <c r="L336" s="6">
        <f>IF(K336="mapped",TRIM(INDEX(Mapping!$C$1:$C$504,J336)),"")</f>
        <v/>
      </c>
      <c r="M336" s="6">
        <f>IF(C336="","",IF(SUMPRODUCT(($C$12:C336=C336)*1)=1,1,0))</f>
        <v/>
      </c>
      <c r="N336" s="6">
        <f>IF(AND(K336="UNMAPPED",M336=1),ROW(),"")</f>
        <v/>
      </c>
      <c r="O336" s="6">
        <f>IF(AND(I336=1,M336=1),ROW(),"")</f>
        <v/>
      </c>
      <c r="P336" s="6">
        <f>IF(AND(K336="ignored",M336=1),ROW(),"")</f>
        <v/>
      </c>
    </row>
    <row r="337">
      <c r="A337" s="8" t="n"/>
      <c r="B337" s="8" t="n"/>
      <c r="C337" s="6">
        <f>TRIM(A337&amp;"")</f>
        <v/>
      </c>
      <c r="D337" s="6">
        <f>IF(C337="","",SUBSTITUTE(SUBSTITUTE(SUBSTITUTE(SUBSTITUTE(SUBSTITUTE(SUBSTITUTE(SUBSTITUTE(UPPER(TRIM(B337&amp;"")),"₹",""),"RS.",""),"RS",""),"INR",""),"$",""),",","")," ",""))</f>
        <v/>
      </c>
      <c r="E337" s="6">
        <f>IF(C337="","",IF(RIGHT(D337,2)="CR","Cr",IF(RIGHT(D337,2)="DR","Dr","")))</f>
        <v/>
      </c>
      <c r="F337" s="6">
        <f>IF(C337="","",IF(E337&lt;&gt;"",LEFT(D337,LEN(D337)-2),D337))</f>
        <v/>
      </c>
      <c r="G337" s="13">
        <f>IF(C337="","",IF(OR(IF(AND(LEFT(F337,1)="(",RIGHT(F337,1)=")"),MID(F337,2,LEN(F337)-2),F337)="",IF(AND(LEFT(F337,1)="(",RIGHT(F337,1)=")"),MID(F337,2,LEN(F337)-2),F337)="-"),0,IFERROR(VALUE(IF(AND(LEFT(F337,1)="(",RIGHT(F337,1)=")"),MID(F337,2,LEN(F337)-2),F337))*IF(AND(LEFT(F337,1)="(",RIGHT(F337,1)=")"),-1,1)*IF(E337="Cr",Setup!$B$6,1),"ERR")))</f>
        <v/>
      </c>
      <c r="H337" s="6">
        <f>IF(C337="","",IF(ISNUMBER(G337),1,0))</f>
        <v/>
      </c>
      <c r="I337" s="6">
        <f>IF(C337="","",IF(SUMPRODUCT(($C$12:$C$1511=C337)*1)&gt;1,1,0))</f>
        <v/>
      </c>
      <c r="J337" s="6">
        <f>IF(C337="","",SUMPRODUCT((Mapping!$F$5:$F$504=Setup!$B$4&amp;"||"&amp;C337)*ROW(Mapping!$F$5:$F$504)))</f>
        <v/>
      </c>
      <c r="K337" s="6">
        <f>IF(C337="","",IF(J337=0,"UNMAPPED",LOWER(INDEX(Mapping!$D$1:$D$504,J337))))</f>
        <v/>
      </c>
      <c r="L337" s="6">
        <f>IF(K337="mapped",TRIM(INDEX(Mapping!$C$1:$C$504,J337)),"")</f>
        <v/>
      </c>
      <c r="M337" s="6">
        <f>IF(C337="","",IF(SUMPRODUCT(($C$12:C337=C337)*1)=1,1,0))</f>
        <v/>
      </c>
      <c r="N337" s="6">
        <f>IF(AND(K337="UNMAPPED",M337=1),ROW(),"")</f>
        <v/>
      </c>
      <c r="O337" s="6">
        <f>IF(AND(I337=1,M337=1),ROW(),"")</f>
        <v/>
      </c>
      <c r="P337" s="6">
        <f>IF(AND(K337="ignored",M337=1),ROW(),"")</f>
        <v/>
      </c>
    </row>
    <row r="338">
      <c r="A338" s="8" t="n"/>
      <c r="B338" s="8" t="n"/>
      <c r="C338" s="6">
        <f>TRIM(A338&amp;"")</f>
        <v/>
      </c>
      <c r="D338" s="6">
        <f>IF(C338="","",SUBSTITUTE(SUBSTITUTE(SUBSTITUTE(SUBSTITUTE(SUBSTITUTE(SUBSTITUTE(SUBSTITUTE(UPPER(TRIM(B338&amp;"")),"₹",""),"RS.",""),"RS",""),"INR",""),"$",""),",","")," ",""))</f>
        <v/>
      </c>
      <c r="E338" s="6">
        <f>IF(C338="","",IF(RIGHT(D338,2)="CR","Cr",IF(RIGHT(D338,2)="DR","Dr","")))</f>
        <v/>
      </c>
      <c r="F338" s="6">
        <f>IF(C338="","",IF(E338&lt;&gt;"",LEFT(D338,LEN(D338)-2),D338))</f>
        <v/>
      </c>
      <c r="G338" s="13">
        <f>IF(C338="","",IF(OR(IF(AND(LEFT(F338,1)="(",RIGHT(F338,1)=")"),MID(F338,2,LEN(F338)-2),F338)="",IF(AND(LEFT(F338,1)="(",RIGHT(F338,1)=")"),MID(F338,2,LEN(F338)-2),F338)="-"),0,IFERROR(VALUE(IF(AND(LEFT(F338,1)="(",RIGHT(F338,1)=")"),MID(F338,2,LEN(F338)-2),F338))*IF(AND(LEFT(F338,1)="(",RIGHT(F338,1)=")"),-1,1)*IF(E338="Cr",Setup!$B$6,1),"ERR")))</f>
        <v/>
      </c>
      <c r="H338" s="6">
        <f>IF(C338="","",IF(ISNUMBER(G338),1,0))</f>
        <v/>
      </c>
      <c r="I338" s="6">
        <f>IF(C338="","",IF(SUMPRODUCT(($C$12:$C$1511=C338)*1)&gt;1,1,0))</f>
        <v/>
      </c>
      <c r="J338" s="6">
        <f>IF(C338="","",SUMPRODUCT((Mapping!$F$5:$F$504=Setup!$B$4&amp;"||"&amp;C338)*ROW(Mapping!$F$5:$F$504)))</f>
        <v/>
      </c>
      <c r="K338" s="6">
        <f>IF(C338="","",IF(J338=0,"UNMAPPED",LOWER(INDEX(Mapping!$D$1:$D$504,J338))))</f>
        <v/>
      </c>
      <c r="L338" s="6">
        <f>IF(K338="mapped",TRIM(INDEX(Mapping!$C$1:$C$504,J338)),"")</f>
        <v/>
      </c>
      <c r="M338" s="6">
        <f>IF(C338="","",IF(SUMPRODUCT(($C$12:C338=C338)*1)=1,1,0))</f>
        <v/>
      </c>
      <c r="N338" s="6">
        <f>IF(AND(K338="UNMAPPED",M338=1),ROW(),"")</f>
        <v/>
      </c>
      <c r="O338" s="6">
        <f>IF(AND(I338=1,M338=1),ROW(),"")</f>
        <v/>
      </c>
      <c r="P338" s="6">
        <f>IF(AND(K338="ignored",M338=1),ROW(),"")</f>
        <v/>
      </c>
    </row>
    <row r="339">
      <c r="A339" s="8" t="n"/>
      <c r="B339" s="8" t="n"/>
      <c r="C339" s="6">
        <f>TRIM(A339&amp;"")</f>
        <v/>
      </c>
      <c r="D339" s="6">
        <f>IF(C339="","",SUBSTITUTE(SUBSTITUTE(SUBSTITUTE(SUBSTITUTE(SUBSTITUTE(SUBSTITUTE(SUBSTITUTE(UPPER(TRIM(B339&amp;"")),"₹",""),"RS.",""),"RS",""),"INR",""),"$",""),",","")," ",""))</f>
        <v/>
      </c>
      <c r="E339" s="6">
        <f>IF(C339="","",IF(RIGHT(D339,2)="CR","Cr",IF(RIGHT(D339,2)="DR","Dr","")))</f>
        <v/>
      </c>
      <c r="F339" s="6">
        <f>IF(C339="","",IF(E339&lt;&gt;"",LEFT(D339,LEN(D339)-2),D339))</f>
        <v/>
      </c>
      <c r="G339" s="13">
        <f>IF(C339="","",IF(OR(IF(AND(LEFT(F339,1)="(",RIGHT(F339,1)=")"),MID(F339,2,LEN(F339)-2),F339)="",IF(AND(LEFT(F339,1)="(",RIGHT(F339,1)=")"),MID(F339,2,LEN(F339)-2),F339)="-"),0,IFERROR(VALUE(IF(AND(LEFT(F339,1)="(",RIGHT(F339,1)=")"),MID(F339,2,LEN(F339)-2),F339))*IF(AND(LEFT(F339,1)="(",RIGHT(F339,1)=")"),-1,1)*IF(E339="Cr",Setup!$B$6,1),"ERR")))</f>
        <v/>
      </c>
      <c r="H339" s="6">
        <f>IF(C339="","",IF(ISNUMBER(G339),1,0))</f>
        <v/>
      </c>
      <c r="I339" s="6">
        <f>IF(C339="","",IF(SUMPRODUCT(($C$12:$C$1511=C339)*1)&gt;1,1,0))</f>
        <v/>
      </c>
      <c r="J339" s="6">
        <f>IF(C339="","",SUMPRODUCT((Mapping!$F$5:$F$504=Setup!$B$4&amp;"||"&amp;C339)*ROW(Mapping!$F$5:$F$504)))</f>
        <v/>
      </c>
      <c r="K339" s="6">
        <f>IF(C339="","",IF(J339=0,"UNMAPPED",LOWER(INDEX(Mapping!$D$1:$D$504,J339))))</f>
        <v/>
      </c>
      <c r="L339" s="6">
        <f>IF(K339="mapped",TRIM(INDEX(Mapping!$C$1:$C$504,J339)),"")</f>
        <v/>
      </c>
      <c r="M339" s="6">
        <f>IF(C339="","",IF(SUMPRODUCT(($C$12:C339=C339)*1)=1,1,0))</f>
        <v/>
      </c>
      <c r="N339" s="6">
        <f>IF(AND(K339="UNMAPPED",M339=1),ROW(),"")</f>
        <v/>
      </c>
      <c r="O339" s="6">
        <f>IF(AND(I339=1,M339=1),ROW(),"")</f>
        <v/>
      </c>
      <c r="P339" s="6">
        <f>IF(AND(K339="ignored",M339=1),ROW(),"")</f>
        <v/>
      </c>
    </row>
    <row r="340">
      <c r="A340" s="8" t="n"/>
      <c r="B340" s="8" t="n"/>
      <c r="C340" s="6">
        <f>TRIM(A340&amp;"")</f>
        <v/>
      </c>
      <c r="D340" s="6">
        <f>IF(C340="","",SUBSTITUTE(SUBSTITUTE(SUBSTITUTE(SUBSTITUTE(SUBSTITUTE(SUBSTITUTE(SUBSTITUTE(UPPER(TRIM(B340&amp;"")),"₹",""),"RS.",""),"RS",""),"INR",""),"$",""),",","")," ",""))</f>
        <v/>
      </c>
      <c r="E340" s="6">
        <f>IF(C340="","",IF(RIGHT(D340,2)="CR","Cr",IF(RIGHT(D340,2)="DR","Dr","")))</f>
        <v/>
      </c>
      <c r="F340" s="6">
        <f>IF(C340="","",IF(E340&lt;&gt;"",LEFT(D340,LEN(D340)-2),D340))</f>
        <v/>
      </c>
      <c r="G340" s="13">
        <f>IF(C340="","",IF(OR(IF(AND(LEFT(F340,1)="(",RIGHT(F340,1)=")"),MID(F340,2,LEN(F340)-2),F340)="",IF(AND(LEFT(F340,1)="(",RIGHT(F340,1)=")"),MID(F340,2,LEN(F340)-2),F340)="-"),0,IFERROR(VALUE(IF(AND(LEFT(F340,1)="(",RIGHT(F340,1)=")"),MID(F340,2,LEN(F340)-2),F340))*IF(AND(LEFT(F340,1)="(",RIGHT(F340,1)=")"),-1,1)*IF(E340="Cr",Setup!$B$6,1),"ERR")))</f>
        <v/>
      </c>
      <c r="H340" s="6">
        <f>IF(C340="","",IF(ISNUMBER(G340),1,0))</f>
        <v/>
      </c>
      <c r="I340" s="6">
        <f>IF(C340="","",IF(SUMPRODUCT(($C$12:$C$1511=C340)*1)&gt;1,1,0))</f>
        <v/>
      </c>
      <c r="J340" s="6">
        <f>IF(C340="","",SUMPRODUCT((Mapping!$F$5:$F$504=Setup!$B$4&amp;"||"&amp;C340)*ROW(Mapping!$F$5:$F$504)))</f>
        <v/>
      </c>
      <c r="K340" s="6">
        <f>IF(C340="","",IF(J340=0,"UNMAPPED",LOWER(INDEX(Mapping!$D$1:$D$504,J340))))</f>
        <v/>
      </c>
      <c r="L340" s="6">
        <f>IF(K340="mapped",TRIM(INDEX(Mapping!$C$1:$C$504,J340)),"")</f>
        <v/>
      </c>
      <c r="M340" s="6">
        <f>IF(C340="","",IF(SUMPRODUCT(($C$12:C340=C340)*1)=1,1,0))</f>
        <v/>
      </c>
      <c r="N340" s="6">
        <f>IF(AND(K340="UNMAPPED",M340=1),ROW(),"")</f>
        <v/>
      </c>
      <c r="O340" s="6">
        <f>IF(AND(I340=1,M340=1),ROW(),"")</f>
        <v/>
      </c>
      <c r="P340" s="6">
        <f>IF(AND(K340="ignored",M340=1),ROW(),"")</f>
        <v/>
      </c>
    </row>
    <row r="341">
      <c r="A341" s="8" t="n"/>
      <c r="B341" s="8" t="n"/>
      <c r="C341" s="6">
        <f>TRIM(A341&amp;"")</f>
        <v/>
      </c>
      <c r="D341" s="6">
        <f>IF(C341="","",SUBSTITUTE(SUBSTITUTE(SUBSTITUTE(SUBSTITUTE(SUBSTITUTE(SUBSTITUTE(SUBSTITUTE(UPPER(TRIM(B341&amp;"")),"₹",""),"RS.",""),"RS",""),"INR",""),"$",""),",","")," ",""))</f>
        <v/>
      </c>
      <c r="E341" s="6">
        <f>IF(C341="","",IF(RIGHT(D341,2)="CR","Cr",IF(RIGHT(D341,2)="DR","Dr","")))</f>
        <v/>
      </c>
      <c r="F341" s="6">
        <f>IF(C341="","",IF(E341&lt;&gt;"",LEFT(D341,LEN(D341)-2),D341))</f>
        <v/>
      </c>
      <c r="G341" s="13">
        <f>IF(C341="","",IF(OR(IF(AND(LEFT(F341,1)="(",RIGHT(F341,1)=")"),MID(F341,2,LEN(F341)-2),F341)="",IF(AND(LEFT(F341,1)="(",RIGHT(F341,1)=")"),MID(F341,2,LEN(F341)-2),F341)="-"),0,IFERROR(VALUE(IF(AND(LEFT(F341,1)="(",RIGHT(F341,1)=")"),MID(F341,2,LEN(F341)-2),F341))*IF(AND(LEFT(F341,1)="(",RIGHT(F341,1)=")"),-1,1)*IF(E341="Cr",Setup!$B$6,1),"ERR")))</f>
        <v/>
      </c>
      <c r="H341" s="6">
        <f>IF(C341="","",IF(ISNUMBER(G341),1,0))</f>
        <v/>
      </c>
      <c r="I341" s="6">
        <f>IF(C341="","",IF(SUMPRODUCT(($C$12:$C$1511=C341)*1)&gt;1,1,0))</f>
        <v/>
      </c>
      <c r="J341" s="6">
        <f>IF(C341="","",SUMPRODUCT((Mapping!$F$5:$F$504=Setup!$B$4&amp;"||"&amp;C341)*ROW(Mapping!$F$5:$F$504)))</f>
        <v/>
      </c>
      <c r="K341" s="6">
        <f>IF(C341="","",IF(J341=0,"UNMAPPED",LOWER(INDEX(Mapping!$D$1:$D$504,J341))))</f>
        <v/>
      </c>
      <c r="L341" s="6">
        <f>IF(K341="mapped",TRIM(INDEX(Mapping!$C$1:$C$504,J341)),"")</f>
        <v/>
      </c>
      <c r="M341" s="6">
        <f>IF(C341="","",IF(SUMPRODUCT(($C$12:C341=C341)*1)=1,1,0))</f>
        <v/>
      </c>
      <c r="N341" s="6">
        <f>IF(AND(K341="UNMAPPED",M341=1),ROW(),"")</f>
        <v/>
      </c>
      <c r="O341" s="6">
        <f>IF(AND(I341=1,M341=1),ROW(),"")</f>
        <v/>
      </c>
      <c r="P341" s="6">
        <f>IF(AND(K341="ignored",M341=1),ROW(),"")</f>
        <v/>
      </c>
    </row>
    <row r="342">
      <c r="A342" s="8" t="n"/>
      <c r="B342" s="8" t="n"/>
      <c r="C342" s="6">
        <f>TRIM(A342&amp;"")</f>
        <v/>
      </c>
      <c r="D342" s="6">
        <f>IF(C342="","",SUBSTITUTE(SUBSTITUTE(SUBSTITUTE(SUBSTITUTE(SUBSTITUTE(SUBSTITUTE(SUBSTITUTE(UPPER(TRIM(B342&amp;"")),"₹",""),"RS.",""),"RS",""),"INR",""),"$",""),",","")," ",""))</f>
        <v/>
      </c>
      <c r="E342" s="6">
        <f>IF(C342="","",IF(RIGHT(D342,2)="CR","Cr",IF(RIGHT(D342,2)="DR","Dr","")))</f>
        <v/>
      </c>
      <c r="F342" s="6">
        <f>IF(C342="","",IF(E342&lt;&gt;"",LEFT(D342,LEN(D342)-2),D342))</f>
        <v/>
      </c>
      <c r="G342" s="13">
        <f>IF(C342="","",IF(OR(IF(AND(LEFT(F342,1)="(",RIGHT(F342,1)=")"),MID(F342,2,LEN(F342)-2),F342)="",IF(AND(LEFT(F342,1)="(",RIGHT(F342,1)=")"),MID(F342,2,LEN(F342)-2),F342)="-"),0,IFERROR(VALUE(IF(AND(LEFT(F342,1)="(",RIGHT(F342,1)=")"),MID(F342,2,LEN(F342)-2),F342))*IF(AND(LEFT(F342,1)="(",RIGHT(F342,1)=")"),-1,1)*IF(E342="Cr",Setup!$B$6,1),"ERR")))</f>
        <v/>
      </c>
      <c r="H342" s="6">
        <f>IF(C342="","",IF(ISNUMBER(G342),1,0))</f>
        <v/>
      </c>
      <c r="I342" s="6">
        <f>IF(C342="","",IF(SUMPRODUCT(($C$12:$C$1511=C342)*1)&gt;1,1,0))</f>
        <v/>
      </c>
      <c r="J342" s="6">
        <f>IF(C342="","",SUMPRODUCT((Mapping!$F$5:$F$504=Setup!$B$4&amp;"||"&amp;C342)*ROW(Mapping!$F$5:$F$504)))</f>
        <v/>
      </c>
      <c r="K342" s="6">
        <f>IF(C342="","",IF(J342=0,"UNMAPPED",LOWER(INDEX(Mapping!$D$1:$D$504,J342))))</f>
        <v/>
      </c>
      <c r="L342" s="6">
        <f>IF(K342="mapped",TRIM(INDEX(Mapping!$C$1:$C$504,J342)),"")</f>
        <v/>
      </c>
      <c r="M342" s="6">
        <f>IF(C342="","",IF(SUMPRODUCT(($C$12:C342=C342)*1)=1,1,0))</f>
        <v/>
      </c>
      <c r="N342" s="6">
        <f>IF(AND(K342="UNMAPPED",M342=1),ROW(),"")</f>
        <v/>
      </c>
      <c r="O342" s="6">
        <f>IF(AND(I342=1,M342=1),ROW(),"")</f>
        <v/>
      </c>
      <c r="P342" s="6">
        <f>IF(AND(K342="ignored",M342=1),ROW(),"")</f>
        <v/>
      </c>
    </row>
    <row r="343">
      <c r="A343" s="8" t="n"/>
      <c r="B343" s="8" t="n"/>
      <c r="C343" s="6">
        <f>TRIM(A343&amp;"")</f>
        <v/>
      </c>
      <c r="D343" s="6">
        <f>IF(C343="","",SUBSTITUTE(SUBSTITUTE(SUBSTITUTE(SUBSTITUTE(SUBSTITUTE(SUBSTITUTE(SUBSTITUTE(UPPER(TRIM(B343&amp;"")),"₹",""),"RS.",""),"RS",""),"INR",""),"$",""),",","")," ",""))</f>
        <v/>
      </c>
      <c r="E343" s="6">
        <f>IF(C343="","",IF(RIGHT(D343,2)="CR","Cr",IF(RIGHT(D343,2)="DR","Dr","")))</f>
        <v/>
      </c>
      <c r="F343" s="6">
        <f>IF(C343="","",IF(E343&lt;&gt;"",LEFT(D343,LEN(D343)-2),D343))</f>
        <v/>
      </c>
      <c r="G343" s="13">
        <f>IF(C343="","",IF(OR(IF(AND(LEFT(F343,1)="(",RIGHT(F343,1)=")"),MID(F343,2,LEN(F343)-2),F343)="",IF(AND(LEFT(F343,1)="(",RIGHT(F343,1)=")"),MID(F343,2,LEN(F343)-2),F343)="-"),0,IFERROR(VALUE(IF(AND(LEFT(F343,1)="(",RIGHT(F343,1)=")"),MID(F343,2,LEN(F343)-2),F343))*IF(AND(LEFT(F343,1)="(",RIGHT(F343,1)=")"),-1,1)*IF(E343="Cr",Setup!$B$6,1),"ERR")))</f>
        <v/>
      </c>
      <c r="H343" s="6">
        <f>IF(C343="","",IF(ISNUMBER(G343),1,0))</f>
        <v/>
      </c>
      <c r="I343" s="6">
        <f>IF(C343="","",IF(SUMPRODUCT(($C$12:$C$1511=C343)*1)&gt;1,1,0))</f>
        <v/>
      </c>
      <c r="J343" s="6">
        <f>IF(C343="","",SUMPRODUCT((Mapping!$F$5:$F$504=Setup!$B$4&amp;"||"&amp;C343)*ROW(Mapping!$F$5:$F$504)))</f>
        <v/>
      </c>
      <c r="K343" s="6">
        <f>IF(C343="","",IF(J343=0,"UNMAPPED",LOWER(INDEX(Mapping!$D$1:$D$504,J343))))</f>
        <v/>
      </c>
      <c r="L343" s="6">
        <f>IF(K343="mapped",TRIM(INDEX(Mapping!$C$1:$C$504,J343)),"")</f>
        <v/>
      </c>
      <c r="M343" s="6">
        <f>IF(C343="","",IF(SUMPRODUCT(($C$12:C343=C343)*1)=1,1,0))</f>
        <v/>
      </c>
      <c r="N343" s="6">
        <f>IF(AND(K343="UNMAPPED",M343=1),ROW(),"")</f>
        <v/>
      </c>
      <c r="O343" s="6">
        <f>IF(AND(I343=1,M343=1),ROW(),"")</f>
        <v/>
      </c>
      <c r="P343" s="6">
        <f>IF(AND(K343="ignored",M343=1),ROW(),"")</f>
        <v/>
      </c>
    </row>
    <row r="344">
      <c r="A344" s="8" t="n"/>
      <c r="B344" s="8" t="n"/>
      <c r="C344" s="6">
        <f>TRIM(A344&amp;"")</f>
        <v/>
      </c>
      <c r="D344" s="6">
        <f>IF(C344="","",SUBSTITUTE(SUBSTITUTE(SUBSTITUTE(SUBSTITUTE(SUBSTITUTE(SUBSTITUTE(SUBSTITUTE(UPPER(TRIM(B344&amp;"")),"₹",""),"RS.",""),"RS",""),"INR",""),"$",""),",","")," ",""))</f>
        <v/>
      </c>
      <c r="E344" s="6">
        <f>IF(C344="","",IF(RIGHT(D344,2)="CR","Cr",IF(RIGHT(D344,2)="DR","Dr","")))</f>
        <v/>
      </c>
      <c r="F344" s="6">
        <f>IF(C344="","",IF(E344&lt;&gt;"",LEFT(D344,LEN(D344)-2),D344))</f>
        <v/>
      </c>
      <c r="G344" s="13">
        <f>IF(C344="","",IF(OR(IF(AND(LEFT(F344,1)="(",RIGHT(F344,1)=")"),MID(F344,2,LEN(F344)-2),F344)="",IF(AND(LEFT(F344,1)="(",RIGHT(F344,1)=")"),MID(F344,2,LEN(F344)-2),F344)="-"),0,IFERROR(VALUE(IF(AND(LEFT(F344,1)="(",RIGHT(F344,1)=")"),MID(F344,2,LEN(F344)-2),F344))*IF(AND(LEFT(F344,1)="(",RIGHT(F344,1)=")"),-1,1)*IF(E344="Cr",Setup!$B$6,1),"ERR")))</f>
        <v/>
      </c>
      <c r="H344" s="6">
        <f>IF(C344="","",IF(ISNUMBER(G344),1,0))</f>
        <v/>
      </c>
      <c r="I344" s="6">
        <f>IF(C344="","",IF(SUMPRODUCT(($C$12:$C$1511=C344)*1)&gt;1,1,0))</f>
        <v/>
      </c>
      <c r="J344" s="6">
        <f>IF(C344="","",SUMPRODUCT((Mapping!$F$5:$F$504=Setup!$B$4&amp;"||"&amp;C344)*ROW(Mapping!$F$5:$F$504)))</f>
        <v/>
      </c>
      <c r="K344" s="6">
        <f>IF(C344="","",IF(J344=0,"UNMAPPED",LOWER(INDEX(Mapping!$D$1:$D$504,J344))))</f>
        <v/>
      </c>
      <c r="L344" s="6">
        <f>IF(K344="mapped",TRIM(INDEX(Mapping!$C$1:$C$504,J344)),"")</f>
        <v/>
      </c>
      <c r="M344" s="6">
        <f>IF(C344="","",IF(SUMPRODUCT(($C$12:C344=C344)*1)=1,1,0))</f>
        <v/>
      </c>
      <c r="N344" s="6">
        <f>IF(AND(K344="UNMAPPED",M344=1),ROW(),"")</f>
        <v/>
      </c>
      <c r="O344" s="6">
        <f>IF(AND(I344=1,M344=1),ROW(),"")</f>
        <v/>
      </c>
      <c r="P344" s="6">
        <f>IF(AND(K344="ignored",M344=1),ROW(),"")</f>
        <v/>
      </c>
    </row>
    <row r="345">
      <c r="A345" s="8" t="n"/>
      <c r="B345" s="8" t="n"/>
      <c r="C345" s="6">
        <f>TRIM(A345&amp;"")</f>
        <v/>
      </c>
      <c r="D345" s="6">
        <f>IF(C345="","",SUBSTITUTE(SUBSTITUTE(SUBSTITUTE(SUBSTITUTE(SUBSTITUTE(SUBSTITUTE(SUBSTITUTE(UPPER(TRIM(B345&amp;"")),"₹",""),"RS.",""),"RS",""),"INR",""),"$",""),",","")," ",""))</f>
        <v/>
      </c>
      <c r="E345" s="6">
        <f>IF(C345="","",IF(RIGHT(D345,2)="CR","Cr",IF(RIGHT(D345,2)="DR","Dr","")))</f>
        <v/>
      </c>
      <c r="F345" s="6">
        <f>IF(C345="","",IF(E345&lt;&gt;"",LEFT(D345,LEN(D345)-2),D345))</f>
        <v/>
      </c>
      <c r="G345" s="13">
        <f>IF(C345="","",IF(OR(IF(AND(LEFT(F345,1)="(",RIGHT(F345,1)=")"),MID(F345,2,LEN(F345)-2),F345)="",IF(AND(LEFT(F345,1)="(",RIGHT(F345,1)=")"),MID(F345,2,LEN(F345)-2),F345)="-"),0,IFERROR(VALUE(IF(AND(LEFT(F345,1)="(",RIGHT(F345,1)=")"),MID(F345,2,LEN(F345)-2),F345))*IF(AND(LEFT(F345,1)="(",RIGHT(F345,1)=")"),-1,1)*IF(E345="Cr",Setup!$B$6,1),"ERR")))</f>
        <v/>
      </c>
      <c r="H345" s="6">
        <f>IF(C345="","",IF(ISNUMBER(G345),1,0))</f>
        <v/>
      </c>
      <c r="I345" s="6">
        <f>IF(C345="","",IF(SUMPRODUCT(($C$12:$C$1511=C345)*1)&gt;1,1,0))</f>
        <v/>
      </c>
      <c r="J345" s="6">
        <f>IF(C345="","",SUMPRODUCT((Mapping!$F$5:$F$504=Setup!$B$4&amp;"||"&amp;C345)*ROW(Mapping!$F$5:$F$504)))</f>
        <v/>
      </c>
      <c r="K345" s="6">
        <f>IF(C345="","",IF(J345=0,"UNMAPPED",LOWER(INDEX(Mapping!$D$1:$D$504,J345))))</f>
        <v/>
      </c>
      <c r="L345" s="6">
        <f>IF(K345="mapped",TRIM(INDEX(Mapping!$C$1:$C$504,J345)),"")</f>
        <v/>
      </c>
      <c r="M345" s="6">
        <f>IF(C345="","",IF(SUMPRODUCT(($C$12:C345=C345)*1)=1,1,0))</f>
        <v/>
      </c>
      <c r="N345" s="6">
        <f>IF(AND(K345="UNMAPPED",M345=1),ROW(),"")</f>
        <v/>
      </c>
      <c r="O345" s="6">
        <f>IF(AND(I345=1,M345=1),ROW(),"")</f>
        <v/>
      </c>
      <c r="P345" s="6">
        <f>IF(AND(K345="ignored",M345=1),ROW(),"")</f>
        <v/>
      </c>
    </row>
    <row r="346">
      <c r="A346" s="8" t="n"/>
      <c r="B346" s="8" t="n"/>
      <c r="C346" s="6">
        <f>TRIM(A346&amp;"")</f>
        <v/>
      </c>
      <c r="D346" s="6">
        <f>IF(C346="","",SUBSTITUTE(SUBSTITUTE(SUBSTITUTE(SUBSTITUTE(SUBSTITUTE(SUBSTITUTE(SUBSTITUTE(UPPER(TRIM(B346&amp;"")),"₹",""),"RS.",""),"RS",""),"INR",""),"$",""),",","")," ",""))</f>
        <v/>
      </c>
      <c r="E346" s="6">
        <f>IF(C346="","",IF(RIGHT(D346,2)="CR","Cr",IF(RIGHT(D346,2)="DR","Dr","")))</f>
        <v/>
      </c>
      <c r="F346" s="6">
        <f>IF(C346="","",IF(E346&lt;&gt;"",LEFT(D346,LEN(D346)-2),D346))</f>
        <v/>
      </c>
      <c r="G346" s="13">
        <f>IF(C346="","",IF(OR(IF(AND(LEFT(F346,1)="(",RIGHT(F346,1)=")"),MID(F346,2,LEN(F346)-2),F346)="",IF(AND(LEFT(F346,1)="(",RIGHT(F346,1)=")"),MID(F346,2,LEN(F346)-2),F346)="-"),0,IFERROR(VALUE(IF(AND(LEFT(F346,1)="(",RIGHT(F346,1)=")"),MID(F346,2,LEN(F346)-2),F346))*IF(AND(LEFT(F346,1)="(",RIGHT(F346,1)=")"),-1,1)*IF(E346="Cr",Setup!$B$6,1),"ERR")))</f>
        <v/>
      </c>
      <c r="H346" s="6">
        <f>IF(C346="","",IF(ISNUMBER(G346),1,0))</f>
        <v/>
      </c>
      <c r="I346" s="6">
        <f>IF(C346="","",IF(SUMPRODUCT(($C$12:$C$1511=C346)*1)&gt;1,1,0))</f>
        <v/>
      </c>
      <c r="J346" s="6">
        <f>IF(C346="","",SUMPRODUCT((Mapping!$F$5:$F$504=Setup!$B$4&amp;"||"&amp;C346)*ROW(Mapping!$F$5:$F$504)))</f>
        <v/>
      </c>
      <c r="K346" s="6">
        <f>IF(C346="","",IF(J346=0,"UNMAPPED",LOWER(INDEX(Mapping!$D$1:$D$504,J346))))</f>
        <v/>
      </c>
      <c r="L346" s="6">
        <f>IF(K346="mapped",TRIM(INDEX(Mapping!$C$1:$C$504,J346)),"")</f>
        <v/>
      </c>
      <c r="M346" s="6">
        <f>IF(C346="","",IF(SUMPRODUCT(($C$12:C346=C346)*1)=1,1,0))</f>
        <v/>
      </c>
      <c r="N346" s="6">
        <f>IF(AND(K346="UNMAPPED",M346=1),ROW(),"")</f>
        <v/>
      </c>
      <c r="O346" s="6">
        <f>IF(AND(I346=1,M346=1),ROW(),"")</f>
        <v/>
      </c>
      <c r="P346" s="6">
        <f>IF(AND(K346="ignored",M346=1),ROW(),"")</f>
        <v/>
      </c>
    </row>
    <row r="347">
      <c r="A347" s="8" t="n"/>
      <c r="B347" s="8" t="n"/>
      <c r="C347" s="6">
        <f>TRIM(A347&amp;"")</f>
        <v/>
      </c>
      <c r="D347" s="6">
        <f>IF(C347="","",SUBSTITUTE(SUBSTITUTE(SUBSTITUTE(SUBSTITUTE(SUBSTITUTE(SUBSTITUTE(SUBSTITUTE(UPPER(TRIM(B347&amp;"")),"₹",""),"RS.",""),"RS",""),"INR",""),"$",""),",","")," ",""))</f>
        <v/>
      </c>
      <c r="E347" s="6">
        <f>IF(C347="","",IF(RIGHT(D347,2)="CR","Cr",IF(RIGHT(D347,2)="DR","Dr","")))</f>
        <v/>
      </c>
      <c r="F347" s="6">
        <f>IF(C347="","",IF(E347&lt;&gt;"",LEFT(D347,LEN(D347)-2),D347))</f>
        <v/>
      </c>
      <c r="G347" s="13">
        <f>IF(C347="","",IF(OR(IF(AND(LEFT(F347,1)="(",RIGHT(F347,1)=")"),MID(F347,2,LEN(F347)-2),F347)="",IF(AND(LEFT(F347,1)="(",RIGHT(F347,1)=")"),MID(F347,2,LEN(F347)-2),F347)="-"),0,IFERROR(VALUE(IF(AND(LEFT(F347,1)="(",RIGHT(F347,1)=")"),MID(F347,2,LEN(F347)-2),F347))*IF(AND(LEFT(F347,1)="(",RIGHT(F347,1)=")"),-1,1)*IF(E347="Cr",Setup!$B$6,1),"ERR")))</f>
        <v/>
      </c>
      <c r="H347" s="6">
        <f>IF(C347="","",IF(ISNUMBER(G347),1,0))</f>
        <v/>
      </c>
      <c r="I347" s="6">
        <f>IF(C347="","",IF(SUMPRODUCT(($C$12:$C$1511=C347)*1)&gt;1,1,0))</f>
        <v/>
      </c>
      <c r="J347" s="6">
        <f>IF(C347="","",SUMPRODUCT((Mapping!$F$5:$F$504=Setup!$B$4&amp;"||"&amp;C347)*ROW(Mapping!$F$5:$F$504)))</f>
        <v/>
      </c>
      <c r="K347" s="6">
        <f>IF(C347="","",IF(J347=0,"UNMAPPED",LOWER(INDEX(Mapping!$D$1:$D$504,J347))))</f>
        <v/>
      </c>
      <c r="L347" s="6">
        <f>IF(K347="mapped",TRIM(INDEX(Mapping!$C$1:$C$504,J347)),"")</f>
        <v/>
      </c>
      <c r="M347" s="6">
        <f>IF(C347="","",IF(SUMPRODUCT(($C$12:C347=C347)*1)=1,1,0))</f>
        <v/>
      </c>
      <c r="N347" s="6">
        <f>IF(AND(K347="UNMAPPED",M347=1),ROW(),"")</f>
        <v/>
      </c>
      <c r="O347" s="6">
        <f>IF(AND(I347=1,M347=1),ROW(),"")</f>
        <v/>
      </c>
      <c r="P347" s="6">
        <f>IF(AND(K347="ignored",M347=1),ROW(),"")</f>
        <v/>
      </c>
    </row>
    <row r="348">
      <c r="A348" s="8" t="n"/>
      <c r="B348" s="8" t="n"/>
      <c r="C348" s="6">
        <f>TRIM(A348&amp;"")</f>
        <v/>
      </c>
      <c r="D348" s="6">
        <f>IF(C348="","",SUBSTITUTE(SUBSTITUTE(SUBSTITUTE(SUBSTITUTE(SUBSTITUTE(SUBSTITUTE(SUBSTITUTE(UPPER(TRIM(B348&amp;"")),"₹",""),"RS.",""),"RS",""),"INR",""),"$",""),",","")," ",""))</f>
        <v/>
      </c>
      <c r="E348" s="6">
        <f>IF(C348="","",IF(RIGHT(D348,2)="CR","Cr",IF(RIGHT(D348,2)="DR","Dr","")))</f>
        <v/>
      </c>
      <c r="F348" s="6">
        <f>IF(C348="","",IF(E348&lt;&gt;"",LEFT(D348,LEN(D348)-2),D348))</f>
        <v/>
      </c>
      <c r="G348" s="13">
        <f>IF(C348="","",IF(OR(IF(AND(LEFT(F348,1)="(",RIGHT(F348,1)=")"),MID(F348,2,LEN(F348)-2),F348)="",IF(AND(LEFT(F348,1)="(",RIGHT(F348,1)=")"),MID(F348,2,LEN(F348)-2),F348)="-"),0,IFERROR(VALUE(IF(AND(LEFT(F348,1)="(",RIGHT(F348,1)=")"),MID(F348,2,LEN(F348)-2),F348))*IF(AND(LEFT(F348,1)="(",RIGHT(F348,1)=")"),-1,1)*IF(E348="Cr",Setup!$B$6,1),"ERR")))</f>
        <v/>
      </c>
      <c r="H348" s="6">
        <f>IF(C348="","",IF(ISNUMBER(G348),1,0))</f>
        <v/>
      </c>
      <c r="I348" s="6">
        <f>IF(C348="","",IF(SUMPRODUCT(($C$12:$C$1511=C348)*1)&gt;1,1,0))</f>
        <v/>
      </c>
      <c r="J348" s="6">
        <f>IF(C348="","",SUMPRODUCT((Mapping!$F$5:$F$504=Setup!$B$4&amp;"||"&amp;C348)*ROW(Mapping!$F$5:$F$504)))</f>
        <v/>
      </c>
      <c r="K348" s="6">
        <f>IF(C348="","",IF(J348=0,"UNMAPPED",LOWER(INDEX(Mapping!$D$1:$D$504,J348))))</f>
        <v/>
      </c>
      <c r="L348" s="6">
        <f>IF(K348="mapped",TRIM(INDEX(Mapping!$C$1:$C$504,J348)),"")</f>
        <v/>
      </c>
      <c r="M348" s="6">
        <f>IF(C348="","",IF(SUMPRODUCT(($C$12:C348=C348)*1)=1,1,0))</f>
        <v/>
      </c>
      <c r="N348" s="6">
        <f>IF(AND(K348="UNMAPPED",M348=1),ROW(),"")</f>
        <v/>
      </c>
      <c r="O348" s="6">
        <f>IF(AND(I348=1,M348=1),ROW(),"")</f>
        <v/>
      </c>
      <c r="P348" s="6">
        <f>IF(AND(K348="ignored",M348=1),ROW(),"")</f>
        <v/>
      </c>
    </row>
    <row r="349">
      <c r="A349" s="8" t="n"/>
      <c r="B349" s="8" t="n"/>
      <c r="C349" s="6">
        <f>TRIM(A349&amp;"")</f>
        <v/>
      </c>
      <c r="D349" s="6">
        <f>IF(C349="","",SUBSTITUTE(SUBSTITUTE(SUBSTITUTE(SUBSTITUTE(SUBSTITUTE(SUBSTITUTE(SUBSTITUTE(UPPER(TRIM(B349&amp;"")),"₹",""),"RS.",""),"RS",""),"INR",""),"$",""),",","")," ",""))</f>
        <v/>
      </c>
      <c r="E349" s="6">
        <f>IF(C349="","",IF(RIGHT(D349,2)="CR","Cr",IF(RIGHT(D349,2)="DR","Dr","")))</f>
        <v/>
      </c>
      <c r="F349" s="6">
        <f>IF(C349="","",IF(E349&lt;&gt;"",LEFT(D349,LEN(D349)-2),D349))</f>
        <v/>
      </c>
      <c r="G349" s="13">
        <f>IF(C349="","",IF(OR(IF(AND(LEFT(F349,1)="(",RIGHT(F349,1)=")"),MID(F349,2,LEN(F349)-2),F349)="",IF(AND(LEFT(F349,1)="(",RIGHT(F349,1)=")"),MID(F349,2,LEN(F349)-2),F349)="-"),0,IFERROR(VALUE(IF(AND(LEFT(F349,1)="(",RIGHT(F349,1)=")"),MID(F349,2,LEN(F349)-2),F349))*IF(AND(LEFT(F349,1)="(",RIGHT(F349,1)=")"),-1,1)*IF(E349="Cr",Setup!$B$6,1),"ERR")))</f>
        <v/>
      </c>
      <c r="H349" s="6">
        <f>IF(C349="","",IF(ISNUMBER(G349),1,0))</f>
        <v/>
      </c>
      <c r="I349" s="6">
        <f>IF(C349="","",IF(SUMPRODUCT(($C$12:$C$1511=C349)*1)&gt;1,1,0))</f>
        <v/>
      </c>
      <c r="J349" s="6">
        <f>IF(C349="","",SUMPRODUCT((Mapping!$F$5:$F$504=Setup!$B$4&amp;"||"&amp;C349)*ROW(Mapping!$F$5:$F$504)))</f>
        <v/>
      </c>
      <c r="K349" s="6">
        <f>IF(C349="","",IF(J349=0,"UNMAPPED",LOWER(INDEX(Mapping!$D$1:$D$504,J349))))</f>
        <v/>
      </c>
      <c r="L349" s="6">
        <f>IF(K349="mapped",TRIM(INDEX(Mapping!$C$1:$C$504,J349)),"")</f>
        <v/>
      </c>
      <c r="M349" s="6">
        <f>IF(C349="","",IF(SUMPRODUCT(($C$12:C349=C349)*1)=1,1,0))</f>
        <v/>
      </c>
      <c r="N349" s="6">
        <f>IF(AND(K349="UNMAPPED",M349=1),ROW(),"")</f>
        <v/>
      </c>
      <c r="O349" s="6">
        <f>IF(AND(I349=1,M349=1),ROW(),"")</f>
        <v/>
      </c>
      <c r="P349" s="6">
        <f>IF(AND(K349="ignored",M349=1),ROW(),"")</f>
        <v/>
      </c>
    </row>
    <row r="350">
      <c r="A350" s="8" t="n"/>
      <c r="B350" s="8" t="n"/>
      <c r="C350" s="6">
        <f>TRIM(A350&amp;"")</f>
        <v/>
      </c>
      <c r="D350" s="6">
        <f>IF(C350="","",SUBSTITUTE(SUBSTITUTE(SUBSTITUTE(SUBSTITUTE(SUBSTITUTE(SUBSTITUTE(SUBSTITUTE(UPPER(TRIM(B350&amp;"")),"₹",""),"RS.",""),"RS",""),"INR",""),"$",""),",","")," ",""))</f>
        <v/>
      </c>
      <c r="E350" s="6">
        <f>IF(C350="","",IF(RIGHT(D350,2)="CR","Cr",IF(RIGHT(D350,2)="DR","Dr","")))</f>
        <v/>
      </c>
      <c r="F350" s="6">
        <f>IF(C350="","",IF(E350&lt;&gt;"",LEFT(D350,LEN(D350)-2),D350))</f>
        <v/>
      </c>
      <c r="G350" s="13">
        <f>IF(C350="","",IF(OR(IF(AND(LEFT(F350,1)="(",RIGHT(F350,1)=")"),MID(F350,2,LEN(F350)-2),F350)="",IF(AND(LEFT(F350,1)="(",RIGHT(F350,1)=")"),MID(F350,2,LEN(F350)-2),F350)="-"),0,IFERROR(VALUE(IF(AND(LEFT(F350,1)="(",RIGHT(F350,1)=")"),MID(F350,2,LEN(F350)-2),F350))*IF(AND(LEFT(F350,1)="(",RIGHT(F350,1)=")"),-1,1)*IF(E350="Cr",Setup!$B$6,1),"ERR")))</f>
        <v/>
      </c>
      <c r="H350" s="6">
        <f>IF(C350="","",IF(ISNUMBER(G350),1,0))</f>
        <v/>
      </c>
      <c r="I350" s="6">
        <f>IF(C350="","",IF(SUMPRODUCT(($C$12:$C$1511=C350)*1)&gt;1,1,0))</f>
        <v/>
      </c>
      <c r="J350" s="6">
        <f>IF(C350="","",SUMPRODUCT((Mapping!$F$5:$F$504=Setup!$B$4&amp;"||"&amp;C350)*ROW(Mapping!$F$5:$F$504)))</f>
        <v/>
      </c>
      <c r="K350" s="6">
        <f>IF(C350="","",IF(J350=0,"UNMAPPED",LOWER(INDEX(Mapping!$D$1:$D$504,J350))))</f>
        <v/>
      </c>
      <c r="L350" s="6">
        <f>IF(K350="mapped",TRIM(INDEX(Mapping!$C$1:$C$504,J350)),"")</f>
        <v/>
      </c>
      <c r="M350" s="6">
        <f>IF(C350="","",IF(SUMPRODUCT(($C$12:C350=C350)*1)=1,1,0))</f>
        <v/>
      </c>
      <c r="N350" s="6">
        <f>IF(AND(K350="UNMAPPED",M350=1),ROW(),"")</f>
        <v/>
      </c>
      <c r="O350" s="6">
        <f>IF(AND(I350=1,M350=1),ROW(),"")</f>
        <v/>
      </c>
      <c r="P350" s="6">
        <f>IF(AND(K350="ignored",M350=1),ROW(),"")</f>
        <v/>
      </c>
    </row>
    <row r="351">
      <c r="A351" s="8" t="n"/>
      <c r="B351" s="8" t="n"/>
      <c r="C351" s="6">
        <f>TRIM(A351&amp;"")</f>
        <v/>
      </c>
      <c r="D351" s="6">
        <f>IF(C351="","",SUBSTITUTE(SUBSTITUTE(SUBSTITUTE(SUBSTITUTE(SUBSTITUTE(SUBSTITUTE(SUBSTITUTE(UPPER(TRIM(B351&amp;"")),"₹",""),"RS.",""),"RS",""),"INR",""),"$",""),",","")," ",""))</f>
        <v/>
      </c>
      <c r="E351" s="6">
        <f>IF(C351="","",IF(RIGHT(D351,2)="CR","Cr",IF(RIGHT(D351,2)="DR","Dr","")))</f>
        <v/>
      </c>
      <c r="F351" s="6">
        <f>IF(C351="","",IF(E351&lt;&gt;"",LEFT(D351,LEN(D351)-2),D351))</f>
        <v/>
      </c>
      <c r="G351" s="13">
        <f>IF(C351="","",IF(OR(IF(AND(LEFT(F351,1)="(",RIGHT(F351,1)=")"),MID(F351,2,LEN(F351)-2),F351)="",IF(AND(LEFT(F351,1)="(",RIGHT(F351,1)=")"),MID(F351,2,LEN(F351)-2),F351)="-"),0,IFERROR(VALUE(IF(AND(LEFT(F351,1)="(",RIGHT(F351,1)=")"),MID(F351,2,LEN(F351)-2),F351))*IF(AND(LEFT(F351,1)="(",RIGHT(F351,1)=")"),-1,1)*IF(E351="Cr",Setup!$B$6,1),"ERR")))</f>
        <v/>
      </c>
      <c r="H351" s="6">
        <f>IF(C351="","",IF(ISNUMBER(G351),1,0))</f>
        <v/>
      </c>
      <c r="I351" s="6">
        <f>IF(C351="","",IF(SUMPRODUCT(($C$12:$C$1511=C351)*1)&gt;1,1,0))</f>
        <v/>
      </c>
      <c r="J351" s="6">
        <f>IF(C351="","",SUMPRODUCT((Mapping!$F$5:$F$504=Setup!$B$4&amp;"||"&amp;C351)*ROW(Mapping!$F$5:$F$504)))</f>
        <v/>
      </c>
      <c r="K351" s="6">
        <f>IF(C351="","",IF(J351=0,"UNMAPPED",LOWER(INDEX(Mapping!$D$1:$D$504,J351))))</f>
        <v/>
      </c>
      <c r="L351" s="6">
        <f>IF(K351="mapped",TRIM(INDEX(Mapping!$C$1:$C$504,J351)),"")</f>
        <v/>
      </c>
      <c r="M351" s="6">
        <f>IF(C351="","",IF(SUMPRODUCT(($C$12:C351=C351)*1)=1,1,0))</f>
        <v/>
      </c>
      <c r="N351" s="6">
        <f>IF(AND(K351="UNMAPPED",M351=1),ROW(),"")</f>
        <v/>
      </c>
      <c r="O351" s="6">
        <f>IF(AND(I351=1,M351=1),ROW(),"")</f>
        <v/>
      </c>
      <c r="P351" s="6">
        <f>IF(AND(K351="ignored",M351=1),ROW(),"")</f>
        <v/>
      </c>
    </row>
    <row r="352">
      <c r="A352" s="8" t="n"/>
      <c r="B352" s="8" t="n"/>
      <c r="C352" s="6">
        <f>TRIM(A352&amp;"")</f>
        <v/>
      </c>
      <c r="D352" s="6">
        <f>IF(C352="","",SUBSTITUTE(SUBSTITUTE(SUBSTITUTE(SUBSTITUTE(SUBSTITUTE(SUBSTITUTE(SUBSTITUTE(UPPER(TRIM(B352&amp;"")),"₹",""),"RS.",""),"RS",""),"INR",""),"$",""),",","")," ",""))</f>
        <v/>
      </c>
      <c r="E352" s="6">
        <f>IF(C352="","",IF(RIGHT(D352,2)="CR","Cr",IF(RIGHT(D352,2)="DR","Dr","")))</f>
        <v/>
      </c>
      <c r="F352" s="6">
        <f>IF(C352="","",IF(E352&lt;&gt;"",LEFT(D352,LEN(D352)-2),D352))</f>
        <v/>
      </c>
      <c r="G352" s="13">
        <f>IF(C352="","",IF(OR(IF(AND(LEFT(F352,1)="(",RIGHT(F352,1)=")"),MID(F352,2,LEN(F352)-2),F352)="",IF(AND(LEFT(F352,1)="(",RIGHT(F352,1)=")"),MID(F352,2,LEN(F352)-2),F352)="-"),0,IFERROR(VALUE(IF(AND(LEFT(F352,1)="(",RIGHT(F352,1)=")"),MID(F352,2,LEN(F352)-2),F352))*IF(AND(LEFT(F352,1)="(",RIGHT(F352,1)=")"),-1,1)*IF(E352="Cr",Setup!$B$6,1),"ERR")))</f>
        <v/>
      </c>
      <c r="H352" s="6">
        <f>IF(C352="","",IF(ISNUMBER(G352),1,0))</f>
        <v/>
      </c>
      <c r="I352" s="6">
        <f>IF(C352="","",IF(SUMPRODUCT(($C$12:$C$1511=C352)*1)&gt;1,1,0))</f>
        <v/>
      </c>
      <c r="J352" s="6">
        <f>IF(C352="","",SUMPRODUCT((Mapping!$F$5:$F$504=Setup!$B$4&amp;"||"&amp;C352)*ROW(Mapping!$F$5:$F$504)))</f>
        <v/>
      </c>
      <c r="K352" s="6">
        <f>IF(C352="","",IF(J352=0,"UNMAPPED",LOWER(INDEX(Mapping!$D$1:$D$504,J352))))</f>
        <v/>
      </c>
      <c r="L352" s="6">
        <f>IF(K352="mapped",TRIM(INDEX(Mapping!$C$1:$C$504,J352)),"")</f>
        <v/>
      </c>
      <c r="M352" s="6">
        <f>IF(C352="","",IF(SUMPRODUCT(($C$12:C352=C352)*1)=1,1,0))</f>
        <v/>
      </c>
      <c r="N352" s="6">
        <f>IF(AND(K352="UNMAPPED",M352=1),ROW(),"")</f>
        <v/>
      </c>
      <c r="O352" s="6">
        <f>IF(AND(I352=1,M352=1),ROW(),"")</f>
        <v/>
      </c>
      <c r="P352" s="6">
        <f>IF(AND(K352="ignored",M352=1),ROW(),"")</f>
        <v/>
      </c>
    </row>
    <row r="353">
      <c r="A353" s="8" t="n"/>
      <c r="B353" s="8" t="n"/>
      <c r="C353" s="6">
        <f>TRIM(A353&amp;"")</f>
        <v/>
      </c>
      <c r="D353" s="6">
        <f>IF(C353="","",SUBSTITUTE(SUBSTITUTE(SUBSTITUTE(SUBSTITUTE(SUBSTITUTE(SUBSTITUTE(SUBSTITUTE(UPPER(TRIM(B353&amp;"")),"₹",""),"RS.",""),"RS",""),"INR",""),"$",""),",","")," ",""))</f>
        <v/>
      </c>
      <c r="E353" s="6">
        <f>IF(C353="","",IF(RIGHT(D353,2)="CR","Cr",IF(RIGHT(D353,2)="DR","Dr","")))</f>
        <v/>
      </c>
      <c r="F353" s="6">
        <f>IF(C353="","",IF(E353&lt;&gt;"",LEFT(D353,LEN(D353)-2),D353))</f>
        <v/>
      </c>
      <c r="G353" s="13">
        <f>IF(C353="","",IF(OR(IF(AND(LEFT(F353,1)="(",RIGHT(F353,1)=")"),MID(F353,2,LEN(F353)-2),F353)="",IF(AND(LEFT(F353,1)="(",RIGHT(F353,1)=")"),MID(F353,2,LEN(F353)-2),F353)="-"),0,IFERROR(VALUE(IF(AND(LEFT(F353,1)="(",RIGHT(F353,1)=")"),MID(F353,2,LEN(F353)-2),F353))*IF(AND(LEFT(F353,1)="(",RIGHT(F353,1)=")"),-1,1)*IF(E353="Cr",Setup!$B$6,1),"ERR")))</f>
        <v/>
      </c>
      <c r="H353" s="6">
        <f>IF(C353="","",IF(ISNUMBER(G353),1,0))</f>
        <v/>
      </c>
      <c r="I353" s="6">
        <f>IF(C353="","",IF(SUMPRODUCT(($C$12:$C$1511=C353)*1)&gt;1,1,0))</f>
        <v/>
      </c>
      <c r="J353" s="6">
        <f>IF(C353="","",SUMPRODUCT((Mapping!$F$5:$F$504=Setup!$B$4&amp;"||"&amp;C353)*ROW(Mapping!$F$5:$F$504)))</f>
        <v/>
      </c>
      <c r="K353" s="6">
        <f>IF(C353="","",IF(J353=0,"UNMAPPED",LOWER(INDEX(Mapping!$D$1:$D$504,J353))))</f>
        <v/>
      </c>
      <c r="L353" s="6">
        <f>IF(K353="mapped",TRIM(INDEX(Mapping!$C$1:$C$504,J353)),"")</f>
        <v/>
      </c>
      <c r="M353" s="6">
        <f>IF(C353="","",IF(SUMPRODUCT(($C$12:C353=C353)*1)=1,1,0))</f>
        <v/>
      </c>
      <c r="N353" s="6">
        <f>IF(AND(K353="UNMAPPED",M353=1),ROW(),"")</f>
        <v/>
      </c>
      <c r="O353" s="6">
        <f>IF(AND(I353=1,M353=1),ROW(),"")</f>
        <v/>
      </c>
      <c r="P353" s="6">
        <f>IF(AND(K353="ignored",M353=1),ROW(),"")</f>
        <v/>
      </c>
    </row>
    <row r="354">
      <c r="A354" s="8" t="n"/>
      <c r="B354" s="8" t="n"/>
      <c r="C354" s="6">
        <f>TRIM(A354&amp;"")</f>
        <v/>
      </c>
      <c r="D354" s="6">
        <f>IF(C354="","",SUBSTITUTE(SUBSTITUTE(SUBSTITUTE(SUBSTITUTE(SUBSTITUTE(SUBSTITUTE(SUBSTITUTE(UPPER(TRIM(B354&amp;"")),"₹",""),"RS.",""),"RS",""),"INR",""),"$",""),",","")," ",""))</f>
        <v/>
      </c>
      <c r="E354" s="6">
        <f>IF(C354="","",IF(RIGHT(D354,2)="CR","Cr",IF(RIGHT(D354,2)="DR","Dr","")))</f>
        <v/>
      </c>
      <c r="F354" s="6">
        <f>IF(C354="","",IF(E354&lt;&gt;"",LEFT(D354,LEN(D354)-2),D354))</f>
        <v/>
      </c>
      <c r="G354" s="13">
        <f>IF(C354="","",IF(OR(IF(AND(LEFT(F354,1)="(",RIGHT(F354,1)=")"),MID(F354,2,LEN(F354)-2),F354)="",IF(AND(LEFT(F354,1)="(",RIGHT(F354,1)=")"),MID(F354,2,LEN(F354)-2),F354)="-"),0,IFERROR(VALUE(IF(AND(LEFT(F354,1)="(",RIGHT(F354,1)=")"),MID(F354,2,LEN(F354)-2),F354))*IF(AND(LEFT(F354,1)="(",RIGHT(F354,1)=")"),-1,1)*IF(E354="Cr",Setup!$B$6,1),"ERR")))</f>
        <v/>
      </c>
      <c r="H354" s="6">
        <f>IF(C354="","",IF(ISNUMBER(G354),1,0))</f>
        <v/>
      </c>
      <c r="I354" s="6">
        <f>IF(C354="","",IF(SUMPRODUCT(($C$12:$C$1511=C354)*1)&gt;1,1,0))</f>
        <v/>
      </c>
      <c r="J354" s="6">
        <f>IF(C354="","",SUMPRODUCT((Mapping!$F$5:$F$504=Setup!$B$4&amp;"||"&amp;C354)*ROW(Mapping!$F$5:$F$504)))</f>
        <v/>
      </c>
      <c r="K354" s="6">
        <f>IF(C354="","",IF(J354=0,"UNMAPPED",LOWER(INDEX(Mapping!$D$1:$D$504,J354))))</f>
        <v/>
      </c>
      <c r="L354" s="6">
        <f>IF(K354="mapped",TRIM(INDEX(Mapping!$C$1:$C$504,J354)),"")</f>
        <v/>
      </c>
      <c r="M354" s="6">
        <f>IF(C354="","",IF(SUMPRODUCT(($C$12:C354=C354)*1)=1,1,0))</f>
        <v/>
      </c>
      <c r="N354" s="6">
        <f>IF(AND(K354="UNMAPPED",M354=1),ROW(),"")</f>
        <v/>
      </c>
      <c r="O354" s="6">
        <f>IF(AND(I354=1,M354=1),ROW(),"")</f>
        <v/>
      </c>
      <c r="P354" s="6">
        <f>IF(AND(K354="ignored",M354=1),ROW(),"")</f>
        <v/>
      </c>
    </row>
    <row r="355">
      <c r="A355" s="8" t="n"/>
      <c r="B355" s="8" t="n"/>
      <c r="C355" s="6">
        <f>TRIM(A355&amp;"")</f>
        <v/>
      </c>
      <c r="D355" s="6">
        <f>IF(C355="","",SUBSTITUTE(SUBSTITUTE(SUBSTITUTE(SUBSTITUTE(SUBSTITUTE(SUBSTITUTE(SUBSTITUTE(UPPER(TRIM(B355&amp;"")),"₹",""),"RS.",""),"RS",""),"INR",""),"$",""),",","")," ",""))</f>
        <v/>
      </c>
      <c r="E355" s="6">
        <f>IF(C355="","",IF(RIGHT(D355,2)="CR","Cr",IF(RIGHT(D355,2)="DR","Dr","")))</f>
        <v/>
      </c>
      <c r="F355" s="6">
        <f>IF(C355="","",IF(E355&lt;&gt;"",LEFT(D355,LEN(D355)-2),D355))</f>
        <v/>
      </c>
      <c r="G355" s="13">
        <f>IF(C355="","",IF(OR(IF(AND(LEFT(F355,1)="(",RIGHT(F355,1)=")"),MID(F355,2,LEN(F355)-2),F355)="",IF(AND(LEFT(F355,1)="(",RIGHT(F355,1)=")"),MID(F355,2,LEN(F355)-2),F355)="-"),0,IFERROR(VALUE(IF(AND(LEFT(F355,1)="(",RIGHT(F355,1)=")"),MID(F355,2,LEN(F355)-2),F355))*IF(AND(LEFT(F355,1)="(",RIGHT(F355,1)=")"),-1,1)*IF(E355="Cr",Setup!$B$6,1),"ERR")))</f>
        <v/>
      </c>
      <c r="H355" s="6">
        <f>IF(C355="","",IF(ISNUMBER(G355),1,0))</f>
        <v/>
      </c>
      <c r="I355" s="6">
        <f>IF(C355="","",IF(SUMPRODUCT(($C$12:$C$1511=C355)*1)&gt;1,1,0))</f>
        <v/>
      </c>
      <c r="J355" s="6">
        <f>IF(C355="","",SUMPRODUCT((Mapping!$F$5:$F$504=Setup!$B$4&amp;"||"&amp;C355)*ROW(Mapping!$F$5:$F$504)))</f>
        <v/>
      </c>
      <c r="K355" s="6">
        <f>IF(C355="","",IF(J355=0,"UNMAPPED",LOWER(INDEX(Mapping!$D$1:$D$504,J355))))</f>
        <v/>
      </c>
      <c r="L355" s="6">
        <f>IF(K355="mapped",TRIM(INDEX(Mapping!$C$1:$C$504,J355)),"")</f>
        <v/>
      </c>
      <c r="M355" s="6">
        <f>IF(C355="","",IF(SUMPRODUCT(($C$12:C355=C355)*1)=1,1,0))</f>
        <v/>
      </c>
      <c r="N355" s="6">
        <f>IF(AND(K355="UNMAPPED",M355=1),ROW(),"")</f>
        <v/>
      </c>
      <c r="O355" s="6">
        <f>IF(AND(I355=1,M355=1),ROW(),"")</f>
        <v/>
      </c>
      <c r="P355" s="6">
        <f>IF(AND(K355="ignored",M355=1),ROW(),"")</f>
        <v/>
      </c>
    </row>
    <row r="356">
      <c r="A356" s="8" t="n"/>
      <c r="B356" s="8" t="n"/>
      <c r="C356" s="6">
        <f>TRIM(A356&amp;"")</f>
        <v/>
      </c>
      <c r="D356" s="6">
        <f>IF(C356="","",SUBSTITUTE(SUBSTITUTE(SUBSTITUTE(SUBSTITUTE(SUBSTITUTE(SUBSTITUTE(SUBSTITUTE(UPPER(TRIM(B356&amp;"")),"₹",""),"RS.",""),"RS",""),"INR",""),"$",""),",","")," ",""))</f>
        <v/>
      </c>
      <c r="E356" s="6">
        <f>IF(C356="","",IF(RIGHT(D356,2)="CR","Cr",IF(RIGHT(D356,2)="DR","Dr","")))</f>
        <v/>
      </c>
      <c r="F356" s="6">
        <f>IF(C356="","",IF(E356&lt;&gt;"",LEFT(D356,LEN(D356)-2),D356))</f>
        <v/>
      </c>
      <c r="G356" s="13">
        <f>IF(C356="","",IF(OR(IF(AND(LEFT(F356,1)="(",RIGHT(F356,1)=")"),MID(F356,2,LEN(F356)-2),F356)="",IF(AND(LEFT(F356,1)="(",RIGHT(F356,1)=")"),MID(F356,2,LEN(F356)-2),F356)="-"),0,IFERROR(VALUE(IF(AND(LEFT(F356,1)="(",RIGHT(F356,1)=")"),MID(F356,2,LEN(F356)-2),F356))*IF(AND(LEFT(F356,1)="(",RIGHT(F356,1)=")"),-1,1)*IF(E356="Cr",Setup!$B$6,1),"ERR")))</f>
        <v/>
      </c>
      <c r="H356" s="6">
        <f>IF(C356="","",IF(ISNUMBER(G356),1,0))</f>
        <v/>
      </c>
      <c r="I356" s="6">
        <f>IF(C356="","",IF(SUMPRODUCT(($C$12:$C$1511=C356)*1)&gt;1,1,0))</f>
        <v/>
      </c>
      <c r="J356" s="6">
        <f>IF(C356="","",SUMPRODUCT((Mapping!$F$5:$F$504=Setup!$B$4&amp;"||"&amp;C356)*ROW(Mapping!$F$5:$F$504)))</f>
        <v/>
      </c>
      <c r="K356" s="6">
        <f>IF(C356="","",IF(J356=0,"UNMAPPED",LOWER(INDEX(Mapping!$D$1:$D$504,J356))))</f>
        <v/>
      </c>
      <c r="L356" s="6">
        <f>IF(K356="mapped",TRIM(INDEX(Mapping!$C$1:$C$504,J356)),"")</f>
        <v/>
      </c>
      <c r="M356" s="6">
        <f>IF(C356="","",IF(SUMPRODUCT(($C$12:C356=C356)*1)=1,1,0))</f>
        <v/>
      </c>
      <c r="N356" s="6">
        <f>IF(AND(K356="UNMAPPED",M356=1),ROW(),"")</f>
        <v/>
      </c>
      <c r="O356" s="6">
        <f>IF(AND(I356=1,M356=1),ROW(),"")</f>
        <v/>
      </c>
      <c r="P356" s="6">
        <f>IF(AND(K356="ignored",M356=1),ROW(),"")</f>
        <v/>
      </c>
    </row>
    <row r="357">
      <c r="A357" s="8" t="n"/>
      <c r="B357" s="8" t="n"/>
      <c r="C357" s="6">
        <f>TRIM(A357&amp;"")</f>
        <v/>
      </c>
      <c r="D357" s="6">
        <f>IF(C357="","",SUBSTITUTE(SUBSTITUTE(SUBSTITUTE(SUBSTITUTE(SUBSTITUTE(SUBSTITUTE(SUBSTITUTE(UPPER(TRIM(B357&amp;"")),"₹",""),"RS.",""),"RS",""),"INR",""),"$",""),",","")," ",""))</f>
        <v/>
      </c>
      <c r="E357" s="6">
        <f>IF(C357="","",IF(RIGHT(D357,2)="CR","Cr",IF(RIGHT(D357,2)="DR","Dr","")))</f>
        <v/>
      </c>
      <c r="F357" s="6">
        <f>IF(C357="","",IF(E357&lt;&gt;"",LEFT(D357,LEN(D357)-2),D357))</f>
        <v/>
      </c>
      <c r="G357" s="13">
        <f>IF(C357="","",IF(OR(IF(AND(LEFT(F357,1)="(",RIGHT(F357,1)=")"),MID(F357,2,LEN(F357)-2),F357)="",IF(AND(LEFT(F357,1)="(",RIGHT(F357,1)=")"),MID(F357,2,LEN(F357)-2),F357)="-"),0,IFERROR(VALUE(IF(AND(LEFT(F357,1)="(",RIGHT(F357,1)=")"),MID(F357,2,LEN(F357)-2),F357))*IF(AND(LEFT(F357,1)="(",RIGHT(F357,1)=")"),-1,1)*IF(E357="Cr",Setup!$B$6,1),"ERR")))</f>
        <v/>
      </c>
      <c r="H357" s="6">
        <f>IF(C357="","",IF(ISNUMBER(G357),1,0))</f>
        <v/>
      </c>
      <c r="I357" s="6">
        <f>IF(C357="","",IF(SUMPRODUCT(($C$12:$C$1511=C357)*1)&gt;1,1,0))</f>
        <v/>
      </c>
      <c r="J357" s="6">
        <f>IF(C357="","",SUMPRODUCT((Mapping!$F$5:$F$504=Setup!$B$4&amp;"||"&amp;C357)*ROW(Mapping!$F$5:$F$504)))</f>
        <v/>
      </c>
      <c r="K357" s="6">
        <f>IF(C357="","",IF(J357=0,"UNMAPPED",LOWER(INDEX(Mapping!$D$1:$D$504,J357))))</f>
        <v/>
      </c>
      <c r="L357" s="6">
        <f>IF(K357="mapped",TRIM(INDEX(Mapping!$C$1:$C$504,J357)),"")</f>
        <v/>
      </c>
      <c r="M357" s="6">
        <f>IF(C357="","",IF(SUMPRODUCT(($C$12:C357=C357)*1)=1,1,0))</f>
        <v/>
      </c>
      <c r="N357" s="6">
        <f>IF(AND(K357="UNMAPPED",M357=1),ROW(),"")</f>
        <v/>
      </c>
      <c r="O357" s="6">
        <f>IF(AND(I357=1,M357=1),ROW(),"")</f>
        <v/>
      </c>
      <c r="P357" s="6">
        <f>IF(AND(K357="ignored",M357=1),ROW(),"")</f>
        <v/>
      </c>
    </row>
    <row r="358">
      <c r="A358" s="8" t="n"/>
      <c r="B358" s="8" t="n"/>
      <c r="C358" s="6">
        <f>TRIM(A358&amp;"")</f>
        <v/>
      </c>
      <c r="D358" s="6">
        <f>IF(C358="","",SUBSTITUTE(SUBSTITUTE(SUBSTITUTE(SUBSTITUTE(SUBSTITUTE(SUBSTITUTE(SUBSTITUTE(UPPER(TRIM(B358&amp;"")),"₹",""),"RS.",""),"RS",""),"INR",""),"$",""),",","")," ",""))</f>
        <v/>
      </c>
      <c r="E358" s="6">
        <f>IF(C358="","",IF(RIGHT(D358,2)="CR","Cr",IF(RIGHT(D358,2)="DR","Dr","")))</f>
        <v/>
      </c>
      <c r="F358" s="6">
        <f>IF(C358="","",IF(E358&lt;&gt;"",LEFT(D358,LEN(D358)-2),D358))</f>
        <v/>
      </c>
      <c r="G358" s="13">
        <f>IF(C358="","",IF(OR(IF(AND(LEFT(F358,1)="(",RIGHT(F358,1)=")"),MID(F358,2,LEN(F358)-2),F358)="",IF(AND(LEFT(F358,1)="(",RIGHT(F358,1)=")"),MID(F358,2,LEN(F358)-2),F358)="-"),0,IFERROR(VALUE(IF(AND(LEFT(F358,1)="(",RIGHT(F358,1)=")"),MID(F358,2,LEN(F358)-2),F358))*IF(AND(LEFT(F358,1)="(",RIGHT(F358,1)=")"),-1,1)*IF(E358="Cr",Setup!$B$6,1),"ERR")))</f>
        <v/>
      </c>
      <c r="H358" s="6">
        <f>IF(C358="","",IF(ISNUMBER(G358),1,0))</f>
        <v/>
      </c>
      <c r="I358" s="6">
        <f>IF(C358="","",IF(SUMPRODUCT(($C$12:$C$1511=C358)*1)&gt;1,1,0))</f>
        <v/>
      </c>
      <c r="J358" s="6">
        <f>IF(C358="","",SUMPRODUCT((Mapping!$F$5:$F$504=Setup!$B$4&amp;"||"&amp;C358)*ROW(Mapping!$F$5:$F$504)))</f>
        <v/>
      </c>
      <c r="K358" s="6">
        <f>IF(C358="","",IF(J358=0,"UNMAPPED",LOWER(INDEX(Mapping!$D$1:$D$504,J358))))</f>
        <v/>
      </c>
      <c r="L358" s="6">
        <f>IF(K358="mapped",TRIM(INDEX(Mapping!$C$1:$C$504,J358)),"")</f>
        <v/>
      </c>
      <c r="M358" s="6">
        <f>IF(C358="","",IF(SUMPRODUCT(($C$12:C358=C358)*1)=1,1,0))</f>
        <v/>
      </c>
      <c r="N358" s="6">
        <f>IF(AND(K358="UNMAPPED",M358=1),ROW(),"")</f>
        <v/>
      </c>
      <c r="O358" s="6">
        <f>IF(AND(I358=1,M358=1),ROW(),"")</f>
        <v/>
      </c>
      <c r="P358" s="6">
        <f>IF(AND(K358="ignored",M358=1),ROW(),"")</f>
        <v/>
      </c>
    </row>
    <row r="359">
      <c r="A359" s="8" t="n"/>
      <c r="B359" s="8" t="n"/>
      <c r="C359" s="6">
        <f>TRIM(A359&amp;"")</f>
        <v/>
      </c>
      <c r="D359" s="6">
        <f>IF(C359="","",SUBSTITUTE(SUBSTITUTE(SUBSTITUTE(SUBSTITUTE(SUBSTITUTE(SUBSTITUTE(SUBSTITUTE(UPPER(TRIM(B359&amp;"")),"₹",""),"RS.",""),"RS",""),"INR",""),"$",""),",","")," ",""))</f>
        <v/>
      </c>
      <c r="E359" s="6">
        <f>IF(C359="","",IF(RIGHT(D359,2)="CR","Cr",IF(RIGHT(D359,2)="DR","Dr","")))</f>
        <v/>
      </c>
      <c r="F359" s="6">
        <f>IF(C359="","",IF(E359&lt;&gt;"",LEFT(D359,LEN(D359)-2),D359))</f>
        <v/>
      </c>
      <c r="G359" s="13">
        <f>IF(C359="","",IF(OR(IF(AND(LEFT(F359,1)="(",RIGHT(F359,1)=")"),MID(F359,2,LEN(F359)-2),F359)="",IF(AND(LEFT(F359,1)="(",RIGHT(F359,1)=")"),MID(F359,2,LEN(F359)-2),F359)="-"),0,IFERROR(VALUE(IF(AND(LEFT(F359,1)="(",RIGHT(F359,1)=")"),MID(F359,2,LEN(F359)-2),F359))*IF(AND(LEFT(F359,1)="(",RIGHT(F359,1)=")"),-1,1)*IF(E359="Cr",Setup!$B$6,1),"ERR")))</f>
        <v/>
      </c>
      <c r="H359" s="6">
        <f>IF(C359="","",IF(ISNUMBER(G359),1,0))</f>
        <v/>
      </c>
      <c r="I359" s="6">
        <f>IF(C359="","",IF(SUMPRODUCT(($C$12:$C$1511=C359)*1)&gt;1,1,0))</f>
        <v/>
      </c>
      <c r="J359" s="6">
        <f>IF(C359="","",SUMPRODUCT((Mapping!$F$5:$F$504=Setup!$B$4&amp;"||"&amp;C359)*ROW(Mapping!$F$5:$F$504)))</f>
        <v/>
      </c>
      <c r="K359" s="6">
        <f>IF(C359="","",IF(J359=0,"UNMAPPED",LOWER(INDEX(Mapping!$D$1:$D$504,J359))))</f>
        <v/>
      </c>
      <c r="L359" s="6">
        <f>IF(K359="mapped",TRIM(INDEX(Mapping!$C$1:$C$504,J359)),"")</f>
        <v/>
      </c>
      <c r="M359" s="6">
        <f>IF(C359="","",IF(SUMPRODUCT(($C$12:C359=C359)*1)=1,1,0))</f>
        <v/>
      </c>
      <c r="N359" s="6">
        <f>IF(AND(K359="UNMAPPED",M359=1),ROW(),"")</f>
        <v/>
      </c>
      <c r="O359" s="6">
        <f>IF(AND(I359=1,M359=1),ROW(),"")</f>
        <v/>
      </c>
      <c r="P359" s="6">
        <f>IF(AND(K359="ignored",M359=1),ROW(),"")</f>
        <v/>
      </c>
    </row>
    <row r="360">
      <c r="A360" s="8" t="n"/>
      <c r="B360" s="8" t="n"/>
      <c r="C360" s="6">
        <f>TRIM(A360&amp;"")</f>
        <v/>
      </c>
      <c r="D360" s="6">
        <f>IF(C360="","",SUBSTITUTE(SUBSTITUTE(SUBSTITUTE(SUBSTITUTE(SUBSTITUTE(SUBSTITUTE(SUBSTITUTE(UPPER(TRIM(B360&amp;"")),"₹",""),"RS.",""),"RS",""),"INR",""),"$",""),",","")," ",""))</f>
        <v/>
      </c>
      <c r="E360" s="6">
        <f>IF(C360="","",IF(RIGHT(D360,2)="CR","Cr",IF(RIGHT(D360,2)="DR","Dr","")))</f>
        <v/>
      </c>
      <c r="F360" s="6">
        <f>IF(C360="","",IF(E360&lt;&gt;"",LEFT(D360,LEN(D360)-2),D360))</f>
        <v/>
      </c>
      <c r="G360" s="13">
        <f>IF(C360="","",IF(OR(IF(AND(LEFT(F360,1)="(",RIGHT(F360,1)=")"),MID(F360,2,LEN(F360)-2),F360)="",IF(AND(LEFT(F360,1)="(",RIGHT(F360,1)=")"),MID(F360,2,LEN(F360)-2),F360)="-"),0,IFERROR(VALUE(IF(AND(LEFT(F360,1)="(",RIGHT(F360,1)=")"),MID(F360,2,LEN(F360)-2),F360))*IF(AND(LEFT(F360,1)="(",RIGHT(F360,1)=")"),-1,1)*IF(E360="Cr",Setup!$B$6,1),"ERR")))</f>
        <v/>
      </c>
      <c r="H360" s="6">
        <f>IF(C360="","",IF(ISNUMBER(G360),1,0))</f>
        <v/>
      </c>
      <c r="I360" s="6">
        <f>IF(C360="","",IF(SUMPRODUCT(($C$12:$C$1511=C360)*1)&gt;1,1,0))</f>
        <v/>
      </c>
      <c r="J360" s="6">
        <f>IF(C360="","",SUMPRODUCT((Mapping!$F$5:$F$504=Setup!$B$4&amp;"||"&amp;C360)*ROW(Mapping!$F$5:$F$504)))</f>
        <v/>
      </c>
      <c r="K360" s="6">
        <f>IF(C360="","",IF(J360=0,"UNMAPPED",LOWER(INDEX(Mapping!$D$1:$D$504,J360))))</f>
        <v/>
      </c>
      <c r="L360" s="6">
        <f>IF(K360="mapped",TRIM(INDEX(Mapping!$C$1:$C$504,J360)),"")</f>
        <v/>
      </c>
      <c r="M360" s="6">
        <f>IF(C360="","",IF(SUMPRODUCT(($C$12:C360=C360)*1)=1,1,0))</f>
        <v/>
      </c>
      <c r="N360" s="6">
        <f>IF(AND(K360="UNMAPPED",M360=1),ROW(),"")</f>
        <v/>
      </c>
      <c r="O360" s="6">
        <f>IF(AND(I360=1,M360=1),ROW(),"")</f>
        <v/>
      </c>
      <c r="P360" s="6">
        <f>IF(AND(K360="ignored",M360=1),ROW(),"")</f>
        <v/>
      </c>
    </row>
    <row r="361">
      <c r="A361" s="8" t="n"/>
      <c r="B361" s="8" t="n"/>
      <c r="C361" s="6">
        <f>TRIM(A361&amp;"")</f>
        <v/>
      </c>
      <c r="D361" s="6">
        <f>IF(C361="","",SUBSTITUTE(SUBSTITUTE(SUBSTITUTE(SUBSTITUTE(SUBSTITUTE(SUBSTITUTE(SUBSTITUTE(UPPER(TRIM(B361&amp;"")),"₹",""),"RS.",""),"RS",""),"INR",""),"$",""),",","")," ",""))</f>
        <v/>
      </c>
      <c r="E361" s="6">
        <f>IF(C361="","",IF(RIGHT(D361,2)="CR","Cr",IF(RIGHT(D361,2)="DR","Dr","")))</f>
        <v/>
      </c>
      <c r="F361" s="6">
        <f>IF(C361="","",IF(E361&lt;&gt;"",LEFT(D361,LEN(D361)-2),D361))</f>
        <v/>
      </c>
      <c r="G361" s="13">
        <f>IF(C361="","",IF(OR(IF(AND(LEFT(F361,1)="(",RIGHT(F361,1)=")"),MID(F361,2,LEN(F361)-2),F361)="",IF(AND(LEFT(F361,1)="(",RIGHT(F361,1)=")"),MID(F361,2,LEN(F361)-2),F361)="-"),0,IFERROR(VALUE(IF(AND(LEFT(F361,1)="(",RIGHT(F361,1)=")"),MID(F361,2,LEN(F361)-2),F361))*IF(AND(LEFT(F361,1)="(",RIGHT(F361,1)=")"),-1,1)*IF(E361="Cr",Setup!$B$6,1),"ERR")))</f>
        <v/>
      </c>
      <c r="H361" s="6">
        <f>IF(C361="","",IF(ISNUMBER(G361),1,0))</f>
        <v/>
      </c>
      <c r="I361" s="6">
        <f>IF(C361="","",IF(SUMPRODUCT(($C$12:$C$1511=C361)*1)&gt;1,1,0))</f>
        <v/>
      </c>
      <c r="J361" s="6">
        <f>IF(C361="","",SUMPRODUCT((Mapping!$F$5:$F$504=Setup!$B$4&amp;"||"&amp;C361)*ROW(Mapping!$F$5:$F$504)))</f>
        <v/>
      </c>
      <c r="K361" s="6">
        <f>IF(C361="","",IF(J361=0,"UNMAPPED",LOWER(INDEX(Mapping!$D$1:$D$504,J361))))</f>
        <v/>
      </c>
      <c r="L361" s="6">
        <f>IF(K361="mapped",TRIM(INDEX(Mapping!$C$1:$C$504,J361)),"")</f>
        <v/>
      </c>
      <c r="M361" s="6">
        <f>IF(C361="","",IF(SUMPRODUCT(($C$12:C361=C361)*1)=1,1,0))</f>
        <v/>
      </c>
      <c r="N361" s="6">
        <f>IF(AND(K361="UNMAPPED",M361=1),ROW(),"")</f>
        <v/>
      </c>
      <c r="O361" s="6">
        <f>IF(AND(I361=1,M361=1),ROW(),"")</f>
        <v/>
      </c>
      <c r="P361" s="6">
        <f>IF(AND(K361="ignored",M361=1),ROW(),"")</f>
        <v/>
      </c>
    </row>
    <row r="362">
      <c r="A362" s="8" t="n"/>
      <c r="B362" s="8" t="n"/>
      <c r="C362" s="6">
        <f>TRIM(A362&amp;"")</f>
        <v/>
      </c>
      <c r="D362" s="6">
        <f>IF(C362="","",SUBSTITUTE(SUBSTITUTE(SUBSTITUTE(SUBSTITUTE(SUBSTITUTE(SUBSTITUTE(SUBSTITUTE(UPPER(TRIM(B362&amp;"")),"₹",""),"RS.",""),"RS",""),"INR",""),"$",""),",","")," ",""))</f>
        <v/>
      </c>
      <c r="E362" s="6">
        <f>IF(C362="","",IF(RIGHT(D362,2)="CR","Cr",IF(RIGHT(D362,2)="DR","Dr","")))</f>
        <v/>
      </c>
      <c r="F362" s="6">
        <f>IF(C362="","",IF(E362&lt;&gt;"",LEFT(D362,LEN(D362)-2),D362))</f>
        <v/>
      </c>
      <c r="G362" s="13">
        <f>IF(C362="","",IF(OR(IF(AND(LEFT(F362,1)="(",RIGHT(F362,1)=")"),MID(F362,2,LEN(F362)-2),F362)="",IF(AND(LEFT(F362,1)="(",RIGHT(F362,1)=")"),MID(F362,2,LEN(F362)-2),F362)="-"),0,IFERROR(VALUE(IF(AND(LEFT(F362,1)="(",RIGHT(F362,1)=")"),MID(F362,2,LEN(F362)-2),F362))*IF(AND(LEFT(F362,1)="(",RIGHT(F362,1)=")"),-1,1)*IF(E362="Cr",Setup!$B$6,1),"ERR")))</f>
        <v/>
      </c>
      <c r="H362" s="6">
        <f>IF(C362="","",IF(ISNUMBER(G362),1,0))</f>
        <v/>
      </c>
      <c r="I362" s="6">
        <f>IF(C362="","",IF(SUMPRODUCT(($C$12:$C$1511=C362)*1)&gt;1,1,0))</f>
        <v/>
      </c>
      <c r="J362" s="6">
        <f>IF(C362="","",SUMPRODUCT((Mapping!$F$5:$F$504=Setup!$B$4&amp;"||"&amp;C362)*ROW(Mapping!$F$5:$F$504)))</f>
        <v/>
      </c>
      <c r="K362" s="6">
        <f>IF(C362="","",IF(J362=0,"UNMAPPED",LOWER(INDEX(Mapping!$D$1:$D$504,J362))))</f>
        <v/>
      </c>
      <c r="L362" s="6">
        <f>IF(K362="mapped",TRIM(INDEX(Mapping!$C$1:$C$504,J362)),"")</f>
        <v/>
      </c>
      <c r="M362" s="6">
        <f>IF(C362="","",IF(SUMPRODUCT(($C$12:C362=C362)*1)=1,1,0))</f>
        <v/>
      </c>
      <c r="N362" s="6">
        <f>IF(AND(K362="UNMAPPED",M362=1),ROW(),"")</f>
        <v/>
      </c>
      <c r="O362" s="6">
        <f>IF(AND(I362=1,M362=1),ROW(),"")</f>
        <v/>
      </c>
      <c r="P362" s="6">
        <f>IF(AND(K362="ignored",M362=1),ROW(),"")</f>
        <v/>
      </c>
    </row>
    <row r="363">
      <c r="A363" s="8" t="n"/>
      <c r="B363" s="8" t="n"/>
      <c r="C363" s="6">
        <f>TRIM(A363&amp;"")</f>
        <v/>
      </c>
      <c r="D363" s="6">
        <f>IF(C363="","",SUBSTITUTE(SUBSTITUTE(SUBSTITUTE(SUBSTITUTE(SUBSTITUTE(SUBSTITUTE(SUBSTITUTE(UPPER(TRIM(B363&amp;"")),"₹",""),"RS.",""),"RS",""),"INR",""),"$",""),",","")," ",""))</f>
        <v/>
      </c>
      <c r="E363" s="6">
        <f>IF(C363="","",IF(RIGHT(D363,2)="CR","Cr",IF(RIGHT(D363,2)="DR","Dr","")))</f>
        <v/>
      </c>
      <c r="F363" s="6">
        <f>IF(C363="","",IF(E363&lt;&gt;"",LEFT(D363,LEN(D363)-2),D363))</f>
        <v/>
      </c>
      <c r="G363" s="13">
        <f>IF(C363="","",IF(OR(IF(AND(LEFT(F363,1)="(",RIGHT(F363,1)=")"),MID(F363,2,LEN(F363)-2),F363)="",IF(AND(LEFT(F363,1)="(",RIGHT(F363,1)=")"),MID(F363,2,LEN(F363)-2),F363)="-"),0,IFERROR(VALUE(IF(AND(LEFT(F363,1)="(",RIGHT(F363,1)=")"),MID(F363,2,LEN(F363)-2),F363))*IF(AND(LEFT(F363,1)="(",RIGHT(F363,1)=")"),-1,1)*IF(E363="Cr",Setup!$B$6,1),"ERR")))</f>
        <v/>
      </c>
      <c r="H363" s="6">
        <f>IF(C363="","",IF(ISNUMBER(G363),1,0))</f>
        <v/>
      </c>
      <c r="I363" s="6">
        <f>IF(C363="","",IF(SUMPRODUCT(($C$12:$C$1511=C363)*1)&gt;1,1,0))</f>
        <v/>
      </c>
      <c r="J363" s="6">
        <f>IF(C363="","",SUMPRODUCT((Mapping!$F$5:$F$504=Setup!$B$4&amp;"||"&amp;C363)*ROW(Mapping!$F$5:$F$504)))</f>
        <v/>
      </c>
      <c r="K363" s="6">
        <f>IF(C363="","",IF(J363=0,"UNMAPPED",LOWER(INDEX(Mapping!$D$1:$D$504,J363))))</f>
        <v/>
      </c>
      <c r="L363" s="6">
        <f>IF(K363="mapped",TRIM(INDEX(Mapping!$C$1:$C$504,J363)),"")</f>
        <v/>
      </c>
      <c r="M363" s="6">
        <f>IF(C363="","",IF(SUMPRODUCT(($C$12:C363=C363)*1)=1,1,0))</f>
        <v/>
      </c>
      <c r="N363" s="6">
        <f>IF(AND(K363="UNMAPPED",M363=1),ROW(),"")</f>
        <v/>
      </c>
      <c r="O363" s="6">
        <f>IF(AND(I363=1,M363=1),ROW(),"")</f>
        <v/>
      </c>
      <c r="P363" s="6">
        <f>IF(AND(K363="ignored",M363=1),ROW(),"")</f>
        <v/>
      </c>
    </row>
    <row r="364">
      <c r="A364" s="8" t="n"/>
      <c r="B364" s="8" t="n"/>
      <c r="C364" s="6">
        <f>TRIM(A364&amp;"")</f>
        <v/>
      </c>
      <c r="D364" s="6">
        <f>IF(C364="","",SUBSTITUTE(SUBSTITUTE(SUBSTITUTE(SUBSTITUTE(SUBSTITUTE(SUBSTITUTE(SUBSTITUTE(UPPER(TRIM(B364&amp;"")),"₹",""),"RS.",""),"RS",""),"INR",""),"$",""),",","")," ",""))</f>
        <v/>
      </c>
      <c r="E364" s="6">
        <f>IF(C364="","",IF(RIGHT(D364,2)="CR","Cr",IF(RIGHT(D364,2)="DR","Dr","")))</f>
        <v/>
      </c>
      <c r="F364" s="6">
        <f>IF(C364="","",IF(E364&lt;&gt;"",LEFT(D364,LEN(D364)-2),D364))</f>
        <v/>
      </c>
      <c r="G364" s="13">
        <f>IF(C364="","",IF(OR(IF(AND(LEFT(F364,1)="(",RIGHT(F364,1)=")"),MID(F364,2,LEN(F364)-2),F364)="",IF(AND(LEFT(F364,1)="(",RIGHT(F364,1)=")"),MID(F364,2,LEN(F364)-2),F364)="-"),0,IFERROR(VALUE(IF(AND(LEFT(F364,1)="(",RIGHT(F364,1)=")"),MID(F364,2,LEN(F364)-2),F364))*IF(AND(LEFT(F364,1)="(",RIGHT(F364,1)=")"),-1,1)*IF(E364="Cr",Setup!$B$6,1),"ERR")))</f>
        <v/>
      </c>
      <c r="H364" s="6">
        <f>IF(C364="","",IF(ISNUMBER(G364),1,0))</f>
        <v/>
      </c>
      <c r="I364" s="6">
        <f>IF(C364="","",IF(SUMPRODUCT(($C$12:$C$1511=C364)*1)&gt;1,1,0))</f>
        <v/>
      </c>
      <c r="J364" s="6">
        <f>IF(C364="","",SUMPRODUCT((Mapping!$F$5:$F$504=Setup!$B$4&amp;"||"&amp;C364)*ROW(Mapping!$F$5:$F$504)))</f>
        <v/>
      </c>
      <c r="K364" s="6">
        <f>IF(C364="","",IF(J364=0,"UNMAPPED",LOWER(INDEX(Mapping!$D$1:$D$504,J364))))</f>
        <v/>
      </c>
      <c r="L364" s="6">
        <f>IF(K364="mapped",TRIM(INDEX(Mapping!$C$1:$C$504,J364)),"")</f>
        <v/>
      </c>
      <c r="M364" s="6">
        <f>IF(C364="","",IF(SUMPRODUCT(($C$12:C364=C364)*1)=1,1,0))</f>
        <v/>
      </c>
      <c r="N364" s="6">
        <f>IF(AND(K364="UNMAPPED",M364=1),ROW(),"")</f>
        <v/>
      </c>
      <c r="O364" s="6">
        <f>IF(AND(I364=1,M364=1),ROW(),"")</f>
        <v/>
      </c>
      <c r="P364" s="6">
        <f>IF(AND(K364="ignored",M364=1),ROW(),"")</f>
        <v/>
      </c>
    </row>
    <row r="365">
      <c r="A365" s="8" t="n"/>
      <c r="B365" s="8" t="n"/>
      <c r="C365" s="6">
        <f>TRIM(A365&amp;"")</f>
        <v/>
      </c>
      <c r="D365" s="6">
        <f>IF(C365="","",SUBSTITUTE(SUBSTITUTE(SUBSTITUTE(SUBSTITUTE(SUBSTITUTE(SUBSTITUTE(SUBSTITUTE(UPPER(TRIM(B365&amp;"")),"₹",""),"RS.",""),"RS",""),"INR",""),"$",""),",","")," ",""))</f>
        <v/>
      </c>
      <c r="E365" s="6">
        <f>IF(C365="","",IF(RIGHT(D365,2)="CR","Cr",IF(RIGHT(D365,2)="DR","Dr","")))</f>
        <v/>
      </c>
      <c r="F365" s="6">
        <f>IF(C365="","",IF(E365&lt;&gt;"",LEFT(D365,LEN(D365)-2),D365))</f>
        <v/>
      </c>
      <c r="G365" s="13">
        <f>IF(C365="","",IF(OR(IF(AND(LEFT(F365,1)="(",RIGHT(F365,1)=")"),MID(F365,2,LEN(F365)-2),F365)="",IF(AND(LEFT(F365,1)="(",RIGHT(F365,1)=")"),MID(F365,2,LEN(F365)-2),F365)="-"),0,IFERROR(VALUE(IF(AND(LEFT(F365,1)="(",RIGHT(F365,1)=")"),MID(F365,2,LEN(F365)-2),F365))*IF(AND(LEFT(F365,1)="(",RIGHT(F365,1)=")"),-1,1)*IF(E365="Cr",Setup!$B$6,1),"ERR")))</f>
        <v/>
      </c>
      <c r="H365" s="6">
        <f>IF(C365="","",IF(ISNUMBER(G365),1,0))</f>
        <v/>
      </c>
      <c r="I365" s="6">
        <f>IF(C365="","",IF(SUMPRODUCT(($C$12:$C$1511=C365)*1)&gt;1,1,0))</f>
        <v/>
      </c>
      <c r="J365" s="6">
        <f>IF(C365="","",SUMPRODUCT((Mapping!$F$5:$F$504=Setup!$B$4&amp;"||"&amp;C365)*ROW(Mapping!$F$5:$F$504)))</f>
        <v/>
      </c>
      <c r="K365" s="6">
        <f>IF(C365="","",IF(J365=0,"UNMAPPED",LOWER(INDEX(Mapping!$D$1:$D$504,J365))))</f>
        <v/>
      </c>
      <c r="L365" s="6">
        <f>IF(K365="mapped",TRIM(INDEX(Mapping!$C$1:$C$504,J365)),"")</f>
        <v/>
      </c>
      <c r="M365" s="6">
        <f>IF(C365="","",IF(SUMPRODUCT(($C$12:C365=C365)*1)=1,1,0))</f>
        <v/>
      </c>
      <c r="N365" s="6">
        <f>IF(AND(K365="UNMAPPED",M365=1),ROW(),"")</f>
        <v/>
      </c>
      <c r="O365" s="6">
        <f>IF(AND(I365=1,M365=1),ROW(),"")</f>
        <v/>
      </c>
      <c r="P365" s="6">
        <f>IF(AND(K365="ignored",M365=1),ROW(),"")</f>
        <v/>
      </c>
    </row>
    <row r="366">
      <c r="A366" s="8" t="n"/>
      <c r="B366" s="8" t="n"/>
      <c r="C366" s="6">
        <f>TRIM(A366&amp;"")</f>
        <v/>
      </c>
      <c r="D366" s="6">
        <f>IF(C366="","",SUBSTITUTE(SUBSTITUTE(SUBSTITUTE(SUBSTITUTE(SUBSTITUTE(SUBSTITUTE(SUBSTITUTE(UPPER(TRIM(B366&amp;"")),"₹",""),"RS.",""),"RS",""),"INR",""),"$",""),",","")," ",""))</f>
        <v/>
      </c>
      <c r="E366" s="6">
        <f>IF(C366="","",IF(RIGHT(D366,2)="CR","Cr",IF(RIGHT(D366,2)="DR","Dr","")))</f>
        <v/>
      </c>
      <c r="F366" s="6">
        <f>IF(C366="","",IF(E366&lt;&gt;"",LEFT(D366,LEN(D366)-2),D366))</f>
        <v/>
      </c>
      <c r="G366" s="13">
        <f>IF(C366="","",IF(OR(IF(AND(LEFT(F366,1)="(",RIGHT(F366,1)=")"),MID(F366,2,LEN(F366)-2),F366)="",IF(AND(LEFT(F366,1)="(",RIGHT(F366,1)=")"),MID(F366,2,LEN(F366)-2),F366)="-"),0,IFERROR(VALUE(IF(AND(LEFT(F366,1)="(",RIGHT(F366,1)=")"),MID(F366,2,LEN(F366)-2),F366))*IF(AND(LEFT(F366,1)="(",RIGHT(F366,1)=")"),-1,1)*IF(E366="Cr",Setup!$B$6,1),"ERR")))</f>
        <v/>
      </c>
      <c r="H366" s="6">
        <f>IF(C366="","",IF(ISNUMBER(G366),1,0))</f>
        <v/>
      </c>
      <c r="I366" s="6">
        <f>IF(C366="","",IF(SUMPRODUCT(($C$12:$C$1511=C366)*1)&gt;1,1,0))</f>
        <v/>
      </c>
      <c r="J366" s="6">
        <f>IF(C366="","",SUMPRODUCT((Mapping!$F$5:$F$504=Setup!$B$4&amp;"||"&amp;C366)*ROW(Mapping!$F$5:$F$504)))</f>
        <v/>
      </c>
      <c r="K366" s="6">
        <f>IF(C366="","",IF(J366=0,"UNMAPPED",LOWER(INDEX(Mapping!$D$1:$D$504,J366))))</f>
        <v/>
      </c>
      <c r="L366" s="6">
        <f>IF(K366="mapped",TRIM(INDEX(Mapping!$C$1:$C$504,J366)),"")</f>
        <v/>
      </c>
      <c r="M366" s="6">
        <f>IF(C366="","",IF(SUMPRODUCT(($C$12:C366=C366)*1)=1,1,0))</f>
        <v/>
      </c>
      <c r="N366" s="6">
        <f>IF(AND(K366="UNMAPPED",M366=1),ROW(),"")</f>
        <v/>
      </c>
      <c r="O366" s="6">
        <f>IF(AND(I366=1,M366=1),ROW(),"")</f>
        <v/>
      </c>
      <c r="P366" s="6">
        <f>IF(AND(K366="ignored",M366=1),ROW(),"")</f>
        <v/>
      </c>
    </row>
    <row r="367">
      <c r="A367" s="8" t="n"/>
      <c r="B367" s="8" t="n"/>
      <c r="C367" s="6">
        <f>TRIM(A367&amp;"")</f>
        <v/>
      </c>
      <c r="D367" s="6">
        <f>IF(C367="","",SUBSTITUTE(SUBSTITUTE(SUBSTITUTE(SUBSTITUTE(SUBSTITUTE(SUBSTITUTE(SUBSTITUTE(UPPER(TRIM(B367&amp;"")),"₹",""),"RS.",""),"RS",""),"INR",""),"$",""),",","")," ",""))</f>
        <v/>
      </c>
      <c r="E367" s="6">
        <f>IF(C367="","",IF(RIGHT(D367,2)="CR","Cr",IF(RIGHT(D367,2)="DR","Dr","")))</f>
        <v/>
      </c>
      <c r="F367" s="6">
        <f>IF(C367="","",IF(E367&lt;&gt;"",LEFT(D367,LEN(D367)-2),D367))</f>
        <v/>
      </c>
      <c r="G367" s="13">
        <f>IF(C367="","",IF(OR(IF(AND(LEFT(F367,1)="(",RIGHT(F367,1)=")"),MID(F367,2,LEN(F367)-2),F367)="",IF(AND(LEFT(F367,1)="(",RIGHT(F367,1)=")"),MID(F367,2,LEN(F367)-2),F367)="-"),0,IFERROR(VALUE(IF(AND(LEFT(F367,1)="(",RIGHT(F367,1)=")"),MID(F367,2,LEN(F367)-2),F367))*IF(AND(LEFT(F367,1)="(",RIGHT(F367,1)=")"),-1,1)*IF(E367="Cr",Setup!$B$6,1),"ERR")))</f>
        <v/>
      </c>
      <c r="H367" s="6">
        <f>IF(C367="","",IF(ISNUMBER(G367),1,0))</f>
        <v/>
      </c>
      <c r="I367" s="6">
        <f>IF(C367="","",IF(SUMPRODUCT(($C$12:$C$1511=C367)*1)&gt;1,1,0))</f>
        <v/>
      </c>
      <c r="J367" s="6">
        <f>IF(C367="","",SUMPRODUCT((Mapping!$F$5:$F$504=Setup!$B$4&amp;"||"&amp;C367)*ROW(Mapping!$F$5:$F$504)))</f>
        <v/>
      </c>
      <c r="K367" s="6">
        <f>IF(C367="","",IF(J367=0,"UNMAPPED",LOWER(INDEX(Mapping!$D$1:$D$504,J367))))</f>
        <v/>
      </c>
      <c r="L367" s="6">
        <f>IF(K367="mapped",TRIM(INDEX(Mapping!$C$1:$C$504,J367)),"")</f>
        <v/>
      </c>
      <c r="M367" s="6">
        <f>IF(C367="","",IF(SUMPRODUCT(($C$12:C367=C367)*1)=1,1,0))</f>
        <v/>
      </c>
      <c r="N367" s="6">
        <f>IF(AND(K367="UNMAPPED",M367=1),ROW(),"")</f>
        <v/>
      </c>
      <c r="O367" s="6">
        <f>IF(AND(I367=1,M367=1),ROW(),"")</f>
        <v/>
      </c>
      <c r="P367" s="6">
        <f>IF(AND(K367="ignored",M367=1),ROW(),"")</f>
        <v/>
      </c>
    </row>
    <row r="368">
      <c r="A368" s="8" t="n"/>
      <c r="B368" s="8" t="n"/>
      <c r="C368" s="6">
        <f>TRIM(A368&amp;"")</f>
        <v/>
      </c>
      <c r="D368" s="6">
        <f>IF(C368="","",SUBSTITUTE(SUBSTITUTE(SUBSTITUTE(SUBSTITUTE(SUBSTITUTE(SUBSTITUTE(SUBSTITUTE(UPPER(TRIM(B368&amp;"")),"₹",""),"RS.",""),"RS",""),"INR",""),"$",""),",","")," ",""))</f>
        <v/>
      </c>
      <c r="E368" s="6">
        <f>IF(C368="","",IF(RIGHT(D368,2)="CR","Cr",IF(RIGHT(D368,2)="DR","Dr","")))</f>
        <v/>
      </c>
      <c r="F368" s="6">
        <f>IF(C368="","",IF(E368&lt;&gt;"",LEFT(D368,LEN(D368)-2),D368))</f>
        <v/>
      </c>
      <c r="G368" s="13">
        <f>IF(C368="","",IF(OR(IF(AND(LEFT(F368,1)="(",RIGHT(F368,1)=")"),MID(F368,2,LEN(F368)-2),F368)="",IF(AND(LEFT(F368,1)="(",RIGHT(F368,1)=")"),MID(F368,2,LEN(F368)-2),F368)="-"),0,IFERROR(VALUE(IF(AND(LEFT(F368,1)="(",RIGHT(F368,1)=")"),MID(F368,2,LEN(F368)-2),F368))*IF(AND(LEFT(F368,1)="(",RIGHT(F368,1)=")"),-1,1)*IF(E368="Cr",Setup!$B$6,1),"ERR")))</f>
        <v/>
      </c>
      <c r="H368" s="6">
        <f>IF(C368="","",IF(ISNUMBER(G368),1,0))</f>
        <v/>
      </c>
      <c r="I368" s="6">
        <f>IF(C368="","",IF(SUMPRODUCT(($C$12:$C$1511=C368)*1)&gt;1,1,0))</f>
        <v/>
      </c>
      <c r="J368" s="6">
        <f>IF(C368="","",SUMPRODUCT((Mapping!$F$5:$F$504=Setup!$B$4&amp;"||"&amp;C368)*ROW(Mapping!$F$5:$F$504)))</f>
        <v/>
      </c>
      <c r="K368" s="6">
        <f>IF(C368="","",IF(J368=0,"UNMAPPED",LOWER(INDEX(Mapping!$D$1:$D$504,J368))))</f>
        <v/>
      </c>
      <c r="L368" s="6">
        <f>IF(K368="mapped",TRIM(INDEX(Mapping!$C$1:$C$504,J368)),"")</f>
        <v/>
      </c>
      <c r="M368" s="6">
        <f>IF(C368="","",IF(SUMPRODUCT(($C$12:C368=C368)*1)=1,1,0))</f>
        <v/>
      </c>
      <c r="N368" s="6">
        <f>IF(AND(K368="UNMAPPED",M368=1),ROW(),"")</f>
        <v/>
      </c>
      <c r="O368" s="6">
        <f>IF(AND(I368=1,M368=1),ROW(),"")</f>
        <v/>
      </c>
      <c r="P368" s="6">
        <f>IF(AND(K368="ignored",M368=1),ROW(),"")</f>
        <v/>
      </c>
    </row>
    <row r="369">
      <c r="A369" s="8" t="n"/>
      <c r="B369" s="8" t="n"/>
      <c r="C369" s="6">
        <f>TRIM(A369&amp;"")</f>
        <v/>
      </c>
      <c r="D369" s="6">
        <f>IF(C369="","",SUBSTITUTE(SUBSTITUTE(SUBSTITUTE(SUBSTITUTE(SUBSTITUTE(SUBSTITUTE(SUBSTITUTE(UPPER(TRIM(B369&amp;"")),"₹",""),"RS.",""),"RS",""),"INR",""),"$",""),",","")," ",""))</f>
        <v/>
      </c>
      <c r="E369" s="6">
        <f>IF(C369="","",IF(RIGHT(D369,2)="CR","Cr",IF(RIGHT(D369,2)="DR","Dr","")))</f>
        <v/>
      </c>
      <c r="F369" s="6">
        <f>IF(C369="","",IF(E369&lt;&gt;"",LEFT(D369,LEN(D369)-2),D369))</f>
        <v/>
      </c>
      <c r="G369" s="13">
        <f>IF(C369="","",IF(OR(IF(AND(LEFT(F369,1)="(",RIGHT(F369,1)=")"),MID(F369,2,LEN(F369)-2),F369)="",IF(AND(LEFT(F369,1)="(",RIGHT(F369,1)=")"),MID(F369,2,LEN(F369)-2),F369)="-"),0,IFERROR(VALUE(IF(AND(LEFT(F369,1)="(",RIGHT(F369,1)=")"),MID(F369,2,LEN(F369)-2),F369))*IF(AND(LEFT(F369,1)="(",RIGHT(F369,1)=")"),-1,1)*IF(E369="Cr",Setup!$B$6,1),"ERR")))</f>
        <v/>
      </c>
      <c r="H369" s="6">
        <f>IF(C369="","",IF(ISNUMBER(G369),1,0))</f>
        <v/>
      </c>
      <c r="I369" s="6">
        <f>IF(C369="","",IF(SUMPRODUCT(($C$12:$C$1511=C369)*1)&gt;1,1,0))</f>
        <v/>
      </c>
      <c r="J369" s="6">
        <f>IF(C369="","",SUMPRODUCT((Mapping!$F$5:$F$504=Setup!$B$4&amp;"||"&amp;C369)*ROW(Mapping!$F$5:$F$504)))</f>
        <v/>
      </c>
      <c r="K369" s="6">
        <f>IF(C369="","",IF(J369=0,"UNMAPPED",LOWER(INDEX(Mapping!$D$1:$D$504,J369))))</f>
        <v/>
      </c>
      <c r="L369" s="6">
        <f>IF(K369="mapped",TRIM(INDEX(Mapping!$C$1:$C$504,J369)),"")</f>
        <v/>
      </c>
      <c r="M369" s="6">
        <f>IF(C369="","",IF(SUMPRODUCT(($C$12:C369=C369)*1)=1,1,0))</f>
        <v/>
      </c>
      <c r="N369" s="6">
        <f>IF(AND(K369="UNMAPPED",M369=1),ROW(),"")</f>
        <v/>
      </c>
      <c r="O369" s="6">
        <f>IF(AND(I369=1,M369=1),ROW(),"")</f>
        <v/>
      </c>
      <c r="P369" s="6">
        <f>IF(AND(K369="ignored",M369=1),ROW(),"")</f>
        <v/>
      </c>
    </row>
    <row r="370">
      <c r="A370" s="8" t="n"/>
      <c r="B370" s="8" t="n"/>
      <c r="C370" s="6">
        <f>TRIM(A370&amp;"")</f>
        <v/>
      </c>
      <c r="D370" s="6">
        <f>IF(C370="","",SUBSTITUTE(SUBSTITUTE(SUBSTITUTE(SUBSTITUTE(SUBSTITUTE(SUBSTITUTE(SUBSTITUTE(UPPER(TRIM(B370&amp;"")),"₹",""),"RS.",""),"RS",""),"INR",""),"$",""),",","")," ",""))</f>
        <v/>
      </c>
      <c r="E370" s="6">
        <f>IF(C370="","",IF(RIGHT(D370,2)="CR","Cr",IF(RIGHT(D370,2)="DR","Dr","")))</f>
        <v/>
      </c>
      <c r="F370" s="6">
        <f>IF(C370="","",IF(E370&lt;&gt;"",LEFT(D370,LEN(D370)-2),D370))</f>
        <v/>
      </c>
      <c r="G370" s="13">
        <f>IF(C370="","",IF(OR(IF(AND(LEFT(F370,1)="(",RIGHT(F370,1)=")"),MID(F370,2,LEN(F370)-2),F370)="",IF(AND(LEFT(F370,1)="(",RIGHT(F370,1)=")"),MID(F370,2,LEN(F370)-2),F370)="-"),0,IFERROR(VALUE(IF(AND(LEFT(F370,1)="(",RIGHT(F370,1)=")"),MID(F370,2,LEN(F370)-2),F370))*IF(AND(LEFT(F370,1)="(",RIGHT(F370,1)=")"),-1,1)*IF(E370="Cr",Setup!$B$6,1),"ERR")))</f>
        <v/>
      </c>
      <c r="H370" s="6">
        <f>IF(C370="","",IF(ISNUMBER(G370),1,0))</f>
        <v/>
      </c>
      <c r="I370" s="6">
        <f>IF(C370="","",IF(SUMPRODUCT(($C$12:$C$1511=C370)*1)&gt;1,1,0))</f>
        <v/>
      </c>
      <c r="J370" s="6">
        <f>IF(C370="","",SUMPRODUCT((Mapping!$F$5:$F$504=Setup!$B$4&amp;"||"&amp;C370)*ROW(Mapping!$F$5:$F$504)))</f>
        <v/>
      </c>
      <c r="K370" s="6">
        <f>IF(C370="","",IF(J370=0,"UNMAPPED",LOWER(INDEX(Mapping!$D$1:$D$504,J370))))</f>
        <v/>
      </c>
      <c r="L370" s="6">
        <f>IF(K370="mapped",TRIM(INDEX(Mapping!$C$1:$C$504,J370)),"")</f>
        <v/>
      </c>
      <c r="M370" s="6">
        <f>IF(C370="","",IF(SUMPRODUCT(($C$12:C370=C370)*1)=1,1,0))</f>
        <v/>
      </c>
      <c r="N370" s="6">
        <f>IF(AND(K370="UNMAPPED",M370=1),ROW(),"")</f>
        <v/>
      </c>
      <c r="O370" s="6">
        <f>IF(AND(I370=1,M370=1),ROW(),"")</f>
        <v/>
      </c>
      <c r="P370" s="6">
        <f>IF(AND(K370="ignored",M370=1),ROW(),"")</f>
        <v/>
      </c>
    </row>
    <row r="371">
      <c r="A371" s="8" t="n"/>
      <c r="B371" s="8" t="n"/>
      <c r="C371" s="6">
        <f>TRIM(A371&amp;"")</f>
        <v/>
      </c>
      <c r="D371" s="6">
        <f>IF(C371="","",SUBSTITUTE(SUBSTITUTE(SUBSTITUTE(SUBSTITUTE(SUBSTITUTE(SUBSTITUTE(SUBSTITUTE(UPPER(TRIM(B371&amp;"")),"₹",""),"RS.",""),"RS",""),"INR",""),"$",""),",","")," ",""))</f>
        <v/>
      </c>
      <c r="E371" s="6">
        <f>IF(C371="","",IF(RIGHT(D371,2)="CR","Cr",IF(RIGHT(D371,2)="DR","Dr","")))</f>
        <v/>
      </c>
      <c r="F371" s="6">
        <f>IF(C371="","",IF(E371&lt;&gt;"",LEFT(D371,LEN(D371)-2),D371))</f>
        <v/>
      </c>
      <c r="G371" s="13">
        <f>IF(C371="","",IF(OR(IF(AND(LEFT(F371,1)="(",RIGHT(F371,1)=")"),MID(F371,2,LEN(F371)-2),F371)="",IF(AND(LEFT(F371,1)="(",RIGHT(F371,1)=")"),MID(F371,2,LEN(F371)-2),F371)="-"),0,IFERROR(VALUE(IF(AND(LEFT(F371,1)="(",RIGHT(F371,1)=")"),MID(F371,2,LEN(F371)-2),F371))*IF(AND(LEFT(F371,1)="(",RIGHT(F371,1)=")"),-1,1)*IF(E371="Cr",Setup!$B$6,1),"ERR")))</f>
        <v/>
      </c>
      <c r="H371" s="6">
        <f>IF(C371="","",IF(ISNUMBER(G371),1,0))</f>
        <v/>
      </c>
      <c r="I371" s="6">
        <f>IF(C371="","",IF(SUMPRODUCT(($C$12:$C$1511=C371)*1)&gt;1,1,0))</f>
        <v/>
      </c>
      <c r="J371" s="6">
        <f>IF(C371="","",SUMPRODUCT((Mapping!$F$5:$F$504=Setup!$B$4&amp;"||"&amp;C371)*ROW(Mapping!$F$5:$F$504)))</f>
        <v/>
      </c>
      <c r="K371" s="6">
        <f>IF(C371="","",IF(J371=0,"UNMAPPED",LOWER(INDEX(Mapping!$D$1:$D$504,J371))))</f>
        <v/>
      </c>
      <c r="L371" s="6">
        <f>IF(K371="mapped",TRIM(INDEX(Mapping!$C$1:$C$504,J371)),"")</f>
        <v/>
      </c>
      <c r="M371" s="6">
        <f>IF(C371="","",IF(SUMPRODUCT(($C$12:C371=C371)*1)=1,1,0))</f>
        <v/>
      </c>
      <c r="N371" s="6">
        <f>IF(AND(K371="UNMAPPED",M371=1),ROW(),"")</f>
        <v/>
      </c>
      <c r="O371" s="6">
        <f>IF(AND(I371=1,M371=1),ROW(),"")</f>
        <v/>
      </c>
      <c r="P371" s="6">
        <f>IF(AND(K371="ignored",M371=1),ROW(),"")</f>
        <v/>
      </c>
    </row>
    <row r="372">
      <c r="A372" s="8" t="n"/>
      <c r="B372" s="8" t="n"/>
      <c r="C372" s="6">
        <f>TRIM(A372&amp;"")</f>
        <v/>
      </c>
      <c r="D372" s="6">
        <f>IF(C372="","",SUBSTITUTE(SUBSTITUTE(SUBSTITUTE(SUBSTITUTE(SUBSTITUTE(SUBSTITUTE(SUBSTITUTE(UPPER(TRIM(B372&amp;"")),"₹",""),"RS.",""),"RS",""),"INR",""),"$",""),",","")," ",""))</f>
        <v/>
      </c>
      <c r="E372" s="6">
        <f>IF(C372="","",IF(RIGHT(D372,2)="CR","Cr",IF(RIGHT(D372,2)="DR","Dr","")))</f>
        <v/>
      </c>
      <c r="F372" s="6">
        <f>IF(C372="","",IF(E372&lt;&gt;"",LEFT(D372,LEN(D372)-2),D372))</f>
        <v/>
      </c>
      <c r="G372" s="13">
        <f>IF(C372="","",IF(OR(IF(AND(LEFT(F372,1)="(",RIGHT(F372,1)=")"),MID(F372,2,LEN(F372)-2),F372)="",IF(AND(LEFT(F372,1)="(",RIGHT(F372,1)=")"),MID(F372,2,LEN(F372)-2),F372)="-"),0,IFERROR(VALUE(IF(AND(LEFT(F372,1)="(",RIGHT(F372,1)=")"),MID(F372,2,LEN(F372)-2),F372))*IF(AND(LEFT(F372,1)="(",RIGHT(F372,1)=")"),-1,1)*IF(E372="Cr",Setup!$B$6,1),"ERR")))</f>
        <v/>
      </c>
      <c r="H372" s="6">
        <f>IF(C372="","",IF(ISNUMBER(G372),1,0))</f>
        <v/>
      </c>
      <c r="I372" s="6">
        <f>IF(C372="","",IF(SUMPRODUCT(($C$12:$C$1511=C372)*1)&gt;1,1,0))</f>
        <v/>
      </c>
      <c r="J372" s="6">
        <f>IF(C372="","",SUMPRODUCT((Mapping!$F$5:$F$504=Setup!$B$4&amp;"||"&amp;C372)*ROW(Mapping!$F$5:$F$504)))</f>
        <v/>
      </c>
      <c r="K372" s="6">
        <f>IF(C372="","",IF(J372=0,"UNMAPPED",LOWER(INDEX(Mapping!$D$1:$D$504,J372))))</f>
        <v/>
      </c>
      <c r="L372" s="6">
        <f>IF(K372="mapped",TRIM(INDEX(Mapping!$C$1:$C$504,J372)),"")</f>
        <v/>
      </c>
      <c r="M372" s="6">
        <f>IF(C372="","",IF(SUMPRODUCT(($C$12:C372=C372)*1)=1,1,0))</f>
        <v/>
      </c>
      <c r="N372" s="6">
        <f>IF(AND(K372="UNMAPPED",M372=1),ROW(),"")</f>
        <v/>
      </c>
      <c r="O372" s="6">
        <f>IF(AND(I372=1,M372=1),ROW(),"")</f>
        <v/>
      </c>
      <c r="P372" s="6">
        <f>IF(AND(K372="ignored",M372=1),ROW(),"")</f>
        <v/>
      </c>
    </row>
    <row r="373">
      <c r="A373" s="8" t="n"/>
      <c r="B373" s="8" t="n"/>
      <c r="C373" s="6">
        <f>TRIM(A373&amp;"")</f>
        <v/>
      </c>
      <c r="D373" s="6">
        <f>IF(C373="","",SUBSTITUTE(SUBSTITUTE(SUBSTITUTE(SUBSTITUTE(SUBSTITUTE(SUBSTITUTE(SUBSTITUTE(UPPER(TRIM(B373&amp;"")),"₹",""),"RS.",""),"RS",""),"INR",""),"$",""),",","")," ",""))</f>
        <v/>
      </c>
      <c r="E373" s="6">
        <f>IF(C373="","",IF(RIGHT(D373,2)="CR","Cr",IF(RIGHT(D373,2)="DR","Dr","")))</f>
        <v/>
      </c>
      <c r="F373" s="6">
        <f>IF(C373="","",IF(E373&lt;&gt;"",LEFT(D373,LEN(D373)-2),D373))</f>
        <v/>
      </c>
      <c r="G373" s="13">
        <f>IF(C373="","",IF(OR(IF(AND(LEFT(F373,1)="(",RIGHT(F373,1)=")"),MID(F373,2,LEN(F373)-2),F373)="",IF(AND(LEFT(F373,1)="(",RIGHT(F373,1)=")"),MID(F373,2,LEN(F373)-2),F373)="-"),0,IFERROR(VALUE(IF(AND(LEFT(F373,1)="(",RIGHT(F373,1)=")"),MID(F373,2,LEN(F373)-2),F373))*IF(AND(LEFT(F373,1)="(",RIGHT(F373,1)=")"),-1,1)*IF(E373="Cr",Setup!$B$6,1),"ERR")))</f>
        <v/>
      </c>
      <c r="H373" s="6">
        <f>IF(C373="","",IF(ISNUMBER(G373),1,0))</f>
        <v/>
      </c>
      <c r="I373" s="6">
        <f>IF(C373="","",IF(SUMPRODUCT(($C$12:$C$1511=C373)*1)&gt;1,1,0))</f>
        <v/>
      </c>
      <c r="J373" s="6">
        <f>IF(C373="","",SUMPRODUCT((Mapping!$F$5:$F$504=Setup!$B$4&amp;"||"&amp;C373)*ROW(Mapping!$F$5:$F$504)))</f>
        <v/>
      </c>
      <c r="K373" s="6">
        <f>IF(C373="","",IF(J373=0,"UNMAPPED",LOWER(INDEX(Mapping!$D$1:$D$504,J373))))</f>
        <v/>
      </c>
      <c r="L373" s="6">
        <f>IF(K373="mapped",TRIM(INDEX(Mapping!$C$1:$C$504,J373)),"")</f>
        <v/>
      </c>
      <c r="M373" s="6">
        <f>IF(C373="","",IF(SUMPRODUCT(($C$12:C373=C373)*1)=1,1,0))</f>
        <v/>
      </c>
      <c r="N373" s="6">
        <f>IF(AND(K373="UNMAPPED",M373=1),ROW(),"")</f>
        <v/>
      </c>
      <c r="O373" s="6">
        <f>IF(AND(I373=1,M373=1),ROW(),"")</f>
        <v/>
      </c>
      <c r="P373" s="6">
        <f>IF(AND(K373="ignored",M373=1),ROW(),"")</f>
        <v/>
      </c>
    </row>
    <row r="374">
      <c r="A374" s="8" t="n"/>
      <c r="B374" s="8" t="n"/>
      <c r="C374" s="6">
        <f>TRIM(A374&amp;"")</f>
        <v/>
      </c>
      <c r="D374" s="6">
        <f>IF(C374="","",SUBSTITUTE(SUBSTITUTE(SUBSTITUTE(SUBSTITUTE(SUBSTITUTE(SUBSTITUTE(SUBSTITUTE(UPPER(TRIM(B374&amp;"")),"₹",""),"RS.",""),"RS",""),"INR",""),"$",""),",","")," ",""))</f>
        <v/>
      </c>
      <c r="E374" s="6">
        <f>IF(C374="","",IF(RIGHT(D374,2)="CR","Cr",IF(RIGHT(D374,2)="DR","Dr","")))</f>
        <v/>
      </c>
      <c r="F374" s="6">
        <f>IF(C374="","",IF(E374&lt;&gt;"",LEFT(D374,LEN(D374)-2),D374))</f>
        <v/>
      </c>
      <c r="G374" s="13">
        <f>IF(C374="","",IF(OR(IF(AND(LEFT(F374,1)="(",RIGHT(F374,1)=")"),MID(F374,2,LEN(F374)-2),F374)="",IF(AND(LEFT(F374,1)="(",RIGHT(F374,1)=")"),MID(F374,2,LEN(F374)-2),F374)="-"),0,IFERROR(VALUE(IF(AND(LEFT(F374,1)="(",RIGHT(F374,1)=")"),MID(F374,2,LEN(F374)-2),F374))*IF(AND(LEFT(F374,1)="(",RIGHT(F374,1)=")"),-1,1)*IF(E374="Cr",Setup!$B$6,1),"ERR")))</f>
        <v/>
      </c>
      <c r="H374" s="6">
        <f>IF(C374="","",IF(ISNUMBER(G374),1,0))</f>
        <v/>
      </c>
      <c r="I374" s="6">
        <f>IF(C374="","",IF(SUMPRODUCT(($C$12:$C$1511=C374)*1)&gt;1,1,0))</f>
        <v/>
      </c>
      <c r="J374" s="6">
        <f>IF(C374="","",SUMPRODUCT((Mapping!$F$5:$F$504=Setup!$B$4&amp;"||"&amp;C374)*ROW(Mapping!$F$5:$F$504)))</f>
        <v/>
      </c>
      <c r="K374" s="6">
        <f>IF(C374="","",IF(J374=0,"UNMAPPED",LOWER(INDEX(Mapping!$D$1:$D$504,J374))))</f>
        <v/>
      </c>
      <c r="L374" s="6">
        <f>IF(K374="mapped",TRIM(INDEX(Mapping!$C$1:$C$504,J374)),"")</f>
        <v/>
      </c>
      <c r="M374" s="6">
        <f>IF(C374="","",IF(SUMPRODUCT(($C$12:C374=C374)*1)=1,1,0))</f>
        <v/>
      </c>
      <c r="N374" s="6">
        <f>IF(AND(K374="UNMAPPED",M374=1),ROW(),"")</f>
        <v/>
      </c>
      <c r="O374" s="6">
        <f>IF(AND(I374=1,M374=1),ROW(),"")</f>
        <v/>
      </c>
      <c r="P374" s="6">
        <f>IF(AND(K374="ignored",M374=1),ROW(),"")</f>
        <v/>
      </c>
    </row>
    <row r="375">
      <c r="A375" s="8" t="n"/>
      <c r="B375" s="8" t="n"/>
      <c r="C375" s="6">
        <f>TRIM(A375&amp;"")</f>
        <v/>
      </c>
      <c r="D375" s="6">
        <f>IF(C375="","",SUBSTITUTE(SUBSTITUTE(SUBSTITUTE(SUBSTITUTE(SUBSTITUTE(SUBSTITUTE(SUBSTITUTE(UPPER(TRIM(B375&amp;"")),"₹",""),"RS.",""),"RS",""),"INR",""),"$",""),",","")," ",""))</f>
        <v/>
      </c>
      <c r="E375" s="6">
        <f>IF(C375="","",IF(RIGHT(D375,2)="CR","Cr",IF(RIGHT(D375,2)="DR","Dr","")))</f>
        <v/>
      </c>
      <c r="F375" s="6">
        <f>IF(C375="","",IF(E375&lt;&gt;"",LEFT(D375,LEN(D375)-2),D375))</f>
        <v/>
      </c>
      <c r="G375" s="13">
        <f>IF(C375="","",IF(OR(IF(AND(LEFT(F375,1)="(",RIGHT(F375,1)=")"),MID(F375,2,LEN(F375)-2),F375)="",IF(AND(LEFT(F375,1)="(",RIGHT(F375,1)=")"),MID(F375,2,LEN(F375)-2),F375)="-"),0,IFERROR(VALUE(IF(AND(LEFT(F375,1)="(",RIGHT(F375,1)=")"),MID(F375,2,LEN(F375)-2),F375))*IF(AND(LEFT(F375,1)="(",RIGHT(F375,1)=")"),-1,1)*IF(E375="Cr",Setup!$B$6,1),"ERR")))</f>
        <v/>
      </c>
      <c r="H375" s="6">
        <f>IF(C375="","",IF(ISNUMBER(G375),1,0))</f>
        <v/>
      </c>
      <c r="I375" s="6">
        <f>IF(C375="","",IF(SUMPRODUCT(($C$12:$C$1511=C375)*1)&gt;1,1,0))</f>
        <v/>
      </c>
      <c r="J375" s="6">
        <f>IF(C375="","",SUMPRODUCT((Mapping!$F$5:$F$504=Setup!$B$4&amp;"||"&amp;C375)*ROW(Mapping!$F$5:$F$504)))</f>
        <v/>
      </c>
      <c r="K375" s="6">
        <f>IF(C375="","",IF(J375=0,"UNMAPPED",LOWER(INDEX(Mapping!$D$1:$D$504,J375))))</f>
        <v/>
      </c>
      <c r="L375" s="6">
        <f>IF(K375="mapped",TRIM(INDEX(Mapping!$C$1:$C$504,J375)),"")</f>
        <v/>
      </c>
      <c r="M375" s="6">
        <f>IF(C375="","",IF(SUMPRODUCT(($C$12:C375=C375)*1)=1,1,0))</f>
        <v/>
      </c>
      <c r="N375" s="6">
        <f>IF(AND(K375="UNMAPPED",M375=1),ROW(),"")</f>
        <v/>
      </c>
      <c r="O375" s="6">
        <f>IF(AND(I375=1,M375=1),ROW(),"")</f>
        <v/>
      </c>
      <c r="P375" s="6">
        <f>IF(AND(K375="ignored",M375=1),ROW(),"")</f>
        <v/>
      </c>
    </row>
    <row r="376">
      <c r="A376" s="8" t="n"/>
      <c r="B376" s="8" t="n"/>
      <c r="C376" s="6">
        <f>TRIM(A376&amp;"")</f>
        <v/>
      </c>
      <c r="D376" s="6">
        <f>IF(C376="","",SUBSTITUTE(SUBSTITUTE(SUBSTITUTE(SUBSTITUTE(SUBSTITUTE(SUBSTITUTE(SUBSTITUTE(UPPER(TRIM(B376&amp;"")),"₹",""),"RS.",""),"RS",""),"INR",""),"$",""),",","")," ",""))</f>
        <v/>
      </c>
      <c r="E376" s="6">
        <f>IF(C376="","",IF(RIGHT(D376,2)="CR","Cr",IF(RIGHT(D376,2)="DR","Dr","")))</f>
        <v/>
      </c>
      <c r="F376" s="6">
        <f>IF(C376="","",IF(E376&lt;&gt;"",LEFT(D376,LEN(D376)-2),D376))</f>
        <v/>
      </c>
      <c r="G376" s="13">
        <f>IF(C376="","",IF(OR(IF(AND(LEFT(F376,1)="(",RIGHT(F376,1)=")"),MID(F376,2,LEN(F376)-2),F376)="",IF(AND(LEFT(F376,1)="(",RIGHT(F376,1)=")"),MID(F376,2,LEN(F376)-2),F376)="-"),0,IFERROR(VALUE(IF(AND(LEFT(F376,1)="(",RIGHT(F376,1)=")"),MID(F376,2,LEN(F376)-2),F376))*IF(AND(LEFT(F376,1)="(",RIGHT(F376,1)=")"),-1,1)*IF(E376="Cr",Setup!$B$6,1),"ERR")))</f>
        <v/>
      </c>
      <c r="H376" s="6">
        <f>IF(C376="","",IF(ISNUMBER(G376),1,0))</f>
        <v/>
      </c>
      <c r="I376" s="6">
        <f>IF(C376="","",IF(SUMPRODUCT(($C$12:$C$1511=C376)*1)&gt;1,1,0))</f>
        <v/>
      </c>
      <c r="J376" s="6">
        <f>IF(C376="","",SUMPRODUCT((Mapping!$F$5:$F$504=Setup!$B$4&amp;"||"&amp;C376)*ROW(Mapping!$F$5:$F$504)))</f>
        <v/>
      </c>
      <c r="K376" s="6">
        <f>IF(C376="","",IF(J376=0,"UNMAPPED",LOWER(INDEX(Mapping!$D$1:$D$504,J376))))</f>
        <v/>
      </c>
      <c r="L376" s="6">
        <f>IF(K376="mapped",TRIM(INDEX(Mapping!$C$1:$C$504,J376)),"")</f>
        <v/>
      </c>
      <c r="M376" s="6">
        <f>IF(C376="","",IF(SUMPRODUCT(($C$12:C376=C376)*1)=1,1,0))</f>
        <v/>
      </c>
      <c r="N376" s="6">
        <f>IF(AND(K376="UNMAPPED",M376=1),ROW(),"")</f>
        <v/>
      </c>
      <c r="O376" s="6">
        <f>IF(AND(I376=1,M376=1),ROW(),"")</f>
        <v/>
      </c>
      <c r="P376" s="6">
        <f>IF(AND(K376="ignored",M376=1),ROW(),"")</f>
        <v/>
      </c>
    </row>
    <row r="377">
      <c r="A377" s="8" t="n"/>
      <c r="B377" s="8" t="n"/>
      <c r="C377" s="6">
        <f>TRIM(A377&amp;"")</f>
        <v/>
      </c>
      <c r="D377" s="6">
        <f>IF(C377="","",SUBSTITUTE(SUBSTITUTE(SUBSTITUTE(SUBSTITUTE(SUBSTITUTE(SUBSTITUTE(SUBSTITUTE(UPPER(TRIM(B377&amp;"")),"₹",""),"RS.",""),"RS",""),"INR",""),"$",""),",","")," ",""))</f>
        <v/>
      </c>
      <c r="E377" s="6">
        <f>IF(C377="","",IF(RIGHT(D377,2)="CR","Cr",IF(RIGHT(D377,2)="DR","Dr","")))</f>
        <v/>
      </c>
      <c r="F377" s="6">
        <f>IF(C377="","",IF(E377&lt;&gt;"",LEFT(D377,LEN(D377)-2),D377))</f>
        <v/>
      </c>
      <c r="G377" s="13">
        <f>IF(C377="","",IF(OR(IF(AND(LEFT(F377,1)="(",RIGHT(F377,1)=")"),MID(F377,2,LEN(F377)-2),F377)="",IF(AND(LEFT(F377,1)="(",RIGHT(F377,1)=")"),MID(F377,2,LEN(F377)-2),F377)="-"),0,IFERROR(VALUE(IF(AND(LEFT(F377,1)="(",RIGHT(F377,1)=")"),MID(F377,2,LEN(F377)-2),F377))*IF(AND(LEFT(F377,1)="(",RIGHT(F377,1)=")"),-1,1)*IF(E377="Cr",Setup!$B$6,1),"ERR")))</f>
        <v/>
      </c>
      <c r="H377" s="6">
        <f>IF(C377="","",IF(ISNUMBER(G377),1,0))</f>
        <v/>
      </c>
      <c r="I377" s="6">
        <f>IF(C377="","",IF(SUMPRODUCT(($C$12:$C$1511=C377)*1)&gt;1,1,0))</f>
        <v/>
      </c>
      <c r="J377" s="6">
        <f>IF(C377="","",SUMPRODUCT((Mapping!$F$5:$F$504=Setup!$B$4&amp;"||"&amp;C377)*ROW(Mapping!$F$5:$F$504)))</f>
        <v/>
      </c>
      <c r="K377" s="6">
        <f>IF(C377="","",IF(J377=0,"UNMAPPED",LOWER(INDEX(Mapping!$D$1:$D$504,J377))))</f>
        <v/>
      </c>
      <c r="L377" s="6">
        <f>IF(K377="mapped",TRIM(INDEX(Mapping!$C$1:$C$504,J377)),"")</f>
        <v/>
      </c>
      <c r="M377" s="6">
        <f>IF(C377="","",IF(SUMPRODUCT(($C$12:C377=C377)*1)=1,1,0))</f>
        <v/>
      </c>
      <c r="N377" s="6">
        <f>IF(AND(K377="UNMAPPED",M377=1),ROW(),"")</f>
        <v/>
      </c>
      <c r="O377" s="6">
        <f>IF(AND(I377=1,M377=1),ROW(),"")</f>
        <v/>
      </c>
      <c r="P377" s="6">
        <f>IF(AND(K377="ignored",M377=1),ROW(),"")</f>
        <v/>
      </c>
    </row>
    <row r="378">
      <c r="A378" s="8" t="n"/>
      <c r="B378" s="8" t="n"/>
      <c r="C378" s="6">
        <f>TRIM(A378&amp;"")</f>
        <v/>
      </c>
      <c r="D378" s="6">
        <f>IF(C378="","",SUBSTITUTE(SUBSTITUTE(SUBSTITUTE(SUBSTITUTE(SUBSTITUTE(SUBSTITUTE(SUBSTITUTE(UPPER(TRIM(B378&amp;"")),"₹",""),"RS.",""),"RS",""),"INR",""),"$",""),",","")," ",""))</f>
        <v/>
      </c>
      <c r="E378" s="6">
        <f>IF(C378="","",IF(RIGHT(D378,2)="CR","Cr",IF(RIGHT(D378,2)="DR","Dr","")))</f>
        <v/>
      </c>
      <c r="F378" s="6">
        <f>IF(C378="","",IF(E378&lt;&gt;"",LEFT(D378,LEN(D378)-2),D378))</f>
        <v/>
      </c>
      <c r="G378" s="13">
        <f>IF(C378="","",IF(OR(IF(AND(LEFT(F378,1)="(",RIGHT(F378,1)=")"),MID(F378,2,LEN(F378)-2),F378)="",IF(AND(LEFT(F378,1)="(",RIGHT(F378,1)=")"),MID(F378,2,LEN(F378)-2),F378)="-"),0,IFERROR(VALUE(IF(AND(LEFT(F378,1)="(",RIGHT(F378,1)=")"),MID(F378,2,LEN(F378)-2),F378))*IF(AND(LEFT(F378,1)="(",RIGHT(F378,1)=")"),-1,1)*IF(E378="Cr",Setup!$B$6,1),"ERR")))</f>
        <v/>
      </c>
      <c r="H378" s="6">
        <f>IF(C378="","",IF(ISNUMBER(G378),1,0))</f>
        <v/>
      </c>
      <c r="I378" s="6">
        <f>IF(C378="","",IF(SUMPRODUCT(($C$12:$C$1511=C378)*1)&gt;1,1,0))</f>
        <v/>
      </c>
      <c r="J378" s="6">
        <f>IF(C378="","",SUMPRODUCT((Mapping!$F$5:$F$504=Setup!$B$4&amp;"||"&amp;C378)*ROW(Mapping!$F$5:$F$504)))</f>
        <v/>
      </c>
      <c r="K378" s="6">
        <f>IF(C378="","",IF(J378=0,"UNMAPPED",LOWER(INDEX(Mapping!$D$1:$D$504,J378))))</f>
        <v/>
      </c>
      <c r="L378" s="6">
        <f>IF(K378="mapped",TRIM(INDEX(Mapping!$C$1:$C$504,J378)),"")</f>
        <v/>
      </c>
      <c r="M378" s="6">
        <f>IF(C378="","",IF(SUMPRODUCT(($C$12:C378=C378)*1)=1,1,0))</f>
        <v/>
      </c>
      <c r="N378" s="6">
        <f>IF(AND(K378="UNMAPPED",M378=1),ROW(),"")</f>
        <v/>
      </c>
      <c r="O378" s="6">
        <f>IF(AND(I378=1,M378=1),ROW(),"")</f>
        <v/>
      </c>
      <c r="P378" s="6">
        <f>IF(AND(K378="ignored",M378=1),ROW(),"")</f>
        <v/>
      </c>
    </row>
    <row r="379">
      <c r="A379" s="8" t="n"/>
      <c r="B379" s="8" t="n"/>
      <c r="C379" s="6">
        <f>TRIM(A379&amp;"")</f>
        <v/>
      </c>
      <c r="D379" s="6">
        <f>IF(C379="","",SUBSTITUTE(SUBSTITUTE(SUBSTITUTE(SUBSTITUTE(SUBSTITUTE(SUBSTITUTE(SUBSTITUTE(UPPER(TRIM(B379&amp;"")),"₹",""),"RS.",""),"RS",""),"INR",""),"$",""),",","")," ",""))</f>
        <v/>
      </c>
      <c r="E379" s="6">
        <f>IF(C379="","",IF(RIGHT(D379,2)="CR","Cr",IF(RIGHT(D379,2)="DR","Dr","")))</f>
        <v/>
      </c>
      <c r="F379" s="6">
        <f>IF(C379="","",IF(E379&lt;&gt;"",LEFT(D379,LEN(D379)-2),D379))</f>
        <v/>
      </c>
      <c r="G379" s="13">
        <f>IF(C379="","",IF(OR(IF(AND(LEFT(F379,1)="(",RIGHT(F379,1)=")"),MID(F379,2,LEN(F379)-2),F379)="",IF(AND(LEFT(F379,1)="(",RIGHT(F379,1)=")"),MID(F379,2,LEN(F379)-2),F379)="-"),0,IFERROR(VALUE(IF(AND(LEFT(F379,1)="(",RIGHT(F379,1)=")"),MID(F379,2,LEN(F379)-2),F379))*IF(AND(LEFT(F379,1)="(",RIGHT(F379,1)=")"),-1,1)*IF(E379="Cr",Setup!$B$6,1),"ERR")))</f>
        <v/>
      </c>
      <c r="H379" s="6">
        <f>IF(C379="","",IF(ISNUMBER(G379),1,0))</f>
        <v/>
      </c>
      <c r="I379" s="6">
        <f>IF(C379="","",IF(SUMPRODUCT(($C$12:$C$1511=C379)*1)&gt;1,1,0))</f>
        <v/>
      </c>
      <c r="J379" s="6">
        <f>IF(C379="","",SUMPRODUCT((Mapping!$F$5:$F$504=Setup!$B$4&amp;"||"&amp;C379)*ROW(Mapping!$F$5:$F$504)))</f>
        <v/>
      </c>
      <c r="K379" s="6">
        <f>IF(C379="","",IF(J379=0,"UNMAPPED",LOWER(INDEX(Mapping!$D$1:$D$504,J379))))</f>
        <v/>
      </c>
      <c r="L379" s="6">
        <f>IF(K379="mapped",TRIM(INDEX(Mapping!$C$1:$C$504,J379)),"")</f>
        <v/>
      </c>
      <c r="M379" s="6">
        <f>IF(C379="","",IF(SUMPRODUCT(($C$12:C379=C379)*1)=1,1,0))</f>
        <v/>
      </c>
      <c r="N379" s="6">
        <f>IF(AND(K379="UNMAPPED",M379=1),ROW(),"")</f>
        <v/>
      </c>
      <c r="O379" s="6">
        <f>IF(AND(I379=1,M379=1),ROW(),"")</f>
        <v/>
      </c>
      <c r="P379" s="6">
        <f>IF(AND(K379="ignored",M379=1),ROW(),"")</f>
        <v/>
      </c>
    </row>
    <row r="380">
      <c r="A380" s="8" t="n"/>
      <c r="B380" s="8" t="n"/>
      <c r="C380" s="6">
        <f>TRIM(A380&amp;"")</f>
        <v/>
      </c>
      <c r="D380" s="6">
        <f>IF(C380="","",SUBSTITUTE(SUBSTITUTE(SUBSTITUTE(SUBSTITUTE(SUBSTITUTE(SUBSTITUTE(SUBSTITUTE(UPPER(TRIM(B380&amp;"")),"₹",""),"RS.",""),"RS",""),"INR",""),"$",""),",","")," ",""))</f>
        <v/>
      </c>
      <c r="E380" s="6">
        <f>IF(C380="","",IF(RIGHT(D380,2)="CR","Cr",IF(RIGHT(D380,2)="DR","Dr","")))</f>
        <v/>
      </c>
      <c r="F380" s="6">
        <f>IF(C380="","",IF(E380&lt;&gt;"",LEFT(D380,LEN(D380)-2),D380))</f>
        <v/>
      </c>
      <c r="G380" s="13">
        <f>IF(C380="","",IF(OR(IF(AND(LEFT(F380,1)="(",RIGHT(F380,1)=")"),MID(F380,2,LEN(F380)-2),F380)="",IF(AND(LEFT(F380,1)="(",RIGHT(F380,1)=")"),MID(F380,2,LEN(F380)-2),F380)="-"),0,IFERROR(VALUE(IF(AND(LEFT(F380,1)="(",RIGHT(F380,1)=")"),MID(F380,2,LEN(F380)-2),F380))*IF(AND(LEFT(F380,1)="(",RIGHT(F380,1)=")"),-1,1)*IF(E380="Cr",Setup!$B$6,1),"ERR")))</f>
        <v/>
      </c>
      <c r="H380" s="6">
        <f>IF(C380="","",IF(ISNUMBER(G380),1,0))</f>
        <v/>
      </c>
      <c r="I380" s="6">
        <f>IF(C380="","",IF(SUMPRODUCT(($C$12:$C$1511=C380)*1)&gt;1,1,0))</f>
        <v/>
      </c>
      <c r="J380" s="6">
        <f>IF(C380="","",SUMPRODUCT((Mapping!$F$5:$F$504=Setup!$B$4&amp;"||"&amp;C380)*ROW(Mapping!$F$5:$F$504)))</f>
        <v/>
      </c>
      <c r="K380" s="6">
        <f>IF(C380="","",IF(J380=0,"UNMAPPED",LOWER(INDEX(Mapping!$D$1:$D$504,J380))))</f>
        <v/>
      </c>
      <c r="L380" s="6">
        <f>IF(K380="mapped",TRIM(INDEX(Mapping!$C$1:$C$504,J380)),"")</f>
        <v/>
      </c>
      <c r="M380" s="6">
        <f>IF(C380="","",IF(SUMPRODUCT(($C$12:C380=C380)*1)=1,1,0))</f>
        <v/>
      </c>
      <c r="N380" s="6">
        <f>IF(AND(K380="UNMAPPED",M380=1),ROW(),"")</f>
        <v/>
      </c>
      <c r="O380" s="6">
        <f>IF(AND(I380=1,M380=1),ROW(),"")</f>
        <v/>
      </c>
      <c r="P380" s="6">
        <f>IF(AND(K380="ignored",M380=1),ROW(),"")</f>
        <v/>
      </c>
    </row>
    <row r="381">
      <c r="A381" s="8" t="n"/>
      <c r="B381" s="8" t="n"/>
      <c r="C381" s="6">
        <f>TRIM(A381&amp;"")</f>
        <v/>
      </c>
      <c r="D381" s="6">
        <f>IF(C381="","",SUBSTITUTE(SUBSTITUTE(SUBSTITUTE(SUBSTITUTE(SUBSTITUTE(SUBSTITUTE(SUBSTITUTE(UPPER(TRIM(B381&amp;"")),"₹",""),"RS.",""),"RS",""),"INR",""),"$",""),",","")," ",""))</f>
        <v/>
      </c>
      <c r="E381" s="6">
        <f>IF(C381="","",IF(RIGHT(D381,2)="CR","Cr",IF(RIGHT(D381,2)="DR","Dr","")))</f>
        <v/>
      </c>
      <c r="F381" s="6">
        <f>IF(C381="","",IF(E381&lt;&gt;"",LEFT(D381,LEN(D381)-2),D381))</f>
        <v/>
      </c>
      <c r="G381" s="13">
        <f>IF(C381="","",IF(OR(IF(AND(LEFT(F381,1)="(",RIGHT(F381,1)=")"),MID(F381,2,LEN(F381)-2),F381)="",IF(AND(LEFT(F381,1)="(",RIGHT(F381,1)=")"),MID(F381,2,LEN(F381)-2),F381)="-"),0,IFERROR(VALUE(IF(AND(LEFT(F381,1)="(",RIGHT(F381,1)=")"),MID(F381,2,LEN(F381)-2),F381))*IF(AND(LEFT(F381,1)="(",RIGHT(F381,1)=")"),-1,1)*IF(E381="Cr",Setup!$B$6,1),"ERR")))</f>
        <v/>
      </c>
      <c r="H381" s="6">
        <f>IF(C381="","",IF(ISNUMBER(G381),1,0))</f>
        <v/>
      </c>
      <c r="I381" s="6">
        <f>IF(C381="","",IF(SUMPRODUCT(($C$12:$C$1511=C381)*1)&gt;1,1,0))</f>
        <v/>
      </c>
      <c r="J381" s="6">
        <f>IF(C381="","",SUMPRODUCT((Mapping!$F$5:$F$504=Setup!$B$4&amp;"||"&amp;C381)*ROW(Mapping!$F$5:$F$504)))</f>
        <v/>
      </c>
      <c r="K381" s="6">
        <f>IF(C381="","",IF(J381=0,"UNMAPPED",LOWER(INDEX(Mapping!$D$1:$D$504,J381))))</f>
        <v/>
      </c>
      <c r="L381" s="6">
        <f>IF(K381="mapped",TRIM(INDEX(Mapping!$C$1:$C$504,J381)),"")</f>
        <v/>
      </c>
      <c r="M381" s="6">
        <f>IF(C381="","",IF(SUMPRODUCT(($C$12:C381=C381)*1)=1,1,0))</f>
        <v/>
      </c>
      <c r="N381" s="6">
        <f>IF(AND(K381="UNMAPPED",M381=1),ROW(),"")</f>
        <v/>
      </c>
      <c r="O381" s="6">
        <f>IF(AND(I381=1,M381=1),ROW(),"")</f>
        <v/>
      </c>
      <c r="P381" s="6">
        <f>IF(AND(K381="ignored",M381=1),ROW(),"")</f>
        <v/>
      </c>
    </row>
    <row r="382">
      <c r="A382" s="8" t="n"/>
      <c r="B382" s="8" t="n"/>
      <c r="C382" s="6">
        <f>TRIM(A382&amp;"")</f>
        <v/>
      </c>
      <c r="D382" s="6">
        <f>IF(C382="","",SUBSTITUTE(SUBSTITUTE(SUBSTITUTE(SUBSTITUTE(SUBSTITUTE(SUBSTITUTE(SUBSTITUTE(UPPER(TRIM(B382&amp;"")),"₹",""),"RS.",""),"RS",""),"INR",""),"$",""),",","")," ",""))</f>
        <v/>
      </c>
      <c r="E382" s="6">
        <f>IF(C382="","",IF(RIGHT(D382,2)="CR","Cr",IF(RIGHT(D382,2)="DR","Dr","")))</f>
        <v/>
      </c>
      <c r="F382" s="6">
        <f>IF(C382="","",IF(E382&lt;&gt;"",LEFT(D382,LEN(D382)-2),D382))</f>
        <v/>
      </c>
      <c r="G382" s="13">
        <f>IF(C382="","",IF(OR(IF(AND(LEFT(F382,1)="(",RIGHT(F382,1)=")"),MID(F382,2,LEN(F382)-2),F382)="",IF(AND(LEFT(F382,1)="(",RIGHT(F382,1)=")"),MID(F382,2,LEN(F382)-2),F382)="-"),0,IFERROR(VALUE(IF(AND(LEFT(F382,1)="(",RIGHT(F382,1)=")"),MID(F382,2,LEN(F382)-2),F382))*IF(AND(LEFT(F382,1)="(",RIGHT(F382,1)=")"),-1,1)*IF(E382="Cr",Setup!$B$6,1),"ERR")))</f>
        <v/>
      </c>
      <c r="H382" s="6">
        <f>IF(C382="","",IF(ISNUMBER(G382),1,0))</f>
        <v/>
      </c>
      <c r="I382" s="6">
        <f>IF(C382="","",IF(SUMPRODUCT(($C$12:$C$1511=C382)*1)&gt;1,1,0))</f>
        <v/>
      </c>
      <c r="J382" s="6">
        <f>IF(C382="","",SUMPRODUCT((Mapping!$F$5:$F$504=Setup!$B$4&amp;"||"&amp;C382)*ROW(Mapping!$F$5:$F$504)))</f>
        <v/>
      </c>
      <c r="K382" s="6">
        <f>IF(C382="","",IF(J382=0,"UNMAPPED",LOWER(INDEX(Mapping!$D$1:$D$504,J382))))</f>
        <v/>
      </c>
      <c r="L382" s="6">
        <f>IF(K382="mapped",TRIM(INDEX(Mapping!$C$1:$C$504,J382)),"")</f>
        <v/>
      </c>
      <c r="M382" s="6">
        <f>IF(C382="","",IF(SUMPRODUCT(($C$12:C382=C382)*1)=1,1,0))</f>
        <v/>
      </c>
      <c r="N382" s="6">
        <f>IF(AND(K382="UNMAPPED",M382=1),ROW(),"")</f>
        <v/>
      </c>
      <c r="O382" s="6">
        <f>IF(AND(I382=1,M382=1),ROW(),"")</f>
        <v/>
      </c>
      <c r="P382" s="6">
        <f>IF(AND(K382="ignored",M382=1),ROW(),"")</f>
        <v/>
      </c>
    </row>
    <row r="383">
      <c r="A383" s="8" t="n"/>
      <c r="B383" s="8" t="n"/>
      <c r="C383" s="6">
        <f>TRIM(A383&amp;"")</f>
        <v/>
      </c>
      <c r="D383" s="6">
        <f>IF(C383="","",SUBSTITUTE(SUBSTITUTE(SUBSTITUTE(SUBSTITUTE(SUBSTITUTE(SUBSTITUTE(SUBSTITUTE(UPPER(TRIM(B383&amp;"")),"₹",""),"RS.",""),"RS",""),"INR",""),"$",""),",","")," ",""))</f>
        <v/>
      </c>
      <c r="E383" s="6">
        <f>IF(C383="","",IF(RIGHT(D383,2)="CR","Cr",IF(RIGHT(D383,2)="DR","Dr","")))</f>
        <v/>
      </c>
      <c r="F383" s="6">
        <f>IF(C383="","",IF(E383&lt;&gt;"",LEFT(D383,LEN(D383)-2),D383))</f>
        <v/>
      </c>
      <c r="G383" s="13">
        <f>IF(C383="","",IF(OR(IF(AND(LEFT(F383,1)="(",RIGHT(F383,1)=")"),MID(F383,2,LEN(F383)-2),F383)="",IF(AND(LEFT(F383,1)="(",RIGHT(F383,1)=")"),MID(F383,2,LEN(F383)-2),F383)="-"),0,IFERROR(VALUE(IF(AND(LEFT(F383,1)="(",RIGHT(F383,1)=")"),MID(F383,2,LEN(F383)-2),F383))*IF(AND(LEFT(F383,1)="(",RIGHT(F383,1)=")"),-1,1)*IF(E383="Cr",Setup!$B$6,1),"ERR")))</f>
        <v/>
      </c>
      <c r="H383" s="6">
        <f>IF(C383="","",IF(ISNUMBER(G383),1,0))</f>
        <v/>
      </c>
      <c r="I383" s="6">
        <f>IF(C383="","",IF(SUMPRODUCT(($C$12:$C$1511=C383)*1)&gt;1,1,0))</f>
        <v/>
      </c>
      <c r="J383" s="6">
        <f>IF(C383="","",SUMPRODUCT((Mapping!$F$5:$F$504=Setup!$B$4&amp;"||"&amp;C383)*ROW(Mapping!$F$5:$F$504)))</f>
        <v/>
      </c>
      <c r="K383" s="6">
        <f>IF(C383="","",IF(J383=0,"UNMAPPED",LOWER(INDEX(Mapping!$D$1:$D$504,J383))))</f>
        <v/>
      </c>
      <c r="L383" s="6">
        <f>IF(K383="mapped",TRIM(INDEX(Mapping!$C$1:$C$504,J383)),"")</f>
        <v/>
      </c>
      <c r="M383" s="6">
        <f>IF(C383="","",IF(SUMPRODUCT(($C$12:C383=C383)*1)=1,1,0))</f>
        <v/>
      </c>
      <c r="N383" s="6">
        <f>IF(AND(K383="UNMAPPED",M383=1),ROW(),"")</f>
        <v/>
      </c>
      <c r="O383" s="6">
        <f>IF(AND(I383=1,M383=1),ROW(),"")</f>
        <v/>
      </c>
      <c r="P383" s="6">
        <f>IF(AND(K383="ignored",M383=1),ROW(),"")</f>
        <v/>
      </c>
    </row>
    <row r="384">
      <c r="A384" s="8" t="n"/>
      <c r="B384" s="8" t="n"/>
      <c r="C384" s="6">
        <f>TRIM(A384&amp;"")</f>
        <v/>
      </c>
      <c r="D384" s="6">
        <f>IF(C384="","",SUBSTITUTE(SUBSTITUTE(SUBSTITUTE(SUBSTITUTE(SUBSTITUTE(SUBSTITUTE(SUBSTITUTE(UPPER(TRIM(B384&amp;"")),"₹",""),"RS.",""),"RS",""),"INR",""),"$",""),",","")," ",""))</f>
        <v/>
      </c>
      <c r="E384" s="6">
        <f>IF(C384="","",IF(RIGHT(D384,2)="CR","Cr",IF(RIGHT(D384,2)="DR","Dr","")))</f>
        <v/>
      </c>
      <c r="F384" s="6">
        <f>IF(C384="","",IF(E384&lt;&gt;"",LEFT(D384,LEN(D384)-2),D384))</f>
        <v/>
      </c>
      <c r="G384" s="13">
        <f>IF(C384="","",IF(OR(IF(AND(LEFT(F384,1)="(",RIGHT(F384,1)=")"),MID(F384,2,LEN(F384)-2),F384)="",IF(AND(LEFT(F384,1)="(",RIGHT(F384,1)=")"),MID(F384,2,LEN(F384)-2),F384)="-"),0,IFERROR(VALUE(IF(AND(LEFT(F384,1)="(",RIGHT(F384,1)=")"),MID(F384,2,LEN(F384)-2),F384))*IF(AND(LEFT(F384,1)="(",RIGHT(F384,1)=")"),-1,1)*IF(E384="Cr",Setup!$B$6,1),"ERR")))</f>
        <v/>
      </c>
      <c r="H384" s="6">
        <f>IF(C384="","",IF(ISNUMBER(G384),1,0))</f>
        <v/>
      </c>
      <c r="I384" s="6">
        <f>IF(C384="","",IF(SUMPRODUCT(($C$12:$C$1511=C384)*1)&gt;1,1,0))</f>
        <v/>
      </c>
      <c r="J384" s="6">
        <f>IF(C384="","",SUMPRODUCT((Mapping!$F$5:$F$504=Setup!$B$4&amp;"||"&amp;C384)*ROW(Mapping!$F$5:$F$504)))</f>
        <v/>
      </c>
      <c r="K384" s="6">
        <f>IF(C384="","",IF(J384=0,"UNMAPPED",LOWER(INDEX(Mapping!$D$1:$D$504,J384))))</f>
        <v/>
      </c>
      <c r="L384" s="6">
        <f>IF(K384="mapped",TRIM(INDEX(Mapping!$C$1:$C$504,J384)),"")</f>
        <v/>
      </c>
      <c r="M384" s="6">
        <f>IF(C384="","",IF(SUMPRODUCT(($C$12:C384=C384)*1)=1,1,0))</f>
        <v/>
      </c>
      <c r="N384" s="6">
        <f>IF(AND(K384="UNMAPPED",M384=1),ROW(),"")</f>
        <v/>
      </c>
      <c r="O384" s="6">
        <f>IF(AND(I384=1,M384=1),ROW(),"")</f>
        <v/>
      </c>
      <c r="P384" s="6">
        <f>IF(AND(K384="ignored",M384=1),ROW(),"")</f>
        <v/>
      </c>
    </row>
    <row r="385">
      <c r="A385" s="8" t="n"/>
      <c r="B385" s="8" t="n"/>
      <c r="C385" s="6">
        <f>TRIM(A385&amp;"")</f>
        <v/>
      </c>
      <c r="D385" s="6">
        <f>IF(C385="","",SUBSTITUTE(SUBSTITUTE(SUBSTITUTE(SUBSTITUTE(SUBSTITUTE(SUBSTITUTE(SUBSTITUTE(UPPER(TRIM(B385&amp;"")),"₹",""),"RS.",""),"RS",""),"INR",""),"$",""),",","")," ",""))</f>
        <v/>
      </c>
      <c r="E385" s="6">
        <f>IF(C385="","",IF(RIGHT(D385,2)="CR","Cr",IF(RIGHT(D385,2)="DR","Dr","")))</f>
        <v/>
      </c>
      <c r="F385" s="6">
        <f>IF(C385="","",IF(E385&lt;&gt;"",LEFT(D385,LEN(D385)-2),D385))</f>
        <v/>
      </c>
      <c r="G385" s="13">
        <f>IF(C385="","",IF(OR(IF(AND(LEFT(F385,1)="(",RIGHT(F385,1)=")"),MID(F385,2,LEN(F385)-2),F385)="",IF(AND(LEFT(F385,1)="(",RIGHT(F385,1)=")"),MID(F385,2,LEN(F385)-2),F385)="-"),0,IFERROR(VALUE(IF(AND(LEFT(F385,1)="(",RIGHT(F385,1)=")"),MID(F385,2,LEN(F385)-2),F385))*IF(AND(LEFT(F385,1)="(",RIGHT(F385,1)=")"),-1,1)*IF(E385="Cr",Setup!$B$6,1),"ERR")))</f>
        <v/>
      </c>
      <c r="H385" s="6">
        <f>IF(C385="","",IF(ISNUMBER(G385),1,0))</f>
        <v/>
      </c>
      <c r="I385" s="6">
        <f>IF(C385="","",IF(SUMPRODUCT(($C$12:$C$1511=C385)*1)&gt;1,1,0))</f>
        <v/>
      </c>
      <c r="J385" s="6">
        <f>IF(C385="","",SUMPRODUCT((Mapping!$F$5:$F$504=Setup!$B$4&amp;"||"&amp;C385)*ROW(Mapping!$F$5:$F$504)))</f>
        <v/>
      </c>
      <c r="K385" s="6">
        <f>IF(C385="","",IF(J385=0,"UNMAPPED",LOWER(INDEX(Mapping!$D$1:$D$504,J385))))</f>
        <v/>
      </c>
      <c r="L385" s="6">
        <f>IF(K385="mapped",TRIM(INDEX(Mapping!$C$1:$C$504,J385)),"")</f>
        <v/>
      </c>
      <c r="M385" s="6">
        <f>IF(C385="","",IF(SUMPRODUCT(($C$12:C385=C385)*1)=1,1,0))</f>
        <v/>
      </c>
      <c r="N385" s="6">
        <f>IF(AND(K385="UNMAPPED",M385=1),ROW(),"")</f>
        <v/>
      </c>
      <c r="O385" s="6">
        <f>IF(AND(I385=1,M385=1),ROW(),"")</f>
        <v/>
      </c>
      <c r="P385" s="6">
        <f>IF(AND(K385="ignored",M385=1),ROW(),"")</f>
        <v/>
      </c>
    </row>
    <row r="386">
      <c r="A386" s="8" t="n"/>
      <c r="B386" s="8" t="n"/>
      <c r="C386" s="6">
        <f>TRIM(A386&amp;"")</f>
        <v/>
      </c>
      <c r="D386" s="6">
        <f>IF(C386="","",SUBSTITUTE(SUBSTITUTE(SUBSTITUTE(SUBSTITUTE(SUBSTITUTE(SUBSTITUTE(SUBSTITUTE(UPPER(TRIM(B386&amp;"")),"₹",""),"RS.",""),"RS",""),"INR",""),"$",""),",","")," ",""))</f>
        <v/>
      </c>
      <c r="E386" s="6">
        <f>IF(C386="","",IF(RIGHT(D386,2)="CR","Cr",IF(RIGHT(D386,2)="DR","Dr","")))</f>
        <v/>
      </c>
      <c r="F386" s="6">
        <f>IF(C386="","",IF(E386&lt;&gt;"",LEFT(D386,LEN(D386)-2),D386))</f>
        <v/>
      </c>
      <c r="G386" s="13">
        <f>IF(C386="","",IF(OR(IF(AND(LEFT(F386,1)="(",RIGHT(F386,1)=")"),MID(F386,2,LEN(F386)-2),F386)="",IF(AND(LEFT(F386,1)="(",RIGHT(F386,1)=")"),MID(F386,2,LEN(F386)-2),F386)="-"),0,IFERROR(VALUE(IF(AND(LEFT(F386,1)="(",RIGHT(F386,1)=")"),MID(F386,2,LEN(F386)-2),F386))*IF(AND(LEFT(F386,1)="(",RIGHT(F386,1)=")"),-1,1)*IF(E386="Cr",Setup!$B$6,1),"ERR")))</f>
        <v/>
      </c>
      <c r="H386" s="6">
        <f>IF(C386="","",IF(ISNUMBER(G386),1,0))</f>
        <v/>
      </c>
      <c r="I386" s="6">
        <f>IF(C386="","",IF(SUMPRODUCT(($C$12:$C$1511=C386)*1)&gt;1,1,0))</f>
        <v/>
      </c>
      <c r="J386" s="6">
        <f>IF(C386="","",SUMPRODUCT((Mapping!$F$5:$F$504=Setup!$B$4&amp;"||"&amp;C386)*ROW(Mapping!$F$5:$F$504)))</f>
        <v/>
      </c>
      <c r="K386" s="6">
        <f>IF(C386="","",IF(J386=0,"UNMAPPED",LOWER(INDEX(Mapping!$D$1:$D$504,J386))))</f>
        <v/>
      </c>
      <c r="L386" s="6">
        <f>IF(K386="mapped",TRIM(INDEX(Mapping!$C$1:$C$504,J386)),"")</f>
        <v/>
      </c>
      <c r="M386" s="6">
        <f>IF(C386="","",IF(SUMPRODUCT(($C$12:C386=C386)*1)=1,1,0))</f>
        <v/>
      </c>
      <c r="N386" s="6">
        <f>IF(AND(K386="UNMAPPED",M386=1),ROW(),"")</f>
        <v/>
      </c>
      <c r="O386" s="6">
        <f>IF(AND(I386=1,M386=1),ROW(),"")</f>
        <v/>
      </c>
      <c r="P386" s="6">
        <f>IF(AND(K386="ignored",M386=1),ROW(),"")</f>
        <v/>
      </c>
    </row>
    <row r="387">
      <c r="A387" s="8" t="n"/>
      <c r="B387" s="8" t="n"/>
      <c r="C387" s="6">
        <f>TRIM(A387&amp;"")</f>
        <v/>
      </c>
      <c r="D387" s="6">
        <f>IF(C387="","",SUBSTITUTE(SUBSTITUTE(SUBSTITUTE(SUBSTITUTE(SUBSTITUTE(SUBSTITUTE(SUBSTITUTE(UPPER(TRIM(B387&amp;"")),"₹",""),"RS.",""),"RS",""),"INR",""),"$",""),",","")," ",""))</f>
        <v/>
      </c>
      <c r="E387" s="6">
        <f>IF(C387="","",IF(RIGHT(D387,2)="CR","Cr",IF(RIGHT(D387,2)="DR","Dr","")))</f>
        <v/>
      </c>
      <c r="F387" s="6">
        <f>IF(C387="","",IF(E387&lt;&gt;"",LEFT(D387,LEN(D387)-2),D387))</f>
        <v/>
      </c>
      <c r="G387" s="13">
        <f>IF(C387="","",IF(OR(IF(AND(LEFT(F387,1)="(",RIGHT(F387,1)=")"),MID(F387,2,LEN(F387)-2),F387)="",IF(AND(LEFT(F387,1)="(",RIGHT(F387,1)=")"),MID(F387,2,LEN(F387)-2),F387)="-"),0,IFERROR(VALUE(IF(AND(LEFT(F387,1)="(",RIGHT(F387,1)=")"),MID(F387,2,LEN(F387)-2),F387))*IF(AND(LEFT(F387,1)="(",RIGHT(F387,1)=")"),-1,1)*IF(E387="Cr",Setup!$B$6,1),"ERR")))</f>
        <v/>
      </c>
      <c r="H387" s="6">
        <f>IF(C387="","",IF(ISNUMBER(G387),1,0))</f>
        <v/>
      </c>
      <c r="I387" s="6">
        <f>IF(C387="","",IF(SUMPRODUCT(($C$12:$C$1511=C387)*1)&gt;1,1,0))</f>
        <v/>
      </c>
      <c r="J387" s="6">
        <f>IF(C387="","",SUMPRODUCT((Mapping!$F$5:$F$504=Setup!$B$4&amp;"||"&amp;C387)*ROW(Mapping!$F$5:$F$504)))</f>
        <v/>
      </c>
      <c r="K387" s="6">
        <f>IF(C387="","",IF(J387=0,"UNMAPPED",LOWER(INDEX(Mapping!$D$1:$D$504,J387))))</f>
        <v/>
      </c>
      <c r="L387" s="6">
        <f>IF(K387="mapped",TRIM(INDEX(Mapping!$C$1:$C$504,J387)),"")</f>
        <v/>
      </c>
      <c r="M387" s="6">
        <f>IF(C387="","",IF(SUMPRODUCT(($C$12:C387=C387)*1)=1,1,0))</f>
        <v/>
      </c>
      <c r="N387" s="6">
        <f>IF(AND(K387="UNMAPPED",M387=1),ROW(),"")</f>
        <v/>
      </c>
      <c r="O387" s="6">
        <f>IF(AND(I387=1,M387=1),ROW(),"")</f>
        <v/>
      </c>
      <c r="P387" s="6">
        <f>IF(AND(K387="ignored",M387=1),ROW(),"")</f>
        <v/>
      </c>
    </row>
    <row r="388">
      <c r="A388" s="8" t="n"/>
      <c r="B388" s="8" t="n"/>
      <c r="C388" s="6">
        <f>TRIM(A388&amp;"")</f>
        <v/>
      </c>
      <c r="D388" s="6">
        <f>IF(C388="","",SUBSTITUTE(SUBSTITUTE(SUBSTITUTE(SUBSTITUTE(SUBSTITUTE(SUBSTITUTE(SUBSTITUTE(UPPER(TRIM(B388&amp;"")),"₹",""),"RS.",""),"RS",""),"INR",""),"$",""),",","")," ",""))</f>
        <v/>
      </c>
      <c r="E388" s="6">
        <f>IF(C388="","",IF(RIGHT(D388,2)="CR","Cr",IF(RIGHT(D388,2)="DR","Dr","")))</f>
        <v/>
      </c>
      <c r="F388" s="6">
        <f>IF(C388="","",IF(E388&lt;&gt;"",LEFT(D388,LEN(D388)-2),D388))</f>
        <v/>
      </c>
      <c r="G388" s="13">
        <f>IF(C388="","",IF(OR(IF(AND(LEFT(F388,1)="(",RIGHT(F388,1)=")"),MID(F388,2,LEN(F388)-2),F388)="",IF(AND(LEFT(F388,1)="(",RIGHT(F388,1)=")"),MID(F388,2,LEN(F388)-2),F388)="-"),0,IFERROR(VALUE(IF(AND(LEFT(F388,1)="(",RIGHT(F388,1)=")"),MID(F388,2,LEN(F388)-2),F388))*IF(AND(LEFT(F388,1)="(",RIGHT(F388,1)=")"),-1,1)*IF(E388="Cr",Setup!$B$6,1),"ERR")))</f>
        <v/>
      </c>
      <c r="H388" s="6">
        <f>IF(C388="","",IF(ISNUMBER(G388),1,0))</f>
        <v/>
      </c>
      <c r="I388" s="6">
        <f>IF(C388="","",IF(SUMPRODUCT(($C$12:$C$1511=C388)*1)&gt;1,1,0))</f>
        <v/>
      </c>
      <c r="J388" s="6">
        <f>IF(C388="","",SUMPRODUCT((Mapping!$F$5:$F$504=Setup!$B$4&amp;"||"&amp;C388)*ROW(Mapping!$F$5:$F$504)))</f>
        <v/>
      </c>
      <c r="K388" s="6">
        <f>IF(C388="","",IF(J388=0,"UNMAPPED",LOWER(INDEX(Mapping!$D$1:$D$504,J388))))</f>
        <v/>
      </c>
      <c r="L388" s="6">
        <f>IF(K388="mapped",TRIM(INDEX(Mapping!$C$1:$C$504,J388)),"")</f>
        <v/>
      </c>
      <c r="M388" s="6">
        <f>IF(C388="","",IF(SUMPRODUCT(($C$12:C388=C388)*1)=1,1,0))</f>
        <v/>
      </c>
      <c r="N388" s="6">
        <f>IF(AND(K388="UNMAPPED",M388=1),ROW(),"")</f>
        <v/>
      </c>
      <c r="O388" s="6">
        <f>IF(AND(I388=1,M388=1),ROW(),"")</f>
        <v/>
      </c>
      <c r="P388" s="6">
        <f>IF(AND(K388="ignored",M388=1),ROW(),"")</f>
        <v/>
      </c>
    </row>
    <row r="389">
      <c r="A389" s="8" t="n"/>
      <c r="B389" s="8" t="n"/>
      <c r="C389" s="6">
        <f>TRIM(A389&amp;"")</f>
        <v/>
      </c>
      <c r="D389" s="6">
        <f>IF(C389="","",SUBSTITUTE(SUBSTITUTE(SUBSTITUTE(SUBSTITUTE(SUBSTITUTE(SUBSTITUTE(SUBSTITUTE(UPPER(TRIM(B389&amp;"")),"₹",""),"RS.",""),"RS",""),"INR",""),"$",""),",","")," ",""))</f>
        <v/>
      </c>
      <c r="E389" s="6">
        <f>IF(C389="","",IF(RIGHT(D389,2)="CR","Cr",IF(RIGHT(D389,2)="DR","Dr","")))</f>
        <v/>
      </c>
      <c r="F389" s="6">
        <f>IF(C389="","",IF(E389&lt;&gt;"",LEFT(D389,LEN(D389)-2),D389))</f>
        <v/>
      </c>
      <c r="G389" s="13">
        <f>IF(C389="","",IF(OR(IF(AND(LEFT(F389,1)="(",RIGHT(F389,1)=")"),MID(F389,2,LEN(F389)-2),F389)="",IF(AND(LEFT(F389,1)="(",RIGHT(F389,1)=")"),MID(F389,2,LEN(F389)-2),F389)="-"),0,IFERROR(VALUE(IF(AND(LEFT(F389,1)="(",RIGHT(F389,1)=")"),MID(F389,2,LEN(F389)-2),F389))*IF(AND(LEFT(F389,1)="(",RIGHT(F389,1)=")"),-1,1)*IF(E389="Cr",Setup!$B$6,1),"ERR")))</f>
        <v/>
      </c>
      <c r="H389" s="6">
        <f>IF(C389="","",IF(ISNUMBER(G389),1,0))</f>
        <v/>
      </c>
      <c r="I389" s="6">
        <f>IF(C389="","",IF(SUMPRODUCT(($C$12:$C$1511=C389)*1)&gt;1,1,0))</f>
        <v/>
      </c>
      <c r="J389" s="6">
        <f>IF(C389="","",SUMPRODUCT((Mapping!$F$5:$F$504=Setup!$B$4&amp;"||"&amp;C389)*ROW(Mapping!$F$5:$F$504)))</f>
        <v/>
      </c>
      <c r="K389" s="6">
        <f>IF(C389="","",IF(J389=0,"UNMAPPED",LOWER(INDEX(Mapping!$D$1:$D$504,J389))))</f>
        <v/>
      </c>
      <c r="L389" s="6">
        <f>IF(K389="mapped",TRIM(INDEX(Mapping!$C$1:$C$504,J389)),"")</f>
        <v/>
      </c>
      <c r="M389" s="6">
        <f>IF(C389="","",IF(SUMPRODUCT(($C$12:C389=C389)*1)=1,1,0))</f>
        <v/>
      </c>
      <c r="N389" s="6">
        <f>IF(AND(K389="UNMAPPED",M389=1),ROW(),"")</f>
        <v/>
      </c>
      <c r="O389" s="6">
        <f>IF(AND(I389=1,M389=1),ROW(),"")</f>
        <v/>
      </c>
      <c r="P389" s="6">
        <f>IF(AND(K389="ignored",M389=1),ROW(),"")</f>
        <v/>
      </c>
    </row>
    <row r="390">
      <c r="A390" s="8" t="n"/>
      <c r="B390" s="8" t="n"/>
      <c r="C390" s="6">
        <f>TRIM(A390&amp;"")</f>
        <v/>
      </c>
      <c r="D390" s="6">
        <f>IF(C390="","",SUBSTITUTE(SUBSTITUTE(SUBSTITUTE(SUBSTITUTE(SUBSTITUTE(SUBSTITUTE(SUBSTITUTE(UPPER(TRIM(B390&amp;"")),"₹",""),"RS.",""),"RS",""),"INR",""),"$",""),",","")," ",""))</f>
        <v/>
      </c>
      <c r="E390" s="6">
        <f>IF(C390="","",IF(RIGHT(D390,2)="CR","Cr",IF(RIGHT(D390,2)="DR","Dr","")))</f>
        <v/>
      </c>
      <c r="F390" s="6">
        <f>IF(C390="","",IF(E390&lt;&gt;"",LEFT(D390,LEN(D390)-2),D390))</f>
        <v/>
      </c>
      <c r="G390" s="13">
        <f>IF(C390="","",IF(OR(IF(AND(LEFT(F390,1)="(",RIGHT(F390,1)=")"),MID(F390,2,LEN(F390)-2),F390)="",IF(AND(LEFT(F390,1)="(",RIGHT(F390,1)=")"),MID(F390,2,LEN(F390)-2),F390)="-"),0,IFERROR(VALUE(IF(AND(LEFT(F390,1)="(",RIGHT(F390,1)=")"),MID(F390,2,LEN(F390)-2),F390))*IF(AND(LEFT(F390,1)="(",RIGHT(F390,1)=")"),-1,1)*IF(E390="Cr",Setup!$B$6,1),"ERR")))</f>
        <v/>
      </c>
      <c r="H390" s="6">
        <f>IF(C390="","",IF(ISNUMBER(G390),1,0))</f>
        <v/>
      </c>
      <c r="I390" s="6">
        <f>IF(C390="","",IF(SUMPRODUCT(($C$12:$C$1511=C390)*1)&gt;1,1,0))</f>
        <v/>
      </c>
      <c r="J390" s="6">
        <f>IF(C390="","",SUMPRODUCT((Mapping!$F$5:$F$504=Setup!$B$4&amp;"||"&amp;C390)*ROW(Mapping!$F$5:$F$504)))</f>
        <v/>
      </c>
      <c r="K390" s="6">
        <f>IF(C390="","",IF(J390=0,"UNMAPPED",LOWER(INDEX(Mapping!$D$1:$D$504,J390))))</f>
        <v/>
      </c>
      <c r="L390" s="6">
        <f>IF(K390="mapped",TRIM(INDEX(Mapping!$C$1:$C$504,J390)),"")</f>
        <v/>
      </c>
      <c r="M390" s="6">
        <f>IF(C390="","",IF(SUMPRODUCT(($C$12:C390=C390)*1)=1,1,0))</f>
        <v/>
      </c>
      <c r="N390" s="6">
        <f>IF(AND(K390="UNMAPPED",M390=1),ROW(),"")</f>
        <v/>
      </c>
      <c r="O390" s="6">
        <f>IF(AND(I390=1,M390=1),ROW(),"")</f>
        <v/>
      </c>
      <c r="P390" s="6">
        <f>IF(AND(K390="ignored",M390=1),ROW(),"")</f>
        <v/>
      </c>
    </row>
    <row r="391">
      <c r="A391" s="8" t="n"/>
      <c r="B391" s="8" t="n"/>
      <c r="C391" s="6">
        <f>TRIM(A391&amp;"")</f>
        <v/>
      </c>
      <c r="D391" s="6">
        <f>IF(C391="","",SUBSTITUTE(SUBSTITUTE(SUBSTITUTE(SUBSTITUTE(SUBSTITUTE(SUBSTITUTE(SUBSTITUTE(UPPER(TRIM(B391&amp;"")),"₹",""),"RS.",""),"RS",""),"INR",""),"$",""),",","")," ",""))</f>
        <v/>
      </c>
      <c r="E391" s="6">
        <f>IF(C391="","",IF(RIGHT(D391,2)="CR","Cr",IF(RIGHT(D391,2)="DR","Dr","")))</f>
        <v/>
      </c>
      <c r="F391" s="6">
        <f>IF(C391="","",IF(E391&lt;&gt;"",LEFT(D391,LEN(D391)-2),D391))</f>
        <v/>
      </c>
      <c r="G391" s="13">
        <f>IF(C391="","",IF(OR(IF(AND(LEFT(F391,1)="(",RIGHT(F391,1)=")"),MID(F391,2,LEN(F391)-2),F391)="",IF(AND(LEFT(F391,1)="(",RIGHT(F391,1)=")"),MID(F391,2,LEN(F391)-2),F391)="-"),0,IFERROR(VALUE(IF(AND(LEFT(F391,1)="(",RIGHT(F391,1)=")"),MID(F391,2,LEN(F391)-2),F391))*IF(AND(LEFT(F391,1)="(",RIGHT(F391,1)=")"),-1,1)*IF(E391="Cr",Setup!$B$6,1),"ERR")))</f>
        <v/>
      </c>
      <c r="H391" s="6">
        <f>IF(C391="","",IF(ISNUMBER(G391),1,0))</f>
        <v/>
      </c>
      <c r="I391" s="6">
        <f>IF(C391="","",IF(SUMPRODUCT(($C$12:$C$1511=C391)*1)&gt;1,1,0))</f>
        <v/>
      </c>
      <c r="J391" s="6">
        <f>IF(C391="","",SUMPRODUCT((Mapping!$F$5:$F$504=Setup!$B$4&amp;"||"&amp;C391)*ROW(Mapping!$F$5:$F$504)))</f>
        <v/>
      </c>
      <c r="K391" s="6">
        <f>IF(C391="","",IF(J391=0,"UNMAPPED",LOWER(INDEX(Mapping!$D$1:$D$504,J391))))</f>
        <v/>
      </c>
      <c r="L391" s="6">
        <f>IF(K391="mapped",TRIM(INDEX(Mapping!$C$1:$C$504,J391)),"")</f>
        <v/>
      </c>
      <c r="M391" s="6">
        <f>IF(C391="","",IF(SUMPRODUCT(($C$12:C391=C391)*1)=1,1,0))</f>
        <v/>
      </c>
      <c r="N391" s="6">
        <f>IF(AND(K391="UNMAPPED",M391=1),ROW(),"")</f>
        <v/>
      </c>
      <c r="O391" s="6">
        <f>IF(AND(I391=1,M391=1),ROW(),"")</f>
        <v/>
      </c>
      <c r="P391" s="6">
        <f>IF(AND(K391="ignored",M391=1),ROW(),"")</f>
        <v/>
      </c>
    </row>
    <row r="392">
      <c r="A392" s="8" t="n"/>
      <c r="B392" s="8" t="n"/>
      <c r="C392" s="6">
        <f>TRIM(A392&amp;"")</f>
        <v/>
      </c>
      <c r="D392" s="6">
        <f>IF(C392="","",SUBSTITUTE(SUBSTITUTE(SUBSTITUTE(SUBSTITUTE(SUBSTITUTE(SUBSTITUTE(SUBSTITUTE(UPPER(TRIM(B392&amp;"")),"₹",""),"RS.",""),"RS",""),"INR",""),"$",""),",","")," ",""))</f>
        <v/>
      </c>
      <c r="E392" s="6">
        <f>IF(C392="","",IF(RIGHT(D392,2)="CR","Cr",IF(RIGHT(D392,2)="DR","Dr","")))</f>
        <v/>
      </c>
      <c r="F392" s="6">
        <f>IF(C392="","",IF(E392&lt;&gt;"",LEFT(D392,LEN(D392)-2),D392))</f>
        <v/>
      </c>
      <c r="G392" s="13">
        <f>IF(C392="","",IF(OR(IF(AND(LEFT(F392,1)="(",RIGHT(F392,1)=")"),MID(F392,2,LEN(F392)-2),F392)="",IF(AND(LEFT(F392,1)="(",RIGHT(F392,1)=")"),MID(F392,2,LEN(F392)-2),F392)="-"),0,IFERROR(VALUE(IF(AND(LEFT(F392,1)="(",RIGHT(F392,1)=")"),MID(F392,2,LEN(F392)-2),F392))*IF(AND(LEFT(F392,1)="(",RIGHT(F392,1)=")"),-1,1)*IF(E392="Cr",Setup!$B$6,1),"ERR")))</f>
        <v/>
      </c>
      <c r="H392" s="6">
        <f>IF(C392="","",IF(ISNUMBER(G392),1,0))</f>
        <v/>
      </c>
      <c r="I392" s="6">
        <f>IF(C392="","",IF(SUMPRODUCT(($C$12:$C$1511=C392)*1)&gt;1,1,0))</f>
        <v/>
      </c>
      <c r="J392" s="6">
        <f>IF(C392="","",SUMPRODUCT((Mapping!$F$5:$F$504=Setup!$B$4&amp;"||"&amp;C392)*ROW(Mapping!$F$5:$F$504)))</f>
        <v/>
      </c>
      <c r="K392" s="6">
        <f>IF(C392="","",IF(J392=0,"UNMAPPED",LOWER(INDEX(Mapping!$D$1:$D$504,J392))))</f>
        <v/>
      </c>
      <c r="L392" s="6">
        <f>IF(K392="mapped",TRIM(INDEX(Mapping!$C$1:$C$504,J392)),"")</f>
        <v/>
      </c>
      <c r="M392" s="6">
        <f>IF(C392="","",IF(SUMPRODUCT(($C$12:C392=C392)*1)=1,1,0))</f>
        <v/>
      </c>
      <c r="N392" s="6">
        <f>IF(AND(K392="UNMAPPED",M392=1),ROW(),"")</f>
        <v/>
      </c>
      <c r="O392" s="6">
        <f>IF(AND(I392=1,M392=1),ROW(),"")</f>
        <v/>
      </c>
      <c r="P392" s="6">
        <f>IF(AND(K392="ignored",M392=1),ROW(),"")</f>
        <v/>
      </c>
    </row>
    <row r="393">
      <c r="A393" s="8" t="n"/>
      <c r="B393" s="8" t="n"/>
      <c r="C393" s="6">
        <f>TRIM(A393&amp;"")</f>
        <v/>
      </c>
      <c r="D393" s="6">
        <f>IF(C393="","",SUBSTITUTE(SUBSTITUTE(SUBSTITUTE(SUBSTITUTE(SUBSTITUTE(SUBSTITUTE(SUBSTITUTE(UPPER(TRIM(B393&amp;"")),"₹",""),"RS.",""),"RS",""),"INR",""),"$",""),",","")," ",""))</f>
        <v/>
      </c>
      <c r="E393" s="6">
        <f>IF(C393="","",IF(RIGHT(D393,2)="CR","Cr",IF(RIGHT(D393,2)="DR","Dr","")))</f>
        <v/>
      </c>
      <c r="F393" s="6">
        <f>IF(C393="","",IF(E393&lt;&gt;"",LEFT(D393,LEN(D393)-2),D393))</f>
        <v/>
      </c>
      <c r="G393" s="13">
        <f>IF(C393="","",IF(OR(IF(AND(LEFT(F393,1)="(",RIGHT(F393,1)=")"),MID(F393,2,LEN(F393)-2),F393)="",IF(AND(LEFT(F393,1)="(",RIGHT(F393,1)=")"),MID(F393,2,LEN(F393)-2),F393)="-"),0,IFERROR(VALUE(IF(AND(LEFT(F393,1)="(",RIGHT(F393,1)=")"),MID(F393,2,LEN(F393)-2),F393))*IF(AND(LEFT(F393,1)="(",RIGHT(F393,1)=")"),-1,1)*IF(E393="Cr",Setup!$B$6,1),"ERR")))</f>
        <v/>
      </c>
      <c r="H393" s="6">
        <f>IF(C393="","",IF(ISNUMBER(G393),1,0))</f>
        <v/>
      </c>
      <c r="I393" s="6">
        <f>IF(C393="","",IF(SUMPRODUCT(($C$12:$C$1511=C393)*1)&gt;1,1,0))</f>
        <v/>
      </c>
      <c r="J393" s="6">
        <f>IF(C393="","",SUMPRODUCT((Mapping!$F$5:$F$504=Setup!$B$4&amp;"||"&amp;C393)*ROW(Mapping!$F$5:$F$504)))</f>
        <v/>
      </c>
      <c r="K393" s="6">
        <f>IF(C393="","",IF(J393=0,"UNMAPPED",LOWER(INDEX(Mapping!$D$1:$D$504,J393))))</f>
        <v/>
      </c>
      <c r="L393" s="6">
        <f>IF(K393="mapped",TRIM(INDEX(Mapping!$C$1:$C$504,J393)),"")</f>
        <v/>
      </c>
      <c r="M393" s="6">
        <f>IF(C393="","",IF(SUMPRODUCT(($C$12:C393=C393)*1)=1,1,0))</f>
        <v/>
      </c>
      <c r="N393" s="6">
        <f>IF(AND(K393="UNMAPPED",M393=1),ROW(),"")</f>
        <v/>
      </c>
      <c r="O393" s="6">
        <f>IF(AND(I393=1,M393=1),ROW(),"")</f>
        <v/>
      </c>
      <c r="P393" s="6">
        <f>IF(AND(K393="ignored",M393=1),ROW(),"")</f>
        <v/>
      </c>
    </row>
    <row r="394">
      <c r="A394" s="8" t="n"/>
      <c r="B394" s="8" t="n"/>
      <c r="C394" s="6">
        <f>TRIM(A394&amp;"")</f>
        <v/>
      </c>
      <c r="D394" s="6">
        <f>IF(C394="","",SUBSTITUTE(SUBSTITUTE(SUBSTITUTE(SUBSTITUTE(SUBSTITUTE(SUBSTITUTE(SUBSTITUTE(UPPER(TRIM(B394&amp;"")),"₹",""),"RS.",""),"RS",""),"INR",""),"$",""),",","")," ",""))</f>
        <v/>
      </c>
      <c r="E394" s="6">
        <f>IF(C394="","",IF(RIGHT(D394,2)="CR","Cr",IF(RIGHT(D394,2)="DR","Dr","")))</f>
        <v/>
      </c>
      <c r="F394" s="6">
        <f>IF(C394="","",IF(E394&lt;&gt;"",LEFT(D394,LEN(D394)-2),D394))</f>
        <v/>
      </c>
      <c r="G394" s="13">
        <f>IF(C394="","",IF(OR(IF(AND(LEFT(F394,1)="(",RIGHT(F394,1)=")"),MID(F394,2,LEN(F394)-2),F394)="",IF(AND(LEFT(F394,1)="(",RIGHT(F394,1)=")"),MID(F394,2,LEN(F394)-2),F394)="-"),0,IFERROR(VALUE(IF(AND(LEFT(F394,1)="(",RIGHT(F394,1)=")"),MID(F394,2,LEN(F394)-2),F394))*IF(AND(LEFT(F394,1)="(",RIGHT(F394,1)=")"),-1,1)*IF(E394="Cr",Setup!$B$6,1),"ERR")))</f>
        <v/>
      </c>
      <c r="H394" s="6">
        <f>IF(C394="","",IF(ISNUMBER(G394),1,0))</f>
        <v/>
      </c>
      <c r="I394" s="6">
        <f>IF(C394="","",IF(SUMPRODUCT(($C$12:$C$1511=C394)*1)&gt;1,1,0))</f>
        <v/>
      </c>
      <c r="J394" s="6">
        <f>IF(C394="","",SUMPRODUCT((Mapping!$F$5:$F$504=Setup!$B$4&amp;"||"&amp;C394)*ROW(Mapping!$F$5:$F$504)))</f>
        <v/>
      </c>
      <c r="K394" s="6">
        <f>IF(C394="","",IF(J394=0,"UNMAPPED",LOWER(INDEX(Mapping!$D$1:$D$504,J394))))</f>
        <v/>
      </c>
      <c r="L394" s="6">
        <f>IF(K394="mapped",TRIM(INDEX(Mapping!$C$1:$C$504,J394)),"")</f>
        <v/>
      </c>
      <c r="M394" s="6">
        <f>IF(C394="","",IF(SUMPRODUCT(($C$12:C394=C394)*1)=1,1,0))</f>
        <v/>
      </c>
      <c r="N394" s="6">
        <f>IF(AND(K394="UNMAPPED",M394=1),ROW(),"")</f>
        <v/>
      </c>
      <c r="O394" s="6">
        <f>IF(AND(I394=1,M394=1),ROW(),"")</f>
        <v/>
      </c>
      <c r="P394" s="6">
        <f>IF(AND(K394="ignored",M394=1),ROW(),"")</f>
        <v/>
      </c>
    </row>
    <row r="395">
      <c r="A395" s="8" t="n"/>
      <c r="B395" s="8" t="n"/>
      <c r="C395" s="6">
        <f>TRIM(A395&amp;"")</f>
        <v/>
      </c>
      <c r="D395" s="6">
        <f>IF(C395="","",SUBSTITUTE(SUBSTITUTE(SUBSTITUTE(SUBSTITUTE(SUBSTITUTE(SUBSTITUTE(SUBSTITUTE(UPPER(TRIM(B395&amp;"")),"₹",""),"RS.",""),"RS",""),"INR",""),"$",""),",","")," ",""))</f>
        <v/>
      </c>
      <c r="E395" s="6">
        <f>IF(C395="","",IF(RIGHT(D395,2)="CR","Cr",IF(RIGHT(D395,2)="DR","Dr","")))</f>
        <v/>
      </c>
      <c r="F395" s="6">
        <f>IF(C395="","",IF(E395&lt;&gt;"",LEFT(D395,LEN(D395)-2),D395))</f>
        <v/>
      </c>
      <c r="G395" s="13">
        <f>IF(C395="","",IF(OR(IF(AND(LEFT(F395,1)="(",RIGHT(F395,1)=")"),MID(F395,2,LEN(F395)-2),F395)="",IF(AND(LEFT(F395,1)="(",RIGHT(F395,1)=")"),MID(F395,2,LEN(F395)-2),F395)="-"),0,IFERROR(VALUE(IF(AND(LEFT(F395,1)="(",RIGHT(F395,1)=")"),MID(F395,2,LEN(F395)-2),F395))*IF(AND(LEFT(F395,1)="(",RIGHT(F395,1)=")"),-1,1)*IF(E395="Cr",Setup!$B$6,1),"ERR")))</f>
        <v/>
      </c>
      <c r="H395" s="6">
        <f>IF(C395="","",IF(ISNUMBER(G395),1,0))</f>
        <v/>
      </c>
      <c r="I395" s="6">
        <f>IF(C395="","",IF(SUMPRODUCT(($C$12:$C$1511=C395)*1)&gt;1,1,0))</f>
        <v/>
      </c>
      <c r="J395" s="6">
        <f>IF(C395="","",SUMPRODUCT((Mapping!$F$5:$F$504=Setup!$B$4&amp;"||"&amp;C395)*ROW(Mapping!$F$5:$F$504)))</f>
        <v/>
      </c>
      <c r="K395" s="6">
        <f>IF(C395="","",IF(J395=0,"UNMAPPED",LOWER(INDEX(Mapping!$D$1:$D$504,J395))))</f>
        <v/>
      </c>
      <c r="L395" s="6">
        <f>IF(K395="mapped",TRIM(INDEX(Mapping!$C$1:$C$504,J395)),"")</f>
        <v/>
      </c>
      <c r="M395" s="6">
        <f>IF(C395="","",IF(SUMPRODUCT(($C$12:C395=C395)*1)=1,1,0))</f>
        <v/>
      </c>
      <c r="N395" s="6">
        <f>IF(AND(K395="UNMAPPED",M395=1),ROW(),"")</f>
        <v/>
      </c>
      <c r="O395" s="6">
        <f>IF(AND(I395=1,M395=1),ROW(),"")</f>
        <v/>
      </c>
      <c r="P395" s="6">
        <f>IF(AND(K395="ignored",M395=1),ROW(),"")</f>
        <v/>
      </c>
    </row>
    <row r="396">
      <c r="A396" s="8" t="n"/>
      <c r="B396" s="8" t="n"/>
      <c r="C396" s="6">
        <f>TRIM(A396&amp;"")</f>
        <v/>
      </c>
      <c r="D396" s="6">
        <f>IF(C396="","",SUBSTITUTE(SUBSTITUTE(SUBSTITUTE(SUBSTITUTE(SUBSTITUTE(SUBSTITUTE(SUBSTITUTE(UPPER(TRIM(B396&amp;"")),"₹",""),"RS.",""),"RS",""),"INR",""),"$",""),",","")," ",""))</f>
        <v/>
      </c>
      <c r="E396" s="6">
        <f>IF(C396="","",IF(RIGHT(D396,2)="CR","Cr",IF(RIGHT(D396,2)="DR","Dr","")))</f>
        <v/>
      </c>
      <c r="F396" s="6">
        <f>IF(C396="","",IF(E396&lt;&gt;"",LEFT(D396,LEN(D396)-2),D396))</f>
        <v/>
      </c>
      <c r="G396" s="13">
        <f>IF(C396="","",IF(OR(IF(AND(LEFT(F396,1)="(",RIGHT(F396,1)=")"),MID(F396,2,LEN(F396)-2),F396)="",IF(AND(LEFT(F396,1)="(",RIGHT(F396,1)=")"),MID(F396,2,LEN(F396)-2),F396)="-"),0,IFERROR(VALUE(IF(AND(LEFT(F396,1)="(",RIGHT(F396,1)=")"),MID(F396,2,LEN(F396)-2),F396))*IF(AND(LEFT(F396,1)="(",RIGHT(F396,1)=")"),-1,1)*IF(E396="Cr",Setup!$B$6,1),"ERR")))</f>
        <v/>
      </c>
      <c r="H396" s="6">
        <f>IF(C396="","",IF(ISNUMBER(G396),1,0))</f>
        <v/>
      </c>
      <c r="I396" s="6">
        <f>IF(C396="","",IF(SUMPRODUCT(($C$12:$C$1511=C396)*1)&gt;1,1,0))</f>
        <v/>
      </c>
      <c r="J396" s="6">
        <f>IF(C396="","",SUMPRODUCT((Mapping!$F$5:$F$504=Setup!$B$4&amp;"||"&amp;C396)*ROW(Mapping!$F$5:$F$504)))</f>
        <v/>
      </c>
      <c r="K396" s="6">
        <f>IF(C396="","",IF(J396=0,"UNMAPPED",LOWER(INDEX(Mapping!$D$1:$D$504,J396))))</f>
        <v/>
      </c>
      <c r="L396" s="6">
        <f>IF(K396="mapped",TRIM(INDEX(Mapping!$C$1:$C$504,J396)),"")</f>
        <v/>
      </c>
      <c r="M396" s="6">
        <f>IF(C396="","",IF(SUMPRODUCT(($C$12:C396=C396)*1)=1,1,0))</f>
        <v/>
      </c>
      <c r="N396" s="6">
        <f>IF(AND(K396="UNMAPPED",M396=1),ROW(),"")</f>
        <v/>
      </c>
      <c r="O396" s="6">
        <f>IF(AND(I396=1,M396=1),ROW(),"")</f>
        <v/>
      </c>
      <c r="P396" s="6">
        <f>IF(AND(K396="ignored",M396=1),ROW(),"")</f>
        <v/>
      </c>
    </row>
    <row r="397">
      <c r="A397" s="8" t="n"/>
      <c r="B397" s="8" t="n"/>
      <c r="C397" s="6">
        <f>TRIM(A397&amp;"")</f>
        <v/>
      </c>
      <c r="D397" s="6">
        <f>IF(C397="","",SUBSTITUTE(SUBSTITUTE(SUBSTITUTE(SUBSTITUTE(SUBSTITUTE(SUBSTITUTE(SUBSTITUTE(UPPER(TRIM(B397&amp;"")),"₹",""),"RS.",""),"RS",""),"INR",""),"$",""),",","")," ",""))</f>
        <v/>
      </c>
      <c r="E397" s="6">
        <f>IF(C397="","",IF(RIGHT(D397,2)="CR","Cr",IF(RIGHT(D397,2)="DR","Dr","")))</f>
        <v/>
      </c>
      <c r="F397" s="6">
        <f>IF(C397="","",IF(E397&lt;&gt;"",LEFT(D397,LEN(D397)-2),D397))</f>
        <v/>
      </c>
      <c r="G397" s="13">
        <f>IF(C397="","",IF(OR(IF(AND(LEFT(F397,1)="(",RIGHT(F397,1)=")"),MID(F397,2,LEN(F397)-2),F397)="",IF(AND(LEFT(F397,1)="(",RIGHT(F397,1)=")"),MID(F397,2,LEN(F397)-2),F397)="-"),0,IFERROR(VALUE(IF(AND(LEFT(F397,1)="(",RIGHT(F397,1)=")"),MID(F397,2,LEN(F397)-2),F397))*IF(AND(LEFT(F397,1)="(",RIGHT(F397,1)=")"),-1,1)*IF(E397="Cr",Setup!$B$6,1),"ERR")))</f>
        <v/>
      </c>
      <c r="H397" s="6">
        <f>IF(C397="","",IF(ISNUMBER(G397),1,0))</f>
        <v/>
      </c>
      <c r="I397" s="6">
        <f>IF(C397="","",IF(SUMPRODUCT(($C$12:$C$1511=C397)*1)&gt;1,1,0))</f>
        <v/>
      </c>
      <c r="J397" s="6">
        <f>IF(C397="","",SUMPRODUCT((Mapping!$F$5:$F$504=Setup!$B$4&amp;"||"&amp;C397)*ROW(Mapping!$F$5:$F$504)))</f>
        <v/>
      </c>
      <c r="K397" s="6">
        <f>IF(C397="","",IF(J397=0,"UNMAPPED",LOWER(INDEX(Mapping!$D$1:$D$504,J397))))</f>
        <v/>
      </c>
      <c r="L397" s="6">
        <f>IF(K397="mapped",TRIM(INDEX(Mapping!$C$1:$C$504,J397)),"")</f>
        <v/>
      </c>
      <c r="M397" s="6">
        <f>IF(C397="","",IF(SUMPRODUCT(($C$12:C397=C397)*1)=1,1,0))</f>
        <v/>
      </c>
      <c r="N397" s="6">
        <f>IF(AND(K397="UNMAPPED",M397=1),ROW(),"")</f>
        <v/>
      </c>
      <c r="O397" s="6">
        <f>IF(AND(I397=1,M397=1),ROW(),"")</f>
        <v/>
      </c>
      <c r="P397" s="6">
        <f>IF(AND(K397="ignored",M397=1),ROW(),"")</f>
        <v/>
      </c>
    </row>
    <row r="398">
      <c r="A398" s="8" t="n"/>
      <c r="B398" s="8" t="n"/>
      <c r="C398" s="6">
        <f>TRIM(A398&amp;"")</f>
        <v/>
      </c>
      <c r="D398" s="6">
        <f>IF(C398="","",SUBSTITUTE(SUBSTITUTE(SUBSTITUTE(SUBSTITUTE(SUBSTITUTE(SUBSTITUTE(SUBSTITUTE(UPPER(TRIM(B398&amp;"")),"₹",""),"RS.",""),"RS",""),"INR",""),"$",""),",","")," ",""))</f>
        <v/>
      </c>
      <c r="E398" s="6">
        <f>IF(C398="","",IF(RIGHT(D398,2)="CR","Cr",IF(RIGHT(D398,2)="DR","Dr","")))</f>
        <v/>
      </c>
      <c r="F398" s="6">
        <f>IF(C398="","",IF(E398&lt;&gt;"",LEFT(D398,LEN(D398)-2),D398))</f>
        <v/>
      </c>
      <c r="G398" s="13">
        <f>IF(C398="","",IF(OR(IF(AND(LEFT(F398,1)="(",RIGHT(F398,1)=")"),MID(F398,2,LEN(F398)-2),F398)="",IF(AND(LEFT(F398,1)="(",RIGHT(F398,1)=")"),MID(F398,2,LEN(F398)-2),F398)="-"),0,IFERROR(VALUE(IF(AND(LEFT(F398,1)="(",RIGHT(F398,1)=")"),MID(F398,2,LEN(F398)-2),F398))*IF(AND(LEFT(F398,1)="(",RIGHT(F398,1)=")"),-1,1)*IF(E398="Cr",Setup!$B$6,1),"ERR")))</f>
        <v/>
      </c>
      <c r="H398" s="6">
        <f>IF(C398="","",IF(ISNUMBER(G398),1,0))</f>
        <v/>
      </c>
      <c r="I398" s="6">
        <f>IF(C398="","",IF(SUMPRODUCT(($C$12:$C$1511=C398)*1)&gt;1,1,0))</f>
        <v/>
      </c>
      <c r="J398" s="6">
        <f>IF(C398="","",SUMPRODUCT((Mapping!$F$5:$F$504=Setup!$B$4&amp;"||"&amp;C398)*ROW(Mapping!$F$5:$F$504)))</f>
        <v/>
      </c>
      <c r="K398" s="6">
        <f>IF(C398="","",IF(J398=0,"UNMAPPED",LOWER(INDEX(Mapping!$D$1:$D$504,J398))))</f>
        <v/>
      </c>
      <c r="L398" s="6">
        <f>IF(K398="mapped",TRIM(INDEX(Mapping!$C$1:$C$504,J398)),"")</f>
        <v/>
      </c>
      <c r="M398" s="6">
        <f>IF(C398="","",IF(SUMPRODUCT(($C$12:C398=C398)*1)=1,1,0))</f>
        <v/>
      </c>
      <c r="N398" s="6">
        <f>IF(AND(K398="UNMAPPED",M398=1),ROW(),"")</f>
        <v/>
      </c>
      <c r="O398" s="6">
        <f>IF(AND(I398=1,M398=1),ROW(),"")</f>
        <v/>
      </c>
      <c r="P398" s="6">
        <f>IF(AND(K398="ignored",M398=1),ROW(),"")</f>
        <v/>
      </c>
    </row>
    <row r="399">
      <c r="A399" s="8" t="n"/>
      <c r="B399" s="8" t="n"/>
      <c r="C399" s="6">
        <f>TRIM(A399&amp;"")</f>
        <v/>
      </c>
      <c r="D399" s="6">
        <f>IF(C399="","",SUBSTITUTE(SUBSTITUTE(SUBSTITUTE(SUBSTITUTE(SUBSTITUTE(SUBSTITUTE(SUBSTITUTE(UPPER(TRIM(B399&amp;"")),"₹",""),"RS.",""),"RS",""),"INR",""),"$",""),",","")," ",""))</f>
        <v/>
      </c>
      <c r="E399" s="6">
        <f>IF(C399="","",IF(RIGHT(D399,2)="CR","Cr",IF(RIGHT(D399,2)="DR","Dr","")))</f>
        <v/>
      </c>
      <c r="F399" s="6">
        <f>IF(C399="","",IF(E399&lt;&gt;"",LEFT(D399,LEN(D399)-2),D399))</f>
        <v/>
      </c>
      <c r="G399" s="13">
        <f>IF(C399="","",IF(OR(IF(AND(LEFT(F399,1)="(",RIGHT(F399,1)=")"),MID(F399,2,LEN(F399)-2),F399)="",IF(AND(LEFT(F399,1)="(",RIGHT(F399,1)=")"),MID(F399,2,LEN(F399)-2),F399)="-"),0,IFERROR(VALUE(IF(AND(LEFT(F399,1)="(",RIGHT(F399,1)=")"),MID(F399,2,LEN(F399)-2),F399))*IF(AND(LEFT(F399,1)="(",RIGHT(F399,1)=")"),-1,1)*IF(E399="Cr",Setup!$B$6,1),"ERR")))</f>
        <v/>
      </c>
      <c r="H399" s="6">
        <f>IF(C399="","",IF(ISNUMBER(G399),1,0))</f>
        <v/>
      </c>
      <c r="I399" s="6">
        <f>IF(C399="","",IF(SUMPRODUCT(($C$12:$C$1511=C399)*1)&gt;1,1,0))</f>
        <v/>
      </c>
      <c r="J399" s="6">
        <f>IF(C399="","",SUMPRODUCT((Mapping!$F$5:$F$504=Setup!$B$4&amp;"||"&amp;C399)*ROW(Mapping!$F$5:$F$504)))</f>
        <v/>
      </c>
      <c r="K399" s="6">
        <f>IF(C399="","",IF(J399=0,"UNMAPPED",LOWER(INDEX(Mapping!$D$1:$D$504,J399))))</f>
        <v/>
      </c>
      <c r="L399" s="6">
        <f>IF(K399="mapped",TRIM(INDEX(Mapping!$C$1:$C$504,J399)),"")</f>
        <v/>
      </c>
      <c r="M399" s="6">
        <f>IF(C399="","",IF(SUMPRODUCT(($C$12:C399=C399)*1)=1,1,0))</f>
        <v/>
      </c>
      <c r="N399" s="6">
        <f>IF(AND(K399="UNMAPPED",M399=1),ROW(),"")</f>
        <v/>
      </c>
      <c r="O399" s="6">
        <f>IF(AND(I399=1,M399=1),ROW(),"")</f>
        <v/>
      </c>
      <c r="P399" s="6">
        <f>IF(AND(K399="ignored",M399=1),ROW(),"")</f>
        <v/>
      </c>
    </row>
    <row r="400">
      <c r="A400" s="8" t="n"/>
      <c r="B400" s="8" t="n"/>
      <c r="C400" s="6">
        <f>TRIM(A400&amp;"")</f>
        <v/>
      </c>
      <c r="D400" s="6">
        <f>IF(C400="","",SUBSTITUTE(SUBSTITUTE(SUBSTITUTE(SUBSTITUTE(SUBSTITUTE(SUBSTITUTE(SUBSTITUTE(UPPER(TRIM(B400&amp;"")),"₹",""),"RS.",""),"RS",""),"INR",""),"$",""),",","")," ",""))</f>
        <v/>
      </c>
      <c r="E400" s="6">
        <f>IF(C400="","",IF(RIGHT(D400,2)="CR","Cr",IF(RIGHT(D400,2)="DR","Dr","")))</f>
        <v/>
      </c>
      <c r="F400" s="6">
        <f>IF(C400="","",IF(E400&lt;&gt;"",LEFT(D400,LEN(D400)-2),D400))</f>
        <v/>
      </c>
      <c r="G400" s="13">
        <f>IF(C400="","",IF(OR(IF(AND(LEFT(F400,1)="(",RIGHT(F400,1)=")"),MID(F400,2,LEN(F400)-2),F400)="",IF(AND(LEFT(F400,1)="(",RIGHT(F400,1)=")"),MID(F400,2,LEN(F400)-2),F400)="-"),0,IFERROR(VALUE(IF(AND(LEFT(F400,1)="(",RIGHT(F400,1)=")"),MID(F400,2,LEN(F400)-2),F400))*IF(AND(LEFT(F400,1)="(",RIGHT(F400,1)=")"),-1,1)*IF(E400="Cr",Setup!$B$6,1),"ERR")))</f>
        <v/>
      </c>
      <c r="H400" s="6">
        <f>IF(C400="","",IF(ISNUMBER(G400),1,0))</f>
        <v/>
      </c>
      <c r="I400" s="6">
        <f>IF(C400="","",IF(SUMPRODUCT(($C$12:$C$1511=C400)*1)&gt;1,1,0))</f>
        <v/>
      </c>
      <c r="J400" s="6">
        <f>IF(C400="","",SUMPRODUCT((Mapping!$F$5:$F$504=Setup!$B$4&amp;"||"&amp;C400)*ROW(Mapping!$F$5:$F$504)))</f>
        <v/>
      </c>
      <c r="K400" s="6">
        <f>IF(C400="","",IF(J400=0,"UNMAPPED",LOWER(INDEX(Mapping!$D$1:$D$504,J400))))</f>
        <v/>
      </c>
      <c r="L400" s="6">
        <f>IF(K400="mapped",TRIM(INDEX(Mapping!$C$1:$C$504,J400)),"")</f>
        <v/>
      </c>
      <c r="M400" s="6">
        <f>IF(C400="","",IF(SUMPRODUCT(($C$12:C400=C400)*1)=1,1,0))</f>
        <v/>
      </c>
      <c r="N400" s="6">
        <f>IF(AND(K400="UNMAPPED",M400=1),ROW(),"")</f>
        <v/>
      </c>
      <c r="O400" s="6">
        <f>IF(AND(I400=1,M400=1),ROW(),"")</f>
        <v/>
      </c>
      <c r="P400" s="6">
        <f>IF(AND(K400="ignored",M400=1),ROW(),"")</f>
        <v/>
      </c>
    </row>
    <row r="401">
      <c r="A401" s="8" t="n"/>
      <c r="B401" s="8" t="n"/>
      <c r="C401" s="6">
        <f>TRIM(A401&amp;"")</f>
        <v/>
      </c>
      <c r="D401" s="6">
        <f>IF(C401="","",SUBSTITUTE(SUBSTITUTE(SUBSTITUTE(SUBSTITUTE(SUBSTITUTE(SUBSTITUTE(SUBSTITUTE(UPPER(TRIM(B401&amp;"")),"₹",""),"RS.",""),"RS",""),"INR",""),"$",""),",","")," ",""))</f>
        <v/>
      </c>
      <c r="E401" s="6">
        <f>IF(C401="","",IF(RIGHT(D401,2)="CR","Cr",IF(RIGHT(D401,2)="DR","Dr","")))</f>
        <v/>
      </c>
      <c r="F401" s="6">
        <f>IF(C401="","",IF(E401&lt;&gt;"",LEFT(D401,LEN(D401)-2),D401))</f>
        <v/>
      </c>
      <c r="G401" s="13">
        <f>IF(C401="","",IF(OR(IF(AND(LEFT(F401,1)="(",RIGHT(F401,1)=")"),MID(F401,2,LEN(F401)-2),F401)="",IF(AND(LEFT(F401,1)="(",RIGHT(F401,1)=")"),MID(F401,2,LEN(F401)-2),F401)="-"),0,IFERROR(VALUE(IF(AND(LEFT(F401,1)="(",RIGHT(F401,1)=")"),MID(F401,2,LEN(F401)-2),F401))*IF(AND(LEFT(F401,1)="(",RIGHT(F401,1)=")"),-1,1)*IF(E401="Cr",Setup!$B$6,1),"ERR")))</f>
        <v/>
      </c>
      <c r="H401" s="6">
        <f>IF(C401="","",IF(ISNUMBER(G401),1,0))</f>
        <v/>
      </c>
      <c r="I401" s="6">
        <f>IF(C401="","",IF(SUMPRODUCT(($C$12:$C$1511=C401)*1)&gt;1,1,0))</f>
        <v/>
      </c>
      <c r="J401" s="6">
        <f>IF(C401="","",SUMPRODUCT((Mapping!$F$5:$F$504=Setup!$B$4&amp;"||"&amp;C401)*ROW(Mapping!$F$5:$F$504)))</f>
        <v/>
      </c>
      <c r="K401" s="6">
        <f>IF(C401="","",IF(J401=0,"UNMAPPED",LOWER(INDEX(Mapping!$D$1:$D$504,J401))))</f>
        <v/>
      </c>
      <c r="L401" s="6">
        <f>IF(K401="mapped",TRIM(INDEX(Mapping!$C$1:$C$504,J401)),"")</f>
        <v/>
      </c>
      <c r="M401" s="6">
        <f>IF(C401="","",IF(SUMPRODUCT(($C$12:C401=C401)*1)=1,1,0))</f>
        <v/>
      </c>
      <c r="N401" s="6">
        <f>IF(AND(K401="UNMAPPED",M401=1),ROW(),"")</f>
        <v/>
      </c>
      <c r="O401" s="6">
        <f>IF(AND(I401=1,M401=1),ROW(),"")</f>
        <v/>
      </c>
      <c r="P401" s="6">
        <f>IF(AND(K401="ignored",M401=1),ROW(),"")</f>
        <v/>
      </c>
    </row>
    <row r="402">
      <c r="A402" s="8" t="n"/>
      <c r="B402" s="8" t="n"/>
      <c r="C402" s="6">
        <f>TRIM(A402&amp;"")</f>
        <v/>
      </c>
      <c r="D402" s="6">
        <f>IF(C402="","",SUBSTITUTE(SUBSTITUTE(SUBSTITUTE(SUBSTITUTE(SUBSTITUTE(SUBSTITUTE(SUBSTITUTE(UPPER(TRIM(B402&amp;"")),"₹",""),"RS.",""),"RS",""),"INR",""),"$",""),",","")," ",""))</f>
        <v/>
      </c>
      <c r="E402" s="6">
        <f>IF(C402="","",IF(RIGHT(D402,2)="CR","Cr",IF(RIGHT(D402,2)="DR","Dr","")))</f>
        <v/>
      </c>
      <c r="F402" s="6">
        <f>IF(C402="","",IF(E402&lt;&gt;"",LEFT(D402,LEN(D402)-2),D402))</f>
        <v/>
      </c>
      <c r="G402" s="13">
        <f>IF(C402="","",IF(OR(IF(AND(LEFT(F402,1)="(",RIGHT(F402,1)=")"),MID(F402,2,LEN(F402)-2),F402)="",IF(AND(LEFT(F402,1)="(",RIGHT(F402,1)=")"),MID(F402,2,LEN(F402)-2),F402)="-"),0,IFERROR(VALUE(IF(AND(LEFT(F402,1)="(",RIGHT(F402,1)=")"),MID(F402,2,LEN(F402)-2),F402))*IF(AND(LEFT(F402,1)="(",RIGHT(F402,1)=")"),-1,1)*IF(E402="Cr",Setup!$B$6,1),"ERR")))</f>
        <v/>
      </c>
      <c r="H402" s="6">
        <f>IF(C402="","",IF(ISNUMBER(G402),1,0))</f>
        <v/>
      </c>
      <c r="I402" s="6">
        <f>IF(C402="","",IF(SUMPRODUCT(($C$12:$C$1511=C402)*1)&gt;1,1,0))</f>
        <v/>
      </c>
      <c r="J402" s="6">
        <f>IF(C402="","",SUMPRODUCT((Mapping!$F$5:$F$504=Setup!$B$4&amp;"||"&amp;C402)*ROW(Mapping!$F$5:$F$504)))</f>
        <v/>
      </c>
      <c r="K402" s="6">
        <f>IF(C402="","",IF(J402=0,"UNMAPPED",LOWER(INDEX(Mapping!$D$1:$D$504,J402))))</f>
        <v/>
      </c>
      <c r="L402" s="6">
        <f>IF(K402="mapped",TRIM(INDEX(Mapping!$C$1:$C$504,J402)),"")</f>
        <v/>
      </c>
      <c r="M402" s="6">
        <f>IF(C402="","",IF(SUMPRODUCT(($C$12:C402=C402)*1)=1,1,0))</f>
        <v/>
      </c>
      <c r="N402" s="6">
        <f>IF(AND(K402="UNMAPPED",M402=1),ROW(),"")</f>
        <v/>
      </c>
      <c r="O402" s="6">
        <f>IF(AND(I402=1,M402=1),ROW(),"")</f>
        <v/>
      </c>
      <c r="P402" s="6">
        <f>IF(AND(K402="ignored",M402=1),ROW(),"")</f>
        <v/>
      </c>
    </row>
    <row r="403">
      <c r="A403" s="8" t="n"/>
      <c r="B403" s="8" t="n"/>
      <c r="C403" s="6">
        <f>TRIM(A403&amp;"")</f>
        <v/>
      </c>
      <c r="D403" s="6">
        <f>IF(C403="","",SUBSTITUTE(SUBSTITUTE(SUBSTITUTE(SUBSTITUTE(SUBSTITUTE(SUBSTITUTE(SUBSTITUTE(UPPER(TRIM(B403&amp;"")),"₹",""),"RS.",""),"RS",""),"INR",""),"$",""),",","")," ",""))</f>
        <v/>
      </c>
      <c r="E403" s="6">
        <f>IF(C403="","",IF(RIGHT(D403,2)="CR","Cr",IF(RIGHT(D403,2)="DR","Dr","")))</f>
        <v/>
      </c>
      <c r="F403" s="6">
        <f>IF(C403="","",IF(E403&lt;&gt;"",LEFT(D403,LEN(D403)-2),D403))</f>
        <v/>
      </c>
      <c r="G403" s="13">
        <f>IF(C403="","",IF(OR(IF(AND(LEFT(F403,1)="(",RIGHT(F403,1)=")"),MID(F403,2,LEN(F403)-2),F403)="",IF(AND(LEFT(F403,1)="(",RIGHT(F403,1)=")"),MID(F403,2,LEN(F403)-2),F403)="-"),0,IFERROR(VALUE(IF(AND(LEFT(F403,1)="(",RIGHT(F403,1)=")"),MID(F403,2,LEN(F403)-2),F403))*IF(AND(LEFT(F403,1)="(",RIGHT(F403,1)=")"),-1,1)*IF(E403="Cr",Setup!$B$6,1),"ERR")))</f>
        <v/>
      </c>
      <c r="H403" s="6">
        <f>IF(C403="","",IF(ISNUMBER(G403),1,0))</f>
        <v/>
      </c>
      <c r="I403" s="6">
        <f>IF(C403="","",IF(SUMPRODUCT(($C$12:$C$1511=C403)*1)&gt;1,1,0))</f>
        <v/>
      </c>
      <c r="J403" s="6">
        <f>IF(C403="","",SUMPRODUCT((Mapping!$F$5:$F$504=Setup!$B$4&amp;"||"&amp;C403)*ROW(Mapping!$F$5:$F$504)))</f>
        <v/>
      </c>
      <c r="K403" s="6">
        <f>IF(C403="","",IF(J403=0,"UNMAPPED",LOWER(INDEX(Mapping!$D$1:$D$504,J403))))</f>
        <v/>
      </c>
      <c r="L403" s="6">
        <f>IF(K403="mapped",TRIM(INDEX(Mapping!$C$1:$C$504,J403)),"")</f>
        <v/>
      </c>
      <c r="M403" s="6">
        <f>IF(C403="","",IF(SUMPRODUCT(($C$12:C403=C403)*1)=1,1,0))</f>
        <v/>
      </c>
      <c r="N403" s="6">
        <f>IF(AND(K403="UNMAPPED",M403=1),ROW(),"")</f>
        <v/>
      </c>
      <c r="O403" s="6">
        <f>IF(AND(I403=1,M403=1),ROW(),"")</f>
        <v/>
      </c>
      <c r="P403" s="6">
        <f>IF(AND(K403="ignored",M403=1),ROW(),"")</f>
        <v/>
      </c>
    </row>
    <row r="404">
      <c r="A404" s="8" t="n"/>
      <c r="B404" s="8" t="n"/>
      <c r="C404" s="6">
        <f>TRIM(A404&amp;"")</f>
        <v/>
      </c>
      <c r="D404" s="6">
        <f>IF(C404="","",SUBSTITUTE(SUBSTITUTE(SUBSTITUTE(SUBSTITUTE(SUBSTITUTE(SUBSTITUTE(SUBSTITUTE(UPPER(TRIM(B404&amp;"")),"₹",""),"RS.",""),"RS",""),"INR",""),"$",""),",","")," ",""))</f>
        <v/>
      </c>
      <c r="E404" s="6">
        <f>IF(C404="","",IF(RIGHT(D404,2)="CR","Cr",IF(RIGHT(D404,2)="DR","Dr","")))</f>
        <v/>
      </c>
      <c r="F404" s="6">
        <f>IF(C404="","",IF(E404&lt;&gt;"",LEFT(D404,LEN(D404)-2),D404))</f>
        <v/>
      </c>
      <c r="G404" s="13">
        <f>IF(C404="","",IF(OR(IF(AND(LEFT(F404,1)="(",RIGHT(F404,1)=")"),MID(F404,2,LEN(F404)-2),F404)="",IF(AND(LEFT(F404,1)="(",RIGHT(F404,1)=")"),MID(F404,2,LEN(F404)-2),F404)="-"),0,IFERROR(VALUE(IF(AND(LEFT(F404,1)="(",RIGHT(F404,1)=")"),MID(F404,2,LEN(F404)-2),F404))*IF(AND(LEFT(F404,1)="(",RIGHT(F404,1)=")"),-1,1)*IF(E404="Cr",Setup!$B$6,1),"ERR")))</f>
        <v/>
      </c>
      <c r="H404" s="6">
        <f>IF(C404="","",IF(ISNUMBER(G404),1,0))</f>
        <v/>
      </c>
      <c r="I404" s="6">
        <f>IF(C404="","",IF(SUMPRODUCT(($C$12:$C$1511=C404)*1)&gt;1,1,0))</f>
        <v/>
      </c>
      <c r="J404" s="6">
        <f>IF(C404="","",SUMPRODUCT((Mapping!$F$5:$F$504=Setup!$B$4&amp;"||"&amp;C404)*ROW(Mapping!$F$5:$F$504)))</f>
        <v/>
      </c>
      <c r="K404" s="6">
        <f>IF(C404="","",IF(J404=0,"UNMAPPED",LOWER(INDEX(Mapping!$D$1:$D$504,J404))))</f>
        <v/>
      </c>
      <c r="L404" s="6">
        <f>IF(K404="mapped",TRIM(INDEX(Mapping!$C$1:$C$504,J404)),"")</f>
        <v/>
      </c>
      <c r="M404" s="6">
        <f>IF(C404="","",IF(SUMPRODUCT(($C$12:C404=C404)*1)=1,1,0))</f>
        <v/>
      </c>
      <c r="N404" s="6">
        <f>IF(AND(K404="UNMAPPED",M404=1),ROW(),"")</f>
        <v/>
      </c>
      <c r="O404" s="6">
        <f>IF(AND(I404=1,M404=1),ROW(),"")</f>
        <v/>
      </c>
      <c r="P404" s="6">
        <f>IF(AND(K404="ignored",M404=1),ROW(),"")</f>
        <v/>
      </c>
    </row>
    <row r="405">
      <c r="A405" s="8" t="n"/>
      <c r="B405" s="8" t="n"/>
      <c r="C405" s="6">
        <f>TRIM(A405&amp;"")</f>
        <v/>
      </c>
      <c r="D405" s="6">
        <f>IF(C405="","",SUBSTITUTE(SUBSTITUTE(SUBSTITUTE(SUBSTITUTE(SUBSTITUTE(SUBSTITUTE(SUBSTITUTE(UPPER(TRIM(B405&amp;"")),"₹",""),"RS.",""),"RS",""),"INR",""),"$",""),",","")," ",""))</f>
        <v/>
      </c>
      <c r="E405" s="6">
        <f>IF(C405="","",IF(RIGHT(D405,2)="CR","Cr",IF(RIGHT(D405,2)="DR","Dr","")))</f>
        <v/>
      </c>
      <c r="F405" s="6">
        <f>IF(C405="","",IF(E405&lt;&gt;"",LEFT(D405,LEN(D405)-2),D405))</f>
        <v/>
      </c>
      <c r="G405" s="13">
        <f>IF(C405="","",IF(OR(IF(AND(LEFT(F405,1)="(",RIGHT(F405,1)=")"),MID(F405,2,LEN(F405)-2),F405)="",IF(AND(LEFT(F405,1)="(",RIGHT(F405,1)=")"),MID(F405,2,LEN(F405)-2),F405)="-"),0,IFERROR(VALUE(IF(AND(LEFT(F405,1)="(",RIGHT(F405,1)=")"),MID(F405,2,LEN(F405)-2),F405))*IF(AND(LEFT(F405,1)="(",RIGHT(F405,1)=")"),-1,1)*IF(E405="Cr",Setup!$B$6,1),"ERR")))</f>
        <v/>
      </c>
      <c r="H405" s="6">
        <f>IF(C405="","",IF(ISNUMBER(G405),1,0))</f>
        <v/>
      </c>
      <c r="I405" s="6">
        <f>IF(C405="","",IF(SUMPRODUCT(($C$12:$C$1511=C405)*1)&gt;1,1,0))</f>
        <v/>
      </c>
      <c r="J405" s="6">
        <f>IF(C405="","",SUMPRODUCT((Mapping!$F$5:$F$504=Setup!$B$4&amp;"||"&amp;C405)*ROW(Mapping!$F$5:$F$504)))</f>
        <v/>
      </c>
      <c r="K405" s="6">
        <f>IF(C405="","",IF(J405=0,"UNMAPPED",LOWER(INDEX(Mapping!$D$1:$D$504,J405))))</f>
        <v/>
      </c>
      <c r="L405" s="6">
        <f>IF(K405="mapped",TRIM(INDEX(Mapping!$C$1:$C$504,J405)),"")</f>
        <v/>
      </c>
      <c r="M405" s="6">
        <f>IF(C405="","",IF(SUMPRODUCT(($C$12:C405=C405)*1)=1,1,0))</f>
        <v/>
      </c>
      <c r="N405" s="6">
        <f>IF(AND(K405="UNMAPPED",M405=1),ROW(),"")</f>
        <v/>
      </c>
      <c r="O405" s="6">
        <f>IF(AND(I405=1,M405=1),ROW(),"")</f>
        <v/>
      </c>
      <c r="P405" s="6">
        <f>IF(AND(K405="ignored",M405=1),ROW(),"")</f>
        <v/>
      </c>
    </row>
    <row r="406">
      <c r="A406" s="8" t="n"/>
      <c r="B406" s="8" t="n"/>
      <c r="C406" s="6">
        <f>TRIM(A406&amp;"")</f>
        <v/>
      </c>
      <c r="D406" s="6">
        <f>IF(C406="","",SUBSTITUTE(SUBSTITUTE(SUBSTITUTE(SUBSTITUTE(SUBSTITUTE(SUBSTITUTE(SUBSTITUTE(UPPER(TRIM(B406&amp;"")),"₹",""),"RS.",""),"RS",""),"INR",""),"$",""),",","")," ",""))</f>
        <v/>
      </c>
      <c r="E406" s="6">
        <f>IF(C406="","",IF(RIGHT(D406,2)="CR","Cr",IF(RIGHT(D406,2)="DR","Dr","")))</f>
        <v/>
      </c>
      <c r="F406" s="6">
        <f>IF(C406="","",IF(E406&lt;&gt;"",LEFT(D406,LEN(D406)-2),D406))</f>
        <v/>
      </c>
      <c r="G406" s="13">
        <f>IF(C406="","",IF(OR(IF(AND(LEFT(F406,1)="(",RIGHT(F406,1)=")"),MID(F406,2,LEN(F406)-2),F406)="",IF(AND(LEFT(F406,1)="(",RIGHT(F406,1)=")"),MID(F406,2,LEN(F406)-2),F406)="-"),0,IFERROR(VALUE(IF(AND(LEFT(F406,1)="(",RIGHT(F406,1)=")"),MID(F406,2,LEN(F406)-2),F406))*IF(AND(LEFT(F406,1)="(",RIGHT(F406,1)=")"),-1,1)*IF(E406="Cr",Setup!$B$6,1),"ERR")))</f>
        <v/>
      </c>
      <c r="H406" s="6">
        <f>IF(C406="","",IF(ISNUMBER(G406),1,0))</f>
        <v/>
      </c>
      <c r="I406" s="6">
        <f>IF(C406="","",IF(SUMPRODUCT(($C$12:$C$1511=C406)*1)&gt;1,1,0))</f>
        <v/>
      </c>
      <c r="J406" s="6">
        <f>IF(C406="","",SUMPRODUCT((Mapping!$F$5:$F$504=Setup!$B$4&amp;"||"&amp;C406)*ROW(Mapping!$F$5:$F$504)))</f>
        <v/>
      </c>
      <c r="K406" s="6">
        <f>IF(C406="","",IF(J406=0,"UNMAPPED",LOWER(INDEX(Mapping!$D$1:$D$504,J406))))</f>
        <v/>
      </c>
      <c r="L406" s="6">
        <f>IF(K406="mapped",TRIM(INDEX(Mapping!$C$1:$C$504,J406)),"")</f>
        <v/>
      </c>
      <c r="M406" s="6">
        <f>IF(C406="","",IF(SUMPRODUCT(($C$12:C406=C406)*1)=1,1,0))</f>
        <v/>
      </c>
      <c r="N406" s="6">
        <f>IF(AND(K406="UNMAPPED",M406=1),ROW(),"")</f>
        <v/>
      </c>
      <c r="O406" s="6">
        <f>IF(AND(I406=1,M406=1),ROW(),"")</f>
        <v/>
      </c>
      <c r="P406" s="6">
        <f>IF(AND(K406="ignored",M406=1),ROW(),"")</f>
        <v/>
      </c>
    </row>
    <row r="407">
      <c r="A407" s="8" t="n"/>
      <c r="B407" s="8" t="n"/>
      <c r="C407" s="6">
        <f>TRIM(A407&amp;"")</f>
        <v/>
      </c>
      <c r="D407" s="6">
        <f>IF(C407="","",SUBSTITUTE(SUBSTITUTE(SUBSTITUTE(SUBSTITUTE(SUBSTITUTE(SUBSTITUTE(SUBSTITUTE(UPPER(TRIM(B407&amp;"")),"₹",""),"RS.",""),"RS",""),"INR",""),"$",""),",","")," ",""))</f>
        <v/>
      </c>
      <c r="E407" s="6">
        <f>IF(C407="","",IF(RIGHT(D407,2)="CR","Cr",IF(RIGHT(D407,2)="DR","Dr","")))</f>
        <v/>
      </c>
      <c r="F407" s="6">
        <f>IF(C407="","",IF(E407&lt;&gt;"",LEFT(D407,LEN(D407)-2),D407))</f>
        <v/>
      </c>
      <c r="G407" s="13">
        <f>IF(C407="","",IF(OR(IF(AND(LEFT(F407,1)="(",RIGHT(F407,1)=")"),MID(F407,2,LEN(F407)-2),F407)="",IF(AND(LEFT(F407,1)="(",RIGHT(F407,1)=")"),MID(F407,2,LEN(F407)-2),F407)="-"),0,IFERROR(VALUE(IF(AND(LEFT(F407,1)="(",RIGHT(F407,1)=")"),MID(F407,2,LEN(F407)-2),F407))*IF(AND(LEFT(F407,1)="(",RIGHT(F407,1)=")"),-1,1)*IF(E407="Cr",Setup!$B$6,1),"ERR")))</f>
        <v/>
      </c>
      <c r="H407" s="6">
        <f>IF(C407="","",IF(ISNUMBER(G407),1,0))</f>
        <v/>
      </c>
      <c r="I407" s="6">
        <f>IF(C407="","",IF(SUMPRODUCT(($C$12:$C$1511=C407)*1)&gt;1,1,0))</f>
        <v/>
      </c>
      <c r="J407" s="6">
        <f>IF(C407="","",SUMPRODUCT((Mapping!$F$5:$F$504=Setup!$B$4&amp;"||"&amp;C407)*ROW(Mapping!$F$5:$F$504)))</f>
        <v/>
      </c>
      <c r="K407" s="6">
        <f>IF(C407="","",IF(J407=0,"UNMAPPED",LOWER(INDEX(Mapping!$D$1:$D$504,J407))))</f>
        <v/>
      </c>
      <c r="L407" s="6">
        <f>IF(K407="mapped",TRIM(INDEX(Mapping!$C$1:$C$504,J407)),"")</f>
        <v/>
      </c>
      <c r="M407" s="6">
        <f>IF(C407="","",IF(SUMPRODUCT(($C$12:C407=C407)*1)=1,1,0))</f>
        <v/>
      </c>
      <c r="N407" s="6">
        <f>IF(AND(K407="UNMAPPED",M407=1),ROW(),"")</f>
        <v/>
      </c>
      <c r="O407" s="6">
        <f>IF(AND(I407=1,M407=1),ROW(),"")</f>
        <v/>
      </c>
      <c r="P407" s="6">
        <f>IF(AND(K407="ignored",M407=1),ROW(),"")</f>
        <v/>
      </c>
    </row>
    <row r="408">
      <c r="A408" s="8" t="n"/>
      <c r="B408" s="8" t="n"/>
      <c r="C408" s="6">
        <f>TRIM(A408&amp;"")</f>
        <v/>
      </c>
      <c r="D408" s="6">
        <f>IF(C408="","",SUBSTITUTE(SUBSTITUTE(SUBSTITUTE(SUBSTITUTE(SUBSTITUTE(SUBSTITUTE(SUBSTITUTE(UPPER(TRIM(B408&amp;"")),"₹",""),"RS.",""),"RS",""),"INR",""),"$",""),",","")," ",""))</f>
        <v/>
      </c>
      <c r="E408" s="6">
        <f>IF(C408="","",IF(RIGHT(D408,2)="CR","Cr",IF(RIGHT(D408,2)="DR","Dr","")))</f>
        <v/>
      </c>
      <c r="F408" s="6">
        <f>IF(C408="","",IF(E408&lt;&gt;"",LEFT(D408,LEN(D408)-2),D408))</f>
        <v/>
      </c>
      <c r="G408" s="13">
        <f>IF(C408="","",IF(OR(IF(AND(LEFT(F408,1)="(",RIGHT(F408,1)=")"),MID(F408,2,LEN(F408)-2),F408)="",IF(AND(LEFT(F408,1)="(",RIGHT(F408,1)=")"),MID(F408,2,LEN(F408)-2),F408)="-"),0,IFERROR(VALUE(IF(AND(LEFT(F408,1)="(",RIGHT(F408,1)=")"),MID(F408,2,LEN(F408)-2),F408))*IF(AND(LEFT(F408,1)="(",RIGHT(F408,1)=")"),-1,1)*IF(E408="Cr",Setup!$B$6,1),"ERR")))</f>
        <v/>
      </c>
      <c r="H408" s="6">
        <f>IF(C408="","",IF(ISNUMBER(G408),1,0))</f>
        <v/>
      </c>
      <c r="I408" s="6">
        <f>IF(C408="","",IF(SUMPRODUCT(($C$12:$C$1511=C408)*1)&gt;1,1,0))</f>
        <v/>
      </c>
      <c r="J408" s="6">
        <f>IF(C408="","",SUMPRODUCT((Mapping!$F$5:$F$504=Setup!$B$4&amp;"||"&amp;C408)*ROW(Mapping!$F$5:$F$504)))</f>
        <v/>
      </c>
      <c r="K408" s="6">
        <f>IF(C408="","",IF(J408=0,"UNMAPPED",LOWER(INDEX(Mapping!$D$1:$D$504,J408))))</f>
        <v/>
      </c>
      <c r="L408" s="6">
        <f>IF(K408="mapped",TRIM(INDEX(Mapping!$C$1:$C$504,J408)),"")</f>
        <v/>
      </c>
      <c r="M408" s="6">
        <f>IF(C408="","",IF(SUMPRODUCT(($C$12:C408=C408)*1)=1,1,0))</f>
        <v/>
      </c>
      <c r="N408" s="6">
        <f>IF(AND(K408="UNMAPPED",M408=1),ROW(),"")</f>
        <v/>
      </c>
      <c r="O408" s="6">
        <f>IF(AND(I408=1,M408=1),ROW(),"")</f>
        <v/>
      </c>
      <c r="P408" s="6">
        <f>IF(AND(K408="ignored",M408=1),ROW(),"")</f>
        <v/>
      </c>
    </row>
    <row r="409">
      <c r="A409" s="8" t="n"/>
      <c r="B409" s="8" t="n"/>
      <c r="C409" s="6">
        <f>TRIM(A409&amp;"")</f>
        <v/>
      </c>
      <c r="D409" s="6">
        <f>IF(C409="","",SUBSTITUTE(SUBSTITUTE(SUBSTITUTE(SUBSTITUTE(SUBSTITUTE(SUBSTITUTE(SUBSTITUTE(UPPER(TRIM(B409&amp;"")),"₹",""),"RS.",""),"RS",""),"INR",""),"$",""),",","")," ",""))</f>
        <v/>
      </c>
      <c r="E409" s="6">
        <f>IF(C409="","",IF(RIGHT(D409,2)="CR","Cr",IF(RIGHT(D409,2)="DR","Dr","")))</f>
        <v/>
      </c>
      <c r="F409" s="6">
        <f>IF(C409="","",IF(E409&lt;&gt;"",LEFT(D409,LEN(D409)-2),D409))</f>
        <v/>
      </c>
      <c r="G409" s="13">
        <f>IF(C409="","",IF(OR(IF(AND(LEFT(F409,1)="(",RIGHT(F409,1)=")"),MID(F409,2,LEN(F409)-2),F409)="",IF(AND(LEFT(F409,1)="(",RIGHT(F409,1)=")"),MID(F409,2,LEN(F409)-2),F409)="-"),0,IFERROR(VALUE(IF(AND(LEFT(F409,1)="(",RIGHT(F409,1)=")"),MID(F409,2,LEN(F409)-2),F409))*IF(AND(LEFT(F409,1)="(",RIGHT(F409,1)=")"),-1,1)*IF(E409="Cr",Setup!$B$6,1),"ERR")))</f>
        <v/>
      </c>
      <c r="H409" s="6">
        <f>IF(C409="","",IF(ISNUMBER(G409),1,0))</f>
        <v/>
      </c>
      <c r="I409" s="6">
        <f>IF(C409="","",IF(SUMPRODUCT(($C$12:$C$1511=C409)*1)&gt;1,1,0))</f>
        <v/>
      </c>
      <c r="J409" s="6">
        <f>IF(C409="","",SUMPRODUCT((Mapping!$F$5:$F$504=Setup!$B$4&amp;"||"&amp;C409)*ROW(Mapping!$F$5:$F$504)))</f>
        <v/>
      </c>
      <c r="K409" s="6">
        <f>IF(C409="","",IF(J409=0,"UNMAPPED",LOWER(INDEX(Mapping!$D$1:$D$504,J409))))</f>
        <v/>
      </c>
      <c r="L409" s="6">
        <f>IF(K409="mapped",TRIM(INDEX(Mapping!$C$1:$C$504,J409)),"")</f>
        <v/>
      </c>
      <c r="M409" s="6">
        <f>IF(C409="","",IF(SUMPRODUCT(($C$12:C409=C409)*1)=1,1,0))</f>
        <v/>
      </c>
      <c r="N409" s="6">
        <f>IF(AND(K409="UNMAPPED",M409=1),ROW(),"")</f>
        <v/>
      </c>
      <c r="O409" s="6">
        <f>IF(AND(I409=1,M409=1),ROW(),"")</f>
        <v/>
      </c>
      <c r="P409" s="6">
        <f>IF(AND(K409="ignored",M409=1),ROW(),"")</f>
        <v/>
      </c>
    </row>
    <row r="410">
      <c r="A410" s="8" t="n"/>
      <c r="B410" s="8" t="n"/>
      <c r="C410" s="6">
        <f>TRIM(A410&amp;"")</f>
        <v/>
      </c>
      <c r="D410" s="6">
        <f>IF(C410="","",SUBSTITUTE(SUBSTITUTE(SUBSTITUTE(SUBSTITUTE(SUBSTITUTE(SUBSTITUTE(SUBSTITUTE(UPPER(TRIM(B410&amp;"")),"₹",""),"RS.",""),"RS",""),"INR",""),"$",""),",","")," ",""))</f>
        <v/>
      </c>
      <c r="E410" s="6">
        <f>IF(C410="","",IF(RIGHT(D410,2)="CR","Cr",IF(RIGHT(D410,2)="DR","Dr","")))</f>
        <v/>
      </c>
      <c r="F410" s="6">
        <f>IF(C410="","",IF(E410&lt;&gt;"",LEFT(D410,LEN(D410)-2),D410))</f>
        <v/>
      </c>
      <c r="G410" s="13">
        <f>IF(C410="","",IF(OR(IF(AND(LEFT(F410,1)="(",RIGHT(F410,1)=")"),MID(F410,2,LEN(F410)-2),F410)="",IF(AND(LEFT(F410,1)="(",RIGHT(F410,1)=")"),MID(F410,2,LEN(F410)-2),F410)="-"),0,IFERROR(VALUE(IF(AND(LEFT(F410,1)="(",RIGHT(F410,1)=")"),MID(F410,2,LEN(F410)-2),F410))*IF(AND(LEFT(F410,1)="(",RIGHT(F410,1)=")"),-1,1)*IF(E410="Cr",Setup!$B$6,1),"ERR")))</f>
        <v/>
      </c>
      <c r="H410" s="6">
        <f>IF(C410="","",IF(ISNUMBER(G410),1,0))</f>
        <v/>
      </c>
      <c r="I410" s="6">
        <f>IF(C410="","",IF(SUMPRODUCT(($C$12:$C$1511=C410)*1)&gt;1,1,0))</f>
        <v/>
      </c>
      <c r="J410" s="6">
        <f>IF(C410="","",SUMPRODUCT((Mapping!$F$5:$F$504=Setup!$B$4&amp;"||"&amp;C410)*ROW(Mapping!$F$5:$F$504)))</f>
        <v/>
      </c>
      <c r="K410" s="6">
        <f>IF(C410="","",IF(J410=0,"UNMAPPED",LOWER(INDEX(Mapping!$D$1:$D$504,J410))))</f>
        <v/>
      </c>
      <c r="L410" s="6">
        <f>IF(K410="mapped",TRIM(INDEX(Mapping!$C$1:$C$504,J410)),"")</f>
        <v/>
      </c>
      <c r="M410" s="6">
        <f>IF(C410="","",IF(SUMPRODUCT(($C$12:C410=C410)*1)=1,1,0))</f>
        <v/>
      </c>
      <c r="N410" s="6">
        <f>IF(AND(K410="UNMAPPED",M410=1),ROW(),"")</f>
        <v/>
      </c>
      <c r="O410" s="6">
        <f>IF(AND(I410=1,M410=1),ROW(),"")</f>
        <v/>
      </c>
      <c r="P410" s="6">
        <f>IF(AND(K410="ignored",M410=1),ROW(),"")</f>
        <v/>
      </c>
    </row>
    <row r="411">
      <c r="A411" s="8" t="n"/>
      <c r="B411" s="8" t="n"/>
      <c r="C411" s="6">
        <f>TRIM(A411&amp;"")</f>
        <v/>
      </c>
      <c r="D411" s="6">
        <f>IF(C411="","",SUBSTITUTE(SUBSTITUTE(SUBSTITUTE(SUBSTITUTE(SUBSTITUTE(SUBSTITUTE(SUBSTITUTE(UPPER(TRIM(B411&amp;"")),"₹",""),"RS.",""),"RS",""),"INR",""),"$",""),",","")," ",""))</f>
        <v/>
      </c>
      <c r="E411" s="6">
        <f>IF(C411="","",IF(RIGHT(D411,2)="CR","Cr",IF(RIGHT(D411,2)="DR","Dr","")))</f>
        <v/>
      </c>
      <c r="F411" s="6">
        <f>IF(C411="","",IF(E411&lt;&gt;"",LEFT(D411,LEN(D411)-2),D411))</f>
        <v/>
      </c>
      <c r="G411" s="13">
        <f>IF(C411="","",IF(OR(IF(AND(LEFT(F411,1)="(",RIGHT(F411,1)=")"),MID(F411,2,LEN(F411)-2),F411)="",IF(AND(LEFT(F411,1)="(",RIGHT(F411,1)=")"),MID(F411,2,LEN(F411)-2),F411)="-"),0,IFERROR(VALUE(IF(AND(LEFT(F411,1)="(",RIGHT(F411,1)=")"),MID(F411,2,LEN(F411)-2),F411))*IF(AND(LEFT(F411,1)="(",RIGHT(F411,1)=")"),-1,1)*IF(E411="Cr",Setup!$B$6,1),"ERR")))</f>
        <v/>
      </c>
      <c r="H411" s="6">
        <f>IF(C411="","",IF(ISNUMBER(G411),1,0))</f>
        <v/>
      </c>
      <c r="I411" s="6">
        <f>IF(C411="","",IF(SUMPRODUCT(($C$12:$C$1511=C411)*1)&gt;1,1,0))</f>
        <v/>
      </c>
      <c r="J411" s="6">
        <f>IF(C411="","",SUMPRODUCT((Mapping!$F$5:$F$504=Setup!$B$4&amp;"||"&amp;C411)*ROW(Mapping!$F$5:$F$504)))</f>
        <v/>
      </c>
      <c r="K411" s="6">
        <f>IF(C411="","",IF(J411=0,"UNMAPPED",LOWER(INDEX(Mapping!$D$1:$D$504,J411))))</f>
        <v/>
      </c>
      <c r="L411" s="6">
        <f>IF(K411="mapped",TRIM(INDEX(Mapping!$C$1:$C$504,J411)),"")</f>
        <v/>
      </c>
      <c r="M411" s="6">
        <f>IF(C411="","",IF(SUMPRODUCT(($C$12:C411=C411)*1)=1,1,0))</f>
        <v/>
      </c>
      <c r="N411" s="6">
        <f>IF(AND(K411="UNMAPPED",M411=1),ROW(),"")</f>
        <v/>
      </c>
      <c r="O411" s="6">
        <f>IF(AND(I411=1,M411=1),ROW(),"")</f>
        <v/>
      </c>
      <c r="P411" s="6">
        <f>IF(AND(K411="ignored",M411=1),ROW(),"")</f>
        <v/>
      </c>
    </row>
    <row r="412">
      <c r="A412" s="8" t="n"/>
      <c r="B412" s="8" t="n"/>
      <c r="C412" s="6">
        <f>TRIM(A412&amp;"")</f>
        <v/>
      </c>
      <c r="D412" s="6">
        <f>IF(C412="","",SUBSTITUTE(SUBSTITUTE(SUBSTITUTE(SUBSTITUTE(SUBSTITUTE(SUBSTITUTE(SUBSTITUTE(UPPER(TRIM(B412&amp;"")),"₹",""),"RS.",""),"RS",""),"INR",""),"$",""),",","")," ",""))</f>
        <v/>
      </c>
      <c r="E412" s="6">
        <f>IF(C412="","",IF(RIGHT(D412,2)="CR","Cr",IF(RIGHT(D412,2)="DR","Dr","")))</f>
        <v/>
      </c>
      <c r="F412" s="6">
        <f>IF(C412="","",IF(E412&lt;&gt;"",LEFT(D412,LEN(D412)-2),D412))</f>
        <v/>
      </c>
      <c r="G412" s="13">
        <f>IF(C412="","",IF(OR(IF(AND(LEFT(F412,1)="(",RIGHT(F412,1)=")"),MID(F412,2,LEN(F412)-2),F412)="",IF(AND(LEFT(F412,1)="(",RIGHT(F412,1)=")"),MID(F412,2,LEN(F412)-2),F412)="-"),0,IFERROR(VALUE(IF(AND(LEFT(F412,1)="(",RIGHT(F412,1)=")"),MID(F412,2,LEN(F412)-2),F412))*IF(AND(LEFT(F412,1)="(",RIGHT(F412,1)=")"),-1,1)*IF(E412="Cr",Setup!$B$6,1),"ERR")))</f>
        <v/>
      </c>
      <c r="H412" s="6">
        <f>IF(C412="","",IF(ISNUMBER(G412),1,0))</f>
        <v/>
      </c>
      <c r="I412" s="6">
        <f>IF(C412="","",IF(SUMPRODUCT(($C$12:$C$1511=C412)*1)&gt;1,1,0))</f>
        <v/>
      </c>
      <c r="J412" s="6">
        <f>IF(C412="","",SUMPRODUCT((Mapping!$F$5:$F$504=Setup!$B$4&amp;"||"&amp;C412)*ROW(Mapping!$F$5:$F$504)))</f>
        <v/>
      </c>
      <c r="K412" s="6">
        <f>IF(C412="","",IF(J412=0,"UNMAPPED",LOWER(INDEX(Mapping!$D$1:$D$504,J412))))</f>
        <v/>
      </c>
      <c r="L412" s="6">
        <f>IF(K412="mapped",TRIM(INDEX(Mapping!$C$1:$C$504,J412)),"")</f>
        <v/>
      </c>
      <c r="M412" s="6">
        <f>IF(C412="","",IF(SUMPRODUCT(($C$12:C412=C412)*1)=1,1,0))</f>
        <v/>
      </c>
      <c r="N412" s="6">
        <f>IF(AND(K412="UNMAPPED",M412=1),ROW(),"")</f>
        <v/>
      </c>
      <c r="O412" s="6">
        <f>IF(AND(I412=1,M412=1),ROW(),"")</f>
        <v/>
      </c>
      <c r="P412" s="6">
        <f>IF(AND(K412="ignored",M412=1),ROW(),"")</f>
        <v/>
      </c>
    </row>
    <row r="413">
      <c r="A413" s="8" t="n"/>
      <c r="B413" s="8" t="n"/>
      <c r="C413" s="6">
        <f>TRIM(A413&amp;"")</f>
        <v/>
      </c>
      <c r="D413" s="6">
        <f>IF(C413="","",SUBSTITUTE(SUBSTITUTE(SUBSTITUTE(SUBSTITUTE(SUBSTITUTE(SUBSTITUTE(SUBSTITUTE(UPPER(TRIM(B413&amp;"")),"₹",""),"RS.",""),"RS",""),"INR",""),"$",""),",","")," ",""))</f>
        <v/>
      </c>
      <c r="E413" s="6">
        <f>IF(C413="","",IF(RIGHT(D413,2)="CR","Cr",IF(RIGHT(D413,2)="DR","Dr","")))</f>
        <v/>
      </c>
      <c r="F413" s="6">
        <f>IF(C413="","",IF(E413&lt;&gt;"",LEFT(D413,LEN(D413)-2),D413))</f>
        <v/>
      </c>
      <c r="G413" s="13">
        <f>IF(C413="","",IF(OR(IF(AND(LEFT(F413,1)="(",RIGHT(F413,1)=")"),MID(F413,2,LEN(F413)-2),F413)="",IF(AND(LEFT(F413,1)="(",RIGHT(F413,1)=")"),MID(F413,2,LEN(F413)-2),F413)="-"),0,IFERROR(VALUE(IF(AND(LEFT(F413,1)="(",RIGHT(F413,1)=")"),MID(F413,2,LEN(F413)-2),F413))*IF(AND(LEFT(F413,1)="(",RIGHT(F413,1)=")"),-1,1)*IF(E413="Cr",Setup!$B$6,1),"ERR")))</f>
        <v/>
      </c>
      <c r="H413" s="6">
        <f>IF(C413="","",IF(ISNUMBER(G413),1,0))</f>
        <v/>
      </c>
      <c r="I413" s="6">
        <f>IF(C413="","",IF(SUMPRODUCT(($C$12:$C$1511=C413)*1)&gt;1,1,0))</f>
        <v/>
      </c>
      <c r="J413" s="6">
        <f>IF(C413="","",SUMPRODUCT((Mapping!$F$5:$F$504=Setup!$B$4&amp;"||"&amp;C413)*ROW(Mapping!$F$5:$F$504)))</f>
        <v/>
      </c>
      <c r="K413" s="6">
        <f>IF(C413="","",IF(J413=0,"UNMAPPED",LOWER(INDEX(Mapping!$D$1:$D$504,J413))))</f>
        <v/>
      </c>
      <c r="L413" s="6">
        <f>IF(K413="mapped",TRIM(INDEX(Mapping!$C$1:$C$504,J413)),"")</f>
        <v/>
      </c>
      <c r="M413" s="6">
        <f>IF(C413="","",IF(SUMPRODUCT(($C$12:C413=C413)*1)=1,1,0))</f>
        <v/>
      </c>
      <c r="N413" s="6">
        <f>IF(AND(K413="UNMAPPED",M413=1),ROW(),"")</f>
        <v/>
      </c>
      <c r="O413" s="6">
        <f>IF(AND(I413=1,M413=1),ROW(),"")</f>
        <v/>
      </c>
      <c r="P413" s="6">
        <f>IF(AND(K413="ignored",M413=1),ROW(),"")</f>
        <v/>
      </c>
    </row>
    <row r="414">
      <c r="A414" s="8" t="n"/>
      <c r="B414" s="8" t="n"/>
      <c r="C414" s="6">
        <f>TRIM(A414&amp;"")</f>
        <v/>
      </c>
      <c r="D414" s="6">
        <f>IF(C414="","",SUBSTITUTE(SUBSTITUTE(SUBSTITUTE(SUBSTITUTE(SUBSTITUTE(SUBSTITUTE(SUBSTITUTE(UPPER(TRIM(B414&amp;"")),"₹",""),"RS.",""),"RS",""),"INR",""),"$",""),",","")," ",""))</f>
        <v/>
      </c>
      <c r="E414" s="6">
        <f>IF(C414="","",IF(RIGHT(D414,2)="CR","Cr",IF(RIGHT(D414,2)="DR","Dr","")))</f>
        <v/>
      </c>
      <c r="F414" s="6">
        <f>IF(C414="","",IF(E414&lt;&gt;"",LEFT(D414,LEN(D414)-2),D414))</f>
        <v/>
      </c>
      <c r="G414" s="13">
        <f>IF(C414="","",IF(OR(IF(AND(LEFT(F414,1)="(",RIGHT(F414,1)=")"),MID(F414,2,LEN(F414)-2),F414)="",IF(AND(LEFT(F414,1)="(",RIGHT(F414,1)=")"),MID(F414,2,LEN(F414)-2),F414)="-"),0,IFERROR(VALUE(IF(AND(LEFT(F414,1)="(",RIGHT(F414,1)=")"),MID(F414,2,LEN(F414)-2),F414))*IF(AND(LEFT(F414,1)="(",RIGHT(F414,1)=")"),-1,1)*IF(E414="Cr",Setup!$B$6,1),"ERR")))</f>
        <v/>
      </c>
      <c r="H414" s="6">
        <f>IF(C414="","",IF(ISNUMBER(G414),1,0))</f>
        <v/>
      </c>
      <c r="I414" s="6">
        <f>IF(C414="","",IF(SUMPRODUCT(($C$12:$C$1511=C414)*1)&gt;1,1,0))</f>
        <v/>
      </c>
      <c r="J414" s="6">
        <f>IF(C414="","",SUMPRODUCT((Mapping!$F$5:$F$504=Setup!$B$4&amp;"||"&amp;C414)*ROW(Mapping!$F$5:$F$504)))</f>
        <v/>
      </c>
      <c r="K414" s="6">
        <f>IF(C414="","",IF(J414=0,"UNMAPPED",LOWER(INDEX(Mapping!$D$1:$D$504,J414))))</f>
        <v/>
      </c>
      <c r="L414" s="6">
        <f>IF(K414="mapped",TRIM(INDEX(Mapping!$C$1:$C$504,J414)),"")</f>
        <v/>
      </c>
      <c r="M414" s="6">
        <f>IF(C414="","",IF(SUMPRODUCT(($C$12:C414=C414)*1)=1,1,0))</f>
        <v/>
      </c>
      <c r="N414" s="6">
        <f>IF(AND(K414="UNMAPPED",M414=1),ROW(),"")</f>
        <v/>
      </c>
      <c r="O414" s="6">
        <f>IF(AND(I414=1,M414=1),ROW(),"")</f>
        <v/>
      </c>
      <c r="P414" s="6">
        <f>IF(AND(K414="ignored",M414=1),ROW(),"")</f>
        <v/>
      </c>
    </row>
    <row r="415">
      <c r="A415" s="8" t="n"/>
      <c r="B415" s="8" t="n"/>
      <c r="C415" s="6">
        <f>TRIM(A415&amp;"")</f>
        <v/>
      </c>
      <c r="D415" s="6">
        <f>IF(C415="","",SUBSTITUTE(SUBSTITUTE(SUBSTITUTE(SUBSTITUTE(SUBSTITUTE(SUBSTITUTE(SUBSTITUTE(UPPER(TRIM(B415&amp;"")),"₹",""),"RS.",""),"RS",""),"INR",""),"$",""),",","")," ",""))</f>
        <v/>
      </c>
      <c r="E415" s="6">
        <f>IF(C415="","",IF(RIGHT(D415,2)="CR","Cr",IF(RIGHT(D415,2)="DR","Dr","")))</f>
        <v/>
      </c>
      <c r="F415" s="6">
        <f>IF(C415="","",IF(E415&lt;&gt;"",LEFT(D415,LEN(D415)-2),D415))</f>
        <v/>
      </c>
      <c r="G415" s="13">
        <f>IF(C415="","",IF(OR(IF(AND(LEFT(F415,1)="(",RIGHT(F415,1)=")"),MID(F415,2,LEN(F415)-2),F415)="",IF(AND(LEFT(F415,1)="(",RIGHT(F415,1)=")"),MID(F415,2,LEN(F415)-2),F415)="-"),0,IFERROR(VALUE(IF(AND(LEFT(F415,1)="(",RIGHT(F415,1)=")"),MID(F415,2,LEN(F415)-2),F415))*IF(AND(LEFT(F415,1)="(",RIGHT(F415,1)=")"),-1,1)*IF(E415="Cr",Setup!$B$6,1),"ERR")))</f>
        <v/>
      </c>
      <c r="H415" s="6">
        <f>IF(C415="","",IF(ISNUMBER(G415),1,0))</f>
        <v/>
      </c>
      <c r="I415" s="6">
        <f>IF(C415="","",IF(SUMPRODUCT(($C$12:$C$1511=C415)*1)&gt;1,1,0))</f>
        <v/>
      </c>
      <c r="J415" s="6">
        <f>IF(C415="","",SUMPRODUCT((Mapping!$F$5:$F$504=Setup!$B$4&amp;"||"&amp;C415)*ROW(Mapping!$F$5:$F$504)))</f>
        <v/>
      </c>
      <c r="K415" s="6">
        <f>IF(C415="","",IF(J415=0,"UNMAPPED",LOWER(INDEX(Mapping!$D$1:$D$504,J415))))</f>
        <v/>
      </c>
      <c r="L415" s="6">
        <f>IF(K415="mapped",TRIM(INDEX(Mapping!$C$1:$C$504,J415)),"")</f>
        <v/>
      </c>
      <c r="M415" s="6">
        <f>IF(C415="","",IF(SUMPRODUCT(($C$12:C415=C415)*1)=1,1,0))</f>
        <v/>
      </c>
      <c r="N415" s="6">
        <f>IF(AND(K415="UNMAPPED",M415=1),ROW(),"")</f>
        <v/>
      </c>
      <c r="O415" s="6">
        <f>IF(AND(I415=1,M415=1),ROW(),"")</f>
        <v/>
      </c>
      <c r="P415" s="6">
        <f>IF(AND(K415="ignored",M415=1),ROW(),"")</f>
        <v/>
      </c>
    </row>
    <row r="416">
      <c r="A416" s="8" t="n"/>
      <c r="B416" s="8" t="n"/>
      <c r="C416" s="6">
        <f>TRIM(A416&amp;"")</f>
        <v/>
      </c>
      <c r="D416" s="6">
        <f>IF(C416="","",SUBSTITUTE(SUBSTITUTE(SUBSTITUTE(SUBSTITUTE(SUBSTITUTE(SUBSTITUTE(SUBSTITUTE(UPPER(TRIM(B416&amp;"")),"₹",""),"RS.",""),"RS",""),"INR",""),"$",""),",","")," ",""))</f>
        <v/>
      </c>
      <c r="E416" s="6">
        <f>IF(C416="","",IF(RIGHT(D416,2)="CR","Cr",IF(RIGHT(D416,2)="DR","Dr","")))</f>
        <v/>
      </c>
      <c r="F416" s="6">
        <f>IF(C416="","",IF(E416&lt;&gt;"",LEFT(D416,LEN(D416)-2),D416))</f>
        <v/>
      </c>
      <c r="G416" s="13">
        <f>IF(C416="","",IF(OR(IF(AND(LEFT(F416,1)="(",RIGHT(F416,1)=")"),MID(F416,2,LEN(F416)-2),F416)="",IF(AND(LEFT(F416,1)="(",RIGHT(F416,1)=")"),MID(F416,2,LEN(F416)-2),F416)="-"),0,IFERROR(VALUE(IF(AND(LEFT(F416,1)="(",RIGHT(F416,1)=")"),MID(F416,2,LEN(F416)-2),F416))*IF(AND(LEFT(F416,1)="(",RIGHT(F416,1)=")"),-1,1)*IF(E416="Cr",Setup!$B$6,1),"ERR")))</f>
        <v/>
      </c>
      <c r="H416" s="6">
        <f>IF(C416="","",IF(ISNUMBER(G416),1,0))</f>
        <v/>
      </c>
      <c r="I416" s="6">
        <f>IF(C416="","",IF(SUMPRODUCT(($C$12:$C$1511=C416)*1)&gt;1,1,0))</f>
        <v/>
      </c>
      <c r="J416" s="6">
        <f>IF(C416="","",SUMPRODUCT((Mapping!$F$5:$F$504=Setup!$B$4&amp;"||"&amp;C416)*ROW(Mapping!$F$5:$F$504)))</f>
        <v/>
      </c>
      <c r="K416" s="6">
        <f>IF(C416="","",IF(J416=0,"UNMAPPED",LOWER(INDEX(Mapping!$D$1:$D$504,J416))))</f>
        <v/>
      </c>
      <c r="L416" s="6">
        <f>IF(K416="mapped",TRIM(INDEX(Mapping!$C$1:$C$504,J416)),"")</f>
        <v/>
      </c>
      <c r="M416" s="6">
        <f>IF(C416="","",IF(SUMPRODUCT(($C$12:C416=C416)*1)=1,1,0))</f>
        <v/>
      </c>
      <c r="N416" s="6">
        <f>IF(AND(K416="UNMAPPED",M416=1),ROW(),"")</f>
        <v/>
      </c>
      <c r="O416" s="6">
        <f>IF(AND(I416=1,M416=1),ROW(),"")</f>
        <v/>
      </c>
      <c r="P416" s="6">
        <f>IF(AND(K416="ignored",M416=1),ROW(),"")</f>
        <v/>
      </c>
    </row>
    <row r="417">
      <c r="A417" s="8" t="n"/>
      <c r="B417" s="8" t="n"/>
      <c r="C417" s="6">
        <f>TRIM(A417&amp;"")</f>
        <v/>
      </c>
      <c r="D417" s="6">
        <f>IF(C417="","",SUBSTITUTE(SUBSTITUTE(SUBSTITUTE(SUBSTITUTE(SUBSTITUTE(SUBSTITUTE(SUBSTITUTE(UPPER(TRIM(B417&amp;"")),"₹",""),"RS.",""),"RS",""),"INR",""),"$",""),",","")," ",""))</f>
        <v/>
      </c>
      <c r="E417" s="6">
        <f>IF(C417="","",IF(RIGHT(D417,2)="CR","Cr",IF(RIGHT(D417,2)="DR","Dr","")))</f>
        <v/>
      </c>
      <c r="F417" s="6">
        <f>IF(C417="","",IF(E417&lt;&gt;"",LEFT(D417,LEN(D417)-2),D417))</f>
        <v/>
      </c>
      <c r="G417" s="13">
        <f>IF(C417="","",IF(OR(IF(AND(LEFT(F417,1)="(",RIGHT(F417,1)=")"),MID(F417,2,LEN(F417)-2),F417)="",IF(AND(LEFT(F417,1)="(",RIGHT(F417,1)=")"),MID(F417,2,LEN(F417)-2),F417)="-"),0,IFERROR(VALUE(IF(AND(LEFT(F417,1)="(",RIGHT(F417,1)=")"),MID(F417,2,LEN(F417)-2),F417))*IF(AND(LEFT(F417,1)="(",RIGHT(F417,1)=")"),-1,1)*IF(E417="Cr",Setup!$B$6,1),"ERR")))</f>
        <v/>
      </c>
      <c r="H417" s="6">
        <f>IF(C417="","",IF(ISNUMBER(G417),1,0))</f>
        <v/>
      </c>
      <c r="I417" s="6">
        <f>IF(C417="","",IF(SUMPRODUCT(($C$12:$C$1511=C417)*1)&gt;1,1,0))</f>
        <v/>
      </c>
      <c r="J417" s="6">
        <f>IF(C417="","",SUMPRODUCT((Mapping!$F$5:$F$504=Setup!$B$4&amp;"||"&amp;C417)*ROW(Mapping!$F$5:$F$504)))</f>
        <v/>
      </c>
      <c r="K417" s="6">
        <f>IF(C417="","",IF(J417=0,"UNMAPPED",LOWER(INDEX(Mapping!$D$1:$D$504,J417))))</f>
        <v/>
      </c>
      <c r="L417" s="6">
        <f>IF(K417="mapped",TRIM(INDEX(Mapping!$C$1:$C$504,J417)),"")</f>
        <v/>
      </c>
      <c r="M417" s="6">
        <f>IF(C417="","",IF(SUMPRODUCT(($C$12:C417=C417)*1)=1,1,0))</f>
        <v/>
      </c>
      <c r="N417" s="6">
        <f>IF(AND(K417="UNMAPPED",M417=1),ROW(),"")</f>
        <v/>
      </c>
      <c r="O417" s="6">
        <f>IF(AND(I417=1,M417=1),ROW(),"")</f>
        <v/>
      </c>
      <c r="P417" s="6">
        <f>IF(AND(K417="ignored",M417=1),ROW(),"")</f>
        <v/>
      </c>
    </row>
    <row r="418">
      <c r="A418" s="8" t="n"/>
      <c r="B418" s="8" t="n"/>
      <c r="C418" s="6">
        <f>TRIM(A418&amp;"")</f>
        <v/>
      </c>
      <c r="D418" s="6">
        <f>IF(C418="","",SUBSTITUTE(SUBSTITUTE(SUBSTITUTE(SUBSTITUTE(SUBSTITUTE(SUBSTITUTE(SUBSTITUTE(UPPER(TRIM(B418&amp;"")),"₹",""),"RS.",""),"RS",""),"INR",""),"$",""),",","")," ",""))</f>
        <v/>
      </c>
      <c r="E418" s="6">
        <f>IF(C418="","",IF(RIGHT(D418,2)="CR","Cr",IF(RIGHT(D418,2)="DR","Dr","")))</f>
        <v/>
      </c>
      <c r="F418" s="6">
        <f>IF(C418="","",IF(E418&lt;&gt;"",LEFT(D418,LEN(D418)-2),D418))</f>
        <v/>
      </c>
      <c r="G418" s="13">
        <f>IF(C418="","",IF(OR(IF(AND(LEFT(F418,1)="(",RIGHT(F418,1)=")"),MID(F418,2,LEN(F418)-2),F418)="",IF(AND(LEFT(F418,1)="(",RIGHT(F418,1)=")"),MID(F418,2,LEN(F418)-2),F418)="-"),0,IFERROR(VALUE(IF(AND(LEFT(F418,1)="(",RIGHT(F418,1)=")"),MID(F418,2,LEN(F418)-2),F418))*IF(AND(LEFT(F418,1)="(",RIGHT(F418,1)=")"),-1,1)*IF(E418="Cr",Setup!$B$6,1),"ERR")))</f>
        <v/>
      </c>
      <c r="H418" s="6">
        <f>IF(C418="","",IF(ISNUMBER(G418),1,0))</f>
        <v/>
      </c>
      <c r="I418" s="6">
        <f>IF(C418="","",IF(SUMPRODUCT(($C$12:$C$1511=C418)*1)&gt;1,1,0))</f>
        <v/>
      </c>
      <c r="J418" s="6">
        <f>IF(C418="","",SUMPRODUCT((Mapping!$F$5:$F$504=Setup!$B$4&amp;"||"&amp;C418)*ROW(Mapping!$F$5:$F$504)))</f>
        <v/>
      </c>
      <c r="K418" s="6">
        <f>IF(C418="","",IF(J418=0,"UNMAPPED",LOWER(INDEX(Mapping!$D$1:$D$504,J418))))</f>
        <v/>
      </c>
      <c r="L418" s="6">
        <f>IF(K418="mapped",TRIM(INDEX(Mapping!$C$1:$C$504,J418)),"")</f>
        <v/>
      </c>
      <c r="M418" s="6">
        <f>IF(C418="","",IF(SUMPRODUCT(($C$12:C418=C418)*1)=1,1,0))</f>
        <v/>
      </c>
      <c r="N418" s="6">
        <f>IF(AND(K418="UNMAPPED",M418=1),ROW(),"")</f>
        <v/>
      </c>
      <c r="O418" s="6">
        <f>IF(AND(I418=1,M418=1),ROW(),"")</f>
        <v/>
      </c>
      <c r="P418" s="6">
        <f>IF(AND(K418="ignored",M418=1),ROW(),"")</f>
        <v/>
      </c>
    </row>
    <row r="419">
      <c r="A419" s="8" t="n"/>
      <c r="B419" s="8" t="n"/>
      <c r="C419" s="6">
        <f>TRIM(A419&amp;"")</f>
        <v/>
      </c>
      <c r="D419" s="6">
        <f>IF(C419="","",SUBSTITUTE(SUBSTITUTE(SUBSTITUTE(SUBSTITUTE(SUBSTITUTE(SUBSTITUTE(SUBSTITUTE(UPPER(TRIM(B419&amp;"")),"₹",""),"RS.",""),"RS",""),"INR",""),"$",""),",","")," ",""))</f>
        <v/>
      </c>
      <c r="E419" s="6">
        <f>IF(C419="","",IF(RIGHT(D419,2)="CR","Cr",IF(RIGHT(D419,2)="DR","Dr","")))</f>
        <v/>
      </c>
      <c r="F419" s="6">
        <f>IF(C419="","",IF(E419&lt;&gt;"",LEFT(D419,LEN(D419)-2),D419))</f>
        <v/>
      </c>
      <c r="G419" s="13">
        <f>IF(C419="","",IF(OR(IF(AND(LEFT(F419,1)="(",RIGHT(F419,1)=")"),MID(F419,2,LEN(F419)-2),F419)="",IF(AND(LEFT(F419,1)="(",RIGHT(F419,1)=")"),MID(F419,2,LEN(F419)-2),F419)="-"),0,IFERROR(VALUE(IF(AND(LEFT(F419,1)="(",RIGHT(F419,1)=")"),MID(F419,2,LEN(F419)-2),F419))*IF(AND(LEFT(F419,1)="(",RIGHT(F419,1)=")"),-1,1)*IF(E419="Cr",Setup!$B$6,1),"ERR")))</f>
        <v/>
      </c>
      <c r="H419" s="6">
        <f>IF(C419="","",IF(ISNUMBER(G419),1,0))</f>
        <v/>
      </c>
      <c r="I419" s="6">
        <f>IF(C419="","",IF(SUMPRODUCT(($C$12:$C$1511=C419)*1)&gt;1,1,0))</f>
        <v/>
      </c>
      <c r="J419" s="6">
        <f>IF(C419="","",SUMPRODUCT((Mapping!$F$5:$F$504=Setup!$B$4&amp;"||"&amp;C419)*ROW(Mapping!$F$5:$F$504)))</f>
        <v/>
      </c>
      <c r="K419" s="6">
        <f>IF(C419="","",IF(J419=0,"UNMAPPED",LOWER(INDEX(Mapping!$D$1:$D$504,J419))))</f>
        <v/>
      </c>
      <c r="L419" s="6">
        <f>IF(K419="mapped",TRIM(INDEX(Mapping!$C$1:$C$504,J419)),"")</f>
        <v/>
      </c>
      <c r="M419" s="6">
        <f>IF(C419="","",IF(SUMPRODUCT(($C$12:C419=C419)*1)=1,1,0))</f>
        <v/>
      </c>
      <c r="N419" s="6">
        <f>IF(AND(K419="UNMAPPED",M419=1),ROW(),"")</f>
        <v/>
      </c>
      <c r="O419" s="6">
        <f>IF(AND(I419=1,M419=1),ROW(),"")</f>
        <v/>
      </c>
      <c r="P419" s="6">
        <f>IF(AND(K419="ignored",M419=1),ROW(),"")</f>
        <v/>
      </c>
    </row>
    <row r="420">
      <c r="A420" s="8" t="n"/>
      <c r="B420" s="8" t="n"/>
      <c r="C420" s="6">
        <f>TRIM(A420&amp;"")</f>
        <v/>
      </c>
      <c r="D420" s="6">
        <f>IF(C420="","",SUBSTITUTE(SUBSTITUTE(SUBSTITUTE(SUBSTITUTE(SUBSTITUTE(SUBSTITUTE(SUBSTITUTE(UPPER(TRIM(B420&amp;"")),"₹",""),"RS.",""),"RS",""),"INR",""),"$",""),",","")," ",""))</f>
        <v/>
      </c>
      <c r="E420" s="6">
        <f>IF(C420="","",IF(RIGHT(D420,2)="CR","Cr",IF(RIGHT(D420,2)="DR","Dr","")))</f>
        <v/>
      </c>
      <c r="F420" s="6">
        <f>IF(C420="","",IF(E420&lt;&gt;"",LEFT(D420,LEN(D420)-2),D420))</f>
        <v/>
      </c>
      <c r="G420" s="13">
        <f>IF(C420="","",IF(OR(IF(AND(LEFT(F420,1)="(",RIGHT(F420,1)=")"),MID(F420,2,LEN(F420)-2),F420)="",IF(AND(LEFT(F420,1)="(",RIGHT(F420,1)=")"),MID(F420,2,LEN(F420)-2),F420)="-"),0,IFERROR(VALUE(IF(AND(LEFT(F420,1)="(",RIGHT(F420,1)=")"),MID(F420,2,LEN(F420)-2),F420))*IF(AND(LEFT(F420,1)="(",RIGHT(F420,1)=")"),-1,1)*IF(E420="Cr",Setup!$B$6,1),"ERR")))</f>
        <v/>
      </c>
      <c r="H420" s="6">
        <f>IF(C420="","",IF(ISNUMBER(G420),1,0))</f>
        <v/>
      </c>
      <c r="I420" s="6">
        <f>IF(C420="","",IF(SUMPRODUCT(($C$12:$C$1511=C420)*1)&gt;1,1,0))</f>
        <v/>
      </c>
      <c r="J420" s="6">
        <f>IF(C420="","",SUMPRODUCT((Mapping!$F$5:$F$504=Setup!$B$4&amp;"||"&amp;C420)*ROW(Mapping!$F$5:$F$504)))</f>
        <v/>
      </c>
      <c r="K420" s="6">
        <f>IF(C420="","",IF(J420=0,"UNMAPPED",LOWER(INDEX(Mapping!$D$1:$D$504,J420))))</f>
        <v/>
      </c>
      <c r="L420" s="6">
        <f>IF(K420="mapped",TRIM(INDEX(Mapping!$C$1:$C$504,J420)),"")</f>
        <v/>
      </c>
      <c r="M420" s="6">
        <f>IF(C420="","",IF(SUMPRODUCT(($C$12:C420=C420)*1)=1,1,0))</f>
        <v/>
      </c>
      <c r="N420" s="6">
        <f>IF(AND(K420="UNMAPPED",M420=1),ROW(),"")</f>
        <v/>
      </c>
      <c r="O420" s="6">
        <f>IF(AND(I420=1,M420=1),ROW(),"")</f>
        <v/>
      </c>
      <c r="P420" s="6">
        <f>IF(AND(K420="ignored",M420=1),ROW(),"")</f>
        <v/>
      </c>
    </row>
    <row r="421">
      <c r="A421" s="8" t="n"/>
      <c r="B421" s="8" t="n"/>
      <c r="C421" s="6">
        <f>TRIM(A421&amp;"")</f>
        <v/>
      </c>
      <c r="D421" s="6">
        <f>IF(C421="","",SUBSTITUTE(SUBSTITUTE(SUBSTITUTE(SUBSTITUTE(SUBSTITUTE(SUBSTITUTE(SUBSTITUTE(UPPER(TRIM(B421&amp;"")),"₹",""),"RS.",""),"RS",""),"INR",""),"$",""),",","")," ",""))</f>
        <v/>
      </c>
      <c r="E421" s="6">
        <f>IF(C421="","",IF(RIGHT(D421,2)="CR","Cr",IF(RIGHT(D421,2)="DR","Dr","")))</f>
        <v/>
      </c>
      <c r="F421" s="6">
        <f>IF(C421="","",IF(E421&lt;&gt;"",LEFT(D421,LEN(D421)-2),D421))</f>
        <v/>
      </c>
      <c r="G421" s="13">
        <f>IF(C421="","",IF(OR(IF(AND(LEFT(F421,1)="(",RIGHT(F421,1)=")"),MID(F421,2,LEN(F421)-2),F421)="",IF(AND(LEFT(F421,1)="(",RIGHT(F421,1)=")"),MID(F421,2,LEN(F421)-2),F421)="-"),0,IFERROR(VALUE(IF(AND(LEFT(F421,1)="(",RIGHT(F421,1)=")"),MID(F421,2,LEN(F421)-2),F421))*IF(AND(LEFT(F421,1)="(",RIGHT(F421,1)=")"),-1,1)*IF(E421="Cr",Setup!$B$6,1),"ERR")))</f>
        <v/>
      </c>
      <c r="H421" s="6">
        <f>IF(C421="","",IF(ISNUMBER(G421),1,0))</f>
        <v/>
      </c>
      <c r="I421" s="6">
        <f>IF(C421="","",IF(SUMPRODUCT(($C$12:$C$1511=C421)*1)&gt;1,1,0))</f>
        <v/>
      </c>
      <c r="J421" s="6">
        <f>IF(C421="","",SUMPRODUCT((Mapping!$F$5:$F$504=Setup!$B$4&amp;"||"&amp;C421)*ROW(Mapping!$F$5:$F$504)))</f>
        <v/>
      </c>
      <c r="K421" s="6">
        <f>IF(C421="","",IF(J421=0,"UNMAPPED",LOWER(INDEX(Mapping!$D$1:$D$504,J421))))</f>
        <v/>
      </c>
      <c r="L421" s="6">
        <f>IF(K421="mapped",TRIM(INDEX(Mapping!$C$1:$C$504,J421)),"")</f>
        <v/>
      </c>
      <c r="M421" s="6">
        <f>IF(C421="","",IF(SUMPRODUCT(($C$12:C421=C421)*1)=1,1,0))</f>
        <v/>
      </c>
      <c r="N421" s="6">
        <f>IF(AND(K421="UNMAPPED",M421=1),ROW(),"")</f>
        <v/>
      </c>
      <c r="O421" s="6">
        <f>IF(AND(I421=1,M421=1),ROW(),"")</f>
        <v/>
      </c>
      <c r="P421" s="6">
        <f>IF(AND(K421="ignored",M421=1),ROW(),"")</f>
        <v/>
      </c>
    </row>
    <row r="422">
      <c r="A422" s="8" t="n"/>
      <c r="B422" s="8" t="n"/>
      <c r="C422" s="6">
        <f>TRIM(A422&amp;"")</f>
        <v/>
      </c>
      <c r="D422" s="6">
        <f>IF(C422="","",SUBSTITUTE(SUBSTITUTE(SUBSTITUTE(SUBSTITUTE(SUBSTITUTE(SUBSTITUTE(SUBSTITUTE(UPPER(TRIM(B422&amp;"")),"₹",""),"RS.",""),"RS",""),"INR",""),"$",""),",","")," ",""))</f>
        <v/>
      </c>
      <c r="E422" s="6">
        <f>IF(C422="","",IF(RIGHT(D422,2)="CR","Cr",IF(RIGHT(D422,2)="DR","Dr","")))</f>
        <v/>
      </c>
      <c r="F422" s="6">
        <f>IF(C422="","",IF(E422&lt;&gt;"",LEFT(D422,LEN(D422)-2),D422))</f>
        <v/>
      </c>
      <c r="G422" s="13">
        <f>IF(C422="","",IF(OR(IF(AND(LEFT(F422,1)="(",RIGHT(F422,1)=")"),MID(F422,2,LEN(F422)-2),F422)="",IF(AND(LEFT(F422,1)="(",RIGHT(F422,1)=")"),MID(F422,2,LEN(F422)-2),F422)="-"),0,IFERROR(VALUE(IF(AND(LEFT(F422,1)="(",RIGHT(F422,1)=")"),MID(F422,2,LEN(F422)-2),F422))*IF(AND(LEFT(F422,1)="(",RIGHT(F422,1)=")"),-1,1)*IF(E422="Cr",Setup!$B$6,1),"ERR")))</f>
        <v/>
      </c>
      <c r="H422" s="6">
        <f>IF(C422="","",IF(ISNUMBER(G422),1,0))</f>
        <v/>
      </c>
      <c r="I422" s="6">
        <f>IF(C422="","",IF(SUMPRODUCT(($C$12:$C$1511=C422)*1)&gt;1,1,0))</f>
        <v/>
      </c>
      <c r="J422" s="6">
        <f>IF(C422="","",SUMPRODUCT((Mapping!$F$5:$F$504=Setup!$B$4&amp;"||"&amp;C422)*ROW(Mapping!$F$5:$F$504)))</f>
        <v/>
      </c>
      <c r="K422" s="6">
        <f>IF(C422="","",IF(J422=0,"UNMAPPED",LOWER(INDEX(Mapping!$D$1:$D$504,J422))))</f>
        <v/>
      </c>
      <c r="L422" s="6">
        <f>IF(K422="mapped",TRIM(INDEX(Mapping!$C$1:$C$504,J422)),"")</f>
        <v/>
      </c>
      <c r="M422" s="6">
        <f>IF(C422="","",IF(SUMPRODUCT(($C$12:C422=C422)*1)=1,1,0))</f>
        <v/>
      </c>
      <c r="N422" s="6">
        <f>IF(AND(K422="UNMAPPED",M422=1),ROW(),"")</f>
        <v/>
      </c>
      <c r="O422" s="6">
        <f>IF(AND(I422=1,M422=1),ROW(),"")</f>
        <v/>
      </c>
      <c r="P422" s="6">
        <f>IF(AND(K422="ignored",M422=1),ROW(),"")</f>
        <v/>
      </c>
    </row>
    <row r="423">
      <c r="A423" s="8" t="n"/>
      <c r="B423" s="8" t="n"/>
      <c r="C423" s="6">
        <f>TRIM(A423&amp;"")</f>
        <v/>
      </c>
      <c r="D423" s="6">
        <f>IF(C423="","",SUBSTITUTE(SUBSTITUTE(SUBSTITUTE(SUBSTITUTE(SUBSTITUTE(SUBSTITUTE(SUBSTITUTE(UPPER(TRIM(B423&amp;"")),"₹",""),"RS.",""),"RS",""),"INR",""),"$",""),",","")," ",""))</f>
        <v/>
      </c>
      <c r="E423" s="6">
        <f>IF(C423="","",IF(RIGHT(D423,2)="CR","Cr",IF(RIGHT(D423,2)="DR","Dr","")))</f>
        <v/>
      </c>
      <c r="F423" s="6">
        <f>IF(C423="","",IF(E423&lt;&gt;"",LEFT(D423,LEN(D423)-2),D423))</f>
        <v/>
      </c>
      <c r="G423" s="13">
        <f>IF(C423="","",IF(OR(IF(AND(LEFT(F423,1)="(",RIGHT(F423,1)=")"),MID(F423,2,LEN(F423)-2),F423)="",IF(AND(LEFT(F423,1)="(",RIGHT(F423,1)=")"),MID(F423,2,LEN(F423)-2),F423)="-"),0,IFERROR(VALUE(IF(AND(LEFT(F423,1)="(",RIGHT(F423,1)=")"),MID(F423,2,LEN(F423)-2),F423))*IF(AND(LEFT(F423,1)="(",RIGHT(F423,1)=")"),-1,1)*IF(E423="Cr",Setup!$B$6,1),"ERR")))</f>
        <v/>
      </c>
      <c r="H423" s="6">
        <f>IF(C423="","",IF(ISNUMBER(G423),1,0))</f>
        <v/>
      </c>
      <c r="I423" s="6">
        <f>IF(C423="","",IF(SUMPRODUCT(($C$12:$C$1511=C423)*1)&gt;1,1,0))</f>
        <v/>
      </c>
      <c r="J423" s="6">
        <f>IF(C423="","",SUMPRODUCT((Mapping!$F$5:$F$504=Setup!$B$4&amp;"||"&amp;C423)*ROW(Mapping!$F$5:$F$504)))</f>
        <v/>
      </c>
      <c r="K423" s="6">
        <f>IF(C423="","",IF(J423=0,"UNMAPPED",LOWER(INDEX(Mapping!$D$1:$D$504,J423))))</f>
        <v/>
      </c>
      <c r="L423" s="6">
        <f>IF(K423="mapped",TRIM(INDEX(Mapping!$C$1:$C$504,J423)),"")</f>
        <v/>
      </c>
      <c r="M423" s="6">
        <f>IF(C423="","",IF(SUMPRODUCT(($C$12:C423=C423)*1)=1,1,0))</f>
        <v/>
      </c>
      <c r="N423" s="6">
        <f>IF(AND(K423="UNMAPPED",M423=1),ROW(),"")</f>
        <v/>
      </c>
      <c r="O423" s="6">
        <f>IF(AND(I423=1,M423=1),ROW(),"")</f>
        <v/>
      </c>
      <c r="P423" s="6">
        <f>IF(AND(K423="ignored",M423=1),ROW(),"")</f>
        <v/>
      </c>
    </row>
    <row r="424">
      <c r="A424" s="8" t="n"/>
      <c r="B424" s="8" t="n"/>
      <c r="C424" s="6">
        <f>TRIM(A424&amp;"")</f>
        <v/>
      </c>
      <c r="D424" s="6">
        <f>IF(C424="","",SUBSTITUTE(SUBSTITUTE(SUBSTITUTE(SUBSTITUTE(SUBSTITUTE(SUBSTITUTE(SUBSTITUTE(UPPER(TRIM(B424&amp;"")),"₹",""),"RS.",""),"RS",""),"INR",""),"$",""),",","")," ",""))</f>
        <v/>
      </c>
      <c r="E424" s="6">
        <f>IF(C424="","",IF(RIGHT(D424,2)="CR","Cr",IF(RIGHT(D424,2)="DR","Dr","")))</f>
        <v/>
      </c>
      <c r="F424" s="6">
        <f>IF(C424="","",IF(E424&lt;&gt;"",LEFT(D424,LEN(D424)-2),D424))</f>
        <v/>
      </c>
      <c r="G424" s="13">
        <f>IF(C424="","",IF(OR(IF(AND(LEFT(F424,1)="(",RIGHT(F424,1)=")"),MID(F424,2,LEN(F424)-2),F424)="",IF(AND(LEFT(F424,1)="(",RIGHT(F424,1)=")"),MID(F424,2,LEN(F424)-2),F424)="-"),0,IFERROR(VALUE(IF(AND(LEFT(F424,1)="(",RIGHT(F424,1)=")"),MID(F424,2,LEN(F424)-2),F424))*IF(AND(LEFT(F424,1)="(",RIGHT(F424,1)=")"),-1,1)*IF(E424="Cr",Setup!$B$6,1),"ERR")))</f>
        <v/>
      </c>
      <c r="H424" s="6">
        <f>IF(C424="","",IF(ISNUMBER(G424),1,0))</f>
        <v/>
      </c>
      <c r="I424" s="6">
        <f>IF(C424="","",IF(SUMPRODUCT(($C$12:$C$1511=C424)*1)&gt;1,1,0))</f>
        <v/>
      </c>
      <c r="J424" s="6">
        <f>IF(C424="","",SUMPRODUCT((Mapping!$F$5:$F$504=Setup!$B$4&amp;"||"&amp;C424)*ROW(Mapping!$F$5:$F$504)))</f>
        <v/>
      </c>
      <c r="K424" s="6">
        <f>IF(C424="","",IF(J424=0,"UNMAPPED",LOWER(INDEX(Mapping!$D$1:$D$504,J424))))</f>
        <v/>
      </c>
      <c r="L424" s="6">
        <f>IF(K424="mapped",TRIM(INDEX(Mapping!$C$1:$C$504,J424)),"")</f>
        <v/>
      </c>
      <c r="M424" s="6">
        <f>IF(C424="","",IF(SUMPRODUCT(($C$12:C424=C424)*1)=1,1,0))</f>
        <v/>
      </c>
      <c r="N424" s="6">
        <f>IF(AND(K424="UNMAPPED",M424=1),ROW(),"")</f>
        <v/>
      </c>
      <c r="O424" s="6">
        <f>IF(AND(I424=1,M424=1),ROW(),"")</f>
        <v/>
      </c>
      <c r="P424" s="6">
        <f>IF(AND(K424="ignored",M424=1),ROW(),"")</f>
        <v/>
      </c>
    </row>
    <row r="425">
      <c r="A425" s="8" t="n"/>
      <c r="B425" s="8" t="n"/>
      <c r="C425" s="6">
        <f>TRIM(A425&amp;"")</f>
        <v/>
      </c>
      <c r="D425" s="6">
        <f>IF(C425="","",SUBSTITUTE(SUBSTITUTE(SUBSTITUTE(SUBSTITUTE(SUBSTITUTE(SUBSTITUTE(SUBSTITUTE(UPPER(TRIM(B425&amp;"")),"₹",""),"RS.",""),"RS",""),"INR",""),"$",""),",","")," ",""))</f>
        <v/>
      </c>
      <c r="E425" s="6">
        <f>IF(C425="","",IF(RIGHT(D425,2)="CR","Cr",IF(RIGHT(D425,2)="DR","Dr","")))</f>
        <v/>
      </c>
      <c r="F425" s="6">
        <f>IF(C425="","",IF(E425&lt;&gt;"",LEFT(D425,LEN(D425)-2),D425))</f>
        <v/>
      </c>
      <c r="G425" s="13">
        <f>IF(C425="","",IF(OR(IF(AND(LEFT(F425,1)="(",RIGHT(F425,1)=")"),MID(F425,2,LEN(F425)-2),F425)="",IF(AND(LEFT(F425,1)="(",RIGHT(F425,1)=")"),MID(F425,2,LEN(F425)-2),F425)="-"),0,IFERROR(VALUE(IF(AND(LEFT(F425,1)="(",RIGHT(F425,1)=")"),MID(F425,2,LEN(F425)-2),F425))*IF(AND(LEFT(F425,1)="(",RIGHT(F425,1)=")"),-1,1)*IF(E425="Cr",Setup!$B$6,1),"ERR")))</f>
        <v/>
      </c>
      <c r="H425" s="6">
        <f>IF(C425="","",IF(ISNUMBER(G425),1,0))</f>
        <v/>
      </c>
      <c r="I425" s="6">
        <f>IF(C425="","",IF(SUMPRODUCT(($C$12:$C$1511=C425)*1)&gt;1,1,0))</f>
        <v/>
      </c>
      <c r="J425" s="6">
        <f>IF(C425="","",SUMPRODUCT((Mapping!$F$5:$F$504=Setup!$B$4&amp;"||"&amp;C425)*ROW(Mapping!$F$5:$F$504)))</f>
        <v/>
      </c>
      <c r="K425" s="6">
        <f>IF(C425="","",IF(J425=0,"UNMAPPED",LOWER(INDEX(Mapping!$D$1:$D$504,J425))))</f>
        <v/>
      </c>
      <c r="L425" s="6">
        <f>IF(K425="mapped",TRIM(INDEX(Mapping!$C$1:$C$504,J425)),"")</f>
        <v/>
      </c>
      <c r="M425" s="6">
        <f>IF(C425="","",IF(SUMPRODUCT(($C$12:C425=C425)*1)=1,1,0))</f>
        <v/>
      </c>
      <c r="N425" s="6">
        <f>IF(AND(K425="UNMAPPED",M425=1),ROW(),"")</f>
        <v/>
      </c>
      <c r="O425" s="6">
        <f>IF(AND(I425=1,M425=1),ROW(),"")</f>
        <v/>
      </c>
      <c r="P425" s="6">
        <f>IF(AND(K425="ignored",M425=1),ROW(),"")</f>
        <v/>
      </c>
    </row>
    <row r="426">
      <c r="A426" s="8" t="n"/>
      <c r="B426" s="8" t="n"/>
      <c r="C426" s="6">
        <f>TRIM(A426&amp;"")</f>
        <v/>
      </c>
      <c r="D426" s="6">
        <f>IF(C426="","",SUBSTITUTE(SUBSTITUTE(SUBSTITUTE(SUBSTITUTE(SUBSTITUTE(SUBSTITUTE(SUBSTITUTE(UPPER(TRIM(B426&amp;"")),"₹",""),"RS.",""),"RS",""),"INR",""),"$",""),",","")," ",""))</f>
        <v/>
      </c>
      <c r="E426" s="6">
        <f>IF(C426="","",IF(RIGHT(D426,2)="CR","Cr",IF(RIGHT(D426,2)="DR","Dr","")))</f>
        <v/>
      </c>
      <c r="F426" s="6">
        <f>IF(C426="","",IF(E426&lt;&gt;"",LEFT(D426,LEN(D426)-2),D426))</f>
        <v/>
      </c>
      <c r="G426" s="13">
        <f>IF(C426="","",IF(OR(IF(AND(LEFT(F426,1)="(",RIGHT(F426,1)=")"),MID(F426,2,LEN(F426)-2),F426)="",IF(AND(LEFT(F426,1)="(",RIGHT(F426,1)=")"),MID(F426,2,LEN(F426)-2),F426)="-"),0,IFERROR(VALUE(IF(AND(LEFT(F426,1)="(",RIGHT(F426,1)=")"),MID(F426,2,LEN(F426)-2),F426))*IF(AND(LEFT(F426,1)="(",RIGHT(F426,1)=")"),-1,1)*IF(E426="Cr",Setup!$B$6,1),"ERR")))</f>
        <v/>
      </c>
      <c r="H426" s="6">
        <f>IF(C426="","",IF(ISNUMBER(G426),1,0))</f>
        <v/>
      </c>
      <c r="I426" s="6">
        <f>IF(C426="","",IF(SUMPRODUCT(($C$12:$C$1511=C426)*1)&gt;1,1,0))</f>
        <v/>
      </c>
      <c r="J426" s="6">
        <f>IF(C426="","",SUMPRODUCT((Mapping!$F$5:$F$504=Setup!$B$4&amp;"||"&amp;C426)*ROW(Mapping!$F$5:$F$504)))</f>
        <v/>
      </c>
      <c r="K426" s="6">
        <f>IF(C426="","",IF(J426=0,"UNMAPPED",LOWER(INDEX(Mapping!$D$1:$D$504,J426))))</f>
        <v/>
      </c>
      <c r="L426" s="6">
        <f>IF(K426="mapped",TRIM(INDEX(Mapping!$C$1:$C$504,J426)),"")</f>
        <v/>
      </c>
      <c r="M426" s="6">
        <f>IF(C426="","",IF(SUMPRODUCT(($C$12:C426=C426)*1)=1,1,0))</f>
        <v/>
      </c>
      <c r="N426" s="6">
        <f>IF(AND(K426="UNMAPPED",M426=1),ROW(),"")</f>
        <v/>
      </c>
      <c r="O426" s="6">
        <f>IF(AND(I426=1,M426=1),ROW(),"")</f>
        <v/>
      </c>
      <c r="P426" s="6">
        <f>IF(AND(K426="ignored",M426=1),ROW(),"")</f>
        <v/>
      </c>
    </row>
    <row r="427">
      <c r="A427" s="8" t="n"/>
      <c r="B427" s="8" t="n"/>
      <c r="C427" s="6">
        <f>TRIM(A427&amp;"")</f>
        <v/>
      </c>
      <c r="D427" s="6">
        <f>IF(C427="","",SUBSTITUTE(SUBSTITUTE(SUBSTITUTE(SUBSTITUTE(SUBSTITUTE(SUBSTITUTE(SUBSTITUTE(UPPER(TRIM(B427&amp;"")),"₹",""),"RS.",""),"RS",""),"INR",""),"$",""),",","")," ",""))</f>
        <v/>
      </c>
      <c r="E427" s="6">
        <f>IF(C427="","",IF(RIGHT(D427,2)="CR","Cr",IF(RIGHT(D427,2)="DR","Dr","")))</f>
        <v/>
      </c>
      <c r="F427" s="6">
        <f>IF(C427="","",IF(E427&lt;&gt;"",LEFT(D427,LEN(D427)-2),D427))</f>
        <v/>
      </c>
      <c r="G427" s="13">
        <f>IF(C427="","",IF(OR(IF(AND(LEFT(F427,1)="(",RIGHT(F427,1)=")"),MID(F427,2,LEN(F427)-2),F427)="",IF(AND(LEFT(F427,1)="(",RIGHT(F427,1)=")"),MID(F427,2,LEN(F427)-2),F427)="-"),0,IFERROR(VALUE(IF(AND(LEFT(F427,1)="(",RIGHT(F427,1)=")"),MID(F427,2,LEN(F427)-2),F427))*IF(AND(LEFT(F427,1)="(",RIGHT(F427,1)=")"),-1,1)*IF(E427="Cr",Setup!$B$6,1),"ERR")))</f>
        <v/>
      </c>
      <c r="H427" s="6">
        <f>IF(C427="","",IF(ISNUMBER(G427),1,0))</f>
        <v/>
      </c>
      <c r="I427" s="6">
        <f>IF(C427="","",IF(SUMPRODUCT(($C$12:$C$1511=C427)*1)&gt;1,1,0))</f>
        <v/>
      </c>
      <c r="J427" s="6">
        <f>IF(C427="","",SUMPRODUCT((Mapping!$F$5:$F$504=Setup!$B$4&amp;"||"&amp;C427)*ROW(Mapping!$F$5:$F$504)))</f>
        <v/>
      </c>
      <c r="K427" s="6">
        <f>IF(C427="","",IF(J427=0,"UNMAPPED",LOWER(INDEX(Mapping!$D$1:$D$504,J427))))</f>
        <v/>
      </c>
      <c r="L427" s="6">
        <f>IF(K427="mapped",TRIM(INDEX(Mapping!$C$1:$C$504,J427)),"")</f>
        <v/>
      </c>
      <c r="M427" s="6">
        <f>IF(C427="","",IF(SUMPRODUCT(($C$12:C427=C427)*1)=1,1,0))</f>
        <v/>
      </c>
      <c r="N427" s="6">
        <f>IF(AND(K427="UNMAPPED",M427=1),ROW(),"")</f>
        <v/>
      </c>
      <c r="O427" s="6">
        <f>IF(AND(I427=1,M427=1),ROW(),"")</f>
        <v/>
      </c>
      <c r="P427" s="6">
        <f>IF(AND(K427="ignored",M427=1),ROW(),"")</f>
        <v/>
      </c>
    </row>
    <row r="428">
      <c r="A428" s="8" t="n"/>
      <c r="B428" s="8" t="n"/>
      <c r="C428" s="6">
        <f>TRIM(A428&amp;"")</f>
        <v/>
      </c>
      <c r="D428" s="6">
        <f>IF(C428="","",SUBSTITUTE(SUBSTITUTE(SUBSTITUTE(SUBSTITUTE(SUBSTITUTE(SUBSTITUTE(SUBSTITUTE(UPPER(TRIM(B428&amp;"")),"₹",""),"RS.",""),"RS",""),"INR",""),"$",""),",","")," ",""))</f>
        <v/>
      </c>
      <c r="E428" s="6">
        <f>IF(C428="","",IF(RIGHT(D428,2)="CR","Cr",IF(RIGHT(D428,2)="DR","Dr","")))</f>
        <v/>
      </c>
      <c r="F428" s="6">
        <f>IF(C428="","",IF(E428&lt;&gt;"",LEFT(D428,LEN(D428)-2),D428))</f>
        <v/>
      </c>
      <c r="G428" s="13">
        <f>IF(C428="","",IF(OR(IF(AND(LEFT(F428,1)="(",RIGHT(F428,1)=")"),MID(F428,2,LEN(F428)-2),F428)="",IF(AND(LEFT(F428,1)="(",RIGHT(F428,1)=")"),MID(F428,2,LEN(F428)-2),F428)="-"),0,IFERROR(VALUE(IF(AND(LEFT(F428,1)="(",RIGHT(F428,1)=")"),MID(F428,2,LEN(F428)-2),F428))*IF(AND(LEFT(F428,1)="(",RIGHT(F428,1)=")"),-1,1)*IF(E428="Cr",Setup!$B$6,1),"ERR")))</f>
        <v/>
      </c>
      <c r="H428" s="6">
        <f>IF(C428="","",IF(ISNUMBER(G428),1,0))</f>
        <v/>
      </c>
      <c r="I428" s="6">
        <f>IF(C428="","",IF(SUMPRODUCT(($C$12:$C$1511=C428)*1)&gt;1,1,0))</f>
        <v/>
      </c>
      <c r="J428" s="6">
        <f>IF(C428="","",SUMPRODUCT((Mapping!$F$5:$F$504=Setup!$B$4&amp;"||"&amp;C428)*ROW(Mapping!$F$5:$F$504)))</f>
        <v/>
      </c>
      <c r="K428" s="6">
        <f>IF(C428="","",IF(J428=0,"UNMAPPED",LOWER(INDEX(Mapping!$D$1:$D$504,J428))))</f>
        <v/>
      </c>
      <c r="L428" s="6">
        <f>IF(K428="mapped",TRIM(INDEX(Mapping!$C$1:$C$504,J428)),"")</f>
        <v/>
      </c>
      <c r="M428" s="6">
        <f>IF(C428="","",IF(SUMPRODUCT(($C$12:C428=C428)*1)=1,1,0))</f>
        <v/>
      </c>
      <c r="N428" s="6">
        <f>IF(AND(K428="UNMAPPED",M428=1),ROW(),"")</f>
        <v/>
      </c>
      <c r="O428" s="6">
        <f>IF(AND(I428=1,M428=1),ROW(),"")</f>
        <v/>
      </c>
      <c r="P428" s="6">
        <f>IF(AND(K428="ignored",M428=1),ROW(),"")</f>
        <v/>
      </c>
    </row>
    <row r="429">
      <c r="A429" s="8" t="n"/>
      <c r="B429" s="8" t="n"/>
      <c r="C429" s="6">
        <f>TRIM(A429&amp;"")</f>
        <v/>
      </c>
      <c r="D429" s="6">
        <f>IF(C429="","",SUBSTITUTE(SUBSTITUTE(SUBSTITUTE(SUBSTITUTE(SUBSTITUTE(SUBSTITUTE(SUBSTITUTE(UPPER(TRIM(B429&amp;"")),"₹",""),"RS.",""),"RS",""),"INR",""),"$",""),",","")," ",""))</f>
        <v/>
      </c>
      <c r="E429" s="6">
        <f>IF(C429="","",IF(RIGHT(D429,2)="CR","Cr",IF(RIGHT(D429,2)="DR","Dr","")))</f>
        <v/>
      </c>
      <c r="F429" s="6">
        <f>IF(C429="","",IF(E429&lt;&gt;"",LEFT(D429,LEN(D429)-2),D429))</f>
        <v/>
      </c>
      <c r="G429" s="13">
        <f>IF(C429="","",IF(OR(IF(AND(LEFT(F429,1)="(",RIGHT(F429,1)=")"),MID(F429,2,LEN(F429)-2),F429)="",IF(AND(LEFT(F429,1)="(",RIGHT(F429,1)=")"),MID(F429,2,LEN(F429)-2),F429)="-"),0,IFERROR(VALUE(IF(AND(LEFT(F429,1)="(",RIGHT(F429,1)=")"),MID(F429,2,LEN(F429)-2),F429))*IF(AND(LEFT(F429,1)="(",RIGHT(F429,1)=")"),-1,1)*IF(E429="Cr",Setup!$B$6,1),"ERR")))</f>
        <v/>
      </c>
      <c r="H429" s="6">
        <f>IF(C429="","",IF(ISNUMBER(G429),1,0))</f>
        <v/>
      </c>
      <c r="I429" s="6">
        <f>IF(C429="","",IF(SUMPRODUCT(($C$12:$C$1511=C429)*1)&gt;1,1,0))</f>
        <v/>
      </c>
      <c r="J429" s="6">
        <f>IF(C429="","",SUMPRODUCT((Mapping!$F$5:$F$504=Setup!$B$4&amp;"||"&amp;C429)*ROW(Mapping!$F$5:$F$504)))</f>
        <v/>
      </c>
      <c r="K429" s="6">
        <f>IF(C429="","",IF(J429=0,"UNMAPPED",LOWER(INDEX(Mapping!$D$1:$D$504,J429))))</f>
        <v/>
      </c>
      <c r="L429" s="6">
        <f>IF(K429="mapped",TRIM(INDEX(Mapping!$C$1:$C$504,J429)),"")</f>
        <v/>
      </c>
      <c r="M429" s="6">
        <f>IF(C429="","",IF(SUMPRODUCT(($C$12:C429=C429)*1)=1,1,0))</f>
        <v/>
      </c>
      <c r="N429" s="6">
        <f>IF(AND(K429="UNMAPPED",M429=1),ROW(),"")</f>
        <v/>
      </c>
      <c r="O429" s="6">
        <f>IF(AND(I429=1,M429=1),ROW(),"")</f>
        <v/>
      </c>
      <c r="P429" s="6">
        <f>IF(AND(K429="ignored",M429=1),ROW(),"")</f>
        <v/>
      </c>
    </row>
    <row r="430">
      <c r="A430" s="8" t="n"/>
      <c r="B430" s="8" t="n"/>
      <c r="C430" s="6">
        <f>TRIM(A430&amp;"")</f>
        <v/>
      </c>
      <c r="D430" s="6">
        <f>IF(C430="","",SUBSTITUTE(SUBSTITUTE(SUBSTITUTE(SUBSTITUTE(SUBSTITUTE(SUBSTITUTE(SUBSTITUTE(UPPER(TRIM(B430&amp;"")),"₹",""),"RS.",""),"RS",""),"INR",""),"$",""),",","")," ",""))</f>
        <v/>
      </c>
      <c r="E430" s="6">
        <f>IF(C430="","",IF(RIGHT(D430,2)="CR","Cr",IF(RIGHT(D430,2)="DR","Dr","")))</f>
        <v/>
      </c>
      <c r="F430" s="6">
        <f>IF(C430="","",IF(E430&lt;&gt;"",LEFT(D430,LEN(D430)-2),D430))</f>
        <v/>
      </c>
      <c r="G430" s="13">
        <f>IF(C430="","",IF(OR(IF(AND(LEFT(F430,1)="(",RIGHT(F430,1)=")"),MID(F430,2,LEN(F430)-2),F430)="",IF(AND(LEFT(F430,1)="(",RIGHT(F430,1)=")"),MID(F430,2,LEN(F430)-2),F430)="-"),0,IFERROR(VALUE(IF(AND(LEFT(F430,1)="(",RIGHT(F430,1)=")"),MID(F430,2,LEN(F430)-2),F430))*IF(AND(LEFT(F430,1)="(",RIGHT(F430,1)=")"),-1,1)*IF(E430="Cr",Setup!$B$6,1),"ERR")))</f>
        <v/>
      </c>
      <c r="H430" s="6">
        <f>IF(C430="","",IF(ISNUMBER(G430),1,0))</f>
        <v/>
      </c>
      <c r="I430" s="6">
        <f>IF(C430="","",IF(SUMPRODUCT(($C$12:$C$1511=C430)*1)&gt;1,1,0))</f>
        <v/>
      </c>
      <c r="J430" s="6">
        <f>IF(C430="","",SUMPRODUCT((Mapping!$F$5:$F$504=Setup!$B$4&amp;"||"&amp;C430)*ROW(Mapping!$F$5:$F$504)))</f>
        <v/>
      </c>
      <c r="K430" s="6">
        <f>IF(C430="","",IF(J430=0,"UNMAPPED",LOWER(INDEX(Mapping!$D$1:$D$504,J430))))</f>
        <v/>
      </c>
      <c r="L430" s="6">
        <f>IF(K430="mapped",TRIM(INDEX(Mapping!$C$1:$C$504,J430)),"")</f>
        <v/>
      </c>
      <c r="M430" s="6">
        <f>IF(C430="","",IF(SUMPRODUCT(($C$12:C430=C430)*1)=1,1,0))</f>
        <v/>
      </c>
      <c r="N430" s="6">
        <f>IF(AND(K430="UNMAPPED",M430=1),ROW(),"")</f>
        <v/>
      </c>
      <c r="O430" s="6">
        <f>IF(AND(I430=1,M430=1),ROW(),"")</f>
        <v/>
      </c>
      <c r="P430" s="6">
        <f>IF(AND(K430="ignored",M430=1),ROW(),"")</f>
        <v/>
      </c>
    </row>
    <row r="431">
      <c r="A431" s="8" t="n"/>
      <c r="B431" s="8" t="n"/>
      <c r="C431" s="6">
        <f>TRIM(A431&amp;"")</f>
        <v/>
      </c>
      <c r="D431" s="6">
        <f>IF(C431="","",SUBSTITUTE(SUBSTITUTE(SUBSTITUTE(SUBSTITUTE(SUBSTITUTE(SUBSTITUTE(SUBSTITUTE(UPPER(TRIM(B431&amp;"")),"₹",""),"RS.",""),"RS",""),"INR",""),"$",""),",","")," ",""))</f>
        <v/>
      </c>
      <c r="E431" s="6">
        <f>IF(C431="","",IF(RIGHT(D431,2)="CR","Cr",IF(RIGHT(D431,2)="DR","Dr","")))</f>
        <v/>
      </c>
      <c r="F431" s="6">
        <f>IF(C431="","",IF(E431&lt;&gt;"",LEFT(D431,LEN(D431)-2),D431))</f>
        <v/>
      </c>
      <c r="G431" s="13">
        <f>IF(C431="","",IF(OR(IF(AND(LEFT(F431,1)="(",RIGHT(F431,1)=")"),MID(F431,2,LEN(F431)-2),F431)="",IF(AND(LEFT(F431,1)="(",RIGHT(F431,1)=")"),MID(F431,2,LEN(F431)-2),F431)="-"),0,IFERROR(VALUE(IF(AND(LEFT(F431,1)="(",RIGHT(F431,1)=")"),MID(F431,2,LEN(F431)-2),F431))*IF(AND(LEFT(F431,1)="(",RIGHT(F431,1)=")"),-1,1)*IF(E431="Cr",Setup!$B$6,1),"ERR")))</f>
        <v/>
      </c>
      <c r="H431" s="6">
        <f>IF(C431="","",IF(ISNUMBER(G431),1,0))</f>
        <v/>
      </c>
      <c r="I431" s="6">
        <f>IF(C431="","",IF(SUMPRODUCT(($C$12:$C$1511=C431)*1)&gt;1,1,0))</f>
        <v/>
      </c>
      <c r="J431" s="6">
        <f>IF(C431="","",SUMPRODUCT((Mapping!$F$5:$F$504=Setup!$B$4&amp;"||"&amp;C431)*ROW(Mapping!$F$5:$F$504)))</f>
        <v/>
      </c>
      <c r="K431" s="6">
        <f>IF(C431="","",IF(J431=0,"UNMAPPED",LOWER(INDEX(Mapping!$D$1:$D$504,J431))))</f>
        <v/>
      </c>
      <c r="L431" s="6">
        <f>IF(K431="mapped",TRIM(INDEX(Mapping!$C$1:$C$504,J431)),"")</f>
        <v/>
      </c>
      <c r="M431" s="6">
        <f>IF(C431="","",IF(SUMPRODUCT(($C$12:C431=C431)*1)=1,1,0))</f>
        <v/>
      </c>
      <c r="N431" s="6">
        <f>IF(AND(K431="UNMAPPED",M431=1),ROW(),"")</f>
        <v/>
      </c>
      <c r="O431" s="6">
        <f>IF(AND(I431=1,M431=1),ROW(),"")</f>
        <v/>
      </c>
      <c r="P431" s="6">
        <f>IF(AND(K431="ignored",M431=1),ROW(),"")</f>
        <v/>
      </c>
    </row>
    <row r="432">
      <c r="A432" s="8" t="n"/>
      <c r="B432" s="8" t="n"/>
      <c r="C432" s="6">
        <f>TRIM(A432&amp;"")</f>
        <v/>
      </c>
      <c r="D432" s="6">
        <f>IF(C432="","",SUBSTITUTE(SUBSTITUTE(SUBSTITUTE(SUBSTITUTE(SUBSTITUTE(SUBSTITUTE(SUBSTITUTE(UPPER(TRIM(B432&amp;"")),"₹",""),"RS.",""),"RS",""),"INR",""),"$",""),",","")," ",""))</f>
        <v/>
      </c>
      <c r="E432" s="6">
        <f>IF(C432="","",IF(RIGHT(D432,2)="CR","Cr",IF(RIGHT(D432,2)="DR","Dr","")))</f>
        <v/>
      </c>
      <c r="F432" s="6">
        <f>IF(C432="","",IF(E432&lt;&gt;"",LEFT(D432,LEN(D432)-2),D432))</f>
        <v/>
      </c>
      <c r="G432" s="13">
        <f>IF(C432="","",IF(OR(IF(AND(LEFT(F432,1)="(",RIGHT(F432,1)=")"),MID(F432,2,LEN(F432)-2),F432)="",IF(AND(LEFT(F432,1)="(",RIGHT(F432,1)=")"),MID(F432,2,LEN(F432)-2),F432)="-"),0,IFERROR(VALUE(IF(AND(LEFT(F432,1)="(",RIGHT(F432,1)=")"),MID(F432,2,LEN(F432)-2),F432))*IF(AND(LEFT(F432,1)="(",RIGHT(F432,1)=")"),-1,1)*IF(E432="Cr",Setup!$B$6,1),"ERR")))</f>
        <v/>
      </c>
      <c r="H432" s="6">
        <f>IF(C432="","",IF(ISNUMBER(G432),1,0))</f>
        <v/>
      </c>
      <c r="I432" s="6">
        <f>IF(C432="","",IF(SUMPRODUCT(($C$12:$C$1511=C432)*1)&gt;1,1,0))</f>
        <v/>
      </c>
      <c r="J432" s="6">
        <f>IF(C432="","",SUMPRODUCT((Mapping!$F$5:$F$504=Setup!$B$4&amp;"||"&amp;C432)*ROW(Mapping!$F$5:$F$504)))</f>
        <v/>
      </c>
      <c r="K432" s="6">
        <f>IF(C432="","",IF(J432=0,"UNMAPPED",LOWER(INDEX(Mapping!$D$1:$D$504,J432))))</f>
        <v/>
      </c>
      <c r="L432" s="6">
        <f>IF(K432="mapped",TRIM(INDEX(Mapping!$C$1:$C$504,J432)),"")</f>
        <v/>
      </c>
      <c r="M432" s="6">
        <f>IF(C432="","",IF(SUMPRODUCT(($C$12:C432=C432)*1)=1,1,0))</f>
        <v/>
      </c>
      <c r="N432" s="6">
        <f>IF(AND(K432="UNMAPPED",M432=1),ROW(),"")</f>
        <v/>
      </c>
      <c r="O432" s="6">
        <f>IF(AND(I432=1,M432=1),ROW(),"")</f>
        <v/>
      </c>
      <c r="P432" s="6">
        <f>IF(AND(K432="ignored",M432=1),ROW(),"")</f>
        <v/>
      </c>
    </row>
    <row r="433">
      <c r="A433" s="8" t="n"/>
      <c r="B433" s="8" t="n"/>
      <c r="C433" s="6">
        <f>TRIM(A433&amp;"")</f>
        <v/>
      </c>
      <c r="D433" s="6">
        <f>IF(C433="","",SUBSTITUTE(SUBSTITUTE(SUBSTITUTE(SUBSTITUTE(SUBSTITUTE(SUBSTITUTE(SUBSTITUTE(UPPER(TRIM(B433&amp;"")),"₹",""),"RS.",""),"RS",""),"INR",""),"$",""),",","")," ",""))</f>
        <v/>
      </c>
      <c r="E433" s="6">
        <f>IF(C433="","",IF(RIGHT(D433,2)="CR","Cr",IF(RIGHT(D433,2)="DR","Dr","")))</f>
        <v/>
      </c>
      <c r="F433" s="6">
        <f>IF(C433="","",IF(E433&lt;&gt;"",LEFT(D433,LEN(D433)-2),D433))</f>
        <v/>
      </c>
      <c r="G433" s="13">
        <f>IF(C433="","",IF(OR(IF(AND(LEFT(F433,1)="(",RIGHT(F433,1)=")"),MID(F433,2,LEN(F433)-2),F433)="",IF(AND(LEFT(F433,1)="(",RIGHT(F433,1)=")"),MID(F433,2,LEN(F433)-2),F433)="-"),0,IFERROR(VALUE(IF(AND(LEFT(F433,1)="(",RIGHT(F433,1)=")"),MID(F433,2,LEN(F433)-2),F433))*IF(AND(LEFT(F433,1)="(",RIGHT(F433,1)=")"),-1,1)*IF(E433="Cr",Setup!$B$6,1),"ERR")))</f>
        <v/>
      </c>
      <c r="H433" s="6">
        <f>IF(C433="","",IF(ISNUMBER(G433),1,0))</f>
        <v/>
      </c>
      <c r="I433" s="6">
        <f>IF(C433="","",IF(SUMPRODUCT(($C$12:$C$1511=C433)*1)&gt;1,1,0))</f>
        <v/>
      </c>
      <c r="J433" s="6">
        <f>IF(C433="","",SUMPRODUCT((Mapping!$F$5:$F$504=Setup!$B$4&amp;"||"&amp;C433)*ROW(Mapping!$F$5:$F$504)))</f>
        <v/>
      </c>
      <c r="K433" s="6">
        <f>IF(C433="","",IF(J433=0,"UNMAPPED",LOWER(INDEX(Mapping!$D$1:$D$504,J433))))</f>
        <v/>
      </c>
      <c r="L433" s="6">
        <f>IF(K433="mapped",TRIM(INDEX(Mapping!$C$1:$C$504,J433)),"")</f>
        <v/>
      </c>
      <c r="M433" s="6">
        <f>IF(C433="","",IF(SUMPRODUCT(($C$12:C433=C433)*1)=1,1,0))</f>
        <v/>
      </c>
      <c r="N433" s="6">
        <f>IF(AND(K433="UNMAPPED",M433=1),ROW(),"")</f>
        <v/>
      </c>
      <c r="O433" s="6">
        <f>IF(AND(I433=1,M433=1),ROW(),"")</f>
        <v/>
      </c>
      <c r="P433" s="6">
        <f>IF(AND(K433="ignored",M433=1),ROW(),"")</f>
        <v/>
      </c>
    </row>
    <row r="434">
      <c r="A434" s="8" t="n"/>
      <c r="B434" s="8" t="n"/>
      <c r="C434" s="6">
        <f>TRIM(A434&amp;"")</f>
        <v/>
      </c>
      <c r="D434" s="6">
        <f>IF(C434="","",SUBSTITUTE(SUBSTITUTE(SUBSTITUTE(SUBSTITUTE(SUBSTITUTE(SUBSTITUTE(SUBSTITUTE(UPPER(TRIM(B434&amp;"")),"₹",""),"RS.",""),"RS",""),"INR",""),"$",""),",","")," ",""))</f>
        <v/>
      </c>
      <c r="E434" s="6">
        <f>IF(C434="","",IF(RIGHT(D434,2)="CR","Cr",IF(RIGHT(D434,2)="DR","Dr","")))</f>
        <v/>
      </c>
      <c r="F434" s="6">
        <f>IF(C434="","",IF(E434&lt;&gt;"",LEFT(D434,LEN(D434)-2),D434))</f>
        <v/>
      </c>
      <c r="G434" s="13">
        <f>IF(C434="","",IF(OR(IF(AND(LEFT(F434,1)="(",RIGHT(F434,1)=")"),MID(F434,2,LEN(F434)-2),F434)="",IF(AND(LEFT(F434,1)="(",RIGHT(F434,1)=")"),MID(F434,2,LEN(F434)-2),F434)="-"),0,IFERROR(VALUE(IF(AND(LEFT(F434,1)="(",RIGHT(F434,1)=")"),MID(F434,2,LEN(F434)-2),F434))*IF(AND(LEFT(F434,1)="(",RIGHT(F434,1)=")"),-1,1)*IF(E434="Cr",Setup!$B$6,1),"ERR")))</f>
        <v/>
      </c>
      <c r="H434" s="6">
        <f>IF(C434="","",IF(ISNUMBER(G434),1,0))</f>
        <v/>
      </c>
      <c r="I434" s="6">
        <f>IF(C434="","",IF(SUMPRODUCT(($C$12:$C$1511=C434)*1)&gt;1,1,0))</f>
        <v/>
      </c>
      <c r="J434" s="6">
        <f>IF(C434="","",SUMPRODUCT((Mapping!$F$5:$F$504=Setup!$B$4&amp;"||"&amp;C434)*ROW(Mapping!$F$5:$F$504)))</f>
        <v/>
      </c>
      <c r="K434" s="6">
        <f>IF(C434="","",IF(J434=0,"UNMAPPED",LOWER(INDEX(Mapping!$D$1:$D$504,J434))))</f>
        <v/>
      </c>
      <c r="L434" s="6">
        <f>IF(K434="mapped",TRIM(INDEX(Mapping!$C$1:$C$504,J434)),"")</f>
        <v/>
      </c>
      <c r="M434" s="6">
        <f>IF(C434="","",IF(SUMPRODUCT(($C$12:C434=C434)*1)=1,1,0))</f>
        <v/>
      </c>
      <c r="N434" s="6">
        <f>IF(AND(K434="UNMAPPED",M434=1),ROW(),"")</f>
        <v/>
      </c>
      <c r="O434" s="6">
        <f>IF(AND(I434=1,M434=1),ROW(),"")</f>
        <v/>
      </c>
      <c r="P434" s="6">
        <f>IF(AND(K434="ignored",M434=1),ROW(),"")</f>
        <v/>
      </c>
    </row>
    <row r="435">
      <c r="A435" s="8" t="n"/>
      <c r="B435" s="8" t="n"/>
      <c r="C435" s="6">
        <f>TRIM(A435&amp;"")</f>
        <v/>
      </c>
      <c r="D435" s="6">
        <f>IF(C435="","",SUBSTITUTE(SUBSTITUTE(SUBSTITUTE(SUBSTITUTE(SUBSTITUTE(SUBSTITUTE(SUBSTITUTE(UPPER(TRIM(B435&amp;"")),"₹",""),"RS.",""),"RS",""),"INR",""),"$",""),",","")," ",""))</f>
        <v/>
      </c>
      <c r="E435" s="6">
        <f>IF(C435="","",IF(RIGHT(D435,2)="CR","Cr",IF(RIGHT(D435,2)="DR","Dr","")))</f>
        <v/>
      </c>
      <c r="F435" s="6">
        <f>IF(C435="","",IF(E435&lt;&gt;"",LEFT(D435,LEN(D435)-2),D435))</f>
        <v/>
      </c>
      <c r="G435" s="13">
        <f>IF(C435="","",IF(OR(IF(AND(LEFT(F435,1)="(",RIGHT(F435,1)=")"),MID(F435,2,LEN(F435)-2),F435)="",IF(AND(LEFT(F435,1)="(",RIGHT(F435,1)=")"),MID(F435,2,LEN(F435)-2),F435)="-"),0,IFERROR(VALUE(IF(AND(LEFT(F435,1)="(",RIGHT(F435,1)=")"),MID(F435,2,LEN(F435)-2),F435))*IF(AND(LEFT(F435,1)="(",RIGHT(F435,1)=")"),-1,1)*IF(E435="Cr",Setup!$B$6,1),"ERR")))</f>
        <v/>
      </c>
      <c r="H435" s="6">
        <f>IF(C435="","",IF(ISNUMBER(G435),1,0))</f>
        <v/>
      </c>
      <c r="I435" s="6">
        <f>IF(C435="","",IF(SUMPRODUCT(($C$12:$C$1511=C435)*1)&gt;1,1,0))</f>
        <v/>
      </c>
      <c r="J435" s="6">
        <f>IF(C435="","",SUMPRODUCT((Mapping!$F$5:$F$504=Setup!$B$4&amp;"||"&amp;C435)*ROW(Mapping!$F$5:$F$504)))</f>
        <v/>
      </c>
      <c r="K435" s="6">
        <f>IF(C435="","",IF(J435=0,"UNMAPPED",LOWER(INDEX(Mapping!$D$1:$D$504,J435))))</f>
        <v/>
      </c>
      <c r="L435" s="6">
        <f>IF(K435="mapped",TRIM(INDEX(Mapping!$C$1:$C$504,J435)),"")</f>
        <v/>
      </c>
      <c r="M435" s="6">
        <f>IF(C435="","",IF(SUMPRODUCT(($C$12:C435=C435)*1)=1,1,0))</f>
        <v/>
      </c>
      <c r="N435" s="6">
        <f>IF(AND(K435="UNMAPPED",M435=1),ROW(),"")</f>
        <v/>
      </c>
      <c r="O435" s="6">
        <f>IF(AND(I435=1,M435=1),ROW(),"")</f>
        <v/>
      </c>
      <c r="P435" s="6">
        <f>IF(AND(K435="ignored",M435=1),ROW(),"")</f>
        <v/>
      </c>
    </row>
    <row r="436">
      <c r="A436" s="8" t="n"/>
      <c r="B436" s="8" t="n"/>
      <c r="C436" s="6">
        <f>TRIM(A436&amp;"")</f>
        <v/>
      </c>
      <c r="D436" s="6">
        <f>IF(C436="","",SUBSTITUTE(SUBSTITUTE(SUBSTITUTE(SUBSTITUTE(SUBSTITUTE(SUBSTITUTE(SUBSTITUTE(UPPER(TRIM(B436&amp;"")),"₹",""),"RS.",""),"RS",""),"INR",""),"$",""),",","")," ",""))</f>
        <v/>
      </c>
      <c r="E436" s="6">
        <f>IF(C436="","",IF(RIGHT(D436,2)="CR","Cr",IF(RIGHT(D436,2)="DR","Dr","")))</f>
        <v/>
      </c>
      <c r="F436" s="6">
        <f>IF(C436="","",IF(E436&lt;&gt;"",LEFT(D436,LEN(D436)-2),D436))</f>
        <v/>
      </c>
      <c r="G436" s="13">
        <f>IF(C436="","",IF(OR(IF(AND(LEFT(F436,1)="(",RIGHT(F436,1)=")"),MID(F436,2,LEN(F436)-2),F436)="",IF(AND(LEFT(F436,1)="(",RIGHT(F436,1)=")"),MID(F436,2,LEN(F436)-2),F436)="-"),0,IFERROR(VALUE(IF(AND(LEFT(F436,1)="(",RIGHT(F436,1)=")"),MID(F436,2,LEN(F436)-2),F436))*IF(AND(LEFT(F436,1)="(",RIGHT(F436,1)=")"),-1,1)*IF(E436="Cr",Setup!$B$6,1),"ERR")))</f>
        <v/>
      </c>
      <c r="H436" s="6">
        <f>IF(C436="","",IF(ISNUMBER(G436),1,0))</f>
        <v/>
      </c>
      <c r="I436" s="6">
        <f>IF(C436="","",IF(SUMPRODUCT(($C$12:$C$1511=C436)*1)&gt;1,1,0))</f>
        <v/>
      </c>
      <c r="J436" s="6">
        <f>IF(C436="","",SUMPRODUCT((Mapping!$F$5:$F$504=Setup!$B$4&amp;"||"&amp;C436)*ROW(Mapping!$F$5:$F$504)))</f>
        <v/>
      </c>
      <c r="K436" s="6">
        <f>IF(C436="","",IF(J436=0,"UNMAPPED",LOWER(INDEX(Mapping!$D$1:$D$504,J436))))</f>
        <v/>
      </c>
      <c r="L436" s="6">
        <f>IF(K436="mapped",TRIM(INDEX(Mapping!$C$1:$C$504,J436)),"")</f>
        <v/>
      </c>
      <c r="M436" s="6">
        <f>IF(C436="","",IF(SUMPRODUCT(($C$12:C436=C436)*1)=1,1,0))</f>
        <v/>
      </c>
      <c r="N436" s="6">
        <f>IF(AND(K436="UNMAPPED",M436=1),ROW(),"")</f>
        <v/>
      </c>
      <c r="O436" s="6">
        <f>IF(AND(I436=1,M436=1),ROW(),"")</f>
        <v/>
      </c>
      <c r="P436" s="6">
        <f>IF(AND(K436="ignored",M436=1),ROW(),"")</f>
        <v/>
      </c>
    </row>
    <row r="437">
      <c r="A437" s="8" t="n"/>
      <c r="B437" s="8" t="n"/>
      <c r="C437" s="6">
        <f>TRIM(A437&amp;"")</f>
        <v/>
      </c>
      <c r="D437" s="6">
        <f>IF(C437="","",SUBSTITUTE(SUBSTITUTE(SUBSTITUTE(SUBSTITUTE(SUBSTITUTE(SUBSTITUTE(SUBSTITUTE(UPPER(TRIM(B437&amp;"")),"₹",""),"RS.",""),"RS",""),"INR",""),"$",""),",","")," ",""))</f>
        <v/>
      </c>
      <c r="E437" s="6">
        <f>IF(C437="","",IF(RIGHT(D437,2)="CR","Cr",IF(RIGHT(D437,2)="DR","Dr","")))</f>
        <v/>
      </c>
      <c r="F437" s="6">
        <f>IF(C437="","",IF(E437&lt;&gt;"",LEFT(D437,LEN(D437)-2),D437))</f>
        <v/>
      </c>
      <c r="G437" s="13">
        <f>IF(C437="","",IF(OR(IF(AND(LEFT(F437,1)="(",RIGHT(F437,1)=")"),MID(F437,2,LEN(F437)-2),F437)="",IF(AND(LEFT(F437,1)="(",RIGHT(F437,1)=")"),MID(F437,2,LEN(F437)-2),F437)="-"),0,IFERROR(VALUE(IF(AND(LEFT(F437,1)="(",RIGHT(F437,1)=")"),MID(F437,2,LEN(F437)-2),F437))*IF(AND(LEFT(F437,1)="(",RIGHT(F437,1)=")"),-1,1)*IF(E437="Cr",Setup!$B$6,1),"ERR")))</f>
        <v/>
      </c>
      <c r="H437" s="6">
        <f>IF(C437="","",IF(ISNUMBER(G437),1,0))</f>
        <v/>
      </c>
      <c r="I437" s="6">
        <f>IF(C437="","",IF(SUMPRODUCT(($C$12:$C$1511=C437)*1)&gt;1,1,0))</f>
        <v/>
      </c>
      <c r="J437" s="6">
        <f>IF(C437="","",SUMPRODUCT((Mapping!$F$5:$F$504=Setup!$B$4&amp;"||"&amp;C437)*ROW(Mapping!$F$5:$F$504)))</f>
        <v/>
      </c>
      <c r="K437" s="6">
        <f>IF(C437="","",IF(J437=0,"UNMAPPED",LOWER(INDEX(Mapping!$D$1:$D$504,J437))))</f>
        <v/>
      </c>
      <c r="L437" s="6">
        <f>IF(K437="mapped",TRIM(INDEX(Mapping!$C$1:$C$504,J437)),"")</f>
        <v/>
      </c>
      <c r="M437" s="6">
        <f>IF(C437="","",IF(SUMPRODUCT(($C$12:C437=C437)*1)=1,1,0))</f>
        <v/>
      </c>
      <c r="N437" s="6">
        <f>IF(AND(K437="UNMAPPED",M437=1),ROW(),"")</f>
        <v/>
      </c>
      <c r="O437" s="6">
        <f>IF(AND(I437=1,M437=1),ROW(),"")</f>
        <v/>
      </c>
      <c r="P437" s="6">
        <f>IF(AND(K437="ignored",M437=1),ROW(),"")</f>
        <v/>
      </c>
    </row>
    <row r="438">
      <c r="A438" s="8" t="n"/>
      <c r="B438" s="8" t="n"/>
      <c r="C438" s="6">
        <f>TRIM(A438&amp;"")</f>
        <v/>
      </c>
      <c r="D438" s="6">
        <f>IF(C438="","",SUBSTITUTE(SUBSTITUTE(SUBSTITUTE(SUBSTITUTE(SUBSTITUTE(SUBSTITUTE(SUBSTITUTE(UPPER(TRIM(B438&amp;"")),"₹",""),"RS.",""),"RS",""),"INR",""),"$",""),",","")," ",""))</f>
        <v/>
      </c>
      <c r="E438" s="6">
        <f>IF(C438="","",IF(RIGHT(D438,2)="CR","Cr",IF(RIGHT(D438,2)="DR","Dr","")))</f>
        <v/>
      </c>
      <c r="F438" s="6">
        <f>IF(C438="","",IF(E438&lt;&gt;"",LEFT(D438,LEN(D438)-2),D438))</f>
        <v/>
      </c>
      <c r="G438" s="13">
        <f>IF(C438="","",IF(OR(IF(AND(LEFT(F438,1)="(",RIGHT(F438,1)=")"),MID(F438,2,LEN(F438)-2),F438)="",IF(AND(LEFT(F438,1)="(",RIGHT(F438,1)=")"),MID(F438,2,LEN(F438)-2),F438)="-"),0,IFERROR(VALUE(IF(AND(LEFT(F438,1)="(",RIGHT(F438,1)=")"),MID(F438,2,LEN(F438)-2),F438))*IF(AND(LEFT(F438,1)="(",RIGHT(F438,1)=")"),-1,1)*IF(E438="Cr",Setup!$B$6,1),"ERR")))</f>
        <v/>
      </c>
      <c r="H438" s="6">
        <f>IF(C438="","",IF(ISNUMBER(G438),1,0))</f>
        <v/>
      </c>
      <c r="I438" s="6">
        <f>IF(C438="","",IF(SUMPRODUCT(($C$12:$C$1511=C438)*1)&gt;1,1,0))</f>
        <v/>
      </c>
      <c r="J438" s="6">
        <f>IF(C438="","",SUMPRODUCT((Mapping!$F$5:$F$504=Setup!$B$4&amp;"||"&amp;C438)*ROW(Mapping!$F$5:$F$504)))</f>
        <v/>
      </c>
      <c r="K438" s="6">
        <f>IF(C438="","",IF(J438=0,"UNMAPPED",LOWER(INDEX(Mapping!$D$1:$D$504,J438))))</f>
        <v/>
      </c>
      <c r="L438" s="6">
        <f>IF(K438="mapped",TRIM(INDEX(Mapping!$C$1:$C$504,J438)),"")</f>
        <v/>
      </c>
      <c r="M438" s="6">
        <f>IF(C438="","",IF(SUMPRODUCT(($C$12:C438=C438)*1)=1,1,0))</f>
        <v/>
      </c>
      <c r="N438" s="6">
        <f>IF(AND(K438="UNMAPPED",M438=1),ROW(),"")</f>
        <v/>
      </c>
      <c r="O438" s="6">
        <f>IF(AND(I438=1,M438=1),ROW(),"")</f>
        <v/>
      </c>
      <c r="P438" s="6">
        <f>IF(AND(K438="ignored",M438=1),ROW(),"")</f>
        <v/>
      </c>
    </row>
    <row r="439">
      <c r="A439" s="8" t="n"/>
      <c r="B439" s="8" t="n"/>
      <c r="C439" s="6">
        <f>TRIM(A439&amp;"")</f>
        <v/>
      </c>
      <c r="D439" s="6">
        <f>IF(C439="","",SUBSTITUTE(SUBSTITUTE(SUBSTITUTE(SUBSTITUTE(SUBSTITUTE(SUBSTITUTE(SUBSTITUTE(UPPER(TRIM(B439&amp;"")),"₹",""),"RS.",""),"RS",""),"INR",""),"$",""),",","")," ",""))</f>
        <v/>
      </c>
      <c r="E439" s="6">
        <f>IF(C439="","",IF(RIGHT(D439,2)="CR","Cr",IF(RIGHT(D439,2)="DR","Dr","")))</f>
        <v/>
      </c>
      <c r="F439" s="6">
        <f>IF(C439="","",IF(E439&lt;&gt;"",LEFT(D439,LEN(D439)-2),D439))</f>
        <v/>
      </c>
      <c r="G439" s="13">
        <f>IF(C439="","",IF(OR(IF(AND(LEFT(F439,1)="(",RIGHT(F439,1)=")"),MID(F439,2,LEN(F439)-2),F439)="",IF(AND(LEFT(F439,1)="(",RIGHT(F439,1)=")"),MID(F439,2,LEN(F439)-2),F439)="-"),0,IFERROR(VALUE(IF(AND(LEFT(F439,1)="(",RIGHT(F439,1)=")"),MID(F439,2,LEN(F439)-2),F439))*IF(AND(LEFT(F439,1)="(",RIGHT(F439,1)=")"),-1,1)*IF(E439="Cr",Setup!$B$6,1),"ERR")))</f>
        <v/>
      </c>
      <c r="H439" s="6">
        <f>IF(C439="","",IF(ISNUMBER(G439),1,0))</f>
        <v/>
      </c>
      <c r="I439" s="6">
        <f>IF(C439="","",IF(SUMPRODUCT(($C$12:$C$1511=C439)*1)&gt;1,1,0))</f>
        <v/>
      </c>
      <c r="J439" s="6">
        <f>IF(C439="","",SUMPRODUCT((Mapping!$F$5:$F$504=Setup!$B$4&amp;"||"&amp;C439)*ROW(Mapping!$F$5:$F$504)))</f>
        <v/>
      </c>
      <c r="K439" s="6">
        <f>IF(C439="","",IF(J439=0,"UNMAPPED",LOWER(INDEX(Mapping!$D$1:$D$504,J439))))</f>
        <v/>
      </c>
      <c r="L439" s="6">
        <f>IF(K439="mapped",TRIM(INDEX(Mapping!$C$1:$C$504,J439)),"")</f>
        <v/>
      </c>
      <c r="M439" s="6">
        <f>IF(C439="","",IF(SUMPRODUCT(($C$12:C439=C439)*1)=1,1,0))</f>
        <v/>
      </c>
      <c r="N439" s="6">
        <f>IF(AND(K439="UNMAPPED",M439=1),ROW(),"")</f>
        <v/>
      </c>
      <c r="O439" s="6">
        <f>IF(AND(I439=1,M439=1),ROW(),"")</f>
        <v/>
      </c>
      <c r="P439" s="6">
        <f>IF(AND(K439="ignored",M439=1),ROW(),"")</f>
        <v/>
      </c>
    </row>
    <row r="440">
      <c r="A440" s="8" t="n"/>
      <c r="B440" s="8" t="n"/>
      <c r="C440" s="6">
        <f>TRIM(A440&amp;"")</f>
        <v/>
      </c>
      <c r="D440" s="6">
        <f>IF(C440="","",SUBSTITUTE(SUBSTITUTE(SUBSTITUTE(SUBSTITUTE(SUBSTITUTE(SUBSTITUTE(SUBSTITUTE(UPPER(TRIM(B440&amp;"")),"₹",""),"RS.",""),"RS",""),"INR",""),"$",""),",","")," ",""))</f>
        <v/>
      </c>
      <c r="E440" s="6">
        <f>IF(C440="","",IF(RIGHT(D440,2)="CR","Cr",IF(RIGHT(D440,2)="DR","Dr","")))</f>
        <v/>
      </c>
      <c r="F440" s="6">
        <f>IF(C440="","",IF(E440&lt;&gt;"",LEFT(D440,LEN(D440)-2),D440))</f>
        <v/>
      </c>
      <c r="G440" s="13">
        <f>IF(C440="","",IF(OR(IF(AND(LEFT(F440,1)="(",RIGHT(F440,1)=")"),MID(F440,2,LEN(F440)-2),F440)="",IF(AND(LEFT(F440,1)="(",RIGHT(F440,1)=")"),MID(F440,2,LEN(F440)-2),F440)="-"),0,IFERROR(VALUE(IF(AND(LEFT(F440,1)="(",RIGHT(F440,1)=")"),MID(F440,2,LEN(F440)-2),F440))*IF(AND(LEFT(F440,1)="(",RIGHT(F440,1)=")"),-1,1)*IF(E440="Cr",Setup!$B$6,1),"ERR")))</f>
        <v/>
      </c>
      <c r="H440" s="6">
        <f>IF(C440="","",IF(ISNUMBER(G440),1,0))</f>
        <v/>
      </c>
      <c r="I440" s="6">
        <f>IF(C440="","",IF(SUMPRODUCT(($C$12:$C$1511=C440)*1)&gt;1,1,0))</f>
        <v/>
      </c>
      <c r="J440" s="6">
        <f>IF(C440="","",SUMPRODUCT((Mapping!$F$5:$F$504=Setup!$B$4&amp;"||"&amp;C440)*ROW(Mapping!$F$5:$F$504)))</f>
        <v/>
      </c>
      <c r="K440" s="6">
        <f>IF(C440="","",IF(J440=0,"UNMAPPED",LOWER(INDEX(Mapping!$D$1:$D$504,J440))))</f>
        <v/>
      </c>
      <c r="L440" s="6">
        <f>IF(K440="mapped",TRIM(INDEX(Mapping!$C$1:$C$504,J440)),"")</f>
        <v/>
      </c>
      <c r="M440" s="6">
        <f>IF(C440="","",IF(SUMPRODUCT(($C$12:C440=C440)*1)=1,1,0))</f>
        <v/>
      </c>
      <c r="N440" s="6">
        <f>IF(AND(K440="UNMAPPED",M440=1),ROW(),"")</f>
        <v/>
      </c>
      <c r="O440" s="6">
        <f>IF(AND(I440=1,M440=1),ROW(),"")</f>
        <v/>
      </c>
      <c r="P440" s="6">
        <f>IF(AND(K440="ignored",M440=1),ROW(),"")</f>
        <v/>
      </c>
    </row>
    <row r="441">
      <c r="A441" s="8" t="n"/>
      <c r="B441" s="8" t="n"/>
      <c r="C441" s="6">
        <f>TRIM(A441&amp;"")</f>
        <v/>
      </c>
      <c r="D441" s="6">
        <f>IF(C441="","",SUBSTITUTE(SUBSTITUTE(SUBSTITUTE(SUBSTITUTE(SUBSTITUTE(SUBSTITUTE(SUBSTITUTE(UPPER(TRIM(B441&amp;"")),"₹",""),"RS.",""),"RS",""),"INR",""),"$",""),",","")," ",""))</f>
        <v/>
      </c>
      <c r="E441" s="6">
        <f>IF(C441="","",IF(RIGHT(D441,2)="CR","Cr",IF(RIGHT(D441,2)="DR","Dr","")))</f>
        <v/>
      </c>
      <c r="F441" s="6">
        <f>IF(C441="","",IF(E441&lt;&gt;"",LEFT(D441,LEN(D441)-2),D441))</f>
        <v/>
      </c>
      <c r="G441" s="13">
        <f>IF(C441="","",IF(OR(IF(AND(LEFT(F441,1)="(",RIGHT(F441,1)=")"),MID(F441,2,LEN(F441)-2),F441)="",IF(AND(LEFT(F441,1)="(",RIGHT(F441,1)=")"),MID(F441,2,LEN(F441)-2),F441)="-"),0,IFERROR(VALUE(IF(AND(LEFT(F441,1)="(",RIGHT(F441,1)=")"),MID(F441,2,LEN(F441)-2),F441))*IF(AND(LEFT(F441,1)="(",RIGHT(F441,1)=")"),-1,1)*IF(E441="Cr",Setup!$B$6,1),"ERR")))</f>
        <v/>
      </c>
      <c r="H441" s="6">
        <f>IF(C441="","",IF(ISNUMBER(G441),1,0))</f>
        <v/>
      </c>
      <c r="I441" s="6">
        <f>IF(C441="","",IF(SUMPRODUCT(($C$12:$C$1511=C441)*1)&gt;1,1,0))</f>
        <v/>
      </c>
      <c r="J441" s="6">
        <f>IF(C441="","",SUMPRODUCT((Mapping!$F$5:$F$504=Setup!$B$4&amp;"||"&amp;C441)*ROW(Mapping!$F$5:$F$504)))</f>
        <v/>
      </c>
      <c r="K441" s="6">
        <f>IF(C441="","",IF(J441=0,"UNMAPPED",LOWER(INDEX(Mapping!$D$1:$D$504,J441))))</f>
        <v/>
      </c>
      <c r="L441" s="6">
        <f>IF(K441="mapped",TRIM(INDEX(Mapping!$C$1:$C$504,J441)),"")</f>
        <v/>
      </c>
      <c r="M441" s="6">
        <f>IF(C441="","",IF(SUMPRODUCT(($C$12:C441=C441)*1)=1,1,0))</f>
        <v/>
      </c>
      <c r="N441" s="6">
        <f>IF(AND(K441="UNMAPPED",M441=1),ROW(),"")</f>
        <v/>
      </c>
      <c r="O441" s="6">
        <f>IF(AND(I441=1,M441=1),ROW(),"")</f>
        <v/>
      </c>
      <c r="P441" s="6">
        <f>IF(AND(K441="ignored",M441=1),ROW(),"")</f>
        <v/>
      </c>
    </row>
    <row r="442">
      <c r="A442" s="8" t="n"/>
      <c r="B442" s="8" t="n"/>
      <c r="C442" s="6">
        <f>TRIM(A442&amp;"")</f>
        <v/>
      </c>
      <c r="D442" s="6">
        <f>IF(C442="","",SUBSTITUTE(SUBSTITUTE(SUBSTITUTE(SUBSTITUTE(SUBSTITUTE(SUBSTITUTE(SUBSTITUTE(UPPER(TRIM(B442&amp;"")),"₹",""),"RS.",""),"RS",""),"INR",""),"$",""),",","")," ",""))</f>
        <v/>
      </c>
      <c r="E442" s="6">
        <f>IF(C442="","",IF(RIGHT(D442,2)="CR","Cr",IF(RIGHT(D442,2)="DR","Dr","")))</f>
        <v/>
      </c>
      <c r="F442" s="6">
        <f>IF(C442="","",IF(E442&lt;&gt;"",LEFT(D442,LEN(D442)-2),D442))</f>
        <v/>
      </c>
      <c r="G442" s="13">
        <f>IF(C442="","",IF(OR(IF(AND(LEFT(F442,1)="(",RIGHT(F442,1)=")"),MID(F442,2,LEN(F442)-2),F442)="",IF(AND(LEFT(F442,1)="(",RIGHT(F442,1)=")"),MID(F442,2,LEN(F442)-2),F442)="-"),0,IFERROR(VALUE(IF(AND(LEFT(F442,1)="(",RIGHT(F442,1)=")"),MID(F442,2,LEN(F442)-2),F442))*IF(AND(LEFT(F442,1)="(",RIGHT(F442,1)=")"),-1,1)*IF(E442="Cr",Setup!$B$6,1),"ERR")))</f>
        <v/>
      </c>
      <c r="H442" s="6">
        <f>IF(C442="","",IF(ISNUMBER(G442),1,0))</f>
        <v/>
      </c>
      <c r="I442" s="6">
        <f>IF(C442="","",IF(SUMPRODUCT(($C$12:$C$1511=C442)*1)&gt;1,1,0))</f>
        <v/>
      </c>
      <c r="J442" s="6">
        <f>IF(C442="","",SUMPRODUCT((Mapping!$F$5:$F$504=Setup!$B$4&amp;"||"&amp;C442)*ROW(Mapping!$F$5:$F$504)))</f>
        <v/>
      </c>
      <c r="K442" s="6">
        <f>IF(C442="","",IF(J442=0,"UNMAPPED",LOWER(INDEX(Mapping!$D$1:$D$504,J442))))</f>
        <v/>
      </c>
      <c r="L442" s="6">
        <f>IF(K442="mapped",TRIM(INDEX(Mapping!$C$1:$C$504,J442)),"")</f>
        <v/>
      </c>
      <c r="M442" s="6">
        <f>IF(C442="","",IF(SUMPRODUCT(($C$12:C442=C442)*1)=1,1,0))</f>
        <v/>
      </c>
      <c r="N442" s="6">
        <f>IF(AND(K442="UNMAPPED",M442=1),ROW(),"")</f>
        <v/>
      </c>
      <c r="O442" s="6">
        <f>IF(AND(I442=1,M442=1),ROW(),"")</f>
        <v/>
      </c>
      <c r="P442" s="6">
        <f>IF(AND(K442="ignored",M442=1),ROW(),"")</f>
        <v/>
      </c>
    </row>
    <row r="443">
      <c r="A443" s="8" t="n"/>
      <c r="B443" s="8" t="n"/>
      <c r="C443" s="6">
        <f>TRIM(A443&amp;"")</f>
        <v/>
      </c>
      <c r="D443" s="6">
        <f>IF(C443="","",SUBSTITUTE(SUBSTITUTE(SUBSTITUTE(SUBSTITUTE(SUBSTITUTE(SUBSTITUTE(SUBSTITUTE(UPPER(TRIM(B443&amp;"")),"₹",""),"RS.",""),"RS",""),"INR",""),"$",""),",","")," ",""))</f>
        <v/>
      </c>
      <c r="E443" s="6">
        <f>IF(C443="","",IF(RIGHT(D443,2)="CR","Cr",IF(RIGHT(D443,2)="DR","Dr","")))</f>
        <v/>
      </c>
      <c r="F443" s="6">
        <f>IF(C443="","",IF(E443&lt;&gt;"",LEFT(D443,LEN(D443)-2),D443))</f>
        <v/>
      </c>
      <c r="G443" s="13">
        <f>IF(C443="","",IF(OR(IF(AND(LEFT(F443,1)="(",RIGHT(F443,1)=")"),MID(F443,2,LEN(F443)-2),F443)="",IF(AND(LEFT(F443,1)="(",RIGHT(F443,1)=")"),MID(F443,2,LEN(F443)-2),F443)="-"),0,IFERROR(VALUE(IF(AND(LEFT(F443,1)="(",RIGHT(F443,1)=")"),MID(F443,2,LEN(F443)-2),F443))*IF(AND(LEFT(F443,1)="(",RIGHT(F443,1)=")"),-1,1)*IF(E443="Cr",Setup!$B$6,1),"ERR")))</f>
        <v/>
      </c>
      <c r="H443" s="6">
        <f>IF(C443="","",IF(ISNUMBER(G443),1,0))</f>
        <v/>
      </c>
      <c r="I443" s="6">
        <f>IF(C443="","",IF(SUMPRODUCT(($C$12:$C$1511=C443)*1)&gt;1,1,0))</f>
        <v/>
      </c>
      <c r="J443" s="6">
        <f>IF(C443="","",SUMPRODUCT((Mapping!$F$5:$F$504=Setup!$B$4&amp;"||"&amp;C443)*ROW(Mapping!$F$5:$F$504)))</f>
        <v/>
      </c>
      <c r="K443" s="6">
        <f>IF(C443="","",IF(J443=0,"UNMAPPED",LOWER(INDEX(Mapping!$D$1:$D$504,J443))))</f>
        <v/>
      </c>
      <c r="L443" s="6">
        <f>IF(K443="mapped",TRIM(INDEX(Mapping!$C$1:$C$504,J443)),"")</f>
        <v/>
      </c>
      <c r="M443" s="6">
        <f>IF(C443="","",IF(SUMPRODUCT(($C$12:C443=C443)*1)=1,1,0))</f>
        <v/>
      </c>
      <c r="N443" s="6">
        <f>IF(AND(K443="UNMAPPED",M443=1),ROW(),"")</f>
        <v/>
      </c>
      <c r="O443" s="6">
        <f>IF(AND(I443=1,M443=1),ROW(),"")</f>
        <v/>
      </c>
      <c r="P443" s="6">
        <f>IF(AND(K443="ignored",M443=1),ROW(),"")</f>
        <v/>
      </c>
    </row>
    <row r="444">
      <c r="A444" s="8" t="n"/>
      <c r="B444" s="8" t="n"/>
      <c r="C444" s="6">
        <f>TRIM(A444&amp;"")</f>
        <v/>
      </c>
      <c r="D444" s="6">
        <f>IF(C444="","",SUBSTITUTE(SUBSTITUTE(SUBSTITUTE(SUBSTITUTE(SUBSTITUTE(SUBSTITUTE(SUBSTITUTE(UPPER(TRIM(B444&amp;"")),"₹",""),"RS.",""),"RS",""),"INR",""),"$",""),",","")," ",""))</f>
        <v/>
      </c>
      <c r="E444" s="6">
        <f>IF(C444="","",IF(RIGHT(D444,2)="CR","Cr",IF(RIGHT(D444,2)="DR","Dr","")))</f>
        <v/>
      </c>
      <c r="F444" s="6">
        <f>IF(C444="","",IF(E444&lt;&gt;"",LEFT(D444,LEN(D444)-2),D444))</f>
        <v/>
      </c>
      <c r="G444" s="13">
        <f>IF(C444="","",IF(OR(IF(AND(LEFT(F444,1)="(",RIGHT(F444,1)=")"),MID(F444,2,LEN(F444)-2),F444)="",IF(AND(LEFT(F444,1)="(",RIGHT(F444,1)=")"),MID(F444,2,LEN(F444)-2),F444)="-"),0,IFERROR(VALUE(IF(AND(LEFT(F444,1)="(",RIGHT(F444,1)=")"),MID(F444,2,LEN(F444)-2),F444))*IF(AND(LEFT(F444,1)="(",RIGHT(F444,1)=")"),-1,1)*IF(E444="Cr",Setup!$B$6,1),"ERR")))</f>
        <v/>
      </c>
      <c r="H444" s="6">
        <f>IF(C444="","",IF(ISNUMBER(G444),1,0))</f>
        <v/>
      </c>
      <c r="I444" s="6">
        <f>IF(C444="","",IF(SUMPRODUCT(($C$12:$C$1511=C444)*1)&gt;1,1,0))</f>
        <v/>
      </c>
      <c r="J444" s="6">
        <f>IF(C444="","",SUMPRODUCT((Mapping!$F$5:$F$504=Setup!$B$4&amp;"||"&amp;C444)*ROW(Mapping!$F$5:$F$504)))</f>
        <v/>
      </c>
      <c r="K444" s="6">
        <f>IF(C444="","",IF(J444=0,"UNMAPPED",LOWER(INDEX(Mapping!$D$1:$D$504,J444))))</f>
        <v/>
      </c>
      <c r="L444" s="6">
        <f>IF(K444="mapped",TRIM(INDEX(Mapping!$C$1:$C$504,J444)),"")</f>
        <v/>
      </c>
      <c r="M444" s="6">
        <f>IF(C444="","",IF(SUMPRODUCT(($C$12:C444=C444)*1)=1,1,0))</f>
        <v/>
      </c>
      <c r="N444" s="6">
        <f>IF(AND(K444="UNMAPPED",M444=1),ROW(),"")</f>
        <v/>
      </c>
      <c r="O444" s="6">
        <f>IF(AND(I444=1,M444=1),ROW(),"")</f>
        <v/>
      </c>
      <c r="P444" s="6">
        <f>IF(AND(K444="ignored",M444=1),ROW(),"")</f>
        <v/>
      </c>
    </row>
    <row r="445">
      <c r="A445" s="8" t="n"/>
      <c r="B445" s="8" t="n"/>
      <c r="C445" s="6">
        <f>TRIM(A445&amp;"")</f>
        <v/>
      </c>
      <c r="D445" s="6">
        <f>IF(C445="","",SUBSTITUTE(SUBSTITUTE(SUBSTITUTE(SUBSTITUTE(SUBSTITUTE(SUBSTITUTE(SUBSTITUTE(UPPER(TRIM(B445&amp;"")),"₹",""),"RS.",""),"RS",""),"INR",""),"$",""),",","")," ",""))</f>
        <v/>
      </c>
      <c r="E445" s="6">
        <f>IF(C445="","",IF(RIGHT(D445,2)="CR","Cr",IF(RIGHT(D445,2)="DR","Dr","")))</f>
        <v/>
      </c>
      <c r="F445" s="6">
        <f>IF(C445="","",IF(E445&lt;&gt;"",LEFT(D445,LEN(D445)-2),D445))</f>
        <v/>
      </c>
      <c r="G445" s="13">
        <f>IF(C445="","",IF(OR(IF(AND(LEFT(F445,1)="(",RIGHT(F445,1)=")"),MID(F445,2,LEN(F445)-2),F445)="",IF(AND(LEFT(F445,1)="(",RIGHT(F445,1)=")"),MID(F445,2,LEN(F445)-2),F445)="-"),0,IFERROR(VALUE(IF(AND(LEFT(F445,1)="(",RIGHT(F445,1)=")"),MID(F445,2,LEN(F445)-2),F445))*IF(AND(LEFT(F445,1)="(",RIGHT(F445,1)=")"),-1,1)*IF(E445="Cr",Setup!$B$6,1),"ERR")))</f>
        <v/>
      </c>
      <c r="H445" s="6">
        <f>IF(C445="","",IF(ISNUMBER(G445),1,0))</f>
        <v/>
      </c>
      <c r="I445" s="6">
        <f>IF(C445="","",IF(SUMPRODUCT(($C$12:$C$1511=C445)*1)&gt;1,1,0))</f>
        <v/>
      </c>
      <c r="J445" s="6">
        <f>IF(C445="","",SUMPRODUCT((Mapping!$F$5:$F$504=Setup!$B$4&amp;"||"&amp;C445)*ROW(Mapping!$F$5:$F$504)))</f>
        <v/>
      </c>
      <c r="K445" s="6">
        <f>IF(C445="","",IF(J445=0,"UNMAPPED",LOWER(INDEX(Mapping!$D$1:$D$504,J445))))</f>
        <v/>
      </c>
      <c r="L445" s="6">
        <f>IF(K445="mapped",TRIM(INDEX(Mapping!$C$1:$C$504,J445)),"")</f>
        <v/>
      </c>
      <c r="M445" s="6">
        <f>IF(C445="","",IF(SUMPRODUCT(($C$12:C445=C445)*1)=1,1,0))</f>
        <v/>
      </c>
      <c r="N445" s="6">
        <f>IF(AND(K445="UNMAPPED",M445=1),ROW(),"")</f>
        <v/>
      </c>
      <c r="O445" s="6">
        <f>IF(AND(I445=1,M445=1),ROW(),"")</f>
        <v/>
      </c>
      <c r="P445" s="6">
        <f>IF(AND(K445="ignored",M445=1),ROW(),"")</f>
        <v/>
      </c>
    </row>
    <row r="446">
      <c r="A446" s="8" t="n"/>
      <c r="B446" s="8" t="n"/>
      <c r="C446" s="6">
        <f>TRIM(A446&amp;"")</f>
        <v/>
      </c>
      <c r="D446" s="6">
        <f>IF(C446="","",SUBSTITUTE(SUBSTITUTE(SUBSTITUTE(SUBSTITUTE(SUBSTITUTE(SUBSTITUTE(SUBSTITUTE(UPPER(TRIM(B446&amp;"")),"₹",""),"RS.",""),"RS",""),"INR",""),"$",""),",","")," ",""))</f>
        <v/>
      </c>
      <c r="E446" s="6">
        <f>IF(C446="","",IF(RIGHT(D446,2)="CR","Cr",IF(RIGHT(D446,2)="DR","Dr","")))</f>
        <v/>
      </c>
      <c r="F446" s="6">
        <f>IF(C446="","",IF(E446&lt;&gt;"",LEFT(D446,LEN(D446)-2),D446))</f>
        <v/>
      </c>
      <c r="G446" s="13">
        <f>IF(C446="","",IF(OR(IF(AND(LEFT(F446,1)="(",RIGHT(F446,1)=")"),MID(F446,2,LEN(F446)-2),F446)="",IF(AND(LEFT(F446,1)="(",RIGHT(F446,1)=")"),MID(F446,2,LEN(F446)-2),F446)="-"),0,IFERROR(VALUE(IF(AND(LEFT(F446,1)="(",RIGHT(F446,1)=")"),MID(F446,2,LEN(F446)-2),F446))*IF(AND(LEFT(F446,1)="(",RIGHT(F446,1)=")"),-1,1)*IF(E446="Cr",Setup!$B$6,1),"ERR")))</f>
        <v/>
      </c>
      <c r="H446" s="6">
        <f>IF(C446="","",IF(ISNUMBER(G446),1,0))</f>
        <v/>
      </c>
      <c r="I446" s="6">
        <f>IF(C446="","",IF(SUMPRODUCT(($C$12:$C$1511=C446)*1)&gt;1,1,0))</f>
        <v/>
      </c>
      <c r="J446" s="6">
        <f>IF(C446="","",SUMPRODUCT((Mapping!$F$5:$F$504=Setup!$B$4&amp;"||"&amp;C446)*ROW(Mapping!$F$5:$F$504)))</f>
        <v/>
      </c>
      <c r="K446" s="6">
        <f>IF(C446="","",IF(J446=0,"UNMAPPED",LOWER(INDEX(Mapping!$D$1:$D$504,J446))))</f>
        <v/>
      </c>
      <c r="L446" s="6">
        <f>IF(K446="mapped",TRIM(INDEX(Mapping!$C$1:$C$504,J446)),"")</f>
        <v/>
      </c>
      <c r="M446" s="6">
        <f>IF(C446="","",IF(SUMPRODUCT(($C$12:C446=C446)*1)=1,1,0))</f>
        <v/>
      </c>
      <c r="N446" s="6">
        <f>IF(AND(K446="UNMAPPED",M446=1),ROW(),"")</f>
        <v/>
      </c>
      <c r="O446" s="6">
        <f>IF(AND(I446=1,M446=1),ROW(),"")</f>
        <v/>
      </c>
      <c r="P446" s="6">
        <f>IF(AND(K446="ignored",M446=1),ROW(),"")</f>
        <v/>
      </c>
    </row>
    <row r="447">
      <c r="A447" s="8" t="n"/>
      <c r="B447" s="8" t="n"/>
      <c r="C447" s="6">
        <f>TRIM(A447&amp;"")</f>
        <v/>
      </c>
      <c r="D447" s="6">
        <f>IF(C447="","",SUBSTITUTE(SUBSTITUTE(SUBSTITUTE(SUBSTITUTE(SUBSTITUTE(SUBSTITUTE(SUBSTITUTE(UPPER(TRIM(B447&amp;"")),"₹",""),"RS.",""),"RS",""),"INR",""),"$",""),",","")," ",""))</f>
        <v/>
      </c>
      <c r="E447" s="6">
        <f>IF(C447="","",IF(RIGHT(D447,2)="CR","Cr",IF(RIGHT(D447,2)="DR","Dr","")))</f>
        <v/>
      </c>
      <c r="F447" s="6">
        <f>IF(C447="","",IF(E447&lt;&gt;"",LEFT(D447,LEN(D447)-2),D447))</f>
        <v/>
      </c>
      <c r="G447" s="13">
        <f>IF(C447="","",IF(OR(IF(AND(LEFT(F447,1)="(",RIGHT(F447,1)=")"),MID(F447,2,LEN(F447)-2),F447)="",IF(AND(LEFT(F447,1)="(",RIGHT(F447,1)=")"),MID(F447,2,LEN(F447)-2),F447)="-"),0,IFERROR(VALUE(IF(AND(LEFT(F447,1)="(",RIGHT(F447,1)=")"),MID(F447,2,LEN(F447)-2),F447))*IF(AND(LEFT(F447,1)="(",RIGHT(F447,1)=")"),-1,1)*IF(E447="Cr",Setup!$B$6,1),"ERR")))</f>
        <v/>
      </c>
      <c r="H447" s="6">
        <f>IF(C447="","",IF(ISNUMBER(G447),1,0))</f>
        <v/>
      </c>
      <c r="I447" s="6">
        <f>IF(C447="","",IF(SUMPRODUCT(($C$12:$C$1511=C447)*1)&gt;1,1,0))</f>
        <v/>
      </c>
      <c r="J447" s="6">
        <f>IF(C447="","",SUMPRODUCT((Mapping!$F$5:$F$504=Setup!$B$4&amp;"||"&amp;C447)*ROW(Mapping!$F$5:$F$504)))</f>
        <v/>
      </c>
      <c r="K447" s="6">
        <f>IF(C447="","",IF(J447=0,"UNMAPPED",LOWER(INDEX(Mapping!$D$1:$D$504,J447))))</f>
        <v/>
      </c>
      <c r="L447" s="6">
        <f>IF(K447="mapped",TRIM(INDEX(Mapping!$C$1:$C$504,J447)),"")</f>
        <v/>
      </c>
      <c r="M447" s="6">
        <f>IF(C447="","",IF(SUMPRODUCT(($C$12:C447=C447)*1)=1,1,0))</f>
        <v/>
      </c>
      <c r="N447" s="6">
        <f>IF(AND(K447="UNMAPPED",M447=1),ROW(),"")</f>
        <v/>
      </c>
      <c r="O447" s="6">
        <f>IF(AND(I447=1,M447=1),ROW(),"")</f>
        <v/>
      </c>
      <c r="P447" s="6">
        <f>IF(AND(K447="ignored",M447=1),ROW(),"")</f>
        <v/>
      </c>
    </row>
    <row r="448">
      <c r="A448" s="8" t="n"/>
      <c r="B448" s="8" t="n"/>
      <c r="C448" s="6">
        <f>TRIM(A448&amp;"")</f>
        <v/>
      </c>
      <c r="D448" s="6">
        <f>IF(C448="","",SUBSTITUTE(SUBSTITUTE(SUBSTITUTE(SUBSTITUTE(SUBSTITUTE(SUBSTITUTE(SUBSTITUTE(UPPER(TRIM(B448&amp;"")),"₹",""),"RS.",""),"RS",""),"INR",""),"$",""),",","")," ",""))</f>
        <v/>
      </c>
      <c r="E448" s="6">
        <f>IF(C448="","",IF(RIGHT(D448,2)="CR","Cr",IF(RIGHT(D448,2)="DR","Dr","")))</f>
        <v/>
      </c>
      <c r="F448" s="6">
        <f>IF(C448="","",IF(E448&lt;&gt;"",LEFT(D448,LEN(D448)-2),D448))</f>
        <v/>
      </c>
      <c r="G448" s="13">
        <f>IF(C448="","",IF(OR(IF(AND(LEFT(F448,1)="(",RIGHT(F448,1)=")"),MID(F448,2,LEN(F448)-2),F448)="",IF(AND(LEFT(F448,1)="(",RIGHT(F448,1)=")"),MID(F448,2,LEN(F448)-2),F448)="-"),0,IFERROR(VALUE(IF(AND(LEFT(F448,1)="(",RIGHT(F448,1)=")"),MID(F448,2,LEN(F448)-2),F448))*IF(AND(LEFT(F448,1)="(",RIGHT(F448,1)=")"),-1,1)*IF(E448="Cr",Setup!$B$6,1),"ERR")))</f>
        <v/>
      </c>
      <c r="H448" s="6">
        <f>IF(C448="","",IF(ISNUMBER(G448),1,0))</f>
        <v/>
      </c>
      <c r="I448" s="6">
        <f>IF(C448="","",IF(SUMPRODUCT(($C$12:$C$1511=C448)*1)&gt;1,1,0))</f>
        <v/>
      </c>
      <c r="J448" s="6">
        <f>IF(C448="","",SUMPRODUCT((Mapping!$F$5:$F$504=Setup!$B$4&amp;"||"&amp;C448)*ROW(Mapping!$F$5:$F$504)))</f>
        <v/>
      </c>
      <c r="K448" s="6">
        <f>IF(C448="","",IF(J448=0,"UNMAPPED",LOWER(INDEX(Mapping!$D$1:$D$504,J448))))</f>
        <v/>
      </c>
      <c r="L448" s="6">
        <f>IF(K448="mapped",TRIM(INDEX(Mapping!$C$1:$C$504,J448)),"")</f>
        <v/>
      </c>
      <c r="M448" s="6">
        <f>IF(C448="","",IF(SUMPRODUCT(($C$12:C448=C448)*1)=1,1,0))</f>
        <v/>
      </c>
      <c r="N448" s="6">
        <f>IF(AND(K448="UNMAPPED",M448=1),ROW(),"")</f>
        <v/>
      </c>
      <c r="O448" s="6">
        <f>IF(AND(I448=1,M448=1),ROW(),"")</f>
        <v/>
      </c>
      <c r="P448" s="6">
        <f>IF(AND(K448="ignored",M448=1),ROW(),"")</f>
        <v/>
      </c>
    </row>
    <row r="449">
      <c r="A449" s="8" t="n"/>
      <c r="B449" s="8" t="n"/>
      <c r="C449" s="6">
        <f>TRIM(A449&amp;"")</f>
        <v/>
      </c>
      <c r="D449" s="6">
        <f>IF(C449="","",SUBSTITUTE(SUBSTITUTE(SUBSTITUTE(SUBSTITUTE(SUBSTITUTE(SUBSTITUTE(SUBSTITUTE(UPPER(TRIM(B449&amp;"")),"₹",""),"RS.",""),"RS",""),"INR",""),"$",""),",","")," ",""))</f>
        <v/>
      </c>
      <c r="E449" s="6">
        <f>IF(C449="","",IF(RIGHT(D449,2)="CR","Cr",IF(RIGHT(D449,2)="DR","Dr","")))</f>
        <v/>
      </c>
      <c r="F449" s="6">
        <f>IF(C449="","",IF(E449&lt;&gt;"",LEFT(D449,LEN(D449)-2),D449))</f>
        <v/>
      </c>
      <c r="G449" s="13">
        <f>IF(C449="","",IF(OR(IF(AND(LEFT(F449,1)="(",RIGHT(F449,1)=")"),MID(F449,2,LEN(F449)-2),F449)="",IF(AND(LEFT(F449,1)="(",RIGHT(F449,1)=")"),MID(F449,2,LEN(F449)-2),F449)="-"),0,IFERROR(VALUE(IF(AND(LEFT(F449,1)="(",RIGHT(F449,1)=")"),MID(F449,2,LEN(F449)-2),F449))*IF(AND(LEFT(F449,1)="(",RIGHT(F449,1)=")"),-1,1)*IF(E449="Cr",Setup!$B$6,1),"ERR")))</f>
        <v/>
      </c>
      <c r="H449" s="6">
        <f>IF(C449="","",IF(ISNUMBER(G449),1,0))</f>
        <v/>
      </c>
      <c r="I449" s="6">
        <f>IF(C449="","",IF(SUMPRODUCT(($C$12:$C$1511=C449)*1)&gt;1,1,0))</f>
        <v/>
      </c>
      <c r="J449" s="6">
        <f>IF(C449="","",SUMPRODUCT((Mapping!$F$5:$F$504=Setup!$B$4&amp;"||"&amp;C449)*ROW(Mapping!$F$5:$F$504)))</f>
        <v/>
      </c>
      <c r="K449" s="6">
        <f>IF(C449="","",IF(J449=0,"UNMAPPED",LOWER(INDEX(Mapping!$D$1:$D$504,J449))))</f>
        <v/>
      </c>
      <c r="L449" s="6">
        <f>IF(K449="mapped",TRIM(INDEX(Mapping!$C$1:$C$504,J449)),"")</f>
        <v/>
      </c>
      <c r="M449" s="6">
        <f>IF(C449="","",IF(SUMPRODUCT(($C$12:C449=C449)*1)=1,1,0))</f>
        <v/>
      </c>
      <c r="N449" s="6">
        <f>IF(AND(K449="UNMAPPED",M449=1),ROW(),"")</f>
        <v/>
      </c>
      <c r="O449" s="6">
        <f>IF(AND(I449=1,M449=1),ROW(),"")</f>
        <v/>
      </c>
      <c r="P449" s="6">
        <f>IF(AND(K449="ignored",M449=1),ROW(),"")</f>
        <v/>
      </c>
    </row>
    <row r="450">
      <c r="A450" s="8" t="n"/>
      <c r="B450" s="8" t="n"/>
      <c r="C450" s="6">
        <f>TRIM(A450&amp;"")</f>
        <v/>
      </c>
      <c r="D450" s="6">
        <f>IF(C450="","",SUBSTITUTE(SUBSTITUTE(SUBSTITUTE(SUBSTITUTE(SUBSTITUTE(SUBSTITUTE(SUBSTITUTE(UPPER(TRIM(B450&amp;"")),"₹",""),"RS.",""),"RS",""),"INR",""),"$",""),",","")," ",""))</f>
        <v/>
      </c>
      <c r="E450" s="6">
        <f>IF(C450="","",IF(RIGHT(D450,2)="CR","Cr",IF(RIGHT(D450,2)="DR","Dr","")))</f>
        <v/>
      </c>
      <c r="F450" s="6">
        <f>IF(C450="","",IF(E450&lt;&gt;"",LEFT(D450,LEN(D450)-2),D450))</f>
        <v/>
      </c>
      <c r="G450" s="13">
        <f>IF(C450="","",IF(OR(IF(AND(LEFT(F450,1)="(",RIGHT(F450,1)=")"),MID(F450,2,LEN(F450)-2),F450)="",IF(AND(LEFT(F450,1)="(",RIGHT(F450,1)=")"),MID(F450,2,LEN(F450)-2),F450)="-"),0,IFERROR(VALUE(IF(AND(LEFT(F450,1)="(",RIGHT(F450,1)=")"),MID(F450,2,LEN(F450)-2),F450))*IF(AND(LEFT(F450,1)="(",RIGHT(F450,1)=")"),-1,1)*IF(E450="Cr",Setup!$B$6,1),"ERR")))</f>
        <v/>
      </c>
      <c r="H450" s="6">
        <f>IF(C450="","",IF(ISNUMBER(G450),1,0))</f>
        <v/>
      </c>
      <c r="I450" s="6">
        <f>IF(C450="","",IF(SUMPRODUCT(($C$12:$C$1511=C450)*1)&gt;1,1,0))</f>
        <v/>
      </c>
      <c r="J450" s="6">
        <f>IF(C450="","",SUMPRODUCT((Mapping!$F$5:$F$504=Setup!$B$4&amp;"||"&amp;C450)*ROW(Mapping!$F$5:$F$504)))</f>
        <v/>
      </c>
      <c r="K450" s="6">
        <f>IF(C450="","",IF(J450=0,"UNMAPPED",LOWER(INDEX(Mapping!$D$1:$D$504,J450))))</f>
        <v/>
      </c>
      <c r="L450" s="6">
        <f>IF(K450="mapped",TRIM(INDEX(Mapping!$C$1:$C$504,J450)),"")</f>
        <v/>
      </c>
      <c r="M450" s="6">
        <f>IF(C450="","",IF(SUMPRODUCT(($C$12:C450=C450)*1)=1,1,0))</f>
        <v/>
      </c>
      <c r="N450" s="6">
        <f>IF(AND(K450="UNMAPPED",M450=1),ROW(),"")</f>
        <v/>
      </c>
      <c r="O450" s="6">
        <f>IF(AND(I450=1,M450=1),ROW(),"")</f>
        <v/>
      </c>
      <c r="P450" s="6">
        <f>IF(AND(K450="ignored",M450=1),ROW(),"")</f>
        <v/>
      </c>
    </row>
    <row r="451">
      <c r="A451" s="8" t="n"/>
      <c r="B451" s="8" t="n"/>
      <c r="C451" s="6">
        <f>TRIM(A451&amp;"")</f>
        <v/>
      </c>
      <c r="D451" s="6">
        <f>IF(C451="","",SUBSTITUTE(SUBSTITUTE(SUBSTITUTE(SUBSTITUTE(SUBSTITUTE(SUBSTITUTE(SUBSTITUTE(UPPER(TRIM(B451&amp;"")),"₹",""),"RS.",""),"RS",""),"INR",""),"$",""),",","")," ",""))</f>
        <v/>
      </c>
      <c r="E451" s="6">
        <f>IF(C451="","",IF(RIGHT(D451,2)="CR","Cr",IF(RIGHT(D451,2)="DR","Dr","")))</f>
        <v/>
      </c>
      <c r="F451" s="6">
        <f>IF(C451="","",IF(E451&lt;&gt;"",LEFT(D451,LEN(D451)-2),D451))</f>
        <v/>
      </c>
      <c r="G451" s="13">
        <f>IF(C451="","",IF(OR(IF(AND(LEFT(F451,1)="(",RIGHT(F451,1)=")"),MID(F451,2,LEN(F451)-2),F451)="",IF(AND(LEFT(F451,1)="(",RIGHT(F451,1)=")"),MID(F451,2,LEN(F451)-2),F451)="-"),0,IFERROR(VALUE(IF(AND(LEFT(F451,1)="(",RIGHT(F451,1)=")"),MID(F451,2,LEN(F451)-2),F451))*IF(AND(LEFT(F451,1)="(",RIGHT(F451,1)=")"),-1,1)*IF(E451="Cr",Setup!$B$6,1),"ERR")))</f>
        <v/>
      </c>
      <c r="H451" s="6">
        <f>IF(C451="","",IF(ISNUMBER(G451),1,0))</f>
        <v/>
      </c>
      <c r="I451" s="6">
        <f>IF(C451="","",IF(SUMPRODUCT(($C$12:$C$1511=C451)*1)&gt;1,1,0))</f>
        <v/>
      </c>
      <c r="J451" s="6">
        <f>IF(C451="","",SUMPRODUCT((Mapping!$F$5:$F$504=Setup!$B$4&amp;"||"&amp;C451)*ROW(Mapping!$F$5:$F$504)))</f>
        <v/>
      </c>
      <c r="K451" s="6">
        <f>IF(C451="","",IF(J451=0,"UNMAPPED",LOWER(INDEX(Mapping!$D$1:$D$504,J451))))</f>
        <v/>
      </c>
      <c r="L451" s="6">
        <f>IF(K451="mapped",TRIM(INDEX(Mapping!$C$1:$C$504,J451)),"")</f>
        <v/>
      </c>
      <c r="M451" s="6">
        <f>IF(C451="","",IF(SUMPRODUCT(($C$12:C451=C451)*1)=1,1,0))</f>
        <v/>
      </c>
      <c r="N451" s="6">
        <f>IF(AND(K451="UNMAPPED",M451=1),ROW(),"")</f>
        <v/>
      </c>
      <c r="O451" s="6">
        <f>IF(AND(I451=1,M451=1),ROW(),"")</f>
        <v/>
      </c>
      <c r="P451" s="6">
        <f>IF(AND(K451="ignored",M451=1),ROW(),"")</f>
        <v/>
      </c>
    </row>
    <row r="452">
      <c r="A452" s="8" t="n"/>
      <c r="B452" s="8" t="n"/>
      <c r="C452" s="6">
        <f>TRIM(A452&amp;"")</f>
        <v/>
      </c>
      <c r="D452" s="6">
        <f>IF(C452="","",SUBSTITUTE(SUBSTITUTE(SUBSTITUTE(SUBSTITUTE(SUBSTITUTE(SUBSTITUTE(SUBSTITUTE(UPPER(TRIM(B452&amp;"")),"₹",""),"RS.",""),"RS",""),"INR",""),"$",""),",","")," ",""))</f>
        <v/>
      </c>
      <c r="E452" s="6">
        <f>IF(C452="","",IF(RIGHT(D452,2)="CR","Cr",IF(RIGHT(D452,2)="DR","Dr","")))</f>
        <v/>
      </c>
      <c r="F452" s="6">
        <f>IF(C452="","",IF(E452&lt;&gt;"",LEFT(D452,LEN(D452)-2),D452))</f>
        <v/>
      </c>
      <c r="G452" s="13">
        <f>IF(C452="","",IF(OR(IF(AND(LEFT(F452,1)="(",RIGHT(F452,1)=")"),MID(F452,2,LEN(F452)-2),F452)="",IF(AND(LEFT(F452,1)="(",RIGHT(F452,1)=")"),MID(F452,2,LEN(F452)-2),F452)="-"),0,IFERROR(VALUE(IF(AND(LEFT(F452,1)="(",RIGHT(F452,1)=")"),MID(F452,2,LEN(F452)-2),F452))*IF(AND(LEFT(F452,1)="(",RIGHT(F452,1)=")"),-1,1)*IF(E452="Cr",Setup!$B$6,1),"ERR")))</f>
        <v/>
      </c>
      <c r="H452" s="6">
        <f>IF(C452="","",IF(ISNUMBER(G452),1,0))</f>
        <v/>
      </c>
      <c r="I452" s="6">
        <f>IF(C452="","",IF(SUMPRODUCT(($C$12:$C$1511=C452)*1)&gt;1,1,0))</f>
        <v/>
      </c>
      <c r="J452" s="6">
        <f>IF(C452="","",SUMPRODUCT((Mapping!$F$5:$F$504=Setup!$B$4&amp;"||"&amp;C452)*ROW(Mapping!$F$5:$F$504)))</f>
        <v/>
      </c>
      <c r="K452" s="6">
        <f>IF(C452="","",IF(J452=0,"UNMAPPED",LOWER(INDEX(Mapping!$D$1:$D$504,J452))))</f>
        <v/>
      </c>
      <c r="L452" s="6">
        <f>IF(K452="mapped",TRIM(INDEX(Mapping!$C$1:$C$504,J452)),"")</f>
        <v/>
      </c>
      <c r="M452" s="6">
        <f>IF(C452="","",IF(SUMPRODUCT(($C$12:C452=C452)*1)=1,1,0))</f>
        <v/>
      </c>
      <c r="N452" s="6">
        <f>IF(AND(K452="UNMAPPED",M452=1),ROW(),"")</f>
        <v/>
      </c>
      <c r="O452" s="6">
        <f>IF(AND(I452=1,M452=1),ROW(),"")</f>
        <v/>
      </c>
      <c r="P452" s="6">
        <f>IF(AND(K452="ignored",M452=1),ROW(),"")</f>
        <v/>
      </c>
    </row>
    <row r="453">
      <c r="A453" s="8" t="n"/>
      <c r="B453" s="8" t="n"/>
      <c r="C453" s="6">
        <f>TRIM(A453&amp;"")</f>
        <v/>
      </c>
      <c r="D453" s="6">
        <f>IF(C453="","",SUBSTITUTE(SUBSTITUTE(SUBSTITUTE(SUBSTITUTE(SUBSTITUTE(SUBSTITUTE(SUBSTITUTE(UPPER(TRIM(B453&amp;"")),"₹",""),"RS.",""),"RS",""),"INR",""),"$",""),",","")," ",""))</f>
        <v/>
      </c>
      <c r="E453" s="6">
        <f>IF(C453="","",IF(RIGHT(D453,2)="CR","Cr",IF(RIGHT(D453,2)="DR","Dr","")))</f>
        <v/>
      </c>
      <c r="F453" s="6">
        <f>IF(C453="","",IF(E453&lt;&gt;"",LEFT(D453,LEN(D453)-2),D453))</f>
        <v/>
      </c>
      <c r="G453" s="13">
        <f>IF(C453="","",IF(OR(IF(AND(LEFT(F453,1)="(",RIGHT(F453,1)=")"),MID(F453,2,LEN(F453)-2),F453)="",IF(AND(LEFT(F453,1)="(",RIGHT(F453,1)=")"),MID(F453,2,LEN(F453)-2),F453)="-"),0,IFERROR(VALUE(IF(AND(LEFT(F453,1)="(",RIGHT(F453,1)=")"),MID(F453,2,LEN(F453)-2),F453))*IF(AND(LEFT(F453,1)="(",RIGHT(F453,1)=")"),-1,1)*IF(E453="Cr",Setup!$B$6,1),"ERR")))</f>
        <v/>
      </c>
      <c r="H453" s="6">
        <f>IF(C453="","",IF(ISNUMBER(G453),1,0))</f>
        <v/>
      </c>
      <c r="I453" s="6">
        <f>IF(C453="","",IF(SUMPRODUCT(($C$12:$C$1511=C453)*1)&gt;1,1,0))</f>
        <v/>
      </c>
      <c r="J453" s="6">
        <f>IF(C453="","",SUMPRODUCT((Mapping!$F$5:$F$504=Setup!$B$4&amp;"||"&amp;C453)*ROW(Mapping!$F$5:$F$504)))</f>
        <v/>
      </c>
      <c r="K453" s="6">
        <f>IF(C453="","",IF(J453=0,"UNMAPPED",LOWER(INDEX(Mapping!$D$1:$D$504,J453))))</f>
        <v/>
      </c>
      <c r="L453" s="6">
        <f>IF(K453="mapped",TRIM(INDEX(Mapping!$C$1:$C$504,J453)),"")</f>
        <v/>
      </c>
      <c r="M453" s="6">
        <f>IF(C453="","",IF(SUMPRODUCT(($C$12:C453=C453)*1)=1,1,0))</f>
        <v/>
      </c>
      <c r="N453" s="6">
        <f>IF(AND(K453="UNMAPPED",M453=1),ROW(),"")</f>
        <v/>
      </c>
      <c r="O453" s="6">
        <f>IF(AND(I453=1,M453=1),ROW(),"")</f>
        <v/>
      </c>
      <c r="P453" s="6">
        <f>IF(AND(K453="ignored",M453=1),ROW(),"")</f>
        <v/>
      </c>
    </row>
    <row r="454">
      <c r="A454" s="8" t="n"/>
      <c r="B454" s="8" t="n"/>
      <c r="C454" s="6">
        <f>TRIM(A454&amp;"")</f>
        <v/>
      </c>
      <c r="D454" s="6">
        <f>IF(C454="","",SUBSTITUTE(SUBSTITUTE(SUBSTITUTE(SUBSTITUTE(SUBSTITUTE(SUBSTITUTE(SUBSTITUTE(UPPER(TRIM(B454&amp;"")),"₹",""),"RS.",""),"RS",""),"INR",""),"$",""),",","")," ",""))</f>
        <v/>
      </c>
      <c r="E454" s="6">
        <f>IF(C454="","",IF(RIGHT(D454,2)="CR","Cr",IF(RIGHT(D454,2)="DR","Dr","")))</f>
        <v/>
      </c>
      <c r="F454" s="6">
        <f>IF(C454="","",IF(E454&lt;&gt;"",LEFT(D454,LEN(D454)-2),D454))</f>
        <v/>
      </c>
      <c r="G454" s="13">
        <f>IF(C454="","",IF(OR(IF(AND(LEFT(F454,1)="(",RIGHT(F454,1)=")"),MID(F454,2,LEN(F454)-2),F454)="",IF(AND(LEFT(F454,1)="(",RIGHT(F454,1)=")"),MID(F454,2,LEN(F454)-2),F454)="-"),0,IFERROR(VALUE(IF(AND(LEFT(F454,1)="(",RIGHT(F454,1)=")"),MID(F454,2,LEN(F454)-2),F454))*IF(AND(LEFT(F454,1)="(",RIGHT(F454,1)=")"),-1,1)*IF(E454="Cr",Setup!$B$6,1),"ERR")))</f>
        <v/>
      </c>
      <c r="H454" s="6">
        <f>IF(C454="","",IF(ISNUMBER(G454),1,0))</f>
        <v/>
      </c>
      <c r="I454" s="6">
        <f>IF(C454="","",IF(SUMPRODUCT(($C$12:$C$1511=C454)*1)&gt;1,1,0))</f>
        <v/>
      </c>
      <c r="J454" s="6">
        <f>IF(C454="","",SUMPRODUCT((Mapping!$F$5:$F$504=Setup!$B$4&amp;"||"&amp;C454)*ROW(Mapping!$F$5:$F$504)))</f>
        <v/>
      </c>
      <c r="K454" s="6">
        <f>IF(C454="","",IF(J454=0,"UNMAPPED",LOWER(INDEX(Mapping!$D$1:$D$504,J454))))</f>
        <v/>
      </c>
      <c r="L454" s="6">
        <f>IF(K454="mapped",TRIM(INDEX(Mapping!$C$1:$C$504,J454)),"")</f>
        <v/>
      </c>
      <c r="M454" s="6">
        <f>IF(C454="","",IF(SUMPRODUCT(($C$12:C454=C454)*1)=1,1,0))</f>
        <v/>
      </c>
      <c r="N454" s="6">
        <f>IF(AND(K454="UNMAPPED",M454=1),ROW(),"")</f>
        <v/>
      </c>
      <c r="O454" s="6">
        <f>IF(AND(I454=1,M454=1),ROW(),"")</f>
        <v/>
      </c>
      <c r="P454" s="6">
        <f>IF(AND(K454="ignored",M454=1),ROW(),"")</f>
        <v/>
      </c>
    </row>
    <row r="455">
      <c r="A455" s="8" t="n"/>
      <c r="B455" s="8" t="n"/>
      <c r="C455" s="6">
        <f>TRIM(A455&amp;"")</f>
        <v/>
      </c>
      <c r="D455" s="6">
        <f>IF(C455="","",SUBSTITUTE(SUBSTITUTE(SUBSTITUTE(SUBSTITUTE(SUBSTITUTE(SUBSTITUTE(SUBSTITUTE(UPPER(TRIM(B455&amp;"")),"₹",""),"RS.",""),"RS",""),"INR",""),"$",""),",","")," ",""))</f>
        <v/>
      </c>
      <c r="E455" s="6">
        <f>IF(C455="","",IF(RIGHT(D455,2)="CR","Cr",IF(RIGHT(D455,2)="DR","Dr","")))</f>
        <v/>
      </c>
      <c r="F455" s="6">
        <f>IF(C455="","",IF(E455&lt;&gt;"",LEFT(D455,LEN(D455)-2),D455))</f>
        <v/>
      </c>
      <c r="G455" s="13">
        <f>IF(C455="","",IF(OR(IF(AND(LEFT(F455,1)="(",RIGHT(F455,1)=")"),MID(F455,2,LEN(F455)-2),F455)="",IF(AND(LEFT(F455,1)="(",RIGHT(F455,1)=")"),MID(F455,2,LEN(F455)-2),F455)="-"),0,IFERROR(VALUE(IF(AND(LEFT(F455,1)="(",RIGHT(F455,1)=")"),MID(F455,2,LEN(F455)-2),F455))*IF(AND(LEFT(F455,1)="(",RIGHT(F455,1)=")"),-1,1)*IF(E455="Cr",Setup!$B$6,1),"ERR")))</f>
        <v/>
      </c>
      <c r="H455" s="6">
        <f>IF(C455="","",IF(ISNUMBER(G455),1,0))</f>
        <v/>
      </c>
      <c r="I455" s="6">
        <f>IF(C455="","",IF(SUMPRODUCT(($C$12:$C$1511=C455)*1)&gt;1,1,0))</f>
        <v/>
      </c>
      <c r="J455" s="6">
        <f>IF(C455="","",SUMPRODUCT((Mapping!$F$5:$F$504=Setup!$B$4&amp;"||"&amp;C455)*ROW(Mapping!$F$5:$F$504)))</f>
        <v/>
      </c>
      <c r="K455" s="6">
        <f>IF(C455="","",IF(J455=0,"UNMAPPED",LOWER(INDEX(Mapping!$D$1:$D$504,J455))))</f>
        <v/>
      </c>
      <c r="L455" s="6">
        <f>IF(K455="mapped",TRIM(INDEX(Mapping!$C$1:$C$504,J455)),"")</f>
        <v/>
      </c>
      <c r="M455" s="6">
        <f>IF(C455="","",IF(SUMPRODUCT(($C$12:C455=C455)*1)=1,1,0))</f>
        <v/>
      </c>
      <c r="N455" s="6">
        <f>IF(AND(K455="UNMAPPED",M455=1),ROW(),"")</f>
        <v/>
      </c>
      <c r="O455" s="6">
        <f>IF(AND(I455=1,M455=1),ROW(),"")</f>
        <v/>
      </c>
      <c r="P455" s="6">
        <f>IF(AND(K455="ignored",M455=1),ROW(),"")</f>
        <v/>
      </c>
    </row>
    <row r="456">
      <c r="A456" s="8" t="n"/>
      <c r="B456" s="8" t="n"/>
      <c r="C456" s="6">
        <f>TRIM(A456&amp;"")</f>
        <v/>
      </c>
      <c r="D456" s="6">
        <f>IF(C456="","",SUBSTITUTE(SUBSTITUTE(SUBSTITUTE(SUBSTITUTE(SUBSTITUTE(SUBSTITUTE(SUBSTITUTE(UPPER(TRIM(B456&amp;"")),"₹",""),"RS.",""),"RS",""),"INR",""),"$",""),",","")," ",""))</f>
        <v/>
      </c>
      <c r="E456" s="6">
        <f>IF(C456="","",IF(RIGHT(D456,2)="CR","Cr",IF(RIGHT(D456,2)="DR","Dr","")))</f>
        <v/>
      </c>
      <c r="F456" s="6">
        <f>IF(C456="","",IF(E456&lt;&gt;"",LEFT(D456,LEN(D456)-2),D456))</f>
        <v/>
      </c>
      <c r="G456" s="13">
        <f>IF(C456="","",IF(OR(IF(AND(LEFT(F456,1)="(",RIGHT(F456,1)=")"),MID(F456,2,LEN(F456)-2),F456)="",IF(AND(LEFT(F456,1)="(",RIGHT(F456,1)=")"),MID(F456,2,LEN(F456)-2),F456)="-"),0,IFERROR(VALUE(IF(AND(LEFT(F456,1)="(",RIGHT(F456,1)=")"),MID(F456,2,LEN(F456)-2),F456))*IF(AND(LEFT(F456,1)="(",RIGHT(F456,1)=")"),-1,1)*IF(E456="Cr",Setup!$B$6,1),"ERR")))</f>
        <v/>
      </c>
      <c r="H456" s="6">
        <f>IF(C456="","",IF(ISNUMBER(G456),1,0))</f>
        <v/>
      </c>
      <c r="I456" s="6">
        <f>IF(C456="","",IF(SUMPRODUCT(($C$12:$C$1511=C456)*1)&gt;1,1,0))</f>
        <v/>
      </c>
      <c r="J456" s="6">
        <f>IF(C456="","",SUMPRODUCT((Mapping!$F$5:$F$504=Setup!$B$4&amp;"||"&amp;C456)*ROW(Mapping!$F$5:$F$504)))</f>
        <v/>
      </c>
      <c r="K456" s="6">
        <f>IF(C456="","",IF(J456=0,"UNMAPPED",LOWER(INDEX(Mapping!$D$1:$D$504,J456))))</f>
        <v/>
      </c>
      <c r="L456" s="6">
        <f>IF(K456="mapped",TRIM(INDEX(Mapping!$C$1:$C$504,J456)),"")</f>
        <v/>
      </c>
      <c r="M456" s="6">
        <f>IF(C456="","",IF(SUMPRODUCT(($C$12:C456=C456)*1)=1,1,0))</f>
        <v/>
      </c>
      <c r="N456" s="6">
        <f>IF(AND(K456="UNMAPPED",M456=1),ROW(),"")</f>
        <v/>
      </c>
      <c r="O456" s="6">
        <f>IF(AND(I456=1,M456=1),ROW(),"")</f>
        <v/>
      </c>
      <c r="P456" s="6">
        <f>IF(AND(K456="ignored",M456=1),ROW(),"")</f>
        <v/>
      </c>
    </row>
    <row r="457">
      <c r="A457" s="8" t="n"/>
      <c r="B457" s="8" t="n"/>
      <c r="C457" s="6">
        <f>TRIM(A457&amp;"")</f>
        <v/>
      </c>
      <c r="D457" s="6">
        <f>IF(C457="","",SUBSTITUTE(SUBSTITUTE(SUBSTITUTE(SUBSTITUTE(SUBSTITUTE(SUBSTITUTE(SUBSTITUTE(UPPER(TRIM(B457&amp;"")),"₹",""),"RS.",""),"RS",""),"INR",""),"$",""),",","")," ",""))</f>
        <v/>
      </c>
      <c r="E457" s="6">
        <f>IF(C457="","",IF(RIGHT(D457,2)="CR","Cr",IF(RIGHT(D457,2)="DR","Dr","")))</f>
        <v/>
      </c>
      <c r="F457" s="6">
        <f>IF(C457="","",IF(E457&lt;&gt;"",LEFT(D457,LEN(D457)-2),D457))</f>
        <v/>
      </c>
      <c r="G457" s="13">
        <f>IF(C457="","",IF(OR(IF(AND(LEFT(F457,1)="(",RIGHT(F457,1)=")"),MID(F457,2,LEN(F457)-2),F457)="",IF(AND(LEFT(F457,1)="(",RIGHT(F457,1)=")"),MID(F457,2,LEN(F457)-2),F457)="-"),0,IFERROR(VALUE(IF(AND(LEFT(F457,1)="(",RIGHT(F457,1)=")"),MID(F457,2,LEN(F457)-2),F457))*IF(AND(LEFT(F457,1)="(",RIGHT(F457,1)=")"),-1,1)*IF(E457="Cr",Setup!$B$6,1),"ERR")))</f>
        <v/>
      </c>
      <c r="H457" s="6">
        <f>IF(C457="","",IF(ISNUMBER(G457),1,0))</f>
        <v/>
      </c>
      <c r="I457" s="6">
        <f>IF(C457="","",IF(SUMPRODUCT(($C$12:$C$1511=C457)*1)&gt;1,1,0))</f>
        <v/>
      </c>
      <c r="J457" s="6">
        <f>IF(C457="","",SUMPRODUCT((Mapping!$F$5:$F$504=Setup!$B$4&amp;"||"&amp;C457)*ROW(Mapping!$F$5:$F$504)))</f>
        <v/>
      </c>
      <c r="K457" s="6">
        <f>IF(C457="","",IF(J457=0,"UNMAPPED",LOWER(INDEX(Mapping!$D$1:$D$504,J457))))</f>
        <v/>
      </c>
      <c r="L457" s="6">
        <f>IF(K457="mapped",TRIM(INDEX(Mapping!$C$1:$C$504,J457)),"")</f>
        <v/>
      </c>
      <c r="M457" s="6">
        <f>IF(C457="","",IF(SUMPRODUCT(($C$12:C457=C457)*1)=1,1,0))</f>
        <v/>
      </c>
      <c r="N457" s="6">
        <f>IF(AND(K457="UNMAPPED",M457=1),ROW(),"")</f>
        <v/>
      </c>
      <c r="O457" s="6">
        <f>IF(AND(I457=1,M457=1),ROW(),"")</f>
        <v/>
      </c>
      <c r="P457" s="6">
        <f>IF(AND(K457="ignored",M457=1),ROW(),"")</f>
        <v/>
      </c>
    </row>
    <row r="458">
      <c r="A458" s="8" t="n"/>
      <c r="B458" s="8" t="n"/>
      <c r="C458" s="6">
        <f>TRIM(A458&amp;"")</f>
        <v/>
      </c>
      <c r="D458" s="6">
        <f>IF(C458="","",SUBSTITUTE(SUBSTITUTE(SUBSTITUTE(SUBSTITUTE(SUBSTITUTE(SUBSTITUTE(SUBSTITUTE(UPPER(TRIM(B458&amp;"")),"₹",""),"RS.",""),"RS",""),"INR",""),"$",""),",","")," ",""))</f>
        <v/>
      </c>
      <c r="E458" s="6">
        <f>IF(C458="","",IF(RIGHT(D458,2)="CR","Cr",IF(RIGHT(D458,2)="DR","Dr","")))</f>
        <v/>
      </c>
      <c r="F458" s="6">
        <f>IF(C458="","",IF(E458&lt;&gt;"",LEFT(D458,LEN(D458)-2),D458))</f>
        <v/>
      </c>
      <c r="G458" s="13">
        <f>IF(C458="","",IF(OR(IF(AND(LEFT(F458,1)="(",RIGHT(F458,1)=")"),MID(F458,2,LEN(F458)-2),F458)="",IF(AND(LEFT(F458,1)="(",RIGHT(F458,1)=")"),MID(F458,2,LEN(F458)-2),F458)="-"),0,IFERROR(VALUE(IF(AND(LEFT(F458,1)="(",RIGHT(F458,1)=")"),MID(F458,2,LEN(F458)-2),F458))*IF(AND(LEFT(F458,1)="(",RIGHT(F458,1)=")"),-1,1)*IF(E458="Cr",Setup!$B$6,1),"ERR")))</f>
        <v/>
      </c>
      <c r="H458" s="6">
        <f>IF(C458="","",IF(ISNUMBER(G458),1,0))</f>
        <v/>
      </c>
      <c r="I458" s="6">
        <f>IF(C458="","",IF(SUMPRODUCT(($C$12:$C$1511=C458)*1)&gt;1,1,0))</f>
        <v/>
      </c>
      <c r="J458" s="6">
        <f>IF(C458="","",SUMPRODUCT((Mapping!$F$5:$F$504=Setup!$B$4&amp;"||"&amp;C458)*ROW(Mapping!$F$5:$F$504)))</f>
        <v/>
      </c>
      <c r="K458" s="6">
        <f>IF(C458="","",IF(J458=0,"UNMAPPED",LOWER(INDEX(Mapping!$D$1:$D$504,J458))))</f>
        <v/>
      </c>
      <c r="L458" s="6">
        <f>IF(K458="mapped",TRIM(INDEX(Mapping!$C$1:$C$504,J458)),"")</f>
        <v/>
      </c>
      <c r="M458" s="6">
        <f>IF(C458="","",IF(SUMPRODUCT(($C$12:C458=C458)*1)=1,1,0))</f>
        <v/>
      </c>
      <c r="N458" s="6">
        <f>IF(AND(K458="UNMAPPED",M458=1),ROW(),"")</f>
        <v/>
      </c>
      <c r="O458" s="6">
        <f>IF(AND(I458=1,M458=1),ROW(),"")</f>
        <v/>
      </c>
      <c r="P458" s="6">
        <f>IF(AND(K458="ignored",M458=1),ROW(),"")</f>
        <v/>
      </c>
    </row>
    <row r="459">
      <c r="A459" s="8" t="n"/>
      <c r="B459" s="8" t="n"/>
      <c r="C459" s="6">
        <f>TRIM(A459&amp;"")</f>
        <v/>
      </c>
      <c r="D459" s="6">
        <f>IF(C459="","",SUBSTITUTE(SUBSTITUTE(SUBSTITUTE(SUBSTITUTE(SUBSTITUTE(SUBSTITUTE(SUBSTITUTE(UPPER(TRIM(B459&amp;"")),"₹",""),"RS.",""),"RS",""),"INR",""),"$",""),",","")," ",""))</f>
        <v/>
      </c>
      <c r="E459" s="6">
        <f>IF(C459="","",IF(RIGHT(D459,2)="CR","Cr",IF(RIGHT(D459,2)="DR","Dr","")))</f>
        <v/>
      </c>
      <c r="F459" s="6">
        <f>IF(C459="","",IF(E459&lt;&gt;"",LEFT(D459,LEN(D459)-2),D459))</f>
        <v/>
      </c>
      <c r="G459" s="13">
        <f>IF(C459="","",IF(OR(IF(AND(LEFT(F459,1)="(",RIGHT(F459,1)=")"),MID(F459,2,LEN(F459)-2),F459)="",IF(AND(LEFT(F459,1)="(",RIGHT(F459,1)=")"),MID(F459,2,LEN(F459)-2),F459)="-"),0,IFERROR(VALUE(IF(AND(LEFT(F459,1)="(",RIGHT(F459,1)=")"),MID(F459,2,LEN(F459)-2),F459))*IF(AND(LEFT(F459,1)="(",RIGHT(F459,1)=")"),-1,1)*IF(E459="Cr",Setup!$B$6,1),"ERR")))</f>
        <v/>
      </c>
      <c r="H459" s="6">
        <f>IF(C459="","",IF(ISNUMBER(G459),1,0))</f>
        <v/>
      </c>
      <c r="I459" s="6">
        <f>IF(C459="","",IF(SUMPRODUCT(($C$12:$C$1511=C459)*1)&gt;1,1,0))</f>
        <v/>
      </c>
      <c r="J459" s="6">
        <f>IF(C459="","",SUMPRODUCT((Mapping!$F$5:$F$504=Setup!$B$4&amp;"||"&amp;C459)*ROW(Mapping!$F$5:$F$504)))</f>
        <v/>
      </c>
      <c r="K459" s="6">
        <f>IF(C459="","",IF(J459=0,"UNMAPPED",LOWER(INDEX(Mapping!$D$1:$D$504,J459))))</f>
        <v/>
      </c>
      <c r="L459" s="6">
        <f>IF(K459="mapped",TRIM(INDEX(Mapping!$C$1:$C$504,J459)),"")</f>
        <v/>
      </c>
      <c r="M459" s="6">
        <f>IF(C459="","",IF(SUMPRODUCT(($C$12:C459=C459)*1)=1,1,0))</f>
        <v/>
      </c>
      <c r="N459" s="6">
        <f>IF(AND(K459="UNMAPPED",M459=1),ROW(),"")</f>
        <v/>
      </c>
      <c r="O459" s="6">
        <f>IF(AND(I459=1,M459=1),ROW(),"")</f>
        <v/>
      </c>
      <c r="P459" s="6">
        <f>IF(AND(K459="ignored",M459=1),ROW(),"")</f>
        <v/>
      </c>
    </row>
    <row r="460">
      <c r="A460" s="8" t="n"/>
      <c r="B460" s="8" t="n"/>
      <c r="C460" s="6">
        <f>TRIM(A460&amp;"")</f>
        <v/>
      </c>
      <c r="D460" s="6">
        <f>IF(C460="","",SUBSTITUTE(SUBSTITUTE(SUBSTITUTE(SUBSTITUTE(SUBSTITUTE(SUBSTITUTE(SUBSTITUTE(UPPER(TRIM(B460&amp;"")),"₹",""),"RS.",""),"RS",""),"INR",""),"$",""),",","")," ",""))</f>
        <v/>
      </c>
      <c r="E460" s="6">
        <f>IF(C460="","",IF(RIGHT(D460,2)="CR","Cr",IF(RIGHT(D460,2)="DR","Dr","")))</f>
        <v/>
      </c>
      <c r="F460" s="6">
        <f>IF(C460="","",IF(E460&lt;&gt;"",LEFT(D460,LEN(D460)-2),D460))</f>
        <v/>
      </c>
      <c r="G460" s="13">
        <f>IF(C460="","",IF(OR(IF(AND(LEFT(F460,1)="(",RIGHT(F460,1)=")"),MID(F460,2,LEN(F460)-2),F460)="",IF(AND(LEFT(F460,1)="(",RIGHT(F460,1)=")"),MID(F460,2,LEN(F460)-2),F460)="-"),0,IFERROR(VALUE(IF(AND(LEFT(F460,1)="(",RIGHT(F460,1)=")"),MID(F460,2,LEN(F460)-2),F460))*IF(AND(LEFT(F460,1)="(",RIGHT(F460,1)=")"),-1,1)*IF(E460="Cr",Setup!$B$6,1),"ERR")))</f>
        <v/>
      </c>
      <c r="H460" s="6">
        <f>IF(C460="","",IF(ISNUMBER(G460),1,0))</f>
        <v/>
      </c>
      <c r="I460" s="6">
        <f>IF(C460="","",IF(SUMPRODUCT(($C$12:$C$1511=C460)*1)&gt;1,1,0))</f>
        <v/>
      </c>
      <c r="J460" s="6">
        <f>IF(C460="","",SUMPRODUCT((Mapping!$F$5:$F$504=Setup!$B$4&amp;"||"&amp;C460)*ROW(Mapping!$F$5:$F$504)))</f>
        <v/>
      </c>
      <c r="K460" s="6">
        <f>IF(C460="","",IF(J460=0,"UNMAPPED",LOWER(INDEX(Mapping!$D$1:$D$504,J460))))</f>
        <v/>
      </c>
      <c r="L460" s="6">
        <f>IF(K460="mapped",TRIM(INDEX(Mapping!$C$1:$C$504,J460)),"")</f>
        <v/>
      </c>
      <c r="M460" s="6">
        <f>IF(C460="","",IF(SUMPRODUCT(($C$12:C460=C460)*1)=1,1,0))</f>
        <v/>
      </c>
      <c r="N460" s="6">
        <f>IF(AND(K460="UNMAPPED",M460=1),ROW(),"")</f>
        <v/>
      </c>
      <c r="O460" s="6">
        <f>IF(AND(I460=1,M460=1),ROW(),"")</f>
        <v/>
      </c>
      <c r="P460" s="6">
        <f>IF(AND(K460="ignored",M460=1),ROW(),"")</f>
        <v/>
      </c>
    </row>
    <row r="461">
      <c r="A461" s="8" t="n"/>
      <c r="B461" s="8" t="n"/>
      <c r="C461" s="6">
        <f>TRIM(A461&amp;"")</f>
        <v/>
      </c>
      <c r="D461" s="6">
        <f>IF(C461="","",SUBSTITUTE(SUBSTITUTE(SUBSTITUTE(SUBSTITUTE(SUBSTITUTE(SUBSTITUTE(SUBSTITUTE(UPPER(TRIM(B461&amp;"")),"₹",""),"RS.",""),"RS",""),"INR",""),"$",""),",","")," ",""))</f>
        <v/>
      </c>
      <c r="E461" s="6">
        <f>IF(C461="","",IF(RIGHT(D461,2)="CR","Cr",IF(RIGHT(D461,2)="DR","Dr","")))</f>
        <v/>
      </c>
      <c r="F461" s="6">
        <f>IF(C461="","",IF(E461&lt;&gt;"",LEFT(D461,LEN(D461)-2),D461))</f>
        <v/>
      </c>
      <c r="G461" s="13">
        <f>IF(C461="","",IF(OR(IF(AND(LEFT(F461,1)="(",RIGHT(F461,1)=")"),MID(F461,2,LEN(F461)-2),F461)="",IF(AND(LEFT(F461,1)="(",RIGHT(F461,1)=")"),MID(F461,2,LEN(F461)-2),F461)="-"),0,IFERROR(VALUE(IF(AND(LEFT(F461,1)="(",RIGHT(F461,1)=")"),MID(F461,2,LEN(F461)-2),F461))*IF(AND(LEFT(F461,1)="(",RIGHT(F461,1)=")"),-1,1)*IF(E461="Cr",Setup!$B$6,1),"ERR")))</f>
        <v/>
      </c>
      <c r="H461" s="6">
        <f>IF(C461="","",IF(ISNUMBER(G461),1,0))</f>
        <v/>
      </c>
      <c r="I461" s="6">
        <f>IF(C461="","",IF(SUMPRODUCT(($C$12:$C$1511=C461)*1)&gt;1,1,0))</f>
        <v/>
      </c>
      <c r="J461" s="6">
        <f>IF(C461="","",SUMPRODUCT((Mapping!$F$5:$F$504=Setup!$B$4&amp;"||"&amp;C461)*ROW(Mapping!$F$5:$F$504)))</f>
        <v/>
      </c>
      <c r="K461" s="6">
        <f>IF(C461="","",IF(J461=0,"UNMAPPED",LOWER(INDEX(Mapping!$D$1:$D$504,J461))))</f>
        <v/>
      </c>
      <c r="L461" s="6">
        <f>IF(K461="mapped",TRIM(INDEX(Mapping!$C$1:$C$504,J461)),"")</f>
        <v/>
      </c>
      <c r="M461" s="6">
        <f>IF(C461="","",IF(SUMPRODUCT(($C$12:C461=C461)*1)=1,1,0))</f>
        <v/>
      </c>
      <c r="N461" s="6">
        <f>IF(AND(K461="UNMAPPED",M461=1),ROW(),"")</f>
        <v/>
      </c>
      <c r="O461" s="6">
        <f>IF(AND(I461=1,M461=1),ROW(),"")</f>
        <v/>
      </c>
      <c r="P461" s="6">
        <f>IF(AND(K461="ignored",M461=1),ROW(),"")</f>
        <v/>
      </c>
    </row>
    <row r="462">
      <c r="A462" s="8" t="n"/>
      <c r="B462" s="8" t="n"/>
      <c r="C462" s="6">
        <f>TRIM(A462&amp;"")</f>
        <v/>
      </c>
      <c r="D462" s="6">
        <f>IF(C462="","",SUBSTITUTE(SUBSTITUTE(SUBSTITUTE(SUBSTITUTE(SUBSTITUTE(SUBSTITUTE(SUBSTITUTE(UPPER(TRIM(B462&amp;"")),"₹",""),"RS.",""),"RS",""),"INR",""),"$",""),",","")," ",""))</f>
        <v/>
      </c>
      <c r="E462" s="6">
        <f>IF(C462="","",IF(RIGHT(D462,2)="CR","Cr",IF(RIGHT(D462,2)="DR","Dr","")))</f>
        <v/>
      </c>
      <c r="F462" s="6">
        <f>IF(C462="","",IF(E462&lt;&gt;"",LEFT(D462,LEN(D462)-2),D462))</f>
        <v/>
      </c>
      <c r="G462" s="13">
        <f>IF(C462="","",IF(OR(IF(AND(LEFT(F462,1)="(",RIGHT(F462,1)=")"),MID(F462,2,LEN(F462)-2),F462)="",IF(AND(LEFT(F462,1)="(",RIGHT(F462,1)=")"),MID(F462,2,LEN(F462)-2),F462)="-"),0,IFERROR(VALUE(IF(AND(LEFT(F462,1)="(",RIGHT(F462,1)=")"),MID(F462,2,LEN(F462)-2),F462))*IF(AND(LEFT(F462,1)="(",RIGHT(F462,1)=")"),-1,1)*IF(E462="Cr",Setup!$B$6,1),"ERR")))</f>
        <v/>
      </c>
      <c r="H462" s="6">
        <f>IF(C462="","",IF(ISNUMBER(G462),1,0))</f>
        <v/>
      </c>
      <c r="I462" s="6">
        <f>IF(C462="","",IF(SUMPRODUCT(($C$12:$C$1511=C462)*1)&gt;1,1,0))</f>
        <v/>
      </c>
      <c r="J462" s="6">
        <f>IF(C462="","",SUMPRODUCT((Mapping!$F$5:$F$504=Setup!$B$4&amp;"||"&amp;C462)*ROW(Mapping!$F$5:$F$504)))</f>
        <v/>
      </c>
      <c r="K462" s="6">
        <f>IF(C462="","",IF(J462=0,"UNMAPPED",LOWER(INDEX(Mapping!$D$1:$D$504,J462))))</f>
        <v/>
      </c>
      <c r="L462" s="6">
        <f>IF(K462="mapped",TRIM(INDEX(Mapping!$C$1:$C$504,J462)),"")</f>
        <v/>
      </c>
      <c r="M462" s="6">
        <f>IF(C462="","",IF(SUMPRODUCT(($C$12:C462=C462)*1)=1,1,0))</f>
        <v/>
      </c>
      <c r="N462" s="6">
        <f>IF(AND(K462="UNMAPPED",M462=1),ROW(),"")</f>
        <v/>
      </c>
      <c r="O462" s="6">
        <f>IF(AND(I462=1,M462=1),ROW(),"")</f>
        <v/>
      </c>
      <c r="P462" s="6">
        <f>IF(AND(K462="ignored",M462=1),ROW(),"")</f>
        <v/>
      </c>
    </row>
    <row r="463">
      <c r="A463" s="8" t="n"/>
      <c r="B463" s="8" t="n"/>
      <c r="C463" s="6">
        <f>TRIM(A463&amp;"")</f>
        <v/>
      </c>
      <c r="D463" s="6">
        <f>IF(C463="","",SUBSTITUTE(SUBSTITUTE(SUBSTITUTE(SUBSTITUTE(SUBSTITUTE(SUBSTITUTE(SUBSTITUTE(UPPER(TRIM(B463&amp;"")),"₹",""),"RS.",""),"RS",""),"INR",""),"$",""),",","")," ",""))</f>
        <v/>
      </c>
      <c r="E463" s="6">
        <f>IF(C463="","",IF(RIGHT(D463,2)="CR","Cr",IF(RIGHT(D463,2)="DR","Dr","")))</f>
        <v/>
      </c>
      <c r="F463" s="6">
        <f>IF(C463="","",IF(E463&lt;&gt;"",LEFT(D463,LEN(D463)-2),D463))</f>
        <v/>
      </c>
      <c r="G463" s="13">
        <f>IF(C463="","",IF(OR(IF(AND(LEFT(F463,1)="(",RIGHT(F463,1)=")"),MID(F463,2,LEN(F463)-2),F463)="",IF(AND(LEFT(F463,1)="(",RIGHT(F463,1)=")"),MID(F463,2,LEN(F463)-2),F463)="-"),0,IFERROR(VALUE(IF(AND(LEFT(F463,1)="(",RIGHT(F463,1)=")"),MID(F463,2,LEN(F463)-2),F463))*IF(AND(LEFT(F463,1)="(",RIGHT(F463,1)=")"),-1,1)*IF(E463="Cr",Setup!$B$6,1),"ERR")))</f>
        <v/>
      </c>
      <c r="H463" s="6">
        <f>IF(C463="","",IF(ISNUMBER(G463),1,0))</f>
        <v/>
      </c>
      <c r="I463" s="6">
        <f>IF(C463="","",IF(SUMPRODUCT(($C$12:$C$1511=C463)*1)&gt;1,1,0))</f>
        <v/>
      </c>
      <c r="J463" s="6">
        <f>IF(C463="","",SUMPRODUCT((Mapping!$F$5:$F$504=Setup!$B$4&amp;"||"&amp;C463)*ROW(Mapping!$F$5:$F$504)))</f>
        <v/>
      </c>
      <c r="K463" s="6">
        <f>IF(C463="","",IF(J463=0,"UNMAPPED",LOWER(INDEX(Mapping!$D$1:$D$504,J463))))</f>
        <v/>
      </c>
      <c r="L463" s="6">
        <f>IF(K463="mapped",TRIM(INDEX(Mapping!$C$1:$C$504,J463)),"")</f>
        <v/>
      </c>
      <c r="M463" s="6">
        <f>IF(C463="","",IF(SUMPRODUCT(($C$12:C463=C463)*1)=1,1,0))</f>
        <v/>
      </c>
      <c r="N463" s="6">
        <f>IF(AND(K463="UNMAPPED",M463=1),ROW(),"")</f>
        <v/>
      </c>
      <c r="O463" s="6">
        <f>IF(AND(I463=1,M463=1),ROW(),"")</f>
        <v/>
      </c>
      <c r="P463" s="6">
        <f>IF(AND(K463="ignored",M463=1),ROW(),"")</f>
        <v/>
      </c>
    </row>
    <row r="464">
      <c r="A464" s="8" t="n"/>
      <c r="B464" s="8" t="n"/>
      <c r="C464" s="6">
        <f>TRIM(A464&amp;"")</f>
        <v/>
      </c>
      <c r="D464" s="6">
        <f>IF(C464="","",SUBSTITUTE(SUBSTITUTE(SUBSTITUTE(SUBSTITUTE(SUBSTITUTE(SUBSTITUTE(SUBSTITUTE(UPPER(TRIM(B464&amp;"")),"₹",""),"RS.",""),"RS",""),"INR",""),"$",""),",","")," ",""))</f>
        <v/>
      </c>
      <c r="E464" s="6">
        <f>IF(C464="","",IF(RIGHT(D464,2)="CR","Cr",IF(RIGHT(D464,2)="DR","Dr","")))</f>
        <v/>
      </c>
      <c r="F464" s="6">
        <f>IF(C464="","",IF(E464&lt;&gt;"",LEFT(D464,LEN(D464)-2),D464))</f>
        <v/>
      </c>
      <c r="G464" s="13">
        <f>IF(C464="","",IF(OR(IF(AND(LEFT(F464,1)="(",RIGHT(F464,1)=")"),MID(F464,2,LEN(F464)-2),F464)="",IF(AND(LEFT(F464,1)="(",RIGHT(F464,1)=")"),MID(F464,2,LEN(F464)-2),F464)="-"),0,IFERROR(VALUE(IF(AND(LEFT(F464,1)="(",RIGHT(F464,1)=")"),MID(F464,2,LEN(F464)-2),F464))*IF(AND(LEFT(F464,1)="(",RIGHT(F464,1)=")"),-1,1)*IF(E464="Cr",Setup!$B$6,1),"ERR")))</f>
        <v/>
      </c>
      <c r="H464" s="6">
        <f>IF(C464="","",IF(ISNUMBER(G464),1,0))</f>
        <v/>
      </c>
      <c r="I464" s="6">
        <f>IF(C464="","",IF(SUMPRODUCT(($C$12:$C$1511=C464)*1)&gt;1,1,0))</f>
        <v/>
      </c>
      <c r="J464" s="6">
        <f>IF(C464="","",SUMPRODUCT((Mapping!$F$5:$F$504=Setup!$B$4&amp;"||"&amp;C464)*ROW(Mapping!$F$5:$F$504)))</f>
        <v/>
      </c>
      <c r="K464" s="6">
        <f>IF(C464="","",IF(J464=0,"UNMAPPED",LOWER(INDEX(Mapping!$D$1:$D$504,J464))))</f>
        <v/>
      </c>
      <c r="L464" s="6">
        <f>IF(K464="mapped",TRIM(INDEX(Mapping!$C$1:$C$504,J464)),"")</f>
        <v/>
      </c>
      <c r="M464" s="6">
        <f>IF(C464="","",IF(SUMPRODUCT(($C$12:C464=C464)*1)=1,1,0))</f>
        <v/>
      </c>
      <c r="N464" s="6">
        <f>IF(AND(K464="UNMAPPED",M464=1),ROW(),"")</f>
        <v/>
      </c>
      <c r="O464" s="6">
        <f>IF(AND(I464=1,M464=1),ROW(),"")</f>
        <v/>
      </c>
      <c r="P464" s="6">
        <f>IF(AND(K464="ignored",M464=1),ROW(),"")</f>
        <v/>
      </c>
    </row>
    <row r="465">
      <c r="A465" s="8" t="n"/>
      <c r="B465" s="8" t="n"/>
      <c r="C465" s="6">
        <f>TRIM(A465&amp;"")</f>
        <v/>
      </c>
      <c r="D465" s="6">
        <f>IF(C465="","",SUBSTITUTE(SUBSTITUTE(SUBSTITUTE(SUBSTITUTE(SUBSTITUTE(SUBSTITUTE(SUBSTITUTE(UPPER(TRIM(B465&amp;"")),"₹",""),"RS.",""),"RS",""),"INR",""),"$",""),",","")," ",""))</f>
        <v/>
      </c>
      <c r="E465" s="6">
        <f>IF(C465="","",IF(RIGHT(D465,2)="CR","Cr",IF(RIGHT(D465,2)="DR","Dr","")))</f>
        <v/>
      </c>
      <c r="F465" s="6">
        <f>IF(C465="","",IF(E465&lt;&gt;"",LEFT(D465,LEN(D465)-2),D465))</f>
        <v/>
      </c>
      <c r="G465" s="13">
        <f>IF(C465="","",IF(OR(IF(AND(LEFT(F465,1)="(",RIGHT(F465,1)=")"),MID(F465,2,LEN(F465)-2),F465)="",IF(AND(LEFT(F465,1)="(",RIGHT(F465,1)=")"),MID(F465,2,LEN(F465)-2),F465)="-"),0,IFERROR(VALUE(IF(AND(LEFT(F465,1)="(",RIGHT(F465,1)=")"),MID(F465,2,LEN(F465)-2),F465))*IF(AND(LEFT(F465,1)="(",RIGHT(F465,1)=")"),-1,1)*IF(E465="Cr",Setup!$B$6,1),"ERR")))</f>
        <v/>
      </c>
      <c r="H465" s="6">
        <f>IF(C465="","",IF(ISNUMBER(G465),1,0))</f>
        <v/>
      </c>
      <c r="I465" s="6">
        <f>IF(C465="","",IF(SUMPRODUCT(($C$12:$C$1511=C465)*1)&gt;1,1,0))</f>
        <v/>
      </c>
      <c r="J465" s="6">
        <f>IF(C465="","",SUMPRODUCT((Mapping!$F$5:$F$504=Setup!$B$4&amp;"||"&amp;C465)*ROW(Mapping!$F$5:$F$504)))</f>
        <v/>
      </c>
      <c r="K465" s="6">
        <f>IF(C465="","",IF(J465=0,"UNMAPPED",LOWER(INDEX(Mapping!$D$1:$D$504,J465))))</f>
        <v/>
      </c>
      <c r="L465" s="6">
        <f>IF(K465="mapped",TRIM(INDEX(Mapping!$C$1:$C$504,J465)),"")</f>
        <v/>
      </c>
      <c r="M465" s="6">
        <f>IF(C465="","",IF(SUMPRODUCT(($C$12:C465=C465)*1)=1,1,0))</f>
        <v/>
      </c>
      <c r="N465" s="6">
        <f>IF(AND(K465="UNMAPPED",M465=1),ROW(),"")</f>
        <v/>
      </c>
      <c r="O465" s="6">
        <f>IF(AND(I465=1,M465=1),ROW(),"")</f>
        <v/>
      </c>
      <c r="P465" s="6">
        <f>IF(AND(K465="ignored",M465=1),ROW(),"")</f>
        <v/>
      </c>
    </row>
    <row r="466">
      <c r="A466" s="8" t="n"/>
      <c r="B466" s="8" t="n"/>
      <c r="C466" s="6">
        <f>TRIM(A466&amp;"")</f>
        <v/>
      </c>
      <c r="D466" s="6">
        <f>IF(C466="","",SUBSTITUTE(SUBSTITUTE(SUBSTITUTE(SUBSTITUTE(SUBSTITUTE(SUBSTITUTE(SUBSTITUTE(UPPER(TRIM(B466&amp;"")),"₹",""),"RS.",""),"RS",""),"INR",""),"$",""),",","")," ",""))</f>
        <v/>
      </c>
      <c r="E466" s="6">
        <f>IF(C466="","",IF(RIGHT(D466,2)="CR","Cr",IF(RIGHT(D466,2)="DR","Dr","")))</f>
        <v/>
      </c>
      <c r="F466" s="6">
        <f>IF(C466="","",IF(E466&lt;&gt;"",LEFT(D466,LEN(D466)-2),D466))</f>
        <v/>
      </c>
      <c r="G466" s="13">
        <f>IF(C466="","",IF(OR(IF(AND(LEFT(F466,1)="(",RIGHT(F466,1)=")"),MID(F466,2,LEN(F466)-2),F466)="",IF(AND(LEFT(F466,1)="(",RIGHT(F466,1)=")"),MID(F466,2,LEN(F466)-2),F466)="-"),0,IFERROR(VALUE(IF(AND(LEFT(F466,1)="(",RIGHT(F466,1)=")"),MID(F466,2,LEN(F466)-2),F466))*IF(AND(LEFT(F466,1)="(",RIGHT(F466,1)=")"),-1,1)*IF(E466="Cr",Setup!$B$6,1),"ERR")))</f>
        <v/>
      </c>
      <c r="H466" s="6">
        <f>IF(C466="","",IF(ISNUMBER(G466),1,0))</f>
        <v/>
      </c>
      <c r="I466" s="6">
        <f>IF(C466="","",IF(SUMPRODUCT(($C$12:$C$1511=C466)*1)&gt;1,1,0))</f>
        <v/>
      </c>
      <c r="J466" s="6">
        <f>IF(C466="","",SUMPRODUCT((Mapping!$F$5:$F$504=Setup!$B$4&amp;"||"&amp;C466)*ROW(Mapping!$F$5:$F$504)))</f>
        <v/>
      </c>
      <c r="K466" s="6">
        <f>IF(C466="","",IF(J466=0,"UNMAPPED",LOWER(INDEX(Mapping!$D$1:$D$504,J466))))</f>
        <v/>
      </c>
      <c r="L466" s="6">
        <f>IF(K466="mapped",TRIM(INDEX(Mapping!$C$1:$C$504,J466)),"")</f>
        <v/>
      </c>
      <c r="M466" s="6">
        <f>IF(C466="","",IF(SUMPRODUCT(($C$12:C466=C466)*1)=1,1,0))</f>
        <v/>
      </c>
      <c r="N466" s="6">
        <f>IF(AND(K466="UNMAPPED",M466=1),ROW(),"")</f>
        <v/>
      </c>
      <c r="O466" s="6">
        <f>IF(AND(I466=1,M466=1),ROW(),"")</f>
        <v/>
      </c>
      <c r="P466" s="6">
        <f>IF(AND(K466="ignored",M466=1),ROW(),"")</f>
        <v/>
      </c>
    </row>
    <row r="467">
      <c r="A467" s="8" t="n"/>
      <c r="B467" s="8" t="n"/>
      <c r="C467" s="6">
        <f>TRIM(A467&amp;"")</f>
        <v/>
      </c>
      <c r="D467" s="6">
        <f>IF(C467="","",SUBSTITUTE(SUBSTITUTE(SUBSTITUTE(SUBSTITUTE(SUBSTITUTE(SUBSTITUTE(SUBSTITUTE(UPPER(TRIM(B467&amp;"")),"₹",""),"RS.",""),"RS",""),"INR",""),"$",""),",","")," ",""))</f>
        <v/>
      </c>
      <c r="E467" s="6">
        <f>IF(C467="","",IF(RIGHT(D467,2)="CR","Cr",IF(RIGHT(D467,2)="DR","Dr","")))</f>
        <v/>
      </c>
      <c r="F467" s="6">
        <f>IF(C467="","",IF(E467&lt;&gt;"",LEFT(D467,LEN(D467)-2),D467))</f>
        <v/>
      </c>
      <c r="G467" s="13">
        <f>IF(C467="","",IF(OR(IF(AND(LEFT(F467,1)="(",RIGHT(F467,1)=")"),MID(F467,2,LEN(F467)-2),F467)="",IF(AND(LEFT(F467,1)="(",RIGHT(F467,1)=")"),MID(F467,2,LEN(F467)-2),F467)="-"),0,IFERROR(VALUE(IF(AND(LEFT(F467,1)="(",RIGHT(F467,1)=")"),MID(F467,2,LEN(F467)-2),F467))*IF(AND(LEFT(F467,1)="(",RIGHT(F467,1)=")"),-1,1)*IF(E467="Cr",Setup!$B$6,1),"ERR")))</f>
        <v/>
      </c>
      <c r="H467" s="6">
        <f>IF(C467="","",IF(ISNUMBER(G467),1,0))</f>
        <v/>
      </c>
      <c r="I467" s="6">
        <f>IF(C467="","",IF(SUMPRODUCT(($C$12:$C$1511=C467)*1)&gt;1,1,0))</f>
        <v/>
      </c>
      <c r="J467" s="6">
        <f>IF(C467="","",SUMPRODUCT((Mapping!$F$5:$F$504=Setup!$B$4&amp;"||"&amp;C467)*ROW(Mapping!$F$5:$F$504)))</f>
        <v/>
      </c>
      <c r="K467" s="6">
        <f>IF(C467="","",IF(J467=0,"UNMAPPED",LOWER(INDEX(Mapping!$D$1:$D$504,J467))))</f>
        <v/>
      </c>
      <c r="L467" s="6">
        <f>IF(K467="mapped",TRIM(INDEX(Mapping!$C$1:$C$504,J467)),"")</f>
        <v/>
      </c>
      <c r="M467" s="6">
        <f>IF(C467="","",IF(SUMPRODUCT(($C$12:C467=C467)*1)=1,1,0))</f>
        <v/>
      </c>
      <c r="N467" s="6">
        <f>IF(AND(K467="UNMAPPED",M467=1),ROW(),"")</f>
        <v/>
      </c>
      <c r="O467" s="6">
        <f>IF(AND(I467=1,M467=1),ROW(),"")</f>
        <v/>
      </c>
      <c r="P467" s="6">
        <f>IF(AND(K467="ignored",M467=1),ROW(),"")</f>
        <v/>
      </c>
    </row>
    <row r="468">
      <c r="A468" s="8" t="n"/>
      <c r="B468" s="8" t="n"/>
      <c r="C468" s="6">
        <f>TRIM(A468&amp;"")</f>
        <v/>
      </c>
      <c r="D468" s="6">
        <f>IF(C468="","",SUBSTITUTE(SUBSTITUTE(SUBSTITUTE(SUBSTITUTE(SUBSTITUTE(SUBSTITUTE(SUBSTITUTE(UPPER(TRIM(B468&amp;"")),"₹",""),"RS.",""),"RS",""),"INR",""),"$",""),",","")," ",""))</f>
        <v/>
      </c>
      <c r="E468" s="6">
        <f>IF(C468="","",IF(RIGHT(D468,2)="CR","Cr",IF(RIGHT(D468,2)="DR","Dr","")))</f>
        <v/>
      </c>
      <c r="F468" s="6">
        <f>IF(C468="","",IF(E468&lt;&gt;"",LEFT(D468,LEN(D468)-2),D468))</f>
        <v/>
      </c>
      <c r="G468" s="13">
        <f>IF(C468="","",IF(OR(IF(AND(LEFT(F468,1)="(",RIGHT(F468,1)=")"),MID(F468,2,LEN(F468)-2),F468)="",IF(AND(LEFT(F468,1)="(",RIGHT(F468,1)=")"),MID(F468,2,LEN(F468)-2),F468)="-"),0,IFERROR(VALUE(IF(AND(LEFT(F468,1)="(",RIGHT(F468,1)=")"),MID(F468,2,LEN(F468)-2),F468))*IF(AND(LEFT(F468,1)="(",RIGHT(F468,1)=")"),-1,1)*IF(E468="Cr",Setup!$B$6,1),"ERR")))</f>
        <v/>
      </c>
      <c r="H468" s="6">
        <f>IF(C468="","",IF(ISNUMBER(G468),1,0))</f>
        <v/>
      </c>
      <c r="I468" s="6">
        <f>IF(C468="","",IF(SUMPRODUCT(($C$12:$C$1511=C468)*1)&gt;1,1,0))</f>
        <v/>
      </c>
      <c r="J468" s="6">
        <f>IF(C468="","",SUMPRODUCT((Mapping!$F$5:$F$504=Setup!$B$4&amp;"||"&amp;C468)*ROW(Mapping!$F$5:$F$504)))</f>
        <v/>
      </c>
      <c r="K468" s="6">
        <f>IF(C468="","",IF(J468=0,"UNMAPPED",LOWER(INDEX(Mapping!$D$1:$D$504,J468))))</f>
        <v/>
      </c>
      <c r="L468" s="6">
        <f>IF(K468="mapped",TRIM(INDEX(Mapping!$C$1:$C$504,J468)),"")</f>
        <v/>
      </c>
      <c r="M468" s="6">
        <f>IF(C468="","",IF(SUMPRODUCT(($C$12:C468=C468)*1)=1,1,0))</f>
        <v/>
      </c>
      <c r="N468" s="6">
        <f>IF(AND(K468="UNMAPPED",M468=1),ROW(),"")</f>
        <v/>
      </c>
      <c r="O468" s="6">
        <f>IF(AND(I468=1,M468=1),ROW(),"")</f>
        <v/>
      </c>
      <c r="P468" s="6">
        <f>IF(AND(K468="ignored",M468=1),ROW(),"")</f>
        <v/>
      </c>
    </row>
    <row r="469">
      <c r="A469" s="8" t="n"/>
      <c r="B469" s="8" t="n"/>
      <c r="C469" s="6">
        <f>TRIM(A469&amp;"")</f>
        <v/>
      </c>
      <c r="D469" s="6">
        <f>IF(C469="","",SUBSTITUTE(SUBSTITUTE(SUBSTITUTE(SUBSTITUTE(SUBSTITUTE(SUBSTITUTE(SUBSTITUTE(UPPER(TRIM(B469&amp;"")),"₹",""),"RS.",""),"RS",""),"INR",""),"$",""),",","")," ",""))</f>
        <v/>
      </c>
      <c r="E469" s="6">
        <f>IF(C469="","",IF(RIGHT(D469,2)="CR","Cr",IF(RIGHT(D469,2)="DR","Dr","")))</f>
        <v/>
      </c>
      <c r="F469" s="6">
        <f>IF(C469="","",IF(E469&lt;&gt;"",LEFT(D469,LEN(D469)-2),D469))</f>
        <v/>
      </c>
      <c r="G469" s="13">
        <f>IF(C469="","",IF(OR(IF(AND(LEFT(F469,1)="(",RIGHT(F469,1)=")"),MID(F469,2,LEN(F469)-2),F469)="",IF(AND(LEFT(F469,1)="(",RIGHT(F469,1)=")"),MID(F469,2,LEN(F469)-2),F469)="-"),0,IFERROR(VALUE(IF(AND(LEFT(F469,1)="(",RIGHT(F469,1)=")"),MID(F469,2,LEN(F469)-2),F469))*IF(AND(LEFT(F469,1)="(",RIGHT(F469,1)=")"),-1,1)*IF(E469="Cr",Setup!$B$6,1),"ERR")))</f>
        <v/>
      </c>
      <c r="H469" s="6">
        <f>IF(C469="","",IF(ISNUMBER(G469),1,0))</f>
        <v/>
      </c>
      <c r="I469" s="6">
        <f>IF(C469="","",IF(SUMPRODUCT(($C$12:$C$1511=C469)*1)&gt;1,1,0))</f>
        <v/>
      </c>
      <c r="J469" s="6">
        <f>IF(C469="","",SUMPRODUCT((Mapping!$F$5:$F$504=Setup!$B$4&amp;"||"&amp;C469)*ROW(Mapping!$F$5:$F$504)))</f>
        <v/>
      </c>
      <c r="K469" s="6">
        <f>IF(C469="","",IF(J469=0,"UNMAPPED",LOWER(INDEX(Mapping!$D$1:$D$504,J469))))</f>
        <v/>
      </c>
      <c r="L469" s="6">
        <f>IF(K469="mapped",TRIM(INDEX(Mapping!$C$1:$C$504,J469)),"")</f>
        <v/>
      </c>
      <c r="M469" s="6">
        <f>IF(C469="","",IF(SUMPRODUCT(($C$12:C469=C469)*1)=1,1,0))</f>
        <v/>
      </c>
      <c r="N469" s="6">
        <f>IF(AND(K469="UNMAPPED",M469=1),ROW(),"")</f>
        <v/>
      </c>
      <c r="O469" s="6">
        <f>IF(AND(I469=1,M469=1),ROW(),"")</f>
        <v/>
      </c>
      <c r="P469" s="6">
        <f>IF(AND(K469="ignored",M469=1),ROW(),"")</f>
        <v/>
      </c>
    </row>
    <row r="470">
      <c r="A470" s="8" t="n"/>
      <c r="B470" s="8" t="n"/>
      <c r="C470" s="6">
        <f>TRIM(A470&amp;"")</f>
        <v/>
      </c>
      <c r="D470" s="6">
        <f>IF(C470="","",SUBSTITUTE(SUBSTITUTE(SUBSTITUTE(SUBSTITUTE(SUBSTITUTE(SUBSTITUTE(SUBSTITUTE(UPPER(TRIM(B470&amp;"")),"₹",""),"RS.",""),"RS",""),"INR",""),"$",""),",","")," ",""))</f>
        <v/>
      </c>
      <c r="E470" s="6">
        <f>IF(C470="","",IF(RIGHT(D470,2)="CR","Cr",IF(RIGHT(D470,2)="DR","Dr","")))</f>
        <v/>
      </c>
      <c r="F470" s="6">
        <f>IF(C470="","",IF(E470&lt;&gt;"",LEFT(D470,LEN(D470)-2),D470))</f>
        <v/>
      </c>
      <c r="G470" s="13">
        <f>IF(C470="","",IF(OR(IF(AND(LEFT(F470,1)="(",RIGHT(F470,1)=")"),MID(F470,2,LEN(F470)-2),F470)="",IF(AND(LEFT(F470,1)="(",RIGHT(F470,1)=")"),MID(F470,2,LEN(F470)-2),F470)="-"),0,IFERROR(VALUE(IF(AND(LEFT(F470,1)="(",RIGHT(F470,1)=")"),MID(F470,2,LEN(F470)-2),F470))*IF(AND(LEFT(F470,1)="(",RIGHT(F470,1)=")"),-1,1)*IF(E470="Cr",Setup!$B$6,1),"ERR")))</f>
        <v/>
      </c>
      <c r="H470" s="6">
        <f>IF(C470="","",IF(ISNUMBER(G470),1,0))</f>
        <v/>
      </c>
      <c r="I470" s="6">
        <f>IF(C470="","",IF(SUMPRODUCT(($C$12:$C$1511=C470)*1)&gt;1,1,0))</f>
        <v/>
      </c>
      <c r="J470" s="6">
        <f>IF(C470="","",SUMPRODUCT((Mapping!$F$5:$F$504=Setup!$B$4&amp;"||"&amp;C470)*ROW(Mapping!$F$5:$F$504)))</f>
        <v/>
      </c>
      <c r="K470" s="6">
        <f>IF(C470="","",IF(J470=0,"UNMAPPED",LOWER(INDEX(Mapping!$D$1:$D$504,J470))))</f>
        <v/>
      </c>
      <c r="L470" s="6">
        <f>IF(K470="mapped",TRIM(INDEX(Mapping!$C$1:$C$504,J470)),"")</f>
        <v/>
      </c>
      <c r="M470" s="6">
        <f>IF(C470="","",IF(SUMPRODUCT(($C$12:C470=C470)*1)=1,1,0))</f>
        <v/>
      </c>
      <c r="N470" s="6">
        <f>IF(AND(K470="UNMAPPED",M470=1),ROW(),"")</f>
        <v/>
      </c>
      <c r="O470" s="6">
        <f>IF(AND(I470=1,M470=1),ROW(),"")</f>
        <v/>
      </c>
      <c r="P470" s="6">
        <f>IF(AND(K470="ignored",M470=1),ROW(),"")</f>
        <v/>
      </c>
    </row>
    <row r="471">
      <c r="A471" s="8" t="n"/>
      <c r="B471" s="8" t="n"/>
      <c r="C471" s="6">
        <f>TRIM(A471&amp;"")</f>
        <v/>
      </c>
      <c r="D471" s="6">
        <f>IF(C471="","",SUBSTITUTE(SUBSTITUTE(SUBSTITUTE(SUBSTITUTE(SUBSTITUTE(SUBSTITUTE(SUBSTITUTE(UPPER(TRIM(B471&amp;"")),"₹",""),"RS.",""),"RS",""),"INR",""),"$",""),",","")," ",""))</f>
        <v/>
      </c>
      <c r="E471" s="6">
        <f>IF(C471="","",IF(RIGHT(D471,2)="CR","Cr",IF(RIGHT(D471,2)="DR","Dr","")))</f>
        <v/>
      </c>
      <c r="F471" s="6">
        <f>IF(C471="","",IF(E471&lt;&gt;"",LEFT(D471,LEN(D471)-2),D471))</f>
        <v/>
      </c>
      <c r="G471" s="13">
        <f>IF(C471="","",IF(OR(IF(AND(LEFT(F471,1)="(",RIGHT(F471,1)=")"),MID(F471,2,LEN(F471)-2),F471)="",IF(AND(LEFT(F471,1)="(",RIGHT(F471,1)=")"),MID(F471,2,LEN(F471)-2),F471)="-"),0,IFERROR(VALUE(IF(AND(LEFT(F471,1)="(",RIGHT(F471,1)=")"),MID(F471,2,LEN(F471)-2),F471))*IF(AND(LEFT(F471,1)="(",RIGHT(F471,1)=")"),-1,1)*IF(E471="Cr",Setup!$B$6,1),"ERR")))</f>
        <v/>
      </c>
      <c r="H471" s="6">
        <f>IF(C471="","",IF(ISNUMBER(G471),1,0))</f>
        <v/>
      </c>
      <c r="I471" s="6">
        <f>IF(C471="","",IF(SUMPRODUCT(($C$12:$C$1511=C471)*1)&gt;1,1,0))</f>
        <v/>
      </c>
      <c r="J471" s="6">
        <f>IF(C471="","",SUMPRODUCT((Mapping!$F$5:$F$504=Setup!$B$4&amp;"||"&amp;C471)*ROW(Mapping!$F$5:$F$504)))</f>
        <v/>
      </c>
      <c r="K471" s="6">
        <f>IF(C471="","",IF(J471=0,"UNMAPPED",LOWER(INDEX(Mapping!$D$1:$D$504,J471))))</f>
        <v/>
      </c>
      <c r="L471" s="6">
        <f>IF(K471="mapped",TRIM(INDEX(Mapping!$C$1:$C$504,J471)),"")</f>
        <v/>
      </c>
      <c r="M471" s="6">
        <f>IF(C471="","",IF(SUMPRODUCT(($C$12:C471=C471)*1)=1,1,0))</f>
        <v/>
      </c>
      <c r="N471" s="6">
        <f>IF(AND(K471="UNMAPPED",M471=1),ROW(),"")</f>
        <v/>
      </c>
      <c r="O471" s="6">
        <f>IF(AND(I471=1,M471=1),ROW(),"")</f>
        <v/>
      </c>
      <c r="P471" s="6">
        <f>IF(AND(K471="ignored",M471=1),ROW(),"")</f>
        <v/>
      </c>
    </row>
    <row r="472">
      <c r="A472" s="8" t="n"/>
      <c r="B472" s="8" t="n"/>
      <c r="C472" s="6">
        <f>TRIM(A472&amp;"")</f>
        <v/>
      </c>
      <c r="D472" s="6">
        <f>IF(C472="","",SUBSTITUTE(SUBSTITUTE(SUBSTITUTE(SUBSTITUTE(SUBSTITUTE(SUBSTITUTE(SUBSTITUTE(UPPER(TRIM(B472&amp;"")),"₹",""),"RS.",""),"RS",""),"INR",""),"$",""),",","")," ",""))</f>
        <v/>
      </c>
      <c r="E472" s="6">
        <f>IF(C472="","",IF(RIGHT(D472,2)="CR","Cr",IF(RIGHT(D472,2)="DR","Dr","")))</f>
        <v/>
      </c>
      <c r="F472" s="6">
        <f>IF(C472="","",IF(E472&lt;&gt;"",LEFT(D472,LEN(D472)-2),D472))</f>
        <v/>
      </c>
      <c r="G472" s="13">
        <f>IF(C472="","",IF(OR(IF(AND(LEFT(F472,1)="(",RIGHT(F472,1)=")"),MID(F472,2,LEN(F472)-2),F472)="",IF(AND(LEFT(F472,1)="(",RIGHT(F472,1)=")"),MID(F472,2,LEN(F472)-2),F472)="-"),0,IFERROR(VALUE(IF(AND(LEFT(F472,1)="(",RIGHT(F472,1)=")"),MID(F472,2,LEN(F472)-2),F472))*IF(AND(LEFT(F472,1)="(",RIGHT(F472,1)=")"),-1,1)*IF(E472="Cr",Setup!$B$6,1),"ERR")))</f>
        <v/>
      </c>
      <c r="H472" s="6">
        <f>IF(C472="","",IF(ISNUMBER(G472),1,0))</f>
        <v/>
      </c>
      <c r="I472" s="6">
        <f>IF(C472="","",IF(SUMPRODUCT(($C$12:$C$1511=C472)*1)&gt;1,1,0))</f>
        <v/>
      </c>
      <c r="J472" s="6">
        <f>IF(C472="","",SUMPRODUCT((Mapping!$F$5:$F$504=Setup!$B$4&amp;"||"&amp;C472)*ROW(Mapping!$F$5:$F$504)))</f>
        <v/>
      </c>
      <c r="K472" s="6">
        <f>IF(C472="","",IF(J472=0,"UNMAPPED",LOWER(INDEX(Mapping!$D$1:$D$504,J472))))</f>
        <v/>
      </c>
      <c r="L472" s="6">
        <f>IF(K472="mapped",TRIM(INDEX(Mapping!$C$1:$C$504,J472)),"")</f>
        <v/>
      </c>
      <c r="M472" s="6">
        <f>IF(C472="","",IF(SUMPRODUCT(($C$12:C472=C472)*1)=1,1,0))</f>
        <v/>
      </c>
      <c r="N472" s="6">
        <f>IF(AND(K472="UNMAPPED",M472=1),ROW(),"")</f>
        <v/>
      </c>
      <c r="O472" s="6">
        <f>IF(AND(I472=1,M472=1),ROW(),"")</f>
        <v/>
      </c>
      <c r="P472" s="6">
        <f>IF(AND(K472="ignored",M472=1),ROW(),"")</f>
        <v/>
      </c>
    </row>
    <row r="473">
      <c r="A473" s="8" t="n"/>
      <c r="B473" s="8" t="n"/>
      <c r="C473" s="6">
        <f>TRIM(A473&amp;"")</f>
        <v/>
      </c>
      <c r="D473" s="6">
        <f>IF(C473="","",SUBSTITUTE(SUBSTITUTE(SUBSTITUTE(SUBSTITUTE(SUBSTITUTE(SUBSTITUTE(SUBSTITUTE(UPPER(TRIM(B473&amp;"")),"₹",""),"RS.",""),"RS",""),"INR",""),"$",""),",","")," ",""))</f>
        <v/>
      </c>
      <c r="E473" s="6">
        <f>IF(C473="","",IF(RIGHT(D473,2)="CR","Cr",IF(RIGHT(D473,2)="DR","Dr","")))</f>
        <v/>
      </c>
      <c r="F473" s="6">
        <f>IF(C473="","",IF(E473&lt;&gt;"",LEFT(D473,LEN(D473)-2),D473))</f>
        <v/>
      </c>
      <c r="G473" s="13">
        <f>IF(C473="","",IF(OR(IF(AND(LEFT(F473,1)="(",RIGHT(F473,1)=")"),MID(F473,2,LEN(F473)-2),F473)="",IF(AND(LEFT(F473,1)="(",RIGHT(F473,1)=")"),MID(F473,2,LEN(F473)-2),F473)="-"),0,IFERROR(VALUE(IF(AND(LEFT(F473,1)="(",RIGHT(F473,1)=")"),MID(F473,2,LEN(F473)-2),F473))*IF(AND(LEFT(F473,1)="(",RIGHT(F473,1)=")"),-1,1)*IF(E473="Cr",Setup!$B$6,1),"ERR")))</f>
        <v/>
      </c>
      <c r="H473" s="6">
        <f>IF(C473="","",IF(ISNUMBER(G473),1,0))</f>
        <v/>
      </c>
      <c r="I473" s="6">
        <f>IF(C473="","",IF(SUMPRODUCT(($C$12:$C$1511=C473)*1)&gt;1,1,0))</f>
        <v/>
      </c>
      <c r="J473" s="6">
        <f>IF(C473="","",SUMPRODUCT((Mapping!$F$5:$F$504=Setup!$B$4&amp;"||"&amp;C473)*ROW(Mapping!$F$5:$F$504)))</f>
        <v/>
      </c>
      <c r="K473" s="6">
        <f>IF(C473="","",IF(J473=0,"UNMAPPED",LOWER(INDEX(Mapping!$D$1:$D$504,J473))))</f>
        <v/>
      </c>
      <c r="L473" s="6">
        <f>IF(K473="mapped",TRIM(INDEX(Mapping!$C$1:$C$504,J473)),"")</f>
        <v/>
      </c>
      <c r="M473" s="6">
        <f>IF(C473="","",IF(SUMPRODUCT(($C$12:C473=C473)*1)=1,1,0))</f>
        <v/>
      </c>
      <c r="N473" s="6">
        <f>IF(AND(K473="UNMAPPED",M473=1),ROW(),"")</f>
        <v/>
      </c>
      <c r="O473" s="6">
        <f>IF(AND(I473=1,M473=1),ROW(),"")</f>
        <v/>
      </c>
      <c r="P473" s="6">
        <f>IF(AND(K473="ignored",M473=1),ROW(),"")</f>
        <v/>
      </c>
    </row>
    <row r="474">
      <c r="A474" s="8" t="n"/>
      <c r="B474" s="8" t="n"/>
      <c r="C474" s="6">
        <f>TRIM(A474&amp;"")</f>
        <v/>
      </c>
      <c r="D474" s="6">
        <f>IF(C474="","",SUBSTITUTE(SUBSTITUTE(SUBSTITUTE(SUBSTITUTE(SUBSTITUTE(SUBSTITUTE(SUBSTITUTE(UPPER(TRIM(B474&amp;"")),"₹",""),"RS.",""),"RS",""),"INR",""),"$",""),",","")," ",""))</f>
        <v/>
      </c>
      <c r="E474" s="6">
        <f>IF(C474="","",IF(RIGHT(D474,2)="CR","Cr",IF(RIGHT(D474,2)="DR","Dr","")))</f>
        <v/>
      </c>
      <c r="F474" s="6">
        <f>IF(C474="","",IF(E474&lt;&gt;"",LEFT(D474,LEN(D474)-2),D474))</f>
        <v/>
      </c>
      <c r="G474" s="13">
        <f>IF(C474="","",IF(OR(IF(AND(LEFT(F474,1)="(",RIGHT(F474,1)=")"),MID(F474,2,LEN(F474)-2),F474)="",IF(AND(LEFT(F474,1)="(",RIGHT(F474,1)=")"),MID(F474,2,LEN(F474)-2),F474)="-"),0,IFERROR(VALUE(IF(AND(LEFT(F474,1)="(",RIGHT(F474,1)=")"),MID(F474,2,LEN(F474)-2),F474))*IF(AND(LEFT(F474,1)="(",RIGHT(F474,1)=")"),-1,1)*IF(E474="Cr",Setup!$B$6,1),"ERR")))</f>
        <v/>
      </c>
      <c r="H474" s="6">
        <f>IF(C474="","",IF(ISNUMBER(G474),1,0))</f>
        <v/>
      </c>
      <c r="I474" s="6">
        <f>IF(C474="","",IF(SUMPRODUCT(($C$12:$C$1511=C474)*1)&gt;1,1,0))</f>
        <v/>
      </c>
      <c r="J474" s="6">
        <f>IF(C474="","",SUMPRODUCT((Mapping!$F$5:$F$504=Setup!$B$4&amp;"||"&amp;C474)*ROW(Mapping!$F$5:$F$504)))</f>
        <v/>
      </c>
      <c r="K474" s="6">
        <f>IF(C474="","",IF(J474=0,"UNMAPPED",LOWER(INDEX(Mapping!$D$1:$D$504,J474))))</f>
        <v/>
      </c>
      <c r="L474" s="6">
        <f>IF(K474="mapped",TRIM(INDEX(Mapping!$C$1:$C$504,J474)),"")</f>
        <v/>
      </c>
      <c r="M474" s="6">
        <f>IF(C474="","",IF(SUMPRODUCT(($C$12:C474=C474)*1)=1,1,0))</f>
        <v/>
      </c>
      <c r="N474" s="6">
        <f>IF(AND(K474="UNMAPPED",M474=1),ROW(),"")</f>
        <v/>
      </c>
      <c r="O474" s="6">
        <f>IF(AND(I474=1,M474=1),ROW(),"")</f>
        <v/>
      </c>
      <c r="P474" s="6">
        <f>IF(AND(K474="ignored",M474=1),ROW(),"")</f>
        <v/>
      </c>
    </row>
    <row r="475">
      <c r="A475" s="8" t="n"/>
      <c r="B475" s="8" t="n"/>
      <c r="C475" s="6">
        <f>TRIM(A475&amp;"")</f>
        <v/>
      </c>
      <c r="D475" s="6">
        <f>IF(C475="","",SUBSTITUTE(SUBSTITUTE(SUBSTITUTE(SUBSTITUTE(SUBSTITUTE(SUBSTITUTE(SUBSTITUTE(UPPER(TRIM(B475&amp;"")),"₹",""),"RS.",""),"RS",""),"INR",""),"$",""),",","")," ",""))</f>
        <v/>
      </c>
      <c r="E475" s="6">
        <f>IF(C475="","",IF(RIGHT(D475,2)="CR","Cr",IF(RIGHT(D475,2)="DR","Dr","")))</f>
        <v/>
      </c>
      <c r="F475" s="6">
        <f>IF(C475="","",IF(E475&lt;&gt;"",LEFT(D475,LEN(D475)-2),D475))</f>
        <v/>
      </c>
      <c r="G475" s="13">
        <f>IF(C475="","",IF(OR(IF(AND(LEFT(F475,1)="(",RIGHT(F475,1)=")"),MID(F475,2,LEN(F475)-2),F475)="",IF(AND(LEFT(F475,1)="(",RIGHT(F475,1)=")"),MID(F475,2,LEN(F475)-2),F475)="-"),0,IFERROR(VALUE(IF(AND(LEFT(F475,1)="(",RIGHT(F475,1)=")"),MID(F475,2,LEN(F475)-2),F475))*IF(AND(LEFT(F475,1)="(",RIGHT(F475,1)=")"),-1,1)*IF(E475="Cr",Setup!$B$6,1),"ERR")))</f>
        <v/>
      </c>
      <c r="H475" s="6">
        <f>IF(C475="","",IF(ISNUMBER(G475),1,0))</f>
        <v/>
      </c>
      <c r="I475" s="6">
        <f>IF(C475="","",IF(SUMPRODUCT(($C$12:$C$1511=C475)*1)&gt;1,1,0))</f>
        <v/>
      </c>
      <c r="J475" s="6">
        <f>IF(C475="","",SUMPRODUCT((Mapping!$F$5:$F$504=Setup!$B$4&amp;"||"&amp;C475)*ROW(Mapping!$F$5:$F$504)))</f>
        <v/>
      </c>
      <c r="K475" s="6">
        <f>IF(C475="","",IF(J475=0,"UNMAPPED",LOWER(INDEX(Mapping!$D$1:$D$504,J475))))</f>
        <v/>
      </c>
      <c r="L475" s="6">
        <f>IF(K475="mapped",TRIM(INDEX(Mapping!$C$1:$C$504,J475)),"")</f>
        <v/>
      </c>
      <c r="M475" s="6">
        <f>IF(C475="","",IF(SUMPRODUCT(($C$12:C475=C475)*1)=1,1,0))</f>
        <v/>
      </c>
      <c r="N475" s="6">
        <f>IF(AND(K475="UNMAPPED",M475=1),ROW(),"")</f>
        <v/>
      </c>
      <c r="O475" s="6">
        <f>IF(AND(I475=1,M475=1),ROW(),"")</f>
        <v/>
      </c>
      <c r="P475" s="6">
        <f>IF(AND(K475="ignored",M475=1),ROW(),"")</f>
        <v/>
      </c>
    </row>
    <row r="476">
      <c r="A476" s="8" t="n"/>
      <c r="B476" s="8" t="n"/>
      <c r="C476" s="6">
        <f>TRIM(A476&amp;"")</f>
        <v/>
      </c>
      <c r="D476" s="6">
        <f>IF(C476="","",SUBSTITUTE(SUBSTITUTE(SUBSTITUTE(SUBSTITUTE(SUBSTITUTE(SUBSTITUTE(SUBSTITUTE(UPPER(TRIM(B476&amp;"")),"₹",""),"RS.",""),"RS",""),"INR",""),"$",""),",","")," ",""))</f>
        <v/>
      </c>
      <c r="E476" s="6">
        <f>IF(C476="","",IF(RIGHT(D476,2)="CR","Cr",IF(RIGHT(D476,2)="DR","Dr","")))</f>
        <v/>
      </c>
      <c r="F476" s="6">
        <f>IF(C476="","",IF(E476&lt;&gt;"",LEFT(D476,LEN(D476)-2),D476))</f>
        <v/>
      </c>
      <c r="G476" s="13">
        <f>IF(C476="","",IF(OR(IF(AND(LEFT(F476,1)="(",RIGHT(F476,1)=")"),MID(F476,2,LEN(F476)-2),F476)="",IF(AND(LEFT(F476,1)="(",RIGHT(F476,1)=")"),MID(F476,2,LEN(F476)-2),F476)="-"),0,IFERROR(VALUE(IF(AND(LEFT(F476,1)="(",RIGHT(F476,1)=")"),MID(F476,2,LEN(F476)-2),F476))*IF(AND(LEFT(F476,1)="(",RIGHT(F476,1)=")"),-1,1)*IF(E476="Cr",Setup!$B$6,1),"ERR")))</f>
        <v/>
      </c>
      <c r="H476" s="6">
        <f>IF(C476="","",IF(ISNUMBER(G476),1,0))</f>
        <v/>
      </c>
      <c r="I476" s="6">
        <f>IF(C476="","",IF(SUMPRODUCT(($C$12:$C$1511=C476)*1)&gt;1,1,0))</f>
        <v/>
      </c>
      <c r="J476" s="6">
        <f>IF(C476="","",SUMPRODUCT((Mapping!$F$5:$F$504=Setup!$B$4&amp;"||"&amp;C476)*ROW(Mapping!$F$5:$F$504)))</f>
        <v/>
      </c>
      <c r="K476" s="6">
        <f>IF(C476="","",IF(J476=0,"UNMAPPED",LOWER(INDEX(Mapping!$D$1:$D$504,J476))))</f>
        <v/>
      </c>
      <c r="L476" s="6">
        <f>IF(K476="mapped",TRIM(INDEX(Mapping!$C$1:$C$504,J476)),"")</f>
        <v/>
      </c>
      <c r="M476" s="6">
        <f>IF(C476="","",IF(SUMPRODUCT(($C$12:C476=C476)*1)=1,1,0))</f>
        <v/>
      </c>
      <c r="N476" s="6">
        <f>IF(AND(K476="UNMAPPED",M476=1),ROW(),"")</f>
        <v/>
      </c>
      <c r="O476" s="6">
        <f>IF(AND(I476=1,M476=1),ROW(),"")</f>
        <v/>
      </c>
      <c r="P476" s="6">
        <f>IF(AND(K476="ignored",M476=1),ROW(),"")</f>
        <v/>
      </c>
    </row>
    <row r="477">
      <c r="A477" s="8" t="n"/>
      <c r="B477" s="8" t="n"/>
      <c r="C477" s="6">
        <f>TRIM(A477&amp;"")</f>
        <v/>
      </c>
      <c r="D477" s="6">
        <f>IF(C477="","",SUBSTITUTE(SUBSTITUTE(SUBSTITUTE(SUBSTITUTE(SUBSTITUTE(SUBSTITUTE(SUBSTITUTE(UPPER(TRIM(B477&amp;"")),"₹",""),"RS.",""),"RS",""),"INR",""),"$",""),",","")," ",""))</f>
        <v/>
      </c>
      <c r="E477" s="6">
        <f>IF(C477="","",IF(RIGHT(D477,2)="CR","Cr",IF(RIGHT(D477,2)="DR","Dr","")))</f>
        <v/>
      </c>
      <c r="F477" s="6">
        <f>IF(C477="","",IF(E477&lt;&gt;"",LEFT(D477,LEN(D477)-2),D477))</f>
        <v/>
      </c>
      <c r="G477" s="13">
        <f>IF(C477="","",IF(OR(IF(AND(LEFT(F477,1)="(",RIGHT(F477,1)=")"),MID(F477,2,LEN(F477)-2),F477)="",IF(AND(LEFT(F477,1)="(",RIGHT(F477,1)=")"),MID(F477,2,LEN(F477)-2),F477)="-"),0,IFERROR(VALUE(IF(AND(LEFT(F477,1)="(",RIGHT(F477,1)=")"),MID(F477,2,LEN(F477)-2),F477))*IF(AND(LEFT(F477,1)="(",RIGHT(F477,1)=")"),-1,1)*IF(E477="Cr",Setup!$B$6,1),"ERR")))</f>
        <v/>
      </c>
      <c r="H477" s="6">
        <f>IF(C477="","",IF(ISNUMBER(G477),1,0))</f>
        <v/>
      </c>
      <c r="I477" s="6">
        <f>IF(C477="","",IF(SUMPRODUCT(($C$12:$C$1511=C477)*1)&gt;1,1,0))</f>
        <v/>
      </c>
      <c r="J477" s="6">
        <f>IF(C477="","",SUMPRODUCT((Mapping!$F$5:$F$504=Setup!$B$4&amp;"||"&amp;C477)*ROW(Mapping!$F$5:$F$504)))</f>
        <v/>
      </c>
      <c r="K477" s="6">
        <f>IF(C477="","",IF(J477=0,"UNMAPPED",LOWER(INDEX(Mapping!$D$1:$D$504,J477))))</f>
        <v/>
      </c>
      <c r="L477" s="6">
        <f>IF(K477="mapped",TRIM(INDEX(Mapping!$C$1:$C$504,J477)),"")</f>
        <v/>
      </c>
      <c r="M477" s="6">
        <f>IF(C477="","",IF(SUMPRODUCT(($C$12:C477=C477)*1)=1,1,0))</f>
        <v/>
      </c>
      <c r="N477" s="6">
        <f>IF(AND(K477="UNMAPPED",M477=1),ROW(),"")</f>
        <v/>
      </c>
      <c r="O477" s="6">
        <f>IF(AND(I477=1,M477=1),ROW(),"")</f>
        <v/>
      </c>
      <c r="P477" s="6">
        <f>IF(AND(K477="ignored",M477=1),ROW(),"")</f>
        <v/>
      </c>
    </row>
    <row r="478">
      <c r="A478" s="8" t="n"/>
      <c r="B478" s="8" t="n"/>
      <c r="C478" s="6">
        <f>TRIM(A478&amp;"")</f>
        <v/>
      </c>
      <c r="D478" s="6">
        <f>IF(C478="","",SUBSTITUTE(SUBSTITUTE(SUBSTITUTE(SUBSTITUTE(SUBSTITUTE(SUBSTITUTE(SUBSTITUTE(UPPER(TRIM(B478&amp;"")),"₹",""),"RS.",""),"RS",""),"INR",""),"$",""),",","")," ",""))</f>
        <v/>
      </c>
      <c r="E478" s="6">
        <f>IF(C478="","",IF(RIGHT(D478,2)="CR","Cr",IF(RIGHT(D478,2)="DR","Dr","")))</f>
        <v/>
      </c>
      <c r="F478" s="6">
        <f>IF(C478="","",IF(E478&lt;&gt;"",LEFT(D478,LEN(D478)-2),D478))</f>
        <v/>
      </c>
      <c r="G478" s="13">
        <f>IF(C478="","",IF(OR(IF(AND(LEFT(F478,1)="(",RIGHT(F478,1)=")"),MID(F478,2,LEN(F478)-2),F478)="",IF(AND(LEFT(F478,1)="(",RIGHT(F478,1)=")"),MID(F478,2,LEN(F478)-2),F478)="-"),0,IFERROR(VALUE(IF(AND(LEFT(F478,1)="(",RIGHT(F478,1)=")"),MID(F478,2,LEN(F478)-2),F478))*IF(AND(LEFT(F478,1)="(",RIGHT(F478,1)=")"),-1,1)*IF(E478="Cr",Setup!$B$6,1),"ERR")))</f>
        <v/>
      </c>
      <c r="H478" s="6">
        <f>IF(C478="","",IF(ISNUMBER(G478),1,0))</f>
        <v/>
      </c>
      <c r="I478" s="6">
        <f>IF(C478="","",IF(SUMPRODUCT(($C$12:$C$1511=C478)*1)&gt;1,1,0))</f>
        <v/>
      </c>
      <c r="J478" s="6">
        <f>IF(C478="","",SUMPRODUCT((Mapping!$F$5:$F$504=Setup!$B$4&amp;"||"&amp;C478)*ROW(Mapping!$F$5:$F$504)))</f>
        <v/>
      </c>
      <c r="K478" s="6">
        <f>IF(C478="","",IF(J478=0,"UNMAPPED",LOWER(INDEX(Mapping!$D$1:$D$504,J478))))</f>
        <v/>
      </c>
      <c r="L478" s="6">
        <f>IF(K478="mapped",TRIM(INDEX(Mapping!$C$1:$C$504,J478)),"")</f>
        <v/>
      </c>
      <c r="M478" s="6">
        <f>IF(C478="","",IF(SUMPRODUCT(($C$12:C478=C478)*1)=1,1,0))</f>
        <v/>
      </c>
      <c r="N478" s="6">
        <f>IF(AND(K478="UNMAPPED",M478=1),ROW(),"")</f>
        <v/>
      </c>
      <c r="O478" s="6">
        <f>IF(AND(I478=1,M478=1),ROW(),"")</f>
        <v/>
      </c>
      <c r="P478" s="6">
        <f>IF(AND(K478="ignored",M478=1),ROW(),"")</f>
        <v/>
      </c>
    </row>
    <row r="479">
      <c r="A479" s="8" t="n"/>
      <c r="B479" s="8" t="n"/>
      <c r="C479" s="6">
        <f>TRIM(A479&amp;"")</f>
        <v/>
      </c>
      <c r="D479" s="6">
        <f>IF(C479="","",SUBSTITUTE(SUBSTITUTE(SUBSTITUTE(SUBSTITUTE(SUBSTITUTE(SUBSTITUTE(SUBSTITUTE(UPPER(TRIM(B479&amp;"")),"₹",""),"RS.",""),"RS",""),"INR",""),"$",""),",","")," ",""))</f>
        <v/>
      </c>
      <c r="E479" s="6">
        <f>IF(C479="","",IF(RIGHT(D479,2)="CR","Cr",IF(RIGHT(D479,2)="DR","Dr","")))</f>
        <v/>
      </c>
      <c r="F479" s="6">
        <f>IF(C479="","",IF(E479&lt;&gt;"",LEFT(D479,LEN(D479)-2),D479))</f>
        <v/>
      </c>
      <c r="G479" s="13">
        <f>IF(C479="","",IF(OR(IF(AND(LEFT(F479,1)="(",RIGHT(F479,1)=")"),MID(F479,2,LEN(F479)-2),F479)="",IF(AND(LEFT(F479,1)="(",RIGHT(F479,1)=")"),MID(F479,2,LEN(F479)-2),F479)="-"),0,IFERROR(VALUE(IF(AND(LEFT(F479,1)="(",RIGHT(F479,1)=")"),MID(F479,2,LEN(F479)-2),F479))*IF(AND(LEFT(F479,1)="(",RIGHT(F479,1)=")"),-1,1)*IF(E479="Cr",Setup!$B$6,1),"ERR")))</f>
        <v/>
      </c>
      <c r="H479" s="6">
        <f>IF(C479="","",IF(ISNUMBER(G479),1,0))</f>
        <v/>
      </c>
      <c r="I479" s="6">
        <f>IF(C479="","",IF(SUMPRODUCT(($C$12:$C$1511=C479)*1)&gt;1,1,0))</f>
        <v/>
      </c>
      <c r="J479" s="6">
        <f>IF(C479="","",SUMPRODUCT((Mapping!$F$5:$F$504=Setup!$B$4&amp;"||"&amp;C479)*ROW(Mapping!$F$5:$F$504)))</f>
        <v/>
      </c>
      <c r="K479" s="6">
        <f>IF(C479="","",IF(J479=0,"UNMAPPED",LOWER(INDEX(Mapping!$D$1:$D$504,J479))))</f>
        <v/>
      </c>
      <c r="L479" s="6">
        <f>IF(K479="mapped",TRIM(INDEX(Mapping!$C$1:$C$504,J479)),"")</f>
        <v/>
      </c>
      <c r="M479" s="6">
        <f>IF(C479="","",IF(SUMPRODUCT(($C$12:C479=C479)*1)=1,1,0))</f>
        <v/>
      </c>
      <c r="N479" s="6">
        <f>IF(AND(K479="UNMAPPED",M479=1),ROW(),"")</f>
        <v/>
      </c>
      <c r="O479" s="6">
        <f>IF(AND(I479=1,M479=1),ROW(),"")</f>
        <v/>
      </c>
      <c r="P479" s="6">
        <f>IF(AND(K479="ignored",M479=1),ROW(),"")</f>
        <v/>
      </c>
    </row>
    <row r="480">
      <c r="A480" s="8" t="n"/>
      <c r="B480" s="8" t="n"/>
      <c r="C480" s="6">
        <f>TRIM(A480&amp;"")</f>
        <v/>
      </c>
      <c r="D480" s="6">
        <f>IF(C480="","",SUBSTITUTE(SUBSTITUTE(SUBSTITUTE(SUBSTITUTE(SUBSTITUTE(SUBSTITUTE(SUBSTITUTE(UPPER(TRIM(B480&amp;"")),"₹",""),"RS.",""),"RS",""),"INR",""),"$",""),",","")," ",""))</f>
        <v/>
      </c>
      <c r="E480" s="6">
        <f>IF(C480="","",IF(RIGHT(D480,2)="CR","Cr",IF(RIGHT(D480,2)="DR","Dr","")))</f>
        <v/>
      </c>
      <c r="F480" s="6">
        <f>IF(C480="","",IF(E480&lt;&gt;"",LEFT(D480,LEN(D480)-2),D480))</f>
        <v/>
      </c>
      <c r="G480" s="13">
        <f>IF(C480="","",IF(OR(IF(AND(LEFT(F480,1)="(",RIGHT(F480,1)=")"),MID(F480,2,LEN(F480)-2),F480)="",IF(AND(LEFT(F480,1)="(",RIGHT(F480,1)=")"),MID(F480,2,LEN(F480)-2),F480)="-"),0,IFERROR(VALUE(IF(AND(LEFT(F480,1)="(",RIGHT(F480,1)=")"),MID(F480,2,LEN(F480)-2),F480))*IF(AND(LEFT(F480,1)="(",RIGHT(F480,1)=")"),-1,1)*IF(E480="Cr",Setup!$B$6,1),"ERR")))</f>
        <v/>
      </c>
      <c r="H480" s="6">
        <f>IF(C480="","",IF(ISNUMBER(G480),1,0))</f>
        <v/>
      </c>
      <c r="I480" s="6">
        <f>IF(C480="","",IF(SUMPRODUCT(($C$12:$C$1511=C480)*1)&gt;1,1,0))</f>
        <v/>
      </c>
      <c r="J480" s="6">
        <f>IF(C480="","",SUMPRODUCT((Mapping!$F$5:$F$504=Setup!$B$4&amp;"||"&amp;C480)*ROW(Mapping!$F$5:$F$504)))</f>
        <v/>
      </c>
      <c r="K480" s="6">
        <f>IF(C480="","",IF(J480=0,"UNMAPPED",LOWER(INDEX(Mapping!$D$1:$D$504,J480))))</f>
        <v/>
      </c>
      <c r="L480" s="6">
        <f>IF(K480="mapped",TRIM(INDEX(Mapping!$C$1:$C$504,J480)),"")</f>
        <v/>
      </c>
      <c r="M480" s="6">
        <f>IF(C480="","",IF(SUMPRODUCT(($C$12:C480=C480)*1)=1,1,0))</f>
        <v/>
      </c>
      <c r="N480" s="6">
        <f>IF(AND(K480="UNMAPPED",M480=1),ROW(),"")</f>
        <v/>
      </c>
      <c r="O480" s="6">
        <f>IF(AND(I480=1,M480=1),ROW(),"")</f>
        <v/>
      </c>
      <c r="P480" s="6">
        <f>IF(AND(K480="ignored",M480=1),ROW(),"")</f>
        <v/>
      </c>
    </row>
    <row r="481">
      <c r="A481" s="8" t="n"/>
      <c r="B481" s="8" t="n"/>
      <c r="C481" s="6">
        <f>TRIM(A481&amp;"")</f>
        <v/>
      </c>
      <c r="D481" s="6">
        <f>IF(C481="","",SUBSTITUTE(SUBSTITUTE(SUBSTITUTE(SUBSTITUTE(SUBSTITUTE(SUBSTITUTE(SUBSTITUTE(UPPER(TRIM(B481&amp;"")),"₹",""),"RS.",""),"RS",""),"INR",""),"$",""),",","")," ",""))</f>
        <v/>
      </c>
      <c r="E481" s="6">
        <f>IF(C481="","",IF(RIGHT(D481,2)="CR","Cr",IF(RIGHT(D481,2)="DR","Dr","")))</f>
        <v/>
      </c>
      <c r="F481" s="6">
        <f>IF(C481="","",IF(E481&lt;&gt;"",LEFT(D481,LEN(D481)-2),D481))</f>
        <v/>
      </c>
      <c r="G481" s="13">
        <f>IF(C481="","",IF(OR(IF(AND(LEFT(F481,1)="(",RIGHT(F481,1)=")"),MID(F481,2,LEN(F481)-2),F481)="",IF(AND(LEFT(F481,1)="(",RIGHT(F481,1)=")"),MID(F481,2,LEN(F481)-2),F481)="-"),0,IFERROR(VALUE(IF(AND(LEFT(F481,1)="(",RIGHT(F481,1)=")"),MID(F481,2,LEN(F481)-2),F481))*IF(AND(LEFT(F481,1)="(",RIGHT(F481,1)=")"),-1,1)*IF(E481="Cr",Setup!$B$6,1),"ERR")))</f>
        <v/>
      </c>
      <c r="H481" s="6">
        <f>IF(C481="","",IF(ISNUMBER(G481),1,0))</f>
        <v/>
      </c>
      <c r="I481" s="6">
        <f>IF(C481="","",IF(SUMPRODUCT(($C$12:$C$1511=C481)*1)&gt;1,1,0))</f>
        <v/>
      </c>
      <c r="J481" s="6">
        <f>IF(C481="","",SUMPRODUCT((Mapping!$F$5:$F$504=Setup!$B$4&amp;"||"&amp;C481)*ROW(Mapping!$F$5:$F$504)))</f>
        <v/>
      </c>
      <c r="K481" s="6">
        <f>IF(C481="","",IF(J481=0,"UNMAPPED",LOWER(INDEX(Mapping!$D$1:$D$504,J481))))</f>
        <v/>
      </c>
      <c r="L481" s="6">
        <f>IF(K481="mapped",TRIM(INDEX(Mapping!$C$1:$C$504,J481)),"")</f>
        <v/>
      </c>
      <c r="M481" s="6">
        <f>IF(C481="","",IF(SUMPRODUCT(($C$12:C481=C481)*1)=1,1,0))</f>
        <v/>
      </c>
      <c r="N481" s="6">
        <f>IF(AND(K481="UNMAPPED",M481=1),ROW(),"")</f>
        <v/>
      </c>
      <c r="O481" s="6">
        <f>IF(AND(I481=1,M481=1),ROW(),"")</f>
        <v/>
      </c>
      <c r="P481" s="6">
        <f>IF(AND(K481="ignored",M481=1),ROW(),"")</f>
        <v/>
      </c>
    </row>
    <row r="482">
      <c r="A482" s="8" t="n"/>
      <c r="B482" s="8" t="n"/>
      <c r="C482" s="6">
        <f>TRIM(A482&amp;"")</f>
        <v/>
      </c>
      <c r="D482" s="6">
        <f>IF(C482="","",SUBSTITUTE(SUBSTITUTE(SUBSTITUTE(SUBSTITUTE(SUBSTITUTE(SUBSTITUTE(SUBSTITUTE(UPPER(TRIM(B482&amp;"")),"₹",""),"RS.",""),"RS",""),"INR",""),"$",""),",","")," ",""))</f>
        <v/>
      </c>
      <c r="E482" s="6">
        <f>IF(C482="","",IF(RIGHT(D482,2)="CR","Cr",IF(RIGHT(D482,2)="DR","Dr","")))</f>
        <v/>
      </c>
      <c r="F482" s="6">
        <f>IF(C482="","",IF(E482&lt;&gt;"",LEFT(D482,LEN(D482)-2),D482))</f>
        <v/>
      </c>
      <c r="G482" s="13">
        <f>IF(C482="","",IF(OR(IF(AND(LEFT(F482,1)="(",RIGHT(F482,1)=")"),MID(F482,2,LEN(F482)-2),F482)="",IF(AND(LEFT(F482,1)="(",RIGHT(F482,1)=")"),MID(F482,2,LEN(F482)-2),F482)="-"),0,IFERROR(VALUE(IF(AND(LEFT(F482,1)="(",RIGHT(F482,1)=")"),MID(F482,2,LEN(F482)-2),F482))*IF(AND(LEFT(F482,1)="(",RIGHT(F482,1)=")"),-1,1)*IF(E482="Cr",Setup!$B$6,1),"ERR")))</f>
        <v/>
      </c>
      <c r="H482" s="6">
        <f>IF(C482="","",IF(ISNUMBER(G482),1,0))</f>
        <v/>
      </c>
      <c r="I482" s="6">
        <f>IF(C482="","",IF(SUMPRODUCT(($C$12:$C$1511=C482)*1)&gt;1,1,0))</f>
        <v/>
      </c>
      <c r="J482" s="6">
        <f>IF(C482="","",SUMPRODUCT((Mapping!$F$5:$F$504=Setup!$B$4&amp;"||"&amp;C482)*ROW(Mapping!$F$5:$F$504)))</f>
        <v/>
      </c>
      <c r="K482" s="6">
        <f>IF(C482="","",IF(J482=0,"UNMAPPED",LOWER(INDEX(Mapping!$D$1:$D$504,J482))))</f>
        <v/>
      </c>
      <c r="L482" s="6">
        <f>IF(K482="mapped",TRIM(INDEX(Mapping!$C$1:$C$504,J482)),"")</f>
        <v/>
      </c>
      <c r="M482" s="6">
        <f>IF(C482="","",IF(SUMPRODUCT(($C$12:C482=C482)*1)=1,1,0))</f>
        <v/>
      </c>
      <c r="N482" s="6">
        <f>IF(AND(K482="UNMAPPED",M482=1),ROW(),"")</f>
        <v/>
      </c>
      <c r="O482" s="6">
        <f>IF(AND(I482=1,M482=1),ROW(),"")</f>
        <v/>
      </c>
      <c r="P482" s="6">
        <f>IF(AND(K482="ignored",M482=1),ROW(),"")</f>
        <v/>
      </c>
    </row>
    <row r="483">
      <c r="A483" s="8" t="n"/>
      <c r="B483" s="8" t="n"/>
      <c r="C483" s="6">
        <f>TRIM(A483&amp;"")</f>
        <v/>
      </c>
      <c r="D483" s="6">
        <f>IF(C483="","",SUBSTITUTE(SUBSTITUTE(SUBSTITUTE(SUBSTITUTE(SUBSTITUTE(SUBSTITUTE(SUBSTITUTE(UPPER(TRIM(B483&amp;"")),"₹",""),"RS.",""),"RS",""),"INR",""),"$",""),",","")," ",""))</f>
        <v/>
      </c>
      <c r="E483" s="6">
        <f>IF(C483="","",IF(RIGHT(D483,2)="CR","Cr",IF(RIGHT(D483,2)="DR","Dr","")))</f>
        <v/>
      </c>
      <c r="F483" s="6">
        <f>IF(C483="","",IF(E483&lt;&gt;"",LEFT(D483,LEN(D483)-2),D483))</f>
        <v/>
      </c>
      <c r="G483" s="13">
        <f>IF(C483="","",IF(OR(IF(AND(LEFT(F483,1)="(",RIGHT(F483,1)=")"),MID(F483,2,LEN(F483)-2),F483)="",IF(AND(LEFT(F483,1)="(",RIGHT(F483,1)=")"),MID(F483,2,LEN(F483)-2),F483)="-"),0,IFERROR(VALUE(IF(AND(LEFT(F483,1)="(",RIGHT(F483,1)=")"),MID(F483,2,LEN(F483)-2),F483))*IF(AND(LEFT(F483,1)="(",RIGHT(F483,1)=")"),-1,1)*IF(E483="Cr",Setup!$B$6,1),"ERR")))</f>
        <v/>
      </c>
      <c r="H483" s="6">
        <f>IF(C483="","",IF(ISNUMBER(G483),1,0))</f>
        <v/>
      </c>
      <c r="I483" s="6">
        <f>IF(C483="","",IF(SUMPRODUCT(($C$12:$C$1511=C483)*1)&gt;1,1,0))</f>
        <v/>
      </c>
      <c r="J483" s="6">
        <f>IF(C483="","",SUMPRODUCT((Mapping!$F$5:$F$504=Setup!$B$4&amp;"||"&amp;C483)*ROW(Mapping!$F$5:$F$504)))</f>
        <v/>
      </c>
      <c r="K483" s="6">
        <f>IF(C483="","",IF(J483=0,"UNMAPPED",LOWER(INDEX(Mapping!$D$1:$D$504,J483))))</f>
        <v/>
      </c>
      <c r="L483" s="6">
        <f>IF(K483="mapped",TRIM(INDEX(Mapping!$C$1:$C$504,J483)),"")</f>
        <v/>
      </c>
      <c r="M483" s="6">
        <f>IF(C483="","",IF(SUMPRODUCT(($C$12:C483=C483)*1)=1,1,0))</f>
        <v/>
      </c>
      <c r="N483" s="6">
        <f>IF(AND(K483="UNMAPPED",M483=1),ROW(),"")</f>
        <v/>
      </c>
      <c r="O483" s="6">
        <f>IF(AND(I483=1,M483=1),ROW(),"")</f>
        <v/>
      </c>
      <c r="P483" s="6">
        <f>IF(AND(K483="ignored",M483=1),ROW(),"")</f>
        <v/>
      </c>
    </row>
    <row r="484">
      <c r="A484" s="8" t="n"/>
      <c r="B484" s="8" t="n"/>
      <c r="C484" s="6">
        <f>TRIM(A484&amp;"")</f>
        <v/>
      </c>
      <c r="D484" s="6">
        <f>IF(C484="","",SUBSTITUTE(SUBSTITUTE(SUBSTITUTE(SUBSTITUTE(SUBSTITUTE(SUBSTITUTE(SUBSTITUTE(UPPER(TRIM(B484&amp;"")),"₹",""),"RS.",""),"RS",""),"INR",""),"$",""),",","")," ",""))</f>
        <v/>
      </c>
      <c r="E484" s="6">
        <f>IF(C484="","",IF(RIGHT(D484,2)="CR","Cr",IF(RIGHT(D484,2)="DR","Dr","")))</f>
        <v/>
      </c>
      <c r="F484" s="6">
        <f>IF(C484="","",IF(E484&lt;&gt;"",LEFT(D484,LEN(D484)-2),D484))</f>
        <v/>
      </c>
      <c r="G484" s="13">
        <f>IF(C484="","",IF(OR(IF(AND(LEFT(F484,1)="(",RIGHT(F484,1)=")"),MID(F484,2,LEN(F484)-2),F484)="",IF(AND(LEFT(F484,1)="(",RIGHT(F484,1)=")"),MID(F484,2,LEN(F484)-2),F484)="-"),0,IFERROR(VALUE(IF(AND(LEFT(F484,1)="(",RIGHT(F484,1)=")"),MID(F484,2,LEN(F484)-2),F484))*IF(AND(LEFT(F484,1)="(",RIGHT(F484,1)=")"),-1,1)*IF(E484="Cr",Setup!$B$6,1),"ERR")))</f>
        <v/>
      </c>
      <c r="H484" s="6">
        <f>IF(C484="","",IF(ISNUMBER(G484),1,0))</f>
        <v/>
      </c>
      <c r="I484" s="6">
        <f>IF(C484="","",IF(SUMPRODUCT(($C$12:$C$1511=C484)*1)&gt;1,1,0))</f>
        <v/>
      </c>
      <c r="J484" s="6">
        <f>IF(C484="","",SUMPRODUCT((Mapping!$F$5:$F$504=Setup!$B$4&amp;"||"&amp;C484)*ROW(Mapping!$F$5:$F$504)))</f>
        <v/>
      </c>
      <c r="K484" s="6">
        <f>IF(C484="","",IF(J484=0,"UNMAPPED",LOWER(INDEX(Mapping!$D$1:$D$504,J484))))</f>
        <v/>
      </c>
      <c r="L484" s="6">
        <f>IF(K484="mapped",TRIM(INDEX(Mapping!$C$1:$C$504,J484)),"")</f>
        <v/>
      </c>
      <c r="M484" s="6">
        <f>IF(C484="","",IF(SUMPRODUCT(($C$12:C484=C484)*1)=1,1,0))</f>
        <v/>
      </c>
      <c r="N484" s="6">
        <f>IF(AND(K484="UNMAPPED",M484=1),ROW(),"")</f>
        <v/>
      </c>
      <c r="O484" s="6">
        <f>IF(AND(I484=1,M484=1),ROW(),"")</f>
        <v/>
      </c>
      <c r="P484" s="6">
        <f>IF(AND(K484="ignored",M484=1),ROW(),"")</f>
        <v/>
      </c>
    </row>
    <row r="485">
      <c r="A485" s="8" t="n"/>
      <c r="B485" s="8" t="n"/>
      <c r="C485" s="6">
        <f>TRIM(A485&amp;"")</f>
        <v/>
      </c>
      <c r="D485" s="6">
        <f>IF(C485="","",SUBSTITUTE(SUBSTITUTE(SUBSTITUTE(SUBSTITUTE(SUBSTITUTE(SUBSTITUTE(SUBSTITUTE(UPPER(TRIM(B485&amp;"")),"₹",""),"RS.",""),"RS",""),"INR",""),"$",""),",","")," ",""))</f>
        <v/>
      </c>
      <c r="E485" s="6">
        <f>IF(C485="","",IF(RIGHT(D485,2)="CR","Cr",IF(RIGHT(D485,2)="DR","Dr","")))</f>
        <v/>
      </c>
      <c r="F485" s="6">
        <f>IF(C485="","",IF(E485&lt;&gt;"",LEFT(D485,LEN(D485)-2),D485))</f>
        <v/>
      </c>
      <c r="G485" s="13">
        <f>IF(C485="","",IF(OR(IF(AND(LEFT(F485,1)="(",RIGHT(F485,1)=")"),MID(F485,2,LEN(F485)-2),F485)="",IF(AND(LEFT(F485,1)="(",RIGHT(F485,1)=")"),MID(F485,2,LEN(F485)-2),F485)="-"),0,IFERROR(VALUE(IF(AND(LEFT(F485,1)="(",RIGHT(F485,1)=")"),MID(F485,2,LEN(F485)-2),F485))*IF(AND(LEFT(F485,1)="(",RIGHT(F485,1)=")"),-1,1)*IF(E485="Cr",Setup!$B$6,1),"ERR")))</f>
        <v/>
      </c>
      <c r="H485" s="6">
        <f>IF(C485="","",IF(ISNUMBER(G485),1,0))</f>
        <v/>
      </c>
      <c r="I485" s="6">
        <f>IF(C485="","",IF(SUMPRODUCT(($C$12:$C$1511=C485)*1)&gt;1,1,0))</f>
        <v/>
      </c>
      <c r="J485" s="6">
        <f>IF(C485="","",SUMPRODUCT((Mapping!$F$5:$F$504=Setup!$B$4&amp;"||"&amp;C485)*ROW(Mapping!$F$5:$F$504)))</f>
        <v/>
      </c>
      <c r="K485" s="6">
        <f>IF(C485="","",IF(J485=0,"UNMAPPED",LOWER(INDEX(Mapping!$D$1:$D$504,J485))))</f>
        <v/>
      </c>
      <c r="L485" s="6">
        <f>IF(K485="mapped",TRIM(INDEX(Mapping!$C$1:$C$504,J485)),"")</f>
        <v/>
      </c>
      <c r="M485" s="6">
        <f>IF(C485="","",IF(SUMPRODUCT(($C$12:C485=C485)*1)=1,1,0))</f>
        <v/>
      </c>
      <c r="N485" s="6">
        <f>IF(AND(K485="UNMAPPED",M485=1),ROW(),"")</f>
        <v/>
      </c>
      <c r="O485" s="6">
        <f>IF(AND(I485=1,M485=1),ROW(),"")</f>
        <v/>
      </c>
      <c r="P485" s="6">
        <f>IF(AND(K485="ignored",M485=1),ROW(),"")</f>
        <v/>
      </c>
    </row>
    <row r="486">
      <c r="A486" s="8" t="n"/>
      <c r="B486" s="8" t="n"/>
      <c r="C486" s="6">
        <f>TRIM(A486&amp;"")</f>
        <v/>
      </c>
      <c r="D486" s="6">
        <f>IF(C486="","",SUBSTITUTE(SUBSTITUTE(SUBSTITUTE(SUBSTITUTE(SUBSTITUTE(SUBSTITUTE(SUBSTITUTE(UPPER(TRIM(B486&amp;"")),"₹",""),"RS.",""),"RS",""),"INR",""),"$",""),",","")," ",""))</f>
        <v/>
      </c>
      <c r="E486" s="6">
        <f>IF(C486="","",IF(RIGHT(D486,2)="CR","Cr",IF(RIGHT(D486,2)="DR","Dr","")))</f>
        <v/>
      </c>
      <c r="F486" s="6">
        <f>IF(C486="","",IF(E486&lt;&gt;"",LEFT(D486,LEN(D486)-2),D486))</f>
        <v/>
      </c>
      <c r="G486" s="13">
        <f>IF(C486="","",IF(OR(IF(AND(LEFT(F486,1)="(",RIGHT(F486,1)=")"),MID(F486,2,LEN(F486)-2),F486)="",IF(AND(LEFT(F486,1)="(",RIGHT(F486,1)=")"),MID(F486,2,LEN(F486)-2),F486)="-"),0,IFERROR(VALUE(IF(AND(LEFT(F486,1)="(",RIGHT(F486,1)=")"),MID(F486,2,LEN(F486)-2),F486))*IF(AND(LEFT(F486,1)="(",RIGHT(F486,1)=")"),-1,1)*IF(E486="Cr",Setup!$B$6,1),"ERR")))</f>
        <v/>
      </c>
      <c r="H486" s="6">
        <f>IF(C486="","",IF(ISNUMBER(G486),1,0))</f>
        <v/>
      </c>
      <c r="I486" s="6">
        <f>IF(C486="","",IF(SUMPRODUCT(($C$12:$C$1511=C486)*1)&gt;1,1,0))</f>
        <v/>
      </c>
      <c r="J486" s="6">
        <f>IF(C486="","",SUMPRODUCT((Mapping!$F$5:$F$504=Setup!$B$4&amp;"||"&amp;C486)*ROW(Mapping!$F$5:$F$504)))</f>
        <v/>
      </c>
      <c r="K486" s="6">
        <f>IF(C486="","",IF(J486=0,"UNMAPPED",LOWER(INDEX(Mapping!$D$1:$D$504,J486))))</f>
        <v/>
      </c>
      <c r="L486" s="6">
        <f>IF(K486="mapped",TRIM(INDEX(Mapping!$C$1:$C$504,J486)),"")</f>
        <v/>
      </c>
      <c r="M486" s="6">
        <f>IF(C486="","",IF(SUMPRODUCT(($C$12:C486=C486)*1)=1,1,0))</f>
        <v/>
      </c>
      <c r="N486" s="6">
        <f>IF(AND(K486="UNMAPPED",M486=1),ROW(),"")</f>
        <v/>
      </c>
      <c r="O486" s="6">
        <f>IF(AND(I486=1,M486=1),ROW(),"")</f>
        <v/>
      </c>
      <c r="P486" s="6">
        <f>IF(AND(K486="ignored",M486=1),ROW(),"")</f>
        <v/>
      </c>
    </row>
    <row r="487">
      <c r="A487" s="8" t="n"/>
      <c r="B487" s="8" t="n"/>
      <c r="C487" s="6">
        <f>TRIM(A487&amp;"")</f>
        <v/>
      </c>
      <c r="D487" s="6">
        <f>IF(C487="","",SUBSTITUTE(SUBSTITUTE(SUBSTITUTE(SUBSTITUTE(SUBSTITUTE(SUBSTITUTE(SUBSTITUTE(UPPER(TRIM(B487&amp;"")),"₹",""),"RS.",""),"RS",""),"INR",""),"$",""),",","")," ",""))</f>
        <v/>
      </c>
      <c r="E487" s="6">
        <f>IF(C487="","",IF(RIGHT(D487,2)="CR","Cr",IF(RIGHT(D487,2)="DR","Dr","")))</f>
        <v/>
      </c>
      <c r="F487" s="6">
        <f>IF(C487="","",IF(E487&lt;&gt;"",LEFT(D487,LEN(D487)-2),D487))</f>
        <v/>
      </c>
      <c r="G487" s="13">
        <f>IF(C487="","",IF(OR(IF(AND(LEFT(F487,1)="(",RIGHT(F487,1)=")"),MID(F487,2,LEN(F487)-2),F487)="",IF(AND(LEFT(F487,1)="(",RIGHT(F487,1)=")"),MID(F487,2,LEN(F487)-2),F487)="-"),0,IFERROR(VALUE(IF(AND(LEFT(F487,1)="(",RIGHT(F487,1)=")"),MID(F487,2,LEN(F487)-2),F487))*IF(AND(LEFT(F487,1)="(",RIGHT(F487,1)=")"),-1,1)*IF(E487="Cr",Setup!$B$6,1),"ERR")))</f>
        <v/>
      </c>
      <c r="H487" s="6">
        <f>IF(C487="","",IF(ISNUMBER(G487),1,0))</f>
        <v/>
      </c>
      <c r="I487" s="6">
        <f>IF(C487="","",IF(SUMPRODUCT(($C$12:$C$1511=C487)*1)&gt;1,1,0))</f>
        <v/>
      </c>
      <c r="J487" s="6">
        <f>IF(C487="","",SUMPRODUCT((Mapping!$F$5:$F$504=Setup!$B$4&amp;"||"&amp;C487)*ROW(Mapping!$F$5:$F$504)))</f>
        <v/>
      </c>
      <c r="K487" s="6">
        <f>IF(C487="","",IF(J487=0,"UNMAPPED",LOWER(INDEX(Mapping!$D$1:$D$504,J487))))</f>
        <v/>
      </c>
      <c r="L487" s="6">
        <f>IF(K487="mapped",TRIM(INDEX(Mapping!$C$1:$C$504,J487)),"")</f>
        <v/>
      </c>
      <c r="M487" s="6">
        <f>IF(C487="","",IF(SUMPRODUCT(($C$12:C487=C487)*1)=1,1,0))</f>
        <v/>
      </c>
      <c r="N487" s="6">
        <f>IF(AND(K487="UNMAPPED",M487=1),ROW(),"")</f>
        <v/>
      </c>
      <c r="O487" s="6">
        <f>IF(AND(I487=1,M487=1),ROW(),"")</f>
        <v/>
      </c>
      <c r="P487" s="6">
        <f>IF(AND(K487="ignored",M487=1),ROW(),"")</f>
        <v/>
      </c>
    </row>
    <row r="488">
      <c r="A488" s="8" t="n"/>
      <c r="B488" s="8" t="n"/>
      <c r="C488" s="6">
        <f>TRIM(A488&amp;"")</f>
        <v/>
      </c>
      <c r="D488" s="6">
        <f>IF(C488="","",SUBSTITUTE(SUBSTITUTE(SUBSTITUTE(SUBSTITUTE(SUBSTITUTE(SUBSTITUTE(SUBSTITUTE(UPPER(TRIM(B488&amp;"")),"₹",""),"RS.",""),"RS",""),"INR",""),"$",""),",","")," ",""))</f>
        <v/>
      </c>
      <c r="E488" s="6">
        <f>IF(C488="","",IF(RIGHT(D488,2)="CR","Cr",IF(RIGHT(D488,2)="DR","Dr","")))</f>
        <v/>
      </c>
      <c r="F488" s="6">
        <f>IF(C488="","",IF(E488&lt;&gt;"",LEFT(D488,LEN(D488)-2),D488))</f>
        <v/>
      </c>
      <c r="G488" s="13">
        <f>IF(C488="","",IF(OR(IF(AND(LEFT(F488,1)="(",RIGHT(F488,1)=")"),MID(F488,2,LEN(F488)-2),F488)="",IF(AND(LEFT(F488,1)="(",RIGHT(F488,1)=")"),MID(F488,2,LEN(F488)-2),F488)="-"),0,IFERROR(VALUE(IF(AND(LEFT(F488,1)="(",RIGHT(F488,1)=")"),MID(F488,2,LEN(F488)-2),F488))*IF(AND(LEFT(F488,1)="(",RIGHT(F488,1)=")"),-1,1)*IF(E488="Cr",Setup!$B$6,1),"ERR")))</f>
        <v/>
      </c>
      <c r="H488" s="6">
        <f>IF(C488="","",IF(ISNUMBER(G488),1,0))</f>
        <v/>
      </c>
      <c r="I488" s="6">
        <f>IF(C488="","",IF(SUMPRODUCT(($C$12:$C$1511=C488)*1)&gt;1,1,0))</f>
        <v/>
      </c>
      <c r="J488" s="6">
        <f>IF(C488="","",SUMPRODUCT((Mapping!$F$5:$F$504=Setup!$B$4&amp;"||"&amp;C488)*ROW(Mapping!$F$5:$F$504)))</f>
        <v/>
      </c>
      <c r="K488" s="6">
        <f>IF(C488="","",IF(J488=0,"UNMAPPED",LOWER(INDEX(Mapping!$D$1:$D$504,J488))))</f>
        <v/>
      </c>
      <c r="L488" s="6">
        <f>IF(K488="mapped",TRIM(INDEX(Mapping!$C$1:$C$504,J488)),"")</f>
        <v/>
      </c>
      <c r="M488" s="6">
        <f>IF(C488="","",IF(SUMPRODUCT(($C$12:C488=C488)*1)=1,1,0))</f>
        <v/>
      </c>
      <c r="N488" s="6">
        <f>IF(AND(K488="UNMAPPED",M488=1),ROW(),"")</f>
        <v/>
      </c>
      <c r="O488" s="6">
        <f>IF(AND(I488=1,M488=1),ROW(),"")</f>
        <v/>
      </c>
      <c r="P488" s="6">
        <f>IF(AND(K488="ignored",M488=1),ROW(),"")</f>
        <v/>
      </c>
    </row>
    <row r="489">
      <c r="A489" s="8" t="n"/>
      <c r="B489" s="8" t="n"/>
      <c r="C489" s="6">
        <f>TRIM(A489&amp;"")</f>
        <v/>
      </c>
      <c r="D489" s="6">
        <f>IF(C489="","",SUBSTITUTE(SUBSTITUTE(SUBSTITUTE(SUBSTITUTE(SUBSTITUTE(SUBSTITUTE(SUBSTITUTE(UPPER(TRIM(B489&amp;"")),"₹",""),"RS.",""),"RS",""),"INR",""),"$",""),",","")," ",""))</f>
        <v/>
      </c>
      <c r="E489" s="6">
        <f>IF(C489="","",IF(RIGHT(D489,2)="CR","Cr",IF(RIGHT(D489,2)="DR","Dr","")))</f>
        <v/>
      </c>
      <c r="F489" s="6">
        <f>IF(C489="","",IF(E489&lt;&gt;"",LEFT(D489,LEN(D489)-2),D489))</f>
        <v/>
      </c>
      <c r="G489" s="13">
        <f>IF(C489="","",IF(OR(IF(AND(LEFT(F489,1)="(",RIGHT(F489,1)=")"),MID(F489,2,LEN(F489)-2),F489)="",IF(AND(LEFT(F489,1)="(",RIGHT(F489,1)=")"),MID(F489,2,LEN(F489)-2),F489)="-"),0,IFERROR(VALUE(IF(AND(LEFT(F489,1)="(",RIGHT(F489,1)=")"),MID(F489,2,LEN(F489)-2),F489))*IF(AND(LEFT(F489,1)="(",RIGHT(F489,1)=")"),-1,1)*IF(E489="Cr",Setup!$B$6,1),"ERR")))</f>
        <v/>
      </c>
      <c r="H489" s="6">
        <f>IF(C489="","",IF(ISNUMBER(G489),1,0))</f>
        <v/>
      </c>
      <c r="I489" s="6">
        <f>IF(C489="","",IF(SUMPRODUCT(($C$12:$C$1511=C489)*1)&gt;1,1,0))</f>
        <v/>
      </c>
      <c r="J489" s="6">
        <f>IF(C489="","",SUMPRODUCT((Mapping!$F$5:$F$504=Setup!$B$4&amp;"||"&amp;C489)*ROW(Mapping!$F$5:$F$504)))</f>
        <v/>
      </c>
      <c r="K489" s="6">
        <f>IF(C489="","",IF(J489=0,"UNMAPPED",LOWER(INDEX(Mapping!$D$1:$D$504,J489))))</f>
        <v/>
      </c>
      <c r="L489" s="6">
        <f>IF(K489="mapped",TRIM(INDEX(Mapping!$C$1:$C$504,J489)),"")</f>
        <v/>
      </c>
      <c r="M489" s="6">
        <f>IF(C489="","",IF(SUMPRODUCT(($C$12:C489=C489)*1)=1,1,0))</f>
        <v/>
      </c>
      <c r="N489" s="6">
        <f>IF(AND(K489="UNMAPPED",M489=1),ROW(),"")</f>
        <v/>
      </c>
      <c r="O489" s="6">
        <f>IF(AND(I489=1,M489=1),ROW(),"")</f>
        <v/>
      </c>
      <c r="P489" s="6">
        <f>IF(AND(K489="ignored",M489=1),ROW(),"")</f>
        <v/>
      </c>
    </row>
    <row r="490">
      <c r="A490" s="8" t="n"/>
      <c r="B490" s="8" t="n"/>
      <c r="C490" s="6">
        <f>TRIM(A490&amp;"")</f>
        <v/>
      </c>
      <c r="D490" s="6">
        <f>IF(C490="","",SUBSTITUTE(SUBSTITUTE(SUBSTITUTE(SUBSTITUTE(SUBSTITUTE(SUBSTITUTE(SUBSTITUTE(UPPER(TRIM(B490&amp;"")),"₹",""),"RS.",""),"RS",""),"INR",""),"$",""),",","")," ",""))</f>
        <v/>
      </c>
      <c r="E490" s="6">
        <f>IF(C490="","",IF(RIGHT(D490,2)="CR","Cr",IF(RIGHT(D490,2)="DR","Dr","")))</f>
        <v/>
      </c>
      <c r="F490" s="6">
        <f>IF(C490="","",IF(E490&lt;&gt;"",LEFT(D490,LEN(D490)-2),D490))</f>
        <v/>
      </c>
      <c r="G490" s="13">
        <f>IF(C490="","",IF(OR(IF(AND(LEFT(F490,1)="(",RIGHT(F490,1)=")"),MID(F490,2,LEN(F490)-2),F490)="",IF(AND(LEFT(F490,1)="(",RIGHT(F490,1)=")"),MID(F490,2,LEN(F490)-2),F490)="-"),0,IFERROR(VALUE(IF(AND(LEFT(F490,1)="(",RIGHT(F490,1)=")"),MID(F490,2,LEN(F490)-2),F490))*IF(AND(LEFT(F490,1)="(",RIGHT(F490,1)=")"),-1,1)*IF(E490="Cr",Setup!$B$6,1),"ERR")))</f>
        <v/>
      </c>
      <c r="H490" s="6">
        <f>IF(C490="","",IF(ISNUMBER(G490),1,0))</f>
        <v/>
      </c>
      <c r="I490" s="6">
        <f>IF(C490="","",IF(SUMPRODUCT(($C$12:$C$1511=C490)*1)&gt;1,1,0))</f>
        <v/>
      </c>
      <c r="J490" s="6">
        <f>IF(C490="","",SUMPRODUCT((Mapping!$F$5:$F$504=Setup!$B$4&amp;"||"&amp;C490)*ROW(Mapping!$F$5:$F$504)))</f>
        <v/>
      </c>
      <c r="K490" s="6">
        <f>IF(C490="","",IF(J490=0,"UNMAPPED",LOWER(INDEX(Mapping!$D$1:$D$504,J490))))</f>
        <v/>
      </c>
      <c r="L490" s="6">
        <f>IF(K490="mapped",TRIM(INDEX(Mapping!$C$1:$C$504,J490)),"")</f>
        <v/>
      </c>
      <c r="M490" s="6">
        <f>IF(C490="","",IF(SUMPRODUCT(($C$12:C490=C490)*1)=1,1,0))</f>
        <v/>
      </c>
      <c r="N490" s="6">
        <f>IF(AND(K490="UNMAPPED",M490=1),ROW(),"")</f>
        <v/>
      </c>
      <c r="O490" s="6">
        <f>IF(AND(I490=1,M490=1),ROW(),"")</f>
        <v/>
      </c>
      <c r="P490" s="6">
        <f>IF(AND(K490="ignored",M490=1),ROW(),"")</f>
        <v/>
      </c>
    </row>
    <row r="491">
      <c r="A491" s="8" t="n"/>
      <c r="B491" s="8" t="n"/>
      <c r="C491" s="6">
        <f>TRIM(A491&amp;"")</f>
        <v/>
      </c>
      <c r="D491" s="6">
        <f>IF(C491="","",SUBSTITUTE(SUBSTITUTE(SUBSTITUTE(SUBSTITUTE(SUBSTITUTE(SUBSTITUTE(SUBSTITUTE(UPPER(TRIM(B491&amp;"")),"₹",""),"RS.",""),"RS",""),"INR",""),"$",""),",","")," ",""))</f>
        <v/>
      </c>
      <c r="E491" s="6">
        <f>IF(C491="","",IF(RIGHT(D491,2)="CR","Cr",IF(RIGHT(D491,2)="DR","Dr","")))</f>
        <v/>
      </c>
      <c r="F491" s="6">
        <f>IF(C491="","",IF(E491&lt;&gt;"",LEFT(D491,LEN(D491)-2),D491))</f>
        <v/>
      </c>
      <c r="G491" s="13">
        <f>IF(C491="","",IF(OR(IF(AND(LEFT(F491,1)="(",RIGHT(F491,1)=")"),MID(F491,2,LEN(F491)-2),F491)="",IF(AND(LEFT(F491,1)="(",RIGHT(F491,1)=")"),MID(F491,2,LEN(F491)-2),F491)="-"),0,IFERROR(VALUE(IF(AND(LEFT(F491,1)="(",RIGHT(F491,1)=")"),MID(F491,2,LEN(F491)-2),F491))*IF(AND(LEFT(F491,1)="(",RIGHT(F491,1)=")"),-1,1)*IF(E491="Cr",Setup!$B$6,1),"ERR")))</f>
        <v/>
      </c>
      <c r="H491" s="6">
        <f>IF(C491="","",IF(ISNUMBER(G491),1,0))</f>
        <v/>
      </c>
      <c r="I491" s="6">
        <f>IF(C491="","",IF(SUMPRODUCT(($C$12:$C$1511=C491)*1)&gt;1,1,0))</f>
        <v/>
      </c>
      <c r="J491" s="6">
        <f>IF(C491="","",SUMPRODUCT((Mapping!$F$5:$F$504=Setup!$B$4&amp;"||"&amp;C491)*ROW(Mapping!$F$5:$F$504)))</f>
        <v/>
      </c>
      <c r="K491" s="6">
        <f>IF(C491="","",IF(J491=0,"UNMAPPED",LOWER(INDEX(Mapping!$D$1:$D$504,J491))))</f>
        <v/>
      </c>
      <c r="L491" s="6">
        <f>IF(K491="mapped",TRIM(INDEX(Mapping!$C$1:$C$504,J491)),"")</f>
        <v/>
      </c>
      <c r="M491" s="6">
        <f>IF(C491="","",IF(SUMPRODUCT(($C$12:C491=C491)*1)=1,1,0))</f>
        <v/>
      </c>
      <c r="N491" s="6">
        <f>IF(AND(K491="UNMAPPED",M491=1),ROW(),"")</f>
        <v/>
      </c>
      <c r="O491" s="6">
        <f>IF(AND(I491=1,M491=1),ROW(),"")</f>
        <v/>
      </c>
      <c r="P491" s="6">
        <f>IF(AND(K491="ignored",M491=1),ROW(),"")</f>
        <v/>
      </c>
    </row>
    <row r="492">
      <c r="A492" s="8" t="n"/>
      <c r="B492" s="8" t="n"/>
      <c r="C492" s="6">
        <f>TRIM(A492&amp;"")</f>
        <v/>
      </c>
      <c r="D492" s="6">
        <f>IF(C492="","",SUBSTITUTE(SUBSTITUTE(SUBSTITUTE(SUBSTITUTE(SUBSTITUTE(SUBSTITUTE(SUBSTITUTE(UPPER(TRIM(B492&amp;"")),"₹",""),"RS.",""),"RS",""),"INR",""),"$",""),",","")," ",""))</f>
        <v/>
      </c>
      <c r="E492" s="6">
        <f>IF(C492="","",IF(RIGHT(D492,2)="CR","Cr",IF(RIGHT(D492,2)="DR","Dr","")))</f>
        <v/>
      </c>
      <c r="F492" s="6">
        <f>IF(C492="","",IF(E492&lt;&gt;"",LEFT(D492,LEN(D492)-2),D492))</f>
        <v/>
      </c>
      <c r="G492" s="13">
        <f>IF(C492="","",IF(OR(IF(AND(LEFT(F492,1)="(",RIGHT(F492,1)=")"),MID(F492,2,LEN(F492)-2),F492)="",IF(AND(LEFT(F492,1)="(",RIGHT(F492,1)=")"),MID(F492,2,LEN(F492)-2),F492)="-"),0,IFERROR(VALUE(IF(AND(LEFT(F492,1)="(",RIGHT(F492,1)=")"),MID(F492,2,LEN(F492)-2),F492))*IF(AND(LEFT(F492,1)="(",RIGHT(F492,1)=")"),-1,1)*IF(E492="Cr",Setup!$B$6,1),"ERR")))</f>
        <v/>
      </c>
      <c r="H492" s="6">
        <f>IF(C492="","",IF(ISNUMBER(G492),1,0))</f>
        <v/>
      </c>
      <c r="I492" s="6">
        <f>IF(C492="","",IF(SUMPRODUCT(($C$12:$C$1511=C492)*1)&gt;1,1,0))</f>
        <v/>
      </c>
      <c r="J492" s="6">
        <f>IF(C492="","",SUMPRODUCT((Mapping!$F$5:$F$504=Setup!$B$4&amp;"||"&amp;C492)*ROW(Mapping!$F$5:$F$504)))</f>
        <v/>
      </c>
      <c r="K492" s="6">
        <f>IF(C492="","",IF(J492=0,"UNMAPPED",LOWER(INDEX(Mapping!$D$1:$D$504,J492))))</f>
        <v/>
      </c>
      <c r="L492" s="6">
        <f>IF(K492="mapped",TRIM(INDEX(Mapping!$C$1:$C$504,J492)),"")</f>
        <v/>
      </c>
      <c r="M492" s="6">
        <f>IF(C492="","",IF(SUMPRODUCT(($C$12:C492=C492)*1)=1,1,0))</f>
        <v/>
      </c>
      <c r="N492" s="6">
        <f>IF(AND(K492="UNMAPPED",M492=1),ROW(),"")</f>
        <v/>
      </c>
      <c r="O492" s="6">
        <f>IF(AND(I492=1,M492=1),ROW(),"")</f>
        <v/>
      </c>
      <c r="P492" s="6">
        <f>IF(AND(K492="ignored",M492=1),ROW(),"")</f>
        <v/>
      </c>
    </row>
    <row r="493">
      <c r="A493" s="8" t="n"/>
      <c r="B493" s="8" t="n"/>
      <c r="C493" s="6">
        <f>TRIM(A493&amp;"")</f>
        <v/>
      </c>
      <c r="D493" s="6">
        <f>IF(C493="","",SUBSTITUTE(SUBSTITUTE(SUBSTITUTE(SUBSTITUTE(SUBSTITUTE(SUBSTITUTE(SUBSTITUTE(UPPER(TRIM(B493&amp;"")),"₹",""),"RS.",""),"RS",""),"INR",""),"$",""),",","")," ",""))</f>
        <v/>
      </c>
      <c r="E493" s="6">
        <f>IF(C493="","",IF(RIGHT(D493,2)="CR","Cr",IF(RIGHT(D493,2)="DR","Dr","")))</f>
        <v/>
      </c>
      <c r="F493" s="6">
        <f>IF(C493="","",IF(E493&lt;&gt;"",LEFT(D493,LEN(D493)-2),D493))</f>
        <v/>
      </c>
      <c r="G493" s="13">
        <f>IF(C493="","",IF(OR(IF(AND(LEFT(F493,1)="(",RIGHT(F493,1)=")"),MID(F493,2,LEN(F493)-2),F493)="",IF(AND(LEFT(F493,1)="(",RIGHT(F493,1)=")"),MID(F493,2,LEN(F493)-2),F493)="-"),0,IFERROR(VALUE(IF(AND(LEFT(F493,1)="(",RIGHT(F493,1)=")"),MID(F493,2,LEN(F493)-2),F493))*IF(AND(LEFT(F493,1)="(",RIGHT(F493,1)=")"),-1,1)*IF(E493="Cr",Setup!$B$6,1),"ERR")))</f>
        <v/>
      </c>
      <c r="H493" s="6">
        <f>IF(C493="","",IF(ISNUMBER(G493),1,0))</f>
        <v/>
      </c>
      <c r="I493" s="6">
        <f>IF(C493="","",IF(SUMPRODUCT(($C$12:$C$1511=C493)*1)&gt;1,1,0))</f>
        <v/>
      </c>
      <c r="J493" s="6">
        <f>IF(C493="","",SUMPRODUCT((Mapping!$F$5:$F$504=Setup!$B$4&amp;"||"&amp;C493)*ROW(Mapping!$F$5:$F$504)))</f>
        <v/>
      </c>
      <c r="K493" s="6">
        <f>IF(C493="","",IF(J493=0,"UNMAPPED",LOWER(INDEX(Mapping!$D$1:$D$504,J493))))</f>
        <v/>
      </c>
      <c r="L493" s="6">
        <f>IF(K493="mapped",TRIM(INDEX(Mapping!$C$1:$C$504,J493)),"")</f>
        <v/>
      </c>
      <c r="M493" s="6">
        <f>IF(C493="","",IF(SUMPRODUCT(($C$12:C493=C493)*1)=1,1,0))</f>
        <v/>
      </c>
      <c r="N493" s="6">
        <f>IF(AND(K493="UNMAPPED",M493=1),ROW(),"")</f>
        <v/>
      </c>
      <c r="O493" s="6">
        <f>IF(AND(I493=1,M493=1),ROW(),"")</f>
        <v/>
      </c>
      <c r="P493" s="6">
        <f>IF(AND(K493="ignored",M493=1),ROW(),"")</f>
        <v/>
      </c>
    </row>
    <row r="494">
      <c r="A494" s="8" t="n"/>
      <c r="B494" s="8" t="n"/>
      <c r="C494" s="6">
        <f>TRIM(A494&amp;"")</f>
        <v/>
      </c>
      <c r="D494" s="6">
        <f>IF(C494="","",SUBSTITUTE(SUBSTITUTE(SUBSTITUTE(SUBSTITUTE(SUBSTITUTE(SUBSTITUTE(SUBSTITUTE(UPPER(TRIM(B494&amp;"")),"₹",""),"RS.",""),"RS",""),"INR",""),"$",""),",","")," ",""))</f>
        <v/>
      </c>
      <c r="E494" s="6">
        <f>IF(C494="","",IF(RIGHT(D494,2)="CR","Cr",IF(RIGHT(D494,2)="DR","Dr","")))</f>
        <v/>
      </c>
      <c r="F494" s="6">
        <f>IF(C494="","",IF(E494&lt;&gt;"",LEFT(D494,LEN(D494)-2),D494))</f>
        <v/>
      </c>
      <c r="G494" s="13">
        <f>IF(C494="","",IF(OR(IF(AND(LEFT(F494,1)="(",RIGHT(F494,1)=")"),MID(F494,2,LEN(F494)-2),F494)="",IF(AND(LEFT(F494,1)="(",RIGHT(F494,1)=")"),MID(F494,2,LEN(F494)-2),F494)="-"),0,IFERROR(VALUE(IF(AND(LEFT(F494,1)="(",RIGHT(F494,1)=")"),MID(F494,2,LEN(F494)-2),F494))*IF(AND(LEFT(F494,1)="(",RIGHT(F494,1)=")"),-1,1)*IF(E494="Cr",Setup!$B$6,1),"ERR")))</f>
        <v/>
      </c>
      <c r="H494" s="6">
        <f>IF(C494="","",IF(ISNUMBER(G494),1,0))</f>
        <v/>
      </c>
      <c r="I494" s="6">
        <f>IF(C494="","",IF(SUMPRODUCT(($C$12:$C$1511=C494)*1)&gt;1,1,0))</f>
        <v/>
      </c>
      <c r="J494" s="6">
        <f>IF(C494="","",SUMPRODUCT((Mapping!$F$5:$F$504=Setup!$B$4&amp;"||"&amp;C494)*ROW(Mapping!$F$5:$F$504)))</f>
        <v/>
      </c>
      <c r="K494" s="6">
        <f>IF(C494="","",IF(J494=0,"UNMAPPED",LOWER(INDEX(Mapping!$D$1:$D$504,J494))))</f>
        <v/>
      </c>
      <c r="L494" s="6">
        <f>IF(K494="mapped",TRIM(INDEX(Mapping!$C$1:$C$504,J494)),"")</f>
        <v/>
      </c>
      <c r="M494" s="6">
        <f>IF(C494="","",IF(SUMPRODUCT(($C$12:C494=C494)*1)=1,1,0))</f>
        <v/>
      </c>
      <c r="N494" s="6">
        <f>IF(AND(K494="UNMAPPED",M494=1),ROW(),"")</f>
        <v/>
      </c>
      <c r="O494" s="6">
        <f>IF(AND(I494=1,M494=1),ROW(),"")</f>
        <v/>
      </c>
      <c r="P494" s="6">
        <f>IF(AND(K494="ignored",M494=1),ROW(),"")</f>
        <v/>
      </c>
    </row>
    <row r="495">
      <c r="A495" s="8" t="n"/>
      <c r="B495" s="8" t="n"/>
      <c r="C495" s="6">
        <f>TRIM(A495&amp;"")</f>
        <v/>
      </c>
      <c r="D495" s="6">
        <f>IF(C495="","",SUBSTITUTE(SUBSTITUTE(SUBSTITUTE(SUBSTITUTE(SUBSTITUTE(SUBSTITUTE(SUBSTITUTE(UPPER(TRIM(B495&amp;"")),"₹",""),"RS.",""),"RS",""),"INR",""),"$",""),",","")," ",""))</f>
        <v/>
      </c>
      <c r="E495" s="6">
        <f>IF(C495="","",IF(RIGHT(D495,2)="CR","Cr",IF(RIGHT(D495,2)="DR","Dr","")))</f>
        <v/>
      </c>
      <c r="F495" s="6">
        <f>IF(C495="","",IF(E495&lt;&gt;"",LEFT(D495,LEN(D495)-2),D495))</f>
        <v/>
      </c>
      <c r="G495" s="13">
        <f>IF(C495="","",IF(OR(IF(AND(LEFT(F495,1)="(",RIGHT(F495,1)=")"),MID(F495,2,LEN(F495)-2),F495)="",IF(AND(LEFT(F495,1)="(",RIGHT(F495,1)=")"),MID(F495,2,LEN(F495)-2),F495)="-"),0,IFERROR(VALUE(IF(AND(LEFT(F495,1)="(",RIGHT(F495,1)=")"),MID(F495,2,LEN(F495)-2),F495))*IF(AND(LEFT(F495,1)="(",RIGHT(F495,1)=")"),-1,1)*IF(E495="Cr",Setup!$B$6,1),"ERR")))</f>
        <v/>
      </c>
      <c r="H495" s="6">
        <f>IF(C495="","",IF(ISNUMBER(G495),1,0))</f>
        <v/>
      </c>
      <c r="I495" s="6">
        <f>IF(C495="","",IF(SUMPRODUCT(($C$12:$C$1511=C495)*1)&gt;1,1,0))</f>
        <v/>
      </c>
      <c r="J495" s="6">
        <f>IF(C495="","",SUMPRODUCT((Mapping!$F$5:$F$504=Setup!$B$4&amp;"||"&amp;C495)*ROW(Mapping!$F$5:$F$504)))</f>
        <v/>
      </c>
      <c r="K495" s="6">
        <f>IF(C495="","",IF(J495=0,"UNMAPPED",LOWER(INDEX(Mapping!$D$1:$D$504,J495))))</f>
        <v/>
      </c>
      <c r="L495" s="6">
        <f>IF(K495="mapped",TRIM(INDEX(Mapping!$C$1:$C$504,J495)),"")</f>
        <v/>
      </c>
      <c r="M495" s="6">
        <f>IF(C495="","",IF(SUMPRODUCT(($C$12:C495=C495)*1)=1,1,0))</f>
        <v/>
      </c>
      <c r="N495" s="6">
        <f>IF(AND(K495="UNMAPPED",M495=1),ROW(),"")</f>
        <v/>
      </c>
      <c r="O495" s="6">
        <f>IF(AND(I495=1,M495=1),ROW(),"")</f>
        <v/>
      </c>
      <c r="P495" s="6">
        <f>IF(AND(K495="ignored",M495=1),ROW(),"")</f>
        <v/>
      </c>
    </row>
    <row r="496">
      <c r="A496" s="8" t="n"/>
      <c r="B496" s="8" t="n"/>
      <c r="C496" s="6">
        <f>TRIM(A496&amp;"")</f>
        <v/>
      </c>
      <c r="D496" s="6">
        <f>IF(C496="","",SUBSTITUTE(SUBSTITUTE(SUBSTITUTE(SUBSTITUTE(SUBSTITUTE(SUBSTITUTE(SUBSTITUTE(UPPER(TRIM(B496&amp;"")),"₹",""),"RS.",""),"RS",""),"INR",""),"$",""),",","")," ",""))</f>
        <v/>
      </c>
      <c r="E496" s="6">
        <f>IF(C496="","",IF(RIGHT(D496,2)="CR","Cr",IF(RIGHT(D496,2)="DR","Dr","")))</f>
        <v/>
      </c>
      <c r="F496" s="6">
        <f>IF(C496="","",IF(E496&lt;&gt;"",LEFT(D496,LEN(D496)-2),D496))</f>
        <v/>
      </c>
      <c r="G496" s="13">
        <f>IF(C496="","",IF(OR(IF(AND(LEFT(F496,1)="(",RIGHT(F496,1)=")"),MID(F496,2,LEN(F496)-2),F496)="",IF(AND(LEFT(F496,1)="(",RIGHT(F496,1)=")"),MID(F496,2,LEN(F496)-2),F496)="-"),0,IFERROR(VALUE(IF(AND(LEFT(F496,1)="(",RIGHT(F496,1)=")"),MID(F496,2,LEN(F496)-2),F496))*IF(AND(LEFT(F496,1)="(",RIGHT(F496,1)=")"),-1,1)*IF(E496="Cr",Setup!$B$6,1),"ERR")))</f>
        <v/>
      </c>
      <c r="H496" s="6">
        <f>IF(C496="","",IF(ISNUMBER(G496),1,0))</f>
        <v/>
      </c>
      <c r="I496" s="6">
        <f>IF(C496="","",IF(SUMPRODUCT(($C$12:$C$1511=C496)*1)&gt;1,1,0))</f>
        <v/>
      </c>
      <c r="J496" s="6">
        <f>IF(C496="","",SUMPRODUCT((Mapping!$F$5:$F$504=Setup!$B$4&amp;"||"&amp;C496)*ROW(Mapping!$F$5:$F$504)))</f>
        <v/>
      </c>
      <c r="K496" s="6">
        <f>IF(C496="","",IF(J496=0,"UNMAPPED",LOWER(INDEX(Mapping!$D$1:$D$504,J496))))</f>
        <v/>
      </c>
      <c r="L496" s="6">
        <f>IF(K496="mapped",TRIM(INDEX(Mapping!$C$1:$C$504,J496)),"")</f>
        <v/>
      </c>
      <c r="M496" s="6">
        <f>IF(C496="","",IF(SUMPRODUCT(($C$12:C496=C496)*1)=1,1,0))</f>
        <v/>
      </c>
      <c r="N496" s="6">
        <f>IF(AND(K496="UNMAPPED",M496=1),ROW(),"")</f>
        <v/>
      </c>
      <c r="O496" s="6">
        <f>IF(AND(I496=1,M496=1),ROW(),"")</f>
        <v/>
      </c>
      <c r="P496" s="6">
        <f>IF(AND(K496="ignored",M496=1),ROW(),"")</f>
        <v/>
      </c>
    </row>
    <row r="497">
      <c r="A497" s="8" t="n"/>
      <c r="B497" s="8" t="n"/>
      <c r="C497" s="6">
        <f>TRIM(A497&amp;"")</f>
        <v/>
      </c>
      <c r="D497" s="6">
        <f>IF(C497="","",SUBSTITUTE(SUBSTITUTE(SUBSTITUTE(SUBSTITUTE(SUBSTITUTE(SUBSTITUTE(SUBSTITUTE(UPPER(TRIM(B497&amp;"")),"₹",""),"RS.",""),"RS",""),"INR",""),"$",""),",","")," ",""))</f>
        <v/>
      </c>
      <c r="E497" s="6">
        <f>IF(C497="","",IF(RIGHT(D497,2)="CR","Cr",IF(RIGHT(D497,2)="DR","Dr","")))</f>
        <v/>
      </c>
      <c r="F497" s="6">
        <f>IF(C497="","",IF(E497&lt;&gt;"",LEFT(D497,LEN(D497)-2),D497))</f>
        <v/>
      </c>
      <c r="G497" s="13">
        <f>IF(C497="","",IF(OR(IF(AND(LEFT(F497,1)="(",RIGHT(F497,1)=")"),MID(F497,2,LEN(F497)-2),F497)="",IF(AND(LEFT(F497,1)="(",RIGHT(F497,1)=")"),MID(F497,2,LEN(F497)-2),F497)="-"),0,IFERROR(VALUE(IF(AND(LEFT(F497,1)="(",RIGHT(F497,1)=")"),MID(F497,2,LEN(F497)-2),F497))*IF(AND(LEFT(F497,1)="(",RIGHT(F497,1)=")"),-1,1)*IF(E497="Cr",Setup!$B$6,1),"ERR")))</f>
        <v/>
      </c>
      <c r="H497" s="6">
        <f>IF(C497="","",IF(ISNUMBER(G497),1,0))</f>
        <v/>
      </c>
      <c r="I497" s="6">
        <f>IF(C497="","",IF(SUMPRODUCT(($C$12:$C$1511=C497)*1)&gt;1,1,0))</f>
        <v/>
      </c>
      <c r="J497" s="6">
        <f>IF(C497="","",SUMPRODUCT((Mapping!$F$5:$F$504=Setup!$B$4&amp;"||"&amp;C497)*ROW(Mapping!$F$5:$F$504)))</f>
        <v/>
      </c>
      <c r="K497" s="6">
        <f>IF(C497="","",IF(J497=0,"UNMAPPED",LOWER(INDEX(Mapping!$D$1:$D$504,J497))))</f>
        <v/>
      </c>
      <c r="L497" s="6">
        <f>IF(K497="mapped",TRIM(INDEX(Mapping!$C$1:$C$504,J497)),"")</f>
        <v/>
      </c>
      <c r="M497" s="6">
        <f>IF(C497="","",IF(SUMPRODUCT(($C$12:C497=C497)*1)=1,1,0))</f>
        <v/>
      </c>
      <c r="N497" s="6">
        <f>IF(AND(K497="UNMAPPED",M497=1),ROW(),"")</f>
        <v/>
      </c>
      <c r="O497" s="6">
        <f>IF(AND(I497=1,M497=1),ROW(),"")</f>
        <v/>
      </c>
      <c r="P497" s="6">
        <f>IF(AND(K497="ignored",M497=1),ROW(),"")</f>
        <v/>
      </c>
    </row>
    <row r="498">
      <c r="A498" s="8" t="n"/>
      <c r="B498" s="8" t="n"/>
      <c r="C498" s="6">
        <f>TRIM(A498&amp;"")</f>
        <v/>
      </c>
      <c r="D498" s="6">
        <f>IF(C498="","",SUBSTITUTE(SUBSTITUTE(SUBSTITUTE(SUBSTITUTE(SUBSTITUTE(SUBSTITUTE(SUBSTITUTE(UPPER(TRIM(B498&amp;"")),"₹",""),"RS.",""),"RS",""),"INR",""),"$",""),",","")," ",""))</f>
        <v/>
      </c>
      <c r="E498" s="6">
        <f>IF(C498="","",IF(RIGHT(D498,2)="CR","Cr",IF(RIGHT(D498,2)="DR","Dr","")))</f>
        <v/>
      </c>
      <c r="F498" s="6">
        <f>IF(C498="","",IF(E498&lt;&gt;"",LEFT(D498,LEN(D498)-2),D498))</f>
        <v/>
      </c>
      <c r="G498" s="13">
        <f>IF(C498="","",IF(OR(IF(AND(LEFT(F498,1)="(",RIGHT(F498,1)=")"),MID(F498,2,LEN(F498)-2),F498)="",IF(AND(LEFT(F498,1)="(",RIGHT(F498,1)=")"),MID(F498,2,LEN(F498)-2),F498)="-"),0,IFERROR(VALUE(IF(AND(LEFT(F498,1)="(",RIGHT(F498,1)=")"),MID(F498,2,LEN(F498)-2),F498))*IF(AND(LEFT(F498,1)="(",RIGHT(F498,1)=")"),-1,1)*IF(E498="Cr",Setup!$B$6,1),"ERR")))</f>
        <v/>
      </c>
      <c r="H498" s="6">
        <f>IF(C498="","",IF(ISNUMBER(G498),1,0))</f>
        <v/>
      </c>
      <c r="I498" s="6">
        <f>IF(C498="","",IF(SUMPRODUCT(($C$12:$C$1511=C498)*1)&gt;1,1,0))</f>
        <v/>
      </c>
      <c r="J498" s="6">
        <f>IF(C498="","",SUMPRODUCT((Mapping!$F$5:$F$504=Setup!$B$4&amp;"||"&amp;C498)*ROW(Mapping!$F$5:$F$504)))</f>
        <v/>
      </c>
      <c r="K498" s="6">
        <f>IF(C498="","",IF(J498=0,"UNMAPPED",LOWER(INDEX(Mapping!$D$1:$D$504,J498))))</f>
        <v/>
      </c>
      <c r="L498" s="6">
        <f>IF(K498="mapped",TRIM(INDEX(Mapping!$C$1:$C$504,J498)),"")</f>
        <v/>
      </c>
      <c r="M498" s="6">
        <f>IF(C498="","",IF(SUMPRODUCT(($C$12:C498=C498)*1)=1,1,0))</f>
        <v/>
      </c>
      <c r="N498" s="6">
        <f>IF(AND(K498="UNMAPPED",M498=1),ROW(),"")</f>
        <v/>
      </c>
      <c r="O498" s="6">
        <f>IF(AND(I498=1,M498=1),ROW(),"")</f>
        <v/>
      </c>
      <c r="P498" s="6">
        <f>IF(AND(K498="ignored",M498=1),ROW(),"")</f>
        <v/>
      </c>
    </row>
    <row r="499">
      <c r="A499" s="8" t="n"/>
      <c r="B499" s="8" t="n"/>
      <c r="C499" s="6">
        <f>TRIM(A499&amp;"")</f>
        <v/>
      </c>
      <c r="D499" s="6">
        <f>IF(C499="","",SUBSTITUTE(SUBSTITUTE(SUBSTITUTE(SUBSTITUTE(SUBSTITUTE(SUBSTITUTE(SUBSTITUTE(UPPER(TRIM(B499&amp;"")),"₹",""),"RS.",""),"RS",""),"INR",""),"$",""),",","")," ",""))</f>
        <v/>
      </c>
      <c r="E499" s="6">
        <f>IF(C499="","",IF(RIGHT(D499,2)="CR","Cr",IF(RIGHT(D499,2)="DR","Dr","")))</f>
        <v/>
      </c>
      <c r="F499" s="6">
        <f>IF(C499="","",IF(E499&lt;&gt;"",LEFT(D499,LEN(D499)-2),D499))</f>
        <v/>
      </c>
      <c r="G499" s="13">
        <f>IF(C499="","",IF(OR(IF(AND(LEFT(F499,1)="(",RIGHT(F499,1)=")"),MID(F499,2,LEN(F499)-2),F499)="",IF(AND(LEFT(F499,1)="(",RIGHT(F499,1)=")"),MID(F499,2,LEN(F499)-2),F499)="-"),0,IFERROR(VALUE(IF(AND(LEFT(F499,1)="(",RIGHT(F499,1)=")"),MID(F499,2,LEN(F499)-2),F499))*IF(AND(LEFT(F499,1)="(",RIGHT(F499,1)=")"),-1,1)*IF(E499="Cr",Setup!$B$6,1),"ERR")))</f>
        <v/>
      </c>
      <c r="H499" s="6">
        <f>IF(C499="","",IF(ISNUMBER(G499),1,0))</f>
        <v/>
      </c>
      <c r="I499" s="6">
        <f>IF(C499="","",IF(SUMPRODUCT(($C$12:$C$1511=C499)*1)&gt;1,1,0))</f>
        <v/>
      </c>
      <c r="J499" s="6">
        <f>IF(C499="","",SUMPRODUCT((Mapping!$F$5:$F$504=Setup!$B$4&amp;"||"&amp;C499)*ROW(Mapping!$F$5:$F$504)))</f>
        <v/>
      </c>
      <c r="K499" s="6">
        <f>IF(C499="","",IF(J499=0,"UNMAPPED",LOWER(INDEX(Mapping!$D$1:$D$504,J499))))</f>
        <v/>
      </c>
      <c r="L499" s="6">
        <f>IF(K499="mapped",TRIM(INDEX(Mapping!$C$1:$C$504,J499)),"")</f>
        <v/>
      </c>
      <c r="M499" s="6">
        <f>IF(C499="","",IF(SUMPRODUCT(($C$12:C499=C499)*1)=1,1,0))</f>
        <v/>
      </c>
      <c r="N499" s="6">
        <f>IF(AND(K499="UNMAPPED",M499=1),ROW(),"")</f>
        <v/>
      </c>
      <c r="O499" s="6">
        <f>IF(AND(I499=1,M499=1),ROW(),"")</f>
        <v/>
      </c>
      <c r="P499" s="6">
        <f>IF(AND(K499="ignored",M499=1),ROW(),"")</f>
        <v/>
      </c>
    </row>
    <row r="500">
      <c r="A500" s="8" t="n"/>
      <c r="B500" s="8" t="n"/>
      <c r="C500" s="6">
        <f>TRIM(A500&amp;"")</f>
        <v/>
      </c>
      <c r="D500" s="6">
        <f>IF(C500="","",SUBSTITUTE(SUBSTITUTE(SUBSTITUTE(SUBSTITUTE(SUBSTITUTE(SUBSTITUTE(SUBSTITUTE(UPPER(TRIM(B500&amp;"")),"₹",""),"RS.",""),"RS",""),"INR",""),"$",""),",","")," ",""))</f>
        <v/>
      </c>
      <c r="E500" s="6">
        <f>IF(C500="","",IF(RIGHT(D500,2)="CR","Cr",IF(RIGHT(D500,2)="DR","Dr","")))</f>
        <v/>
      </c>
      <c r="F500" s="6">
        <f>IF(C500="","",IF(E500&lt;&gt;"",LEFT(D500,LEN(D500)-2),D500))</f>
        <v/>
      </c>
      <c r="G500" s="13">
        <f>IF(C500="","",IF(OR(IF(AND(LEFT(F500,1)="(",RIGHT(F500,1)=")"),MID(F500,2,LEN(F500)-2),F500)="",IF(AND(LEFT(F500,1)="(",RIGHT(F500,1)=")"),MID(F500,2,LEN(F500)-2),F500)="-"),0,IFERROR(VALUE(IF(AND(LEFT(F500,1)="(",RIGHT(F500,1)=")"),MID(F500,2,LEN(F500)-2),F500))*IF(AND(LEFT(F500,1)="(",RIGHT(F500,1)=")"),-1,1)*IF(E500="Cr",Setup!$B$6,1),"ERR")))</f>
        <v/>
      </c>
      <c r="H500" s="6">
        <f>IF(C500="","",IF(ISNUMBER(G500),1,0))</f>
        <v/>
      </c>
      <c r="I500" s="6">
        <f>IF(C500="","",IF(SUMPRODUCT(($C$12:$C$1511=C500)*1)&gt;1,1,0))</f>
        <v/>
      </c>
      <c r="J500" s="6">
        <f>IF(C500="","",SUMPRODUCT((Mapping!$F$5:$F$504=Setup!$B$4&amp;"||"&amp;C500)*ROW(Mapping!$F$5:$F$504)))</f>
        <v/>
      </c>
      <c r="K500" s="6">
        <f>IF(C500="","",IF(J500=0,"UNMAPPED",LOWER(INDEX(Mapping!$D$1:$D$504,J500))))</f>
        <v/>
      </c>
      <c r="L500" s="6">
        <f>IF(K500="mapped",TRIM(INDEX(Mapping!$C$1:$C$504,J500)),"")</f>
        <v/>
      </c>
      <c r="M500" s="6">
        <f>IF(C500="","",IF(SUMPRODUCT(($C$12:C500=C500)*1)=1,1,0))</f>
        <v/>
      </c>
      <c r="N500" s="6">
        <f>IF(AND(K500="UNMAPPED",M500=1),ROW(),"")</f>
        <v/>
      </c>
      <c r="O500" s="6">
        <f>IF(AND(I500=1,M500=1),ROW(),"")</f>
        <v/>
      </c>
      <c r="P500" s="6">
        <f>IF(AND(K500="ignored",M500=1),ROW(),"")</f>
        <v/>
      </c>
    </row>
    <row r="501">
      <c r="A501" s="8" t="n"/>
      <c r="B501" s="8" t="n"/>
      <c r="C501" s="6">
        <f>TRIM(A501&amp;"")</f>
        <v/>
      </c>
      <c r="D501" s="6">
        <f>IF(C501="","",SUBSTITUTE(SUBSTITUTE(SUBSTITUTE(SUBSTITUTE(SUBSTITUTE(SUBSTITUTE(SUBSTITUTE(UPPER(TRIM(B501&amp;"")),"₹",""),"RS.",""),"RS",""),"INR",""),"$",""),",","")," ",""))</f>
        <v/>
      </c>
      <c r="E501" s="6">
        <f>IF(C501="","",IF(RIGHT(D501,2)="CR","Cr",IF(RIGHT(D501,2)="DR","Dr","")))</f>
        <v/>
      </c>
      <c r="F501" s="6">
        <f>IF(C501="","",IF(E501&lt;&gt;"",LEFT(D501,LEN(D501)-2),D501))</f>
        <v/>
      </c>
      <c r="G501" s="13">
        <f>IF(C501="","",IF(OR(IF(AND(LEFT(F501,1)="(",RIGHT(F501,1)=")"),MID(F501,2,LEN(F501)-2),F501)="",IF(AND(LEFT(F501,1)="(",RIGHT(F501,1)=")"),MID(F501,2,LEN(F501)-2),F501)="-"),0,IFERROR(VALUE(IF(AND(LEFT(F501,1)="(",RIGHT(F501,1)=")"),MID(F501,2,LEN(F501)-2),F501))*IF(AND(LEFT(F501,1)="(",RIGHT(F501,1)=")"),-1,1)*IF(E501="Cr",Setup!$B$6,1),"ERR")))</f>
        <v/>
      </c>
      <c r="H501" s="6">
        <f>IF(C501="","",IF(ISNUMBER(G501),1,0))</f>
        <v/>
      </c>
      <c r="I501" s="6">
        <f>IF(C501="","",IF(SUMPRODUCT(($C$12:$C$1511=C501)*1)&gt;1,1,0))</f>
        <v/>
      </c>
      <c r="J501" s="6">
        <f>IF(C501="","",SUMPRODUCT((Mapping!$F$5:$F$504=Setup!$B$4&amp;"||"&amp;C501)*ROW(Mapping!$F$5:$F$504)))</f>
        <v/>
      </c>
      <c r="K501" s="6">
        <f>IF(C501="","",IF(J501=0,"UNMAPPED",LOWER(INDEX(Mapping!$D$1:$D$504,J501))))</f>
        <v/>
      </c>
      <c r="L501" s="6">
        <f>IF(K501="mapped",TRIM(INDEX(Mapping!$C$1:$C$504,J501)),"")</f>
        <v/>
      </c>
      <c r="M501" s="6">
        <f>IF(C501="","",IF(SUMPRODUCT(($C$12:C501=C501)*1)=1,1,0))</f>
        <v/>
      </c>
      <c r="N501" s="6">
        <f>IF(AND(K501="UNMAPPED",M501=1),ROW(),"")</f>
        <v/>
      </c>
      <c r="O501" s="6">
        <f>IF(AND(I501=1,M501=1),ROW(),"")</f>
        <v/>
      </c>
      <c r="P501" s="6">
        <f>IF(AND(K501="ignored",M501=1),ROW(),"")</f>
        <v/>
      </c>
    </row>
    <row r="502">
      <c r="A502" s="8" t="n"/>
      <c r="B502" s="8" t="n"/>
      <c r="C502" s="6">
        <f>TRIM(A502&amp;"")</f>
        <v/>
      </c>
      <c r="D502" s="6">
        <f>IF(C502="","",SUBSTITUTE(SUBSTITUTE(SUBSTITUTE(SUBSTITUTE(SUBSTITUTE(SUBSTITUTE(SUBSTITUTE(UPPER(TRIM(B502&amp;"")),"₹",""),"RS.",""),"RS",""),"INR",""),"$",""),",","")," ",""))</f>
        <v/>
      </c>
      <c r="E502" s="6">
        <f>IF(C502="","",IF(RIGHT(D502,2)="CR","Cr",IF(RIGHT(D502,2)="DR","Dr","")))</f>
        <v/>
      </c>
      <c r="F502" s="6">
        <f>IF(C502="","",IF(E502&lt;&gt;"",LEFT(D502,LEN(D502)-2),D502))</f>
        <v/>
      </c>
      <c r="G502" s="13">
        <f>IF(C502="","",IF(OR(IF(AND(LEFT(F502,1)="(",RIGHT(F502,1)=")"),MID(F502,2,LEN(F502)-2),F502)="",IF(AND(LEFT(F502,1)="(",RIGHT(F502,1)=")"),MID(F502,2,LEN(F502)-2),F502)="-"),0,IFERROR(VALUE(IF(AND(LEFT(F502,1)="(",RIGHT(F502,1)=")"),MID(F502,2,LEN(F502)-2),F502))*IF(AND(LEFT(F502,1)="(",RIGHT(F502,1)=")"),-1,1)*IF(E502="Cr",Setup!$B$6,1),"ERR")))</f>
        <v/>
      </c>
      <c r="H502" s="6">
        <f>IF(C502="","",IF(ISNUMBER(G502),1,0))</f>
        <v/>
      </c>
      <c r="I502" s="6">
        <f>IF(C502="","",IF(SUMPRODUCT(($C$12:$C$1511=C502)*1)&gt;1,1,0))</f>
        <v/>
      </c>
      <c r="J502" s="6">
        <f>IF(C502="","",SUMPRODUCT((Mapping!$F$5:$F$504=Setup!$B$4&amp;"||"&amp;C502)*ROW(Mapping!$F$5:$F$504)))</f>
        <v/>
      </c>
      <c r="K502" s="6">
        <f>IF(C502="","",IF(J502=0,"UNMAPPED",LOWER(INDEX(Mapping!$D$1:$D$504,J502))))</f>
        <v/>
      </c>
      <c r="L502" s="6">
        <f>IF(K502="mapped",TRIM(INDEX(Mapping!$C$1:$C$504,J502)),"")</f>
        <v/>
      </c>
      <c r="M502" s="6">
        <f>IF(C502="","",IF(SUMPRODUCT(($C$12:C502=C502)*1)=1,1,0))</f>
        <v/>
      </c>
      <c r="N502" s="6">
        <f>IF(AND(K502="UNMAPPED",M502=1),ROW(),"")</f>
        <v/>
      </c>
      <c r="O502" s="6">
        <f>IF(AND(I502=1,M502=1),ROW(),"")</f>
        <v/>
      </c>
      <c r="P502" s="6">
        <f>IF(AND(K502="ignored",M502=1),ROW(),"")</f>
        <v/>
      </c>
    </row>
    <row r="503">
      <c r="A503" s="8" t="n"/>
      <c r="B503" s="8" t="n"/>
      <c r="C503" s="6">
        <f>TRIM(A503&amp;"")</f>
        <v/>
      </c>
      <c r="D503" s="6">
        <f>IF(C503="","",SUBSTITUTE(SUBSTITUTE(SUBSTITUTE(SUBSTITUTE(SUBSTITUTE(SUBSTITUTE(SUBSTITUTE(UPPER(TRIM(B503&amp;"")),"₹",""),"RS.",""),"RS",""),"INR",""),"$",""),",","")," ",""))</f>
        <v/>
      </c>
      <c r="E503" s="6">
        <f>IF(C503="","",IF(RIGHT(D503,2)="CR","Cr",IF(RIGHT(D503,2)="DR","Dr","")))</f>
        <v/>
      </c>
      <c r="F503" s="6">
        <f>IF(C503="","",IF(E503&lt;&gt;"",LEFT(D503,LEN(D503)-2),D503))</f>
        <v/>
      </c>
      <c r="G503" s="13">
        <f>IF(C503="","",IF(OR(IF(AND(LEFT(F503,1)="(",RIGHT(F503,1)=")"),MID(F503,2,LEN(F503)-2),F503)="",IF(AND(LEFT(F503,1)="(",RIGHT(F503,1)=")"),MID(F503,2,LEN(F503)-2),F503)="-"),0,IFERROR(VALUE(IF(AND(LEFT(F503,1)="(",RIGHT(F503,1)=")"),MID(F503,2,LEN(F503)-2),F503))*IF(AND(LEFT(F503,1)="(",RIGHT(F503,1)=")"),-1,1)*IF(E503="Cr",Setup!$B$6,1),"ERR")))</f>
        <v/>
      </c>
      <c r="H503" s="6">
        <f>IF(C503="","",IF(ISNUMBER(G503),1,0))</f>
        <v/>
      </c>
      <c r="I503" s="6">
        <f>IF(C503="","",IF(SUMPRODUCT(($C$12:$C$1511=C503)*1)&gt;1,1,0))</f>
        <v/>
      </c>
      <c r="J503" s="6">
        <f>IF(C503="","",SUMPRODUCT((Mapping!$F$5:$F$504=Setup!$B$4&amp;"||"&amp;C503)*ROW(Mapping!$F$5:$F$504)))</f>
        <v/>
      </c>
      <c r="K503" s="6">
        <f>IF(C503="","",IF(J503=0,"UNMAPPED",LOWER(INDEX(Mapping!$D$1:$D$504,J503))))</f>
        <v/>
      </c>
      <c r="L503" s="6">
        <f>IF(K503="mapped",TRIM(INDEX(Mapping!$C$1:$C$504,J503)),"")</f>
        <v/>
      </c>
      <c r="M503" s="6">
        <f>IF(C503="","",IF(SUMPRODUCT(($C$12:C503=C503)*1)=1,1,0))</f>
        <v/>
      </c>
      <c r="N503" s="6">
        <f>IF(AND(K503="UNMAPPED",M503=1),ROW(),"")</f>
        <v/>
      </c>
      <c r="O503" s="6">
        <f>IF(AND(I503=1,M503=1),ROW(),"")</f>
        <v/>
      </c>
      <c r="P503" s="6">
        <f>IF(AND(K503="ignored",M503=1),ROW(),"")</f>
        <v/>
      </c>
    </row>
    <row r="504">
      <c r="A504" s="8" t="n"/>
      <c r="B504" s="8" t="n"/>
      <c r="C504" s="6">
        <f>TRIM(A504&amp;"")</f>
        <v/>
      </c>
      <c r="D504" s="6">
        <f>IF(C504="","",SUBSTITUTE(SUBSTITUTE(SUBSTITUTE(SUBSTITUTE(SUBSTITUTE(SUBSTITUTE(SUBSTITUTE(UPPER(TRIM(B504&amp;"")),"₹",""),"RS.",""),"RS",""),"INR",""),"$",""),",","")," ",""))</f>
        <v/>
      </c>
      <c r="E504" s="6">
        <f>IF(C504="","",IF(RIGHT(D504,2)="CR","Cr",IF(RIGHT(D504,2)="DR","Dr","")))</f>
        <v/>
      </c>
      <c r="F504" s="6">
        <f>IF(C504="","",IF(E504&lt;&gt;"",LEFT(D504,LEN(D504)-2),D504))</f>
        <v/>
      </c>
      <c r="G504" s="13">
        <f>IF(C504="","",IF(OR(IF(AND(LEFT(F504,1)="(",RIGHT(F504,1)=")"),MID(F504,2,LEN(F504)-2),F504)="",IF(AND(LEFT(F504,1)="(",RIGHT(F504,1)=")"),MID(F504,2,LEN(F504)-2),F504)="-"),0,IFERROR(VALUE(IF(AND(LEFT(F504,1)="(",RIGHT(F504,1)=")"),MID(F504,2,LEN(F504)-2),F504))*IF(AND(LEFT(F504,1)="(",RIGHT(F504,1)=")"),-1,1)*IF(E504="Cr",Setup!$B$6,1),"ERR")))</f>
        <v/>
      </c>
      <c r="H504" s="6">
        <f>IF(C504="","",IF(ISNUMBER(G504),1,0))</f>
        <v/>
      </c>
      <c r="I504" s="6">
        <f>IF(C504="","",IF(SUMPRODUCT(($C$12:$C$1511=C504)*1)&gt;1,1,0))</f>
        <v/>
      </c>
      <c r="J504" s="6">
        <f>IF(C504="","",SUMPRODUCT((Mapping!$F$5:$F$504=Setup!$B$4&amp;"||"&amp;C504)*ROW(Mapping!$F$5:$F$504)))</f>
        <v/>
      </c>
      <c r="K504" s="6">
        <f>IF(C504="","",IF(J504=0,"UNMAPPED",LOWER(INDEX(Mapping!$D$1:$D$504,J504))))</f>
        <v/>
      </c>
      <c r="L504" s="6">
        <f>IF(K504="mapped",TRIM(INDEX(Mapping!$C$1:$C$504,J504)),"")</f>
        <v/>
      </c>
      <c r="M504" s="6">
        <f>IF(C504="","",IF(SUMPRODUCT(($C$12:C504=C504)*1)=1,1,0))</f>
        <v/>
      </c>
      <c r="N504" s="6">
        <f>IF(AND(K504="UNMAPPED",M504=1),ROW(),"")</f>
        <v/>
      </c>
      <c r="O504" s="6">
        <f>IF(AND(I504=1,M504=1),ROW(),"")</f>
        <v/>
      </c>
      <c r="P504" s="6">
        <f>IF(AND(K504="ignored",M504=1),ROW(),"")</f>
        <v/>
      </c>
    </row>
    <row r="505">
      <c r="A505" s="8" t="n"/>
      <c r="B505" s="8" t="n"/>
      <c r="C505" s="6">
        <f>TRIM(A505&amp;"")</f>
        <v/>
      </c>
      <c r="D505" s="6">
        <f>IF(C505="","",SUBSTITUTE(SUBSTITUTE(SUBSTITUTE(SUBSTITUTE(SUBSTITUTE(SUBSTITUTE(SUBSTITUTE(UPPER(TRIM(B505&amp;"")),"₹",""),"RS.",""),"RS",""),"INR",""),"$",""),",","")," ",""))</f>
        <v/>
      </c>
      <c r="E505" s="6">
        <f>IF(C505="","",IF(RIGHT(D505,2)="CR","Cr",IF(RIGHT(D505,2)="DR","Dr","")))</f>
        <v/>
      </c>
      <c r="F505" s="6">
        <f>IF(C505="","",IF(E505&lt;&gt;"",LEFT(D505,LEN(D505)-2),D505))</f>
        <v/>
      </c>
      <c r="G505" s="13">
        <f>IF(C505="","",IF(OR(IF(AND(LEFT(F505,1)="(",RIGHT(F505,1)=")"),MID(F505,2,LEN(F505)-2),F505)="",IF(AND(LEFT(F505,1)="(",RIGHT(F505,1)=")"),MID(F505,2,LEN(F505)-2),F505)="-"),0,IFERROR(VALUE(IF(AND(LEFT(F505,1)="(",RIGHT(F505,1)=")"),MID(F505,2,LEN(F505)-2),F505))*IF(AND(LEFT(F505,1)="(",RIGHT(F505,1)=")"),-1,1)*IF(E505="Cr",Setup!$B$6,1),"ERR")))</f>
        <v/>
      </c>
      <c r="H505" s="6">
        <f>IF(C505="","",IF(ISNUMBER(G505),1,0))</f>
        <v/>
      </c>
      <c r="I505" s="6">
        <f>IF(C505="","",IF(SUMPRODUCT(($C$12:$C$1511=C505)*1)&gt;1,1,0))</f>
        <v/>
      </c>
      <c r="J505" s="6">
        <f>IF(C505="","",SUMPRODUCT((Mapping!$F$5:$F$504=Setup!$B$4&amp;"||"&amp;C505)*ROW(Mapping!$F$5:$F$504)))</f>
        <v/>
      </c>
      <c r="K505" s="6">
        <f>IF(C505="","",IF(J505=0,"UNMAPPED",LOWER(INDEX(Mapping!$D$1:$D$504,J505))))</f>
        <v/>
      </c>
      <c r="L505" s="6">
        <f>IF(K505="mapped",TRIM(INDEX(Mapping!$C$1:$C$504,J505)),"")</f>
        <v/>
      </c>
      <c r="M505" s="6">
        <f>IF(C505="","",IF(SUMPRODUCT(($C$12:C505=C505)*1)=1,1,0))</f>
        <v/>
      </c>
      <c r="N505" s="6">
        <f>IF(AND(K505="UNMAPPED",M505=1),ROW(),"")</f>
        <v/>
      </c>
      <c r="O505" s="6">
        <f>IF(AND(I505=1,M505=1),ROW(),"")</f>
        <v/>
      </c>
      <c r="P505" s="6">
        <f>IF(AND(K505="ignored",M505=1),ROW(),"")</f>
        <v/>
      </c>
    </row>
    <row r="506">
      <c r="A506" s="8" t="n"/>
      <c r="B506" s="8" t="n"/>
      <c r="C506" s="6">
        <f>TRIM(A506&amp;"")</f>
        <v/>
      </c>
      <c r="D506" s="6">
        <f>IF(C506="","",SUBSTITUTE(SUBSTITUTE(SUBSTITUTE(SUBSTITUTE(SUBSTITUTE(SUBSTITUTE(SUBSTITUTE(UPPER(TRIM(B506&amp;"")),"₹",""),"RS.",""),"RS",""),"INR",""),"$",""),",","")," ",""))</f>
        <v/>
      </c>
      <c r="E506" s="6">
        <f>IF(C506="","",IF(RIGHT(D506,2)="CR","Cr",IF(RIGHT(D506,2)="DR","Dr","")))</f>
        <v/>
      </c>
      <c r="F506" s="6">
        <f>IF(C506="","",IF(E506&lt;&gt;"",LEFT(D506,LEN(D506)-2),D506))</f>
        <v/>
      </c>
      <c r="G506" s="13">
        <f>IF(C506="","",IF(OR(IF(AND(LEFT(F506,1)="(",RIGHT(F506,1)=")"),MID(F506,2,LEN(F506)-2),F506)="",IF(AND(LEFT(F506,1)="(",RIGHT(F506,1)=")"),MID(F506,2,LEN(F506)-2),F506)="-"),0,IFERROR(VALUE(IF(AND(LEFT(F506,1)="(",RIGHT(F506,1)=")"),MID(F506,2,LEN(F506)-2),F506))*IF(AND(LEFT(F506,1)="(",RIGHT(F506,1)=")"),-1,1)*IF(E506="Cr",Setup!$B$6,1),"ERR")))</f>
        <v/>
      </c>
      <c r="H506" s="6">
        <f>IF(C506="","",IF(ISNUMBER(G506),1,0))</f>
        <v/>
      </c>
      <c r="I506" s="6">
        <f>IF(C506="","",IF(SUMPRODUCT(($C$12:$C$1511=C506)*1)&gt;1,1,0))</f>
        <v/>
      </c>
      <c r="J506" s="6">
        <f>IF(C506="","",SUMPRODUCT((Mapping!$F$5:$F$504=Setup!$B$4&amp;"||"&amp;C506)*ROW(Mapping!$F$5:$F$504)))</f>
        <v/>
      </c>
      <c r="K506" s="6">
        <f>IF(C506="","",IF(J506=0,"UNMAPPED",LOWER(INDEX(Mapping!$D$1:$D$504,J506))))</f>
        <v/>
      </c>
      <c r="L506" s="6">
        <f>IF(K506="mapped",TRIM(INDEX(Mapping!$C$1:$C$504,J506)),"")</f>
        <v/>
      </c>
      <c r="M506" s="6">
        <f>IF(C506="","",IF(SUMPRODUCT(($C$12:C506=C506)*1)=1,1,0))</f>
        <v/>
      </c>
      <c r="N506" s="6">
        <f>IF(AND(K506="UNMAPPED",M506=1),ROW(),"")</f>
        <v/>
      </c>
      <c r="O506" s="6">
        <f>IF(AND(I506=1,M506=1),ROW(),"")</f>
        <v/>
      </c>
      <c r="P506" s="6">
        <f>IF(AND(K506="ignored",M506=1),ROW(),"")</f>
        <v/>
      </c>
    </row>
    <row r="507">
      <c r="A507" s="8" t="n"/>
      <c r="B507" s="8" t="n"/>
      <c r="C507" s="6">
        <f>TRIM(A507&amp;"")</f>
        <v/>
      </c>
      <c r="D507" s="6">
        <f>IF(C507="","",SUBSTITUTE(SUBSTITUTE(SUBSTITUTE(SUBSTITUTE(SUBSTITUTE(SUBSTITUTE(SUBSTITUTE(UPPER(TRIM(B507&amp;"")),"₹",""),"RS.",""),"RS",""),"INR",""),"$",""),",","")," ",""))</f>
        <v/>
      </c>
      <c r="E507" s="6">
        <f>IF(C507="","",IF(RIGHT(D507,2)="CR","Cr",IF(RIGHT(D507,2)="DR","Dr","")))</f>
        <v/>
      </c>
      <c r="F507" s="6">
        <f>IF(C507="","",IF(E507&lt;&gt;"",LEFT(D507,LEN(D507)-2),D507))</f>
        <v/>
      </c>
      <c r="G507" s="13">
        <f>IF(C507="","",IF(OR(IF(AND(LEFT(F507,1)="(",RIGHT(F507,1)=")"),MID(F507,2,LEN(F507)-2),F507)="",IF(AND(LEFT(F507,1)="(",RIGHT(F507,1)=")"),MID(F507,2,LEN(F507)-2),F507)="-"),0,IFERROR(VALUE(IF(AND(LEFT(F507,1)="(",RIGHT(F507,1)=")"),MID(F507,2,LEN(F507)-2),F507))*IF(AND(LEFT(F507,1)="(",RIGHT(F507,1)=")"),-1,1)*IF(E507="Cr",Setup!$B$6,1),"ERR")))</f>
        <v/>
      </c>
      <c r="H507" s="6">
        <f>IF(C507="","",IF(ISNUMBER(G507),1,0))</f>
        <v/>
      </c>
      <c r="I507" s="6">
        <f>IF(C507="","",IF(SUMPRODUCT(($C$12:$C$1511=C507)*1)&gt;1,1,0))</f>
        <v/>
      </c>
      <c r="J507" s="6">
        <f>IF(C507="","",SUMPRODUCT((Mapping!$F$5:$F$504=Setup!$B$4&amp;"||"&amp;C507)*ROW(Mapping!$F$5:$F$504)))</f>
        <v/>
      </c>
      <c r="K507" s="6">
        <f>IF(C507="","",IF(J507=0,"UNMAPPED",LOWER(INDEX(Mapping!$D$1:$D$504,J507))))</f>
        <v/>
      </c>
      <c r="L507" s="6">
        <f>IF(K507="mapped",TRIM(INDEX(Mapping!$C$1:$C$504,J507)),"")</f>
        <v/>
      </c>
      <c r="M507" s="6">
        <f>IF(C507="","",IF(SUMPRODUCT(($C$12:C507=C507)*1)=1,1,0))</f>
        <v/>
      </c>
      <c r="N507" s="6">
        <f>IF(AND(K507="UNMAPPED",M507=1),ROW(),"")</f>
        <v/>
      </c>
      <c r="O507" s="6">
        <f>IF(AND(I507=1,M507=1),ROW(),"")</f>
        <v/>
      </c>
      <c r="P507" s="6">
        <f>IF(AND(K507="ignored",M507=1),ROW(),"")</f>
        <v/>
      </c>
    </row>
    <row r="508">
      <c r="A508" s="8" t="n"/>
      <c r="B508" s="8" t="n"/>
      <c r="C508" s="6">
        <f>TRIM(A508&amp;"")</f>
        <v/>
      </c>
      <c r="D508" s="6">
        <f>IF(C508="","",SUBSTITUTE(SUBSTITUTE(SUBSTITUTE(SUBSTITUTE(SUBSTITUTE(SUBSTITUTE(SUBSTITUTE(UPPER(TRIM(B508&amp;"")),"₹",""),"RS.",""),"RS",""),"INR",""),"$",""),",","")," ",""))</f>
        <v/>
      </c>
      <c r="E508" s="6">
        <f>IF(C508="","",IF(RIGHT(D508,2)="CR","Cr",IF(RIGHT(D508,2)="DR","Dr","")))</f>
        <v/>
      </c>
      <c r="F508" s="6">
        <f>IF(C508="","",IF(E508&lt;&gt;"",LEFT(D508,LEN(D508)-2),D508))</f>
        <v/>
      </c>
      <c r="G508" s="13">
        <f>IF(C508="","",IF(OR(IF(AND(LEFT(F508,1)="(",RIGHT(F508,1)=")"),MID(F508,2,LEN(F508)-2),F508)="",IF(AND(LEFT(F508,1)="(",RIGHT(F508,1)=")"),MID(F508,2,LEN(F508)-2),F508)="-"),0,IFERROR(VALUE(IF(AND(LEFT(F508,1)="(",RIGHT(F508,1)=")"),MID(F508,2,LEN(F508)-2),F508))*IF(AND(LEFT(F508,1)="(",RIGHT(F508,1)=")"),-1,1)*IF(E508="Cr",Setup!$B$6,1),"ERR")))</f>
        <v/>
      </c>
      <c r="H508" s="6">
        <f>IF(C508="","",IF(ISNUMBER(G508),1,0))</f>
        <v/>
      </c>
      <c r="I508" s="6">
        <f>IF(C508="","",IF(SUMPRODUCT(($C$12:$C$1511=C508)*1)&gt;1,1,0))</f>
        <v/>
      </c>
      <c r="J508" s="6">
        <f>IF(C508="","",SUMPRODUCT((Mapping!$F$5:$F$504=Setup!$B$4&amp;"||"&amp;C508)*ROW(Mapping!$F$5:$F$504)))</f>
        <v/>
      </c>
      <c r="K508" s="6">
        <f>IF(C508="","",IF(J508=0,"UNMAPPED",LOWER(INDEX(Mapping!$D$1:$D$504,J508))))</f>
        <v/>
      </c>
      <c r="L508" s="6">
        <f>IF(K508="mapped",TRIM(INDEX(Mapping!$C$1:$C$504,J508)),"")</f>
        <v/>
      </c>
      <c r="M508" s="6">
        <f>IF(C508="","",IF(SUMPRODUCT(($C$12:C508=C508)*1)=1,1,0))</f>
        <v/>
      </c>
      <c r="N508" s="6">
        <f>IF(AND(K508="UNMAPPED",M508=1),ROW(),"")</f>
        <v/>
      </c>
      <c r="O508" s="6">
        <f>IF(AND(I508=1,M508=1),ROW(),"")</f>
        <v/>
      </c>
      <c r="P508" s="6">
        <f>IF(AND(K508="ignored",M508=1),ROW(),"")</f>
        <v/>
      </c>
    </row>
    <row r="509">
      <c r="A509" s="8" t="n"/>
      <c r="B509" s="8" t="n"/>
      <c r="C509" s="6">
        <f>TRIM(A509&amp;"")</f>
        <v/>
      </c>
      <c r="D509" s="6">
        <f>IF(C509="","",SUBSTITUTE(SUBSTITUTE(SUBSTITUTE(SUBSTITUTE(SUBSTITUTE(SUBSTITUTE(SUBSTITUTE(UPPER(TRIM(B509&amp;"")),"₹",""),"RS.",""),"RS",""),"INR",""),"$",""),",","")," ",""))</f>
        <v/>
      </c>
      <c r="E509" s="6">
        <f>IF(C509="","",IF(RIGHT(D509,2)="CR","Cr",IF(RIGHT(D509,2)="DR","Dr","")))</f>
        <v/>
      </c>
      <c r="F509" s="6">
        <f>IF(C509="","",IF(E509&lt;&gt;"",LEFT(D509,LEN(D509)-2),D509))</f>
        <v/>
      </c>
      <c r="G509" s="13">
        <f>IF(C509="","",IF(OR(IF(AND(LEFT(F509,1)="(",RIGHT(F509,1)=")"),MID(F509,2,LEN(F509)-2),F509)="",IF(AND(LEFT(F509,1)="(",RIGHT(F509,1)=")"),MID(F509,2,LEN(F509)-2),F509)="-"),0,IFERROR(VALUE(IF(AND(LEFT(F509,1)="(",RIGHT(F509,1)=")"),MID(F509,2,LEN(F509)-2),F509))*IF(AND(LEFT(F509,1)="(",RIGHT(F509,1)=")"),-1,1)*IF(E509="Cr",Setup!$B$6,1),"ERR")))</f>
        <v/>
      </c>
      <c r="H509" s="6">
        <f>IF(C509="","",IF(ISNUMBER(G509),1,0))</f>
        <v/>
      </c>
      <c r="I509" s="6">
        <f>IF(C509="","",IF(SUMPRODUCT(($C$12:$C$1511=C509)*1)&gt;1,1,0))</f>
        <v/>
      </c>
      <c r="J509" s="6">
        <f>IF(C509="","",SUMPRODUCT((Mapping!$F$5:$F$504=Setup!$B$4&amp;"||"&amp;C509)*ROW(Mapping!$F$5:$F$504)))</f>
        <v/>
      </c>
      <c r="K509" s="6">
        <f>IF(C509="","",IF(J509=0,"UNMAPPED",LOWER(INDEX(Mapping!$D$1:$D$504,J509))))</f>
        <v/>
      </c>
      <c r="L509" s="6">
        <f>IF(K509="mapped",TRIM(INDEX(Mapping!$C$1:$C$504,J509)),"")</f>
        <v/>
      </c>
      <c r="M509" s="6">
        <f>IF(C509="","",IF(SUMPRODUCT(($C$12:C509=C509)*1)=1,1,0))</f>
        <v/>
      </c>
      <c r="N509" s="6">
        <f>IF(AND(K509="UNMAPPED",M509=1),ROW(),"")</f>
        <v/>
      </c>
      <c r="O509" s="6">
        <f>IF(AND(I509=1,M509=1),ROW(),"")</f>
        <v/>
      </c>
      <c r="P509" s="6">
        <f>IF(AND(K509="ignored",M509=1),ROW(),"")</f>
        <v/>
      </c>
    </row>
    <row r="510">
      <c r="A510" s="8" t="n"/>
      <c r="B510" s="8" t="n"/>
      <c r="C510" s="6">
        <f>TRIM(A510&amp;"")</f>
        <v/>
      </c>
      <c r="D510" s="6">
        <f>IF(C510="","",SUBSTITUTE(SUBSTITUTE(SUBSTITUTE(SUBSTITUTE(SUBSTITUTE(SUBSTITUTE(SUBSTITUTE(UPPER(TRIM(B510&amp;"")),"₹",""),"RS.",""),"RS",""),"INR",""),"$",""),",","")," ",""))</f>
        <v/>
      </c>
      <c r="E510" s="6">
        <f>IF(C510="","",IF(RIGHT(D510,2)="CR","Cr",IF(RIGHT(D510,2)="DR","Dr","")))</f>
        <v/>
      </c>
      <c r="F510" s="6">
        <f>IF(C510="","",IF(E510&lt;&gt;"",LEFT(D510,LEN(D510)-2),D510))</f>
        <v/>
      </c>
      <c r="G510" s="13">
        <f>IF(C510="","",IF(OR(IF(AND(LEFT(F510,1)="(",RIGHT(F510,1)=")"),MID(F510,2,LEN(F510)-2),F510)="",IF(AND(LEFT(F510,1)="(",RIGHT(F510,1)=")"),MID(F510,2,LEN(F510)-2),F510)="-"),0,IFERROR(VALUE(IF(AND(LEFT(F510,1)="(",RIGHT(F510,1)=")"),MID(F510,2,LEN(F510)-2),F510))*IF(AND(LEFT(F510,1)="(",RIGHT(F510,1)=")"),-1,1)*IF(E510="Cr",Setup!$B$6,1),"ERR")))</f>
        <v/>
      </c>
      <c r="H510" s="6">
        <f>IF(C510="","",IF(ISNUMBER(G510),1,0))</f>
        <v/>
      </c>
      <c r="I510" s="6">
        <f>IF(C510="","",IF(SUMPRODUCT(($C$12:$C$1511=C510)*1)&gt;1,1,0))</f>
        <v/>
      </c>
      <c r="J510" s="6">
        <f>IF(C510="","",SUMPRODUCT((Mapping!$F$5:$F$504=Setup!$B$4&amp;"||"&amp;C510)*ROW(Mapping!$F$5:$F$504)))</f>
        <v/>
      </c>
      <c r="K510" s="6">
        <f>IF(C510="","",IF(J510=0,"UNMAPPED",LOWER(INDEX(Mapping!$D$1:$D$504,J510))))</f>
        <v/>
      </c>
      <c r="L510" s="6">
        <f>IF(K510="mapped",TRIM(INDEX(Mapping!$C$1:$C$504,J510)),"")</f>
        <v/>
      </c>
      <c r="M510" s="6">
        <f>IF(C510="","",IF(SUMPRODUCT(($C$12:C510=C510)*1)=1,1,0))</f>
        <v/>
      </c>
      <c r="N510" s="6">
        <f>IF(AND(K510="UNMAPPED",M510=1),ROW(),"")</f>
        <v/>
      </c>
      <c r="O510" s="6">
        <f>IF(AND(I510=1,M510=1),ROW(),"")</f>
        <v/>
      </c>
      <c r="P510" s="6">
        <f>IF(AND(K510="ignored",M510=1),ROW(),"")</f>
        <v/>
      </c>
    </row>
    <row r="511">
      <c r="A511" s="8" t="n"/>
      <c r="B511" s="8" t="n"/>
      <c r="C511" s="6">
        <f>TRIM(A511&amp;"")</f>
        <v/>
      </c>
      <c r="D511" s="6">
        <f>IF(C511="","",SUBSTITUTE(SUBSTITUTE(SUBSTITUTE(SUBSTITUTE(SUBSTITUTE(SUBSTITUTE(SUBSTITUTE(UPPER(TRIM(B511&amp;"")),"₹",""),"RS.",""),"RS",""),"INR",""),"$",""),",","")," ",""))</f>
        <v/>
      </c>
      <c r="E511" s="6">
        <f>IF(C511="","",IF(RIGHT(D511,2)="CR","Cr",IF(RIGHT(D511,2)="DR","Dr","")))</f>
        <v/>
      </c>
      <c r="F511" s="6">
        <f>IF(C511="","",IF(E511&lt;&gt;"",LEFT(D511,LEN(D511)-2),D511))</f>
        <v/>
      </c>
      <c r="G511" s="13">
        <f>IF(C511="","",IF(OR(IF(AND(LEFT(F511,1)="(",RIGHT(F511,1)=")"),MID(F511,2,LEN(F511)-2),F511)="",IF(AND(LEFT(F511,1)="(",RIGHT(F511,1)=")"),MID(F511,2,LEN(F511)-2),F511)="-"),0,IFERROR(VALUE(IF(AND(LEFT(F511,1)="(",RIGHT(F511,1)=")"),MID(F511,2,LEN(F511)-2),F511))*IF(AND(LEFT(F511,1)="(",RIGHT(F511,1)=")"),-1,1)*IF(E511="Cr",Setup!$B$6,1),"ERR")))</f>
        <v/>
      </c>
      <c r="H511" s="6">
        <f>IF(C511="","",IF(ISNUMBER(G511),1,0))</f>
        <v/>
      </c>
      <c r="I511" s="6">
        <f>IF(C511="","",IF(SUMPRODUCT(($C$12:$C$1511=C511)*1)&gt;1,1,0))</f>
        <v/>
      </c>
      <c r="J511" s="6">
        <f>IF(C511="","",SUMPRODUCT((Mapping!$F$5:$F$504=Setup!$B$4&amp;"||"&amp;C511)*ROW(Mapping!$F$5:$F$504)))</f>
        <v/>
      </c>
      <c r="K511" s="6">
        <f>IF(C511="","",IF(J511=0,"UNMAPPED",LOWER(INDEX(Mapping!$D$1:$D$504,J511))))</f>
        <v/>
      </c>
      <c r="L511" s="6">
        <f>IF(K511="mapped",TRIM(INDEX(Mapping!$C$1:$C$504,J511)),"")</f>
        <v/>
      </c>
      <c r="M511" s="6">
        <f>IF(C511="","",IF(SUMPRODUCT(($C$12:C511=C511)*1)=1,1,0))</f>
        <v/>
      </c>
      <c r="N511" s="6">
        <f>IF(AND(K511="UNMAPPED",M511=1),ROW(),"")</f>
        <v/>
      </c>
      <c r="O511" s="6">
        <f>IF(AND(I511=1,M511=1),ROW(),"")</f>
        <v/>
      </c>
      <c r="P511" s="6">
        <f>IF(AND(K511="ignored",M511=1),ROW(),"")</f>
        <v/>
      </c>
    </row>
    <row r="512">
      <c r="A512" s="8" t="n"/>
      <c r="B512" s="8" t="n"/>
      <c r="C512" s="6">
        <f>TRIM(A512&amp;"")</f>
        <v/>
      </c>
      <c r="D512" s="6">
        <f>IF(C512="","",SUBSTITUTE(SUBSTITUTE(SUBSTITUTE(SUBSTITUTE(SUBSTITUTE(SUBSTITUTE(SUBSTITUTE(UPPER(TRIM(B512&amp;"")),"₹",""),"RS.",""),"RS",""),"INR",""),"$",""),",","")," ",""))</f>
        <v/>
      </c>
      <c r="E512" s="6">
        <f>IF(C512="","",IF(RIGHT(D512,2)="CR","Cr",IF(RIGHT(D512,2)="DR","Dr","")))</f>
        <v/>
      </c>
      <c r="F512" s="6">
        <f>IF(C512="","",IF(E512&lt;&gt;"",LEFT(D512,LEN(D512)-2),D512))</f>
        <v/>
      </c>
      <c r="G512" s="13">
        <f>IF(C512="","",IF(OR(IF(AND(LEFT(F512,1)="(",RIGHT(F512,1)=")"),MID(F512,2,LEN(F512)-2),F512)="",IF(AND(LEFT(F512,1)="(",RIGHT(F512,1)=")"),MID(F512,2,LEN(F512)-2),F512)="-"),0,IFERROR(VALUE(IF(AND(LEFT(F512,1)="(",RIGHT(F512,1)=")"),MID(F512,2,LEN(F512)-2),F512))*IF(AND(LEFT(F512,1)="(",RIGHT(F512,1)=")"),-1,1)*IF(E512="Cr",Setup!$B$6,1),"ERR")))</f>
        <v/>
      </c>
      <c r="H512" s="6">
        <f>IF(C512="","",IF(ISNUMBER(G512),1,0))</f>
        <v/>
      </c>
      <c r="I512" s="6">
        <f>IF(C512="","",IF(SUMPRODUCT(($C$12:$C$1511=C512)*1)&gt;1,1,0))</f>
        <v/>
      </c>
      <c r="J512" s="6">
        <f>IF(C512="","",SUMPRODUCT((Mapping!$F$5:$F$504=Setup!$B$4&amp;"||"&amp;C512)*ROW(Mapping!$F$5:$F$504)))</f>
        <v/>
      </c>
      <c r="K512" s="6">
        <f>IF(C512="","",IF(J512=0,"UNMAPPED",LOWER(INDEX(Mapping!$D$1:$D$504,J512))))</f>
        <v/>
      </c>
      <c r="L512" s="6">
        <f>IF(K512="mapped",TRIM(INDEX(Mapping!$C$1:$C$504,J512)),"")</f>
        <v/>
      </c>
      <c r="M512" s="6">
        <f>IF(C512="","",IF(SUMPRODUCT(($C$12:C512=C512)*1)=1,1,0))</f>
        <v/>
      </c>
      <c r="N512" s="6">
        <f>IF(AND(K512="UNMAPPED",M512=1),ROW(),"")</f>
        <v/>
      </c>
      <c r="O512" s="6">
        <f>IF(AND(I512=1,M512=1),ROW(),"")</f>
        <v/>
      </c>
      <c r="P512" s="6">
        <f>IF(AND(K512="ignored",M512=1),ROW(),"")</f>
        <v/>
      </c>
    </row>
    <row r="513">
      <c r="A513" s="8" t="n"/>
      <c r="B513" s="8" t="n"/>
      <c r="C513" s="6">
        <f>TRIM(A513&amp;"")</f>
        <v/>
      </c>
      <c r="D513" s="6">
        <f>IF(C513="","",SUBSTITUTE(SUBSTITUTE(SUBSTITUTE(SUBSTITUTE(SUBSTITUTE(SUBSTITUTE(SUBSTITUTE(UPPER(TRIM(B513&amp;"")),"₹",""),"RS.",""),"RS",""),"INR",""),"$",""),",","")," ",""))</f>
        <v/>
      </c>
      <c r="E513" s="6">
        <f>IF(C513="","",IF(RIGHT(D513,2)="CR","Cr",IF(RIGHT(D513,2)="DR","Dr","")))</f>
        <v/>
      </c>
      <c r="F513" s="6">
        <f>IF(C513="","",IF(E513&lt;&gt;"",LEFT(D513,LEN(D513)-2),D513))</f>
        <v/>
      </c>
      <c r="G513" s="13">
        <f>IF(C513="","",IF(OR(IF(AND(LEFT(F513,1)="(",RIGHT(F513,1)=")"),MID(F513,2,LEN(F513)-2),F513)="",IF(AND(LEFT(F513,1)="(",RIGHT(F513,1)=")"),MID(F513,2,LEN(F513)-2),F513)="-"),0,IFERROR(VALUE(IF(AND(LEFT(F513,1)="(",RIGHT(F513,1)=")"),MID(F513,2,LEN(F513)-2),F513))*IF(AND(LEFT(F513,1)="(",RIGHT(F513,1)=")"),-1,1)*IF(E513="Cr",Setup!$B$6,1),"ERR")))</f>
        <v/>
      </c>
      <c r="H513" s="6">
        <f>IF(C513="","",IF(ISNUMBER(G513),1,0))</f>
        <v/>
      </c>
      <c r="I513" s="6">
        <f>IF(C513="","",IF(SUMPRODUCT(($C$12:$C$1511=C513)*1)&gt;1,1,0))</f>
        <v/>
      </c>
      <c r="J513" s="6">
        <f>IF(C513="","",SUMPRODUCT((Mapping!$F$5:$F$504=Setup!$B$4&amp;"||"&amp;C513)*ROW(Mapping!$F$5:$F$504)))</f>
        <v/>
      </c>
      <c r="K513" s="6">
        <f>IF(C513="","",IF(J513=0,"UNMAPPED",LOWER(INDEX(Mapping!$D$1:$D$504,J513))))</f>
        <v/>
      </c>
      <c r="L513" s="6">
        <f>IF(K513="mapped",TRIM(INDEX(Mapping!$C$1:$C$504,J513)),"")</f>
        <v/>
      </c>
      <c r="M513" s="6">
        <f>IF(C513="","",IF(SUMPRODUCT(($C$12:C513=C513)*1)=1,1,0))</f>
        <v/>
      </c>
      <c r="N513" s="6">
        <f>IF(AND(K513="UNMAPPED",M513=1),ROW(),"")</f>
        <v/>
      </c>
      <c r="O513" s="6">
        <f>IF(AND(I513=1,M513=1),ROW(),"")</f>
        <v/>
      </c>
      <c r="P513" s="6">
        <f>IF(AND(K513="ignored",M513=1),ROW(),"")</f>
        <v/>
      </c>
    </row>
    <row r="514">
      <c r="A514" s="8" t="n"/>
      <c r="B514" s="8" t="n"/>
      <c r="C514" s="6">
        <f>TRIM(A514&amp;"")</f>
        <v/>
      </c>
      <c r="D514" s="6">
        <f>IF(C514="","",SUBSTITUTE(SUBSTITUTE(SUBSTITUTE(SUBSTITUTE(SUBSTITUTE(SUBSTITUTE(SUBSTITUTE(UPPER(TRIM(B514&amp;"")),"₹",""),"RS.",""),"RS",""),"INR",""),"$",""),",","")," ",""))</f>
        <v/>
      </c>
      <c r="E514" s="6">
        <f>IF(C514="","",IF(RIGHT(D514,2)="CR","Cr",IF(RIGHT(D514,2)="DR","Dr","")))</f>
        <v/>
      </c>
      <c r="F514" s="6">
        <f>IF(C514="","",IF(E514&lt;&gt;"",LEFT(D514,LEN(D514)-2),D514))</f>
        <v/>
      </c>
      <c r="G514" s="13">
        <f>IF(C514="","",IF(OR(IF(AND(LEFT(F514,1)="(",RIGHT(F514,1)=")"),MID(F514,2,LEN(F514)-2),F514)="",IF(AND(LEFT(F514,1)="(",RIGHT(F514,1)=")"),MID(F514,2,LEN(F514)-2),F514)="-"),0,IFERROR(VALUE(IF(AND(LEFT(F514,1)="(",RIGHT(F514,1)=")"),MID(F514,2,LEN(F514)-2),F514))*IF(AND(LEFT(F514,1)="(",RIGHT(F514,1)=")"),-1,1)*IF(E514="Cr",Setup!$B$6,1),"ERR")))</f>
        <v/>
      </c>
      <c r="H514" s="6">
        <f>IF(C514="","",IF(ISNUMBER(G514),1,0))</f>
        <v/>
      </c>
      <c r="I514" s="6">
        <f>IF(C514="","",IF(SUMPRODUCT(($C$12:$C$1511=C514)*1)&gt;1,1,0))</f>
        <v/>
      </c>
      <c r="J514" s="6">
        <f>IF(C514="","",SUMPRODUCT((Mapping!$F$5:$F$504=Setup!$B$4&amp;"||"&amp;C514)*ROW(Mapping!$F$5:$F$504)))</f>
        <v/>
      </c>
      <c r="K514" s="6">
        <f>IF(C514="","",IF(J514=0,"UNMAPPED",LOWER(INDEX(Mapping!$D$1:$D$504,J514))))</f>
        <v/>
      </c>
      <c r="L514" s="6">
        <f>IF(K514="mapped",TRIM(INDEX(Mapping!$C$1:$C$504,J514)),"")</f>
        <v/>
      </c>
      <c r="M514" s="6">
        <f>IF(C514="","",IF(SUMPRODUCT(($C$12:C514=C514)*1)=1,1,0))</f>
        <v/>
      </c>
      <c r="N514" s="6">
        <f>IF(AND(K514="UNMAPPED",M514=1),ROW(),"")</f>
        <v/>
      </c>
      <c r="O514" s="6">
        <f>IF(AND(I514=1,M514=1),ROW(),"")</f>
        <v/>
      </c>
      <c r="P514" s="6">
        <f>IF(AND(K514="ignored",M514=1),ROW(),"")</f>
        <v/>
      </c>
    </row>
    <row r="515">
      <c r="A515" s="8" t="n"/>
      <c r="B515" s="8" t="n"/>
      <c r="C515" s="6">
        <f>TRIM(A515&amp;"")</f>
        <v/>
      </c>
      <c r="D515" s="6">
        <f>IF(C515="","",SUBSTITUTE(SUBSTITUTE(SUBSTITUTE(SUBSTITUTE(SUBSTITUTE(SUBSTITUTE(SUBSTITUTE(UPPER(TRIM(B515&amp;"")),"₹",""),"RS.",""),"RS",""),"INR",""),"$",""),",","")," ",""))</f>
        <v/>
      </c>
      <c r="E515" s="6">
        <f>IF(C515="","",IF(RIGHT(D515,2)="CR","Cr",IF(RIGHT(D515,2)="DR","Dr","")))</f>
        <v/>
      </c>
      <c r="F515" s="6">
        <f>IF(C515="","",IF(E515&lt;&gt;"",LEFT(D515,LEN(D515)-2),D515))</f>
        <v/>
      </c>
      <c r="G515" s="13">
        <f>IF(C515="","",IF(OR(IF(AND(LEFT(F515,1)="(",RIGHT(F515,1)=")"),MID(F515,2,LEN(F515)-2),F515)="",IF(AND(LEFT(F515,1)="(",RIGHT(F515,1)=")"),MID(F515,2,LEN(F515)-2),F515)="-"),0,IFERROR(VALUE(IF(AND(LEFT(F515,1)="(",RIGHT(F515,1)=")"),MID(F515,2,LEN(F515)-2),F515))*IF(AND(LEFT(F515,1)="(",RIGHT(F515,1)=")"),-1,1)*IF(E515="Cr",Setup!$B$6,1),"ERR")))</f>
        <v/>
      </c>
      <c r="H515" s="6">
        <f>IF(C515="","",IF(ISNUMBER(G515),1,0))</f>
        <v/>
      </c>
      <c r="I515" s="6">
        <f>IF(C515="","",IF(SUMPRODUCT(($C$12:$C$1511=C515)*1)&gt;1,1,0))</f>
        <v/>
      </c>
      <c r="J515" s="6">
        <f>IF(C515="","",SUMPRODUCT((Mapping!$F$5:$F$504=Setup!$B$4&amp;"||"&amp;C515)*ROW(Mapping!$F$5:$F$504)))</f>
        <v/>
      </c>
      <c r="K515" s="6">
        <f>IF(C515="","",IF(J515=0,"UNMAPPED",LOWER(INDEX(Mapping!$D$1:$D$504,J515))))</f>
        <v/>
      </c>
      <c r="L515" s="6">
        <f>IF(K515="mapped",TRIM(INDEX(Mapping!$C$1:$C$504,J515)),"")</f>
        <v/>
      </c>
      <c r="M515" s="6">
        <f>IF(C515="","",IF(SUMPRODUCT(($C$12:C515=C515)*1)=1,1,0))</f>
        <v/>
      </c>
      <c r="N515" s="6">
        <f>IF(AND(K515="UNMAPPED",M515=1),ROW(),"")</f>
        <v/>
      </c>
      <c r="O515" s="6">
        <f>IF(AND(I515=1,M515=1),ROW(),"")</f>
        <v/>
      </c>
      <c r="P515" s="6">
        <f>IF(AND(K515="ignored",M515=1),ROW(),"")</f>
        <v/>
      </c>
    </row>
    <row r="516">
      <c r="A516" s="8" t="n"/>
      <c r="B516" s="8" t="n"/>
      <c r="C516" s="6">
        <f>TRIM(A516&amp;"")</f>
        <v/>
      </c>
      <c r="D516" s="6">
        <f>IF(C516="","",SUBSTITUTE(SUBSTITUTE(SUBSTITUTE(SUBSTITUTE(SUBSTITUTE(SUBSTITUTE(SUBSTITUTE(UPPER(TRIM(B516&amp;"")),"₹",""),"RS.",""),"RS",""),"INR",""),"$",""),",","")," ",""))</f>
        <v/>
      </c>
      <c r="E516" s="6">
        <f>IF(C516="","",IF(RIGHT(D516,2)="CR","Cr",IF(RIGHT(D516,2)="DR","Dr","")))</f>
        <v/>
      </c>
      <c r="F516" s="6">
        <f>IF(C516="","",IF(E516&lt;&gt;"",LEFT(D516,LEN(D516)-2),D516))</f>
        <v/>
      </c>
      <c r="G516" s="13">
        <f>IF(C516="","",IF(OR(IF(AND(LEFT(F516,1)="(",RIGHT(F516,1)=")"),MID(F516,2,LEN(F516)-2),F516)="",IF(AND(LEFT(F516,1)="(",RIGHT(F516,1)=")"),MID(F516,2,LEN(F516)-2),F516)="-"),0,IFERROR(VALUE(IF(AND(LEFT(F516,1)="(",RIGHT(F516,1)=")"),MID(F516,2,LEN(F516)-2),F516))*IF(AND(LEFT(F516,1)="(",RIGHT(F516,1)=")"),-1,1)*IF(E516="Cr",Setup!$B$6,1),"ERR")))</f>
        <v/>
      </c>
      <c r="H516" s="6">
        <f>IF(C516="","",IF(ISNUMBER(G516),1,0))</f>
        <v/>
      </c>
      <c r="I516" s="6">
        <f>IF(C516="","",IF(SUMPRODUCT(($C$12:$C$1511=C516)*1)&gt;1,1,0))</f>
        <v/>
      </c>
      <c r="J516" s="6">
        <f>IF(C516="","",SUMPRODUCT((Mapping!$F$5:$F$504=Setup!$B$4&amp;"||"&amp;C516)*ROW(Mapping!$F$5:$F$504)))</f>
        <v/>
      </c>
      <c r="K516" s="6">
        <f>IF(C516="","",IF(J516=0,"UNMAPPED",LOWER(INDEX(Mapping!$D$1:$D$504,J516))))</f>
        <v/>
      </c>
      <c r="L516" s="6">
        <f>IF(K516="mapped",TRIM(INDEX(Mapping!$C$1:$C$504,J516)),"")</f>
        <v/>
      </c>
      <c r="M516" s="6">
        <f>IF(C516="","",IF(SUMPRODUCT(($C$12:C516=C516)*1)=1,1,0))</f>
        <v/>
      </c>
      <c r="N516" s="6">
        <f>IF(AND(K516="UNMAPPED",M516=1),ROW(),"")</f>
        <v/>
      </c>
      <c r="O516" s="6">
        <f>IF(AND(I516=1,M516=1),ROW(),"")</f>
        <v/>
      </c>
      <c r="P516" s="6">
        <f>IF(AND(K516="ignored",M516=1),ROW(),"")</f>
        <v/>
      </c>
    </row>
    <row r="517">
      <c r="A517" s="8" t="n"/>
      <c r="B517" s="8" t="n"/>
      <c r="C517" s="6">
        <f>TRIM(A517&amp;"")</f>
        <v/>
      </c>
      <c r="D517" s="6">
        <f>IF(C517="","",SUBSTITUTE(SUBSTITUTE(SUBSTITUTE(SUBSTITUTE(SUBSTITUTE(SUBSTITUTE(SUBSTITUTE(UPPER(TRIM(B517&amp;"")),"₹",""),"RS.",""),"RS",""),"INR",""),"$",""),",","")," ",""))</f>
        <v/>
      </c>
      <c r="E517" s="6">
        <f>IF(C517="","",IF(RIGHT(D517,2)="CR","Cr",IF(RIGHT(D517,2)="DR","Dr","")))</f>
        <v/>
      </c>
      <c r="F517" s="6">
        <f>IF(C517="","",IF(E517&lt;&gt;"",LEFT(D517,LEN(D517)-2),D517))</f>
        <v/>
      </c>
      <c r="G517" s="13">
        <f>IF(C517="","",IF(OR(IF(AND(LEFT(F517,1)="(",RIGHT(F517,1)=")"),MID(F517,2,LEN(F517)-2),F517)="",IF(AND(LEFT(F517,1)="(",RIGHT(F517,1)=")"),MID(F517,2,LEN(F517)-2),F517)="-"),0,IFERROR(VALUE(IF(AND(LEFT(F517,1)="(",RIGHT(F517,1)=")"),MID(F517,2,LEN(F517)-2),F517))*IF(AND(LEFT(F517,1)="(",RIGHT(F517,1)=")"),-1,1)*IF(E517="Cr",Setup!$B$6,1),"ERR")))</f>
        <v/>
      </c>
      <c r="H517" s="6">
        <f>IF(C517="","",IF(ISNUMBER(G517),1,0))</f>
        <v/>
      </c>
      <c r="I517" s="6">
        <f>IF(C517="","",IF(SUMPRODUCT(($C$12:$C$1511=C517)*1)&gt;1,1,0))</f>
        <v/>
      </c>
      <c r="J517" s="6">
        <f>IF(C517="","",SUMPRODUCT((Mapping!$F$5:$F$504=Setup!$B$4&amp;"||"&amp;C517)*ROW(Mapping!$F$5:$F$504)))</f>
        <v/>
      </c>
      <c r="K517" s="6">
        <f>IF(C517="","",IF(J517=0,"UNMAPPED",LOWER(INDEX(Mapping!$D$1:$D$504,J517))))</f>
        <v/>
      </c>
      <c r="L517" s="6">
        <f>IF(K517="mapped",TRIM(INDEX(Mapping!$C$1:$C$504,J517)),"")</f>
        <v/>
      </c>
      <c r="M517" s="6">
        <f>IF(C517="","",IF(SUMPRODUCT(($C$12:C517=C517)*1)=1,1,0))</f>
        <v/>
      </c>
      <c r="N517" s="6">
        <f>IF(AND(K517="UNMAPPED",M517=1),ROW(),"")</f>
        <v/>
      </c>
      <c r="O517" s="6">
        <f>IF(AND(I517=1,M517=1),ROW(),"")</f>
        <v/>
      </c>
      <c r="P517" s="6">
        <f>IF(AND(K517="ignored",M517=1),ROW(),"")</f>
        <v/>
      </c>
    </row>
    <row r="518">
      <c r="A518" s="8" t="n"/>
      <c r="B518" s="8" t="n"/>
      <c r="C518" s="6">
        <f>TRIM(A518&amp;"")</f>
        <v/>
      </c>
      <c r="D518" s="6">
        <f>IF(C518="","",SUBSTITUTE(SUBSTITUTE(SUBSTITUTE(SUBSTITUTE(SUBSTITUTE(SUBSTITUTE(SUBSTITUTE(UPPER(TRIM(B518&amp;"")),"₹",""),"RS.",""),"RS",""),"INR",""),"$",""),",","")," ",""))</f>
        <v/>
      </c>
      <c r="E518" s="6">
        <f>IF(C518="","",IF(RIGHT(D518,2)="CR","Cr",IF(RIGHT(D518,2)="DR","Dr","")))</f>
        <v/>
      </c>
      <c r="F518" s="6">
        <f>IF(C518="","",IF(E518&lt;&gt;"",LEFT(D518,LEN(D518)-2),D518))</f>
        <v/>
      </c>
      <c r="G518" s="13">
        <f>IF(C518="","",IF(OR(IF(AND(LEFT(F518,1)="(",RIGHT(F518,1)=")"),MID(F518,2,LEN(F518)-2),F518)="",IF(AND(LEFT(F518,1)="(",RIGHT(F518,1)=")"),MID(F518,2,LEN(F518)-2),F518)="-"),0,IFERROR(VALUE(IF(AND(LEFT(F518,1)="(",RIGHT(F518,1)=")"),MID(F518,2,LEN(F518)-2),F518))*IF(AND(LEFT(F518,1)="(",RIGHT(F518,1)=")"),-1,1)*IF(E518="Cr",Setup!$B$6,1),"ERR")))</f>
        <v/>
      </c>
      <c r="H518" s="6">
        <f>IF(C518="","",IF(ISNUMBER(G518),1,0))</f>
        <v/>
      </c>
      <c r="I518" s="6">
        <f>IF(C518="","",IF(SUMPRODUCT(($C$12:$C$1511=C518)*1)&gt;1,1,0))</f>
        <v/>
      </c>
      <c r="J518" s="6">
        <f>IF(C518="","",SUMPRODUCT((Mapping!$F$5:$F$504=Setup!$B$4&amp;"||"&amp;C518)*ROW(Mapping!$F$5:$F$504)))</f>
        <v/>
      </c>
      <c r="K518" s="6">
        <f>IF(C518="","",IF(J518=0,"UNMAPPED",LOWER(INDEX(Mapping!$D$1:$D$504,J518))))</f>
        <v/>
      </c>
      <c r="L518" s="6">
        <f>IF(K518="mapped",TRIM(INDEX(Mapping!$C$1:$C$504,J518)),"")</f>
        <v/>
      </c>
      <c r="M518" s="6">
        <f>IF(C518="","",IF(SUMPRODUCT(($C$12:C518=C518)*1)=1,1,0))</f>
        <v/>
      </c>
      <c r="N518" s="6">
        <f>IF(AND(K518="UNMAPPED",M518=1),ROW(),"")</f>
        <v/>
      </c>
      <c r="O518" s="6">
        <f>IF(AND(I518=1,M518=1),ROW(),"")</f>
        <v/>
      </c>
      <c r="P518" s="6">
        <f>IF(AND(K518="ignored",M518=1),ROW(),"")</f>
        <v/>
      </c>
    </row>
    <row r="519">
      <c r="A519" s="8" t="n"/>
      <c r="B519" s="8" t="n"/>
      <c r="C519" s="6">
        <f>TRIM(A519&amp;"")</f>
        <v/>
      </c>
      <c r="D519" s="6">
        <f>IF(C519="","",SUBSTITUTE(SUBSTITUTE(SUBSTITUTE(SUBSTITUTE(SUBSTITUTE(SUBSTITUTE(SUBSTITUTE(UPPER(TRIM(B519&amp;"")),"₹",""),"RS.",""),"RS",""),"INR",""),"$",""),",","")," ",""))</f>
        <v/>
      </c>
      <c r="E519" s="6">
        <f>IF(C519="","",IF(RIGHT(D519,2)="CR","Cr",IF(RIGHT(D519,2)="DR","Dr","")))</f>
        <v/>
      </c>
      <c r="F519" s="6">
        <f>IF(C519="","",IF(E519&lt;&gt;"",LEFT(D519,LEN(D519)-2),D519))</f>
        <v/>
      </c>
      <c r="G519" s="13">
        <f>IF(C519="","",IF(OR(IF(AND(LEFT(F519,1)="(",RIGHT(F519,1)=")"),MID(F519,2,LEN(F519)-2),F519)="",IF(AND(LEFT(F519,1)="(",RIGHT(F519,1)=")"),MID(F519,2,LEN(F519)-2),F519)="-"),0,IFERROR(VALUE(IF(AND(LEFT(F519,1)="(",RIGHT(F519,1)=")"),MID(F519,2,LEN(F519)-2),F519))*IF(AND(LEFT(F519,1)="(",RIGHT(F519,1)=")"),-1,1)*IF(E519="Cr",Setup!$B$6,1),"ERR")))</f>
        <v/>
      </c>
      <c r="H519" s="6">
        <f>IF(C519="","",IF(ISNUMBER(G519),1,0))</f>
        <v/>
      </c>
      <c r="I519" s="6">
        <f>IF(C519="","",IF(SUMPRODUCT(($C$12:$C$1511=C519)*1)&gt;1,1,0))</f>
        <v/>
      </c>
      <c r="J519" s="6">
        <f>IF(C519="","",SUMPRODUCT((Mapping!$F$5:$F$504=Setup!$B$4&amp;"||"&amp;C519)*ROW(Mapping!$F$5:$F$504)))</f>
        <v/>
      </c>
      <c r="K519" s="6">
        <f>IF(C519="","",IF(J519=0,"UNMAPPED",LOWER(INDEX(Mapping!$D$1:$D$504,J519))))</f>
        <v/>
      </c>
      <c r="L519" s="6">
        <f>IF(K519="mapped",TRIM(INDEX(Mapping!$C$1:$C$504,J519)),"")</f>
        <v/>
      </c>
      <c r="M519" s="6">
        <f>IF(C519="","",IF(SUMPRODUCT(($C$12:C519=C519)*1)=1,1,0))</f>
        <v/>
      </c>
      <c r="N519" s="6">
        <f>IF(AND(K519="UNMAPPED",M519=1),ROW(),"")</f>
        <v/>
      </c>
      <c r="O519" s="6">
        <f>IF(AND(I519=1,M519=1),ROW(),"")</f>
        <v/>
      </c>
      <c r="P519" s="6">
        <f>IF(AND(K519="ignored",M519=1),ROW(),"")</f>
        <v/>
      </c>
    </row>
    <row r="520">
      <c r="A520" s="8" t="n"/>
      <c r="B520" s="8" t="n"/>
      <c r="C520" s="6">
        <f>TRIM(A520&amp;"")</f>
        <v/>
      </c>
      <c r="D520" s="6">
        <f>IF(C520="","",SUBSTITUTE(SUBSTITUTE(SUBSTITUTE(SUBSTITUTE(SUBSTITUTE(SUBSTITUTE(SUBSTITUTE(UPPER(TRIM(B520&amp;"")),"₹",""),"RS.",""),"RS",""),"INR",""),"$",""),",","")," ",""))</f>
        <v/>
      </c>
      <c r="E520" s="6">
        <f>IF(C520="","",IF(RIGHT(D520,2)="CR","Cr",IF(RIGHT(D520,2)="DR","Dr","")))</f>
        <v/>
      </c>
      <c r="F520" s="6">
        <f>IF(C520="","",IF(E520&lt;&gt;"",LEFT(D520,LEN(D520)-2),D520))</f>
        <v/>
      </c>
      <c r="G520" s="13">
        <f>IF(C520="","",IF(OR(IF(AND(LEFT(F520,1)="(",RIGHT(F520,1)=")"),MID(F520,2,LEN(F520)-2),F520)="",IF(AND(LEFT(F520,1)="(",RIGHT(F520,1)=")"),MID(F520,2,LEN(F520)-2),F520)="-"),0,IFERROR(VALUE(IF(AND(LEFT(F520,1)="(",RIGHT(F520,1)=")"),MID(F520,2,LEN(F520)-2),F520))*IF(AND(LEFT(F520,1)="(",RIGHT(F520,1)=")"),-1,1)*IF(E520="Cr",Setup!$B$6,1),"ERR")))</f>
        <v/>
      </c>
      <c r="H520" s="6">
        <f>IF(C520="","",IF(ISNUMBER(G520),1,0))</f>
        <v/>
      </c>
      <c r="I520" s="6">
        <f>IF(C520="","",IF(SUMPRODUCT(($C$12:$C$1511=C520)*1)&gt;1,1,0))</f>
        <v/>
      </c>
      <c r="J520" s="6">
        <f>IF(C520="","",SUMPRODUCT((Mapping!$F$5:$F$504=Setup!$B$4&amp;"||"&amp;C520)*ROW(Mapping!$F$5:$F$504)))</f>
        <v/>
      </c>
      <c r="K520" s="6">
        <f>IF(C520="","",IF(J520=0,"UNMAPPED",LOWER(INDEX(Mapping!$D$1:$D$504,J520))))</f>
        <v/>
      </c>
      <c r="L520" s="6">
        <f>IF(K520="mapped",TRIM(INDEX(Mapping!$C$1:$C$504,J520)),"")</f>
        <v/>
      </c>
      <c r="M520" s="6">
        <f>IF(C520="","",IF(SUMPRODUCT(($C$12:C520=C520)*1)=1,1,0))</f>
        <v/>
      </c>
      <c r="N520" s="6">
        <f>IF(AND(K520="UNMAPPED",M520=1),ROW(),"")</f>
        <v/>
      </c>
      <c r="O520" s="6">
        <f>IF(AND(I520=1,M520=1),ROW(),"")</f>
        <v/>
      </c>
      <c r="P520" s="6">
        <f>IF(AND(K520="ignored",M520=1),ROW(),"")</f>
        <v/>
      </c>
    </row>
    <row r="521">
      <c r="A521" s="8" t="n"/>
      <c r="B521" s="8" t="n"/>
      <c r="C521" s="6">
        <f>TRIM(A521&amp;"")</f>
        <v/>
      </c>
      <c r="D521" s="6">
        <f>IF(C521="","",SUBSTITUTE(SUBSTITUTE(SUBSTITUTE(SUBSTITUTE(SUBSTITUTE(SUBSTITUTE(SUBSTITUTE(UPPER(TRIM(B521&amp;"")),"₹",""),"RS.",""),"RS",""),"INR",""),"$",""),",","")," ",""))</f>
        <v/>
      </c>
      <c r="E521" s="6">
        <f>IF(C521="","",IF(RIGHT(D521,2)="CR","Cr",IF(RIGHT(D521,2)="DR","Dr","")))</f>
        <v/>
      </c>
      <c r="F521" s="6">
        <f>IF(C521="","",IF(E521&lt;&gt;"",LEFT(D521,LEN(D521)-2),D521))</f>
        <v/>
      </c>
      <c r="G521" s="13">
        <f>IF(C521="","",IF(OR(IF(AND(LEFT(F521,1)="(",RIGHT(F521,1)=")"),MID(F521,2,LEN(F521)-2),F521)="",IF(AND(LEFT(F521,1)="(",RIGHT(F521,1)=")"),MID(F521,2,LEN(F521)-2),F521)="-"),0,IFERROR(VALUE(IF(AND(LEFT(F521,1)="(",RIGHT(F521,1)=")"),MID(F521,2,LEN(F521)-2),F521))*IF(AND(LEFT(F521,1)="(",RIGHT(F521,1)=")"),-1,1)*IF(E521="Cr",Setup!$B$6,1),"ERR")))</f>
        <v/>
      </c>
      <c r="H521" s="6">
        <f>IF(C521="","",IF(ISNUMBER(G521),1,0))</f>
        <v/>
      </c>
      <c r="I521" s="6">
        <f>IF(C521="","",IF(SUMPRODUCT(($C$12:$C$1511=C521)*1)&gt;1,1,0))</f>
        <v/>
      </c>
      <c r="J521" s="6">
        <f>IF(C521="","",SUMPRODUCT((Mapping!$F$5:$F$504=Setup!$B$4&amp;"||"&amp;C521)*ROW(Mapping!$F$5:$F$504)))</f>
        <v/>
      </c>
      <c r="K521" s="6">
        <f>IF(C521="","",IF(J521=0,"UNMAPPED",LOWER(INDEX(Mapping!$D$1:$D$504,J521))))</f>
        <v/>
      </c>
      <c r="L521" s="6">
        <f>IF(K521="mapped",TRIM(INDEX(Mapping!$C$1:$C$504,J521)),"")</f>
        <v/>
      </c>
      <c r="M521" s="6">
        <f>IF(C521="","",IF(SUMPRODUCT(($C$12:C521=C521)*1)=1,1,0))</f>
        <v/>
      </c>
      <c r="N521" s="6">
        <f>IF(AND(K521="UNMAPPED",M521=1),ROW(),"")</f>
        <v/>
      </c>
      <c r="O521" s="6">
        <f>IF(AND(I521=1,M521=1),ROW(),"")</f>
        <v/>
      </c>
      <c r="P521" s="6">
        <f>IF(AND(K521="ignored",M521=1),ROW(),"")</f>
        <v/>
      </c>
    </row>
    <row r="522">
      <c r="A522" s="8" t="n"/>
      <c r="B522" s="8" t="n"/>
      <c r="C522" s="6">
        <f>TRIM(A522&amp;"")</f>
        <v/>
      </c>
      <c r="D522" s="6">
        <f>IF(C522="","",SUBSTITUTE(SUBSTITUTE(SUBSTITUTE(SUBSTITUTE(SUBSTITUTE(SUBSTITUTE(SUBSTITUTE(UPPER(TRIM(B522&amp;"")),"₹",""),"RS.",""),"RS",""),"INR",""),"$",""),",","")," ",""))</f>
        <v/>
      </c>
      <c r="E522" s="6">
        <f>IF(C522="","",IF(RIGHT(D522,2)="CR","Cr",IF(RIGHT(D522,2)="DR","Dr","")))</f>
        <v/>
      </c>
      <c r="F522" s="6">
        <f>IF(C522="","",IF(E522&lt;&gt;"",LEFT(D522,LEN(D522)-2),D522))</f>
        <v/>
      </c>
      <c r="G522" s="13">
        <f>IF(C522="","",IF(OR(IF(AND(LEFT(F522,1)="(",RIGHT(F522,1)=")"),MID(F522,2,LEN(F522)-2),F522)="",IF(AND(LEFT(F522,1)="(",RIGHT(F522,1)=")"),MID(F522,2,LEN(F522)-2),F522)="-"),0,IFERROR(VALUE(IF(AND(LEFT(F522,1)="(",RIGHT(F522,1)=")"),MID(F522,2,LEN(F522)-2),F522))*IF(AND(LEFT(F522,1)="(",RIGHT(F522,1)=")"),-1,1)*IF(E522="Cr",Setup!$B$6,1),"ERR")))</f>
        <v/>
      </c>
      <c r="H522" s="6">
        <f>IF(C522="","",IF(ISNUMBER(G522),1,0))</f>
        <v/>
      </c>
      <c r="I522" s="6">
        <f>IF(C522="","",IF(SUMPRODUCT(($C$12:$C$1511=C522)*1)&gt;1,1,0))</f>
        <v/>
      </c>
      <c r="J522" s="6">
        <f>IF(C522="","",SUMPRODUCT((Mapping!$F$5:$F$504=Setup!$B$4&amp;"||"&amp;C522)*ROW(Mapping!$F$5:$F$504)))</f>
        <v/>
      </c>
      <c r="K522" s="6">
        <f>IF(C522="","",IF(J522=0,"UNMAPPED",LOWER(INDEX(Mapping!$D$1:$D$504,J522))))</f>
        <v/>
      </c>
      <c r="L522" s="6">
        <f>IF(K522="mapped",TRIM(INDEX(Mapping!$C$1:$C$504,J522)),"")</f>
        <v/>
      </c>
      <c r="M522" s="6">
        <f>IF(C522="","",IF(SUMPRODUCT(($C$12:C522=C522)*1)=1,1,0))</f>
        <v/>
      </c>
      <c r="N522" s="6">
        <f>IF(AND(K522="UNMAPPED",M522=1),ROW(),"")</f>
        <v/>
      </c>
      <c r="O522" s="6">
        <f>IF(AND(I522=1,M522=1),ROW(),"")</f>
        <v/>
      </c>
      <c r="P522" s="6">
        <f>IF(AND(K522="ignored",M522=1),ROW(),"")</f>
        <v/>
      </c>
    </row>
    <row r="523">
      <c r="A523" s="8" t="n"/>
      <c r="B523" s="8" t="n"/>
      <c r="C523" s="6">
        <f>TRIM(A523&amp;"")</f>
        <v/>
      </c>
      <c r="D523" s="6">
        <f>IF(C523="","",SUBSTITUTE(SUBSTITUTE(SUBSTITUTE(SUBSTITUTE(SUBSTITUTE(SUBSTITUTE(SUBSTITUTE(UPPER(TRIM(B523&amp;"")),"₹",""),"RS.",""),"RS",""),"INR",""),"$",""),",","")," ",""))</f>
        <v/>
      </c>
      <c r="E523" s="6">
        <f>IF(C523="","",IF(RIGHT(D523,2)="CR","Cr",IF(RIGHT(D523,2)="DR","Dr","")))</f>
        <v/>
      </c>
      <c r="F523" s="6">
        <f>IF(C523="","",IF(E523&lt;&gt;"",LEFT(D523,LEN(D523)-2),D523))</f>
        <v/>
      </c>
      <c r="G523" s="13">
        <f>IF(C523="","",IF(OR(IF(AND(LEFT(F523,1)="(",RIGHT(F523,1)=")"),MID(F523,2,LEN(F523)-2),F523)="",IF(AND(LEFT(F523,1)="(",RIGHT(F523,1)=")"),MID(F523,2,LEN(F523)-2),F523)="-"),0,IFERROR(VALUE(IF(AND(LEFT(F523,1)="(",RIGHT(F523,1)=")"),MID(F523,2,LEN(F523)-2),F523))*IF(AND(LEFT(F523,1)="(",RIGHT(F523,1)=")"),-1,1)*IF(E523="Cr",Setup!$B$6,1),"ERR")))</f>
        <v/>
      </c>
      <c r="H523" s="6">
        <f>IF(C523="","",IF(ISNUMBER(G523),1,0))</f>
        <v/>
      </c>
      <c r="I523" s="6">
        <f>IF(C523="","",IF(SUMPRODUCT(($C$12:$C$1511=C523)*1)&gt;1,1,0))</f>
        <v/>
      </c>
      <c r="J523" s="6">
        <f>IF(C523="","",SUMPRODUCT((Mapping!$F$5:$F$504=Setup!$B$4&amp;"||"&amp;C523)*ROW(Mapping!$F$5:$F$504)))</f>
        <v/>
      </c>
      <c r="K523" s="6">
        <f>IF(C523="","",IF(J523=0,"UNMAPPED",LOWER(INDEX(Mapping!$D$1:$D$504,J523))))</f>
        <v/>
      </c>
      <c r="L523" s="6">
        <f>IF(K523="mapped",TRIM(INDEX(Mapping!$C$1:$C$504,J523)),"")</f>
        <v/>
      </c>
      <c r="M523" s="6">
        <f>IF(C523="","",IF(SUMPRODUCT(($C$12:C523=C523)*1)=1,1,0))</f>
        <v/>
      </c>
      <c r="N523" s="6">
        <f>IF(AND(K523="UNMAPPED",M523=1),ROW(),"")</f>
        <v/>
      </c>
      <c r="O523" s="6">
        <f>IF(AND(I523=1,M523=1),ROW(),"")</f>
        <v/>
      </c>
      <c r="P523" s="6">
        <f>IF(AND(K523="ignored",M523=1),ROW(),"")</f>
        <v/>
      </c>
    </row>
    <row r="524">
      <c r="A524" s="8" t="n"/>
      <c r="B524" s="8" t="n"/>
      <c r="C524" s="6">
        <f>TRIM(A524&amp;"")</f>
        <v/>
      </c>
      <c r="D524" s="6">
        <f>IF(C524="","",SUBSTITUTE(SUBSTITUTE(SUBSTITUTE(SUBSTITUTE(SUBSTITUTE(SUBSTITUTE(SUBSTITUTE(UPPER(TRIM(B524&amp;"")),"₹",""),"RS.",""),"RS",""),"INR",""),"$",""),",","")," ",""))</f>
        <v/>
      </c>
      <c r="E524" s="6">
        <f>IF(C524="","",IF(RIGHT(D524,2)="CR","Cr",IF(RIGHT(D524,2)="DR","Dr","")))</f>
        <v/>
      </c>
      <c r="F524" s="6">
        <f>IF(C524="","",IF(E524&lt;&gt;"",LEFT(D524,LEN(D524)-2),D524))</f>
        <v/>
      </c>
      <c r="G524" s="13">
        <f>IF(C524="","",IF(OR(IF(AND(LEFT(F524,1)="(",RIGHT(F524,1)=")"),MID(F524,2,LEN(F524)-2),F524)="",IF(AND(LEFT(F524,1)="(",RIGHT(F524,1)=")"),MID(F524,2,LEN(F524)-2),F524)="-"),0,IFERROR(VALUE(IF(AND(LEFT(F524,1)="(",RIGHT(F524,1)=")"),MID(F524,2,LEN(F524)-2),F524))*IF(AND(LEFT(F524,1)="(",RIGHT(F524,1)=")"),-1,1)*IF(E524="Cr",Setup!$B$6,1),"ERR")))</f>
        <v/>
      </c>
      <c r="H524" s="6">
        <f>IF(C524="","",IF(ISNUMBER(G524),1,0))</f>
        <v/>
      </c>
      <c r="I524" s="6">
        <f>IF(C524="","",IF(SUMPRODUCT(($C$12:$C$1511=C524)*1)&gt;1,1,0))</f>
        <v/>
      </c>
      <c r="J524" s="6">
        <f>IF(C524="","",SUMPRODUCT((Mapping!$F$5:$F$504=Setup!$B$4&amp;"||"&amp;C524)*ROW(Mapping!$F$5:$F$504)))</f>
        <v/>
      </c>
      <c r="K524" s="6">
        <f>IF(C524="","",IF(J524=0,"UNMAPPED",LOWER(INDEX(Mapping!$D$1:$D$504,J524))))</f>
        <v/>
      </c>
      <c r="L524" s="6">
        <f>IF(K524="mapped",TRIM(INDEX(Mapping!$C$1:$C$504,J524)),"")</f>
        <v/>
      </c>
      <c r="M524" s="6">
        <f>IF(C524="","",IF(SUMPRODUCT(($C$12:C524=C524)*1)=1,1,0))</f>
        <v/>
      </c>
      <c r="N524" s="6">
        <f>IF(AND(K524="UNMAPPED",M524=1),ROW(),"")</f>
        <v/>
      </c>
      <c r="O524" s="6">
        <f>IF(AND(I524=1,M524=1),ROW(),"")</f>
        <v/>
      </c>
      <c r="P524" s="6">
        <f>IF(AND(K524="ignored",M524=1),ROW(),"")</f>
        <v/>
      </c>
    </row>
    <row r="525">
      <c r="A525" s="8" t="n"/>
      <c r="B525" s="8" t="n"/>
      <c r="C525" s="6">
        <f>TRIM(A525&amp;"")</f>
        <v/>
      </c>
      <c r="D525" s="6">
        <f>IF(C525="","",SUBSTITUTE(SUBSTITUTE(SUBSTITUTE(SUBSTITUTE(SUBSTITUTE(SUBSTITUTE(SUBSTITUTE(UPPER(TRIM(B525&amp;"")),"₹",""),"RS.",""),"RS",""),"INR",""),"$",""),",","")," ",""))</f>
        <v/>
      </c>
      <c r="E525" s="6">
        <f>IF(C525="","",IF(RIGHT(D525,2)="CR","Cr",IF(RIGHT(D525,2)="DR","Dr","")))</f>
        <v/>
      </c>
      <c r="F525" s="6">
        <f>IF(C525="","",IF(E525&lt;&gt;"",LEFT(D525,LEN(D525)-2),D525))</f>
        <v/>
      </c>
      <c r="G525" s="13">
        <f>IF(C525="","",IF(OR(IF(AND(LEFT(F525,1)="(",RIGHT(F525,1)=")"),MID(F525,2,LEN(F525)-2),F525)="",IF(AND(LEFT(F525,1)="(",RIGHT(F525,1)=")"),MID(F525,2,LEN(F525)-2),F525)="-"),0,IFERROR(VALUE(IF(AND(LEFT(F525,1)="(",RIGHT(F525,1)=")"),MID(F525,2,LEN(F525)-2),F525))*IF(AND(LEFT(F525,1)="(",RIGHT(F525,1)=")"),-1,1)*IF(E525="Cr",Setup!$B$6,1),"ERR")))</f>
        <v/>
      </c>
      <c r="H525" s="6">
        <f>IF(C525="","",IF(ISNUMBER(G525),1,0))</f>
        <v/>
      </c>
      <c r="I525" s="6">
        <f>IF(C525="","",IF(SUMPRODUCT(($C$12:$C$1511=C525)*1)&gt;1,1,0))</f>
        <v/>
      </c>
      <c r="J525" s="6">
        <f>IF(C525="","",SUMPRODUCT((Mapping!$F$5:$F$504=Setup!$B$4&amp;"||"&amp;C525)*ROW(Mapping!$F$5:$F$504)))</f>
        <v/>
      </c>
      <c r="K525" s="6">
        <f>IF(C525="","",IF(J525=0,"UNMAPPED",LOWER(INDEX(Mapping!$D$1:$D$504,J525))))</f>
        <v/>
      </c>
      <c r="L525" s="6">
        <f>IF(K525="mapped",TRIM(INDEX(Mapping!$C$1:$C$504,J525)),"")</f>
        <v/>
      </c>
      <c r="M525" s="6">
        <f>IF(C525="","",IF(SUMPRODUCT(($C$12:C525=C525)*1)=1,1,0))</f>
        <v/>
      </c>
      <c r="N525" s="6">
        <f>IF(AND(K525="UNMAPPED",M525=1),ROW(),"")</f>
        <v/>
      </c>
      <c r="O525" s="6">
        <f>IF(AND(I525=1,M525=1),ROW(),"")</f>
        <v/>
      </c>
      <c r="P525" s="6">
        <f>IF(AND(K525="ignored",M525=1),ROW(),"")</f>
        <v/>
      </c>
    </row>
    <row r="526">
      <c r="A526" s="8" t="n"/>
      <c r="B526" s="8" t="n"/>
      <c r="C526" s="6">
        <f>TRIM(A526&amp;"")</f>
        <v/>
      </c>
      <c r="D526" s="6">
        <f>IF(C526="","",SUBSTITUTE(SUBSTITUTE(SUBSTITUTE(SUBSTITUTE(SUBSTITUTE(SUBSTITUTE(SUBSTITUTE(UPPER(TRIM(B526&amp;"")),"₹",""),"RS.",""),"RS",""),"INR",""),"$",""),",","")," ",""))</f>
        <v/>
      </c>
      <c r="E526" s="6">
        <f>IF(C526="","",IF(RIGHT(D526,2)="CR","Cr",IF(RIGHT(D526,2)="DR","Dr","")))</f>
        <v/>
      </c>
      <c r="F526" s="6">
        <f>IF(C526="","",IF(E526&lt;&gt;"",LEFT(D526,LEN(D526)-2),D526))</f>
        <v/>
      </c>
      <c r="G526" s="13">
        <f>IF(C526="","",IF(OR(IF(AND(LEFT(F526,1)="(",RIGHT(F526,1)=")"),MID(F526,2,LEN(F526)-2),F526)="",IF(AND(LEFT(F526,1)="(",RIGHT(F526,1)=")"),MID(F526,2,LEN(F526)-2),F526)="-"),0,IFERROR(VALUE(IF(AND(LEFT(F526,1)="(",RIGHT(F526,1)=")"),MID(F526,2,LEN(F526)-2),F526))*IF(AND(LEFT(F526,1)="(",RIGHT(F526,1)=")"),-1,1)*IF(E526="Cr",Setup!$B$6,1),"ERR")))</f>
        <v/>
      </c>
      <c r="H526" s="6">
        <f>IF(C526="","",IF(ISNUMBER(G526),1,0))</f>
        <v/>
      </c>
      <c r="I526" s="6">
        <f>IF(C526="","",IF(SUMPRODUCT(($C$12:$C$1511=C526)*1)&gt;1,1,0))</f>
        <v/>
      </c>
      <c r="J526" s="6">
        <f>IF(C526="","",SUMPRODUCT((Mapping!$F$5:$F$504=Setup!$B$4&amp;"||"&amp;C526)*ROW(Mapping!$F$5:$F$504)))</f>
        <v/>
      </c>
      <c r="K526" s="6">
        <f>IF(C526="","",IF(J526=0,"UNMAPPED",LOWER(INDEX(Mapping!$D$1:$D$504,J526))))</f>
        <v/>
      </c>
      <c r="L526" s="6">
        <f>IF(K526="mapped",TRIM(INDEX(Mapping!$C$1:$C$504,J526)),"")</f>
        <v/>
      </c>
      <c r="M526" s="6">
        <f>IF(C526="","",IF(SUMPRODUCT(($C$12:C526=C526)*1)=1,1,0))</f>
        <v/>
      </c>
      <c r="N526" s="6">
        <f>IF(AND(K526="UNMAPPED",M526=1),ROW(),"")</f>
        <v/>
      </c>
      <c r="O526" s="6">
        <f>IF(AND(I526=1,M526=1),ROW(),"")</f>
        <v/>
      </c>
      <c r="P526" s="6">
        <f>IF(AND(K526="ignored",M526=1),ROW(),"")</f>
        <v/>
      </c>
    </row>
    <row r="527">
      <c r="A527" s="8" t="n"/>
      <c r="B527" s="8" t="n"/>
      <c r="C527" s="6">
        <f>TRIM(A527&amp;"")</f>
        <v/>
      </c>
      <c r="D527" s="6">
        <f>IF(C527="","",SUBSTITUTE(SUBSTITUTE(SUBSTITUTE(SUBSTITUTE(SUBSTITUTE(SUBSTITUTE(SUBSTITUTE(UPPER(TRIM(B527&amp;"")),"₹",""),"RS.",""),"RS",""),"INR",""),"$",""),",","")," ",""))</f>
        <v/>
      </c>
      <c r="E527" s="6">
        <f>IF(C527="","",IF(RIGHT(D527,2)="CR","Cr",IF(RIGHT(D527,2)="DR","Dr","")))</f>
        <v/>
      </c>
      <c r="F527" s="6">
        <f>IF(C527="","",IF(E527&lt;&gt;"",LEFT(D527,LEN(D527)-2),D527))</f>
        <v/>
      </c>
      <c r="G527" s="13">
        <f>IF(C527="","",IF(OR(IF(AND(LEFT(F527,1)="(",RIGHT(F527,1)=")"),MID(F527,2,LEN(F527)-2),F527)="",IF(AND(LEFT(F527,1)="(",RIGHT(F527,1)=")"),MID(F527,2,LEN(F527)-2),F527)="-"),0,IFERROR(VALUE(IF(AND(LEFT(F527,1)="(",RIGHT(F527,1)=")"),MID(F527,2,LEN(F527)-2),F527))*IF(AND(LEFT(F527,1)="(",RIGHT(F527,1)=")"),-1,1)*IF(E527="Cr",Setup!$B$6,1),"ERR")))</f>
        <v/>
      </c>
      <c r="H527" s="6">
        <f>IF(C527="","",IF(ISNUMBER(G527),1,0))</f>
        <v/>
      </c>
      <c r="I527" s="6">
        <f>IF(C527="","",IF(SUMPRODUCT(($C$12:$C$1511=C527)*1)&gt;1,1,0))</f>
        <v/>
      </c>
      <c r="J527" s="6">
        <f>IF(C527="","",SUMPRODUCT((Mapping!$F$5:$F$504=Setup!$B$4&amp;"||"&amp;C527)*ROW(Mapping!$F$5:$F$504)))</f>
        <v/>
      </c>
      <c r="K527" s="6">
        <f>IF(C527="","",IF(J527=0,"UNMAPPED",LOWER(INDEX(Mapping!$D$1:$D$504,J527))))</f>
        <v/>
      </c>
      <c r="L527" s="6">
        <f>IF(K527="mapped",TRIM(INDEX(Mapping!$C$1:$C$504,J527)),"")</f>
        <v/>
      </c>
      <c r="M527" s="6">
        <f>IF(C527="","",IF(SUMPRODUCT(($C$12:C527=C527)*1)=1,1,0))</f>
        <v/>
      </c>
      <c r="N527" s="6">
        <f>IF(AND(K527="UNMAPPED",M527=1),ROW(),"")</f>
        <v/>
      </c>
      <c r="O527" s="6">
        <f>IF(AND(I527=1,M527=1),ROW(),"")</f>
        <v/>
      </c>
      <c r="P527" s="6">
        <f>IF(AND(K527="ignored",M527=1),ROW(),"")</f>
        <v/>
      </c>
    </row>
    <row r="528">
      <c r="A528" s="8" t="n"/>
      <c r="B528" s="8" t="n"/>
      <c r="C528" s="6">
        <f>TRIM(A528&amp;"")</f>
        <v/>
      </c>
      <c r="D528" s="6">
        <f>IF(C528="","",SUBSTITUTE(SUBSTITUTE(SUBSTITUTE(SUBSTITUTE(SUBSTITUTE(SUBSTITUTE(SUBSTITUTE(UPPER(TRIM(B528&amp;"")),"₹",""),"RS.",""),"RS",""),"INR",""),"$",""),",","")," ",""))</f>
        <v/>
      </c>
      <c r="E528" s="6">
        <f>IF(C528="","",IF(RIGHT(D528,2)="CR","Cr",IF(RIGHT(D528,2)="DR","Dr","")))</f>
        <v/>
      </c>
      <c r="F528" s="6">
        <f>IF(C528="","",IF(E528&lt;&gt;"",LEFT(D528,LEN(D528)-2),D528))</f>
        <v/>
      </c>
      <c r="G528" s="13">
        <f>IF(C528="","",IF(OR(IF(AND(LEFT(F528,1)="(",RIGHT(F528,1)=")"),MID(F528,2,LEN(F528)-2),F528)="",IF(AND(LEFT(F528,1)="(",RIGHT(F528,1)=")"),MID(F528,2,LEN(F528)-2),F528)="-"),0,IFERROR(VALUE(IF(AND(LEFT(F528,1)="(",RIGHT(F528,1)=")"),MID(F528,2,LEN(F528)-2),F528))*IF(AND(LEFT(F528,1)="(",RIGHT(F528,1)=")"),-1,1)*IF(E528="Cr",Setup!$B$6,1),"ERR")))</f>
        <v/>
      </c>
      <c r="H528" s="6">
        <f>IF(C528="","",IF(ISNUMBER(G528),1,0))</f>
        <v/>
      </c>
      <c r="I528" s="6">
        <f>IF(C528="","",IF(SUMPRODUCT(($C$12:$C$1511=C528)*1)&gt;1,1,0))</f>
        <v/>
      </c>
      <c r="J528" s="6">
        <f>IF(C528="","",SUMPRODUCT((Mapping!$F$5:$F$504=Setup!$B$4&amp;"||"&amp;C528)*ROW(Mapping!$F$5:$F$504)))</f>
        <v/>
      </c>
      <c r="K528" s="6">
        <f>IF(C528="","",IF(J528=0,"UNMAPPED",LOWER(INDEX(Mapping!$D$1:$D$504,J528))))</f>
        <v/>
      </c>
      <c r="L528" s="6">
        <f>IF(K528="mapped",TRIM(INDEX(Mapping!$C$1:$C$504,J528)),"")</f>
        <v/>
      </c>
      <c r="M528" s="6">
        <f>IF(C528="","",IF(SUMPRODUCT(($C$12:C528=C528)*1)=1,1,0))</f>
        <v/>
      </c>
      <c r="N528" s="6">
        <f>IF(AND(K528="UNMAPPED",M528=1),ROW(),"")</f>
        <v/>
      </c>
      <c r="O528" s="6">
        <f>IF(AND(I528=1,M528=1),ROW(),"")</f>
        <v/>
      </c>
      <c r="P528" s="6">
        <f>IF(AND(K528="ignored",M528=1),ROW(),"")</f>
        <v/>
      </c>
    </row>
    <row r="529">
      <c r="A529" s="8" t="n"/>
      <c r="B529" s="8" t="n"/>
      <c r="C529" s="6">
        <f>TRIM(A529&amp;"")</f>
        <v/>
      </c>
      <c r="D529" s="6">
        <f>IF(C529="","",SUBSTITUTE(SUBSTITUTE(SUBSTITUTE(SUBSTITUTE(SUBSTITUTE(SUBSTITUTE(SUBSTITUTE(UPPER(TRIM(B529&amp;"")),"₹",""),"RS.",""),"RS",""),"INR",""),"$",""),",","")," ",""))</f>
        <v/>
      </c>
      <c r="E529" s="6">
        <f>IF(C529="","",IF(RIGHT(D529,2)="CR","Cr",IF(RIGHT(D529,2)="DR","Dr","")))</f>
        <v/>
      </c>
      <c r="F529" s="6">
        <f>IF(C529="","",IF(E529&lt;&gt;"",LEFT(D529,LEN(D529)-2),D529))</f>
        <v/>
      </c>
      <c r="G529" s="13">
        <f>IF(C529="","",IF(OR(IF(AND(LEFT(F529,1)="(",RIGHT(F529,1)=")"),MID(F529,2,LEN(F529)-2),F529)="",IF(AND(LEFT(F529,1)="(",RIGHT(F529,1)=")"),MID(F529,2,LEN(F529)-2),F529)="-"),0,IFERROR(VALUE(IF(AND(LEFT(F529,1)="(",RIGHT(F529,1)=")"),MID(F529,2,LEN(F529)-2),F529))*IF(AND(LEFT(F529,1)="(",RIGHT(F529,1)=")"),-1,1)*IF(E529="Cr",Setup!$B$6,1),"ERR")))</f>
        <v/>
      </c>
      <c r="H529" s="6">
        <f>IF(C529="","",IF(ISNUMBER(G529),1,0))</f>
        <v/>
      </c>
      <c r="I529" s="6">
        <f>IF(C529="","",IF(SUMPRODUCT(($C$12:$C$1511=C529)*1)&gt;1,1,0))</f>
        <v/>
      </c>
      <c r="J529" s="6">
        <f>IF(C529="","",SUMPRODUCT((Mapping!$F$5:$F$504=Setup!$B$4&amp;"||"&amp;C529)*ROW(Mapping!$F$5:$F$504)))</f>
        <v/>
      </c>
      <c r="K529" s="6">
        <f>IF(C529="","",IF(J529=0,"UNMAPPED",LOWER(INDEX(Mapping!$D$1:$D$504,J529))))</f>
        <v/>
      </c>
      <c r="L529" s="6">
        <f>IF(K529="mapped",TRIM(INDEX(Mapping!$C$1:$C$504,J529)),"")</f>
        <v/>
      </c>
      <c r="M529" s="6">
        <f>IF(C529="","",IF(SUMPRODUCT(($C$12:C529=C529)*1)=1,1,0))</f>
        <v/>
      </c>
      <c r="N529" s="6">
        <f>IF(AND(K529="UNMAPPED",M529=1),ROW(),"")</f>
        <v/>
      </c>
      <c r="O529" s="6">
        <f>IF(AND(I529=1,M529=1),ROW(),"")</f>
        <v/>
      </c>
      <c r="P529" s="6">
        <f>IF(AND(K529="ignored",M529=1),ROW(),"")</f>
        <v/>
      </c>
    </row>
    <row r="530">
      <c r="A530" s="8" t="n"/>
      <c r="B530" s="8" t="n"/>
      <c r="C530" s="6">
        <f>TRIM(A530&amp;"")</f>
        <v/>
      </c>
      <c r="D530" s="6">
        <f>IF(C530="","",SUBSTITUTE(SUBSTITUTE(SUBSTITUTE(SUBSTITUTE(SUBSTITUTE(SUBSTITUTE(SUBSTITUTE(UPPER(TRIM(B530&amp;"")),"₹",""),"RS.",""),"RS",""),"INR",""),"$",""),",","")," ",""))</f>
        <v/>
      </c>
      <c r="E530" s="6">
        <f>IF(C530="","",IF(RIGHT(D530,2)="CR","Cr",IF(RIGHT(D530,2)="DR","Dr","")))</f>
        <v/>
      </c>
      <c r="F530" s="6">
        <f>IF(C530="","",IF(E530&lt;&gt;"",LEFT(D530,LEN(D530)-2),D530))</f>
        <v/>
      </c>
      <c r="G530" s="13">
        <f>IF(C530="","",IF(OR(IF(AND(LEFT(F530,1)="(",RIGHT(F530,1)=")"),MID(F530,2,LEN(F530)-2),F530)="",IF(AND(LEFT(F530,1)="(",RIGHT(F530,1)=")"),MID(F530,2,LEN(F530)-2),F530)="-"),0,IFERROR(VALUE(IF(AND(LEFT(F530,1)="(",RIGHT(F530,1)=")"),MID(F530,2,LEN(F530)-2),F530))*IF(AND(LEFT(F530,1)="(",RIGHT(F530,1)=")"),-1,1)*IF(E530="Cr",Setup!$B$6,1),"ERR")))</f>
        <v/>
      </c>
      <c r="H530" s="6">
        <f>IF(C530="","",IF(ISNUMBER(G530),1,0))</f>
        <v/>
      </c>
      <c r="I530" s="6">
        <f>IF(C530="","",IF(SUMPRODUCT(($C$12:$C$1511=C530)*1)&gt;1,1,0))</f>
        <v/>
      </c>
      <c r="J530" s="6">
        <f>IF(C530="","",SUMPRODUCT((Mapping!$F$5:$F$504=Setup!$B$4&amp;"||"&amp;C530)*ROW(Mapping!$F$5:$F$504)))</f>
        <v/>
      </c>
      <c r="K530" s="6">
        <f>IF(C530="","",IF(J530=0,"UNMAPPED",LOWER(INDEX(Mapping!$D$1:$D$504,J530))))</f>
        <v/>
      </c>
      <c r="L530" s="6">
        <f>IF(K530="mapped",TRIM(INDEX(Mapping!$C$1:$C$504,J530)),"")</f>
        <v/>
      </c>
      <c r="M530" s="6">
        <f>IF(C530="","",IF(SUMPRODUCT(($C$12:C530=C530)*1)=1,1,0))</f>
        <v/>
      </c>
      <c r="N530" s="6">
        <f>IF(AND(K530="UNMAPPED",M530=1),ROW(),"")</f>
        <v/>
      </c>
      <c r="O530" s="6">
        <f>IF(AND(I530=1,M530=1),ROW(),"")</f>
        <v/>
      </c>
      <c r="P530" s="6">
        <f>IF(AND(K530="ignored",M530=1),ROW(),"")</f>
        <v/>
      </c>
    </row>
    <row r="531">
      <c r="A531" s="8" t="n"/>
      <c r="B531" s="8" t="n"/>
      <c r="C531" s="6">
        <f>TRIM(A531&amp;"")</f>
        <v/>
      </c>
      <c r="D531" s="6">
        <f>IF(C531="","",SUBSTITUTE(SUBSTITUTE(SUBSTITUTE(SUBSTITUTE(SUBSTITUTE(SUBSTITUTE(SUBSTITUTE(UPPER(TRIM(B531&amp;"")),"₹",""),"RS.",""),"RS",""),"INR",""),"$",""),",","")," ",""))</f>
        <v/>
      </c>
      <c r="E531" s="6">
        <f>IF(C531="","",IF(RIGHT(D531,2)="CR","Cr",IF(RIGHT(D531,2)="DR","Dr","")))</f>
        <v/>
      </c>
      <c r="F531" s="6">
        <f>IF(C531="","",IF(E531&lt;&gt;"",LEFT(D531,LEN(D531)-2),D531))</f>
        <v/>
      </c>
      <c r="G531" s="13">
        <f>IF(C531="","",IF(OR(IF(AND(LEFT(F531,1)="(",RIGHT(F531,1)=")"),MID(F531,2,LEN(F531)-2),F531)="",IF(AND(LEFT(F531,1)="(",RIGHT(F531,1)=")"),MID(F531,2,LEN(F531)-2),F531)="-"),0,IFERROR(VALUE(IF(AND(LEFT(F531,1)="(",RIGHT(F531,1)=")"),MID(F531,2,LEN(F531)-2),F531))*IF(AND(LEFT(F531,1)="(",RIGHT(F531,1)=")"),-1,1)*IF(E531="Cr",Setup!$B$6,1),"ERR")))</f>
        <v/>
      </c>
      <c r="H531" s="6">
        <f>IF(C531="","",IF(ISNUMBER(G531),1,0))</f>
        <v/>
      </c>
      <c r="I531" s="6">
        <f>IF(C531="","",IF(SUMPRODUCT(($C$12:$C$1511=C531)*1)&gt;1,1,0))</f>
        <v/>
      </c>
      <c r="J531" s="6">
        <f>IF(C531="","",SUMPRODUCT((Mapping!$F$5:$F$504=Setup!$B$4&amp;"||"&amp;C531)*ROW(Mapping!$F$5:$F$504)))</f>
        <v/>
      </c>
      <c r="K531" s="6">
        <f>IF(C531="","",IF(J531=0,"UNMAPPED",LOWER(INDEX(Mapping!$D$1:$D$504,J531))))</f>
        <v/>
      </c>
      <c r="L531" s="6">
        <f>IF(K531="mapped",TRIM(INDEX(Mapping!$C$1:$C$504,J531)),"")</f>
        <v/>
      </c>
      <c r="M531" s="6">
        <f>IF(C531="","",IF(SUMPRODUCT(($C$12:C531=C531)*1)=1,1,0))</f>
        <v/>
      </c>
      <c r="N531" s="6">
        <f>IF(AND(K531="UNMAPPED",M531=1),ROW(),"")</f>
        <v/>
      </c>
      <c r="O531" s="6">
        <f>IF(AND(I531=1,M531=1),ROW(),"")</f>
        <v/>
      </c>
      <c r="P531" s="6">
        <f>IF(AND(K531="ignored",M531=1),ROW(),"")</f>
        <v/>
      </c>
    </row>
    <row r="532">
      <c r="A532" s="8" t="n"/>
      <c r="B532" s="8" t="n"/>
      <c r="C532" s="6">
        <f>TRIM(A532&amp;"")</f>
        <v/>
      </c>
      <c r="D532" s="6">
        <f>IF(C532="","",SUBSTITUTE(SUBSTITUTE(SUBSTITUTE(SUBSTITUTE(SUBSTITUTE(SUBSTITUTE(SUBSTITUTE(UPPER(TRIM(B532&amp;"")),"₹",""),"RS.",""),"RS",""),"INR",""),"$",""),",","")," ",""))</f>
        <v/>
      </c>
      <c r="E532" s="6">
        <f>IF(C532="","",IF(RIGHT(D532,2)="CR","Cr",IF(RIGHT(D532,2)="DR","Dr","")))</f>
        <v/>
      </c>
      <c r="F532" s="6">
        <f>IF(C532="","",IF(E532&lt;&gt;"",LEFT(D532,LEN(D532)-2),D532))</f>
        <v/>
      </c>
      <c r="G532" s="13">
        <f>IF(C532="","",IF(OR(IF(AND(LEFT(F532,1)="(",RIGHT(F532,1)=")"),MID(F532,2,LEN(F532)-2),F532)="",IF(AND(LEFT(F532,1)="(",RIGHT(F532,1)=")"),MID(F532,2,LEN(F532)-2),F532)="-"),0,IFERROR(VALUE(IF(AND(LEFT(F532,1)="(",RIGHT(F532,1)=")"),MID(F532,2,LEN(F532)-2),F532))*IF(AND(LEFT(F532,1)="(",RIGHT(F532,1)=")"),-1,1)*IF(E532="Cr",Setup!$B$6,1),"ERR")))</f>
        <v/>
      </c>
      <c r="H532" s="6">
        <f>IF(C532="","",IF(ISNUMBER(G532),1,0))</f>
        <v/>
      </c>
      <c r="I532" s="6">
        <f>IF(C532="","",IF(SUMPRODUCT(($C$12:$C$1511=C532)*1)&gt;1,1,0))</f>
        <v/>
      </c>
      <c r="J532" s="6">
        <f>IF(C532="","",SUMPRODUCT((Mapping!$F$5:$F$504=Setup!$B$4&amp;"||"&amp;C532)*ROW(Mapping!$F$5:$F$504)))</f>
        <v/>
      </c>
      <c r="K532" s="6">
        <f>IF(C532="","",IF(J532=0,"UNMAPPED",LOWER(INDEX(Mapping!$D$1:$D$504,J532))))</f>
        <v/>
      </c>
      <c r="L532" s="6">
        <f>IF(K532="mapped",TRIM(INDEX(Mapping!$C$1:$C$504,J532)),"")</f>
        <v/>
      </c>
      <c r="M532" s="6">
        <f>IF(C532="","",IF(SUMPRODUCT(($C$12:C532=C532)*1)=1,1,0))</f>
        <v/>
      </c>
      <c r="N532" s="6">
        <f>IF(AND(K532="UNMAPPED",M532=1),ROW(),"")</f>
        <v/>
      </c>
      <c r="O532" s="6">
        <f>IF(AND(I532=1,M532=1),ROW(),"")</f>
        <v/>
      </c>
      <c r="P532" s="6">
        <f>IF(AND(K532="ignored",M532=1),ROW(),"")</f>
        <v/>
      </c>
    </row>
    <row r="533">
      <c r="A533" s="8" t="n"/>
      <c r="B533" s="8" t="n"/>
      <c r="C533" s="6">
        <f>TRIM(A533&amp;"")</f>
        <v/>
      </c>
      <c r="D533" s="6">
        <f>IF(C533="","",SUBSTITUTE(SUBSTITUTE(SUBSTITUTE(SUBSTITUTE(SUBSTITUTE(SUBSTITUTE(SUBSTITUTE(UPPER(TRIM(B533&amp;"")),"₹",""),"RS.",""),"RS",""),"INR",""),"$",""),",","")," ",""))</f>
        <v/>
      </c>
      <c r="E533" s="6">
        <f>IF(C533="","",IF(RIGHT(D533,2)="CR","Cr",IF(RIGHT(D533,2)="DR","Dr","")))</f>
        <v/>
      </c>
      <c r="F533" s="6">
        <f>IF(C533="","",IF(E533&lt;&gt;"",LEFT(D533,LEN(D533)-2),D533))</f>
        <v/>
      </c>
      <c r="G533" s="13">
        <f>IF(C533="","",IF(OR(IF(AND(LEFT(F533,1)="(",RIGHT(F533,1)=")"),MID(F533,2,LEN(F533)-2),F533)="",IF(AND(LEFT(F533,1)="(",RIGHT(F533,1)=")"),MID(F533,2,LEN(F533)-2),F533)="-"),0,IFERROR(VALUE(IF(AND(LEFT(F533,1)="(",RIGHT(F533,1)=")"),MID(F533,2,LEN(F533)-2),F533))*IF(AND(LEFT(F533,1)="(",RIGHT(F533,1)=")"),-1,1)*IF(E533="Cr",Setup!$B$6,1),"ERR")))</f>
        <v/>
      </c>
      <c r="H533" s="6">
        <f>IF(C533="","",IF(ISNUMBER(G533),1,0))</f>
        <v/>
      </c>
      <c r="I533" s="6">
        <f>IF(C533="","",IF(SUMPRODUCT(($C$12:$C$1511=C533)*1)&gt;1,1,0))</f>
        <v/>
      </c>
      <c r="J533" s="6">
        <f>IF(C533="","",SUMPRODUCT((Mapping!$F$5:$F$504=Setup!$B$4&amp;"||"&amp;C533)*ROW(Mapping!$F$5:$F$504)))</f>
        <v/>
      </c>
      <c r="K533" s="6">
        <f>IF(C533="","",IF(J533=0,"UNMAPPED",LOWER(INDEX(Mapping!$D$1:$D$504,J533))))</f>
        <v/>
      </c>
      <c r="L533" s="6">
        <f>IF(K533="mapped",TRIM(INDEX(Mapping!$C$1:$C$504,J533)),"")</f>
        <v/>
      </c>
      <c r="M533" s="6">
        <f>IF(C533="","",IF(SUMPRODUCT(($C$12:C533=C533)*1)=1,1,0))</f>
        <v/>
      </c>
      <c r="N533" s="6">
        <f>IF(AND(K533="UNMAPPED",M533=1),ROW(),"")</f>
        <v/>
      </c>
      <c r="O533" s="6">
        <f>IF(AND(I533=1,M533=1),ROW(),"")</f>
        <v/>
      </c>
      <c r="P533" s="6">
        <f>IF(AND(K533="ignored",M533=1),ROW(),"")</f>
        <v/>
      </c>
    </row>
    <row r="534">
      <c r="A534" s="8" t="n"/>
      <c r="B534" s="8" t="n"/>
      <c r="C534" s="6">
        <f>TRIM(A534&amp;"")</f>
        <v/>
      </c>
      <c r="D534" s="6">
        <f>IF(C534="","",SUBSTITUTE(SUBSTITUTE(SUBSTITUTE(SUBSTITUTE(SUBSTITUTE(SUBSTITUTE(SUBSTITUTE(UPPER(TRIM(B534&amp;"")),"₹",""),"RS.",""),"RS",""),"INR",""),"$",""),",","")," ",""))</f>
        <v/>
      </c>
      <c r="E534" s="6">
        <f>IF(C534="","",IF(RIGHT(D534,2)="CR","Cr",IF(RIGHT(D534,2)="DR","Dr","")))</f>
        <v/>
      </c>
      <c r="F534" s="6">
        <f>IF(C534="","",IF(E534&lt;&gt;"",LEFT(D534,LEN(D534)-2),D534))</f>
        <v/>
      </c>
      <c r="G534" s="13">
        <f>IF(C534="","",IF(OR(IF(AND(LEFT(F534,1)="(",RIGHT(F534,1)=")"),MID(F534,2,LEN(F534)-2),F534)="",IF(AND(LEFT(F534,1)="(",RIGHT(F534,1)=")"),MID(F534,2,LEN(F534)-2),F534)="-"),0,IFERROR(VALUE(IF(AND(LEFT(F534,1)="(",RIGHT(F534,1)=")"),MID(F534,2,LEN(F534)-2),F534))*IF(AND(LEFT(F534,1)="(",RIGHT(F534,1)=")"),-1,1)*IF(E534="Cr",Setup!$B$6,1),"ERR")))</f>
        <v/>
      </c>
      <c r="H534" s="6">
        <f>IF(C534="","",IF(ISNUMBER(G534),1,0))</f>
        <v/>
      </c>
      <c r="I534" s="6">
        <f>IF(C534="","",IF(SUMPRODUCT(($C$12:$C$1511=C534)*1)&gt;1,1,0))</f>
        <v/>
      </c>
      <c r="J534" s="6">
        <f>IF(C534="","",SUMPRODUCT((Mapping!$F$5:$F$504=Setup!$B$4&amp;"||"&amp;C534)*ROW(Mapping!$F$5:$F$504)))</f>
        <v/>
      </c>
      <c r="K534" s="6">
        <f>IF(C534="","",IF(J534=0,"UNMAPPED",LOWER(INDEX(Mapping!$D$1:$D$504,J534))))</f>
        <v/>
      </c>
      <c r="L534" s="6">
        <f>IF(K534="mapped",TRIM(INDEX(Mapping!$C$1:$C$504,J534)),"")</f>
        <v/>
      </c>
      <c r="M534" s="6">
        <f>IF(C534="","",IF(SUMPRODUCT(($C$12:C534=C534)*1)=1,1,0))</f>
        <v/>
      </c>
      <c r="N534" s="6">
        <f>IF(AND(K534="UNMAPPED",M534=1),ROW(),"")</f>
        <v/>
      </c>
      <c r="O534" s="6">
        <f>IF(AND(I534=1,M534=1),ROW(),"")</f>
        <v/>
      </c>
      <c r="P534" s="6">
        <f>IF(AND(K534="ignored",M534=1),ROW(),"")</f>
        <v/>
      </c>
    </row>
    <row r="535">
      <c r="A535" s="8" t="n"/>
      <c r="B535" s="8" t="n"/>
      <c r="C535" s="6">
        <f>TRIM(A535&amp;"")</f>
        <v/>
      </c>
      <c r="D535" s="6">
        <f>IF(C535="","",SUBSTITUTE(SUBSTITUTE(SUBSTITUTE(SUBSTITUTE(SUBSTITUTE(SUBSTITUTE(SUBSTITUTE(UPPER(TRIM(B535&amp;"")),"₹",""),"RS.",""),"RS",""),"INR",""),"$",""),",","")," ",""))</f>
        <v/>
      </c>
      <c r="E535" s="6">
        <f>IF(C535="","",IF(RIGHT(D535,2)="CR","Cr",IF(RIGHT(D535,2)="DR","Dr","")))</f>
        <v/>
      </c>
      <c r="F535" s="6">
        <f>IF(C535="","",IF(E535&lt;&gt;"",LEFT(D535,LEN(D535)-2),D535))</f>
        <v/>
      </c>
      <c r="G535" s="13">
        <f>IF(C535="","",IF(OR(IF(AND(LEFT(F535,1)="(",RIGHT(F535,1)=")"),MID(F535,2,LEN(F535)-2),F535)="",IF(AND(LEFT(F535,1)="(",RIGHT(F535,1)=")"),MID(F535,2,LEN(F535)-2),F535)="-"),0,IFERROR(VALUE(IF(AND(LEFT(F535,1)="(",RIGHT(F535,1)=")"),MID(F535,2,LEN(F535)-2),F535))*IF(AND(LEFT(F535,1)="(",RIGHT(F535,1)=")"),-1,1)*IF(E535="Cr",Setup!$B$6,1),"ERR")))</f>
        <v/>
      </c>
      <c r="H535" s="6">
        <f>IF(C535="","",IF(ISNUMBER(G535),1,0))</f>
        <v/>
      </c>
      <c r="I535" s="6">
        <f>IF(C535="","",IF(SUMPRODUCT(($C$12:$C$1511=C535)*1)&gt;1,1,0))</f>
        <v/>
      </c>
      <c r="J535" s="6">
        <f>IF(C535="","",SUMPRODUCT((Mapping!$F$5:$F$504=Setup!$B$4&amp;"||"&amp;C535)*ROW(Mapping!$F$5:$F$504)))</f>
        <v/>
      </c>
      <c r="K535" s="6">
        <f>IF(C535="","",IF(J535=0,"UNMAPPED",LOWER(INDEX(Mapping!$D$1:$D$504,J535))))</f>
        <v/>
      </c>
      <c r="L535" s="6">
        <f>IF(K535="mapped",TRIM(INDEX(Mapping!$C$1:$C$504,J535)),"")</f>
        <v/>
      </c>
      <c r="M535" s="6">
        <f>IF(C535="","",IF(SUMPRODUCT(($C$12:C535=C535)*1)=1,1,0))</f>
        <v/>
      </c>
      <c r="N535" s="6">
        <f>IF(AND(K535="UNMAPPED",M535=1),ROW(),"")</f>
        <v/>
      </c>
      <c r="O535" s="6">
        <f>IF(AND(I535=1,M535=1),ROW(),"")</f>
        <v/>
      </c>
      <c r="P535" s="6">
        <f>IF(AND(K535="ignored",M535=1),ROW(),"")</f>
        <v/>
      </c>
    </row>
    <row r="536">
      <c r="A536" s="8" t="n"/>
      <c r="B536" s="8" t="n"/>
      <c r="C536" s="6">
        <f>TRIM(A536&amp;"")</f>
        <v/>
      </c>
      <c r="D536" s="6">
        <f>IF(C536="","",SUBSTITUTE(SUBSTITUTE(SUBSTITUTE(SUBSTITUTE(SUBSTITUTE(SUBSTITUTE(SUBSTITUTE(UPPER(TRIM(B536&amp;"")),"₹",""),"RS.",""),"RS",""),"INR",""),"$",""),",","")," ",""))</f>
        <v/>
      </c>
      <c r="E536" s="6">
        <f>IF(C536="","",IF(RIGHT(D536,2)="CR","Cr",IF(RIGHT(D536,2)="DR","Dr","")))</f>
        <v/>
      </c>
      <c r="F536" s="6">
        <f>IF(C536="","",IF(E536&lt;&gt;"",LEFT(D536,LEN(D536)-2),D536))</f>
        <v/>
      </c>
      <c r="G536" s="13">
        <f>IF(C536="","",IF(OR(IF(AND(LEFT(F536,1)="(",RIGHT(F536,1)=")"),MID(F536,2,LEN(F536)-2),F536)="",IF(AND(LEFT(F536,1)="(",RIGHT(F536,1)=")"),MID(F536,2,LEN(F536)-2),F536)="-"),0,IFERROR(VALUE(IF(AND(LEFT(F536,1)="(",RIGHT(F536,1)=")"),MID(F536,2,LEN(F536)-2),F536))*IF(AND(LEFT(F536,1)="(",RIGHT(F536,1)=")"),-1,1)*IF(E536="Cr",Setup!$B$6,1),"ERR")))</f>
        <v/>
      </c>
      <c r="H536" s="6">
        <f>IF(C536="","",IF(ISNUMBER(G536),1,0))</f>
        <v/>
      </c>
      <c r="I536" s="6">
        <f>IF(C536="","",IF(SUMPRODUCT(($C$12:$C$1511=C536)*1)&gt;1,1,0))</f>
        <v/>
      </c>
      <c r="J536" s="6">
        <f>IF(C536="","",SUMPRODUCT((Mapping!$F$5:$F$504=Setup!$B$4&amp;"||"&amp;C536)*ROW(Mapping!$F$5:$F$504)))</f>
        <v/>
      </c>
      <c r="K536" s="6">
        <f>IF(C536="","",IF(J536=0,"UNMAPPED",LOWER(INDEX(Mapping!$D$1:$D$504,J536))))</f>
        <v/>
      </c>
      <c r="L536" s="6">
        <f>IF(K536="mapped",TRIM(INDEX(Mapping!$C$1:$C$504,J536)),"")</f>
        <v/>
      </c>
      <c r="M536" s="6">
        <f>IF(C536="","",IF(SUMPRODUCT(($C$12:C536=C536)*1)=1,1,0))</f>
        <v/>
      </c>
      <c r="N536" s="6">
        <f>IF(AND(K536="UNMAPPED",M536=1),ROW(),"")</f>
        <v/>
      </c>
      <c r="O536" s="6">
        <f>IF(AND(I536=1,M536=1),ROW(),"")</f>
        <v/>
      </c>
      <c r="P536" s="6">
        <f>IF(AND(K536="ignored",M536=1),ROW(),"")</f>
        <v/>
      </c>
    </row>
    <row r="537">
      <c r="A537" s="8" t="n"/>
      <c r="B537" s="8" t="n"/>
      <c r="C537" s="6">
        <f>TRIM(A537&amp;"")</f>
        <v/>
      </c>
      <c r="D537" s="6">
        <f>IF(C537="","",SUBSTITUTE(SUBSTITUTE(SUBSTITUTE(SUBSTITUTE(SUBSTITUTE(SUBSTITUTE(SUBSTITUTE(UPPER(TRIM(B537&amp;"")),"₹",""),"RS.",""),"RS",""),"INR",""),"$",""),",","")," ",""))</f>
        <v/>
      </c>
      <c r="E537" s="6">
        <f>IF(C537="","",IF(RIGHT(D537,2)="CR","Cr",IF(RIGHT(D537,2)="DR","Dr","")))</f>
        <v/>
      </c>
      <c r="F537" s="6">
        <f>IF(C537="","",IF(E537&lt;&gt;"",LEFT(D537,LEN(D537)-2),D537))</f>
        <v/>
      </c>
      <c r="G537" s="13">
        <f>IF(C537="","",IF(OR(IF(AND(LEFT(F537,1)="(",RIGHT(F537,1)=")"),MID(F537,2,LEN(F537)-2),F537)="",IF(AND(LEFT(F537,1)="(",RIGHT(F537,1)=")"),MID(F537,2,LEN(F537)-2),F537)="-"),0,IFERROR(VALUE(IF(AND(LEFT(F537,1)="(",RIGHT(F537,1)=")"),MID(F537,2,LEN(F537)-2),F537))*IF(AND(LEFT(F537,1)="(",RIGHT(F537,1)=")"),-1,1)*IF(E537="Cr",Setup!$B$6,1),"ERR")))</f>
        <v/>
      </c>
      <c r="H537" s="6">
        <f>IF(C537="","",IF(ISNUMBER(G537),1,0))</f>
        <v/>
      </c>
      <c r="I537" s="6">
        <f>IF(C537="","",IF(SUMPRODUCT(($C$12:$C$1511=C537)*1)&gt;1,1,0))</f>
        <v/>
      </c>
      <c r="J537" s="6">
        <f>IF(C537="","",SUMPRODUCT((Mapping!$F$5:$F$504=Setup!$B$4&amp;"||"&amp;C537)*ROW(Mapping!$F$5:$F$504)))</f>
        <v/>
      </c>
      <c r="K537" s="6">
        <f>IF(C537="","",IF(J537=0,"UNMAPPED",LOWER(INDEX(Mapping!$D$1:$D$504,J537))))</f>
        <v/>
      </c>
      <c r="L537" s="6">
        <f>IF(K537="mapped",TRIM(INDEX(Mapping!$C$1:$C$504,J537)),"")</f>
        <v/>
      </c>
      <c r="M537" s="6">
        <f>IF(C537="","",IF(SUMPRODUCT(($C$12:C537=C537)*1)=1,1,0))</f>
        <v/>
      </c>
      <c r="N537" s="6">
        <f>IF(AND(K537="UNMAPPED",M537=1),ROW(),"")</f>
        <v/>
      </c>
      <c r="O537" s="6">
        <f>IF(AND(I537=1,M537=1),ROW(),"")</f>
        <v/>
      </c>
      <c r="P537" s="6">
        <f>IF(AND(K537="ignored",M537=1),ROW(),"")</f>
        <v/>
      </c>
    </row>
    <row r="538">
      <c r="A538" s="8" t="n"/>
      <c r="B538" s="8" t="n"/>
      <c r="C538" s="6">
        <f>TRIM(A538&amp;"")</f>
        <v/>
      </c>
      <c r="D538" s="6">
        <f>IF(C538="","",SUBSTITUTE(SUBSTITUTE(SUBSTITUTE(SUBSTITUTE(SUBSTITUTE(SUBSTITUTE(SUBSTITUTE(UPPER(TRIM(B538&amp;"")),"₹",""),"RS.",""),"RS",""),"INR",""),"$",""),",","")," ",""))</f>
        <v/>
      </c>
      <c r="E538" s="6">
        <f>IF(C538="","",IF(RIGHT(D538,2)="CR","Cr",IF(RIGHT(D538,2)="DR","Dr","")))</f>
        <v/>
      </c>
      <c r="F538" s="6">
        <f>IF(C538="","",IF(E538&lt;&gt;"",LEFT(D538,LEN(D538)-2),D538))</f>
        <v/>
      </c>
      <c r="G538" s="13">
        <f>IF(C538="","",IF(OR(IF(AND(LEFT(F538,1)="(",RIGHT(F538,1)=")"),MID(F538,2,LEN(F538)-2),F538)="",IF(AND(LEFT(F538,1)="(",RIGHT(F538,1)=")"),MID(F538,2,LEN(F538)-2),F538)="-"),0,IFERROR(VALUE(IF(AND(LEFT(F538,1)="(",RIGHT(F538,1)=")"),MID(F538,2,LEN(F538)-2),F538))*IF(AND(LEFT(F538,1)="(",RIGHT(F538,1)=")"),-1,1)*IF(E538="Cr",Setup!$B$6,1),"ERR")))</f>
        <v/>
      </c>
      <c r="H538" s="6">
        <f>IF(C538="","",IF(ISNUMBER(G538),1,0))</f>
        <v/>
      </c>
      <c r="I538" s="6">
        <f>IF(C538="","",IF(SUMPRODUCT(($C$12:$C$1511=C538)*1)&gt;1,1,0))</f>
        <v/>
      </c>
      <c r="J538" s="6">
        <f>IF(C538="","",SUMPRODUCT((Mapping!$F$5:$F$504=Setup!$B$4&amp;"||"&amp;C538)*ROW(Mapping!$F$5:$F$504)))</f>
        <v/>
      </c>
      <c r="K538" s="6">
        <f>IF(C538="","",IF(J538=0,"UNMAPPED",LOWER(INDEX(Mapping!$D$1:$D$504,J538))))</f>
        <v/>
      </c>
      <c r="L538" s="6">
        <f>IF(K538="mapped",TRIM(INDEX(Mapping!$C$1:$C$504,J538)),"")</f>
        <v/>
      </c>
      <c r="M538" s="6">
        <f>IF(C538="","",IF(SUMPRODUCT(($C$12:C538=C538)*1)=1,1,0))</f>
        <v/>
      </c>
      <c r="N538" s="6">
        <f>IF(AND(K538="UNMAPPED",M538=1),ROW(),"")</f>
        <v/>
      </c>
      <c r="O538" s="6">
        <f>IF(AND(I538=1,M538=1),ROW(),"")</f>
        <v/>
      </c>
      <c r="P538" s="6">
        <f>IF(AND(K538="ignored",M538=1),ROW(),"")</f>
        <v/>
      </c>
    </row>
    <row r="539">
      <c r="A539" s="8" t="n"/>
      <c r="B539" s="8" t="n"/>
      <c r="C539" s="6">
        <f>TRIM(A539&amp;"")</f>
        <v/>
      </c>
      <c r="D539" s="6">
        <f>IF(C539="","",SUBSTITUTE(SUBSTITUTE(SUBSTITUTE(SUBSTITUTE(SUBSTITUTE(SUBSTITUTE(SUBSTITUTE(UPPER(TRIM(B539&amp;"")),"₹",""),"RS.",""),"RS",""),"INR",""),"$",""),",","")," ",""))</f>
        <v/>
      </c>
      <c r="E539" s="6">
        <f>IF(C539="","",IF(RIGHT(D539,2)="CR","Cr",IF(RIGHT(D539,2)="DR","Dr","")))</f>
        <v/>
      </c>
      <c r="F539" s="6">
        <f>IF(C539="","",IF(E539&lt;&gt;"",LEFT(D539,LEN(D539)-2),D539))</f>
        <v/>
      </c>
      <c r="G539" s="13">
        <f>IF(C539="","",IF(OR(IF(AND(LEFT(F539,1)="(",RIGHT(F539,1)=")"),MID(F539,2,LEN(F539)-2),F539)="",IF(AND(LEFT(F539,1)="(",RIGHT(F539,1)=")"),MID(F539,2,LEN(F539)-2),F539)="-"),0,IFERROR(VALUE(IF(AND(LEFT(F539,1)="(",RIGHT(F539,1)=")"),MID(F539,2,LEN(F539)-2),F539))*IF(AND(LEFT(F539,1)="(",RIGHT(F539,1)=")"),-1,1)*IF(E539="Cr",Setup!$B$6,1),"ERR")))</f>
        <v/>
      </c>
      <c r="H539" s="6">
        <f>IF(C539="","",IF(ISNUMBER(G539),1,0))</f>
        <v/>
      </c>
      <c r="I539" s="6">
        <f>IF(C539="","",IF(SUMPRODUCT(($C$12:$C$1511=C539)*1)&gt;1,1,0))</f>
        <v/>
      </c>
      <c r="J539" s="6">
        <f>IF(C539="","",SUMPRODUCT((Mapping!$F$5:$F$504=Setup!$B$4&amp;"||"&amp;C539)*ROW(Mapping!$F$5:$F$504)))</f>
        <v/>
      </c>
      <c r="K539" s="6">
        <f>IF(C539="","",IF(J539=0,"UNMAPPED",LOWER(INDEX(Mapping!$D$1:$D$504,J539))))</f>
        <v/>
      </c>
      <c r="L539" s="6">
        <f>IF(K539="mapped",TRIM(INDEX(Mapping!$C$1:$C$504,J539)),"")</f>
        <v/>
      </c>
      <c r="M539" s="6">
        <f>IF(C539="","",IF(SUMPRODUCT(($C$12:C539=C539)*1)=1,1,0))</f>
        <v/>
      </c>
      <c r="N539" s="6">
        <f>IF(AND(K539="UNMAPPED",M539=1),ROW(),"")</f>
        <v/>
      </c>
      <c r="O539" s="6">
        <f>IF(AND(I539=1,M539=1),ROW(),"")</f>
        <v/>
      </c>
      <c r="P539" s="6">
        <f>IF(AND(K539="ignored",M539=1),ROW(),"")</f>
        <v/>
      </c>
    </row>
    <row r="540">
      <c r="A540" s="8" t="n"/>
      <c r="B540" s="8" t="n"/>
      <c r="C540" s="6">
        <f>TRIM(A540&amp;"")</f>
        <v/>
      </c>
      <c r="D540" s="6">
        <f>IF(C540="","",SUBSTITUTE(SUBSTITUTE(SUBSTITUTE(SUBSTITUTE(SUBSTITUTE(SUBSTITUTE(SUBSTITUTE(UPPER(TRIM(B540&amp;"")),"₹",""),"RS.",""),"RS",""),"INR",""),"$",""),",","")," ",""))</f>
        <v/>
      </c>
      <c r="E540" s="6">
        <f>IF(C540="","",IF(RIGHT(D540,2)="CR","Cr",IF(RIGHT(D540,2)="DR","Dr","")))</f>
        <v/>
      </c>
      <c r="F540" s="6">
        <f>IF(C540="","",IF(E540&lt;&gt;"",LEFT(D540,LEN(D540)-2),D540))</f>
        <v/>
      </c>
      <c r="G540" s="13">
        <f>IF(C540="","",IF(OR(IF(AND(LEFT(F540,1)="(",RIGHT(F540,1)=")"),MID(F540,2,LEN(F540)-2),F540)="",IF(AND(LEFT(F540,1)="(",RIGHT(F540,1)=")"),MID(F540,2,LEN(F540)-2),F540)="-"),0,IFERROR(VALUE(IF(AND(LEFT(F540,1)="(",RIGHT(F540,1)=")"),MID(F540,2,LEN(F540)-2),F540))*IF(AND(LEFT(F540,1)="(",RIGHT(F540,1)=")"),-1,1)*IF(E540="Cr",Setup!$B$6,1),"ERR")))</f>
        <v/>
      </c>
      <c r="H540" s="6">
        <f>IF(C540="","",IF(ISNUMBER(G540),1,0))</f>
        <v/>
      </c>
      <c r="I540" s="6">
        <f>IF(C540="","",IF(SUMPRODUCT(($C$12:$C$1511=C540)*1)&gt;1,1,0))</f>
        <v/>
      </c>
      <c r="J540" s="6">
        <f>IF(C540="","",SUMPRODUCT((Mapping!$F$5:$F$504=Setup!$B$4&amp;"||"&amp;C540)*ROW(Mapping!$F$5:$F$504)))</f>
        <v/>
      </c>
      <c r="K540" s="6">
        <f>IF(C540="","",IF(J540=0,"UNMAPPED",LOWER(INDEX(Mapping!$D$1:$D$504,J540))))</f>
        <v/>
      </c>
      <c r="L540" s="6">
        <f>IF(K540="mapped",TRIM(INDEX(Mapping!$C$1:$C$504,J540)),"")</f>
        <v/>
      </c>
      <c r="M540" s="6">
        <f>IF(C540="","",IF(SUMPRODUCT(($C$12:C540=C540)*1)=1,1,0))</f>
        <v/>
      </c>
      <c r="N540" s="6">
        <f>IF(AND(K540="UNMAPPED",M540=1),ROW(),"")</f>
        <v/>
      </c>
      <c r="O540" s="6">
        <f>IF(AND(I540=1,M540=1),ROW(),"")</f>
        <v/>
      </c>
      <c r="P540" s="6">
        <f>IF(AND(K540="ignored",M540=1),ROW(),"")</f>
        <v/>
      </c>
    </row>
    <row r="541">
      <c r="A541" s="8" t="n"/>
      <c r="B541" s="8" t="n"/>
      <c r="C541" s="6">
        <f>TRIM(A541&amp;"")</f>
        <v/>
      </c>
      <c r="D541" s="6">
        <f>IF(C541="","",SUBSTITUTE(SUBSTITUTE(SUBSTITUTE(SUBSTITUTE(SUBSTITUTE(SUBSTITUTE(SUBSTITUTE(UPPER(TRIM(B541&amp;"")),"₹",""),"RS.",""),"RS",""),"INR",""),"$",""),",","")," ",""))</f>
        <v/>
      </c>
      <c r="E541" s="6">
        <f>IF(C541="","",IF(RIGHT(D541,2)="CR","Cr",IF(RIGHT(D541,2)="DR","Dr","")))</f>
        <v/>
      </c>
      <c r="F541" s="6">
        <f>IF(C541="","",IF(E541&lt;&gt;"",LEFT(D541,LEN(D541)-2),D541))</f>
        <v/>
      </c>
      <c r="G541" s="13">
        <f>IF(C541="","",IF(OR(IF(AND(LEFT(F541,1)="(",RIGHT(F541,1)=")"),MID(F541,2,LEN(F541)-2),F541)="",IF(AND(LEFT(F541,1)="(",RIGHT(F541,1)=")"),MID(F541,2,LEN(F541)-2),F541)="-"),0,IFERROR(VALUE(IF(AND(LEFT(F541,1)="(",RIGHT(F541,1)=")"),MID(F541,2,LEN(F541)-2),F541))*IF(AND(LEFT(F541,1)="(",RIGHT(F541,1)=")"),-1,1)*IF(E541="Cr",Setup!$B$6,1),"ERR")))</f>
        <v/>
      </c>
      <c r="H541" s="6">
        <f>IF(C541="","",IF(ISNUMBER(G541),1,0))</f>
        <v/>
      </c>
      <c r="I541" s="6">
        <f>IF(C541="","",IF(SUMPRODUCT(($C$12:$C$1511=C541)*1)&gt;1,1,0))</f>
        <v/>
      </c>
      <c r="J541" s="6">
        <f>IF(C541="","",SUMPRODUCT((Mapping!$F$5:$F$504=Setup!$B$4&amp;"||"&amp;C541)*ROW(Mapping!$F$5:$F$504)))</f>
        <v/>
      </c>
      <c r="K541" s="6">
        <f>IF(C541="","",IF(J541=0,"UNMAPPED",LOWER(INDEX(Mapping!$D$1:$D$504,J541))))</f>
        <v/>
      </c>
      <c r="L541" s="6">
        <f>IF(K541="mapped",TRIM(INDEX(Mapping!$C$1:$C$504,J541)),"")</f>
        <v/>
      </c>
      <c r="M541" s="6">
        <f>IF(C541="","",IF(SUMPRODUCT(($C$12:C541=C541)*1)=1,1,0))</f>
        <v/>
      </c>
      <c r="N541" s="6">
        <f>IF(AND(K541="UNMAPPED",M541=1),ROW(),"")</f>
        <v/>
      </c>
      <c r="O541" s="6">
        <f>IF(AND(I541=1,M541=1),ROW(),"")</f>
        <v/>
      </c>
      <c r="P541" s="6">
        <f>IF(AND(K541="ignored",M541=1),ROW(),"")</f>
        <v/>
      </c>
    </row>
    <row r="542">
      <c r="A542" s="8" t="n"/>
      <c r="B542" s="8" t="n"/>
      <c r="C542" s="6">
        <f>TRIM(A542&amp;"")</f>
        <v/>
      </c>
      <c r="D542" s="6">
        <f>IF(C542="","",SUBSTITUTE(SUBSTITUTE(SUBSTITUTE(SUBSTITUTE(SUBSTITUTE(SUBSTITUTE(SUBSTITUTE(UPPER(TRIM(B542&amp;"")),"₹",""),"RS.",""),"RS",""),"INR",""),"$",""),",","")," ",""))</f>
        <v/>
      </c>
      <c r="E542" s="6">
        <f>IF(C542="","",IF(RIGHT(D542,2)="CR","Cr",IF(RIGHT(D542,2)="DR","Dr","")))</f>
        <v/>
      </c>
      <c r="F542" s="6">
        <f>IF(C542="","",IF(E542&lt;&gt;"",LEFT(D542,LEN(D542)-2),D542))</f>
        <v/>
      </c>
      <c r="G542" s="13">
        <f>IF(C542="","",IF(OR(IF(AND(LEFT(F542,1)="(",RIGHT(F542,1)=")"),MID(F542,2,LEN(F542)-2),F542)="",IF(AND(LEFT(F542,1)="(",RIGHT(F542,1)=")"),MID(F542,2,LEN(F542)-2),F542)="-"),0,IFERROR(VALUE(IF(AND(LEFT(F542,1)="(",RIGHT(F542,1)=")"),MID(F542,2,LEN(F542)-2),F542))*IF(AND(LEFT(F542,1)="(",RIGHT(F542,1)=")"),-1,1)*IF(E542="Cr",Setup!$B$6,1),"ERR")))</f>
        <v/>
      </c>
      <c r="H542" s="6">
        <f>IF(C542="","",IF(ISNUMBER(G542),1,0))</f>
        <v/>
      </c>
      <c r="I542" s="6">
        <f>IF(C542="","",IF(SUMPRODUCT(($C$12:$C$1511=C542)*1)&gt;1,1,0))</f>
        <v/>
      </c>
      <c r="J542" s="6">
        <f>IF(C542="","",SUMPRODUCT((Mapping!$F$5:$F$504=Setup!$B$4&amp;"||"&amp;C542)*ROW(Mapping!$F$5:$F$504)))</f>
        <v/>
      </c>
      <c r="K542" s="6">
        <f>IF(C542="","",IF(J542=0,"UNMAPPED",LOWER(INDEX(Mapping!$D$1:$D$504,J542))))</f>
        <v/>
      </c>
      <c r="L542" s="6">
        <f>IF(K542="mapped",TRIM(INDEX(Mapping!$C$1:$C$504,J542)),"")</f>
        <v/>
      </c>
      <c r="M542" s="6">
        <f>IF(C542="","",IF(SUMPRODUCT(($C$12:C542=C542)*1)=1,1,0))</f>
        <v/>
      </c>
      <c r="N542" s="6">
        <f>IF(AND(K542="UNMAPPED",M542=1),ROW(),"")</f>
        <v/>
      </c>
      <c r="O542" s="6">
        <f>IF(AND(I542=1,M542=1),ROW(),"")</f>
        <v/>
      </c>
      <c r="P542" s="6">
        <f>IF(AND(K542="ignored",M542=1),ROW(),"")</f>
        <v/>
      </c>
    </row>
    <row r="543">
      <c r="A543" s="8" t="n"/>
      <c r="B543" s="8" t="n"/>
      <c r="C543" s="6">
        <f>TRIM(A543&amp;"")</f>
        <v/>
      </c>
      <c r="D543" s="6">
        <f>IF(C543="","",SUBSTITUTE(SUBSTITUTE(SUBSTITUTE(SUBSTITUTE(SUBSTITUTE(SUBSTITUTE(SUBSTITUTE(UPPER(TRIM(B543&amp;"")),"₹",""),"RS.",""),"RS",""),"INR",""),"$",""),",","")," ",""))</f>
        <v/>
      </c>
      <c r="E543" s="6">
        <f>IF(C543="","",IF(RIGHT(D543,2)="CR","Cr",IF(RIGHT(D543,2)="DR","Dr","")))</f>
        <v/>
      </c>
      <c r="F543" s="6">
        <f>IF(C543="","",IF(E543&lt;&gt;"",LEFT(D543,LEN(D543)-2),D543))</f>
        <v/>
      </c>
      <c r="G543" s="13">
        <f>IF(C543="","",IF(OR(IF(AND(LEFT(F543,1)="(",RIGHT(F543,1)=")"),MID(F543,2,LEN(F543)-2),F543)="",IF(AND(LEFT(F543,1)="(",RIGHT(F543,1)=")"),MID(F543,2,LEN(F543)-2),F543)="-"),0,IFERROR(VALUE(IF(AND(LEFT(F543,1)="(",RIGHT(F543,1)=")"),MID(F543,2,LEN(F543)-2),F543))*IF(AND(LEFT(F543,1)="(",RIGHT(F543,1)=")"),-1,1)*IF(E543="Cr",Setup!$B$6,1),"ERR")))</f>
        <v/>
      </c>
      <c r="H543" s="6">
        <f>IF(C543="","",IF(ISNUMBER(G543),1,0))</f>
        <v/>
      </c>
      <c r="I543" s="6">
        <f>IF(C543="","",IF(SUMPRODUCT(($C$12:$C$1511=C543)*1)&gt;1,1,0))</f>
        <v/>
      </c>
      <c r="J543" s="6">
        <f>IF(C543="","",SUMPRODUCT((Mapping!$F$5:$F$504=Setup!$B$4&amp;"||"&amp;C543)*ROW(Mapping!$F$5:$F$504)))</f>
        <v/>
      </c>
      <c r="K543" s="6">
        <f>IF(C543="","",IF(J543=0,"UNMAPPED",LOWER(INDEX(Mapping!$D$1:$D$504,J543))))</f>
        <v/>
      </c>
      <c r="L543" s="6">
        <f>IF(K543="mapped",TRIM(INDEX(Mapping!$C$1:$C$504,J543)),"")</f>
        <v/>
      </c>
      <c r="M543" s="6">
        <f>IF(C543="","",IF(SUMPRODUCT(($C$12:C543=C543)*1)=1,1,0))</f>
        <v/>
      </c>
      <c r="N543" s="6">
        <f>IF(AND(K543="UNMAPPED",M543=1),ROW(),"")</f>
        <v/>
      </c>
      <c r="O543" s="6">
        <f>IF(AND(I543=1,M543=1),ROW(),"")</f>
        <v/>
      </c>
      <c r="P543" s="6">
        <f>IF(AND(K543="ignored",M543=1),ROW(),"")</f>
        <v/>
      </c>
    </row>
    <row r="544">
      <c r="A544" s="8" t="n"/>
      <c r="B544" s="8" t="n"/>
      <c r="C544" s="6">
        <f>TRIM(A544&amp;"")</f>
        <v/>
      </c>
      <c r="D544" s="6">
        <f>IF(C544="","",SUBSTITUTE(SUBSTITUTE(SUBSTITUTE(SUBSTITUTE(SUBSTITUTE(SUBSTITUTE(SUBSTITUTE(UPPER(TRIM(B544&amp;"")),"₹",""),"RS.",""),"RS",""),"INR",""),"$",""),",","")," ",""))</f>
        <v/>
      </c>
      <c r="E544" s="6">
        <f>IF(C544="","",IF(RIGHT(D544,2)="CR","Cr",IF(RIGHT(D544,2)="DR","Dr","")))</f>
        <v/>
      </c>
      <c r="F544" s="6">
        <f>IF(C544="","",IF(E544&lt;&gt;"",LEFT(D544,LEN(D544)-2),D544))</f>
        <v/>
      </c>
      <c r="G544" s="13">
        <f>IF(C544="","",IF(OR(IF(AND(LEFT(F544,1)="(",RIGHT(F544,1)=")"),MID(F544,2,LEN(F544)-2),F544)="",IF(AND(LEFT(F544,1)="(",RIGHT(F544,1)=")"),MID(F544,2,LEN(F544)-2),F544)="-"),0,IFERROR(VALUE(IF(AND(LEFT(F544,1)="(",RIGHT(F544,1)=")"),MID(F544,2,LEN(F544)-2),F544))*IF(AND(LEFT(F544,1)="(",RIGHT(F544,1)=")"),-1,1)*IF(E544="Cr",Setup!$B$6,1),"ERR")))</f>
        <v/>
      </c>
      <c r="H544" s="6">
        <f>IF(C544="","",IF(ISNUMBER(G544),1,0))</f>
        <v/>
      </c>
      <c r="I544" s="6">
        <f>IF(C544="","",IF(SUMPRODUCT(($C$12:$C$1511=C544)*1)&gt;1,1,0))</f>
        <v/>
      </c>
      <c r="J544" s="6">
        <f>IF(C544="","",SUMPRODUCT((Mapping!$F$5:$F$504=Setup!$B$4&amp;"||"&amp;C544)*ROW(Mapping!$F$5:$F$504)))</f>
        <v/>
      </c>
      <c r="K544" s="6">
        <f>IF(C544="","",IF(J544=0,"UNMAPPED",LOWER(INDEX(Mapping!$D$1:$D$504,J544))))</f>
        <v/>
      </c>
      <c r="L544" s="6">
        <f>IF(K544="mapped",TRIM(INDEX(Mapping!$C$1:$C$504,J544)),"")</f>
        <v/>
      </c>
      <c r="M544" s="6">
        <f>IF(C544="","",IF(SUMPRODUCT(($C$12:C544=C544)*1)=1,1,0))</f>
        <v/>
      </c>
      <c r="N544" s="6">
        <f>IF(AND(K544="UNMAPPED",M544=1),ROW(),"")</f>
        <v/>
      </c>
      <c r="O544" s="6">
        <f>IF(AND(I544=1,M544=1),ROW(),"")</f>
        <v/>
      </c>
      <c r="P544" s="6">
        <f>IF(AND(K544="ignored",M544=1),ROW(),"")</f>
        <v/>
      </c>
    </row>
    <row r="545">
      <c r="A545" s="8" t="n"/>
      <c r="B545" s="8" t="n"/>
      <c r="C545" s="6">
        <f>TRIM(A545&amp;"")</f>
        <v/>
      </c>
      <c r="D545" s="6">
        <f>IF(C545="","",SUBSTITUTE(SUBSTITUTE(SUBSTITUTE(SUBSTITUTE(SUBSTITUTE(SUBSTITUTE(SUBSTITUTE(UPPER(TRIM(B545&amp;"")),"₹",""),"RS.",""),"RS",""),"INR",""),"$",""),",","")," ",""))</f>
        <v/>
      </c>
      <c r="E545" s="6">
        <f>IF(C545="","",IF(RIGHT(D545,2)="CR","Cr",IF(RIGHT(D545,2)="DR","Dr","")))</f>
        <v/>
      </c>
      <c r="F545" s="6">
        <f>IF(C545="","",IF(E545&lt;&gt;"",LEFT(D545,LEN(D545)-2),D545))</f>
        <v/>
      </c>
      <c r="G545" s="13">
        <f>IF(C545="","",IF(OR(IF(AND(LEFT(F545,1)="(",RIGHT(F545,1)=")"),MID(F545,2,LEN(F545)-2),F545)="",IF(AND(LEFT(F545,1)="(",RIGHT(F545,1)=")"),MID(F545,2,LEN(F545)-2),F545)="-"),0,IFERROR(VALUE(IF(AND(LEFT(F545,1)="(",RIGHT(F545,1)=")"),MID(F545,2,LEN(F545)-2),F545))*IF(AND(LEFT(F545,1)="(",RIGHT(F545,1)=")"),-1,1)*IF(E545="Cr",Setup!$B$6,1),"ERR")))</f>
        <v/>
      </c>
      <c r="H545" s="6">
        <f>IF(C545="","",IF(ISNUMBER(G545),1,0))</f>
        <v/>
      </c>
      <c r="I545" s="6">
        <f>IF(C545="","",IF(SUMPRODUCT(($C$12:$C$1511=C545)*1)&gt;1,1,0))</f>
        <v/>
      </c>
      <c r="J545" s="6">
        <f>IF(C545="","",SUMPRODUCT((Mapping!$F$5:$F$504=Setup!$B$4&amp;"||"&amp;C545)*ROW(Mapping!$F$5:$F$504)))</f>
        <v/>
      </c>
      <c r="K545" s="6">
        <f>IF(C545="","",IF(J545=0,"UNMAPPED",LOWER(INDEX(Mapping!$D$1:$D$504,J545))))</f>
        <v/>
      </c>
      <c r="L545" s="6">
        <f>IF(K545="mapped",TRIM(INDEX(Mapping!$C$1:$C$504,J545)),"")</f>
        <v/>
      </c>
      <c r="M545" s="6">
        <f>IF(C545="","",IF(SUMPRODUCT(($C$12:C545=C545)*1)=1,1,0))</f>
        <v/>
      </c>
      <c r="N545" s="6">
        <f>IF(AND(K545="UNMAPPED",M545=1),ROW(),"")</f>
        <v/>
      </c>
      <c r="O545" s="6">
        <f>IF(AND(I545=1,M545=1),ROW(),"")</f>
        <v/>
      </c>
      <c r="P545" s="6">
        <f>IF(AND(K545="ignored",M545=1),ROW(),"")</f>
        <v/>
      </c>
    </row>
    <row r="546">
      <c r="A546" s="8" t="n"/>
      <c r="B546" s="8" t="n"/>
      <c r="C546" s="6">
        <f>TRIM(A546&amp;"")</f>
        <v/>
      </c>
      <c r="D546" s="6">
        <f>IF(C546="","",SUBSTITUTE(SUBSTITUTE(SUBSTITUTE(SUBSTITUTE(SUBSTITUTE(SUBSTITUTE(SUBSTITUTE(UPPER(TRIM(B546&amp;"")),"₹",""),"RS.",""),"RS",""),"INR",""),"$",""),",","")," ",""))</f>
        <v/>
      </c>
      <c r="E546" s="6">
        <f>IF(C546="","",IF(RIGHT(D546,2)="CR","Cr",IF(RIGHT(D546,2)="DR","Dr","")))</f>
        <v/>
      </c>
      <c r="F546" s="6">
        <f>IF(C546="","",IF(E546&lt;&gt;"",LEFT(D546,LEN(D546)-2),D546))</f>
        <v/>
      </c>
      <c r="G546" s="13">
        <f>IF(C546="","",IF(OR(IF(AND(LEFT(F546,1)="(",RIGHT(F546,1)=")"),MID(F546,2,LEN(F546)-2),F546)="",IF(AND(LEFT(F546,1)="(",RIGHT(F546,1)=")"),MID(F546,2,LEN(F546)-2),F546)="-"),0,IFERROR(VALUE(IF(AND(LEFT(F546,1)="(",RIGHT(F546,1)=")"),MID(F546,2,LEN(F546)-2),F546))*IF(AND(LEFT(F546,1)="(",RIGHT(F546,1)=")"),-1,1)*IF(E546="Cr",Setup!$B$6,1),"ERR")))</f>
        <v/>
      </c>
      <c r="H546" s="6">
        <f>IF(C546="","",IF(ISNUMBER(G546),1,0))</f>
        <v/>
      </c>
      <c r="I546" s="6">
        <f>IF(C546="","",IF(SUMPRODUCT(($C$12:$C$1511=C546)*1)&gt;1,1,0))</f>
        <v/>
      </c>
      <c r="J546" s="6">
        <f>IF(C546="","",SUMPRODUCT((Mapping!$F$5:$F$504=Setup!$B$4&amp;"||"&amp;C546)*ROW(Mapping!$F$5:$F$504)))</f>
        <v/>
      </c>
      <c r="K546" s="6">
        <f>IF(C546="","",IF(J546=0,"UNMAPPED",LOWER(INDEX(Mapping!$D$1:$D$504,J546))))</f>
        <v/>
      </c>
      <c r="L546" s="6">
        <f>IF(K546="mapped",TRIM(INDEX(Mapping!$C$1:$C$504,J546)),"")</f>
        <v/>
      </c>
      <c r="M546" s="6">
        <f>IF(C546="","",IF(SUMPRODUCT(($C$12:C546=C546)*1)=1,1,0))</f>
        <v/>
      </c>
      <c r="N546" s="6">
        <f>IF(AND(K546="UNMAPPED",M546=1),ROW(),"")</f>
        <v/>
      </c>
      <c r="O546" s="6">
        <f>IF(AND(I546=1,M546=1),ROW(),"")</f>
        <v/>
      </c>
      <c r="P546" s="6">
        <f>IF(AND(K546="ignored",M546=1),ROW(),"")</f>
        <v/>
      </c>
    </row>
    <row r="547">
      <c r="A547" s="8" t="n"/>
      <c r="B547" s="8" t="n"/>
      <c r="C547" s="6">
        <f>TRIM(A547&amp;"")</f>
        <v/>
      </c>
      <c r="D547" s="6">
        <f>IF(C547="","",SUBSTITUTE(SUBSTITUTE(SUBSTITUTE(SUBSTITUTE(SUBSTITUTE(SUBSTITUTE(SUBSTITUTE(UPPER(TRIM(B547&amp;"")),"₹",""),"RS.",""),"RS",""),"INR",""),"$",""),",","")," ",""))</f>
        <v/>
      </c>
      <c r="E547" s="6">
        <f>IF(C547="","",IF(RIGHT(D547,2)="CR","Cr",IF(RIGHT(D547,2)="DR","Dr","")))</f>
        <v/>
      </c>
      <c r="F547" s="6">
        <f>IF(C547="","",IF(E547&lt;&gt;"",LEFT(D547,LEN(D547)-2),D547))</f>
        <v/>
      </c>
      <c r="G547" s="13">
        <f>IF(C547="","",IF(OR(IF(AND(LEFT(F547,1)="(",RIGHT(F547,1)=")"),MID(F547,2,LEN(F547)-2),F547)="",IF(AND(LEFT(F547,1)="(",RIGHT(F547,1)=")"),MID(F547,2,LEN(F547)-2),F547)="-"),0,IFERROR(VALUE(IF(AND(LEFT(F547,1)="(",RIGHT(F547,1)=")"),MID(F547,2,LEN(F547)-2),F547))*IF(AND(LEFT(F547,1)="(",RIGHT(F547,1)=")"),-1,1)*IF(E547="Cr",Setup!$B$6,1),"ERR")))</f>
        <v/>
      </c>
      <c r="H547" s="6">
        <f>IF(C547="","",IF(ISNUMBER(G547),1,0))</f>
        <v/>
      </c>
      <c r="I547" s="6">
        <f>IF(C547="","",IF(SUMPRODUCT(($C$12:$C$1511=C547)*1)&gt;1,1,0))</f>
        <v/>
      </c>
      <c r="J547" s="6">
        <f>IF(C547="","",SUMPRODUCT((Mapping!$F$5:$F$504=Setup!$B$4&amp;"||"&amp;C547)*ROW(Mapping!$F$5:$F$504)))</f>
        <v/>
      </c>
      <c r="K547" s="6">
        <f>IF(C547="","",IF(J547=0,"UNMAPPED",LOWER(INDEX(Mapping!$D$1:$D$504,J547))))</f>
        <v/>
      </c>
      <c r="L547" s="6">
        <f>IF(K547="mapped",TRIM(INDEX(Mapping!$C$1:$C$504,J547)),"")</f>
        <v/>
      </c>
      <c r="M547" s="6">
        <f>IF(C547="","",IF(SUMPRODUCT(($C$12:C547=C547)*1)=1,1,0))</f>
        <v/>
      </c>
      <c r="N547" s="6">
        <f>IF(AND(K547="UNMAPPED",M547=1),ROW(),"")</f>
        <v/>
      </c>
      <c r="O547" s="6">
        <f>IF(AND(I547=1,M547=1),ROW(),"")</f>
        <v/>
      </c>
      <c r="P547" s="6">
        <f>IF(AND(K547="ignored",M547=1),ROW(),"")</f>
        <v/>
      </c>
    </row>
    <row r="548">
      <c r="A548" s="8" t="n"/>
      <c r="B548" s="8" t="n"/>
      <c r="C548" s="6">
        <f>TRIM(A548&amp;"")</f>
        <v/>
      </c>
      <c r="D548" s="6">
        <f>IF(C548="","",SUBSTITUTE(SUBSTITUTE(SUBSTITUTE(SUBSTITUTE(SUBSTITUTE(SUBSTITUTE(SUBSTITUTE(UPPER(TRIM(B548&amp;"")),"₹",""),"RS.",""),"RS",""),"INR",""),"$",""),",","")," ",""))</f>
        <v/>
      </c>
      <c r="E548" s="6">
        <f>IF(C548="","",IF(RIGHT(D548,2)="CR","Cr",IF(RIGHT(D548,2)="DR","Dr","")))</f>
        <v/>
      </c>
      <c r="F548" s="6">
        <f>IF(C548="","",IF(E548&lt;&gt;"",LEFT(D548,LEN(D548)-2),D548))</f>
        <v/>
      </c>
      <c r="G548" s="13">
        <f>IF(C548="","",IF(OR(IF(AND(LEFT(F548,1)="(",RIGHT(F548,1)=")"),MID(F548,2,LEN(F548)-2),F548)="",IF(AND(LEFT(F548,1)="(",RIGHT(F548,1)=")"),MID(F548,2,LEN(F548)-2),F548)="-"),0,IFERROR(VALUE(IF(AND(LEFT(F548,1)="(",RIGHT(F548,1)=")"),MID(F548,2,LEN(F548)-2),F548))*IF(AND(LEFT(F548,1)="(",RIGHT(F548,1)=")"),-1,1)*IF(E548="Cr",Setup!$B$6,1),"ERR")))</f>
        <v/>
      </c>
      <c r="H548" s="6">
        <f>IF(C548="","",IF(ISNUMBER(G548),1,0))</f>
        <v/>
      </c>
      <c r="I548" s="6">
        <f>IF(C548="","",IF(SUMPRODUCT(($C$12:$C$1511=C548)*1)&gt;1,1,0))</f>
        <v/>
      </c>
      <c r="J548" s="6">
        <f>IF(C548="","",SUMPRODUCT((Mapping!$F$5:$F$504=Setup!$B$4&amp;"||"&amp;C548)*ROW(Mapping!$F$5:$F$504)))</f>
        <v/>
      </c>
      <c r="K548" s="6">
        <f>IF(C548="","",IF(J548=0,"UNMAPPED",LOWER(INDEX(Mapping!$D$1:$D$504,J548))))</f>
        <v/>
      </c>
      <c r="L548" s="6">
        <f>IF(K548="mapped",TRIM(INDEX(Mapping!$C$1:$C$504,J548)),"")</f>
        <v/>
      </c>
      <c r="M548" s="6">
        <f>IF(C548="","",IF(SUMPRODUCT(($C$12:C548=C548)*1)=1,1,0))</f>
        <v/>
      </c>
      <c r="N548" s="6">
        <f>IF(AND(K548="UNMAPPED",M548=1),ROW(),"")</f>
        <v/>
      </c>
      <c r="O548" s="6">
        <f>IF(AND(I548=1,M548=1),ROW(),"")</f>
        <v/>
      </c>
      <c r="P548" s="6">
        <f>IF(AND(K548="ignored",M548=1),ROW(),"")</f>
        <v/>
      </c>
    </row>
    <row r="549">
      <c r="A549" s="8" t="n"/>
      <c r="B549" s="8" t="n"/>
      <c r="C549" s="6">
        <f>TRIM(A549&amp;"")</f>
        <v/>
      </c>
      <c r="D549" s="6">
        <f>IF(C549="","",SUBSTITUTE(SUBSTITUTE(SUBSTITUTE(SUBSTITUTE(SUBSTITUTE(SUBSTITUTE(SUBSTITUTE(UPPER(TRIM(B549&amp;"")),"₹",""),"RS.",""),"RS",""),"INR",""),"$",""),",","")," ",""))</f>
        <v/>
      </c>
      <c r="E549" s="6">
        <f>IF(C549="","",IF(RIGHT(D549,2)="CR","Cr",IF(RIGHT(D549,2)="DR","Dr","")))</f>
        <v/>
      </c>
      <c r="F549" s="6">
        <f>IF(C549="","",IF(E549&lt;&gt;"",LEFT(D549,LEN(D549)-2),D549))</f>
        <v/>
      </c>
      <c r="G549" s="13">
        <f>IF(C549="","",IF(OR(IF(AND(LEFT(F549,1)="(",RIGHT(F549,1)=")"),MID(F549,2,LEN(F549)-2),F549)="",IF(AND(LEFT(F549,1)="(",RIGHT(F549,1)=")"),MID(F549,2,LEN(F549)-2),F549)="-"),0,IFERROR(VALUE(IF(AND(LEFT(F549,1)="(",RIGHT(F549,1)=")"),MID(F549,2,LEN(F549)-2),F549))*IF(AND(LEFT(F549,1)="(",RIGHT(F549,1)=")"),-1,1)*IF(E549="Cr",Setup!$B$6,1),"ERR")))</f>
        <v/>
      </c>
      <c r="H549" s="6">
        <f>IF(C549="","",IF(ISNUMBER(G549),1,0))</f>
        <v/>
      </c>
      <c r="I549" s="6">
        <f>IF(C549="","",IF(SUMPRODUCT(($C$12:$C$1511=C549)*1)&gt;1,1,0))</f>
        <v/>
      </c>
      <c r="J549" s="6">
        <f>IF(C549="","",SUMPRODUCT((Mapping!$F$5:$F$504=Setup!$B$4&amp;"||"&amp;C549)*ROW(Mapping!$F$5:$F$504)))</f>
        <v/>
      </c>
      <c r="K549" s="6">
        <f>IF(C549="","",IF(J549=0,"UNMAPPED",LOWER(INDEX(Mapping!$D$1:$D$504,J549))))</f>
        <v/>
      </c>
      <c r="L549" s="6">
        <f>IF(K549="mapped",TRIM(INDEX(Mapping!$C$1:$C$504,J549)),"")</f>
        <v/>
      </c>
      <c r="M549" s="6">
        <f>IF(C549="","",IF(SUMPRODUCT(($C$12:C549=C549)*1)=1,1,0))</f>
        <v/>
      </c>
      <c r="N549" s="6">
        <f>IF(AND(K549="UNMAPPED",M549=1),ROW(),"")</f>
        <v/>
      </c>
      <c r="O549" s="6">
        <f>IF(AND(I549=1,M549=1),ROW(),"")</f>
        <v/>
      </c>
      <c r="P549" s="6">
        <f>IF(AND(K549="ignored",M549=1),ROW(),"")</f>
        <v/>
      </c>
    </row>
    <row r="550">
      <c r="A550" s="8" t="n"/>
      <c r="B550" s="8" t="n"/>
      <c r="C550" s="6">
        <f>TRIM(A550&amp;"")</f>
        <v/>
      </c>
      <c r="D550" s="6">
        <f>IF(C550="","",SUBSTITUTE(SUBSTITUTE(SUBSTITUTE(SUBSTITUTE(SUBSTITUTE(SUBSTITUTE(SUBSTITUTE(UPPER(TRIM(B550&amp;"")),"₹",""),"RS.",""),"RS",""),"INR",""),"$",""),",","")," ",""))</f>
        <v/>
      </c>
      <c r="E550" s="6">
        <f>IF(C550="","",IF(RIGHT(D550,2)="CR","Cr",IF(RIGHT(D550,2)="DR","Dr","")))</f>
        <v/>
      </c>
      <c r="F550" s="6">
        <f>IF(C550="","",IF(E550&lt;&gt;"",LEFT(D550,LEN(D550)-2),D550))</f>
        <v/>
      </c>
      <c r="G550" s="13">
        <f>IF(C550="","",IF(OR(IF(AND(LEFT(F550,1)="(",RIGHT(F550,1)=")"),MID(F550,2,LEN(F550)-2),F550)="",IF(AND(LEFT(F550,1)="(",RIGHT(F550,1)=")"),MID(F550,2,LEN(F550)-2),F550)="-"),0,IFERROR(VALUE(IF(AND(LEFT(F550,1)="(",RIGHT(F550,1)=")"),MID(F550,2,LEN(F550)-2),F550))*IF(AND(LEFT(F550,1)="(",RIGHT(F550,1)=")"),-1,1)*IF(E550="Cr",Setup!$B$6,1),"ERR")))</f>
        <v/>
      </c>
      <c r="H550" s="6">
        <f>IF(C550="","",IF(ISNUMBER(G550),1,0))</f>
        <v/>
      </c>
      <c r="I550" s="6">
        <f>IF(C550="","",IF(SUMPRODUCT(($C$12:$C$1511=C550)*1)&gt;1,1,0))</f>
        <v/>
      </c>
      <c r="J550" s="6">
        <f>IF(C550="","",SUMPRODUCT((Mapping!$F$5:$F$504=Setup!$B$4&amp;"||"&amp;C550)*ROW(Mapping!$F$5:$F$504)))</f>
        <v/>
      </c>
      <c r="K550" s="6">
        <f>IF(C550="","",IF(J550=0,"UNMAPPED",LOWER(INDEX(Mapping!$D$1:$D$504,J550))))</f>
        <v/>
      </c>
      <c r="L550" s="6">
        <f>IF(K550="mapped",TRIM(INDEX(Mapping!$C$1:$C$504,J550)),"")</f>
        <v/>
      </c>
      <c r="M550" s="6">
        <f>IF(C550="","",IF(SUMPRODUCT(($C$12:C550=C550)*1)=1,1,0))</f>
        <v/>
      </c>
      <c r="N550" s="6">
        <f>IF(AND(K550="UNMAPPED",M550=1),ROW(),"")</f>
        <v/>
      </c>
      <c r="O550" s="6">
        <f>IF(AND(I550=1,M550=1),ROW(),"")</f>
        <v/>
      </c>
      <c r="P550" s="6">
        <f>IF(AND(K550="ignored",M550=1),ROW(),"")</f>
        <v/>
      </c>
    </row>
    <row r="551">
      <c r="A551" s="8" t="n"/>
      <c r="B551" s="8" t="n"/>
      <c r="C551" s="6">
        <f>TRIM(A551&amp;"")</f>
        <v/>
      </c>
      <c r="D551" s="6">
        <f>IF(C551="","",SUBSTITUTE(SUBSTITUTE(SUBSTITUTE(SUBSTITUTE(SUBSTITUTE(SUBSTITUTE(SUBSTITUTE(UPPER(TRIM(B551&amp;"")),"₹",""),"RS.",""),"RS",""),"INR",""),"$",""),",","")," ",""))</f>
        <v/>
      </c>
      <c r="E551" s="6">
        <f>IF(C551="","",IF(RIGHT(D551,2)="CR","Cr",IF(RIGHT(D551,2)="DR","Dr","")))</f>
        <v/>
      </c>
      <c r="F551" s="6">
        <f>IF(C551="","",IF(E551&lt;&gt;"",LEFT(D551,LEN(D551)-2),D551))</f>
        <v/>
      </c>
      <c r="G551" s="13">
        <f>IF(C551="","",IF(OR(IF(AND(LEFT(F551,1)="(",RIGHT(F551,1)=")"),MID(F551,2,LEN(F551)-2),F551)="",IF(AND(LEFT(F551,1)="(",RIGHT(F551,1)=")"),MID(F551,2,LEN(F551)-2),F551)="-"),0,IFERROR(VALUE(IF(AND(LEFT(F551,1)="(",RIGHT(F551,1)=")"),MID(F551,2,LEN(F551)-2),F551))*IF(AND(LEFT(F551,1)="(",RIGHT(F551,1)=")"),-1,1)*IF(E551="Cr",Setup!$B$6,1),"ERR")))</f>
        <v/>
      </c>
      <c r="H551" s="6">
        <f>IF(C551="","",IF(ISNUMBER(G551),1,0))</f>
        <v/>
      </c>
      <c r="I551" s="6">
        <f>IF(C551="","",IF(SUMPRODUCT(($C$12:$C$1511=C551)*1)&gt;1,1,0))</f>
        <v/>
      </c>
      <c r="J551" s="6">
        <f>IF(C551="","",SUMPRODUCT((Mapping!$F$5:$F$504=Setup!$B$4&amp;"||"&amp;C551)*ROW(Mapping!$F$5:$F$504)))</f>
        <v/>
      </c>
      <c r="K551" s="6">
        <f>IF(C551="","",IF(J551=0,"UNMAPPED",LOWER(INDEX(Mapping!$D$1:$D$504,J551))))</f>
        <v/>
      </c>
      <c r="L551" s="6">
        <f>IF(K551="mapped",TRIM(INDEX(Mapping!$C$1:$C$504,J551)),"")</f>
        <v/>
      </c>
      <c r="M551" s="6">
        <f>IF(C551="","",IF(SUMPRODUCT(($C$12:C551=C551)*1)=1,1,0))</f>
        <v/>
      </c>
      <c r="N551" s="6">
        <f>IF(AND(K551="UNMAPPED",M551=1),ROW(),"")</f>
        <v/>
      </c>
      <c r="O551" s="6">
        <f>IF(AND(I551=1,M551=1),ROW(),"")</f>
        <v/>
      </c>
      <c r="P551" s="6">
        <f>IF(AND(K551="ignored",M551=1),ROW(),"")</f>
        <v/>
      </c>
    </row>
    <row r="552">
      <c r="A552" s="8" t="n"/>
      <c r="B552" s="8" t="n"/>
      <c r="C552" s="6">
        <f>TRIM(A552&amp;"")</f>
        <v/>
      </c>
      <c r="D552" s="6">
        <f>IF(C552="","",SUBSTITUTE(SUBSTITUTE(SUBSTITUTE(SUBSTITUTE(SUBSTITUTE(SUBSTITUTE(SUBSTITUTE(UPPER(TRIM(B552&amp;"")),"₹",""),"RS.",""),"RS",""),"INR",""),"$",""),",","")," ",""))</f>
        <v/>
      </c>
      <c r="E552" s="6">
        <f>IF(C552="","",IF(RIGHT(D552,2)="CR","Cr",IF(RIGHT(D552,2)="DR","Dr","")))</f>
        <v/>
      </c>
      <c r="F552" s="6">
        <f>IF(C552="","",IF(E552&lt;&gt;"",LEFT(D552,LEN(D552)-2),D552))</f>
        <v/>
      </c>
      <c r="G552" s="13">
        <f>IF(C552="","",IF(OR(IF(AND(LEFT(F552,1)="(",RIGHT(F552,1)=")"),MID(F552,2,LEN(F552)-2),F552)="",IF(AND(LEFT(F552,1)="(",RIGHT(F552,1)=")"),MID(F552,2,LEN(F552)-2),F552)="-"),0,IFERROR(VALUE(IF(AND(LEFT(F552,1)="(",RIGHT(F552,1)=")"),MID(F552,2,LEN(F552)-2),F552))*IF(AND(LEFT(F552,1)="(",RIGHT(F552,1)=")"),-1,1)*IF(E552="Cr",Setup!$B$6,1),"ERR")))</f>
        <v/>
      </c>
      <c r="H552" s="6">
        <f>IF(C552="","",IF(ISNUMBER(G552),1,0))</f>
        <v/>
      </c>
      <c r="I552" s="6">
        <f>IF(C552="","",IF(SUMPRODUCT(($C$12:$C$1511=C552)*1)&gt;1,1,0))</f>
        <v/>
      </c>
      <c r="J552" s="6">
        <f>IF(C552="","",SUMPRODUCT((Mapping!$F$5:$F$504=Setup!$B$4&amp;"||"&amp;C552)*ROW(Mapping!$F$5:$F$504)))</f>
        <v/>
      </c>
      <c r="K552" s="6">
        <f>IF(C552="","",IF(J552=0,"UNMAPPED",LOWER(INDEX(Mapping!$D$1:$D$504,J552))))</f>
        <v/>
      </c>
      <c r="L552" s="6">
        <f>IF(K552="mapped",TRIM(INDEX(Mapping!$C$1:$C$504,J552)),"")</f>
        <v/>
      </c>
      <c r="M552" s="6">
        <f>IF(C552="","",IF(SUMPRODUCT(($C$12:C552=C552)*1)=1,1,0))</f>
        <v/>
      </c>
      <c r="N552" s="6">
        <f>IF(AND(K552="UNMAPPED",M552=1),ROW(),"")</f>
        <v/>
      </c>
      <c r="O552" s="6">
        <f>IF(AND(I552=1,M552=1),ROW(),"")</f>
        <v/>
      </c>
      <c r="P552" s="6">
        <f>IF(AND(K552="ignored",M552=1),ROW(),"")</f>
        <v/>
      </c>
    </row>
    <row r="553">
      <c r="A553" s="8" t="n"/>
      <c r="B553" s="8" t="n"/>
      <c r="C553" s="6">
        <f>TRIM(A553&amp;"")</f>
        <v/>
      </c>
      <c r="D553" s="6">
        <f>IF(C553="","",SUBSTITUTE(SUBSTITUTE(SUBSTITUTE(SUBSTITUTE(SUBSTITUTE(SUBSTITUTE(SUBSTITUTE(UPPER(TRIM(B553&amp;"")),"₹",""),"RS.",""),"RS",""),"INR",""),"$",""),",","")," ",""))</f>
        <v/>
      </c>
      <c r="E553" s="6">
        <f>IF(C553="","",IF(RIGHT(D553,2)="CR","Cr",IF(RIGHT(D553,2)="DR","Dr","")))</f>
        <v/>
      </c>
      <c r="F553" s="6">
        <f>IF(C553="","",IF(E553&lt;&gt;"",LEFT(D553,LEN(D553)-2),D553))</f>
        <v/>
      </c>
      <c r="G553" s="13">
        <f>IF(C553="","",IF(OR(IF(AND(LEFT(F553,1)="(",RIGHT(F553,1)=")"),MID(F553,2,LEN(F553)-2),F553)="",IF(AND(LEFT(F553,1)="(",RIGHT(F553,1)=")"),MID(F553,2,LEN(F553)-2),F553)="-"),0,IFERROR(VALUE(IF(AND(LEFT(F553,1)="(",RIGHT(F553,1)=")"),MID(F553,2,LEN(F553)-2),F553))*IF(AND(LEFT(F553,1)="(",RIGHT(F553,1)=")"),-1,1)*IF(E553="Cr",Setup!$B$6,1),"ERR")))</f>
        <v/>
      </c>
      <c r="H553" s="6">
        <f>IF(C553="","",IF(ISNUMBER(G553),1,0))</f>
        <v/>
      </c>
      <c r="I553" s="6">
        <f>IF(C553="","",IF(SUMPRODUCT(($C$12:$C$1511=C553)*1)&gt;1,1,0))</f>
        <v/>
      </c>
      <c r="J553" s="6">
        <f>IF(C553="","",SUMPRODUCT((Mapping!$F$5:$F$504=Setup!$B$4&amp;"||"&amp;C553)*ROW(Mapping!$F$5:$F$504)))</f>
        <v/>
      </c>
      <c r="K553" s="6">
        <f>IF(C553="","",IF(J553=0,"UNMAPPED",LOWER(INDEX(Mapping!$D$1:$D$504,J553))))</f>
        <v/>
      </c>
      <c r="L553" s="6">
        <f>IF(K553="mapped",TRIM(INDEX(Mapping!$C$1:$C$504,J553)),"")</f>
        <v/>
      </c>
      <c r="M553" s="6">
        <f>IF(C553="","",IF(SUMPRODUCT(($C$12:C553=C553)*1)=1,1,0))</f>
        <v/>
      </c>
      <c r="N553" s="6">
        <f>IF(AND(K553="UNMAPPED",M553=1),ROW(),"")</f>
        <v/>
      </c>
      <c r="O553" s="6">
        <f>IF(AND(I553=1,M553=1),ROW(),"")</f>
        <v/>
      </c>
      <c r="P553" s="6">
        <f>IF(AND(K553="ignored",M553=1),ROW(),"")</f>
        <v/>
      </c>
    </row>
    <row r="554">
      <c r="A554" s="8" t="n"/>
      <c r="B554" s="8" t="n"/>
      <c r="C554" s="6">
        <f>TRIM(A554&amp;"")</f>
        <v/>
      </c>
      <c r="D554" s="6">
        <f>IF(C554="","",SUBSTITUTE(SUBSTITUTE(SUBSTITUTE(SUBSTITUTE(SUBSTITUTE(SUBSTITUTE(SUBSTITUTE(UPPER(TRIM(B554&amp;"")),"₹",""),"RS.",""),"RS",""),"INR",""),"$",""),",","")," ",""))</f>
        <v/>
      </c>
      <c r="E554" s="6">
        <f>IF(C554="","",IF(RIGHT(D554,2)="CR","Cr",IF(RIGHT(D554,2)="DR","Dr","")))</f>
        <v/>
      </c>
      <c r="F554" s="6">
        <f>IF(C554="","",IF(E554&lt;&gt;"",LEFT(D554,LEN(D554)-2),D554))</f>
        <v/>
      </c>
      <c r="G554" s="13">
        <f>IF(C554="","",IF(OR(IF(AND(LEFT(F554,1)="(",RIGHT(F554,1)=")"),MID(F554,2,LEN(F554)-2),F554)="",IF(AND(LEFT(F554,1)="(",RIGHT(F554,1)=")"),MID(F554,2,LEN(F554)-2),F554)="-"),0,IFERROR(VALUE(IF(AND(LEFT(F554,1)="(",RIGHT(F554,1)=")"),MID(F554,2,LEN(F554)-2),F554))*IF(AND(LEFT(F554,1)="(",RIGHT(F554,1)=")"),-1,1)*IF(E554="Cr",Setup!$B$6,1),"ERR")))</f>
        <v/>
      </c>
      <c r="H554" s="6">
        <f>IF(C554="","",IF(ISNUMBER(G554),1,0))</f>
        <v/>
      </c>
      <c r="I554" s="6">
        <f>IF(C554="","",IF(SUMPRODUCT(($C$12:$C$1511=C554)*1)&gt;1,1,0))</f>
        <v/>
      </c>
      <c r="J554" s="6">
        <f>IF(C554="","",SUMPRODUCT((Mapping!$F$5:$F$504=Setup!$B$4&amp;"||"&amp;C554)*ROW(Mapping!$F$5:$F$504)))</f>
        <v/>
      </c>
      <c r="K554" s="6">
        <f>IF(C554="","",IF(J554=0,"UNMAPPED",LOWER(INDEX(Mapping!$D$1:$D$504,J554))))</f>
        <v/>
      </c>
      <c r="L554" s="6">
        <f>IF(K554="mapped",TRIM(INDEX(Mapping!$C$1:$C$504,J554)),"")</f>
        <v/>
      </c>
      <c r="M554" s="6">
        <f>IF(C554="","",IF(SUMPRODUCT(($C$12:C554=C554)*1)=1,1,0))</f>
        <v/>
      </c>
      <c r="N554" s="6">
        <f>IF(AND(K554="UNMAPPED",M554=1),ROW(),"")</f>
        <v/>
      </c>
      <c r="O554" s="6">
        <f>IF(AND(I554=1,M554=1),ROW(),"")</f>
        <v/>
      </c>
      <c r="P554" s="6">
        <f>IF(AND(K554="ignored",M554=1),ROW(),"")</f>
        <v/>
      </c>
    </row>
    <row r="555">
      <c r="A555" s="8" t="n"/>
      <c r="B555" s="8" t="n"/>
      <c r="C555" s="6">
        <f>TRIM(A555&amp;"")</f>
        <v/>
      </c>
      <c r="D555" s="6">
        <f>IF(C555="","",SUBSTITUTE(SUBSTITUTE(SUBSTITUTE(SUBSTITUTE(SUBSTITUTE(SUBSTITUTE(SUBSTITUTE(UPPER(TRIM(B555&amp;"")),"₹",""),"RS.",""),"RS",""),"INR",""),"$",""),",","")," ",""))</f>
        <v/>
      </c>
      <c r="E555" s="6">
        <f>IF(C555="","",IF(RIGHT(D555,2)="CR","Cr",IF(RIGHT(D555,2)="DR","Dr","")))</f>
        <v/>
      </c>
      <c r="F555" s="6">
        <f>IF(C555="","",IF(E555&lt;&gt;"",LEFT(D555,LEN(D555)-2),D555))</f>
        <v/>
      </c>
      <c r="G555" s="13">
        <f>IF(C555="","",IF(OR(IF(AND(LEFT(F555,1)="(",RIGHT(F555,1)=")"),MID(F555,2,LEN(F555)-2),F555)="",IF(AND(LEFT(F555,1)="(",RIGHT(F555,1)=")"),MID(F555,2,LEN(F555)-2),F555)="-"),0,IFERROR(VALUE(IF(AND(LEFT(F555,1)="(",RIGHT(F555,1)=")"),MID(F555,2,LEN(F555)-2),F555))*IF(AND(LEFT(F555,1)="(",RIGHT(F555,1)=")"),-1,1)*IF(E555="Cr",Setup!$B$6,1),"ERR")))</f>
        <v/>
      </c>
      <c r="H555" s="6">
        <f>IF(C555="","",IF(ISNUMBER(G555),1,0))</f>
        <v/>
      </c>
      <c r="I555" s="6">
        <f>IF(C555="","",IF(SUMPRODUCT(($C$12:$C$1511=C555)*1)&gt;1,1,0))</f>
        <v/>
      </c>
      <c r="J555" s="6">
        <f>IF(C555="","",SUMPRODUCT((Mapping!$F$5:$F$504=Setup!$B$4&amp;"||"&amp;C555)*ROW(Mapping!$F$5:$F$504)))</f>
        <v/>
      </c>
      <c r="K555" s="6">
        <f>IF(C555="","",IF(J555=0,"UNMAPPED",LOWER(INDEX(Mapping!$D$1:$D$504,J555))))</f>
        <v/>
      </c>
      <c r="L555" s="6">
        <f>IF(K555="mapped",TRIM(INDEX(Mapping!$C$1:$C$504,J555)),"")</f>
        <v/>
      </c>
      <c r="M555" s="6">
        <f>IF(C555="","",IF(SUMPRODUCT(($C$12:C555=C555)*1)=1,1,0))</f>
        <v/>
      </c>
      <c r="N555" s="6">
        <f>IF(AND(K555="UNMAPPED",M555=1),ROW(),"")</f>
        <v/>
      </c>
      <c r="O555" s="6">
        <f>IF(AND(I555=1,M555=1),ROW(),"")</f>
        <v/>
      </c>
      <c r="P555" s="6">
        <f>IF(AND(K555="ignored",M555=1),ROW(),"")</f>
        <v/>
      </c>
    </row>
    <row r="556">
      <c r="A556" s="8" t="n"/>
      <c r="B556" s="8" t="n"/>
      <c r="C556" s="6">
        <f>TRIM(A556&amp;"")</f>
        <v/>
      </c>
      <c r="D556" s="6">
        <f>IF(C556="","",SUBSTITUTE(SUBSTITUTE(SUBSTITUTE(SUBSTITUTE(SUBSTITUTE(SUBSTITUTE(SUBSTITUTE(UPPER(TRIM(B556&amp;"")),"₹",""),"RS.",""),"RS",""),"INR",""),"$",""),",","")," ",""))</f>
        <v/>
      </c>
      <c r="E556" s="6">
        <f>IF(C556="","",IF(RIGHT(D556,2)="CR","Cr",IF(RIGHT(D556,2)="DR","Dr","")))</f>
        <v/>
      </c>
      <c r="F556" s="6">
        <f>IF(C556="","",IF(E556&lt;&gt;"",LEFT(D556,LEN(D556)-2),D556))</f>
        <v/>
      </c>
      <c r="G556" s="13">
        <f>IF(C556="","",IF(OR(IF(AND(LEFT(F556,1)="(",RIGHT(F556,1)=")"),MID(F556,2,LEN(F556)-2),F556)="",IF(AND(LEFT(F556,1)="(",RIGHT(F556,1)=")"),MID(F556,2,LEN(F556)-2),F556)="-"),0,IFERROR(VALUE(IF(AND(LEFT(F556,1)="(",RIGHT(F556,1)=")"),MID(F556,2,LEN(F556)-2),F556))*IF(AND(LEFT(F556,1)="(",RIGHT(F556,1)=")"),-1,1)*IF(E556="Cr",Setup!$B$6,1),"ERR")))</f>
        <v/>
      </c>
      <c r="H556" s="6">
        <f>IF(C556="","",IF(ISNUMBER(G556),1,0))</f>
        <v/>
      </c>
      <c r="I556" s="6">
        <f>IF(C556="","",IF(SUMPRODUCT(($C$12:$C$1511=C556)*1)&gt;1,1,0))</f>
        <v/>
      </c>
      <c r="J556" s="6">
        <f>IF(C556="","",SUMPRODUCT((Mapping!$F$5:$F$504=Setup!$B$4&amp;"||"&amp;C556)*ROW(Mapping!$F$5:$F$504)))</f>
        <v/>
      </c>
      <c r="K556" s="6">
        <f>IF(C556="","",IF(J556=0,"UNMAPPED",LOWER(INDEX(Mapping!$D$1:$D$504,J556))))</f>
        <v/>
      </c>
      <c r="L556" s="6">
        <f>IF(K556="mapped",TRIM(INDEX(Mapping!$C$1:$C$504,J556)),"")</f>
        <v/>
      </c>
      <c r="M556" s="6">
        <f>IF(C556="","",IF(SUMPRODUCT(($C$12:C556=C556)*1)=1,1,0))</f>
        <v/>
      </c>
      <c r="N556" s="6">
        <f>IF(AND(K556="UNMAPPED",M556=1),ROW(),"")</f>
        <v/>
      </c>
      <c r="O556" s="6">
        <f>IF(AND(I556=1,M556=1),ROW(),"")</f>
        <v/>
      </c>
      <c r="P556" s="6">
        <f>IF(AND(K556="ignored",M556=1),ROW(),"")</f>
        <v/>
      </c>
    </row>
    <row r="557">
      <c r="A557" s="8" t="n"/>
      <c r="B557" s="8" t="n"/>
      <c r="C557" s="6">
        <f>TRIM(A557&amp;"")</f>
        <v/>
      </c>
      <c r="D557" s="6">
        <f>IF(C557="","",SUBSTITUTE(SUBSTITUTE(SUBSTITUTE(SUBSTITUTE(SUBSTITUTE(SUBSTITUTE(SUBSTITUTE(UPPER(TRIM(B557&amp;"")),"₹",""),"RS.",""),"RS",""),"INR",""),"$",""),",","")," ",""))</f>
        <v/>
      </c>
      <c r="E557" s="6">
        <f>IF(C557="","",IF(RIGHT(D557,2)="CR","Cr",IF(RIGHT(D557,2)="DR","Dr","")))</f>
        <v/>
      </c>
      <c r="F557" s="6">
        <f>IF(C557="","",IF(E557&lt;&gt;"",LEFT(D557,LEN(D557)-2),D557))</f>
        <v/>
      </c>
      <c r="G557" s="13">
        <f>IF(C557="","",IF(OR(IF(AND(LEFT(F557,1)="(",RIGHT(F557,1)=")"),MID(F557,2,LEN(F557)-2),F557)="",IF(AND(LEFT(F557,1)="(",RIGHT(F557,1)=")"),MID(F557,2,LEN(F557)-2),F557)="-"),0,IFERROR(VALUE(IF(AND(LEFT(F557,1)="(",RIGHT(F557,1)=")"),MID(F557,2,LEN(F557)-2),F557))*IF(AND(LEFT(F557,1)="(",RIGHT(F557,1)=")"),-1,1)*IF(E557="Cr",Setup!$B$6,1),"ERR")))</f>
        <v/>
      </c>
      <c r="H557" s="6">
        <f>IF(C557="","",IF(ISNUMBER(G557),1,0))</f>
        <v/>
      </c>
      <c r="I557" s="6">
        <f>IF(C557="","",IF(SUMPRODUCT(($C$12:$C$1511=C557)*1)&gt;1,1,0))</f>
        <v/>
      </c>
      <c r="J557" s="6">
        <f>IF(C557="","",SUMPRODUCT((Mapping!$F$5:$F$504=Setup!$B$4&amp;"||"&amp;C557)*ROW(Mapping!$F$5:$F$504)))</f>
        <v/>
      </c>
      <c r="K557" s="6">
        <f>IF(C557="","",IF(J557=0,"UNMAPPED",LOWER(INDEX(Mapping!$D$1:$D$504,J557))))</f>
        <v/>
      </c>
      <c r="L557" s="6">
        <f>IF(K557="mapped",TRIM(INDEX(Mapping!$C$1:$C$504,J557)),"")</f>
        <v/>
      </c>
      <c r="M557" s="6">
        <f>IF(C557="","",IF(SUMPRODUCT(($C$12:C557=C557)*1)=1,1,0))</f>
        <v/>
      </c>
      <c r="N557" s="6">
        <f>IF(AND(K557="UNMAPPED",M557=1),ROW(),"")</f>
        <v/>
      </c>
      <c r="O557" s="6">
        <f>IF(AND(I557=1,M557=1),ROW(),"")</f>
        <v/>
      </c>
      <c r="P557" s="6">
        <f>IF(AND(K557="ignored",M557=1),ROW(),"")</f>
        <v/>
      </c>
    </row>
    <row r="558">
      <c r="A558" s="8" t="n"/>
      <c r="B558" s="8" t="n"/>
      <c r="C558" s="6">
        <f>TRIM(A558&amp;"")</f>
        <v/>
      </c>
      <c r="D558" s="6">
        <f>IF(C558="","",SUBSTITUTE(SUBSTITUTE(SUBSTITUTE(SUBSTITUTE(SUBSTITUTE(SUBSTITUTE(SUBSTITUTE(UPPER(TRIM(B558&amp;"")),"₹",""),"RS.",""),"RS",""),"INR",""),"$",""),",","")," ",""))</f>
        <v/>
      </c>
      <c r="E558" s="6">
        <f>IF(C558="","",IF(RIGHT(D558,2)="CR","Cr",IF(RIGHT(D558,2)="DR","Dr","")))</f>
        <v/>
      </c>
      <c r="F558" s="6">
        <f>IF(C558="","",IF(E558&lt;&gt;"",LEFT(D558,LEN(D558)-2),D558))</f>
        <v/>
      </c>
      <c r="G558" s="13">
        <f>IF(C558="","",IF(OR(IF(AND(LEFT(F558,1)="(",RIGHT(F558,1)=")"),MID(F558,2,LEN(F558)-2),F558)="",IF(AND(LEFT(F558,1)="(",RIGHT(F558,1)=")"),MID(F558,2,LEN(F558)-2),F558)="-"),0,IFERROR(VALUE(IF(AND(LEFT(F558,1)="(",RIGHT(F558,1)=")"),MID(F558,2,LEN(F558)-2),F558))*IF(AND(LEFT(F558,1)="(",RIGHT(F558,1)=")"),-1,1)*IF(E558="Cr",Setup!$B$6,1),"ERR")))</f>
        <v/>
      </c>
      <c r="H558" s="6">
        <f>IF(C558="","",IF(ISNUMBER(G558),1,0))</f>
        <v/>
      </c>
      <c r="I558" s="6">
        <f>IF(C558="","",IF(SUMPRODUCT(($C$12:$C$1511=C558)*1)&gt;1,1,0))</f>
        <v/>
      </c>
      <c r="J558" s="6">
        <f>IF(C558="","",SUMPRODUCT((Mapping!$F$5:$F$504=Setup!$B$4&amp;"||"&amp;C558)*ROW(Mapping!$F$5:$F$504)))</f>
        <v/>
      </c>
      <c r="K558" s="6">
        <f>IF(C558="","",IF(J558=0,"UNMAPPED",LOWER(INDEX(Mapping!$D$1:$D$504,J558))))</f>
        <v/>
      </c>
      <c r="L558" s="6">
        <f>IF(K558="mapped",TRIM(INDEX(Mapping!$C$1:$C$504,J558)),"")</f>
        <v/>
      </c>
      <c r="M558" s="6">
        <f>IF(C558="","",IF(SUMPRODUCT(($C$12:C558=C558)*1)=1,1,0))</f>
        <v/>
      </c>
      <c r="N558" s="6">
        <f>IF(AND(K558="UNMAPPED",M558=1),ROW(),"")</f>
        <v/>
      </c>
      <c r="O558" s="6">
        <f>IF(AND(I558=1,M558=1),ROW(),"")</f>
        <v/>
      </c>
      <c r="P558" s="6">
        <f>IF(AND(K558="ignored",M558=1),ROW(),"")</f>
        <v/>
      </c>
    </row>
    <row r="559">
      <c r="A559" s="8" t="n"/>
      <c r="B559" s="8" t="n"/>
      <c r="C559" s="6">
        <f>TRIM(A559&amp;"")</f>
        <v/>
      </c>
      <c r="D559" s="6">
        <f>IF(C559="","",SUBSTITUTE(SUBSTITUTE(SUBSTITUTE(SUBSTITUTE(SUBSTITUTE(SUBSTITUTE(SUBSTITUTE(UPPER(TRIM(B559&amp;"")),"₹",""),"RS.",""),"RS",""),"INR",""),"$",""),",","")," ",""))</f>
        <v/>
      </c>
      <c r="E559" s="6">
        <f>IF(C559="","",IF(RIGHT(D559,2)="CR","Cr",IF(RIGHT(D559,2)="DR","Dr","")))</f>
        <v/>
      </c>
      <c r="F559" s="6">
        <f>IF(C559="","",IF(E559&lt;&gt;"",LEFT(D559,LEN(D559)-2),D559))</f>
        <v/>
      </c>
      <c r="G559" s="13">
        <f>IF(C559="","",IF(OR(IF(AND(LEFT(F559,1)="(",RIGHT(F559,1)=")"),MID(F559,2,LEN(F559)-2),F559)="",IF(AND(LEFT(F559,1)="(",RIGHT(F559,1)=")"),MID(F559,2,LEN(F559)-2),F559)="-"),0,IFERROR(VALUE(IF(AND(LEFT(F559,1)="(",RIGHT(F559,1)=")"),MID(F559,2,LEN(F559)-2),F559))*IF(AND(LEFT(F559,1)="(",RIGHT(F559,1)=")"),-1,1)*IF(E559="Cr",Setup!$B$6,1),"ERR")))</f>
        <v/>
      </c>
      <c r="H559" s="6">
        <f>IF(C559="","",IF(ISNUMBER(G559),1,0))</f>
        <v/>
      </c>
      <c r="I559" s="6">
        <f>IF(C559="","",IF(SUMPRODUCT(($C$12:$C$1511=C559)*1)&gt;1,1,0))</f>
        <v/>
      </c>
      <c r="J559" s="6">
        <f>IF(C559="","",SUMPRODUCT((Mapping!$F$5:$F$504=Setup!$B$4&amp;"||"&amp;C559)*ROW(Mapping!$F$5:$F$504)))</f>
        <v/>
      </c>
      <c r="K559" s="6">
        <f>IF(C559="","",IF(J559=0,"UNMAPPED",LOWER(INDEX(Mapping!$D$1:$D$504,J559))))</f>
        <v/>
      </c>
      <c r="L559" s="6">
        <f>IF(K559="mapped",TRIM(INDEX(Mapping!$C$1:$C$504,J559)),"")</f>
        <v/>
      </c>
      <c r="M559" s="6">
        <f>IF(C559="","",IF(SUMPRODUCT(($C$12:C559=C559)*1)=1,1,0))</f>
        <v/>
      </c>
      <c r="N559" s="6">
        <f>IF(AND(K559="UNMAPPED",M559=1),ROW(),"")</f>
        <v/>
      </c>
      <c r="O559" s="6">
        <f>IF(AND(I559=1,M559=1),ROW(),"")</f>
        <v/>
      </c>
      <c r="P559" s="6">
        <f>IF(AND(K559="ignored",M559=1),ROW(),"")</f>
        <v/>
      </c>
    </row>
    <row r="560">
      <c r="A560" s="8" t="n"/>
      <c r="B560" s="8" t="n"/>
      <c r="C560" s="6">
        <f>TRIM(A560&amp;"")</f>
        <v/>
      </c>
      <c r="D560" s="6">
        <f>IF(C560="","",SUBSTITUTE(SUBSTITUTE(SUBSTITUTE(SUBSTITUTE(SUBSTITUTE(SUBSTITUTE(SUBSTITUTE(UPPER(TRIM(B560&amp;"")),"₹",""),"RS.",""),"RS",""),"INR",""),"$",""),",","")," ",""))</f>
        <v/>
      </c>
      <c r="E560" s="6">
        <f>IF(C560="","",IF(RIGHT(D560,2)="CR","Cr",IF(RIGHT(D560,2)="DR","Dr","")))</f>
        <v/>
      </c>
      <c r="F560" s="6">
        <f>IF(C560="","",IF(E560&lt;&gt;"",LEFT(D560,LEN(D560)-2),D560))</f>
        <v/>
      </c>
      <c r="G560" s="13">
        <f>IF(C560="","",IF(OR(IF(AND(LEFT(F560,1)="(",RIGHT(F560,1)=")"),MID(F560,2,LEN(F560)-2),F560)="",IF(AND(LEFT(F560,1)="(",RIGHT(F560,1)=")"),MID(F560,2,LEN(F560)-2),F560)="-"),0,IFERROR(VALUE(IF(AND(LEFT(F560,1)="(",RIGHT(F560,1)=")"),MID(F560,2,LEN(F560)-2),F560))*IF(AND(LEFT(F560,1)="(",RIGHT(F560,1)=")"),-1,1)*IF(E560="Cr",Setup!$B$6,1),"ERR")))</f>
        <v/>
      </c>
      <c r="H560" s="6">
        <f>IF(C560="","",IF(ISNUMBER(G560),1,0))</f>
        <v/>
      </c>
      <c r="I560" s="6">
        <f>IF(C560="","",IF(SUMPRODUCT(($C$12:$C$1511=C560)*1)&gt;1,1,0))</f>
        <v/>
      </c>
      <c r="J560" s="6">
        <f>IF(C560="","",SUMPRODUCT((Mapping!$F$5:$F$504=Setup!$B$4&amp;"||"&amp;C560)*ROW(Mapping!$F$5:$F$504)))</f>
        <v/>
      </c>
      <c r="K560" s="6">
        <f>IF(C560="","",IF(J560=0,"UNMAPPED",LOWER(INDEX(Mapping!$D$1:$D$504,J560))))</f>
        <v/>
      </c>
      <c r="L560" s="6">
        <f>IF(K560="mapped",TRIM(INDEX(Mapping!$C$1:$C$504,J560)),"")</f>
        <v/>
      </c>
      <c r="M560" s="6">
        <f>IF(C560="","",IF(SUMPRODUCT(($C$12:C560=C560)*1)=1,1,0))</f>
        <v/>
      </c>
      <c r="N560" s="6">
        <f>IF(AND(K560="UNMAPPED",M560=1),ROW(),"")</f>
        <v/>
      </c>
      <c r="O560" s="6">
        <f>IF(AND(I560=1,M560=1),ROW(),"")</f>
        <v/>
      </c>
      <c r="P560" s="6">
        <f>IF(AND(K560="ignored",M560=1),ROW(),"")</f>
        <v/>
      </c>
    </row>
    <row r="561">
      <c r="A561" s="8" t="n"/>
      <c r="B561" s="8" t="n"/>
      <c r="C561" s="6">
        <f>TRIM(A561&amp;"")</f>
        <v/>
      </c>
      <c r="D561" s="6">
        <f>IF(C561="","",SUBSTITUTE(SUBSTITUTE(SUBSTITUTE(SUBSTITUTE(SUBSTITUTE(SUBSTITUTE(SUBSTITUTE(UPPER(TRIM(B561&amp;"")),"₹",""),"RS.",""),"RS",""),"INR",""),"$",""),",","")," ",""))</f>
        <v/>
      </c>
      <c r="E561" s="6">
        <f>IF(C561="","",IF(RIGHT(D561,2)="CR","Cr",IF(RIGHT(D561,2)="DR","Dr","")))</f>
        <v/>
      </c>
      <c r="F561" s="6">
        <f>IF(C561="","",IF(E561&lt;&gt;"",LEFT(D561,LEN(D561)-2),D561))</f>
        <v/>
      </c>
      <c r="G561" s="13">
        <f>IF(C561="","",IF(OR(IF(AND(LEFT(F561,1)="(",RIGHT(F561,1)=")"),MID(F561,2,LEN(F561)-2),F561)="",IF(AND(LEFT(F561,1)="(",RIGHT(F561,1)=")"),MID(F561,2,LEN(F561)-2),F561)="-"),0,IFERROR(VALUE(IF(AND(LEFT(F561,1)="(",RIGHT(F561,1)=")"),MID(F561,2,LEN(F561)-2),F561))*IF(AND(LEFT(F561,1)="(",RIGHT(F561,1)=")"),-1,1)*IF(E561="Cr",Setup!$B$6,1),"ERR")))</f>
        <v/>
      </c>
      <c r="H561" s="6">
        <f>IF(C561="","",IF(ISNUMBER(G561),1,0))</f>
        <v/>
      </c>
      <c r="I561" s="6">
        <f>IF(C561="","",IF(SUMPRODUCT(($C$12:$C$1511=C561)*1)&gt;1,1,0))</f>
        <v/>
      </c>
      <c r="J561" s="6">
        <f>IF(C561="","",SUMPRODUCT((Mapping!$F$5:$F$504=Setup!$B$4&amp;"||"&amp;C561)*ROW(Mapping!$F$5:$F$504)))</f>
        <v/>
      </c>
      <c r="K561" s="6">
        <f>IF(C561="","",IF(J561=0,"UNMAPPED",LOWER(INDEX(Mapping!$D$1:$D$504,J561))))</f>
        <v/>
      </c>
      <c r="L561" s="6">
        <f>IF(K561="mapped",TRIM(INDEX(Mapping!$C$1:$C$504,J561)),"")</f>
        <v/>
      </c>
      <c r="M561" s="6">
        <f>IF(C561="","",IF(SUMPRODUCT(($C$12:C561=C561)*1)=1,1,0))</f>
        <v/>
      </c>
      <c r="N561" s="6">
        <f>IF(AND(K561="UNMAPPED",M561=1),ROW(),"")</f>
        <v/>
      </c>
      <c r="O561" s="6">
        <f>IF(AND(I561=1,M561=1),ROW(),"")</f>
        <v/>
      </c>
      <c r="P561" s="6">
        <f>IF(AND(K561="ignored",M561=1),ROW(),"")</f>
        <v/>
      </c>
    </row>
    <row r="562">
      <c r="A562" s="8" t="n"/>
      <c r="B562" s="8" t="n"/>
      <c r="C562" s="6">
        <f>TRIM(A562&amp;"")</f>
        <v/>
      </c>
      <c r="D562" s="6">
        <f>IF(C562="","",SUBSTITUTE(SUBSTITUTE(SUBSTITUTE(SUBSTITUTE(SUBSTITUTE(SUBSTITUTE(SUBSTITUTE(UPPER(TRIM(B562&amp;"")),"₹",""),"RS.",""),"RS",""),"INR",""),"$",""),",","")," ",""))</f>
        <v/>
      </c>
      <c r="E562" s="6">
        <f>IF(C562="","",IF(RIGHT(D562,2)="CR","Cr",IF(RIGHT(D562,2)="DR","Dr","")))</f>
        <v/>
      </c>
      <c r="F562" s="6">
        <f>IF(C562="","",IF(E562&lt;&gt;"",LEFT(D562,LEN(D562)-2),D562))</f>
        <v/>
      </c>
      <c r="G562" s="13">
        <f>IF(C562="","",IF(OR(IF(AND(LEFT(F562,1)="(",RIGHT(F562,1)=")"),MID(F562,2,LEN(F562)-2),F562)="",IF(AND(LEFT(F562,1)="(",RIGHT(F562,1)=")"),MID(F562,2,LEN(F562)-2),F562)="-"),0,IFERROR(VALUE(IF(AND(LEFT(F562,1)="(",RIGHT(F562,1)=")"),MID(F562,2,LEN(F562)-2),F562))*IF(AND(LEFT(F562,1)="(",RIGHT(F562,1)=")"),-1,1)*IF(E562="Cr",Setup!$B$6,1),"ERR")))</f>
        <v/>
      </c>
      <c r="H562" s="6">
        <f>IF(C562="","",IF(ISNUMBER(G562),1,0))</f>
        <v/>
      </c>
      <c r="I562" s="6">
        <f>IF(C562="","",IF(SUMPRODUCT(($C$12:$C$1511=C562)*1)&gt;1,1,0))</f>
        <v/>
      </c>
      <c r="J562" s="6">
        <f>IF(C562="","",SUMPRODUCT((Mapping!$F$5:$F$504=Setup!$B$4&amp;"||"&amp;C562)*ROW(Mapping!$F$5:$F$504)))</f>
        <v/>
      </c>
      <c r="K562" s="6">
        <f>IF(C562="","",IF(J562=0,"UNMAPPED",LOWER(INDEX(Mapping!$D$1:$D$504,J562))))</f>
        <v/>
      </c>
      <c r="L562" s="6">
        <f>IF(K562="mapped",TRIM(INDEX(Mapping!$C$1:$C$504,J562)),"")</f>
        <v/>
      </c>
      <c r="M562" s="6">
        <f>IF(C562="","",IF(SUMPRODUCT(($C$12:C562=C562)*1)=1,1,0))</f>
        <v/>
      </c>
      <c r="N562" s="6">
        <f>IF(AND(K562="UNMAPPED",M562=1),ROW(),"")</f>
        <v/>
      </c>
      <c r="O562" s="6">
        <f>IF(AND(I562=1,M562=1),ROW(),"")</f>
        <v/>
      </c>
      <c r="P562" s="6">
        <f>IF(AND(K562="ignored",M562=1),ROW(),"")</f>
        <v/>
      </c>
    </row>
    <row r="563">
      <c r="A563" s="8" t="n"/>
      <c r="B563" s="8" t="n"/>
      <c r="C563" s="6">
        <f>TRIM(A563&amp;"")</f>
        <v/>
      </c>
      <c r="D563" s="6">
        <f>IF(C563="","",SUBSTITUTE(SUBSTITUTE(SUBSTITUTE(SUBSTITUTE(SUBSTITUTE(SUBSTITUTE(SUBSTITUTE(UPPER(TRIM(B563&amp;"")),"₹",""),"RS.",""),"RS",""),"INR",""),"$",""),",","")," ",""))</f>
        <v/>
      </c>
      <c r="E563" s="6">
        <f>IF(C563="","",IF(RIGHT(D563,2)="CR","Cr",IF(RIGHT(D563,2)="DR","Dr","")))</f>
        <v/>
      </c>
      <c r="F563" s="6">
        <f>IF(C563="","",IF(E563&lt;&gt;"",LEFT(D563,LEN(D563)-2),D563))</f>
        <v/>
      </c>
      <c r="G563" s="13">
        <f>IF(C563="","",IF(OR(IF(AND(LEFT(F563,1)="(",RIGHT(F563,1)=")"),MID(F563,2,LEN(F563)-2),F563)="",IF(AND(LEFT(F563,1)="(",RIGHT(F563,1)=")"),MID(F563,2,LEN(F563)-2),F563)="-"),0,IFERROR(VALUE(IF(AND(LEFT(F563,1)="(",RIGHT(F563,1)=")"),MID(F563,2,LEN(F563)-2),F563))*IF(AND(LEFT(F563,1)="(",RIGHT(F563,1)=")"),-1,1)*IF(E563="Cr",Setup!$B$6,1),"ERR")))</f>
        <v/>
      </c>
      <c r="H563" s="6">
        <f>IF(C563="","",IF(ISNUMBER(G563),1,0))</f>
        <v/>
      </c>
      <c r="I563" s="6">
        <f>IF(C563="","",IF(SUMPRODUCT(($C$12:$C$1511=C563)*1)&gt;1,1,0))</f>
        <v/>
      </c>
      <c r="J563" s="6">
        <f>IF(C563="","",SUMPRODUCT((Mapping!$F$5:$F$504=Setup!$B$4&amp;"||"&amp;C563)*ROW(Mapping!$F$5:$F$504)))</f>
        <v/>
      </c>
      <c r="K563" s="6">
        <f>IF(C563="","",IF(J563=0,"UNMAPPED",LOWER(INDEX(Mapping!$D$1:$D$504,J563))))</f>
        <v/>
      </c>
      <c r="L563" s="6">
        <f>IF(K563="mapped",TRIM(INDEX(Mapping!$C$1:$C$504,J563)),"")</f>
        <v/>
      </c>
      <c r="M563" s="6">
        <f>IF(C563="","",IF(SUMPRODUCT(($C$12:C563=C563)*1)=1,1,0))</f>
        <v/>
      </c>
      <c r="N563" s="6">
        <f>IF(AND(K563="UNMAPPED",M563=1),ROW(),"")</f>
        <v/>
      </c>
      <c r="O563" s="6">
        <f>IF(AND(I563=1,M563=1),ROW(),"")</f>
        <v/>
      </c>
      <c r="P563" s="6">
        <f>IF(AND(K563="ignored",M563=1),ROW(),"")</f>
        <v/>
      </c>
    </row>
    <row r="564">
      <c r="A564" s="8" t="n"/>
      <c r="B564" s="8" t="n"/>
      <c r="C564" s="6">
        <f>TRIM(A564&amp;"")</f>
        <v/>
      </c>
      <c r="D564" s="6">
        <f>IF(C564="","",SUBSTITUTE(SUBSTITUTE(SUBSTITUTE(SUBSTITUTE(SUBSTITUTE(SUBSTITUTE(SUBSTITUTE(UPPER(TRIM(B564&amp;"")),"₹",""),"RS.",""),"RS",""),"INR",""),"$",""),",","")," ",""))</f>
        <v/>
      </c>
      <c r="E564" s="6">
        <f>IF(C564="","",IF(RIGHT(D564,2)="CR","Cr",IF(RIGHT(D564,2)="DR","Dr","")))</f>
        <v/>
      </c>
      <c r="F564" s="6">
        <f>IF(C564="","",IF(E564&lt;&gt;"",LEFT(D564,LEN(D564)-2),D564))</f>
        <v/>
      </c>
      <c r="G564" s="13">
        <f>IF(C564="","",IF(OR(IF(AND(LEFT(F564,1)="(",RIGHT(F564,1)=")"),MID(F564,2,LEN(F564)-2),F564)="",IF(AND(LEFT(F564,1)="(",RIGHT(F564,1)=")"),MID(F564,2,LEN(F564)-2),F564)="-"),0,IFERROR(VALUE(IF(AND(LEFT(F564,1)="(",RIGHT(F564,1)=")"),MID(F564,2,LEN(F564)-2),F564))*IF(AND(LEFT(F564,1)="(",RIGHT(F564,1)=")"),-1,1)*IF(E564="Cr",Setup!$B$6,1),"ERR")))</f>
        <v/>
      </c>
      <c r="H564" s="6">
        <f>IF(C564="","",IF(ISNUMBER(G564),1,0))</f>
        <v/>
      </c>
      <c r="I564" s="6">
        <f>IF(C564="","",IF(SUMPRODUCT(($C$12:$C$1511=C564)*1)&gt;1,1,0))</f>
        <v/>
      </c>
      <c r="J564" s="6">
        <f>IF(C564="","",SUMPRODUCT((Mapping!$F$5:$F$504=Setup!$B$4&amp;"||"&amp;C564)*ROW(Mapping!$F$5:$F$504)))</f>
        <v/>
      </c>
      <c r="K564" s="6">
        <f>IF(C564="","",IF(J564=0,"UNMAPPED",LOWER(INDEX(Mapping!$D$1:$D$504,J564))))</f>
        <v/>
      </c>
      <c r="L564" s="6">
        <f>IF(K564="mapped",TRIM(INDEX(Mapping!$C$1:$C$504,J564)),"")</f>
        <v/>
      </c>
      <c r="M564" s="6">
        <f>IF(C564="","",IF(SUMPRODUCT(($C$12:C564=C564)*1)=1,1,0))</f>
        <v/>
      </c>
      <c r="N564" s="6">
        <f>IF(AND(K564="UNMAPPED",M564=1),ROW(),"")</f>
        <v/>
      </c>
      <c r="O564" s="6">
        <f>IF(AND(I564=1,M564=1),ROW(),"")</f>
        <v/>
      </c>
      <c r="P564" s="6">
        <f>IF(AND(K564="ignored",M564=1),ROW(),"")</f>
        <v/>
      </c>
    </row>
    <row r="565">
      <c r="A565" s="8" t="n"/>
      <c r="B565" s="8" t="n"/>
      <c r="C565" s="6">
        <f>TRIM(A565&amp;"")</f>
        <v/>
      </c>
      <c r="D565" s="6">
        <f>IF(C565="","",SUBSTITUTE(SUBSTITUTE(SUBSTITUTE(SUBSTITUTE(SUBSTITUTE(SUBSTITUTE(SUBSTITUTE(UPPER(TRIM(B565&amp;"")),"₹",""),"RS.",""),"RS",""),"INR",""),"$",""),",","")," ",""))</f>
        <v/>
      </c>
      <c r="E565" s="6">
        <f>IF(C565="","",IF(RIGHT(D565,2)="CR","Cr",IF(RIGHT(D565,2)="DR","Dr","")))</f>
        <v/>
      </c>
      <c r="F565" s="6">
        <f>IF(C565="","",IF(E565&lt;&gt;"",LEFT(D565,LEN(D565)-2),D565))</f>
        <v/>
      </c>
      <c r="G565" s="13">
        <f>IF(C565="","",IF(OR(IF(AND(LEFT(F565,1)="(",RIGHT(F565,1)=")"),MID(F565,2,LEN(F565)-2),F565)="",IF(AND(LEFT(F565,1)="(",RIGHT(F565,1)=")"),MID(F565,2,LEN(F565)-2),F565)="-"),0,IFERROR(VALUE(IF(AND(LEFT(F565,1)="(",RIGHT(F565,1)=")"),MID(F565,2,LEN(F565)-2),F565))*IF(AND(LEFT(F565,1)="(",RIGHT(F565,1)=")"),-1,1)*IF(E565="Cr",Setup!$B$6,1),"ERR")))</f>
        <v/>
      </c>
      <c r="H565" s="6">
        <f>IF(C565="","",IF(ISNUMBER(G565),1,0))</f>
        <v/>
      </c>
      <c r="I565" s="6">
        <f>IF(C565="","",IF(SUMPRODUCT(($C$12:$C$1511=C565)*1)&gt;1,1,0))</f>
        <v/>
      </c>
      <c r="J565" s="6">
        <f>IF(C565="","",SUMPRODUCT((Mapping!$F$5:$F$504=Setup!$B$4&amp;"||"&amp;C565)*ROW(Mapping!$F$5:$F$504)))</f>
        <v/>
      </c>
      <c r="K565" s="6">
        <f>IF(C565="","",IF(J565=0,"UNMAPPED",LOWER(INDEX(Mapping!$D$1:$D$504,J565))))</f>
        <v/>
      </c>
      <c r="L565" s="6">
        <f>IF(K565="mapped",TRIM(INDEX(Mapping!$C$1:$C$504,J565)),"")</f>
        <v/>
      </c>
      <c r="M565" s="6">
        <f>IF(C565="","",IF(SUMPRODUCT(($C$12:C565=C565)*1)=1,1,0))</f>
        <v/>
      </c>
      <c r="N565" s="6">
        <f>IF(AND(K565="UNMAPPED",M565=1),ROW(),"")</f>
        <v/>
      </c>
      <c r="O565" s="6">
        <f>IF(AND(I565=1,M565=1),ROW(),"")</f>
        <v/>
      </c>
      <c r="P565" s="6">
        <f>IF(AND(K565="ignored",M565=1),ROW(),"")</f>
        <v/>
      </c>
    </row>
    <row r="566">
      <c r="A566" s="8" t="n"/>
      <c r="B566" s="8" t="n"/>
      <c r="C566" s="6">
        <f>TRIM(A566&amp;"")</f>
        <v/>
      </c>
      <c r="D566" s="6">
        <f>IF(C566="","",SUBSTITUTE(SUBSTITUTE(SUBSTITUTE(SUBSTITUTE(SUBSTITUTE(SUBSTITUTE(SUBSTITUTE(UPPER(TRIM(B566&amp;"")),"₹",""),"RS.",""),"RS",""),"INR",""),"$",""),",","")," ",""))</f>
        <v/>
      </c>
      <c r="E566" s="6">
        <f>IF(C566="","",IF(RIGHT(D566,2)="CR","Cr",IF(RIGHT(D566,2)="DR","Dr","")))</f>
        <v/>
      </c>
      <c r="F566" s="6">
        <f>IF(C566="","",IF(E566&lt;&gt;"",LEFT(D566,LEN(D566)-2),D566))</f>
        <v/>
      </c>
      <c r="G566" s="13">
        <f>IF(C566="","",IF(OR(IF(AND(LEFT(F566,1)="(",RIGHT(F566,1)=")"),MID(F566,2,LEN(F566)-2),F566)="",IF(AND(LEFT(F566,1)="(",RIGHT(F566,1)=")"),MID(F566,2,LEN(F566)-2),F566)="-"),0,IFERROR(VALUE(IF(AND(LEFT(F566,1)="(",RIGHT(F566,1)=")"),MID(F566,2,LEN(F566)-2),F566))*IF(AND(LEFT(F566,1)="(",RIGHT(F566,1)=")"),-1,1)*IF(E566="Cr",Setup!$B$6,1),"ERR")))</f>
        <v/>
      </c>
      <c r="H566" s="6">
        <f>IF(C566="","",IF(ISNUMBER(G566),1,0))</f>
        <v/>
      </c>
      <c r="I566" s="6">
        <f>IF(C566="","",IF(SUMPRODUCT(($C$12:$C$1511=C566)*1)&gt;1,1,0))</f>
        <v/>
      </c>
      <c r="J566" s="6">
        <f>IF(C566="","",SUMPRODUCT((Mapping!$F$5:$F$504=Setup!$B$4&amp;"||"&amp;C566)*ROW(Mapping!$F$5:$F$504)))</f>
        <v/>
      </c>
      <c r="K566" s="6">
        <f>IF(C566="","",IF(J566=0,"UNMAPPED",LOWER(INDEX(Mapping!$D$1:$D$504,J566))))</f>
        <v/>
      </c>
      <c r="L566" s="6">
        <f>IF(K566="mapped",TRIM(INDEX(Mapping!$C$1:$C$504,J566)),"")</f>
        <v/>
      </c>
      <c r="M566" s="6">
        <f>IF(C566="","",IF(SUMPRODUCT(($C$12:C566=C566)*1)=1,1,0))</f>
        <v/>
      </c>
      <c r="N566" s="6">
        <f>IF(AND(K566="UNMAPPED",M566=1),ROW(),"")</f>
        <v/>
      </c>
      <c r="O566" s="6">
        <f>IF(AND(I566=1,M566=1),ROW(),"")</f>
        <v/>
      </c>
      <c r="P566" s="6">
        <f>IF(AND(K566="ignored",M566=1),ROW(),"")</f>
        <v/>
      </c>
    </row>
    <row r="567">
      <c r="A567" s="8" t="n"/>
      <c r="B567" s="8" t="n"/>
      <c r="C567" s="6">
        <f>TRIM(A567&amp;"")</f>
        <v/>
      </c>
      <c r="D567" s="6">
        <f>IF(C567="","",SUBSTITUTE(SUBSTITUTE(SUBSTITUTE(SUBSTITUTE(SUBSTITUTE(SUBSTITUTE(SUBSTITUTE(UPPER(TRIM(B567&amp;"")),"₹",""),"RS.",""),"RS",""),"INR",""),"$",""),",","")," ",""))</f>
        <v/>
      </c>
      <c r="E567" s="6">
        <f>IF(C567="","",IF(RIGHT(D567,2)="CR","Cr",IF(RIGHT(D567,2)="DR","Dr","")))</f>
        <v/>
      </c>
      <c r="F567" s="6">
        <f>IF(C567="","",IF(E567&lt;&gt;"",LEFT(D567,LEN(D567)-2),D567))</f>
        <v/>
      </c>
      <c r="G567" s="13">
        <f>IF(C567="","",IF(OR(IF(AND(LEFT(F567,1)="(",RIGHT(F567,1)=")"),MID(F567,2,LEN(F567)-2),F567)="",IF(AND(LEFT(F567,1)="(",RIGHT(F567,1)=")"),MID(F567,2,LEN(F567)-2),F567)="-"),0,IFERROR(VALUE(IF(AND(LEFT(F567,1)="(",RIGHT(F567,1)=")"),MID(F567,2,LEN(F567)-2),F567))*IF(AND(LEFT(F567,1)="(",RIGHT(F567,1)=")"),-1,1)*IF(E567="Cr",Setup!$B$6,1),"ERR")))</f>
        <v/>
      </c>
      <c r="H567" s="6">
        <f>IF(C567="","",IF(ISNUMBER(G567),1,0))</f>
        <v/>
      </c>
      <c r="I567" s="6">
        <f>IF(C567="","",IF(SUMPRODUCT(($C$12:$C$1511=C567)*1)&gt;1,1,0))</f>
        <v/>
      </c>
      <c r="J567" s="6">
        <f>IF(C567="","",SUMPRODUCT((Mapping!$F$5:$F$504=Setup!$B$4&amp;"||"&amp;C567)*ROW(Mapping!$F$5:$F$504)))</f>
        <v/>
      </c>
      <c r="K567" s="6">
        <f>IF(C567="","",IF(J567=0,"UNMAPPED",LOWER(INDEX(Mapping!$D$1:$D$504,J567))))</f>
        <v/>
      </c>
      <c r="L567" s="6">
        <f>IF(K567="mapped",TRIM(INDEX(Mapping!$C$1:$C$504,J567)),"")</f>
        <v/>
      </c>
      <c r="M567" s="6">
        <f>IF(C567="","",IF(SUMPRODUCT(($C$12:C567=C567)*1)=1,1,0))</f>
        <v/>
      </c>
      <c r="N567" s="6">
        <f>IF(AND(K567="UNMAPPED",M567=1),ROW(),"")</f>
        <v/>
      </c>
      <c r="O567" s="6">
        <f>IF(AND(I567=1,M567=1),ROW(),"")</f>
        <v/>
      </c>
      <c r="P567" s="6">
        <f>IF(AND(K567="ignored",M567=1),ROW(),"")</f>
        <v/>
      </c>
    </row>
    <row r="568">
      <c r="A568" s="8" t="n"/>
      <c r="B568" s="8" t="n"/>
      <c r="C568" s="6">
        <f>TRIM(A568&amp;"")</f>
        <v/>
      </c>
      <c r="D568" s="6">
        <f>IF(C568="","",SUBSTITUTE(SUBSTITUTE(SUBSTITUTE(SUBSTITUTE(SUBSTITUTE(SUBSTITUTE(SUBSTITUTE(UPPER(TRIM(B568&amp;"")),"₹",""),"RS.",""),"RS",""),"INR",""),"$",""),",","")," ",""))</f>
        <v/>
      </c>
      <c r="E568" s="6">
        <f>IF(C568="","",IF(RIGHT(D568,2)="CR","Cr",IF(RIGHT(D568,2)="DR","Dr","")))</f>
        <v/>
      </c>
      <c r="F568" s="6">
        <f>IF(C568="","",IF(E568&lt;&gt;"",LEFT(D568,LEN(D568)-2),D568))</f>
        <v/>
      </c>
      <c r="G568" s="13">
        <f>IF(C568="","",IF(OR(IF(AND(LEFT(F568,1)="(",RIGHT(F568,1)=")"),MID(F568,2,LEN(F568)-2),F568)="",IF(AND(LEFT(F568,1)="(",RIGHT(F568,1)=")"),MID(F568,2,LEN(F568)-2),F568)="-"),0,IFERROR(VALUE(IF(AND(LEFT(F568,1)="(",RIGHT(F568,1)=")"),MID(F568,2,LEN(F568)-2),F568))*IF(AND(LEFT(F568,1)="(",RIGHT(F568,1)=")"),-1,1)*IF(E568="Cr",Setup!$B$6,1),"ERR")))</f>
        <v/>
      </c>
      <c r="H568" s="6">
        <f>IF(C568="","",IF(ISNUMBER(G568),1,0))</f>
        <v/>
      </c>
      <c r="I568" s="6">
        <f>IF(C568="","",IF(SUMPRODUCT(($C$12:$C$1511=C568)*1)&gt;1,1,0))</f>
        <v/>
      </c>
      <c r="J568" s="6">
        <f>IF(C568="","",SUMPRODUCT((Mapping!$F$5:$F$504=Setup!$B$4&amp;"||"&amp;C568)*ROW(Mapping!$F$5:$F$504)))</f>
        <v/>
      </c>
      <c r="K568" s="6">
        <f>IF(C568="","",IF(J568=0,"UNMAPPED",LOWER(INDEX(Mapping!$D$1:$D$504,J568))))</f>
        <v/>
      </c>
      <c r="L568" s="6">
        <f>IF(K568="mapped",TRIM(INDEX(Mapping!$C$1:$C$504,J568)),"")</f>
        <v/>
      </c>
      <c r="M568" s="6">
        <f>IF(C568="","",IF(SUMPRODUCT(($C$12:C568=C568)*1)=1,1,0))</f>
        <v/>
      </c>
      <c r="N568" s="6">
        <f>IF(AND(K568="UNMAPPED",M568=1),ROW(),"")</f>
        <v/>
      </c>
      <c r="O568" s="6">
        <f>IF(AND(I568=1,M568=1),ROW(),"")</f>
        <v/>
      </c>
      <c r="P568" s="6">
        <f>IF(AND(K568="ignored",M568=1),ROW(),"")</f>
        <v/>
      </c>
    </row>
    <row r="569">
      <c r="A569" s="8" t="n"/>
      <c r="B569" s="8" t="n"/>
      <c r="C569" s="6">
        <f>TRIM(A569&amp;"")</f>
        <v/>
      </c>
      <c r="D569" s="6">
        <f>IF(C569="","",SUBSTITUTE(SUBSTITUTE(SUBSTITUTE(SUBSTITUTE(SUBSTITUTE(SUBSTITUTE(SUBSTITUTE(UPPER(TRIM(B569&amp;"")),"₹",""),"RS.",""),"RS",""),"INR",""),"$",""),",","")," ",""))</f>
        <v/>
      </c>
      <c r="E569" s="6">
        <f>IF(C569="","",IF(RIGHT(D569,2)="CR","Cr",IF(RIGHT(D569,2)="DR","Dr","")))</f>
        <v/>
      </c>
      <c r="F569" s="6">
        <f>IF(C569="","",IF(E569&lt;&gt;"",LEFT(D569,LEN(D569)-2),D569))</f>
        <v/>
      </c>
      <c r="G569" s="13">
        <f>IF(C569="","",IF(OR(IF(AND(LEFT(F569,1)="(",RIGHT(F569,1)=")"),MID(F569,2,LEN(F569)-2),F569)="",IF(AND(LEFT(F569,1)="(",RIGHT(F569,1)=")"),MID(F569,2,LEN(F569)-2),F569)="-"),0,IFERROR(VALUE(IF(AND(LEFT(F569,1)="(",RIGHT(F569,1)=")"),MID(F569,2,LEN(F569)-2),F569))*IF(AND(LEFT(F569,1)="(",RIGHT(F569,1)=")"),-1,1)*IF(E569="Cr",Setup!$B$6,1),"ERR")))</f>
        <v/>
      </c>
      <c r="H569" s="6">
        <f>IF(C569="","",IF(ISNUMBER(G569),1,0))</f>
        <v/>
      </c>
      <c r="I569" s="6">
        <f>IF(C569="","",IF(SUMPRODUCT(($C$12:$C$1511=C569)*1)&gt;1,1,0))</f>
        <v/>
      </c>
      <c r="J569" s="6">
        <f>IF(C569="","",SUMPRODUCT((Mapping!$F$5:$F$504=Setup!$B$4&amp;"||"&amp;C569)*ROW(Mapping!$F$5:$F$504)))</f>
        <v/>
      </c>
      <c r="K569" s="6">
        <f>IF(C569="","",IF(J569=0,"UNMAPPED",LOWER(INDEX(Mapping!$D$1:$D$504,J569))))</f>
        <v/>
      </c>
      <c r="L569" s="6">
        <f>IF(K569="mapped",TRIM(INDEX(Mapping!$C$1:$C$504,J569)),"")</f>
        <v/>
      </c>
      <c r="M569" s="6">
        <f>IF(C569="","",IF(SUMPRODUCT(($C$12:C569=C569)*1)=1,1,0))</f>
        <v/>
      </c>
      <c r="N569" s="6">
        <f>IF(AND(K569="UNMAPPED",M569=1),ROW(),"")</f>
        <v/>
      </c>
      <c r="O569" s="6">
        <f>IF(AND(I569=1,M569=1),ROW(),"")</f>
        <v/>
      </c>
      <c r="P569" s="6">
        <f>IF(AND(K569="ignored",M569=1),ROW(),"")</f>
        <v/>
      </c>
    </row>
    <row r="570">
      <c r="A570" s="8" t="n"/>
      <c r="B570" s="8" t="n"/>
      <c r="C570" s="6">
        <f>TRIM(A570&amp;"")</f>
        <v/>
      </c>
      <c r="D570" s="6">
        <f>IF(C570="","",SUBSTITUTE(SUBSTITUTE(SUBSTITUTE(SUBSTITUTE(SUBSTITUTE(SUBSTITUTE(SUBSTITUTE(UPPER(TRIM(B570&amp;"")),"₹",""),"RS.",""),"RS",""),"INR",""),"$",""),",","")," ",""))</f>
        <v/>
      </c>
      <c r="E570" s="6">
        <f>IF(C570="","",IF(RIGHT(D570,2)="CR","Cr",IF(RIGHT(D570,2)="DR","Dr","")))</f>
        <v/>
      </c>
      <c r="F570" s="6">
        <f>IF(C570="","",IF(E570&lt;&gt;"",LEFT(D570,LEN(D570)-2),D570))</f>
        <v/>
      </c>
      <c r="G570" s="13">
        <f>IF(C570="","",IF(OR(IF(AND(LEFT(F570,1)="(",RIGHT(F570,1)=")"),MID(F570,2,LEN(F570)-2),F570)="",IF(AND(LEFT(F570,1)="(",RIGHT(F570,1)=")"),MID(F570,2,LEN(F570)-2),F570)="-"),0,IFERROR(VALUE(IF(AND(LEFT(F570,1)="(",RIGHT(F570,1)=")"),MID(F570,2,LEN(F570)-2),F570))*IF(AND(LEFT(F570,1)="(",RIGHT(F570,1)=")"),-1,1)*IF(E570="Cr",Setup!$B$6,1),"ERR")))</f>
        <v/>
      </c>
      <c r="H570" s="6">
        <f>IF(C570="","",IF(ISNUMBER(G570),1,0))</f>
        <v/>
      </c>
      <c r="I570" s="6">
        <f>IF(C570="","",IF(SUMPRODUCT(($C$12:$C$1511=C570)*1)&gt;1,1,0))</f>
        <v/>
      </c>
      <c r="J570" s="6">
        <f>IF(C570="","",SUMPRODUCT((Mapping!$F$5:$F$504=Setup!$B$4&amp;"||"&amp;C570)*ROW(Mapping!$F$5:$F$504)))</f>
        <v/>
      </c>
      <c r="K570" s="6">
        <f>IF(C570="","",IF(J570=0,"UNMAPPED",LOWER(INDEX(Mapping!$D$1:$D$504,J570))))</f>
        <v/>
      </c>
      <c r="L570" s="6">
        <f>IF(K570="mapped",TRIM(INDEX(Mapping!$C$1:$C$504,J570)),"")</f>
        <v/>
      </c>
      <c r="M570" s="6">
        <f>IF(C570="","",IF(SUMPRODUCT(($C$12:C570=C570)*1)=1,1,0))</f>
        <v/>
      </c>
      <c r="N570" s="6">
        <f>IF(AND(K570="UNMAPPED",M570=1),ROW(),"")</f>
        <v/>
      </c>
      <c r="O570" s="6">
        <f>IF(AND(I570=1,M570=1),ROW(),"")</f>
        <v/>
      </c>
      <c r="P570" s="6">
        <f>IF(AND(K570="ignored",M570=1),ROW(),"")</f>
        <v/>
      </c>
    </row>
    <row r="571">
      <c r="A571" s="8" t="n"/>
      <c r="B571" s="8" t="n"/>
      <c r="C571" s="6">
        <f>TRIM(A571&amp;"")</f>
        <v/>
      </c>
      <c r="D571" s="6">
        <f>IF(C571="","",SUBSTITUTE(SUBSTITUTE(SUBSTITUTE(SUBSTITUTE(SUBSTITUTE(SUBSTITUTE(SUBSTITUTE(UPPER(TRIM(B571&amp;"")),"₹",""),"RS.",""),"RS",""),"INR",""),"$",""),",","")," ",""))</f>
        <v/>
      </c>
      <c r="E571" s="6">
        <f>IF(C571="","",IF(RIGHT(D571,2)="CR","Cr",IF(RIGHT(D571,2)="DR","Dr","")))</f>
        <v/>
      </c>
      <c r="F571" s="6">
        <f>IF(C571="","",IF(E571&lt;&gt;"",LEFT(D571,LEN(D571)-2),D571))</f>
        <v/>
      </c>
      <c r="G571" s="13">
        <f>IF(C571="","",IF(OR(IF(AND(LEFT(F571,1)="(",RIGHT(F571,1)=")"),MID(F571,2,LEN(F571)-2),F571)="",IF(AND(LEFT(F571,1)="(",RIGHT(F571,1)=")"),MID(F571,2,LEN(F571)-2),F571)="-"),0,IFERROR(VALUE(IF(AND(LEFT(F571,1)="(",RIGHT(F571,1)=")"),MID(F571,2,LEN(F571)-2),F571))*IF(AND(LEFT(F571,1)="(",RIGHT(F571,1)=")"),-1,1)*IF(E571="Cr",Setup!$B$6,1),"ERR")))</f>
        <v/>
      </c>
      <c r="H571" s="6">
        <f>IF(C571="","",IF(ISNUMBER(G571),1,0))</f>
        <v/>
      </c>
      <c r="I571" s="6">
        <f>IF(C571="","",IF(SUMPRODUCT(($C$12:$C$1511=C571)*1)&gt;1,1,0))</f>
        <v/>
      </c>
      <c r="J571" s="6">
        <f>IF(C571="","",SUMPRODUCT((Mapping!$F$5:$F$504=Setup!$B$4&amp;"||"&amp;C571)*ROW(Mapping!$F$5:$F$504)))</f>
        <v/>
      </c>
      <c r="K571" s="6">
        <f>IF(C571="","",IF(J571=0,"UNMAPPED",LOWER(INDEX(Mapping!$D$1:$D$504,J571))))</f>
        <v/>
      </c>
      <c r="L571" s="6">
        <f>IF(K571="mapped",TRIM(INDEX(Mapping!$C$1:$C$504,J571)),"")</f>
        <v/>
      </c>
      <c r="M571" s="6">
        <f>IF(C571="","",IF(SUMPRODUCT(($C$12:C571=C571)*1)=1,1,0))</f>
        <v/>
      </c>
      <c r="N571" s="6">
        <f>IF(AND(K571="UNMAPPED",M571=1),ROW(),"")</f>
        <v/>
      </c>
      <c r="O571" s="6">
        <f>IF(AND(I571=1,M571=1),ROW(),"")</f>
        <v/>
      </c>
      <c r="P571" s="6">
        <f>IF(AND(K571="ignored",M571=1),ROW(),"")</f>
        <v/>
      </c>
    </row>
    <row r="572">
      <c r="A572" s="8" t="n"/>
      <c r="B572" s="8" t="n"/>
      <c r="C572" s="6">
        <f>TRIM(A572&amp;"")</f>
        <v/>
      </c>
      <c r="D572" s="6">
        <f>IF(C572="","",SUBSTITUTE(SUBSTITUTE(SUBSTITUTE(SUBSTITUTE(SUBSTITUTE(SUBSTITUTE(SUBSTITUTE(UPPER(TRIM(B572&amp;"")),"₹",""),"RS.",""),"RS",""),"INR",""),"$",""),",","")," ",""))</f>
        <v/>
      </c>
      <c r="E572" s="6">
        <f>IF(C572="","",IF(RIGHT(D572,2)="CR","Cr",IF(RIGHT(D572,2)="DR","Dr","")))</f>
        <v/>
      </c>
      <c r="F572" s="6">
        <f>IF(C572="","",IF(E572&lt;&gt;"",LEFT(D572,LEN(D572)-2),D572))</f>
        <v/>
      </c>
      <c r="G572" s="13">
        <f>IF(C572="","",IF(OR(IF(AND(LEFT(F572,1)="(",RIGHT(F572,1)=")"),MID(F572,2,LEN(F572)-2),F572)="",IF(AND(LEFT(F572,1)="(",RIGHT(F572,1)=")"),MID(F572,2,LEN(F572)-2),F572)="-"),0,IFERROR(VALUE(IF(AND(LEFT(F572,1)="(",RIGHT(F572,1)=")"),MID(F572,2,LEN(F572)-2),F572))*IF(AND(LEFT(F572,1)="(",RIGHT(F572,1)=")"),-1,1)*IF(E572="Cr",Setup!$B$6,1),"ERR")))</f>
        <v/>
      </c>
      <c r="H572" s="6">
        <f>IF(C572="","",IF(ISNUMBER(G572),1,0))</f>
        <v/>
      </c>
      <c r="I572" s="6">
        <f>IF(C572="","",IF(SUMPRODUCT(($C$12:$C$1511=C572)*1)&gt;1,1,0))</f>
        <v/>
      </c>
      <c r="J572" s="6">
        <f>IF(C572="","",SUMPRODUCT((Mapping!$F$5:$F$504=Setup!$B$4&amp;"||"&amp;C572)*ROW(Mapping!$F$5:$F$504)))</f>
        <v/>
      </c>
      <c r="K572" s="6">
        <f>IF(C572="","",IF(J572=0,"UNMAPPED",LOWER(INDEX(Mapping!$D$1:$D$504,J572))))</f>
        <v/>
      </c>
      <c r="L572" s="6">
        <f>IF(K572="mapped",TRIM(INDEX(Mapping!$C$1:$C$504,J572)),"")</f>
        <v/>
      </c>
      <c r="M572" s="6">
        <f>IF(C572="","",IF(SUMPRODUCT(($C$12:C572=C572)*1)=1,1,0))</f>
        <v/>
      </c>
      <c r="N572" s="6">
        <f>IF(AND(K572="UNMAPPED",M572=1),ROW(),"")</f>
        <v/>
      </c>
      <c r="O572" s="6">
        <f>IF(AND(I572=1,M572=1),ROW(),"")</f>
        <v/>
      </c>
      <c r="P572" s="6">
        <f>IF(AND(K572="ignored",M572=1),ROW(),"")</f>
        <v/>
      </c>
    </row>
    <row r="573">
      <c r="A573" s="8" t="n"/>
      <c r="B573" s="8" t="n"/>
      <c r="C573" s="6">
        <f>TRIM(A573&amp;"")</f>
        <v/>
      </c>
      <c r="D573" s="6">
        <f>IF(C573="","",SUBSTITUTE(SUBSTITUTE(SUBSTITUTE(SUBSTITUTE(SUBSTITUTE(SUBSTITUTE(SUBSTITUTE(UPPER(TRIM(B573&amp;"")),"₹",""),"RS.",""),"RS",""),"INR",""),"$",""),",","")," ",""))</f>
        <v/>
      </c>
      <c r="E573" s="6">
        <f>IF(C573="","",IF(RIGHT(D573,2)="CR","Cr",IF(RIGHT(D573,2)="DR","Dr","")))</f>
        <v/>
      </c>
      <c r="F573" s="6">
        <f>IF(C573="","",IF(E573&lt;&gt;"",LEFT(D573,LEN(D573)-2),D573))</f>
        <v/>
      </c>
      <c r="G573" s="13">
        <f>IF(C573="","",IF(OR(IF(AND(LEFT(F573,1)="(",RIGHT(F573,1)=")"),MID(F573,2,LEN(F573)-2),F573)="",IF(AND(LEFT(F573,1)="(",RIGHT(F573,1)=")"),MID(F573,2,LEN(F573)-2),F573)="-"),0,IFERROR(VALUE(IF(AND(LEFT(F573,1)="(",RIGHT(F573,1)=")"),MID(F573,2,LEN(F573)-2),F573))*IF(AND(LEFT(F573,1)="(",RIGHT(F573,1)=")"),-1,1)*IF(E573="Cr",Setup!$B$6,1),"ERR")))</f>
        <v/>
      </c>
      <c r="H573" s="6">
        <f>IF(C573="","",IF(ISNUMBER(G573),1,0))</f>
        <v/>
      </c>
      <c r="I573" s="6">
        <f>IF(C573="","",IF(SUMPRODUCT(($C$12:$C$1511=C573)*1)&gt;1,1,0))</f>
        <v/>
      </c>
      <c r="J573" s="6">
        <f>IF(C573="","",SUMPRODUCT((Mapping!$F$5:$F$504=Setup!$B$4&amp;"||"&amp;C573)*ROW(Mapping!$F$5:$F$504)))</f>
        <v/>
      </c>
      <c r="K573" s="6">
        <f>IF(C573="","",IF(J573=0,"UNMAPPED",LOWER(INDEX(Mapping!$D$1:$D$504,J573))))</f>
        <v/>
      </c>
      <c r="L573" s="6">
        <f>IF(K573="mapped",TRIM(INDEX(Mapping!$C$1:$C$504,J573)),"")</f>
        <v/>
      </c>
      <c r="M573" s="6">
        <f>IF(C573="","",IF(SUMPRODUCT(($C$12:C573=C573)*1)=1,1,0))</f>
        <v/>
      </c>
      <c r="N573" s="6">
        <f>IF(AND(K573="UNMAPPED",M573=1),ROW(),"")</f>
        <v/>
      </c>
      <c r="O573" s="6">
        <f>IF(AND(I573=1,M573=1),ROW(),"")</f>
        <v/>
      </c>
      <c r="P573" s="6">
        <f>IF(AND(K573="ignored",M573=1),ROW(),"")</f>
        <v/>
      </c>
    </row>
    <row r="574">
      <c r="A574" s="8" t="n"/>
      <c r="B574" s="8" t="n"/>
      <c r="C574" s="6">
        <f>TRIM(A574&amp;"")</f>
        <v/>
      </c>
      <c r="D574" s="6">
        <f>IF(C574="","",SUBSTITUTE(SUBSTITUTE(SUBSTITUTE(SUBSTITUTE(SUBSTITUTE(SUBSTITUTE(SUBSTITUTE(UPPER(TRIM(B574&amp;"")),"₹",""),"RS.",""),"RS",""),"INR",""),"$",""),",","")," ",""))</f>
        <v/>
      </c>
      <c r="E574" s="6">
        <f>IF(C574="","",IF(RIGHT(D574,2)="CR","Cr",IF(RIGHT(D574,2)="DR","Dr","")))</f>
        <v/>
      </c>
      <c r="F574" s="6">
        <f>IF(C574="","",IF(E574&lt;&gt;"",LEFT(D574,LEN(D574)-2),D574))</f>
        <v/>
      </c>
      <c r="G574" s="13">
        <f>IF(C574="","",IF(OR(IF(AND(LEFT(F574,1)="(",RIGHT(F574,1)=")"),MID(F574,2,LEN(F574)-2),F574)="",IF(AND(LEFT(F574,1)="(",RIGHT(F574,1)=")"),MID(F574,2,LEN(F574)-2),F574)="-"),0,IFERROR(VALUE(IF(AND(LEFT(F574,1)="(",RIGHT(F574,1)=")"),MID(F574,2,LEN(F574)-2),F574))*IF(AND(LEFT(F574,1)="(",RIGHT(F574,1)=")"),-1,1)*IF(E574="Cr",Setup!$B$6,1),"ERR")))</f>
        <v/>
      </c>
      <c r="H574" s="6">
        <f>IF(C574="","",IF(ISNUMBER(G574),1,0))</f>
        <v/>
      </c>
      <c r="I574" s="6">
        <f>IF(C574="","",IF(SUMPRODUCT(($C$12:$C$1511=C574)*1)&gt;1,1,0))</f>
        <v/>
      </c>
      <c r="J574" s="6">
        <f>IF(C574="","",SUMPRODUCT((Mapping!$F$5:$F$504=Setup!$B$4&amp;"||"&amp;C574)*ROW(Mapping!$F$5:$F$504)))</f>
        <v/>
      </c>
      <c r="K574" s="6">
        <f>IF(C574="","",IF(J574=0,"UNMAPPED",LOWER(INDEX(Mapping!$D$1:$D$504,J574))))</f>
        <v/>
      </c>
      <c r="L574" s="6">
        <f>IF(K574="mapped",TRIM(INDEX(Mapping!$C$1:$C$504,J574)),"")</f>
        <v/>
      </c>
      <c r="M574" s="6">
        <f>IF(C574="","",IF(SUMPRODUCT(($C$12:C574=C574)*1)=1,1,0))</f>
        <v/>
      </c>
      <c r="N574" s="6">
        <f>IF(AND(K574="UNMAPPED",M574=1),ROW(),"")</f>
        <v/>
      </c>
      <c r="O574" s="6">
        <f>IF(AND(I574=1,M574=1),ROW(),"")</f>
        <v/>
      </c>
      <c r="P574" s="6">
        <f>IF(AND(K574="ignored",M574=1),ROW(),"")</f>
        <v/>
      </c>
    </row>
    <row r="575">
      <c r="A575" s="8" t="n"/>
      <c r="B575" s="8" t="n"/>
      <c r="C575" s="6">
        <f>TRIM(A575&amp;"")</f>
        <v/>
      </c>
      <c r="D575" s="6">
        <f>IF(C575="","",SUBSTITUTE(SUBSTITUTE(SUBSTITUTE(SUBSTITUTE(SUBSTITUTE(SUBSTITUTE(SUBSTITUTE(UPPER(TRIM(B575&amp;"")),"₹",""),"RS.",""),"RS",""),"INR",""),"$",""),",","")," ",""))</f>
        <v/>
      </c>
      <c r="E575" s="6">
        <f>IF(C575="","",IF(RIGHT(D575,2)="CR","Cr",IF(RIGHT(D575,2)="DR","Dr","")))</f>
        <v/>
      </c>
      <c r="F575" s="6">
        <f>IF(C575="","",IF(E575&lt;&gt;"",LEFT(D575,LEN(D575)-2),D575))</f>
        <v/>
      </c>
      <c r="G575" s="13">
        <f>IF(C575="","",IF(OR(IF(AND(LEFT(F575,1)="(",RIGHT(F575,1)=")"),MID(F575,2,LEN(F575)-2),F575)="",IF(AND(LEFT(F575,1)="(",RIGHT(F575,1)=")"),MID(F575,2,LEN(F575)-2),F575)="-"),0,IFERROR(VALUE(IF(AND(LEFT(F575,1)="(",RIGHT(F575,1)=")"),MID(F575,2,LEN(F575)-2),F575))*IF(AND(LEFT(F575,1)="(",RIGHT(F575,1)=")"),-1,1)*IF(E575="Cr",Setup!$B$6,1),"ERR")))</f>
        <v/>
      </c>
      <c r="H575" s="6">
        <f>IF(C575="","",IF(ISNUMBER(G575),1,0))</f>
        <v/>
      </c>
      <c r="I575" s="6">
        <f>IF(C575="","",IF(SUMPRODUCT(($C$12:$C$1511=C575)*1)&gt;1,1,0))</f>
        <v/>
      </c>
      <c r="J575" s="6">
        <f>IF(C575="","",SUMPRODUCT((Mapping!$F$5:$F$504=Setup!$B$4&amp;"||"&amp;C575)*ROW(Mapping!$F$5:$F$504)))</f>
        <v/>
      </c>
      <c r="K575" s="6">
        <f>IF(C575="","",IF(J575=0,"UNMAPPED",LOWER(INDEX(Mapping!$D$1:$D$504,J575))))</f>
        <v/>
      </c>
      <c r="L575" s="6">
        <f>IF(K575="mapped",TRIM(INDEX(Mapping!$C$1:$C$504,J575)),"")</f>
        <v/>
      </c>
      <c r="M575" s="6">
        <f>IF(C575="","",IF(SUMPRODUCT(($C$12:C575=C575)*1)=1,1,0))</f>
        <v/>
      </c>
      <c r="N575" s="6">
        <f>IF(AND(K575="UNMAPPED",M575=1),ROW(),"")</f>
        <v/>
      </c>
      <c r="O575" s="6">
        <f>IF(AND(I575=1,M575=1),ROW(),"")</f>
        <v/>
      </c>
      <c r="P575" s="6">
        <f>IF(AND(K575="ignored",M575=1),ROW(),"")</f>
        <v/>
      </c>
    </row>
    <row r="576">
      <c r="A576" s="8" t="n"/>
      <c r="B576" s="8" t="n"/>
      <c r="C576" s="6">
        <f>TRIM(A576&amp;"")</f>
        <v/>
      </c>
      <c r="D576" s="6">
        <f>IF(C576="","",SUBSTITUTE(SUBSTITUTE(SUBSTITUTE(SUBSTITUTE(SUBSTITUTE(SUBSTITUTE(SUBSTITUTE(UPPER(TRIM(B576&amp;"")),"₹",""),"RS.",""),"RS",""),"INR",""),"$",""),",","")," ",""))</f>
        <v/>
      </c>
      <c r="E576" s="6">
        <f>IF(C576="","",IF(RIGHT(D576,2)="CR","Cr",IF(RIGHT(D576,2)="DR","Dr","")))</f>
        <v/>
      </c>
      <c r="F576" s="6">
        <f>IF(C576="","",IF(E576&lt;&gt;"",LEFT(D576,LEN(D576)-2),D576))</f>
        <v/>
      </c>
      <c r="G576" s="13">
        <f>IF(C576="","",IF(OR(IF(AND(LEFT(F576,1)="(",RIGHT(F576,1)=")"),MID(F576,2,LEN(F576)-2),F576)="",IF(AND(LEFT(F576,1)="(",RIGHT(F576,1)=")"),MID(F576,2,LEN(F576)-2),F576)="-"),0,IFERROR(VALUE(IF(AND(LEFT(F576,1)="(",RIGHT(F576,1)=")"),MID(F576,2,LEN(F576)-2),F576))*IF(AND(LEFT(F576,1)="(",RIGHT(F576,1)=")"),-1,1)*IF(E576="Cr",Setup!$B$6,1),"ERR")))</f>
        <v/>
      </c>
      <c r="H576" s="6">
        <f>IF(C576="","",IF(ISNUMBER(G576),1,0))</f>
        <v/>
      </c>
      <c r="I576" s="6">
        <f>IF(C576="","",IF(SUMPRODUCT(($C$12:$C$1511=C576)*1)&gt;1,1,0))</f>
        <v/>
      </c>
      <c r="J576" s="6">
        <f>IF(C576="","",SUMPRODUCT((Mapping!$F$5:$F$504=Setup!$B$4&amp;"||"&amp;C576)*ROW(Mapping!$F$5:$F$504)))</f>
        <v/>
      </c>
      <c r="K576" s="6">
        <f>IF(C576="","",IF(J576=0,"UNMAPPED",LOWER(INDEX(Mapping!$D$1:$D$504,J576))))</f>
        <v/>
      </c>
      <c r="L576" s="6">
        <f>IF(K576="mapped",TRIM(INDEX(Mapping!$C$1:$C$504,J576)),"")</f>
        <v/>
      </c>
      <c r="M576" s="6">
        <f>IF(C576="","",IF(SUMPRODUCT(($C$12:C576=C576)*1)=1,1,0))</f>
        <v/>
      </c>
      <c r="N576" s="6">
        <f>IF(AND(K576="UNMAPPED",M576=1),ROW(),"")</f>
        <v/>
      </c>
      <c r="O576" s="6">
        <f>IF(AND(I576=1,M576=1),ROW(),"")</f>
        <v/>
      </c>
      <c r="P576" s="6">
        <f>IF(AND(K576="ignored",M576=1),ROW(),"")</f>
        <v/>
      </c>
    </row>
    <row r="577">
      <c r="A577" s="8" t="n"/>
      <c r="B577" s="8" t="n"/>
      <c r="C577" s="6">
        <f>TRIM(A577&amp;"")</f>
        <v/>
      </c>
      <c r="D577" s="6">
        <f>IF(C577="","",SUBSTITUTE(SUBSTITUTE(SUBSTITUTE(SUBSTITUTE(SUBSTITUTE(SUBSTITUTE(SUBSTITUTE(UPPER(TRIM(B577&amp;"")),"₹",""),"RS.",""),"RS",""),"INR",""),"$",""),",","")," ",""))</f>
        <v/>
      </c>
      <c r="E577" s="6">
        <f>IF(C577="","",IF(RIGHT(D577,2)="CR","Cr",IF(RIGHT(D577,2)="DR","Dr","")))</f>
        <v/>
      </c>
      <c r="F577" s="6">
        <f>IF(C577="","",IF(E577&lt;&gt;"",LEFT(D577,LEN(D577)-2),D577))</f>
        <v/>
      </c>
      <c r="G577" s="13">
        <f>IF(C577="","",IF(OR(IF(AND(LEFT(F577,1)="(",RIGHT(F577,1)=")"),MID(F577,2,LEN(F577)-2),F577)="",IF(AND(LEFT(F577,1)="(",RIGHT(F577,1)=")"),MID(F577,2,LEN(F577)-2),F577)="-"),0,IFERROR(VALUE(IF(AND(LEFT(F577,1)="(",RIGHT(F577,1)=")"),MID(F577,2,LEN(F577)-2),F577))*IF(AND(LEFT(F577,1)="(",RIGHT(F577,1)=")"),-1,1)*IF(E577="Cr",Setup!$B$6,1),"ERR")))</f>
        <v/>
      </c>
      <c r="H577" s="6">
        <f>IF(C577="","",IF(ISNUMBER(G577),1,0))</f>
        <v/>
      </c>
      <c r="I577" s="6">
        <f>IF(C577="","",IF(SUMPRODUCT(($C$12:$C$1511=C577)*1)&gt;1,1,0))</f>
        <v/>
      </c>
      <c r="J577" s="6">
        <f>IF(C577="","",SUMPRODUCT((Mapping!$F$5:$F$504=Setup!$B$4&amp;"||"&amp;C577)*ROW(Mapping!$F$5:$F$504)))</f>
        <v/>
      </c>
      <c r="K577" s="6">
        <f>IF(C577="","",IF(J577=0,"UNMAPPED",LOWER(INDEX(Mapping!$D$1:$D$504,J577))))</f>
        <v/>
      </c>
      <c r="L577" s="6">
        <f>IF(K577="mapped",TRIM(INDEX(Mapping!$C$1:$C$504,J577)),"")</f>
        <v/>
      </c>
      <c r="M577" s="6">
        <f>IF(C577="","",IF(SUMPRODUCT(($C$12:C577=C577)*1)=1,1,0))</f>
        <v/>
      </c>
      <c r="N577" s="6">
        <f>IF(AND(K577="UNMAPPED",M577=1),ROW(),"")</f>
        <v/>
      </c>
      <c r="O577" s="6">
        <f>IF(AND(I577=1,M577=1),ROW(),"")</f>
        <v/>
      </c>
      <c r="P577" s="6">
        <f>IF(AND(K577="ignored",M577=1),ROW(),"")</f>
        <v/>
      </c>
    </row>
    <row r="578">
      <c r="A578" s="8" t="n"/>
      <c r="B578" s="8" t="n"/>
      <c r="C578" s="6">
        <f>TRIM(A578&amp;"")</f>
        <v/>
      </c>
      <c r="D578" s="6">
        <f>IF(C578="","",SUBSTITUTE(SUBSTITUTE(SUBSTITUTE(SUBSTITUTE(SUBSTITUTE(SUBSTITUTE(SUBSTITUTE(UPPER(TRIM(B578&amp;"")),"₹",""),"RS.",""),"RS",""),"INR",""),"$",""),",","")," ",""))</f>
        <v/>
      </c>
      <c r="E578" s="6">
        <f>IF(C578="","",IF(RIGHT(D578,2)="CR","Cr",IF(RIGHT(D578,2)="DR","Dr","")))</f>
        <v/>
      </c>
      <c r="F578" s="6">
        <f>IF(C578="","",IF(E578&lt;&gt;"",LEFT(D578,LEN(D578)-2),D578))</f>
        <v/>
      </c>
      <c r="G578" s="13">
        <f>IF(C578="","",IF(OR(IF(AND(LEFT(F578,1)="(",RIGHT(F578,1)=")"),MID(F578,2,LEN(F578)-2),F578)="",IF(AND(LEFT(F578,1)="(",RIGHT(F578,1)=")"),MID(F578,2,LEN(F578)-2),F578)="-"),0,IFERROR(VALUE(IF(AND(LEFT(F578,1)="(",RIGHT(F578,1)=")"),MID(F578,2,LEN(F578)-2),F578))*IF(AND(LEFT(F578,1)="(",RIGHT(F578,1)=")"),-1,1)*IF(E578="Cr",Setup!$B$6,1),"ERR")))</f>
        <v/>
      </c>
      <c r="H578" s="6">
        <f>IF(C578="","",IF(ISNUMBER(G578),1,0))</f>
        <v/>
      </c>
      <c r="I578" s="6">
        <f>IF(C578="","",IF(SUMPRODUCT(($C$12:$C$1511=C578)*1)&gt;1,1,0))</f>
        <v/>
      </c>
      <c r="J578" s="6">
        <f>IF(C578="","",SUMPRODUCT((Mapping!$F$5:$F$504=Setup!$B$4&amp;"||"&amp;C578)*ROW(Mapping!$F$5:$F$504)))</f>
        <v/>
      </c>
      <c r="K578" s="6">
        <f>IF(C578="","",IF(J578=0,"UNMAPPED",LOWER(INDEX(Mapping!$D$1:$D$504,J578))))</f>
        <v/>
      </c>
      <c r="L578" s="6">
        <f>IF(K578="mapped",TRIM(INDEX(Mapping!$C$1:$C$504,J578)),"")</f>
        <v/>
      </c>
      <c r="M578" s="6">
        <f>IF(C578="","",IF(SUMPRODUCT(($C$12:C578=C578)*1)=1,1,0))</f>
        <v/>
      </c>
      <c r="N578" s="6">
        <f>IF(AND(K578="UNMAPPED",M578=1),ROW(),"")</f>
        <v/>
      </c>
      <c r="O578" s="6">
        <f>IF(AND(I578=1,M578=1),ROW(),"")</f>
        <v/>
      </c>
      <c r="P578" s="6">
        <f>IF(AND(K578="ignored",M578=1),ROW(),"")</f>
        <v/>
      </c>
    </row>
    <row r="579">
      <c r="A579" s="8" t="n"/>
      <c r="B579" s="8" t="n"/>
      <c r="C579" s="6">
        <f>TRIM(A579&amp;"")</f>
        <v/>
      </c>
      <c r="D579" s="6">
        <f>IF(C579="","",SUBSTITUTE(SUBSTITUTE(SUBSTITUTE(SUBSTITUTE(SUBSTITUTE(SUBSTITUTE(SUBSTITUTE(UPPER(TRIM(B579&amp;"")),"₹",""),"RS.",""),"RS",""),"INR",""),"$",""),",","")," ",""))</f>
        <v/>
      </c>
      <c r="E579" s="6">
        <f>IF(C579="","",IF(RIGHT(D579,2)="CR","Cr",IF(RIGHT(D579,2)="DR","Dr","")))</f>
        <v/>
      </c>
      <c r="F579" s="6">
        <f>IF(C579="","",IF(E579&lt;&gt;"",LEFT(D579,LEN(D579)-2),D579))</f>
        <v/>
      </c>
      <c r="G579" s="13">
        <f>IF(C579="","",IF(OR(IF(AND(LEFT(F579,1)="(",RIGHT(F579,1)=")"),MID(F579,2,LEN(F579)-2),F579)="",IF(AND(LEFT(F579,1)="(",RIGHT(F579,1)=")"),MID(F579,2,LEN(F579)-2),F579)="-"),0,IFERROR(VALUE(IF(AND(LEFT(F579,1)="(",RIGHT(F579,1)=")"),MID(F579,2,LEN(F579)-2),F579))*IF(AND(LEFT(F579,1)="(",RIGHT(F579,1)=")"),-1,1)*IF(E579="Cr",Setup!$B$6,1),"ERR")))</f>
        <v/>
      </c>
      <c r="H579" s="6">
        <f>IF(C579="","",IF(ISNUMBER(G579),1,0))</f>
        <v/>
      </c>
      <c r="I579" s="6">
        <f>IF(C579="","",IF(SUMPRODUCT(($C$12:$C$1511=C579)*1)&gt;1,1,0))</f>
        <v/>
      </c>
      <c r="J579" s="6">
        <f>IF(C579="","",SUMPRODUCT((Mapping!$F$5:$F$504=Setup!$B$4&amp;"||"&amp;C579)*ROW(Mapping!$F$5:$F$504)))</f>
        <v/>
      </c>
      <c r="K579" s="6">
        <f>IF(C579="","",IF(J579=0,"UNMAPPED",LOWER(INDEX(Mapping!$D$1:$D$504,J579))))</f>
        <v/>
      </c>
      <c r="L579" s="6">
        <f>IF(K579="mapped",TRIM(INDEX(Mapping!$C$1:$C$504,J579)),"")</f>
        <v/>
      </c>
      <c r="M579" s="6">
        <f>IF(C579="","",IF(SUMPRODUCT(($C$12:C579=C579)*1)=1,1,0))</f>
        <v/>
      </c>
      <c r="N579" s="6">
        <f>IF(AND(K579="UNMAPPED",M579=1),ROW(),"")</f>
        <v/>
      </c>
      <c r="O579" s="6">
        <f>IF(AND(I579=1,M579=1),ROW(),"")</f>
        <v/>
      </c>
      <c r="P579" s="6">
        <f>IF(AND(K579="ignored",M579=1),ROW(),"")</f>
        <v/>
      </c>
    </row>
    <row r="580">
      <c r="A580" s="8" t="n"/>
      <c r="B580" s="8" t="n"/>
      <c r="C580" s="6">
        <f>TRIM(A580&amp;"")</f>
        <v/>
      </c>
      <c r="D580" s="6">
        <f>IF(C580="","",SUBSTITUTE(SUBSTITUTE(SUBSTITUTE(SUBSTITUTE(SUBSTITUTE(SUBSTITUTE(SUBSTITUTE(UPPER(TRIM(B580&amp;"")),"₹",""),"RS.",""),"RS",""),"INR",""),"$",""),",","")," ",""))</f>
        <v/>
      </c>
      <c r="E580" s="6">
        <f>IF(C580="","",IF(RIGHT(D580,2)="CR","Cr",IF(RIGHT(D580,2)="DR","Dr","")))</f>
        <v/>
      </c>
      <c r="F580" s="6">
        <f>IF(C580="","",IF(E580&lt;&gt;"",LEFT(D580,LEN(D580)-2),D580))</f>
        <v/>
      </c>
      <c r="G580" s="13">
        <f>IF(C580="","",IF(OR(IF(AND(LEFT(F580,1)="(",RIGHT(F580,1)=")"),MID(F580,2,LEN(F580)-2),F580)="",IF(AND(LEFT(F580,1)="(",RIGHT(F580,1)=")"),MID(F580,2,LEN(F580)-2),F580)="-"),0,IFERROR(VALUE(IF(AND(LEFT(F580,1)="(",RIGHT(F580,1)=")"),MID(F580,2,LEN(F580)-2),F580))*IF(AND(LEFT(F580,1)="(",RIGHT(F580,1)=")"),-1,1)*IF(E580="Cr",Setup!$B$6,1),"ERR")))</f>
        <v/>
      </c>
      <c r="H580" s="6">
        <f>IF(C580="","",IF(ISNUMBER(G580),1,0))</f>
        <v/>
      </c>
      <c r="I580" s="6">
        <f>IF(C580="","",IF(SUMPRODUCT(($C$12:$C$1511=C580)*1)&gt;1,1,0))</f>
        <v/>
      </c>
      <c r="J580" s="6">
        <f>IF(C580="","",SUMPRODUCT((Mapping!$F$5:$F$504=Setup!$B$4&amp;"||"&amp;C580)*ROW(Mapping!$F$5:$F$504)))</f>
        <v/>
      </c>
      <c r="K580" s="6">
        <f>IF(C580="","",IF(J580=0,"UNMAPPED",LOWER(INDEX(Mapping!$D$1:$D$504,J580))))</f>
        <v/>
      </c>
      <c r="L580" s="6">
        <f>IF(K580="mapped",TRIM(INDEX(Mapping!$C$1:$C$504,J580)),"")</f>
        <v/>
      </c>
      <c r="M580" s="6">
        <f>IF(C580="","",IF(SUMPRODUCT(($C$12:C580=C580)*1)=1,1,0))</f>
        <v/>
      </c>
      <c r="N580" s="6">
        <f>IF(AND(K580="UNMAPPED",M580=1),ROW(),"")</f>
        <v/>
      </c>
      <c r="O580" s="6">
        <f>IF(AND(I580=1,M580=1),ROW(),"")</f>
        <v/>
      </c>
      <c r="P580" s="6">
        <f>IF(AND(K580="ignored",M580=1),ROW(),"")</f>
        <v/>
      </c>
    </row>
    <row r="581">
      <c r="A581" s="8" t="n"/>
      <c r="B581" s="8" t="n"/>
      <c r="C581" s="6">
        <f>TRIM(A581&amp;"")</f>
        <v/>
      </c>
      <c r="D581" s="6">
        <f>IF(C581="","",SUBSTITUTE(SUBSTITUTE(SUBSTITUTE(SUBSTITUTE(SUBSTITUTE(SUBSTITUTE(SUBSTITUTE(UPPER(TRIM(B581&amp;"")),"₹",""),"RS.",""),"RS",""),"INR",""),"$",""),",","")," ",""))</f>
        <v/>
      </c>
      <c r="E581" s="6">
        <f>IF(C581="","",IF(RIGHT(D581,2)="CR","Cr",IF(RIGHT(D581,2)="DR","Dr","")))</f>
        <v/>
      </c>
      <c r="F581" s="6">
        <f>IF(C581="","",IF(E581&lt;&gt;"",LEFT(D581,LEN(D581)-2),D581))</f>
        <v/>
      </c>
      <c r="G581" s="13">
        <f>IF(C581="","",IF(OR(IF(AND(LEFT(F581,1)="(",RIGHT(F581,1)=")"),MID(F581,2,LEN(F581)-2),F581)="",IF(AND(LEFT(F581,1)="(",RIGHT(F581,1)=")"),MID(F581,2,LEN(F581)-2),F581)="-"),0,IFERROR(VALUE(IF(AND(LEFT(F581,1)="(",RIGHT(F581,1)=")"),MID(F581,2,LEN(F581)-2),F581))*IF(AND(LEFT(F581,1)="(",RIGHT(F581,1)=")"),-1,1)*IF(E581="Cr",Setup!$B$6,1),"ERR")))</f>
        <v/>
      </c>
      <c r="H581" s="6">
        <f>IF(C581="","",IF(ISNUMBER(G581),1,0))</f>
        <v/>
      </c>
      <c r="I581" s="6">
        <f>IF(C581="","",IF(SUMPRODUCT(($C$12:$C$1511=C581)*1)&gt;1,1,0))</f>
        <v/>
      </c>
      <c r="J581" s="6">
        <f>IF(C581="","",SUMPRODUCT((Mapping!$F$5:$F$504=Setup!$B$4&amp;"||"&amp;C581)*ROW(Mapping!$F$5:$F$504)))</f>
        <v/>
      </c>
      <c r="K581" s="6">
        <f>IF(C581="","",IF(J581=0,"UNMAPPED",LOWER(INDEX(Mapping!$D$1:$D$504,J581))))</f>
        <v/>
      </c>
      <c r="L581" s="6">
        <f>IF(K581="mapped",TRIM(INDEX(Mapping!$C$1:$C$504,J581)),"")</f>
        <v/>
      </c>
      <c r="M581" s="6">
        <f>IF(C581="","",IF(SUMPRODUCT(($C$12:C581=C581)*1)=1,1,0))</f>
        <v/>
      </c>
      <c r="N581" s="6">
        <f>IF(AND(K581="UNMAPPED",M581=1),ROW(),"")</f>
        <v/>
      </c>
      <c r="O581" s="6">
        <f>IF(AND(I581=1,M581=1),ROW(),"")</f>
        <v/>
      </c>
      <c r="P581" s="6">
        <f>IF(AND(K581="ignored",M581=1),ROW(),"")</f>
        <v/>
      </c>
    </row>
    <row r="582">
      <c r="A582" s="8" t="n"/>
      <c r="B582" s="8" t="n"/>
      <c r="C582" s="6">
        <f>TRIM(A582&amp;"")</f>
        <v/>
      </c>
      <c r="D582" s="6">
        <f>IF(C582="","",SUBSTITUTE(SUBSTITUTE(SUBSTITUTE(SUBSTITUTE(SUBSTITUTE(SUBSTITUTE(SUBSTITUTE(UPPER(TRIM(B582&amp;"")),"₹",""),"RS.",""),"RS",""),"INR",""),"$",""),",","")," ",""))</f>
        <v/>
      </c>
      <c r="E582" s="6">
        <f>IF(C582="","",IF(RIGHT(D582,2)="CR","Cr",IF(RIGHT(D582,2)="DR","Dr","")))</f>
        <v/>
      </c>
      <c r="F582" s="6">
        <f>IF(C582="","",IF(E582&lt;&gt;"",LEFT(D582,LEN(D582)-2),D582))</f>
        <v/>
      </c>
      <c r="G582" s="13">
        <f>IF(C582="","",IF(OR(IF(AND(LEFT(F582,1)="(",RIGHT(F582,1)=")"),MID(F582,2,LEN(F582)-2),F582)="",IF(AND(LEFT(F582,1)="(",RIGHT(F582,1)=")"),MID(F582,2,LEN(F582)-2),F582)="-"),0,IFERROR(VALUE(IF(AND(LEFT(F582,1)="(",RIGHT(F582,1)=")"),MID(F582,2,LEN(F582)-2),F582))*IF(AND(LEFT(F582,1)="(",RIGHT(F582,1)=")"),-1,1)*IF(E582="Cr",Setup!$B$6,1),"ERR")))</f>
        <v/>
      </c>
      <c r="H582" s="6">
        <f>IF(C582="","",IF(ISNUMBER(G582),1,0))</f>
        <v/>
      </c>
      <c r="I582" s="6">
        <f>IF(C582="","",IF(SUMPRODUCT(($C$12:$C$1511=C582)*1)&gt;1,1,0))</f>
        <v/>
      </c>
      <c r="J582" s="6">
        <f>IF(C582="","",SUMPRODUCT((Mapping!$F$5:$F$504=Setup!$B$4&amp;"||"&amp;C582)*ROW(Mapping!$F$5:$F$504)))</f>
        <v/>
      </c>
      <c r="K582" s="6">
        <f>IF(C582="","",IF(J582=0,"UNMAPPED",LOWER(INDEX(Mapping!$D$1:$D$504,J582))))</f>
        <v/>
      </c>
      <c r="L582" s="6">
        <f>IF(K582="mapped",TRIM(INDEX(Mapping!$C$1:$C$504,J582)),"")</f>
        <v/>
      </c>
      <c r="M582" s="6">
        <f>IF(C582="","",IF(SUMPRODUCT(($C$12:C582=C582)*1)=1,1,0))</f>
        <v/>
      </c>
      <c r="N582" s="6">
        <f>IF(AND(K582="UNMAPPED",M582=1),ROW(),"")</f>
        <v/>
      </c>
      <c r="O582" s="6">
        <f>IF(AND(I582=1,M582=1),ROW(),"")</f>
        <v/>
      </c>
      <c r="P582" s="6">
        <f>IF(AND(K582="ignored",M582=1),ROW(),"")</f>
        <v/>
      </c>
    </row>
    <row r="583">
      <c r="A583" s="8" t="n"/>
      <c r="B583" s="8" t="n"/>
      <c r="C583" s="6">
        <f>TRIM(A583&amp;"")</f>
        <v/>
      </c>
      <c r="D583" s="6">
        <f>IF(C583="","",SUBSTITUTE(SUBSTITUTE(SUBSTITUTE(SUBSTITUTE(SUBSTITUTE(SUBSTITUTE(SUBSTITUTE(UPPER(TRIM(B583&amp;"")),"₹",""),"RS.",""),"RS",""),"INR",""),"$",""),",","")," ",""))</f>
        <v/>
      </c>
      <c r="E583" s="6">
        <f>IF(C583="","",IF(RIGHT(D583,2)="CR","Cr",IF(RIGHT(D583,2)="DR","Dr","")))</f>
        <v/>
      </c>
      <c r="F583" s="6">
        <f>IF(C583="","",IF(E583&lt;&gt;"",LEFT(D583,LEN(D583)-2),D583))</f>
        <v/>
      </c>
      <c r="G583" s="13">
        <f>IF(C583="","",IF(OR(IF(AND(LEFT(F583,1)="(",RIGHT(F583,1)=")"),MID(F583,2,LEN(F583)-2),F583)="",IF(AND(LEFT(F583,1)="(",RIGHT(F583,1)=")"),MID(F583,2,LEN(F583)-2),F583)="-"),0,IFERROR(VALUE(IF(AND(LEFT(F583,1)="(",RIGHT(F583,1)=")"),MID(F583,2,LEN(F583)-2),F583))*IF(AND(LEFT(F583,1)="(",RIGHT(F583,1)=")"),-1,1)*IF(E583="Cr",Setup!$B$6,1),"ERR")))</f>
        <v/>
      </c>
      <c r="H583" s="6">
        <f>IF(C583="","",IF(ISNUMBER(G583),1,0))</f>
        <v/>
      </c>
      <c r="I583" s="6">
        <f>IF(C583="","",IF(SUMPRODUCT(($C$12:$C$1511=C583)*1)&gt;1,1,0))</f>
        <v/>
      </c>
      <c r="J583" s="6">
        <f>IF(C583="","",SUMPRODUCT((Mapping!$F$5:$F$504=Setup!$B$4&amp;"||"&amp;C583)*ROW(Mapping!$F$5:$F$504)))</f>
        <v/>
      </c>
      <c r="K583" s="6">
        <f>IF(C583="","",IF(J583=0,"UNMAPPED",LOWER(INDEX(Mapping!$D$1:$D$504,J583))))</f>
        <v/>
      </c>
      <c r="L583" s="6">
        <f>IF(K583="mapped",TRIM(INDEX(Mapping!$C$1:$C$504,J583)),"")</f>
        <v/>
      </c>
      <c r="M583" s="6">
        <f>IF(C583="","",IF(SUMPRODUCT(($C$12:C583=C583)*1)=1,1,0))</f>
        <v/>
      </c>
      <c r="N583" s="6">
        <f>IF(AND(K583="UNMAPPED",M583=1),ROW(),"")</f>
        <v/>
      </c>
      <c r="O583" s="6">
        <f>IF(AND(I583=1,M583=1),ROW(),"")</f>
        <v/>
      </c>
      <c r="P583" s="6">
        <f>IF(AND(K583="ignored",M583=1),ROW(),"")</f>
        <v/>
      </c>
    </row>
    <row r="584">
      <c r="A584" s="8" t="n"/>
      <c r="B584" s="8" t="n"/>
      <c r="C584" s="6">
        <f>TRIM(A584&amp;"")</f>
        <v/>
      </c>
      <c r="D584" s="6">
        <f>IF(C584="","",SUBSTITUTE(SUBSTITUTE(SUBSTITUTE(SUBSTITUTE(SUBSTITUTE(SUBSTITUTE(SUBSTITUTE(UPPER(TRIM(B584&amp;"")),"₹",""),"RS.",""),"RS",""),"INR",""),"$",""),",","")," ",""))</f>
        <v/>
      </c>
      <c r="E584" s="6">
        <f>IF(C584="","",IF(RIGHT(D584,2)="CR","Cr",IF(RIGHT(D584,2)="DR","Dr","")))</f>
        <v/>
      </c>
      <c r="F584" s="6">
        <f>IF(C584="","",IF(E584&lt;&gt;"",LEFT(D584,LEN(D584)-2),D584))</f>
        <v/>
      </c>
      <c r="G584" s="13">
        <f>IF(C584="","",IF(OR(IF(AND(LEFT(F584,1)="(",RIGHT(F584,1)=")"),MID(F584,2,LEN(F584)-2),F584)="",IF(AND(LEFT(F584,1)="(",RIGHT(F584,1)=")"),MID(F584,2,LEN(F584)-2),F584)="-"),0,IFERROR(VALUE(IF(AND(LEFT(F584,1)="(",RIGHT(F584,1)=")"),MID(F584,2,LEN(F584)-2),F584))*IF(AND(LEFT(F584,1)="(",RIGHT(F584,1)=")"),-1,1)*IF(E584="Cr",Setup!$B$6,1),"ERR")))</f>
        <v/>
      </c>
      <c r="H584" s="6">
        <f>IF(C584="","",IF(ISNUMBER(G584),1,0))</f>
        <v/>
      </c>
      <c r="I584" s="6">
        <f>IF(C584="","",IF(SUMPRODUCT(($C$12:$C$1511=C584)*1)&gt;1,1,0))</f>
        <v/>
      </c>
      <c r="J584" s="6">
        <f>IF(C584="","",SUMPRODUCT((Mapping!$F$5:$F$504=Setup!$B$4&amp;"||"&amp;C584)*ROW(Mapping!$F$5:$F$504)))</f>
        <v/>
      </c>
      <c r="K584" s="6">
        <f>IF(C584="","",IF(J584=0,"UNMAPPED",LOWER(INDEX(Mapping!$D$1:$D$504,J584))))</f>
        <v/>
      </c>
      <c r="L584" s="6">
        <f>IF(K584="mapped",TRIM(INDEX(Mapping!$C$1:$C$504,J584)),"")</f>
        <v/>
      </c>
      <c r="M584" s="6">
        <f>IF(C584="","",IF(SUMPRODUCT(($C$12:C584=C584)*1)=1,1,0))</f>
        <v/>
      </c>
      <c r="N584" s="6">
        <f>IF(AND(K584="UNMAPPED",M584=1),ROW(),"")</f>
        <v/>
      </c>
      <c r="O584" s="6">
        <f>IF(AND(I584=1,M584=1),ROW(),"")</f>
        <v/>
      </c>
      <c r="P584" s="6">
        <f>IF(AND(K584="ignored",M584=1),ROW(),"")</f>
        <v/>
      </c>
    </row>
    <row r="585">
      <c r="A585" s="8" t="n"/>
      <c r="B585" s="8" t="n"/>
      <c r="C585" s="6">
        <f>TRIM(A585&amp;"")</f>
        <v/>
      </c>
      <c r="D585" s="6">
        <f>IF(C585="","",SUBSTITUTE(SUBSTITUTE(SUBSTITUTE(SUBSTITUTE(SUBSTITUTE(SUBSTITUTE(SUBSTITUTE(UPPER(TRIM(B585&amp;"")),"₹",""),"RS.",""),"RS",""),"INR",""),"$",""),",","")," ",""))</f>
        <v/>
      </c>
      <c r="E585" s="6">
        <f>IF(C585="","",IF(RIGHT(D585,2)="CR","Cr",IF(RIGHT(D585,2)="DR","Dr","")))</f>
        <v/>
      </c>
      <c r="F585" s="6">
        <f>IF(C585="","",IF(E585&lt;&gt;"",LEFT(D585,LEN(D585)-2),D585))</f>
        <v/>
      </c>
      <c r="G585" s="13">
        <f>IF(C585="","",IF(OR(IF(AND(LEFT(F585,1)="(",RIGHT(F585,1)=")"),MID(F585,2,LEN(F585)-2),F585)="",IF(AND(LEFT(F585,1)="(",RIGHT(F585,1)=")"),MID(F585,2,LEN(F585)-2),F585)="-"),0,IFERROR(VALUE(IF(AND(LEFT(F585,1)="(",RIGHT(F585,1)=")"),MID(F585,2,LEN(F585)-2),F585))*IF(AND(LEFT(F585,1)="(",RIGHT(F585,1)=")"),-1,1)*IF(E585="Cr",Setup!$B$6,1),"ERR")))</f>
        <v/>
      </c>
      <c r="H585" s="6">
        <f>IF(C585="","",IF(ISNUMBER(G585),1,0))</f>
        <v/>
      </c>
      <c r="I585" s="6">
        <f>IF(C585="","",IF(SUMPRODUCT(($C$12:$C$1511=C585)*1)&gt;1,1,0))</f>
        <v/>
      </c>
      <c r="J585" s="6">
        <f>IF(C585="","",SUMPRODUCT((Mapping!$F$5:$F$504=Setup!$B$4&amp;"||"&amp;C585)*ROW(Mapping!$F$5:$F$504)))</f>
        <v/>
      </c>
      <c r="K585" s="6">
        <f>IF(C585="","",IF(J585=0,"UNMAPPED",LOWER(INDEX(Mapping!$D$1:$D$504,J585))))</f>
        <v/>
      </c>
      <c r="L585" s="6">
        <f>IF(K585="mapped",TRIM(INDEX(Mapping!$C$1:$C$504,J585)),"")</f>
        <v/>
      </c>
      <c r="M585" s="6">
        <f>IF(C585="","",IF(SUMPRODUCT(($C$12:C585=C585)*1)=1,1,0))</f>
        <v/>
      </c>
      <c r="N585" s="6">
        <f>IF(AND(K585="UNMAPPED",M585=1),ROW(),"")</f>
        <v/>
      </c>
      <c r="O585" s="6">
        <f>IF(AND(I585=1,M585=1),ROW(),"")</f>
        <v/>
      </c>
      <c r="P585" s="6">
        <f>IF(AND(K585="ignored",M585=1),ROW(),"")</f>
        <v/>
      </c>
    </row>
    <row r="586">
      <c r="A586" s="8" t="n"/>
      <c r="B586" s="8" t="n"/>
      <c r="C586" s="6">
        <f>TRIM(A586&amp;"")</f>
        <v/>
      </c>
      <c r="D586" s="6">
        <f>IF(C586="","",SUBSTITUTE(SUBSTITUTE(SUBSTITUTE(SUBSTITUTE(SUBSTITUTE(SUBSTITUTE(SUBSTITUTE(UPPER(TRIM(B586&amp;"")),"₹",""),"RS.",""),"RS",""),"INR",""),"$",""),",","")," ",""))</f>
        <v/>
      </c>
      <c r="E586" s="6">
        <f>IF(C586="","",IF(RIGHT(D586,2)="CR","Cr",IF(RIGHT(D586,2)="DR","Dr","")))</f>
        <v/>
      </c>
      <c r="F586" s="6">
        <f>IF(C586="","",IF(E586&lt;&gt;"",LEFT(D586,LEN(D586)-2),D586))</f>
        <v/>
      </c>
      <c r="G586" s="13">
        <f>IF(C586="","",IF(OR(IF(AND(LEFT(F586,1)="(",RIGHT(F586,1)=")"),MID(F586,2,LEN(F586)-2),F586)="",IF(AND(LEFT(F586,1)="(",RIGHT(F586,1)=")"),MID(F586,2,LEN(F586)-2),F586)="-"),0,IFERROR(VALUE(IF(AND(LEFT(F586,1)="(",RIGHT(F586,1)=")"),MID(F586,2,LEN(F586)-2),F586))*IF(AND(LEFT(F586,1)="(",RIGHT(F586,1)=")"),-1,1)*IF(E586="Cr",Setup!$B$6,1),"ERR")))</f>
        <v/>
      </c>
      <c r="H586" s="6">
        <f>IF(C586="","",IF(ISNUMBER(G586),1,0))</f>
        <v/>
      </c>
      <c r="I586" s="6">
        <f>IF(C586="","",IF(SUMPRODUCT(($C$12:$C$1511=C586)*1)&gt;1,1,0))</f>
        <v/>
      </c>
      <c r="J586" s="6">
        <f>IF(C586="","",SUMPRODUCT((Mapping!$F$5:$F$504=Setup!$B$4&amp;"||"&amp;C586)*ROW(Mapping!$F$5:$F$504)))</f>
        <v/>
      </c>
      <c r="K586" s="6">
        <f>IF(C586="","",IF(J586=0,"UNMAPPED",LOWER(INDEX(Mapping!$D$1:$D$504,J586))))</f>
        <v/>
      </c>
      <c r="L586" s="6">
        <f>IF(K586="mapped",TRIM(INDEX(Mapping!$C$1:$C$504,J586)),"")</f>
        <v/>
      </c>
      <c r="M586" s="6">
        <f>IF(C586="","",IF(SUMPRODUCT(($C$12:C586=C586)*1)=1,1,0))</f>
        <v/>
      </c>
      <c r="N586" s="6">
        <f>IF(AND(K586="UNMAPPED",M586=1),ROW(),"")</f>
        <v/>
      </c>
      <c r="O586" s="6">
        <f>IF(AND(I586=1,M586=1),ROW(),"")</f>
        <v/>
      </c>
      <c r="P586" s="6">
        <f>IF(AND(K586="ignored",M586=1),ROW(),"")</f>
        <v/>
      </c>
    </row>
    <row r="587">
      <c r="A587" s="8" t="n"/>
      <c r="B587" s="8" t="n"/>
      <c r="C587" s="6">
        <f>TRIM(A587&amp;"")</f>
        <v/>
      </c>
      <c r="D587" s="6">
        <f>IF(C587="","",SUBSTITUTE(SUBSTITUTE(SUBSTITUTE(SUBSTITUTE(SUBSTITUTE(SUBSTITUTE(SUBSTITUTE(UPPER(TRIM(B587&amp;"")),"₹",""),"RS.",""),"RS",""),"INR",""),"$",""),",","")," ",""))</f>
        <v/>
      </c>
      <c r="E587" s="6">
        <f>IF(C587="","",IF(RIGHT(D587,2)="CR","Cr",IF(RIGHT(D587,2)="DR","Dr","")))</f>
        <v/>
      </c>
      <c r="F587" s="6">
        <f>IF(C587="","",IF(E587&lt;&gt;"",LEFT(D587,LEN(D587)-2),D587))</f>
        <v/>
      </c>
      <c r="G587" s="13">
        <f>IF(C587="","",IF(OR(IF(AND(LEFT(F587,1)="(",RIGHT(F587,1)=")"),MID(F587,2,LEN(F587)-2),F587)="",IF(AND(LEFT(F587,1)="(",RIGHT(F587,1)=")"),MID(F587,2,LEN(F587)-2),F587)="-"),0,IFERROR(VALUE(IF(AND(LEFT(F587,1)="(",RIGHT(F587,1)=")"),MID(F587,2,LEN(F587)-2),F587))*IF(AND(LEFT(F587,1)="(",RIGHT(F587,1)=")"),-1,1)*IF(E587="Cr",Setup!$B$6,1),"ERR")))</f>
        <v/>
      </c>
      <c r="H587" s="6">
        <f>IF(C587="","",IF(ISNUMBER(G587),1,0))</f>
        <v/>
      </c>
      <c r="I587" s="6">
        <f>IF(C587="","",IF(SUMPRODUCT(($C$12:$C$1511=C587)*1)&gt;1,1,0))</f>
        <v/>
      </c>
      <c r="J587" s="6">
        <f>IF(C587="","",SUMPRODUCT((Mapping!$F$5:$F$504=Setup!$B$4&amp;"||"&amp;C587)*ROW(Mapping!$F$5:$F$504)))</f>
        <v/>
      </c>
      <c r="K587" s="6">
        <f>IF(C587="","",IF(J587=0,"UNMAPPED",LOWER(INDEX(Mapping!$D$1:$D$504,J587))))</f>
        <v/>
      </c>
      <c r="L587" s="6">
        <f>IF(K587="mapped",TRIM(INDEX(Mapping!$C$1:$C$504,J587)),"")</f>
        <v/>
      </c>
      <c r="M587" s="6">
        <f>IF(C587="","",IF(SUMPRODUCT(($C$12:C587=C587)*1)=1,1,0))</f>
        <v/>
      </c>
      <c r="N587" s="6">
        <f>IF(AND(K587="UNMAPPED",M587=1),ROW(),"")</f>
        <v/>
      </c>
      <c r="O587" s="6">
        <f>IF(AND(I587=1,M587=1),ROW(),"")</f>
        <v/>
      </c>
      <c r="P587" s="6">
        <f>IF(AND(K587="ignored",M587=1),ROW(),"")</f>
        <v/>
      </c>
    </row>
    <row r="588">
      <c r="A588" s="8" t="n"/>
      <c r="B588" s="8" t="n"/>
      <c r="C588" s="6">
        <f>TRIM(A588&amp;"")</f>
        <v/>
      </c>
      <c r="D588" s="6">
        <f>IF(C588="","",SUBSTITUTE(SUBSTITUTE(SUBSTITUTE(SUBSTITUTE(SUBSTITUTE(SUBSTITUTE(SUBSTITUTE(UPPER(TRIM(B588&amp;"")),"₹",""),"RS.",""),"RS",""),"INR",""),"$",""),",","")," ",""))</f>
        <v/>
      </c>
      <c r="E588" s="6">
        <f>IF(C588="","",IF(RIGHT(D588,2)="CR","Cr",IF(RIGHT(D588,2)="DR","Dr","")))</f>
        <v/>
      </c>
      <c r="F588" s="6">
        <f>IF(C588="","",IF(E588&lt;&gt;"",LEFT(D588,LEN(D588)-2),D588))</f>
        <v/>
      </c>
      <c r="G588" s="13">
        <f>IF(C588="","",IF(OR(IF(AND(LEFT(F588,1)="(",RIGHT(F588,1)=")"),MID(F588,2,LEN(F588)-2),F588)="",IF(AND(LEFT(F588,1)="(",RIGHT(F588,1)=")"),MID(F588,2,LEN(F588)-2),F588)="-"),0,IFERROR(VALUE(IF(AND(LEFT(F588,1)="(",RIGHT(F588,1)=")"),MID(F588,2,LEN(F588)-2),F588))*IF(AND(LEFT(F588,1)="(",RIGHT(F588,1)=")"),-1,1)*IF(E588="Cr",Setup!$B$6,1),"ERR")))</f>
        <v/>
      </c>
      <c r="H588" s="6">
        <f>IF(C588="","",IF(ISNUMBER(G588),1,0))</f>
        <v/>
      </c>
      <c r="I588" s="6">
        <f>IF(C588="","",IF(SUMPRODUCT(($C$12:$C$1511=C588)*1)&gt;1,1,0))</f>
        <v/>
      </c>
      <c r="J588" s="6">
        <f>IF(C588="","",SUMPRODUCT((Mapping!$F$5:$F$504=Setup!$B$4&amp;"||"&amp;C588)*ROW(Mapping!$F$5:$F$504)))</f>
        <v/>
      </c>
      <c r="K588" s="6">
        <f>IF(C588="","",IF(J588=0,"UNMAPPED",LOWER(INDEX(Mapping!$D$1:$D$504,J588))))</f>
        <v/>
      </c>
      <c r="L588" s="6">
        <f>IF(K588="mapped",TRIM(INDEX(Mapping!$C$1:$C$504,J588)),"")</f>
        <v/>
      </c>
      <c r="M588" s="6">
        <f>IF(C588="","",IF(SUMPRODUCT(($C$12:C588=C588)*1)=1,1,0))</f>
        <v/>
      </c>
      <c r="N588" s="6">
        <f>IF(AND(K588="UNMAPPED",M588=1),ROW(),"")</f>
        <v/>
      </c>
      <c r="O588" s="6">
        <f>IF(AND(I588=1,M588=1),ROW(),"")</f>
        <v/>
      </c>
      <c r="P588" s="6">
        <f>IF(AND(K588="ignored",M588=1),ROW(),"")</f>
        <v/>
      </c>
    </row>
    <row r="589">
      <c r="A589" s="8" t="n"/>
      <c r="B589" s="8" t="n"/>
      <c r="C589" s="6">
        <f>TRIM(A589&amp;"")</f>
        <v/>
      </c>
      <c r="D589" s="6">
        <f>IF(C589="","",SUBSTITUTE(SUBSTITUTE(SUBSTITUTE(SUBSTITUTE(SUBSTITUTE(SUBSTITUTE(SUBSTITUTE(UPPER(TRIM(B589&amp;"")),"₹",""),"RS.",""),"RS",""),"INR",""),"$",""),",","")," ",""))</f>
        <v/>
      </c>
      <c r="E589" s="6">
        <f>IF(C589="","",IF(RIGHT(D589,2)="CR","Cr",IF(RIGHT(D589,2)="DR","Dr","")))</f>
        <v/>
      </c>
      <c r="F589" s="6">
        <f>IF(C589="","",IF(E589&lt;&gt;"",LEFT(D589,LEN(D589)-2),D589))</f>
        <v/>
      </c>
      <c r="G589" s="13">
        <f>IF(C589="","",IF(OR(IF(AND(LEFT(F589,1)="(",RIGHT(F589,1)=")"),MID(F589,2,LEN(F589)-2),F589)="",IF(AND(LEFT(F589,1)="(",RIGHT(F589,1)=")"),MID(F589,2,LEN(F589)-2),F589)="-"),0,IFERROR(VALUE(IF(AND(LEFT(F589,1)="(",RIGHT(F589,1)=")"),MID(F589,2,LEN(F589)-2),F589))*IF(AND(LEFT(F589,1)="(",RIGHT(F589,1)=")"),-1,1)*IF(E589="Cr",Setup!$B$6,1),"ERR")))</f>
        <v/>
      </c>
      <c r="H589" s="6">
        <f>IF(C589="","",IF(ISNUMBER(G589),1,0))</f>
        <v/>
      </c>
      <c r="I589" s="6">
        <f>IF(C589="","",IF(SUMPRODUCT(($C$12:$C$1511=C589)*1)&gt;1,1,0))</f>
        <v/>
      </c>
      <c r="J589" s="6">
        <f>IF(C589="","",SUMPRODUCT((Mapping!$F$5:$F$504=Setup!$B$4&amp;"||"&amp;C589)*ROW(Mapping!$F$5:$F$504)))</f>
        <v/>
      </c>
      <c r="K589" s="6">
        <f>IF(C589="","",IF(J589=0,"UNMAPPED",LOWER(INDEX(Mapping!$D$1:$D$504,J589))))</f>
        <v/>
      </c>
      <c r="L589" s="6">
        <f>IF(K589="mapped",TRIM(INDEX(Mapping!$C$1:$C$504,J589)),"")</f>
        <v/>
      </c>
      <c r="M589" s="6">
        <f>IF(C589="","",IF(SUMPRODUCT(($C$12:C589=C589)*1)=1,1,0))</f>
        <v/>
      </c>
      <c r="N589" s="6">
        <f>IF(AND(K589="UNMAPPED",M589=1),ROW(),"")</f>
        <v/>
      </c>
      <c r="O589" s="6">
        <f>IF(AND(I589=1,M589=1),ROW(),"")</f>
        <v/>
      </c>
      <c r="P589" s="6">
        <f>IF(AND(K589="ignored",M589=1),ROW(),"")</f>
        <v/>
      </c>
    </row>
    <row r="590">
      <c r="A590" s="8" t="n"/>
      <c r="B590" s="8" t="n"/>
      <c r="C590" s="6">
        <f>TRIM(A590&amp;"")</f>
        <v/>
      </c>
      <c r="D590" s="6">
        <f>IF(C590="","",SUBSTITUTE(SUBSTITUTE(SUBSTITUTE(SUBSTITUTE(SUBSTITUTE(SUBSTITUTE(SUBSTITUTE(UPPER(TRIM(B590&amp;"")),"₹",""),"RS.",""),"RS",""),"INR",""),"$",""),",","")," ",""))</f>
        <v/>
      </c>
      <c r="E590" s="6">
        <f>IF(C590="","",IF(RIGHT(D590,2)="CR","Cr",IF(RIGHT(D590,2)="DR","Dr","")))</f>
        <v/>
      </c>
      <c r="F590" s="6">
        <f>IF(C590="","",IF(E590&lt;&gt;"",LEFT(D590,LEN(D590)-2),D590))</f>
        <v/>
      </c>
      <c r="G590" s="13">
        <f>IF(C590="","",IF(OR(IF(AND(LEFT(F590,1)="(",RIGHT(F590,1)=")"),MID(F590,2,LEN(F590)-2),F590)="",IF(AND(LEFT(F590,1)="(",RIGHT(F590,1)=")"),MID(F590,2,LEN(F590)-2),F590)="-"),0,IFERROR(VALUE(IF(AND(LEFT(F590,1)="(",RIGHT(F590,1)=")"),MID(F590,2,LEN(F590)-2),F590))*IF(AND(LEFT(F590,1)="(",RIGHT(F590,1)=")"),-1,1)*IF(E590="Cr",Setup!$B$6,1),"ERR")))</f>
        <v/>
      </c>
      <c r="H590" s="6">
        <f>IF(C590="","",IF(ISNUMBER(G590),1,0))</f>
        <v/>
      </c>
      <c r="I590" s="6">
        <f>IF(C590="","",IF(SUMPRODUCT(($C$12:$C$1511=C590)*1)&gt;1,1,0))</f>
        <v/>
      </c>
      <c r="J590" s="6">
        <f>IF(C590="","",SUMPRODUCT((Mapping!$F$5:$F$504=Setup!$B$4&amp;"||"&amp;C590)*ROW(Mapping!$F$5:$F$504)))</f>
        <v/>
      </c>
      <c r="K590" s="6">
        <f>IF(C590="","",IF(J590=0,"UNMAPPED",LOWER(INDEX(Mapping!$D$1:$D$504,J590))))</f>
        <v/>
      </c>
      <c r="L590" s="6">
        <f>IF(K590="mapped",TRIM(INDEX(Mapping!$C$1:$C$504,J590)),"")</f>
        <v/>
      </c>
      <c r="M590" s="6">
        <f>IF(C590="","",IF(SUMPRODUCT(($C$12:C590=C590)*1)=1,1,0))</f>
        <v/>
      </c>
      <c r="N590" s="6">
        <f>IF(AND(K590="UNMAPPED",M590=1),ROW(),"")</f>
        <v/>
      </c>
      <c r="O590" s="6">
        <f>IF(AND(I590=1,M590=1),ROW(),"")</f>
        <v/>
      </c>
      <c r="P590" s="6">
        <f>IF(AND(K590="ignored",M590=1),ROW(),"")</f>
        <v/>
      </c>
    </row>
    <row r="591">
      <c r="A591" s="8" t="n"/>
      <c r="B591" s="8" t="n"/>
      <c r="C591" s="6">
        <f>TRIM(A591&amp;"")</f>
        <v/>
      </c>
      <c r="D591" s="6">
        <f>IF(C591="","",SUBSTITUTE(SUBSTITUTE(SUBSTITUTE(SUBSTITUTE(SUBSTITUTE(SUBSTITUTE(SUBSTITUTE(UPPER(TRIM(B591&amp;"")),"₹",""),"RS.",""),"RS",""),"INR",""),"$",""),",","")," ",""))</f>
        <v/>
      </c>
      <c r="E591" s="6">
        <f>IF(C591="","",IF(RIGHT(D591,2)="CR","Cr",IF(RIGHT(D591,2)="DR","Dr","")))</f>
        <v/>
      </c>
      <c r="F591" s="6">
        <f>IF(C591="","",IF(E591&lt;&gt;"",LEFT(D591,LEN(D591)-2),D591))</f>
        <v/>
      </c>
      <c r="G591" s="13">
        <f>IF(C591="","",IF(OR(IF(AND(LEFT(F591,1)="(",RIGHT(F591,1)=")"),MID(F591,2,LEN(F591)-2),F591)="",IF(AND(LEFT(F591,1)="(",RIGHT(F591,1)=")"),MID(F591,2,LEN(F591)-2),F591)="-"),0,IFERROR(VALUE(IF(AND(LEFT(F591,1)="(",RIGHT(F591,1)=")"),MID(F591,2,LEN(F591)-2),F591))*IF(AND(LEFT(F591,1)="(",RIGHT(F591,1)=")"),-1,1)*IF(E591="Cr",Setup!$B$6,1),"ERR")))</f>
        <v/>
      </c>
      <c r="H591" s="6">
        <f>IF(C591="","",IF(ISNUMBER(G591),1,0))</f>
        <v/>
      </c>
      <c r="I591" s="6">
        <f>IF(C591="","",IF(SUMPRODUCT(($C$12:$C$1511=C591)*1)&gt;1,1,0))</f>
        <v/>
      </c>
      <c r="J591" s="6">
        <f>IF(C591="","",SUMPRODUCT((Mapping!$F$5:$F$504=Setup!$B$4&amp;"||"&amp;C591)*ROW(Mapping!$F$5:$F$504)))</f>
        <v/>
      </c>
      <c r="K591" s="6">
        <f>IF(C591="","",IF(J591=0,"UNMAPPED",LOWER(INDEX(Mapping!$D$1:$D$504,J591))))</f>
        <v/>
      </c>
      <c r="L591" s="6">
        <f>IF(K591="mapped",TRIM(INDEX(Mapping!$C$1:$C$504,J591)),"")</f>
        <v/>
      </c>
      <c r="M591" s="6">
        <f>IF(C591="","",IF(SUMPRODUCT(($C$12:C591=C591)*1)=1,1,0))</f>
        <v/>
      </c>
      <c r="N591" s="6">
        <f>IF(AND(K591="UNMAPPED",M591=1),ROW(),"")</f>
        <v/>
      </c>
      <c r="O591" s="6">
        <f>IF(AND(I591=1,M591=1),ROW(),"")</f>
        <v/>
      </c>
      <c r="P591" s="6">
        <f>IF(AND(K591="ignored",M591=1),ROW(),"")</f>
        <v/>
      </c>
    </row>
    <row r="592">
      <c r="A592" s="8" t="n"/>
      <c r="B592" s="8" t="n"/>
      <c r="C592" s="6">
        <f>TRIM(A592&amp;"")</f>
        <v/>
      </c>
      <c r="D592" s="6">
        <f>IF(C592="","",SUBSTITUTE(SUBSTITUTE(SUBSTITUTE(SUBSTITUTE(SUBSTITUTE(SUBSTITUTE(SUBSTITUTE(UPPER(TRIM(B592&amp;"")),"₹",""),"RS.",""),"RS",""),"INR",""),"$",""),",","")," ",""))</f>
        <v/>
      </c>
      <c r="E592" s="6">
        <f>IF(C592="","",IF(RIGHT(D592,2)="CR","Cr",IF(RIGHT(D592,2)="DR","Dr","")))</f>
        <v/>
      </c>
      <c r="F592" s="6">
        <f>IF(C592="","",IF(E592&lt;&gt;"",LEFT(D592,LEN(D592)-2),D592))</f>
        <v/>
      </c>
      <c r="G592" s="13">
        <f>IF(C592="","",IF(OR(IF(AND(LEFT(F592,1)="(",RIGHT(F592,1)=")"),MID(F592,2,LEN(F592)-2),F592)="",IF(AND(LEFT(F592,1)="(",RIGHT(F592,1)=")"),MID(F592,2,LEN(F592)-2),F592)="-"),0,IFERROR(VALUE(IF(AND(LEFT(F592,1)="(",RIGHT(F592,1)=")"),MID(F592,2,LEN(F592)-2),F592))*IF(AND(LEFT(F592,1)="(",RIGHT(F592,1)=")"),-1,1)*IF(E592="Cr",Setup!$B$6,1),"ERR")))</f>
        <v/>
      </c>
      <c r="H592" s="6">
        <f>IF(C592="","",IF(ISNUMBER(G592),1,0))</f>
        <v/>
      </c>
      <c r="I592" s="6">
        <f>IF(C592="","",IF(SUMPRODUCT(($C$12:$C$1511=C592)*1)&gt;1,1,0))</f>
        <v/>
      </c>
      <c r="J592" s="6">
        <f>IF(C592="","",SUMPRODUCT((Mapping!$F$5:$F$504=Setup!$B$4&amp;"||"&amp;C592)*ROW(Mapping!$F$5:$F$504)))</f>
        <v/>
      </c>
      <c r="K592" s="6">
        <f>IF(C592="","",IF(J592=0,"UNMAPPED",LOWER(INDEX(Mapping!$D$1:$D$504,J592))))</f>
        <v/>
      </c>
      <c r="L592" s="6">
        <f>IF(K592="mapped",TRIM(INDEX(Mapping!$C$1:$C$504,J592)),"")</f>
        <v/>
      </c>
      <c r="M592" s="6">
        <f>IF(C592="","",IF(SUMPRODUCT(($C$12:C592=C592)*1)=1,1,0))</f>
        <v/>
      </c>
      <c r="N592" s="6">
        <f>IF(AND(K592="UNMAPPED",M592=1),ROW(),"")</f>
        <v/>
      </c>
      <c r="O592" s="6">
        <f>IF(AND(I592=1,M592=1),ROW(),"")</f>
        <v/>
      </c>
      <c r="P592" s="6">
        <f>IF(AND(K592="ignored",M592=1),ROW(),"")</f>
        <v/>
      </c>
    </row>
    <row r="593">
      <c r="A593" s="8" t="n"/>
      <c r="B593" s="8" t="n"/>
      <c r="C593" s="6">
        <f>TRIM(A593&amp;"")</f>
        <v/>
      </c>
      <c r="D593" s="6">
        <f>IF(C593="","",SUBSTITUTE(SUBSTITUTE(SUBSTITUTE(SUBSTITUTE(SUBSTITUTE(SUBSTITUTE(SUBSTITUTE(UPPER(TRIM(B593&amp;"")),"₹",""),"RS.",""),"RS",""),"INR",""),"$",""),",","")," ",""))</f>
        <v/>
      </c>
      <c r="E593" s="6">
        <f>IF(C593="","",IF(RIGHT(D593,2)="CR","Cr",IF(RIGHT(D593,2)="DR","Dr","")))</f>
        <v/>
      </c>
      <c r="F593" s="6">
        <f>IF(C593="","",IF(E593&lt;&gt;"",LEFT(D593,LEN(D593)-2),D593))</f>
        <v/>
      </c>
      <c r="G593" s="13">
        <f>IF(C593="","",IF(OR(IF(AND(LEFT(F593,1)="(",RIGHT(F593,1)=")"),MID(F593,2,LEN(F593)-2),F593)="",IF(AND(LEFT(F593,1)="(",RIGHT(F593,1)=")"),MID(F593,2,LEN(F593)-2),F593)="-"),0,IFERROR(VALUE(IF(AND(LEFT(F593,1)="(",RIGHT(F593,1)=")"),MID(F593,2,LEN(F593)-2),F593))*IF(AND(LEFT(F593,1)="(",RIGHT(F593,1)=")"),-1,1)*IF(E593="Cr",Setup!$B$6,1),"ERR")))</f>
        <v/>
      </c>
      <c r="H593" s="6">
        <f>IF(C593="","",IF(ISNUMBER(G593),1,0))</f>
        <v/>
      </c>
      <c r="I593" s="6">
        <f>IF(C593="","",IF(SUMPRODUCT(($C$12:$C$1511=C593)*1)&gt;1,1,0))</f>
        <v/>
      </c>
      <c r="J593" s="6">
        <f>IF(C593="","",SUMPRODUCT((Mapping!$F$5:$F$504=Setup!$B$4&amp;"||"&amp;C593)*ROW(Mapping!$F$5:$F$504)))</f>
        <v/>
      </c>
      <c r="K593" s="6">
        <f>IF(C593="","",IF(J593=0,"UNMAPPED",LOWER(INDEX(Mapping!$D$1:$D$504,J593))))</f>
        <v/>
      </c>
      <c r="L593" s="6">
        <f>IF(K593="mapped",TRIM(INDEX(Mapping!$C$1:$C$504,J593)),"")</f>
        <v/>
      </c>
      <c r="M593" s="6">
        <f>IF(C593="","",IF(SUMPRODUCT(($C$12:C593=C593)*1)=1,1,0))</f>
        <v/>
      </c>
      <c r="N593" s="6">
        <f>IF(AND(K593="UNMAPPED",M593=1),ROW(),"")</f>
        <v/>
      </c>
      <c r="O593" s="6">
        <f>IF(AND(I593=1,M593=1),ROW(),"")</f>
        <v/>
      </c>
      <c r="P593" s="6">
        <f>IF(AND(K593="ignored",M593=1),ROW(),"")</f>
        <v/>
      </c>
    </row>
    <row r="594">
      <c r="A594" s="8" t="n"/>
      <c r="B594" s="8" t="n"/>
      <c r="C594" s="6">
        <f>TRIM(A594&amp;"")</f>
        <v/>
      </c>
      <c r="D594" s="6">
        <f>IF(C594="","",SUBSTITUTE(SUBSTITUTE(SUBSTITUTE(SUBSTITUTE(SUBSTITUTE(SUBSTITUTE(SUBSTITUTE(UPPER(TRIM(B594&amp;"")),"₹",""),"RS.",""),"RS",""),"INR",""),"$",""),",","")," ",""))</f>
        <v/>
      </c>
      <c r="E594" s="6">
        <f>IF(C594="","",IF(RIGHT(D594,2)="CR","Cr",IF(RIGHT(D594,2)="DR","Dr","")))</f>
        <v/>
      </c>
      <c r="F594" s="6">
        <f>IF(C594="","",IF(E594&lt;&gt;"",LEFT(D594,LEN(D594)-2),D594))</f>
        <v/>
      </c>
      <c r="G594" s="13">
        <f>IF(C594="","",IF(OR(IF(AND(LEFT(F594,1)="(",RIGHT(F594,1)=")"),MID(F594,2,LEN(F594)-2),F594)="",IF(AND(LEFT(F594,1)="(",RIGHT(F594,1)=")"),MID(F594,2,LEN(F594)-2),F594)="-"),0,IFERROR(VALUE(IF(AND(LEFT(F594,1)="(",RIGHT(F594,1)=")"),MID(F594,2,LEN(F594)-2),F594))*IF(AND(LEFT(F594,1)="(",RIGHT(F594,1)=")"),-1,1)*IF(E594="Cr",Setup!$B$6,1),"ERR")))</f>
        <v/>
      </c>
      <c r="H594" s="6">
        <f>IF(C594="","",IF(ISNUMBER(G594),1,0))</f>
        <v/>
      </c>
      <c r="I594" s="6">
        <f>IF(C594="","",IF(SUMPRODUCT(($C$12:$C$1511=C594)*1)&gt;1,1,0))</f>
        <v/>
      </c>
      <c r="J594" s="6">
        <f>IF(C594="","",SUMPRODUCT((Mapping!$F$5:$F$504=Setup!$B$4&amp;"||"&amp;C594)*ROW(Mapping!$F$5:$F$504)))</f>
        <v/>
      </c>
      <c r="K594" s="6">
        <f>IF(C594="","",IF(J594=0,"UNMAPPED",LOWER(INDEX(Mapping!$D$1:$D$504,J594))))</f>
        <v/>
      </c>
      <c r="L594" s="6">
        <f>IF(K594="mapped",TRIM(INDEX(Mapping!$C$1:$C$504,J594)),"")</f>
        <v/>
      </c>
      <c r="M594" s="6">
        <f>IF(C594="","",IF(SUMPRODUCT(($C$12:C594=C594)*1)=1,1,0))</f>
        <v/>
      </c>
      <c r="N594" s="6">
        <f>IF(AND(K594="UNMAPPED",M594=1),ROW(),"")</f>
        <v/>
      </c>
      <c r="O594" s="6">
        <f>IF(AND(I594=1,M594=1),ROW(),"")</f>
        <v/>
      </c>
      <c r="P594" s="6">
        <f>IF(AND(K594="ignored",M594=1),ROW(),"")</f>
        <v/>
      </c>
    </row>
    <row r="595">
      <c r="A595" s="8" t="n"/>
      <c r="B595" s="8" t="n"/>
      <c r="C595" s="6">
        <f>TRIM(A595&amp;"")</f>
        <v/>
      </c>
      <c r="D595" s="6">
        <f>IF(C595="","",SUBSTITUTE(SUBSTITUTE(SUBSTITUTE(SUBSTITUTE(SUBSTITUTE(SUBSTITUTE(SUBSTITUTE(UPPER(TRIM(B595&amp;"")),"₹",""),"RS.",""),"RS",""),"INR",""),"$",""),",","")," ",""))</f>
        <v/>
      </c>
      <c r="E595" s="6">
        <f>IF(C595="","",IF(RIGHT(D595,2)="CR","Cr",IF(RIGHT(D595,2)="DR","Dr","")))</f>
        <v/>
      </c>
      <c r="F595" s="6">
        <f>IF(C595="","",IF(E595&lt;&gt;"",LEFT(D595,LEN(D595)-2),D595))</f>
        <v/>
      </c>
      <c r="G595" s="13">
        <f>IF(C595="","",IF(OR(IF(AND(LEFT(F595,1)="(",RIGHT(F595,1)=")"),MID(F595,2,LEN(F595)-2),F595)="",IF(AND(LEFT(F595,1)="(",RIGHT(F595,1)=")"),MID(F595,2,LEN(F595)-2),F595)="-"),0,IFERROR(VALUE(IF(AND(LEFT(F595,1)="(",RIGHT(F595,1)=")"),MID(F595,2,LEN(F595)-2),F595))*IF(AND(LEFT(F595,1)="(",RIGHT(F595,1)=")"),-1,1)*IF(E595="Cr",Setup!$B$6,1),"ERR")))</f>
        <v/>
      </c>
      <c r="H595" s="6">
        <f>IF(C595="","",IF(ISNUMBER(G595),1,0))</f>
        <v/>
      </c>
      <c r="I595" s="6">
        <f>IF(C595="","",IF(SUMPRODUCT(($C$12:$C$1511=C595)*1)&gt;1,1,0))</f>
        <v/>
      </c>
      <c r="J595" s="6">
        <f>IF(C595="","",SUMPRODUCT((Mapping!$F$5:$F$504=Setup!$B$4&amp;"||"&amp;C595)*ROW(Mapping!$F$5:$F$504)))</f>
        <v/>
      </c>
      <c r="K595" s="6">
        <f>IF(C595="","",IF(J595=0,"UNMAPPED",LOWER(INDEX(Mapping!$D$1:$D$504,J595))))</f>
        <v/>
      </c>
      <c r="L595" s="6">
        <f>IF(K595="mapped",TRIM(INDEX(Mapping!$C$1:$C$504,J595)),"")</f>
        <v/>
      </c>
      <c r="M595" s="6">
        <f>IF(C595="","",IF(SUMPRODUCT(($C$12:C595=C595)*1)=1,1,0))</f>
        <v/>
      </c>
      <c r="N595" s="6">
        <f>IF(AND(K595="UNMAPPED",M595=1),ROW(),"")</f>
        <v/>
      </c>
      <c r="O595" s="6">
        <f>IF(AND(I595=1,M595=1),ROW(),"")</f>
        <v/>
      </c>
      <c r="P595" s="6">
        <f>IF(AND(K595="ignored",M595=1),ROW(),"")</f>
        <v/>
      </c>
    </row>
    <row r="596">
      <c r="A596" s="8" t="n"/>
      <c r="B596" s="8" t="n"/>
      <c r="C596" s="6">
        <f>TRIM(A596&amp;"")</f>
        <v/>
      </c>
      <c r="D596" s="6">
        <f>IF(C596="","",SUBSTITUTE(SUBSTITUTE(SUBSTITUTE(SUBSTITUTE(SUBSTITUTE(SUBSTITUTE(SUBSTITUTE(UPPER(TRIM(B596&amp;"")),"₹",""),"RS.",""),"RS",""),"INR",""),"$",""),",","")," ",""))</f>
        <v/>
      </c>
      <c r="E596" s="6">
        <f>IF(C596="","",IF(RIGHT(D596,2)="CR","Cr",IF(RIGHT(D596,2)="DR","Dr","")))</f>
        <v/>
      </c>
      <c r="F596" s="6">
        <f>IF(C596="","",IF(E596&lt;&gt;"",LEFT(D596,LEN(D596)-2),D596))</f>
        <v/>
      </c>
      <c r="G596" s="13">
        <f>IF(C596="","",IF(OR(IF(AND(LEFT(F596,1)="(",RIGHT(F596,1)=")"),MID(F596,2,LEN(F596)-2),F596)="",IF(AND(LEFT(F596,1)="(",RIGHT(F596,1)=")"),MID(F596,2,LEN(F596)-2),F596)="-"),0,IFERROR(VALUE(IF(AND(LEFT(F596,1)="(",RIGHT(F596,1)=")"),MID(F596,2,LEN(F596)-2),F596))*IF(AND(LEFT(F596,1)="(",RIGHT(F596,1)=")"),-1,1)*IF(E596="Cr",Setup!$B$6,1),"ERR")))</f>
        <v/>
      </c>
      <c r="H596" s="6">
        <f>IF(C596="","",IF(ISNUMBER(G596),1,0))</f>
        <v/>
      </c>
      <c r="I596" s="6">
        <f>IF(C596="","",IF(SUMPRODUCT(($C$12:$C$1511=C596)*1)&gt;1,1,0))</f>
        <v/>
      </c>
      <c r="J596" s="6">
        <f>IF(C596="","",SUMPRODUCT((Mapping!$F$5:$F$504=Setup!$B$4&amp;"||"&amp;C596)*ROW(Mapping!$F$5:$F$504)))</f>
        <v/>
      </c>
      <c r="K596" s="6">
        <f>IF(C596="","",IF(J596=0,"UNMAPPED",LOWER(INDEX(Mapping!$D$1:$D$504,J596))))</f>
        <v/>
      </c>
      <c r="L596" s="6">
        <f>IF(K596="mapped",TRIM(INDEX(Mapping!$C$1:$C$504,J596)),"")</f>
        <v/>
      </c>
      <c r="M596" s="6">
        <f>IF(C596="","",IF(SUMPRODUCT(($C$12:C596=C596)*1)=1,1,0))</f>
        <v/>
      </c>
      <c r="N596" s="6">
        <f>IF(AND(K596="UNMAPPED",M596=1),ROW(),"")</f>
        <v/>
      </c>
      <c r="O596" s="6">
        <f>IF(AND(I596=1,M596=1),ROW(),"")</f>
        <v/>
      </c>
      <c r="P596" s="6">
        <f>IF(AND(K596="ignored",M596=1),ROW(),"")</f>
        <v/>
      </c>
    </row>
    <row r="597">
      <c r="A597" s="8" t="n"/>
      <c r="B597" s="8" t="n"/>
      <c r="C597" s="6">
        <f>TRIM(A597&amp;"")</f>
        <v/>
      </c>
      <c r="D597" s="6">
        <f>IF(C597="","",SUBSTITUTE(SUBSTITUTE(SUBSTITUTE(SUBSTITUTE(SUBSTITUTE(SUBSTITUTE(SUBSTITUTE(UPPER(TRIM(B597&amp;"")),"₹",""),"RS.",""),"RS",""),"INR",""),"$",""),",","")," ",""))</f>
        <v/>
      </c>
      <c r="E597" s="6">
        <f>IF(C597="","",IF(RIGHT(D597,2)="CR","Cr",IF(RIGHT(D597,2)="DR","Dr","")))</f>
        <v/>
      </c>
      <c r="F597" s="6">
        <f>IF(C597="","",IF(E597&lt;&gt;"",LEFT(D597,LEN(D597)-2),D597))</f>
        <v/>
      </c>
      <c r="G597" s="13">
        <f>IF(C597="","",IF(OR(IF(AND(LEFT(F597,1)="(",RIGHT(F597,1)=")"),MID(F597,2,LEN(F597)-2),F597)="",IF(AND(LEFT(F597,1)="(",RIGHT(F597,1)=")"),MID(F597,2,LEN(F597)-2),F597)="-"),0,IFERROR(VALUE(IF(AND(LEFT(F597,1)="(",RIGHT(F597,1)=")"),MID(F597,2,LEN(F597)-2),F597))*IF(AND(LEFT(F597,1)="(",RIGHT(F597,1)=")"),-1,1)*IF(E597="Cr",Setup!$B$6,1),"ERR")))</f>
        <v/>
      </c>
      <c r="H597" s="6">
        <f>IF(C597="","",IF(ISNUMBER(G597),1,0))</f>
        <v/>
      </c>
      <c r="I597" s="6">
        <f>IF(C597="","",IF(SUMPRODUCT(($C$12:$C$1511=C597)*1)&gt;1,1,0))</f>
        <v/>
      </c>
      <c r="J597" s="6">
        <f>IF(C597="","",SUMPRODUCT((Mapping!$F$5:$F$504=Setup!$B$4&amp;"||"&amp;C597)*ROW(Mapping!$F$5:$F$504)))</f>
        <v/>
      </c>
      <c r="K597" s="6">
        <f>IF(C597="","",IF(J597=0,"UNMAPPED",LOWER(INDEX(Mapping!$D$1:$D$504,J597))))</f>
        <v/>
      </c>
      <c r="L597" s="6">
        <f>IF(K597="mapped",TRIM(INDEX(Mapping!$C$1:$C$504,J597)),"")</f>
        <v/>
      </c>
      <c r="M597" s="6">
        <f>IF(C597="","",IF(SUMPRODUCT(($C$12:C597=C597)*1)=1,1,0))</f>
        <v/>
      </c>
      <c r="N597" s="6">
        <f>IF(AND(K597="UNMAPPED",M597=1),ROW(),"")</f>
        <v/>
      </c>
      <c r="O597" s="6">
        <f>IF(AND(I597=1,M597=1),ROW(),"")</f>
        <v/>
      </c>
      <c r="P597" s="6">
        <f>IF(AND(K597="ignored",M597=1),ROW(),"")</f>
        <v/>
      </c>
    </row>
    <row r="598">
      <c r="A598" s="8" t="n"/>
      <c r="B598" s="8" t="n"/>
      <c r="C598" s="6">
        <f>TRIM(A598&amp;"")</f>
        <v/>
      </c>
      <c r="D598" s="6">
        <f>IF(C598="","",SUBSTITUTE(SUBSTITUTE(SUBSTITUTE(SUBSTITUTE(SUBSTITUTE(SUBSTITUTE(SUBSTITUTE(UPPER(TRIM(B598&amp;"")),"₹",""),"RS.",""),"RS",""),"INR",""),"$",""),",","")," ",""))</f>
        <v/>
      </c>
      <c r="E598" s="6">
        <f>IF(C598="","",IF(RIGHT(D598,2)="CR","Cr",IF(RIGHT(D598,2)="DR","Dr","")))</f>
        <v/>
      </c>
      <c r="F598" s="6">
        <f>IF(C598="","",IF(E598&lt;&gt;"",LEFT(D598,LEN(D598)-2),D598))</f>
        <v/>
      </c>
      <c r="G598" s="13">
        <f>IF(C598="","",IF(OR(IF(AND(LEFT(F598,1)="(",RIGHT(F598,1)=")"),MID(F598,2,LEN(F598)-2),F598)="",IF(AND(LEFT(F598,1)="(",RIGHT(F598,1)=")"),MID(F598,2,LEN(F598)-2),F598)="-"),0,IFERROR(VALUE(IF(AND(LEFT(F598,1)="(",RIGHT(F598,1)=")"),MID(F598,2,LEN(F598)-2),F598))*IF(AND(LEFT(F598,1)="(",RIGHT(F598,1)=")"),-1,1)*IF(E598="Cr",Setup!$B$6,1),"ERR")))</f>
        <v/>
      </c>
      <c r="H598" s="6">
        <f>IF(C598="","",IF(ISNUMBER(G598),1,0))</f>
        <v/>
      </c>
      <c r="I598" s="6">
        <f>IF(C598="","",IF(SUMPRODUCT(($C$12:$C$1511=C598)*1)&gt;1,1,0))</f>
        <v/>
      </c>
      <c r="J598" s="6">
        <f>IF(C598="","",SUMPRODUCT((Mapping!$F$5:$F$504=Setup!$B$4&amp;"||"&amp;C598)*ROW(Mapping!$F$5:$F$504)))</f>
        <v/>
      </c>
      <c r="K598" s="6">
        <f>IF(C598="","",IF(J598=0,"UNMAPPED",LOWER(INDEX(Mapping!$D$1:$D$504,J598))))</f>
        <v/>
      </c>
      <c r="L598" s="6">
        <f>IF(K598="mapped",TRIM(INDEX(Mapping!$C$1:$C$504,J598)),"")</f>
        <v/>
      </c>
      <c r="M598" s="6">
        <f>IF(C598="","",IF(SUMPRODUCT(($C$12:C598=C598)*1)=1,1,0))</f>
        <v/>
      </c>
      <c r="N598" s="6">
        <f>IF(AND(K598="UNMAPPED",M598=1),ROW(),"")</f>
        <v/>
      </c>
      <c r="O598" s="6">
        <f>IF(AND(I598=1,M598=1),ROW(),"")</f>
        <v/>
      </c>
      <c r="P598" s="6">
        <f>IF(AND(K598="ignored",M598=1),ROW(),"")</f>
        <v/>
      </c>
    </row>
    <row r="599">
      <c r="A599" s="8" t="n"/>
      <c r="B599" s="8" t="n"/>
      <c r="C599" s="6">
        <f>TRIM(A599&amp;"")</f>
        <v/>
      </c>
      <c r="D599" s="6">
        <f>IF(C599="","",SUBSTITUTE(SUBSTITUTE(SUBSTITUTE(SUBSTITUTE(SUBSTITUTE(SUBSTITUTE(SUBSTITUTE(UPPER(TRIM(B599&amp;"")),"₹",""),"RS.",""),"RS",""),"INR",""),"$",""),",","")," ",""))</f>
        <v/>
      </c>
      <c r="E599" s="6">
        <f>IF(C599="","",IF(RIGHT(D599,2)="CR","Cr",IF(RIGHT(D599,2)="DR","Dr","")))</f>
        <v/>
      </c>
      <c r="F599" s="6">
        <f>IF(C599="","",IF(E599&lt;&gt;"",LEFT(D599,LEN(D599)-2),D599))</f>
        <v/>
      </c>
      <c r="G599" s="13">
        <f>IF(C599="","",IF(OR(IF(AND(LEFT(F599,1)="(",RIGHT(F599,1)=")"),MID(F599,2,LEN(F599)-2),F599)="",IF(AND(LEFT(F599,1)="(",RIGHT(F599,1)=")"),MID(F599,2,LEN(F599)-2),F599)="-"),0,IFERROR(VALUE(IF(AND(LEFT(F599,1)="(",RIGHT(F599,1)=")"),MID(F599,2,LEN(F599)-2),F599))*IF(AND(LEFT(F599,1)="(",RIGHT(F599,1)=")"),-1,1)*IF(E599="Cr",Setup!$B$6,1),"ERR")))</f>
        <v/>
      </c>
      <c r="H599" s="6">
        <f>IF(C599="","",IF(ISNUMBER(G599),1,0))</f>
        <v/>
      </c>
      <c r="I599" s="6">
        <f>IF(C599="","",IF(SUMPRODUCT(($C$12:$C$1511=C599)*1)&gt;1,1,0))</f>
        <v/>
      </c>
      <c r="J599" s="6">
        <f>IF(C599="","",SUMPRODUCT((Mapping!$F$5:$F$504=Setup!$B$4&amp;"||"&amp;C599)*ROW(Mapping!$F$5:$F$504)))</f>
        <v/>
      </c>
      <c r="K599" s="6">
        <f>IF(C599="","",IF(J599=0,"UNMAPPED",LOWER(INDEX(Mapping!$D$1:$D$504,J599))))</f>
        <v/>
      </c>
      <c r="L599" s="6">
        <f>IF(K599="mapped",TRIM(INDEX(Mapping!$C$1:$C$504,J599)),"")</f>
        <v/>
      </c>
      <c r="M599" s="6">
        <f>IF(C599="","",IF(SUMPRODUCT(($C$12:C599=C599)*1)=1,1,0))</f>
        <v/>
      </c>
      <c r="N599" s="6">
        <f>IF(AND(K599="UNMAPPED",M599=1),ROW(),"")</f>
        <v/>
      </c>
      <c r="O599" s="6">
        <f>IF(AND(I599=1,M599=1),ROW(),"")</f>
        <v/>
      </c>
      <c r="P599" s="6">
        <f>IF(AND(K599="ignored",M599=1),ROW(),"")</f>
        <v/>
      </c>
    </row>
    <row r="600">
      <c r="A600" s="8" t="n"/>
      <c r="B600" s="8" t="n"/>
      <c r="C600" s="6">
        <f>TRIM(A600&amp;"")</f>
        <v/>
      </c>
      <c r="D600" s="6">
        <f>IF(C600="","",SUBSTITUTE(SUBSTITUTE(SUBSTITUTE(SUBSTITUTE(SUBSTITUTE(SUBSTITUTE(SUBSTITUTE(UPPER(TRIM(B600&amp;"")),"₹",""),"RS.",""),"RS",""),"INR",""),"$",""),",","")," ",""))</f>
        <v/>
      </c>
      <c r="E600" s="6">
        <f>IF(C600="","",IF(RIGHT(D600,2)="CR","Cr",IF(RIGHT(D600,2)="DR","Dr","")))</f>
        <v/>
      </c>
      <c r="F600" s="6">
        <f>IF(C600="","",IF(E600&lt;&gt;"",LEFT(D600,LEN(D600)-2),D600))</f>
        <v/>
      </c>
      <c r="G600" s="13">
        <f>IF(C600="","",IF(OR(IF(AND(LEFT(F600,1)="(",RIGHT(F600,1)=")"),MID(F600,2,LEN(F600)-2),F600)="",IF(AND(LEFT(F600,1)="(",RIGHT(F600,1)=")"),MID(F600,2,LEN(F600)-2),F600)="-"),0,IFERROR(VALUE(IF(AND(LEFT(F600,1)="(",RIGHT(F600,1)=")"),MID(F600,2,LEN(F600)-2),F600))*IF(AND(LEFT(F600,1)="(",RIGHT(F600,1)=")"),-1,1)*IF(E600="Cr",Setup!$B$6,1),"ERR")))</f>
        <v/>
      </c>
      <c r="H600" s="6">
        <f>IF(C600="","",IF(ISNUMBER(G600),1,0))</f>
        <v/>
      </c>
      <c r="I600" s="6">
        <f>IF(C600="","",IF(SUMPRODUCT(($C$12:$C$1511=C600)*1)&gt;1,1,0))</f>
        <v/>
      </c>
      <c r="J600" s="6">
        <f>IF(C600="","",SUMPRODUCT((Mapping!$F$5:$F$504=Setup!$B$4&amp;"||"&amp;C600)*ROW(Mapping!$F$5:$F$504)))</f>
        <v/>
      </c>
      <c r="K600" s="6">
        <f>IF(C600="","",IF(J600=0,"UNMAPPED",LOWER(INDEX(Mapping!$D$1:$D$504,J600))))</f>
        <v/>
      </c>
      <c r="L600" s="6">
        <f>IF(K600="mapped",TRIM(INDEX(Mapping!$C$1:$C$504,J600)),"")</f>
        <v/>
      </c>
      <c r="M600" s="6">
        <f>IF(C600="","",IF(SUMPRODUCT(($C$12:C600=C600)*1)=1,1,0))</f>
        <v/>
      </c>
      <c r="N600" s="6">
        <f>IF(AND(K600="UNMAPPED",M600=1),ROW(),"")</f>
        <v/>
      </c>
      <c r="O600" s="6">
        <f>IF(AND(I600=1,M600=1),ROW(),"")</f>
        <v/>
      </c>
      <c r="P600" s="6">
        <f>IF(AND(K600="ignored",M600=1),ROW(),"")</f>
        <v/>
      </c>
    </row>
    <row r="601">
      <c r="A601" s="8" t="n"/>
      <c r="B601" s="8" t="n"/>
      <c r="C601" s="6">
        <f>TRIM(A601&amp;"")</f>
        <v/>
      </c>
      <c r="D601" s="6">
        <f>IF(C601="","",SUBSTITUTE(SUBSTITUTE(SUBSTITUTE(SUBSTITUTE(SUBSTITUTE(SUBSTITUTE(SUBSTITUTE(UPPER(TRIM(B601&amp;"")),"₹",""),"RS.",""),"RS",""),"INR",""),"$",""),",","")," ",""))</f>
        <v/>
      </c>
      <c r="E601" s="6">
        <f>IF(C601="","",IF(RIGHT(D601,2)="CR","Cr",IF(RIGHT(D601,2)="DR","Dr","")))</f>
        <v/>
      </c>
      <c r="F601" s="6">
        <f>IF(C601="","",IF(E601&lt;&gt;"",LEFT(D601,LEN(D601)-2),D601))</f>
        <v/>
      </c>
      <c r="G601" s="13">
        <f>IF(C601="","",IF(OR(IF(AND(LEFT(F601,1)="(",RIGHT(F601,1)=")"),MID(F601,2,LEN(F601)-2),F601)="",IF(AND(LEFT(F601,1)="(",RIGHT(F601,1)=")"),MID(F601,2,LEN(F601)-2),F601)="-"),0,IFERROR(VALUE(IF(AND(LEFT(F601,1)="(",RIGHT(F601,1)=")"),MID(F601,2,LEN(F601)-2),F601))*IF(AND(LEFT(F601,1)="(",RIGHT(F601,1)=")"),-1,1)*IF(E601="Cr",Setup!$B$6,1),"ERR")))</f>
        <v/>
      </c>
      <c r="H601" s="6">
        <f>IF(C601="","",IF(ISNUMBER(G601),1,0))</f>
        <v/>
      </c>
      <c r="I601" s="6">
        <f>IF(C601="","",IF(SUMPRODUCT(($C$12:$C$1511=C601)*1)&gt;1,1,0))</f>
        <v/>
      </c>
      <c r="J601" s="6">
        <f>IF(C601="","",SUMPRODUCT((Mapping!$F$5:$F$504=Setup!$B$4&amp;"||"&amp;C601)*ROW(Mapping!$F$5:$F$504)))</f>
        <v/>
      </c>
      <c r="K601" s="6">
        <f>IF(C601="","",IF(J601=0,"UNMAPPED",LOWER(INDEX(Mapping!$D$1:$D$504,J601))))</f>
        <v/>
      </c>
      <c r="L601" s="6">
        <f>IF(K601="mapped",TRIM(INDEX(Mapping!$C$1:$C$504,J601)),"")</f>
        <v/>
      </c>
      <c r="M601" s="6">
        <f>IF(C601="","",IF(SUMPRODUCT(($C$12:C601=C601)*1)=1,1,0))</f>
        <v/>
      </c>
      <c r="N601" s="6">
        <f>IF(AND(K601="UNMAPPED",M601=1),ROW(),"")</f>
        <v/>
      </c>
      <c r="O601" s="6">
        <f>IF(AND(I601=1,M601=1),ROW(),"")</f>
        <v/>
      </c>
      <c r="P601" s="6">
        <f>IF(AND(K601="ignored",M601=1),ROW(),"")</f>
        <v/>
      </c>
    </row>
    <row r="602">
      <c r="A602" s="8" t="n"/>
      <c r="B602" s="8" t="n"/>
      <c r="C602" s="6">
        <f>TRIM(A602&amp;"")</f>
        <v/>
      </c>
      <c r="D602" s="6">
        <f>IF(C602="","",SUBSTITUTE(SUBSTITUTE(SUBSTITUTE(SUBSTITUTE(SUBSTITUTE(SUBSTITUTE(SUBSTITUTE(UPPER(TRIM(B602&amp;"")),"₹",""),"RS.",""),"RS",""),"INR",""),"$",""),",","")," ",""))</f>
        <v/>
      </c>
      <c r="E602" s="6">
        <f>IF(C602="","",IF(RIGHT(D602,2)="CR","Cr",IF(RIGHT(D602,2)="DR","Dr","")))</f>
        <v/>
      </c>
      <c r="F602" s="6">
        <f>IF(C602="","",IF(E602&lt;&gt;"",LEFT(D602,LEN(D602)-2),D602))</f>
        <v/>
      </c>
      <c r="G602" s="13">
        <f>IF(C602="","",IF(OR(IF(AND(LEFT(F602,1)="(",RIGHT(F602,1)=")"),MID(F602,2,LEN(F602)-2),F602)="",IF(AND(LEFT(F602,1)="(",RIGHT(F602,1)=")"),MID(F602,2,LEN(F602)-2),F602)="-"),0,IFERROR(VALUE(IF(AND(LEFT(F602,1)="(",RIGHT(F602,1)=")"),MID(F602,2,LEN(F602)-2),F602))*IF(AND(LEFT(F602,1)="(",RIGHT(F602,1)=")"),-1,1)*IF(E602="Cr",Setup!$B$6,1),"ERR")))</f>
        <v/>
      </c>
      <c r="H602" s="6">
        <f>IF(C602="","",IF(ISNUMBER(G602),1,0))</f>
        <v/>
      </c>
      <c r="I602" s="6">
        <f>IF(C602="","",IF(SUMPRODUCT(($C$12:$C$1511=C602)*1)&gt;1,1,0))</f>
        <v/>
      </c>
      <c r="J602" s="6">
        <f>IF(C602="","",SUMPRODUCT((Mapping!$F$5:$F$504=Setup!$B$4&amp;"||"&amp;C602)*ROW(Mapping!$F$5:$F$504)))</f>
        <v/>
      </c>
      <c r="K602" s="6">
        <f>IF(C602="","",IF(J602=0,"UNMAPPED",LOWER(INDEX(Mapping!$D$1:$D$504,J602))))</f>
        <v/>
      </c>
      <c r="L602" s="6">
        <f>IF(K602="mapped",TRIM(INDEX(Mapping!$C$1:$C$504,J602)),"")</f>
        <v/>
      </c>
      <c r="M602" s="6">
        <f>IF(C602="","",IF(SUMPRODUCT(($C$12:C602=C602)*1)=1,1,0))</f>
        <v/>
      </c>
      <c r="N602" s="6">
        <f>IF(AND(K602="UNMAPPED",M602=1),ROW(),"")</f>
        <v/>
      </c>
      <c r="O602" s="6">
        <f>IF(AND(I602=1,M602=1),ROW(),"")</f>
        <v/>
      </c>
      <c r="P602" s="6">
        <f>IF(AND(K602="ignored",M602=1),ROW(),"")</f>
        <v/>
      </c>
    </row>
    <row r="603">
      <c r="A603" s="8" t="n"/>
      <c r="B603" s="8" t="n"/>
      <c r="C603" s="6">
        <f>TRIM(A603&amp;"")</f>
        <v/>
      </c>
      <c r="D603" s="6">
        <f>IF(C603="","",SUBSTITUTE(SUBSTITUTE(SUBSTITUTE(SUBSTITUTE(SUBSTITUTE(SUBSTITUTE(SUBSTITUTE(UPPER(TRIM(B603&amp;"")),"₹",""),"RS.",""),"RS",""),"INR",""),"$",""),",","")," ",""))</f>
        <v/>
      </c>
      <c r="E603" s="6">
        <f>IF(C603="","",IF(RIGHT(D603,2)="CR","Cr",IF(RIGHT(D603,2)="DR","Dr","")))</f>
        <v/>
      </c>
      <c r="F603" s="6">
        <f>IF(C603="","",IF(E603&lt;&gt;"",LEFT(D603,LEN(D603)-2),D603))</f>
        <v/>
      </c>
      <c r="G603" s="13">
        <f>IF(C603="","",IF(OR(IF(AND(LEFT(F603,1)="(",RIGHT(F603,1)=")"),MID(F603,2,LEN(F603)-2),F603)="",IF(AND(LEFT(F603,1)="(",RIGHT(F603,1)=")"),MID(F603,2,LEN(F603)-2),F603)="-"),0,IFERROR(VALUE(IF(AND(LEFT(F603,1)="(",RIGHT(F603,1)=")"),MID(F603,2,LEN(F603)-2),F603))*IF(AND(LEFT(F603,1)="(",RIGHT(F603,1)=")"),-1,1)*IF(E603="Cr",Setup!$B$6,1),"ERR")))</f>
        <v/>
      </c>
      <c r="H603" s="6">
        <f>IF(C603="","",IF(ISNUMBER(G603),1,0))</f>
        <v/>
      </c>
      <c r="I603" s="6">
        <f>IF(C603="","",IF(SUMPRODUCT(($C$12:$C$1511=C603)*1)&gt;1,1,0))</f>
        <v/>
      </c>
      <c r="J603" s="6">
        <f>IF(C603="","",SUMPRODUCT((Mapping!$F$5:$F$504=Setup!$B$4&amp;"||"&amp;C603)*ROW(Mapping!$F$5:$F$504)))</f>
        <v/>
      </c>
      <c r="K603" s="6">
        <f>IF(C603="","",IF(J603=0,"UNMAPPED",LOWER(INDEX(Mapping!$D$1:$D$504,J603))))</f>
        <v/>
      </c>
      <c r="L603" s="6">
        <f>IF(K603="mapped",TRIM(INDEX(Mapping!$C$1:$C$504,J603)),"")</f>
        <v/>
      </c>
      <c r="M603" s="6">
        <f>IF(C603="","",IF(SUMPRODUCT(($C$12:C603=C603)*1)=1,1,0))</f>
        <v/>
      </c>
      <c r="N603" s="6">
        <f>IF(AND(K603="UNMAPPED",M603=1),ROW(),"")</f>
        <v/>
      </c>
      <c r="O603" s="6">
        <f>IF(AND(I603=1,M603=1),ROW(),"")</f>
        <v/>
      </c>
      <c r="P603" s="6">
        <f>IF(AND(K603="ignored",M603=1),ROW(),"")</f>
        <v/>
      </c>
    </row>
    <row r="604">
      <c r="A604" s="8" t="n"/>
      <c r="B604" s="8" t="n"/>
      <c r="C604" s="6">
        <f>TRIM(A604&amp;"")</f>
        <v/>
      </c>
      <c r="D604" s="6">
        <f>IF(C604="","",SUBSTITUTE(SUBSTITUTE(SUBSTITUTE(SUBSTITUTE(SUBSTITUTE(SUBSTITUTE(SUBSTITUTE(UPPER(TRIM(B604&amp;"")),"₹",""),"RS.",""),"RS",""),"INR",""),"$",""),",","")," ",""))</f>
        <v/>
      </c>
      <c r="E604" s="6">
        <f>IF(C604="","",IF(RIGHT(D604,2)="CR","Cr",IF(RIGHT(D604,2)="DR","Dr","")))</f>
        <v/>
      </c>
      <c r="F604" s="6">
        <f>IF(C604="","",IF(E604&lt;&gt;"",LEFT(D604,LEN(D604)-2),D604))</f>
        <v/>
      </c>
      <c r="G604" s="13">
        <f>IF(C604="","",IF(OR(IF(AND(LEFT(F604,1)="(",RIGHT(F604,1)=")"),MID(F604,2,LEN(F604)-2),F604)="",IF(AND(LEFT(F604,1)="(",RIGHT(F604,1)=")"),MID(F604,2,LEN(F604)-2),F604)="-"),0,IFERROR(VALUE(IF(AND(LEFT(F604,1)="(",RIGHT(F604,1)=")"),MID(F604,2,LEN(F604)-2),F604))*IF(AND(LEFT(F604,1)="(",RIGHT(F604,1)=")"),-1,1)*IF(E604="Cr",Setup!$B$6,1),"ERR")))</f>
        <v/>
      </c>
      <c r="H604" s="6">
        <f>IF(C604="","",IF(ISNUMBER(G604),1,0))</f>
        <v/>
      </c>
      <c r="I604" s="6">
        <f>IF(C604="","",IF(SUMPRODUCT(($C$12:$C$1511=C604)*1)&gt;1,1,0))</f>
        <v/>
      </c>
      <c r="J604" s="6">
        <f>IF(C604="","",SUMPRODUCT((Mapping!$F$5:$F$504=Setup!$B$4&amp;"||"&amp;C604)*ROW(Mapping!$F$5:$F$504)))</f>
        <v/>
      </c>
      <c r="K604" s="6">
        <f>IF(C604="","",IF(J604=0,"UNMAPPED",LOWER(INDEX(Mapping!$D$1:$D$504,J604))))</f>
        <v/>
      </c>
      <c r="L604" s="6">
        <f>IF(K604="mapped",TRIM(INDEX(Mapping!$C$1:$C$504,J604)),"")</f>
        <v/>
      </c>
      <c r="M604" s="6">
        <f>IF(C604="","",IF(SUMPRODUCT(($C$12:C604=C604)*1)=1,1,0))</f>
        <v/>
      </c>
      <c r="N604" s="6">
        <f>IF(AND(K604="UNMAPPED",M604=1),ROW(),"")</f>
        <v/>
      </c>
      <c r="O604" s="6">
        <f>IF(AND(I604=1,M604=1),ROW(),"")</f>
        <v/>
      </c>
      <c r="P604" s="6">
        <f>IF(AND(K604="ignored",M604=1),ROW(),"")</f>
        <v/>
      </c>
    </row>
    <row r="605">
      <c r="A605" s="8" t="n"/>
      <c r="B605" s="8" t="n"/>
      <c r="C605" s="6">
        <f>TRIM(A605&amp;"")</f>
        <v/>
      </c>
      <c r="D605" s="6">
        <f>IF(C605="","",SUBSTITUTE(SUBSTITUTE(SUBSTITUTE(SUBSTITUTE(SUBSTITUTE(SUBSTITUTE(SUBSTITUTE(UPPER(TRIM(B605&amp;"")),"₹",""),"RS.",""),"RS",""),"INR",""),"$",""),",","")," ",""))</f>
        <v/>
      </c>
      <c r="E605" s="6">
        <f>IF(C605="","",IF(RIGHT(D605,2)="CR","Cr",IF(RIGHT(D605,2)="DR","Dr","")))</f>
        <v/>
      </c>
      <c r="F605" s="6">
        <f>IF(C605="","",IF(E605&lt;&gt;"",LEFT(D605,LEN(D605)-2),D605))</f>
        <v/>
      </c>
      <c r="G605" s="13">
        <f>IF(C605="","",IF(OR(IF(AND(LEFT(F605,1)="(",RIGHT(F605,1)=")"),MID(F605,2,LEN(F605)-2),F605)="",IF(AND(LEFT(F605,1)="(",RIGHT(F605,1)=")"),MID(F605,2,LEN(F605)-2),F605)="-"),0,IFERROR(VALUE(IF(AND(LEFT(F605,1)="(",RIGHT(F605,1)=")"),MID(F605,2,LEN(F605)-2),F605))*IF(AND(LEFT(F605,1)="(",RIGHT(F605,1)=")"),-1,1)*IF(E605="Cr",Setup!$B$6,1),"ERR")))</f>
        <v/>
      </c>
      <c r="H605" s="6">
        <f>IF(C605="","",IF(ISNUMBER(G605),1,0))</f>
        <v/>
      </c>
      <c r="I605" s="6">
        <f>IF(C605="","",IF(SUMPRODUCT(($C$12:$C$1511=C605)*1)&gt;1,1,0))</f>
        <v/>
      </c>
      <c r="J605" s="6">
        <f>IF(C605="","",SUMPRODUCT((Mapping!$F$5:$F$504=Setup!$B$4&amp;"||"&amp;C605)*ROW(Mapping!$F$5:$F$504)))</f>
        <v/>
      </c>
      <c r="K605" s="6">
        <f>IF(C605="","",IF(J605=0,"UNMAPPED",LOWER(INDEX(Mapping!$D$1:$D$504,J605))))</f>
        <v/>
      </c>
      <c r="L605" s="6">
        <f>IF(K605="mapped",TRIM(INDEX(Mapping!$C$1:$C$504,J605)),"")</f>
        <v/>
      </c>
      <c r="M605" s="6">
        <f>IF(C605="","",IF(SUMPRODUCT(($C$12:C605=C605)*1)=1,1,0))</f>
        <v/>
      </c>
      <c r="N605" s="6">
        <f>IF(AND(K605="UNMAPPED",M605=1),ROW(),"")</f>
        <v/>
      </c>
      <c r="O605" s="6">
        <f>IF(AND(I605=1,M605=1),ROW(),"")</f>
        <v/>
      </c>
      <c r="P605" s="6">
        <f>IF(AND(K605="ignored",M605=1),ROW(),"")</f>
        <v/>
      </c>
    </row>
    <row r="606">
      <c r="A606" s="8" t="n"/>
      <c r="B606" s="8" t="n"/>
      <c r="C606" s="6">
        <f>TRIM(A606&amp;"")</f>
        <v/>
      </c>
      <c r="D606" s="6">
        <f>IF(C606="","",SUBSTITUTE(SUBSTITUTE(SUBSTITUTE(SUBSTITUTE(SUBSTITUTE(SUBSTITUTE(SUBSTITUTE(UPPER(TRIM(B606&amp;"")),"₹",""),"RS.",""),"RS",""),"INR",""),"$",""),",","")," ",""))</f>
        <v/>
      </c>
      <c r="E606" s="6">
        <f>IF(C606="","",IF(RIGHT(D606,2)="CR","Cr",IF(RIGHT(D606,2)="DR","Dr","")))</f>
        <v/>
      </c>
      <c r="F606" s="6">
        <f>IF(C606="","",IF(E606&lt;&gt;"",LEFT(D606,LEN(D606)-2),D606))</f>
        <v/>
      </c>
      <c r="G606" s="13">
        <f>IF(C606="","",IF(OR(IF(AND(LEFT(F606,1)="(",RIGHT(F606,1)=")"),MID(F606,2,LEN(F606)-2),F606)="",IF(AND(LEFT(F606,1)="(",RIGHT(F606,1)=")"),MID(F606,2,LEN(F606)-2),F606)="-"),0,IFERROR(VALUE(IF(AND(LEFT(F606,1)="(",RIGHT(F606,1)=")"),MID(F606,2,LEN(F606)-2),F606))*IF(AND(LEFT(F606,1)="(",RIGHT(F606,1)=")"),-1,1)*IF(E606="Cr",Setup!$B$6,1),"ERR")))</f>
        <v/>
      </c>
      <c r="H606" s="6">
        <f>IF(C606="","",IF(ISNUMBER(G606),1,0))</f>
        <v/>
      </c>
      <c r="I606" s="6">
        <f>IF(C606="","",IF(SUMPRODUCT(($C$12:$C$1511=C606)*1)&gt;1,1,0))</f>
        <v/>
      </c>
      <c r="J606" s="6">
        <f>IF(C606="","",SUMPRODUCT((Mapping!$F$5:$F$504=Setup!$B$4&amp;"||"&amp;C606)*ROW(Mapping!$F$5:$F$504)))</f>
        <v/>
      </c>
      <c r="K606" s="6">
        <f>IF(C606="","",IF(J606=0,"UNMAPPED",LOWER(INDEX(Mapping!$D$1:$D$504,J606))))</f>
        <v/>
      </c>
      <c r="L606" s="6">
        <f>IF(K606="mapped",TRIM(INDEX(Mapping!$C$1:$C$504,J606)),"")</f>
        <v/>
      </c>
      <c r="M606" s="6">
        <f>IF(C606="","",IF(SUMPRODUCT(($C$12:C606=C606)*1)=1,1,0))</f>
        <v/>
      </c>
      <c r="N606" s="6">
        <f>IF(AND(K606="UNMAPPED",M606=1),ROW(),"")</f>
        <v/>
      </c>
      <c r="O606" s="6">
        <f>IF(AND(I606=1,M606=1),ROW(),"")</f>
        <v/>
      </c>
      <c r="P606" s="6">
        <f>IF(AND(K606="ignored",M606=1),ROW(),"")</f>
        <v/>
      </c>
    </row>
    <row r="607">
      <c r="A607" s="8" t="n"/>
      <c r="B607" s="8" t="n"/>
      <c r="C607" s="6">
        <f>TRIM(A607&amp;"")</f>
        <v/>
      </c>
      <c r="D607" s="6">
        <f>IF(C607="","",SUBSTITUTE(SUBSTITUTE(SUBSTITUTE(SUBSTITUTE(SUBSTITUTE(SUBSTITUTE(SUBSTITUTE(UPPER(TRIM(B607&amp;"")),"₹",""),"RS.",""),"RS",""),"INR",""),"$",""),",","")," ",""))</f>
        <v/>
      </c>
      <c r="E607" s="6">
        <f>IF(C607="","",IF(RIGHT(D607,2)="CR","Cr",IF(RIGHT(D607,2)="DR","Dr","")))</f>
        <v/>
      </c>
      <c r="F607" s="6">
        <f>IF(C607="","",IF(E607&lt;&gt;"",LEFT(D607,LEN(D607)-2),D607))</f>
        <v/>
      </c>
      <c r="G607" s="13">
        <f>IF(C607="","",IF(OR(IF(AND(LEFT(F607,1)="(",RIGHT(F607,1)=")"),MID(F607,2,LEN(F607)-2),F607)="",IF(AND(LEFT(F607,1)="(",RIGHT(F607,1)=")"),MID(F607,2,LEN(F607)-2),F607)="-"),0,IFERROR(VALUE(IF(AND(LEFT(F607,1)="(",RIGHT(F607,1)=")"),MID(F607,2,LEN(F607)-2),F607))*IF(AND(LEFT(F607,1)="(",RIGHT(F607,1)=")"),-1,1)*IF(E607="Cr",Setup!$B$6,1),"ERR")))</f>
        <v/>
      </c>
      <c r="H607" s="6">
        <f>IF(C607="","",IF(ISNUMBER(G607),1,0))</f>
        <v/>
      </c>
      <c r="I607" s="6">
        <f>IF(C607="","",IF(SUMPRODUCT(($C$12:$C$1511=C607)*1)&gt;1,1,0))</f>
        <v/>
      </c>
      <c r="J607" s="6">
        <f>IF(C607="","",SUMPRODUCT((Mapping!$F$5:$F$504=Setup!$B$4&amp;"||"&amp;C607)*ROW(Mapping!$F$5:$F$504)))</f>
        <v/>
      </c>
      <c r="K607" s="6">
        <f>IF(C607="","",IF(J607=0,"UNMAPPED",LOWER(INDEX(Mapping!$D$1:$D$504,J607))))</f>
        <v/>
      </c>
      <c r="L607" s="6">
        <f>IF(K607="mapped",TRIM(INDEX(Mapping!$C$1:$C$504,J607)),"")</f>
        <v/>
      </c>
      <c r="M607" s="6">
        <f>IF(C607="","",IF(SUMPRODUCT(($C$12:C607=C607)*1)=1,1,0))</f>
        <v/>
      </c>
      <c r="N607" s="6">
        <f>IF(AND(K607="UNMAPPED",M607=1),ROW(),"")</f>
        <v/>
      </c>
      <c r="O607" s="6">
        <f>IF(AND(I607=1,M607=1),ROW(),"")</f>
        <v/>
      </c>
      <c r="P607" s="6">
        <f>IF(AND(K607="ignored",M607=1),ROW(),"")</f>
        <v/>
      </c>
    </row>
    <row r="608">
      <c r="A608" s="8" t="n"/>
      <c r="B608" s="8" t="n"/>
      <c r="C608" s="6">
        <f>TRIM(A608&amp;"")</f>
        <v/>
      </c>
      <c r="D608" s="6">
        <f>IF(C608="","",SUBSTITUTE(SUBSTITUTE(SUBSTITUTE(SUBSTITUTE(SUBSTITUTE(SUBSTITUTE(SUBSTITUTE(UPPER(TRIM(B608&amp;"")),"₹",""),"RS.",""),"RS",""),"INR",""),"$",""),",","")," ",""))</f>
        <v/>
      </c>
      <c r="E608" s="6">
        <f>IF(C608="","",IF(RIGHT(D608,2)="CR","Cr",IF(RIGHT(D608,2)="DR","Dr","")))</f>
        <v/>
      </c>
      <c r="F608" s="6">
        <f>IF(C608="","",IF(E608&lt;&gt;"",LEFT(D608,LEN(D608)-2),D608))</f>
        <v/>
      </c>
      <c r="G608" s="13">
        <f>IF(C608="","",IF(OR(IF(AND(LEFT(F608,1)="(",RIGHT(F608,1)=")"),MID(F608,2,LEN(F608)-2),F608)="",IF(AND(LEFT(F608,1)="(",RIGHT(F608,1)=")"),MID(F608,2,LEN(F608)-2),F608)="-"),0,IFERROR(VALUE(IF(AND(LEFT(F608,1)="(",RIGHT(F608,1)=")"),MID(F608,2,LEN(F608)-2),F608))*IF(AND(LEFT(F608,1)="(",RIGHT(F608,1)=")"),-1,1)*IF(E608="Cr",Setup!$B$6,1),"ERR")))</f>
        <v/>
      </c>
      <c r="H608" s="6">
        <f>IF(C608="","",IF(ISNUMBER(G608),1,0))</f>
        <v/>
      </c>
      <c r="I608" s="6">
        <f>IF(C608="","",IF(SUMPRODUCT(($C$12:$C$1511=C608)*1)&gt;1,1,0))</f>
        <v/>
      </c>
      <c r="J608" s="6">
        <f>IF(C608="","",SUMPRODUCT((Mapping!$F$5:$F$504=Setup!$B$4&amp;"||"&amp;C608)*ROW(Mapping!$F$5:$F$504)))</f>
        <v/>
      </c>
      <c r="K608" s="6">
        <f>IF(C608="","",IF(J608=0,"UNMAPPED",LOWER(INDEX(Mapping!$D$1:$D$504,J608))))</f>
        <v/>
      </c>
      <c r="L608" s="6">
        <f>IF(K608="mapped",TRIM(INDEX(Mapping!$C$1:$C$504,J608)),"")</f>
        <v/>
      </c>
      <c r="M608" s="6">
        <f>IF(C608="","",IF(SUMPRODUCT(($C$12:C608=C608)*1)=1,1,0))</f>
        <v/>
      </c>
      <c r="N608" s="6">
        <f>IF(AND(K608="UNMAPPED",M608=1),ROW(),"")</f>
        <v/>
      </c>
      <c r="O608" s="6">
        <f>IF(AND(I608=1,M608=1),ROW(),"")</f>
        <v/>
      </c>
      <c r="P608" s="6">
        <f>IF(AND(K608="ignored",M608=1),ROW(),"")</f>
        <v/>
      </c>
    </row>
    <row r="609">
      <c r="A609" s="8" t="n"/>
      <c r="B609" s="8" t="n"/>
      <c r="C609" s="6">
        <f>TRIM(A609&amp;"")</f>
        <v/>
      </c>
      <c r="D609" s="6">
        <f>IF(C609="","",SUBSTITUTE(SUBSTITUTE(SUBSTITUTE(SUBSTITUTE(SUBSTITUTE(SUBSTITUTE(SUBSTITUTE(UPPER(TRIM(B609&amp;"")),"₹",""),"RS.",""),"RS",""),"INR",""),"$",""),",","")," ",""))</f>
        <v/>
      </c>
      <c r="E609" s="6">
        <f>IF(C609="","",IF(RIGHT(D609,2)="CR","Cr",IF(RIGHT(D609,2)="DR","Dr","")))</f>
        <v/>
      </c>
      <c r="F609" s="6">
        <f>IF(C609="","",IF(E609&lt;&gt;"",LEFT(D609,LEN(D609)-2),D609))</f>
        <v/>
      </c>
      <c r="G609" s="13">
        <f>IF(C609="","",IF(OR(IF(AND(LEFT(F609,1)="(",RIGHT(F609,1)=")"),MID(F609,2,LEN(F609)-2),F609)="",IF(AND(LEFT(F609,1)="(",RIGHT(F609,1)=")"),MID(F609,2,LEN(F609)-2),F609)="-"),0,IFERROR(VALUE(IF(AND(LEFT(F609,1)="(",RIGHT(F609,1)=")"),MID(F609,2,LEN(F609)-2),F609))*IF(AND(LEFT(F609,1)="(",RIGHT(F609,1)=")"),-1,1)*IF(E609="Cr",Setup!$B$6,1),"ERR")))</f>
        <v/>
      </c>
      <c r="H609" s="6">
        <f>IF(C609="","",IF(ISNUMBER(G609),1,0))</f>
        <v/>
      </c>
      <c r="I609" s="6">
        <f>IF(C609="","",IF(SUMPRODUCT(($C$12:$C$1511=C609)*1)&gt;1,1,0))</f>
        <v/>
      </c>
      <c r="J609" s="6">
        <f>IF(C609="","",SUMPRODUCT((Mapping!$F$5:$F$504=Setup!$B$4&amp;"||"&amp;C609)*ROW(Mapping!$F$5:$F$504)))</f>
        <v/>
      </c>
      <c r="K609" s="6">
        <f>IF(C609="","",IF(J609=0,"UNMAPPED",LOWER(INDEX(Mapping!$D$1:$D$504,J609))))</f>
        <v/>
      </c>
      <c r="L609" s="6">
        <f>IF(K609="mapped",TRIM(INDEX(Mapping!$C$1:$C$504,J609)),"")</f>
        <v/>
      </c>
      <c r="M609" s="6">
        <f>IF(C609="","",IF(SUMPRODUCT(($C$12:C609=C609)*1)=1,1,0))</f>
        <v/>
      </c>
      <c r="N609" s="6">
        <f>IF(AND(K609="UNMAPPED",M609=1),ROW(),"")</f>
        <v/>
      </c>
      <c r="O609" s="6">
        <f>IF(AND(I609=1,M609=1),ROW(),"")</f>
        <v/>
      </c>
      <c r="P609" s="6">
        <f>IF(AND(K609="ignored",M609=1),ROW(),"")</f>
        <v/>
      </c>
    </row>
    <row r="610">
      <c r="A610" s="8" t="n"/>
      <c r="B610" s="8" t="n"/>
      <c r="C610" s="6">
        <f>TRIM(A610&amp;"")</f>
        <v/>
      </c>
      <c r="D610" s="6">
        <f>IF(C610="","",SUBSTITUTE(SUBSTITUTE(SUBSTITUTE(SUBSTITUTE(SUBSTITUTE(SUBSTITUTE(SUBSTITUTE(UPPER(TRIM(B610&amp;"")),"₹",""),"RS.",""),"RS",""),"INR",""),"$",""),",","")," ",""))</f>
        <v/>
      </c>
      <c r="E610" s="6">
        <f>IF(C610="","",IF(RIGHT(D610,2)="CR","Cr",IF(RIGHT(D610,2)="DR","Dr","")))</f>
        <v/>
      </c>
      <c r="F610" s="6">
        <f>IF(C610="","",IF(E610&lt;&gt;"",LEFT(D610,LEN(D610)-2),D610))</f>
        <v/>
      </c>
      <c r="G610" s="13">
        <f>IF(C610="","",IF(OR(IF(AND(LEFT(F610,1)="(",RIGHT(F610,1)=")"),MID(F610,2,LEN(F610)-2),F610)="",IF(AND(LEFT(F610,1)="(",RIGHT(F610,1)=")"),MID(F610,2,LEN(F610)-2),F610)="-"),0,IFERROR(VALUE(IF(AND(LEFT(F610,1)="(",RIGHT(F610,1)=")"),MID(F610,2,LEN(F610)-2),F610))*IF(AND(LEFT(F610,1)="(",RIGHT(F610,1)=")"),-1,1)*IF(E610="Cr",Setup!$B$6,1),"ERR")))</f>
        <v/>
      </c>
      <c r="H610" s="6">
        <f>IF(C610="","",IF(ISNUMBER(G610),1,0))</f>
        <v/>
      </c>
      <c r="I610" s="6">
        <f>IF(C610="","",IF(SUMPRODUCT(($C$12:$C$1511=C610)*1)&gt;1,1,0))</f>
        <v/>
      </c>
      <c r="J610" s="6">
        <f>IF(C610="","",SUMPRODUCT((Mapping!$F$5:$F$504=Setup!$B$4&amp;"||"&amp;C610)*ROW(Mapping!$F$5:$F$504)))</f>
        <v/>
      </c>
      <c r="K610" s="6">
        <f>IF(C610="","",IF(J610=0,"UNMAPPED",LOWER(INDEX(Mapping!$D$1:$D$504,J610))))</f>
        <v/>
      </c>
      <c r="L610" s="6">
        <f>IF(K610="mapped",TRIM(INDEX(Mapping!$C$1:$C$504,J610)),"")</f>
        <v/>
      </c>
      <c r="M610" s="6">
        <f>IF(C610="","",IF(SUMPRODUCT(($C$12:C610=C610)*1)=1,1,0))</f>
        <v/>
      </c>
      <c r="N610" s="6">
        <f>IF(AND(K610="UNMAPPED",M610=1),ROW(),"")</f>
        <v/>
      </c>
      <c r="O610" s="6">
        <f>IF(AND(I610=1,M610=1),ROW(),"")</f>
        <v/>
      </c>
      <c r="P610" s="6">
        <f>IF(AND(K610="ignored",M610=1),ROW(),"")</f>
        <v/>
      </c>
    </row>
    <row r="611">
      <c r="A611" s="8" t="n"/>
      <c r="B611" s="8" t="n"/>
      <c r="C611" s="6">
        <f>TRIM(A611&amp;"")</f>
        <v/>
      </c>
      <c r="D611" s="6">
        <f>IF(C611="","",SUBSTITUTE(SUBSTITUTE(SUBSTITUTE(SUBSTITUTE(SUBSTITUTE(SUBSTITUTE(SUBSTITUTE(UPPER(TRIM(B611&amp;"")),"₹",""),"RS.",""),"RS",""),"INR",""),"$",""),",","")," ",""))</f>
        <v/>
      </c>
      <c r="E611" s="6">
        <f>IF(C611="","",IF(RIGHT(D611,2)="CR","Cr",IF(RIGHT(D611,2)="DR","Dr","")))</f>
        <v/>
      </c>
      <c r="F611" s="6">
        <f>IF(C611="","",IF(E611&lt;&gt;"",LEFT(D611,LEN(D611)-2),D611))</f>
        <v/>
      </c>
      <c r="G611" s="13">
        <f>IF(C611="","",IF(OR(IF(AND(LEFT(F611,1)="(",RIGHT(F611,1)=")"),MID(F611,2,LEN(F611)-2),F611)="",IF(AND(LEFT(F611,1)="(",RIGHT(F611,1)=")"),MID(F611,2,LEN(F611)-2),F611)="-"),0,IFERROR(VALUE(IF(AND(LEFT(F611,1)="(",RIGHT(F611,1)=")"),MID(F611,2,LEN(F611)-2),F611))*IF(AND(LEFT(F611,1)="(",RIGHT(F611,1)=")"),-1,1)*IF(E611="Cr",Setup!$B$6,1),"ERR")))</f>
        <v/>
      </c>
      <c r="H611" s="6">
        <f>IF(C611="","",IF(ISNUMBER(G611),1,0))</f>
        <v/>
      </c>
      <c r="I611" s="6">
        <f>IF(C611="","",IF(SUMPRODUCT(($C$12:$C$1511=C611)*1)&gt;1,1,0))</f>
        <v/>
      </c>
      <c r="J611" s="6">
        <f>IF(C611="","",SUMPRODUCT((Mapping!$F$5:$F$504=Setup!$B$4&amp;"||"&amp;C611)*ROW(Mapping!$F$5:$F$504)))</f>
        <v/>
      </c>
      <c r="K611" s="6">
        <f>IF(C611="","",IF(J611=0,"UNMAPPED",LOWER(INDEX(Mapping!$D$1:$D$504,J611))))</f>
        <v/>
      </c>
      <c r="L611" s="6">
        <f>IF(K611="mapped",TRIM(INDEX(Mapping!$C$1:$C$504,J611)),"")</f>
        <v/>
      </c>
      <c r="M611" s="6">
        <f>IF(C611="","",IF(SUMPRODUCT(($C$12:C611=C611)*1)=1,1,0))</f>
        <v/>
      </c>
      <c r="N611" s="6">
        <f>IF(AND(K611="UNMAPPED",M611=1),ROW(),"")</f>
        <v/>
      </c>
      <c r="O611" s="6">
        <f>IF(AND(I611=1,M611=1),ROW(),"")</f>
        <v/>
      </c>
      <c r="P611" s="6">
        <f>IF(AND(K611="ignored",M611=1),ROW(),"")</f>
        <v/>
      </c>
    </row>
    <row r="612">
      <c r="A612" s="8" t="n"/>
      <c r="B612" s="8" t="n"/>
      <c r="C612" s="6">
        <f>TRIM(A612&amp;"")</f>
        <v/>
      </c>
      <c r="D612" s="6">
        <f>IF(C612="","",SUBSTITUTE(SUBSTITUTE(SUBSTITUTE(SUBSTITUTE(SUBSTITUTE(SUBSTITUTE(SUBSTITUTE(UPPER(TRIM(B612&amp;"")),"₹",""),"RS.",""),"RS",""),"INR",""),"$",""),",","")," ",""))</f>
        <v/>
      </c>
      <c r="E612" s="6">
        <f>IF(C612="","",IF(RIGHT(D612,2)="CR","Cr",IF(RIGHT(D612,2)="DR","Dr","")))</f>
        <v/>
      </c>
      <c r="F612" s="6">
        <f>IF(C612="","",IF(E612&lt;&gt;"",LEFT(D612,LEN(D612)-2),D612))</f>
        <v/>
      </c>
      <c r="G612" s="13">
        <f>IF(C612="","",IF(OR(IF(AND(LEFT(F612,1)="(",RIGHT(F612,1)=")"),MID(F612,2,LEN(F612)-2),F612)="",IF(AND(LEFT(F612,1)="(",RIGHT(F612,1)=")"),MID(F612,2,LEN(F612)-2),F612)="-"),0,IFERROR(VALUE(IF(AND(LEFT(F612,1)="(",RIGHT(F612,1)=")"),MID(F612,2,LEN(F612)-2),F612))*IF(AND(LEFT(F612,1)="(",RIGHT(F612,1)=")"),-1,1)*IF(E612="Cr",Setup!$B$6,1),"ERR")))</f>
        <v/>
      </c>
      <c r="H612" s="6">
        <f>IF(C612="","",IF(ISNUMBER(G612),1,0))</f>
        <v/>
      </c>
      <c r="I612" s="6">
        <f>IF(C612="","",IF(SUMPRODUCT(($C$12:$C$1511=C612)*1)&gt;1,1,0))</f>
        <v/>
      </c>
      <c r="J612" s="6">
        <f>IF(C612="","",SUMPRODUCT((Mapping!$F$5:$F$504=Setup!$B$4&amp;"||"&amp;C612)*ROW(Mapping!$F$5:$F$504)))</f>
        <v/>
      </c>
      <c r="K612" s="6">
        <f>IF(C612="","",IF(J612=0,"UNMAPPED",LOWER(INDEX(Mapping!$D$1:$D$504,J612))))</f>
        <v/>
      </c>
      <c r="L612" s="6">
        <f>IF(K612="mapped",TRIM(INDEX(Mapping!$C$1:$C$504,J612)),"")</f>
        <v/>
      </c>
      <c r="M612" s="6">
        <f>IF(C612="","",IF(SUMPRODUCT(($C$12:C612=C612)*1)=1,1,0))</f>
        <v/>
      </c>
      <c r="N612" s="6">
        <f>IF(AND(K612="UNMAPPED",M612=1),ROW(),"")</f>
        <v/>
      </c>
      <c r="O612" s="6">
        <f>IF(AND(I612=1,M612=1),ROW(),"")</f>
        <v/>
      </c>
      <c r="P612" s="6">
        <f>IF(AND(K612="ignored",M612=1),ROW(),"")</f>
        <v/>
      </c>
    </row>
    <row r="613">
      <c r="A613" s="8" t="n"/>
      <c r="B613" s="8" t="n"/>
      <c r="C613" s="6">
        <f>TRIM(A613&amp;"")</f>
        <v/>
      </c>
      <c r="D613" s="6">
        <f>IF(C613="","",SUBSTITUTE(SUBSTITUTE(SUBSTITUTE(SUBSTITUTE(SUBSTITUTE(SUBSTITUTE(SUBSTITUTE(UPPER(TRIM(B613&amp;"")),"₹",""),"RS.",""),"RS",""),"INR",""),"$",""),",","")," ",""))</f>
        <v/>
      </c>
      <c r="E613" s="6">
        <f>IF(C613="","",IF(RIGHT(D613,2)="CR","Cr",IF(RIGHT(D613,2)="DR","Dr","")))</f>
        <v/>
      </c>
      <c r="F613" s="6">
        <f>IF(C613="","",IF(E613&lt;&gt;"",LEFT(D613,LEN(D613)-2),D613))</f>
        <v/>
      </c>
      <c r="G613" s="13">
        <f>IF(C613="","",IF(OR(IF(AND(LEFT(F613,1)="(",RIGHT(F613,1)=")"),MID(F613,2,LEN(F613)-2),F613)="",IF(AND(LEFT(F613,1)="(",RIGHT(F613,1)=")"),MID(F613,2,LEN(F613)-2),F613)="-"),0,IFERROR(VALUE(IF(AND(LEFT(F613,1)="(",RIGHT(F613,1)=")"),MID(F613,2,LEN(F613)-2),F613))*IF(AND(LEFT(F613,1)="(",RIGHT(F613,1)=")"),-1,1)*IF(E613="Cr",Setup!$B$6,1),"ERR")))</f>
        <v/>
      </c>
      <c r="H613" s="6">
        <f>IF(C613="","",IF(ISNUMBER(G613),1,0))</f>
        <v/>
      </c>
      <c r="I613" s="6">
        <f>IF(C613="","",IF(SUMPRODUCT(($C$12:$C$1511=C613)*1)&gt;1,1,0))</f>
        <v/>
      </c>
      <c r="J613" s="6">
        <f>IF(C613="","",SUMPRODUCT((Mapping!$F$5:$F$504=Setup!$B$4&amp;"||"&amp;C613)*ROW(Mapping!$F$5:$F$504)))</f>
        <v/>
      </c>
      <c r="K613" s="6">
        <f>IF(C613="","",IF(J613=0,"UNMAPPED",LOWER(INDEX(Mapping!$D$1:$D$504,J613))))</f>
        <v/>
      </c>
      <c r="L613" s="6">
        <f>IF(K613="mapped",TRIM(INDEX(Mapping!$C$1:$C$504,J613)),"")</f>
        <v/>
      </c>
      <c r="M613" s="6">
        <f>IF(C613="","",IF(SUMPRODUCT(($C$12:C613=C613)*1)=1,1,0))</f>
        <v/>
      </c>
      <c r="N613" s="6">
        <f>IF(AND(K613="UNMAPPED",M613=1),ROW(),"")</f>
        <v/>
      </c>
      <c r="O613" s="6">
        <f>IF(AND(I613=1,M613=1),ROW(),"")</f>
        <v/>
      </c>
      <c r="P613" s="6">
        <f>IF(AND(K613="ignored",M613=1),ROW(),"")</f>
        <v/>
      </c>
    </row>
    <row r="614">
      <c r="A614" s="8" t="n"/>
      <c r="B614" s="8" t="n"/>
      <c r="C614" s="6">
        <f>TRIM(A614&amp;"")</f>
        <v/>
      </c>
      <c r="D614" s="6">
        <f>IF(C614="","",SUBSTITUTE(SUBSTITUTE(SUBSTITUTE(SUBSTITUTE(SUBSTITUTE(SUBSTITUTE(SUBSTITUTE(UPPER(TRIM(B614&amp;"")),"₹",""),"RS.",""),"RS",""),"INR",""),"$",""),",","")," ",""))</f>
        <v/>
      </c>
      <c r="E614" s="6">
        <f>IF(C614="","",IF(RIGHT(D614,2)="CR","Cr",IF(RIGHT(D614,2)="DR","Dr","")))</f>
        <v/>
      </c>
      <c r="F614" s="6">
        <f>IF(C614="","",IF(E614&lt;&gt;"",LEFT(D614,LEN(D614)-2),D614))</f>
        <v/>
      </c>
      <c r="G614" s="13">
        <f>IF(C614="","",IF(OR(IF(AND(LEFT(F614,1)="(",RIGHT(F614,1)=")"),MID(F614,2,LEN(F614)-2),F614)="",IF(AND(LEFT(F614,1)="(",RIGHT(F614,1)=")"),MID(F614,2,LEN(F614)-2),F614)="-"),0,IFERROR(VALUE(IF(AND(LEFT(F614,1)="(",RIGHT(F614,1)=")"),MID(F614,2,LEN(F614)-2),F614))*IF(AND(LEFT(F614,1)="(",RIGHT(F614,1)=")"),-1,1)*IF(E614="Cr",Setup!$B$6,1),"ERR")))</f>
        <v/>
      </c>
      <c r="H614" s="6">
        <f>IF(C614="","",IF(ISNUMBER(G614),1,0))</f>
        <v/>
      </c>
      <c r="I614" s="6">
        <f>IF(C614="","",IF(SUMPRODUCT(($C$12:$C$1511=C614)*1)&gt;1,1,0))</f>
        <v/>
      </c>
      <c r="J614" s="6">
        <f>IF(C614="","",SUMPRODUCT((Mapping!$F$5:$F$504=Setup!$B$4&amp;"||"&amp;C614)*ROW(Mapping!$F$5:$F$504)))</f>
        <v/>
      </c>
      <c r="K614" s="6">
        <f>IF(C614="","",IF(J614=0,"UNMAPPED",LOWER(INDEX(Mapping!$D$1:$D$504,J614))))</f>
        <v/>
      </c>
      <c r="L614" s="6">
        <f>IF(K614="mapped",TRIM(INDEX(Mapping!$C$1:$C$504,J614)),"")</f>
        <v/>
      </c>
      <c r="M614" s="6">
        <f>IF(C614="","",IF(SUMPRODUCT(($C$12:C614=C614)*1)=1,1,0))</f>
        <v/>
      </c>
      <c r="N614" s="6">
        <f>IF(AND(K614="UNMAPPED",M614=1),ROW(),"")</f>
        <v/>
      </c>
      <c r="O614" s="6">
        <f>IF(AND(I614=1,M614=1),ROW(),"")</f>
        <v/>
      </c>
      <c r="P614" s="6">
        <f>IF(AND(K614="ignored",M614=1),ROW(),"")</f>
        <v/>
      </c>
    </row>
    <row r="615">
      <c r="A615" s="8" t="n"/>
      <c r="B615" s="8" t="n"/>
      <c r="C615" s="6">
        <f>TRIM(A615&amp;"")</f>
        <v/>
      </c>
      <c r="D615" s="6">
        <f>IF(C615="","",SUBSTITUTE(SUBSTITUTE(SUBSTITUTE(SUBSTITUTE(SUBSTITUTE(SUBSTITUTE(SUBSTITUTE(UPPER(TRIM(B615&amp;"")),"₹",""),"RS.",""),"RS",""),"INR",""),"$",""),",","")," ",""))</f>
        <v/>
      </c>
      <c r="E615" s="6">
        <f>IF(C615="","",IF(RIGHT(D615,2)="CR","Cr",IF(RIGHT(D615,2)="DR","Dr","")))</f>
        <v/>
      </c>
      <c r="F615" s="6">
        <f>IF(C615="","",IF(E615&lt;&gt;"",LEFT(D615,LEN(D615)-2),D615))</f>
        <v/>
      </c>
      <c r="G615" s="13">
        <f>IF(C615="","",IF(OR(IF(AND(LEFT(F615,1)="(",RIGHT(F615,1)=")"),MID(F615,2,LEN(F615)-2),F615)="",IF(AND(LEFT(F615,1)="(",RIGHT(F615,1)=")"),MID(F615,2,LEN(F615)-2),F615)="-"),0,IFERROR(VALUE(IF(AND(LEFT(F615,1)="(",RIGHT(F615,1)=")"),MID(F615,2,LEN(F615)-2),F615))*IF(AND(LEFT(F615,1)="(",RIGHT(F615,1)=")"),-1,1)*IF(E615="Cr",Setup!$B$6,1),"ERR")))</f>
        <v/>
      </c>
      <c r="H615" s="6">
        <f>IF(C615="","",IF(ISNUMBER(G615),1,0))</f>
        <v/>
      </c>
      <c r="I615" s="6">
        <f>IF(C615="","",IF(SUMPRODUCT(($C$12:$C$1511=C615)*1)&gt;1,1,0))</f>
        <v/>
      </c>
      <c r="J615" s="6">
        <f>IF(C615="","",SUMPRODUCT((Mapping!$F$5:$F$504=Setup!$B$4&amp;"||"&amp;C615)*ROW(Mapping!$F$5:$F$504)))</f>
        <v/>
      </c>
      <c r="K615" s="6">
        <f>IF(C615="","",IF(J615=0,"UNMAPPED",LOWER(INDEX(Mapping!$D$1:$D$504,J615))))</f>
        <v/>
      </c>
      <c r="L615" s="6">
        <f>IF(K615="mapped",TRIM(INDEX(Mapping!$C$1:$C$504,J615)),"")</f>
        <v/>
      </c>
      <c r="M615" s="6">
        <f>IF(C615="","",IF(SUMPRODUCT(($C$12:C615=C615)*1)=1,1,0))</f>
        <v/>
      </c>
      <c r="N615" s="6">
        <f>IF(AND(K615="UNMAPPED",M615=1),ROW(),"")</f>
        <v/>
      </c>
      <c r="O615" s="6">
        <f>IF(AND(I615=1,M615=1),ROW(),"")</f>
        <v/>
      </c>
      <c r="P615" s="6">
        <f>IF(AND(K615="ignored",M615=1),ROW(),"")</f>
        <v/>
      </c>
    </row>
    <row r="616">
      <c r="A616" s="8" t="n"/>
      <c r="B616" s="8" t="n"/>
      <c r="C616" s="6">
        <f>TRIM(A616&amp;"")</f>
        <v/>
      </c>
      <c r="D616" s="6">
        <f>IF(C616="","",SUBSTITUTE(SUBSTITUTE(SUBSTITUTE(SUBSTITUTE(SUBSTITUTE(SUBSTITUTE(SUBSTITUTE(UPPER(TRIM(B616&amp;"")),"₹",""),"RS.",""),"RS",""),"INR",""),"$",""),",","")," ",""))</f>
        <v/>
      </c>
      <c r="E616" s="6">
        <f>IF(C616="","",IF(RIGHT(D616,2)="CR","Cr",IF(RIGHT(D616,2)="DR","Dr","")))</f>
        <v/>
      </c>
      <c r="F616" s="6">
        <f>IF(C616="","",IF(E616&lt;&gt;"",LEFT(D616,LEN(D616)-2),D616))</f>
        <v/>
      </c>
      <c r="G616" s="13">
        <f>IF(C616="","",IF(OR(IF(AND(LEFT(F616,1)="(",RIGHT(F616,1)=")"),MID(F616,2,LEN(F616)-2),F616)="",IF(AND(LEFT(F616,1)="(",RIGHT(F616,1)=")"),MID(F616,2,LEN(F616)-2),F616)="-"),0,IFERROR(VALUE(IF(AND(LEFT(F616,1)="(",RIGHT(F616,1)=")"),MID(F616,2,LEN(F616)-2),F616))*IF(AND(LEFT(F616,1)="(",RIGHT(F616,1)=")"),-1,1)*IF(E616="Cr",Setup!$B$6,1),"ERR")))</f>
        <v/>
      </c>
      <c r="H616" s="6">
        <f>IF(C616="","",IF(ISNUMBER(G616),1,0))</f>
        <v/>
      </c>
      <c r="I616" s="6">
        <f>IF(C616="","",IF(SUMPRODUCT(($C$12:$C$1511=C616)*1)&gt;1,1,0))</f>
        <v/>
      </c>
      <c r="J616" s="6">
        <f>IF(C616="","",SUMPRODUCT((Mapping!$F$5:$F$504=Setup!$B$4&amp;"||"&amp;C616)*ROW(Mapping!$F$5:$F$504)))</f>
        <v/>
      </c>
      <c r="K616" s="6">
        <f>IF(C616="","",IF(J616=0,"UNMAPPED",LOWER(INDEX(Mapping!$D$1:$D$504,J616))))</f>
        <v/>
      </c>
      <c r="L616" s="6">
        <f>IF(K616="mapped",TRIM(INDEX(Mapping!$C$1:$C$504,J616)),"")</f>
        <v/>
      </c>
      <c r="M616" s="6">
        <f>IF(C616="","",IF(SUMPRODUCT(($C$12:C616=C616)*1)=1,1,0))</f>
        <v/>
      </c>
      <c r="N616" s="6">
        <f>IF(AND(K616="UNMAPPED",M616=1),ROW(),"")</f>
        <v/>
      </c>
      <c r="O616" s="6">
        <f>IF(AND(I616=1,M616=1),ROW(),"")</f>
        <v/>
      </c>
      <c r="P616" s="6">
        <f>IF(AND(K616="ignored",M616=1),ROW(),"")</f>
        <v/>
      </c>
    </row>
    <row r="617">
      <c r="A617" s="8" t="n"/>
      <c r="B617" s="8" t="n"/>
      <c r="C617" s="6">
        <f>TRIM(A617&amp;"")</f>
        <v/>
      </c>
      <c r="D617" s="6">
        <f>IF(C617="","",SUBSTITUTE(SUBSTITUTE(SUBSTITUTE(SUBSTITUTE(SUBSTITUTE(SUBSTITUTE(SUBSTITUTE(UPPER(TRIM(B617&amp;"")),"₹",""),"RS.",""),"RS",""),"INR",""),"$",""),",","")," ",""))</f>
        <v/>
      </c>
      <c r="E617" s="6">
        <f>IF(C617="","",IF(RIGHT(D617,2)="CR","Cr",IF(RIGHT(D617,2)="DR","Dr","")))</f>
        <v/>
      </c>
      <c r="F617" s="6">
        <f>IF(C617="","",IF(E617&lt;&gt;"",LEFT(D617,LEN(D617)-2),D617))</f>
        <v/>
      </c>
      <c r="G617" s="13">
        <f>IF(C617="","",IF(OR(IF(AND(LEFT(F617,1)="(",RIGHT(F617,1)=")"),MID(F617,2,LEN(F617)-2),F617)="",IF(AND(LEFT(F617,1)="(",RIGHT(F617,1)=")"),MID(F617,2,LEN(F617)-2),F617)="-"),0,IFERROR(VALUE(IF(AND(LEFT(F617,1)="(",RIGHT(F617,1)=")"),MID(F617,2,LEN(F617)-2),F617))*IF(AND(LEFT(F617,1)="(",RIGHT(F617,1)=")"),-1,1)*IF(E617="Cr",Setup!$B$6,1),"ERR")))</f>
        <v/>
      </c>
      <c r="H617" s="6">
        <f>IF(C617="","",IF(ISNUMBER(G617),1,0))</f>
        <v/>
      </c>
      <c r="I617" s="6">
        <f>IF(C617="","",IF(SUMPRODUCT(($C$12:$C$1511=C617)*1)&gt;1,1,0))</f>
        <v/>
      </c>
      <c r="J617" s="6">
        <f>IF(C617="","",SUMPRODUCT((Mapping!$F$5:$F$504=Setup!$B$4&amp;"||"&amp;C617)*ROW(Mapping!$F$5:$F$504)))</f>
        <v/>
      </c>
      <c r="K617" s="6">
        <f>IF(C617="","",IF(J617=0,"UNMAPPED",LOWER(INDEX(Mapping!$D$1:$D$504,J617))))</f>
        <v/>
      </c>
      <c r="L617" s="6">
        <f>IF(K617="mapped",TRIM(INDEX(Mapping!$C$1:$C$504,J617)),"")</f>
        <v/>
      </c>
      <c r="M617" s="6">
        <f>IF(C617="","",IF(SUMPRODUCT(($C$12:C617=C617)*1)=1,1,0))</f>
        <v/>
      </c>
      <c r="N617" s="6">
        <f>IF(AND(K617="UNMAPPED",M617=1),ROW(),"")</f>
        <v/>
      </c>
      <c r="O617" s="6">
        <f>IF(AND(I617=1,M617=1),ROW(),"")</f>
        <v/>
      </c>
      <c r="P617" s="6">
        <f>IF(AND(K617="ignored",M617=1),ROW(),"")</f>
        <v/>
      </c>
    </row>
    <row r="618">
      <c r="A618" s="8" t="n"/>
      <c r="B618" s="8" t="n"/>
      <c r="C618" s="6">
        <f>TRIM(A618&amp;"")</f>
        <v/>
      </c>
      <c r="D618" s="6">
        <f>IF(C618="","",SUBSTITUTE(SUBSTITUTE(SUBSTITUTE(SUBSTITUTE(SUBSTITUTE(SUBSTITUTE(SUBSTITUTE(UPPER(TRIM(B618&amp;"")),"₹",""),"RS.",""),"RS",""),"INR",""),"$",""),",","")," ",""))</f>
        <v/>
      </c>
      <c r="E618" s="6">
        <f>IF(C618="","",IF(RIGHT(D618,2)="CR","Cr",IF(RIGHT(D618,2)="DR","Dr","")))</f>
        <v/>
      </c>
      <c r="F618" s="6">
        <f>IF(C618="","",IF(E618&lt;&gt;"",LEFT(D618,LEN(D618)-2),D618))</f>
        <v/>
      </c>
      <c r="G618" s="13">
        <f>IF(C618="","",IF(OR(IF(AND(LEFT(F618,1)="(",RIGHT(F618,1)=")"),MID(F618,2,LEN(F618)-2),F618)="",IF(AND(LEFT(F618,1)="(",RIGHT(F618,1)=")"),MID(F618,2,LEN(F618)-2),F618)="-"),0,IFERROR(VALUE(IF(AND(LEFT(F618,1)="(",RIGHT(F618,1)=")"),MID(F618,2,LEN(F618)-2),F618))*IF(AND(LEFT(F618,1)="(",RIGHT(F618,1)=")"),-1,1)*IF(E618="Cr",Setup!$B$6,1),"ERR")))</f>
        <v/>
      </c>
      <c r="H618" s="6">
        <f>IF(C618="","",IF(ISNUMBER(G618),1,0))</f>
        <v/>
      </c>
      <c r="I618" s="6">
        <f>IF(C618="","",IF(SUMPRODUCT(($C$12:$C$1511=C618)*1)&gt;1,1,0))</f>
        <v/>
      </c>
      <c r="J618" s="6">
        <f>IF(C618="","",SUMPRODUCT((Mapping!$F$5:$F$504=Setup!$B$4&amp;"||"&amp;C618)*ROW(Mapping!$F$5:$F$504)))</f>
        <v/>
      </c>
      <c r="K618" s="6">
        <f>IF(C618="","",IF(J618=0,"UNMAPPED",LOWER(INDEX(Mapping!$D$1:$D$504,J618))))</f>
        <v/>
      </c>
      <c r="L618" s="6">
        <f>IF(K618="mapped",TRIM(INDEX(Mapping!$C$1:$C$504,J618)),"")</f>
        <v/>
      </c>
      <c r="M618" s="6">
        <f>IF(C618="","",IF(SUMPRODUCT(($C$12:C618=C618)*1)=1,1,0))</f>
        <v/>
      </c>
      <c r="N618" s="6">
        <f>IF(AND(K618="UNMAPPED",M618=1),ROW(),"")</f>
        <v/>
      </c>
      <c r="O618" s="6">
        <f>IF(AND(I618=1,M618=1),ROW(),"")</f>
        <v/>
      </c>
      <c r="P618" s="6">
        <f>IF(AND(K618="ignored",M618=1),ROW(),"")</f>
        <v/>
      </c>
    </row>
    <row r="619">
      <c r="A619" s="8" t="n"/>
      <c r="B619" s="8" t="n"/>
      <c r="C619" s="6">
        <f>TRIM(A619&amp;"")</f>
        <v/>
      </c>
      <c r="D619" s="6">
        <f>IF(C619="","",SUBSTITUTE(SUBSTITUTE(SUBSTITUTE(SUBSTITUTE(SUBSTITUTE(SUBSTITUTE(SUBSTITUTE(UPPER(TRIM(B619&amp;"")),"₹",""),"RS.",""),"RS",""),"INR",""),"$",""),",","")," ",""))</f>
        <v/>
      </c>
      <c r="E619" s="6">
        <f>IF(C619="","",IF(RIGHT(D619,2)="CR","Cr",IF(RIGHT(D619,2)="DR","Dr","")))</f>
        <v/>
      </c>
      <c r="F619" s="6">
        <f>IF(C619="","",IF(E619&lt;&gt;"",LEFT(D619,LEN(D619)-2),D619))</f>
        <v/>
      </c>
      <c r="G619" s="13">
        <f>IF(C619="","",IF(OR(IF(AND(LEFT(F619,1)="(",RIGHT(F619,1)=")"),MID(F619,2,LEN(F619)-2),F619)="",IF(AND(LEFT(F619,1)="(",RIGHT(F619,1)=")"),MID(F619,2,LEN(F619)-2),F619)="-"),0,IFERROR(VALUE(IF(AND(LEFT(F619,1)="(",RIGHT(F619,1)=")"),MID(F619,2,LEN(F619)-2),F619))*IF(AND(LEFT(F619,1)="(",RIGHT(F619,1)=")"),-1,1)*IF(E619="Cr",Setup!$B$6,1),"ERR")))</f>
        <v/>
      </c>
      <c r="H619" s="6">
        <f>IF(C619="","",IF(ISNUMBER(G619),1,0))</f>
        <v/>
      </c>
      <c r="I619" s="6">
        <f>IF(C619="","",IF(SUMPRODUCT(($C$12:$C$1511=C619)*1)&gt;1,1,0))</f>
        <v/>
      </c>
      <c r="J619" s="6">
        <f>IF(C619="","",SUMPRODUCT((Mapping!$F$5:$F$504=Setup!$B$4&amp;"||"&amp;C619)*ROW(Mapping!$F$5:$F$504)))</f>
        <v/>
      </c>
      <c r="K619" s="6">
        <f>IF(C619="","",IF(J619=0,"UNMAPPED",LOWER(INDEX(Mapping!$D$1:$D$504,J619))))</f>
        <v/>
      </c>
      <c r="L619" s="6">
        <f>IF(K619="mapped",TRIM(INDEX(Mapping!$C$1:$C$504,J619)),"")</f>
        <v/>
      </c>
      <c r="M619" s="6">
        <f>IF(C619="","",IF(SUMPRODUCT(($C$12:C619=C619)*1)=1,1,0))</f>
        <v/>
      </c>
      <c r="N619" s="6">
        <f>IF(AND(K619="UNMAPPED",M619=1),ROW(),"")</f>
        <v/>
      </c>
      <c r="O619" s="6">
        <f>IF(AND(I619=1,M619=1),ROW(),"")</f>
        <v/>
      </c>
      <c r="P619" s="6">
        <f>IF(AND(K619="ignored",M619=1),ROW(),"")</f>
        <v/>
      </c>
    </row>
    <row r="620">
      <c r="A620" s="8" t="n"/>
      <c r="B620" s="8" t="n"/>
      <c r="C620" s="6">
        <f>TRIM(A620&amp;"")</f>
        <v/>
      </c>
      <c r="D620" s="6">
        <f>IF(C620="","",SUBSTITUTE(SUBSTITUTE(SUBSTITUTE(SUBSTITUTE(SUBSTITUTE(SUBSTITUTE(SUBSTITUTE(UPPER(TRIM(B620&amp;"")),"₹",""),"RS.",""),"RS",""),"INR",""),"$",""),",","")," ",""))</f>
        <v/>
      </c>
      <c r="E620" s="6">
        <f>IF(C620="","",IF(RIGHT(D620,2)="CR","Cr",IF(RIGHT(D620,2)="DR","Dr","")))</f>
        <v/>
      </c>
      <c r="F620" s="6">
        <f>IF(C620="","",IF(E620&lt;&gt;"",LEFT(D620,LEN(D620)-2),D620))</f>
        <v/>
      </c>
      <c r="G620" s="13">
        <f>IF(C620="","",IF(OR(IF(AND(LEFT(F620,1)="(",RIGHT(F620,1)=")"),MID(F620,2,LEN(F620)-2),F620)="",IF(AND(LEFT(F620,1)="(",RIGHT(F620,1)=")"),MID(F620,2,LEN(F620)-2),F620)="-"),0,IFERROR(VALUE(IF(AND(LEFT(F620,1)="(",RIGHT(F620,1)=")"),MID(F620,2,LEN(F620)-2),F620))*IF(AND(LEFT(F620,1)="(",RIGHT(F620,1)=")"),-1,1)*IF(E620="Cr",Setup!$B$6,1),"ERR")))</f>
        <v/>
      </c>
      <c r="H620" s="6">
        <f>IF(C620="","",IF(ISNUMBER(G620),1,0))</f>
        <v/>
      </c>
      <c r="I620" s="6">
        <f>IF(C620="","",IF(SUMPRODUCT(($C$12:$C$1511=C620)*1)&gt;1,1,0))</f>
        <v/>
      </c>
      <c r="J620" s="6">
        <f>IF(C620="","",SUMPRODUCT((Mapping!$F$5:$F$504=Setup!$B$4&amp;"||"&amp;C620)*ROW(Mapping!$F$5:$F$504)))</f>
        <v/>
      </c>
      <c r="K620" s="6">
        <f>IF(C620="","",IF(J620=0,"UNMAPPED",LOWER(INDEX(Mapping!$D$1:$D$504,J620))))</f>
        <v/>
      </c>
      <c r="L620" s="6">
        <f>IF(K620="mapped",TRIM(INDEX(Mapping!$C$1:$C$504,J620)),"")</f>
        <v/>
      </c>
      <c r="M620" s="6">
        <f>IF(C620="","",IF(SUMPRODUCT(($C$12:C620=C620)*1)=1,1,0))</f>
        <v/>
      </c>
      <c r="N620" s="6">
        <f>IF(AND(K620="UNMAPPED",M620=1),ROW(),"")</f>
        <v/>
      </c>
      <c r="O620" s="6">
        <f>IF(AND(I620=1,M620=1),ROW(),"")</f>
        <v/>
      </c>
      <c r="P620" s="6">
        <f>IF(AND(K620="ignored",M620=1),ROW(),"")</f>
        <v/>
      </c>
    </row>
    <row r="621">
      <c r="A621" s="8" t="n"/>
      <c r="B621" s="8" t="n"/>
      <c r="C621" s="6">
        <f>TRIM(A621&amp;"")</f>
        <v/>
      </c>
      <c r="D621" s="6">
        <f>IF(C621="","",SUBSTITUTE(SUBSTITUTE(SUBSTITUTE(SUBSTITUTE(SUBSTITUTE(SUBSTITUTE(SUBSTITUTE(UPPER(TRIM(B621&amp;"")),"₹",""),"RS.",""),"RS",""),"INR",""),"$",""),",","")," ",""))</f>
        <v/>
      </c>
      <c r="E621" s="6">
        <f>IF(C621="","",IF(RIGHT(D621,2)="CR","Cr",IF(RIGHT(D621,2)="DR","Dr","")))</f>
        <v/>
      </c>
      <c r="F621" s="6">
        <f>IF(C621="","",IF(E621&lt;&gt;"",LEFT(D621,LEN(D621)-2),D621))</f>
        <v/>
      </c>
      <c r="G621" s="13">
        <f>IF(C621="","",IF(OR(IF(AND(LEFT(F621,1)="(",RIGHT(F621,1)=")"),MID(F621,2,LEN(F621)-2),F621)="",IF(AND(LEFT(F621,1)="(",RIGHT(F621,1)=")"),MID(F621,2,LEN(F621)-2),F621)="-"),0,IFERROR(VALUE(IF(AND(LEFT(F621,1)="(",RIGHT(F621,1)=")"),MID(F621,2,LEN(F621)-2),F621))*IF(AND(LEFT(F621,1)="(",RIGHT(F621,1)=")"),-1,1)*IF(E621="Cr",Setup!$B$6,1),"ERR")))</f>
        <v/>
      </c>
      <c r="H621" s="6">
        <f>IF(C621="","",IF(ISNUMBER(G621),1,0))</f>
        <v/>
      </c>
      <c r="I621" s="6">
        <f>IF(C621="","",IF(SUMPRODUCT(($C$12:$C$1511=C621)*1)&gt;1,1,0))</f>
        <v/>
      </c>
      <c r="J621" s="6">
        <f>IF(C621="","",SUMPRODUCT((Mapping!$F$5:$F$504=Setup!$B$4&amp;"||"&amp;C621)*ROW(Mapping!$F$5:$F$504)))</f>
        <v/>
      </c>
      <c r="K621" s="6">
        <f>IF(C621="","",IF(J621=0,"UNMAPPED",LOWER(INDEX(Mapping!$D$1:$D$504,J621))))</f>
        <v/>
      </c>
      <c r="L621" s="6">
        <f>IF(K621="mapped",TRIM(INDEX(Mapping!$C$1:$C$504,J621)),"")</f>
        <v/>
      </c>
      <c r="M621" s="6">
        <f>IF(C621="","",IF(SUMPRODUCT(($C$12:C621=C621)*1)=1,1,0))</f>
        <v/>
      </c>
      <c r="N621" s="6">
        <f>IF(AND(K621="UNMAPPED",M621=1),ROW(),"")</f>
        <v/>
      </c>
      <c r="O621" s="6">
        <f>IF(AND(I621=1,M621=1),ROW(),"")</f>
        <v/>
      </c>
      <c r="P621" s="6">
        <f>IF(AND(K621="ignored",M621=1),ROW(),"")</f>
        <v/>
      </c>
    </row>
    <row r="622">
      <c r="A622" s="8" t="n"/>
      <c r="B622" s="8" t="n"/>
      <c r="C622" s="6">
        <f>TRIM(A622&amp;"")</f>
        <v/>
      </c>
      <c r="D622" s="6">
        <f>IF(C622="","",SUBSTITUTE(SUBSTITUTE(SUBSTITUTE(SUBSTITUTE(SUBSTITUTE(SUBSTITUTE(SUBSTITUTE(UPPER(TRIM(B622&amp;"")),"₹",""),"RS.",""),"RS",""),"INR",""),"$",""),",","")," ",""))</f>
        <v/>
      </c>
      <c r="E622" s="6">
        <f>IF(C622="","",IF(RIGHT(D622,2)="CR","Cr",IF(RIGHT(D622,2)="DR","Dr","")))</f>
        <v/>
      </c>
      <c r="F622" s="6">
        <f>IF(C622="","",IF(E622&lt;&gt;"",LEFT(D622,LEN(D622)-2),D622))</f>
        <v/>
      </c>
      <c r="G622" s="13">
        <f>IF(C622="","",IF(OR(IF(AND(LEFT(F622,1)="(",RIGHT(F622,1)=")"),MID(F622,2,LEN(F622)-2),F622)="",IF(AND(LEFT(F622,1)="(",RIGHT(F622,1)=")"),MID(F622,2,LEN(F622)-2),F622)="-"),0,IFERROR(VALUE(IF(AND(LEFT(F622,1)="(",RIGHT(F622,1)=")"),MID(F622,2,LEN(F622)-2),F622))*IF(AND(LEFT(F622,1)="(",RIGHT(F622,1)=")"),-1,1)*IF(E622="Cr",Setup!$B$6,1),"ERR")))</f>
        <v/>
      </c>
      <c r="H622" s="6">
        <f>IF(C622="","",IF(ISNUMBER(G622),1,0))</f>
        <v/>
      </c>
      <c r="I622" s="6">
        <f>IF(C622="","",IF(SUMPRODUCT(($C$12:$C$1511=C622)*1)&gt;1,1,0))</f>
        <v/>
      </c>
      <c r="J622" s="6">
        <f>IF(C622="","",SUMPRODUCT((Mapping!$F$5:$F$504=Setup!$B$4&amp;"||"&amp;C622)*ROW(Mapping!$F$5:$F$504)))</f>
        <v/>
      </c>
      <c r="K622" s="6">
        <f>IF(C622="","",IF(J622=0,"UNMAPPED",LOWER(INDEX(Mapping!$D$1:$D$504,J622))))</f>
        <v/>
      </c>
      <c r="L622" s="6">
        <f>IF(K622="mapped",TRIM(INDEX(Mapping!$C$1:$C$504,J622)),"")</f>
        <v/>
      </c>
      <c r="M622" s="6">
        <f>IF(C622="","",IF(SUMPRODUCT(($C$12:C622=C622)*1)=1,1,0))</f>
        <v/>
      </c>
      <c r="N622" s="6">
        <f>IF(AND(K622="UNMAPPED",M622=1),ROW(),"")</f>
        <v/>
      </c>
      <c r="O622" s="6">
        <f>IF(AND(I622=1,M622=1),ROW(),"")</f>
        <v/>
      </c>
      <c r="P622" s="6">
        <f>IF(AND(K622="ignored",M622=1),ROW(),"")</f>
        <v/>
      </c>
    </row>
    <row r="623">
      <c r="A623" s="8" t="n"/>
      <c r="B623" s="8" t="n"/>
      <c r="C623" s="6">
        <f>TRIM(A623&amp;"")</f>
        <v/>
      </c>
      <c r="D623" s="6">
        <f>IF(C623="","",SUBSTITUTE(SUBSTITUTE(SUBSTITUTE(SUBSTITUTE(SUBSTITUTE(SUBSTITUTE(SUBSTITUTE(UPPER(TRIM(B623&amp;"")),"₹",""),"RS.",""),"RS",""),"INR",""),"$",""),",","")," ",""))</f>
        <v/>
      </c>
      <c r="E623" s="6">
        <f>IF(C623="","",IF(RIGHT(D623,2)="CR","Cr",IF(RIGHT(D623,2)="DR","Dr","")))</f>
        <v/>
      </c>
      <c r="F623" s="6">
        <f>IF(C623="","",IF(E623&lt;&gt;"",LEFT(D623,LEN(D623)-2),D623))</f>
        <v/>
      </c>
      <c r="G623" s="13">
        <f>IF(C623="","",IF(OR(IF(AND(LEFT(F623,1)="(",RIGHT(F623,1)=")"),MID(F623,2,LEN(F623)-2),F623)="",IF(AND(LEFT(F623,1)="(",RIGHT(F623,1)=")"),MID(F623,2,LEN(F623)-2),F623)="-"),0,IFERROR(VALUE(IF(AND(LEFT(F623,1)="(",RIGHT(F623,1)=")"),MID(F623,2,LEN(F623)-2),F623))*IF(AND(LEFT(F623,1)="(",RIGHT(F623,1)=")"),-1,1)*IF(E623="Cr",Setup!$B$6,1),"ERR")))</f>
        <v/>
      </c>
      <c r="H623" s="6">
        <f>IF(C623="","",IF(ISNUMBER(G623),1,0))</f>
        <v/>
      </c>
      <c r="I623" s="6">
        <f>IF(C623="","",IF(SUMPRODUCT(($C$12:$C$1511=C623)*1)&gt;1,1,0))</f>
        <v/>
      </c>
      <c r="J623" s="6">
        <f>IF(C623="","",SUMPRODUCT((Mapping!$F$5:$F$504=Setup!$B$4&amp;"||"&amp;C623)*ROW(Mapping!$F$5:$F$504)))</f>
        <v/>
      </c>
      <c r="K623" s="6">
        <f>IF(C623="","",IF(J623=0,"UNMAPPED",LOWER(INDEX(Mapping!$D$1:$D$504,J623))))</f>
        <v/>
      </c>
      <c r="L623" s="6">
        <f>IF(K623="mapped",TRIM(INDEX(Mapping!$C$1:$C$504,J623)),"")</f>
        <v/>
      </c>
      <c r="M623" s="6">
        <f>IF(C623="","",IF(SUMPRODUCT(($C$12:C623=C623)*1)=1,1,0))</f>
        <v/>
      </c>
      <c r="N623" s="6">
        <f>IF(AND(K623="UNMAPPED",M623=1),ROW(),"")</f>
        <v/>
      </c>
      <c r="O623" s="6">
        <f>IF(AND(I623=1,M623=1),ROW(),"")</f>
        <v/>
      </c>
      <c r="P623" s="6">
        <f>IF(AND(K623="ignored",M623=1),ROW(),"")</f>
        <v/>
      </c>
    </row>
    <row r="624">
      <c r="A624" s="8" t="n"/>
      <c r="B624" s="8" t="n"/>
      <c r="C624" s="6">
        <f>TRIM(A624&amp;"")</f>
        <v/>
      </c>
      <c r="D624" s="6">
        <f>IF(C624="","",SUBSTITUTE(SUBSTITUTE(SUBSTITUTE(SUBSTITUTE(SUBSTITUTE(SUBSTITUTE(SUBSTITUTE(UPPER(TRIM(B624&amp;"")),"₹",""),"RS.",""),"RS",""),"INR",""),"$",""),",","")," ",""))</f>
        <v/>
      </c>
      <c r="E624" s="6">
        <f>IF(C624="","",IF(RIGHT(D624,2)="CR","Cr",IF(RIGHT(D624,2)="DR","Dr","")))</f>
        <v/>
      </c>
      <c r="F624" s="6">
        <f>IF(C624="","",IF(E624&lt;&gt;"",LEFT(D624,LEN(D624)-2),D624))</f>
        <v/>
      </c>
      <c r="G624" s="13">
        <f>IF(C624="","",IF(OR(IF(AND(LEFT(F624,1)="(",RIGHT(F624,1)=")"),MID(F624,2,LEN(F624)-2),F624)="",IF(AND(LEFT(F624,1)="(",RIGHT(F624,1)=")"),MID(F624,2,LEN(F624)-2),F624)="-"),0,IFERROR(VALUE(IF(AND(LEFT(F624,1)="(",RIGHT(F624,1)=")"),MID(F624,2,LEN(F624)-2),F624))*IF(AND(LEFT(F624,1)="(",RIGHT(F624,1)=")"),-1,1)*IF(E624="Cr",Setup!$B$6,1),"ERR")))</f>
        <v/>
      </c>
      <c r="H624" s="6">
        <f>IF(C624="","",IF(ISNUMBER(G624),1,0))</f>
        <v/>
      </c>
      <c r="I624" s="6">
        <f>IF(C624="","",IF(SUMPRODUCT(($C$12:$C$1511=C624)*1)&gt;1,1,0))</f>
        <v/>
      </c>
      <c r="J624" s="6">
        <f>IF(C624="","",SUMPRODUCT((Mapping!$F$5:$F$504=Setup!$B$4&amp;"||"&amp;C624)*ROW(Mapping!$F$5:$F$504)))</f>
        <v/>
      </c>
      <c r="K624" s="6">
        <f>IF(C624="","",IF(J624=0,"UNMAPPED",LOWER(INDEX(Mapping!$D$1:$D$504,J624))))</f>
        <v/>
      </c>
      <c r="L624" s="6">
        <f>IF(K624="mapped",TRIM(INDEX(Mapping!$C$1:$C$504,J624)),"")</f>
        <v/>
      </c>
      <c r="M624" s="6">
        <f>IF(C624="","",IF(SUMPRODUCT(($C$12:C624=C624)*1)=1,1,0))</f>
        <v/>
      </c>
      <c r="N624" s="6">
        <f>IF(AND(K624="UNMAPPED",M624=1),ROW(),"")</f>
        <v/>
      </c>
      <c r="O624" s="6">
        <f>IF(AND(I624=1,M624=1),ROW(),"")</f>
        <v/>
      </c>
      <c r="P624" s="6">
        <f>IF(AND(K624="ignored",M624=1),ROW(),"")</f>
        <v/>
      </c>
    </row>
    <row r="625">
      <c r="A625" s="8" t="n"/>
      <c r="B625" s="8" t="n"/>
      <c r="C625" s="6">
        <f>TRIM(A625&amp;"")</f>
        <v/>
      </c>
      <c r="D625" s="6">
        <f>IF(C625="","",SUBSTITUTE(SUBSTITUTE(SUBSTITUTE(SUBSTITUTE(SUBSTITUTE(SUBSTITUTE(SUBSTITUTE(UPPER(TRIM(B625&amp;"")),"₹",""),"RS.",""),"RS",""),"INR",""),"$",""),",","")," ",""))</f>
        <v/>
      </c>
      <c r="E625" s="6">
        <f>IF(C625="","",IF(RIGHT(D625,2)="CR","Cr",IF(RIGHT(D625,2)="DR","Dr","")))</f>
        <v/>
      </c>
      <c r="F625" s="6">
        <f>IF(C625="","",IF(E625&lt;&gt;"",LEFT(D625,LEN(D625)-2),D625))</f>
        <v/>
      </c>
      <c r="G625" s="13">
        <f>IF(C625="","",IF(OR(IF(AND(LEFT(F625,1)="(",RIGHT(F625,1)=")"),MID(F625,2,LEN(F625)-2),F625)="",IF(AND(LEFT(F625,1)="(",RIGHT(F625,1)=")"),MID(F625,2,LEN(F625)-2),F625)="-"),0,IFERROR(VALUE(IF(AND(LEFT(F625,1)="(",RIGHT(F625,1)=")"),MID(F625,2,LEN(F625)-2),F625))*IF(AND(LEFT(F625,1)="(",RIGHT(F625,1)=")"),-1,1)*IF(E625="Cr",Setup!$B$6,1),"ERR")))</f>
        <v/>
      </c>
      <c r="H625" s="6">
        <f>IF(C625="","",IF(ISNUMBER(G625),1,0))</f>
        <v/>
      </c>
      <c r="I625" s="6">
        <f>IF(C625="","",IF(SUMPRODUCT(($C$12:$C$1511=C625)*1)&gt;1,1,0))</f>
        <v/>
      </c>
      <c r="J625" s="6">
        <f>IF(C625="","",SUMPRODUCT((Mapping!$F$5:$F$504=Setup!$B$4&amp;"||"&amp;C625)*ROW(Mapping!$F$5:$F$504)))</f>
        <v/>
      </c>
      <c r="K625" s="6">
        <f>IF(C625="","",IF(J625=0,"UNMAPPED",LOWER(INDEX(Mapping!$D$1:$D$504,J625))))</f>
        <v/>
      </c>
      <c r="L625" s="6">
        <f>IF(K625="mapped",TRIM(INDEX(Mapping!$C$1:$C$504,J625)),"")</f>
        <v/>
      </c>
      <c r="M625" s="6">
        <f>IF(C625="","",IF(SUMPRODUCT(($C$12:C625=C625)*1)=1,1,0))</f>
        <v/>
      </c>
      <c r="N625" s="6">
        <f>IF(AND(K625="UNMAPPED",M625=1),ROW(),"")</f>
        <v/>
      </c>
      <c r="O625" s="6">
        <f>IF(AND(I625=1,M625=1),ROW(),"")</f>
        <v/>
      </c>
      <c r="P625" s="6">
        <f>IF(AND(K625="ignored",M625=1),ROW(),"")</f>
        <v/>
      </c>
    </row>
    <row r="626">
      <c r="A626" s="8" t="n"/>
      <c r="B626" s="8" t="n"/>
      <c r="C626" s="6">
        <f>TRIM(A626&amp;"")</f>
        <v/>
      </c>
      <c r="D626" s="6">
        <f>IF(C626="","",SUBSTITUTE(SUBSTITUTE(SUBSTITUTE(SUBSTITUTE(SUBSTITUTE(SUBSTITUTE(SUBSTITUTE(UPPER(TRIM(B626&amp;"")),"₹",""),"RS.",""),"RS",""),"INR",""),"$",""),",","")," ",""))</f>
        <v/>
      </c>
      <c r="E626" s="6">
        <f>IF(C626="","",IF(RIGHT(D626,2)="CR","Cr",IF(RIGHT(D626,2)="DR","Dr","")))</f>
        <v/>
      </c>
      <c r="F626" s="6">
        <f>IF(C626="","",IF(E626&lt;&gt;"",LEFT(D626,LEN(D626)-2),D626))</f>
        <v/>
      </c>
      <c r="G626" s="13">
        <f>IF(C626="","",IF(OR(IF(AND(LEFT(F626,1)="(",RIGHT(F626,1)=")"),MID(F626,2,LEN(F626)-2),F626)="",IF(AND(LEFT(F626,1)="(",RIGHT(F626,1)=")"),MID(F626,2,LEN(F626)-2),F626)="-"),0,IFERROR(VALUE(IF(AND(LEFT(F626,1)="(",RIGHT(F626,1)=")"),MID(F626,2,LEN(F626)-2),F626))*IF(AND(LEFT(F626,1)="(",RIGHT(F626,1)=")"),-1,1)*IF(E626="Cr",Setup!$B$6,1),"ERR")))</f>
        <v/>
      </c>
      <c r="H626" s="6">
        <f>IF(C626="","",IF(ISNUMBER(G626),1,0))</f>
        <v/>
      </c>
      <c r="I626" s="6">
        <f>IF(C626="","",IF(SUMPRODUCT(($C$12:$C$1511=C626)*1)&gt;1,1,0))</f>
        <v/>
      </c>
      <c r="J626" s="6">
        <f>IF(C626="","",SUMPRODUCT((Mapping!$F$5:$F$504=Setup!$B$4&amp;"||"&amp;C626)*ROW(Mapping!$F$5:$F$504)))</f>
        <v/>
      </c>
      <c r="K626" s="6">
        <f>IF(C626="","",IF(J626=0,"UNMAPPED",LOWER(INDEX(Mapping!$D$1:$D$504,J626))))</f>
        <v/>
      </c>
      <c r="L626" s="6">
        <f>IF(K626="mapped",TRIM(INDEX(Mapping!$C$1:$C$504,J626)),"")</f>
        <v/>
      </c>
      <c r="M626" s="6">
        <f>IF(C626="","",IF(SUMPRODUCT(($C$12:C626=C626)*1)=1,1,0))</f>
        <v/>
      </c>
      <c r="N626" s="6">
        <f>IF(AND(K626="UNMAPPED",M626=1),ROW(),"")</f>
        <v/>
      </c>
      <c r="O626" s="6">
        <f>IF(AND(I626=1,M626=1),ROW(),"")</f>
        <v/>
      </c>
      <c r="P626" s="6">
        <f>IF(AND(K626="ignored",M626=1),ROW(),"")</f>
        <v/>
      </c>
    </row>
    <row r="627">
      <c r="A627" s="8" t="n"/>
      <c r="B627" s="8" t="n"/>
      <c r="C627" s="6">
        <f>TRIM(A627&amp;"")</f>
        <v/>
      </c>
      <c r="D627" s="6">
        <f>IF(C627="","",SUBSTITUTE(SUBSTITUTE(SUBSTITUTE(SUBSTITUTE(SUBSTITUTE(SUBSTITUTE(SUBSTITUTE(UPPER(TRIM(B627&amp;"")),"₹",""),"RS.",""),"RS",""),"INR",""),"$",""),",","")," ",""))</f>
        <v/>
      </c>
      <c r="E627" s="6">
        <f>IF(C627="","",IF(RIGHT(D627,2)="CR","Cr",IF(RIGHT(D627,2)="DR","Dr","")))</f>
        <v/>
      </c>
      <c r="F627" s="6">
        <f>IF(C627="","",IF(E627&lt;&gt;"",LEFT(D627,LEN(D627)-2),D627))</f>
        <v/>
      </c>
      <c r="G627" s="13">
        <f>IF(C627="","",IF(OR(IF(AND(LEFT(F627,1)="(",RIGHT(F627,1)=")"),MID(F627,2,LEN(F627)-2),F627)="",IF(AND(LEFT(F627,1)="(",RIGHT(F627,1)=")"),MID(F627,2,LEN(F627)-2),F627)="-"),0,IFERROR(VALUE(IF(AND(LEFT(F627,1)="(",RIGHT(F627,1)=")"),MID(F627,2,LEN(F627)-2),F627))*IF(AND(LEFT(F627,1)="(",RIGHT(F627,1)=")"),-1,1)*IF(E627="Cr",Setup!$B$6,1),"ERR")))</f>
        <v/>
      </c>
      <c r="H627" s="6">
        <f>IF(C627="","",IF(ISNUMBER(G627),1,0))</f>
        <v/>
      </c>
      <c r="I627" s="6">
        <f>IF(C627="","",IF(SUMPRODUCT(($C$12:$C$1511=C627)*1)&gt;1,1,0))</f>
        <v/>
      </c>
      <c r="J627" s="6">
        <f>IF(C627="","",SUMPRODUCT((Mapping!$F$5:$F$504=Setup!$B$4&amp;"||"&amp;C627)*ROW(Mapping!$F$5:$F$504)))</f>
        <v/>
      </c>
      <c r="K627" s="6">
        <f>IF(C627="","",IF(J627=0,"UNMAPPED",LOWER(INDEX(Mapping!$D$1:$D$504,J627))))</f>
        <v/>
      </c>
      <c r="L627" s="6">
        <f>IF(K627="mapped",TRIM(INDEX(Mapping!$C$1:$C$504,J627)),"")</f>
        <v/>
      </c>
      <c r="M627" s="6">
        <f>IF(C627="","",IF(SUMPRODUCT(($C$12:C627=C627)*1)=1,1,0))</f>
        <v/>
      </c>
      <c r="N627" s="6">
        <f>IF(AND(K627="UNMAPPED",M627=1),ROW(),"")</f>
        <v/>
      </c>
      <c r="O627" s="6">
        <f>IF(AND(I627=1,M627=1),ROW(),"")</f>
        <v/>
      </c>
      <c r="P627" s="6">
        <f>IF(AND(K627="ignored",M627=1),ROW(),"")</f>
        <v/>
      </c>
    </row>
    <row r="628">
      <c r="A628" s="8" t="n"/>
      <c r="B628" s="8" t="n"/>
      <c r="C628" s="6">
        <f>TRIM(A628&amp;"")</f>
        <v/>
      </c>
      <c r="D628" s="6">
        <f>IF(C628="","",SUBSTITUTE(SUBSTITUTE(SUBSTITUTE(SUBSTITUTE(SUBSTITUTE(SUBSTITUTE(SUBSTITUTE(UPPER(TRIM(B628&amp;"")),"₹",""),"RS.",""),"RS",""),"INR",""),"$",""),",","")," ",""))</f>
        <v/>
      </c>
      <c r="E628" s="6">
        <f>IF(C628="","",IF(RIGHT(D628,2)="CR","Cr",IF(RIGHT(D628,2)="DR","Dr","")))</f>
        <v/>
      </c>
      <c r="F628" s="6">
        <f>IF(C628="","",IF(E628&lt;&gt;"",LEFT(D628,LEN(D628)-2),D628))</f>
        <v/>
      </c>
      <c r="G628" s="13">
        <f>IF(C628="","",IF(OR(IF(AND(LEFT(F628,1)="(",RIGHT(F628,1)=")"),MID(F628,2,LEN(F628)-2),F628)="",IF(AND(LEFT(F628,1)="(",RIGHT(F628,1)=")"),MID(F628,2,LEN(F628)-2),F628)="-"),0,IFERROR(VALUE(IF(AND(LEFT(F628,1)="(",RIGHT(F628,1)=")"),MID(F628,2,LEN(F628)-2),F628))*IF(AND(LEFT(F628,1)="(",RIGHT(F628,1)=")"),-1,1)*IF(E628="Cr",Setup!$B$6,1),"ERR")))</f>
        <v/>
      </c>
      <c r="H628" s="6">
        <f>IF(C628="","",IF(ISNUMBER(G628),1,0))</f>
        <v/>
      </c>
      <c r="I628" s="6">
        <f>IF(C628="","",IF(SUMPRODUCT(($C$12:$C$1511=C628)*1)&gt;1,1,0))</f>
        <v/>
      </c>
      <c r="J628" s="6">
        <f>IF(C628="","",SUMPRODUCT((Mapping!$F$5:$F$504=Setup!$B$4&amp;"||"&amp;C628)*ROW(Mapping!$F$5:$F$504)))</f>
        <v/>
      </c>
      <c r="K628" s="6">
        <f>IF(C628="","",IF(J628=0,"UNMAPPED",LOWER(INDEX(Mapping!$D$1:$D$504,J628))))</f>
        <v/>
      </c>
      <c r="L628" s="6">
        <f>IF(K628="mapped",TRIM(INDEX(Mapping!$C$1:$C$504,J628)),"")</f>
        <v/>
      </c>
      <c r="M628" s="6">
        <f>IF(C628="","",IF(SUMPRODUCT(($C$12:C628=C628)*1)=1,1,0))</f>
        <v/>
      </c>
      <c r="N628" s="6">
        <f>IF(AND(K628="UNMAPPED",M628=1),ROW(),"")</f>
        <v/>
      </c>
      <c r="O628" s="6">
        <f>IF(AND(I628=1,M628=1),ROW(),"")</f>
        <v/>
      </c>
      <c r="P628" s="6">
        <f>IF(AND(K628="ignored",M628=1),ROW(),"")</f>
        <v/>
      </c>
    </row>
    <row r="629">
      <c r="A629" s="8" t="n"/>
      <c r="B629" s="8" t="n"/>
      <c r="C629" s="6">
        <f>TRIM(A629&amp;"")</f>
        <v/>
      </c>
      <c r="D629" s="6">
        <f>IF(C629="","",SUBSTITUTE(SUBSTITUTE(SUBSTITUTE(SUBSTITUTE(SUBSTITUTE(SUBSTITUTE(SUBSTITUTE(UPPER(TRIM(B629&amp;"")),"₹",""),"RS.",""),"RS",""),"INR",""),"$",""),",","")," ",""))</f>
        <v/>
      </c>
      <c r="E629" s="6">
        <f>IF(C629="","",IF(RIGHT(D629,2)="CR","Cr",IF(RIGHT(D629,2)="DR","Dr","")))</f>
        <v/>
      </c>
      <c r="F629" s="6">
        <f>IF(C629="","",IF(E629&lt;&gt;"",LEFT(D629,LEN(D629)-2),D629))</f>
        <v/>
      </c>
      <c r="G629" s="13">
        <f>IF(C629="","",IF(OR(IF(AND(LEFT(F629,1)="(",RIGHT(F629,1)=")"),MID(F629,2,LEN(F629)-2),F629)="",IF(AND(LEFT(F629,1)="(",RIGHT(F629,1)=")"),MID(F629,2,LEN(F629)-2),F629)="-"),0,IFERROR(VALUE(IF(AND(LEFT(F629,1)="(",RIGHT(F629,1)=")"),MID(F629,2,LEN(F629)-2),F629))*IF(AND(LEFT(F629,1)="(",RIGHT(F629,1)=")"),-1,1)*IF(E629="Cr",Setup!$B$6,1),"ERR")))</f>
        <v/>
      </c>
      <c r="H629" s="6">
        <f>IF(C629="","",IF(ISNUMBER(G629),1,0))</f>
        <v/>
      </c>
      <c r="I629" s="6">
        <f>IF(C629="","",IF(SUMPRODUCT(($C$12:$C$1511=C629)*1)&gt;1,1,0))</f>
        <v/>
      </c>
      <c r="J629" s="6">
        <f>IF(C629="","",SUMPRODUCT((Mapping!$F$5:$F$504=Setup!$B$4&amp;"||"&amp;C629)*ROW(Mapping!$F$5:$F$504)))</f>
        <v/>
      </c>
      <c r="K629" s="6">
        <f>IF(C629="","",IF(J629=0,"UNMAPPED",LOWER(INDEX(Mapping!$D$1:$D$504,J629))))</f>
        <v/>
      </c>
      <c r="L629" s="6">
        <f>IF(K629="mapped",TRIM(INDEX(Mapping!$C$1:$C$504,J629)),"")</f>
        <v/>
      </c>
      <c r="M629" s="6">
        <f>IF(C629="","",IF(SUMPRODUCT(($C$12:C629=C629)*1)=1,1,0))</f>
        <v/>
      </c>
      <c r="N629" s="6">
        <f>IF(AND(K629="UNMAPPED",M629=1),ROW(),"")</f>
        <v/>
      </c>
      <c r="O629" s="6">
        <f>IF(AND(I629=1,M629=1),ROW(),"")</f>
        <v/>
      </c>
      <c r="P629" s="6">
        <f>IF(AND(K629="ignored",M629=1),ROW(),"")</f>
        <v/>
      </c>
    </row>
    <row r="630">
      <c r="A630" s="8" t="n"/>
      <c r="B630" s="8" t="n"/>
      <c r="C630" s="6">
        <f>TRIM(A630&amp;"")</f>
        <v/>
      </c>
      <c r="D630" s="6">
        <f>IF(C630="","",SUBSTITUTE(SUBSTITUTE(SUBSTITUTE(SUBSTITUTE(SUBSTITUTE(SUBSTITUTE(SUBSTITUTE(UPPER(TRIM(B630&amp;"")),"₹",""),"RS.",""),"RS",""),"INR",""),"$",""),",","")," ",""))</f>
        <v/>
      </c>
      <c r="E630" s="6">
        <f>IF(C630="","",IF(RIGHT(D630,2)="CR","Cr",IF(RIGHT(D630,2)="DR","Dr","")))</f>
        <v/>
      </c>
      <c r="F630" s="6">
        <f>IF(C630="","",IF(E630&lt;&gt;"",LEFT(D630,LEN(D630)-2),D630))</f>
        <v/>
      </c>
      <c r="G630" s="13">
        <f>IF(C630="","",IF(OR(IF(AND(LEFT(F630,1)="(",RIGHT(F630,1)=")"),MID(F630,2,LEN(F630)-2),F630)="",IF(AND(LEFT(F630,1)="(",RIGHT(F630,1)=")"),MID(F630,2,LEN(F630)-2),F630)="-"),0,IFERROR(VALUE(IF(AND(LEFT(F630,1)="(",RIGHT(F630,1)=")"),MID(F630,2,LEN(F630)-2),F630))*IF(AND(LEFT(F630,1)="(",RIGHT(F630,1)=")"),-1,1)*IF(E630="Cr",Setup!$B$6,1),"ERR")))</f>
        <v/>
      </c>
      <c r="H630" s="6">
        <f>IF(C630="","",IF(ISNUMBER(G630),1,0))</f>
        <v/>
      </c>
      <c r="I630" s="6">
        <f>IF(C630="","",IF(SUMPRODUCT(($C$12:$C$1511=C630)*1)&gt;1,1,0))</f>
        <v/>
      </c>
      <c r="J630" s="6">
        <f>IF(C630="","",SUMPRODUCT((Mapping!$F$5:$F$504=Setup!$B$4&amp;"||"&amp;C630)*ROW(Mapping!$F$5:$F$504)))</f>
        <v/>
      </c>
      <c r="K630" s="6">
        <f>IF(C630="","",IF(J630=0,"UNMAPPED",LOWER(INDEX(Mapping!$D$1:$D$504,J630))))</f>
        <v/>
      </c>
      <c r="L630" s="6">
        <f>IF(K630="mapped",TRIM(INDEX(Mapping!$C$1:$C$504,J630)),"")</f>
        <v/>
      </c>
      <c r="M630" s="6">
        <f>IF(C630="","",IF(SUMPRODUCT(($C$12:C630=C630)*1)=1,1,0))</f>
        <v/>
      </c>
      <c r="N630" s="6">
        <f>IF(AND(K630="UNMAPPED",M630=1),ROW(),"")</f>
        <v/>
      </c>
      <c r="O630" s="6">
        <f>IF(AND(I630=1,M630=1),ROW(),"")</f>
        <v/>
      </c>
      <c r="P630" s="6">
        <f>IF(AND(K630="ignored",M630=1),ROW(),"")</f>
        <v/>
      </c>
    </row>
    <row r="631">
      <c r="A631" s="8" t="n"/>
      <c r="B631" s="8" t="n"/>
      <c r="C631" s="6">
        <f>TRIM(A631&amp;"")</f>
        <v/>
      </c>
      <c r="D631" s="6">
        <f>IF(C631="","",SUBSTITUTE(SUBSTITUTE(SUBSTITUTE(SUBSTITUTE(SUBSTITUTE(SUBSTITUTE(SUBSTITUTE(UPPER(TRIM(B631&amp;"")),"₹",""),"RS.",""),"RS",""),"INR",""),"$",""),",","")," ",""))</f>
        <v/>
      </c>
      <c r="E631" s="6">
        <f>IF(C631="","",IF(RIGHT(D631,2)="CR","Cr",IF(RIGHT(D631,2)="DR","Dr","")))</f>
        <v/>
      </c>
      <c r="F631" s="6">
        <f>IF(C631="","",IF(E631&lt;&gt;"",LEFT(D631,LEN(D631)-2),D631))</f>
        <v/>
      </c>
      <c r="G631" s="13">
        <f>IF(C631="","",IF(OR(IF(AND(LEFT(F631,1)="(",RIGHT(F631,1)=")"),MID(F631,2,LEN(F631)-2),F631)="",IF(AND(LEFT(F631,1)="(",RIGHT(F631,1)=")"),MID(F631,2,LEN(F631)-2),F631)="-"),0,IFERROR(VALUE(IF(AND(LEFT(F631,1)="(",RIGHT(F631,1)=")"),MID(F631,2,LEN(F631)-2),F631))*IF(AND(LEFT(F631,1)="(",RIGHT(F631,1)=")"),-1,1)*IF(E631="Cr",Setup!$B$6,1),"ERR")))</f>
        <v/>
      </c>
      <c r="H631" s="6">
        <f>IF(C631="","",IF(ISNUMBER(G631),1,0))</f>
        <v/>
      </c>
      <c r="I631" s="6">
        <f>IF(C631="","",IF(SUMPRODUCT(($C$12:$C$1511=C631)*1)&gt;1,1,0))</f>
        <v/>
      </c>
      <c r="J631" s="6">
        <f>IF(C631="","",SUMPRODUCT((Mapping!$F$5:$F$504=Setup!$B$4&amp;"||"&amp;C631)*ROW(Mapping!$F$5:$F$504)))</f>
        <v/>
      </c>
      <c r="K631" s="6">
        <f>IF(C631="","",IF(J631=0,"UNMAPPED",LOWER(INDEX(Mapping!$D$1:$D$504,J631))))</f>
        <v/>
      </c>
      <c r="L631" s="6">
        <f>IF(K631="mapped",TRIM(INDEX(Mapping!$C$1:$C$504,J631)),"")</f>
        <v/>
      </c>
      <c r="M631" s="6">
        <f>IF(C631="","",IF(SUMPRODUCT(($C$12:C631=C631)*1)=1,1,0))</f>
        <v/>
      </c>
      <c r="N631" s="6">
        <f>IF(AND(K631="UNMAPPED",M631=1),ROW(),"")</f>
        <v/>
      </c>
      <c r="O631" s="6">
        <f>IF(AND(I631=1,M631=1),ROW(),"")</f>
        <v/>
      </c>
      <c r="P631" s="6">
        <f>IF(AND(K631="ignored",M631=1),ROW(),"")</f>
        <v/>
      </c>
    </row>
    <row r="632">
      <c r="A632" s="8" t="n"/>
      <c r="B632" s="8" t="n"/>
      <c r="C632" s="6">
        <f>TRIM(A632&amp;"")</f>
        <v/>
      </c>
      <c r="D632" s="6">
        <f>IF(C632="","",SUBSTITUTE(SUBSTITUTE(SUBSTITUTE(SUBSTITUTE(SUBSTITUTE(SUBSTITUTE(SUBSTITUTE(UPPER(TRIM(B632&amp;"")),"₹",""),"RS.",""),"RS",""),"INR",""),"$",""),",","")," ",""))</f>
        <v/>
      </c>
      <c r="E632" s="6">
        <f>IF(C632="","",IF(RIGHT(D632,2)="CR","Cr",IF(RIGHT(D632,2)="DR","Dr","")))</f>
        <v/>
      </c>
      <c r="F632" s="6">
        <f>IF(C632="","",IF(E632&lt;&gt;"",LEFT(D632,LEN(D632)-2),D632))</f>
        <v/>
      </c>
      <c r="G632" s="13">
        <f>IF(C632="","",IF(OR(IF(AND(LEFT(F632,1)="(",RIGHT(F632,1)=")"),MID(F632,2,LEN(F632)-2),F632)="",IF(AND(LEFT(F632,1)="(",RIGHT(F632,1)=")"),MID(F632,2,LEN(F632)-2),F632)="-"),0,IFERROR(VALUE(IF(AND(LEFT(F632,1)="(",RIGHT(F632,1)=")"),MID(F632,2,LEN(F632)-2),F632))*IF(AND(LEFT(F632,1)="(",RIGHT(F632,1)=")"),-1,1)*IF(E632="Cr",Setup!$B$6,1),"ERR")))</f>
        <v/>
      </c>
      <c r="H632" s="6">
        <f>IF(C632="","",IF(ISNUMBER(G632),1,0))</f>
        <v/>
      </c>
      <c r="I632" s="6">
        <f>IF(C632="","",IF(SUMPRODUCT(($C$12:$C$1511=C632)*1)&gt;1,1,0))</f>
        <v/>
      </c>
      <c r="J632" s="6">
        <f>IF(C632="","",SUMPRODUCT((Mapping!$F$5:$F$504=Setup!$B$4&amp;"||"&amp;C632)*ROW(Mapping!$F$5:$F$504)))</f>
        <v/>
      </c>
      <c r="K632" s="6">
        <f>IF(C632="","",IF(J632=0,"UNMAPPED",LOWER(INDEX(Mapping!$D$1:$D$504,J632))))</f>
        <v/>
      </c>
      <c r="L632" s="6">
        <f>IF(K632="mapped",TRIM(INDEX(Mapping!$C$1:$C$504,J632)),"")</f>
        <v/>
      </c>
      <c r="M632" s="6">
        <f>IF(C632="","",IF(SUMPRODUCT(($C$12:C632=C632)*1)=1,1,0))</f>
        <v/>
      </c>
      <c r="N632" s="6">
        <f>IF(AND(K632="UNMAPPED",M632=1),ROW(),"")</f>
        <v/>
      </c>
      <c r="O632" s="6">
        <f>IF(AND(I632=1,M632=1),ROW(),"")</f>
        <v/>
      </c>
      <c r="P632" s="6">
        <f>IF(AND(K632="ignored",M632=1),ROW(),"")</f>
        <v/>
      </c>
    </row>
    <row r="633">
      <c r="A633" s="8" t="n"/>
      <c r="B633" s="8" t="n"/>
      <c r="C633" s="6">
        <f>TRIM(A633&amp;"")</f>
        <v/>
      </c>
      <c r="D633" s="6">
        <f>IF(C633="","",SUBSTITUTE(SUBSTITUTE(SUBSTITUTE(SUBSTITUTE(SUBSTITUTE(SUBSTITUTE(SUBSTITUTE(UPPER(TRIM(B633&amp;"")),"₹",""),"RS.",""),"RS",""),"INR",""),"$",""),",","")," ",""))</f>
        <v/>
      </c>
      <c r="E633" s="6">
        <f>IF(C633="","",IF(RIGHT(D633,2)="CR","Cr",IF(RIGHT(D633,2)="DR","Dr","")))</f>
        <v/>
      </c>
      <c r="F633" s="6">
        <f>IF(C633="","",IF(E633&lt;&gt;"",LEFT(D633,LEN(D633)-2),D633))</f>
        <v/>
      </c>
      <c r="G633" s="13">
        <f>IF(C633="","",IF(OR(IF(AND(LEFT(F633,1)="(",RIGHT(F633,1)=")"),MID(F633,2,LEN(F633)-2),F633)="",IF(AND(LEFT(F633,1)="(",RIGHT(F633,1)=")"),MID(F633,2,LEN(F633)-2),F633)="-"),0,IFERROR(VALUE(IF(AND(LEFT(F633,1)="(",RIGHT(F633,1)=")"),MID(F633,2,LEN(F633)-2),F633))*IF(AND(LEFT(F633,1)="(",RIGHT(F633,1)=")"),-1,1)*IF(E633="Cr",Setup!$B$6,1),"ERR")))</f>
        <v/>
      </c>
      <c r="H633" s="6">
        <f>IF(C633="","",IF(ISNUMBER(G633),1,0))</f>
        <v/>
      </c>
      <c r="I633" s="6">
        <f>IF(C633="","",IF(SUMPRODUCT(($C$12:$C$1511=C633)*1)&gt;1,1,0))</f>
        <v/>
      </c>
      <c r="J633" s="6">
        <f>IF(C633="","",SUMPRODUCT((Mapping!$F$5:$F$504=Setup!$B$4&amp;"||"&amp;C633)*ROW(Mapping!$F$5:$F$504)))</f>
        <v/>
      </c>
      <c r="K633" s="6">
        <f>IF(C633="","",IF(J633=0,"UNMAPPED",LOWER(INDEX(Mapping!$D$1:$D$504,J633))))</f>
        <v/>
      </c>
      <c r="L633" s="6">
        <f>IF(K633="mapped",TRIM(INDEX(Mapping!$C$1:$C$504,J633)),"")</f>
        <v/>
      </c>
      <c r="M633" s="6">
        <f>IF(C633="","",IF(SUMPRODUCT(($C$12:C633=C633)*1)=1,1,0))</f>
        <v/>
      </c>
      <c r="N633" s="6">
        <f>IF(AND(K633="UNMAPPED",M633=1),ROW(),"")</f>
        <v/>
      </c>
      <c r="O633" s="6">
        <f>IF(AND(I633=1,M633=1),ROW(),"")</f>
        <v/>
      </c>
      <c r="P633" s="6">
        <f>IF(AND(K633="ignored",M633=1),ROW(),"")</f>
        <v/>
      </c>
    </row>
    <row r="634">
      <c r="A634" s="8" t="n"/>
      <c r="B634" s="8" t="n"/>
      <c r="C634" s="6">
        <f>TRIM(A634&amp;"")</f>
        <v/>
      </c>
      <c r="D634" s="6">
        <f>IF(C634="","",SUBSTITUTE(SUBSTITUTE(SUBSTITUTE(SUBSTITUTE(SUBSTITUTE(SUBSTITUTE(SUBSTITUTE(UPPER(TRIM(B634&amp;"")),"₹",""),"RS.",""),"RS",""),"INR",""),"$",""),",","")," ",""))</f>
        <v/>
      </c>
      <c r="E634" s="6">
        <f>IF(C634="","",IF(RIGHT(D634,2)="CR","Cr",IF(RIGHT(D634,2)="DR","Dr","")))</f>
        <v/>
      </c>
      <c r="F634" s="6">
        <f>IF(C634="","",IF(E634&lt;&gt;"",LEFT(D634,LEN(D634)-2),D634))</f>
        <v/>
      </c>
      <c r="G634" s="13">
        <f>IF(C634="","",IF(OR(IF(AND(LEFT(F634,1)="(",RIGHT(F634,1)=")"),MID(F634,2,LEN(F634)-2),F634)="",IF(AND(LEFT(F634,1)="(",RIGHT(F634,1)=")"),MID(F634,2,LEN(F634)-2),F634)="-"),0,IFERROR(VALUE(IF(AND(LEFT(F634,1)="(",RIGHT(F634,1)=")"),MID(F634,2,LEN(F634)-2),F634))*IF(AND(LEFT(F634,1)="(",RIGHT(F634,1)=")"),-1,1)*IF(E634="Cr",Setup!$B$6,1),"ERR")))</f>
        <v/>
      </c>
      <c r="H634" s="6">
        <f>IF(C634="","",IF(ISNUMBER(G634),1,0))</f>
        <v/>
      </c>
      <c r="I634" s="6">
        <f>IF(C634="","",IF(SUMPRODUCT(($C$12:$C$1511=C634)*1)&gt;1,1,0))</f>
        <v/>
      </c>
      <c r="J634" s="6">
        <f>IF(C634="","",SUMPRODUCT((Mapping!$F$5:$F$504=Setup!$B$4&amp;"||"&amp;C634)*ROW(Mapping!$F$5:$F$504)))</f>
        <v/>
      </c>
      <c r="K634" s="6">
        <f>IF(C634="","",IF(J634=0,"UNMAPPED",LOWER(INDEX(Mapping!$D$1:$D$504,J634))))</f>
        <v/>
      </c>
      <c r="L634" s="6">
        <f>IF(K634="mapped",TRIM(INDEX(Mapping!$C$1:$C$504,J634)),"")</f>
        <v/>
      </c>
      <c r="M634" s="6">
        <f>IF(C634="","",IF(SUMPRODUCT(($C$12:C634=C634)*1)=1,1,0))</f>
        <v/>
      </c>
      <c r="N634" s="6">
        <f>IF(AND(K634="UNMAPPED",M634=1),ROW(),"")</f>
        <v/>
      </c>
      <c r="O634" s="6">
        <f>IF(AND(I634=1,M634=1),ROW(),"")</f>
        <v/>
      </c>
      <c r="P634" s="6">
        <f>IF(AND(K634="ignored",M634=1),ROW(),"")</f>
        <v/>
      </c>
    </row>
    <row r="635">
      <c r="A635" s="8" t="n"/>
      <c r="B635" s="8" t="n"/>
      <c r="C635" s="6">
        <f>TRIM(A635&amp;"")</f>
        <v/>
      </c>
      <c r="D635" s="6">
        <f>IF(C635="","",SUBSTITUTE(SUBSTITUTE(SUBSTITUTE(SUBSTITUTE(SUBSTITUTE(SUBSTITUTE(SUBSTITUTE(UPPER(TRIM(B635&amp;"")),"₹",""),"RS.",""),"RS",""),"INR",""),"$",""),",","")," ",""))</f>
        <v/>
      </c>
      <c r="E635" s="6">
        <f>IF(C635="","",IF(RIGHT(D635,2)="CR","Cr",IF(RIGHT(D635,2)="DR","Dr","")))</f>
        <v/>
      </c>
      <c r="F635" s="6">
        <f>IF(C635="","",IF(E635&lt;&gt;"",LEFT(D635,LEN(D635)-2),D635))</f>
        <v/>
      </c>
      <c r="G635" s="13">
        <f>IF(C635="","",IF(OR(IF(AND(LEFT(F635,1)="(",RIGHT(F635,1)=")"),MID(F635,2,LEN(F635)-2),F635)="",IF(AND(LEFT(F635,1)="(",RIGHT(F635,1)=")"),MID(F635,2,LEN(F635)-2),F635)="-"),0,IFERROR(VALUE(IF(AND(LEFT(F635,1)="(",RIGHT(F635,1)=")"),MID(F635,2,LEN(F635)-2),F635))*IF(AND(LEFT(F635,1)="(",RIGHT(F635,1)=")"),-1,1)*IF(E635="Cr",Setup!$B$6,1),"ERR")))</f>
        <v/>
      </c>
      <c r="H635" s="6">
        <f>IF(C635="","",IF(ISNUMBER(G635),1,0))</f>
        <v/>
      </c>
      <c r="I635" s="6">
        <f>IF(C635="","",IF(SUMPRODUCT(($C$12:$C$1511=C635)*1)&gt;1,1,0))</f>
        <v/>
      </c>
      <c r="J635" s="6">
        <f>IF(C635="","",SUMPRODUCT((Mapping!$F$5:$F$504=Setup!$B$4&amp;"||"&amp;C635)*ROW(Mapping!$F$5:$F$504)))</f>
        <v/>
      </c>
      <c r="K635" s="6">
        <f>IF(C635="","",IF(J635=0,"UNMAPPED",LOWER(INDEX(Mapping!$D$1:$D$504,J635))))</f>
        <v/>
      </c>
      <c r="L635" s="6">
        <f>IF(K635="mapped",TRIM(INDEX(Mapping!$C$1:$C$504,J635)),"")</f>
        <v/>
      </c>
      <c r="M635" s="6">
        <f>IF(C635="","",IF(SUMPRODUCT(($C$12:C635=C635)*1)=1,1,0))</f>
        <v/>
      </c>
      <c r="N635" s="6">
        <f>IF(AND(K635="UNMAPPED",M635=1),ROW(),"")</f>
        <v/>
      </c>
      <c r="O635" s="6">
        <f>IF(AND(I635=1,M635=1),ROW(),"")</f>
        <v/>
      </c>
      <c r="P635" s="6">
        <f>IF(AND(K635="ignored",M635=1),ROW(),"")</f>
        <v/>
      </c>
    </row>
    <row r="636">
      <c r="A636" s="8" t="n"/>
      <c r="B636" s="8" t="n"/>
      <c r="C636" s="6">
        <f>TRIM(A636&amp;"")</f>
        <v/>
      </c>
      <c r="D636" s="6">
        <f>IF(C636="","",SUBSTITUTE(SUBSTITUTE(SUBSTITUTE(SUBSTITUTE(SUBSTITUTE(SUBSTITUTE(SUBSTITUTE(UPPER(TRIM(B636&amp;"")),"₹",""),"RS.",""),"RS",""),"INR",""),"$",""),",","")," ",""))</f>
        <v/>
      </c>
      <c r="E636" s="6">
        <f>IF(C636="","",IF(RIGHT(D636,2)="CR","Cr",IF(RIGHT(D636,2)="DR","Dr","")))</f>
        <v/>
      </c>
      <c r="F636" s="6">
        <f>IF(C636="","",IF(E636&lt;&gt;"",LEFT(D636,LEN(D636)-2),D636))</f>
        <v/>
      </c>
      <c r="G636" s="13">
        <f>IF(C636="","",IF(OR(IF(AND(LEFT(F636,1)="(",RIGHT(F636,1)=")"),MID(F636,2,LEN(F636)-2),F636)="",IF(AND(LEFT(F636,1)="(",RIGHT(F636,1)=")"),MID(F636,2,LEN(F636)-2),F636)="-"),0,IFERROR(VALUE(IF(AND(LEFT(F636,1)="(",RIGHT(F636,1)=")"),MID(F636,2,LEN(F636)-2),F636))*IF(AND(LEFT(F636,1)="(",RIGHT(F636,1)=")"),-1,1)*IF(E636="Cr",Setup!$B$6,1),"ERR")))</f>
        <v/>
      </c>
      <c r="H636" s="6">
        <f>IF(C636="","",IF(ISNUMBER(G636),1,0))</f>
        <v/>
      </c>
      <c r="I636" s="6">
        <f>IF(C636="","",IF(SUMPRODUCT(($C$12:$C$1511=C636)*1)&gt;1,1,0))</f>
        <v/>
      </c>
      <c r="J636" s="6">
        <f>IF(C636="","",SUMPRODUCT((Mapping!$F$5:$F$504=Setup!$B$4&amp;"||"&amp;C636)*ROW(Mapping!$F$5:$F$504)))</f>
        <v/>
      </c>
      <c r="K636" s="6">
        <f>IF(C636="","",IF(J636=0,"UNMAPPED",LOWER(INDEX(Mapping!$D$1:$D$504,J636))))</f>
        <v/>
      </c>
      <c r="L636" s="6">
        <f>IF(K636="mapped",TRIM(INDEX(Mapping!$C$1:$C$504,J636)),"")</f>
        <v/>
      </c>
      <c r="M636" s="6">
        <f>IF(C636="","",IF(SUMPRODUCT(($C$12:C636=C636)*1)=1,1,0))</f>
        <v/>
      </c>
      <c r="N636" s="6">
        <f>IF(AND(K636="UNMAPPED",M636=1),ROW(),"")</f>
        <v/>
      </c>
      <c r="O636" s="6">
        <f>IF(AND(I636=1,M636=1),ROW(),"")</f>
        <v/>
      </c>
      <c r="P636" s="6">
        <f>IF(AND(K636="ignored",M636=1),ROW(),"")</f>
        <v/>
      </c>
    </row>
    <row r="637">
      <c r="A637" s="8" t="n"/>
      <c r="B637" s="8" t="n"/>
      <c r="C637" s="6">
        <f>TRIM(A637&amp;"")</f>
        <v/>
      </c>
      <c r="D637" s="6">
        <f>IF(C637="","",SUBSTITUTE(SUBSTITUTE(SUBSTITUTE(SUBSTITUTE(SUBSTITUTE(SUBSTITUTE(SUBSTITUTE(UPPER(TRIM(B637&amp;"")),"₹",""),"RS.",""),"RS",""),"INR",""),"$",""),",","")," ",""))</f>
        <v/>
      </c>
      <c r="E637" s="6">
        <f>IF(C637="","",IF(RIGHT(D637,2)="CR","Cr",IF(RIGHT(D637,2)="DR","Dr","")))</f>
        <v/>
      </c>
      <c r="F637" s="6">
        <f>IF(C637="","",IF(E637&lt;&gt;"",LEFT(D637,LEN(D637)-2),D637))</f>
        <v/>
      </c>
      <c r="G637" s="13">
        <f>IF(C637="","",IF(OR(IF(AND(LEFT(F637,1)="(",RIGHT(F637,1)=")"),MID(F637,2,LEN(F637)-2),F637)="",IF(AND(LEFT(F637,1)="(",RIGHT(F637,1)=")"),MID(F637,2,LEN(F637)-2),F637)="-"),0,IFERROR(VALUE(IF(AND(LEFT(F637,1)="(",RIGHT(F637,1)=")"),MID(F637,2,LEN(F637)-2),F637))*IF(AND(LEFT(F637,1)="(",RIGHT(F637,1)=")"),-1,1)*IF(E637="Cr",Setup!$B$6,1),"ERR")))</f>
        <v/>
      </c>
      <c r="H637" s="6">
        <f>IF(C637="","",IF(ISNUMBER(G637),1,0))</f>
        <v/>
      </c>
      <c r="I637" s="6">
        <f>IF(C637="","",IF(SUMPRODUCT(($C$12:$C$1511=C637)*1)&gt;1,1,0))</f>
        <v/>
      </c>
      <c r="J637" s="6">
        <f>IF(C637="","",SUMPRODUCT((Mapping!$F$5:$F$504=Setup!$B$4&amp;"||"&amp;C637)*ROW(Mapping!$F$5:$F$504)))</f>
        <v/>
      </c>
      <c r="K637" s="6">
        <f>IF(C637="","",IF(J637=0,"UNMAPPED",LOWER(INDEX(Mapping!$D$1:$D$504,J637))))</f>
        <v/>
      </c>
      <c r="L637" s="6">
        <f>IF(K637="mapped",TRIM(INDEX(Mapping!$C$1:$C$504,J637)),"")</f>
        <v/>
      </c>
      <c r="M637" s="6">
        <f>IF(C637="","",IF(SUMPRODUCT(($C$12:C637=C637)*1)=1,1,0))</f>
        <v/>
      </c>
      <c r="N637" s="6">
        <f>IF(AND(K637="UNMAPPED",M637=1),ROW(),"")</f>
        <v/>
      </c>
      <c r="O637" s="6">
        <f>IF(AND(I637=1,M637=1),ROW(),"")</f>
        <v/>
      </c>
      <c r="P637" s="6">
        <f>IF(AND(K637="ignored",M637=1),ROW(),"")</f>
        <v/>
      </c>
    </row>
    <row r="638">
      <c r="A638" s="8" t="n"/>
      <c r="B638" s="8" t="n"/>
      <c r="C638" s="6">
        <f>TRIM(A638&amp;"")</f>
        <v/>
      </c>
      <c r="D638" s="6">
        <f>IF(C638="","",SUBSTITUTE(SUBSTITUTE(SUBSTITUTE(SUBSTITUTE(SUBSTITUTE(SUBSTITUTE(SUBSTITUTE(UPPER(TRIM(B638&amp;"")),"₹",""),"RS.",""),"RS",""),"INR",""),"$",""),",","")," ",""))</f>
        <v/>
      </c>
      <c r="E638" s="6">
        <f>IF(C638="","",IF(RIGHT(D638,2)="CR","Cr",IF(RIGHT(D638,2)="DR","Dr","")))</f>
        <v/>
      </c>
      <c r="F638" s="6">
        <f>IF(C638="","",IF(E638&lt;&gt;"",LEFT(D638,LEN(D638)-2),D638))</f>
        <v/>
      </c>
      <c r="G638" s="13">
        <f>IF(C638="","",IF(OR(IF(AND(LEFT(F638,1)="(",RIGHT(F638,1)=")"),MID(F638,2,LEN(F638)-2),F638)="",IF(AND(LEFT(F638,1)="(",RIGHT(F638,1)=")"),MID(F638,2,LEN(F638)-2),F638)="-"),0,IFERROR(VALUE(IF(AND(LEFT(F638,1)="(",RIGHT(F638,1)=")"),MID(F638,2,LEN(F638)-2),F638))*IF(AND(LEFT(F638,1)="(",RIGHT(F638,1)=")"),-1,1)*IF(E638="Cr",Setup!$B$6,1),"ERR")))</f>
        <v/>
      </c>
      <c r="H638" s="6">
        <f>IF(C638="","",IF(ISNUMBER(G638),1,0))</f>
        <v/>
      </c>
      <c r="I638" s="6">
        <f>IF(C638="","",IF(SUMPRODUCT(($C$12:$C$1511=C638)*1)&gt;1,1,0))</f>
        <v/>
      </c>
      <c r="J638" s="6">
        <f>IF(C638="","",SUMPRODUCT((Mapping!$F$5:$F$504=Setup!$B$4&amp;"||"&amp;C638)*ROW(Mapping!$F$5:$F$504)))</f>
        <v/>
      </c>
      <c r="K638" s="6">
        <f>IF(C638="","",IF(J638=0,"UNMAPPED",LOWER(INDEX(Mapping!$D$1:$D$504,J638))))</f>
        <v/>
      </c>
      <c r="L638" s="6">
        <f>IF(K638="mapped",TRIM(INDEX(Mapping!$C$1:$C$504,J638)),"")</f>
        <v/>
      </c>
      <c r="M638" s="6">
        <f>IF(C638="","",IF(SUMPRODUCT(($C$12:C638=C638)*1)=1,1,0))</f>
        <v/>
      </c>
      <c r="N638" s="6">
        <f>IF(AND(K638="UNMAPPED",M638=1),ROW(),"")</f>
        <v/>
      </c>
      <c r="O638" s="6">
        <f>IF(AND(I638=1,M638=1),ROW(),"")</f>
        <v/>
      </c>
      <c r="P638" s="6">
        <f>IF(AND(K638="ignored",M638=1),ROW(),"")</f>
        <v/>
      </c>
    </row>
    <row r="639">
      <c r="A639" s="8" t="n"/>
      <c r="B639" s="8" t="n"/>
      <c r="C639" s="6">
        <f>TRIM(A639&amp;"")</f>
        <v/>
      </c>
      <c r="D639" s="6">
        <f>IF(C639="","",SUBSTITUTE(SUBSTITUTE(SUBSTITUTE(SUBSTITUTE(SUBSTITUTE(SUBSTITUTE(SUBSTITUTE(UPPER(TRIM(B639&amp;"")),"₹",""),"RS.",""),"RS",""),"INR",""),"$",""),",","")," ",""))</f>
        <v/>
      </c>
      <c r="E639" s="6">
        <f>IF(C639="","",IF(RIGHT(D639,2)="CR","Cr",IF(RIGHT(D639,2)="DR","Dr","")))</f>
        <v/>
      </c>
      <c r="F639" s="6">
        <f>IF(C639="","",IF(E639&lt;&gt;"",LEFT(D639,LEN(D639)-2),D639))</f>
        <v/>
      </c>
      <c r="G639" s="13">
        <f>IF(C639="","",IF(OR(IF(AND(LEFT(F639,1)="(",RIGHT(F639,1)=")"),MID(F639,2,LEN(F639)-2),F639)="",IF(AND(LEFT(F639,1)="(",RIGHT(F639,1)=")"),MID(F639,2,LEN(F639)-2),F639)="-"),0,IFERROR(VALUE(IF(AND(LEFT(F639,1)="(",RIGHT(F639,1)=")"),MID(F639,2,LEN(F639)-2),F639))*IF(AND(LEFT(F639,1)="(",RIGHT(F639,1)=")"),-1,1)*IF(E639="Cr",Setup!$B$6,1),"ERR")))</f>
        <v/>
      </c>
      <c r="H639" s="6">
        <f>IF(C639="","",IF(ISNUMBER(G639),1,0))</f>
        <v/>
      </c>
      <c r="I639" s="6">
        <f>IF(C639="","",IF(SUMPRODUCT(($C$12:$C$1511=C639)*1)&gt;1,1,0))</f>
        <v/>
      </c>
      <c r="J639" s="6">
        <f>IF(C639="","",SUMPRODUCT((Mapping!$F$5:$F$504=Setup!$B$4&amp;"||"&amp;C639)*ROW(Mapping!$F$5:$F$504)))</f>
        <v/>
      </c>
      <c r="K639" s="6">
        <f>IF(C639="","",IF(J639=0,"UNMAPPED",LOWER(INDEX(Mapping!$D$1:$D$504,J639))))</f>
        <v/>
      </c>
      <c r="L639" s="6">
        <f>IF(K639="mapped",TRIM(INDEX(Mapping!$C$1:$C$504,J639)),"")</f>
        <v/>
      </c>
      <c r="M639" s="6">
        <f>IF(C639="","",IF(SUMPRODUCT(($C$12:C639=C639)*1)=1,1,0))</f>
        <v/>
      </c>
      <c r="N639" s="6">
        <f>IF(AND(K639="UNMAPPED",M639=1),ROW(),"")</f>
        <v/>
      </c>
      <c r="O639" s="6">
        <f>IF(AND(I639=1,M639=1),ROW(),"")</f>
        <v/>
      </c>
      <c r="P639" s="6">
        <f>IF(AND(K639="ignored",M639=1),ROW(),"")</f>
        <v/>
      </c>
    </row>
    <row r="640">
      <c r="A640" s="8" t="n"/>
      <c r="B640" s="8" t="n"/>
      <c r="C640" s="6">
        <f>TRIM(A640&amp;"")</f>
        <v/>
      </c>
      <c r="D640" s="6">
        <f>IF(C640="","",SUBSTITUTE(SUBSTITUTE(SUBSTITUTE(SUBSTITUTE(SUBSTITUTE(SUBSTITUTE(SUBSTITUTE(UPPER(TRIM(B640&amp;"")),"₹",""),"RS.",""),"RS",""),"INR",""),"$",""),",","")," ",""))</f>
        <v/>
      </c>
      <c r="E640" s="6">
        <f>IF(C640="","",IF(RIGHT(D640,2)="CR","Cr",IF(RIGHT(D640,2)="DR","Dr","")))</f>
        <v/>
      </c>
      <c r="F640" s="6">
        <f>IF(C640="","",IF(E640&lt;&gt;"",LEFT(D640,LEN(D640)-2),D640))</f>
        <v/>
      </c>
      <c r="G640" s="13">
        <f>IF(C640="","",IF(OR(IF(AND(LEFT(F640,1)="(",RIGHT(F640,1)=")"),MID(F640,2,LEN(F640)-2),F640)="",IF(AND(LEFT(F640,1)="(",RIGHT(F640,1)=")"),MID(F640,2,LEN(F640)-2),F640)="-"),0,IFERROR(VALUE(IF(AND(LEFT(F640,1)="(",RIGHT(F640,1)=")"),MID(F640,2,LEN(F640)-2),F640))*IF(AND(LEFT(F640,1)="(",RIGHT(F640,1)=")"),-1,1)*IF(E640="Cr",Setup!$B$6,1),"ERR")))</f>
        <v/>
      </c>
      <c r="H640" s="6">
        <f>IF(C640="","",IF(ISNUMBER(G640),1,0))</f>
        <v/>
      </c>
      <c r="I640" s="6">
        <f>IF(C640="","",IF(SUMPRODUCT(($C$12:$C$1511=C640)*1)&gt;1,1,0))</f>
        <v/>
      </c>
      <c r="J640" s="6">
        <f>IF(C640="","",SUMPRODUCT((Mapping!$F$5:$F$504=Setup!$B$4&amp;"||"&amp;C640)*ROW(Mapping!$F$5:$F$504)))</f>
        <v/>
      </c>
      <c r="K640" s="6">
        <f>IF(C640="","",IF(J640=0,"UNMAPPED",LOWER(INDEX(Mapping!$D$1:$D$504,J640))))</f>
        <v/>
      </c>
      <c r="L640" s="6">
        <f>IF(K640="mapped",TRIM(INDEX(Mapping!$C$1:$C$504,J640)),"")</f>
        <v/>
      </c>
      <c r="M640" s="6">
        <f>IF(C640="","",IF(SUMPRODUCT(($C$12:C640=C640)*1)=1,1,0))</f>
        <v/>
      </c>
      <c r="N640" s="6">
        <f>IF(AND(K640="UNMAPPED",M640=1),ROW(),"")</f>
        <v/>
      </c>
      <c r="O640" s="6">
        <f>IF(AND(I640=1,M640=1),ROW(),"")</f>
        <v/>
      </c>
      <c r="P640" s="6">
        <f>IF(AND(K640="ignored",M640=1),ROW(),"")</f>
        <v/>
      </c>
    </row>
    <row r="641">
      <c r="A641" s="8" t="n"/>
      <c r="B641" s="8" t="n"/>
      <c r="C641" s="6">
        <f>TRIM(A641&amp;"")</f>
        <v/>
      </c>
      <c r="D641" s="6">
        <f>IF(C641="","",SUBSTITUTE(SUBSTITUTE(SUBSTITUTE(SUBSTITUTE(SUBSTITUTE(SUBSTITUTE(SUBSTITUTE(UPPER(TRIM(B641&amp;"")),"₹",""),"RS.",""),"RS",""),"INR",""),"$",""),",","")," ",""))</f>
        <v/>
      </c>
      <c r="E641" s="6">
        <f>IF(C641="","",IF(RIGHT(D641,2)="CR","Cr",IF(RIGHT(D641,2)="DR","Dr","")))</f>
        <v/>
      </c>
      <c r="F641" s="6">
        <f>IF(C641="","",IF(E641&lt;&gt;"",LEFT(D641,LEN(D641)-2),D641))</f>
        <v/>
      </c>
      <c r="G641" s="13">
        <f>IF(C641="","",IF(OR(IF(AND(LEFT(F641,1)="(",RIGHT(F641,1)=")"),MID(F641,2,LEN(F641)-2),F641)="",IF(AND(LEFT(F641,1)="(",RIGHT(F641,1)=")"),MID(F641,2,LEN(F641)-2),F641)="-"),0,IFERROR(VALUE(IF(AND(LEFT(F641,1)="(",RIGHT(F641,1)=")"),MID(F641,2,LEN(F641)-2),F641))*IF(AND(LEFT(F641,1)="(",RIGHT(F641,1)=")"),-1,1)*IF(E641="Cr",Setup!$B$6,1),"ERR")))</f>
        <v/>
      </c>
      <c r="H641" s="6">
        <f>IF(C641="","",IF(ISNUMBER(G641),1,0))</f>
        <v/>
      </c>
      <c r="I641" s="6">
        <f>IF(C641="","",IF(SUMPRODUCT(($C$12:$C$1511=C641)*1)&gt;1,1,0))</f>
        <v/>
      </c>
      <c r="J641" s="6">
        <f>IF(C641="","",SUMPRODUCT((Mapping!$F$5:$F$504=Setup!$B$4&amp;"||"&amp;C641)*ROW(Mapping!$F$5:$F$504)))</f>
        <v/>
      </c>
      <c r="K641" s="6">
        <f>IF(C641="","",IF(J641=0,"UNMAPPED",LOWER(INDEX(Mapping!$D$1:$D$504,J641))))</f>
        <v/>
      </c>
      <c r="L641" s="6">
        <f>IF(K641="mapped",TRIM(INDEX(Mapping!$C$1:$C$504,J641)),"")</f>
        <v/>
      </c>
      <c r="M641" s="6">
        <f>IF(C641="","",IF(SUMPRODUCT(($C$12:C641=C641)*1)=1,1,0))</f>
        <v/>
      </c>
      <c r="N641" s="6">
        <f>IF(AND(K641="UNMAPPED",M641=1),ROW(),"")</f>
        <v/>
      </c>
      <c r="O641" s="6">
        <f>IF(AND(I641=1,M641=1),ROW(),"")</f>
        <v/>
      </c>
      <c r="P641" s="6">
        <f>IF(AND(K641="ignored",M641=1),ROW(),"")</f>
        <v/>
      </c>
    </row>
    <row r="642">
      <c r="A642" s="8" t="n"/>
      <c r="B642" s="8" t="n"/>
      <c r="C642" s="6">
        <f>TRIM(A642&amp;"")</f>
        <v/>
      </c>
      <c r="D642" s="6">
        <f>IF(C642="","",SUBSTITUTE(SUBSTITUTE(SUBSTITUTE(SUBSTITUTE(SUBSTITUTE(SUBSTITUTE(SUBSTITUTE(UPPER(TRIM(B642&amp;"")),"₹",""),"RS.",""),"RS",""),"INR",""),"$",""),",","")," ",""))</f>
        <v/>
      </c>
      <c r="E642" s="6">
        <f>IF(C642="","",IF(RIGHT(D642,2)="CR","Cr",IF(RIGHT(D642,2)="DR","Dr","")))</f>
        <v/>
      </c>
      <c r="F642" s="6">
        <f>IF(C642="","",IF(E642&lt;&gt;"",LEFT(D642,LEN(D642)-2),D642))</f>
        <v/>
      </c>
      <c r="G642" s="13">
        <f>IF(C642="","",IF(OR(IF(AND(LEFT(F642,1)="(",RIGHT(F642,1)=")"),MID(F642,2,LEN(F642)-2),F642)="",IF(AND(LEFT(F642,1)="(",RIGHT(F642,1)=")"),MID(F642,2,LEN(F642)-2),F642)="-"),0,IFERROR(VALUE(IF(AND(LEFT(F642,1)="(",RIGHT(F642,1)=")"),MID(F642,2,LEN(F642)-2),F642))*IF(AND(LEFT(F642,1)="(",RIGHT(F642,1)=")"),-1,1)*IF(E642="Cr",Setup!$B$6,1),"ERR")))</f>
        <v/>
      </c>
      <c r="H642" s="6">
        <f>IF(C642="","",IF(ISNUMBER(G642),1,0))</f>
        <v/>
      </c>
      <c r="I642" s="6">
        <f>IF(C642="","",IF(SUMPRODUCT(($C$12:$C$1511=C642)*1)&gt;1,1,0))</f>
        <v/>
      </c>
      <c r="J642" s="6">
        <f>IF(C642="","",SUMPRODUCT((Mapping!$F$5:$F$504=Setup!$B$4&amp;"||"&amp;C642)*ROW(Mapping!$F$5:$F$504)))</f>
        <v/>
      </c>
      <c r="K642" s="6">
        <f>IF(C642="","",IF(J642=0,"UNMAPPED",LOWER(INDEX(Mapping!$D$1:$D$504,J642))))</f>
        <v/>
      </c>
      <c r="L642" s="6">
        <f>IF(K642="mapped",TRIM(INDEX(Mapping!$C$1:$C$504,J642)),"")</f>
        <v/>
      </c>
      <c r="M642" s="6">
        <f>IF(C642="","",IF(SUMPRODUCT(($C$12:C642=C642)*1)=1,1,0))</f>
        <v/>
      </c>
      <c r="N642" s="6">
        <f>IF(AND(K642="UNMAPPED",M642=1),ROW(),"")</f>
        <v/>
      </c>
      <c r="O642" s="6">
        <f>IF(AND(I642=1,M642=1),ROW(),"")</f>
        <v/>
      </c>
      <c r="P642" s="6">
        <f>IF(AND(K642="ignored",M642=1),ROW(),"")</f>
        <v/>
      </c>
    </row>
    <row r="643">
      <c r="A643" s="8" t="n"/>
      <c r="B643" s="8" t="n"/>
      <c r="C643" s="6">
        <f>TRIM(A643&amp;"")</f>
        <v/>
      </c>
      <c r="D643" s="6">
        <f>IF(C643="","",SUBSTITUTE(SUBSTITUTE(SUBSTITUTE(SUBSTITUTE(SUBSTITUTE(SUBSTITUTE(SUBSTITUTE(UPPER(TRIM(B643&amp;"")),"₹",""),"RS.",""),"RS",""),"INR",""),"$",""),",","")," ",""))</f>
        <v/>
      </c>
      <c r="E643" s="6">
        <f>IF(C643="","",IF(RIGHT(D643,2)="CR","Cr",IF(RIGHT(D643,2)="DR","Dr","")))</f>
        <v/>
      </c>
      <c r="F643" s="6">
        <f>IF(C643="","",IF(E643&lt;&gt;"",LEFT(D643,LEN(D643)-2),D643))</f>
        <v/>
      </c>
      <c r="G643" s="13">
        <f>IF(C643="","",IF(OR(IF(AND(LEFT(F643,1)="(",RIGHT(F643,1)=")"),MID(F643,2,LEN(F643)-2),F643)="",IF(AND(LEFT(F643,1)="(",RIGHT(F643,1)=")"),MID(F643,2,LEN(F643)-2),F643)="-"),0,IFERROR(VALUE(IF(AND(LEFT(F643,1)="(",RIGHT(F643,1)=")"),MID(F643,2,LEN(F643)-2),F643))*IF(AND(LEFT(F643,1)="(",RIGHT(F643,1)=")"),-1,1)*IF(E643="Cr",Setup!$B$6,1),"ERR")))</f>
        <v/>
      </c>
      <c r="H643" s="6">
        <f>IF(C643="","",IF(ISNUMBER(G643),1,0))</f>
        <v/>
      </c>
      <c r="I643" s="6">
        <f>IF(C643="","",IF(SUMPRODUCT(($C$12:$C$1511=C643)*1)&gt;1,1,0))</f>
        <v/>
      </c>
      <c r="J643" s="6">
        <f>IF(C643="","",SUMPRODUCT((Mapping!$F$5:$F$504=Setup!$B$4&amp;"||"&amp;C643)*ROW(Mapping!$F$5:$F$504)))</f>
        <v/>
      </c>
      <c r="K643" s="6">
        <f>IF(C643="","",IF(J643=0,"UNMAPPED",LOWER(INDEX(Mapping!$D$1:$D$504,J643))))</f>
        <v/>
      </c>
      <c r="L643" s="6">
        <f>IF(K643="mapped",TRIM(INDEX(Mapping!$C$1:$C$504,J643)),"")</f>
        <v/>
      </c>
      <c r="M643" s="6">
        <f>IF(C643="","",IF(SUMPRODUCT(($C$12:C643=C643)*1)=1,1,0))</f>
        <v/>
      </c>
      <c r="N643" s="6">
        <f>IF(AND(K643="UNMAPPED",M643=1),ROW(),"")</f>
        <v/>
      </c>
      <c r="O643" s="6">
        <f>IF(AND(I643=1,M643=1),ROW(),"")</f>
        <v/>
      </c>
      <c r="P643" s="6">
        <f>IF(AND(K643="ignored",M643=1),ROW(),"")</f>
        <v/>
      </c>
    </row>
    <row r="644">
      <c r="A644" s="8" t="n"/>
      <c r="B644" s="8" t="n"/>
      <c r="C644" s="6">
        <f>TRIM(A644&amp;"")</f>
        <v/>
      </c>
      <c r="D644" s="6">
        <f>IF(C644="","",SUBSTITUTE(SUBSTITUTE(SUBSTITUTE(SUBSTITUTE(SUBSTITUTE(SUBSTITUTE(SUBSTITUTE(UPPER(TRIM(B644&amp;"")),"₹",""),"RS.",""),"RS",""),"INR",""),"$",""),",","")," ",""))</f>
        <v/>
      </c>
      <c r="E644" s="6">
        <f>IF(C644="","",IF(RIGHT(D644,2)="CR","Cr",IF(RIGHT(D644,2)="DR","Dr","")))</f>
        <v/>
      </c>
      <c r="F644" s="6">
        <f>IF(C644="","",IF(E644&lt;&gt;"",LEFT(D644,LEN(D644)-2),D644))</f>
        <v/>
      </c>
      <c r="G644" s="13">
        <f>IF(C644="","",IF(OR(IF(AND(LEFT(F644,1)="(",RIGHT(F644,1)=")"),MID(F644,2,LEN(F644)-2),F644)="",IF(AND(LEFT(F644,1)="(",RIGHT(F644,1)=")"),MID(F644,2,LEN(F644)-2),F644)="-"),0,IFERROR(VALUE(IF(AND(LEFT(F644,1)="(",RIGHT(F644,1)=")"),MID(F644,2,LEN(F644)-2),F644))*IF(AND(LEFT(F644,1)="(",RIGHT(F644,1)=")"),-1,1)*IF(E644="Cr",Setup!$B$6,1),"ERR")))</f>
        <v/>
      </c>
      <c r="H644" s="6">
        <f>IF(C644="","",IF(ISNUMBER(G644),1,0))</f>
        <v/>
      </c>
      <c r="I644" s="6">
        <f>IF(C644="","",IF(SUMPRODUCT(($C$12:$C$1511=C644)*1)&gt;1,1,0))</f>
        <v/>
      </c>
      <c r="J644" s="6">
        <f>IF(C644="","",SUMPRODUCT((Mapping!$F$5:$F$504=Setup!$B$4&amp;"||"&amp;C644)*ROW(Mapping!$F$5:$F$504)))</f>
        <v/>
      </c>
      <c r="K644" s="6">
        <f>IF(C644="","",IF(J644=0,"UNMAPPED",LOWER(INDEX(Mapping!$D$1:$D$504,J644))))</f>
        <v/>
      </c>
      <c r="L644" s="6">
        <f>IF(K644="mapped",TRIM(INDEX(Mapping!$C$1:$C$504,J644)),"")</f>
        <v/>
      </c>
      <c r="M644" s="6">
        <f>IF(C644="","",IF(SUMPRODUCT(($C$12:C644=C644)*1)=1,1,0))</f>
        <v/>
      </c>
      <c r="N644" s="6">
        <f>IF(AND(K644="UNMAPPED",M644=1),ROW(),"")</f>
        <v/>
      </c>
      <c r="O644" s="6">
        <f>IF(AND(I644=1,M644=1),ROW(),"")</f>
        <v/>
      </c>
      <c r="P644" s="6">
        <f>IF(AND(K644="ignored",M644=1),ROW(),"")</f>
        <v/>
      </c>
    </row>
    <row r="645">
      <c r="A645" s="8" t="n"/>
      <c r="B645" s="8" t="n"/>
      <c r="C645" s="6">
        <f>TRIM(A645&amp;"")</f>
        <v/>
      </c>
      <c r="D645" s="6">
        <f>IF(C645="","",SUBSTITUTE(SUBSTITUTE(SUBSTITUTE(SUBSTITUTE(SUBSTITUTE(SUBSTITUTE(SUBSTITUTE(UPPER(TRIM(B645&amp;"")),"₹",""),"RS.",""),"RS",""),"INR",""),"$",""),",","")," ",""))</f>
        <v/>
      </c>
      <c r="E645" s="6">
        <f>IF(C645="","",IF(RIGHT(D645,2)="CR","Cr",IF(RIGHT(D645,2)="DR","Dr","")))</f>
        <v/>
      </c>
      <c r="F645" s="6">
        <f>IF(C645="","",IF(E645&lt;&gt;"",LEFT(D645,LEN(D645)-2),D645))</f>
        <v/>
      </c>
      <c r="G645" s="13">
        <f>IF(C645="","",IF(OR(IF(AND(LEFT(F645,1)="(",RIGHT(F645,1)=")"),MID(F645,2,LEN(F645)-2),F645)="",IF(AND(LEFT(F645,1)="(",RIGHT(F645,1)=")"),MID(F645,2,LEN(F645)-2),F645)="-"),0,IFERROR(VALUE(IF(AND(LEFT(F645,1)="(",RIGHT(F645,1)=")"),MID(F645,2,LEN(F645)-2),F645))*IF(AND(LEFT(F645,1)="(",RIGHT(F645,1)=")"),-1,1)*IF(E645="Cr",Setup!$B$6,1),"ERR")))</f>
        <v/>
      </c>
      <c r="H645" s="6">
        <f>IF(C645="","",IF(ISNUMBER(G645),1,0))</f>
        <v/>
      </c>
      <c r="I645" s="6">
        <f>IF(C645="","",IF(SUMPRODUCT(($C$12:$C$1511=C645)*1)&gt;1,1,0))</f>
        <v/>
      </c>
      <c r="J645" s="6">
        <f>IF(C645="","",SUMPRODUCT((Mapping!$F$5:$F$504=Setup!$B$4&amp;"||"&amp;C645)*ROW(Mapping!$F$5:$F$504)))</f>
        <v/>
      </c>
      <c r="K645" s="6">
        <f>IF(C645="","",IF(J645=0,"UNMAPPED",LOWER(INDEX(Mapping!$D$1:$D$504,J645))))</f>
        <v/>
      </c>
      <c r="L645" s="6">
        <f>IF(K645="mapped",TRIM(INDEX(Mapping!$C$1:$C$504,J645)),"")</f>
        <v/>
      </c>
      <c r="M645" s="6">
        <f>IF(C645="","",IF(SUMPRODUCT(($C$12:C645=C645)*1)=1,1,0))</f>
        <v/>
      </c>
      <c r="N645" s="6">
        <f>IF(AND(K645="UNMAPPED",M645=1),ROW(),"")</f>
        <v/>
      </c>
      <c r="O645" s="6">
        <f>IF(AND(I645=1,M645=1),ROW(),"")</f>
        <v/>
      </c>
      <c r="P645" s="6">
        <f>IF(AND(K645="ignored",M645=1),ROW(),"")</f>
        <v/>
      </c>
    </row>
    <row r="646">
      <c r="A646" s="8" t="n"/>
      <c r="B646" s="8" t="n"/>
      <c r="C646" s="6">
        <f>TRIM(A646&amp;"")</f>
        <v/>
      </c>
      <c r="D646" s="6">
        <f>IF(C646="","",SUBSTITUTE(SUBSTITUTE(SUBSTITUTE(SUBSTITUTE(SUBSTITUTE(SUBSTITUTE(SUBSTITUTE(UPPER(TRIM(B646&amp;"")),"₹",""),"RS.",""),"RS",""),"INR",""),"$",""),",","")," ",""))</f>
        <v/>
      </c>
      <c r="E646" s="6">
        <f>IF(C646="","",IF(RIGHT(D646,2)="CR","Cr",IF(RIGHT(D646,2)="DR","Dr","")))</f>
        <v/>
      </c>
      <c r="F646" s="6">
        <f>IF(C646="","",IF(E646&lt;&gt;"",LEFT(D646,LEN(D646)-2),D646))</f>
        <v/>
      </c>
      <c r="G646" s="13">
        <f>IF(C646="","",IF(OR(IF(AND(LEFT(F646,1)="(",RIGHT(F646,1)=")"),MID(F646,2,LEN(F646)-2),F646)="",IF(AND(LEFT(F646,1)="(",RIGHT(F646,1)=")"),MID(F646,2,LEN(F646)-2),F646)="-"),0,IFERROR(VALUE(IF(AND(LEFT(F646,1)="(",RIGHT(F646,1)=")"),MID(F646,2,LEN(F646)-2),F646))*IF(AND(LEFT(F646,1)="(",RIGHT(F646,1)=")"),-1,1)*IF(E646="Cr",Setup!$B$6,1),"ERR")))</f>
        <v/>
      </c>
      <c r="H646" s="6">
        <f>IF(C646="","",IF(ISNUMBER(G646),1,0))</f>
        <v/>
      </c>
      <c r="I646" s="6">
        <f>IF(C646="","",IF(SUMPRODUCT(($C$12:$C$1511=C646)*1)&gt;1,1,0))</f>
        <v/>
      </c>
      <c r="J646" s="6">
        <f>IF(C646="","",SUMPRODUCT((Mapping!$F$5:$F$504=Setup!$B$4&amp;"||"&amp;C646)*ROW(Mapping!$F$5:$F$504)))</f>
        <v/>
      </c>
      <c r="K646" s="6">
        <f>IF(C646="","",IF(J646=0,"UNMAPPED",LOWER(INDEX(Mapping!$D$1:$D$504,J646))))</f>
        <v/>
      </c>
      <c r="L646" s="6">
        <f>IF(K646="mapped",TRIM(INDEX(Mapping!$C$1:$C$504,J646)),"")</f>
        <v/>
      </c>
      <c r="M646" s="6">
        <f>IF(C646="","",IF(SUMPRODUCT(($C$12:C646=C646)*1)=1,1,0))</f>
        <v/>
      </c>
      <c r="N646" s="6">
        <f>IF(AND(K646="UNMAPPED",M646=1),ROW(),"")</f>
        <v/>
      </c>
      <c r="O646" s="6">
        <f>IF(AND(I646=1,M646=1),ROW(),"")</f>
        <v/>
      </c>
      <c r="P646" s="6">
        <f>IF(AND(K646="ignored",M646=1),ROW(),"")</f>
        <v/>
      </c>
    </row>
    <row r="647">
      <c r="A647" s="8" t="n"/>
      <c r="B647" s="8" t="n"/>
      <c r="C647" s="6">
        <f>TRIM(A647&amp;"")</f>
        <v/>
      </c>
      <c r="D647" s="6">
        <f>IF(C647="","",SUBSTITUTE(SUBSTITUTE(SUBSTITUTE(SUBSTITUTE(SUBSTITUTE(SUBSTITUTE(SUBSTITUTE(UPPER(TRIM(B647&amp;"")),"₹",""),"RS.",""),"RS",""),"INR",""),"$",""),",","")," ",""))</f>
        <v/>
      </c>
      <c r="E647" s="6">
        <f>IF(C647="","",IF(RIGHT(D647,2)="CR","Cr",IF(RIGHT(D647,2)="DR","Dr","")))</f>
        <v/>
      </c>
      <c r="F647" s="6">
        <f>IF(C647="","",IF(E647&lt;&gt;"",LEFT(D647,LEN(D647)-2),D647))</f>
        <v/>
      </c>
      <c r="G647" s="13">
        <f>IF(C647="","",IF(OR(IF(AND(LEFT(F647,1)="(",RIGHT(F647,1)=")"),MID(F647,2,LEN(F647)-2),F647)="",IF(AND(LEFT(F647,1)="(",RIGHT(F647,1)=")"),MID(F647,2,LEN(F647)-2),F647)="-"),0,IFERROR(VALUE(IF(AND(LEFT(F647,1)="(",RIGHT(F647,1)=")"),MID(F647,2,LEN(F647)-2),F647))*IF(AND(LEFT(F647,1)="(",RIGHT(F647,1)=")"),-1,1)*IF(E647="Cr",Setup!$B$6,1),"ERR")))</f>
        <v/>
      </c>
      <c r="H647" s="6">
        <f>IF(C647="","",IF(ISNUMBER(G647),1,0))</f>
        <v/>
      </c>
      <c r="I647" s="6">
        <f>IF(C647="","",IF(SUMPRODUCT(($C$12:$C$1511=C647)*1)&gt;1,1,0))</f>
        <v/>
      </c>
      <c r="J647" s="6">
        <f>IF(C647="","",SUMPRODUCT((Mapping!$F$5:$F$504=Setup!$B$4&amp;"||"&amp;C647)*ROW(Mapping!$F$5:$F$504)))</f>
        <v/>
      </c>
      <c r="K647" s="6">
        <f>IF(C647="","",IF(J647=0,"UNMAPPED",LOWER(INDEX(Mapping!$D$1:$D$504,J647))))</f>
        <v/>
      </c>
      <c r="L647" s="6">
        <f>IF(K647="mapped",TRIM(INDEX(Mapping!$C$1:$C$504,J647)),"")</f>
        <v/>
      </c>
      <c r="M647" s="6">
        <f>IF(C647="","",IF(SUMPRODUCT(($C$12:C647=C647)*1)=1,1,0))</f>
        <v/>
      </c>
      <c r="N647" s="6">
        <f>IF(AND(K647="UNMAPPED",M647=1),ROW(),"")</f>
        <v/>
      </c>
      <c r="O647" s="6">
        <f>IF(AND(I647=1,M647=1),ROW(),"")</f>
        <v/>
      </c>
      <c r="P647" s="6">
        <f>IF(AND(K647="ignored",M647=1),ROW(),"")</f>
        <v/>
      </c>
    </row>
    <row r="648">
      <c r="A648" s="8" t="n"/>
      <c r="B648" s="8" t="n"/>
      <c r="C648" s="6">
        <f>TRIM(A648&amp;"")</f>
        <v/>
      </c>
      <c r="D648" s="6">
        <f>IF(C648="","",SUBSTITUTE(SUBSTITUTE(SUBSTITUTE(SUBSTITUTE(SUBSTITUTE(SUBSTITUTE(SUBSTITUTE(UPPER(TRIM(B648&amp;"")),"₹",""),"RS.",""),"RS",""),"INR",""),"$",""),",","")," ",""))</f>
        <v/>
      </c>
      <c r="E648" s="6">
        <f>IF(C648="","",IF(RIGHT(D648,2)="CR","Cr",IF(RIGHT(D648,2)="DR","Dr","")))</f>
        <v/>
      </c>
      <c r="F648" s="6">
        <f>IF(C648="","",IF(E648&lt;&gt;"",LEFT(D648,LEN(D648)-2),D648))</f>
        <v/>
      </c>
      <c r="G648" s="13">
        <f>IF(C648="","",IF(OR(IF(AND(LEFT(F648,1)="(",RIGHT(F648,1)=")"),MID(F648,2,LEN(F648)-2),F648)="",IF(AND(LEFT(F648,1)="(",RIGHT(F648,1)=")"),MID(F648,2,LEN(F648)-2),F648)="-"),0,IFERROR(VALUE(IF(AND(LEFT(F648,1)="(",RIGHT(F648,1)=")"),MID(F648,2,LEN(F648)-2),F648))*IF(AND(LEFT(F648,1)="(",RIGHT(F648,1)=")"),-1,1)*IF(E648="Cr",Setup!$B$6,1),"ERR")))</f>
        <v/>
      </c>
      <c r="H648" s="6">
        <f>IF(C648="","",IF(ISNUMBER(G648),1,0))</f>
        <v/>
      </c>
      <c r="I648" s="6">
        <f>IF(C648="","",IF(SUMPRODUCT(($C$12:$C$1511=C648)*1)&gt;1,1,0))</f>
        <v/>
      </c>
      <c r="J648" s="6">
        <f>IF(C648="","",SUMPRODUCT((Mapping!$F$5:$F$504=Setup!$B$4&amp;"||"&amp;C648)*ROW(Mapping!$F$5:$F$504)))</f>
        <v/>
      </c>
      <c r="K648" s="6">
        <f>IF(C648="","",IF(J648=0,"UNMAPPED",LOWER(INDEX(Mapping!$D$1:$D$504,J648))))</f>
        <v/>
      </c>
      <c r="L648" s="6">
        <f>IF(K648="mapped",TRIM(INDEX(Mapping!$C$1:$C$504,J648)),"")</f>
        <v/>
      </c>
      <c r="M648" s="6">
        <f>IF(C648="","",IF(SUMPRODUCT(($C$12:C648=C648)*1)=1,1,0))</f>
        <v/>
      </c>
      <c r="N648" s="6">
        <f>IF(AND(K648="UNMAPPED",M648=1),ROW(),"")</f>
        <v/>
      </c>
      <c r="O648" s="6">
        <f>IF(AND(I648=1,M648=1),ROW(),"")</f>
        <v/>
      </c>
      <c r="P648" s="6">
        <f>IF(AND(K648="ignored",M648=1),ROW(),"")</f>
        <v/>
      </c>
    </row>
    <row r="649">
      <c r="A649" s="8" t="n"/>
      <c r="B649" s="8" t="n"/>
      <c r="C649" s="6">
        <f>TRIM(A649&amp;"")</f>
        <v/>
      </c>
      <c r="D649" s="6">
        <f>IF(C649="","",SUBSTITUTE(SUBSTITUTE(SUBSTITUTE(SUBSTITUTE(SUBSTITUTE(SUBSTITUTE(SUBSTITUTE(UPPER(TRIM(B649&amp;"")),"₹",""),"RS.",""),"RS",""),"INR",""),"$",""),",","")," ",""))</f>
        <v/>
      </c>
      <c r="E649" s="6">
        <f>IF(C649="","",IF(RIGHT(D649,2)="CR","Cr",IF(RIGHT(D649,2)="DR","Dr","")))</f>
        <v/>
      </c>
      <c r="F649" s="6">
        <f>IF(C649="","",IF(E649&lt;&gt;"",LEFT(D649,LEN(D649)-2),D649))</f>
        <v/>
      </c>
      <c r="G649" s="13">
        <f>IF(C649="","",IF(OR(IF(AND(LEFT(F649,1)="(",RIGHT(F649,1)=")"),MID(F649,2,LEN(F649)-2),F649)="",IF(AND(LEFT(F649,1)="(",RIGHT(F649,1)=")"),MID(F649,2,LEN(F649)-2),F649)="-"),0,IFERROR(VALUE(IF(AND(LEFT(F649,1)="(",RIGHT(F649,1)=")"),MID(F649,2,LEN(F649)-2),F649))*IF(AND(LEFT(F649,1)="(",RIGHT(F649,1)=")"),-1,1)*IF(E649="Cr",Setup!$B$6,1),"ERR")))</f>
        <v/>
      </c>
      <c r="H649" s="6">
        <f>IF(C649="","",IF(ISNUMBER(G649),1,0))</f>
        <v/>
      </c>
      <c r="I649" s="6">
        <f>IF(C649="","",IF(SUMPRODUCT(($C$12:$C$1511=C649)*1)&gt;1,1,0))</f>
        <v/>
      </c>
      <c r="J649" s="6">
        <f>IF(C649="","",SUMPRODUCT((Mapping!$F$5:$F$504=Setup!$B$4&amp;"||"&amp;C649)*ROW(Mapping!$F$5:$F$504)))</f>
        <v/>
      </c>
      <c r="K649" s="6">
        <f>IF(C649="","",IF(J649=0,"UNMAPPED",LOWER(INDEX(Mapping!$D$1:$D$504,J649))))</f>
        <v/>
      </c>
      <c r="L649" s="6">
        <f>IF(K649="mapped",TRIM(INDEX(Mapping!$C$1:$C$504,J649)),"")</f>
        <v/>
      </c>
      <c r="M649" s="6">
        <f>IF(C649="","",IF(SUMPRODUCT(($C$12:C649=C649)*1)=1,1,0))</f>
        <v/>
      </c>
      <c r="N649" s="6">
        <f>IF(AND(K649="UNMAPPED",M649=1),ROW(),"")</f>
        <v/>
      </c>
      <c r="O649" s="6">
        <f>IF(AND(I649=1,M649=1),ROW(),"")</f>
        <v/>
      </c>
      <c r="P649" s="6">
        <f>IF(AND(K649="ignored",M649=1),ROW(),"")</f>
        <v/>
      </c>
    </row>
    <row r="650">
      <c r="A650" s="8" t="n"/>
      <c r="B650" s="8" t="n"/>
      <c r="C650" s="6">
        <f>TRIM(A650&amp;"")</f>
        <v/>
      </c>
      <c r="D650" s="6">
        <f>IF(C650="","",SUBSTITUTE(SUBSTITUTE(SUBSTITUTE(SUBSTITUTE(SUBSTITUTE(SUBSTITUTE(SUBSTITUTE(UPPER(TRIM(B650&amp;"")),"₹",""),"RS.",""),"RS",""),"INR",""),"$",""),",","")," ",""))</f>
        <v/>
      </c>
      <c r="E650" s="6">
        <f>IF(C650="","",IF(RIGHT(D650,2)="CR","Cr",IF(RIGHT(D650,2)="DR","Dr","")))</f>
        <v/>
      </c>
      <c r="F650" s="6">
        <f>IF(C650="","",IF(E650&lt;&gt;"",LEFT(D650,LEN(D650)-2),D650))</f>
        <v/>
      </c>
      <c r="G650" s="13">
        <f>IF(C650="","",IF(OR(IF(AND(LEFT(F650,1)="(",RIGHT(F650,1)=")"),MID(F650,2,LEN(F650)-2),F650)="",IF(AND(LEFT(F650,1)="(",RIGHT(F650,1)=")"),MID(F650,2,LEN(F650)-2),F650)="-"),0,IFERROR(VALUE(IF(AND(LEFT(F650,1)="(",RIGHT(F650,1)=")"),MID(F650,2,LEN(F650)-2),F650))*IF(AND(LEFT(F650,1)="(",RIGHT(F650,1)=")"),-1,1)*IF(E650="Cr",Setup!$B$6,1),"ERR")))</f>
        <v/>
      </c>
      <c r="H650" s="6">
        <f>IF(C650="","",IF(ISNUMBER(G650),1,0))</f>
        <v/>
      </c>
      <c r="I650" s="6">
        <f>IF(C650="","",IF(SUMPRODUCT(($C$12:$C$1511=C650)*1)&gt;1,1,0))</f>
        <v/>
      </c>
      <c r="J650" s="6">
        <f>IF(C650="","",SUMPRODUCT((Mapping!$F$5:$F$504=Setup!$B$4&amp;"||"&amp;C650)*ROW(Mapping!$F$5:$F$504)))</f>
        <v/>
      </c>
      <c r="K650" s="6">
        <f>IF(C650="","",IF(J650=0,"UNMAPPED",LOWER(INDEX(Mapping!$D$1:$D$504,J650))))</f>
        <v/>
      </c>
      <c r="L650" s="6">
        <f>IF(K650="mapped",TRIM(INDEX(Mapping!$C$1:$C$504,J650)),"")</f>
        <v/>
      </c>
      <c r="M650" s="6">
        <f>IF(C650="","",IF(SUMPRODUCT(($C$12:C650=C650)*1)=1,1,0))</f>
        <v/>
      </c>
      <c r="N650" s="6">
        <f>IF(AND(K650="UNMAPPED",M650=1),ROW(),"")</f>
        <v/>
      </c>
      <c r="O650" s="6">
        <f>IF(AND(I650=1,M650=1),ROW(),"")</f>
        <v/>
      </c>
      <c r="P650" s="6">
        <f>IF(AND(K650="ignored",M650=1),ROW(),"")</f>
        <v/>
      </c>
    </row>
    <row r="651">
      <c r="A651" s="8" t="n"/>
      <c r="B651" s="8" t="n"/>
      <c r="C651" s="6">
        <f>TRIM(A651&amp;"")</f>
        <v/>
      </c>
      <c r="D651" s="6">
        <f>IF(C651="","",SUBSTITUTE(SUBSTITUTE(SUBSTITUTE(SUBSTITUTE(SUBSTITUTE(SUBSTITUTE(SUBSTITUTE(UPPER(TRIM(B651&amp;"")),"₹",""),"RS.",""),"RS",""),"INR",""),"$",""),",","")," ",""))</f>
        <v/>
      </c>
      <c r="E651" s="6">
        <f>IF(C651="","",IF(RIGHT(D651,2)="CR","Cr",IF(RIGHT(D651,2)="DR","Dr","")))</f>
        <v/>
      </c>
      <c r="F651" s="6">
        <f>IF(C651="","",IF(E651&lt;&gt;"",LEFT(D651,LEN(D651)-2),D651))</f>
        <v/>
      </c>
      <c r="G651" s="13">
        <f>IF(C651="","",IF(OR(IF(AND(LEFT(F651,1)="(",RIGHT(F651,1)=")"),MID(F651,2,LEN(F651)-2),F651)="",IF(AND(LEFT(F651,1)="(",RIGHT(F651,1)=")"),MID(F651,2,LEN(F651)-2),F651)="-"),0,IFERROR(VALUE(IF(AND(LEFT(F651,1)="(",RIGHT(F651,1)=")"),MID(F651,2,LEN(F651)-2),F651))*IF(AND(LEFT(F651,1)="(",RIGHT(F651,1)=")"),-1,1)*IF(E651="Cr",Setup!$B$6,1),"ERR")))</f>
        <v/>
      </c>
      <c r="H651" s="6">
        <f>IF(C651="","",IF(ISNUMBER(G651),1,0))</f>
        <v/>
      </c>
      <c r="I651" s="6">
        <f>IF(C651="","",IF(SUMPRODUCT(($C$12:$C$1511=C651)*1)&gt;1,1,0))</f>
        <v/>
      </c>
      <c r="J651" s="6">
        <f>IF(C651="","",SUMPRODUCT((Mapping!$F$5:$F$504=Setup!$B$4&amp;"||"&amp;C651)*ROW(Mapping!$F$5:$F$504)))</f>
        <v/>
      </c>
      <c r="K651" s="6">
        <f>IF(C651="","",IF(J651=0,"UNMAPPED",LOWER(INDEX(Mapping!$D$1:$D$504,J651))))</f>
        <v/>
      </c>
      <c r="L651" s="6">
        <f>IF(K651="mapped",TRIM(INDEX(Mapping!$C$1:$C$504,J651)),"")</f>
        <v/>
      </c>
      <c r="M651" s="6">
        <f>IF(C651="","",IF(SUMPRODUCT(($C$12:C651=C651)*1)=1,1,0))</f>
        <v/>
      </c>
      <c r="N651" s="6">
        <f>IF(AND(K651="UNMAPPED",M651=1),ROW(),"")</f>
        <v/>
      </c>
      <c r="O651" s="6">
        <f>IF(AND(I651=1,M651=1),ROW(),"")</f>
        <v/>
      </c>
      <c r="P651" s="6">
        <f>IF(AND(K651="ignored",M651=1),ROW(),"")</f>
        <v/>
      </c>
    </row>
    <row r="652">
      <c r="A652" s="8" t="n"/>
      <c r="B652" s="8" t="n"/>
      <c r="C652" s="6">
        <f>TRIM(A652&amp;"")</f>
        <v/>
      </c>
      <c r="D652" s="6">
        <f>IF(C652="","",SUBSTITUTE(SUBSTITUTE(SUBSTITUTE(SUBSTITUTE(SUBSTITUTE(SUBSTITUTE(SUBSTITUTE(UPPER(TRIM(B652&amp;"")),"₹",""),"RS.",""),"RS",""),"INR",""),"$",""),",","")," ",""))</f>
        <v/>
      </c>
      <c r="E652" s="6">
        <f>IF(C652="","",IF(RIGHT(D652,2)="CR","Cr",IF(RIGHT(D652,2)="DR","Dr","")))</f>
        <v/>
      </c>
      <c r="F652" s="6">
        <f>IF(C652="","",IF(E652&lt;&gt;"",LEFT(D652,LEN(D652)-2),D652))</f>
        <v/>
      </c>
      <c r="G652" s="13">
        <f>IF(C652="","",IF(OR(IF(AND(LEFT(F652,1)="(",RIGHT(F652,1)=")"),MID(F652,2,LEN(F652)-2),F652)="",IF(AND(LEFT(F652,1)="(",RIGHT(F652,1)=")"),MID(F652,2,LEN(F652)-2),F652)="-"),0,IFERROR(VALUE(IF(AND(LEFT(F652,1)="(",RIGHT(F652,1)=")"),MID(F652,2,LEN(F652)-2),F652))*IF(AND(LEFT(F652,1)="(",RIGHT(F652,1)=")"),-1,1)*IF(E652="Cr",Setup!$B$6,1),"ERR")))</f>
        <v/>
      </c>
      <c r="H652" s="6">
        <f>IF(C652="","",IF(ISNUMBER(G652),1,0))</f>
        <v/>
      </c>
      <c r="I652" s="6">
        <f>IF(C652="","",IF(SUMPRODUCT(($C$12:$C$1511=C652)*1)&gt;1,1,0))</f>
        <v/>
      </c>
      <c r="J652" s="6">
        <f>IF(C652="","",SUMPRODUCT((Mapping!$F$5:$F$504=Setup!$B$4&amp;"||"&amp;C652)*ROW(Mapping!$F$5:$F$504)))</f>
        <v/>
      </c>
      <c r="K652" s="6">
        <f>IF(C652="","",IF(J652=0,"UNMAPPED",LOWER(INDEX(Mapping!$D$1:$D$504,J652))))</f>
        <v/>
      </c>
      <c r="L652" s="6">
        <f>IF(K652="mapped",TRIM(INDEX(Mapping!$C$1:$C$504,J652)),"")</f>
        <v/>
      </c>
      <c r="M652" s="6">
        <f>IF(C652="","",IF(SUMPRODUCT(($C$12:C652=C652)*1)=1,1,0))</f>
        <v/>
      </c>
      <c r="N652" s="6">
        <f>IF(AND(K652="UNMAPPED",M652=1),ROW(),"")</f>
        <v/>
      </c>
      <c r="O652" s="6">
        <f>IF(AND(I652=1,M652=1),ROW(),"")</f>
        <v/>
      </c>
      <c r="P652" s="6">
        <f>IF(AND(K652="ignored",M652=1),ROW(),"")</f>
        <v/>
      </c>
    </row>
    <row r="653">
      <c r="A653" s="8" t="n"/>
      <c r="B653" s="8" t="n"/>
      <c r="C653" s="6">
        <f>TRIM(A653&amp;"")</f>
        <v/>
      </c>
      <c r="D653" s="6">
        <f>IF(C653="","",SUBSTITUTE(SUBSTITUTE(SUBSTITUTE(SUBSTITUTE(SUBSTITUTE(SUBSTITUTE(SUBSTITUTE(UPPER(TRIM(B653&amp;"")),"₹",""),"RS.",""),"RS",""),"INR",""),"$",""),",","")," ",""))</f>
        <v/>
      </c>
      <c r="E653" s="6">
        <f>IF(C653="","",IF(RIGHT(D653,2)="CR","Cr",IF(RIGHT(D653,2)="DR","Dr","")))</f>
        <v/>
      </c>
      <c r="F653" s="6">
        <f>IF(C653="","",IF(E653&lt;&gt;"",LEFT(D653,LEN(D653)-2),D653))</f>
        <v/>
      </c>
      <c r="G653" s="13">
        <f>IF(C653="","",IF(OR(IF(AND(LEFT(F653,1)="(",RIGHT(F653,1)=")"),MID(F653,2,LEN(F653)-2),F653)="",IF(AND(LEFT(F653,1)="(",RIGHT(F653,1)=")"),MID(F653,2,LEN(F653)-2),F653)="-"),0,IFERROR(VALUE(IF(AND(LEFT(F653,1)="(",RIGHT(F653,1)=")"),MID(F653,2,LEN(F653)-2),F653))*IF(AND(LEFT(F653,1)="(",RIGHT(F653,1)=")"),-1,1)*IF(E653="Cr",Setup!$B$6,1),"ERR")))</f>
        <v/>
      </c>
      <c r="H653" s="6">
        <f>IF(C653="","",IF(ISNUMBER(G653),1,0))</f>
        <v/>
      </c>
      <c r="I653" s="6">
        <f>IF(C653="","",IF(SUMPRODUCT(($C$12:$C$1511=C653)*1)&gt;1,1,0))</f>
        <v/>
      </c>
      <c r="J653" s="6">
        <f>IF(C653="","",SUMPRODUCT((Mapping!$F$5:$F$504=Setup!$B$4&amp;"||"&amp;C653)*ROW(Mapping!$F$5:$F$504)))</f>
        <v/>
      </c>
      <c r="K653" s="6">
        <f>IF(C653="","",IF(J653=0,"UNMAPPED",LOWER(INDEX(Mapping!$D$1:$D$504,J653))))</f>
        <v/>
      </c>
      <c r="L653" s="6">
        <f>IF(K653="mapped",TRIM(INDEX(Mapping!$C$1:$C$504,J653)),"")</f>
        <v/>
      </c>
      <c r="M653" s="6">
        <f>IF(C653="","",IF(SUMPRODUCT(($C$12:C653=C653)*1)=1,1,0))</f>
        <v/>
      </c>
      <c r="N653" s="6">
        <f>IF(AND(K653="UNMAPPED",M653=1),ROW(),"")</f>
        <v/>
      </c>
      <c r="O653" s="6">
        <f>IF(AND(I653=1,M653=1),ROW(),"")</f>
        <v/>
      </c>
      <c r="P653" s="6">
        <f>IF(AND(K653="ignored",M653=1),ROW(),"")</f>
        <v/>
      </c>
    </row>
    <row r="654">
      <c r="A654" s="8" t="n"/>
      <c r="B654" s="8" t="n"/>
      <c r="C654" s="6">
        <f>TRIM(A654&amp;"")</f>
        <v/>
      </c>
      <c r="D654" s="6">
        <f>IF(C654="","",SUBSTITUTE(SUBSTITUTE(SUBSTITUTE(SUBSTITUTE(SUBSTITUTE(SUBSTITUTE(SUBSTITUTE(UPPER(TRIM(B654&amp;"")),"₹",""),"RS.",""),"RS",""),"INR",""),"$",""),",","")," ",""))</f>
        <v/>
      </c>
      <c r="E654" s="6">
        <f>IF(C654="","",IF(RIGHT(D654,2)="CR","Cr",IF(RIGHT(D654,2)="DR","Dr","")))</f>
        <v/>
      </c>
      <c r="F654" s="6">
        <f>IF(C654="","",IF(E654&lt;&gt;"",LEFT(D654,LEN(D654)-2),D654))</f>
        <v/>
      </c>
      <c r="G654" s="13">
        <f>IF(C654="","",IF(OR(IF(AND(LEFT(F654,1)="(",RIGHT(F654,1)=")"),MID(F654,2,LEN(F654)-2),F654)="",IF(AND(LEFT(F654,1)="(",RIGHT(F654,1)=")"),MID(F654,2,LEN(F654)-2),F654)="-"),0,IFERROR(VALUE(IF(AND(LEFT(F654,1)="(",RIGHT(F654,1)=")"),MID(F654,2,LEN(F654)-2),F654))*IF(AND(LEFT(F654,1)="(",RIGHT(F654,1)=")"),-1,1)*IF(E654="Cr",Setup!$B$6,1),"ERR")))</f>
        <v/>
      </c>
      <c r="H654" s="6">
        <f>IF(C654="","",IF(ISNUMBER(G654),1,0))</f>
        <v/>
      </c>
      <c r="I654" s="6">
        <f>IF(C654="","",IF(SUMPRODUCT(($C$12:$C$1511=C654)*1)&gt;1,1,0))</f>
        <v/>
      </c>
      <c r="J654" s="6">
        <f>IF(C654="","",SUMPRODUCT((Mapping!$F$5:$F$504=Setup!$B$4&amp;"||"&amp;C654)*ROW(Mapping!$F$5:$F$504)))</f>
        <v/>
      </c>
      <c r="K654" s="6">
        <f>IF(C654="","",IF(J654=0,"UNMAPPED",LOWER(INDEX(Mapping!$D$1:$D$504,J654))))</f>
        <v/>
      </c>
      <c r="L654" s="6">
        <f>IF(K654="mapped",TRIM(INDEX(Mapping!$C$1:$C$504,J654)),"")</f>
        <v/>
      </c>
      <c r="M654" s="6">
        <f>IF(C654="","",IF(SUMPRODUCT(($C$12:C654=C654)*1)=1,1,0))</f>
        <v/>
      </c>
      <c r="N654" s="6">
        <f>IF(AND(K654="UNMAPPED",M654=1),ROW(),"")</f>
        <v/>
      </c>
      <c r="O654" s="6">
        <f>IF(AND(I654=1,M654=1),ROW(),"")</f>
        <v/>
      </c>
      <c r="P654" s="6">
        <f>IF(AND(K654="ignored",M654=1),ROW(),"")</f>
        <v/>
      </c>
    </row>
    <row r="655">
      <c r="A655" s="8" t="n"/>
      <c r="B655" s="8" t="n"/>
      <c r="C655" s="6">
        <f>TRIM(A655&amp;"")</f>
        <v/>
      </c>
      <c r="D655" s="6">
        <f>IF(C655="","",SUBSTITUTE(SUBSTITUTE(SUBSTITUTE(SUBSTITUTE(SUBSTITUTE(SUBSTITUTE(SUBSTITUTE(UPPER(TRIM(B655&amp;"")),"₹",""),"RS.",""),"RS",""),"INR",""),"$",""),",","")," ",""))</f>
        <v/>
      </c>
      <c r="E655" s="6">
        <f>IF(C655="","",IF(RIGHT(D655,2)="CR","Cr",IF(RIGHT(D655,2)="DR","Dr","")))</f>
        <v/>
      </c>
      <c r="F655" s="6">
        <f>IF(C655="","",IF(E655&lt;&gt;"",LEFT(D655,LEN(D655)-2),D655))</f>
        <v/>
      </c>
      <c r="G655" s="13">
        <f>IF(C655="","",IF(OR(IF(AND(LEFT(F655,1)="(",RIGHT(F655,1)=")"),MID(F655,2,LEN(F655)-2),F655)="",IF(AND(LEFT(F655,1)="(",RIGHT(F655,1)=")"),MID(F655,2,LEN(F655)-2),F655)="-"),0,IFERROR(VALUE(IF(AND(LEFT(F655,1)="(",RIGHT(F655,1)=")"),MID(F655,2,LEN(F655)-2),F655))*IF(AND(LEFT(F655,1)="(",RIGHT(F655,1)=")"),-1,1)*IF(E655="Cr",Setup!$B$6,1),"ERR")))</f>
        <v/>
      </c>
      <c r="H655" s="6">
        <f>IF(C655="","",IF(ISNUMBER(G655),1,0))</f>
        <v/>
      </c>
      <c r="I655" s="6">
        <f>IF(C655="","",IF(SUMPRODUCT(($C$12:$C$1511=C655)*1)&gt;1,1,0))</f>
        <v/>
      </c>
      <c r="J655" s="6">
        <f>IF(C655="","",SUMPRODUCT((Mapping!$F$5:$F$504=Setup!$B$4&amp;"||"&amp;C655)*ROW(Mapping!$F$5:$F$504)))</f>
        <v/>
      </c>
      <c r="K655" s="6">
        <f>IF(C655="","",IF(J655=0,"UNMAPPED",LOWER(INDEX(Mapping!$D$1:$D$504,J655))))</f>
        <v/>
      </c>
      <c r="L655" s="6">
        <f>IF(K655="mapped",TRIM(INDEX(Mapping!$C$1:$C$504,J655)),"")</f>
        <v/>
      </c>
      <c r="M655" s="6">
        <f>IF(C655="","",IF(SUMPRODUCT(($C$12:C655=C655)*1)=1,1,0))</f>
        <v/>
      </c>
      <c r="N655" s="6">
        <f>IF(AND(K655="UNMAPPED",M655=1),ROW(),"")</f>
        <v/>
      </c>
      <c r="O655" s="6">
        <f>IF(AND(I655=1,M655=1),ROW(),"")</f>
        <v/>
      </c>
      <c r="P655" s="6">
        <f>IF(AND(K655="ignored",M655=1),ROW(),"")</f>
        <v/>
      </c>
    </row>
    <row r="656">
      <c r="A656" s="8" t="n"/>
      <c r="B656" s="8" t="n"/>
      <c r="C656" s="6">
        <f>TRIM(A656&amp;"")</f>
        <v/>
      </c>
      <c r="D656" s="6">
        <f>IF(C656="","",SUBSTITUTE(SUBSTITUTE(SUBSTITUTE(SUBSTITUTE(SUBSTITUTE(SUBSTITUTE(SUBSTITUTE(UPPER(TRIM(B656&amp;"")),"₹",""),"RS.",""),"RS",""),"INR",""),"$",""),",","")," ",""))</f>
        <v/>
      </c>
      <c r="E656" s="6">
        <f>IF(C656="","",IF(RIGHT(D656,2)="CR","Cr",IF(RIGHT(D656,2)="DR","Dr","")))</f>
        <v/>
      </c>
      <c r="F656" s="6">
        <f>IF(C656="","",IF(E656&lt;&gt;"",LEFT(D656,LEN(D656)-2),D656))</f>
        <v/>
      </c>
      <c r="G656" s="13">
        <f>IF(C656="","",IF(OR(IF(AND(LEFT(F656,1)="(",RIGHT(F656,1)=")"),MID(F656,2,LEN(F656)-2),F656)="",IF(AND(LEFT(F656,1)="(",RIGHT(F656,1)=")"),MID(F656,2,LEN(F656)-2),F656)="-"),0,IFERROR(VALUE(IF(AND(LEFT(F656,1)="(",RIGHT(F656,1)=")"),MID(F656,2,LEN(F656)-2),F656))*IF(AND(LEFT(F656,1)="(",RIGHT(F656,1)=")"),-1,1)*IF(E656="Cr",Setup!$B$6,1),"ERR")))</f>
        <v/>
      </c>
      <c r="H656" s="6">
        <f>IF(C656="","",IF(ISNUMBER(G656),1,0))</f>
        <v/>
      </c>
      <c r="I656" s="6">
        <f>IF(C656="","",IF(SUMPRODUCT(($C$12:$C$1511=C656)*1)&gt;1,1,0))</f>
        <v/>
      </c>
      <c r="J656" s="6">
        <f>IF(C656="","",SUMPRODUCT((Mapping!$F$5:$F$504=Setup!$B$4&amp;"||"&amp;C656)*ROW(Mapping!$F$5:$F$504)))</f>
        <v/>
      </c>
      <c r="K656" s="6">
        <f>IF(C656="","",IF(J656=0,"UNMAPPED",LOWER(INDEX(Mapping!$D$1:$D$504,J656))))</f>
        <v/>
      </c>
      <c r="L656" s="6">
        <f>IF(K656="mapped",TRIM(INDEX(Mapping!$C$1:$C$504,J656)),"")</f>
        <v/>
      </c>
      <c r="M656" s="6">
        <f>IF(C656="","",IF(SUMPRODUCT(($C$12:C656=C656)*1)=1,1,0))</f>
        <v/>
      </c>
      <c r="N656" s="6">
        <f>IF(AND(K656="UNMAPPED",M656=1),ROW(),"")</f>
        <v/>
      </c>
      <c r="O656" s="6">
        <f>IF(AND(I656=1,M656=1),ROW(),"")</f>
        <v/>
      </c>
      <c r="P656" s="6">
        <f>IF(AND(K656="ignored",M656=1),ROW(),"")</f>
        <v/>
      </c>
    </row>
    <row r="657">
      <c r="A657" s="8" t="n"/>
      <c r="B657" s="8" t="n"/>
      <c r="C657" s="6">
        <f>TRIM(A657&amp;"")</f>
        <v/>
      </c>
      <c r="D657" s="6">
        <f>IF(C657="","",SUBSTITUTE(SUBSTITUTE(SUBSTITUTE(SUBSTITUTE(SUBSTITUTE(SUBSTITUTE(SUBSTITUTE(UPPER(TRIM(B657&amp;"")),"₹",""),"RS.",""),"RS",""),"INR",""),"$",""),",","")," ",""))</f>
        <v/>
      </c>
      <c r="E657" s="6">
        <f>IF(C657="","",IF(RIGHT(D657,2)="CR","Cr",IF(RIGHT(D657,2)="DR","Dr","")))</f>
        <v/>
      </c>
      <c r="F657" s="6">
        <f>IF(C657="","",IF(E657&lt;&gt;"",LEFT(D657,LEN(D657)-2),D657))</f>
        <v/>
      </c>
      <c r="G657" s="13">
        <f>IF(C657="","",IF(OR(IF(AND(LEFT(F657,1)="(",RIGHT(F657,1)=")"),MID(F657,2,LEN(F657)-2),F657)="",IF(AND(LEFT(F657,1)="(",RIGHT(F657,1)=")"),MID(F657,2,LEN(F657)-2),F657)="-"),0,IFERROR(VALUE(IF(AND(LEFT(F657,1)="(",RIGHT(F657,1)=")"),MID(F657,2,LEN(F657)-2),F657))*IF(AND(LEFT(F657,1)="(",RIGHT(F657,1)=")"),-1,1)*IF(E657="Cr",Setup!$B$6,1),"ERR")))</f>
        <v/>
      </c>
      <c r="H657" s="6">
        <f>IF(C657="","",IF(ISNUMBER(G657),1,0))</f>
        <v/>
      </c>
      <c r="I657" s="6">
        <f>IF(C657="","",IF(SUMPRODUCT(($C$12:$C$1511=C657)*1)&gt;1,1,0))</f>
        <v/>
      </c>
      <c r="J657" s="6">
        <f>IF(C657="","",SUMPRODUCT((Mapping!$F$5:$F$504=Setup!$B$4&amp;"||"&amp;C657)*ROW(Mapping!$F$5:$F$504)))</f>
        <v/>
      </c>
      <c r="K657" s="6">
        <f>IF(C657="","",IF(J657=0,"UNMAPPED",LOWER(INDEX(Mapping!$D$1:$D$504,J657))))</f>
        <v/>
      </c>
      <c r="L657" s="6">
        <f>IF(K657="mapped",TRIM(INDEX(Mapping!$C$1:$C$504,J657)),"")</f>
        <v/>
      </c>
      <c r="M657" s="6">
        <f>IF(C657="","",IF(SUMPRODUCT(($C$12:C657=C657)*1)=1,1,0))</f>
        <v/>
      </c>
      <c r="N657" s="6">
        <f>IF(AND(K657="UNMAPPED",M657=1),ROW(),"")</f>
        <v/>
      </c>
      <c r="O657" s="6">
        <f>IF(AND(I657=1,M657=1),ROW(),"")</f>
        <v/>
      </c>
      <c r="P657" s="6">
        <f>IF(AND(K657="ignored",M657=1),ROW(),"")</f>
        <v/>
      </c>
    </row>
    <row r="658">
      <c r="A658" s="8" t="n"/>
      <c r="B658" s="8" t="n"/>
      <c r="C658" s="6">
        <f>TRIM(A658&amp;"")</f>
        <v/>
      </c>
      <c r="D658" s="6">
        <f>IF(C658="","",SUBSTITUTE(SUBSTITUTE(SUBSTITUTE(SUBSTITUTE(SUBSTITUTE(SUBSTITUTE(SUBSTITUTE(UPPER(TRIM(B658&amp;"")),"₹",""),"RS.",""),"RS",""),"INR",""),"$",""),",","")," ",""))</f>
        <v/>
      </c>
      <c r="E658" s="6">
        <f>IF(C658="","",IF(RIGHT(D658,2)="CR","Cr",IF(RIGHT(D658,2)="DR","Dr","")))</f>
        <v/>
      </c>
      <c r="F658" s="6">
        <f>IF(C658="","",IF(E658&lt;&gt;"",LEFT(D658,LEN(D658)-2),D658))</f>
        <v/>
      </c>
      <c r="G658" s="13">
        <f>IF(C658="","",IF(OR(IF(AND(LEFT(F658,1)="(",RIGHT(F658,1)=")"),MID(F658,2,LEN(F658)-2),F658)="",IF(AND(LEFT(F658,1)="(",RIGHT(F658,1)=")"),MID(F658,2,LEN(F658)-2),F658)="-"),0,IFERROR(VALUE(IF(AND(LEFT(F658,1)="(",RIGHT(F658,1)=")"),MID(F658,2,LEN(F658)-2),F658))*IF(AND(LEFT(F658,1)="(",RIGHT(F658,1)=")"),-1,1)*IF(E658="Cr",Setup!$B$6,1),"ERR")))</f>
        <v/>
      </c>
      <c r="H658" s="6">
        <f>IF(C658="","",IF(ISNUMBER(G658),1,0))</f>
        <v/>
      </c>
      <c r="I658" s="6">
        <f>IF(C658="","",IF(SUMPRODUCT(($C$12:$C$1511=C658)*1)&gt;1,1,0))</f>
        <v/>
      </c>
      <c r="J658" s="6">
        <f>IF(C658="","",SUMPRODUCT((Mapping!$F$5:$F$504=Setup!$B$4&amp;"||"&amp;C658)*ROW(Mapping!$F$5:$F$504)))</f>
        <v/>
      </c>
      <c r="K658" s="6">
        <f>IF(C658="","",IF(J658=0,"UNMAPPED",LOWER(INDEX(Mapping!$D$1:$D$504,J658))))</f>
        <v/>
      </c>
      <c r="L658" s="6">
        <f>IF(K658="mapped",TRIM(INDEX(Mapping!$C$1:$C$504,J658)),"")</f>
        <v/>
      </c>
      <c r="M658" s="6">
        <f>IF(C658="","",IF(SUMPRODUCT(($C$12:C658=C658)*1)=1,1,0))</f>
        <v/>
      </c>
      <c r="N658" s="6">
        <f>IF(AND(K658="UNMAPPED",M658=1),ROW(),"")</f>
        <v/>
      </c>
      <c r="O658" s="6">
        <f>IF(AND(I658=1,M658=1),ROW(),"")</f>
        <v/>
      </c>
      <c r="P658" s="6">
        <f>IF(AND(K658="ignored",M658=1),ROW(),"")</f>
        <v/>
      </c>
    </row>
    <row r="659">
      <c r="A659" s="8" t="n"/>
      <c r="B659" s="8" t="n"/>
      <c r="C659" s="6">
        <f>TRIM(A659&amp;"")</f>
        <v/>
      </c>
      <c r="D659" s="6">
        <f>IF(C659="","",SUBSTITUTE(SUBSTITUTE(SUBSTITUTE(SUBSTITUTE(SUBSTITUTE(SUBSTITUTE(SUBSTITUTE(UPPER(TRIM(B659&amp;"")),"₹",""),"RS.",""),"RS",""),"INR",""),"$",""),",","")," ",""))</f>
        <v/>
      </c>
      <c r="E659" s="6">
        <f>IF(C659="","",IF(RIGHT(D659,2)="CR","Cr",IF(RIGHT(D659,2)="DR","Dr","")))</f>
        <v/>
      </c>
      <c r="F659" s="6">
        <f>IF(C659="","",IF(E659&lt;&gt;"",LEFT(D659,LEN(D659)-2),D659))</f>
        <v/>
      </c>
      <c r="G659" s="13">
        <f>IF(C659="","",IF(OR(IF(AND(LEFT(F659,1)="(",RIGHT(F659,1)=")"),MID(F659,2,LEN(F659)-2),F659)="",IF(AND(LEFT(F659,1)="(",RIGHT(F659,1)=")"),MID(F659,2,LEN(F659)-2),F659)="-"),0,IFERROR(VALUE(IF(AND(LEFT(F659,1)="(",RIGHT(F659,1)=")"),MID(F659,2,LEN(F659)-2),F659))*IF(AND(LEFT(F659,1)="(",RIGHT(F659,1)=")"),-1,1)*IF(E659="Cr",Setup!$B$6,1),"ERR")))</f>
        <v/>
      </c>
      <c r="H659" s="6">
        <f>IF(C659="","",IF(ISNUMBER(G659),1,0))</f>
        <v/>
      </c>
      <c r="I659" s="6">
        <f>IF(C659="","",IF(SUMPRODUCT(($C$12:$C$1511=C659)*1)&gt;1,1,0))</f>
        <v/>
      </c>
      <c r="J659" s="6">
        <f>IF(C659="","",SUMPRODUCT((Mapping!$F$5:$F$504=Setup!$B$4&amp;"||"&amp;C659)*ROW(Mapping!$F$5:$F$504)))</f>
        <v/>
      </c>
      <c r="K659" s="6">
        <f>IF(C659="","",IF(J659=0,"UNMAPPED",LOWER(INDEX(Mapping!$D$1:$D$504,J659))))</f>
        <v/>
      </c>
      <c r="L659" s="6">
        <f>IF(K659="mapped",TRIM(INDEX(Mapping!$C$1:$C$504,J659)),"")</f>
        <v/>
      </c>
      <c r="M659" s="6">
        <f>IF(C659="","",IF(SUMPRODUCT(($C$12:C659=C659)*1)=1,1,0))</f>
        <v/>
      </c>
      <c r="N659" s="6">
        <f>IF(AND(K659="UNMAPPED",M659=1),ROW(),"")</f>
        <v/>
      </c>
      <c r="O659" s="6">
        <f>IF(AND(I659=1,M659=1),ROW(),"")</f>
        <v/>
      </c>
      <c r="P659" s="6">
        <f>IF(AND(K659="ignored",M659=1),ROW(),"")</f>
        <v/>
      </c>
    </row>
    <row r="660">
      <c r="A660" s="8" t="n"/>
      <c r="B660" s="8" t="n"/>
      <c r="C660" s="6">
        <f>TRIM(A660&amp;"")</f>
        <v/>
      </c>
      <c r="D660" s="6">
        <f>IF(C660="","",SUBSTITUTE(SUBSTITUTE(SUBSTITUTE(SUBSTITUTE(SUBSTITUTE(SUBSTITUTE(SUBSTITUTE(UPPER(TRIM(B660&amp;"")),"₹",""),"RS.",""),"RS",""),"INR",""),"$",""),",","")," ",""))</f>
        <v/>
      </c>
      <c r="E660" s="6">
        <f>IF(C660="","",IF(RIGHT(D660,2)="CR","Cr",IF(RIGHT(D660,2)="DR","Dr","")))</f>
        <v/>
      </c>
      <c r="F660" s="6">
        <f>IF(C660="","",IF(E660&lt;&gt;"",LEFT(D660,LEN(D660)-2),D660))</f>
        <v/>
      </c>
      <c r="G660" s="13">
        <f>IF(C660="","",IF(OR(IF(AND(LEFT(F660,1)="(",RIGHT(F660,1)=")"),MID(F660,2,LEN(F660)-2),F660)="",IF(AND(LEFT(F660,1)="(",RIGHT(F660,1)=")"),MID(F660,2,LEN(F660)-2),F660)="-"),0,IFERROR(VALUE(IF(AND(LEFT(F660,1)="(",RIGHT(F660,1)=")"),MID(F660,2,LEN(F660)-2),F660))*IF(AND(LEFT(F660,1)="(",RIGHT(F660,1)=")"),-1,1)*IF(E660="Cr",Setup!$B$6,1),"ERR")))</f>
        <v/>
      </c>
      <c r="H660" s="6">
        <f>IF(C660="","",IF(ISNUMBER(G660),1,0))</f>
        <v/>
      </c>
      <c r="I660" s="6">
        <f>IF(C660="","",IF(SUMPRODUCT(($C$12:$C$1511=C660)*1)&gt;1,1,0))</f>
        <v/>
      </c>
      <c r="J660" s="6">
        <f>IF(C660="","",SUMPRODUCT((Mapping!$F$5:$F$504=Setup!$B$4&amp;"||"&amp;C660)*ROW(Mapping!$F$5:$F$504)))</f>
        <v/>
      </c>
      <c r="K660" s="6">
        <f>IF(C660="","",IF(J660=0,"UNMAPPED",LOWER(INDEX(Mapping!$D$1:$D$504,J660))))</f>
        <v/>
      </c>
      <c r="L660" s="6">
        <f>IF(K660="mapped",TRIM(INDEX(Mapping!$C$1:$C$504,J660)),"")</f>
        <v/>
      </c>
      <c r="M660" s="6">
        <f>IF(C660="","",IF(SUMPRODUCT(($C$12:C660=C660)*1)=1,1,0))</f>
        <v/>
      </c>
      <c r="N660" s="6">
        <f>IF(AND(K660="UNMAPPED",M660=1),ROW(),"")</f>
        <v/>
      </c>
      <c r="O660" s="6">
        <f>IF(AND(I660=1,M660=1),ROW(),"")</f>
        <v/>
      </c>
      <c r="P660" s="6">
        <f>IF(AND(K660="ignored",M660=1),ROW(),"")</f>
        <v/>
      </c>
    </row>
    <row r="661">
      <c r="A661" s="8" t="n"/>
      <c r="B661" s="8" t="n"/>
      <c r="C661" s="6">
        <f>TRIM(A661&amp;"")</f>
        <v/>
      </c>
      <c r="D661" s="6">
        <f>IF(C661="","",SUBSTITUTE(SUBSTITUTE(SUBSTITUTE(SUBSTITUTE(SUBSTITUTE(SUBSTITUTE(SUBSTITUTE(UPPER(TRIM(B661&amp;"")),"₹",""),"RS.",""),"RS",""),"INR",""),"$",""),",","")," ",""))</f>
        <v/>
      </c>
      <c r="E661" s="6">
        <f>IF(C661="","",IF(RIGHT(D661,2)="CR","Cr",IF(RIGHT(D661,2)="DR","Dr","")))</f>
        <v/>
      </c>
      <c r="F661" s="6">
        <f>IF(C661="","",IF(E661&lt;&gt;"",LEFT(D661,LEN(D661)-2),D661))</f>
        <v/>
      </c>
      <c r="G661" s="13">
        <f>IF(C661="","",IF(OR(IF(AND(LEFT(F661,1)="(",RIGHT(F661,1)=")"),MID(F661,2,LEN(F661)-2),F661)="",IF(AND(LEFT(F661,1)="(",RIGHT(F661,1)=")"),MID(F661,2,LEN(F661)-2),F661)="-"),0,IFERROR(VALUE(IF(AND(LEFT(F661,1)="(",RIGHT(F661,1)=")"),MID(F661,2,LEN(F661)-2),F661))*IF(AND(LEFT(F661,1)="(",RIGHT(F661,1)=")"),-1,1)*IF(E661="Cr",Setup!$B$6,1),"ERR")))</f>
        <v/>
      </c>
      <c r="H661" s="6">
        <f>IF(C661="","",IF(ISNUMBER(G661),1,0))</f>
        <v/>
      </c>
      <c r="I661" s="6">
        <f>IF(C661="","",IF(SUMPRODUCT(($C$12:$C$1511=C661)*1)&gt;1,1,0))</f>
        <v/>
      </c>
      <c r="J661" s="6">
        <f>IF(C661="","",SUMPRODUCT((Mapping!$F$5:$F$504=Setup!$B$4&amp;"||"&amp;C661)*ROW(Mapping!$F$5:$F$504)))</f>
        <v/>
      </c>
      <c r="K661" s="6">
        <f>IF(C661="","",IF(J661=0,"UNMAPPED",LOWER(INDEX(Mapping!$D$1:$D$504,J661))))</f>
        <v/>
      </c>
      <c r="L661" s="6">
        <f>IF(K661="mapped",TRIM(INDEX(Mapping!$C$1:$C$504,J661)),"")</f>
        <v/>
      </c>
      <c r="M661" s="6">
        <f>IF(C661="","",IF(SUMPRODUCT(($C$12:C661=C661)*1)=1,1,0))</f>
        <v/>
      </c>
      <c r="N661" s="6">
        <f>IF(AND(K661="UNMAPPED",M661=1),ROW(),"")</f>
        <v/>
      </c>
      <c r="O661" s="6">
        <f>IF(AND(I661=1,M661=1),ROW(),"")</f>
        <v/>
      </c>
      <c r="P661" s="6">
        <f>IF(AND(K661="ignored",M661=1),ROW(),"")</f>
        <v/>
      </c>
    </row>
    <row r="662">
      <c r="A662" s="8" t="n"/>
      <c r="B662" s="8" t="n"/>
      <c r="C662" s="6">
        <f>TRIM(A662&amp;"")</f>
        <v/>
      </c>
      <c r="D662" s="6">
        <f>IF(C662="","",SUBSTITUTE(SUBSTITUTE(SUBSTITUTE(SUBSTITUTE(SUBSTITUTE(SUBSTITUTE(SUBSTITUTE(UPPER(TRIM(B662&amp;"")),"₹",""),"RS.",""),"RS",""),"INR",""),"$",""),",","")," ",""))</f>
        <v/>
      </c>
      <c r="E662" s="6">
        <f>IF(C662="","",IF(RIGHT(D662,2)="CR","Cr",IF(RIGHT(D662,2)="DR","Dr","")))</f>
        <v/>
      </c>
      <c r="F662" s="6">
        <f>IF(C662="","",IF(E662&lt;&gt;"",LEFT(D662,LEN(D662)-2),D662))</f>
        <v/>
      </c>
      <c r="G662" s="13">
        <f>IF(C662="","",IF(OR(IF(AND(LEFT(F662,1)="(",RIGHT(F662,1)=")"),MID(F662,2,LEN(F662)-2),F662)="",IF(AND(LEFT(F662,1)="(",RIGHT(F662,1)=")"),MID(F662,2,LEN(F662)-2),F662)="-"),0,IFERROR(VALUE(IF(AND(LEFT(F662,1)="(",RIGHT(F662,1)=")"),MID(F662,2,LEN(F662)-2),F662))*IF(AND(LEFT(F662,1)="(",RIGHT(F662,1)=")"),-1,1)*IF(E662="Cr",Setup!$B$6,1),"ERR")))</f>
        <v/>
      </c>
      <c r="H662" s="6">
        <f>IF(C662="","",IF(ISNUMBER(G662),1,0))</f>
        <v/>
      </c>
      <c r="I662" s="6">
        <f>IF(C662="","",IF(SUMPRODUCT(($C$12:$C$1511=C662)*1)&gt;1,1,0))</f>
        <v/>
      </c>
      <c r="J662" s="6">
        <f>IF(C662="","",SUMPRODUCT((Mapping!$F$5:$F$504=Setup!$B$4&amp;"||"&amp;C662)*ROW(Mapping!$F$5:$F$504)))</f>
        <v/>
      </c>
      <c r="K662" s="6">
        <f>IF(C662="","",IF(J662=0,"UNMAPPED",LOWER(INDEX(Mapping!$D$1:$D$504,J662))))</f>
        <v/>
      </c>
      <c r="L662" s="6">
        <f>IF(K662="mapped",TRIM(INDEX(Mapping!$C$1:$C$504,J662)),"")</f>
        <v/>
      </c>
      <c r="M662" s="6">
        <f>IF(C662="","",IF(SUMPRODUCT(($C$12:C662=C662)*1)=1,1,0))</f>
        <v/>
      </c>
      <c r="N662" s="6">
        <f>IF(AND(K662="UNMAPPED",M662=1),ROW(),"")</f>
        <v/>
      </c>
      <c r="O662" s="6">
        <f>IF(AND(I662=1,M662=1),ROW(),"")</f>
        <v/>
      </c>
      <c r="P662" s="6">
        <f>IF(AND(K662="ignored",M662=1),ROW(),"")</f>
        <v/>
      </c>
    </row>
    <row r="663">
      <c r="A663" s="8" t="n"/>
      <c r="B663" s="8" t="n"/>
      <c r="C663" s="6">
        <f>TRIM(A663&amp;"")</f>
        <v/>
      </c>
      <c r="D663" s="6">
        <f>IF(C663="","",SUBSTITUTE(SUBSTITUTE(SUBSTITUTE(SUBSTITUTE(SUBSTITUTE(SUBSTITUTE(SUBSTITUTE(UPPER(TRIM(B663&amp;"")),"₹",""),"RS.",""),"RS",""),"INR",""),"$",""),",","")," ",""))</f>
        <v/>
      </c>
      <c r="E663" s="6">
        <f>IF(C663="","",IF(RIGHT(D663,2)="CR","Cr",IF(RIGHT(D663,2)="DR","Dr","")))</f>
        <v/>
      </c>
      <c r="F663" s="6">
        <f>IF(C663="","",IF(E663&lt;&gt;"",LEFT(D663,LEN(D663)-2),D663))</f>
        <v/>
      </c>
      <c r="G663" s="13">
        <f>IF(C663="","",IF(OR(IF(AND(LEFT(F663,1)="(",RIGHT(F663,1)=")"),MID(F663,2,LEN(F663)-2),F663)="",IF(AND(LEFT(F663,1)="(",RIGHT(F663,1)=")"),MID(F663,2,LEN(F663)-2),F663)="-"),0,IFERROR(VALUE(IF(AND(LEFT(F663,1)="(",RIGHT(F663,1)=")"),MID(F663,2,LEN(F663)-2),F663))*IF(AND(LEFT(F663,1)="(",RIGHT(F663,1)=")"),-1,1)*IF(E663="Cr",Setup!$B$6,1),"ERR")))</f>
        <v/>
      </c>
      <c r="H663" s="6">
        <f>IF(C663="","",IF(ISNUMBER(G663),1,0))</f>
        <v/>
      </c>
      <c r="I663" s="6">
        <f>IF(C663="","",IF(SUMPRODUCT(($C$12:$C$1511=C663)*1)&gt;1,1,0))</f>
        <v/>
      </c>
      <c r="J663" s="6">
        <f>IF(C663="","",SUMPRODUCT((Mapping!$F$5:$F$504=Setup!$B$4&amp;"||"&amp;C663)*ROW(Mapping!$F$5:$F$504)))</f>
        <v/>
      </c>
      <c r="K663" s="6">
        <f>IF(C663="","",IF(J663=0,"UNMAPPED",LOWER(INDEX(Mapping!$D$1:$D$504,J663))))</f>
        <v/>
      </c>
      <c r="L663" s="6">
        <f>IF(K663="mapped",TRIM(INDEX(Mapping!$C$1:$C$504,J663)),"")</f>
        <v/>
      </c>
      <c r="M663" s="6">
        <f>IF(C663="","",IF(SUMPRODUCT(($C$12:C663=C663)*1)=1,1,0))</f>
        <v/>
      </c>
      <c r="N663" s="6">
        <f>IF(AND(K663="UNMAPPED",M663=1),ROW(),"")</f>
        <v/>
      </c>
      <c r="O663" s="6">
        <f>IF(AND(I663=1,M663=1),ROW(),"")</f>
        <v/>
      </c>
      <c r="P663" s="6">
        <f>IF(AND(K663="ignored",M663=1),ROW(),"")</f>
        <v/>
      </c>
    </row>
    <row r="664">
      <c r="A664" s="8" t="n"/>
      <c r="B664" s="8" t="n"/>
      <c r="C664" s="6">
        <f>TRIM(A664&amp;"")</f>
        <v/>
      </c>
      <c r="D664" s="6">
        <f>IF(C664="","",SUBSTITUTE(SUBSTITUTE(SUBSTITUTE(SUBSTITUTE(SUBSTITUTE(SUBSTITUTE(SUBSTITUTE(UPPER(TRIM(B664&amp;"")),"₹",""),"RS.",""),"RS",""),"INR",""),"$",""),",","")," ",""))</f>
        <v/>
      </c>
      <c r="E664" s="6">
        <f>IF(C664="","",IF(RIGHT(D664,2)="CR","Cr",IF(RIGHT(D664,2)="DR","Dr","")))</f>
        <v/>
      </c>
      <c r="F664" s="6">
        <f>IF(C664="","",IF(E664&lt;&gt;"",LEFT(D664,LEN(D664)-2),D664))</f>
        <v/>
      </c>
      <c r="G664" s="13">
        <f>IF(C664="","",IF(OR(IF(AND(LEFT(F664,1)="(",RIGHT(F664,1)=")"),MID(F664,2,LEN(F664)-2),F664)="",IF(AND(LEFT(F664,1)="(",RIGHT(F664,1)=")"),MID(F664,2,LEN(F664)-2),F664)="-"),0,IFERROR(VALUE(IF(AND(LEFT(F664,1)="(",RIGHT(F664,1)=")"),MID(F664,2,LEN(F664)-2),F664))*IF(AND(LEFT(F664,1)="(",RIGHT(F664,1)=")"),-1,1)*IF(E664="Cr",Setup!$B$6,1),"ERR")))</f>
        <v/>
      </c>
      <c r="H664" s="6">
        <f>IF(C664="","",IF(ISNUMBER(G664),1,0))</f>
        <v/>
      </c>
      <c r="I664" s="6">
        <f>IF(C664="","",IF(SUMPRODUCT(($C$12:$C$1511=C664)*1)&gt;1,1,0))</f>
        <v/>
      </c>
      <c r="J664" s="6">
        <f>IF(C664="","",SUMPRODUCT((Mapping!$F$5:$F$504=Setup!$B$4&amp;"||"&amp;C664)*ROW(Mapping!$F$5:$F$504)))</f>
        <v/>
      </c>
      <c r="K664" s="6">
        <f>IF(C664="","",IF(J664=0,"UNMAPPED",LOWER(INDEX(Mapping!$D$1:$D$504,J664))))</f>
        <v/>
      </c>
      <c r="L664" s="6">
        <f>IF(K664="mapped",TRIM(INDEX(Mapping!$C$1:$C$504,J664)),"")</f>
        <v/>
      </c>
      <c r="M664" s="6">
        <f>IF(C664="","",IF(SUMPRODUCT(($C$12:C664=C664)*1)=1,1,0))</f>
        <v/>
      </c>
      <c r="N664" s="6">
        <f>IF(AND(K664="UNMAPPED",M664=1),ROW(),"")</f>
        <v/>
      </c>
      <c r="O664" s="6">
        <f>IF(AND(I664=1,M664=1),ROW(),"")</f>
        <v/>
      </c>
      <c r="P664" s="6">
        <f>IF(AND(K664="ignored",M664=1),ROW(),"")</f>
        <v/>
      </c>
    </row>
    <row r="665">
      <c r="A665" s="8" t="n"/>
      <c r="B665" s="8" t="n"/>
      <c r="C665" s="6">
        <f>TRIM(A665&amp;"")</f>
        <v/>
      </c>
      <c r="D665" s="6">
        <f>IF(C665="","",SUBSTITUTE(SUBSTITUTE(SUBSTITUTE(SUBSTITUTE(SUBSTITUTE(SUBSTITUTE(SUBSTITUTE(UPPER(TRIM(B665&amp;"")),"₹",""),"RS.",""),"RS",""),"INR",""),"$",""),",","")," ",""))</f>
        <v/>
      </c>
      <c r="E665" s="6">
        <f>IF(C665="","",IF(RIGHT(D665,2)="CR","Cr",IF(RIGHT(D665,2)="DR","Dr","")))</f>
        <v/>
      </c>
      <c r="F665" s="6">
        <f>IF(C665="","",IF(E665&lt;&gt;"",LEFT(D665,LEN(D665)-2),D665))</f>
        <v/>
      </c>
      <c r="G665" s="13">
        <f>IF(C665="","",IF(OR(IF(AND(LEFT(F665,1)="(",RIGHT(F665,1)=")"),MID(F665,2,LEN(F665)-2),F665)="",IF(AND(LEFT(F665,1)="(",RIGHT(F665,1)=")"),MID(F665,2,LEN(F665)-2),F665)="-"),0,IFERROR(VALUE(IF(AND(LEFT(F665,1)="(",RIGHT(F665,1)=")"),MID(F665,2,LEN(F665)-2),F665))*IF(AND(LEFT(F665,1)="(",RIGHT(F665,1)=")"),-1,1)*IF(E665="Cr",Setup!$B$6,1),"ERR")))</f>
        <v/>
      </c>
      <c r="H665" s="6">
        <f>IF(C665="","",IF(ISNUMBER(G665),1,0))</f>
        <v/>
      </c>
      <c r="I665" s="6">
        <f>IF(C665="","",IF(SUMPRODUCT(($C$12:$C$1511=C665)*1)&gt;1,1,0))</f>
        <v/>
      </c>
      <c r="J665" s="6">
        <f>IF(C665="","",SUMPRODUCT((Mapping!$F$5:$F$504=Setup!$B$4&amp;"||"&amp;C665)*ROW(Mapping!$F$5:$F$504)))</f>
        <v/>
      </c>
      <c r="K665" s="6">
        <f>IF(C665="","",IF(J665=0,"UNMAPPED",LOWER(INDEX(Mapping!$D$1:$D$504,J665))))</f>
        <v/>
      </c>
      <c r="L665" s="6">
        <f>IF(K665="mapped",TRIM(INDEX(Mapping!$C$1:$C$504,J665)),"")</f>
        <v/>
      </c>
      <c r="M665" s="6">
        <f>IF(C665="","",IF(SUMPRODUCT(($C$12:C665=C665)*1)=1,1,0))</f>
        <v/>
      </c>
      <c r="N665" s="6">
        <f>IF(AND(K665="UNMAPPED",M665=1),ROW(),"")</f>
        <v/>
      </c>
      <c r="O665" s="6">
        <f>IF(AND(I665=1,M665=1),ROW(),"")</f>
        <v/>
      </c>
      <c r="P665" s="6">
        <f>IF(AND(K665="ignored",M665=1),ROW(),"")</f>
        <v/>
      </c>
    </row>
    <row r="666">
      <c r="A666" s="8" t="n"/>
      <c r="B666" s="8" t="n"/>
      <c r="C666" s="6">
        <f>TRIM(A666&amp;"")</f>
        <v/>
      </c>
      <c r="D666" s="6">
        <f>IF(C666="","",SUBSTITUTE(SUBSTITUTE(SUBSTITUTE(SUBSTITUTE(SUBSTITUTE(SUBSTITUTE(SUBSTITUTE(UPPER(TRIM(B666&amp;"")),"₹",""),"RS.",""),"RS",""),"INR",""),"$",""),",","")," ",""))</f>
        <v/>
      </c>
      <c r="E666" s="6">
        <f>IF(C666="","",IF(RIGHT(D666,2)="CR","Cr",IF(RIGHT(D666,2)="DR","Dr","")))</f>
        <v/>
      </c>
      <c r="F666" s="6">
        <f>IF(C666="","",IF(E666&lt;&gt;"",LEFT(D666,LEN(D666)-2),D666))</f>
        <v/>
      </c>
      <c r="G666" s="13">
        <f>IF(C666="","",IF(OR(IF(AND(LEFT(F666,1)="(",RIGHT(F666,1)=")"),MID(F666,2,LEN(F666)-2),F666)="",IF(AND(LEFT(F666,1)="(",RIGHT(F666,1)=")"),MID(F666,2,LEN(F666)-2),F666)="-"),0,IFERROR(VALUE(IF(AND(LEFT(F666,1)="(",RIGHT(F666,1)=")"),MID(F666,2,LEN(F666)-2),F666))*IF(AND(LEFT(F666,1)="(",RIGHT(F666,1)=")"),-1,1)*IF(E666="Cr",Setup!$B$6,1),"ERR")))</f>
        <v/>
      </c>
      <c r="H666" s="6">
        <f>IF(C666="","",IF(ISNUMBER(G666),1,0))</f>
        <v/>
      </c>
      <c r="I666" s="6">
        <f>IF(C666="","",IF(SUMPRODUCT(($C$12:$C$1511=C666)*1)&gt;1,1,0))</f>
        <v/>
      </c>
      <c r="J666" s="6">
        <f>IF(C666="","",SUMPRODUCT((Mapping!$F$5:$F$504=Setup!$B$4&amp;"||"&amp;C666)*ROW(Mapping!$F$5:$F$504)))</f>
        <v/>
      </c>
      <c r="K666" s="6">
        <f>IF(C666="","",IF(J666=0,"UNMAPPED",LOWER(INDEX(Mapping!$D$1:$D$504,J666))))</f>
        <v/>
      </c>
      <c r="L666" s="6">
        <f>IF(K666="mapped",TRIM(INDEX(Mapping!$C$1:$C$504,J666)),"")</f>
        <v/>
      </c>
      <c r="M666" s="6">
        <f>IF(C666="","",IF(SUMPRODUCT(($C$12:C666=C666)*1)=1,1,0))</f>
        <v/>
      </c>
      <c r="N666" s="6">
        <f>IF(AND(K666="UNMAPPED",M666=1),ROW(),"")</f>
        <v/>
      </c>
      <c r="O666" s="6">
        <f>IF(AND(I666=1,M666=1),ROW(),"")</f>
        <v/>
      </c>
      <c r="P666" s="6">
        <f>IF(AND(K666="ignored",M666=1),ROW(),"")</f>
        <v/>
      </c>
    </row>
    <row r="667">
      <c r="A667" s="8" t="n"/>
      <c r="B667" s="8" t="n"/>
      <c r="C667" s="6">
        <f>TRIM(A667&amp;"")</f>
        <v/>
      </c>
      <c r="D667" s="6">
        <f>IF(C667="","",SUBSTITUTE(SUBSTITUTE(SUBSTITUTE(SUBSTITUTE(SUBSTITUTE(SUBSTITUTE(SUBSTITUTE(UPPER(TRIM(B667&amp;"")),"₹",""),"RS.",""),"RS",""),"INR",""),"$",""),",","")," ",""))</f>
        <v/>
      </c>
      <c r="E667" s="6">
        <f>IF(C667="","",IF(RIGHT(D667,2)="CR","Cr",IF(RIGHT(D667,2)="DR","Dr","")))</f>
        <v/>
      </c>
      <c r="F667" s="6">
        <f>IF(C667="","",IF(E667&lt;&gt;"",LEFT(D667,LEN(D667)-2),D667))</f>
        <v/>
      </c>
      <c r="G667" s="13">
        <f>IF(C667="","",IF(OR(IF(AND(LEFT(F667,1)="(",RIGHT(F667,1)=")"),MID(F667,2,LEN(F667)-2),F667)="",IF(AND(LEFT(F667,1)="(",RIGHT(F667,1)=")"),MID(F667,2,LEN(F667)-2),F667)="-"),0,IFERROR(VALUE(IF(AND(LEFT(F667,1)="(",RIGHT(F667,1)=")"),MID(F667,2,LEN(F667)-2),F667))*IF(AND(LEFT(F667,1)="(",RIGHT(F667,1)=")"),-1,1)*IF(E667="Cr",Setup!$B$6,1),"ERR")))</f>
        <v/>
      </c>
      <c r="H667" s="6">
        <f>IF(C667="","",IF(ISNUMBER(G667),1,0))</f>
        <v/>
      </c>
      <c r="I667" s="6">
        <f>IF(C667="","",IF(SUMPRODUCT(($C$12:$C$1511=C667)*1)&gt;1,1,0))</f>
        <v/>
      </c>
      <c r="J667" s="6">
        <f>IF(C667="","",SUMPRODUCT((Mapping!$F$5:$F$504=Setup!$B$4&amp;"||"&amp;C667)*ROW(Mapping!$F$5:$F$504)))</f>
        <v/>
      </c>
      <c r="K667" s="6">
        <f>IF(C667="","",IF(J667=0,"UNMAPPED",LOWER(INDEX(Mapping!$D$1:$D$504,J667))))</f>
        <v/>
      </c>
      <c r="L667" s="6">
        <f>IF(K667="mapped",TRIM(INDEX(Mapping!$C$1:$C$504,J667)),"")</f>
        <v/>
      </c>
      <c r="M667" s="6">
        <f>IF(C667="","",IF(SUMPRODUCT(($C$12:C667=C667)*1)=1,1,0))</f>
        <v/>
      </c>
      <c r="N667" s="6">
        <f>IF(AND(K667="UNMAPPED",M667=1),ROW(),"")</f>
        <v/>
      </c>
      <c r="O667" s="6">
        <f>IF(AND(I667=1,M667=1),ROW(),"")</f>
        <v/>
      </c>
      <c r="P667" s="6">
        <f>IF(AND(K667="ignored",M667=1),ROW(),"")</f>
        <v/>
      </c>
    </row>
    <row r="668">
      <c r="A668" s="8" t="n"/>
      <c r="B668" s="8" t="n"/>
      <c r="C668" s="6">
        <f>TRIM(A668&amp;"")</f>
        <v/>
      </c>
      <c r="D668" s="6">
        <f>IF(C668="","",SUBSTITUTE(SUBSTITUTE(SUBSTITUTE(SUBSTITUTE(SUBSTITUTE(SUBSTITUTE(SUBSTITUTE(UPPER(TRIM(B668&amp;"")),"₹",""),"RS.",""),"RS",""),"INR",""),"$",""),",","")," ",""))</f>
        <v/>
      </c>
      <c r="E668" s="6">
        <f>IF(C668="","",IF(RIGHT(D668,2)="CR","Cr",IF(RIGHT(D668,2)="DR","Dr","")))</f>
        <v/>
      </c>
      <c r="F668" s="6">
        <f>IF(C668="","",IF(E668&lt;&gt;"",LEFT(D668,LEN(D668)-2),D668))</f>
        <v/>
      </c>
      <c r="G668" s="13">
        <f>IF(C668="","",IF(OR(IF(AND(LEFT(F668,1)="(",RIGHT(F668,1)=")"),MID(F668,2,LEN(F668)-2),F668)="",IF(AND(LEFT(F668,1)="(",RIGHT(F668,1)=")"),MID(F668,2,LEN(F668)-2),F668)="-"),0,IFERROR(VALUE(IF(AND(LEFT(F668,1)="(",RIGHT(F668,1)=")"),MID(F668,2,LEN(F668)-2),F668))*IF(AND(LEFT(F668,1)="(",RIGHT(F668,1)=")"),-1,1)*IF(E668="Cr",Setup!$B$6,1),"ERR")))</f>
        <v/>
      </c>
      <c r="H668" s="6">
        <f>IF(C668="","",IF(ISNUMBER(G668),1,0))</f>
        <v/>
      </c>
      <c r="I668" s="6">
        <f>IF(C668="","",IF(SUMPRODUCT(($C$12:$C$1511=C668)*1)&gt;1,1,0))</f>
        <v/>
      </c>
      <c r="J668" s="6">
        <f>IF(C668="","",SUMPRODUCT((Mapping!$F$5:$F$504=Setup!$B$4&amp;"||"&amp;C668)*ROW(Mapping!$F$5:$F$504)))</f>
        <v/>
      </c>
      <c r="K668" s="6">
        <f>IF(C668="","",IF(J668=0,"UNMAPPED",LOWER(INDEX(Mapping!$D$1:$D$504,J668))))</f>
        <v/>
      </c>
      <c r="L668" s="6">
        <f>IF(K668="mapped",TRIM(INDEX(Mapping!$C$1:$C$504,J668)),"")</f>
        <v/>
      </c>
      <c r="M668" s="6">
        <f>IF(C668="","",IF(SUMPRODUCT(($C$12:C668=C668)*1)=1,1,0))</f>
        <v/>
      </c>
      <c r="N668" s="6">
        <f>IF(AND(K668="UNMAPPED",M668=1),ROW(),"")</f>
        <v/>
      </c>
      <c r="O668" s="6">
        <f>IF(AND(I668=1,M668=1),ROW(),"")</f>
        <v/>
      </c>
      <c r="P668" s="6">
        <f>IF(AND(K668="ignored",M668=1),ROW(),"")</f>
        <v/>
      </c>
    </row>
    <row r="669">
      <c r="A669" s="8" t="n"/>
      <c r="B669" s="8" t="n"/>
      <c r="C669" s="6">
        <f>TRIM(A669&amp;"")</f>
        <v/>
      </c>
      <c r="D669" s="6">
        <f>IF(C669="","",SUBSTITUTE(SUBSTITUTE(SUBSTITUTE(SUBSTITUTE(SUBSTITUTE(SUBSTITUTE(SUBSTITUTE(UPPER(TRIM(B669&amp;"")),"₹",""),"RS.",""),"RS",""),"INR",""),"$",""),",","")," ",""))</f>
        <v/>
      </c>
      <c r="E669" s="6">
        <f>IF(C669="","",IF(RIGHT(D669,2)="CR","Cr",IF(RIGHT(D669,2)="DR","Dr","")))</f>
        <v/>
      </c>
      <c r="F669" s="6">
        <f>IF(C669="","",IF(E669&lt;&gt;"",LEFT(D669,LEN(D669)-2),D669))</f>
        <v/>
      </c>
      <c r="G669" s="13">
        <f>IF(C669="","",IF(OR(IF(AND(LEFT(F669,1)="(",RIGHT(F669,1)=")"),MID(F669,2,LEN(F669)-2),F669)="",IF(AND(LEFT(F669,1)="(",RIGHT(F669,1)=")"),MID(F669,2,LEN(F669)-2),F669)="-"),0,IFERROR(VALUE(IF(AND(LEFT(F669,1)="(",RIGHT(F669,1)=")"),MID(F669,2,LEN(F669)-2),F669))*IF(AND(LEFT(F669,1)="(",RIGHT(F669,1)=")"),-1,1)*IF(E669="Cr",Setup!$B$6,1),"ERR")))</f>
        <v/>
      </c>
      <c r="H669" s="6">
        <f>IF(C669="","",IF(ISNUMBER(G669),1,0))</f>
        <v/>
      </c>
      <c r="I669" s="6">
        <f>IF(C669="","",IF(SUMPRODUCT(($C$12:$C$1511=C669)*1)&gt;1,1,0))</f>
        <v/>
      </c>
      <c r="J669" s="6">
        <f>IF(C669="","",SUMPRODUCT((Mapping!$F$5:$F$504=Setup!$B$4&amp;"||"&amp;C669)*ROW(Mapping!$F$5:$F$504)))</f>
        <v/>
      </c>
      <c r="K669" s="6">
        <f>IF(C669="","",IF(J669=0,"UNMAPPED",LOWER(INDEX(Mapping!$D$1:$D$504,J669))))</f>
        <v/>
      </c>
      <c r="L669" s="6">
        <f>IF(K669="mapped",TRIM(INDEX(Mapping!$C$1:$C$504,J669)),"")</f>
        <v/>
      </c>
      <c r="M669" s="6">
        <f>IF(C669="","",IF(SUMPRODUCT(($C$12:C669=C669)*1)=1,1,0))</f>
        <v/>
      </c>
      <c r="N669" s="6">
        <f>IF(AND(K669="UNMAPPED",M669=1),ROW(),"")</f>
        <v/>
      </c>
      <c r="O669" s="6">
        <f>IF(AND(I669=1,M669=1),ROW(),"")</f>
        <v/>
      </c>
      <c r="P669" s="6">
        <f>IF(AND(K669="ignored",M669=1),ROW(),"")</f>
        <v/>
      </c>
    </row>
    <row r="670">
      <c r="A670" s="8" t="n"/>
      <c r="B670" s="8" t="n"/>
      <c r="C670" s="6">
        <f>TRIM(A670&amp;"")</f>
        <v/>
      </c>
      <c r="D670" s="6">
        <f>IF(C670="","",SUBSTITUTE(SUBSTITUTE(SUBSTITUTE(SUBSTITUTE(SUBSTITUTE(SUBSTITUTE(SUBSTITUTE(UPPER(TRIM(B670&amp;"")),"₹",""),"RS.",""),"RS",""),"INR",""),"$",""),",","")," ",""))</f>
        <v/>
      </c>
      <c r="E670" s="6">
        <f>IF(C670="","",IF(RIGHT(D670,2)="CR","Cr",IF(RIGHT(D670,2)="DR","Dr","")))</f>
        <v/>
      </c>
      <c r="F670" s="6">
        <f>IF(C670="","",IF(E670&lt;&gt;"",LEFT(D670,LEN(D670)-2),D670))</f>
        <v/>
      </c>
      <c r="G670" s="13">
        <f>IF(C670="","",IF(OR(IF(AND(LEFT(F670,1)="(",RIGHT(F670,1)=")"),MID(F670,2,LEN(F670)-2),F670)="",IF(AND(LEFT(F670,1)="(",RIGHT(F670,1)=")"),MID(F670,2,LEN(F670)-2),F670)="-"),0,IFERROR(VALUE(IF(AND(LEFT(F670,1)="(",RIGHT(F670,1)=")"),MID(F670,2,LEN(F670)-2),F670))*IF(AND(LEFT(F670,1)="(",RIGHT(F670,1)=")"),-1,1)*IF(E670="Cr",Setup!$B$6,1),"ERR")))</f>
        <v/>
      </c>
      <c r="H670" s="6">
        <f>IF(C670="","",IF(ISNUMBER(G670),1,0))</f>
        <v/>
      </c>
      <c r="I670" s="6">
        <f>IF(C670="","",IF(SUMPRODUCT(($C$12:$C$1511=C670)*1)&gt;1,1,0))</f>
        <v/>
      </c>
      <c r="J670" s="6">
        <f>IF(C670="","",SUMPRODUCT((Mapping!$F$5:$F$504=Setup!$B$4&amp;"||"&amp;C670)*ROW(Mapping!$F$5:$F$504)))</f>
        <v/>
      </c>
      <c r="K670" s="6">
        <f>IF(C670="","",IF(J670=0,"UNMAPPED",LOWER(INDEX(Mapping!$D$1:$D$504,J670))))</f>
        <v/>
      </c>
      <c r="L670" s="6">
        <f>IF(K670="mapped",TRIM(INDEX(Mapping!$C$1:$C$504,J670)),"")</f>
        <v/>
      </c>
      <c r="M670" s="6">
        <f>IF(C670="","",IF(SUMPRODUCT(($C$12:C670=C670)*1)=1,1,0))</f>
        <v/>
      </c>
      <c r="N670" s="6">
        <f>IF(AND(K670="UNMAPPED",M670=1),ROW(),"")</f>
        <v/>
      </c>
      <c r="O670" s="6">
        <f>IF(AND(I670=1,M670=1),ROW(),"")</f>
        <v/>
      </c>
      <c r="P670" s="6">
        <f>IF(AND(K670="ignored",M670=1),ROW(),"")</f>
        <v/>
      </c>
    </row>
    <row r="671">
      <c r="A671" s="8" t="n"/>
      <c r="B671" s="8" t="n"/>
      <c r="C671" s="6">
        <f>TRIM(A671&amp;"")</f>
        <v/>
      </c>
      <c r="D671" s="6">
        <f>IF(C671="","",SUBSTITUTE(SUBSTITUTE(SUBSTITUTE(SUBSTITUTE(SUBSTITUTE(SUBSTITUTE(SUBSTITUTE(UPPER(TRIM(B671&amp;"")),"₹",""),"RS.",""),"RS",""),"INR",""),"$",""),",","")," ",""))</f>
        <v/>
      </c>
      <c r="E671" s="6">
        <f>IF(C671="","",IF(RIGHT(D671,2)="CR","Cr",IF(RIGHT(D671,2)="DR","Dr","")))</f>
        <v/>
      </c>
      <c r="F671" s="6">
        <f>IF(C671="","",IF(E671&lt;&gt;"",LEFT(D671,LEN(D671)-2),D671))</f>
        <v/>
      </c>
      <c r="G671" s="13">
        <f>IF(C671="","",IF(OR(IF(AND(LEFT(F671,1)="(",RIGHT(F671,1)=")"),MID(F671,2,LEN(F671)-2),F671)="",IF(AND(LEFT(F671,1)="(",RIGHT(F671,1)=")"),MID(F671,2,LEN(F671)-2),F671)="-"),0,IFERROR(VALUE(IF(AND(LEFT(F671,1)="(",RIGHT(F671,1)=")"),MID(F671,2,LEN(F671)-2),F671))*IF(AND(LEFT(F671,1)="(",RIGHT(F671,1)=")"),-1,1)*IF(E671="Cr",Setup!$B$6,1),"ERR")))</f>
        <v/>
      </c>
      <c r="H671" s="6">
        <f>IF(C671="","",IF(ISNUMBER(G671),1,0))</f>
        <v/>
      </c>
      <c r="I671" s="6">
        <f>IF(C671="","",IF(SUMPRODUCT(($C$12:$C$1511=C671)*1)&gt;1,1,0))</f>
        <v/>
      </c>
      <c r="J671" s="6">
        <f>IF(C671="","",SUMPRODUCT((Mapping!$F$5:$F$504=Setup!$B$4&amp;"||"&amp;C671)*ROW(Mapping!$F$5:$F$504)))</f>
        <v/>
      </c>
      <c r="K671" s="6">
        <f>IF(C671="","",IF(J671=0,"UNMAPPED",LOWER(INDEX(Mapping!$D$1:$D$504,J671))))</f>
        <v/>
      </c>
      <c r="L671" s="6">
        <f>IF(K671="mapped",TRIM(INDEX(Mapping!$C$1:$C$504,J671)),"")</f>
        <v/>
      </c>
      <c r="M671" s="6">
        <f>IF(C671="","",IF(SUMPRODUCT(($C$12:C671=C671)*1)=1,1,0))</f>
        <v/>
      </c>
      <c r="N671" s="6">
        <f>IF(AND(K671="UNMAPPED",M671=1),ROW(),"")</f>
        <v/>
      </c>
      <c r="O671" s="6">
        <f>IF(AND(I671=1,M671=1),ROW(),"")</f>
        <v/>
      </c>
      <c r="P671" s="6">
        <f>IF(AND(K671="ignored",M671=1),ROW(),"")</f>
        <v/>
      </c>
    </row>
    <row r="672">
      <c r="A672" s="8" t="n"/>
      <c r="B672" s="8" t="n"/>
      <c r="C672" s="6">
        <f>TRIM(A672&amp;"")</f>
        <v/>
      </c>
      <c r="D672" s="6">
        <f>IF(C672="","",SUBSTITUTE(SUBSTITUTE(SUBSTITUTE(SUBSTITUTE(SUBSTITUTE(SUBSTITUTE(SUBSTITUTE(UPPER(TRIM(B672&amp;"")),"₹",""),"RS.",""),"RS",""),"INR",""),"$",""),",","")," ",""))</f>
        <v/>
      </c>
      <c r="E672" s="6">
        <f>IF(C672="","",IF(RIGHT(D672,2)="CR","Cr",IF(RIGHT(D672,2)="DR","Dr","")))</f>
        <v/>
      </c>
      <c r="F672" s="6">
        <f>IF(C672="","",IF(E672&lt;&gt;"",LEFT(D672,LEN(D672)-2),D672))</f>
        <v/>
      </c>
      <c r="G672" s="13">
        <f>IF(C672="","",IF(OR(IF(AND(LEFT(F672,1)="(",RIGHT(F672,1)=")"),MID(F672,2,LEN(F672)-2),F672)="",IF(AND(LEFT(F672,1)="(",RIGHT(F672,1)=")"),MID(F672,2,LEN(F672)-2),F672)="-"),0,IFERROR(VALUE(IF(AND(LEFT(F672,1)="(",RIGHT(F672,1)=")"),MID(F672,2,LEN(F672)-2),F672))*IF(AND(LEFT(F672,1)="(",RIGHT(F672,1)=")"),-1,1)*IF(E672="Cr",Setup!$B$6,1),"ERR")))</f>
        <v/>
      </c>
      <c r="H672" s="6">
        <f>IF(C672="","",IF(ISNUMBER(G672),1,0))</f>
        <v/>
      </c>
      <c r="I672" s="6">
        <f>IF(C672="","",IF(SUMPRODUCT(($C$12:$C$1511=C672)*1)&gt;1,1,0))</f>
        <v/>
      </c>
      <c r="J672" s="6">
        <f>IF(C672="","",SUMPRODUCT((Mapping!$F$5:$F$504=Setup!$B$4&amp;"||"&amp;C672)*ROW(Mapping!$F$5:$F$504)))</f>
        <v/>
      </c>
      <c r="K672" s="6">
        <f>IF(C672="","",IF(J672=0,"UNMAPPED",LOWER(INDEX(Mapping!$D$1:$D$504,J672))))</f>
        <v/>
      </c>
      <c r="L672" s="6">
        <f>IF(K672="mapped",TRIM(INDEX(Mapping!$C$1:$C$504,J672)),"")</f>
        <v/>
      </c>
      <c r="M672" s="6">
        <f>IF(C672="","",IF(SUMPRODUCT(($C$12:C672=C672)*1)=1,1,0))</f>
        <v/>
      </c>
      <c r="N672" s="6">
        <f>IF(AND(K672="UNMAPPED",M672=1),ROW(),"")</f>
        <v/>
      </c>
      <c r="O672" s="6">
        <f>IF(AND(I672=1,M672=1),ROW(),"")</f>
        <v/>
      </c>
      <c r="P672" s="6">
        <f>IF(AND(K672="ignored",M672=1),ROW(),"")</f>
        <v/>
      </c>
    </row>
    <row r="673">
      <c r="A673" s="8" t="n"/>
      <c r="B673" s="8" t="n"/>
      <c r="C673" s="6">
        <f>TRIM(A673&amp;"")</f>
        <v/>
      </c>
      <c r="D673" s="6">
        <f>IF(C673="","",SUBSTITUTE(SUBSTITUTE(SUBSTITUTE(SUBSTITUTE(SUBSTITUTE(SUBSTITUTE(SUBSTITUTE(UPPER(TRIM(B673&amp;"")),"₹",""),"RS.",""),"RS",""),"INR",""),"$",""),",","")," ",""))</f>
        <v/>
      </c>
      <c r="E673" s="6">
        <f>IF(C673="","",IF(RIGHT(D673,2)="CR","Cr",IF(RIGHT(D673,2)="DR","Dr","")))</f>
        <v/>
      </c>
      <c r="F673" s="6">
        <f>IF(C673="","",IF(E673&lt;&gt;"",LEFT(D673,LEN(D673)-2),D673))</f>
        <v/>
      </c>
      <c r="G673" s="13">
        <f>IF(C673="","",IF(OR(IF(AND(LEFT(F673,1)="(",RIGHT(F673,1)=")"),MID(F673,2,LEN(F673)-2),F673)="",IF(AND(LEFT(F673,1)="(",RIGHT(F673,1)=")"),MID(F673,2,LEN(F673)-2),F673)="-"),0,IFERROR(VALUE(IF(AND(LEFT(F673,1)="(",RIGHT(F673,1)=")"),MID(F673,2,LEN(F673)-2),F673))*IF(AND(LEFT(F673,1)="(",RIGHT(F673,1)=")"),-1,1)*IF(E673="Cr",Setup!$B$6,1),"ERR")))</f>
        <v/>
      </c>
      <c r="H673" s="6">
        <f>IF(C673="","",IF(ISNUMBER(G673),1,0))</f>
        <v/>
      </c>
      <c r="I673" s="6">
        <f>IF(C673="","",IF(SUMPRODUCT(($C$12:$C$1511=C673)*1)&gt;1,1,0))</f>
        <v/>
      </c>
      <c r="J673" s="6">
        <f>IF(C673="","",SUMPRODUCT((Mapping!$F$5:$F$504=Setup!$B$4&amp;"||"&amp;C673)*ROW(Mapping!$F$5:$F$504)))</f>
        <v/>
      </c>
      <c r="K673" s="6">
        <f>IF(C673="","",IF(J673=0,"UNMAPPED",LOWER(INDEX(Mapping!$D$1:$D$504,J673))))</f>
        <v/>
      </c>
      <c r="L673" s="6">
        <f>IF(K673="mapped",TRIM(INDEX(Mapping!$C$1:$C$504,J673)),"")</f>
        <v/>
      </c>
      <c r="M673" s="6">
        <f>IF(C673="","",IF(SUMPRODUCT(($C$12:C673=C673)*1)=1,1,0))</f>
        <v/>
      </c>
      <c r="N673" s="6">
        <f>IF(AND(K673="UNMAPPED",M673=1),ROW(),"")</f>
        <v/>
      </c>
      <c r="O673" s="6">
        <f>IF(AND(I673=1,M673=1),ROW(),"")</f>
        <v/>
      </c>
      <c r="P673" s="6">
        <f>IF(AND(K673="ignored",M673=1),ROW(),"")</f>
        <v/>
      </c>
    </row>
    <row r="674">
      <c r="A674" s="8" t="n"/>
      <c r="B674" s="8" t="n"/>
      <c r="C674" s="6">
        <f>TRIM(A674&amp;"")</f>
        <v/>
      </c>
      <c r="D674" s="6">
        <f>IF(C674="","",SUBSTITUTE(SUBSTITUTE(SUBSTITUTE(SUBSTITUTE(SUBSTITUTE(SUBSTITUTE(SUBSTITUTE(UPPER(TRIM(B674&amp;"")),"₹",""),"RS.",""),"RS",""),"INR",""),"$",""),",","")," ",""))</f>
        <v/>
      </c>
      <c r="E674" s="6">
        <f>IF(C674="","",IF(RIGHT(D674,2)="CR","Cr",IF(RIGHT(D674,2)="DR","Dr","")))</f>
        <v/>
      </c>
      <c r="F674" s="6">
        <f>IF(C674="","",IF(E674&lt;&gt;"",LEFT(D674,LEN(D674)-2),D674))</f>
        <v/>
      </c>
      <c r="G674" s="13">
        <f>IF(C674="","",IF(OR(IF(AND(LEFT(F674,1)="(",RIGHT(F674,1)=")"),MID(F674,2,LEN(F674)-2),F674)="",IF(AND(LEFT(F674,1)="(",RIGHT(F674,1)=")"),MID(F674,2,LEN(F674)-2),F674)="-"),0,IFERROR(VALUE(IF(AND(LEFT(F674,1)="(",RIGHT(F674,1)=")"),MID(F674,2,LEN(F674)-2),F674))*IF(AND(LEFT(F674,1)="(",RIGHT(F674,1)=")"),-1,1)*IF(E674="Cr",Setup!$B$6,1),"ERR")))</f>
        <v/>
      </c>
      <c r="H674" s="6">
        <f>IF(C674="","",IF(ISNUMBER(G674),1,0))</f>
        <v/>
      </c>
      <c r="I674" s="6">
        <f>IF(C674="","",IF(SUMPRODUCT(($C$12:$C$1511=C674)*1)&gt;1,1,0))</f>
        <v/>
      </c>
      <c r="J674" s="6">
        <f>IF(C674="","",SUMPRODUCT((Mapping!$F$5:$F$504=Setup!$B$4&amp;"||"&amp;C674)*ROW(Mapping!$F$5:$F$504)))</f>
        <v/>
      </c>
      <c r="K674" s="6">
        <f>IF(C674="","",IF(J674=0,"UNMAPPED",LOWER(INDEX(Mapping!$D$1:$D$504,J674))))</f>
        <v/>
      </c>
      <c r="L674" s="6">
        <f>IF(K674="mapped",TRIM(INDEX(Mapping!$C$1:$C$504,J674)),"")</f>
        <v/>
      </c>
      <c r="M674" s="6">
        <f>IF(C674="","",IF(SUMPRODUCT(($C$12:C674=C674)*1)=1,1,0))</f>
        <v/>
      </c>
      <c r="N674" s="6">
        <f>IF(AND(K674="UNMAPPED",M674=1),ROW(),"")</f>
        <v/>
      </c>
      <c r="O674" s="6">
        <f>IF(AND(I674=1,M674=1),ROW(),"")</f>
        <v/>
      </c>
      <c r="P674" s="6">
        <f>IF(AND(K674="ignored",M674=1),ROW(),"")</f>
        <v/>
      </c>
    </row>
    <row r="675">
      <c r="A675" s="8" t="n"/>
      <c r="B675" s="8" t="n"/>
      <c r="C675" s="6">
        <f>TRIM(A675&amp;"")</f>
        <v/>
      </c>
      <c r="D675" s="6">
        <f>IF(C675="","",SUBSTITUTE(SUBSTITUTE(SUBSTITUTE(SUBSTITUTE(SUBSTITUTE(SUBSTITUTE(SUBSTITUTE(UPPER(TRIM(B675&amp;"")),"₹",""),"RS.",""),"RS",""),"INR",""),"$",""),",","")," ",""))</f>
        <v/>
      </c>
      <c r="E675" s="6">
        <f>IF(C675="","",IF(RIGHT(D675,2)="CR","Cr",IF(RIGHT(D675,2)="DR","Dr","")))</f>
        <v/>
      </c>
      <c r="F675" s="6">
        <f>IF(C675="","",IF(E675&lt;&gt;"",LEFT(D675,LEN(D675)-2),D675))</f>
        <v/>
      </c>
      <c r="G675" s="13">
        <f>IF(C675="","",IF(OR(IF(AND(LEFT(F675,1)="(",RIGHT(F675,1)=")"),MID(F675,2,LEN(F675)-2),F675)="",IF(AND(LEFT(F675,1)="(",RIGHT(F675,1)=")"),MID(F675,2,LEN(F675)-2),F675)="-"),0,IFERROR(VALUE(IF(AND(LEFT(F675,1)="(",RIGHT(F675,1)=")"),MID(F675,2,LEN(F675)-2),F675))*IF(AND(LEFT(F675,1)="(",RIGHT(F675,1)=")"),-1,1)*IF(E675="Cr",Setup!$B$6,1),"ERR")))</f>
        <v/>
      </c>
      <c r="H675" s="6">
        <f>IF(C675="","",IF(ISNUMBER(G675),1,0))</f>
        <v/>
      </c>
      <c r="I675" s="6">
        <f>IF(C675="","",IF(SUMPRODUCT(($C$12:$C$1511=C675)*1)&gt;1,1,0))</f>
        <v/>
      </c>
      <c r="J675" s="6">
        <f>IF(C675="","",SUMPRODUCT((Mapping!$F$5:$F$504=Setup!$B$4&amp;"||"&amp;C675)*ROW(Mapping!$F$5:$F$504)))</f>
        <v/>
      </c>
      <c r="K675" s="6">
        <f>IF(C675="","",IF(J675=0,"UNMAPPED",LOWER(INDEX(Mapping!$D$1:$D$504,J675))))</f>
        <v/>
      </c>
      <c r="L675" s="6">
        <f>IF(K675="mapped",TRIM(INDEX(Mapping!$C$1:$C$504,J675)),"")</f>
        <v/>
      </c>
      <c r="M675" s="6">
        <f>IF(C675="","",IF(SUMPRODUCT(($C$12:C675=C675)*1)=1,1,0))</f>
        <v/>
      </c>
      <c r="N675" s="6">
        <f>IF(AND(K675="UNMAPPED",M675=1),ROW(),"")</f>
        <v/>
      </c>
      <c r="O675" s="6">
        <f>IF(AND(I675=1,M675=1),ROW(),"")</f>
        <v/>
      </c>
      <c r="P675" s="6">
        <f>IF(AND(K675="ignored",M675=1),ROW(),"")</f>
        <v/>
      </c>
    </row>
    <row r="676">
      <c r="A676" s="8" t="n"/>
      <c r="B676" s="8" t="n"/>
      <c r="C676" s="6">
        <f>TRIM(A676&amp;"")</f>
        <v/>
      </c>
      <c r="D676" s="6">
        <f>IF(C676="","",SUBSTITUTE(SUBSTITUTE(SUBSTITUTE(SUBSTITUTE(SUBSTITUTE(SUBSTITUTE(SUBSTITUTE(UPPER(TRIM(B676&amp;"")),"₹",""),"RS.",""),"RS",""),"INR",""),"$",""),",","")," ",""))</f>
        <v/>
      </c>
      <c r="E676" s="6">
        <f>IF(C676="","",IF(RIGHT(D676,2)="CR","Cr",IF(RIGHT(D676,2)="DR","Dr","")))</f>
        <v/>
      </c>
      <c r="F676" s="6">
        <f>IF(C676="","",IF(E676&lt;&gt;"",LEFT(D676,LEN(D676)-2),D676))</f>
        <v/>
      </c>
      <c r="G676" s="13">
        <f>IF(C676="","",IF(OR(IF(AND(LEFT(F676,1)="(",RIGHT(F676,1)=")"),MID(F676,2,LEN(F676)-2),F676)="",IF(AND(LEFT(F676,1)="(",RIGHT(F676,1)=")"),MID(F676,2,LEN(F676)-2),F676)="-"),0,IFERROR(VALUE(IF(AND(LEFT(F676,1)="(",RIGHT(F676,1)=")"),MID(F676,2,LEN(F676)-2),F676))*IF(AND(LEFT(F676,1)="(",RIGHT(F676,1)=")"),-1,1)*IF(E676="Cr",Setup!$B$6,1),"ERR")))</f>
        <v/>
      </c>
      <c r="H676" s="6">
        <f>IF(C676="","",IF(ISNUMBER(G676),1,0))</f>
        <v/>
      </c>
      <c r="I676" s="6">
        <f>IF(C676="","",IF(SUMPRODUCT(($C$12:$C$1511=C676)*1)&gt;1,1,0))</f>
        <v/>
      </c>
      <c r="J676" s="6">
        <f>IF(C676="","",SUMPRODUCT((Mapping!$F$5:$F$504=Setup!$B$4&amp;"||"&amp;C676)*ROW(Mapping!$F$5:$F$504)))</f>
        <v/>
      </c>
      <c r="K676" s="6">
        <f>IF(C676="","",IF(J676=0,"UNMAPPED",LOWER(INDEX(Mapping!$D$1:$D$504,J676))))</f>
        <v/>
      </c>
      <c r="L676" s="6">
        <f>IF(K676="mapped",TRIM(INDEX(Mapping!$C$1:$C$504,J676)),"")</f>
        <v/>
      </c>
      <c r="M676" s="6">
        <f>IF(C676="","",IF(SUMPRODUCT(($C$12:C676=C676)*1)=1,1,0))</f>
        <v/>
      </c>
      <c r="N676" s="6">
        <f>IF(AND(K676="UNMAPPED",M676=1),ROW(),"")</f>
        <v/>
      </c>
      <c r="O676" s="6">
        <f>IF(AND(I676=1,M676=1),ROW(),"")</f>
        <v/>
      </c>
      <c r="P676" s="6">
        <f>IF(AND(K676="ignored",M676=1),ROW(),"")</f>
        <v/>
      </c>
    </row>
    <row r="677">
      <c r="A677" s="8" t="n"/>
      <c r="B677" s="8" t="n"/>
      <c r="C677" s="6">
        <f>TRIM(A677&amp;"")</f>
        <v/>
      </c>
      <c r="D677" s="6">
        <f>IF(C677="","",SUBSTITUTE(SUBSTITUTE(SUBSTITUTE(SUBSTITUTE(SUBSTITUTE(SUBSTITUTE(SUBSTITUTE(UPPER(TRIM(B677&amp;"")),"₹",""),"RS.",""),"RS",""),"INR",""),"$",""),",","")," ",""))</f>
        <v/>
      </c>
      <c r="E677" s="6">
        <f>IF(C677="","",IF(RIGHT(D677,2)="CR","Cr",IF(RIGHT(D677,2)="DR","Dr","")))</f>
        <v/>
      </c>
      <c r="F677" s="6">
        <f>IF(C677="","",IF(E677&lt;&gt;"",LEFT(D677,LEN(D677)-2),D677))</f>
        <v/>
      </c>
      <c r="G677" s="13">
        <f>IF(C677="","",IF(OR(IF(AND(LEFT(F677,1)="(",RIGHT(F677,1)=")"),MID(F677,2,LEN(F677)-2),F677)="",IF(AND(LEFT(F677,1)="(",RIGHT(F677,1)=")"),MID(F677,2,LEN(F677)-2),F677)="-"),0,IFERROR(VALUE(IF(AND(LEFT(F677,1)="(",RIGHT(F677,1)=")"),MID(F677,2,LEN(F677)-2),F677))*IF(AND(LEFT(F677,1)="(",RIGHT(F677,1)=")"),-1,1)*IF(E677="Cr",Setup!$B$6,1),"ERR")))</f>
        <v/>
      </c>
      <c r="H677" s="6">
        <f>IF(C677="","",IF(ISNUMBER(G677),1,0))</f>
        <v/>
      </c>
      <c r="I677" s="6">
        <f>IF(C677="","",IF(SUMPRODUCT(($C$12:$C$1511=C677)*1)&gt;1,1,0))</f>
        <v/>
      </c>
      <c r="J677" s="6">
        <f>IF(C677="","",SUMPRODUCT((Mapping!$F$5:$F$504=Setup!$B$4&amp;"||"&amp;C677)*ROW(Mapping!$F$5:$F$504)))</f>
        <v/>
      </c>
      <c r="K677" s="6">
        <f>IF(C677="","",IF(J677=0,"UNMAPPED",LOWER(INDEX(Mapping!$D$1:$D$504,J677))))</f>
        <v/>
      </c>
      <c r="L677" s="6">
        <f>IF(K677="mapped",TRIM(INDEX(Mapping!$C$1:$C$504,J677)),"")</f>
        <v/>
      </c>
      <c r="M677" s="6">
        <f>IF(C677="","",IF(SUMPRODUCT(($C$12:C677=C677)*1)=1,1,0))</f>
        <v/>
      </c>
      <c r="N677" s="6">
        <f>IF(AND(K677="UNMAPPED",M677=1),ROW(),"")</f>
        <v/>
      </c>
      <c r="O677" s="6">
        <f>IF(AND(I677=1,M677=1),ROW(),"")</f>
        <v/>
      </c>
      <c r="P677" s="6">
        <f>IF(AND(K677="ignored",M677=1),ROW(),"")</f>
        <v/>
      </c>
    </row>
    <row r="678">
      <c r="A678" s="8" t="n"/>
      <c r="B678" s="8" t="n"/>
      <c r="C678" s="6">
        <f>TRIM(A678&amp;"")</f>
        <v/>
      </c>
      <c r="D678" s="6">
        <f>IF(C678="","",SUBSTITUTE(SUBSTITUTE(SUBSTITUTE(SUBSTITUTE(SUBSTITUTE(SUBSTITUTE(SUBSTITUTE(UPPER(TRIM(B678&amp;"")),"₹",""),"RS.",""),"RS",""),"INR",""),"$",""),",","")," ",""))</f>
        <v/>
      </c>
      <c r="E678" s="6">
        <f>IF(C678="","",IF(RIGHT(D678,2)="CR","Cr",IF(RIGHT(D678,2)="DR","Dr","")))</f>
        <v/>
      </c>
      <c r="F678" s="6">
        <f>IF(C678="","",IF(E678&lt;&gt;"",LEFT(D678,LEN(D678)-2),D678))</f>
        <v/>
      </c>
      <c r="G678" s="13">
        <f>IF(C678="","",IF(OR(IF(AND(LEFT(F678,1)="(",RIGHT(F678,1)=")"),MID(F678,2,LEN(F678)-2),F678)="",IF(AND(LEFT(F678,1)="(",RIGHT(F678,1)=")"),MID(F678,2,LEN(F678)-2),F678)="-"),0,IFERROR(VALUE(IF(AND(LEFT(F678,1)="(",RIGHT(F678,1)=")"),MID(F678,2,LEN(F678)-2),F678))*IF(AND(LEFT(F678,1)="(",RIGHT(F678,1)=")"),-1,1)*IF(E678="Cr",Setup!$B$6,1),"ERR")))</f>
        <v/>
      </c>
      <c r="H678" s="6">
        <f>IF(C678="","",IF(ISNUMBER(G678),1,0))</f>
        <v/>
      </c>
      <c r="I678" s="6">
        <f>IF(C678="","",IF(SUMPRODUCT(($C$12:$C$1511=C678)*1)&gt;1,1,0))</f>
        <v/>
      </c>
      <c r="J678" s="6">
        <f>IF(C678="","",SUMPRODUCT((Mapping!$F$5:$F$504=Setup!$B$4&amp;"||"&amp;C678)*ROW(Mapping!$F$5:$F$504)))</f>
        <v/>
      </c>
      <c r="K678" s="6">
        <f>IF(C678="","",IF(J678=0,"UNMAPPED",LOWER(INDEX(Mapping!$D$1:$D$504,J678))))</f>
        <v/>
      </c>
      <c r="L678" s="6">
        <f>IF(K678="mapped",TRIM(INDEX(Mapping!$C$1:$C$504,J678)),"")</f>
        <v/>
      </c>
      <c r="M678" s="6">
        <f>IF(C678="","",IF(SUMPRODUCT(($C$12:C678=C678)*1)=1,1,0))</f>
        <v/>
      </c>
      <c r="N678" s="6">
        <f>IF(AND(K678="UNMAPPED",M678=1),ROW(),"")</f>
        <v/>
      </c>
      <c r="O678" s="6">
        <f>IF(AND(I678=1,M678=1),ROW(),"")</f>
        <v/>
      </c>
      <c r="P678" s="6">
        <f>IF(AND(K678="ignored",M678=1),ROW(),"")</f>
        <v/>
      </c>
    </row>
    <row r="679">
      <c r="A679" s="8" t="n"/>
      <c r="B679" s="8" t="n"/>
      <c r="C679" s="6">
        <f>TRIM(A679&amp;"")</f>
        <v/>
      </c>
      <c r="D679" s="6">
        <f>IF(C679="","",SUBSTITUTE(SUBSTITUTE(SUBSTITUTE(SUBSTITUTE(SUBSTITUTE(SUBSTITUTE(SUBSTITUTE(UPPER(TRIM(B679&amp;"")),"₹",""),"RS.",""),"RS",""),"INR",""),"$",""),",","")," ",""))</f>
        <v/>
      </c>
      <c r="E679" s="6">
        <f>IF(C679="","",IF(RIGHT(D679,2)="CR","Cr",IF(RIGHT(D679,2)="DR","Dr","")))</f>
        <v/>
      </c>
      <c r="F679" s="6">
        <f>IF(C679="","",IF(E679&lt;&gt;"",LEFT(D679,LEN(D679)-2),D679))</f>
        <v/>
      </c>
      <c r="G679" s="13">
        <f>IF(C679="","",IF(OR(IF(AND(LEFT(F679,1)="(",RIGHT(F679,1)=")"),MID(F679,2,LEN(F679)-2),F679)="",IF(AND(LEFT(F679,1)="(",RIGHT(F679,1)=")"),MID(F679,2,LEN(F679)-2),F679)="-"),0,IFERROR(VALUE(IF(AND(LEFT(F679,1)="(",RIGHT(F679,1)=")"),MID(F679,2,LEN(F679)-2),F679))*IF(AND(LEFT(F679,1)="(",RIGHT(F679,1)=")"),-1,1)*IF(E679="Cr",Setup!$B$6,1),"ERR")))</f>
        <v/>
      </c>
      <c r="H679" s="6">
        <f>IF(C679="","",IF(ISNUMBER(G679),1,0))</f>
        <v/>
      </c>
      <c r="I679" s="6">
        <f>IF(C679="","",IF(SUMPRODUCT(($C$12:$C$1511=C679)*1)&gt;1,1,0))</f>
        <v/>
      </c>
      <c r="J679" s="6">
        <f>IF(C679="","",SUMPRODUCT((Mapping!$F$5:$F$504=Setup!$B$4&amp;"||"&amp;C679)*ROW(Mapping!$F$5:$F$504)))</f>
        <v/>
      </c>
      <c r="K679" s="6">
        <f>IF(C679="","",IF(J679=0,"UNMAPPED",LOWER(INDEX(Mapping!$D$1:$D$504,J679))))</f>
        <v/>
      </c>
      <c r="L679" s="6">
        <f>IF(K679="mapped",TRIM(INDEX(Mapping!$C$1:$C$504,J679)),"")</f>
        <v/>
      </c>
      <c r="M679" s="6">
        <f>IF(C679="","",IF(SUMPRODUCT(($C$12:C679=C679)*1)=1,1,0))</f>
        <v/>
      </c>
      <c r="N679" s="6">
        <f>IF(AND(K679="UNMAPPED",M679=1),ROW(),"")</f>
        <v/>
      </c>
      <c r="O679" s="6">
        <f>IF(AND(I679=1,M679=1),ROW(),"")</f>
        <v/>
      </c>
      <c r="P679" s="6">
        <f>IF(AND(K679="ignored",M679=1),ROW(),"")</f>
        <v/>
      </c>
    </row>
    <row r="680">
      <c r="A680" s="8" t="n"/>
      <c r="B680" s="8" t="n"/>
      <c r="C680" s="6">
        <f>TRIM(A680&amp;"")</f>
        <v/>
      </c>
      <c r="D680" s="6">
        <f>IF(C680="","",SUBSTITUTE(SUBSTITUTE(SUBSTITUTE(SUBSTITUTE(SUBSTITUTE(SUBSTITUTE(SUBSTITUTE(UPPER(TRIM(B680&amp;"")),"₹",""),"RS.",""),"RS",""),"INR",""),"$",""),",","")," ",""))</f>
        <v/>
      </c>
      <c r="E680" s="6">
        <f>IF(C680="","",IF(RIGHT(D680,2)="CR","Cr",IF(RIGHT(D680,2)="DR","Dr","")))</f>
        <v/>
      </c>
      <c r="F680" s="6">
        <f>IF(C680="","",IF(E680&lt;&gt;"",LEFT(D680,LEN(D680)-2),D680))</f>
        <v/>
      </c>
      <c r="G680" s="13">
        <f>IF(C680="","",IF(OR(IF(AND(LEFT(F680,1)="(",RIGHT(F680,1)=")"),MID(F680,2,LEN(F680)-2),F680)="",IF(AND(LEFT(F680,1)="(",RIGHT(F680,1)=")"),MID(F680,2,LEN(F680)-2),F680)="-"),0,IFERROR(VALUE(IF(AND(LEFT(F680,1)="(",RIGHT(F680,1)=")"),MID(F680,2,LEN(F680)-2),F680))*IF(AND(LEFT(F680,1)="(",RIGHT(F680,1)=")"),-1,1)*IF(E680="Cr",Setup!$B$6,1),"ERR")))</f>
        <v/>
      </c>
      <c r="H680" s="6">
        <f>IF(C680="","",IF(ISNUMBER(G680),1,0))</f>
        <v/>
      </c>
      <c r="I680" s="6">
        <f>IF(C680="","",IF(SUMPRODUCT(($C$12:$C$1511=C680)*1)&gt;1,1,0))</f>
        <v/>
      </c>
      <c r="J680" s="6">
        <f>IF(C680="","",SUMPRODUCT((Mapping!$F$5:$F$504=Setup!$B$4&amp;"||"&amp;C680)*ROW(Mapping!$F$5:$F$504)))</f>
        <v/>
      </c>
      <c r="K680" s="6">
        <f>IF(C680="","",IF(J680=0,"UNMAPPED",LOWER(INDEX(Mapping!$D$1:$D$504,J680))))</f>
        <v/>
      </c>
      <c r="L680" s="6">
        <f>IF(K680="mapped",TRIM(INDEX(Mapping!$C$1:$C$504,J680)),"")</f>
        <v/>
      </c>
      <c r="M680" s="6">
        <f>IF(C680="","",IF(SUMPRODUCT(($C$12:C680=C680)*1)=1,1,0))</f>
        <v/>
      </c>
      <c r="N680" s="6">
        <f>IF(AND(K680="UNMAPPED",M680=1),ROW(),"")</f>
        <v/>
      </c>
      <c r="O680" s="6">
        <f>IF(AND(I680=1,M680=1),ROW(),"")</f>
        <v/>
      </c>
      <c r="P680" s="6">
        <f>IF(AND(K680="ignored",M680=1),ROW(),"")</f>
        <v/>
      </c>
    </row>
    <row r="681">
      <c r="A681" s="8" t="n"/>
      <c r="B681" s="8" t="n"/>
      <c r="C681" s="6">
        <f>TRIM(A681&amp;"")</f>
        <v/>
      </c>
      <c r="D681" s="6">
        <f>IF(C681="","",SUBSTITUTE(SUBSTITUTE(SUBSTITUTE(SUBSTITUTE(SUBSTITUTE(SUBSTITUTE(SUBSTITUTE(UPPER(TRIM(B681&amp;"")),"₹",""),"RS.",""),"RS",""),"INR",""),"$",""),",","")," ",""))</f>
        <v/>
      </c>
      <c r="E681" s="6">
        <f>IF(C681="","",IF(RIGHT(D681,2)="CR","Cr",IF(RIGHT(D681,2)="DR","Dr","")))</f>
        <v/>
      </c>
      <c r="F681" s="6">
        <f>IF(C681="","",IF(E681&lt;&gt;"",LEFT(D681,LEN(D681)-2),D681))</f>
        <v/>
      </c>
      <c r="G681" s="13">
        <f>IF(C681="","",IF(OR(IF(AND(LEFT(F681,1)="(",RIGHT(F681,1)=")"),MID(F681,2,LEN(F681)-2),F681)="",IF(AND(LEFT(F681,1)="(",RIGHT(F681,1)=")"),MID(F681,2,LEN(F681)-2),F681)="-"),0,IFERROR(VALUE(IF(AND(LEFT(F681,1)="(",RIGHT(F681,1)=")"),MID(F681,2,LEN(F681)-2),F681))*IF(AND(LEFT(F681,1)="(",RIGHT(F681,1)=")"),-1,1)*IF(E681="Cr",Setup!$B$6,1),"ERR")))</f>
        <v/>
      </c>
      <c r="H681" s="6">
        <f>IF(C681="","",IF(ISNUMBER(G681),1,0))</f>
        <v/>
      </c>
      <c r="I681" s="6">
        <f>IF(C681="","",IF(SUMPRODUCT(($C$12:$C$1511=C681)*1)&gt;1,1,0))</f>
        <v/>
      </c>
      <c r="J681" s="6">
        <f>IF(C681="","",SUMPRODUCT((Mapping!$F$5:$F$504=Setup!$B$4&amp;"||"&amp;C681)*ROW(Mapping!$F$5:$F$504)))</f>
        <v/>
      </c>
      <c r="K681" s="6">
        <f>IF(C681="","",IF(J681=0,"UNMAPPED",LOWER(INDEX(Mapping!$D$1:$D$504,J681))))</f>
        <v/>
      </c>
      <c r="L681" s="6">
        <f>IF(K681="mapped",TRIM(INDEX(Mapping!$C$1:$C$504,J681)),"")</f>
        <v/>
      </c>
      <c r="M681" s="6">
        <f>IF(C681="","",IF(SUMPRODUCT(($C$12:C681=C681)*1)=1,1,0))</f>
        <v/>
      </c>
      <c r="N681" s="6">
        <f>IF(AND(K681="UNMAPPED",M681=1),ROW(),"")</f>
        <v/>
      </c>
      <c r="O681" s="6">
        <f>IF(AND(I681=1,M681=1),ROW(),"")</f>
        <v/>
      </c>
      <c r="P681" s="6">
        <f>IF(AND(K681="ignored",M681=1),ROW(),"")</f>
        <v/>
      </c>
    </row>
    <row r="682">
      <c r="A682" s="8" t="n"/>
      <c r="B682" s="8" t="n"/>
      <c r="C682" s="6">
        <f>TRIM(A682&amp;"")</f>
        <v/>
      </c>
      <c r="D682" s="6">
        <f>IF(C682="","",SUBSTITUTE(SUBSTITUTE(SUBSTITUTE(SUBSTITUTE(SUBSTITUTE(SUBSTITUTE(SUBSTITUTE(UPPER(TRIM(B682&amp;"")),"₹",""),"RS.",""),"RS",""),"INR",""),"$",""),",","")," ",""))</f>
        <v/>
      </c>
      <c r="E682" s="6">
        <f>IF(C682="","",IF(RIGHT(D682,2)="CR","Cr",IF(RIGHT(D682,2)="DR","Dr","")))</f>
        <v/>
      </c>
      <c r="F682" s="6">
        <f>IF(C682="","",IF(E682&lt;&gt;"",LEFT(D682,LEN(D682)-2),D682))</f>
        <v/>
      </c>
      <c r="G682" s="13">
        <f>IF(C682="","",IF(OR(IF(AND(LEFT(F682,1)="(",RIGHT(F682,1)=")"),MID(F682,2,LEN(F682)-2),F682)="",IF(AND(LEFT(F682,1)="(",RIGHT(F682,1)=")"),MID(F682,2,LEN(F682)-2),F682)="-"),0,IFERROR(VALUE(IF(AND(LEFT(F682,1)="(",RIGHT(F682,1)=")"),MID(F682,2,LEN(F682)-2),F682))*IF(AND(LEFT(F682,1)="(",RIGHT(F682,1)=")"),-1,1)*IF(E682="Cr",Setup!$B$6,1),"ERR")))</f>
        <v/>
      </c>
      <c r="H682" s="6">
        <f>IF(C682="","",IF(ISNUMBER(G682),1,0))</f>
        <v/>
      </c>
      <c r="I682" s="6">
        <f>IF(C682="","",IF(SUMPRODUCT(($C$12:$C$1511=C682)*1)&gt;1,1,0))</f>
        <v/>
      </c>
      <c r="J682" s="6">
        <f>IF(C682="","",SUMPRODUCT((Mapping!$F$5:$F$504=Setup!$B$4&amp;"||"&amp;C682)*ROW(Mapping!$F$5:$F$504)))</f>
        <v/>
      </c>
      <c r="K682" s="6">
        <f>IF(C682="","",IF(J682=0,"UNMAPPED",LOWER(INDEX(Mapping!$D$1:$D$504,J682))))</f>
        <v/>
      </c>
      <c r="L682" s="6">
        <f>IF(K682="mapped",TRIM(INDEX(Mapping!$C$1:$C$504,J682)),"")</f>
        <v/>
      </c>
      <c r="M682" s="6">
        <f>IF(C682="","",IF(SUMPRODUCT(($C$12:C682=C682)*1)=1,1,0))</f>
        <v/>
      </c>
      <c r="N682" s="6">
        <f>IF(AND(K682="UNMAPPED",M682=1),ROW(),"")</f>
        <v/>
      </c>
      <c r="O682" s="6">
        <f>IF(AND(I682=1,M682=1),ROW(),"")</f>
        <v/>
      </c>
      <c r="P682" s="6">
        <f>IF(AND(K682="ignored",M682=1),ROW(),"")</f>
        <v/>
      </c>
    </row>
    <row r="683">
      <c r="A683" s="8" t="n"/>
      <c r="B683" s="8" t="n"/>
      <c r="C683" s="6">
        <f>TRIM(A683&amp;"")</f>
        <v/>
      </c>
      <c r="D683" s="6">
        <f>IF(C683="","",SUBSTITUTE(SUBSTITUTE(SUBSTITUTE(SUBSTITUTE(SUBSTITUTE(SUBSTITUTE(SUBSTITUTE(UPPER(TRIM(B683&amp;"")),"₹",""),"RS.",""),"RS",""),"INR",""),"$",""),",","")," ",""))</f>
        <v/>
      </c>
      <c r="E683" s="6">
        <f>IF(C683="","",IF(RIGHT(D683,2)="CR","Cr",IF(RIGHT(D683,2)="DR","Dr","")))</f>
        <v/>
      </c>
      <c r="F683" s="6">
        <f>IF(C683="","",IF(E683&lt;&gt;"",LEFT(D683,LEN(D683)-2),D683))</f>
        <v/>
      </c>
      <c r="G683" s="13">
        <f>IF(C683="","",IF(OR(IF(AND(LEFT(F683,1)="(",RIGHT(F683,1)=")"),MID(F683,2,LEN(F683)-2),F683)="",IF(AND(LEFT(F683,1)="(",RIGHT(F683,1)=")"),MID(F683,2,LEN(F683)-2),F683)="-"),0,IFERROR(VALUE(IF(AND(LEFT(F683,1)="(",RIGHT(F683,1)=")"),MID(F683,2,LEN(F683)-2),F683))*IF(AND(LEFT(F683,1)="(",RIGHT(F683,1)=")"),-1,1)*IF(E683="Cr",Setup!$B$6,1),"ERR")))</f>
        <v/>
      </c>
      <c r="H683" s="6">
        <f>IF(C683="","",IF(ISNUMBER(G683),1,0))</f>
        <v/>
      </c>
      <c r="I683" s="6">
        <f>IF(C683="","",IF(SUMPRODUCT(($C$12:$C$1511=C683)*1)&gt;1,1,0))</f>
        <v/>
      </c>
      <c r="J683" s="6">
        <f>IF(C683="","",SUMPRODUCT((Mapping!$F$5:$F$504=Setup!$B$4&amp;"||"&amp;C683)*ROW(Mapping!$F$5:$F$504)))</f>
        <v/>
      </c>
      <c r="K683" s="6">
        <f>IF(C683="","",IF(J683=0,"UNMAPPED",LOWER(INDEX(Mapping!$D$1:$D$504,J683))))</f>
        <v/>
      </c>
      <c r="L683" s="6">
        <f>IF(K683="mapped",TRIM(INDEX(Mapping!$C$1:$C$504,J683)),"")</f>
        <v/>
      </c>
      <c r="M683" s="6">
        <f>IF(C683="","",IF(SUMPRODUCT(($C$12:C683=C683)*1)=1,1,0))</f>
        <v/>
      </c>
      <c r="N683" s="6">
        <f>IF(AND(K683="UNMAPPED",M683=1),ROW(),"")</f>
        <v/>
      </c>
      <c r="O683" s="6">
        <f>IF(AND(I683=1,M683=1),ROW(),"")</f>
        <v/>
      </c>
      <c r="P683" s="6">
        <f>IF(AND(K683="ignored",M683=1),ROW(),"")</f>
        <v/>
      </c>
    </row>
    <row r="684">
      <c r="A684" s="8" t="n"/>
      <c r="B684" s="8" t="n"/>
      <c r="C684" s="6">
        <f>TRIM(A684&amp;"")</f>
        <v/>
      </c>
      <c r="D684" s="6">
        <f>IF(C684="","",SUBSTITUTE(SUBSTITUTE(SUBSTITUTE(SUBSTITUTE(SUBSTITUTE(SUBSTITUTE(SUBSTITUTE(UPPER(TRIM(B684&amp;"")),"₹",""),"RS.",""),"RS",""),"INR",""),"$",""),",","")," ",""))</f>
        <v/>
      </c>
      <c r="E684" s="6">
        <f>IF(C684="","",IF(RIGHT(D684,2)="CR","Cr",IF(RIGHT(D684,2)="DR","Dr","")))</f>
        <v/>
      </c>
      <c r="F684" s="6">
        <f>IF(C684="","",IF(E684&lt;&gt;"",LEFT(D684,LEN(D684)-2),D684))</f>
        <v/>
      </c>
      <c r="G684" s="13">
        <f>IF(C684="","",IF(OR(IF(AND(LEFT(F684,1)="(",RIGHT(F684,1)=")"),MID(F684,2,LEN(F684)-2),F684)="",IF(AND(LEFT(F684,1)="(",RIGHT(F684,1)=")"),MID(F684,2,LEN(F684)-2),F684)="-"),0,IFERROR(VALUE(IF(AND(LEFT(F684,1)="(",RIGHT(F684,1)=")"),MID(F684,2,LEN(F684)-2),F684))*IF(AND(LEFT(F684,1)="(",RIGHT(F684,1)=")"),-1,1)*IF(E684="Cr",Setup!$B$6,1),"ERR")))</f>
        <v/>
      </c>
      <c r="H684" s="6">
        <f>IF(C684="","",IF(ISNUMBER(G684),1,0))</f>
        <v/>
      </c>
      <c r="I684" s="6">
        <f>IF(C684="","",IF(SUMPRODUCT(($C$12:$C$1511=C684)*1)&gt;1,1,0))</f>
        <v/>
      </c>
      <c r="J684" s="6">
        <f>IF(C684="","",SUMPRODUCT((Mapping!$F$5:$F$504=Setup!$B$4&amp;"||"&amp;C684)*ROW(Mapping!$F$5:$F$504)))</f>
        <v/>
      </c>
      <c r="K684" s="6">
        <f>IF(C684="","",IF(J684=0,"UNMAPPED",LOWER(INDEX(Mapping!$D$1:$D$504,J684))))</f>
        <v/>
      </c>
      <c r="L684" s="6">
        <f>IF(K684="mapped",TRIM(INDEX(Mapping!$C$1:$C$504,J684)),"")</f>
        <v/>
      </c>
      <c r="M684" s="6">
        <f>IF(C684="","",IF(SUMPRODUCT(($C$12:C684=C684)*1)=1,1,0))</f>
        <v/>
      </c>
      <c r="N684" s="6">
        <f>IF(AND(K684="UNMAPPED",M684=1),ROW(),"")</f>
        <v/>
      </c>
      <c r="O684" s="6">
        <f>IF(AND(I684=1,M684=1),ROW(),"")</f>
        <v/>
      </c>
      <c r="P684" s="6">
        <f>IF(AND(K684="ignored",M684=1),ROW(),"")</f>
        <v/>
      </c>
    </row>
    <row r="685">
      <c r="A685" s="8" t="n"/>
      <c r="B685" s="8" t="n"/>
      <c r="C685" s="6">
        <f>TRIM(A685&amp;"")</f>
        <v/>
      </c>
      <c r="D685" s="6">
        <f>IF(C685="","",SUBSTITUTE(SUBSTITUTE(SUBSTITUTE(SUBSTITUTE(SUBSTITUTE(SUBSTITUTE(SUBSTITUTE(UPPER(TRIM(B685&amp;"")),"₹",""),"RS.",""),"RS",""),"INR",""),"$",""),",","")," ",""))</f>
        <v/>
      </c>
      <c r="E685" s="6">
        <f>IF(C685="","",IF(RIGHT(D685,2)="CR","Cr",IF(RIGHT(D685,2)="DR","Dr","")))</f>
        <v/>
      </c>
      <c r="F685" s="6">
        <f>IF(C685="","",IF(E685&lt;&gt;"",LEFT(D685,LEN(D685)-2),D685))</f>
        <v/>
      </c>
      <c r="G685" s="13">
        <f>IF(C685="","",IF(OR(IF(AND(LEFT(F685,1)="(",RIGHT(F685,1)=")"),MID(F685,2,LEN(F685)-2),F685)="",IF(AND(LEFT(F685,1)="(",RIGHT(F685,1)=")"),MID(F685,2,LEN(F685)-2),F685)="-"),0,IFERROR(VALUE(IF(AND(LEFT(F685,1)="(",RIGHT(F685,1)=")"),MID(F685,2,LEN(F685)-2),F685))*IF(AND(LEFT(F685,1)="(",RIGHT(F685,1)=")"),-1,1)*IF(E685="Cr",Setup!$B$6,1),"ERR")))</f>
        <v/>
      </c>
      <c r="H685" s="6">
        <f>IF(C685="","",IF(ISNUMBER(G685),1,0))</f>
        <v/>
      </c>
      <c r="I685" s="6">
        <f>IF(C685="","",IF(SUMPRODUCT(($C$12:$C$1511=C685)*1)&gt;1,1,0))</f>
        <v/>
      </c>
      <c r="J685" s="6">
        <f>IF(C685="","",SUMPRODUCT((Mapping!$F$5:$F$504=Setup!$B$4&amp;"||"&amp;C685)*ROW(Mapping!$F$5:$F$504)))</f>
        <v/>
      </c>
      <c r="K685" s="6">
        <f>IF(C685="","",IF(J685=0,"UNMAPPED",LOWER(INDEX(Mapping!$D$1:$D$504,J685))))</f>
        <v/>
      </c>
      <c r="L685" s="6">
        <f>IF(K685="mapped",TRIM(INDEX(Mapping!$C$1:$C$504,J685)),"")</f>
        <v/>
      </c>
      <c r="M685" s="6">
        <f>IF(C685="","",IF(SUMPRODUCT(($C$12:C685=C685)*1)=1,1,0))</f>
        <v/>
      </c>
      <c r="N685" s="6">
        <f>IF(AND(K685="UNMAPPED",M685=1),ROW(),"")</f>
        <v/>
      </c>
      <c r="O685" s="6">
        <f>IF(AND(I685=1,M685=1),ROW(),"")</f>
        <v/>
      </c>
      <c r="P685" s="6">
        <f>IF(AND(K685="ignored",M685=1),ROW(),"")</f>
        <v/>
      </c>
    </row>
    <row r="686">
      <c r="A686" s="8" t="n"/>
      <c r="B686" s="8" t="n"/>
      <c r="C686" s="6">
        <f>TRIM(A686&amp;"")</f>
        <v/>
      </c>
      <c r="D686" s="6">
        <f>IF(C686="","",SUBSTITUTE(SUBSTITUTE(SUBSTITUTE(SUBSTITUTE(SUBSTITUTE(SUBSTITUTE(SUBSTITUTE(UPPER(TRIM(B686&amp;"")),"₹",""),"RS.",""),"RS",""),"INR",""),"$",""),",","")," ",""))</f>
        <v/>
      </c>
      <c r="E686" s="6">
        <f>IF(C686="","",IF(RIGHT(D686,2)="CR","Cr",IF(RIGHT(D686,2)="DR","Dr","")))</f>
        <v/>
      </c>
      <c r="F686" s="6">
        <f>IF(C686="","",IF(E686&lt;&gt;"",LEFT(D686,LEN(D686)-2),D686))</f>
        <v/>
      </c>
      <c r="G686" s="13">
        <f>IF(C686="","",IF(OR(IF(AND(LEFT(F686,1)="(",RIGHT(F686,1)=")"),MID(F686,2,LEN(F686)-2),F686)="",IF(AND(LEFT(F686,1)="(",RIGHT(F686,1)=")"),MID(F686,2,LEN(F686)-2),F686)="-"),0,IFERROR(VALUE(IF(AND(LEFT(F686,1)="(",RIGHT(F686,1)=")"),MID(F686,2,LEN(F686)-2),F686))*IF(AND(LEFT(F686,1)="(",RIGHT(F686,1)=")"),-1,1)*IF(E686="Cr",Setup!$B$6,1),"ERR")))</f>
        <v/>
      </c>
      <c r="H686" s="6">
        <f>IF(C686="","",IF(ISNUMBER(G686),1,0))</f>
        <v/>
      </c>
      <c r="I686" s="6">
        <f>IF(C686="","",IF(SUMPRODUCT(($C$12:$C$1511=C686)*1)&gt;1,1,0))</f>
        <v/>
      </c>
      <c r="J686" s="6">
        <f>IF(C686="","",SUMPRODUCT((Mapping!$F$5:$F$504=Setup!$B$4&amp;"||"&amp;C686)*ROW(Mapping!$F$5:$F$504)))</f>
        <v/>
      </c>
      <c r="K686" s="6">
        <f>IF(C686="","",IF(J686=0,"UNMAPPED",LOWER(INDEX(Mapping!$D$1:$D$504,J686))))</f>
        <v/>
      </c>
      <c r="L686" s="6">
        <f>IF(K686="mapped",TRIM(INDEX(Mapping!$C$1:$C$504,J686)),"")</f>
        <v/>
      </c>
      <c r="M686" s="6">
        <f>IF(C686="","",IF(SUMPRODUCT(($C$12:C686=C686)*1)=1,1,0))</f>
        <v/>
      </c>
      <c r="N686" s="6">
        <f>IF(AND(K686="UNMAPPED",M686=1),ROW(),"")</f>
        <v/>
      </c>
      <c r="O686" s="6">
        <f>IF(AND(I686=1,M686=1),ROW(),"")</f>
        <v/>
      </c>
      <c r="P686" s="6">
        <f>IF(AND(K686="ignored",M686=1),ROW(),"")</f>
        <v/>
      </c>
    </row>
    <row r="687">
      <c r="A687" s="8" t="n"/>
      <c r="B687" s="8" t="n"/>
      <c r="C687" s="6">
        <f>TRIM(A687&amp;"")</f>
        <v/>
      </c>
      <c r="D687" s="6">
        <f>IF(C687="","",SUBSTITUTE(SUBSTITUTE(SUBSTITUTE(SUBSTITUTE(SUBSTITUTE(SUBSTITUTE(SUBSTITUTE(UPPER(TRIM(B687&amp;"")),"₹",""),"RS.",""),"RS",""),"INR",""),"$",""),",","")," ",""))</f>
        <v/>
      </c>
      <c r="E687" s="6">
        <f>IF(C687="","",IF(RIGHT(D687,2)="CR","Cr",IF(RIGHT(D687,2)="DR","Dr","")))</f>
        <v/>
      </c>
      <c r="F687" s="6">
        <f>IF(C687="","",IF(E687&lt;&gt;"",LEFT(D687,LEN(D687)-2),D687))</f>
        <v/>
      </c>
      <c r="G687" s="13">
        <f>IF(C687="","",IF(OR(IF(AND(LEFT(F687,1)="(",RIGHT(F687,1)=")"),MID(F687,2,LEN(F687)-2),F687)="",IF(AND(LEFT(F687,1)="(",RIGHT(F687,1)=")"),MID(F687,2,LEN(F687)-2),F687)="-"),0,IFERROR(VALUE(IF(AND(LEFT(F687,1)="(",RIGHT(F687,1)=")"),MID(F687,2,LEN(F687)-2),F687))*IF(AND(LEFT(F687,1)="(",RIGHT(F687,1)=")"),-1,1)*IF(E687="Cr",Setup!$B$6,1),"ERR")))</f>
        <v/>
      </c>
      <c r="H687" s="6">
        <f>IF(C687="","",IF(ISNUMBER(G687),1,0))</f>
        <v/>
      </c>
      <c r="I687" s="6">
        <f>IF(C687="","",IF(SUMPRODUCT(($C$12:$C$1511=C687)*1)&gt;1,1,0))</f>
        <v/>
      </c>
      <c r="J687" s="6">
        <f>IF(C687="","",SUMPRODUCT((Mapping!$F$5:$F$504=Setup!$B$4&amp;"||"&amp;C687)*ROW(Mapping!$F$5:$F$504)))</f>
        <v/>
      </c>
      <c r="K687" s="6">
        <f>IF(C687="","",IF(J687=0,"UNMAPPED",LOWER(INDEX(Mapping!$D$1:$D$504,J687))))</f>
        <v/>
      </c>
      <c r="L687" s="6">
        <f>IF(K687="mapped",TRIM(INDEX(Mapping!$C$1:$C$504,J687)),"")</f>
        <v/>
      </c>
      <c r="M687" s="6">
        <f>IF(C687="","",IF(SUMPRODUCT(($C$12:C687=C687)*1)=1,1,0))</f>
        <v/>
      </c>
      <c r="N687" s="6">
        <f>IF(AND(K687="UNMAPPED",M687=1),ROW(),"")</f>
        <v/>
      </c>
      <c r="O687" s="6">
        <f>IF(AND(I687=1,M687=1),ROW(),"")</f>
        <v/>
      </c>
      <c r="P687" s="6">
        <f>IF(AND(K687="ignored",M687=1),ROW(),"")</f>
        <v/>
      </c>
    </row>
    <row r="688">
      <c r="A688" s="8" t="n"/>
      <c r="B688" s="8" t="n"/>
      <c r="C688" s="6">
        <f>TRIM(A688&amp;"")</f>
        <v/>
      </c>
      <c r="D688" s="6">
        <f>IF(C688="","",SUBSTITUTE(SUBSTITUTE(SUBSTITUTE(SUBSTITUTE(SUBSTITUTE(SUBSTITUTE(SUBSTITUTE(UPPER(TRIM(B688&amp;"")),"₹",""),"RS.",""),"RS",""),"INR",""),"$",""),",","")," ",""))</f>
        <v/>
      </c>
      <c r="E688" s="6">
        <f>IF(C688="","",IF(RIGHT(D688,2)="CR","Cr",IF(RIGHT(D688,2)="DR","Dr","")))</f>
        <v/>
      </c>
      <c r="F688" s="6">
        <f>IF(C688="","",IF(E688&lt;&gt;"",LEFT(D688,LEN(D688)-2),D688))</f>
        <v/>
      </c>
      <c r="G688" s="13">
        <f>IF(C688="","",IF(OR(IF(AND(LEFT(F688,1)="(",RIGHT(F688,1)=")"),MID(F688,2,LEN(F688)-2),F688)="",IF(AND(LEFT(F688,1)="(",RIGHT(F688,1)=")"),MID(F688,2,LEN(F688)-2),F688)="-"),0,IFERROR(VALUE(IF(AND(LEFT(F688,1)="(",RIGHT(F688,1)=")"),MID(F688,2,LEN(F688)-2),F688))*IF(AND(LEFT(F688,1)="(",RIGHT(F688,1)=")"),-1,1)*IF(E688="Cr",Setup!$B$6,1),"ERR")))</f>
        <v/>
      </c>
      <c r="H688" s="6">
        <f>IF(C688="","",IF(ISNUMBER(G688),1,0))</f>
        <v/>
      </c>
      <c r="I688" s="6">
        <f>IF(C688="","",IF(SUMPRODUCT(($C$12:$C$1511=C688)*1)&gt;1,1,0))</f>
        <v/>
      </c>
      <c r="J688" s="6">
        <f>IF(C688="","",SUMPRODUCT((Mapping!$F$5:$F$504=Setup!$B$4&amp;"||"&amp;C688)*ROW(Mapping!$F$5:$F$504)))</f>
        <v/>
      </c>
      <c r="K688" s="6">
        <f>IF(C688="","",IF(J688=0,"UNMAPPED",LOWER(INDEX(Mapping!$D$1:$D$504,J688))))</f>
        <v/>
      </c>
      <c r="L688" s="6">
        <f>IF(K688="mapped",TRIM(INDEX(Mapping!$C$1:$C$504,J688)),"")</f>
        <v/>
      </c>
      <c r="M688" s="6">
        <f>IF(C688="","",IF(SUMPRODUCT(($C$12:C688=C688)*1)=1,1,0))</f>
        <v/>
      </c>
      <c r="N688" s="6">
        <f>IF(AND(K688="UNMAPPED",M688=1),ROW(),"")</f>
        <v/>
      </c>
      <c r="O688" s="6">
        <f>IF(AND(I688=1,M688=1),ROW(),"")</f>
        <v/>
      </c>
      <c r="P688" s="6">
        <f>IF(AND(K688="ignored",M688=1),ROW(),"")</f>
        <v/>
      </c>
    </row>
    <row r="689">
      <c r="A689" s="8" t="n"/>
      <c r="B689" s="8" t="n"/>
      <c r="C689" s="6">
        <f>TRIM(A689&amp;"")</f>
        <v/>
      </c>
      <c r="D689" s="6">
        <f>IF(C689="","",SUBSTITUTE(SUBSTITUTE(SUBSTITUTE(SUBSTITUTE(SUBSTITUTE(SUBSTITUTE(SUBSTITUTE(UPPER(TRIM(B689&amp;"")),"₹",""),"RS.",""),"RS",""),"INR",""),"$",""),",","")," ",""))</f>
        <v/>
      </c>
      <c r="E689" s="6">
        <f>IF(C689="","",IF(RIGHT(D689,2)="CR","Cr",IF(RIGHT(D689,2)="DR","Dr","")))</f>
        <v/>
      </c>
      <c r="F689" s="6">
        <f>IF(C689="","",IF(E689&lt;&gt;"",LEFT(D689,LEN(D689)-2),D689))</f>
        <v/>
      </c>
      <c r="G689" s="13">
        <f>IF(C689="","",IF(OR(IF(AND(LEFT(F689,1)="(",RIGHT(F689,1)=")"),MID(F689,2,LEN(F689)-2),F689)="",IF(AND(LEFT(F689,1)="(",RIGHT(F689,1)=")"),MID(F689,2,LEN(F689)-2),F689)="-"),0,IFERROR(VALUE(IF(AND(LEFT(F689,1)="(",RIGHT(F689,1)=")"),MID(F689,2,LEN(F689)-2),F689))*IF(AND(LEFT(F689,1)="(",RIGHT(F689,1)=")"),-1,1)*IF(E689="Cr",Setup!$B$6,1),"ERR")))</f>
        <v/>
      </c>
      <c r="H689" s="6">
        <f>IF(C689="","",IF(ISNUMBER(G689),1,0))</f>
        <v/>
      </c>
      <c r="I689" s="6">
        <f>IF(C689="","",IF(SUMPRODUCT(($C$12:$C$1511=C689)*1)&gt;1,1,0))</f>
        <v/>
      </c>
      <c r="J689" s="6">
        <f>IF(C689="","",SUMPRODUCT((Mapping!$F$5:$F$504=Setup!$B$4&amp;"||"&amp;C689)*ROW(Mapping!$F$5:$F$504)))</f>
        <v/>
      </c>
      <c r="K689" s="6">
        <f>IF(C689="","",IF(J689=0,"UNMAPPED",LOWER(INDEX(Mapping!$D$1:$D$504,J689))))</f>
        <v/>
      </c>
      <c r="L689" s="6">
        <f>IF(K689="mapped",TRIM(INDEX(Mapping!$C$1:$C$504,J689)),"")</f>
        <v/>
      </c>
      <c r="M689" s="6">
        <f>IF(C689="","",IF(SUMPRODUCT(($C$12:C689=C689)*1)=1,1,0))</f>
        <v/>
      </c>
      <c r="N689" s="6">
        <f>IF(AND(K689="UNMAPPED",M689=1),ROW(),"")</f>
        <v/>
      </c>
      <c r="O689" s="6">
        <f>IF(AND(I689=1,M689=1),ROW(),"")</f>
        <v/>
      </c>
      <c r="P689" s="6">
        <f>IF(AND(K689="ignored",M689=1),ROW(),"")</f>
        <v/>
      </c>
    </row>
    <row r="690">
      <c r="A690" s="8" t="n"/>
      <c r="B690" s="8" t="n"/>
      <c r="C690" s="6">
        <f>TRIM(A690&amp;"")</f>
        <v/>
      </c>
      <c r="D690" s="6">
        <f>IF(C690="","",SUBSTITUTE(SUBSTITUTE(SUBSTITUTE(SUBSTITUTE(SUBSTITUTE(SUBSTITUTE(SUBSTITUTE(UPPER(TRIM(B690&amp;"")),"₹",""),"RS.",""),"RS",""),"INR",""),"$",""),",","")," ",""))</f>
        <v/>
      </c>
      <c r="E690" s="6">
        <f>IF(C690="","",IF(RIGHT(D690,2)="CR","Cr",IF(RIGHT(D690,2)="DR","Dr","")))</f>
        <v/>
      </c>
      <c r="F690" s="6">
        <f>IF(C690="","",IF(E690&lt;&gt;"",LEFT(D690,LEN(D690)-2),D690))</f>
        <v/>
      </c>
      <c r="G690" s="13">
        <f>IF(C690="","",IF(OR(IF(AND(LEFT(F690,1)="(",RIGHT(F690,1)=")"),MID(F690,2,LEN(F690)-2),F690)="",IF(AND(LEFT(F690,1)="(",RIGHT(F690,1)=")"),MID(F690,2,LEN(F690)-2),F690)="-"),0,IFERROR(VALUE(IF(AND(LEFT(F690,1)="(",RIGHT(F690,1)=")"),MID(F690,2,LEN(F690)-2),F690))*IF(AND(LEFT(F690,1)="(",RIGHT(F690,1)=")"),-1,1)*IF(E690="Cr",Setup!$B$6,1),"ERR")))</f>
        <v/>
      </c>
      <c r="H690" s="6">
        <f>IF(C690="","",IF(ISNUMBER(G690),1,0))</f>
        <v/>
      </c>
      <c r="I690" s="6">
        <f>IF(C690="","",IF(SUMPRODUCT(($C$12:$C$1511=C690)*1)&gt;1,1,0))</f>
        <v/>
      </c>
      <c r="J690" s="6">
        <f>IF(C690="","",SUMPRODUCT((Mapping!$F$5:$F$504=Setup!$B$4&amp;"||"&amp;C690)*ROW(Mapping!$F$5:$F$504)))</f>
        <v/>
      </c>
      <c r="K690" s="6">
        <f>IF(C690="","",IF(J690=0,"UNMAPPED",LOWER(INDEX(Mapping!$D$1:$D$504,J690))))</f>
        <v/>
      </c>
      <c r="L690" s="6">
        <f>IF(K690="mapped",TRIM(INDEX(Mapping!$C$1:$C$504,J690)),"")</f>
        <v/>
      </c>
      <c r="M690" s="6">
        <f>IF(C690="","",IF(SUMPRODUCT(($C$12:C690=C690)*1)=1,1,0))</f>
        <v/>
      </c>
      <c r="N690" s="6">
        <f>IF(AND(K690="UNMAPPED",M690=1),ROW(),"")</f>
        <v/>
      </c>
      <c r="O690" s="6">
        <f>IF(AND(I690=1,M690=1),ROW(),"")</f>
        <v/>
      </c>
      <c r="P690" s="6">
        <f>IF(AND(K690="ignored",M690=1),ROW(),"")</f>
        <v/>
      </c>
    </row>
    <row r="691">
      <c r="A691" s="8" t="n"/>
      <c r="B691" s="8" t="n"/>
      <c r="C691" s="6">
        <f>TRIM(A691&amp;"")</f>
        <v/>
      </c>
      <c r="D691" s="6">
        <f>IF(C691="","",SUBSTITUTE(SUBSTITUTE(SUBSTITUTE(SUBSTITUTE(SUBSTITUTE(SUBSTITUTE(SUBSTITUTE(UPPER(TRIM(B691&amp;"")),"₹",""),"RS.",""),"RS",""),"INR",""),"$",""),",","")," ",""))</f>
        <v/>
      </c>
      <c r="E691" s="6">
        <f>IF(C691="","",IF(RIGHT(D691,2)="CR","Cr",IF(RIGHT(D691,2)="DR","Dr","")))</f>
        <v/>
      </c>
      <c r="F691" s="6">
        <f>IF(C691="","",IF(E691&lt;&gt;"",LEFT(D691,LEN(D691)-2),D691))</f>
        <v/>
      </c>
      <c r="G691" s="13">
        <f>IF(C691="","",IF(OR(IF(AND(LEFT(F691,1)="(",RIGHT(F691,1)=")"),MID(F691,2,LEN(F691)-2),F691)="",IF(AND(LEFT(F691,1)="(",RIGHT(F691,1)=")"),MID(F691,2,LEN(F691)-2),F691)="-"),0,IFERROR(VALUE(IF(AND(LEFT(F691,1)="(",RIGHT(F691,1)=")"),MID(F691,2,LEN(F691)-2),F691))*IF(AND(LEFT(F691,1)="(",RIGHT(F691,1)=")"),-1,1)*IF(E691="Cr",Setup!$B$6,1),"ERR")))</f>
        <v/>
      </c>
      <c r="H691" s="6">
        <f>IF(C691="","",IF(ISNUMBER(G691),1,0))</f>
        <v/>
      </c>
      <c r="I691" s="6">
        <f>IF(C691="","",IF(SUMPRODUCT(($C$12:$C$1511=C691)*1)&gt;1,1,0))</f>
        <v/>
      </c>
      <c r="J691" s="6">
        <f>IF(C691="","",SUMPRODUCT((Mapping!$F$5:$F$504=Setup!$B$4&amp;"||"&amp;C691)*ROW(Mapping!$F$5:$F$504)))</f>
        <v/>
      </c>
      <c r="K691" s="6">
        <f>IF(C691="","",IF(J691=0,"UNMAPPED",LOWER(INDEX(Mapping!$D$1:$D$504,J691))))</f>
        <v/>
      </c>
      <c r="L691" s="6">
        <f>IF(K691="mapped",TRIM(INDEX(Mapping!$C$1:$C$504,J691)),"")</f>
        <v/>
      </c>
      <c r="M691" s="6">
        <f>IF(C691="","",IF(SUMPRODUCT(($C$12:C691=C691)*1)=1,1,0))</f>
        <v/>
      </c>
      <c r="N691" s="6">
        <f>IF(AND(K691="UNMAPPED",M691=1),ROW(),"")</f>
        <v/>
      </c>
      <c r="O691" s="6">
        <f>IF(AND(I691=1,M691=1),ROW(),"")</f>
        <v/>
      </c>
      <c r="P691" s="6">
        <f>IF(AND(K691="ignored",M691=1),ROW(),"")</f>
        <v/>
      </c>
    </row>
    <row r="692">
      <c r="A692" s="8" t="n"/>
      <c r="B692" s="8" t="n"/>
      <c r="C692" s="6">
        <f>TRIM(A692&amp;"")</f>
        <v/>
      </c>
      <c r="D692" s="6">
        <f>IF(C692="","",SUBSTITUTE(SUBSTITUTE(SUBSTITUTE(SUBSTITUTE(SUBSTITUTE(SUBSTITUTE(SUBSTITUTE(UPPER(TRIM(B692&amp;"")),"₹",""),"RS.",""),"RS",""),"INR",""),"$",""),",","")," ",""))</f>
        <v/>
      </c>
      <c r="E692" s="6">
        <f>IF(C692="","",IF(RIGHT(D692,2)="CR","Cr",IF(RIGHT(D692,2)="DR","Dr","")))</f>
        <v/>
      </c>
      <c r="F692" s="6">
        <f>IF(C692="","",IF(E692&lt;&gt;"",LEFT(D692,LEN(D692)-2),D692))</f>
        <v/>
      </c>
      <c r="G692" s="13">
        <f>IF(C692="","",IF(OR(IF(AND(LEFT(F692,1)="(",RIGHT(F692,1)=")"),MID(F692,2,LEN(F692)-2),F692)="",IF(AND(LEFT(F692,1)="(",RIGHT(F692,1)=")"),MID(F692,2,LEN(F692)-2),F692)="-"),0,IFERROR(VALUE(IF(AND(LEFT(F692,1)="(",RIGHT(F692,1)=")"),MID(F692,2,LEN(F692)-2),F692))*IF(AND(LEFT(F692,1)="(",RIGHT(F692,1)=")"),-1,1)*IF(E692="Cr",Setup!$B$6,1),"ERR")))</f>
        <v/>
      </c>
      <c r="H692" s="6">
        <f>IF(C692="","",IF(ISNUMBER(G692),1,0))</f>
        <v/>
      </c>
      <c r="I692" s="6">
        <f>IF(C692="","",IF(SUMPRODUCT(($C$12:$C$1511=C692)*1)&gt;1,1,0))</f>
        <v/>
      </c>
      <c r="J692" s="6">
        <f>IF(C692="","",SUMPRODUCT((Mapping!$F$5:$F$504=Setup!$B$4&amp;"||"&amp;C692)*ROW(Mapping!$F$5:$F$504)))</f>
        <v/>
      </c>
      <c r="K692" s="6">
        <f>IF(C692="","",IF(J692=0,"UNMAPPED",LOWER(INDEX(Mapping!$D$1:$D$504,J692))))</f>
        <v/>
      </c>
      <c r="L692" s="6">
        <f>IF(K692="mapped",TRIM(INDEX(Mapping!$C$1:$C$504,J692)),"")</f>
        <v/>
      </c>
      <c r="M692" s="6">
        <f>IF(C692="","",IF(SUMPRODUCT(($C$12:C692=C692)*1)=1,1,0))</f>
        <v/>
      </c>
      <c r="N692" s="6">
        <f>IF(AND(K692="UNMAPPED",M692=1),ROW(),"")</f>
        <v/>
      </c>
      <c r="O692" s="6">
        <f>IF(AND(I692=1,M692=1),ROW(),"")</f>
        <v/>
      </c>
      <c r="P692" s="6">
        <f>IF(AND(K692="ignored",M692=1),ROW(),"")</f>
        <v/>
      </c>
    </row>
    <row r="693">
      <c r="A693" s="8" t="n"/>
      <c r="B693" s="8" t="n"/>
      <c r="C693" s="6">
        <f>TRIM(A693&amp;"")</f>
        <v/>
      </c>
      <c r="D693" s="6">
        <f>IF(C693="","",SUBSTITUTE(SUBSTITUTE(SUBSTITUTE(SUBSTITUTE(SUBSTITUTE(SUBSTITUTE(SUBSTITUTE(UPPER(TRIM(B693&amp;"")),"₹",""),"RS.",""),"RS",""),"INR",""),"$",""),",","")," ",""))</f>
        <v/>
      </c>
      <c r="E693" s="6">
        <f>IF(C693="","",IF(RIGHT(D693,2)="CR","Cr",IF(RIGHT(D693,2)="DR","Dr","")))</f>
        <v/>
      </c>
      <c r="F693" s="6">
        <f>IF(C693="","",IF(E693&lt;&gt;"",LEFT(D693,LEN(D693)-2),D693))</f>
        <v/>
      </c>
      <c r="G693" s="13">
        <f>IF(C693="","",IF(OR(IF(AND(LEFT(F693,1)="(",RIGHT(F693,1)=")"),MID(F693,2,LEN(F693)-2),F693)="",IF(AND(LEFT(F693,1)="(",RIGHT(F693,1)=")"),MID(F693,2,LEN(F693)-2),F693)="-"),0,IFERROR(VALUE(IF(AND(LEFT(F693,1)="(",RIGHT(F693,1)=")"),MID(F693,2,LEN(F693)-2),F693))*IF(AND(LEFT(F693,1)="(",RIGHT(F693,1)=")"),-1,1)*IF(E693="Cr",Setup!$B$6,1),"ERR")))</f>
        <v/>
      </c>
      <c r="H693" s="6">
        <f>IF(C693="","",IF(ISNUMBER(G693),1,0))</f>
        <v/>
      </c>
      <c r="I693" s="6">
        <f>IF(C693="","",IF(SUMPRODUCT(($C$12:$C$1511=C693)*1)&gt;1,1,0))</f>
        <v/>
      </c>
      <c r="J693" s="6">
        <f>IF(C693="","",SUMPRODUCT((Mapping!$F$5:$F$504=Setup!$B$4&amp;"||"&amp;C693)*ROW(Mapping!$F$5:$F$504)))</f>
        <v/>
      </c>
      <c r="K693" s="6">
        <f>IF(C693="","",IF(J693=0,"UNMAPPED",LOWER(INDEX(Mapping!$D$1:$D$504,J693))))</f>
        <v/>
      </c>
      <c r="L693" s="6">
        <f>IF(K693="mapped",TRIM(INDEX(Mapping!$C$1:$C$504,J693)),"")</f>
        <v/>
      </c>
      <c r="M693" s="6">
        <f>IF(C693="","",IF(SUMPRODUCT(($C$12:C693=C693)*1)=1,1,0))</f>
        <v/>
      </c>
      <c r="N693" s="6">
        <f>IF(AND(K693="UNMAPPED",M693=1),ROW(),"")</f>
        <v/>
      </c>
      <c r="O693" s="6">
        <f>IF(AND(I693=1,M693=1),ROW(),"")</f>
        <v/>
      </c>
      <c r="P693" s="6">
        <f>IF(AND(K693="ignored",M693=1),ROW(),"")</f>
        <v/>
      </c>
    </row>
    <row r="694">
      <c r="A694" s="8" t="n"/>
      <c r="B694" s="8" t="n"/>
      <c r="C694" s="6">
        <f>TRIM(A694&amp;"")</f>
        <v/>
      </c>
      <c r="D694" s="6">
        <f>IF(C694="","",SUBSTITUTE(SUBSTITUTE(SUBSTITUTE(SUBSTITUTE(SUBSTITUTE(SUBSTITUTE(SUBSTITUTE(UPPER(TRIM(B694&amp;"")),"₹",""),"RS.",""),"RS",""),"INR",""),"$",""),",","")," ",""))</f>
        <v/>
      </c>
      <c r="E694" s="6">
        <f>IF(C694="","",IF(RIGHT(D694,2)="CR","Cr",IF(RIGHT(D694,2)="DR","Dr","")))</f>
        <v/>
      </c>
      <c r="F694" s="6">
        <f>IF(C694="","",IF(E694&lt;&gt;"",LEFT(D694,LEN(D694)-2),D694))</f>
        <v/>
      </c>
      <c r="G694" s="13">
        <f>IF(C694="","",IF(OR(IF(AND(LEFT(F694,1)="(",RIGHT(F694,1)=")"),MID(F694,2,LEN(F694)-2),F694)="",IF(AND(LEFT(F694,1)="(",RIGHT(F694,1)=")"),MID(F694,2,LEN(F694)-2),F694)="-"),0,IFERROR(VALUE(IF(AND(LEFT(F694,1)="(",RIGHT(F694,1)=")"),MID(F694,2,LEN(F694)-2),F694))*IF(AND(LEFT(F694,1)="(",RIGHT(F694,1)=")"),-1,1)*IF(E694="Cr",Setup!$B$6,1),"ERR")))</f>
        <v/>
      </c>
      <c r="H694" s="6">
        <f>IF(C694="","",IF(ISNUMBER(G694),1,0))</f>
        <v/>
      </c>
      <c r="I694" s="6">
        <f>IF(C694="","",IF(SUMPRODUCT(($C$12:$C$1511=C694)*1)&gt;1,1,0))</f>
        <v/>
      </c>
      <c r="J694" s="6">
        <f>IF(C694="","",SUMPRODUCT((Mapping!$F$5:$F$504=Setup!$B$4&amp;"||"&amp;C694)*ROW(Mapping!$F$5:$F$504)))</f>
        <v/>
      </c>
      <c r="K694" s="6">
        <f>IF(C694="","",IF(J694=0,"UNMAPPED",LOWER(INDEX(Mapping!$D$1:$D$504,J694))))</f>
        <v/>
      </c>
      <c r="L694" s="6">
        <f>IF(K694="mapped",TRIM(INDEX(Mapping!$C$1:$C$504,J694)),"")</f>
        <v/>
      </c>
      <c r="M694" s="6">
        <f>IF(C694="","",IF(SUMPRODUCT(($C$12:C694=C694)*1)=1,1,0))</f>
        <v/>
      </c>
      <c r="N694" s="6">
        <f>IF(AND(K694="UNMAPPED",M694=1),ROW(),"")</f>
        <v/>
      </c>
      <c r="O694" s="6">
        <f>IF(AND(I694=1,M694=1),ROW(),"")</f>
        <v/>
      </c>
      <c r="P694" s="6">
        <f>IF(AND(K694="ignored",M694=1),ROW(),"")</f>
        <v/>
      </c>
    </row>
    <row r="695">
      <c r="A695" s="8" t="n"/>
      <c r="B695" s="8" t="n"/>
      <c r="C695" s="6">
        <f>TRIM(A695&amp;"")</f>
        <v/>
      </c>
      <c r="D695" s="6">
        <f>IF(C695="","",SUBSTITUTE(SUBSTITUTE(SUBSTITUTE(SUBSTITUTE(SUBSTITUTE(SUBSTITUTE(SUBSTITUTE(UPPER(TRIM(B695&amp;"")),"₹",""),"RS.",""),"RS",""),"INR",""),"$",""),",","")," ",""))</f>
        <v/>
      </c>
      <c r="E695" s="6">
        <f>IF(C695="","",IF(RIGHT(D695,2)="CR","Cr",IF(RIGHT(D695,2)="DR","Dr","")))</f>
        <v/>
      </c>
      <c r="F695" s="6">
        <f>IF(C695="","",IF(E695&lt;&gt;"",LEFT(D695,LEN(D695)-2),D695))</f>
        <v/>
      </c>
      <c r="G695" s="13">
        <f>IF(C695="","",IF(OR(IF(AND(LEFT(F695,1)="(",RIGHT(F695,1)=")"),MID(F695,2,LEN(F695)-2),F695)="",IF(AND(LEFT(F695,1)="(",RIGHT(F695,1)=")"),MID(F695,2,LEN(F695)-2),F695)="-"),0,IFERROR(VALUE(IF(AND(LEFT(F695,1)="(",RIGHT(F695,1)=")"),MID(F695,2,LEN(F695)-2),F695))*IF(AND(LEFT(F695,1)="(",RIGHT(F695,1)=")"),-1,1)*IF(E695="Cr",Setup!$B$6,1),"ERR")))</f>
        <v/>
      </c>
      <c r="H695" s="6">
        <f>IF(C695="","",IF(ISNUMBER(G695),1,0))</f>
        <v/>
      </c>
      <c r="I695" s="6">
        <f>IF(C695="","",IF(SUMPRODUCT(($C$12:$C$1511=C695)*1)&gt;1,1,0))</f>
        <v/>
      </c>
      <c r="J695" s="6">
        <f>IF(C695="","",SUMPRODUCT((Mapping!$F$5:$F$504=Setup!$B$4&amp;"||"&amp;C695)*ROW(Mapping!$F$5:$F$504)))</f>
        <v/>
      </c>
      <c r="K695" s="6">
        <f>IF(C695="","",IF(J695=0,"UNMAPPED",LOWER(INDEX(Mapping!$D$1:$D$504,J695))))</f>
        <v/>
      </c>
      <c r="L695" s="6">
        <f>IF(K695="mapped",TRIM(INDEX(Mapping!$C$1:$C$504,J695)),"")</f>
        <v/>
      </c>
      <c r="M695" s="6">
        <f>IF(C695="","",IF(SUMPRODUCT(($C$12:C695=C695)*1)=1,1,0))</f>
        <v/>
      </c>
      <c r="N695" s="6">
        <f>IF(AND(K695="UNMAPPED",M695=1),ROW(),"")</f>
        <v/>
      </c>
      <c r="O695" s="6">
        <f>IF(AND(I695=1,M695=1),ROW(),"")</f>
        <v/>
      </c>
      <c r="P695" s="6">
        <f>IF(AND(K695="ignored",M695=1),ROW(),"")</f>
        <v/>
      </c>
    </row>
    <row r="696">
      <c r="A696" s="8" t="n"/>
      <c r="B696" s="8" t="n"/>
      <c r="C696" s="6">
        <f>TRIM(A696&amp;"")</f>
        <v/>
      </c>
      <c r="D696" s="6">
        <f>IF(C696="","",SUBSTITUTE(SUBSTITUTE(SUBSTITUTE(SUBSTITUTE(SUBSTITUTE(SUBSTITUTE(SUBSTITUTE(UPPER(TRIM(B696&amp;"")),"₹",""),"RS.",""),"RS",""),"INR",""),"$",""),",","")," ",""))</f>
        <v/>
      </c>
      <c r="E696" s="6">
        <f>IF(C696="","",IF(RIGHT(D696,2)="CR","Cr",IF(RIGHT(D696,2)="DR","Dr","")))</f>
        <v/>
      </c>
      <c r="F696" s="6">
        <f>IF(C696="","",IF(E696&lt;&gt;"",LEFT(D696,LEN(D696)-2),D696))</f>
        <v/>
      </c>
      <c r="G696" s="13">
        <f>IF(C696="","",IF(OR(IF(AND(LEFT(F696,1)="(",RIGHT(F696,1)=")"),MID(F696,2,LEN(F696)-2),F696)="",IF(AND(LEFT(F696,1)="(",RIGHT(F696,1)=")"),MID(F696,2,LEN(F696)-2),F696)="-"),0,IFERROR(VALUE(IF(AND(LEFT(F696,1)="(",RIGHT(F696,1)=")"),MID(F696,2,LEN(F696)-2),F696))*IF(AND(LEFT(F696,1)="(",RIGHT(F696,1)=")"),-1,1)*IF(E696="Cr",Setup!$B$6,1),"ERR")))</f>
        <v/>
      </c>
      <c r="H696" s="6">
        <f>IF(C696="","",IF(ISNUMBER(G696),1,0))</f>
        <v/>
      </c>
      <c r="I696" s="6">
        <f>IF(C696="","",IF(SUMPRODUCT(($C$12:$C$1511=C696)*1)&gt;1,1,0))</f>
        <v/>
      </c>
      <c r="J696" s="6">
        <f>IF(C696="","",SUMPRODUCT((Mapping!$F$5:$F$504=Setup!$B$4&amp;"||"&amp;C696)*ROW(Mapping!$F$5:$F$504)))</f>
        <v/>
      </c>
      <c r="K696" s="6">
        <f>IF(C696="","",IF(J696=0,"UNMAPPED",LOWER(INDEX(Mapping!$D$1:$D$504,J696))))</f>
        <v/>
      </c>
      <c r="L696" s="6">
        <f>IF(K696="mapped",TRIM(INDEX(Mapping!$C$1:$C$504,J696)),"")</f>
        <v/>
      </c>
      <c r="M696" s="6">
        <f>IF(C696="","",IF(SUMPRODUCT(($C$12:C696=C696)*1)=1,1,0))</f>
        <v/>
      </c>
      <c r="N696" s="6">
        <f>IF(AND(K696="UNMAPPED",M696=1),ROW(),"")</f>
        <v/>
      </c>
      <c r="O696" s="6">
        <f>IF(AND(I696=1,M696=1),ROW(),"")</f>
        <v/>
      </c>
      <c r="P696" s="6">
        <f>IF(AND(K696="ignored",M696=1),ROW(),"")</f>
        <v/>
      </c>
    </row>
    <row r="697">
      <c r="A697" s="8" t="n"/>
      <c r="B697" s="8" t="n"/>
      <c r="C697" s="6">
        <f>TRIM(A697&amp;"")</f>
        <v/>
      </c>
      <c r="D697" s="6">
        <f>IF(C697="","",SUBSTITUTE(SUBSTITUTE(SUBSTITUTE(SUBSTITUTE(SUBSTITUTE(SUBSTITUTE(SUBSTITUTE(UPPER(TRIM(B697&amp;"")),"₹",""),"RS.",""),"RS",""),"INR",""),"$",""),",","")," ",""))</f>
        <v/>
      </c>
      <c r="E697" s="6">
        <f>IF(C697="","",IF(RIGHT(D697,2)="CR","Cr",IF(RIGHT(D697,2)="DR","Dr","")))</f>
        <v/>
      </c>
      <c r="F697" s="6">
        <f>IF(C697="","",IF(E697&lt;&gt;"",LEFT(D697,LEN(D697)-2),D697))</f>
        <v/>
      </c>
      <c r="G697" s="13">
        <f>IF(C697="","",IF(OR(IF(AND(LEFT(F697,1)="(",RIGHT(F697,1)=")"),MID(F697,2,LEN(F697)-2),F697)="",IF(AND(LEFT(F697,1)="(",RIGHT(F697,1)=")"),MID(F697,2,LEN(F697)-2),F697)="-"),0,IFERROR(VALUE(IF(AND(LEFT(F697,1)="(",RIGHT(F697,1)=")"),MID(F697,2,LEN(F697)-2),F697))*IF(AND(LEFT(F697,1)="(",RIGHT(F697,1)=")"),-1,1)*IF(E697="Cr",Setup!$B$6,1),"ERR")))</f>
        <v/>
      </c>
      <c r="H697" s="6">
        <f>IF(C697="","",IF(ISNUMBER(G697),1,0))</f>
        <v/>
      </c>
      <c r="I697" s="6">
        <f>IF(C697="","",IF(SUMPRODUCT(($C$12:$C$1511=C697)*1)&gt;1,1,0))</f>
        <v/>
      </c>
      <c r="J697" s="6">
        <f>IF(C697="","",SUMPRODUCT((Mapping!$F$5:$F$504=Setup!$B$4&amp;"||"&amp;C697)*ROW(Mapping!$F$5:$F$504)))</f>
        <v/>
      </c>
      <c r="K697" s="6">
        <f>IF(C697="","",IF(J697=0,"UNMAPPED",LOWER(INDEX(Mapping!$D$1:$D$504,J697))))</f>
        <v/>
      </c>
      <c r="L697" s="6">
        <f>IF(K697="mapped",TRIM(INDEX(Mapping!$C$1:$C$504,J697)),"")</f>
        <v/>
      </c>
      <c r="M697" s="6">
        <f>IF(C697="","",IF(SUMPRODUCT(($C$12:C697=C697)*1)=1,1,0))</f>
        <v/>
      </c>
      <c r="N697" s="6">
        <f>IF(AND(K697="UNMAPPED",M697=1),ROW(),"")</f>
        <v/>
      </c>
      <c r="O697" s="6">
        <f>IF(AND(I697=1,M697=1),ROW(),"")</f>
        <v/>
      </c>
      <c r="P697" s="6">
        <f>IF(AND(K697="ignored",M697=1),ROW(),"")</f>
        <v/>
      </c>
    </row>
    <row r="698">
      <c r="A698" s="8" t="n"/>
      <c r="B698" s="8" t="n"/>
      <c r="C698" s="6">
        <f>TRIM(A698&amp;"")</f>
        <v/>
      </c>
      <c r="D698" s="6">
        <f>IF(C698="","",SUBSTITUTE(SUBSTITUTE(SUBSTITUTE(SUBSTITUTE(SUBSTITUTE(SUBSTITUTE(SUBSTITUTE(UPPER(TRIM(B698&amp;"")),"₹",""),"RS.",""),"RS",""),"INR",""),"$",""),",","")," ",""))</f>
        <v/>
      </c>
      <c r="E698" s="6">
        <f>IF(C698="","",IF(RIGHT(D698,2)="CR","Cr",IF(RIGHT(D698,2)="DR","Dr","")))</f>
        <v/>
      </c>
      <c r="F698" s="6">
        <f>IF(C698="","",IF(E698&lt;&gt;"",LEFT(D698,LEN(D698)-2),D698))</f>
        <v/>
      </c>
      <c r="G698" s="13">
        <f>IF(C698="","",IF(OR(IF(AND(LEFT(F698,1)="(",RIGHT(F698,1)=")"),MID(F698,2,LEN(F698)-2),F698)="",IF(AND(LEFT(F698,1)="(",RIGHT(F698,1)=")"),MID(F698,2,LEN(F698)-2),F698)="-"),0,IFERROR(VALUE(IF(AND(LEFT(F698,1)="(",RIGHT(F698,1)=")"),MID(F698,2,LEN(F698)-2),F698))*IF(AND(LEFT(F698,1)="(",RIGHT(F698,1)=")"),-1,1)*IF(E698="Cr",Setup!$B$6,1),"ERR")))</f>
        <v/>
      </c>
      <c r="H698" s="6">
        <f>IF(C698="","",IF(ISNUMBER(G698),1,0))</f>
        <v/>
      </c>
      <c r="I698" s="6">
        <f>IF(C698="","",IF(SUMPRODUCT(($C$12:$C$1511=C698)*1)&gt;1,1,0))</f>
        <v/>
      </c>
      <c r="J698" s="6">
        <f>IF(C698="","",SUMPRODUCT((Mapping!$F$5:$F$504=Setup!$B$4&amp;"||"&amp;C698)*ROW(Mapping!$F$5:$F$504)))</f>
        <v/>
      </c>
      <c r="K698" s="6">
        <f>IF(C698="","",IF(J698=0,"UNMAPPED",LOWER(INDEX(Mapping!$D$1:$D$504,J698))))</f>
        <v/>
      </c>
      <c r="L698" s="6">
        <f>IF(K698="mapped",TRIM(INDEX(Mapping!$C$1:$C$504,J698)),"")</f>
        <v/>
      </c>
      <c r="M698" s="6">
        <f>IF(C698="","",IF(SUMPRODUCT(($C$12:C698=C698)*1)=1,1,0))</f>
        <v/>
      </c>
      <c r="N698" s="6">
        <f>IF(AND(K698="UNMAPPED",M698=1),ROW(),"")</f>
        <v/>
      </c>
      <c r="O698" s="6">
        <f>IF(AND(I698=1,M698=1),ROW(),"")</f>
        <v/>
      </c>
      <c r="P698" s="6">
        <f>IF(AND(K698="ignored",M698=1),ROW(),"")</f>
        <v/>
      </c>
    </row>
    <row r="699">
      <c r="A699" s="8" t="n"/>
      <c r="B699" s="8" t="n"/>
      <c r="C699" s="6">
        <f>TRIM(A699&amp;"")</f>
        <v/>
      </c>
      <c r="D699" s="6">
        <f>IF(C699="","",SUBSTITUTE(SUBSTITUTE(SUBSTITUTE(SUBSTITUTE(SUBSTITUTE(SUBSTITUTE(SUBSTITUTE(UPPER(TRIM(B699&amp;"")),"₹",""),"RS.",""),"RS",""),"INR",""),"$",""),",","")," ",""))</f>
        <v/>
      </c>
      <c r="E699" s="6">
        <f>IF(C699="","",IF(RIGHT(D699,2)="CR","Cr",IF(RIGHT(D699,2)="DR","Dr","")))</f>
        <v/>
      </c>
      <c r="F699" s="6">
        <f>IF(C699="","",IF(E699&lt;&gt;"",LEFT(D699,LEN(D699)-2),D699))</f>
        <v/>
      </c>
      <c r="G699" s="13">
        <f>IF(C699="","",IF(OR(IF(AND(LEFT(F699,1)="(",RIGHT(F699,1)=")"),MID(F699,2,LEN(F699)-2),F699)="",IF(AND(LEFT(F699,1)="(",RIGHT(F699,1)=")"),MID(F699,2,LEN(F699)-2),F699)="-"),0,IFERROR(VALUE(IF(AND(LEFT(F699,1)="(",RIGHT(F699,1)=")"),MID(F699,2,LEN(F699)-2),F699))*IF(AND(LEFT(F699,1)="(",RIGHT(F699,1)=")"),-1,1)*IF(E699="Cr",Setup!$B$6,1),"ERR")))</f>
        <v/>
      </c>
      <c r="H699" s="6">
        <f>IF(C699="","",IF(ISNUMBER(G699),1,0))</f>
        <v/>
      </c>
      <c r="I699" s="6">
        <f>IF(C699="","",IF(SUMPRODUCT(($C$12:$C$1511=C699)*1)&gt;1,1,0))</f>
        <v/>
      </c>
      <c r="J699" s="6">
        <f>IF(C699="","",SUMPRODUCT((Mapping!$F$5:$F$504=Setup!$B$4&amp;"||"&amp;C699)*ROW(Mapping!$F$5:$F$504)))</f>
        <v/>
      </c>
      <c r="K699" s="6">
        <f>IF(C699="","",IF(J699=0,"UNMAPPED",LOWER(INDEX(Mapping!$D$1:$D$504,J699))))</f>
        <v/>
      </c>
      <c r="L699" s="6">
        <f>IF(K699="mapped",TRIM(INDEX(Mapping!$C$1:$C$504,J699)),"")</f>
        <v/>
      </c>
      <c r="M699" s="6">
        <f>IF(C699="","",IF(SUMPRODUCT(($C$12:C699=C699)*1)=1,1,0))</f>
        <v/>
      </c>
      <c r="N699" s="6">
        <f>IF(AND(K699="UNMAPPED",M699=1),ROW(),"")</f>
        <v/>
      </c>
      <c r="O699" s="6">
        <f>IF(AND(I699=1,M699=1),ROW(),"")</f>
        <v/>
      </c>
      <c r="P699" s="6">
        <f>IF(AND(K699="ignored",M699=1),ROW(),"")</f>
        <v/>
      </c>
    </row>
    <row r="700">
      <c r="A700" s="8" t="n"/>
      <c r="B700" s="8" t="n"/>
      <c r="C700" s="6">
        <f>TRIM(A700&amp;"")</f>
        <v/>
      </c>
      <c r="D700" s="6">
        <f>IF(C700="","",SUBSTITUTE(SUBSTITUTE(SUBSTITUTE(SUBSTITUTE(SUBSTITUTE(SUBSTITUTE(SUBSTITUTE(UPPER(TRIM(B700&amp;"")),"₹",""),"RS.",""),"RS",""),"INR",""),"$",""),",","")," ",""))</f>
        <v/>
      </c>
      <c r="E700" s="6">
        <f>IF(C700="","",IF(RIGHT(D700,2)="CR","Cr",IF(RIGHT(D700,2)="DR","Dr","")))</f>
        <v/>
      </c>
      <c r="F700" s="6">
        <f>IF(C700="","",IF(E700&lt;&gt;"",LEFT(D700,LEN(D700)-2),D700))</f>
        <v/>
      </c>
      <c r="G700" s="13">
        <f>IF(C700="","",IF(OR(IF(AND(LEFT(F700,1)="(",RIGHT(F700,1)=")"),MID(F700,2,LEN(F700)-2),F700)="",IF(AND(LEFT(F700,1)="(",RIGHT(F700,1)=")"),MID(F700,2,LEN(F700)-2),F700)="-"),0,IFERROR(VALUE(IF(AND(LEFT(F700,1)="(",RIGHT(F700,1)=")"),MID(F700,2,LEN(F700)-2),F700))*IF(AND(LEFT(F700,1)="(",RIGHT(F700,1)=")"),-1,1)*IF(E700="Cr",Setup!$B$6,1),"ERR")))</f>
        <v/>
      </c>
      <c r="H700" s="6">
        <f>IF(C700="","",IF(ISNUMBER(G700),1,0))</f>
        <v/>
      </c>
      <c r="I700" s="6">
        <f>IF(C700="","",IF(SUMPRODUCT(($C$12:$C$1511=C700)*1)&gt;1,1,0))</f>
        <v/>
      </c>
      <c r="J700" s="6">
        <f>IF(C700="","",SUMPRODUCT((Mapping!$F$5:$F$504=Setup!$B$4&amp;"||"&amp;C700)*ROW(Mapping!$F$5:$F$504)))</f>
        <v/>
      </c>
      <c r="K700" s="6">
        <f>IF(C700="","",IF(J700=0,"UNMAPPED",LOWER(INDEX(Mapping!$D$1:$D$504,J700))))</f>
        <v/>
      </c>
      <c r="L700" s="6">
        <f>IF(K700="mapped",TRIM(INDEX(Mapping!$C$1:$C$504,J700)),"")</f>
        <v/>
      </c>
      <c r="M700" s="6">
        <f>IF(C700="","",IF(SUMPRODUCT(($C$12:C700=C700)*1)=1,1,0))</f>
        <v/>
      </c>
      <c r="N700" s="6">
        <f>IF(AND(K700="UNMAPPED",M700=1),ROW(),"")</f>
        <v/>
      </c>
      <c r="O700" s="6">
        <f>IF(AND(I700=1,M700=1),ROW(),"")</f>
        <v/>
      </c>
      <c r="P700" s="6">
        <f>IF(AND(K700="ignored",M700=1),ROW(),"")</f>
        <v/>
      </c>
    </row>
    <row r="701">
      <c r="A701" s="8" t="n"/>
      <c r="B701" s="8" t="n"/>
      <c r="C701" s="6">
        <f>TRIM(A701&amp;"")</f>
        <v/>
      </c>
      <c r="D701" s="6">
        <f>IF(C701="","",SUBSTITUTE(SUBSTITUTE(SUBSTITUTE(SUBSTITUTE(SUBSTITUTE(SUBSTITUTE(SUBSTITUTE(UPPER(TRIM(B701&amp;"")),"₹",""),"RS.",""),"RS",""),"INR",""),"$",""),",","")," ",""))</f>
        <v/>
      </c>
      <c r="E701" s="6">
        <f>IF(C701="","",IF(RIGHT(D701,2)="CR","Cr",IF(RIGHT(D701,2)="DR","Dr","")))</f>
        <v/>
      </c>
      <c r="F701" s="6">
        <f>IF(C701="","",IF(E701&lt;&gt;"",LEFT(D701,LEN(D701)-2),D701))</f>
        <v/>
      </c>
      <c r="G701" s="13">
        <f>IF(C701="","",IF(OR(IF(AND(LEFT(F701,1)="(",RIGHT(F701,1)=")"),MID(F701,2,LEN(F701)-2),F701)="",IF(AND(LEFT(F701,1)="(",RIGHT(F701,1)=")"),MID(F701,2,LEN(F701)-2),F701)="-"),0,IFERROR(VALUE(IF(AND(LEFT(F701,1)="(",RIGHT(F701,1)=")"),MID(F701,2,LEN(F701)-2),F701))*IF(AND(LEFT(F701,1)="(",RIGHT(F701,1)=")"),-1,1)*IF(E701="Cr",Setup!$B$6,1),"ERR")))</f>
        <v/>
      </c>
      <c r="H701" s="6">
        <f>IF(C701="","",IF(ISNUMBER(G701),1,0))</f>
        <v/>
      </c>
      <c r="I701" s="6">
        <f>IF(C701="","",IF(SUMPRODUCT(($C$12:$C$1511=C701)*1)&gt;1,1,0))</f>
        <v/>
      </c>
      <c r="J701" s="6">
        <f>IF(C701="","",SUMPRODUCT((Mapping!$F$5:$F$504=Setup!$B$4&amp;"||"&amp;C701)*ROW(Mapping!$F$5:$F$504)))</f>
        <v/>
      </c>
      <c r="K701" s="6">
        <f>IF(C701="","",IF(J701=0,"UNMAPPED",LOWER(INDEX(Mapping!$D$1:$D$504,J701))))</f>
        <v/>
      </c>
      <c r="L701" s="6">
        <f>IF(K701="mapped",TRIM(INDEX(Mapping!$C$1:$C$504,J701)),"")</f>
        <v/>
      </c>
      <c r="M701" s="6">
        <f>IF(C701="","",IF(SUMPRODUCT(($C$12:C701=C701)*1)=1,1,0))</f>
        <v/>
      </c>
      <c r="N701" s="6">
        <f>IF(AND(K701="UNMAPPED",M701=1),ROW(),"")</f>
        <v/>
      </c>
      <c r="O701" s="6">
        <f>IF(AND(I701=1,M701=1),ROW(),"")</f>
        <v/>
      </c>
      <c r="P701" s="6">
        <f>IF(AND(K701="ignored",M701=1),ROW(),"")</f>
        <v/>
      </c>
    </row>
    <row r="702">
      <c r="A702" s="8" t="n"/>
      <c r="B702" s="8" t="n"/>
      <c r="C702" s="6">
        <f>TRIM(A702&amp;"")</f>
        <v/>
      </c>
      <c r="D702" s="6">
        <f>IF(C702="","",SUBSTITUTE(SUBSTITUTE(SUBSTITUTE(SUBSTITUTE(SUBSTITUTE(SUBSTITUTE(SUBSTITUTE(UPPER(TRIM(B702&amp;"")),"₹",""),"RS.",""),"RS",""),"INR",""),"$",""),",","")," ",""))</f>
        <v/>
      </c>
      <c r="E702" s="6">
        <f>IF(C702="","",IF(RIGHT(D702,2)="CR","Cr",IF(RIGHT(D702,2)="DR","Dr","")))</f>
        <v/>
      </c>
      <c r="F702" s="6">
        <f>IF(C702="","",IF(E702&lt;&gt;"",LEFT(D702,LEN(D702)-2),D702))</f>
        <v/>
      </c>
      <c r="G702" s="13">
        <f>IF(C702="","",IF(OR(IF(AND(LEFT(F702,1)="(",RIGHT(F702,1)=")"),MID(F702,2,LEN(F702)-2),F702)="",IF(AND(LEFT(F702,1)="(",RIGHT(F702,1)=")"),MID(F702,2,LEN(F702)-2),F702)="-"),0,IFERROR(VALUE(IF(AND(LEFT(F702,1)="(",RIGHT(F702,1)=")"),MID(F702,2,LEN(F702)-2),F702))*IF(AND(LEFT(F702,1)="(",RIGHT(F702,1)=")"),-1,1)*IF(E702="Cr",Setup!$B$6,1),"ERR")))</f>
        <v/>
      </c>
      <c r="H702" s="6">
        <f>IF(C702="","",IF(ISNUMBER(G702),1,0))</f>
        <v/>
      </c>
      <c r="I702" s="6">
        <f>IF(C702="","",IF(SUMPRODUCT(($C$12:$C$1511=C702)*1)&gt;1,1,0))</f>
        <v/>
      </c>
      <c r="J702" s="6">
        <f>IF(C702="","",SUMPRODUCT((Mapping!$F$5:$F$504=Setup!$B$4&amp;"||"&amp;C702)*ROW(Mapping!$F$5:$F$504)))</f>
        <v/>
      </c>
      <c r="K702" s="6">
        <f>IF(C702="","",IF(J702=0,"UNMAPPED",LOWER(INDEX(Mapping!$D$1:$D$504,J702))))</f>
        <v/>
      </c>
      <c r="L702" s="6">
        <f>IF(K702="mapped",TRIM(INDEX(Mapping!$C$1:$C$504,J702)),"")</f>
        <v/>
      </c>
      <c r="M702" s="6">
        <f>IF(C702="","",IF(SUMPRODUCT(($C$12:C702=C702)*1)=1,1,0))</f>
        <v/>
      </c>
      <c r="N702" s="6">
        <f>IF(AND(K702="UNMAPPED",M702=1),ROW(),"")</f>
        <v/>
      </c>
      <c r="O702" s="6">
        <f>IF(AND(I702=1,M702=1),ROW(),"")</f>
        <v/>
      </c>
      <c r="P702" s="6">
        <f>IF(AND(K702="ignored",M702=1),ROW(),"")</f>
        <v/>
      </c>
    </row>
    <row r="703">
      <c r="A703" s="8" t="n"/>
      <c r="B703" s="8" t="n"/>
      <c r="C703" s="6">
        <f>TRIM(A703&amp;"")</f>
        <v/>
      </c>
      <c r="D703" s="6">
        <f>IF(C703="","",SUBSTITUTE(SUBSTITUTE(SUBSTITUTE(SUBSTITUTE(SUBSTITUTE(SUBSTITUTE(SUBSTITUTE(UPPER(TRIM(B703&amp;"")),"₹",""),"RS.",""),"RS",""),"INR",""),"$",""),",","")," ",""))</f>
        <v/>
      </c>
      <c r="E703" s="6">
        <f>IF(C703="","",IF(RIGHT(D703,2)="CR","Cr",IF(RIGHT(D703,2)="DR","Dr","")))</f>
        <v/>
      </c>
      <c r="F703" s="6">
        <f>IF(C703="","",IF(E703&lt;&gt;"",LEFT(D703,LEN(D703)-2),D703))</f>
        <v/>
      </c>
      <c r="G703" s="13">
        <f>IF(C703="","",IF(OR(IF(AND(LEFT(F703,1)="(",RIGHT(F703,1)=")"),MID(F703,2,LEN(F703)-2),F703)="",IF(AND(LEFT(F703,1)="(",RIGHT(F703,1)=")"),MID(F703,2,LEN(F703)-2),F703)="-"),0,IFERROR(VALUE(IF(AND(LEFT(F703,1)="(",RIGHT(F703,1)=")"),MID(F703,2,LEN(F703)-2),F703))*IF(AND(LEFT(F703,1)="(",RIGHT(F703,1)=")"),-1,1)*IF(E703="Cr",Setup!$B$6,1),"ERR")))</f>
        <v/>
      </c>
      <c r="H703" s="6">
        <f>IF(C703="","",IF(ISNUMBER(G703),1,0))</f>
        <v/>
      </c>
      <c r="I703" s="6">
        <f>IF(C703="","",IF(SUMPRODUCT(($C$12:$C$1511=C703)*1)&gt;1,1,0))</f>
        <v/>
      </c>
      <c r="J703" s="6">
        <f>IF(C703="","",SUMPRODUCT((Mapping!$F$5:$F$504=Setup!$B$4&amp;"||"&amp;C703)*ROW(Mapping!$F$5:$F$504)))</f>
        <v/>
      </c>
      <c r="K703" s="6">
        <f>IF(C703="","",IF(J703=0,"UNMAPPED",LOWER(INDEX(Mapping!$D$1:$D$504,J703))))</f>
        <v/>
      </c>
      <c r="L703" s="6">
        <f>IF(K703="mapped",TRIM(INDEX(Mapping!$C$1:$C$504,J703)),"")</f>
        <v/>
      </c>
      <c r="M703" s="6">
        <f>IF(C703="","",IF(SUMPRODUCT(($C$12:C703=C703)*1)=1,1,0))</f>
        <v/>
      </c>
      <c r="N703" s="6">
        <f>IF(AND(K703="UNMAPPED",M703=1),ROW(),"")</f>
        <v/>
      </c>
      <c r="O703" s="6">
        <f>IF(AND(I703=1,M703=1),ROW(),"")</f>
        <v/>
      </c>
      <c r="P703" s="6">
        <f>IF(AND(K703="ignored",M703=1),ROW(),"")</f>
        <v/>
      </c>
    </row>
    <row r="704">
      <c r="A704" s="8" t="n"/>
      <c r="B704" s="8" t="n"/>
      <c r="C704" s="6">
        <f>TRIM(A704&amp;"")</f>
        <v/>
      </c>
      <c r="D704" s="6">
        <f>IF(C704="","",SUBSTITUTE(SUBSTITUTE(SUBSTITUTE(SUBSTITUTE(SUBSTITUTE(SUBSTITUTE(SUBSTITUTE(UPPER(TRIM(B704&amp;"")),"₹",""),"RS.",""),"RS",""),"INR",""),"$",""),",","")," ",""))</f>
        <v/>
      </c>
      <c r="E704" s="6">
        <f>IF(C704="","",IF(RIGHT(D704,2)="CR","Cr",IF(RIGHT(D704,2)="DR","Dr","")))</f>
        <v/>
      </c>
      <c r="F704" s="6">
        <f>IF(C704="","",IF(E704&lt;&gt;"",LEFT(D704,LEN(D704)-2),D704))</f>
        <v/>
      </c>
      <c r="G704" s="13">
        <f>IF(C704="","",IF(OR(IF(AND(LEFT(F704,1)="(",RIGHT(F704,1)=")"),MID(F704,2,LEN(F704)-2),F704)="",IF(AND(LEFT(F704,1)="(",RIGHT(F704,1)=")"),MID(F704,2,LEN(F704)-2),F704)="-"),0,IFERROR(VALUE(IF(AND(LEFT(F704,1)="(",RIGHT(F704,1)=")"),MID(F704,2,LEN(F704)-2),F704))*IF(AND(LEFT(F704,1)="(",RIGHT(F704,1)=")"),-1,1)*IF(E704="Cr",Setup!$B$6,1),"ERR")))</f>
        <v/>
      </c>
      <c r="H704" s="6">
        <f>IF(C704="","",IF(ISNUMBER(G704),1,0))</f>
        <v/>
      </c>
      <c r="I704" s="6">
        <f>IF(C704="","",IF(SUMPRODUCT(($C$12:$C$1511=C704)*1)&gt;1,1,0))</f>
        <v/>
      </c>
      <c r="J704" s="6">
        <f>IF(C704="","",SUMPRODUCT((Mapping!$F$5:$F$504=Setup!$B$4&amp;"||"&amp;C704)*ROW(Mapping!$F$5:$F$504)))</f>
        <v/>
      </c>
      <c r="K704" s="6">
        <f>IF(C704="","",IF(J704=0,"UNMAPPED",LOWER(INDEX(Mapping!$D$1:$D$504,J704))))</f>
        <v/>
      </c>
      <c r="L704" s="6">
        <f>IF(K704="mapped",TRIM(INDEX(Mapping!$C$1:$C$504,J704)),"")</f>
        <v/>
      </c>
      <c r="M704" s="6">
        <f>IF(C704="","",IF(SUMPRODUCT(($C$12:C704=C704)*1)=1,1,0))</f>
        <v/>
      </c>
      <c r="N704" s="6">
        <f>IF(AND(K704="UNMAPPED",M704=1),ROW(),"")</f>
        <v/>
      </c>
      <c r="O704" s="6">
        <f>IF(AND(I704=1,M704=1),ROW(),"")</f>
        <v/>
      </c>
      <c r="P704" s="6">
        <f>IF(AND(K704="ignored",M704=1),ROW(),"")</f>
        <v/>
      </c>
    </row>
    <row r="705">
      <c r="A705" s="8" t="n"/>
      <c r="B705" s="8" t="n"/>
      <c r="C705" s="6">
        <f>TRIM(A705&amp;"")</f>
        <v/>
      </c>
      <c r="D705" s="6">
        <f>IF(C705="","",SUBSTITUTE(SUBSTITUTE(SUBSTITUTE(SUBSTITUTE(SUBSTITUTE(SUBSTITUTE(SUBSTITUTE(UPPER(TRIM(B705&amp;"")),"₹",""),"RS.",""),"RS",""),"INR",""),"$",""),",","")," ",""))</f>
        <v/>
      </c>
      <c r="E705" s="6">
        <f>IF(C705="","",IF(RIGHT(D705,2)="CR","Cr",IF(RIGHT(D705,2)="DR","Dr","")))</f>
        <v/>
      </c>
      <c r="F705" s="6">
        <f>IF(C705="","",IF(E705&lt;&gt;"",LEFT(D705,LEN(D705)-2),D705))</f>
        <v/>
      </c>
      <c r="G705" s="13">
        <f>IF(C705="","",IF(OR(IF(AND(LEFT(F705,1)="(",RIGHT(F705,1)=")"),MID(F705,2,LEN(F705)-2),F705)="",IF(AND(LEFT(F705,1)="(",RIGHT(F705,1)=")"),MID(F705,2,LEN(F705)-2),F705)="-"),0,IFERROR(VALUE(IF(AND(LEFT(F705,1)="(",RIGHT(F705,1)=")"),MID(F705,2,LEN(F705)-2),F705))*IF(AND(LEFT(F705,1)="(",RIGHT(F705,1)=")"),-1,1)*IF(E705="Cr",Setup!$B$6,1),"ERR")))</f>
        <v/>
      </c>
      <c r="H705" s="6">
        <f>IF(C705="","",IF(ISNUMBER(G705),1,0))</f>
        <v/>
      </c>
      <c r="I705" s="6">
        <f>IF(C705="","",IF(SUMPRODUCT(($C$12:$C$1511=C705)*1)&gt;1,1,0))</f>
        <v/>
      </c>
      <c r="J705" s="6">
        <f>IF(C705="","",SUMPRODUCT((Mapping!$F$5:$F$504=Setup!$B$4&amp;"||"&amp;C705)*ROW(Mapping!$F$5:$F$504)))</f>
        <v/>
      </c>
      <c r="K705" s="6">
        <f>IF(C705="","",IF(J705=0,"UNMAPPED",LOWER(INDEX(Mapping!$D$1:$D$504,J705))))</f>
        <v/>
      </c>
      <c r="L705" s="6">
        <f>IF(K705="mapped",TRIM(INDEX(Mapping!$C$1:$C$504,J705)),"")</f>
        <v/>
      </c>
      <c r="M705" s="6">
        <f>IF(C705="","",IF(SUMPRODUCT(($C$12:C705=C705)*1)=1,1,0))</f>
        <v/>
      </c>
      <c r="N705" s="6">
        <f>IF(AND(K705="UNMAPPED",M705=1),ROW(),"")</f>
        <v/>
      </c>
      <c r="O705" s="6">
        <f>IF(AND(I705=1,M705=1),ROW(),"")</f>
        <v/>
      </c>
      <c r="P705" s="6">
        <f>IF(AND(K705="ignored",M705=1),ROW(),"")</f>
        <v/>
      </c>
    </row>
    <row r="706">
      <c r="A706" s="8" t="n"/>
      <c r="B706" s="8" t="n"/>
      <c r="C706" s="6">
        <f>TRIM(A706&amp;"")</f>
        <v/>
      </c>
      <c r="D706" s="6">
        <f>IF(C706="","",SUBSTITUTE(SUBSTITUTE(SUBSTITUTE(SUBSTITUTE(SUBSTITUTE(SUBSTITUTE(SUBSTITUTE(UPPER(TRIM(B706&amp;"")),"₹",""),"RS.",""),"RS",""),"INR",""),"$",""),",","")," ",""))</f>
        <v/>
      </c>
      <c r="E706" s="6">
        <f>IF(C706="","",IF(RIGHT(D706,2)="CR","Cr",IF(RIGHT(D706,2)="DR","Dr","")))</f>
        <v/>
      </c>
      <c r="F706" s="6">
        <f>IF(C706="","",IF(E706&lt;&gt;"",LEFT(D706,LEN(D706)-2),D706))</f>
        <v/>
      </c>
      <c r="G706" s="13">
        <f>IF(C706="","",IF(OR(IF(AND(LEFT(F706,1)="(",RIGHT(F706,1)=")"),MID(F706,2,LEN(F706)-2),F706)="",IF(AND(LEFT(F706,1)="(",RIGHT(F706,1)=")"),MID(F706,2,LEN(F706)-2),F706)="-"),0,IFERROR(VALUE(IF(AND(LEFT(F706,1)="(",RIGHT(F706,1)=")"),MID(F706,2,LEN(F706)-2),F706))*IF(AND(LEFT(F706,1)="(",RIGHT(F706,1)=")"),-1,1)*IF(E706="Cr",Setup!$B$6,1),"ERR")))</f>
        <v/>
      </c>
      <c r="H706" s="6">
        <f>IF(C706="","",IF(ISNUMBER(G706),1,0))</f>
        <v/>
      </c>
      <c r="I706" s="6">
        <f>IF(C706="","",IF(SUMPRODUCT(($C$12:$C$1511=C706)*1)&gt;1,1,0))</f>
        <v/>
      </c>
      <c r="J706" s="6">
        <f>IF(C706="","",SUMPRODUCT((Mapping!$F$5:$F$504=Setup!$B$4&amp;"||"&amp;C706)*ROW(Mapping!$F$5:$F$504)))</f>
        <v/>
      </c>
      <c r="K706" s="6">
        <f>IF(C706="","",IF(J706=0,"UNMAPPED",LOWER(INDEX(Mapping!$D$1:$D$504,J706))))</f>
        <v/>
      </c>
      <c r="L706" s="6">
        <f>IF(K706="mapped",TRIM(INDEX(Mapping!$C$1:$C$504,J706)),"")</f>
        <v/>
      </c>
      <c r="M706" s="6">
        <f>IF(C706="","",IF(SUMPRODUCT(($C$12:C706=C706)*1)=1,1,0))</f>
        <v/>
      </c>
      <c r="N706" s="6">
        <f>IF(AND(K706="UNMAPPED",M706=1),ROW(),"")</f>
        <v/>
      </c>
      <c r="O706" s="6">
        <f>IF(AND(I706=1,M706=1),ROW(),"")</f>
        <v/>
      </c>
      <c r="P706" s="6">
        <f>IF(AND(K706="ignored",M706=1),ROW(),"")</f>
        <v/>
      </c>
    </row>
    <row r="707">
      <c r="A707" s="8" t="n"/>
      <c r="B707" s="8" t="n"/>
      <c r="C707" s="6">
        <f>TRIM(A707&amp;"")</f>
        <v/>
      </c>
      <c r="D707" s="6">
        <f>IF(C707="","",SUBSTITUTE(SUBSTITUTE(SUBSTITUTE(SUBSTITUTE(SUBSTITUTE(SUBSTITUTE(SUBSTITUTE(UPPER(TRIM(B707&amp;"")),"₹",""),"RS.",""),"RS",""),"INR",""),"$",""),",","")," ",""))</f>
        <v/>
      </c>
      <c r="E707" s="6">
        <f>IF(C707="","",IF(RIGHT(D707,2)="CR","Cr",IF(RIGHT(D707,2)="DR","Dr","")))</f>
        <v/>
      </c>
      <c r="F707" s="6">
        <f>IF(C707="","",IF(E707&lt;&gt;"",LEFT(D707,LEN(D707)-2),D707))</f>
        <v/>
      </c>
      <c r="G707" s="13">
        <f>IF(C707="","",IF(OR(IF(AND(LEFT(F707,1)="(",RIGHT(F707,1)=")"),MID(F707,2,LEN(F707)-2),F707)="",IF(AND(LEFT(F707,1)="(",RIGHT(F707,1)=")"),MID(F707,2,LEN(F707)-2),F707)="-"),0,IFERROR(VALUE(IF(AND(LEFT(F707,1)="(",RIGHT(F707,1)=")"),MID(F707,2,LEN(F707)-2),F707))*IF(AND(LEFT(F707,1)="(",RIGHT(F707,1)=")"),-1,1)*IF(E707="Cr",Setup!$B$6,1),"ERR")))</f>
        <v/>
      </c>
      <c r="H707" s="6">
        <f>IF(C707="","",IF(ISNUMBER(G707),1,0))</f>
        <v/>
      </c>
      <c r="I707" s="6">
        <f>IF(C707="","",IF(SUMPRODUCT(($C$12:$C$1511=C707)*1)&gt;1,1,0))</f>
        <v/>
      </c>
      <c r="J707" s="6">
        <f>IF(C707="","",SUMPRODUCT((Mapping!$F$5:$F$504=Setup!$B$4&amp;"||"&amp;C707)*ROW(Mapping!$F$5:$F$504)))</f>
        <v/>
      </c>
      <c r="K707" s="6">
        <f>IF(C707="","",IF(J707=0,"UNMAPPED",LOWER(INDEX(Mapping!$D$1:$D$504,J707))))</f>
        <v/>
      </c>
      <c r="L707" s="6">
        <f>IF(K707="mapped",TRIM(INDEX(Mapping!$C$1:$C$504,J707)),"")</f>
        <v/>
      </c>
      <c r="M707" s="6">
        <f>IF(C707="","",IF(SUMPRODUCT(($C$12:C707=C707)*1)=1,1,0))</f>
        <v/>
      </c>
      <c r="N707" s="6">
        <f>IF(AND(K707="UNMAPPED",M707=1),ROW(),"")</f>
        <v/>
      </c>
      <c r="O707" s="6">
        <f>IF(AND(I707=1,M707=1),ROW(),"")</f>
        <v/>
      </c>
      <c r="P707" s="6">
        <f>IF(AND(K707="ignored",M707=1),ROW(),"")</f>
        <v/>
      </c>
    </row>
    <row r="708">
      <c r="A708" s="8" t="n"/>
      <c r="B708" s="8" t="n"/>
      <c r="C708" s="6">
        <f>TRIM(A708&amp;"")</f>
        <v/>
      </c>
      <c r="D708" s="6">
        <f>IF(C708="","",SUBSTITUTE(SUBSTITUTE(SUBSTITUTE(SUBSTITUTE(SUBSTITUTE(SUBSTITUTE(SUBSTITUTE(UPPER(TRIM(B708&amp;"")),"₹",""),"RS.",""),"RS",""),"INR",""),"$",""),",","")," ",""))</f>
        <v/>
      </c>
      <c r="E708" s="6">
        <f>IF(C708="","",IF(RIGHT(D708,2)="CR","Cr",IF(RIGHT(D708,2)="DR","Dr","")))</f>
        <v/>
      </c>
      <c r="F708" s="6">
        <f>IF(C708="","",IF(E708&lt;&gt;"",LEFT(D708,LEN(D708)-2),D708))</f>
        <v/>
      </c>
      <c r="G708" s="13">
        <f>IF(C708="","",IF(OR(IF(AND(LEFT(F708,1)="(",RIGHT(F708,1)=")"),MID(F708,2,LEN(F708)-2),F708)="",IF(AND(LEFT(F708,1)="(",RIGHT(F708,1)=")"),MID(F708,2,LEN(F708)-2),F708)="-"),0,IFERROR(VALUE(IF(AND(LEFT(F708,1)="(",RIGHT(F708,1)=")"),MID(F708,2,LEN(F708)-2),F708))*IF(AND(LEFT(F708,1)="(",RIGHT(F708,1)=")"),-1,1)*IF(E708="Cr",Setup!$B$6,1),"ERR")))</f>
        <v/>
      </c>
      <c r="H708" s="6">
        <f>IF(C708="","",IF(ISNUMBER(G708),1,0))</f>
        <v/>
      </c>
      <c r="I708" s="6">
        <f>IF(C708="","",IF(SUMPRODUCT(($C$12:$C$1511=C708)*1)&gt;1,1,0))</f>
        <v/>
      </c>
      <c r="J708" s="6">
        <f>IF(C708="","",SUMPRODUCT((Mapping!$F$5:$F$504=Setup!$B$4&amp;"||"&amp;C708)*ROW(Mapping!$F$5:$F$504)))</f>
        <v/>
      </c>
      <c r="K708" s="6">
        <f>IF(C708="","",IF(J708=0,"UNMAPPED",LOWER(INDEX(Mapping!$D$1:$D$504,J708))))</f>
        <v/>
      </c>
      <c r="L708" s="6">
        <f>IF(K708="mapped",TRIM(INDEX(Mapping!$C$1:$C$504,J708)),"")</f>
        <v/>
      </c>
      <c r="M708" s="6">
        <f>IF(C708="","",IF(SUMPRODUCT(($C$12:C708=C708)*1)=1,1,0))</f>
        <v/>
      </c>
      <c r="N708" s="6">
        <f>IF(AND(K708="UNMAPPED",M708=1),ROW(),"")</f>
        <v/>
      </c>
      <c r="O708" s="6">
        <f>IF(AND(I708=1,M708=1),ROW(),"")</f>
        <v/>
      </c>
      <c r="P708" s="6">
        <f>IF(AND(K708="ignored",M708=1),ROW(),"")</f>
        <v/>
      </c>
    </row>
    <row r="709">
      <c r="A709" s="8" t="n"/>
      <c r="B709" s="8" t="n"/>
      <c r="C709" s="6">
        <f>TRIM(A709&amp;"")</f>
        <v/>
      </c>
      <c r="D709" s="6">
        <f>IF(C709="","",SUBSTITUTE(SUBSTITUTE(SUBSTITUTE(SUBSTITUTE(SUBSTITUTE(SUBSTITUTE(SUBSTITUTE(UPPER(TRIM(B709&amp;"")),"₹",""),"RS.",""),"RS",""),"INR",""),"$",""),",","")," ",""))</f>
        <v/>
      </c>
      <c r="E709" s="6">
        <f>IF(C709="","",IF(RIGHT(D709,2)="CR","Cr",IF(RIGHT(D709,2)="DR","Dr","")))</f>
        <v/>
      </c>
      <c r="F709" s="6">
        <f>IF(C709="","",IF(E709&lt;&gt;"",LEFT(D709,LEN(D709)-2),D709))</f>
        <v/>
      </c>
      <c r="G709" s="13">
        <f>IF(C709="","",IF(OR(IF(AND(LEFT(F709,1)="(",RIGHT(F709,1)=")"),MID(F709,2,LEN(F709)-2),F709)="",IF(AND(LEFT(F709,1)="(",RIGHT(F709,1)=")"),MID(F709,2,LEN(F709)-2),F709)="-"),0,IFERROR(VALUE(IF(AND(LEFT(F709,1)="(",RIGHT(F709,1)=")"),MID(F709,2,LEN(F709)-2),F709))*IF(AND(LEFT(F709,1)="(",RIGHT(F709,1)=")"),-1,1)*IF(E709="Cr",Setup!$B$6,1),"ERR")))</f>
        <v/>
      </c>
      <c r="H709" s="6">
        <f>IF(C709="","",IF(ISNUMBER(G709),1,0))</f>
        <v/>
      </c>
      <c r="I709" s="6">
        <f>IF(C709="","",IF(SUMPRODUCT(($C$12:$C$1511=C709)*1)&gt;1,1,0))</f>
        <v/>
      </c>
      <c r="J709" s="6">
        <f>IF(C709="","",SUMPRODUCT((Mapping!$F$5:$F$504=Setup!$B$4&amp;"||"&amp;C709)*ROW(Mapping!$F$5:$F$504)))</f>
        <v/>
      </c>
      <c r="K709" s="6">
        <f>IF(C709="","",IF(J709=0,"UNMAPPED",LOWER(INDEX(Mapping!$D$1:$D$504,J709))))</f>
        <v/>
      </c>
      <c r="L709" s="6">
        <f>IF(K709="mapped",TRIM(INDEX(Mapping!$C$1:$C$504,J709)),"")</f>
        <v/>
      </c>
      <c r="M709" s="6">
        <f>IF(C709="","",IF(SUMPRODUCT(($C$12:C709=C709)*1)=1,1,0))</f>
        <v/>
      </c>
      <c r="N709" s="6">
        <f>IF(AND(K709="UNMAPPED",M709=1),ROW(),"")</f>
        <v/>
      </c>
      <c r="O709" s="6">
        <f>IF(AND(I709=1,M709=1),ROW(),"")</f>
        <v/>
      </c>
      <c r="P709" s="6">
        <f>IF(AND(K709="ignored",M709=1),ROW(),"")</f>
        <v/>
      </c>
    </row>
    <row r="710">
      <c r="A710" s="8" t="n"/>
      <c r="B710" s="8" t="n"/>
      <c r="C710" s="6">
        <f>TRIM(A710&amp;"")</f>
        <v/>
      </c>
      <c r="D710" s="6">
        <f>IF(C710="","",SUBSTITUTE(SUBSTITUTE(SUBSTITUTE(SUBSTITUTE(SUBSTITUTE(SUBSTITUTE(SUBSTITUTE(UPPER(TRIM(B710&amp;"")),"₹",""),"RS.",""),"RS",""),"INR",""),"$",""),",","")," ",""))</f>
        <v/>
      </c>
      <c r="E710" s="6">
        <f>IF(C710="","",IF(RIGHT(D710,2)="CR","Cr",IF(RIGHT(D710,2)="DR","Dr","")))</f>
        <v/>
      </c>
      <c r="F710" s="6">
        <f>IF(C710="","",IF(E710&lt;&gt;"",LEFT(D710,LEN(D710)-2),D710))</f>
        <v/>
      </c>
      <c r="G710" s="13">
        <f>IF(C710="","",IF(OR(IF(AND(LEFT(F710,1)="(",RIGHT(F710,1)=")"),MID(F710,2,LEN(F710)-2),F710)="",IF(AND(LEFT(F710,1)="(",RIGHT(F710,1)=")"),MID(F710,2,LEN(F710)-2),F710)="-"),0,IFERROR(VALUE(IF(AND(LEFT(F710,1)="(",RIGHT(F710,1)=")"),MID(F710,2,LEN(F710)-2),F710))*IF(AND(LEFT(F710,1)="(",RIGHT(F710,1)=")"),-1,1)*IF(E710="Cr",Setup!$B$6,1),"ERR")))</f>
        <v/>
      </c>
      <c r="H710" s="6">
        <f>IF(C710="","",IF(ISNUMBER(G710),1,0))</f>
        <v/>
      </c>
      <c r="I710" s="6">
        <f>IF(C710="","",IF(SUMPRODUCT(($C$12:$C$1511=C710)*1)&gt;1,1,0))</f>
        <v/>
      </c>
      <c r="J710" s="6">
        <f>IF(C710="","",SUMPRODUCT((Mapping!$F$5:$F$504=Setup!$B$4&amp;"||"&amp;C710)*ROW(Mapping!$F$5:$F$504)))</f>
        <v/>
      </c>
      <c r="K710" s="6">
        <f>IF(C710="","",IF(J710=0,"UNMAPPED",LOWER(INDEX(Mapping!$D$1:$D$504,J710))))</f>
        <v/>
      </c>
      <c r="L710" s="6">
        <f>IF(K710="mapped",TRIM(INDEX(Mapping!$C$1:$C$504,J710)),"")</f>
        <v/>
      </c>
      <c r="M710" s="6">
        <f>IF(C710="","",IF(SUMPRODUCT(($C$12:C710=C710)*1)=1,1,0))</f>
        <v/>
      </c>
      <c r="N710" s="6">
        <f>IF(AND(K710="UNMAPPED",M710=1),ROW(),"")</f>
        <v/>
      </c>
      <c r="O710" s="6">
        <f>IF(AND(I710=1,M710=1),ROW(),"")</f>
        <v/>
      </c>
      <c r="P710" s="6">
        <f>IF(AND(K710="ignored",M710=1),ROW(),"")</f>
        <v/>
      </c>
    </row>
    <row r="711">
      <c r="A711" s="8" t="n"/>
      <c r="B711" s="8" t="n"/>
      <c r="C711" s="6">
        <f>TRIM(A711&amp;"")</f>
        <v/>
      </c>
      <c r="D711" s="6">
        <f>IF(C711="","",SUBSTITUTE(SUBSTITUTE(SUBSTITUTE(SUBSTITUTE(SUBSTITUTE(SUBSTITUTE(SUBSTITUTE(UPPER(TRIM(B711&amp;"")),"₹",""),"RS.",""),"RS",""),"INR",""),"$",""),",","")," ",""))</f>
        <v/>
      </c>
      <c r="E711" s="6">
        <f>IF(C711="","",IF(RIGHT(D711,2)="CR","Cr",IF(RIGHT(D711,2)="DR","Dr","")))</f>
        <v/>
      </c>
      <c r="F711" s="6">
        <f>IF(C711="","",IF(E711&lt;&gt;"",LEFT(D711,LEN(D711)-2),D711))</f>
        <v/>
      </c>
      <c r="G711" s="13">
        <f>IF(C711="","",IF(OR(IF(AND(LEFT(F711,1)="(",RIGHT(F711,1)=")"),MID(F711,2,LEN(F711)-2),F711)="",IF(AND(LEFT(F711,1)="(",RIGHT(F711,1)=")"),MID(F711,2,LEN(F711)-2),F711)="-"),0,IFERROR(VALUE(IF(AND(LEFT(F711,1)="(",RIGHT(F711,1)=")"),MID(F711,2,LEN(F711)-2),F711))*IF(AND(LEFT(F711,1)="(",RIGHT(F711,1)=")"),-1,1)*IF(E711="Cr",Setup!$B$6,1),"ERR")))</f>
        <v/>
      </c>
      <c r="H711" s="6">
        <f>IF(C711="","",IF(ISNUMBER(G711),1,0))</f>
        <v/>
      </c>
      <c r="I711" s="6">
        <f>IF(C711="","",IF(SUMPRODUCT(($C$12:$C$1511=C711)*1)&gt;1,1,0))</f>
        <v/>
      </c>
      <c r="J711" s="6">
        <f>IF(C711="","",SUMPRODUCT((Mapping!$F$5:$F$504=Setup!$B$4&amp;"||"&amp;C711)*ROW(Mapping!$F$5:$F$504)))</f>
        <v/>
      </c>
      <c r="K711" s="6">
        <f>IF(C711="","",IF(J711=0,"UNMAPPED",LOWER(INDEX(Mapping!$D$1:$D$504,J711))))</f>
        <v/>
      </c>
      <c r="L711" s="6">
        <f>IF(K711="mapped",TRIM(INDEX(Mapping!$C$1:$C$504,J711)),"")</f>
        <v/>
      </c>
      <c r="M711" s="6">
        <f>IF(C711="","",IF(SUMPRODUCT(($C$12:C711=C711)*1)=1,1,0))</f>
        <v/>
      </c>
      <c r="N711" s="6">
        <f>IF(AND(K711="UNMAPPED",M711=1),ROW(),"")</f>
        <v/>
      </c>
      <c r="O711" s="6">
        <f>IF(AND(I711=1,M711=1),ROW(),"")</f>
        <v/>
      </c>
      <c r="P711" s="6">
        <f>IF(AND(K711="ignored",M711=1),ROW(),"")</f>
        <v/>
      </c>
    </row>
    <row r="712">
      <c r="A712" s="8" t="n"/>
      <c r="B712" s="8" t="n"/>
      <c r="C712" s="6">
        <f>TRIM(A712&amp;"")</f>
        <v/>
      </c>
      <c r="D712" s="6">
        <f>IF(C712="","",SUBSTITUTE(SUBSTITUTE(SUBSTITUTE(SUBSTITUTE(SUBSTITUTE(SUBSTITUTE(SUBSTITUTE(UPPER(TRIM(B712&amp;"")),"₹",""),"RS.",""),"RS",""),"INR",""),"$",""),",","")," ",""))</f>
        <v/>
      </c>
      <c r="E712" s="6">
        <f>IF(C712="","",IF(RIGHT(D712,2)="CR","Cr",IF(RIGHT(D712,2)="DR","Dr","")))</f>
        <v/>
      </c>
      <c r="F712" s="6">
        <f>IF(C712="","",IF(E712&lt;&gt;"",LEFT(D712,LEN(D712)-2),D712))</f>
        <v/>
      </c>
      <c r="G712" s="13">
        <f>IF(C712="","",IF(OR(IF(AND(LEFT(F712,1)="(",RIGHT(F712,1)=")"),MID(F712,2,LEN(F712)-2),F712)="",IF(AND(LEFT(F712,1)="(",RIGHT(F712,1)=")"),MID(F712,2,LEN(F712)-2),F712)="-"),0,IFERROR(VALUE(IF(AND(LEFT(F712,1)="(",RIGHT(F712,1)=")"),MID(F712,2,LEN(F712)-2),F712))*IF(AND(LEFT(F712,1)="(",RIGHT(F712,1)=")"),-1,1)*IF(E712="Cr",Setup!$B$6,1),"ERR")))</f>
        <v/>
      </c>
      <c r="H712" s="6">
        <f>IF(C712="","",IF(ISNUMBER(G712),1,0))</f>
        <v/>
      </c>
      <c r="I712" s="6">
        <f>IF(C712="","",IF(SUMPRODUCT(($C$12:$C$1511=C712)*1)&gt;1,1,0))</f>
        <v/>
      </c>
      <c r="J712" s="6">
        <f>IF(C712="","",SUMPRODUCT((Mapping!$F$5:$F$504=Setup!$B$4&amp;"||"&amp;C712)*ROW(Mapping!$F$5:$F$504)))</f>
        <v/>
      </c>
      <c r="K712" s="6">
        <f>IF(C712="","",IF(J712=0,"UNMAPPED",LOWER(INDEX(Mapping!$D$1:$D$504,J712))))</f>
        <v/>
      </c>
      <c r="L712" s="6">
        <f>IF(K712="mapped",TRIM(INDEX(Mapping!$C$1:$C$504,J712)),"")</f>
        <v/>
      </c>
      <c r="M712" s="6">
        <f>IF(C712="","",IF(SUMPRODUCT(($C$12:C712=C712)*1)=1,1,0))</f>
        <v/>
      </c>
      <c r="N712" s="6">
        <f>IF(AND(K712="UNMAPPED",M712=1),ROW(),"")</f>
        <v/>
      </c>
      <c r="O712" s="6">
        <f>IF(AND(I712=1,M712=1),ROW(),"")</f>
        <v/>
      </c>
      <c r="P712" s="6">
        <f>IF(AND(K712="ignored",M712=1),ROW(),"")</f>
        <v/>
      </c>
    </row>
    <row r="713">
      <c r="A713" s="8" t="n"/>
      <c r="B713" s="8" t="n"/>
      <c r="C713" s="6">
        <f>TRIM(A713&amp;"")</f>
        <v/>
      </c>
      <c r="D713" s="6">
        <f>IF(C713="","",SUBSTITUTE(SUBSTITUTE(SUBSTITUTE(SUBSTITUTE(SUBSTITUTE(SUBSTITUTE(SUBSTITUTE(UPPER(TRIM(B713&amp;"")),"₹",""),"RS.",""),"RS",""),"INR",""),"$",""),",","")," ",""))</f>
        <v/>
      </c>
      <c r="E713" s="6">
        <f>IF(C713="","",IF(RIGHT(D713,2)="CR","Cr",IF(RIGHT(D713,2)="DR","Dr","")))</f>
        <v/>
      </c>
      <c r="F713" s="6">
        <f>IF(C713="","",IF(E713&lt;&gt;"",LEFT(D713,LEN(D713)-2),D713))</f>
        <v/>
      </c>
      <c r="G713" s="13">
        <f>IF(C713="","",IF(OR(IF(AND(LEFT(F713,1)="(",RIGHT(F713,1)=")"),MID(F713,2,LEN(F713)-2),F713)="",IF(AND(LEFT(F713,1)="(",RIGHT(F713,1)=")"),MID(F713,2,LEN(F713)-2),F713)="-"),0,IFERROR(VALUE(IF(AND(LEFT(F713,1)="(",RIGHT(F713,1)=")"),MID(F713,2,LEN(F713)-2),F713))*IF(AND(LEFT(F713,1)="(",RIGHT(F713,1)=")"),-1,1)*IF(E713="Cr",Setup!$B$6,1),"ERR")))</f>
        <v/>
      </c>
      <c r="H713" s="6">
        <f>IF(C713="","",IF(ISNUMBER(G713),1,0))</f>
        <v/>
      </c>
      <c r="I713" s="6">
        <f>IF(C713="","",IF(SUMPRODUCT(($C$12:$C$1511=C713)*1)&gt;1,1,0))</f>
        <v/>
      </c>
      <c r="J713" s="6">
        <f>IF(C713="","",SUMPRODUCT((Mapping!$F$5:$F$504=Setup!$B$4&amp;"||"&amp;C713)*ROW(Mapping!$F$5:$F$504)))</f>
        <v/>
      </c>
      <c r="K713" s="6">
        <f>IF(C713="","",IF(J713=0,"UNMAPPED",LOWER(INDEX(Mapping!$D$1:$D$504,J713))))</f>
        <v/>
      </c>
      <c r="L713" s="6">
        <f>IF(K713="mapped",TRIM(INDEX(Mapping!$C$1:$C$504,J713)),"")</f>
        <v/>
      </c>
      <c r="M713" s="6">
        <f>IF(C713="","",IF(SUMPRODUCT(($C$12:C713=C713)*1)=1,1,0))</f>
        <v/>
      </c>
      <c r="N713" s="6">
        <f>IF(AND(K713="UNMAPPED",M713=1),ROW(),"")</f>
        <v/>
      </c>
      <c r="O713" s="6">
        <f>IF(AND(I713=1,M713=1),ROW(),"")</f>
        <v/>
      </c>
      <c r="P713" s="6">
        <f>IF(AND(K713="ignored",M713=1),ROW(),"")</f>
        <v/>
      </c>
    </row>
    <row r="714">
      <c r="A714" s="8" t="n"/>
      <c r="B714" s="8" t="n"/>
      <c r="C714" s="6">
        <f>TRIM(A714&amp;"")</f>
        <v/>
      </c>
      <c r="D714" s="6">
        <f>IF(C714="","",SUBSTITUTE(SUBSTITUTE(SUBSTITUTE(SUBSTITUTE(SUBSTITUTE(SUBSTITUTE(SUBSTITUTE(UPPER(TRIM(B714&amp;"")),"₹",""),"RS.",""),"RS",""),"INR",""),"$",""),",","")," ",""))</f>
        <v/>
      </c>
      <c r="E714" s="6">
        <f>IF(C714="","",IF(RIGHT(D714,2)="CR","Cr",IF(RIGHT(D714,2)="DR","Dr","")))</f>
        <v/>
      </c>
      <c r="F714" s="6">
        <f>IF(C714="","",IF(E714&lt;&gt;"",LEFT(D714,LEN(D714)-2),D714))</f>
        <v/>
      </c>
      <c r="G714" s="13">
        <f>IF(C714="","",IF(OR(IF(AND(LEFT(F714,1)="(",RIGHT(F714,1)=")"),MID(F714,2,LEN(F714)-2),F714)="",IF(AND(LEFT(F714,1)="(",RIGHT(F714,1)=")"),MID(F714,2,LEN(F714)-2),F714)="-"),0,IFERROR(VALUE(IF(AND(LEFT(F714,1)="(",RIGHT(F714,1)=")"),MID(F714,2,LEN(F714)-2),F714))*IF(AND(LEFT(F714,1)="(",RIGHT(F714,1)=")"),-1,1)*IF(E714="Cr",Setup!$B$6,1),"ERR")))</f>
        <v/>
      </c>
      <c r="H714" s="6">
        <f>IF(C714="","",IF(ISNUMBER(G714),1,0))</f>
        <v/>
      </c>
      <c r="I714" s="6">
        <f>IF(C714="","",IF(SUMPRODUCT(($C$12:$C$1511=C714)*1)&gt;1,1,0))</f>
        <v/>
      </c>
      <c r="J714" s="6">
        <f>IF(C714="","",SUMPRODUCT((Mapping!$F$5:$F$504=Setup!$B$4&amp;"||"&amp;C714)*ROW(Mapping!$F$5:$F$504)))</f>
        <v/>
      </c>
      <c r="K714" s="6">
        <f>IF(C714="","",IF(J714=0,"UNMAPPED",LOWER(INDEX(Mapping!$D$1:$D$504,J714))))</f>
        <v/>
      </c>
      <c r="L714" s="6">
        <f>IF(K714="mapped",TRIM(INDEX(Mapping!$C$1:$C$504,J714)),"")</f>
        <v/>
      </c>
      <c r="M714" s="6">
        <f>IF(C714="","",IF(SUMPRODUCT(($C$12:C714=C714)*1)=1,1,0))</f>
        <v/>
      </c>
      <c r="N714" s="6">
        <f>IF(AND(K714="UNMAPPED",M714=1),ROW(),"")</f>
        <v/>
      </c>
      <c r="O714" s="6">
        <f>IF(AND(I714=1,M714=1),ROW(),"")</f>
        <v/>
      </c>
      <c r="P714" s="6">
        <f>IF(AND(K714="ignored",M714=1),ROW(),"")</f>
        <v/>
      </c>
    </row>
    <row r="715">
      <c r="A715" s="8" t="n"/>
      <c r="B715" s="8" t="n"/>
      <c r="C715" s="6">
        <f>TRIM(A715&amp;"")</f>
        <v/>
      </c>
      <c r="D715" s="6">
        <f>IF(C715="","",SUBSTITUTE(SUBSTITUTE(SUBSTITUTE(SUBSTITUTE(SUBSTITUTE(SUBSTITUTE(SUBSTITUTE(UPPER(TRIM(B715&amp;"")),"₹",""),"RS.",""),"RS",""),"INR",""),"$",""),",","")," ",""))</f>
        <v/>
      </c>
      <c r="E715" s="6">
        <f>IF(C715="","",IF(RIGHT(D715,2)="CR","Cr",IF(RIGHT(D715,2)="DR","Dr","")))</f>
        <v/>
      </c>
      <c r="F715" s="6">
        <f>IF(C715="","",IF(E715&lt;&gt;"",LEFT(D715,LEN(D715)-2),D715))</f>
        <v/>
      </c>
      <c r="G715" s="13">
        <f>IF(C715="","",IF(OR(IF(AND(LEFT(F715,1)="(",RIGHT(F715,1)=")"),MID(F715,2,LEN(F715)-2),F715)="",IF(AND(LEFT(F715,1)="(",RIGHT(F715,1)=")"),MID(F715,2,LEN(F715)-2),F715)="-"),0,IFERROR(VALUE(IF(AND(LEFT(F715,1)="(",RIGHT(F715,1)=")"),MID(F715,2,LEN(F715)-2),F715))*IF(AND(LEFT(F715,1)="(",RIGHT(F715,1)=")"),-1,1)*IF(E715="Cr",Setup!$B$6,1),"ERR")))</f>
        <v/>
      </c>
      <c r="H715" s="6">
        <f>IF(C715="","",IF(ISNUMBER(G715),1,0))</f>
        <v/>
      </c>
      <c r="I715" s="6">
        <f>IF(C715="","",IF(SUMPRODUCT(($C$12:$C$1511=C715)*1)&gt;1,1,0))</f>
        <v/>
      </c>
      <c r="J715" s="6">
        <f>IF(C715="","",SUMPRODUCT((Mapping!$F$5:$F$504=Setup!$B$4&amp;"||"&amp;C715)*ROW(Mapping!$F$5:$F$504)))</f>
        <v/>
      </c>
      <c r="K715" s="6">
        <f>IF(C715="","",IF(J715=0,"UNMAPPED",LOWER(INDEX(Mapping!$D$1:$D$504,J715))))</f>
        <v/>
      </c>
      <c r="L715" s="6">
        <f>IF(K715="mapped",TRIM(INDEX(Mapping!$C$1:$C$504,J715)),"")</f>
        <v/>
      </c>
      <c r="M715" s="6">
        <f>IF(C715="","",IF(SUMPRODUCT(($C$12:C715=C715)*1)=1,1,0))</f>
        <v/>
      </c>
      <c r="N715" s="6">
        <f>IF(AND(K715="UNMAPPED",M715=1),ROW(),"")</f>
        <v/>
      </c>
      <c r="O715" s="6">
        <f>IF(AND(I715=1,M715=1),ROW(),"")</f>
        <v/>
      </c>
      <c r="P715" s="6">
        <f>IF(AND(K715="ignored",M715=1),ROW(),"")</f>
        <v/>
      </c>
    </row>
    <row r="716">
      <c r="A716" s="8" t="n"/>
      <c r="B716" s="8" t="n"/>
      <c r="C716" s="6">
        <f>TRIM(A716&amp;"")</f>
        <v/>
      </c>
      <c r="D716" s="6">
        <f>IF(C716="","",SUBSTITUTE(SUBSTITUTE(SUBSTITUTE(SUBSTITUTE(SUBSTITUTE(SUBSTITUTE(SUBSTITUTE(UPPER(TRIM(B716&amp;"")),"₹",""),"RS.",""),"RS",""),"INR",""),"$",""),",","")," ",""))</f>
        <v/>
      </c>
      <c r="E716" s="6">
        <f>IF(C716="","",IF(RIGHT(D716,2)="CR","Cr",IF(RIGHT(D716,2)="DR","Dr","")))</f>
        <v/>
      </c>
      <c r="F716" s="6">
        <f>IF(C716="","",IF(E716&lt;&gt;"",LEFT(D716,LEN(D716)-2),D716))</f>
        <v/>
      </c>
      <c r="G716" s="13">
        <f>IF(C716="","",IF(OR(IF(AND(LEFT(F716,1)="(",RIGHT(F716,1)=")"),MID(F716,2,LEN(F716)-2),F716)="",IF(AND(LEFT(F716,1)="(",RIGHT(F716,1)=")"),MID(F716,2,LEN(F716)-2),F716)="-"),0,IFERROR(VALUE(IF(AND(LEFT(F716,1)="(",RIGHT(F716,1)=")"),MID(F716,2,LEN(F716)-2),F716))*IF(AND(LEFT(F716,1)="(",RIGHT(F716,1)=")"),-1,1)*IF(E716="Cr",Setup!$B$6,1),"ERR")))</f>
        <v/>
      </c>
      <c r="H716" s="6">
        <f>IF(C716="","",IF(ISNUMBER(G716),1,0))</f>
        <v/>
      </c>
      <c r="I716" s="6">
        <f>IF(C716="","",IF(SUMPRODUCT(($C$12:$C$1511=C716)*1)&gt;1,1,0))</f>
        <v/>
      </c>
      <c r="J716" s="6">
        <f>IF(C716="","",SUMPRODUCT((Mapping!$F$5:$F$504=Setup!$B$4&amp;"||"&amp;C716)*ROW(Mapping!$F$5:$F$504)))</f>
        <v/>
      </c>
      <c r="K716" s="6">
        <f>IF(C716="","",IF(J716=0,"UNMAPPED",LOWER(INDEX(Mapping!$D$1:$D$504,J716))))</f>
        <v/>
      </c>
      <c r="L716" s="6">
        <f>IF(K716="mapped",TRIM(INDEX(Mapping!$C$1:$C$504,J716)),"")</f>
        <v/>
      </c>
      <c r="M716" s="6">
        <f>IF(C716="","",IF(SUMPRODUCT(($C$12:C716=C716)*1)=1,1,0))</f>
        <v/>
      </c>
      <c r="N716" s="6">
        <f>IF(AND(K716="UNMAPPED",M716=1),ROW(),"")</f>
        <v/>
      </c>
      <c r="O716" s="6">
        <f>IF(AND(I716=1,M716=1),ROW(),"")</f>
        <v/>
      </c>
      <c r="P716" s="6">
        <f>IF(AND(K716="ignored",M716=1),ROW(),"")</f>
        <v/>
      </c>
    </row>
    <row r="717">
      <c r="A717" s="8" t="n"/>
      <c r="B717" s="8" t="n"/>
      <c r="C717" s="6">
        <f>TRIM(A717&amp;"")</f>
        <v/>
      </c>
      <c r="D717" s="6">
        <f>IF(C717="","",SUBSTITUTE(SUBSTITUTE(SUBSTITUTE(SUBSTITUTE(SUBSTITUTE(SUBSTITUTE(SUBSTITUTE(UPPER(TRIM(B717&amp;"")),"₹",""),"RS.",""),"RS",""),"INR",""),"$",""),",","")," ",""))</f>
        <v/>
      </c>
      <c r="E717" s="6">
        <f>IF(C717="","",IF(RIGHT(D717,2)="CR","Cr",IF(RIGHT(D717,2)="DR","Dr","")))</f>
        <v/>
      </c>
      <c r="F717" s="6">
        <f>IF(C717="","",IF(E717&lt;&gt;"",LEFT(D717,LEN(D717)-2),D717))</f>
        <v/>
      </c>
      <c r="G717" s="13">
        <f>IF(C717="","",IF(OR(IF(AND(LEFT(F717,1)="(",RIGHT(F717,1)=")"),MID(F717,2,LEN(F717)-2),F717)="",IF(AND(LEFT(F717,1)="(",RIGHT(F717,1)=")"),MID(F717,2,LEN(F717)-2),F717)="-"),0,IFERROR(VALUE(IF(AND(LEFT(F717,1)="(",RIGHT(F717,1)=")"),MID(F717,2,LEN(F717)-2),F717))*IF(AND(LEFT(F717,1)="(",RIGHT(F717,1)=")"),-1,1)*IF(E717="Cr",Setup!$B$6,1),"ERR")))</f>
        <v/>
      </c>
      <c r="H717" s="6">
        <f>IF(C717="","",IF(ISNUMBER(G717),1,0))</f>
        <v/>
      </c>
      <c r="I717" s="6">
        <f>IF(C717="","",IF(SUMPRODUCT(($C$12:$C$1511=C717)*1)&gt;1,1,0))</f>
        <v/>
      </c>
      <c r="J717" s="6">
        <f>IF(C717="","",SUMPRODUCT((Mapping!$F$5:$F$504=Setup!$B$4&amp;"||"&amp;C717)*ROW(Mapping!$F$5:$F$504)))</f>
        <v/>
      </c>
      <c r="K717" s="6">
        <f>IF(C717="","",IF(J717=0,"UNMAPPED",LOWER(INDEX(Mapping!$D$1:$D$504,J717))))</f>
        <v/>
      </c>
      <c r="L717" s="6">
        <f>IF(K717="mapped",TRIM(INDEX(Mapping!$C$1:$C$504,J717)),"")</f>
        <v/>
      </c>
      <c r="M717" s="6">
        <f>IF(C717="","",IF(SUMPRODUCT(($C$12:C717=C717)*1)=1,1,0))</f>
        <v/>
      </c>
      <c r="N717" s="6">
        <f>IF(AND(K717="UNMAPPED",M717=1),ROW(),"")</f>
        <v/>
      </c>
      <c r="O717" s="6">
        <f>IF(AND(I717=1,M717=1),ROW(),"")</f>
        <v/>
      </c>
      <c r="P717" s="6">
        <f>IF(AND(K717="ignored",M717=1),ROW(),"")</f>
        <v/>
      </c>
    </row>
    <row r="718">
      <c r="A718" s="8" t="n"/>
      <c r="B718" s="8" t="n"/>
      <c r="C718" s="6">
        <f>TRIM(A718&amp;"")</f>
        <v/>
      </c>
      <c r="D718" s="6">
        <f>IF(C718="","",SUBSTITUTE(SUBSTITUTE(SUBSTITUTE(SUBSTITUTE(SUBSTITUTE(SUBSTITUTE(SUBSTITUTE(UPPER(TRIM(B718&amp;"")),"₹",""),"RS.",""),"RS",""),"INR",""),"$",""),",","")," ",""))</f>
        <v/>
      </c>
      <c r="E718" s="6">
        <f>IF(C718="","",IF(RIGHT(D718,2)="CR","Cr",IF(RIGHT(D718,2)="DR","Dr","")))</f>
        <v/>
      </c>
      <c r="F718" s="6">
        <f>IF(C718="","",IF(E718&lt;&gt;"",LEFT(D718,LEN(D718)-2),D718))</f>
        <v/>
      </c>
      <c r="G718" s="13">
        <f>IF(C718="","",IF(OR(IF(AND(LEFT(F718,1)="(",RIGHT(F718,1)=")"),MID(F718,2,LEN(F718)-2),F718)="",IF(AND(LEFT(F718,1)="(",RIGHT(F718,1)=")"),MID(F718,2,LEN(F718)-2),F718)="-"),0,IFERROR(VALUE(IF(AND(LEFT(F718,1)="(",RIGHT(F718,1)=")"),MID(F718,2,LEN(F718)-2),F718))*IF(AND(LEFT(F718,1)="(",RIGHT(F718,1)=")"),-1,1)*IF(E718="Cr",Setup!$B$6,1),"ERR")))</f>
        <v/>
      </c>
      <c r="H718" s="6">
        <f>IF(C718="","",IF(ISNUMBER(G718),1,0))</f>
        <v/>
      </c>
      <c r="I718" s="6">
        <f>IF(C718="","",IF(SUMPRODUCT(($C$12:$C$1511=C718)*1)&gt;1,1,0))</f>
        <v/>
      </c>
      <c r="J718" s="6">
        <f>IF(C718="","",SUMPRODUCT((Mapping!$F$5:$F$504=Setup!$B$4&amp;"||"&amp;C718)*ROW(Mapping!$F$5:$F$504)))</f>
        <v/>
      </c>
      <c r="K718" s="6">
        <f>IF(C718="","",IF(J718=0,"UNMAPPED",LOWER(INDEX(Mapping!$D$1:$D$504,J718))))</f>
        <v/>
      </c>
      <c r="L718" s="6">
        <f>IF(K718="mapped",TRIM(INDEX(Mapping!$C$1:$C$504,J718)),"")</f>
        <v/>
      </c>
      <c r="M718" s="6">
        <f>IF(C718="","",IF(SUMPRODUCT(($C$12:C718=C718)*1)=1,1,0))</f>
        <v/>
      </c>
      <c r="N718" s="6">
        <f>IF(AND(K718="UNMAPPED",M718=1),ROW(),"")</f>
        <v/>
      </c>
      <c r="O718" s="6">
        <f>IF(AND(I718=1,M718=1),ROW(),"")</f>
        <v/>
      </c>
      <c r="P718" s="6">
        <f>IF(AND(K718="ignored",M718=1),ROW(),"")</f>
        <v/>
      </c>
    </row>
    <row r="719">
      <c r="A719" s="8" t="n"/>
      <c r="B719" s="8" t="n"/>
      <c r="C719" s="6">
        <f>TRIM(A719&amp;"")</f>
        <v/>
      </c>
      <c r="D719" s="6">
        <f>IF(C719="","",SUBSTITUTE(SUBSTITUTE(SUBSTITUTE(SUBSTITUTE(SUBSTITUTE(SUBSTITUTE(SUBSTITUTE(UPPER(TRIM(B719&amp;"")),"₹",""),"RS.",""),"RS",""),"INR",""),"$",""),",","")," ",""))</f>
        <v/>
      </c>
      <c r="E719" s="6">
        <f>IF(C719="","",IF(RIGHT(D719,2)="CR","Cr",IF(RIGHT(D719,2)="DR","Dr","")))</f>
        <v/>
      </c>
      <c r="F719" s="6">
        <f>IF(C719="","",IF(E719&lt;&gt;"",LEFT(D719,LEN(D719)-2),D719))</f>
        <v/>
      </c>
      <c r="G719" s="13">
        <f>IF(C719="","",IF(OR(IF(AND(LEFT(F719,1)="(",RIGHT(F719,1)=")"),MID(F719,2,LEN(F719)-2),F719)="",IF(AND(LEFT(F719,1)="(",RIGHT(F719,1)=")"),MID(F719,2,LEN(F719)-2),F719)="-"),0,IFERROR(VALUE(IF(AND(LEFT(F719,1)="(",RIGHT(F719,1)=")"),MID(F719,2,LEN(F719)-2),F719))*IF(AND(LEFT(F719,1)="(",RIGHT(F719,1)=")"),-1,1)*IF(E719="Cr",Setup!$B$6,1),"ERR")))</f>
        <v/>
      </c>
      <c r="H719" s="6">
        <f>IF(C719="","",IF(ISNUMBER(G719),1,0))</f>
        <v/>
      </c>
      <c r="I719" s="6">
        <f>IF(C719="","",IF(SUMPRODUCT(($C$12:$C$1511=C719)*1)&gt;1,1,0))</f>
        <v/>
      </c>
      <c r="J719" s="6">
        <f>IF(C719="","",SUMPRODUCT((Mapping!$F$5:$F$504=Setup!$B$4&amp;"||"&amp;C719)*ROW(Mapping!$F$5:$F$504)))</f>
        <v/>
      </c>
      <c r="K719" s="6">
        <f>IF(C719="","",IF(J719=0,"UNMAPPED",LOWER(INDEX(Mapping!$D$1:$D$504,J719))))</f>
        <v/>
      </c>
      <c r="L719" s="6">
        <f>IF(K719="mapped",TRIM(INDEX(Mapping!$C$1:$C$504,J719)),"")</f>
        <v/>
      </c>
      <c r="M719" s="6">
        <f>IF(C719="","",IF(SUMPRODUCT(($C$12:C719=C719)*1)=1,1,0))</f>
        <v/>
      </c>
      <c r="N719" s="6">
        <f>IF(AND(K719="UNMAPPED",M719=1),ROW(),"")</f>
        <v/>
      </c>
      <c r="O719" s="6">
        <f>IF(AND(I719=1,M719=1),ROW(),"")</f>
        <v/>
      </c>
      <c r="P719" s="6">
        <f>IF(AND(K719="ignored",M719=1),ROW(),"")</f>
        <v/>
      </c>
    </row>
    <row r="720">
      <c r="A720" s="8" t="n"/>
      <c r="B720" s="8" t="n"/>
      <c r="C720" s="6">
        <f>TRIM(A720&amp;"")</f>
        <v/>
      </c>
      <c r="D720" s="6">
        <f>IF(C720="","",SUBSTITUTE(SUBSTITUTE(SUBSTITUTE(SUBSTITUTE(SUBSTITUTE(SUBSTITUTE(SUBSTITUTE(UPPER(TRIM(B720&amp;"")),"₹",""),"RS.",""),"RS",""),"INR",""),"$",""),",","")," ",""))</f>
        <v/>
      </c>
      <c r="E720" s="6">
        <f>IF(C720="","",IF(RIGHT(D720,2)="CR","Cr",IF(RIGHT(D720,2)="DR","Dr","")))</f>
        <v/>
      </c>
      <c r="F720" s="6">
        <f>IF(C720="","",IF(E720&lt;&gt;"",LEFT(D720,LEN(D720)-2),D720))</f>
        <v/>
      </c>
      <c r="G720" s="13">
        <f>IF(C720="","",IF(OR(IF(AND(LEFT(F720,1)="(",RIGHT(F720,1)=")"),MID(F720,2,LEN(F720)-2),F720)="",IF(AND(LEFT(F720,1)="(",RIGHT(F720,1)=")"),MID(F720,2,LEN(F720)-2),F720)="-"),0,IFERROR(VALUE(IF(AND(LEFT(F720,1)="(",RIGHT(F720,1)=")"),MID(F720,2,LEN(F720)-2),F720))*IF(AND(LEFT(F720,1)="(",RIGHT(F720,1)=")"),-1,1)*IF(E720="Cr",Setup!$B$6,1),"ERR")))</f>
        <v/>
      </c>
      <c r="H720" s="6">
        <f>IF(C720="","",IF(ISNUMBER(G720),1,0))</f>
        <v/>
      </c>
      <c r="I720" s="6">
        <f>IF(C720="","",IF(SUMPRODUCT(($C$12:$C$1511=C720)*1)&gt;1,1,0))</f>
        <v/>
      </c>
      <c r="J720" s="6">
        <f>IF(C720="","",SUMPRODUCT((Mapping!$F$5:$F$504=Setup!$B$4&amp;"||"&amp;C720)*ROW(Mapping!$F$5:$F$504)))</f>
        <v/>
      </c>
      <c r="K720" s="6">
        <f>IF(C720="","",IF(J720=0,"UNMAPPED",LOWER(INDEX(Mapping!$D$1:$D$504,J720))))</f>
        <v/>
      </c>
      <c r="L720" s="6">
        <f>IF(K720="mapped",TRIM(INDEX(Mapping!$C$1:$C$504,J720)),"")</f>
        <v/>
      </c>
      <c r="M720" s="6">
        <f>IF(C720="","",IF(SUMPRODUCT(($C$12:C720=C720)*1)=1,1,0))</f>
        <v/>
      </c>
      <c r="N720" s="6">
        <f>IF(AND(K720="UNMAPPED",M720=1),ROW(),"")</f>
        <v/>
      </c>
      <c r="O720" s="6">
        <f>IF(AND(I720=1,M720=1),ROW(),"")</f>
        <v/>
      </c>
      <c r="P720" s="6">
        <f>IF(AND(K720="ignored",M720=1),ROW(),"")</f>
        <v/>
      </c>
    </row>
    <row r="721">
      <c r="A721" s="8" t="n"/>
      <c r="B721" s="8" t="n"/>
      <c r="C721" s="6">
        <f>TRIM(A721&amp;"")</f>
        <v/>
      </c>
      <c r="D721" s="6">
        <f>IF(C721="","",SUBSTITUTE(SUBSTITUTE(SUBSTITUTE(SUBSTITUTE(SUBSTITUTE(SUBSTITUTE(SUBSTITUTE(UPPER(TRIM(B721&amp;"")),"₹",""),"RS.",""),"RS",""),"INR",""),"$",""),",","")," ",""))</f>
        <v/>
      </c>
      <c r="E721" s="6">
        <f>IF(C721="","",IF(RIGHT(D721,2)="CR","Cr",IF(RIGHT(D721,2)="DR","Dr","")))</f>
        <v/>
      </c>
      <c r="F721" s="6">
        <f>IF(C721="","",IF(E721&lt;&gt;"",LEFT(D721,LEN(D721)-2),D721))</f>
        <v/>
      </c>
      <c r="G721" s="13">
        <f>IF(C721="","",IF(OR(IF(AND(LEFT(F721,1)="(",RIGHT(F721,1)=")"),MID(F721,2,LEN(F721)-2),F721)="",IF(AND(LEFT(F721,1)="(",RIGHT(F721,1)=")"),MID(F721,2,LEN(F721)-2),F721)="-"),0,IFERROR(VALUE(IF(AND(LEFT(F721,1)="(",RIGHT(F721,1)=")"),MID(F721,2,LEN(F721)-2),F721))*IF(AND(LEFT(F721,1)="(",RIGHT(F721,1)=")"),-1,1)*IF(E721="Cr",Setup!$B$6,1),"ERR")))</f>
        <v/>
      </c>
      <c r="H721" s="6">
        <f>IF(C721="","",IF(ISNUMBER(G721),1,0))</f>
        <v/>
      </c>
      <c r="I721" s="6">
        <f>IF(C721="","",IF(SUMPRODUCT(($C$12:$C$1511=C721)*1)&gt;1,1,0))</f>
        <v/>
      </c>
      <c r="J721" s="6">
        <f>IF(C721="","",SUMPRODUCT((Mapping!$F$5:$F$504=Setup!$B$4&amp;"||"&amp;C721)*ROW(Mapping!$F$5:$F$504)))</f>
        <v/>
      </c>
      <c r="K721" s="6">
        <f>IF(C721="","",IF(J721=0,"UNMAPPED",LOWER(INDEX(Mapping!$D$1:$D$504,J721))))</f>
        <v/>
      </c>
      <c r="L721" s="6">
        <f>IF(K721="mapped",TRIM(INDEX(Mapping!$C$1:$C$504,J721)),"")</f>
        <v/>
      </c>
      <c r="M721" s="6">
        <f>IF(C721="","",IF(SUMPRODUCT(($C$12:C721=C721)*1)=1,1,0))</f>
        <v/>
      </c>
      <c r="N721" s="6">
        <f>IF(AND(K721="UNMAPPED",M721=1),ROW(),"")</f>
        <v/>
      </c>
      <c r="O721" s="6">
        <f>IF(AND(I721=1,M721=1),ROW(),"")</f>
        <v/>
      </c>
      <c r="P721" s="6">
        <f>IF(AND(K721="ignored",M721=1),ROW(),"")</f>
        <v/>
      </c>
    </row>
    <row r="722">
      <c r="A722" s="8" t="n"/>
      <c r="B722" s="8" t="n"/>
      <c r="C722" s="6">
        <f>TRIM(A722&amp;"")</f>
        <v/>
      </c>
      <c r="D722" s="6">
        <f>IF(C722="","",SUBSTITUTE(SUBSTITUTE(SUBSTITUTE(SUBSTITUTE(SUBSTITUTE(SUBSTITUTE(SUBSTITUTE(UPPER(TRIM(B722&amp;"")),"₹",""),"RS.",""),"RS",""),"INR",""),"$",""),",","")," ",""))</f>
        <v/>
      </c>
      <c r="E722" s="6">
        <f>IF(C722="","",IF(RIGHT(D722,2)="CR","Cr",IF(RIGHT(D722,2)="DR","Dr","")))</f>
        <v/>
      </c>
      <c r="F722" s="6">
        <f>IF(C722="","",IF(E722&lt;&gt;"",LEFT(D722,LEN(D722)-2),D722))</f>
        <v/>
      </c>
      <c r="G722" s="13">
        <f>IF(C722="","",IF(OR(IF(AND(LEFT(F722,1)="(",RIGHT(F722,1)=")"),MID(F722,2,LEN(F722)-2),F722)="",IF(AND(LEFT(F722,1)="(",RIGHT(F722,1)=")"),MID(F722,2,LEN(F722)-2),F722)="-"),0,IFERROR(VALUE(IF(AND(LEFT(F722,1)="(",RIGHT(F722,1)=")"),MID(F722,2,LEN(F722)-2),F722))*IF(AND(LEFT(F722,1)="(",RIGHT(F722,1)=")"),-1,1)*IF(E722="Cr",Setup!$B$6,1),"ERR")))</f>
        <v/>
      </c>
      <c r="H722" s="6">
        <f>IF(C722="","",IF(ISNUMBER(G722),1,0))</f>
        <v/>
      </c>
      <c r="I722" s="6">
        <f>IF(C722="","",IF(SUMPRODUCT(($C$12:$C$1511=C722)*1)&gt;1,1,0))</f>
        <v/>
      </c>
      <c r="J722" s="6">
        <f>IF(C722="","",SUMPRODUCT((Mapping!$F$5:$F$504=Setup!$B$4&amp;"||"&amp;C722)*ROW(Mapping!$F$5:$F$504)))</f>
        <v/>
      </c>
      <c r="K722" s="6">
        <f>IF(C722="","",IF(J722=0,"UNMAPPED",LOWER(INDEX(Mapping!$D$1:$D$504,J722))))</f>
        <v/>
      </c>
      <c r="L722" s="6">
        <f>IF(K722="mapped",TRIM(INDEX(Mapping!$C$1:$C$504,J722)),"")</f>
        <v/>
      </c>
      <c r="M722" s="6">
        <f>IF(C722="","",IF(SUMPRODUCT(($C$12:C722=C722)*1)=1,1,0))</f>
        <v/>
      </c>
      <c r="N722" s="6">
        <f>IF(AND(K722="UNMAPPED",M722=1),ROW(),"")</f>
        <v/>
      </c>
      <c r="O722" s="6">
        <f>IF(AND(I722=1,M722=1),ROW(),"")</f>
        <v/>
      </c>
      <c r="P722" s="6">
        <f>IF(AND(K722="ignored",M722=1),ROW(),"")</f>
        <v/>
      </c>
    </row>
    <row r="723">
      <c r="A723" s="8" t="n"/>
      <c r="B723" s="8" t="n"/>
      <c r="C723" s="6">
        <f>TRIM(A723&amp;"")</f>
        <v/>
      </c>
      <c r="D723" s="6">
        <f>IF(C723="","",SUBSTITUTE(SUBSTITUTE(SUBSTITUTE(SUBSTITUTE(SUBSTITUTE(SUBSTITUTE(SUBSTITUTE(UPPER(TRIM(B723&amp;"")),"₹",""),"RS.",""),"RS",""),"INR",""),"$",""),",","")," ",""))</f>
        <v/>
      </c>
      <c r="E723" s="6">
        <f>IF(C723="","",IF(RIGHT(D723,2)="CR","Cr",IF(RIGHT(D723,2)="DR","Dr","")))</f>
        <v/>
      </c>
      <c r="F723" s="6">
        <f>IF(C723="","",IF(E723&lt;&gt;"",LEFT(D723,LEN(D723)-2),D723))</f>
        <v/>
      </c>
      <c r="G723" s="13">
        <f>IF(C723="","",IF(OR(IF(AND(LEFT(F723,1)="(",RIGHT(F723,1)=")"),MID(F723,2,LEN(F723)-2),F723)="",IF(AND(LEFT(F723,1)="(",RIGHT(F723,1)=")"),MID(F723,2,LEN(F723)-2),F723)="-"),0,IFERROR(VALUE(IF(AND(LEFT(F723,1)="(",RIGHT(F723,1)=")"),MID(F723,2,LEN(F723)-2),F723))*IF(AND(LEFT(F723,1)="(",RIGHT(F723,1)=")"),-1,1)*IF(E723="Cr",Setup!$B$6,1),"ERR")))</f>
        <v/>
      </c>
      <c r="H723" s="6">
        <f>IF(C723="","",IF(ISNUMBER(G723),1,0))</f>
        <v/>
      </c>
      <c r="I723" s="6">
        <f>IF(C723="","",IF(SUMPRODUCT(($C$12:$C$1511=C723)*1)&gt;1,1,0))</f>
        <v/>
      </c>
      <c r="J723" s="6">
        <f>IF(C723="","",SUMPRODUCT((Mapping!$F$5:$F$504=Setup!$B$4&amp;"||"&amp;C723)*ROW(Mapping!$F$5:$F$504)))</f>
        <v/>
      </c>
      <c r="K723" s="6">
        <f>IF(C723="","",IF(J723=0,"UNMAPPED",LOWER(INDEX(Mapping!$D$1:$D$504,J723))))</f>
        <v/>
      </c>
      <c r="L723" s="6">
        <f>IF(K723="mapped",TRIM(INDEX(Mapping!$C$1:$C$504,J723)),"")</f>
        <v/>
      </c>
      <c r="M723" s="6">
        <f>IF(C723="","",IF(SUMPRODUCT(($C$12:C723=C723)*1)=1,1,0))</f>
        <v/>
      </c>
      <c r="N723" s="6">
        <f>IF(AND(K723="UNMAPPED",M723=1),ROW(),"")</f>
        <v/>
      </c>
      <c r="O723" s="6">
        <f>IF(AND(I723=1,M723=1),ROW(),"")</f>
        <v/>
      </c>
      <c r="P723" s="6">
        <f>IF(AND(K723="ignored",M723=1),ROW(),"")</f>
        <v/>
      </c>
    </row>
    <row r="724">
      <c r="A724" s="8" t="n"/>
      <c r="B724" s="8" t="n"/>
      <c r="C724" s="6">
        <f>TRIM(A724&amp;"")</f>
        <v/>
      </c>
      <c r="D724" s="6">
        <f>IF(C724="","",SUBSTITUTE(SUBSTITUTE(SUBSTITUTE(SUBSTITUTE(SUBSTITUTE(SUBSTITUTE(SUBSTITUTE(UPPER(TRIM(B724&amp;"")),"₹",""),"RS.",""),"RS",""),"INR",""),"$",""),",","")," ",""))</f>
        <v/>
      </c>
      <c r="E724" s="6">
        <f>IF(C724="","",IF(RIGHT(D724,2)="CR","Cr",IF(RIGHT(D724,2)="DR","Dr","")))</f>
        <v/>
      </c>
      <c r="F724" s="6">
        <f>IF(C724="","",IF(E724&lt;&gt;"",LEFT(D724,LEN(D724)-2),D724))</f>
        <v/>
      </c>
      <c r="G724" s="13">
        <f>IF(C724="","",IF(OR(IF(AND(LEFT(F724,1)="(",RIGHT(F724,1)=")"),MID(F724,2,LEN(F724)-2),F724)="",IF(AND(LEFT(F724,1)="(",RIGHT(F724,1)=")"),MID(F724,2,LEN(F724)-2),F724)="-"),0,IFERROR(VALUE(IF(AND(LEFT(F724,1)="(",RIGHT(F724,1)=")"),MID(F724,2,LEN(F724)-2),F724))*IF(AND(LEFT(F724,1)="(",RIGHT(F724,1)=")"),-1,1)*IF(E724="Cr",Setup!$B$6,1),"ERR")))</f>
        <v/>
      </c>
      <c r="H724" s="6">
        <f>IF(C724="","",IF(ISNUMBER(G724),1,0))</f>
        <v/>
      </c>
      <c r="I724" s="6">
        <f>IF(C724="","",IF(SUMPRODUCT(($C$12:$C$1511=C724)*1)&gt;1,1,0))</f>
        <v/>
      </c>
      <c r="J724" s="6">
        <f>IF(C724="","",SUMPRODUCT((Mapping!$F$5:$F$504=Setup!$B$4&amp;"||"&amp;C724)*ROW(Mapping!$F$5:$F$504)))</f>
        <v/>
      </c>
      <c r="K724" s="6">
        <f>IF(C724="","",IF(J724=0,"UNMAPPED",LOWER(INDEX(Mapping!$D$1:$D$504,J724))))</f>
        <v/>
      </c>
      <c r="L724" s="6">
        <f>IF(K724="mapped",TRIM(INDEX(Mapping!$C$1:$C$504,J724)),"")</f>
        <v/>
      </c>
      <c r="M724" s="6">
        <f>IF(C724="","",IF(SUMPRODUCT(($C$12:C724=C724)*1)=1,1,0))</f>
        <v/>
      </c>
      <c r="N724" s="6">
        <f>IF(AND(K724="UNMAPPED",M724=1),ROW(),"")</f>
        <v/>
      </c>
      <c r="O724" s="6">
        <f>IF(AND(I724=1,M724=1),ROW(),"")</f>
        <v/>
      </c>
      <c r="P724" s="6">
        <f>IF(AND(K724="ignored",M724=1),ROW(),"")</f>
        <v/>
      </c>
    </row>
    <row r="725">
      <c r="A725" s="8" t="n"/>
      <c r="B725" s="8" t="n"/>
      <c r="C725" s="6">
        <f>TRIM(A725&amp;"")</f>
        <v/>
      </c>
      <c r="D725" s="6">
        <f>IF(C725="","",SUBSTITUTE(SUBSTITUTE(SUBSTITUTE(SUBSTITUTE(SUBSTITUTE(SUBSTITUTE(SUBSTITUTE(UPPER(TRIM(B725&amp;"")),"₹",""),"RS.",""),"RS",""),"INR",""),"$",""),",","")," ",""))</f>
        <v/>
      </c>
      <c r="E725" s="6">
        <f>IF(C725="","",IF(RIGHT(D725,2)="CR","Cr",IF(RIGHT(D725,2)="DR","Dr","")))</f>
        <v/>
      </c>
      <c r="F725" s="6">
        <f>IF(C725="","",IF(E725&lt;&gt;"",LEFT(D725,LEN(D725)-2),D725))</f>
        <v/>
      </c>
      <c r="G725" s="13">
        <f>IF(C725="","",IF(OR(IF(AND(LEFT(F725,1)="(",RIGHT(F725,1)=")"),MID(F725,2,LEN(F725)-2),F725)="",IF(AND(LEFT(F725,1)="(",RIGHT(F725,1)=")"),MID(F725,2,LEN(F725)-2),F725)="-"),0,IFERROR(VALUE(IF(AND(LEFT(F725,1)="(",RIGHT(F725,1)=")"),MID(F725,2,LEN(F725)-2),F725))*IF(AND(LEFT(F725,1)="(",RIGHT(F725,1)=")"),-1,1)*IF(E725="Cr",Setup!$B$6,1),"ERR")))</f>
        <v/>
      </c>
      <c r="H725" s="6">
        <f>IF(C725="","",IF(ISNUMBER(G725),1,0))</f>
        <v/>
      </c>
      <c r="I725" s="6">
        <f>IF(C725="","",IF(SUMPRODUCT(($C$12:$C$1511=C725)*1)&gt;1,1,0))</f>
        <v/>
      </c>
      <c r="J725" s="6">
        <f>IF(C725="","",SUMPRODUCT((Mapping!$F$5:$F$504=Setup!$B$4&amp;"||"&amp;C725)*ROW(Mapping!$F$5:$F$504)))</f>
        <v/>
      </c>
      <c r="K725" s="6">
        <f>IF(C725="","",IF(J725=0,"UNMAPPED",LOWER(INDEX(Mapping!$D$1:$D$504,J725))))</f>
        <v/>
      </c>
      <c r="L725" s="6">
        <f>IF(K725="mapped",TRIM(INDEX(Mapping!$C$1:$C$504,J725)),"")</f>
        <v/>
      </c>
      <c r="M725" s="6">
        <f>IF(C725="","",IF(SUMPRODUCT(($C$12:C725=C725)*1)=1,1,0))</f>
        <v/>
      </c>
      <c r="N725" s="6">
        <f>IF(AND(K725="UNMAPPED",M725=1),ROW(),"")</f>
        <v/>
      </c>
      <c r="O725" s="6">
        <f>IF(AND(I725=1,M725=1),ROW(),"")</f>
        <v/>
      </c>
      <c r="P725" s="6">
        <f>IF(AND(K725="ignored",M725=1),ROW(),"")</f>
        <v/>
      </c>
    </row>
    <row r="726">
      <c r="A726" s="8" t="n"/>
      <c r="B726" s="8" t="n"/>
      <c r="C726" s="6">
        <f>TRIM(A726&amp;"")</f>
        <v/>
      </c>
      <c r="D726" s="6">
        <f>IF(C726="","",SUBSTITUTE(SUBSTITUTE(SUBSTITUTE(SUBSTITUTE(SUBSTITUTE(SUBSTITUTE(SUBSTITUTE(UPPER(TRIM(B726&amp;"")),"₹",""),"RS.",""),"RS",""),"INR",""),"$",""),",","")," ",""))</f>
        <v/>
      </c>
      <c r="E726" s="6">
        <f>IF(C726="","",IF(RIGHT(D726,2)="CR","Cr",IF(RIGHT(D726,2)="DR","Dr","")))</f>
        <v/>
      </c>
      <c r="F726" s="6">
        <f>IF(C726="","",IF(E726&lt;&gt;"",LEFT(D726,LEN(D726)-2),D726))</f>
        <v/>
      </c>
      <c r="G726" s="13">
        <f>IF(C726="","",IF(OR(IF(AND(LEFT(F726,1)="(",RIGHT(F726,1)=")"),MID(F726,2,LEN(F726)-2),F726)="",IF(AND(LEFT(F726,1)="(",RIGHT(F726,1)=")"),MID(F726,2,LEN(F726)-2),F726)="-"),0,IFERROR(VALUE(IF(AND(LEFT(F726,1)="(",RIGHT(F726,1)=")"),MID(F726,2,LEN(F726)-2),F726))*IF(AND(LEFT(F726,1)="(",RIGHT(F726,1)=")"),-1,1)*IF(E726="Cr",Setup!$B$6,1),"ERR")))</f>
        <v/>
      </c>
      <c r="H726" s="6">
        <f>IF(C726="","",IF(ISNUMBER(G726),1,0))</f>
        <v/>
      </c>
      <c r="I726" s="6">
        <f>IF(C726="","",IF(SUMPRODUCT(($C$12:$C$1511=C726)*1)&gt;1,1,0))</f>
        <v/>
      </c>
      <c r="J726" s="6">
        <f>IF(C726="","",SUMPRODUCT((Mapping!$F$5:$F$504=Setup!$B$4&amp;"||"&amp;C726)*ROW(Mapping!$F$5:$F$504)))</f>
        <v/>
      </c>
      <c r="K726" s="6">
        <f>IF(C726="","",IF(J726=0,"UNMAPPED",LOWER(INDEX(Mapping!$D$1:$D$504,J726))))</f>
        <v/>
      </c>
      <c r="L726" s="6">
        <f>IF(K726="mapped",TRIM(INDEX(Mapping!$C$1:$C$504,J726)),"")</f>
        <v/>
      </c>
      <c r="M726" s="6">
        <f>IF(C726="","",IF(SUMPRODUCT(($C$12:C726=C726)*1)=1,1,0))</f>
        <v/>
      </c>
      <c r="N726" s="6">
        <f>IF(AND(K726="UNMAPPED",M726=1),ROW(),"")</f>
        <v/>
      </c>
      <c r="O726" s="6">
        <f>IF(AND(I726=1,M726=1),ROW(),"")</f>
        <v/>
      </c>
      <c r="P726" s="6">
        <f>IF(AND(K726="ignored",M726=1),ROW(),"")</f>
        <v/>
      </c>
    </row>
    <row r="727">
      <c r="A727" s="8" t="n"/>
      <c r="B727" s="8" t="n"/>
      <c r="C727" s="6">
        <f>TRIM(A727&amp;"")</f>
        <v/>
      </c>
      <c r="D727" s="6">
        <f>IF(C727="","",SUBSTITUTE(SUBSTITUTE(SUBSTITUTE(SUBSTITUTE(SUBSTITUTE(SUBSTITUTE(SUBSTITUTE(UPPER(TRIM(B727&amp;"")),"₹",""),"RS.",""),"RS",""),"INR",""),"$",""),",","")," ",""))</f>
        <v/>
      </c>
      <c r="E727" s="6">
        <f>IF(C727="","",IF(RIGHT(D727,2)="CR","Cr",IF(RIGHT(D727,2)="DR","Dr","")))</f>
        <v/>
      </c>
      <c r="F727" s="6">
        <f>IF(C727="","",IF(E727&lt;&gt;"",LEFT(D727,LEN(D727)-2),D727))</f>
        <v/>
      </c>
      <c r="G727" s="13">
        <f>IF(C727="","",IF(OR(IF(AND(LEFT(F727,1)="(",RIGHT(F727,1)=")"),MID(F727,2,LEN(F727)-2),F727)="",IF(AND(LEFT(F727,1)="(",RIGHT(F727,1)=")"),MID(F727,2,LEN(F727)-2),F727)="-"),0,IFERROR(VALUE(IF(AND(LEFT(F727,1)="(",RIGHT(F727,1)=")"),MID(F727,2,LEN(F727)-2),F727))*IF(AND(LEFT(F727,1)="(",RIGHT(F727,1)=")"),-1,1)*IF(E727="Cr",Setup!$B$6,1),"ERR")))</f>
        <v/>
      </c>
      <c r="H727" s="6">
        <f>IF(C727="","",IF(ISNUMBER(G727),1,0))</f>
        <v/>
      </c>
      <c r="I727" s="6">
        <f>IF(C727="","",IF(SUMPRODUCT(($C$12:$C$1511=C727)*1)&gt;1,1,0))</f>
        <v/>
      </c>
      <c r="J727" s="6">
        <f>IF(C727="","",SUMPRODUCT((Mapping!$F$5:$F$504=Setup!$B$4&amp;"||"&amp;C727)*ROW(Mapping!$F$5:$F$504)))</f>
        <v/>
      </c>
      <c r="K727" s="6">
        <f>IF(C727="","",IF(J727=0,"UNMAPPED",LOWER(INDEX(Mapping!$D$1:$D$504,J727))))</f>
        <v/>
      </c>
      <c r="L727" s="6">
        <f>IF(K727="mapped",TRIM(INDEX(Mapping!$C$1:$C$504,J727)),"")</f>
        <v/>
      </c>
      <c r="M727" s="6">
        <f>IF(C727="","",IF(SUMPRODUCT(($C$12:C727=C727)*1)=1,1,0))</f>
        <v/>
      </c>
      <c r="N727" s="6">
        <f>IF(AND(K727="UNMAPPED",M727=1),ROW(),"")</f>
        <v/>
      </c>
      <c r="O727" s="6">
        <f>IF(AND(I727=1,M727=1),ROW(),"")</f>
        <v/>
      </c>
      <c r="P727" s="6">
        <f>IF(AND(K727="ignored",M727=1),ROW(),"")</f>
        <v/>
      </c>
    </row>
    <row r="728">
      <c r="A728" s="8" t="n"/>
      <c r="B728" s="8" t="n"/>
      <c r="C728" s="6">
        <f>TRIM(A728&amp;"")</f>
        <v/>
      </c>
      <c r="D728" s="6">
        <f>IF(C728="","",SUBSTITUTE(SUBSTITUTE(SUBSTITUTE(SUBSTITUTE(SUBSTITUTE(SUBSTITUTE(SUBSTITUTE(UPPER(TRIM(B728&amp;"")),"₹",""),"RS.",""),"RS",""),"INR",""),"$",""),",","")," ",""))</f>
        <v/>
      </c>
      <c r="E728" s="6">
        <f>IF(C728="","",IF(RIGHT(D728,2)="CR","Cr",IF(RIGHT(D728,2)="DR","Dr","")))</f>
        <v/>
      </c>
      <c r="F728" s="6">
        <f>IF(C728="","",IF(E728&lt;&gt;"",LEFT(D728,LEN(D728)-2),D728))</f>
        <v/>
      </c>
      <c r="G728" s="13">
        <f>IF(C728="","",IF(OR(IF(AND(LEFT(F728,1)="(",RIGHT(F728,1)=")"),MID(F728,2,LEN(F728)-2),F728)="",IF(AND(LEFT(F728,1)="(",RIGHT(F728,1)=")"),MID(F728,2,LEN(F728)-2),F728)="-"),0,IFERROR(VALUE(IF(AND(LEFT(F728,1)="(",RIGHT(F728,1)=")"),MID(F728,2,LEN(F728)-2),F728))*IF(AND(LEFT(F728,1)="(",RIGHT(F728,1)=")"),-1,1)*IF(E728="Cr",Setup!$B$6,1),"ERR")))</f>
        <v/>
      </c>
      <c r="H728" s="6">
        <f>IF(C728="","",IF(ISNUMBER(G728),1,0))</f>
        <v/>
      </c>
      <c r="I728" s="6">
        <f>IF(C728="","",IF(SUMPRODUCT(($C$12:$C$1511=C728)*1)&gt;1,1,0))</f>
        <v/>
      </c>
      <c r="J728" s="6">
        <f>IF(C728="","",SUMPRODUCT((Mapping!$F$5:$F$504=Setup!$B$4&amp;"||"&amp;C728)*ROW(Mapping!$F$5:$F$504)))</f>
        <v/>
      </c>
      <c r="K728" s="6">
        <f>IF(C728="","",IF(J728=0,"UNMAPPED",LOWER(INDEX(Mapping!$D$1:$D$504,J728))))</f>
        <v/>
      </c>
      <c r="L728" s="6">
        <f>IF(K728="mapped",TRIM(INDEX(Mapping!$C$1:$C$504,J728)),"")</f>
        <v/>
      </c>
      <c r="M728" s="6">
        <f>IF(C728="","",IF(SUMPRODUCT(($C$12:C728=C728)*1)=1,1,0))</f>
        <v/>
      </c>
      <c r="N728" s="6">
        <f>IF(AND(K728="UNMAPPED",M728=1),ROW(),"")</f>
        <v/>
      </c>
      <c r="O728" s="6">
        <f>IF(AND(I728=1,M728=1),ROW(),"")</f>
        <v/>
      </c>
      <c r="P728" s="6">
        <f>IF(AND(K728="ignored",M728=1),ROW(),"")</f>
        <v/>
      </c>
    </row>
    <row r="729">
      <c r="A729" s="8" t="n"/>
      <c r="B729" s="8" t="n"/>
      <c r="C729" s="6">
        <f>TRIM(A729&amp;"")</f>
        <v/>
      </c>
      <c r="D729" s="6">
        <f>IF(C729="","",SUBSTITUTE(SUBSTITUTE(SUBSTITUTE(SUBSTITUTE(SUBSTITUTE(SUBSTITUTE(SUBSTITUTE(UPPER(TRIM(B729&amp;"")),"₹",""),"RS.",""),"RS",""),"INR",""),"$",""),",","")," ",""))</f>
        <v/>
      </c>
      <c r="E729" s="6">
        <f>IF(C729="","",IF(RIGHT(D729,2)="CR","Cr",IF(RIGHT(D729,2)="DR","Dr","")))</f>
        <v/>
      </c>
      <c r="F729" s="6">
        <f>IF(C729="","",IF(E729&lt;&gt;"",LEFT(D729,LEN(D729)-2),D729))</f>
        <v/>
      </c>
      <c r="G729" s="13">
        <f>IF(C729="","",IF(OR(IF(AND(LEFT(F729,1)="(",RIGHT(F729,1)=")"),MID(F729,2,LEN(F729)-2),F729)="",IF(AND(LEFT(F729,1)="(",RIGHT(F729,1)=")"),MID(F729,2,LEN(F729)-2),F729)="-"),0,IFERROR(VALUE(IF(AND(LEFT(F729,1)="(",RIGHT(F729,1)=")"),MID(F729,2,LEN(F729)-2),F729))*IF(AND(LEFT(F729,1)="(",RIGHT(F729,1)=")"),-1,1)*IF(E729="Cr",Setup!$B$6,1),"ERR")))</f>
        <v/>
      </c>
      <c r="H729" s="6">
        <f>IF(C729="","",IF(ISNUMBER(G729),1,0))</f>
        <v/>
      </c>
      <c r="I729" s="6">
        <f>IF(C729="","",IF(SUMPRODUCT(($C$12:$C$1511=C729)*1)&gt;1,1,0))</f>
        <v/>
      </c>
      <c r="J729" s="6">
        <f>IF(C729="","",SUMPRODUCT((Mapping!$F$5:$F$504=Setup!$B$4&amp;"||"&amp;C729)*ROW(Mapping!$F$5:$F$504)))</f>
        <v/>
      </c>
      <c r="K729" s="6">
        <f>IF(C729="","",IF(J729=0,"UNMAPPED",LOWER(INDEX(Mapping!$D$1:$D$504,J729))))</f>
        <v/>
      </c>
      <c r="L729" s="6">
        <f>IF(K729="mapped",TRIM(INDEX(Mapping!$C$1:$C$504,J729)),"")</f>
        <v/>
      </c>
      <c r="M729" s="6">
        <f>IF(C729="","",IF(SUMPRODUCT(($C$12:C729=C729)*1)=1,1,0))</f>
        <v/>
      </c>
      <c r="N729" s="6">
        <f>IF(AND(K729="UNMAPPED",M729=1),ROW(),"")</f>
        <v/>
      </c>
      <c r="O729" s="6">
        <f>IF(AND(I729=1,M729=1),ROW(),"")</f>
        <v/>
      </c>
      <c r="P729" s="6">
        <f>IF(AND(K729="ignored",M729=1),ROW(),"")</f>
        <v/>
      </c>
    </row>
    <row r="730">
      <c r="A730" s="8" t="n"/>
      <c r="B730" s="8" t="n"/>
      <c r="C730" s="6">
        <f>TRIM(A730&amp;"")</f>
        <v/>
      </c>
      <c r="D730" s="6">
        <f>IF(C730="","",SUBSTITUTE(SUBSTITUTE(SUBSTITUTE(SUBSTITUTE(SUBSTITUTE(SUBSTITUTE(SUBSTITUTE(UPPER(TRIM(B730&amp;"")),"₹",""),"RS.",""),"RS",""),"INR",""),"$",""),",","")," ",""))</f>
        <v/>
      </c>
      <c r="E730" s="6">
        <f>IF(C730="","",IF(RIGHT(D730,2)="CR","Cr",IF(RIGHT(D730,2)="DR","Dr","")))</f>
        <v/>
      </c>
      <c r="F730" s="6">
        <f>IF(C730="","",IF(E730&lt;&gt;"",LEFT(D730,LEN(D730)-2),D730))</f>
        <v/>
      </c>
      <c r="G730" s="13">
        <f>IF(C730="","",IF(OR(IF(AND(LEFT(F730,1)="(",RIGHT(F730,1)=")"),MID(F730,2,LEN(F730)-2),F730)="",IF(AND(LEFT(F730,1)="(",RIGHT(F730,1)=")"),MID(F730,2,LEN(F730)-2),F730)="-"),0,IFERROR(VALUE(IF(AND(LEFT(F730,1)="(",RIGHT(F730,1)=")"),MID(F730,2,LEN(F730)-2),F730))*IF(AND(LEFT(F730,1)="(",RIGHT(F730,1)=")"),-1,1)*IF(E730="Cr",Setup!$B$6,1),"ERR")))</f>
        <v/>
      </c>
      <c r="H730" s="6">
        <f>IF(C730="","",IF(ISNUMBER(G730),1,0))</f>
        <v/>
      </c>
      <c r="I730" s="6">
        <f>IF(C730="","",IF(SUMPRODUCT(($C$12:$C$1511=C730)*1)&gt;1,1,0))</f>
        <v/>
      </c>
      <c r="J730" s="6">
        <f>IF(C730="","",SUMPRODUCT((Mapping!$F$5:$F$504=Setup!$B$4&amp;"||"&amp;C730)*ROW(Mapping!$F$5:$F$504)))</f>
        <v/>
      </c>
      <c r="K730" s="6">
        <f>IF(C730="","",IF(J730=0,"UNMAPPED",LOWER(INDEX(Mapping!$D$1:$D$504,J730))))</f>
        <v/>
      </c>
      <c r="L730" s="6">
        <f>IF(K730="mapped",TRIM(INDEX(Mapping!$C$1:$C$504,J730)),"")</f>
        <v/>
      </c>
      <c r="M730" s="6">
        <f>IF(C730="","",IF(SUMPRODUCT(($C$12:C730=C730)*1)=1,1,0))</f>
        <v/>
      </c>
      <c r="N730" s="6">
        <f>IF(AND(K730="UNMAPPED",M730=1),ROW(),"")</f>
        <v/>
      </c>
      <c r="O730" s="6">
        <f>IF(AND(I730=1,M730=1),ROW(),"")</f>
        <v/>
      </c>
      <c r="P730" s="6">
        <f>IF(AND(K730="ignored",M730=1),ROW(),"")</f>
        <v/>
      </c>
    </row>
    <row r="731">
      <c r="A731" s="8" t="n"/>
      <c r="B731" s="8" t="n"/>
      <c r="C731" s="6">
        <f>TRIM(A731&amp;"")</f>
        <v/>
      </c>
      <c r="D731" s="6">
        <f>IF(C731="","",SUBSTITUTE(SUBSTITUTE(SUBSTITUTE(SUBSTITUTE(SUBSTITUTE(SUBSTITUTE(SUBSTITUTE(UPPER(TRIM(B731&amp;"")),"₹",""),"RS.",""),"RS",""),"INR",""),"$",""),",","")," ",""))</f>
        <v/>
      </c>
      <c r="E731" s="6">
        <f>IF(C731="","",IF(RIGHT(D731,2)="CR","Cr",IF(RIGHT(D731,2)="DR","Dr","")))</f>
        <v/>
      </c>
      <c r="F731" s="6">
        <f>IF(C731="","",IF(E731&lt;&gt;"",LEFT(D731,LEN(D731)-2),D731))</f>
        <v/>
      </c>
      <c r="G731" s="13">
        <f>IF(C731="","",IF(OR(IF(AND(LEFT(F731,1)="(",RIGHT(F731,1)=")"),MID(F731,2,LEN(F731)-2),F731)="",IF(AND(LEFT(F731,1)="(",RIGHT(F731,1)=")"),MID(F731,2,LEN(F731)-2),F731)="-"),0,IFERROR(VALUE(IF(AND(LEFT(F731,1)="(",RIGHT(F731,1)=")"),MID(F731,2,LEN(F731)-2),F731))*IF(AND(LEFT(F731,1)="(",RIGHT(F731,1)=")"),-1,1)*IF(E731="Cr",Setup!$B$6,1),"ERR")))</f>
        <v/>
      </c>
      <c r="H731" s="6">
        <f>IF(C731="","",IF(ISNUMBER(G731),1,0))</f>
        <v/>
      </c>
      <c r="I731" s="6">
        <f>IF(C731="","",IF(SUMPRODUCT(($C$12:$C$1511=C731)*1)&gt;1,1,0))</f>
        <v/>
      </c>
      <c r="J731" s="6">
        <f>IF(C731="","",SUMPRODUCT((Mapping!$F$5:$F$504=Setup!$B$4&amp;"||"&amp;C731)*ROW(Mapping!$F$5:$F$504)))</f>
        <v/>
      </c>
      <c r="K731" s="6">
        <f>IF(C731="","",IF(J731=0,"UNMAPPED",LOWER(INDEX(Mapping!$D$1:$D$504,J731))))</f>
        <v/>
      </c>
      <c r="L731" s="6">
        <f>IF(K731="mapped",TRIM(INDEX(Mapping!$C$1:$C$504,J731)),"")</f>
        <v/>
      </c>
      <c r="M731" s="6">
        <f>IF(C731="","",IF(SUMPRODUCT(($C$12:C731=C731)*1)=1,1,0))</f>
        <v/>
      </c>
      <c r="N731" s="6">
        <f>IF(AND(K731="UNMAPPED",M731=1),ROW(),"")</f>
        <v/>
      </c>
      <c r="O731" s="6">
        <f>IF(AND(I731=1,M731=1),ROW(),"")</f>
        <v/>
      </c>
      <c r="P731" s="6">
        <f>IF(AND(K731="ignored",M731=1),ROW(),"")</f>
        <v/>
      </c>
    </row>
    <row r="732">
      <c r="A732" s="8" t="n"/>
      <c r="B732" s="8" t="n"/>
      <c r="C732" s="6">
        <f>TRIM(A732&amp;"")</f>
        <v/>
      </c>
      <c r="D732" s="6">
        <f>IF(C732="","",SUBSTITUTE(SUBSTITUTE(SUBSTITUTE(SUBSTITUTE(SUBSTITUTE(SUBSTITUTE(SUBSTITUTE(UPPER(TRIM(B732&amp;"")),"₹",""),"RS.",""),"RS",""),"INR",""),"$",""),",","")," ",""))</f>
        <v/>
      </c>
      <c r="E732" s="6">
        <f>IF(C732="","",IF(RIGHT(D732,2)="CR","Cr",IF(RIGHT(D732,2)="DR","Dr","")))</f>
        <v/>
      </c>
      <c r="F732" s="6">
        <f>IF(C732="","",IF(E732&lt;&gt;"",LEFT(D732,LEN(D732)-2),D732))</f>
        <v/>
      </c>
      <c r="G732" s="13">
        <f>IF(C732="","",IF(OR(IF(AND(LEFT(F732,1)="(",RIGHT(F732,1)=")"),MID(F732,2,LEN(F732)-2),F732)="",IF(AND(LEFT(F732,1)="(",RIGHT(F732,1)=")"),MID(F732,2,LEN(F732)-2),F732)="-"),0,IFERROR(VALUE(IF(AND(LEFT(F732,1)="(",RIGHT(F732,1)=")"),MID(F732,2,LEN(F732)-2),F732))*IF(AND(LEFT(F732,1)="(",RIGHT(F732,1)=")"),-1,1)*IF(E732="Cr",Setup!$B$6,1),"ERR")))</f>
        <v/>
      </c>
      <c r="H732" s="6">
        <f>IF(C732="","",IF(ISNUMBER(G732),1,0))</f>
        <v/>
      </c>
      <c r="I732" s="6">
        <f>IF(C732="","",IF(SUMPRODUCT(($C$12:$C$1511=C732)*1)&gt;1,1,0))</f>
        <v/>
      </c>
      <c r="J732" s="6">
        <f>IF(C732="","",SUMPRODUCT((Mapping!$F$5:$F$504=Setup!$B$4&amp;"||"&amp;C732)*ROW(Mapping!$F$5:$F$504)))</f>
        <v/>
      </c>
      <c r="K732" s="6">
        <f>IF(C732="","",IF(J732=0,"UNMAPPED",LOWER(INDEX(Mapping!$D$1:$D$504,J732))))</f>
        <v/>
      </c>
      <c r="L732" s="6">
        <f>IF(K732="mapped",TRIM(INDEX(Mapping!$C$1:$C$504,J732)),"")</f>
        <v/>
      </c>
      <c r="M732" s="6">
        <f>IF(C732="","",IF(SUMPRODUCT(($C$12:C732=C732)*1)=1,1,0))</f>
        <v/>
      </c>
      <c r="N732" s="6">
        <f>IF(AND(K732="UNMAPPED",M732=1),ROW(),"")</f>
        <v/>
      </c>
      <c r="O732" s="6">
        <f>IF(AND(I732=1,M732=1),ROW(),"")</f>
        <v/>
      </c>
      <c r="P732" s="6">
        <f>IF(AND(K732="ignored",M732=1),ROW(),"")</f>
        <v/>
      </c>
    </row>
    <row r="733">
      <c r="A733" s="8" t="n"/>
      <c r="B733" s="8" t="n"/>
      <c r="C733" s="6">
        <f>TRIM(A733&amp;"")</f>
        <v/>
      </c>
      <c r="D733" s="6">
        <f>IF(C733="","",SUBSTITUTE(SUBSTITUTE(SUBSTITUTE(SUBSTITUTE(SUBSTITUTE(SUBSTITUTE(SUBSTITUTE(UPPER(TRIM(B733&amp;"")),"₹",""),"RS.",""),"RS",""),"INR",""),"$",""),",","")," ",""))</f>
        <v/>
      </c>
      <c r="E733" s="6">
        <f>IF(C733="","",IF(RIGHT(D733,2)="CR","Cr",IF(RIGHT(D733,2)="DR","Dr","")))</f>
        <v/>
      </c>
      <c r="F733" s="6">
        <f>IF(C733="","",IF(E733&lt;&gt;"",LEFT(D733,LEN(D733)-2),D733))</f>
        <v/>
      </c>
      <c r="G733" s="13">
        <f>IF(C733="","",IF(OR(IF(AND(LEFT(F733,1)="(",RIGHT(F733,1)=")"),MID(F733,2,LEN(F733)-2),F733)="",IF(AND(LEFT(F733,1)="(",RIGHT(F733,1)=")"),MID(F733,2,LEN(F733)-2),F733)="-"),0,IFERROR(VALUE(IF(AND(LEFT(F733,1)="(",RIGHT(F733,1)=")"),MID(F733,2,LEN(F733)-2),F733))*IF(AND(LEFT(F733,1)="(",RIGHT(F733,1)=")"),-1,1)*IF(E733="Cr",Setup!$B$6,1),"ERR")))</f>
        <v/>
      </c>
      <c r="H733" s="6">
        <f>IF(C733="","",IF(ISNUMBER(G733),1,0))</f>
        <v/>
      </c>
      <c r="I733" s="6">
        <f>IF(C733="","",IF(SUMPRODUCT(($C$12:$C$1511=C733)*1)&gt;1,1,0))</f>
        <v/>
      </c>
      <c r="J733" s="6">
        <f>IF(C733="","",SUMPRODUCT((Mapping!$F$5:$F$504=Setup!$B$4&amp;"||"&amp;C733)*ROW(Mapping!$F$5:$F$504)))</f>
        <v/>
      </c>
      <c r="K733" s="6">
        <f>IF(C733="","",IF(J733=0,"UNMAPPED",LOWER(INDEX(Mapping!$D$1:$D$504,J733))))</f>
        <v/>
      </c>
      <c r="L733" s="6">
        <f>IF(K733="mapped",TRIM(INDEX(Mapping!$C$1:$C$504,J733)),"")</f>
        <v/>
      </c>
      <c r="M733" s="6">
        <f>IF(C733="","",IF(SUMPRODUCT(($C$12:C733=C733)*1)=1,1,0))</f>
        <v/>
      </c>
      <c r="N733" s="6">
        <f>IF(AND(K733="UNMAPPED",M733=1),ROW(),"")</f>
        <v/>
      </c>
      <c r="O733" s="6">
        <f>IF(AND(I733=1,M733=1),ROW(),"")</f>
        <v/>
      </c>
      <c r="P733" s="6">
        <f>IF(AND(K733="ignored",M733=1),ROW(),"")</f>
        <v/>
      </c>
    </row>
    <row r="734">
      <c r="A734" s="8" t="n"/>
      <c r="B734" s="8" t="n"/>
      <c r="C734" s="6">
        <f>TRIM(A734&amp;"")</f>
        <v/>
      </c>
      <c r="D734" s="6">
        <f>IF(C734="","",SUBSTITUTE(SUBSTITUTE(SUBSTITUTE(SUBSTITUTE(SUBSTITUTE(SUBSTITUTE(SUBSTITUTE(UPPER(TRIM(B734&amp;"")),"₹",""),"RS.",""),"RS",""),"INR",""),"$",""),",","")," ",""))</f>
        <v/>
      </c>
      <c r="E734" s="6">
        <f>IF(C734="","",IF(RIGHT(D734,2)="CR","Cr",IF(RIGHT(D734,2)="DR","Dr","")))</f>
        <v/>
      </c>
      <c r="F734" s="6">
        <f>IF(C734="","",IF(E734&lt;&gt;"",LEFT(D734,LEN(D734)-2),D734))</f>
        <v/>
      </c>
      <c r="G734" s="13">
        <f>IF(C734="","",IF(OR(IF(AND(LEFT(F734,1)="(",RIGHT(F734,1)=")"),MID(F734,2,LEN(F734)-2),F734)="",IF(AND(LEFT(F734,1)="(",RIGHT(F734,1)=")"),MID(F734,2,LEN(F734)-2),F734)="-"),0,IFERROR(VALUE(IF(AND(LEFT(F734,1)="(",RIGHT(F734,1)=")"),MID(F734,2,LEN(F734)-2),F734))*IF(AND(LEFT(F734,1)="(",RIGHT(F734,1)=")"),-1,1)*IF(E734="Cr",Setup!$B$6,1),"ERR")))</f>
        <v/>
      </c>
      <c r="H734" s="6">
        <f>IF(C734="","",IF(ISNUMBER(G734),1,0))</f>
        <v/>
      </c>
      <c r="I734" s="6">
        <f>IF(C734="","",IF(SUMPRODUCT(($C$12:$C$1511=C734)*1)&gt;1,1,0))</f>
        <v/>
      </c>
      <c r="J734" s="6">
        <f>IF(C734="","",SUMPRODUCT((Mapping!$F$5:$F$504=Setup!$B$4&amp;"||"&amp;C734)*ROW(Mapping!$F$5:$F$504)))</f>
        <v/>
      </c>
      <c r="K734" s="6">
        <f>IF(C734="","",IF(J734=0,"UNMAPPED",LOWER(INDEX(Mapping!$D$1:$D$504,J734))))</f>
        <v/>
      </c>
      <c r="L734" s="6">
        <f>IF(K734="mapped",TRIM(INDEX(Mapping!$C$1:$C$504,J734)),"")</f>
        <v/>
      </c>
      <c r="M734" s="6">
        <f>IF(C734="","",IF(SUMPRODUCT(($C$12:C734=C734)*1)=1,1,0))</f>
        <v/>
      </c>
      <c r="N734" s="6">
        <f>IF(AND(K734="UNMAPPED",M734=1),ROW(),"")</f>
        <v/>
      </c>
      <c r="O734" s="6">
        <f>IF(AND(I734=1,M734=1),ROW(),"")</f>
        <v/>
      </c>
      <c r="P734" s="6">
        <f>IF(AND(K734="ignored",M734=1),ROW(),"")</f>
        <v/>
      </c>
    </row>
    <row r="735">
      <c r="A735" s="8" t="n"/>
      <c r="B735" s="8" t="n"/>
      <c r="C735" s="6">
        <f>TRIM(A735&amp;"")</f>
        <v/>
      </c>
      <c r="D735" s="6">
        <f>IF(C735="","",SUBSTITUTE(SUBSTITUTE(SUBSTITUTE(SUBSTITUTE(SUBSTITUTE(SUBSTITUTE(SUBSTITUTE(UPPER(TRIM(B735&amp;"")),"₹",""),"RS.",""),"RS",""),"INR",""),"$",""),",","")," ",""))</f>
        <v/>
      </c>
      <c r="E735" s="6">
        <f>IF(C735="","",IF(RIGHT(D735,2)="CR","Cr",IF(RIGHT(D735,2)="DR","Dr","")))</f>
        <v/>
      </c>
      <c r="F735" s="6">
        <f>IF(C735="","",IF(E735&lt;&gt;"",LEFT(D735,LEN(D735)-2),D735))</f>
        <v/>
      </c>
      <c r="G735" s="13">
        <f>IF(C735="","",IF(OR(IF(AND(LEFT(F735,1)="(",RIGHT(F735,1)=")"),MID(F735,2,LEN(F735)-2),F735)="",IF(AND(LEFT(F735,1)="(",RIGHT(F735,1)=")"),MID(F735,2,LEN(F735)-2),F735)="-"),0,IFERROR(VALUE(IF(AND(LEFT(F735,1)="(",RIGHT(F735,1)=")"),MID(F735,2,LEN(F735)-2),F735))*IF(AND(LEFT(F735,1)="(",RIGHT(F735,1)=")"),-1,1)*IF(E735="Cr",Setup!$B$6,1),"ERR")))</f>
        <v/>
      </c>
      <c r="H735" s="6">
        <f>IF(C735="","",IF(ISNUMBER(G735),1,0))</f>
        <v/>
      </c>
      <c r="I735" s="6">
        <f>IF(C735="","",IF(SUMPRODUCT(($C$12:$C$1511=C735)*1)&gt;1,1,0))</f>
        <v/>
      </c>
      <c r="J735" s="6">
        <f>IF(C735="","",SUMPRODUCT((Mapping!$F$5:$F$504=Setup!$B$4&amp;"||"&amp;C735)*ROW(Mapping!$F$5:$F$504)))</f>
        <v/>
      </c>
      <c r="K735" s="6">
        <f>IF(C735="","",IF(J735=0,"UNMAPPED",LOWER(INDEX(Mapping!$D$1:$D$504,J735))))</f>
        <v/>
      </c>
      <c r="L735" s="6">
        <f>IF(K735="mapped",TRIM(INDEX(Mapping!$C$1:$C$504,J735)),"")</f>
        <v/>
      </c>
      <c r="M735" s="6">
        <f>IF(C735="","",IF(SUMPRODUCT(($C$12:C735=C735)*1)=1,1,0))</f>
        <v/>
      </c>
      <c r="N735" s="6">
        <f>IF(AND(K735="UNMAPPED",M735=1),ROW(),"")</f>
        <v/>
      </c>
      <c r="O735" s="6">
        <f>IF(AND(I735=1,M735=1),ROW(),"")</f>
        <v/>
      </c>
      <c r="P735" s="6">
        <f>IF(AND(K735="ignored",M735=1),ROW(),"")</f>
        <v/>
      </c>
    </row>
    <row r="736">
      <c r="A736" s="8" t="n"/>
      <c r="B736" s="8" t="n"/>
      <c r="C736" s="6">
        <f>TRIM(A736&amp;"")</f>
        <v/>
      </c>
      <c r="D736" s="6">
        <f>IF(C736="","",SUBSTITUTE(SUBSTITUTE(SUBSTITUTE(SUBSTITUTE(SUBSTITUTE(SUBSTITUTE(SUBSTITUTE(UPPER(TRIM(B736&amp;"")),"₹",""),"RS.",""),"RS",""),"INR",""),"$",""),",","")," ",""))</f>
        <v/>
      </c>
      <c r="E736" s="6">
        <f>IF(C736="","",IF(RIGHT(D736,2)="CR","Cr",IF(RIGHT(D736,2)="DR","Dr","")))</f>
        <v/>
      </c>
      <c r="F736" s="6">
        <f>IF(C736="","",IF(E736&lt;&gt;"",LEFT(D736,LEN(D736)-2),D736))</f>
        <v/>
      </c>
      <c r="G736" s="13">
        <f>IF(C736="","",IF(OR(IF(AND(LEFT(F736,1)="(",RIGHT(F736,1)=")"),MID(F736,2,LEN(F736)-2),F736)="",IF(AND(LEFT(F736,1)="(",RIGHT(F736,1)=")"),MID(F736,2,LEN(F736)-2),F736)="-"),0,IFERROR(VALUE(IF(AND(LEFT(F736,1)="(",RIGHT(F736,1)=")"),MID(F736,2,LEN(F736)-2),F736))*IF(AND(LEFT(F736,1)="(",RIGHT(F736,1)=")"),-1,1)*IF(E736="Cr",Setup!$B$6,1),"ERR")))</f>
        <v/>
      </c>
      <c r="H736" s="6">
        <f>IF(C736="","",IF(ISNUMBER(G736),1,0))</f>
        <v/>
      </c>
      <c r="I736" s="6">
        <f>IF(C736="","",IF(SUMPRODUCT(($C$12:$C$1511=C736)*1)&gt;1,1,0))</f>
        <v/>
      </c>
      <c r="J736" s="6">
        <f>IF(C736="","",SUMPRODUCT((Mapping!$F$5:$F$504=Setup!$B$4&amp;"||"&amp;C736)*ROW(Mapping!$F$5:$F$504)))</f>
        <v/>
      </c>
      <c r="K736" s="6">
        <f>IF(C736="","",IF(J736=0,"UNMAPPED",LOWER(INDEX(Mapping!$D$1:$D$504,J736))))</f>
        <v/>
      </c>
      <c r="L736" s="6">
        <f>IF(K736="mapped",TRIM(INDEX(Mapping!$C$1:$C$504,J736)),"")</f>
        <v/>
      </c>
      <c r="M736" s="6">
        <f>IF(C736="","",IF(SUMPRODUCT(($C$12:C736=C736)*1)=1,1,0))</f>
        <v/>
      </c>
      <c r="N736" s="6">
        <f>IF(AND(K736="UNMAPPED",M736=1),ROW(),"")</f>
        <v/>
      </c>
      <c r="O736" s="6">
        <f>IF(AND(I736=1,M736=1),ROW(),"")</f>
        <v/>
      </c>
      <c r="P736" s="6">
        <f>IF(AND(K736="ignored",M736=1),ROW(),"")</f>
        <v/>
      </c>
    </row>
    <row r="737">
      <c r="A737" s="8" t="n"/>
      <c r="B737" s="8" t="n"/>
      <c r="C737" s="6">
        <f>TRIM(A737&amp;"")</f>
        <v/>
      </c>
      <c r="D737" s="6">
        <f>IF(C737="","",SUBSTITUTE(SUBSTITUTE(SUBSTITUTE(SUBSTITUTE(SUBSTITUTE(SUBSTITUTE(SUBSTITUTE(UPPER(TRIM(B737&amp;"")),"₹",""),"RS.",""),"RS",""),"INR",""),"$",""),",","")," ",""))</f>
        <v/>
      </c>
      <c r="E737" s="6">
        <f>IF(C737="","",IF(RIGHT(D737,2)="CR","Cr",IF(RIGHT(D737,2)="DR","Dr","")))</f>
        <v/>
      </c>
      <c r="F737" s="6">
        <f>IF(C737="","",IF(E737&lt;&gt;"",LEFT(D737,LEN(D737)-2),D737))</f>
        <v/>
      </c>
      <c r="G737" s="13">
        <f>IF(C737="","",IF(OR(IF(AND(LEFT(F737,1)="(",RIGHT(F737,1)=")"),MID(F737,2,LEN(F737)-2),F737)="",IF(AND(LEFT(F737,1)="(",RIGHT(F737,1)=")"),MID(F737,2,LEN(F737)-2),F737)="-"),0,IFERROR(VALUE(IF(AND(LEFT(F737,1)="(",RIGHT(F737,1)=")"),MID(F737,2,LEN(F737)-2),F737))*IF(AND(LEFT(F737,1)="(",RIGHT(F737,1)=")"),-1,1)*IF(E737="Cr",Setup!$B$6,1),"ERR")))</f>
        <v/>
      </c>
      <c r="H737" s="6">
        <f>IF(C737="","",IF(ISNUMBER(G737),1,0))</f>
        <v/>
      </c>
      <c r="I737" s="6">
        <f>IF(C737="","",IF(SUMPRODUCT(($C$12:$C$1511=C737)*1)&gt;1,1,0))</f>
        <v/>
      </c>
      <c r="J737" s="6">
        <f>IF(C737="","",SUMPRODUCT((Mapping!$F$5:$F$504=Setup!$B$4&amp;"||"&amp;C737)*ROW(Mapping!$F$5:$F$504)))</f>
        <v/>
      </c>
      <c r="K737" s="6">
        <f>IF(C737="","",IF(J737=0,"UNMAPPED",LOWER(INDEX(Mapping!$D$1:$D$504,J737))))</f>
        <v/>
      </c>
      <c r="L737" s="6">
        <f>IF(K737="mapped",TRIM(INDEX(Mapping!$C$1:$C$504,J737)),"")</f>
        <v/>
      </c>
      <c r="M737" s="6">
        <f>IF(C737="","",IF(SUMPRODUCT(($C$12:C737=C737)*1)=1,1,0))</f>
        <v/>
      </c>
      <c r="N737" s="6">
        <f>IF(AND(K737="UNMAPPED",M737=1),ROW(),"")</f>
        <v/>
      </c>
      <c r="O737" s="6">
        <f>IF(AND(I737=1,M737=1),ROW(),"")</f>
        <v/>
      </c>
      <c r="P737" s="6">
        <f>IF(AND(K737="ignored",M737=1),ROW(),"")</f>
        <v/>
      </c>
    </row>
    <row r="738">
      <c r="A738" s="8" t="n"/>
      <c r="B738" s="8" t="n"/>
      <c r="C738" s="6">
        <f>TRIM(A738&amp;"")</f>
        <v/>
      </c>
      <c r="D738" s="6">
        <f>IF(C738="","",SUBSTITUTE(SUBSTITUTE(SUBSTITUTE(SUBSTITUTE(SUBSTITUTE(SUBSTITUTE(SUBSTITUTE(UPPER(TRIM(B738&amp;"")),"₹",""),"RS.",""),"RS",""),"INR",""),"$",""),",","")," ",""))</f>
        <v/>
      </c>
      <c r="E738" s="6">
        <f>IF(C738="","",IF(RIGHT(D738,2)="CR","Cr",IF(RIGHT(D738,2)="DR","Dr","")))</f>
        <v/>
      </c>
      <c r="F738" s="6">
        <f>IF(C738="","",IF(E738&lt;&gt;"",LEFT(D738,LEN(D738)-2),D738))</f>
        <v/>
      </c>
      <c r="G738" s="13">
        <f>IF(C738="","",IF(OR(IF(AND(LEFT(F738,1)="(",RIGHT(F738,1)=")"),MID(F738,2,LEN(F738)-2),F738)="",IF(AND(LEFT(F738,1)="(",RIGHT(F738,1)=")"),MID(F738,2,LEN(F738)-2),F738)="-"),0,IFERROR(VALUE(IF(AND(LEFT(F738,1)="(",RIGHT(F738,1)=")"),MID(F738,2,LEN(F738)-2),F738))*IF(AND(LEFT(F738,1)="(",RIGHT(F738,1)=")"),-1,1)*IF(E738="Cr",Setup!$B$6,1),"ERR")))</f>
        <v/>
      </c>
      <c r="H738" s="6">
        <f>IF(C738="","",IF(ISNUMBER(G738),1,0))</f>
        <v/>
      </c>
      <c r="I738" s="6">
        <f>IF(C738="","",IF(SUMPRODUCT(($C$12:$C$1511=C738)*1)&gt;1,1,0))</f>
        <v/>
      </c>
      <c r="J738" s="6">
        <f>IF(C738="","",SUMPRODUCT((Mapping!$F$5:$F$504=Setup!$B$4&amp;"||"&amp;C738)*ROW(Mapping!$F$5:$F$504)))</f>
        <v/>
      </c>
      <c r="K738" s="6">
        <f>IF(C738="","",IF(J738=0,"UNMAPPED",LOWER(INDEX(Mapping!$D$1:$D$504,J738))))</f>
        <v/>
      </c>
      <c r="L738" s="6">
        <f>IF(K738="mapped",TRIM(INDEX(Mapping!$C$1:$C$504,J738)),"")</f>
        <v/>
      </c>
      <c r="M738" s="6">
        <f>IF(C738="","",IF(SUMPRODUCT(($C$12:C738=C738)*1)=1,1,0))</f>
        <v/>
      </c>
      <c r="N738" s="6">
        <f>IF(AND(K738="UNMAPPED",M738=1),ROW(),"")</f>
        <v/>
      </c>
      <c r="O738" s="6">
        <f>IF(AND(I738=1,M738=1),ROW(),"")</f>
        <v/>
      </c>
      <c r="P738" s="6">
        <f>IF(AND(K738="ignored",M738=1),ROW(),"")</f>
        <v/>
      </c>
    </row>
    <row r="739">
      <c r="A739" s="8" t="n"/>
      <c r="B739" s="8" t="n"/>
      <c r="C739" s="6">
        <f>TRIM(A739&amp;"")</f>
        <v/>
      </c>
      <c r="D739" s="6">
        <f>IF(C739="","",SUBSTITUTE(SUBSTITUTE(SUBSTITUTE(SUBSTITUTE(SUBSTITUTE(SUBSTITUTE(SUBSTITUTE(UPPER(TRIM(B739&amp;"")),"₹",""),"RS.",""),"RS",""),"INR",""),"$",""),",","")," ",""))</f>
        <v/>
      </c>
      <c r="E739" s="6">
        <f>IF(C739="","",IF(RIGHT(D739,2)="CR","Cr",IF(RIGHT(D739,2)="DR","Dr","")))</f>
        <v/>
      </c>
      <c r="F739" s="6">
        <f>IF(C739="","",IF(E739&lt;&gt;"",LEFT(D739,LEN(D739)-2),D739))</f>
        <v/>
      </c>
      <c r="G739" s="13">
        <f>IF(C739="","",IF(OR(IF(AND(LEFT(F739,1)="(",RIGHT(F739,1)=")"),MID(F739,2,LEN(F739)-2),F739)="",IF(AND(LEFT(F739,1)="(",RIGHT(F739,1)=")"),MID(F739,2,LEN(F739)-2),F739)="-"),0,IFERROR(VALUE(IF(AND(LEFT(F739,1)="(",RIGHT(F739,1)=")"),MID(F739,2,LEN(F739)-2),F739))*IF(AND(LEFT(F739,1)="(",RIGHT(F739,1)=")"),-1,1)*IF(E739="Cr",Setup!$B$6,1),"ERR")))</f>
        <v/>
      </c>
      <c r="H739" s="6">
        <f>IF(C739="","",IF(ISNUMBER(G739),1,0))</f>
        <v/>
      </c>
      <c r="I739" s="6">
        <f>IF(C739="","",IF(SUMPRODUCT(($C$12:$C$1511=C739)*1)&gt;1,1,0))</f>
        <v/>
      </c>
      <c r="J739" s="6">
        <f>IF(C739="","",SUMPRODUCT((Mapping!$F$5:$F$504=Setup!$B$4&amp;"||"&amp;C739)*ROW(Mapping!$F$5:$F$504)))</f>
        <v/>
      </c>
      <c r="K739" s="6">
        <f>IF(C739="","",IF(J739=0,"UNMAPPED",LOWER(INDEX(Mapping!$D$1:$D$504,J739))))</f>
        <v/>
      </c>
      <c r="L739" s="6">
        <f>IF(K739="mapped",TRIM(INDEX(Mapping!$C$1:$C$504,J739)),"")</f>
        <v/>
      </c>
      <c r="M739" s="6">
        <f>IF(C739="","",IF(SUMPRODUCT(($C$12:C739=C739)*1)=1,1,0))</f>
        <v/>
      </c>
      <c r="N739" s="6">
        <f>IF(AND(K739="UNMAPPED",M739=1),ROW(),"")</f>
        <v/>
      </c>
      <c r="O739" s="6">
        <f>IF(AND(I739=1,M739=1),ROW(),"")</f>
        <v/>
      </c>
      <c r="P739" s="6">
        <f>IF(AND(K739="ignored",M739=1),ROW(),"")</f>
        <v/>
      </c>
    </row>
    <row r="740">
      <c r="A740" s="8" t="n"/>
      <c r="B740" s="8" t="n"/>
      <c r="C740" s="6">
        <f>TRIM(A740&amp;"")</f>
        <v/>
      </c>
      <c r="D740" s="6">
        <f>IF(C740="","",SUBSTITUTE(SUBSTITUTE(SUBSTITUTE(SUBSTITUTE(SUBSTITUTE(SUBSTITUTE(SUBSTITUTE(UPPER(TRIM(B740&amp;"")),"₹",""),"RS.",""),"RS",""),"INR",""),"$",""),",","")," ",""))</f>
        <v/>
      </c>
      <c r="E740" s="6">
        <f>IF(C740="","",IF(RIGHT(D740,2)="CR","Cr",IF(RIGHT(D740,2)="DR","Dr","")))</f>
        <v/>
      </c>
      <c r="F740" s="6">
        <f>IF(C740="","",IF(E740&lt;&gt;"",LEFT(D740,LEN(D740)-2),D740))</f>
        <v/>
      </c>
      <c r="G740" s="13">
        <f>IF(C740="","",IF(OR(IF(AND(LEFT(F740,1)="(",RIGHT(F740,1)=")"),MID(F740,2,LEN(F740)-2),F740)="",IF(AND(LEFT(F740,1)="(",RIGHT(F740,1)=")"),MID(F740,2,LEN(F740)-2),F740)="-"),0,IFERROR(VALUE(IF(AND(LEFT(F740,1)="(",RIGHT(F740,1)=")"),MID(F740,2,LEN(F740)-2),F740))*IF(AND(LEFT(F740,1)="(",RIGHT(F740,1)=")"),-1,1)*IF(E740="Cr",Setup!$B$6,1),"ERR")))</f>
        <v/>
      </c>
      <c r="H740" s="6">
        <f>IF(C740="","",IF(ISNUMBER(G740),1,0))</f>
        <v/>
      </c>
      <c r="I740" s="6">
        <f>IF(C740="","",IF(SUMPRODUCT(($C$12:$C$1511=C740)*1)&gt;1,1,0))</f>
        <v/>
      </c>
      <c r="J740" s="6">
        <f>IF(C740="","",SUMPRODUCT((Mapping!$F$5:$F$504=Setup!$B$4&amp;"||"&amp;C740)*ROW(Mapping!$F$5:$F$504)))</f>
        <v/>
      </c>
      <c r="K740" s="6">
        <f>IF(C740="","",IF(J740=0,"UNMAPPED",LOWER(INDEX(Mapping!$D$1:$D$504,J740))))</f>
        <v/>
      </c>
      <c r="L740" s="6">
        <f>IF(K740="mapped",TRIM(INDEX(Mapping!$C$1:$C$504,J740)),"")</f>
        <v/>
      </c>
      <c r="M740" s="6">
        <f>IF(C740="","",IF(SUMPRODUCT(($C$12:C740=C740)*1)=1,1,0))</f>
        <v/>
      </c>
      <c r="N740" s="6">
        <f>IF(AND(K740="UNMAPPED",M740=1),ROW(),"")</f>
        <v/>
      </c>
      <c r="O740" s="6">
        <f>IF(AND(I740=1,M740=1),ROW(),"")</f>
        <v/>
      </c>
      <c r="P740" s="6">
        <f>IF(AND(K740="ignored",M740=1),ROW(),"")</f>
        <v/>
      </c>
    </row>
    <row r="741">
      <c r="A741" s="8" t="n"/>
      <c r="B741" s="8" t="n"/>
      <c r="C741" s="6">
        <f>TRIM(A741&amp;"")</f>
        <v/>
      </c>
      <c r="D741" s="6">
        <f>IF(C741="","",SUBSTITUTE(SUBSTITUTE(SUBSTITUTE(SUBSTITUTE(SUBSTITUTE(SUBSTITUTE(SUBSTITUTE(UPPER(TRIM(B741&amp;"")),"₹",""),"RS.",""),"RS",""),"INR",""),"$",""),",","")," ",""))</f>
        <v/>
      </c>
      <c r="E741" s="6">
        <f>IF(C741="","",IF(RIGHT(D741,2)="CR","Cr",IF(RIGHT(D741,2)="DR","Dr","")))</f>
        <v/>
      </c>
      <c r="F741" s="6">
        <f>IF(C741="","",IF(E741&lt;&gt;"",LEFT(D741,LEN(D741)-2),D741))</f>
        <v/>
      </c>
      <c r="G741" s="13">
        <f>IF(C741="","",IF(OR(IF(AND(LEFT(F741,1)="(",RIGHT(F741,1)=")"),MID(F741,2,LEN(F741)-2),F741)="",IF(AND(LEFT(F741,1)="(",RIGHT(F741,1)=")"),MID(F741,2,LEN(F741)-2),F741)="-"),0,IFERROR(VALUE(IF(AND(LEFT(F741,1)="(",RIGHT(F741,1)=")"),MID(F741,2,LEN(F741)-2),F741))*IF(AND(LEFT(F741,1)="(",RIGHT(F741,1)=")"),-1,1)*IF(E741="Cr",Setup!$B$6,1),"ERR")))</f>
        <v/>
      </c>
      <c r="H741" s="6">
        <f>IF(C741="","",IF(ISNUMBER(G741),1,0))</f>
        <v/>
      </c>
      <c r="I741" s="6">
        <f>IF(C741="","",IF(SUMPRODUCT(($C$12:$C$1511=C741)*1)&gt;1,1,0))</f>
        <v/>
      </c>
      <c r="J741" s="6">
        <f>IF(C741="","",SUMPRODUCT((Mapping!$F$5:$F$504=Setup!$B$4&amp;"||"&amp;C741)*ROW(Mapping!$F$5:$F$504)))</f>
        <v/>
      </c>
      <c r="K741" s="6">
        <f>IF(C741="","",IF(J741=0,"UNMAPPED",LOWER(INDEX(Mapping!$D$1:$D$504,J741))))</f>
        <v/>
      </c>
      <c r="L741" s="6">
        <f>IF(K741="mapped",TRIM(INDEX(Mapping!$C$1:$C$504,J741)),"")</f>
        <v/>
      </c>
      <c r="M741" s="6">
        <f>IF(C741="","",IF(SUMPRODUCT(($C$12:C741=C741)*1)=1,1,0))</f>
        <v/>
      </c>
      <c r="N741" s="6">
        <f>IF(AND(K741="UNMAPPED",M741=1),ROW(),"")</f>
        <v/>
      </c>
      <c r="O741" s="6">
        <f>IF(AND(I741=1,M741=1),ROW(),"")</f>
        <v/>
      </c>
      <c r="P741" s="6">
        <f>IF(AND(K741="ignored",M741=1),ROW(),"")</f>
        <v/>
      </c>
    </row>
    <row r="742">
      <c r="A742" s="8" t="n"/>
      <c r="B742" s="8" t="n"/>
      <c r="C742" s="6">
        <f>TRIM(A742&amp;"")</f>
        <v/>
      </c>
      <c r="D742" s="6">
        <f>IF(C742="","",SUBSTITUTE(SUBSTITUTE(SUBSTITUTE(SUBSTITUTE(SUBSTITUTE(SUBSTITUTE(SUBSTITUTE(UPPER(TRIM(B742&amp;"")),"₹",""),"RS.",""),"RS",""),"INR",""),"$",""),",","")," ",""))</f>
        <v/>
      </c>
      <c r="E742" s="6">
        <f>IF(C742="","",IF(RIGHT(D742,2)="CR","Cr",IF(RIGHT(D742,2)="DR","Dr","")))</f>
        <v/>
      </c>
      <c r="F742" s="6">
        <f>IF(C742="","",IF(E742&lt;&gt;"",LEFT(D742,LEN(D742)-2),D742))</f>
        <v/>
      </c>
      <c r="G742" s="13">
        <f>IF(C742="","",IF(OR(IF(AND(LEFT(F742,1)="(",RIGHT(F742,1)=")"),MID(F742,2,LEN(F742)-2),F742)="",IF(AND(LEFT(F742,1)="(",RIGHT(F742,1)=")"),MID(F742,2,LEN(F742)-2),F742)="-"),0,IFERROR(VALUE(IF(AND(LEFT(F742,1)="(",RIGHT(F742,1)=")"),MID(F742,2,LEN(F742)-2),F742))*IF(AND(LEFT(F742,1)="(",RIGHT(F742,1)=")"),-1,1)*IF(E742="Cr",Setup!$B$6,1),"ERR")))</f>
        <v/>
      </c>
      <c r="H742" s="6">
        <f>IF(C742="","",IF(ISNUMBER(G742),1,0))</f>
        <v/>
      </c>
      <c r="I742" s="6">
        <f>IF(C742="","",IF(SUMPRODUCT(($C$12:$C$1511=C742)*1)&gt;1,1,0))</f>
        <v/>
      </c>
      <c r="J742" s="6">
        <f>IF(C742="","",SUMPRODUCT((Mapping!$F$5:$F$504=Setup!$B$4&amp;"||"&amp;C742)*ROW(Mapping!$F$5:$F$504)))</f>
        <v/>
      </c>
      <c r="K742" s="6">
        <f>IF(C742="","",IF(J742=0,"UNMAPPED",LOWER(INDEX(Mapping!$D$1:$D$504,J742))))</f>
        <v/>
      </c>
      <c r="L742" s="6">
        <f>IF(K742="mapped",TRIM(INDEX(Mapping!$C$1:$C$504,J742)),"")</f>
        <v/>
      </c>
      <c r="M742" s="6">
        <f>IF(C742="","",IF(SUMPRODUCT(($C$12:C742=C742)*1)=1,1,0))</f>
        <v/>
      </c>
      <c r="N742" s="6">
        <f>IF(AND(K742="UNMAPPED",M742=1),ROW(),"")</f>
        <v/>
      </c>
      <c r="O742" s="6">
        <f>IF(AND(I742=1,M742=1),ROW(),"")</f>
        <v/>
      </c>
      <c r="P742" s="6">
        <f>IF(AND(K742="ignored",M742=1),ROW(),"")</f>
        <v/>
      </c>
    </row>
    <row r="743">
      <c r="A743" s="8" t="n"/>
      <c r="B743" s="8" t="n"/>
      <c r="C743" s="6">
        <f>TRIM(A743&amp;"")</f>
        <v/>
      </c>
      <c r="D743" s="6">
        <f>IF(C743="","",SUBSTITUTE(SUBSTITUTE(SUBSTITUTE(SUBSTITUTE(SUBSTITUTE(SUBSTITUTE(SUBSTITUTE(UPPER(TRIM(B743&amp;"")),"₹",""),"RS.",""),"RS",""),"INR",""),"$",""),",","")," ",""))</f>
        <v/>
      </c>
      <c r="E743" s="6">
        <f>IF(C743="","",IF(RIGHT(D743,2)="CR","Cr",IF(RIGHT(D743,2)="DR","Dr","")))</f>
        <v/>
      </c>
      <c r="F743" s="6">
        <f>IF(C743="","",IF(E743&lt;&gt;"",LEFT(D743,LEN(D743)-2),D743))</f>
        <v/>
      </c>
      <c r="G743" s="13">
        <f>IF(C743="","",IF(OR(IF(AND(LEFT(F743,1)="(",RIGHT(F743,1)=")"),MID(F743,2,LEN(F743)-2),F743)="",IF(AND(LEFT(F743,1)="(",RIGHT(F743,1)=")"),MID(F743,2,LEN(F743)-2),F743)="-"),0,IFERROR(VALUE(IF(AND(LEFT(F743,1)="(",RIGHT(F743,1)=")"),MID(F743,2,LEN(F743)-2),F743))*IF(AND(LEFT(F743,1)="(",RIGHT(F743,1)=")"),-1,1)*IF(E743="Cr",Setup!$B$6,1),"ERR")))</f>
        <v/>
      </c>
      <c r="H743" s="6">
        <f>IF(C743="","",IF(ISNUMBER(G743),1,0))</f>
        <v/>
      </c>
      <c r="I743" s="6">
        <f>IF(C743="","",IF(SUMPRODUCT(($C$12:$C$1511=C743)*1)&gt;1,1,0))</f>
        <v/>
      </c>
      <c r="J743" s="6">
        <f>IF(C743="","",SUMPRODUCT((Mapping!$F$5:$F$504=Setup!$B$4&amp;"||"&amp;C743)*ROW(Mapping!$F$5:$F$504)))</f>
        <v/>
      </c>
      <c r="K743" s="6">
        <f>IF(C743="","",IF(J743=0,"UNMAPPED",LOWER(INDEX(Mapping!$D$1:$D$504,J743))))</f>
        <v/>
      </c>
      <c r="L743" s="6">
        <f>IF(K743="mapped",TRIM(INDEX(Mapping!$C$1:$C$504,J743)),"")</f>
        <v/>
      </c>
      <c r="M743" s="6">
        <f>IF(C743="","",IF(SUMPRODUCT(($C$12:C743=C743)*1)=1,1,0))</f>
        <v/>
      </c>
      <c r="N743" s="6">
        <f>IF(AND(K743="UNMAPPED",M743=1),ROW(),"")</f>
        <v/>
      </c>
      <c r="O743" s="6">
        <f>IF(AND(I743=1,M743=1),ROW(),"")</f>
        <v/>
      </c>
      <c r="P743" s="6">
        <f>IF(AND(K743="ignored",M743=1),ROW(),"")</f>
        <v/>
      </c>
    </row>
    <row r="744">
      <c r="A744" s="8" t="n"/>
      <c r="B744" s="8" t="n"/>
      <c r="C744" s="6">
        <f>TRIM(A744&amp;"")</f>
        <v/>
      </c>
      <c r="D744" s="6">
        <f>IF(C744="","",SUBSTITUTE(SUBSTITUTE(SUBSTITUTE(SUBSTITUTE(SUBSTITUTE(SUBSTITUTE(SUBSTITUTE(UPPER(TRIM(B744&amp;"")),"₹",""),"RS.",""),"RS",""),"INR",""),"$",""),",","")," ",""))</f>
        <v/>
      </c>
      <c r="E744" s="6">
        <f>IF(C744="","",IF(RIGHT(D744,2)="CR","Cr",IF(RIGHT(D744,2)="DR","Dr","")))</f>
        <v/>
      </c>
      <c r="F744" s="6">
        <f>IF(C744="","",IF(E744&lt;&gt;"",LEFT(D744,LEN(D744)-2),D744))</f>
        <v/>
      </c>
      <c r="G744" s="13">
        <f>IF(C744="","",IF(OR(IF(AND(LEFT(F744,1)="(",RIGHT(F744,1)=")"),MID(F744,2,LEN(F744)-2),F744)="",IF(AND(LEFT(F744,1)="(",RIGHT(F744,1)=")"),MID(F744,2,LEN(F744)-2),F744)="-"),0,IFERROR(VALUE(IF(AND(LEFT(F744,1)="(",RIGHT(F744,1)=")"),MID(F744,2,LEN(F744)-2),F744))*IF(AND(LEFT(F744,1)="(",RIGHT(F744,1)=")"),-1,1)*IF(E744="Cr",Setup!$B$6,1),"ERR")))</f>
        <v/>
      </c>
      <c r="H744" s="6">
        <f>IF(C744="","",IF(ISNUMBER(G744),1,0))</f>
        <v/>
      </c>
      <c r="I744" s="6">
        <f>IF(C744="","",IF(SUMPRODUCT(($C$12:$C$1511=C744)*1)&gt;1,1,0))</f>
        <v/>
      </c>
      <c r="J744" s="6">
        <f>IF(C744="","",SUMPRODUCT((Mapping!$F$5:$F$504=Setup!$B$4&amp;"||"&amp;C744)*ROW(Mapping!$F$5:$F$504)))</f>
        <v/>
      </c>
      <c r="K744" s="6">
        <f>IF(C744="","",IF(J744=0,"UNMAPPED",LOWER(INDEX(Mapping!$D$1:$D$504,J744))))</f>
        <v/>
      </c>
      <c r="L744" s="6">
        <f>IF(K744="mapped",TRIM(INDEX(Mapping!$C$1:$C$504,J744)),"")</f>
        <v/>
      </c>
      <c r="M744" s="6">
        <f>IF(C744="","",IF(SUMPRODUCT(($C$12:C744=C744)*1)=1,1,0))</f>
        <v/>
      </c>
      <c r="N744" s="6">
        <f>IF(AND(K744="UNMAPPED",M744=1),ROW(),"")</f>
        <v/>
      </c>
      <c r="O744" s="6">
        <f>IF(AND(I744=1,M744=1),ROW(),"")</f>
        <v/>
      </c>
      <c r="P744" s="6">
        <f>IF(AND(K744="ignored",M744=1),ROW(),"")</f>
        <v/>
      </c>
    </row>
    <row r="745">
      <c r="A745" s="8" t="n"/>
      <c r="B745" s="8" t="n"/>
      <c r="C745" s="6">
        <f>TRIM(A745&amp;"")</f>
        <v/>
      </c>
      <c r="D745" s="6">
        <f>IF(C745="","",SUBSTITUTE(SUBSTITUTE(SUBSTITUTE(SUBSTITUTE(SUBSTITUTE(SUBSTITUTE(SUBSTITUTE(UPPER(TRIM(B745&amp;"")),"₹",""),"RS.",""),"RS",""),"INR",""),"$",""),",","")," ",""))</f>
        <v/>
      </c>
      <c r="E745" s="6">
        <f>IF(C745="","",IF(RIGHT(D745,2)="CR","Cr",IF(RIGHT(D745,2)="DR","Dr","")))</f>
        <v/>
      </c>
      <c r="F745" s="6">
        <f>IF(C745="","",IF(E745&lt;&gt;"",LEFT(D745,LEN(D745)-2),D745))</f>
        <v/>
      </c>
      <c r="G745" s="13">
        <f>IF(C745="","",IF(OR(IF(AND(LEFT(F745,1)="(",RIGHT(F745,1)=")"),MID(F745,2,LEN(F745)-2),F745)="",IF(AND(LEFT(F745,1)="(",RIGHT(F745,1)=")"),MID(F745,2,LEN(F745)-2),F745)="-"),0,IFERROR(VALUE(IF(AND(LEFT(F745,1)="(",RIGHT(F745,1)=")"),MID(F745,2,LEN(F745)-2),F745))*IF(AND(LEFT(F745,1)="(",RIGHT(F745,1)=")"),-1,1)*IF(E745="Cr",Setup!$B$6,1),"ERR")))</f>
        <v/>
      </c>
      <c r="H745" s="6">
        <f>IF(C745="","",IF(ISNUMBER(G745),1,0))</f>
        <v/>
      </c>
      <c r="I745" s="6">
        <f>IF(C745="","",IF(SUMPRODUCT(($C$12:$C$1511=C745)*1)&gt;1,1,0))</f>
        <v/>
      </c>
      <c r="J745" s="6">
        <f>IF(C745="","",SUMPRODUCT((Mapping!$F$5:$F$504=Setup!$B$4&amp;"||"&amp;C745)*ROW(Mapping!$F$5:$F$504)))</f>
        <v/>
      </c>
      <c r="K745" s="6">
        <f>IF(C745="","",IF(J745=0,"UNMAPPED",LOWER(INDEX(Mapping!$D$1:$D$504,J745))))</f>
        <v/>
      </c>
      <c r="L745" s="6">
        <f>IF(K745="mapped",TRIM(INDEX(Mapping!$C$1:$C$504,J745)),"")</f>
        <v/>
      </c>
      <c r="M745" s="6">
        <f>IF(C745="","",IF(SUMPRODUCT(($C$12:C745=C745)*1)=1,1,0))</f>
        <v/>
      </c>
      <c r="N745" s="6">
        <f>IF(AND(K745="UNMAPPED",M745=1),ROW(),"")</f>
        <v/>
      </c>
      <c r="O745" s="6">
        <f>IF(AND(I745=1,M745=1),ROW(),"")</f>
        <v/>
      </c>
      <c r="P745" s="6">
        <f>IF(AND(K745="ignored",M745=1),ROW(),"")</f>
        <v/>
      </c>
    </row>
    <row r="746">
      <c r="A746" s="8" t="n"/>
      <c r="B746" s="8" t="n"/>
      <c r="C746" s="6">
        <f>TRIM(A746&amp;"")</f>
        <v/>
      </c>
      <c r="D746" s="6">
        <f>IF(C746="","",SUBSTITUTE(SUBSTITUTE(SUBSTITUTE(SUBSTITUTE(SUBSTITUTE(SUBSTITUTE(SUBSTITUTE(UPPER(TRIM(B746&amp;"")),"₹",""),"RS.",""),"RS",""),"INR",""),"$",""),",","")," ",""))</f>
        <v/>
      </c>
      <c r="E746" s="6">
        <f>IF(C746="","",IF(RIGHT(D746,2)="CR","Cr",IF(RIGHT(D746,2)="DR","Dr","")))</f>
        <v/>
      </c>
      <c r="F746" s="6">
        <f>IF(C746="","",IF(E746&lt;&gt;"",LEFT(D746,LEN(D746)-2),D746))</f>
        <v/>
      </c>
      <c r="G746" s="13">
        <f>IF(C746="","",IF(OR(IF(AND(LEFT(F746,1)="(",RIGHT(F746,1)=")"),MID(F746,2,LEN(F746)-2),F746)="",IF(AND(LEFT(F746,1)="(",RIGHT(F746,1)=")"),MID(F746,2,LEN(F746)-2),F746)="-"),0,IFERROR(VALUE(IF(AND(LEFT(F746,1)="(",RIGHT(F746,1)=")"),MID(F746,2,LEN(F746)-2),F746))*IF(AND(LEFT(F746,1)="(",RIGHT(F746,1)=")"),-1,1)*IF(E746="Cr",Setup!$B$6,1),"ERR")))</f>
        <v/>
      </c>
      <c r="H746" s="6">
        <f>IF(C746="","",IF(ISNUMBER(G746),1,0))</f>
        <v/>
      </c>
      <c r="I746" s="6">
        <f>IF(C746="","",IF(SUMPRODUCT(($C$12:$C$1511=C746)*1)&gt;1,1,0))</f>
        <v/>
      </c>
      <c r="J746" s="6">
        <f>IF(C746="","",SUMPRODUCT((Mapping!$F$5:$F$504=Setup!$B$4&amp;"||"&amp;C746)*ROW(Mapping!$F$5:$F$504)))</f>
        <v/>
      </c>
      <c r="K746" s="6">
        <f>IF(C746="","",IF(J746=0,"UNMAPPED",LOWER(INDEX(Mapping!$D$1:$D$504,J746))))</f>
        <v/>
      </c>
      <c r="L746" s="6">
        <f>IF(K746="mapped",TRIM(INDEX(Mapping!$C$1:$C$504,J746)),"")</f>
        <v/>
      </c>
      <c r="M746" s="6">
        <f>IF(C746="","",IF(SUMPRODUCT(($C$12:C746=C746)*1)=1,1,0))</f>
        <v/>
      </c>
      <c r="N746" s="6">
        <f>IF(AND(K746="UNMAPPED",M746=1),ROW(),"")</f>
        <v/>
      </c>
      <c r="O746" s="6">
        <f>IF(AND(I746=1,M746=1),ROW(),"")</f>
        <v/>
      </c>
      <c r="P746" s="6">
        <f>IF(AND(K746="ignored",M746=1),ROW(),"")</f>
        <v/>
      </c>
    </row>
    <row r="747">
      <c r="A747" s="8" t="n"/>
      <c r="B747" s="8" t="n"/>
      <c r="C747" s="6">
        <f>TRIM(A747&amp;"")</f>
        <v/>
      </c>
      <c r="D747" s="6">
        <f>IF(C747="","",SUBSTITUTE(SUBSTITUTE(SUBSTITUTE(SUBSTITUTE(SUBSTITUTE(SUBSTITUTE(SUBSTITUTE(UPPER(TRIM(B747&amp;"")),"₹",""),"RS.",""),"RS",""),"INR",""),"$",""),",","")," ",""))</f>
        <v/>
      </c>
      <c r="E747" s="6">
        <f>IF(C747="","",IF(RIGHT(D747,2)="CR","Cr",IF(RIGHT(D747,2)="DR","Dr","")))</f>
        <v/>
      </c>
      <c r="F747" s="6">
        <f>IF(C747="","",IF(E747&lt;&gt;"",LEFT(D747,LEN(D747)-2),D747))</f>
        <v/>
      </c>
      <c r="G747" s="13">
        <f>IF(C747="","",IF(OR(IF(AND(LEFT(F747,1)="(",RIGHT(F747,1)=")"),MID(F747,2,LEN(F747)-2),F747)="",IF(AND(LEFT(F747,1)="(",RIGHT(F747,1)=")"),MID(F747,2,LEN(F747)-2),F747)="-"),0,IFERROR(VALUE(IF(AND(LEFT(F747,1)="(",RIGHT(F747,1)=")"),MID(F747,2,LEN(F747)-2),F747))*IF(AND(LEFT(F747,1)="(",RIGHT(F747,1)=")"),-1,1)*IF(E747="Cr",Setup!$B$6,1),"ERR")))</f>
        <v/>
      </c>
      <c r="H747" s="6">
        <f>IF(C747="","",IF(ISNUMBER(G747),1,0))</f>
        <v/>
      </c>
      <c r="I747" s="6">
        <f>IF(C747="","",IF(SUMPRODUCT(($C$12:$C$1511=C747)*1)&gt;1,1,0))</f>
        <v/>
      </c>
      <c r="J747" s="6">
        <f>IF(C747="","",SUMPRODUCT((Mapping!$F$5:$F$504=Setup!$B$4&amp;"||"&amp;C747)*ROW(Mapping!$F$5:$F$504)))</f>
        <v/>
      </c>
      <c r="K747" s="6">
        <f>IF(C747="","",IF(J747=0,"UNMAPPED",LOWER(INDEX(Mapping!$D$1:$D$504,J747))))</f>
        <v/>
      </c>
      <c r="L747" s="6">
        <f>IF(K747="mapped",TRIM(INDEX(Mapping!$C$1:$C$504,J747)),"")</f>
        <v/>
      </c>
      <c r="M747" s="6">
        <f>IF(C747="","",IF(SUMPRODUCT(($C$12:C747=C747)*1)=1,1,0))</f>
        <v/>
      </c>
      <c r="N747" s="6">
        <f>IF(AND(K747="UNMAPPED",M747=1),ROW(),"")</f>
        <v/>
      </c>
      <c r="O747" s="6">
        <f>IF(AND(I747=1,M747=1),ROW(),"")</f>
        <v/>
      </c>
      <c r="P747" s="6">
        <f>IF(AND(K747="ignored",M747=1),ROW(),"")</f>
        <v/>
      </c>
    </row>
    <row r="748">
      <c r="A748" s="8" t="n"/>
      <c r="B748" s="8" t="n"/>
      <c r="C748" s="6">
        <f>TRIM(A748&amp;"")</f>
        <v/>
      </c>
      <c r="D748" s="6">
        <f>IF(C748="","",SUBSTITUTE(SUBSTITUTE(SUBSTITUTE(SUBSTITUTE(SUBSTITUTE(SUBSTITUTE(SUBSTITUTE(UPPER(TRIM(B748&amp;"")),"₹",""),"RS.",""),"RS",""),"INR",""),"$",""),",","")," ",""))</f>
        <v/>
      </c>
      <c r="E748" s="6">
        <f>IF(C748="","",IF(RIGHT(D748,2)="CR","Cr",IF(RIGHT(D748,2)="DR","Dr","")))</f>
        <v/>
      </c>
      <c r="F748" s="6">
        <f>IF(C748="","",IF(E748&lt;&gt;"",LEFT(D748,LEN(D748)-2),D748))</f>
        <v/>
      </c>
      <c r="G748" s="13">
        <f>IF(C748="","",IF(OR(IF(AND(LEFT(F748,1)="(",RIGHT(F748,1)=")"),MID(F748,2,LEN(F748)-2),F748)="",IF(AND(LEFT(F748,1)="(",RIGHT(F748,1)=")"),MID(F748,2,LEN(F748)-2),F748)="-"),0,IFERROR(VALUE(IF(AND(LEFT(F748,1)="(",RIGHT(F748,1)=")"),MID(F748,2,LEN(F748)-2),F748))*IF(AND(LEFT(F748,1)="(",RIGHT(F748,1)=")"),-1,1)*IF(E748="Cr",Setup!$B$6,1),"ERR")))</f>
        <v/>
      </c>
      <c r="H748" s="6">
        <f>IF(C748="","",IF(ISNUMBER(G748),1,0))</f>
        <v/>
      </c>
      <c r="I748" s="6">
        <f>IF(C748="","",IF(SUMPRODUCT(($C$12:$C$1511=C748)*1)&gt;1,1,0))</f>
        <v/>
      </c>
      <c r="J748" s="6">
        <f>IF(C748="","",SUMPRODUCT((Mapping!$F$5:$F$504=Setup!$B$4&amp;"||"&amp;C748)*ROW(Mapping!$F$5:$F$504)))</f>
        <v/>
      </c>
      <c r="K748" s="6">
        <f>IF(C748="","",IF(J748=0,"UNMAPPED",LOWER(INDEX(Mapping!$D$1:$D$504,J748))))</f>
        <v/>
      </c>
      <c r="L748" s="6">
        <f>IF(K748="mapped",TRIM(INDEX(Mapping!$C$1:$C$504,J748)),"")</f>
        <v/>
      </c>
      <c r="M748" s="6">
        <f>IF(C748="","",IF(SUMPRODUCT(($C$12:C748=C748)*1)=1,1,0))</f>
        <v/>
      </c>
      <c r="N748" s="6">
        <f>IF(AND(K748="UNMAPPED",M748=1),ROW(),"")</f>
        <v/>
      </c>
      <c r="O748" s="6">
        <f>IF(AND(I748=1,M748=1),ROW(),"")</f>
        <v/>
      </c>
      <c r="P748" s="6">
        <f>IF(AND(K748="ignored",M748=1),ROW(),"")</f>
        <v/>
      </c>
    </row>
    <row r="749">
      <c r="A749" s="8" t="n"/>
      <c r="B749" s="8" t="n"/>
      <c r="C749" s="6">
        <f>TRIM(A749&amp;"")</f>
        <v/>
      </c>
      <c r="D749" s="6">
        <f>IF(C749="","",SUBSTITUTE(SUBSTITUTE(SUBSTITUTE(SUBSTITUTE(SUBSTITUTE(SUBSTITUTE(SUBSTITUTE(UPPER(TRIM(B749&amp;"")),"₹",""),"RS.",""),"RS",""),"INR",""),"$",""),",","")," ",""))</f>
        <v/>
      </c>
      <c r="E749" s="6">
        <f>IF(C749="","",IF(RIGHT(D749,2)="CR","Cr",IF(RIGHT(D749,2)="DR","Dr","")))</f>
        <v/>
      </c>
      <c r="F749" s="6">
        <f>IF(C749="","",IF(E749&lt;&gt;"",LEFT(D749,LEN(D749)-2),D749))</f>
        <v/>
      </c>
      <c r="G749" s="13">
        <f>IF(C749="","",IF(OR(IF(AND(LEFT(F749,1)="(",RIGHT(F749,1)=")"),MID(F749,2,LEN(F749)-2),F749)="",IF(AND(LEFT(F749,1)="(",RIGHT(F749,1)=")"),MID(F749,2,LEN(F749)-2),F749)="-"),0,IFERROR(VALUE(IF(AND(LEFT(F749,1)="(",RIGHT(F749,1)=")"),MID(F749,2,LEN(F749)-2),F749))*IF(AND(LEFT(F749,1)="(",RIGHT(F749,1)=")"),-1,1)*IF(E749="Cr",Setup!$B$6,1),"ERR")))</f>
        <v/>
      </c>
      <c r="H749" s="6">
        <f>IF(C749="","",IF(ISNUMBER(G749),1,0))</f>
        <v/>
      </c>
      <c r="I749" s="6">
        <f>IF(C749="","",IF(SUMPRODUCT(($C$12:$C$1511=C749)*1)&gt;1,1,0))</f>
        <v/>
      </c>
      <c r="J749" s="6">
        <f>IF(C749="","",SUMPRODUCT((Mapping!$F$5:$F$504=Setup!$B$4&amp;"||"&amp;C749)*ROW(Mapping!$F$5:$F$504)))</f>
        <v/>
      </c>
      <c r="K749" s="6">
        <f>IF(C749="","",IF(J749=0,"UNMAPPED",LOWER(INDEX(Mapping!$D$1:$D$504,J749))))</f>
        <v/>
      </c>
      <c r="L749" s="6">
        <f>IF(K749="mapped",TRIM(INDEX(Mapping!$C$1:$C$504,J749)),"")</f>
        <v/>
      </c>
      <c r="M749" s="6">
        <f>IF(C749="","",IF(SUMPRODUCT(($C$12:C749=C749)*1)=1,1,0))</f>
        <v/>
      </c>
      <c r="N749" s="6">
        <f>IF(AND(K749="UNMAPPED",M749=1),ROW(),"")</f>
        <v/>
      </c>
      <c r="O749" s="6">
        <f>IF(AND(I749=1,M749=1),ROW(),"")</f>
        <v/>
      </c>
      <c r="P749" s="6">
        <f>IF(AND(K749="ignored",M749=1),ROW(),"")</f>
        <v/>
      </c>
    </row>
    <row r="750">
      <c r="A750" s="8" t="n"/>
      <c r="B750" s="8" t="n"/>
      <c r="C750" s="6">
        <f>TRIM(A750&amp;"")</f>
        <v/>
      </c>
      <c r="D750" s="6">
        <f>IF(C750="","",SUBSTITUTE(SUBSTITUTE(SUBSTITUTE(SUBSTITUTE(SUBSTITUTE(SUBSTITUTE(SUBSTITUTE(UPPER(TRIM(B750&amp;"")),"₹",""),"RS.",""),"RS",""),"INR",""),"$",""),",","")," ",""))</f>
        <v/>
      </c>
      <c r="E750" s="6">
        <f>IF(C750="","",IF(RIGHT(D750,2)="CR","Cr",IF(RIGHT(D750,2)="DR","Dr","")))</f>
        <v/>
      </c>
      <c r="F750" s="6">
        <f>IF(C750="","",IF(E750&lt;&gt;"",LEFT(D750,LEN(D750)-2),D750))</f>
        <v/>
      </c>
      <c r="G750" s="13">
        <f>IF(C750="","",IF(OR(IF(AND(LEFT(F750,1)="(",RIGHT(F750,1)=")"),MID(F750,2,LEN(F750)-2),F750)="",IF(AND(LEFT(F750,1)="(",RIGHT(F750,1)=")"),MID(F750,2,LEN(F750)-2),F750)="-"),0,IFERROR(VALUE(IF(AND(LEFT(F750,1)="(",RIGHT(F750,1)=")"),MID(F750,2,LEN(F750)-2),F750))*IF(AND(LEFT(F750,1)="(",RIGHT(F750,1)=")"),-1,1)*IF(E750="Cr",Setup!$B$6,1),"ERR")))</f>
        <v/>
      </c>
      <c r="H750" s="6">
        <f>IF(C750="","",IF(ISNUMBER(G750),1,0))</f>
        <v/>
      </c>
      <c r="I750" s="6">
        <f>IF(C750="","",IF(SUMPRODUCT(($C$12:$C$1511=C750)*1)&gt;1,1,0))</f>
        <v/>
      </c>
      <c r="J750" s="6">
        <f>IF(C750="","",SUMPRODUCT((Mapping!$F$5:$F$504=Setup!$B$4&amp;"||"&amp;C750)*ROW(Mapping!$F$5:$F$504)))</f>
        <v/>
      </c>
      <c r="K750" s="6">
        <f>IF(C750="","",IF(J750=0,"UNMAPPED",LOWER(INDEX(Mapping!$D$1:$D$504,J750))))</f>
        <v/>
      </c>
      <c r="L750" s="6">
        <f>IF(K750="mapped",TRIM(INDEX(Mapping!$C$1:$C$504,J750)),"")</f>
        <v/>
      </c>
      <c r="M750" s="6">
        <f>IF(C750="","",IF(SUMPRODUCT(($C$12:C750=C750)*1)=1,1,0))</f>
        <v/>
      </c>
      <c r="N750" s="6">
        <f>IF(AND(K750="UNMAPPED",M750=1),ROW(),"")</f>
        <v/>
      </c>
      <c r="O750" s="6">
        <f>IF(AND(I750=1,M750=1),ROW(),"")</f>
        <v/>
      </c>
      <c r="P750" s="6">
        <f>IF(AND(K750="ignored",M750=1),ROW(),"")</f>
        <v/>
      </c>
    </row>
    <row r="751">
      <c r="A751" s="8" t="n"/>
      <c r="B751" s="8" t="n"/>
      <c r="C751" s="6">
        <f>TRIM(A751&amp;"")</f>
        <v/>
      </c>
      <c r="D751" s="6">
        <f>IF(C751="","",SUBSTITUTE(SUBSTITUTE(SUBSTITUTE(SUBSTITUTE(SUBSTITUTE(SUBSTITUTE(SUBSTITUTE(UPPER(TRIM(B751&amp;"")),"₹",""),"RS.",""),"RS",""),"INR",""),"$",""),",","")," ",""))</f>
        <v/>
      </c>
      <c r="E751" s="6">
        <f>IF(C751="","",IF(RIGHT(D751,2)="CR","Cr",IF(RIGHT(D751,2)="DR","Dr","")))</f>
        <v/>
      </c>
      <c r="F751" s="6">
        <f>IF(C751="","",IF(E751&lt;&gt;"",LEFT(D751,LEN(D751)-2),D751))</f>
        <v/>
      </c>
      <c r="G751" s="13">
        <f>IF(C751="","",IF(OR(IF(AND(LEFT(F751,1)="(",RIGHT(F751,1)=")"),MID(F751,2,LEN(F751)-2),F751)="",IF(AND(LEFT(F751,1)="(",RIGHT(F751,1)=")"),MID(F751,2,LEN(F751)-2),F751)="-"),0,IFERROR(VALUE(IF(AND(LEFT(F751,1)="(",RIGHT(F751,1)=")"),MID(F751,2,LEN(F751)-2),F751))*IF(AND(LEFT(F751,1)="(",RIGHT(F751,1)=")"),-1,1)*IF(E751="Cr",Setup!$B$6,1),"ERR")))</f>
        <v/>
      </c>
      <c r="H751" s="6">
        <f>IF(C751="","",IF(ISNUMBER(G751),1,0))</f>
        <v/>
      </c>
      <c r="I751" s="6">
        <f>IF(C751="","",IF(SUMPRODUCT(($C$12:$C$1511=C751)*1)&gt;1,1,0))</f>
        <v/>
      </c>
      <c r="J751" s="6">
        <f>IF(C751="","",SUMPRODUCT((Mapping!$F$5:$F$504=Setup!$B$4&amp;"||"&amp;C751)*ROW(Mapping!$F$5:$F$504)))</f>
        <v/>
      </c>
      <c r="K751" s="6">
        <f>IF(C751="","",IF(J751=0,"UNMAPPED",LOWER(INDEX(Mapping!$D$1:$D$504,J751))))</f>
        <v/>
      </c>
      <c r="L751" s="6">
        <f>IF(K751="mapped",TRIM(INDEX(Mapping!$C$1:$C$504,J751)),"")</f>
        <v/>
      </c>
      <c r="M751" s="6">
        <f>IF(C751="","",IF(SUMPRODUCT(($C$12:C751=C751)*1)=1,1,0))</f>
        <v/>
      </c>
      <c r="N751" s="6">
        <f>IF(AND(K751="UNMAPPED",M751=1),ROW(),"")</f>
        <v/>
      </c>
      <c r="O751" s="6">
        <f>IF(AND(I751=1,M751=1),ROW(),"")</f>
        <v/>
      </c>
      <c r="P751" s="6">
        <f>IF(AND(K751="ignored",M751=1),ROW(),"")</f>
        <v/>
      </c>
    </row>
    <row r="752">
      <c r="A752" s="8" t="n"/>
      <c r="B752" s="8" t="n"/>
      <c r="C752" s="6">
        <f>TRIM(A752&amp;"")</f>
        <v/>
      </c>
      <c r="D752" s="6">
        <f>IF(C752="","",SUBSTITUTE(SUBSTITUTE(SUBSTITUTE(SUBSTITUTE(SUBSTITUTE(SUBSTITUTE(SUBSTITUTE(UPPER(TRIM(B752&amp;"")),"₹",""),"RS.",""),"RS",""),"INR",""),"$",""),",","")," ",""))</f>
        <v/>
      </c>
      <c r="E752" s="6">
        <f>IF(C752="","",IF(RIGHT(D752,2)="CR","Cr",IF(RIGHT(D752,2)="DR","Dr","")))</f>
        <v/>
      </c>
      <c r="F752" s="6">
        <f>IF(C752="","",IF(E752&lt;&gt;"",LEFT(D752,LEN(D752)-2),D752))</f>
        <v/>
      </c>
      <c r="G752" s="13">
        <f>IF(C752="","",IF(OR(IF(AND(LEFT(F752,1)="(",RIGHT(F752,1)=")"),MID(F752,2,LEN(F752)-2),F752)="",IF(AND(LEFT(F752,1)="(",RIGHT(F752,1)=")"),MID(F752,2,LEN(F752)-2),F752)="-"),0,IFERROR(VALUE(IF(AND(LEFT(F752,1)="(",RIGHT(F752,1)=")"),MID(F752,2,LEN(F752)-2),F752))*IF(AND(LEFT(F752,1)="(",RIGHT(F752,1)=")"),-1,1)*IF(E752="Cr",Setup!$B$6,1),"ERR")))</f>
        <v/>
      </c>
      <c r="H752" s="6">
        <f>IF(C752="","",IF(ISNUMBER(G752),1,0))</f>
        <v/>
      </c>
      <c r="I752" s="6">
        <f>IF(C752="","",IF(SUMPRODUCT(($C$12:$C$1511=C752)*1)&gt;1,1,0))</f>
        <v/>
      </c>
      <c r="J752" s="6">
        <f>IF(C752="","",SUMPRODUCT((Mapping!$F$5:$F$504=Setup!$B$4&amp;"||"&amp;C752)*ROW(Mapping!$F$5:$F$504)))</f>
        <v/>
      </c>
      <c r="K752" s="6">
        <f>IF(C752="","",IF(J752=0,"UNMAPPED",LOWER(INDEX(Mapping!$D$1:$D$504,J752))))</f>
        <v/>
      </c>
      <c r="L752" s="6">
        <f>IF(K752="mapped",TRIM(INDEX(Mapping!$C$1:$C$504,J752)),"")</f>
        <v/>
      </c>
      <c r="M752" s="6">
        <f>IF(C752="","",IF(SUMPRODUCT(($C$12:C752=C752)*1)=1,1,0))</f>
        <v/>
      </c>
      <c r="N752" s="6">
        <f>IF(AND(K752="UNMAPPED",M752=1),ROW(),"")</f>
        <v/>
      </c>
      <c r="O752" s="6">
        <f>IF(AND(I752=1,M752=1),ROW(),"")</f>
        <v/>
      </c>
      <c r="P752" s="6">
        <f>IF(AND(K752="ignored",M752=1),ROW(),"")</f>
        <v/>
      </c>
    </row>
    <row r="753">
      <c r="A753" s="8" t="n"/>
      <c r="B753" s="8" t="n"/>
      <c r="C753" s="6">
        <f>TRIM(A753&amp;"")</f>
        <v/>
      </c>
      <c r="D753" s="6">
        <f>IF(C753="","",SUBSTITUTE(SUBSTITUTE(SUBSTITUTE(SUBSTITUTE(SUBSTITUTE(SUBSTITUTE(SUBSTITUTE(UPPER(TRIM(B753&amp;"")),"₹",""),"RS.",""),"RS",""),"INR",""),"$",""),",","")," ",""))</f>
        <v/>
      </c>
      <c r="E753" s="6">
        <f>IF(C753="","",IF(RIGHT(D753,2)="CR","Cr",IF(RIGHT(D753,2)="DR","Dr","")))</f>
        <v/>
      </c>
      <c r="F753" s="6">
        <f>IF(C753="","",IF(E753&lt;&gt;"",LEFT(D753,LEN(D753)-2),D753))</f>
        <v/>
      </c>
      <c r="G753" s="13">
        <f>IF(C753="","",IF(OR(IF(AND(LEFT(F753,1)="(",RIGHT(F753,1)=")"),MID(F753,2,LEN(F753)-2),F753)="",IF(AND(LEFT(F753,1)="(",RIGHT(F753,1)=")"),MID(F753,2,LEN(F753)-2),F753)="-"),0,IFERROR(VALUE(IF(AND(LEFT(F753,1)="(",RIGHT(F753,1)=")"),MID(F753,2,LEN(F753)-2),F753))*IF(AND(LEFT(F753,1)="(",RIGHT(F753,1)=")"),-1,1)*IF(E753="Cr",Setup!$B$6,1),"ERR")))</f>
        <v/>
      </c>
      <c r="H753" s="6">
        <f>IF(C753="","",IF(ISNUMBER(G753),1,0))</f>
        <v/>
      </c>
      <c r="I753" s="6">
        <f>IF(C753="","",IF(SUMPRODUCT(($C$12:$C$1511=C753)*1)&gt;1,1,0))</f>
        <v/>
      </c>
      <c r="J753" s="6">
        <f>IF(C753="","",SUMPRODUCT((Mapping!$F$5:$F$504=Setup!$B$4&amp;"||"&amp;C753)*ROW(Mapping!$F$5:$F$504)))</f>
        <v/>
      </c>
      <c r="K753" s="6">
        <f>IF(C753="","",IF(J753=0,"UNMAPPED",LOWER(INDEX(Mapping!$D$1:$D$504,J753))))</f>
        <v/>
      </c>
      <c r="L753" s="6">
        <f>IF(K753="mapped",TRIM(INDEX(Mapping!$C$1:$C$504,J753)),"")</f>
        <v/>
      </c>
      <c r="M753" s="6">
        <f>IF(C753="","",IF(SUMPRODUCT(($C$12:C753=C753)*1)=1,1,0))</f>
        <v/>
      </c>
      <c r="N753" s="6">
        <f>IF(AND(K753="UNMAPPED",M753=1),ROW(),"")</f>
        <v/>
      </c>
      <c r="O753" s="6">
        <f>IF(AND(I753=1,M753=1),ROW(),"")</f>
        <v/>
      </c>
      <c r="P753" s="6">
        <f>IF(AND(K753="ignored",M753=1),ROW(),"")</f>
        <v/>
      </c>
    </row>
    <row r="754">
      <c r="A754" s="8" t="n"/>
      <c r="B754" s="8" t="n"/>
      <c r="C754" s="6">
        <f>TRIM(A754&amp;"")</f>
        <v/>
      </c>
      <c r="D754" s="6">
        <f>IF(C754="","",SUBSTITUTE(SUBSTITUTE(SUBSTITUTE(SUBSTITUTE(SUBSTITUTE(SUBSTITUTE(SUBSTITUTE(UPPER(TRIM(B754&amp;"")),"₹",""),"RS.",""),"RS",""),"INR",""),"$",""),",","")," ",""))</f>
        <v/>
      </c>
      <c r="E754" s="6">
        <f>IF(C754="","",IF(RIGHT(D754,2)="CR","Cr",IF(RIGHT(D754,2)="DR","Dr","")))</f>
        <v/>
      </c>
      <c r="F754" s="6">
        <f>IF(C754="","",IF(E754&lt;&gt;"",LEFT(D754,LEN(D754)-2),D754))</f>
        <v/>
      </c>
      <c r="G754" s="13">
        <f>IF(C754="","",IF(OR(IF(AND(LEFT(F754,1)="(",RIGHT(F754,1)=")"),MID(F754,2,LEN(F754)-2),F754)="",IF(AND(LEFT(F754,1)="(",RIGHT(F754,1)=")"),MID(F754,2,LEN(F754)-2),F754)="-"),0,IFERROR(VALUE(IF(AND(LEFT(F754,1)="(",RIGHT(F754,1)=")"),MID(F754,2,LEN(F754)-2),F754))*IF(AND(LEFT(F754,1)="(",RIGHT(F754,1)=")"),-1,1)*IF(E754="Cr",Setup!$B$6,1),"ERR")))</f>
        <v/>
      </c>
      <c r="H754" s="6">
        <f>IF(C754="","",IF(ISNUMBER(G754),1,0))</f>
        <v/>
      </c>
      <c r="I754" s="6">
        <f>IF(C754="","",IF(SUMPRODUCT(($C$12:$C$1511=C754)*1)&gt;1,1,0))</f>
        <v/>
      </c>
      <c r="J754" s="6">
        <f>IF(C754="","",SUMPRODUCT((Mapping!$F$5:$F$504=Setup!$B$4&amp;"||"&amp;C754)*ROW(Mapping!$F$5:$F$504)))</f>
        <v/>
      </c>
      <c r="K754" s="6">
        <f>IF(C754="","",IF(J754=0,"UNMAPPED",LOWER(INDEX(Mapping!$D$1:$D$504,J754))))</f>
        <v/>
      </c>
      <c r="L754" s="6">
        <f>IF(K754="mapped",TRIM(INDEX(Mapping!$C$1:$C$504,J754)),"")</f>
        <v/>
      </c>
      <c r="M754" s="6">
        <f>IF(C754="","",IF(SUMPRODUCT(($C$12:C754=C754)*1)=1,1,0))</f>
        <v/>
      </c>
      <c r="N754" s="6">
        <f>IF(AND(K754="UNMAPPED",M754=1),ROW(),"")</f>
        <v/>
      </c>
      <c r="O754" s="6">
        <f>IF(AND(I754=1,M754=1),ROW(),"")</f>
        <v/>
      </c>
      <c r="P754" s="6">
        <f>IF(AND(K754="ignored",M754=1),ROW(),"")</f>
        <v/>
      </c>
    </row>
    <row r="755">
      <c r="A755" s="8" t="n"/>
      <c r="B755" s="8" t="n"/>
      <c r="C755" s="6">
        <f>TRIM(A755&amp;"")</f>
        <v/>
      </c>
      <c r="D755" s="6">
        <f>IF(C755="","",SUBSTITUTE(SUBSTITUTE(SUBSTITUTE(SUBSTITUTE(SUBSTITUTE(SUBSTITUTE(SUBSTITUTE(UPPER(TRIM(B755&amp;"")),"₹",""),"RS.",""),"RS",""),"INR",""),"$",""),",","")," ",""))</f>
        <v/>
      </c>
      <c r="E755" s="6">
        <f>IF(C755="","",IF(RIGHT(D755,2)="CR","Cr",IF(RIGHT(D755,2)="DR","Dr","")))</f>
        <v/>
      </c>
      <c r="F755" s="6">
        <f>IF(C755="","",IF(E755&lt;&gt;"",LEFT(D755,LEN(D755)-2),D755))</f>
        <v/>
      </c>
      <c r="G755" s="13">
        <f>IF(C755="","",IF(OR(IF(AND(LEFT(F755,1)="(",RIGHT(F755,1)=")"),MID(F755,2,LEN(F755)-2),F755)="",IF(AND(LEFT(F755,1)="(",RIGHT(F755,1)=")"),MID(F755,2,LEN(F755)-2),F755)="-"),0,IFERROR(VALUE(IF(AND(LEFT(F755,1)="(",RIGHT(F755,1)=")"),MID(F755,2,LEN(F755)-2),F755))*IF(AND(LEFT(F755,1)="(",RIGHT(F755,1)=")"),-1,1)*IF(E755="Cr",Setup!$B$6,1),"ERR")))</f>
        <v/>
      </c>
      <c r="H755" s="6">
        <f>IF(C755="","",IF(ISNUMBER(G755),1,0))</f>
        <v/>
      </c>
      <c r="I755" s="6">
        <f>IF(C755="","",IF(SUMPRODUCT(($C$12:$C$1511=C755)*1)&gt;1,1,0))</f>
        <v/>
      </c>
      <c r="J755" s="6">
        <f>IF(C755="","",SUMPRODUCT((Mapping!$F$5:$F$504=Setup!$B$4&amp;"||"&amp;C755)*ROW(Mapping!$F$5:$F$504)))</f>
        <v/>
      </c>
      <c r="K755" s="6">
        <f>IF(C755="","",IF(J755=0,"UNMAPPED",LOWER(INDEX(Mapping!$D$1:$D$504,J755))))</f>
        <v/>
      </c>
      <c r="L755" s="6">
        <f>IF(K755="mapped",TRIM(INDEX(Mapping!$C$1:$C$504,J755)),"")</f>
        <v/>
      </c>
      <c r="M755" s="6">
        <f>IF(C755="","",IF(SUMPRODUCT(($C$12:C755=C755)*1)=1,1,0))</f>
        <v/>
      </c>
      <c r="N755" s="6">
        <f>IF(AND(K755="UNMAPPED",M755=1),ROW(),"")</f>
        <v/>
      </c>
      <c r="O755" s="6">
        <f>IF(AND(I755=1,M755=1),ROW(),"")</f>
        <v/>
      </c>
      <c r="P755" s="6">
        <f>IF(AND(K755="ignored",M755=1),ROW(),"")</f>
        <v/>
      </c>
    </row>
    <row r="756">
      <c r="A756" s="8" t="n"/>
      <c r="B756" s="8" t="n"/>
      <c r="C756" s="6">
        <f>TRIM(A756&amp;"")</f>
        <v/>
      </c>
      <c r="D756" s="6">
        <f>IF(C756="","",SUBSTITUTE(SUBSTITUTE(SUBSTITUTE(SUBSTITUTE(SUBSTITUTE(SUBSTITUTE(SUBSTITUTE(UPPER(TRIM(B756&amp;"")),"₹",""),"RS.",""),"RS",""),"INR",""),"$",""),",","")," ",""))</f>
        <v/>
      </c>
      <c r="E756" s="6">
        <f>IF(C756="","",IF(RIGHT(D756,2)="CR","Cr",IF(RIGHT(D756,2)="DR","Dr","")))</f>
        <v/>
      </c>
      <c r="F756" s="6">
        <f>IF(C756="","",IF(E756&lt;&gt;"",LEFT(D756,LEN(D756)-2),D756))</f>
        <v/>
      </c>
      <c r="G756" s="13">
        <f>IF(C756="","",IF(OR(IF(AND(LEFT(F756,1)="(",RIGHT(F756,1)=")"),MID(F756,2,LEN(F756)-2),F756)="",IF(AND(LEFT(F756,1)="(",RIGHT(F756,1)=")"),MID(F756,2,LEN(F756)-2),F756)="-"),0,IFERROR(VALUE(IF(AND(LEFT(F756,1)="(",RIGHT(F756,1)=")"),MID(F756,2,LEN(F756)-2),F756))*IF(AND(LEFT(F756,1)="(",RIGHT(F756,1)=")"),-1,1)*IF(E756="Cr",Setup!$B$6,1),"ERR")))</f>
        <v/>
      </c>
      <c r="H756" s="6">
        <f>IF(C756="","",IF(ISNUMBER(G756),1,0))</f>
        <v/>
      </c>
      <c r="I756" s="6">
        <f>IF(C756="","",IF(SUMPRODUCT(($C$12:$C$1511=C756)*1)&gt;1,1,0))</f>
        <v/>
      </c>
      <c r="J756" s="6">
        <f>IF(C756="","",SUMPRODUCT((Mapping!$F$5:$F$504=Setup!$B$4&amp;"||"&amp;C756)*ROW(Mapping!$F$5:$F$504)))</f>
        <v/>
      </c>
      <c r="K756" s="6">
        <f>IF(C756="","",IF(J756=0,"UNMAPPED",LOWER(INDEX(Mapping!$D$1:$D$504,J756))))</f>
        <v/>
      </c>
      <c r="L756" s="6">
        <f>IF(K756="mapped",TRIM(INDEX(Mapping!$C$1:$C$504,J756)),"")</f>
        <v/>
      </c>
      <c r="M756" s="6">
        <f>IF(C756="","",IF(SUMPRODUCT(($C$12:C756=C756)*1)=1,1,0))</f>
        <v/>
      </c>
      <c r="N756" s="6">
        <f>IF(AND(K756="UNMAPPED",M756=1),ROW(),"")</f>
        <v/>
      </c>
      <c r="O756" s="6">
        <f>IF(AND(I756=1,M756=1),ROW(),"")</f>
        <v/>
      </c>
      <c r="P756" s="6">
        <f>IF(AND(K756="ignored",M756=1),ROW(),"")</f>
        <v/>
      </c>
    </row>
    <row r="757">
      <c r="A757" s="8" t="n"/>
      <c r="B757" s="8" t="n"/>
      <c r="C757" s="6">
        <f>TRIM(A757&amp;"")</f>
        <v/>
      </c>
      <c r="D757" s="6">
        <f>IF(C757="","",SUBSTITUTE(SUBSTITUTE(SUBSTITUTE(SUBSTITUTE(SUBSTITUTE(SUBSTITUTE(SUBSTITUTE(UPPER(TRIM(B757&amp;"")),"₹",""),"RS.",""),"RS",""),"INR",""),"$",""),",","")," ",""))</f>
        <v/>
      </c>
      <c r="E757" s="6">
        <f>IF(C757="","",IF(RIGHT(D757,2)="CR","Cr",IF(RIGHT(D757,2)="DR","Dr","")))</f>
        <v/>
      </c>
      <c r="F757" s="6">
        <f>IF(C757="","",IF(E757&lt;&gt;"",LEFT(D757,LEN(D757)-2),D757))</f>
        <v/>
      </c>
      <c r="G757" s="13">
        <f>IF(C757="","",IF(OR(IF(AND(LEFT(F757,1)="(",RIGHT(F757,1)=")"),MID(F757,2,LEN(F757)-2),F757)="",IF(AND(LEFT(F757,1)="(",RIGHT(F757,1)=")"),MID(F757,2,LEN(F757)-2),F757)="-"),0,IFERROR(VALUE(IF(AND(LEFT(F757,1)="(",RIGHT(F757,1)=")"),MID(F757,2,LEN(F757)-2),F757))*IF(AND(LEFT(F757,1)="(",RIGHT(F757,1)=")"),-1,1)*IF(E757="Cr",Setup!$B$6,1),"ERR")))</f>
        <v/>
      </c>
      <c r="H757" s="6">
        <f>IF(C757="","",IF(ISNUMBER(G757),1,0))</f>
        <v/>
      </c>
      <c r="I757" s="6">
        <f>IF(C757="","",IF(SUMPRODUCT(($C$12:$C$1511=C757)*1)&gt;1,1,0))</f>
        <v/>
      </c>
      <c r="J757" s="6">
        <f>IF(C757="","",SUMPRODUCT((Mapping!$F$5:$F$504=Setup!$B$4&amp;"||"&amp;C757)*ROW(Mapping!$F$5:$F$504)))</f>
        <v/>
      </c>
      <c r="K757" s="6">
        <f>IF(C757="","",IF(J757=0,"UNMAPPED",LOWER(INDEX(Mapping!$D$1:$D$504,J757))))</f>
        <v/>
      </c>
      <c r="L757" s="6">
        <f>IF(K757="mapped",TRIM(INDEX(Mapping!$C$1:$C$504,J757)),"")</f>
        <v/>
      </c>
      <c r="M757" s="6">
        <f>IF(C757="","",IF(SUMPRODUCT(($C$12:C757=C757)*1)=1,1,0))</f>
        <v/>
      </c>
      <c r="N757" s="6">
        <f>IF(AND(K757="UNMAPPED",M757=1),ROW(),"")</f>
        <v/>
      </c>
      <c r="O757" s="6">
        <f>IF(AND(I757=1,M757=1),ROW(),"")</f>
        <v/>
      </c>
      <c r="P757" s="6">
        <f>IF(AND(K757="ignored",M757=1),ROW(),"")</f>
        <v/>
      </c>
    </row>
    <row r="758">
      <c r="A758" s="8" t="n"/>
      <c r="B758" s="8" t="n"/>
      <c r="C758" s="6">
        <f>TRIM(A758&amp;"")</f>
        <v/>
      </c>
      <c r="D758" s="6">
        <f>IF(C758="","",SUBSTITUTE(SUBSTITUTE(SUBSTITUTE(SUBSTITUTE(SUBSTITUTE(SUBSTITUTE(SUBSTITUTE(UPPER(TRIM(B758&amp;"")),"₹",""),"RS.",""),"RS",""),"INR",""),"$",""),",","")," ",""))</f>
        <v/>
      </c>
      <c r="E758" s="6">
        <f>IF(C758="","",IF(RIGHT(D758,2)="CR","Cr",IF(RIGHT(D758,2)="DR","Dr","")))</f>
        <v/>
      </c>
      <c r="F758" s="6">
        <f>IF(C758="","",IF(E758&lt;&gt;"",LEFT(D758,LEN(D758)-2),D758))</f>
        <v/>
      </c>
      <c r="G758" s="13">
        <f>IF(C758="","",IF(OR(IF(AND(LEFT(F758,1)="(",RIGHT(F758,1)=")"),MID(F758,2,LEN(F758)-2),F758)="",IF(AND(LEFT(F758,1)="(",RIGHT(F758,1)=")"),MID(F758,2,LEN(F758)-2),F758)="-"),0,IFERROR(VALUE(IF(AND(LEFT(F758,1)="(",RIGHT(F758,1)=")"),MID(F758,2,LEN(F758)-2),F758))*IF(AND(LEFT(F758,1)="(",RIGHT(F758,1)=")"),-1,1)*IF(E758="Cr",Setup!$B$6,1),"ERR")))</f>
        <v/>
      </c>
      <c r="H758" s="6">
        <f>IF(C758="","",IF(ISNUMBER(G758),1,0))</f>
        <v/>
      </c>
      <c r="I758" s="6">
        <f>IF(C758="","",IF(SUMPRODUCT(($C$12:$C$1511=C758)*1)&gt;1,1,0))</f>
        <v/>
      </c>
      <c r="J758" s="6">
        <f>IF(C758="","",SUMPRODUCT((Mapping!$F$5:$F$504=Setup!$B$4&amp;"||"&amp;C758)*ROW(Mapping!$F$5:$F$504)))</f>
        <v/>
      </c>
      <c r="K758" s="6">
        <f>IF(C758="","",IF(J758=0,"UNMAPPED",LOWER(INDEX(Mapping!$D$1:$D$504,J758))))</f>
        <v/>
      </c>
      <c r="L758" s="6">
        <f>IF(K758="mapped",TRIM(INDEX(Mapping!$C$1:$C$504,J758)),"")</f>
        <v/>
      </c>
      <c r="M758" s="6">
        <f>IF(C758="","",IF(SUMPRODUCT(($C$12:C758=C758)*1)=1,1,0))</f>
        <v/>
      </c>
      <c r="N758" s="6">
        <f>IF(AND(K758="UNMAPPED",M758=1),ROW(),"")</f>
        <v/>
      </c>
      <c r="O758" s="6">
        <f>IF(AND(I758=1,M758=1),ROW(),"")</f>
        <v/>
      </c>
      <c r="P758" s="6">
        <f>IF(AND(K758="ignored",M758=1),ROW(),"")</f>
        <v/>
      </c>
    </row>
    <row r="759">
      <c r="A759" s="8" t="n"/>
      <c r="B759" s="8" t="n"/>
      <c r="C759" s="6">
        <f>TRIM(A759&amp;"")</f>
        <v/>
      </c>
      <c r="D759" s="6">
        <f>IF(C759="","",SUBSTITUTE(SUBSTITUTE(SUBSTITUTE(SUBSTITUTE(SUBSTITUTE(SUBSTITUTE(SUBSTITUTE(UPPER(TRIM(B759&amp;"")),"₹",""),"RS.",""),"RS",""),"INR",""),"$",""),",","")," ",""))</f>
        <v/>
      </c>
      <c r="E759" s="6">
        <f>IF(C759="","",IF(RIGHT(D759,2)="CR","Cr",IF(RIGHT(D759,2)="DR","Dr","")))</f>
        <v/>
      </c>
      <c r="F759" s="6">
        <f>IF(C759="","",IF(E759&lt;&gt;"",LEFT(D759,LEN(D759)-2),D759))</f>
        <v/>
      </c>
      <c r="G759" s="13">
        <f>IF(C759="","",IF(OR(IF(AND(LEFT(F759,1)="(",RIGHT(F759,1)=")"),MID(F759,2,LEN(F759)-2),F759)="",IF(AND(LEFT(F759,1)="(",RIGHT(F759,1)=")"),MID(F759,2,LEN(F759)-2),F759)="-"),0,IFERROR(VALUE(IF(AND(LEFT(F759,1)="(",RIGHT(F759,1)=")"),MID(F759,2,LEN(F759)-2),F759))*IF(AND(LEFT(F759,1)="(",RIGHT(F759,1)=")"),-1,1)*IF(E759="Cr",Setup!$B$6,1),"ERR")))</f>
        <v/>
      </c>
      <c r="H759" s="6">
        <f>IF(C759="","",IF(ISNUMBER(G759),1,0))</f>
        <v/>
      </c>
      <c r="I759" s="6">
        <f>IF(C759="","",IF(SUMPRODUCT(($C$12:$C$1511=C759)*1)&gt;1,1,0))</f>
        <v/>
      </c>
      <c r="J759" s="6">
        <f>IF(C759="","",SUMPRODUCT((Mapping!$F$5:$F$504=Setup!$B$4&amp;"||"&amp;C759)*ROW(Mapping!$F$5:$F$504)))</f>
        <v/>
      </c>
      <c r="K759" s="6">
        <f>IF(C759="","",IF(J759=0,"UNMAPPED",LOWER(INDEX(Mapping!$D$1:$D$504,J759))))</f>
        <v/>
      </c>
      <c r="L759" s="6">
        <f>IF(K759="mapped",TRIM(INDEX(Mapping!$C$1:$C$504,J759)),"")</f>
        <v/>
      </c>
      <c r="M759" s="6">
        <f>IF(C759="","",IF(SUMPRODUCT(($C$12:C759=C759)*1)=1,1,0))</f>
        <v/>
      </c>
      <c r="N759" s="6">
        <f>IF(AND(K759="UNMAPPED",M759=1),ROW(),"")</f>
        <v/>
      </c>
      <c r="O759" s="6">
        <f>IF(AND(I759=1,M759=1),ROW(),"")</f>
        <v/>
      </c>
      <c r="P759" s="6">
        <f>IF(AND(K759="ignored",M759=1),ROW(),"")</f>
        <v/>
      </c>
    </row>
    <row r="760">
      <c r="A760" s="8" t="n"/>
      <c r="B760" s="8" t="n"/>
      <c r="C760" s="6">
        <f>TRIM(A760&amp;"")</f>
        <v/>
      </c>
      <c r="D760" s="6">
        <f>IF(C760="","",SUBSTITUTE(SUBSTITUTE(SUBSTITUTE(SUBSTITUTE(SUBSTITUTE(SUBSTITUTE(SUBSTITUTE(UPPER(TRIM(B760&amp;"")),"₹",""),"RS.",""),"RS",""),"INR",""),"$",""),",","")," ",""))</f>
        <v/>
      </c>
      <c r="E760" s="6">
        <f>IF(C760="","",IF(RIGHT(D760,2)="CR","Cr",IF(RIGHT(D760,2)="DR","Dr","")))</f>
        <v/>
      </c>
      <c r="F760" s="6">
        <f>IF(C760="","",IF(E760&lt;&gt;"",LEFT(D760,LEN(D760)-2),D760))</f>
        <v/>
      </c>
      <c r="G760" s="13">
        <f>IF(C760="","",IF(OR(IF(AND(LEFT(F760,1)="(",RIGHT(F760,1)=")"),MID(F760,2,LEN(F760)-2),F760)="",IF(AND(LEFT(F760,1)="(",RIGHT(F760,1)=")"),MID(F760,2,LEN(F760)-2),F760)="-"),0,IFERROR(VALUE(IF(AND(LEFT(F760,1)="(",RIGHT(F760,1)=")"),MID(F760,2,LEN(F760)-2),F760))*IF(AND(LEFT(F760,1)="(",RIGHT(F760,1)=")"),-1,1)*IF(E760="Cr",Setup!$B$6,1),"ERR")))</f>
        <v/>
      </c>
      <c r="H760" s="6">
        <f>IF(C760="","",IF(ISNUMBER(G760),1,0))</f>
        <v/>
      </c>
      <c r="I760" s="6">
        <f>IF(C760="","",IF(SUMPRODUCT(($C$12:$C$1511=C760)*1)&gt;1,1,0))</f>
        <v/>
      </c>
      <c r="J760" s="6">
        <f>IF(C760="","",SUMPRODUCT((Mapping!$F$5:$F$504=Setup!$B$4&amp;"||"&amp;C760)*ROW(Mapping!$F$5:$F$504)))</f>
        <v/>
      </c>
      <c r="K760" s="6">
        <f>IF(C760="","",IF(J760=0,"UNMAPPED",LOWER(INDEX(Mapping!$D$1:$D$504,J760))))</f>
        <v/>
      </c>
      <c r="L760" s="6">
        <f>IF(K760="mapped",TRIM(INDEX(Mapping!$C$1:$C$504,J760)),"")</f>
        <v/>
      </c>
      <c r="M760" s="6">
        <f>IF(C760="","",IF(SUMPRODUCT(($C$12:C760=C760)*1)=1,1,0))</f>
        <v/>
      </c>
      <c r="N760" s="6">
        <f>IF(AND(K760="UNMAPPED",M760=1),ROW(),"")</f>
        <v/>
      </c>
      <c r="O760" s="6">
        <f>IF(AND(I760=1,M760=1),ROW(),"")</f>
        <v/>
      </c>
      <c r="P760" s="6">
        <f>IF(AND(K760="ignored",M760=1),ROW(),"")</f>
        <v/>
      </c>
    </row>
    <row r="761">
      <c r="A761" s="8" t="n"/>
      <c r="B761" s="8" t="n"/>
      <c r="C761" s="6">
        <f>TRIM(A761&amp;"")</f>
        <v/>
      </c>
      <c r="D761" s="6">
        <f>IF(C761="","",SUBSTITUTE(SUBSTITUTE(SUBSTITUTE(SUBSTITUTE(SUBSTITUTE(SUBSTITUTE(SUBSTITUTE(UPPER(TRIM(B761&amp;"")),"₹",""),"RS.",""),"RS",""),"INR",""),"$",""),",","")," ",""))</f>
        <v/>
      </c>
      <c r="E761" s="6">
        <f>IF(C761="","",IF(RIGHT(D761,2)="CR","Cr",IF(RIGHT(D761,2)="DR","Dr","")))</f>
        <v/>
      </c>
      <c r="F761" s="6">
        <f>IF(C761="","",IF(E761&lt;&gt;"",LEFT(D761,LEN(D761)-2),D761))</f>
        <v/>
      </c>
      <c r="G761" s="13">
        <f>IF(C761="","",IF(OR(IF(AND(LEFT(F761,1)="(",RIGHT(F761,1)=")"),MID(F761,2,LEN(F761)-2),F761)="",IF(AND(LEFT(F761,1)="(",RIGHT(F761,1)=")"),MID(F761,2,LEN(F761)-2),F761)="-"),0,IFERROR(VALUE(IF(AND(LEFT(F761,1)="(",RIGHT(F761,1)=")"),MID(F761,2,LEN(F761)-2),F761))*IF(AND(LEFT(F761,1)="(",RIGHT(F761,1)=")"),-1,1)*IF(E761="Cr",Setup!$B$6,1),"ERR")))</f>
        <v/>
      </c>
      <c r="H761" s="6">
        <f>IF(C761="","",IF(ISNUMBER(G761),1,0))</f>
        <v/>
      </c>
      <c r="I761" s="6">
        <f>IF(C761="","",IF(SUMPRODUCT(($C$12:$C$1511=C761)*1)&gt;1,1,0))</f>
        <v/>
      </c>
      <c r="J761" s="6">
        <f>IF(C761="","",SUMPRODUCT((Mapping!$F$5:$F$504=Setup!$B$4&amp;"||"&amp;C761)*ROW(Mapping!$F$5:$F$504)))</f>
        <v/>
      </c>
      <c r="K761" s="6">
        <f>IF(C761="","",IF(J761=0,"UNMAPPED",LOWER(INDEX(Mapping!$D$1:$D$504,J761))))</f>
        <v/>
      </c>
      <c r="L761" s="6">
        <f>IF(K761="mapped",TRIM(INDEX(Mapping!$C$1:$C$504,J761)),"")</f>
        <v/>
      </c>
      <c r="M761" s="6">
        <f>IF(C761="","",IF(SUMPRODUCT(($C$12:C761=C761)*1)=1,1,0))</f>
        <v/>
      </c>
      <c r="N761" s="6">
        <f>IF(AND(K761="UNMAPPED",M761=1),ROW(),"")</f>
        <v/>
      </c>
      <c r="O761" s="6">
        <f>IF(AND(I761=1,M761=1),ROW(),"")</f>
        <v/>
      </c>
      <c r="P761" s="6">
        <f>IF(AND(K761="ignored",M761=1),ROW(),"")</f>
        <v/>
      </c>
    </row>
    <row r="762">
      <c r="A762" s="8" t="n"/>
      <c r="B762" s="8" t="n"/>
      <c r="C762" s="6">
        <f>TRIM(A762&amp;"")</f>
        <v/>
      </c>
      <c r="D762" s="6">
        <f>IF(C762="","",SUBSTITUTE(SUBSTITUTE(SUBSTITUTE(SUBSTITUTE(SUBSTITUTE(SUBSTITUTE(SUBSTITUTE(UPPER(TRIM(B762&amp;"")),"₹",""),"RS.",""),"RS",""),"INR",""),"$",""),",","")," ",""))</f>
        <v/>
      </c>
      <c r="E762" s="6">
        <f>IF(C762="","",IF(RIGHT(D762,2)="CR","Cr",IF(RIGHT(D762,2)="DR","Dr","")))</f>
        <v/>
      </c>
      <c r="F762" s="6">
        <f>IF(C762="","",IF(E762&lt;&gt;"",LEFT(D762,LEN(D762)-2),D762))</f>
        <v/>
      </c>
      <c r="G762" s="13">
        <f>IF(C762="","",IF(OR(IF(AND(LEFT(F762,1)="(",RIGHT(F762,1)=")"),MID(F762,2,LEN(F762)-2),F762)="",IF(AND(LEFT(F762,1)="(",RIGHT(F762,1)=")"),MID(F762,2,LEN(F762)-2),F762)="-"),0,IFERROR(VALUE(IF(AND(LEFT(F762,1)="(",RIGHT(F762,1)=")"),MID(F762,2,LEN(F762)-2),F762))*IF(AND(LEFT(F762,1)="(",RIGHT(F762,1)=")"),-1,1)*IF(E762="Cr",Setup!$B$6,1),"ERR")))</f>
        <v/>
      </c>
      <c r="H762" s="6">
        <f>IF(C762="","",IF(ISNUMBER(G762),1,0))</f>
        <v/>
      </c>
      <c r="I762" s="6">
        <f>IF(C762="","",IF(SUMPRODUCT(($C$12:$C$1511=C762)*1)&gt;1,1,0))</f>
        <v/>
      </c>
      <c r="J762" s="6">
        <f>IF(C762="","",SUMPRODUCT((Mapping!$F$5:$F$504=Setup!$B$4&amp;"||"&amp;C762)*ROW(Mapping!$F$5:$F$504)))</f>
        <v/>
      </c>
      <c r="K762" s="6">
        <f>IF(C762="","",IF(J762=0,"UNMAPPED",LOWER(INDEX(Mapping!$D$1:$D$504,J762))))</f>
        <v/>
      </c>
      <c r="L762" s="6">
        <f>IF(K762="mapped",TRIM(INDEX(Mapping!$C$1:$C$504,J762)),"")</f>
        <v/>
      </c>
      <c r="M762" s="6">
        <f>IF(C762="","",IF(SUMPRODUCT(($C$12:C762=C762)*1)=1,1,0))</f>
        <v/>
      </c>
      <c r="N762" s="6">
        <f>IF(AND(K762="UNMAPPED",M762=1),ROW(),"")</f>
        <v/>
      </c>
      <c r="O762" s="6">
        <f>IF(AND(I762=1,M762=1),ROW(),"")</f>
        <v/>
      </c>
      <c r="P762" s="6">
        <f>IF(AND(K762="ignored",M762=1),ROW(),"")</f>
        <v/>
      </c>
    </row>
    <row r="763">
      <c r="A763" s="8" t="n"/>
      <c r="B763" s="8" t="n"/>
      <c r="C763" s="6">
        <f>TRIM(A763&amp;"")</f>
        <v/>
      </c>
      <c r="D763" s="6">
        <f>IF(C763="","",SUBSTITUTE(SUBSTITUTE(SUBSTITUTE(SUBSTITUTE(SUBSTITUTE(SUBSTITUTE(SUBSTITUTE(UPPER(TRIM(B763&amp;"")),"₹",""),"RS.",""),"RS",""),"INR",""),"$",""),",","")," ",""))</f>
        <v/>
      </c>
      <c r="E763" s="6">
        <f>IF(C763="","",IF(RIGHT(D763,2)="CR","Cr",IF(RIGHT(D763,2)="DR","Dr","")))</f>
        <v/>
      </c>
      <c r="F763" s="6">
        <f>IF(C763="","",IF(E763&lt;&gt;"",LEFT(D763,LEN(D763)-2),D763))</f>
        <v/>
      </c>
      <c r="G763" s="13">
        <f>IF(C763="","",IF(OR(IF(AND(LEFT(F763,1)="(",RIGHT(F763,1)=")"),MID(F763,2,LEN(F763)-2),F763)="",IF(AND(LEFT(F763,1)="(",RIGHT(F763,1)=")"),MID(F763,2,LEN(F763)-2),F763)="-"),0,IFERROR(VALUE(IF(AND(LEFT(F763,1)="(",RIGHT(F763,1)=")"),MID(F763,2,LEN(F763)-2),F763))*IF(AND(LEFT(F763,1)="(",RIGHT(F763,1)=")"),-1,1)*IF(E763="Cr",Setup!$B$6,1),"ERR")))</f>
        <v/>
      </c>
      <c r="H763" s="6">
        <f>IF(C763="","",IF(ISNUMBER(G763),1,0))</f>
        <v/>
      </c>
      <c r="I763" s="6">
        <f>IF(C763="","",IF(SUMPRODUCT(($C$12:$C$1511=C763)*1)&gt;1,1,0))</f>
        <v/>
      </c>
      <c r="J763" s="6">
        <f>IF(C763="","",SUMPRODUCT((Mapping!$F$5:$F$504=Setup!$B$4&amp;"||"&amp;C763)*ROW(Mapping!$F$5:$F$504)))</f>
        <v/>
      </c>
      <c r="K763" s="6">
        <f>IF(C763="","",IF(J763=0,"UNMAPPED",LOWER(INDEX(Mapping!$D$1:$D$504,J763))))</f>
        <v/>
      </c>
      <c r="L763" s="6">
        <f>IF(K763="mapped",TRIM(INDEX(Mapping!$C$1:$C$504,J763)),"")</f>
        <v/>
      </c>
      <c r="M763" s="6">
        <f>IF(C763="","",IF(SUMPRODUCT(($C$12:C763=C763)*1)=1,1,0))</f>
        <v/>
      </c>
      <c r="N763" s="6">
        <f>IF(AND(K763="UNMAPPED",M763=1),ROW(),"")</f>
        <v/>
      </c>
      <c r="O763" s="6">
        <f>IF(AND(I763=1,M763=1),ROW(),"")</f>
        <v/>
      </c>
      <c r="P763" s="6">
        <f>IF(AND(K763="ignored",M763=1),ROW(),"")</f>
        <v/>
      </c>
    </row>
    <row r="764">
      <c r="A764" s="8" t="n"/>
      <c r="B764" s="8" t="n"/>
      <c r="C764" s="6">
        <f>TRIM(A764&amp;"")</f>
        <v/>
      </c>
      <c r="D764" s="6">
        <f>IF(C764="","",SUBSTITUTE(SUBSTITUTE(SUBSTITUTE(SUBSTITUTE(SUBSTITUTE(SUBSTITUTE(SUBSTITUTE(UPPER(TRIM(B764&amp;"")),"₹",""),"RS.",""),"RS",""),"INR",""),"$",""),",","")," ",""))</f>
        <v/>
      </c>
      <c r="E764" s="6">
        <f>IF(C764="","",IF(RIGHT(D764,2)="CR","Cr",IF(RIGHT(D764,2)="DR","Dr","")))</f>
        <v/>
      </c>
      <c r="F764" s="6">
        <f>IF(C764="","",IF(E764&lt;&gt;"",LEFT(D764,LEN(D764)-2),D764))</f>
        <v/>
      </c>
      <c r="G764" s="13">
        <f>IF(C764="","",IF(OR(IF(AND(LEFT(F764,1)="(",RIGHT(F764,1)=")"),MID(F764,2,LEN(F764)-2),F764)="",IF(AND(LEFT(F764,1)="(",RIGHT(F764,1)=")"),MID(F764,2,LEN(F764)-2),F764)="-"),0,IFERROR(VALUE(IF(AND(LEFT(F764,1)="(",RIGHT(F764,1)=")"),MID(F764,2,LEN(F764)-2),F764))*IF(AND(LEFT(F764,1)="(",RIGHT(F764,1)=")"),-1,1)*IF(E764="Cr",Setup!$B$6,1),"ERR")))</f>
        <v/>
      </c>
      <c r="H764" s="6">
        <f>IF(C764="","",IF(ISNUMBER(G764),1,0))</f>
        <v/>
      </c>
      <c r="I764" s="6">
        <f>IF(C764="","",IF(SUMPRODUCT(($C$12:$C$1511=C764)*1)&gt;1,1,0))</f>
        <v/>
      </c>
      <c r="J764" s="6">
        <f>IF(C764="","",SUMPRODUCT((Mapping!$F$5:$F$504=Setup!$B$4&amp;"||"&amp;C764)*ROW(Mapping!$F$5:$F$504)))</f>
        <v/>
      </c>
      <c r="K764" s="6">
        <f>IF(C764="","",IF(J764=0,"UNMAPPED",LOWER(INDEX(Mapping!$D$1:$D$504,J764))))</f>
        <v/>
      </c>
      <c r="L764" s="6">
        <f>IF(K764="mapped",TRIM(INDEX(Mapping!$C$1:$C$504,J764)),"")</f>
        <v/>
      </c>
      <c r="M764" s="6">
        <f>IF(C764="","",IF(SUMPRODUCT(($C$12:C764=C764)*1)=1,1,0))</f>
        <v/>
      </c>
      <c r="N764" s="6">
        <f>IF(AND(K764="UNMAPPED",M764=1),ROW(),"")</f>
        <v/>
      </c>
      <c r="O764" s="6">
        <f>IF(AND(I764=1,M764=1),ROW(),"")</f>
        <v/>
      </c>
      <c r="P764" s="6">
        <f>IF(AND(K764="ignored",M764=1),ROW(),"")</f>
        <v/>
      </c>
    </row>
    <row r="765">
      <c r="A765" s="8" t="n"/>
      <c r="B765" s="8" t="n"/>
      <c r="C765" s="6">
        <f>TRIM(A765&amp;"")</f>
        <v/>
      </c>
      <c r="D765" s="6">
        <f>IF(C765="","",SUBSTITUTE(SUBSTITUTE(SUBSTITUTE(SUBSTITUTE(SUBSTITUTE(SUBSTITUTE(SUBSTITUTE(UPPER(TRIM(B765&amp;"")),"₹",""),"RS.",""),"RS",""),"INR",""),"$",""),",","")," ",""))</f>
        <v/>
      </c>
      <c r="E765" s="6">
        <f>IF(C765="","",IF(RIGHT(D765,2)="CR","Cr",IF(RIGHT(D765,2)="DR","Dr","")))</f>
        <v/>
      </c>
      <c r="F765" s="6">
        <f>IF(C765="","",IF(E765&lt;&gt;"",LEFT(D765,LEN(D765)-2),D765))</f>
        <v/>
      </c>
      <c r="G765" s="13">
        <f>IF(C765="","",IF(OR(IF(AND(LEFT(F765,1)="(",RIGHT(F765,1)=")"),MID(F765,2,LEN(F765)-2),F765)="",IF(AND(LEFT(F765,1)="(",RIGHT(F765,1)=")"),MID(F765,2,LEN(F765)-2),F765)="-"),0,IFERROR(VALUE(IF(AND(LEFT(F765,1)="(",RIGHT(F765,1)=")"),MID(F765,2,LEN(F765)-2),F765))*IF(AND(LEFT(F765,1)="(",RIGHT(F765,1)=")"),-1,1)*IF(E765="Cr",Setup!$B$6,1),"ERR")))</f>
        <v/>
      </c>
      <c r="H765" s="6">
        <f>IF(C765="","",IF(ISNUMBER(G765),1,0))</f>
        <v/>
      </c>
      <c r="I765" s="6">
        <f>IF(C765="","",IF(SUMPRODUCT(($C$12:$C$1511=C765)*1)&gt;1,1,0))</f>
        <v/>
      </c>
      <c r="J765" s="6">
        <f>IF(C765="","",SUMPRODUCT((Mapping!$F$5:$F$504=Setup!$B$4&amp;"||"&amp;C765)*ROW(Mapping!$F$5:$F$504)))</f>
        <v/>
      </c>
      <c r="K765" s="6">
        <f>IF(C765="","",IF(J765=0,"UNMAPPED",LOWER(INDEX(Mapping!$D$1:$D$504,J765))))</f>
        <v/>
      </c>
      <c r="L765" s="6">
        <f>IF(K765="mapped",TRIM(INDEX(Mapping!$C$1:$C$504,J765)),"")</f>
        <v/>
      </c>
      <c r="M765" s="6">
        <f>IF(C765="","",IF(SUMPRODUCT(($C$12:C765=C765)*1)=1,1,0))</f>
        <v/>
      </c>
      <c r="N765" s="6">
        <f>IF(AND(K765="UNMAPPED",M765=1),ROW(),"")</f>
        <v/>
      </c>
      <c r="O765" s="6">
        <f>IF(AND(I765=1,M765=1),ROW(),"")</f>
        <v/>
      </c>
      <c r="P765" s="6">
        <f>IF(AND(K765="ignored",M765=1),ROW(),"")</f>
        <v/>
      </c>
    </row>
    <row r="766">
      <c r="A766" s="8" t="n"/>
      <c r="B766" s="8" t="n"/>
      <c r="C766" s="6">
        <f>TRIM(A766&amp;"")</f>
        <v/>
      </c>
      <c r="D766" s="6">
        <f>IF(C766="","",SUBSTITUTE(SUBSTITUTE(SUBSTITUTE(SUBSTITUTE(SUBSTITUTE(SUBSTITUTE(SUBSTITUTE(UPPER(TRIM(B766&amp;"")),"₹",""),"RS.",""),"RS",""),"INR",""),"$",""),",","")," ",""))</f>
        <v/>
      </c>
      <c r="E766" s="6">
        <f>IF(C766="","",IF(RIGHT(D766,2)="CR","Cr",IF(RIGHT(D766,2)="DR","Dr","")))</f>
        <v/>
      </c>
      <c r="F766" s="6">
        <f>IF(C766="","",IF(E766&lt;&gt;"",LEFT(D766,LEN(D766)-2),D766))</f>
        <v/>
      </c>
      <c r="G766" s="13">
        <f>IF(C766="","",IF(OR(IF(AND(LEFT(F766,1)="(",RIGHT(F766,1)=")"),MID(F766,2,LEN(F766)-2),F766)="",IF(AND(LEFT(F766,1)="(",RIGHT(F766,1)=")"),MID(F766,2,LEN(F766)-2),F766)="-"),0,IFERROR(VALUE(IF(AND(LEFT(F766,1)="(",RIGHT(F766,1)=")"),MID(F766,2,LEN(F766)-2),F766))*IF(AND(LEFT(F766,1)="(",RIGHT(F766,1)=")"),-1,1)*IF(E766="Cr",Setup!$B$6,1),"ERR")))</f>
        <v/>
      </c>
      <c r="H766" s="6">
        <f>IF(C766="","",IF(ISNUMBER(G766),1,0))</f>
        <v/>
      </c>
      <c r="I766" s="6">
        <f>IF(C766="","",IF(SUMPRODUCT(($C$12:$C$1511=C766)*1)&gt;1,1,0))</f>
        <v/>
      </c>
      <c r="J766" s="6">
        <f>IF(C766="","",SUMPRODUCT((Mapping!$F$5:$F$504=Setup!$B$4&amp;"||"&amp;C766)*ROW(Mapping!$F$5:$F$504)))</f>
        <v/>
      </c>
      <c r="K766" s="6">
        <f>IF(C766="","",IF(J766=0,"UNMAPPED",LOWER(INDEX(Mapping!$D$1:$D$504,J766))))</f>
        <v/>
      </c>
      <c r="L766" s="6">
        <f>IF(K766="mapped",TRIM(INDEX(Mapping!$C$1:$C$504,J766)),"")</f>
        <v/>
      </c>
      <c r="M766" s="6">
        <f>IF(C766="","",IF(SUMPRODUCT(($C$12:C766=C766)*1)=1,1,0))</f>
        <v/>
      </c>
      <c r="N766" s="6">
        <f>IF(AND(K766="UNMAPPED",M766=1),ROW(),"")</f>
        <v/>
      </c>
      <c r="O766" s="6">
        <f>IF(AND(I766=1,M766=1),ROW(),"")</f>
        <v/>
      </c>
      <c r="P766" s="6">
        <f>IF(AND(K766="ignored",M766=1),ROW(),"")</f>
        <v/>
      </c>
    </row>
    <row r="767">
      <c r="A767" s="8" t="n"/>
      <c r="B767" s="8" t="n"/>
      <c r="C767" s="6">
        <f>TRIM(A767&amp;"")</f>
        <v/>
      </c>
      <c r="D767" s="6">
        <f>IF(C767="","",SUBSTITUTE(SUBSTITUTE(SUBSTITUTE(SUBSTITUTE(SUBSTITUTE(SUBSTITUTE(SUBSTITUTE(UPPER(TRIM(B767&amp;"")),"₹",""),"RS.",""),"RS",""),"INR",""),"$",""),",","")," ",""))</f>
        <v/>
      </c>
      <c r="E767" s="6">
        <f>IF(C767="","",IF(RIGHT(D767,2)="CR","Cr",IF(RIGHT(D767,2)="DR","Dr","")))</f>
        <v/>
      </c>
      <c r="F767" s="6">
        <f>IF(C767="","",IF(E767&lt;&gt;"",LEFT(D767,LEN(D767)-2),D767))</f>
        <v/>
      </c>
      <c r="G767" s="13">
        <f>IF(C767="","",IF(OR(IF(AND(LEFT(F767,1)="(",RIGHT(F767,1)=")"),MID(F767,2,LEN(F767)-2),F767)="",IF(AND(LEFT(F767,1)="(",RIGHT(F767,1)=")"),MID(F767,2,LEN(F767)-2),F767)="-"),0,IFERROR(VALUE(IF(AND(LEFT(F767,1)="(",RIGHT(F767,1)=")"),MID(F767,2,LEN(F767)-2),F767))*IF(AND(LEFT(F767,1)="(",RIGHT(F767,1)=")"),-1,1)*IF(E767="Cr",Setup!$B$6,1),"ERR")))</f>
        <v/>
      </c>
      <c r="H767" s="6">
        <f>IF(C767="","",IF(ISNUMBER(G767),1,0))</f>
        <v/>
      </c>
      <c r="I767" s="6">
        <f>IF(C767="","",IF(SUMPRODUCT(($C$12:$C$1511=C767)*1)&gt;1,1,0))</f>
        <v/>
      </c>
      <c r="J767" s="6">
        <f>IF(C767="","",SUMPRODUCT((Mapping!$F$5:$F$504=Setup!$B$4&amp;"||"&amp;C767)*ROW(Mapping!$F$5:$F$504)))</f>
        <v/>
      </c>
      <c r="K767" s="6">
        <f>IF(C767="","",IF(J767=0,"UNMAPPED",LOWER(INDEX(Mapping!$D$1:$D$504,J767))))</f>
        <v/>
      </c>
      <c r="L767" s="6">
        <f>IF(K767="mapped",TRIM(INDEX(Mapping!$C$1:$C$504,J767)),"")</f>
        <v/>
      </c>
      <c r="M767" s="6">
        <f>IF(C767="","",IF(SUMPRODUCT(($C$12:C767=C767)*1)=1,1,0))</f>
        <v/>
      </c>
      <c r="N767" s="6">
        <f>IF(AND(K767="UNMAPPED",M767=1),ROW(),"")</f>
        <v/>
      </c>
      <c r="O767" s="6">
        <f>IF(AND(I767=1,M767=1),ROW(),"")</f>
        <v/>
      </c>
      <c r="P767" s="6">
        <f>IF(AND(K767="ignored",M767=1),ROW(),"")</f>
        <v/>
      </c>
    </row>
    <row r="768">
      <c r="A768" s="8" t="n"/>
      <c r="B768" s="8" t="n"/>
      <c r="C768" s="6">
        <f>TRIM(A768&amp;"")</f>
        <v/>
      </c>
      <c r="D768" s="6">
        <f>IF(C768="","",SUBSTITUTE(SUBSTITUTE(SUBSTITUTE(SUBSTITUTE(SUBSTITUTE(SUBSTITUTE(SUBSTITUTE(UPPER(TRIM(B768&amp;"")),"₹",""),"RS.",""),"RS",""),"INR",""),"$",""),",","")," ",""))</f>
        <v/>
      </c>
      <c r="E768" s="6">
        <f>IF(C768="","",IF(RIGHT(D768,2)="CR","Cr",IF(RIGHT(D768,2)="DR","Dr","")))</f>
        <v/>
      </c>
      <c r="F768" s="6">
        <f>IF(C768="","",IF(E768&lt;&gt;"",LEFT(D768,LEN(D768)-2),D768))</f>
        <v/>
      </c>
      <c r="G768" s="13">
        <f>IF(C768="","",IF(OR(IF(AND(LEFT(F768,1)="(",RIGHT(F768,1)=")"),MID(F768,2,LEN(F768)-2),F768)="",IF(AND(LEFT(F768,1)="(",RIGHT(F768,1)=")"),MID(F768,2,LEN(F768)-2),F768)="-"),0,IFERROR(VALUE(IF(AND(LEFT(F768,1)="(",RIGHT(F768,1)=")"),MID(F768,2,LEN(F768)-2),F768))*IF(AND(LEFT(F768,1)="(",RIGHT(F768,1)=")"),-1,1)*IF(E768="Cr",Setup!$B$6,1),"ERR")))</f>
        <v/>
      </c>
      <c r="H768" s="6">
        <f>IF(C768="","",IF(ISNUMBER(G768),1,0))</f>
        <v/>
      </c>
      <c r="I768" s="6">
        <f>IF(C768="","",IF(SUMPRODUCT(($C$12:$C$1511=C768)*1)&gt;1,1,0))</f>
        <v/>
      </c>
      <c r="J768" s="6">
        <f>IF(C768="","",SUMPRODUCT((Mapping!$F$5:$F$504=Setup!$B$4&amp;"||"&amp;C768)*ROW(Mapping!$F$5:$F$504)))</f>
        <v/>
      </c>
      <c r="K768" s="6">
        <f>IF(C768="","",IF(J768=0,"UNMAPPED",LOWER(INDEX(Mapping!$D$1:$D$504,J768))))</f>
        <v/>
      </c>
      <c r="L768" s="6">
        <f>IF(K768="mapped",TRIM(INDEX(Mapping!$C$1:$C$504,J768)),"")</f>
        <v/>
      </c>
      <c r="M768" s="6">
        <f>IF(C768="","",IF(SUMPRODUCT(($C$12:C768=C768)*1)=1,1,0))</f>
        <v/>
      </c>
      <c r="N768" s="6">
        <f>IF(AND(K768="UNMAPPED",M768=1),ROW(),"")</f>
        <v/>
      </c>
      <c r="O768" s="6">
        <f>IF(AND(I768=1,M768=1),ROW(),"")</f>
        <v/>
      </c>
      <c r="P768" s="6">
        <f>IF(AND(K768="ignored",M768=1),ROW(),"")</f>
        <v/>
      </c>
    </row>
    <row r="769">
      <c r="A769" s="8" t="n"/>
      <c r="B769" s="8" t="n"/>
      <c r="C769" s="6">
        <f>TRIM(A769&amp;"")</f>
        <v/>
      </c>
      <c r="D769" s="6">
        <f>IF(C769="","",SUBSTITUTE(SUBSTITUTE(SUBSTITUTE(SUBSTITUTE(SUBSTITUTE(SUBSTITUTE(SUBSTITUTE(UPPER(TRIM(B769&amp;"")),"₹",""),"RS.",""),"RS",""),"INR",""),"$",""),",","")," ",""))</f>
        <v/>
      </c>
      <c r="E769" s="6">
        <f>IF(C769="","",IF(RIGHT(D769,2)="CR","Cr",IF(RIGHT(D769,2)="DR","Dr","")))</f>
        <v/>
      </c>
      <c r="F769" s="6">
        <f>IF(C769="","",IF(E769&lt;&gt;"",LEFT(D769,LEN(D769)-2),D769))</f>
        <v/>
      </c>
      <c r="G769" s="13">
        <f>IF(C769="","",IF(OR(IF(AND(LEFT(F769,1)="(",RIGHT(F769,1)=")"),MID(F769,2,LEN(F769)-2),F769)="",IF(AND(LEFT(F769,1)="(",RIGHT(F769,1)=")"),MID(F769,2,LEN(F769)-2),F769)="-"),0,IFERROR(VALUE(IF(AND(LEFT(F769,1)="(",RIGHT(F769,1)=")"),MID(F769,2,LEN(F769)-2),F769))*IF(AND(LEFT(F769,1)="(",RIGHT(F769,1)=")"),-1,1)*IF(E769="Cr",Setup!$B$6,1),"ERR")))</f>
        <v/>
      </c>
      <c r="H769" s="6">
        <f>IF(C769="","",IF(ISNUMBER(G769),1,0))</f>
        <v/>
      </c>
      <c r="I769" s="6">
        <f>IF(C769="","",IF(SUMPRODUCT(($C$12:$C$1511=C769)*1)&gt;1,1,0))</f>
        <v/>
      </c>
      <c r="J769" s="6">
        <f>IF(C769="","",SUMPRODUCT((Mapping!$F$5:$F$504=Setup!$B$4&amp;"||"&amp;C769)*ROW(Mapping!$F$5:$F$504)))</f>
        <v/>
      </c>
      <c r="K769" s="6">
        <f>IF(C769="","",IF(J769=0,"UNMAPPED",LOWER(INDEX(Mapping!$D$1:$D$504,J769))))</f>
        <v/>
      </c>
      <c r="L769" s="6">
        <f>IF(K769="mapped",TRIM(INDEX(Mapping!$C$1:$C$504,J769)),"")</f>
        <v/>
      </c>
      <c r="M769" s="6">
        <f>IF(C769="","",IF(SUMPRODUCT(($C$12:C769=C769)*1)=1,1,0))</f>
        <v/>
      </c>
      <c r="N769" s="6">
        <f>IF(AND(K769="UNMAPPED",M769=1),ROW(),"")</f>
        <v/>
      </c>
      <c r="O769" s="6">
        <f>IF(AND(I769=1,M769=1),ROW(),"")</f>
        <v/>
      </c>
      <c r="P769" s="6">
        <f>IF(AND(K769="ignored",M769=1),ROW(),"")</f>
        <v/>
      </c>
    </row>
    <row r="770">
      <c r="A770" s="8" t="n"/>
      <c r="B770" s="8" t="n"/>
      <c r="C770" s="6">
        <f>TRIM(A770&amp;"")</f>
        <v/>
      </c>
      <c r="D770" s="6">
        <f>IF(C770="","",SUBSTITUTE(SUBSTITUTE(SUBSTITUTE(SUBSTITUTE(SUBSTITUTE(SUBSTITUTE(SUBSTITUTE(UPPER(TRIM(B770&amp;"")),"₹",""),"RS.",""),"RS",""),"INR",""),"$",""),",","")," ",""))</f>
        <v/>
      </c>
      <c r="E770" s="6">
        <f>IF(C770="","",IF(RIGHT(D770,2)="CR","Cr",IF(RIGHT(D770,2)="DR","Dr","")))</f>
        <v/>
      </c>
      <c r="F770" s="6">
        <f>IF(C770="","",IF(E770&lt;&gt;"",LEFT(D770,LEN(D770)-2),D770))</f>
        <v/>
      </c>
      <c r="G770" s="13">
        <f>IF(C770="","",IF(OR(IF(AND(LEFT(F770,1)="(",RIGHT(F770,1)=")"),MID(F770,2,LEN(F770)-2),F770)="",IF(AND(LEFT(F770,1)="(",RIGHT(F770,1)=")"),MID(F770,2,LEN(F770)-2),F770)="-"),0,IFERROR(VALUE(IF(AND(LEFT(F770,1)="(",RIGHT(F770,1)=")"),MID(F770,2,LEN(F770)-2),F770))*IF(AND(LEFT(F770,1)="(",RIGHT(F770,1)=")"),-1,1)*IF(E770="Cr",Setup!$B$6,1),"ERR")))</f>
        <v/>
      </c>
      <c r="H770" s="6">
        <f>IF(C770="","",IF(ISNUMBER(G770),1,0))</f>
        <v/>
      </c>
      <c r="I770" s="6">
        <f>IF(C770="","",IF(SUMPRODUCT(($C$12:$C$1511=C770)*1)&gt;1,1,0))</f>
        <v/>
      </c>
      <c r="J770" s="6">
        <f>IF(C770="","",SUMPRODUCT((Mapping!$F$5:$F$504=Setup!$B$4&amp;"||"&amp;C770)*ROW(Mapping!$F$5:$F$504)))</f>
        <v/>
      </c>
      <c r="K770" s="6">
        <f>IF(C770="","",IF(J770=0,"UNMAPPED",LOWER(INDEX(Mapping!$D$1:$D$504,J770))))</f>
        <v/>
      </c>
      <c r="L770" s="6">
        <f>IF(K770="mapped",TRIM(INDEX(Mapping!$C$1:$C$504,J770)),"")</f>
        <v/>
      </c>
      <c r="M770" s="6">
        <f>IF(C770="","",IF(SUMPRODUCT(($C$12:C770=C770)*1)=1,1,0))</f>
        <v/>
      </c>
      <c r="N770" s="6">
        <f>IF(AND(K770="UNMAPPED",M770=1),ROW(),"")</f>
        <v/>
      </c>
      <c r="O770" s="6">
        <f>IF(AND(I770=1,M770=1),ROW(),"")</f>
        <v/>
      </c>
      <c r="P770" s="6">
        <f>IF(AND(K770="ignored",M770=1),ROW(),"")</f>
        <v/>
      </c>
    </row>
    <row r="771">
      <c r="A771" s="8" t="n"/>
      <c r="B771" s="8" t="n"/>
      <c r="C771" s="6">
        <f>TRIM(A771&amp;"")</f>
        <v/>
      </c>
      <c r="D771" s="6">
        <f>IF(C771="","",SUBSTITUTE(SUBSTITUTE(SUBSTITUTE(SUBSTITUTE(SUBSTITUTE(SUBSTITUTE(SUBSTITUTE(UPPER(TRIM(B771&amp;"")),"₹",""),"RS.",""),"RS",""),"INR",""),"$",""),",","")," ",""))</f>
        <v/>
      </c>
      <c r="E771" s="6">
        <f>IF(C771="","",IF(RIGHT(D771,2)="CR","Cr",IF(RIGHT(D771,2)="DR","Dr","")))</f>
        <v/>
      </c>
      <c r="F771" s="6">
        <f>IF(C771="","",IF(E771&lt;&gt;"",LEFT(D771,LEN(D771)-2),D771))</f>
        <v/>
      </c>
      <c r="G771" s="13">
        <f>IF(C771="","",IF(OR(IF(AND(LEFT(F771,1)="(",RIGHT(F771,1)=")"),MID(F771,2,LEN(F771)-2),F771)="",IF(AND(LEFT(F771,1)="(",RIGHT(F771,1)=")"),MID(F771,2,LEN(F771)-2),F771)="-"),0,IFERROR(VALUE(IF(AND(LEFT(F771,1)="(",RIGHT(F771,1)=")"),MID(F771,2,LEN(F771)-2),F771))*IF(AND(LEFT(F771,1)="(",RIGHT(F771,1)=")"),-1,1)*IF(E771="Cr",Setup!$B$6,1),"ERR")))</f>
        <v/>
      </c>
      <c r="H771" s="6">
        <f>IF(C771="","",IF(ISNUMBER(G771),1,0))</f>
        <v/>
      </c>
      <c r="I771" s="6">
        <f>IF(C771="","",IF(SUMPRODUCT(($C$12:$C$1511=C771)*1)&gt;1,1,0))</f>
        <v/>
      </c>
      <c r="J771" s="6">
        <f>IF(C771="","",SUMPRODUCT((Mapping!$F$5:$F$504=Setup!$B$4&amp;"||"&amp;C771)*ROW(Mapping!$F$5:$F$504)))</f>
        <v/>
      </c>
      <c r="K771" s="6">
        <f>IF(C771="","",IF(J771=0,"UNMAPPED",LOWER(INDEX(Mapping!$D$1:$D$504,J771))))</f>
        <v/>
      </c>
      <c r="L771" s="6">
        <f>IF(K771="mapped",TRIM(INDEX(Mapping!$C$1:$C$504,J771)),"")</f>
        <v/>
      </c>
      <c r="M771" s="6">
        <f>IF(C771="","",IF(SUMPRODUCT(($C$12:C771=C771)*1)=1,1,0))</f>
        <v/>
      </c>
      <c r="N771" s="6">
        <f>IF(AND(K771="UNMAPPED",M771=1),ROW(),"")</f>
        <v/>
      </c>
      <c r="O771" s="6">
        <f>IF(AND(I771=1,M771=1),ROW(),"")</f>
        <v/>
      </c>
      <c r="P771" s="6">
        <f>IF(AND(K771="ignored",M771=1),ROW(),"")</f>
        <v/>
      </c>
    </row>
    <row r="772">
      <c r="A772" s="8" t="n"/>
      <c r="B772" s="8" t="n"/>
      <c r="C772" s="6">
        <f>TRIM(A772&amp;"")</f>
        <v/>
      </c>
      <c r="D772" s="6">
        <f>IF(C772="","",SUBSTITUTE(SUBSTITUTE(SUBSTITUTE(SUBSTITUTE(SUBSTITUTE(SUBSTITUTE(SUBSTITUTE(UPPER(TRIM(B772&amp;"")),"₹",""),"RS.",""),"RS",""),"INR",""),"$",""),",","")," ",""))</f>
        <v/>
      </c>
      <c r="E772" s="6">
        <f>IF(C772="","",IF(RIGHT(D772,2)="CR","Cr",IF(RIGHT(D772,2)="DR","Dr","")))</f>
        <v/>
      </c>
      <c r="F772" s="6">
        <f>IF(C772="","",IF(E772&lt;&gt;"",LEFT(D772,LEN(D772)-2),D772))</f>
        <v/>
      </c>
      <c r="G772" s="13">
        <f>IF(C772="","",IF(OR(IF(AND(LEFT(F772,1)="(",RIGHT(F772,1)=")"),MID(F772,2,LEN(F772)-2),F772)="",IF(AND(LEFT(F772,1)="(",RIGHT(F772,1)=")"),MID(F772,2,LEN(F772)-2),F772)="-"),0,IFERROR(VALUE(IF(AND(LEFT(F772,1)="(",RIGHT(F772,1)=")"),MID(F772,2,LEN(F772)-2),F772))*IF(AND(LEFT(F772,1)="(",RIGHT(F772,1)=")"),-1,1)*IF(E772="Cr",Setup!$B$6,1),"ERR")))</f>
        <v/>
      </c>
      <c r="H772" s="6">
        <f>IF(C772="","",IF(ISNUMBER(G772),1,0))</f>
        <v/>
      </c>
      <c r="I772" s="6">
        <f>IF(C772="","",IF(SUMPRODUCT(($C$12:$C$1511=C772)*1)&gt;1,1,0))</f>
        <v/>
      </c>
      <c r="J772" s="6">
        <f>IF(C772="","",SUMPRODUCT((Mapping!$F$5:$F$504=Setup!$B$4&amp;"||"&amp;C772)*ROW(Mapping!$F$5:$F$504)))</f>
        <v/>
      </c>
      <c r="K772" s="6">
        <f>IF(C772="","",IF(J772=0,"UNMAPPED",LOWER(INDEX(Mapping!$D$1:$D$504,J772))))</f>
        <v/>
      </c>
      <c r="L772" s="6">
        <f>IF(K772="mapped",TRIM(INDEX(Mapping!$C$1:$C$504,J772)),"")</f>
        <v/>
      </c>
      <c r="M772" s="6">
        <f>IF(C772="","",IF(SUMPRODUCT(($C$12:C772=C772)*1)=1,1,0))</f>
        <v/>
      </c>
      <c r="N772" s="6">
        <f>IF(AND(K772="UNMAPPED",M772=1),ROW(),"")</f>
        <v/>
      </c>
      <c r="O772" s="6">
        <f>IF(AND(I772=1,M772=1),ROW(),"")</f>
        <v/>
      </c>
      <c r="P772" s="6">
        <f>IF(AND(K772="ignored",M772=1),ROW(),"")</f>
        <v/>
      </c>
    </row>
    <row r="773">
      <c r="A773" s="8" t="n"/>
      <c r="B773" s="8" t="n"/>
      <c r="C773" s="6">
        <f>TRIM(A773&amp;"")</f>
        <v/>
      </c>
      <c r="D773" s="6">
        <f>IF(C773="","",SUBSTITUTE(SUBSTITUTE(SUBSTITUTE(SUBSTITUTE(SUBSTITUTE(SUBSTITUTE(SUBSTITUTE(UPPER(TRIM(B773&amp;"")),"₹",""),"RS.",""),"RS",""),"INR",""),"$",""),",","")," ",""))</f>
        <v/>
      </c>
      <c r="E773" s="6">
        <f>IF(C773="","",IF(RIGHT(D773,2)="CR","Cr",IF(RIGHT(D773,2)="DR","Dr","")))</f>
        <v/>
      </c>
      <c r="F773" s="6">
        <f>IF(C773="","",IF(E773&lt;&gt;"",LEFT(D773,LEN(D773)-2),D773))</f>
        <v/>
      </c>
      <c r="G773" s="13">
        <f>IF(C773="","",IF(OR(IF(AND(LEFT(F773,1)="(",RIGHT(F773,1)=")"),MID(F773,2,LEN(F773)-2),F773)="",IF(AND(LEFT(F773,1)="(",RIGHT(F773,1)=")"),MID(F773,2,LEN(F773)-2),F773)="-"),0,IFERROR(VALUE(IF(AND(LEFT(F773,1)="(",RIGHT(F773,1)=")"),MID(F773,2,LEN(F773)-2),F773))*IF(AND(LEFT(F773,1)="(",RIGHT(F773,1)=")"),-1,1)*IF(E773="Cr",Setup!$B$6,1),"ERR")))</f>
        <v/>
      </c>
      <c r="H773" s="6">
        <f>IF(C773="","",IF(ISNUMBER(G773),1,0))</f>
        <v/>
      </c>
      <c r="I773" s="6">
        <f>IF(C773="","",IF(SUMPRODUCT(($C$12:$C$1511=C773)*1)&gt;1,1,0))</f>
        <v/>
      </c>
      <c r="J773" s="6">
        <f>IF(C773="","",SUMPRODUCT((Mapping!$F$5:$F$504=Setup!$B$4&amp;"||"&amp;C773)*ROW(Mapping!$F$5:$F$504)))</f>
        <v/>
      </c>
      <c r="K773" s="6">
        <f>IF(C773="","",IF(J773=0,"UNMAPPED",LOWER(INDEX(Mapping!$D$1:$D$504,J773))))</f>
        <v/>
      </c>
      <c r="L773" s="6">
        <f>IF(K773="mapped",TRIM(INDEX(Mapping!$C$1:$C$504,J773)),"")</f>
        <v/>
      </c>
      <c r="M773" s="6">
        <f>IF(C773="","",IF(SUMPRODUCT(($C$12:C773=C773)*1)=1,1,0))</f>
        <v/>
      </c>
      <c r="N773" s="6">
        <f>IF(AND(K773="UNMAPPED",M773=1),ROW(),"")</f>
        <v/>
      </c>
      <c r="O773" s="6">
        <f>IF(AND(I773=1,M773=1),ROW(),"")</f>
        <v/>
      </c>
      <c r="P773" s="6">
        <f>IF(AND(K773="ignored",M773=1),ROW(),"")</f>
        <v/>
      </c>
    </row>
    <row r="774">
      <c r="A774" s="8" t="n"/>
      <c r="B774" s="8" t="n"/>
      <c r="C774" s="6">
        <f>TRIM(A774&amp;"")</f>
        <v/>
      </c>
      <c r="D774" s="6">
        <f>IF(C774="","",SUBSTITUTE(SUBSTITUTE(SUBSTITUTE(SUBSTITUTE(SUBSTITUTE(SUBSTITUTE(SUBSTITUTE(UPPER(TRIM(B774&amp;"")),"₹",""),"RS.",""),"RS",""),"INR",""),"$",""),",","")," ",""))</f>
        <v/>
      </c>
      <c r="E774" s="6">
        <f>IF(C774="","",IF(RIGHT(D774,2)="CR","Cr",IF(RIGHT(D774,2)="DR","Dr","")))</f>
        <v/>
      </c>
      <c r="F774" s="6">
        <f>IF(C774="","",IF(E774&lt;&gt;"",LEFT(D774,LEN(D774)-2),D774))</f>
        <v/>
      </c>
      <c r="G774" s="13">
        <f>IF(C774="","",IF(OR(IF(AND(LEFT(F774,1)="(",RIGHT(F774,1)=")"),MID(F774,2,LEN(F774)-2),F774)="",IF(AND(LEFT(F774,1)="(",RIGHT(F774,1)=")"),MID(F774,2,LEN(F774)-2),F774)="-"),0,IFERROR(VALUE(IF(AND(LEFT(F774,1)="(",RIGHT(F774,1)=")"),MID(F774,2,LEN(F774)-2),F774))*IF(AND(LEFT(F774,1)="(",RIGHT(F774,1)=")"),-1,1)*IF(E774="Cr",Setup!$B$6,1),"ERR")))</f>
        <v/>
      </c>
      <c r="H774" s="6">
        <f>IF(C774="","",IF(ISNUMBER(G774),1,0))</f>
        <v/>
      </c>
      <c r="I774" s="6">
        <f>IF(C774="","",IF(SUMPRODUCT(($C$12:$C$1511=C774)*1)&gt;1,1,0))</f>
        <v/>
      </c>
      <c r="J774" s="6">
        <f>IF(C774="","",SUMPRODUCT((Mapping!$F$5:$F$504=Setup!$B$4&amp;"||"&amp;C774)*ROW(Mapping!$F$5:$F$504)))</f>
        <v/>
      </c>
      <c r="K774" s="6">
        <f>IF(C774="","",IF(J774=0,"UNMAPPED",LOWER(INDEX(Mapping!$D$1:$D$504,J774))))</f>
        <v/>
      </c>
      <c r="L774" s="6">
        <f>IF(K774="mapped",TRIM(INDEX(Mapping!$C$1:$C$504,J774)),"")</f>
        <v/>
      </c>
      <c r="M774" s="6">
        <f>IF(C774="","",IF(SUMPRODUCT(($C$12:C774=C774)*1)=1,1,0))</f>
        <v/>
      </c>
      <c r="N774" s="6">
        <f>IF(AND(K774="UNMAPPED",M774=1),ROW(),"")</f>
        <v/>
      </c>
      <c r="O774" s="6">
        <f>IF(AND(I774=1,M774=1),ROW(),"")</f>
        <v/>
      </c>
      <c r="P774" s="6">
        <f>IF(AND(K774="ignored",M774=1),ROW(),"")</f>
        <v/>
      </c>
    </row>
    <row r="775">
      <c r="A775" s="8" t="n"/>
      <c r="B775" s="8" t="n"/>
      <c r="C775" s="6">
        <f>TRIM(A775&amp;"")</f>
        <v/>
      </c>
      <c r="D775" s="6">
        <f>IF(C775="","",SUBSTITUTE(SUBSTITUTE(SUBSTITUTE(SUBSTITUTE(SUBSTITUTE(SUBSTITUTE(SUBSTITUTE(UPPER(TRIM(B775&amp;"")),"₹",""),"RS.",""),"RS",""),"INR",""),"$",""),",","")," ",""))</f>
        <v/>
      </c>
      <c r="E775" s="6">
        <f>IF(C775="","",IF(RIGHT(D775,2)="CR","Cr",IF(RIGHT(D775,2)="DR","Dr","")))</f>
        <v/>
      </c>
      <c r="F775" s="6">
        <f>IF(C775="","",IF(E775&lt;&gt;"",LEFT(D775,LEN(D775)-2),D775))</f>
        <v/>
      </c>
      <c r="G775" s="13">
        <f>IF(C775="","",IF(OR(IF(AND(LEFT(F775,1)="(",RIGHT(F775,1)=")"),MID(F775,2,LEN(F775)-2),F775)="",IF(AND(LEFT(F775,1)="(",RIGHT(F775,1)=")"),MID(F775,2,LEN(F775)-2),F775)="-"),0,IFERROR(VALUE(IF(AND(LEFT(F775,1)="(",RIGHT(F775,1)=")"),MID(F775,2,LEN(F775)-2),F775))*IF(AND(LEFT(F775,1)="(",RIGHT(F775,1)=")"),-1,1)*IF(E775="Cr",Setup!$B$6,1),"ERR")))</f>
        <v/>
      </c>
      <c r="H775" s="6">
        <f>IF(C775="","",IF(ISNUMBER(G775),1,0))</f>
        <v/>
      </c>
      <c r="I775" s="6">
        <f>IF(C775="","",IF(SUMPRODUCT(($C$12:$C$1511=C775)*1)&gt;1,1,0))</f>
        <v/>
      </c>
      <c r="J775" s="6">
        <f>IF(C775="","",SUMPRODUCT((Mapping!$F$5:$F$504=Setup!$B$4&amp;"||"&amp;C775)*ROW(Mapping!$F$5:$F$504)))</f>
        <v/>
      </c>
      <c r="K775" s="6">
        <f>IF(C775="","",IF(J775=0,"UNMAPPED",LOWER(INDEX(Mapping!$D$1:$D$504,J775))))</f>
        <v/>
      </c>
      <c r="L775" s="6">
        <f>IF(K775="mapped",TRIM(INDEX(Mapping!$C$1:$C$504,J775)),"")</f>
        <v/>
      </c>
      <c r="M775" s="6">
        <f>IF(C775="","",IF(SUMPRODUCT(($C$12:C775=C775)*1)=1,1,0))</f>
        <v/>
      </c>
      <c r="N775" s="6">
        <f>IF(AND(K775="UNMAPPED",M775=1),ROW(),"")</f>
        <v/>
      </c>
      <c r="O775" s="6">
        <f>IF(AND(I775=1,M775=1),ROW(),"")</f>
        <v/>
      </c>
      <c r="P775" s="6">
        <f>IF(AND(K775="ignored",M775=1),ROW(),"")</f>
        <v/>
      </c>
    </row>
    <row r="776">
      <c r="A776" s="8" t="n"/>
      <c r="B776" s="8" t="n"/>
      <c r="C776" s="6">
        <f>TRIM(A776&amp;"")</f>
        <v/>
      </c>
      <c r="D776" s="6">
        <f>IF(C776="","",SUBSTITUTE(SUBSTITUTE(SUBSTITUTE(SUBSTITUTE(SUBSTITUTE(SUBSTITUTE(SUBSTITUTE(UPPER(TRIM(B776&amp;"")),"₹",""),"RS.",""),"RS",""),"INR",""),"$",""),",","")," ",""))</f>
        <v/>
      </c>
      <c r="E776" s="6">
        <f>IF(C776="","",IF(RIGHT(D776,2)="CR","Cr",IF(RIGHT(D776,2)="DR","Dr","")))</f>
        <v/>
      </c>
      <c r="F776" s="6">
        <f>IF(C776="","",IF(E776&lt;&gt;"",LEFT(D776,LEN(D776)-2),D776))</f>
        <v/>
      </c>
      <c r="G776" s="13">
        <f>IF(C776="","",IF(OR(IF(AND(LEFT(F776,1)="(",RIGHT(F776,1)=")"),MID(F776,2,LEN(F776)-2),F776)="",IF(AND(LEFT(F776,1)="(",RIGHT(F776,1)=")"),MID(F776,2,LEN(F776)-2),F776)="-"),0,IFERROR(VALUE(IF(AND(LEFT(F776,1)="(",RIGHT(F776,1)=")"),MID(F776,2,LEN(F776)-2),F776))*IF(AND(LEFT(F776,1)="(",RIGHT(F776,1)=")"),-1,1)*IF(E776="Cr",Setup!$B$6,1),"ERR")))</f>
        <v/>
      </c>
      <c r="H776" s="6">
        <f>IF(C776="","",IF(ISNUMBER(G776),1,0))</f>
        <v/>
      </c>
      <c r="I776" s="6">
        <f>IF(C776="","",IF(SUMPRODUCT(($C$12:$C$1511=C776)*1)&gt;1,1,0))</f>
        <v/>
      </c>
      <c r="J776" s="6">
        <f>IF(C776="","",SUMPRODUCT((Mapping!$F$5:$F$504=Setup!$B$4&amp;"||"&amp;C776)*ROW(Mapping!$F$5:$F$504)))</f>
        <v/>
      </c>
      <c r="K776" s="6">
        <f>IF(C776="","",IF(J776=0,"UNMAPPED",LOWER(INDEX(Mapping!$D$1:$D$504,J776))))</f>
        <v/>
      </c>
      <c r="L776" s="6">
        <f>IF(K776="mapped",TRIM(INDEX(Mapping!$C$1:$C$504,J776)),"")</f>
        <v/>
      </c>
      <c r="M776" s="6">
        <f>IF(C776="","",IF(SUMPRODUCT(($C$12:C776=C776)*1)=1,1,0))</f>
        <v/>
      </c>
      <c r="N776" s="6">
        <f>IF(AND(K776="UNMAPPED",M776=1),ROW(),"")</f>
        <v/>
      </c>
      <c r="O776" s="6">
        <f>IF(AND(I776=1,M776=1),ROW(),"")</f>
        <v/>
      </c>
      <c r="P776" s="6">
        <f>IF(AND(K776="ignored",M776=1),ROW(),"")</f>
        <v/>
      </c>
    </row>
    <row r="777">
      <c r="A777" s="8" t="n"/>
      <c r="B777" s="8" t="n"/>
      <c r="C777" s="6">
        <f>TRIM(A777&amp;"")</f>
        <v/>
      </c>
      <c r="D777" s="6">
        <f>IF(C777="","",SUBSTITUTE(SUBSTITUTE(SUBSTITUTE(SUBSTITUTE(SUBSTITUTE(SUBSTITUTE(SUBSTITUTE(UPPER(TRIM(B777&amp;"")),"₹",""),"RS.",""),"RS",""),"INR",""),"$",""),",","")," ",""))</f>
        <v/>
      </c>
      <c r="E777" s="6">
        <f>IF(C777="","",IF(RIGHT(D777,2)="CR","Cr",IF(RIGHT(D777,2)="DR","Dr","")))</f>
        <v/>
      </c>
      <c r="F777" s="6">
        <f>IF(C777="","",IF(E777&lt;&gt;"",LEFT(D777,LEN(D777)-2),D777))</f>
        <v/>
      </c>
      <c r="G777" s="13">
        <f>IF(C777="","",IF(OR(IF(AND(LEFT(F777,1)="(",RIGHT(F777,1)=")"),MID(F777,2,LEN(F777)-2),F777)="",IF(AND(LEFT(F777,1)="(",RIGHT(F777,1)=")"),MID(F777,2,LEN(F777)-2),F777)="-"),0,IFERROR(VALUE(IF(AND(LEFT(F777,1)="(",RIGHT(F777,1)=")"),MID(F777,2,LEN(F777)-2),F777))*IF(AND(LEFT(F777,1)="(",RIGHT(F777,1)=")"),-1,1)*IF(E777="Cr",Setup!$B$6,1),"ERR")))</f>
        <v/>
      </c>
      <c r="H777" s="6">
        <f>IF(C777="","",IF(ISNUMBER(G777),1,0))</f>
        <v/>
      </c>
      <c r="I777" s="6">
        <f>IF(C777="","",IF(SUMPRODUCT(($C$12:$C$1511=C777)*1)&gt;1,1,0))</f>
        <v/>
      </c>
      <c r="J777" s="6">
        <f>IF(C777="","",SUMPRODUCT((Mapping!$F$5:$F$504=Setup!$B$4&amp;"||"&amp;C777)*ROW(Mapping!$F$5:$F$504)))</f>
        <v/>
      </c>
      <c r="K777" s="6">
        <f>IF(C777="","",IF(J777=0,"UNMAPPED",LOWER(INDEX(Mapping!$D$1:$D$504,J777))))</f>
        <v/>
      </c>
      <c r="L777" s="6">
        <f>IF(K777="mapped",TRIM(INDEX(Mapping!$C$1:$C$504,J777)),"")</f>
        <v/>
      </c>
      <c r="M777" s="6">
        <f>IF(C777="","",IF(SUMPRODUCT(($C$12:C777=C777)*1)=1,1,0))</f>
        <v/>
      </c>
      <c r="N777" s="6">
        <f>IF(AND(K777="UNMAPPED",M777=1),ROW(),"")</f>
        <v/>
      </c>
      <c r="O777" s="6">
        <f>IF(AND(I777=1,M777=1),ROW(),"")</f>
        <v/>
      </c>
      <c r="P777" s="6">
        <f>IF(AND(K777="ignored",M777=1),ROW(),"")</f>
        <v/>
      </c>
    </row>
    <row r="778">
      <c r="A778" s="8" t="n"/>
      <c r="B778" s="8" t="n"/>
      <c r="C778" s="6">
        <f>TRIM(A778&amp;"")</f>
        <v/>
      </c>
      <c r="D778" s="6">
        <f>IF(C778="","",SUBSTITUTE(SUBSTITUTE(SUBSTITUTE(SUBSTITUTE(SUBSTITUTE(SUBSTITUTE(SUBSTITUTE(UPPER(TRIM(B778&amp;"")),"₹",""),"RS.",""),"RS",""),"INR",""),"$",""),",","")," ",""))</f>
        <v/>
      </c>
      <c r="E778" s="6">
        <f>IF(C778="","",IF(RIGHT(D778,2)="CR","Cr",IF(RIGHT(D778,2)="DR","Dr","")))</f>
        <v/>
      </c>
      <c r="F778" s="6">
        <f>IF(C778="","",IF(E778&lt;&gt;"",LEFT(D778,LEN(D778)-2),D778))</f>
        <v/>
      </c>
      <c r="G778" s="13">
        <f>IF(C778="","",IF(OR(IF(AND(LEFT(F778,1)="(",RIGHT(F778,1)=")"),MID(F778,2,LEN(F778)-2),F778)="",IF(AND(LEFT(F778,1)="(",RIGHT(F778,1)=")"),MID(F778,2,LEN(F778)-2),F778)="-"),0,IFERROR(VALUE(IF(AND(LEFT(F778,1)="(",RIGHT(F778,1)=")"),MID(F778,2,LEN(F778)-2),F778))*IF(AND(LEFT(F778,1)="(",RIGHT(F778,1)=")"),-1,1)*IF(E778="Cr",Setup!$B$6,1),"ERR")))</f>
        <v/>
      </c>
      <c r="H778" s="6">
        <f>IF(C778="","",IF(ISNUMBER(G778),1,0))</f>
        <v/>
      </c>
      <c r="I778" s="6">
        <f>IF(C778="","",IF(SUMPRODUCT(($C$12:$C$1511=C778)*1)&gt;1,1,0))</f>
        <v/>
      </c>
      <c r="J778" s="6">
        <f>IF(C778="","",SUMPRODUCT((Mapping!$F$5:$F$504=Setup!$B$4&amp;"||"&amp;C778)*ROW(Mapping!$F$5:$F$504)))</f>
        <v/>
      </c>
      <c r="K778" s="6">
        <f>IF(C778="","",IF(J778=0,"UNMAPPED",LOWER(INDEX(Mapping!$D$1:$D$504,J778))))</f>
        <v/>
      </c>
      <c r="L778" s="6">
        <f>IF(K778="mapped",TRIM(INDEX(Mapping!$C$1:$C$504,J778)),"")</f>
        <v/>
      </c>
      <c r="M778" s="6">
        <f>IF(C778="","",IF(SUMPRODUCT(($C$12:C778=C778)*1)=1,1,0))</f>
        <v/>
      </c>
      <c r="N778" s="6">
        <f>IF(AND(K778="UNMAPPED",M778=1),ROW(),"")</f>
        <v/>
      </c>
      <c r="O778" s="6">
        <f>IF(AND(I778=1,M778=1),ROW(),"")</f>
        <v/>
      </c>
      <c r="P778" s="6">
        <f>IF(AND(K778="ignored",M778=1),ROW(),"")</f>
        <v/>
      </c>
    </row>
    <row r="779">
      <c r="A779" s="8" t="n"/>
      <c r="B779" s="8" t="n"/>
      <c r="C779" s="6">
        <f>TRIM(A779&amp;"")</f>
        <v/>
      </c>
      <c r="D779" s="6">
        <f>IF(C779="","",SUBSTITUTE(SUBSTITUTE(SUBSTITUTE(SUBSTITUTE(SUBSTITUTE(SUBSTITUTE(SUBSTITUTE(UPPER(TRIM(B779&amp;"")),"₹",""),"RS.",""),"RS",""),"INR",""),"$",""),",","")," ",""))</f>
        <v/>
      </c>
      <c r="E779" s="6">
        <f>IF(C779="","",IF(RIGHT(D779,2)="CR","Cr",IF(RIGHT(D779,2)="DR","Dr","")))</f>
        <v/>
      </c>
      <c r="F779" s="6">
        <f>IF(C779="","",IF(E779&lt;&gt;"",LEFT(D779,LEN(D779)-2),D779))</f>
        <v/>
      </c>
      <c r="G779" s="13">
        <f>IF(C779="","",IF(OR(IF(AND(LEFT(F779,1)="(",RIGHT(F779,1)=")"),MID(F779,2,LEN(F779)-2),F779)="",IF(AND(LEFT(F779,1)="(",RIGHT(F779,1)=")"),MID(F779,2,LEN(F779)-2),F779)="-"),0,IFERROR(VALUE(IF(AND(LEFT(F779,1)="(",RIGHT(F779,1)=")"),MID(F779,2,LEN(F779)-2),F779))*IF(AND(LEFT(F779,1)="(",RIGHT(F779,1)=")"),-1,1)*IF(E779="Cr",Setup!$B$6,1),"ERR")))</f>
        <v/>
      </c>
      <c r="H779" s="6">
        <f>IF(C779="","",IF(ISNUMBER(G779),1,0))</f>
        <v/>
      </c>
      <c r="I779" s="6">
        <f>IF(C779="","",IF(SUMPRODUCT(($C$12:$C$1511=C779)*1)&gt;1,1,0))</f>
        <v/>
      </c>
      <c r="J779" s="6">
        <f>IF(C779="","",SUMPRODUCT((Mapping!$F$5:$F$504=Setup!$B$4&amp;"||"&amp;C779)*ROW(Mapping!$F$5:$F$504)))</f>
        <v/>
      </c>
      <c r="K779" s="6">
        <f>IF(C779="","",IF(J779=0,"UNMAPPED",LOWER(INDEX(Mapping!$D$1:$D$504,J779))))</f>
        <v/>
      </c>
      <c r="L779" s="6">
        <f>IF(K779="mapped",TRIM(INDEX(Mapping!$C$1:$C$504,J779)),"")</f>
        <v/>
      </c>
      <c r="M779" s="6">
        <f>IF(C779="","",IF(SUMPRODUCT(($C$12:C779=C779)*1)=1,1,0))</f>
        <v/>
      </c>
      <c r="N779" s="6">
        <f>IF(AND(K779="UNMAPPED",M779=1),ROW(),"")</f>
        <v/>
      </c>
      <c r="O779" s="6">
        <f>IF(AND(I779=1,M779=1),ROW(),"")</f>
        <v/>
      </c>
      <c r="P779" s="6">
        <f>IF(AND(K779="ignored",M779=1),ROW(),"")</f>
        <v/>
      </c>
    </row>
    <row r="780">
      <c r="A780" s="8" t="n"/>
      <c r="B780" s="8" t="n"/>
      <c r="C780" s="6">
        <f>TRIM(A780&amp;"")</f>
        <v/>
      </c>
      <c r="D780" s="6">
        <f>IF(C780="","",SUBSTITUTE(SUBSTITUTE(SUBSTITUTE(SUBSTITUTE(SUBSTITUTE(SUBSTITUTE(SUBSTITUTE(UPPER(TRIM(B780&amp;"")),"₹",""),"RS.",""),"RS",""),"INR",""),"$",""),",","")," ",""))</f>
        <v/>
      </c>
      <c r="E780" s="6">
        <f>IF(C780="","",IF(RIGHT(D780,2)="CR","Cr",IF(RIGHT(D780,2)="DR","Dr","")))</f>
        <v/>
      </c>
      <c r="F780" s="6">
        <f>IF(C780="","",IF(E780&lt;&gt;"",LEFT(D780,LEN(D780)-2),D780))</f>
        <v/>
      </c>
      <c r="G780" s="13">
        <f>IF(C780="","",IF(OR(IF(AND(LEFT(F780,1)="(",RIGHT(F780,1)=")"),MID(F780,2,LEN(F780)-2),F780)="",IF(AND(LEFT(F780,1)="(",RIGHT(F780,1)=")"),MID(F780,2,LEN(F780)-2),F780)="-"),0,IFERROR(VALUE(IF(AND(LEFT(F780,1)="(",RIGHT(F780,1)=")"),MID(F780,2,LEN(F780)-2),F780))*IF(AND(LEFT(F780,1)="(",RIGHT(F780,1)=")"),-1,1)*IF(E780="Cr",Setup!$B$6,1),"ERR")))</f>
        <v/>
      </c>
      <c r="H780" s="6">
        <f>IF(C780="","",IF(ISNUMBER(G780),1,0))</f>
        <v/>
      </c>
      <c r="I780" s="6">
        <f>IF(C780="","",IF(SUMPRODUCT(($C$12:$C$1511=C780)*1)&gt;1,1,0))</f>
        <v/>
      </c>
      <c r="J780" s="6">
        <f>IF(C780="","",SUMPRODUCT((Mapping!$F$5:$F$504=Setup!$B$4&amp;"||"&amp;C780)*ROW(Mapping!$F$5:$F$504)))</f>
        <v/>
      </c>
      <c r="K780" s="6">
        <f>IF(C780="","",IF(J780=0,"UNMAPPED",LOWER(INDEX(Mapping!$D$1:$D$504,J780))))</f>
        <v/>
      </c>
      <c r="L780" s="6">
        <f>IF(K780="mapped",TRIM(INDEX(Mapping!$C$1:$C$504,J780)),"")</f>
        <v/>
      </c>
      <c r="M780" s="6">
        <f>IF(C780="","",IF(SUMPRODUCT(($C$12:C780=C780)*1)=1,1,0))</f>
        <v/>
      </c>
      <c r="N780" s="6">
        <f>IF(AND(K780="UNMAPPED",M780=1),ROW(),"")</f>
        <v/>
      </c>
      <c r="O780" s="6">
        <f>IF(AND(I780=1,M780=1),ROW(),"")</f>
        <v/>
      </c>
      <c r="P780" s="6">
        <f>IF(AND(K780="ignored",M780=1),ROW(),"")</f>
        <v/>
      </c>
    </row>
    <row r="781">
      <c r="A781" s="8" t="n"/>
      <c r="B781" s="8" t="n"/>
      <c r="C781" s="6">
        <f>TRIM(A781&amp;"")</f>
        <v/>
      </c>
      <c r="D781" s="6">
        <f>IF(C781="","",SUBSTITUTE(SUBSTITUTE(SUBSTITUTE(SUBSTITUTE(SUBSTITUTE(SUBSTITUTE(SUBSTITUTE(UPPER(TRIM(B781&amp;"")),"₹",""),"RS.",""),"RS",""),"INR",""),"$",""),",","")," ",""))</f>
        <v/>
      </c>
      <c r="E781" s="6">
        <f>IF(C781="","",IF(RIGHT(D781,2)="CR","Cr",IF(RIGHT(D781,2)="DR","Dr","")))</f>
        <v/>
      </c>
      <c r="F781" s="6">
        <f>IF(C781="","",IF(E781&lt;&gt;"",LEFT(D781,LEN(D781)-2),D781))</f>
        <v/>
      </c>
      <c r="G781" s="13">
        <f>IF(C781="","",IF(OR(IF(AND(LEFT(F781,1)="(",RIGHT(F781,1)=")"),MID(F781,2,LEN(F781)-2),F781)="",IF(AND(LEFT(F781,1)="(",RIGHT(F781,1)=")"),MID(F781,2,LEN(F781)-2),F781)="-"),0,IFERROR(VALUE(IF(AND(LEFT(F781,1)="(",RIGHT(F781,1)=")"),MID(F781,2,LEN(F781)-2),F781))*IF(AND(LEFT(F781,1)="(",RIGHT(F781,1)=")"),-1,1)*IF(E781="Cr",Setup!$B$6,1),"ERR")))</f>
        <v/>
      </c>
      <c r="H781" s="6">
        <f>IF(C781="","",IF(ISNUMBER(G781),1,0))</f>
        <v/>
      </c>
      <c r="I781" s="6">
        <f>IF(C781="","",IF(SUMPRODUCT(($C$12:$C$1511=C781)*1)&gt;1,1,0))</f>
        <v/>
      </c>
      <c r="J781" s="6">
        <f>IF(C781="","",SUMPRODUCT((Mapping!$F$5:$F$504=Setup!$B$4&amp;"||"&amp;C781)*ROW(Mapping!$F$5:$F$504)))</f>
        <v/>
      </c>
      <c r="K781" s="6">
        <f>IF(C781="","",IF(J781=0,"UNMAPPED",LOWER(INDEX(Mapping!$D$1:$D$504,J781))))</f>
        <v/>
      </c>
      <c r="L781" s="6">
        <f>IF(K781="mapped",TRIM(INDEX(Mapping!$C$1:$C$504,J781)),"")</f>
        <v/>
      </c>
      <c r="M781" s="6">
        <f>IF(C781="","",IF(SUMPRODUCT(($C$12:C781=C781)*1)=1,1,0))</f>
        <v/>
      </c>
      <c r="N781" s="6">
        <f>IF(AND(K781="UNMAPPED",M781=1),ROW(),"")</f>
        <v/>
      </c>
      <c r="O781" s="6">
        <f>IF(AND(I781=1,M781=1),ROW(),"")</f>
        <v/>
      </c>
      <c r="P781" s="6">
        <f>IF(AND(K781="ignored",M781=1),ROW(),"")</f>
        <v/>
      </c>
    </row>
    <row r="782">
      <c r="A782" s="8" t="n"/>
      <c r="B782" s="8" t="n"/>
      <c r="C782" s="6">
        <f>TRIM(A782&amp;"")</f>
        <v/>
      </c>
      <c r="D782" s="6">
        <f>IF(C782="","",SUBSTITUTE(SUBSTITUTE(SUBSTITUTE(SUBSTITUTE(SUBSTITUTE(SUBSTITUTE(SUBSTITUTE(UPPER(TRIM(B782&amp;"")),"₹",""),"RS.",""),"RS",""),"INR",""),"$",""),",","")," ",""))</f>
        <v/>
      </c>
      <c r="E782" s="6">
        <f>IF(C782="","",IF(RIGHT(D782,2)="CR","Cr",IF(RIGHT(D782,2)="DR","Dr","")))</f>
        <v/>
      </c>
      <c r="F782" s="6">
        <f>IF(C782="","",IF(E782&lt;&gt;"",LEFT(D782,LEN(D782)-2),D782))</f>
        <v/>
      </c>
      <c r="G782" s="13">
        <f>IF(C782="","",IF(OR(IF(AND(LEFT(F782,1)="(",RIGHT(F782,1)=")"),MID(F782,2,LEN(F782)-2),F782)="",IF(AND(LEFT(F782,1)="(",RIGHT(F782,1)=")"),MID(F782,2,LEN(F782)-2),F782)="-"),0,IFERROR(VALUE(IF(AND(LEFT(F782,1)="(",RIGHT(F782,1)=")"),MID(F782,2,LEN(F782)-2),F782))*IF(AND(LEFT(F782,1)="(",RIGHT(F782,1)=")"),-1,1)*IF(E782="Cr",Setup!$B$6,1),"ERR")))</f>
        <v/>
      </c>
      <c r="H782" s="6">
        <f>IF(C782="","",IF(ISNUMBER(G782),1,0))</f>
        <v/>
      </c>
      <c r="I782" s="6">
        <f>IF(C782="","",IF(SUMPRODUCT(($C$12:$C$1511=C782)*1)&gt;1,1,0))</f>
        <v/>
      </c>
      <c r="J782" s="6">
        <f>IF(C782="","",SUMPRODUCT((Mapping!$F$5:$F$504=Setup!$B$4&amp;"||"&amp;C782)*ROW(Mapping!$F$5:$F$504)))</f>
        <v/>
      </c>
      <c r="K782" s="6">
        <f>IF(C782="","",IF(J782=0,"UNMAPPED",LOWER(INDEX(Mapping!$D$1:$D$504,J782))))</f>
        <v/>
      </c>
      <c r="L782" s="6">
        <f>IF(K782="mapped",TRIM(INDEX(Mapping!$C$1:$C$504,J782)),"")</f>
        <v/>
      </c>
      <c r="M782" s="6">
        <f>IF(C782="","",IF(SUMPRODUCT(($C$12:C782=C782)*1)=1,1,0))</f>
        <v/>
      </c>
      <c r="N782" s="6">
        <f>IF(AND(K782="UNMAPPED",M782=1),ROW(),"")</f>
        <v/>
      </c>
      <c r="O782" s="6">
        <f>IF(AND(I782=1,M782=1),ROW(),"")</f>
        <v/>
      </c>
      <c r="P782" s="6">
        <f>IF(AND(K782="ignored",M782=1),ROW(),"")</f>
        <v/>
      </c>
    </row>
    <row r="783">
      <c r="A783" s="8" t="n"/>
      <c r="B783" s="8" t="n"/>
      <c r="C783" s="6">
        <f>TRIM(A783&amp;"")</f>
        <v/>
      </c>
      <c r="D783" s="6">
        <f>IF(C783="","",SUBSTITUTE(SUBSTITUTE(SUBSTITUTE(SUBSTITUTE(SUBSTITUTE(SUBSTITUTE(SUBSTITUTE(UPPER(TRIM(B783&amp;"")),"₹",""),"RS.",""),"RS",""),"INR",""),"$",""),",","")," ",""))</f>
        <v/>
      </c>
      <c r="E783" s="6">
        <f>IF(C783="","",IF(RIGHT(D783,2)="CR","Cr",IF(RIGHT(D783,2)="DR","Dr","")))</f>
        <v/>
      </c>
      <c r="F783" s="6">
        <f>IF(C783="","",IF(E783&lt;&gt;"",LEFT(D783,LEN(D783)-2),D783))</f>
        <v/>
      </c>
      <c r="G783" s="13">
        <f>IF(C783="","",IF(OR(IF(AND(LEFT(F783,1)="(",RIGHT(F783,1)=")"),MID(F783,2,LEN(F783)-2),F783)="",IF(AND(LEFT(F783,1)="(",RIGHT(F783,1)=")"),MID(F783,2,LEN(F783)-2),F783)="-"),0,IFERROR(VALUE(IF(AND(LEFT(F783,1)="(",RIGHT(F783,1)=")"),MID(F783,2,LEN(F783)-2),F783))*IF(AND(LEFT(F783,1)="(",RIGHT(F783,1)=")"),-1,1)*IF(E783="Cr",Setup!$B$6,1),"ERR")))</f>
        <v/>
      </c>
      <c r="H783" s="6">
        <f>IF(C783="","",IF(ISNUMBER(G783),1,0))</f>
        <v/>
      </c>
      <c r="I783" s="6">
        <f>IF(C783="","",IF(SUMPRODUCT(($C$12:$C$1511=C783)*1)&gt;1,1,0))</f>
        <v/>
      </c>
      <c r="J783" s="6">
        <f>IF(C783="","",SUMPRODUCT((Mapping!$F$5:$F$504=Setup!$B$4&amp;"||"&amp;C783)*ROW(Mapping!$F$5:$F$504)))</f>
        <v/>
      </c>
      <c r="K783" s="6">
        <f>IF(C783="","",IF(J783=0,"UNMAPPED",LOWER(INDEX(Mapping!$D$1:$D$504,J783))))</f>
        <v/>
      </c>
      <c r="L783" s="6">
        <f>IF(K783="mapped",TRIM(INDEX(Mapping!$C$1:$C$504,J783)),"")</f>
        <v/>
      </c>
      <c r="M783" s="6">
        <f>IF(C783="","",IF(SUMPRODUCT(($C$12:C783=C783)*1)=1,1,0))</f>
        <v/>
      </c>
      <c r="N783" s="6">
        <f>IF(AND(K783="UNMAPPED",M783=1),ROW(),"")</f>
        <v/>
      </c>
      <c r="O783" s="6">
        <f>IF(AND(I783=1,M783=1),ROW(),"")</f>
        <v/>
      </c>
      <c r="P783" s="6">
        <f>IF(AND(K783="ignored",M783=1),ROW(),"")</f>
        <v/>
      </c>
    </row>
    <row r="784">
      <c r="A784" s="8" t="n"/>
      <c r="B784" s="8" t="n"/>
      <c r="C784" s="6">
        <f>TRIM(A784&amp;"")</f>
        <v/>
      </c>
      <c r="D784" s="6">
        <f>IF(C784="","",SUBSTITUTE(SUBSTITUTE(SUBSTITUTE(SUBSTITUTE(SUBSTITUTE(SUBSTITUTE(SUBSTITUTE(UPPER(TRIM(B784&amp;"")),"₹",""),"RS.",""),"RS",""),"INR",""),"$",""),",","")," ",""))</f>
        <v/>
      </c>
      <c r="E784" s="6">
        <f>IF(C784="","",IF(RIGHT(D784,2)="CR","Cr",IF(RIGHT(D784,2)="DR","Dr","")))</f>
        <v/>
      </c>
      <c r="F784" s="6">
        <f>IF(C784="","",IF(E784&lt;&gt;"",LEFT(D784,LEN(D784)-2),D784))</f>
        <v/>
      </c>
      <c r="G784" s="13">
        <f>IF(C784="","",IF(OR(IF(AND(LEFT(F784,1)="(",RIGHT(F784,1)=")"),MID(F784,2,LEN(F784)-2),F784)="",IF(AND(LEFT(F784,1)="(",RIGHT(F784,1)=")"),MID(F784,2,LEN(F784)-2),F784)="-"),0,IFERROR(VALUE(IF(AND(LEFT(F784,1)="(",RIGHT(F784,1)=")"),MID(F784,2,LEN(F784)-2),F784))*IF(AND(LEFT(F784,1)="(",RIGHT(F784,1)=")"),-1,1)*IF(E784="Cr",Setup!$B$6,1),"ERR")))</f>
        <v/>
      </c>
      <c r="H784" s="6">
        <f>IF(C784="","",IF(ISNUMBER(G784),1,0))</f>
        <v/>
      </c>
      <c r="I784" s="6">
        <f>IF(C784="","",IF(SUMPRODUCT(($C$12:$C$1511=C784)*1)&gt;1,1,0))</f>
        <v/>
      </c>
      <c r="J784" s="6">
        <f>IF(C784="","",SUMPRODUCT((Mapping!$F$5:$F$504=Setup!$B$4&amp;"||"&amp;C784)*ROW(Mapping!$F$5:$F$504)))</f>
        <v/>
      </c>
      <c r="K784" s="6">
        <f>IF(C784="","",IF(J784=0,"UNMAPPED",LOWER(INDEX(Mapping!$D$1:$D$504,J784))))</f>
        <v/>
      </c>
      <c r="L784" s="6">
        <f>IF(K784="mapped",TRIM(INDEX(Mapping!$C$1:$C$504,J784)),"")</f>
        <v/>
      </c>
      <c r="M784" s="6">
        <f>IF(C784="","",IF(SUMPRODUCT(($C$12:C784=C784)*1)=1,1,0))</f>
        <v/>
      </c>
      <c r="N784" s="6">
        <f>IF(AND(K784="UNMAPPED",M784=1),ROW(),"")</f>
        <v/>
      </c>
      <c r="O784" s="6">
        <f>IF(AND(I784=1,M784=1),ROW(),"")</f>
        <v/>
      </c>
      <c r="P784" s="6">
        <f>IF(AND(K784="ignored",M784=1),ROW(),"")</f>
        <v/>
      </c>
    </row>
    <row r="785">
      <c r="A785" s="8" t="n"/>
      <c r="B785" s="8" t="n"/>
      <c r="C785" s="6">
        <f>TRIM(A785&amp;"")</f>
        <v/>
      </c>
      <c r="D785" s="6">
        <f>IF(C785="","",SUBSTITUTE(SUBSTITUTE(SUBSTITUTE(SUBSTITUTE(SUBSTITUTE(SUBSTITUTE(SUBSTITUTE(UPPER(TRIM(B785&amp;"")),"₹",""),"RS.",""),"RS",""),"INR",""),"$",""),",","")," ",""))</f>
        <v/>
      </c>
      <c r="E785" s="6">
        <f>IF(C785="","",IF(RIGHT(D785,2)="CR","Cr",IF(RIGHT(D785,2)="DR","Dr","")))</f>
        <v/>
      </c>
      <c r="F785" s="6">
        <f>IF(C785="","",IF(E785&lt;&gt;"",LEFT(D785,LEN(D785)-2),D785))</f>
        <v/>
      </c>
      <c r="G785" s="13">
        <f>IF(C785="","",IF(OR(IF(AND(LEFT(F785,1)="(",RIGHT(F785,1)=")"),MID(F785,2,LEN(F785)-2),F785)="",IF(AND(LEFT(F785,1)="(",RIGHT(F785,1)=")"),MID(F785,2,LEN(F785)-2),F785)="-"),0,IFERROR(VALUE(IF(AND(LEFT(F785,1)="(",RIGHT(F785,1)=")"),MID(F785,2,LEN(F785)-2),F785))*IF(AND(LEFT(F785,1)="(",RIGHT(F785,1)=")"),-1,1)*IF(E785="Cr",Setup!$B$6,1),"ERR")))</f>
        <v/>
      </c>
      <c r="H785" s="6">
        <f>IF(C785="","",IF(ISNUMBER(G785),1,0))</f>
        <v/>
      </c>
      <c r="I785" s="6">
        <f>IF(C785="","",IF(SUMPRODUCT(($C$12:$C$1511=C785)*1)&gt;1,1,0))</f>
        <v/>
      </c>
      <c r="J785" s="6">
        <f>IF(C785="","",SUMPRODUCT((Mapping!$F$5:$F$504=Setup!$B$4&amp;"||"&amp;C785)*ROW(Mapping!$F$5:$F$504)))</f>
        <v/>
      </c>
      <c r="K785" s="6">
        <f>IF(C785="","",IF(J785=0,"UNMAPPED",LOWER(INDEX(Mapping!$D$1:$D$504,J785))))</f>
        <v/>
      </c>
      <c r="L785" s="6">
        <f>IF(K785="mapped",TRIM(INDEX(Mapping!$C$1:$C$504,J785)),"")</f>
        <v/>
      </c>
      <c r="M785" s="6">
        <f>IF(C785="","",IF(SUMPRODUCT(($C$12:C785=C785)*1)=1,1,0))</f>
        <v/>
      </c>
      <c r="N785" s="6">
        <f>IF(AND(K785="UNMAPPED",M785=1),ROW(),"")</f>
        <v/>
      </c>
      <c r="O785" s="6">
        <f>IF(AND(I785=1,M785=1),ROW(),"")</f>
        <v/>
      </c>
      <c r="P785" s="6">
        <f>IF(AND(K785="ignored",M785=1),ROW(),"")</f>
        <v/>
      </c>
    </row>
    <row r="786">
      <c r="A786" s="8" t="n"/>
      <c r="B786" s="8" t="n"/>
      <c r="C786" s="6">
        <f>TRIM(A786&amp;"")</f>
        <v/>
      </c>
      <c r="D786" s="6">
        <f>IF(C786="","",SUBSTITUTE(SUBSTITUTE(SUBSTITUTE(SUBSTITUTE(SUBSTITUTE(SUBSTITUTE(SUBSTITUTE(UPPER(TRIM(B786&amp;"")),"₹",""),"RS.",""),"RS",""),"INR",""),"$",""),",","")," ",""))</f>
        <v/>
      </c>
      <c r="E786" s="6">
        <f>IF(C786="","",IF(RIGHT(D786,2)="CR","Cr",IF(RIGHT(D786,2)="DR","Dr","")))</f>
        <v/>
      </c>
      <c r="F786" s="6">
        <f>IF(C786="","",IF(E786&lt;&gt;"",LEFT(D786,LEN(D786)-2),D786))</f>
        <v/>
      </c>
      <c r="G786" s="13">
        <f>IF(C786="","",IF(OR(IF(AND(LEFT(F786,1)="(",RIGHT(F786,1)=")"),MID(F786,2,LEN(F786)-2),F786)="",IF(AND(LEFT(F786,1)="(",RIGHT(F786,1)=")"),MID(F786,2,LEN(F786)-2),F786)="-"),0,IFERROR(VALUE(IF(AND(LEFT(F786,1)="(",RIGHT(F786,1)=")"),MID(F786,2,LEN(F786)-2),F786))*IF(AND(LEFT(F786,1)="(",RIGHT(F786,1)=")"),-1,1)*IF(E786="Cr",Setup!$B$6,1),"ERR")))</f>
        <v/>
      </c>
      <c r="H786" s="6">
        <f>IF(C786="","",IF(ISNUMBER(G786),1,0))</f>
        <v/>
      </c>
      <c r="I786" s="6">
        <f>IF(C786="","",IF(SUMPRODUCT(($C$12:$C$1511=C786)*1)&gt;1,1,0))</f>
        <v/>
      </c>
      <c r="J786" s="6">
        <f>IF(C786="","",SUMPRODUCT((Mapping!$F$5:$F$504=Setup!$B$4&amp;"||"&amp;C786)*ROW(Mapping!$F$5:$F$504)))</f>
        <v/>
      </c>
      <c r="K786" s="6">
        <f>IF(C786="","",IF(J786=0,"UNMAPPED",LOWER(INDEX(Mapping!$D$1:$D$504,J786))))</f>
        <v/>
      </c>
      <c r="L786" s="6">
        <f>IF(K786="mapped",TRIM(INDEX(Mapping!$C$1:$C$504,J786)),"")</f>
        <v/>
      </c>
      <c r="M786" s="6">
        <f>IF(C786="","",IF(SUMPRODUCT(($C$12:C786=C786)*1)=1,1,0))</f>
        <v/>
      </c>
      <c r="N786" s="6">
        <f>IF(AND(K786="UNMAPPED",M786=1),ROW(),"")</f>
        <v/>
      </c>
      <c r="O786" s="6">
        <f>IF(AND(I786=1,M786=1),ROW(),"")</f>
        <v/>
      </c>
      <c r="P786" s="6">
        <f>IF(AND(K786="ignored",M786=1),ROW(),"")</f>
        <v/>
      </c>
    </row>
    <row r="787">
      <c r="A787" s="8" t="n"/>
      <c r="B787" s="8" t="n"/>
      <c r="C787" s="6">
        <f>TRIM(A787&amp;"")</f>
        <v/>
      </c>
      <c r="D787" s="6">
        <f>IF(C787="","",SUBSTITUTE(SUBSTITUTE(SUBSTITUTE(SUBSTITUTE(SUBSTITUTE(SUBSTITUTE(SUBSTITUTE(UPPER(TRIM(B787&amp;"")),"₹",""),"RS.",""),"RS",""),"INR",""),"$",""),",","")," ",""))</f>
        <v/>
      </c>
      <c r="E787" s="6">
        <f>IF(C787="","",IF(RIGHT(D787,2)="CR","Cr",IF(RIGHT(D787,2)="DR","Dr","")))</f>
        <v/>
      </c>
      <c r="F787" s="6">
        <f>IF(C787="","",IF(E787&lt;&gt;"",LEFT(D787,LEN(D787)-2),D787))</f>
        <v/>
      </c>
      <c r="G787" s="13">
        <f>IF(C787="","",IF(OR(IF(AND(LEFT(F787,1)="(",RIGHT(F787,1)=")"),MID(F787,2,LEN(F787)-2),F787)="",IF(AND(LEFT(F787,1)="(",RIGHT(F787,1)=")"),MID(F787,2,LEN(F787)-2),F787)="-"),0,IFERROR(VALUE(IF(AND(LEFT(F787,1)="(",RIGHT(F787,1)=")"),MID(F787,2,LEN(F787)-2),F787))*IF(AND(LEFT(F787,1)="(",RIGHT(F787,1)=")"),-1,1)*IF(E787="Cr",Setup!$B$6,1),"ERR")))</f>
        <v/>
      </c>
      <c r="H787" s="6">
        <f>IF(C787="","",IF(ISNUMBER(G787),1,0))</f>
        <v/>
      </c>
      <c r="I787" s="6">
        <f>IF(C787="","",IF(SUMPRODUCT(($C$12:$C$1511=C787)*1)&gt;1,1,0))</f>
        <v/>
      </c>
      <c r="J787" s="6">
        <f>IF(C787="","",SUMPRODUCT((Mapping!$F$5:$F$504=Setup!$B$4&amp;"||"&amp;C787)*ROW(Mapping!$F$5:$F$504)))</f>
        <v/>
      </c>
      <c r="K787" s="6">
        <f>IF(C787="","",IF(J787=0,"UNMAPPED",LOWER(INDEX(Mapping!$D$1:$D$504,J787))))</f>
        <v/>
      </c>
      <c r="L787" s="6">
        <f>IF(K787="mapped",TRIM(INDEX(Mapping!$C$1:$C$504,J787)),"")</f>
        <v/>
      </c>
      <c r="M787" s="6">
        <f>IF(C787="","",IF(SUMPRODUCT(($C$12:C787=C787)*1)=1,1,0))</f>
        <v/>
      </c>
      <c r="N787" s="6">
        <f>IF(AND(K787="UNMAPPED",M787=1),ROW(),"")</f>
        <v/>
      </c>
      <c r="O787" s="6">
        <f>IF(AND(I787=1,M787=1),ROW(),"")</f>
        <v/>
      </c>
      <c r="P787" s="6">
        <f>IF(AND(K787="ignored",M787=1),ROW(),"")</f>
        <v/>
      </c>
    </row>
    <row r="788">
      <c r="A788" s="8" t="n"/>
      <c r="B788" s="8" t="n"/>
      <c r="C788" s="6">
        <f>TRIM(A788&amp;"")</f>
        <v/>
      </c>
      <c r="D788" s="6">
        <f>IF(C788="","",SUBSTITUTE(SUBSTITUTE(SUBSTITUTE(SUBSTITUTE(SUBSTITUTE(SUBSTITUTE(SUBSTITUTE(UPPER(TRIM(B788&amp;"")),"₹",""),"RS.",""),"RS",""),"INR",""),"$",""),",","")," ",""))</f>
        <v/>
      </c>
      <c r="E788" s="6">
        <f>IF(C788="","",IF(RIGHT(D788,2)="CR","Cr",IF(RIGHT(D788,2)="DR","Dr","")))</f>
        <v/>
      </c>
      <c r="F788" s="6">
        <f>IF(C788="","",IF(E788&lt;&gt;"",LEFT(D788,LEN(D788)-2),D788))</f>
        <v/>
      </c>
      <c r="G788" s="13">
        <f>IF(C788="","",IF(OR(IF(AND(LEFT(F788,1)="(",RIGHT(F788,1)=")"),MID(F788,2,LEN(F788)-2),F788)="",IF(AND(LEFT(F788,1)="(",RIGHT(F788,1)=")"),MID(F788,2,LEN(F788)-2),F788)="-"),0,IFERROR(VALUE(IF(AND(LEFT(F788,1)="(",RIGHT(F788,1)=")"),MID(F788,2,LEN(F788)-2),F788))*IF(AND(LEFT(F788,1)="(",RIGHT(F788,1)=")"),-1,1)*IF(E788="Cr",Setup!$B$6,1),"ERR")))</f>
        <v/>
      </c>
      <c r="H788" s="6">
        <f>IF(C788="","",IF(ISNUMBER(G788),1,0))</f>
        <v/>
      </c>
      <c r="I788" s="6">
        <f>IF(C788="","",IF(SUMPRODUCT(($C$12:$C$1511=C788)*1)&gt;1,1,0))</f>
        <v/>
      </c>
      <c r="J788" s="6">
        <f>IF(C788="","",SUMPRODUCT((Mapping!$F$5:$F$504=Setup!$B$4&amp;"||"&amp;C788)*ROW(Mapping!$F$5:$F$504)))</f>
        <v/>
      </c>
      <c r="K788" s="6">
        <f>IF(C788="","",IF(J788=0,"UNMAPPED",LOWER(INDEX(Mapping!$D$1:$D$504,J788))))</f>
        <v/>
      </c>
      <c r="L788" s="6">
        <f>IF(K788="mapped",TRIM(INDEX(Mapping!$C$1:$C$504,J788)),"")</f>
        <v/>
      </c>
      <c r="M788" s="6">
        <f>IF(C788="","",IF(SUMPRODUCT(($C$12:C788=C788)*1)=1,1,0))</f>
        <v/>
      </c>
      <c r="N788" s="6">
        <f>IF(AND(K788="UNMAPPED",M788=1),ROW(),"")</f>
        <v/>
      </c>
      <c r="O788" s="6">
        <f>IF(AND(I788=1,M788=1),ROW(),"")</f>
        <v/>
      </c>
      <c r="P788" s="6">
        <f>IF(AND(K788="ignored",M788=1),ROW(),"")</f>
        <v/>
      </c>
    </row>
    <row r="789">
      <c r="A789" s="8" t="n"/>
      <c r="B789" s="8" t="n"/>
      <c r="C789" s="6">
        <f>TRIM(A789&amp;"")</f>
        <v/>
      </c>
      <c r="D789" s="6">
        <f>IF(C789="","",SUBSTITUTE(SUBSTITUTE(SUBSTITUTE(SUBSTITUTE(SUBSTITUTE(SUBSTITUTE(SUBSTITUTE(UPPER(TRIM(B789&amp;"")),"₹",""),"RS.",""),"RS",""),"INR",""),"$",""),",","")," ",""))</f>
        <v/>
      </c>
      <c r="E789" s="6">
        <f>IF(C789="","",IF(RIGHT(D789,2)="CR","Cr",IF(RIGHT(D789,2)="DR","Dr","")))</f>
        <v/>
      </c>
      <c r="F789" s="6">
        <f>IF(C789="","",IF(E789&lt;&gt;"",LEFT(D789,LEN(D789)-2),D789))</f>
        <v/>
      </c>
      <c r="G789" s="13">
        <f>IF(C789="","",IF(OR(IF(AND(LEFT(F789,1)="(",RIGHT(F789,1)=")"),MID(F789,2,LEN(F789)-2),F789)="",IF(AND(LEFT(F789,1)="(",RIGHT(F789,1)=")"),MID(F789,2,LEN(F789)-2),F789)="-"),0,IFERROR(VALUE(IF(AND(LEFT(F789,1)="(",RIGHT(F789,1)=")"),MID(F789,2,LEN(F789)-2),F789))*IF(AND(LEFT(F789,1)="(",RIGHT(F789,1)=")"),-1,1)*IF(E789="Cr",Setup!$B$6,1),"ERR")))</f>
        <v/>
      </c>
      <c r="H789" s="6">
        <f>IF(C789="","",IF(ISNUMBER(G789),1,0))</f>
        <v/>
      </c>
      <c r="I789" s="6">
        <f>IF(C789="","",IF(SUMPRODUCT(($C$12:$C$1511=C789)*1)&gt;1,1,0))</f>
        <v/>
      </c>
      <c r="J789" s="6">
        <f>IF(C789="","",SUMPRODUCT((Mapping!$F$5:$F$504=Setup!$B$4&amp;"||"&amp;C789)*ROW(Mapping!$F$5:$F$504)))</f>
        <v/>
      </c>
      <c r="K789" s="6">
        <f>IF(C789="","",IF(J789=0,"UNMAPPED",LOWER(INDEX(Mapping!$D$1:$D$504,J789))))</f>
        <v/>
      </c>
      <c r="L789" s="6">
        <f>IF(K789="mapped",TRIM(INDEX(Mapping!$C$1:$C$504,J789)),"")</f>
        <v/>
      </c>
      <c r="M789" s="6">
        <f>IF(C789="","",IF(SUMPRODUCT(($C$12:C789=C789)*1)=1,1,0))</f>
        <v/>
      </c>
      <c r="N789" s="6">
        <f>IF(AND(K789="UNMAPPED",M789=1),ROW(),"")</f>
        <v/>
      </c>
      <c r="O789" s="6">
        <f>IF(AND(I789=1,M789=1),ROW(),"")</f>
        <v/>
      </c>
      <c r="P789" s="6">
        <f>IF(AND(K789="ignored",M789=1),ROW(),"")</f>
        <v/>
      </c>
    </row>
    <row r="790">
      <c r="A790" s="8" t="n"/>
      <c r="B790" s="8" t="n"/>
      <c r="C790" s="6">
        <f>TRIM(A790&amp;"")</f>
        <v/>
      </c>
      <c r="D790" s="6">
        <f>IF(C790="","",SUBSTITUTE(SUBSTITUTE(SUBSTITUTE(SUBSTITUTE(SUBSTITUTE(SUBSTITUTE(SUBSTITUTE(UPPER(TRIM(B790&amp;"")),"₹",""),"RS.",""),"RS",""),"INR",""),"$",""),",","")," ",""))</f>
        <v/>
      </c>
      <c r="E790" s="6">
        <f>IF(C790="","",IF(RIGHT(D790,2)="CR","Cr",IF(RIGHT(D790,2)="DR","Dr","")))</f>
        <v/>
      </c>
      <c r="F790" s="6">
        <f>IF(C790="","",IF(E790&lt;&gt;"",LEFT(D790,LEN(D790)-2),D790))</f>
        <v/>
      </c>
      <c r="G790" s="13">
        <f>IF(C790="","",IF(OR(IF(AND(LEFT(F790,1)="(",RIGHT(F790,1)=")"),MID(F790,2,LEN(F790)-2),F790)="",IF(AND(LEFT(F790,1)="(",RIGHT(F790,1)=")"),MID(F790,2,LEN(F790)-2),F790)="-"),0,IFERROR(VALUE(IF(AND(LEFT(F790,1)="(",RIGHT(F790,1)=")"),MID(F790,2,LEN(F790)-2),F790))*IF(AND(LEFT(F790,1)="(",RIGHT(F790,1)=")"),-1,1)*IF(E790="Cr",Setup!$B$6,1),"ERR")))</f>
        <v/>
      </c>
      <c r="H790" s="6">
        <f>IF(C790="","",IF(ISNUMBER(G790),1,0))</f>
        <v/>
      </c>
      <c r="I790" s="6">
        <f>IF(C790="","",IF(SUMPRODUCT(($C$12:$C$1511=C790)*1)&gt;1,1,0))</f>
        <v/>
      </c>
      <c r="J790" s="6">
        <f>IF(C790="","",SUMPRODUCT((Mapping!$F$5:$F$504=Setup!$B$4&amp;"||"&amp;C790)*ROW(Mapping!$F$5:$F$504)))</f>
        <v/>
      </c>
      <c r="K790" s="6">
        <f>IF(C790="","",IF(J790=0,"UNMAPPED",LOWER(INDEX(Mapping!$D$1:$D$504,J790))))</f>
        <v/>
      </c>
      <c r="L790" s="6">
        <f>IF(K790="mapped",TRIM(INDEX(Mapping!$C$1:$C$504,J790)),"")</f>
        <v/>
      </c>
      <c r="M790" s="6">
        <f>IF(C790="","",IF(SUMPRODUCT(($C$12:C790=C790)*1)=1,1,0))</f>
        <v/>
      </c>
      <c r="N790" s="6">
        <f>IF(AND(K790="UNMAPPED",M790=1),ROW(),"")</f>
        <v/>
      </c>
      <c r="O790" s="6">
        <f>IF(AND(I790=1,M790=1),ROW(),"")</f>
        <v/>
      </c>
      <c r="P790" s="6">
        <f>IF(AND(K790="ignored",M790=1),ROW(),"")</f>
        <v/>
      </c>
    </row>
    <row r="791">
      <c r="A791" s="8" t="n"/>
      <c r="B791" s="8" t="n"/>
      <c r="C791" s="6">
        <f>TRIM(A791&amp;"")</f>
        <v/>
      </c>
      <c r="D791" s="6">
        <f>IF(C791="","",SUBSTITUTE(SUBSTITUTE(SUBSTITUTE(SUBSTITUTE(SUBSTITUTE(SUBSTITUTE(SUBSTITUTE(UPPER(TRIM(B791&amp;"")),"₹",""),"RS.",""),"RS",""),"INR",""),"$",""),",","")," ",""))</f>
        <v/>
      </c>
      <c r="E791" s="6">
        <f>IF(C791="","",IF(RIGHT(D791,2)="CR","Cr",IF(RIGHT(D791,2)="DR","Dr","")))</f>
        <v/>
      </c>
      <c r="F791" s="6">
        <f>IF(C791="","",IF(E791&lt;&gt;"",LEFT(D791,LEN(D791)-2),D791))</f>
        <v/>
      </c>
      <c r="G791" s="13">
        <f>IF(C791="","",IF(OR(IF(AND(LEFT(F791,1)="(",RIGHT(F791,1)=")"),MID(F791,2,LEN(F791)-2),F791)="",IF(AND(LEFT(F791,1)="(",RIGHT(F791,1)=")"),MID(F791,2,LEN(F791)-2),F791)="-"),0,IFERROR(VALUE(IF(AND(LEFT(F791,1)="(",RIGHT(F791,1)=")"),MID(F791,2,LEN(F791)-2),F791))*IF(AND(LEFT(F791,1)="(",RIGHT(F791,1)=")"),-1,1)*IF(E791="Cr",Setup!$B$6,1),"ERR")))</f>
        <v/>
      </c>
      <c r="H791" s="6">
        <f>IF(C791="","",IF(ISNUMBER(G791),1,0))</f>
        <v/>
      </c>
      <c r="I791" s="6">
        <f>IF(C791="","",IF(SUMPRODUCT(($C$12:$C$1511=C791)*1)&gt;1,1,0))</f>
        <v/>
      </c>
      <c r="J791" s="6">
        <f>IF(C791="","",SUMPRODUCT((Mapping!$F$5:$F$504=Setup!$B$4&amp;"||"&amp;C791)*ROW(Mapping!$F$5:$F$504)))</f>
        <v/>
      </c>
      <c r="K791" s="6">
        <f>IF(C791="","",IF(J791=0,"UNMAPPED",LOWER(INDEX(Mapping!$D$1:$D$504,J791))))</f>
        <v/>
      </c>
      <c r="L791" s="6">
        <f>IF(K791="mapped",TRIM(INDEX(Mapping!$C$1:$C$504,J791)),"")</f>
        <v/>
      </c>
      <c r="M791" s="6">
        <f>IF(C791="","",IF(SUMPRODUCT(($C$12:C791=C791)*1)=1,1,0))</f>
        <v/>
      </c>
      <c r="N791" s="6">
        <f>IF(AND(K791="UNMAPPED",M791=1),ROW(),"")</f>
        <v/>
      </c>
      <c r="O791" s="6">
        <f>IF(AND(I791=1,M791=1),ROW(),"")</f>
        <v/>
      </c>
      <c r="P791" s="6">
        <f>IF(AND(K791="ignored",M791=1),ROW(),"")</f>
        <v/>
      </c>
    </row>
    <row r="792">
      <c r="A792" s="8" t="n"/>
      <c r="B792" s="8" t="n"/>
      <c r="C792" s="6">
        <f>TRIM(A792&amp;"")</f>
        <v/>
      </c>
      <c r="D792" s="6">
        <f>IF(C792="","",SUBSTITUTE(SUBSTITUTE(SUBSTITUTE(SUBSTITUTE(SUBSTITUTE(SUBSTITUTE(SUBSTITUTE(UPPER(TRIM(B792&amp;"")),"₹",""),"RS.",""),"RS",""),"INR",""),"$",""),",","")," ",""))</f>
        <v/>
      </c>
      <c r="E792" s="6">
        <f>IF(C792="","",IF(RIGHT(D792,2)="CR","Cr",IF(RIGHT(D792,2)="DR","Dr","")))</f>
        <v/>
      </c>
      <c r="F792" s="6">
        <f>IF(C792="","",IF(E792&lt;&gt;"",LEFT(D792,LEN(D792)-2),D792))</f>
        <v/>
      </c>
      <c r="G792" s="13">
        <f>IF(C792="","",IF(OR(IF(AND(LEFT(F792,1)="(",RIGHT(F792,1)=")"),MID(F792,2,LEN(F792)-2),F792)="",IF(AND(LEFT(F792,1)="(",RIGHT(F792,1)=")"),MID(F792,2,LEN(F792)-2),F792)="-"),0,IFERROR(VALUE(IF(AND(LEFT(F792,1)="(",RIGHT(F792,1)=")"),MID(F792,2,LEN(F792)-2),F792))*IF(AND(LEFT(F792,1)="(",RIGHT(F792,1)=")"),-1,1)*IF(E792="Cr",Setup!$B$6,1),"ERR")))</f>
        <v/>
      </c>
      <c r="H792" s="6">
        <f>IF(C792="","",IF(ISNUMBER(G792),1,0))</f>
        <v/>
      </c>
      <c r="I792" s="6">
        <f>IF(C792="","",IF(SUMPRODUCT(($C$12:$C$1511=C792)*1)&gt;1,1,0))</f>
        <v/>
      </c>
      <c r="J792" s="6">
        <f>IF(C792="","",SUMPRODUCT((Mapping!$F$5:$F$504=Setup!$B$4&amp;"||"&amp;C792)*ROW(Mapping!$F$5:$F$504)))</f>
        <v/>
      </c>
      <c r="K792" s="6">
        <f>IF(C792="","",IF(J792=0,"UNMAPPED",LOWER(INDEX(Mapping!$D$1:$D$504,J792))))</f>
        <v/>
      </c>
      <c r="L792" s="6">
        <f>IF(K792="mapped",TRIM(INDEX(Mapping!$C$1:$C$504,J792)),"")</f>
        <v/>
      </c>
      <c r="M792" s="6">
        <f>IF(C792="","",IF(SUMPRODUCT(($C$12:C792=C792)*1)=1,1,0))</f>
        <v/>
      </c>
      <c r="N792" s="6">
        <f>IF(AND(K792="UNMAPPED",M792=1),ROW(),"")</f>
        <v/>
      </c>
      <c r="O792" s="6">
        <f>IF(AND(I792=1,M792=1),ROW(),"")</f>
        <v/>
      </c>
      <c r="P792" s="6">
        <f>IF(AND(K792="ignored",M792=1),ROW(),"")</f>
        <v/>
      </c>
    </row>
    <row r="793">
      <c r="A793" s="8" t="n"/>
      <c r="B793" s="8" t="n"/>
      <c r="C793" s="6">
        <f>TRIM(A793&amp;"")</f>
        <v/>
      </c>
      <c r="D793" s="6">
        <f>IF(C793="","",SUBSTITUTE(SUBSTITUTE(SUBSTITUTE(SUBSTITUTE(SUBSTITUTE(SUBSTITUTE(SUBSTITUTE(UPPER(TRIM(B793&amp;"")),"₹",""),"RS.",""),"RS",""),"INR",""),"$",""),",","")," ",""))</f>
        <v/>
      </c>
      <c r="E793" s="6">
        <f>IF(C793="","",IF(RIGHT(D793,2)="CR","Cr",IF(RIGHT(D793,2)="DR","Dr","")))</f>
        <v/>
      </c>
      <c r="F793" s="6">
        <f>IF(C793="","",IF(E793&lt;&gt;"",LEFT(D793,LEN(D793)-2),D793))</f>
        <v/>
      </c>
      <c r="G793" s="13">
        <f>IF(C793="","",IF(OR(IF(AND(LEFT(F793,1)="(",RIGHT(F793,1)=")"),MID(F793,2,LEN(F793)-2),F793)="",IF(AND(LEFT(F793,1)="(",RIGHT(F793,1)=")"),MID(F793,2,LEN(F793)-2),F793)="-"),0,IFERROR(VALUE(IF(AND(LEFT(F793,1)="(",RIGHT(F793,1)=")"),MID(F793,2,LEN(F793)-2),F793))*IF(AND(LEFT(F793,1)="(",RIGHT(F793,1)=")"),-1,1)*IF(E793="Cr",Setup!$B$6,1),"ERR")))</f>
        <v/>
      </c>
      <c r="H793" s="6">
        <f>IF(C793="","",IF(ISNUMBER(G793),1,0))</f>
        <v/>
      </c>
      <c r="I793" s="6">
        <f>IF(C793="","",IF(SUMPRODUCT(($C$12:$C$1511=C793)*1)&gt;1,1,0))</f>
        <v/>
      </c>
      <c r="J793" s="6">
        <f>IF(C793="","",SUMPRODUCT((Mapping!$F$5:$F$504=Setup!$B$4&amp;"||"&amp;C793)*ROW(Mapping!$F$5:$F$504)))</f>
        <v/>
      </c>
      <c r="K793" s="6">
        <f>IF(C793="","",IF(J793=0,"UNMAPPED",LOWER(INDEX(Mapping!$D$1:$D$504,J793))))</f>
        <v/>
      </c>
      <c r="L793" s="6">
        <f>IF(K793="mapped",TRIM(INDEX(Mapping!$C$1:$C$504,J793)),"")</f>
        <v/>
      </c>
      <c r="M793" s="6">
        <f>IF(C793="","",IF(SUMPRODUCT(($C$12:C793=C793)*1)=1,1,0))</f>
        <v/>
      </c>
      <c r="N793" s="6">
        <f>IF(AND(K793="UNMAPPED",M793=1),ROW(),"")</f>
        <v/>
      </c>
      <c r="O793" s="6">
        <f>IF(AND(I793=1,M793=1),ROW(),"")</f>
        <v/>
      </c>
      <c r="P793" s="6">
        <f>IF(AND(K793="ignored",M793=1),ROW(),"")</f>
        <v/>
      </c>
    </row>
    <row r="794">
      <c r="A794" s="8" t="n"/>
      <c r="B794" s="8" t="n"/>
      <c r="C794" s="6">
        <f>TRIM(A794&amp;"")</f>
        <v/>
      </c>
      <c r="D794" s="6">
        <f>IF(C794="","",SUBSTITUTE(SUBSTITUTE(SUBSTITUTE(SUBSTITUTE(SUBSTITUTE(SUBSTITUTE(SUBSTITUTE(UPPER(TRIM(B794&amp;"")),"₹",""),"RS.",""),"RS",""),"INR",""),"$",""),",","")," ",""))</f>
        <v/>
      </c>
      <c r="E794" s="6">
        <f>IF(C794="","",IF(RIGHT(D794,2)="CR","Cr",IF(RIGHT(D794,2)="DR","Dr","")))</f>
        <v/>
      </c>
      <c r="F794" s="6">
        <f>IF(C794="","",IF(E794&lt;&gt;"",LEFT(D794,LEN(D794)-2),D794))</f>
        <v/>
      </c>
      <c r="G794" s="13">
        <f>IF(C794="","",IF(OR(IF(AND(LEFT(F794,1)="(",RIGHT(F794,1)=")"),MID(F794,2,LEN(F794)-2),F794)="",IF(AND(LEFT(F794,1)="(",RIGHT(F794,1)=")"),MID(F794,2,LEN(F794)-2),F794)="-"),0,IFERROR(VALUE(IF(AND(LEFT(F794,1)="(",RIGHT(F794,1)=")"),MID(F794,2,LEN(F794)-2),F794))*IF(AND(LEFT(F794,1)="(",RIGHT(F794,1)=")"),-1,1)*IF(E794="Cr",Setup!$B$6,1),"ERR")))</f>
        <v/>
      </c>
      <c r="H794" s="6">
        <f>IF(C794="","",IF(ISNUMBER(G794),1,0))</f>
        <v/>
      </c>
      <c r="I794" s="6">
        <f>IF(C794="","",IF(SUMPRODUCT(($C$12:$C$1511=C794)*1)&gt;1,1,0))</f>
        <v/>
      </c>
      <c r="J794" s="6">
        <f>IF(C794="","",SUMPRODUCT((Mapping!$F$5:$F$504=Setup!$B$4&amp;"||"&amp;C794)*ROW(Mapping!$F$5:$F$504)))</f>
        <v/>
      </c>
      <c r="K794" s="6">
        <f>IF(C794="","",IF(J794=0,"UNMAPPED",LOWER(INDEX(Mapping!$D$1:$D$504,J794))))</f>
        <v/>
      </c>
      <c r="L794" s="6">
        <f>IF(K794="mapped",TRIM(INDEX(Mapping!$C$1:$C$504,J794)),"")</f>
        <v/>
      </c>
      <c r="M794" s="6">
        <f>IF(C794="","",IF(SUMPRODUCT(($C$12:C794=C794)*1)=1,1,0))</f>
        <v/>
      </c>
      <c r="N794" s="6">
        <f>IF(AND(K794="UNMAPPED",M794=1),ROW(),"")</f>
        <v/>
      </c>
      <c r="O794" s="6">
        <f>IF(AND(I794=1,M794=1),ROW(),"")</f>
        <v/>
      </c>
      <c r="P794" s="6">
        <f>IF(AND(K794="ignored",M794=1),ROW(),"")</f>
        <v/>
      </c>
    </row>
    <row r="795">
      <c r="A795" s="8" t="n"/>
      <c r="B795" s="8" t="n"/>
      <c r="C795" s="6">
        <f>TRIM(A795&amp;"")</f>
        <v/>
      </c>
      <c r="D795" s="6">
        <f>IF(C795="","",SUBSTITUTE(SUBSTITUTE(SUBSTITUTE(SUBSTITUTE(SUBSTITUTE(SUBSTITUTE(SUBSTITUTE(UPPER(TRIM(B795&amp;"")),"₹",""),"RS.",""),"RS",""),"INR",""),"$",""),",","")," ",""))</f>
        <v/>
      </c>
      <c r="E795" s="6">
        <f>IF(C795="","",IF(RIGHT(D795,2)="CR","Cr",IF(RIGHT(D795,2)="DR","Dr","")))</f>
        <v/>
      </c>
      <c r="F795" s="6">
        <f>IF(C795="","",IF(E795&lt;&gt;"",LEFT(D795,LEN(D795)-2),D795))</f>
        <v/>
      </c>
      <c r="G795" s="13">
        <f>IF(C795="","",IF(OR(IF(AND(LEFT(F795,1)="(",RIGHT(F795,1)=")"),MID(F795,2,LEN(F795)-2),F795)="",IF(AND(LEFT(F795,1)="(",RIGHT(F795,1)=")"),MID(F795,2,LEN(F795)-2),F795)="-"),0,IFERROR(VALUE(IF(AND(LEFT(F795,1)="(",RIGHT(F795,1)=")"),MID(F795,2,LEN(F795)-2),F795))*IF(AND(LEFT(F795,1)="(",RIGHT(F795,1)=")"),-1,1)*IF(E795="Cr",Setup!$B$6,1),"ERR")))</f>
        <v/>
      </c>
      <c r="H795" s="6">
        <f>IF(C795="","",IF(ISNUMBER(G795),1,0))</f>
        <v/>
      </c>
      <c r="I795" s="6">
        <f>IF(C795="","",IF(SUMPRODUCT(($C$12:$C$1511=C795)*1)&gt;1,1,0))</f>
        <v/>
      </c>
      <c r="J795" s="6">
        <f>IF(C795="","",SUMPRODUCT((Mapping!$F$5:$F$504=Setup!$B$4&amp;"||"&amp;C795)*ROW(Mapping!$F$5:$F$504)))</f>
        <v/>
      </c>
      <c r="K795" s="6">
        <f>IF(C795="","",IF(J795=0,"UNMAPPED",LOWER(INDEX(Mapping!$D$1:$D$504,J795))))</f>
        <v/>
      </c>
      <c r="L795" s="6">
        <f>IF(K795="mapped",TRIM(INDEX(Mapping!$C$1:$C$504,J795)),"")</f>
        <v/>
      </c>
      <c r="M795" s="6">
        <f>IF(C795="","",IF(SUMPRODUCT(($C$12:C795=C795)*1)=1,1,0))</f>
        <v/>
      </c>
      <c r="N795" s="6">
        <f>IF(AND(K795="UNMAPPED",M795=1),ROW(),"")</f>
        <v/>
      </c>
      <c r="O795" s="6">
        <f>IF(AND(I795=1,M795=1),ROW(),"")</f>
        <v/>
      </c>
      <c r="P795" s="6">
        <f>IF(AND(K795="ignored",M795=1),ROW(),"")</f>
        <v/>
      </c>
    </row>
    <row r="796">
      <c r="A796" s="8" t="n"/>
      <c r="B796" s="8" t="n"/>
      <c r="C796" s="6">
        <f>TRIM(A796&amp;"")</f>
        <v/>
      </c>
      <c r="D796" s="6">
        <f>IF(C796="","",SUBSTITUTE(SUBSTITUTE(SUBSTITUTE(SUBSTITUTE(SUBSTITUTE(SUBSTITUTE(SUBSTITUTE(UPPER(TRIM(B796&amp;"")),"₹",""),"RS.",""),"RS",""),"INR",""),"$",""),",","")," ",""))</f>
        <v/>
      </c>
      <c r="E796" s="6">
        <f>IF(C796="","",IF(RIGHT(D796,2)="CR","Cr",IF(RIGHT(D796,2)="DR","Dr","")))</f>
        <v/>
      </c>
      <c r="F796" s="6">
        <f>IF(C796="","",IF(E796&lt;&gt;"",LEFT(D796,LEN(D796)-2),D796))</f>
        <v/>
      </c>
      <c r="G796" s="13">
        <f>IF(C796="","",IF(OR(IF(AND(LEFT(F796,1)="(",RIGHT(F796,1)=")"),MID(F796,2,LEN(F796)-2),F796)="",IF(AND(LEFT(F796,1)="(",RIGHT(F796,1)=")"),MID(F796,2,LEN(F796)-2),F796)="-"),0,IFERROR(VALUE(IF(AND(LEFT(F796,1)="(",RIGHT(F796,1)=")"),MID(F796,2,LEN(F796)-2),F796))*IF(AND(LEFT(F796,1)="(",RIGHT(F796,1)=")"),-1,1)*IF(E796="Cr",Setup!$B$6,1),"ERR")))</f>
        <v/>
      </c>
      <c r="H796" s="6">
        <f>IF(C796="","",IF(ISNUMBER(G796),1,0))</f>
        <v/>
      </c>
      <c r="I796" s="6">
        <f>IF(C796="","",IF(SUMPRODUCT(($C$12:$C$1511=C796)*1)&gt;1,1,0))</f>
        <v/>
      </c>
      <c r="J796" s="6">
        <f>IF(C796="","",SUMPRODUCT((Mapping!$F$5:$F$504=Setup!$B$4&amp;"||"&amp;C796)*ROW(Mapping!$F$5:$F$504)))</f>
        <v/>
      </c>
      <c r="K796" s="6">
        <f>IF(C796="","",IF(J796=0,"UNMAPPED",LOWER(INDEX(Mapping!$D$1:$D$504,J796))))</f>
        <v/>
      </c>
      <c r="L796" s="6">
        <f>IF(K796="mapped",TRIM(INDEX(Mapping!$C$1:$C$504,J796)),"")</f>
        <v/>
      </c>
      <c r="M796" s="6">
        <f>IF(C796="","",IF(SUMPRODUCT(($C$12:C796=C796)*1)=1,1,0))</f>
        <v/>
      </c>
      <c r="N796" s="6">
        <f>IF(AND(K796="UNMAPPED",M796=1),ROW(),"")</f>
        <v/>
      </c>
      <c r="O796" s="6">
        <f>IF(AND(I796=1,M796=1),ROW(),"")</f>
        <v/>
      </c>
      <c r="P796" s="6">
        <f>IF(AND(K796="ignored",M796=1),ROW(),"")</f>
        <v/>
      </c>
    </row>
    <row r="797">
      <c r="A797" s="8" t="n"/>
      <c r="B797" s="8" t="n"/>
      <c r="C797" s="6">
        <f>TRIM(A797&amp;"")</f>
        <v/>
      </c>
      <c r="D797" s="6">
        <f>IF(C797="","",SUBSTITUTE(SUBSTITUTE(SUBSTITUTE(SUBSTITUTE(SUBSTITUTE(SUBSTITUTE(SUBSTITUTE(UPPER(TRIM(B797&amp;"")),"₹",""),"RS.",""),"RS",""),"INR",""),"$",""),",","")," ",""))</f>
        <v/>
      </c>
      <c r="E797" s="6">
        <f>IF(C797="","",IF(RIGHT(D797,2)="CR","Cr",IF(RIGHT(D797,2)="DR","Dr","")))</f>
        <v/>
      </c>
      <c r="F797" s="6">
        <f>IF(C797="","",IF(E797&lt;&gt;"",LEFT(D797,LEN(D797)-2),D797))</f>
        <v/>
      </c>
      <c r="G797" s="13">
        <f>IF(C797="","",IF(OR(IF(AND(LEFT(F797,1)="(",RIGHT(F797,1)=")"),MID(F797,2,LEN(F797)-2),F797)="",IF(AND(LEFT(F797,1)="(",RIGHT(F797,1)=")"),MID(F797,2,LEN(F797)-2),F797)="-"),0,IFERROR(VALUE(IF(AND(LEFT(F797,1)="(",RIGHT(F797,1)=")"),MID(F797,2,LEN(F797)-2),F797))*IF(AND(LEFT(F797,1)="(",RIGHT(F797,1)=")"),-1,1)*IF(E797="Cr",Setup!$B$6,1),"ERR")))</f>
        <v/>
      </c>
      <c r="H797" s="6">
        <f>IF(C797="","",IF(ISNUMBER(G797),1,0))</f>
        <v/>
      </c>
      <c r="I797" s="6">
        <f>IF(C797="","",IF(SUMPRODUCT(($C$12:$C$1511=C797)*1)&gt;1,1,0))</f>
        <v/>
      </c>
      <c r="J797" s="6">
        <f>IF(C797="","",SUMPRODUCT((Mapping!$F$5:$F$504=Setup!$B$4&amp;"||"&amp;C797)*ROW(Mapping!$F$5:$F$504)))</f>
        <v/>
      </c>
      <c r="K797" s="6">
        <f>IF(C797="","",IF(J797=0,"UNMAPPED",LOWER(INDEX(Mapping!$D$1:$D$504,J797))))</f>
        <v/>
      </c>
      <c r="L797" s="6">
        <f>IF(K797="mapped",TRIM(INDEX(Mapping!$C$1:$C$504,J797)),"")</f>
        <v/>
      </c>
      <c r="M797" s="6">
        <f>IF(C797="","",IF(SUMPRODUCT(($C$12:C797=C797)*1)=1,1,0))</f>
        <v/>
      </c>
      <c r="N797" s="6">
        <f>IF(AND(K797="UNMAPPED",M797=1),ROW(),"")</f>
        <v/>
      </c>
      <c r="O797" s="6">
        <f>IF(AND(I797=1,M797=1),ROW(),"")</f>
        <v/>
      </c>
      <c r="P797" s="6">
        <f>IF(AND(K797="ignored",M797=1),ROW(),"")</f>
        <v/>
      </c>
    </row>
    <row r="798">
      <c r="A798" s="8" t="n"/>
      <c r="B798" s="8" t="n"/>
      <c r="C798" s="6">
        <f>TRIM(A798&amp;"")</f>
        <v/>
      </c>
      <c r="D798" s="6">
        <f>IF(C798="","",SUBSTITUTE(SUBSTITUTE(SUBSTITUTE(SUBSTITUTE(SUBSTITUTE(SUBSTITUTE(SUBSTITUTE(UPPER(TRIM(B798&amp;"")),"₹",""),"RS.",""),"RS",""),"INR",""),"$",""),",","")," ",""))</f>
        <v/>
      </c>
      <c r="E798" s="6">
        <f>IF(C798="","",IF(RIGHT(D798,2)="CR","Cr",IF(RIGHT(D798,2)="DR","Dr","")))</f>
        <v/>
      </c>
      <c r="F798" s="6">
        <f>IF(C798="","",IF(E798&lt;&gt;"",LEFT(D798,LEN(D798)-2),D798))</f>
        <v/>
      </c>
      <c r="G798" s="13">
        <f>IF(C798="","",IF(OR(IF(AND(LEFT(F798,1)="(",RIGHT(F798,1)=")"),MID(F798,2,LEN(F798)-2),F798)="",IF(AND(LEFT(F798,1)="(",RIGHT(F798,1)=")"),MID(F798,2,LEN(F798)-2),F798)="-"),0,IFERROR(VALUE(IF(AND(LEFT(F798,1)="(",RIGHT(F798,1)=")"),MID(F798,2,LEN(F798)-2),F798))*IF(AND(LEFT(F798,1)="(",RIGHT(F798,1)=")"),-1,1)*IF(E798="Cr",Setup!$B$6,1),"ERR")))</f>
        <v/>
      </c>
      <c r="H798" s="6">
        <f>IF(C798="","",IF(ISNUMBER(G798),1,0))</f>
        <v/>
      </c>
      <c r="I798" s="6">
        <f>IF(C798="","",IF(SUMPRODUCT(($C$12:$C$1511=C798)*1)&gt;1,1,0))</f>
        <v/>
      </c>
      <c r="J798" s="6">
        <f>IF(C798="","",SUMPRODUCT((Mapping!$F$5:$F$504=Setup!$B$4&amp;"||"&amp;C798)*ROW(Mapping!$F$5:$F$504)))</f>
        <v/>
      </c>
      <c r="K798" s="6">
        <f>IF(C798="","",IF(J798=0,"UNMAPPED",LOWER(INDEX(Mapping!$D$1:$D$504,J798))))</f>
        <v/>
      </c>
      <c r="L798" s="6">
        <f>IF(K798="mapped",TRIM(INDEX(Mapping!$C$1:$C$504,J798)),"")</f>
        <v/>
      </c>
      <c r="M798" s="6">
        <f>IF(C798="","",IF(SUMPRODUCT(($C$12:C798=C798)*1)=1,1,0))</f>
        <v/>
      </c>
      <c r="N798" s="6">
        <f>IF(AND(K798="UNMAPPED",M798=1),ROW(),"")</f>
        <v/>
      </c>
      <c r="O798" s="6">
        <f>IF(AND(I798=1,M798=1),ROW(),"")</f>
        <v/>
      </c>
      <c r="P798" s="6">
        <f>IF(AND(K798="ignored",M798=1),ROW(),"")</f>
        <v/>
      </c>
    </row>
    <row r="799">
      <c r="A799" s="8" t="n"/>
      <c r="B799" s="8" t="n"/>
      <c r="C799" s="6">
        <f>TRIM(A799&amp;"")</f>
        <v/>
      </c>
      <c r="D799" s="6">
        <f>IF(C799="","",SUBSTITUTE(SUBSTITUTE(SUBSTITUTE(SUBSTITUTE(SUBSTITUTE(SUBSTITUTE(SUBSTITUTE(UPPER(TRIM(B799&amp;"")),"₹",""),"RS.",""),"RS",""),"INR",""),"$",""),",","")," ",""))</f>
        <v/>
      </c>
      <c r="E799" s="6">
        <f>IF(C799="","",IF(RIGHT(D799,2)="CR","Cr",IF(RIGHT(D799,2)="DR","Dr","")))</f>
        <v/>
      </c>
      <c r="F799" s="6">
        <f>IF(C799="","",IF(E799&lt;&gt;"",LEFT(D799,LEN(D799)-2),D799))</f>
        <v/>
      </c>
      <c r="G799" s="13">
        <f>IF(C799="","",IF(OR(IF(AND(LEFT(F799,1)="(",RIGHT(F799,1)=")"),MID(F799,2,LEN(F799)-2),F799)="",IF(AND(LEFT(F799,1)="(",RIGHT(F799,1)=")"),MID(F799,2,LEN(F799)-2),F799)="-"),0,IFERROR(VALUE(IF(AND(LEFT(F799,1)="(",RIGHT(F799,1)=")"),MID(F799,2,LEN(F799)-2),F799))*IF(AND(LEFT(F799,1)="(",RIGHT(F799,1)=")"),-1,1)*IF(E799="Cr",Setup!$B$6,1),"ERR")))</f>
        <v/>
      </c>
      <c r="H799" s="6">
        <f>IF(C799="","",IF(ISNUMBER(G799),1,0))</f>
        <v/>
      </c>
      <c r="I799" s="6">
        <f>IF(C799="","",IF(SUMPRODUCT(($C$12:$C$1511=C799)*1)&gt;1,1,0))</f>
        <v/>
      </c>
      <c r="J799" s="6">
        <f>IF(C799="","",SUMPRODUCT((Mapping!$F$5:$F$504=Setup!$B$4&amp;"||"&amp;C799)*ROW(Mapping!$F$5:$F$504)))</f>
        <v/>
      </c>
      <c r="K799" s="6">
        <f>IF(C799="","",IF(J799=0,"UNMAPPED",LOWER(INDEX(Mapping!$D$1:$D$504,J799))))</f>
        <v/>
      </c>
      <c r="L799" s="6">
        <f>IF(K799="mapped",TRIM(INDEX(Mapping!$C$1:$C$504,J799)),"")</f>
        <v/>
      </c>
      <c r="M799" s="6">
        <f>IF(C799="","",IF(SUMPRODUCT(($C$12:C799=C799)*1)=1,1,0))</f>
        <v/>
      </c>
      <c r="N799" s="6">
        <f>IF(AND(K799="UNMAPPED",M799=1),ROW(),"")</f>
        <v/>
      </c>
      <c r="O799" s="6">
        <f>IF(AND(I799=1,M799=1),ROW(),"")</f>
        <v/>
      </c>
      <c r="P799" s="6">
        <f>IF(AND(K799="ignored",M799=1),ROW(),"")</f>
        <v/>
      </c>
    </row>
    <row r="800">
      <c r="A800" s="8" t="n"/>
      <c r="B800" s="8" t="n"/>
      <c r="C800" s="6">
        <f>TRIM(A800&amp;"")</f>
        <v/>
      </c>
      <c r="D800" s="6">
        <f>IF(C800="","",SUBSTITUTE(SUBSTITUTE(SUBSTITUTE(SUBSTITUTE(SUBSTITUTE(SUBSTITUTE(SUBSTITUTE(UPPER(TRIM(B800&amp;"")),"₹",""),"RS.",""),"RS",""),"INR",""),"$",""),",","")," ",""))</f>
        <v/>
      </c>
      <c r="E800" s="6">
        <f>IF(C800="","",IF(RIGHT(D800,2)="CR","Cr",IF(RIGHT(D800,2)="DR","Dr","")))</f>
        <v/>
      </c>
      <c r="F800" s="6">
        <f>IF(C800="","",IF(E800&lt;&gt;"",LEFT(D800,LEN(D800)-2),D800))</f>
        <v/>
      </c>
      <c r="G800" s="13">
        <f>IF(C800="","",IF(OR(IF(AND(LEFT(F800,1)="(",RIGHT(F800,1)=")"),MID(F800,2,LEN(F800)-2),F800)="",IF(AND(LEFT(F800,1)="(",RIGHT(F800,1)=")"),MID(F800,2,LEN(F800)-2),F800)="-"),0,IFERROR(VALUE(IF(AND(LEFT(F800,1)="(",RIGHT(F800,1)=")"),MID(F800,2,LEN(F800)-2),F800))*IF(AND(LEFT(F800,1)="(",RIGHT(F800,1)=")"),-1,1)*IF(E800="Cr",Setup!$B$6,1),"ERR")))</f>
        <v/>
      </c>
      <c r="H800" s="6">
        <f>IF(C800="","",IF(ISNUMBER(G800),1,0))</f>
        <v/>
      </c>
      <c r="I800" s="6">
        <f>IF(C800="","",IF(SUMPRODUCT(($C$12:$C$1511=C800)*1)&gt;1,1,0))</f>
        <v/>
      </c>
      <c r="J800" s="6">
        <f>IF(C800="","",SUMPRODUCT((Mapping!$F$5:$F$504=Setup!$B$4&amp;"||"&amp;C800)*ROW(Mapping!$F$5:$F$504)))</f>
        <v/>
      </c>
      <c r="K800" s="6">
        <f>IF(C800="","",IF(J800=0,"UNMAPPED",LOWER(INDEX(Mapping!$D$1:$D$504,J800))))</f>
        <v/>
      </c>
      <c r="L800" s="6">
        <f>IF(K800="mapped",TRIM(INDEX(Mapping!$C$1:$C$504,J800)),"")</f>
        <v/>
      </c>
      <c r="M800" s="6">
        <f>IF(C800="","",IF(SUMPRODUCT(($C$12:C800=C800)*1)=1,1,0))</f>
        <v/>
      </c>
      <c r="N800" s="6">
        <f>IF(AND(K800="UNMAPPED",M800=1),ROW(),"")</f>
        <v/>
      </c>
      <c r="O800" s="6">
        <f>IF(AND(I800=1,M800=1),ROW(),"")</f>
        <v/>
      </c>
      <c r="P800" s="6">
        <f>IF(AND(K800="ignored",M800=1),ROW(),"")</f>
        <v/>
      </c>
    </row>
    <row r="801">
      <c r="A801" s="8" t="n"/>
      <c r="B801" s="8" t="n"/>
      <c r="C801" s="6">
        <f>TRIM(A801&amp;"")</f>
        <v/>
      </c>
      <c r="D801" s="6">
        <f>IF(C801="","",SUBSTITUTE(SUBSTITUTE(SUBSTITUTE(SUBSTITUTE(SUBSTITUTE(SUBSTITUTE(SUBSTITUTE(UPPER(TRIM(B801&amp;"")),"₹",""),"RS.",""),"RS",""),"INR",""),"$",""),",","")," ",""))</f>
        <v/>
      </c>
      <c r="E801" s="6">
        <f>IF(C801="","",IF(RIGHT(D801,2)="CR","Cr",IF(RIGHT(D801,2)="DR","Dr","")))</f>
        <v/>
      </c>
      <c r="F801" s="6">
        <f>IF(C801="","",IF(E801&lt;&gt;"",LEFT(D801,LEN(D801)-2),D801))</f>
        <v/>
      </c>
      <c r="G801" s="13">
        <f>IF(C801="","",IF(OR(IF(AND(LEFT(F801,1)="(",RIGHT(F801,1)=")"),MID(F801,2,LEN(F801)-2),F801)="",IF(AND(LEFT(F801,1)="(",RIGHT(F801,1)=")"),MID(F801,2,LEN(F801)-2),F801)="-"),0,IFERROR(VALUE(IF(AND(LEFT(F801,1)="(",RIGHT(F801,1)=")"),MID(F801,2,LEN(F801)-2),F801))*IF(AND(LEFT(F801,1)="(",RIGHT(F801,1)=")"),-1,1)*IF(E801="Cr",Setup!$B$6,1),"ERR")))</f>
        <v/>
      </c>
      <c r="H801" s="6">
        <f>IF(C801="","",IF(ISNUMBER(G801),1,0))</f>
        <v/>
      </c>
      <c r="I801" s="6">
        <f>IF(C801="","",IF(SUMPRODUCT(($C$12:$C$1511=C801)*1)&gt;1,1,0))</f>
        <v/>
      </c>
      <c r="J801" s="6">
        <f>IF(C801="","",SUMPRODUCT((Mapping!$F$5:$F$504=Setup!$B$4&amp;"||"&amp;C801)*ROW(Mapping!$F$5:$F$504)))</f>
        <v/>
      </c>
      <c r="K801" s="6">
        <f>IF(C801="","",IF(J801=0,"UNMAPPED",LOWER(INDEX(Mapping!$D$1:$D$504,J801))))</f>
        <v/>
      </c>
      <c r="L801" s="6">
        <f>IF(K801="mapped",TRIM(INDEX(Mapping!$C$1:$C$504,J801)),"")</f>
        <v/>
      </c>
      <c r="M801" s="6">
        <f>IF(C801="","",IF(SUMPRODUCT(($C$12:C801=C801)*1)=1,1,0))</f>
        <v/>
      </c>
      <c r="N801" s="6">
        <f>IF(AND(K801="UNMAPPED",M801=1),ROW(),"")</f>
        <v/>
      </c>
      <c r="O801" s="6">
        <f>IF(AND(I801=1,M801=1),ROW(),"")</f>
        <v/>
      </c>
      <c r="P801" s="6">
        <f>IF(AND(K801="ignored",M801=1),ROW(),"")</f>
        <v/>
      </c>
    </row>
    <row r="802">
      <c r="A802" s="8" t="n"/>
      <c r="B802" s="8" t="n"/>
      <c r="C802" s="6">
        <f>TRIM(A802&amp;"")</f>
        <v/>
      </c>
      <c r="D802" s="6">
        <f>IF(C802="","",SUBSTITUTE(SUBSTITUTE(SUBSTITUTE(SUBSTITUTE(SUBSTITUTE(SUBSTITUTE(SUBSTITUTE(UPPER(TRIM(B802&amp;"")),"₹",""),"RS.",""),"RS",""),"INR",""),"$",""),",","")," ",""))</f>
        <v/>
      </c>
      <c r="E802" s="6">
        <f>IF(C802="","",IF(RIGHT(D802,2)="CR","Cr",IF(RIGHT(D802,2)="DR","Dr","")))</f>
        <v/>
      </c>
      <c r="F802" s="6">
        <f>IF(C802="","",IF(E802&lt;&gt;"",LEFT(D802,LEN(D802)-2),D802))</f>
        <v/>
      </c>
      <c r="G802" s="13">
        <f>IF(C802="","",IF(OR(IF(AND(LEFT(F802,1)="(",RIGHT(F802,1)=")"),MID(F802,2,LEN(F802)-2),F802)="",IF(AND(LEFT(F802,1)="(",RIGHT(F802,1)=")"),MID(F802,2,LEN(F802)-2),F802)="-"),0,IFERROR(VALUE(IF(AND(LEFT(F802,1)="(",RIGHT(F802,1)=")"),MID(F802,2,LEN(F802)-2),F802))*IF(AND(LEFT(F802,1)="(",RIGHT(F802,1)=")"),-1,1)*IF(E802="Cr",Setup!$B$6,1),"ERR")))</f>
        <v/>
      </c>
      <c r="H802" s="6">
        <f>IF(C802="","",IF(ISNUMBER(G802),1,0))</f>
        <v/>
      </c>
      <c r="I802" s="6">
        <f>IF(C802="","",IF(SUMPRODUCT(($C$12:$C$1511=C802)*1)&gt;1,1,0))</f>
        <v/>
      </c>
      <c r="J802" s="6">
        <f>IF(C802="","",SUMPRODUCT((Mapping!$F$5:$F$504=Setup!$B$4&amp;"||"&amp;C802)*ROW(Mapping!$F$5:$F$504)))</f>
        <v/>
      </c>
      <c r="K802" s="6">
        <f>IF(C802="","",IF(J802=0,"UNMAPPED",LOWER(INDEX(Mapping!$D$1:$D$504,J802))))</f>
        <v/>
      </c>
      <c r="L802" s="6">
        <f>IF(K802="mapped",TRIM(INDEX(Mapping!$C$1:$C$504,J802)),"")</f>
        <v/>
      </c>
      <c r="M802" s="6">
        <f>IF(C802="","",IF(SUMPRODUCT(($C$12:C802=C802)*1)=1,1,0))</f>
        <v/>
      </c>
      <c r="N802" s="6">
        <f>IF(AND(K802="UNMAPPED",M802=1),ROW(),"")</f>
        <v/>
      </c>
      <c r="O802" s="6">
        <f>IF(AND(I802=1,M802=1),ROW(),"")</f>
        <v/>
      </c>
      <c r="P802" s="6">
        <f>IF(AND(K802="ignored",M802=1),ROW(),"")</f>
        <v/>
      </c>
    </row>
    <row r="803">
      <c r="A803" s="8" t="n"/>
      <c r="B803" s="8" t="n"/>
      <c r="C803" s="6">
        <f>TRIM(A803&amp;"")</f>
        <v/>
      </c>
      <c r="D803" s="6">
        <f>IF(C803="","",SUBSTITUTE(SUBSTITUTE(SUBSTITUTE(SUBSTITUTE(SUBSTITUTE(SUBSTITUTE(SUBSTITUTE(UPPER(TRIM(B803&amp;"")),"₹",""),"RS.",""),"RS",""),"INR",""),"$",""),",","")," ",""))</f>
        <v/>
      </c>
      <c r="E803" s="6">
        <f>IF(C803="","",IF(RIGHT(D803,2)="CR","Cr",IF(RIGHT(D803,2)="DR","Dr","")))</f>
        <v/>
      </c>
      <c r="F803" s="6">
        <f>IF(C803="","",IF(E803&lt;&gt;"",LEFT(D803,LEN(D803)-2),D803))</f>
        <v/>
      </c>
      <c r="G803" s="13">
        <f>IF(C803="","",IF(OR(IF(AND(LEFT(F803,1)="(",RIGHT(F803,1)=")"),MID(F803,2,LEN(F803)-2),F803)="",IF(AND(LEFT(F803,1)="(",RIGHT(F803,1)=")"),MID(F803,2,LEN(F803)-2),F803)="-"),0,IFERROR(VALUE(IF(AND(LEFT(F803,1)="(",RIGHT(F803,1)=")"),MID(F803,2,LEN(F803)-2),F803))*IF(AND(LEFT(F803,1)="(",RIGHT(F803,1)=")"),-1,1)*IF(E803="Cr",Setup!$B$6,1),"ERR")))</f>
        <v/>
      </c>
      <c r="H803" s="6">
        <f>IF(C803="","",IF(ISNUMBER(G803),1,0))</f>
        <v/>
      </c>
      <c r="I803" s="6">
        <f>IF(C803="","",IF(SUMPRODUCT(($C$12:$C$1511=C803)*1)&gt;1,1,0))</f>
        <v/>
      </c>
      <c r="J803" s="6">
        <f>IF(C803="","",SUMPRODUCT((Mapping!$F$5:$F$504=Setup!$B$4&amp;"||"&amp;C803)*ROW(Mapping!$F$5:$F$504)))</f>
        <v/>
      </c>
      <c r="K803" s="6">
        <f>IF(C803="","",IF(J803=0,"UNMAPPED",LOWER(INDEX(Mapping!$D$1:$D$504,J803))))</f>
        <v/>
      </c>
      <c r="L803" s="6">
        <f>IF(K803="mapped",TRIM(INDEX(Mapping!$C$1:$C$504,J803)),"")</f>
        <v/>
      </c>
      <c r="M803" s="6">
        <f>IF(C803="","",IF(SUMPRODUCT(($C$12:C803=C803)*1)=1,1,0))</f>
        <v/>
      </c>
      <c r="N803" s="6">
        <f>IF(AND(K803="UNMAPPED",M803=1),ROW(),"")</f>
        <v/>
      </c>
      <c r="O803" s="6">
        <f>IF(AND(I803=1,M803=1),ROW(),"")</f>
        <v/>
      </c>
      <c r="P803" s="6">
        <f>IF(AND(K803="ignored",M803=1),ROW(),"")</f>
        <v/>
      </c>
    </row>
    <row r="804">
      <c r="A804" s="8" t="n"/>
      <c r="B804" s="8" t="n"/>
      <c r="C804" s="6">
        <f>TRIM(A804&amp;"")</f>
        <v/>
      </c>
      <c r="D804" s="6">
        <f>IF(C804="","",SUBSTITUTE(SUBSTITUTE(SUBSTITUTE(SUBSTITUTE(SUBSTITUTE(SUBSTITUTE(SUBSTITUTE(UPPER(TRIM(B804&amp;"")),"₹",""),"RS.",""),"RS",""),"INR",""),"$",""),",","")," ",""))</f>
        <v/>
      </c>
      <c r="E804" s="6">
        <f>IF(C804="","",IF(RIGHT(D804,2)="CR","Cr",IF(RIGHT(D804,2)="DR","Dr","")))</f>
        <v/>
      </c>
      <c r="F804" s="6">
        <f>IF(C804="","",IF(E804&lt;&gt;"",LEFT(D804,LEN(D804)-2),D804))</f>
        <v/>
      </c>
      <c r="G804" s="13">
        <f>IF(C804="","",IF(OR(IF(AND(LEFT(F804,1)="(",RIGHT(F804,1)=")"),MID(F804,2,LEN(F804)-2),F804)="",IF(AND(LEFT(F804,1)="(",RIGHT(F804,1)=")"),MID(F804,2,LEN(F804)-2),F804)="-"),0,IFERROR(VALUE(IF(AND(LEFT(F804,1)="(",RIGHT(F804,1)=")"),MID(F804,2,LEN(F804)-2),F804))*IF(AND(LEFT(F804,1)="(",RIGHT(F804,1)=")"),-1,1)*IF(E804="Cr",Setup!$B$6,1),"ERR")))</f>
        <v/>
      </c>
      <c r="H804" s="6">
        <f>IF(C804="","",IF(ISNUMBER(G804),1,0))</f>
        <v/>
      </c>
      <c r="I804" s="6">
        <f>IF(C804="","",IF(SUMPRODUCT(($C$12:$C$1511=C804)*1)&gt;1,1,0))</f>
        <v/>
      </c>
      <c r="J804" s="6">
        <f>IF(C804="","",SUMPRODUCT((Mapping!$F$5:$F$504=Setup!$B$4&amp;"||"&amp;C804)*ROW(Mapping!$F$5:$F$504)))</f>
        <v/>
      </c>
      <c r="K804" s="6">
        <f>IF(C804="","",IF(J804=0,"UNMAPPED",LOWER(INDEX(Mapping!$D$1:$D$504,J804))))</f>
        <v/>
      </c>
      <c r="L804" s="6">
        <f>IF(K804="mapped",TRIM(INDEX(Mapping!$C$1:$C$504,J804)),"")</f>
        <v/>
      </c>
      <c r="M804" s="6">
        <f>IF(C804="","",IF(SUMPRODUCT(($C$12:C804=C804)*1)=1,1,0))</f>
        <v/>
      </c>
      <c r="N804" s="6">
        <f>IF(AND(K804="UNMAPPED",M804=1),ROW(),"")</f>
        <v/>
      </c>
      <c r="O804" s="6">
        <f>IF(AND(I804=1,M804=1),ROW(),"")</f>
        <v/>
      </c>
      <c r="P804" s="6">
        <f>IF(AND(K804="ignored",M804=1),ROW(),"")</f>
        <v/>
      </c>
    </row>
    <row r="805">
      <c r="A805" s="8" t="n"/>
      <c r="B805" s="8" t="n"/>
      <c r="C805" s="6">
        <f>TRIM(A805&amp;"")</f>
        <v/>
      </c>
      <c r="D805" s="6">
        <f>IF(C805="","",SUBSTITUTE(SUBSTITUTE(SUBSTITUTE(SUBSTITUTE(SUBSTITUTE(SUBSTITUTE(SUBSTITUTE(UPPER(TRIM(B805&amp;"")),"₹",""),"RS.",""),"RS",""),"INR",""),"$",""),",","")," ",""))</f>
        <v/>
      </c>
      <c r="E805" s="6">
        <f>IF(C805="","",IF(RIGHT(D805,2)="CR","Cr",IF(RIGHT(D805,2)="DR","Dr","")))</f>
        <v/>
      </c>
      <c r="F805" s="6">
        <f>IF(C805="","",IF(E805&lt;&gt;"",LEFT(D805,LEN(D805)-2),D805))</f>
        <v/>
      </c>
      <c r="G805" s="13">
        <f>IF(C805="","",IF(OR(IF(AND(LEFT(F805,1)="(",RIGHT(F805,1)=")"),MID(F805,2,LEN(F805)-2),F805)="",IF(AND(LEFT(F805,1)="(",RIGHT(F805,1)=")"),MID(F805,2,LEN(F805)-2),F805)="-"),0,IFERROR(VALUE(IF(AND(LEFT(F805,1)="(",RIGHT(F805,1)=")"),MID(F805,2,LEN(F805)-2),F805))*IF(AND(LEFT(F805,1)="(",RIGHT(F805,1)=")"),-1,1)*IF(E805="Cr",Setup!$B$6,1),"ERR")))</f>
        <v/>
      </c>
      <c r="H805" s="6">
        <f>IF(C805="","",IF(ISNUMBER(G805),1,0))</f>
        <v/>
      </c>
      <c r="I805" s="6">
        <f>IF(C805="","",IF(SUMPRODUCT(($C$12:$C$1511=C805)*1)&gt;1,1,0))</f>
        <v/>
      </c>
      <c r="J805" s="6">
        <f>IF(C805="","",SUMPRODUCT((Mapping!$F$5:$F$504=Setup!$B$4&amp;"||"&amp;C805)*ROW(Mapping!$F$5:$F$504)))</f>
        <v/>
      </c>
      <c r="K805" s="6">
        <f>IF(C805="","",IF(J805=0,"UNMAPPED",LOWER(INDEX(Mapping!$D$1:$D$504,J805))))</f>
        <v/>
      </c>
      <c r="L805" s="6">
        <f>IF(K805="mapped",TRIM(INDEX(Mapping!$C$1:$C$504,J805)),"")</f>
        <v/>
      </c>
      <c r="M805" s="6">
        <f>IF(C805="","",IF(SUMPRODUCT(($C$12:C805=C805)*1)=1,1,0))</f>
        <v/>
      </c>
      <c r="N805" s="6">
        <f>IF(AND(K805="UNMAPPED",M805=1),ROW(),"")</f>
        <v/>
      </c>
      <c r="O805" s="6">
        <f>IF(AND(I805=1,M805=1),ROW(),"")</f>
        <v/>
      </c>
      <c r="P805" s="6">
        <f>IF(AND(K805="ignored",M805=1),ROW(),"")</f>
        <v/>
      </c>
    </row>
    <row r="806">
      <c r="A806" s="8" t="n"/>
      <c r="B806" s="8" t="n"/>
      <c r="C806" s="6">
        <f>TRIM(A806&amp;"")</f>
        <v/>
      </c>
      <c r="D806" s="6">
        <f>IF(C806="","",SUBSTITUTE(SUBSTITUTE(SUBSTITUTE(SUBSTITUTE(SUBSTITUTE(SUBSTITUTE(SUBSTITUTE(UPPER(TRIM(B806&amp;"")),"₹",""),"RS.",""),"RS",""),"INR",""),"$",""),",","")," ",""))</f>
        <v/>
      </c>
      <c r="E806" s="6">
        <f>IF(C806="","",IF(RIGHT(D806,2)="CR","Cr",IF(RIGHT(D806,2)="DR","Dr","")))</f>
        <v/>
      </c>
      <c r="F806" s="6">
        <f>IF(C806="","",IF(E806&lt;&gt;"",LEFT(D806,LEN(D806)-2),D806))</f>
        <v/>
      </c>
      <c r="G806" s="13">
        <f>IF(C806="","",IF(OR(IF(AND(LEFT(F806,1)="(",RIGHT(F806,1)=")"),MID(F806,2,LEN(F806)-2),F806)="",IF(AND(LEFT(F806,1)="(",RIGHT(F806,1)=")"),MID(F806,2,LEN(F806)-2),F806)="-"),0,IFERROR(VALUE(IF(AND(LEFT(F806,1)="(",RIGHT(F806,1)=")"),MID(F806,2,LEN(F806)-2),F806))*IF(AND(LEFT(F806,1)="(",RIGHT(F806,1)=")"),-1,1)*IF(E806="Cr",Setup!$B$6,1),"ERR")))</f>
        <v/>
      </c>
      <c r="H806" s="6">
        <f>IF(C806="","",IF(ISNUMBER(G806),1,0))</f>
        <v/>
      </c>
      <c r="I806" s="6">
        <f>IF(C806="","",IF(SUMPRODUCT(($C$12:$C$1511=C806)*1)&gt;1,1,0))</f>
        <v/>
      </c>
      <c r="J806" s="6">
        <f>IF(C806="","",SUMPRODUCT((Mapping!$F$5:$F$504=Setup!$B$4&amp;"||"&amp;C806)*ROW(Mapping!$F$5:$F$504)))</f>
        <v/>
      </c>
      <c r="K806" s="6">
        <f>IF(C806="","",IF(J806=0,"UNMAPPED",LOWER(INDEX(Mapping!$D$1:$D$504,J806))))</f>
        <v/>
      </c>
      <c r="L806" s="6">
        <f>IF(K806="mapped",TRIM(INDEX(Mapping!$C$1:$C$504,J806)),"")</f>
        <v/>
      </c>
      <c r="M806" s="6">
        <f>IF(C806="","",IF(SUMPRODUCT(($C$12:C806=C806)*1)=1,1,0))</f>
        <v/>
      </c>
      <c r="N806" s="6">
        <f>IF(AND(K806="UNMAPPED",M806=1),ROW(),"")</f>
        <v/>
      </c>
      <c r="O806" s="6">
        <f>IF(AND(I806=1,M806=1),ROW(),"")</f>
        <v/>
      </c>
      <c r="P806" s="6">
        <f>IF(AND(K806="ignored",M806=1),ROW(),"")</f>
        <v/>
      </c>
    </row>
    <row r="807">
      <c r="A807" s="8" t="n"/>
      <c r="B807" s="8" t="n"/>
      <c r="C807" s="6">
        <f>TRIM(A807&amp;"")</f>
        <v/>
      </c>
      <c r="D807" s="6">
        <f>IF(C807="","",SUBSTITUTE(SUBSTITUTE(SUBSTITUTE(SUBSTITUTE(SUBSTITUTE(SUBSTITUTE(SUBSTITUTE(UPPER(TRIM(B807&amp;"")),"₹",""),"RS.",""),"RS",""),"INR",""),"$",""),",","")," ",""))</f>
        <v/>
      </c>
      <c r="E807" s="6">
        <f>IF(C807="","",IF(RIGHT(D807,2)="CR","Cr",IF(RIGHT(D807,2)="DR","Dr","")))</f>
        <v/>
      </c>
      <c r="F807" s="6">
        <f>IF(C807="","",IF(E807&lt;&gt;"",LEFT(D807,LEN(D807)-2),D807))</f>
        <v/>
      </c>
      <c r="G807" s="13">
        <f>IF(C807="","",IF(OR(IF(AND(LEFT(F807,1)="(",RIGHT(F807,1)=")"),MID(F807,2,LEN(F807)-2),F807)="",IF(AND(LEFT(F807,1)="(",RIGHT(F807,1)=")"),MID(F807,2,LEN(F807)-2),F807)="-"),0,IFERROR(VALUE(IF(AND(LEFT(F807,1)="(",RIGHT(F807,1)=")"),MID(F807,2,LEN(F807)-2),F807))*IF(AND(LEFT(F807,1)="(",RIGHT(F807,1)=")"),-1,1)*IF(E807="Cr",Setup!$B$6,1),"ERR")))</f>
        <v/>
      </c>
      <c r="H807" s="6">
        <f>IF(C807="","",IF(ISNUMBER(G807),1,0))</f>
        <v/>
      </c>
      <c r="I807" s="6">
        <f>IF(C807="","",IF(SUMPRODUCT(($C$12:$C$1511=C807)*1)&gt;1,1,0))</f>
        <v/>
      </c>
      <c r="J807" s="6">
        <f>IF(C807="","",SUMPRODUCT((Mapping!$F$5:$F$504=Setup!$B$4&amp;"||"&amp;C807)*ROW(Mapping!$F$5:$F$504)))</f>
        <v/>
      </c>
      <c r="K807" s="6">
        <f>IF(C807="","",IF(J807=0,"UNMAPPED",LOWER(INDEX(Mapping!$D$1:$D$504,J807))))</f>
        <v/>
      </c>
      <c r="L807" s="6">
        <f>IF(K807="mapped",TRIM(INDEX(Mapping!$C$1:$C$504,J807)),"")</f>
        <v/>
      </c>
      <c r="M807" s="6">
        <f>IF(C807="","",IF(SUMPRODUCT(($C$12:C807=C807)*1)=1,1,0))</f>
        <v/>
      </c>
      <c r="N807" s="6">
        <f>IF(AND(K807="UNMAPPED",M807=1),ROW(),"")</f>
        <v/>
      </c>
      <c r="O807" s="6">
        <f>IF(AND(I807=1,M807=1),ROW(),"")</f>
        <v/>
      </c>
      <c r="P807" s="6">
        <f>IF(AND(K807="ignored",M807=1),ROW(),"")</f>
        <v/>
      </c>
    </row>
    <row r="808">
      <c r="A808" s="8" t="n"/>
      <c r="B808" s="8" t="n"/>
      <c r="C808" s="6">
        <f>TRIM(A808&amp;"")</f>
        <v/>
      </c>
      <c r="D808" s="6">
        <f>IF(C808="","",SUBSTITUTE(SUBSTITUTE(SUBSTITUTE(SUBSTITUTE(SUBSTITUTE(SUBSTITUTE(SUBSTITUTE(UPPER(TRIM(B808&amp;"")),"₹",""),"RS.",""),"RS",""),"INR",""),"$",""),",","")," ",""))</f>
        <v/>
      </c>
      <c r="E808" s="6">
        <f>IF(C808="","",IF(RIGHT(D808,2)="CR","Cr",IF(RIGHT(D808,2)="DR","Dr","")))</f>
        <v/>
      </c>
      <c r="F808" s="6">
        <f>IF(C808="","",IF(E808&lt;&gt;"",LEFT(D808,LEN(D808)-2),D808))</f>
        <v/>
      </c>
      <c r="G808" s="13">
        <f>IF(C808="","",IF(OR(IF(AND(LEFT(F808,1)="(",RIGHT(F808,1)=")"),MID(F808,2,LEN(F808)-2),F808)="",IF(AND(LEFT(F808,1)="(",RIGHT(F808,1)=")"),MID(F808,2,LEN(F808)-2),F808)="-"),0,IFERROR(VALUE(IF(AND(LEFT(F808,1)="(",RIGHT(F808,1)=")"),MID(F808,2,LEN(F808)-2),F808))*IF(AND(LEFT(F808,1)="(",RIGHT(F808,1)=")"),-1,1)*IF(E808="Cr",Setup!$B$6,1),"ERR")))</f>
        <v/>
      </c>
      <c r="H808" s="6">
        <f>IF(C808="","",IF(ISNUMBER(G808),1,0))</f>
        <v/>
      </c>
      <c r="I808" s="6">
        <f>IF(C808="","",IF(SUMPRODUCT(($C$12:$C$1511=C808)*1)&gt;1,1,0))</f>
        <v/>
      </c>
      <c r="J808" s="6">
        <f>IF(C808="","",SUMPRODUCT((Mapping!$F$5:$F$504=Setup!$B$4&amp;"||"&amp;C808)*ROW(Mapping!$F$5:$F$504)))</f>
        <v/>
      </c>
      <c r="K808" s="6">
        <f>IF(C808="","",IF(J808=0,"UNMAPPED",LOWER(INDEX(Mapping!$D$1:$D$504,J808))))</f>
        <v/>
      </c>
      <c r="L808" s="6">
        <f>IF(K808="mapped",TRIM(INDEX(Mapping!$C$1:$C$504,J808)),"")</f>
        <v/>
      </c>
      <c r="M808" s="6">
        <f>IF(C808="","",IF(SUMPRODUCT(($C$12:C808=C808)*1)=1,1,0))</f>
        <v/>
      </c>
      <c r="N808" s="6">
        <f>IF(AND(K808="UNMAPPED",M808=1),ROW(),"")</f>
        <v/>
      </c>
      <c r="O808" s="6">
        <f>IF(AND(I808=1,M808=1),ROW(),"")</f>
        <v/>
      </c>
      <c r="P808" s="6">
        <f>IF(AND(K808="ignored",M808=1),ROW(),"")</f>
        <v/>
      </c>
    </row>
    <row r="809">
      <c r="A809" s="8" t="n"/>
      <c r="B809" s="8" t="n"/>
      <c r="C809" s="6">
        <f>TRIM(A809&amp;"")</f>
        <v/>
      </c>
      <c r="D809" s="6">
        <f>IF(C809="","",SUBSTITUTE(SUBSTITUTE(SUBSTITUTE(SUBSTITUTE(SUBSTITUTE(SUBSTITUTE(SUBSTITUTE(UPPER(TRIM(B809&amp;"")),"₹",""),"RS.",""),"RS",""),"INR",""),"$",""),",","")," ",""))</f>
        <v/>
      </c>
      <c r="E809" s="6">
        <f>IF(C809="","",IF(RIGHT(D809,2)="CR","Cr",IF(RIGHT(D809,2)="DR","Dr","")))</f>
        <v/>
      </c>
      <c r="F809" s="6">
        <f>IF(C809="","",IF(E809&lt;&gt;"",LEFT(D809,LEN(D809)-2),D809))</f>
        <v/>
      </c>
      <c r="G809" s="13">
        <f>IF(C809="","",IF(OR(IF(AND(LEFT(F809,1)="(",RIGHT(F809,1)=")"),MID(F809,2,LEN(F809)-2),F809)="",IF(AND(LEFT(F809,1)="(",RIGHT(F809,1)=")"),MID(F809,2,LEN(F809)-2),F809)="-"),0,IFERROR(VALUE(IF(AND(LEFT(F809,1)="(",RIGHT(F809,1)=")"),MID(F809,2,LEN(F809)-2),F809))*IF(AND(LEFT(F809,1)="(",RIGHT(F809,1)=")"),-1,1)*IF(E809="Cr",Setup!$B$6,1),"ERR")))</f>
        <v/>
      </c>
      <c r="H809" s="6">
        <f>IF(C809="","",IF(ISNUMBER(G809),1,0))</f>
        <v/>
      </c>
      <c r="I809" s="6">
        <f>IF(C809="","",IF(SUMPRODUCT(($C$12:$C$1511=C809)*1)&gt;1,1,0))</f>
        <v/>
      </c>
      <c r="J809" s="6">
        <f>IF(C809="","",SUMPRODUCT((Mapping!$F$5:$F$504=Setup!$B$4&amp;"||"&amp;C809)*ROW(Mapping!$F$5:$F$504)))</f>
        <v/>
      </c>
      <c r="K809" s="6">
        <f>IF(C809="","",IF(J809=0,"UNMAPPED",LOWER(INDEX(Mapping!$D$1:$D$504,J809))))</f>
        <v/>
      </c>
      <c r="L809" s="6">
        <f>IF(K809="mapped",TRIM(INDEX(Mapping!$C$1:$C$504,J809)),"")</f>
        <v/>
      </c>
      <c r="M809" s="6">
        <f>IF(C809="","",IF(SUMPRODUCT(($C$12:C809=C809)*1)=1,1,0))</f>
        <v/>
      </c>
      <c r="N809" s="6">
        <f>IF(AND(K809="UNMAPPED",M809=1),ROW(),"")</f>
        <v/>
      </c>
      <c r="O809" s="6">
        <f>IF(AND(I809=1,M809=1),ROW(),"")</f>
        <v/>
      </c>
      <c r="P809" s="6">
        <f>IF(AND(K809="ignored",M809=1),ROW(),"")</f>
        <v/>
      </c>
    </row>
    <row r="810">
      <c r="A810" s="8" t="n"/>
      <c r="B810" s="8" t="n"/>
      <c r="C810" s="6">
        <f>TRIM(A810&amp;"")</f>
        <v/>
      </c>
      <c r="D810" s="6">
        <f>IF(C810="","",SUBSTITUTE(SUBSTITUTE(SUBSTITUTE(SUBSTITUTE(SUBSTITUTE(SUBSTITUTE(SUBSTITUTE(UPPER(TRIM(B810&amp;"")),"₹",""),"RS.",""),"RS",""),"INR",""),"$",""),",","")," ",""))</f>
        <v/>
      </c>
      <c r="E810" s="6">
        <f>IF(C810="","",IF(RIGHT(D810,2)="CR","Cr",IF(RIGHT(D810,2)="DR","Dr","")))</f>
        <v/>
      </c>
      <c r="F810" s="6">
        <f>IF(C810="","",IF(E810&lt;&gt;"",LEFT(D810,LEN(D810)-2),D810))</f>
        <v/>
      </c>
      <c r="G810" s="13">
        <f>IF(C810="","",IF(OR(IF(AND(LEFT(F810,1)="(",RIGHT(F810,1)=")"),MID(F810,2,LEN(F810)-2),F810)="",IF(AND(LEFT(F810,1)="(",RIGHT(F810,1)=")"),MID(F810,2,LEN(F810)-2),F810)="-"),0,IFERROR(VALUE(IF(AND(LEFT(F810,1)="(",RIGHT(F810,1)=")"),MID(F810,2,LEN(F810)-2),F810))*IF(AND(LEFT(F810,1)="(",RIGHT(F810,1)=")"),-1,1)*IF(E810="Cr",Setup!$B$6,1),"ERR")))</f>
        <v/>
      </c>
      <c r="H810" s="6">
        <f>IF(C810="","",IF(ISNUMBER(G810),1,0))</f>
        <v/>
      </c>
      <c r="I810" s="6">
        <f>IF(C810="","",IF(SUMPRODUCT(($C$12:$C$1511=C810)*1)&gt;1,1,0))</f>
        <v/>
      </c>
      <c r="J810" s="6">
        <f>IF(C810="","",SUMPRODUCT((Mapping!$F$5:$F$504=Setup!$B$4&amp;"||"&amp;C810)*ROW(Mapping!$F$5:$F$504)))</f>
        <v/>
      </c>
      <c r="K810" s="6">
        <f>IF(C810="","",IF(J810=0,"UNMAPPED",LOWER(INDEX(Mapping!$D$1:$D$504,J810))))</f>
        <v/>
      </c>
      <c r="L810" s="6">
        <f>IF(K810="mapped",TRIM(INDEX(Mapping!$C$1:$C$504,J810)),"")</f>
        <v/>
      </c>
      <c r="M810" s="6">
        <f>IF(C810="","",IF(SUMPRODUCT(($C$12:C810=C810)*1)=1,1,0))</f>
        <v/>
      </c>
      <c r="N810" s="6">
        <f>IF(AND(K810="UNMAPPED",M810=1),ROW(),"")</f>
        <v/>
      </c>
      <c r="O810" s="6">
        <f>IF(AND(I810=1,M810=1),ROW(),"")</f>
        <v/>
      </c>
      <c r="P810" s="6">
        <f>IF(AND(K810="ignored",M810=1),ROW(),"")</f>
        <v/>
      </c>
    </row>
    <row r="811">
      <c r="A811" s="8" t="n"/>
      <c r="B811" s="8" t="n"/>
      <c r="C811" s="6">
        <f>TRIM(A811&amp;"")</f>
        <v/>
      </c>
      <c r="D811" s="6">
        <f>IF(C811="","",SUBSTITUTE(SUBSTITUTE(SUBSTITUTE(SUBSTITUTE(SUBSTITUTE(SUBSTITUTE(SUBSTITUTE(UPPER(TRIM(B811&amp;"")),"₹",""),"RS.",""),"RS",""),"INR",""),"$",""),",","")," ",""))</f>
        <v/>
      </c>
      <c r="E811" s="6">
        <f>IF(C811="","",IF(RIGHT(D811,2)="CR","Cr",IF(RIGHT(D811,2)="DR","Dr","")))</f>
        <v/>
      </c>
      <c r="F811" s="6">
        <f>IF(C811="","",IF(E811&lt;&gt;"",LEFT(D811,LEN(D811)-2),D811))</f>
        <v/>
      </c>
      <c r="G811" s="13">
        <f>IF(C811="","",IF(OR(IF(AND(LEFT(F811,1)="(",RIGHT(F811,1)=")"),MID(F811,2,LEN(F811)-2),F811)="",IF(AND(LEFT(F811,1)="(",RIGHT(F811,1)=")"),MID(F811,2,LEN(F811)-2),F811)="-"),0,IFERROR(VALUE(IF(AND(LEFT(F811,1)="(",RIGHT(F811,1)=")"),MID(F811,2,LEN(F811)-2),F811))*IF(AND(LEFT(F811,1)="(",RIGHT(F811,1)=")"),-1,1)*IF(E811="Cr",Setup!$B$6,1),"ERR")))</f>
        <v/>
      </c>
      <c r="H811" s="6">
        <f>IF(C811="","",IF(ISNUMBER(G811),1,0))</f>
        <v/>
      </c>
      <c r="I811" s="6">
        <f>IF(C811="","",IF(SUMPRODUCT(($C$12:$C$1511=C811)*1)&gt;1,1,0))</f>
        <v/>
      </c>
      <c r="J811" s="6">
        <f>IF(C811="","",SUMPRODUCT((Mapping!$F$5:$F$504=Setup!$B$4&amp;"||"&amp;C811)*ROW(Mapping!$F$5:$F$504)))</f>
        <v/>
      </c>
      <c r="K811" s="6">
        <f>IF(C811="","",IF(J811=0,"UNMAPPED",LOWER(INDEX(Mapping!$D$1:$D$504,J811))))</f>
        <v/>
      </c>
      <c r="L811" s="6">
        <f>IF(K811="mapped",TRIM(INDEX(Mapping!$C$1:$C$504,J811)),"")</f>
        <v/>
      </c>
      <c r="M811" s="6">
        <f>IF(C811="","",IF(SUMPRODUCT(($C$12:C811=C811)*1)=1,1,0))</f>
        <v/>
      </c>
      <c r="N811" s="6">
        <f>IF(AND(K811="UNMAPPED",M811=1),ROW(),"")</f>
        <v/>
      </c>
      <c r="O811" s="6">
        <f>IF(AND(I811=1,M811=1),ROW(),"")</f>
        <v/>
      </c>
      <c r="P811" s="6">
        <f>IF(AND(K811="ignored",M811=1),ROW(),"")</f>
        <v/>
      </c>
    </row>
    <row r="812">
      <c r="A812" s="8" t="n"/>
      <c r="B812" s="8" t="n"/>
      <c r="C812" s="6">
        <f>TRIM(A812&amp;"")</f>
        <v/>
      </c>
      <c r="D812" s="6">
        <f>IF(C812="","",SUBSTITUTE(SUBSTITUTE(SUBSTITUTE(SUBSTITUTE(SUBSTITUTE(SUBSTITUTE(SUBSTITUTE(UPPER(TRIM(B812&amp;"")),"₹",""),"RS.",""),"RS",""),"INR",""),"$",""),",","")," ",""))</f>
        <v/>
      </c>
      <c r="E812" s="6">
        <f>IF(C812="","",IF(RIGHT(D812,2)="CR","Cr",IF(RIGHT(D812,2)="DR","Dr","")))</f>
        <v/>
      </c>
      <c r="F812" s="6">
        <f>IF(C812="","",IF(E812&lt;&gt;"",LEFT(D812,LEN(D812)-2),D812))</f>
        <v/>
      </c>
      <c r="G812" s="13">
        <f>IF(C812="","",IF(OR(IF(AND(LEFT(F812,1)="(",RIGHT(F812,1)=")"),MID(F812,2,LEN(F812)-2),F812)="",IF(AND(LEFT(F812,1)="(",RIGHT(F812,1)=")"),MID(F812,2,LEN(F812)-2),F812)="-"),0,IFERROR(VALUE(IF(AND(LEFT(F812,1)="(",RIGHT(F812,1)=")"),MID(F812,2,LEN(F812)-2),F812))*IF(AND(LEFT(F812,1)="(",RIGHT(F812,1)=")"),-1,1)*IF(E812="Cr",Setup!$B$6,1),"ERR")))</f>
        <v/>
      </c>
      <c r="H812" s="6">
        <f>IF(C812="","",IF(ISNUMBER(G812),1,0))</f>
        <v/>
      </c>
      <c r="I812" s="6">
        <f>IF(C812="","",IF(SUMPRODUCT(($C$12:$C$1511=C812)*1)&gt;1,1,0))</f>
        <v/>
      </c>
      <c r="J812" s="6">
        <f>IF(C812="","",SUMPRODUCT((Mapping!$F$5:$F$504=Setup!$B$4&amp;"||"&amp;C812)*ROW(Mapping!$F$5:$F$504)))</f>
        <v/>
      </c>
      <c r="K812" s="6">
        <f>IF(C812="","",IF(J812=0,"UNMAPPED",LOWER(INDEX(Mapping!$D$1:$D$504,J812))))</f>
        <v/>
      </c>
      <c r="L812" s="6">
        <f>IF(K812="mapped",TRIM(INDEX(Mapping!$C$1:$C$504,J812)),"")</f>
        <v/>
      </c>
      <c r="M812" s="6">
        <f>IF(C812="","",IF(SUMPRODUCT(($C$12:C812=C812)*1)=1,1,0))</f>
        <v/>
      </c>
      <c r="N812" s="6">
        <f>IF(AND(K812="UNMAPPED",M812=1),ROW(),"")</f>
        <v/>
      </c>
      <c r="O812" s="6">
        <f>IF(AND(I812=1,M812=1),ROW(),"")</f>
        <v/>
      </c>
      <c r="P812" s="6">
        <f>IF(AND(K812="ignored",M812=1),ROW(),"")</f>
        <v/>
      </c>
    </row>
    <row r="813">
      <c r="A813" s="8" t="n"/>
      <c r="B813" s="8" t="n"/>
      <c r="C813" s="6">
        <f>TRIM(A813&amp;"")</f>
        <v/>
      </c>
      <c r="D813" s="6">
        <f>IF(C813="","",SUBSTITUTE(SUBSTITUTE(SUBSTITUTE(SUBSTITUTE(SUBSTITUTE(SUBSTITUTE(SUBSTITUTE(UPPER(TRIM(B813&amp;"")),"₹",""),"RS.",""),"RS",""),"INR",""),"$",""),",","")," ",""))</f>
        <v/>
      </c>
      <c r="E813" s="6">
        <f>IF(C813="","",IF(RIGHT(D813,2)="CR","Cr",IF(RIGHT(D813,2)="DR","Dr","")))</f>
        <v/>
      </c>
      <c r="F813" s="6">
        <f>IF(C813="","",IF(E813&lt;&gt;"",LEFT(D813,LEN(D813)-2),D813))</f>
        <v/>
      </c>
      <c r="G813" s="13">
        <f>IF(C813="","",IF(OR(IF(AND(LEFT(F813,1)="(",RIGHT(F813,1)=")"),MID(F813,2,LEN(F813)-2),F813)="",IF(AND(LEFT(F813,1)="(",RIGHT(F813,1)=")"),MID(F813,2,LEN(F813)-2),F813)="-"),0,IFERROR(VALUE(IF(AND(LEFT(F813,1)="(",RIGHT(F813,1)=")"),MID(F813,2,LEN(F813)-2),F813))*IF(AND(LEFT(F813,1)="(",RIGHT(F813,1)=")"),-1,1)*IF(E813="Cr",Setup!$B$6,1),"ERR")))</f>
        <v/>
      </c>
      <c r="H813" s="6">
        <f>IF(C813="","",IF(ISNUMBER(G813),1,0))</f>
        <v/>
      </c>
      <c r="I813" s="6">
        <f>IF(C813="","",IF(SUMPRODUCT(($C$12:$C$1511=C813)*1)&gt;1,1,0))</f>
        <v/>
      </c>
      <c r="J813" s="6">
        <f>IF(C813="","",SUMPRODUCT((Mapping!$F$5:$F$504=Setup!$B$4&amp;"||"&amp;C813)*ROW(Mapping!$F$5:$F$504)))</f>
        <v/>
      </c>
      <c r="K813" s="6">
        <f>IF(C813="","",IF(J813=0,"UNMAPPED",LOWER(INDEX(Mapping!$D$1:$D$504,J813))))</f>
        <v/>
      </c>
      <c r="L813" s="6">
        <f>IF(K813="mapped",TRIM(INDEX(Mapping!$C$1:$C$504,J813)),"")</f>
        <v/>
      </c>
      <c r="M813" s="6">
        <f>IF(C813="","",IF(SUMPRODUCT(($C$12:C813=C813)*1)=1,1,0))</f>
        <v/>
      </c>
      <c r="N813" s="6">
        <f>IF(AND(K813="UNMAPPED",M813=1),ROW(),"")</f>
        <v/>
      </c>
      <c r="O813" s="6">
        <f>IF(AND(I813=1,M813=1),ROW(),"")</f>
        <v/>
      </c>
      <c r="P813" s="6">
        <f>IF(AND(K813="ignored",M813=1),ROW(),"")</f>
        <v/>
      </c>
    </row>
    <row r="814">
      <c r="A814" s="8" t="n"/>
      <c r="B814" s="8" t="n"/>
      <c r="C814" s="6">
        <f>TRIM(A814&amp;"")</f>
        <v/>
      </c>
      <c r="D814" s="6">
        <f>IF(C814="","",SUBSTITUTE(SUBSTITUTE(SUBSTITUTE(SUBSTITUTE(SUBSTITUTE(SUBSTITUTE(SUBSTITUTE(UPPER(TRIM(B814&amp;"")),"₹",""),"RS.",""),"RS",""),"INR",""),"$",""),",","")," ",""))</f>
        <v/>
      </c>
      <c r="E814" s="6">
        <f>IF(C814="","",IF(RIGHT(D814,2)="CR","Cr",IF(RIGHT(D814,2)="DR","Dr","")))</f>
        <v/>
      </c>
      <c r="F814" s="6">
        <f>IF(C814="","",IF(E814&lt;&gt;"",LEFT(D814,LEN(D814)-2),D814))</f>
        <v/>
      </c>
      <c r="G814" s="13">
        <f>IF(C814="","",IF(OR(IF(AND(LEFT(F814,1)="(",RIGHT(F814,1)=")"),MID(F814,2,LEN(F814)-2),F814)="",IF(AND(LEFT(F814,1)="(",RIGHT(F814,1)=")"),MID(F814,2,LEN(F814)-2),F814)="-"),0,IFERROR(VALUE(IF(AND(LEFT(F814,1)="(",RIGHT(F814,1)=")"),MID(F814,2,LEN(F814)-2),F814))*IF(AND(LEFT(F814,1)="(",RIGHT(F814,1)=")"),-1,1)*IF(E814="Cr",Setup!$B$6,1),"ERR")))</f>
        <v/>
      </c>
      <c r="H814" s="6">
        <f>IF(C814="","",IF(ISNUMBER(G814),1,0))</f>
        <v/>
      </c>
      <c r="I814" s="6">
        <f>IF(C814="","",IF(SUMPRODUCT(($C$12:$C$1511=C814)*1)&gt;1,1,0))</f>
        <v/>
      </c>
      <c r="J814" s="6">
        <f>IF(C814="","",SUMPRODUCT((Mapping!$F$5:$F$504=Setup!$B$4&amp;"||"&amp;C814)*ROW(Mapping!$F$5:$F$504)))</f>
        <v/>
      </c>
      <c r="K814" s="6">
        <f>IF(C814="","",IF(J814=0,"UNMAPPED",LOWER(INDEX(Mapping!$D$1:$D$504,J814))))</f>
        <v/>
      </c>
      <c r="L814" s="6">
        <f>IF(K814="mapped",TRIM(INDEX(Mapping!$C$1:$C$504,J814)),"")</f>
        <v/>
      </c>
      <c r="M814" s="6">
        <f>IF(C814="","",IF(SUMPRODUCT(($C$12:C814=C814)*1)=1,1,0))</f>
        <v/>
      </c>
      <c r="N814" s="6">
        <f>IF(AND(K814="UNMAPPED",M814=1),ROW(),"")</f>
        <v/>
      </c>
      <c r="O814" s="6">
        <f>IF(AND(I814=1,M814=1),ROW(),"")</f>
        <v/>
      </c>
      <c r="P814" s="6">
        <f>IF(AND(K814="ignored",M814=1),ROW(),"")</f>
        <v/>
      </c>
    </row>
    <row r="815">
      <c r="A815" s="8" t="n"/>
      <c r="B815" s="8" t="n"/>
      <c r="C815" s="6">
        <f>TRIM(A815&amp;"")</f>
        <v/>
      </c>
      <c r="D815" s="6">
        <f>IF(C815="","",SUBSTITUTE(SUBSTITUTE(SUBSTITUTE(SUBSTITUTE(SUBSTITUTE(SUBSTITUTE(SUBSTITUTE(UPPER(TRIM(B815&amp;"")),"₹",""),"RS.",""),"RS",""),"INR",""),"$",""),",","")," ",""))</f>
        <v/>
      </c>
      <c r="E815" s="6">
        <f>IF(C815="","",IF(RIGHT(D815,2)="CR","Cr",IF(RIGHT(D815,2)="DR","Dr","")))</f>
        <v/>
      </c>
      <c r="F815" s="6">
        <f>IF(C815="","",IF(E815&lt;&gt;"",LEFT(D815,LEN(D815)-2),D815))</f>
        <v/>
      </c>
      <c r="G815" s="13">
        <f>IF(C815="","",IF(OR(IF(AND(LEFT(F815,1)="(",RIGHT(F815,1)=")"),MID(F815,2,LEN(F815)-2),F815)="",IF(AND(LEFT(F815,1)="(",RIGHT(F815,1)=")"),MID(F815,2,LEN(F815)-2),F815)="-"),0,IFERROR(VALUE(IF(AND(LEFT(F815,1)="(",RIGHT(F815,1)=")"),MID(F815,2,LEN(F815)-2),F815))*IF(AND(LEFT(F815,1)="(",RIGHT(F815,1)=")"),-1,1)*IF(E815="Cr",Setup!$B$6,1),"ERR")))</f>
        <v/>
      </c>
      <c r="H815" s="6">
        <f>IF(C815="","",IF(ISNUMBER(G815),1,0))</f>
        <v/>
      </c>
      <c r="I815" s="6">
        <f>IF(C815="","",IF(SUMPRODUCT(($C$12:$C$1511=C815)*1)&gt;1,1,0))</f>
        <v/>
      </c>
      <c r="J815" s="6">
        <f>IF(C815="","",SUMPRODUCT((Mapping!$F$5:$F$504=Setup!$B$4&amp;"||"&amp;C815)*ROW(Mapping!$F$5:$F$504)))</f>
        <v/>
      </c>
      <c r="K815" s="6">
        <f>IF(C815="","",IF(J815=0,"UNMAPPED",LOWER(INDEX(Mapping!$D$1:$D$504,J815))))</f>
        <v/>
      </c>
      <c r="L815" s="6">
        <f>IF(K815="mapped",TRIM(INDEX(Mapping!$C$1:$C$504,J815)),"")</f>
        <v/>
      </c>
      <c r="M815" s="6">
        <f>IF(C815="","",IF(SUMPRODUCT(($C$12:C815=C815)*1)=1,1,0))</f>
        <v/>
      </c>
      <c r="N815" s="6">
        <f>IF(AND(K815="UNMAPPED",M815=1),ROW(),"")</f>
        <v/>
      </c>
      <c r="O815" s="6">
        <f>IF(AND(I815=1,M815=1),ROW(),"")</f>
        <v/>
      </c>
      <c r="P815" s="6">
        <f>IF(AND(K815="ignored",M815=1),ROW(),"")</f>
        <v/>
      </c>
    </row>
    <row r="816">
      <c r="A816" s="8" t="n"/>
      <c r="B816" s="8" t="n"/>
      <c r="C816" s="6">
        <f>TRIM(A816&amp;"")</f>
        <v/>
      </c>
      <c r="D816" s="6">
        <f>IF(C816="","",SUBSTITUTE(SUBSTITUTE(SUBSTITUTE(SUBSTITUTE(SUBSTITUTE(SUBSTITUTE(SUBSTITUTE(UPPER(TRIM(B816&amp;"")),"₹",""),"RS.",""),"RS",""),"INR",""),"$",""),",","")," ",""))</f>
        <v/>
      </c>
      <c r="E816" s="6">
        <f>IF(C816="","",IF(RIGHT(D816,2)="CR","Cr",IF(RIGHT(D816,2)="DR","Dr","")))</f>
        <v/>
      </c>
      <c r="F816" s="6">
        <f>IF(C816="","",IF(E816&lt;&gt;"",LEFT(D816,LEN(D816)-2),D816))</f>
        <v/>
      </c>
      <c r="G816" s="13">
        <f>IF(C816="","",IF(OR(IF(AND(LEFT(F816,1)="(",RIGHT(F816,1)=")"),MID(F816,2,LEN(F816)-2),F816)="",IF(AND(LEFT(F816,1)="(",RIGHT(F816,1)=")"),MID(F816,2,LEN(F816)-2),F816)="-"),0,IFERROR(VALUE(IF(AND(LEFT(F816,1)="(",RIGHT(F816,1)=")"),MID(F816,2,LEN(F816)-2),F816))*IF(AND(LEFT(F816,1)="(",RIGHT(F816,1)=")"),-1,1)*IF(E816="Cr",Setup!$B$6,1),"ERR")))</f>
        <v/>
      </c>
      <c r="H816" s="6">
        <f>IF(C816="","",IF(ISNUMBER(G816),1,0))</f>
        <v/>
      </c>
      <c r="I816" s="6">
        <f>IF(C816="","",IF(SUMPRODUCT(($C$12:$C$1511=C816)*1)&gt;1,1,0))</f>
        <v/>
      </c>
      <c r="J816" s="6">
        <f>IF(C816="","",SUMPRODUCT((Mapping!$F$5:$F$504=Setup!$B$4&amp;"||"&amp;C816)*ROW(Mapping!$F$5:$F$504)))</f>
        <v/>
      </c>
      <c r="K816" s="6">
        <f>IF(C816="","",IF(J816=0,"UNMAPPED",LOWER(INDEX(Mapping!$D$1:$D$504,J816))))</f>
        <v/>
      </c>
      <c r="L816" s="6">
        <f>IF(K816="mapped",TRIM(INDEX(Mapping!$C$1:$C$504,J816)),"")</f>
        <v/>
      </c>
      <c r="M816" s="6">
        <f>IF(C816="","",IF(SUMPRODUCT(($C$12:C816=C816)*1)=1,1,0))</f>
        <v/>
      </c>
      <c r="N816" s="6">
        <f>IF(AND(K816="UNMAPPED",M816=1),ROW(),"")</f>
        <v/>
      </c>
      <c r="O816" s="6">
        <f>IF(AND(I816=1,M816=1),ROW(),"")</f>
        <v/>
      </c>
      <c r="P816" s="6">
        <f>IF(AND(K816="ignored",M816=1),ROW(),"")</f>
        <v/>
      </c>
    </row>
    <row r="817">
      <c r="A817" s="8" t="n"/>
      <c r="B817" s="8" t="n"/>
      <c r="C817" s="6">
        <f>TRIM(A817&amp;"")</f>
        <v/>
      </c>
      <c r="D817" s="6">
        <f>IF(C817="","",SUBSTITUTE(SUBSTITUTE(SUBSTITUTE(SUBSTITUTE(SUBSTITUTE(SUBSTITUTE(SUBSTITUTE(UPPER(TRIM(B817&amp;"")),"₹",""),"RS.",""),"RS",""),"INR",""),"$",""),",","")," ",""))</f>
        <v/>
      </c>
      <c r="E817" s="6">
        <f>IF(C817="","",IF(RIGHT(D817,2)="CR","Cr",IF(RIGHT(D817,2)="DR","Dr","")))</f>
        <v/>
      </c>
      <c r="F817" s="6">
        <f>IF(C817="","",IF(E817&lt;&gt;"",LEFT(D817,LEN(D817)-2),D817))</f>
        <v/>
      </c>
      <c r="G817" s="13">
        <f>IF(C817="","",IF(OR(IF(AND(LEFT(F817,1)="(",RIGHT(F817,1)=")"),MID(F817,2,LEN(F817)-2),F817)="",IF(AND(LEFT(F817,1)="(",RIGHT(F817,1)=")"),MID(F817,2,LEN(F817)-2),F817)="-"),0,IFERROR(VALUE(IF(AND(LEFT(F817,1)="(",RIGHT(F817,1)=")"),MID(F817,2,LEN(F817)-2),F817))*IF(AND(LEFT(F817,1)="(",RIGHT(F817,1)=")"),-1,1)*IF(E817="Cr",Setup!$B$6,1),"ERR")))</f>
        <v/>
      </c>
      <c r="H817" s="6">
        <f>IF(C817="","",IF(ISNUMBER(G817),1,0))</f>
        <v/>
      </c>
      <c r="I817" s="6">
        <f>IF(C817="","",IF(SUMPRODUCT(($C$12:$C$1511=C817)*1)&gt;1,1,0))</f>
        <v/>
      </c>
      <c r="J817" s="6">
        <f>IF(C817="","",SUMPRODUCT((Mapping!$F$5:$F$504=Setup!$B$4&amp;"||"&amp;C817)*ROW(Mapping!$F$5:$F$504)))</f>
        <v/>
      </c>
      <c r="K817" s="6">
        <f>IF(C817="","",IF(J817=0,"UNMAPPED",LOWER(INDEX(Mapping!$D$1:$D$504,J817))))</f>
        <v/>
      </c>
      <c r="L817" s="6">
        <f>IF(K817="mapped",TRIM(INDEX(Mapping!$C$1:$C$504,J817)),"")</f>
        <v/>
      </c>
      <c r="M817" s="6">
        <f>IF(C817="","",IF(SUMPRODUCT(($C$12:C817=C817)*1)=1,1,0))</f>
        <v/>
      </c>
      <c r="N817" s="6">
        <f>IF(AND(K817="UNMAPPED",M817=1),ROW(),"")</f>
        <v/>
      </c>
      <c r="O817" s="6">
        <f>IF(AND(I817=1,M817=1),ROW(),"")</f>
        <v/>
      </c>
      <c r="P817" s="6">
        <f>IF(AND(K817="ignored",M817=1),ROW(),"")</f>
        <v/>
      </c>
    </row>
    <row r="818">
      <c r="A818" s="8" t="n"/>
      <c r="B818" s="8" t="n"/>
      <c r="C818" s="6">
        <f>TRIM(A818&amp;"")</f>
        <v/>
      </c>
      <c r="D818" s="6">
        <f>IF(C818="","",SUBSTITUTE(SUBSTITUTE(SUBSTITUTE(SUBSTITUTE(SUBSTITUTE(SUBSTITUTE(SUBSTITUTE(UPPER(TRIM(B818&amp;"")),"₹",""),"RS.",""),"RS",""),"INR",""),"$",""),",","")," ",""))</f>
        <v/>
      </c>
      <c r="E818" s="6">
        <f>IF(C818="","",IF(RIGHT(D818,2)="CR","Cr",IF(RIGHT(D818,2)="DR","Dr","")))</f>
        <v/>
      </c>
      <c r="F818" s="6">
        <f>IF(C818="","",IF(E818&lt;&gt;"",LEFT(D818,LEN(D818)-2),D818))</f>
        <v/>
      </c>
      <c r="G818" s="13">
        <f>IF(C818="","",IF(OR(IF(AND(LEFT(F818,1)="(",RIGHT(F818,1)=")"),MID(F818,2,LEN(F818)-2),F818)="",IF(AND(LEFT(F818,1)="(",RIGHT(F818,1)=")"),MID(F818,2,LEN(F818)-2),F818)="-"),0,IFERROR(VALUE(IF(AND(LEFT(F818,1)="(",RIGHT(F818,1)=")"),MID(F818,2,LEN(F818)-2),F818))*IF(AND(LEFT(F818,1)="(",RIGHT(F818,1)=")"),-1,1)*IF(E818="Cr",Setup!$B$6,1),"ERR")))</f>
        <v/>
      </c>
      <c r="H818" s="6">
        <f>IF(C818="","",IF(ISNUMBER(G818),1,0))</f>
        <v/>
      </c>
      <c r="I818" s="6">
        <f>IF(C818="","",IF(SUMPRODUCT(($C$12:$C$1511=C818)*1)&gt;1,1,0))</f>
        <v/>
      </c>
      <c r="J818" s="6">
        <f>IF(C818="","",SUMPRODUCT((Mapping!$F$5:$F$504=Setup!$B$4&amp;"||"&amp;C818)*ROW(Mapping!$F$5:$F$504)))</f>
        <v/>
      </c>
      <c r="K818" s="6">
        <f>IF(C818="","",IF(J818=0,"UNMAPPED",LOWER(INDEX(Mapping!$D$1:$D$504,J818))))</f>
        <v/>
      </c>
      <c r="L818" s="6">
        <f>IF(K818="mapped",TRIM(INDEX(Mapping!$C$1:$C$504,J818)),"")</f>
        <v/>
      </c>
      <c r="M818" s="6">
        <f>IF(C818="","",IF(SUMPRODUCT(($C$12:C818=C818)*1)=1,1,0))</f>
        <v/>
      </c>
      <c r="N818" s="6">
        <f>IF(AND(K818="UNMAPPED",M818=1),ROW(),"")</f>
        <v/>
      </c>
      <c r="O818" s="6">
        <f>IF(AND(I818=1,M818=1),ROW(),"")</f>
        <v/>
      </c>
      <c r="P818" s="6">
        <f>IF(AND(K818="ignored",M818=1),ROW(),"")</f>
        <v/>
      </c>
    </row>
    <row r="819">
      <c r="A819" s="8" t="n"/>
      <c r="B819" s="8" t="n"/>
      <c r="C819" s="6">
        <f>TRIM(A819&amp;"")</f>
        <v/>
      </c>
      <c r="D819" s="6">
        <f>IF(C819="","",SUBSTITUTE(SUBSTITUTE(SUBSTITUTE(SUBSTITUTE(SUBSTITUTE(SUBSTITUTE(SUBSTITUTE(UPPER(TRIM(B819&amp;"")),"₹",""),"RS.",""),"RS",""),"INR",""),"$",""),",","")," ",""))</f>
        <v/>
      </c>
      <c r="E819" s="6">
        <f>IF(C819="","",IF(RIGHT(D819,2)="CR","Cr",IF(RIGHT(D819,2)="DR","Dr","")))</f>
        <v/>
      </c>
      <c r="F819" s="6">
        <f>IF(C819="","",IF(E819&lt;&gt;"",LEFT(D819,LEN(D819)-2),D819))</f>
        <v/>
      </c>
      <c r="G819" s="13">
        <f>IF(C819="","",IF(OR(IF(AND(LEFT(F819,1)="(",RIGHT(F819,1)=")"),MID(F819,2,LEN(F819)-2),F819)="",IF(AND(LEFT(F819,1)="(",RIGHT(F819,1)=")"),MID(F819,2,LEN(F819)-2),F819)="-"),0,IFERROR(VALUE(IF(AND(LEFT(F819,1)="(",RIGHT(F819,1)=")"),MID(F819,2,LEN(F819)-2),F819))*IF(AND(LEFT(F819,1)="(",RIGHT(F819,1)=")"),-1,1)*IF(E819="Cr",Setup!$B$6,1),"ERR")))</f>
        <v/>
      </c>
      <c r="H819" s="6">
        <f>IF(C819="","",IF(ISNUMBER(G819),1,0))</f>
        <v/>
      </c>
      <c r="I819" s="6">
        <f>IF(C819="","",IF(SUMPRODUCT(($C$12:$C$1511=C819)*1)&gt;1,1,0))</f>
        <v/>
      </c>
      <c r="J819" s="6">
        <f>IF(C819="","",SUMPRODUCT((Mapping!$F$5:$F$504=Setup!$B$4&amp;"||"&amp;C819)*ROW(Mapping!$F$5:$F$504)))</f>
        <v/>
      </c>
      <c r="K819" s="6">
        <f>IF(C819="","",IF(J819=0,"UNMAPPED",LOWER(INDEX(Mapping!$D$1:$D$504,J819))))</f>
        <v/>
      </c>
      <c r="L819" s="6">
        <f>IF(K819="mapped",TRIM(INDEX(Mapping!$C$1:$C$504,J819)),"")</f>
        <v/>
      </c>
      <c r="M819" s="6">
        <f>IF(C819="","",IF(SUMPRODUCT(($C$12:C819=C819)*1)=1,1,0))</f>
        <v/>
      </c>
      <c r="N819" s="6">
        <f>IF(AND(K819="UNMAPPED",M819=1),ROW(),"")</f>
        <v/>
      </c>
      <c r="O819" s="6">
        <f>IF(AND(I819=1,M819=1),ROW(),"")</f>
        <v/>
      </c>
      <c r="P819" s="6">
        <f>IF(AND(K819="ignored",M819=1),ROW(),"")</f>
        <v/>
      </c>
    </row>
    <row r="820">
      <c r="A820" s="8" t="n"/>
      <c r="B820" s="8" t="n"/>
      <c r="C820" s="6">
        <f>TRIM(A820&amp;"")</f>
        <v/>
      </c>
      <c r="D820" s="6">
        <f>IF(C820="","",SUBSTITUTE(SUBSTITUTE(SUBSTITUTE(SUBSTITUTE(SUBSTITUTE(SUBSTITUTE(SUBSTITUTE(UPPER(TRIM(B820&amp;"")),"₹",""),"RS.",""),"RS",""),"INR",""),"$",""),",","")," ",""))</f>
        <v/>
      </c>
      <c r="E820" s="6">
        <f>IF(C820="","",IF(RIGHT(D820,2)="CR","Cr",IF(RIGHT(D820,2)="DR","Dr","")))</f>
        <v/>
      </c>
      <c r="F820" s="6">
        <f>IF(C820="","",IF(E820&lt;&gt;"",LEFT(D820,LEN(D820)-2),D820))</f>
        <v/>
      </c>
      <c r="G820" s="13">
        <f>IF(C820="","",IF(OR(IF(AND(LEFT(F820,1)="(",RIGHT(F820,1)=")"),MID(F820,2,LEN(F820)-2),F820)="",IF(AND(LEFT(F820,1)="(",RIGHT(F820,1)=")"),MID(F820,2,LEN(F820)-2),F820)="-"),0,IFERROR(VALUE(IF(AND(LEFT(F820,1)="(",RIGHT(F820,1)=")"),MID(F820,2,LEN(F820)-2),F820))*IF(AND(LEFT(F820,1)="(",RIGHT(F820,1)=")"),-1,1)*IF(E820="Cr",Setup!$B$6,1),"ERR")))</f>
        <v/>
      </c>
      <c r="H820" s="6">
        <f>IF(C820="","",IF(ISNUMBER(G820),1,0))</f>
        <v/>
      </c>
      <c r="I820" s="6">
        <f>IF(C820="","",IF(SUMPRODUCT(($C$12:$C$1511=C820)*1)&gt;1,1,0))</f>
        <v/>
      </c>
      <c r="J820" s="6">
        <f>IF(C820="","",SUMPRODUCT((Mapping!$F$5:$F$504=Setup!$B$4&amp;"||"&amp;C820)*ROW(Mapping!$F$5:$F$504)))</f>
        <v/>
      </c>
      <c r="K820" s="6">
        <f>IF(C820="","",IF(J820=0,"UNMAPPED",LOWER(INDEX(Mapping!$D$1:$D$504,J820))))</f>
        <v/>
      </c>
      <c r="L820" s="6">
        <f>IF(K820="mapped",TRIM(INDEX(Mapping!$C$1:$C$504,J820)),"")</f>
        <v/>
      </c>
      <c r="M820" s="6">
        <f>IF(C820="","",IF(SUMPRODUCT(($C$12:C820=C820)*1)=1,1,0))</f>
        <v/>
      </c>
      <c r="N820" s="6">
        <f>IF(AND(K820="UNMAPPED",M820=1),ROW(),"")</f>
        <v/>
      </c>
      <c r="O820" s="6">
        <f>IF(AND(I820=1,M820=1),ROW(),"")</f>
        <v/>
      </c>
      <c r="P820" s="6">
        <f>IF(AND(K820="ignored",M820=1),ROW(),"")</f>
        <v/>
      </c>
    </row>
    <row r="821">
      <c r="A821" s="8" t="n"/>
      <c r="B821" s="8" t="n"/>
      <c r="C821" s="6">
        <f>TRIM(A821&amp;"")</f>
        <v/>
      </c>
      <c r="D821" s="6">
        <f>IF(C821="","",SUBSTITUTE(SUBSTITUTE(SUBSTITUTE(SUBSTITUTE(SUBSTITUTE(SUBSTITUTE(SUBSTITUTE(UPPER(TRIM(B821&amp;"")),"₹",""),"RS.",""),"RS",""),"INR",""),"$",""),",","")," ",""))</f>
        <v/>
      </c>
      <c r="E821" s="6">
        <f>IF(C821="","",IF(RIGHT(D821,2)="CR","Cr",IF(RIGHT(D821,2)="DR","Dr","")))</f>
        <v/>
      </c>
      <c r="F821" s="6">
        <f>IF(C821="","",IF(E821&lt;&gt;"",LEFT(D821,LEN(D821)-2),D821))</f>
        <v/>
      </c>
      <c r="G821" s="13">
        <f>IF(C821="","",IF(OR(IF(AND(LEFT(F821,1)="(",RIGHT(F821,1)=")"),MID(F821,2,LEN(F821)-2),F821)="",IF(AND(LEFT(F821,1)="(",RIGHT(F821,1)=")"),MID(F821,2,LEN(F821)-2),F821)="-"),0,IFERROR(VALUE(IF(AND(LEFT(F821,1)="(",RIGHT(F821,1)=")"),MID(F821,2,LEN(F821)-2),F821))*IF(AND(LEFT(F821,1)="(",RIGHT(F821,1)=")"),-1,1)*IF(E821="Cr",Setup!$B$6,1),"ERR")))</f>
        <v/>
      </c>
      <c r="H821" s="6">
        <f>IF(C821="","",IF(ISNUMBER(G821),1,0))</f>
        <v/>
      </c>
      <c r="I821" s="6">
        <f>IF(C821="","",IF(SUMPRODUCT(($C$12:$C$1511=C821)*1)&gt;1,1,0))</f>
        <v/>
      </c>
      <c r="J821" s="6">
        <f>IF(C821="","",SUMPRODUCT((Mapping!$F$5:$F$504=Setup!$B$4&amp;"||"&amp;C821)*ROW(Mapping!$F$5:$F$504)))</f>
        <v/>
      </c>
      <c r="K821" s="6">
        <f>IF(C821="","",IF(J821=0,"UNMAPPED",LOWER(INDEX(Mapping!$D$1:$D$504,J821))))</f>
        <v/>
      </c>
      <c r="L821" s="6">
        <f>IF(K821="mapped",TRIM(INDEX(Mapping!$C$1:$C$504,J821)),"")</f>
        <v/>
      </c>
      <c r="M821" s="6">
        <f>IF(C821="","",IF(SUMPRODUCT(($C$12:C821=C821)*1)=1,1,0))</f>
        <v/>
      </c>
      <c r="N821" s="6">
        <f>IF(AND(K821="UNMAPPED",M821=1),ROW(),"")</f>
        <v/>
      </c>
      <c r="O821" s="6">
        <f>IF(AND(I821=1,M821=1),ROW(),"")</f>
        <v/>
      </c>
      <c r="P821" s="6">
        <f>IF(AND(K821="ignored",M821=1),ROW(),"")</f>
        <v/>
      </c>
    </row>
    <row r="822">
      <c r="A822" s="8" t="n"/>
      <c r="B822" s="8" t="n"/>
      <c r="C822" s="6">
        <f>TRIM(A822&amp;"")</f>
        <v/>
      </c>
      <c r="D822" s="6">
        <f>IF(C822="","",SUBSTITUTE(SUBSTITUTE(SUBSTITUTE(SUBSTITUTE(SUBSTITUTE(SUBSTITUTE(SUBSTITUTE(UPPER(TRIM(B822&amp;"")),"₹",""),"RS.",""),"RS",""),"INR",""),"$",""),",","")," ",""))</f>
        <v/>
      </c>
      <c r="E822" s="6">
        <f>IF(C822="","",IF(RIGHT(D822,2)="CR","Cr",IF(RIGHT(D822,2)="DR","Dr","")))</f>
        <v/>
      </c>
      <c r="F822" s="6">
        <f>IF(C822="","",IF(E822&lt;&gt;"",LEFT(D822,LEN(D822)-2),D822))</f>
        <v/>
      </c>
      <c r="G822" s="13">
        <f>IF(C822="","",IF(OR(IF(AND(LEFT(F822,1)="(",RIGHT(F822,1)=")"),MID(F822,2,LEN(F822)-2),F822)="",IF(AND(LEFT(F822,1)="(",RIGHT(F822,1)=")"),MID(F822,2,LEN(F822)-2),F822)="-"),0,IFERROR(VALUE(IF(AND(LEFT(F822,1)="(",RIGHT(F822,1)=")"),MID(F822,2,LEN(F822)-2),F822))*IF(AND(LEFT(F822,1)="(",RIGHT(F822,1)=")"),-1,1)*IF(E822="Cr",Setup!$B$6,1),"ERR")))</f>
        <v/>
      </c>
      <c r="H822" s="6">
        <f>IF(C822="","",IF(ISNUMBER(G822),1,0))</f>
        <v/>
      </c>
      <c r="I822" s="6">
        <f>IF(C822="","",IF(SUMPRODUCT(($C$12:$C$1511=C822)*1)&gt;1,1,0))</f>
        <v/>
      </c>
      <c r="J822" s="6">
        <f>IF(C822="","",SUMPRODUCT((Mapping!$F$5:$F$504=Setup!$B$4&amp;"||"&amp;C822)*ROW(Mapping!$F$5:$F$504)))</f>
        <v/>
      </c>
      <c r="K822" s="6">
        <f>IF(C822="","",IF(J822=0,"UNMAPPED",LOWER(INDEX(Mapping!$D$1:$D$504,J822))))</f>
        <v/>
      </c>
      <c r="L822" s="6">
        <f>IF(K822="mapped",TRIM(INDEX(Mapping!$C$1:$C$504,J822)),"")</f>
        <v/>
      </c>
      <c r="M822" s="6">
        <f>IF(C822="","",IF(SUMPRODUCT(($C$12:C822=C822)*1)=1,1,0))</f>
        <v/>
      </c>
      <c r="N822" s="6">
        <f>IF(AND(K822="UNMAPPED",M822=1),ROW(),"")</f>
        <v/>
      </c>
      <c r="O822" s="6">
        <f>IF(AND(I822=1,M822=1),ROW(),"")</f>
        <v/>
      </c>
      <c r="P822" s="6">
        <f>IF(AND(K822="ignored",M822=1),ROW(),"")</f>
        <v/>
      </c>
    </row>
    <row r="823">
      <c r="A823" s="8" t="n"/>
      <c r="B823" s="8" t="n"/>
      <c r="C823" s="6">
        <f>TRIM(A823&amp;"")</f>
        <v/>
      </c>
      <c r="D823" s="6">
        <f>IF(C823="","",SUBSTITUTE(SUBSTITUTE(SUBSTITUTE(SUBSTITUTE(SUBSTITUTE(SUBSTITUTE(SUBSTITUTE(UPPER(TRIM(B823&amp;"")),"₹",""),"RS.",""),"RS",""),"INR",""),"$",""),",","")," ",""))</f>
        <v/>
      </c>
      <c r="E823" s="6">
        <f>IF(C823="","",IF(RIGHT(D823,2)="CR","Cr",IF(RIGHT(D823,2)="DR","Dr","")))</f>
        <v/>
      </c>
      <c r="F823" s="6">
        <f>IF(C823="","",IF(E823&lt;&gt;"",LEFT(D823,LEN(D823)-2),D823))</f>
        <v/>
      </c>
      <c r="G823" s="13">
        <f>IF(C823="","",IF(OR(IF(AND(LEFT(F823,1)="(",RIGHT(F823,1)=")"),MID(F823,2,LEN(F823)-2),F823)="",IF(AND(LEFT(F823,1)="(",RIGHT(F823,1)=")"),MID(F823,2,LEN(F823)-2),F823)="-"),0,IFERROR(VALUE(IF(AND(LEFT(F823,1)="(",RIGHT(F823,1)=")"),MID(F823,2,LEN(F823)-2),F823))*IF(AND(LEFT(F823,1)="(",RIGHT(F823,1)=")"),-1,1)*IF(E823="Cr",Setup!$B$6,1),"ERR")))</f>
        <v/>
      </c>
      <c r="H823" s="6">
        <f>IF(C823="","",IF(ISNUMBER(G823),1,0))</f>
        <v/>
      </c>
      <c r="I823" s="6">
        <f>IF(C823="","",IF(SUMPRODUCT(($C$12:$C$1511=C823)*1)&gt;1,1,0))</f>
        <v/>
      </c>
      <c r="J823" s="6">
        <f>IF(C823="","",SUMPRODUCT((Mapping!$F$5:$F$504=Setup!$B$4&amp;"||"&amp;C823)*ROW(Mapping!$F$5:$F$504)))</f>
        <v/>
      </c>
      <c r="K823" s="6">
        <f>IF(C823="","",IF(J823=0,"UNMAPPED",LOWER(INDEX(Mapping!$D$1:$D$504,J823))))</f>
        <v/>
      </c>
      <c r="L823" s="6">
        <f>IF(K823="mapped",TRIM(INDEX(Mapping!$C$1:$C$504,J823)),"")</f>
        <v/>
      </c>
      <c r="M823" s="6">
        <f>IF(C823="","",IF(SUMPRODUCT(($C$12:C823=C823)*1)=1,1,0))</f>
        <v/>
      </c>
      <c r="N823" s="6">
        <f>IF(AND(K823="UNMAPPED",M823=1),ROW(),"")</f>
        <v/>
      </c>
      <c r="O823" s="6">
        <f>IF(AND(I823=1,M823=1),ROW(),"")</f>
        <v/>
      </c>
      <c r="P823" s="6">
        <f>IF(AND(K823="ignored",M823=1),ROW(),"")</f>
        <v/>
      </c>
    </row>
    <row r="824">
      <c r="A824" s="8" t="n"/>
      <c r="B824" s="8" t="n"/>
      <c r="C824" s="6">
        <f>TRIM(A824&amp;"")</f>
        <v/>
      </c>
      <c r="D824" s="6">
        <f>IF(C824="","",SUBSTITUTE(SUBSTITUTE(SUBSTITUTE(SUBSTITUTE(SUBSTITUTE(SUBSTITUTE(SUBSTITUTE(UPPER(TRIM(B824&amp;"")),"₹",""),"RS.",""),"RS",""),"INR",""),"$",""),",","")," ",""))</f>
        <v/>
      </c>
      <c r="E824" s="6">
        <f>IF(C824="","",IF(RIGHT(D824,2)="CR","Cr",IF(RIGHT(D824,2)="DR","Dr","")))</f>
        <v/>
      </c>
      <c r="F824" s="6">
        <f>IF(C824="","",IF(E824&lt;&gt;"",LEFT(D824,LEN(D824)-2),D824))</f>
        <v/>
      </c>
      <c r="G824" s="13">
        <f>IF(C824="","",IF(OR(IF(AND(LEFT(F824,1)="(",RIGHT(F824,1)=")"),MID(F824,2,LEN(F824)-2),F824)="",IF(AND(LEFT(F824,1)="(",RIGHT(F824,1)=")"),MID(F824,2,LEN(F824)-2),F824)="-"),0,IFERROR(VALUE(IF(AND(LEFT(F824,1)="(",RIGHT(F824,1)=")"),MID(F824,2,LEN(F824)-2),F824))*IF(AND(LEFT(F824,1)="(",RIGHT(F824,1)=")"),-1,1)*IF(E824="Cr",Setup!$B$6,1),"ERR")))</f>
        <v/>
      </c>
      <c r="H824" s="6">
        <f>IF(C824="","",IF(ISNUMBER(G824),1,0))</f>
        <v/>
      </c>
      <c r="I824" s="6">
        <f>IF(C824="","",IF(SUMPRODUCT(($C$12:$C$1511=C824)*1)&gt;1,1,0))</f>
        <v/>
      </c>
      <c r="J824" s="6">
        <f>IF(C824="","",SUMPRODUCT((Mapping!$F$5:$F$504=Setup!$B$4&amp;"||"&amp;C824)*ROW(Mapping!$F$5:$F$504)))</f>
        <v/>
      </c>
      <c r="K824" s="6">
        <f>IF(C824="","",IF(J824=0,"UNMAPPED",LOWER(INDEX(Mapping!$D$1:$D$504,J824))))</f>
        <v/>
      </c>
      <c r="L824" s="6">
        <f>IF(K824="mapped",TRIM(INDEX(Mapping!$C$1:$C$504,J824)),"")</f>
        <v/>
      </c>
      <c r="M824" s="6">
        <f>IF(C824="","",IF(SUMPRODUCT(($C$12:C824=C824)*1)=1,1,0))</f>
        <v/>
      </c>
      <c r="N824" s="6">
        <f>IF(AND(K824="UNMAPPED",M824=1),ROW(),"")</f>
        <v/>
      </c>
      <c r="O824" s="6">
        <f>IF(AND(I824=1,M824=1),ROW(),"")</f>
        <v/>
      </c>
      <c r="P824" s="6">
        <f>IF(AND(K824="ignored",M824=1),ROW(),"")</f>
        <v/>
      </c>
    </row>
    <row r="825">
      <c r="A825" s="8" t="n"/>
      <c r="B825" s="8" t="n"/>
      <c r="C825" s="6">
        <f>TRIM(A825&amp;"")</f>
        <v/>
      </c>
      <c r="D825" s="6">
        <f>IF(C825="","",SUBSTITUTE(SUBSTITUTE(SUBSTITUTE(SUBSTITUTE(SUBSTITUTE(SUBSTITUTE(SUBSTITUTE(UPPER(TRIM(B825&amp;"")),"₹",""),"RS.",""),"RS",""),"INR",""),"$",""),",","")," ",""))</f>
        <v/>
      </c>
      <c r="E825" s="6">
        <f>IF(C825="","",IF(RIGHT(D825,2)="CR","Cr",IF(RIGHT(D825,2)="DR","Dr","")))</f>
        <v/>
      </c>
      <c r="F825" s="6">
        <f>IF(C825="","",IF(E825&lt;&gt;"",LEFT(D825,LEN(D825)-2),D825))</f>
        <v/>
      </c>
      <c r="G825" s="13">
        <f>IF(C825="","",IF(OR(IF(AND(LEFT(F825,1)="(",RIGHT(F825,1)=")"),MID(F825,2,LEN(F825)-2),F825)="",IF(AND(LEFT(F825,1)="(",RIGHT(F825,1)=")"),MID(F825,2,LEN(F825)-2),F825)="-"),0,IFERROR(VALUE(IF(AND(LEFT(F825,1)="(",RIGHT(F825,1)=")"),MID(F825,2,LEN(F825)-2),F825))*IF(AND(LEFT(F825,1)="(",RIGHT(F825,1)=")"),-1,1)*IF(E825="Cr",Setup!$B$6,1),"ERR")))</f>
        <v/>
      </c>
      <c r="H825" s="6">
        <f>IF(C825="","",IF(ISNUMBER(G825),1,0))</f>
        <v/>
      </c>
      <c r="I825" s="6">
        <f>IF(C825="","",IF(SUMPRODUCT(($C$12:$C$1511=C825)*1)&gt;1,1,0))</f>
        <v/>
      </c>
      <c r="J825" s="6">
        <f>IF(C825="","",SUMPRODUCT((Mapping!$F$5:$F$504=Setup!$B$4&amp;"||"&amp;C825)*ROW(Mapping!$F$5:$F$504)))</f>
        <v/>
      </c>
      <c r="K825" s="6">
        <f>IF(C825="","",IF(J825=0,"UNMAPPED",LOWER(INDEX(Mapping!$D$1:$D$504,J825))))</f>
        <v/>
      </c>
      <c r="L825" s="6">
        <f>IF(K825="mapped",TRIM(INDEX(Mapping!$C$1:$C$504,J825)),"")</f>
        <v/>
      </c>
      <c r="M825" s="6">
        <f>IF(C825="","",IF(SUMPRODUCT(($C$12:C825=C825)*1)=1,1,0))</f>
        <v/>
      </c>
      <c r="N825" s="6">
        <f>IF(AND(K825="UNMAPPED",M825=1),ROW(),"")</f>
        <v/>
      </c>
      <c r="O825" s="6">
        <f>IF(AND(I825=1,M825=1),ROW(),"")</f>
        <v/>
      </c>
      <c r="P825" s="6">
        <f>IF(AND(K825="ignored",M825=1),ROW(),"")</f>
        <v/>
      </c>
    </row>
    <row r="826">
      <c r="A826" s="8" t="n"/>
      <c r="B826" s="8" t="n"/>
      <c r="C826" s="6">
        <f>TRIM(A826&amp;"")</f>
        <v/>
      </c>
      <c r="D826" s="6">
        <f>IF(C826="","",SUBSTITUTE(SUBSTITUTE(SUBSTITUTE(SUBSTITUTE(SUBSTITUTE(SUBSTITUTE(SUBSTITUTE(UPPER(TRIM(B826&amp;"")),"₹",""),"RS.",""),"RS",""),"INR",""),"$",""),",","")," ",""))</f>
        <v/>
      </c>
      <c r="E826" s="6">
        <f>IF(C826="","",IF(RIGHT(D826,2)="CR","Cr",IF(RIGHT(D826,2)="DR","Dr","")))</f>
        <v/>
      </c>
      <c r="F826" s="6">
        <f>IF(C826="","",IF(E826&lt;&gt;"",LEFT(D826,LEN(D826)-2),D826))</f>
        <v/>
      </c>
      <c r="G826" s="13">
        <f>IF(C826="","",IF(OR(IF(AND(LEFT(F826,1)="(",RIGHT(F826,1)=")"),MID(F826,2,LEN(F826)-2),F826)="",IF(AND(LEFT(F826,1)="(",RIGHT(F826,1)=")"),MID(F826,2,LEN(F826)-2),F826)="-"),0,IFERROR(VALUE(IF(AND(LEFT(F826,1)="(",RIGHT(F826,1)=")"),MID(F826,2,LEN(F826)-2),F826))*IF(AND(LEFT(F826,1)="(",RIGHT(F826,1)=")"),-1,1)*IF(E826="Cr",Setup!$B$6,1),"ERR")))</f>
        <v/>
      </c>
      <c r="H826" s="6">
        <f>IF(C826="","",IF(ISNUMBER(G826),1,0))</f>
        <v/>
      </c>
      <c r="I826" s="6">
        <f>IF(C826="","",IF(SUMPRODUCT(($C$12:$C$1511=C826)*1)&gt;1,1,0))</f>
        <v/>
      </c>
      <c r="J826" s="6">
        <f>IF(C826="","",SUMPRODUCT((Mapping!$F$5:$F$504=Setup!$B$4&amp;"||"&amp;C826)*ROW(Mapping!$F$5:$F$504)))</f>
        <v/>
      </c>
      <c r="K826" s="6">
        <f>IF(C826="","",IF(J826=0,"UNMAPPED",LOWER(INDEX(Mapping!$D$1:$D$504,J826))))</f>
        <v/>
      </c>
      <c r="L826" s="6">
        <f>IF(K826="mapped",TRIM(INDEX(Mapping!$C$1:$C$504,J826)),"")</f>
        <v/>
      </c>
      <c r="M826" s="6">
        <f>IF(C826="","",IF(SUMPRODUCT(($C$12:C826=C826)*1)=1,1,0))</f>
        <v/>
      </c>
      <c r="N826" s="6">
        <f>IF(AND(K826="UNMAPPED",M826=1),ROW(),"")</f>
        <v/>
      </c>
      <c r="O826" s="6">
        <f>IF(AND(I826=1,M826=1),ROW(),"")</f>
        <v/>
      </c>
      <c r="P826" s="6">
        <f>IF(AND(K826="ignored",M826=1),ROW(),"")</f>
        <v/>
      </c>
    </row>
    <row r="827">
      <c r="A827" s="8" t="n"/>
      <c r="B827" s="8" t="n"/>
      <c r="C827" s="6">
        <f>TRIM(A827&amp;"")</f>
        <v/>
      </c>
      <c r="D827" s="6">
        <f>IF(C827="","",SUBSTITUTE(SUBSTITUTE(SUBSTITUTE(SUBSTITUTE(SUBSTITUTE(SUBSTITUTE(SUBSTITUTE(UPPER(TRIM(B827&amp;"")),"₹",""),"RS.",""),"RS",""),"INR",""),"$",""),",","")," ",""))</f>
        <v/>
      </c>
      <c r="E827" s="6">
        <f>IF(C827="","",IF(RIGHT(D827,2)="CR","Cr",IF(RIGHT(D827,2)="DR","Dr","")))</f>
        <v/>
      </c>
      <c r="F827" s="6">
        <f>IF(C827="","",IF(E827&lt;&gt;"",LEFT(D827,LEN(D827)-2),D827))</f>
        <v/>
      </c>
      <c r="G827" s="13">
        <f>IF(C827="","",IF(OR(IF(AND(LEFT(F827,1)="(",RIGHT(F827,1)=")"),MID(F827,2,LEN(F827)-2),F827)="",IF(AND(LEFT(F827,1)="(",RIGHT(F827,1)=")"),MID(F827,2,LEN(F827)-2),F827)="-"),0,IFERROR(VALUE(IF(AND(LEFT(F827,1)="(",RIGHT(F827,1)=")"),MID(F827,2,LEN(F827)-2),F827))*IF(AND(LEFT(F827,1)="(",RIGHT(F827,1)=")"),-1,1)*IF(E827="Cr",Setup!$B$6,1),"ERR")))</f>
        <v/>
      </c>
      <c r="H827" s="6">
        <f>IF(C827="","",IF(ISNUMBER(G827),1,0))</f>
        <v/>
      </c>
      <c r="I827" s="6">
        <f>IF(C827="","",IF(SUMPRODUCT(($C$12:$C$1511=C827)*1)&gt;1,1,0))</f>
        <v/>
      </c>
      <c r="J827" s="6">
        <f>IF(C827="","",SUMPRODUCT((Mapping!$F$5:$F$504=Setup!$B$4&amp;"||"&amp;C827)*ROW(Mapping!$F$5:$F$504)))</f>
        <v/>
      </c>
      <c r="K827" s="6">
        <f>IF(C827="","",IF(J827=0,"UNMAPPED",LOWER(INDEX(Mapping!$D$1:$D$504,J827))))</f>
        <v/>
      </c>
      <c r="L827" s="6">
        <f>IF(K827="mapped",TRIM(INDEX(Mapping!$C$1:$C$504,J827)),"")</f>
        <v/>
      </c>
      <c r="M827" s="6">
        <f>IF(C827="","",IF(SUMPRODUCT(($C$12:C827=C827)*1)=1,1,0))</f>
        <v/>
      </c>
      <c r="N827" s="6">
        <f>IF(AND(K827="UNMAPPED",M827=1),ROW(),"")</f>
        <v/>
      </c>
      <c r="O827" s="6">
        <f>IF(AND(I827=1,M827=1),ROW(),"")</f>
        <v/>
      </c>
      <c r="P827" s="6">
        <f>IF(AND(K827="ignored",M827=1),ROW(),"")</f>
        <v/>
      </c>
    </row>
    <row r="828">
      <c r="A828" s="8" t="n"/>
      <c r="B828" s="8" t="n"/>
      <c r="C828" s="6">
        <f>TRIM(A828&amp;"")</f>
        <v/>
      </c>
      <c r="D828" s="6">
        <f>IF(C828="","",SUBSTITUTE(SUBSTITUTE(SUBSTITUTE(SUBSTITUTE(SUBSTITUTE(SUBSTITUTE(SUBSTITUTE(UPPER(TRIM(B828&amp;"")),"₹",""),"RS.",""),"RS",""),"INR",""),"$",""),",","")," ",""))</f>
        <v/>
      </c>
      <c r="E828" s="6">
        <f>IF(C828="","",IF(RIGHT(D828,2)="CR","Cr",IF(RIGHT(D828,2)="DR","Dr","")))</f>
        <v/>
      </c>
      <c r="F828" s="6">
        <f>IF(C828="","",IF(E828&lt;&gt;"",LEFT(D828,LEN(D828)-2),D828))</f>
        <v/>
      </c>
      <c r="G828" s="13">
        <f>IF(C828="","",IF(OR(IF(AND(LEFT(F828,1)="(",RIGHT(F828,1)=")"),MID(F828,2,LEN(F828)-2),F828)="",IF(AND(LEFT(F828,1)="(",RIGHT(F828,1)=")"),MID(F828,2,LEN(F828)-2),F828)="-"),0,IFERROR(VALUE(IF(AND(LEFT(F828,1)="(",RIGHT(F828,1)=")"),MID(F828,2,LEN(F828)-2),F828))*IF(AND(LEFT(F828,1)="(",RIGHT(F828,1)=")"),-1,1)*IF(E828="Cr",Setup!$B$6,1),"ERR")))</f>
        <v/>
      </c>
      <c r="H828" s="6">
        <f>IF(C828="","",IF(ISNUMBER(G828),1,0))</f>
        <v/>
      </c>
      <c r="I828" s="6">
        <f>IF(C828="","",IF(SUMPRODUCT(($C$12:$C$1511=C828)*1)&gt;1,1,0))</f>
        <v/>
      </c>
      <c r="J828" s="6">
        <f>IF(C828="","",SUMPRODUCT((Mapping!$F$5:$F$504=Setup!$B$4&amp;"||"&amp;C828)*ROW(Mapping!$F$5:$F$504)))</f>
        <v/>
      </c>
      <c r="K828" s="6">
        <f>IF(C828="","",IF(J828=0,"UNMAPPED",LOWER(INDEX(Mapping!$D$1:$D$504,J828))))</f>
        <v/>
      </c>
      <c r="L828" s="6">
        <f>IF(K828="mapped",TRIM(INDEX(Mapping!$C$1:$C$504,J828)),"")</f>
        <v/>
      </c>
      <c r="M828" s="6">
        <f>IF(C828="","",IF(SUMPRODUCT(($C$12:C828=C828)*1)=1,1,0))</f>
        <v/>
      </c>
      <c r="N828" s="6">
        <f>IF(AND(K828="UNMAPPED",M828=1),ROW(),"")</f>
        <v/>
      </c>
      <c r="O828" s="6">
        <f>IF(AND(I828=1,M828=1),ROW(),"")</f>
        <v/>
      </c>
      <c r="P828" s="6">
        <f>IF(AND(K828="ignored",M828=1),ROW(),"")</f>
        <v/>
      </c>
    </row>
    <row r="829">
      <c r="A829" s="8" t="n"/>
      <c r="B829" s="8" t="n"/>
      <c r="C829" s="6">
        <f>TRIM(A829&amp;"")</f>
        <v/>
      </c>
      <c r="D829" s="6">
        <f>IF(C829="","",SUBSTITUTE(SUBSTITUTE(SUBSTITUTE(SUBSTITUTE(SUBSTITUTE(SUBSTITUTE(SUBSTITUTE(UPPER(TRIM(B829&amp;"")),"₹",""),"RS.",""),"RS",""),"INR",""),"$",""),",","")," ",""))</f>
        <v/>
      </c>
      <c r="E829" s="6">
        <f>IF(C829="","",IF(RIGHT(D829,2)="CR","Cr",IF(RIGHT(D829,2)="DR","Dr","")))</f>
        <v/>
      </c>
      <c r="F829" s="6">
        <f>IF(C829="","",IF(E829&lt;&gt;"",LEFT(D829,LEN(D829)-2),D829))</f>
        <v/>
      </c>
      <c r="G829" s="13">
        <f>IF(C829="","",IF(OR(IF(AND(LEFT(F829,1)="(",RIGHT(F829,1)=")"),MID(F829,2,LEN(F829)-2),F829)="",IF(AND(LEFT(F829,1)="(",RIGHT(F829,1)=")"),MID(F829,2,LEN(F829)-2),F829)="-"),0,IFERROR(VALUE(IF(AND(LEFT(F829,1)="(",RIGHT(F829,1)=")"),MID(F829,2,LEN(F829)-2),F829))*IF(AND(LEFT(F829,1)="(",RIGHT(F829,1)=")"),-1,1)*IF(E829="Cr",Setup!$B$6,1),"ERR")))</f>
        <v/>
      </c>
      <c r="H829" s="6">
        <f>IF(C829="","",IF(ISNUMBER(G829),1,0))</f>
        <v/>
      </c>
      <c r="I829" s="6">
        <f>IF(C829="","",IF(SUMPRODUCT(($C$12:$C$1511=C829)*1)&gt;1,1,0))</f>
        <v/>
      </c>
      <c r="J829" s="6">
        <f>IF(C829="","",SUMPRODUCT((Mapping!$F$5:$F$504=Setup!$B$4&amp;"||"&amp;C829)*ROW(Mapping!$F$5:$F$504)))</f>
        <v/>
      </c>
      <c r="K829" s="6">
        <f>IF(C829="","",IF(J829=0,"UNMAPPED",LOWER(INDEX(Mapping!$D$1:$D$504,J829))))</f>
        <v/>
      </c>
      <c r="L829" s="6">
        <f>IF(K829="mapped",TRIM(INDEX(Mapping!$C$1:$C$504,J829)),"")</f>
        <v/>
      </c>
      <c r="M829" s="6">
        <f>IF(C829="","",IF(SUMPRODUCT(($C$12:C829=C829)*1)=1,1,0))</f>
        <v/>
      </c>
      <c r="N829" s="6">
        <f>IF(AND(K829="UNMAPPED",M829=1),ROW(),"")</f>
        <v/>
      </c>
      <c r="O829" s="6">
        <f>IF(AND(I829=1,M829=1),ROW(),"")</f>
        <v/>
      </c>
      <c r="P829" s="6">
        <f>IF(AND(K829="ignored",M829=1),ROW(),"")</f>
        <v/>
      </c>
    </row>
    <row r="830">
      <c r="A830" s="8" t="n"/>
      <c r="B830" s="8" t="n"/>
      <c r="C830" s="6">
        <f>TRIM(A830&amp;"")</f>
        <v/>
      </c>
      <c r="D830" s="6">
        <f>IF(C830="","",SUBSTITUTE(SUBSTITUTE(SUBSTITUTE(SUBSTITUTE(SUBSTITUTE(SUBSTITUTE(SUBSTITUTE(UPPER(TRIM(B830&amp;"")),"₹",""),"RS.",""),"RS",""),"INR",""),"$",""),",","")," ",""))</f>
        <v/>
      </c>
      <c r="E830" s="6">
        <f>IF(C830="","",IF(RIGHT(D830,2)="CR","Cr",IF(RIGHT(D830,2)="DR","Dr","")))</f>
        <v/>
      </c>
      <c r="F830" s="6">
        <f>IF(C830="","",IF(E830&lt;&gt;"",LEFT(D830,LEN(D830)-2),D830))</f>
        <v/>
      </c>
      <c r="G830" s="13">
        <f>IF(C830="","",IF(OR(IF(AND(LEFT(F830,1)="(",RIGHT(F830,1)=")"),MID(F830,2,LEN(F830)-2),F830)="",IF(AND(LEFT(F830,1)="(",RIGHT(F830,1)=")"),MID(F830,2,LEN(F830)-2),F830)="-"),0,IFERROR(VALUE(IF(AND(LEFT(F830,1)="(",RIGHT(F830,1)=")"),MID(F830,2,LEN(F830)-2),F830))*IF(AND(LEFT(F830,1)="(",RIGHT(F830,1)=")"),-1,1)*IF(E830="Cr",Setup!$B$6,1),"ERR")))</f>
        <v/>
      </c>
      <c r="H830" s="6">
        <f>IF(C830="","",IF(ISNUMBER(G830),1,0))</f>
        <v/>
      </c>
      <c r="I830" s="6">
        <f>IF(C830="","",IF(SUMPRODUCT(($C$12:$C$1511=C830)*1)&gt;1,1,0))</f>
        <v/>
      </c>
      <c r="J830" s="6">
        <f>IF(C830="","",SUMPRODUCT((Mapping!$F$5:$F$504=Setup!$B$4&amp;"||"&amp;C830)*ROW(Mapping!$F$5:$F$504)))</f>
        <v/>
      </c>
      <c r="K830" s="6">
        <f>IF(C830="","",IF(J830=0,"UNMAPPED",LOWER(INDEX(Mapping!$D$1:$D$504,J830))))</f>
        <v/>
      </c>
      <c r="L830" s="6">
        <f>IF(K830="mapped",TRIM(INDEX(Mapping!$C$1:$C$504,J830)),"")</f>
        <v/>
      </c>
      <c r="M830" s="6">
        <f>IF(C830="","",IF(SUMPRODUCT(($C$12:C830=C830)*1)=1,1,0))</f>
        <v/>
      </c>
      <c r="N830" s="6">
        <f>IF(AND(K830="UNMAPPED",M830=1),ROW(),"")</f>
        <v/>
      </c>
      <c r="O830" s="6">
        <f>IF(AND(I830=1,M830=1),ROW(),"")</f>
        <v/>
      </c>
      <c r="P830" s="6">
        <f>IF(AND(K830="ignored",M830=1),ROW(),"")</f>
        <v/>
      </c>
    </row>
    <row r="831">
      <c r="A831" s="8" t="n"/>
      <c r="B831" s="8" t="n"/>
      <c r="C831" s="6">
        <f>TRIM(A831&amp;"")</f>
        <v/>
      </c>
      <c r="D831" s="6">
        <f>IF(C831="","",SUBSTITUTE(SUBSTITUTE(SUBSTITUTE(SUBSTITUTE(SUBSTITUTE(SUBSTITUTE(SUBSTITUTE(UPPER(TRIM(B831&amp;"")),"₹",""),"RS.",""),"RS",""),"INR",""),"$",""),",","")," ",""))</f>
        <v/>
      </c>
      <c r="E831" s="6">
        <f>IF(C831="","",IF(RIGHT(D831,2)="CR","Cr",IF(RIGHT(D831,2)="DR","Dr","")))</f>
        <v/>
      </c>
      <c r="F831" s="6">
        <f>IF(C831="","",IF(E831&lt;&gt;"",LEFT(D831,LEN(D831)-2),D831))</f>
        <v/>
      </c>
      <c r="G831" s="13">
        <f>IF(C831="","",IF(OR(IF(AND(LEFT(F831,1)="(",RIGHT(F831,1)=")"),MID(F831,2,LEN(F831)-2),F831)="",IF(AND(LEFT(F831,1)="(",RIGHT(F831,1)=")"),MID(F831,2,LEN(F831)-2),F831)="-"),0,IFERROR(VALUE(IF(AND(LEFT(F831,1)="(",RIGHT(F831,1)=")"),MID(F831,2,LEN(F831)-2),F831))*IF(AND(LEFT(F831,1)="(",RIGHT(F831,1)=")"),-1,1)*IF(E831="Cr",Setup!$B$6,1),"ERR")))</f>
        <v/>
      </c>
      <c r="H831" s="6">
        <f>IF(C831="","",IF(ISNUMBER(G831),1,0))</f>
        <v/>
      </c>
      <c r="I831" s="6">
        <f>IF(C831="","",IF(SUMPRODUCT(($C$12:$C$1511=C831)*1)&gt;1,1,0))</f>
        <v/>
      </c>
      <c r="J831" s="6">
        <f>IF(C831="","",SUMPRODUCT((Mapping!$F$5:$F$504=Setup!$B$4&amp;"||"&amp;C831)*ROW(Mapping!$F$5:$F$504)))</f>
        <v/>
      </c>
      <c r="K831" s="6">
        <f>IF(C831="","",IF(J831=0,"UNMAPPED",LOWER(INDEX(Mapping!$D$1:$D$504,J831))))</f>
        <v/>
      </c>
      <c r="L831" s="6">
        <f>IF(K831="mapped",TRIM(INDEX(Mapping!$C$1:$C$504,J831)),"")</f>
        <v/>
      </c>
      <c r="M831" s="6">
        <f>IF(C831="","",IF(SUMPRODUCT(($C$12:C831=C831)*1)=1,1,0))</f>
        <v/>
      </c>
      <c r="N831" s="6">
        <f>IF(AND(K831="UNMAPPED",M831=1),ROW(),"")</f>
        <v/>
      </c>
      <c r="O831" s="6">
        <f>IF(AND(I831=1,M831=1),ROW(),"")</f>
        <v/>
      </c>
      <c r="P831" s="6">
        <f>IF(AND(K831="ignored",M831=1),ROW(),"")</f>
        <v/>
      </c>
    </row>
    <row r="832">
      <c r="A832" s="8" t="n"/>
      <c r="B832" s="8" t="n"/>
      <c r="C832" s="6">
        <f>TRIM(A832&amp;"")</f>
        <v/>
      </c>
      <c r="D832" s="6">
        <f>IF(C832="","",SUBSTITUTE(SUBSTITUTE(SUBSTITUTE(SUBSTITUTE(SUBSTITUTE(SUBSTITUTE(SUBSTITUTE(UPPER(TRIM(B832&amp;"")),"₹",""),"RS.",""),"RS",""),"INR",""),"$",""),",","")," ",""))</f>
        <v/>
      </c>
      <c r="E832" s="6">
        <f>IF(C832="","",IF(RIGHT(D832,2)="CR","Cr",IF(RIGHT(D832,2)="DR","Dr","")))</f>
        <v/>
      </c>
      <c r="F832" s="6">
        <f>IF(C832="","",IF(E832&lt;&gt;"",LEFT(D832,LEN(D832)-2),D832))</f>
        <v/>
      </c>
      <c r="G832" s="13">
        <f>IF(C832="","",IF(OR(IF(AND(LEFT(F832,1)="(",RIGHT(F832,1)=")"),MID(F832,2,LEN(F832)-2),F832)="",IF(AND(LEFT(F832,1)="(",RIGHT(F832,1)=")"),MID(F832,2,LEN(F832)-2),F832)="-"),0,IFERROR(VALUE(IF(AND(LEFT(F832,1)="(",RIGHT(F832,1)=")"),MID(F832,2,LEN(F832)-2),F832))*IF(AND(LEFT(F832,1)="(",RIGHT(F832,1)=")"),-1,1)*IF(E832="Cr",Setup!$B$6,1),"ERR")))</f>
        <v/>
      </c>
      <c r="H832" s="6">
        <f>IF(C832="","",IF(ISNUMBER(G832),1,0))</f>
        <v/>
      </c>
      <c r="I832" s="6">
        <f>IF(C832="","",IF(SUMPRODUCT(($C$12:$C$1511=C832)*1)&gt;1,1,0))</f>
        <v/>
      </c>
      <c r="J832" s="6">
        <f>IF(C832="","",SUMPRODUCT((Mapping!$F$5:$F$504=Setup!$B$4&amp;"||"&amp;C832)*ROW(Mapping!$F$5:$F$504)))</f>
        <v/>
      </c>
      <c r="K832" s="6">
        <f>IF(C832="","",IF(J832=0,"UNMAPPED",LOWER(INDEX(Mapping!$D$1:$D$504,J832))))</f>
        <v/>
      </c>
      <c r="L832" s="6">
        <f>IF(K832="mapped",TRIM(INDEX(Mapping!$C$1:$C$504,J832)),"")</f>
        <v/>
      </c>
      <c r="M832" s="6">
        <f>IF(C832="","",IF(SUMPRODUCT(($C$12:C832=C832)*1)=1,1,0))</f>
        <v/>
      </c>
      <c r="N832" s="6">
        <f>IF(AND(K832="UNMAPPED",M832=1),ROW(),"")</f>
        <v/>
      </c>
      <c r="O832" s="6">
        <f>IF(AND(I832=1,M832=1),ROW(),"")</f>
        <v/>
      </c>
      <c r="P832" s="6">
        <f>IF(AND(K832="ignored",M832=1),ROW(),"")</f>
        <v/>
      </c>
    </row>
    <row r="833">
      <c r="A833" s="8" t="n"/>
      <c r="B833" s="8" t="n"/>
      <c r="C833" s="6">
        <f>TRIM(A833&amp;"")</f>
        <v/>
      </c>
      <c r="D833" s="6">
        <f>IF(C833="","",SUBSTITUTE(SUBSTITUTE(SUBSTITUTE(SUBSTITUTE(SUBSTITUTE(SUBSTITUTE(SUBSTITUTE(UPPER(TRIM(B833&amp;"")),"₹",""),"RS.",""),"RS",""),"INR",""),"$",""),",","")," ",""))</f>
        <v/>
      </c>
      <c r="E833" s="6">
        <f>IF(C833="","",IF(RIGHT(D833,2)="CR","Cr",IF(RIGHT(D833,2)="DR","Dr","")))</f>
        <v/>
      </c>
      <c r="F833" s="6">
        <f>IF(C833="","",IF(E833&lt;&gt;"",LEFT(D833,LEN(D833)-2),D833))</f>
        <v/>
      </c>
      <c r="G833" s="13">
        <f>IF(C833="","",IF(OR(IF(AND(LEFT(F833,1)="(",RIGHT(F833,1)=")"),MID(F833,2,LEN(F833)-2),F833)="",IF(AND(LEFT(F833,1)="(",RIGHT(F833,1)=")"),MID(F833,2,LEN(F833)-2),F833)="-"),0,IFERROR(VALUE(IF(AND(LEFT(F833,1)="(",RIGHT(F833,1)=")"),MID(F833,2,LEN(F833)-2),F833))*IF(AND(LEFT(F833,1)="(",RIGHT(F833,1)=")"),-1,1)*IF(E833="Cr",Setup!$B$6,1),"ERR")))</f>
        <v/>
      </c>
      <c r="H833" s="6">
        <f>IF(C833="","",IF(ISNUMBER(G833),1,0))</f>
        <v/>
      </c>
      <c r="I833" s="6">
        <f>IF(C833="","",IF(SUMPRODUCT(($C$12:$C$1511=C833)*1)&gt;1,1,0))</f>
        <v/>
      </c>
      <c r="J833" s="6">
        <f>IF(C833="","",SUMPRODUCT((Mapping!$F$5:$F$504=Setup!$B$4&amp;"||"&amp;C833)*ROW(Mapping!$F$5:$F$504)))</f>
        <v/>
      </c>
      <c r="K833" s="6">
        <f>IF(C833="","",IF(J833=0,"UNMAPPED",LOWER(INDEX(Mapping!$D$1:$D$504,J833))))</f>
        <v/>
      </c>
      <c r="L833" s="6">
        <f>IF(K833="mapped",TRIM(INDEX(Mapping!$C$1:$C$504,J833)),"")</f>
        <v/>
      </c>
      <c r="M833" s="6">
        <f>IF(C833="","",IF(SUMPRODUCT(($C$12:C833=C833)*1)=1,1,0))</f>
        <v/>
      </c>
      <c r="N833" s="6">
        <f>IF(AND(K833="UNMAPPED",M833=1),ROW(),"")</f>
        <v/>
      </c>
      <c r="O833" s="6">
        <f>IF(AND(I833=1,M833=1),ROW(),"")</f>
        <v/>
      </c>
      <c r="P833" s="6">
        <f>IF(AND(K833="ignored",M833=1),ROW(),"")</f>
        <v/>
      </c>
    </row>
    <row r="834">
      <c r="A834" s="8" t="n"/>
      <c r="B834" s="8" t="n"/>
      <c r="C834" s="6">
        <f>TRIM(A834&amp;"")</f>
        <v/>
      </c>
      <c r="D834" s="6">
        <f>IF(C834="","",SUBSTITUTE(SUBSTITUTE(SUBSTITUTE(SUBSTITUTE(SUBSTITUTE(SUBSTITUTE(SUBSTITUTE(UPPER(TRIM(B834&amp;"")),"₹",""),"RS.",""),"RS",""),"INR",""),"$",""),",","")," ",""))</f>
        <v/>
      </c>
      <c r="E834" s="6">
        <f>IF(C834="","",IF(RIGHT(D834,2)="CR","Cr",IF(RIGHT(D834,2)="DR","Dr","")))</f>
        <v/>
      </c>
      <c r="F834" s="6">
        <f>IF(C834="","",IF(E834&lt;&gt;"",LEFT(D834,LEN(D834)-2),D834))</f>
        <v/>
      </c>
      <c r="G834" s="13">
        <f>IF(C834="","",IF(OR(IF(AND(LEFT(F834,1)="(",RIGHT(F834,1)=")"),MID(F834,2,LEN(F834)-2),F834)="",IF(AND(LEFT(F834,1)="(",RIGHT(F834,1)=")"),MID(F834,2,LEN(F834)-2),F834)="-"),0,IFERROR(VALUE(IF(AND(LEFT(F834,1)="(",RIGHT(F834,1)=")"),MID(F834,2,LEN(F834)-2),F834))*IF(AND(LEFT(F834,1)="(",RIGHT(F834,1)=")"),-1,1)*IF(E834="Cr",Setup!$B$6,1),"ERR")))</f>
        <v/>
      </c>
      <c r="H834" s="6">
        <f>IF(C834="","",IF(ISNUMBER(G834),1,0))</f>
        <v/>
      </c>
      <c r="I834" s="6">
        <f>IF(C834="","",IF(SUMPRODUCT(($C$12:$C$1511=C834)*1)&gt;1,1,0))</f>
        <v/>
      </c>
      <c r="J834" s="6">
        <f>IF(C834="","",SUMPRODUCT((Mapping!$F$5:$F$504=Setup!$B$4&amp;"||"&amp;C834)*ROW(Mapping!$F$5:$F$504)))</f>
        <v/>
      </c>
      <c r="K834" s="6">
        <f>IF(C834="","",IF(J834=0,"UNMAPPED",LOWER(INDEX(Mapping!$D$1:$D$504,J834))))</f>
        <v/>
      </c>
      <c r="L834" s="6">
        <f>IF(K834="mapped",TRIM(INDEX(Mapping!$C$1:$C$504,J834)),"")</f>
        <v/>
      </c>
      <c r="M834" s="6">
        <f>IF(C834="","",IF(SUMPRODUCT(($C$12:C834=C834)*1)=1,1,0))</f>
        <v/>
      </c>
      <c r="N834" s="6">
        <f>IF(AND(K834="UNMAPPED",M834=1),ROW(),"")</f>
        <v/>
      </c>
      <c r="O834" s="6">
        <f>IF(AND(I834=1,M834=1),ROW(),"")</f>
        <v/>
      </c>
      <c r="P834" s="6">
        <f>IF(AND(K834="ignored",M834=1),ROW(),"")</f>
        <v/>
      </c>
    </row>
    <row r="835">
      <c r="A835" s="8" t="n"/>
      <c r="B835" s="8" t="n"/>
      <c r="C835" s="6">
        <f>TRIM(A835&amp;"")</f>
        <v/>
      </c>
      <c r="D835" s="6">
        <f>IF(C835="","",SUBSTITUTE(SUBSTITUTE(SUBSTITUTE(SUBSTITUTE(SUBSTITUTE(SUBSTITUTE(SUBSTITUTE(UPPER(TRIM(B835&amp;"")),"₹",""),"RS.",""),"RS",""),"INR",""),"$",""),",","")," ",""))</f>
        <v/>
      </c>
      <c r="E835" s="6">
        <f>IF(C835="","",IF(RIGHT(D835,2)="CR","Cr",IF(RIGHT(D835,2)="DR","Dr","")))</f>
        <v/>
      </c>
      <c r="F835" s="6">
        <f>IF(C835="","",IF(E835&lt;&gt;"",LEFT(D835,LEN(D835)-2),D835))</f>
        <v/>
      </c>
      <c r="G835" s="13">
        <f>IF(C835="","",IF(OR(IF(AND(LEFT(F835,1)="(",RIGHT(F835,1)=")"),MID(F835,2,LEN(F835)-2),F835)="",IF(AND(LEFT(F835,1)="(",RIGHT(F835,1)=")"),MID(F835,2,LEN(F835)-2),F835)="-"),0,IFERROR(VALUE(IF(AND(LEFT(F835,1)="(",RIGHT(F835,1)=")"),MID(F835,2,LEN(F835)-2),F835))*IF(AND(LEFT(F835,1)="(",RIGHT(F835,1)=")"),-1,1)*IF(E835="Cr",Setup!$B$6,1),"ERR")))</f>
        <v/>
      </c>
      <c r="H835" s="6">
        <f>IF(C835="","",IF(ISNUMBER(G835),1,0))</f>
        <v/>
      </c>
      <c r="I835" s="6">
        <f>IF(C835="","",IF(SUMPRODUCT(($C$12:$C$1511=C835)*1)&gt;1,1,0))</f>
        <v/>
      </c>
      <c r="J835" s="6">
        <f>IF(C835="","",SUMPRODUCT((Mapping!$F$5:$F$504=Setup!$B$4&amp;"||"&amp;C835)*ROW(Mapping!$F$5:$F$504)))</f>
        <v/>
      </c>
      <c r="K835" s="6">
        <f>IF(C835="","",IF(J835=0,"UNMAPPED",LOWER(INDEX(Mapping!$D$1:$D$504,J835))))</f>
        <v/>
      </c>
      <c r="L835" s="6">
        <f>IF(K835="mapped",TRIM(INDEX(Mapping!$C$1:$C$504,J835)),"")</f>
        <v/>
      </c>
      <c r="M835" s="6">
        <f>IF(C835="","",IF(SUMPRODUCT(($C$12:C835=C835)*1)=1,1,0))</f>
        <v/>
      </c>
      <c r="N835" s="6">
        <f>IF(AND(K835="UNMAPPED",M835=1),ROW(),"")</f>
        <v/>
      </c>
      <c r="O835" s="6">
        <f>IF(AND(I835=1,M835=1),ROW(),"")</f>
        <v/>
      </c>
      <c r="P835" s="6">
        <f>IF(AND(K835="ignored",M835=1),ROW(),"")</f>
        <v/>
      </c>
    </row>
    <row r="836">
      <c r="A836" s="8" t="n"/>
      <c r="B836" s="8" t="n"/>
      <c r="C836" s="6">
        <f>TRIM(A836&amp;"")</f>
        <v/>
      </c>
      <c r="D836" s="6">
        <f>IF(C836="","",SUBSTITUTE(SUBSTITUTE(SUBSTITUTE(SUBSTITUTE(SUBSTITUTE(SUBSTITUTE(SUBSTITUTE(UPPER(TRIM(B836&amp;"")),"₹",""),"RS.",""),"RS",""),"INR",""),"$",""),",","")," ",""))</f>
        <v/>
      </c>
      <c r="E836" s="6">
        <f>IF(C836="","",IF(RIGHT(D836,2)="CR","Cr",IF(RIGHT(D836,2)="DR","Dr","")))</f>
        <v/>
      </c>
      <c r="F836" s="6">
        <f>IF(C836="","",IF(E836&lt;&gt;"",LEFT(D836,LEN(D836)-2),D836))</f>
        <v/>
      </c>
      <c r="G836" s="13">
        <f>IF(C836="","",IF(OR(IF(AND(LEFT(F836,1)="(",RIGHT(F836,1)=")"),MID(F836,2,LEN(F836)-2),F836)="",IF(AND(LEFT(F836,1)="(",RIGHT(F836,1)=")"),MID(F836,2,LEN(F836)-2),F836)="-"),0,IFERROR(VALUE(IF(AND(LEFT(F836,1)="(",RIGHT(F836,1)=")"),MID(F836,2,LEN(F836)-2),F836))*IF(AND(LEFT(F836,1)="(",RIGHT(F836,1)=")"),-1,1)*IF(E836="Cr",Setup!$B$6,1),"ERR")))</f>
        <v/>
      </c>
      <c r="H836" s="6">
        <f>IF(C836="","",IF(ISNUMBER(G836),1,0))</f>
        <v/>
      </c>
      <c r="I836" s="6">
        <f>IF(C836="","",IF(SUMPRODUCT(($C$12:$C$1511=C836)*1)&gt;1,1,0))</f>
        <v/>
      </c>
      <c r="J836" s="6">
        <f>IF(C836="","",SUMPRODUCT((Mapping!$F$5:$F$504=Setup!$B$4&amp;"||"&amp;C836)*ROW(Mapping!$F$5:$F$504)))</f>
        <v/>
      </c>
      <c r="K836" s="6">
        <f>IF(C836="","",IF(J836=0,"UNMAPPED",LOWER(INDEX(Mapping!$D$1:$D$504,J836))))</f>
        <v/>
      </c>
      <c r="L836" s="6">
        <f>IF(K836="mapped",TRIM(INDEX(Mapping!$C$1:$C$504,J836)),"")</f>
        <v/>
      </c>
      <c r="M836" s="6">
        <f>IF(C836="","",IF(SUMPRODUCT(($C$12:C836=C836)*1)=1,1,0))</f>
        <v/>
      </c>
      <c r="N836" s="6">
        <f>IF(AND(K836="UNMAPPED",M836=1),ROW(),"")</f>
        <v/>
      </c>
      <c r="O836" s="6">
        <f>IF(AND(I836=1,M836=1),ROW(),"")</f>
        <v/>
      </c>
      <c r="P836" s="6">
        <f>IF(AND(K836="ignored",M836=1),ROW(),"")</f>
        <v/>
      </c>
    </row>
    <row r="837">
      <c r="A837" s="8" t="n"/>
      <c r="B837" s="8" t="n"/>
      <c r="C837" s="6">
        <f>TRIM(A837&amp;"")</f>
        <v/>
      </c>
      <c r="D837" s="6">
        <f>IF(C837="","",SUBSTITUTE(SUBSTITUTE(SUBSTITUTE(SUBSTITUTE(SUBSTITUTE(SUBSTITUTE(SUBSTITUTE(UPPER(TRIM(B837&amp;"")),"₹",""),"RS.",""),"RS",""),"INR",""),"$",""),",","")," ",""))</f>
        <v/>
      </c>
      <c r="E837" s="6">
        <f>IF(C837="","",IF(RIGHT(D837,2)="CR","Cr",IF(RIGHT(D837,2)="DR","Dr","")))</f>
        <v/>
      </c>
      <c r="F837" s="6">
        <f>IF(C837="","",IF(E837&lt;&gt;"",LEFT(D837,LEN(D837)-2),D837))</f>
        <v/>
      </c>
      <c r="G837" s="13">
        <f>IF(C837="","",IF(OR(IF(AND(LEFT(F837,1)="(",RIGHT(F837,1)=")"),MID(F837,2,LEN(F837)-2),F837)="",IF(AND(LEFT(F837,1)="(",RIGHT(F837,1)=")"),MID(F837,2,LEN(F837)-2),F837)="-"),0,IFERROR(VALUE(IF(AND(LEFT(F837,1)="(",RIGHT(F837,1)=")"),MID(F837,2,LEN(F837)-2),F837))*IF(AND(LEFT(F837,1)="(",RIGHT(F837,1)=")"),-1,1)*IF(E837="Cr",Setup!$B$6,1),"ERR")))</f>
        <v/>
      </c>
      <c r="H837" s="6">
        <f>IF(C837="","",IF(ISNUMBER(G837),1,0))</f>
        <v/>
      </c>
      <c r="I837" s="6">
        <f>IF(C837="","",IF(SUMPRODUCT(($C$12:$C$1511=C837)*1)&gt;1,1,0))</f>
        <v/>
      </c>
      <c r="J837" s="6">
        <f>IF(C837="","",SUMPRODUCT((Mapping!$F$5:$F$504=Setup!$B$4&amp;"||"&amp;C837)*ROW(Mapping!$F$5:$F$504)))</f>
        <v/>
      </c>
      <c r="K837" s="6">
        <f>IF(C837="","",IF(J837=0,"UNMAPPED",LOWER(INDEX(Mapping!$D$1:$D$504,J837))))</f>
        <v/>
      </c>
      <c r="L837" s="6">
        <f>IF(K837="mapped",TRIM(INDEX(Mapping!$C$1:$C$504,J837)),"")</f>
        <v/>
      </c>
      <c r="M837" s="6">
        <f>IF(C837="","",IF(SUMPRODUCT(($C$12:C837=C837)*1)=1,1,0))</f>
        <v/>
      </c>
      <c r="N837" s="6">
        <f>IF(AND(K837="UNMAPPED",M837=1),ROW(),"")</f>
        <v/>
      </c>
      <c r="O837" s="6">
        <f>IF(AND(I837=1,M837=1),ROW(),"")</f>
        <v/>
      </c>
      <c r="P837" s="6">
        <f>IF(AND(K837="ignored",M837=1),ROW(),"")</f>
        <v/>
      </c>
    </row>
    <row r="838">
      <c r="A838" s="8" t="n"/>
      <c r="B838" s="8" t="n"/>
      <c r="C838" s="6">
        <f>TRIM(A838&amp;"")</f>
        <v/>
      </c>
      <c r="D838" s="6">
        <f>IF(C838="","",SUBSTITUTE(SUBSTITUTE(SUBSTITUTE(SUBSTITUTE(SUBSTITUTE(SUBSTITUTE(SUBSTITUTE(UPPER(TRIM(B838&amp;"")),"₹",""),"RS.",""),"RS",""),"INR",""),"$",""),",","")," ",""))</f>
        <v/>
      </c>
      <c r="E838" s="6">
        <f>IF(C838="","",IF(RIGHT(D838,2)="CR","Cr",IF(RIGHT(D838,2)="DR","Dr","")))</f>
        <v/>
      </c>
      <c r="F838" s="6">
        <f>IF(C838="","",IF(E838&lt;&gt;"",LEFT(D838,LEN(D838)-2),D838))</f>
        <v/>
      </c>
      <c r="G838" s="13">
        <f>IF(C838="","",IF(OR(IF(AND(LEFT(F838,1)="(",RIGHT(F838,1)=")"),MID(F838,2,LEN(F838)-2),F838)="",IF(AND(LEFT(F838,1)="(",RIGHT(F838,1)=")"),MID(F838,2,LEN(F838)-2),F838)="-"),0,IFERROR(VALUE(IF(AND(LEFT(F838,1)="(",RIGHT(F838,1)=")"),MID(F838,2,LEN(F838)-2),F838))*IF(AND(LEFT(F838,1)="(",RIGHT(F838,1)=")"),-1,1)*IF(E838="Cr",Setup!$B$6,1),"ERR")))</f>
        <v/>
      </c>
      <c r="H838" s="6">
        <f>IF(C838="","",IF(ISNUMBER(G838),1,0))</f>
        <v/>
      </c>
      <c r="I838" s="6">
        <f>IF(C838="","",IF(SUMPRODUCT(($C$12:$C$1511=C838)*1)&gt;1,1,0))</f>
        <v/>
      </c>
      <c r="J838" s="6">
        <f>IF(C838="","",SUMPRODUCT((Mapping!$F$5:$F$504=Setup!$B$4&amp;"||"&amp;C838)*ROW(Mapping!$F$5:$F$504)))</f>
        <v/>
      </c>
      <c r="K838" s="6">
        <f>IF(C838="","",IF(J838=0,"UNMAPPED",LOWER(INDEX(Mapping!$D$1:$D$504,J838))))</f>
        <v/>
      </c>
      <c r="L838" s="6">
        <f>IF(K838="mapped",TRIM(INDEX(Mapping!$C$1:$C$504,J838)),"")</f>
        <v/>
      </c>
      <c r="M838" s="6">
        <f>IF(C838="","",IF(SUMPRODUCT(($C$12:C838=C838)*1)=1,1,0))</f>
        <v/>
      </c>
      <c r="N838" s="6">
        <f>IF(AND(K838="UNMAPPED",M838=1),ROW(),"")</f>
        <v/>
      </c>
      <c r="O838" s="6">
        <f>IF(AND(I838=1,M838=1),ROW(),"")</f>
        <v/>
      </c>
      <c r="P838" s="6">
        <f>IF(AND(K838="ignored",M838=1),ROW(),"")</f>
        <v/>
      </c>
    </row>
    <row r="839">
      <c r="A839" s="8" t="n"/>
      <c r="B839" s="8" t="n"/>
      <c r="C839" s="6">
        <f>TRIM(A839&amp;"")</f>
        <v/>
      </c>
      <c r="D839" s="6">
        <f>IF(C839="","",SUBSTITUTE(SUBSTITUTE(SUBSTITUTE(SUBSTITUTE(SUBSTITUTE(SUBSTITUTE(SUBSTITUTE(UPPER(TRIM(B839&amp;"")),"₹",""),"RS.",""),"RS",""),"INR",""),"$",""),",","")," ",""))</f>
        <v/>
      </c>
      <c r="E839" s="6">
        <f>IF(C839="","",IF(RIGHT(D839,2)="CR","Cr",IF(RIGHT(D839,2)="DR","Dr","")))</f>
        <v/>
      </c>
      <c r="F839" s="6">
        <f>IF(C839="","",IF(E839&lt;&gt;"",LEFT(D839,LEN(D839)-2),D839))</f>
        <v/>
      </c>
      <c r="G839" s="13">
        <f>IF(C839="","",IF(OR(IF(AND(LEFT(F839,1)="(",RIGHT(F839,1)=")"),MID(F839,2,LEN(F839)-2),F839)="",IF(AND(LEFT(F839,1)="(",RIGHT(F839,1)=")"),MID(F839,2,LEN(F839)-2),F839)="-"),0,IFERROR(VALUE(IF(AND(LEFT(F839,1)="(",RIGHT(F839,1)=")"),MID(F839,2,LEN(F839)-2),F839))*IF(AND(LEFT(F839,1)="(",RIGHT(F839,1)=")"),-1,1)*IF(E839="Cr",Setup!$B$6,1),"ERR")))</f>
        <v/>
      </c>
      <c r="H839" s="6">
        <f>IF(C839="","",IF(ISNUMBER(G839),1,0))</f>
        <v/>
      </c>
      <c r="I839" s="6">
        <f>IF(C839="","",IF(SUMPRODUCT(($C$12:$C$1511=C839)*1)&gt;1,1,0))</f>
        <v/>
      </c>
      <c r="J839" s="6">
        <f>IF(C839="","",SUMPRODUCT((Mapping!$F$5:$F$504=Setup!$B$4&amp;"||"&amp;C839)*ROW(Mapping!$F$5:$F$504)))</f>
        <v/>
      </c>
      <c r="K839" s="6">
        <f>IF(C839="","",IF(J839=0,"UNMAPPED",LOWER(INDEX(Mapping!$D$1:$D$504,J839))))</f>
        <v/>
      </c>
      <c r="L839" s="6">
        <f>IF(K839="mapped",TRIM(INDEX(Mapping!$C$1:$C$504,J839)),"")</f>
        <v/>
      </c>
      <c r="M839" s="6">
        <f>IF(C839="","",IF(SUMPRODUCT(($C$12:C839=C839)*1)=1,1,0))</f>
        <v/>
      </c>
      <c r="N839" s="6">
        <f>IF(AND(K839="UNMAPPED",M839=1),ROW(),"")</f>
        <v/>
      </c>
      <c r="O839" s="6">
        <f>IF(AND(I839=1,M839=1),ROW(),"")</f>
        <v/>
      </c>
      <c r="P839" s="6">
        <f>IF(AND(K839="ignored",M839=1),ROW(),"")</f>
        <v/>
      </c>
    </row>
    <row r="840">
      <c r="A840" s="8" t="n"/>
      <c r="B840" s="8" t="n"/>
      <c r="C840" s="6">
        <f>TRIM(A840&amp;"")</f>
        <v/>
      </c>
      <c r="D840" s="6">
        <f>IF(C840="","",SUBSTITUTE(SUBSTITUTE(SUBSTITUTE(SUBSTITUTE(SUBSTITUTE(SUBSTITUTE(SUBSTITUTE(UPPER(TRIM(B840&amp;"")),"₹",""),"RS.",""),"RS",""),"INR",""),"$",""),",","")," ",""))</f>
        <v/>
      </c>
      <c r="E840" s="6">
        <f>IF(C840="","",IF(RIGHT(D840,2)="CR","Cr",IF(RIGHT(D840,2)="DR","Dr","")))</f>
        <v/>
      </c>
      <c r="F840" s="6">
        <f>IF(C840="","",IF(E840&lt;&gt;"",LEFT(D840,LEN(D840)-2),D840))</f>
        <v/>
      </c>
      <c r="G840" s="13">
        <f>IF(C840="","",IF(OR(IF(AND(LEFT(F840,1)="(",RIGHT(F840,1)=")"),MID(F840,2,LEN(F840)-2),F840)="",IF(AND(LEFT(F840,1)="(",RIGHT(F840,1)=")"),MID(F840,2,LEN(F840)-2),F840)="-"),0,IFERROR(VALUE(IF(AND(LEFT(F840,1)="(",RIGHT(F840,1)=")"),MID(F840,2,LEN(F840)-2),F840))*IF(AND(LEFT(F840,1)="(",RIGHT(F840,1)=")"),-1,1)*IF(E840="Cr",Setup!$B$6,1),"ERR")))</f>
        <v/>
      </c>
      <c r="H840" s="6">
        <f>IF(C840="","",IF(ISNUMBER(G840),1,0))</f>
        <v/>
      </c>
      <c r="I840" s="6">
        <f>IF(C840="","",IF(SUMPRODUCT(($C$12:$C$1511=C840)*1)&gt;1,1,0))</f>
        <v/>
      </c>
      <c r="J840" s="6">
        <f>IF(C840="","",SUMPRODUCT((Mapping!$F$5:$F$504=Setup!$B$4&amp;"||"&amp;C840)*ROW(Mapping!$F$5:$F$504)))</f>
        <v/>
      </c>
      <c r="K840" s="6">
        <f>IF(C840="","",IF(J840=0,"UNMAPPED",LOWER(INDEX(Mapping!$D$1:$D$504,J840))))</f>
        <v/>
      </c>
      <c r="L840" s="6">
        <f>IF(K840="mapped",TRIM(INDEX(Mapping!$C$1:$C$504,J840)),"")</f>
        <v/>
      </c>
      <c r="M840" s="6">
        <f>IF(C840="","",IF(SUMPRODUCT(($C$12:C840=C840)*1)=1,1,0))</f>
        <v/>
      </c>
      <c r="N840" s="6">
        <f>IF(AND(K840="UNMAPPED",M840=1),ROW(),"")</f>
        <v/>
      </c>
      <c r="O840" s="6">
        <f>IF(AND(I840=1,M840=1),ROW(),"")</f>
        <v/>
      </c>
      <c r="P840" s="6">
        <f>IF(AND(K840="ignored",M840=1),ROW(),"")</f>
        <v/>
      </c>
    </row>
    <row r="841">
      <c r="A841" s="8" t="n"/>
      <c r="B841" s="8" t="n"/>
      <c r="C841" s="6">
        <f>TRIM(A841&amp;"")</f>
        <v/>
      </c>
      <c r="D841" s="6">
        <f>IF(C841="","",SUBSTITUTE(SUBSTITUTE(SUBSTITUTE(SUBSTITUTE(SUBSTITUTE(SUBSTITUTE(SUBSTITUTE(UPPER(TRIM(B841&amp;"")),"₹",""),"RS.",""),"RS",""),"INR",""),"$",""),",","")," ",""))</f>
        <v/>
      </c>
      <c r="E841" s="6">
        <f>IF(C841="","",IF(RIGHT(D841,2)="CR","Cr",IF(RIGHT(D841,2)="DR","Dr","")))</f>
        <v/>
      </c>
      <c r="F841" s="6">
        <f>IF(C841="","",IF(E841&lt;&gt;"",LEFT(D841,LEN(D841)-2),D841))</f>
        <v/>
      </c>
      <c r="G841" s="13">
        <f>IF(C841="","",IF(OR(IF(AND(LEFT(F841,1)="(",RIGHT(F841,1)=")"),MID(F841,2,LEN(F841)-2),F841)="",IF(AND(LEFT(F841,1)="(",RIGHT(F841,1)=")"),MID(F841,2,LEN(F841)-2),F841)="-"),0,IFERROR(VALUE(IF(AND(LEFT(F841,1)="(",RIGHT(F841,1)=")"),MID(F841,2,LEN(F841)-2),F841))*IF(AND(LEFT(F841,1)="(",RIGHT(F841,1)=")"),-1,1)*IF(E841="Cr",Setup!$B$6,1),"ERR")))</f>
        <v/>
      </c>
      <c r="H841" s="6">
        <f>IF(C841="","",IF(ISNUMBER(G841),1,0))</f>
        <v/>
      </c>
      <c r="I841" s="6">
        <f>IF(C841="","",IF(SUMPRODUCT(($C$12:$C$1511=C841)*1)&gt;1,1,0))</f>
        <v/>
      </c>
      <c r="J841" s="6">
        <f>IF(C841="","",SUMPRODUCT((Mapping!$F$5:$F$504=Setup!$B$4&amp;"||"&amp;C841)*ROW(Mapping!$F$5:$F$504)))</f>
        <v/>
      </c>
      <c r="K841" s="6">
        <f>IF(C841="","",IF(J841=0,"UNMAPPED",LOWER(INDEX(Mapping!$D$1:$D$504,J841))))</f>
        <v/>
      </c>
      <c r="L841" s="6">
        <f>IF(K841="mapped",TRIM(INDEX(Mapping!$C$1:$C$504,J841)),"")</f>
        <v/>
      </c>
      <c r="M841" s="6">
        <f>IF(C841="","",IF(SUMPRODUCT(($C$12:C841=C841)*1)=1,1,0))</f>
        <v/>
      </c>
      <c r="N841" s="6">
        <f>IF(AND(K841="UNMAPPED",M841=1),ROW(),"")</f>
        <v/>
      </c>
      <c r="O841" s="6">
        <f>IF(AND(I841=1,M841=1),ROW(),"")</f>
        <v/>
      </c>
      <c r="P841" s="6">
        <f>IF(AND(K841="ignored",M841=1),ROW(),"")</f>
        <v/>
      </c>
    </row>
    <row r="842">
      <c r="A842" s="8" t="n"/>
      <c r="B842" s="8" t="n"/>
      <c r="C842" s="6">
        <f>TRIM(A842&amp;"")</f>
        <v/>
      </c>
      <c r="D842" s="6">
        <f>IF(C842="","",SUBSTITUTE(SUBSTITUTE(SUBSTITUTE(SUBSTITUTE(SUBSTITUTE(SUBSTITUTE(SUBSTITUTE(UPPER(TRIM(B842&amp;"")),"₹",""),"RS.",""),"RS",""),"INR",""),"$",""),",","")," ",""))</f>
        <v/>
      </c>
      <c r="E842" s="6">
        <f>IF(C842="","",IF(RIGHT(D842,2)="CR","Cr",IF(RIGHT(D842,2)="DR","Dr","")))</f>
        <v/>
      </c>
      <c r="F842" s="6">
        <f>IF(C842="","",IF(E842&lt;&gt;"",LEFT(D842,LEN(D842)-2),D842))</f>
        <v/>
      </c>
      <c r="G842" s="13">
        <f>IF(C842="","",IF(OR(IF(AND(LEFT(F842,1)="(",RIGHT(F842,1)=")"),MID(F842,2,LEN(F842)-2),F842)="",IF(AND(LEFT(F842,1)="(",RIGHT(F842,1)=")"),MID(F842,2,LEN(F842)-2),F842)="-"),0,IFERROR(VALUE(IF(AND(LEFT(F842,1)="(",RIGHT(F842,1)=")"),MID(F842,2,LEN(F842)-2),F842))*IF(AND(LEFT(F842,1)="(",RIGHT(F842,1)=")"),-1,1)*IF(E842="Cr",Setup!$B$6,1),"ERR")))</f>
        <v/>
      </c>
      <c r="H842" s="6">
        <f>IF(C842="","",IF(ISNUMBER(G842),1,0))</f>
        <v/>
      </c>
      <c r="I842" s="6">
        <f>IF(C842="","",IF(SUMPRODUCT(($C$12:$C$1511=C842)*1)&gt;1,1,0))</f>
        <v/>
      </c>
      <c r="J842" s="6">
        <f>IF(C842="","",SUMPRODUCT((Mapping!$F$5:$F$504=Setup!$B$4&amp;"||"&amp;C842)*ROW(Mapping!$F$5:$F$504)))</f>
        <v/>
      </c>
      <c r="K842" s="6">
        <f>IF(C842="","",IF(J842=0,"UNMAPPED",LOWER(INDEX(Mapping!$D$1:$D$504,J842))))</f>
        <v/>
      </c>
      <c r="L842" s="6">
        <f>IF(K842="mapped",TRIM(INDEX(Mapping!$C$1:$C$504,J842)),"")</f>
        <v/>
      </c>
      <c r="M842" s="6">
        <f>IF(C842="","",IF(SUMPRODUCT(($C$12:C842=C842)*1)=1,1,0))</f>
        <v/>
      </c>
      <c r="N842" s="6">
        <f>IF(AND(K842="UNMAPPED",M842=1),ROW(),"")</f>
        <v/>
      </c>
      <c r="O842" s="6">
        <f>IF(AND(I842=1,M842=1),ROW(),"")</f>
        <v/>
      </c>
      <c r="P842" s="6">
        <f>IF(AND(K842="ignored",M842=1),ROW(),"")</f>
        <v/>
      </c>
    </row>
    <row r="843">
      <c r="A843" s="8" t="n"/>
      <c r="B843" s="8" t="n"/>
      <c r="C843" s="6">
        <f>TRIM(A843&amp;"")</f>
        <v/>
      </c>
      <c r="D843" s="6">
        <f>IF(C843="","",SUBSTITUTE(SUBSTITUTE(SUBSTITUTE(SUBSTITUTE(SUBSTITUTE(SUBSTITUTE(SUBSTITUTE(UPPER(TRIM(B843&amp;"")),"₹",""),"RS.",""),"RS",""),"INR",""),"$",""),",","")," ",""))</f>
        <v/>
      </c>
      <c r="E843" s="6">
        <f>IF(C843="","",IF(RIGHT(D843,2)="CR","Cr",IF(RIGHT(D843,2)="DR","Dr","")))</f>
        <v/>
      </c>
      <c r="F843" s="6">
        <f>IF(C843="","",IF(E843&lt;&gt;"",LEFT(D843,LEN(D843)-2),D843))</f>
        <v/>
      </c>
      <c r="G843" s="13">
        <f>IF(C843="","",IF(OR(IF(AND(LEFT(F843,1)="(",RIGHT(F843,1)=")"),MID(F843,2,LEN(F843)-2),F843)="",IF(AND(LEFT(F843,1)="(",RIGHT(F843,1)=")"),MID(F843,2,LEN(F843)-2),F843)="-"),0,IFERROR(VALUE(IF(AND(LEFT(F843,1)="(",RIGHT(F843,1)=")"),MID(F843,2,LEN(F843)-2),F843))*IF(AND(LEFT(F843,1)="(",RIGHT(F843,1)=")"),-1,1)*IF(E843="Cr",Setup!$B$6,1),"ERR")))</f>
        <v/>
      </c>
      <c r="H843" s="6">
        <f>IF(C843="","",IF(ISNUMBER(G843),1,0))</f>
        <v/>
      </c>
      <c r="I843" s="6">
        <f>IF(C843="","",IF(SUMPRODUCT(($C$12:$C$1511=C843)*1)&gt;1,1,0))</f>
        <v/>
      </c>
      <c r="J843" s="6">
        <f>IF(C843="","",SUMPRODUCT((Mapping!$F$5:$F$504=Setup!$B$4&amp;"||"&amp;C843)*ROW(Mapping!$F$5:$F$504)))</f>
        <v/>
      </c>
      <c r="K843" s="6">
        <f>IF(C843="","",IF(J843=0,"UNMAPPED",LOWER(INDEX(Mapping!$D$1:$D$504,J843))))</f>
        <v/>
      </c>
      <c r="L843" s="6">
        <f>IF(K843="mapped",TRIM(INDEX(Mapping!$C$1:$C$504,J843)),"")</f>
        <v/>
      </c>
      <c r="M843" s="6">
        <f>IF(C843="","",IF(SUMPRODUCT(($C$12:C843=C843)*1)=1,1,0))</f>
        <v/>
      </c>
      <c r="N843" s="6">
        <f>IF(AND(K843="UNMAPPED",M843=1),ROW(),"")</f>
        <v/>
      </c>
      <c r="O843" s="6">
        <f>IF(AND(I843=1,M843=1),ROW(),"")</f>
        <v/>
      </c>
      <c r="P843" s="6">
        <f>IF(AND(K843="ignored",M843=1),ROW(),"")</f>
        <v/>
      </c>
    </row>
    <row r="844">
      <c r="A844" s="8" t="n"/>
      <c r="B844" s="8" t="n"/>
      <c r="C844" s="6">
        <f>TRIM(A844&amp;"")</f>
        <v/>
      </c>
      <c r="D844" s="6">
        <f>IF(C844="","",SUBSTITUTE(SUBSTITUTE(SUBSTITUTE(SUBSTITUTE(SUBSTITUTE(SUBSTITUTE(SUBSTITUTE(UPPER(TRIM(B844&amp;"")),"₹",""),"RS.",""),"RS",""),"INR",""),"$",""),",","")," ",""))</f>
        <v/>
      </c>
      <c r="E844" s="6">
        <f>IF(C844="","",IF(RIGHT(D844,2)="CR","Cr",IF(RIGHT(D844,2)="DR","Dr","")))</f>
        <v/>
      </c>
      <c r="F844" s="6">
        <f>IF(C844="","",IF(E844&lt;&gt;"",LEFT(D844,LEN(D844)-2),D844))</f>
        <v/>
      </c>
      <c r="G844" s="13">
        <f>IF(C844="","",IF(OR(IF(AND(LEFT(F844,1)="(",RIGHT(F844,1)=")"),MID(F844,2,LEN(F844)-2),F844)="",IF(AND(LEFT(F844,1)="(",RIGHT(F844,1)=")"),MID(F844,2,LEN(F844)-2),F844)="-"),0,IFERROR(VALUE(IF(AND(LEFT(F844,1)="(",RIGHT(F844,1)=")"),MID(F844,2,LEN(F844)-2),F844))*IF(AND(LEFT(F844,1)="(",RIGHT(F844,1)=")"),-1,1)*IF(E844="Cr",Setup!$B$6,1),"ERR")))</f>
        <v/>
      </c>
      <c r="H844" s="6">
        <f>IF(C844="","",IF(ISNUMBER(G844),1,0))</f>
        <v/>
      </c>
      <c r="I844" s="6">
        <f>IF(C844="","",IF(SUMPRODUCT(($C$12:$C$1511=C844)*1)&gt;1,1,0))</f>
        <v/>
      </c>
      <c r="J844" s="6">
        <f>IF(C844="","",SUMPRODUCT((Mapping!$F$5:$F$504=Setup!$B$4&amp;"||"&amp;C844)*ROW(Mapping!$F$5:$F$504)))</f>
        <v/>
      </c>
      <c r="K844" s="6">
        <f>IF(C844="","",IF(J844=0,"UNMAPPED",LOWER(INDEX(Mapping!$D$1:$D$504,J844))))</f>
        <v/>
      </c>
      <c r="L844" s="6">
        <f>IF(K844="mapped",TRIM(INDEX(Mapping!$C$1:$C$504,J844)),"")</f>
        <v/>
      </c>
      <c r="M844" s="6">
        <f>IF(C844="","",IF(SUMPRODUCT(($C$12:C844=C844)*1)=1,1,0))</f>
        <v/>
      </c>
      <c r="N844" s="6">
        <f>IF(AND(K844="UNMAPPED",M844=1),ROW(),"")</f>
        <v/>
      </c>
      <c r="O844" s="6">
        <f>IF(AND(I844=1,M844=1),ROW(),"")</f>
        <v/>
      </c>
      <c r="P844" s="6">
        <f>IF(AND(K844="ignored",M844=1),ROW(),"")</f>
        <v/>
      </c>
    </row>
    <row r="845">
      <c r="A845" s="8" t="n"/>
      <c r="B845" s="8" t="n"/>
      <c r="C845" s="6">
        <f>TRIM(A845&amp;"")</f>
        <v/>
      </c>
      <c r="D845" s="6">
        <f>IF(C845="","",SUBSTITUTE(SUBSTITUTE(SUBSTITUTE(SUBSTITUTE(SUBSTITUTE(SUBSTITUTE(SUBSTITUTE(UPPER(TRIM(B845&amp;"")),"₹",""),"RS.",""),"RS",""),"INR",""),"$",""),",","")," ",""))</f>
        <v/>
      </c>
      <c r="E845" s="6">
        <f>IF(C845="","",IF(RIGHT(D845,2)="CR","Cr",IF(RIGHT(D845,2)="DR","Dr","")))</f>
        <v/>
      </c>
      <c r="F845" s="6">
        <f>IF(C845="","",IF(E845&lt;&gt;"",LEFT(D845,LEN(D845)-2),D845))</f>
        <v/>
      </c>
      <c r="G845" s="13">
        <f>IF(C845="","",IF(OR(IF(AND(LEFT(F845,1)="(",RIGHT(F845,1)=")"),MID(F845,2,LEN(F845)-2),F845)="",IF(AND(LEFT(F845,1)="(",RIGHT(F845,1)=")"),MID(F845,2,LEN(F845)-2),F845)="-"),0,IFERROR(VALUE(IF(AND(LEFT(F845,1)="(",RIGHT(F845,1)=")"),MID(F845,2,LEN(F845)-2),F845))*IF(AND(LEFT(F845,1)="(",RIGHT(F845,1)=")"),-1,1)*IF(E845="Cr",Setup!$B$6,1),"ERR")))</f>
        <v/>
      </c>
      <c r="H845" s="6">
        <f>IF(C845="","",IF(ISNUMBER(G845),1,0))</f>
        <v/>
      </c>
      <c r="I845" s="6">
        <f>IF(C845="","",IF(SUMPRODUCT(($C$12:$C$1511=C845)*1)&gt;1,1,0))</f>
        <v/>
      </c>
      <c r="J845" s="6">
        <f>IF(C845="","",SUMPRODUCT((Mapping!$F$5:$F$504=Setup!$B$4&amp;"||"&amp;C845)*ROW(Mapping!$F$5:$F$504)))</f>
        <v/>
      </c>
      <c r="K845" s="6">
        <f>IF(C845="","",IF(J845=0,"UNMAPPED",LOWER(INDEX(Mapping!$D$1:$D$504,J845))))</f>
        <v/>
      </c>
      <c r="L845" s="6">
        <f>IF(K845="mapped",TRIM(INDEX(Mapping!$C$1:$C$504,J845)),"")</f>
        <v/>
      </c>
      <c r="M845" s="6">
        <f>IF(C845="","",IF(SUMPRODUCT(($C$12:C845=C845)*1)=1,1,0))</f>
        <v/>
      </c>
      <c r="N845" s="6">
        <f>IF(AND(K845="UNMAPPED",M845=1),ROW(),"")</f>
        <v/>
      </c>
      <c r="O845" s="6">
        <f>IF(AND(I845=1,M845=1),ROW(),"")</f>
        <v/>
      </c>
      <c r="P845" s="6">
        <f>IF(AND(K845="ignored",M845=1),ROW(),"")</f>
        <v/>
      </c>
    </row>
    <row r="846">
      <c r="A846" s="8" t="n"/>
      <c r="B846" s="8" t="n"/>
      <c r="C846" s="6">
        <f>TRIM(A846&amp;"")</f>
        <v/>
      </c>
      <c r="D846" s="6">
        <f>IF(C846="","",SUBSTITUTE(SUBSTITUTE(SUBSTITUTE(SUBSTITUTE(SUBSTITUTE(SUBSTITUTE(SUBSTITUTE(UPPER(TRIM(B846&amp;"")),"₹",""),"RS.",""),"RS",""),"INR",""),"$",""),",","")," ",""))</f>
        <v/>
      </c>
      <c r="E846" s="6">
        <f>IF(C846="","",IF(RIGHT(D846,2)="CR","Cr",IF(RIGHT(D846,2)="DR","Dr","")))</f>
        <v/>
      </c>
      <c r="F846" s="6">
        <f>IF(C846="","",IF(E846&lt;&gt;"",LEFT(D846,LEN(D846)-2),D846))</f>
        <v/>
      </c>
      <c r="G846" s="13">
        <f>IF(C846="","",IF(OR(IF(AND(LEFT(F846,1)="(",RIGHT(F846,1)=")"),MID(F846,2,LEN(F846)-2),F846)="",IF(AND(LEFT(F846,1)="(",RIGHT(F846,1)=")"),MID(F846,2,LEN(F846)-2),F846)="-"),0,IFERROR(VALUE(IF(AND(LEFT(F846,1)="(",RIGHT(F846,1)=")"),MID(F846,2,LEN(F846)-2),F846))*IF(AND(LEFT(F846,1)="(",RIGHT(F846,1)=")"),-1,1)*IF(E846="Cr",Setup!$B$6,1),"ERR")))</f>
        <v/>
      </c>
      <c r="H846" s="6">
        <f>IF(C846="","",IF(ISNUMBER(G846),1,0))</f>
        <v/>
      </c>
      <c r="I846" s="6">
        <f>IF(C846="","",IF(SUMPRODUCT(($C$12:$C$1511=C846)*1)&gt;1,1,0))</f>
        <v/>
      </c>
      <c r="J846" s="6">
        <f>IF(C846="","",SUMPRODUCT((Mapping!$F$5:$F$504=Setup!$B$4&amp;"||"&amp;C846)*ROW(Mapping!$F$5:$F$504)))</f>
        <v/>
      </c>
      <c r="K846" s="6">
        <f>IF(C846="","",IF(J846=0,"UNMAPPED",LOWER(INDEX(Mapping!$D$1:$D$504,J846))))</f>
        <v/>
      </c>
      <c r="L846" s="6">
        <f>IF(K846="mapped",TRIM(INDEX(Mapping!$C$1:$C$504,J846)),"")</f>
        <v/>
      </c>
      <c r="M846" s="6">
        <f>IF(C846="","",IF(SUMPRODUCT(($C$12:C846=C846)*1)=1,1,0))</f>
        <v/>
      </c>
      <c r="N846" s="6">
        <f>IF(AND(K846="UNMAPPED",M846=1),ROW(),"")</f>
        <v/>
      </c>
      <c r="O846" s="6">
        <f>IF(AND(I846=1,M846=1),ROW(),"")</f>
        <v/>
      </c>
      <c r="P846" s="6">
        <f>IF(AND(K846="ignored",M846=1),ROW(),"")</f>
        <v/>
      </c>
    </row>
    <row r="847">
      <c r="A847" s="8" t="n"/>
      <c r="B847" s="8" t="n"/>
      <c r="C847" s="6">
        <f>TRIM(A847&amp;"")</f>
        <v/>
      </c>
      <c r="D847" s="6">
        <f>IF(C847="","",SUBSTITUTE(SUBSTITUTE(SUBSTITUTE(SUBSTITUTE(SUBSTITUTE(SUBSTITUTE(SUBSTITUTE(UPPER(TRIM(B847&amp;"")),"₹",""),"RS.",""),"RS",""),"INR",""),"$",""),",","")," ",""))</f>
        <v/>
      </c>
      <c r="E847" s="6">
        <f>IF(C847="","",IF(RIGHT(D847,2)="CR","Cr",IF(RIGHT(D847,2)="DR","Dr","")))</f>
        <v/>
      </c>
      <c r="F847" s="6">
        <f>IF(C847="","",IF(E847&lt;&gt;"",LEFT(D847,LEN(D847)-2),D847))</f>
        <v/>
      </c>
      <c r="G847" s="13">
        <f>IF(C847="","",IF(OR(IF(AND(LEFT(F847,1)="(",RIGHT(F847,1)=")"),MID(F847,2,LEN(F847)-2),F847)="",IF(AND(LEFT(F847,1)="(",RIGHT(F847,1)=")"),MID(F847,2,LEN(F847)-2),F847)="-"),0,IFERROR(VALUE(IF(AND(LEFT(F847,1)="(",RIGHT(F847,1)=")"),MID(F847,2,LEN(F847)-2),F847))*IF(AND(LEFT(F847,1)="(",RIGHT(F847,1)=")"),-1,1)*IF(E847="Cr",Setup!$B$6,1),"ERR")))</f>
        <v/>
      </c>
      <c r="H847" s="6">
        <f>IF(C847="","",IF(ISNUMBER(G847),1,0))</f>
        <v/>
      </c>
      <c r="I847" s="6">
        <f>IF(C847="","",IF(SUMPRODUCT(($C$12:$C$1511=C847)*1)&gt;1,1,0))</f>
        <v/>
      </c>
      <c r="J847" s="6">
        <f>IF(C847="","",SUMPRODUCT((Mapping!$F$5:$F$504=Setup!$B$4&amp;"||"&amp;C847)*ROW(Mapping!$F$5:$F$504)))</f>
        <v/>
      </c>
      <c r="K847" s="6">
        <f>IF(C847="","",IF(J847=0,"UNMAPPED",LOWER(INDEX(Mapping!$D$1:$D$504,J847))))</f>
        <v/>
      </c>
      <c r="L847" s="6">
        <f>IF(K847="mapped",TRIM(INDEX(Mapping!$C$1:$C$504,J847)),"")</f>
        <v/>
      </c>
      <c r="M847" s="6">
        <f>IF(C847="","",IF(SUMPRODUCT(($C$12:C847=C847)*1)=1,1,0))</f>
        <v/>
      </c>
      <c r="N847" s="6">
        <f>IF(AND(K847="UNMAPPED",M847=1),ROW(),"")</f>
        <v/>
      </c>
      <c r="O847" s="6">
        <f>IF(AND(I847=1,M847=1),ROW(),"")</f>
        <v/>
      </c>
      <c r="P847" s="6">
        <f>IF(AND(K847="ignored",M847=1),ROW(),"")</f>
        <v/>
      </c>
    </row>
    <row r="848">
      <c r="A848" s="8" t="n"/>
      <c r="B848" s="8" t="n"/>
      <c r="C848" s="6">
        <f>TRIM(A848&amp;"")</f>
        <v/>
      </c>
      <c r="D848" s="6">
        <f>IF(C848="","",SUBSTITUTE(SUBSTITUTE(SUBSTITUTE(SUBSTITUTE(SUBSTITUTE(SUBSTITUTE(SUBSTITUTE(UPPER(TRIM(B848&amp;"")),"₹",""),"RS.",""),"RS",""),"INR",""),"$",""),",","")," ",""))</f>
        <v/>
      </c>
      <c r="E848" s="6">
        <f>IF(C848="","",IF(RIGHT(D848,2)="CR","Cr",IF(RIGHT(D848,2)="DR","Dr","")))</f>
        <v/>
      </c>
      <c r="F848" s="6">
        <f>IF(C848="","",IF(E848&lt;&gt;"",LEFT(D848,LEN(D848)-2),D848))</f>
        <v/>
      </c>
      <c r="G848" s="13">
        <f>IF(C848="","",IF(OR(IF(AND(LEFT(F848,1)="(",RIGHT(F848,1)=")"),MID(F848,2,LEN(F848)-2),F848)="",IF(AND(LEFT(F848,1)="(",RIGHT(F848,1)=")"),MID(F848,2,LEN(F848)-2),F848)="-"),0,IFERROR(VALUE(IF(AND(LEFT(F848,1)="(",RIGHT(F848,1)=")"),MID(F848,2,LEN(F848)-2),F848))*IF(AND(LEFT(F848,1)="(",RIGHT(F848,1)=")"),-1,1)*IF(E848="Cr",Setup!$B$6,1),"ERR")))</f>
        <v/>
      </c>
      <c r="H848" s="6">
        <f>IF(C848="","",IF(ISNUMBER(G848),1,0))</f>
        <v/>
      </c>
      <c r="I848" s="6">
        <f>IF(C848="","",IF(SUMPRODUCT(($C$12:$C$1511=C848)*1)&gt;1,1,0))</f>
        <v/>
      </c>
      <c r="J848" s="6">
        <f>IF(C848="","",SUMPRODUCT((Mapping!$F$5:$F$504=Setup!$B$4&amp;"||"&amp;C848)*ROW(Mapping!$F$5:$F$504)))</f>
        <v/>
      </c>
      <c r="K848" s="6">
        <f>IF(C848="","",IF(J848=0,"UNMAPPED",LOWER(INDEX(Mapping!$D$1:$D$504,J848))))</f>
        <v/>
      </c>
      <c r="L848" s="6">
        <f>IF(K848="mapped",TRIM(INDEX(Mapping!$C$1:$C$504,J848)),"")</f>
        <v/>
      </c>
      <c r="M848" s="6">
        <f>IF(C848="","",IF(SUMPRODUCT(($C$12:C848=C848)*1)=1,1,0))</f>
        <v/>
      </c>
      <c r="N848" s="6">
        <f>IF(AND(K848="UNMAPPED",M848=1),ROW(),"")</f>
        <v/>
      </c>
      <c r="O848" s="6">
        <f>IF(AND(I848=1,M848=1),ROW(),"")</f>
        <v/>
      </c>
      <c r="P848" s="6">
        <f>IF(AND(K848="ignored",M848=1),ROW(),"")</f>
        <v/>
      </c>
    </row>
    <row r="849">
      <c r="A849" s="8" t="n"/>
      <c r="B849" s="8" t="n"/>
      <c r="C849" s="6">
        <f>TRIM(A849&amp;"")</f>
        <v/>
      </c>
      <c r="D849" s="6">
        <f>IF(C849="","",SUBSTITUTE(SUBSTITUTE(SUBSTITUTE(SUBSTITUTE(SUBSTITUTE(SUBSTITUTE(SUBSTITUTE(UPPER(TRIM(B849&amp;"")),"₹",""),"RS.",""),"RS",""),"INR",""),"$",""),",","")," ",""))</f>
        <v/>
      </c>
      <c r="E849" s="6">
        <f>IF(C849="","",IF(RIGHT(D849,2)="CR","Cr",IF(RIGHT(D849,2)="DR","Dr","")))</f>
        <v/>
      </c>
      <c r="F849" s="6">
        <f>IF(C849="","",IF(E849&lt;&gt;"",LEFT(D849,LEN(D849)-2),D849))</f>
        <v/>
      </c>
      <c r="G849" s="13">
        <f>IF(C849="","",IF(OR(IF(AND(LEFT(F849,1)="(",RIGHT(F849,1)=")"),MID(F849,2,LEN(F849)-2),F849)="",IF(AND(LEFT(F849,1)="(",RIGHT(F849,1)=")"),MID(F849,2,LEN(F849)-2),F849)="-"),0,IFERROR(VALUE(IF(AND(LEFT(F849,1)="(",RIGHT(F849,1)=")"),MID(F849,2,LEN(F849)-2),F849))*IF(AND(LEFT(F849,1)="(",RIGHT(F849,1)=")"),-1,1)*IF(E849="Cr",Setup!$B$6,1),"ERR")))</f>
        <v/>
      </c>
      <c r="H849" s="6">
        <f>IF(C849="","",IF(ISNUMBER(G849),1,0))</f>
        <v/>
      </c>
      <c r="I849" s="6">
        <f>IF(C849="","",IF(SUMPRODUCT(($C$12:$C$1511=C849)*1)&gt;1,1,0))</f>
        <v/>
      </c>
      <c r="J849" s="6">
        <f>IF(C849="","",SUMPRODUCT((Mapping!$F$5:$F$504=Setup!$B$4&amp;"||"&amp;C849)*ROW(Mapping!$F$5:$F$504)))</f>
        <v/>
      </c>
      <c r="K849" s="6">
        <f>IF(C849="","",IF(J849=0,"UNMAPPED",LOWER(INDEX(Mapping!$D$1:$D$504,J849))))</f>
        <v/>
      </c>
      <c r="L849" s="6">
        <f>IF(K849="mapped",TRIM(INDEX(Mapping!$C$1:$C$504,J849)),"")</f>
        <v/>
      </c>
      <c r="M849" s="6">
        <f>IF(C849="","",IF(SUMPRODUCT(($C$12:C849=C849)*1)=1,1,0))</f>
        <v/>
      </c>
      <c r="N849" s="6">
        <f>IF(AND(K849="UNMAPPED",M849=1),ROW(),"")</f>
        <v/>
      </c>
      <c r="O849" s="6">
        <f>IF(AND(I849=1,M849=1),ROW(),"")</f>
        <v/>
      </c>
      <c r="P849" s="6">
        <f>IF(AND(K849="ignored",M849=1),ROW(),"")</f>
        <v/>
      </c>
    </row>
    <row r="850">
      <c r="A850" s="8" t="n"/>
      <c r="B850" s="8" t="n"/>
      <c r="C850" s="6">
        <f>TRIM(A850&amp;"")</f>
        <v/>
      </c>
      <c r="D850" s="6">
        <f>IF(C850="","",SUBSTITUTE(SUBSTITUTE(SUBSTITUTE(SUBSTITUTE(SUBSTITUTE(SUBSTITUTE(SUBSTITUTE(UPPER(TRIM(B850&amp;"")),"₹",""),"RS.",""),"RS",""),"INR",""),"$",""),",","")," ",""))</f>
        <v/>
      </c>
      <c r="E850" s="6">
        <f>IF(C850="","",IF(RIGHT(D850,2)="CR","Cr",IF(RIGHT(D850,2)="DR","Dr","")))</f>
        <v/>
      </c>
      <c r="F850" s="6">
        <f>IF(C850="","",IF(E850&lt;&gt;"",LEFT(D850,LEN(D850)-2),D850))</f>
        <v/>
      </c>
      <c r="G850" s="13">
        <f>IF(C850="","",IF(OR(IF(AND(LEFT(F850,1)="(",RIGHT(F850,1)=")"),MID(F850,2,LEN(F850)-2),F850)="",IF(AND(LEFT(F850,1)="(",RIGHT(F850,1)=")"),MID(F850,2,LEN(F850)-2),F850)="-"),0,IFERROR(VALUE(IF(AND(LEFT(F850,1)="(",RIGHT(F850,1)=")"),MID(F850,2,LEN(F850)-2),F850))*IF(AND(LEFT(F850,1)="(",RIGHT(F850,1)=")"),-1,1)*IF(E850="Cr",Setup!$B$6,1),"ERR")))</f>
        <v/>
      </c>
      <c r="H850" s="6">
        <f>IF(C850="","",IF(ISNUMBER(G850),1,0))</f>
        <v/>
      </c>
      <c r="I850" s="6">
        <f>IF(C850="","",IF(SUMPRODUCT(($C$12:$C$1511=C850)*1)&gt;1,1,0))</f>
        <v/>
      </c>
      <c r="J850" s="6">
        <f>IF(C850="","",SUMPRODUCT((Mapping!$F$5:$F$504=Setup!$B$4&amp;"||"&amp;C850)*ROW(Mapping!$F$5:$F$504)))</f>
        <v/>
      </c>
      <c r="K850" s="6">
        <f>IF(C850="","",IF(J850=0,"UNMAPPED",LOWER(INDEX(Mapping!$D$1:$D$504,J850))))</f>
        <v/>
      </c>
      <c r="L850" s="6">
        <f>IF(K850="mapped",TRIM(INDEX(Mapping!$C$1:$C$504,J850)),"")</f>
        <v/>
      </c>
      <c r="M850" s="6">
        <f>IF(C850="","",IF(SUMPRODUCT(($C$12:C850=C850)*1)=1,1,0))</f>
        <v/>
      </c>
      <c r="N850" s="6">
        <f>IF(AND(K850="UNMAPPED",M850=1),ROW(),"")</f>
        <v/>
      </c>
      <c r="O850" s="6">
        <f>IF(AND(I850=1,M850=1),ROW(),"")</f>
        <v/>
      </c>
      <c r="P850" s="6">
        <f>IF(AND(K850="ignored",M850=1),ROW(),"")</f>
        <v/>
      </c>
    </row>
    <row r="851">
      <c r="A851" s="8" t="n"/>
      <c r="B851" s="8" t="n"/>
      <c r="C851" s="6">
        <f>TRIM(A851&amp;"")</f>
        <v/>
      </c>
      <c r="D851" s="6">
        <f>IF(C851="","",SUBSTITUTE(SUBSTITUTE(SUBSTITUTE(SUBSTITUTE(SUBSTITUTE(SUBSTITUTE(SUBSTITUTE(UPPER(TRIM(B851&amp;"")),"₹",""),"RS.",""),"RS",""),"INR",""),"$",""),",","")," ",""))</f>
        <v/>
      </c>
      <c r="E851" s="6">
        <f>IF(C851="","",IF(RIGHT(D851,2)="CR","Cr",IF(RIGHT(D851,2)="DR","Dr","")))</f>
        <v/>
      </c>
      <c r="F851" s="6">
        <f>IF(C851="","",IF(E851&lt;&gt;"",LEFT(D851,LEN(D851)-2),D851))</f>
        <v/>
      </c>
      <c r="G851" s="13">
        <f>IF(C851="","",IF(OR(IF(AND(LEFT(F851,1)="(",RIGHT(F851,1)=")"),MID(F851,2,LEN(F851)-2),F851)="",IF(AND(LEFT(F851,1)="(",RIGHT(F851,1)=")"),MID(F851,2,LEN(F851)-2),F851)="-"),0,IFERROR(VALUE(IF(AND(LEFT(F851,1)="(",RIGHT(F851,1)=")"),MID(F851,2,LEN(F851)-2),F851))*IF(AND(LEFT(F851,1)="(",RIGHT(F851,1)=")"),-1,1)*IF(E851="Cr",Setup!$B$6,1),"ERR")))</f>
        <v/>
      </c>
      <c r="H851" s="6">
        <f>IF(C851="","",IF(ISNUMBER(G851),1,0))</f>
        <v/>
      </c>
      <c r="I851" s="6">
        <f>IF(C851="","",IF(SUMPRODUCT(($C$12:$C$1511=C851)*1)&gt;1,1,0))</f>
        <v/>
      </c>
      <c r="J851" s="6">
        <f>IF(C851="","",SUMPRODUCT((Mapping!$F$5:$F$504=Setup!$B$4&amp;"||"&amp;C851)*ROW(Mapping!$F$5:$F$504)))</f>
        <v/>
      </c>
      <c r="K851" s="6">
        <f>IF(C851="","",IF(J851=0,"UNMAPPED",LOWER(INDEX(Mapping!$D$1:$D$504,J851))))</f>
        <v/>
      </c>
      <c r="L851" s="6">
        <f>IF(K851="mapped",TRIM(INDEX(Mapping!$C$1:$C$504,J851)),"")</f>
        <v/>
      </c>
      <c r="M851" s="6">
        <f>IF(C851="","",IF(SUMPRODUCT(($C$12:C851=C851)*1)=1,1,0))</f>
        <v/>
      </c>
      <c r="N851" s="6">
        <f>IF(AND(K851="UNMAPPED",M851=1),ROW(),"")</f>
        <v/>
      </c>
      <c r="O851" s="6">
        <f>IF(AND(I851=1,M851=1),ROW(),"")</f>
        <v/>
      </c>
      <c r="P851" s="6">
        <f>IF(AND(K851="ignored",M851=1),ROW(),"")</f>
        <v/>
      </c>
    </row>
    <row r="852">
      <c r="A852" s="8" t="n"/>
      <c r="B852" s="8" t="n"/>
      <c r="C852" s="6">
        <f>TRIM(A852&amp;"")</f>
        <v/>
      </c>
      <c r="D852" s="6">
        <f>IF(C852="","",SUBSTITUTE(SUBSTITUTE(SUBSTITUTE(SUBSTITUTE(SUBSTITUTE(SUBSTITUTE(SUBSTITUTE(UPPER(TRIM(B852&amp;"")),"₹",""),"RS.",""),"RS",""),"INR",""),"$",""),",","")," ",""))</f>
        <v/>
      </c>
      <c r="E852" s="6">
        <f>IF(C852="","",IF(RIGHT(D852,2)="CR","Cr",IF(RIGHT(D852,2)="DR","Dr","")))</f>
        <v/>
      </c>
      <c r="F852" s="6">
        <f>IF(C852="","",IF(E852&lt;&gt;"",LEFT(D852,LEN(D852)-2),D852))</f>
        <v/>
      </c>
      <c r="G852" s="13">
        <f>IF(C852="","",IF(OR(IF(AND(LEFT(F852,1)="(",RIGHT(F852,1)=")"),MID(F852,2,LEN(F852)-2),F852)="",IF(AND(LEFT(F852,1)="(",RIGHT(F852,1)=")"),MID(F852,2,LEN(F852)-2),F852)="-"),0,IFERROR(VALUE(IF(AND(LEFT(F852,1)="(",RIGHT(F852,1)=")"),MID(F852,2,LEN(F852)-2),F852))*IF(AND(LEFT(F852,1)="(",RIGHT(F852,1)=")"),-1,1)*IF(E852="Cr",Setup!$B$6,1),"ERR")))</f>
        <v/>
      </c>
      <c r="H852" s="6">
        <f>IF(C852="","",IF(ISNUMBER(G852),1,0))</f>
        <v/>
      </c>
      <c r="I852" s="6">
        <f>IF(C852="","",IF(SUMPRODUCT(($C$12:$C$1511=C852)*1)&gt;1,1,0))</f>
        <v/>
      </c>
      <c r="J852" s="6">
        <f>IF(C852="","",SUMPRODUCT((Mapping!$F$5:$F$504=Setup!$B$4&amp;"||"&amp;C852)*ROW(Mapping!$F$5:$F$504)))</f>
        <v/>
      </c>
      <c r="K852" s="6">
        <f>IF(C852="","",IF(J852=0,"UNMAPPED",LOWER(INDEX(Mapping!$D$1:$D$504,J852))))</f>
        <v/>
      </c>
      <c r="L852" s="6">
        <f>IF(K852="mapped",TRIM(INDEX(Mapping!$C$1:$C$504,J852)),"")</f>
        <v/>
      </c>
      <c r="M852" s="6">
        <f>IF(C852="","",IF(SUMPRODUCT(($C$12:C852=C852)*1)=1,1,0))</f>
        <v/>
      </c>
      <c r="N852" s="6">
        <f>IF(AND(K852="UNMAPPED",M852=1),ROW(),"")</f>
        <v/>
      </c>
      <c r="O852" s="6">
        <f>IF(AND(I852=1,M852=1),ROW(),"")</f>
        <v/>
      </c>
      <c r="P852" s="6">
        <f>IF(AND(K852="ignored",M852=1),ROW(),"")</f>
        <v/>
      </c>
    </row>
    <row r="853">
      <c r="A853" s="8" t="n"/>
      <c r="B853" s="8" t="n"/>
      <c r="C853" s="6">
        <f>TRIM(A853&amp;"")</f>
        <v/>
      </c>
      <c r="D853" s="6">
        <f>IF(C853="","",SUBSTITUTE(SUBSTITUTE(SUBSTITUTE(SUBSTITUTE(SUBSTITUTE(SUBSTITUTE(SUBSTITUTE(UPPER(TRIM(B853&amp;"")),"₹",""),"RS.",""),"RS",""),"INR",""),"$",""),",","")," ",""))</f>
        <v/>
      </c>
      <c r="E853" s="6">
        <f>IF(C853="","",IF(RIGHT(D853,2)="CR","Cr",IF(RIGHT(D853,2)="DR","Dr","")))</f>
        <v/>
      </c>
      <c r="F853" s="6">
        <f>IF(C853="","",IF(E853&lt;&gt;"",LEFT(D853,LEN(D853)-2),D853))</f>
        <v/>
      </c>
      <c r="G853" s="13">
        <f>IF(C853="","",IF(OR(IF(AND(LEFT(F853,1)="(",RIGHT(F853,1)=")"),MID(F853,2,LEN(F853)-2),F853)="",IF(AND(LEFT(F853,1)="(",RIGHT(F853,1)=")"),MID(F853,2,LEN(F853)-2),F853)="-"),0,IFERROR(VALUE(IF(AND(LEFT(F853,1)="(",RIGHT(F853,1)=")"),MID(F853,2,LEN(F853)-2),F853))*IF(AND(LEFT(F853,1)="(",RIGHT(F853,1)=")"),-1,1)*IF(E853="Cr",Setup!$B$6,1),"ERR")))</f>
        <v/>
      </c>
      <c r="H853" s="6">
        <f>IF(C853="","",IF(ISNUMBER(G853),1,0))</f>
        <v/>
      </c>
      <c r="I853" s="6">
        <f>IF(C853="","",IF(SUMPRODUCT(($C$12:$C$1511=C853)*1)&gt;1,1,0))</f>
        <v/>
      </c>
      <c r="J853" s="6">
        <f>IF(C853="","",SUMPRODUCT((Mapping!$F$5:$F$504=Setup!$B$4&amp;"||"&amp;C853)*ROW(Mapping!$F$5:$F$504)))</f>
        <v/>
      </c>
      <c r="K853" s="6">
        <f>IF(C853="","",IF(J853=0,"UNMAPPED",LOWER(INDEX(Mapping!$D$1:$D$504,J853))))</f>
        <v/>
      </c>
      <c r="L853" s="6">
        <f>IF(K853="mapped",TRIM(INDEX(Mapping!$C$1:$C$504,J853)),"")</f>
        <v/>
      </c>
      <c r="M853" s="6">
        <f>IF(C853="","",IF(SUMPRODUCT(($C$12:C853=C853)*1)=1,1,0))</f>
        <v/>
      </c>
      <c r="N853" s="6">
        <f>IF(AND(K853="UNMAPPED",M853=1),ROW(),"")</f>
        <v/>
      </c>
      <c r="O853" s="6">
        <f>IF(AND(I853=1,M853=1),ROW(),"")</f>
        <v/>
      </c>
      <c r="P853" s="6">
        <f>IF(AND(K853="ignored",M853=1),ROW(),"")</f>
        <v/>
      </c>
    </row>
    <row r="854">
      <c r="A854" s="8" t="n"/>
      <c r="B854" s="8" t="n"/>
      <c r="C854" s="6">
        <f>TRIM(A854&amp;"")</f>
        <v/>
      </c>
      <c r="D854" s="6">
        <f>IF(C854="","",SUBSTITUTE(SUBSTITUTE(SUBSTITUTE(SUBSTITUTE(SUBSTITUTE(SUBSTITUTE(SUBSTITUTE(UPPER(TRIM(B854&amp;"")),"₹",""),"RS.",""),"RS",""),"INR",""),"$",""),",","")," ",""))</f>
        <v/>
      </c>
      <c r="E854" s="6">
        <f>IF(C854="","",IF(RIGHT(D854,2)="CR","Cr",IF(RIGHT(D854,2)="DR","Dr","")))</f>
        <v/>
      </c>
      <c r="F854" s="6">
        <f>IF(C854="","",IF(E854&lt;&gt;"",LEFT(D854,LEN(D854)-2),D854))</f>
        <v/>
      </c>
      <c r="G854" s="13">
        <f>IF(C854="","",IF(OR(IF(AND(LEFT(F854,1)="(",RIGHT(F854,1)=")"),MID(F854,2,LEN(F854)-2),F854)="",IF(AND(LEFT(F854,1)="(",RIGHT(F854,1)=")"),MID(F854,2,LEN(F854)-2),F854)="-"),0,IFERROR(VALUE(IF(AND(LEFT(F854,1)="(",RIGHT(F854,1)=")"),MID(F854,2,LEN(F854)-2),F854))*IF(AND(LEFT(F854,1)="(",RIGHT(F854,1)=")"),-1,1)*IF(E854="Cr",Setup!$B$6,1),"ERR")))</f>
        <v/>
      </c>
      <c r="H854" s="6">
        <f>IF(C854="","",IF(ISNUMBER(G854),1,0))</f>
        <v/>
      </c>
      <c r="I854" s="6">
        <f>IF(C854="","",IF(SUMPRODUCT(($C$12:$C$1511=C854)*1)&gt;1,1,0))</f>
        <v/>
      </c>
      <c r="J854" s="6">
        <f>IF(C854="","",SUMPRODUCT((Mapping!$F$5:$F$504=Setup!$B$4&amp;"||"&amp;C854)*ROW(Mapping!$F$5:$F$504)))</f>
        <v/>
      </c>
      <c r="K854" s="6">
        <f>IF(C854="","",IF(J854=0,"UNMAPPED",LOWER(INDEX(Mapping!$D$1:$D$504,J854))))</f>
        <v/>
      </c>
      <c r="L854" s="6">
        <f>IF(K854="mapped",TRIM(INDEX(Mapping!$C$1:$C$504,J854)),"")</f>
        <v/>
      </c>
      <c r="M854" s="6">
        <f>IF(C854="","",IF(SUMPRODUCT(($C$12:C854=C854)*1)=1,1,0))</f>
        <v/>
      </c>
      <c r="N854" s="6">
        <f>IF(AND(K854="UNMAPPED",M854=1),ROW(),"")</f>
        <v/>
      </c>
      <c r="O854" s="6">
        <f>IF(AND(I854=1,M854=1),ROW(),"")</f>
        <v/>
      </c>
      <c r="P854" s="6">
        <f>IF(AND(K854="ignored",M854=1),ROW(),"")</f>
        <v/>
      </c>
    </row>
    <row r="855">
      <c r="A855" s="8" t="n"/>
      <c r="B855" s="8" t="n"/>
      <c r="C855" s="6">
        <f>TRIM(A855&amp;"")</f>
        <v/>
      </c>
      <c r="D855" s="6">
        <f>IF(C855="","",SUBSTITUTE(SUBSTITUTE(SUBSTITUTE(SUBSTITUTE(SUBSTITUTE(SUBSTITUTE(SUBSTITUTE(UPPER(TRIM(B855&amp;"")),"₹",""),"RS.",""),"RS",""),"INR",""),"$",""),",","")," ",""))</f>
        <v/>
      </c>
      <c r="E855" s="6">
        <f>IF(C855="","",IF(RIGHT(D855,2)="CR","Cr",IF(RIGHT(D855,2)="DR","Dr","")))</f>
        <v/>
      </c>
      <c r="F855" s="6">
        <f>IF(C855="","",IF(E855&lt;&gt;"",LEFT(D855,LEN(D855)-2),D855))</f>
        <v/>
      </c>
      <c r="G855" s="13">
        <f>IF(C855="","",IF(OR(IF(AND(LEFT(F855,1)="(",RIGHT(F855,1)=")"),MID(F855,2,LEN(F855)-2),F855)="",IF(AND(LEFT(F855,1)="(",RIGHT(F855,1)=")"),MID(F855,2,LEN(F855)-2),F855)="-"),0,IFERROR(VALUE(IF(AND(LEFT(F855,1)="(",RIGHT(F855,1)=")"),MID(F855,2,LEN(F855)-2),F855))*IF(AND(LEFT(F855,1)="(",RIGHT(F855,1)=")"),-1,1)*IF(E855="Cr",Setup!$B$6,1),"ERR")))</f>
        <v/>
      </c>
      <c r="H855" s="6">
        <f>IF(C855="","",IF(ISNUMBER(G855),1,0))</f>
        <v/>
      </c>
      <c r="I855" s="6">
        <f>IF(C855="","",IF(SUMPRODUCT(($C$12:$C$1511=C855)*1)&gt;1,1,0))</f>
        <v/>
      </c>
      <c r="J855" s="6">
        <f>IF(C855="","",SUMPRODUCT((Mapping!$F$5:$F$504=Setup!$B$4&amp;"||"&amp;C855)*ROW(Mapping!$F$5:$F$504)))</f>
        <v/>
      </c>
      <c r="K855" s="6">
        <f>IF(C855="","",IF(J855=0,"UNMAPPED",LOWER(INDEX(Mapping!$D$1:$D$504,J855))))</f>
        <v/>
      </c>
      <c r="L855" s="6">
        <f>IF(K855="mapped",TRIM(INDEX(Mapping!$C$1:$C$504,J855)),"")</f>
        <v/>
      </c>
      <c r="M855" s="6">
        <f>IF(C855="","",IF(SUMPRODUCT(($C$12:C855=C855)*1)=1,1,0))</f>
        <v/>
      </c>
      <c r="N855" s="6">
        <f>IF(AND(K855="UNMAPPED",M855=1),ROW(),"")</f>
        <v/>
      </c>
      <c r="O855" s="6">
        <f>IF(AND(I855=1,M855=1),ROW(),"")</f>
        <v/>
      </c>
      <c r="P855" s="6">
        <f>IF(AND(K855="ignored",M855=1),ROW(),"")</f>
        <v/>
      </c>
    </row>
    <row r="856">
      <c r="A856" s="8" t="n"/>
      <c r="B856" s="8" t="n"/>
      <c r="C856" s="6">
        <f>TRIM(A856&amp;"")</f>
        <v/>
      </c>
      <c r="D856" s="6">
        <f>IF(C856="","",SUBSTITUTE(SUBSTITUTE(SUBSTITUTE(SUBSTITUTE(SUBSTITUTE(SUBSTITUTE(SUBSTITUTE(UPPER(TRIM(B856&amp;"")),"₹",""),"RS.",""),"RS",""),"INR",""),"$",""),",","")," ",""))</f>
        <v/>
      </c>
      <c r="E856" s="6">
        <f>IF(C856="","",IF(RIGHT(D856,2)="CR","Cr",IF(RIGHT(D856,2)="DR","Dr","")))</f>
        <v/>
      </c>
      <c r="F856" s="6">
        <f>IF(C856="","",IF(E856&lt;&gt;"",LEFT(D856,LEN(D856)-2),D856))</f>
        <v/>
      </c>
      <c r="G856" s="13">
        <f>IF(C856="","",IF(OR(IF(AND(LEFT(F856,1)="(",RIGHT(F856,1)=")"),MID(F856,2,LEN(F856)-2),F856)="",IF(AND(LEFT(F856,1)="(",RIGHT(F856,1)=")"),MID(F856,2,LEN(F856)-2),F856)="-"),0,IFERROR(VALUE(IF(AND(LEFT(F856,1)="(",RIGHT(F856,1)=")"),MID(F856,2,LEN(F856)-2),F856))*IF(AND(LEFT(F856,1)="(",RIGHT(F856,1)=")"),-1,1)*IF(E856="Cr",Setup!$B$6,1),"ERR")))</f>
        <v/>
      </c>
      <c r="H856" s="6">
        <f>IF(C856="","",IF(ISNUMBER(G856),1,0))</f>
        <v/>
      </c>
      <c r="I856" s="6">
        <f>IF(C856="","",IF(SUMPRODUCT(($C$12:$C$1511=C856)*1)&gt;1,1,0))</f>
        <v/>
      </c>
      <c r="J856" s="6">
        <f>IF(C856="","",SUMPRODUCT((Mapping!$F$5:$F$504=Setup!$B$4&amp;"||"&amp;C856)*ROW(Mapping!$F$5:$F$504)))</f>
        <v/>
      </c>
      <c r="K856" s="6">
        <f>IF(C856="","",IF(J856=0,"UNMAPPED",LOWER(INDEX(Mapping!$D$1:$D$504,J856))))</f>
        <v/>
      </c>
      <c r="L856" s="6">
        <f>IF(K856="mapped",TRIM(INDEX(Mapping!$C$1:$C$504,J856)),"")</f>
        <v/>
      </c>
      <c r="M856" s="6">
        <f>IF(C856="","",IF(SUMPRODUCT(($C$12:C856=C856)*1)=1,1,0))</f>
        <v/>
      </c>
      <c r="N856" s="6">
        <f>IF(AND(K856="UNMAPPED",M856=1),ROW(),"")</f>
        <v/>
      </c>
      <c r="O856" s="6">
        <f>IF(AND(I856=1,M856=1),ROW(),"")</f>
        <v/>
      </c>
      <c r="P856" s="6">
        <f>IF(AND(K856="ignored",M856=1),ROW(),"")</f>
        <v/>
      </c>
    </row>
    <row r="857">
      <c r="A857" s="8" t="n"/>
      <c r="B857" s="8" t="n"/>
      <c r="C857" s="6">
        <f>TRIM(A857&amp;"")</f>
        <v/>
      </c>
      <c r="D857" s="6">
        <f>IF(C857="","",SUBSTITUTE(SUBSTITUTE(SUBSTITUTE(SUBSTITUTE(SUBSTITUTE(SUBSTITUTE(SUBSTITUTE(UPPER(TRIM(B857&amp;"")),"₹",""),"RS.",""),"RS",""),"INR",""),"$",""),",","")," ",""))</f>
        <v/>
      </c>
      <c r="E857" s="6">
        <f>IF(C857="","",IF(RIGHT(D857,2)="CR","Cr",IF(RIGHT(D857,2)="DR","Dr","")))</f>
        <v/>
      </c>
      <c r="F857" s="6">
        <f>IF(C857="","",IF(E857&lt;&gt;"",LEFT(D857,LEN(D857)-2),D857))</f>
        <v/>
      </c>
      <c r="G857" s="13">
        <f>IF(C857="","",IF(OR(IF(AND(LEFT(F857,1)="(",RIGHT(F857,1)=")"),MID(F857,2,LEN(F857)-2),F857)="",IF(AND(LEFT(F857,1)="(",RIGHT(F857,1)=")"),MID(F857,2,LEN(F857)-2),F857)="-"),0,IFERROR(VALUE(IF(AND(LEFT(F857,1)="(",RIGHT(F857,1)=")"),MID(F857,2,LEN(F857)-2),F857))*IF(AND(LEFT(F857,1)="(",RIGHT(F857,1)=")"),-1,1)*IF(E857="Cr",Setup!$B$6,1),"ERR")))</f>
        <v/>
      </c>
      <c r="H857" s="6">
        <f>IF(C857="","",IF(ISNUMBER(G857),1,0))</f>
        <v/>
      </c>
      <c r="I857" s="6">
        <f>IF(C857="","",IF(SUMPRODUCT(($C$12:$C$1511=C857)*1)&gt;1,1,0))</f>
        <v/>
      </c>
      <c r="J857" s="6">
        <f>IF(C857="","",SUMPRODUCT((Mapping!$F$5:$F$504=Setup!$B$4&amp;"||"&amp;C857)*ROW(Mapping!$F$5:$F$504)))</f>
        <v/>
      </c>
      <c r="K857" s="6">
        <f>IF(C857="","",IF(J857=0,"UNMAPPED",LOWER(INDEX(Mapping!$D$1:$D$504,J857))))</f>
        <v/>
      </c>
      <c r="L857" s="6">
        <f>IF(K857="mapped",TRIM(INDEX(Mapping!$C$1:$C$504,J857)),"")</f>
        <v/>
      </c>
      <c r="M857" s="6">
        <f>IF(C857="","",IF(SUMPRODUCT(($C$12:C857=C857)*1)=1,1,0))</f>
        <v/>
      </c>
      <c r="N857" s="6">
        <f>IF(AND(K857="UNMAPPED",M857=1),ROW(),"")</f>
        <v/>
      </c>
      <c r="O857" s="6">
        <f>IF(AND(I857=1,M857=1),ROW(),"")</f>
        <v/>
      </c>
      <c r="P857" s="6">
        <f>IF(AND(K857="ignored",M857=1),ROW(),"")</f>
        <v/>
      </c>
    </row>
    <row r="858">
      <c r="A858" s="8" t="n"/>
      <c r="B858" s="8" t="n"/>
      <c r="C858" s="6">
        <f>TRIM(A858&amp;"")</f>
        <v/>
      </c>
      <c r="D858" s="6">
        <f>IF(C858="","",SUBSTITUTE(SUBSTITUTE(SUBSTITUTE(SUBSTITUTE(SUBSTITUTE(SUBSTITUTE(SUBSTITUTE(UPPER(TRIM(B858&amp;"")),"₹",""),"RS.",""),"RS",""),"INR",""),"$",""),",","")," ",""))</f>
        <v/>
      </c>
      <c r="E858" s="6">
        <f>IF(C858="","",IF(RIGHT(D858,2)="CR","Cr",IF(RIGHT(D858,2)="DR","Dr","")))</f>
        <v/>
      </c>
      <c r="F858" s="6">
        <f>IF(C858="","",IF(E858&lt;&gt;"",LEFT(D858,LEN(D858)-2),D858))</f>
        <v/>
      </c>
      <c r="G858" s="13">
        <f>IF(C858="","",IF(OR(IF(AND(LEFT(F858,1)="(",RIGHT(F858,1)=")"),MID(F858,2,LEN(F858)-2),F858)="",IF(AND(LEFT(F858,1)="(",RIGHT(F858,1)=")"),MID(F858,2,LEN(F858)-2),F858)="-"),0,IFERROR(VALUE(IF(AND(LEFT(F858,1)="(",RIGHT(F858,1)=")"),MID(F858,2,LEN(F858)-2),F858))*IF(AND(LEFT(F858,1)="(",RIGHT(F858,1)=")"),-1,1)*IF(E858="Cr",Setup!$B$6,1),"ERR")))</f>
        <v/>
      </c>
      <c r="H858" s="6">
        <f>IF(C858="","",IF(ISNUMBER(G858),1,0))</f>
        <v/>
      </c>
      <c r="I858" s="6">
        <f>IF(C858="","",IF(SUMPRODUCT(($C$12:$C$1511=C858)*1)&gt;1,1,0))</f>
        <v/>
      </c>
      <c r="J858" s="6">
        <f>IF(C858="","",SUMPRODUCT((Mapping!$F$5:$F$504=Setup!$B$4&amp;"||"&amp;C858)*ROW(Mapping!$F$5:$F$504)))</f>
        <v/>
      </c>
      <c r="K858" s="6">
        <f>IF(C858="","",IF(J858=0,"UNMAPPED",LOWER(INDEX(Mapping!$D$1:$D$504,J858))))</f>
        <v/>
      </c>
      <c r="L858" s="6">
        <f>IF(K858="mapped",TRIM(INDEX(Mapping!$C$1:$C$504,J858)),"")</f>
        <v/>
      </c>
      <c r="M858" s="6">
        <f>IF(C858="","",IF(SUMPRODUCT(($C$12:C858=C858)*1)=1,1,0))</f>
        <v/>
      </c>
      <c r="N858" s="6">
        <f>IF(AND(K858="UNMAPPED",M858=1),ROW(),"")</f>
        <v/>
      </c>
      <c r="O858" s="6">
        <f>IF(AND(I858=1,M858=1),ROW(),"")</f>
        <v/>
      </c>
      <c r="P858" s="6">
        <f>IF(AND(K858="ignored",M858=1),ROW(),"")</f>
        <v/>
      </c>
    </row>
    <row r="859">
      <c r="A859" s="8" t="n"/>
      <c r="B859" s="8" t="n"/>
      <c r="C859" s="6">
        <f>TRIM(A859&amp;"")</f>
        <v/>
      </c>
      <c r="D859" s="6">
        <f>IF(C859="","",SUBSTITUTE(SUBSTITUTE(SUBSTITUTE(SUBSTITUTE(SUBSTITUTE(SUBSTITUTE(SUBSTITUTE(UPPER(TRIM(B859&amp;"")),"₹",""),"RS.",""),"RS",""),"INR",""),"$",""),",","")," ",""))</f>
        <v/>
      </c>
      <c r="E859" s="6">
        <f>IF(C859="","",IF(RIGHT(D859,2)="CR","Cr",IF(RIGHT(D859,2)="DR","Dr","")))</f>
        <v/>
      </c>
      <c r="F859" s="6">
        <f>IF(C859="","",IF(E859&lt;&gt;"",LEFT(D859,LEN(D859)-2),D859))</f>
        <v/>
      </c>
      <c r="G859" s="13">
        <f>IF(C859="","",IF(OR(IF(AND(LEFT(F859,1)="(",RIGHT(F859,1)=")"),MID(F859,2,LEN(F859)-2),F859)="",IF(AND(LEFT(F859,1)="(",RIGHT(F859,1)=")"),MID(F859,2,LEN(F859)-2),F859)="-"),0,IFERROR(VALUE(IF(AND(LEFT(F859,1)="(",RIGHT(F859,1)=")"),MID(F859,2,LEN(F859)-2),F859))*IF(AND(LEFT(F859,1)="(",RIGHT(F859,1)=")"),-1,1)*IF(E859="Cr",Setup!$B$6,1),"ERR")))</f>
        <v/>
      </c>
      <c r="H859" s="6">
        <f>IF(C859="","",IF(ISNUMBER(G859),1,0))</f>
        <v/>
      </c>
      <c r="I859" s="6">
        <f>IF(C859="","",IF(SUMPRODUCT(($C$12:$C$1511=C859)*1)&gt;1,1,0))</f>
        <v/>
      </c>
      <c r="J859" s="6">
        <f>IF(C859="","",SUMPRODUCT((Mapping!$F$5:$F$504=Setup!$B$4&amp;"||"&amp;C859)*ROW(Mapping!$F$5:$F$504)))</f>
        <v/>
      </c>
      <c r="K859" s="6">
        <f>IF(C859="","",IF(J859=0,"UNMAPPED",LOWER(INDEX(Mapping!$D$1:$D$504,J859))))</f>
        <v/>
      </c>
      <c r="L859" s="6">
        <f>IF(K859="mapped",TRIM(INDEX(Mapping!$C$1:$C$504,J859)),"")</f>
        <v/>
      </c>
      <c r="M859" s="6">
        <f>IF(C859="","",IF(SUMPRODUCT(($C$12:C859=C859)*1)=1,1,0))</f>
        <v/>
      </c>
      <c r="N859" s="6">
        <f>IF(AND(K859="UNMAPPED",M859=1),ROW(),"")</f>
        <v/>
      </c>
      <c r="O859" s="6">
        <f>IF(AND(I859=1,M859=1),ROW(),"")</f>
        <v/>
      </c>
      <c r="P859" s="6">
        <f>IF(AND(K859="ignored",M859=1),ROW(),"")</f>
        <v/>
      </c>
    </row>
    <row r="860">
      <c r="A860" s="8" t="n"/>
      <c r="B860" s="8" t="n"/>
      <c r="C860" s="6">
        <f>TRIM(A860&amp;"")</f>
        <v/>
      </c>
      <c r="D860" s="6">
        <f>IF(C860="","",SUBSTITUTE(SUBSTITUTE(SUBSTITUTE(SUBSTITUTE(SUBSTITUTE(SUBSTITUTE(SUBSTITUTE(UPPER(TRIM(B860&amp;"")),"₹",""),"RS.",""),"RS",""),"INR",""),"$",""),",","")," ",""))</f>
        <v/>
      </c>
      <c r="E860" s="6">
        <f>IF(C860="","",IF(RIGHT(D860,2)="CR","Cr",IF(RIGHT(D860,2)="DR","Dr","")))</f>
        <v/>
      </c>
      <c r="F860" s="6">
        <f>IF(C860="","",IF(E860&lt;&gt;"",LEFT(D860,LEN(D860)-2),D860))</f>
        <v/>
      </c>
      <c r="G860" s="13">
        <f>IF(C860="","",IF(OR(IF(AND(LEFT(F860,1)="(",RIGHT(F860,1)=")"),MID(F860,2,LEN(F860)-2),F860)="",IF(AND(LEFT(F860,1)="(",RIGHT(F860,1)=")"),MID(F860,2,LEN(F860)-2),F860)="-"),0,IFERROR(VALUE(IF(AND(LEFT(F860,1)="(",RIGHT(F860,1)=")"),MID(F860,2,LEN(F860)-2),F860))*IF(AND(LEFT(F860,1)="(",RIGHT(F860,1)=")"),-1,1)*IF(E860="Cr",Setup!$B$6,1),"ERR")))</f>
        <v/>
      </c>
      <c r="H860" s="6">
        <f>IF(C860="","",IF(ISNUMBER(G860),1,0))</f>
        <v/>
      </c>
      <c r="I860" s="6">
        <f>IF(C860="","",IF(SUMPRODUCT(($C$12:$C$1511=C860)*1)&gt;1,1,0))</f>
        <v/>
      </c>
      <c r="J860" s="6">
        <f>IF(C860="","",SUMPRODUCT((Mapping!$F$5:$F$504=Setup!$B$4&amp;"||"&amp;C860)*ROW(Mapping!$F$5:$F$504)))</f>
        <v/>
      </c>
      <c r="K860" s="6">
        <f>IF(C860="","",IF(J860=0,"UNMAPPED",LOWER(INDEX(Mapping!$D$1:$D$504,J860))))</f>
        <v/>
      </c>
      <c r="L860" s="6">
        <f>IF(K860="mapped",TRIM(INDEX(Mapping!$C$1:$C$504,J860)),"")</f>
        <v/>
      </c>
      <c r="M860" s="6">
        <f>IF(C860="","",IF(SUMPRODUCT(($C$12:C860=C860)*1)=1,1,0))</f>
        <v/>
      </c>
      <c r="N860" s="6">
        <f>IF(AND(K860="UNMAPPED",M860=1),ROW(),"")</f>
        <v/>
      </c>
      <c r="O860" s="6">
        <f>IF(AND(I860=1,M860=1),ROW(),"")</f>
        <v/>
      </c>
      <c r="P860" s="6">
        <f>IF(AND(K860="ignored",M860=1),ROW(),"")</f>
        <v/>
      </c>
    </row>
    <row r="861">
      <c r="A861" s="8" t="n"/>
      <c r="B861" s="8" t="n"/>
      <c r="C861" s="6">
        <f>TRIM(A861&amp;"")</f>
        <v/>
      </c>
      <c r="D861" s="6">
        <f>IF(C861="","",SUBSTITUTE(SUBSTITUTE(SUBSTITUTE(SUBSTITUTE(SUBSTITUTE(SUBSTITUTE(SUBSTITUTE(UPPER(TRIM(B861&amp;"")),"₹",""),"RS.",""),"RS",""),"INR",""),"$",""),",","")," ",""))</f>
        <v/>
      </c>
      <c r="E861" s="6">
        <f>IF(C861="","",IF(RIGHT(D861,2)="CR","Cr",IF(RIGHT(D861,2)="DR","Dr","")))</f>
        <v/>
      </c>
      <c r="F861" s="6">
        <f>IF(C861="","",IF(E861&lt;&gt;"",LEFT(D861,LEN(D861)-2),D861))</f>
        <v/>
      </c>
      <c r="G861" s="13">
        <f>IF(C861="","",IF(OR(IF(AND(LEFT(F861,1)="(",RIGHT(F861,1)=")"),MID(F861,2,LEN(F861)-2),F861)="",IF(AND(LEFT(F861,1)="(",RIGHT(F861,1)=")"),MID(F861,2,LEN(F861)-2),F861)="-"),0,IFERROR(VALUE(IF(AND(LEFT(F861,1)="(",RIGHT(F861,1)=")"),MID(F861,2,LEN(F861)-2),F861))*IF(AND(LEFT(F861,1)="(",RIGHT(F861,1)=")"),-1,1)*IF(E861="Cr",Setup!$B$6,1),"ERR")))</f>
        <v/>
      </c>
      <c r="H861" s="6">
        <f>IF(C861="","",IF(ISNUMBER(G861),1,0))</f>
        <v/>
      </c>
      <c r="I861" s="6">
        <f>IF(C861="","",IF(SUMPRODUCT(($C$12:$C$1511=C861)*1)&gt;1,1,0))</f>
        <v/>
      </c>
      <c r="J861" s="6">
        <f>IF(C861="","",SUMPRODUCT((Mapping!$F$5:$F$504=Setup!$B$4&amp;"||"&amp;C861)*ROW(Mapping!$F$5:$F$504)))</f>
        <v/>
      </c>
      <c r="K861" s="6">
        <f>IF(C861="","",IF(J861=0,"UNMAPPED",LOWER(INDEX(Mapping!$D$1:$D$504,J861))))</f>
        <v/>
      </c>
      <c r="L861" s="6">
        <f>IF(K861="mapped",TRIM(INDEX(Mapping!$C$1:$C$504,J861)),"")</f>
        <v/>
      </c>
      <c r="M861" s="6">
        <f>IF(C861="","",IF(SUMPRODUCT(($C$12:C861=C861)*1)=1,1,0))</f>
        <v/>
      </c>
      <c r="N861" s="6">
        <f>IF(AND(K861="UNMAPPED",M861=1),ROW(),"")</f>
        <v/>
      </c>
      <c r="O861" s="6">
        <f>IF(AND(I861=1,M861=1),ROW(),"")</f>
        <v/>
      </c>
      <c r="P861" s="6">
        <f>IF(AND(K861="ignored",M861=1),ROW(),"")</f>
        <v/>
      </c>
    </row>
    <row r="862">
      <c r="A862" s="8" t="n"/>
      <c r="B862" s="8" t="n"/>
      <c r="C862" s="6">
        <f>TRIM(A862&amp;"")</f>
        <v/>
      </c>
      <c r="D862" s="6">
        <f>IF(C862="","",SUBSTITUTE(SUBSTITUTE(SUBSTITUTE(SUBSTITUTE(SUBSTITUTE(SUBSTITUTE(SUBSTITUTE(UPPER(TRIM(B862&amp;"")),"₹",""),"RS.",""),"RS",""),"INR",""),"$",""),",","")," ",""))</f>
        <v/>
      </c>
      <c r="E862" s="6">
        <f>IF(C862="","",IF(RIGHT(D862,2)="CR","Cr",IF(RIGHT(D862,2)="DR","Dr","")))</f>
        <v/>
      </c>
      <c r="F862" s="6">
        <f>IF(C862="","",IF(E862&lt;&gt;"",LEFT(D862,LEN(D862)-2),D862))</f>
        <v/>
      </c>
      <c r="G862" s="13">
        <f>IF(C862="","",IF(OR(IF(AND(LEFT(F862,1)="(",RIGHT(F862,1)=")"),MID(F862,2,LEN(F862)-2),F862)="",IF(AND(LEFT(F862,1)="(",RIGHT(F862,1)=")"),MID(F862,2,LEN(F862)-2),F862)="-"),0,IFERROR(VALUE(IF(AND(LEFT(F862,1)="(",RIGHT(F862,1)=")"),MID(F862,2,LEN(F862)-2),F862))*IF(AND(LEFT(F862,1)="(",RIGHT(F862,1)=")"),-1,1)*IF(E862="Cr",Setup!$B$6,1),"ERR")))</f>
        <v/>
      </c>
      <c r="H862" s="6">
        <f>IF(C862="","",IF(ISNUMBER(G862),1,0))</f>
        <v/>
      </c>
      <c r="I862" s="6">
        <f>IF(C862="","",IF(SUMPRODUCT(($C$12:$C$1511=C862)*1)&gt;1,1,0))</f>
        <v/>
      </c>
      <c r="J862" s="6">
        <f>IF(C862="","",SUMPRODUCT((Mapping!$F$5:$F$504=Setup!$B$4&amp;"||"&amp;C862)*ROW(Mapping!$F$5:$F$504)))</f>
        <v/>
      </c>
      <c r="K862" s="6">
        <f>IF(C862="","",IF(J862=0,"UNMAPPED",LOWER(INDEX(Mapping!$D$1:$D$504,J862))))</f>
        <v/>
      </c>
      <c r="L862" s="6">
        <f>IF(K862="mapped",TRIM(INDEX(Mapping!$C$1:$C$504,J862)),"")</f>
        <v/>
      </c>
      <c r="M862" s="6">
        <f>IF(C862="","",IF(SUMPRODUCT(($C$12:C862=C862)*1)=1,1,0))</f>
        <v/>
      </c>
      <c r="N862" s="6">
        <f>IF(AND(K862="UNMAPPED",M862=1),ROW(),"")</f>
        <v/>
      </c>
      <c r="O862" s="6">
        <f>IF(AND(I862=1,M862=1),ROW(),"")</f>
        <v/>
      </c>
      <c r="P862" s="6">
        <f>IF(AND(K862="ignored",M862=1),ROW(),"")</f>
        <v/>
      </c>
    </row>
    <row r="863">
      <c r="A863" s="8" t="n"/>
      <c r="B863" s="8" t="n"/>
      <c r="C863" s="6">
        <f>TRIM(A863&amp;"")</f>
        <v/>
      </c>
      <c r="D863" s="6">
        <f>IF(C863="","",SUBSTITUTE(SUBSTITUTE(SUBSTITUTE(SUBSTITUTE(SUBSTITUTE(SUBSTITUTE(SUBSTITUTE(UPPER(TRIM(B863&amp;"")),"₹",""),"RS.",""),"RS",""),"INR",""),"$",""),",","")," ",""))</f>
        <v/>
      </c>
      <c r="E863" s="6">
        <f>IF(C863="","",IF(RIGHT(D863,2)="CR","Cr",IF(RIGHT(D863,2)="DR","Dr","")))</f>
        <v/>
      </c>
      <c r="F863" s="6">
        <f>IF(C863="","",IF(E863&lt;&gt;"",LEFT(D863,LEN(D863)-2),D863))</f>
        <v/>
      </c>
      <c r="G863" s="13">
        <f>IF(C863="","",IF(OR(IF(AND(LEFT(F863,1)="(",RIGHT(F863,1)=")"),MID(F863,2,LEN(F863)-2),F863)="",IF(AND(LEFT(F863,1)="(",RIGHT(F863,1)=")"),MID(F863,2,LEN(F863)-2),F863)="-"),0,IFERROR(VALUE(IF(AND(LEFT(F863,1)="(",RIGHT(F863,1)=")"),MID(F863,2,LEN(F863)-2),F863))*IF(AND(LEFT(F863,1)="(",RIGHT(F863,1)=")"),-1,1)*IF(E863="Cr",Setup!$B$6,1),"ERR")))</f>
        <v/>
      </c>
      <c r="H863" s="6">
        <f>IF(C863="","",IF(ISNUMBER(G863),1,0))</f>
        <v/>
      </c>
      <c r="I863" s="6">
        <f>IF(C863="","",IF(SUMPRODUCT(($C$12:$C$1511=C863)*1)&gt;1,1,0))</f>
        <v/>
      </c>
      <c r="J863" s="6">
        <f>IF(C863="","",SUMPRODUCT((Mapping!$F$5:$F$504=Setup!$B$4&amp;"||"&amp;C863)*ROW(Mapping!$F$5:$F$504)))</f>
        <v/>
      </c>
      <c r="K863" s="6">
        <f>IF(C863="","",IF(J863=0,"UNMAPPED",LOWER(INDEX(Mapping!$D$1:$D$504,J863))))</f>
        <v/>
      </c>
      <c r="L863" s="6">
        <f>IF(K863="mapped",TRIM(INDEX(Mapping!$C$1:$C$504,J863)),"")</f>
        <v/>
      </c>
      <c r="M863" s="6">
        <f>IF(C863="","",IF(SUMPRODUCT(($C$12:C863=C863)*1)=1,1,0))</f>
        <v/>
      </c>
      <c r="N863" s="6">
        <f>IF(AND(K863="UNMAPPED",M863=1),ROW(),"")</f>
        <v/>
      </c>
      <c r="O863" s="6">
        <f>IF(AND(I863=1,M863=1),ROW(),"")</f>
        <v/>
      </c>
      <c r="P863" s="6">
        <f>IF(AND(K863="ignored",M863=1),ROW(),"")</f>
        <v/>
      </c>
    </row>
    <row r="864">
      <c r="A864" s="8" t="n"/>
      <c r="B864" s="8" t="n"/>
      <c r="C864" s="6">
        <f>TRIM(A864&amp;"")</f>
        <v/>
      </c>
      <c r="D864" s="6">
        <f>IF(C864="","",SUBSTITUTE(SUBSTITUTE(SUBSTITUTE(SUBSTITUTE(SUBSTITUTE(SUBSTITUTE(SUBSTITUTE(UPPER(TRIM(B864&amp;"")),"₹",""),"RS.",""),"RS",""),"INR",""),"$",""),",","")," ",""))</f>
        <v/>
      </c>
      <c r="E864" s="6">
        <f>IF(C864="","",IF(RIGHT(D864,2)="CR","Cr",IF(RIGHT(D864,2)="DR","Dr","")))</f>
        <v/>
      </c>
      <c r="F864" s="6">
        <f>IF(C864="","",IF(E864&lt;&gt;"",LEFT(D864,LEN(D864)-2),D864))</f>
        <v/>
      </c>
      <c r="G864" s="13">
        <f>IF(C864="","",IF(OR(IF(AND(LEFT(F864,1)="(",RIGHT(F864,1)=")"),MID(F864,2,LEN(F864)-2),F864)="",IF(AND(LEFT(F864,1)="(",RIGHT(F864,1)=")"),MID(F864,2,LEN(F864)-2),F864)="-"),0,IFERROR(VALUE(IF(AND(LEFT(F864,1)="(",RIGHT(F864,1)=")"),MID(F864,2,LEN(F864)-2),F864))*IF(AND(LEFT(F864,1)="(",RIGHT(F864,1)=")"),-1,1)*IF(E864="Cr",Setup!$B$6,1),"ERR")))</f>
        <v/>
      </c>
      <c r="H864" s="6">
        <f>IF(C864="","",IF(ISNUMBER(G864),1,0))</f>
        <v/>
      </c>
      <c r="I864" s="6">
        <f>IF(C864="","",IF(SUMPRODUCT(($C$12:$C$1511=C864)*1)&gt;1,1,0))</f>
        <v/>
      </c>
      <c r="J864" s="6">
        <f>IF(C864="","",SUMPRODUCT((Mapping!$F$5:$F$504=Setup!$B$4&amp;"||"&amp;C864)*ROW(Mapping!$F$5:$F$504)))</f>
        <v/>
      </c>
      <c r="K864" s="6">
        <f>IF(C864="","",IF(J864=0,"UNMAPPED",LOWER(INDEX(Mapping!$D$1:$D$504,J864))))</f>
        <v/>
      </c>
      <c r="L864" s="6">
        <f>IF(K864="mapped",TRIM(INDEX(Mapping!$C$1:$C$504,J864)),"")</f>
        <v/>
      </c>
      <c r="M864" s="6">
        <f>IF(C864="","",IF(SUMPRODUCT(($C$12:C864=C864)*1)=1,1,0))</f>
        <v/>
      </c>
      <c r="N864" s="6">
        <f>IF(AND(K864="UNMAPPED",M864=1),ROW(),"")</f>
        <v/>
      </c>
      <c r="O864" s="6">
        <f>IF(AND(I864=1,M864=1),ROW(),"")</f>
        <v/>
      </c>
      <c r="P864" s="6">
        <f>IF(AND(K864="ignored",M864=1),ROW(),"")</f>
        <v/>
      </c>
    </row>
    <row r="865">
      <c r="A865" s="8" t="n"/>
      <c r="B865" s="8" t="n"/>
      <c r="C865" s="6">
        <f>TRIM(A865&amp;"")</f>
        <v/>
      </c>
      <c r="D865" s="6">
        <f>IF(C865="","",SUBSTITUTE(SUBSTITUTE(SUBSTITUTE(SUBSTITUTE(SUBSTITUTE(SUBSTITUTE(SUBSTITUTE(UPPER(TRIM(B865&amp;"")),"₹",""),"RS.",""),"RS",""),"INR",""),"$",""),",","")," ",""))</f>
        <v/>
      </c>
      <c r="E865" s="6">
        <f>IF(C865="","",IF(RIGHT(D865,2)="CR","Cr",IF(RIGHT(D865,2)="DR","Dr","")))</f>
        <v/>
      </c>
      <c r="F865" s="6">
        <f>IF(C865="","",IF(E865&lt;&gt;"",LEFT(D865,LEN(D865)-2),D865))</f>
        <v/>
      </c>
      <c r="G865" s="13">
        <f>IF(C865="","",IF(OR(IF(AND(LEFT(F865,1)="(",RIGHT(F865,1)=")"),MID(F865,2,LEN(F865)-2),F865)="",IF(AND(LEFT(F865,1)="(",RIGHT(F865,1)=")"),MID(F865,2,LEN(F865)-2),F865)="-"),0,IFERROR(VALUE(IF(AND(LEFT(F865,1)="(",RIGHT(F865,1)=")"),MID(F865,2,LEN(F865)-2),F865))*IF(AND(LEFT(F865,1)="(",RIGHT(F865,1)=")"),-1,1)*IF(E865="Cr",Setup!$B$6,1),"ERR")))</f>
        <v/>
      </c>
      <c r="H865" s="6">
        <f>IF(C865="","",IF(ISNUMBER(G865),1,0))</f>
        <v/>
      </c>
      <c r="I865" s="6">
        <f>IF(C865="","",IF(SUMPRODUCT(($C$12:$C$1511=C865)*1)&gt;1,1,0))</f>
        <v/>
      </c>
      <c r="J865" s="6">
        <f>IF(C865="","",SUMPRODUCT((Mapping!$F$5:$F$504=Setup!$B$4&amp;"||"&amp;C865)*ROW(Mapping!$F$5:$F$504)))</f>
        <v/>
      </c>
      <c r="K865" s="6">
        <f>IF(C865="","",IF(J865=0,"UNMAPPED",LOWER(INDEX(Mapping!$D$1:$D$504,J865))))</f>
        <v/>
      </c>
      <c r="L865" s="6">
        <f>IF(K865="mapped",TRIM(INDEX(Mapping!$C$1:$C$504,J865)),"")</f>
        <v/>
      </c>
      <c r="M865" s="6">
        <f>IF(C865="","",IF(SUMPRODUCT(($C$12:C865=C865)*1)=1,1,0))</f>
        <v/>
      </c>
      <c r="N865" s="6">
        <f>IF(AND(K865="UNMAPPED",M865=1),ROW(),"")</f>
        <v/>
      </c>
      <c r="O865" s="6">
        <f>IF(AND(I865=1,M865=1),ROW(),"")</f>
        <v/>
      </c>
      <c r="P865" s="6">
        <f>IF(AND(K865="ignored",M865=1),ROW(),"")</f>
        <v/>
      </c>
    </row>
    <row r="866">
      <c r="A866" s="8" t="n"/>
      <c r="B866" s="8" t="n"/>
      <c r="C866" s="6">
        <f>TRIM(A866&amp;"")</f>
        <v/>
      </c>
      <c r="D866" s="6">
        <f>IF(C866="","",SUBSTITUTE(SUBSTITUTE(SUBSTITUTE(SUBSTITUTE(SUBSTITUTE(SUBSTITUTE(SUBSTITUTE(UPPER(TRIM(B866&amp;"")),"₹",""),"RS.",""),"RS",""),"INR",""),"$",""),",","")," ",""))</f>
        <v/>
      </c>
      <c r="E866" s="6">
        <f>IF(C866="","",IF(RIGHT(D866,2)="CR","Cr",IF(RIGHT(D866,2)="DR","Dr","")))</f>
        <v/>
      </c>
      <c r="F866" s="6">
        <f>IF(C866="","",IF(E866&lt;&gt;"",LEFT(D866,LEN(D866)-2),D866))</f>
        <v/>
      </c>
      <c r="G866" s="13">
        <f>IF(C866="","",IF(OR(IF(AND(LEFT(F866,1)="(",RIGHT(F866,1)=")"),MID(F866,2,LEN(F866)-2),F866)="",IF(AND(LEFT(F866,1)="(",RIGHT(F866,1)=")"),MID(F866,2,LEN(F866)-2),F866)="-"),0,IFERROR(VALUE(IF(AND(LEFT(F866,1)="(",RIGHT(F866,1)=")"),MID(F866,2,LEN(F866)-2),F866))*IF(AND(LEFT(F866,1)="(",RIGHT(F866,1)=")"),-1,1)*IF(E866="Cr",Setup!$B$6,1),"ERR")))</f>
        <v/>
      </c>
      <c r="H866" s="6">
        <f>IF(C866="","",IF(ISNUMBER(G866),1,0))</f>
        <v/>
      </c>
      <c r="I866" s="6">
        <f>IF(C866="","",IF(SUMPRODUCT(($C$12:$C$1511=C866)*1)&gt;1,1,0))</f>
        <v/>
      </c>
      <c r="J866" s="6">
        <f>IF(C866="","",SUMPRODUCT((Mapping!$F$5:$F$504=Setup!$B$4&amp;"||"&amp;C866)*ROW(Mapping!$F$5:$F$504)))</f>
        <v/>
      </c>
      <c r="K866" s="6">
        <f>IF(C866="","",IF(J866=0,"UNMAPPED",LOWER(INDEX(Mapping!$D$1:$D$504,J866))))</f>
        <v/>
      </c>
      <c r="L866" s="6">
        <f>IF(K866="mapped",TRIM(INDEX(Mapping!$C$1:$C$504,J866)),"")</f>
        <v/>
      </c>
      <c r="M866" s="6">
        <f>IF(C866="","",IF(SUMPRODUCT(($C$12:C866=C866)*1)=1,1,0))</f>
        <v/>
      </c>
      <c r="N866" s="6">
        <f>IF(AND(K866="UNMAPPED",M866=1),ROW(),"")</f>
        <v/>
      </c>
      <c r="O866" s="6">
        <f>IF(AND(I866=1,M866=1),ROW(),"")</f>
        <v/>
      </c>
      <c r="P866" s="6">
        <f>IF(AND(K866="ignored",M866=1),ROW(),"")</f>
        <v/>
      </c>
    </row>
    <row r="867">
      <c r="A867" s="8" t="n"/>
      <c r="B867" s="8" t="n"/>
      <c r="C867" s="6">
        <f>TRIM(A867&amp;"")</f>
        <v/>
      </c>
      <c r="D867" s="6">
        <f>IF(C867="","",SUBSTITUTE(SUBSTITUTE(SUBSTITUTE(SUBSTITUTE(SUBSTITUTE(SUBSTITUTE(SUBSTITUTE(UPPER(TRIM(B867&amp;"")),"₹",""),"RS.",""),"RS",""),"INR",""),"$",""),",","")," ",""))</f>
        <v/>
      </c>
      <c r="E867" s="6">
        <f>IF(C867="","",IF(RIGHT(D867,2)="CR","Cr",IF(RIGHT(D867,2)="DR","Dr","")))</f>
        <v/>
      </c>
      <c r="F867" s="6">
        <f>IF(C867="","",IF(E867&lt;&gt;"",LEFT(D867,LEN(D867)-2),D867))</f>
        <v/>
      </c>
      <c r="G867" s="13">
        <f>IF(C867="","",IF(OR(IF(AND(LEFT(F867,1)="(",RIGHT(F867,1)=")"),MID(F867,2,LEN(F867)-2),F867)="",IF(AND(LEFT(F867,1)="(",RIGHT(F867,1)=")"),MID(F867,2,LEN(F867)-2),F867)="-"),0,IFERROR(VALUE(IF(AND(LEFT(F867,1)="(",RIGHT(F867,1)=")"),MID(F867,2,LEN(F867)-2),F867))*IF(AND(LEFT(F867,1)="(",RIGHT(F867,1)=")"),-1,1)*IF(E867="Cr",Setup!$B$6,1),"ERR")))</f>
        <v/>
      </c>
      <c r="H867" s="6">
        <f>IF(C867="","",IF(ISNUMBER(G867),1,0))</f>
        <v/>
      </c>
      <c r="I867" s="6">
        <f>IF(C867="","",IF(SUMPRODUCT(($C$12:$C$1511=C867)*1)&gt;1,1,0))</f>
        <v/>
      </c>
      <c r="J867" s="6">
        <f>IF(C867="","",SUMPRODUCT((Mapping!$F$5:$F$504=Setup!$B$4&amp;"||"&amp;C867)*ROW(Mapping!$F$5:$F$504)))</f>
        <v/>
      </c>
      <c r="K867" s="6">
        <f>IF(C867="","",IF(J867=0,"UNMAPPED",LOWER(INDEX(Mapping!$D$1:$D$504,J867))))</f>
        <v/>
      </c>
      <c r="L867" s="6">
        <f>IF(K867="mapped",TRIM(INDEX(Mapping!$C$1:$C$504,J867)),"")</f>
        <v/>
      </c>
      <c r="M867" s="6">
        <f>IF(C867="","",IF(SUMPRODUCT(($C$12:C867=C867)*1)=1,1,0))</f>
        <v/>
      </c>
      <c r="N867" s="6">
        <f>IF(AND(K867="UNMAPPED",M867=1),ROW(),"")</f>
        <v/>
      </c>
      <c r="O867" s="6">
        <f>IF(AND(I867=1,M867=1),ROW(),"")</f>
        <v/>
      </c>
      <c r="P867" s="6">
        <f>IF(AND(K867="ignored",M867=1),ROW(),"")</f>
        <v/>
      </c>
    </row>
    <row r="868">
      <c r="A868" s="8" t="n"/>
      <c r="B868" s="8" t="n"/>
      <c r="C868" s="6">
        <f>TRIM(A868&amp;"")</f>
        <v/>
      </c>
      <c r="D868" s="6">
        <f>IF(C868="","",SUBSTITUTE(SUBSTITUTE(SUBSTITUTE(SUBSTITUTE(SUBSTITUTE(SUBSTITUTE(SUBSTITUTE(UPPER(TRIM(B868&amp;"")),"₹",""),"RS.",""),"RS",""),"INR",""),"$",""),",","")," ",""))</f>
        <v/>
      </c>
      <c r="E868" s="6">
        <f>IF(C868="","",IF(RIGHT(D868,2)="CR","Cr",IF(RIGHT(D868,2)="DR","Dr","")))</f>
        <v/>
      </c>
      <c r="F868" s="6">
        <f>IF(C868="","",IF(E868&lt;&gt;"",LEFT(D868,LEN(D868)-2),D868))</f>
        <v/>
      </c>
      <c r="G868" s="13">
        <f>IF(C868="","",IF(OR(IF(AND(LEFT(F868,1)="(",RIGHT(F868,1)=")"),MID(F868,2,LEN(F868)-2),F868)="",IF(AND(LEFT(F868,1)="(",RIGHT(F868,1)=")"),MID(F868,2,LEN(F868)-2),F868)="-"),0,IFERROR(VALUE(IF(AND(LEFT(F868,1)="(",RIGHT(F868,1)=")"),MID(F868,2,LEN(F868)-2),F868))*IF(AND(LEFT(F868,1)="(",RIGHT(F868,1)=")"),-1,1)*IF(E868="Cr",Setup!$B$6,1),"ERR")))</f>
        <v/>
      </c>
      <c r="H868" s="6">
        <f>IF(C868="","",IF(ISNUMBER(G868),1,0))</f>
        <v/>
      </c>
      <c r="I868" s="6">
        <f>IF(C868="","",IF(SUMPRODUCT(($C$12:$C$1511=C868)*1)&gt;1,1,0))</f>
        <v/>
      </c>
      <c r="J868" s="6">
        <f>IF(C868="","",SUMPRODUCT((Mapping!$F$5:$F$504=Setup!$B$4&amp;"||"&amp;C868)*ROW(Mapping!$F$5:$F$504)))</f>
        <v/>
      </c>
      <c r="K868" s="6">
        <f>IF(C868="","",IF(J868=0,"UNMAPPED",LOWER(INDEX(Mapping!$D$1:$D$504,J868))))</f>
        <v/>
      </c>
      <c r="L868" s="6">
        <f>IF(K868="mapped",TRIM(INDEX(Mapping!$C$1:$C$504,J868)),"")</f>
        <v/>
      </c>
      <c r="M868" s="6">
        <f>IF(C868="","",IF(SUMPRODUCT(($C$12:C868=C868)*1)=1,1,0))</f>
        <v/>
      </c>
      <c r="N868" s="6">
        <f>IF(AND(K868="UNMAPPED",M868=1),ROW(),"")</f>
        <v/>
      </c>
      <c r="O868" s="6">
        <f>IF(AND(I868=1,M868=1),ROW(),"")</f>
        <v/>
      </c>
      <c r="P868" s="6">
        <f>IF(AND(K868="ignored",M868=1),ROW(),"")</f>
        <v/>
      </c>
    </row>
    <row r="869">
      <c r="A869" s="8" t="n"/>
      <c r="B869" s="8" t="n"/>
      <c r="C869" s="6">
        <f>TRIM(A869&amp;"")</f>
        <v/>
      </c>
      <c r="D869" s="6">
        <f>IF(C869="","",SUBSTITUTE(SUBSTITUTE(SUBSTITUTE(SUBSTITUTE(SUBSTITUTE(SUBSTITUTE(SUBSTITUTE(UPPER(TRIM(B869&amp;"")),"₹",""),"RS.",""),"RS",""),"INR",""),"$",""),",","")," ",""))</f>
        <v/>
      </c>
      <c r="E869" s="6">
        <f>IF(C869="","",IF(RIGHT(D869,2)="CR","Cr",IF(RIGHT(D869,2)="DR","Dr","")))</f>
        <v/>
      </c>
      <c r="F869" s="6">
        <f>IF(C869="","",IF(E869&lt;&gt;"",LEFT(D869,LEN(D869)-2),D869))</f>
        <v/>
      </c>
      <c r="G869" s="13">
        <f>IF(C869="","",IF(OR(IF(AND(LEFT(F869,1)="(",RIGHT(F869,1)=")"),MID(F869,2,LEN(F869)-2),F869)="",IF(AND(LEFT(F869,1)="(",RIGHT(F869,1)=")"),MID(F869,2,LEN(F869)-2),F869)="-"),0,IFERROR(VALUE(IF(AND(LEFT(F869,1)="(",RIGHT(F869,1)=")"),MID(F869,2,LEN(F869)-2),F869))*IF(AND(LEFT(F869,1)="(",RIGHT(F869,1)=")"),-1,1)*IF(E869="Cr",Setup!$B$6,1),"ERR")))</f>
        <v/>
      </c>
      <c r="H869" s="6">
        <f>IF(C869="","",IF(ISNUMBER(G869),1,0))</f>
        <v/>
      </c>
      <c r="I869" s="6">
        <f>IF(C869="","",IF(SUMPRODUCT(($C$12:$C$1511=C869)*1)&gt;1,1,0))</f>
        <v/>
      </c>
      <c r="J869" s="6">
        <f>IF(C869="","",SUMPRODUCT((Mapping!$F$5:$F$504=Setup!$B$4&amp;"||"&amp;C869)*ROW(Mapping!$F$5:$F$504)))</f>
        <v/>
      </c>
      <c r="K869" s="6">
        <f>IF(C869="","",IF(J869=0,"UNMAPPED",LOWER(INDEX(Mapping!$D$1:$D$504,J869))))</f>
        <v/>
      </c>
      <c r="L869" s="6">
        <f>IF(K869="mapped",TRIM(INDEX(Mapping!$C$1:$C$504,J869)),"")</f>
        <v/>
      </c>
      <c r="M869" s="6">
        <f>IF(C869="","",IF(SUMPRODUCT(($C$12:C869=C869)*1)=1,1,0))</f>
        <v/>
      </c>
      <c r="N869" s="6">
        <f>IF(AND(K869="UNMAPPED",M869=1),ROW(),"")</f>
        <v/>
      </c>
      <c r="O869" s="6">
        <f>IF(AND(I869=1,M869=1),ROW(),"")</f>
        <v/>
      </c>
      <c r="P869" s="6">
        <f>IF(AND(K869="ignored",M869=1),ROW(),"")</f>
        <v/>
      </c>
    </row>
    <row r="870">
      <c r="A870" s="8" t="n"/>
      <c r="B870" s="8" t="n"/>
      <c r="C870" s="6">
        <f>TRIM(A870&amp;"")</f>
        <v/>
      </c>
      <c r="D870" s="6">
        <f>IF(C870="","",SUBSTITUTE(SUBSTITUTE(SUBSTITUTE(SUBSTITUTE(SUBSTITUTE(SUBSTITUTE(SUBSTITUTE(UPPER(TRIM(B870&amp;"")),"₹",""),"RS.",""),"RS",""),"INR",""),"$",""),",","")," ",""))</f>
        <v/>
      </c>
      <c r="E870" s="6">
        <f>IF(C870="","",IF(RIGHT(D870,2)="CR","Cr",IF(RIGHT(D870,2)="DR","Dr","")))</f>
        <v/>
      </c>
      <c r="F870" s="6">
        <f>IF(C870="","",IF(E870&lt;&gt;"",LEFT(D870,LEN(D870)-2),D870))</f>
        <v/>
      </c>
      <c r="G870" s="13">
        <f>IF(C870="","",IF(OR(IF(AND(LEFT(F870,1)="(",RIGHT(F870,1)=")"),MID(F870,2,LEN(F870)-2),F870)="",IF(AND(LEFT(F870,1)="(",RIGHT(F870,1)=")"),MID(F870,2,LEN(F870)-2),F870)="-"),0,IFERROR(VALUE(IF(AND(LEFT(F870,1)="(",RIGHT(F870,1)=")"),MID(F870,2,LEN(F870)-2),F870))*IF(AND(LEFT(F870,1)="(",RIGHT(F870,1)=")"),-1,1)*IF(E870="Cr",Setup!$B$6,1),"ERR")))</f>
        <v/>
      </c>
      <c r="H870" s="6">
        <f>IF(C870="","",IF(ISNUMBER(G870),1,0))</f>
        <v/>
      </c>
      <c r="I870" s="6">
        <f>IF(C870="","",IF(SUMPRODUCT(($C$12:$C$1511=C870)*1)&gt;1,1,0))</f>
        <v/>
      </c>
      <c r="J870" s="6">
        <f>IF(C870="","",SUMPRODUCT((Mapping!$F$5:$F$504=Setup!$B$4&amp;"||"&amp;C870)*ROW(Mapping!$F$5:$F$504)))</f>
        <v/>
      </c>
      <c r="K870" s="6">
        <f>IF(C870="","",IF(J870=0,"UNMAPPED",LOWER(INDEX(Mapping!$D$1:$D$504,J870))))</f>
        <v/>
      </c>
      <c r="L870" s="6">
        <f>IF(K870="mapped",TRIM(INDEX(Mapping!$C$1:$C$504,J870)),"")</f>
        <v/>
      </c>
      <c r="M870" s="6">
        <f>IF(C870="","",IF(SUMPRODUCT(($C$12:C870=C870)*1)=1,1,0))</f>
        <v/>
      </c>
      <c r="N870" s="6">
        <f>IF(AND(K870="UNMAPPED",M870=1),ROW(),"")</f>
        <v/>
      </c>
      <c r="O870" s="6">
        <f>IF(AND(I870=1,M870=1),ROW(),"")</f>
        <v/>
      </c>
      <c r="P870" s="6">
        <f>IF(AND(K870="ignored",M870=1),ROW(),"")</f>
        <v/>
      </c>
    </row>
    <row r="871">
      <c r="A871" s="8" t="n"/>
      <c r="B871" s="8" t="n"/>
      <c r="C871" s="6">
        <f>TRIM(A871&amp;"")</f>
        <v/>
      </c>
      <c r="D871" s="6">
        <f>IF(C871="","",SUBSTITUTE(SUBSTITUTE(SUBSTITUTE(SUBSTITUTE(SUBSTITUTE(SUBSTITUTE(SUBSTITUTE(UPPER(TRIM(B871&amp;"")),"₹",""),"RS.",""),"RS",""),"INR",""),"$",""),",","")," ",""))</f>
        <v/>
      </c>
      <c r="E871" s="6">
        <f>IF(C871="","",IF(RIGHT(D871,2)="CR","Cr",IF(RIGHT(D871,2)="DR","Dr","")))</f>
        <v/>
      </c>
      <c r="F871" s="6">
        <f>IF(C871="","",IF(E871&lt;&gt;"",LEFT(D871,LEN(D871)-2),D871))</f>
        <v/>
      </c>
      <c r="G871" s="13">
        <f>IF(C871="","",IF(OR(IF(AND(LEFT(F871,1)="(",RIGHT(F871,1)=")"),MID(F871,2,LEN(F871)-2),F871)="",IF(AND(LEFT(F871,1)="(",RIGHT(F871,1)=")"),MID(F871,2,LEN(F871)-2),F871)="-"),0,IFERROR(VALUE(IF(AND(LEFT(F871,1)="(",RIGHT(F871,1)=")"),MID(F871,2,LEN(F871)-2),F871))*IF(AND(LEFT(F871,1)="(",RIGHT(F871,1)=")"),-1,1)*IF(E871="Cr",Setup!$B$6,1),"ERR")))</f>
        <v/>
      </c>
      <c r="H871" s="6">
        <f>IF(C871="","",IF(ISNUMBER(G871),1,0))</f>
        <v/>
      </c>
      <c r="I871" s="6">
        <f>IF(C871="","",IF(SUMPRODUCT(($C$12:$C$1511=C871)*1)&gt;1,1,0))</f>
        <v/>
      </c>
      <c r="J871" s="6">
        <f>IF(C871="","",SUMPRODUCT((Mapping!$F$5:$F$504=Setup!$B$4&amp;"||"&amp;C871)*ROW(Mapping!$F$5:$F$504)))</f>
        <v/>
      </c>
      <c r="K871" s="6">
        <f>IF(C871="","",IF(J871=0,"UNMAPPED",LOWER(INDEX(Mapping!$D$1:$D$504,J871))))</f>
        <v/>
      </c>
      <c r="L871" s="6">
        <f>IF(K871="mapped",TRIM(INDEX(Mapping!$C$1:$C$504,J871)),"")</f>
        <v/>
      </c>
      <c r="M871" s="6">
        <f>IF(C871="","",IF(SUMPRODUCT(($C$12:C871=C871)*1)=1,1,0))</f>
        <v/>
      </c>
      <c r="N871" s="6">
        <f>IF(AND(K871="UNMAPPED",M871=1),ROW(),"")</f>
        <v/>
      </c>
      <c r="O871" s="6">
        <f>IF(AND(I871=1,M871=1),ROW(),"")</f>
        <v/>
      </c>
      <c r="P871" s="6">
        <f>IF(AND(K871="ignored",M871=1),ROW(),"")</f>
        <v/>
      </c>
    </row>
    <row r="872">
      <c r="A872" s="8" t="n"/>
      <c r="B872" s="8" t="n"/>
      <c r="C872" s="6">
        <f>TRIM(A872&amp;"")</f>
        <v/>
      </c>
      <c r="D872" s="6">
        <f>IF(C872="","",SUBSTITUTE(SUBSTITUTE(SUBSTITUTE(SUBSTITUTE(SUBSTITUTE(SUBSTITUTE(SUBSTITUTE(UPPER(TRIM(B872&amp;"")),"₹",""),"RS.",""),"RS",""),"INR",""),"$",""),",","")," ",""))</f>
        <v/>
      </c>
      <c r="E872" s="6">
        <f>IF(C872="","",IF(RIGHT(D872,2)="CR","Cr",IF(RIGHT(D872,2)="DR","Dr","")))</f>
        <v/>
      </c>
      <c r="F872" s="6">
        <f>IF(C872="","",IF(E872&lt;&gt;"",LEFT(D872,LEN(D872)-2),D872))</f>
        <v/>
      </c>
      <c r="G872" s="13">
        <f>IF(C872="","",IF(OR(IF(AND(LEFT(F872,1)="(",RIGHT(F872,1)=")"),MID(F872,2,LEN(F872)-2),F872)="",IF(AND(LEFT(F872,1)="(",RIGHT(F872,1)=")"),MID(F872,2,LEN(F872)-2),F872)="-"),0,IFERROR(VALUE(IF(AND(LEFT(F872,1)="(",RIGHT(F872,1)=")"),MID(F872,2,LEN(F872)-2),F872))*IF(AND(LEFT(F872,1)="(",RIGHT(F872,1)=")"),-1,1)*IF(E872="Cr",Setup!$B$6,1),"ERR")))</f>
        <v/>
      </c>
      <c r="H872" s="6">
        <f>IF(C872="","",IF(ISNUMBER(G872),1,0))</f>
        <v/>
      </c>
      <c r="I872" s="6">
        <f>IF(C872="","",IF(SUMPRODUCT(($C$12:$C$1511=C872)*1)&gt;1,1,0))</f>
        <v/>
      </c>
      <c r="J872" s="6">
        <f>IF(C872="","",SUMPRODUCT((Mapping!$F$5:$F$504=Setup!$B$4&amp;"||"&amp;C872)*ROW(Mapping!$F$5:$F$504)))</f>
        <v/>
      </c>
      <c r="K872" s="6">
        <f>IF(C872="","",IF(J872=0,"UNMAPPED",LOWER(INDEX(Mapping!$D$1:$D$504,J872))))</f>
        <v/>
      </c>
      <c r="L872" s="6">
        <f>IF(K872="mapped",TRIM(INDEX(Mapping!$C$1:$C$504,J872)),"")</f>
        <v/>
      </c>
      <c r="M872" s="6">
        <f>IF(C872="","",IF(SUMPRODUCT(($C$12:C872=C872)*1)=1,1,0))</f>
        <v/>
      </c>
      <c r="N872" s="6">
        <f>IF(AND(K872="UNMAPPED",M872=1),ROW(),"")</f>
        <v/>
      </c>
      <c r="O872" s="6">
        <f>IF(AND(I872=1,M872=1),ROW(),"")</f>
        <v/>
      </c>
      <c r="P872" s="6">
        <f>IF(AND(K872="ignored",M872=1),ROW(),"")</f>
        <v/>
      </c>
    </row>
    <row r="873">
      <c r="A873" s="8" t="n"/>
      <c r="B873" s="8" t="n"/>
      <c r="C873" s="6">
        <f>TRIM(A873&amp;"")</f>
        <v/>
      </c>
      <c r="D873" s="6">
        <f>IF(C873="","",SUBSTITUTE(SUBSTITUTE(SUBSTITUTE(SUBSTITUTE(SUBSTITUTE(SUBSTITUTE(SUBSTITUTE(UPPER(TRIM(B873&amp;"")),"₹",""),"RS.",""),"RS",""),"INR",""),"$",""),",","")," ",""))</f>
        <v/>
      </c>
      <c r="E873" s="6">
        <f>IF(C873="","",IF(RIGHT(D873,2)="CR","Cr",IF(RIGHT(D873,2)="DR","Dr","")))</f>
        <v/>
      </c>
      <c r="F873" s="6">
        <f>IF(C873="","",IF(E873&lt;&gt;"",LEFT(D873,LEN(D873)-2),D873))</f>
        <v/>
      </c>
      <c r="G873" s="13">
        <f>IF(C873="","",IF(OR(IF(AND(LEFT(F873,1)="(",RIGHT(F873,1)=")"),MID(F873,2,LEN(F873)-2),F873)="",IF(AND(LEFT(F873,1)="(",RIGHT(F873,1)=")"),MID(F873,2,LEN(F873)-2),F873)="-"),0,IFERROR(VALUE(IF(AND(LEFT(F873,1)="(",RIGHT(F873,1)=")"),MID(F873,2,LEN(F873)-2),F873))*IF(AND(LEFT(F873,1)="(",RIGHT(F873,1)=")"),-1,1)*IF(E873="Cr",Setup!$B$6,1),"ERR")))</f>
        <v/>
      </c>
      <c r="H873" s="6">
        <f>IF(C873="","",IF(ISNUMBER(G873),1,0))</f>
        <v/>
      </c>
      <c r="I873" s="6">
        <f>IF(C873="","",IF(SUMPRODUCT(($C$12:$C$1511=C873)*1)&gt;1,1,0))</f>
        <v/>
      </c>
      <c r="J873" s="6">
        <f>IF(C873="","",SUMPRODUCT((Mapping!$F$5:$F$504=Setup!$B$4&amp;"||"&amp;C873)*ROW(Mapping!$F$5:$F$504)))</f>
        <v/>
      </c>
      <c r="K873" s="6">
        <f>IF(C873="","",IF(J873=0,"UNMAPPED",LOWER(INDEX(Mapping!$D$1:$D$504,J873))))</f>
        <v/>
      </c>
      <c r="L873" s="6">
        <f>IF(K873="mapped",TRIM(INDEX(Mapping!$C$1:$C$504,J873)),"")</f>
        <v/>
      </c>
      <c r="M873" s="6">
        <f>IF(C873="","",IF(SUMPRODUCT(($C$12:C873=C873)*1)=1,1,0))</f>
        <v/>
      </c>
      <c r="N873" s="6">
        <f>IF(AND(K873="UNMAPPED",M873=1),ROW(),"")</f>
        <v/>
      </c>
      <c r="O873" s="6">
        <f>IF(AND(I873=1,M873=1),ROW(),"")</f>
        <v/>
      </c>
      <c r="P873" s="6">
        <f>IF(AND(K873="ignored",M873=1),ROW(),"")</f>
        <v/>
      </c>
    </row>
    <row r="874">
      <c r="A874" s="8" t="n"/>
      <c r="B874" s="8" t="n"/>
      <c r="C874" s="6">
        <f>TRIM(A874&amp;"")</f>
        <v/>
      </c>
      <c r="D874" s="6">
        <f>IF(C874="","",SUBSTITUTE(SUBSTITUTE(SUBSTITUTE(SUBSTITUTE(SUBSTITUTE(SUBSTITUTE(SUBSTITUTE(UPPER(TRIM(B874&amp;"")),"₹",""),"RS.",""),"RS",""),"INR",""),"$",""),",","")," ",""))</f>
        <v/>
      </c>
      <c r="E874" s="6">
        <f>IF(C874="","",IF(RIGHT(D874,2)="CR","Cr",IF(RIGHT(D874,2)="DR","Dr","")))</f>
        <v/>
      </c>
      <c r="F874" s="6">
        <f>IF(C874="","",IF(E874&lt;&gt;"",LEFT(D874,LEN(D874)-2),D874))</f>
        <v/>
      </c>
      <c r="G874" s="13">
        <f>IF(C874="","",IF(OR(IF(AND(LEFT(F874,1)="(",RIGHT(F874,1)=")"),MID(F874,2,LEN(F874)-2),F874)="",IF(AND(LEFT(F874,1)="(",RIGHT(F874,1)=")"),MID(F874,2,LEN(F874)-2),F874)="-"),0,IFERROR(VALUE(IF(AND(LEFT(F874,1)="(",RIGHT(F874,1)=")"),MID(F874,2,LEN(F874)-2),F874))*IF(AND(LEFT(F874,1)="(",RIGHT(F874,1)=")"),-1,1)*IF(E874="Cr",Setup!$B$6,1),"ERR")))</f>
        <v/>
      </c>
      <c r="H874" s="6">
        <f>IF(C874="","",IF(ISNUMBER(G874),1,0))</f>
        <v/>
      </c>
      <c r="I874" s="6">
        <f>IF(C874="","",IF(SUMPRODUCT(($C$12:$C$1511=C874)*1)&gt;1,1,0))</f>
        <v/>
      </c>
      <c r="J874" s="6">
        <f>IF(C874="","",SUMPRODUCT((Mapping!$F$5:$F$504=Setup!$B$4&amp;"||"&amp;C874)*ROW(Mapping!$F$5:$F$504)))</f>
        <v/>
      </c>
      <c r="K874" s="6">
        <f>IF(C874="","",IF(J874=0,"UNMAPPED",LOWER(INDEX(Mapping!$D$1:$D$504,J874))))</f>
        <v/>
      </c>
      <c r="L874" s="6">
        <f>IF(K874="mapped",TRIM(INDEX(Mapping!$C$1:$C$504,J874)),"")</f>
        <v/>
      </c>
      <c r="M874" s="6">
        <f>IF(C874="","",IF(SUMPRODUCT(($C$12:C874=C874)*1)=1,1,0))</f>
        <v/>
      </c>
      <c r="N874" s="6">
        <f>IF(AND(K874="UNMAPPED",M874=1),ROW(),"")</f>
        <v/>
      </c>
      <c r="O874" s="6">
        <f>IF(AND(I874=1,M874=1),ROW(),"")</f>
        <v/>
      </c>
      <c r="P874" s="6">
        <f>IF(AND(K874="ignored",M874=1),ROW(),"")</f>
        <v/>
      </c>
    </row>
    <row r="875">
      <c r="A875" s="8" t="n"/>
      <c r="B875" s="8" t="n"/>
      <c r="C875" s="6">
        <f>TRIM(A875&amp;"")</f>
        <v/>
      </c>
      <c r="D875" s="6">
        <f>IF(C875="","",SUBSTITUTE(SUBSTITUTE(SUBSTITUTE(SUBSTITUTE(SUBSTITUTE(SUBSTITUTE(SUBSTITUTE(UPPER(TRIM(B875&amp;"")),"₹",""),"RS.",""),"RS",""),"INR",""),"$",""),",","")," ",""))</f>
        <v/>
      </c>
      <c r="E875" s="6">
        <f>IF(C875="","",IF(RIGHT(D875,2)="CR","Cr",IF(RIGHT(D875,2)="DR","Dr","")))</f>
        <v/>
      </c>
      <c r="F875" s="6">
        <f>IF(C875="","",IF(E875&lt;&gt;"",LEFT(D875,LEN(D875)-2),D875))</f>
        <v/>
      </c>
      <c r="G875" s="13">
        <f>IF(C875="","",IF(OR(IF(AND(LEFT(F875,1)="(",RIGHT(F875,1)=")"),MID(F875,2,LEN(F875)-2),F875)="",IF(AND(LEFT(F875,1)="(",RIGHT(F875,1)=")"),MID(F875,2,LEN(F875)-2),F875)="-"),0,IFERROR(VALUE(IF(AND(LEFT(F875,1)="(",RIGHT(F875,1)=")"),MID(F875,2,LEN(F875)-2),F875))*IF(AND(LEFT(F875,1)="(",RIGHT(F875,1)=")"),-1,1)*IF(E875="Cr",Setup!$B$6,1),"ERR")))</f>
        <v/>
      </c>
      <c r="H875" s="6">
        <f>IF(C875="","",IF(ISNUMBER(G875),1,0))</f>
        <v/>
      </c>
      <c r="I875" s="6">
        <f>IF(C875="","",IF(SUMPRODUCT(($C$12:$C$1511=C875)*1)&gt;1,1,0))</f>
        <v/>
      </c>
      <c r="J875" s="6">
        <f>IF(C875="","",SUMPRODUCT((Mapping!$F$5:$F$504=Setup!$B$4&amp;"||"&amp;C875)*ROW(Mapping!$F$5:$F$504)))</f>
        <v/>
      </c>
      <c r="K875" s="6">
        <f>IF(C875="","",IF(J875=0,"UNMAPPED",LOWER(INDEX(Mapping!$D$1:$D$504,J875))))</f>
        <v/>
      </c>
      <c r="L875" s="6">
        <f>IF(K875="mapped",TRIM(INDEX(Mapping!$C$1:$C$504,J875)),"")</f>
        <v/>
      </c>
      <c r="M875" s="6">
        <f>IF(C875="","",IF(SUMPRODUCT(($C$12:C875=C875)*1)=1,1,0))</f>
        <v/>
      </c>
      <c r="N875" s="6">
        <f>IF(AND(K875="UNMAPPED",M875=1),ROW(),"")</f>
        <v/>
      </c>
      <c r="O875" s="6">
        <f>IF(AND(I875=1,M875=1),ROW(),"")</f>
        <v/>
      </c>
      <c r="P875" s="6">
        <f>IF(AND(K875="ignored",M875=1),ROW(),"")</f>
        <v/>
      </c>
    </row>
    <row r="876">
      <c r="A876" s="8" t="n"/>
      <c r="B876" s="8" t="n"/>
      <c r="C876" s="6">
        <f>TRIM(A876&amp;"")</f>
        <v/>
      </c>
      <c r="D876" s="6">
        <f>IF(C876="","",SUBSTITUTE(SUBSTITUTE(SUBSTITUTE(SUBSTITUTE(SUBSTITUTE(SUBSTITUTE(SUBSTITUTE(UPPER(TRIM(B876&amp;"")),"₹",""),"RS.",""),"RS",""),"INR",""),"$",""),",","")," ",""))</f>
        <v/>
      </c>
      <c r="E876" s="6">
        <f>IF(C876="","",IF(RIGHT(D876,2)="CR","Cr",IF(RIGHT(D876,2)="DR","Dr","")))</f>
        <v/>
      </c>
      <c r="F876" s="6">
        <f>IF(C876="","",IF(E876&lt;&gt;"",LEFT(D876,LEN(D876)-2),D876))</f>
        <v/>
      </c>
      <c r="G876" s="13">
        <f>IF(C876="","",IF(OR(IF(AND(LEFT(F876,1)="(",RIGHT(F876,1)=")"),MID(F876,2,LEN(F876)-2),F876)="",IF(AND(LEFT(F876,1)="(",RIGHT(F876,1)=")"),MID(F876,2,LEN(F876)-2),F876)="-"),0,IFERROR(VALUE(IF(AND(LEFT(F876,1)="(",RIGHT(F876,1)=")"),MID(F876,2,LEN(F876)-2),F876))*IF(AND(LEFT(F876,1)="(",RIGHT(F876,1)=")"),-1,1)*IF(E876="Cr",Setup!$B$6,1),"ERR")))</f>
        <v/>
      </c>
      <c r="H876" s="6">
        <f>IF(C876="","",IF(ISNUMBER(G876),1,0))</f>
        <v/>
      </c>
      <c r="I876" s="6">
        <f>IF(C876="","",IF(SUMPRODUCT(($C$12:$C$1511=C876)*1)&gt;1,1,0))</f>
        <v/>
      </c>
      <c r="J876" s="6">
        <f>IF(C876="","",SUMPRODUCT((Mapping!$F$5:$F$504=Setup!$B$4&amp;"||"&amp;C876)*ROW(Mapping!$F$5:$F$504)))</f>
        <v/>
      </c>
      <c r="K876" s="6">
        <f>IF(C876="","",IF(J876=0,"UNMAPPED",LOWER(INDEX(Mapping!$D$1:$D$504,J876))))</f>
        <v/>
      </c>
      <c r="L876" s="6">
        <f>IF(K876="mapped",TRIM(INDEX(Mapping!$C$1:$C$504,J876)),"")</f>
        <v/>
      </c>
      <c r="M876" s="6">
        <f>IF(C876="","",IF(SUMPRODUCT(($C$12:C876=C876)*1)=1,1,0))</f>
        <v/>
      </c>
      <c r="N876" s="6">
        <f>IF(AND(K876="UNMAPPED",M876=1),ROW(),"")</f>
        <v/>
      </c>
      <c r="O876" s="6">
        <f>IF(AND(I876=1,M876=1),ROW(),"")</f>
        <v/>
      </c>
      <c r="P876" s="6">
        <f>IF(AND(K876="ignored",M876=1),ROW(),"")</f>
        <v/>
      </c>
    </row>
    <row r="877">
      <c r="A877" s="8" t="n"/>
      <c r="B877" s="8" t="n"/>
      <c r="C877" s="6">
        <f>TRIM(A877&amp;"")</f>
        <v/>
      </c>
      <c r="D877" s="6">
        <f>IF(C877="","",SUBSTITUTE(SUBSTITUTE(SUBSTITUTE(SUBSTITUTE(SUBSTITUTE(SUBSTITUTE(SUBSTITUTE(UPPER(TRIM(B877&amp;"")),"₹",""),"RS.",""),"RS",""),"INR",""),"$",""),",","")," ",""))</f>
        <v/>
      </c>
      <c r="E877" s="6">
        <f>IF(C877="","",IF(RIGHT(D877,2)="CR","Cr",IF(RIGHT(D877,2)="DR","Dr","")))</f>
        <v/>
      </c>
      <c r="F877" s="6">
        <f>IF(C877="","",IF(E877&lt;&gt;"",LEFT(D877,LEN(D877)-2),D877))</f>
        <v/>
      </c>
      <c r="G877" s="13">
        <f>IF(C877="","",IF(OR(IF(AND(LEFT(F877,1)="(",RIGHT(F877,1)=")"),MID(F877,2,LEN(F877)-2),F877)="",IF(AND(LEFT(F877,1)="(",RIGHT(F877,1)=")"),MID(F877,2,LEN(F877)-2),F877)="-"),0,IFERROR(VALUE(IF(AND(LEFT(F877,1)="(",RIGHT(F877,1)=")"),MID(F877,2,LEN(F877)-2),F877))*IF(AND(LEFT(F877,1)="(",RIGHT(F877,1)=")"),-1,1)*IF(E877="Cr",Setup!$B$6,1),"ERR")))</f>
        <v/>
      </c>
      <c r="H877" s="6">
        <f>IF(C877="","",IF(ISNUMBER(G877),1,0))</f>
        <v/>
      </c>
      <c r="I877" s="6">
        <f>IF(C877="","",IF(SUMPRODUCT(($C$12:$C$1511=C877)*1)&gt;1,1,0))</f>
        <v/>
      </c>
      <c r="J877" s="6">
        <f>IF(C877="","",SUMPRODUCT((Mapping!$F$5:$F$504=Setup!$B$4&amp;"||"&amp;C877)*ROW(Mapping!$F$5:$F$504)))</f>
        <v/>
      </c>
      <c r="K877" s="6">
        <f>IF(C877="","",IF(J877=0,"UNMAPPED",LOWER(INDEX(Mapping!$D$1:$D$504,J877))))</f>
        <v/>
      </c>
      <c r="L877" s="6">
        <f>IF(K877="mapped",TRIM(INDEX(Mapping!$C$1:$C$504,J877)),"")</f>
        <v/>
      </c>
      <c r="M877" s="6">
        <f>IF(C877="","",IF(SUMPRODUCT(($C$12:C877=C877)*1)=1,1,0))</f>
        <v/>
      </c>
      <c r="N877" s="6">
        <f>IF(AND(K877="UNMAPPED",M877=1),ROW(),"")</f>
        <v/>
      </c>
      <c r="O877" s="6">
        <f>IF(AND(I877=1,M877=1),ROW(),"")</f>
        <v/>
      </c>
      <c r="P877" s="6">
        <f>IF(AND(K877="ignored",M877=1),ROW(),"")</f>
        <v/>
      </c>
    </row>
    <row r="878">
      <c r="A878" s="8" t="n"/>
      <c r="B878" s="8" t="n"/>
      <c r="C878" s="6">
        <f>TRIM(A878&amp;"")</f>
        <v/>
      </c>
      <c r="D878" s="6">
        <f>IF(C878="","",SUBSTITUTE(SUBSTITUTE(SUBSTITUTE(SUBSTITUTE(SUBSTITUTE(SUBSTITUTE(SUBSTITUTE(UPPER(TRIM(B878&amp;"")),"₹",""),"RS.",""),"RS",""),"INR",""),"$",""),",","")," ",""))</f>
        <v/>
      </c>
      <c r="E878" s="6">
        <f>IF(C878="","",IF(RIGHT(D878,2)="CR","Cr",IF(RIGHT(D878,2)="DR","Dr","")))</f>
        <v/>
      </c>
      <c r="F878" s="6">
        <f>IF(C878="","",IF(E878&lt;&gt;"",LEFT(D878,LEN(D878)-2),D878))</f>
        <v/>
      </c>
      <c r="G878" s="13">
        <f>IF(C878="","",IF(OR(IF(AND(LEFT(F878,1)="(",RIGHT(F878,1)=")"),MID(F878,2,LEN(F878)-2),F878)="",IF(AND(LEFT(F878,1)="(",RIGHT(F878,1)=")"),MID(F878,2,LEN(F878)-2),F878)="-"),0,IFERROR(VALUE(IF(AND(LEFT(F878,1)="(",RIGHT(F878,1)=")"),MID(F878,2,LEN(F878)-2),F878))*IF(AND(LEFT(F878,1)="(",RIGHT(F878,1)=")"),-1,1)*IF(E878="Cr",Setup!$B$6,1),"ERR")))</f>
        <v/>
      </c>
      <c r="H878" s="6">
        <f>IF(C878="","",IF(ISNUMBER(G878),1,0))</f>
        <v/>
      </c>
      <c r="I878" s="6">
        <f>IF(C878="","",IF(SUMPRODUCT(($C$12:$C$1511=C878)*1)&gt;1,1,0))</f>
        <v/>
      </c>
      <c r="J878" s="6">
        <f>IF(C878="","",SUMPRODUCT((Mapping!$F$5:$F$504=Setup!$B$4&amp;"||"&amp;C878)*ROW(Mapping!$F$5:$F$504)))</f>
        <v/>
      </c>
      <c r="K878" s="6">
        <f>IF(C878="","",IF(J878=0,"UNMAPPED",LOWER(INDEX(Mapping!$D$1:$D$504,J878))))</f>
        <v/>
      </c>
      <c r="L878" s="6">
        <f>IF(K878="mapped",TRIM(INDEX(Mapping!$C$1:$C$504,J878)),"")</f>
        <v/>
      </c>
      <c r="M878" s="6">
        <f>IF(C878="","",IF(SUMPRODUCT(($C$12:C878=C878)*1)=1,1,0))</f>
        <v/>
      </c>
      <c r="N878" s="6">
        <f>IF(AND(K878="UNMAPPED",M878=1),ROW(),"")</f>
        <v/>
      </c>
      <c r="O878" s="6">
        <f>IF(AND(I878=1,M878=1),ROW(),"")</f>
        <v/>
      </c>
      <c r="P878" s="6">
        <f>IF(AND(K878="ignored",M878=1),ROW(),"")</f>
        <v/>
      </c>
    </row>
    <row r="879">
      <c r="A879" s="8" t="n"/>
      <c r="B879" s="8" t="n"/>
      <c r="C879" s="6">
        <f>TRIM(A879&amp;"")</f>
        <v/>
      </c>
      <c r="D879" s="6">
        <f>IF(C879="","",SUBSTITUTE(SUBSTITUTE(SUBSTITUTE(SUBSTITUTE(SUBSTITUTE(SUBSTITUTE(SUBSTITUTE(UPPER(TRIM(B879&amp;"")),"₹",""),"RS.",""),"RS",""),"INR",""),"$",""),",","")," ",""))</f>
        <v/>
      </c>
      <c r="E879" s="6">
        <f>IF(C879="","",IF(RIGHT(D879,2)="CR","Cr",IF(RIGHT(D879,2)="DR","Dr","")))</f>
        <v/>
      </c>
      <c r="F879" s="6">
        <f>IF(C879="","",IF(E879&lt;&gt;"",LEFT(D879,LEN(D879)-2),D879))</f>
        <v/>
      </c>
      <c r="G879" s="13">
        <f>IF(C879="","",IF(OR(IF(AND(LEFT(F879,1)="(",RIGHT(F879,1)=")"),MID(F879,2,LEN(F879)-2),F879)="",IF(AND(LEFT(F879,1)="(",RIGHT(F879,1)=")"),MID(F879,2,LEN(F879)-2),F879)="-"),0,IFERROR(VALUE(IF(AND(LEFT(F879,1)="(",RIGHT(F879,1)=")"),MID(F879,2,LEN(F879)-2),F879))*IF(AND(LEFT(F879,1)="(",RIGHT(F879,1)=")"),-1,1)*IF(E879="Cr",Setup!$B$6,1),"ERR")))</f>
        <v/>
      </c>
      <c r="H879" s="6">
        <f>IF(C879="","",IF(ISNUMBER(G879),1,0))</f>
        <v/>
      </c>
      <c r="I879" s="6">
        <f>IF(C879="","",IF(SUMPRODUCT(($C$12:$C$1511=C879)*1)&gt;1,1,0))</f>
        <v/>
      </c>
      <c r="J879" s="6">
        <f>IF(C879="","",SUMPRODUCT((Mapping!$F$5:$F$504=Setup!$B$4&amp;"||"&amp;C879)*ROW(Mapping!$F$5:$F$504)))</f>
        <v/>
      </c>
      <c r="K879" s="6">
        <f>IF(C879="","",IF(J879=0,"UNMAPPED",LOWER(INDEX(Mapping!$D$1:$D$504,J879))))</f>
        <v/>
      </c>
      <c r="L879" s="6">
        <f>IF(K879="mapped",TRIM(INDEX(Mapping!$C$1:$C$504,J879)),"")</f>
        <v/>
      </c>
      <c r="M879" s="6">
        <f>IF(C879="","",IF(SUMPRODUCT(($C$12:C879=C879)*1)=1,1,0))</f>
        <v/>
      </c>
      <c r="N879" s="6">
        <f>IF(AND(K879="UNMAPPED",M879=1),ROW(),"")</f>
        <v/>
      </c>
      <c r="O879" s="6">
        <f>IF(AND(I879=1,M879=1),ROW(),"")</f>
        <v/>
      </c>
      <c r="P879" s="6">
        <f>IF(AND(K879="ignored",M879=1),ROW(),"")</f>
        <v/>
      </c>
    </row>
    <row r="880">
      <c r="A880" s="8" t="n"/>
      <c r="B880" s="8" t="n"/>
      <c r="C880" s="6">
        <f>TRIM(A880&amp;"")</f>
        <v/>
      </c>
      <c r="D880" s="6">
        <f>IF(C880="","",SUBSTITUTE(SUBSTITUTE(SUBSTITUTE(SUBSTITUTE(SUBSTITUTE(SUBSTITUTE(SUBSTITUTE(UPPER(TRIM(B880&amp;"")),"₹",""),"RS.",""),"RS",""),"INR",""),"$",""),",","")," ",""))</f>
        <v/>
      </c>
      <c r="E880" s="6">
        <f>IF(C880="","",IF(RIGHT(D880,2)="CR","Cr",IF(RIGHT(D880,2)="DR","Dr","")))</f>
        <v/>
      </c>
      <c r="F880" s="6">
        <f>IF(C880="","",IF(E880&lt;&gt;"",LEFT(D880,LEN(D880)-2),D880))</f>
        <v/>
      </c>
      <c r="G880" s="13">
        <f>IF(C880="","",IF(OR(IF(AND(LEFT(F880,1)="(",RIGHT(F880,1)=")"),MID(F880,2,LEN(F880)-2),F880)="",IF(AND(LEFT(F880,1)="(",RIGHT(F880,1)=")"),MID(F880,2,LEN(F880)-2),F880)="-"),0,IFERROR(VALUE(IF(AND(LEFT(F880,1)="(",RIGHT(F880,1)=")"),MID(F880,2,LEN(F880)-2),F880))*IF(AND(LEFT(F880,1)="(",RIGHT(F880,1)=")"),-1,1)*IF(E880="Cr",Setup!$B$6,1),"ERR")))</f>
        <v/>
      </c>
      <c r="H880" s="6">
        <f>IF(C880="","",IF(ISNUMBER(G880),1,0))</f>
        <v/>
      </c>
      <c r="I880" s="6">
        <f>IF(C880="","",IF(SUMPRODUCT(($C$12:$C$1511=C880)*1)&gt;1,1,0))</f>
        <v/>
      </c>
      <c r="J880" s="6">
        <f>IF(C880="","",SUMPRODUCT((Mapping!$F$5:$F$504=Setup!$B$4&amp;"||"&amp;C880)*ROW(Mapping!$F$5:$F$504)))</f>
        <v/>
      </c>
      <c r="K880" s="6">
        <f>IF(C880="","",IF(J880=0,"UNMAPPED",LOWER(INDEX(Mapping!$D$1:$D$504,J880))))</f>
        <v/>
      </c>
      <c r="L880" s="6">
        <f>IF(K880="mapped",TRIM(INDEX(Mapping!$C$1:$C$504,J880)),"")</f>
        <v/>
      </c>
      <c r="M880" s="6">
        <f>IF(C880="","",IF(SUMPRODUCT(($C$12:C880=C880)*1)=1,1,0))</f>
        <v/>
      </c>
      <c r="N880" s="6">
        <f>IF(AND(K880="UNMAPPED",M880=1),ROW(),"")</f>
        <v/>
      </c>
      <c r="O880" s="6">
        <f>IF(AND(I880=1,M880=1),ROW(),"")</f>
        <v/>
      </c>
      <c r="P880" s="6">
        <f>IF(AND(K880="ignored",M880=1),ROW(),"")</f>
        <v/>
      </c>
    </row>
    <row r="881">
      <c r="A881" s="8" t="n"/>
      <c r="B881" s="8" t="n"/>
      <c r="C881" s="6">
        <f>TRIM(A881&amp;"")</f>
        <v/>
      </c>
      <c r="D881" s="6">
        <f>IF(C881="","",SUBSTITUTE(SUBSTITUTE(SUBSTITUTE(SUBSTITUTE(SUBSTITUTE(SUBSTITUTE(SUBSTITUTE(UPPER(TRIM(B881&amp;"")),"₹",""),"RS.",""),"RS",""),"INR",""),"$",""),",","")," ",""))</f>
        <v/>
      </c>
      <c r="E881" s="6">
        <f>IF(C881="","",IF(RIGHT(D881,2)="CR","Cr",IF(RIGHT(D881,2)="DR","Dr","")))</f>
        <v/>
      </c>
      <c r="F881" s="6">
        <f>IF(C881="","",IF(E881&lt;&gt;"",LEFT(D881,LEN(D881)-2),D881))</f>
        <v/>
      </c>
      <c r="G881" s="13">
        <f>IF(C881="","",IF(OR(IF(AND(LEFT(F881,1)="(",RIGHT(F881,1)=")"),MID(F881,2,LEN(F881)-2),F881)="",IF(AND(LEFT(F881,1)="(",RIGHT(F881,1)=")"),MID(F881,2,LEN(F881)-2),F881)="-"),0,IFERROR(VALUE(IF(AND(LEFT(F881,1)="(",RIGHT(F881,1)=")"),MID(F881,2,LEN(F881)-2),F881))*IF(AND(LEFT(F881,1)="(",RIGHT(F881,1)=")"),-1,1)*IF(E881="Cr",Setup!$B$6,1),"ERR")))</f>
        <v/>
      </c>
      <c r="H881" s="6">
        <f>IF(C881="","",IF(ISNUMBER(G881),1,0))</f>
        <v/>
      </c>
      <c r="I881" s="6">
        <f>IF(C881="","",IF(SUMPRODUCT(($C$12:$C$1511=C881)*1)&gt;1,1,0))</f>
        <v/>
      </c>
      <c r="J881" s="6">
        <f>IF(C881="","",SUMPRODUCT((Mapping!$F$5:$F$504=Setup!$B$4&amp;"||"&amp;C881)*ROW(Mapping!$F$5:$F$504)))</f>
        <v/>
      </c>
      <c r="K881" s="6">
        <f>IF(C881="","",IF(J881=0,"UNMAPPED",LOWER(INDEX(Mapping!$D$1:$D$504,J881))))</f>
        <v/>
      </c>
      <c r="L881" s="6">
        <f>IF(K881="mapped",TRIM(INDEX(Mapping!$C$1:$C$504,J881)),"")</f>
        <v/>
      </c>
      <c r="M881" s="6">
        <f>IF(C881="","",IF(SUMPRODUCT(($C$12:C881=C881)*1)=1,1,0))</f>
        <v/>
      </c>
      <c r="N881" s="6">
        <f>IF(AND(K881="UNMAPPED",M881=1),ROW(),"")</f>
        <v/>
      </c>
      <c r="O881" s="6">
        <f>IF(AND(I881=1,M881=1),ROW(),"")</f>
        <v/>
      </c>
      <c r="P881" s="6">
        <f>IF(AND(K881="ignored",M881=1),ROW(),"")</f>
        <v/>
      </c>
    </row>
    <row r="882">
      <c r="A882" s="8" t="n"/>
      <c r="B882" s="8" t="n"/>
      <c r="C882" s="6">
        <f>TRIM(A882&amp;"")</f>
        <v/>
      </c>
      <c r="D882" s="6">
        <f>IF(C882="","",SUBSTITUTE(SUBSTITUTE(SUBSTITUTE(SUBSTITUTE(SUBSTITUTE(SUBSTITUTE(SUBSTITUTE(UPPER(TRIM(B882&amp;"")),"₹",""),"RS.",""),"RS",""),"INR",""),"$",""),",","")," ",""))</f>
        <v/>
      </c>
      <c r="E882" s="6">
        <f>IF(C882="","",IF(RIGHT(D882,2)="CR","Cr",IF(RIGHT(D882,2)="DR","Dr","")))</f>
        <v/>
      </c>
      <c r="F882" s="6">
        <f>IF(C882="","",IF(E882&lt;&gt;"",LEFT(D882,LEN(D882)-2),D882))</f>
        <v/>
      </c>
      <c r="G882" s="13">
        <f>IF(C882="","",IF(OR(IF(AND(LEFT(F882,1)="(",RIGHT(F882,1)=")"),MID(F882,2,LEN(F882)-2),F882)="",IF(AND(LEFT(F882,1)="(",RIGHT(F882,1)=")"),MID(F882,2,LEN(F882)-2),F882)="-"),0,IFERROR(VALUE(IF(AND(LEFT(F882,1)="(",RIGHT(F882,1)=")"),MID(F882,2,LEN(F882)-2),F882))*IF(AND(LEFT(F882,1)="(",RIGHT(F882,1)=")"),-1,1)*IF(E882="Cr",Setup!$B$6,1),"ERR")))</f>
        <v/>
      </c>
      <c r="H882" s="6">
        <f>IF(C882="","",IF(ISNUMBER(G882),1,0))</f>
        <v/>
      </c>
      <c r="I882" s="6">
        <f>IF(C882="","",IF(SUMPRODUCT(($C$12:$C$1511=C882)*1)&gt;1,1,0))</f>
        <v/>
      </c>
      <c r="J882" s="6">
        <f>IF(C882="","",SUMPRODUCT((Mapping!$F$5:$F$504=Setup!$B$4&amp;"||"&amp;C882)*ROW(Mapping!$F$5:$F$504)))</f>
        <v/>
      </c>
      <c r="K882" s="6">
        <f>IF(C882="","",IF(J882=0,"UNMAPPED",LOWER(INDEX(Mapping!$D$1:$D$504,J882))))</f>
        <v/>
      </c>
      <c r="L882" s="6">
        <f>IF(K882="mapped",TRIM(INDEX(Mapping!$C$1:$C$504,J882)),"")</f>
        <v/>
      </c>
      <c r="M882" s="6">
        <f>IF(C882="","",IF(SUMPRODUCT(($C$12:C882=C882)*1)=1,1,0))</f>
        <v/>
      </c>
      <c r="N882" s="6">
        <f>IF(AND(K882="UNMAPPED",M882=1),ROW(),"")</f>
        <v/>
      </c>
      <c r="O882" s="6">
        <f>IF(AND(I882=1,M882=1),ROW(),"")</f>
        <v/>
      </c>
      <c r="P882" s="6">
        <f>IF(AND(K882="ignored",M882=1),ROW(),"")</f>
        <v/>
      </c>
    </row>
    <row r="883">
      <c r="A883" s="8" t="n"/>
      <c r="B883" s="8" t="n"/>
      <c r="C883" s="6">
        <f>TRIM(A883&amp;"")</f>
        <v/>
      </c>
      <c r="D883" s="6">
        <f>IF(C883="","",SUBSTITUTE(SUBSTITUTE(SUBSTITUTE(SUBSTITUTE(SUBSTITUTE(SUBSTITUTE(SUBSTITUTE(UPPER(TRIM(B883&amp;"")),"₹",""),"RS.",""),"RS",""),"INR",""),"$",""),",","")," ",""))</f>
        <v/>
      </c>
      <c r="E883" s="6">
        <f>IF(C883="","",IF(RIGHT(D883,2)="CR","Cr",IF(RIGHT(D883,2)="DR","Dr","")))</f>
        <v/>
      </c>
      <c r="F883" s="6">
        <f>IF(C883="","",IF(E883&lt;&gt;"",LEFT(D883,LEN(D883)-2),D883))</f>
        <v/>
      </c>
      <c r="G883" s="13">
        <f>IF(C883="","",IF(OR(IF(AND(LEFT(F883,1)="(",RIGHT(F883,1)=")"),MID(F883,2,LEN(F883)-2),F883)="",IF(AND(LEFT(F883,1)="(",RIGHT(F883,1)=")"),MID(F883,2,LEN(F883)-2),F883)="-"),0,IFERROR(VALUE(IF(AND(LEFT(F883,1)="(",RIGHT(F883,1)=")"),MID(F883,2,LEN(F883)-2),F883))*IF(AND(LEFT(F883,1)="(",RIGHT(F883,1)=")"),-1,1)*IF(E883="Cr",Setup!$B$6,1),"ERR")))</f>
        <v/>
      </c>
      <c r="H883" s="6">
        <f>IF(C883="","",IF(ISNUMBER(G883),1,0))</f>
        <v/>
      </c>
      <c r="I883" s="6">
        <f>IF(C883="","",IF(SUMPRODUCT(($C$12:$C$1511=C883)*1)&gt;1,1,0))</f>
        <v/>
      </c>
      <c r="J883" s="6">
        <f>IF(C883="","",SUMPRODUCT((Mapping!$F$5:$F$504=Setup!$B$4&amp;"||"&amp;C883)*ROW(Mapping!$F$5:$F$504)))</f>
        <v/>
      </c>
      <c r="K883" s="6">
        <f>IF(C883="","",IF(J883=0,"UNMAPPED",LOWER(INDEX(Mapping!$D$1:$D$504,J883))))</f>
        <v/>
      </c>
      <c r="L883" s="6">
        <f>IF(K883="mapped",TRIM(INDEX(Mapping!$C$1:$C$504,J883)),"")</f>
        <v/>
      </c>
      <c r="M883" s="6">
        <f>IF(C883="","",IF(SUMPRODUCT(($C$12:C883=C883)*1)=1,1,0))</f>
        <v/>
      </c>
      <c r="N883" s="6">
        <f>IF(AND(K883="UNMAPPED",M883=1),ROW(),"")</f>
        <v/>
      </c>
      <c r="O883" s="6">
        <f>IF(AND(I883=1,M883=1),ROW(),"")</f>
        <v/>
      </c>
      <c r="P883" s="6">
        <f>IF(AND(K883="ignored",M883=1),ROW(),"")</f>
        <v/>
      </c>
    </row>
    <row r="884">
      <c r="A884" s="8" t="n"/>
      <c r="B884" s="8" t="n"/>
      <c r="C884" s="6">
        <f>TRIM(A884&amp;"")</f>
        <v/>
      </c>
      <c r="D884" s="6">
        <f>IF(C884="","",SUBSTITUTE(SUBSTITUTE(SUBSTITUTE(SUBSTITUTE(SUBSTITUTE(SUBSTITUTE(SUBSTITUTE(UPPER(TRIM(B884&amp;"")),"₹",""),"RS.",""),"RS",""),"INR",""),"$",""),",","")," ",""))</f>
        <v/>
      </c>
      <c r="E884" s="6">
        <f>IF(C884="","",IF(RIGHT(D884,2)="CR","Cr",IF(RIGHT(D884,2)="DR","Dr","")))</f>
        <v/>
      </c>
      <c r="F884" s="6">
        <f>IF(C884="","",IF(E884&lt;&gt;"",LEFT(D884,LEN(D884)-2),D884))</f>
        <v/>
      </c>
      <c r="G884" s="13">
        <f>IF(C884="","",IF(OR(IF(AND(LEFT(F884,1)="(",RIGHT(F884,1)=")"),MID(F884,2,LEN(F884)-2),F884)="",IF(AND(LEFT(F884,1)="(",RIGHT(F884,1)=")"),MID(F884,2,LEN(F884)-2),F884)="-"),0,IFERROR(VALUE(IF(AND(LEFT(F884,1)="(",RIGHT(F884,1)=")"),MID(F884,2,LEN(F884)-2),F884))*IF(AND(LEFT(F884,1)="(",RIGHT(F884,1)=")"),-1,1)*IF(E884="Cr",Setup!$B$6,1),"ERR")))</f>
        <v/>
      </c>
      <c r="H884" s="6">
        <f>IF(C884="","",IF(ISNUMBER(G884),1,0))</f>
        <v/>
      </c>
      <c r="I884" s="6">
        <f>IF(C884="","",IF(SUMPRODUCT(($C$12:$C$1511=C884)*1)&gt;1,1,0))</f>
        <v/>
      </c>
      <c r="J884" s="6">
        <f>IF(C884="","",SUMPRODUCT((Mapping!$F$5:$F$504=Setup!$B$4&amp;"||"&amp;C884)*ROW(Mapping!$F$5:$F$504)))</f>
        <v/>
      </c>
      <c r="K884" s="6">
        <f>IF(C884="","",IF(J884=0,"UNMAPPED",LOWER(INDEX(Mapping!$D$1:$D$504,J884))))</f>
        <v/>
      </c>
      <c r="L884" s="6">
        <f>IF(K884="mapped",TRIM(INDEX(Mapping!$C$1:$C$504,J884)),"")</f>
        <v/>
      </c>
      <c r="M884" s="6">
        <f>IF(C884="","",IF(SUMPRODUCT(($C$12:C884=C884)*1)=1,1,0))</f>
        <v/>
      </c>
      <c r="N884" s="6">
        <f>IF(AND(K884="UNMAPPED",M884=1),ROW(),"")</f>
        <v/>
      </c>
      <c r="O884" s="6">
        <f>IF(AND(I884=1,M884=1),ROW(),"")</f>
        <v/>
      </c>
      <c r="P884" s="6">
        <f>IF(AND(K884="ignored",M884=1),ROW(),"")</f>
        <v/>
      </c>
    </row>
    <row r="885">
      <c r="A885" s="8" t="n"/>
      <c r="B885" s="8" t="n"/>
      <c r="C885" s="6">
        <f>TRIM(A885&amp;"")</f>
        <v/>
      </c>
      <c r="D885" s="6">
        <f>IF(C885="","",SUBSTITUTE(SUBSTITUTE(SUBSTITUTE(SUBSTITUTE(SUBSTITUTE(SUBSTITUTE(SUBSTITUTE(UPPER(TRIM(B885&amp;"")),"₹",""),"RS.",""),"RS",""),"INR",""),"$",""),",","")," ",""))</f>
        <v/>
      </c>
      <c r="E885" s="6">
        <f>IF(C885="","",IF(RIGHT(D885,2)="CR","Cr",IF(RIGHT(D885,2)="DR","Dr","")))</f>
        <v/>
      </c>
      <c r="F885" s="6">
        <f>IF(C885="","",IF(E885&lt;&gt;"",LEFT(D885,LEN(D885)-2),D885))</f>
        <v/>
      </c>
      <c r="G885" s="13">
        <f>IF(C885="","",IF(OR(IF(AND(LEFT(F885,1)="(",RIGHT(F885,1)=")"),MID(F885,2,LEN(F885)-2),F885)="",IF(AND(LEFT(F885,1)="(",RIGHT(F885,1)=")"),MID(F885,2,LEN(F885)-2),F885)="-"),0,IFERROR(VALUE(IF(AND(LEFT(F885,1)="(",RIGHT(F885,1)=")"),MID(F885,2,LEN(F885)-2),F885))*IF(AND(LEFT(F885,1)="(",RIGHT(F885,1)=")"),-1,1)*IF(E885="Cr",Setup!$B$6,1),"ERR")))</f>
        <v/>
      </c>
      <c r="H885" s="6">
        <f>IF(C885="","",IF(ISNUMBER(G885),1,0))</f>
        <v/>
      </c>
      <c r="I885" s="6">
        <f>IF(C885="","",IF(SUMPRODUCT(($C$12:$C$1511=C885)*1)&gt;1,1,0))</f>
        <v/>
      </c>
      <c r="J885" s="6">
        <f>IF(C885="","",SUMPRODUCT((Mapping!$F$5:$F$504=Setup!$B$4&amp;"||"&amp;C885)*ROW(Mapping!$F$5:$F$504)))</f>
        <v/>
      </c>
      <c r="K885" s="6">
        <f>IF(C885="","",IF(J885=0,"UNMAPPED",LOWER(INDEX(Mapping!$D$1:$D$504,J885))))</f>
        <v/>
      </c>
      <c r="L885" s="6">
        <f>IF(K885="mapped",TRIM(INDEX(Mapping!$C$1:$C$504,J885)),"")</f>
        <v/>
      </c>
      <c r="M885" s="6">
        <f>IF(C885="","",IF(SUMPRODUCT(($C$12:C885=C885)*1)=1,1,0))</f>
        <v/>
      </c>
      <c r="N885" s="6">
        <f>IF(AND(K885="UNMAPPED",M885=1),ROW(),"")</f>
        <v/>
      </c>
      <c r="O885" s="6">
        <f>IF(AND(I885=1,M885=1),ROW(),"")</f>
        <v/>
      </c>
      <c r="P885" s="6">
        <f>IF(AND(K885="ignored",M885=1),ROW(),"")</f>
        <v/>
      </c>
    </row>
    <row r="886">
      <c r="A886" s="8" t="n"/>
      <c r="B886" s="8" t="n"/>
      <c r="C886" s="6">
        <f>TRIM(A886&amp;"")</f>
        <v/>
      </c>
      <c r="D886" s="6">
        <f>IF(C886="","",SUBSTITUTE(SUBSTITUTE(SUBSTITUTE(SUBSTITUTE(SUBSTITUTE(SUBSTITUTE(SUBSTITUTE(UPPER(TRIM(B886&amp;"")),"₹",""),"RS.",""),"RS",""),"INR",""),"$",""),",","")," ",""))</f>
        <v/>
      </c>
      <c r="E886" s="6">
        <f>IF(C886="","",IF(RIGHT(D886,2)="CR","Cr",IF(RIGHT(D886,2)="DR","Dr","")))</f>
        <v/>
      </c>
      <c r="F886" s="6">
        <f>IF(C886="","",IF(E886&lt;&gt;"",LEFT(D886,LEN(D886)-2),D886))</f>
        <v/>
      </c>
      <c r="G886" s="13">
        <f>IF(C886="","",IF(OR(IF(AND(LEFT(F886,1)="(",RIGHT(F886,1)=")"),MID(F886,2,LEN(F886)-2),F886)="",IF(AND(LEFT(F886,1)="(",RIGHT(F886,1)=")"),MID(F886,2,LEN(F886)-2),F886)="-"),0,IFERROR(VALUE(IF(AND(LEFT(F886,1)="(",RIGHT(F886,1)=")"),MID(F886,2,LEN(F886)-2),F886))*IF(AND(LEFT(F886,1)="(",RIGHT(F886,1)=")"),-1,1)*IF(E886="Cr",Setup!$B$6,1),"ERR")))</f>
        <v/>
      </c>
      <c r="H886" s="6">
        <f>IF(C886="","",IF(ISNUMBER(G886),1,0))</f>
        <v/>
      </c>
      <c r="I886" s="6">
        <f>IF(C886="","",IF(SUMPRODUCT(($C$12:$C$1511=C886)*1)&gt;1,1,0))</f>
        <v/>
      </c>
      <c r="J886" s="6">
        <f>IF(C886="","",SUMPRODUCT((Mapping!$F$5:$F$504=Setup!$B$4&amp;"||"&amp;C886)*ROW(Mapping!$F$5:$F$504)))</f>
        <v/>
      </c>
      <c r="K886" s="6">
        <f>IF(C886="","",IF(J886=0,"UNMAPPED",LOWER(INDEX(Mapping!$D$1:$D$504,J886))))</f>
        <v/>
      </c>
      <c r="L886" s="6">
        <f>IF(K886="mapped",TRIM(INDEX(Mapping!$C$1:$C$504,J886)),"")</f>
        <v/>
      </c>
      <c r="M886" s="6">
        <f>IF(C886="","",IF(SUMPRODUCT(($C$12:C886=C886)*1)=1,1,0))</f>
        <v/>
      </c>
      <c r="N886" s="6">
        <f>IF(AND(K886="UNMAPPED",M886=1),ROW(),"")</f>
        <v/>
      </c>
      <c r="O886" s="6">
        <f>IF(AND(I886=1,M886=1),ROW(),"")</f>
        <v/>
      </c>
      <c r="P886" s="6">
        <f>IF(AND(K886="ignored",M886=1),ROW(),"")</f>
        <v/>
      </c>
    </row>
    <row r="887">
      <c r="A887" s="8" t="n"/>
      <c r="B887" s="8" t="n"/>
      <c r="C887" s="6">
        <f>TRIM(A887&amp;"")</f>
        <v/>
      </c>
      <c r="D887" s="6">
        <f>IF(C887="","",SUBSTITUTE(SUBSTITUTE(SUBSTITUTE(SUBSTITUTE(SUBSTITUTE(SUBSTITUTE(SUBSTITUTE(UPPER(TRIM(B887&amp;"")),"₹",""),"RS.",""),"RS",""),"INR",""),"$",""),",","")," ",""))</f>
        <v/>
      </c>
      <c r="E887" s="6">
        <f>IF(C887="","",IF(RIGHT(D887,2)="CR","Cr",IF(RIGHT(D887,2)="DR","Dr","")))</f>
        <v/>
      </c>
      <c r="F887" s="6">
        <f>IF(C887="","",IF(E887&lt;&gt;"",LEFT(D887,LEN(D887)-2),D887))</f>
        <v/>
      </c>
      <c r="G887" s="13">
        <f>IF(C887="","",IF(OR(IF(AND(LEFT(F887,1)="(",RIGHT(F887,1)=")"),MID(F887,2,LEN(F887)-2),F887)="",IF(AND(LEFT(F887,1)="(",RIGHT(F887,1)=")"),MID(F887,2,LEN(F887)-2),F887)="-"),0,IFERROR(VALUE(IF(AND(LEFT(F887,1)="(",RIGHT(F887,1)=")"),MID(F887,2,LEN(F887)-2),F887))*IF(AND(LEFT(F887,1)="(",RIGHT(F887,1)=")"),-1,1)*IF(E887="Cr",Setup!$B$6,1),"ERR")))</f>
        <v/>
      </c>
      <c r="H887" s="6">
        <f>IF(C887="","",IF(ISNUMBER(G887),1,0))</f>
        <v/>
      </c>
      <c r="I887" s="6">
        <f>IF(C887="","",IF(SUMPRODUCT(($C$12:$C$1511=C887)*1)&gt;1,1,0))</f>
        <v/>
      </c>
      <c r="J887" s="6">
        <f>IF(C887="","",SUMPRODUCT((Mapping!$F$5:$F$504=Setup!$B$4&amp;"||"&amp;C887)*ROW(Mapping!$F$5:$F$504)))</f>
        <v/>
      </c>
      <c r="K887" s="6">
        <f>IF(C887="","",IF(J887=0,"UNMAPPED",LOWER(INDEX(Mapping!$D$1:$D$504,J887))))</f>
        <v/>
      </c>
      <c r="L887" s="6">
        <f>IF(K887="mapped",TRIM(INDEX(Mapping!$C$1:$C$504,J887)),"")</f>
        <v/>
      </c>
      <c r="M887" s="6">
        <f>IF(C887="","",IF(SUMPRODUCT(($C$12:C887=C887)*1)=1,1,0))</f>
        <v/>
      </c>
      <c r="N887" s="6">
        <f>IF(AND(K887="UNMAPPED",M887=1),ROW(),"")</f>
        <v/>
      </c>
      <c r="O887" s="6">
        <f>IF(AND(I887=1,M887=1),ROW(),"")</f>
        <v/>
      </c>
      <c r="P887" s="6">
        <f>IF(AND(K887="ignored",M887=1),ROW(),"")</f>
        <v/>
      </c>
    </row>
    <row r="888">
      <c r="A888" s="8" t="n"/>
      <c r="B888" s="8" t="n"/>
      <c r="C888" s="6">
        <f>TRIM(A888&amp;"")</f>
        <v/>
      </c>
      <c r="D888" s="6">
        <f>IF(C888="","",SUBSTITUTE(SUBSTITUTE(SUBSTITUTE(SUBSTITUTE(SUBSTITUTE(SUBSTITUTE(SUBSTITUTE(UPPER(TRIM(B888&amp;"")),"₹",""),"RS.",""),"RS",""),"INR",""),"$",""),",","")," ",""))</f>
        <v/>
      </c>
      <c r="E888" s="6">
        <f>IF(C888="","",IF(RIGHT(D888,2)="CR","Cr",IF(RIGHT(D888,2)="DR","Dr","")))</f>
        <v/>
      </c>
      <c r="F888" s="6">
        <f>IF(C888="","",IF(E888&lt;&gt;"",LEFT(D888,LEN(D888)-2),D888))</f>
        <v/>
      </c>
      <c r="G888" s="13">
        <f>IF(C888="","",IF(OR(IF(AND(LEFT(F888,1)="(",RIGHT(F888,1)=")"),MID(F888,2,LEN(F888)-2),F888)="",IF(AND(LEFT(F888,1)="(",RIGHT(F888,1)=")"),MID(F888,2,LEN(F888)-2),F888)="-"),0,IFERROR(VALUE(IF(AND(LEFT(F888,1)="(",RIGHT(F888,1)=")"),MID(F888,2,LEN(F888)-2),F888))*IF(AND(LEFT(F888,1)="(",RIGHT(F888,1)=")"),-1,1)*IF(E888="Cr",Setup!$B$6,1),"ERR")))</f>
        <v/>
      </c>
      <c r="H888" s="6">
        <f>IF(C888="","",IF(ISNUMBER(G888),1,0))</f>
        <v/>
      </c>
      <c r="I888" s="6">
        <f>IF(C888="","",IF(SUMPRODUCT(($C$12:$C$1511=C888)*1)&gt;1,1,0))</f>
        <v/>
      </c>
      <c r="J888" s="6">
        <f>IF(C888="","",SUMPRODUCT((Mapping!$F$5:$F$504=Setup!$B$4&amp;"||"&amp;C888)*ROW(Mapping!$F$5:$F$504)))</f>
        <v/>
      </c>
      <c r="K888" s="6">
        <f>IF(C888="","",IF(J888=0,"UNMAPPED",LOWER(INDEX(Mapping!$D$1:$D$504,J888))))</f>
        <v/>
      </c>
      <c r="L888" s="6">
        <f>IF(K888="mapped",TRIM(INDEX(Mapping!$C$1:$C$504,J888)),"")</f>
        <v/>
      </c>
      <c r="M888" s="6">
        <f>IF(C888="","",IF(SUMPRODUCT(($C$12:C888=C888)*1)=1,1,0))</f>
        <v/>
      </c>
      <c r="N888" s="6">
        <f>IF(AND(K888="UNMAPPED",M888=1),ROW(),"")</f>
        <v/>
      </c>
      <c r="O888" s="6">
        <f>IF(AND(I888=1,M888=1),ROW(),"")</f>
        <v/>
      </c>
      <c r="P888" s="6">
        <f>IF(AND(K888="ignored",M888=1),ROW(),"")</f>
        <v/>
      </c>
    </row>
    <row r="889">
      <c r="A889" s="8" t="n"/>
      <c r="B889" s="8" t="n"/>
      <c r="C889" s="6">
        <f>TRIM(A889&amp;"")</f>
        <v/>
      </c>
      <c r="D889" s="6">
        <f>IF(C889="","",SUBSTITUTE(SUBSTITUTE(SUBSTITUTE(SUBSTITUTE(SUBSTITUTE(SUBSTITUTE(SUBSTITUTE(UPPER(TRIM(B889&amp;"")),"₹",""),"RS.",""),"RS",""),"INR",""),"$",""),",","")," ",""))</f>
        <v/>
      </c>
      <c r="E889" s="6">
        <f>IF(C889="","",IF(RIGHT(D889,2)="CR","Cr",IF(RIGHT(D889,2)="DR","Dr","")))</f>
        <v/>
      </c>
      <c r="F889" s="6">
        <f>IF(C889="","",IF(E889&lt;&gt;"",LEFT(D889,LEN(D889)-2),D889))</f>
        <v/>
      </c>
      <c r="G889" s="13">
        <f>IF(C889="","",IF(OR(IF(AND(LEFT(F889,1)="(",RIGHT(F889,1)=")"),MID(F889,2,LEN(F889)-2),F889)="",IF(AND(LEFT(F889,1)="(",RIGHT(F889,1)=")"),MID(F889,2,LEN(F889)-2),F889)="-"),0,IFERROR(VALUE(IF(AND(LEFT(F889,1)="(",RIGHT(F889,1)=")"),MID(F889,2,LEN(F889)-2),F889))*IF(AND(LEFT(F889,1)="(",RIGHT(F889,1)=")"),-1,1)*IF(E889="Cr",Setup!$B$6,1),"ERR")))</f>
        <v/>
      </c>
      <c r="H889" s="6">
        <f>IF(C889="","",IF(ISNUMBER(G889),1,0))</f>
        <v/>
      </c>
      <c r="I889" s="6">
        <f>IF(C889="","",IF(SUMPRODUCT(($C$12:$C$1511=C889)*1)&gt;1,1,0))</f>
        <v/>
      </c>
      <c r="J889" s="6">
        <f>IF(C889="","",SUMPRODUCT((Mapping!$F$5:$F$504=Setup!$B$4&amp;"||"&amp;C889)*ROW(Mapping!$F$5:$F$504)))</f>
        <v/>
      </c>
      <c r="K889" s="6">
        <f>IF(C889="","",IF(J889=0,"UNMAPPED",LOWER(INDEX(Mapping!$D$1:$D$504,J889))))</f>
        <v/>
      </c>
      <c r="L889" s="6">
        <f>IF(K889="mapped",TRIM(INDEX(Mapping!$C$1:$C$504,J889)),"")</f>
        <v/>
      </c>
      <c r="M889" s="6">
        <f>IF(C889="","",IF(SUMPRODUCT(($C$12:C889=C889)*1)=1,1,0))</f>
        <v/>
      </c>
      <c r="N889" s="6">
        <f>IF(AND(K889="UNMAPPED",M889=1),ROW(),"")</f>
        <v/>
      </c>
      <c r="O889" s="6">
        <f>IF(AND(I889=1,M889=1),ROW(),"")</f>
        <v/>
      </c>
      <c r="P889" s="6">
        <f>IF(AND(K889="ignored",M889=1),ROW(),"")</f>
        <v/>
      </c>
    </row>
    <row r="890">
      <c r="A890" s="8" t="n"/>
      <c r="B890" s="8" t="n"/>
      <c r="C890" s="6">
        <f>TRIM(A890&amp;"")</f>
        <v/>
      </c>
      <c r="D890" s="6">
        <f>IF(C890="","",SUBSTITUTE(SUBSTITUTE(SUBSTITUTE(SUBSTITUTE(SUBSTITUTE(SUBSTITUTE(SUBSTITUTE(UPPER(TRIM(B890&amp;"")),"₹",""),"RS.",""),"RS",""),"INR",""),"$",""),",","")," ",""))</f>
        <v/>
      </c>
      <c r="E890" s="6">
        <f>IF(C890="","",IF(RIGHT(D890,2)="CR","Cr",IF(RIGHT(D890,2)="DR","Dr","")))</f>
        <v/>
      </c>
      <c r="F890" s="6">
        <f>IF(C890="","",IF(E890&lt;&gt;"",LEFT(D890,LEN(D890)-2),D890))</f>
        <v/>
      </c>
      <c r="G890" s="13">
        <f>IF(C890="","",IF(OR(IF(AND(LEFT(F890,1)="(",RIGHT(F890,1)=")"),MID(F890,2,LEN(F890)-2),F890)="",IF(AND(LEFT(F890,1)="(",RIGHT(F890,1)=")"),MID(F890,2,LEN(F890)-2),F890)="-"),0,IFERROR(VALUE(IF(AND(LEFT(F890,1)="(",RIGHT(F890,1)=")"),MID(F890,2,LEN(F890)-2),F890))*IF(AND(LEFT(F890,1)="(",RIGHT(F890,1)=")"),-1,1)*IF(E890="Cr",Setup!$B$6,1),"ERR")))</f>
        <v/>
      </c>
      <c r="H890" s="6">
        <f>IF(C890="","",IF(ISNUMBER(G890),1,0))</f>
        <v/>
      </c>
      <c r="I890" s="6">
        <f>IF(C890="","",IF(SUMPRODUCT(($C$12:$C$1511=C890)*1)&gt;1,1,0))</f>
        <v/>
      </c>
      <c r="J890" s="6">
        <f>IF(C890="","",SUMPRODUCT((Mapping!$F$5:$F$504=Setup!$B$4&amp;"||"&amp;C890)*ROW(Mapping!$F$5:$F$504)))</f>
        <v/>
      </c>
      <c r="K890" s="6">
        <f>IF(C890="","",IF(J890=0,"UNMAPPED",LOWER(INDEX(Mapping!$D$1:$D$504,J890))))</f>
        <v/>
      </c>
      <c r="L890" s="6">
        <f>IF(K890="mapped",TRIM(INDEX(Mapping!$C$1:$C$504,J890)),"")</f>
        <v/>
      </c>
      <c r="M890" s="6">
        <f>IF(C890="","",IF(SUMPRODUCT(($C$12:C890=C890)*1)=1,1,0))</f>
        <v/>
      </c>
      <c r="N890" s="6">
        <f>IF(AND(K890="UNMAPPED",M890=1),ROW(),"")</f>
        <v/>
      </c>
      <c r="O890" s="6">
        <f>IF(AND(I890=1,M890=1),ROW(),"")</f>
        <v/>
      </c>
      <c r="P890" s="6">
        <f>IF(AND(K890="ignored",M890=1),ROW(),"")</f>
        <v/>
      </c>
    </row>
    <row r="891">
      <c r="A891" s="8" t="n"/>
      <c r="B891" s="8" t="n"/>
      <c r="C891" s="6">
        <f>TRIM(A891&amp;"")</f>
        <v/>
      </c>
      <c r="D891" s="6">
        <f>IF(C891="","",SUBSTITUTE(SUBSTITUTE(SUBSTITUTE(SUBSTITUTE(SUBSTITUTE(SUBSTITUTE(SUBSTITUTE(UPPER(TRIM(B891&amp;"")),"₹",""),"RS.",""),"RS",""),"INR",""),"$",""),",","")," ",""))</f>
        <v/>
      </c>
      <c r="E891" s="6">
        <f>IF(C891="","",IF(RIGHT(D891,2)="CR","Cr",IF(RIGHT(D891,2)="DR","Dr","")))</f>
        <v/>
      </c>
      <c r="F891" s="6">
        <f>IF(C891="","",IF(E891&lt;&gt;"",LEFT(D891,LEN(D891)-2),D891))</f>
        <v/>
      </c>
      <c r="G891" s="13">
        <f>IF(C891="","",IF(OR(IF(AND(LEFT(F891,1)="(",RIGHT(F891,1)=")"),MID(F891,2,LEN(F891)-2),F891)="",IF(AND(LEFT(F891,1)="(",RIGHT(F891,1)=")"),MID(F891,2,LEN(F891)-2),F891)="-"),0,IFERROR(VALUE(IF(AND(LEFT(F891,1)="(",RIGHT(F891,1)=")"),MID(F891,2,LEN(F891)-2),F891))*IF(AND(LEFT(F891,1)="(",RIGHT(F891,1)=")"),-1,1)*IF(E891="Cr",Setup!$B$6,1),"ERR")))</f>
        <v/>
      </c>
      <c r="H891" s="6">
        <f>IF(C891="","",IF(ISNUMBER(G891),1,0))</f>
        <v/>
      </c>
      <c r="I891" s="6">
        <f>IF(C891="","",IF(SUMPRODUCT(($C$12:$C$1511=C891)*1)&gt;1,1,0))</f>
        <v/>
      </c>
      <c r="J891" s="6">
        <f>IF(C891="","",SUMPRODUCT((Mapping!$F$5:$F$504=Setup!$B$4&amp;"||"&amp;C891)*ROW(Mapping!$F$5:$F$504)))</f>
        <v/>
      </c>
      <c r="K891" s="6">
        <f>IF(C891="","",IF(J891=0,"UNMAPPED",LOWER(INDEX(Mapping!$D$1:$D$504,J891))))</f>
        <v/>
      </c>
      <c r="L891" s="6">
        <f>IF(K891="mapped",TRIM(INDEX(Mapping!$C$1:$C$504,J891)),"")</f>
        <v/>
      </c>
      <c r="M891" s="6">
        <f>IF(C891="","",IF(SUMPRODUCT(($C$12:C891=C891)*1)=1,1,0))</f>
        <v/>
      </c>
      <c r="N891" s="6">
        <f>IF(AND(K891="UNMAPPED",M891=1),ROW(),"")</f>
        <v/>
      </c>
      <c r="O891" s="6">
        <f>IF(AND(I891=1,M891=1),ROW(),"")</f>
        <v/>
      </c>
      <c r="P891" s="6">
        <f>IF(AND(K891="ignored",M891=1),ROW(),"")</f>
        <v/>
      </c>
    </row>
    <row r="892">
      <c r="A892" s="8" t="n"/>
      <c r="B892" s="8" t="n"/>
      <c r="C892" s="6">
        <f>TRIM(A892&amp;"")</f>
        <v/>
      </c>
      <c r="D892" s="6">
        <f>IF(C892="","",SUBSTITUTE(SUBSTITUTE(SUBSTITUTE(SUBSTITUTE(SUBSTITUTE(SUBSTITUTE(SUBSTITUTE(UPPER(TRIM(B892&amp;"")),"₹",""),"RS.",""),"RS",""),"INR",""),"$",""),",","")," ",""))</f>
        <v/>
      </c>
      <c r="E892" s="6">
        <f>IF(C892="","",IF(RIGHT(D892,2)="CR","Cr",IF(RIGHT(D892,2)="DR","Dr","")))</f>
        <v/>
      </c>
      <c r="F892" s="6">
        <f>IF(C892="","",IF(E892&lt;&gt;"",LEFT(D892,LEN(D892)-2),D892))</f>
        <v/>
      </c>
      <c r="G892" s="13">
        <f>IF(C892="","",IF(OR(IF(AND(LEFT(F892,1)="(",RIGHT(F892,1)=")"),MID(F892,2,LEN(F892)-2),F892)="",IF(AND(LEFT(F892,1)="(",RIGHT(F892,1)=")"),MID(F892,2,LEN(F892)-2),F892)="-"),0,IFERROR(VALUE(IF(AND(LEFT(F892,1)="(",RIGHT(F892,1)=")"),MID(F892,2,LEN(F892)-2),F892))*IF(AND(LEFT(F892,1)="(",RIGHT(F892,1)=")"),-1,1)*IF(E892="Cr",Setup!$B$6,1),"ERR")))</f>
        <v/>
      </c>
      <c r="H892" s="6">
        <f>IF(C892="","",IF(ISNUMBER(G892),1,0))</f>
        <v/>
      </c>
      <c r="I892" s="6">
        <f>IF(C892="","",IF(SUMPRODUCT(($C$12:$C$1511=C892)*1)&gt;1,1,0))</f>
        <v/>
      </c>
      <c r="J892" s="6">
        <f>IF(C892="","",SUMPRODUCT((Mapping!$F$5:$F$504=Setup!$B$4&amp;"||"&amp;C892)*ROW(Mapping!$F$5:$F$504)))</f>
        <v/>
      </c>
      <c r="K892" s="6">
        <f>IF(C892="","",IF(J892=0,"UNMAPPED",LOWER(INDEX(Mapping!$D$1:$D$504,J892))))</f>
        <v/>
      </c>
      <c r="L892" s="6">
        <f>IF(K892="mapped",TRIM(INDEX(Mapping!$C$1:$C$504,J892)),"")</f>
        <v/>
      </c>
      <c r="M892" s="6">
        <f>IF(C892="","",IF(SUMPRODUCT(($C$12:C892=C892)*1)=1,1,0))</f>
        <v/>
      </c>
      <c r="N892" s="6">
        <f>IF(AND(K892="UNMAPPED",M892=1),ROW(),"")</f>
        <v/>
      </c>
      <c r="O892" s="6">
        <f>IF(AND(I892=1,M892=1),ROW(),"")</f>
        <v/>
      </c>
      <c r="P892" s="6">
        <f>IF(AND(K892="ignored",M892=1),ROW(),"")</f>
        <v/>
      </c>
    </row>
    <row r="893">
      <c r="A893" s="8" t="n"/>
      <c r="B893" s="8" t="n"/>
      <c r="C893" s="6">
        <f>TRIM(A893&amp;"")</f>
        <v/>
      </c>
      <c r="D893" s="6">
        <f>IF(C893="","",SUBSTITUTE(SUBSTITUTE(SUBSTITUTE(SUBSTITUTE(SUBSTITUTE(SUBSTITUTE(SUBSTITUTE(UPPER(TRIM(B893&amp;"")),"₹",""),"RS.",""),"RS",""),"INR",""),"$",""),",","")," ",""))</f>
        <v/>
      </c>
      <c r="E893" s="6">
        <f>IF(C893="","",IF(RIGHT(D893,2)="CR","Cr",IF(RIGHT(D893,2)="DR","Dr","")))</f>
        <v/>
      </c>
      <c r="F893" s="6">
        <f>IF(C893="","",IF(E893&lt;&gt;"",LEFT(D893,LEN(D893)-2),D893))</f>
        <v/>
      </c>
      <c r="G893" s="13">
        <f>IF(C893="","",IF(OR(IF(AND(LEFT(F893,1)="(",RIGHT(F893,1)=")"),MID(F893,2,LEN(F893)-2),F893)="",IF(AND(LEFT(F893,1)="(",RIGHT(F893,1)=")"),MID(F893,2,LEN(F893)-2),F893)="-"),0,IFERROR(VALUE(IF(AND(LEFT(F893,1)="(",RIGHT(F893,1)=")"),MID(F893,2,LEN(F893)-2),F893))*IF(AND(LEFT(F893,1)="(",RIGHT(F893,1)=")"),-1,1)*IF(E893="Cr",Setup!$B$6,1),"ERR")))</f>
        <v/>
      </c>
      <c r="H893" s="6">
        <f>IF(C893="","",IF(ISNUMBER(G893),1,0))</f>
        <v/>
      </c>
      <c r="I893" s="6">
        <f>IF(C893="","",IF(SUMPRODUCT(($C$12:$C$1511=C893)*1)&gt;1,1,0))</f>
        <v/>
      </c>
      <c r="J893" s="6">
        <f>IF(C893="","",SUMPRODUCT((Mapping!$F$5:$F$504=Setup!$B$4&amp;"||"&amp;C893)*ROW(Mapping!$F$5:$F$504)))</f>
        <v/>
      </c>
      <c r="K893" s="6">
        <f>IF(C893="","",IF(J893=0,"UNMAPPED",LOWER(INDEX(Mapping!$D$1:$D$504,J893))))</f>
        <v/>
      </c>
      <c r="L893" s="6">
        <f>IF(K893="mapped",TRIM(INDEX(Mapping!$C$1:$C$504,J893)),"")</f>
        <v/>
      </c>
      <c r="M893" s="6">
        <f>IF(C893="","",IF(SUMPRODUCT(($C$12:C893=C893)*1)=1,1,0))</f>
        <v/>
      </c>
      <c r="N893" s="6">
        <f>IF(AND(K893="UNMAPPED",M893=1),ROW(),"")</f>
        <v/>
      </c>
      <c r="O893" s="6">
        <f>IF(AND(I893=1,M893=1),ROW(),"")</f>
        <v/>
      </c>
      <c r="P893" s="6">
        <f>IF(AND(K893="ignored",M893=1),ROW(),"")</f>
        <v/>
      </c>
    </row>
    <row r="894">
      <c r="A894" s="8" t="n"/>
      <c r="B894" s="8" t="n"/>
      <c r="C894" s="6">
        <f>TRIM(A894&amp;"")</f>
        <v/>
      </c>
      <c r="D894" s="6">
        <f>IF(C894="","",SUBSTITUTE(SUBSTITUTE(SUBSTITUTE(SUBSTITUTE(SUBSTITUTE(SUBSTITUTE(SUBSTITUTE(UPPER(TRIM(B894&amp;"")),"₹",""),"RS.",""),"RS",""),"INR",""),"$",""),",","")," ",""))</f>
        <v/>
      </c>
      <c r="E894" s="6">
        <f>IF(C894="","",IF(RIGHT(D894,2)="CR","Cr",IF(RIGHT(D894,2)="DR","Dr","")))</f>
        <v/>
      </c>
      <c r="F894" s="6">
        <f>IF(C894="","",IF(E894&lt;&gt;"",LEFT(D894,LEN(D894)-2),D894))</f>
        <v/>
      </c>
      <c r="G894" s="13">
        <f>IF(C894="","",IF(OR(IF(AND(LEFT(F894,1)="(",RIGHT(F894,1)=")"),MID(F894,2,LEN(F894)-2),F894)="",IF(AND(LEFT(F894,1)="(",RIGHT(F894,1)=")"),MID(F894,2,LEN(F894)-2),F894)="-"),0,IFERROR(VALUE(IF(AND(LEFT(F894,1)="(",RIGHT(F894,1)=")"),MID(F894,2,LEN(F894)-2),F894))*IF(AND(LEFT(F894,1)="(",RIGHT(F894,1)=")"),-1,1)*IF(E894="Cr",Setup!$B$6,1),"ERR")))</f>
        <v/>
      </c>
      <c r="H894" s="6">
        <f>IF(C894="","",IF(ISNUMBER(G894),1,0))</f>
        <v/>
      </c>
      <c r="I894" s="6">
        <f>IF(C894="","",IF(SUMPRODUCT(($C$12:$C$1511=C894)*1)&gt;1,1,0))</f>
        <v/>
      </c>
      <c r="J894" s="6">
        <f>IF(C894="","",SUMPRODUCT((Mapping!$F$5:$F$504=Setup!$B$4&amp;"||"&amp;C894)*ROW(Mapping!$F$5:$F$504)))</f>
        <v/>
      </c>
      <c r="K894" s="6">
        <f>IF(C894="","",IF(J894=0,"UNMAPPED",LOWER(INDEX(Mapping!$D$1:$D$504,J894))))</f>
        <v/>
      </c>
      <c r="L894" s="6">
        <f>IF(K894="mapped",TRIM(INDEX(Mapping!$C$1:$C$504,J894)),"")</f>
        <v/>
      </c>
      <c r="M894" s="6">
        <f>IF(C894="","",IF(SUMPRODUCT(($C$12:C894=C894)*1)=1,1,0))</f>
        <v/>
      </c>
      <c r="N894" s="6">
        <f>IF(AND(K894="UNMAPPED",M894=1),ROW(),"")</f>
        <v/>
      </c>
      <c r="O894" s="6">
        <f>IF(AND(I894=1,M894=1),ROW(),"")</f>
        <v/>
      </c>
      <c r="P894" s="6">
        <f>IF(AND(K894="ignored",M894=1),ROW(),"")</f>
        <v/>
      </c>
    </row>
    <row r="895">
      <c r="A895" s="8" t="n"/>
      <c r="B895" s="8" t="n"/>
      <c r="C895" s="6">
        <f>TRIM(A895&amp;"")</f>
        <v/>
      </c>
      <c r="D895" s="6">
        <f>IF(C895="","",SUBSTITUTE(SUBSTITUTE(SUBSTITUTE(SUBSTITUTE(SUBSTITUTE(SUBSTITUTE(SUBSTITUTE(UPPER(TRIM(B895&amp;"")),"₹",""),"RS.",""),"RS",""),"INR",""),"$",""),",","")," ",""))</f>
        <v/>
      </c>
      <c r="E895" s="6">
        <f>IF(C895="","",IF(RIGHT(D895,2)="CR","Cr",IF(RIGHT(D895,2)="DR","Dr","")))</f>
        <v/>
      </c>
      <c r="F895" s="6">
        <f>IF(C895="","",IF(E895&lt;&gt;"",LEFT(D895,LEN(D895)-2),D895))</f>
        <v/>
      </c>
      <c r="G895" s="13">
        <f>IF(C895="","",IF(OR(IF(AND(LEFT(F895,1)="(",RIGHT(F895,1)=")"),MID(F895,2,LEN(F895)-2),F895)="",IF(AND(LEFT(F895,1)="(",RIGHT(F895,1)=")"),MID(F895,2,LEN(F895)-2),F895)="-"),0,IFERROR(VALUE(IF(AND(LEFT(F895,1)="(",RIGHT(F895,1)=")"),MID(F895,2,LEN(F895)-2),F895))*IF(AND(LEFT(F895,1)="(",RIGHT(F895,1)=")"),-1,1)*IF(E895="Cr",Setup!$B$6,1),"ERR")))</f>
        <v/>
      </c>
      <c r="H895" s="6">
        <f>IF(C895="","",IF(ISNUMBER(G895),1,0))</f>
        <v/>
      </c>
      <c r="I895" s="6">
        <f>IF(C895="","",IF(SUMPRODUCT(($C$12:$C$1511=C895)*1)&gt;1,1,0))</f>
        <v/>
      </c>
      <c r="J895" s="6">
        <f>IF(C895="","",SUMPRODUCT((Mapping!$F$5:$F$504=Setup!$B$4&amp;"||"&amp;C895)*ROW(Mapping!$F$5:$F$504)))</f>
        <v/>
      </c>
      <c r="K895" s="6">
        <f>IF(C895="","",IF(J895=0,"UNMAPPED",LOWER(INDEX(Mapping!$D$1:$D$504,J895))))</f>
        <v/>
      </c>
      <c r="L895" s="6">
        <f>IF(K895="mapped",TRIM(INDEX(Mapping!$C$1:$C$504,J895)),"")</f>
        <v/>
      </c>
      <c r="M895" s="6">
        <f>IF(C895="","",IF(SUMPRODUCT(($C$12:C895=C895)*1)=1,1,0))</f>
        <v/>
      </c>
      <c r="N895" s="6">
        <f>IF(AND(K895="UNMAPPED",M895=1),ROW(),"")</f>
        <v/>
      </c>
      <c r="O895" s="6">
        <f>IF(AND(I895=1,M895=1),ROW(),"")</f>
        <v/>
      </c>
      <c r="P895" s="6">
        <f>IF(AND(K895="ignored",M895=1),ROW(),"")</f>
        <v/>
      </c>
    </row>
    <row r="896">
      <c r="A896" s="8" t="n"/>
      <c r="B896" s="8" t="n"/>
      <c r="C896" s="6">
        <f>TRIM(A896&amp;"")</f>
        <v/>
      </c>
      <c r="D896" s="6">
        <f>IF(C896="","",SUBSTITUTE(SUBSTITUTE(SUBSTITUTE(SUBSTITUTE(SUBSTITUTE(SUBSTITUTE(SUBSTITUTE(UPPER(TRIM(B896&amp;"")),"₹",""),"RS.",""),"RS",""),"INR",""),"$",""),",","")," ",""))</f>
        <v/>
      </c>
      <c r="E896" s="6">
        <f>IF(C896="","",IF(RIGHT(D896,2)="CR","Cr",IF(RIGHT(D896,2)="DR","Dr","")))</f>
        <v/>
      </c>
      <c r="F896" s="6">
        <f>IF(C896="","",IF(E896&lt;&gt;"",LEFT(D896,LEN(D896)-2),D896))</f>
        <v/>
      </c>
      <c r="G896" s="13">
        <f>IF(C896="","",IF(OR(IF(AND(LEFT(F896,1)="(",RIGHT(F896,1)=")"),MID(F896,2,LEN(F896)-2),F896)="",IF(AND(LEFT(F896,1)="(",RIGHT(F896,1)=")"),MID(F896,2,LEN(F896)-2),F896)="-"),0,IFERROR(VALUE(IF(AND(LEFT(F896,1)="(",RIGHT(F896,1)=")"),MID(F896,2,LEN(F896)-2),F896))*IF(AND(LEFT(F896,1)="(",RIGHT(F896,1)=")"),-1,1)*IF(E896="Cr",Setup!$B$6,1),"ERR")))</f>
        <v/>
      </c>
      <c r="H896" s="6">
        <f>IF(C896="","",IF(ISNUMBER(G896),1,0))</f>
        <v/>
      </c>
      <c r="I896" s="6">
        <f>IF(C896="","",IF(SUMPRODUCT(($C$12:$C$1511=C896)*1)&gt;1,1,0))</f>
        <v/>
      </c>
      <c r="J896" s="6">
        <f>IF(C896="","",SUMPRODUCT((Mapping!$F$5:$F$504=Setup!$B$4&amp;"||"&amp;C896)*ROW(Mapping!$F$5:$F$504)))</f>
        <v/>
      </c>
      <c r="K896" s="6">
        <f>IF(C896="","",IF(J896=0,"UNMAPPED",LOWER(INDEX(Mapping!$D$1:$D$504,J896))))</f>
        <v/>
      </c>
      <c r="L896" s="6">
        <f>IF(K896="mapped",TRIM(INDEX(Mapping!$C$1:$C$504,J896)),"")</f>
        <v/>
      </c>
      <c r="M896" s="6">
        <f>IF(C896="","",IF(SUMPRODUCT(($C$12:C896=C896)*1)=1,1,0))</f>
        <v/>
      </c>
      <c r="N896" s="6">
        <f>IF(AND(K896="UNMAPPED",M896=1),ROW(),"")</f>
        <v/>
      </c>
      <c r="O896" s="6">
        <f>IF(AND(I896=1,M896=1),ROW(),"")</f>
        <v/>
      </c>
      <c r="P896" s="6">
        <f>IF(AND(K896="ignored",M896=1),ROW(),"")</f>
        <v/>
      </c>
    </row>
    <row r="897">
      <c r="A897" s="8" t="n"/>
      <c r="B897" s="8" t="n"/>
      <c r="C897" s="6">
        <f>TRIM(A897&amp;"")</f>
        <v/>
      </c>
      <c r="D897" s="6">
        <f>IF(C897="","",SUBSTITUTE(SUBSTITUTE(SUBSTITUTE(SUBSTITUTE(SUBSTITUTE(SUBSTITUTE(SUBSTITUTE(UPPER(TRIM(B897&amp;"")),"₹",""),"RS.",""),"RS",""),"INR",""),"$",""),",","")," ",""))</f>
        <v/>
      </c>
      <c r="E897" s="6">
        <f>IF(C897="","",IF(RIGHT(D897,2)="CR","Cr",IF(RIGHT(D897,2)="DR","Dr","")))</f>
        <v/>
      </c>
      <c r="F897" s="6">
        <f>IF(C897="","",IF(E897&lt;&gt;"",LEFT(D897,LEN(D897)-2),D897))</f>
        <v/>
      </c>
      <c r="G897" s="13">
        <f>IF(C897="","",IF(OR(IF(AND(LEFT(F897,1)="(",RIGHT(F897,1)=")"),MID(F897,2,LEN(F897)-2),F897)="",IF(AND(LEFT(F897,1)="(",RIGHT(F897,1)=")"),MID(F897,2,LEN(F897)-2),F897)="-"),0,IFERROR(VALUE(IF(AND(LEFT(F897,1)="(",RIGHT(F897,1)=")"),MID(F897,2,LEN(F897)-2),F897))*IF(AND(LEFT(F897,1)="(",RIGHT(F897,1)=")"),-1,1)*IF(E897="Cr",Setup!$B$6,1),"ERR")))</f>
        <v/>
      </c>
      <c r="H897" s="6">
        <f>IF(C897="","",IF(ISNUMBER(G897),1,0))</f>
        <v/>
      </c>
      <c r="I897" s="6">
        <f>IF(C897="","",IF(SUMPRODUCT(($C$12:$C$1511=C897)*1)&gt;1,1,0))</f>
        <v/>
      </c>
      <c r="J897" s="6">
        <f>IF(C897="","",SUMPRODUCT((Mapping!$F$5:$F$504=Setup!$B$4&amp;"||"&amp;C897)*ROW(Mapping!$F$5:$F$504)))</f>
        <v/>
      </c>
      <c r="K897" s="6">
        <f>IF(C897="","",IF(J897=0,"UNMAPPED",LOWER(INDEX(Mapping!$D$1:$D$504,J897))))</f>
        <v/>
      </c>
      <c r="L897" s="6">
        <f>IF(K897="mapped",TRIM(INDEX(Mapping!$C$1:$C$504,J897)),"")</f>
        <v/>
      </c>
      <c r="M897" s="6">
        <f>IF(C897="","",IF(SUMPRODUCT(($C$12:C897=C897)*1)=1,1,0))</f>
        <v/>
      </c>
      <c r="N897" s="6">
        <f>IF(AND(K897="UNMAPPED",M897=1),ROW(),"")</f>
        <v/>
      </c>
      <c r="O897" s="6">
        <f>IF(AND(I897=1,M897=1),ROW(),"")</f>
        <v/>
      </c>
      <c r="P897" s="6">
        <f>IF(AND(K897="ignored",M897=1),ROW(),"")</f>
        <v/>
      </c>
    </row>
    <row r="898">
      <c r="A898" s="8" t="n"/>
      <c r="B898" s="8" t="n"/>
      <c r="C898" s="6">
        <f>TRIM(A898&amp;"")</f>
        <v/>
      </c>
      <c r="D898" s="6">
        <f>IF(C898="","",SUBSTITUTE(SUBSTITUTE(SUBSTITUTE(SUBSTITUTE(SUBSTITUTE(SUBSTITUTE(SUBSTITUTE(UPPER(TRIM(B898&amp;"")),"₹",""),"RS.",""),"RS",""),"INR",""),"$",""),",","")," ",""))</f>
        <v/>
      </c>
      <c r="E898" s="6">
        <f>IF(C898="","",IF(RIGHT(D898,2)="CR","Cr",IF(RIGHT(D898,2)="DR","Dr","")))</f>
        <v/>
      </c>
      <c r="F898" s="6">
        <f>IF(C898="","",IF(E898&lt;&gt;"",LEFT(D898,LEN(D898)-2),D898))</f>
        <v/>
      </c>
      <c r="G898" s="13">
        <f>IF(C898="","",IF(OR(IF(AND(LEFT(F898,1)="(",RIGHT(F898,1)=")"),MID(F898,2,LEN(F898)-2),F898)="",IF(AND(LEFT(F898,1)="(",RIGHT(F898,1)=")"),MID(F898,2,LEN(F898)-2),F898)="-"),0,IFERROR(VALUE(IF(AND(LEFT(F898,1)="(",RIGHT(F898,1)=")"),MID(F898,2,LEN(F898)-2),F898))*IF(AND(LEFT(F898,1)="(",RIGHT(F898,1)=")"),-1,1)*IF(E898="Cr",Setup!$B$6,1),"ERR")))</f>
        <v/>
      </c>
      <c r="H898" s="6">
        <f>IF(C898="","",IF(ISNUMBER(G898),1,0))</f>
        <v/>
      </c>
      <c r="I898" s="6">
        <f>IF(C898="","",IF(SUMPRODUCT(($C$12:$C$1511=C898)*1)&gt;1,1,0))</f>
        <v/>
      </c>
      <c r="J898" s="6">
        <f>IF(C898="","",SUMPRODUCT((Mapping!$F$5:$F$504=Setup!$B$4&amp;"||"&amp;C898)*ROW(Mapping!$F$5:$F$504)))</f>
        <v/>
      </c>
      <c r="K898" s="6">
        <f>IF(C898="","",IF(J898=0,"UNMAPPED",LOWER(INDEX(Mapping!$D$1:$D$504,J898))))</f>
        <v/>
      </c>
      <c r="L898" s="6">
        <f>IF(K898="mapped",TRIM(INDEX(Mapping!$C$1:$C$504,J898)),"")</f>
        <v/>
      </c>
      <c r="M898" s="6">
        <f>IF(C898="","",IF(SUMPRODUCT(($C$12:C898=C898)*1)=1,1,0))</f>
        <v/>
      </c>
      <c r="N898" s="6">
        <f>IF(AND(K898="UNMAPPED",M898=1),ROW(),"")</f>
        <v/>
      </c>
      <c r="O898" s="6">
        <f>IF(AND(I898=1,M898=1),ROW(),"")</f>
        <v/>
      </c>
      <c r="P898" s="6">
        <f>IF(AND(K898="ignored",M898=1),ROW(),"")</f>
        <v/>
      </c>
    </row>
    <row r="899">
      <c r="A899" s="8" t="n"/>
      <c r="B899" s="8" t="n"/>
      <c r="C899" s="6">
        <f>TRIM(A899&amp;"")</f>
        <v/>
      </c>
      <c r="D899" s="6">
        <f>IF(C899="","",SUBSTITUTE(SUBSTITUTE(SUBSTITUTE(SUBSTITUTE(SUBSTITUTE(SUBSTITUTE(SUBSTITUTE(UPPER(TRIM(B899&amp;"")),"₹",""),"RS.",""),"RS",""),"INR",""),"$",""),",","")," ",""))</f>
        <v/>
      </c>
      <c r="E899" s="6">
        <f>IF(C899="","",IF(RIGHT(D899,2)="CR","Cr",IF(RIGHT(D899,2)="DR","Dr","")))</f>
        <v/>
      </c>
      <c r="F899" s="6">
        <f>IF(C899="","",IF(E899&lt;&gt;"",LEFT(D899,LEN(D899)-2),D899))</f>
        <v/>
      </c>
      <c r="G899" s="13">
        <f>IF(C899="","",IF(OR(IF(AND(LEFT(F899,1)="(",RIGHT(F899,1)=")"),MID(F899,2,LEN(F899)-2),F899)="",IF(AND(LEFT(F899,1)="(",RIGHT(F899,1)=")"),MID(F899,2,LEN(F899)-2),F899)="-"),0,IFERROR(VALUE(IF(AND(LEFT(F899,1)="(",RIGHT(F899,1)=")"),MID(F899,2,LEN(F899)-2),F899))*IF(AND(LEFT(F899,1)="(",RIGHT(F899,1)=")"),-1,1)*IF(E899="Cr",Setup!$B$6,1),"ERR")))</f>
        <v/>
      </c>
      <c r="H899" s="6">
        <f>IF(C899="","",IF(ISNUMBER(G899),1,0))</f>
        <v/>
      </c>
      <c r="I899" s="6">
        <f>IF(C899="","",IF(SUMPRODUCT(($C$12:$C$1511=C899)*1)&gt;1,1,0))</f>
        <v/>
      </c>
      <c r="J899" s="6">
        <f>IF(C899="","",SUMPRODUCT((Mapping!$F$5:$F$504=Setup!$B$4&amp;"||"&amp;C899)*ROW(Mapping!$F$5:$F$504)))</f>
        <v/>
      </c>
      <c r="K899" s="6">
        <f>IF(C899="","",IF(J899=0,"UNMAPPED",LOWER(INDEX(Mapping!$D$1:$D$504,J899))))</f>
        <v/>
      </c>
      <c r="L899" s="6">
        <f>IF(K899="mapped",TRIM(INDEX(Mapping!$C$1:$C$504,J899)),"")</f>
        <v/>
      </c>
      <c r="M899" s="6">
        <f>IF(C899="","",IF(SUMPRODUCT(($C$12:C899=C899)*1)=1,1,0))</f>
        <v/>
      </c>
      <c r="N899" s="6">
        <f>IF(AND(K899="UNMAPPED",M899=1),ROW(),"")</f>
        <v/>
      </c>
      <c r="O899" s="6">
        <f>IF(AND(I899=1,M899=1),ROW(),"")</f>
        <v/>
      </c>
      <c r="P899" s="6">
        <f>IF(AND(K899="ignored",M899=1),ROW(),"")</f>
        <v/>
      </c>
    </row>
    <row r="900">
      <c r="A900" s="8" t="n"/>
      <c r="B900" s="8" t="n"/>
      <c r="C900" s="6">
        <f>TRIM(A900&amp;"")</f>
        <v/>
      </c>
      <c r="D900" s="6">
        <f>IF(C900="","",SUBSTITUTE(SUBSTITUTE(SUBSTITUTE(SUBSTITUTE(SUBSTITUTE(SUBSTITUTE(SUBSTITUTE(UPPER(TRIM(B900&amp;"")),"₹",""),"RS.",""),"RS",""),"INR",""),"$",""),",","")," ",""))</f>
        <v/>
      </c>
      <c r="E900" s="6">
        <f>IF(C900="","",IF(RIGHT(D900,2)="CR","Cr",IF(RIGHT(D900,2)="DR","Dr","")))</f>
        <v/>
      </c>
      <c r="F900" s="6">
        <f>IF(C900="","",IF(E900&lt;&gt;"",LEFT(D900,LEN(D900)-2),D900))</f>
        <v/>
      </c>
      <c r="G900" s="13">
        <f>IF(C900="","",IF(OR(IF(AND(LEFT(F900,1)="(",RIGHT(F900,1)=")"),MID(F900,2,LEN(F900)-2),F900)="",IF(AND(LEFT(F900,1)="(",RIGHT(F900,1)=")"),MID(F900,2,LEN(F900)-2),F900)="-"),0,IFERROR(VALUE(IF(AND(LEFT(F900,1)="(",RIGHT(F900,1)=")"),MID(F900,2,LEN(F900)-2),F900))*IF(AND(LEFT(F900,1)="(",RIGHT(F900,1)=")"),-1,1)*IF(E900="Cr",Setup!$B$6,1),"ERR")))</f>
        <v/>
      </c>
      <c r="H900" s="6">
        <f>IF(C900="","",IF(ISNUMBER(G900),1,0))</f>
        <v/>
      </c>
      <c r="I900" s="6">
        <f>IF(C900="","",IF(SUMPRODUCT(($C$12:$C$1511=C900)*1)&gt;1,1,0))</f>
        <v/>
      </c>
      <c r="J900" s="6">
        <f>IF(C900="","",SUMPRODUCT((Mapping!$F$5:$F$504=Setup!$B$4&amp;"||"&amp;C900)*ROW(Mapping!$F$5:$F$504)))</f>
        <v/>
      </c>
      <c r="K900" s="6">
        <f>IF(C900="","",IF(J900=0,"UNMAPPED",LOWER(INDEX(Mapping!$D$1:$D$504,J900))))</f>
        <v/>
      </c>
      <c r="L900" s="6">
        <f>IF(K900="mapped",TRIM(INDEX(Mapping!$C$1:$C$504,J900)),"")</f>
        <v/>
      </c>
      <c r="M900" s="6">
        <f>IF(C900="","",IF(SUMPRODUCT(($C$12:C900=C900)*1)=1,1,0))</f>
        <v/>
      </c>
      <c r="N900" s="6">
        <f>IF(AND(K900="UNMAPPED",M900=1),ROW(),"")</f>
        <v/>
      </c>
      <c r="O900" s="6">
        <f>IF(AND(I900=1,M900=1),ROW(),"")</f>
        <v/>
      </c>
      <c r="P900" s="6">
        <f>IF(AND(K900="ignored",M900=1),ROW(),"")</f>
        <v/>
      </c>
    </row>
    <row r="901">
      <c r="A901" s="8" t="n"/>
      <c r="B901" s="8" t="n"/>
      <c r="C901" s="6">
        <f>TRIM(A901&amp;"")</f>
        <v/>
      </c>
      <c r="D901" s="6">
        <f>IF(C901="","",SUBSTITUTE(SUBSTITUTE(SUBSTITUTE(SUBSTITUTE(SUBSTITUTE(SUBSTITUTE(SUBSTITUTE(UPPER(TRIM(B901&amp;"")),"₹",""),"RS.",""),"RS",""),"INR",""),"$",""),",","")," ",""))</f>
        <v/>
      </c>
      <c r="E901" s="6">
        <f>IF(C901="","",IF(RIGHT(D901,2)="CR","Cr",IF(RIGHT(D901,2)="DR","Dr","")))</f>
        <v/>
      </c>
      <c r="F901" s="6">
        <f>IF(C901="","",IF(E901&lt;&gt;"",LEFT(D901,LEN(D901)-2),D901))</f>
        <v/>
      </c>
      <c r="G901" s="13">
        <f>IF(C901="","",IF(OR(IF(AND(LEFT(F901,1)="(",RIGHT(F901,1)=")"),MID(F901,2,LEN(F901)-2),F901)="",IF(AND(LEFT(F901,1)="(",RIGHT(F901,1)=")"),MID(F901,2,LEN(F901)-2),F901)="-"),0,IFERROR(VALUE(IF(AND(LEFT(F901,1)="(",RIGHT(F901,1)=")"),MID(F901,2,LEN(F901)-2),F901))*IF(AND(LEFT(F901,1)="(",RIGHT(F901,1)=")"),-1,1)*IF(E901="Cr",Setup!$B$6,1),"ERR")))</f>
        <v/>
      </c>
      <c r="H901" s="6">
        <f>IF(C901="","",IF(ISNUMBER(G901),1,0))</f>
        <v/>
      </c>
      <c r="I901" s="6">
        <f>IF(C901="","",IF(SUMPRODUCT(($C$12:$C$1511=C901)*1)&gt;1,1,0))</f>
        <v/>
      </c>
      <c r="J901" s="6">
        <f>IF(C901="","",SUMPRODUCT((Mapping!$F$5:$F$504=Setup!$B$4&amp;"||"&amp;C901)*ROW(Mapping!$F$5:$F$504)))</f>
        <v/>
      </c>
      <c r="K901" s="6">
        <f>IF(C901="","",IF(J901=0,"UNMAPPED",LOWER(INDEX(Mapping!$D$1:$D$504,J901))))</f>
        <v/>
      </c>
      <c r="L901" s="6">
        <f>IF(K901="mapped",TRIM(INDEX(Mapping!$C$1:$C$504,J901)),"")</f>
        <v/>
      </c>
      <c r="M901" s="6">
        <f>IF(C901="","",IF(SUMPRODUCT(($C$12:C901=C901)*1)=1,1,0))</f>
        <v/>
      </c>
      <c r="N901" s="6">
        <f>IF(AND(K901="UNMAPPED",M901=1),ROW(),"")</f>
        <v/>
      </c>
      <c r="O901" s="6">
        <f>IF(AND(I901=1,M901=1),ROW(),"")</f>
        <v/>
      </c>
      <c r="P901" s="6">
        <f>IF(AND(K901="ignored",M901=1),ROW(),"")</f>
        <v/>
      </c>
    </row>
    <row r="902">
      <c r="A902" s="8" t="n"/>
      <c r="B902" s="8" t="n"/>
      <c r="C902" s="6">
        <f>TRIM(A902&amp;"")</f>
        <v/>
      </c>
      <c r="D902" s="6">
        <f>IF(C902="","",SUBSTITUTE(SUBSTITUTE(SUBSTITUTE(SUBSTITUTE(SUBSTITUTE(SUBSTITUTE(SUBSTITUTE(UPPER(TRIM(B902&amp;"")),"₹",""),"RS.",""),"RS",""),"INR",""),"$",""),",","")," ",""))</f>
        <v/>
      </c>
      <c r="E902" s="6">
        <f>IF(C902="","",IF(RIGHT(D902,2)="CR","Cr",IF(RIGHT(D902,2)="DR","Dr","")))</f>
        <v/>
      </c>
      <c r="F902" s="6">
        <f>IF(C902="","",IF(E902&lt;&gt;"",LEFT(D902,LEN(D902)-2),D902))</f>
        <v/>
      </c>
      <c r="G902" s="13">
        <f>IF(C902="","",IF(OR(IF(AND(LEFT(F902,1)="(",RIGHT(F902,1)=")"),MID(F902,2,LEN(F902)-2),F902)="",IF(AND(LEFT(F902,1)="(",RIGHT(F902,1)=")"),MID(F902,2,LEN(F902)-2),F902)="-"),0,IFERROR(VALUE(IF(AND(LEFT(F902,1)="(",RIGHT(F902,1)=")"),MID(F902,2,LEN(F902)-2),F902))*IF(AND(LEFT(F902,1)="(",RIGHT(F902,1)=")"),-1,1)*IF(E902="Cr",Setup!$B$6,1),"ERR")))</f>
        <v/>
      </c>
      <c r="H902" s="6">
        <f>IF(C902="","",IF(ISNUMBER(G902),1,0))</f>
        <v/>
      </c>
      <c r="I902" s="6">
        <f>IF(C902="","",IF(SUMPRODUCT(($C$12:$C$1511=C902)*1)&gt;1,1,0))</f>
        <v/>
      </c>
      <c r="J902" s="6">
        <f>IF(C902="","",SUMPRODUCT((Mapping!$F$5:$F$504=Setup!$B$4&amp;"||"&amp;C902)*ROW(Mapping!$F$5:$F$504)))</f>
        <v/>
      </c>
      <c r="K902" s="6">
        <f>IF(C902="","",IF(J902=0,"UNMAPPED",LOWER(INDEX(Mapping!$D$1:$D$504,J902))))</f>
        <v/>
      </c>
      <c r="L902" s="6">
        <f>IF(K902="mapped",TRIM(INDEX(Mapping!$C$1:$C$504,J902)),"")</f>
        <v/>
      </c>
      <c r="M902" s="6">
        <f>IF(C902="","",IF(SUMPRODUCT(($C$12:C902=C902)*1)=1,1,0))</f>
        <v/>
      </c>
      <c r="N902" s="6">
        <f>IF(AND(K902="UNMAPPED",M902=1),ROW(),"")</f>
        <v/>
      </c>
      <c r="O902" s="6">
        <f>IF(AND(I902=1,M902=1),ROW(),"")</f>
        <v/>
      </c>
      <c r="P902" s="6">
        <f>IF(AND(K902="ignored",M902=1),ROW(),"")</f>
        <v/>
      </c>
    </row>
    <row r="903">
      <c r="A903" s="8" t="n"/>
      <c r="B903" s="8" t="n"/>
      <c r="C903" s="6">
        <f>TRIM(A903&amp;"")</f>
        <v/>
      </c>
      <c r="D903" s="6">
        <f>IF(C903="","",SUBSTITUTE(SUBSTITUTE(SUBSTITUTE(SUBSTITUTE(SUBSTITUTE(SUBSTITUTE(SUBSTITUTE(UPPER(TRIM(B903&amp;"")),"₹",""),"RS.",""),"RS",""),"INR",""),"$",""),",","")," ",""))</f>
        <v/>
      </c>
      <c r="E903" s="6">
        <f>IF(C903="","",IF(RIGHT(D903,2)="CR","Cr",IF(RIGHT(D903,2)="DR","Dr","")))</f>
        <v/>
      </c>
      <c r="F903" s="6">
        <f>IF(C903="","",IF(E903&lt;&gt;"",LEFT(D903,LEN(D903)-2),D903))</f>
        <v/>
      </c>
      <c r="G903" s="13">
        <f>IF(C903="","",IF(OR(IF(AND(LEFT(F903,1)="(",RIGHT(F903,1)=")"),MID(F903,2,LEN(F903)-2),F903)="",IF(AND(LEFT(F903,1)="(",RIGHT(F903,1)=")"),MID(F903,2,LEN(F903)-2),F903)="-"),0,IFERROR(VALUE(IF(AND(LEFT(F903,1)="(",RIGHT(F903,1)=")"),MID(F903,2,LEN(F903)-2),F903))*IF(AND(LEFT(F903,1)="(",RIGHT(F903,1)=")"),-1,1)*IF(E903="Cr",Setup!$B$6,1),"ERR")))</f>
        <v/>
      </c>
      <c r="H903" s="6">
        <f>IF(C903="","",IF(ISNUMBER(G903),1,0))</f>
        <v/>
      </c>
      <c r="I903" s="6">
        <f>IF(C903="","",IF(SUMPRODUCT(($C$12:$C$1511=C903)*1)&gt;1,1,0))</f>
        <v/>
      </c>
      <c r="J903" s="6">
        <f>IF(C903="","",SUMPRODUCT((Mapping!$F$5:$F$504=Setup!$B$4&amp;"||"&amp;C903)*ROW(Mapping!$F$5:$F$504)))</f>
        <v/>
      </c>
      <c r="K903" s="6">
        <f>IF(C903="","",IF(J903=0,"UNMAPPED",LOWER(INDEX(Mapping!$D$1:$D$504,J903))))</f>
        <v/>
      </c>
      <c r="L903" s="6">
        <f>IF(K903="mapped",TRIM(INDEX(Mapping!$C$1:$C$504,J903)),"")</f>
        <v/>
      </c>
      <c r="M903" s="6">
        <f>IF(C903="","",IF(SUMPRODUCT(($C$12:C903=C903)*1)=1,1,0))</f>
        <v/>
      </c>
      <c r="N903" s="6">
        <f>IF(AND(K903="UNMAPPED",M903=1),ROW(),"")</f>
        <v/>
      </c>
      <c r="O903" s="6">
        <f>IF(AND(I903=1,M903=1),ROW(),"")</f>
        <v/>
      </c>
      <c r="P903" s="6">
        <f>IF(AND(K903="ignored",M903=1),ROW(),"")</f>
        <v/>
      </c>
    </row>
    <row r="904">
      <c r="A904" s="8" t="n"/>
      <c r="B904" s="8" t="n"/>
      <c r="C904" s="6">
        <f>TRIM(A904&amp;"")</f>
        <v/>
      </c>
      <c r="D904" s="6">
        <f>IF(C904="","",SUBSTITUTE(SUBSTITUTE(SUBSTITUTE(SUBSTITUTE(SUBSTITUTE(SUBSTITUTE(SUBSTITUTE(UPPER(TRIM(B904&amp;"")),"₹",""),"RS.",""),"RS",""),"INR",""),"$",""),",","")," ",""))</f>
        <v/>
      </c>
      <c r="E904" s="6">
        <f>IF(C904="","",IF(RIGHT(D904,2)="CR","Cr",IF(RIGHT(D904,2)="DR","Dr","")))</f>
        <v/>
      </c>
      <c r="F904" s="6">
        <f>IF(C904="","",IF(E904&lt;&gt;"",LEFT(D904,LEN(D904)-2),D904))</f>
        <v/>
      </c>
      <c r="G904" s="13">
        <f>IF(C904="","",IF(OR(IF(AND(LEFT(F904,1)="(",RIGHT(F904,1)=")"),MID(F904,2,LEN(F904)-2),F904)="",IF(AND(LEFT(F904,1)="(",RIGHT(F904,1)=")"),MID(F904,2,LEN(F904)-2),F904)="-"),0,IFERROR(VALUE(IF(AND(LEFT(F904,1)="(",RIGHT(F904,1)=")"),MID(F904,2,LEN(F904)-2),F904))*IF(AND(LEFT(F904,1)="(",RIGHT(F904,1)=")"),-1,1)*IF(E904="Cr",Setup!$B$6,1),"ERR")))</f>
        <v/>
      </c>
      <c r="H904" s="6">
        <f>IF(C904="","",IF(ISNUMBER(G904),1,0))</f>
        <v/>
      </c>
      <c r="I904" s="6">
        <f>IF(C904="","",IF(SUMPRODUCT(($C$12:$C$1511=C904)*1)&gt;1,1,0))</f>
        <v/>
      </c>
      <c r="J904" s="6">
        <f>IF(C904="","",SUMPRODUCT((Mapping!$F$5:$F$504=Setup!$B$4&amp;"||"&amp;C904)*ROW(Mapping!$F$5:$F$504)))</f>
        <v/>
      </c>
      <c r="K904" s="6">
        <f>IF(C904="","",IF(J904=0,"UNMAPPED",LOWER(INDEX(Mapping!$D$1:$D$504,J904))))</f>
        <v/>
      </c>
      <c r="L904" s="6">
        <f>IF(K904="mapped",TRIM(INDEX(Mapping!$C$1:$C$504,J904)),"")</f>
        <v/>
      </c>
      <c r="M904" s="6">
        <f>IF(C904="","",IF(SUMPRODUCT(($C$12:C904=C904)*1)=1,1,0))</f>
        <v/>
      </c>
      <c r="N904" s="6">
        <f>IF(AND(K904="UNMAPPED",M904=1),ROW(),"")</f>
        <v/>
      </c>
      <c r="O904" s="6">
        <f>IF(AND(I904=1,M904=1),ROW(),"")</f>
        <v/>
      </c>
      <c r="P904" s="6">
        <f>IF(AND(K904="ignored",M904=1),ROW(),"")</f>
        <v/>
      </c>
    </row>
    <row r="905">
      <c r="A905" s="8" t="n"/>
      <c r="B905" s="8" t="n"/>
      <c r="C905" s="6">
        <f>TRIM(A905&amp;"")</f>
        <v/>
      </c>
      <c r="D905" s="6">
        <f>IF(C905="","",SUBSTITUTE(SUBSTITUTE(SUBSTITUTE(SUBSTITUTE(SUBSTITUTE(SUBSTITUTE(SUBSTITUTE(UPPER(TRIM(B905&amp;"")),"₹",""),"RS.",""),"RS",""),"INR",""),"$",""),",","")," ",""))</f>
        <v/>
      </c>
      <c r="E905" s="6">
        <f>IF(C905="","",IF(RIGHT(D905,2)="CR","Cr",IF(RIGHT(D905,2)="DR","Dr","")))</f>
        <v/>
      </c>
      <c r="F905" s="6">
        <f>IF(C905="","",IF(E905&lt;&gt;"",LEFT(D905,LEN(D905)-2),D905))</f>
        <v/>
      </c>
      <c r="G905" s="13">
        <f>IF(C905="","",IF(OR(IF(AND(LEFT(F905,1)="(",RIGHT(F905,1)=")"),MID(F905,2,LEN(F905)-2),F905)="",IF(AND(LEFT(F905,1)="(",RIGHT(F905,1)=")"),MID(F905,2,LEN(F905)-2),F905)="-"),0,IFERROR(VALUE(IF(AND(LEFT(F905,1)="(",RIGHT(F905,1)=")"),MID(F905,2,LEN(F905)-2),F905))*IF(AND(LEFT(F905,1)="(",RIGHT(F905,1)=")"),-1,1)*IF(E905="Cr",Setup!$B$6,1),"ERR")))</f>
        <v/>
      </c>
      <c r="H905" s="6">
        <f>IF(C905="","",IF(ISNUMBER(G905),1,0))</f>
        <v/>
      </c>
      <c r="I905" s="6">
        <f>IF(C905="","",IF(SUMPRODUCT(($C$12:$C$1511=C905)*1)&gt;1,1,0))</f>
        <v/>
      </c>
      <c r="J905" s="6">
        <f>IF(C905="","",SUMPRODUCT((Mapping!$F$5:$F$504=Setup!$B$4&amp;"||"&amp;C905)*ROW(Mapping!$F$5:$F$504)))</f>
        <v/>
      </c>
      <c r="K905" s="6">
        <f>IF(C905="","",IF(J905=0,"UNMAPPED",LOWER(INDEX(Mapping!$D$1:$D$504,J905))))</f>
        <v/>
      </c>
      <c r="L905" s="6">
        <f>IF(K905="mapped",TRIM(INDEX(Mapping!$C$1:$C$504,J905)),"")</f>
        <v/>
      </c>
      <c r="M905" s="6">
        <f>IF(C905="","",IF(SUMPRODUCT(($C$12:C905=C905)*1)=1,1,0))</f>
        <v/>
      </c>
      <c r="N905" s="6">
        <f>IF(AND(K905="UNMAPPED",M905=1),ROW(),"")</f>
        <v/>
      </c>
      <c r="O905" s="6">
        <f>IF(AND(I905=1,M905=1),ROW(),"")</f>
        <v/>
      </c>
      <c r="P905" s="6">
        <f>IF(AND(K905="ignored",M905=1),ROW(),"")</f>
        <v/>
      </c>
    </row>
    <row r="906">
      <c r="A906" s="8" t="n"/>
      <c r="B906" s="8" t="n"/>
      <c r="C906" s="6">
        <f>TRIM(A906&amp;"")</f>
        <v/>
      </c>
      <c r="D906" s="6">
        <f>IF(C906="","",SUBSTITUTE(SUBSTITUTE(SUBSTITUTE(SUBSTITUTE(SUBSTITUTE(SUBSTITUTE(SUBSTITUTE(UPPER(TRIM(B906&amp;"")),"₹",""),"RS.",""),"RS",""),"INR",""),"$",""),",","")," ",""))</f>
        <v/>
      </c>
      <c r="E906" s="6">
        <f>IF(C906="","",IF(RIGHT(D906,2)="CR","Cr",IF(RIGHT(D906,2)="DR","Dr","")))</f>
        <v/>
      </c>
      <c r="F906" s="6">
        <f>IF(C906="","",IF(E906&lt;&gt;"",LEFT(D906,LEN(D906)-2),D906))</f>
        <v/>
      </c>
      <c r="G906" s="13">
        <f>IF(C906="","",IF(OR(IF(AND(LEFT(F906,1)="(",RIGHT(F906,1)=")"),MID(F906,2,LEN(F906)-2),F906)="",IF(AND(LEFT(F906,1)="(",RIGHT(F906,1)=")"),MID(F906,2,LEN(F906)-2),F906)="-"),0,IFERROR(VALUE(IF(AND(LEFT(F906,1)="(",RIGHT(F906,1)=")"),MID(F906,2,LEN(F906)-2),F906))*IF(AND(LEFT(F906,1)="(",RIGHT(F906,1)=")"),-1,1)*IF(E906="Cr",Setup!$B$6,1),"ERR")))</f>
        <v/>
      </c>
      <c r="H906" s="6">
        <f>IF(C906="","",IF(ISNUMBER(G906),1,0))</f>
        <v/>
      </c>
      <c r="I906" s="6">
        <f>IF(C906="","",IF(SUMPRODUCT(($C$12:$C$1511=C906)*1)&gt;1,1,0))</f>
        <v/>
      </c>
      <c r="J906" s="6">
        <f>IF(C906="","",SUMPRODUCT((Mapping!$F$5:$F$504=Setup!$B$4&amp;"||"&amp;C906)*ROW(Mapping!$F$5:$F$504)))</f>
        <v/>
      </c>
      <c r="K906" s="6">
        <f>IF(C906="","",IF(J906=0,"UNMAPPED",LOWER(INDEX(Mapping!$D$1:$D$504,J906))))</f>
        <v/>
      </c>
      <c r="L906" s="6">
        <f>IF(K906="mapped",TRIM(INDEX(Mapping!$C$1:$C$504,J906)),"")</f>
        <v/>
      </c>
      <c r="M906" s="6">
        <f>IF(C906="","",IF(SUMPRODUCT(($C$12:C906=C906)*1)=1,1,0))</f>
        <v/>
      </c>
      <c r="N906" s="6">
        <f>IF(AND(K906="UNMAPPED",M906=1),ROW(),"")</f>
        <v/>
      </c>
      <c r="O906" s="6">
        <f>IF(AND(I906=1,M906=1),ROW(),"")</f>
        <v/>
      </c>
      <c r="P906" s="6">
        <f>IF(AND(K906="ignored",M906=1),ROW(),"")</f>
        <v/>
      </c>
    </row>
    <row r="907">
      <c r="A907" s="8" t="n"/>
      <c r="B907" s="8" t="n"/>
      <c r="C907" s="6">
        <f>TRIM(A907&amp;"")</f>
        <v/>
      </c>
      <c r="D907" s="6">
        <f>IF(C907="","",SUBSTITUTE(SUBSTITUTE(SUBSTITUTE(SUBSTITUTE(SUBSTITUTE(SUBSTITUTE(SUBSTITUTE(UPPER(TRIM(B907&amp;"")),"₹",""),"RS.",""),"RS",""),"INR",""),"$",""),",","")," ",""))</f>
        <v/>
      </c>
      <c r="E907" s="6">
        <f>IF(C907="","",IF(RIGHT(D907,2)="CR","Cr",IF(RIGHT(D907,2)="DR","Dr","")))</f>
        <v/>
      </c>
      <c r="F907" s="6">
        <f>IF(C907="","",IF(E907&lt;&gt;"",LEFT(D907,LEN(D907)-2),D907))</f>
        <v/>
      </c>
      <c r="G907" s="13">
        <f>IF(C907="","",IF(OR(IF(AND(LEFT(F907,1)="(",RIGHT(F907,1)=")"),MID(F907,2,LEN(F907)-2),F907)="",IF(AND(LEFT(F907,1)="(",RIGHT(F907,1)=")"),MID(F907,2,LEN(F907)-2),F907)="-"),0,IFERROR(VALUE(IF(AND(LEFT(F907,1)="(",RIGHT(F907,1)=")"),MID(F907,2,LEN(F907)-2),F907))*IF(AND(LEFT(F907,1)="(",RIGHT(F907,1)=")"),-1,1)*IF(E907="Cr",Setup!$B$6,1),"ERR")))</f>
        <v/>
      </c>
      <c r="H907" s="6">
        <f>IF(C907="","",IF(ISNUMBER(G907),1,0))</f>
        <v/>
      </c>
      <c r="I907" s="6">
        <f>IF(C907="","",IF(SUMPRODUCT(($C$12:$C$1511=C907)*1)&gt;1,1,0))</f>
        <v/>
      </c>
      <c r="J907" s="6">
        <f>IF(C907="","",SUMPRODUCT((Mapping!$F$5:$F$504=Setup!$B$4&amp;"||"&amp;C907)*ROW(Mapping!$F$5:$F$504)))</f>
        <v/>
      </c>
      <c r="K907" s="6">
        <f>IF(C907="","",IF(J907=0,"UNMAPPED",LOWER(INDEX(Mapping!$D$1:$D$504,J907))))</f>
        <v/>
      </c>
      <c r="L907" s="6">
        <f>IF(K907="mapped",TRIM(INDEX(Mapping!$C$1:$C$504,J907)),"")</f>
        <v/>
      </c>
      <c r="M907" s="6">
        <f>IF(C907="","",IF(SUMPRODUCT(($C$12:C907=C907)*1)=1,1,0))</f>
        <v/>
      </c>
      <c r="N907" s="6">
        <f>IF(AND(K907="UNMAPPED",M907=1),ROW(),"")</f>
        <v/>
      </c>
      <c r="O907" s="6">
        <f>IF(AND(I907=1,M907=1),ROW(),"")</f>
        <v/>
      </c>
      <c r="P907" s="6">
        <f>IF(AND(K907="ignored",M907=1),ROW(),"")</f>
        <v/>
      </c>
    </row>
    <row r="908">
      <c r="A908" s="8" t="n"/>
      <c r="B908" s="8" t="n"/>
      <c r="C908" s="6">
        <f>TRIM(A908&amp;"")</f>
        <v/>
      </c>
      <c r="D908" s="6">
        <f>IF(C908="","",SUBSTITUTE(SUBSTITUTE(SUBSTITUTE(SUBSTITUTE(SUBSTITUTE(SUBSTITUTE(SUBSTITUTE(UPPER(TRIM(B908&amp;"")),"₹",""),"RS.",""),"RS",""),"INR",""),"$",""),",","")," ",""))</f>
        <v/>
      </c>
      <c r="E908" s="6">
        <f>IF(C908="","",IF(RIGHT(D908,2)="CR","Cr",IF(RIGHT(D908,2)="DR","Dr","")))</f>
        <v/>
      </c>
      <c r="F908" s="6">
        <f>IF(C908="","",IF(E908&lt;&gt;"",LEFT(D908,LEN(D908)-2),D908))</f>
        <v/>
      </c>
      <c r="G908" s="13">
        <f>IF(C908="","",IF(OR(IF(AND(LEFT(F908,1)="(",RIGHT(F908,1)=")"),MID(F908,2,LEN(F908)-2),F908)="",IF(AND(LEFT(F908,1)="(",RIGHT(F908,1)=")"),MID(F908,2,LEN(F908)-2),F908)="-"),0,IFERROR(VALUE(IF(AND(LEFT(F908,1)="(",RIGHT(F908,1)=")"),MID(F908,2,LEN(F908)-2),F908))*IF(AND(LEFT(F908,1)="(",RIGHT(F908,1)=")"),-1,1)*IF(E908="Cr",Setup!$B$6,1),"ERR")))</f>
        <v/>
      </c>
      <c r="H908" s="6">
        <f>IF(C908="","",IF(ISNUMBER(G908),1,0))</f>
        <v/>
      </c>
      <c r="I908" s="6">
        <f>IF(C908="","",IF(SUMPRODUCT(($C$12:$C$1511=C908)*1)&gt;1,1,0))</f>
        <v/>
      </c>
      <c r="J908" s="6">
        <f>IF(C908="","",SUMPRODUCT((Mapping!$F$5:$F$504=Setup!$B$4&amp;"||"&amp;C908)*ROW(Mapping!$F$5:$F$504)))</f>
        <v/>
      </c>
      <c r="K908" s="6">
        <f>IF(C908="","",IF(J908=0,"UNMAPPED",LOWER(INDEX(Mapping!$D$1:$D$504,J908))))</f>
        <v/>
      </c>
      <c r="L908" s="6">
        <f>IF(K908="mapped",TRIM(INDEX(Mapping!$C$1:$C$504,J908)),"")</f>
        <v/>
      </c>
      <c r="M908" s="6">
        <f>IF(C908="","",IF(SUMPRODUCT(($C$12:C908=C908)*1)=1,1,0))</f>
        <v/>
      </c>
      <c r="N908" s="6">
        <f>IF(AND(K908="UNMAPPED",M908=1),ROW(),"")</f>
        <v/>
      </c>
      <c r="O908" s="6">
        <f>IF(AND(I908=1,M908=1),ROW(),"")</f>
        <v/>
      </c>
      <c r="P908" s="6">
        <f>IF(AND(K908="ignored",M908=1),ROW(),"")</f>
        <v/>
      </c>
    </row>
    <row r="909">
      <c r="A909" s="8" t="n"/>
      <c r="B909" s="8" t="n"/>
      <c r="C909" s="6">
        <f>TRIM(A909&amp;"")</f>
        <v/>
      </c>
      <c r="D909" s="6">
        <f>IF(C909="","",SUBSTITUTE(SUBSTITUTE(SUBSTITUTE(SUBSTITUTE(SUBSTITUTE(SUBSTITUTE(SUBSTITUTE(UPPER(TRIM(B909&amp;"")),"₹",""),"RS.",""),"RS",""),"INR",""),"$",""),",","")," ",""))</f>
        <v/>
      </c>
      <c r="E909" s="6">
        <f>IF(C909="","",IF(RIGHT(D909,2)="CR","Cr",IF(RIGHT(D909,2)="DR","Dr","")))</f>
        <v/>
      </c>
      <c r="F909" s="6">
        <f>IF(C909="","",IF(E909&lt;&gt;"",LEFT(D909,LEN(D909)-2),D909))</f>
        <v/>
      </c>
      <c r="G909" s="13">
        <f>IF(C909="","",IF(OR(IF(AND(LEFT(F909,1)="(",RIGHT(F909,1)=")"),MID(F909,2,LEN(F909)-2),F909)="",IF(AND(LEFT(F909,1)="(",RIGHT(F909,1)=")"),MID(F909,2,LEN(F909)-2),F909)="-"),0,IFERROR(VALUE(IF(AND(LEFT(F909,1)="(",RIGHT(F909,1)=")"),MID(F909,2,LEN(F909)-2),F909))*IF(AND(LEFT(F909,1)="(",RIGHT(F909,1)=")"),-1,1)*IF(E909="Cr",Setup!$B$6,1),"ERR")))</f>
        <v/>
      </c>
      <c r="H909" s="6">
        <f>IF(C909="","",IF(ISNUMBER(G909),1,0))</f>
        <v/>
      </c>
      <c r="I909" s="6">
        <f>IF(C909="","",IF(SUMPRODUCT(($C$12:$C$1511=C909)*1)&gt;1,1,0))</f>
        <v/>
      </c>
      <c r="J909" s="6">
        <f>IF(C909="","",SUMPRODUCT((Mapping!$F$5:$F$504=Setup!$B$4&amp;"||"&amp;C909)*ROW(Mapping!$F$5:$F$504)))</f>
        <v/>
      </c>
      <c r="K909" s="6">
        <f>IF(C909="","",IF(J909=0,"UNMAPPED",LOWER(INDEX(Mapping!$D$1:$D$504,J909))))</f>
        <v/>
      </c>
      <c r="L909" s="6">
        <f>IF(K909="mapped",TRIM(INDEX(Mapping!$C$1:$C$504,J909)),"")</f>
        <v/>
      </c>
      <c r="M909" s="6">
        <f>IF(C909="","",IF(SUMPRODUCT(($C$12:C909=C909)*1)=1,1,0))</f>
        <v/>
      </c>
      <c r="N909" s="6">
        <f>IF(AND(K909="UNMAPPED",M909=1),ROW(),"")</f>
        <v/>
      </c>
      <c r="O909" s="6">
        <f>IF(AND(I909=1,M909=1),ROW(),"")</f>
        <v/>
      </c>
      <c r="P909" s="6">
        <f>IF(AND(K909="ignored",M909=1),ROW(),"")</f>
        <v/>
      </c>
    </row>
    <row r="910">
      <c r="A910" s="8" t="n"/>
      <c r="B910" s="8" t="n"/>
      <c r="C910" s="6">
        <f>TRIM(A910&amp;"")</f>
        <v/>
      </c>
      <c r="D910" s="6">
        <f>IF(C910="","",SUBSTITUTE(SUBSTITUTE(SUBSTITUTE(SUBSTITUTE(SUBSTITUTE(SUBSTITUTE(SUBSTITUTE(UPPER(TRIM(B910&amp;"")),"₹",""),"RS.",""),"RS",""),"INR",""),"$",""),",","")," ",""))</f>
        <v/>
      </c>
      <c r="E910" s="6">
        <f>IF(C910="","",IF(RIGHT(D910,2)="CR","Cr",IF(RIGHT(D910,2)="DR","Dr","")))</f>
        <v/>
      </c>
      <c r="F910" s="6">
        <f>IF(C910="","",IF(E910&lt;&gt;"",LEFT(D910,LEN(D910)-2),D910))</f>
        <v/>
      </c>
      <c r="G910" s="13">
        <f>IF(C910="","",IF(OR(IF(AND(LEFT(F910,1)="(",RIGHT(F910,1)=")"),MID(F910,2,LEN(F910)-2),F910)="",IF(AND(LEFT(F910,1)="(",RIGHT(F910,1)=")"),MID(F910,2,LEN(F910)-2),F910)="-"),0,IFERROR(VALUE(IF(AND(LEFT(F910,1)="(",RIGHT(F910,1)=")"),MID(F910,2,LEN(F910)-2),F910))*IF(AND(LEFT(F910,1)="(",RIGHT(F910,1)=")"),-1,1)*IF(E910="Cr",Setup!$B$6,1),"ERR")))</f>
        <v/>
      </c>
      <c r="H910" s="6">
        <f>IF(C910="","",IF(ISNUMBER(G910),1,0))</f>
        <v/>
      </c>
      <c r="I910" s="6">
        <f>IF(C910="","",IF(SUMPRODUCT(($C$12:$C$1511=C910)*1)&gt;1,1,0))</f>
        <v/>
      </c>
      <c r="J910" s="6">
        <f>IF(C910="","",SUMPRODUCT((Mapping!$F$5:$F$504=Setup!$B$4&amp;"||"&amp;C910)*ROW(Mapping!$F$5:$F$504)))</f>
        <v/>
      </c>
      <c r="K910" s="6">
        <f>IF(C910="","",IF(J910=0,"UNMAPPED",LOWER(INDEX(Mapping!$D$1:$D$504,J910))))</f>
        <v/>
      </c>
      <c r="L910" s="6">
        <f>IF(K910="mapped",TRIM(INDEX(Mapping!$C$1:$C$504,J910)),"")</f>
        <v/>
      </c>
      <c r="M910" s="6">
        <f>IF(C910="","",IF(SUMPRODUCT(($C$12:C910=C910)*1)=1,1,0))</f>
        <v/>
      </c>
      <c r="N910" s="6">
        <f>IF(AND(K910="UNMAPPED",M910=1),ROW(),"")</f>
        <v/>
      </c>
      <c r="O910" s="6">
        <f>IF(AND(I910=1,M910=1),ROW(),"")</f>
        <v/>
      </c>
      <c r="P910" s="6">
        <f>IF(AND(K910="ignored",M910=1),ROW(),"")</f>
        <v/>
      </c>
    </row>
    <row r="911">
      <c r="A911" s="8" t="n"/>
      <c r="B911" s="8" t="n"/>
      <c r="C911" s="6">
        <f>TRIM(A911&amp;"")</f>
        <v/>
      </c>
      <c r="D911" s="6">
        <f>IF(C911="","",SUBSTITUTE(SUBSTITUTE(SUBSTITUTE(SUBSTITUTE(SUBSTITUTE(SUBSTITUTE(SUBSTITUTE(UPPER(TRIM(B911&amp;"")),"₹",""),"RS.",""),"RS",""),"INR",""),"$",""),",","")," ",""))</f>
        <v/>
      </c>
      <c r="E911" s="6">
        <f>IF(C911="","",IF(RIGHT(D911,2)="CR","Cr",IF(RIGHT(D911,2)="DR","Dr","")))</f>
        <v/>
      </c>
      <c r="F911" s="6">
        <f>IF(C911="","",IF(E911&lt;&gt;"",LEFT(D911,LEN(D911)-2),D911))</f>
        <v/>
      </c>
      <c r="G911" s="13">
        <f>IF(C911="","",IF(OR(IF(AND(LEFT(F911,1)="(",RIGHT(F911,1)=")"),MID(F911,2,LEN(F911)-2),F911)="",IF(AND(LEFT(F911,1)="(",RIGHT(F911,1)=")"),MID(F911,2,LEN(F911)-2),F911)="-"),0,IFERROR(VALUE(IF(AND(LEFT(F911,1)="(",RIGHT(F911,1)=")"),MID(F911,2,LEN(F911)-2),F911))*IF(AND(LEFT(F911,1)="(",RIGHT(F911,1)=")"),-1,1)*IF(E911="Cr",Setup!$B$6,1),"ERR")))</f>
        <v/>
      </c>
      <c r="H911" s="6">
        <f>IF(C911="","",IF(ISNUMBER(G911),1,0))</f>
        <v/>
      </c>
      <c r="I911" s="6">
        <f>IF(C911="","",IF(SUMPRODUCT(($C$12:$C$1511=C911)*1)&gt;1,1,0))</f>
        <v/>
      </c>
      <c r="J911" s="6">
        <f>IF(C911="","",SUMPRODUCT((Mapping!$F$5:$F$504=Setup!$B$4&amp;"||"&amp;C911)*ROW(Mapping!$F$5:$F$504)))</f>
        <v/>
      </c>
      <c r="K911" s="6">
        <f>IF(C911="","",IF(J911=0,"UNMAPPED",LOWER(INDEX(Mapping!$D$1:$D$504,J911))))</f>
        <v/>
      </c>
      <c r="L911" s="6">
        <f>IF(K911="mapped",TRIM(INDEX(Mapping!$C$1:$C$504,J911)),"")</f>
        <v/>
      </c>
      <c r="M911" s="6">
        <f>IF(C911="","",IF(SUMPRODUCT(($C$12:C911=C911)*1)=1,1,0))</f>
        <v/>
      </c>
      <c r="N911" s="6">
        <f>IF(AND(K911="UNMAPPED",M911=1),ROW(),"")</f>
        <v/>
      </c>
      <c r="O911" s="6">
        <f>IF(AND(I911=1,M911=1),ROW(),"")</f>
        <v/>
      </c>
      <c r="P911" s="6">
        <f>IF(AND(K911="ignored",M911=1),ROW(),"")</f>
        <v/>
      </c>
    </row>
    <row r="912">
      <c r="A912" s="8" t="n"/>
      <c r="B912" s="8" t="n"/>
      <c r="C912" s="6">
        <f>TRIM(A912&amp;"")</f>
        <v/>
      </c>
      <c r="D912" s="6">
        <f>IF(C912="","",SUBSTITUTE(SUBSTITUTE(SUBSTITUTE(SUBSTITUTE(SUBSTITUTE(SUBSTITUTE(SUBSTITUTE(UPPER(TRIM(B912&amp;"")),"₹",""),"RS.",""),"RS",""),"INR",""),"$",""),",","")," ",""))</f>
        <v/>
      </c>
      <c r="E912" s="6">
        <f>IF(C912="","",IF(RIGHT(D912,2)="CR","Cr",IF(RIGHT(D912,2)="DR","Dr","")))</f>
        <v/>
      </c>
      <c r="F912" s="6">
        <f>IF(C912="","",IF(E912&lt;&gt;"",LEFT(D912,LEN(D912)-2),D912))</f>
        <v/>
      </c>
      <c r="G912" s="13">
        <f>IF(C912="","",IF(OR(IF(AND(LEFT(F912,1)="(",RIGHT(F912,1)=")"),MID(F912,2,LEN(F912)-2),F912)="",IF(AND(LEFT(F912,1)="(",RIGHT(F912,1)=")"),MID(F912,2,LEN(F912)-2),F912)="-"),0,IFERROR(VALUE(IF(AND(LEFT(F912,1)="(",RIGHT(F912,1)=")"),MID(F912,2,LEN(F912)-2),F912))*IF(AND(LEFT(F912,1)="(",RIGHT(F912,1)=")"),-1,1)*IF(E912="Cr",Setup!$B$6,1),"ERR")))</f>
        <v/>
      </c>
      <c r="H912" s="6">
        <f>IF(C912="","",IF(ISNUMBER(G912),1,0))</f>
        <v/>
      </c>
      <c r="I912" s="6">
        <f>IF(C912="","",IF(SUMPRODUCT(($C$12:$C$1511=C912)*1)&gt;1,1,0))</f>
        <v/>
      </c>
      <c r="J912" s="6">
        <f>IF(C912="","",SUMPRODUCT((Mapping!$F$5:$F$504=Setup!$B$4&amp;"||"&amp;C912)*ROW(Mapping!$F$5:$F$504)))</f>
        <v/>
      </c>
      <c r="K912" s="6">
        <f>IF(C912="","",IF(J912=0,"UNMAPPED",LOWER(INDEX(Mapping!$D$1:$D$504,J912))))</f>
        <v/>
      </c>
      <c r="L912" s="6">
        <f>IF(K912="mapped",TRIM(INDEX(Mapping!$C$1:$C$504,J912)),"")</f>
        <v/>
      </c>
      <c r="M912" s="6">
        <f>IF(C912="","",IF(SUMPRODUCT(($C$12:C912=C912)*1)=1,1,0))</f>
        <v/>
      </c>
      <c r="N912" s="6">
        <f>IF(AND(K912="UNMAPPED",M912=1),ROW(),"")</f>
        <v/>
      </c>
      <c r="O912" s="6">
        <f>IF(AND(I912=1,M912=1),ROW(),"")</f>
        <v/>
      </c>
      <c r="P912" s="6">
        <f>IF(AND(K912="ignored",M912=1),ROW(),"")</f>
        <v/>
      </c>
    </row>
    <row r="913">
      <c r="A913" s="8" t="n"/>
      <c r="B913" s="8" t="n"/>
      <c r="C913" s="6">
        <f>TRIM(A913&amp;"")</f>
        <v/>
      </c>
      <c r="D913" s="6">
        <f>IF(C913="","",SUBSTITUTE(SUBSTITUTE(SUBSTITUTE(SUBSTITUTE(SUBSTITUTE(SUBSTITUTE(SUBSTITUTE(UPPER(TRIM(B913&amp;"")),"₹",""),"RS.",""),"RS",""),"INR",""),"$",""),",","")," ",""))</f>
        <v/>
      </c>
      <c r="E913" s="6">
        <f>IF(C913="","",IF(RIGHT(D913,2)="CR","Cr",IF(RIGHT(D913,2)="DR","Dr","")))</f>
        <v/>
      </c>
      <c r="F913" s="6">
        <f>IF(C913="","",IF(E913&lt;&gt;"",LEFT(D913,LEN(D913)-2),D913))</f>
        <v/>
      </c>
      <c r="G913" s="13">
        <f>IF(C913="","",IF(OR(IF(AND(LEFT(F913,1)="(",RIGHT(F913,1)=")"),MID(F913,2,LEN(F913)-2),F913)="",IF(AND(LEFT(F913,1)="(",RIGHT(F913,1)=")"),MID(F913,2,LEN(F913)-2),F913)="-"),0,IFERROR(VALUE(IF(AND(LEFT(F913,1)="(",RIGHT(F913,1)=")"),MID(F913,2,LEN(F913)-2),F913))*IF(AND(LEFT(F913,1)="(",RIGHT(F913,1)=")"),-1,1)*IF(E913="Cr",Setup!$B$6,1),"ERR")))</f>
        <v/>
      </c>
      <c r="H913" s="6">
        <f>IF(C913="","",IF(ISNUMBER(G913),1,0))</f>
        <v/>
      </c>
      <c r="I913" s="6">
        <f>IF(C913="","",IF(SUMPRODUCT(($C$12:$C$1511=C913)*1)&gt;1,1,0))</f>
        <v/>
      </c>
      <c r="J913" s="6">
        <f>IF(C913="","",SUMPRODUCT((Mapping!$F$5:$F$504=Setup!$B$4&amp;"||"&amp;C913)*ROW(Mapping!$F$5:$F$504)))</f>
        <v/>
      </c>
      <c r="K913" s="6">
        <f>IF(C913="","",IF(J913=0,"UNMAPPED",LOWER(INDEX(Mapping!$D$1:$D$504,J913))))</f>
        <v/>
      </c>
      <c r="L913" s="6">
        <f>IF(K913="mapped",TRIM(INDEX(Mapping!$C$1:$C$504,J913)),"")</f>
        <v/>
      </c>
      <c r="M913" s="6">
        <f>IF(C913="","",IF(SUMPRODUCT(($C$12:C913=C913)*1)=1,1,0))</f>
        <v/>
      </c>
      <c r="N913" s="6">
        <f>IF(AND(K913="UNMAPPED",M913=1),ROW(),"")</f>
        <v/>
      </c>
      <c r="O913" s="6">
        <f>IF(AND(I913=1,M913=1),ROW(),"")</f>
        <v/>
      </c>
      <c r="P913" s="6">
        <f>IF(AND(K913="ignored",M913=1),ROW(),"")</f>
        <v/>
      </c>
    </row>
    <row r="914">
      <c r="A914" s="8" t="n"/>
      <c r="B914" s="8" t="n"/>
      <c r="C914" s="6">
        <f>TRIM(A914&amp;"")</f>
        <v/>
      </c>
      <c r="D914" s="6">
        <f>IF(C914="","",SUBSTITUTE(SUBSTITUTE(SUBSTITUTE(SUBSTITUTE(SUBSTITUTE(SUBSTITUTE(SUBSTITUTE(UPPER(TRIM(B914&amp;"")),"₹",""),"RS.",""),"RS",""),"INR",""),"$",""),",","")," ",""))</f>
        <v/>
      </c>
      <c r="E914" s="6">
        <f>IF(C914="","",IF(RIGHT(D914,2)="CR","Cr",IF(RIGHT(D914,2)="DR","Dr","")))</f>
        <v/>
      </c>
      <c r="F914" s="6">
        <f>IF(C914="","",IF(E914&lt;&gt;"",LEFT(D914,LEN(D914)-2),D914))</f>
        <v/>
      </c>
      <c r="G914" s="13">
        <f>IF(C914="","",IF(OR(IF(AND(LEFT(F914,1)="(",RIGHT(F914,1)=")"),MID(F914,2,LEN(F914)-2),F914)="",IF(AND(LEFT(F914,1)="(",RIGHT(F914,1)=")"),MID(F914,2,LEN(F914)-2),F914)="-"),0,IFERROR(VALUE(IF(AND(LEFT(F914,1)="(",RIGHT(F914,1)=")"),MID(F914,2,LEN(F914)-2),F914))*IF(AND(LEFT(F914,1)="(",RIGHT(F914,1)=")"),-1,1)*IF(E914="Cr",Setup!$B$6,1),"ERR")))</f>
        <v/>
      </c>
      <c r="H914" s="6">
        <f>IF(C914="","",IF(ISNUMBER(G914),1,0))</f>
        <v/>
      </c>
      <c r="I914" s="6">
        <f>IF(C914="","",IF(SUMPRODUCT(($C$12:$C$1511=C914)*1)&gt;1,1,0))</f>
        <v/>
      </c>
      <c r="J914" s="6">
        <f>IF(C914="","",SUMPRODUCT((Mapping!$F$5:$F$504=Setup!$B$4&amp;"||"&amp;C914)*ROW(Mapping!$F$5:$F$504)))</f>
        <v/>
      </c>
      <c r="K914" s="6">
        <f>IF(C914="","",IF(J914=0,"UNMAPPED",LOWER(INDEX(Mapping!$D$1:$D$504,J914))))</f>
        <v/>
      </c>
      <c r="L914" s="6">
        <f>IF(K914="mapped",TRIM(INDEX(Mapping!$C$1:$C$504,J914)),"")</f>
        <v/>
      </c>
      <c r="M914" s="6">
        <f>IF(C914="","",IF(SUMPRODUCT(($C$12:C914=C914)*1)=1,1,0))</f>
        <v/>
      </c>
      <c r="N914" s="6">
        <f>IF(AND(K914="UNMAPPED",M914=1),ROW(),"")</f>
        <v/>
      </c>
      <c r="O914" s="6">
        <f>IF(AND(I914=1,M914=1),ROW(),"")</f>
        <v/>
      </c>
      <c r="P914" s="6">
        <f>IF(AND(K914="ignored",M914=1),ROW(),"")</f>
        <v/>
      </c>
    </row>
    <row r="915">
      <c r="A915" s="8" t="n"/>
      <c r="B915" s="8" t="n"/>
      <c r="C915" s="6">
        <f>TRIM(A915&amp;"")</f>
        <v/>
      </c>
      <c r="D915" s="6">
        <f>IF(C915="","",SUBSTITUTE(SUBSTITUTE(SUBSTITUTE(SUBSTITUTE(SUBSTITUTE(SUBSTITUTE(SUBSTITUTE(UPPER(TRIM(B915&amp;"")),"₹",""),"RS.",""),"RS",""),"INR",""),"$",""),",","")," ",""))</f>
        <v/>
      </c>
      <c r="E915" s="6">
        <f>IF(C915="","",IF(RIGHT(D915,2)="CR","Cr",IF(RIGHT(D915,2)="DR","Dr","")))</f>
        <v/>
      </c>
      <c r="F915" s="6">
        <f>IF(C915="","",IF(E915&lt;&gt;"",LEFT(D915,LEN(D915)-2),D915))</f>
        <v/>
      </c>
      <c r="G915" s="13">
        <f>IF(C915="","",IF(OR(IF(AND(LEFT(F915,1)="(",RIGHT(F915,1)=")"),MID(F915,2,LEN(F915)-2),F915)="",IF(AND(LEFT(F915,1)="(",RIGHT(F915,1)=")"),MID(F915,2,LEN(F915)-2),F915)="-"),0,IFERROR(VALUE(IF(AND(LEFT(F915,1)="(",RIGHT(F915,1)=")"),MID(F915,2,LEN(F915)-2),F915))*IF(AND(LEFT(F915,1)="(",RIGHT(F915,1)=")"),-1,1)*IF(E915="Cr",Setup!$B$6,1),"ERR")))</f>
        <v/>
      </c>
      <c r="H915" s="6">
        <f>IF(C915="","",IF(ISNUMBER(G915),1,0))</f>
        <v/>
      </c>
      <c r="I915" s="6">
        <f>IF(C915="","",IF(SUMPRODUCT(($C$12:$C$1511=C915)*1)&gt;1,1,0))</f>
        <v/>
      </c>
      <c r="J915" s="6">
        <f>IF(C915="","",SUMPRODUCT((Mapping!$F$5:$F$504=Setup!$B$4&amp;"||"&amp;C915)*ROW(Mapping!$F$5:$F$504)))</f>
        <v/>
      </c>
      <c r="K915" s="6">
        <f>IF(C915="","",IF(J915=0,"UNMAPPED",LOWER(INDEX(Mapping!$D$1:$D$504,J915))))</f>
        <v/>
      </c>
      <c r="L915" s="6">
        <f>IF(K915="mapped",TRIM(INDEX(Mapping!$C$1:$C$504,J915)),"")</f>
        <v/>
      </c>
      <c r="M915" s="6">
        <f>IF(C915="","",IF(SUMPRODUCT(($C$12:C915=C915)*1)=1,1,0))</f>
        <v/>
      </c>
      <c r="N915" s="6">
        <f>IF(AND(K915="UNMAPPED",M915=1),ROW(),"")</f>
        <v/>
      </c>
      <c r="O915" s="6">
        <f>IF(AND(I915=1,M915=1),ROW(),"")</f>
        <v/>
      </c>
      <c r="P915" s="6">
        <f>IF(AND(K915="ignored",M915=1),ROW(),"")</f>
        <v/>
      </c>
    </row>
    <row r="916">
      <c r="A916" s="8" t="n"/>
      <c r="B916" s="8" t="n"/>
      <c r="C916" s="6">
        <f>TRIM(A916&amp;"")</f>
        <v/>
      </c>
      <c r="D916" s="6">
        <f>IF(C916="","",SUBSTITUTE(SUBSTITUTE(SUBSTITUTE(SUBSTITUTE(SUBSTITUTE(SUBSTITUTE(SUBSTITUTE(UPPER(TRIM(B916&amp;"")),"₹",""),"RS.",""),"RS",""),"INR",""),"$",""),",","")," ",""))</f>
        <v/>
      </c>
      <c r="E916" s="6">
        <f>IF(C916="","",IF(RIGHT(D916,2)="CR","Cr",IF(RIGHT(D916,2)="DR","Dr","")))</f>
        <v/>
      </c>
      <c r="F916" s="6">
        <f>IF(C916="","",IF(E916&lt;&gt;"",LEFT(D916,LEN(D916)-2),D916))</f>
        <v/>
      </c>
      <c r="G916" s="13">
        <f>IF(C916="","",IF(OR(IF(AND(LEFT(F916,1)="(",RIGHT(F916,1)=")"),MID(F916,2,LEN(F916)-2),F916)="",IF(AND(LEFT(F916,1)="(",RIGHT(F916,1)=")"),MID(F916,2,LEN(F916)-2),F916)="-"),0,IFERROR(VALUE(IF(AND(LEFT(F916,1)="(",RIGHT(F916,1)=")"),MID(F916,2,LEN(F916)-2),F916))*IF(AND(LEFT(F916,1)="(",RIGHT(F916,1)=")"),-1,1)*IF(E916="Cr",Setup!$B$6,1),"ERR")))</f>
        <v/>
      </c>
      <c r="H916" s="6">
        <f>IF(C916="","",IF(ISNUMBER(G916),1,0))</f>
        <v/>
      </c>
      <c r="I916" s="6">
        <f>IF(C916="","",IF(SUMPRODUCT(($C$12:$C$1511=C916)*1)&gt;1,1,0))</f>
        <v/>
      </c>
      <c r="J916" s="6">
        <f>IF(C916="","",SUMPRODUCT((Mapping!$F$5:$F$504=Setup!$B$4&amp;"||"&amp;C916)*ROW(Mapping!$F$5:$F$504)))</f>
        <v/>
      </c>
      <c r="K916" s="6">
        <f>IF(C916="","",IF(J916=0,"UNMAPPED",LOWER(INDEX(Mapping!$D$1:$D$504,J916))))</f>
        <v/>
      </c>
      <c r="L916" s="6">
        <f>IF(K916="mapped",TRIM(INDEX(Mapping!$C$1:$C$504,J916)),"")</f>
        <v/>
      </c>
      <c r="M916" s="6">
        <f>IF(C916="","",IF(SUMPRODUCT(($C$12:C916=C916)*1)=1,1,0))</f>
        <v/>
      </c>
      <c r="N916" s="6">
        <f>IF(AND(K916="UNMAPPED",M916=1),ROW(),"")</f>
        <v/>
      </c>
      <c r="O916" s="6">
        <f>IF(AND(I916=1,M916=1),ROW(),"")</f>
        <v/>
      </c>
      <c r="P916" s="6">
        <f>IF(AND(K916="ignored",M916=1),ROW(),"")</f>
        <v/>
      </c>
    </row>
    <row r="917">
      <c r="A917" s="8" t="n"/>
      <c r="B917" s="8" t="n"/>
      <c r="C917" s="6">
        <f>TRIM(A917&amp;"")</f>
        <v/>
      </c>
      <c r="D917" s="6">
        <f>IF(C917="","",SUBSTITUTE(SUBSTITUTE(SUBSTITUTE(SUBSTITUTE(SUBSTITUTE(SUBSTITUTE(SUBSTITUTE(UPPER(TRIM(B917&amp;"")),"₹",""),"RS.",""),"RS",""),"INR",""),"$",""),",","")," ",""))</f>
        <v/>
      </c>
      <c r="E917" s="6">
        <f>IF(C917="","",IF(RIGHT(D917,2)="CR","Cr",IF(RIGHT(D917,2)="DR","Dr","")))</f>
        <v/>
      </c>
      <c r="F917" s="6">
        <f>IF(C917="","",IF(E917&lt;&gt;"",LEFT(D917,LEN(D917)-2),D917))</f>
        <v/>
      </c>
      <c r="G917" s="13">
        <f>IF(C917="","",IF(OR(IF(AND(LEFT(F917,1)="(",RIGHT(F917,1)=")"),MID(F917,2,LEN(F917)-2),F917)="",IF(AND(LEFT(F917,1)="(",RIGHT(F917,1)=")"),MID(F917,2,LEN(F917)-2),F917)="-"),0,IFERROR(VALUE(IF(AND(LEFT(F917,1)="(",RIGHT(F917,1)=")"),MID(F917,2,LEN(F917)-2),F917))*IF(AND(LEFT(F917,1)="(",RIGHT(F917,1)=")"),-1,1)*IF(E917="Cr",Setup!$B$6,1),"ERR")))</f>
        <v/>
      </c>
      <c r="H917" s="6">
        <f>IF(C917="","",IF(ISNUMBER(G917),1,0))</f>
        <v/>
      </c>
      <c r="I917" s="6">
        <f>IF(C917="","",IF(SUMPRODUCT(($C$12:$C$1511=C917)*1)&gt;1,1,0))</f>
        <v/>
      </c>
      <c r="J917" s="6">
        <f>IF(C917="","",SUMPRODUCT((Mapping!$F$5:$F$504=Setup!$B$4&amp;"||"&amp;C917)*ROW(Mapping!$F$5:$F$504)))</f>
        <v/>
      </c>
      <c r="K917" s="6">
        <f>IF(C917="","",IF(J917=0,"UNMAPPED",LOWER(INDEX(Mapping!$D$1:$D$504,J917))))</f>
        <v/>
      </c>
      <c r="L917" s="6">
        <f>IF(K917="mapped",TRIM(INDEX(Mapping!$C$1:$C$504,J917)),"")</f>
        <v/>
      </c>
      <c r="M917" s="6">
        <f>IF(C917="","",IF(SUMPRODUCT(($C$12:C917=C917)*1)=1,1,0))</f>
        <v/>
      </c>
      <c r="N917" s="6">
        <f>IF(AND(K917="UNMAPPED",M917=1),ROW(),"")</f>
        <v/>
      </c>
      <c r="O917" s="6">
        <f>IF(AND(I917=1,M917=1),ROW(),"")</f>
        <v/>
      </c>
      <c r="P917" s="6">
        <f>IF(AND(K917="ignored",M917=1),ROW(),"")</f>
        <v/>
      </c>
    </row>
    <row r="918">
      <c r="A918" s="8" t="n"/>
      <c r="B918" s="8" t="n"/>
      <c r="C918" s="6">
        <f>TRIM(A918&amp;"")</f>
        <v/>
      </c>
      <c r="D918" s="6">
        <f>IF(C918="","",SUBSTITUTE(SUBSTITUTE(SUBSTITUTE(SUBSTITUTE(SUBSTITUTE(SUBSTITUTE(SUBSTITUTE(UPPER(TRIM(B918&amp;"")),"₹",""),"RS.",""),"RS",""),"INR",""),"$",""),",","")," ",""))</f>
        <v/>
      </c>
      <c r="E918" s="6">
        <f>IF(C918="","",IF(RIGHT(D918,2)="CR","Cr",IF(RIGHT(D918,2)="DR","Dr","")))</f>
        <v/>
      </c>
      <c r="F918" s="6">
        <f>IF(C918="","",IF(E918&lt;&gt;"",LEFT(D918,LEN(D918)-2),D918))</f>
        <v/>
      </c>
      <c r="G918" s="13">
        <f>IF(C918="","",IF(OR(IF(AND(LEFT(F918,1)="(",RIGHT(F918,1)=")"),MID(F918,2,LEN(F918)-2),F918)="",IF(AND(LEFT(F918,1)="(",RIGHT(F918,1)=")"),MID(F918,2,LEN(F918)-2),F918)="-"),0,IFERROR(VALUE(IF(AND(LEFT(F918,1)="(",RIGHT(F918,1)=")"),MID(F918,2,LEN(F918)-2),F918))*IF(AND(LEFT(F918,1)="(",RIGHT(F918,1)=")"),-1,1)*IF(E918="Cr",Setup!$B$6,1),"ERR")))</f>
        <v/>
      </c>
      <c r="H918" s="6">
        <f>IF(C918="","",IF(ISNUMBER(G918),1,0))</f>
        <v/>
      </c>
      <c r="I918" s="6">
        <f>IF(C918="","",IF(SUMPRODUCT(($C$12:$C$1511=C918)*1)&gt;1,1,0))</f>
        <v/>
      </c>
      <c r="J918" s="6">
        <f>IF(C918="","",SUMPRODUCT((Mapping!$F$5:$F$504=Setup!$B$4&amp;"||"&amp;C918)*ROW(Mapping!$F$5:$F$504)))</f>
        <v/>
      </c>
      <c r="K918" s="6">
        <f>IF(C918="","",IF(J918=0,"UNMAPPED",LOWER(INDEX(Mapping!$D$1:$D$504,J918))))</f>
        <v/>
      </c>
      <c r="L918" s="6">
        <f>IF(K918="mapped",TRIM(INDEX(Mapping!$C$1:$C$504,J918)),"")</f>
        <v/>
      </c>
      <c r="M918" s="6">
        <f>IF(C918="","",IF(SUMPRODUCT(($C$12:C918=C918)*1)=1,1,0))</f>
        <v/>
      </c>
      <c r="N918" s="6">
        <f>IF(AND(K918="UNMAPPED",M918=1),ROW(),"")</f>
        <v/>
      </c>
      <c r="O918" s="6">
        <f>IF(AND(I918=1,M918=1),ROW(),"")</f>
        <v/>
      </c>
      <c r="P918" s="6">
        <f>IF(AND(K918="ignored",M918=1),ROW(),"")</f>
        <v/>
      </c>
    </row>
    <row r="919">
      <c r="A919" s="8" t="n"/>
      <c r="B919" s="8" t="n"/>
      <c r="C919" s="6">
        <f>TRIM(A919&amp;"")</f>
        <v/>
      </c>
      <c r="D919" s="6">
        <f>IF(C919="","",SUBSTITUTE(SUBSTITUTE(SUBSTITUTE(SUBSTITUTE(SUBSTITUTE(SUBSTITUTE(SUBSTITUTE(UPPER(TRIM(B919&amp;"")),"₹",""),"RS.",""),"RS",""),"INR",""),"$",""),",","")," ",""))</f>
        <v/>
      </c>
      <c r="E919" s="6">
        <f>IF(C919="","",IF(RIGHT(D919,2)="CR","Cr",IF(RIGHT(D919,2)="DR","Dr","")))</f>
        <v/>
      </c>
      <c r="F919" s="6">
        <f>IF(C919="","",IF(E919&lt;&gt;"",LEFT(D919,LEN(D919)-2),D919))</f>
        <v/>
      </c>
      <c r="G919" s="13">
        <f>IF(C919="","",IF(OR(IF(AND(LEFT(F919,1)="(",RIGHT(F919,1)=")"),MID(F919,2,LEN(F919)-2),F919)="",IF(AND(LEFT(F919,1)="(",RIGHT(F919,1)=")"),MID(F919,2,LEN(F919)-2),F919)="-"),0,IFERROR(VALUE(IF(AND(LEFT(F919,1)="(",RIGHT(F919,1)=")"),MID(F919,2,LEN(F919)-2),F919))*IF(AND(LEFT(F919,1)="(",RIGHT(F919,1)=")"),-1,1)*IF(E919="Cr",Setup!$B$6,1),"ERR")))</f>
        <v/>
      </c>
      <c r="H919" s="6">
        <f>IF(C919="","",IF(ISNUMBER(G919),1,0))</f>
        <v/>
      </c>
      <c r="I919" s="6">
        <f>IF(C919="","",IF(SUMPRODUCT(($C$12:$C$1511=C919)*1)&gt;1,1,0))</f>
        <v/>
      </c>
      <c r="J919" s="6">
        <f>IF(C919="","",SUMPRODUCT((Mapping!$F$5:$F$504=Setup!$B$4&amp;"||"&amp;C919)*ROW(Mapping!$F$5:$F$504)))</f>
        <v/>
      </c>
      <c r="K919" s="6">
        <f>IF(C919="","",IF(J919=0,"UNMAPPED",LOWER(INDEX(Mapping!$D$1:$D$504,J919))))</f>
        <v/>
      </c>
      <c r="L919" s="6">
        <f>IF(K919="mapped",TRIM(INDEX(Mapping!$C$1:$C$504,J919)),"")</f>
        <v/>
      </c>
      <c r="M919" s="6">
        <f>IF(C919="","",IF(SUMPRODUCT(($C$12:C919=C919)*1)=1,1,0))</f>
        <v/>
      </c>
      <c r="N919" s="6">
        <f>IF(AND(K919="UNMAPPED",M919=1),ROW(),"")</f>
        <v/>
      </c>
      <c r="O919" s="6">
        <f>IF(AND(I919=1,M919=1),ROW(),"")</f>
        <v/>
      </c>
      <c r="P919" s="6">
        <f>IF(AND(K919="ignored",M919=1),ROW(),"")</f>
        <v/>
      </c>
    </row>
    <row r="920">
      <c r="A920" s="8" t="n"/>
      <c r="B920" s="8" t="n"/>
      <c r="C920" s="6">
        <f>TRIM(A920&amp;"")</f>
        <v/>
      </c>
      <c r="D920" s="6">
        <f>IF(C920="","",SUBSTITUTE(SUBSTITUTE(SUBSTITUTE(SUBSTITUTE(SUBSTITUTE(SUBSTITUTE(SUBSTITUTE(UPPER(TRIM(B920&amp;"")),"₹",""),"RS.",""),"RS",""),"INR",""),"$",""),",","")," ",""))</f>
        <v/>
      </c>
      <c r="E920" s="6">
        <f>IF(C920="","",IF(RIGHT(D920,2)="CR","Cr",IF(RIGHT(D920,2)="DR","Dr","")))</f>
        <v/>
      </c>
      <c r="F920" s="6">
        <f>IF(C920="","",IF(E920&lt;&gt;"",LEFT(D920,LEN(D920)-2),D920))</f>
        <v/>
      </c>
      <c r="G920" s="13">
        <f>IF(C920="","",IF(OR(IF(AND(LEFT(F920,1)="(",RIGHT(F920,1)=")"),MID(F920,2,LEN(F920)-2),F920)="",IF(AND(LEFT(F920,1)="(",RIGHT(F920,1)=")"),MID(F920,2,LEN(F920)-2),F920)="-"),0,IFERROR(VALUE(IF(AND(LEFT(F920,1)="(",RIGHT(F920,1)=")"),MID(F920,2,LEN(F920)-2),F920))*IF(AND(LEFT(F920,1)="(",RIGHT(F920,1)=")"),-1,1)*IF(E920="Cr",Setup!$B$6,1),"ERR")))</f>
        <v/>
      </c>
      <c r="H920" s="6">
        <f>IF(C920="","",IF(ISNUMBER(G920),1,0))</f>
        <v/>
      </c>
      <c r="I920" s="6">
        <f>IF(C920="","",IF(SUMPRODUCT(($C$12:$C$1511=C920)*1)&gt;1,1,0))</f>
        <v/>
      </c>
      <c r="J920" s="6">
        <f>IF(C920="","",SUMPRODUCT((Mapping!$F$5:$F$504=Setup!$B$4&amp;"||"&amp;C920)*ROW(Mapping!$F$5:$F$504)))</f>
        <v/>
      </c>
      <c r="K920" s="6">
        <f>IF(C920="","",IF(J920=0,"UNMAPPED",LOWER(INDEX(Mapping!$D$1:$D$504,J920))))</f>
        <v/>
      </c>
      <c r="L920" s="6">
        <f>IF(K920="mapped",TRIM(INDEX(Mapping!$C$1:$C$504,J920)),"")</f>
        <v/>
      </c>
      <c r="M920" s="6">
        <f>IF(C920="","",IF(SUMPRODUCT(($C$12:C920=C920)*1)=1,1,0))</f>
        <v/>
      </c>
      <c r="N920" s="6">
        <f>IF(AND(K920="UNMAPPED",M920=1),ROW(),"")</f>
        <v/>
      </c>
      <c r="O920" s="6">
        <f>IF(AND(I920=1,M920=1),ROW(),"")</f>
        <v/>
      </c>
      <c r="P920" s="6">
        <f>IF(AND(K920="ignored",M920=1),ROW(),"")</f>
        <v/>
      </c>
    </row>
    <row r="921">
      <c r="A921" s="8" t="n"/>
      <c r="B921" s="8" t="n"/>
      <c r="C921" s="6">
        <f>TRIM(A921&amp;"")</f>
        <v/>
      </c>
      <c r="D921" s="6">
        <f>IF(C921="","",SUBSTITUTE(SUBSTITUTE(SUBSTITUTE(SUBSTITUTE(SUBSTITUTE(SUBSTITUTE(SUBSTITUTE(UPPER(TRIM(B921&amp;"")),"₹",""),"RS.",""),"RS",""),"INR",""),"$",""),",","")," ",""))</f>
        <v/>
      </c>
      <c r="E921" s="6">
        <f>IF(C921="","",IF(RIGHT(D921,2)="CR","Cr",IF(RIGHT(D921,2)="DR","Dr","")))</f>
        <v/>
      </c>
      <c r="F921" s="6">
        <f>IF(C921="","",IF(E921&lt;&gt;"",LEFT(D921,LEN(D921)-2),D921))</f>
        <v/>
      </c>
      <c r="G921" s="13">
        <f>IF(C921="","",IF(OR(IF(AND(LEFT(F921,1)="(",RIGHT(F921,1)=")"),MID(F921,2,LEN(F921)-2),F921)="",IF(AND(LEFT(F921,1)="(",RIGHT(F921,1)=")"),MID(F921,2,LEN(F921)-2),F921)="-"),0,IFERROR(VALUE(IF(AND(LEFT(F921,1)="(",RIGHT(F921,1)=")"),MID(F921,2,LEN(F921)-2),F921))*IF(AND(LEFT(F921,1)="(",RIGHT(F921,1)=")"),-1,1)*IF(E921="Cr",Setup!$B$6,1),"ERR")))</f>
        <v/>
      </c>
      <c r="H921" s="6">
        <f>IF(C921="","",IF(ISNUMBER(G921),1,0))</f>
        <v/>
      </c>
      <c r="I921" s="6">
        <f>IF(C921="","",IF(SUMPRODUCT(($C$12:$C$1511=C921)*1)&gt;1,1,0))</f>
        <v/>
      </c>
      <c r="J921" s="6">
        <f>IF(C921="","",SUMPRODUCT((Mapping!$F$5:$F$504=Setup!$B$4&amp;"||"&amp;C921)*ROW(Mapping!$F$5:$F$504)))</f>
        <v/>
      </c>
      <c r="K921" s="6">
        <f>IF(C921="","",IF(J921=0,"UNMAPPED",LOWER(INDEX(Mapping!$D$1:$D$504,J921))))</f>
        <v/>
      </c>
      <c r="L921" s="6">
        <f>IF(K921="mapped",TRIM(INDEX(Mapping!$C$1:$C$504,J921)),"")</f>
        <v/>
      </c>
      <c r="M921" s="6">
        <f>IF(C921="","",IF(SUMPRODUCT(($C$12:C921=C921)*1)=1,1,0))</f>
        <v/>
      </c>
      <c r="N921" s="6">
        <f>IF(AND(K921="UNMAPPED",M921=1),ROW(),"")</f>
        <v/>
      </c>
      <c r="O921" s="6">
        <f>IF(AND(I921=1,M921=1),ROW(),"")</f>
        <v/>
      </c>
      <c r="P921" s="6">
        <f>IF(AND(K921="ignored",M921=1),ROW(),"")</f>
        <v/>
      </c>
    </row>
    <row r="922">
      <c r="A922" s="8" t="n"/>
      <c r="B922" s="8" t="n"/>
      <c r="C922" s="6">
        <f>TRIM(A922&amp;"")</f>
        <v/>
      </c>
      <c r="D922" s="6">
        <f>IF(C922="","",SUBSTITUTE(SUBSTITUTE(SUBSTITUTE(SUBSTITUTE(SUBSTITUTE(SUBSTITUTE(SUBSTITUTE(UPPER(TRIM(B922&amp;"")),"₹",""),"RS.",""),"RS",""),"INR",""),"$",""),",","")," ",""))</f>
        <v/>
      </c>
      <c r="E922" s="6">
        <f>IF(C922="","",IF(RIGHT(D922,2)="CR","Cr",IF(RIGHT(D922,2)="DR","Dr","")))</f>
        <v/>
      </c>
      <c r="F922" s="6">
        <f>IF(C922="","",IF(E922&lt;&gt;"",LEFT(D922,LEN(D922)-2),D922))</f>
        <v/>
      </c>
      <c r="G922" s="13">
        <f>IF(C922="","",IF(OR(IF(AND(LEFT(F922,1)="(",RIGHT(F922,1)=")"),MID(F922,2,LEN(F922)-2),F922)="",IF(AND(LEFT(F922,1)="(",RIGHT(F922,1)=")"),MID(F922,2,LEN(F922)-2),F922)="-"),0,IFERROR(VALUE(IF(AND(LEFT(F922,1)="(",RIGHT(F922,1)=")"),MID(F922,2,LEN(F922)-2),F922))*IF(AND(LEFT(F922,1)="(",RIGHT(F922,1)=")"),-1,1)*IF(E922="Cr",Setup!$B$6,1),"ERR")))</f>
        <v/>
      </c>
      <c r="H922" s="6">
        <f>IF(C922="","",IF(ISNUMBER(G922),1,0))</f>
        <v/>
      </c>
      <c r="I922" s="6">
        <f>IF(C922="","",IF(SUMPRODUCT(($C$12:$C$1511=C922)*1)&gt;1,1,0))</f>
        <v/>
      </c>
      <c r="J922" s="6">
        <f>IF(C922="","",SUMPRODUCT((Mapping!$F$5:$F$504=Setup!$B$4&amp;"||"&amp;C922)*ROW(Mapping!$F$5:$F$504)))</f>
        <v/>
      </c>
      <c r="K922" s="6">
        <f>IF(C922="","",IF(J922=0,"UNMAPPED",LOWER(INDEX(Mapping!$D$1:$D$504,J922))))</f>
        <v/>
      </c>
      <c r="L922" s="6">
        <f>IF(K922="mapped",TRIM(INDEX(Mapping!$C$1:$C$504,J922)),"")</f>
        <v/>
      </c>
      <c r="M922" s="6">
        <f>IF(C922="","",IF(SUMPRODUCT(($C$12:C922=C922)*1)=1,1,0))</f>
        <v/>
      </c>
      <c r="N922" s="6">
        <f>IF(AND(K922="UNMAPPED",M922=1),ROW(),"")</f>
        <v/>
      </c>
      <c r="O922" s="6">
        <f>IF(AND(I922=1,M922=1),ROW(),"")</f>
        <v/>
      </c>
      <c r="P922" s="6">
        <f>IF(AND(K922="ignored",M922=1),ROW(),"")</f>
        <v/>
      </c>
    </row>
    <row r="923">
      <c r="A923" s="8" t="n"/>
      <c r="B923" s="8" t="n"/>
      <c r="C923" s="6">
        <f>TRIM(A923&amp;"")</f>
        <v/>
      </c>
      <c r="D923" s="6">
        <f>IF(C923="","",SUBSTITUTE(SUBSTITUTE(SUBSTITUTE(SUBSTITUTE(SUBSTITUTE(SUBSTITUTE(SUBSTITUTE(UPPER(TRIM(B923&amp;"")),"₹",""),"RS.",""),"RS",""),"INR",""),"$",""),",","")," ",""))</f>
        <v/>
      </c>
      <c r="E923" s="6">
        <f>IF(C923="","",IF(RIGHT(D923,2)="CR","Cr",IF(RIGHT(D923,2)="DR","Dr","")))</f>
        <v/>
      </c>
      <c r="F923" s="6">
        <f>IF(C923="","",IF(E923&lt;&gt;"",LEFT(D923,LEN(D923)-2),D923))</f>
        <v/>
      </c>
      <c r="G923" s="13">
        <f>IF(C923="","",IF(OR(IF(AND(LEFT(F923,1)="(",RIGHT(F923,1)=")"),MID(F923,2,LEN(F923)-2),F923)="",IF(AND(LEFT(F923,1)="(",RIGHT(F923,1)=")"),MID(F923,2,LEN(F923)-2),F923)="-"),0,IFERROR(VALUE(IF(AND(LEFT(F923,1)="(",RIGHT(F923,1)=")"),MID(F923,2,LEN(F923)-2),F923))*IF(AND(LEFT(F923,1)="(",RIGHT(F923,1)=")"),-1,1)*IF(E923="Cr",Setup!$B$6,1),"ERR")))</f>
        <v/>
      </c>
      <c r="H923" s="6">
        <f>IF(C923="","",IF(ISNUMBER(G923),1,0))</f>
        <v/>
      </c>
      <c r="I923" s="6">
        <f>IF(C923="","",IF(SUMPRODUCT(($C$12:$C$1511=C923)*1)&gt;1,1,0))</f>
        <v/>
      </c>
      <c r="J923" s="6">
        <f>IF(C923="","",SUMPRODUCT((Mapping!$F$5:$F$504=Setup!$B$4&amp;"||"&amp;C923)*ROW(Mapping!$F$5:$F$504)))</f>
        <v/>
      </c>
      <c r="K923" s="6">
        <f>IF(C923="","",IF(J923=0,"UNMAPPED",LOWER(INDEX(Mapping!$D$1:$D$504,J923))))</f>
        <v/>
      </c>
      <c r="L923" s="6">
        <f>IF(K923="mapped",TRIM(INDEX(Mapping!$C$1:$C$504,J923)),"")</f>
        <v/>
      </c>
      <c r="M923" s="6">
        <f>IF(C923="","",IF(SUMPRODUCT(($C$12:C923=C923)*1)=1,1,0))</f>
        <v/>
      </c>
      <c r="N923" s="6">
        <f>IF(AND(K923="UNMAPPED",M923=1),ROW(),"")</f>
        <v/>
      </c>
      <c r="O923" s="6">
        <f>IF(AND(I923=1,M923=1),ROW(),"")</f>
        <v/>
      </c>
      <c r="P923" s="6">
        <f>IF(AND(K923="ignored",M923=1),ROW(),"")</f>
        <v/>
      </c>
    </row>
    <row r="924">
      <c r="A924" s="8" t="n"/>
      <c r="B924" s="8" t="n"/>
      <c r="C924" s="6">
        <f>TRIM(A924&amp;"")</f>
        <v/>
      </c>
      <c r="D924" s="6">
        <f>IF(C924="","",SUBSTITUTE(SUBSTITUTE(SUBSTITUTE(SUBSTITUTE(SUBSTITUTE(SUBSTITUTE(SUBSTITUTE(UPPER(TRIM(B924&amp;"")),"₹",""),"RS.",""),"RS",""),"INR",""),"$",""),",","")," ",""))</f>
        <v/>
      </c>
      <c r="E924" s="6">
        <f>IF(C924="","",IF(RIGHT(D924,2)="CR","Cr",IF(RIGHT(D924,2)="DR","Dr","")))</f>
        <v/>
      </c>
      <c r="F924" s="6">
        <f>IF(C924="","",IF(E924&lt;&gt;"",LEFT(D924,LEN(D924)-2),D924))</f>
        <v/>
      </c>
      <c r="G924" s="13">
        <f>IF(C924="","",IF(OR(IF(AND(LEFT(F924,1)="(",RIGHT(F924,1)=")"),MID(F924,2,LEN(F924)-2),F924)="",IF(AND(LEFT(F924,1)="(",RIGHT(F924,1)=")"),MID(F924,2,LEN(F924)-2),F924)="-"),0,IFERROR(VALUE(IF(AND(LEFT(F924,1)="(",RIGHT(F924,1)=")"),MID(F924,2,LEN(F924)-2),F924))*IF(AND(LEFT(F924,1)="(",RIGHT(F924,1)=")"),-1,1)*IF(E924="Cr",Setup!$B$6,1),"ERR")))</f>
        <v/>
      </c>
      <c r="H924" s="6">
        <f>IF(C924="","",IF(ISNUMBER(G924),1,0))</f>
        <v/>
      </c>
      <c r="I924" s="6">
        <f>IF(C924="","",IF(SUMPRODUCT(($C$12:$C$1511=C924)*1)&gt;1,1,0))</f>
        <v/>
      </c>
      <c r="J924" s="6">
        <f>IF(C924="","",SUMPRODUCT((Mapping!$F$5:$F$504=Setup!$B$4&amp;"||"&amp;C924)*ROW(Mapping!$F$5:$F$504)))</f>
        <v/>
      </c>
      <c r="K924" s="6">
        <f>IF(C924="","",IF(J924=0,"UNMAPPED",LOWER(INDEX(Mapping!$D$1:$D$504,J924))))</f>
        <v/>
      </c>
      <c r="L924" s="6">
        <f>IF(K924="mapped",TRIM(INDEX(Mapping!$C$1:$C$504,J924)),"")</f>
        <v/>
      </c>
      <c r="M924" s="6">
        <f>IF(C924="","",IF(SUMPRODUCT(($C$12:C924=C924)*1)=1,1,0))</f>
        <v/>
      </c>
      <c r="N924" s="6">
        <f>IF(AND(K924="UNMAPPED",M924=1),ROW(),"")</f>
        <v/>
      </c>
      <c r="O924" s="6">
        <f>IF(AND(I924=1,M924=1),ROW(),"")</f>
        <v/>
      </c>
      <c r="P924" s="6">
        <f>IF(AND(K924="ignored",M924=1),ROW(),"")</f>
        <v/>
      </c>
    </row>
    <row r="925">
      <c r="A925" s="8" t="n"/>
      <c r="B925" s="8" t="n"/>
      <c r="C925" s="6">
        <f>TRIM(A925&amp;"")</f>
        <v/>
      </c>
      <c r="D925" s="6">
        <f>IF(C925="","",SUBSTITUTE(SUBSTITUTE(SUBSTITUTE(SUBSTITUTE(SUBSTITUTE(SUBSTITUTE(SUBSTITUTE(UPPER(TRIM(B925&amp;"")),"₹",""),"RS.",""),"RS",""),"INR",""),"$",""),",","")," ",""))</f>
        <v/>
      </c>
      <c r="E925" s="6">
        <f>IF(C925="","",IF(RIGHT(D925,2)="CR","Cr",IF(RIGHT(D925,2)="DR","Dr","")))</f>
        <v/>
      </c>
      <c r="F925" s="6">
        <f>IF(C925="","",IF(E925&lt;&gt;"",LEFT(D925,LEN(D925)-2),D925))</f>
        <v/>
      </c>
      <c r="G925" s="13">
        <f>IF(C925="","",IF(OR(IF(AND(LEFT(F925,1)="(",RIGHT(F925,1)=")"),MID(F925,2,LEN(F925)-2),F925)="",IF(AND(LEFT(F925,1)="(",RIGHT(F925,1)=")"),MID(F925,2,LEN(F925)-2),F925)="-"),0,IFERROR(VALUE(IF(AND(LEFT(F925,1)="(",RIGHT(F925,1)=")"),MID(F925,2,LEN(F925)-2),F925))*IF(AND(LEFT(F925,1)="(",RIGHT(F925,1)=")"),-1,1)*IF(E925="Cr",Setup!$B$6,1),"ERR")))</f>
        <v/>
      </c>
      <c r="H925" s="6">
        <f>IF(C925="","",IF(ISNUMBER(G925),1,0))</f>
        <v/>
      </c>
      <c r="I925" s="6">
        <f>IF(C925="","",IF(SUMPRODUCT(($C$12:$C$1511=C925)*1)&gt;1,1,0))</f>
        <v/>
      </c>
      <c r="J925" s="6">
        <f>IF(C925="","",SUMPRODUCT((Mapping!$F$5:$F$504=Setup!$B$4&amp;"||"&amp;C925)*ROW(Mapping!$F$5:$F$504)))</f>
        <v/>
      </c>
      <c r="K925" s="6">
        <f>IF(C925="","",IF(J925=0,"UNMAPPED",LOWER(INDEX(Mapping!$D$1:$D$504,J925))))</f>
        <v/>
      </c>
      <c r="L925" s="6">
        <f>IF(K925="mapped",TRIM(INDEX(Mapping!$C$1:$C$504,J925)),"")</f>
        <v/>
      </c>
      <c r="M925" s="6">
        <f>IF(C925="","",IF(SUMPRODUCT(($C$12:C925=C925)*1)=1,1,0))</f>
        <v/>
      </c>
      <c r="N925" s="6">
        <f>IF(AND(K925="UNMAPPED",M925=1),ROW(),"")</f>
        <v/>
      </c>
      <c r="O925" s="6">
        <f>IF(AND(I925=1,M925=1),ROW(),"")</f>
        <v/>
      </c>
      <c r="P925" s="6">
        <f>IF(AND(K925="ignored",M925=1),ROW(),"")</f>
        <v/>
      </c>
    </row>
    <row r="926">
      <c r="A926" s="8" t="n"/>
      <c r="B926" s="8" t="n"/>
      <c r="C926" s="6">
        <f>TRIM(A926&amp;"")</f>
        <v/>
      </c>
      <c r="D926" s="6">
        <f>IF(C926="","",SUBSTITUTE(SUBSTITUTE(SUBSTITUTE(SUBSTITUTE(SUBSTITUTE(SUBSTITUTE(SUBSTITUTE(UPPER(TRIM(B926&amp;"")),"₹",""),"RS.",""),"RS",""),"INR",""),"$",""),",","")," ",""))</f>
        <v/>
      </c>
      <c r="E926" s="6">
        <f>IF(C926="","",IF(RIGHT(D926,2)="CR","Cr",IF(RIGHT(D926,2)="DR","Dr","")))</f>
        <v/>
      </c>
      <c r="F926" s="6">
        <f>IF(C926="","",IF(E926&lt;&gt;"",LEFT(D926,LEN(D926)-2),D926))</f>
        <v/>
      </c>
      <c r="G926" s="13">
        <f>IF(C926="","",IF(OR(IF(AND(LEFT(F926,1)="(",RIGHT(F926,1)=")"),MID(F926,2,LEN(F926)-2),F926)="",IF(AND(LEFT(F926,1)="(",RIGHT(F926,1)=")"),MID(F926,2,LEN(F926)-2),F926)="-"),0,IFERROR(VALUE(IF(AND(LEFT(F926,1)="(",RIGHT(F926,1)=")"),MID(F926,2,LEN(F926)-2),F926))*IF(AND(LEFT(F926,1)="(",RIGHT(F926,1)=")"),-1,1)*IF(E926="Cr",Setup!$B$6,1),"ERR")))</f>
        <v/>
      </c>
      <c r="H926" s="6">
        <f>IF(C926="","",IF(ISNUMBER(G926),1,0))</f>
        <v/>
      </c>
      <c r="I926" s="6">
        <f>IF(C926="","",IF(SUMPRODUCT(($C$12:$C$1511=C926)*1)&gt;1,1,0))</f>
        <v/>
      </c>
      <c r="J926" s="6">
        <f>IF(C926="","",SUMPRODUCT((Mapping!$F$5:$F$504=Setup!$B$4&amp;"||"&amp;C926)*ROW(Mapping!$F$5:$F$504)))</f>
        <v/>
      </c>
      <c r="K926" s="6">
        <f>IF(C926="","",IF(J926=0,"UNMAPPED",LOWER(INDEX(Mapping!$D$1:$D$504,J926))))</f>
        <v/>
      </c>
      <c r="L926" s="6">
        <f>IF(K926="mapped",TRIM(INDEX(Mapping!$C$1:$C$504,J926)),"")</f>
        <v/>
      </c>
      <c r="M926" s="6">
        <f>IF(C926="","",IF(SUMPRODUCT(($C$12:C926=C926)*1)=1,1,0))</f>
        <v/>
      </c>
      <c r="N926" s="6">
        <f>IF(AND(K926="UNMAPPED",M926=1),ROW(),"")</f>
        <v/>
      </c>
      <c r="O926" s="6">
        <f>IF(AND(I926=1,M926=1),ROW(),"")</f>
        <v/>
      </c>
      <c r="P926" s="6">
        <f>IF(AND(K926="ignored",M926=1),ROW(),"")</f>
        <v/>
      </c>
    </row>
    <row r="927">
      <c r="A927" s="8" t="n"/>
      <c r="B927" s="8" t="n"/>
      <c r="C927" s="6">
        <f>TRIM(A927&amp;"")</f>
        <v/>
      </c>
      <c r="D927" s="6">
        <f>IF(C927="","",SUBSTITUTE(SUBSTITUTE(SUBSTITUTE(SUBSTITUTE(SUBSTITUTE(SUBSTITUTE(SUBSTITUTE(UPPER(TRIM(B927&amp;"")),"₹",""),"RS.",""),"RS",""),"INR",""),"$",""),",","")," ",""))</f>
        <v/>
      </c>
      <c r="E927" s="6">
        <f>IF(C927="","",IF(RIGHT(D927,2)="CR","Cr",IF(RIGHT(D927,2)="DR","Dr","")))</f>
        <v/>
      </c>
      <c r="F927" s="6">
        <f>IF(C927="","",IF(E927&lt;&gt;"",LEFT(D927,LEN(D927)-2),D927))</f>
        <v/>
      </c>
      <c r="G927" s="13">
        <f>IF(C927="","",IF(OR(IF(AND(LEFT(F927,1)="(",RIGHT(F927,1)=")"),MID(F927,2,LEN(F927)-2),F927)="",IF(AND(LEFT(F927,1)="(",RIGHT(F927,1)=")"),MID(F927,2,LEN(F927)-2),F927)="-"),0,IFERROR(VALUE(IF(AND(LEFT(F927,1)="(",RIGHT(F927,1)=")"),MID(F927,2,LEN(F927)-2),F927))*IF(AND(LEFT(F927,1)="(",RIGHT(F927,1)=")"),-1,1)*IF(E927="Cr",Setup!$B$6,1),"ERR")))</f>
        <v/>
      </c>
      <c r="H927" s="6">
        <f>IF(C927="","",IF(ISNUMBER(G927),1,0))</f>
        <v/>
      </c>
      <c r="I927" s="6">
        <f>IF(C927="","",IF(SUMPRODUCT(($C$12:$C$1511=C927)*1)&gt;1,1,0))</f>
        <v/>
      </c>
      <c r="J927" s="6">
        <f>IF(C927="","",SUMPRODUCT((Mapping!$F$5:$F$504=Setup!$B$4&amp;"||"&amp;C927)*ROW(Mapping!$F$5:$F$504)))</f>
        <v/>
      </c>
      <c r="K927" s="6">
        <f>IF(C927="","",IF(J927=0,"UNMAPPED",LOWER(INDEX(Mapping!$D$1:$D$504,J927))))</f>
        <v/>
      </c>
      <c r="L927" s="6">
        <f>IF(K927="mapped",TRIM(INDEX(Mapping!$C$1:$C$504,J927)),"")</f>
        <v/>
      </c>
      <c r="M927" s="6">
        <f>IF(C927="","",IF(SUMPRODUCT(($C$12:C927=C927)*1)=1,1,0))</f>
        <v/>
      </c>
      <c r="N927" s="6">
        <f>IF(AND(K927="UNMAPPED",M927=1),ROW(),"")</f>
        <v/>
      </c>
      <c r="O927" s="6">
        <f>IF(AND(I927=1,M927=1),ROW(),"")</f>
        <v/>
      </c>
      <c r="P927" s="6">
        <f>IF(AND(K927="ignored",M927=1),ROW(),"")</f>
        <v/>
      </c>
    </row>
    <row r="928">
      <c r="A928" s="8" t="n"/>
      <c r="B928" s="8" t="n"/>
      <c r="C928" s="6">
        <f>TRIM(A928&amp;"")</f>
        <v/>
      </c>
      <c r="D928" s="6">
        <f>IF(C928="","",SUBSTITUTE(SUBSTITUTE(SUBSTITUTE(SUBSTITUTE(SUBSTITUTE(SUBSTITUTE(SUBSTITUTE(UPPER(TRIM(B928&amp;"")),"₹",""),"RS.",""),"RS",""),"INR",""),"$",""),",","")," ",""))</f>
        <v/>
      </c>
      <c r="E928" s="6">
        <f>IF(C928="","",IF(RIGHT(D928,2)="CR","Cr",IF(RIGHT(D928,2)="DR","Dr","")))</f>
        <v/>
      </c>
      <c r="F928" s="6">
        <f>IF(C928="","",IF(E928&lt;&gt;"",LEFT(D928,LEN(D928)-2),D928))</f>
        <v/>
      </c>
      <c r="G928" s="13">
        <f>IF(C928="","",IF(OR(IF(AND(LEFT(F928,1)="(",RIGHT(F928,1)=")"),MID(F928,2,LEN(F928)-2),F928)="",IF(AND(LEFT(F928,1)="(",RIGHT(F928,1)=")"),MID(F928,2,LEN(F928)-2),F928)="-"),0,IFERROR(VALUE(IF(AND(LEFT(F928,1)="(",RIGHT(F928,1)=")"),MID(F928,2,LEN(F928)-2),F928))*IF(AND(LEFT(F928,1)="(",RIGHT(F928,1)=")"),-1,1)*IF(E928="Cr",Setup!$B$6,1),"ERR")))</f>
        <v/>
      </c>
      <c r="H928" s="6">
        <f>IF(C928="","",IF(ISNUMBER(G928),1,0))</f>
        <v/>
      </c>
      <c r="I928" s="6">
        <f>IF(C928="","",IF(SUMPRODUCT(($C$12:$C$1511=C928)*1)&gt;1,1,0))</f>
        <v/>
      </c>
      <c r="J928" s="6">
        <f>IF(C928="","",SUMPRODUCT((Mapping!$F$5:$F$504=Setup!$B$4&amp;"||"&amp;C928)*ROW(Mapping!$F$5:$F$504)))</f>
        <v/>
      </c>
      <c r="K928" s="6">
        <f>IF(C928="","",IF(J928=0,"UNMAPPED",LOWER(INDEX(Mapping!$D$1:$D$504,J928))))</f>
        <v/>
      </c>
      <c r="L928" s="6">
        <f>IF(K928="mapped",TRIM(INDEX(Mapping!$C$1:$C$504,J928)),"")</f>
        <v/>
      </c>
      <c r="M928" s="6">
        <f>IF(C928="","",IF(SUMPRODUCT(($C$12:C928=C928)*1)=1,1,0))</f>
        <v/>
      </c>
      <c r="N928" s="6">
        <f>IF(AND(K928="UNMAPPED",M928=1),ROW(),"")</f>
        <v/>
      </c>
      <c r="O928" s="6">
        <f>IF(AND(I928=1,M928=1),ROW(),"")</f>
        <v/>
      </c>
      <c r="P928" s="6">
        <f>IF(AND(K928="ignored",M928=1),ROW(),"")</f>
        <v/>
      </c>
    </row>
    <row r="929">
      <c r="A929" s="8" t="n"/>
      <c r="B929" s="8" t="n"/>
      <c r="C929" s="6">
        <f>TRIM(A929&amp;"")</f>
        <v/>
      </c>
      <c r="D929" s="6">
        <f>IF(C929="","",SUBSTITUTE(SUBSTITUTE(SUBSTITUTE(SUBSTITUTE(SUBSTITUTE(SUBSTITUTE(SUBSTITUTE(UPPER(TRIM(B929&amp;"")),"₹",""),"RS.",""),"RS",""),"INR",""),"$",""),",","")," ",""))</f>
        <v/>
      </c>
      <c r="E929" s="6">
        <f>IF(C929="","",IF(RIGHT(D929,2)="CR","Cr",IF(RIGHT(D929,2)="DR","Dr","")))</f>
        <v/>
      </c>
      <c r="F929" s="6">
        <f>IF(C929="","",IF(E929&lt;&gt;"",LEFT(D929,LEN(D929)-2),D929))</f>
        <v/>
      </c>
      <c r="G929" s="13">
        <f>IF(C929="","",IF(OR(IF(AND(LEFT(F929,1)="(",RIGHT(F929,1)=")"),MID(F929,2,LEN(F929)-2),F929)="",IF(AND(LEFT(F929,1)="(",RIGHT(F929,1)=")"),MID(F929,2,LEN(F929)-2),F929)="-"),0,IFERROR(VALUE(IF(AND(LEFT(F929,1)="(",RIGHT(F929,1)=")"),MID(F929,2,LEN(F929)-2),F929))*IF(AND(LEFT(F929,1)="(",RIGHT(F929,1)=")"),-1,1)*IF(E929="Cr",Setup!$B$6,1),"ERR")))</f>
        <v/>
      </c>
      <c r="H929" s="6">
        <f>IF(C929="","",IF(ISNUMBER(G929),1,0))</f>
        <v/>
      </c>
      <c r="I929" s="6">
        <f>IF(C929="","",IF(SUMPRODUCT(($C$12:$C$1511=C929)*1)&gt;1,1,0))</f>
        <v/>
      </c>
      <c r="J929" s="6">
        <f>IF(C929="","",SUMPRODUCT((Mapping!$F$5:$F$504=Setup!$B$4&amp;"||"&amp;C929)*ROW(Mapping!$F$5:$F$504)))</f>
        <v/>
      </c>
      <c r="K929" s="6">
        <f>IF(C929="","",IF(J929=0,"UNMAPPED",LOWER(INDEX(Mapping!$D$1:$D$504,J929))))</f>
        <v/>
      </c>
      <c r="L929" s="6">
        <f>IF(K929="mapped",TRIM(INDEX(Mapping!$C$1:$C$504,J929)),"")</f>
        <v/>
      </c>
      <c r="M929" s="6">
        <f>IF(C929="","",IF(SUMPRODUCT(($C$12:C929=C929)*1)=1,1,0))</f>
        <v/>
      </c>
      <c r="N929" s="6">
        <f>IF(AND(K929="UNMAPPED",M929=1),ROW(),"")</f>
        <v/>
      </c>
      <c r="O929" s="6">
        <f>IF(AND(I929=1,M929=1),ROW(),"")</f>
        <v/>
      </c>
      <c r="P929" s="6">
        <f>IF(AND(K929="ignored",M929=1),ROW(),"")</f>
        <v/>
      </c>
    </row>
    <row r="930">
      <c r="A930" s="8" t="n"/>
      <c r="B930" s="8" t="n"/>
      <c r="C930" s="6">
        <f>TRIM(A930&amp;"")</f>
        <v/>
      </c>
      <c r="D930" s="6">
        <f>IF(C930="","",SUBSTITUTE(SUBSTITUTE(SUBSTITUTE(SUBSTITUTE(SUBSTITUTE(SUBSTITUTE(SUBSTITUTE(UPPER(TRIM(B930&amp;"")),"₹",""),"RS.",""),"RS",""),"INR",""),"$",""),",","")," ",""))</f>
        <v/>
      </c>
      <c r="E930" s="6">
        <f>IF(C930="","",IF(RIGHT(D930,2)="CR","Cr",IF(RIGHT(D930,2)="DR","Dr","")))</f>
        <v/>
      </c>
      <c r="F930" s="6">
        <f>IF(C930="","",IF(E930&lt;&gt;"",LEFT(D930,LEN(D930)-2),D930))</f>
        <v/>
      </c>
      <c r="G930" s="13">
        <f>IF(C930="","",IF(OR(IF(AND(LEFT(F930,1)="(",RIGHT(F930,1)=")"),MID(F930,2,LEN(F930)-2),F930)="",IF(AND(LEFT(F930,1)="(",RIGHT(F930,1)=")"),MID(F930,2,LEN(F930)-2),F930)="-"),0,IFERROR(VALUE(IF(AND(LEFT(F930,1)="(",RIGHT(F930,1)=")"),MID(F930,2,LEN(F930)-2),F930))*IF(AND(LEFT(F930,1)="(",RIGHT(F930,1)=")"),-1,1)*IF(E930="Cr",Setup!$B$6,1),"ERR")))</f>
        <v/>
      </c>
      <c r="H930" s="6">
        <f>IF(C930="","",IF(ISNUMBER(G930),1,0))</f>
        <v/>
      </c>
      <c r="I930" s="6">
        <f>IF(C930="","",IF(SUMPRODUCT(($C$12:$C$1511=C930)*1)&gt;1,1,0))</f>
        <v/>
      </c>
      <c r="J930" s="6">
        <f>IF(C930="","",SUMPRODUCT((Mapping!$F$5:$F$504=Setup!$B$4&amp;"||"&amp;C930)*ROW(Mapping!$F$5:$F$504)))</f>
        <v/>
      </c>
      <c r="K930" s="6">
        <f>IF(C930="","",IF(J930=0,"UNMAPPED",LOWER(INDEX(Mapping!$D$1:$D$504,J930))))</f>
        <v/>
      </c>
      <c r="L930" s="6">
        <f>IF(K930="mapped",TRIM(INDEX(Mapping!$C$1:$C$504,J930)),"")</f>
        <v/>
      </c>
      <c r="M930" s="6">
        <f>IF(C930="","",IF(SUMPRODUCT(($C$12:C930=C930)*1)=1,1,0))</f>
        <v/>
      </c>
      <c r="N930" s="6">
        <f>IF(AND(K930="UNMAPPED",M930=1),ROW(),"")</f>
        <v/>
      </c>
      <c r="O930" s="6">
        <f>IF(AND(I930=1,M930=1),ROW(),"")</f>
        <v/>
      </c>
      <c r="P930" s="6">
        <f>IF(AND(K930="ignored",M930=1),ROW(),"")</f>
        <v/>
      </c>
    </row>
    <row r="931">
      <c r="A931" s="8" t="n"/>
      <c r="B931" s="8" t="n"/>
      <c r="C931" s="6">
        <f>TRIM(A931&amp;"")</f>
        <v/>
      </c>
      <c r="D931" s="6">
        <f>IF(C931="","",SUBSTITUTE(SUBSTITUTE(SUBSTITUTE(SUBSTITUTE(SUBSTITUTE(SUBSTITUTE(SUBSTITUTE(UPPER(TRIM(B931&amp;"")),"₹",""),"RS.",""),"RS",""),"INR",""),"$",""),",","")," ",""))</f>
        <v/>
      </c>
      <c r="E931" s="6">
        <f>IF(C931="","",IF(RIGHT(D931,2)="CR","Cr",IF(RIGHT(D931,2)="DR","Dr","")))</f>
        <v/>
      </c>
      <c r="F931" s="6">
        <f>IF(C931="","",IF(E931&lt;&gt;"",LEFT(D931,LEN(D931)-2),D931))</f>
        <v/>
      </c>
      <c r="G931" s="13">
        <f>IF(C931="","",IF(OR(IF(AND(LEFT(F931,1)="(",RIGHT(F931,1)=")"),MID(F931,2,LEN(F931)-2),F931)="",IF(AND(LEFT(F931,1)="(",RIGHT(F931,1)=")"),MID(F931,2,LEN(F931)-2),F931)="-"),0,IFERROR(VALUE(IF(AND(LEFT(F931,1)="(",RIGHT(F931,1)=")"),MID(F931,2,LEN(F931)-2),F931))*IF(AND(LEFT(F931,1)="(",RIGHT(F931,1)=")"),-1,1)*IF(E931="Cr",Setup!$B$6,1),"ERR")))</f>
        <v/>
      </c>
      <c r="H931" s="6">
        <f>IF(C931="","",IF(ISNUMBER(G931),1,0))</f>
        <v/>
      </c>
      <c r="I931" s="6">
        <f>IF(C931="","",IF(SUMPRODUCT(($C$12:$C$1511=C931)*1)&gt;1,1,0))</f>
        <v/>
      </c>
      <c r="J931" s="6">
        <f>IF(C931="","",SUMPRODUCT((Mapping!$F$5:$F$504=Setup!$B$4&amp;"||"&amp;C931)*ROW(Mapping!$F$5:$F$504)))</f>
        <v/>
      </c>
      <c r="K931" s="6">
        <f>IF(C931="","",IF(J931=0,"UNMAPPED",LOWER(INDEX(Mapping!$D$1:$D$504,J931))))</f>
        <v/>
      </c>
      <c r="L931" s="6">
        <f>IF(K931="mapped",TRIM(INDEX(Mapping!$C$1:$C$504,J931)),"")</f>
        <v/>
      </c>
      <c r="M931" s="6">
        <f>IF(C931="","",IF(SUMPRODUCT(($C$12:C931=C931)*1)=1,1,0))</f>
        <v/>
      </c>
      <c r="N931" s="6">
        <f>IF(AND(K931="UNMAPPED",M931=1),ROW(),"")</f>
        <v/>
      </c>
      <c r="O931" s="6">
        <f>IF(AND(I931=1,M931=1),ROW(),"")</f>
        <v/>
      </c>
      <c r="P931" s="6">
        <f>IF(AND(K931="ignored",M931=1),ROW(),"")</f>
        <v/>
      </c>
    </row>
    <row r="932">
      <c r="A932" s="8" t="n"/>
      <c r="B932" s="8" t="n"/>
      <c r="C932" s="6">
        <f>TRIM(A932&amp;"")</f>
        <v/>
      </c>
      <c r="D932" s="6">
        <f>IF(C932="","",SUBSTITUTE(SUBSTITUTE(SUBSTITUTE(SUBSTITUTE(SUBSTITUTE(SUBSTITUTE(SUBSTITUTE(UPPER(TRIM(B932&amp;"")),"₹",""),"RS.",""),"RS",""),"INR",""),"$",""),",","")," ",""))</f>
        <v/>
      </c>
      <c r="E932" s="6">
        <f>IF(C932="","",IF(RIGHT(D932,2)="CR","Cr",IF(RIGHT(D932,2)="DR","Dr","")))</f>
        <v/>
      </c>
      <c r="F932" s="6">
        <f>IF(C932="","",IF(E932&lt;&gt;"",LEFT(D932,LEN(D932)-2),D932))</f>
        <v/>
      </c>
      <c r="G932" s="13">
        <f>IF(C932="","",IF(OR(IF(AND(LEFT(F932,1)="(",RIGHT(F932,1)=")"),MID(F932,2,LEN(F932)-2),F932)="",IF(AND(LEFT(F932,1)="(",RIGHT(F932,1)=")"),MID(F932,2,LEN(F932)-2),F932)="-"),0,IFERROR(VALUE(IF(AND(LEFT(F932,1)="(",RIGHT(F932,1)=")"),MID(F932,2,LEN(F932)-2),F932))*IF(AND(LEFT(F932,1)="(",RIGHT(F932,1)=")"),-1,1)*IF(E932="Cr",Setup!$B$6,1),"ERR")))</f>
        <v/>
      </c>
      <c r="H932" s="6">
        <f>IF(C932="","",IF(ISNUMBER(G932),1,0))</f>
        <v/>
      </c>
      <c r="I932" s="6">
        <f>IF(C932="","",IF(SUMPRODUCT(($C$12:$C$1511=C932)*1)&gt;1,1,0))</f>
        <v/>
      </c>
      <c r="J932" s="6">
        <f>IF(C932="","",SUMPRODUCT((Mapping!$F$5:$F$504=Setup!$B$4&amp;"||"&amp;C932)*ROW(Mapping!$F$5:$F$504)))</f>
        <v/>
      </c>
      <c r="K932" s="6">
        <f>IF(C932="","",IF(J932=0,"UNMAPPED",LOWER(INDEX(Mapping!$D$1:$D$504,J932))))</f>
        <v/>
      </c>
      <c r="L932" s="6">
        <f>IF(K932="mapped",TRIM(INDEX(Mapping!$C$1:$C$504,J932)),"")</f>
        <v/>
      </c>
      <c r="M932" s="6">
        <f>IF(C932="","",IF(SUMPRODUCT(($C$12:C932=C932)*1)=1,1,0))</f>
        <v/>
      </c>
      <c r="N932" s="6">
        <f>IF(AND(K932="UNMAPPED",M932=1),ROW(),"")</f>
        <v/>
      </c>
      <c r="O932" s="6">
        <f>IF(AND(I932=1,M932=1),ROW(),"")</f>
        <v/>
      </c>
      <c r="P932" s="6">
        <f>IF(AND(K932="ignored",M932=1),ROW(),"")</f>
        <v/>
      </c>
    </row>
    <row r="933">
      <c r="A933" s="8" t="n"/>
      <c r="B933" s="8" t="n"/>
      <c r="C933" s="6">
        <f>TRIM(A933&amp;"")</f>
        <v/>
      </c>
      <c r="D933" s="6">
        <f>IF(C933="","",SUBSTITUTE(SUBSTITUTE(SUBSTITUTE(SUBSTITUTE(SUBSTITUTE(SUBSTITUTE(SUBSTITUTE(UPPER(TRIM(B933&amp;"")),"₹",""),"RS.",""),"RS",""),"INR",""),"$",""),",","")," ",""))</f>
        <v/>
      </c>
      <c r="E933" s="6">
        <f>IF(C933="","",IF(RIGHT(D933,2)="CR","Cr",IF(RIGHT(D933,2)="DR","Dr","")))</f>
        <v/>
      </c>
      <c r="F933" s="6">
        <f>IF(C933="","",IF(E933&lt;&gt;"",LEFT(D933,LEN(D933)-2),D933))</f>
        <v/>
      </c>
      <c r="G933" s="13">
        <f>IF(C933="","",IF(OR(IF(AND(LEFT(F933,1)="(",RIGHT(F933,1)=")"),MID(F933,2,LEN(F933)-2),F933)="",IF(AND(LEFT(F933,1)="(",RIGHT(F933,1)=")"),MID(F933,2,LEN(F933)-2),F933)="-"),0,IFERROR(VALUE(IF(AND(LEFT(F933,1)="(",RIGHT(F933,1)=")"),MID(F933,2,LEN(F933)-2),F933))*IF(AND(LEFT(F933,1)="(",RIGHT(F933,1)=")"),-1,1)*IF(E933="Cr",Setup!$B$6,1),"ERR")))</f>
        <v/>
      </c>
      <c r="H933" s="6">
        <f>IF(C933="","",IF(ISNUMBER(G933),1,0))</f>
        <v/>
      </c>
      <c r="I933" s="6">
        <f>IF(C933="","",IF(SUMPRODUCT(($C$12:$C$1511=C933)*1)&gt;1,1,0))</f>
        <v/>
      </c>
      <c r="J933" s="6">
        <f>IF(C933="","",SUMPRODUCT((Mapping!$F$5:$F$504=Setup!$B$4&amp;"||"&amp;C933)*ROW(Mapping!$F$5:$F$504)))</f>
        <v/>
      </c>
      <c r="K933" s="6">
        <f>IF(C933="","",IF(J933=0,"UNMAPPED",LOWER(INDEX(Mapping!$D$1:$D$504,J933))))</f>
        <v/>
      </c>
      <c r="L933" s="6">
        <f>IF(K933="mapped",TRIM(INDEX(Mapping!$C$1:$C$504,J933)),"")</f>
        <v/>
      </c>
      <c r="M933" s="6">
        <f>IF(C933="","",IF(SUMPRODUCT(($C$12:C933=C933)*1)=1,1,0))</f>
        <v/>
      </c>
      <c r="N933" s="6">
        <f>IF(AND(K933="UNMAPPED",M933=1),ROW(),"")</f>
        <v/>
      </c>
      <c r="O933" s="6">
        <f>IF(AND(I933=1,M933=1),ROW(),"")</f>
        <v/>
      </c>
      <c r="P933" s="6">
        <f>IF(AND(K933="ignored",M933=1),ROW(),"")</f>
        <v/>
      </c>
    </row>
    <row r="934">
      <c r="A934" s="8" t="n"/>
      <c r="B934" s="8" t="n"/>
      <c r="C934" s="6">
        <f>TRIM(A934&amp;"")</f>
        <v/>
      </c>
      <c r="D934" s="6">
        <f>IF(C934="","",SUBSTITUTE(SUBSTITUTE(SUBSTITUTE(SUBSTITUTE(SUBSTITUTE(SUBSTITUTE(SUBSTITUTE(UPPER(TRIM(B934&amp;"")),"₹",""),"RS.",""),"RS",""),"INR",""),"$",""),",","")," ",""))</f>
        <v/>
      </c>
      <c r="E934" s="6">
        <f>IF(C934="","",IF(RIGHT(D934,2)="CR","Cr",IF(RIGHT(D934,2)="DR","Dr","")))</f>
        <v/>
      </c>
      <c r="F934" s="6">
        <f>IF(C934="","",IF(E934&lt;&gt;"",LEFT(D934,LEN(D934)-2),D934))</f>
        <v/>
      </c>
      <c r="G934" s="13">
        <f>IF(C934="","",IF(OR(IF(AND(LEFT(F934,1)="(",RIGHT(F934,1)=")"),MID(F934,2,LEN(F934)-2),F934)="",IF(AND(LEFT(F934,1)="(",RIGHT(F934,1)=")"),MID(F934,2,LEN(F934)-2),F934)="-"),0,IFERROR(VALUE(IF(AND(LEFT(F934,1)="(",RIGHT(F934,1)=")"),MID(F934,2,LEN(F934)-2),F934))*IF(AND(LEFT(F934,1)="(",RIGHT(F934,1)=")"),-1,1)*IF(E934="Cr",Setup!$B$6,1),"ERR")))</f>
        <v/>
      </c>
      <c r="H934" s="6">
        <f>IF(C934="","",IF(ISNUMBER(G934),1,0))</f>
        <v/>
      </c>
      <c r="I934" s="6">
        <f>IF(C934="","",IF(SUMPRODUCT(($C$12:$C$1511=C934)*1)&gt;1,1,0))</f>
        <v/>
      </c>
      <c r="J934" s="6">
        <f>IF(C934="","",SUMPRODUCT((Mapping!$F$5:$F$504=Setup!$B$4&amp;"||"&amp;C934)*ROW(Mapping!$F$5:$F$504)))</f>
        <v/>
      </c>
      <c r="K934" s="6">
        <f>IF(C934="","",IF(J934=0,"UNMAPPED",LOWER(INDEX(Mapping!$D$1:$D$504,J934))))</f>
        <v/>
      </c>
      <c r="L934" s="6">
        <f>IF(K934="mapped",TRIM(INDEX(Mapping!$C$1:$C$504,J934)),"")</f>
        <v/>
      </c>
      <c r="M934" s="6">
        <f>IF(C934="","",IF(SUMPRODUCT(($C$12:C934=C934)*1)=1,1,0))</f>
        <v/>
      </c>
      <c r="N934" s="6">
        <f>IF(AND(K934="UNMAPPED",M934=1),ROW(),"")</f>
        <v/>
      </c>
      <c r="O934" s="6">
        <f>IF(AND(I934=1,M934=1),ROW(),"")</f>
        <v/>
      </c>
      <c r="P934" s="6">
        <f>IF(AND(K934="ignored",M934=1),ROW(),"")</f>
        <v/>
      </c>
    </row>
    <row r="935">
      <c r="A935" s="8" t="n"/>
      <c r="B935" s="8" t="n"/>
      <c r="C935" s="6">
        <f>TRIM(A935&amp;"")</f>
        <v/>
      </c>
      <c r="D935" s="6">
        <f>IF(C935="","",SUBSTITUTE(SUBSTITUTE(SUBSTITUTE(SUBSTITUTE(SUBSTITUTE(SUBSTITUTE(SUBSTITUTE(UPPER(TRIM(B935&amp;"")),"₹",""),"RS.",""),"RS",""),"INR",""),"$",""),",","")," ",""))</f>
        <v/>
      </c>
      <c r="E935" s="6">
        <f>IF(C935="","",IF(RIGHT(D935,2)="CR","Cr",IF(RIGHT(D935,2)="DR","Dr","")))</f>
        <v/>
      </c>
      <c r="F935" s="6">
        <f>IF(C935="","",IF(E935&lt;&gt;"",LEFT(D935,LEN(D935)-2),D935))</f>
        <v/>
      </c>
      <c r="G935" s="13">
        <f>IF(C935="","",IF(OR(IF(AND(LEFT(F935,1)="(",RIGHT(F935,1)=")"),MID(F935,2,LEN(F935)-2),F935)="",IF(AND(LEFT(F935,1)="(",RIGHT(F935,1)=")"),MID(F935,2,LEN(F935)-2),F935)="-"),0,IFERROR(VALUE(IF(AND(LEFT(F935,1)="(",RIGHT(F935,1)=")"),MID(F935,2,LEN(F935)-2),F935))*IF(AND(LEFT(F935,1)="(",RIGHT(F935,1)=")"),-1,1)*IF(E935="Cr",Setup!$B$6,1),"ERR")))</f>
        <v/>
      </c>
      <c r="H935" s="6">
        <f>IF(C935="","",IF(ISNUMBER(G935),1,0))</f>
        <v/>
      </c>
      <c r="I935" s="6">
        <f>IF(C935="","",IF(SUMPRODUCT(($C$12:$C$1511=C935)*1)&gt;1,1,0))</f>
        <v/>
      </c>
      <c r="J935" s="6">
        <f>IF(C935="","",SUMPRODUCT((Mapping!$F$5:$F$504=Setup!$B$4&amp;"||"&amp;C935)*ROW(Mapping!$F$5:$F$504)))</f>
        <v/>
      </c>
      <c r="K935" s="6">
        <f>IF(C935="","",IF(J935=0,"UNMAPPED",LOWER(INDEX(Mapping!$D$1:$D$504,J935))))</f>
        <v/>
      </c>
      <c r="L935" s="6">
        <f>IF(K935="mapped",TRIM(INDEX(Mapping!$C$1:$C$504,J935)),"")</f>
        <v/>
      </c>
      <c r="M935" s="6">
        <f>IF(C935="","",IF(SUMPRODUCT(($C$12:C935=C935)*1)=1,1,0))</f>
        <v/>
      </c>
      <c r="N935" s="6">
        <f>IF(AND(K935="UNMAPPED",M935=1),ROW(),"")</f>
        <v/>
      </c>
      <c r="O935" s="6">
        <f>IF(AND(I935=1,M935=1),ROW(),"")</f>
        <v/>
      </c>
      <c r="P935" s="6">
        <f>IF(AND(K935="ignored",M935=1),ROW(),"")</f>
        <v/>
      </c>
    </row>
    <row r="936">
      <c r="A936" s="8" t="n"/>
      <c r="B936" s="8" t="n"/>
      <c r="C936" s="6">
        <f>TRIM(A936&amp;"")</f>
        <v/>
      </c>
      <c r="D936" s="6">
        <f>IF(C936="","",SUBSTITUTE(SUBSTITUTE(SUBSTITUTE(SUBSTITUTE(SUBSTITUTE(SUBSTITUTE(SUBSTITUTE(UPPER(TRIM(B936&amp;"")),"₹",""),"RS.",""),"RS",""),"INR",""),"$",""),",","")," ",""))</f>
        <v/>
      </c>
      <c r="E936" s="6">
        <f>IF(C936="","",IF(RIGHT(D936,2)="CR","Cr",IF(RIGHT(D936,2)="DR","Dr","")))</f>
        <v/>
      </c>
      <c r="F936" s="6">
        <f>IF(C936="","",IF(E936&lt;&gt;"",LEFT(D936,LEN(D936)-2),D936))</f>
        <v/>
      </c>
      <c r="G936" s="13">
        <f>IF(C936="","",IF(OR(IF(AND(LEFT(F936,1)="(",RIGHT(F936,1)=")"),MID(F936,2,LEN(F936)-2),F936)="",IF(AND(LEFT(F936,1)="(",RIGHT(F936,1)=")"),MID(F936,2,LEN(F936)-2),F936)="-"),0,IFERROR(VALUE(IF(AND(LEFT(F936,1)="(",RIGHT(F936,1)=")"),MID(F936,2,LEN(F936)-2),F936))*IF(AND(LEFT(F936,1)="(",RIGHT(F936,1)=")"),-1,1)*IF(E936="Cr",Setup!$B$6,1),"ERR")))</f>
        <v/>
      </c>
      <c r="H936" s="6">
        <f>IF(C936="","",IF(ISNUMBER(G936),1,0))</f>
        <v/>
      </c>
      <c r="I936" s="6">
        <f>IF(C936="","",IF(SUMPRODUCT(($C$12:$C$1511=C936)*1)&gt;1,1,0))</f>
        <v/>
      </c>
      <c r="J936" s="6">
        <f>IF(C936="","",SUMPRODUCT((Mapping!$F$5:$F$504=Setup!$B$4&amp;"||"&amp;C936)*ROW(Mapping!$F$5:$F$504)))</f>
        <v/>
      </c>
      <c r="K936" s="6">
        <f>IF(C936="","",IF(J936=0,"UNMAPPED",LOWER(INDEX(Mapping!$D$1:$D$504,J936))))</f>
        <v/>
      </c>
      <c r="L936" s="6">
        <f>IF(K936="mapped",TRIM(INDEX(Mapping!$C$1:$C$504,J936)),"")</f>
        <v/>
      </c>
      <c r="M936" s="6">
        <f>IF(C936="","",IF(SUMPRODUCT(($C$12:C936=C936)*1)=1,1,0))</f>
        <v/>
      </c>
      <c r="N936" s="6">
        <f>IF(AND(K936="UNMAPPED",M936=1),ROW(),"")</f>
        <v/>
      </c>
      <c r="O936" s="6">
        <f>IF(AND(I936=1,M936=1),ROW(),"")</f>
        <v/>
      </c>
      <c r="P936" s="6">
        <f>IF(AND(K936="ignored",M936=1),ROW(),"")</f>
        <v/>
      </c>
    </row>
    <row r="937">
      <c r="A937" s="8" t="n"/>
      <c r="B937" s="8" t="n"/>
      <c r="C937" s="6">
        <f>TRIM(A937&amp;"")</f>
        <v/>
      </c>
      <c r="D937" s="6">
        <f>IF(C937="","",SUBSTITUTE(SUBSTITUTE(SUBSTITUTE(SUBSTITUTE(SUBSTITUTE(SUBSTITUTE(SUBSTITUTE(UPPER(TRIM(B937&amp;"")),"₹",""),"RS.",""),"RS",""),"INR",""),"$",""),",","")," ",""))</f>
        <v/>
      </c>
      <c r="E937" s="6">
        <f>IF(C937="","",IF(RIGHT(D937,2)="CR","Cr",IF(RIGHT(D937,2)="DR","Dr","")))</f>
        <v/>
      </c>
      <c r="F937" s="6">
        <f>IF(C937="","",IF(E937&lt;&gt;"",LEFT(D937,LEN(D937)-2),D937))</f>
        <v/>
      </c>
      <c r="G937" s="13">
        <f>IF(C937="","",IF(OR(IF(AND(LEFT(F937,1)="(",RIGHT(F937,1)=")"),MID(F937,2,LEN(F937)-2),F937)="",IF(AND(LEFT(F937,1)="(",RIGHT(F937,1)=")"),MID(F937,2,LEN(F937)-2),F937)="-"),0,IFERROR(VALUE(IF(AND(LEFT(F937,1)="(",RIGHT(F937,1)=")"),MID(F937,2,LEN(F937)-2),F937))*IF(AND(LEFT(F937,1)="(",RIGHT(F937,1)=")"),-1,1)*IF(E937="Cr",Setup!$B$6,1),"ERR")))</f>
        <v/>
      </c>
      <c r="H937" s="6">
        <f>IF(C937="","",IF(ISNUMBER(G937),1,0))</f>
        <v/>
      </c>
      <c r="I937" s="6">
        <f>IF(C937="","",IF(SUMPRODUCT(($C$12:$C$1511=C937)*1)&gt;1,1,0))</f>
        <v/>
      </c>
      <c r="J937" s="6">
        <f>IF(C937="","",SUMPRODUCT((Mapping!$F$5:$F$504=Setup!$B$4&amp;"||"&amp;C937)*ROW(Mapping!$F$5:$F$504)))</f>
        <v/>
      </c>
      <c r="K937" s="6">
        <f>IF(C937="","",IF(J937=0,"UNMAPPED",LOWER(INDEX(Mapping!$D$1:$D$504,J937))))</f>
        <v/>
      </c>
      <c r="L937" s="6">
        <f>IF(K937="mapped",TRIM(INDEX(Mapping!$C$1:$C$504,J937)),"")</f>
        <v/>
      </c>
      <c r="M937" s="6">
        <f>IF(C937="","",IF(SUMPRODUCT(($C$12:C937=C937)*1)=1,1,0))</f>
        <v/>
      </c>
      <c r="N937" s="6">
        <f>IF(AND(K937="UNMAPPED",M937=1),ROW(),"")</f>
        <v/>
      </c>
      <c r="O937" s="6">
        <f>IF(AND(I937=1,M937=1),ROW(),"")</f>
        <v/>
      </c>
      <c r="P937" s="6">
        <f>IF(AND(K937="ignored",M937=1),ROW(),"")</f>
        <v/>
      </c>
    </row>
    <row r="938">
      <c r="A938" s="8" t="n"/>
      <c r="B938" s="8" t="n"/>
      <c r="C938" s="6">
        <f>TRIM(A938&amp;"")</f>
        <v/>
      </c>
      <c r="D938" s="6">
        <f>IF(C938="","",SUBSTITUTE(SUBSTITUTE(SUBSTITUTE(SUBSTITUTE(SUBSTITUTE(SUBSTITUTE(SUBSTITUTE(UPPER(TRIM(B938&amp;"")),"₹",""),"RS.",""),"RS",""),"INR",""),"$",""),",","")," ",""))</f>
        <v/>
      </c>
      <c r="E938" s="6">
        <f>IF(C938="","",IF(RIGHT(D938,2)="CR","Cr",IF(RIGHT(D938,2)="DR","Dr","")))</f>
        <v/>
      </c>
      <c r="F938" s="6">
        <f>IF(C938="","",IF(E938&lt;&gt;"",LEFT(D938,LEN(D938)-2),D938))</f>
        <v/>
      </c>
      <c r="G938" s="13">
        <f>IF(C938="","",IF(OR(IF(AND(LEFT(F938,1)="(",RIGHT(F938,1)=")"),MID(F938,2,LEN(F938)-2),F938)="",IF(AND(LEFT(F938,1)="(",RIGHT(F938,1)=")"),MID(F938,2,LEN(F938)-2),F938)="-"),0,IFERROR(VALUE(IF(AND(LEFT(F938,1)="(",RIGHT(F938,1)=")"),MID(F938,2,LEN(F938)-2),F938))*IF(AND(LEFT(F938,1)="(",RIGHT(F938,1)=")"),-1,1)*IF(E938="Cr",Setup!$B$6,1),"ERR")))</f>
        <v/>
      </c>
      <c r="H938" s="6">
        <f>IF(C938="","",IF(ISNUMBER(G938),1,0))</f>
        <v/>
      </c>
      <c r="I938" s="6">
        <f>IF(C938="","",IF(SUMPRODUCT(($C$12:$C$1511=C938)*1)&gt;1,1,0))</f>
        <v/>
      </c>
      <c r="J938" s="6">
        <f>IF(C938="","",SUMPRODUCT((Mapping!$F$5:$F$504=Setup!$B$4&amp;"||"&amp;C938)*ROW(Mapping!$F$5:$F$504)))</f>
        <v/>
      </c>
      <c r="K938" s="6">
        <f>IF(C938="","",IF(J938=0,"UNMAPPED",LOWER(INDEX(Mapping!$D$1:$D$504,J938))))</f>
        <v/>
      </c>
      <c r="L938" s="6">
        <f>IF(K938="mapped",TRIM(INDEX(Mapping!$C$1:$C$504,J938)),"")</f>
        <v/>
      </c>
      <c r="M938" s="6">
        <f>IF(C938="","",IF(SUMPRODUCT(($C$12:C938=C938)*1)=1,1,0))</f>
        <v/>
      </c>
      <c r="N938" s="6">
        <f>IF(AND(K938="UNMAPPED",M938=1),ROW(),"")</f>
        <v/>
      </c>
      <c r="O938" s="6">
        <f>IF(AND(I938=1,M938=1),ROW(),"")</f>
        <v/>
      </c>
      <c r="P938" s="6">
        <f>IF(AND(K938="ignored",M938=1),ROW(),"")</f>
        <v/>
      </c>
    </row>
    <row r="939">
      <c r="A939" s="8" t="n"/>
      <c r="B939" s="8" t="n"/>
      <c r="C939" s="6">
        <f>TRIM(A939&amp;"")</f>
        <v/>
      </c>
      <c r="D939" s="6">
        <f>IF(C939="","",SUBSTITUTE(SUBSTITUTE(SUBSTITUTE(SUBSTITUTE(SUBSTITUTE(SUBSTITUTE(SUBSTITUTE(UPPER(TRIM(B939&amp;"")),"₹",""),"RS.",""),"RS",""),"INR",""),"$",""),",","")," ",""))</f>
        <v/>
      </c>
      <c r="E939" s="6">
        <f>IF(C939="","",IF(RIGHT(D939,2)="CR","Cr",IF(RIGHT(D939,2)="DR","Dr","")))</f>
        <v/>
      </c>
      <c r="F939" s="6">
        <f>IF(C939="","",IF(E939&lt;&gt;"",LEFT(D939,LEN(D939)-2),D939))</f>
        <v/>
      </c>
      <c r="G939" s="13">
        <f>IF(C939="","",IF(OR(IF(AND(LEFT(F939,1)="(",RIGHT(F939,1)=")"),MID(F939,2,LEN(F939)-2),F939)="",IF(AND(LEFT(F939,1)="(",RIGHT(F939,1)=")"),MID(F939,2,LEN(F939)-2),F939)="-"),0,IFERROR(VALUE(IF(AND(LEFT(F939,1)="(",RIGHT(F939,1)=")"),MID(F939,2,LEN(F939)-2),F939))*IF(AND(LEFT(F939,1)="(",RIGHT(F939,1)=")"),-1,1)*IF(E939="Cr",Setup!$B$6,1),"ERR")))</f>
        <v/>
      </c>
      <c r="H939" s="6">
        <f>IF(C939="","",IF(ISNUMBER(G939),1,0))</f>
        <v/>
      </c>
      <c r="I939" s="6">
        <f>IF(C939="","",IF(SUMPRODUCT(($C$12:$C$1511=C939)*1)&gt;1,1,0))</f>
        <v/>
      </c>
      <c r="J939" s="6">
        <f>IF(C939="","",SUMPRODUCT((Mapping!$F$5:$F$504=Setup!$B$4&amp;"||"&amp;C939)*ROW(Mapping!$F$5:$F$504)))</f>
        <v/>
      </c>
      <c r="K939" s="6">
        <f>IF(C939="","",IF(J939=0,"UNMAPPED",LOWER(INDEX(Mapping!$D$1:$D$504,J939))))</f>
        <v/>
      </c>
      <c r="L939" s="6">
        <f>IF(K939="mapped",TRIM(INDEX(Mapping!$C$1:$C$504,J939)),"")</f>
        <v/>
      </c>
      <c r="M939" s="6">
        <f>IF(C939="","",IF(SUMPRODUCT(($C$12:C939=C939)*1)=1,1,0))</f>
        <v/>
      </c>
      <c r="N939" s="6">
        <f>IF(AND(K939="UNMAPPED",M939=1),ROW(),"")</f>
        <v/>
      </c>
      <c r="O939" s="6">
        <f>IF(AND(I939=1,M939=1),ROW(),"")</f>
        <v/>
      </c>
      <c r="P939" s="6">
        <f>IF(AND(K939="ignored",M939=1),ROW(),"")</f>
        <v/>
      </c>
    </row>
    <row r="940">
      <c r="A940" s="8" t="n"/>
      <c r="B940" s="8" t="n"/>
      <c r="C940" s="6">
        <f>TRIM(A940&amp;"")</f>
        <v/>
      </c>
      <c r="D940" s="6">
        <f>IF(C940="","",SUBSTITUTE(SUBSTITUTE(SUBSTITUTE(SUBSTITUTE(SUBSTITUTE(SUBSTITUTE(SUBSTITUTE(UPPER(TRIM(B940&amp;"")),"₹",""),"RS.",""),"RS",""),"INR",""),"$",""),",","")," ",""))</f>
        <v/>
      </c>
      <c r="E940" s="6">
        <f>IF(C940="","",IF(RIGHT(D940,2)="CR","Cr",IF(RIGHT(D940,2)="DR","Dr","")))</f>
        <v/>
      </c>
      <c r="F940" s="6">
        <f>IF(C940="","",IF(E940&lt;&gt;"",LEFT(D940,LEN(D940)-2),D940))</f>
        <v/>
      </c>
      <c r="G940" s="13">
        <f>IF(C940="","",IF(OR(IF(AND(LEFT(F940,1)="(",RIGHT(F940,1)=")"),MID(F940,2,LEN(F940)-2),F940)="",IF(AND(LEFT(F940,1)="(",RIGHT(F940,1)=")"),MID(F940,2,LEN(F940)-2),F940)="-"),0,IFERROR(VALUE(IF(AND(LEFT(F940,1)="(",RIGHT(F940,1)=")"),MID(F940,2,LEN(F940)-2),F940))*IF(AND(LEFT(F940,1)="(",RIGHT(F940,1)=")"),-1,1)*IF(E940="Cr",Setup!$B$6,1),"ERR")))</f>
        <v/>
      </c>
      <c r="H940" s="6">
        <f>IF(C940="","",IF(ISNUMBER(G940),1,0))</f>
        <v/>
      </c>
      <c r="I940" s="6">
        <f>IF(C940="","",IF(SUMPRODUCT(($C$12:$C$1511=C940)*1)&gt;1,1,0))</f>
        <v/>
      </c>
      <c r="J940" s="6">
        <f>IF(C940="","",SUMPRODUCT((Mapping!$F$5:$F$504=Setup!$B$4&amp;"||"&amp;C940)*ROW(Mapping!$F$5:$F$504)))</f>
        <v/>
      </c>
      <c r="K940" s="6">
        <f>IF(C940="","",IF(J940=0,"UNMAPPED",LOWER(INDEX(Mapping!$D$1:$D$504,J940))))</f>
        <v/>
      </c>
      <c r="L940" s="6">
        <f>IF(K940="mapped",TRIM(INDEX(Mapping!$C$1:$C$504,J940)),"")</f>
        <v/>
      </c>
      <c r="M940" s="6">
        <f>IF(C940="","",IF(SUMPRODUCT(($C$12:C940=C940)*1)=1,1,0))</f>
        <v/>
      </c>
      <c r="N940" s="6">
        <f>IF(AND(K940="UNMAPPED",M940=1),ROW(),"")</f>
        <v/>
      </c>
      <c r="O940" s="6">
        <f>IF(AND(I940=1,M940=1),ROW(),"")</f>
        <v/>
      </c>
      <c r="P940" s="6">
        <f>IF(AND(K940="ignored",M940=1),ROW(),"")</f>
        <v/>
      </c>
    </row>
    <row r="941">
      <c r="A941" s="8" t="n"/>
      <c r="B941" s="8" t="n"/>
      <c r="C941" s="6">
        <f>TRIM(A941&amp;"")</f>
        <v/>
      </c>
      <c r="D941" s="6">
        <f>IF(C941="","",SUBSTITUTE(SUBSTITUTE(SUBSTITUTE(SUBSTITUTE(SUBSTITUTE(SUBSTITUTE(SUBSTITUTE(UPPER(TRIM(B941&amp;"")),"₹",""),"RS.",""),"RS",""),"INR",""),"$",""),",","")," ",""))</f>
        <v/>
      </c>
      <c r="E941" s="6">
        <f>IF(C941="","",IF(RIGHT(D941,2)="CR","Cr",IF(RIGHT(D941,2)="DR","Dr","")))</f>
        <v/>
      </c>
      <c r="F941" s="6">
        <f>IF(C941="","",IF(E941&lt;&gt;"",LEFT(D941,LEN(D941)-2),D941))</f>
        <v/>
      </c>
      <c r="G941" s="13">
        <f>IF(C941="","",IF(OR(IF(AND(LEFT(F941,1)="(",RIGHT(F941,1)=")"),MID(F941,2,LEN(F941)-2),F941)="",IF(AND(LEFT(F941,1)="(",RIGHT(F941,1)=")"),MID(F941,2,LEN(F941)-2),F941)="-"),0,IFERROR(VALUE(IF(AND(LEFT(F941,1)="(",RIGHT(F941,1)=")"),MID(F941,2,LEN(F941)-2),F941))*IF(AND(LEFT(F941,1)="(",RIGHT(F941,1)=")"),-1,1)*IF(E941="Cr",Setup!$B$6,1),"ERR")))</f>
        <v/>
      </c>
      <c r="H941" s="6">
        <f>IF(C941="","",IF(ISNUMBER(G941),1,0))</f>
        <v/>
      </c>
      <c r="I941" s="6">
        <f>IF(C941="","",IF(SUMPRODUCT(($C$12:$C$1511=C941)*1)&gt;1,1,0))</f>
        <v/>
      </c>
      <c r="J941" s="6">
        <f>IF(C941="","",SUMPRODUCT((Mapping!$F$5:$F$504=Setup!$B$4&amp;"||"&amp;C941)*ROW(Mapping!$F$5:$F$504)))</f>
        <v/>
      </c>
      <c r="K941" s="6">
        <f>IF(C941="","",IF(J941=0,"UNMAPPED",LOWER(INDEX(Mapping!$D$1:$D$504,J941))))</f>
        <v/>
      </c>
      <c r="L941" s="6">
        <f>IF(K941="mapped",TRIM(INDEX(Mapping!$C$1:$C$504,J941)),"")</f>
        <v/>
      </c>
      <c r="M941" s="6">
        <f>IF(C941="","",IF(SUMPRODUCT(($C$12:C941=C941)*1)=1,1,0))</f>
        <v/>
      </c>
      <c r="N941" s="6">
        <f>IF(AND(K941="UNMAPPED",M941=1),ROW(),"")</f>
        <v/>
      </c>
      <c r="O941" s="6">
        <f>IF(AND(I941=1,M941=1),ROW(),"")</f>
        <v/>
      </c>
      <c r="P941" s="6">
        <f>IF(AND(K941="ignored",M941=1),ROW(),"")</f>
        <v/>
      </c>
    </row>
    <row r="942">
      <c r="A942" s="8" t="n"/>
      <c r="B942" s="8" t="n"/>
      <c r="C942" s="6">
        <f>TRIM(A942&amp;"")</f>
        <v/>
      </c>
      <c r="D942" s="6">
        <f>IF(C942="","",SUBSTITUTE(SUBSTITUTE(SUBSTITUTE(SUBSTITUTE(SUBSTITUTE(SUBSTITUTE(SUBSTITUTE(UPPER(TRIM(B942&amp;"")),"₹",""),"RS.",""),"RS",""),"INR",""),"$",""),",","")," ",""))</f>
        <v/>
      </c>
      <c r="E942" s="6">
        <f>IF(C942="","",IF(RIGHT(D942,2)="CR","Cr",IF(RIGHT(D942,2)="DR","Dr","")))</f>
        <v/>
      </c>
      <c r="F942" s="6">
        <f>IF(C942="","",IF(E942&lt;&gt;"",LEFT(D942,LEN(D942)-2),D942))</f>
        <v/>
      </c>
      <c r="G942" s="13">
        <f>IF(C942="","",IF(OR(IF(AND(LEFT(F942,1)="(",RIGHT(F942,1)=")"),MID(F942,2,LEN(F942)-2),F942)="",IF(AND(LEFT(F942,1)="(",RIGHT(F942,1)=")"),MID(F942,2,LEN(F942)-2),F942)="-"),0,IFERROR(VALUE(IF(AND(LEFT(F942,1)="(",RIGHT(F942,1)=")"),MID(F942,2,LEN(F942)-2),F942))*IF(AND(LEFT(F942,1)="(",RIGHT(F942,1)=")"),-1,1)*IF(E942="Cr",Setup!$B$6,1),"ERR")))</f>
        <v/>
      </c>
      <c r="H942" s="6">
        <f>IF(C942="","",IF(ISNUMBER(G942),1,0))</f>
        <v/>
      </c>
      <c r="I942" s="6">
        <f>IF(C942="","",IF(SUMPRODUCT(($C$12:$C$1511=C942)*1)&gt;1,1,0))</f>
        <v/>
      </c>
      <c r="J942" s="6">
        <f>IF(C942="","",SUMPRODUCT((Mapping!$F$5:$F$504=Setup!$B$4&amp;"||"&amp;C942)*ROW(Mapping!$F$5:$F$504)))</f>
        <v/>
      </c>
      <c r="K942" s="6">
        <f>IF(C942="","",IF(J942=0,"UNMAPPED",LOWER(INDEX(Mapping!$D$1:$D$504,J942))))</f>
        <v/>
      </c>
      <c r="L942" s="6">
        <f>IF(K942="mapped",TRIM(INDEX(Mapping!$C$1:$C$504,J942)),"")</f>
        <v/>
      </c>
      <c r="M942" s="6">
        <f>IF(C942="","",IF(SUMPRODUCT(($C$12:C942=C942)*1)=1,1,0))</f>
        <v/>
      </c>
      <c r="N942" s="6">
        <f>IF(AND(K942="UNMAPPED",M942=1),ROW(),"")</f>
        <v/>
      </c>
      <c r="O942" s="6">
        <f>IF(AND(I942=1,M942=1),ROW(),"")</f>
        <v/>
      </c>
      <c r="P942" s="6">
        <f>IF(AND(K942="ignored",M942=1),ROW(),"")</f>
        <v/>
      </c>
    </row>
    <row r="943">
      <c r="A943" s="8" t="n"/>
      <c r="B943" s="8" t="n"/>
      <c r="C943" s="6">
        <f>TRIM(A943&amp;"")</f>
        <v/>
      </c>
      <c r="D943" s="6">
        <f>IF(C943="","",SUBSTITUTE(SUBSTITUTE(SUBSTITUTE(SUBSTITUTE(SUBSTITUTE(SUBSTITUTE(SUBSTITUTE(UPPER(TRIM(B943&amp;"")),"₹",""),"RS.",""),"RS",""),"INR",""),"$",""),",","")," ",""))</f>
        <v/>
      </c>
      <c r="E943" s="6">
        <f>IF(C943="","",IF(RIGHT(D943,2)="CR","Cr",IF(RIGHT(D943,2)="DR","Dr","")))</f>
        <v/>
      </c>
      <c r="F943" s="6">
        <f>IF(C943="","",IF(E943&lt;&gt;"",LEFT(D943,LEN(D943)-2),D943))</f>
        <v/>
      </c>
      <c r="G943" s="13">
        <f>IF(C943="","",IF(OR(IF(AND(LEFT(F943,1)="(",RIGHT(F943,1)=")"),MID(F943,2,LEN(F943)-2),F943)="",IF(AND(LEFT(F943,1)="(",RIGHT(F943,1)=")"),MID(F943,2,LEN(F943)-2),F943)="-"),0,IFERROR(VALUE(IF(AND(LEFT(F943,1)="(",RIGHT(F943,1)=")"),MID(F943,2,LEN(F943)-2),F943))*IF(AND(LEFT(F943,1)="(",RIGHT(F943,1)=")"),-1,1)*IF(E943="Cr",Setup!$B$6,1),"ERR")))</f>
        <v/>
      </c>
      <c r="H943" s="6">
        <f>IF(C943="","",IF(ISNUMBER(G943),1,0))</f>
        <v/>
      </c>
      <c r="I943" s="6">
        <f>IF(C943="","",IF(SUMPRODUCT(($C$12:$C$1511=C943)*1)&gt;1,1,0))</f>
        <v/>
      </c>
      <c r="J943" s="6">
        <f>IF(C943="","",SUMPRODUCT((Mapping!$F$5:$F$504=Setup!$B$4&amp;"||"&amp;C943)*ROW(Mapping!$F$5:$F$504)))</f>
        <v/>
      </c>
      <c r="K943" s="6">
        <f>IF(C943="","",IF(J943=0,"UNMAPPED",LOWER(INDEX(Mapping!$D$1:$D$504,J943))))</f>
        <v/>
      </c>
      <c r="L943" s="6">
        <f>IF(K943="mapped",TRIM(INDEX(Mapping!$C$1:$C$504,J943)),"")</f>
        <v/>
      </c>
      <c r="M943" s="6">
        <f>IF(C943="","",IF(SUMPRODUCT(($C$12:C943=C943)*1)=1,1,0))</f>
        <v/>
      </c>
      <c r="N943" s="6">
        <f>IF(AND(K943="UNMAPPED",M943=1),ROW(),"")</f>
        <v/>
      </c>
      <c r="O943" s="6">
        <f>IF(AND(I943=1,M943=1),ROW(),"")</f>
        <v/>
      </c>
      <c r="P943" s="6">
        <f>IF(AND(K943="ignored",M943=1),ROW(),"")</f>
        <v/>
      </c>
    </row>
    <row r="944">
      <c r="A944" s="8" t="n"/>
      <c r="B944" s="8" t="n"/>
      <c r="C944" s="6">
        <f>TRIM(A944&amp;"")</f>
        <v/>
      </c>
      <c r="D944" s="6">
        <f>IF(C944="","",SUBSTITUTE(SUBSTITUTE(SUBSTITUTE(SUBSTITUTE(SUBSTITUTE(SUBSTITUTE(SUBSTITUTE(UPPER(TRIM(B944&amp;"")),"₹",""),"RS.",""),"RS",""),"INR",""),"$",""),",","")," ",""))</f>
        <v/>
      </c>
      <c r="E944" s="6">
        <f>IF(C944="","",IF(RIGHT(D944,2)="CR","Cr",IF(RIGHT(D944,2)="DR","Dr","")))</f>
        <v/>
      </c>
      <c r="F944" s="6">
        <f>IF(C944="","",IF(E944&lt;&gt;"",LEFT(D944,LEN(D944)-2),D944))</f>
        <v/>
      </c>
      <c r="G944" s="13">
        <f>IF(C944="","",IF(OR(IF(AND(LEFT(F944,1)="(",RIGHT(F944,1)=")"),MID(F944,2,LEN(F944)-2),F944)="",IF(AND(LEFT(F944,1)="(",RIGHT(F944,1)=")"),MID(F944,2,LEN(F944)-2),F944)="-"),0,IFERROR(VALUE(IF(AND(LEFT(F944,1)="(",RIGHT(F944,1)=")"),MID(F944,2,LEN(F944)-2),F944))*IF(AND(LEFT(F944,1)="(",RIGHT(F944,1)=")"),-1,1)*IF(E944="Cr",Setup!$B$6,1),"ERR")))</f>
        <v/>
      </c>
      <c r="H944" s="6">
        <f>IF(C944="","",IF(ISNUMBER(G944),1,0))</f>
        <v/>
      </c>
      <c r="I944" s="6">
        <f>IF(C944="","",IF(SUMPRODUCT(($C$12:$C$1511=C944)*1)&gt;1,1,0))</f>
        <v/>
      </c>
      <c r="J944" s="6">
        <f>IF(C944="","",SUMPRODUCT((Mapping!$F$5:$F$504=Setup!$B$4&amp;"||"&amp;C944)*ROW(Mapping!$F$5:$F$504)))</f>
        <v/>
      </c>
      <c r="K944" s="6">
        <f>IF(C944="","",IF(J944=0,"UNMAPPED",LOWER(INDEX(Mapping!$D$1:$D$504,J944))))</f>
        <v/>
      </c>
      <c r="L944" s="6">
        <f>IF(K944="mapped",TRIM(INDEX(Mapping!$C$1:$C$504,J944)),"")</f>
        <v/>
      </c>
      <c r="M944" s="6">
        <f>IF(C944="","",IF(SUMPRODUCT(($C$12:C944=C944)*1)=1,1,0))</f>
        <v/>
      </c>
      <c r="N944" s="6">
        <f>IF(AND(K944="UNMAPPED",M944=1),ROW(),"")</f>
        <v/>
      </c>
      <c r="O944" s="6">
        <f>IF(AND(I944=1,M944=1),ROW(),"")</f>
        <v/>
      </c>
      <c r="P944" s="6">
        <f>IF(AND(K944="ignored",M944=1),ROW(),"")</f>
        <v/>
      </c>
    </row>
    <row r="945">
      <c r="A945" s="8" t="n"/>
      <c r="B945" s="8" t="n"/>
      <c r="C945" s="6">
        <f>TRIM(A945&amp;"")</f>
        <v/>
      </c>
      <c r="D945" s="6">
        <f>IF(C945="","",SUBSTITUTE(SUBSTITUTE(SUBSTITUTE(SUBSTITUTE(SUBSTITUTE(SUBSTITUTE(SUBSTITUTE(UPPER(TRIM(B945&amp;"")),"₹",""),"RS.",""),"RS",""),"INR",""),"$",""),",","")," ",""))</f>
        <v/>
      </c>
      <c r="E945" s="6">
        <f>IF(C945="","",IF(RIGHT(D945,2)="CR","Cr",IF(RIGHT(D945,2)="DR","Dr","")))</f>
        <v/>
      </c>
      <c r="F945" s="6">
        <f>IF(C945="","",IF(E945&lt;&gt;"",LEFT(D945,LEN(D945)-2),D945))</f>
        <v/>
      </c>
      <c r="G945" s="13">
        <f>IF(C945="","",IF(OR(IF(AND(LEFT(F945,1)="(",RIGHT(F945,1)=")"),MID(F945,2,LEN(F945)-2),F945)="",IF(AND(LEFT(F945,1)="(",RIGHT(F945,1)=")"),MID(F945,2,LEN(F945)-2),F945)="-"),0,IFERROR(VALUE(IF(AND(LEFT(F945,1)="(",RIGHT(F945,1)=")"),MID(F945,2,LEN(F945)-2),F945))*IF(AND(LEFT(F945,1)="(",RIGHT(F945,1)=")"),-1,1)*IF(E945="Cr",Setup!$B$6,1),"ERR")))</f>
        <v/>
      </c>
      <c r="H945" s="6">
        <f>IF(C945="","",IF(ISNUMBER(G945),1,0))</f>
        <v/>
      </c>
      <c r="I945" s="6">
        <f>IF(C945="","",IF(SUMPRODUCT(($C$12:$C$1511=C945)*1)&gt;1,1,0))</f>
        <v/>
      </c>
      <c r="J945" s="6">
        <f>IF(C945="","",SUMPRODUCT((Mapping!$F$5:$F$504=Setup!$B$4&amp;"||"&amp;C945)*ROW(Mapping!$F$5:$F$504)))</f>
        <v/>
      </c>
      <c r="K945" s="6">
        <f>IF(C945="","",IF(J945=0,"UNMAPPED",LOWER(INDEX(Mapping!$D$1:$D$504,J945))))</f>
        <v/>
      </c>
      <c r="L945" s="6">
        <f>IF(K945="mapped",TRIM(INDEX(Mapping!$C$1:$C$504,J945)),"")</f>
        <v/>
      </c>
      <c r="M945" s="6">
        <f>IF(C945="","",IF(SUMPRODUCT(($C$12:C945=C945)*1)=1,1,0))</f>
        <v/>
      </c>
      <c r="N945" s="6">
        <f>IF(AND(K945="UNMAPPED",M945=1),ROW(),"")</f>
        <v/>
      </c>
      <c r="O945" s="6">
        <f>IF(AND(I945=1,M945=1),ROW(),"")</f>
        <v/>
      </c>
      <c r="P945" s="6">
        <f>IF(AND(K945="ignored",M945=1),ROW(),"")</f>
        <v/>
      </c>
    </row>
    <row r="946">
      <c r="A946" s="8" t="n"/>
      <c r="B946" s="8" t="n"/>
      <c r="C946" s="6">
        <f>TRIM(A946&amp;"")</f>
        <v/>
      </c>
      <c r="D946" s="6">
        <f>IF(C946="","",SUBSTITUTE(SUBSTITUTE(SUBSTITUTE(SUBSTITUTE(SUBSTITUTE(SUBSTITUTE(SUBSTITUTE(UPPER(TRIM(B946&amp;"")),"₹",""),"RS.",""),"RS",""),"INR",""),"$",""),",","")," ",""))</f>
        <v/>
      </c>
      <c r="E946" s="6">
        <f>IF(C946="","",IF(RIGHT(D946,2)="CR","Cr",IF(RIGHT(D946,2)="DR","Dr","")))</f>
        <v/>
      </c>
      <c r="F946" s="6">
        <f>IF(C946="","",IF(E946&lt;&gt;"",LEFT(D946,LEN(D946)-2),D946))</f>
        <v/>
      </c>
      <c r="G946" s="13">
        <f>IF(C946="","",IF(OR(IF(AND(LEFT(F946,1)="(",RIGHT(F946,1)=")"),MID(F946,2,LEN(F946)-2),F946)="",IF(AND(LEFT(F946,1)="(",RIGHT(F946,1)=")"),MID(F946,2,LEN(F946)-2),F946)="-"),0,IFERROR(VALUE(IF(AND(LEFT(F946,1)="(",RIGHT(F946,1)=")"),MID(F946,2,LEN(F946)-2),F946))*IF(AND(LEFT(F946,1)="(",RIGHT(F946,1)=")"),-1,1)*IF(E946="Cr",Setup!$B$6,1),"ERR")))</f>
        <v/>
      </c>
      <c r="H946" s="6">
        <f>IF(C946="","",IF(ISNUMBER(G946),1,0))</f>
        <v/>
      </c>
      <c r="I946" s="6">
        <f>IF(C946="","",IF(SUMPRODUCT(($C$12:$C$1511=C946)*1)&gt;1,1,0))</f>
        <v/>
      </c>
      <c r="J946" s="6">
        <f>IF(C946="","",SUMPRODUCT((Mapping!$F$5:$F$504=Setup!$B$4&amp;"||"&amp;C946)*ROW(Mapping!$F$5:$F$504)))</f>
        <v/>
      </c>
      <c r="K946" s="6">
        <f>IF(C946="","",IF(J946=0,"UNMAPPED",LOWER(INDEX(Mapping!$D$1:$D$504,J946))))</f>
        <v/>
      </c>
      <c r="L946" s="6">
        <f>IF(K946="mapped",TRIM(INDEX(Mapping!$C$1:$C$504,J946)),"")</f>
        <v/>
      </c>
      <c r="M946" s="6">
        <f>IF(C946="","",IF(SUMPRODUCT(($C$12:C946=C946)*1)=1,1,0))</f>
        <v/>
      </c>
      <c r="N946" s="6">
        <f>IF(AND(K946="UNMAPPED",M946=1),ROW(),"")</f>
        <v/>
      </c>
      <c r="O946" s="6">
        <f>IF(AND(I946=1,M946=1),ROW(),"")</f>
        <v/>
      </c>
      <c r="P946" s="6">
        <f>IF(AND(K946="ignored",M946=1),ROW(),"")</f>
        <v/>
      </c>
    </row>
    <row r="947">
      <c r="A947" s="8" t="n"/>
      <c r="B947" s="8" t="n"/>
      <c r="C947" s="6">
        <f>TRIM(A947&amp;"")</f>
        <v/>
      </c>
      <c r="D947" s="6">
        <f>IF(C947="","",SUBSTITUTE(SUBSTITUTE(SUBSTITUTE(SUBSTITUTE(SUBSTITUTE(SUBSTITUTE(SUBSTITUTE(UPPER(TRIM(B947&amp;"")),"₹",""),"RS.",""),"RS",""),"INR",""),"$",""),",","")," ",""))</f>
        <v/>
      </c>
      <c r="E947" s="6">
        <f>IF(C947="","",IF(RIGHT(D947,2)="CR","Cr",IF(RIGHT(D947,2)="DR","Dr","")))</f>
        <v/>
      </c>
      <c r="F947" s="6">
        <f>IF(C947="","",IF(E947&lt;&gt;"",LEFT(D947,LEN(D947)-2),D947))</f>
        <v/>
      </c>
      <c r="G947" s="13">
        <f>IF(C947="","",IF(OR(IF(AND(LEFT(F947,1)="(",RIGHT(F947,1)=")"),MID(F947,2,LEN(F947)-2),F947)="",IF(AND(LEFT(F947,1)="(",RIGHT(F947,1)=")"),MID(F947,2,LEN(F947)-2),F947)="-"),0,IFERROR(VALUE(IF(AND(LEFT(F947,1)="(",RIGHT(F947,1)=")"),MID(F947,2,LEN(F947)-2),F947))*IF(AND(LEFT(F947,1)="(",RIGHT(F947,1)=")"),-1,1)*IF(E947="Cr",Setup!$B$6,1),"ERR")))</f>
        <v/>
      </c>
      <c r="H947" s="6">
        <f>IF(C947="","",IF(ISNUMBER(G947),1,0))</f>
        <v/>
      </c>
      <c r="I947" s="6">
        <f>IF(C947="","",IF(SUMPRODUCT(($C$12:$C$1511=C947)*1)&gt;1,1,0))</f>
        <v/>
      </c>
      <c r="J947" s="6">
        <f>IF(C947="","",SUMPRODUCT((Mapping!$F$5:$F$504=Setup!$B$4&amp;"||"&amp;C947)*ROW(Mapping!$F$5:$F$504)))</f>
        <v/>
      </c>
      <c r="K947" s="6">
        <f>IF(C947="","",IF(J947=0,"UNMAPPED",LOWER(INDEX(Mapping!$D$1:$D$504,J947))))</f>
        <v/>
      </c>
      <c r="L947" s="6">
        <f>IF(K947="mapped",TRIM(INDEX(Mapping!$C$1:$C$504,J947)),"")</f>
        <v/>
      </c>
      <c r="M947" s="6">
        <f>IF(C947="","",IF(SUMPRODUCT(($C$12:C947=C947)*1)=1,1,0))</f>
        <v/>
      </c>
      <c r="N947" s="6">
        <f>IF(AND(K947="UNMAPPED",M947=1),ROW(),"")</f>
        <v/>
      </c>
      <c r="O947" s="6">
        <f>IF(AND(I947=1,M947=1),ROW(),"")</f>
        <v/>
      </c>
      <c r="P947" s="6">
        <f>IF(AND(K947="ignored",M947=1),ROW(),"")</f>
        <v/>
      </c>
    </row>
    <row r="948">
      <c r="A948" s="8" t="n"/>
      <c r="B948" s="8" t="n"/>
      <c r="C948" s="6">
        <f>TRIM(A948&amp;"")</f>
        <v/>
      </c>
      <c r="D948" s="6">
        <f>IF(C948="","",SUBSTITUTE(SUBSTITUTE(SUBSTITUTE(SUBSTITUTE(SUBSTITUTE(SUBSTITUTE(SUBSTITUTE(UPPER(TRIM(B948&amp;"")),"₹",""),"RS.",""),"RS",""),"INR",""),"$",""),",","")," ",""))</f>
        <v/>
      </c>
      <c r="E948" s="6">
        <f>IF(C948="","",IF(RIGHT(D948,2)="CR","Cr",IF(RIGHT(D948,2)="DR","Dr","")))</f>
        <v/>
      </c>
      <c r="F948" s="6">
        <f>IF(C948="","",IF(E948&lt;&gt;"",LEFT(D948,LEN(D948)-2),D948))</f>
        <v/>
      </c>
      <c r="G948" s="13">
        <f>IF(C948="","",IF(OR(IF(AND(LEFT(F948,1)="(",RIGHT(F948,1)=")"),MID(F948,2,LEN(F948)-2),F948)="",IF(AND(LEFT(F948,1)="(",RIGHT(F948,1)=")"),MID(F948,2,LEN(F948)-2),F948)="-"),0,IFERROR(VALUE(IF(AND(LEFT(F948,1)="(",RIGHT(F948,1)=")"),MID(F948,2,LEN(F948)-2),F948))*IF(AND(LEFT(F948,1)="(",RIGHT(F948,1)=")"),-1,1)*IF(E948="Cr",Setup!$B$6,1),"ERR")))</f>
        <v/>
      </c>
      <c r="H948" s="6">
        <f>IF(C948="","",IF(ISNUMBER(G948),1,0))</f>
        <v/>
      </c>
      <c r="I948" s="6">
        <f>IF(C948="","",IF(SUMPRODUCT(($C$12:$C$1511=C948)*1)&gt;1,1,0))</f>
        <v/>
      </c>
      <c r="J948" s="6">
        <f>IF(C948="","",SUMPRODUCT((Mapping!$F$5:$F$504=Setup!$B$4&amp;"||"&amp;C948)*ROW(Mapping!$F$5:$F$504)))</f>
        <v/>
      </c>
      <c r="K948" s="6">
        <f>IF(C948="","",IF(J948=0,"UNMAPPED",LOWER(INDEX(Mapping!$D$1:$D$504,J948))))</f>
        <v/>
      </c>
      <c r="L948" s="6">
        <f>IF(K948="mapped",TRIM(INDEX(Mapping!$C$1:$C$504,J948)),"")</f>
        <v/>
      </c>
      <c r="M948" s="6">
        <f>IF(C948="","",IF(SUMPRODUCT(($C$12:C948=C948)*1)=1,1,0))</f>
        <v/>
      </c>
      <c r="N948" s="6">
        <f>IF(AND(K948="UNMAPPED",M948=1),ROW(),"")</f>
        <v/>
      </c>
      <c r="O948" s="6">
        <f>IF(AND(I948=1,M948=1),ROW(),"")</f>
        <v/>
      </c>
      <c r="P948" s="6">
        <f>IF(AND(K948="ignored",M948=1),ROW(),"")</f>
        <v/>
      </c>
    </row>
    <row r="949">
      <c r="A949" s="8" t="n"/>
      <c r="B949" s="8" t="n"/>
      <c r="C949" s="6">
        <f>TRIM(A949&amp;"")</f>
        <v/>
      </c>
      <c r="D949" s="6">
        <f>IF(C949="","",SUBSTITUTE(SUBSTITUTE(SUBSTITUTE(SUBSTITUTE(SUBSTITUTE(SUBSTITUTE(SUBSTITUTE(UPPER(TRIM(B949&amp;"")),"₹",""),"RS.",""),"RS",""),"INR",""),"$",""),",","")," ",""))</f>
        <v/>
      </c>
      <c r="E949" s="6">
        <f>IF(C949="","",IF(RIGHT(D949,2)="CR","Cr",IF(RIGHT(D949,2)="DR","Dr","")))</f>
        <v/>
      </c>
      <c r="F949" s="6">
        <f>IF(C949="","",IF(E949&lt;&gt;"",LEFT(D949,LEN(D949)-2),D949))</f>
        <v/>
      </c>
      <c r="G949" s="13">
        <f>IF(C949="","",IF(OR(IF(AND(LEFT(F949,1)="(",RIGHT(F949,1)=")"),MID(F949,2,LEN(F949)-2),F949)="",IF(AND(LEFT(F949,1)="(",RIGHT(F949,1)=")"),MID(F949,2,LEN(F949)-2),F949)="-"),0,IFERROR(VALUE(IF(AND(LEFT(F949,1)="(",RIGHT(F949,1)=")"),MID(F949,2,LEN(F949)-2),F949))*IF(AND(LEFT(F949,1)="(",RIGHT(F949,1)=")"),-1,1)*IF(E949="Cr",Setup!$B$6,1),"ERR")))</f>
        <v/>
      </c>
      <c r="H949" s="6">
        <f>IF(C949="","",IF(ISNUMBER(G949),1,0))</f>
        <v/>
      </c>
      <c r="I949" s="6">
        <f>IF(C949="","",IF(SUMPRODUCT(($C$12:$C$1511=C949)*1)&gt;1,1,0))</f>
        <v/>
      </c>
      <c r="J949" s="6">
        <f>IF(C949="","",SUMPRODUCT((Mapping!$F$5:$F$504=Setup!$B$4&amp;"||"&amp;C949)*ROW(Mapping!$F$5:$F$504)))</f>
        <v/>
      </c>
      <c r="K949" s="6">
        <f>IF(C949="","",IF(J949=0,"UNMAPPED",LOWER(INDEX(Mapping!$D$1:$D$504,J949))))</f>
        <v/>
      </c>
      <c r="L949" s="6">
        <f>IF(K949="mapped",TRIM(INDEX(Mapping!$C$1:$C$504,J949)),"")</f>
        <v/>
      </c>
      <c r="M949" s="6">
        <f>IF(C949="","",IF(SUMPRODUCT(($C$12:C949=C949)*1)=1,1,0))</f>
        <v/>
      </c>
      <c r="N949" s="6">
        <f>IF(AND(K949="UNMAPPED",M949=1),ROW(),"")</f>
        <v/>
      </c>
      <c r="O949" s="6">
        <f>IF(AND(I949=1,M949=1),ROW(),"")</f>
        <v/>
      </c>
      <c r="P949" s="6">
        <f>IF(AND(K949="ignored",M949=1),ROW(),"")</f>
        <v/>
      </c>
    </row>
    <row r="950">
      <c r="A950" s="8" t="n"/>
      <c r="B950" s="8" t="n"/>
      <c r="C950" s="6">
        <f>TRIM(A950&amp;"")</f>
        <v/>
      </c>
      <c r="D950" s="6">
        <f>IF(C950="","",SUBSTITUTE(SUBSTITUTE(SUBSTITUTE(SUBSTITUTE(SUBSTITUTE(SUBSTITUTE(SUBSTITUTE(UPPER(TRIM(B950&amp;"")),"₹",""),"RS.",""),"RS",""),"INR",""),"$",""),",","")," ",""))</f>
        <v/>
      </c>
      <c r="E950" s="6">
        <f>IF(C950="","",IF(RIGHT(D950,2)="CR","Cr",IF(RIGHT(D950,2)="DR","Dr","")))</f>
        <v/>
      </c>
      <c r="F950" s="6">
        <f>IF(C950="","",IF(E950&lt;&gt;"",LEFT(D950,LEN(D950)-2),D950))</f>
        <v/>
      </c>
      <c r="G950" s="13">
        <f>IF(C950="","",IF(OR(IF(AND(LEFT(F950,1)="(",RIGHT(F950,1)=")"),MID(F950,2,LEN(F950)-2),F950)="",IF(AND(LEFT(F950,1)="(",RIGHT(F950,1)=")"),MID(F950,2,LEN(F950)-2),F950)="-"),0,IFERROR(VALUE(IF(AND(LEFT(F950,1)="(",RIGHT(F950,1)=")"),MID(F950,2,LEN(F950)-2),F950))*IF(AND(LEFT(F950,1)="(",RIGHT(F950,1)=")"),-1,1)*IF(E950="Cr",Setup!$B$6,1),"ERR")))</f>
        <v/>
      </c>
      <c r="H950" s="6">
        <f>IF(C950="","",IF(ISNUMBER(G950),1,0))</f>
        <v/>
      </c>
      <c r="I950" s="6">
        <f>IF(C950="","",IF(SUMPRODUCT(($C$12:$C$1511=C950)*1)&gt;1,1,0))</f>
        <v/>
      </c>
      <c r="J950" s="6">
        <f>IF(C950="","",SUMPRODUCT((Mapping!$F$5:$F$504=Setup!$B$4&amp;"||"&amp;C950)*ROW(Mapping!$F$5:$F$504)))</f>
        <v/>
      </c>
      <c r="K950" s="6">
        <f>IF(C950="","",IF(J950=0,"UNMAPPED",LOWER(INDEX(Mapping!$D$1:$D$504,J950))))</f>
        <v/>
      </c>
      <c r="L950" s="6">
        <f>IF(K950="mapped",TRIM(INDEX(Mapping!$C$1:$C$504,J950)),"")</f>
        <v/>
      </c>
      <c r="M950" s="6">
        <f>IF(C950="","",IF(SUMPRODUCT(($C$12:C950=C950)*1)=1,1,0))</f>
        <v/>
      </c>
      <c r="N950" s="6">
        <f>IF(AND(K950="UNMAPPED",M950=1),ROW(),"")</f>
        <v/>
      </c>
      <c r="O950" s="6">
        <f>IF(AND(I950=1,M950=1),ROW(),"")</f>
        <v/>
      </c>
      <c r="P950" s="6">
        <f>IF(AND(K950="ignored",M950=1),ROW(),"")</f>
        <v/>
      </c>
    </row>
    <row r="951">
      <c r="A951" s="8" t="n"/>
      <c r="B951" s="8" t="n"/>
      <c r="C951" s="6">
        <f>TRIM(A951&amp;"")</f>
        <v/>
      </c>
      <c r="D951" s="6">
        <f>IF(C951="","",SUBSTITUTE(SUBSTITUTE(SUBSTITUTE(SUBSTITUTE(SUBSTITUTE(SUBSTITUTE(SUBSTITUTE(UPPER(TRIM(B951&amp;"")),"₹",""),"RS.",""),"RS",""),"INR",""),"$",""),",","")," ",""))</f>
        <v/>
      </c>
      <c r="E951" s="6">
        <f>IF(C951="","",IF(RIGHT(D951,2)="CR","Cr",IF(RIGHT(D951,2)="DR","Dr","")))</f>
        <v/>
      </c>
      <c r="F951" s="6">
        <f>IF(C951="","",IF(E951&lt;&gt;"",LEFT(D951,LEN(D951)-2),D951))</f>
        <v/>
      </c>
      <c r="G951" s="13">
        <f>IF(C951="","",IF(OR(IF(AND(LEFT(F951,1)="(",RIGHT(F951,1)=")"),MID(F951,2,LEN(F951)-2),F951)="",IF(AND(LEFT(F951,1)="(",RIGHT(F951,1)=")"),MID(F951,2,LEN(F951)-2),F951)="-"),0,IFERROR(VALUE(IF(AND(LEFT(F951,1)="(",RIGHT(F951,1)=")"),MID(F951,2,LEN(F951)-2),F951))*IF(AND(LEFT(F951,1)="(",RIGHT(F951,1)=")"),-1,1)*IF(E951="Cr",Setup!$B$6,1),"ERR")))</f>
        <v/>
      </c>
      <c r="H951" s="6">
        <f>IF(C951="","",IF(ISNUMBER(G951),1,0))</f>
        <v/>
      </c>
      <c r="I951" s="6">
        <f>IF(C951="","",IF(SUMPRODUCT(($C$12:$C$1511=C951)*1)&gt;1,1,0))</f>
        <v/>
      </c>
      <c r="J951" s="6">
        <f>IF(C951="","",SUMPRODUCT((Mapping!$F$5:$F$504=Setup!$B$4&amp;"||"&amp;C951)*ROW(Mapping!$F$5:$F$504)))</f>
        <v/>
      </c>
      <c r="K951" s="6">
        <f>IF(C951="","",IF(J951=0,"UNMAPPED",LOWER(INDEX(Mapping!$D$1:$D$504,J951))))</f>
        <v/>
      </c>
      <c r="L951" s="6">
        <f>IF(K951="mapped",TRIM(INDEX(Mapping!$C$1:$C$504,J951)),"")</f>
        <v/>
      </c>
      <c r="M951" s="6">
        <f>IF(C951="","",IF(SUMPRODUCT(($C$12:C951=C951)*1)=1,1,0))</f>
        <v/>
      </c>
      <c r="N951" s="6">
        <f>IF(AND(K951="UNMAPPED",M951=1),ROW(),"")</f>
        <v/>
      </c>
      <c r="O951" s="6">
        <f>IF(AND(I951=1,M951=1),ROW(),"")</f>
        <v/>
      </c>
      <c r="P951" s="6">
        <f>IF(AND(K951="ignored",M951=1),ROW(),"")</f>
        <v/>
      </c>
    </row>
    <row r="952">
      <c r="A952" s="8" t="n"/>
      <c r="B952" s="8" t="n"/>
      <c r="C952" s="6">
        <f>TRIM(A952&amp;"")</f>
        <v/>
      </c>
      <c r="D952" s="6">
        <f>IF(C952="","",SUBSTITUTE(SUBSTITUTE(SUBSTITUTE(SUBSTITUTE(SUBSTITUTE(SUBSTITUTE(SUBSTITUTE(UPPER(TRIM(B952&amp;"")),"₹",""),"RS.",""),"RS",""),"INR",""),"$",""),",","")," ",""))</f>
        <v/>
      </c>
      <c r="E952" s="6">
        <f>IF(C952="","",IF(RIGHT(D952,2)="CR","Cr",IF(RIGHT(D952,2)="DR","Dr","")))</f>
        <v/>
      </c>
      <c r="F952" s="6">
        <f>IF(C952="","",IF(E952&lt;&gt;"",LEFT(D952,LEN(D952)-2),D952))</f>
        <v/>
      </c>
      <c r="G952" s="13">
        <f>IF(C952="","",IF(OR(IF(AND(LEFT(F952,1)="(",RIGHT(F952,1)=")"),MID(F952,2,LEN(F952)-2),F952)="",IF(AND(LEFT(F952,1)="(",RIGHT(F952,1)=")"),MID(F952,2,LEN(F952)-2),F952)="-"),0,IFERROR(VALUE(IF(AND(LEFT(F952,1)="(",RIGHT(F952,1)=")"),MID(F952,2,LEN(F952)-2),F952))*IF(AND(LEFT(F952,1)="(",RIGHT(F952,1)=")"),-1,1)*IF(E952="Cr",Setup!$B$6,1),"ERR")))</f>
        <v/>
      </c>
      <c r="H952" s="6">
        <f>IF(C952="","",IF(ISNUMBER(G952),1,0))</f>
        <v/>
      </c>
      <c r="I952" s="6">
        <f>IF(C952="","",IF(SUMPRODUCT(($C$12:$C$1511=C952)*1)&gt;1,1,0))</f>
        <v/>
      </c>
      <c r="J952" s="6">
        <f>IF(C952="","",SUMPRODUCT((Mapping!$F$5:$F$504=Setup!$B$4&amp;"||"&amp;C952)*ROW(Mapping!$F$5:$F$504)))</f>
        <v/>
      </c>
      <c r="K952" s="6">
        <f>IF(C952="","",IF(J952=0,"UNMAPPED",LOWER(INDEX(Mapping!$D$1:$D$504,J952))))</f>
        <v/>
      </c>
      <c r="L952" s="6">
        <f>IF(K952="mapped",TRIM(INDEX(Mapping!$C$1:$C$504,J952)),"")</f>
        <v/>
      </c>
      <c r="M952" s="6">
        <f>IF(C952="","",IF(SUMPRODUCT(($C$12:C952=C952)*1)=1,1,0))</f>
        <v/>
      </c>
      <c r="N952" s="6">
        <f>IF(AND(K952="UNMAPPED",M952=1),ROW(),"")</f>
        <v/>
      </c>
      <c r="O952" s="6">
        <f>IF(AND(I952=1,M952=1),ROW(),"")</f>
        <v/>
      </c>
      <c r="P952" s="6">
        <f>IF(AND(K952="ignored",M952=1),ROW(),"")</f>
        <v/>
      </c>
    </row>
    <row r="953">
      <c r="A953" s="8" t="n"/>
      <c r="B953" s="8" t="n"/>
      <c r="C953" s="6">
        <f>TRIM(A953&amp;"")</f>
        <v/>
      </c>
      <c r="D953" s="6">
        <f>IF(C953="","",SUBSTITUTE(SUBSTITUTE(SUBSTITUTE(SUBSTITUTE(SUBSTITUTE(SUBSTITUTE(SUBSTITUTE(UPPER(TRIM(B953&amp;"")),"₹",""),"RS.",""),"RS",""),"INR",""),"$",""),",","")," ",""))</f>
        <v/>
      </c>
      <c r="E953" s="6">
        <f>IF(C953="","",IF(RIGHT(D953,2)="CR","Cr",IF(RIGHT(D953,2)="DR","Dr","")))</f>
        <v/>
      </c>
      <c r="F953" s="6">
        <f>IF(C953="","",IF(E953&lt;&gt;"",LEFT(D953,LEN(D953)-2),D953))</f>
        <v/>
      </c>
      <c r="G953" s="13">
        <f>IF(C953="","",IF(OR(IF(AND(LEFT(F953,1)="(",RIGHT(F953,1)=")"),MID(F953,2,LEN(F953)-2),F953)="",IF(AND(LEFT(F953,1)="(",RIGHT(F953,1)=")"),MID(F953,2,LEN(F953)-2),F953)="-"),0,IFERROR(VALUE(IF(AND(LEFT(F953,1)="(",RIGHT(F953,1)=")"),MID(F953,2,LEN(F953)-2),F953))*IF(AND(LEFT(F953,1)="(",RIGHT(F953,1)=")"),-1,1)*IF(E953="Cr",Setup!$B$6,1),"ERR")))</f>
        <v/>
      </c>
      <c r="H953" s="6">
        <f>IF(C953="","",IF(ISNUMBER(G953),1,0))</f>
        <v/>
      </c>
      <c r="I953" s="6">
        <f>IF(C953="","",IF(SUMPRODUCT(($C$12:$C$1511=C953)*1)&gt;1,1,0))</f>
        <v/>
      </c>
      <c r="J953" s="6">
        <f>IF(C953="","",SUMPRODUCT((Mapping!$F$5:$F$504=Setup!$B$4&amp;"||"&amp;C953)*ROW(Mapping!$F$5:$F$504)))</f>
        <v/>
      </c>
      <c r="K953" s="6">
        <f>IF(C953="","",IF(J953=0,"UNMAPPED",LOWER(INDEX(Mapping!$D$1:$D$504,J953))))</f>
        <v/>
      </c>
      <c r="L953" s="6">
        <f>IF(K953="mapped",TRIM(INDEX(Mapping!$C$1:$C$504,J953)),"")</f>
        <v/>
      </c>
      <c r="M953" s="6">
        <f>IF(C953="","",IF(SUMPRODUCT(($C$12:C953=C953)*1)=1,1,0))</f>
        <v/>
      </c>
      <c r="N953" s="6">
        <f>IF(AND(K953="UNMAPPED",M953=1),ROW(),"")</f>
        <v/>
      </c>
      <c r="O953" s="6">
        <f>IF(AND(I953=1,M953=1),ROW(),"")</f>
        <v/>
      </c>
      <c r="P953" s="6">
        <f>IF(AND(K953="ignored",M953=1),ROW(),"")</f>
        <v/>
      </c>
    </row>
    <row r="954">
      <c r="A954" s="8" t="n"/>
      <c r="B954" s="8" t="n"/>
      <c r="C954" s="6">
        <f>TRIM(A954&amp;"")</f>
        <v/>
      </c>
      <c r="D954" s="6">
        <f>IF(C954="","",SUBSTITUTE(SUBSTITUTE(SUBSTITUTE(SUBSTITUTE(SUBSTITUTE(SUBSTITUTE(SUBSTITUTE(UPPER(TRIM(B954&amp;"")),"₹",""),"RS.",""),"RS",""),"INR",""),"$",""),",","")," ",""))</f>
        <v/>
      </c>
      <c r="E954" s="6">
        <f>IF(C954="","",IF(RIGHT(D954,2)="CR","Cr",IF(RIGHT(D954,2)="DR","Dr","")))</f>
        <v/>
      </c>
      <c r="F954" s="6">
        <f>IF(C954="","",IF(E954&lt;&gt;"",LEFT(D954,LEN(D954)-2),D954))</f>
        <v/>
      </c>
      <c r="G954" s="13">
        <f>IF(C954="","",IF(OR(IF(AND(LEFT(F954,1)="(",RIGHT(F954,1)=")"),MID(F954,2,LEN(F954)-2),F954)="",IF(AND(LEFT(F954,1)="(",RIGHT(F954,1)=")"),MID(F954,2,LEN(F954)-2),F954)="-"),0,IFERROR(VALUE(IF(AND(LEFT(F954,1)="(",RIGHT(F954,1)=")"),MID(F954,2,LEN(F954)-2),F954))*IF(AND(LEFT(F954,1)="(",RIGHT(F954,1)=")"),-1,1)*IF(E954="Cr",Setup!$B$6,1),"ERR")))</f>
        <v/>
      </c>
      <c r="H954" s="6">
        <f>IF(C954="","",IF(ISNUMBER(G954),1,0))</f>
        <v/>
      </c>
      <c r="I954" s="6">
        <f>IF(C954="","",IF(SUMPRODUCT(($C$12:$C$1511=C954)*1)&gt;1,1,0))</f>
        <v/>
      </c>
      <c r="J954" s="6">
        <f>IF(C954="","",SUMPRODUCT((Mapping!$F$5:$F$504=Setup!$B$4&amp;"||"&amp;C954)*ROW(Mapping!$F$5:$F$504)))</f>
        <v/>
      </c>
      <c r="K954" s="6">
        <f>IF(C954="","",IF(J954=0,"UNMAPPED",LOWER(INDEX(Mapping!$D$1:$D$504,J954))))</f>
        <v/>
      </c>
      <c r="L954" s="6">
        <f>IF(K954="mapped",TRIM(INDEX(Mapping!$C$1:$C$504,J954)),"")</f>
        <v/>
      </c>
      <c r="M954" s="6">
        <f>IF(C954="","",IF(SUMPRODUCT(($C$12:C954=C954)*1)=1,1,0))</f>
        <v/>
      </c>
      <c r="N954" s="6">
        <f>IF(AND(K954="UNMAPPED",M954=1),ROW(),"")</f>
        <v/>
      </c>
      <c r="O954" s="6">
        <f>IF(AND(I954=1,M954=1),ROW(),"")</f>
        <v/>
      </c>
      <c r="P954" s="6">
        <f>IF(AND(K954="ignored",M954=1),ROW(),"")</f>
        <v/>
      </c>
    </row>
    <row r="955">
      <c r="A955" s="8" t="n"/>
      <c r="B955" s="8" t="n"/>
      <c r="C955" s="6">
        <f>TRIM(A955&amp;"")</f>
        <v/>
      </c>
      <c r="D955" s="6">
        <f>IF(C955="","",SUBSTITUTE(SUBSTITUTE(SUBSTITUTE(SUBSTITUTE(SUBSTITUTE(SUBSTITUTE(SUBSTITUTE(UPPER(TRIM(B955&amp;"")),"₹",""),"RS.",""),"RS",""),"INR",""),"$",""),",","")," ",""))</f>
        <v/>
      </c>
      <c r="E955" s="6">
        <f>IF(C955="","",IF(RIGHT(D955,2)="CR","Cr",IF(RIGHT(D955,2)="DR","Dr","")))</f>
        <v/>
      </c>
      <c r="F955" s="6">
        <f>IF(C955="","",IF(E955&lt;&gt;"",LEFT(D955,LEN(D955)-2),D955))</f>
        <v/>
      </c>
      <c r="G955" s="13">
        <f>IF(C955="","",IF(OR(IF(AND(LEFT(F955,1)="(",RIGHT(F955,1)=")"),MID(F955,2,LEN(F955)-2),F955)="",IF(AND(LEFT(F955,1)="(",RIGHT(F955,1)=")"),MID(F955,2,LEN(F955)-2),F955)="-"),0,IFERROR(VALUE(IF(AND(LEFT(F955,1)="(",RIGHT(F955,1)=")"),MID(F955,2,LEN(F955)-2),F955))*IF(AND(LEFT(F955,1)="(",RIGHT(F955,1)=")"),-1,1)*IF(E955="Cr",Setup!$B$6,1),"ERR")))</f>
        <v/>
      </c>
      <c r="H955" s="6">
        <f>IF(C955="","",IF(ISNUMBER(G955),1,0))</f>
        <v/>
      </c>
      <c r="I955" s="6">
        <f>IF(C955="","",IF(SUMPRODUCT(($C$12:$C$1511=C955)*1)&gt;1,1,0))</f>
        <v/>
      </c>
      <c r="J955" s="6">
        <f>IF(C955="","",SUMPRODUCT((Mapping!$F$5:$F$504=Setup!$B$4&amp;"||"&amp;C955)*ROW(Mapping!$F$5:$F$504)))</f>
        <v/>
      </c>
      <c r="K955" s="6">
        <f>IF(C955="","",IF(J955=0,"UNMAPPED",LOWER(INDEX(Mapping!$D$1:$D$504,J955))))</f>
        <v/>
      </c>
      <c r="L955" s="6">
        <f>IF(K955="mapped",TRIM(INDEX(Mapping!$C$1:$C$504,J955)),"")</f>
        <v/>
      </c>
      <c r="M955" s="6">
        <f>IF(C955="","",IF(SUMPRODUCT(($C$12:C955=C955)*1)=1,1,0))</f>
        <v/>
      </c>
      <c r="N955" s="6">
        <f>IF(AND(K955="UNMAPPED",M955=1),ROW(),"")</f>
        <v/>
      </c>
      <c r="O955" s="6">
        <f>IF(AND(I955=1,M955=1),ROW(),"")</f>
        <v/>
      </c>
      <c r="P955" s="6">
        <f>IF(AND(K955="ignored",M955=1),ROW(),"")</f>
        <v/>
      </c>
    </row>
    <row r="956">
      <c r="A956" s="8" t="n"/>
      <c r="B956" s="8" t="n"/>
      <c r="C956" s="6">
        <f>TRIM(A956&amp;"")</f>
        <v/>
      </c>
      <c r="D956" s="6">
        <f>IF(C956="","",SUBSTITUTE(SUBSTITUTE(SUBSTITUTE(SUBSTITUTE(SUBSTITUTE(SUBSTITUTE(SUBSTITUTE(UPPER(TRIM(B956&amp;"")),"₹",""),"RS.",""),"RS",""),"INR",""),"$",""),",","")," ",""))</f>
        <v/>
      </c>
      <c r="E956" s="6">
        <f>IF(C956="","",IF(RIGHT(D956,2)="CR","Cr",IF(RIGHT(D956,2)="DR","Dr","")))</f>
        <v/>
      </c>
      <c r="F956" s="6">
        <f>IF(C956="","",IF(E956&lt;&gt;"",LEFT(D956,LEN(D956)-2),D956))</f>
        <v/>
      </c>
      <c r="G956" s="13">
        <f>IF(C956="","",IF(OR(IF(AND(LEFT(F956,1)="(",RIGHT(F956,1)=")"),MID(F956,2,LEN(F956)-2),F956)="",IF(AND(LEFT(F956,1)="(",RIGHT(F956,1)=")"),MID(F956,2,LEN(F956)-2),F956)="-"),0,IFERROR(VALUE(IF(AND(LEFT(F956,1)="(",RIGHT(F956,1)=")"),MID(F956,2,LEN(F956)-2),F956))*IF(AND(LEFT(F956,1)="(",RIGHT(F956,1)=")"),-1,1)*IF(E956="Cr",Setup!$B$6,1),"ERR")))</f>
        <v/>
      </c>
      <c r="H956" s="6">
        <f>IF(C956="","",IF(ISNUMBER(G956),1,0))</f>
        <v/>
      </c>
      <c r="I956" s="6">
        <f>IF(C956="","",IF(SUMPRODUCT(($C$12:$C$1511=C956)*1)&gt;1,1,0))</f>
        <v/>
      </c>
      <c r="J956" s="6">
        <f>IF(C956="","",SUMPRODUCT((Mapping!$F$5:$F$504=Setup!$B$4&amp;"||"&amp;C956)*ROW(Mapping!$F$5:$F$504)))</f>
        <v/>
      </c>
      <c r="K956" s="6">
        <f>IF(C956="","",IF(J956=0,"UNMAPPED",LOWER(INDEX(Mapping!$D$1:$D$504,J956))))</f>
        <v/>
      </c>
      <c r="L956" s="6">
        <f>IF(K956="mapped",TRIM(INDEX(Mapping!$C$1:$C$504,J956)),"")</f>
        <v/>
      </c>
      <c r="M956" s="6">
        <f>IF(C956="","",IF(SUMPRODUCT(($C$12:C956=C956)*1)=1,1,0))</f>
        <v/>
      </c>
      <c r="N956" s="6">
        <f>IF(AND(K956="UNMAPPED",M956=1),ROW(),"")</f>
        <v/>
      </c>
      <c r="O956" s="6">
        <f>IF(AND(I956=1,M956=1),ROW(),"")</f>
        <v/>
      </c>
      <c r="P956" s="6">
        <f>IF(AND(K956="ignored",M956=1),ROW(),"")</f>
        <v/>
      </c>
    </row>
    <row r="957">
      <c r="A957" s="8" t="n"/>
      <c r="B957" s="8" t="n"/>
      <c r="C957" s="6">
        <f>TRIM(A957&amp;"")</f>
        <v/>
      </c>
      <c r="D957" s="6">
        <f>IF(C957="","",SUBSTITUTE(SUBSTITUTE(SUBSTITUTE(SUBSTITUTE(SUBSTITUTE(SUBSTITUTE(SUBSTITUTE(UPPER(TRIM(B957&amp;"")),"₹",""),"RS.",""),"RS",""),"INR",""),"$",""),",","")," ",""))</f>
        <v/>
      </c>
      <c r="E957" s="6">
        <f>IF(C957="","",IF(RIGHT(D957,2)="CR","Cr",IF(RIGHT(D957,2)="DR","Dr","")))</f>
        <v/>
      </c>
      <c r="F957" s="6">
        <f>IF(C957="","",IF(E957&lt;&gt;"",LEFT(D957,LEN(D957)-2),D957))</f>
        <v/>
      </c>
      <c r="G957" s="13">
        <f>IF(C957="","",IF(OR(IF(AND(LEFT(F957,1)="(",RIGHT(F957,1)=")"),MID(F957,2,LEN(F957)-2),F957)="",IF(AND(LEFT(F957,1)="(",RIGHT(F957,1)=")"),MID(F957,2,LEN(F957)-2),F957)="-"),0,IFERROR(VALUE(IF(AND(LEFT(F957,1)="(",RIGHT(F957,1)=")"),MID(F957,2,LEN(F957)-2),F957))*IF(AND(LEFT(F957,1)="(",RIGHT(F957,1)=")"),-1,1)*IF(E957="Cr",Setup!$B$6,1),"ERR")))</f>
        <v/>
      </c>
      <c r="H957" s="6">
        <f>IF(C957="","",IF(ISNUMBER(G957),1,0))</f>
        <v/>
      </c>
      <c r="I957" s="6">
        <f>IF(C957="","",IF(SUMPRODUCT(($C$12:$C$1511=C957)*1)&gt;1,1,0))</f>
        <v/>
      </c>
      <c r="J957" s="6">
        <f>IF(C957="","",SUMPRODUCT((Mapping!$F$5:$F$504=Setup!$B$4&amp;"||"&amp;C957)*ROW(Mapping!$F$5:$F$504)))</f>
        <v/>
      </c>
      <c r="K957" s="6">
        <f>IF(C957="","",IF(J957=0,"UNMAPPED",LOWER(INDEX(Mapping!$D$1:$D$504,J957))))</f>
        <v/>
      </c>
      <c r="L957" s="6">
        <f>IF(K957="mapped",TRIM(INDEX(Mapping!$C$1:$C$504,J957)),"")</f>
        <v/>
      </c>
      <c r="M957" s="6">
        <f>IF(C957="","",IF(SUMPRODUCT(($C$12:C957=C957)*1)=1,1,0))</f>
        <v/>
      </c>
      <c r="N957" s="6">
        <f>IF(AND(K957="UNMAPPED",M957=1),ROW(),"")</f>
        <v/>
      </c>
      <c r="O957" s="6">
        <f>IF(AND(I957=1,M957=1),ROW(),"")</f>
        <v/>
      </c>
      <c r="P957" s="6">
        <f>IF(AND(K957="ignored",M957=1),ROW(),"")</f>
        <v/>
      </c>
    </row>
    <row r="958">
      <c r="A958" s="8" t="n"/>
      <c r="B958" s="8" t="n"/>
      <c r="C958" s="6">
        <f>TRIM(A958&amp;"")</f>
        <v/>
      </c>
      <c r="D958" s="6">
        <f>IF(C958="","",SUBSTITUTE(SUBSTITUTE(SUBSTITUTE(SUBSTITUTE(SUBSTITUTE(SUBSTITUTE(SUBSTITUTE(UPPER(TRIM(B958&amp;"")),"₹",""),"RS.",""),"RS",""),"INR",""),"$",""),",","")," ",""))</f>
        <v/>
      </c>
      <c r="E958" s="6">
        <f>IF(C958="","",IF(RIGHT(D958,2)="CR","Cr",IF(RIGHT(D958,2)="DR","Dr","")))</f>
        <v/>
      </c>
      <c r="F958" s="6">
        <f>IF(C958="","",IF(E958&lt;&gt;"",LEFT(D958,LEN(D958)-2),D958))</f>
        <v/>
      </c>
      <c r="G958" s="13">
        <f>IF(C958="","",IF(OR(IF(AND(LEFT(F958,1)="(",RIGHT(F958,1)=")"),MID(F958,2,LEN(F958)-2),F958)="",IF(AND(LEFT(F958,1)="(",RIGHT(F958,1)=")"),MID(F958,2,LEN(F958)-2),F958)="-"),0,IFERROR(VALUE(IF(AND(LEFT(F958,1)="(",RIGHT(F958,1)=")"),MID(F958,2,LEN(F958)-2),F958))*IF(AND(LEFT(F958,1)="(",RIGHT(F958,1)=")"),-1,1)*IF(E958="Cr",Setup!$B$6,1),"ERR")))</f>
        <v/>
      </c>
      <c r="H958" s="6">
        <f>IF(C958="","",IF(ISNUMBER(G958),1,0))</f>
        <v/>
      </c>
      <c r="I958" s="6">
        <f>IF(C958="","",IF(SUMPRODUCT(($C$12:$C$1511=C958)*1)&gt;1,1,0))</f>
        <v/>
      </c>
      <c r="J958" s="6">
        <f>IF(C958="","",SUMPRODUCT((Mapping!$F$5:$F$504=Setup!$B$4&amp;"||"&amp;C958)*ROW(Mapping!$F$5:$F$504)))</f>
        <v/>
      </c>
      <c r="K958" s="6">
        <f>IF(C958="","",IF(J958=0,"UNMAPPED",LOWER(INDEX(Mapping!$D$1:$D$504,J958))))</f>
        <v/>
      </c>
      <c r="L958" s="6">
        <f>IF(K958="mapped",TRIM(INDEX(Mapping!$C$1:$C$504,J958)),"")</f>
        <v/>
      </c>
      <c r="M958" s="6">
        <f>IF(C958="","",IF(SUMPRODUCT(($C$12:C958=C958)*1)=1,1,0))</f>
        <v/>
      </c>
      <c r="N958" s="6">
        <f>IF(AND(K958="UNMAPPED",M958=1),ROW(),"")</f>
        <v/>
      </c>
      <c r="O958" s="6">
        <f>IF(AND(I958=1,M958=1),ROW(),"")</f>
        <v/>
      </c>
      <c r="P958" s="6">
        <f>IF(AND(K958="ignored",M958=1),ROW(),"")</f>
        <v/>
      </c>
    </row>
    <row r="959">
      <c r="A959" s="8" t="n"/>
      <c r="B959" s="8" t="n"/>
      <c r="C959" s="6">
        <f>TRIM(A959&amp;"")</f>
        <v/>
      </c>
      <c r="D959" s="6">
        <f>IF(C959="","",SUBSTITUTE(SUBSTITUTE(SUBSTITUTE(SUBSTITUTE(SUBSTITUTE(SUBSTITUTE(SUBSTITUTE(UPPER(TRIM(B959&amp;"")),"₹",""),"RS.",""),"RS",""),"INR",""),"$",""),",","")," ",""))</f>
        <v/>
      </c>
      <c r="E959" s="6">
        <f>IF(C959="","",IF(RIGHT(D959,2)="CR","Cr",IF(RIGHT(D959,2)="DR","Dr","")))</f>
        <v/>
      </c>
      <c r="F959" s="6">
        <f>IF(C959="","",IF(E959&lt;&gt;"",LEFT(D959,LEN(D959)-2),D959))</f>
        <v/>
      </c>
      <c r="G959" s="13">
        <f>IF(C959="","",IF(OR(IF(AND(LEFT(F959,1)="(",RIGHT(F959,1)=")"),MID(F959,2,LEN(F959)-2),F959)="",IF(AND(LEFT(F959,1)="(",RIGHT(F959,1)=")"),MID(F959,2,LEN(F959)-2),F959)="-"),0,IFERROR(VALUE(IF(AND(LEFT(F959,1)="(",RIGHT(F959,1)=")"),MID(F959,2,LEN(F959)-2),F959))*IF(AND(LEFT(F959,1)="(",RIGHT(F959,1)=")"),-1,1)*IF(E959="Cr",Setup!$B$6,1),"ERR")))</f>
        <v/>
      </c>
      <c r="H959" s="6">
        <f>IF(C959="","",IF(ISNUMBER(G959),1,0))</f>
        <v/>
      </c>
      <c r="I959" s="6">
        <f>IF(C959="","",IF(SUMPRODUCT(($C$12:$C$1511=C959)*1)&gt;1,1,0))</f>
        <v/>
      </c>
      <c r="J959" s="6">
        <f>IF(C959="","",SUMPRODUCT((Mapping!$F$5:$F$504=Setup!$B$4&amp;"||"&amp;C959)*ROW(Mapping!$F$5:$F$504)))</f>
        <v/>
      </c>
      <c r="K959" s="6">
        <f>IF(C959="","",IF(J959=0,"UNMAPPED",LOWER(INDEX(Mapping!$D$1:$D$504,J959))))</f>
        <v/>
      </c>
      <c r="L959" s="6">
        <f>IF(K959="mapped",TRIM(INDEX(Mapping!$C$1:$C$504,J959)),"")</f>
        <v/>
      </c>
      <c r="M959" s="6">
        <f>IF(C959="","",IF(SUMPRODUCT(($C$12:C959=C959)*1)=1,1,0))</f>
        <v/>
      </c>
      <c r="N959" s="6">
        <f>IF(AND(K959="UNMAPPED",M959=1),ROW(),"")</f>
        <v/>
      </c>
      <c r="O959" s="6">
        <f>IF(AND(I959=1,M959=1),ROW(),"")</f>
        <v/>
      </c>
      <c r="P959" s="6">
        <f>IF(AND(K959="ignored",M959=1),ROW(),"")</f>
        <v/>
      </c>
    </row>
    <row r="960">
      <c r="A960" s="8" t="n"/>
      <c r="B960" s="8" t="n"/>
      <c r="C960" s="6">
        <f>TRIM(A960&amp;"")</f>
        <v/>
      </c>
      <c r="D960" s="6">
        <f>IF(C960="","",SUBSTITUTE(SUBSTITUTE(SUBSTITUTE(SUBSTITUTE(SUBSTITUTE(SUBSTITUTE(SUBSTITUTE(UPPER(TRIM(B960&amp;"")),"₹",""),"RS.",""),"RS",""),"INR",""),"$",""),",","")," ",""))</f>
        <v/>
      </c>
      <c r="E960" s="6">
        <f>IF(C960="","",IF(RIGHT(D960,2)="CR","Cr",IF(RIGHT(D960,2)="DR","Dr","")))</f>
        <v/>
      </c>
      <c r="F960" s="6">
        <f>IF(C960="","",IF(E960&lt;&gt;"",LEFT(D960,LEN(D960)-2),D960))</f>
        <v/>
      </c>
      <c r="G960" s="13">
        <f>IF(C960="","",IF(OR(IF(AND(LEFT(F960,1)="(",RIGHT(F960,1)=")"),MID(F960,2,LEN(F960)-2),F960)="",IF(AND(LEFT(F960,1)="(",RIGHT(F960,1)=")"),MID(F960,2,LEN(F960)-2),F960)="-"),0,IFERROR(VALUE(IF(AND(LEFT(F960,1)="(",RIGHT(F960,1)=")"),MID(F960,2,LEN(F960)-2),F960))*IF(AND(LEFT(F960,1)="(",RIGHT(F960,1)=")"),-1,1)*IF(E960="Cr",Setup!$B$6,1),"ERR")))</f>
        <v/>
      </c>
      <c r="H960" s="6">
        <f>IF(C960="","",IF(ISNUMBER(G960),1,0))</f>
        <v/>
      </c>
      <c r="I960" s="6">
        <f>IF(C960="","",IF(SUMPRODUCT(($C$12:$C$1511=C960)*1)&gt;1,1,0))</f>
        <v/>
      </c>
      <c r="J960" s="6">
        <f>IF(C960="","",SUMPRODUCT((Mapping!$F$5:$F$504=Setup!$B$4&amp;"||"&amp;C960)*ROW(Mapping!$F$5:$F$504)))</f>
        <v/>
      </c>
      <c r="K960" s="6">
        <f>IF(C960="","",IF(J960=0,"UNMAPPED",LOWER(INDEX(Mapping!$D$1:$D$504,J960))))</f>
        <v/>
      </c>
      <c r="L960" s="6">
        <f>IF(K960="mapped",TRIM(INDEX(Mapping!$C$1:$C$504,J960)),"")</f>
        <v/>
      </c>
      <c r="M960" s="6">
        <f>IF(C960="","",IF(SUMPRODUCT(($C$12:C960=C960)*1)=1,1,0))</f>
        <v/>
      </c>
      <c r="N960" s="6">
        <f>IF(AND(K960="UNMAPPED",M960=1),ROW(),"")</f>
        <v/>
      </c>
      <c r="O960" s="6">
        <f>IF(AND(I960=1,M960=1),ROW(),"")</f>
        <v/>
      </c>
      <c r="P960" s="6">
        <f>IF(AND(K960="ignored",M960=1),ROW(),"")</f>
        <v/>
      </c>
    </row>
    <row r="961">
      <c r="A961" s="8" t="n"/>
      <c r="B961" s="8" t="n"/>
      <c r="C961" s="6">
        <f>TRIM(A961&amp;"")</f>
        <v/>
      </c>
      <c r="D961" s="6">
        <f>IF(C961="","",SUBSTITUTE(SUBSTITUTE(SUBSTITUTE(SUBSTITUTE(SUBSTITUTE(SUBSTITUTE(SUBSTITUTE(UPPER(TRIM(B961&amp;"")),"₹",""),"RS.",""),"RS",""),"INR",""),"$",""),",","")," ",""))</f>
        <v/>
      </c>
      <c r="E961" s="6">
        <f>IF(C961="","",IF(RIGHT(D961,2)="CR","Cr",IF(RIGHT(D961,2)="DR","Dr","")))</f>
        <v/>
      </c>
      <c r="F961" s="6">
        <f>IF(C961="","",IF(E961&lt;&gt;"",LEFT(D961,LEN(D961)-2),D961))</f>
        <v/>
      </c>
      <c r="G961" s="13">
        <f>IF(C961="","",IF(OR(IF(AND(LEFT(F961,1)="(",RIGHT(F961,1)=")"),MID(F961,2,LEN(F961)-2),F961)="",IF(AND(LEFT(F961,1)="(",RIGHT(F961,1)=")"),MID(F961,2,LEN(F961)-2),F961)="-"),0,IFERROR(VALUE(IF(AND(LEFT(F961,1)="(",RIGHT(F961,1)=")"),MID(F961,2,LEN(F961)-2),F961))*IF(AND(LEFT(F961,1)="(",RIGHT(F961,1)=")"),-1,1)*IF(E961="Cr",Setup!$B$6,1),"ERR")))</f>
        <v/>
      </c>
      <c r="H961" s="6">
        <f>IF(C961="","",IF(ISNUMBER(G961),1,0))</f>
        <v/>
      </c>
      <c r="I961" s="6">
        <f>IF(C961="","",IF(SUMPRODUCT(($C$12:$C$1511=C961)*1)&gt;1,1,0))</f>
        <v/>
      </c>
      <c r="J961" s="6">
        <f>IF(C961="","",SUMPRODUCT((Mapping!$F$5:$F$504=Setup!$B$4&amp;"||"&amp;C961)*ROW(Mapping!$F$5:$F$504)))</f>
        <v/>
      </c>
      <c r="K961" s="6">
        <f>IF(C961="","",IF(J961=0,"UNMAPPED",LOWER(INDEX(Mapping!$D$1:$D$504,J961))))</f>
        <v/>
      </c>
      <c r="L961" s="6">
        <f>IF(K961="mapped",TRIM(INDEX(Mapping!$C$1:$C$504,J961)),"")</f>
        <v/>
      </c>
      <c r="M961" s="6">
        <f>IF(C961="","",IF(SUMPRODUCT(($C$12:C961=C961)*1)=1,1,0))</f>
        <v/>
      </c>
      <c r="N961" s="6">
        <f>IF(AND(K961="UNMAPPED",M961=1),ROW(),"")</f>
        <v/>
      </c>
      <c r="O961" s="6">
        <f>IF(AND(I961=1,M961=1),ROW(),"")</f>
        <v/>
      </c>
      <c r="P961" s="6">
        <f>IF(AND(K961="ignored",M961=1),ROW(),"")</f>
        <v/>
      </c>
    </row>
    <row r="962">
      <c r="A962" s="8" t="n"/>
      <c r="B962" s="8" t="n"/>
      <c r="C962" s="6">
        <f>TRIM(A962&amp;"")</f>
        <v/>
      </c>
      <c r="D962" s="6">
        <f>IF(C962="","",SUBSTITUTE(SUBSTITUTE(SUBSTITUTE(SUBSTITUTE(SUBSTITUTE(SUBSTITUTE(SUBSTITUTE(UPPER(TRIM(B962&amp;"")),"₹",""),"RS.",""),"RS",""),"INR",""),"$",""),",","")," ",""))</f>
        <v/>
      </c>
      <c r="E962" s="6">
        <f>IF(C962="","",IF(RIGHT(D962,2)="CR","Cr",IF(RIGHT(D962,2)="DR","Dr","")))</f>
        <v/>
      </c>
      <c r="F962" s="6">
        <f>IF(C962="","",IF(E962&lt;&gt;"",LEFT(D962,LEN(D962)-2),D962))</f>
        <v/>
      </c>
      <c r="G962" s="13">
        <f>IF(C962="","",IF(OR(IF(AND(LEFT(F962,1)="(",RIGHT(F962,1)=")"),MID(F962,2,LEN(F962)-2),F962)="",IF(AND(LEFT(F962,1)="(",RIGHT(F962,1)=")"),MID(F962,2,LEN(F962)-2),F962)="-"),0,IFERROR(VALUE(IF(AND(LEFT(F962,1)="(",RIGHT(F962,1)=")"),MID(F962,2,LEN(F962)-2),F962))*IF(AND(LEFT(F962,1)="(",RIGHT(F962,1)=")"),-1,1)*IF(E962="Cr",Setup!$B$6,1),"ERR")))</f>
        <v/>
      </c>
      <c r="H962" s="6">
        <f>IF(C962="","",IF(ISNUMBER(G962),1,0))</f>
        <v/>
      </c>
      <c r="I962" s="6">
        <f>IF(C962="","",IF(SUMPRODUCT(($C$12:$C$1511=C962)*1)&gt;1,1,0))</f>
        <v/>
      </c>
      <c r="J962" s="6">
        <f>IF(C962="","",SUMPRODUCT((Mapping!$F$5:$F$504=Setup!$B$4&amp;"||"&amp;C962)*ROW(Mapping!$F$5:$F$504)))</f>
        <v/>
      </c>
      <c r="K962" s="6">
        <f>IF(C962="","",IF(J962=0,"UNMAPPED",LOWER(INDEX(Mapping!$D$1:$D$504,J962))))</f>
        <v/>
      </c>
      <c r="L962" s="6">
        <f>IF(K962="mapped",TRIM(INDEX(Mapping!$C$1:$C$504,J962)),"")</f>
        <v/>
      </c>
      <c r="M962" s="6">
        <f>IF(C962="","",IF(SUMPRODUCT(($C$12:C962=C962)*1)=1,1,0))</f>
        <v/>
      </c>
      <c r="N962" s="6">
        <f>IF(AND(K962="UNMAPPED",M962=1),ROW(),"")</f>
        <v/>
      </c>
      <c r="O962" s="6">
        <f>IF(AND(I962=1,M962=1),ROW(),"")</f>
        <v/>
      </c>
      <c r="P962" s="6">
        <f>IF(AND(K962="ignored",M962=1),ROW(),"")</f>
        <v/>
      </c>
    </row>
    <row r="963">
      <c r="A963" s="8" t="n"/>
      <c r="B963" s="8" t="n"/>
      <c r="C963" s="6">
        <f>TRIM(A963&amp;"")</f>
        <v/>
      </c>
      <c r="D963" s="6">
        <f>IF(C963="","",SUBSTITUTE(SUBSTITUTE(SUBSTITUTE(SUBSTITUTE(SUBSTITUTE(SUBSTITUTE(SUBSTITUTE(UPPER(TRIM(B963&amp;"")),"₹",""),"RS.",""),"RS",""),"INR",""),"$",""),",","")," ",""))</f>
        <v/>
      </c>
      <c r="E963" s="6">
        <f>IF(C963="","",IF(RIGHT(D963,2)="CR","Cr",IF(RIGHT(D963,2)="DR","Dr","")))</f>
        <v/>
      </c>
      <c r="F963" s="6">
        <f>IF(C963="","",IF(E963&lt;&gt;"",LEFT(D963,LEN(D963)-2),D963))</f>
        <v/>
      </c>
      <c r="G963" s="13">
        <f>IF(C963="","",IF(OR(IF(AND(LEFT(F963,1)="(",RIGHT(F963,1)=")"),MID(F963,2,LEN(F963)-2),F963)="",IF(AND(LEFT(F963,1)="(",RIGHT(F963,1)=")"),MID(F963,2,LEN(F963)-2),F963)="-"),0,IFERROR(VALUE(IF(AND(LEFT(F963,1)="(",RIGHT(F963,1)=")"),MID(F963,2,LEN(F963)-2),F963))*IF(AND(LEFT(F963,1)="(",RIGHT(F963,1)=")"),-1,1)*IF(E963="Cr",Setup!$B$6,1),"ERR")))</f>
        <v/>
      </c>
      <c r="H963" s="6">
        <f>IF(C963="","",IF(ISNUMBER(G963),1,0))</f>
        <v/>
      </c>
      <c r="I963" s="6">
        <f>IF(C963="","",IF(SUMPRODUCT(($C$12:$C$1511=C963)*1)&gt;1,1,0))</f>
        <v/>
      </c>
      <c r="J963" s="6">
        <f>IF(C963="","",SUMPRODUCT((Mapping!$F$5:$F$504=Setup!$B$4&amp;"||"&amp;C963)*ROW(Mapping!$F$5:$F$504)))</f>
        <v/>
      </c>
      <c r="K963" s="6">
        <f>IF(C963="","",IF(J963=0,"UNMAPPED",LOWER(INDEX(Mapping!$D$1:$D$504,J963))))</f>
        <v/>
      </c>
      <c r="L963" s="6">
        <f>IF(K963="mapped",TRIM(INDEX(Mapping!$C$1:$C$504,J963)),"")</f>
        <v/>
      </c>
      <c r="M963" s="6">
        <f>IF(C963="","",IF(SUMPRODUCT(($C$12:C963=C963)*1)=1,1,0))</f>
        <v/>
      </c>
      <c r="N963" s="6">
        <f>IF(AND(K963="UNMAPPED",M963=1),ROW(),"")</f>
        <v/>
      </c>
      <c r="O963" s="6">
        <f>IF(AND(I963=1,M963=1),ROW(),"")</f>
        <v/>
      </c>
      <c r="P963" s="6">
        <f>IF(AND(K963="ignored",M963=1),ROW(),"")</f>
        <v/>
      </c>
    </row>
    <row r="964">
      <c r="A964" s="8" t="n"/>
      <c r="B964" s="8" t="n"/>
      <c r="C964" s="6">
        <f>TRIM(A964&amp;"")</f>
        <v/>
      </c>
      <c r="D964" s="6">
        <f>IF(C964="","",SUBSTITUTE(SUBSTITUTE(SUBSTITUTE(SUBSTITUTE(SUBSTITUTE(SUBSTITUTE(SUBSTITUTE(UPPER(TRIM(B964&amp;"")),"₹",""),"RS.",""),"RS",""),"INR",""),"$",""),",","")," ",""))</f>
        <v/>
      </c>
      <c r="E964" s="6">
        <f>IF(C964="","",IF(RIGHT(D964,2)="CR","Cr",IF(RIGHT(D964,2)="DR","Dr","")))</f>
        <v/>
      </c>
      <c r="F964" s="6">
        <f>IF(C964="","",IF(E964&lt;&gt;"",LEFT(D964,LEN(D964)-2),D964))</f>
        <v/>
      </c>
      <c r="G964" s="13">
        <f>IF(C964="","",IF(OR(IF(AND(LEFT(F964,1)="(",RIGHT(F964,1)=")"),MID(F964,2,LEN(F964)-2),F964)="",IF(AND(LEFT(F964,1)="(",RIGHT(F964,1)=")"),MID(F964,2,LEN(F964)-2),F964)="-"),0,IFERROR(VALUE(IF(AND(LEFT(F964,1)="(",RIGHT(F964,1)=")"),MID(F964,2,LEN(F964)-2),F964))*IF(AND(LEFT(F964,1)="(",RIGHT(F964,1)=")"),-1,1)*IF(E964="Cr",Setup!$B$6,1),"ERR")))</f>
        <v/>
      </c>
      <c r="H964" s="6">
        <f>IF(C964="","",IF(ISNUMBER(G964),1,0))</f>
        <v/>
      </c>
      <c r="I964" s="6">
        <f>IF(C964="","",IF(SUMPRODUCT(($C$12:$C$1511=C964)*1)&gt;1,1,0))</f>
        <v/>
      </c>
      <c r="J964" s="6">
        <f>IF(C964="","",SUMPRODUCT((Mapping!$F$5:$F$504=Setup!$B$4&amp;"||"&amp;C964)*ROW(Mapping!$F$5:$F$504)))</f>
        <v/>
      </c>
      <c r="K964" s="6">
        <f>IF(C964="","",IF(J964=0,"UNMAPPED",LOWER(INDEX(Mapping!$D$1:$D$504,J964))))</f>
        <v/>
      </c>
      <c r="L964" s="6">
        <f>IF(K964="mapped",TRIM(INDEX(Mapping!$C$1:$C$504,J964)),"")</f>
        <v/>
      </c>
      <c r="M964" s="6">
        <f>IF(C964="","",IF(SUMPRODUCT(($C$12:C964=C964)*1)=1,1,0))</f>
        <v/>
      </c>
      <c r="N964" s="6">
        <f>IF(AND(K964="UNMAPPED",M964=1),ROW(),"")</f>
        <v/>
      </c>
      <c r="O964" s="6">
        <f>IF(AND(I964=1,M964=1),ROW(),"")</f>
        <v/>
      </c>
      <c r="P964" s="6">
        <f>IF(AND(K964="ignored",M964=1),ROW(),"")</f>
        <v/>
      </c>
    </row>
    <row r="965">
      <c r="A965" s="8" t="n"/>
      <c r="B965" s="8" t="n"/>
      <c r="C965" s="6">
        <f>TRIM(A965&amp;"")</f>
        <v/>
      </c>
      <c r="D965" s="6">
        <f>IF(C965="","",SUBSTITUTE(SUBSTITUTE(SUBSTITUTE(SUBSTITUTE(SUBSTITUTE(SUBSTITUTE(SUBSTITUTE(UPPER(TRIM(B965&amp;"")),"₹",""),"RS.",""),"RS",""),"INR",""),"$",""),",","")," ",""))</f>
        <v/>
      </c>
      <c r="E965" s="6">
        <f>IF(C965="","",IF(RIGHT(D965,2)="CR","Cr",IF(RIGHT(D965,2)="DR","Dr","")))</f>
        <v/>
      </c>
      <c r="F965" s="6">
        <f>IF(C965="","",IF(E965&lt;&gt;"",LEFT(D965,LEN(D965)-2),D965))</f>
        <v/>
      </c>
      <c r="G965" s="13">
        <f>IF(C965="","",IF(OR(IF(AND(LEFT(F965,1)="(",RIGHT(F965,1)=")"),MID(F965,2,LEN(F965)-2),F965)="",IF(AND(LEFT(F965,1)="(",RIGHT(F965,1)=")"),MID(F965,2,LEN(F965)-2),F965)="-"),0,IFERROR(VALUE(IF(AND(LEFT(F965,1)="(",RIGHT(F965,1)=")"),MID(F965,2,LEN(F965)-2),F965))*IF(AND(LEFT(F965,1)="(",RIGHT(F965,1)=")"),-1,1)*IF(E965="Cr",Setup!$B$6,1),"ERR")))</f>
        <v/>
      </c>
      <c r="H965" s="6">
        <f>IF(C965="","",IF(ISNUMBER(G965),1,0))</f>
        <v/>
      </c>
      <c r="I965" s="6">
        <f>IF(C965="","",IF(SUMPRODUCT(($C$12:$C$1511=C965)*1)&gt;1,1,0))</f>
        <v/>
      </c>
      <c r="J965" s="6">
        <f>IF(C965="","",SUMPRODUCT((Mapping!$F$5:$F$504=Setup!$B$4&amp;"||"&amp;C965)*ROW(Mapping!$F$5:$F$504)))</f>
        <v/>
      </c>
      <c r="K965" s="6">
        <f>IF(C965="","",IF(J965=0,"UNMAPPED",LOWER(INDEX(Mapping!$D$1:$D$504,J965))))</f>
        <v/>
      </c>
      <c r="L965" s="6">
        <f>IF(K965="mapped",TRIM(INDEX(Mapping!$C$1:$C$504,J965)),"")</f>
        <v/>
      </c>
      <c r="M965" s="6">
        <f>IF(C965="","",IF(SUMPRODUCT(($C$12:C965=C965)*1)=1,1,0))</f>
        <v/>
      </c>
      <c r="N965" s="6">
        <f>IF(AND(K965="UNMAPPED",M965=1),ROW(),"")</f>
        <v/>
      </c>
      <c r="O965" s="6">
        <f>IF(AND(I965=1,M965=1),ROW(),"")</f>
        <v/>
      </c>
      <c r="P965" s="6">
        <f>IF(AND(K965="ignored",M965=1),ROW(),"")</f>
        <v/>
      </c>
    </row>
    <row r="966">
      <c r="A966" s="8" t="n"/>
      <c r="B966" s="8" t="n"/>
      <c r="C966" s="6">
        <f>TRIM(A966&amp;"")</f>
        <v/>
      </c>
      <c r="D966" s="6">
        <f>IF(C966="","",SUBSTITUTE(SUBSTITUTE(SUBSTITUTE(SUBSTITUTE(SUBSTITUTE(SUBSTITUTE(SUBSTITUTE(UPPER(TRIM(B966&amp;"")),"₹",""),"RS.",""),"RS",""),"INR",""),"$",""),",","")," ",""))</f>
        <v/>
      </c>
      <c r="E966" s="6">
        <f>IF(C966="","",IF(RIGHT(D966,2)="CR","Cr",IF(RIGHT(D966,2)="DR","Dr","")))</f>
        <v/>
      </c>
      <c r="F966" s="6">
        <f>IF(C966="","",IF(E966&lt;&gt;"",LEFT(D966,LEN(D966)-2),D966))</f>
        <v/>
      </c>
      <c r="G966" s="13">
        <f>IF(C966="","",IF(OR(IF(AND(LEFT(F966,1)="(",RIGHT(F966,1)=")"),MID(F966,2,LEN(F966)-2),F966)="",IF(AND(LEFT(F966,1)="(",RIGHT(F966,1)=")"),MID(F966,2,LEN(F966)-2),F966)="-"),0,IFERROR(VALUE(IF(AND(LEFT(F966,1)="(",RIGHT(F966,1)=")"),MID(F966,2,LEN(F966)-2),F966))*IF(AND(LEFT(F966,1)="(",RIGHT(F966,1)=")"),-1,1)*IF(E966="Cr",Setup!$B$6,1),"ERR")))</f>
        <v/>
      </c>
      <c r="H966" s="6">
        <f>IF(C966="","",IF(ISNUMBER(G966),1,0))</f>
        <v/>
      </c>
      <c r="I966" s="6">
        <f>IF(C966="","",IF(SUMPRODUCT(($C$12:$C$1511=C966)*1)&gt;1,1,0))</f>
        <v/>
      </c>
      <c r="J966" s="6">
        <f>IF(C966="","",SUMPRODUCT((Mapping!$F$5:$F$504=Setup!$B$4&amp;"||"&amp;C966)*ROW(Mapping!$F$5:$F$504)))</f>
        <v/>
      </c>
      <c r="K966" s="6">
        <f>IF(C966="","",IF(J966=0,"UNMAPPED",LOWER(INDEX(Mapping!$D$1:$D$504,J966))))</f>
        <v/>
      </c>
      <c r="L966" s="6">
        <f>IF(K966="mapped",TRIM(INDEX(Mapping!$C$1:$C$504,J966)),"")</f>
        <v/>
      </c>
      <c r="M966" s="6">
        <f>IF(C966="","",IF(SUMPRODUCT(($C$12:C966=C966)*1)=1,1,0))</f>
        <v/>
      </c>
      <c r="N966" s="6">
        <f>IF(AND(K966="UNMAPPED",M966=1),ROW(),"")</f>
        <v/>
      </c>
      <c r="O966" s="6">
        <f>IF(AND(I966=1,M966=1),ROW(),"")</f>
        <v/>
      </c>
      <c r="P966" s="6">
        <f>IF(AND(K966="ignored",M966=1),ROW(),"")</f>
        <v/>
      </c>
    </row>
    <row r="967">
      <c r="A967" s="8" t="n"/>
      <c r="B967" s="8" t="n"/>
      <c r="C967" s="6">
        <f>TRIM(A967&amp;"")</f>
        <v/>
      </c>
      <c r="D967" s="6">
        <f>IF(C967="","",SUBSTITUTE(SUBSTITUTE(SUBSTITUTE(SUBSTITUTE(SUBSTITUTE(SUBSTITUTE(SUBSTITUTE(UPPER(TRIM(B967&amp;"")),"₹",""),"RS.",""),"RS",""),"INR",""),"$",""),",","")," ",""))</f>
        <v/>
      </c>
      <c r="E967" s="6">
        <f>IF(C967="","",IF(RIGHT(D967,2)="CR","Cr",IF(RIGHT(D967,2)="DR","Dr","")))</f>
        <v/>
      </c>
      <c r="F967" s="6">
        <f>IF(C967="","",IF(E967&lt;&gt;"",LEFT(D967,LEN(D967)-2),D967))</f>
        <v/>
      </c>
      <c r="G967" s="13">
        <f>IF(C967="","",IF(OR(IF(AND(LEFT(F967,1)="(",RIGHT(F967,1)=")"),MID(F967,2,LEN(F967)-2),F967)="",IF(AND(LEFT(F967,1)="(",RIGHT(F967,1)=")"),MID(F967,2,LEN(F967)-2),F967)="-"),0,IFERROR(VALUE(IF(AND(LEFT(F967,1)="(",RIGHT(F967,1)=")"),MID(F967,2,LEN(F967)-2),F967))*IF(AND(LEFT(F967,1)="(",RIGHT(F967,1)=")"),-1,1)*IF(E967="Cr",Setup!$B$6,1),"ERR")))</f>
        <v/>
      </c>
      <c r="H967" s="6">
        <f>IF(C967="","",IF(ISNUMBER(G967),1,0))</f>
        <v/>
      </c>
      <c r="I967" s="6">
        <f>IF(C967="","",IF(SUMPRODUCT(($C$12:$C$1511=C967)*1)&gt;1,1,0))</f>
        <v/>
      </c>
      <c r="J967" s="6">
        <f>IF(C967="","",SUMPRODUCT((Mapping!$F$5:$F$504=Setup!$B$4&amp;"||"&amp;C967)*ROW(Mapping!$F$5:$F$504)))</f>
        <v/>
      </c>
      <c r="K967" s="6">
        <f>IF(C967="","",IF(J967=0,"UNMAPPED",LOWER(INDEX(Mapping!$D$1:$D$504,J967))))</f>
        <v/>
      </c>
      <c r="L967" s="6">
        <f>IF(K967="mapped",TRIM(INDEX(Mapping!$C$1:$C$504,J967)),"")</f>
        <v/>
      </c>
      <c r="M967" s="6">
        <f>IF(C967="","",IF(SUMPRODUCT(($C$12:C967=C967)*1)=1,1,0))</f>
        <v/>
      </c>
      <c r="N967" s="6">
        <f>IF(AND(K967="UNMAPPED",M967=1),ROW(),"")</f>
        <v/>
      </c>
      <c r="O967" s="6">
        <f>IF(AND(I967=1,M967=1),ROW(),"")</f>
        <v/>
      </c>
      <c r="P967" s="6">
        <f>IF(AND(K967="ignored",M967=1),ROW(),"")</f>
        <v/>
      </c>
    </row>
    <row r="968">
      <c r="A968" s="8" t="n"/>
      <c r="B968" s="8" t="n"/>
      <c r="C968" s="6">
        <f>TRIM(A968&amp;"")</f>
        <v/>
      </c>
      <c r="D968" s="6">
        <f>IF(C968="","",SUBSTITUTE(SUBSTITUTE(SUBSTITUTE(SUBSTITUTE(SUBSTITUTE(SUBSTITUTE(SUBSTITUTE(UPPER(TRIM(B968&amp;"")),"₹",""),"RS.",""),"RS",""),"INR",""),"$",""),",","")," ",""))</f>
        <v/>
      </c>
      <c r="E968" s="6">
        <f>IF(C968="","",IF(RIGHT(D968,2)="CR","Cr",IF(RIGHT(D968,2)="DR","Dr","")))</f>
        <v/>
      </c>
      <c r="F968" s="6">
        <f>IF(C968="","",IF(E968&lt;&gt;"",LEFT(D968,LEN(D968)-2),D968))</f>
        <v/>
      </c>
      <c r="G968" s="13">
        <f>IF(C968="","",IF(OR(IF(AND(LEFT(F968,1)="(",RIGHT(F968,1)=")"),MID(F968,2,LEN(F968)-2),F968)="",IF(AND(LEFT(F968,1)="(",RIGHT(F968,1)=")"),MID(F968,2,LEN(F968)-2),F968)="-"),0,IFERROR(VALUE(IF(AND(LEFT(F968,1)="(",RIGHT(F968,1)=")"),MID(F968,2,LEN(F968)-2),F968))*IF(AND(LEFT(F968,1)="(",RIGHT(F968,1)=")"),-1,1)*IF(E968="Cr",Setup!$B$6,1),"ERR")))</f>
        <v/>
      </c>
      <c r="H968" s="6">
        <f>IF(C968="","",IF(ISNUMBER(G968),1,0))</f>
        <v/>
      </c>
      <c r="I968" s="6">
        <f>IF(C968="","",IF(SUMPRODUCT(($C$12:$C$1511=C968)*1)&gt;1,1,0))</f>
        <v/>
      </c>
      <c r="J968" s="6">
        <f>IF(C968="","",SUMPRODUCT((Mapping!$F$5:$F$504=Setup!$B$4&amp;"||"&amp;C968)*ROW(Mapping!$F$5:$F$504)))</f>
        <v/>
      </c>
      <c r="K968" s="6">
        <f>IF(C968="","",IF(J968=0,"UNMAPPED",LOWER(INDEX(Mapping!$D$1:$D$504,J968))))</f>
        <v/>
      </c>
      <c r="L968" s="6">
        <f>IF(K968="mapped",TRIM(INDEX(Mapping!$C$1:$C$504,J968)),"")</f>
        <v/>
      </c>
      <c r="M968" s="6">
        <f>IF(C968="","",IF(SUMPRODUCT(($C$12:C968=C968)*1)=1,1,0))</f>
        <v/>
      </c>
      <c r="N968" s="6">
        <f>IF(AND(K968="UNMAPPED",M968=1),ROW(),"")</f>
        <v/>
      </c>
      <c r="O968" s="6">
        <f>IF(AND(I968=1,M968=1),ROW(),"")</f>
        <v/>
      </c>
      <c r="P968" s="6">
        <f>IF(AND(K968="ignored",M968=1),ROW(),"")</f>
        <v/>
      </c>
    </row>
    <row r="969">
      <c r="A969" s="8" t="n"/>
      <c r="B969" s="8" t="n"/>
      <c r="C969" s="6">
        <f>TRIM(A969&amp;"")</f>
        <v/>
      </c>
      <c r="D969" s="6">
        <f>IF(C969="","",SUBSTITUTE(SUBSTITUTE(SUBSTITUTE(SUBSTITUTE(SUBSTITUTE(SUBSTITUTE(SUBSTITUTE(UPPER(TRIM(B969&amp;"")),"₹",""),"RS.",""),"RS",""),"INR",""),"$",""),",","")," ",""))</f>
        <v/>
      </c>
      <c r="E969" s="6">
        <f>IF(C969="","",IF(RIGHT(D969,2)="CR","Cr",IF(RIGHT(D969,2)="DR","Dr","")))</f>
        <v/>
      </c>
      <c r="F969" s="6">
        <f>IF(C969="","",IF(E969&lt;&gt;"",LEFT(D969,LEN(D969)-2),D969))</f>
        <v/>
      </c>
      <c r="G969" s="13">
        <f>IF(C969="","",IF(OR(IF(AND(LEFT(F969,1)="(",RIGHT(F969,1)=")"),MID(F969,2,LEN(F969)-2),F969)="",IF(AND(LEFT(F969,1)="(",RIGHT(F969,1)=")"),MID(F969,2,LEN(F969)-2),F969)="-"),0,IFERROR(VALUE(IF(AND(LEFT(F969,1)="(",RIGHT(F969,1)=")"),MID(F969,2,LEN(F969)-2),F969))*IF(AND(LEFT(F969,1)="(",RIGHT(F969,1)=")"),-1,1)*IF(E969="Cr",Setup!$B$6,1),"ERR")))</f>
        <v/>
      </c>
      <c r="H969" s="6">
        <f>IF(C969="","",IF(ISNUMBER(G969),1,0))</f>
        <v/>
      </c>
      <c r="I969" s="6">
        <f>IF(C969="","",IF(SUMPRODUCT(($C$12:$C$1511=C969)*1)&gt;1,1,0))</f>
        <v/>
      </c>
      <c r="J969" s="6">
        <f>IF(C969="","",SUMPRODUCT((Mapping!$F$5:$F$504=Setup!$B$4&amp;"||"&amp;C969)*ROW(Mapping!$F$5:$F$504)))</f>
        <v/>
      </c>
      <c r="K969" s="6">
        <f>IF(C969="","",IF(J969=0,"UNMAPPED",LOWER(INDEX(Mapping!$D$1:$D$504,J969))))</f>
        <v/>
      </c>
      <c r="L969" s="6">
        <f>IF(K969="mapped",TRIM(INDEX(Mapping!$C$1:$C$504,J969)),"")</f>
        <v/>
      </c>
      <c r="M969" s="6">
        <f>IF(C969="","",IF(SUMPRODUCT(($C$12:C969=C969)*1)=1,1,0))</f>
        <v/>
      </c>
      <c r="N969" s="6">
        <f>IF(AND(K969="UNMAPPED",M969=1),ROW(),"")</f>
        <v/>
      </c>
      <c r="O969" s="6">
        <f>IF(AND(I969=1,M969=1),ROW(),"")</f>
        <v/>
      </c>
      <c r="P969" s="6">
        <f>IF(AND(K969="ignored",M969=1),ROW(),"")</f>
        <v/>
      </c>
    </row>
    <row r="970">
      <c r="A970" s="8" t="n"/>
      <c r="B970" s="8" t="n"/>
      <c r="C970" s="6">
        <f>TRIM(A970&amp;"")</f>
        <v/>
      </c>
      <c r="D970" s="6">
        <f>IF(C970="","",SUBSTITUTE(SUBSTITUTE(SUBSTITUTE(SUBSTITUTE(SUBSTITUTE(SUBSTITUTE(SUBSTITUTE(UPPER(TRIM(B970&amp;"")),"₹",""),"RS.",""),"RS",""),"INR",""),"$",""),",","")," ",""))</f>
        <v/>
      </c>
      <c r="E970" s="6">
        <f>IF(C970="","",IF(RIGHT(D970,2)="CR","Cr",IF(RIGHT(D970,2)="DR","Dr","")))</f>
        <v/>
      </c>
      <c r="F970" s="6">
        <f>IF(C970="","",IF(E970&lt;&gt;"",LEFT(D970,LEN(D970)-2),D970))</f>
        <v/>
      </c>
      <c r="G970" s="13">
        <f>IF(C970="","",IF(OR(IF(AND(LEFT(F970,1)="(",RIGHT(F970,1)=")"),MID(F970,2,LEN(F970)-2),F970)="",IF(AND(LEFT(F970,1)="(",RIGHT(F970,1)=")"),MID(F970,2,LEN(F970)-2),F970)="-"),0,IFERROR(VALUE(IF(AND(LEFT(F970,1)="(",RIGHT(F970,1)=")"),MID(F970,2,LEN(F970)-2),F970))*IF(AND(LEFT(F970,1)="(",RIGHT(F970,1)=")"),-1,1)*IF(E970="Cr",Setup!$B$6,1),"ERR")))</f>
        <v/>
      </c>
      <c r="H970" s="6">
        <f>IF(C970="","",IF(ISNUMBER(G970),1,0))</f>
        <v/>
      </c>
      <c r="I970" s="6">
        <f>IF(C970="","",IF(SUMPRODUCT(($C$12:$C$1511=C970)*1)&gt;1,1,0))</f>
        <v/>
      </c>
      <c r="J970" s="6">
        <f>IF(C970="","",SUMPRODUCT((Mapping!$F$5:$F$504=Setup!$B$4&amp;"||"&amp;C970)*ROW(Mapping!$F$5:$F$504)))</f>
        <v/>
      </c>
      <c r="K970" s="6">
        <f>IF(C970="","",IF(J970=0,"UNMAPPED",LOWER(INDEX(Mapping!$D$1:$D$504,J970))))</f>
        <v/>
      </c>
      <c r="L970" s="6">
        <f>IF(K970="mapped",TRIM(INDEX(Mapping!$C$1:$C$504,J970)),"")</f>
        <v/>
      </c>
      <c r="M970" s="6">
        <f>IF(C970="","",IF(SUMPRODUCT(($C$12:C970=C970)*1)=1,1,0))</f>
        <v/>
      </c>
      <c r="N970" s="6">
        <f>IF(AND(K970="UNMAPPED",M970=1),ROW(),"")</f>
        <v/>
      </c>
      <c r="O970" s="6">
        <f>IF(AND(I970=1,M970=1),ROW(),"")</f>
        <v/>
      </c>
      <c r="P970" s="6">
        <f>IF(AND(K970="ignored",M970=1),ROW(),"")</f>
        <v/>
      </c>
    </row>
    <row r="971">
      <c r="A971" s="8" t="n"/>
      <c r="B971" s="8" t="n"/>
      <c r="C971" s="6">
        <f>TRIM(A971&amp;"")</f>
        <v/>
      </c>
      <c r="D971" s="6">
        <f>IF(C971="","",SUBSTITUTE(SUBSTITUTE(SUBSTITUTE(SUBSTITUTE(SUBSTITUTE(SUBSTITUTE(SUBSTITUTE(UPPER(TRIM(B971&amp;"")),"₹",""),"RS.",""),"RS",""),"INR",""),"$",""),",","")," ",""))</f>
        <v/>
      </c>
      <c r="E971" s="6">
        <f>IF(C971="","",IF(RIGHT(D971,2)="CR","Cr",IF(RIGHT(D971,2)="DR","Dr","")))</f>
        <v/>
      </c>
      <c r="F971" s="6">
        <f>IF(C971="","",IF(E971&lt;&gt;"",LEFT(D971,LEN(D971)-2),D971))</f>
        <v/>
      </c>
      <c r="G971" s="13">
        <f>IF(C971="","",IF(OR(IF(AND(LEFT(F971,1)="(",RIGHT(F971,1)=")"),MID(F971,2,LEN(F971)-2),F971)="",IF(AND(LEFT(F971,1)="(",RIGHT(F971,1)=")"),MID(F971,2,LEN(F971)-2),F971)="-"),0,IFERROR(VALUE(IF(AND(LEFT(F971,1)="(",RIGHT(F971,1)=")"),MID(F971,2,LEN(F971)-2),F971))*IF(AND(LEFT(F971,1)="(",RIGHT(F971,1)=")"),-1,1)*IF(E971="Cr",Setup!$B$6,1),"ERR")))</f>
        <v/>
      </c>
      <c r="H971" s="6">
        <f>IF(C971="","",IF(ISNUMBER(G971),1,0))</f>
        <v/>
      </c>
      <c r="I971" s="6">
        <f>IF(C971="","",IF(SUMPRODUCT(($C$12:$C$1511=C971)*1)&gt;1,1,0))</f>
        <v/>
      </c>
      <c r="J971" s="6">
        <f>IF(C971="","",SUMPRODUCT((Mapping!$F$5:$F$504=Setup!$B$4&amp;"||"&amp;C971)*ROW(Mapping!$F$5:$F$504)))</f>
        <v/>
      </c>
      <c r="K971" s="6">
        <f>IF(C971="","",IF(J971=0,"UNMAPPED",LOWER(INDEX(Mapping!$D$1:$D$504,J971))))</f>
        <v/>
      </c>
      <c r="L971" s="6">
        <f>IF(K971="mapped",TRIM(INDEX(Mapping!$C$1:$C$504,J971)),"")</f>
        <v/>
      </c>
      <c r="M971" s="6">
        <f>IF(C971="","",IF(SUMPRODUCT(($C$12:C971=C971)*1)=1,1,0))</f>
        <v/>
      </c>
      <c r="N971" s="6">
        <f>IF(AND(K971="UNMAPPED",M971=1),ROW(),"")</f>
        <v/>
      </c>
      <c r="O971" s="6">
        <f>IF(AND(I971=1,M971=1),ROW(),"")</f>
        <v/>
      </c>
      <c r="P971" s="6">
        <f>IF(AND(K971="ignored",M971=1),ROW(),"")</f>
        <v/>
      </c>
    </row>
    <row r="972">
      <c r="A972" s="8" t="n"/>
      <c r="B972" s="8" t="n"/>
      <c r="C972" s="6">
        <f>TRIM(A972&amp;"")</f>
        <v/>
      </c>
      <c r="D972" s="6">
        <f>IF(C972="","",SUBSTITUTE(SUBSTITUTE(SUBSTITUTE(SUBSTITUTE(SUBSTITUTE(SUBSTITUTE(SUBSTITUTE(UPPER(TRIM(B972&amp;"")),"₹",""),"RS.",""),"RS",""),"INR",""),"$",""),",","")," ",""))</f>
        <v/>
      </c>
      <c r="E972" s="6">
        <f>IF(C972="","",IF(RIGHT(D972,2)="CR","Cr",IF(RIGHT(D972,2)="DR","Dr","")))</f>
        <v/>
      </c>
      <c r="F972" s="6">
        <f>IF(C972="","",IF(E972&lt;&gt;"",LEFT(D972,LEN(D972)-2),D972))</f>
        <v/>
      </c>
      <c r="G972" s="13">
        <f>IF(C972="","",IF(OR(IF(AND(LEFT(F972,1)="(",RIGHT(F972,1)=")"),MID(F972,2,LEN(F972)-2),F972)="",IF(AND(LEFT(F972,1)="(",RIGHT(F972,1)=")"),MID(F972,2,LEN(F972)-2),F972)="-"),0,IFERROR(VALUE(IF(AND(LEFT(F972,1)="(",RIGHT(F972,1)=")"),MID(F972,2,LEN(F972)-2),F972))*IF(AND(LEFT(F972,1)="(",RIGHT(F972,1)=")"),-1,1)*IF(E972="Cr",Setup!$B$6,1),"ERR")))</f>
        <v/>
      </c>
      <c r="H972" s="6">
        <f>IF(C972="","",IF(ISNUMBER(G972),1,0))</f>
        <v/>
      </c>
      <c r="I972" s="6">
        <f>IF(C972="","",IF(SUMPRODUCT(($C$12:$C$1511=C972)*1)&gt;1,1,0))</f>
        <v/>
      </c>
      <c r="J972" s="6">
        <f>IF(C972="","",SUMPRODUCT((Mapping!$F$5:$F$504=Setup!$B$4&amp;"||"&amp;C972)*ROW(Mapping!$F$5:$F$504)))</f>
        <v/>
      </c>
      <c r="K972" s="6">
        <f>IF(C972="","",IF(J972=0,"UNMAPPED",LOWER(INDEX(Mapping!$D$1:$D$504,J972))))</f>
        <v/>
      </c>
      <c r="L972" s="6">
        <f>IF(K972="mapped",TRIM(INDEX(Mapping!$C$1:$C$504,J972)),"")</f>
        <v/>
      </c>
      <c r="M972" s="6">
        <f>IF(C972="","",IF(SUMPRODUCT(($C$12:C972=C972)*1)=1,1,0))</f>
        <v/>
      </c>
      <c r="N972" s="6">
        <f>IF(AND(K972="UNMAPPED",M972=1),ROW(),"")</f>
        <v/>
      </c>
      <c r="O972" s="6">
        <f>IF(AND(I972=1,M972=1),ROW(),"")</f>
        <v/>
      </c>
      <c r="P972" s="6">
        <f>IF(AND(K972="ignored",M972=1),ROW(),"")</f>
        <v/>
      </c>
    </row>
    <row r="973">
      <c r="A973" s="8" t="n"/>
      <c r="B973" s="8" t="n"/>
      <c r="C973" s="6">
        <f>TRIM(A973&amp;"")</f>
        <v/>
      </c>
      <c r="D973" s="6">
        <f>IF(C973="","",SUBSTITUTE(SUBSTITUTE(SUBSTITUTE(SUBSTITUTE(SUBSTITUTE(SUBSTITUTE(SUBSTITUTE(UPPER(TRIM(B973&amp;"")),"₹",""),"RS.",""),"RS",""),"INR",""),"$",""),",","")," ",""))</f>
        <v/>
      </c>
      <c r="E973" s="6">
        <f>IF(C973="","",IF(RIGHT(D973,2)="CR","Cr",IF(RIGHT(D973,2)="DR","Dr","")))</f>
        <v/>
      </c>
      <c r="F973" s="6">
        <f>IF(C973="","",IF(E973&lt;&gt;"",LEFT(D973,LEN(D973)-2),D973))</f>
        <v/>
      </c>
      <c r="G973" s="13">
        <f>IF(C973="","",IF(OR(IF(AND(LEFT(F973,1)="(",RIGHT(F973,1)=")"),MID(F973,2,LEN(F973)-2),F973)="",IF(AND(LEFT(F973,1)="(",RIGHT(F973,1)=")"),MID(F973,2,LEN(F973)-2),F973)="-"),0,IFERROR(VALUE(IF(AND(LEFT(F973,1)="(",RIGHT(F973,1)=")"),MID(F973,2,LEN(F973)-2),F973))*IF(AND(LEFT(F973,1)="(",RIGHT(F973,1)=")"),-1,1)*IF(E973="Cr",Setup!$B$6,1),"ERR")))</f>
        <v/>
      </c>
      <c r="H973" s="6">
        <f>IF(C973="","",IF(ISNUMBER(G973),1,0))</f>
        <v/>
      </c>
      <c r="I973" s="6">
        <f>IF(C973="","",IF(SUMPRODUCT(($C$12:$C$1511=C973)*1)&gt;1,1,0))</f>
        <v/>
      </c>
      <c r="J973" s="6">
        <f>IF(C973="","",SUMPRODUCT((Mapping!$F$5:$F$504=Setup!$B$4&amp;"||"&amp;C973)*ROW(Mapping!$F$5:$F$504)))</f>
        <v/>
      </c>
      <c r="K973" s="6">
        <f>IF(C973="","",IF(J973=0,"UNMAPPED",LOWER(INDEX(Mapping!$D$1:$D$504,J973))))</f>
        <v/>
      </c>
      <c r="L973" s="6">
        <f>IF(K973="mapped",TRIM(INDEX(Mapping!$C$1:$C$504,J973)),"")</f>
        <v/>
      </c>
      <c r="M973" s="6">
        <f>IF(C973="","",IF(SUMPRODUCT(($C$12:C973=C973)*1)=1,1,0))</f>
        <v/>
      </c>
      <c r="N973" s="6">
        <f>IF(AND(K973="UNMAPPED",M973=1),ROW(),"")</f>
        <v/>
      </c>
      <c r="O973" s="6">
        <f>IF(AND(I973=1,M973=1),ROW(),"")</f>
        <v/>
      </c>
      <c r="P973" s="6">
        <f>IF(AND(K973="ignored",M973=1),ROW(),"")</f>
        <v/>
      </c>
    </row>
    <row r="974">
      <c r="A974" s="8" t="n"/>
      <c r="B974" s="8" t="n"/>
      <c r="C974" s="6">
        <f>TRIM(A974&amp;"")</f>
        <v/>
      </c>
      <c r="D974" s="6">
        <f>IF(C974="","",SUBSTITUTE(SUBSTITUTE(SUBSTITUTE(SUBSTITUTE(SUBSTITUTE(SUBSTITUTE(SUBSTITUTE(UPPER(TRIM(B974&amp;"")),"₹",""),"RS.",""),"RS",""),"INR",""),"$",""),",","")," ",""))</f>
        <v/>
      </c>
      <c r="E974" s="6">
        <f>IF(C974="","",IF(RIGHT(D974,2)="CR","Cr",IF(RIGHT(D974,2)="DR","Dr","")))</f>
        <v/>
      </c>
      <c r="F974" s="6">
        <f>IF(C974="","",IF(E974&lt;&gt;"",LEFT(D974,LEN(D974)-2),D974))</f>
        <v/>
      </c>
      <c r="G974" s="13">
        <f>IF(C974="","",IF(OR(IF(AND(LEFT(F974,1)="(",RIGHT(F974,1)=")"),MID(F974,2,LEN(F974)-2),F974)="",IF(AND(LEFT(F974,1)="(",RIGHT(F974,1)=")"),MID(F974,2,LEN(F974)-2),F974)="-"),0,IFERROR(VALUE(IF(AND(LEFT(F974,1)="(",RIGHT(F974,1)=")"),MID(F974,2,LEN(F974)-2),F974))*IF(AND(LEFT(F974,1)="(",RIGHT(F974,1)=")"),-1,1)*IF(E974="Cr",Setup!$B$6,1),"ERR")))</f>
        <v/>
      </c>
      <c r="H974" s="6">
        <f>IF(C974="","",IF(ISNUMBER(G974),1,0))</f>
        <v/>
      </c>
      <c r="I974" s="6">
        <f>IF(C974="","",IF(SUMPRODUCT(($C$12:$C$1511=C974)*1)&gt;1,1,0))</f>
        <v/>
      </c>
      <c r="J974" s="6">
        <f>IF(C974="","",SUMPRODUCT((Mapping!$F$5:$F$504=Setup!$B$4&amp;"||"&amp;C974)*ROW(Mapping!$F$5:$F$504)))</f>
        <v/>
      </c>
      <c r="K974" s="6">
        <f>IF(C974="","",IF(J974=0,"UNMAPPED",LOWER(INDEX(Mapping!$D$1:$D$504,J974))))</f>
        <v/>
      </c>
      <c r="L974" s="6">
        <f>IF(K974="mapped",TRIM(INDEX(Mapping!$C$1:$C$504,J974)),"")</f>
        <v/>
      </c>
      <c r="M974" s="6">
        <f>IF(C974="","",IF(SUMPRODUCT(($C$12:C974=C974)*1)=1,1,0))</f>
        <v/>
      </c>
      <c r="N974" s="6">
        <f>IF(AND(K974="UNMAPPED",M974=1),ROW(),"")</f>
        <v/>
      </c>
      <c r="O974" s="6">
        <f>IF(AND(I974=1,M974=1),ROW(),"")</f>
        <v/>
      </c>
      <c r="P974" s="6">
        <f>IF(AND(K974="ignored",M974=1),ROW(),"")</f>
        <v/>
      </c>
    </row>
    <row r="975">
      <c r="A975" s="8" t="n"/>
      <c r="B975" s="8" t="n"/>
      <c r="C975" s="6">
        <f>TRIM(A975&amp;"")</f>
        <v/>
      </c>
      <c r="D975" s="6">
        <f>IF(C975="","",SUBSTITUTE(SUBSTITUTE(SUBSTITUTE(SUBSTITUTE(SUBSTITUTE(SUBSTITUTE(SUBSTITUTE(UPPER(TRIM(B975&amp;"")),"₹",""),"RS.",""),"RS",""),"INR",""),"$",""),",","")," ",""))</f>
        <v/>
      </c>
      <c r="E975" s="6">
        <f>IF(C975="","",IF(RIGHT(D975,2)="CR","Cr",IF(RIGHT(D975,2)="DR","Dr","")))</f>
        <v/>
      </c>
      <c r="F975" s="6">
        <f>IF(C975="","",IF(E975&lt;&gt;"",LEFT(D975,LEN(D975)-2),D975))</f>
        <v/>
      </c>
      <c r="G975" s="13">
        <f>IF(C975="","",IF(OR(IF(AND(LEFT(F975,1)="(",RIGHT(F975,1)=")"),MID(F975,2,LEN(F975)-2),F975)="",IF(AND(LEFT(F975,1)="(",RIGHT(F975,1)=")"),MID(F975,2,LEN(F975)-2),F975)="-"),0,IFERROR(VALUE(IF(AND(LEFT(F975,1)="(",RIGHT(F975,1)=")"),MID(F975,2,LEN(F975)-2),F975))*IF(AND(LEFT(F975,1)="(",RIGHT(F975,1)=")"),-1,1)*IF(E975="Cr",Setup!$B$6,1),"ERR")))</f>
        <v/>
      </c>
      <c r="H975" s="6">
        <f>IF(C975="","",IF(ISNUMBER(G975),1,0))</f>
        <v/>
      </c>
      <c r="I975" s="6">
        <f>IF(C975="","",IF(SUMPRODUCT(($C$12:$C$1511=C975)*1)&gt;1,1,0))</f>
        <v/>
      </c>
      <c r="J975" s="6">
        <f>IF(C975="","",SUMPRODUCT((Mapping!$F$5:$F$504=Setup!$B$4&amp;"||"&amp;C975)*ROW(Mapping!$F$5:$F$504)))</f>
        <v/>
      </c>
      <c r="K975" s="6">
        <f>IF(C975="","",IF(J975=0,"UNMAPPED",LOWER(INDEX(Mapping!$D$1:$D$504,J975))))</f>
        <v/>
      </c>
      <c r="L975" s="6">
        <f>IF(K975="mapped",TRIM(INDEX(Mapping!$C$1:$C$504,J975)),"")</f>
        <v/>
      </c>
      <c r="M975" s="6">
        <f>IF(C975="","",IF(SUMPRODUCT(($C$12:C975=C975)*1)=1,1,0))</f>
        <v/>
      </c>
      <c r="N975" s="6">
        <f>IF(AND(K975="UNMAPPED",M975=1),ROW(),"")</f>
        <v/>
      </c>
      <c r="O975" s="6">
        <f>IF(AND(I975=1,M975=1),ROW(),"")</f>
        <v/>
      </c>
      <c r="P975" s="6">
        <f>IF(AND(K975="ignored",M975=1),ROW(),"")</f>
        <v/>
      </c>
    </row>
    <row r="976">
      <c r="A976" s="8" t="n"/>
      <c r="B976" s="8" t="n"/>
      <c r="C976" s="6">
        <f>TRIM(A976&amp;"")</f>
        <v/>
      </c>
      <c r="D976" s="6">
        <f>IF(C976="","",SUBSTITUTE(SUBSTITUTE(SUBSTITUTE(SUBSTITUTE(SUBSTITUTE(SUBSTITUTE(SUBSTITUTE(UPPER(TRIM(B976&amp;"")),"₹",""),"RS.",""),"RS",""),"INR",""),"$",""),",","")," ",""))</f>
        <v/>
      </c>
      <c r="E976" s="6">
        <f>IF(C976="","",IF(RIGHT(D976,2)="CR","Cr",IF(RIGHT(D976,2)="DR","Dr","")))</f>
        <v/>
      </c>
      <c r="F976" s="6">
        <f>IF(C976="","",IF(E976&lt;&gt;"",LEFT(D976,LEN(D976)-2),D976))</f>
        <v/>
      </c>
      <c r="G976" s="13">
        <f>IF(C976="","",IF(OR(IF(AND(LEFT(F976,1)="(",RIGHT(F976,1)=")"),MID(F976,2,LEN(F976)-2),F976)="",IF(AND(LEFT(F976,1)="(",RIGHT(F976,1)=")"),MID(F976,2,LEN(F976)-2),F976)="-"),0,IFERROR(VALUE(IF(AND(LEFT(F976,1)="(",RIGHT(F976,1)=")"),MID(F976,2,LEN(F976)-2),F976))*IF(AND(LEFT(F976,1)="(",RIGHT(F976,1)=")"),-1,1)*IF(E976="Cr",Setup!$B$6,1),"ERR")))</f>
        <v/>
      </c>
      <c r="H976" s="6">
        <f>IF(C976="","",IF(ISNUMBER(G976),1,0))</f>
        <v/>
      </c>
      <c r="I976" s="6">
        <f>IF(C976="","",IF(SUMPRODUCT(($C$12:$C$1511=C976)*1)&gt;1,1,0))</f>
        <v/>
      </c>
      <c r="J976" s="6">
        <f>IF(C976="","",SUMPRODUCT((Mapping!$F$5:$F$504=Setup!$B$4&amp;"||"&amp;C976)*ROW(Mapping!$F$5:$F$504)))</f>
        <v/>
      </c>
      <c r="K976" s="6">
        <f>IF(C976="","",IF(J976=0,"UNMAPPED",LOWER(INDEX(Mapping!$D$1:$D$504,J976))))</f>
        <v/>
      </c>
      <c r="L976" s="6">
        <f>IF(K976="mapped",TRIM(INDEX(Mapping!$C$1:$C$504,J976)),"")</f>
        <v/>
      </c>
      <c r="M976" s="6">
        <f>IF(C976="","",IF(SUMPRODUCT(($C$12:C976=C976)*1)=1,1,0))</f>
        <v/>
      </c>
      <c r="N976" s="6">
        <f>IF(AND(K976="UNMAPPED",M976=1),ROW(),"")</f>
        <v/>
      </c>
      <c r="O976" s="6">
        <f>IF(AND(I976=1,M976=1),ROW(),"")</f>
        <v/>
      </c>
      <c r="P976" s="6">
        <f>IF(AND(K976="ignored",M976=1),ROW(),"")</f>
        <v/>
      </c>
    </row>
    <row r="977">
      <c r="A977" s="8" t="n"/>
      <c r="B977" s="8" t="n"/>
      <c r="C977" s="6">
        <f>TRIM(A977&amp;"")</f>
        <v/>
      </c>
      <c r="D977" s="6">
        <f>IF(C977="","",SUBSTITUTE(SUBSTITUTE(SUBSTITUTE(SUBSTITUTE(SUBSTITUTE(SUBSTITUTE(SUBSTITUTE(UPPER(TRIM(B977&amp;"")),"₹",""),"RS.",""),"RS",""),"INR",""),"$",""),",","")," ",""))</f>
        <v/>
      </c>
      <c r="E977" s="6">
        <f>IF(C977="","",IF(RIGHT(D977,2)="CR","Cr",IF(RIGHT(D977,2)="DR","Dr","")))</f>
        <v/>
      </c>
      <c r="F977" s="6">
        <f>IF(C977="","",IF(E977&lt;&gt;"",LEFT(D977,LEN(D977)-2),D977))</f>
        <v/>
      </c>
      <c r="G977" s="13">
        <f>IF(C977="","",IF(OR(IF(AND(LEFT(F977,1)="(",RIGHT(F977,1)=")"),MID(F977,2,LEN(F977)-2),F977)="",IF(AND(LEFT(F977,1)="(",RIGHT(F977,1)=")"),MID(F977,2,LEN(F977)-2),F977)="-"),0,IFERROR(VALUE(IF(AND(LEFT(F977,1)="(",RIGHT(F977,1)=")"),MID(F977,2,LEN(F977)-2),F977))*IF(AND(LEFT(F977,1)="(",RIGHT(F977,1)=")"),-1,1)*IF(E977="Cr",Setup!$B$6,1),"ERR")))</f>
        <v/>
      </c>
      <c r="H977" s="6">
        <f>IF(C977="","",IF(ISNUMBER(G977),1,0))</f>
        <v/>
      </c>
      <c r="I977" s="6">
        <f>IF(C977="","",IF(SUMPRODUCT(($C$12:$C$1511=C977)*1)&gt;1,1,0))</f>
        <v/>
      </c>
      <c r="J977" s="6">
        <f>IF(C977="","",SUMPRODUCT((Mapping!$F$5:$F$504=Setup!$B$4&amp;"||"&amp;C977)*ROW(Mapping!$F$5:$F$504)))</f>
        <v/>
      </c>
      <c r="K977" s="6">
        <f>IF(C977="","",IF(J977=0,"UNMAPPED",LOWER(INDEX(Mapping!$D$1:$D$504,J977))))</f>
        <v/>
      </c>
      <c r="L977" s="6">
        <f>IF(K977="mapped",TRIM(INDEX(Mapping!$C$1:$C$504,J977)),"")</f>
        <v/>
      </c>
      <c r="M977" s="6">
        <f>IF(C977="","",IF(SUMPRODUCT(($C$12:C977=C977)*1)=1,1,0))</f>
        <v/>
      </c>
      <c r="N977" s="6">
        <f>IF(AND(K977="UNMAPPED",M977=1),ROW(),"")</f>
        <v/>
      </c>
      <c r="O977" s="6">
        <f>IF(AND(I977=1,M977=1),ROW(),"")</f>
        <v/>
      </c>
      <c r="P977" s="6">
        <f>IF(AND(K977="ignored",M977=1),ROW(),"")</f>
        <v/>
      </c>
    </row>
    <row r="978">
      <c r="A978" s="8" t="n"/>
      <c r="B978" s="8" t="n"/>
      <c r="C978" s="6">
        <f>TRIM(A978&amp;"")</f>
        <v/>
      </c>
      <c r="D978" s="6">
        <f>IF(C978="","",SUBSTITUTE(SUBSTITUTE(SUBSTITUTE(SUBSTITUTE(SUBSTITUTE(SUBSTITUTE(SUBSTITUTE(UPPER(TRIM(B978&amp;"")),"₹",""),"RS.",""),"RS",""),"INR",""),"$",""),",","")," ",""))</f>
        <v/>
      </c>
      <c r="E978" s="6">
        <f>IF(C978="","",IF(RIGHT(D978,2)="CR","Cr",IF(RIGHT(D978,2)="DR","Dr","")))</f>
        <v/>
      </c>
      <c r="F978" s="6">
        <f>IF(C978="","",IF(E978&lt;&gt;"",LEFT(D978,LEN(D978)-2),D978))</f>
        <v/>
      </c>
      <c r="G978" s="13">
        <f>IF(C978="","",IF(OR(IF(AND(LEFT(F978,1)="(",RIGHT(F978,1)=")"),MID(F978,2,LEN(F978)-2),F978)="",IF(AND(LEFT(F978,1)="(",RIGHT(F978,1)=")"),MID(F978,2,LEN(F978)-2),F978)="-"),0,IFERROR(VALUE(IF(AND(LEFT(F978,1)="(",RIGHT(F978,1)=")"),MID(F978,2,LEN(F978)-2),F978))*IF(AND(LEFT(F978,1)="(",RIGHT(F978,1)=")"),-1,1)*IF(E978="Cr",Setup!$B$6,1),"ERR")))</f>
        <v/>
      </c>
      <c r="H978" s="6">
        <f>IF(C978="","",IF(ISNUMBER(G978),1,0))</f>
        <v/>
      </c>
      <c r="I978" s="6">
        <f>IF(C978="","",IF(SUMPRODUCT(($C$12:$C$1511=C978)*1)&gt;1,1,0))</f>
        <v/>
      </c>
      <c r="J978" s="6">
        <f>IF(C978="","",SUMPRODUCT((Mapping!$F$5:$F$504=Setup!$B$4&amp;"||"&amp;C978)*ROW(Mapping!$F$5:$F$504)))</f>
        <v/>
      </c>
      <c r="K978" s="6">
        <f>IF(C978="","",IF(J978=0,"UNMAPPED",LOWER(INDEX(Mapping!$D$1:$D$504,J978))))</f>
        <v/>
      </c>
      <c r="L978" s="6">
        <f>IF(K978="mapped",TRIM(INDEX(Mapping!$C$1:$C$504,J978)),"")</f>
        <v/>
      </c>
      <c r="M978" s="6">
        <f>IF(C978="","",IF(SUMPRODUCT(($C$12:C978=C978)*1)=1,1,0))</f>
        <v/>
      </c>
      <c r="N978" s="6">
        <f>IF(AND(K978="UNMAPPED",M978=1),ROW(),"")</f>
        <v/>
      </c>
      <c r="O978" s="6">
        <f>IF(AND(I978=1,M978=1),ROW(),"")</f>
        <v/>
      </c>
      <c r="P978" s="6">
        <f>IF(AND(K978="ignored",M978=1),ROW(),"")</f>
        <v/>
      </c>
    </row>
    <row r="979">
      <c r="A979" s="8" t="n"/>
      <c r="B979" s="8" t="n"/>
      <c r="C979" s="6">
        <f>TRIM(A979&amp;"")</f>
        <v/>
      </c>
      <c r="D979" s="6">
        <f>IF(C979="","",SUBSTITUTE(SUBSTITUTE(SUBSTITUTE(SUBSTITUTE(SUBSTITUTE(SUBSTITUTE(SUBSTITUTE(UPPER(TRIM(B979&amp;"")),"₹",""),"RS.",""),"RS",""),"INR",""),"$",""),",","")," ",""))</f>
        <v/>
      </c>
      <c r="E979" s="6">
        <f>IF(C979="","",IF(RIGHT(D979,2)="CR","Cr",IF(RIGHT(D979,2)="DR","Dr","")))</f>
        <v/>
      </c>
      <c r="F979" s="6">
        <f>IF(C979="","",IF(E979&lt;&gt;"",LEFT(D979,LEN(D979)-2),D979))</f>
        <v/>
      </c>
      <c r="G979" s="13">
        <f>IF(C979="","",IF(OR(IF(AND(LEFT(F979,1)="(",RIGHT(F979,1)=")"),MID(F979,2,LEN(F979)-2),F979)="",IF(AND(LEFT(F979,1)="(",RIGHT(F979,1)=")"),MID(F979,2,LEN(F979)-2),F979)="-"),0,IFERROR(VALUE(IF(AND(LEFT(F979,1)="(",RIGHT(F979,1)=")"),MID(F979,2,LEN(F979)-2),F979))*IF(AND(LEFT(F979,1)="(",RIGHT(F979,1)=")"),-1,1)*IF(E979="Cr",Setup!$B$6,1),"ERR")))</f>
        <v/>
      </c>
      <c r="H979" s="6">
        <f>IF(C979="","",IF(ISNUMBER(G979),1,0))</f>
        <v/>
      </c>
      <c r="I979" s="6">
        <f>IF(C979="","",IF(SUMPRODUCT(($C$12:$C$1511=C979)*1)&gt;1,1,0))</f>
        <v/>
      </c>
      <c r="J979" s="6">
        <f>IF(C979="","",SUMPRODUCT((Mapping!$F$5:$F$504=Setup!$B$4&amp;"||"&amp;C979)*ROW(Mapping!$F$5:$F$504)))</f>
        <v/>
      </c>
      <c r="K979" s="6">
        <f>IF(C979="","",IF(J979=0,"UNMAPPED",LOWER(INDEX(Mapping!$D$1:$D$504,J979))))</f>
        <v/>
      </c>
      <c r="L979" s="6">
        <f>IF(K979="mapped",TRIM(INDEX(Mapping!$C$1:$C$504,J979)),"")</f>
        <v/>
      </c>
      <c r="M979" s="6">
        <f>IF(C979="","",IF(SUMPRODUCT(($C$12:C979=C979)*1)=1,1,0))</f>
        <v/>
      </c>
      <c r="N979" s="6">
        <f>IF(AND(K979="UNMAPPED",M979=1),ROW(),"")</f>
        <v/>
      </c>
      <c r="O979" s="6">
        <f>IF(AND(I979=1,M979=1),ROW(),"")</f>
        <v/>
      </c>
      <c r="P979" s="6">
        <f>IF(AND(K979="ignored",M979=1),ROW(),"")</f>
        <v/>
      </c>
    </row>
    <row r="980">
      <c r="A980" s="8" t="n"/>
      <c r="B980" s="8" t="n"/>
      <c r="C980" s="6">
        <f>TRIM(A980&amp;"")</f>
        <v/>
      </c>
      <c r="D980" s="6">
        <f>IF(C980="","",SUBSTITUTE(SUBSTITUTE(SUBSTITUTE(SUBSTITUTE(SUBSTITUTE(SUBSTITUTE(SUBSTITUTE(UPPER(TRIM(B980&amp;"")),"₹",""),"RS.",""),"RS",""),"INR",""),"$",""),",","")," ",""))</f>
        <v/>
      </c>
      <c r="E980" s="6">
        <f>IF(C980="","",IF(RIGHT(D980,2)="CR","Cr",IF(RIGHT(D980,2)="DR","Dr","")))</f>
        <v/>
      </c>
      <c r="F980" s="6">
        <f>IF(C980="","",IF(E980&lt;&gt;"",LEFT(D980,LEN(D980)-2),D980))</f>
        <v/>
      </c>
      <c r="G980" s="13">
        <f>IF(C980="","",IF(OR(IF(AND(LEFT(F980,1)="(",RIGHT(F980,1)=")"),MID(F980,2,LEN(F980)-2),F980)="",IF(AND(LEFT(F980,1)="(",RIGHT(F980,1)=")"),MID(F980,2,LEN(F980)-2),F980)="-"),0,IFERROR(VALUE(IF(AND(LEFT(F980,1)="(",RIGHT(F980,1)=")"),MID(F980,2,LEN(F980)-2),F980))*IF(AND(LEFT(F980,1)="(",RIGHT(F980,1)=")"),-1,1)*IF(E980="Cr",Setup!$B$6,1),"ERR")))</f>
        <v/>
      </c>
      <c r="H980" s="6">
        <f>IF(C980="","",IF(ISNUMBER(G980),1,0))</f>
        <v/>
      </c>
      <c r="I980" s="6">
        <f>IF(C980="","",IF(SUMPRODUCT(($C$12:$C$1511=C980)*1)&gt;1,1,0))</f>
        <v/>
      </c>
      <c r="J980" s="6">
        <f>IF(C980="","",SUMPRODUCT((Mapping!$F$5:$F$504=Setup!$B$4&amp;"||"&amp;C980)*ROW(Mapping!$F$5:$F$504)))</f>
        <v/>
      </c>
      <c r="K980" s="6">
        <f>IF(C980="","",IF(J980=0,"UNMAPPED",LOWER(INDEX(Mapping!$D$1:$D$504,J980))))</f>
        <v/>
      </c>
      <c r="L980" s="6">
        <f>IF(K980="mapped",TRIM(INDEX(Mapping!$C$1:$C$504,J980)),"")</f>
        <v/>
      </c>
      <c r="M980" s="6">
        <f>IF(C980="","",IF(SUMPRODUCT(($C$12:C980=C980)*1)=1,1,0))</f>
        <v/>
      </c>
      <c r="N980" s="6">
        <f>IF(AND(K980="UNMAPPED",M980=1),ROW(),"")</f>
        <v/>
      </c>
      <c r="O980" s="6">
        <f>IF(AND(I980=1,M980=1),ROW(),"")</f>
        <v/>
      </c>
      <c r="P980" s="6">
        <f>IF(AND(K980="ignored",M980=1),ROW(),"")</f>
        <v/>
      </c>
    </row>
    <row r="981">
      <c r="A981" s="8" t="n"/>
      <c r="B981" s="8" t="n"/>
      <c r="C981" s="6">
        <f>TRIM(A981&amp;"")</f>
        <v/>
      </c>
      <c r="D981" s="6">
        <f>IF(C981="","",SUBSTITUTE(SUBSTITUTE(SUBSTITUTE(SUBSTITUTE(SUBSTITUTE(SUBSTITUTE(SUBSTITUTE(UPPER(TRIM(B981&amp;"")),"₹",""),"RS.",""),"RS",""),"INR",""),"$",""),",","")," ",""))</f>
        <v/>
      </c>
      <c r="E981" s="6">
        <f>IF(C981="","",IF(RIGHT(D981,2)="CR","Cr",IF(RIGHT(D981,2)="DR","Dr","")))</f>
        <v/>
      </c>
      <c r="F981" s="6">
        <f>IF(C981="","",IF(E981&lt;&gt;"",LEFT(D981,LEN(D981)-2),D981))</f>
        <v/>
      </c>
      <c r="G981" s="13">
        <f>IF(C981="","",IF(OR(IF(AND(LEFT(F981,1)="(",RIGHT(F981,1)=")"),MID(F981,2,LEN(F981)-2),F981)="",IF(AND(LEFT(F981,1)="(",RIGHT(F981,1)=")"),MID(F981,2,LEN(F981)-2),F981)="-"),0,IFERROR(VALUE(IF(AND(LEFT(F981,1)="(",RIGHT(F981,1)=")"),MID(F981,2,LEN(F981)-2),F981))*IF(AND(LEFT(F981,1)="(",RIGHT(F981,1)=")"),-1,1)*IF(E981="Cr",Setup!$B$6,1),"ERR")))</f>
        <v/>
      </c>
      <c r="H981" s="6">
        <f>IF(C981="","",IF(ISNUMBER(G981),1,0))</f>
        <v/>
      </c>
      <c r="I981" s="6">
        <f>IF(C981="","",IF(SUMPRODUCT(($C$12:$C$1511=C981)*1)&gt;1,1,0))</f>
        <v/>
      </c>
      <c r="J981" s="6">
        <f>IF(C981="","",SUMPRODUCT((Mapping!$F$5:$F$504=Setup!$B$4&amp;"||"&amp;C981)*ROW(Mapping!$F$5:$F$504)))</f>
        <v/>
      </c>
      <c r="K981" s="6">
        <f>IF(C981="","",IF(J981=0,"UNMAPPED",LOWER(INDEX(Mapping!$D$1:$D$504,J981))))</f>
        <v/>
      </c>
      <c r="L981" s="6">
        <f>IF(K981="mapped",TRIM(INDEX(Mapping!$C$1:$C$504,J981)),"")</f>
        <v/>
      </c>
      <c r="M981" s="6">
        <f>IF(C981="","",IF(SUMPRODUCT(($C$12:C981=C981)*1)=1,1,0))</f>
        <v/>
      </c>
      <c r="N981" s="6">
        <f>IF(AND(K981="UNMAPPED",M981=1),ROW(),"")</f>
        <v/>
      </c>
      <c r="O981" s="6">
        <f>IF(AND(I981=1,M981=1),ROW(),"")</f>
        <v/>
      </c>
      <c r="P981" s="6">
        <f>IF(AND(K981="ignored",M981=1),ROW(),"")</f>
        <v/>
      </c>
    </row>
    <row r="982">
      <c r="A982" s="8" t="n"/>
      <c r="B982" s="8" t="n"/>
      <c r="C982" s="6">
        <f>TRIM(A982&amp;"")</f>
        <v/>
      </c>
      <c r="D982" s="6">
        <f>IF(C982="","",SUBSTITUTE(SUBSTITUTE(SUBSTITUTE(SUBSTITUTE(SUBSTITUTE(SUBSTITUTE(SUBSTITUTE(UPPER(TRIM(B982&amp;"")),"₹",""),"RS.",""),"RS",""),"INR",""),"$",""),",","")," ",""))</f>
        <v/>
      </c>
      <c r="E982" s="6">
        <f>IF(C982="","",IF(RIGHT(D982,2)="CR","Cr",IF(RIGHT(D982,2)="DR","Dr","")))</f>
        <v/>
      </c>
      <c r="F982" s="6">
        <f>IF(C982="","",IF(E982&lt;&gt;"",LEFT(D982,LEN(D982)-2),D982))</f>
        <v/>
      </c>
      <c r="G982" s="13">
        <f>IF(C982="","",IF(OR(IF(AND(LEFT(F982,1)="(",RIGHT(F982,1)=")"),MID(F982,2,LEN(F982)-2),F982)="",IF(AND(LEFT(F982,1)="(",RIGHT(F982,1)=")"),MID(F982,2,LEN(F982)-2),F982)="-"),0,IFERROR(VALUE(IF(AND(LEFT(F982,1)="(",RIGHT(F982,1)=")"),MID(F982,2,LEN(F982)-2),F982))*IF(AND(LEFT(F982,1)="(",RIGHT(F982,1)=")"),-1,1)*IF(E982="Cr",Setup!$B$6,1),"ERR")))</f>
        <v/>
      </c>
      <c r="H982" s="6">
        <f>IF(C982="","",IF(ISNUMBER(G982),1,0))</f>
        <v/>
      </c>
      <c r="I982" s="6">
        <f>IF(C982="","",IF(SUMPRODUCT(($C$12:$C$1511=C982)*1)&gt;1,1,0))</f>
        <v/>
      </c>
      <c r="J982" s="6">
        <f>IF(C982="","",SUMPRODUCT((Mapping!$F$5:$F$504=Setup!$B$4&amp;"||"&amp;C982)*ROW(Mapping!$F$5:$F$504)))</f>
        <v/>
      </c>
      <c r="K982" s="6">
        <f>IF(C982="","",IF(J982=0,"UNMAPPED",LOWER(INDEX(Mapping!$D$1:$D$504,J982))))</f>
        <v/>
      </c>
      <c r="L982" s="6">
        <f>IF(K982="mapped",TRIM(INDEX(Mapping!$C$1:$C$504,J982)),"")</f>
        <v/>
      </c>
      <c r="M982" s="6">
        <f>IF(C982="","",IF(SUMPRODUCT(($C$12:C982=C982)*1)=1,1,0))</f>
        <v/>
      </c>
      <c r="N982" s="6">
        <f>IF(AND(K982="UNMAPPED",M982=1),ROW(),"")</f>
        <v/>
      </c>
      <c r="O982" s="6">
        <f>IF(AND(I982=1,M982=1),ROW(),"")</f>
        <v/>
      </c>
      <c r="P982" s="6">
        <f>IF(AND(K982="ignored",M982=1),ROW(),"")</f>
        <v/>
      </c>
    </row>
    <row r="983">
      <c r="A983" s="8" t="n"/>
      <c r="B983" s="8" t="n"/>
      <c r="C983" s="6">
        <f>TRIM(A983&amp;"")</f>
        <v/>
      </c>
      <c r="D983" s="6">
        <f>IF(C983="","",SUBSTITUTE(SUBSTITUTE(SUBSTITUTE(SUBSTITUTE(SUBSTITUTE(SUBSTITUTE(SUBSTITUTE(UPPER(TRIM(B983&amp;"")),"₹",""),"RS.",""),"RS",""),"INR",""),"$",""),",","")," ",""))</f>
        <v/>
      </c>
      <c r="E983" s="6">
        <f>IF(C983="","",IF(RIGHT(D983,2)="CR","Cr",IF(RIGHT(D983,2)="DR","Dr","")))</f>
        <v/>
      </c>
      <c r="F983" s="6">
        <f>IF(C983="","",IF(E983&lt;&gt;"",LEFT(D983,LEN(D983)-2),D983))</f>
        <v/>
      </c>
      <c r="G983" s="13">
        <f>IF(C983="","",IF(OR(IF(AND(LEFT(F983,1)="(",RIGHT(F983,1)=")"),MID(F983,2,LEN(F983)-2),F983)="",IF(AND(LEFT(F983,1)="(",RIGHT(F983,1)=")"),MID(F983,2,LEN(F983)-2),F983)="-"),0,IFERROR(VALUE(IF(AND(LEFT(F983,1)="(",RIGHT(F983,1)=")"),MID(F983,2,LEN(F983)-2),F983))*IF(AND(LEFT(F983,1)="(",RIGHT(F983,1)=")"),-1,1)*IF(E983="Cr",Setup!$B$6,1),"ERR")))</f>
        <v/>
      </c>
      <c r="H983" s="6">
        <f>IF(C983="","",IF(ISNUMBER(G983),1,0))</f>
        <v/>
      </c>
      <c r="I983" s="6">
        <f>IF(C983="","",IF(SUMPRODUCT(($C$12:$C$1511=C983)*1)&gt;1,1,0))</f>
        <v/>
      </c>
      <c r="J983" s="6">
        <f>IF(C983="","",SUMPRODUCT((Mapping!$F$5:$F$504=Setup!$B$4&amp;"||"&amp;C983)*ROW(Mapping!$F$5:$F$504)))</f>
        <v/>
      </c>
      <c r="K983" s="6">
        <f>IF(C983="","",IF(J983=0,"UNMAPPED",LOWER(INDEX(Mapping!$D$1:$D$504,J983))))</f>
        <v/>
      </c>
      <c r="L983" s="6">
        <f>IF(K983="mapped",TRIM(INDEX(Mapping!$C$1:$C$504,J983)),"")</f>
        <v/>
      </c>
      <c r="M983" s="6">
        <f>IF(C983="","",IF(SUMPRODUCT(($C$12:C983=C983)*1)=1,1,0))</f>
        <v/>
      </c>
      <c r="N983" s="6">
        <f>IF(AND(K983="UNMAPPED",M983=1),ROW(),"")</f>
        <v/>
      </c>
      <c r="O983" s="6">
        <f>IF(AND(I983=1,M983=1),ROW(),"")</f>
        <v/>
      </c>
      <c r="P983" s="6">
        <f>IF(AND(K983="ignored",M983=1),ROW(),"")</f>
        <v/>
      </c>
    </row>
    <row r="984">
      <c r="A984" s="8" t="n"/>
      <c r="B984" s="8" t="n"/>
      <c r="C984" s="6">
        <f>TRIM(A984&amp;"")</f>
        <v/>
      </c>
      <c r="D984" s="6">
        <f>IF(C984="","",SUBSTITUTE(SUBSTITUTE(SUBSTITUTE(SUBSTITUTE(SUBSTITUTE(SUBSTITUTE(SUBSTITUTE(UPPER(TRIM(B984&amp;"")),"₹",""),"RS.",""),"RS",""),"INR",""),"$",""),",","")," ",""))</f>
        <v/>
      </c>
      <c r="E984" s="6">
        <f>IF(C984="","",IF(RIGHT(D984,2)="CR","Cr",IF(RIGHT(D984,2)="DR","Dr","")))</f>
        <v/>
      </c>
      <c r="F984" s="6">
        <f>IF(C984="","",IF(E984&lt;&gt;"",LEFT(D984,LEN(D984)-2),D984))</f>
        <v/>
      </c>
      <c r="G984" s="13">
        <f>IF(C984="","",IF(OR(IF(AND(LEFT(F984,1)="(",RIGHT(F984,1)=")"),MID(F984,2,LEN(F984)-2),F984)="",IF(AND(LEFT(F984,1)="(",RIGHT(F984,1)=")"),MID(F984,2,LEN(F984)-2),F984)="-"),0,IFERROR(VALUE(IF(AND(LEFT(F984,1)="(",RIGHT(F984,1)=")"),MID(F984,2,LEN(F984)-2),F984))*IF(AND(LEFT(F984,1)="(",RIGHT(F984,1)=")"),-1,1)*IF(E984="Cr",Setup!$B$6,1),"ERR")))</f>
        <v/>
      </c>
      <c r="H984" s="6">
        <f>IF(C984="","",IF(ISNUMBER(G984),1,0))</f>
        <v/>
      </c>
      <c r="I984" s="6">
        <f>IF(C984="","",IF(SUMPRODUCT(($C$12:$C$1511=C984)*1)&gt;1,1,0))</f>
        <v/>
      </c>
      <c r="J984" s="6">
        <f>IF(C984="","",SUMPRODUCT((Mapping!$F$5:$F$504=Setup!$B$4&amp;"||"&amp;C984)*ROW(Mapping!$F$5:$F$504)))</f>
        <v/>
      </c>
      <c r="K984" s="6">
        <f>IF(C984="","",IF(J984=0,"UNMAPPED",LOWER(INDEX(Mapping!$D$1:$D$504,J984))))</f>
        <v/>
      </c>
      <c r="L984" s="6">
        <f>IF(K984="mapped",TRIM(INDEX(Mapping!$C$1:$C$504,J984)),"")</f>
        <v/>
      </c>
      <c r="M984" s="6">
        <f>IF(C984="","",IF(SUMPRODUCT(($C$12:C984=C984)*1)=1,1,0))</f>
        <v/>
      </c>
      <c r="N984" s="6">
        <f>IF(AND(K984="UNMAPPED",M984=1),ROW(),"")</f>
        <v/>
      </c>
      <c r="O984" s="6">
        <f>IF(AND(I984=1,M984=1),ROW(),"")</f>
        <v/>
      </c>
      <c r="P984" s="6">
        <f>IF(AND(K984="ignored",M984=1),ROW(),"")</f>
        <v/>
      </c>
    </row>
    <row r="985">
      <c r="A985" s="8" t="n"/>
      <c r="B985" s="8" t="n"/>
      <c r="C985" s="6">
        <f>TRIM(A985&amp;"")</f>
        <v/>
      </c>
      <c r="D985" s="6">
        <f>IF(C985="","",SUBSTITUTE(SUBSTITUTE(SUBSTITUTE(SUBSTITUTE(SUBSTITUTE(SUBSTITUTE(SUBSTITUTE(UPPER(TRIM(B985&amp;"")),"₹",""),"RS.",""),"RS",""),"INR",""),"$",""),",","")," ",""))</f>
        <v/>
      </c>
      <c r="E985" s="6">
        <f>IF(C985="","",IF(RIGHT(D985,2)="CR","Cr",IF(RIGHT(D985,2)="DR","Dr","")))</f>
        <v/>
      </c>
      <c r="F985" s="6">
        <f>IF(C985="","",IF(E985&lt;&gt;"",LEFT(D985,LEN(D985)-2),D985))</f>
        <v/>
      </c>
      <c r="G985" s="13">
        <f>IF(C985="","",IF(OR(IF(AND(LEFT(F985,1)="(",RIGHT(F985,1)=")"),MID(F985,2,LEN(F985)-2),F985)="",IF(AND(LEFT(F985,1)="(",RIGHT(F985,1)=")"),MID(F985,2,LEN(F985)-2),F985)="-"),0,IFERROR(VALUE(IF(AND(LEFT(F985,1)="(",RIGHT(F985,1)=")"),MID(F985,2,LEN(F985)-2),F985))*IF(AND(LEFT(F985,1)="(",RIGHT(F985,1)=")"),-1,1)*IF(E985="Cr",Setup!$B$6,1),"ERR")))</f>
        <v/>
      </c>
      <c r="H985" s="6">
        <f>IF(C985="","",IF(ISNUMBER(G985),1,0))</f>
        <v/>
      </c>
      <c r="I985" s="6">
        <f>IF(C985="","",IF(SUMPRODUCT(($C$12:$C$1511=C985)*1)&gt;1,1,0))</f>
        <v/>
      </c>
      <c r="J985" s="6">
        <f>IF(C985="","",SUMPRODUCT((Mapping!$F$5:$F$504=Setup!$B$4&amp;"||"&amp;C985)*ROW(Mapping!$F$5:$F$504)))</f>
        <v/>
      </c>
      <c r="K985" s="6">
        <f>IF(C985="","",IF(J985=0,"UNMAPPED",LOWER(INDEX(Mapping!$D$1:$D$504,J985))))</f>
        <v/>
      </c>
      <c r="L985" s="6">
        <f>IF(K985="mapped",TRIM(INDEX(Mapping!$C$1:$C$504,J985)),"")</f>
        <v/>
      </c>
      <c r="M985" s="6">
        <f>IF(C985="","",IF(SUMPRODUCT(($C$12:C985=C985)*1)=1,1,0))</f>
        <v/>
      </c>
      <c r="N985" s="6">
        <f>IF(AND(K985="UNMAPPED",M985=1),ROW(),"")</f>
        <v/>
      </c>
      <c r="O985" s="6">
        <f>IF(AND(I985=1,M985=1),ROW(),"")</f>
        <v/>
      </c>
      <c r="P985" s="6">
        <f>IF(AND(K985="ignored",M985=1),ROW(),"")</f>
        <v/>
      </c>
    </row>
    <row r="986">
      <c r="A986" s="8" t="n"/>
      <c r="B986" s="8" t="n"/>
      <c r="C986" s="6">
        <f>TRIM(A986&amp;"")</f>
        <v/>
      </c>
      <c r="D986" s="6">
        <f>IF(C986="","",SUBSTITUTE(SUBSTITUTE(SUBSTITUTE(SUBSTITUTE(SUBSTITUTE(SUBSTITUTE(SUBSTITUTE(UPPER(TRIM(B986&amp;"")),"₹",""),"RS.",""),"RS",""),"INR",""),"$",""),",","")," ",""))</f>
        <v/>
      </c>
      <c r="E986" s="6">
        <f>IF(C986="","",IF(RIGHT(D986,2)="CR","Cr",IF(RIGHT(D986,2)="DR","Dr","")))</f>
        <v/>
      </c>
      <c r="F986" s="6">
        <f>IF(C986="","",IF(E986&lt;&gt;"",LEFT(D986,LEN(D986)-2),D986))</f>
        <v/>
      </c>
      <c r="G986" s="13">
        <f>IF(C986="","",IF(OR(IF(AND(LEFT(F986,1)="(",RIGHT(F986,1)=")"),MID(F986,2,LEN(F986)-2),F986)="",IF(AND(LEFT(F986,1)="(",RIGHT(F986,1)=")"),MID(F986,2,LEN(F986)-2),F986)="-"),0,IFERROR(VALUE(IF(AND(LEFT(F986,1)="(",RIGHT(F986,1)=")"),MID(F986,2,LEN(F986)-2),F986))*IF(AND(LEFT(F986,1)="(",RIGHT(F986,1)=")"),-1,1)*IF(E986="Cr",Setup!$B$6,1),"ERR")))</f>
        <v/>
      </c>
      <c r="H986" s="6">
        <f>IF(C986="","",IF(ISNUMBER(G986),1,0))</f>
        <v/>
      </c>
      <c r="I986" s="6">
        <f>IF(C986="","",IF(SUMPRODUCT(($C$12:$C$1511=C986)*1)&gt;1,1,0))</f>
        <v/>
      </c>
      <c r="J986" s="6">
        <f>IF(C986="","",SUMPRODUCT((Mapping!$F$5:$F$504=Setup!$B$4&amp;"||"&amp;C986)*ROW(Mapping!$F$5:$F$504)))</f>
        <v/>
      </c>
      <c r="K986" s="6">
        <f>IF(C986="","",IF(J986=0,"UNMAPPED",LOWER(INDEX(Mapping!$D$1:$D$504,J986))))</f>
        <v/>
      </c>
      <c r="L986" s="6">
        <f>IF(K986="mapped",TRIM(INDEX(Mapping!$C$1:$C$504,J986)),"")</f>
        <v/>
      </c>
      <c r="M986" s="6">
        <f>IF(C986="","",IF(SUMPRODUCT(($C$12:C986=C986)*1)=1,1,0))</f>
        <v/>
      </c>
      <c r="N986" s="6">
        <f>IF(AND(K986="UNMAPPED",M986=1),ROW(),"")</f>
        <v/>
      </c>
      <c r="O986" s="6">
        <f>IF(AND(I986=1,M986=1),ROW(),"")</f>
        <v/>
      </c>
      <c r="P986" s="6">
        <f>IF(AND(K986="ignored",M986=1),ROW(),"")</f>
        <v/>
      </c>
    </row>
    <row r="987">
      <c r="A987" s="8" t="n"/>
      <c r="B987" s="8" t="n"/>
      <c r="C987" s="6">
        <f>TRIM(A987&amp;"")</f>
        <v/>
      </c>
      <c r="D987" s="6">
        <f>IF(C987="","",SUBSTITUTE(SUBSTITUTE(SUBSTITUTE(SUBSTITUTE(SUBSTITUTE(SUBSTITUTE(SUBSTITUTE(UPPER(TRIM(B987&amp;"")),"₹",""),"RS.",""),"RS",""),"INR",""),"$",""),",","")," ",""))</f>
        <v/>
      </c>
      <c r="E987" s="6">
        <f>IF(C987="","",IF(RIGHT(D987,2)="CR","Cr",IF(RIGHT(D987,2)="DR","Dr","")))</f>
        <v/>
      </c>
      <c r="F987" s="6">
        <f>IF(C987="","",IF(E987&lt;&gt;"",LEFT(D987,LEN(D987)-2),D987))</f>
        <v/>
      </c>
      <c r="G987" s="13">
        <f>IF(C987="","",IF(OR(IF(AND(LEFT(F987,1)="(",RIGHT(F987,1)=")"),MID(F987,2,LEN(F987)-2),F987)="",IF(AND(LEFT(F987,1)="(",RIGHT(F987,1)=")"),MID(F987,2,LEN(F987)-2),F987)="-"),0,IFERROR(VALUE(IF(AND(LEFT(F987,1)="(",RIGHT(F987,1)=")"),MID(F987,2,LEN(F987)-2),F987))*IF(AND(LEFT(F987,1)="(",RIGHT(F987,1)=")"),-1,1)*IF(E987="Cr",Setup!$B$6,1),"ERR")))</f>
        <v/>
      </c>
      <c r="H987" s="6">
        <f>IF(C987="","",IF(ISNUMBER(G987),1,0))</f>
        <v/>
      </c>
      <c r="I987" s="6">
        <f>IF(C987="","",IF(SUMPRODUCT(($C$12:$C$1511=C987)*1)&gt;1,1,0))</f>
        <v/>
      </c>
      <c r="J987" s="6">
        <f>IF(C987="","",SUMPRODUCT((Mapping!$F$5:$F$504=Setup!$B$4&amp;"||"&amp;C987)*ROW(Mapping!$F$5:$F$504)))</f>
        <v/>
      </c>
      <c r="K987" s="6">
        <f>IF(C987="","",IF(J987=0,"UNMAPPED",LOWER(INDEX(Mapping!$D$1:$D$504,J987))))</f>
        <v/>
      </c>
      <c r="L987" s="6">
        <f>IF(K987="mapped",TRIM(INDEX(Mapping!$C$1:$C$504,J987)),"")</f>
        <v/>
      </c>
      <c r="M987" s="6">
        <f>IF(C987="","",IF(SUMPRODUCT(($C$12:C987=C987)*1)=1,1,0))</f>
        <v/>
      </c>
      <c r="N987" s="6">
        <f>IF(AND(K987="UNMAPPED",M987=1),ROW(),"")</f>
        <v/>
      </c>
      <c r="O987" s="6">
        <f>IF(AND(I987=1,M987=1),ROW(),"")</f>
        <v/>
      </c>
      <c r="P987" s="6">
        <f>IF(AND(K987="ignored",M987=1),ROW(),"")</f>
        <v/>
      </c>
    </row>
    <row r="988">
      <c r="A988" s="8" t="n"/>
      <c r="B988" s="8" t="n"/>
      <c r="C988" s="6">
        <f>TRIM(A988&amp;"")</f>
        <v/>
      </c>
      <c r="D988" s="6">
        <f>IF(C988="","",SUBSTITUTE(SUBSTITUTE(SUBSTITUTE(SUBSTITUTE(SUBSTITUTE(SUBSTITUTE(SUBSTITUTE(UPPER(TRIM(B988&amp;"")),"₹",""),"RS.",""),"RS",""),"INR",""),"$",""),",","")," ",""))</f>
        <v/>
      </c>
      <c r="E988" s="6">
        <f>IF(C988="","",IF(RIGHT(D988,2)="CR","Cr",IF(RIGHT(D988,2)="DR","Dr","")))</f>
        <v/>
      </c>
      <c r="F988" s="6">
        <f>IF(C988="","",IF(E988&lt;&gt;"",LEFT(D988,LEN(D988)-2),D988))</f>
        <v/>
      </c>
      <c r="G988" s="13">
        <f>IF(C988="","",IF(OR(IF(AND(LEFT(F988,1)="(",RIGHT(F988,1)=")"),MID(F988,2,LEN(F988)-2),F988)="",IF(AND(LEFT(F988,1)="(",RIGHT(F988,1)=")"),MID(F988,2,LEN(F988)-2),F988)="-"),0,IFERROR(VALUE(IF(AND(LEFT(F988,1)="(",RIGHT(F988,1)=")"),MID(F988,2,LEN(F988)-2),F988))*IF(AND(LEFT(F988,1)="(",RIGHT(F988,1)=")"),-1,1)*IF(E988="Cr",Setup!$B$6,1),"ERR")))</f>
        <v/>
      </c>
      <c r="H988" s="6">
        <f>IF(C988="","",IF(ISNUMBER(G988),1,0))</f>
        <v/>
      </c>
      <c r="I988" s="6">
        <f>IF(C988="","",IF(SUMPRODUCT(($C$12:$C$1511=C988)*1)&gt;1,1,0))</f>
        <v/>
      </c>
      <c r="J988" s="6">
        <f>IF(C988="","",SUMPRODUCT((Mapping!$F$5:$F$504=Setup!$B$4&amp;"||"&amp;C988)*ROW(Mapping!$F$5:$F$504)))</f>
        <v/>
      </c>
      <c r="K988" s="6">
        <f>IF(C988="","",IF(J988=0,"UNMAPPED",LOWER(INDEX(Mapping!$D$1:$D$504,J988))))</f>
        <v/>
      </c>
      <c r="L988" s="6">
        <f>IF(K988="mapped",TRIM(INDEX(Mapping!$C$1:$C$504,J988)),"")</f>
        <v/>
      </c>
      <c r="M988" s="6">
        <f>IF(C988="","",IF(SUMPRODUCT(($C$12:C988=C988)*1)=1,1,0))</f>
        <v/>
      </c>
      <c r="N988" s="6">
        <f>IF(AND(K988="UNMAPPED",M988=1),ROW(),"")</f>
        <v/>
      </c>
      <c r="O988" s="6">
        <f>IF(AND(I988=1,M988=1),ROW(),"")</f>
        <v/>
      </c>
      <c r="P988" s="6">
        <f>IF(AND(K988="ignored",M988=1),ROW(),"")</f>
        <v/>
      </c>
    </row>
    <row r="989">
      <c r="A989" s="8" t="n"/>
      <c r="B989" s="8" t="n"/>
      <c r="C989" s="6">
        <f>TRIM(A989&amp;"")</f>
        <v/>
      </c>
      <c r="D989" s="6">
        <f>IF(C989="","",SUBSTITUTE(SUBSTITUTE(SUBSTITUTE(SUBSTITUTE(SUBSTITUTE(SUBSTITUTE(SUBSTITUTE(UPPER(TRIM(B989&amp;"")),"₹",""),"RS.",""),"RS",""),"INR",""),"$",""),",","")," ",""))</f>
        <v/>
      </c>
      <c r="E989" s="6">
        <f>IF(C989="","",IF(RIGHT(D989,2)="CR","Cr",IF(RIGHT(D989,2)="DR","Dr","")))</f>
        <v/>
      </c>
      <c r="F989" s="6">
        <f>IF(C989="","",IF(E989&lt;&gt;"",LEFT(D989,LEN(D989)-2),D989))</f>
        <v/>
      </c>
      <c r="G989" s="13">
        <f>IF(C989="","",IF(OR(IF(AND(LEFT(F989,1)="(",RIGHT(F989,1)=")"),MID(F989,2,LEN(F989)-2),F989)="",IF(AND(LEFT(F989,1)="(",RIGHT(F989,1)=")"),MID(F989,2,LEN(F989)-2),F989)="-"),0,IFERROR(VALUE(IF(AND(LEFT(F989,1)="(",RIGHT(F989,1)=")"),MID(F989,2,LEN(F989)-2),F989))*IF(AND(LEFT(F989,1)="(",RIGHT(F989,1)=")"),-1,1)*IF(E989="Cr",Setup!$B$6,1),"ERR")))</f>
        <v/>
      </c>
      <c r="H989" s="6">
        <f>IF(C989="","",IF(ISNUMBER(G989),1,0))</f>
        <v/>
      </c>
      <c r="I989" s="6">
        <f>IF(C989="","",IF(SUMPRODUCT(($C$12:$C$1511=C989)*1)&gt;1,1,0))</f>
        <v/>
      </c>
      <c r="J989" s="6">
        <f>IF(C989="","",SUMPRODUCT((Mapping!$F$5:$F$504=Setup!$B$4&amp;"||"&amp;C989)*ROW(Mapping!$F$5:$F$504)))</f>
        <v/>
      </c>
      <c r="K989" s="6">
        <f>IF(C989="","",IF(J989=0,"UNMAPPED",LOWER(INDEX(Mapping!$D$1:$D$504,J989))))</f>
        <v/>
      </c>
      <c r="L989" s="6">
        <f>IF(K989="mapped",TRIM(INDEX(Mapping!$C$1:$C$504,J989)),"")</f>
        <v/>
      </c>
      <c r="M989" s="6">
        <f>IF(C989="","",IF(SUMPRODUCT(($C$12:C989=C989)*1)=1,1,0))</f>
        <v/>
      </c>
      <c r="N989" s="6">
        <f>IF(AND(K989="UNMAPPED",M989=1),ROW(),"")</f>
        <v/>
      </c>
      <c r="O989" s="6">
        <f>IF(AND(I989=1,M989=1),ROW(),"")</f>
        <v/>
      </c>
      <c r="P989" s="6">
        <f>IF(AND(K989="ignored",M989=1),ROW(),"")</f>
        <v/>
      </c>
    </row>
    <row r="990">
      <c r="A990" s="8" t="n"/>
      <c r="B990" s="8" t="n"/>
      <c r="C990" s="6">
        <f>TRIM(A990&amp;"")</f>
        <v/>
      </c>
      <c r="D990" s="6">
        <f>IF(C990="","",SUBSTITUTE(SUBSTITUTE(SUBSTITUTE(SUBSTITUTE(SUBSTITUTE(SUBSTITUTE(SUBSTITUTE(UPPER(TRIM(B990&amp;"")),"₹",""),"RS.",""),"RS",""),"INR",""),"$",""),",","")," ",""))</f>
        <v/>
      </c>
      <c r="E990" s="6">
        <f>IF(C990="","",IF(RIGHT(D990,2)="CR","Cr",IF(RIGHT(D990,2)="DR","Dr","")))</f>
        <v/>
      </c>
      <c r="F990" s="6">
        <f>IF(C990="","",IF(E990&lt;&gt;"",LEFT(D990,LEN(D990)-2),D990))</f>
        <v/>
      </c>
      <c r="G990" s="13">
        <f>IF(C990="","",IF(OR(IF(AND(LEFT(F990,1)="(",RIGHT(F990,1)=")"),MID(F990,2,LEN(F990)-2),F990)="",IF(AND(LEFT(F990,1)="(",RIGHT(F990,1)=")"),MID(F990,2,LEN(F990)-2),F990)="-"),0,IFERROR(VALUE(IF(AND(LEFT(F990,1)="(",RIGHT(F990,1)=")"),MID(F990,2,LEN(F990)-2),F990))*IF(AND(LEFT(F990,1)="(",RIGHT(F990,1)=")"),-1,1)*IF(E990="Cr",Setup!$B$6,1),"ERR")))</f>
        <v/>
      </c>
      <c r="H990" s="6">
        <f>IF(C990="","",IF(ISNUMBER(G990),1,0))</f>
        <v/>
      </c>
      <c r="I990" s="6">
        <f>IF(C990="","",IF(SUMPRODUCT(($C$12:$C$1511=C990)*1)&gt;1,1,0))</f>
        <v/>
      </c>
      <c r="J990" s="6">
        <f>IF(C990="","",SUMPRODUCT((Mapping!$F$5:$F$504=Setup!$B$4&amp;"||"&amp;C990)*ROW(Mapping!$F$5:$F$504)))</f>
        <v/>
      </c>
      <c r="K990" s="6">
        <f>IF(C990="","",IF(J990=0,"UNMAPPED",LOWER(INDEX(Mapping!$D$1:$D$504,J990))))</f>
        <v/>
      </c>
      <c r="L990" s="6">
        <f>IF(K990="mapped",TRIM(INDEX(Mapping!$C$1:$C$504,J990)),"")</f>
        <v/>
      </c>
      <c r="M990" s="6">
        <f>IF(C990="","",IF(SUMPRODUCT(($C$12:C990=C990)*1)=1,1,0))</f>
        <v/>
      </c>
      <c r="N990" s="6">
        <f>IF(AND(K990="UNMAPPED",M990=1),ROW(),"")</f>
        <v/>
      </c>
      <c r="O990" s="6">
        <f>IF(AND(I990=1,M990=1),ROW(),"")</f>
        <v/>
      </c>
      <c r="P990" s="6">
        <f>IF(AND(K990="ignored",M990=1),ROW(),"")</f>
        <v/>
      </c>
    </row>
    <row r="991">
      <c r="A991" s="8" t="n"/>
      <c r="B991" s="8" t="n"/>
      <c r="C991" s="6">
        <f>TRIM(A991&amp;"")</f>
        <v/>
      </c>
      <c r="D991" s="6">
        <f>IF(C991="","",SUBSTITUTE(SUBSTITUTE(SUBSTITUTE(SUBSTITUTE(SUBSTITUTE(SUBSTITUTE(SUBSTITUTE(UPPER(TRIM(B991&amp;"")),"₹",""),"RS.",""),"RS",""),"INR",""),"$",""),",","")," ",""))</f>
        <v/>
      </c>
      <c r="E991" s="6">
        <f>IF(C991="","",IF(RIGHT(D991,2)="CR","Cr",IF(RIGHT(D991,2)="DR","Dr","")))</f>
        <v/>
      </c>
      <c r="F991" s="6">
        <f>IF(C991="","",IF(E991&lt;&gt;"",LEFT(D991,LEN(D991)-2),D991))</f>
        <v/>
      </c>
      <c r="G991" s="13">
        <f>IF(C991="","",IF(OR(IF(AND(LEFT(F991,1)="(",RIGHT(F991,1)=")"),MID(F991,2,LEN(F991)-2),F991)="",IF(AND(LEFT(F991,1)="(",RIGHT(F991,1)=")"),MID(F991,2,LEN(F991)-2),F991)="-"),0,IFERROR(VALUE(IF(AND(LEFT(F991,1)="(",RIGHT(F991,1)=")"),MID(F991,2,LEN(F991)-2),F991))*IF(AND(LEFT(F991,1)="(",RIGHT(F991,1)=")"),-1,1)*IF(E991="Cr",Setup!$B$6,1),"ERR")))</f>
        <v/>
      </c>
      <c r="H991" s="6">
        <f>IF(C991="","",IF(ISNUMBER(G991),1,0))</f>
        <v/>
      </c>
      <c r="I991" s="6">
        <f>IF(C991="","",IF(SUMPRODUCT(($C$12:$C$1511=C991)*1)&gt;1,1,0))</f>
        <v/>
      </c>
      <c r="J991" s="6">
        <f>IF(C991="","",SUMPRODUCT((Mapping!$F$5:$F$504=Setup!$B$4&amp;"||"&amp;C991)*ROW(Mapping!$F$5:$F$504)))</f>
        <v/>
      </c>
      <c r="K991" s="6">
        <f>IF(C991="","",IF(J991=0,"UNMAPPED",LOWER(INDEX(Mapping!$D$1:$D$504,J991))))</f>
        <v/>
      </c>
      <c r="L991" s="6">
        <f>IF(K991="mapped",TRIM(INDEX(Mapping!$C$1:$C$504,J991)),"")</f>
        <v/>
      </c>
      <c r="M991" s="6">
        <f>IF(C991="","",IF(SUMPRODUCT(($C$12:C991=C991)*1)=1,1,0))</f>
        <v/>
      </c>
      <c r="N991" s="6">
        <f>IF(AND(K991="UNMAPPED",M991=1),ROW(),"")</f>
        <v/>
      </c>
      <c r="O991" s="6">
        <f>IF(AND(I991=1,M991=1),ROW(),"")</f>
        <v/>
      </c>
      <c r="P991" s="6">
        <f>IF(AND(K991="ignored",M991=1),ROW(),"")</f>
        <v/>
      </c>
    </row>
    <row r="992">
      <c r="A992" s="8" t="n"/>
      <c r="B992" s="8" t="n"/>
      <c r="C992" s="6">
        <f>TRIM(A992&amp;"")</f>
        <v/>
      </c>
      <c r="D992" s="6">
        <f>IF(C992="","",SUBSTITUTE(SUBSTITUTE(SUBSTITUTE(SUBSTITUTE(SUBSTITUTE(SUBSTITUTE(SUBSTITUTE(UPPER(TRIM(B992&amp;"")),"₹",""),"RS.",""),"RS",""),"INR",""),"$",""),",","")," ",""))</f>
        <v/>
      </c>
      <c r="E992" s="6">
        <f>IF(C992="","",IF(RIGHT(D992,2)="CR","Cr",IF(RIGHT(D992,2)="DR","Dr","")))</f>
        <v/>
      </c>
      <c r="F992" s="6">
        <f>IF(C992="","",IF(E992&lt;&gt;"",LEFT(D992,LEN(D992)-2),D992))</f>
        <v/>
      </c>
      <c r="G992" s="13">
        <f>IF(C992="","",IF(OR(IF(AND(LEFT(F992,1)="(",RIGHT(F992,1)=")"),MID(F992,2,LEN(F992)-2),F992)="",IF(AND(LEFT(F992,1)="(",RIGHT(F992,1)=")"),MID(F992,2,LEN(F992)-2),F992)="-"),0,IFERROR(VALUE(IF(AND(LEFT(F992,1)="(",RIGHT(F992,1)=")"),MID(F992,2,LEN(F992)-2),F992))*IF(AND(LEFT(F992,1)="(",RIGHT(F992,1)=")"),-1,1)*IF(E992="Cr",Setup!$B$6,1),"ERR")))</f>
        <v/>
      </c>
      <c r="H992" s="6">
        <f>IF(C992="","",IF(ISNUMBER(G992),1,0))</f>
        <v/>
      </c>
      <c r="I992" s="6">
        <f>IF(C992="","",IF(SUMPRODUCT(($C$12:$C$1511=C992)*1)&gt;1,1,0))</f>
        <v/>
      </c>
      <c r="J992" s="6">
        <f>IF(C992="","",SUMPRODUCT((Mapping!$F$5:$F$504=Setup!$B$4&amp;"||"&amp;C992)*ROW(Mapping!$F$5:$F$504)))</f>
        <v/>
      </c>
      <c r="K992" s="6">
        <f>IF(C992="","",IF(J992=0,"UNMAPPED",LOWER(INDEX(Mapping!$D$1:$D$504,J992))))</f>
        <v/>
      </c>
      <c r="L992" s="6">
        <f>IF(K992="mapped",TRIM(INDEX(Mapping!$C$1:$C$504,J992)),"")</f>
        <v/>
      </c>
      <c r="M992" s="6">
        <f>IF(C992="","",IF(SUMPRODUCT(($C$12:C992=C992)*1)=1,1,0))</f>
        <v/>
      </c>
      <c r="N992" s="6">
        <f>IF(AND(K992="UNMAPPED",M992=1),ROW(),"")</f>
        <v/>
      </c>
      <c r="O992" s="6">
        <f>IF(AND(I992=1,M992=1),ROW(),"")</f>
        <v/>
      </c>
      <c r="P992" s="6">
        <f>IF(AND(K992="ignored",M992=1),ROW(),"")</f>
        <v/>
      </c>
    </row>
    <row r="993">
      <c r="A993" s="8" t="n"/>
      <c r="B993" s="8" t="n"/>
      <c r="C993" s="6">
        <f>TRIM(A993&amp;"")</f>
        <v/>
      </c>
      <c r="D993" s="6">
        <f>IF(C993="","",SUBSTITUTE(SUBSTITUTE(SUBSTITUTE(SUBSTITUTE(SUBSTITUTE(SUBSTITUTE(SUBSTITUTE(UPPER(TRIM(B993&amp;"")),"₹",""),"RS.",""),"RS",""),"INR",""),"$",""),",","")," ",""))</f>
        <v/>
      </c>
      <c r="E993" s="6">
        <f>IF(C993="","",IF(RIGHT(D993,2)="CR","Cr",IF(RIGHT(D993,2)="DR","Dr","")))</f>
        <v/>
      </c>
      <c r="F993" s="6">
        <f>IF(C993="","",IF(E993&lt;&gt;"",LEFT(D993,LEN(D993)-2),D993))</f>
        <v/>
      </c>
      <c r="G993" s="13">
        <f>IF(C993="","",IF(OR(IF(AND(LEFT(F993,1)="(",RIGHT(F993,1)=")"),MID(F993,2,LEN(F993)-2),F993)="",IF(AND(LEFT(F993,1)="(",RIGHT(F993,1)=")"),MID(F993,2,LEN(F993)-2),F993)="-"),0,IFERROR(VALUE(IF(AND(LEFT(F993,1)="(",RIGHT(F993,1)=")"),MID(F993,2,LEN(F993)-2),F993))*IF(AND(LEFT(F993,1)="(",RIGHT(F993,1)=")"),-1,1)*IF(E993="Cr",Setup!$B$6,1),"ERR")))</f>
        <v/>
      </c>
      <c r="H993" s="6">
        <f>IF(C993="","",IF(ISNUMBER(G993),1,0))</f>
        <v/>
      </c>
      <c r="I993" s="6">
        <f>IF(C993="","",IF(SUMPRODUCT(($C$12:$C$1511=C993)*1)&gt;1,1,0))</f>
        <v/>
      </c>
      <c r="J993" s="6">
        <f>IF(C993="","",SUMPRODUCT((Mapping!$F$5:$F$504=Setup!$B$4&amp;"||"&amp;C993)*ROW(Mapping!$F$5:$F$504)))</f>
        <v/>
      </c>
      <c r="K993" s="6">
        <f>IF(C993="","",IF(J993=0,"UNMAPPED",LOWER(INDEX(Mapping!$D$1:$D$504,J993))))</f>
        <v/>
      </c>
      <c r="L993" s="6">
        <f>IF(K993="mapped",TRIM(INDEX(Mapping!$C$1:$C$504,J993)),"")</f>
        <v/>
      </c>
      <c r="M993" s="6">
        <f>IF(C993="","",IF(SUMPRODUCT(($C$12:C993=C993)*1)=1,1,0))</f>
        <v/>
      </c>
      <c r="N993" s="6">
        <f>IF(AND(K993="UNMAPPED",M993=1),ROW(),"")</f>
        <v/>
      </c>
      <c r="O993" s="6">
        <f>IF(AND(I993=1,M993=1),ROW(),"")</f>
        <v/>
      </c>
      <c r="P993" s="6">
        <f>IF(AND(K993="ignored",M993=1),ROW(),"")</f>
        <v/>
      </c>
    </row>
    <row r="994">
      <c r="A994" s="8" t="n"/>
      <c r="B994" s="8" t="n"/>
      <c r="C994" s="6">
        <f>TRIM(A994&amp;"")</f>
        <v/>
      </c>
      <c r="D994" s="6">
        <f>IF(C994="","",SUBSTITUTE(SUBSTITUTE(SUBSTITUTE(SUBSTITUTE(SUBSTITUTE(SUBSTITUTE(SUBSTITUTE(UPPER(TRIM(B994&amp;"")),"₹",""),"RS.",""),"RS",""),"INR",""),"$",""),",","")," ",""))</f>
        <v/>
      </c>
      <c r="E994" s="6">
        <f>IF(C994="","",IF(RIGHT(D994,2)="CR","Cr",IF(RIGHT(D994,2)="DR","Dr","")))</f>
        <v/>
      </c>
      <c r="F994" s="6">
        <f>IF(C994="","",IF(E994&lt;&gt;"",LEFT(D994,LEN(D994)-2),D994))</f>
        <v/>
      </c>
      <c r="G994" s="13">
        <f>IF(C994="","",IF(OR(IF(AND(LEFT(F994,1)="(",RIGHT(F994,1)=")"),MID(F994,2,LEN(F994)-2),F994)="",IF(AND(LEFT(F994,1)="(",RIGHT(F994,1)=")"),MID(F994,2,LEN(F994)-2),F994)="-"),0,IFERROR(VALUE(IF(AND(LEFT(F994,1)="(",RIGHT(F994,1)=")"),MID(F994,2,LEN(F994)-2),F994))*IF(AND(LEFT(F994,1)="(",RIGHT(F994,1)=")"),-1,1)*IF(E994="Cr",Setup!$B$6,1),"ERR")))</f>
        <v/>
      </c>
      <c r="H994" s="6">
        <f>IF(C994="","",IF(ISNUMBER(G994),1,0))</f>
        <v/>
      </c>
      <c r="I994" s="6">
        <f>IF(C994="","",IF(SUMPRODUCT(($C$12:$C$1511=C994)*1)&gt;1,1,0))</f>
        <v/>
      </c>
      <c r="J994" s="6">
        <f>IF(C994="","",SUMPRODUCT((Mapping!$F$5:$F$504=Setup!$B$4&amp;"||"&amp;C994)*ROW(Mapping!$F$5:$F$504)))</f>
        <v/>
      </c>
      <c r="K994" s="6">
        <f>IF(C994="","",IF(J994=0,"UNMAPPED",LOWER(INDEX(Mapping!$D$1:$D$504,J994))))</f>
        <v/>
      </c>
      <c r="L994" s="6">
        <f>IF(K994="mapped",TRIM(INDEX(Mapping!$C$1:$C$504,J994)),"")</f>
        <v/>
      </c>
      <c r="M994" s="6">
        <f>IF(C994="","",IF(SUMPRODUCT(($C$12:C994=C994)*1)=1,1,0))</f>
        <v/>
      </c>
      <c r="N994" s="6">
        <f>IF(AND(K994="UNMAPPED",M994=1),ROW(),"")</f>
        <v/>
      </c>
      <c r="O994" s="6">
        <f>IF(AND(I994=1,M994=1),ROW(),"")</f>
        <v/>
      </c>
      <c r="P994" s="6">
        <f>IF(AND(K994="ignored",M994=1),ROW(),"")</f>
        <v/>
      </c>
    </row>
    <row r="995">
      <c r="A995" s="8" t="n"/>
      <c r="B995" s="8" t="n"/>
      <c r="C995" s="6">
        <f>TRIM(A995&amp;"")</f>
        <v/>
      </c>
      <c r="D995" s="6">
        <f>IF(C995="","",SUBSTITUTE(SUBSTITUTE(SUBSTITUTE(SUBSTITUTE(SUBSTITUTE(SUBSTITUTE(SUBSTITUTE(UPPER(TRIM(B995&amp;"")),"₹",""),"RS.",""),"RS",""),"INR",""),"$",""),",","")," ",""))</f>
        <v/>
      </c>
      <c r="E995" s="6">
        <f>IF(C995="","",IF(RIGHT(D995,2)="CR","Cr",IF(RIGHT(D995,2)="DR","Dr","")))</f>
        <v/>
      </c>
      <c r="F995" s="6">
        <f>IF(C995="","",IF(E995&lt;&gt;"",LEFT(D995,LEN(D995)-2),D995))</f>
        <v/>
      </c>
      <c r="G995" s="13">
        <f>IF(C995="","",IF(OR(IF(AND(LEFT(F995,1)="(",RIGHT(F995,1)=")"),MID(F995,2,LEN(F995)-2),F995)="",IF(AND(LEFT(F995,1)="(",RIGHT(F995,1)=")"),MID(F995,2,LEN(F995)-2),F995)="-"),0,IFERROR(VALUE(IF(AND(LEFT(F995,1)="(",RIGHT(F995,1)=")"),MID(F995,2,LEN(F995)-2),F995))*IF(AND(LEFT(F995,1)="(",RIGHT(F995,1)=")"),-1,1)*IF(E995="Cr",Setup!$B$6,1),"ERR")))</f>
        <v/>
      </c>
      <c r="H995" s="6">
        <f>IF(C995="","",IF(ISNUMBER(G995),1,0))</f>
        <v/>
      </c>
      <c r="I995" s="6">
        <f>IF(C995="","",IF(SUMPRODUCT(($C$12:$C$1511=C995)*1)&gt;1,1,0))</f>
        <v/>
      </c>
      <c r="J995" s="6">
        <f>IF(C995="","",SUMPRODUCT((Mapping!$F$5:$F$504=Setup!$B$4&amp;"||"&amp;C995)*ROW(Mapping!$F$5:$F$504)))</f>
        <v/>
      </c>
      <c r="K995" s="6">
        <f>IF(C995="","",IF(J995=0,"UNMAPPED",LOWER(INDEX(Mapping!$D$1:$D$504,J995))))</f>
        <v/>
      </c>
      <c r="L995" s="6">
        <f>IF(K995="mapped",TRIM(INDEX(Mapping!$C$1:$C$504,J995)),"")</f>
        <v/>
      </c>
      <c r="M995" s="6">
        <f>IF(C995="","",IF(SUMPRODUCT(($C$12:C995=C995)*1)=1,1,0))</f>
        <v/>
      </c>
      <c r="N995" s="6">
        <f>IF(AND(K995="UNMAPPED",M995=1),ROW(),"")</f>
        <v/>
      </c>
      <c r="O995" s="6">
        <f>IF(AND(I995=1,M995=1),ROW(),"")</f>
        <v/>
      </c>
      <c r="P995" s="6">
        <f>IF(AND(K995="ignored",M995=1),ROW(),"")</f>
        <v/>
      </c>
    </row>
    <row r="996">
      <c r="A996" s="8" t="n"/>
      <c r="B996" s="8" t="n"/>
      <c r="C996" s="6">
        <f>TRIM(A996&amp;"")</f>
        <v/>
      </c>
      <c r="D996" s="6">
        <f>IF(C996="","",SUBSTITUTE(SUBSTITUTE(SUBSTITUTE(SUBSTITUTE(SUBSTITUTE(SUBSTITUTE(SUBSTITUTE(UPPER(TRIM(B996&amp;"")),"₹",""),"RS.",""),"RS",""),"INR",""),"$",""),",","")," ",""))</f>
        <v/>
      </c>
      <c r="E996" s="6">
        <f>IF(C996="","",IF(RIGHT(D996,2)="CR","Cr",IF(RIGHT(D996,2)="DR","Dr","")))</f>
        <v/>
      </c>
      <c r="F996" s="6">
        <f>IF(C996="","",IF(E996&lt;&gt;"",LEFT(D996,LEN(D996)-2),D996))</f>
        <v/>
      </c>
      <c r="G996" s="13">
        <f>IF(C996="","",IF(OR(IF(AND(LEFT(F996,1)="(",RIGHT(F996,1)=")"),MID(F996,2,LEN(F996)-2),F996)="",IF(AND(LEFT(F996,1)="(",RIGHT(F996,1)=")"),MID(F996,2,LEN(F996)-2),F996)="-"),0,IFERROR(VALUE(IF(AND(LEFT(F996,1)="(",RIGHT(F996,1)=")"),MID(F996,2,LEN(F996)-2),F996))*IF(AND(LEFT(F996,1)="(",RIGHT(F996,1)=")"),-1,1)*IF(E996="Cr",Setup!$B$6,1),"ERR")))</f>
        <v/>
      </c>
      <c r="H996" s="6">
        <f>IF(C996="","",IF(ISNUMBER(G996),1,0))</f>
        <v/>
      </c>
      <c r="I996" s="6">
        <f>IF(C996="","",IF(SUMPRODUCT(($C$12:$C$1511=C996)*1)&gt;1,1,0))</f>
        <v/>
      </c>
      <c r="J996" s="6">
        <f>IF(C996="","",SUMPRODUCT((Mapping!$F$5:$F$504=Setup!$B$4&amp;"||"&amp;C996)*ROW(Mapping!$F$5:$F$504)))</f>
        <v/>
      </c>
      <c r="K996" s="6">
        <f>IF(C996="","",IF(J996=0,"UNMAPPED",LOWER(INDEX(Mapping!$D$1:$D$504,J996))))</f>
        <v/>
      </c>
      <c r="L996" s="6">
        <f>IF(K996="mapped",TRIM(INDEX(Mapping!$C$1:$C$504,J996)),"")</f>
        <v/>
      </c>
      <c r="M996" s="6">
        <f>IF(C996="","",IF(SUMPRODUCT(($C$12:C996=C996)*1)=1,1,0))</f>
        <v/>
      </c>
      <c r="N996" s="6">
        <f>IF(AND(K996="UNMAPPED",M996=1),ROW(),"")</f>
        <v/>
      </c>
      <c r="O996" s="6">
        <f>IF(AND(I996=1,M996=1),ROW(),"")</f>
        <v/>
      </c>
      <c r="P996" s="6">
        <f>IF(AND(K996="ignored",M996=1),ROW(),"")</f>
        <v/>
      </c>
    </row>
    <row r="997">
      <c r="A997" s="8" t="n"/>
      <c r="B997" s="8" t="n"/>
      <c r="C997" s="6">
        <f>TRIM(A997&amp;"")</f>
        <v/>
      </c>
      <c r="D997" s="6">
        <f>IF(C997="","",SUBSTITUTE(SUBSTITUTE(SUBSTITUTE(SUBSTITUTE(SUBSTITUTE(SUBSTITUTE(SUBSTITUTE(UPPER(TRIM(B997&amp;"")),"₹",""),"RS.",""),"RS",""),"INR",""),"$",""),",","")," ",""))</f>
        <v/>
      </c>
      <c r="E997" s="6">
        <f>IF(C997="","",IF(RIGHT(D997,2)="CR","Cr",IF(RIGHT(D997,2)="DR","Dr","")))</f>
        <v/>
      </c>
      <c r="F997" s="6">
        <f>IF(C997="","",IF(E997&lt;&gt;"",LEFT(D997,LEN(D997)-2),D997))</f>
        <v/>
      </c>
      <c r="G997" s="13">
        <f>IF(C997="","",IF(OR(IF(AND(LEFT(F997,1)="(",RIGHT(F997,1)=")"),MID(F997,2,LEN(F997)-2),F997)="",IF(AND(LEFT(F997,1)="(",RIGHT(F997,1)=")"),MID(F997,2,LEN(F997)-2),F997)="-"),0,IFERROR(VALUE(IF(AND(LEFT(F997,1)="(",RIGHT(F997,1)=")"),MID(F997,2,LEN(F997)-2),F997))*IF(AND(LEFT(F997,1)="(",RIGHT(F997,1)=")"),-1,1)*IF(E997="Cr",Setup!$B$6,1),"ERR")))</f>
        <v/>
      </c>
      <c r="H997" s="6">
        <f>IF(C997="","",IF(ISNUMBER(G997),1,0))</f>
        <v/>
      </c>
      <c r="I997" s="6">
        <f>IF(C997="","",IF(SUMPRODUCT(($C$12:$C$1511=C997)*1)&gt;1,1,0))</f>
        <v/>
      </c>
      <c r="J997" s="6">
        <f>IF(C997="","",SUMPRODUCT((Mapping!$F$5:$F$504=Setup!$B$4&amp;"||"&amp;C997)*ROW(Mapping!$F$5:$F$504)))</f>
        <v/>
      </c>
      <c r="K997" s="6">
        <f>IF(C997="","",IF(J997=0,"UNMAPPED",LOWER(INDEX(Mapping!$D$1:$D$504,J997))))</f>
        <v/>
      </c>
      <c r="L997" s="6">
        <f>IF(K997="mapped",TRIM(INDEX(Mapping!$C$1:$C$504,J997)),"")</f>
        <v/>
      </c>
      <c r="M997" s="6">
        <f>IF(C997="","",IF(SUMPRODUCT(($C$12:C997=C997)*1)=1,1,0))</f>
        <v/>
      </c>
      <c r="N997" s="6">
        <f>IF(AND(K997="UNMAPPED",M997=1),ROW(),"")</f>
        <v/>
      </c>
      <c r="O997" s="6">
        <f>IF(AND(I997=1,M997=1),ROW(),"")</f>
        <v/>
      </c>
      <c r="P997" s="6">
        <f>IF(AND(K997="ignored",M997=1),ROW(),"")</f>
        <v/>
      </c>
    </row>
    <row r="998">
      <c r="A998" s="8" t="n"/>
      <c r="B998" s="8" t="n"/>
      <c r="C998" s="6">
        <f>TRIM(A998&amp;"")</f>
        <v/>
      </c>
      <c r="D998" s="6">
        <f>IF(C998="","",SUBSTITUTE(SUBSTITUTE(SUBSTITUTE(SUBSTITUTE(SUBSTITUTE(SUBSTITUTE(SUBSTITUTE(UPPER(TRIM(B998&amp;"")),"₹",""),"RS.",""),"RS",""),"INR",""),"$",""),",","")," ",""))</f>
        <v/>
      </c>
      <c r="E998" s="6">
        <f>IF(C998="","",IF(RIGHT(D998,2)="CR","Cr",IF(RIGHT(D998,2)="DR","Dr","")))</f>
        <v/>
      </c>
      <c r="F998" s="6">
        <f>IF(C998="","",IF(E998&lt;&gt;"",LEFT(D998,LEN(D998)-2),D998))</f>
        <v/>
      </c>
      <c r="G998" s="13">
        <f>IF(C998="","",IF(OR(IF(AND(LEFT(F998,1)="(",RIGHT(F998,1)=")"),MID(F998,2,LEN(F998)-2),F998)="",IF(AND(LEFT(F998,1)="(",RIGHT(F998,1)=")"),MID(F998,2,LEN(F998)-2),F998)="-"),0,IFERROR(VALUE(IF(AND(LEFT(F998,1)="(",RIGHT(F998,1)=")"),MID(F998,2,LEN(F998)-2),F998))*IF(AND(LEFT(F998,1)="(",RIGHT(F998,1)=")"),-1,1)*IF(E998="Cr",Setup!$B$6,1),"ERR")))</f>
        <v/>
      </c>
      <c r="H998" s="6">
        <f>IF(C998="","",IF(ISNUMBER(G998),1,0))</f>
        <v/>
      </c>
      <c r="I998" s="6">
        <f>IF(C998="","",IF(SUMPRODUCT(($C$12:$C$1511=C998)*1)&gt;1,1,0))</f>
        <v/>
      </c>
      <c r="J998" s="6">
        <f>IF(C998="","",SUMPRODUCT((Mapping!$F$5:$F$504=Setup!$B$4&amp;"||"&amp;C998)*ROW(Mapping!$F$5:$F$504)))</f>
        <v/>
      </c>
      <c r="K998" s="6">
        <f>IF(C998="","",IF(J998=0,"UNMAPPED",LOWER(INDEX(Mapping!$D$1:$D$504,J998))))</f>
        <v/>
      </c>
      <c r="L998" s="6">
        <f>IF(K998="mapped",TRIM(INDEX(Mapping!$C$1:$C$504,J998)),"")</f>
        <v/>
      </c>
      <c r="M998" s="6">
        <f>IF(C998="","",IF(SUMPRODUCT(($C$12:C998=C998)*1)=1,1,0))</f>
        <v/>
      </c>
      <c r="N998" s="6">
        <f>IF(AND(K998="UNMAPPED",M998=1),ROW(),"")</f>
        <v/>
      </c>
      <c r="O998" s="6">
        <f>IF(AND(I998=1,M998=1),ROW(),"")</f>
        <v/>
      </c>
      <c r="P998" s="6">
        <f>IF(AND(K998="ignored",M998=1),ROW(),"")</f>
        <v/>
      </c>
    </row>
    <row r="999">
      <c r="A999" s="8" t="n"/>
      <c r="B999" s="8" t="n"/>
      <c r="C999" s="6">
        <f>TRIM(A999&amp;"")</f>
        <v/>
      </c>
      <c r="D999" s="6">
        <f>IF(C999="","",SUBSTITUTE(SUBSTITUTE(SUBSTITUTE(SUBSTITUTE(SUBSTITUTE(SUBSTITUTE(SUBSTITUTE(UPPER(TRIM(B999&amp;"")),"₹",""),"RS.",""),"RS",""),"INR",""),"$",""),",","")," ",""))</f>
        <v/>
      </c>
      <c r="E999" s="6">
        <f>IF(C999="","",IF(RIGHT(D999,2)="CR","Cr",IF(RIGHT(D999,2)="DR","Dr","")))</f>
        <v/>
      </c>
      <c r="F999" s="6">
        <f>IF(C999="","",IF(E999&lt;&gt;"",LEFT(D999,LEN(D999)-2),D999))</f>
        <v/>
      </c>
      <c r="G999" s="13">
        <f>IF(C999="","",IF(OR(IF(AND(LEFT(F999,1)="(",RIGHT(F999,1)=")"),MID(F999,2,LEN(F999)-2),F999)="",IF(AND(LEFT(F999,1)="(",RIGHT(F999,1)=")"),MID(F999,2,LEN(F999)-2),F999)="-"),0,IFERROR(VALUE(IF(AND(LEFT(F999,1)="(",RIGHT(F999,1)=")"),MID(F999,2,LEN(F999)-2),F999))*IF(AND(LEFT(F999,1)="(",RIGHT(F999,1)=")"),-1,1)*IF(E999="Cr",Setup!$B$6,1),"ERR")))</f>
        <v/>
      </c>
      <c r="H999" s="6">
        <f>IF(C999="","",IF(ISNUMBER(G999),1,0))</f>
        <v/>
      </c>
      <c r="I999" s="6">
        <f>IF(C999="","",IF(SUMPRODUCT(($C$12:$C$1511=C999)*1)&gt;1,1,0))</f>
        <v/>
      </c>
      <c r="J999" s="6">
        <f>IF(C999="","",SUMPRODUCT((Mapping!$F$5:$F$504=Setup!$B$4&amp;"||"&amp;C999)*ROW(Mapping!$F$5:$F$504)))</f>
        <v/>
      </c>
      <c r="K999" s="6">
        <f>IF(C999="","",IF(J999=0,"UNMAPPED",LOWER(INDEX(Mapping!$D$1:$D$504,J999))))</f>
        <v/>
      </c>
      <c r="L999" s="6">
        <f>IF(K999="mapped",TRIM(INDEX(Mapping!$C$1:$C$504,J999)),"")</f>
        <v/>
      </c>
      <c r="M999" s="6">
        <f>IF(C999="","",IF(SUMPRODUCT(($C$12:C999=C999)*1)=1,1,0))</f>
        <v/>
      </c>
      <c r="N999" s="6">
        <f>IF(AND(K999="UNMAPPED",M999=1),ROW(),"")</f>
        <v/>
      </c>
      <c r="O999" s="6">
        <f>IF(AND(I999=1,M999=1),ROW(),"")</f>
        <v/>
      </c>
      <c r="P999" s="6">
        <f>IF(AND(K999="ignored",M999=1),ROW(),"")</f>
        <v/>
      </c>
    </row>
    <row r="1000">
      <c r="A1000" s="8" t="n"/>
      <c r="B1000" s="8" t="n"/>
      <c r="C1000" s="6">
        <f>TRIM(A1000&amp;"")</f>
        <v/>
      </c>
      <c r="D1000" s="6">
        <f>IF(C1000="","",SUBSTITUTE(SUBSTITUTE(SUBSTITUTE(SUBSTITUTE(SUBSTITUTE(SUBSTITUTE(SUBSTITUTE(UPPER(TRIM(B1000&amp;"")),"₹",""),"RS.",""),"RS",""),"INR",""),"$",""),",","")," ",""))</f>
        <v/>
      </c>
      <c r="E1000" s="6">
        <f>IF(C1000="","",IF(RIGHT(D1000,2)="CR","Cr",IF(RIGHT(D1000,2)="DR","Dr","")))</f>
        <v/>
      </c>
      <c r="F1000" s="6">
        <f>IF(C1000="","",IF(E1000&lt;&gt;"",LEFT(D1000,LEN(D1000)-2),D1000))</f>
        <v/>
      </c>
      <c r="G1000" s="13">
        <f>IF(C1000="","",IF(OR(IF(AND(LEFT(F1000,1)="(",RIGHT(F1000,1)=")"),MID(F1000,2,LEN(F1000)-2),F1000)="",IF(AND(LEFT(F1000,1)="(",RIGHT(F1000,1)=")"),MID(F1000,2,LEN(F1000)-2),F1000)="-"),0,IFERROR(VALUE(IF(AND(LEFT(F1000,1)="(",RIGHT(F1000,1)=")"),MID(F1000,2,LEN(F1000)-2),F1000))*IF(AND(LEFT(F1000,1)="(",RIGHT(F1000,1)=")"),-1,1)*IF(E1000="Cr",Setup!$B$6,1),"ERR")))</f>
        <v/>
      </c>
      <c r="H1000" s="6">
        <f>IF(C1000="","",IF(ISNUMBER(G1000),1,0))</f>
        <v/>
      </c>
      <c r="I1000" s="6">
        <f>IF(C1000="","",IF(SUMPRODUCT(($C$12:$C$1511=C1000)*1)&gt;1,1,0))</f>
        <v/>
      </c>
      <c r="J1000" s="6">
        <f>IF(C1000="","",SUMPRODUCT((Mapping!$F$5:$F$504=Setup!$B$4&amp;"||"&amp;C1000)*ROW(Mapping!$F$5:$F$504)))</f>
        <v/>
      </c>
      <c r="K1000" s="6">
        <f>IF(C1000="","",IF(J1000=0,"UNMAPPED",LOWER(INDEX(Mapping!$D$1:$D$504,J1000))))</f>
        <v/>
      </c>
      <c r="L1000" s="6">
        <f>IF(K1000="mapped",TRIM(INDEX(Mapping!$C$1:$C$504,J1000)),"")</f>
        <v/>
      </c>
      <c r="M1000" s="6">
        <f>IF(C1000="","",IF(SUMPRODUCT(($C$12:C1000=C1000)*1)=1,1,0))</f>
        <v/>
      </c>
      <c r="N1000" s="6">
        <f>IF(AND(K1000="UNMAPPED",M1000=1),ROW(),"")</f>
        <v/>
      </c>
      <c r="O1000" s="6">
        <f>IF(AND(I1000=1,M1000=1),ROW(),"")</f>
        <v/>
      </c>
      <c r="P1000" s="6">
        <f>IF(AND(K1000="ignored",M1000=1),ROW(),"")</f>
        <v/>
      </c>
    </row>
    <row r="1001">
      <c r="A1001" s="8" t="n"/>
      <c r="B1001" s="8" t="n"/>
      <c r="C1001" s="6">
        <f>TRIM(A1001&amp;"")</f>
        <v/>
      </c>
      <c r="D1001" s="6">
        <f>IF(C1001="","",SUBSTITUTE(SUBSTITUTE(SUBSTITUTE(SUBSTITUTE(SUBSTITUTE(SUBSTITUTE(SUBSTITUTE(UPPER(TRIM(B1001&amp;"")),"₹",""),"RS.",""),"RS",""),"INR",""),"$",""),",","")," ",""))</f>
        <v/>
      </c>
      <c r="E1001" s="6">
        <f>IF(C1001="","",IF(RIGHT(D1001,2)="CR","Cr",IF(RIGHT(D1001,2)="DR","Dr","")))</f>
        <v/>
      </c>
      <c r="F1001" s="6">
        <f>IF(C1001="","",IF(E1001&lt;&gt;"",LEFT(D1001,LEN(D1001)-2),D1001))</f>
        <v/>
      </c>
      <c r="G1001" s="13">
        <f>IF(C1001="","",IF(OR(IF(AND(LEFT(F1001,1)="(",RIGHT(F1001,1)=")"),MID(F1001,2,LEN(F1001)-2),F1001)="",IF(AND(LEFT(F1001,1)="(",RIGHT(F1001,1)=")"),MID(F1001,2,LEN(F1001)-2),F1001)="-"),0,IFERROR(VALUE(IF(AND(LEFT(F1001,1)="(",RIGHT(F1001,1)=")"),MID(F1001,2,LEN(F1001)-2),F1001))*IF(AND(LEFT(F1001,1)="(",RIGHT(F1001,1)=")"),-1,1)*IF(E1001="Cr",Setup!$B$6,1),"ERR")))</f>
        <v/>
      </c>
      <c r="H1001" s="6">
        <f>IF(C1001="","",IF(ISNUMBER(G1001),1,0))</f>
        <v/>
      </c>
      <c r="I1001" s="6">
        <f>IF(C1001="","",IF(SUMPRODUCT(($C$12:$C$1511=C1001)*1)&gt;1,1,0))</f>
        <v/>
      </c>
      <c r="J1001" s="6">
        <f>IF(C1001="","",SUMPRODUCT((Mapping!$F$5:$F$504=Setup!$B$4&amp;"||"&amp;C1001)*ROW(Mapping!$F$5:$F$504)))</f>
        <v/>
      </c>
      <c r="K1001" s="6">
        <f>IF(C1001="","",IF(J1001=0,"UNMAPPED",LOWER(INDEX(Mapping!$D$1:$D$504,J1001))))</f>
        <v/>
      </c>
      <c r="L1001" s="6">
        <f>IF(K1001="mapped",TRIM(INDEX(Mapping!$C$1:$C$504,J1001)),"")</f>
        <v/>
      </c>
      <c r="M1001" s="6">
        <f>IF(C1001="","",IF(SUMPRODUCT(($C$12:C1001=C1001)*1)=1,1,0))</f>
        <v/>
      </c>
      <c r="N1001" s="6">
        <f>IF(AND(K1001="UNMAPPED",M1001=1),ROW(),"")</f>
        <v/>
      </c>
      <c r="O1001" s="6">
        <f>IF(AND(I1001=1,M1001=1),ROW(),"")</f>
        <v/>
      </c>
      <c r="P1001" s="6">
        <f>IF(AND(K1001="ignored",M1001=1),ROW(),"")</f>
        <v/>
      </c>
    </row>
    <row r="1002">
      <c r="A1002" s="8" t="n"/>
      <c r="B1002" s="8" t="n"/>
      <c r="C1002" s="6">
        <f>TRIM(A1002&amp;"")</f>
        <v/>
      </c>
      <c r="D1002" s="6">
        <f>IF(C1002="","",SUBSTITUTE(SUBSTITUTE(SUBSTITUTE(SUBSTITUTE(SUBSTITUTE(SUBSTITUTE(SUBSTITUTE(UPPER(TRIM(B1002&amp;"")),"₹",""),"RS.",""),"RS",""),"INR",""),"$",""),",","")," ",""))</f>
        <v/>
      </c>
      <c r="E1002" s="6">
        <f>IF(C1002="","",IF(RIGHT(D1002,2)="CR","Cr",IF(RIGHT(D1002,2)="DR","Dr","")))</f>
        <v/>
      </c>
      <c r="F1002" s="6">
        <f>IF(C1002="","",IF(E1002&lt;&gt;"",LEFT(D1002,LEN(D1002)-2),D1002))</f>
        <v/>
      </c>
      <c r="G1002" s="13">
        <f>IF(C1002="","",IF(OR(IF(AND(LEFT(F1002,1)="(",RIGHT(F1002,1)=")"),MID(F1002,2,LEN(F1002)-2),F1002)="",IF(AND(LEFT(F1002,1)="(",RIGHT(F1002,1)=")"),MID(F1002,2,LEN(F1002)-2),F1002)="-"),0,IFERROR(VALUE(IF(AND(LEFT(F1002,1)="(",RIGHT(F1002,1)=")"),MID(F1002,2,LEN(F1002)-2),F1002))*IF(AND(LEFT(F1002,1)="(",RIGHT(F1002,1)=")"),-1,1)*IF(E1002="Cr",Setup!$B$6,1),"ERR")))</f>
        <v/>
      </c>
      <c r="H1002" s="6">
        <f>IF(C1002="","",IF(ISNUMBER(G1002),1,0))</f>
        <v/>
      </c>
      <c r="I1002" s="6">
        <f>IF(C1002="","",IF(SUMPRODUCT(($C$12:$C$1511=C1002)*1)&gt;1,1,0))</f>
        <v/>
      </c>
      <c r="J1002" s="6">
        <f>IF(C1002="","",SUMPRODUCT((Mapping!$F$5:$F$504=Setup!$B$4&amp;"||"&amp;C1002)*ROW(Mapping!$F$5:$F$504)))</f>
        <v/>
      </c>
      <c r="K1002" s="6">
        <f>IF(C1002="","",IF(J1002=0,"UNMAPPED",LOWER(INDEX(Mapping!$D$1:$D$504,J1002))))</f>
        <v/>
      </c>
      <c r="L1002" s="6">
        <f>IF(K1002="mapped",TRIM(INDEX(Mapping!$C$1:$C$504,J1002)),"")</f>
        <v/>
      </c>
      <c r="M1002" s="6">
        <f>IF(C1002="","",IF(SUMPRODUCT(($C$12:C1002=C1002)*1)=1,1,0))</f>
        <v/>
      </c>
      <c r="N1002" s="6">
        <f>IF(AND(K1002="UNMAPPED",M1002=1),ROW(),"")</f>
        <v/>
      </c>
      <c r="O1002" s="6">
        <f>IF(AND(I1002=1,M1002=1),ROW(),"")</f>
        <v/>
      </c>
      <c r="P1002" s="6">
        <f>IF(AND(K1002="ignored",M1002=1),ROW(),"")</f>
        <v/>
      </c>
    </row>
    <row r="1003">
      <c r="A1003" s="8" t="n"/>
      <c r="B1003" s="8" t="n"/>
      <c r="C1003" s="6">
        <f>TRIM(A1003&amp;"")</f>
        <v/>
      </c>
      <c r="D1003" s="6">
        <f>IF(C1003="","",SUBSTITUTE(SUBSTITUTE(SUBSTITUTE(SUBSTITUTE(SUBSTITUTE(SUBSTITUTE(SUBSTITUTE(UPPER(TRIM(B1003&amp;"")),"₹",""),"RS.",""),"RS",""),"INR",""),"$",""),",","")," ",""))</f>
        <v/>
      </c>
      <c r="E1003" s="6">
        <f>IF(C1003="","",IF(RIGHT(D1003,2)="CR","Cr",IF(RIGHT(D1003,2)="DR","Dr","")))</f>
        <v/>
      </c>
      <c r="F1003" s="6">
        <f>IF(C1003="","",IF(E1003&lt;&gt;"",LEFT(D1003,LEN(D1003)-2),D1003))</f>
        <v/>
      </c>
      <c r="G1003" s="13">
        <f>IF(C1003="","",IF(OR(IF(AND(LEFT(F1003,1)="(",RIGHT(F1003,1)=")"),MID(F1003,2,LEN(F1003)-2),F1003)="",IF(AND(LEFT(F1003,1)="(",RIGHT(F1003,1)=")"),MID(F1003,2,LEN(F1003)-2),F1003)="-"),0,IFERROR(VALUE(IF(AND(LEFT(F1003,1)="(",RIGHT(F1003,1)=")"),MID(F1003,2,LEN(F1003)-2),F1003))*IF(AND(LEFT(F1003,1)="(",RIGHT(F1003,1)=")"),-1,1)*IF(E1003="Cr",Setup!$B$6,1),"ERR")))</f>
        <v/>
      </c>
      <c r="H1003" s="6">
        <f>IF(C1003="","",IF(ISNUMBER(G1003),1,0))</f>
        <v/>
      </c>
      <c r="I1003" s="6">
        <f>IF(C1003="","",IF(SUMPRODUCT(($C$12:$C$1511=C1003)*1)&gt;1,1,0))</f>
        <v/>
      </c>
      <c r="J1003" s="6">
        <f>IF(C1003="","",SUMPRODUCT((Mapping!$F$5:$F$504=Setup!$B$4&amp;"||"&amp;C1003)*ROW(Mapping!$F$5:$F$504)))</f>
        <v/>
      </c>
      <c r="K1003" s="6">
        <f>IF(C1003="","",IF(J1003=0,"UNMAPPED",LOWER(INDEX(Mapping!$D$1:$D$504,J1003))))</f>
        <v/>
      </c>
      <c r="L1003" s="6">
        <f>IF(K1003="mapped",TRIM(INDEX(Mapping!$C$1:$C$504,J1003)),"")</f>
        <v/>
      </c>
      <c r="M1003" s="6">
        <f>IF(C1003="","",IF(SUMPRODUCT(($C$12:C1003=C1003)*1)=1,1,0))</f>
        <v/>
      </c>
      <c r="N1003" s="6">
        <f>IF(AND(K1003="UNMAPPED",M1003=1),ROW(),"")</f>
        <v/>
      </c>
      <c r="O1003" s="6">
        <f>IF(AND(I1003=1,M1003=1),ROW(),"")</f>
        <v/>
      </c>
      <c r="P1003" s="6">
        <f>IF(AND(K1003="ignored",M1003=1),ROW(),"")</f>
        <v/>
      </c>
    </row>
    <row r="1004">
      <c r="A1004" s="8" t="n"/>
      <c r="B1004" s="8" t="n"/>
      <c r="C1004" s="6">
        <f>TRIM(A1004&amp;"")</f>
        <v/>
      </c>
      <c r="D1004" s="6">
        <f>IF(C1004="","",SUBSTITUTE(SUBSTITUTE(SUBSTITUTE(SUBSTITUTE(SUBSTITUTE(SUBSTITUTE(SUBSTITUTE(UPPER(TRIM(B1004&amp;"")),"₹",""),"RS.",""),"RS",""),"INR",""),"$",""),",","")," ",""))</f>
        <v/>
      </c>
      <c r="E1004" s="6">
        <f>IF(C1004="","",IF(RIGHT(D1004,2)="CR","Cr",IF(RIGHT(D1004,2)="DR","Dr","")))</f>
        <v/>
      </c>
      <c r="F1004" s="6">
        <f>IF(C1004="","",IF(E1004&lt;&gt;"",LEFT(D1004,LEN(D1004)-2),D1004))</f>
        <v/>
      </c>
      <c r="G1004" s="13">
        <f>IF(C1004="","",IF(OR(IF(AND(LEFT(F1004,1)="(",RIGHT(F1004,1)=")"),MID(F1004,2,LEN(F1004)-2),F1004)="",IF(AND(LEFT(F1004,1)="(",RIGHT(F1004,1)=")"),MID(F1004,2,LEN(F1004)-2),F1004)="-"),0,IFERROR(VALUE(IF(AND(LEFT(F1004,1)="(",RIGHT(F1004,1)=")"),MID(F1004,2,LEN(F1004)-2),F1004))*IF(AND(LEFT(F1004,1)="(",RIGHT(F1004,1)=")"),-1,1)*IF(E1004="Cr",Setup!$B$6,1),"ERR")))</f>
        <v/>
      </c>
      <c r="H1004" s="6">
        <f>IF(C1004="","",IF(ISNUMBER(G1004),1,0))</f>
        <v/>
      </c>
      <c r="I1004" s="6">
        <f>IF(C1004="","",IF(SUMPRODUCT(($C$12:$C$1511=C1004)*1)&gt;1,1,0))</f>
        <v/>
      </c>
      <c r="J1004" s="6">
        <f>IF(C1004="","",SUMPRODUCT((Mapping!$F$5:$F$504=Setup!$B$4&amp;"||"&amp;C1004)*ROW(Mapping!$F$5:$F$504)))</f>
        <v/>
      </c>
      <c r="K1004" s="6">
        <f>IF(C1004="","",IF(J1004=0,"UNMAPPED",LOWER(INDEX(Mapping!$D$1:$D$504,J1004))))</f>
        <v/>
      </c>
      <c r="L1004" s="6">
        <f>IF(K1004="mapped",TRIM(INDEX(Mapping!$C$1:$C$504,J1004)),"")</f>
        <v/>
      </c>
      <c r="M1004" s="6">
        <f>IF(C1004="","",IF(SUMPRODUCT(($C$12:C1004=C1004)*1)=1,1,0))</f>
        <v/>
      </c>
      <c r="N1004" s="6">
        <f>IF(AND(K1004="UNMAPPED",M1004=1),ROW(),"")</f>
        <v/>
      </c>
      <c r="O1004" s="6">
        <f>IF(AND(I1004=1,M1004=1),ROW(),"")</f>
        <v/>
      </c>
      <c r="P1004" s="6">
        <f>IF(AND(K1004="ignored",M1004=1),ROW(),"")</f>
        <v/>
      </c>
    </row>
    <row r="1005">
      <c r="A1005" s="8" t="n"/>
      <c r="B1005" s="8" t="n"/>
      <c r="C1005" s="6">
        <f>TRIM(A1005&amp;"")</f>
        <v/>
      </c>
      <c r="D1005" s="6">
        <f>IF(C1005="","",SUBSTITUTE(SUBSTITUTE(SUBSTITUTE(SUBSTITUTE(SUBSTITUTE(SUBSTITUTE(SUBSTITUTE(UPPER(TRIM(B1005&amp;"")),"₹",""),"RS.",""),"RS",""),"INR",""),"$",""),",","")," ",""))</f>
        <v/>
      </c>
      <c r="E1005" s="6">
        <f>IF(C1005="","",IF(RIGHT(D1005,2)="CR","Cr",IF(RIGHT(D1005,2)="DR","Dr","")))</f>
        <v/>
      </c>
      <c r="F1005" s="6">
        <f>IF(C1005="","",IF(E1005&lt;&gt;"",LEFT(D1005,LEN(D1005)-2),D1005))</f>
        <v/>
      </c>
      <c r="G1005" s="13">
        <f>IF(C1005="","",IF(OR(IF(AND(LEFT(F1005,1)="(",RIGHT(F1005,1)=")"),MID(F1005,2,LEN(F1005)-2),F1005)="",IF(AND(LEFT(F1005,1)="(",RIGHT(F1005,1)=")"),MID(F1005,2,LEN(F1005)-2),F1005)="-"),0,IFERROR(VALUE(IF(AND(LEFT(F1005,1)="(",RIGHT(F1005,1)=")"),MID(F1005,2,LEN(F1005)-2),F1005))*IF(AND(LEFT(F1005,1)="(",RIGHT(F1005,1)=")"),-1,1)*IF(E1005="Cr",Setup!$B$6,1),"ERR")))</f>
        <v/>
      </c>
      <c r="H1005" s="6">
        <f>IF(C1005="","",IF(ISNUMBER(G1005),1,0))</f>
        <v/>
      </c>
      <c r="I1005" s="6">
        <f>IF(C1005="","",IF(SUMPRODUCT(($C$12:$C$1511=C1005)*1)&gt;1,1,0))</f>
        <v/>
      </c>
      <c r="J1005" s="6">
        <f>IF(C1005="","",SUMPRODUCT((Mapping!$F$5:$F$504=Setup!$B$4&amp;"||"&amp;C1005)*ROW(Mapping!$F$5:$F$504)))</f>
        <v/>
      </c>
      <c r="K1005" s="6">
        <f>IF(C1005="","",IF(J1005=0,"UNMAPPED",LOWER(INDEX(Mapping!$D$1:$D$504,J1005))))</f>
        <v/>
      </c>
      <c r="L1005" s="6">
        <f>IF(K1005="mapped",TRIM(INDEX(Mapping!$C$1:$C$504,J1005)),"")</f>
        <v/>
      </c>
      <c r="M1005" s="6">
        <f>IF(C1005="","",IF(SUMPRODUCT(($C$12:C1005=C1005)*1)=1,1,0))</f>
        <v/>
      </c>
      <c r="N1005" s="6">
        <f>IF(AND(K1005="UNMAPPED",M1005=1),ROW(),"")</f>
        <v/>
      </c>
      <c r="O1005" s="6">
        <f>IF(AND(I1005=1,M1005=1),ROW(),"")</f>
        <v/>
      </c>
      <c r="P1005" s="6">
        <f>IF(AND(K1005="ignored",M1005=1),ROW(),"")</f>
        <v/>
      </c>
    </row>
    <row r="1006">
      <c r="A1006" s="8" t="n"/>
      <c r="B1006" s="8" t="n"/>
      <c r="C1006" s="6">
        <f>TRIM(A1006&amp;"")</f>
        <v/>
      </c>
      <c r="D1006" s="6">
        <f>IF(C1006="","",SUBSTITUTE(SUBSTITUTE(SUBSTITUTE(SUBSTITUTE(SUBSTITUTE(SUBSTITUTE(SUBSTITUTE(UPPER(TRIM(B1006&amp;"")),"₹",""),"RS.",""),"RS",""),"INR",""),"$",""),",","")," ",""))</f>
        <v/>
      </c>
      <c r="E1006" s="6">
        <f>IF(C1006="","",IF(RIGHT(D1006,2)="CR","Cr",IF(RIGHT(D1006,2)="DR","Dr","")))</f>
        <v/>
      </c>
      <c r="F1006" s="6">
        <f>IF(C1006="","",IF(E1006&lt;&gt;"",LEFT(D1006,LEN(D1006)-2),D1006))</f>
        <v/>
      </c>
      <c r="G1006" s="13">
        <f>IF(C1006="","",IF(OR(IF(AND(LEFT(F1006,1)="(",RIGHT(F1006,1)=")"),MID(F1006,2,LEN(F1006)-2),F1006)="",IF(AND(LEFT(F1006,1)="(",RIGHT(F1006,1)=")"),MID(F1006,2,LEN(F1006)-2),F1006)="-"),0,IFERROR(VALUE(IF(AND(LEFT(F1006,1)="(",RIGHT(F1006,1)=")"),MID(F1006,2,LEN(F1006)-2),F1006))*IF(AND(LEFT(F1006,1)="(",RIGHT(F1006,1)=")"),-1,1)*IF(E1006="Cr",Setup!$B$6,1),"ERR")))</f>
        <v/>
      </c>
      <c r="H1006" s="6">
        <f>IF(C1006="","",IF(ISNUMBER(G1006),1,0))</f>
        <v/>
      </c>
      <c r="I1006" s="6">
        <f>IF(C1006="","",IF(SUMPRODUCT(($C$12:$C$1511=C1006)*1)&gt;1,1,0))</f>
        <v/>
      </c>
      <c r="J1006" s="6">
        <f>IF(C1006="","",SUMPRODUCT((Mapping!$F$5:$F$504=Setup!$B$4&amp;"||"&amp;C1006)*ROW(Mapping!$F$5:$F$504)))</f>
        <v/>
      </c>
      <c r="K1006" s="6">
        <f>IF(C1006="","",IF(J1006=0,"UNMAPPED",LOWER(INDEX(Mapping!$D$1:$D$504,J1006))))</f>
        <v/>
      </c>
      <c r="L1006" s="6">
        <f>IF(K1006="mapped",TRIM(INDEX(Mapping!$C$1:$C$504,J1006)),"")</f>
        <v/>
      </c>
      <c r="M1006" s="6">
        <f>IF(C1006="","",IF(SUMPRODUCT(($C$12:C1006=C1006)*1)=1,1,0))</f>
        <v/>
      </c>
      <c r="N1006" s="6">
        <f>IF(AND(K1006="UNMAPPED",M1006=1),ROW(),"")</f>
        <v/>
      </c>
      <c r="O1006" s="6">
        <f>IF(AND(I1006=1,M1006=1),ROW(),"")</f>
        <v/>
      </c>
      <c r="P1006" s="6">
        <f>IF(AND(K1006="ignored",M1006=1),ROW(),"")</f>
        <v/>
      </c>
    </row>
    <row r="1007">
      <c r="A1007" s="8" t="n"/>
      <c r="B1007" s="8" t="n"/>
      <c r="C1007" s="6">
        <f>TRIM(A1007&amp;"")</f>
        <v/>
      </c>
      <c r="D1007" s="6">
        <f>IF(C1007="","",SUBSTITUTE(SUBSTITUTE(SUBSTITUTE(SUBSTITUTE(SUBSTITUTE(SUBSTITUTE(SUBSTITUTE(UPPER(TRIM(B1007&amp;"")),"₹",""),"RS.",""),"RS",""),"INR",""),"$",""),",","")," ",""))</f>
        <v/>
      </c>
      <c r="E1007" s="6">
        <f>IF(C1007="","",IF(RIGHT(D1007,2)="CR","Cr",IF(RIGHT(D1007,2)="DR","Dr","")))</f>
        <v/>
      </c>
      <c r="F1007" s="6">
        <f>IF(C1007="","",IF(E1007&lt;&gt;"",LEFT(D1007,LEN(D1007)-2),D1007))</f>
        <v/>
      </c>
      <c r="G1007" s="13">
        <f>IF(C1007="","",IF(OR(IF(AND(LEFT(F1007,1)="(",RIGHT(F1007,1)=")"),MID(F1007,2,LEN(F1007)-2),F1007)="",IF(AND(LEFT(F1007,1)="(",RIGHT(F1007,1)=")"),MID(F1007,2,LEN(F1007)-2),F1007)="-"),0,IFERROR(VALUE(IF(AND(LEFT(F1007,1)="(",RIGHT(F1007,1)=")"),MID(F1007,2,LEN(F1007)-2),F1007))*IF(AND(LEFT(F1007,1)="(",RIGHT(F1007,1)=")"),-1,1)*IF(E1007="Cr",Setup!$B$6,1),"ERR")))</f>
        <v/>
      </c>
      <c r="H1007" s="6">
        <f>IF(C1007="","",IF(ISNUMBER(G1007),1,0))</f>
        <v/>
      </c>
      <c r="I1007" s="6">
        <f>IF(C1007="","",IF(SUMPRODUCT(($C$12:$C$1511=C1007)*1)&gt;1,1,0))</f>
        <v/>
      </c>
      <c r="J1007" s="6">
        <f>IF(C1007="","",SUMPRODUCT((Mapping!$F$5:$F$504=Setup!$B$4&amp;"||"&amp;C1007)*ROW(Mapping!$F$5:$F$504)))</f>
        <v/>
      </c>
      <c r="K1007" s="6">
        <f>IF(C1007="","",IF(J1007=0,"UNMAPPED",LOWER(INDEX(Mapping!$D$1:$D$504,J1007))))</f>
        <v/>
      </c>
      <c r="L1007" s="6">
        <f>IF(K1007="mapped",TRIM(INDEX(Mapping!$C$1:$C$504,J1007)),"")</f>
        <v/>
      </c>
      <c r="M1007" s="6">
        <f>IF(C1007="","",IF(SUMPRODUCT(($C$12:C1007=C1007)*1)=1,1,0))</f>
        <v/>
      </c>
      <c r="N1007" s="6">
        <f>IF(AND(K1007="UNMAPPED",M1007=1),ROW(),"")</f>
        <v/>
      </c>
      <c r="O1007" s="6">
        <f>IF(AND(I1007=1,M1007=1),ROW(),"")</f>
        <v/>
      </c>
      <c r="P1007" s="6">
        <f>IF(AND(K1007="ignored",M1007=1),ROW(),"")</f>
        <v/>
      </c>
    </row>
    <row r="1008">
      <c r="A1008" s="8" t="n"/>
      <c r="B1008" s="8" t="n"/>
      <c r="C1008" s="6">
        <f>TRIM(A1008&amp;"")</f>
        <v/>
      </c>
      <c r="D1008" s="6">
        <f>IF(C1008="","",SUBSTITUTE(SUBSTITUTE(SUBSTITUTE(SUBSTITUTE(SUBSTITUTE(SUBSTITUTE(SUBSTITUTE(UPPER(TRIM(B1008&amp;"")),"₹",""),"RS.",""),"RS",""),"INR",""),"$",""),",","")," ",""))</f>
        <v/>
      </c>
      <c r="E1008" s="6">
        <f>IF(C1008="","",IF(RIGHT(D1008,2)="CR","Cr",IF(RIGHT(D1008,2)="DR","Dr","")))</f>
        <v/>
      </c>
      <c r="F1008" s="6">
        <f>IF(C1008="","",IF(E1008&lt;&gt;"",LEFT(D1008,LEN(D1008)-2),D1008))</f>
        <v/>
      </c>
      <c r="G1008" s="13">
        <f>IF(C1008="","",IF(OR(IF(AND(LEFT(F1008,1)="(",RIGHT(F1008,1)=")"),MID(F1008,2,LEN(F1008)-2),F1008)="",IF(AND(LEFT(F1008,1)="(",RIGHT(F1008,1)=")"),MID(F1008,2,LEN(F1008)-2),F1008)="-"),0,IFERROR(VALUE(IF(AND(LEFT(F1008,1)="(",RIGHT(F1008,1)=")"),MID(F1008,2,LEN(F1008)-2),F1008))*IF(AND(LEFT(F1008,1)="(",RIGHT(F1008,1)=")"),-1,1)*IF(E1008="Cr",Setup!$B$6,1),"ERR")))</f>
        <v/>
      </c>
      <c r="H1008" s="6">
        <f>IF(C1008="","",IF(ISNUMBER(G1008),1,0))</f>
        <v/>
      </c>
      <c r="I1008" s="6">
        <f>IF(C1008="","",IF(SUMPRODUCT(($C$12:$C$1511=C1008)*1)&gt;1,1,0))</f>
        <v/>
      </c>
      <c r="J1008" s="6">
        <f>IF(C1008="","",SUMPRODUCT((Mapping!$F$5:$F$504=Setup!$B$4&amp;"||"&amp;C1008)*ROW(Mapping!$F$5:$F$504)))</f>
        <v/>
      </c>
      <c r="K1008" s="6">
        <f>IF(C1008="","",IF(J1008=0,"UNMAPPED",LOWER(INDEX(Mapping!$D$1:$D$504,J1008))))</f>
        <v/>
      </c>
      <c r="L1008" s="6">
        <f>IF(K1008="mapped",TRIM(INDEX(Mapping!$C$1:$C$504,J1008)),"")</f>
        <v/>
      </c>
      <c r="M1008" s="6">
        <f>IF(C1008="","",IF(SUMPRODUCT(($C$12:C1008=C1008)*1)=1,1,0))</f>
        <v/>
      </c>
      <c r="N1008" s="6">
        <f>IF(AND(K1008="UNMAPPED",M1008=1),ROW(),"")</f>
        <v/>
      </c>
      <c r="O1008" s="6">
        <f>IF(AND(I1008=1,M1008=1),ROW(),"")</f>
        <v/>
      </c>
      <c r="P1008" s="6">
        <f>IF(AND(K1008="ignored",M1008=1),ROW(),"")</f>
        <v/>
      </c>
    </row>
    <row r="1009">
      <c r="A1009" s="8" t="n"/>
      <c r="B1009" s="8" t="n"/>
      <c r="C1009" s="6">
        <f>TRIM(A1009&amp;"")</f>
        <v/>
      </c>
      <c r="D1009" s="6">
        <f>IF(C1009="","",SUBSTITUTE(SUBSTITUTE(SUBSTITUTE(SUBSTITUTE(SUBSTITUTE(SUBSTITUTE(SUBSTITUTE(UPPER(TRIM(B1009&amp;"")),"₹",""),"RS.",""),"RS",""),"INR",""),"$",""),",","")," ",""))</f>
        <v/>
      </c>
      <c r="E1009" s="6">
        <f>IF(C1009="","",IF(RIGHT(D1009,2)="CR","Cr",IF(RIGHT(D1009,2)="DR","Dr","")))</f>
        <v/>
      </c>
      <c r="F1009" s="6">
        <f>IF(C1009="","",IF(E1009&lt;&gt;"",LEFT(D1009,LEN(D1009)-2),D1009))</f>
        <v/>
      </c>
      <c r="G1009" s="13">
        <f>IF(C1009="","",IF(OR(IF(AND(LEFT(F1009,1)="(",RIGHT(F1009,1)=")"),MID(F1009,2,LEN(F1009)-2),F1009)="",IF(AND(LEFT(F1009,1)="(",RIGHT(F1009,1)=")"),MID(F1009,2,LEN(F1009)-2),F1009)="-"),0,IFERROR(VALUE(IF(AND(LEFT(F1009,1)="(",RIGHT(F1009,1)=")"),MID(F1009,2,LEN(F1009)-2),F1009))*IF(AND(LEFT(F1009,1)="(",RIGHT(F1009,1)=")"),-1,1)*IF(E1009="Cr",Setup!$B$6,1),"ERR")))</f>
        <v/>
      </c>
      <c r="H1009" s="6">
        <f>IF(C1009="","",IF(ISNUMBER(G1009),1,0))</f>
        <v/>
      </c>
      <c r="I1009" s="6">
        <f>IF(C1009="","",IF(SUMPRODUCT(($C$12:$C$1511=C1009)*1)&gt;1,1,0))</f>
        <v/>
      </c>
      <c r="J1009" s="6">
        <f>IF(C1009="","",SUMPRODUCT((Mapping!$F$5:$F$504=Setup!$B$4&amp;"||"&amp;C1009)*ROW(Mapping!$F$5:$F$504)))</f>
        <v/>
      </c>
      <c r="K1009" s="6">
        <f>IF(C1009="","",IF(J1009=0,"UNMAPPED",LOWER(INDEX(Mapping!$D$1:$D$504,J1009))))</f>
        <v/>
      </c>
      <c r="L1009" s="6">
        <f>IF(K1009="mapped",TRIM(INDEX(Mapping!$C$1:$C$504,J1009)),"")</f>
        <v/>
      </c>
      <c r="M1009" s="6">
        <f>IF(C1009="","",IF(SUMPRODUCT(($C$12:C1009=C1009)*1)=1,1,0))</f>
        <v/>
      </c>
      <c r="N1009" s="6">
        <f>IF(AND(K1009="UNMAPPED",M1009=1),ROW(),"")</f>
        <v/>
      </c>
      <c r="O1009" s="6">
        <f>IF(AND(I1009=1,M1009=1),ROW(),"")</f>
        <v/>
      </c>
      <c r="P1009" s="6">
        <f>IF(AND(K1009="ignored",M1009=1),ROW(),"")</f>
        <v/>
      </c>
    </row>
    <row r="1010">
      <c r="A1010" s="8" t="n"/>
      <c r="B1010" s="8" t="n"/>
      <c r="C1010" s="6">
        <f>TRIM(A1010&amp;"")</f>
        <v/>
      </c>
      <c r="D1010" s="6">
        <f>IF(C1010="","",SUBSTITUTE(SUBSTITUTE(SUBSTITUTE(SUBSTITUTE(SUBSTITUTE(SUBSTITUTE(SUBSTITUTE(UPPER(TRIM(B1010&amp;"")),"₹",""),"RS.",""),"RS",""),"INR",""),"$",""),",","")," ",""))</f>
        <v/>
      </c>
      <c r="E1010" s="6">
        <f>IF(C1010="","",IF(RIGHT(D1010,2)="CR","Cr",IF(RIGHT(D1010,2)="DR","Dr","")))</f>
        <v/>
      </c>
      <c r="F1010" s="6">
        <f>IF(C1010="","",IF(E1010&lt;&gt;"",LEFT(D1010,LEN(D1010)-2),D1010))</f>
        <v/>
      </c>
      <c r="G1010" s="13">
        <f>IF(C1010="","",IF(OR(IF(AND(LEFT(F1010,1)="(",RIGHT(F1010,1)=")"),MID(F1010,2,LEN(F1010)-2),F1010)="",IF(AND(LEFT(F1010,1)="(",RIGHT(F1010,1)=")"),MID(F1010,2,LEN(F1010)-2),F1010)="-"),0,IFERROR(VALUE(IF(AND(LEFT(F1010,1)="(",RIGHT(F1010,1)=")"),MID(F1010,2,LEN(F1010)-2),F1010))*IF(AND(LEFT(F1010,1)="(",RIGHT(F1010,1)=")"),-1,1)*IF(E1010="Cr",Setup!$B$6,1),"ERR")))</f>
        <v/>
      </c>
      <c r="H1010" s="6">
        <f>IF(C1010="","",IF(ISNUMBER(G1010),1,0))</f>
        <v/>
      </c>
      <c r="I1010" s="6">
        <f>IF(C1010="","",IF(SUMPRODUCT(($C$12:$C$1511=C1010)*1)&gt;1,1,0))</f>
        <v/>
      </c>
      <c r="J1010" s="6">
        <f>IF(C1010="","",SUMPRODUCT((Mapping!$F$5:$F$504=Setup!$B$4&amp;"||"&amp;C1010)*ROW(Mapping!$F$5:$F$504)))</f>
        <v/>
      </c>
      <c r="K1010" s="6">
        <f>IF(C1010="","",IF(J1010=0,"UNMAPPED",LOWER(INDEX(Mapping!$D$1:$D$504,J1010))))</f>
        <v/>
      </c>
      <c r="L1010" s="6">
        <f>IF(K1010="mapped",TRIM(INDEX(Mapping!$C$1:$C$504,J1010)),"")</f>
        <v/>
      </c>
      <c r="M1010" s="6">
        <f>IF(C1010="","",IF(SUMPRODUCT(($C$12:C1010=C1010)*1)=1,1,0))</f>
        <v/>
      </c>
      <c r="N1010" s="6">
        <f>IF(AND(K1010="UNMAPPED",M1010=1),ROW(),"")</f>
        <v/>
      </c>
      <c r="O1010" s="6">
        <f>IF(AND(I1010=1,M1010=1),ROW(),"")</f>
        <v/>
      </c>
      <c r="P1010" s="6">
        <f>IF(AND(K1010="ignored",M1010=1),ROW(),"")</f>
        <v/>
      </c>
    </row>
    <row r="1011">
      <c r="A1011" s="8" t="n"/>
      <c r="B1011" s="8" t="n"/>
      <c r="C1011" s="6">
        <f>TRIM(A1011&amp;"")</f>
        <v/>
      </c>
      <c r="D1011" s="6">
        <f>IF(C1011="","",SUBSTITUTE(SUBSTITUTE(SUBSTITUTE(SUBSTITUTE(SUBSTITUTE(SUBSTITUTE(SUBSTITUTE(UPPER(TRIM(B1011&amp;"")),"₹",""),"RS.",""),"RS",""),"INR",""),"$",""),",","")," ",""))</f>
        <v/>
      </c>
      <c r="E1011" s="6">
        <f>IF(C1011="","",IF(RIGHT(D1011,2)="CR","Cr",IF(RIGHT(D1011,2)="DR","Dr","")))</f>
        <v/>
      </c>
      <c r="F1011" s="6">
        <f>IF(C1011="","",IF(E1011&lt;&gt;"",LEFT(D1011,LEN(D1011)-2),D1011))</f>
        <v/>
      </c>
      <c r="G1011" s="13">
        <f>IF(C1011="","",IF(OR(IF(AND(LEFT(F1011,1)="(",RIGHT(F1011,1)=")"),MID(F1011,2,LEN(F1011)-2),F1011)="",IF(AND(LEFT(F1011,1)="(",RIGHT(F1011,1)=")"),MID(F1011,2,LEN(F1011)-2),F1011)="-"),0,IFERROR(VALUE(IF(AND(LEFT(F1011,1)="(",RIGHT(F1011,1)=")"),MID(F1011,2,LEN(F1011)-2),F1011))*IF(AND(LEFT(F1011,1)="(",RIGHT(F1011,1)=")"),-1,1)*IF(E1011="Cr",Setup!$B$6,1),"ERR")))</f>
        <v/>
      </c>
      <c r="H1011" s="6">
        <f>IF(C1011="","",IF(ISNUMBER(G1011),1,0))</f>
        <v/>
      </c>
      <c r="I1011" s="6">
        <f>IF(C1011="","",IF(SUMPRODUCT(($C$12:$C$1511=C1011)*1)&gt;1,1,0))</f>
        <v/>
      </c>
      <c r="J1011" s="6">
        <f>IF(C1011="","",SUMPRODUCT((Mapping!$F$5:$F$504=Setup!$B$4&amp;"||"&amp;C1011)*ROW(Mapping!$F$5:$F$504)))</f>
        <v/>
      </c>
      <c r="K1011" s="6">
        <f>IF(C1011="","",IF(J1011=0,"UNMAPPED",LOWER(INDEX(Mapping!$D$1:$D$504,J1011))))</f>
        <v/>
      </c>
      <c r="L1011" s="6">
        <f>IF(K1011="mapped",TRIM(INDEX(Mapping!$C$1:$C$504,J1011)),"")</f>
        <v/>
      </c>
      <c r="M1011" s="6">
        <f>IF(C1011="","",IF(SUMPRODUCT(($C$12:C1011=C1011)*1)=1,1,0))</f>
        <v/>
      </c>
      <c r="N1011" s="6">
        <f>IF(AND(K1011="UNMAPPED",M1011=1),ROW(),"")</f>
        <v/>
      </c>
      <c r="O1011" s="6">
        <f>IF(AND(I1011=1,M1011=1),ROW(),"")</f>
        <v/>
      </c>
      <c r="P1011" s="6">
        <f>IF(AND(K1011="ignored",M1011=1),ROW(),"")</f>
        <v/>
      </c>
    </row>
    <row r="1012">
      <c r="A1012" s="8" t="n"/>
      <c r="B1012" s="8" t="n"/>
      <c r="C1012" s="6">
        <f>TRIM(A1012&amp;"")</f>
        <v/>
      </c>
      <c r="D1012" s="6">
        <f>IF(C1012="","",SUBSTITUTE(SUBSTITUTE(SUBSTITUTE(SUBSTITUTE(SUBSTITUTE(SUBSTITUTE(SUBSTITUTE(UPPER(TRIM(B1012&amp;"")),"₹",""),"RS.",""),"RS",""),"INR",""),"$",""),",","")," ",""))</f>
        <v/>
      </c>
      <c r="E1012" s="6">
        <f>IF(C1012="","",IF(RIGHT(D1012,2)="CR","Cr",IF(RIGHT(D1012,2)="DR","Dr","")))</f>
        <v/>
      </c>
      <c r="F1012" s="6">
        <f>IF(C1012="","",IF(E1012&lt;&gt;"",LEFT(D1012,LEN(D1012)-2),D1012))</f>
        <v/>
      </c>
      <c r="G1012" s="13">
        <f>IF(C1012="","",IF(OR(IF(AND(LEFT(F1012,1)="(",RIGHT(F1012,1)=")"),MID(F1012,2,LEN(F1012)-2),F1012)="",IF(AND(LEFT(F1012,1)="(",RIGHT(F1012,1)=")"),MID(F1012,2,LEN(F1012)-2),F1012)="-"),0,IFERROR(VALUE(IF(AND(LEFT(F1012,1)="(",RIGHT(F1012,1)=")"),MID(F1012,2,LEN(F1012)-2),F1012))*IF(AND(LEFT(F1012,1)="(",RIGHT(F1012,1)=")"),-1,1)*IF(E1012="Cr",Setup!$B$6,1),"ERR")))</f>
        <v/>
      </c>
      <c r="H1012" s="6">
        <f>IF(C1012="","",IF(ISNUMBER(G1012),1,0))</f>
        <v/>
      </c>
      <c r="I1012" s="6">
        <f>IF(C1012="","",IF(SUMPRODUCT(($C$12:$C$1511=C1012)*1)&gt;1,1,0))</f>
        <v/>
      </c>
      <c r="J1012" s="6">
        <f>IF(C1012="","",SUMPRODUCT((Mapping!$F$5:$F$504=Setup!$B$4&amp;"||"&amp;C1012)*ROW(Mapping!$F$5:$F$504)))</f>
        <v/>
      </c>
      <c r="K1012" s="6">
        <f>IF(C1012="","",IF(J1012=0,"UNMAPPED",LOWER(INDEX(Mapping!$D$1:$D$504,J1012))))</f>
        <v/>
      </c>
      <c r="L1012" s="6">
        <f>IF(K1012="mapped",TRIM(INDEX(Mapping!$C$1:$C$504,J1012)),"")</f>
        <v/>
      </c>
      <c r="M1012" s="6">
        <f>IF(C1012="","",IF(SUMPRODUCT(($C$12:C1012=C1012)*1)=1,1,0))</f>
        <v/>
      </c>
      <c r="N1012" s="6">
        <f>IF(AND(K1012="UNMAPPED",M1012=1),ROW(),"")</f>
        <v/>
      </c>
      <c r="O1012" s="6">
        <f>IF(AND(I1012=1,M1012=1),ROW(),"")</f>
        <v/>
      </c>
      <c r="P1012" s="6">
        <f>IF(AND(K1012="ignored",M1012=1),ROW(),"")</f>
        <v/>
      </c>
    </row>
    <row r="1013">
      <c r="A1013" s="8" t="n"/>
      <c r="B1013" s="8" t="n"/>
      <c r="C1013" s="6">
        <f>TRIM(A1013&amp;"")</f>
        <v/>
      </c>
      <c r="D1013" s="6">
        <f>IF(C1013="","",SUBSTITUTE(SUBSTITUTE(SUBSTITUTE(SUBSTITUTE(SUBSTITUTE(SUBSTITUTE(SUBSTITUTE(UPPER(TRIM(B1013&amp;"")),"₹",""),"RS.",""),"RS",""),"INR",""),"$",""),",","")," ",""))</f>
        <v/>
      </c>
      <c r="E1013" s="6">
        <f>IF(C1013="","",IF(RIGHT(D1013,2)="CR","Cr",IF(RIGHT(D1013,2)="DR","Dr","")))</f>
        <v/>
      </c>
      <c r="F1013" s="6">
        <f>IF(C1013="","",IF(E1013&lt;&gt;"",LEFT(D1013,LEN(D1013)-2),D1013))</f>
        <v/>
      </c>
      <c r="G1013" s="13">
        <f>IF(C1013="","",IF(OR(IF(AND(LEFT(F1013,1)="(",RIGHT(F1013,1)=")"),MID(F1013,2,LEN(F1013)-2),F1013)="",IF(AND(LEFT(F1013,1)="(",RIGHT(F1013,1)=")"),MID(F1013,2,LEN(F1013)-2),F1013)="-"),0,IFERROR(VALUE(IF(AND(LEFT(F1013,1)="(",RIGHT(F1013,1)=")"),MID(F1013,2,LEN(F1013)-2),F1013))*IF(AND(LEFT(F1013,1)="(",RIGHT(F1013,1)=")"),-1,1)*IF(E1013="Cr",Setup!$B$6,1),"ERR")))</f>
        <v/>
      </c>
      <c r="H1013" s="6">
        <f>IF(C1013="","",IF(ISNUMBER(G1013),1,0))</f>
        <v/>
      </c>
      <c r="I1013" s="6">
        <f>IF(C1013="","",IF(SUMPRODUCT(($C$12:$C$1511=C1013)*1)&gt;1,1,0))</f>
        <v/>
      </c>
      <c r="J1013" s="6">
        <f>IF(C1013="","",SUMPRODUCT((Mapping!$F$5:$F$504=Setup!$B$4&amp;"||"&amp;C1013)*ROW(Mapping!$F$5:$F$504)))</f>
        <v/>
      </c>
      <c r="K1013" s="6">
        <f>IF(C1013="","",IF(J1013=0,"UNMAPPED",LOWER(INDEX(Mapping!$D$1:$D$504,J1013))))</f>
        <v/>
      </c>
      <c r="L1013" s="6">
        <f>IF(K1013="mapped",TRIM(INDEX(Mapping!$C$1:$C$504,J1013)),"")</f>
        <v/>
      </c>
      <c r="M1013" s="6">
        <f>IF(C1013="","",IF(SUMPRODUCT(($C$12:C1013=C1013)*1)=1,1,0))</f>
        <v/>
      </c>
      <c r="N1013" s="6">
        <f>IF(AND(K1013="UNMAPPED",M1013=1),ROW(),"")</f>
        <v/>
      </c>
      <c r="O1013" s="6">
        <f>IF(AND(I1013=1,M1013=1),ROW(),"")</f>
        <v/>
      </c>
      <c r="P1013" s="6">
        <f>IF(AND(K1013="ignored",M1013=1),ROW(),"")</f>
        <v/>
      </c>
    </row>
    <row r="1014">
      <c r="A1014" s="8" t="n"/>
      <c r="B1014" s="8" t="n"/>
      <c r="C1014" s="6">
        <f>TRIM(A1014&amp;"")</f>
        <v/>
      </c>
      <c r="D1014" s="6">
        <f>IF(C1014="","",SUBSTITUTE(SUBSTITUTE(SUBSTITUTE(SUBSTITUTE(SUBSTITUTE(SUBSTITUTE(SUBSTITUTE(UPPER(TRIM(B1014&amp;"")),"₹",""),"RS.",""),"RS",""),"INR",""),"$",""),",","")," ",""))</f>
        <v/>
      </c>
      <c r="E1014" s="6">
        <f>IF(C1014="","",IF(RIGHT(D1014,2)="CR","Cr",IF(RIGHT(D1014,2)="DR","Dr","")))</f>
        <v/>
      </c>
      <c r="F1014" s="6">
        <f>IF(C1014="","",IF(E1014&lt;&gt;"",LEFT(D1014,LEN(D1014)-2),D1014))</f>
        <v/>
      </c>
      <c r="G1014" s="13">
        <f>IF(C1014="","",IF(OR(IF(AND(LEFT(F1014,1)="(",RIGHT(F1014,1)=")"),MID(F1014,2,LEN(F1014)-2),F1014)="",IF(AND(LEFT(F1014,1)="(",RIGHT(F1014,1)=")"),MID(F1014,2,LEN(F1014)-2),F1014)="-"),0,IFERROR(VALUE(IF(AND(LEFT(F1014,1)="(",RIGHT(F1014,1)=")"),MID(F1014,2,LEN(F1014)-2),F1014))*IF(AND(LEFT(F1014,1)="(",RIGHT(F1014,1)=")"),-1,1)*IF(E1014="Cr",Setup!$B$6,1),"ERR")))</f>
        <v/>
      </c>
      <c r="H1014" s="6">
        <f>IF(C1014="","",IF(ISNUMBER(G1014),1,0))</f>
        <v/>
      </c>
      <c r="I1014" s="6">
        <f>IF(C1014="","",IF(SUMPRODUCT(($C$12:$C$1511=C1014)*1)&gt;1,1,0))</f>
        <v/>
      </c>
      <c r="J1014" s="6">
        <f>IF(C1014="","",SUMPRODUCT((Mapping!$F$5:$F$504=Setup!$B$4&amp;"||"&amp;C1014)*ROW(Mapping!$F$5:$F$504)))</f>
        <v/>
      </c>
      <c r="K1014" s="6">
        <f>IF(C1014="","",IF(J1014=0,"UNMAPPED",LOWER(INDEX(Mapping!$D$1:$D$504,J1014))))</f>
        <v/>
      </c>
      <c r="L1014" s="6">
        <f>IF(K1014="mapped",TRIM(INDEX(Mapping!$C$1:$C$504,J1014)),"")</f>
        <v/>
      </c>
      <c r="M1014" s="6">
        <f>IF(C1014="","",IF(SUMPRODUCT(($C$12:C1014=C1014)*1)=1,1,0))</f>
        <v/>
      </c>
      <c r="N1014" s="6">
        <f>IF(AND(K1014="UNMAPPED",M1014=1),ROW(),"")</f>
        <v/>
      </c>
      <c r="O1014" s="6">
        <f>IF(AND(I1014=1,M1014=1),ROW(),"")</f>
        <v/>
      </c>
      <c r="P1014" s="6">
        <f>IF(AND(K1014="ignored",M1014=1),ROW(),"")</f>
        <v/>
      </c>
    </row>
    <row r="1015">
      <c r="A1015" s="8" t="n"/>
      <c r="B1015" s="8" t="n"/>
      <c r="C1015" s="6">
        <f>TRIM(A1015&amp;"")</f>
        <v/>
      </c>
      <c r="D1015" s="6">
        <f>IF(C1015="","",SUBSTITUTE(SUBSTITUTE(SUBSTITUTE(SUBSTITUTE(SUBSTITUTE(SUBSTITUTE(SUBSTITUTE(UPPER(TRIM(B1015&amp;"")),"₹",""),"RS.",""),"RS",""),"INR",""),"$",""),",","")," ",""))</f>
        <v/>
      </c>
      <c r="E1015" s="6">
        <f>IF(C1015="","",IF(RIGHT(D1015,2)="CR","Cr",IF(RIGHT(D1015,2)="DR","Dr","")))</f>
        <v/>
      </c>
      <c r="F1015" s="6">
        <f>IF(C1015="","",IF(E1015&lt;&gt;"",LEFT(D1015,LEN(D1015)-2),D1015))</f>
        <v/>
      </c>
      <c r="G1015" s="13">
        <f>IF(C1015="","",IF(OR(IF(AND(LEFT(F1015,1)="(",RIGHT(F1015,1)=")"),MID(F1015,2,LEN(F1015)-2),F1015)="",IF(AND(LEFT(F1015,1)="(",RIGHT(F1015,1)=")"),MID(F1015,2,LEN(F1015)-2),F1015)="-"),0,IFERROR(VALUE(IF(AND(LEFT(F1015,1)="(",RIGHT(F1015,1)=")"),MID(F1015,2,LEN(F1015)-2),F1015))*IF(AND(LEFT(F1015,1)="(",RIGHT(F1015,1)=")"),-1,1)*IF(E1015="Cr",Setup!$B$6,1),"ERR")))</f>
        <v/>
      </c>
      <c r="H1015" s="6">
        <f>IF(C1015="","",IF(ISNUMBER(G1015),1,0))</f>
        <v/>
      </c>
      <c r="I1015" s="6">
        <f>IF(C1015="","",IF(SUMPRODUCT(($C$12:$C$1511=C1015)*1)&gt;1,1,0))</f>
        <v/>
      </c>
      <c r="J1015" s="6">
        <f>IF(C1015="","",SUMPRODUCT((Mapping!$F$5:$F$504=Setup!$B$4&amp;"||"&amp;C1015)*ROW(Mapping!$F$5:$F$504)))</f>
        <v/>
      </c>
      <c r="K1015" s="6">
        <f>IF(C1015="","",IF(J1015=0,"UNMAPPED",LOWER(INDEX(Mapping!$D$1:$D$504,J1015))))</f>
        <v/>
      </c>
      <c r="L1015" s="6">
        <f>IF(K1015="mapped",TRIM(INDEX(Mapping!$C$1:$C$504,J1015)),"")</f>
        <v/>
      </c>
      <c r="M1015" s="6">
        <f>IF(C1015="","",IF(SUMPRODUCT(($C$12:C1015=C1015)*1)=1,1,0))</f>
        <v/>
      </c>
      <c r="N1015" s="6">
        <f>IF(AND(K1015="UNMAPPED",M1015=1),ROW(),"")</f>
        <v/>
      </c>
      <c r="O1015" s="6">
        <f>IF(AND(I1015=1,M1015=1),ROW(),"")</f>
        <v/>
      </c>
      <c r="P1015" s="6">
        <f>IF(AND(K1015="ignored",M1015=1),ROW(),"")</f>
        <v/>
      </c>
    </row>
    <row r="1016">
      <c r="A1016" s="8" t="n"/>
      <c r="B1016" s="8" t="n"/>
      <c r="C1016" s="6">
        <f>TRIM(A1016&amp;"")</f>
        <v/>
      </c>
      <c r="D1016" s="6">
        <f>IF(C1016="","",SUBSTITUTE(SUBSTITUTE(SUBSTITUTE(SUBSTITUTE(SUBSTITUTE(SUBSTITUTE(SUBSTITUTE(UPPER(TRIM(B1016&amp;"")),"₹",""),"RS.",""),"RS",""),"INR",""),"$",""),",","")," ",""))</f>
        <v/>
      </c>
      <c r="E1016" s="6">
        <f>IF(C1016="","",IF(RIGHT(D1016,2)="CR","Cr",IF(RIGHT(D1016,2)="DR","Dr","")))</f>
        <v/>
      </c>
      <c r="F1016" s="6">
        <f>IF(C1016="","",IF(E1016&lt;&gt;"",LEFT(D1016,LEN(D1016)-2),D1016))</f>
        <v/>
      </c>
      <c r="G1016" s="13">
        <f>IF(C1016="","",IF(OR(IF(AND(LEFT(F1016,1)="(",RIGHT(F1016,1)=")"),MID(F1016,2,LEN(F1016)-2),F1016)="",IF(AND(LEFT(F1016,1)="(",RIGHT(F1016,1)=")"),MID(F1016,2,LEN(F1016)-2),F1016)="-"),0,IFERROR(VALUE(IF(AND(LEFT(F1016,1)="(",RIGHT(F1016,1)=")"),MID(F1016,2,LEN(F1016)-2),F1016))*IF(AND(LEFT(F1016,1)="(",RIGHT(F1016,1)=")"),-1,1)*IF(E1016="Cr",Setup!$B$6,1),"ERR")))</f>
        <v/>
      </c>
      <c r="H1016" s="6">
        <f>IF(C1016="","",IF(ISNUMBER(G1016),1,0))</f>
        <v/>
      </c>
      <c r="I1016" s="6">
        <f>IF(C1016="","",IF(SUMPRODUCT(($C$12:$C$1511=C1016)*1)&gt;1,1,0))</f>
        <v/>
      </c>
      <c r="J1016" s="6">
        <f>IF(C1016="","",SUMPRODUCT((Mapping!$F$5:$F$504=Setup!$B$4&amp;"||"&amp;C1016)*ROW(Mapping!$F$5:$F$504)))</f>
        <v/>
      </c>
      <c r="K1016" s="6">
        <f>IF(C1016="","",IF(J1016=0,"UNMAPPED",LOWER(INDEX(Mapping!$D$1:$D$504,J1016))))</f>
        <v/>
      </c>
      <c r="L1016" s="6">
        <f>IF(K1016="mapped",TRIM(INDEX(Mapping!$C$1:$C$504,J1016)),"")</f>
        <v/>
      </c>
      <c r="M1016" s="6">
        <f>IF(C1016="","",IF(SUMPRODUCT(($C$12:C1016=C1016)*1)=1,1,0))</f>
        <v/>
      </c>
      <c r="N1016" s="6">
        <f>IF(AND(K1016="UNMAPPED",M1016=1),ROW(),"")</f>
        <v/>
      </c>
      <c r="O1016" s="6">
        <f>IF(AND(I1016=1,M1016=1),ROW(),"")</f>
        <v/>
      </c>
      <c r="P1016" s="6">
        <f>IF(AND(K1016="ignored",M1016=1),ROW(),"")</f>
        <v/>
      </c>
    </row>
    <row r="1017">
      <c r="A1017" s="8" t="n"/>
      <c r="B1017" s="8" t="n"/>
      <c r="C1017" s="6">
        <f>TRIM(A1017&amp;"")</f>
        <v/>
      </c>
      <c r="D1017" s="6">
        <f>IF(C1017="","",SUBSTITUTE(SUBSTITUTE(SUBSTITUTE(SUBSTITUTE(SUBSTITUTE(SUBSTITUTE(SUBSTITUTE(UPPER(TRIM(B1017&amp;"")),"₹",""),"RS.",""),"RS",""),"INR",""),"$",""),",","")," ",""))</f>
        <v/>
      </c>
      <c r="E1017" s="6">
        <f>IF(C1017="","",IF(RIGHT(D1017,2)="CR","Cr",IF(RIGHT(D1017,2)="DR","Dr","")))</f>
        <v/>
      </c>
      <c r="F1017" s="6">
        <f>IF(C1017="","",IF(E1017&lt;&gt;"",LEFT(D1017,LEN(D1017)-2),D1017))</f>
        <v/>
      </c>
      <c r="G1017" s="13">
        <f>IF(C1017="","",IF(OR(IF(AND(LEFT(F1017,1)="(",RIGHT(F1017,1)=")"),MID(F1017,2,LEN(F1017)-2),F1017)="",IF(AND(LEFT(F1017,1)="(",RIGHT(F1017,1)=")"),MID(F1017,2,LEN(F1017)-2),F1017)="-"),0,IFERROR(VALUE(IF(AND(LEFT(F1017,1)="(",RIGHT(F1017,1)=")"),MID(F1017,2,LEN(F1017)-2),F1017))*IF(AND(LEFT(F1017,1)="(",RIGHT(F1017,1)=")"),-1,1)*IF(E1017="Cr",Setup!$B$6,1),"ERR")))</f>
        <v/>
      </c>
      <c r="H1017" s="6">
        <f>IF(C1017="","",IF(ISNUMBER(G1017),1,0))</f>
        <v/>
      </c>
      <c r="I1017" s="6">
        <f>IF(C1017="","",IF(SUMPRODUCT(($C$12:$C$1511=C1017)*1)&gt;1,1,0))</f>
        <v/>
      </c>
      <c r="J1017" s="6">
        <f>IF(C1017="","",SUMPRODUCT((Mapping!$F$5:$F$504=Setup!$B$4&amp;"||"&amp;C1017)*ROW(Mapping!$F$5:$F$504)))</f>
        <v/>
      </c>
      <c r="K1017" s="6">
        <f>IF(C1017="","",IF(J1017=0,"UNMAPPED",LOWER(INDEX(Mapping!$D$1:$D$504,J1017))))</f>
        <v/>
      </c>
      <c r="L1017" s="6">
        <f>IF(K1017="mapped",TRIM(INDEX(Mapping!$C$1:$C$504,J1017)),"")</f>
        <v/>
      </c>
      <c r="M1017" s="6">
        <f>IF(C1017="","",IF(SUMPRODUCT(($C$12:C1017=C1017)*1)=1,1,0))</f>
        <v/>
      </c>
      <c r="N1017" s="6">
        <f>IF(AND(K1017="UNMAPPED",M1017=1),ROW(),"")</f>
        <v/>
      </c>
      <c r="O1017" s="6">
        <f>IF(AND(I1017=1,M1017=1),ROW(),"")</f>
        <v/>
      </c>
      <c r="P1017" s="6">
        <f>IF(AND(K1017="ignored",M1017=1),ROW(),"")</f>
        <v/>
      </c>
    </row>
    <row r="1018">
      <c r="A1018" s="8" t="n"/>
      <c r="B1018" s="8" t="n"/>
      <c r="C1018" s="6">
        <f>TRIM(A1018&amp;"")</f>
        <v/>
      </c>
      <c r="D1018" s="6">
        <f>IF(C1018="","",SUBSTITUTE(SUBSTITUTE(SUBSTITUTE(SUBSTITUTE(SUBSTITUTE(SUBSTITUTE(SUBSTITUTE(UPPER(TRIM(B1018&amp;"")),"₹",""),"RS.",""),"RS",""),"INR",""),"$",""),",","")," ",""))</f>
        <v/>
      </c>
      <c r="E1018" s="6">
        <f>IF(C1018="","",IF(RIGHT(D1018,2)="CR","Cr",IF(RIGHT(D1018,2)="DR","Dr","")))</f>
        <v/>
      </c>
      <c r="F1018" s="6">
        <f>IF(C1018="","",IF(E1018&lt;&gt;"",LEFT(D1018,LEN(D1018)-2),D1018))</f>
        <v/>
      </c>
      <c r="G1018" s="13">
        <f>IF(C1018="","",IF(OR(IF(AND(LEFT(F1018,1)="(",RIGHT(F1018,1)=")"),MID(F1018,2,LEN(F1018)-2),F1018)="",IF(AND(LEFT(F1018,1)="(",RIGHT(F1018,1)=")"),MID(F1018,2,LEN(F1018)-2),F1018)="-"),0,IFERROR(VALUE(IF(AND(LEFT(F1018,1)="(",RIGHT(F1018,1)=")"),MID(F1018,2,LEN(F1018)-2),F1018))*IF(AND(LEFT(F1018,1)="(",RIGHT(F1018,1)=")"),-1,1)*IF(E1018="Cr",Setup!$B$6,1),"ERR")))</f>
        <v/>
      </c>
      <c r="H1018" s="6">
        <f>IF(C1018="","",IF(ISNUMBER(G1018),1,0))</f>
        <v/>
      </c>
      <c r="I1018" s="6">
        <f>IF(C1018="","",IF(SUMPRODUCT(($C$12:$C$1511=C1018)*1)&gt;1,1,0))</f>
        <v/>
      </c>
      <c r="J1018" s="6">
        <f>IF(C1018="","",SUMPRODUCT((Mapping!$F$5:$F$504=Setup!$B$4&amp;"||"&amp;C1018)*ROW(Mapping!$F$5:$F$504)))</f>
        <v/>
      </c>
      <c r="K1018" s="6">
        <f>IF(C1018="","",IF(J1018=0,"UNMAPPED",LOWER(INDEX(Mapping!$D$1:$D$504,J1018))))</f>
        <v/>
      </c>
      <c r="L1018" s="6">
        <f>IF(K1018="mapped",TRIM(INDEX(Mapping!$C$1:$C$504,J1018)),"")</f>
        <v/>
      </c>
      <c r="M1018" s="6">
        <f>IF(C1018="","",IF(SUMPRODUCT(($C$12:C1018=C1018)*1)=1,1,0))</f>
        <v/>
      </c>
      <c r="N1018" s="6">
        <f>IF(AND(K1018="UNMAPPED",M1018=1),ROW(),"")</f>
        <v/>
      </c>
      <c r="O1018" s="6">
        <f>IF(AND(I1018=1,M1018=1),ROW(),"")</f>
        <v/>
      </c>
      <c r="P1018" s="6">
        <f>IF(AND(K1018="ignored",M1018=1),ROW(),"")</f>
        <v/>
      </c>
    </row>
    <row r="1019">
      <c r="A1019" s="8" t="n"/>
      <c r="B1019" s="8" t="n"/>
      <c r="C1019" s="6">
        <f>TRIM(A1019&amp;"")</f>
        <v/>
      </c>
      <c r="D1019" s="6">
        <f>IF(C1019="","",SUBSTITUTE(SUBSTITUTE(SUBSTITUTE(SUBSTITUTE(SUBSTITUTE(SUBSTITUTE(SUBSTITUTE(UPPER(TRIM(B1019&amp;"")),"₹",""),"RS.",""),"RS",""),"INR",""),"$",""),",","")," ",""))</f>
        <v/>
      </c>
      <c r="E1019" s="6">
        <f>IF(C1019="","",IF(RIGHT(D1019,2)="CR","Cr",IF(RIGHT(D1019,2)="DR","Dr","")))</f>
        <v/>
      </c>
      <c r="F1019" s="6">
        <f>IF(C1019="","",IF(E1019&lt;&gt;"",LEFT(D1019,LEN(D1019)-2),D1019))</f>
        <v/>
      </c>
      <c r="G1019" s="13">
        <f>IF(C1019="","",IF(OR(IF(AND(LEFT(F1019,1)="(",RIGHT(F1019,1)=")"),MID(F1019,2,LEN(F1019)-2),F1019)="",IF(AND(LEFT(F1019,1)="(",RIGHT(F1019,1)=")"),MID(F1019,2,LEN(F1019)-2),F1019)="-"),0,IFERROR(VALUE(IF(AND(LEFT(F1019,1)="(",RIGHT(F1019,1)=")"),MID(F1019,2,LEN(F1019)-2),F1019))*IF(AND(LEFT(F1019,1)="(",RIGHT(F1019,1)=")"),-1,1)*IF(E1019="Cr",Setup!$B$6,1),"ERR")))</f>
        <v/>
      </c>
      <c r="H1019" s="6">
        <f>IF(C1019="","",IF(ISNUMBER(G1019),1,0))</f>
        <v/>
      </c>
      <c r="I1019" s="6">
        <f>IF(C1019="","",IF(SUMPRODUCT(($C$12:$C$1511=C1019)*1)&gt;1,1,0))</f>
        <v/>
      </c>
      <c r="J1019" s="6">
        <f>IF(C1019="","",SUMPRODUCT((Mapping!$F$5:$F$504=Setup!$B$4&amp;"||"&amp;C1019)*ROW(Mapping!$F$5:$F$504)))</f>
        <v/>
      </c>
      <c r="K1019" s="6">
        <f>IF(C1019="","",IF(J1019=0,"UNMAPPED",LOWER(INDEX(Mapping!$D$1:$D$504,J1019))))</f>
        <v/>
      </c>
      <c r="L1019" s="6">
        <f>IF(K1019="mapped",TRIM(INDEX(Mapping!$C$1:$C$504,J1019)),"")</f>
        <v/>
      </c>
      <c r="M1019" s="6">
        <f>IF(C1019="","",IF(SUMPRODUCT(($C$12:C1019=C1019)*1)=1,1,0))</f>
        <v/>
      </c>
      <c r="N1019" s="6">
        <f>IF(AND(K1019="UNMAPPED",M1019=1),ROW(),"")</f>
        <v/>
      </c>
      <c r="O1019" s="6">
        <f>IF(AND(I1019=1,M1019=1),ROW(),"")</f>
        <v/>
      </c>
      <c r="P1019" s="6">
        <f>IF(AND(K1019="ignored",M1019=1),ROW(),"")</f>
        <v/>
      </c>
    </row>
    <row r="1020">
      <c r="A1020" s="8" t="n"/>
      <c r="B1020" s="8" t="n"/>
      <c r="C1020" s="6">
        <f>TRIM(A1020&amp;"")</f>
        <v/>
      </c>
      <c r="D1020" s="6">
        <f>IF(C1020="","",SUBSTITUTE(SUBSTITUTE(SUBSTITUTE(SUBSTITUTE(SUBSTITUTE(SUBSTITUTE(SUBSTITUTE(UPPER(TRIM(B1020&amp;"")),"₹",""),"RS.",""),"RS",""),"INR",""),"$",""),",","")," ",""))</f>
        <v/>
      </c>
      <c r="E1020" s="6">
        <f>IF(C1020="","",IF(RIGHT(D1020,2)="CR","Cr",IF(RIGHT(D1020,2)="DR","Dr","")))</f>
        <v/>
      </c>
      <c r="F1020" s="6">
        <f>IF(C1020="","",IF(E1020&lt;&gt;"",LEFT(D1020,LEN(D1020)-2),D1020))</f>
        <v/>
      </c>
      <c r="G1020" s="13">
        <f>IF(C1020="","",IF(OR(IF(AND(LEFT(F1020,1)="(",RIGHT(F1020,1)=")"),MID(F1020,2,LEN(F1020)-2),F1020)="",IF(AND(LEFT(F1020,1)="(",RIGHT(F1020,1)=")"),MID(F1020,2,LEN(F1020)-2),F1020)="-"),0,IFERROR(VALUE(IF(AND(LEFT(F1020,1)="(",RIGHT(F1020,1)=")"),MID(F1020,2,LEN(F1020)-2),F1020))*IF(AND(LEFT(F1020,1)="(",RIGHT(F1020,1)=")"),-1,1)*IF(E1020="Cr",Setup!$B$6,1),"ERR")))</f>
        <v/>
      </c>
      <c r="H1020" s="6">
        <f>IF(C1020="","",IF(ISNUMBER(G1020),1,0))</f>
        <v/>
      </c>
      <c r="I1020" s="6">
        <f>IF(C1020="","",IF(SUMPRODUCT(($C$12:$C$1511=C1020)*1)&gt;1,1,0))</f>
        <v/>
      </c>
      <c r="J1020" s="6">
        <f>IF(C1020="","",SUMPRODUCT((Mapping!$F$5:$F$504=Setup!$B$4&amp;"||"&amp;C1020)*ROW(Mapping!$F$5:$F$504)))</f>
        <v/>
      </c>
      <c r="K1020" s="6">
        <f>IF(C1020="","",IF(J1020=0,"UNMAPPED",LOWER(INDEX(Mapping!$D$1:$D$504,J1020))))</f>
        <v/>
      </c>
      <c r="L1020" s="6">
        <f>IF(K1020="mapped",TRIM(INDEX(Mapping!$C$1:$C$504,J1020)),"")</f>
        <v/>
      </c>
      <c r="M1020" s="6">
        <f>IF(C1020="","",IF(SUMPRODUCT(($C$12:C1020=C1020)*1)=1,1,0))</f>
        <v/>
      </c>
      <c r="N1020" s="6">
        <f>IF(AND(K1020="UNMAPPED",M1020=1),ROW(),"")</f>
        <v/>
      </c>
      <c r="O1020" s="6">
        <f>IF(AND(I1020=1,M1020=1),ROW(),"")</f>
        <v/>
      </c>
      <c r="P1020" s="6">
        <f>IF(AND(K1020="ignored",M1020=1),ROW(),"")</f>
        <v/>
      </c>
    </row>
    <row r="1021">
      <c r="A1021" s="8" t="n"/>
      <c r="B1021" s="8" t="n"/>
      <c r="C1021" s="6">
        <f>TRIM(A1021&amp;"")</f>
        <v/>
      </c>
      <c r="D1021" s="6">
        <f>IF(C1021="","",SUBSTITUTE(SUBSTITUTE(SUBSTITUTE(SUBSTITUTE(SUBSTITUTE(SUBSTITUTE(SUBSTITUTE(UPPER(TRIM(B1021&amp;"")),"₹",""),"RS.",""),"RS",""),"INR",""),"$",""),",","")," ",""))</f>
        <v/>
      </c>
      <c r="E1021" s="6">
        <f>IF(C1021="","",IF(RIGHT(D1021,2)="CR","Cr",IF(RIGHT(D1021,2)="DR","Dr","")))</f>
        <v/>
      </c>
      <c r="F1021" s="6">
        <f>IF(C1021="","",IF(E1021&lt;&gt;"",LEFT(D1021,LEN(D1021)-2),D1021))</f>
        <v/>
      </c>
      <c r="G1021" s="13">
        <f>IF(C1021="","",IF(OR(IF(AND(LEFT(F1021,1)="(",RIGHT(F1021,1)=")"),MID(F1021,2,LEN(F1021)-2),F1021)="",IF(AND(LEFT(F1021,1)="(",RIGHT(F1021,1)=")"),MID(F1021,2,LEN(F1021)-2),F1021)="-"),0,IFERROR(VALUE(IF(AND(LEFT(F1021,1)="(",RIGHT(F1021,1)=")"),MID(F1021,2,LEN(F1021)-2),F1021))*IF(AND(LEFT(F1021,1)="(",RIGHT(F1021,1)=")"),-1,1)*IF(E1021="Cr",Setup!$B$6,1),"ERR")))</f>
        <v/>
      </c>
      <c r="H1021" s="6">
        <f>IF(C1021="","",IF(ISNUMBER(G1021),1,0))</f>
        <v/>
      </c>
      <c r="I1021" s="6">
        <f>IF(C1021="","",IF(SUMPRODUCT(($C$12:$C$1511=C1021)*1)&gt;1,1,0))</f>
        <v/>
      </c>
      <c r="J1021" s="6">
        <f>IF(C1021="","",SUMPRODUCT((Mapping!$F$5:$F$504=Setup!$B$4&amp;"||"&amp;C1021)*ROW(Mapping!$F$5:$F$504)))</f>
        <v/>
      </c>
      <c r="K1021" s="6">
        <f>IF(C1021="","",IF(J1021=0,"UNMAPPED",LOWER(INDEX(Mapping!$D$1:$D$504,J1021))))</f>
        <v/>
      </c>
      <c r="L1021" s="6">
        <f>IF(K1021="mapped",TRIM(INDEX(Mapping!$C$1:$C$504,J1021)),"")</f>
        <v/>
      </c>
      <c r="M1021" s="6">
        <f>IF(C1021="","",IF(SUMPRODUCT(($C$12:C1021=C1021)*1)=1,1,0))</f>
        <v/>
      </c>
      <c r="N1021" s="6">
        <f>IF(AND(K1021="UNMAPPED",M1021=1),ROW(),"")</f>
        <v/>
      </c>
      <c r="O1021" s="6">
        <f>IF(AND(I1021=1,M1021=1),ROW(),"")</f>
        <v/>
      </c>
      <c r="P1021" s="6">
        <f>IF(AND(K1021="ignored",M1021=1),ROW(),"")</f>
        <v/>
      </c>
    </row>
    <row r="1022">
      <c r="A1022" s="8" t="n"/>
      <c r="B1022" s="8" t="n"/>
      <c r="C1022" s="6">
        <f>TRIM(A1022&amp;"")</f>
        <v/>
      </c>
      <c r="D1022" s="6">
        <f>IF(C1022="","",SUBSTITUTE(SUBSTITUTE(SUBSTITUTE(SUBSTITUTE(SUBSTITUTE(SUBSTITUTE(SUBSTITUTE(UPPER(TRIM(B1022&amp;"")),"₹",""),"RS.",""),"RS",""),"INR",""),"$",""),",","")," ",""))</f>
        <v/>
      </c>
      <c r="E1022" s="6">
        <f>IF(C1022="","",IF(RIGHT(D1022,2)="CR","Cr",IF(RIGHT(D1022,2)="DR","Dr","")))</f>
        <v/>
      </c>
      <c r="F1022" s="6">
        <f>IF(C1022="","",IF(E1022&lt;&gt;"",LEFT(D1022,LEN(D1022)-2),D1022))</f>
        <v/>
      </c>
      <c r="G1022" s="13">
        <f>IF(C1022="","",IF(OR(IF(AND(LEFT(F1022,1)="(",RIGHT(F1022,1)=")"),MID(F1022,2,LEN(F1022)-2),F1022)="",IF(AND(LEFT(F1022,1)="(",RIGHT(F1022,1)=")"),MID(F1022,2,LEN(F1022)-2),F1022)="-"),0,IFERROR(VALUE(IF(AND(LEFT(F1022,1)="(",RIGHT(F1022,1)=")"),MID(F1022,2,LEN(F1022)-2),F1022))*IF(AND(LEFT(F1022,1)="(",RIGHT(F1022,1)=")"),-1,1)*IF(E1022="Cr",Setup!$B$6,1),"ERR")))</f>
        <v/>
      </c>
      <c r="H1022" s="6">
        <f>IF(C1022="","",IF(ISNUMBER(G1022),1,0))</f>
        <v/>
      </c>
      <c r="I1022" s="6">
        <f>IF(C1022="","",IF(SUMPRODUCT(($C$12:$C$1511=C1022)*1)&gt;1,1,0))</f>
        <v/>
      </c>
      <c r="J1022" s="6">
        <f>IF(C1022="","",SUMPRODUCT((Mapping!$F$5:$F$504=Setup!$B$4&amp;"||"&amp;C1022)*ROW(Mapping!$F$5:$F$504)))</f>
        <v/>
      </c>
      <c r="K1022" s="6">
        <f>IF(C1022="","",IF(J1022=0,"UNMAPPED",LOWER(INDEX(Mapping!$D$1:$D$504,J1022))))</f>
        <v/>
      </c>
      <c r="L1022" s="6">
        <f>IF(K1022="mapped",TRIM(INDEX(Mapping!$C$1:$C$504,J1022)),"")</f>
        <v/>
      </c>
      <c r="M1022" s="6">
        <f>IF(C1022="","",IF(SUMPRODUCT(($C$12:C1022=C1022)*1)=1,1,0))</f>
        <v/>
      </c>
      <c r="N1022" s="6">
        <f>IF(AND(K1022="UNMAPPED",M1022=1),ROW(),"")</f>
        <v/>
      </c>
      <c r="O1022" s="6">
        <f>IF(AND(I1022=1,M1022=1),ROW(),"")</f>
        <v/>
      </c>
      <c r="P1022" s="6">
        <f>IF(AND(K1022="ignored",M1022=1),ROW(),"")</f>
        <v/>
      </c>
    </row>
    <row r="1023">
      <c r="A1023" s="8" t="n"/>
      <c r="B1023" s="8" t="n"/>
      <c r="C1023" s="6">
        <f>TRIM(A1023&amp;"")</f>
        <v/>
      </c>
      <c r="D1023" s="6">
        <f>IF(C1023="","",SUBSTITUTE(SUBSTITUTE(SUBSTITUTE(SUBSTITUTE(SUBSTITUTE(SUBSTITUTE(SUBSTITUTE(UPPER(TRIM(B1023&amp;"")),"₹",""),"RS.",""),"RS",""),"INR",""),"$",""),",","")," ",""))</f>
        <v/>
      </c>
      <c r="E1023" s="6">
        <f>IF(C1023="","",IF(RIGHT(D1023,2)="CR","Cr",IF(RIGHT(D1023,2)="DR","Dr","")))</f>
        <v/>
      </c>
      <c r="F1023" s="6">
        <f>IF(C1023="","",IF(E1023&lt;&gt;"",LEFT(D1023,LEN(D1023)-2),D1023))</f>
        <v/>
      </c>
      <c r="G1023" s="13">
        <f>IF(C1023="","",IF(OR(IF(AND(LEFT(F1023,1)="(",RIGHT(F1023,1)=")"),MID(F1023,2,LEN(F1023)-2),F1023)="",IF(AND(LEFT(F1023,1)="(",RIGHT(F1023,1)=")"),MID(F1023,2,LEN(F1023)-2),F1023)="-"),0,IFERROR(VALUE(IF(AND(LEFT(F1023,1)="(",RIGHT(F1023,1)=")"),MID(F1023,2,LEN(F1023)-2),F1023))*IF(AND(LEFT(F1023,1)="(",RIGHT(F1023,1)=")"),-1,1)*IF(E1023="Cr",Setup!$B$6,1),"ERR")))</f>
        <v/>
      </c>
      <c r="H1023" s="6">
        <f>IF(C1023="","",IF(ISNUMBER(G1023),1,0))</f>
        <v/>
      </c>
      <c r="I1023" s="6">
        <f>IF(C1023="","",IF(SUMPRODUCT(($C$12:$C$1511=C1023)*1)&gt;1,1,0))</f>
        <v/>
      </c>
      <c r="J1023" s="6">
        <f>IF(C1023="","",SUMPRODUCT((Mapping!$F$5:$F$504=Setup!$B$4&amp;"||"&amp;C1023)*ROW(Mapping!$F$5:$F$504)))</f>
        <v/>
      </c>
      <c r="K1023" s="6">
        <f>IF(C1023="","",IF(J1023=0,"UNMAPPED",LOWER(INDEX(Mapping!$D$1:$D$504,J1023))))</f>
        <v/>
      </c>
      <c r="L1023" s="6">
        <f>IF(K1023="mapped",TRIM(INDEX(Mapping!$C$1:$C$504,J1023)),"")</f>
        <v/>
      </c>
      <c r="M1023" s="6">
        <f>IF(C1023="","",IF(SUMPRODUCT(($C$12:C1023=C1023)*1)=1,1,0))</f>
        <v/>
      </c>
      <c r="N1023" s="6">
        <f>IF(AND(K1023="UNMAPPED",M1023=1),ROW(),"")</f>
        <v/>
      </c>
      <c r="O1023" s="6">
        <f>IF(AND(I1023=1,M1023=1),ROW(),"")</f>
        <v/>
      </c>
      <c r="P1023" s="6">
        <f>IF(AND(K1023="ignored",M1023=1),ROW(),"")</f>
        <v/>
      </c>
    </row>
    <row r="1024">
      <c r="A1024" s="8" t="n"/>
      <c r="B1024" s="8" t="n"/>
      <c r="C1024" s="6">
        <f>TRIM(A1024&amp;"")</f>
        <v/>
      </c>
      <c r="D1024" s="6">
        <f>IF(C1024="","",SUBSTITUTE(SUBSTITUTE(SUBSTITUTE(SUBSTITUTE(SUBSTITUTE(SUBSTITUTE(SUBSTITUTE(UPPER(TRIM(B1024&amp;"")),"₹",""),"RS.",""),"RS",""),"INR",""),"$",""),",","")," ",""))</f>
        <v/>
      </c>
      <c r="E1024" s="6">
        <f>IF(C1024="","",IF(RIGHT(D1024,2)="CR","Cr",IF(RIGHT(D1024,2)="DR","Dr","")))</f>
        <v/>
      </c>
      <c r="F1024" s="6">
        <f>IF(C1024="","",IF(E1024&lt;&gt;"",LEFT(D1024,LEN(D1024)-2),D1024))</f>
        <v/>
      </c>
      <c r="G1024" s="13">
        <f>IF(C1024="","",IF(OR(IF(AND(LEFT(F1024,1)="(",RIGHT(F1024,1)=")"),MID(F1024,2,LEN(F1024)-2),F1024)="",IF(AND(LEFT(F1024,1)="(",RIGHT(F1024,1)=")"),MID(F1024,2,LEN(F1024)-2),F1024)="-"),0,IFERROR(VALUE(IF(AND(LEFT(F1024,1)="(",RIGHT(F1024,1)=")"),MID(F1024,2,LEN(F1024)-2),F1024))*IF(AND(LEFT(F1024,1)="(",RIGHT(F1024,1)=")"),-1,1)*IF(E1024="Cr",Setup!$B$6,1),"ERR")))</f>
        <v/>
      </c>
      <c r="H1024" s="6">
        <f>IF(C1024="","",IF(ISNUMBER(G1024),1,0))</f>
        <v/>
      </c>
      <c r="I1024" s="6">
        <f>IF(C1024="","",IF(SUMPRODUCT(($C$12:$C$1511=C1024)*1)&gt;1,1,0))</f>
        <v/>
      </c>
      <c r="J1024" s="6">
        <f>IF(C1024="","",SUMPRODUCT((Mapping!$F$5:$F$504=Setup!$B$4&amp;"||"&amp;C1024)*ROW(Mapping!$F$5:$F$504)))</f>
        <v/>
      </c>
      <c r="K1024" s="6">
        <f>IF(C1024="","",IF(J1024=0,"UNMAPPED",LOWER(INDEX(Mapping!$D$1:$D$504,J1024))))</f>
        <v/>
      </c>
      <c r="L1024" s="6">
        <f>IF(K1024="mapped",TRIM(INDEX(Mapping!$C$1:$C$504,J1024)),"")</f>
        <v/>
      </c>
      <c r="M1024" s="6">
        <f>IF(C1024="","",IF(SUMPRODUCT(($C$12:C1024=C1024)*1)=1,1,0))</f>
        <v/>
      </c>
      <c r="N1024" s="6">
        <f>IF(AND(K1024="UNMAPPED",M1024=1),ROW(),"")</f>
        <v/>
      </c>
      <c r="O1024" s="6">
        <f>IF(AND(I1024=1,M1024=1),ROW(),"")</f>
        <v/>
      </c>
      <c r="P1024" s="6">
        <f>IF(AND(K1024="ignored",M1024=1),ROW(),"")</f>
        <v/>
      </c>
    </row>
    <row r="1025">
      <c r="A1025" s="8" t="n"/>
      <c r="B1025" s="8" t="n"/>
      <c r="C1025" s="6">
        <f>TRIM(A1025&amp;"")</f>
        <v/>
      </c>
      <c r="D1025" s="6">
        <f>IF(C1025="","",SUBSTITUTE(SUBSTITUTE(SUBSTITUTE(SUBSTITUTE(SUBSTITUTE(SUBSTITUTE(SUBSTITUTE(UPPER(TRIM(B1025&amp;"")),"₹",""),"RS.",""),"RS",""),"INR",""),"$",""),",","")," ",""))</f>
        <v/>
      </c>
      <c r="E1025" s="6">
        <f>IF(C1025="","",IF(RIGHT(D1025,2)="CR","Cr",IF(RIGHT(D1025,2)="DR","Dr","")))</f>
        <v/>
      </c>
      <c r="F1025" s="6">
        <f>IF(C1025="","",IF(E1025&lt;&gt;"",LEFT(D1025,LEN(D1025)-2),D1025))</f>
        <v/>
      </c>
      <c r="G1025" s="13">
        <f>IF(C1025="","",IF(OR(IF(AND(LEFT(F1025,1)="(",RIGHT(F1025,1)=")"),MID(F1025,2,LEN(F1025)-2),F1025)="",IF(AND(LEFT(F1025,1)="(",RIGHT(F1025,1)=")"),MID(F1025,2,LEN(F1025)-2),F1025)="-"),0,IFERROR(VALUE(IF(AND(LEFT(F1025,1)="(",RIGHT(F1025,1)=")"),MID(F1025,2,LEN(F1025)-2),F1025))*IF(AND(LEFT(F1025,1)="(",RIGHT(F1025,1)=")"),-1,1)*IF(E1025="Cr",Setup!$B$6,1),"ERR")))</f>
        <v/>
      </c>
      <c r="H1025" s="6">
        <f>IF(C1025="","",IF(ISNUMBER(G1025),1,0))</f>
        <v/>
      </c>
      <c r="I1025" s="6">
        <f>IF(C1025="","",IF(SUMPRODUCT(($C$12:$C$1511=C1025)*1)&gt;1,1,0))</f>
        <v/>
      </c>
      <c r="J1025" s="6">
        <f>IF(C1025="","",SUMPRODUCT((Mapping!$F$5:$F$504=Setup!$B$4&amp;"||"&amp;C1025)*ROW(Mapping!$F$5:$F$504)))</f>
        <v/>
      </c>
      <c r="K1025" s="6">
        <f>IF(C1025="","",IF(J1025=0,"UNMAPPED",LOWER(INDEX(Mapping!$D$1:$D$504,J1025))))</f>
        <v/>
      </c>
      <c r="L1025" s="6">
        <f>IF(K1025="mapped",TRIM(INDEX(Mapping!$C$1:$C$504,J1025)),"")</f>
        <v/>
      </c>
      <c r="M1025" s="6">
        <f>IF(C1025="","",IF(SUMPRODUCT(($C$12:C1025=C1025)*1)=1,1,0))</f>
        <v/>
      </c>
      <c r="N1025" s="6">
        <f>IF(AND(K1025="UNMAPPED",M1025=1),ROW(),"")</f>
        <v/>
      </c>
      <c r="O1025" s="6">
        <f>IF(AND(I1025=1,M1025=1),ROW(),"")</f>
        <v/>
      </c>
      <c r="P1025" s="6">
        <f>IF(AND(K1025="ignored",M1025=1),ROW(),"")</f>
        <v/>
      </c>
    </row>
    <row r="1026">
      <c r="A1026" s="8" t="n"/>
      <c r="B1026" s="8" t="n"/>
      <c r="C1026" s="6">
        <f>TRIM(A1026&amp;"")</f>
        <v/>
      </c>
      <c r="D1026" s="6">
        <f>IF(C1026="","",SUBSTITUTE(SUBSTITUTE(SUBSTITUTE(SUBSTITUTE(SUBSTITUTE(SUBSTITUTE(SUBSTITUTE(UPPER(TRIM(B1026&amp;"")),"₹",""),"RS.",""),"RS",""),"INR",""),"$",""),",","")," ",""))</f>
        <v/>
      </c>
      <c r="E1026" s="6">
        <f>IF(C1026="","",IF(RIGHT(D1026,2)="CR","Cr",IF(RIGHT(D1026,2)="DR","Dr","")))</f>
        <v/>
      </c>
      <c r="F1026" s="6">
        <f>IF(C1026="","",IF(E1026&lt;&gt;"",LEFT(D1026,LEN(D1026)-2),D1026))</f>
        <v/>
      </c>
      <c r="G1026" s="13">
        <f>IF(C1026="","",IF(OR(IF(AND(LEFT(F1026,1)="(",RIGHT(F1026,1)=")"),MID(F1026,2,LEN(F1026)-2),F1026)="",IF(AND(LEFT(F1026,1)="(",RIGHT(F1026,1)=")"),MID(F1026,2,LEN(F1026)-2),F1026)="-"),0,IFERROR(VALUE(IF(AND(LEFT(F1026,1)="(",RIGHT(F1026,1)=")"),MID(F1026,2,LEN(F1026)-2),F1026))*IF(AND(LEFT(F1026,1)="(",RIGHT(F1026,1)=")"),-1,1)*IF(E1026="Cr",Setup!$B$6,1),"ERR")))</f>
        <v/>
      </c>
      <c r="H1026" s="6">
        <f>IF(C1026="","",IF(ISNUMBER(G1026),1,0))</f>
        <v/>
      </c>
      <c r="I1026" s="6">
        <f>IF(C1026="","",IF(SUMPRODUCT(($C$12:$C$1511=C1026)*1)&gt;1,1,0))</f>
        <v/>
      </c>
      <c r="J1026" s="6">
        <f>IF(C1026="","",SUMPRODUCT((Mapping!$F$5:$F$504=Setup!$B$4&amp;"||"&amp;C1026)*ROW(Mapping!$F$5:$F$504)))</f>
        <v/>
      </c>
      <c r="K1026" s="6">
        <f>IF(C1026="","",IF(J1026=0,"UNMAPPED",LOWER(INDEX(Mapping!$D$1:$D$504,J1026))))</f>
        <v/>
      </c>
      <c r="L1026" s="6">
        <f>IF(K1026="mapped",TRIM(INDEX(Mapping!$C$1:$C$504,J1026)),"")</f>
        <v/>
      </c>
      <c r="M1026" s="6">
        <f>IF(C1026="","",IF(SUMPRODUCT(($C$12:C1026=C1026)*1)=1,1,0))</f>
        <v/>
      </c>
      <c r="N1026" s="6">
        <f>IF(AND(K1026="UNMAPPED",M1026=1),ROW(),"")</f>
        <v/>
      </c>
      <c r="O1026" s="6">
        <f>IF(AND(I1026=1,M1026=1),ROW(),"")</f>
        <v/>
      </c>
      <c r="P1026" s="6">
        <f>IF(AND(K1026="ignored",M1026=1),ROW(),"")</f>
        <v/>
      </c>
    </row>
    <row r="1027">
      <c r="A1027" s="8" t="n"/>
      <c r="B1027" s="8" t="n"/>
      <c r="C1027" s="6">
        <f>TRIM(A1027&amp;"")</f>
        <v/>
      </c>
      <c r="D1027" s="6">
        <f>IF(C1027="","",SUBSTITUTE(SUBSTITUTE(SUBSTITUTE(SUBSTITUTE(SUBSTITUTE(SUBSTITUTE(SUBSTITUTE(UPPER(TRIM(B1027&amp;"")),"₹",""),"RS.",""),"RS",""),"INR",""),"$",""),",","")," ",""))</f>
        <v/>
      </c>
      <c r="E1027" s="6">
        <f>IF(C1027="","",IF(RIGHT(D1027,2)="CR","Cr",IF(RIGHT(D1027,2)="DR","Dr","")))</f>
        <v/>
      </c>
      <c r="F1027" s="6">
        <f>IF(C1027="","",IF(E1027&lt;&gt;"",LEFT(D1027,LEN(D1027)-2),D1027))</f>
        <v/>
      </c>
      <c r="G1027" s="13">
        <f>IF(C1027="","",IF(OR(IF(AND(LEFT(F1027,1)="(",RIGHT(F1027,1)=")"),MID(F1027,2,LEN(F1027)-2),F1027)="",IF(AND(LEFT(F1027,1)="(",RIGHT(F1027,1)=")"),MID(F1027,2,LEN(F1027)-2),F1027)="-"),0,IFERROR(VALUE(IF(AND(LEFT(F1027,1)="(",RIGHT(F1027,1)=")"),MID(F1027,2,LEN(F1027)-2),F1027))*IF(AND(LEFT(F1027,1)="(",RIGHT(F1027,1)=")"),-1,1)*IF(E1027="Cr",Setup!$B$6,1),"ERR")))</f>
        <v/>
      </c>
      <c r="H1027" s="6">
        <f>IF(C1027="","",IF(ISNUMBER(G1027),1,0))</f>
        <v/>
      </c>
      <c r="I1027" s="6">
        <f>IF(C1027="","",IF(SUMPRODUCT(($C$12:$C$1511=C1027)*1)&gt;1,1,0))</f>
        <v/>
      </c>
      <c r="J1027" s="6">
        <f>IF(C1027="","",SUMPRODUCT((Mapping!$F$5:$F$504=Setup!$B$4&amp;"||"&amp;C1027)*ROW(Mapping!$F$5:$F$504)))</f>
        <v/>
      </c>
      <c r="K1027" s="6">
        <f>IF(C1027="","",IF(J1027=0,"UNMAPPED",LOWER(INDEX(Mapping!$D$1:$D$504,J1027))))</f>
        <v/>
      </c>
      <c r="L1027" s="6">
        <f>IF(K1027="mapped",TRIM(INDEX(Mapping!$C$1:$C$504,J1027)),"")</f>
        <v/>
      </c>
      <c r="M1027" s="6">
        <f>IF(C1027="","",IF(SUMPRODUCT(($C$12:C1027=C1027)*1)=1,1,0))</f>
        <v/>
      </c>
      <c r="N1027" s="6">
        <f>IF(AND(K1027="UNMAPPED",M1027=1),ROW(),"")</f>
        <v/>
      </c>
      <c r="O1027" s="6">
        <f>IF(AND(I1027=1,M1027=1),ROW(),"")</f>
        <v/>
      </c>
      <c r="P1027" s="6">
        <f>IF(AND(K1027="ignored",M1027=1),ROW(),"")</f>
        <v/>
      </c>
    </row>
    <row r="1028">
      <c r="A1028" s="8" t="n"/>
      <c r="B1028" s="8" t="n"/>
      <c r="C1028" s="6">
        <f>TRIM(A1028&amp;"")</f>
        <v/>
      </c>
      <c r="D1028" s="6">
        <f>IF(C1028="","",SUBSTITUTE(SUBSTITUTE(SUBSTITUTE(SUBSTITUTE(SUBSTITUTE(SUBSTITUTE(SUBSTITUTE(UPPER(TRIM(B1028&amp;"")),"₹",""),"RS.",""),"RS",""),"INR",""),"$",""),",","")," ",""))</f>
        <v/>
      </c>
      <c r="E1028" s="6">
        <f>IF(C1028="","",IF(RIGHT(D1028,2)="CR","Cr",IF(RIGHT(D1028,2)="DR","Dr","")))</f>
        <v/>
      </c>
      <c r="F1028" s="6">
        <f>IF(C1028="","",IF(E1028&lt;&gt;"",LEFT(D1028,LEN(D1028)-2),D1028))</f>
        <v/>
      </c>
      <c r="G1028" s="13">
        <f>IF(C1028="","",IF(OR(IF(AND(LEFT(F1028,1)="(",RIGHT(F1028,1)=")"),MID(F1028,2,LEN(F1028)-2),F1028)="",IF(AND(LEFT(F1028,1)="(",RIGHT(F1028,1)=")"),MID(F1028,2,LEN(F1028)-2),F1028)="-"),0,IFERROR(VALUE(IF(AND(LEFT(F1028,1)="(",RIGHT(F1028,1)=")"),MID(F1028,2,LEN(F1028)-2),F1028))*IF(AND(LEFT(F1028,1)="(",RIGHT(F1028,1)=")"),-1,1)*IF(E1028="Cr",Setup!$B$6,1),"ERR")))</f>
        <v/>
      </c>
      <c r="H1028" s="6">
        <f>IF(C1028="","",IF(ISNUMBER(G1028),1,0))</f>
        <v/>
      </c>
      <c r="I1028" s="6">
        <f>IF(C1028="","",IF(SUMPRODUCT(($C$12:$C$1511=C1028)*1)&gt;1,1,0))</f>
        <v/>
      </c>
      <c r="J1028" s="6">
        <f>IF(C1028="","",SUMPRODUCT((Mapping!$F$5:$F$504=Setup!$B$4&amp;"||"&amp;C1028)*ROW(Mapping!$F$5:$F$504)))</f>
        <v/>
      </c>
      <c r="K1028" s="6">
        <f>IF(C1028="","",IF(J1028=0,"UNMAPPED",LOWER(INDEX(Mapping!$D$1:$D$504,J1028))))</f>
        <v/>
      </c>
      <c r="L1028" s="6">
        <f>IF(K1028="mapped",TRIM(INDEX(Mapping!$C$1:$C$504,J1028)),"")</f>
        <v/>
      </c>
      <c r="M1028" s="6">
        <f>IF(C1028="","",IF(SUMPRODUCT(($C$12:C1028=C1028)*1)=1,1,0))</f>
        <v/>
      </c>
      <c r="N1028" s="6">
        <f>IF(AND(K1028="UNMAPPED",M1028=1),ROW(),"")</f>
        <v/>
      </c>
      <c r="O1028" s="6">
        <f>IF(AND(I1028=1,M1028=1),ROW(),"")</f>
        <v/>
      </c>
      <c r="P1028" s="6">
        <f>IF(AND(K1028="ignored",M1028=1),ROW(),"")</f>
        <v/>
      </c>
    </row>
    <row r="1029">
      <c r="A1029" s="8" t="n"/>
      <c r="B1029" s="8" t="n"/>
      <c r="C1029" s="6">
        <f>TRIM(A1029&amp;"")</f>
        <v/>
      </c>
      <c r="D1029" s="6">
        <f>IF(C1029="","",SUBSTITUTE(SUBSTITUTE(SUBSTITUTE(SUBSTITUTE(SUBSTITUTE(SUBSTITUTE(SUBSTITUTE(UPPER(TRIM(B1029&amp;"")),"₹",""),"RS.",""),"RS",""),"INR",""),"$",""),",","")," ",""))</f>
        <v/>
      </c>
      <c r="E1029" s="6">
        <f>IF(C1029="","",IF(RIGHT(D1029,2)="CR","Cr",IF(RIGHT(D1029,2)="DR","Dr","")))</f>
        <v/>
      </c>
      <c r="F1029" s="6">
        <f>IF(C1029="","",IF(E1029&lt;&gt;"",LEFT(D1029,LEN(D1029)-2),D1029))</f>
        <v/>
      </c>
      <c r="G1029" s="13">
        <f>IF(C1029="","",IF(OR(IF(AND(LEFT(F1029,1)="(",RIGHT(F1029,1)=")"),MID(F1029,2,LEN(F1029)-2),F1029)="",IF(AND(LEFT(F1029,1)="(",RIGHT(F1029,1)=")"),MID(F1029,2,LEN(F1029)-2),F1029)="-"),0,IFERROR(VALUE(IF(AND(LEFT(F1029,1)="(",RIGHT(F1029,1)=")"),MID(F1029,2,LEN(F1029)-2),F1029))*IF(AND(LEFT(F1029,1)="(",RIGHT(F1029,1)=")"),-1,1)*IF(E1029="Cr",Setup!$B$6,1),"ERR")))</f>
        <v/>
      </c>
      <c r="H1029" s="6">
        <f>IF(C1029="","",IF(ISNUMBER(G1029),1,0))</f>
        <v/>
      </c>
      <c r="I1029" s="6">
        <f>IF(C1029="","",IF(SUMPRODUCT(($C$12:$C$1511=C1029)*1)&gt;1,1,0))</f>
        <v/>
      </c>
      <c r="J1029" s="6">
        <f>IF(C1029="","",SUMPRODUCT((Mapping!$F$5:$F$504=Setup!$B$4&amp;"||"&amp;C1029)*ROW(Mapping!$F$5:$F$504)))</f>
        <v/>
      </c>
      <c r="K1029" s="6">
        <f>IF(C1029="","",IF(J1029=0,"UNMAPPED",LOWER(INDEX(Mapping!$D$1:$D$504,J1029))))</f>
        <v/>
      </c>
      <c r="L1029" s="6">
        <f>IF(K1029="mapped",TRIM(INDEX(Mapping!$C$1:$C$504,J1029)),"")</f>
        <v/>
      </c>
      <c r="M1029" s="6">
        <f>IF(C1029="","",IF(SUMPRODUCT(($C$12:C1029=C1029)*1)=1,1,0))</f>
        <v/>
      </c>
      <c r="N1029" s="6">
        <f>IF(AND(K1029="UNMAPPED",M1029=1),ROW(),"")</f>
        <v/>
      </c>
      <c r="O1029" s="6">
        <f>IF(AND(I1029=1,M1029=1),ROW(),"")</f>
        <v/>
      </c>
      <c r="P1029" s="6">
        <f>IF(AND(K1029="ignored",M1029=1),ROW(),"")</f>
        <v/>
      </c>
    </row>
    <row r="1030">
      <c r="A1030" s="8" t="n"/>
      <c r="B1030" s="8" t="n"/>
      <c r="C1030" s="6">
        <f>TRIM(A1030&amp;"")</f>
        <v/>
      </c>
      <c r="D1030" s="6">
        <f>IF(C1030="","",SUBSTITUTE(SUBSTITUTE(SUBSTITUTE(SUBSTITUTE(SUBSTITUTE(SUBSTITUTE(SUBSTITUTE(UPPER(TRIM(B1030&amp;"")),"₹",""),"RS.",""),"RS",""),"INR",""),"$",""),",","")," ",""))</f>
        <v/>
      </c>
      <c r="E1030" s="6">
        <f>IF(C1030="","",IF(RIGHT(D1030,2)="CR","Cr",IF(RIGHT(D1030,2)="DR","Dr","")))</f>
        <v/>
      </c>
      <c r="F1030" s="6">
        <f>IF(C1030="","",IF(E1030&lt;&gt;"",LEFT(D1030,LEN(D1030)-2),D1030))</f>
        <v/>
      </c>
      <c r="G1030" s="13">
        <f>IF(C1030="","",IF(OR(IF(AND(LEFT(F1030,1)="(",RIGHT(F1030,1)=")"),MID(F1030,2,LEN(F1030)-2),F1030)="",IF(AND(LEFT(F1030,1)="(",RIGHT(F1030,1)=")"),MID(F1030,2,LEN(F1030)-2),F1030)="-"),0,IFERROR(VALUE(IF(AND(LEFT(F1030,1)="(",RIGHT(F1030,1)=")"),MID(F1030,2,LEN(F1030)-2),F1030))*IF(AND(LEFT(F1030,1)="(",RIGHT(F1030,1)=")"),-1,1)*IF(E1030="Cr",Setup!$B$6,1),"ERR")))</f>
        <v/>
      </c>
      <c r="H1030" s="6">
        <f>IF(C1030="","",IF(ISNUMBER(G1030),1,0))</f>
        <v/>
      </c>
      <c r="I1030" s="6">
        <f>IF(C1030="","",IF(SUMPRODUCT(($C$12:$C$1511=C1030)*1)&gt;1,1,0))</f>
        <v/>
      </c>
      <c r="J1030" s="6">
        <f>IF(C1030="","",SUMPRODUCT((Mapping!$F$5:$F$504=Setup!$B$4&amp;"||"&amp;C1030)*ROW(Mapping!$F$5:$F$504)))</f>
        <v/>
      </c>
      <c r="K1030" s="6">
        <f>IF(C1030="","",IF(J1030=0,"UNMAPPED",LOWER(INDEX(Mapping!$D$1:$D$504,J1030))))</f>
        <v/>
      </c>
      <c r="L1030" s="6">
        <f>IF(K1030="mapped",TRIM(INDEX(Mapping!$C$1:$C$504,J1030)),"")</f>
        <v/>
      </c>
      <c r="M1030" s="6">
        <f>IF(C1030="","",IF(SUMPRODUCT(($C$12:C1030=C1030)*1)=1,1,0))</f>
        <v/>
      </c>
      <c r="N1030" s="6">
        <f>IF(AND(K1030="UNMAPPED",M1030=1),ROW(),"")</f>
        <v/>
      </c>
      <c r="O1030" s="6">
        <f>IF(AND(I1030=1,M1030=1),ROW(),"")</f>
        <v/>
      </c>
      <c r="P1030" s="6">
        <f>IF(AND(K1030="ignored",M1030=1),ROW(),"")</f>
        <v/>
      </c>
    </row>
    <row r="1031">
      <c r="A1031" s="8" t="n"/>
      <c r="B1031" s="8" t="n"/>
      <c r="C1031" s="6">
        <f>TRIM(A1031&amp;"")</f>
        <v/>
      </c>
      <c r="D1031" s="6">
        <f>IF(C1031="","",SUBSTITUTE(SUBSTITUTE(SUBSTITUTE(SUBSTITUTE(SUBSTITUTE(SUBSTITUTE(SUBSTITUTE(UPPER(TRIM(B1031&amp;"")),"₹",""),"RS.",""),"RS",""),"INR",""),"$",""),",","")," ",""))</f>
        <v/>
      </c>
      <c r="E1031" s="6">
        <f>IF(C1031="","",IF(RIGHT(D1031,2)="CR","Cr",IF(RIGHT(D1031,2)="DR","Dr","")))</f>
        <v/>
      </c>
      <c r="F1031" s="6">
        <f>IF(C1031="","",IF(E1031&lt;&gt;"",LEFT(D1031,LEN(D1031)-2),D1031))</f>
        <v/>
      </c>
      <c r="G1031" s="13">
        <f>IF(C1031="","",IF(OR(IF(AND(LEFT(F1031,1)="(",RIGHT(F1031,1)=")"),MID(F1031,2,LEN(F1031)-2),F1031)="",IF(AND(LEFT(F1031,1)="(",RIGHT(F1031,1)=")"),MID(F1031,2,LEN(F1031)-2),F1031)="-"),0,IFERROR(VALUE(IF(AND(LEFT(F1031,1)="(",RIGHT(F1031,1)=")"),MID(F1031,2,LEN(F1031)-2),F1031))*IF(AND(LEFT(F1031,1)="(",RIGHT(F1031,1)=")"),-1,1)*IF(E1031="Cr",Setup!$B$6,1),"ERR")))</f>
        <v/>
      </c>
      <c r="H1031" s="6">
        <f>IF(C1031="","",IF(ISNUMBER(G1031),1,0))</f>
        <v/>
      </c>
      <c r="I1031" s="6">
        <f>IF(C1031="","",IF(SUMPRODUCT(($C$12:$C$1511=C1031)*1)&gt;1,1,0))</f>
        <v/>
      </c>
      <c r="J1031" s="6">
        <f>IF(C1031="","",SUMPRODUCT((Mapping!$F$5:$F$504=Setup!$B$4&amp;"||"&amp;C1031)*ROW(Mapping!$F$5:$F$504)))</f>
        <v/>
      </c>
      <c r="K1031" s="6">
        <f>IF(C1031="","",IF(J1031=0,"UNMAPPED",LOWER(INDEX(Mapping!$D$1:$D$504,J1031))))</f>
        <v/>
      </c>
      <c r="L1031" s="6">
        <f>IF(K1031="mapped",TRIM(INDEX(Mapping!$C$1:$C$504,J1031)),"")</f>
        <v/>
      </c>
      <c r="M1031" s="6">
        <f>IF(C1031="","",IF(SUMPRODUCT(($C$12:C1031=C1031)*1)=1,1,0))</f>
        <v/>
      </c>
      <c r="N1031" s="6">
        <f>IF(AND(K1031="UNMAPPED",M1031=1),ROW(),"")</f>
        <v/>
      </c>
      <c r="O1031" s="6">
        <f>IF(AND(I1031=1,M1031=1),ROW(),"")</f>
        <v/>
      </c>
      <c r="P1031" s="6">
        <f>IF(AND(K1031="ignored",M1031=1),ROW(),"")</f>
        <v/>
      </c>
    </row>
    <row r="1032">
      <c r="A1032" s="8" t="n"/>
      <c r="B1032" s="8" t="n"/>
      <c r="C1032" s="6">
        <f>TRIM(A1032&amp;"")</f>
        <v/>
      </c>
      <c r="D1032" s="6">
        <f>IF(C1032="","",SUBSTITUTE(SUBSTITUTE(SUBSTITUTE(SUBSTITUTE(SUBSTITUTE(SUBSTITUTE(SUBSTITUTE(UPPER(TRIM(B1032&amp;"")),"₹",""),"RS.",""),"RS",""),"INR",""),"$",""),",","")," ",""))</f>
        <v/>
      </c>
      <c r="E1032" s="6">
        <f>IF(C1032="","",IF(RIGHT(D1032,2)="CR","Cr",IF(RIGHT(D1032,2)="DR","Dr","")))</f>
        <v/>
      </c>
      <c r="F1032" s="6">
        <f>IF(C1032="","",IF(E1032&lt;&gt;"",LEFT(D1032,LEN(D1032)-2),D1032))</f>
        <v/>
      </c>
      <c r="G1032" s="13">
        <f>IF(C1032="","",IF(OR(IF(AND(LEFT(F1032,1)="(",RIGHT(F1032,1)=")"),MID(F1032,2,LEN(F1032)-2),F1032)="",IF(AND(LEFT(F1032,1)="(",RIGHT(F1032,1)=")"),MID(F1032,2,LEN(F1032)-2),F1032)="-"),0,IFERROR(VALUE(IF(AND(LEFT(F1032,1)="(",RIGHT(F1032,1)=")"),MID(F1032,2,LEN(F1032)-2),F1032))*IF(AND(LEFT(F1032,1)="(",RIGHT(F1032,1)=")"),-1,1)*IF(E1032="Cr",Setup!$B$6,1),"ERR")))</f>
        <v/>
      </c>
      <c r="H1032" s="6">
        <f>IF(C1032="","",IF(ISNUMBER(G1032),1,0))</f>
        <v/>
      </c>
      <c r="I1032" s="6">
        <f>IF(C1032="","",IF(SUMPRODUCT(($C$12:$C$1511=C1032)*1)&gt;1,1,0))</f>
        <v/>
      </c>
      <c r="J1032" s="6">
        <f>IF(C1032="","",SUMPRODUCT((Mapping!$F$5:$F$504=Setup!$B$4&amp;"||"&amp;C1032)*ROW(Mapping!$F$5:$F$504)))</f>
        <v/>
      </c>
      <c r="K1032" s="6">
        <f>IF(C1032="","",IF(J1032=0,"UNMAPPED",LOWER(INDEX(Mapping!$D$1:$D$504,J1032))))</f>
        <v/>
      </c>
      <c r="L1032" s="6">
        <f>IF(K1032="mapped",TRIM(INDEX(Mapping!$C$1:$C$504,J1032)),"")</f>
        <v/>
      </c>
      <c r="M1032" s="6">
        <f>IF(C1032="","",IF(SUMPRODUCT(($C$12:C1032=C1032)*1)=1,1,0))</f>
        <v/>
      </c>
      <c r="N1032" s="6">
        <f>IF(AND(K1032="UNMAPPED",M1032=1),ROW(),"")</f>
        <v/>
      </c>
      <c r="O1032" s="6">
        <f>IF(AND(I1032=1,M1032=1),ROW(),"")</f>
        <v/>
      </c>
      <c r="P1032" s="6">
        <f>IF(AND(K1032="ignored",M1032=1),ROW(),"")</f>
        <v/>
      </c>
    </row>
    <row r="1033">
      <c r="A1033" s="8" t="n"/>
      <c r="B1033" s="8" t="n"/>
      <c r="C1033" s="6">
        <f>TRIM(A1033&amp;"")</f>
        <v/>
      </c>
      <c r="D1033" s="6">
        <f>IF(C1033="","",SUBSTITUTE(SUBSTITUTE(SUBSTITUTE(SUBSTITUTE(SUBSTITUTE(SUBSTITUTE(SUBSTITUTE(UPPER(TRIM(B1033&amp;"")),"₹",""),"RS.",""),"RS",""),"INR",""),"$",""),",","")," ",""))</f>
        <v/>
      </c>
      <c r="E1033" s="6">
        <f>IF(C1033="","",IF(RIGHT(D1033,2)="CR","Cr",IF(RIGHT(D1033,2)="DR","Dr","")))</f>
        <v/>
      </c>
      <c r="F1033" s="6">
        <f>IF(C1033="","",IF(E1033&lt;&gt;"",LEFT(D1033,LEN(D1033)-2),D1033))</f>
        <v/>
      </c>
      <c r="G1033" s="13">
        <f>IF(C1033="","",IF(OR(IF(AND(LEFT(F1033,1)="(",RIGHT(F1033,1)=")"),MID(F1033,2,LEN(F1033)-2),F1033)="",IF(AND(LEFT(F1033,1)="(",RIGHT(F1033,1)=")"),MID(F1033,2,LEN(F1033)-2),F1033)="-"),0,IFERROR(VALUE(IF(AND(LEFT(F1033,1)="(",RIGHT(F1033,1)=")"),MID(F1033,2,LEN(F1033)-2),F1033))*IF(AND(LEFT(F1033,1)="(",RIGHT(F1033,1)=")"),-1,1)*IF(E1033="Cr",Setup!$B$6,1),"ERR")))</f>
        <v/>
      </c>
      <c r="H1033" s="6">
        <f>IF(C1033="","",IF(ISNUMBER(G1033),1,0))</f>
        <v/>
      </c>
      <c r="I1033" s="6">
        <f>IF(C1033="","",IF(SUMPRODUCT(($C$12:$C$1511=C1033)*1)&gt;1,1,0))</f>
        <v/>
      </c>
      <c r="J1033" s="6">
        <f>IF(C1033="","",SUMPRODUCT((Mapping!$F$5:$F$504=Setup!$B$4&amp;"||"&amp;C1033)*ROW(Mapping!$F$5:$F$504)))</f>
        <v/>
      </c>
      <c r="K1033" s="6">
        <f>IF(C1033="","",IF(J1033=0,"UNMAPPED",LOWER(INDEX(Mapping!$D$1:$D$504,J1033))))</f>
        <v/>
      </c>
      <c r="L1033" s="6">
        <f>IF(K1033="mapped",TRIM(INDEX(Mapping!$C$1:$C$504,J1033)),"")</f>
        <v/>
      </c>
      <c r="M1033" s="6">
        <f>IF(C1033="","",IF(SUMPRODUCT(($C$12:C1033=C1033)*1)=1,1,0))</f>
        <v/>
      </c>
      <c r="N1033" s="6">
        <f>IF(AND(K1033="UNMAPPED",M1033=1),ROW(),"")</f>
        <v/>
      </c>
      <c r="O1033" s="6">
        <f>IF(AND(I1033=1,M1033=1),ROW(),"")</f>
        <v/>
      </c>
      <c r="P1033" s="6">
        <f>IF(AND(K1033="ignored",M1033=1),ROW(),"")</f>
        <v/>
      </c>
    </row>
    <row r="1034">
      <c r="A1034" s="8" t="n"/>
      <c r="B1034" s="8" t="n"/>
      <c r="C1034" s="6">
        <f>TRIM(A1034&amp;"")</f>
        <v/>
      </c>
      <c r="D1034" s="6">
        <f>IF(C1034="","",SUBSTITUTE(SUBSTITUTE(SUBSTITUTE(SUBSTITUTE(SUBSTITUTE(SUBSTITUTE(SUBSTITUTE(UPPER(TRIM(B1034&amp;"")),"₹",""),"RS.",""),"RS",""),"INR",""),"$",""),",","")," ",""))</f>
        <v/>
      </c>
      <c r="E1034" s="6">
        <f>IF(C1034="","",IF(RIGHT(D1034,2)="CR","Cr",IF(RIGHT(D1034,2)="DR","Dr","")))</f>
        <v/>
      </c>
      <c r="F1034" s="6">
        <f>IF(C1034="","",IF(E1034&lt;&gt;"",LEFT(D1034,LEN(D1034)-2),D1034))</f>
        <v/>
      </c>
      <c r="G1034" s="13">
        <f>IF(C1034="","",IF(OR(IF(AND(LEFT(F1034,1)="(",RIGHT(F1034,1)=")"),MID(F1034,2,LEN(F1034)-2),F1034)="",IF(AND(LEFT(F1034,1)="(",RIGHT(F1034,1)=")"),MID(F1034,2,LEN(F1034)-2),F1034)="-"),0,IFERROR(VALUE(IF(AND(LEFT(F1034,1)="(",RIGHT(F1034,1)=")"),MID(F1034,2,LEN(F1034)-2),F1034))*IF(AND(LEFT(F1034,1)="(",RIGHT(F1034,1)=")"),-1,1)*IF(E1034="Cr",Setup!$B$6,1),"ERR")))</f>
        <v/>
      </c>
      <c r="H1034" s="6">
        <f>IF(C1034="","",IF(ISNUMBER(G1034),1,0))</f>
        <v/>
      </c>
      <c r="I1034" s="6">
        <f>IF(C1034="","",IF(SUMPRODUCT(($C$12:$C$1511=C1034)*1)&gt;1,1,0))</f>
        <v/>
      </c>
      <c r="J1034" s="6">
        <f>IF(C1034="","",SUMPRODUCT((Mapping!$F$5:$F$504=Setup!$B$4&amp;"||"&amp;C1034)*ROW(Mapping!$F$5:$F$504)))</f>
        <v/>
      </c>
      <c r="K1034" s="6">
        <f>IF(C1034="","",IF(J1034=0,"UNMAPPED",LOWER(INDEX(Mapping!$D$1:$D$504,J1034))))</f>
        <v/>
      </c>
      <c r="L1034" s="6">
        <f>IF(K1034="mapped",TRIM(INDEX(Mapping!$C$1:$C$504,J1034)),"")</f>
        <v/>
      </c>
      <c r="M1034" s="6">
        <f>IF(C1034="","",IF(SUMPRODUCT(($C$12:C1034=C1034)*1)=1,1,0))</f>
        <v/>
      </c>
      <c r="N1034" s="6">
        <f>IF(AND(K1034="UNMAPPED",M1034=1),ROW(),"")</f>
        <v/>
      </c>
      <c r="O1034" s="6">
        <f>IF(AND(I1034=1,M1034=1),ROW(),"")</f>
        <v/>
      </c>
      <c r="P1034" s="6">
        <f>IF(AND(K1034="ignored",M1034=1),ROW(),"")</f>
        <v/>
      </c>
    </row>
    <row r="1035">
      <c r="A1035" s="8" t="n"/>
      <c r="B1035" s="8" t="n"/>
      <c r="C1035" s="6">
        <f>TRIM(A1035&amp;"")</f>
        <v/>
      </c>
      <c r="D1035" s="6">
        <f>IF(C1035="","",SUBSTITUTE(SUBSTITUTE(SUBSTITUTE(SUBSTITUTE(SUBSTITUTE(SUBSTITUTE(SUBSTITUTE(UPPER(TRIM(B1035&amp;"")),"₹",""),"RS.",""),"RS",""),"INR",""),"$",""),",","")," ",""))</f>
        <v/>
      </c>
      <c r="E1035" s="6">
        <f>IF(C1035="","",IF(RIGHT(D1035,2)="CR","Cr",IF(RIGHT(D1035,2)="DR","Dr","")))</f>
        <v/>
      </c>
      <c r="F1035" s="6">
        <f>IF(C1035="","",IF(E1035&lt;&gt;"",LEFT(D1035,LEN(D1035)-2),D1035))</f>
        <v/>
      </c>
      <c r="G1035" s="13">
        <f>IF(C1035="","",IF(OR(IF(AND(LEFT(F1035,1)="(",RIGHT(F1035,1)=")"),MID(F1035,2,LEN(F1035)-2),F1035)="",IF(AND(LEFT(F1035,1)="(",RIGHT(F1035,1)=")"),MID(F1035,2,LEN(F1035)-2),F1035)="-"),0,IFERROR(VALUE(IF(AND(LEFT(F1035,1)="(",RIGHT(F1035,1)=")"),MID(F1035,2,LEN(F1035)-2),F1035))*IF(AND(LEFT(F1035,1)="(",RIGHT(F1035,1)=")"),-1,1)*IF(E1035="Cr",Setup!$B$6,1),"ERR")))</f>
        <v/>
      </c>
      <c r="H1035" s="6">
        <f>IF(C1035="","",IF(ISNUMBER(G1035),1,0))</f>
        <v/>
      </c>
      <c r="I1035" s="6">
        <f>IF(C1035="","",IF(SUMPRODUCT(($C$12:$C$1511=C1035)*1)&gt;1,1,0))</f>
        <v/>
      </c>
      <c r="J1035" s="6">
        <f>IF(C1035="","",SUMPRODUCT((Mapping!$F$5:$F$504=Setup!$B$4&amp;"||"&amp;C1035)*ROW(Mapping!$F$5:$F$504)))</f>
        <v/>
      </c>
      <c r="K1035" s="6">
        <f>IF(C1035="","",IF(J1035=0,"UNMAPPED",LOWER(INDEX(Mapping!$D$1:$D$504,J1035))))</f>
        <v/>
      </c>
      <c r="L1035" s="6">
        <f>IF(K1035="mapped",TRIM(INDEX(Mapping!$C$1:$C$504,J1035)),"")</f>
        <v/>
      </c>
      <c r="M1035" s="6">
        <f>IF(C1035="","",IF(SUMPRODUCT(($C$12:C1035=C1035)*1)=1,1,0))</f>
        <v/>
      </c>
      <c r="N1035" s="6">
        <f>IF(AND(K1035="UNMAPPED",M1035=1),ROW(),"")</f>
        <v/>
      </c>
      <c r="O1035" s="6">
        <f>IF(AND(I1035=1,M1035=1),ROW(),"")</f>
        <v/>
      </c>
      <c r="P1035" s="6">
        <f>IF(AND(K1035="ignored",M1035=1),ROW(),"")</f>
        <v/>
      </c>
    </row>
    <row r="1036">
      <c r="A1036" s="8" t="n"/>
      <c r="B1036" s="8" t="n"/>
      <c r="C1036" s="6">
        <f>TRIM(A1036&amp;"")</f>
        <v/>
      </c>
      <c r="D1036" s="6">
        <f>IF(C1036="","",SUBSTITUTE(SUBSTITUTE(SUBSTITUTE(SUBSTITUTE(SUBSTITUTE(SUBSTITUTE(SUBSTITUTE(UPPER(TRIM(B1036&amp;"")),"₹",""),"RS.",""),"RS",""),"INR",""),"$",""),",","")," ",""))</f>
        <v/>
      </c>
      <c r="E1036" s="6">
        <f>IF(C1036="","",IF(RIGHT(D1036,2)="CR","Cr",IF(RIGHT(D1036,2)="DR","Dr","")))</f>
        <v/>
      </c>
      <c r="F1036" s="6">
        <f>IF(C1036="","",IF(E1036&lt;&gt;"",LEFT(D1036,LEN(D1036)-2),D1036))</f>
        <v/>
      </c>
      <c r="G1036" s="13">
        <f>IF(C1036="","",IF(OR(IF(AND(LEFT(F1036,1)="(",RIGHT(F1036,1)=")"),MID(F1036,2,LEN(F1036)-2),F1036)="",IF(AND(LEFT(F1036,1)="(",RIGHT(F1036,1)=")"),MID(F1036,2,LEN(F1036)-2),F1036)="-"),0,IFERROR(VALUE(IF(AND(LEFT(F1036,1)="(",RIGHT(F1036,1)=")"),MID(F1036,2,LEN(F1036)-2),F1036))*IF(AND(LEFT(F1036,1)="(",RIGHT(F1036,1)=")"),-1,1)*IF(E1036="Cr",Setup!$B$6,1),"ERR")))</f>
        <v/>
      </c>
      <c r="H1036" s="6">
        <f>IF(C1036="","",IF(ISNUMBER(G1036),1,0))</f>
        <v/>
      </c>
      <c r="I1036" s="6">
        <f>IF(C1036="","",IF(SUMPRODUCT(($C$12:$C$1511=C1036)*1)&gt;1,1,0))</f>
        <v/>
      </c>
      <c r="J1036" s="6">
        <f>IF(C1036="","",SUMPRODUCT((Mapping!$F$5:$F$504=Setup!$B$4&amp;"||"&amp;C1036)*ROW(Mapping!$F$5:$F$504)))</f>
        <v/>
      </c>
      <c r="K1036" s="6">
        <f>IF(C1036="","",IF(J1036=0,"UNMAPPED",LOWER(INDEX(Mapping!$D$1:$D$504,J1036))))</f>
        <v/>
      </c>
      <c r="L1036" s="6">
        <f>IF(K1036="mapped",TRIM(INDEX(Mapping!$C$1:$C$504,J1036)),"")</f>
        <v/>
      </c>
      <c r="M1036" s="6">
        <f>IF(C1036="","",IF(SUMPRODUCT(($C$12:C1036=C1036)*1)=1,1,0))</f>
        <v/>
      </c>
      <c r="N1036" s="6">
        <f>IF(AND(K1036="UNMAPPED",M1036=1),ROW(),"")</f>
        <v/>
      </c>
      <c r="O1036" s="6">
        <f>IF(AND(I1036=1,M1036=1),ROW(),"")</f>
        <v/>
      </c>
      <c r="P1036" s="6">
        <f>IF(AND(K1036="ignored",M1036=1),ROW(),"")</f>
        <v/>
      </c>
    </row>
    <row r="1037">
      <c r="A1037" s="8" t="n"/>
      <c r="B1037" s="8" t="n"/>
      <c r="C1037" s="6">
        <f>TRIM(A1037&amp;"")</f>
        <v/>
      </c>
      <c r="D1037" s="6">
        <f>IF(C1037="","",SUBSTITUTE(SUBSTITUTE(SUBSTITUTE(SUBSTITUTE(SUBSTITUTE(SUBSTITUTE(SUBSTITUTE(UPPER(TRIM(B1037&amp;"")),"₹",""),"RS.",""),"RS",""),"INR",""),"$",""),",","")," ",""))</f>
        <v/>
      </c>
      <c r="E1037" s="6">
        <f>IF(C1037="","",IF(RIGHT(D1037,2)="CR","Cr",IF(RIGHT(D1037,2)="DR","Dr","")))</f>
        <v/>
      </c>
      <c r="F1037" s="6">
        <f>IF(C1037="","",IF(E1037&lt;&gt;"",LEFT(D1037,LEN(D1037)-2),D1037))</f>
        <v/>
      </c>
      <c r="G1037" s="13">
        <f>IF(C1037="","",IF(OR(IF(AND(LEFT(F1037,1)="(",RIGHT(F1037,1)=")"),MID(F1037,2,LEN(F1037)-2),F1037)="",IF(AND(LEFT(F1037,1)="(",RIGHT(F1037,1)=")"),MID(F1037,2,LEN(F1037)-2),F1037)="-"),0,IFERROR(VALUE(IF(AND(LEFT(F1037,1)="(",RIGHT(F1037,1)=")"),MID(F1037,2,LEN(F1037)-2),F1037))*IF(AND(LEFT(F1037,1)="(",RIGHT(F1037,1)=")"),-1,1)*IF(E1037="Cr",Setup!$B$6,1),"ERR")))</f>
        <v/>
      </c>
      <c r="H1037" s="6">
        <f>IF(C1037="","",IF(ISNUMBER(G1037),1,0))</f>
        <v/>
      </c>
      <c r="I1037" s="6">
        <f>IF(C1037="","",IF(SUMPRODUCT(($C$12:$C$1511=C1037)*1)&gt;1,1,0))</f>
        <v/>
      </c>
      <c r="J1037" s="6">
        <f>IF(C1037="","",SUMPRODUCT((Mapping!$F$5:$F$504=Setup!$B$4&amp;"||"&amp;C1037)*ROW(Mapping!$F$5:$F$504)))</f>
        <v/>
      </c>
      <c r="K1037" s="6">
        <f>IF(C1037="","",IF(J1037=0,"UNMAPPED",LOWER(INDEX(Mapping!$D$1:$D$504,J1037))))</f>
        <v/>
      </c>
      <c r="L1037" s="6">
        <f>IF(K1037="mapped",TRIM(INDEX(Mapping!$C$1:$C$504,J1037)),"")</f>
        <v/>
      </c>
      <c r="M1037" s="6">
        <f>IF(C1037="","",IF(SUMPRODUCT(($C$12:C1037=C1037)*1)=1,1,0))</f>
        <v/>
      </c>
      <c r="N1037" s="6">
        <f>IF(AND(K1037="UNMAPPED",M1037=1),ROW(),"")</f>
        <v/>
      </c>
      <c r="O1037" s="6">
        <f>IF(AND(I1037=1,M1037=1),ROW(),"")</f>
        <v/>
      </c>
      <c r="P1037" s="6">
        <f>IF(AND(K1037="ignored",M1037=1),ROW(),"")</f>
        <v/>
      </c>
    </row>
    <row r="1038">
      <c r="A1038" s="8" t="n"/>
      <c r="B1038" s="8" t="n"/>
      <c r="C1038" s="6">
        <f>TRIM(A1038&amp;"")</f>
        <v/>
      </c>
      <c r="D1038" s="6">
        <f>IF(C1038="","",SUBSTITUTE(SUBSTITUTE(SUBSTITUTE(SUBSTITUTE(SUBSTITUTE(SUBSTITUTE(SUBSTITUTE(UPPER(TRIM(B1038&amp;"")),"₹",""),"RS.",""),"RS",""),"INR",""),"$",""),",","")," ",""))</f>
        <v/>
      </c>
      <c r="E1038" s="6">
        <f>IF(C1038="","",IF(RIGHT(D1038,2)="CR","Cr",IF(RIGHT(D1038,2)="DR","Dr","")))</f>
        <v/>
      </c>
      <c r="F1038" s="6">
        <f>IF(C1038="","",IF(E1038&lt;&gt;"",LEFT(D1038,LEN(D1038)-2),D1038))</f>
        <v/>
      </c>
      <c r="G1038" s="13">
        <f>IF(C1038="","",IF(OR(IF(AND(LEFT(F1038,1)="(",RIGHT(F1038,1)=")"),MID(F1038,2,LEN(F1038)-2),F1038)="",IF(AND(LEFT(F1038,1)="(",RIGHT(F1038,1)=")"),MID(F1038,2,LEN(F1038)-2),F1038)="-"),0,IFERROR(VALUE(IF(AND(LEFT(F1038,1)="(",RIGHT(F1038,1)=")"),MID(F1038,2,LEN(F1038)-2),F1038))*IF(AND(LEFT(F1038,1)="(",RIGHT(F1038,1)=")"),-1,1)*IF(E1038="Cr",Setup!$B$6,1),"ERR")))</f>
        <v/>
      </c>
      <c r="H1038" s="6">
        <f>IF(C1038="","",IF(ISNUMBER(G1038),1,0))</f>
        <v/>
      </c>
      <c r="I1038" s="6">
        <f>IF(C1038="","",IF(SUMPRODUCT(($C$12:$C$1511=C1038)*1)&gt;1,1,0))</f>
        <v/>
      </c>
      <c r="J1038" s="6">
        <f>IF(C1038="","",SUMPRODUCT((Mapping!$F$5:$F$504=Setup!$B$4&amp;"||"&amp;C1038)*ROW(Mapping!$F$5:$F$504)))</f>
        <v/>
      </c>
      <c r="K1038" s="6">
        <f>IF(C1038="","",IF(J1038=0,"UNMAPPED",LOWER(INDEX(Mapping!$D$1:$D$504,J1038))))</f>
        <v/>
      </c>
      <c r="L1038" s="6">
        <f>IF(K1038="mapped",TRIM(INDEX(Mapping!$C$1:$C$504,J1038)),"")</f>
        <v/>
      </c>
      <c r="M1038" s="6">
        <f>IF(C1038="","",IF(SUMPRODUCT(($C$12:C1038=C1038)*1)=1,1,0))</f>
        <v/>
      </c>
      <c r="N1038" s="6">
        <f>IF(AND(K1038="UNMAPPED",M1038=1),ROW(),"")</f>
        <v/>
      </c>
      <c r="O1038" s="6">
        <f>IF(AND(I1038=1,M1038=1),ROW(),"")</f>
        <v/>
      </c>
      <c r="P1038" s="6">
        <f>IF(AND(K1038="ignored",M1038=1),ROW(),"")</f>
        <v/>
      </c>
    </row>
    <row r="1039">
      <c r="A1039" s="8" t="n"/>
      <c r="B1039" s="8" t="n"/>
      <c r="C1039" s="6">
        <f>TRIM(A1039&amp;"")</f>
        <v/>
      </c>
      <c r="D1039" s="6">
        <f>IF(C1039="","",SUBSTITUTE(SUBSTITUTE(SUBSTITUTE(SUBSTITUTE(SUBSTITUTE(SUBSTITUTE(SUBSTITUTE(UPPER(TRIM(B1039&amp;"")),"₹",""),"RS.",""),"RS",""),"INR",""),"$",""),",","")," ",""))</f>
        <v/>
      </c>
      <c r="E1039" s="6">
        <f>IF(C1039="","",IF(RIGHT(D1039,2)="CR","Cr",IF(RIGHT(D1039,2)="DR","Dr","")))</f>
        <v/>
      </c>
      <c r="F1039" s="6">
        <f>IF(C1039="","",IF(E1039&lt;&gt;"",LEFT(D1039,LEN(D1039)-2),D1039))</f>
        <v/>
      </c>
      <c r="G1039" s="13">
        <f>IF(C1039="","",IF(OR(IF(AND(LEFT(F1039,1)="(",RIGHT(F1039,1)=")"),MID(F1039,2,LEN(F1039)-2),F1039)="",IF(AND(LEFT(F1039,1)="(",RIGHT(F1039,1)=")"),MID(F1039,2,LEN(F1039)-2),F1039)="-"),0,IFERROR(VALUE(IF(AND(LEFT(F1039,1)="(",RIGHT(F1039,1)=")"),MID(F1039,2,LEN(F1039)-2),F1039))*IF(AND(LEFT(F1039,1)="(",RIGHT(F1039,1)=")"),-1,1)*IF(E1039="Cr",Setup!$B$6,1),"ERR")))</f>
        <v/>
      </c>
      <c r="H1039" s="6">
        <f>IF(C1039="","",IF(ISNUMBER(G1039),1,0))</f>
        <v/>
      </c>
      <c r="I1039" s="6">
        <f>IF(C1039="","",IF(SUMPRODUCT(($C$12:$C$1511=C1039)*1)&gt;1,1,0))</f>
        <v/>
      </c>
      <c r="J1039" s="6">
        <f>IF(C1039="","",SUMPRODUCT((Mapping!$F$5:$F$504=Setup!$B$4&amp;"||"&amp;C1039)*ROW(Mapping!$F$5:$F$504)))</f>
        <v/>
      </c>
      <c r="K1039" s="6">
        <f>IF(C1039="","",IF(J1039=0,"UNMAPPED",LOWER(INDEX(Mapping!$D$1:$D$504,J1039))))</f>
        <v/>
      </c>
      <c r="L1039" s="6">
        <f>IF(K1039="mapped",TRIM(INDEX(Mapping!$C$1:$C$504,J1039)),"")</f>
        <v/>
      </c>
      <c r="M1039" s="6">
        <f>IF(C1039="","",IF(SUMPRODUCT(($C$12:C1039=C1039)*1)=1,1,0))</f>
        <v/>
      </c>
      <c r="N1039" s="6">
        <f>IF(AND(K1039="UNMAPPED",M1039=1),ROW(),"")</f>
        <v/>
      </c>
      <c r="O1039" s="6">
        <f>IF(AND(I1039=1,M1039=1),ROW(),"")</f>
        <v/>
      </c>
      <c r="P1039" s="6">
        <f>IF(AND(K1039="ignored",M1039=1),ROW(),"")</f>
        <v/>
      </c>
    </row>
    <row r="1040">
      <c r="A1040" s="8" t="n"/>
      <c r="B1040" s="8" t="n"/>
      <c r="C1040" s="6">
        <f>TRIM(A1040&amp;"")</f>
        <v/>
      </c>
      <c r="D1040" s="6">
        <f>IF(C1040="","",SUBSTITUTE(SUBSTITUTE(SUBSTITUTE(SUBSTITUTE(SUBSTITUTE(SUBSTITUTE(SUBSTITUTE(UPPER(TRIM(B1040&amp;"")),"₹",""),"RS.",""),"RS",""),"INR",""),"$",""),",","")," ",""))</f>
        <v/>
      </c>
      <c r="E1040" s="6">
        <f>IF(C1040="","",IF(RIGHT(D1040,2)="CR","Cr",IF(RIGHT(D1040,2)="DR","Dr","")))</f>
        <v/>
      </c>
      <c r="F1040" s="6">
        <f>IF(C1040="","",IF(E1040&lt;&gt;"",LEFT(D1040,LEN(D1040)-2),D1040))</f>
        <v/>
      </c>
      <c r="G1040" s="13">
        <f>IF(C1040="","",IF(OR(IF(AND(LEFT(F1040,1)="(",RIGHT(F1040,1)=")"),MID(F1040,2,LEN(F1040)-2),F1040)="",IF(AND(LEFT(F1040,1)="(",RIGHT(F1040,1)=")"),MID(F1040,2,LEN(F1040)-2),F1040)="-"),0,IFERROR(VALUE(IF(AND(LEFT(F1040,1)="(",RIGHT(F1040,1)=")"),MID(F1040,2,LEN(F1040)-2),F1040))*IF(AND(LEFT(F1040,1)="(",RIGHT(F1040,1)=")"),-1,1)*IF(E1040="Cr",Setup!$B$6,1),"ERR")))</f>
        <v/>
      </c>
      <c r="H1040" s="6">
        <f>IF(C1040="","",IF(ISNUMBER(G1040),1,0))</f>
        <v/>
      </c>
      <c r="I1040" s="6">
        <f>IF(C1040="","",IF(SUMPRODUCT(($C$12:$C$1511=C1040)*1)&gt;1,1,0))</f>
        <v/>
      </c>
      <c r="J1040" s="6">
        <f>IF(C1040="","",SUMPRODUCT((Mapping!$F$5:$F$504=Setup!$B$4&amp;"||"&amp;C1040)*ROW(Mapping!$F$5:$F$504)))</f>
        <v/>
      </c>
      <c r="K1040" s="6">
        <f>IF(C1040="","",IF(J1040=0,"UNMAPPED",LOWER(INDEX(Mapping!$D$1:$D$504,J1040))))</f>
        <v/>
      </c>
      <c r="L1040" s="6">
        <f>IF(K1040="mapped",TRIM(INDEX(Mapping!$C$1:$C$504,J1040)),"")</f>
        <v/>
      </c>
      <c r="M1040" s="6">
        <f>IF(C1040="","",IF(SUMPRODUCT(($C$12:C1040=C1040)*1)=1,1,0))</f>
        <v/>
      </c>
      <c r="N1040" s="6">
        <f>IF(AND(K1040="UNMAPPED",M1040=1),ROW(),"")</f>
        <v/>
      </c>
      <c r="O1040" s="6">
        <f>IF(AND(I1040=1,M1040=1),ROW(),"")</f>
        <v/>
      </c>
      <c r="P1040" s="6">
        <f>IF(AND(K1040="ignored",M1040=1),ROW(),"")</f>
        <v/>
      </c>
    </row>
    <row r="1041">
      <c r="A1041" s="8" t="n"/>
      <c r="B1041" s="8" t="n"/>
      <c r="C1041" s="6">
        <f>TRIM(A1041&amp;"")</f>
        <v/>
      </c>
      <c r="D1041" s="6">
        <f>IF(C1041="","",SUBSTITUTE(SUBSTITUTE(SUBSTITUTE(SUBSTITUTE(SUBSTITUTE(SUBSTITUTE(SUBSTITUTE(UPPER(TRIM(B1041&amp;"")),"₹",""),"RS.",""),"RS",""),"INR",""),"$",""),",","")," ",""))</f>
        <v/>
      </c>
      <c r="E1041" s="6">
        <f>IF(C1041="","",IF(RIGHT(D1041,2)="CR","Cr",IF(RIGHT(D1041,2)="DR","Dr","")))</f>
        <v/>
      </c>
      <c r="F1041" s="6">
        <f>IF(C1041="","",IF(E1041&lt;&gt;"",LEFT(D1041,LEN(D1041)-2),D1041))</f>
        <v/>
      </c>
      <c r="G1041" s="13">
        <f>IF(C1041="","",IF(OR(IF(AND(LEFT(F1041,1)="(",RIGHT(F1041,1)=")"),MID(F1041,2,LEN(F1041)-2),F1041)="",IF(AND(LEFT(F1041,1)="(",RIGHT(F1041,1)=")"),MID(F1041,2,LEN(F1041)-2),F1041)="-"),0,IFERROR(VALUE(IF(AND(LEFT(F1041,1)="(",RIGHT(F1041,1)=")"),MID(F1041,2,LEN(F1041)-2),F1041))*IF(AND(LEFT(F1041,1)="(",RIGHT(F1041,1)=")"),-1,1)*IF(E1041="Cr",Setup!$B$6,1),"ERR")))</f>
        <v/>
      </c>
      <c r="H1041" s="6">
        <f>IF(C1041="","",IF(ISNUMBER(G1041),1,0))</f>
        <v/>
      </c>
      <c r="I1041" s="6">
        <f>IF(C1041="","",IF(SUMPRODUCT(($C$12:$C$1511=C1041)*1)&gt;1,1,0))</f>
        <v/>
      </c>
      <c r="J1041" s="6">
        <f>IF(C1041="","",SUMPRODUCT((Mapping!$F$5:$F$504=Setup!$B$4&amp;"||"&amp;C1041)*ROW(Mapping!$F$5:$F$504)))</f>
        <v/>
      </c>
      <c r="K1041" s="6">
        <f>IF(C1041="","",IF(J1041=0,"UNMAPPED",LOWER(INDEX(Mapping!$D$1:$D$504,J1041))))</f>
        <v/>
      </c>
      <c r="L1041" s="6">
        <f>IF(K1041="mapped",TRIM(INDEX(Mapping!$C$1:$C$504,J1041)),"")</f>
        <v/>
      </c>
      <c r="M1041" s="6">
        <f>IF(C1041="","",IF(SUMPRODUCT(($C$12:C1041=C1041)*1)=1,1,0))</f>
        <v/>
      </c>
      <c r="N1041" s="6">
        <f>IF(AND(K1041="UNMAPPED",M1041=1),ROW(),"")</f>
        <v/>
      </c>
      <c r="O1041" s="6">
        <f>IF(AND(I1041=1,M1041=1),ROW(),"")</f>
        <v/>
      </c>
      <c r="P1041" s="6">
        <f>IF(AND(K1041="ignored",M1041=1),ROW(),"")</f>
        <v/>
      </c>
    </row>
    <row r="1042">
      <c r="A1042" s="8" t="n"/>
      <c r="B1042" s="8" t="n"/>
      <c r="C1042" s="6">
        <f>TRIM(A1042&amp;"")</f>
        <v/>
      </c>
      <c r="D1042" s="6">
        <f>IF(C1042="","",SUBSTITUTE(SUBSTITUTE(SUBSTITUTE(SUBSTITUTE(SUBSTITUTE(SUBSTITUTE(SUBSTITUTE(UPPER(TRIM(B1042&amp;"")),"₹",""),"RS.",""),"RS",""),"INR",""),"$",""),",","")," ",""))</f>
        <v/>
      </c>
      <c r="E1042" s="6">
        <f>IF(C1042="","",IF(RIGHT(D1042,2)="CR","Cr",IF(RIGHT(D1042,2)="DR","Dr","")))</f>
        <v/>
      </c>
      <c r="F1042" s="6">
        <f>IF(C1042="","",IF(E1042&lt;&gt;"",LEFT(D1042,LEN(D1042)-2),D1042))</f>
        <v/>
      </c>
      <c r="G1042" s="13">
        <f>IF(C1042="","",IF(OR(IF(AND(LEFT(F1042,1)="(",RIGHT(F1042,1)=")"),MID(F1042,2,LEN(F1042)-2),F1042)="",IF(AND(LEFT(F1042,1)="(",RIGHT(F1042,1)=")"),MID(F1042,2,LEN(F1042)-2),F1042)="-"),0,IFERROR(VALUE(IF(AND(LEFT(F1042,1)="(",RIGHT(F1042,1)=")"),MID(F1042,2,LEN(F1042)-2),F1042))*IF(AND(LEFT(F1042,1)="(",RIGHT(F1042,1)=")"),-1,1)*IF(E1042="Cr",Setup!$B$6,1),"ERR")))</f>
        <v/>
      </c>
      <c r="H1042" s="6">
        <f>IF(C1042="","",IF(ISNUMBER(G1042),1,0))</f>
        <v/>
      </c>
      <c r="I1042" s="6">
        <f>IF(C1042="","",IF(SUMPRODUCT(($C$12:$C$1511=C1042)*1)&gt;1,1,0))</f>
        <v/>
      </c>
      <c r="J1042" s="6">
        <f>IF(C1042="","",SUMPRODUCT((Mapping!$F$5:$F$504=Setup!$B$4&amp;"||"&amp;C1042)*ROW(Mapping!$F$5:$F$504)))</f>
        <v/>
      </c>
      <c r="K1042" s="6">
        <f>IF(C1042="","",IF(J1042=0,"UNMAPPED",LOWER(INDEX(Mapping!$D$1:$D$504,J1042))))</f>
        <v/>
      </c>
      <c r="L1042" s="6">
        <f>IF(K1042="mapped",TRIM(INDEX(Mapping!$C$1:$C$504,J1042)),"")</f>
        <v/>
      </c>
      <c r="M1042" s="6">
        <f>IF(C1042="","",IF(SUMPRODUCT(($C$12:C1042=C1042)*1)=1,1,0))</f>
        <v/>
      </c>
      <c r="N1042" s="6">
        <f>IF(AND(K1042="UNMAPPED",M1042=1),ROW(),"")</f>
        <v/>
      </c>
      <c r="O1042" s="6">
        <f>IF(AND(I1042=1,M1042=1),ROW(),"")</f>
        <v/>
      </c>
      <c r="P1042" s="6">
        <f>IF(AND(K1042="ignored",M1042=1),ROW(),"")</f>
        <v/>
      </c>
    </row>
    <row r="1043">
      <c r="A1043" s="8" t="n"/>
      <c r="B1043" s="8" t="n"/>
      <c r="C1043" s="6">
        <f>TRIM(A1043&amp;"")</f>
        <v/>
      </c>
      <c r="D1043" s="6">
        <f>IF(C1043="","",SUBSTITUTE(SUBSTITUTE(SUBSTITUTE(SUBSTITUTE(SUBSTITUTE(SUBSTITUTE(SUBSTITUTE(UPPER(TRIM(B1043&amp;"")),"₹",""),"RS.",""),"RS",""),"INR",""),"$",""),",","")," ",""))</f>
        <v/>
      </c>
      <c r="E1043" s="6">
        <f>IF(C1043="","",IF(RIGHT(D1043,2)="CR","Cr",IF(RIGHT(D1043,2)="DR","Dr","")))</f>
        <v/>
      </c>
      <c r="F1043" s="6">
        <f>IF(C1043="","",IF(E1043&lt;&gt;"",LEFT(D1043,LEN(D1043)-2),D1043))</f>
        <v/>
      </c>
      <c r="G1043" s="13">
        <f>IF(C1043="","",IF(OR(IF(AND(LEFT(F1043,1)="(",RIGHT(F1043,1)=")"),MID(F1043,2,LEN(F1043)-2),F1043)="",IF(AND(LEFT(F1043,1)="(",RIGHT(F1043,1)=")"),MID(F1043,2,LEN(F1043)-2),F1043)="-"),0,IFERROR(VALUE(IF(AND(LEFT(F1043,1)="(",RIGHT(F1043,1)=")"),MID(F1043,2,LEN(F1043)-2),F1043))*IF(AND(LEFT(F1043,1)="(",RIGHT(F1043,1)=")"),-1,1)*IF(E1043="Cr",Setup!$B$6,1),"ERR")))</f>
        <v/>
      </c>
      <c r="H1043" s="6">
        <f>IF(C1043="","",IF(ISNUMBER(G1043),1,0))</f>
        <v/>
      </c>
      <c r="I1043" s="6">
        <f>IF(C1043="","",IF(SUMPRODUCT(($C$12:$C$1511=C1043)*1)&gt;1,1,0))</f>
        <v/>
      </c>
      <c r="J1043" s="6">
        <f>IF(C1043="","",SUMPRODUCT((Mapping!$F$5:$F$504=Setup!$B$4&amp;"||"&amp;C1043)*ROW(Mapping!$F$5:$F$504)))</f>
        <v/>
      </c>
      <c r="K1043" s="6">
        <f>IF(C1043="","",IF(J1043=0,"UNMAPPED",LOWER(INDEX(Mapping!$D$1:$D$504,J1043))))</f>
        <v/>
      </c>
      <c r="L1043" s="6">
        <f>IF(K1043="mapped",TRIM(INDEX(Mapping!$C$1:$C$504,J1043)),"")</f>
        <v/>
      </c>
      <c r="M1043" s="6">
        <f>IF(C1043="","",IF(SUMPRODUCT(($C$12:C1043=C1043)*1)=1,1,0))</f>
        <v/>
      </c>
      <c r="N1043" s="6">
        <f>IF(AND(K1043="UNMAPPED",M1043=1),ROW(),"")</f>
        <v/>
      </c>
      <c r="O1043" s="6">
        <f>IF(AND(I1043=1,M1043=1),ROW(),"")</f>
        <v/>
      </c>
      <c r="P1043" s="6">
        <f>IF(AND(K1043="ignored",M1043=1),ROW(),"")</f>
        <v/>
      </c>
    </row>
    <row r="1044">
      <c r="A1044" s="8" t="n"/>
      <c r="B1044" s="8" t="n"/>
      <c r="C1044" s="6">
        <f>TRIM(A1044&amp;"")</f>
        <v/>
      </c>
      <c r="D1044" s="6">
        <f>IF(C1044="","",SUBSTITUTE(SUBSTITUTE(SUBSTITUTE(SUBSTITUTE(SUBSTITUTE(SUBSTITUTE(SUBSTITUTE(UPPER(TRIM(B1044&amp;"")),"₹",""),"RS.",""),"RS",""),"INR",""),"$",""),",","")," ",""))</f>
        <v/>
      </c>
      <c r="E1044" s="6">
        <f>IF(C1044="","",IF(RIGHT(D1044,2)="CR","Cr",IF(RIGHT(D1044,2)="DR","Dr","")))</f>
        <v/>
      </c>
      <c r="F1044" s="6">
        <f>IF(C1044="","",IF(E1044&lt;&gt;"",LEFT(D1044,LEN(D1044)-2),D1044))</f>
        <v/>
      </c>
      <c r="G1044" s="13">
        <f>IF(C1044="","",IF(OR(IF(AND(LEFT(F1044,1)="(",RIGHT(F1044,1)=")"),MID(F1044,2,LEN(F1044)-2),F1044)="",IF(AND(LEFT(F1044,1)="(",RIGHT(F1044,1)=")"),MID(F1044,2,LEN(F1044)-2),F1044)="-"),0,IFERROR(VALUE(IF(AND(LEFT(F1044,1)="(",RIGHT(F1044,1)=")"),MID(F1044,2,LEN(F1044)-2),F1044))*IF(AND(LEFT(F1044,1)="(",RIGHT(F1044,1)=")"),-1,1)*IF(E1044="Cr",Setup!$B$6,1),"ERR")))</f>
        <v/>
      </c>
      <c r="H1044" s="6">
        <f>IF(C1044="","",IF(ISNUMBER(G1044),1,0))</f>
        <v/>
      </c>
      <c r="I1044" s="6">
        <f>IF(C1044="","",IF(SUMPRODUCT(($C$12:$C$1511=C1044)*1)&gt;1,1,0))</f>
        <v/>
      </c>
      <c r="J1044" s="6">
        <f>IF(C1044="","",SUMPRODUCT((Mapping!$F$5:$F$504=Setup!$B$4&amp;"||"&amp;C1044)*ROW(Mapping!$F$5:$F$504)))</f>
        <v/>
      </c>
      <c r="K1044" s="6">
        <f>IF(C1044="","",IF(J1044=0,"UNMAPPED",LOWER(INDEX(Mapping!$D$1:$D$504,J1044))))</f>
        <v/>
      </c>
      <c r="L1044" s="6">
        <f>IF(K1044="mapped",TRIM(INDEX(Mapping!$C$1:$C$504,J1044)),"")</f>
        <v/>
      </c>
      <c r="M1044" s="6">
        <f>IF(C1044="","",IF(SUMPRODUCT(($C$12:C1044=C1044)*1)=1,1,0))</f>
        <v/>
      </c>
      <c r="N1044" s="6">
        <f>IF(AND(K1044="UNMAPPED",M1044=1),ROW(),"")</f>
        <v/>
      </c>
      <c r="O1044" s="6">
        <f>IF(AND(I1044=1,M1044=1),ROW(),"")</f>
        <v/>
      </c>
      <c r="P1044" s="6">
        <f>IF(AND(K1044="ignored",M1044=1),ROW(),"")</f>
        <v/>
      </c>
    </row>
    <row r="1045">
      <c r="A1045" s="8" t="n"/>
      <c r="B1045" s="8" t="n"/>
      <c r="C1045" s="6">
        <f>TRIM(A1045&amp;"")</f>
        <v/>
      </c>
      <c r="D1045" s="6">
        <f>IF(C1045="","",SUBSTITUTE(SUBSTITUTE(SUBSTITUTE(SUBSTITUTE(SUBSTITUTE(SUBSTITUTE(SUBSTITUTE(UPPER(TRIM(B1045&amp;"")),"₹",""),"RS.",""),"RS",""),"INR",""),"$",""),",","")," ",""))</f>
        <v/>
      </c>
      <c r="E1045" s="6">
        <f>IF(C1045="","",IF(RIGHT(D1045,2)="CR","Cr",IF(RIGHT(D1045,2)="DR","Dr","")))</f>
        <v/>
      </c>
      <c r="F1045" s="6">
        <f>IF(C1045="","",IF(E1045&lt;&gt;"",LEFT(D1045,LEN(D1045)-2),D1045))</f>
        <v/>
      </c>
      <c r="G1045" s="13">
        <f>IF(C1045="","",IF(OR(IF(AND(LEFT(F1045,1)="(",RIGHT(F1045,1)=")"),MID(F1045,2,LEN(F1045)-2),F1045)="",IF(AND(LEFT(F1045,1)="(",RIGHT(F1045,1)=")"),MID(F1045,2,LEN(F1045)-2),F1045)="-"),0,IFERROR(VALUE(IF(AND(LEFT(F1045,1)="(",RIGHT(F1045,1)=")"),MID(F1045,2,LEN(F1045)-2),F1045))*IF(AND(LEFT(F1045,1)="(",RIGHT(F1045,1)=")"),-1,1)*IF(E1045="Cr",Setup!$B$6,1),"ERR")))</f>
        <v/>
      </c>
      <c r="H1045" s="6">
        <f>IF(C1045="","",IF(ISNUMBER(G1045),1,0))</f>
        <v/>
      </c>
      <c r="I1045" s="6">
        <f>IF(C1045="","",IF(SUMPRODUCT(($C$12:$C$1511=C1045)*1)&gt;1,1,0))</f>
        <v/>
      </c>
      <c r="J1045" s="6">
        <f>IF(C1045="","",SUMPRODUCT((Mapping!$F$5:$F$504=Setup!$B$4&amp;"||"&amp;C1045)*ROW(Mapping!$F$5:$F$504)))</f>
        <v/>
      </c>
      <c r="K1045" s="6">
        <f>IF(C1045="","",IF(J1045=0,"UNMAPPED",LOWER(INDEX(Mapping!$D$1:$D$504,J1045))))</f>
        <v/>
      </c>
      <c r="L1045" s="6">
        <f>IF(K1045="mapped",TRIM(INDEX(Mapping!$C$1:$C$504,J1045)),"")</f>
        <v/>
      </c>
      <c r="M1045" s="6">
        <f>IF(C1045="","",IF(SUMPRODUCT(($C$12:C1045=C1045)*1)=1,1,0))</f>
        <v/>
      </c>
      <c r="N1045" s="6">
        <f>IF(AND(K1045="UNMAPPED",M1045=1),ROW(),"")</f>
        <v/>
      </c>
      <c r="O1045" s="6">
        <f>IF(AND(I1045=1,M1045=1),ROW(),"")</f>
        <v/>
      </c>
      <c r="P1045" s="6">
        <f>IF(AND(K1045="ignored",M1045=1),ROW(),"")</f>
        <v/>
      </c>
    </row>
    <row r="1046">
      <c r="A1046" s="8" t="n"/>
      <c r="B1046" s="8" t="n"/>
      <c r="C1046" s="6">
        <f>TRIM(A1046&amp;"")</f>
        <v/>
      </c>
      <c r="D1046" s="6">
        <f>IF(C1046="","",SUBSTITUTE(SUBSTITUTE(SUBSTITUTE(SUBSTITUTE(SUBSTITUTE(SUBSTITUTE(SUBSTITUTE(UPPER(TRIM(B1046&amp;"")),"₹",""),"RS.",""),"RS",""),"INR",""),"$",""),",","")," ",""))</f>
        <v/>
      </c>
      <c r="E1046" s="6">
        <f>IF(C1046="","",IF(RIGHT(D1046,2)="CR","Cr",IF(RIGHT(D1046,2)="DR","Dr","")))</f>
        <v/>
      </c>
      <c r="F1046" s="6">
        <f>IF(C1046="","",IF(E1046&lt;&gt;"",LEFT(D1046,LEN(D1046)-2),D1046))</f>
        <v/>
      </c>
      <c r="G1046" s="13">
        <f>IF(C1046="","",IF(OR(IF(AND(LEFT(F1046,1)="(",RIGHT(F1046,1)=")"),MID(F1046,2,LEN(F1046)-2),F1046)="",IF(AND(LEFT(F1046,1)="(",RIGHT(F1046,1)=")"),MID(F1046,2,LEN(F1046)-2),F1046)="-"),0,IFERROR(VALUE(IF(AND(LEFT(F1046,1)="(",RIGHT(F1046,1)=")"),MID(F1046,2,LEN(F1046)-2),F1046))*IF(AND(LEFT(F1046,1)="(",RIGHT(F1046,1)=")"),-1,1)*IF(E1046="Cr",Setup!$B$6,1),"ERR")))</f>
        <v/>
      </c>
      <c r="H1046" s="6">
        <f>IF(C1046="","",IF(ISNUMBER(G1046),1,0))</f>
        <v/>
      </c>
      <c r="I1046" s="6">
        <f>IF(C1046="","",IF(SUMPRODUCT(($C$12:$C$1511=C1046)*1)&gt;1,1,0))</f>
        <v/>
      </c>
      <c r="J1046" s="6">
        <f>IF(C1046="","",SUMPRODUCT((Mapping!$F$5:$F$504=Setup!$B$4&amp;"||"&amp;C1046)*ROW(Mapping!$F$5:$F$504)))</f>
        <v/>
      </c>
      <c r="K1046" s="6">
        <f>IF(C1046="","",IF(J1046=0,"UNMAPPED",LOWER(INDEX(Mapping!$D$1:$D$504,J1046))))</f>
        <v/>
      </c>
      <c r="L1046" s="6">
        <f>IF(K1046="mapped",TRIM(INDEX(Mapping!$C$1:$C$504,J1046)),"")</f>
        <v/>
      </c>
      <c r="M1046" s="6">
        <f>IF(C1046="","",IF(SUMPRODUCT(($C$12:C1046=C1046)*1)=1,1,0))</f>
        <v/>
      </c>
      <c r="N1046" s="6">
        <f>IF(AND(K1046="UNMAPPED",M1046=1),ROW(),"")</f>
        <v/>
      </c>
      <c r="O1046" s="6">
        <f>IF(AND(I1046=1,M1046=1),ROW(),"")</f>
        <v/>
      </c>
      <c r="P1046" s="6">
        <f>IF(AND(K1046="ignored",M1046=1),ROW(),"")</f>
        <v/>
      </c>
    </row>
    <row r="1047">
      <c r="A1047" s="8" t="n"/>
      <c r="B1047" s="8" t="n"/>
      <c r="C1047" s="6">
        <f>TRIM(A1047&amp;"")</f>
        <v/>
      </c>
      <c r="D1047" s="6">
        <f>IF(C1047="","",SUBSTITUTE(SUBSTITUTE(SUBSTITUTE(SUBSTITUTE(SUBSTITUTE(SUBSTITUTE(SUBSTITUTE(UPPER(TRIM(B1047&amp;"")),"₹",""),"RS.",""),"RS",""),"INR",""),"$",""),",","")," ",""))</f>
        <v/>
      </c>
      <c r="E1047" s="6">
        <f>IF(C1047="","",IF(RIGHT(D1047,2)="CR","Cr",IF(RIGHT(D1047,2)="DR","Dr","")))</f>
        <v/>
      </c>
      <c r="F1047" s="6">
        <f>IF(C1047="","",IF(E1047&lt;&gt;"",LEFT(D1047,LEN(D1047)-2),D1047))</f>
        <v/>
      </c>
      <c r="G1047" s="13">
        <f>IF(C1047="","",IF(OR(IF(AND(LEFT(F1047,1)="(",RIGHT(F1047,1)=")"),MID(F1047,2,LEN(F1047)-2),F1047)="",IF(AND(LEFT(F1047,1)="(",RIGHT(F1047,1)=")"),MID(F1047,2,LEN(F1047)-2),F1047)="-"),0,IFERROR(VALUE(IF(AND(LEFT(F1047,1)="(",RIGHT(F1047,1)=")"),MID(F1047,2,LEN(F1047)-2),F1047))*IF(AND(LEFT(F1047,1)="(",RIGHT(F1047,1)=")"),-1,1)*IF(E1047="Cr",Setup!$B$6,1),"ERR")))</f>
        <v/>
      </c>
      <c r="H1047" s="6">
        <f>IF(C1047="","",IF(ISNUMBER(G1047),1,0))</f>
        <v/>
      </c>
      <c r="I1047" s="6">
        <f>IF(C1047="","",IF(SUMPRODUCT(($C$12:$C$1511=C1047)*1)&gt;1,1,0))</f>
        <v/>
      </c>
      <c r="J1047" s="6">
        <f>IF(C1047="","",SUMPRODUCT((Mapping!$F$5:$F$504=Setup!$B$4&amp;"||"&amp;C1047)*ROW(Mapping!$F$5:$F$504)))</f>
        <v/>
      </c>
      <c r="K1047" s="6">
        <f>IF(C1047="","",IF(J1047=0,"UNMAPPED",LOWER(INDEX(Mapping!$D$1:$D$504,J1047))))</f>
        <v/>
      </c>
      <c r="L1047" s="6">
        <f>IF(K1047="mapped",TRIM(INDEX(Mapping!$C$1:$C$504,J1047)),"")</f>
        <v/>
      </c>
      <c r="M1047" s="6">
        <f>IF(C1047="","",IF(SUMPRODUCT(($C$12:C1047=C1047)*1)=1,1,0))</f>
        <v/>
      </c>
      <c r="N1047" s="6">
        <f>IF(AND(K1047="UNMAPPED",M1047=1),ROW(),"")</f>
        <v/>
      </c>
      <c r="O1047" s="6">
        <f>IF(AND(I1047=1,M1047=1),ROW(),"")</f>
        <v/>
      </c>
      <c r="P1047" s="6">
        <f>IF(AND(K1047="ignored",M1047=1),ROW(),"")</f>
        <v/>
      </c>
    </row>
    <row r="1048">
      <c r="A1048" s="8" t="n"/>
      <c r="B1048" s="8" t="n"/>
      <c r="C1048" s="6">
        <f>TRIM(A1048&amp;"")</f>
        <v/>
      </c>
      <c r="D1048" s="6">
        <f>IF(C1048="","",SUBSTITUTE(SUBSTITUTE(SUBSTITUTE(SUBSTITUTE(SUBSTITUTE(SUBSTITUTE(SUBSTITUTE(UPPER(TRIM(B1048&amp;"")),"₹",""),"RS.",""),"RS",""),"INR",""),"$",""),",","")," ",""))</f>
        <v/>
      </c>
      <c r="E1048" s="6">
        <f>IF(C1048="","",IF(RIGHT(D1048,2)="CR","Cr",IF(RIGHT(D1048,2)="DR","Dr","")))</f>
        <v/>
      </c>
      <c r="F1048" s="6">
        <f>IF(C1048="","",IF(E1048&lt;&gt;"",LEFT(D1048,LEN(D1048)-2),D1048))</f>
        <v/>
      </c>
      <c r="G1048" s="13">
        <f>IF(C1048="","",IF(OR(IF(AND(LEFT(F1048,1)="(",RIGHT(F1048,1)=")"),MID(F1048,2,LEN(F1048)-2),F1048)="",IF(AND(LEFT(F1048,1)="(",RIGHT(F1048,1)=")"),MID(F1048,2,LEN(F1048)-2),F1048)="-"),0,IFERROR(VALUE(IF(AND(LEFT(F1048,1)="(",RIGHT(F1048,1)=")"),MID(F1048,2,LEN(F1048)-2),F1048))*IF(AND(LEFT(F1048,1)="(",RIGHT(F1048,1)=")"),-1,1)*IF(E1048="Cr",Setup!$B$6,1),"ERR")))</f>
        <v/>
      </c>
      <c r="H1048" s="6">
        <f>IF(C1048="","",IF(ISNUMBER(G1048),1,0))</f>
        <v/>
      </c>
      <c r="I1048" s="6">
        <f>IF(C1048="","",IF(SUMPRODUCT(($C$12:$C$1511=C1048)*1)&gt;1,1,0))</f>
        <v/>
      </c>
      <c r="J1048" s="6">
        <f>IF(C1048="","",SUMPRODUCT((Mapping!$F$5:$F$504=Setup!$B$4&amp;"||"&amp;C1048)*ROW(Mapping!$F$5:$F$504)))</f>
        <v/>
      </c>
      <c r="K1048" s="6">
        <f>IF(C1048="","",IF(J1048=0,"UNMAPPED",LOWER(INDEX(Mapping!$D$1:$D$504,J1048))))</f>
        <v/>
      </c>
      <c r="L1048" s="6">
        <f>IF(K1048="mapped",TRIM(INDEX(Mapping!$C$1:$C$504,J1048)),"")</f>
        <v/>
      </c>
      <c r="M1048" s="6">
        <f>IF(C1048="","",IF(SUMPRODUCT(($C$12:C1048=C1048)*1)=1,1,0))</f>
        <v/>
      </c>
      <c r="N1048" s="6">
        <f>IF(AND(K1048="UNMAPPED",M1048=1),ROW(),"")</f>
        <v/>
      </c>
      <c r="O1048" s="6">
        <f>IF(AND(I1048=1,M1048=1),ROW(),"")</f>
        <v/>
      </c>
      <c r="P1048" s="6">
        <f>IF(AND(K1048="ignored",M1048=1),ROW(),"")</f>
        <v/>
      </c>
    </row>
    <row r="1049">
      <c r="A1049" s="8" t="n"/>
      <c r="B1049" s="8" t="n"/>
      <c r="C1049" s="6">
        <f>TRIM(A1049&amp;"")</f>
        <v/>
      </c>
      <c r="D1049" s="6">
        <f>IF(C1049="","",SUBSTITUTE(SUBSTITUTE(SUBSTITUTE(SUBSTITUTE(SUBSTITUTE(SUBSTITUTE(SUBSTITUTE(UPPER(TRIM(B1049&amp;"")),"₹",""),"RS.",""),"RS",""),"INR",""),"$",""),",","")," ",""))</f>
        <v/>
      </c>
      <c r="E1049" s="6">
        <f>IF(C1049="","",IF(RIGHT(D1049,2)="CR","Cr",IF(RIGHT(D1049,2)="DR","Dr","")))</f>
        <v/>
      </c>
      <c r="F1049" s="6">
        <f>IF(C1049="","",IF(E1049&lt;&gt;"",LEFT(D1049,LEN(D1049)-2),D1049))</f>
        <v/>
      </c>
      <c r="G1049" s="13">
        <f>IF(C1049="","",IF(OR(IF(AND(LEFT(F1049,1)="(",RIGHT(F1049,1)=")"),MID(F1049,2,LEN(F1049)-2),F1049)="",IF(AND(LEFT(F1049,1)="(",RIGHT(F1049,1)=")"),MID(F1049,2,LEN(F1049)-2),F1049)="-"),0,IFERROR(VALUE(IF(AND(LEFT(F1049,1)="(",RIGHT(F1049,1)=")"),MID(F1049,2,LEN(F1049)-2),F1049))*IF(AND(LEFT(F1049,1)="(",RIGHT(F1049,1)=")"),-1,1)*IF(E1049="Cr",Setup!$B$6,1),"ERR")))</f>
        <v/>
      </c>
      <c r="H1049" s="6">
        <f>IF(C1049="","",IF(ISNUMBER(G1049),1,0))</f>
        <v/>
      </c>
      <c r="I1049" s="6">
        <f>IF(C1049="","",IF(SUMPRODUCT(($C$12:$C$1511=C1049)*1)&gt;1,1,0))</f>
        <v/>
      </c>
      <c r="J1049" s="6">
        <f>IF(C1049="","",SUMPRODUCT((Mapping!$F$5:$F$504=Setup!$B$4&amp;"||"&amp;C1049)*ROW(Mapping!$F$5:$F$504)))</f>
        <v/>
      </c>
      <c r="K1049" s="6">
        <f>IF(C1049="","",IF(J1049=0,"UNMAPPED",LOWER(INDEX(Mapping!$D$1:$D$504,J1049))))</f>
        <v/>
      </c>
      <c r="L1049" s="6">
        <f>IF(K1049="mapped",TRIM(INDEX(Mapping!$C$1:$C$504,J1049)),"")</f>
        <v/>
      </c>
      <c r="M1049" s="6">
        <f>IF(C1049="","",IF(SUMPRODUCT(($C$12:C1049=C1049)*1)=1,1,0))</f>
        <v/>
      </c>
      <c r="N1049" s="6">
        <f>IF(AND(K1049="UNMAPPED",M1049=1),ROW(),"")</f>
        <v/>
      </c>
      <c r="O1049" s="6">
        <f>IF(AND(I1049=1,M1049=1),ROW(),"")</f>
        <v/>
      </c>
      <c r="P1049" s="6">
        <f>IF(AND(K1049="ignored",M1049=1),ROW(),"")</f>
        <v/>
      </c>
    </row>
    <row r="1050">
      <c r="A1050" s="8" t="n"/>
      <c r="B1050" s="8" t="n"/>
      <c r="C1050" s="6">
        <f>TRIM(A1050&amp;"")</f>
        <v/>
      </c>
      <c r="D1050" s="6">
        <f>IF(C1050="","",SUBSTITUTE(SUBSTITUTE(SUBSTITUTE(SUBSTITUTE(SUBSTITUTE(SUBSTITUTE(SUBSTITUTE(UPPER(TRIM(B1050&amp;"")),"₹",""),"RS.",""),"RS",""),"INR",""),"$",""),",","")," ",""))</f>
        <v/>
      </c>
      <c r="E1050" s="6">
        <f>IF(C1050="","",IF(RIGHT(D1050,2)="CR","Cr",IF(RIGHT(D1050,2)="DR","Dr","")))</f>
        <v/>
      </c>
      <c r="F1050" s="6">
        <f>IF(C1050="","",IF(E1050&lt;&gt;"",LEFT(D1050,LEN(D1050)-2),D1050))</f>
        <v/>
      </c>
      <c r="G1050" s="13">
        <f>IF(C1050="","",IF(OR(IF(AND(LEFT(F1050,1)="(",RIGHT(F1050,1)=")"),MID(F1050,2,LEN(F1050)-2),F1050)="",IF(AND(LEFT(F1050,1)="(",RIGHT(F1050,1)=")"),MID(F1050,2,LEN(F1050)-2),F1050)="-"),0,IFERROR(VALUE(IF(AND(LEFT(F1050,1)="(",RIGHT(F1050,1)=")"),MID(F1050,2,LEN(F1050)-2),F1050))*IF(AND(LEFT(F1050,1)="(",RIGHT(F1050,1)=")"),-1,1)*IF(E1050="Cr",Setup!$B$6,1),"ERR")))</f>
        <v/>
      </c>
      <c r="H1050" s="6">
        <f>IF(C1050="","",IF(ISNUMBER(G1050),1,0))</f>
        <v/>
      </c>
      <c r="I1050" s="6">
        <f>IF(C1050="","",IF(SUMPRODUCT(($C$12:$C$1511=C1050)*1)&gt;1,1,0))</f>
        <v/>
      </c>
      <c r="J1050" s="6">
        <f>IF(C1050="","",SUMPRODUCT((Mapping!$F$5:$F$504=Setup!$B$4&amp;"||"&amp;C1050)*ROW(Mapping!$F$5:$F$504)))</f>
        <v/>
      </c>
      <c r="K1050" s="6">
        <f>IF(C1050="","",IF(J1050=0,"UNMAPPED",LOWER(INDEX(Mapping!$D$1:$D$504,J1050))))</f>
        <v/>
      </c>
      <c r="L1050" s="6">
        <f>IF(K1050="mapped",TRIM(INDEX(Mapping!$C$1:$C$504,J1050)),"")</f>
        <v/>
      </c>
      <c r="M1050" s="6">
        <f>IF(C1050="","",IF(SUMPRODUCT(($C$12:C1050=C1050)*1)=1,1,0))</f>
        <v/>
      </c>
      <c r="N1050" s="6">
        <f>IF(AND(K1050="UNMAPPED",M1050=1),ROW(),"")</f>
        <v/>
      </c>
      <c r="O1050" s="6">
        <f>IF(AND(I1050=1,M1050=1),ROW(),"")</f>
        <v/>
      </c>
      <c r="P1050" s="6">
        <f>IF(AND(K1050="ignored",M1050=1),ROW(),"")</f>
        <v/>
      </c>
    </row>
    <row r="1051">
      <c r="A1051" s="8" t="n"/>
      <c r="B1051" s="8" t="n"/>
      <c r="C1051" s="6">
        <f>TRIM(A1051&amp;"")</f>
        <v/>
      </c>
      <c r="D1051" s="6">
        <f>IF(C1051="","",SUBSTITUTE(SUBSTITUTE(SUBSTITUTE(SUBSTITUTE(SUBSTITUTE(SUBSTITUTE(SUBSTITUTE(UPPER(TRIM(B1051&amp;"")),"₹",""),"RS.",""),"RS",""),"INR",""),"$",""),",","")," ",""))</f>
        <v/>
      </c>
      <c r="E1051" s="6">
        <f>IF(C1051="","",IF(RIGHT(D1051,2)="CR","Cr",IF(RIGHT(D1051,2)="DR","Dr","")))</f>
        <v/>
      </c>
      <c r="F1051" s="6">
        <f>IF(C1051="","",IF(E1051&lt;&gt;"",LEFT(D1051,LEN(D1051)-2),D1051))</f>
        <v/>
      </c>
      <c r="G1051" s="13">
        <f>IF(C1051="","",IF(OR(IF(AND(LEFT(F1051,1)="(",RIGHT(F1051,1)=")"),MID(F1051,2,LEN(F1051)-2),F1051)="",IF(AND(LEFT(F1051,1)="(",RIGHT(F1051,1)=")"),MID(F1051,2,LEN(F1051)-2),F1051)="-"),0,IFERROR(VALUE(IF(AND(LEFT(F1051,1)="(",RIGHT(F1051,1)=")"),MID(F1051,2,LEN(F1051)-2),F1051))*IF(AND(LEFT(F1051,1)="(",RIGHT(F1051,1)=")"),-1,1)*IF(E1051="Cr",Setup!$B$6,1),"ERR")))</f>
        <v/>
      </c>
      <c r="H1051" s="6">
        <f>IF(C1051="","",IF(ISNUMBER(G1051),1,0))</f>
        <v/>
      </c>
      <c r="I1051" s="6">
        <f>IF(C1051="","",IF(SUMPRODUCT(($C$12:$C$1511=C1051)*1)&gt;1,1,0))</f>
        <v/>
      </c>
      <c r="J1051" s="6">
        <f>IF(C1051="","",SUMPRODUCT((Mapping!$F$5:$F$504=Setup!$B$4&amp;"||"&amp;C1051)*ROW(Mapping!$F$5:$F$504)))</f>
        <v/>
      </c>
      <c r="K1051" s="6">
        <f>IF(C1051="","",IF(J1051=0,"UNMAPPED",LOWER(INDEX(Mapping!$D$1:$D$504,J1051))))</f>
        <v/>
      </c>
      <c r="L1051" s="6">
        <f>IF(K1051="mapped",TRIM(INDEX(Mapping!$C$1:$C$504,J1051)),"")</f>
        <v/>
      </c>
      <c r="M1051" s="6">
        <f>IF(C1051="","",IF(SUMPRODUCT(($C$12:C1051=C1051)*1)=1,1,0))</f>
        <v/>
      </c>
      <c r="N1051" s="6">
        <f>IF(AND(K1051="UNMAPPED",M1051=1),ROW(),"")</f>
        <v/>
      </c>
      <c r="O1051" s="6">
        <f>IF(AND(I1051=1,M1051=1),ROW(),"")</f>
        <v/>
      </c>
      <c r="P1051" s="6">
        <f>IF(AND(K1051="ignored",M1051=1),ROW(),"")</f>
        <v/>
      </c>
    </row>
    <row r="1052">
      <c r="A1052" s="8" t="n"/>
      <c r="B1052" s="8" t="n"/>
      <c r="C1052" s="6">
        <f>TRIM(A1052&amp;"")</f>
        <v/>
      </c>
      <c r="D1052" s="6">
        <f>IF(C1052="","",SUBSTITUTE(SUBSTITUTE(SUBSTITUTE(SUBSTITUTE(SUBSTITUTE(SUBSTITUTE(SUBSTITUTE(UPPER(TRIM(B1052&amp;"")),"₹",""),"RS.",""),"RS",""),"INR",""),"$",""),",","")," ",""))</f>
        <v/>
      </c>
      <c r="E1052" s="6">
        <f>IF(C1052="","",IF(RIGHT(D1052,2)="CR","Cr",IF(RIGHT(D1052,2)="DR","Dr","")))</f>
        <v/>
      </c>
      <c r="F1052" s="6">
        <f>IF(C1052="","",IF(E1052&lt;&gt;"",LEFT(D1052,LEN(D1052)-2),D1052))</f>
        <v/>
      </c>
      <c r="G1052" s="13">
        <f>IF(C1052="","",IF(OR(IF(AND(LEFT(F1052,1)="(",RIGHT(F1052,1)=")"),MID(F1052,2,LEN(F1052)-2),F1052)="",IF(AND(LEFT(F1052,1)="(",RIGHT(F1052,1)=")"),MID(F1052,2,LEN(F1052)-2),F1052)="-"),0,IFERROR(VALUE(IF(AND(LEFT(F1052,1)="(",RIGHT(F1052,1)=")"),MID(F1052,2,LEN(F1052)-2),F1052))*IF(AND(LEFT(F1052,1)="(",RIGHT(F1052,1)=")"),-1,1)*IF(E1052="Cr",Setup!$B$6,1),"ERR")))</f>
        <v/>
      </c>
      <c r="H1052" s="6">
        <f>IF(C1052="","",IF(ISNUMBER(G1052),1,0))</f>
        <v/>
      </c>
      <c r="I1052" s="6">
        <f>IF(C1052="","",IF(SUMPRODUCT(($C$12:$C$1511=C1052)*1)&gt;1,1,0))</f>
        <v/>
      </c>
      <c r="J1052" s="6">
        <f>IF(C1052="","",SUMPRODUCT((Mapping!$F$5:$F$504=Setup!$B$4&amp;"||"&amp;C1052)*ROW(Mapping!$F$5:$F$504)))</f>
        <v/>
      </c>
      <c r="K1052" s="6">
        <f>IF(C1052="","",IF(J1052=0,"UNMAPPED",LOWER(INDEX(Mapping!$D$1:$D$504,J1052))))</f>
        <v/>
      </c>
      <c r="L1052" s="6">
        <f>IF(K1052="mapped",TRIM(INDEX(Mapping!$C$1:$C$504,J1052)),"")</f>
        <v/>
      </c>
      <c r="M1052" s="6">
        <f>IF(C1052="","",IF(SUMPRODUCT(($C$12:C1052=C1052)*1)=1,1,0))</f>
        <v/>
      </c>
      <c r="N1052" s="6">
        <f>IF(AND(K1052="UNMAPPED",M1052=1),ROW(),"")</f>
        <v/>
      </c>
      <c r="O1052" s="6">
        <f>IF(AND(I1052=1,M1052=1),ROW(),"")</f>
        <v/>
      </c>
      <c r="P1052" s="6">
        <f>IF(AND(K1052="ignored",M1052=1),ROW(),"")</f>
        <v/>
      </c>
    </row>
    <row r="1053">
      <c r="A1053" s="8" t="n"/>
      <c r="B1053" s="8" t="n"/>
      <c r="C1053" s="6">
        <f>TRIM(A1053&amp;"")</f>
        <v/>
      </c>
      <c r="D1053" s="6">
        <f>IF(C1053="","",SUBSTITUTE(SUBSTITUTE(SUBSTITUTE(SUBSTITUTE(SUBSTITUTE(SUBSTITUTE(SUBSTITUTE(UPPER(TRIM(B1053&amp;"")),"₹",""),"RS.",""),"RS",""),"INR",""),"$",""),",","")," ",""))</f>
        <v/>
      </c>
      <c r="E1053" s="6">
        <f>IF(C1053="","",IF(RIGHT(D1053,2)="CR","Cr",IF(RIGHT(D1053,2)="DR","Dr","")))</f>
        <v/>
      </c>
      <c r="F1053" s="6">
        <f>IF(C1053="","",IF(E1053&lt;&gt;"",LEFT(D1053,LEN(D1053)-2),D1053))</f>
        <v/>
      </c>
      <c r="G1053" s="13">
        <f>IF(C1053="","",IF(OR(IF(AND(LEFT(F1053,1)="(",RIGHT(F1053,1)=")"),MID(F1053,2,LEN(F1053)-2),F1053)="",IF(AND(LEFT(F1053,1)="(",RIGHT(F1053,1)=")"),MID(F1053,2,LEN(F1053)-2),F1053)="-"),0,IFERROR(VALUE(IF(AND(LEFT(F1053,1)="(",RIGHT(F1053,1)=")"),MID(F1053,2,LEN(F1053)-2),F1053))*IF(AND(LEFT(F1053,1)="(",RIGHT(F1053,1)=")"),-1,1)*IF(E1053="Cr",Setup!$B$6,1),"ERR")))</f>
        <v/>
      </c>
      <c r="H1053" s="6">
        <f>IF(C1053="","",IF(ISNUMBER(G1053),1,0))</f>
        <v/>
      </c>
      <c r="I1053" s="6">
        <f>IF(C1053="","",IF(SUMPRODUCT(($C$12:$C$1511=C1053)*1)&gt;1,1,0))</f>
        <v/>
      </c>
      <c r="J1053" s="6">
        <f>IF(C1053="","",SUMPRODUCT((Mapping!$F$5:$F$504=Setup!$B$4&amp;"||"&amp;C1053)*ROW(Mapping!$F$5:$F$504)))</f>
        <v/>
      </c>
      <c r="K1053" s="6">
        <f>IF(C1053="","",IF(J1053=0,"UNMAPPED",LOWER(INDEX(Mapping!$D$1:$D$504,J1053))))</f>
        <v/>
      </c>
      <c r="L1053" s="6">
        <f>IF(K1053="mapped",TRIM(INDEX(Mapping!$C$1:$C$504,J1053)),"")</f>
        <v/>
      </c>
      <c r="M1053" s="6">
        <f>IF(C1053="","",IF(SUMPRODUCT(($C$12:C1053=C1053)*1)=1,1,0))</f>
        <v/>
      </c>
      <c r="N1053" s="6">
        <f>IF(AND(K1053="UNMAPPED",M1053=1),ROW(),"")</f>
        <v/>
      </c>
      <c r="O1053" s="6">
        <f>IF(AND(I1053=1,M1053=1),ROW(),"")</f>
        <v/>
      </c>
      <c r="P1053" s="6">
        <f>IF(AND(K1053="ignored",M1053=1),ROW(),"")</f>
        <v/>
      </c>
    </row>
    <row r="1054">
      <c r="A1054" s="8" t="n"/>
      <c r="B1054" s="8" t="n"/>
      <c r="C1054" s="6">
        <f>TRIM(A1054&amp;"")</f>
        <v/>
      </c>
      <c r="D1054" s="6">
        <f>IF(C1054="","",SUBSTITUTE(SUBSTITUTE(SUBSTITUTE(SUBSTITUTE(SUBSTITUTE(SUBSTITUTE(SUBSTITUTE(UPPER(TRIM(B1054&amp;"")),"₹",""),"RS.",""),"RS",""),"INR",""),"$",""),",","")," ",""))</f>
        <v/>
      </c>
      <c r="E1054" s="6">
        <f>IF(C1054="","",IF(RIGHT(D1054,2)="CR","Cr",IF(RIGHT(D1054,2)="DR","Dr","")))</f>
        <v/>
      </c>
      <c r="F1054" s="6">
        <f>IF(C1054="","",IF(E1054&lt;&gt;"",LEFT(D1054,LEN(D1054)-2),D1054))</f>
        <v/>
      </c>
      <c r="G1054" s="13">
        <f>IF(C1054="","",IF(OR(IF(AND(LEFT(F1054,1)="(",RIGHT(F1054,1)=")"),MID(F1054,2,LEN(F1054)-2),F1054)="",IF(AND(LEFT(F1054,1)="(",RIGHT(F1054,1)=")"),MID(F1054,2,LEN(F1054)-2),F1054)="-"),0,IFERROR(VALUE(IF(AND(LEFT(F1054,1)="(",RIGHT(F1054,1)=")"),MID(F1054,2,LEN(F1054)-2),F1054))*IF(AND(LEFT(F1054,1)="(",RIGHT(F1054,1)=")"),-1,1)*IF(E1054="Cr",Setup!$B$6,1),"ERR")))</f>
        <v/>
      </c>
      <c r="H1054" s="6">
        <f>IF(C1054="","",IF(ISNUMBER(G1054),1,0))</f>
        <v/>
      </c>
      <c r="I1054" s="6">
        <f>IF(C1054="","",IF(SUMPRODUCT(($C$12:$C$1511=C1054)*1)&gt;1,1,0))</f>
        <v/>
      </c>
      <c r="J1054" s="6">
        <f>IF(C1054="","",SUMPRODUCT((Mapping!$F$5:$F$504=Setup!$B$4&amp;"||"&amp;C1054)*ROW(Mapping!$F$5:$F$504)))</f>
        <v/>
      </c>
      <c r="K1054" s="6">
        <f>IF(C1054="","",IF(J1054=0,"UNMAPPED",LOWER(INDEX(Mapping!$D$1:$D$504,J1054))))</f>
        <v/>
      </c>
      <c r="L1054" s="6">
        <f>IF(K1054="mapped",TRIM(INDEX(Mapping!$C$1:$C$504,J1054)),"")</f>
        <v/>
      </c>
      <c r="M1054" s="6">
        <f>IF(C1054="","",IF(SUMPRODUCT(($C$12:C1054=C1054)*1)=1,1,0))</f>
        <v/>
      </c>
      <c r="N1054" s="6">
        <f>IF(AND(K1054="UNMAPPED",M1054=1),ROW(),"")</f>
        <v/>
      </c>
      <c r="O1054" s="6">
        <f>IF(AND(I1054=1,M1054=1),ROW(),"")</f>
        <v/>
      </c>
      <c r="P1054" s="6">
        <f>IF(AND(K1054="ignored",M1054=1),ROW(),"")</f>
        <v/>
      </c>
    </row>
    <row r="1055">
      <c r="A1055" s="8" t="n"/>
      <c r="B1055" s="8" t="n"/>
      <c r="C1055" s="6">
        <f>TRIM(A1055&amp;"")</f>
        <v/>
      </c>
      <c r="D1055" s="6">
        <f>IF(C1055="","",SUBSTITUTE(SUBSTITUTE(SUBSTITUTE(SUBSTITUTE(SUBSTITUTE(SUBSTITUTE(SUBSTITUTE(UPPER(TRIM(B1055&amp;"")),"₹",""),"RS.",""),"RS",""),"INR",""),"$",""),",","")," ",""))</f>
        <v/>
      </c>
      <c r="E1055" s="6">
        <f>IF(C1055="","",IF(RIGHT(D1055,2)="CR","Cr",IF(RIGHT(D1055,2)="DR","Dr","")))</f>
        <v/>
      </c>
      <c r="F1055" s="6">
        <f>IF(C1055="","",IF(E1055&lt;&gt;"",LEFT(D1055,LEN(D1055)-2),D1055))</f>
        <v/>
      </c>
      <c r="G1055" s="13">
        <f>IF(C1055="","",IF(OR(IF(AND(LEFT(F1055,1)="(",RIGHT(F1055,1)=")"),MID(F1055,2,LEN(F1055)-2),F1055)="",IF(AND(LEFT(F1055,1)="(",RIGHT(F1055,1)=")"),MID(F1055,2,LEN(F1055)-2),F1055)="-"),0,IFERROR(VALUE(IF(AND(LEFT(F1055,1)="(",RIGHT(F1055,1)=")"),MID(F1055,2,LEN(F1055)-2),F1055))*IF(AND(LEFT(F1055,1)="(",RIGHT(F1055,1)=")"),-1,1)*IF(E1055="Cr",Setup!$B$6,1),"ERR")))</f>
        <v/>
      </c>
      <c r="H1055" s="6">
        <f>IF(C1055="","",IF(ISNUMBER(G1055),1,0))</f>
        <v/>
      </c>
      <c r="I1055" s="6">
        <f>IF(C1055="","",IF(SUMPRODUCT(($C$12:$C$1511=C1055)*1)&gt;1,1,0))</f>
        <v/>
      </c>
      <c r="J1055" s="6">
        <f>IF(C1055="","",SUMPRODUCT((Mapping!$F$5:$F$504=Setup!$B$4&amp;"||"&amp;C1055)*ROW(Mapping!$F$5:$F$504)))</f>
        <v/>
      </c>
      <c r="K1055" s="6">
        <f>IF(C1055="","",IF(J1055=0,"UNMAPPED",LOWER(INDEX(Mapping!$D$1:$D$504,J1055))))</f>
        <v/>
      </c>
      <c r="L1055" s="6">
        <f>IF(K1055="mapped",TRIM(INDEX(Mapping!$C$1:$C$504,J1055)),"")</f>
        <v/>
      </c>
      <c r="M1055" s="6">
        <f>IF(C1055="","",IF(SUMPRODUCT(($C$12:C1055=C1055)*1)=1,1,0))</f>
        <v/>
      </c>
      <c r="N1055" s="6">
        <f>IF(AND(K1055="UNMAPPED",M1055=1),ROW(),"")</f>
        <v/>
      </c>
      <c r="O1055" s="6">
        <f>IF(AND(I1055=1,M1055=1),ROW(),"")</f>
        <v/>
      </c>
      <c r="P1055" s="6">
        <f>IF(AND(K1055="ignored",M1055=1),ROW(),"")</f>
        <v/>
      </c>
    </row>
    <row r="1056">
      <c r="A1056" s="8" t="n"/>
      <c r="B1056" s="8" t="n"/>
      <c r="C1056" s="6">
        <f>TRIM(A1056&amp;"")</f>
        <v/>
      </c>
      <c r="D1056" s="6">
        <f>IF(C1056="","",SUBSTITUTE(SUBSTITUTE(SUBSTITUTE(SUBSTITUTE(SUBSTITUTE(SUBSTITUTE(SUBSTITUTE(UPPER(TRIM(B1056&amp;"")),"₹",""),"RS.",""),"RS",""),"INR",""),"$",""),",","")," ",""))</f>
        <v/>
      </c>
      <c r="E1056" s="6">
        <f>IF(C1056="","",IF(RIGHT(D1056,2)="CR","Cr",IF(RIGHT(D1056,2)="DR","Dr","")))</f>
        <v/>
      </c>
      <c r="F1056" s="6">
        <f>IF(C1056="","",IF(E1056&lt;&gt;"",LEFT(D1056,LEN(D1056)-2),D1056))</f>
        <v/>
      </c>
      <c r="G1056" s="13">
        <f>IF(C1056="","",IF(OR(IF(AND(LEFT(F1056,1)="(",RIGHT(F1056,1)=")"),MID(F1056,2,LEN(F1056)-2),F1056)="",IF(AND(LEFT(F1056,1)="(",RIGHT(F1056,1)=")"),MID(F1056,2,LEN(F1056)-2),F1056)="-"),0,IFERROR(VALUE(IF(AND(LEFT(F1056,1)="(",RIGHT(F1056,1)=")"),MID(F1056,2,LEN(F1056)-2),F1056))*IF(AND(LEFT(F1056,1)="(",RIGHT(F1056,1)=")"),-1,1)*IF(E1056="Cr",Setup!$B$6,1),"ERR")))</f>
        <v/>
      </c>
      <c r="H1056" s="6">
        <f>IF(C1056="","",IF(ISNUMBER(G1056),1,0))</f>
        <v/>
      </c>
      <c r="I1056" s="6">
        <f>IF(C1056="","",IF(SUMPRODUCT(($C$12:$C$1511=C1056)*1)&gt;1,1,0))</f>
        <v/>
      </c>
      <c r="J1056" s="6">
        <f>IF(C1056="","",SUMPRODUCT((Mapping!$F$5:$F$504=Setup!$B$4&amp;"||"&amp;C1056)*ROW(Mapping!$F$5:$F$504)))</f>
        <v/>
      </c>
      <c r="K1056" s="6">
        <f>IF(C1056="","",IF(J1056=0,"UNMAPPED",LOWER(INDEX(Mapping!$D$1:$D$504,J1056))))</f>
        <v/>
      </c>
      <c r="L1056" s="6">
        <f>IF(K1056="mapped",TRIM(INDEX(Mapping!$C$1:$C$504,J1056)),"")</f>
        <v/>
      </c>
      <c r="M1056" s="6">
        <f>IF(C1056="","",IF(SUMPRODUCT(($C$12:C1056=C1056)*1)=1,1,0))</f>
        <v/>
      </c>
      <c r="N1056" s="6">
        <f>IF(AND(K1056="UNMAPPED",M1056=1),ROW(),"")</f>
        <v/>
      </c>
      <c r="O1056" s="6">
        <f>IF(AND(I1056=1,M1056=1),ROW(),"")</f>
        <v/>
      </c>
      <c r="P1056" s="6">
        <f>IF(AND(K1056="ignored",M1056=1),ROW(),"")</f>
        <v/>
      </c>
    </row>
    <row r="1057">
      <c r="A1057" s="8" t="n"/>
      <c r="B1057" s="8" t="n"/>
      <c r="C1057" s="6">
        <f>TRIM(A1057&amp;"")</f>
        <v/>
      </c>
      <c r="D1057" s="6">
        <f>IF(C1057="","",SUBSTITUTE(SUBSTITUTE(SUBSTITUTE(SUBSTITUTE(SUBSTITUTE(SUBSTITUTE(SUBSTITUTE(UPPER(TRIM(B1057&amp;"")),"₹",""),"RS.",""),"RS",""),"INR",""),"$",""),",","")," ",""))</f>
        <v/>
      </c>
      <c r="E1057" s="6">
        <f>IF(C1057="","",IF(RIGHT(D1057,2)="CR","Cr",IF(RIGHT(D1057,2)="DR","Dr","")))</f>
        <v/>
      </c>
      <c r="F1057" s="6">
        <f>IF(C1057="","",IF(E1057&lt;&gt;"",LEFT(D1057,LEN(D1057)-2),D1057))</f>
        <v/>
      </c>
      <c r="G1057" s="13">
        <f>IF(C1057="","",IF(OR(IF(AND(LEFT(F1057,1)="(",RIGHT(F1057,1)=")"),MID(F1057,2,LEN(F1057)-2),F1057)="",IF(AND(LEFT(F1057,1)="(",RIGHT(F1057,1)=")"),MID(F1057,2,LEN(F1057)-2),F1057)="-"),0,IFERROR(VALUE(IF(AND(LEFT(F1057,1)="(",RIGHT(F1057,1)=")"),MID(F1057,2,LEN(F1057)-2),F1057))*IF(AND(LEFT(F1057,1)="(",RIGHT(F1057,1)=")"),-1,1)*IF(E1057="Cr",Setup!$B$6,1),"ERR")))</f>
        <v/>
      </c>
      <c r="H1057" s="6">
        <f>IF(C1057="","",IF(ISNUMBER(G1057),1,0))</f>
        <v/>
      </c>
      <c r="I1057" s="6">
        <f>IF(C1057="","",IF(SUMPRODUCT(($C$12:$C$1511=C1057)*1)&gt;1,1,0))</f>
        <v/>
      </c>
      <c r="J1057" s="6">
        <f>IF(C1057="","",SUMPRODUCT((Mapping!$F$5:$F$504=Setup!$B$4&amp;"||"&amp;C1057)*ROW(Mapping!$F$5:$F$504)))</f>
        <v/>
      </c>
      <c r="K1057" s="6">
        <f>IF(C1057="","",IF(J1057=0,"UNMAPPED",LOWER(INDEX(Mapping!$D$1:$D$504,J1057))))</f>
        <v/>
      </c>
      <c r="L1057" s="6">
        <f>IF(K1057="mapped",TRIM(INDEX(Mapping!$C$1:$C$504,J1057)),"")</f>
        <v/>
      </c>
      <c r="M1057" s="6">
        <f>IF(C1057="","",IF(SUMPRODUCT(($C$12:C1057=C1057)*1)=1,1,0))</f>
        <v/>
      </c>
      <c r="N1057" s="6">
        <f>IF(AND(K1057="UNMAPPED",M1057=1),ROW(),"")</f>
        <v/>
      </c>
      <c r="O1057" s="6">
        <f>IF(AND(I1057=1,M1057=1),ROW(),"")</f>
        <v/>
      </c>
      <c r="P1057" s="6">
        <f>IF(AND(K1057="ignored",M1057=1),ROW(),"")</f>
        <v/>
      </c>
    </row>
    <row r="1058">
      <c r="A1058" s="8" t="n"/>
      <c r="B1058" s="8" t="n"/>
      <c r="C1058" s="6">
        <f>TRIM(A1058&amp;"")</f>
        <v/>
      </c>
      <c r="D1058" s="6">
        <f>IF(C1058="","",SUBSTITUTE(SUBSTITUTE(SUBSTITUTE(SUBSTITUTE(SUBSTITUTE(SUBSTITUTE(SUBSTITUTE(UPPER(TRIM(B1058&amp;"")),"₹",""),"RS.",""),"RS",""),"INR",""),"$",""),",","")," ",""))</f>
        <v/>
      </c>
      <c r="E1058" s="6">
        <f>IF(C1058="","",IF(RIGHT(D1058,2)="CR","Cr",IF(RIGHT(D1058,2)="DR","Dr","")))</f>
        <v/>
      </c>
      <c r="F1058" s="6">
        <f>IF(C1058="","",IF(E1058&lt;&gt;"",LEFT(D1058,LEN(D1058)-2),D1058))</f>
        <v/>
      </c>
      <c r="G1058" s="13">
        <f>IF(C1058="","",IF(OR(IF(AND(LEFT(F1058,1)="(",RIGHT(F1058,1)=")"),MID(F1058,2,LEN(F1058)-2),F1058)="",IF(AND(LEFT(F1058,1)="(",RIGHT(F1058,1)=")"),MID(F1058,2,LEN(F1058)-2),F1058)="-"),0,IFERROR(VALUE(IF(AND(LEFT(F1058,1)="(",RIGHT(F1058,1)=")"),MID(F1058,2,LEN(F1058)-2),F1058))*IF(AND(LEFT(F1058,1)="(",RIGHT(F1058,1)=")"),-1,1)*IF(E1058="Cr",Setup!$B$6,1),"ERR")))</f>
        <v/>
      </c>
      <c r="H1058" s="6">
        <f>IF(C1058="","",IF(ISNUMBER(G1058),1,0))</f>
        <v/>
      </c>
      <c r="I1058" s="6">
        <f>IF(C1058="","",IF(SUMPRODUCT(($C$12:$C$1511=C1058)*1)&gt;1,1,0))</f>
        <v/>
      </c>
      <c r="J1058" s="6">
        <f>IF(C1058="","",SUMPRODUCT((Mapping!$F$5:$F$504=Setup!$B$4&amp;"||"&amp;C1058)*ROW(Mapping!$F$5:$F$504)))</f>
        <v/>
      </c>
      <c r="K1058" s="6">
        <f>IF(C1058="","",IF(J1058=0,"UNMAPPED",LOWER(INDEX(Mapping!$D$1:$D$504,J1058))))</f>
        <v/>
      </c>
      <c r="L1058" s="6">
        <f>IF(K1058="mapped",TRIM(INDEX(Mapping!$C$1:$C$504,J1058)),"")</f>
        <v/>
      </c>
      <c r="M1058" s="6">
        <f>IF(C1058="","",IF(SUMPRODUCT(($C$12:C1058=C1058)*1)=1,1,0))</f>
        <v/>
      </c>
      <c r="N1058" s="6">
        <f>IF(AND(K1058="UNMAPPED",M1058=1),ROW(),"")</f>
        <v/>
      </c>
      <c r="O1058" s="6">
        <f>IF(AND(I1058=1,M1058=1),ROW(),"")</f>
        <v/>
      </c>
      <c r="P1058" s="6">
        <f>IF(AND(K1058="ignored",M1058=1),ROW(),"")</f>
        <v/>
      </c>
    </row>
    <row r="1059">
      <c r="A1059" s="8" t="n"/>
      <c r="B1059" s="8" t="n"/>
      <c r="C1059" s="6">
        <f>TRIM(A1059&amp;"")</f>
        <v/>
      </c>
      <c r="D1059" s="6">
        <f>IF(C1059="","",SUBSTITUTE(SUBSTITUTE(SUBSTITUTE(SUBSTITUTE(SUBSTITUTE(SUBSTITUTE(SUBSTITUTE(UPPER(TRIM(B1059&amp;"")),"₹",""),"RS.",""),"RS",""),"INR",""),"$",""),",","")," ",""))</f>
        <v/>
      </c>
      <c r="E1059" s="6">
        <f>IF(C1059="","",IF(RIGHT(D1059,2)="CR","Cr",IF(RIGHT(D1059,2)="DR","Dr","")))</f>
        <v/>
      </c>
      <c r="F1059" s="6">
        <f>IF(C1059="","",IF(E1059&lt;&gt;"",LEFT(D1059,LEN(D1059)-2),D1059))</f>
        <v/>
      </c>
      <c r="G1059" s="13">
        <f>IF(C1059="","",IF(OR(IF(AND(LEFT(F1059,1)="(",RIGHT(F1059,1)=")"),MID(F1059,2,LEN(F1059)-2),F1059)="",IF(AND(LEFT(F1059,1)="(",RIGHT(F1059,1)=")"),MID(F1059,2,LEN(F1059)-2),F1059)="-"),0,IFERROR(VALUE(IF(AND(LEFT(F1059,1)="(",RIGHT(F1059,1)=")"),MID(F1059,2,LEN(F1059)-2),F1059))*IF(AND(LEFT(F1059,1)="(",RIGHT(F1059,1)=")"),-1,1)*IF(E1059="Cr",Setup!$B$6,1),"ERR")))</f>
        <v/>
      </c>
      <c r="H1059" s="6">
        <f>IF(C1059="","",IF(ISNUMBER(G1059),1,0))</f>
        <v/>
      </c>
      <c r="I1059" s="6">
        <f>IF(C1059="","",IF(SUMPRODUCT(($C$12:$C$1511=C1059)*1)&gt;1,1,0))</f>
        <v/>
      </c>
      <c r="J1059" s="6">
        <f>IF(C1059="","",SUMPRODUCT((Mapping!$F$5:$F$504=Setup!$B$4&amp;"||"&amp;C1059)*ROW(Mapping!$F$5:$F$504)))</f>
        <v/>
      </c>
      <c r="K1059" s="6">
        <f>IF(C1059="","",IF(J1059=0,"UNMAPPED",LOWER(INDEX(Mapping!$D$1:$D$504,J1059))))</f>
        <v/>
      </c>
      <c r="L1059" s="6">
        <f>IF(K1059="mapped",TRIM(INDEX(Mapping!$C$1:$C$504,J1059)),"")</f>
        <v/>
      </c>
      <c r="M1059" s="6">
        <f>IF(C1059="","",IF(SUMPRODUCT(($C$12:C1059=C1059)*1)=1,1,0))</f>
        <v/>
      </c>
      <c r="N1059" s="6">
        <f>IF(AND(K1059="UNMAPPED",M1059=1),ROW(),"")</f>
        <v/>
      </c>
      <c r="O1059" s="6">
        <f>IF(AND(I1059=1,M1059=1),ROW(),"")</f>
        <v/>
      </c>
      <c r="P1059" s="6">
        <f>IF(AND(K1059="ignored",M1059=1),ROW(),"")</f>
        <v/>
      </c>
    </row>
    <row r="1060">
      <c r="A1060" s="8" t="n"/>
      <c r="B1060" s="8" t="n"/>
      <c r="C1060" s="6">
        <f>TRIM(A1060&amp;"")</f>
        <v/>
      </c>
      <c r="D1060" s="6">
        <f>IF(C1060="","",SUBSTITUTE(SUBSTITUTE(SUBSTITUTE(SUBSTITUTE(SUBSTITUTE(SUBSTITUTE(SUBSTITUTE(UPPER(TRIM(B1060&amp;"")),"₹",""),"RS.",""),"RS",""),"INR",""),"$",""),",","")," ",""))</f>
        <v/>
      </c>
      <c r="E1060" s="6">
        <f>IF(C1060="","",IF(RIGHT(D1060,2)="CR","Cr",IF(RIGHT(D1060,2)="DR","Dr","")))</f>
        <v/>
      </c>
      <c r="F1060" s="6">
        <f>IF(C1060="","",IF(E1060&lt;&gt;"",LEFT(D1060,LEN(D1060)-2),D1060))</f>
        <v/>
      </c>
      <c r="G1060" s="13">
        <f>IF(C1060="","",IF(OR(IF(AND(LEFT(F1060,1)="(",RIGHT(F1060,1)=")"),MID(F1060,2,LEN(F1060)-2),F1060)="",IF(AND(LEFT(F1060,1)="(",RIGHT(F1060,1)=")"),MID(F1060,2,LEN(F1060)-2),F1060)="-"),0,IFERROR(VALUE(IF(AND(LEFT(F1060,1)="(",RIGHT(F1060,1)=")"),MID(F1060,2,LEN(F1060)-2),F1060))*IF(AND(LEFT(F1060,1)="(",RIGHT(F1060,1)=")"),-1,1)*IF(E1060="Cr",Setup!$B$6,1),"ERR")))</f>
        <v/>
      </c>
      <c r="H1060" s="6">
        <f>IF(C1060="","",IF(ISNUMBER(G1060),1,0))</f>
        <v/>
      </c>
      <c r="I1060" s="6">
        <f>IF(C1060="","",IF(SUMPRODUCT(($C$12:$C$1511=C1060)*1)&gt;1,1,0))</f>
        <v/>
      </c>
      <c r="J1060" s="6">
        <f>IF(C1060="","",SUMPRODUCT((Mapping!$F$5:$F$504=Setup!$B$4&amp;"||"&amp;C1060)*ROW(Mapping!$F$5:$F$504)))</f>
        <v/>
      </c>
      <c r="K1060" s="6">
        <f>IF(C1060="","",IF(J1060=0,"UNMAPPED",LOWER(INDEX(Mapping!$D$1:$D$504,J1060))))</f>
        <v/>
      </c>
      <c r="L1060" s="6">
        <f>IF(K1060="mapped",TRIM(INDEX(Mapping!$C$1:$C$504,J1060)),"")</f>
        <v/>
      </c>
      <c r="M1060" s="6">
        <f>IF(C1060="","",IF(SUMPRODUCT(($C$12:C1060=C1060)*1)=1,1,0))</f>
        <v/>
      </c>
      <c r="N1060" s="6">
        <f>IF(AND(K1060="UNMAPPED",M1060=1),ROW(),"")</f>
        <v/>
      </c>
      <c r="O1060" s="6">
        <f>IF(AND(I1060=1,M1060=1),ROW(),"")</f>
        <v/>
      </c>
      <c r="P1060" s="6">
        <f>IF(AND(K1060="ignored",M1060=1),ROW(),"")</f>
        <v/>
      </c>
    </row>
    <row r="1061">
      <c r="A1061" s="8" t="n"/>
      <c r="B1061" s="8" t="n"/>
      <c r="C1061" s="6">
        <f>TRIM(A1061&amp;"")</f>
        <v/>
      </c>
      <c r="D1061" s="6">
        <f>IF(C1061="","",SUBSTITUTE(SUBSTITUTE(SUBSTITUTE(SUBSTITUTE(SUBSTITUTE(SUBSTITUTE(SUBSTITUTE(UPPER(TRIM(B1061&amp;"")),"₹",""),"RS.",""),"RS",""),"INR",""),"$",""),",","")," ",""))</f>
        <v/>
      </c>
      <c r="E1061" s="6">
        <f>IF(C1061="","",IF(RIGHT(D1061,2)="CR","Cr",IF(RIGHT(D1061,2)="DR","Dr","")))</f>
        <v/>
      </c>
      <c r="F1061" s="6">
        <f>IF(C1061="","",IF(E1061&lt;&gt;"",LEFT(D1061,LEN(D1061)-2),D1061))</f>
        <v/>
      </c>
      <c r="G1061" s="13">
        <f>IF(C1061="","",IF(OR(IF(AND(LEFT(F1061,1)="(",RIGHT(F1061,1)=")"),MID(F1061,2,LEN(F1061)-2),F1061)="",IF(AND(LEFT(F1061,1)="(",RIGHT(F1061,1)=")"),MID(F1061,2,LEN(F1061)-2),F1061)="-"),0,IFERROR(VALUE(IF(AND(LEFT(F1061,1)="(",RIGHT(F1061,1)=")"),MID(F1061,2,LEN(F1061)-2),F1061))*IF(AND(LEFT(F1061,1)="(",RIGHT(F1061,1)=")"),-1,1)*IF(E1061="Cr",Setup!$B$6,1),"ERR")))</f>
        <v/>
      </c>
      <c r="H1061" s="6">
        <f>IF(C1061="","",IF(ISNUMBER(G1061),1,0))</f>
        <v/>
      </c>
      <c r="I1061" s="6">
        <f>IF(C1061="","",IF(SUMPRODUCT(($C$12:$C$1511=C1061)*1)&gt;1,1,0))</f>
        <v/>
      </c>
      <c r="J1061" s="6">
        <f>IF(C1061="","",SUMPRODUCT((Mapping!$F$5:$F$504=Setup!$B$4&amp;"||"&amp;C1061)*ROW(Mapping!$F$5:$F$504)))</f>
        <v/>
      </c>
      <c r="K1061" s="6">
        <f>IF(C1061="","",IF(J1061=0,"UNMAPPED",LOWER(INDEX(Mapping!$D$1:$D$504,J1061))))</f>
        <v/>
      </c>
      <c r="L1061" s="6">
        <f>IF(K1061="mapped",TRIM(INDEX(Mapping!$C$1:$C$504,J1061)),"")</f>
        <v/>
      </c>
      <c r="M1061" s="6">
        <f>IF(C1061="","",IF(SUMPRODUCT(($C$12:C1061=C1061)*1)=1,1,0))</f>
        <v/>
      </c>
      <c r="N1061" s="6">
        <f>IF(AND(K1061="UNMAPPED",M1061=1),ROW(),"")</f>
        <v/>
      </c>
      <c r="O1061" s="6">
        <f>IF(AND(I1061=1,M1061=1),ROW(),"")</f>
        <v/>
      </c>
      <c r="P1061" s="6">
        <f>IF(AND(K1061="ignored",M1061=1),ROW(),"")</f>
        <v/>
      </c>
    </row>
    <row r="1062">
      <c r="A1062" s="8" t="n"/>
      <c r="B1062" s="8" t="n"/>
      <c r="C1062" s="6">
        <f>TRIM(A1062&amp;"")</f>
        <v/>
      </c>
      <c r="D1062" s="6">
        <f>IF(C1062="","",SUBSTITUTE(SUBSTITUTE(SUBSTITUTE(SUBSTITUTE(SUBSTITUTE(SUBSTITUTE(SUBSTITUTE(UPPER(TRIM(B1062&amp;"")),"₹",""),"RS.",""),"RS",""),"INR",""),"$",""),",","")," ",""))</f>
        <v/>
      </c>
      <c r="E1062" s="6">
        <f>IF(C1062="","",IF(RIGHT(D1062,2)="CR","Cr",IF(RIGHT(D1062,2)="DR","Dr","")))</f>
        <v/>
      </c>
      <c r="F1062" s="6">
        <f>IF(C1062="","",IF(E1062&lt;&gt;"",LEFT(D1062,LEN(D1062)-2),D1062))</f>
        <v/>
      </c>
      <c r="G1062" s="13">
        <f>IF(C1062="","",IF(OR(IF(AND(LEFT(F1062,1)="(",RIGHT(F1062,1)=")"),MID(F1062,2,LEN(F1062)-2),F1062)="",IF(AND(LEFT(F1062,1)="(",RIGHT(F1062,1)=")"),MID(F1062,2,LEN(F1062)-2),F1062)="-"),0,IFERROR(VALUE(IF(AND(LEFT(F1062,1)="(",RIGHT(F1062,1)=")"),MID(F1062,2,LEN(F1062)-2),F1062))*IF(AND(LEFT(F1062,1)="(",RIGHT(F1062,1)=")"),-1,1)*IF(E1062="Cr",Setup!$B$6,1),"ERR")))</f>
        <v/>
      </c>
      <c r="H1062" s="6">
        <f>IF(C1062="","",IF(ISNUMBER(G1062),1,0))</f>
        <v/>
      </c>
      <c r="I1062" s="6">
        <f>IF(C1062="","",IF(SUMPRODUCT(($C$12:$C$1511=C1062)*1)&gt;1,1,0))</f>
        <v/>
      </c>
      <c r="J1062" s="6">
        <f>IF(C1062="","",SUMPRODUCT((Mapping!$F$5:$F$504=Setup!$B$4&amp;"||"&amp;C1062)*ROW(Mapping!$F$5:$F$504)))</f>
        <v/>
      </c>
      <c r="K1062" s="6">
        <f>IF(C1062="","",IF(J1062=0,"UNMAPPED",LOWER(INDEX(Mapping!$D$1:$D$504,J1062))))</f>
        <v/>
      </c>
      <c r="L1062" s="6">
        <f>IF(K1062="mapped",TRIM(INDEX(Mapping!$C$1:$C$504,J1062)),"")</f>
        <v/>
      </c>
      <c r="M1062" s="6">
        <f>IF(C1062="","",IF(SUMPRODUCT(($C$12:C1062=C1062)*1)=1,1,0))</f>
        <v/>
      </c>
      <c r="N1062" s="6">
        <f>IF(AND(K1062="UNMAPPED",M1062=1),ROW(),"")</f>
        <v/>
      </c>
      <c r="O1062" s="6">
        <f>IF(AND(I1062=1,M1062=1),ROW(),"")</f>
        <v/>
      </c>
      <c r="P1062" s="6">
        <f>IF(AND(K1062="ignored",M1062=1),ROW(),"")</f>
        <v/>
      </c>
    </row>
    <row r="1063">
      <c r="A1063" s="8" t="n"/>
      <c r="B1063" s="8" t="n"/>
      <c r="C1063" s="6">
        <f>TRIM(A1063&amp;"")</f>
        <v/>
      </c>
      <c r="D1063" s="6">
        <f>IF(C1063="","",SUBSTITUTE(SUBSTITUTE(SUBSTITUTE(SUBSTITUTE(SUBSTITUTE(SUBSTITUTE(SUBSTITUTE(UPPER(TRIM(B1063&amp;"")),"₹",""),"RS.",""),"RS",""),"INR",""),"$",""),",","")," ",""))</f>
        <v/>
      </c>
      <c r="E1063" s="6">
        <f>IF(C1063="","",IF(RIGHT(D1063,2)="CR","Cr",IF(RIGHT(D1063,2)="DR","Dr","")))</f>
        <v/>
      </c>
      <c r="F1063" s="6">
        <f>IF(C1063="","",IF(E1063&lt;&gt;"",LEFT(D1063,LEN(D1063)-2),D1063))</f>
        <v/>
      </c>
      <c r="G1063" s="13">
        <f>IF(C1063="","",IF(OR(IF(AND(LEFT(F1063,1)="(",RIGHT(F1063,1)=")"),MID(F1063,2,LEN(F1063)-2),F1063)="",IF(AND(LEFT(F1063,1)="(",RIGHT(F1063,1)=")"),MID(F1063,2,LEN(F1063)-2),F1063)="-"),0,IFERROR(VALUE(IF(AND(LEFT(F1063,1)="(",RIGHT(F1063,1)=")"),MID(F1063,2,LEN(F1063)-2),F1063))*IF(AND(LEFT(F1063,1)="(",RIGHT(F1063,1)=")"),-1,1)*IF(E1063="Cr",Setup!$B$6,1),"ERR")))</f>
        <v/>
      </c>
      <c r="H1063" s="6">
        <f>IF(C1063="","",IF(ISNUMBER(G1063),1,0))</f>
        <v/>
      </c>
      <c r="I1063" s="6">
        <f>IF(C1063="","",IF(SUMPRODUCT(($C$12:$C$1511=C1063)*1)&gt;1,1,0))</f>
        <v/>
      </c>
      <c r="J1063" s="6">
        <f>IF(C1063="","",SUMPRODUCT((Mapping!$F$5:$F$504=Setup!$B$4&amp;"||"&amp;C1063)*ROW(Mapping!$F$5:$F$504)))</f>
        <v/>
      </c>
      <c r="K1063" s="6">
        <f>IF(C1063="","",IF(J1063=0,"UNMAPPED",LOWER(INDEX(Mapping!$D$1:$D$504,J1063))))</f>
        <v/>
      </c>
      <c r="L1063" s="6">
        <f>IF(K1063="mapped",TRIM(INDEX(Mapping!$C$1:$C$504,J1063)),"")</f>
        <v/>
      </c>
      <c r="M1063" s="6">
        <f>IF(C1063="","",IF(SUMPRODUCT(($C$12:C1063=C1063)*1)=1,1,0))</f>
        <v/>
      </c>
      <c r="N1063" s="6">
        <f>IF(AND(K1063="UNMAPPED",M1063=1),ROW(),"")</f>
        <v/>
      </c>
      <c r="O1063" s="6">
        <f>IF(AND(I1063=1,M1063=1),ROW(),"")</f>
        <v/>
      </c>
      <c r="P1063" s="6">
        <f>IF(AND(K1063="ignored",M1063=1),ROW(),"")</f>
        <v/>
      </c>
    </row>
    <row r="1064">
      <c r="A1064" s="8" t="n"/>
      <c r="B1064" s="8" t="n"/>
      <c r="C1064" s="6">
        <f>TRIM(A1064&amp;"")</f>
        <v/>
      </c>
      <c r="D1064" s="6">
        <f>IF(C1064="","",SUBSTITUTE(SUBSTITUTE(SUBSTITUTE(SUBSTITUTE(SUBSTITUTE(SUBSTITUTE(SUBSTITUTE(UPPER(TRIM(B1064&amp;"")),"₹",""),"RS.",""),"RS",""),"INR",""),"$",""),",","")," ",""))</f>
        <v/>
      </c>
      <c r="E1064" s="6">
        <f>IF(C1064="","",IF(RIGHT(D1064,2)="CR","Cr",IF(RIGHT(D1064,2)="DR","Dr","")))</f>
        <v/>
      </c>
      <c r="F1064" s="6">
        <f>IF(C1064="","",IF(E1064&lt;&gt;"",LEFT(D1064,LEN(D1064)-2),D1064))</f>
        <v/>
      </c>
      <c r="G1064" s="13">
        <f>IF(C1064="","",IF(OR(IF(AND(LEFT(F1064,1)="(",RIGHT(F1064,1)=")"),MID(F1064,2,LEN(F1064)-2),F1064)="",IF(AND(LEFT(F1064,1)="(",RIGHT(F1064,1)=")"),MID(F1064,2,LEN(F1064)-2),F1064)="-"),0,IFERROR(VALUE(IF(AND(LEFT(F1064,1)="(",RIGHT(F1064,1)=")"),MID(F1064,2,LEN(F1064)-2),F1064))*IF(AND(LEFT(F1064,1)="(",RIGHT(F1064,1)=")"),-1,1)*IF(E1064="Cr",Setup!$B$6,1),"ERR")))</f>
        <v/>
      </c>
      <c r="H1064" s="6">
        <f>IF(C1064="","",IF(ISNUMBER(G1064),1,0))</f>
        <v/>
      </c>
      <c r="I1064" s="6">
        <f>IF(C1064="","",IF(SUMPRODUCT(($C$12:$C$1511=C1064)*1)&gt;1,1,0))</f>
        <v/>
      </c>
      <c r="J1064" s="6">
        <f>IF(C1064="","",SUMPRODUCT((Mapping!$F$5:$F$504=Setup!$B$4&amp;"||"&amp;C1064)*ROW(Mapping!$F$5:$F$504)))</f>
        <v/>
      </c>
      <c r="K1064" s="6">
        <f>IF(C1064="","",IF(J1064=0,"UNMAPPED",LOWER(INDEX(Mapping!$D$1:$D$504,J1064))))</f>
        <v/>
      </c>
      <c r="L1064" s="6">
        <f>IF(K1064="mapped",TRIM(INDEX(Mapping!$C$1:$C$504,J1064)),"")</f>
        <v/>
      </c>
      <c r="M1064" s="6">
        <f>IF(C1064="","",IF(SUMPRODUCT(($C$12:C1064=C1064)*1)=1,1,0))</f>
        <v/>
      </c>
      <c r="N1064" s="6">
        <f>IF(AND(K1064="UNMAPPED",M1064=1),ROW(),"")</f>
        <v/>
      </c>
      <c r="O1064" s="6">
        <f>IF(AND(I1064=1,M1064=1),ROW(),"")</f>
        <v/>
      </c>
      <c r="P1064" s="6">
        <f>IF(AND(K1064="ignored",M1064=1),ROW(),"")</f>
        <v/>
      </c>
    </row>
    <row r="1065">
      <c r="A1065" s="8" t="n"/>
      <c r="B1065" s="8" t="n"/>
      <c r="C1065" s="6">
        <f>TRIM(A1065&amp;"")</f>
        <v/>
      </c>
      <c r="D1065" s="6">
        <f>IF(C1065="","",SUBSTITUTE(SUBSTITUTE(SUBSTITUTE(SUBSTITUTE(SUBSTITUTE(SUBSTITUTE(SUBSTITUTE(UPPER(TRIM(B1065&amp;"")),"₹",""),"RS.",""),"RS",""),"INR",""),"$",""),",","")," ",""))</f>
        <v/>
      </c>
      <c r="E1065" s="6">
        <f>IF(C1065="","",IF(RIGHT(D1065,2)="CR","Cr",IF(RIGHT(D1065,2)="DR","Dr","")))</f>
        <v/>
      </c>
      <c r="F1065" s="6">
        <f>IF(C1065="","",IF(E1065&lt;&gt;"",LEFT(D1065,LEN(D1065)-2),D1065))</f>
        <v/>
      </c>
      <c r="G1065" s="13">
        <f>IF(C1065="","",IF(OR(IF(AND(LEFT(F1065,1)="(",RIGHT(F1065,1)=")"),MID(F1065,2,LEN(F1065)-2),F1065)="",IF(AND(LEFT(F1065,1)="(",RIGHT(F1065,1)=")"),MID(F1065,2,LEN(F1065)-2),F1065)="-"),0,IFERROR(VALUE(IF(AND(LEFT(F1065,1)="(",RIGHT(F1065,1)=")"),MID(F1065,2,LEN(F1065)-2),F1065))*IF(AND(LEFT(F1065,1)="(",RIGHT(F1065,1)=")"),-1,1)*IF(E1065="Cr",Setup!$B$6,1),"ERR")))</f>
        <v/>
      </c>
      <c r="H1065" s="6">
        <f>IF(C1065="","",IF(ISNUMBER(G1065),1,0))</f>
        <v/>
      </c>
      <c r="I1065" s="6">
        <f>IF(C1065="","",IF(SUMPRODUCT(($C$12:$C$1511=C1065)*1)&gt;1,1,0))</f>
        <v/>
      </c>
      <c r="J1065" s="6">
        <f>IF(C1065="","",SUMPRODUCT((Mapping!$F$5:$F$504=Setup!$B$4&amp;"||"&amp;C1065)*ROW(Mapping!$F$5:$F$504)))</f>
        <v/>
      </c>
      <c r="K1065" s="6">
        <f>IF(C1065="","",IF(J1065=0,"UNMAPPED",LOWER(INDEX(Mapping!$D$1:$D$504,J1065))))</f>
        <v/>
      </c>
      <c r="L1065" s="6">
        <f>IF(K1065="mapped",TRIM(INDEX(Mapping!$C$1:$C$504,J1065)),"")</f>
        <v/>
      </c>
      <c r="M1065" s="6">
        <f>IF(C1065="","",IF(SUMPRODUCT(($C$12:C1065=C1065)*1)=1,1,0))</f>
        <v/>
      </c>
      <c r="N1065" s="6">
        <f>IF(AND(K1065="UNMAPPED",M1065=1),ROW(),"")</f>
        <v/>
      </c>
      <c r="O1065" s="6">
        <f>IF(AND(I1065=1,M1065=1),ROW(),"")</f>
        <v/>
      </c>
      <c r="P1065" s="6">
        <f>IF(AND(K1065="ignored",M1065=1),ROW(),"")</f>
        <v/>
      </c>
    </row>
    <row r="1066">
      <c r="A1066" s="8" t="n"/>
      <c r="B1066" s="8" t="n"/>
      <c r="C1066" s="6">
        <f>TRIM(A1066&amp;"")</f>
        <v/>
      </c>
      <c r="D1066" s="6">
        <f>IF(C1066="","",SUBSTITUTE(SUBSTITUTE(SUBSTITUTE(SUBSTITUTE(SUBSTITUTE(SUBSTITUTE(SUBSTITUTE(UPPER(TRIM(B1066&amp;"")),"₹",""),"RS.",""),"RS",""),"INR",""),"$",""),",","")," ",""))</f>
        <v/>
      </c>
      <c r="E1066" s="6">
        <f>IF(C1066="","",IF(RIGHT(D1066,2)="CR","Cr",IF(RIGHT(D1066,2)="DR","Dr","")))</f>
        <v/>
      </c>
      <c r="F1066" s="6">
        <f>IF(C1066="","",IF(E1066&lt;&gt;"",LEFT(D1066,LEN(D1066)-2),D1066))</f>
        <v/>
      </c>
      <c r="G1066" s="13">
        <f>IF(C1066="","",IF(OR(IF(AND(LEFT(F1066,1)="(",RIGHT(F1066,1)=")"),MID(F1066,2,LEN(F1066)-2),F1066)="",IF(AND(LEFT(F1066,1)="(",RIGHT(F1066,1)=")"),MID(F1066,2,LEN(F1066)-2),F1066)="-"),0,IFERROR(VALUE(IF(AND(LEFT(F1066,1)="(",RIGHT(F1066,1)=")"),MID(F1066,2,LEN(F1066)-2),F1066))*IF(AND(LEFT(F1066,1)="(",RIGHT(F1066,1)=")"),-1,1)*IF(E1066="Cr",Setup!$B$6,1),"ERR")))</f>
        <v/>
      </c>
      <c r="H1066" s="6">
        <f>IF(C1066="","",IF(ISNUMBER(G1066),1,0))</f>
        <v/>
      </c>
      <c r="I1066" s="6">
        <f>IF(C1066="","",IF(SUMPRODUCT(($C$12:$C$1511=C1066)*1)&gt;1,1,0))</f>
        <v/>
      </c>
      <c r="J1066" s="6">
        <f>IF(C1066="","",SUMPRODUCT((Mapping!$F$5:$F$504=Setup!$B$4&amp;"||"&amp;C1066)*ROW(Mapping!$F$5:$F$504)))</f>
        <v/>
      </c>
      <c r="K1066" s="6">
        <f>IF(C1066="","",IF(J1066=0,"UNMAPPED",LOWER(INDEX(Mapping!$D$1:$D$504,J1066))))</f>
        <v/>
      </c>
      <c r="L1066" s="6">
        <f>IF(K1066="mapped",TRIM(INDEX(Mapping!$C$1:$C$504,J1066)),"")</f>
        <v/>
      </c>
      <c r="M1066" s="6">
        <f>IF(C1066="","",IF(SUMPRODUCT(($C$12:C1066=C1066)*1)=1,1,0))</f>
        <v/>
      </c>
      <c r="N1066" s="6">
        <f>IF(AND(K1066="UNMAPPED",M1066=1),ROW(),"")</f>
        <v/>
      </c>
      <c r="O1066" s="6">
        <f>IF(AND(I1066=1,M1066=1),ROW(),"")</f>
        <v/>
      </c>
      <c r="P1066" s="6">
        <f>IF(AND(K1066="ignored",M1066=1),ROW(),"")</f>
        <v/>
      </c>
    </row>
    <row r="1067">
      <c r="A1067" s="8" t="n"/>
      <c r="B1067" s="8" t="n"/>
      <c r="C1067" s="6">
        <f>TRIM(A1067&amp;"")</f>
        <v/>
      </c>
      <c r="D1067" s="6">
        <f>IF(C1067="","",SUBSTITUTE(SUBSTITUTE(SUBSTITUTE(SUBSTITUTE(SUBSTITUTE(SUBSTITUTE(SUBSTITUTE(UPPER(TRIM(B1067&amp;"")),"₹",""),"RS.",""),"RS",""),"INR",""),"$",""),",","")," ",""))</f>
        <v/>
      </c>
      <c r="E1067" s="6">
        <f>IF(C1067="","",IF(RIGHT(D1067,2)="CR","Cr",IF(RIGHT(D1067,2)="DR","Dr","")))</f>
        <v/>
      </c>
      <c r="F1067" s="6">
        <f>IF(C1067="","",IF(E1067&lt;&gt;"",LEFT(D1067,LEN(D1067)-2),D1067))</f>
        <v/>
      </c>
      <c r="G1067" s="13">
        <f>IF(C1067="","",IF(OR(IF(AND(LEFT(F1067,1)="(",RIGHT(F1067,1)=")"),MID(F1067,2,LEN(F1067)-2),F1067)="",IF(AND(LEFT(F1067,1)="(",RIGHT(F1067,1)=")"),MID(F1067,2,LEN(F1067)-2),F1067)="-"),0,IFERROR(VALUE(IF(AND(LEFT(F1067,1)="(",RIGHT(F1067,1)=")"),MID(F1067,2,LEN(F1067)-2),F1067))*IF(AND(LEFT(F1067,1)="(",RIGHT(F1067,1)=")"),-1,1)*IF(E1067="Cr",Setup!$B$6,1),"ERR")))</f>
        <v/>
      </c>
      <c r="H1067" s="6">
        <f>IF(C1067="","",IF(ISNUMBER(G1067),1,0))</f>
        <v/>
      </c>
      <c r="I1067" s="6">
        <f>IF(C1067="","",IF(SUMPRODUCT(($C$12:$C$1511=C1067)*1)&gt;1,1,0))</f>
        <v/>
      </c>
      <c r="J1067" s="6">
        <f>IF(C1067="","",SUMPRODUCT((Mapping!$F$5:$F$504=Setup!$B$4&amp;"||"&amp;C1067)*ROW(Mapping!$F$5:$F$504)))</f>
        <v/>
      </c>
      <c r="K1067" s="6">
        <f>IF(C1067="","",IF(J1067=0,"UNMAPPED",LOWER(INDEX(Mapping!$D$1:$D$504,J1067))))</f>
        <v/>
      </c>
      <c r="L1067" s="6">
        <f>IF(K1067="mapped",TRIM(INDEX(Mapping!$C$1:$C$504,J1067)),"")</f>
        <v/>
      </c>
      <c r="M1067" s="6">
        <f>IF(C1067="","",IF(SUMPRODUCT(($C$12:C1067=C1067)*1)=1,1,0))</f>
        <v/>
      </c>
      <c r="N1067" s="6">
        <f>IF(AND(K1067="UNMAPPED",M1067=1),ROW(),"")</f>
        <v/>
      </c>
      <c r="O1067" s="6">
        <f>IF(AND(I1067=1,M1067=1),ROW(),"")</f>
        <v/>
      </c>
      <c r="P1067" s="6">
        <f>IF(AND(K1067="ignored",M1067=1),ROW(),"")</f>
        <v/>
      </c>
    </row>
    <row r="1068">
      <c r="A1068" s="8" t="n"/>
      <c r="B1068" s="8" t="n"/>
      <c r="C1068" s="6">
        <f>TRIM(A1068&amp;"")</f>
        <v/>
      </c>
      <c r="D1068" s="6">
        <f>IF(C1068="","",SUBSTITUTE(SUBSTITUTE(SUBSTITUTE(SUBSTITUTE(SUBSTITUTE(SUBSTITUTE(SUBSTITUTE(UPPER(TRIM(B1068&amp;"")),"₹",""),"RS.",""),"RS",""),"INR",""),"$",""),",","")," ",""))</f>
        <v/>
      </c>
      <c r="E1068" s="6">
        <f>IF(C1068="","",IF(RIGHT(D1068,2)="CR","Cr",IF(RIGHT(D1068,2)="DR","Dr","")))</f>
        <v/>
      </c>
      <c r="F1068" s="6">
        <f>IF(C1068="","",IF(E1068&lt;&gt;"",LEFT(D1068,LEN(D1068)-2),D1068))</f>
        <v/>
      </c>
      <c r="G1068" s="13">
        <f>IF(C1068="","",IF(OR(IF(AND(LEFT(F1068,1)="(",RIGHT(F1068,1)=")"),MID(F1068,2,LEN(F1068)-2),F1068)="",IF(AND(LEFT(F1068,1)="(",RIGHT(F1068,1)=")"),MID(F1068,2,LEN(F1068)-2),F1068)="-"),0,IFERROR(VALUE(IF(AND(LEFT(F1068,1)="(",RIGHT(F1068,1)=")"),MID(F1068,2,LEN(F1068)-2),F1068))*IF(AND(LEFT(F1068,1)="(",RIGHT(F1068,1)=")"),-1,1)*IF(E1068="Cr",Setup!$B$6,1),"ERR")))</f>
        <v/>
      </c>
      <c r="H1068" s="6">
        <f>IF(C1068="","",IF(ISNUMBER(G1068),1,0))</f>
        <v/>
      </c>
      <c r="I1068" s="6">
        <f>IF(C1068="","",IF(SUMPRODUCT(($C$12:$C$1511=C1068)*1)&gt;1,1,0))</f>
        <v/>
      </c>
      <c r="J1068" s="6">
        <f>IF(C1068="","",SUMPRODUCT((Mapping!$F$5:$F$504=Setup!$B$4&amp;"||"&amp;C1068)*ROW(Mapping!$F$5:$F$504)))</f>
        <v/>
      </c>
      <c r="K1068" s="6">
        <f>IF(C1068="","",IF(J1068=0,"UNMAPPED",LOWER(INDEX(Mapping!$D$1:$D$504,J1068))))</f>
        <v/>
      </c>
      <c r="L1068" s="6">
        <f>IF(K1068="mapped",TRIM(INDEX(Mapping!$C$1:$C$504,J1068)),"")</f>
        <v/>
      </c>
      <c r="M1068" s="6">
        <f>IF(C1068="","",IF(SUMPRODUCT(($C$12:C1068=C1068)*1)=1,1,0))</f>
        <v/>
      </c>
      <c r="N1068" s="6">
        <f>IF(AND(K1068="UNMAPPED",M1068=1),ROW(),"")</f>
        <v/>
      </c>
      <c r="O1068" s="6">
        <f>IF(AND(I1068=1,M1068=1),ROW(),"")</f>
        <v/>
      </c>
      <c r="P1068" s="6">
        <f>IF(AND(K1068="ignored",M1068=1),ROW(),"")</f>
        <v/>
      </c>
    </row>
    <row r="1069">
      <c r="A1069" s="8" t="n"/>
      <c r="B1069" s="8" t="n"/>
      <c r="C1069" s="6">
        <f>TRIM(A1069&amp;"")</f>
        <v/>
      </c>
      <c r="D1069" s="6">
        <f>IF(C1069="","",SUBSTITUTE(SUBSTITUTE(SUBSTITUTE(SUBSTITUTE(SUBSTITUTE(SUBSTITUTE(SUBSTITUTE(UPPER(TRIM(B1069&amp;"")),"₹",""),"RS.",""),"RS",""),"INR",""),"$",""),",","")," ",""))</f>
        <v/>
      </c>
      <c r="E1069" s="6">
        <f>IF(C1069="","",IF(RIGHT(D1069,2)="CR","Cr",IF(RIGHT(D1069,2)="DR","Dr","")))</f>
        <v/>
      </c>
      <c r="F1069" s="6">
        <f>IF(C1069="","",IF(E1069&lt;&gt;"",LEFT(D1069,LEN(D1069)-2),D1069))</f>
        <v/>
      </c>
      <c r="G1069" s="13">
        <f>IF(C1069="","",IF(OR(IF(AND(LEFT(F1069,1)="(",RIGHT(F1069,1)=")"),MID(F1069,2,LEN(F1069)-2),F1069)="",IF(AND(LEFT(F1069,1)="(",RIGHT(F1069,1)=")"),MID(F1069,2,LEN(F1069)-2),F1069)="-"),0,IFERROR(VALUE(IF(AND(LEFT(F1069,1)="(",RIGHT(F1069,1)=")"),MID(F1069,2,LEN(F1069)-2),F1069))*IF(AND(LEFT(F1069,1)="(",RIGHT(F1069,1)=")"),-1,1)*IF(E1069="Cr",Setup!$B$6,1),"ERR")))</f>
        <v/>
      </c>
      <c r="H1069" s="6">
        <f>IF(C1069="","",IF(ISNUMBER(G1069),1,0))</f>
        <v/>
      </c>
      <c r="I1069" s="6">
        <f>IF(C1069="","",IF(SUMPRODUCT(($C$12:$C$1511=C1069)*1)&gt;1,1,0))</f>
        <v/>
      </c>
      <c r="J1069" s="6">
        <f>IF(C1069="","",SUMPRODUCT((Mapping!$F$5:$F$504=Setup!$B$4&amp;"||"&amp;C1069)*ROW(Mapping!$F$5:$F$504)))</f>
        <v/>
      </c>
      <c r="K1069" s="6">
        <f>IF(C1069="","",IF(J1069=0,"UNMAPPED",LOWER(INDEX(Mapping!$D$1:$D$504,J1069))))</f>
        <v/>
      </c>
      <c r="L1069" s="6">
        <f>IF(K1069="mapped",TRIM(INDEX(Mapping!$C$1:$C$504,J1069)),"")</f>
        <v/>
      </c>
      <c r="M1069" s="6">
        <f>IF(C1069="","",IF(SUMPRODUCT(($C$12:C1069=C1069)*1)=1,1,0))</f>
        <v/>
      </c>
      <c r="N1069" s="6">
        <f>IF(AND(K1069="UNMAPPED",M1069=1),ROW(),"")</f>
        <v/>
      </c>
      <c r="O1069" s="6">
        <f>IF(AND(I1069=1,M1069=1),ROW(),"")</f>
        <v/>
      </c>
      <c r="P1069" s="6">
        <f>IF(AND(K1069="ignored",M1069=1),ROW(),"")</f>
        <v/>
      </c>
    </row>
    <row r="1070">
      <c r="A1070" s="8" t="n"/>
      <c r="B1070" s="8" t="n"/>
      <c r="C1070" s="6">
        <f>TRIM(A1070&amp;"")</f>
        <v/>
      </c>
      <c r="D1070" s="6">
        <f>IF(C1070="","",SUBSTITUTE(SUBSTITUTE(SUBSTITUTE(SUBSTITUTE(SUBSTITUTE(SUBSTITUTE(SUBSTITUTE(UPPER(TRIM(B1070&amp;"")),"₹",""),"RS.",""),"RS",""),"INR",""),"$",""),",","")," ",""))</f>
        <v/>
      </c>
      <c r="E1070" s="6">
        <f>IF(C1070="","",IF(RIGHT(D1070,2)="CR","Cr",IF(RIGHT(D1070,2)="DR","Dr","")))</f>
        <v/>
      </c>
      <c r="F1070" s="6">
        <f>IF(C1070="","",IF(E1070&lt;&gt;"",LEFT(D1070,LEN(D1070)-2),D1070))</f>
        <v/>
      </c>
      <c r="G1070" s="13">
        <f>IF(C1070="","",IF(OR(IF(AND(LEFT(F1070,1)="(",RIGHT(F1070,1)=")"),MID(F1070,2,LEN(F1070)-2),F1070)="",IF(AND(LEFT(F1070,1)="(",RIGHT(F1070,1)=")"),MID(F1070,2,LEN(F1070)-2),F1070)="-"),0,IFERROR(VALUE(IF(AND(LEFT(F1070,1)="(",RIGHT(F1070,1)=")"),MID(F1070,2,LEN(F1070)-2),F1070))*IF(AND(LEFT(F1070,1)="(",RIGHT(F1070,1)=")"),-1,1)*IF(E1070="Cr",Setup!$B$6,1),"ERR")))</f>
        <v/>
      </c>
      <c r="H1070" s="6">
        <f>IF(C1070="","",IF(ISNUMBER(G1070),1,0))</f>
        <v/>
      </c>
      <c r="I1070" s="6">
        <f>IF(C1070="","",IF(SUMPRODUCT(($C$12:$C$1511=C1070)*1)&gt;1,1,0))</f>
        <v/>
      </c>
      <c r="J1070" s="6">
        <f>IF(C1070="","",SUMPRODUCT((Mapping!$F$5:$F$504=Setup!$B$4&amp;"||"&amp;C1070)*ROW(Mapping!$F$5:$F$504)))</f>
        <v/>
      </c>
      <c r="K1070" s="6">
        <f>IF(C1070="","",IF(J1070=0,"UNMAPPED",LOWER(INDEX(Mapping!$D$1:$D$504,J1070))))</f>
        <v/>
      </c>
      <c r="L1070" s="6">
        <f>IF(K1070="mapped",TRIM(INDEX(Mapping!$C$1:$C$504,J1070)),"")</f>
        <v/>
      </c>
      <c r="M1070" s="6">
        <f>IF(C1070="","",IF(SUMPRODUCT(($C$12:C1070=C1070)*1)=1,1,0))</f>
        <v/>
      </c>
      <c r="N1070" s="6">
        <f>IF(AND(K1070="UNMAPPED",M1070=1),ROW(),"")</f>
        <v/>
      </c>
      <c r="O1070" s="6">
        <f>IF(AND(I1070=1,M1070=1),ROW(),"")</f>
        <v/>
      </c>
      <c r="P1070" s="6">
        <f>IF(AND(K1070="ignored",M1070=1),ROW(),"")</f>
        <v/>
      </c>
    </row>
    <row r="1071">
      <c r="A1071" s="8" t="n"/>
      <c r="B1071" s="8" t="n"/>
      <c r="C1071" s="6">
        <f>TRIM(A1071&amp;"")</f>
        <v/>
      </c>
      <c r="D1071" s="6">
        <f>IF(C1071="","",SUBSTITUTE(SUBSTITUTE(SUBSTITUTE(SUBSTITUTE(SUBSTITUTE(SUBSTITUTE(SUBSTITUTE(UPPER(TRIM(B1071&amp;"")),"₹",""),"RS.",""),"RS",""),"INR",""),"$",""),",","")," ",""))</f>
        <v/>
      </c>
      <c r="E1071" s="6">
        <f>IF(C1071="","",IF(RIGHT(D1071,2)="CR","Cr",IF(RIGHT(D1071,2)="DR","Dr","")))</f>
        <v/>
      </c>
      <c r="F1071" s="6">
        <f>IF(C1071="","",IF(E1071&lt;&gt;"",LEFT(D1071,LEN(D1071)-2),D1071))</f>
        <v/>
      </c>
      <c r="G1071" s="13">
        <f>IF(C1071="","",IF(OR(IF(AND(LEFT(F1071,1)="(",RIGHT(F1071,1)=")"),MID(F1071,2,LEN(F1071)-2),F1071)="",IF(AND(LEFT(F1071,1)="(",RIGHT(F1071,1)=")"),MID(F1071,2,LEN(F1071)-2),F1071)="-"),0,IFERROR(VALUE(IF(AND(LEFT(F1071,1)="(",RIGHT(F1071,1)=")"),MID(F1071,2,LEN(F1071)-2),F1071))*IF(AND(LEFT(F1071,1)="(",RIGHT(F1071,1)=")"),-1,1)*IF(E1071="Cr",Setup!$B$6,1),"ERR")))</f>
        <v/>
      </c>
      <c r="H1071" s="6">
        <f>IF(C1071="","",IF(ISNUMBER(G1071),1,0))</f>
        <v/>
      </c>
      <c r="I1071" s="6">
        <f>IF(C1071="","",IF(SUMPRODUCT(($C$12:$C$1511=C1071)*1)&gt;1,1,0))</f>
        <v/>
      </c>
      <c r="J1071" s="6">
        <f>IF(C1071="","",SUMPRODUCT((Mapping!$F$5:$F$504=Setup!$B$4&amp;"||"&amp;C1071)*ROW(Mapping!$F$5:$F$504)))</f>
        <v/>
      </c>
      <c r="K1071" s="6">
        <f>IF(C1071="","",IF(J1071=0,"UNMAPPED",LOWER(INDEX(Mapping!$D$1:$D$504,J1071))))</f>
        <v/>
      </c>
      <c r="L1071" s="6">
        <f>IF(K1071="mapped",TRIM(INDEX(Mapping!$C$1:$C$504,J1071)),"")</f>
        <v/>
      </c>
      <c r="M1071" s="6">
        <f>IF(C1071="","",IF(SUMPRODUCT(($C$12:C1071=C1071)*1)=1,1,0))</f>
        <v/>
      </c>
      <c r="N1071" s="6">
        <f>IF(AND(K1071="UNMAPPED",M1071=1),ROW(),"")</f>
        <v/>
      </c>
      <c r="O1071" s="6">
        <f>IF(AND(I1071=1,M1071=1),ROW(),"")</f>
        <v/>
      </c>
      <c r="P1071" s="6">
        <f>IF(AND(K1071="ignored",M1071=1),ROW(),"")</f>
        <v/>
      </c>
    </row>
    <row r="1072">
      <c r="A1072" s="8" t="n"/>
      <c r="B1072" s="8" t="n"/>
      <c r="C1072" s="6">
        <f>TRIM(A1072&amp;"")</f>
        <v/>
      </c>
      <c r="D1072" s="6">
        <f>IF(C1072="","",SUBSTITUTE(SUBSTITUTE(SUBSTITUTE(SUBSTITUTE(SUBSTITUTE(SUBSTITUTE(SUBSTITUTE(UPPER(TRIM(B1072&amp;"")),"₹",""),"RS.",""),"RS",""),"INR",""),"$",""),",","")," ",""))</f>
        <v/>
      </c>
      <c r="E1072" s="6">
        <f>IF(C1072="","",IF(RIGHT(D1072,2)="CR","Cr",IF(RIGHT(D1072,2)="DR","Dr","")))</f>
        <v/>
      </c>
      <c r="F1072" s="6">
        <f>IF(C1072="","",IF(E1072&lt;&gt;"",LEFT(D1072,LEN(D1072)-2),D1072))</f>
        <v/>
      </c>
      <c r="G1072" s="13">
        <f>IF(C1072="","",IF(OR(IF(AND(LEFT(F1072,1)="(",RIGHT(F1072,1)=")"),MID(F1072,2,LEN(F1072)-2),F1072)="",IF(AND(LEFT(F1072,1)="(",RIGHT(F1072,1)=")"),MID(F1072,2,LEN(F1072)-2),F1072)="-"),0,IFERROR(VALUE(IF(AND(LEFT(F1072,1)="(",RIGHT(F1072,1)=")"),MID(F1072,2,LEN(F1072)-2),F1072))*IF(AND(LEFT(F1072,1)="(",RIGHT(F1072,1)=")"),-1,1)*IF(E1072="Cr",Setup!$B$6,1),"ERR")))</f>
        <v/>
      </c>
      <c r="H1072" s="6">
        <f>IF(C1072="","",IF(ISNUMBER(G1072),1,0))</f>
        <v/>
      </c>
      <c r="I1072" s="6">
        <f>IF(C1072="","",IF(SUMPRODUCT(($C$12:$C$1511=C1072)*1)&gt;1,1,0))</f>
        <v/>
      </c>
      <c r="J1072" s="6">
        <f>IF(C1072="","",SUMPRODUCT((Mapping!$F$5:$F$504=Setup!$B$4&amp;"||"&amp;C1072)*ROW(Mapping!$F$5:$F$504)))</f>
        <v/>
      </c>
      <c r="K1072" s="6">
        <f>IF(C1072="","",IF(J1072=0,"UNMAPPED",LOWER(INDEX(Mapping!$D$1:$D$504,J1072))))</f>
        <v/>
      </c>
      <c r="L1072" s="6">
        <f>IF(K1072="mapped",TRIM(INDEX(Mapping!$C$1:$C$504,J1072)),"")</f>
        <v/>
      </c>
      <c r="M1072" s="6">
        <f>IF(C1072="","",IF(SUMPRODUCT(($C$12:C1072=C1072)*1)=1,1,0))</f>
        <v/>
      </c>
      <c r="N1072" s="6">
        <f>IF(AND(K1072="UNMAPPED",M1072=1),ROW(),"")</f>
        <v/>
      </c>
      <c r="O1072" s="6">
        <f>IF(AND(I1072=1,M1072=1),ROW(),"")</f>
        <v/>
      </c>
      <c r="P1072" s="6">
        <f>IF(AND(K1072="ignored",M1072=1),ROW(),"")</f>
        <v/>
      </c>
    </row>
    <row r="1073">
      <c r="A1073" s="8" t="n"/>
      <c r="B1073" s="8" t="n"/>
      <c r="C1073" s="6">
        <f>TRIM(A1073&amp;"")</f>
        <v/>
      </c>
      <c r="D1073" s="6">
        <f>IF(C1073="","",SUBSTITUTE(SUBSTITUTE(SUBSTITUTE(SUBSTITUTE(SUBSTITUTE(SUBSTITUTE(SUBSTITUTE(UPPER(TRIM(B1073&amp;"")),"₹",""),"RS.",""),"RS",""),"INR",""),"$",""),",","")," ",""))</f>
        <v/>
      </c>
      <c r="E1073" s="6">
        <f>IF(C1073="","",IF(RIGHT(D1073,2)="CR","Cr",IF(RIGHT(D1073,2)="DR","Dr","")))</f>
        <v/>
      </c>
      <c r="F1073" s="6">
        <f>IF(C1073="","",IF(E1073&lt;&gt;"",LEFT(D1073,LEN(D1073)-2),D1073))</f>
        <v/>
      </c>
      <c r="G1073" s="13">
        <f>IF(C1073="","",IF(OR(IF(AND(LEFT(F1073,1)="(",RIGHT(F1073,1)=")"),MID(F1073,2,LEN(F1073)-2),F1073)="",IF(AND(LEFT(F1073,1)="(",RIGHT(F1073,1)=")"),MID(F1073,2,LEN(F1073)-2),F1073)="-"),0,IFERROR(VALUE(IF(AND(LEFT(F1073,1)="(",RIGHT(F1073,1)=")"),MID(F1073,2,LEN(F1073)-2),F1073))*IF(AND(LEFT(F1073,1)="(",RIGHT(F1073,1)=")"),-1,1)*IF(E1073="Cr",Setup!$B$6,1),"ERR")))</f>
        <v/>
      </c>
      <c r="H1073" s="6">
        <f>IF(C1073="","",IF(ISNUMBER(G1073),1,0))</f>
        <v/>
      </c>
      <c r="I1073" s="6">
        <f>IF(C1073="","",IF(SUMPRODUCT(($C$12:$C$1511=C1073)*1)&gt;1,1,0))</f>
        <v/>
      </c>
      <c r="J1073" s="6">
        <f>IF(C1073="","",SUMPRODUCT((Mapping!$F$5:$F$504=Setup!$B$4&amp;"||"&amp;C1073)*ROW(Mapping!$F$5:$F$504)))</f>
        <v/>
      </c>
      <c r="K1073" s="6">
        <f>IF(C1073="","",IF(J1073=0,"UNMAPPED",LOWER(INDEX(Mapping!$D$1:$D$504,J1073))))</f>
        <v/>
      </c>
      <c r="L1073" s="6">
        <f>IF(K1073="mapped",TRIM(INDEX(Mapping!$C$1:$C$504,J1073)),"")</f>
        <v/>
      </c>
      <c r="M1073" s="6">
        <f>IF(C1073="","",IF(SUMPRODUCT(($C$12:C1073=C1073)*1)=1,1,0))</f>
        <v/>
      </c>
      <c r="N1073" s="6">
        <f>IF(AND(K1073="UNMAPPED",M1073=1),ROW(),"")</f>
        <v/>
      </c>
      <c r="O1073" s="6">
        <f>IF(AND(I1073=1,M1073=1),ROW(),"")</f>
        <v/>
      </c>
      <c r="P1073" s="6">
        <f>IF(AND(K1073="ignored",M1073=1),ROW(),"")</f>
        <v/>
      </c>
    </row>
    <row r="1074">
      <c r="A1074" s="8" t="n"/>
      <c r="B1074" s="8" t="n"/>
      <c r="C1074" s="6">
        <f>TRIM(A1074&amp;"")</f>
        <v/>
      </c>
      <c r="D1074" s="6">
        <f>IF(C1074="","",SUBSTITUTE(SUBSTITUTE(SUBSTITUTE(SUBSTITUTE(SUBSTITUTE(SUBSTITUTE(SUBSTITUTE(UPPER(TRIM(B1074&amp;"")),"₹",""),"RS.",""),"RS",""),"INR",""),"$",""),",","")," ",""))</f>
        <v/>
      </c>
      <c r="E1074" s="6">
        <f>IF(C1074="","",IF(RIGHT(D1074,2)="CR","Cr",IF(RIGHT(D1074,2)="DR","Dr","")))</f>
        <v/>
      </c>
      <c r="F1074" s="6">
        <f>IF(C1074="","",IF(E1074&lt;&gt;"",LEFT(D1074,LEN(D1074)-2),D1074))</f>
        <v/>
      </c>
      <c r="G1074" s="13">
        <f>IF(C1074="","",IF(OR(IF(AND(LEFT(F1074,1)="(",RIGHT(F1074,1)=")"),MID(F1074,2,LEN(F1074)-2),F1074)="",IF(AND(LEFT(F1074,1)="(",RIGHT(F1074,1)=")"),MID(F1074,2,LEN(F1074)-2),F1074)="-"),0,IFERROR(VALUE(IF(AND(LEFT(F1074,1)="(",RIGHT(F1074,1)=")"),MID(F1074,2,LEN(F1074)-2),F1074))*IF(AND(LEFT(F1074,1)="(",RIGHT(F1074,1)=")"),-1,1)*IF(E1074="Cr",Setup!$B$6,1),"ERR")))</f>
        <v/>
      </c>
      <c r="H1074" s="6">
        <f>IF(C1074="","",IF(ISNUMBER(G1074),1,0))</f>
        <v/>
      </c>
      <c r="I1074" s="6">
        <f>IF(C1074="","",IF(SUMPRODUCT(($C$12:$C$1511=C1074)*1)&gt;1,1,0))</f>
        <v/>
      </c>
      <c r="J1074" s="6">
        <f>IF(C1074="","",SUMPRODUCT((Mapping!$F$5:$F$504=Setup!$B$4&amp;"||"&amp;C1074)*ROW(Mapping!$F$5:$F$504)))</f>
        <v/>
      </c>
      <c r="K1074" s="6">
        <f>IF(C1074="","",IF(J1074=0,"UNMAPPED",LOWER(INDEX(Mapping!$D$1:$D$504,J1074))))</f>
        <v/>
      </c>
      <c r="L1074" s="6">
        <f>IF(K1074="mapped",TRIM(INDEX(Mapping!$C$1:$C$504,J1074)),"")</f>
        <v/>
      </c>
      <c r="M1074" s="6">
        <f>IF(C1074="","",IF(SUMPRODUCT(($C$12:C1074=C1074)*1)=1,1,0))</f>
        <v/>
      </c>
      <c r="N1074" s="6">
        <f>IF(AND(K1074="UNMAPPED",M1074=1),ROW(),"")</f>
        <v/>
      </c>
      <c r="O1074" s="6">
        <f>IF(AND(I1074=1,M1074=1),ROW(),"")</f>
        <v/>
      </c>
      <c r="P1074" s="6">
        <f>IF(AND(K1074="ignored",M1074=1),ROW(),"")</f>
        <v/>
      </c>
    </row>
    <row r="1075">
      <c r="A1075" s="8" t="n"/>
      <c r="B1075" s="8" t="n"/>
      <c r="C1075" s="6">
        <f>TRIM(A1075&amp;"")</f>
        <v/>
      </c>
      <c r="D1075" s="6">
        <f>IF(C1075="","",SUBSTITUTE(SUBSTITUTE(SUBSTITUTE(SUBSTITUTE(SUBSTITUTE(SUBSTITUTE(SUBSTITUTE(UPPER(TRIM(B1075&amp;"")),"₹",""),"RS.",""),"RS",""),"INR",""),"$",""),",","")," ",""))</f>
        <v/>
      </c>
      <c r="E1075" s="6">
        <f>IF(C1075="","",IF(RIGHT(D1075,2)="CR","Cr",IF(RIGHT(D1075,2)="DR","Dr","")))</f>
        <v/>
      </c>
      <c r="F1075" s="6">
        <f>IF(C1075="","",IF(E1075&lt;&gt;"",LEFT(D1075,LEN(D1075)-2),D1075))</f>
        <v/>
      </c>
      <c r="G1075" s="13">
        <f>IF(C1075="","",IF(OR(IF(AND(LEFT(F1075,1)="(",RIGHT(F1075,1)=")"),MID(F1075,2,LEN(F1075)-2),F1075)="",IF(AND(LEFT(F1075,1)="(",RIGHT(F1075,1)=")"),MID(F1075,2,LEN(F1075)-2),F1075)="-"),0,IFERROR(VALUE(IF(AND(LEFT(F1075,1)="(",RIGHT(F1075,1)=")"),MID(F1075,2,LEN(F1075)-2),F1075))*IF(AND(LEFT(F1075,1)="(",RIGHT(F1075,1)=")"),-1,1)*IF(E1075="Cr",Setup!$B$6,1),"ERR")))</f>
        <v/>
      </c>
      <c r="H1075" s="6">
        <f>IF(C1075="","",IF(ISNUMBER(G1075),1,0))</f>
        <v/>
      </c>
      <c r="I1075" s="6">
        <f>IF(C1075="","",IF(SUMPRODUCT(($C$12:$C$1511=C1075)*1)&gt;1,1,0))</f>
        <v/>
      </c>
      <c r="J1075" s="6">
        <f>IF(C1075="","",SUMPRODUCT((Mapping!$F$5:$F$504=Setup!$B$4&amp;"||"&amp;C1075)*ROW(Mapping!$F$5:$F$504)))</f>
        <v/>
      </c>
      <c r="K1075" s="6">
        <f>IF(C1075="","",IF(J1075=0,"UNMAPPED",LOWER(INDEX(Mapping!$D$1:$D$504,J1075))))</f>
        <v/>
      </c>
      <c r="L1075" s="6">
        <f>IF(K1075="mapped",TRIM(INDEX(Mapping!$C$1:$C$504,J1075)),"")</f>
        <v/>
      </c>
      <c r="M1075" s="6">
        <f>IF(C1075="","",IF(SUMPRODUCT(($C$12:C1075=C1075)*1)=1,1,0))</f>
        <v/>
      </c>
      <c r="N1075" s="6">
        <f>IF(AND(K1075="UNMAPPED",M1075=1),ROW(),"")</f>
        <v/>
      </c>
      <c r="O1075" s="6">
        <f>IF(AND(I1075=1,M1075=1),ROW(),"")</f>
        <v/>
      </c>
      <c r="P1075" s="6">
        <f>IF(AND(K1075="ignored",M1075=1),ROW(),"")</f>
        <v/>
      </c>
    </row>
    <row r="1076">
      <c r="A1076" s="8" t="n"/>
      <c r="B1076" s="8" t="n"/>
      <c r="C1076" s="6">
        <f>TRIM(A1076&amp;"")</f>
        <v/>
      </c>
      <c r="D1076" s="6">
        <f>IF(C1076="","",SUBSTITUTE(SUBSTITUTE(SUBSTITUTE(SUBSTITUTE(SUBSTITUTE(SUBSTITUTE(SUBSTITUTE(UPPER(TRIM(B1076&amp;"")),"₹",""),"RS.",""),"RS",""),"INR",""),"$",""),",","")," ",""))</f>
        <v/>
      </c>
      <c r="E1076" s="6">
        <f>IF(C1076="","",IF(RIGHT(D1076,2)="CR","Cr",IF(RIGHT(D1076,2)="DR","Dr","")))</f>
        <v/>
      </c>
      <c r="F1076" s="6">
        <f>IF(C1076="","",IF(E1076&lt;&gt;"",LEFT(D1076,LEN(D1076)-2),D1076))</f>
        <v/>
      </c>
      <c r="G1076" s="13">
        <f>IF(C1076="","",IF(OR(IF(AND(LEFT(F1076,1)="(",RIGHT(F1076,1)=")"),MID(F1076,2,LEN(F1076)-2),F1076)="",IF(AND(LEFT(F1076,1)="(",RIGHT(F1076,1)=")"),MID(F1076,2,LEN(F1076)-2),F1076)="-"),0,IFERROR(VALUE(IF(AND(LEFT(F1076,1)="(",RIGHT(F1076,1)=")"),MID(F1076,2,LEN(F1076)-2),F1076))*IF(AND(LEFT(F1076,1)="(",RIGHT(F1076,1)=")"),-1,1)*IF(E1076="Cr",Setup!$B$6,1),"ERR")))</f>
        <v/>
      </c>
      <c r="H1076" s="6">
        <f>IF(C1076="","",IF(ISNUMBER(G1076),1,0))</f>
        <v/>
      </c>
      <c r="I1076" s="6">
        <f>IF(C1076="","",IF(SUMPRODUCT(($C$12:$C$1511=C1076)*1)&gt;1,1,0))</f>
        <v/>
      </c>
      <c r="J1076" s="6">
        <f>IF(C1076="","",SUMPRODUCT((Mapping!$F$5:$F$504=Setup!$B$4&amp;"||"&amp;C1076)*ROW(Mapping!$F$5:$F$504)))</f>
        <v/>
      </c>
      <c r="K1076" s="6">
        <f>IF(C1076="","",IF(J1076=0,"UNMAPPED",LOWER(INDEX(Mapping!$D$1:$D$504,J1076))))</f>
        <v/>
      </c>
      <c r="L1076" s="6">
        <f>IF(K1076="mapped",TRIM(INDEX(Mapping!$C$1:$C$504,J1076)),"")</f>
        <v/>
      </c>
      <c r="M1076" s="6">
        <f>IF(C1076="","",IF(SUMPRODUCT(($C$12:C1076=C1076)*1)=1,1,0))</f>
        <v/>
      </c>
      <c r="N1076" s="6">
        <f>IF(AND(K1076="UNMAPPED",M1076=1),ROW(),"")</f>
        <v/>
      </c>
      <c r="O1076" s="6">
        <f>IF(AND(I1076=1,M1076=1),ROW(),"")</f>
        <v/>
      </c>
      <c r="P1076" s="6">
        <f>IF(AND(K1076="ignored",M1076=1),ROW(),"")</f>
        <v/>
      </c>
    </row>
    <row r="1077">
      <c r="A1077" s="8" t="n"/>
      <c r="B1077" s="8" t="n"/>
      <c r="C1077" s="6">
        <f>TRIM(A1077&amp;"")</f>
        <v/>
      </c>
      <c r="D1077" s="6">
        <f>IF(C1077="","",SUBSTITUTE(SUBSTITUTE(SUBSTITUTE(SUBSTITUTE(SUBSTITUTE(SUBSTITUTE(SUBSTITUTE(UPPER(TRIM(B1077&amp;"")),"₹",""),"RS.",""),"RS",""),"INR",""),"$",""),",","")," ",""))</f>
        <v/>
      </c>
      <c r="E1077" s="6">
        <f>IF(C1077="","",IF(RIGHT(D1077,2)="CR","Cr",IF(RIGHT(D1077,2)="DR","Dr","")))</f>
        <v/>
      </c>
      <c r="F1077" s="6">
        <f>IF(C1077="","",IF(E1077&lt;&gt;"",LEFT(D1077,LEN(D1077)-2),D1077))</f>
        <v/>
      </c>
      <c r="G1077" s="13">
        <f>IF(C1077="","",IF(OR(IF(AND(LEFT(F1077,1)="(",RIGHT(F1077,1)=")"),MID(F1077,2,LEN(F1077)-2),F1077)="",IF(AND(LEFT(F1077,1)="(",RIGHT(F1077,1)=")"),MID(F1077,2,LEN(F1077)-2),F1077)="-"),0,IFERROR(VALUE(IF(AND(LEFT(F1077,1)="(",RIGHT(F1077,1)=")"),MID(F1077,2,LEN(F1077)-2),F1077))*IF(AND(LEFT(F1077,1)="(",RIGHT(F1077,1)=")"),-1,1)*IF(E1077="Cr",Setup!$B$6,1),"ERR")))</f>
        <v/>
      </c>
      <c r="H1077" s="6">
        <f>IF(C1077="","",IF(ISNUMBER(G1077),1,0))</f>
        <v/>
      </c>
      <c r="I1077" s="6">
        <f>IF(C1077="","",IF(SUMPRODUCT(($C$12:$C$1511=C1077)*1)&gt;1,1,0))</f>
        <v/>
      </c>
      <c r="J1077" s="6">
        <f>IF(C1077="","",SUMPRODUCT((Mapping!$F$5:$F$504=Setup!$B$4&amp;"||"&amp;C1077)*ROW(Mapping!$F$5:$F$504)))</f>
        <v/>
      </c>
      <c r="K1077" s="6">
        <f>IF(C1077="","",IF(J1077=0,"UNMAPPED",LOWER(INDEX(Mapping!$D$1:$D$504,J1077))))</f>
        <v/>
      </c>
      <c r="L1077" s="6">
        <f>IF(K1077="mapped",TRIM(INDEX(Mapping!$C$1:$C$504,J1077)),"")</f>
        <v/>
      </c>
      <c r="M1077" s="6">
        <f>IF(C1077="","",IF(SUMPRODUCT(($C$12:C1077=C1077)*1)=1,1,0))</f>
        <v/>
      </c>
      <c r="N1077" s="6">
        <f>IF(AND(K1077="UNMAPPED",M1077=1),ROW(),"")</f>
        <v/>
      </c>
      <c r="O1077" s="6">
        <f>IF(AND(I1077=1,M1077=1),ROW(),"")</f>
        <v/>
      </c>
      <c r="P1077" s="6">
        <f>IF(AND(K1077="ignored",M1077=1),ROW(),"")</f>
        <v/>
      </c>
    </row>
    <row r="1078">
      <c r="A1078" s="8" t="n"/>
      <c r="B1078" s="8" t="n"/>
      <c r="C1078" s="6">
        <f>TRIM(A1078&amp;"")</f>
        <v/>
      </c>
      <c r="D1078" s="6">
        <f>IF(C1078="","",SUBSTITUTE(SUBSTITUTE(SUBSTITUTE(SUBSTITUTE(SUBSTITUTE(SUBSTITUTE(SUBSTITUTE(UPPER(TRIM(B1078&amp;"")),"₹",""),"RS.",""),"RS",""),"INR",""),"$",""),",","")," ",""))</f>
        <v/>
      </c>
      <c r="E1078" s="6">
        <f>IF(C1078="","",IF(RIGHT(D1078,2)="CR","Cr",IF(RIGHT(D1078,2)="DR","Dr","")))</f>
        <v/>
      </c>
      <c r="F1078" s="6">
        <f>IF(C1078="","",IF(E1078&lt;&gt;"",LEFT(D1078,LEN(D1078)-2),D1078))</f>
        <v/>
      </c>
      <c r="G1078" s="13">
        <f>IF(C1078="","",IF(OR(IF(AND(LEFT(F1078,1)="(",RIGHT(F1078,1)=")"),MID(F1078,2,LEN(F1078)-2),F1078)="",IF(AND(LEFT(F1078,1)="(",RIGHT(F1078,1)=")"),MID(F1078,2,LEN(F1078)-2),F1078)="-"),0,IFERROR(VALUE(IF(AND(LEFT(F1078,1)="(",RIGHT(F1078,1)=")"),MID(F1078,2,LEN(F1078)-2),F1078))*IF(AND(LEFT(F1078,1)="(",RIGHT(F1078,1)=")"),-1,1)*IF(E1078="Cr",Setup!$B$6,1),"ERR")))</f>
        <v/>
      </c>
      <c r="H1078" s="6">
        <f>IF(C1078="","",IF(ISNUMBER(G1078),1,0))</f>
        <v/>
      </c>
      <c r="I1078" s="6">
        <f>IF(C1078="","",IF(SUMPRODUCT(($C$12:$C$1511=C1078)*1)&gt;1,1,0))</f>
        <v/>
      </c>
      <c r="J1078" s="6">
        <f>IF(C1078="","",SUMPRODUCT((Mapping!$F$5:$F$504=Setup!$B$4&amp;"||"&amp;C1078)*ROW(Mapping!$F$5:$F$504)))</f>
        <v/>
      </c>
      <c r="K1078" s="6">
        <f>IF(C1078="","",IF(J1078=0,"UNMAPPED",LOWER(INDEX(Mapping!$D$1:$D$504,J1078))))</f>
        <v/>
      </c>
      <c r="L1078" s="6">
        <f>IF(K1078="mapped",TRIM(INDEX(Mapping!$C$1:$C$504,J1078)),"")</f>
        <v/>
      </c>
      <c r="M1078" s="6">
        <f>IF(C1078="","",IF(SUMPRODUCT(($C$12:C1078=C1078)*1)=1,1,0))</f>
        <v/>
      </c>
      <c r="N1078" s="6">
        <f>IF(AND(K1078="UNMAPPED",M1078=1),ROW(),"")</f>
        <v/>
      </c>
      <c r="O1078" s="6">
        <f>IF(AND(I1078=1,M1078=1),ROW(),"")</f>
        <v/>
      </c>
      <c r="P1078" s="6">
        <f>IF(AND(K1078="ignored",M1078=1),ROW(),"")</f>
        <v/>
      </c>
    </row>
    <row r="1079">
      <c r="A1079" s="8" t="n"/>
      <c r="B1079" s="8" t="n"/>
      <c r="C1079" s="6">
        <f>TRIM(A1079&amp;"")</f>
        <v/>
      </c>
      <c r="D1079" s="6">
        <f>IF(C1079="","",SUBSTITUTE(SUBSTITUTE(SUBSTITUTE(SUBSTITUTE(SUBSTITUTE(SUBSTITUTE(SUBSTITUTE(UPPER(TRIM(B1079&amp;"")),"₹",""),"RS.",""),"RS",""),"INR",""),"$",""),",","")," ",""))</f>
        <v/>
      </c>
      <c r="E1079" s="6">
        <f>IF(C1079="","",IF(RIGHT(D1079,2)="CR","Cr",IF(RIGHT(D1079,2)="DR","Dr","")))</f>
        <v/>
      </c>
      <c r="F1079" s="6">
        <f>IF(C1079="","",IF(E1079&lt;&gt;"",LEFT(D1079,LEN(D1079)-2),D1079))</f>
        <v/>
      </c>
      <c r="G1079" s="13">
        <f>IF(C1079="","",IF(OR(IF(AND(LEFT(F1079,1)="(",RIGHT(F1079,1)=")"),MID(F1079,2,LEN(F1079)-2),F1079)="",IF(AND(LEFT(F1079,1)="(",RIGHT(F1079,1)=")"),MID(F1079,2,LEN(F1079)-2),F1079)="-"),0,IFERROR(VALUE(IF(AND(LEFT(F1079,1)="(",RIGHT(F1079,1)=")"),MID(F1079,2,LEN(F1079)-2),F1079))*IF(AND(LEFT(F1079,1)="(",RIGHT(F1079,1)=")"),-1,1)*IF(E1079="Cr",Setup!$B$6,1),"ERR")))</f>
        <v/>
      </c>
      <c r="H1079" s="6">
        <f>IF(C1079="","",IF(ISNUMBER(G1079),1,0))</f>
        <v/>
      </c>
      <c r="I1079" s="6">
        <f>IF(C1079="","",IF(SUMPRODUCT(($C$12:$C$1511=C1079)*1)&gt;1,1,0))</f>
        <v/>
      </c>
      <c r="J1079" s="6">
        <f>IF(C1079="","",SUMPRODUCT((Mapping!$F$5:$F$504=Setup!$B$4&amp;"||"&amp;C1079)*ROW(Mapping!$F$5:$F$504)))</f>
        <v/>
      </c>
      <c r="K1079" s="6">
        <f>IF(C1079="","",IF(J1079=0,"UNMAPPED",LOWER(INDEX(Mapping!$D$1:$D$504,J1079))))</f>
        <v/>
      </c>
      <c r="L1079" s="6">
        <f>IF(K1079="mapped",TRIM(INDEX(Mapping!$C$1:$C$504,J1079)),"")</f>
        <v/>
      </c>
      <c r="M1079" s="6">
        <f>IF(C1079="","",IF(SUMPRODUCT(($C$12:C1079=C1079)*1)=1,1,0))</f>
        <v/>
      </c>
      <c r="N1079" s="6">
        <f>IF(AND(K1079="UNMAPPED",M1079=1),ROW(),"")</f>
        <v/>
      </c>
      <c r="O1079" s="6">
        <f>IF(AND(I1079=1,M1079=1),ROW(),"")</f>
        <v/>
      </c>
      <c r="P1079" s="6">
        <f>IF(AND(K1079="ignored",M1079=1),ROW(),"")</f>
        <v/>
      </c>
    </row>
    <row r="1080">
      <c r="A1080" s="8" t="n"/>
      <c r="B1080" s="8" t="n"/>
      <c r="C1080" s="6">
        <f>TRIM(A1080&amp;"")</f>
        <v/>
      </c>
      <c r="D1080" s="6">
        <f>IF(C1080="","",SUBSTITUTE(SUBSTITUTE(SUBSTITUTE(SUBSTITUTE(SUBSTITUTE(SUBSTITUTE(SUBSTITUTE(UPPER(TRIM(B1080&amp;"")),"₹",""),"RS.",""),"RS",""),"INR",""),"$",""),",","")," ",""))</f>
        <v/>
      </c>
      <c r="E1080" s="6">
        <f>IF(C1080="","",IF(RIGHT(D1080,2)="CR","Cr",IF(RIGHT(D1080,2)="DR","Dr","")))</f>
        <v/>
      </c>
      <c r="F1080" s="6">
        <f>IF(C1080="","",IF(E1080&lt;&gt;"",LEFT(D1080,LEN(D1080)-2),D1080))</f>
        <v/>
      </c>
      <c r="G1080" s="13">
        <f>IF(C1080="","",IF(OR(IF(AND(LEFT(F1080,1)="(",RIGHT(F1080,1)=")"),MID(F1080,2,LEN(F1080)-2),F1080)="",IF(AND(LEFT(F1080,1)="(",RIGHT(F1080,1)=")"),MID(F1080,2,LEN(F1080)-2),F1080)="-"),0,IFERROR(VALUE(IF(AND(LEFT(F1080,1)="(",RIGHT(F1080,1)=")"),MID(F1080,2,LEN(F1080)-2),F1080))*IF(AND(LEFT(F1080,1)="(",RIGHT(F1080,1)=")"),-1,1)*IF(E1080="Cr",Setup!$B$6,1),"ERR")))</f>
        <v/>
      </c>
      <c r="H1080" s="6">
        <f>IF(C1080="","",IF(ISNUMBER(G1080),1,0))</f>
        <v/>
      </c>
      <c r="I1080" s="6">
        <f>IF(C1080="","",IF(SUMPRODUCT(($C$12:$C$1511=C1080)*1)&gt;1,1,0))</f>
        <v/>
      </c>
      <c r="J1080" s="6">
        <f>IF(C1080="","",SUMPRODUCT((Mapping!$F$5:$F$504=Setup!$B$4&amp;"||"&amp;C1080)*ROW(Mapping!$F$5:$F$504)))</f>
        <v/>
      </c>
      <c r="K1080" s="6">
        <f>IF(C1080="","",IF(J1080=0,"UNMAPPED",LOWER(INDEX(Mapping!$D$1:$D$504,J1080))))</f>
        <v/>
      </c>
      <c r="L1080" s="6">
        <f>IF(K1080="mapped",TRIM(INDEX(Mapping!$C$1:$C$504,J1080)),"")</f>
        <v/>
      </c>
      <c r="M1080" s="6">
        <f>IF(C1080="","",IF(SUMPRODUCT(($C$12:C1080=C1080)*1)=1,1,0))</f>
        <v/>
      </c>
      <c r="N1080" s="6">
        <f>IF(AND(K1080="UNMAPPED",M1080=1),ROW(),"")</f>
        <v/>
      </c>
      <c r="O1080" s="6">
        <f>IF(AND(I1080=1,M1080=1),ROW(),"")</f>
        <v/>
      </c>
      <c r="P1080" s="6">
        <f>IF(AND(K1080="ignored",M1080=1),ROW(),"")</f>
        <v/>
      </c>
    </row>
    <row r="1081">
      <c r="A1081" s="8" t="n"/>
      <c r="B1081" s="8" t="n"/>
      <c r="C1081" s="6">
        <f>TRIM(A1081&amp;"")</f>
        <v/>
      </c>
      <c r="D1081" s="6">
        <f>IF(C1081="","",SUBSTITUTE(SUBSTITUTE(SUBSTITUTE(SUBSTITUTE(SUBSTITUTE(SUBSTITUTE(SUBSTITUTE(UPPER(TRIM(B1081&amp;"")),"₹",""),"RS.",""),"RS",""),"INR",""),"$",""),",","")," ",""))</f>
        <v/>
      </c>
      <c r="E1081" s="6">
        <f>IF(C1081="","",IF(RIGHT(D1081,2)="CR","Cr",IF(RIGHT(D1081,2)="DR","Dr","")))</f>
        <v/>
      </c>
      <c r="F1081" s="6">
        <f>IF(C1081="","",IF(E1081&lt;&gt;"",LEFT(D1081,LEN(D1081)-2),D1081))</f>
        <v/>
      </c>
      <c r="G1081" s="13">
        <f>IF(C1081="","",IF(OR(IF(AND(LEFT(F1081,1)="(",RIGHT(F1081,1)=")"),MID(F1081,2,LEN(F1081)-2),F1081)="",IF(AND(LEFT(F1081,1)="(",RIGHT(F1081,1)=")"),MID(F1081,2,LEN(F1081)-2),F1081)="-"),0,IFERROR(VALUE(IF(AND(LEFT(F1081,1)="(",RIGHT(F1081,1)=")"),MID(F1081,2,LEN(F1081)-2),F1081))*IF(AND(LEFT(F1081,1)="(",RIGHT(F1081,1)=")"),-1,1)*IF(E1081="Cr",Setup!$B$6,1),"ERR")))</f>
        <v/>
      </c>
      <c r="H1081" s="6">
        <f>IF(C1081="","",IF(ISNUMBER(G1081),1,0))</f>
        <v/>
      </c>
      <c r="I1081" s="6">
        <f>IF(C1081="","",IF(SUMPRODUCT(($C$12:$C$1511=C1081)*1)&gt;1,1,0))</f>
        <v/>
      </c>
      <c r="J1081" s="6">
        <f>IF(C1081="","",SUMPRODUCT((Mapping!$F$5:$F$504=Setup!$B$4&amp;"||"&amp;C1081)*ROW(Mapping!$F$5:$F$504)))</f>
        <v/>
      </c>
      <c r="K1081" s="6">
        <f>IF(C1081="","",IF(J1081=0,"UNMAPPED",LOWER(INDEX(Mapping!$D$1:$D$504,J1081))))</f>
        <v/>
      </c>
      <c r="L1081" s="6">
        <f>IF(K1081="mapped",TRIM(INDEX(Mapping!$C$1:$C$504,J1081)),"")</f>
        <v/>
      </c>
      <c r="M1081" s="6">
        <f>IF(C1081="","",IF(SUMPRODUCT(($C$12:C1081=C1081)*1)=1,1,0))</f>
        <v/>
      </c>
      <c r="N1081" s="6">
        <f>IF(AND(K1081="UNMAPPED",M1081=1),ROW(),"")</f>
        <v/>
      </c>
      <c r="O1081" s="6">
        <f>IF(AND(I1081=1,M1081=1),ROW(),"")</f>
        <v/>
      </c>
      <c r="P1081" s="6">
        <f>IF(AND(K1081="ignored",M1081=1),ROW(),"")</f>
        <v/>
      </c>
    </row>
    <row r="1082">
      <c r="A1082" s="8" t="n"/>
      <c r="B1082" s="8" t="n"/>
      <c r="C1082" s="6">
        <f>TRIM(A1082&amp;"")</f>
        <v/>
      </c>
      <c r="D1082" s="6">
        <f>IF(C1082="","",SUBSTITUTE(SUBSTITUTE(SUBSTITUTE(SUBSTITUTE(SUBSTITUTE(SUBSTITUTE(SUBSTITUTE(UPPER(TRIM(B1082&amp;"")),"₹",""),"RS.",""),"RS",""),"INR",""),"$",""),",","")," ",""))</f>
        <v/>
      </c>
      <c r="E1082" s="6">
        <f>IF(C1082="","",IF(RIGHT(D1082,2)="CR","Cr",IF(RIGHT(D1082,2)="DR","Dr","")))</f>
        <v/>
      </c>
      <c r="F1082" s="6">
        <f>IF(C1082="","",IF(E1082&lt;&gt;"",LEFT(D1082,LEN(D1082)-2),D1082))</f>
        <v/>
      </c>
      <c r="G1082" s="13">
        <f>IF(C1082="","",IF(OR(IF(AND(LEFT(F1082,1)="(",RIGHT(F1082,1)=")"),MID(F1082,2,LEN(F1082)-2),F1082)="",IF(AND(LEFT(F1082,1)="(",RIGHT(F1082,1)=")"),MID(F1082,2,LEN(F1082)-2),F1082)="-"),0,IFERROR(VALUE(IF(AND(LEFT(F1082,1)="(",RIGHT(F1082,1)=")"),MID(F1082,2,LEN(F1082)-2),F1082))*IF(AND(LEFT(F1082,1)="(",RIGHT(F1082,1)=")"),-1,1)*IF(E1082="Cr",Setup!$B$6,1),"ERR")))</f>
        <v/>
      </c>
      <c r="H1082" s="6">
        <f>IF(C1082="","",IF(ISNUMBER(G1082),1,0))</f>
        <v/>
      </c>
      <c r="I1082" s="6">
        <f>IF(C1082="","",IF(SUMPRODUCT(($C$12:$C$1511=C1082)*1)&gt;1,1,0))</f>
        <v/>
      </c>
      <c r="J1082" s="6">
        <f>IF(C1082="","",SUMPRODUCT((Mapping!$F$5:$F$504=Setup!$B$4&amp;"||"&amp;C1082)*ROW(Mapping!$F$5:$F$504)))</f>
        <v/>
      </c>
      <c r="K1082" s="6">
        <f>IF(C1082="","",IF(J1082=0,"UNMAPPED",LOWER(INDEX(Mapping!$D$1:$D$504,J1082))))</f>
        <v/>
      </c>
      <c r="L1082" s="6">
        <f>IF(K1082="mapped",TRIM(INDEX(Mapping!$C$1:$C$504,J1082)),"")</f>
        <v/>
      </c>
      <c r="M1082" s="6">
        <f>IF(C1082="","",IF(SUMPRODUCT(($C$12:C1082=C1082)*1)=1,1,0))</f>
        <v/>
      </c>
      <c r="N1082" s="6">
        <f>IF(AND(K1082="UNMAPPED",M1082=1),ROW(),"")</f>
        <v/>
      </c>
      <c r="O1082" s="6">
        <f>IF(AND(I1082=1,M1082=1),ROW(),"")</f>
        <v/>
      </c>
      <c r="P1082" s="6">
        <f>IF(AND(K1082="ignored",M1082=1),ROW(),"")</f>
        <v/>
      </c>
    </row>
    <row r="1083">
      <c r="A1083" s="8" t="n"/>
      <c r="B1083" s="8" t="n"/>
      <c r="C1083" s="6">
        <f>TRIM(A1083&amp;"")</f>
        <v/>
      </c>
      <c r="D1083" s="6">
        <f>IF(C1083="","",SUBSTITUTE(SUBSTITUTE(SUBSTITUTE(SUBSTITUTE(SUBSTITUTE(SUBSTITUTE(SUBSTITUTE(UPPER(TRIM(B1083&amp;"")),"₹",""),"RS.",""),"RS",""),"INR",""),"$",""),",","")," ",""))</f>
        <v/>
      </c>
      <c r="E1083" s="6">
        <f>IF(C1083="","",IF(RIGHT(D1083,2)="CR","Cr",IF(RIGHT(D1083,2)="DR","Dr","")))</f>
        <v/>
      </c>
      <c r="F1083" s="6">
        <f>IF(C1083="","",IF(E1083&lt;&gt;"",LEFT(D1083,LEN(D1083)-2),D1083))</f>
        <v/>
      </c>
      <c r="G1083" s="13">
        <f>IF(C1083="","",IF(OR(IF(AND(LEFT(F1083,1)="(",RIGHT(F1083,1)=")"),MID(F1083,2,LEN(F1083)-2),F1083)="",IF(AND(LEFT(F1083,1)="(",RIGHT(F1083,1)=")"),MID(F1083,2,LEN(F1083)-2),F1083)="-"),0,IFERROR(VALUE(IF(AND(LEFT(F1083,1)="(",RIGHT(F1083,1)=")"),MID(F1083,2,LEN(F1083)-2),F1083))*IF(AND(LEFT(F1083,1)="(",RIGHT(F1083,1)=")"),-1,1)*IF(E1083="Cr",Setup!$B$6,1),"ERR")))</f>
        <v/>
      </c>
      <c r="H1083" s="6">
        <f>IF(C1083="","",IF(ISNUMBER(G1083),1,0))</f>
        <v/>
      </c>
      <c r="I1083" s="6">
        <f>IF(C1083="","",IF(SUMPRODUCT(($C$12:$C$1511=C1083)*1)&gt;1,1,0))</f>
        <v/>
      </c>
      <c r="J1083" s="6">
        <f>IF(C1083="","",SUMPRODUCT((Mapping!$F$5:$F$504=Setup!$B$4&amp;"||"&amp;C1083)*ROW(Mapping!$F$5:$F$504)))</f>
        <v/>
      </c>
      <c r="K1083" s="6">
        <f>IF(C1083="","",IF(J1083=0,"UNMAPPED",LOWER(INDEX(Mapping!$D$1:$D$504,J1083))))</f>
        <v/>
      </c>
      <c r="L1083" s="6">
        <f>IF(K1083="mapped",TRIM(INDEX(Mapping!$C$1:$C$504,J1083)),"")</f>
        <v/>
      </c>
      <c r="M1083" s="6">
        <f>IF(C1083="","",IF(SUMPRODUCT(($C$12:C1083=C1083)*1)=1,1,0))</f>
        <v/>
      </c>
      <c r="N1083" s="6">
        <f>IF(AND(K1083="UNMAPPED",M1083=1),ROW(),"")</f>
        <v/>
      </c>
      <c r="O1083" s="6">
        <f>IF(AND(I1083=1,M1083=1),ROW(),"")</f>
        <v/>
      </c>
      <c r="P1083" s="6">
        <f>IF(AND(K1083="ignored",M1083=1),ROW(),"")</f>
        <v/>
      </c>
    </row>
    <row r="1084">
      <c r="A1084" s="8" t="n"/>
      <c r="B1084" s="8" t="n"/>
      <c r="C1084" s="6">
        <f>TRIM(A1084&amp;"")</f>
        <v/>
      </c>
      <c r="D1084" s="6">
        <f>IF(C1084="","",SUBSTITUTE(SUBSTITUTE(SUBSTITUTE(SUBSTITUTE(SUBSTITUTE(SUBSTITUTE(SUBSTITUTE(UPPER(TRIM(B1084&amp;"")),"₹",""),"RS.",""),"RS",""),"INR",""),"$",""),",","")," ",""))</f>
        <v/>
      </c>
      <c r="E1084" s="6">
        <f>IF(C1084="","",IF(RIGHT(D1084,2)="CR","Cr",IF(RIGHT(D1084,2)="DR","Dr","")))</f>
        <v/>
      </c>
      <c r="F1084" s="6">
        <f>IF(C1084="","",IF(E1084&lt;&gt;"",LEFT(D1084,LEN(D1084)-2),D1084))</f>
        <v/>
      </c>
      <c r="G1084" s="13">
        <f>IF(C1084="","",IF(OR(IF(AND(LEFT(F1084,1)="(",RIGHT(F1084,1)=")"),MID(F1084,2,LEN(F1084)-2),F1084)="",IF(AND(LEFT(F1084,1)="(",RIGHT(F1084,1)=")"),MID(F1084,2,LEN(F1084)-2),F1084)="-"),0,IFERROR(VALUE(IF(AND(LEFT(F1084,1)="(",RIGHT(F1084,1)=")"),MID(F1084,2,LEN(F1084)-2),F1084))*IF(AND(LEFT(F1084,1)="(",RIGHT(F1084,1)=")"),-1,1)*IF(E1084="Cr",Setup!$B$6,1),"ERR")))</f>
        <v/>
      </c>
      <c r="H1084" s="6">
        <f>IF(C1084="","",IF(ISNUMBER(G1084),1,0))</f>
        <v/>
      </c>
      <c r="I1084" s="6">
        <f>IF(C1084="","",IF(SUMPRODUCT(($C$12:$C$1511=C1084)*1)&gt;1,1,0))</f>
        <v/>
      </c>
      <c r="J1084" s="6">
        <f>IF(C1084="","",SUMPRODUCT((Mapping!$F$5:$F$504=Setup!$B$4&amp;"||"&amp;C1084)*ROW(Mapping!$F$5:$F$504)))</f>
        <v/>
      </c>
      <c r="K1084" s="6">
        <f>IF(C1084="","",IF(J1084=0,"UNMAPPED",LOWER(INDEX(Mapping!$D$1:$D$504,J1084))))</f>
        <v/>
      </c>
      <c r="L1084" s="6">
        <f>IF(K1084="mapped",TRIM(INDEX(Mapping!$C$1:$C$504,J1084)),"")</f>
        <v/>
      </c>
      <c r="M1084" s="6">
        <f>IF(C1084="","",IF(SUMPRODUCT(($C$12:C1084=C1084)*1)=1,1,0))</f>
        <v/>
      </c>
      <c r="N1084" s="6">
        <f>IF(AND(K1084="UNMAPPED",M1084=1),ROW(),"")</f>
        <v/>
      </c>
      <c r="O1084" s="6">
        <f>IF(AND(I1084=1,M1084=1),ROW(),"")</f>
        <v/>
      </c>
      <c r="P1084" s="6">
        <f>IF(AND(K1084="ignored",M1084=1),ROW(),"")</f>
        <v/>
      </c>
    </row>
    <row r="1085">
      <c r="A1085" s="8" t="n"/>
      <c r="B1085" s="8" t="n"/>
      <c r="C1085" s="6">
        <f>TRIM(A1085&amp;"")</f>
        <v/>
      </c>
      <c r="D1085" s="6">
        <f>IF(C1085="","",SUBSTITUTE(SUBSTITUTE(SUBSTITUTE(SUBSTITUTE(SUBSTITUTE(SUBSTITUTE(SUBSTITUTE(UPPER(TRIM(B1085&amp;"")),"₹",""),"RS.",""),"RS",""),"INR",""),"$",""),",","")," ",""))</f>
        <v/>
      </c>
      <c r="E1085" s="6">
        <f>IF(C1085="","",IF(RIGHT(D1085,2)="CR","Cr",IF(RIGHT(D1085,2)="DR","Dr","")))</f>
        <v/>
      </c>
      <c r="F1085" s="6">
        <f>IF(C1085="","",IF(E1085&lt;&gt;"",LEFT(D1085,LEN(D1085)-2),D1085))</f>
        <v/>
      </c>
      <c r="G1085" s="13">
        <f>IF(C1085="","",IF(OR(IF(AND(LEFT(F1085,1)="(",RIGHT(F1085,1)=")"),MID(F1085,2,LEN(F1085)-2),F1085)="",IF(AND(LEFT(F1085,1)="(",RIGHT(F1085,1)=")"),MID(F1085,2,LEN(F1085)-2),F1085)="-"),0,IFERROR(VALUE(IF(AND(LEFT(F1085,1)="(",RIGHT(F1085,1)=")"),MID(F1085,2,LEN(F1085)-2),F1085))*IF(AND(LEFT(F1085,1)="(",RIGHT(F1085,1)=")"),-1,1)*IF(E1085="Cr",Setup!$B$6,1),"ERR")))</f>
        <v/>
      </c>
      <c r="H1085" s="6">
        <f>IF(C1085="","",IF(ISNUMBER(G1085),1,0))</f>
        <v/>
      </c>
      <c r="I1085" s="6">
        <f>IF(C1085="","",IF(SUMPRODUCT(($C$12:$C$1511=C1085)*1)&gt;1,1,0))</f>
        <v/>
      </c>
      <c r="J1085" s="6">
        <f>IF(C1085="","",SUMPRODUCT((Mapping!$F$5:$F$504=Setup!$B$4&amp;"||"&amp;C1085)*ROW(Mapping!$F$5:$F$504)))</f>
        <v/>
      </c>
      <c r="K1085" s="6">
        <f>IF(C1085="","",IF(J1085=0,"UNMAPPED",LOWER(INDEX(Mapping!$D$1:$D$504,J1085))))</f>
        <v/>
      </c>
      <c r="L1085" s="6">
        <f>IF(K1085="mapped",TRIM(INDEX(Mapping!$C$1:$C$504,J1085)),"")</f>
        <v/>
      </c>
      <c r="M1085" s="6">
        <f>IF(C1085="","",IF(SUMPRODUCT(($C$12:C1085=C1085)*1)=1,1,0))</f>
        <v/>
      </c>
      <c r="N1085" s="6">
        <f>IF(AND(K1085="UNMAPPED",M1085=1),ROW(),"")</f>
        <v/>
      </c>
      <c r="O1085" s="6">
        <f>IF(AND(I1085=1,M1085=1),ROW(),"")</f>
        <v/>
      </c>
      <c r="P1085" s="6">
        <f>IF(AND(K1085="ignored",M1085=1),ROW(),"")</f>
        <v/>
      </c>
    </row>
    <row r="1086">
      <c r="A1086" s="8" t="n"/>
      <c r="B1086" s="8" t="n"/>
      <c r="C1086" s="6">
        <f>TRIM(A1086&amp;"")</f>
        <v/>
      </c>
      <c r="D1086" s="6">
        <f>IF(C1086="","",SUBSTITUTE(SUBSTITUTE(SUBSTITUTE(SUBSTITUTE(SUBSTITUTE(SUBSTITUTE(SUBSTITUTE(UPPER(TRIM(B1086&amp;"")),"₹",""),"RS.",""),"RS",""),"INR",""),"$",""),",","")," ",""))</f>
        <v/>
      </c>
      <c r="E1086" s="6">
        <f>IF(C1086="","",IF(RIGHT(D1086,2)="CR","Cr",IF(RIGHT(D1086,2)="DR","Dr","")))</f>
        <v/>
      </c>
      <c r="F1086" s="6">
        <f>IF(C1086="","",IF(E1086&lt;&gt;"",LEFT(D1086,LEN(D1086)-2),D1086))</f>
        <v/>
      </c>
      <c r="G1086" s="13">
        <f>IF(C1086="","",IF(OR(IF(AND(LEFT(F1086,1)="(",RIGHT(F1086,1)=")"),MID(F1086,2,LEN(F1086)-2),F1086)="",IF(AND(LEFT(F1086,1)="(",RIGHT(F1086,1)=")"),MID(F1086,2,LEN(F1086)-2),F1086)="-"),0,IFERROR(VALUE(IF(AND(LEFT(F1086,1)="(",RIGHT(F1086,1)=")"),MID(F1086,2,LEN(F1086)-2),F1086))*IF(AND(LEFT(F1086,1)="(",RIGHT(F1086,1)=")"),-1,1)*IF(E1086="Cr",Setup!$B$6,1),"ERR")))</f>
        <v/>
      </c>
      <c r="H1086" s="6">
        <f>IF(C1086="","",IF(ISNUMBER(G1086),1,0))</f>
        <v/>
      </c>
      <c r="I1086" s="6">
        <f>IF(C1086="","",IF(SUMPRODUCT(($C$12:$C$1511=C1086)*1)&gt;1,1,0))</f>
        <v/>
      </c>
      <c r="J1086" s="6">
        <f>IF(C1086="","",SUMPRODUCT((Mapping!$F$5:$F$504=Setup!$B$4&amp;"||"&amp;C1086)*ROW(Mapping!$F$5:$F$504)))</f>
        <v/>
      </c>
      <c r="K1086" s="6">
        <f>IF(C1086="","",IF(J1086=0,"UNMAPPED",LOWER(INDEX(Mapping!$D$1:$D$504,J1086))))</f>
        <v/>
      </c>
      <c r="L1086" s="6">
        <f>IF(K1086="mapped",TRIM(INDEX(Mapping!$C$1:$C$504,J1086)),"")</f>
        <v/>
      </c>
      <c r="M1086" s="6">
        <f>IF(C1086="","",IF(SUMPRODUCT(($C$12:C1086=C1086)*1)=1,1,0))</f>
        <v/>
      </c>
      <c r="N1086" s="6">
        <f>IF(AND(K1086="UNMAPPED",M1086=1),ROW(),"")</f>
        <v/>
      </c>
      <c r="O1086" s="6">
        <f>IF(AND(I1086=1,M1086=1),ROW(),"")</f>
        <v/>
      </c>
      <c r="P1086" s="6">
        <f>IF(AND(K1086="ignored",M1086=1),ROW(),"")</f>
        <v/>
      </c>
    </row>
    <row r="1087">
      <c r="A1087" s="8" t="n"/>
      <c r="B1087" s="8" t="n"/>
      <c r="C1087" s="6">
        <f>TRIM(A1087&amp;"")</f>
        <v/>
      </c>
      <c r="D1087" s="6">
        <f>IF(C1087="","",SUBSTITUTE(SUBSTITUTE(SUBSTITUTE(SUBSTITUTE(SUBSTITUTE(SUBSTITUTE(SUBSTITUTE(UPPER(TRIM(B1087&amp;"")),"₹",""),"RS.",""),"RS",""),"INR",""),"$",""),",","")," ",""))</f>
        <v/>
      </c>
      <c r="E1087" s="6">
        <f>IF(C1087="","",IF(RIGHT(D1087,2)="CR","Cr",IF(RIGHT(D1087,2)="DR","Dr","")))</f>
        <v/>
      </c>
      <c r="F1087" s="6">
        <f>IF(C1087="","",IF(E1087&lt;&gt;"",LEFT(D1087,LEN(D1087)-2),D1087))</f>
        <v/>
      </c>
      <c r="G1087" s="13">
        <f>IF(C1087="","",IF(OR(IF(AND(LEFT(F1087,1)="(",RIGHT(F1087,1)=")"),MID(F1087,2,LEN(F1087)-2),F1087)="",IF(AND(LEFT(F1087,1)="(",RIGHT(F1087,1)=")"),MID(F1087,2,LEN(F1087)-2),F1087)="-"),0,IFERROR(VALUE(IF(AND(LEFT(F1087,1)="(",RIGHT(F1087,1)=")"),MID(F1087,2,LEN(F1087)-2),F1087))*IF(AND(LEFT(F1087,1)="(",RIGHT(F1087,1)=")"),-1,1)*IF(E1087="Cr",Setup!$B$6,1),"ERR")))</f>
        <v/>
      </c>
      <c r="H1087" s="6">
        <f>IF(C1087="","",IF(ISNUMBER(G1087),1,0))</f>
        <v/>
      </c>
      <c r="I1087" s="6">
        <f>IF(C1087="","",IF(SUMPRODUCT(($C$12:$C$1511=C1087)*1)&gt;1,1,0))</f>
        <v/>
      </c>
      <c r="J1087" s="6">
        <f>IF(C1087="","",SUMPRODUCT((Mapping!$F$5:$F$504=Setup!$B$4&amp;"||"&amp;C1087)*ROW(Mapping!$F$5:$F$504)))</f>
        <v/>
      </c>
      <c r="K1087" s="6">
        <f>IF(C1087="","",IF(J1087=0,"UNMAPPED",LOWER(INDEX(Mapping!$D$1:$D$504,J1087))))</f>
        <v/>
      </c>
      <c r="L1087" s="6">
        <f>IF(K1087="mapped",TRIM(INDEX(Mapping!$C$1:$C$504,J1087)),"")</f>
        <v/>
      </c>
      <c r="M1087" s="6">
        <f>IF(C1087="","",IF(SUMPRODUCT(($C$12:C1087=C1087)*1)=1,1,0))</f>
        <v/>
      </c>
      <c r="N1087" s="6">
        <f>IF(AND(K1087="UNMAPPED",M1087=1),ROW(),"")</f>
        <v/>
      </c>
      <c r="O1087" s="6">
        <f>IF(AND(I1087=1,M1087=1),ROW(),"")</f>
        <v/>
      </c>
      <c r="P1087" s="6">
        <f>IF(AND(K1087="ignored",M1087=1),ROW(),"")</f>
        <v/>
      </c>
    </row>
    <row r="1088">
      <c r="A1088" s="8" t="n"/>
      <c r="B1088" s="8" t="n"/>
      <c r="C1088" s="6">
        <f>TRIM(A1088&amp;"")</f>
        <v/>
      </c>
      <c r="D1088" s="6">
        <f>IF(C1088="","",SUBSTITUTE(SUBSTITUTE(SUBSTITUTE(SUBSTITUTE(SUBSTITUTE(SUBSTITUTE(SUBSTITUTE(UPPER(TRIM(B1088&amp;"")),"₹",""),"RS.",""),"RS",""),"INR",""),"$",""),",","")," ",""))</f>
        <v/>
      </c>
      <c r="E1088" s="6">
        <f>IF(C1088="","",IF(RIGHT(D1088,2)="CR","Cr",IF(RIGHT(D1088,2)="DR","Dr","")))</f>
        <v/>
      </c>
      <c r="F1088" s="6">
        <f>IF(C1088="","",IF(E1088&lt;&gt;"",LEFT(D1088,LEN(D1088)-2),D1088))</f>
        <v/>
      </c>
      <c r="G1088" s="13">
        <f>IF(C1088="","",IF(OR(IF(AND(LEFT(F1088,1)="(",RIGHT(F1088,1)=")"),MID(F1088,2,LEN(F1088)-2),F1088)="",IF(AND(LEFT(F1088,1)="(",RIGHT(F1088,1)=")"),MID(F1088,2,LEN(F1088)-2),F1088)="-"),0,IFERROR(VALUE(IF(AND(LEFT(F1088,1)="(",RIGHT(F1088,1)=")"),MID(F1088,2,LEN(F1088)-2),F1088))*IF(AND(LEFT(F1088,1)="(",RIGHT(F1088,1)=")"),-1,1)*IF(E1088="Cr",Setup!$B$6,1),"ERR")))</f>
        <v/>
      </c>
      <c r="H1088" s="6">
        <f>IF(C1088="","",IF(ISNUMBER(G1088),1,0))</f>
        <v/>
      </c>
      <c r="I1088" s="6">
        <f>IF(C1088="","",IF(SUMPRODUCT(($C$12:$C$1511=C1088)*1)&gt;1,1,0))</f>
        <v/>
      </c>
      <c r="J1088" s="6">
        <f>IF(C1088="","",SUMPRODUCT((Mapping!$F$5:$F$504=Setup!$B$4&amp;"||"&amp;C1088)*ROW(Mapping!$F$5:$F$504)))</f>
        <v/>
      </c>
      <c r="K1088" s="6">
        <f>IF(C1088="","",IF(J1088=0,"UNMAPPED",LOWER(INDEX(Mapping!$D$1:$D$504,J1088))))</f>
        <v/>
      </c>
      <c r="L1088" s="6">
        <f>IF(K1088="mapped",TRIM(INDEX(Mapping!$C$1:$C$504,J1088)),"")</f>
        <v/>
      </c>
      <c r="M1088" s="6">
        <f>IF(C1088="","",IF(SUMPRODUCT(($C$12:C1088=C1088)*1)=1,1,0))</f>
        <v/>
      </c>
      <c r="N1088" s="6">
        <f>IF(AND(K1088="UNMAPPED",M1088=1),ROW(),"")</f>
        <v/>
      </c>
      <c r="O1088" s="6">
        <f>IF(AND(I1088=1,M1088=1),ROW(),"")</f>
        <v/>
      </c>
      <c r="P1088" s="6">
        <f>IF(AND(K1088="ignored",M1088=1),ROW(),"")</f>
        <v/>
      </c>
    </row>
    <row r="1089">
      <c r="A1089" s="8" t="n"/>
      <c r="B1089" s="8" t="n"/>
      <c r="C1089" s="6">
        <f>TRIM(A1089&amp;"")</f>
        <v/>
      </c>
      <c r="D1089" s="6">
        <f>IF(C1089="","",SUBSTITUTE(SUBSTITUTE(SUBSTITUTE(SUBSTITUTE(SUBSTITUTE(SUBSTITUTE(SUBSTITUTE(UPPER(TRIM(B1089&amp;"")),"₹",""),"RS.",""),"RS",""),"INR",""),"$",""),",","")," ",""))</f>
        <v/>
      </c>
      <c r="E1089" s="6">
        <f>IF(C1089="","",IF(RIGHT(D1089,2)="CR","Cr",IF(RIGHT(D1089,2)="DR","Dr","")))</f>
        <v/>
      </c>
      <c r="F1089" s="6">
        <f>IF(C1089="","",IF(E1089&lt;&gt;"",LEFT(D1089,LEN(D1089)-2),D1089))</f>
        <v/>
      </c>
      <c r="G1089" s="13">
        <f>IF(C1089="","",IF(OR(IF(AND(LEFT(F1089,1)="(",RIGHT(F1089,1)=")"),MID(F1089,2,LEN(F1089)-2),F1089)="",IF(AND(LEFT(F1089,1)="(",RIGHT(F1089,1)=")"),MID(F1089,2,LEN(F1089)-2),F1089)="-"),0,IFERROR(VALUE(IF(AND(LEFT(F1089,1)="(",RIGHT(F1089,1)=")"),MID(F1089,2,LEN(F1089)-2),F1089))*IF(AND(LEFT(F1089,1)="(",RIGHT(F1089,1)=")"),-1,1)*IF(E1089="Cr",Setup!$B$6,1),"ERR")))</f>
        <v/>
      </c>
      <c r="H1089" s="6">
        <f>IF(C1089="","",IF(ISNUMBER(G1089),1,0))</f>
        <v/>
      </c>
      <c r="I1089" s="6">
        <f>IF(C1089="","",IF(SUMPRODUCT(($C$12:$C$1511=C1089)*1)&gt;1,1,0))</f>
        <v/>
      </c>
      <c r="J1089" s="6">
        <f>IF(C1089="","",SUMPRODUCT((Mapping!$F$5:$F$504=Setup!$B$4&amp;"||"&amp;C1089)*ROW(Mapping!$F$5:$F$504)))</f>
        <v/>
      </c>
      <c r="K1089" s="6">
        <f>IF(C1089="","",IF(J1089=0,"UNMAPPED",LOWER(INDEX(Mapping!$D$1:$D$504,J1089))))</f>
        <v/>
      </c>
      <c r="L1089" s="6">
        <f>IF(K1089="mapped",TRIM(INDEX(Mapping!$C$1:$C$504,J1089)),"")</f>
        <v/>
      </c>
      <c r="M1089" s="6">
        <f>IF(C1089="","",IF(SUMPRODUCT(($C$12:C1089=C1089)*1)=1,1,0))</f>
        <v/>
      </c>
      <c r="N1089" s="6">
        <f>IF(AND(K1089="UNMAPPED",M1089=1),ROW(),"")</f>
        <v/>
      </c>
      <c r="O1089" s="6">
        <f>IF(AND(I1089=1,M1089=1),ROW(),"")</f>
        <v/>
      </c>
      <c r="P1089" s="6">
        <f>IF(AND(K1089="ignored",M1089=1),ROW(),"")</f>
        <v/>
      </c>
    </row>
    <row r="1090">
      <c r="A1090" s="8" t="n"/>
      <c r="B1090" s="8" t="n"/>
      <c r="C1090" s="6">
        <f>TRIM(A1090&amp;"")</f>
        <v/>
      </c>
      <c r="D1090" s="6">
        <f>IF(C1090="","",SUBSTITUTE(SUBSTITUTE(SUBSTITUTE(SUBSTITUTE(SUBSTITUTE(SUBSTITUTE(SUBSTITUTE(UPPER(TRIM(B1090&amp;"")),"₹",""),"RS.",""),"RS",""),"INR",""),"$",""),",","")," ",""))</f>
        <v/>
      </c>
      <c r="E1090" s="6">
        <f>IF(C1090="","",IF(RIGHT(D1090,2)="CR","Cr",IF(RIGHT(D1090,2)="DR","Dr","")))</f>
        <v/>
      </c>
      <c r="F1090" s="6">
        <f>IF(C1090="","",IF(E1090&lt;&gt;"",LEFT(D1090,LEN(D1090)-2),D1090))</f>
        <v/>
      </c>
      <c r="G1090" s="13">
        <f>IF(C1090="","",IF(OR(IF(AND(LEFT(F1090,1)="(",RIGHT(F1090,1)=")"),MID(F1090,2,LEN(F1090)-2),F1090)="",IF(AND(LEFT(F1090,1)="(",RIGHT(F1090,1)=")"),MID(F1090,2,LEN(F1090)-2),F1090)="-"),0,IFERROR(VALUE(IF(AND(LEFT(F1090,1)="(",RIGHT(F1090,1)=")"),MID(F1090,2,LEN(F1090)-2),F1090))*IF(AND(LEFT(F1090,1)="(",RIGHT(F1090,1)=")"),-1,1)*IF(E1090="Cr",Setup!$B$6,1),"ERR")))</f>
        <v/>
      </c>
      <c r="H1090" s="6">
        <f>IF(C1090="","",IF(ISNUMBER(G1090),1,0))</f>
        <v/>
      </c>
      <c r="I1090" s="6">
        <f>IF(C1090="","",IF(SUMPRODUCT(($C$12:$C$1511=C1090)*1)&gt;1,1,0))</f>
        <v/>
      </c>
      <c r="J1090" s="6">
        <f>IF(C1090="","",SUMPRODUCT((Mapping!$F$5:$F$504=Setup!$B$4&amp;"||"&amp;C1090)*ROW(Mapping!$F$5:$F$504)))</f>
        <v/>
      </c>
      <c r="K1090" s="6">
        <f>IF(C1090="","",IF(J1090=0,"UNMAPPED",LOWER(INDEX(Mapping!$D$1:$D$504,J1090))))</f>
        <v/>
      </c>
      <c r="L1090" s="6">
        <f>IF(K1090="mapped",TRIM(INDEX(Mapping!$C$1:$C$504,J1090)),"")</f>
        <v/>
      </c>
      <c r="M1090" s="6">
        <f>IF(C1090="","",IF(SUMPRODUCT(($C$12:C1090=C1090)*1)=1,1,0))</f>
        <v/>
      </c>
      <c r="N1090" s="6">
        <f>IF(AND(K1090="UNMAPPED",M1090=1),ROW(),"")</f>
        <v/>
      </c>
      <c r="O1090" s="6">
        <f>IF(AND(I1090=1,M1090=1),ROW(),"")</f>
        <v/>
      </c>
      <c r="P1090" s="6">
        <f>IF(AND(K1090="ignored",M1090=1),ROW(),"")</f>
        <v/>
      </c>
    </row>
    <row r="1091">
      <c r="A1091" s="8" t="n"/>
      <c r="B1091" s="8" t="n"/>
      <c r="C1091" s="6">
        <f>TRIM(A1091&amp;"")</f>
        <v/>
      </c>
      <c r="D1091" s="6">
        <f>IF(C1091="","",SUBSTITUTE(SUBSTITUTE(SUBSTITUTE(SUBSTITUTE(SUBSTITUTE(SUBSTITUTE(SUBSTITUTE(UPPER(TRIM(B1091&amp;"")),"₹",""),"RS.",""),"RS",""),"INR",""),"$",""),",","")," ",""))</f>
        <v/>
      </c>
      <c r="E1091" s="6">
        <f>IF(C1091="","",IF(RIGHT(D1091,2)="CR","Cr",IF(RIGHT(D1091,2)="DR","Dr","")))</f>
        <v/>
      </c>
      <c r="F1091" s="6">
        <f>IF(C1091="","",IF(E1091&lt;&gt;"",LEFT(D1091,LEN(D1091)-2),D1091))</f>
        <v/>
      </c>
      <c r="G1091" s="13">
        <f>IF(C1091="","",IF(OR(IF(AND(LEFT(F1091,1)="(",RIGHT(F1091,1)=")"),MID(F1091,2,LEN(F1091)-2),F1091)="",IF(AND(LEFT(F1091,1)="(",RIGHT(F1091,1)=")"),MID(F1091,2,LEN(F1091)-2),F1091)="-"),0,IFERROR(VALUE(IF(AND(LEFT(F1091,1)="(",RIGHT(F1091,1)=")"),MID(F1091,2,LEN(F1091)-2),F1091))*IF(AND(LEFT(F1091,1)="(",RIGHT(F1091,1)=")"),-1,1)*IF(E1091="Cr",Setup!$B$6,1),"ERR")))</f>
        <v/>
      </c>
      <c r="H1091" s="6">
        <f>IF(C1091="","",IF(ISNUMBER(G1091),1,0))</f>
        <v/>
      </c>
      <c r="I1091" s="6">
        <f>IF(C1091="","",IF(SUMPRODUCT(($C$12:$C$1511=C1091)*1)&gt;1,1,0))</f>
        <v/>
      </c>
      <c r="J1091" s="6">
        <f>IF(C1091="","",SUMPRODUCT((Mapping!$F$5:$F$504=Setup!$B$4&amp;"||"&amp;C1091)*ROW(Mapping!$F$5:$F$504)))</f>
        <v/>
      </c>
      <c r="K1091" s="6">
        <f>IF(C1091="","",IF(J1091=0,"UNMAPPED",LOWER(INDEX(Mapping!$D$1:$D$504,J1091))))</f>
        <v/>
      </c>
      <c r="L1091" s="6">
        <f>IF(K1091="mapped",TRIM(INDEX(Mapping!$C$1:$C$504,J1091)),"")</f>
        <v/>
      </c>
      <c r="M1091" s="6">
        <f>IF(C1091="","",IF(SUMPRODUCT(($C$12:C1091=C1091)*1)=1,1,0))</f>
        <v/>
      </c>
      <c r="N1091" s="6">
        <f>IF(AND(K1091="UNMAPPED",M1091=1),ROW(),"")</f>
        <v/>
      </c>
      <c r="O1091" s="6">
        <f>IF(AND(I1091=1,M1091=1),ROW(),"")</f>
        <v/>
      </c>
      <c r="P1091" s="6">
        <f>IF(AND(K1091="ignored",M1091=1),ROW(),"")</f>
        <v/>
      </c>
    </row>
    <row r="1092">
      <c r="A1092" s="8" t="n"/>
      <c r="B1092" s="8" t="n"/>
      <c r="C1092" s="6">
        <f>TRIM(A1092&amp;"")</f>
        <v/>
      </c>
      <c r="D1092" s="6">
        <f>IF(C1092="","",SUBSTITUTE(SUBSTITUTE(SUBSTITUTE(SUBSTITUTE(SUBSTITUTE(SUBSTITUTE(SUBSTITUTE(UPPER(TRIM(B1092&amp;"")),"₹",""),"RS.",""),"RS",""),"INR",""),"$",""),",","")," ",""))</f>
        <v/>
      </c>
      <c r="E1092" s="6">
        <f>IF(C1092="","",IF(RIGHT(D1092,2)="CR","Cr",IF(RIGHT(D1092,2)="DR","Dr","")))</f>
        <v/>
      </c>
      <c r="F1092" s="6">
        <f>IF(C1092="","",IF(E1092&lt;&gt;"",LEFT(D1092,LEN(D1092)-2),D1092))</f>
        <v/>
      </c>
      <c r="G1092" s="13">
        <f>IF(C1092="","",IF(OR(IF(AND(LEFT(F1092,1)="(",RIGHT(F1092,1)=")"),MID(F1092,2,LEN(F1092)-2),F1092)="",IF(AND(LEFT(F1092,1)="(",RIGHT(F1092,1)=")"),MID(F1092,2,LEN(F1092)-2),F1092)="-"),0,IFERROR(VALUE(IF(AND(LEFT(F1092,1)="(",RIGHT(F1092,1)=")"),MID(F1092,2,LEN(F1092)-2),F1092))*IF(AND(LEFT(F1092,1)="(",RIGHT(F1092,1)=")"),-1,1)*IF(E1092="Cr",Setup!$B$6,1),"ERR")))</f>
        <v/>
      </c>
      <c r="H1092" s="6">
        <f>IF(C1092="","",IF(ISNUMBER(G1092),1,0))</f>
        <v/>
      </c>
      <c r="I1092" s="6">
        <f>IF(C1092="","",IF(SUMPRODUCT(($C$12:$C$1511=C1092)*1)&gt;1,1,0))</f>
        <v/>
      </c>
      <c r="J1092" s="6">
        <f>IF(C1092="","",SUMPRODUCT((Mapping!$F$5:$F$504=Setup!$B$4&amp;"||"&amp;C1092)*ROW(Mapping!$F$5:$F$504)))</f>
        <v/>
      </c>
      <c r="K1092" s="6">
        <f>IF(C1092="","",IF(J1092=0,"UNMAPPED",LOWER(INDEX(Mapping!$D$1:$D$504,J1092))))</f>
        <v/>
      </c>
      <c r="L1092" s="6">
        <f>IF(K1092="mapped",TRIM(INDEX(Mapping!$C$1:$C$504,J1092)),"")</f>
        <v/>
      </c>
      <c r="M1092" s="6">
        <f>IF(C1092="","",IF(SUMPRODUCT(($C$12:C1092=C1092)*1)=1,1,0))</f>
        <v/>
      </c>
      <c r="N1092" s="6">
        <f>IF(AND(K1092="UNMAPPED",M1092=1),ROW(),"")</f>
        <v/>
      </c>
      <c r="O1092" s="6">
        <f>IF(AND(I1092=1,M1092=1),ROW(),"")</f>
        <v/>
      </c>
      <c r="P1092" s="6">
        <f>IF(AND(K1092="ignored",M1092=1),ROW(),"")</f>
        <v/>
      </c>
    </row>
    <row r="1093">
      <c r="A1093" s="8" t="n"/>
      <c r="B1093" s="8" t="n"/>
      <c r="C1093" s="6">
        <f>TRIM(A1093&amp;"")</f>
        <v/>
      </c>
      <c r="D1093" s="6">
        <f>IF(C1093="","",SUBSTITUTE(SUBSTITUTE(SUBSTITUTE(SUBSTITUTE(SUBSTITUTE(SUBSTITUTE(SUBSTITUTE(UPPER(TRIM(B1093&amp;"")),"₹",""),"RS.",""),"RS",""),"INR",""),"$",""),",","")," ",""))</f>
        <v/>
      </c>
      <c r="E1093" s="6">
        <f>IF(C1093="","",IF(RIGHT(D1093,2)="CR","Cr",IF(RIGHT(D1093,2)="DR","Dr","")))</f>
        <v/>
      </c>
      <c r="F1093" s="6">
        <f>IF(C1093="","",IF(E1093&lt;&gt;"",LEFT(D1093,LEN(D1093)-2),D1093))</f>
        <v/>
      </c>
      <c r="G1093" s="13">
        <f>IF(C1093="","",IF(OR(IF(AND(LEFT(F1093,1)="(",RIGHT(F1093,1)=")"),MID(F1093,2,LEN(F1093)-2),F1093)="",IF(AND(LEFT(F1093,1)="(",RIGHT(F1093,1)=")"),MID(F1093,2,LEN(F1093)-2),F1093)="-"),0,IFERROR(VALUE(IF(AND(LEFT(F1093,1)="(",RIGHT(F1093,1)=")"),MID(F1093,2,LEN(F1093)-2),F1093))*IF(AND(LEFT(F1093,1)="(",RIGHT(F1093,1)=")"),-1,1)*IF(E1093="Cr",Setup!$B$6,1),"ERR")))</f>
        <v/>
      </c>
      <c r="H1093" s="6">
        <f>IF(C1093="","",IF(ISNUMBER(G1093),1,0))</f>
        <v/>
      </c>
      <c r="I1093" s="6">
        <f>IF(C1093="","",IF(SUMPRODUCT(($C$12:$C$1511=C1093)*1)&gt;1,1,0))</f>
        <v/>
      </c>
      <c r="J1093" s="6">
        <f>IF(C1093="","",SUMPRODUCT((Mapping!$F$5:$F$504=Setup!$B$4&amp;"||"&amp;C1093)*ROW(Mapping!$F$5:$F$504)))</f>
        <v/>
      </c>
      <c r="K1093" s="6">
        <f>IF(C1093="","",IF(J1093=0,"UNMAPPED",LOWER(INDEX(Mapping!$D$1:$D$504,J1093))))</f>
        <v/>
      </c>
      <c r="L1093" s="6">
        <f>IF(K1093="mapped",TRIM(INDEX(Mapping!$C$1:$C$504,J1093)),"")</f>
        <v/>
      </c>
      <c r="M1093" s="6">
        <f>IF(C1093="","",IF(SUMPRODUCT(($C$12:C1093=C1093)*1)=1,1,0))</f>
        <v/>
      </c>
      <c r="N1093" s="6">
        <f>IF(AND(K1093="UNMAPPED",M1093=1),ROW(),"")</f>
        <v/>
      </c>
      <c r="O1093" s="6">
        <f>IF(AND(I1093=1,M1093=1),ROW(),"")</f>
        <v/>
      </c>
      <c r="P1093" s="6">
        <f>IF(AND(K1093="ignored",M1093=1),ROW(),"")</f>
        <v/>
      </c>
    </row>
    <row r="1094">
      <c r="A1094" s="8" t="n"/>
      <c r="B1094" s="8" t="n"/>
      <c r="C1094" s="6">
        <f>TRIM(A1094&amp;"")</f>
        <v/>
      </c>
      <c r="D1094" s="6">
        <f>IF(C1094="","",SUBSTITUTE(SUBSTITUTE(SUBSTITUTE(SUBSTITUTE(SUBSTITUTE(SUBSTITUTE(SUBSTITUTE(UPPER(TRIM(B1094&amp;"")),"₹",""),"RS.",""),"RS",""),"INR",""),"$",""),",","")," ",""))</f>
        <v/>
      </c>
      <c r="E1094" s="6">
        <f>IF(C1094="","",IF(RIGHT(D1094,2)="CR","Cr",IF(RIGHT(D1094,2)="DR","Dr","")))</f>
        <v/>
      </c>
      <c r="F1094" s="6">
        <f>IF(C1094="","",IF(E1094&lt;&gt;"",LEFT(D1094,LEN(D1094)-2),D1094))</f>
        <v/>
      </c>
      <c r="G1094" s="13">
        <f>IF(C1094="","",IF(OR(IF(AND(LEFT(F1094,1)="(",RIGHT(F1094,1)=")"),MID(F1094,2,LEN(F1094)-2),F1094)="",IF(AND(LEFT(F1094,1)="(",RIGHT(F1094,1)=")"),MID(F1094,2,LEN(F1094)-2),F1094)="-"),0,IFERROR(VALUE(IF(AND(LEFT(F1094,1)="(",RIGHT(F1094,1)=")"),MID(F1094,2,LEN(F1094)-2),F1094))*IF(AND(LEFT(F1094,1)="(",RIGHT(F1094,1)=")"),-1,1)*IF(E1094="Cr",Setup!$B$6,1),"ERR")))</f>
        <v/>
      </c>
      <c r="H1094" s="6">
        <f>IF(C1094="","",IF(ISNUMBER(G1094),1,0))</f>
        <v/>
      </c>
      <c r="I1094" s="6">
        <f>IF(C1094="","",IF(SUMPRODUCT(($C$12:$C$1511=C1094)*1)&gt;1,1,0))</f>
        <v/>
      </c>
      <c r="J1094" s="6">
        <f>IF(C1094="","",SUMPRODUCT((Mapping!$F$5:$F$504=Setup!$B$4&amp;"||"&amp;C1094)*ROW(Mapping!$F$5:$F$504)))</f>
        <v/>
      </c>
      <c r="K1094" s="6">
        <f>IF(C1094="","",IF(J1094=0,"UNMAPPED",LOWER(INDEX(Mapping!$D$1:$D$504,J1094))))</f>
        <v/>
      </c>
      <c r="L1094" s="6">
        <f>IF(K1094="mapped",TRIM(INDEX(Mapping!$C$1:$C$504,J1094)),"")</f>
        <v/>
      </c>
      <c r="M1094" s="6">
        <f>IF(C1094="","",IF(SUMPRODUCT(($C$12:C1094=C1094)*1)=1,1,0))</f>
        <v/>
      </c>
      <c r="N1094" s="6">
        <f>IF(AND(K1094="UNMAPPED",M1094=1),ROW(),"")</f>
        <v/>
      </c>
      <c r="O1094" s="6">
        <f>IF(AND(I1094=1,M1094=1),ROW(),"")</f>
        <v/>
      </c>
      <c r="P1094" s="6">
        <f>IF(AND(K1094="ignored",M1094=1),ROW(),"")</f>
        <v/>
      </c>
    </row>
    <row r="1095">
      <c r="A1095" s="8" t="n"/>
      <c r="B1095" s="8" t="n"/>
      <c r="C1095" s="6">
        <f>TRIM(A1095&amp;"")</f>
        <v/>
      </c>
      <c r="D1095" s="6">
        <f>IF(C1095="","",SUBSTITUTE(SUBSTITUTE(SUBSTITUTE(SUBSTITUTE(SUBSTITUTE(SUBSTITUTE(SUBSTITUTE(UPPER(TRIM(B1095&amp;"")),"₹",""),"RS.",""),"RS",""),"INR",""),"$",""),",","")," ",""))</f>
        <v/>
      </c>
      <c r="E1095" s="6">
        <f>IF(C1095="","",IF(RIGHT(D1095,2)="CR","Cr",IF(RIGHT(D1095,2)="DR","Dr","")))</f>
        <v/>
      </c>
      <c r="F1095" s="6">
        <f>IF(C1095="","",IF(E1095&lt;&gt;"",LEFT(D1095,LEN(D1095)-2),D1095))</f>
        <v/>
      </c>
      <c r="G1095" s="13">
        <f>IF(C1095="","",IF(OR(IF(AND(LEFT(F1095,1)="(",RIGHT(F1095,1)=")"),MID(F1095,2,LEN(F1095)-2),F1095)="",IF(AND(LEFT(F1095,1)="(",RIGHT(F1095,1)=")"),MID(F1095,2,LEN(F1095)-2),F1095)="-"),0,IFERROR(VALUE(IF(AND(LEFT(F1095,1)="(",RIGHT(F1095,1)=")"),MID(F1095,2,LEN(F1095)-2),F1095))*IF(AND(LEFT(F1095,1)="(",RIGHT(F1095,1)=")"),-1,1)*IF(E1095="Cr",Setup!$B$6,1),"ERR")))</f>
        <v/>
      </c>
      <c r="H1095" s="6">
        <f>IF(C1095="","",IF(ISNUMBER(G1095),1,0))</f>
        <v/>
      </c>
      <c r="I1095" s="6">
        <f>IF(C1095="","",IF(SUMPRODUCT(($C$12:$C$1511=C1095)*1)&gt;1,1,0))</f>
        <v/>
      </c>
      <c r="J1095" s="6">
        <f>IF(C1095="","",SUMPRODUCT((Mapping!$F$5:$F$504=Setup!$B$4&amp;"||"&amp;C1095)*ROW(Mapping!$F$5:$F$504)))</f>
        <v/>
      </c>
      <c r="K1095" s="6">
        <f>IF(C1095="","",IF(J1095=0,"UNMAPPED",LOWER(INDEX(Mapping!$D$1:$D$504,J1095))))</f>
        <v/>
      </c>
      <c r="L1095" s="6">
        <f>IF(K1095="mapped",TRIM(INDEX(Mapping!$C$1:$C$504,J1095)),"")</f>
        <v/>
      </c>
      <c r="M1095" s="6">
        <f>IF(C1095="","",IF(SUMPRODUCT(($C$12:C1095=C1095)*1)=1,1,0))</f>
        <v/>
      </c>
      <c r="N1095" s="6">
        <f>IF(AND(K1095="UNMAPPED",M1095=1),ROW(),"")</f>
        <v/>
      </c>
      <c r="O1095" s="6">
        <f>IF(AND(I1095=1,M1095=1),ROW(),"")</f>
        <v/>
      </c>
      <c r="P1095" s="6">
        <f>IF(AND(K1095="ignored",M1095=1),ROW(),"")</f>
        <v/>
      </c>
    </row>
    <row r="1096">
      <c r="A1096" s="8" t="n"/>
      <c r="B1096" s="8" t="n"/>
      <c r="C1096" s="6">
        <f>TRIM(A1096&amp;"")</f>
        <v/>
      </c>
      <c r="D1096" s="6">
        <f>IF(C1096="","",SUBSTITUTE(SUBSTITUTE(SUBSTITUTE(SUBSTITUTE(SUBSTITUTE(SUBSTITUTE(SUBSTITUTE(UPPER(TRIM(B1096&amp;"")),"₹",""),"RS.",""),"RS",""),"INR",""),"$",""),",","")," ",""))</f>
        <v/>
      </c>
      <c r="E1096" s="6">
        <f>IF(C1096="","",IF(RIGHT(D1096,2)="CR","Cr",IF(RIGHT(D1096,2)="DR","Dr","")))</f>
        <v/>
      </c>
      <c r="F1096" s="6">
        <f>IF(C1096="","",IF(E1096&lt;&gt;"",LEFT(D1096,LEN(D1096)-2),D1096))</f>
        <v/>
      </c>
      <c r="G1096" s="13">
        <f>IF(C1096="","",IF(OR(IF(AND(LEFT(F1096,1)="(",RIGHT(F1096,1)=")"),MID(F1096,2,LEN(F1096)-2),F1096)="",IF(AND(LEFT(F1096,1)="(",RIGHT(F1096,1)=")"),MID(F1096,2,LEN(F1096)-2),F1096)="-"),0,IFERROR(VALUE(IF(AND(LEFT(F1096,1)="(",RIGHT(F1096,1)=")"),MID(F1096,2,LEN(F1096)-2),F1096))*IF(AND(LEFT(F1096,1)="(",RIGHT(F1096,1)=")"),-1,1)*IF(E1096="Cr",Setup!$B$6,1),"ERR")))</f>
        <v/>
      </c>
      <c r="H1096" s="6">
        <f>IF(C1096="","",IF(ISNUMBER(G1096),1,0))</f>
        <v/>
      </c>
      <c r="I1096" s="6">
        <f>IF(C1096="","",IF(SUMPRODUCT(($C$12:$C$1511=C1096)*1)&gt;1,1,0))</f>
        <v/>
      </c>
      <c r="J1096" s="6">
        <f>IF(C1096="","",SUMPRODUCT((Mapping!$F$5:$F$504=Setup!$B$4&amp;"||"&amp;C1096)*ROW(Mapping!$F$5:$F$504)))</f>
        <v/>
      </c>
      <c r="K1096" s="6">
        <f>IF(C1096="","",IF(J1096=0,"UNMAPPED",LOWER(INDEX(Mapping!$D$1:$D$504,J1096))))</f>
        <v/>
      </c>
      <c r="L1096" s="6">
        <f>IF(K1096="mapped",TRIM(INDEX(Mapping!$C$1:$C$504,J1096)),"")</f>
        <v/>
      </c>
      <c r="M1096" s="6">
        <f>IF(C1096="","",IF(SUMPRODUCT(($C$12:C1096=C1096)*1)=1,1,0))</f>
        <v/>
      </c>
      <c r="N1096" s="6">
        <f>IF(AND(K1096="UNMAPPED",M1096=1),ROW(),"")</f>
        <v/>
      </c>
      <c r="O1096" s="6">
        <f>IF(AND(I1096=1,M1096=1),ROW(),"")</f>
        <v/>
      </c>
      <c r="P1096" s="6">
        <f>IF(AND(K1096="ignored",M1096=1),ROW(),"")</f>
        <v/>
      </c>
    </row>
    <row r="1097">
      <c r="A1097" s="8" t="n"/>
      <c r="B1097" s="8" t="n"/>
      <c r="C1097" s="6">
        <f>TRIM(A1097&amp;"")</f>
        <v/>
      </c>
      <c r="D1097" s="6">
        <f>IF(C1097="","",SUBSTITUTE(SUBSTITUTE(SUBSTITUTE(SUBSTITUTE(SUBSTITUTE(SUBSTITUTE(SUBSTITUTE(UPPER(TRIM(B1097&amp;"")),"₹",""),"RS.",""),"RS",""),"INR",""),"$",""),",","")," ",""))</f>
        <v/>
      </c>
      <c r="E1097" s="6">
        <f>IF(C1097="","",IF(RIGHT(D1097,2)="CR","Cr",IF(RIGHT(D1097,2)="DR","Dr","")))</f>
        <v/>
      </c>
      <c r="F1097" s="6">
        <f>IF(C1097="","",IF(E1097&lt;&gt;"",LEFT(D1097,LEN(D1097)-2),D1097))</f>
        <v/>
      </c>
      <c r="G1097" s="13">
        <f>IF(C1097="","",IF(OR(IF(AND(LEFT(F1097,1)="(",RIGHT(F1097,1)=")"),MID(F1097,2,LEN(F1097)-2),F1097)="",IF(AND(LEFT(F1097,1)="(",RIGHT(F1097,1)=")"),MID(F1097,2,LEN(F1097)-2),F1097)="-"),0,IFERROR(VALUE(IF(AND(LEFT(F1097,1)="(",RIGHT(F1097,1)=")"),MID(F1097,2,LEN(F1097)-2),F1097))*IF(AND(LEFT(F1097,1)="(",RIGHT(F1097,1)=")"),-1,1)*IF(E1097="Cr",Setup!$B$6,1),"ERR")))</f>
        <v/>
      </c>
      <c r="H1097" s="6">
        <f>IF(C1097="","",IF(ISNUMBER(G1097),1,0))</f>
        <v/>
      </c>
      <c r="I1097" s="6">
        <f>IF(C1097="","",IF(SUMPRODUCT(($C$12:$C$1511=C1097)*1)&gt;1,1,0))</f>
        <v/>
      </c>
      <c r="J1097" s="6">
        <f>IF(C1097="","",SUMPRODUCT((Mapping!$F$5:$F$504=Setup!$B$4&amp;"||"&amp;C1097)*ROW(Mapping!$F$5:$F$504)))</f>
        <v/>
      </c>
      <c r="K1097" s="6">
        <f>IF(C1097="","",IF(J1097=0,"UNMAPPED",LOWER(INDEX(Mapping!$D$1:$D$504,J1097))))</f>
        <v/>
      </c>
      <c r="L1097" s="6">
        <f>IF(K1097="mapped",TRIM(INDEX(Mapping!$C$1:$C$504,J1097)),"")</f>
        <v/>
      </c>
      <c r="M1097" s="6">
        <f>IF(C1097="","",IF(SUMPRODUCT(($C$12:C1097=C1097)*1)=1,1,0))</f>
        <v/>
      </c>
      <c r="N1097" s="6">
        <f>IF(AND(K1097="UNMAPPED",M1097=1),ROW(),"")</f>
        <v/>
      </c>
      <c r="O1097" s="6">
        <f>IF(AND(I1097=1,M1097=1),ROW(),"")</f>
        <v/>
      </c>
      <c r="P1097" s="6">
        <f>IF(AND(K1097="ignored",M1097=1),ROW(),"")</f>
        <v/>
      </c>
    </row>
    <row r="1098">
      <c r="A1098" s="8" t="n"/>
      <c r="B1098" s="8" t="n"/>
      <c r="C1098" s="6">
        <f>TRIM(A1098&amp;"")</f>
        <v/>
      </c>
      <c r="D1098" s="6">
        <f>IF(C1098="","",SUBSTITUTE(SUBSTITUTE(SUBSTITUTE(SUBSTITUTE(SUBSTITUTE(SUBSTITUTE(SUBSTITUTE(UPPER(TRIM(B1098&amp;"")),"₹",""),"RS.",""),"RS",""),"INR",""),"$",""),",","")," ",""))</f>
        <v/>
      </c>
      <c r="E1098" s="6">
        <f>IF(C1098="","",IF(RIGHT(D1098,2)="CR","Cr",IF(RIGHT(D1098,2)="DR","Dr","")))</f>
        <v/>
      </c>
      <c r="F1098" s="6">
        <f>IF(C1098="","",IF(E1098&lt;&gt;"",LEFT(D1098,LEN(D1098)-2),D1098))</f>
        <v/>
      </c>
      <c r="G1098" s="13">
        <f>IF(C1098="","",IF(OR(IF(AND(LEFT(F1098,1)="(",RIGHT(F1098,1)=")"),MID(F1098,2,LEN(F1098)-2),F1098)="",IF(AND(LEFT(F1098,1)="(",RIGHT(F1098,1)=")"),MID(F1098,2,LEN(F1098)-2),F1098)="-"),0,IFERROR(VALUE(IF(AND(LEFT(F1098,1)="(",RIGHT(F1098,1)=")"),MID(F1098,2,LEN(F1098)-2),F1098))*IF(AND(LEFT(F1098,1)="(",RIGHT(F1098,1)=")"),-1,1)*IF(E1098="Cr",Setup!$B$6,1),"ERR")))</f>
        <v/>
      </c>
      <c r="H1098" s="6">
        <f>IF(C1098="","",IF(ISNUMBER(G1098),1,0))</f>
        <v/>
      </c>
      <c r="I1098" s="6">
        <f>IF(C1098="","",IF(SUMPRODUCT(($C$12:$C$1511=C1098)*1)&gt;1,1,0))</f>
        <v/>
      </c>
      <c r="J1098" s="6">
        <f>IF(C1098="","",SUMPRODUCT((Mapping!$F$5:$F$504=Setup!$B$4&amp;"||"&amp;C1098)*ROW(Mapping!$F$5:$F$504)))</f>
        <v/>
      </c>
      <c r="K1098" s="6">
        <f>IF(C1098="","",IF(J1098=0,"UNMAPPED",LOWER(INDEX(Mapping!$D$1:$D$504,J1098))))</f>
        <v/>
      </c>
      <c r="L1098" s="6">
        <f>IF(K1098="mapped",TRIM(INDEX(Mapping!$C$1:$C$504,J1098)),"")</f>
        <v/>
      </c>
      <c r="M1098" s="6">
        <f>IF(C1098="","",IF(SUMPRODUCT(($C$12:C1098=C1098)*1)=1,1,0))</f>
        <v/>
      </c>
      <c r="N1098" s="6">
        <f>IF(AND(K1098="UNMAPPED",M1098=1),ROW(),"")</f>
        <v/>
      </c>
      <c r="O1098" s="6">
        <f>IF(AND(I1098=1,M1098=1),ROW(),"")</f>
        <v/>
      </c>
      <c r="P1098" s="6">
        <f>IF(AND(K1098="ignored",M1098=1),ROW(),"")</f>
        <v/>
      </c>
    </row>
    <row r="1099">
      <c r="A1099" s="8" t="n"/>
      <c r="B1099" s="8" t="n"/>
      <c r="C1099" s="6">
        <f>TRIM(A1099&amp;"")</f>
        <v/>
      </c>
      <c r="D1099" s="6">
        <f>IF(C1099="","",SUBSTITUTE(SUBSTITUTE(SUBSTITUTE(SUBSTITUTE(SUBSTITUTE(SUBSTITUTE(SUBSTITUTE(UPPER(TRIM(B1099&amp;"")),"₹",""),"RS.",""),"RS",""),"INR",""),"$",""),",","")," ",""))</f>
        <v/>
      </c>
      <c r="E1099" s="6">
        <f>IF(C1099="","",IF(RIGHT(D1099,2)="CR","Cr",IF(RIGHT(D1099,2)="DR","Dr","")))</f>
        <v/>
      </c>
      <c r="F1099" s="6">
        <f>IF(C1099="","",IF(E1099&lt;&gt;"",LEFT(D1099,LEN(D1099)-2),D1099))</f>
        <v/>
      </c>
      <c r="G1099" s="13">
        <f>IF(C1099="","",IF(OR(IF(AND(LEFT(F1099,1)="(",RIGHT(F1099,1)=")"),MID(F1099,2,LEN(F1099)-2),F1099)="",IF(AND(LEFT(F1099,1)="(",RIGHT(F1099,1)=")"),MID(F1099,2,LEN(F1099)-2),F1099)="-"),0,IFERROR(VALUE(IF(AND(LEFT(F1099,1)="(",RIGHT(F1099,1)=")"),MID(F1099,2,LEN(F1099)-2),F1099))*IF(AND(LEFT(F1099,1)="(",RIGHT(F1099,1)=")"),-1,1)*IF(E1099="Cr",Setup!$B$6,1),"ERR")))</f>
        <v/>
      </c>
      <c r="H1099" s="6">
        <f>IF(C1099="","",IF(ISNUMBER(G1099),1,0))</f>
        <v/>
      </c>
      <c r="I1099" s="6">
        <f>IF(C1099="","",IF(SUMPRODUCT(($C$12:$C$1511=C1099)*1)&gt;1,1,0))</f>
        <v/>
      </c>
      <c r="J1099" s="6">
        <f>IF(C1099="","",SUMPRODUCT((Mapping!$F$5:$F$504=Setup!$B$4&amp;"||"&amp;C1099)*ROW(Mapping!$F$5:$F$504)))</f>
        <v/>
      </c>
      <c r="K1099" s="6">
        <f>IF(C1099="","",IF(J1099=0,"UNMAPPED",LOWER(INDEX(Mapping!$D$1:$D$504,J1099))))</f>
        <v/>
      </c>
      <c r="L1099" s="6">
        <f>IF(K1099="mapped",TRIM(INDEX(Mapping!$C$1:$C$504,J1099)),"")</f>
        <v/>
      </c>
      <c r="M1099" s="6">
        <f>IF(C1099="","",IF(SUMPRODUCT(($C$12:C1099=C1099)*1)=1,1,0))</f>
        <v/>
      </c>
      <c r="N1099" s="6">
        <f>IF(AND(K1099="UNMAPPED",M1099=1),ROW(),"")</f>
        <v/>
      </c>
      <c r="O1099" s="6">
        <f>IF(AND(I1099=1,M1099=1),ROW(),"")</f>
        <v/>
      </c>
      <c r="P1099" s="6">
        <f>IF(AND(K1099="ignored",M1099=1),ROW(),"")</f>
        <v/>
      </c>
    </row>
    <row r="1100">
      <c r="A1100" s="8" t="n"/>
      <c r="B1100" s="8" t="n"/>
      <c r="C1100" s="6">
        <f>TRIM(A1100&amp;"")</f>
        <v/>
      </c>
      <c r="D1100" s="6">
        <f>IF(C1100="","",SUBSTITUTE(SUBSTITUTE(SUBSTITUTE(SUBSTITUTE(SUBSTITUTE(SUBSTITUTE(SUBSTITUTE(UPPER(TRIM(B1100&amp;"")),"₹",""),"RS.",""),"RS",""),"INR",""),"$",""),",","")," ",""))</f>
        <v/>
      </c>
      <c r="E1100" s="6">
        <f>IF(C1100="","",IF(RIGHT(D1100,2)="CR","Cr",IF(RIGHT(D1100,2)="DR","Dr","")))</f>
        <v/>
      </c>
      <c r="F1100" s="6">
        <f>IF(C1100="","",IF(E1100&lt;&gt;"",LEFT(D1100,LEN(D1100)-2),D1100))</f>
        <v/>
      </c>
      <c r="G1100" s="13">
        <f>IF(C1100="","",IF(OR(IF(AND(LEFT(F1100,1)="(",RIGHT(F1100,1)=")"),MID(F1100,2,LEN(F1100)-2),F1100)="",IF(AND(LEFT(F1100,1)="(",RIGHT(F1100,1)=")"),MID(F1100,2,LEN(F1100)-2),F1100)="-"),0,IFERROR(VALUE(IF(AND(LEFT(F1100,1)="(",RIGHT(F1100,1)=")"),MID(F1100,2,LEN(F1100)-2),F1100))*IF(AND(LEFT(F1100,1)="(",RIGHT(F1100,1)=")"),-1,1)*IF(E1100="Cr",Setup!$B$6,1),"ERR")))</f>
        <v/>
      </c>
      <c r="H1100" s="6">
        <f>IF(C1100="","",IF(ISNUMBER(G1100),1,0))</f>
        <v/>
      </c>
      <c r="I1100" s="6">
        <f>IF(C1100="","",IF(SUMPRODUCT(($C$12:$C$1511=C1100)*1)&gt;1,1,0))</f>
        <v/>
      </c>
      <c r="J1100" s="6">
        <f>IF(C1100="","",SUMPRODUCT((Mapping!$F$5:$F$504=Setup!$B$4&amp;"||"&amp;C1100)*ROW(Mapping!$F$5:$F$504)))</f>
        <v/>
      </c>
      <c r="K1100" s="6">
        <f>IF(C1100="","",IF(J1100=0,"UNMAPPED",LOWER(INDEX(Mapping!$D$1:$D$504,J1100))))</f>
        <v/>
      </c>
      <c r="L1100" s="6">
        <f>IF(K1100="mapped",TRIM(INDEX(Mapping!$C$1:$C$504,J1100)),"")</f>
        <v/>
      </c>
      <c r="M1100" s="6">
        <f>IF(C1100="","",IF(SUMPRODUCT(($C$12:C1100=C1100)*1)=1,1,0))</f>
        <v/>
      </c>
      <c r="N1100" s="6">
        <f>IF(AND(K1100="UNMAPPED",M1100=1),ROW(),"")</f>
        <v/>
      </c>
      <c r="O1100" s="6">
        <f>IF(AND(I1100=1,M1100=1),ROW(),"")</f>
        <v/>
      </c>
      <c r="P1100" s="6">
        <f>IF(AND(K1100="ignored",M1100=1),ROW(),"")</f>
        <v/>
      </c>
    </row>
    <row r="1101">
      <c r="A1101" s="8" t="n"/>
      <c r="B1101" s="8" t="n"/>
      <c r="C1101" s="6">
        <f>TRIM(A1101&amp;"")</f>
        <v/>
      </c>
      <c r="D1101" s="6">
        <f>IF(C1101="","",SUBSTITUTE(SUBSTITUTE(SUBSTITUTE(SUBSTITUTE(SUBSTITUTE(SUBSTITUTE(SUBSTITUTE(UPPER(TRIM(B1101&amp;"")),"₹",""),"RS.",""),"RS",""),"INR",""),"$",""),",","")," ",""))</f>
        <v/>
      </c>
      <c r="E1101" s="6">
        <f>IF(C1101="","",IF(RIGHT(D1101,2)="CR","Cr",IF(RIGHT(D1101,2)="DR","Dr","")))</f>
        <v/>
      </c>
      <c r="F1101" s="6">
        <f>IF(C1101="","",IF(E1101&lt;&gt;"",LEFT(D1101,LEN(D1101)-2),D1101))</f>
        <v/>
      </c>
      <c r="G1101" s="13">
        <f>IF(C1101="","",IF(OR(IF(AND(LEFT(F1101,1)="(",RIGHT(F1101,1)=")"),MID(F1101,2,LEN(F1101)-2),F1101)="",IF(AND(LEFT(F1101,1)="(",RIGHT(F1101,1)=")"),MID(F1101,2,LEN(F1101)-2),F1101)="-"),0,IFERROR(VALUE(IF(AND(LEFT(F1101,1)="(",RIGHT(F1101,1)=")"),MID(F1101,2,LEN(F1101)-2),F1101))*IF(AND(LEFT(F1101,1)="(",RIGHT(F1101,1)=")"),-1,1)*IF(E1101="Cr",Setup!$B$6,1),"ERR")))</f>
        <v/>
      </c>
      <c r="H1101" s="6">
        <f>IF(C1101="","",IF(ISNUMBER(G1101),1,0))</f>
        <v/>
      </c>
      <c r="I1101" s="6">
        <f>IF(C1101="","",IF(SUMPRODUCT(($C$12:$C$1511=C1101)*1)&gt;1,1,0))</f>
        <v/>
      </c>
      <c r="J1101" s="6">
        <f>IF(C1101="","",SUMPRODUCT((Mapping!$F$5:$F$504=Setup!$B$4&amp;"||"&amp;C1101)*ROW(Mapping!$F$5:$F$504)))</f>
        <v/>
      </c>
      <c r="K1101" s="6">
        <f>IF(C1101="","",IF(J1101=0,"UNMAPPED",LOWER(INDEX(Mapping!$D$1:$D$504,J1101))))</f>
        <v/>
      </c>
      <c r="L1101" s="6">
        <f>IF(K1101="mapped",TRIM(INDEX(Mapping!$C$1:$C$504,J1101)),"")</f>
        <v/>
      </c>
      <c r="M1101" s="6">
        <f>IF(C1101="","",IF(SUMPRODUCT(($C$12:C1101=C1101)*1)=1,1,0))</f>
        <v/>
      </c>
      <c r="N1101" s="6">
        <f>IF(AND(K1101="UNMAPPED",M1101=1),ROW(),"")</f>
        <v/>
      </c>
      <c r="O1101" s="6">
        <f>IF(AND(I1101=1,M1101=1),ROW(),"")</f>
        <v/>
      </c>
      <c r="P1101" s="6">
        <f>IF(AND(K1101="ignored",M1101=1),ROW(),"")</f>
        <v/>
      </c>
    </row>
    <row r="1102">
      <c r="A1102" s="8" t="n"/>
      <c r="B1102" s="8" t="n"/>
      <c r="C1102" s="6">
        <f>TRIM(A1102&amp;"")</f>
        <v/>
      </c>
      <c r="D1102" s="6">
        <f>IF(C1102="","",SUBSTITUTE(SUBSTITUTE(SUBSTITUTE(SUBSTITUTE(SUBSTITUTE(SUBSTITUTE(SUBSTITUTE(UPPER(TRIM(B1102&amp;"")),"₹",""),"RS.",""),"RS",""),"INR",""),"$",""),",","")," ",""))</f>
        <v/>
      </c>
      <c r="E1102" s="6">
        <f>IF(C1102="","",IF(RIGHT(D1102,2)="CR","Cr",IF(RIGHT(D1102,2)="DR","Dr","")))</f>
        <v/>
      </c>
      <c r="F1102" s="6">
        <f>IF(C1102="","",IF(E1102&lt;&gt;"",LEFT(D1102,LEN(D1102)-2),D1102))</f>
        <v/>
      </c>
      <c r="G1102" s="13">
        <f>IF(C1102="","",IF(OR(IF(AND(LEFT(F1102,1)="(",RIGHT(F1102,1)=")"),MID(F1102,2,LEN(F1102)-2),F1102)="",IF(AND(LEFT(F1102,1)="(",RIGHT(F1102,1)=")"),MID(F1102,2,LEN(F1102)-2),F1102)="-"),0,IFERROR(VALUE(IF(AND(LEFT(F1102,1)="(",RIGHT(F1102,1)=")"),MID(F1102,2,LEN(F1102)-2),F1102))*IF(AND(LEFT(F1102,1)="(",RIGHT(F1102,1)=")"),-1,1)*IF(E1102="Cr",Setup!$B$6,1),"ERR")))</f>
        <v/>
      </c>
      <c r="H1102" s="6">
        <f>IF(C1102="","",IF(ISNUMBER(G1102),1,0))</f>
        <v/>
      </c>
      <c r="I1102" s="6">
        <f>IF(C1102="","",IF(SUMPRODUCT(($C$12:$C$1511=C1102)*1)&gt;1,1,0))</f>
        <v/>
      </c>
      <c r="J1102" s="6">
        <f>IF(C1102="","",SUMPRODUCT((Mapping!$F$5:$F$504=Setup!$B$4&amp;"||"&amp;C1102)*ROW(Mapping!$F$5:$F$504)))</f>
        <v/>
      </c>
      <c r="K1102" s="6">
        <f>IF(C1102="","",IF(J1102=0,"UNMAPPED",LOWER(INDEX(Mapping!$D$1:$D$504,J1102))))</f>
        <v/>
      </c>
      <c r="L1102" s="6">
        <f>IF(K1102="mapped",TRIM(INDEX(Mapping!$C$1:$C$504,J1102)),"")</f>
        <v/>
      </c>
      <c r="M1102" s="6">
        <f>IF(C1102="","",IF(SUMPRODUCT(($C$12:C1102=C1102)*1)=1,1,0))</f>
        <v/>
      </c>
      <c r="N1102" s="6">
        <f>IF(AND(K1102="UNMAPPED",M1102=1),ROW(),"")</f>
        <v/>
      </c>
      <c r="O1102" s="6">
        <f>IF(AND(I1102=1,M1102=1),ROW(),"")</f>
        <v/>
      </c>
      <c r="P1102" s="6">
        <f>IF(AND(K1102="ignored",M1102=1),ROW(),"")</f>
        <v/>
      </c>
    </row>
    <row r="1103">
      <c r="A1103" s="8" t="n"/>
      <c r="B1103" s="8" t="n"/>
      <c r="C1103" s="6">
        <f>TRIM(A1103&amp;"")</f>
        <v/>
      </c>
      <c r="D1103" s="6">
        <f>IF(C1103="","",SUBSTITUTE(SUBSTITUTE(SUBSTITUTE(SUBSTITUTE(SUBSTITUTE(SUBSTITUTE(SUBSTITUTE(UPPER(TRIM(B1103&amp;"")),"₹",""),"RS.",""),"RS",""),"INR",""),"$",""),",","")," ",""))</f>
        <v/>
      </c>
      <c r="E1103" s="6">
        <f>IF(C1103="","",IF(RIGHT(D1103,2)="CR","Cr",IF(RIGHT(D1103,2)="DR","Dr","")))</f>
        <v/>
      </c>
      <c r="F1103" s="6">
        <f>IF(C1103="","",IF(E1103&lt;&gt;"",LEFT(D1103,LEN(D1103)-2),D1103))</f>
        <v/>
      </c>
      <c r="G1103" s="13">
        <f>IF(C1103="","",IF(OR(IF(AND(LEFT(F1103,1)="(",RIGHT(F1103,1)=")"),MID(F1103,2,LEN(F1103)-2),F1103)="",IF(AND(LEFT(F1103,1)="(",RIGHT(F1103,1)=")"),MID(F1103,2,LEN(F1103)-2),F1103)="-"),0,IFERROR(VALUE(IF(AND(LEFT(F1103,1)="(",RIGHT(F1103,1)=")"),MID(F1103,2,LEN(F1103)-2),F1103))*IF(AND(LEFT(F1103,1)="(",RIGHT(F1103,1)=")"),-1,1)*IF(E1103="Cr",Setup!$B$6,1),"ERR")))</f>
        <v/>
      </c>
      <c r="H1103" s="6">
        <f>IF(C1103="","",IF(ISNUMBER(G1103),1,0))</f>
        <v/>
      </c>
      <c r="I1103" s="6">
        <f>IF(C1103="","",IF(SUMPRODUCT(($C$12:$C$1511=C1103)*1)&gt;1,1,0))</f>
        <v/>
      </c>
      <c r="J1103" s="6">
        <f>IF(C1103="","",SUMPRODUCT((Mapping!$F$5:$F$504=Setup!$B$4&amp;"||"&amp;C1103)*ROW(Mapping!$F$5:$F$504)))</f>
        <v/>
      </c>
      <c r="K1103" s="6">
        <f>IF(C1103="","",IF(J1103=0,"UNMAPPED",LOWER(INDEX(Mapping!$D$1:$D$504,J1103))))</f>
        <v/>
      </c>
      <c r="L1103" s="6">
        <f>IF(K1103="mapped",TRIM(INDEX(Mapping!$C$1:$C$504,J1103)),"")</f>
        <v/>
      </c>
      <c r="M1103" s="6">
        <f>IF(C1103="","",IF(SUMPRODUCT(($C$12:C1103=C1103)*1)=1,1,0))</f>
        <v/>
      </c>
      <c r="N1103" s="6">
        <f>IF(AND(K1103="UNMAPPED",M1103=1),ROW(),"")</f>
        <v/>
      </c>
      <c r="O1103" s="6">
        <f>IF(AND(I1103=1,M1103=1),ROW(),"")</f>
        <v/>
      </c>
      <c r="P1103" s="6">
        <f>IF(AND(K1103="ignored",M1103=1),ROW(),"")</f>
        <v/>
      </c>
    </row>
    <row r="1104">
      <c r="A1104" s="8" t="n"/>
      <c r="B1104" s="8" t="n"/>
      <c r="C1104" s="6">
        <f>TRIM(A1104&amp;"")</f>
        <v/>
      </c>
      <c r="D1104" s="6">
        <f>IF(C1104="","",SUBSTITUTE(SUBSTITUTE(SUBSTITUTE(SUBSTITUTE(SUBSTITUTE(SUBSTITUTE(SUBSTITUTE(UPPER(TRIM(B1104&amp;"")),"₹",""),"RS.",""),"RS",""),"INR",""),"$",""),",","")," ",""))</f>
        <v/>
      </c>
      <c r="E1104" s="6">
        <f>IF(C1104="","",IF(RIGHT(D1104,2)="CR","Cr",IF(RIGHT(D1104,2)="DR","Dr","")))</f>
        <v/>
      </c>
      <c r="F1104" s="6">
        <f>IF(C1104="","",IF(E1104&lt;&gt;"",LEFT(D1104,LEN(D1104)-2),D1104))</f>
        <v/>
      </c>
      <c r="G1104" s="13">
        <f>IF(C1104="","",IF(OR(IF(AND(LEFT(F1104,1)="(",RIGHT(F1104,1)=")"),MID(F1104,2,LEN(F1104)-2),F1104)="",IF(AND(LEFT(F1104,1)="(",RIGHT(F1104,1)=")"),MID(F1104,2,LEN(F1104)-2),F1104)="-"),0,IFERROR(VALUE(IF(AND(LEFT(F1104,1)="(",RIGHT(F1104,1)=")"),MID(F1104,2,LEN(F1104)-2),F1104))*IF(AND(LEFT(F1104,1)="(",RIGHT(F1104,1)=")"),-1,1)*IF(E1104="Cr",Setup!$B$6,1),"ERR")))</f>
        <v/>
      </c>
      <c r="H1104" s="6">
        <f>IF(C1104="","",IF(ISNUMBER(G1104),1,0))</f>
        <v/>
      </c>
      <c r="I1104" s="6">
        <f>IF(C1104="","",IF(SUMPRODUCT(($C$12:$C$1511=C1104)*1)&gt;1,1,0))</f>
        <v/>
      </c>
      <c r="J1104" s="6">
        <f>IF(C1104="","",SUMPRODUCT((Mapping!$F$5:$F$504=Setup!$B$4&amp;"||"&amp;C1104)*ROW(Mapping!$F$5:$F$504)))</f>
        <v/>
      </c>
      <c r="K1104" s="6">
        <f>IF(C1104="","",IF(J1104=0,"UNMAPPED",LOWER(INDEX(Mapping!$D$1:$D$504,J1104))))</f>
        <v/>
      </c>
      <c r="L1104" s="6">
        <f>IF(K1104="mapped",TRIM(INDEX(Mapping!$C$1:$C$504,J1104)),"")</f>
        <v/>
      </c>
      <c r="M1104" s="6">
        <f>IF(C1104="","",IF(SUMPRODUCT(($C$12:C1104=C1104)*1)=1,1,0))</f>
        <v/>
      </c>
      <c r="N1104" s="6">
        <f>IF(AND(K1104="UNMAPPED",M1104=1),ROW(),"")</f>
        <v/>
      </c>
      <c r="O1104" s="6">
        <f>IF(AND(I1104=1,M1104=1),ROW(),"")</f>
        <v/>
      </c>
      <c r="P1104" s="6">
        <f>IF(AND(K1104="ignored",M1104=1),ROW(),"")</f>
        <v/>
      </c>
    </row>
    <row r="1105">
      <c r="A1105" s="8" t="n"/>
      <c r="B1105" s="8" t="n"/>
      <c r="C1105" s="6">
        <f>TRIM(A1105&amp;"")</f>
        <v/>
      </c>
      <c r="D1105" s="6">
        <f>IF(C1105="","",SUBSTITUTE(SUBSTITUTE(SUBSTITUTE(SUBSTITUTE(SUBSTITUTE(SUBSTITUTE(SUBSTITUTE(UPPER(TRIM(B1105&amp;"")),"₹",""),"RS.",""),"RS",""),"INR",""),"$",""),",","")," ",""))</f>
        <v/>
      </c>
      <c r="E1105" s="6">
        <f>IF(C1105="","",IF(RIGHT(D1105,2)="CR","Cr",IF(RIGHT(D1105,2)="DR","Dr","")))</f>
        <v/>
      </c>
      <c r="F1105" s="6">
        <f>IF(C1105="","",IF(E1105&lt;&gt;"",LEFT(D1105,LEN(D1105)-2),D1105))</f>
        <v/>
      </c>
      <c r="G1105" s="13">
        <f>IF(C1105="","",IF(OR(IF(AND(LEFT(F1105,1)="(",RIGHT(F1105,1)=")"),MID(F1105,2,LEN(F1105)-2),F1105)="",IF(AND(LEFT(F1105,1)="(",RIGHT(F1105,1)=")"),MID(F1105,2,LEN(F1105)-2),F1105)="-"),0,IFERROR(VALUE(IF(AND(LEFT(F1105,1)="(",RIGHT(F1105,1)=")"),MID(F1105,2,LEN(F1105)-2),F1105))*IF(AND(LEFT(F1105,1)="(",RIGHT(F1105,1)=")"),-1,1)*IF(E1105="Cr",Setup!$B$6,1),"ERR")))</f>
        <v/>
      </c>
      <c r="H1105" s="6">
        <f>IF(C1105="","",IF(ISNUMBER(G1105),1,0))</f>
        <v/>
      </c>
      <c r="I1105" s="6">
        <f>IF(C1105="","",IF(SUMPRODUCT(($C$12:$C$1511=C1105)*1)&gt;1,1,0))</f>
        <v/>
      </c>
      <c r="J1105" s="6">
        <f>IF(C1105="","",SUMPRODUCT((Mapping!$F$5:$F$504=Setup!$B$4&amp;"||"&amp;C1105)*ROW(Mapping!$F$5:$F$504)))</f>
        <v/>
      </c>
      <c r="K1105" s="6">
        <f>IF(C1105="","",IF(J1105=0,"UNMAPPED",LOWER(INDEX(Mapping!$D$1:$D$504,J1105))))</f>
        <v/>
      </c>
      <c r="L1105" s="6">
        <f>IF(K1105="mapped",TRIM(INDEX(Mapping!$C$1:$C$504,J1105)),"")</f>
        <v/>
      </c>
      <c r="M1105" s="6">
        <f>IF(C1105="","",IF(SUMPRODUCT(($C$12:C1105=C1105)*1)=1,1,0))</f>
        <v/>
      </c>
      <c r="N1105" s="6">
        <f>IF(AND(K1105="UNMAPPED",M1105=1),ROW(),"")</f>
        <v/>
      </c>
      <c r="O1105" s="6">
        <f>IF(AND(I1105=1,M1105=1),ROW(),"")</f>
        <v/>
      </c>
      <c r="P1105" s="6">
        <f>IF(AND(K1105="ignored",M1105=1),ROW(),"")</f>
        <v/>
      </c>
    </row>
    <row r="1106">
      <c r="A1106" s="8" t="n"/>
      <c r="B1106" s="8" t="n"/>
      <c r="C1106" s="6">
        <f>TRIM(A1106&amp;"")</f>
        <v/>
      </c>
      <c r="D1106" s="6">
        <f>IF(C1106="","",SUBSTITUTE(SUBSTITUTE(SUBSTITUTE(SUBSTITUTE(SUBSTITUTE(SUBSTITUTE(SUBSTITUTE(UPPER(TRIM(B1106&amp;"")),"₹",""),"RS.",""),"RS",""),"INR",""),"$",""),",","")," ",""))</f>
        <v/>
      </c>
      <c r="E1106" s="6">
        <f>IF(C1106="","",IF(RIGHT(D1106,2)="CR","Cr",IF(RIGHT(D1106,2)="DR","Dr","")))</f>
        <v/>
      </c>
      <c r="F1106" s="6">
        <f>IF(C1106="","",IF(E1106&lt;&gt;"",LEFT(D1106,LEN(D1106)-2),D1106))</f>
        <v/>
      </c>
      <c r="G1106" s="13">
        <f>IF(C1106="","",IF(OR(IF(AND(LEFT(F1106,1)="(",RIGHT(F1106,1)=")"),MID(F1106,2,LEN(F1106)-2),F1106)="",IF(AND(LEFT(F1106,1)="(",RIGHT(F1106,1)=")"),MID(F1106,2,LEN(F1106)-2),F1106)="-"),0,IFERROR(VALUE(IF(AND(LEFT(F1106,1)="(",RIGHT(F1106,1)=")"),MID(F1106,2,LEN(F1106)-2),F1106))*IF(AND(LEFT(F1106,1)="(",RIGHT(F1106,1)=")"),-1,1)*IF(E1106="Cr",Setup!$B$6,1),"ERR")))</f>
        <v/>
      </c>
      <c r="H1106" s="6">
        <f>IF(C1106="","",IF(ISNUMBER(G1106),1,0))</f>
        <v/>
      </c>
      <c r="I1106" s="6">
        <f>IF(C1106="","",IF(SUMPRODUCT(($C$12:$C$1511=C1106)*1)&gt;1,1,0))</f>
        <v/>
      </c>
      <c r="J1106" s="6">
        <f>IF(C1106="","",SUMPRODUCT((Mapping!$F$5:$F$504=Setup!$B$4&amp;"||"&amp;C1106)*ROW(Mapping!$F$5:$F$504)))</f>
        <v/>
      </c>
      <c r="K1106" s="6">
        <f>IF(C1106="","",IF(J1106=0,"UNMAPPED",LOWER(INDEX(Mapping!$D$1:$D$504,J1106))))</f>
        <v/>
      </c>
      <c r="L1106" s="6">
        <f>IF(K1106="mapped",TRIM(INDEX(Mapping!$C$1:$C$504,J1106)),"")</f>
        <v/>
      </c>
      <c r="M1106" s="6">
        <f>IF(C1106="","",IF(SUMPRODUCT(($C$12:C1106=C1106)*1)=1,1,0))</f>
        <v/>
      </c>
      <c r="N1106" s="6">
        <f>IF(AND(K1106="UNMAPPED",M1106=1),ROW(),"")</f>
        <v/>
      </c>
      <c r="O1106" s="6">
        <f>IF(AND(I1106=1,M1106=1),ROW(),"")</f>
        <v/>
      </c>
      <c r="P1106" s="6">
        <f>IF(AND(K1106="ignored",M1106=1),ROW(),"")</f>
        <v/>
      </c>
    </row>
    <row r="1107">
      <c r="A1107" s="8" t="n"/>
      <c r="B1107" s="8" t="n"/>
      <c r="C1107" s="6">
        <f>TRIM(A1107&amp;"")</f>
        <v/>
      </c>
      <c r="D1107" s="6">
        <f>IF(C1107="","",SUBSTITUTE(SUBSTITUTE(SUBSTITUTE(SUBSTITUTE(SUBSTITUTE(SUBSTITUTE(SUBSTITUTE(UPPER(TRIM(B1107&amp;"")),"₹",""),"RS.",""),"RS",""),"INR",""),"$",""),",","")," ",""))</f>
        <v/>
      </c>
      <c r="E1107" s="6">
        <f>IF(C1107="","",IF(RIGHT(D1107,2)="CR","Cr",IF(RIGHT(D1107,2)="DR","Dr","")))</f>
        <v/>
      </c>
      <c r="F1107" s="6">
        <f>IF(C1107="","",IF(E1107&lt;&gt;"",LEFT(D1107,LEN(D1107)-2),D1107))</f>
        <v/>
      </c>
      <c r="G1107" s="13">
        <f>IF(C1107="","",IF(OR(IF(AND(LEFT(F1107,1)="(",RIGHT(F1107,1)=")"),MID(F1107,2,LEN(F1107)-2),F1107)="",IF(AND(LEFT(F1107,1)="(",RIGHT(F1107,1)=")"),MID(F1107,2,LEN(F1107)-2),F1107)="-"),0,IFERROR(VALUE(IF(AND(LEFT(F1107,1)="(",RIGHT(F1107,1)=")"),MID(F1107,2,LEN(F1107)-2),F1107))*IF(AND(LEFT(F1107,1)="(",RIGHT(F1107,1)=")"),-1,1)*IF(E1107="Cr",Setup!$B$6,1),"ERR")))</f>
        <v/>
      </c>
      <c r="H1107" s="6">
        <f>IF(C1107="","",IF(ISNUMBER(G1107),1,0))</f>
        <v/>
      </c>
      <c r="I1107" s="6">
        <f>IF(C1107="","",IF(SUMPRODUCT(($C$12:$C$1511=C1107)*1)&gt;1,1,0))</f>
        <v/>
      </c>
      <c r="J1107" s="6">
        <f>IF(C1107="","",SUMPRODUCT((Mapping!$F$5:$F$504=Setup!$B$4&amp;"||"&amp;C1107)*ROW(Mapping!$F$5:$F$504)))</f>
        <v/>
      </c>
      <c r="K1107" s="6">
        <f>IF(C1107="","",IF(J1107=0,"UNMAPPED",LOWER(INDEX(Mapping!$D$1:$D$504,J1107))))</f>
        <v/>
      </c>
      <c r="L1107" s="6">
        <f>IF(K1107="mapped",TRIM(INDEX(Mapping!$C$1:$C$504,J1107)),"")</f>
        <v/>
      </c>
      <c r="M1107" s="6">
        <f>IF(C1107="","",IF(SUMPRODUCT(($C$12:C1107=C1107)*1)=1,1,0))</f>
        <v/>
      </c>
      <c r="N1107" s="6">
        <f>IF(AND(K1107="UNMAPPED",M1107=1),ROW(),"")</f>
        <v/>
      </c>
      <c r="O1107" s="6">
        <f>IF(AND(I1107=1,M1107=1),ROW(),"")</f>
        <v/>
      </c>
      <c r="P1107" s="6">
        <f>IF(AND(K1107="ignored",M1107=1),ROW(),"")</f>
        <v/>
      </c>
    </row>
    <row r="1108">
      <c r="A1108" s="8" t="n"/>
      <c r="B1108" s="8" t="n"/>
      <c r="C1108" s="6">
        <f>TRIM(A1108&amp;"")</f>
        <v/>
      </c>
      <c r="D1108" s="6">
        <f>IF(C1108="","",SUBSTITUTE(SUBSTITUTE(SUBSTITUTE(SUBSTITUTE(SUBSTITUTE(SUBSTITUTE(SUBSTITUTE(UPPER(TRIM(B1108&amp;"")),"₹",""),"RS.",""),"RS",""),"INR",""),"$",""),",","")," ",""))</f>
        <v/>
      </c>
      <c r="E1108" s="6">
        <f>IF(C1108="","",IF(RIGHT(D1108,2)="CR","Cr",IF(RIGHT(D1108,2)="DR","Dr","")))</f>
        <v/>
      </c>
      <c r="F1108" s="6">
        <f>IF(C1108="","",IF(E1108&lt;&gt;"",LEFT(D1108,LEN(D1108)-2),D1108))</f>
        <v/>
      </c>
      <c r="G1108" s="13">
        <f>IF(C1108="","",IF(OR(IF(AND(LEFT(F1108,1)="(",RIGHT(F1108,1)=")"),MID(F1108,2,LEN(F1108)-2),F1108)="",IF(AND(LEFT(F1108,1)="(",RIGHT(F1108,1)=")"),MID(F1108,2,LEN(F1108)-2),F1108)="-"),0,IFERROR(VALUE(IF(AND(LEFT(F1108,1)="(",RIGHT(F1108,1)=")"),MID(F1108,2,LEN(F1108)-2),F1108))*IF(AND(LEFT(F1108,1)="(",RIGHT(F1108,1)=")"),-1,1)*IF(E1108="Cr",Setup!$B$6,1),"ERR")))</f>
        <v/>
      </c>
      <c r="H1108" s="6">
        <f>IF(C1108="","",IF(ISNUMBER(G1108),1,0))</f>
        <v/>
      </c>
      <c r="I1108" s="6">
        <f>IF(C1108="","",IF(SUMPRODUCT(($C$12:$C$1511=C1108)*1)&gt;1,1,0))</f>
        <v/>
      </c>
      <c r="J1108" s="6">
        <f>IF(C1108="","",SUMPRODUCT((Mapping!$F$5:$F$504=Setup!$B$4&amp;"||"&amp;C1108)*ROW(Mapping!$F$5:$F$504)))</f>
        <v/>
      </c>
      <c r="K1108" s="6">
        <f>IF(C1108="","",IF(J1108=0,"UNMAPPED",LOWER(INDEX(Mapping!$D$1:$D$504,J1108))))</f>
        <v/>
      </c>
      <c r="L1108" s="6">
        <f>IF(K1108="mapped",TRIM(INDEX(Mapping!$C$1:$C$504,J1108)),"")</f>
        <v/>
      </c>
      <c r="M1108" s="6">
        <f>IF(C1108="","",IF(SUMPRODUCT(($C$12:C1108=C1108)*1)=1,1,0))</f>
        <v/>
      </c>
      <c r="N1108" s="6">
        <f>IF(AND(K1108="UNMAPPED",M1108=1),ROW(),"")</f>
        <v/>
      </c>
      <c r="O1108" s="6">
        <f>IF(AND(I1108=1,M1108=1),ROW(),"")</f>
        <v/>
      </c>
      <c r="P1108" s="6">
        <f>IF(AND(K1108="ignored",M1108=1),ROW(),"")</f>
        <v/>
      </c>
    </row>
    <row r="1109">
      <c r="A1109" s="8" t="n"/>
      <c r="B1109" s="8" t="n"/>
      <c r="C1109" s="6">
        <f>TRIM(A1109&amp;"")</f>
        <v/>
      </c>
      <c r="D1109" s="6">
        <f>IF(C1109="","",SUBSTITUTE(SUBSTITUTE(SUBSTITUTE(SUBSTITUTE(SUBSTITUTE(SUBSTITUTE(SUBSTITUTE(UPPER(TRIM(B1109&amp;"")),"₹",""),"RS.",""),"RS",""),"INR",""),"$",""),",","")," ",""))</f>
        <v/>
      </c>
      <c r="E1109" s="6">
        <f>IF(C1109="","",IF(RIGHT(D1109,2)="CR","Cr",IF(RIGHT(D1109,2)="DR","Dr","")))</f>
        <v/>
      </c>
      <c r="F1109" s="6">
        <f>IF(C1109="","",IF(E1109&lt;&gt;"",LEFT(D1109,LEN(D1109)-2),D1109))</f>
        <v/>
      </c>
      <c r="G1109" s="13">
        <f>IF(C1109="","",IF(OR(IF(AND(LEFT(F1109,1)="(",RIGHT(F1109,1)=")"),MID(F1109,2,LEN(F1109)-2),F1109)="",IF(AND(LEFT(F1109,1)="(",RIGHT(F1109,1)=")"),MID(F1109,2,LEN(F1109)-2),F1109)="-"),0,IFERROR(VALUE(IF(AND(LEFT(F1109,1)="(",RIGHT(F1109,1)=")"),MID(F1109,2,LEN(F1109)-2),F1109))*IF(AND(LEFT(F1109,1)="(",RIGHT(F1109,1)=")"),-1,1)*IF(E1109="Cr",Setup!$B$6,1),"ERR")))</f>
        <v/>
      </c>
      <c r="H1109" s="6">
        <f>IF(C1109="","",IF(ISNUMBER(G1109),1,0))</f>
        <v/>
      </c>
      <c r="I1109" s="6">
        <f>IF(C1109="","",IF(SUMPRODUCT(($C$12:$C$1511=C1109)*1)&gt;1,1,0))</f>
        <v/>
      </c>
      <c r="J1109" s="6">
        <f>IF(C1109="","",SUMPRODUCT((Mapping!$F$5:$F$504=Setup!$B$4&amp;"||"&amp;C1109)*ROW(Mapping!$F$5:$F$504)))</f>
        <v/>
      </c>
      <c r="K1109" s="6">
        <f>IF(C1109="","",IF(J1109=0,"UNMAPPED",LOWER(INDEX(Mapping!$D$1:$D$504,J1109))))</f>
        <v/>
      </c>
      <c r="L1109" s="6">
        <f>IF(K1109="mapped",TRIM(INDEX(Mapping!$C$1:$C$504,J1109)),"")</f>
        <v/>
      </c>
      <c r="M1109" s="6">
        <f>IF(C1109="","",IF(SUMPRODUCT(($C$12:C1109=C1109)*1)=1,1,0))</f>
        <v/>
      </c>
      <c r="N1109" s="6">
        <f>IF(AND(K1109="UNMAPPED",M1109=1),ROW(),"")</f>
        <v/>
      </c>
      <c r="O1109" s="6">
        <f>IF(AND(I1109=1,M1109=1),ROW(),"")</f>
        <v/>
      </c>
      <c r="P1109" s="6">
        <f>IF(AND(K1109="ignored",M1109=1),ROW(),"")</f>
        <v/>
      </c>
    </row>
    <row r="1110">
      <c r="A1110" s="8" t="n"/>
      <c r="B1110" s="8" t="n"/>
      <c r="C1110" s="6">
        <f>TRIM(A1110&amp;"")</f>
        <v/>
      </c>
      <c r="D1110" s="6">
        <f>IF(C1110="","",SUBSTITUTE(SUBSTITUTE(SUBSTITUTE(SUBSTITUTE(SUBSTITUTE(SUBSTITUTE(SUBSTITUTE(UPPER(TRIM(B1110&amp;"")),"₹",""),"RS.",""),"RS",""),"INR",""),"$",""),",","")," ",""))</f>
        <v/>
      </c>
      <c r="E1110" s="6">
        <f>IF(C1110="","",IF(RIGHT(D1110,2)="CR","Cr",IF(RIGHT(D1110,2)="DR","Dr","")))</f>
        <v/>
      </c>
      <c r="F1110" s="6">
        <f>IF(C1110="","",IF(E1110&lt;&gt;"",LEFT(D1110,LEN(D1110)-2),D1110))</f>
        <v/>
      </c>
      <c r="G1110" s="13">
        <f>IF(C1110="","",IF(OR(IF(AND(LEFT(F1110,1)="(",RIGHT(F1110,1)=")"),MID(F1110,2,LEN(F1110)-2),F1110)="",IF(AND(LEFT(F1110,1)="(",RIGHT(F1110,1)=")"),MID(F1110,2,LEN(F1110)-2),F1110)="-"),0,IFERROR(VALUE(IF(AND(LEFT(F1110,1)="(",RIGHT(F1110,1)=")"),MID(F1110,2,LEN(F1110)-2),F1110))*IF(AND(LEFT(F1110,1)="(",RIGHT(F1110,1)=")"),-1,1)*IF(E1110="Cr",Setup!$B$6,1),"ERR")))</f>
        <v/>
      </c>
      <c r="H1110" s="6">
        <f>IF(C1110="","",IF(ISNUMBER(G1110),1,0))</f>
        <v/>
      </c>
      <c r="I1110" s="6">
        <f>IF(C1110="","",IF(SUMPRODUCT(($C$12:$C$1511=C1110)*1)&gt;1,1,0))</f>
        <v/>
      </c>
      <c r="J1110" s="6">
        <f>IF(C1110="","",SUMPRODUCT((Mapping!$F$5:$F$504=Setup!$B$4&amp;"||"&amp;C1110)*ROW(Mapping!$F$5:$F$504)))</f>
        <v/>
      </c>
      <c r="K1110" s="6">
        <f>IF(C1110="","",IF(J1110=0,"UNMAPPED",LOWER(INDEX(Mapping!$D$1:$D$504,J1110))))</f>
        <v/>
      </c>
      <c r="L1110" s="6">
        <f>IF(K1110="mapped",TRIM(INDEX(Mapping!$C$1:$C$504,J1110)),"")</f>
        <v/>
      </c>
      <c r="M1110" s="6">
        <f>IF(C1110="","",IF(SUMPRODUCT(($C$12:C1110=C1110)*1)=1,1,0))</f>
        <v/>
      </c>
      <c r="N1110" s="6">
        <f>IF(AND(K1110="UNMAPPED",M1110=1),ROW(),"")</f>
        <v/>
      </c>
      <c r="O1110" s="6">
        <f>IF(AND(I1110=1,M1110=1),ROW(),"")</f>
        <v/>
      </c>
      <c r="P1110" s="6">
        <f>IF(AND(K1110="ignored",M1110=1),ROW(),"")</f>
        <v/>
      </c>
    </row>
    <row r="1111">
      <c r="A1111" s="8" t="n"/>
      <c r="B1111" s="8" t="n"/>
      <c r="C1111" s="6">
        <f>TRIM(A1111&amp;"")</f>
        <v/>
      </c>
      <c r="D1111" s="6">
        <f>IF(C1111="","",SUBSTITUTE(SUBSTITUTE(SUBSTITUTE(SUBSTITUTE(SUBSTITUTE(SUBSTITUTE(SUBSTITUTE(UPPER(TRIM(B1111&amp;"")),"₹",""),"RS.",""),"RS",""),"INR",""),"$",""),",","")," ",""))</f>
        <v/>
      </c>
      <c r="E1111" s="6">
        <f>IF(C1111="","",IF(RIGHT(D1111,2)="CR","Cr",IF(RIGHT(D1111,2)="DR","Dr","")))</f>
        <v/>
      </c>
      <c r="F1111" s="6">
        <f>IF(C1111="","",IF(E1111&lt;&gt;"",LEFT(D1111,LEN(D1111)-2),D1111))</f>
        <v/>
      </c>
      <c r="G1111" s="13">
        <f>IF(C1111="","",IF(OR(IF(AND(LEFT(F1111,1)="(",RIGHT(F1111,1)=")"),MID(F1111,2,LEN(F1111)-2),F1111)="",IF(AND(LEFT(F1111,1)="(",RIGHT(F1111,1)=")"),MID(F1111,2,LEN(F1111)-2),F1111)="-"),0,IFERROR(VALUE(IF(AND(LEFT(F1111,1)="(",RIGHT(F1111,1)=")"),MID(F1111,2,LEN(F1111)-2),F1111))*IF(AND(LEFT(F1111,1)="(",RIGHT(F1111,1)=")"),-1,1)*IF(E1111="Cr",Setup!$B$6,1),"ERR")))</f>
        <v/>
      </c>
      <c r="H1111" s="6">
        <f>IF(C1111="","",IF(ISNUMBER(G1111),1,0))</f>
        <v/>
      </c>
      <c r="I1111" s="6">
        <f>IF(C1111="","",IF(SUMPRODUCT(($C$12:$C$1511=C1111)*1)&gt;1,1,0))</f>
        <v/>
      </c>
      <c r="J1111" s="6">
        <f>IF(C1111="","",SUMPRODUCT((Mapping!$F$5:$F$504=Setup!$B$4&amp;"||"&amp;C1111)*ROW(Mapping!$F$5:$F$504)))</f>
        <v/>
      </c>
      <c r="K1111" s="6">
        <f>IF(C1111="","",IF(J1111=0,"UNMAPPED",LOWER(INDEX(Mapping!$D$1:$D$504,J1111))))</f>
        <v/>
      </c>
      <c r="L1111" s="6">
        <f>IF(K1111="mapped",TRIM(INDEX(Mapping!$C$1:$C$504,J1111)),"")</f>
        <v/>
      </c>
      <c r="M1111" s="6">
        <f>IF(C1111="","",IF(SUMPRODUCT(($C$12:C1111=C1111)*1)=1,1,0))</f>
        <v/>
      </c>
      <c r="N1111" s="6">
        <f>IF(AND(K1111="UNMAPPED",M1111=1),ROW(),"")</f>
        <v/>
      </c>
      <c r="O1111" s="6">
        <f>IF(AND(I1111=1,M1111=1),ROW(),"")</f>
        <v/>
      </c>
      <c r="P1111" s="6">
        <f>IF(AND(K1111="ignored",M1111=1),ROW(),"")</f>
        <v/>
      </c>
    </row>
    <row r="1112">
      <c r="A1112" s="8" t="n"/>
      <c r="B1112" s="8" t="n"/>
      <c r="C1112" s="6">
        <f>TRIM(A1112&amp;"")</f>
        <v/>
      </c>
      <c r="D1112" s="6">
        <f>IF(C1112="","",SUBSTITUTE(SUBSTITUTE(SUBSTITUTE(SUBSTITUTE(SUBSTITUTE(SUBSTITUTE(SUBSTITUTE(UPPER(TRIM(B1112&amp;"")),"₹",""),"RS.",""),"RS",""),"INR",""),"$",""),",","")," ",""))</f>
        <v/>
      </c>
      <c r="E1112" s="6">
        <f>IF(C1112="","",IF(RIGHT(D1112,2)="CR","Cr",IF(RIGHT(D1112,2)="DR","Dr","")))</f>
        <v/>
      </c>
      <c r="F1112" s="6">
        <f>IF(C1112="","",IF(E1112&lt;&gt;"",LEFT(D1112,LEN(D1112)-2),D1112))</f>
        <v/>
      </c>
      <c r="G1112" s="13">
        <f>IF(C1112="","",IF(OR(IF(AND(LEFT(F1112,1)="(",RIGHT(F1112,1)=")"),MID(F1112,2,LEN(F1112)-2),F1112)="",IF(AND(LEFT(F1112,1)="(",RIGHT(F1112,1)=")"),MID(F1112,2,LEN(F1112)-2),F1112)="-"),0,IFERROR(VALUE(IF(AND(LEFT(F1112,1)="(",RIGHT(F1112,1)=")"),MID(F1112,2,LEN(F1112)-2),F1112))*IF(AND(LEFT(F1112,1)="(",RIGHT(F1112,1)=")"),-1,1)*IF(E1112="Cr",Setup!$B$6,1),"ERR")))</f>
        <v/>
      </c>
      <c r="H1112" s="6">
        <f>IF(C1112="","",IF(ISNUMBER(G1112),1,0))</f>
        <v/>
      </c>
      <c r="I1112" s="6">
        <f>IF(C1112="","",IF(SUMPRODUCT(($C$12:$C$1511=C1112)*1)&gt;1,1,0))</f>
        <v/>
      </c>
      <c r="J1112" s="6">
        <f>IF(C1112="","",SUMPRODUCT((Mapping!$F$5:$F$504=Setup!$B$4&amp;"||"&amp;C1112)*ROW(Mapping!$F$5:$F$504)))</f>
        <v/>
      </c>
      <c r="K1112" s="6">
        <f>IF(C1112="","",IF(J1112=0,"UNMAPPED",LOWER(INDEX(Mapping!$D$1:$D$504,J1112))))</f>
        <v/>
      </c>
      <c r="L1112" s="6">
        <f>IF(K1112="mapped",TRIM(INDEX(Mapping!$C$1:$C$504,J1112)),"")</f>
        <v/>
      </c>
      <c r="M1112" s="6">
        <f>IF(C1112="","",IF(SUMPRODUCT(($C$12:C1112=C1112)*1)=1,1,0))</f>
        <v/>
      </c>
      <c r="N1112" s="6">
        <f>IF(AND(K1112="UNMAPPED",M1112=1),ROW(),"")</f>
        <v/>
      </c>
      <c r="O1112" s="6">
        <f>IF(AND(I1112=1,M1112=1),ROW(),"")</f>
        <v/>
      </c>
      <c r="P1112" s="6">
        <f>IF(AND(K1112="ignored",M1112=1),ROW(),"")</f>
        <v/>
      </c>
    </row>
    <row r="1113">
      <c r="A1113" s="8" t="n"/>
      <c r="B1113" s="8" t="n"/>
      <c r="C1113" s="6">
        <f>TRIM(A1113&amp;"")</f>
        <v/>
      </c>
      <c r="D1113" s="6">
        <f>IF(C1113="","",SUBSTITUTE(SUBSTITUTE(SUBSTITUTE(SUBSTITUTE(SUBSTITUTE(SUBSTITUTE(SUBSTITUTE(UPPER(TRIM(B1113&amp;"")),"₹",""),"RS.",""),"RS",""),"INR",""),"$",""),",","")," ",""))</f>
        <v/>
      </c>
      <c r="E1113" s="6">
        <f>IF(C1113="","",IF(RIGHT(D1113,2)="CR","Cr",IF(RIGHT(D1113,2)="DR","Dr","")))</f>
        <v/>
      </c>
      <c r="F1113" s="6">
        <f>IF(C1113="","",IF(E1113&lt;&gt;"",LEFT(D1113,LEN(D1113)-2),D1113))</f>
        <v/>
      </c>
      <c r="G1113" s="13">
        <f>IF(C1113="","",IF(OR(IF(AND(LEFT(F1113,1)="(",RIGHT(F1113,1)=")"),MID(F1113,2,LEN(F1113)-2),F1113)="",IF(AND(LEFT(F1113,1)="(",RIGHT(F1113,1)=")"),MID(F1113,2,LEN(F1113)-2),F1113)="-"),0,IFERROR(VALUE(IF(AND(LEFT(F1113,1)="(",RIGHT(F1113,1)=")"),MID(F1113,2,LEN(F1113)-2),F1113))*IF(AND(LEFT(F1113,1)="(",RIGHT(F1113,1)=")"),-1,1)*IF(E1113="Cr",Setup!$B$6,1),"ERR")))</f>
        <v/>
      </c>
      <c r="H1113" s="6">
        <f>IF(C1113="","",IF(ISNUMBER(G1113),1,0))</f>
        <v/>
      </c>
      <c r="I1113" s="6">
        <f>IF(C1113="","",IF(SUMPRODUCT(($C$12:$C$1511=C1113)*1)&gt;1,1,0))</f>
        <v/>
      </c>
      <c r="J1113" s="6">
        <f>IF(C1113="","",SUMPRODUCT((Mapping!$F$5:$F$504=Setup!$B$4&amp;"||"&amp;C1113)*ROW(Mapping!$F$5:$F$504)))</f>
        <v/>
      </c>
      <c r="K1113" s="6">
        <f>IF(C1113="","",IF(J1113=0,"UNMAPPED",LOWER(INDEX(Mapping!$D$1:$D$504,J1113))))</f>
        <v/>
      </c>
      <c r="L1113" s="6">
        <f>IF(K1113="mapped",TRIM(INDEX(Mapping!$C$1:$C$504,J1113)),"")</f>
        <v/>
      </c>
      <c r="M1113" s="6">
        <f>IF(C1113="","",IF(SUMPRODUCT(($C$12:C1113=C1113)*1)=1,1,0))</f>
        <v/>
      </c>
      <c r="N1113" s="6">
        <f>IF(AND(K1113="UNMAPPED",M1113=1),ROW(),"")</f>
        <v/>
      </c>
      <c r="O1113" s="6">
        <f>IF(AND(I1113=1,M1113=1),ROW(),"")</f>
        <v/>
      </c>
      <c r="P1113" s="6">
        <f>IF(AND(K1113="ignored",M1113=1),ROW(),"")</f>
        <v/>
      </c>
    </row>
    <row r="1114">
      <c r="A1114" s="8" t="n"/>
      <c r="B1114" s="8" t="n"/>
      <c r="C1114" s="6">
        <f>TRIM(A1114&amp;"")</f>
        <v/>
      </c>
      <c r="D1114" s="6">
        <f>IF(C1114="","",SUBSTITUTE(SUBSTITUTE(SUBSTITUTE(SUBSTITUTE(SUBSTITUTE(SUBSTITUTE(SUBSTITUTE(UPPER(TRIM(B1114&amp;"")),"₹",""),"RS.",""),"RS",""),"INR",""),"$",""),",","")," ",""))</f>
        <v/>
      </c>
      <c r="E1114" s="6">
        <f>IF(C1114="","",IF(RIGHT(D1114,2)="CR","Cr",IF(RIGHT(D1114,2)="DR","Dr","")))</f>
        <v/>
      </c>
      <c r="F1114" s="6">
        <f>IF(C1114="","",IF(E1114&lt;&gt;"",LEFT(D1114,LEN(D1114)-2),D1114))</f>
        <v/>
      </c>
      <c r="G1114" s="13">
        <f>IF(C1114="","",IF(OR(IF(AND(LEFT(F1114,1)="(",RIGHT(F1114,1)=")"),MID(F1114,2,LEN(F1114)-2),F1114)="",IF(AND(LEFT(F1114,1)="(",RIGHT(F1114,1)=")"),MID(F1114,2,LEN(F1114)-2),F1114)="-"),0,IFERROR(VALUE(IF(AND(LEFT(F1114,1)="(",RIGHT(F1114,1)=")"),MID(F1114,2,LEN(F1114)-2),F1114))*IF(AND(LEFT(F1114,1)="(",RIGHT(F1114,1)=")"),-1,1)*IF(E1114="Cr",Setup!$B$6,1),"ERR")))</f>
        <v/>
      </c>
      <c r="H1114" s="6">
        <f>IF(C1114="","",IF(ISNUMBER(G1114),1,0))</f>
        <v/>
      </c>
      <c r="I1114" s="6">
        <f>IF(C1114="","",IF(SUMPRODUCT(($C$12:$C$1511=C1114)*1)&gt;1,1,0))</f>
        <v/>
      </c>
      <c r="J1114" s="6">
        <f>IF(C1114="","",SUMPRODUCT((Mapping!$F$5:$F$504=Setup!$B$4&amp;"||"&amp;C1114)*ROW(Mapping!$F$5:$F$504)))</f>
        <v/>
      </c>
      <c r="K1114" s="6">
        <f>IF(C1114="","",IF(J1114=0,"UNMAPPED",LOWER(INDEX(Mapping!$D$1:$D$504,J1114))))</f>
        <v/>
      </c>
      <c r="L1114" s="6">
        <f>IF(K1114="mapped",TRIM(INDEX(Mapping!$C$1:$C$504,J1114)),"")</f>
        <v/>
      </c>
      <c r="M1114" s="6">
        <f>IF(C1114="","",IF(SUMPRODUCT(($C$12:C1114=C1114)*1)=1,1,0))</f>
        <v/>
      </c>
      <c r="N1114" s="6">
        <f>IF(AND(K1114="UNMAPPED",M1114=1),ROW(),"")</f>
        <v/>
      </c>
      <c r="O1114" s="6">
        <f>IF(AND(I1114=1,M1114=1),ROW(),"")</f>
        <v/>
      </c>
      <c r="P1114" s="6">
        <f>IF(AND(K1114="ignored",M1114=1),ROW(),"")</f>
        <v/>
      </c>
    </row>
    <row r="1115">
      <c r="A1115" s="8" t="n"/>
      <c r="B1115" s="8" t="n"/>
      <c r="C1115" s="6">
        <f>TRIM(A1115&amp;"")</f>
        <v/>
      </c>
      <c r="D1115" s="6">
        <f>IF(C1115="","",SUBSTITUTE(SUBSTITUTE(SUBSTITUTE(SUBSTITUTE(SUBSTITUTE(SUBSTITUTE(SUBSTITUTE(UPPER(TRIM(B1115&amp;"")),"₹",""),"RS.",""),"RS",""),"INR",""),"$",""),",","")," ",""))</f>
        <v/>
      </c>
      <c r="E1115" s="6">
        <f>IF(C1115="","",IF(RIGHT(D1115,2)="CR","Cr",IF(RIGHT(D1115,2)="DR","Dr","")))</f>
        <v/>
      </c>
      <c r="F1115" s="6">
        <f>IF(C1115="","",IF(E1115&lt;&gt;"",LEFT(D1115,LEN(D1115)-2),D1115))</f>
        <v/>
      </c>
      <c r="G1115" s="13">
        <f>IF(C1115="","",IF(OR(IF(AND(LEFT(F1115,1)="(",RIGHT(F1115,1)=")"),MID(F1115,2,LEN(F1115)-2),F1115)="",IF(AND(LEFT(F1115,1)="(",RIGHT(F1115,1)=")"),MID(F1115,2,LEN(F1115)-2),F1115)="-"),0,IFERROR(VALUE(IF(AND(LEFT(F1115,1)="(",RIGHT(F1115,1)=")"),MID(F1115,2,LEN(F1115)-2),F1115))*IF(AND(LEFT(F1115,1)="(",RIGHT(F1115,1)=")"),-1,1)*IF(E1115="Cr",Setup!$B$6,1),"ERR")))</f>
        <v/>
      </c>
      <c r="H1115" s="6">
        <f>IF(C1115="","",IF(ISNUMBER(G1115),1,0))</f>
        <v/>
      </c>
      <c r="I1115" s="6">
        <f>IF(C1115="","",IF(SUMPRODUCT(($C$12:$C$1511=C1115)*1)&gt;1,1,0))</f>
        <v/>
      </c>
      <c r="J1115" s="6">
        <f>IF(C1115="","",SUMPRODUCT((Mapping!$F$5:$F$504=Setup!$B$4&amp;"||"&amp;C1115)*ROW(Mapping!$F$5:$F$504)))</f>
        <v/>
      </c>
      <c r="K1115" s="6">
        <f>IF(C1115="","",IF(J1115=0,"UNMAPPED",LOWER(INDEX(Mapping!$D$1:$D$504,J1115))))</f>
        <v/>
      </c>
      <c r="L1115" s="6">
        <f>IF(K1115="mapped",TRIM(INDEX(Mapping!$C$1:$C$504,J1115)),"")</f>
        <v/>
      </c>
      <c r="M1115" s="6">
        <f>IF(C1115="","",IF(SUMPRODUCT(($C$12:C1115=C1115)*1)=1,1,0))</f>
        <v/>
      </c>
      <c r="N1115" s="6">
        <f>IF(AND(K1115="UNMAPPED",M1115=1),ROW(),"")</f>
        <v/>
      </c>
      <c r="O1115" s="6">
        <f>IF(AND(I1115=1,M1115=1),ROW(),"")</f>
        <v/>
      </c>
      <c r="P1115" s="6">
        <f>IF(AND(K1115="ignored",M1115=1),ROW(),"")</f>
        <v/>
      </c>
    </row>
    <row r="1116">
      <c r="A1116" s="8" t="n"/>
      <c r="B1116" s="8" t="n"/>
      <c r="C1116" s="6">
        <f>TRIM(A1116&amp;"")</f>
        <v/>
      </c>
      <c r="D1116" s="6">
        <f>IF(C1116="","",SUBSTITUTE(SUBSTITUTE(SUBSTITUTE(SUBSTITUTE(SUBSTITUTE(SUBSTITUTE(SUBSTITUTE(UPPER(TRIM(B1116&amp;"")),"₹",""),"RS.",""),"RS",""),"INR",""),"$",""),",","")," ",""))</f>
        <v/>
      </c>
      <c r="E1116" s="6">
        <f>IF(C1116="","",IF(RIGHT(D1116,2)="CR","Cr",IF(RIGHT(D1116,2)="DR","Dr","")))</f>
        <v/>
      </c>
      <c r="F1116" s="6">
        <f>IF(C1116="","",IF(E1116&lt;&gt;"",LEFT(D1116,LEN(D1116)-2),D1116))</f>
        <v/>
      </c>
      <c r="G1116" s="13">
        <f>IF(C1116="","",IF(OR(IF(AND(LEFT(F1116,1)="(",RIGHT(F1116,1)=")"),MID(F1116,2,LEN(F1116)-2),F1116)="",IF(AND(LEFT(F1116,1)="(",RIGHT(F1116,1)=")"),MID(F1116,2,LEN(F1116)-2),F1116)="-"),0,IFERROR(VALUE(IF(AND(LEFT(F1116,1)="(",RIGHT(F1116,1)=")"),MID(F1116,2,LEN(F1116)-2),F1116))*IF(AND(LEFT(F1116,1)="(",RIGHT(F1116,1)=")"),-1,1)*IF(E1116="Cr",Setup!$B$6,1),"ERR")))</f>
        <v/>
      </c>
      <c r="H1116" s="6">
        <f>IF(C1116="","",IF(ISNUMBER(G1116),1,0))</f>
        <v/>
      </c>
      <c r="I1116" s="6">
        <f>IF(C1116="","",IF(SUMPRODUCT(($C$12:$C$1511=C1116)*1)&gt;1,1,0))</f>
        <v/>
      </c>
      <c r="J1116" s="6">
        <f>IF(C1116="","",SUMPRODUCT((Mapping!$F$5:$F$504=Setup!$B$4&amp;"||"&amp;C1116)*ROW(Mapping!$F$5:$F$504)))</f>
        <v/>
      </c>
      <c r="K1116" s="6">
        <f>IF(C1116="","",IF(J1116=0,"UNMAPPED",LOWER(INDEX(Mapping!$D$1:$D$504,J1116))))</f>
        <v/>
      </c>
      <c r="L1116" s="6">
        <f>IF(K1116="mapped",TRIM(INDEX(Mapping!$C$1:$C$504,J1116)),"")</f>
        <v/>
      </c>
      <c r="M1116" s="6">
        <f>IF(C1116="","",IF(SUMPRODUCT(($C$12:C1116=C1116)*1)=1,1,0))</f>
        <v/>
      </c>
      <c r="N1116" s="6">
        <f>IF(AND(K1116="UNMAPPED",M1116=1),ROW(),"")</f>
        <v/>
      </c>
      <c r="O1116" s="6">
        <f>IF(AND(I1116=1,M1116=1),ROW(),"")</f>
        <v/>
      </c>
      <c r="P1116" s="6">
        <f>IF(AND(K1116="ignored",M1116=1),ROW(),"")</f>
        <v/>
      </c>
    </row>
    <row r="1117">
      <c r="A1117" s="8" t="n"/>
      <c r="B1117" s="8" t="n"/>
      <c r="C1117" s="6">
        <f>TRIM(A1117&amp;"")</f>
        <v/>
      </c>
      <c r="D1117" s="6">
        <f>IF(C1117="","",SUBSTITUTE(SUBSTITUTE(SUBSTITUTE(SUBSTITUTE(SUBSTITUTE(SUBSTITUTE(SUBSTITUTE(UPPER(TRIM(B1117&amp;"")),"₹",""),"RS.",""),"RS",""),"INR",""),"$",""),",","")," ",""))</f>
        <v/>
      </c>
      <c r="E1117" s="6">
        <f>IF(C1117="","",IF(RIGHT(D1117,2)="CR","Cr",IF(RIGHT(D1117,2)="DR","Dr","")))</f>
        <v/>
      </c>
      <c r="F1117" s="6">
        <f>IF(C1117="","",IF(E1117&lt;&gt;"",LEFT(D1117,LEN(D1117)-2),D1117))</f>
        <v/>
      </c>
      <c r="G1117" s="13">
        <f>IF(C1117="","",IF(OR(IF(AND(LEFT(F1117,1)="(",RIGHT(F1117,1)=")"),MID(F1117,2,LEN(F1117)-2),F1117)="",IF(AND(LEFT(F1117,1)="(",RIGHT(F1117,1)=")"),MID(F1117,2,LEN(F1117)-2),F1117)="-"),0,IFERROR(VALUE(IF(AND(LEFT(F1117,1)="(",RIGHT(F1117,1)=")"),MID(F1117,2,LEN(F1117)-2),F1117))*IF(AND(LEFT(F1117,1)="(",RIGHT(F1117,1)=")"),-1,1)*IF(E1117="Cr",Setup!$B$6,1),"ERR")))</f>
        <v/>
      </c>
      <c r="H1117" s="6">
        <f>IF(C1117="","",IF(ISNUMBER(G1117),1,0))</f>
        <v/>
      </c>
      <c r="I1117" s="6">
        <f>IF(C1117="","",IF(SUMPRODUCT(($C$12:$C$1511=C1117)*1)&gt;1,1,0))</f>
        <v/>
      </c>
      <c r="J1117" s="6">
        <f>IF(C1117="","",SUMPRODUCT((Mapping!$F$5:$F$504=Setup!$B$4&amp;"||"&amp;C1117)*ROW(Mapping!$F$5:$F$504)))</f>
        <v/>
      </c>
      <c r="K1117" s="6">
        <f>IF(C1117="","",IF(J1117=0,"UNMAPPED",LOWER(INDEX(Mapping!$D$1:$D$504,J1117))))</f>
        <v/>
      </c>
      <c r="L1117" s="6">
        <f>IF(K1117="mapped",TRIM(INDEX(Mapping!$C$1:$C$504,J1117)),"")</f>
        <v/>
      </c>
      <c r="M1117" s="6">
        <f>IF(C1117="","",IF(SUMPRODUCT(($C$12:C1117=C1117)*1)=1,1,0))</f>
        <v/>
      </c>
      <c r="N1117" s="6">
        <f>IF(AND(K1117="UNMAPPED",M1117=1),ROW(),"")</f>
        <v/>
      </c>
      <c r="O1117" s="6">
        <f>IF(AND(I1117=1,M1117=1),ROW(),"")</f>
        <v/>
      </c>
      <c r="P1117" s="6">
        <f>IF(AND(K1117="ignored",M1117=1),ROW(),"")</f>
        <v/>
      </c>
    </row>
    <row r="1118">
      <c r="A1118" s="8" t="n"/>
      <c r="B1118" s="8" t="n"/>
      <c r="C1118" s="6">
        <f>TRIM(A1118&amp;"")</f>
        <v/>
      </c>
      <c r="D1118" s="6">
        <f>IF(C1118="","",SUBSTITUTE(SUBSTITUTE(SUBSTITUTE(SUBSTITUTE(SUBSTITUTE(SUBSTITUTE(SUBSTITUTE(UPPER(TRIM(B1118&amp;"")),"₹",""),"RS.",""),"RS",""),"INR",""),"$",""),",","")," ",""))</f>
        <v/>
      </c>
      <c r="E1118" s="6">
        <f>IF(C1118="","",IF(RIGHT(D1118,2)="CR","Cr",IF(RIGHT(D1118,2)="DR","Dr","")))</f>
        <v/>
      </c>
      <c r="F1118" s="6">
        <f>IF(C1118="","",IF(E1118&lt;&gt;"",LEFT(D1118,LEN(D1118)-2),D1118))</f>
        <v/>
      </c>
      <c r="G1118" s="13">
        <f>IF(C1118="","",IF(OR(IF(AND(LEFT(F1118,1)="(",RIGHT(F1118,1)=")"),MID(F1118,2,LEN(F1118)-2),F1118)="",IF(AND(LEFT(F1118,1)="(",RIGHT(F1118,1)=")"),MID(F1118,2,LEN(F1118)-2),F1118)="-"),0,IFERROR(VALUE(IF(AND(LEFT(F1118,1)="(",RIGHT(F1118,1)=")"),MID(F1118,2,LEN(F1118)-2),F1118))*IF(AND(LEFT(F1118,1)="(",RIGHT(F1118,1)=")"),-1,1)*IF(E1118="Cr",Setup!$B$6,1),"ERR")))</f>
        <v/>
      </c>
      <c r="H1118" s="6">
        <f>IF(C1118="","",IF(ISNUMBER(G1118),1,0))</f>
        <v/>
      </c>
      <c r="I1118" s="6">
        <f>IF(C1118="","",IF(SUMPRODUCT(($C$12:$C$1511=C1118)*1)&gt;1,1,0))</f>
        <v/>
      </c>
      <c r="J1118" s="6">
        <f>IF(C1118="","",SUMPRODUCT((Mapping!$F$5:$F$504=Setup!$B$4&amp;"||"&amp;C1118)*ROW(Mapping!$F$5:$F$504)))</f>
        <v/>
      </c>
      <c r="K1118" s="6">
        <f>IF(C1118="","",IF(J1118=0,"UNMAPPED",LOWER(INDEX(Mapping!$D$1:$D$504,J1118))))</f>
        <v/>
      </c>
      <c r="L1118" s="6">
        <f>IF(K1118="mapped",TRIM(INDEX(Mapping!$C$1:$C$504,J1118)),"")</f>
        <v/>
      </c>
      <c r="M1118" s="6">
        <f>IF(C1118="","",IF(SUMPRODUCT(($C$12:C1118=C1118)*1)=1,1,0))</f>
        <v/>
      </c>
      <c r="N1118" s="6">
        <f>IF(AND(K1118="UNMAPPED",M1118=1),ROW(),"")</f>
        <v/>
      </c>
      <c r="O1118" s="6">
        <f>IF(AND(I1118=1,M1118=1),ROW(),"")</f>
        <v/>
      </c>
      <c r="P1118" s="6">
        <f>IF(AND(K1118="ignored",M1118=1),ROW(),"")</f>
        <v/>
      </c>
    </row>
    <row r="1119">
      <c r="A1119" s="8" t="n"/>
      <c r="B1119" s="8" t="n"/>
      <c r="C1119" s="6">
        <f>TRIM(A1119&amp;"")</f>
        <v/>
      </c>
      <c r="D1119" s="6">
        <f>IF(C1119="","",SUBSTITUTE(SUBSTITUTE(SUBSTITUTE(SUBSTITUTE(SUBSTITUTE(SUBSTITUTE(SUBSTITUTE(UPPER(TRIM(B1119&amp;"")),"₹",""),"RS.",""),"RS",""),"INR",""),"$",""),",","")," ",""))</f>
        <v/>
      </c>
      <c r="E1119" s="6">
        <f>IF(C1119="","",IF(RIGHT(D1119,2)="CR","Cr",IF(RIGHT(D1119,2)="DR","Dr","")))</f>
        <v/>
      </c>
      <c r="F1119" s="6">
        <f>IF(C1119="","",IF(E1119&lt;&gt;"",LEFT(D1119,LEN(D1119)-2),D1119))</f>
        <v/>
      </c>
      <c r="G1119" s="13">
        <f>IF(C1119="","",IF(OR(IF(AND(LEFT(F1119,1)="(",RIGHT(F1119,1)=")"),MID(F1119,2,LEN(F1119)-2),F1119)="",IF(AND(LEFT(F1119,1)="(",RIGHT(F1119,1)=")"),MID(F1119,2,LEN(F1119)-2),F1119)="-"),0,IFERROR(VALUE(IF(AND(LEFT(F1119,1)="(",RIGHT(F1119,1)=")"),MID(F1119,2,LEN(F1119)-2),F1119))*IF(AND(LEFT(F1119,1)="(",RIGHT(F1119,1)=")"),-1,1)*IF(E1119="Cr",Setup!$B$6,1),"ERR")))</f>
        <v/>
      </c>
      <c r="H1119" s="6">
        <f>IF(C1119="","",IF(ISNUMBER(G1119),1,0))</f>
        <v/>
      </c>
      <c r="I1119" s="6">
        <f>IF(C1119="","",IF(SUMPRODUCT(($C$12:$C$1511=C1119)*1)&gt;1,1,0))</f>
        <v/>
      </c>
      <c r="J1119" s="6">
        <f>IF(C1119="","",SUMPRODUCT((Mapping!$F$5:$F$504=Setup!$B$4&amp;"||"&amp;C1119)*ROW(Mapping!$F$5:$F$504)))</f>
        <v/>
      </c>
      <c r="K1119" s="6">
        <f>IF(C1119="","",IF(J1119=0,"UNMAPPED",LOWER(INDEX(Mapping!$D$1:$D$504,J1119))))</f>
        <v/>
      </c>
      <c r="L1119" s="6">
        <f>IF(K1119="mapped",TRIM(INDEX(Mapping!$C$1:$C$504,J1119)),"")</f>
        <v/>
      </c>
      <c r="M1119" s="6">
        <f>IF(C1119="","",IF(SUMPRODUCT(($C$12:C1119=C1119)*1)=1,1,0))</f>
        <v/>
      </c>
      <c r="N1119" s="6">
        <f>IF(AND(K1119="UNMAPPED",M1119=1),ROW(),"")</f>
        <v/>
      </c>
      <c r="O1119" s="6">
        <f>IF(AND(I1119=1,M1119=1),ROW(),"")</f>
        <v/>
      </c>
      <c r="P1119" s="6">
        <f>IF(AND(K1119="ignored",M1119=1),ROW(),"")</f>
        <v/>
      </c>
    </row>
    <row r="1120">
      <c r="A1120" s="8" t="n"/>
      <c r="B1120" s="8" t="n"/>
      <c r="C1120" s="6">
        <f>TRIM(A1120&amp;"")</f>
        <v/>
      </c>
      <c r="D1120" s="6">
        <f>IF(C1120="","",SUBSTITUTE(SUBSTITUTE(SUBSTITUTE(SUBSTITUTE(SUBSTITUTE(SUBSTITUTE(SUBSTITUTE(UPPER(TRIM(B1120&amp;"")),"₹",""),"RS.",""),"RS",""),"INR",""),"$",""),",","")," ",""))</f>
        <v/>
      </c>
      <c r="E1120" s="6">
        <f>IF(C1120="","",IF(RIGHT(D1120,2)="CR","Cr",IF(RIGHT(D1120,2)="DR","Dr","")))</f>
        <v/>
      </c>
      <c r="F1120" s="6">
        <f>IF(C1120="","",IF(E1120&lt;&gt;"",LEFT(D1120,LEN(D1120)-2),D1120))</f>
        <v/>
      </c>
      <c r="G1120" s="13">
        <f>IF(C1120="","",IF(OR(IF(AND(LEFT(F1120,1)="(",RIGHT(F1120,1)=")"),MID(F1120,2,LEN(F1120)-2),F1120)="",IF(AND(LEFT(F1120,1)="(",RIGHT(F1120,1)=")"),MID(F1120,2,LEN(F1120)-2),F1120)="-"),0,IFERROR(VALUE(IF(AND(LEFT(F1120,1)="(",RIGHT(F1120,1)=")"),MID(F1120,2,LEN(F1120)-2),F1120))*IF(AND(LEFT(F1120,1)="(",RIGHT(F1120,1)=")"),-1,1)*IF(E1120="Cr",Setup!$B$6,1),"ERR")))</f>
        <v/>
      </c>
      <c r="H1120" s="6">
        <f>IF(C1120="","",IF(ISNUMBER(G1120),1,0))</f>
        <v/>
      </c>
      <c r="I1120" s="6">
        <f>IF(C1120="","",IF(SUMPRODUCT(($C$12:$C$1511=C1120)*1)&gt;1,1,0))</f>
        <v/>
      </c>
      <c r="J1120" s="6">
        <f>IF(C1120="","",SUMPRODUCT((Mapping!$F$5:$F$504=Setup!$B$4&amp;"||"&amp;C1120)*ROW(Mapping!$F$5:$F$504)))</f>
        <v/>
      </c>
      <c r="K1120" s="6">
        <f>IF(C1120="","",IF(J1120=0,"UNMAPPED",LOWER(INDEX(Mapping!$D$1:$D$504,J1120))))</f>
        <v/>
      </c>
      <c r="L1120" s="6">
        <f>IF(K1120="mapped",TRIM(INDEX(Mapping!$C$1:$C$504,J1120)),"")</f>
        <v/>
      </c>
      <c r="M1120" s="6">
        <f>IF(C1120="","",IF(SUMPRODUCT(($C$12:C1120=C1120)*1)=1,1,0))</f>
        <v/>
      </c>
      <c r="N1120" s="6">
        <f>IF(AND(K1120="UNMAPPED",M1120=1),ROW(),"")</f>
        <v/>
      </c>
      <c r="O1120" s="6">
        <f>IF(AND(I1120=1,M1120=1),ROW(),"")</f>
        <v/>
      </c>
      <c r="P1120" s="6">
        <f>IF(AND(K1120="ignored",M1120=1),ROW(),"")</f>
        <v/>
      </c>
    </row>
    <row r="1121">
      <c r="A1121" s="8" t="n"/>
      <c r="B1121" s="8" t="n"/>
      <c r="C1121" s="6">
        <f>TRIM(A1121&amp;"")</f>
        <v/>
      </c>
      <c r="D1121" s="6">
        <f>IF(C1121="","",SUBSTITUTE(SUBSTITUTE(SUBSTITUTE(SUBSTITUTE(SUBSTITUTE(SUBSTITUTE(SUBSTITUTE(UPPER(TRIM(B1121&amp;"")),"₹",""),"RS.",""),"RS",""),"INR",""),"$",""),",","")," ",""))</f>
        <v/>
      </c>
      <c r="E1121" s="6">
        <f>IF(C1121="","",IF(RIGHT(D1121,2)="CR","Cr",IF(RIGHT(D1121,2)="DR","Dr","")))</f>
        <v/>
      </c>
      <c r="F1121" s="6">
        <f>IF(C1121="","",IF(E1121&lt;&gt;"",LEFT(D1121,LEN(D1121)-2),D1121))</f>
        <v/>
      </c>
      <c r="G1121" s="13">
        <f>IF(C1121="","",IF(OR(IF(AND(LEFT(F1121,1)="(",RIGHT(F1121,1)=")"),MID(F1121,2,LEN(F1121)-2),F1121)="",IF(AND(LEFT(F1121,1)="(",RIGHT(F1121,1)=")"),MID(F1121,2,LEN(F1121)-2),F1121)="-"),0,IFERROR(VALUE(IF(AND(LEFT(F1121,1)="(",RIGHT(F1121,1)=")"),MID(F1121,2,LEN(F1121)-2),F1121))*IF(AND(LEFT(F1121,1)="(",RIGHT(F1121,1)=")"),-1,1)*IF(E1121="Cr",Setup!$B$6,1),"ERR")))</f>
        <v/>
      </c>
      <c r="H1121" s="6">
        <f>IF(C1121="","",IF(ISNUMBER(G1121),1,0))</f>
        <v/>
      </c>
      <c r="I1121" s="6">
        <f>IF(C1121="","",IF(SUMPRODUCT(($C$12:$C$1511=C1121)*1)&gt;1,1,0))</f>
        <v/>
      </c>
      <c r="J1121" s="6">
        <f>IF(C1121="","",SUMPRODUCT((Mapping!$F$5:$F$504=Setup!$B$4&amp;"||"&amp;C1121)*ROW(Mapping!$F$5:$F$504)))</f>
        <v/>
      </c>
      <c r="K1121" s="6">
        <f>IF(C1121="","",IF(J1121=0,"UNMAPPED",LOWER(INDEX(Mapping!$D$1:$D$504,J1121))))</f>
        <v/>
      </c>
      <c r="L1121" s="6">
        <f>IF(K1121="mapped",TRIM(INDEX(Mapping!$C$1:$C$504,J1121)),"")</f>
        <v/>
      </c>
      <c r="M1121" s="6">
        <f>IF(C1121="","",IF(SUMPRODUCT(($C$12:C1121=C1121)*1)=1,1,0))</f>
        <v/>
      </c>
      <c r="N1121" s="6">
        <f>IF(AND(K1121="UNMAPPED",M1121=1),ROW(),"")</f>
        <v/>
      </c>
      <c r="O1121" s="6">
        <f>IF(AND(I1121=1,M1121=1),ROW(),"")</f>
        <v/>
      </c>
      <c r="P1121" s="6">
        <f>IF(AND(K1121="ignored",M1121=1),ROW(),"")</f>
        <v/>
      </c>
    </row>
    <row r="1122">
      <c r="A1122" s="8" t="n"/>
      <c r="B1122" s="8" t="n"/>
      <c r="C1122" s="6">
        <f>TRIM(A1122&amp;"")</f>
        <v/>
      </c>
      <c r="D1122" s="6">
        <f>IF(C1122="","",SUBSTITUTE(SUBSTITUTE(SUBSTITUTE(SUBSTITUTE(SUBSTITUTE(SUBSTITUTE(SUBSTITUTE(UPPER(TRIM(B1122&amp;"")),"₹",""),"RS.",""),"RS",""),"INR",""),"$",""),",","")," ",""))</f>
        <v/>
      </c>
      <c r="E1122" s="6">
        <f>IF(C1122="","",IF(RIGHT(D1122,2)="CR","Cr",IF(RIGHT(D1122,2)="DR","Dr","")))</f>
        <v/>
      </c>
      <c r="F1122" s="6">
        <f>IF(C1122="","",IF(E1122&lt;&gt;"",LEFT(D1122,LEN(D1122)-2),D1122))</f>
        <v/>
      </c>
      <c r="G1122" s="13">
        <f>IF(C1122="","",IF(OR(IF(AND(LEFT(F1122,1)="(",RIGHT(F1122,1)=")"),MID(F1122,2,LEN(F1122)-2),F1122)="",IF(AND(LEFT(F1122,1)="(",RIGHT(F1122,1)=")"),MID(F1122,2,LEN(F1122)-2),F1122)="-"),0,IFERROR(VALUE(IF(AND(LEFT(F1122,1)="(",RIGHT(F1122,1)=")"),MID(F1122,2,LEN(F1122)-2),F1122))*IF(AND(LEFT(F1122,1)="(",RIGHT(F1122,1)=")"),-1,1)*IF(E1122="Cr",Setup!$B$6,1),"ERR")))</f>
        <v/>
      </c>
      <c r="H1122" s="6">
        <f>IF(C1122="","",IF(ISNUMBER(G1122),1,0))</f>
        <v/>
      </c>
      <c r="I1122" s="6">
        <f>IF(C1122="","",IF(SUMPRODUCT(($C$12:$C$1511=C1122)*1)&gt;1,1,0))</f>
        <v/>
      </c>
      <c r="J1122" s="6">
        <f>IF(C1122="","",SUMPRODUCT((Mapping!$F$5:$F$504=Setup!$B$4&amp;"||"&amp;C1122)*ROW(Mapping!$F$5:$F$504)))</f>
        <v/>
      </c>
      <c r="K1122" s="6">
        <f>IF(C1122="","",IF(J1122=0,"UNMAPPED",LOWER(INDEX(Mapping!$D$1:$D$504,J1122))))</f>
        <v/>
      </c>
      <c r="L1122" s="6">
        <f>IF(K1122="mapped",TRIM(INDEX(Mapping!$C$1:$C$504,J1122)),"")</f>
        <v/>
      </c>
      <c r="M1122" s="6">
        <f>IF(C1122="","",IF(SUMPRODUCT(($C$12:C1122=C1122)*1)=1,1,0))</f>
        <v/>
      </c>
      <c r="N1122" s="6">
        <f>IF(AND(K1122="UNMAPPED",M1122=1),ROW(),"")</f>
        <v/>
      </c>
      <c r="O1122" s="6">
        <f>IF(AND(I1122=1,M1122=1),ROW(),"")</f>
        <v/>
      </c>
      <c r="P1122" s="6">
        <f>IF(AND(K1122="ignored",M1122=1),ROW(),"")</f>
        <v/>
      </c>
    </row>
    <row r="1123">
      <c r="A1123" s="8" t="n"/>
      <c r="B1123" s="8" t="n"/>
      <c r="C1123" s="6">
        <f>TRIM(A1123&amp;"")</f>
        <v/>
      </c>
      <c r="D1123" s="6">
        <f>IF(C1123="","",SUBSTITUTE(SUBSTITUTE(SUBSTITUTE(SUBSTITUTE(SUBSTITUTE(SUBSTITUTE(SUBSTITUTE(UPPER(TRIM(B1123&amp;"")),"₹",""),"RS.",""),"RS",""),"INR",""),"$",""),",","")," ",""))</f>
        <v/>
      </c>
      <c r="E1123" s="6">
        <f>IF(C1123="","",IF(RIGHT(D1123,2)="CR","Cr",IF(RIGHT(D1123,2)="DR","Dr","")))</f>
        <v/>
      </c>
      <c r="F1123" s="6">
        <f>IF(C1123="","",IF(E1123&lt;&gt;"",LEFT(D1123,LEN(D1123)-2),D1123))</f>
        <v/>
      </c>
      <c r="G1123" s="13">
        <f>IF(C1123="","",IF(OR(IF(AND(LEFT(F1123,1)="(",RIGHT(F1123,1)=")"),MID(F1123,2,LEN(F1123)-2),F1123)="",IF(AND(LEFT(F1123,1)="(",RIGHT(F1123,1)=")"),MID(F1123,2,LEN(F1123)-2),F1123)="-"),0,IFERROR(VALUE(IF(AND(LEFT(F1123,1)="(",RIGHT(F1123,1)=")"),MID(F1123,2,LEN(F1123)-2),F1123))*IF(AND(LEFT(F1123,1)="(",RIGHT(F1123,1)=")"),-1,1)*IF(E1123="Cr",Setup!$B$6,1),"ERR")))</f>
        <v/>
      </c>
      <c r="H1123" s="6">
        <f>IF(C1123="","",IF(ISNUMBER(G1123),1,0))</f>
        <v/>
      </c>
      <c r="I1123" s="6">
        <f>IF(C1123="","",IF(SUMPRODUCT(($C$12:$C$1511=C1123)*1)&gt;1,1,0))</f>
        <v/>
      </c>
      <c r="J1123" s="6">
        <f>IF(C1123="","",SUMPRODUCT((Mapping!$F$5:$F$504=Setup!$B$4&amp;"||"&amp;C1123)*ROW(Mapping!$F$5:$F$504)))</f>
        <v/>
      </c>
      <c r="K1123" s="6">
        <f>IF(C1123="","",IF(J1123=0,"UNMAPPED",LOWER(INDEX(Mapping!$D$1:$D$504,J1123))))</f>
        <v/>
      </c>
      <c r="L1123" s="6">
        <f>IF(K1123="mapped",TRIM(INDEX(Mapping!$C$1:$C$504,J1123)),"")</f>
        <v/>
      </c>
      <c r="M1123" s="6">
        <f>IF(C1123="","",IF(SUMPRODUCT(($C$12:C1123=C1123)*1)=1,1,0))</f>
        <v/>
      </c>
      <c r="N1123" s="6">
        <f>IF(AND(K1123="UNMAPPED",M1123=1),ROW(),"")</f>
        <v/>
      </c>
      <c r="O1123" s="6">
        <f>IF(AND(I1123=1,M1123=1),ROW(),"")</f>
        <v/>
      </c>
      <c r="P1123" s="6">
        <f>IF(AND(K1123="ignored",M1123=1),ROW(),"")</f>
        <v/>
      </c>
    </row>
    <row r="1124">
      <c r="A1124" s="8" t="n"/>
      <c r="B1124" s="8" t="n"/>
      <c r="C1124" s="6">
        <f>TRIM(A1124&amp;"")</f>
        <v/>
      </c>
      <c r="D1124" s="6">
        <f>IF(C1124="","",SUBSTITUTE(SUBSTITUTE(SUBSTITUTE(SUBSTITUTE(SUBSTITUTE(SUBSTITUTE(SUBSTITUTE(UPPER(TRIM(B1124&amp;"")),"₹",""),"RS.",""),"RS",""),"INR",""),"$",""),",","")," ",""))</f>
        <v/>
      </c>
      <c r="E1124" s="6">
        <f>IF(C1124="","",IF(RIGHT(D1124,2)="CR","Cr",IF(RIGHT(D1124,2)="DR","Dr","")))</f>
        <v/>
      </c>
      <c r="F1124" s="6">
        <f>IF(C1124="","",IF(E1124&lt;&gt;"",LEFT(D1124,LEN(D1124)-2),D1124))</f>
        <v/>
      </c>
      <c r="G1124" s="13">
        <f>IF(C1124="","",IF(OR(IF(AND(LEFT(F1124,1)="(",RIGHT(F1124,1)=")"),MID(F1124,2,LEN(F1124)-2),F1124)="",IF(AND(LEFT(F1124,1)="(",RIGHT(F1124,1)=")"),MID(F1124,2,LEN(F1124)-2),F1124)="-"),0,IFERROR(VALUE(IF(AND(LEFT(F1124,1)="(",RIGHT(F1124,1)=")"),MID(F1124,2,LEN(F1124)-2),F1124))*IF(AND(LEFT(F1124,1)="(",RIGHT(F1124,1)=")"),-1,1)*IF(E1124="Cr",Setup!$B$6,1),"ERR")))</f>
        <v/>
      </c>
      <c r="H1124" s="6">
        <f>IF(C1124="","",IF(ISNUMBER(G1124),1,0))</f>
        <v/>
      </c>
      <c r="I1124" s="6">
        <f>IF(C1124="","",IF(SUMPRODUCT(($C$12:$C$1511=C1124)*1)&gt;1,1,0))</f>
        <v/>
      </c>
      <c r="J1124" s="6">
        <f>IF(C1124="","",SUMPRODUCT((Mapping!$F$5:$F$504=Setup!$B$4&amp;"||"&amp;C1124)*ROW(Mapping!$F$5:$F$504)))</f>
        <v/>
      </c>
      <c r="K1124" s="6">
        <f>IF(C1124="","",IF(J1124=0,"UNMAPPED",LOWER(INDEX(Mapping!$D$1:$D$504,J1124))))</f>
        <v/>
      </c>
      <c r="L1124" s="6">
        <f>IF(K1124="mapped",TRIM(INDEX(Mapping!$C$1:$C$504,J1124)),"")</f>
        <v/>
      </c>
      <c r="M1124" s="6">
        <f>IF(C1124="","",IF(SUMPRODUCT(($C$12:C1124=C1124)*1)=1,1,0))</f>
        <v/>
      </c>
      <c r="N1124" s="6">
        <f>IF(AND(K1124="UNMAPPED",M1124=1),ROW(),"")</f>
        <v/>
      </c>
      <c r="O1124" s="6">
        <f>IF(AND(I1124=1,M1124=1),ROW(),"")</f>
        <v/>
      </c>
      <c r="P1124" s="6">
        <f>IF(AND(K1124="ignored",M1124=1),ROW(),"")</f>
        <v/>
      </c>
    </row>
    <row r="1125">
      <c r="A1125" s="8" t="n"/>
      <c r="B1125" s="8" t="n"/>
      <c r="C1125" s="6">
        <f>TRIM(A1125&amp;"")</f>
        <v/>
      </c>
      <c r="D1125" s="6">
        <f>IF(C1125="","",SUBSTITUTE(SUBSTITUTE(SUBSTITUTE(SUBSTITUTE(SUBSTITUTE(SUBSTITUTE(SUBSTITUTE(UPPER(TRIM(B1125&amp;"")),"₹",""),"RS.",""),"RS",""),"INR",""),"$",""),",","")," ",""))</f>
        <v/>
      </c>
      <c r="E1125" s="6">
        <f>IF(C1125="","",IF(RIGHT(D1125,2)="CR","Cr",IF(RIGHT(D1125,2)="DR","Dr","")))</f>
        <v/>
      </c>
      <c r="F1125" s="6">
        <f>IF(C1125="","",IF(E1125&lt;&gt;"",LEFT(D1125,LEN(D1125)-2),D1125))</f>
        <v/>
      </c>
      <c r="G1125" s="13">
        <f>IF(C1125="","",IF(OR(IF(AND(LEFT(F1125,1)="(",RIGHT(F1125,1)=")"),MID(F1125,2,LEN(F1125)-2),F1125)="",IF(AND(LEFT(F1125,1)="(",RIGHT(F1125,1)=")"),MID(F1125,2,LEN(F1125)-2),F1125)="-"),0,IFERROR(VALUE(IF(AND(LEFT(F1125,1)="(",RIGHT(F1125,1)=")"),MID(F1125,2,LEN(F1125)-2),F1125))*IF(AND(LEFT(F1125,1)="(",RIGHT(F1125,1)=")"),-1,1)*IF(E1125="Cr",Setup!$B$6,1),"ERR")))</f>
        <v/>
      </c>
      <c r="H1125" s="6">
        <f>IF(C1125="","",IF(ISNUMBER(G1125),1,0))</f>
        <v/>
      </c>
      <c r="I1125" s="6">
        <f>IF(C1125="","",IF(SUMPRODUCT(($C$12:$C$1511=C1125)*1)&gt;1,1,0))</f>
        <v/>
      </c>
      <c r="J1125" s="6">
        <f>IF(C1125="","",SUMPRODUCT((Mapping!$F$5:$F$504=Setup!$B$4&amp;"||"&amp;C1125)*ROW(Mapping!$F$5:$F$504)))</f>
        <v/>
      </c>
      <c r="K1125" s="6">
        <f>IF(C1125="","",IF(J1125=0,"UNMAPPED",LOWER(INDEX(Mapping!$D$1:$D$504,J1125))))</f>
        <v/>
      </c>
      <c r="L1125" s="6">
        <f>IF(K1125="mapped",TRIM(INDEX(Mapping!$C$1:$C$504,J1125)),"")</f>
        <v/>
      </c>
      <c r="M1125" s="6">
        <f>IF(C1125="","",IF(SUMPRODUCT(($C$12:C1125=C1125)*1)=1,1,0))</f>
        <v/>
      </c>
      <c r="N1125" s="6">
        <f>IF(AND(K1125="UNMAPPED",M1125=1),ROW(),"")</f>
        <v/>
      </c>
      <c r="O1125" s="6">
        <f>IF(AND(I1125=1,M1125=1),ROW(),"")</f>
        <v/>
      </c>
      <c r="P1125" s="6">
        <f>IF(AND(K1125="ignored",M1125=1),ROW(),"")</f>
        <v/>
      </c>
    </row>
    <row r="1126">
      <c r="A1126" s="8" t="n"/>
      <c r="B1126" s="8" t="n"/>
      <c r="C1126" s="6">
        <f>TRIM(A1126&amp;"")</f>
        <v/>
      </c>
      <c r="D1126" s="6">
        <f>IF(C1126="","",SUBSTITUTE(SUBSTITUTE(SUBSTITUTE(SUBSTITUTE(SUBSTITUTE(SUBSTITUTE(SUBSTITUTE(UPPER(TRIM(B1126&amp;"")),"₹",""),"RS.",""),"RS",""),"INR",""),"$",""),",","")," ",""))</f>
        <v/>
      </c>
      <c r="E1126" s="6">
        <f>IF(C1126="","",IF(RIGHT(D1126,2)="CR","Cr",IF(RIGHT(D1126,2)="DR","Dr","")))</f>
        <v/>
      </c>
      <c r="F1126" s="6">
        <f>IF(C1126="","",IF(E1126&lt;&gt;"",LEFT(D1126,LEN(D1126)-2),D1126))</f>
        <v/>
      </c>
      <c r="G1126" s="13">
        <f>IF(C1126="","",IF(OR(IF(AND(LEFT(F1126,1)="(",RIGHT(F1126,1)=")"),MID(F1126,2,LEN(F1126)-2),F1126)="",IF(AND(LEFT(F1126,1)="(",RIGHT(F1126,1)=")"),MID(F1126,2,LEN(F1126)-2),F1126)="-"),0,IFERROR(VALUE(IF(AND(LEFT(F1126,1)="(",RIGHT(F1126,1)=")"),MID(F1126,2,LEN(F1126)-2),F1126))*IF(AND(LEFT(F1126,1)="(",RIGHT(F1126,1)=")"),-1,1)*IF(E1126="Cr",Setup!$B$6,1),"ERR")))</f>
        <v/>
      </c>
      <c r="H1126" s="6">
        <f>IF(C1126="","",IF(ISNUMBER(G1126),1,0))</f>
        <v/>
      </c>
      <c r="I1126" s="6">
        <f>IF(C1126="","",IF(SUMPRODUCT(($C$12:$C$1511=C1126)*1)&gt;1,1,0))</f>
        <v/>
      </c>
      <c r="J1126" s="6">
        <f>IF(C1126="","",SUMPRODUCT((Mapping!$F$5:$F$504=Setup!$B$4&amp;"||"&amp;C1126)*ROW(Mapping!$F$5:$F$504)))</f>
        <v/>
      </c>
      <c r="K1126" s="6">
        <f>IF(C1126="","",IF(J1126=0,"UNMAPPED",LOWER(INDEX(Mapping!$D$1:$D$504,J1126))))</f>
        <v/>
      </c>
      <c r="L1126" s="6">
        <f>IF(K1126="mapped",TRIM(INDEX(Mapping!$C$1:$C$504,J1126)),"")</f>
        <v/>
      </c>
      <c r="M1126" s="6">
        <f>IF(C1126="","",IF(SUMPRODUCT(($C$12:C1126=C1126)*1)=1,1,0))</f>
        <v/>
      </c>
      <c r="N1126" s="6">
        <f>IF(AND(K1126="UNMAPPED",M1126=1),ROW(),"")</f>
        <v/>
      </c>
      <c r="O1126" s="6">
        <f>IF(AND(I1126=1,M1126=1),ROW(),"")</f>
        <v/>
      </c>
      <c r="P1126" s="6">
        <f>IF(AND(K1126="ignored",M1126=1),ROW(),"")</f>
        <v/>
      </c>
    </row>
    <row r="1127">
      <c r="A1127" s="8" t="n"/>
      <c r="B1127" s="8" t="n"/>
      <c r="C1127" s="6">
        <f>TRIM(A1127&amp;"")</f>
        <v/>
      </c>
      <c r="D1127" s="6">
        <f>IF(C1127="","",SUBSTITUTE(SUBSTITUTE(SUBSTITUTE(SUBSTITUTE(SUBSTITUTE(SUBSTITUTE(SUBSTITUTE(UPPER(TRIM(B1127&amp;"")),"₹",""),"RS.",""),"RS",""),"INR",""),"$",""),",","")," ",""))</f>
        <v/>
      </c>
      <c r="E1127" s="6">
        <f>IF(C1127="","",IF(RIGHT(D1127,2)="CR","Cr",IF(RIGHT(D1127,2)="DR","Dr","")))</f>
        <v/>
      </c>
      <c r="F1127" s="6">
        <f>IF(C1127="","",IF(E1127&lt;&gt;"",LEFT(D1127,LEN(D1127)-2),D1127))</f>
        <v/>
      </c>
      <c r="G1127" s="13">
        <f>IF(C1127="","",IF(OR(IF(AND(LEFT(F1127,1)="(",RIGHT(F1127,1)=")"),MID(F1127,2,LEN(F1127)-2),F1127)="",IF(AND(LEFT(F1127,1)="(",RIGHT(F1127,1)=")"),MID(F1127,2,LEN(F1127)-2),F1127)="-"),0,IFERROR(VALUE(IF(AND(LEFT(F1127,1)="(",RIGHT(F1127,1)=")"),MID(F1127,2,LEN(F1127)-2),F1127))*IF(AND(LEFT(F1127,1)="(",RIGHT(F1127,1)=")"),-1,1)*IF(E1127="Cr",Setup!$B$6,1),"ERR")))</f>
        <v/>
      </c>
      <c r="H1127" s="6">
        <f>IF(C1127="","",IF(ISNUMBER(G1127),1,0))</f>
        <v/>
      </c>
      <c r="I1127" s="6">
        <f>IF(C1127="","",IF(SUMPRODUCT(($C$12:$C$1511=C1127)*1)&gt;1,1,0))</f>
        <v/>
      </c>
      <c r="J1127" s="6">
        <f>IF(C1127="","",SUMPRODUCT((Mapping!$F$5:$F$504=Setup!$B$4&amp;"||"&amp;C1127)*ROW(Mapping!$F$5:$F$504)))</f>
        <v/>
      </c>
      <c r="K1127" s="6">
        <f>IF(C1127="","",IF(J1127=0,"UNMAPPED",LOWER(INDEX(Mapping!$D$1:$D$504,J1127))))</f>
        <v/>
      </c>
      <c r="L1127" s="6">
        <f>IF(K1127="mapped",TRIM(INDEX(Mapping!$C$1:$C$504,J1127)),"")</f>
        <v/>
      </c>
      <c r="M1127" s="6">
        <f>IF(C1127="","",IF(SUMPRODUCT(($C$12:C1127=C1127)*1)=1,1,0))</f>
        <v/>
      </c>
      <c r="N1127" s="6">
        <f>IF(AND(K1127="UNMAPPED",M1127=1),ROW(),"")</f>
        <v/>
      </c>
      <c r="O1127" s="6">
        <f>IF(AND(I1127=1,M1127=1),ROW(),"")</f>
        <v/>
      </c>
      <c r="P1127" s="6">
        <f>IF(AND(K1127="ignored",M1127=1),ROW(),"")</f>
        <v/>
      </c>
    </row>
    <row r="1128">
      <c r="A1128" s="8" t="n"/>
      <c r="B1128" s="8" t="n"/>
      <c r="C1128" s="6">
        <f>TRIM(A1128&amp;"")</f>
        <v/>
      </c>
      <c r="D1128" s="6">
        <f>IF(C1128="","",SUBSTITUTE(SUBSTITUTE(SUBSTITUTE(SUBSTITUTE(SUBSTITUTE(SUBSTITUTE(SUBSTITUTE(UPPER(TRIM(B1128&amp;"")),"₹",""),"RS.",""),"RS",""),"INR",""),"$",""),",","")," ",""))</f>
        <v/>
      </c>
      <c r="E1128" s="6">
        <f>IF(C1128="","",IF(RIGHT(D1128,2)="CR","Cr",IF(RIGHT(D1128,2)="DR","Dr","")))</f>
        <v/>
      </c>
      <c r="F1128" s="6">
        <f>IF(C1128="","",IF(E1128&lt;&gt;"",LEFT(D1128,LEN(D1128)-2),D1128))</f>
        <v/>
      </c>
      <c r="G1128" s="13">
        <f>IF(C1128="","",IF(OR(IF(AND(LEFT(F1128,1)="(",RIGHT(F1128,1)=")"),MID(F1128,2,LEN(F1128)-2),F1128)="",IF(AND(LEFT(F1128,1)="(",RIGHT(F1128,1)=")"),MID(F1128,2,LEN(F1128)-2),F1128)="-"),0,IFERROR(VALUE(IF(AND(LEFT(F1128,1)="(",RIGHT(F1128,1)=")"),MID(F1128,2,LEN(F1128)-2),F1128))*IF(AND(LEFT(F1128,1)="(",RIGHT(F1128,1)=")"),-1,1)*IF(E1128="Cr",Setup!$B$6,1),"ERR")))</f>
        <v/>
      </c>
      <c r="H1128" s="6">
        <f>IF(C1128="","",IF(ISNUMBER(G1128),1,0))</f>
        <v/>
      </c>
      <c r="I1128" s="6">
        <f>IF(C1128="","",IF(SUMPRODUCT(($C$12:$C$1511=C1128)*1)&gt;1,1,0))</f>
        <v/>
      </c>
      <c r="J1128" s="6">
        <f>IF(C1128="","",SUMPRODUCT((Mapping!$F$5:$F$504=Setup!$B$4&amp;"||"&amp;C1128)*ROW(Mapping!$F$5:$F$504)))</f>
        <v/>
      </c>
      <c r="K1128" s="6">
        <f>IF(C1128="","",IF(J1128=0,"UNMAPPED",LOWER(INDEX(Mapping!$D$1:$D$504,J1128))))</f>
        <v/>
      </c>
      <c r="L1128" s="6">
        <f>IF(K1128="mapped",TRIM(INDEX(Mapping!$C$1:$C$504,J1128)),"")</f>
        <v/>
      </c>
      <c r="M1128" s="6">
        <f>IF(C1128="","",IF(SUMPRODUCT(($C$12:C1128=C1128)*1)=1,1,0))</f>
        <v/>
      </c>
      <c r="N1128" s="6">
        <f>IF(AND(K1128="UNMAPPED",M1128=1),ROW(),"")</f>
        <v/>
      </c>
      <c r="O1128" s="6">
        <f>IF(AND(I1128=1,M1128=1),ROW(),"")</f>
        <v/>
      </c>
      <c r="P1128" s="6">
        <f>IF(AND(K1128="ignored",M1128=1),ROW(),"")</f>
        <v/>
      </c>
    </row>
    <row r="1129">
      <c r="A1129" s="8" t="n"/>
      <c r="B1129" s="8" t="n"/>
      <c r="C1129" s="6">
        <f>TRIM(A1129&amp;"")</f>
        <v/>
      </c>
      <c r="D1129" s="6">
        <f>IF(C1129="","",SUBSTITUTE(SUBSTITUTE(SUBSTITUTE(SUBSTITUTE(SUBSTITUTE(SUBSTITUTE(SUBSTITUTE(UPPER(TRIM(B1129&amp;"")),"₹",""),"RS.",""),"RS",""),"INR",""),"$",""),",","")," ",""))</f>
        <v/>
      </c>
      <c r="E1129" s="6">
        <f>IF(C1129="","",IF(RIGHT(D1129,2)="CR","Cr",IF(RIGHT(D1129,2)="DR","Dr","")))</f>
        <v/>
      </c>
      <c r="F1129" s="6">
        <f>IF(C1129="","",IF(E1129&lt;&gt;"",LEFT(D1129,LEN(D1129)-2),D1129))</f>
        <v/>
      </c>
      <c r="G1129" s="13">
        <f>IF(C1129="","",IF(OR(IF(AND(LEFT(F1129,1)="(",RIGHT(F1129,1)=")"),MID(F1129,2,LEN(F1129)-2),F1129)="",IF(AND(LEFT(F1129,1)="(",RIGHT(F1129,1)=")"),MID(F1129,2,LEN(F1129)-2),F1129)="-"),0,IFERROR(VALUE(IF(AND(LEFT(F1129,1)="(",RIGHT(F1129,1)=")"),MID(F1129,2,LEN(F1129)-2),F1129))*IF(AND(LEFT(F1129,1)="(",RIGHT(F1129,1)=")"),-1,1)*IF(E1129="Cr",Setup!$B$6,1),"ERR")))</f>
        <v/>
      </c>
      <c r="H1129" s="6">
        <f>IF(C1129="","",IF(ISNUMBER(G1129),1,0))</f>
        <v/>
      </c>
      <c r="I1129" s="6">
        <f>IF(C1129="","",IF(SUMPRODUCT(($C$12:$C$1511=C1129)*1)&gt;1,1,0))</f>
        <v/>
      </c>
      <c r="J1129" s="6">
        <f>IF(C1129="","",SUMPRODUCT((Mapping!$F$5:$F$504=Setup!$B$4&amp;"||"&amp;C1129)*ROW(Mapping!$F$5:$F$504)))</f>
        <v/>
      </c>
      <c r="K1129" s="6">
        <f>IF(C1129="","",IF(J1129=0,"UNMAPPED",LOWER(INDEX(Mapping!$D$1:$D$504,J1129))))</f>
        <v/>
      </c>
      <c r="L1129" s="6">
        <f>IF(K1129="mapped",TRIM(INDEX(Mapping!$C$1:$C$504,J1129)),"")</f>
        <v/>
      </c>
      <c r="M1129" s="6">
        <f>IF(C1129="","",IF(SUMPRODUCT(($C$12:C1129=C1129)*1)=1,1,0))</f>
        <v/>
      </c>
      <c r="N1129" s="6">
        <f>IF(AND(K1129="UNMAPPED",M1129=1),ROW(),"")</f>
        <v/>
      </c>
      <c r="O1129" s="6">
        <f>IF(AND(I1129=1,M1129=1),ROW(),"")</f>
        <v/>
      </c>
      <c r="P1129" s="6">
        <f>IF(AND(K1129="ignored",M1129=1),ROW(),"")</f>
        <v/>
      </c>
    </row>
    <row r="1130">
      <c r="A1130" s="8" t="n"/>
      <c r="B1130" s="8" t="n"/>
      <c r="C1130" s="6">
        <f>TRIM(A1130&amp;"")</f>
        <v/>
      </c>
      <c r="D1130" s="6">
        <f>IF(C1130="","",SUBSTITUTE(SUBSTITUTE(SUBSTITUTE(SUBSTITUTE(SUBSTITUTE(SUBSTITUTE(SUBSTITUTE(UPPER(TRIM(B1130&amp;"")),"₹",""),"RS.",""),"RS",""),"INR",""),"$",""),",","")," ",""))</f>
        <v/>
      </c>
      <c r="E1130" s="6">
        <f>IF(C1130="","",IF(RIGHT(D1130,2)="CR","Cr",IF(RIGHT(D1130,2)="DR","Dr","")))</f>
        <v/>
      </c>
      <c r="F1130" s="6">
        <f>IF(C1130="","",IF(E1130&lt;&gt;"",LEFT(D1130,LEN(D1130)-2),D1130))</f>
        <v/>
      </c>
      <c r="G1130" s="13">
        <f>IF(C1130="","",IF(OR(IF(AND(LEFT(F1130,1)="(",RIGHT(F1130,1)=")"),MID(F1130,2,LEN(F1130)-2),F1130)="",IF(AND(LEFT(F1130,1)="(",RIGHT(F1130,1)=")"),MID(F1130,2,LEN(F1130)-2),F1130)="-"),0,IFERROR(VALUE(IF(AND(LEFT(F1130,1)="(",RIGHT(F1130,1)=")"),MID(F1130,2,LEN(F1130)-2),F1130))*IF(AND(LEFT(F1130,1)="(",RIGHT(F1130,1)=")"),-1,1)*IF(E1130="Cr",Setup!$B$6,1),"ERR")))</f>
        <v/>
      </c>
      <c r="H1130" s="6">
        <f>IF(C1130="","",IF(ISNUMBER(G1130),1,0))</f>
        <v/>
      </c>
      <c r="I1130" s="6">
        <f>IF(C1130="","",IF(SUMPRODUCT(($C$12:$C$1511=C1130)*1)&gt;1,1,0))</f>
        <v/>
      </c>
      <c r="J1130" s="6">
        <f>IF(C1130="","",SUMPRODUCT((Mapping!$F$5:$F$504=Setup!$B$4&amp;"||"&amp;C1130)*ROW(Mapping!$F$5:$F$504)))</f>
        <v/>
      </c>
      <c r="K1130" s="6">
        <f>IF(C1130="","",IF(J1130=0,"UNMAPPED",LOWER(INDEX(Mapping!$D$1:$D$504,J1130))))</f>
        <v/>
      </c>
      <c r="L1130" s="6">
        <f>IF(K1130="mapped",TRIM(INDEX(Mapping!$C$1:$C$504,J1130)),"")</f>
        <v/>
      </c>
      <c r="M1130" s="6">
        <f>IF(C1130="","",IF(SUMPRODUCT(($C$12:C1130=C1130)*1)=1,1,0))</f>
        <v/>
      </c>
      <c r="N1130" s="6">
        <f>IF(AND(K1130="UNMAPPED",M1130=1),ROW(),"")</f>
        <v/>
      </c>
      <c r="O1130" s="6">
        <f>IF(AND(I1130=1,M1130=1),ROW(),"")</f>
        <v/>
      </c>
      <c r="P1130" s="6">
        <f>IF(AND(K1130="ignored",M1130=1),ROW(),"")</f>
        <v/>
      </c>
    </row>
    <row r="1131">
      <c r="A1131" s="8" t="n"/>
      <c r="B1131" s="8" t="n"/>
      <c r="C1131" s="6">
        <f>TRIM(A1131&amp;"")</f>
        <v/>
      </c>
      <c r="D1131" s="6">
        <f>IF(C1131="","",SUBSTITUTE(SUBSTITUTE(SUBSTITUTE(SUBSTITUTE(SUBSTITUTE(SUBSTITUTE(SUBSTITUTE(UPPER(TRIM(B1131&amp;"")),"₹",""),"RS.",""),"RS",""),"INR",""),"$",""),",","")," ",""))</f>
        <v/>
      </c>
      <c r="E1131" s="6">
        <f>IF(C1131="","",IF(RIGHT(D1131,2)="CR","Cr",IF(RIGHT(D1131,2)="DR","Dr","")))</f>
        <v/>
      </c>
      <c r="F1131" s="6">
        <f>IF(C1131="","",IF(E1131&lt;&gt;"",LEFT(D1131,LEN(D1131)-2),D1131))</f>
        <v/>
      </c>
      <c r="G1131" s="13">
        <f>IF(C1131="","",IF(OR(IF(AND(LEFT(F1131,1)="(",RIGHT(F1131,1)=")"),MID(F1131,2,LEN(F1131)-2),F1131)="",IF(AND(LEFT(F1131,1)="(",RIGHT(F1131,1)=")"),MID(F1131,2,LEN(F1131)-2),F1131)="-"),0,IFERROR(VALUE(IF(AND(LEFT(F1131,1)="(",RIGHT(F1131,1)=")"),MID(F1131,2,LEN(F1131)-2),F1131))*IF(AND(LEFT(F1131,1)="(",RIGHT(F1131,1)=")"),-1,1)*IF(E1131="Cr",Setup!$B$6,1),"ERR")))</f>
        <v/>
      </c>
      <c r="H1131" s="6">
        <f>IF(C1131="","",IF(ISNUMBER(G1131),1,0))</f>
        <v/>
      </c>
      <c r="I1131" s="6">
        <f>IF(C1131="","",IF(SUMPRODUCT(($C$12:$C$1511=C1131)*1)&gt;1,1,0))</f>
        <v/>
      </c>
      <c r="J1131" s="6">
        <f>IF(C1131="","",SUMPRODUCT((Mapping!$F$5:$F$504=Setup!$B$4&amp;"||"&amp;C1131)*ROW(Mapping!$F$5:$F$504)))</f>
        <v/>
      </c>
      <c r="K1131" s="6">
        <f>IF(C1131="","",IF(J1131=0,"UNMAPPED",LOWER(INDEX(Mapping!$D$1:$D$504,J1131))))</f>
        <v/>
      </c>
      <c r="L1131" s="6">
        <f>IF(K1131="mapped",TRIM(INDEX(Mapping!$C$1:$C$504,J1131)),"")</f>
        <v/>
      </c>
      <c r="M1131" s="6">
        <f>IF(C1131="","",IF(SUMPRODUCT(($C$12:C1131=C1131)*1)=1,1,0))</f>
        <v/>
      </c>
      <c r="N1131" s="6">
        <f>IF(AND(K1131="UNMAPPED",M1131=1),ROW(),"")</f>
        <v/>
      </c>
      <c r="O1131" s="6">
        <f>IF(AND(I1131=1,M1131=1),ROW(),"")</f>
        <v/>
      </c>
      <c r="P1131" s="6">
        <f>IF(AND(K1131="ignored",M1131=1),ROW(),"")</f>
        <v/>
      </c>
    </row>
    <row r="1132">
      <c r="A1132" s="8" t="n"/>
      <c r="B1132" s="8" t="n"/>
      <c r="C1132" s="6">
        <f>TRIM(A1132&amp;"")</f>
        <v/>
      </c>
      <c r="D1132" s="6">
        <f>IF(C1132="","",SUBSTITUTE(SUBSTITUTE(SUBSTITUTE(SUBSTITUTE(SUBSTITUTE(SUBSTITUTE(SUBSTITUTE(UPPER(TRIM(B1132&amp;"")),"₹",""),"RS.",""),"RS",""),"INR",""),"$",""),",","")," ",""))</f>
        <v/>
      </c>
      <c r="E1132" s="6">
        <f>IF(C1132="","",IF(RIGHT(D1132,2)="CR","Cr",IF(RIGHT(D1132,2)="DR","Dr","")))</f>
        <v/>
      </c>
      <c r="F1132" s="6">
        <f>IF(C1132="","",IF(E1132&lt;&gt;"",LEFT(D1132,LEN(D1132)-2),D1132))</f>
        <v/>
      </c>
      <c r="G1132" s="13">
        <f>IF(C1132="","",IF(OR(IF(AND(LEFT(F1132,1)="(",RIGHT(F1132,1)=")"),MID(F1132,2,LEN(F1132)-2),F1132)="",IF(AND(LEFT(F1132,1)="(",RIGHT(F1132,1)=")"),MID(F1132,2,LEN(F1132)-2),F1132)="-"),0,IFERROR(VALUE(IF(AND(LEFT(F1132,1)="(",RIGHT(F1132,1)=")"),MID(F1132,2,LEN(F1132)-2),F1132))*IF(AND(LEFT(F1132,1)="(",RIGHT(F1132,1)=")"),-1,1)*IF(E1132="Cr",Setup!$B$6,1),"ERR")))</f>
        <v/>
      </c>
      <c r="H1132" s="6">
        <f>IF(C1132="","",IF(ISNUMBER(G1132),1,0))</f>
        <v/>
      </c>
      <c r="I1132" s="6">
        <f>IF(C1132="","",IF(SUMPRODUCT(($C$12:$C$1511=C1132)*1)&gt;1,1,0))</f>
        <v/>
      </c>
      <c r="J1132" s="6">
        <f>IF(C1132="","",SUMPRODUCT((Mapping!$F$5:$F$504=Setup!$B$4&amp;"||"&amp;C1132)*ROW(Mapping!$F$5:$F$504)))</f>
        <v/>
      </c>
      <c r="K1132" s="6">
        <f>IF(C1132="","",IF(J1132=0,"UNMAPPED",LOWER(INDEX(Mapping!$D$1:$D$504,J1132))))</f>
        <v/>
      </c>
      <c r="L1132" s="6">
        <f>IF(K1132="mapped",TRIM(INDEX(Mapping!$C$1:$C$504,J1132)),"")</f>
        <v/>
      </c>
      <c r="M1132" s="6">
        <f>IF(C1132="","",IF(SUMPRODUCT(($C$12:C1132=C1132)*1)=1,1,0))</f>
        <v/>
      </c>
      <c r="N1132" s="6">
        <f>IF(AND(K1132="UNMAPPED",M1132=1),ROW(),"")</f>
        <v/>
      </c>
      <c r="O1132" s="6">
        <f>IF(AND(I1132=1,M1132=1),ROW(),"")</f>
        <v/>
      </c>
      <c r="P1132" s="6">
        <f>IF(AND(K1132="ignored",M1132=1),ROW(),"")</f>
        <v/>
      </c>
    </row>
    <row r="1133">
      <c r="A1133" s="8" t="n"/>
      <c r="B1133" s="8" t="n"/>
      <c r="C1133" s="6">
        <f>TRIM(A1133&amp;"")</f>
        <v/>
      </c>
      <c r="D1133" s="6">
        <f>IF(C1133="","",SUBSTITUTE(SUBSTITUTE(SUBSTITUTE(SUBSTITUTE(SUBSTITUTE(SUBSTITUTE(SUBSTITUTE(UPPER(TRIM(B1133&amp;"")),"₹",""),"RS.",""),"RS",""),"INR",""),"$",""),",","")," ",""))</f>
        <v/>
      </c>
      <c r="E1133" s="6">
        <f>IF(C1133="","",IF(RIGHT(D1133,2)="CR","Cr",IF(RIGHT(D1133,2)="DR","Dr","")))</f>
        <v/>
      </c>
      <c r="F1133" s="6">
        <f>IF(C1133="","",IF(E1133&lt;&gt;"",LEFT(D1133,LEN(D1133)-2),D1133))</f>
        <v/>
      </c>
      <c r="G1133" s="13">
        <f>IF(C1133="","",IF(OR(IF(AND(LEFT(F1133,1)="(",RIGHT(F1133,1)=")"),MID(F1133,2,LEN(F1133)-2),F1133)="",IF(AND(LEFT(F1133,1)="(",RIGHT(F1133,1)=")"),MID(F1133,2,LEN(F1133)-2),F1133)="-"),0,IFERROR(VALUE(IF(AND(LEFT(F1133,1)="(",RIGHT(F1133,1)=")"),MID(F1133,2,LEN(F1133)-2),F1133))*IF(AND(LEFT(F1133,1)="(",RIGHT(F1133,1)=")"),-1,1)*IF(E1133="Cr",Setup!$B$6,1),"ERR")))</f>
        <v/>
      </c>
      <c r="H1133" s="6">
        <f>IF(C1133="","",IF(ISNUMBER(G1133),1,0))</f>
        <v/>
      </c>
      <c r="I1133" s="6">
        <f>IF(C1133="","",IF(SUMPRODUCT(($C$12:$C$1511=C1133)*1)&gt;1,1,0))</f>
        <v/>
      </c>
      <c r="J1133" s="6">
        <f>IF(C1133="","",SUMPRODUCT((Mapping!$F$5:$F$504=Setup!$B$4&amp;"||"&amp;C1133)*ROW(Mapping!$F$5:$F$504)))</f>
        <v/>
      </c>
      <c r="K1133" s="6">
        <f>IF(C1133="","",IF(J1133=0,"UNMAPPED",LOWER(INDEX(Mapping!$D$1:$D$504,J1133))))</f>
        <v/>
      </c>
      <c r="L1133" s="6">
        <f>IF(K1133="mapped",TRIM(INDEX(Mapping!$C$1:$C$504,J1133)),"")</f>
        <v/>
      </c>
      <c r="M1133" s="6">
        <f>IF(C1133="","",IF(SUMPRODUCT(($C$12:C1133=C1133)*1)=1,1,0))</f>
        <v/>
      </c>
      <c r="N1133" s="6">
        <f>IF(AND(K1133="UNMAPPED",M1133=1),ROW(),"")</f>
        <v/>
      </c>
      <c r="O1133" s="6">
        <f>IF(AND(I1133=1,M1133=1),ROW(),"")</f>
        <v/>
      </c>
      <c r="P1133" s="6">
        <f>IF(AND(K1133="ignored",M1133=1),ROW(),"")</f>
        <v/>
      </c>
    </row>
    <row r="1134">
      <c r="A1134" s="8" t="n"/>
      <c r="B1134" s="8" t="n"/>
      <c r="C1134" s="6">
        <f>TRIM(A1134&amp;"")</f>
        <v/>
      </c>
      <c r="D1134" s="6">
        <f>IF(C1134="","",SUBSTITUTE(SUBSTITUTE(SUBSTITUTE(SUBSTITUTE(SUBSTITUTE(SUBSTITUTE(SUBSTITUTE(UPPER(TRIM(B1134&amp;"")),"₹",""),"RS.",""),"RS",""),"INR",""),"$",""),",","")," ",""))</f>
        <v/>
      </c>
      <c r="E1134" s="6">
        <f>IF(C1134="","",IF(RIGHT(D1134,2)="CR","Cr",IF(RIGHT(D1134,2)="DR","Dr","")))</f>
        <v/>
      </c>
      <c r="F1134" s="6">
        <f>IF(C1134="","",IF(E1134&lt;&gt;"",LEFT(D1134,LEN(D1134)-2),D1134))</f>
        <v/>
      </c>
      <c r="G1134" s="13">
        <f>IF(C1134="","",IF(OR(IF(AND(LEFT(F1134,1)="(",RIGHT(F1134,1)=")"),MID(F1134,2,LEN(F1134)-2),F1134)="",IF(AND(LEFT(F1134,1)="(",RIGHT(F1134,1)=")"),MID(F1134,2,LEN(F1134)-2),F1134)="-"),0,IFERROR(VALUE(IF(AND(LEFT(F1134,1)="(",RIGHT(F1134,1)=")"),MID(F1134,2,LEN(F1134)-2),F1134))*IF(AND(LEFT(F1134,1)="(",RIGHT(F1134,1)=")"),-1,1)*IF(E1134="Cr",Setup!$B$6,1),"ERR")))</f>
        <v/>
      </c>
      <c r="H1134" s="6">
        <f>IF(C1134="","",IF(ISNUMBER(G1134),1,0))</f>
        <v/>
      </c>
      <c r="I1134" s="6">
        <f>IF(C1134="","",IF(SUMPRODUCT(($C$12:$C$1511=C1134)*1)&gt;1,1,0))</f>
        <v/>
      </c>
      <c r="J1134" s="6">
        <f>IF(C1134="","",SUMPRODUCT((Mapping!$F$5:$F$504=Setup!$B$4&amp;"||"&amp;C1134)*ROW(Mapping!$F$5:$F$504)))</f>
        <v/>
      </c>
      <c r="K1134" s="6">
        <f>IF(C1134="","",IF(J1134=0,"UNMAPPED",LOWER(INDEX(Mapping!$D$1:$D$504,J1134))))</f>
        <v/>
      </c>
      <c r="L1134" s="6">
        <f>IF(K1134="mapped",TRIM(INDEX(Mapping!$C$1:$C$504,J1134)),"")</f>
        <v/>
      </c>
      <c r="M1134" s="6">
        <f>IF(C1134="","",IF(SUMPRODUCT(($C$12:C1134=C1134)*1)=1,1,0))</f>
        <v/>
      </c>
      <c r="N1134" s="6">
        <f>IF(AND(K1134="UNMAPPED",M1134=1),ROW(),"")</f>
        <v/>
      </c>
      <c r="O1134" s="6">
        <f>IF(AND(I1134=1,M1134=1),ROW(),"")</f>
        <v/>
      </c>
      <c r="P1134" s="6">
        <f>IF(AND(K1134="ignored",M1134=1),ROW(),"")</f>
        <v/>
      </c>
    </row>
    <row r="1135">
      <c r="A1135" s="8" t="n"/>
      <c r="B1135" s="8" t="n"/>
      <c r="C1135" s="6">
        <f>TRIM(A1135&amp;"")</f>
        <v/>
      </c>
      <c r="D1135" s="6">
        <f>IF(C1135="","",SUBSTITUTE(SUBSTITUTE(SUBSTITUTE(SUBSTITUTE(SUBSTITUTE(SUBSTITUTE(SUBSTITUTE(UPPER(TRIM(B1135&amp;"")),"₹",""),"RS.",""),"RS",""),"INR",""),"$",""),",","")," ",""))</f>
        <v/>
      </c>
      <c r="E1135" s="6">
        <f>IF(C1135="","",IF(RIGHT(D1135,2)="CR","Cr",IF(RIGHT(D1135,2)="DR","Dr","")))</f>
        <v/>
      </c>
      <c r="F1135" s="6">
        <f>IF(C1135="","",IF(E1135&lt;&gt;"",LEFT(D1135,LEN(D1135)-2),D1135))</f>
        <v/>
      </c>
      <c r="G1135" s="13">
        <f>IF(C1135="","",IF(OR(IF(AND(LEFT(F1135,1)="(",RIGHT(F1135,1)=")"),MID(F1135,2,LEN(F1135)-2),F1135)="",IF(AND(LEFT(F1135,1)="(",RIGHT(F1135,1)=")"),MID(F1135,2,LEN(F1135)-2),F1135)="-"),0,IFERROR(VALUE(IF(AND(LEFT(F1135,1)="(",RIGHT(F1135,1)=")"),MID(F1135,2,LEN(F1135)-2),F1135))*IF(AND(LEFT(F1135,1)="(",RIGHT(F1135,1)=")"),-1,1)*IF(E1135="Cr",Setup!$B$6,1),"ERR")))</f>
        <v/>
      </c>
      <c r="H1135" s="6">
        <f>IF(C1135="","",IF(ISNUMBER(G1135),1,0))</f>
        <v/>
      </c>
      <c r="I1135" s="6">
        <f>IF(C1135="","",IF(SUMPRODUCT(($C$12:$C$1511=C1135)*1)&gt;1,1,0))</f>
        <v/>
      </c>
      <c r="J1135" s="6">
        <f>IF(C1135="","",SUMPRODUCT((Mapping!$F$5:$F$504=Setup!$B$4&amp;"||"&amp;C1135)*ROW(Mapping!$F$5:$F$504)))</f>
        <v/>
      </c>
      <c r="K1135" s="6">
        <f>IF(C1135="","",IF(J1135=0,"UNMAPPED",LOWER(INDEX(Mapping!$D$1:$D$504,J1135))))</f>
        <v/>
      </c>
      <c r="L1135" s="6">
        <f>IF(K1135="mapped",TRIM(INDEX(Mapping!$C$1:$C$504,J1135)),"")</f>
        <v/>
      </c>
      <c r="M1135" s="6">
        <f>IF(C1135="","",IF(SUMPRODUCT(($C$12:C1135=C1135)*1)=1,1,0))</f>
        <v/>
      </c>
      <c r="N1135" s="6">
        <f>IF(AND(K1135="UNMAPPED",M1135=1),ROW(),"")</f>
        <v/>
      </c>
      <c r="O1135" s="6">
        <f>IF(AND(I1135=1,M1135=1),ROW(),"")</f>
        <v/>
      </c>
      <c r="P1135" s="6">
        <f>IF(AND(K1135="ignored",M1135=1),ROW(),"")</f>
        <v/>
      </c>
    </row>
    <row r="1136">
      <c r="A1136" s="8" t="n"/>
      <c r="B1136" s="8" t="n"/>
      <c r="C1136" s="6">
        <f>TRIM(A1136&amp;"")</f>
        <v/>
      </c>
      <c r="D1136" s="6">
        <f>IF(C1136="","",SUBSTITUTE(SUBSTITUTE(SUBSTITUTE(SUBSTITUTE(SUBSTITUTE(SUBSTITUTE(SUBSTITUTE(UPPER(TRIM(B1136&amp;"")),"₹",""),"RS.",""),"RS",""),"INR",""),"$",""),",","")," ",""))</f>
        <v/>
      </c>
      <c r="E1136" s="6">
        <f>IF(C1136="","",IF(RIGHT(D1136,2)="CR","Cr",IF(RIGHT(D1136,2)="DR","Dr","")))</f>
        <v/>
      </c>
      <c r="F1136" s="6">
        <f>IF(C1136="","",IF(E1136&lt;&gt;"",LEFT(D1136,LEN(D1136)-2),D1136))</f>
        <v/>
      </c>
      <c r="G1136" s="13">
        <f>IF(C1136="","",IF(OR(IF(AND(LEFT(F1136,1)="(",RIGHT(F1136,1)=")"),MID(F1136,2,LEN(F1136)-2),F1136)="",IF(AND(LEFT(F1136,1)="(",RIGHT(F1136,1)=")"),MID(F1136,2,LEN(F1136)-2),F1136)="-"),0,IFERROR(VALUE(IF(AND(LEFT(F1136,1)="(",RIGHT(F1136,1)=")"),MID(F1136,2,LEN(F1136)-2),F1136))*IF(AND(LEFT(F1136,1)="(",RIGHT(F1136,1)=")"),-1,1)*IF(E1136="Cr",Setup!$B$6,1),"ERR")))</f>
        <v/>
      </c>
      <c r="H1136" s="6">
        <f>IF(C1136="","",IF(ISNUMBER(G1136),1,0))</f>
        <v/>
      </c>
      <c r="I1136" s="6">
        <f>IF(C1136="","",IF(SUMPRODUCT(($C$12:$C$1511=C1136)*1)&gt;1,1,0))</f>
        <v/>
      </c>
      <c r="J1136" s="6">
        <f>IF(C1136="","",SUMPRODUCT((Mapping!$F$5:$F$504=Setup!$B$4&amp;"||"&amp;C1136)*ROW(Mapping!$F$5:$F$504)))</f>
        <v/>
      </c>
      <c r="K1136" s="6">
        <f>IF(C1136="","",IF(J1136=0,"UNMAPPED",LOWER(INDEX(Mapping!$D$1:$D$504,J1136))))</f>
        <v/>
      </c>
      <c r="L1136" s="6">
        <f>IF(K1136="mapped",TRIM(INDEX(Mapping!$C$1:$C$504,J1136)),"")</f>
        <v/>
      </c>
      <c r="M1136" s="6">
        <f>IF(C1136="","",IF(SUMPRODUCT(($C$12:C1136=C1136)*1)=1,1,0))</f>
        <v/>
      </c>
      <c r="N1136" s="6">
        <f>IF(AND(K1136="UNMAPPED",M1136=1),ROW(),"")</f>
        <v/>
      </c>
      <c r="O1136" s="6">
        <f>IF(AND(I1136=1,M1136=1),ROW(),"")</f>
        <v/>
      </c>
      <c r="P1136" s="6">
        <f>IF(AND(K1136="ignored",M1136=1),ROW(),"")</f>
        <v/>
      </c>
    </row>
    <row r="1137">
      <c r="A1137" s="8" t="n"/>
      <c r="B1137" s="8" t="n"/>
      <c r="C1137" s="6">
        <f>TRIM(A1137&amp;"")</f>
        <v/>
      </c>
      <c r="D1137" s="6">
        <f>IF(C1137="","",SUBSTITUTE(SUBSTITUTE(SUBSTITUTE(SUBSTITUTE(SUBSTITUTE(SUBSTITUTE(SUBSTITUTE(UPPER(TRIM(B1137&amp;"")),"₹",""),"RS.",""),"RS",""),"INR",""),"$",""),",","")," ",""))</f>
        <v/>
      </c>
      <c r="E1137" s="6">
        <f>IF(C1137="","",IF(RIGHT(D1137,2)="CR","Cr",IF(RIGHT(D1137,2)="DR","Dr","")))</f>
        <v/>
      </c>
      <c r="F1137" s="6">
        <f>IF(C1137="","",IF(E1137&lt;&gt;"",LEFT(D1137,LEN(D1137)-2),D1137))</f>
        <v/>
      </c>
      <c r="G1137" s="13">
        <f>IF(C1137="","",IF(OR(IF(AND(LEFT(F1137,1)="(",RIGHT(F1137,1)=")"),MID(F1137,2,LEN(F1137)-2),F1137)="",IF(AND(LEFT(F1137,1)="(",RIGHT(F1137,1)=")"),MID(F1137,2,LEN(F1137)-2),F1137)="-"),0,IFERROR(VALUE(IF(AND(LEFT(F1137,1)="(",RIGHT(F1137,1)=")"),MID(F1137,2,LEN(F1137)-2),F1137))*IF(AND(LEFT(F1137,1)="(",RIGHT(F1137,1)=")"),-1,1)*IF(E1137="Cr",Setup!$B$6,1),"ERR")))</f>
        <v/>
      </c>
      <c r="H1137" s="6">
        <f>IF(C1137="","",IF(ISNUMBER(G1137),1,0))</f>
        <v/>
      </c>
      <c r="I1137" s="6">
        <f>IF(C1137="","",IF(SUMPRODUCT(($C$12:$C$1511=C1137)*1)&gt;1,1,0))</f>
        <v/>
      </c>
      <c r="J1137" s="6">
        <f>IF(C1137="","",SUMPRODUCT((Mapping!$F$5:$F$504=Setup!$B$4&amp;"||"&amp;C1137)*ROW(Mapping!$F$5:$F$504)))</f>
        <v/>
      </c>
      <c r="K1137" s="6">
        <f>IF(C1137="","",IF(J1137=0,"UNMAPPED",LOWER(INDEX(Mapping!$D$1:$D$504,J1137))))</f>
        <v/>
      </c>
      <c r="L1137" s="6">
        <f>IF(K1137="mapped",TRIM(INDEX(Mapping!$C$1:$C$504,J1137)),"")</f>
        <v/>
      </c>
      <c r="M1137" s="6">
        <f>IF(C1137="","",IF(SUMPRODUCT(($C$12:C1137=C1137)*1)=1,1,0))</f>
        <v/>
      </c>
      <c r="N1137" s="6">
        <f>IF(AND(K1137="UNMAPPED",M1137=1),ROW(),"")</f>
        <v/>
      </c>
      <c r="O1137" s="6">
        <f>IF(AND(I1137=1,M1137=1),ROW(),"")</f>
        <v/>
      </c>
      <c r="P1137" s="6">
        <f>IF(AND(K1137="ignored",M1137=1),ROW(),"")</f>
        <v/>
      </c>
    </row>
    <row r="1138">
      <c r="A1138" s="8" t="n"/>
      <c r="B1138" s="8" t="n"/>
      <c r="C1138" s="6">
        <f>TRIM(A1138&amp;"")</f>
        <v/>
      </c>
      <c r="D1138" s="6">
        <f>IF(C1138="","",SUBSTITUTE(SUBSTITUTE(SUBSTITUTE(SUBSTITUTE(SUBSTITUTE(SUBSTITUTE(SUBSTITUTE(UPPER(TRIM(B1138&amp;"")),"₹",""),"RS.",""),"RS",""),"INR",""),"$",""),",","")," ",""))</f>
        <v/>
      </c>
      <c r="E1138" s="6">
        <f>IF(C1138="","",IF(RIGHT(D1138,2)="CR","Cr",IF(RIGHT(D1138,2)="DR","Dr","")))</f>
        <v/>
      </c>
      <c r="F1138" s="6">
        <f>IF(C1138="","",IF(E1138&lt;&gt;"",LEFT(D1138,LEN(D1138)-2),D1138))</f>
        <v/>
      </c>
      <c r="G1138" s="13">
        <f>IF(C1138="","",IF(OR(IF(AND(LEFT(F1138,1)="(",RIGHT(F1138,1)=")"),MID(F1138,2,LEN(F1138)-2),F1138)="",IF(AND(LEFT(F1138,1)="(",RIGHT(F1138,1)=")"),MID(F1138,2,LEN(F1138)-2),F1138)="-"),0,IFERROR(VALUE(IF(AND(LEFT(F1138,1)="(",RIGHT(F1138,1)=")"),MID(F1138,2,LEN(F1138)-2),F1138))*IF(AND(LEFT(F1138,1)="(",RIGHT(F1138,1)=")"),-1,1)*IF(E1138="Cr",Setup!$B$6,1),"ERR")))</f>
        <v/>
      </c>
      <c r="H1138" s="6">
        <f>IF(C1138="","",IF(ISNUMBER(G1138),1,0))</f>
        <v/>
      </c>
      <c r="I1138" s="6">
        <f>IF(C1138="","",IF(SUMPRODUCT(($C$12:$C$1511=C1138)*1)&gt;1,1,0))</f>
        <v/>
      </c>
      <c r="J1138" s="6">
        <f>IF(C1138="","",SUMPRODUCT((Mapping!$F$5:$F$504=Setup!$B$4&amp;"||"&amp;C1138)*ROW(Mapping!$F$5:$F$504)))</f>
        <v/>
      </c>
      <c r="K1138" s="6">
        <f>IF(C1138="","",IF(J1138=0,"UNMAPPED",LOWER(INDEX(Mapping!$D$1:$D$504,J1138))))</f>
        <v/>
      </c>
      <c r="L1138" s="6">
        <f>IF(K1138="mapped",TRIM(INDEX(Mapping!$C$1:$C$504,J1138)),"")</f>
        <v/>
      </c>
      <c r="M1138" s="6">
        <f>IF(C1138="","",IF(SUMPRODUCT(($C$12:C1138=C1138)*1)=1,1,0))</f>
        <v/>
      </c>
      <c r="N1138" s="6">
        <f>IF(AND(K1138="UNMAPPED",M1138=1),ROW(),"")</f>
        <v/>
      </c>
      <c r="O1138" s="6">
        <f>IF(AND(I1138=1,M1138=1),ROW(),"")</f>
        <v/>
      </c>
      <c r="P1138" s="6">
        <f>IF(AND(K1138="ignored",M1138=1),ROW(),"")</f>
        <v/>
      </c>
    </row>
    <row r="1139">
      <c r="A1139" s="8" t="n"/>
      <c r="B1139" s="8" t="n"/>
      <c r="C1139" s="6">
        <f>TRIM(A1139&amp;"")</f>
        <v/>
      </c>
      <c r="D1139" s="6">
        <f>IF(C1139="","",SUBSTITUTE(SUBSTITUTE(SUBSTITUTE(SUBSTITUTE(SUBSTITUTE(SUBSTITUTE(SUBSTITUTE(UPPER(TRIM(B1139&amp;"")),"₹",""),"RS.",""),"RS",""),"INR",""),"$",""),",","")," ",""))</f>
        <v/>
      </c>
      <c r="E1139" s="6">
        <f>IF(C1139="","",IF(RIGHT(D1139,2)="CR","Cr",IF(RIGHT(D1139,2)="DR","Dr","")))</f>
        <v/>
      </c>
      <c r="F1139" s="6">
        <f>IF(C1139="","",IF(E1139&lt;&gt;"",LEFT(D1139,LEN(D1139)-2),D1139))</f>
        <v/>
      </c>
      <c r="G1139" s="13">
        <f>IF(C1139="","",IF(OR(IF(AND(LEFT(F1139,1)="(",RIGHT(F1139,1)=")"),MID(F1139,2,LEN(F1139)-2),F1139)="",IF(AND(LEFT(F1139,1)="(",RIGHT(F1139,1)=")"),MID(F1139,2,LEN(F1139)-2),F1139)="-"),0,IFERROR(VALUE(IF(AND(LEFT(F1139,1)="(",RIGHT(F1139,1)=")"),MID(F1139,2,LEN(F1139)-2),F1139))*IF(AND(LEFT(F1139,1)="(",RIGHT(F1139,1)=")"),-1,1)*IF(E1139="Cr",Setup!$B$6,1),"ERR")))</f>
        <v/>
      </c>
      <c r="H1139" s="6">
        <f>IF(C1139="","",IF(ISNUMBER(G1139),1,0))</f>
        <v/>
      </c>
      <c r="I1139" s="6">
        <f>IF(C1139="","",IF(SUMPRODUCT(($C$12:$C$1511=C1139)*1)&gt;1,1,0))</f>
        <v/>
      </c>
      <c r="J1139" s="6">
        <f>IF(C1139="","",SUMPRODUCT((Mapping!$F$5:$F$504=Setup!$B$4&amp;"||"&amp;C1139)*ROW(Mapping!$F$5:$F$504)))</f>
        <v/>
      </c>
      <c r="K1139" s="6">
        <f>IF(C1139="","",IF(J1139=0,"UNMAPPED",LOWER(INDEX(Mapping!$D$1:$D$504,J1139))))</f>
        <v/>
      </c>
      <c r="L1139" s="6">
        <f>IF(K1139="mapped",TRIM(INDEX(Mapping!$C$1:$C$504,J1139)),"")</f>
        <v/>
      </c>
      <c r="M1139" s="6">
        <f>IF(C1139="","",IF(SUMPRODUCT(($C$12:C1139=C1139)*1)=1,1,0))</f>
        <v/>
      </c>
      <c r="N1139" s="6">
        <f>IF(AND(K1139="UNMAPPED",M1139=1),ROW(),"")</f>
        <v/>
      </c>
      <c r="O1139" s="6">
        <f>IF(AND(I1139=1,M1139=1),ROW(),"")</f>
        <v/>
      </c>
      <c r="P1139" s="6">
        <f>IF(AND(K1139="ignored",M1139=1),ROW(),"")</f>
        <v/>
      </c>
    </row>
    <row r="1140">
      <c r="A1140" s="8" t="n"/>
      <c r="B1140" s="8" t="n"/>
      <c r="C1140" s="6">
        <f>TRIM(A1140&amp;"")</f>
        <v/>
      </c>
      <c r="D1140" s="6">
        <f>IF(C1140="","",SUBSTITUTE(SUBSTITUTE(SUBSTITUTE(SUBSTITUTE(SUBSTITUTE(SUBSTITUTE(SUBSTITUTE(UPPER(TRIM(B1140&amp;"")),"₹",""),"RS.",""),"RS",""),"INR",""),"$",""),",","")," ",""))</f>
        <v/>
      </c>
      <c r="E1140" s="6">
        <f>IF(C1140="","",IF(RIGHT(D1140,2)="CR","Cr",IF(RIGHT(D1140,2)="DR","Dr","")))</f>
        <v/>
      </c>
      <c r="F1140" s="6">
        <f>IF(C1140="","",IF(E1140&lt;&gt;"",LEFT(D1140,LEN(D1140)-2),D1140))</f>
        <v/>
      </c>
      <c r="G1140" s="13">
        <f>IF(C1140="","",IF(OR(IF(AND(LEFT(F1140,1)="(",RIGHT(F1140,1)=")"),MID(F1140,2,LEN(F1140)-2),F1140)="",IF(AND(LEFT(F1140,1)="(",RIGHT(F1140,1)=")"),MID(F1140,2,LEN(F1140)-2),F1140)="-"),0,IFERROR(VALUE(IF(AND(LEFT(F1140,1)="(",RIGHT(F1140,1)=")"),MID(F1140,2,LEN(F1140)-2),F1140))*IF(AND(LEFT(F1140,1)="(",RIGHT(F1140,1)=")"),-1,1)*IF(E1140="Cr",Setup!$B$6,1),"ERR")))</f>
        <v/>
      </c>
      <c r="H1140" s="6">
        <f>IF(C1140="","",IF(ISNUMBER(G1140),1,0))</f>
        <v/>
      </c>
      <c r="I1140" s="6">
        <f>IF(C1140="","",IF(SUMPRODUCT(($C$12:$C$1511=C1140)*1)&gt;1,1,0))</f>
        <v/>
      </c>
      <c r="J1140" s="6">
        <f>IF(C1140="","",SUMPRODUCT((Mapping!$F$5:$F$504=Setup!$B$4&amp;"||"&amp;C1140)*ROW(Mapping!$F$5:$F$504)))</f>
        <v/>
      </c>
      <c r="K1140" s="6">
        <f>IF(C1140="","",IF(J1140=0,"UNMAPPED",LOWER(INDEX(Mapping!$D$1:$D$504,J1140))))</f>
        <v/>
      </c>
      <c r="L1140" s="6">
        <f>IF(K1140="mapped",TRIM(INDEX(Mapping!$C$1:$C$504,J1140)),"")</f>
        <v/>
      </c>
      <c r="M1140" s="6">
        <f>IF(C1140="","",IF(SUMPRODUCT(($C$12:C1140=C1140)*1)=1,1,0))</f>
        <v/>
      </c>
      <c r="N1140" s="6">
        <f>IF(AND(K1140="UNMAPPED",M1140=1),ROW(),"")</f>
        <v/>
      </c>
      <c r="O1140" s="6">
        <f>IF(AND(I1140=1,M1140=1),ROW(),"")</f>
        <v/>
      </c>
      <c r="P1140" s="6">
        <f>IF(AND(K1140="ignored",M1140=1),ROW(),"")</f>
        <v/>
      </c>
    </row>
    <row r="1141">
      <c r="A1141" s="8" t="n"/>
      <c r="B1141" s="8" t="n"/>
      <c r="C1141" s="6">
        <f>TRIM(A1141&amp;"")</f>
        <v/>
      </c>
      <c r="D1141" s="6">
        <f>IF(C1141="","",SUBSTITUTE(SUBSTITUTE(SUBSTITUTE(SUBSTITUTE(SUBSTITUTE(SUBSTITUTE(SUBSTITUTE(UPPER(TRIM(B1141&amp;"")),"₹",""),"RS.",""),"RS",""),"INR",""),"$",""),",","")," ",""))</f>
        <v/>
      </c>
      <c r="E1141" s="6">
        <f>IF(C1141="","",IF(RIGHT(D1141,2)="CR","Cr",IF(RIGHT(D1141,2)="DR","Dr","")))</f>
        <v/>
      </c>
      <c r="F1141" s="6">
        <f>IF(C1141="","",IF(E1141&lt;&gt;"",LEFT(D1141,LEN(D1141)-2),D1141))</f>
        <v/>
      </c>
      <c r="G1141" s="13">
        <f>IF(C1141="","",IF(OR(IF(AND(LEFT(F1141,1)="(",RIGHT(F1141,1)=")"),MID(F1141,2,LEN(F1141)-2),F1141)="",IF(AND(LEFT(F1141,1)="(",RIGHT(F1141,1)=")"),MID(F1141,2,LEN(F1141)-2),F1141)="-"),0,IFERROR(VALUE(IF(AND(LEFT(F1141,1)="(",RIGHT(F1141,1)=")"),MID(F1141,2,LEN(F1141)-2),F1141))*IF(AND(LEFT(F1141,1)="(",RIGHT(F1141,1)=")"),-1,1)*IF(E1141="Cr",Setup!$B$6,1),"ERR")))</f>
        <v/>
      </c>
      <c r="H1141" s="6">
        <f>IF(C1141="","",IF(ISNUMBER(G1141),1,0))</f>
        <v/>
      </c>
      <c r="I1141" s="6">
        <f>IF(C1141="","",IF(SUMPRODUCT(($C$12:$C$1511=C1141)*1)&gt;1,1,0))</f>
        <v/>
      </c>
      <c r="J1141" s="6">
        <f>IF(C1141="","",SUMPRODUCT((Mapping!$F$5:$F$504=Setup!$B$4&amp;"||"&amp;C1141)*ROW(Mapping!$F$5:$F$504)))</f>
        <v/>
      </c>
      <c r="K1141" s="6">
        <f>IF(C1141="","",IF(J1141=0,"UNMAPPED",LOWER(INDEX(Mapping!$D$1:$D$504,J1141))))</f>
        <v/>
      </c>
      <c r="L1141" s="6">
        <f>IF(K1141="mapped",TRIM(INDEX(Mapping!$C$1:$C$504,J1141)),"")</f>
        <v/>
      </c>
      <c r="M1141" s="6">
        <f>IF(C1141="","",IF(SUMPRODUCT(($C$12:C1141=C1141)*1)=1,1,0))</f>
        <v/>
      </c>
      <c r="N1141" s="6">
        <f>IF(AND(K1141="UNMAPPED",M1141=1),ROW(),"")</f>
        <v/>
      </c>
      <c r="O1141" s="6">
        <f>IF(AND(I1141=1,M1141=1),ROW(),"")</f>
        <v/>
      </c>
      <c r="P1141" s="6">
        <f>IF(AND(K1141="ignored",M1141=1),ROW(),"")</f>
        <v/>
      </c>
    </row>
    <row r="1142">
      <c r="A1142" s="8" t="n"/>
      <c r="B1142" s="8" t="n"/>
      <c r="C1142" s="6">
        <f>TRIM(A1142&amp;"")</f>
        <v/>
      </c>
      <c r="D1142" s="6">
        <f>IF(C1142="","",SUBSTITUTE(SUBSTITUTE(SUBSTITUTE(SUBSTITUTE(SUBSTITUTE(SUBSTITUTE(SUBSTITUTE(UPPER(TRIM(B1142&amp;"")),"₹",""),"RS.",""),"RS",""),"INR",""),"$",""),",","")," ",""))</f>
        <v/>
      </c>
      <c r="E1142" s="6">
        <f>IF(C1142="","",IF(RIGHT(D1142,2)="CR","Cr",IF(RIGHT(D1142,2)="DR","Dr","")))</f>
        <v/>
      </c>
      <c r="F1142" s="6">
        <f>IF(C1142="","",IF(E1142&lt;&gt;"",LEFT(D1142,LEN(D1142)-2),D1142))</f>
        <v/>
      </c>
      <c r="G1142" s="13">
        <f>IF(C1142="","",IF(OR(IF(AND(LEFT(F1142,1)="(",RIGHT(F1142,1)=")"),MID(F1142,2,LEN(F1142)-2),F1142)="",IF(AND(LEFT(F1142,1)="(",RIGHT(F1142,1)=")"),MID(F1142,2,LEN(F1142)-2),F1142)="-"),0,IFERROR(VALUE(IF(AND(LEFT(F1142,1)="(",RIGHT(F1142,1)=")"),MID(F1142,2,LEN(F1142)-2),F1142))*IF(AND(LEFT(F1142,1)="(",RIGHT(F1142,1)=")"),-1,1)*IF(E1142="Cr",Setup!$B$6,1),"ERR")))</f>
        <v/>
      </c>
      <c r="H1142" s="6">
        <f>IF(C1142="","",IF(ISNUMBER(G1142),1,0))</f>
        <v/>
      </c>
      <c r="I1142" s="6">
        <f>IF(C1142="","",IF(SUMPRODUCT(($C$12:$C$1511=C1142)*1)&gt;1,1,0))</f>
        <v/>
      </c>
      <c r="J1142" s="6">
        <f>IF(C1142="","",SUMPRODUCT((Mapping!$F$5:$F$504=Setup!$B$4&amp;"||"&amp;C1142)*ROW(Mapping!$F$5:$F$504)))</f>
        <v/>
      </c>
      <c r="K1142" s="6">
        <f>IF(C1142="","",IF(J1142=0,"UNMAPPED",LOWER(INDEX(Mapping!$D$1:$D$504,J1142))))</f>
        <v/>
      </c>
      <c r="L1142" s="6">
        <f>IF(K1142="mapped",TRIM(INDEX(Mapping!$C$1:$C$504,J1142)),"")</f>
        <v/>
      </c>
      <c r="M1142" s="6">
        <f>IF(C1142="","",IF(SUMPRODUCT(($C$12:C1142=C1142)*1)=1,1,0))</f>
        <v/>
      </c>
      <c r="N1142" s="6">
        <f>IF(AND(K1142="UNMAPPED",M1142=1),ROW(),"")</f>
        <v/>
      </c>
      <c r="O1142" s="6">
        <f>IF(AND(I1142=1,M1142=1),ROW(),"")</f>
        <v/>
      </c>
      <c r="P1142" s="6">
        <f>IF(AND(K1142="ignored",M1142=1),ROW(),"")</f>
        <v/>
      </c>
    </row>
    <row r="1143">
      <c r="A1143" s="8" t="n"/>
      <c r="B1143" s="8" t="n"/>
      <c r="C1143" s="6">
        <f>TRIM(A1143&amp;"")</f>
        <v/>
      </c>
      <c r="D1143" s="6">
        <f>IF(C1143="","",SUBSTITUTE(SUBSTITUTE(SUBSTITUTE(SUBSTITUTE(SUBSTITUTE(SUBSTITUTE(SUBSTITUTE(UPPER(TRIM(B1143&amp;"")),"₹",""),"RS.",""),"RS",""),"INR",""),"$",""),",","")," ",""))</f>
        <v/>
      </c>
      <c r="E1143" s="6">
        <f>IF(C1143="","",IF(RIGHT(D1143,2)="CR","Cr",IF(RIGHT(D1143,2)="DR","Dr","")))</f>
        <v/>
      </c>
      <c r="F1143" s="6">
        <f>IF(C1143="","",IF(E1143&lt;&gt;"",LEFT(D1143,LEN(D1143)-2),D1143))</f>
        <v/>
      </c>
      <c r="G1143" s="13">
        <f>IF(C1143="","",IF(OR(IF(AND(LEFT(F1143,1)="(",RIGHT(F1143,1)=")"),MID(F1143,2,LEN(F1143)-2),F1143)="",IF(AND(LEFT(F1143,1)="(",RIGHT(F1143,1)=")"),MID(F1143,2,LEN(F1143)-2),F1143)="-"),0,IFERROR(VALUE(IF(AND(LEFT(F1143,1)="(",RIGHT(F1143,1)=")"),MID(F1143,2,LEN(F1143)-2),F1143))*IF(AND(LEFT(F1143,1)="(",RIGHT(F1143,1)=")"),-1,1)*IF(E1143="Cr",Setup!$B$6,1),"ERR")))</f>
        <v/>
      </c>
      <c r="H1143" s="6">
        <f>IF(C1143="","",IF(ISNUMBER(G1143),1,0))</f>
        <v/>
      </c>
      <c r="I1143" s="6">
        <f>IF(C1143="","",IF(SUMPRODUCT(($C$12:$C$1511=C1143)*1)&gt;1,1,0))</f>
        <v/>
      </c>
      <c r="J1143" s="6">
        <f>IF(C1143="","",SUMPRODUCT((Mapping!$F$5:$F$504=Setup!$B$4&amp;"||"&amp;C1143)*ROW(Mapping!$F$5:$F$504)))</f>
        <v/>
      </c>
      <c r="K1143" s="6">
        <f>IF(C1143="","",IF(J1143=0,"UNMAPPED",LOWER(INDEX(Mapping!$D$1:$D$504,J1143))))</f>
        <v/>
      </c>
      <c r="L1143" s="6">
        <f>IF(K1143="mapped",TRIM(INDEX(Mapping!$C$1:$C$504,J1143)),"")</f>
        <v/>
      </c>
      <c r="M1143" s="6">
        <f>IF(C1143="","",IF(SUMPRODUCT(($C$12:C1143=C1143)*1)=1,1,0))</f>
        <v/>
      </c>
      <c r="N1143" s="6">
        <f>IF(AND(K1143="UNMAPPED",M1143=1),ROW(),"")</f>
        <v/>
      </c>
      <c r="O1143" s="6">
        <f>IF(AND(I1143=1,M1143=1),ROW(),"")</f>
        <v/>
      </c>
      <c r="P1143" s="6">
        <f>IF(AND(K1143="ignored",M1143=1),ROW(),"")</f>
        <v/>
      </c>
    </row>
    <row r="1144">
      <c r="A1144" s="8" t="n"/>
      <c r="B1144" s="8" t="n"/>
      <c r="C1144" s="6">
        <f>TRIM(A1144&amp;"")</f>
        <v/>
      </c>
      <c r="D1144" s="6">
        <f>IF(C1144="","",SUBSTITUTE(SUBSTITUTE(SUBSTITUTE(SUBSTITUTE(SUBSTITUTE(SUBSTITUTE(SUBSTITUTE(UPPER(TRIM(B1144&amp;"")),"₹",""),"RS.",""),"RS",""),"INR",""),"$",""),",","")," ",""))</f>
        <v/>
      </c>
      <c r="E1144" s="6">
        <f>IF(C1144="","",IF(RIGHT(D1144,2)="CR","Cr",IF(RIGHT(D1144,2)="DR","Dr","")))</f>
        <v/>
      </c>
      <c r="F1144" s="6">
        <f>IF(C1144="","",IF(E1144&lt;&gt;"",LEFT(D1144,LEN(D1144)-2),D1144))</f>
        <v/>
      </c>
      <c r="G1144" s="13">
        <f>IF(C1144="","",IF(OR(IF(AND(LEFT(F1144,1)="(",RIGHT(F1144,1)=")"),MID(F1144,2,LEN(F1144)-2),F1144)="",IF(AND(LEFT(F1144,1)="(",RIGHT(F1144,1)=")"),MID(F1144,2,LEN(F1144)-2),F1144)="-"),0,IFERROR(VALUE(IF(AND(LEFT(F1144,1)="(",RIGHT(F1144,1)=")"),MID(F1144,2,LEN(F1144)-2),F1144))*IF(AND(LEFT(F1144,1)="(",RIGHT(F1144,1)=")"),-1,1)*IF(E1144="Cr",Setup!$B$6,1),"ERR")))</f>
        <v/>
      </c>
      <c r="H1144" s="6">
        <f>IF(C1144="","",IF(ISNUMBER(G1144),1,0))</f>
        <v/>
      </c>
      <c r="I1144" s="6">
        <f>IF(C1144="","",IF(SUMPRODUCT(($C$12:$C$1511=C1144)*1)&gt;1,1,0))</f>
        <v/>
      </c>
      <c r="J1144" s="6">
        <f>IF(C1144="","",SUMPRODUCT((Mapping!$F$5:$F$504=Setup!$B$4&amp;"||"&amp;C1144)*ROW(Mapping!$F$5:$F$504)))</f>
        <v/>
      </c>
      <c r="K1144" s="6">
        <f>IF(C1144="","",IF(J1144=0,"UNMAPPED",LOWER(INDEX(Mapping!$D$1:$D$504,J1144))))</f>
        <v/>
      </c>
      <c r="L1144" s="6">
        <f>IF(K1144="mapped",TRIM(INDEX(Mapping!$C$1:$C$504,J1144)),"")</f>
        <v/>
      </c>
      <c r="M1144" s="6">
        <f>IF(C1144="","",IF(SUMPRODUCT(($C$12:C1144=C1144)*1)=1,1,0))</f>
        <v/>
      </c>
      <c r="N1144" s="6">
        <f>IF(AND(K1144="UNMAPPED",M1144=1),ROW(),"")</f>
        <v/>
      </c>
      <c r="O1144" s="6">
        <f>IF(AND(I1144=1,M1144=1),ROW(),"")</f>
        <v/>
      </c>
      <c r="P1144" s="6">
        <f>IF(AND(K1144="ignored",M1144=1),ROW(),"")</f>
        <v/>
      </c>
    </row>
    <row r="1145">
      <c r="A1145" s="8" t="n"/>
      <c r="B1145" s="8" t="n"/>
      <c r="C1145" s="6">
        <f>TRIM(A1145&amp;"")</f>
        <v/>
      </c>
      <c r="D1145" s="6">
        <f>IF(C1145="","",SUBSTITUTE(SUBSTITUTE(SUBSTITUTE(SUBSTITUTE(SUBSTITUTE(SUBSTITUTE(SUBSTITUTE(UPPER(TRIM(B1145&amp;"")),"₹",""),"RS.",""),"RS",""),"INR",""),"$",""),",","")," ",""))</f>
        <v/>
      </c>
      <c r="E1145" s="6">
        <f>IF(C1145="","",IF(RIGHT(D1145,2)="CR","Cr",IF(RIGHT(D1145,2)="DR","Dr","")))</f>
        <v/>
      </c>
      <c r="F1145" s="6">
        <f>IF(C1145="","",IF(E1145&lt;&gt;"",LEFT(D1145,LEN(D1145)-2),D1145))</f>
        <v/>
      </c>
      <c r="G1145" s="13">
        <f>IF(C1145="","",IF(OR(IF(AND(LEFT(F1145,1)="(",RIGHT(F1145,1)=")"),MID(F1145,2,LEN(F1145)-2),F1145)="",IF(AND(LEFT(F1145,1)="(",RIGHT(F1145,1)=")"),MID(F1145,2,LEN(F1145)-2),F1145)="-"),0,IFERROR(VALUE(IF(AND(LEFT(F1145,1)="(",RIGHT(F1145,1)=")"),MID(F1145,2,LEN(F1145)-2),F1145))*IF(AND(LEFT(F1145,1)="(",RIGHT(F1145,1)=")"),-1,1)*IF(E1145="Cr",Setup!$B$6,1),"ERR")))</f>
        <v/>
      </c>
      <c r="H1145" s="6">
        <f>IF(C1145="","",IF(ISNUMBER(G1145),1,0))</f>
        <v/>
      </c>
      <c r="I1145" s="6">
        <f>IF(C1145="","",IF(SUMPRODUCT(($C$12:$C$1511=C1145)*1)&gt;1,1,0))</f>
        <v/>
      </c>
      <c r="J1145" s="6">
        <f>IF(C1145="","",SUMPRODUCT((Mapping!$F$5:$F$504=Setup!$B$4&amp;"||"&amp;C1145)*ROW(Mapping!$F$5:$F$504)))</f>
        <v/>
      </c>
      <c r="K1145" s="6">
        <f>IF(C1145="","",IF(J1145=0,"UNMAPPED",LOWER(INDEX(Mapping!$D$1:$D$504,J1145))))</f>
        <v/>
      </c>
      <c r="L1145" s="6">
        <f>IF(K1145="mapped",TRIM(INDEX(Mapping!$C$1:$C$504,J1145)),"")</f>
        <v/>
      </c>
      <c r="M1145" s="6">
        <f>IF(C1145="","",IF(SUMPRODUCT(($C$12:C1145=C1145)*1)=1,1,0))</f>
        <v/>
      </c>
      <c r="N1145" s="6">
        <f>IF(AND(K1145="UNMAPPED",M1145=1),ROW(),"")</f>
        <v/>
      </c>
      <c r="O1145" s="6">
        <f>IF(AND(I1145=1,M1145=1),ROW(),"")</f>
        <v/>
      </c>
      <c r="P1145" s="6">
        <f>IF(AND(K1145="ignored",M1145=1),ROW(),"")</f>
        <v/>
      </c>
    </row>
    <row r="1146">
      <c r="A1146" s="8" t="n"/>
      <c r="B1146" s="8" t="n"/>
      <c r="C1146" s="6">
        <f>TRIM(A1146&amp;"")</f>
        <v/>
      </c>
      <c r="D1146" s="6">
        <f>IF(C1146="","",SUBSTITUTE(SUBSTITUTE(SUBSTITUTE(SUBSTITUTE(SUBSTITUTE(SUBSTITUTE(SUBSTITUTE(UPPER(TRIM(B1146&amp;"")),"₹",""),"RS.",""),"RS",""),"INR",""),"$",""),",","")," ",""))</f>
        <v/>
      </c>
      <c r="E1146" s="6">
        <f>IF(C1146="","",IF(RIGHT(D1146,2)="CR","Cr",IF(RIGHT(D1146,2)="DR","Dr","")))</f>
        <v/>
      </c>
      <c r="F1146" s="6">
        <f>IF(C1146="","",IF(E1146&lt;&gt;"",LEFT(D1146,LEN(D1146)-2),D1146))</f>
        <v/>
      </c>
      <c r="G1146" s="13">
        <f>IF(C1146="","",IF(OR(IF(AND(LEFT(F1146,1)="(",RIGHT(F1146,1)=")"),MID(F1146,2,LEN(F1146)-2),F1146)="",IF(AND(LEFT(F1146,1)="(",RIGHT(F1146,1)=")"),MID(F1146,2,LEN(F1146)-2),F1146)="-"),0,IFERROR(VALUE(IF(AND(LEFT(F1146,1)="(",RIGHT(F1146,1)=")"),MID(F1146,2,LEN(F1146)-2),F1146))*IF(AND(LEFT(F1146,1)="(",RIGHT(F1146,1)=")"),-1,1)*IF(E1146="Cr",Setup!$B$6,1),"ERR")))</f>
        <v/>
      </c>
      <c r="H1146" s="6">
        <f>IF(C1146="","",IF(ISNUMBER(G1146),1,0))</f>
        <v/>
      </c>
      <c r="I1146" s="6">
        <f>IF(C1146="","",IF(SUMPRODUCT(($C$12:$C$1511=C1146)*1)&gt;1,1,0))</f>
        <v/>
      </c>
      <c r="J1146" s="6">
        <f>IF(C1146="","",SUMPRODUCT((Mapping!$F$5:$F$504=Setup!$B$4&amp;"||"&amp;C1146)*ROW(Mapping!$F$5:$F$504)))</f>
        <v/>
      </c>
      <c r="K1146" s="6">
        <f>IF(C1146="","",IF(J1146=0,"UNMAPPED",LOWER(INDEX(Mapping!$D$1:$D$504,J1146))))</f>
        <v/>
      </c>
      <c r="L1146" s="6">
        <f>IF(K1146="mapped",TRIM(INDEX(Mapping!$C$1:$C$504,J1146)),"")</f>
        <v/>
      </c>
      <c r="M1146" s="6">
        <f>IF(C1146="","",IF(SUMPRODUCT(($C$12:C1146=C1146)*1)=1,1,0))</f>
        <v/>
      </c>
      <c r="N1146" s="6">
        <f>IF(AND(K1146="UNMAPPED",M1146=1),ROW(),"")</f>
        <v/>
      </c>
      <c r="O1146" s="6">
        <f>IF(AND(I1146=1,M1146=1),ROW(),"")</f>
        <v/>
      </c>
      <c r="P1146" s="6">
        <f>IF(AND(K1146="ignored",M1146=1),ROW(),"")</f>
        <v/>
      </c>
    </row>
    <row r="1147">
      <c r="A1147" s="8" t="n"/>
      <c r="B1147" s="8" t="n"/>
      <c r="C1147" s="6">
        <f>TRIM(A1147&amp;"")</f>
        <v/>
      </c>
      <c r="D1147" s="6">
        <f>IF(C1147="","",SUBSTITUTE(SUBSTITUTE(SUBSTITUTE(SUBSTITUTE(SUBSTITUTE(SUBSTITUTE(SUBSTITUTE(UPPER(TRIM(B1147&amp;"")),"₹",""),"RS.",""),"RS",""),"INR",""),"$",""),",","")," ",""))</f>
        <v/>
      </c>
      <c r="E1147" s="6">
        <f>IF(C1147="","",IF(RIGHT(D1147,2)="CR","Cr",IF(RIGHT(D1147,2)="DR","Dr","")))</f>
        <v/>
      </c>
      <c r="F1147" s="6">
        <f>IF(C1147="","",IF(E1147&lt;&gt;"",LEFT(D1147,LEN(D1147)-2),D1147))</f>
        <v/>
      </c>
      <c r="G1147" s="13">
        <f>IF(C1147="","",IF(OR(IF(AND(LEFT(F1147,1)="(",RIGHT(F1147,1)=")"),MID(F1147,2,LEN(F1147)-2),F1147)="",IF(AND(LEFT(F1147,1)="(",RIGHT(F1147,1)=")"),MID(F1147,2,LEN(F1147)-2),F1147)="-"),0,IFERROR(VALUE(IF(AND(LEFT(F1147,1)="(",RIGHT(F1147,1)=")"),MID(F1147,2,LEN(F1147)-2),F1147))*IF(AND(LEFT(F1147,1)="(",RIGHT(F1147,1)=")"),-1,1)*IF(E1147="Cr",Setup!$B$6,1),"ERR")))</f>
        <v/>
      </c>
      <c r="H1147" s="6">
        <f>IF(C1147="","",IF(ISNUMBER(G1147),1,0))</f>
        <v/>
      </c>
      <c r="I1147" s="6">
        <f>IF(C1147="","",IF(SUMPRODUCT(($C$12:$C$1511=C1147)*1)&gt;1,1,0))</f>
        <v/>
      </c>
      <c r="J1147" s="6">
        <f>IF(C1147="","",SUMPRODUCT((Mapping!$F$5:$F$504=Setup!$B$4&amp;"||"&amp;C1147)*ROW(Mapping!$F$5:$F$504)))</f>
        <v/>
      </c>
      <c r="K1147" s="6">
        <f>IF(C1147="","",IF(J1147=0,"UNMAPPED",LOWER(INDEX(Mapping!$D$1:$D$504,J1147))))</f>
        <v/>
      </c>
      <c r="L1147" s="6">
        <f>IF(K1147="mapped",TRIM(INDEX(Mapping!$C$1:$C$504,J1147)),"")</f>
        <v/>
      </c>
      <c r="M1147" s="6">
        <f>IF(C1147="","",IF(SUMPRODUCT(($C$12:C1147=C1147)*1)=1,1,0))</f>
        <v/>
      </c>
      <c r="N1147" s="6">
        <f>IF(AND(K1147="UNMAPPED",M1147=1),ROW(),"")</f>
        <v/>
      </c>
      <c r="O1147" s="6">
        <f>IF(AND(I1147=1,M1147=1),ROW(),"")</f>
        <v/>
      </c>
      <c r="P1147" s="6">
        <f>IF(AND(K1147="ignored",M1147=1),ROW(),"")</f>
        <v/>
      </c>
    </row>
    <row r="1148">
      <c r="A1148" s="8" t="n"/>
      <c r="B1148" s="8" t="n"/>
      <c r="C1148" s="6">
        <f>TRIM(A1148&amp;"")</f>
        <v/>
      </c>
      <c r="D1148" s="6">
        <f>IF(C1148="","",SUBSTITUTE(SUBSTITUTE(SUBSTITUTE(SUBSTITUTE(SUBSTITUTE(SUBSTITUTE(SUBSTITUTE(UPPER(TRIM(B1148&amp;"")),"₹",""),"RS.",""),"RS",""),"INR",""),"$",""),",","")," ",""))</f>
        <v/>
      </c>
      <c r="E1148" s="6">
        <f>IF(C1148="","",IF(RIGHT(D1148,2)="CR","Cr",IF(RIGHT(D1148,2)="DR","Dr","")))</f>
        <v/>
      </c>
      <c r="F1148" s="6">
        <f>IF(C1148="","",IF(E1148&lt;&gt;"",LEFT(D1148,LEN(D1148)-2),D1148))</f>
        <v/>
      </c>
      <c r="G1148" s="13">
        <f>IF(C1148="","",IF(OR(IF(AND(LEFT(F1148,1)="(",RIGHT(F1148,1)=")"),MID(F1148,2,LEN(F1148)-2),F1148)="",IF(AND(LEFT(F1148,1)="(",RIGHT(F1148,1)=")"),MID(F1148,2,LEN(F1148)-2),F1148)="-"),0,IFERROR(VALUE(IF(AND(LEFT(F1148,1)="(",RIGHT(F1148,1)=")"),MID(F1148,2,LEN(F1148)-2),F1148))*IF(AND(LEFT(F1148,1)="(",RIGHT(F1148,1)=")"),-1,1)*IF(E1148="Cr",Setup!$B$6,1),"ERR")))</f>
        <v/>
      </c>
      <c r="H1148" s="6">
        <f>IF(C1148="","",IF(ISNUMBER(G1148),1,0))</f>
        <v/>
      </c>
      <c r="I1148" s="6">
        <f>IF(C1148="","",IF(SUMPRODUCT(($C$12:$C$1511=C1148)*1)&gt;1,1,0))</f>
        <v/>
      </c>
      <c r="J1148" s="6">
        <f>IF(C1148="","",SUMPRODUCT((Mapping!$F$5:$F$504=Setup!$B$4&amp;"||"&amp;C1148)*ROW(Mapping!$F$5:$F$504)))</f>
        <v/>
      </c>
      <c r="K1148" s="6">
        <f>IF(C1148="","",IF(J1148=0,"UNMAPPED",LOWER(INDEX(Mapping!$D$1:$D$504,J1148))))</f>
        <v/>
      </c>
      <c r="L1148" s="6">
        <f>IF(K1148="mapped",TRIM(INDEX(Mapping!$C$1:$C$504,J1148)),"")</f>
        <v/>
      </c>
      <c r="M1148" s="6">
        <f>IF(C1148="","",IF(SUMPRODUCT(($C$12:C1148=C1148)*1)=1,1,0))</f>
        <v/>
      </c>
      <c r="N1148" s="6">
        <f>IF(AND(K1148="UNMAPPED",M1148=1),ROW(),"")</f>
        <v/>
      </c>
      <c r="O1148" s="6">
        <f>IF(AND(I1148=1,M1148=1),ROW(),"")</f>
        <v/>
      </c>
      <c r="P1148" s="6">
        <f>IF(AND(K1148="ignored",M1148=1),ROW(),"")</f>
        <v/>
      </c>
    </row>
    <row r="1149">
      <c r="A1149" s="8" t="n"/>
      <c r="B1149" s="8" t="n"/>
      <c r="C1149" s="6">
        <f>TRIM(A1149&amp;"")</f>
        <v/>
      </c>
      <c r="D1149" s="6">
        <f>IF(C1149="","",SUBSTITUTE(SUBSTITUTE(SUBSTITUTE(SUBSTITUTE(SUBSTITUTE(SUBSTITUTE(SUBSTITUTE(UPPER(TRIM(B1149&amp;"")),"₹",""),"RS.",""),"RS",""),"INR",""),"$",""),",","")," ",""))</f>
        <v/>
      </c>
      <c r="E1149" s="6">
        <f>IF(C1149="","",IF(RIGHT(D1149,2)="CR","Cr",IF(RIGHT(D1149,2)="DR","Dr","")))</f>
        <v/>
      </c>
      <c r="F1149" s="6">
        <f>IF(C1149="","",IF(E1149&lt;&gt;"",LEFT(D1149,LEN(D1149)-2),D1149))</f>
        <v/>
      </c>
      <c r="G1149" s="13">
        <f>IF(C1149="","",IF(OR(IF(AND(LEFT(F1149,1)="(",RIGHT(F1149,1)=")"),MID(F1149,2,LEN(F1149)-2),F1149)="",IF(AND(LEFT(F1149,1)="(",RIGHT(F1149,1)=")"),MID(F1149,2,LEN(F1149)-2),F1149)="-"),0,IFERROR(VALUE(IF(AND(LEFT(F1149,1)="(",RIGHT(F1149,1)=")"),MID(F1149,2,LEN(F1149)-2),F1149))*IF(AND(LEFT(F1149,1)="(",RIGHT(F1149,1)=")"),-1,1)*IF(E1149="Cr",Setup!$B$6,1),"ERR")))</f>
        <v/>
      </c>
      <c r="H1149" s="6">
        <f>IF(C1149="","",IF(ISNUMBER(G1149),1,0))</f>
        <v/>
      </c>
      <c r="I1149" s="6">
        <f>IF(C1149="","",IF(SUMPRODUCT(($C$12:$C$1511=C1149)*1)&gt;1,1,0))</f>
        <v/>
      </c>
      <c r="J1149" s="6">
        <f>IF(C1149="","",SUMPRODUCT((Mapping!$F$5:$F$504=Setup!$B$4&amp;"||"&amp;C1149)*ROW(Mapping!$F$5:$F$504)))</f>
        <v/>
      </c>
      <c r="K1149" s="6">
        <f>IF(C1149="","",IF(J1149=0,"UNMAPPED",LOWER(INDEX(Mapping!$D$1:$D$504,J1149))))</f>
        <v/>
      </c>
      <c r="L1149" s="6">
        <f>IF(K1149="mapped",TRIM(INDEX(Mapping!$C$1:$C$504,J1149)),"")</f>
        <v/>
      </c>
      <c r="M1149" s="6">
        <f>IF(C1149="","",IF(SUMPRODUCT(($C$12:C1149=C1149)*1)=1,1,0))</f>
        <v/>
      </c>
      <c r="N1149" s="6">
        <f>IF(AND(K1149="UNMAPPED",M1149=1),ROW(),"")</f>
        <v/>
      </c>
      <c r="O1149" s="6">
        <f>IF(AND(I1149=1,M1149=1),ROW(),"")</f>
        <v/>
      </c>
      <c r="P1149" s="6">
        <f>IF(AND(K1149="ignored",M1149=1),ROW(),"")</f>
        <v/>
      </c>
    </row>
    <row r="1150">
      <c r="A1150" s="8" t="n"/>
      <c r="B1150" s="8" t="n"/>
      <c r="C1150" s="6">
        <f>TRIM(A1150&amp;"")</f>
        <v/>
      </c>
      <c r="D1150" s="6">
        <f>IF(C1150="","",SUBSTITUTE(SUBSTITUTE(SUBSTITUTE(SUBSTITUTE(SUBSTITUTE(SUBSTITUTE(SUBSTITUTE(UPPER(TRIM(B1150&amp;"")),"₹",""),"RS.",""),"RS",""),"INR",""),"$",""),",","")," ",""))</f>
        <v/>
      </c>
      <c r="E1150" s="6">
        <f>IF(C1150="","",IF(RIGHT(D1150,2)="CR","Cr",IF(RIGHT(D1150,2)="DR","Dr","")))</f>
        <v/>
      </c>
      <c r="F1150" s="6">
        <f>IF(C1150="","",IF(E1150&lt;&gt;"",LEFT(D1150,LEN(D1150)-2),D1150))</f>
        <v/>
      </c>
      <c r="G1150" s="13">
        <f>IF(C1150="","",IF(OR(IF(AND(LEFT(F1150,1)="(",RIGHT(F1150,1)=")"),MID(F1150,2,LEN(F1150)-2),F1150)="",IF(AND(LEFT(F1150,1)="(",RIGHT(F1150,1)=")"),MID(F1150,2,LEN(F1150)-2),F1150)="-"),0,IFERROR(VALUE(IF(AND(LEFT(F1150,1)="(",RIGHT(F1150,1)=")"),MID(F1150,2,LEN(F1150)-2),F1150))*IF(AND(LEFT(F1150,1)="(",RIGHT(F1150,1)=")"),-1,1)*IF(E1150="Cr",Setup!$B$6,1),"ERR")))</f>
        <v/>
      </c>
      <c r="H1150" s="6">
        <f>IF(C1150="","",IF(ISNUMBER(G1150),1,0))</f>
        <v/>
      </c>
      <c r="I1150" s="6">
        <f>IF(C1150="","",IF(SUMPRODUCT(($C$12:$C$1511=C1150)*1)&gt;1,1,0))</f>
        <v/>
      </c>
      <c r="J1150" s="6">
        <f>IF(C1150="","",SUMPRODUCT((Mapping!$F$5:$F$504=Setup!$B$4&amp;"||"&amp;C1150)*ROW(Mapping!$F$5:$F$504)))</f>
        <v/>
      </c>
      <c r="K1150" s="6">
        <f>IF(C1150="","",IF(J1150=0,"UNMAPPED",LOWER(INDEX(Mapping!$D$1:$D$504,J1150))))</f>
        <v/>
      </c>
      <c r="L1150" s="6">
        <f>IF(K1150="mapped",TRIM(INDEX(Mapping!$C$1:$C$504,J1150)),"")</f>
        <v/>
      </c>
      <c r="M1150" s="6">
        <f>IF(C1150="","",IF(SUMPRODUCT(($C$12:C1150=C1150)*1)=1,1,0))</f>
        <v/>
      </c>
      <c r="N1150" s="6">
        <f>IF(AND(K1150="UNMAPPED",M1150=1),ROW(),"")</f>
        <v/>
      </c>
      <c r="O1150" s="6">
        <f>IF(AND(I1150=1,M1150=1),ROW(),"")</f>
        <v/>
      </c>
      <c r="P1150" s="6">
        <f>IF(AND(K1150="ignored",M1150=1),ROW(),"")</f>
        <v/>
      </c>
    </row>
    <row r="1151">
      <c r="A1151" s="8" t="n"/>
      <c r="B1151" s="8" t="n"/>
      <c r="C1151" s="6">
        <f>TRIM(A1151&amp;"")</f>
        <v/>
      </c>
      <c r="D1151" s="6">
        <f>IF(C1151="","",SUBSTITUTE(SUBSTITUTE(SUBSTITUTE(SUBSTITUTE(SUBSTITUTE(SUBSTITUTE(SUBSTITUTE(UPPER(TRIM(B1151&amp;"")),"₹",""),"RS.",""),"RS",""),"INR",""),"$",""),",","")," ",""))</f>
        <v/>
      </c>
      <c r="E1151" s="6">
        <f>IF(C1151="","",IF(RIGHT(D1151,2)="CR","Cr",IF(RIGHT(D1151,2)="DR","Dr","")))</f>
        <v/>
      </c>
      <c r="F1151" s="6">
        <f>IF(C1151="","",IF(E1151&lt;&gt;"",LEFT(D1151,LEN(D1151)-2),D1151))</f>
        <v/>
      </c>
      <c r="G1151" s="13">
        <f>IF(C1151="","",IF(OR(IF(AND(LEFT(F1151,1)="(",RIGHT(F1151,1)=")"),MID(F1151,2,LEN(F1151)-2),F1151)="",IF(AND(LEFT(F1151,1)="(",RIGHT(F1151,1)=")"),MID(F1151,2,LEN(F1151)-2),F1151)="-"),0,IFERROR(VALUE(IF(AND(LEFT(F1151,1)="(",RIGHT(F1151,1)=")"),MID(F1151,2,LEN(F1151)-2),F1151))*IF(AND(LEFT(F1151,1)="(",RIGHT(F1151,1)=")"),-1,1)*IF(E1151="Cr",Setup!$B$6,1),"ERR")))</f>
        <v/>
      </c>
      <c r="H1151" s="6">
        <f>IF(C1151="","",IF(ISNUMBER(G1151),1,0))</f>
        <v/>
      </c>
      <c r="I1151" s="6">
        <f>IF(C1151="","",IF(SUMPRODUCT(($C$12:$C$1511=C1151)*1)&gt;1,1,0))</f>
        <v/>
      </c>
      <c r="J1151" s="6">
        <f>IF(C1151="","",SUMPRODUCT((Mapping!$F$5:$F$504=Setup!$B$4&amp;"||"&amp;C1151)*ROW(Mapping!$F$5:$F$504)))</f>
        <v/>
      </c>
      <c r="K1151" s="6">
        <f>IF(C1151="","",IF(J1151=0,"UNMAPPED",LOWER(INDEX(Mapping!$D$1:$D$504,J1151))))</f>
        <v/>
      </c>
      <c r="L1151" s="6">
        <f>IF(K1151="mapped",TRIM(INDEX(Mapping!$C$1:$C$504,J1151)),"")</f>
        <v/>
      </c>
      <c r="M1151" s="6">
        <f>IF(C1151="","",IF(SUMPRODUCT(($C$12:C1151=C1151)*1)=1,1,0))</f>
        <v/>
      </c>
      <c r="N1151" s="6">
        <f>IF(AND(K1151="UNMAPPED",M1151=1),ROW(),"")</f>
        <v/>
      </c>
      <c r="O1151" s="6">
        <f>IF(AND(I1151=1,M1151=1),ROW(),"")</f>
        <v/>
      </c>
      <c r="P1151" s="6">
        <f>IF(AND(K1151="ignored",M1151=1),ROW(),"")</f>
        <v/>
      </c>
    </row>
    <row r="1152">
      <c r="A1152" s="8" t="n"/>
      <c r="B1152" s="8" t="n"/>
      <c r="C1152" s="6">
        <f>TRIM(A1152&amp;"")</f>
        <v/>
      </c>
      <c r="D1152" s="6">
        <f>IF(C1152="","",SUBSTITUTE(SUBSTITUTE(SUBSTITUTE(SUBSTITUTE(SUBSTITUTE(SUBSTITUTE(SUBSTITUTE(UPPER(TRIM(B1152&amp;"")),"₹",""),"RS.",""),"RS",""),"INR",""),"$",""),",","")," ",""))</f>
        <v/>
      </c>
      <c r="E1152" s="6">
        <f>IF(C1152="","",IF(RIGHT(D1152,2)="CR","Cr",IF(RIGHT(D1152,2)="DR","Dr","")))</f>
        <v/>
      </c>
      <c r="F1152" s="6">
        <f>IF(C1152="","",IF(E1152&lt;&gt;"",LEFT(D1152,LEN(D1152)-2),D1152))</f>
        <v/>
      </c>
      <c r="G1152" s="13">
        <f>IF(C1152="","",IF(OR(IF(AND(LEFT(F1152,1)="(",RIGHT(F1152,1)=")"),MID(F1152,2,LEN(F1152)-2),F1152)="",IF(AND(LEFT(F1152,1)="(",RIGHT(F1152,1)=")"),MID(F1152,2,LEN(F1152)-2),F1152)="-"),0,IFERROR(VALUE(IF(AND(LEFT(F1152,1)="(",RIGHT(F1152,1)=")"),MID(F1152,2,LEN(F1152)-2),F1152))*IF(AND(LEFT(F1152,1)="(",RIGHT(F1152,1)=")"),-1,1)*IF(E1152="Cr",Setup!$B$6,1),"ERR")))</f>
        <v/>
      </c>
      <c r="H1152" s="6">
        <f>IF(C1152="","",IF(ISNUMBER(G1152),1,0))</f>
        <v/>
      </c>
      <c r="I1152" s="6">
        <f>IF(C1152="","",IF(SUMPRODUCT(($C$12:$C$1511=C1152)*1)&gt;1,1,0))</f>
        <v/>
      </c>
      <c r="J1152" s="6">
        <f>IF(C1152="","",SUMPRODUCT((Mapping!$F$5:$F$504=Setup!$B$4&amp;"||"&amp;C1152)*ROW(Mapping!$F$5:$F$504)))</f>
        <v/>
      </c>
      <c r="K1152" s="6">
        <f>IF(C1152="","",IF(J1152=0,"UNMAPPED",LOWER(INDEX(Mapping!$D$1:$D$504,J1152))))</f>
        <v/>
      </c>
      <c r="L1152" s="6">
        <f>IF(K1152="mapped",TRIM(INDEX(Mapping!$C$1:$C$504,J1152)),"")</f>
        <v/>
      </c>
      <c r="M1152" s="6">
        <f>IF(C1152="","",IF(SUMPRODUCT(($C$12:C1152=C1152)*1)=1,1,0))</f>
        <v/>
      </c>
      <c r="N1152" s="6">
        <f>IF(AND(K1152="UNMAPPED",M1152=1),ROW(),"")</f>
        <v/>
      </c>
      <c r="O1152" s="6">
        <f>IF(AND(I1152=1,M1152=1),ROW(),"")</f>
        <v/>
      </c>
      <c r="P1152" s="6">
        <f>IF(AND(K1152="ignored",M1152=1),ROW(),"")</f>
        <v/>
      </c>
    </row>
    <row r="1153">
      <c r="A1153" s="8" t="n"/>
      <c r="B1153" s="8" t="n"/>
      <c r="C1153" s="6">
        <f>TRIM(A1153&amp;"")</f>
        <v/>
      </c>
      <c r="D1153" s="6">
        <f>IF(C1153="","",SUBSTITUTE(SUBSTITUTE(SUBSTITUTE(SUBSTITUTE(SUBSTITUTE(SUBSTITUTE(SUBSTITUTE(UPPER(TRIM(B1153&amp;"")),"₹",""),"RS.",""),"RS",""),"INR",""),"$",""),",","")," ",""))</f>
        <v/>
      </c>
      <c r="E1153" s="6">
        <f>IF(C1153="","",IF(RIGHT(D1153,2)="CR","Cr",IF(RIGHT(D1153,2)="DR","Dr","")))</f>
        <v/>
      </c>
      <c r="F1153" s="6">
        <f>IF(C1153="","",IF(E1153&lt;&gt;"",LEFT(D1153,LEN(D1153)-2),D1153))</f>
        <v/>
      </c>
      <c r="G1153" s="13">
        <f>IF(C1153="","",IF(OR(IF(AND(LEFT(F1153,1)="(",RIGHT(F1153,1)=")"),MID(F1153,2,LEN(F1153)-2),F1153)="",IF(AND(LEFT(F1153,1)="(",RIGHT(F1153,1)=")"),MID(F1153,2,LEN(F1153)-2),F1153)="-"),0,IFERROR(VALUE(IF(AND(LEFT(F1153,1)="(",RIGHT(F1153,1)=")"),MID(F1153,2,LEN(F1153)-2),F1153))*IF(AND(LEFT(F1153,1)="(",RIGHT(F1153,1)=")"),-1,1)*IF(E1153="Cr",Setup!$B$6,1),"ERR")))</f>
        <v/>
      </c>
      <c r="H1153" s="6">
        <f>IF(C1153="","",IF(ISNUMBER(G1153),1,0))</f>
        <v/>
      </c>
      <c r="I1153" s="6">
        <f>IF(C1153="","",IF(SUMPRODUCT(($C$12:$C$1511=C1153)*1)&gt;1,1,0))</f>
        <v/>
      </c>
      <c r="J1153" s="6">
        <f>IF(C1153="","",SUMPRODUCT((Mapping!$F$5:$F$504=Setup!$B$4&amp;"||"&amp;C1153)*ROW(Mapping!$F$5:$F$504)))</f>
        <v/>
      </c>
      <c r="K1153" s="6">
        <f>IF(C1153="","",IF(J1153=0,"UNMAPPED",LOWER(INDEX(Mapping!$D$1:$D$504,J1153))))</f>
        <v/>
      </c>
      <c r="L1153" s="6">
        <f>IF(K1153="mapped",TRIM(INDEX(Mapping!$C$1:$C$504,J1153)),"")</f>
        <v/>
      </c>
      <c r="M1153" s="6">
        <f>IF(C1153="","",IF(SUMPRODUCT(($C$12:C1153=C1153)*1)=1,1,0))</f>
        <v/>
      </c>
      <c r="N1153" s="6">
        <f>IF(AND(K1153="UNMAPPED",M1153=1),ROW(),"")</f>
        <v/>
      </c>
      <c r="O1153" s="6">
        <f>IF(AND(I1153=1,M1153=1),ROW(),"")</f>
        <v/>
      </c>
      <c r="P1153" s="6">
        <f>IF(AND(K1153="ignored",M1153=1),ROW(),"")</f>
        <v/>
      </c>
    </row>
    <row r="1154">
      <c r="A1154" s="8" t="n"/>
      <c r="B1154" s="8" t="n"/>
      <c r="C1154" s="6">
        <f>TRIM(A1154&amp;"")</f>
        <v/>
      </c>
      <c r="D1154" s="6">
        <f>IF(C1154="","",SUBSTITUTE(SUBSTITUTE(SUBSTITUTE(SUBSTITUTE(SUBSTITUTE(SUBSTITUTE(SUBSTITUTE(UPPER(TRIM(B1154&amp;"")),"₹",""),"RS.",""),"RS",""),"INR",""),"$",""),",","")," ",""))</f>
        <v/>
      </c>
      <c r="E1154" s="6">
        <f>IF(C1154="","",IF(RIGHT(D1154,2)="CR","Cr",IF(RIGHT(D1154,2)="DR","Dr","")))</f>
        <v/>
      </c>
      <c r="F1154" s="6">
        <f>IF(C1154="","",IF(E1154&lt;&gt;"",LEFT(D1154,LEN(D1154)-2),D1154))</f>
        <v/>
      </c>
      <c r="G1154" s="13">
        <f>IF(C1154="","",IF(OR(IF(AND(LEFT(F1154,1)="(",RIGHT(F1154,1)=")"),MID(F1154,2,LEN(F1154)-2),F1154)="",IF(AND(LEFT(F1154,1)="(",RIGHT(F1154,1)=")"),MID(F1154,2,LEN(F1154)-2),F1154)="-"),0,IFERROR(VALUE(IF(AND(LEFT(F1154,1)="(",RIGHT(F1154,1)=")"),MID(F1154,2,LEN(F1154)-2),F1154))*IF(AND(LEFT(F1154,1)="(",RIGHT(F1154,1)=")"),-1,1)*IF(E1154="Cr",Setup!$B$6,1),"ERR")))</f>
        <v/>
      </c>
      <c r="H1154" s="6">
        <f>IF(C1154="","",IF(ISNUMBER(G1154),1,0))</f>
        <v/>
      </c>
      <c r="I1154" s="6">
        <f>IF(C1154="","",IF(SUMPRODUCT(($C$12:$C$1511=C1154)*1)&gt;1,1,0))</f>
        <v/>
      </c>
      <c r="J1154" s="6">
        <f>IF(C1154="","",SUMPRODUCT((Mapping!$F$5:$F$504=Setup!$B$4&amp;"||"&amp;C1154)*ROW(Mapping!$F$5:$F$504)))</f>
        <v/>
      </c>
      <c r="K1154" s="6">
        <f>IF(C1154="","",IF(J1154=0,"UNMAPPED",LOWER(INDEX(Mapping!$D$1:$D$504,J1154))))</f>
        <v/>
      </c>
      <c r="L1154" s="6">
        <f>IF(K1154="mapped",TRIM(INDEX(Mapping!$C$1:$C$504,J1154)),"")</f>
        <v/>
      </c>
      <c r="M1154" s="6">
        <f>IF(C1154="","",IF(SUMPRODUCT(($C$12:C1154=C1154)*1)=1,1,0))</f>
        <v/>
      </c>
      <c r="N1154" s="6">
        <f>IF(AND(K1154="UNMAPPED",M1154=1),ROW(),"")</f>
        <v/>
      </c>
      <c r="O1154" s="6">
        <f>IF(AND(I1154=1,M1154=1),ROW(),"")</f>
        <v/>
      </c>
      <c r="P1154" s="6">
        <f>IF(AND(K1154="ignored",M1154=1),ROW(),"")</f>
        <v/>
      </c>
    </row>
    <row r="1155">
      <c r="A1155" s="8" t="n"/>
      <c r="B1155" s="8" t="n"/>
      <c r="C1155" s="6">
        <f>TRIM(A1155&amp;"")</f>
        <v/>
      </c>
      <c r="D1155" s="6">
        <f>IF(C1155="","",SUBSTITUTE(SUBSTITUTE(SUBSTITUTE(SUBSTITUTE(SUBSTITUTE(SUBSTITUTE(SUBSTITUTE(UPPER(TRIM(B1155&amp;"")),"₹",""),"RS.",""),"RS",""),"INR",""),"$",""),",","")," ",""))</f>
        <v/>
      </c>
      <c r="E1155" s="6">
        <f>IF(C1155="","",IF(RIGHT(D1155,2)="CR","Cr",IF(RIGHT(D1155,2)="DR","Dr","")))</f>
        <v/>
      </c>
      <c r="F1155" s="6">
        <f>IF(C1155="","",IF(E1155&lt;&gt;"",LEFT(D1155,LEN(D1155)-2),D1155))</f>
        <v/>
      </c>
      <c r="G1155" s="13">
        <f>IF(C1155="","",IF(OR(IF(AND(LEFT(F1155,1)="(",RIGHT(F1155,1)=")"),MID(F1155,2,LEN(F1155)-2),F1155)="",IF(AND(LEFT(F1155,1)="(",RIGHT(F1155,1)=")"),MID(F1155,2,LEN(F1155)-2),F1155)="-"),0,IFERROR(VALUE(IF(AND(LEFT(F1155,1)="(",RIGHT(F1155,1)=")"),MID(F1155,2,LEN(F1155)-2),F1155))*IF(AND(LEFT(F1155,1)="(",RIGHT(F1155,1)=")"),-1,1)*IF(E1155="Cr",Setup!$B$6,1),"ERR")))</f>
        <v/>
      </c>
      <c r="H1155" s="6">
        <f>IF(C1155="","",IF(ISNUMBER(G1155),1,0))</f>
        <v/>
      </c>
      <c r="I1155" s="6">
        <f>IF(C1155="","",IF(SUMPRODUCT(($C$12:$C$1511=C1155)*1)&gt;1,1,0))</f>
        <v/>
      </c>
      <c r="J1155" s="6">
        <f>IF(C1155="","",SUMPRODUCT((Mapping!$F$5:$F$504=Setup!$B$4&amp;"||"&amp;C1155)*ROW(Mapping!$F$5:$F$504)))</f>
        <v/>
      </c>
      <c r="K1155" s="6">
        <f>IF(C1155="","",IF(J1155=0,"UNMAPPED",LOWER(INDEX(Mapping!$D$1:$D$504,J1155))))</f>
        <v/>
      </c>
      <c r="L1155" s="6">
        <f>IF(K1155="mapped",TRIM(INDEX(Mapping!$C$1:$C$504,J1155)),"")</f>
        <v/>
      </c>
      <c r="M1155" s="6">
        <f>IF(C1155="","",IF(SUMPRODUCT(($C$12:C1155=C1155)*1)=1,1,0))</f>
        <v/>
      </c>
      <c r="N1155" s="6">
        <f>IF(AND(K1155="UNMAPPED",M1155=1),ROW(),"")</f>
        <v/>
      </c>
      <c r="O1155" s="6">
        <f>IF(AND(I1155=1,M1155=1),ROW(),"")</f>
        <v/>
      </c>
      <c r="P1155" s="6">
        <f>IF(AND(K1155="ignored",M1155=1),ROW(),"")</f>
        <v/>
      </c>
    </row>
    <row r="1156">
      <c r="A1156" s="8" t="n"/>
      <c r="B1156" s="8" t="n"/>
      <c r="C1156" s="6">
        <f>TRIM(A1156&amp;"")</f>
        <v/>
      </c>
      <c r="D1156" s="6">
        <f>IF(C1156="","",SUBSTITUTE(SUBSTITUTE(SUBSTITUTE(SUBSTITUTE(SUBSTITUTE(SUBSTITUTE(SUBSTITUTE(UPPER(TRIM(B1156&amp;"")),"₹",""),"RS.",""),"RS",""),"INR",""),"$",""),",","")," ",""))</f>
        <v/>
      </c>
      <c r="E1156" s="6">
        <f>IF(C1156="","",IF(RIGHT(D1156,2)="CR","Cr",IF(RIGHT(D1156,2)="DR","Dr","")))</f>
        <v/>
      </c>
      <c r="F1156" s="6">
        <f>IF(C1156="","",IF(E1156&lt;&gt;"",LEFT(D1156,LEN(D1156)-2),D1156))</f>
        <v/>
      </c>
      <c r="G1156" s="13">
        <f>IF(C1156="","",IF(OR(IF(AND(LEFT(F1156,1)="(",RIGHT(F1156,1)=")"),MID(F1156,2,LEN(F1156)-2),F1156)="",IF(AND(LEFT(F1156,1)="(",RIGHT(F1156,1)=")"),MID(F1156,2,LEN(F1156)-2),F1156)="-"),0,IFERROR(VALUE(IF(AND(LEFT(F1156,1)="(",RIGHT(F1156,1)=")"),MID(F1156,2,LEN(F1156)-2),F1156))*IF(AND(LEFT(F1156,1)="(",RIGHT(F1156,1)=")"),-1,1)*IF(E1156="Cr",Setup!$B$6,1),"ERR")))</f>
        <v/>
      </c>
      <c r="H1156" s="6">
        <f>IF(C1156="","",IF(ISNUMBER(G1156),1,0))</f>
        <v/>
      </c>
      <c r="I1156" s="6">
        <f>IF(C1156="","",IF(SUMPRODUCT(($C$12:$C$1511=C1156)*1)&gt;1,1,0))</f>
        <v/>
      </c>
      <c r="J1156" s="6">
        <f>IF(C1156="","",SUMPRODUCT((Mapping!$F$5:$F$504=Setup!$B$4&amp;"||"&amp;C1156)*ROW(Mapping!$F$5:$F$504)))</f>
        <v/>
      </c>
      <c r="K1156" s="6">
        <f>IF(C1156="","",IF(J1156=0,"UNMAPPED",LOWER(INDEX(Mapping!$D$1:$D$504,J1156))))</f>
        <v/>
      </c>
      <c r="L1156" s="6">
        <f>IF(K1156="mapped",TRIM(INDEX(Mapping!$C$1:$C$504,J1156)),"")</f>
        <v/>
      </c>
      <c r="M1156" s="6">
        <f>IF(C1156="","",IF(SUMPRODUCT(($C$12:C1156=C1156)*1)=1,1,0))</f>
        <v/>
      </c>
      <c r="N1156" s="6">
        <f>IF(AND(K1156="UNMAPPED",M1156=1),ROW(),"")</f>
        <v/>
      </c>
      <c r="O1156" s="6">
        <f>IF(AND(I1156=1,M1156=1),ROW(),"")</f>
        <v/>
      </c>
      <c r="P1156" s="6">
        <f>IF(AND(K1156="ignored",M1156=1),ROW(),"")</f>
        <v/>
      </c>
    </row>
    <row r="1157">
      <c r="A1157" s="8" t="n"/>
      <c r="B1157" s="8" t="n"/>
      <c r="C1157" s="6">
        <f>TRIM(A1157&amp;"")</f>
        <v/>
      </c>
      <c r="D1157" s="6">
        <f>IF(C1157="","",SUBSTITUTE(SUBSTITUTE(SUBSTITUTE(SUBSTITUTE(SUBSTITUTE(SUBSTITUTE(SUBSTITUTE(UPPER(TRIM(B1157&amp;"")),"₹",""),"RS.",""),"RS",""),"INR",""),"$",""),",","")," ",""))</f>
        <v/>
      </c>
      <c r="E1157" s="6">
        <f>IF(C1157="","",IF(RIGHT(D1157,2)="CR","Cr",IF(RIGHT(D1157,2)="DR","Dr","")))</f>
        <v/>
      </c>
      <c r="F1157" s="6">
        <f>IF(C1157="","",IF(E1157&lt;&gt;"",LEFT(D1157,LEN(D1157)-2),D1157))</f>
        <v/>
      </c>
      <c r="G1157" s="13">
        <f>IF(C1157="","",IF(OR(IF(AND(LEFT(F1157,1)="(",RIGHT(F1157,1)=")"),MID(F1157,2,LEN(F1157)-2),F1157)="",IF(AND(LEFT(F1157,1)="(",RIGHT(F1157,1)=")"),MID(F1157,2,LEN(F1157)-2),F1157)="-"),0,IFERROR(VALUE(IF(AND(LEFT(F1157,1)="(",RIGHT(F1157,1)=")"),MID(F1157,2,LEN(F1157)-2),F1157))*IF(AND(LEFT(F1157,1)="(",RIGHT(F1157,1)=")"),-1,1)*IF(E1157="Cr",Setup!$B$6,1),"ERR")))</f>
        <v/>
      </c>
      <c r="H1157" s="6">
        <f>IF(C1157="","",IF(ISNUMBER(G1157),1,0))</f>
        <v/>
      </c>
      <c r="I1157" s="6">
        <f>IF(C1157="","",IF(SUMPRODUCT(($C$12:$C$1511=C1157)*1)&gt;1,1,0))</f>
        <v/>
      </c>
      <c r="J1157" s="6">
        <f>IF(C1157="","",SUMPRODUCT((Mapping!$F$5:$F$504=Setup!$B$4&amp;"||"&amp;C1157)*ROW(Mapping!$F$5:$F$504)))</f>
        <v/>
      </c>
      <c r="K1157" s="6">
        <f>IF(C1157="","",IF(J1157=0,"UNMAPPED",LOWER(INDEX(Mapping!$D$1:$D$504,J1157))))</f>
        <v/>
      </c>
      <c r="L1157" s="6">
        <f>IF(K1157="mapped",TRIM(INDEX(Mapping!$C$1:$C$504,J1157)),"")</f>
        <v/>
      </c>
      <c r="M1157" s="6">
        <f>IF(C1157="","",IF(SUMPRODUCT(($C$12:C1157=C1157)*1)=1,1,0))</f>
        <v/>
      </c>
      <c r="N1157" s="6">
        <f>IF(AND(K1157="UNMAPPED",M1157=1),ROW(),"")</f>
        <v/>
      </c>
      <c r="O1157" s="6">
        <f>IF(AND(I1157=1,M1157=1),ROW(),"")</f>
        <v/>
      </c>
      <c r="P1157" s="6">
        <f>IF(AND(K1157="ignored",M1157=1),ROW(),"")</f>
        <v/>
      </c>
    </row>
    <row r="1158">
      <c r="A1158" s="8" t="n"/>
      <c r="B1158" s="8" t="n"/>
      <c r="C1158" s="6">
        <f>TRIM(A1158&amp;"")</f>
        <v/>
      </c>
      <c r="D1158" s="6">
        <f>IF(C1158="","",SUBSTITUTE(SUBSTITUTE(SUBSTITUTE(SUBSTITUTE(SUBSTITUTE(SUBSTITUTE(SUBSTITUTE(UPPER(TRIM(B1158&amp;"")),"₹",""),"RS.",""),"RS",""),"INR",""),"$",""),",","")," ",""))</f>
        <v/>
      </c>
      <c r="E1158" s="6">
        <f>IF(C1158="","",IF(RIGHT(D1158,2)="CR","Cr",IF(RIGHT(D1158,2)="DR","Dr","")))</f>
        <v/>
      </c>
      <c r="F1158" s="6">
        <f>IF(C1158="","",IF(E1158&lt;&gt;"",LEFT(D1158,LEN(D1158)-2),D1158))</f>
        <v/>
      </c>
      <c r="G1158" s="13">
        <f>IF(C1158="","",IF(OR(IF(AND(LEFT(F1158,1)="(",RIGHT(F1158,1)=")"),MID(F1158,2,LEN(F1158)-2),F1158)="",IF(AND(LEFT(F1158,1)="(",RIGHT(F1158,1)=")"),MID(F1158,2,LEN(F1158)-2),F1158)="-"),0,IFERROR(VALUE(IF(AND(LEFT(F1158,1)="(",RIGHT(F1158,1)=")"),MID(F1158,2,LEN(F1158)-2),F1158))*IF(AND(LEFT(F1158,1)="(",RIGHT(F1158,1)=")"),-1,1)*IF(E1158="Cr",Setup!$B$6,1),"ERR")))</f>
        <v/>
      </c>
      <c r="H1158" s="6">
        <f>IF(C1158="","",IF(ISNUMBER(G1158),1,0))</f>
        <v/>
      </c>
      <c r="I1158" s="6">
        <f>IF(C1158="","",IF(SUMPRODUCT(($C$12:$C$1511=C1158)*1)&gt;1,1,0))</f>
        <v/>
      </c>
      <c r="J1158" s="6">
        <f>IF(C1158="","",SUMPRODUCT((Mapping!$F$5:$F$504=Setup!$B$4&amp;"||"&amp;C1158)*ROW(Mapping!$F$5:$F$504)))</f>
        <v/>
      </c>
      <c r="K1158" s="6">
        <f>IF(C1158="","",IF(J1158=0,"UNMAPPED",LOWER(INDEX(Mapping!$D$1:$D$504,J1158))))</f>
        <v/>
      </c>
      <c r="L1158" s="6">
        <f>IF(K1158="mapped",TRIM(INDEX(Mapping!$C$1:$C$504,J1158)),"")</f>
        <v/>
      </c>
      <c r="M1158" s="6">
        <f>IF(C1158="","",IF(SUMPRODUCT(($C$12:C1158=C1158)*1)=1,1,0))</f>
        <v/>
      </c>
      <c r="N1158" s="6">
        <f>IF(AND(K1158="UNMAPPED",M1158=1),ROW(),"")</f>
        <v/>
      </c>
      <c r="O1158" s="6">
        <f>IF(AND(I1158=1,M1158=1),ROW(),"")</f>
        <v/>
      </c>
      <c r="P1158" s="6">
        <f>IF(AND(K1158="ignored",M1158=1),ROW(),"")</f>
        <v/>
      </c>
    </row>
    <row r="1159">
      <c r="A1159" s="8" t="n"/>
      <c r="B1159" s="8" t="n"/>
      <c r="C1159" s="6">
        <f>TRIM(A1159&amp;"")</f>
        <v/>
      </c>
      <c r="D1159" s="6">
        <f>IF(C1159="","",SUBSTITUTE(SUBSTITUTE(SUBSTITUTE(SUBSTITUTE(SUBSTITUTE(SUBSTITUTE(SUBSTITUTE(UPPER(TRIM(B1159&amp;"")),"₹",""),"RS.",""),"RS",""),"INR",""),"$",""),",","")," ",""))</f>
        <v/>
      </c>
      <c r="E1159" s="6">
        <f>IF(C1159="","",IF(RIGHT(D1159,2)="CR","Cr",IF(RIGHT(D1159,2)="DR","Dr","")))</f>
        <v/>
      </c>
      <c r="F1159" s="6">
        <f>IF(C1159="","",IF(E1159&lt;&gt;"",LEFT(D1159,LEN(D1159)-2),D1159))</f>
        <v/>
      </c>
      <c r="G1159" s="13">
        <f>IF(C1159="","",IF(OR(IF(AND(LEFT(F1159,1)="(",RIGHT(F1159,1)=")"),MID(F1159,2,LEN(F1159)-2),F1159)="",IF(AND(LEFT(F1159,1)="(",RIGHT(F1159,1)=")"),MID(F1159,2,LEN(F1159)-2),F1159)="-"),0,IFERROR(VALUE(IF(AND(LEFT(F1159,1)="(",RIGHT(F1159,1)=")"),MID(F1159,2,LEN(F1159)-2),F1159))*IF(AND(LEFT(F1159,1)="(",RIGHT(F1159,1)=")"),-1,1)*IF(E1159="Cr",Setup!$B$6,1),"ERR")))</f>
        <v/>
      </c>
      <c r="H1159" s="6">
        <f>IF(C1159="","",IF(ISNUMBER(G1159),1,0))</f>
        <v/>
      </c>
      <c r="I1159" s="6">
        <f>IF(C1159="","",IF(SUMPRODUCT(($C$12:$C$1511=C1159)*1)&gt;1,1,0))</f>
        <v/>
      </c>
      <c r="J1159" s="6">
        <f>IF(C1159="","",SUMPRODUCT((Mapping!$F$5:$F$504=Setup!$B$4&amp;"||"&amp;C1159)*ROW(Mapping!$F$5:$F$504)))</f>
        <v/>
      </c>
      <c r="K1159" s="6">
        <f>IF(C1159="","",IF(J1159=0,"UNMAPPED",LOWER(INDEX(Mapping!$D$1:$D$504,J1159))))</f>
        <v/>
      </c>
      <c r="L1159" s="6">
        <f>IF(K1159="mapped",TRIM(INDEX(Mapping!$C$1:$C$504,J1159)),"")</f>
        <v/>
      </c>
      <c r="M1159" s="6">
        <f>IF(C1159="","",IF(SUMPRODUCT(($C$12:C1159=C1159)*1)=1,1,0))</f>
        <v/>
      </c>
      <c r="N1159" s="6">
        <f>IF(AND(K1159="UNMAPPED",M1159=1),ROW(),"")</f>
        <v/>
      </c>
      <c r="O1159" s="6">
        <f>IF(AND(I1159=1,M1159=1),ROW(),"")</f>
        <v/>
      </c>
      <c r="P1159" s="6">
        <f>IF(AND(K1159="ignored",M1159=1),ROW(),"")</f>
        <v/>
      </c>
    </row>
    <row r="1160">
      <c r="A1160" s="8" t="n"/>
      <c r="B1160" s="8" t="n"/>
      <c r="C1160" s="6">
        <f>TRIM(A1160&amp;"")</f>
        <v/>
      </c>
      <c r="D1160" s="6">
        <f>IF(C1160="","",SUBSTITUTE(SUBSTITUTE(SUBSTITUTE(SUBSTITUTE(SUBSTITUTE(SUBSTITUTE(SUBSTITUTE(UPPER(TRIM(B1160&amp;"")),"₹",""),"RS.",""),"RS",""),"INR",""),"$",""),",","")," ",""))</f>
        <v/>
      </c>
      <c r="E1160" s="6">
        <f>IF(C1160="","",IF(RIGHT(D1160,2)="CR","Cr",IF(RIGHT(D1160,2)="DR","Dr","")))</f>
        <v/>
      </c>
      <c r="F1160" s="6">
        <f>IF(C1160="","",IF(E1160&lt;&gt;"",LEFT(D1160,LEN(D1160)-2),D1160))</f>
        <v/>
      </c>
      <c r="G1160" s="13">
        <f>IF(C1160="","",IF(OR(IF(AND(LEFT(F1160,1)="(",RIGHT(F1160,1)=")"),MID(F1160,2,LEN(F1160)-2),F1160)="",IF(AND(LEFT(F1160,1)="(",RIGHT(F1160,1)=")"),MID(F1160,2,LEN(F1160)-2),F1160)="-"),0,IFERROR(VALUE(IF(AND(LEFT(F1160,1)="(",RIGHT(F1160,1)=")"),MID(F1160,2,LEN(F1160)-2),F1160))*IF(AND(LEFT(F1160,1)="(",RIGHT(F1160,1)=")"),-1,1)*IF(E1160="Cr",Setup!$B$6,1),"ERR")))</f>
        <v/>
      </c>
      <c r="H1160" s="6">
        <f>IF(C1160="","",IF(ISNUMBER(G1160),1,0))</f>
        <v/>
      </c>
      <c r="I1160" s="6">
        <f>IF(C1160="","",IF(SUMPRODUCT(($C$12:$C$1511=C1160)*1)&gt;1,1,0))</f>
        <v/>
      </c>
      <c r="J1160" s="6">
        <f>IF(C1160="","",SUMPRODUCT((Mapping!$F$5:$F$504=Setup!$B$4&amp;"||"&amp;C1160)*ROW(Mapping!$F$5:$F$504)))</f>
        <v/>
      </c>
      <c r="K1160" s="6">
        <f>IF(C1160="","",IF(J1160=0,"UNMAPPED",LOWER(INDEX(Mapping!$D$1:$D$504,J1160))))</f>
        <v/>
      </c>
      <c r="L1160" s="6">
        <f>IF(K1160="mapped",TRIM(INDEX(Mapping!$C$1:$C$504,J1160)),"")</f>
        <v/>
      </c>
      <c r="M1160" s="6">
        <f>IF(C1160="","",IF(SUMPRODUCT(($C$12:C1160=C1160)*1)=1,1,0))</f>
        <v/>
      </c>
      <c r="N1160" s="6">
        <f>IF(AND(K1160="UNMAPPED",M1160=1),ROW(),"")</f>
        <v/>
      </c>
      <c r="O1160" s="6">
        <f>IF(AND(I1160=1,M1160=1),ROW(),"")</f>
        <v/>
      </c>
      <c r="P1160" s="6">
        <f>IF(AND(K1160="ignored",M1160=1),ROW(),"")</f>
        <v/>
      </c>
    </row>
    <row r="1161">
      <c r="A1161" s="8" t="n"/>
      <c r="B1161" s="8" t="n"/>
      <c r="C1161" s="6">
        <f>TRIM(A1161&amp;"")</f>
        <v/>
      </c>
      <c r="D1161" s="6">
        <f>IF(C1161="","",SUBSTITUTE(SUBSTITUTE(SUBSTITUTE(SUBSTITUTE(SUBSTITUTE(SUBSTITUTE(SUBSTITUTE(UPPER(TRIM(B1161&amp;"")),"₹",""),"RS.",""),"RS",""),"INR",""),"$",""),",","")," ",""))</f>
        <v/>
      </c>
      <c r="E1161" s="6">
        <f>IF(C1161="","",IF(RIGHT(D1161,2)="CR","Cr",IF(RIGHT(D1161,2)="DR","Dr","")))</f>
        <v/>
      </c>
      <c r="F1161" s="6">
        <f>IF(C1161="","",IF(E1161&lt;&gt;"",LEFT(D1161,LEN(D1161)-2),D1161))</f>
        <v/>
      </c>
      <c r="G1161" s="13">
        <f>IF(C1161="","",IF(OR(IF(AND(LEFT(F1161,1)="(",RIGHT(F1161,1)=")"),MID(F1161,2,LEN(F1161)-2),F1161)="",IF(AND(LEFT(F1161,1)="(",RIGHT(F1161,1)=")"),MID(F1161,2,LEN(F1161)-2),F1161)="-"),0,IFERROR(VALUE(IF(AND(LEFT(F1161,1)="(",RIGHT(F1161,1)=")"),MID(F1161,2,LEN(F1161)-2),F1161))*IF(AND(LEFT(F1161,1)="(",RIGHT(F1161,1)=")"),-1,1)*IF(E1161="Cr",Setup!$B$6,1),"ERR")))</f>
        <v/>
      </c>
      <c r="H1161" s="6">
        <f>IF(C1161="","",IF(ISNUMBER(G1161),1,0))</f>
        <v/>
      </c>
      <c r="I1161" s="6">
        <f>IF(C1161="","",IF(SUMPRODUCT(($C$12:$C$1511=C1161)*1)&gt;1,1,0))</f>
        <v/>
      </c>
      <c r="J1161" s="6">
        <f>IF(C1161="","",SUMPRODUCT((Mapping!$F$5:$F$504=Setup!$B$4&amp;"||"&amp;C1161)*ROW(Mapping!$F$5:$F$504)))</f>
        <v/>
      </c>
      <c r="K1161" s="6">
        <f>IF(C1161="","",IF(J1161=0,"UNMAPPED",LOWER(INDEX(Mapping!$D$1:$D$504,J1161))))</f>
        <v/>
      </c>
      <c r="L1161" s="6">
        <f>IF(K1161="mapped",TRIM(INDEX(Mapping!$C$1:$C$504,J1161)),"")</f>
        <v/>
      </c>
      <c r="M1161" s="6">
        <f>IF(C1161="","",IF(SUMPRODUCT(($C$12:C1161=C1161)*1)=1,1,0))</f>
        <v/>
      </c>
      <c r="N1161" s="6">
        <f>IF(AND(K1161="UNMAPPED",M1161=1),ROW(),"")</f>
        <v/>
      </c>
      <c r="O1161" s="6">
        <f>IF(AND(I1161=1,M1161=1),ROW(),"")</f>
        <v/>
      </c>
      <c r="P1161" s="6">
        <f>IF(AND(K1161="ignored",M1161=1),ROW(),"")</f>
        <v/>
      </c>
    </row>
    <row r="1162">
      <c r="A1162" s="8" t="n"/>
      <c r="B1162" s="8" t="n"/>
      <c r="C1162" s="6">
        <f>TRIM(A1162&amp;"")</f>
        <v/>
      </c>
      <c r="D1162" s="6">
        <f>IF(C1162="","",SUBSTITUTE(SUBSTITUTE(SUBSTITUTE(SUBSTITUTE(SUBSTITUTE(SUBSTITUTE(SUBSTITUTE(UPPER(TRIM(B1162&amp;"")),"₹",""),"RS.",""),"RS",""),"INR",""),"$",""),",","")," ",""))</f>
        <v/>
      </c>
      <c r="E1162" s="6">
        <f>IF(C1162="","",IF(RIGHT(D1162,2)="CR","Cr",IF(RIGHT(D1162,2)="DR","Dr","")))</f>
        <v/>
      </c>
      <c r="F1162" s="6">
        <f>IF(C1162="","",IF(E1162&lt;&gt;"",LEFT(D1162,LEN(D1162)-2),D1162))</f>
        <v/>
      </c>
      <c r="G1162" s="13">
        <f>IF(C1162="","",IF(OR(IF(AND(LEFT(F1162,1)="(",RIGHT(F1162,1)=")"),MID(F1162,2,LEN(F1162)-2),F1162)="",IF(AND(LEFT(F1162,1)="(",RIGHT(F1162,1)=")"),MID(F1162,2,LEN(F1162)-2),F1162)="-"),0,IFERROR(VALUE(IF(AND(LEFT(F1162,1)="(",RIGHT(F1162,1)=")"),MID(F1162,2,LEN(F1162)-2),F1162))*IF(AND(LEFT(F1162,1)="(",RIGHT(F1162,1)=")"),-1,1)*IF(E1162="Cr",Setup!$B$6,1),"ERR")))</f>
        <v/>
      </c>
      <c r="H1162" s="6">
        <f>IF(C1162="","",IF(ISNUMBER(G1162),1,0))</f>
        <v/>
      </c>
      <c r="I1162" s="6">
        <f>IF(C1162="","",IF(SUMPRODUCT(($C$12:$C$1511=C1162)*1)&gt;1,1,0))</f>
        <v/>
      </c>
      <c r="J1162" s="6">
        <f>IF(C1162="","",SUMPRODUCT((Mapping!$F$5:$F$504=Setup!$B$4&amp;"||"&amp;C1162)*ROW(Mapping!$F$5:$F$504)))</f>
        <v/>
      </c>
      <c r="K1162" s="6">
        <f>IF(C1162="","",IF(J1162=0,"UNMAPPED",LOWER(INDEX(Mapping!$D$1:$D$504,J1162))))</f>
        <v/>
      </c>
      <c r="L1162" s="6">
        <f>IF(K1162="mapped",TRIM(INDEX(Mapping!$C$1:$C$504,J1162)),"")</f>
        <v/>
      </c>
      <c r="M1162" s="6">
        <f>IF(C1162="","",IF(SUMPRODUCT(($C$12:C1162=C1162)*1)=1,1,0))</f>
        <v/>
      </c>
      <c r="N1162" s="6">
        <f>IF(AND(K1162="UNMAPPED",M1162=1),ROW(),"")</f>
        <v/>
      </c>
      <c r="O1162" s="6">
        <f>IF(AND(I1162=1,M1162=1),ROW(),"")</f>
        <v/>
      </c>
      <c r="P1162" s="6">
        <f>IF(AND(K1162="ignored",M1162=1),ROW(),"")</f>
        <v/>
      </c>
    </row>
    <row r="1163">
      <c r="A1163" s="8" t="n"/>
      <c r="B1163" s="8" t="n"/>
      <c r="C1163" s="6">
        <f>TRIM(A1163&amp;"")</f>
        <v/>
      </c>
      <c r="D1163" s="6">
        <f>IF(C1163="","",SUBSTITUTE(SUBSTITUTE(SUBSTITUTE(SUBSTITUTE(SUBSTITUTE(SUBSTITUTE(SUBSTITUTE(UPPER(TRIM(B1163&amp;"")),"₹",""),"RS.",""),"RS",""),"INR",""),"$",""),",","")," ",""))</f>
        <v/>
      </c>
      <c r="E1163" s="6">
        <f>IF(C1163="","",IF(RIGHT(D1163,2)="CR","Cr",IF(RIGHT(D1163,2)="DR","Dr","")))</f>
        <v/>
      </c>
      <c r="F1163" s="6">
        <f>IF(C1163="","",IF(E1163&lt;&gt;"",LEFT(D1163,LEN(D1163)-2),D1163))</f>
        <v/>
      </c>
      <c r="G1163" s="13">
        <f>IF(C1163="","",IF(OR(IF(AND(LEFT(F1163,1)="(",RIGHT(F1163,1)=")"),MID(F1163,2,LEN(F1163)-2),F1163)="",IF(AND(LEFT(F1163,1)="(",RIGHT(F1163,1)=")"),MID(F1163,2,LEN(F1163)-2),F1163)="-"),0,IFERROR(VALUE(IF(AND(LEFT(F1163,1)="(",RIGHT(F1163,1)=")"),MID(F1163,2,LEN(F1163)-2),F1163))*IF(AND(LEFT(F1163,1)="(",RIGHT(F1163,1)=")"),-1,1)*IF(E1163="Cr",Setup!$B$6,1),"ERR")))</f>
        <v/>
      </c>
      <c r="H1163" s="6">
        <f>IF(C1163="","",IF(ISNUMBER(G1163),1,0))</f>
        <v/>
      </c>
      <c r="I1163" s="6">
        <f>IF(C1163="","",IF(SUMPRODUCT(($C$12:$C$1511=C1163)*1)&gt;1,1,0))</f>
        <v/>
      </c>
      <c r="J1163" s="6">
        <f>IF(C1163="","",SUMPRODUCT((Mapping!$F$5:$F$504=Setup!$B$4&amp;"||"&amp;C1163)*ROW(Mapping!$F$5:$F$504)))</f>
        <v/>
      </c>
      <c r="K1163" s="6">
        <f>IF(C1163="","",IF(J1163=0,"UNMAPPED",LOWER(INDEX(Mapping!$D$1:$D$504,J1163))))</f>
        <v/>
      </c>
      <c r="L1163" s="6">
        <f>IF(K1163="mapped",TRIM(INDEX(Mapping!$C$1:$C$504,J1163)),"")</f>
        <v/>
      </c>
      <c r="M1163" s="6">
        <f>IF(C1163="","",IF(SUMPRODUCT(($C$12:C1163=C1163)*1)=1,1,0))</f>
        <v/>
      </c>
      <c r="N1163" s="6">
        <f>IF(AND(K1163="UNMAPPED",M1163=1),ROW(),"")</f>
        <v/>
      </c>
      <c r="O1163" s="6">
        <f>IF(AND(I1163=1,M1163=1),ROW(),"")</f>
        <v/>
      </c>
      <c r="P1163" s="6">
        <f>IF(AND(K1163="ignored",M1163=1),ROW(),"")</f>
        <v/>
      </c>
    </row>
    <row r="1164">
      <c r="A1164" s="8" t="n"/>
      <c r="B1164" s="8" t="n"/>
      <c r="C1164" s="6">
        <f>TRIM(A1164&amp;"")</f>
        <v/>
      </c>
      <c r="D1164" s="6">
        <f>IF(C1164="","",SUBSTITUTE(SUBSTITUTE(SUBSTITUTE(SUBSTITUTE(SUBSTITUTE(SUBSTITUTE(SUBSTITUTE(UPPER(TRIM(B1164&amp;"")),"₹",""),"RS.",""),"RS",""),"INR",""),"$",""),",","")," ",""))</f>
        <v/>
      </c>
      <c r="E1164" s="6">
        <f>IF(C1164="","",IF(RIGHT(D1164,2)="CR","Cr",IF(RIGHT(D1164,2)="DR","Dr","")))</f>
        <v/>
      </c>
      <c r="F1164" s="6">
        <f>IF(C1164="","",IF(E1164&lt;&gt;"",LEFT(D1164,LEN(D1164)-2),D1164))</f>
        <v/>
      </c>
      <c r="G1164" s="13">
        <f>IF(C1164="","",IF(OR(IF(AND(LEFT(F1164,1)="(",RIGHT(F1164,1)=")"),MID(F1164,2,LEN(F1164)-2),F1164)="",IF(AND(LEFT(F1164,1)="(",RIGHT(F1164,1)=")"),MID(F1164,2,LEN(F1164)-2),F1164)="-"),0,IFERROR(VALUE(IF(AND(LEFT(F1164,1)="(",RIGHT(F1164,1)=")"),MID(F1164,2,LEN(F1164)-2),F1164))*IF(AND(LEFT(F1164,1)="(",RIGHT(F1164,1)=")"),-1,1)*IF(E1164="Cr",Setup!$B$6,1),"ERR")))</f>
        <v/>
      </c>
      <c r="H1164" s="6">
        <f>IF(C1164="","",IF(ISNUMBER(G1164),1,0))</f>
        <v/>
      </c>
      <c r="I1164" s="6">
        <f>IF(C1164="","",IF(SUMPRODUCT(($C$12:$C$1511=C1164)*1)&gt;1,1,0))</f>
        <v/>
      </c>
      <c r="J1164" s="6">
        <f>IF(C1164="","",SUMPRODUCT((Mapping!$F$5:$F$504=Setup!$B$4&amp;"||"&amp;C1164)*ROW(Mapping!$F$5:$F$504)))</f>
        <v/>
      </c>
      <c r="K1164" s="6">
        <f>IF(C1164="","",IF(J1164=0,"UNMAPPED",LOWER(INDEX(Mapping!$D$1:$D$504,J1164))))</f>
        <v/>
      </c>
      <c r="L1164" s="6">
        <f>IF(K1164="mapped",TRIM(INDEX(Mapping!$C$1:$C$504,J1164)),"")</f>
        <v/>
      </c>
      <c r="M1164" s="6">
        <f>IF(C1164="","",IF(SUMPRODUCT(($C$12:C1164=C1164)*1)=1,1,0))</f>
        <v/>
      </c>
      <c r="N1164" s="6">
        <f>IF(AND(K1164="UNMAPPED",M1164=1),ROW(),"")</f>
        <v/>
      </c>
      <c r="O1164" s="6">
        <f>IF(AND(I1164=1,M1164=1),ROW(),"")</f>
        <v/>
      </c>
      <c r="P1164" s="6">
        <f>IF(AND(K1164="ignored",M1164=1),ROW(),"")</f>
        <v/>
      </c>
    </row>
    <row r="1165">
      <c r="A1165" s="8" t="n"/>
      <c r="B1165" s="8" t="n"/>
      <c r="C1165" s="6">
        <f>TRIM(A1165&amp;"")</f>
        <v/>
      </c>
      <c r="D1165" s="6">
        <f>IF(C1165="","",SUBSTITUTE(SUBSTITUTE(SUBSTITUTE(SUBSTITUTE(SUBSTITUTE(SUBSTITUTE(SUBSTITUTE(UPPER(TRIM(B1165&amp;"")),"₹",""),"RS.",""),"RS",""),"INR",""),"$",""),",","")," ",""))</f>
        <v/>
      </c>
      <c r="E1165" s="6">
        <f>IF(C1165="","",IF(RIGHT(D1165,2)="CR","Cr",IF(RIGHT(D1165,2)="DR","Dr","")))</f>
        <v/>
      </c>
      <c r="F1165" s="6">
        <f>IF(C1165="","",IF(E1165&lt;&gt;"",LEFT(D1165,LEN(D1165)-2),D1165))</f>
        <v/>
      </c>
      <c r="G1165" s="13">
        <f>IF(C1165="","",IF(OR(IF(AND(LEFT(F1165,1)="(",RIGHT(F1165,1)=")"),MID(F1165,2,LEN(F1165)-2),F1165)="",IF(AND(LEFT(F1165,1)="(",RIGHT(F1165,1)=")"),MID(F1165,2,LEN(F1165)-2),F1165)="-"),0,IFERROR(VALUE(IF(AND(LEFT(F1165,1)="(",RIGHT(F1165,1)=")"),MID(F1165,2,LEN(F1165)-2),F1165))*IF(AND(LEFT(F1165,1)="(",RIGHT(F1165,1)=")"),-1,1)*IF(E1165="Cr",Setup!$B$6,1),"ERR")))</f>
        <v/>
      </c>
      <c r="H1165" s="6">
        <f>IF(C1165="","",IF(ISNUMBER(G1165),1,0))</f>
        <v/>
      </c>
      <c r="I1165" s="6">
        <f>IF(C1165="","",IF(SUMPRODUCT(($C$12:$C$1511=C1165)*1)&gt;1,1,0))</f>
        <v/>
      </c>
      <c r="J1165" s="6">
        <f>IF(C1165="","",SUMPRODUCT((Mapping!$F$5:$F$504=Setup!$B$4&amp;"||"&amp;C1165)*ROW(Mapping!$F$5:$F$504)))</f>
        <v/>
      </c>
      <c r="K1165" s="6">
        <f>IF(C1165="","",IF(J1165=0,"UNMAPPED",LOWER(INDEX(Mapping!$D$1:$D$504,J1165))))</f>
        <v/>
      </c>
      <c r="L1165" s="6">
        <f>IF(K1165="mapped",TRIM(INDEX(Mapping!$C$1:$C$504,J1165)),"")</f>
        <v/>
      </c>
      <c r="M1165" s="6">
        <f>IF(C1165="","",IF(SUMPRODUCT(($C$12:C1165=C1165)*1)=1,1,0))</f>
        <v/>
      </c>
      <c r="N1165" s="6">
        <f>IF(AND(K1165="UNMAPPED",M1165=1),ROW(),"")</f>
        <v/>
      </c>
      <c r="O1165" s="6">
        <f>IF(AND(I1165=1,M1165=1),ROW(),"")</f>
        <v/>
      </c>
      <c r="P1165" s="6">
        <f>IF(AND(K1165="ignored",M1165=1),ROW(),"")</f>
        <v/>
      </c>
    </row>
    <row r="1166">
      <c r="A1166" s="8" t="n"/>
      <c r="B1166" s="8" t="n"/>
      <c r="C1166" s="6">
        <f>TRIM(A1166&amp;"")</f>
        <v/>
      </c>
      <c r="D1166" s="6">
        <f>IF(C1166="","",SUBSTITUTE(SUBSTITUTE(SUBSTITUTE(SUBSTITUTE(SUBSTITUTE(SUBSTITUTE(SUBSTITUTE(UPPER(TRIM(B1166&amp;"")),"₹",""),"RS.",""),"RS",""),"INR",""),"$",""),",","")," ",""))</f>
        <v/>
      </c>
      <c r="E1166" s="6">
        <f>IF(C1166="","",IF(RIGHT(D1166,2)="CR","Cr",IF(RIGHT(D1166,2)="DR","Dr","")))</f>
        <v/>
      </c>
      <c r="F1166" s="6">
        <f>IF(C1166="","",IF(E1166&lt;&gt;"",LEFT(D1166,LEN(D1166)-2),D1166))</f>
        <v/>
      </c>
      <c r="G1166" s="13">
        <f>IF(C1166="","",IF(OR(IF(AND(LEFT(F1166,1)="(",RIGHT(F1166,1)=")"),MID(F1166,2,LEN(F1166)-2),F1166)="",IF(AND(LEFT(F1166,1)="(",RIGHT(F1166,1)=")"),MID(F1166,2,LEN(F1166)-2),F1166)="-"),0,IFERROR(VALUE(IF(AND(LEFT(F1166,1)="(",RIGHT(F1166,1)=")"),MID(F1166,2,LEN(F1166)-2),F1166))*IF(AND(LEFT(F1166,1)="(",RIGHT(F1166,1)=")"),-1,1)*IF(E1166="Cr",Setup!$B$6,1),"ERR")))</f>
        <v/>
      </c>
      <c r="H1166" s="6">
        <f>IF(C1166="","",IF(ISNUMBER(G1166),1,0))</f>
        <v/>
      </c>
      <c r="I1166" s="6">
        <f>IF(C1166="","",IF(SUMPRODUCT(($C$12:$C$1511=C1166)*1)&gt;1,1,0))</f>
        <v/>
      </c>
      <c r="J1166" s="6">
        <f>IF(C1166="","",SUMPRODUCT((Mapping!$F$5:$F$504=Setup!$B$4&amp;"||"&amp;C1166)*ROW(Mapping!$F$5:$F$504)))</f>
        <v/>
      </c>
      <c r="K1166" s="6">
        <f>IF(C1166="","",IF(J1166=0,"UNMAPPED",LOWER(INDEX(Mapping!$D$1:$D$504,J1166))))</f>
        <v/>
      </c>
      <c r="L1166" s="6">
        <f>IF(K1166="mapped",TRIM(INDEX(Mapping!$C$1:$C$504,J1166)),"")</f>
        <v/>
      </c>
      <c r="M1166" s="6">
        <f>IF(C1166="","",IF(SUMPRODUCT(($C$12:C1166=C1166)*1)=1,1,0))</f>
        <v/>
      </c>
      <c r="N1166" s="6">
        <f>IF(AND(K1166="UNMAPPED",M1166=1),ROW(),"")</f>
        <v/>
      </c>
      <c r="O1166" s="6">
        <f>IF(AND(I1166=1,M1166=1),ROW(),"")</f>
        <v/>
      </c>
      <c r="P1166" s="6">
        <f>IF(AND(K1166="ignored",M1166=1),ROW(),"")</f>
        <v/>
      </c>
    </row>
    <row r="1167">
      <c r="A1167" s="8" t="n"/>
      <c r="B1167" s="8" t="n"/>
      <c r="C1167" s="6">
        <f>TRIM(A1167&amp;"")</f>
        <v/>
      </c>
      <c r="D1167" s="6">
        <f>IF(C1167="","",SUBSTITUTE(SUBSTITUTE(SUBSTITUTE(SUBSTITUTE(SUBSTITUTE(SUBSTITUTE(SUBSTITUTE(UPPER(TRIM(B1167&amp;"")),"₹",""),"RS.",""),"RS",""),"INR",""),"$",""),",","")," ",""))</f>
        <v/>
      </c>
      <c r="E1167" s="6">
        <f>IF(C1167="","",IF(RIGHT(D1167,2)="CR","Cr",IF(RIGHT(D1167,2)="DR","Dr","")))</f>
        <v/>
      </c>
      <c r="F1167" s="6">
        <f>IF(C1167="","",IF(E1167&lt;&gt;"",LEFT(D1167,LEN(D1167)-2),D1167))</f>
        <v/>
      </c>
      <c r="G1167" s="13">
        <f>IF(C1167="","",IF(OR(IF(AND(LEFT(F1167,1)="(",RIGHT(F1167,1)=")"),MID(F1167,2,LEN(F1167)-2),F1167)="",IF(AND(LEFT(F1167,1)="(",RIGHT(F1167,1)=")"),MID(F1167,2,LEN(F1167)-2),F1167)="-"),0,IFERROR(VALUE(IF(AND(LEFT(F1167,1)="(",RIGHT(F1167,1)=")"),MID(F1167,2,LEN(F1167)-2),F1167))*IF(AND(LEFT(F1167,1)="(",RIGHT(F1167,1)=")"),-1,1)*IF(E1167="Cr",Setup!$B$6,1),"ERR")))</f>
        <v/>
      </c>
      <c r="H1167" s="6">
        <f>IF(C1167="","",IF(ISNUMBER(G1167),1,0))</f>
        <v/>
      </c>
      <c r="I1167" s="6">
        <f>IF(C1167="","",IF(SUMPRODUCT(($C$12:$C$1511=C1167)*1)&gt;1,1,0))</f>
        <v/>
      </c>
      <c r="J1167" s="6">
        <f>IF(C1167="","",SUMPRODUCT((Mapping!$F$5:$F$504=Setup!$B$4&amp;"||"&amp;C1167)*ROW(Mapping!$F$5:$F$504)))</f>
        <v/>
      </c>
      <c r="K1167" s="6">
        <f>IF(C1167="","",IF(J1167=0,"UNMAPPED",LOWER(INDEX(Mapping!$D$1:$D$504,J1167))))</f>
        <v/>
      </c>
      <c r="L1167" s="6">
        <f>IF(K1167="mapped",TRIM(INDEX(Mapping!$C$1:$C$504,J1167)),"")</f>
        <v/>
      </c>
      <c r="M1167" s="6">
        <f>IF(C1167="","",IF(SUMPRODUCT(($C$12:C1167=C1167)*1)=1,1,0))</f>
        <v/>
      </c>
      <c r="N1167" s="6">
        <f>IF(AND(K1167="UNMAPPED",M1167=1),ROW(),"")</f>
        <v/>
      </c>
      <c r="O1167" s="6">
        <f>IF(AND(I1167=1,M1167=1),ROW(),"")</f>
        <v/>
      </c>
      <c r="P1167" s="6">
        <f>IF(AND(K1167="ignored",M1167=1),ROW(),"")</f>
        <v/>
      </c>
    </row>
    <row r="1168">
      <c r="A1168" s="8" t="n"/>
      <c r="B1168" s="8" t="n"/>
      <c r="C1168" s="6">
        <f>TRIM(A1168&amp;"")</f>
        <v/>
      </c>
      <c r="D1168" s="6">
        <f>IF(C1168="","",SUBSTITUTE(SUBSTITUTE(SUBSTITUTE(SUBSTITUTE(SUBSTITUTE(SUBSTITUTE(SUBSTITUTE(UPPER(TRIM(B1168&amp;"")),"₹",""),"RS.",""),"RS",""),"INR",""),"$",""),",","")," ",""))</f>
        <v/>
      </c>
      <c r="E1168" s="6">
        <f>IF(C1168="","",IF(RIGHT(D1168,2)="CR","Cr",IF(RIGHT(D1168,2)="DR","Dr","")))</f>
        <v/>
      </c>
      <c r="F1168" s="6">
        <f>IF(C1168="","",IF(E1168&lt;&gt;"",LEFT(D1168,LEN(D1168)-2),D1168))</f>
        <v/>
      </c>
      <c r="G1168" s="13">
        <f>IF(C1168="","",IF(OR(IF(AND(LEFT(F1168,1)="(",RIGHT(F1168,1)=")"),MID(F1168,2,LEN(F1168)-2),F1168)="",IF(AND(LEFT(F1168,1)="(",RIGHT(F1168,1)=")"),MID(F1168,2,LEN(F1168)-2),F1168)="-"),0,IFERROR(VALUE(IF(AND(LEFT(F1168,1)="(",RIGHT(F1168,1)=")"),MID(F1168,2,LEN(F1168)-2),F1168))*IF(AND(LEFT(F1168,1)="(",RIGHT(F1168,1)=")"),-1,1)*IF(E1168="Cr",Setup!$B$6,1),"ERR")))</f>
        <v/>
      </c>
      <c r="H1168" s="6">
        <f>IF(C1168="","",IF(ISNUMBER(G1168),1,0))</f>
        <v/>
      </c>
      <c r="I1168" s="6">
        <f>IF(C1168="","",IF(SUMPRODUCT(($C$12:$C$1511=C1168)*1)&gt;1,1,0))</f>
        <v/>
      </c>
      <c r="J1168" s="6">
        <f>IF(C1168="","",SUMPRODUCT((Mapping!$F$5:$F$504=Setup!$B$4&amp;"||"&amp;C1168)*ROW(Mapping!$F$5:$F$504)))</f>
        <v/>
      </c>
      <c r="K1168" s="6">
        <f>IF(C1168="","",IF(J1168=0,"UNMAPPED",LOWER(INDEX(Mapping!$D$1:$D$504,J1168))))</f>
        <v/>
      </c>
      <c r="L1168" s="6">
        <f>IF(K1168="mapped",TRIM(INDEX(Mapping!$C$1:$C$504,J1168)),"")</f>
        <v/>
      </c>
      <c r="M1168" s="6">
        <f>IF(C1168="","",IF(SUMPRODUCT(($C$12:C1168=C1168)*1)=1,1,0))</f>
        <v/>
      </c>
      <c r="N1168" s="6">
        <f>IF(AND(K1168="UNMAPPED",M1168=1),ROW(),"")</f>
        <v/>
      </c>
      <c r="O1168" s="6">
        <f>IF(AND(I1168=1,M1168=1),ROW(),"")</f>
        <v/>
      </c>
      <c r="P1168" s="6">
        <f>IF(AND(K1168="ignored",M1168=1),ROW(),"")</f>
        <v/>
      </c>
    </row>
    <row r="1169">
      <c r="A1169" s="8" t="n"/>
      <c r="B1169" s="8" t="n"/>
      <c r="C1169" s="6">
        <f>TRIM(A1169&amp;"")</f>
        <v/>
      </c>
      <c r="D1169" s="6">
        <f>IF(C1169="","",SUBSTITUTE(SUBSTITUTE(SUBSTITUTE(SUBSTITUTE(SUBSTITUTE(SUBSTITUTE(SUBSTITUTE(UPPER(TRIM(B1169&amp;"")),"₹",""),"RS.",""),"RS",""),"INR",""),"$",""),",","")," ",""))</f>
        <v/>
      </c>
      <c r="E1169" s="6">
        <f>IF(C1169="","",IF(RIGHT(D1169,2)="CR","Cr",IF(RIGHT(D1169,2)="DR","Dr","")))</f>
        <v/>
      </c>
      <c r="F1169" s="6">
        <f>IF(C1169="","",IF(E1169&lt;&gt;"",LEFT(D1169,LEN(D1169)-2),D1169))</f>
        <v/>
      </c>
      <c r="G1169" s="13">
        <f>IF(C1169="","",IF(OR(IF(AND(LEFT(F1169,1)="(",RIGHT(F1169,1)=")"),MID(F1169,2,LEN(F1169)-2),F1169)="",IF(AND(LEFT(F1169,1)="(",RIGHT(F1169,1)=")"),MID(F1169,2,LEN(F1169)-2),F1169)="-"),0,IFERROR(VALUE(IF(AND(LEFT(F1169,1)="(",RIGHT(F1169,1)=")"),MID(F1169,2,LEN(F1169)-2),F1169))*IF(AND(LEFT(F1169,1)="(",RIGHT(F1169,1)=")"),-1,1)*IF(E1169="Cr",Setup!$B$6,1),"ERR")))</f>
        <v/>
      </c>
      <c r="H1169" s="6">
        <f>IF(C1169="","",IF(ISNUMBER(G1169),1,0))</f>
        <v/>
      </c>
      <c r="I1169" s="6">
        <f>IF(C1169="","",IF(SUMPRODUCT(($C$12:$C$1511=C1169)*1)&gt;1,1,0))</f>
        <v/>
      </c>
      <c r="J1169" s="6">
        <f>IF(C1169="","",SUMPRODUCT((Mapping!$F$5:$F$504=Setup!$B$4&amp;"||"&amp;C1169)*ROW(Mapping!$F$5:$F$504)))</f>
        <v/>
      </c>
      <c r="K1169" s="6">
        <f>IF(C1169="","",IF(J1169=0,"UNMAPPED",LOWER(INDEX(Mapping!$D$1:$D$504,J1169))))</f>
        <v/>
      </c>
      <c r="L1169" s="6">
        <f>IF(K1169="mapped",TRIM(INDEX(Mapping!$C$1:$C$504,J1169)),"")</f>
        <v/>
      </c>
      <c r="M1169" s="6">
        <f>IF(C1169="","",IF(SUMPRODUCT(($C$12:C1169=C1169)*1)=1,1,0))</f>
        <v/>
      </c>
      <c r="N1169" s="6">
        <f>IF(AND(K1169="UNMAPPED",M1169=1),ROW(),"")</f>
        <v/>
      </c>
      <c r="O1169" s="6">
        <f>IF(AND(I1169=1,M1169=1),ROW(),"")</f>
        <v/>
      </c>
      <c r="P1169" s="6">
        <f>IF(AND(K1169="ignored",M1169=1),ROW(),"")</f>
        <v/>
      </c>
    </row>
    <row r="1170">
      <c r="A1170" s="8" t="n"/>
      <c r="B1170" s="8" t="n"/>
      <c r="C1170" s="6">
        <f>TRIM(A1170&amp;"")</f>
        <v/>
      </c>
      <c r="D1170" s="6">
        <f>IF(C1170="","",SUBSTITUTE(SUBSTITUTE(SUBSTITUTE(SUBSTITUTE(SUBSTITUTE(SUBSTITUTE(SUBSTITUTE(UPPER(TRIM(B1170&amp;"")),"₹",""),"RS.",""),"RS",""),"INR",""),"$",""),",","")," ",""))</f>
        <v/>
      </c>
      <c r="E1170" s="6">
        <f>IF(C1170="","",IF(RIGHT(D1170,2)="CR","Cr",IF(RIGHT(D1170,2)="DR","Dr","")))</f>
        <v/>
      </c>
      <c r="F1170" s="6">
        <f>IF(C1170="","",IF(E1170&lt;&gt;"",LEFT(D1170,LEN(D1170)-2),D1170))</f>
        <v/>
      </c>
      <c r="G1170" s="13">
        <f>IF(C1170="","",IF(OR(IF(AND(LEFT(F1170,1)="(",RIGHT(F1170,1)=")"),MID(F1170,2,LEN(F1170)-2),F1170)="",IF(AND(LEFT(F1170,1)="(",RIGHT(F1170,1)=")"),MID(F1170,2,LEN(F1170)-2),F1170)="-"),0,IFERROR(VALUE(IF(AND(LEFT(F1170,1)="(",RIGHT(F1170,1)=")"),MID(F1170,2,LEN(F1170)-2),F1170))*IF(AND(LEFT(F1170,1)="(",RIGHT(F1170,1)=")"),-1,1)*IF(E1170="Cr",Setup!$B$6,1),"ERR")))</f>
        <v/>
      </c>
      <c r="H1170" s="6">
        <f>IF(C1170="","",IF(ISNUMBER(G1170),1,0))</f>
        <v/>
      </c>
      <c r="I1170" s="6">
        <f>IF(C1170="","",IF(SUMPRODUCT(($C$12:$C$1511=C1170)*1)&gt;1,1,0))</f>
        <v/>
      </c>
      <c r="J1170" s="6">
        <f>IF(C1170="","",SUMPRODUCT((Mapping!$F$5:$F$504=Setup!$B$4&amp;"||"&amp;C1170)*ROW(Mapping!$F$5:$F$504)))</f>
        <v/>
      </c>
      <c r="K1170" s="6">
        <f>IF(C1170="","",IF(J1170=0,"UNMAPPED",LOWER(INDEX(Mapping!$D$1:$D$504,J1170))))</f>
        <v/>
      </c>
      <c r="L1170" s="6">
        <f>IF(K1170="mapped",TRIM(INDEX(Mapping!$C$1:$C$504,J1170)),"")</f>
        <v/>
      </c>
      <c r="M1170" s="6">
        <f>IF(C1170="","",IF(SUMPRODUCT(($C$12:C1170=C1170)*1)=1,1,0))</f>
        <v/>
      </c>
      <c r="N1170" s="6">
        <f>IF(AND(K1170="UNMAPPED",M1170=1),ROW(),"")</f>
        <v/>
      </c>
      <c r="O1170" s="6">
        <f>IF(AND(I1170=1,M1170=1),ROW(),"")</f>
        <v/>
      </c>
      <c r="P1170" s="6">
        <f>IF(AND(K1170="ignored",M1170=1),ROW(),"")</f>
        <v/>
      </c>
    </row>
    <row r="1171">
      <c r="A1171" s="8" t="n"/>
      <c r="B1171" s="8" t="n"/>
      <c r="C1171" s="6">
        <f>TRIM(A1171&amp;"")</f>
        <v/>
      </c>
      <c r="D1171" s="6">
        <f>IF(C1171="","",SUBSTITUTE(SUBSTITUTE(SUBSTITUTE(SUBSTITUTE(SUBSTITUTE(SUBSTITUTE(SUBSTITUTE(UPPER(TRIM(B1171&amp;"")),"₹",""),"RS.",""),"RS",""),"INR",""),"$",""),",","")," ",""))</f>
        <v/>
      </c>
      <c r="E1171" s="6">
        <f>IF(C1171="","",IF(RIGHT(D1171,2)="CR","Cr",IF(RIGHT(D1171,2)="DR","Dr","")))</f>
        <v/>
      </c>
      <c r="F1171" s="6">
        <f>IF(C1171="","",IF(E1171&lt;&gt;"",LEFT(D1171,LEN(D1171)-2),D1171))</f>
        <v/>
      </c>
      <c r="G1171" s="13">
        <f>IF(C1171="","",IF(OR(IF(AND(LEFT(F1171,1)="(",RIGHT(F1171,1)=")"),MID(F1171,2,LEN(F1171)-2),F1171)="",IF(AND(LEFT(F1171,1)="(",RIGHT(F1171,1)=")"),MID(F1171,2,LEN(F1171)-2),F1171)="-"),0,IFERROR(VALUE(IF(AND(LEFT(F1171,1)="(",RIGHT(F1171,1)=")"),MID(F1171,2,LEN(F1171)-2),F1171))*IF(AND(LEFT(F1171,1)="(",RIGHT(F1171,1)=")"),-1,1)*IF(E1171="Cr",Setup!$B$6,1),"ERR")))</f>
        <v/>
      </c>
      <c r="H1171" s="6">
        <f>IF(C1171="","",IF(ISNUMBER(G1171),1,0))</f>
        <v/>
      </c>
      <c r="I1171" s="6">
        <f>IF(C1171="","",IF(SUMPRODUCT(($C$12:$C$1511=C1171)*1)&gt;1,1,0))</f>
        <v/>
      </c>
      <c r="J1171" s="6">
        <f>IF(C1171="","",SUMPRODUCT((Mapping!$F$5:$F$504=Setup!$B$4&amp;"||"&amp;C1171)*ROW(Mapping!$F$5:$F$504)))</f>
        <v/>
      </c>
      <c r="K1171" s="6">
        <f>IF(C1171="","",IF(J1171=0,"UNMAPPED",LOWER(INDEX(Mapping!$D$1:$D$504,J1171))))</f>
        <v/>
      </c>
      <c r="L1171" s="6">
        <f>IF(K1171="mapped",TRIM(INDEX(Mapping!$C$1:$C$504,J1171)),"")</f>
        <v/>
      </c>
      <c r="M1171" s="6">
        <f>IF(C1171="","",IF(SUMPRODUCT(($C$12:C1171=C1171)*1)=1,1,0))</f>
        <v/>
      </c>
      <c r="N1171" s="6">
        <f>IF(AND(K1171="UNMAPPED",M1171=1),ROW(),"")</f>
        <v/>
      </c>
      <c r="O1171" s="6">
        <f>IF(AND(I1171=1,M1171=1),ROW(),"")</f>
        <v/>
      </c>
      <c r="P1171" s="6">
        <f>IF(AND(K1171="ignored",M1171=1),ROW(),"")</f>
        <v/>
      </c>
    </row>
    <row r="1172">
      <c r="A1172" s="8" t="n"/>
      <c r="B1172" s="8" t="n"/>
      <c r="C1172" s="6">
        <f>TRIM(A1172&amp;"")</f>
        <v/>
      </c>
      <c r="D1172" s="6">
        <f>IF(C1172="","",SUBSTITUTE(SUBSTITUTE(SUBSTITUTE(SUBSTITUTE(SUBSTITUTE(SUBSTITUTE(SUBSTITUTE(UPPER(TRIM(B1172&amp;"")),"₹",""),"RS.",""),"RS",""),"INR",""),"$",""),",","")," ",""))</f>
        <v/>
      </c>
      <c r="E1172" s="6">
        <f>IF(C1172="","",IF(RIGHT(D1172,2)="CR","Cr",IF(RIGHT(D1172,2)="DR","Dr","")))</f>
        <v/>
      </c>
      <c r="F1172" s="6">
        <f>IF(C1172="","",IF(E1172&lt;&gt;"",LEFT(D1172,LEN(D1172)-2),D1172))</f>
        <v/>
      </c>
      <c r="G1172" s="13">
        <f>IF(C1172="","",IF(OR(IF(AND(LEFT(F1172,1)="(",RIGHT(F1172,1)=")"),MID(F1172,2,LEN(F1172)-2),F1172)="",IF(AND(LEFT(F1172,1)="(",RIGHT(F1172,1)=")"),MID(F1172,2,LEN(F1172)-2),F1172)="-"),0,IFERROR(VALUE(IF(AND(LEFT(F1172,1)="(",RIGHT(F1172,1)=")"),MID(F1172,2,LEN(F1172)-2),F1172))*IF(AND(LEFT(F1172,1)="(",RIGHT(F1172,1)=")"),-1,1)*IF(E1172="Cr",Setup!$B$6,1),"ERR")))</f>
        <v/>
      </c>
      <c r="H1172" s="6">
        <f>IF(C1172="","",IF(ISNUMBER(G1172),1,0))</f>
        <v/>
      </c>
      <c r="I1172" s="6">
        <f>IF(C1172="","",IF(SUMPRODUCT(($C$12:$C$1511=C1172)*1)&gt;1,1,0))</f>
        <v/>
      </c>
      <c r="J1172" s="6">
        <f>IF(C1172="","",SUMPRODUCT((Mapping!$F$5:$F$504=Setup!$B$4&amp;"||"&amp;C1172)*ROW(Mapping!$F$5:$F$504)))</f>
        <v/>
      </c>
      <c r="K1172" s="6">
        <f>IF(C1172="","",IF(J1172=0,"UNMAPPED",LOWER(INDEX(Mapping!$D$1:$D$504,J1172))))</f>
        <v/>
      </c>
      <c r="L1172" s="6">
        <f>IF(K1172="mapped",TRIM(INDEX(Mapping!$C$1:$C$504,J1172)),"")</f>
        <v/>
      </c>
      <c r="M1172" s="6">
        <f>IF(C1172="","",IF(SUMPRODUCT(($C$12:C1172=C1172)*1)=1,1,0))</f>
        <v/>
      </c>
      <c r="N1172" s="6">
        <f>IF(AND(K1172="UNMAPPED",M1172=1),ROW(),"")</f>
        <v/>
      </c>
      <c r="O1172" s="6">
        <f>IF(AND(I1172=1,M1172=1),ROW(),"")</f>
        <v/>
      </c>
      <c r="P1172" s="6">
        <f>IF(AND(K1172="ignored",M1172=1),ROW(),"")</f>
        <v/>
      </c>
    </row>
    <row r="1173">
      <c r="A1173" s="8" t="n"/>
      <c r="B1173" s="8" t="n"/>
      <c r="C1173" s="6">
        <f>TRIM(A1173&amp;"")</f>
        <v/>
      </c>
      <c r="D1173" s="6">
        <f>IF(C1173="","",SUBSTITUTE(SUBSTITUTE(SUBSTITUTE(SUBSTITUTE(SUBSTITUTE(SUBSTITUTE(SUBSTITUTE(UPPER(TRIM(B1173&amp;"")),"₹",""),"RS.",""),"RS",""),"INR",""),"$",""),",","")," ",""))</f>
        <v/>
      </c>
      <c r="E1173" s="6">
        <f>IF(C1173="","",IF(RIGHT(D1173,2)="CR","Cr",IF(RIGHT(D1173,2)="DR","Dr","")))</f>
        <v/>
      </c>
      <c r="F1173" s="6">
        <f>IF(C1173="","",IF(E1173&lt;&gt;"",LEFT(D1173,LEN(D1173)-2),D1173))</f>
        <v/>
      </c>
      <c r="G1173" s="13">
        <f>IF(C1173="","",IF(OR(IF(AND(LEFT(F1173,1)="(",RIGHT(F1173,1)=")"),MID(F1173,2,LEN(F1173)-2),F1173)="",IF(AND(LEFT(F1173,1)="(",RIGHT(F1173,1)=")"),MID(F1173,2,LEN(F1173)-2),F1173)="-"),0,IFERROR(VALUE(IF(AND(LEFT(F1173,1)="(",RIGHT(F1173,1)=")"),MID(F1173,2,LEN(F1173)-2),F1173))*IF(AND(LEFT(F1173,1)="(",RIGHT(F1173,1)=")"),-1,1)*IF(E1173="Cr",Setup!$B$6,1),"ERR")))</f>
        <v/>
      </c>
      <c r="H1173" s="6">
        <f>IF(C1173="","",IF(ISNUMBER(G1173),1,0))</f>
        <v/>
      </c>
      <c r="I1173" s="6">
        <f>IF(C1173="","",IF(SUMPRODUCT(($C$12:$C$1511=C1173)*1)&gt;1,1,0))</f>
        <v/>
      </c>
      <c r="J1173" s="6">
        <f>IF(C1173="","",SUMPRODUCT((Mapping!$F$5:$F$504=Setup!$B$4&amp;"||"&amp;C1173)*ROW(Mapping!$F$5:$F$504)))</f>
        <v/>
      </c>
      <c r="K1173" s="6">
        <f>IF(C1173="","",IF(J1173=0,"UNMAPPED",LOWER(INDEX(Mapping!$D$1:$D$504,J1173))))</f>
        <v/>
      </c>
      <c r="L1173" s="6">
        <f>IF(K1173="mapped",TRIM(INDEX(Mapping!$C$1:$C$504,J1173)),"")</f>
        <v/>
      </c>
      <c r="M1173" s="6">
        <f>IF(C1173="","",IF(SUMPRODUCT(($C$12:C1173=C1173)*1)=1,1,0))</f>
        <v/>
      </c>
      <c r="N1173" s="6">
        <f>IF(AND(K1173="UNMAPPED",M1173=1),ROW(),"")</f>
        <v/>
      </c>
      <c r="O1173" s="6">
        <f>IF(AND(I1173=1,M1173=1),ROW(),"")</f>
        <v/>
      </c>
      <c r="P1173" s="6">
        <f>IF(AND(K1173="ignored",M1173=1),ROW(),"")</f>
        <v/>
      </c>
    </row>
    <row r="1174">
      <c r="A1174" s="8" t="n"/>
      <c r="B1174" s="8" t="n"/>
      <c r="C1174" s="6">
        <f>TRIM(A1174&amp;"")</f>
        <v/>
      </c>
      <c r="D1174" s="6">
        <f>IF(C1174="","",SUBSTITUTE(SUBSTITUTE(SUBSTITUTE(SUBSTITUTE(SUBSTITUTE(SUBSTITUTE(SUBSTITUTE(UPPER(TRIM(B1174&amp;"")),"₹",""),"RS.",""),"RS",""),"INR",""),"$",""),",","")," ",""))</f>
        <v/>
      </c>
      <c r="E1174" s="6">
        <f>IF(C1174="","",IF(RIGHT(D1174,2)="CR","Cr",IF(RIGHT(D1174,2)="DR","Dr","")))</f>
        <v/>
      </c>
      <c r="F1174" s="6">
        <f>IF(C1174="","",IF(E1174&lt;&gt;"",LEFT(D1174,LEN(D1174)-2),D1174))</f>
        <v/>
      </c>
      <c r="G1174" s="13">
        <f>IF(C1174="","",IF(OR(IF(AND(LEFT(F1174,1)="(",RIGHT(F1174,1)=")"),MID(F1174,2,LEN(F1174)-2),F1174)="",IF(AND(LEFT(F1174,1)="(",RIGHT(F1174,1)=")"),MID(F1174,2,LEN(F1174)-2),F1174)="-"),0,IFERROR(VALUE(IF(AND(LEFT(F1174,1)="(",RIGHT(F1174,1)=")"),MID(F1174,2,LEN(F1174)-2),F1174))*IF(AND(LEFT(F1174,1)="(",RIGHT(F1174,1)=")"),-1,1)*IF(E1174="Cr",Setup!$B$6,1),"ERR")))</f>
        <v/>
      </c>
      <c r="H1174" s="6">
        <f>IF(C1174="","",IF(ISNUMBER(G1174),1,0))</f>
        <v/>
      </c>
      <c r="I1174" s="6">
        <f>IF(C1174="","",IF(SUMPRODUCT(($C$12:$C$1511=C1174)*1)&gt;1,1,0))</f>
        <v/>
      </c>
      <c r="J1174" s="6">
        <f>IF(C1174="","",SUMPRODUCT((Mapping!$F$5:$F$504=Setup!$B$4&amp;"||"&amp;C1174)*ROW(Mapping!$F$5:$F$504)))</f>
        <v/>
      </c>
      <c r="K1174" s="6">
        <f>IF(C1174="","",IF(J1174=0,"UNMAPPED",LOWER(INDEX(Mapping!$D$1:$D$504,J1174))))</f>
        <v/>
      </c>
      <c r="L1174" s="6">
        <f>IF(K1174="mapped",TRIM(INDEX(Mapping!$C$1:$C$504,J1174)),"")</f>
        <v/>
      </c>
      <c r="M1174" s="6">
        <f>IF(C1174="","",IF(SUMPRODUCT(($C$12:C1174=C1174)*1)=1,1,0))</f>
        <v/>
      </c>
      <c r="N1174" s="6">
        <f>IF(AND(K1174="UNMAPPED",M1174=1),ROW(),"")</f>
        <v/>
      </c>
      <c r="O1174" s="6">
        <f>IF(AND(I1174=1,M1174=1),ROW(),"")</f>
        <v/>
      </c>
      <c r="P1174" s="6">
        <f>IF(AND(K1174="ignored",M1174=1),ROW(),"")</f>
        <v/>
      </c>
    </row>
    <row r="1175">
      <c r="A1175" s="8" t="n"/>
      <c r="B1175" s="8" t="n"/>
      <c r="C1175" s="6">
        <f>TRIM(A1175&amp;"")</f>
        <v/>
      </c>
      <c r="D1175" s="6">
        <f>IF(C1175="","",SUBSTITUTE(SUBSTITUTE(SUBSTITUTE(SUBSTITUTE(SUBSTITUTE(SUBSTITUTE(SUBSTITUTE(UPPER(TRIM(B1175&amp;"")),"₹",""),"RS.",""),"RS",""),"INR",""),"$",""),",","")," ",""))</f>
        <v/>
      </c>
      <c r="E1175" s="6">
        <f>IF(C1175="","",IF(RIGHT(D1175,2)="CR","Cr",IF(RIGHT(D1175,2)="DR","Dr","")))</f>
        <v/>
      </c>
      <c r="F1175" s="6">
        <f>IF(C1175="","",IF(E1175&lt;&gt;"",LEFT(D1175,LEN(D1175)-2),D1175))</f>
        <v/>
      </c>
      <c r="G1175" s="13">
        <f>IF(C1175="","",IF(OR(IF(AND(LEFT(F1175,1)="(",RIGHT(F1175,1)=")"),MID(F1175,2,LEN(F1175)-2),F1175)="",IF(AND(LEFT(F1175,1)="(",RIGHT(F1175,1)=")"),MID(F1175,2,LEN(F1175)-2),F1175)="-"),0,IFERROR(VALUE(IF(AND(LEFT(F1175,1)="(",RIGHT(F1175,1)=")"),MID(F1175,2,LEN(F1175)-2),F1175))*IF(AND(LEFT(F1175,1)="(",RIGHT(F1175,1)=")"),-1,1)*IF(E1175="Cr",Setup!$B$6,1),"ERR")))</f>
        <v/>
      </c>
      <c r="H1175" s="6">
        <f>IF(C1175="","",IF(ISNUMBER(G1175),1,0))</f>
        <v/>
      </c>
      <c r="I1175" s="6">
        <f>IF(C1175="","",IF(SUMPRODUCT(($C$12:$C$1511=C1175)*1)&gt;1,1,0))</f>
        <v/>
      </c>
      <c r="J1175" s="6">
        <f>IF(C1175="","",SUMPRODUCT((Mapping!$F$5:$F$504=Setup!$B$4&amp;"||"&amp;C1175)*ROW(Mapping!$F$5:$F$504)))</f>
        <v/>
      </c>
      <c r="K1175" s="6">
        <f>IF(C1175="","",IF(J1175=0,"UNMAPPED",LOWER(INDEX(Mapping!$D$1:$D$504,J1175))))</f>
        <v/>
      </c>
      <c r="L1175" s="6">
        <f>IF(K1175="mapped",TRIM(INDEX(Mapping!$C$1:$C$504,J1175)),"")</f>
        <v/>
      </c>
      <c r="M1175" s="6">
        <f>IF(C1175="","",IF(SUMPRODUCT(($C$12:C1175=C1175)*1)=1,1,0))</f>
        <v/>
      </c>
      <c r="N1175" s="6">
        <f>IF(AND(K1175="UNMAPPED",M1175=1),ROW(),"")</f>
        <v/>
      </c>
      <c r="O1175" s="6">
        <f>IF(AND(I1175=1,M1175=1),ROW(),"")</f>
        <v/>
      </c>
      <c r="P1175" s="6">
        <f>IF(AND(K1175="ignored",M1175=1),ROW(),"")</f>
        <v/>
      </c>
    </row>
    <row r="1176">
      <c r="A1176" s="8" t="n"/>
      <c r="B1176" s="8" t="n"/>
      <c r="C1176" s="6">
        <f>TRIM(A1176&amp;"")</f>
        <v/>
      </c>
      <c r="D1176" s="6">
        <f>IF(C1176="","",SUBSTITUTE(SUBSTITUTE(SUBSTITUTE(SUBSTITUTE(SUBSTITUTE(SUBSTITUTE(SUBSTITUTE(UPPER(TRIM(B1176&amp;"")),"₹",""),"RS.",""),"RS",""),"INR",""),"$",""),",","")," ",""))</f>
        <v/>
      </c>
      <c r="E1176" s="6">
        <f>IF(C1176="","",IF(RIGHT(D1176,2)="CR","Cr",IF(RIGHT(D1176,2)="DR","Dr","")))</f>
        <v/>
      </c>
      <c r="F1176" s="6">
        <f>IF(C1176="","",IF(E1176&lt;&gt;"",LEFT(D1176,LEN(D1176)-2),D1176))</f>
        <v/>
      </c>
      <c r="G1176" s="13">
        <f>IF(C1176="","",IF(OR(IF(AND(LEFT(F1176,1)="(",RIGHT(F1176,1)=")"),MID(F1176,2,LEN(F1176)-2),F1176)="",IF(AND(LEFT(F1176,1)="(",RIGHT(F1176,1)=")"),MID(F1176,2,LEN(F1176)-2),F1176)="-"),0,IFERROR(VALUE(IF(AND(LEFT(F1176,1)="(",RIGHT(F1176,1)=")"),MID(F1176,2,LEN(F1176)-2),F1176))*IF(AND(LEFT(F1176,1)="(",RIGHT(F1176,1)=")"),-1,1)*IF(E1176="Cr",Setup!$B$6,1),"ERR")))</f>
        <v/>
      </c>
      <c r="H1176" s="6">
        <f>IF(C1176="","",IF(ISNUMBER(G1176),1,0))</f>
        <v/>
      </c>
      <c r="I1176" s="6">
        <f>IF(C1176="","",IF(SUMPRODUCT(($C$12:$C$1511=C1176)*1)&gt;1,1,0))</f>
        <v/>
      </c>
      <c r="J1176" s="6">
        <f>IF(C1176="","",SUMPRODUCT((Mapping!$F$5:$F$504=Setup!$B$4&amp;"||"&amp;C1176)*ROW(Mapping!$F$5:$F$504)))</f>
        <v/>
      </c>
      <c r="K1176" s="6">
        <f>IF(C1176="","",IF(J1176=0,"UNMAPPED",LOWER(INDEX(Mapping!$D$1:$D$504,J1176))))</f>
        <v/>
      </c>
      <c r="L1176" s="6">
        <f>IF(K1176="mapped",TRIM(INDEX(Mapping!$C$1:$C$504,J1176)),"")</f>
        <v/>
      </c>
      <c r="M1176" s="6">
        <f>IF(C1176="","",IF(SUMPRODUCT(($C$12:C1176=C1176)*1)=1,1,0))</f>
        <v/>
      </c>
      <c r="N1176" s="6">
        <f>IF(AND(K1176="UNMAPPED",M1176=1),ROW(),"")</f>
        <v/>
      </c>
      <c r="O1176" s="6">
        <f>IF(AND(I1176=1,M1176=1),ROW(),"")</f>
        <v/>
      </c>
      <c r="P1176" s="6">
        <f>IF(AND(K1176="ignored",M1176=1),ROW(),"")</f>
        <v/>
      </c>
    </row>
    <row r="1177">
      <c r="A1177" s="8" t="n"/>
      <c r="B1177" s="8" t="n"/>
      <c r="C1177" s="6">
        <f>TRIM(A1177&amp;"")</f>
        <v/>
      </c>
      <c r="D1177" s="6">
        <f>IF(C1177="","",SUBSTITUTE(SUBSTITUTE(SUBSTITUTE(SUBSTITUTE(SUBSTITUTE(SUBSTITUTE(SUBSTITUTE(UPPER(TRIM(B1177&amp;"")),"₹",""),"RS.",""),"RS",""),"INR",""),"$",""),",","")," ",""))</f>
        <v/>
      </c>
      <c r="E1177" s="6">
        <f>IF(C1177="","",IF(RIGHT(D1177,2)="CR","Cr",IF(RIGHT(D1177,2)="DR","Dr","")))</f>
        <v/>
      </c>
      <c r="F1177" s="6">
        <f>IF(C1177="","",IF(E1177&lt;&gt;"",LEFT(D1177,LEN(D1177)-2),D1177))</f>
        <v/>
      </c>
      <c r="G1177" s="13">
        <f>IF(C1177="","",IF(OR(IF(AND(LEFT(F1177,1)="(",RIGHT(F1177,1)=")"),MID(F1177,2,LEN(F1177)-2),F1177)="",IF(AND(LEFT(F1177,1)="(",RIGHT(F1177,1)=")"),MID(F1177,2,LEN(F1177)-2),F1177)="-"),0,IFERROR(VALUE(IF(AND(LEFT(F1177,1)="(",RIGHT(F1177,1)=")"),MID(F1177,2,LEN(F1177)-2),F1177))*IF(AND(LEFT(F1177,1)="(",RIGHT(F1177,1)=")"),-1,1)*IF(E1177="Cr",Setup!$B$6,1),"ERR")))</f>
        <v/>
      </c>
      <c r="H1177" s="6">
        <f>IF(C1177="","",IF(ISNUMBER(G1177),1,0))</f>
        <v/>
      </c>
      <c r="I1177" s="6">
        <f>IF(C1177="","",IF(SUMPRODUCT(($C$12:$C$1511=C1177)*1)&gt;1,1,0))</f>
        <v/>
      </c>
      <c r="J1177" s="6">
        <f>IF(C1177="","",SUMPRODUCT((Mapping!$F$5:$F$504=Setup!$B$4&amp;"||"&amp;C1177)*ROW(Mapping!$F$5:$F$504)))</f>
        <v/>
      </c>
      <c r="K1177" s="6">
        <f>IF(C1177="","",IF(J1177=0,"UNMAPPED",LOWER(INDEX(Mapping!$D$1:$D$504,J1177))))</f>
        <v/>
      </c>
      <c r="L1177" s="6">
        <f>IF(K1177="mapped",TRIM(INDEX(Mapping!$C$1:$C$504,J1177)),"")</f>
        <v/>
      </c>
      <c r="M1177" s="6">
        <f>IF(C1177="","",IF(SUMPRODUCT(($C$12:C1177=C1177)*1)=1,1,0))</f>
        <v/>
      </c>
      <c r="N1177" s="6">
        <f>IF(AND(K1177="UNMAPPED",M1177=1),ROW(),"")</f>
        <v/>
      </c>
      <c r="O1177" s="6">
        <f>IF(AND(I1177=1,M1177=1),ROW(),"")</f>
        <v/>
      </c>
      <c r="P1177" s="6">
        <f>IF(AND(K1177="ignored",M1177=1),ROW(),"")</f>
        <v/>
      </c>
    </row>
    <row r="1178">
      <c r="A1178" s="8" t="n"/>
      <c r="B1178" s="8" t="n"/>
      <c r="C1178" s="6">
        <f>TRIM(A1178&amp;"")</f>
        <v/>
      </c>
      <c r="D1178" s="6">
        <f>IF(C1178="","",SUBSTITUTE(SUBSTITUTE(SUBSTITUTE(SUBSTITUTE(SUBSTITUTE(SUBSTITUTE(SUBSTITUTE(UPPER(TRIM(B1178&amp;"")),"₹",""),"RS.",""),"RS",""),"INR",""),"$",""),",","")," ",""))</f>
        <v/>
      </c>
      <c r="E1178" s="6">
        <f>IF(C1178="","",IF(RIGHT(D1178,2)="CR","Cr",IF(RIGHT(D1178,2)="DR","Dr","")))</f>
        <v/>
      </c>
      <c r="F1178" s="6">
        <f>IF(C1178="","",IF(E1178&lt;&gt;"",LEFT(D1178,LEN(D1178)-2),D1178))</f>
        <v/>
      </c>
      <c r="G1178" s="13">
        <f>IF(C1178="","",IF(OR(IF(AND(LEFT(F1178,1)="(",RIGHT(F1178,1)=")"),MID(F1178,2,LEN(F1178)-2),F1178)="",IF(AND(LEFT(F1178,1)="(",RIGHT(F1178,1)=")"),MID(F1178,2,LEN(F1178)-2),F1178)="-"),0,IFERROR(VALUE(IF(AND(LEFT(F1178,1)="(",RIGHT(F1178,1)=")"),MID(F1178,2,LEN(F1178)-2),F1178))*IF(AND(LEFT(F1178,1)="(",RIGHT(F1178,1)=")"),-1,1)*IF(E1178="Cr",Setup!$B$6,1),"ERR")))</f>
        <v/>
      </c>
      <c r="H1178" s="6">
        <f>IF(C1178="","",IF(ISNUMBER(G1178),1,0))</f>
        <v/>
      </c>
      <c r="I1178" s="6">
        <f>IF(C1178="","",IF(SUMPRODUCT(($C$12:$C$1511=C1178)*1)&gt;1,1,0))</f>
        <v/>
      </c>
      <c r="J1178" s="6">
        <f>IF(C1178="","",SUMPRODUCT((Mapping!$F$5:$F$504=Setup!$B$4&amp;"||"&amp;C1178)*ROW(Mapping!$F$5:$F$504)))</f>
        <v/>
      </c>
      <c r="K1178" s="6">
        <f>IF(C1178="","",IF(J1178=0,"UNMAPPED",LOWER(INDEX(Mapping!$D$1:$D$504,J1178))))</f>
        <v/>
      </c>
      <c r="L1178" s="6">
        <f>IF(K1178="mapped",TRIM(INDEX(Mapping!$C$1:$C$504,J1178)),"")</f>
        <v/>
      </c>
      <c r="M1178" s="6">
        <f>IF(C1178="","",IF(SUMPRODUCT(($C$12:C1178=C1178)*1)=1,1,0))</f>
        <v/>
      </c>
      <c r="N1178" s="6">
        <f>IF(AND(K1178="UNMAPPED",M1178=1),ROW(),"")</f>
        <v/>
      </c>
      <c r="O1178" s="6">
        <f>IF(AND(I1178=1,M1178=1),ROW(),"")</f>
        <v/>
      </c>
      <c r="P1178" s="6">
        <f>IF(AND(K1178="ignored",M1178=1),ROW(),"")</f>
        <v/>
      </c>
    </row>
    <row r="1179">
      <c r="A1179" s="8" t="n"/>
      <c r="B1179" s="8" t="n"/>
      <c r="C1179" s="6">
        <f>TRIM(A1179&amp;"")</f>
        <v/>
      </c>
      <c r="D1179" s="6">
        <f>IF(C1179="","",SUBSTITUTE(SUBSTITUTE(SUBSTITUTE(SUBSTITUTE(SUBSTITUTE(SUBSTITUTE(SUBSTITUTE(UPPER(TRIM(B1179&amp;"")),"₹",""),"RS.",""),"RS",""),"INR",""),"$",""),",","")," ",""))</f>
        <v/>
      </c>
      <c r="E1179" s="6">
        <f>IF(C1179="","",IF(RIGHT(D1179,2)="CR","Cr",IF(RIGHT(D1179,2)="DR","Dr","")))</f>
        <v/>
      </c>
      <c r="F1179" s="6">
        <f>IF(C1179="","",IF(E1179&lt;&gt;"",LEFT(D1179,LEN(D1179)-2),D1179))</f>
        <v/>
      </c>
      <c r="G1179" s="13">
        <f>IF(C1179="","",IF(OR(IF(AND(LEFT(F1179,1)="(",RIGHT(F1179,1)=")"),MID(F1179,2,LEN(F1179)-2),F1179)="",IF(AND(LEFT(F1179,1)="(",RIGHT(F1179,1)=")"),MID(F1179,2,LEN(F1179)-2),F1179)="-"),0,IFERROR(VALUE(IF(AND(LEFT(F1179,1)="(",RIGHT(F1179,1)=")"),MID(F1179,2,LEN(F1179)-2),F1179))*IF(AND(LEFT(F1179,1)="(",RIGHT(F1179,1)=")"),-1,1)*IF(E1179="Cr",Setup!$B$6,1),"ERR")))</f>
        <v/>
      </c>
      <c r="H1179" s="6">
        <f>IF(C1179="","",IF(ISNUMBER(G1179),1,0))</f>
        <v/>
      </c>
      <c r="I1179" s="6">
        <f>IF(C1179="","",IF(SUMPRODUCT(($C$12:$C$1511=C1179)*1)&gt;1,1,0))</f>
        <v/>
      </c>
      <c r="J1179" s="6">
        <f>IF(C1179="","",SUMPRODUCT((Mapping!$F$5:$F$504=Setup!$B$4&amp;"||"&amp;C1179)*ROW(Mapping!$F$5:$F$504)))</f>
        <v/>
      </c>
      <c r="K1179" s="6">
        <f>IF(C1179="","",IF(J1179=0,"UNMAPPED",LOWER(INDEX(Mapping!$D$1:$D$504,J1179))))</f>
        <v/>
      </c>
      <c r="L1179" s="6">
        <f>IF(K1179="mapped",TRIM(INDEX(Mapping!$C$1:$C$504,J1179)),"")</f>
        <v/>
      </c>
      <c r="M1179" s="6">
        <f>IF(C1179="","",IF(SUMPRODUCT(($C$12:C1179=C1179)*1)=1,1,0))</f>
        <v/>
      </c>
      <c r="N1179" s="6">
        <f>IF(AND(K1179="UNMAPPED",M1179=1),ROW(),"")</f>
        <v/>
      </c>
      <c r="O1179" s="6">
        <f>IF(AND(I1179=1,M1179=1),ROW(),"")</f>
        <v/>
      </c>
      <c r="P1179" s="6">
        <f>IF(AND(K1179="ignored",M1179=1),ROW(),"")</f>
        <v/>
      </c>
    </row>
    <row r="1180">
      <c r="A1180" s="8" t="n"/>
      <c r="B1180" s="8" t="n"/>
      <c r="C1180" s="6">
        <f>TRIM(A1180&amp;"")</f>
        <v/>
      </c>
      <c r="D1180" s="6">
        <f>IF(C1180="","",SUBSTITUTE(SUBSTITUTE(SUBSTITUTE(SUBSTITUTE(SUBSTITUTE(SUBSTITUTE(SUBSTITUTE(UPPER(TRIM(B1180&amp;"")),"₹",""),"RS.",""),"RS",""),"INR",""),"$",""),",","")," ",""))</f>
        <v/>
      </c>
      <c r="E1180" s="6">
        <f>IF(C1180="","",IF(RIGHT(D1180,2)="CR","Cr",IF(RIGHT(D1180,2)="DR","Dr","")))</f>
        <v/>
      </c>
      <c r="F1180" s="6">
        <f>IF(C1180="","",IF(E1180&lt;&gt;"",LEFT(D1180,LEN(D1180)-2),D1180))</f>
        <v/>
      </c>
      <c r="G1180" s="13">
        <f>IF(C1180="","",IF(OR(IF(AND(LEFT(F1180,1)="(",RIGHT(F1180,1)=")"),MID(F1180,2,LEN(F1180)-2),F1180)="",IF(AND(LEFT(F1180,1)="(",RIGHT(F1180,1)=")"),MID(F1180,2,LEN(F1180)-2),F1180)="-"),0,IFERROR(VALUE(IF(AND(LEFT(F1180,1)="(",RIGHT(F1180,1)=")"),MID(F1180,2,LEN(F1180)-2),F1180))*IF(AND(LEFT(F1180,1)="(",RIGHT(F1180,1)=")"),-1,1)*IF(E1180="Cr",Setup!$B$6,1),"ERR")))</f>
        <v/>
      </c>
      <c r="H1180" s="6">
        <f>IF(C1180="","",IF(ISNUMBER(G1180),1,0))</f>
        <v/>
      </c>
      <c r="I1180" s="6">
        <f>IF(C1180="","",IF(SUMPRODUCT(($C$12:$C$1511=C1180)*1)&gt;1,1,0))</f>
        <v/>
      </c>
      <c r="J1180" s="6">
        <f>IF(C1180="","",SUMPRODUCT((Mapping!$F$5:$F$504=Setup!$B$4&amp;"||"&amp;C1180)*ROW(Mapping!$F$5:$F$504)))</f>
        <v/>
      </c>
      <c r="K1180" s="6">
        <f>IF(C1180="","",IF(J1180=0,"UNMAPPED",LOWER(INDEX(Mapping!$D$1:$D$504,J1180))))</f>
        <v/>
      </c>
      <c r="L1180" s="6">
        <f>IF(K1180="mapped",TRIM(INDEX(Mapping!$C$1:$C$504,J1180)),"")</f>
        <v/>
      </c>
      <c r="M1180" s="6">
        <f>IF(C1180="","",IF(SUMPRODUCT(($C$12:C1180=C1180)*1)=1,1,0))</f>
        <v/>
      </c>
      <c r="N1180" s="6">
        <f>IF(AND(K1180="UNMAPPED",M1180=1),ROW(),"")</f>
        <v/>
      </c>
      <c r="O1180" s="6">
        <f>IF(AND(I1180=1,M1180=1),ROW(),"")</f>
        <v/>
      </c>
      <c r="P1180" s="6">
        <f>IF(AND(K1180="ignored",M1180=1),ROW(),"")</f>
        <v/>
      </c>
    </row>
    <row r="1181">
      <c r="A1181" s="8" t="n"/>
      <c r="B1181" s="8" t="n"/>
      <c r="C1181" s="6">
        <f>TRIM(A1181&amp;"")</f>
        <v/>
      </c>
      <c r="D1181" s="6">
        <f>IF(C1181="","",SUBSTITUTE(SUBSTITUTE(SUBSTITUTE(SUBSTITUTE(SUBSTITUTE(SUBSTITUTE(SUBSTITUTE(UPPER(TRIM(B1181&amp;"")),"₹",""),"RS.",""),"RS",""),"INR",""),"$",""),",","")," ",""))</f>
        <v/>
      </c>
      <c r="E1181" s="6">
        <f>IF(C1181="","",IF(RIGHT(D1181,2)="CR","Cr",IF(RIGHT(D1181,2)="DR","Dr","")))</f>
        <v/>
      </c>
      <c r="F1181" s="6">
        <f>IF(C1181="","",IF(E1181&lt;&gt;"",LEFT(D1181,LEN(D1181)-2),D1181))</f>
        <v/>
      </c>
      <c r="G1181" s="13">
        <f>IF(C1181="","",IF(OR(IF(AND(LEFT(F1181,1)="(",RIGHT(F1181,1)=")"),MID(F1181,2,LEN(F1181)-2),F1181)="",IF(AND(LEFT(F1181,1)="(",RIGHT(F1181,1)=")"),MID(F1181,2,LEN(F1181)-2),F1181)="-"),0,IFERROR(VALUE(IF(AND(LEFT(F1181,1)="(",RIGHT(F1181,1)=")"),MID(F1181,2,LEN(F1181)-2),F1181))*IF(AND(LEFT(F1181,1)="(",RIGHT(F1181,1)=")"),-1,1)*IF(E1181="Cr",Setup!$B$6,1),"ERR")))</f>
        <v/>
      </c>
      <c r="H1181" s="6">
        <f>IF(C1181="","",IF(ISNUMBER(G1181),1,0))</f>
        <v/>
      </c>
      <c r="I1181" s="6">
        <f>IF(C1181="","",IF(SUMPRODUCT(($C$12:$C$1511=C1181)*1)&gt;1,1,0))</f>
        <v/>
      </c>
      <c r="J1181" s="6">
        <f>IF(C1181="","",SUMPRODUCT((Mapping!$F$5:$F$504=Setup!$B$4&amp;"||"&amp;C1181)*ROW(Mapping!$F$5:$F$504)))</f>
        <v/>
      </c>
      <c r="K1181" s="6">
        <f>IF(C1181="","",IF(J1181=0,"UNMAPPED",LOWER(INDEX(Mapping!$D$1:$D$504,J1181))))</f>
        <v/>
      </c>
      <c r="L1181" s="6">
        <f>IF(K1181="mapped",TRIM(INDEX(Mapping!$C$1:$C$504,J1181)),"")</f>
        <v/>
      </c>
      <c r="M1181" s="6">
        <f>IF(C1181="","",IF(SUMPRODUCT(($C$12:C1181=C1181)*1)=1,1,0))</f>
        <v/>
      </c>
      <c r="N1181" s="6">
        <f>IF(AND(K1181="UNMAPPED",M1181=1),ROW(),"")</f>
        <v/>
      </c>
      <c r="O1181" s="6">
        <f>IF(AND(I1181=1,M1181=1),ROW(),"")</f>
        <v/>
      </c>
      <c r="P1181" s="6">
        <f>IF(AND(K1181="ignored",M1181=1),ROW(),"")</f>
        <v/>
      </c>
    </row>
    <row r="1182">
      <c r="A1182" s="8" t="n"/>
      <c r="B1182" s="8" t="n"/>
      <c r="C1182" s="6">
        <f>TRIM(A1182&amp;"")</f>
        <v/>
      </c>
      <c r="D1182" s="6">
        <f>IF(C1182="","",SUBSTITUTE(SUBSTITUTE(SUBSTITUTE(SUBSTITUTE(SUBSTITUTE(SUBSTITUTE(SUBSTITUTE(UPPER(TRIM(B1182&amp;"")),"₹",""),"RS.",""),"RS",""),"INR",""),"$",""),",","")," ",""))</f>
        <v/>
      </c>
      <c r="E1182" s="6">
        <f>IF(C1182="","",IF(RIGHT(D1182,2)="CR","Cr",IF(RIGHT(D1182,2)="DR","Dr","")))</f>
        <v/>
      </c>
      <c r="F1182" s="6">
        <f>IF(C1182="","",IF(E1182&lt;&gt;"",LEFT(D1182,LEN(D1182)-2),D1182))</f>
        <v/>
      </c>
      <c r="G1182" s="13">
        <f>IF(C1182="","",IF(OR(IF(AND(LEFT(F1182,1)="(",RIGHT(F1182,1)=")"),MID(F1182,2,LEN(F1182)-2),F1182)="",IF(AND(LEFT(F1182,1)="(",RIGHT(F1182,1)=")"),MID(F1182,2,LEN(F1182)-2),F1182)="-"),0,IFERROR(VALUE(IF(AND(LEFT(F1182,1)="(",RIGHT(F1182,1)=")"),MID(F1182,2,LEN(F1182)-2),F1182))*IF(AND(LEFT(F1182,1)="(",RIGHT(F1182,1)=")"),-1,1)*IF(E1182="Cr",Setup!$B$6,1),"ERR")))</f>
        <v/>
      </c>
      <c r="H1182" s="6">
        <f>IF(C1182="","",IF(ISNUMBER(G1182),1,0))</f>
        <v/>
      </c>
      <c r="I1182" s="6">
        <f>IF(C1182="","",IF(SUMPRODUCT(($C$12:$C$1511=C1182)*1)&gt;1,1,0))</f>
        <v/>
      </c>
      <c r="J1182" s="6">
        <f>IF(C1182="","",SUMPRODUCT((Mapping!$F$5:$F$504=Setup!$B$4&amp;"||"&amp;C1182)*ROW(Mapping!$F$5:$F$504)))</f>
        <v/>
      </c>
      <c r="K1182" s="6">
        <f>IF(C1182="","",IF(J1182=0,"UNMAPPED",LOWER(INDEX(Mapping!$D$1:$D$504,J1182))))</f>
        <v/>
      </c>
      <c r="L1182" s="6">
        <f>IF(K1182="mapped",TRIM(INDEX(Mapping!$C$1:$C$504,J1182)),"")</f>
        <v/>
      </c>
      <c r="M1182" s="6">
        <f>IF(C1182="","",IF(SUMPRODUCT(($C$12:C1182=C1182)*1)=1,1,0))</f>
        <v/>
      </c>
      <c r="N1182" s="6">
        <f>IF(AND(K1182="UNMAPPED",M1182=1),ROW(),"")</f>
        <v/>
      </c>
      <c r="O1182" s="6">
        <f>IF(AND(I1182=1,M1182=1),ROW(),"")</f>
        <v/>
      </c>
      <c r="P1182" s="6">
        <f>IF(AND(K1182="ignored",M1182=1),ROW(),"")</f>
        <v/>
      </c>
    </row>
    <row r="1183">
      <c r="A1183" s="8" t="n"/>
      <c r="B1183" s="8" t="n"/>
      <c r="C1183" s="6">
        <f>TRIM(A1183&amp;"")</f>
        <v/>
      </c>
      <c r="D1183" s="6">
        <f>IF(C1183="","",SUBSTITUTE(SUBSTITUTE(SUBSTITUTE(SUBSTITUTE(SUBSTITUTE(SUBSTITUTE(SUBSTITUTE(UPPER(TRIM(B1183&amp;"")),"₹",""),"RS.",""),"RS",""),"INR",""),"$",""),",","")," ",""))</f>
        <v/>
      </c>
      <c r="E1183" s="6">
        <f>IF(C1183="","",IF(RIGHT(D1183,2)="CR","Cr",IF(RIGHT(D1183,2)="DR","Dr","")))</f>
        <v/>
      </c>
      <c r="F1183" s="6">
        <f>IF(C1183="","",IF(E1183&lt;&gt;"",LEFT(D1183,LEN(D1183)-2),D1183))</f>
        <v/>
      </c>
      <c r="G1183" s="13">
        <f>IF(C1183="","",IF(OR(IF(AND(LEFT(F1183,1)="(",RIGHT(F1183,1)=")"),MID(F1183,2,LEN(F1183)-2),F1183)="",IF(AND(LEFT(F1183,1)="(",RIGHT(F1183,1)=")"),MID(F1183,2,LEN(F1183)-2),F1183)="-"),0,IFERROR(VALUE(IF(AND(LEFT(F1183,1)="(",RIGHT(F1183,1)=")"),MID(F1183,2,LEN(F1183)-2),F1183))*IF(AND(LEFT(F1183,1)="(",RIGHT(F1183,1)=")"),-1,1)*IF(E1183="Cr",Setup!$B$6,1),"ERR")))</f>
        <v/>
      </c>
      <c r="H1183" s="6">
        <f>IF(C1183="","",IF(ISNUMBER(G1183),1,0))</f>
        <v/>
      </c>
      <c r="I1183" s="6">
        <f>IF(C1183="","",IF(SUMPRODUCT(($C$12:$C$1511=C1183)*1)&gt;1,1,0))</f>
        <v/>
      </c>
      <c r="J1183" s="6">
        <f>IF(C1183="","",SUMPRODUCT((Mapping!$F$5:$F$504=Setup!$B$4&amp;"||"&amp;C1183)*ROW(Mapping!$F$5:$F$504)))</f>
        <v/>
      </c>
      <c r="K1183" s="6">
        <f>IF(C1183="","",IF(J1183=0,"UNMAPPED",LOWER(INDEX(Mapping!$D$1:$D$504,J1183))))</f>
        <v/>
      </c>
      <c r="L1183" s="6">
        <f>IF(K1183="mapped",TRIM(INDEX(Mapping!$C$1:$C$504,J1183)),"")</f>
        <v/>
      </c>
      <c r="M1183" s="6">
        <f>IF(C1183="","",IF(SUMPRODUCT(($C$12:C1183=C1183)*1)=1,1,0))</f>
        <v/>
      </c>
      <c r="N1183" s="6">
        <f>IF(AND(K1183="UNMAPPED",M1183=1),ROW(),"")</f>
        <v/>
      </c>
      <c r="O1183" s="6">
        <f>IF(AND(I1183=1,M1183=1),ROW(),"")</f>
        <v/>
      </c>
      <c r="P1183" s="6">
        <f>IF(AND(K1183="ignored",M1183=1),ROW(),"")</f>
        <v/>
      </c>
    </row>
    <row r="1184">
      <c r="A1184" s="8" t="n"/>
      <c r="B1184" s="8" t="n"/>
      <c r="C1184" s="6">
        <f>TRIM(A1184&amp;"")</f>
        <v/>
      </c>
      <c r="D1184" s="6">
        <f>IF(C1184="","",SUBSTITUTE(SUBSTITUTE(SUBSTITUTE(SUBSTITUTE(SUBSTITUTE(SUBSTITUTE(SUBSTITUTE(UPPER(TRIM(B1184&amp;"")),"₹",""),"RS.",""),"RS",""),"INR",""),"$",""),",","")," ",""))</f>
        <v/>
      </c>
      <c r="E1184" s="6">
        <f>IF(C1184="","",IF(RIGHT(D1184,2)="CR","Cr",IF(RIGHT(D1184,2)="DR","Dr","")))</f>
        <v/>
      </c>
      <c r="F1184" s="6">
        <f>IF(C1184="","",IF(E1184&lt;&gt;"",LEFT(D1184,LEN(D1184)-2),D1184))</f>
        <v/>
      </c>
      <c r="G1184" s="13">
        <f>IF(C1184="","",IF(OR(IF(AND(LEFT(F1184,1)="(",RIGHT(F1184,1)=")"),MID(F1184,2,LEN(F1184)-2),F1184)="",IF(AND(LEFT(F1184,1)="(",RIGHT(F1184,1)=")"),MID(F1184,2,LEN(F1184)-2),F1184)="-"),0,IFERROR(VALUE(IF(AND(LEFT(F1184,1)="(",RIGHT(F1184,1)=")"),MID(F1184,2,LEN(F1184)-2),F1184))*IF(AND(LEFT(F1184,1)="(",RIGHT(F1184,1)=")"),-1,1)*IF(E1184="Cr",Setup!$B$6,1),"ERR")))</f>
        <v/>
      </c>
      <c r="H1184" s="6">
        <f>IF(C1184="","",IF(ISNUMBER(G1184),1,0))</f>
        <v/>
      </c>
      <c r="I1184" s="6">
        <f>IF(C1184="","",IF(SUMPRODUCT(($C$12:$C$1511=C1184)*1)&gt;1,1,0))</f>
        <v/>
      </c>
      <c r="J1184" s="6">
        <f>IF(C1184="","",SUMPRODUCT((Mapping!$F$5:$F$504=Setup!$B$4&amp;"||"&amp;C1184)*ROW(Mapping!$F$5:$F$504)))</f>
        <v/>
      </c>
      <c r="K1184" s="6">
        <f>IF(C1184="","",IF(J1184=0,"UNMAPPED",LOWER(INDEX(Mapping!$D$1:$D$504,J1184))))</f>
        <v/>
      </c>
      <c r="L1184" s="6">
        <f>IF(K1184="mapped",TRIM(INDEX(Mapping!$C$1:$C$504,J1184)),"")</f>
        <v/>
      </c>
      <c r="M1184" s="6">
        <f>IF(C1184="","",IF(SUMPRODUCT(($C$12:C1184=C1184)*1)=1,1,0))</f>
        <v/>
      </c>
      <c r="N1184" s="6">
        <f>IF(AND(K1184="UNMAPPED",M1184=1),ROW(),"")</f>
        <v/>
      </c>
      <c r="O1184" s="6">
        <f>IF(AND(I1184=1,M1184=1),ROW(),"")</f>
        <v/>
      </c>
      <c r="P1184" s="6">
        <f>IF(AND(K1184="ignored",M1184=1),ROW(),"")</f>
        <v/>
      </c>
    </row>
    <row r="1185">
      <c r="A1185" s="8" t="n"/>
      <c r="B1185" s="8" t="n"/>
      <c r="C1185" s="6">
        <f>TRIM(A1185&amp;"")</f>
        <v/>
      </c>
      <c r="D1185" s="6">
        <f>IF(C1185="","",SUBSTITUTE(SUBSTITUTE(SUBSTITUTE(SUBSTITUTE(SUBSTITUTE(SUBSTITUTE(SUBSTITUTE(UPPER(TRIM(B1185&amp;"")),"₹",""),"RS.",""),"RS",""),"INR",""),"$",""),",","")," ",""))</f>
        <v/>
      </c>
      <c r="E1185" s="6">
        <f>IF(C1185="","",IF(RIGHT(D1185,2)="CR","Cr",IF(RIGHT(D1185,2)="DR","Dr","")))</f>
        <v/>
      </c>
      <c r="F1185" s="6">
        <f>IF(C1185="","",IF(E1185&lt;&gt;"",LEFT(D1185,LEN(D1185)-2),D1185))</f>
        <v/>
      </c>
      <c r="G1185" s="13">
        <f>IF(C1185="","",IF(OR(IF(AND(LEFT(F1185,1)="(",RIGHT(F1185,1)=")"),MID(F1185,2,LEN(F1185)-2),F1185)="",IF(AND(LEFT(F1185,1)="(",RIGHT(F1185,1)=")"),MID(F1185,2,LEN(F1185)-2),F1185)="-"),0,IFERROR(VALUE(IF(AND(LEFT(F1185,1)="(",RIGHT(F1185,1)=")"),MID(F1185,2,LEN(F1185)-2),F1185))*IF(AND(LEFT(F1185,1)="(",RIGHT(F1185,1)=")"),-1,1)*IF(E1185="Cr",Setup!$B$6,1),"ERR")))</f>
        <v/>
      </c>
      <c r="H1185" s="6">
        <f>IF(C1185="","",IF(ISNUMBER(G1185),1,0))</f>
        <v/>
      </c>
      <c r="I1185" s="6">
        <f>IF(C1185="","",IF(SUMPRODUCT(($C$12:$C$1511=C1185)*1)&gt;1,1,0))</f>
        <v/>
      </c>
      <c r="J1185" s="6">
        <f>IF(C1185="","",SUMPRODUCT((Mapping!$F$5:$F$504=Setup!$B$4&amp;"||"&amp;C1185)*ROW(Mapping!$F$5:$F$504)))</f>
        <v/>
      </c>
      <c r="K1185" s="6">
        <f>IF(C1185="","",IF(J1185=0,"UNMAPPED",LOWER(INDEX(Mapping!$D$1:$D$504,J1185))))</f>
        <v/>
      </c>
      <c r="L1185" s="6">
        <f>IF(K1185="mapped",TRIM(INDEX(Mapping!$C$1:$C$504,J1185)),"")</f>
        <v/>
      </c>
      <c r="M1185" s="6">
        <f>IF(C1185="","",IF(SUMPRODUCT(($C$12:C1185=C1185)*1)=1,1,0))</f>
        <v/>
      </c>
      <c r="N1185" s="6">
        <f>IF(AND(K1185="UNMAPPED",M1185=1),ROW(),"")</f>
        <v/>
      </c>
      <c r="O1185" s="6">
        <f>IF(AND(I1185=1,M1185=1),ROW(),"")</f>
        <v/>
      </c>
      <c r="P1185" s="6">
        <f>IF(AND(K1185="ignored",M1185=1),ROW(),"")</f>
        <v/>
      </c>
    </row>
    <row r="1186">
      <c r="A1186" s="8" t="n"/>
      <c r="B1186" s="8" t="n"/>
      <c r="C1186" s="6">
        <f>TRIM(A1186&amp;"")</f>
        <v/>
      </c>
      <c r="D1186" s="6">
        <f>IF(C1186="","",SUBSTITUTE(SUBSTITUTE(SUBSTITUTE(SUBSTITUTE(SUBSTITUTE(SUBSTITUTE(SUBSTITUTE(UPPER(TRIM(B1186&amp;"")),"₹",""),"RS.",""),"RS",""),"INR",""),"$",""),",","")," ",""))</f>
        <v/>
      </c>
      <c r="E1186" s="6">
        <f>IF(C1186="","",IF(RIGHT(D1186,2)="CR","Cr",IF(RIGHT(D1186,2)="DR","Dr","")))</f>
        <v/>
      </c>
      <c r="F1186" s="6">
        <f>IF(C1186="","",IF(E1186&lt;&gt;"",LEFT(D1186,LEN(D1186)-2),D1186))</f>
        <v/>
      </c>
      <c r="G1186" s="13">
        <f>IF(C1186="","",IF(OR(IF(AND(LEFT(F1186,1)="(",RIGHT(F1186,1)=")"),MID(F1186,2,LEN(F1186)-2),F1186)="",IF(AND(LEFT(F1186,1)="(",RIGHT(F1186,1)=")"),MID(F1186,2,LEN(F1186)-2),F1186)="-"),0,IFERROR(VALUE(IF(AND(LEFT(F1186,1)="(",RIGHT(F1186,1)=")"),MID(F1186,2,LEN(F1186)-2),F1186))*IF(AND(LEFT(F1186,1)="(",RIGHT(F1186,1)=")"),-1,1)*IF(E1186="Cr",Setup!$B$6,1),"ERR")))</f>
        <v/>
      </c>
      <c r="H1186" s="6">
        <f>IF(C1186="","",IF(ISNUMBER(G1186),1,0))</f>
        <v/>
      </c>
      <c r="I1186" s="6">
        <f>IF(C1186="","",IF(SUMPRODUCT(($C$12:$C$1511=C1186)*1)&gt;1,1,0))</f>
        <v/>
      </c>
      <c r="J1186" s="6">
        <f>IF(C1186="","",SUMPRODUCT((Mapping!$F$5:$F$504=Setup!$B$4&amp;"||"&amp;C1186)*ROW(Mapping!$F$5:$F$504)))</f>
        <v/>
      </c>
      <c r="K1186" s="6">
        <f>IF(C1186="","",IF(J1186=0,"UNMAPPED",LOWER(INDEX(Mapping!$D$1:$D$504,J1186))))</f>
        <v/>
      </c>
      <c r="L1186" s="6">
        <f>IF(K1186="mapped",TRIM(INDEX(Mapping!$C$1:$C$504,J1186)),"")</f>
        <v/>
      </c>
      <c r="M1186" s="6">
        <f>IF(C1186="","",IF(SUMPRODUCT(($C$12:C1186=C1186)*1)=1,1,0))</f>
        <v/>
      </c>
      <c r="N1186" s="6">
        <f>IF(AND(K1186="UNMAPPED",M1186=1),ROW(),"")</f>
        <v/>
      </c>
      <c r="O1186" s="6">
        <f>IF(AND(I1186=1,M1186=1),ROW(),"")</f>
        <v/>
      </c>
      <c r="P1186" s="6">
        <f>IF(AND(K1186="ignored",M1186=1),ROW(),"")</f>
        <v/>
      </c>
    </row>
    <row r="1187">
      <c r="A1187" s="8" t="n"/>
      <c r="B1187" s="8" t="n"/>
      <c r="C1187" s="6">
        <f>TRIM(A1187&amp;"")</f>
        <v/>
      </c>
      <c r="D1187" s="6">
        <f>IF(C1187="","",SUBSTITUTE(SUBSTITUTE(SUBSTITUTE(SUBSTITUTE(SUBSTITUTE(SUBSTITUTE(SUBSTITUTE(UPPER(TRIM(B1187&amp;"")),"₹",""),"RS.",""),"RS",""),"INR",""),"$",""),",","")," ",""))</f>
        <v/>
      </c>
      <c r="E1187" s="6">
        <f>IF(C1187="","",IF(RIGHT(D1187,2)="CR","Cr",IF(RIGHT(D1187,2)="DR","Dr","")))</f>
        <v/>
      </c>
      <c r="F1187" s="6">
        <f>IF(C1187="","",IF(E1187&lt;&gt;"",LEFT(D1187,LEN(D1187)-2),D1187))</f>
        <v/>
      </c>
      <c r="G1187" s="13">
        <f>IF(C1187="","",IF(OR(IF(AND(LEFT(F1187,1)="(",RIGHT(F1187,1)=")"),MID(F1187,2,LEN(F1187)-2),F1187)="",IF(AND(LEFT(F1187,1)="(",RIGHT(F1187,1)=")"),MID(F1187,2,LEN(F1187)-2),F1187)="-"),0,IFERROR(VALUE(IF(AND(LEFT(F1187,1)="(",RIGHT(F1187,1)=")"),MID(F1187,2,LEN(F1187)-2),F1187))*IF(AND(LEFT(F1187,1)="(",RIGHT(F1187,1)=")"),-1,1)*IF(E1187="Cr",Setup!$B$6,1),"ERR")))</f>
        <v/>
      </c>
      <c r="H1187" s="6">
        <f>IF(C1187="","",IF(ISNUMBER(G1187),1,0))</f>
        <v/>
      </c>
      <c r="I1187" s="6">
        <f>IF(C1187="","",IF(SUMPRODUCT(($C$12:$C$1511=C1187)*1)&gt;1,1,0))</f>
        <v/>
      </c>
      <c r="J1187" s="6">
        <f>IF(C1187="","",SUMPRODUCT((Mapping!$F$5:$F$504=Setup!$B$4&amp;"||"&amp;C1187)*ROW(Mapping!$F$5:$F$504)))</f>
        <v/>
      </c>
      <c r="K1187" s="6">
        <f>IF(C1187="","",IF(J1187=0,"UNMAPPED",LOWER(INDEX(Mapping!$D$1:$D$504,J1187))))</f>
        <v/>
      </c>
      <c r="L1187" s="6">
        <f>IF(K1187="mapped",TRIM(INDEX(Mapping!$C$1:$C$504,J1187)),"")</f>
        <v/>
      </c>
      <c r="M1187" s="6">
        <f>IF(C1187="","",IF(SUMPRODUCT(($C$12:C1187=C1187)*1)=1,1,0))</f>
        <v/>
      </c>
      <c r="N1187" s="6">
        <f>IF(AND(K1187="UNMAPPED",M1187=1),ROW(),"")</f>
        <v/>
      </c>
      <c r="O1187" s="6">
        <f>IF(AND(I1187=1,M1187=1),ROW(),"")</f>
        <v/>
      </c>
      <c r="P1187" s="6">
        <f>IF(AND(K1187="ignored",M1187=1),ROW(),"")</f>
        <v/>
      </c>
    </row>
    <row r="1188">
      <c r="A1188" s="8" t="n"/>
      <c r="B1188" s="8" t="n"/>
      <c r="C1188" s="6">
        <f>TRIM(A1188&amp;"")</f>
        <v/>
      </c>
      <c r="D1188" s="6">
        <f>IF(C1188="","",SUBSTITUTE(SUBSTITUTE(SUBSTITUTE(SUBSTITUTE(SUBSTITUTE(SUBSTITUTE(SUBSTITUTE(UPPER(TRIM(B1188&amp;"")),"₹",""),"RS.",""),"RS",""),"INR",""),"$",""),",","")," ",""))</f>
        <v/>
      </c>
      <c r="E1188" s="6">
        <f>IF(C1188="","",IF(RIGHT(D1188,2)="CR","Cr",IF(RIGHT(D1188,2)="DR","Dr","")))</f>
        <v/>
      </c>
      <c r="F1188" s="6">
        <f>IF(C1188="","",IF(E1188&lt;&gt;"",LEFT(D1188,LEN(D1188)-2),D1188))</f>
        <v/>
      </c>
      <c r="G1188" s="13">
        <f>IF(C1188="","",IF(OR(IF(AND(LEFT(F1188,1)="(",RIGHT(F1188,1)=")"),MID(F1188,2,LEN(F1188)-2),F1188)="",IF(AND(LEFT(F1188,1)="(",RIGHT(F1188,1)=")"),MID(F1188,2,LEN(F1188)-2),F1188)="-"),0,IFERROR(VALUE(IF(AND(LEFT(F1188,1)="(",RIGHT(F1188,1)=")"),MID(F1188,2,LEN(F1188)-2),F1188))*IF(AND(LEFT(F1188,1)="(",RIGHT(F1188,1)=")"),-1,1)*IF(E1188="Cr",Setup!$B$6,1),"ERR")))</f>
        <v/>
      </c>
      <c r="H1188" s="6">
        <f>IF(C1188="","",IF(ISNUMBER(G1188),1,0))</f>
        <v/>
      </c>
      <c r="I1188" s="6">
        <f>IF(C1188="","",IF(SUMPRODUCT(($C$12:$C$1511=C1188)*1)&gt;1,1,0))</f>
        <v/>
      </c>
      <c r="J1188" s="6">
        <f>IF(C1188="","",SUMPRODUCT((Mapping!$F$5:$F$504=Setup!$B$4&amp;"||"&amp;C1188)*ROW(Mapping!$F$5:$F$504)))</f>
        <v/>
      </c>
      <c r="K1188" s="6">
        <f>IF(C1188="","",IF(J1188=0,"UNMAPPED",LOWER(INDEX(Mapping!$D$1:$D$504,J1188))))</f>
        <v/>
      </c>
      <c r="L1188" s="6">
        <f>IF(K1188="mapped",TRIM(INDEX(Mapping!$C$1:$C$504,J1188)),"")</f>
        <v/>
      </c>
      <c r="M1188" s="6">
        <f>IF(C1188="","",IF(SUMPRODUCT(($C$12:C1188=C1188)*1)=1,1,0))</f>
        <v/>
      </c>
      <c r="N1188" s="6">
        <f>IF(AND(K1188="UNMAPPED",M1188=1),ROW(),"")</f>
        <v/>
      </c>
      <c r="O1188" s="6">
        <f>IF(AND(I1188=1,M1188=1),ROW(),"")</f>
        <v/>
      </c>
      <c r="P1188" s="6">
        <f>IF(AND(K1188="ignored",M1188=1),ROW(),"")</f>
        <v/>
      </c>
    </row>
    <row r="1189">
      <c r="A1189" s="8" t="n"/>
      <c r="B1189" s="8" t="n"/>
      <c r="C1189" s="6">
        <f>TRIM(A1189&amp;"")</f>
        <v/>
      </c>
      <c r="D1189" s="6">
        <f>IF(C1189="","",SUBSTITUTE(SUBSTITUTE(SUBSTITUTE(SUBSTITUTE(SUBSTITUTE(SUBSTITUTE(SUBSTITUTE(UPPER(TRIM(B1189&amp;"")),"₹",""),"RS.",""),"RS",""),"INR",""),"$",""),",","")," ",""))</f>
        <v/>
      </c>
      <c r="E1189" s="6">
        <f>IF(C1189="","",IF(RIGHT(D1189,2)="CR","Cr",IF(RIGHT(D1189,2)="DR","Dr","")))</f>
        <v/>
      </c>
      <c r="F1189" s="6">
        <f>IF(C1189="","",IF(E1189&lt;&gt;"",LEFT(D1189,LEN(D1189)-2),D1189))</f>
        <v/>
      </c>
      <c r="G1189" s="13">
        <f>IF(C1189="","",IF(OR(IF(AND(LEFT(F1189,1)="(",RIGHT(F1189,1)=")"),MID(F1189,2,LEN(F1189)-2),F1189)="",IF(AND(LEFT(F1189,1)="(",RIGHT(F1189,1)=")"),MID(F1189,2,LEN(F1189)-2),F1189)="-"),0,IFERROR(VALUE(IF(AND(LEFT(F1189,1)="(",RIGHT(F1189,1)=")"),MID(F1189,2,LEN(F1189)-2),F1189))*IF(AND(LEFT(F1189,1)="(",RIGHT(F1189,1)=")"),-1,1)*IF(E1189="Cr",Setup!$B$6,1),"ERR")))</f>
        <v/>
      </c>
      <c r="H1189" s="6">
        <f>IF(C1189="","",IF(ISNUMBER(G1189),1,0))</f>
        <v/>
      </c>
      <c r="I1189" s="6">
        <f>IF(C1189="","",IF(SUMPRODUCT(($C$12:$C$1511=C1189)*1)&gt;1,1,0))</f>
        <v/>
      </c>
      <c r="J1189" s="6">
        <f>IF(C1189="","",SUMPRODUCT((Mapping!$F$5:$F$504=Setup!$B$4&amp;"||"&amp;C1189)*ROW(Mapping!$F$5:$F$504)))</f>
        <v/>
      </c>
      <c r="K1189" s="6">
        <f>IF(C1189="","",IF(J1189=0,"UNMAPPED",LOWER(INDEX(Mapping!$D$1:$D$504,J1189))))</f>
        <v/>
      </c>
      <c r="L1189" s="6">
        <f>IF(K1189="mapped",TRIM(INDEX(Mapping!$C$1:$C$504,J1189)),"")</f>
        <v/>
      </c>
      <c r="M1189" s="6">
        <f>IF(C1189="","",IF(SUMPRODUCT(($C$12:C1189=C1189)*1)=1,1,0))</f>
        <v/>
      </c>
      <c r="N1189" s="6">
        <f>IF(AND(K1189="UNMAPPED",M1189=1),ROW(),"")</f>
        <v/>
      </c>
      <c r="O1189" s="6">
        <f>IF(AND(I1189=1,M1189=1),ROW(),"")</f>
        <v/>
      </c>
      <c r="P1189" s="6">
        <f>IF(AND(K1189="ignored",M1189=1),ROW(),"")</f>
        <v/>
      </c>
    </row>
    <row r="1190">
      <c r="A1190" s="8" t="n"/>
      <c r="B1190" s="8" t="n"/>
      <c r="C1190" s="6">
        <f>TRIM(A1190&amp;"")</f>
        <v/>
      </c>
      <c r="D1190" s="6">
        <f>IF(C1190="","",SUBSTITUTE(SUBSTITUTE(SUBSTITUTE(SUBSTITUTE(SUBSTITUTE(SUBSTITUTE(SUBSTITUTE(UPPER(TRIM(B1190&amp;"")),"₹",""),"RS.",""),"RS",""),"INR",""),"$",""),",","")," ",""))</f>
        <v/>
      </c>
      <c r="E1190" s="6">
        <f>IF(C1190="","",IF(RIGHT(D1190,2)="CR","Cr",IF(RIGHT(D1190,2)="DR","Dr","")))</f>
        <v/>
      </c>
      <c r="F1190" s="6">
        <f>IF(C1190="","",IF(E1190&lt;&gt;"",LEFT(D1190,LEN(D1190)-2),D1190))</f>
        <v/>
      </c>
      <c r="G1190" s="13">
        <f>IF(C1190="","",IF(OR(IF(AND(LEFT(F1190,1)="(",RIGHT(F1190,1)=")"),MID(F1190,2,LEN(F1190)-2),F1190)="",IF(AND(LEFT(F1190,1)="(",RIGHT(F1190,1)=")"),MID(F1190,2,LEN(F1190)-2),F1190)="-"),0,IFERROR(VALUE(IF(AND(LEFT(F1190,1)="(",RIGHT(F1190,1)=")"),MID(F1190,2,LEN(F1190)-2),F1190))*IF(AND(LEFT(F1190,1)="(",RIGHT(F1190,1)=")"),-1,1)*IF(E1190="Cr",Setup!$B$6,1),"ERR")))</f>
        <v/>
      </c>
      <c r="H1190" s="6">
        <f>IF(C1190="","",IF(ISNUMBER(G1190),1,0))</f>
        <v/>
      </c>
      <c r="I1190" s="6">
        <f>IF(C1190="","",IF(SUMPRODUCT(($C$12:$C$1511=C1190)*1)&gt;1,1,0))</f>
        <v/>
      </c>
      <c r="J1190" s="6">
        <f>IF(C1190="","",SUMPRODUCT((Mapping!$F$5:$F$504=Setup!$B$4&amp;"||"&amp;C1190)*ROW(Mapping!$F$5:$F$504)))</f>
        <v/>
      </c>
      <c r="K1190" s="6">
        <f>IF(C1190="","",IF(J1190=0,"UNMAPPED",LOWER(INDEX(Mapping!$D$1:$D$504,J1190))))</f>
        <v/>
      </c>
      <c r="L1190" s="6">
        <f>IF(K1190="mapped",TRIM(INDEX(Mapping!$C$1:$C$504,J1190)),"")</f>
        <v/>
      </c>
      <c r="M1190" s="6">
        <f>IF(C1190="","",IF(SUMPRODUCT(($C$12:C1190=C1190)*1)=1,1,0))</f>
        <v/>
      </c>
      <c r="N1190" s="6">
        <f>IF(AND(K1190="UNMAPPED",M1190=1),ROW(),"")</f>
        <v/>
      </c>
      <c r="O1190" s="6">
        <f>IF(AND(I1190=1,M1190=1),ROW(),"")</f>
        <v/>
      </c>
      <c r="P1190" s="6">
        <f>IF(AND(K1190="ignored",M1190=1),ROW(),"")</f>
        <v/>
      </c>
    </row>
    <row r="1191">
      <c r="A1191" s="8" t="n"/>
      <c r="B1191" s="8" t="n"/>
      <c r="C1191" s="6">
        <f>TRIM(A1191&amp;"")</f>
        <v/>
      </c>
      <c r="D1191" s="6">
        <f>IF(C1191="","",SUBSTITUTE(SUBSTITUTE(SUBSTITUTE(SUBSTITUTE(SUBSTITUTE(SUBSTITUTE(SUBSTITUTE(UPPER(TRIM(B1191&amp;"")),"₹",""),"RS.",""),"RS",""),"INR",""),"$",""),",","")," ",""))</f>
        <v/>
      </c>
      <c r="E1191" s="6">
        <f>IF(C1191="","",IF(RIGHT(D1191,2)="CR","Cr",IF(RIGHT(D1191,2)="DR","Dr","")))</f>
        <v/>
      </c>
      <c r="F1191" s="6">
        <f>IF(C1191="","",IF(E1191&lt;&gt;"",LEFT(D1191,LEN(D1191)-2),D1191))</f>
        <v/>
      </c>
      <c r="G1191" s="13">
        <f>IF(C1191="","",IF(OR(IF(AND(LEFT(F1191,1)="(",RIGHT(F1191,1)=")"),MID(F1191,2,LEN(F1191)-2),F1191)="",IF(AND(LEFT(F1191,1)="(",RIGHT(F1191,1)=")"),MID(F1191,2,LEN(F1191)-2),F1191)="-"),0,IFERROR(VALUE(IF(AND(LEFT(F1191,1)="(",RIGHT(F1191,1)=")"),MID(F1191,2,LEN(F1191)-2),F1191))*IF(AND(LEFT(F1191,1)="(",RIGHT(F1191,1)=")"),-1,1)*IF(E1191="Cr",Setup!$B$6,1),"ERR")))</f>
        <v/>
      </c>
      <c r="H1191" s="6">
        <f>IF(C1191="","",IF(ISNUMBER(G1191),1,0))</f>
        <v/>
      </c>
      <c r="I1191" s="6">
        <f>IF(C1191="","",IF(SUMPRODUCT(($C$12:$C$1511=C1191)*1)&gt;1,1,0))</f>
        <v/>
      </c>
      <c r="J1191" s="6">
        <f>IF(C1191="","",SUMPRODUCT((Mapping!$F$5:$F$504=Setup!$B$4&amp;"||"&amp;C1191)*ROW(Mapping!$F$5:$F$504)))</f>
        <v/>
      </c>
      <c r="K1191" s="6">
        <f>IF(C1191="","",IF(J1191=0,"UNMAPPED",LOWER(INDEX(Mapping!$D$1:$D$504,J1191))))</f>
        <v/>
      </c>
      <c r="L1191" s="6">
        <f>IF(K1191="mapped",TRIM(INDEX(Mapping!$C$1:$C$504,J1191)),"")</f>
        <v/>
      </c>
      <c r="M1191" s="6">
        <f>IF(C1191="","",IF(SUMPRODUCT(($C$12:C1191=C1191)*1)=1,1,0))</f>
        <v/>
      </c>
      <c r="N1191" s="6">
        <f>IF(AND(K1191="UNMAPPED",M1191=1),ROW(),"")</f>
        <v/>
      </c>
      <c r="O1191" s="6">
        <f>IF(AND(I1191=1,M1191=1),ROW(),"")</f>
        <v/>
      </c>
      <c r="P1191" s="6">
        <f>IF(AND(K1191="ignored",M1191=1),ROW(),"")</f>
        <v/>
      </c>
    </row>
    <row r="1192">
      <c r="A1192" s="8" t="n"/>
      <c r="B1192" s="8" t="n"/>
      <c r="C1192" s="6">
        <f>TRIM(A1192&amp;"")</f>
        <v/>
      </c>
      <c r="D1192" s="6">
        <f>IF(C1192="","",SUBSTITUTE(SUBSTITUTE(SUBSTITUTE(SUBSTITUTE(SUBSTITUTE(SUBSTITUTE(SUBSTITUTE(UPPER(TRIM(B1192&amp;"")),"₹",""),"RS.",""),"RS",""),"INR",""),"$",""),",","")," ",""))</f>
        <v/>
      </c>
      <c r="E1192" s="6">
        <f>IF(C1192="","",IF(RIGHT(D1192,2)="CR","Cr",IF(RIGHT(D1192,2)="DR","Dr","")))</f>
        <v/>
      </c>
      <c r="F1192" s="6">
        <f>IF(C1192="","",IF(E1192&lt;&gt;"",LEFT(D1192,LEN(D1192)-2),D1192))</f>
        <v/>
      </c>
      <c r="G1192" s="13">
        <f>IF(C1192="","",IF(OR(IF(AND(LEFT(F1192,1)="(",RIGHT(F1192,1)=")"),MID(F1192,2,LEN(F1192)-2),F1192)="",IF(AND(LEFT(F1192,1)="(",RIGHT(F1192,1)=")"),MID(F1192,2,LEN(F1192)-2),F1192)="-"),0,IFERROR(VALUE(IF(AND(LEFT(F1192,1)="(",RIGHT(F1192,1)=")"),MID(F1192,2,LEN(F1192)-2),F1192))*IF(AND(LEFT(F1192,1)="(",RIGHT(F1192,1)=")"),-1,1)*IF(E1192="Cr",Setup!$B$6,1),"ERR")))</f>
        <v/>
      </c>
      <c r="H1192" s="6">
        <f>IF(C1192="","",IF(ISNUMBER(G1192),1,0))</f>
        <v/>
      </c>
      <c r="I1192" s="6">
        <f>IF(C1192="","",IF(SUMPRODUCT(($C$12:$C$1511=C1192)*1)&gt;1,1,0))</f>
        <v/>
      </c>
      <c r="J1192" s="6">
        <f>IF(C1192="","",SUMPRODUCT((Mapping!$F$5:$F$504=Setup!$B$4&amp;"||"&amp;C1192)*ROW(Mapping!$F$5:$F$504)))</f>
        <v/>
      </c>
      <c r="K1192" s="6">
        <f>IF(C1192="","",IF(J1192=0,"UNMAPPED",LOWER(INDEX(Mapping!$D$1:$D$504,J1192))))</f>
        <v/>
      </c>
      <c r="L1192" s="6">
        <f>IF(K1192="mapped",TRIM(INDEX(Mapping!$C$1:$C$504,J1192)),"")</f>
        <v/>
      </c>
      <c r="M1192" s="6">
        <f>IF(C1192="","",IF(SUMPRODUCT(($C$12:C1192=C1192)*1)=1,1,0))</f>
        <v/>
      </c>
      <c r="N1192" s="6">
        <f>IF(AND(K1192="UNMAPPED",M1192=1),ROW(),"")</f>
        <v/>
      </c>
      <c r="O1192" s="6">
        <f>IF(AND(I1192=1,M1192=1),ROW(),"")</f>
        <v/>
      </c>
      <c r="P1192" s="6">
        <f>IF(AND(K1192="ignored",M1192=1),ROW(),"")</f>
        <v/>
      </c>
    </row>
    <row r="1193">
      <c r="A1193" s="8" t="n"/>
      <c r="B1193" s="8" t="n"/>
      <c r="C1193" s="6">
        <f>TRIM(A1193&amp;"")</f>
        <v/>
      </c>
      <c r="D1193" s="6">
        <f>IF(C1193="","",SUBSTITUTE(SUBSTITUTE(SUBSTITUTE(SUBSTITUTE(SUBSTITUTE(SUBSTITUTE(SUBSTITUTE(UPPER(TRIM(B1193&amp;"")),"₹",""),"RS.",""),"RS",""),"INR",""),"$",""),",","")," ",""))</f>
        <v/>
      </c>
      <c r="E1193" s="6">
        <f>IF(C1193="","",IF(RIGHT(D1193,2)="CR","Cr",IF(RIGHT(D1193,2)="DR","Dr","")))</f>
        <v/>
      </c>
      <c r="F1193" s="6">
        <f>IF(C1193="","",IF(E1193&lt;&gt;"",LEFT(D1193,LEN(D1193)-2),D1193))</f>
        <v/>
      </c>
      <c r="G1193" s="13">
        <f>IF(C1193="","",IF(OR(IF(AND(LEFT(F1193,1)="(",RIGHT(F1193,1)=")"),MID(F1193,2,LEN(F1193)-2),F1193)="",IF(AND(LEFT(F1193,1)="(",RIGHT(F1193,1)=")"),MID(F1193,2,LEN(F1193)-2),F1193)="-"),0,IFERROR(VALUE(IF(AND(LEFT(F1193,1)="(",RIGHT(F1193,1)=")"),MID(F1193,2,LEN(F1193)-2),F1193))*IF(AND(LEFT(F1193,1)="(",RIGHT(F1193,1)=")"),-1,1)*IF(E1193="Cr",Setup!$B$6,1),"ERR")))</f>
        <v/>
      </c>
      <c r="H1193" s="6">
        <f>IF(C1193="","",IF(ISNUMBER(G1193),1,0))</f>
        <v/>
      </c>
      <c r="I1193" s="6">
        <f>IF(C1193="","",IF(SUMPRODUCT(($C$12:$C$1511=C1193)*1)&gt;1,1,0))</f>
        <v/>
      </c>
      <c r="J1193" s="6">
        <f>IF(C1193="","",SUMPRODUCT((Mapping!$F$5:$F$504=Setup!$B$4&amp;"||"&amp;C1193)*ROW(Mapping!$F$5:$F$504)))</f>
        <v/>
      </c>
      <c r="K1193" s="6">
        <f>IF(C1193="","",IF(J1193=0,"UNMAPPED",LOWER(INDEX(Mapping!$D$1:$D$504,J1193))))</f>
        <v/>
      </c>
      <c r="L1193" s="6">
        <f>IF(K1193="mapped",TRIM(INDEX(Mapping!$C$1:$C$504,J1193)),"")</f>
        <v/>
      </c>
      <c r="M1193" s="6">
        <f>IF(C1193="","",IF(SUMPRODUCT(($C$12:C1193=C1193)*1)=1,1,0))</f>
        <v/>
      </c>
      <c r="N1193" s="6">
        <f>IF(AND(K1193="UNMAPPED",M1193=1),ROW(),"")</f>
        <v/>
      </c>
      <c r="O1193" s="6">
        <f>IF(AND(I1193=1,M1193=1),ROW(),"")</f>
        <v/>
      </c>
      <c r="P1193" s="6">
        <f>IF(AND(K1193="ignored",M1193=1),ROW(),"")</f>
        <v/>
      </c>
    </row>
    <row r="1194">
      <c r="A1194" s="8" t="n"/>
      <c r="B1194" s="8" t="n"/>
      <c r="C1194" s="6">
        <f>TRIM(A1194&amp;"")</f>
        <v/>
      </c>
      <c r="D1194" s="6">
        <f>IF(C1194="","",SUBSTITUTE(SUBSTITUTE(SUBSTITUTE(SUBSTITUTE(SUBSTITUTE(SUBSTITUTE(SUBSTITUTE(UPPER(TRIM(B1194&amp;"")),"₹",""),"RS.",""),"RS",""),"INR",""),"$",""),",","")," ",""))</f>
        <v/>
      </c>
      <c r="E1194" s="6">
        <f>IF(C1194="","",IF(RIGHT(D1194,2)="CR","Cr",IF(RIGHT(D1194,2)="DR","Dr","")))</f>
        <v/>
      </c>
      <c r="F1194" s="6">
        <f>IF(C1194="","",IF(E1194&lt;&gt;"",LEFT(D1194,LEN(D1194)-2),D1194))</f>
        <v/>
      </c>
      <c r="G1194" s="13">
        <f>IF(C1194="","",IF(OR(IF(AND(LEFT(F1194,1)="(",RIGHT(F1194,1)=")"),MID(F1194,2,LEN(F1194)-2),F1194)="",IF(AND(LEFT(F1194,1)="(",RIGHT(F1194,1)=")"),MID(F1194,2,LEN(F1194)-2),F1194)="-"),0,IFERROR(VALUE(IF(AND(LEFT(F1194,1)="(",RIGHT(F1194,1)=")"),MID(F1194,2,LEN(F1194)-2),F1194))*IF(AND(LEFT(F1194,1)="(",RIGHT(F1194,1)=")"),-1,1)*IF(E1194="Cr",Setup!$B$6,1),"ERR")))</f>
        <v/>
      </c>
      <c r="H1194" s="6">
        <f>IF(C1194="","",IF(ISNUMBER(G1194),1,0))</f>
        <v/>
      </c>
      <c r="I1194" s="6">
        <f>IF(C1194="","",IF(SUMPRODUCT(($C$12:$C$1511=C1194)*1)&gt;1,1,0))</f>
        <v/>
      </c>
      <c r="J1194" s="6">
        <f>IF(C1194="","",SUMPRODUCT((Mapping!$F$5:$F$504=Setup!$B$4&amp;"||"&amp;C1194)*ROW(Mapping!$F$5:$F$504)))</f>
        <v/>
      </c>
      <c r="K1194" s="6">
        <f>IF(C1194="","",IF(J1194=0,"UNMAPPED",LOWER(INDEX(Mapping!$D$1:$D$504,J1194))))</f>
        <v/>
      </c>
      <c r="L1194" s="6">
        <f>IF(K1194="mapped",TRIM(INDEX(Mapping!$C$1:$C$504,J1194)),"")</f>
        <v/>
      </c>
      <c r="M1194" s="6">
        <f>IF(C1194="","",IF(SUMPRODUCT(($C$12:C1194=C1194)*1)=1,1,0))</f>
        <v/>
      </c>
      <c r="N1194" s="6">
        <f>IF(AND(K1194="UNMAPPED",M1194=1),ROW(),"")</f>
        <v/>
      </c>
      <c r="O1194" s="6">
        <f>IF(AND(I1194=1,M1194=1),ROW(),"")</f>
        <v/>
      </c>
      <c r="P1194" s="6">
        <f>IF(AND(K1194="ignored",M1194=1),ROW(),"")</f>
        <v/>
      </c>
    </row>
    <row r="1195">
      <c r="A1195" s="8" t="n"/>
      <c r="B1195" s="8" t="n"/>
      <c r="C1195" s="6">
        <f>TRIM(A1195&amp;"")</f>
        <v/>
      </c>
      <c r="D1195" s="6">
        <f>IF(C1195="","",SUBSTITUTE(SUBSTITUTE(SUBSTITUTE(SUBSTITUTE(SUBSTITUTE(SUBSTITUTE(SUBSTITUTE(UPPER(TRIM(B1195&amp;"")),"₹",""),"RS.",""),"RS",""),"INR",""),"$",""),",","")," ",""))</f>
        <v/>
      </c>
      <c r="E1195" s="6">
        <f>IF(C1195="","",IF(RIGHT(D1195,2)="CR","Cr",IF(RIGHT(D1195,2)="DR","Dr","")))</f>
        <v/>
      </c>
      <c r="F1195" s="6">
        <f>IF(C1195="","",IF(E1195&lt;&gt;"",LEFT(D1195,LEN(D1195)-2),D1195))</f>
        <v/>
      </c>
      <c r="G1195" s="13">
        <f>IF(C1195="","",IF(OR(IF(AND(LEFT(F1195,1)="(",RIGHT(F1195,1)=")"),MID(F1195,2,LEN(F1195)-2),F1195)="",IF(AND(LEFT(F1195,1)="(",RIGHT(F1195,1)=")"),MID(F1195,2,LEN(F1195)-2),F1195)="-"),0,IFERROR(VALUE(IF(AND(LEFT(F1195,1)="(",RIGHT(F1195,1)=")"),MID(F1195,2,LEN(F1195)-2),F1195))*IF(AND(LEFT(F1195,1)="(",RIGHT(F1195,1)=")"),-1,1)*IF(E1195="Cr",Setup!$B$6,1),"ERR")))</f>
        <v/>
      </c>
      <c r="H1195" s="6">
        <f>IF(C1195="","",IF(ISNUMBER(G1195),1,0))</f>
        <v/>
      </c>
      <c r="I1195" s="6">
        <f>IF(C1195="","",IF(SUMPRODUCT(($C$12:$C$1511=C1195)*1)&gt;1,1,0))</f>
        <v/>
      </c>
      <c r="J1195" s="6">
        <f>IF(C1195="","",SUMPRODUCT((Mapping!$F$5:$F$504=Setup!$B$4&amp;"||"&amp;C1195)*ROW(Mapping!$F$5:$F$504)))</f>
        <v/>
      </c>
      <c r="K1195" s="6">
        <f>IF(C1195="","",IF(J1195=0,"UNMAPPED",LOWER(INDEX(Mapping!$D$1:$D$504,J1195))))</f>
        <v/>
      </c>
      <c r="L1195" s="6">
        <f>IF(K1195="mapped",TRIM(INDEX(Mapping!$C$1:$C$504,J1195)),"")</f>
        <v/>
      </c>
      <c r="M1195" s="6">
        <f>IF(C1195="","",IF(SUMPRODUCT(($C$12:C1195=C1195)*1)=1,1,0))</f>
        <v/>
      </c>
      <c r="N1195" s="6">
        <f>IF(AND(K1195="UNMAPPED",M1195=1),ROW(),"")</f>
        <v/>
      </c>
      <c r="O1195" s="6">
        <f>IF(AND(I1195=1,M1195=1),ROW(),"")</f>
        <v/>
      </c>
      <c r="P1195" s="6">
        <f>IF(AND(K1195="ignored",M1195=1),ROW(),"")</f>
        <v/>
      </c>
    </row>
    <row r="1196">
      <c r="A1196" s="8" t="n"/>
      <c r="B1196" s="8" t="n"/>
      <c r="C1196" s="6">
        <f>TRIM(A1196&amp;"")</f>
        <v/>
      </c>
      <c r="D1196" s="6">
        <f>IF(C1196="","",SUBSTITUTE(SUBSTITUTE(SUBSTITUTE(SUBSTITUTE(SUBSTITUTE(SUBSTITUTE(SUBSTITUTE(UPPER(TRIM(B1196&amp;"")),"₹",""),"RS.",""),"RS",""),"INR",""),"$",""),",","")," ",""))</f>
        <v/>
      </c>
      <c r="E1196" s="6">
        <f>IF(C1196="","",IF(RIGHT(D1196,2)="CR","Cr",IF(RIGHT(D1196,2)="DR","Dr","")))</f>
        <v/>
      </c>
      <c r="F1196" s="6">
        <f>IF(C1196="","",IF(E1196&lt;&gt;"",LEFT(D1196,LEN(D1196)-2),D1196))</f>
        <v/>
      </c>
      <c r="G1196" s="13">
        <f>IF(C1196="","",IF(OR(IF(AND(LEFT(F1196,1)="(",RIGHT(F1196,1)=")"),MID(F1196,2,LEN(F1196)-2),F1196)="",IF(AND(LEFT(F1196,1)="(",RIGHT(F1196,1)=")"),MID(F1196,2,LEN(F1196)-2),F1196)="-"),0,IFERROR(VALUE(IF(AND(LEFT(F1196,1)="(",RIGHT(F1196,1)=")"),MID(F1196,2,LEN(F1196)-2),F1196))*IF(AND(LEFT(F1196,1)="(",RIGHT(F1196,1)=")"),-1,1)*IF(E1196="Cr",Setup!$B$6,1),"ERR")))</f>
        <v/>
      </c>
      <c r="H1196" s="6">
        <f>IF(C1196="","",IF(ISNUMBER(G1196),1,0))</f>
        <v/>
      </c>
      <c r="I1196" s="6">
        <f>IF(C1196="","",IF(SUMPRODUCT(($C$12:$C$1511=C1196)*1)&gt;1,1,0))</f>
        <v/>
      </c>
      <c r="J1196" s="6">
        <f>IF(C1196="","",SUMPRODUCT((Mapping!$F$5:$F$504=Setup!$B$4&amp;"||"&amp;C1196)*ROW(Mapping!$F$5:$F$504)))</f>
        <v/>
      </c>
      <c r="K1196" s="6">
        <f>IF(C1196="","",IF(J1196=0,"UNMAPPED",LOWER(INDEX(Mapping!$D$1:$D$504,J1196))))</f>
        <v/>
      </c>
      <c r="L1196" s="6">
        <f>IF(K1196="mapped",TRIM(INDEX(Mapping!$C$1:$C$504,J1196)),"")</f>
        <v/>
      </c>
      <c r="M1196" s="6">
        <f>IF(C1196="","",IF(SUMPRODUCT(($C$12:C1196=C1196)*1)=1,1,0))</f>
        <v/>
      </c>
      <c r="N1196" s="6">
        <f>IF(AND(K1196="UNMAPPED",M1196=1),ROW(),"")</f>
        <v/>
      </c>
      <c r="O1196" s="6">
        <f>IF(AND(I1196=1,M1196=1),ROW(),"")</f>
        <v/>
      </c>
      <c r="P1196" s="6">
        <f>IF(AND(K1196="ignored",M1196=1),ROW(),"")</f>
        <v/>
      </c>
    </row>
    <row r="1197">
      <c r="A1197" s="8" t="n"/>
      <c r="B1197" s="8" t="n"/>
      <c r="C1197" s="6">
        <f>TRIM(A1197&amp;"")</f>
        <v/>
      </c>
      <c r="D1197" s="6">
        <f>IF(C1197="","",SUBSTITUTE(SUBSTITUTE(SUBSTITUTE(SUBSTITUTE(SUBSTITUTE(SUBSTITUTE(SUBSTITUTE(UPPER(TRIM(B1197&amp;"")),"₹",""),"RS.",""),"RS",""),"INR",""),"$",""),",","")," ",""))</f>
        <v/>
      </c>
      <c r="E1197" s="6">
        <f>IF(C1197="","",IF(RIGHT(D1197,2)="CR","Cr",IF(RIGHT(D1197,2)="DR","Dr","")))</f>
        <v/>
      </c>
      <c r="F1197" s="6">
        <f>IF(C1197="","",IF(E1197&lt;&gt;"",LEFT(D1197,LEN(D1197)-2),D1197))</f>
        <v/>
      </c>
      <c r="G1197" s="13">
        <f>IF(C1197="","",IF(OR(IF(AND(LEFT(F1197,1)="(",RIGHT(F1197,1)=")"),MID(F1197,2,LEN(F1197)-2),F1197)="",IF(AND(LEFT(F1197,1)="(",RIGHT(F1197,1)=")"),MID(F1197,2,LEN(F1197)-2),F1197)="-"),0,IFERROR(VALUE(IF(AND(LEFT(F1197,1)="(",RIGHT(F1197,1)=")"),MID(F1197,2,LEN(F1197)-2),F1197))*IF(AND(LEFT(F1197,1)="(",RIGHT(F1197,1)=")"),-1,1)*IF(E1197="Cr",Setup!$B$6,1),"ERR")))</f>
        <v/>
      </c>
      <c r="H1197" s="6">
        <f>IF(C1197="","",IF(ISNUMBER(G1197),1,0))</f>
        <v/>
      </c>
      <c r="I1197" s="6">
        <f>IF(C1197="","",IF(SUMPRODUCT(($C$12:$C$1511=C1197)*1)&gt;1,1,0))</f>
        <v/>
      </c>
      <c r="J1197" s="6">
        <f>IF(C1197="","",SUMPRODUCT((Mapping!$F$5:$F$504=Setup!$B$4&amp;"||"&amp;C1197)*ROW(Mapping!$F$5:$F$504)))</f>
        <v/>
      </c>
      <c r="K1197" s="6">
        <f>IF(C1197="","",IF(J1197=0,"UNMAPPED",LOWER(INDEX(Mapping!$D$1:$D$504,J1197))))</f>
        <v/>
      </c>
      <c r="L1197" s="6">
        <f>IF(K1197="mapped",TRIM(INDEX(Mapping!$C$1:$C$504,J1197)),"")</f>
        <v/>
      </c>
      <c r="M1197" s="6">
        <f>IF(C1197="","",IF(SUMPRODUCT(($C$12:C1197=C1197)*1)=1,1,0))</f>
        <v/>
      </c>
      <c r="N1197" s="6">
        <f>IF(AND(K1197="UNMAPPED",M1197=1),ROW(),"")</f>
        <v/>
      </c>
      <c r="O1197" s="6">
        <f>IF(AND(I1197=1,M1197=1),ROW(),"")</f>
        <v/>
      </c>
      <c r="P1197" s="6">
        <f>IF(AND(K1197="ignored",M1197=1),ROW(),"")</f>
        <v/>
      </c>
    </row>
    <row r="1198">
      <c r="A1198" s="8" t="n"/>
      <c r="B1198" s="8" t="n"/>
      <c r="C1198" s="6">
        <f>TRIM(A1198&amp;"")</f>
        <v/>
      </c>
      <c r="D1198" s="6">
        <f>IF(C1198="","",SUBSTITUTE(SUBSTITUTE(SUBSTITUTE(SUBSTITUTE(SUBSTITUTE(SUBSTITUTE(SUBSTITUTE(UPPER(TRIM(B1198&amp;"")),"₹",""),"RS.",""),"RS",""),"INR",""),"$",""),",","")," ",""))</f>
        <v/>
      </c>
      <c r="E1198" s="6">
        <f>IF(C1198="","",IF(RIGHT(D1198,2)="CR","Cr",IF(RIGHT(D1198,2)="DR","Dr","")))</f>
        <v/>
      </c>
      <c r="F1198" s="6">
        <f>IF(C1198="","",IF(E1198&lt;&gt;"",LEFT(D1198,LEN(D1198)-2),D1198))</f>
        <v/>
      </c>
      <c r="G1198" s="13">
        <f>IF(C1198="","",IF(OR(IF(AND(LEFT(F1198,1)="(",RIGHT(F1198,1)=")"),MID(F1198,2,LEN(F1198)-2),F1198)="",IF(AND(LEFT(F1198,1)="(",RIGHT(F1198,1)=")"),MID(F1198,2,LEN(F1198)-2),F1198)="-"),0,IFERROR(VALUE(IF(AND(LEFT(F1198,1)="(",RIGHT(F1198,1)=")"),MID(F1198,2,LEN(F1198)-2),F1198))*IF(AND(LEFT(F1198,1)="(",RIGHT(F1198,1)=")"),-1,1)*IF(E1198="Cr",Setup!$B$6,1),"ERR")))</f>
        <v/>
      </c>
      <c r="H1198" s="6">
        <f>IF(C1198="","",IF(ISNUMBER(G1198),1,0))</f>
        <v/>
      </c>
      <c r="I1198" s="6">
        <f>IF(C1198="","",IF(SUMPRODUCT(($C$12:$C$1511=C1198)*1)&gt;1,1,0))</f>
        <v/>
      </c>
      <c r="J1198" s="6">
        <f>IF(C1198="","",SUMPRODUCT((Mapping!$F$5:$F$504=Setup!$B$4&amp;"||"&amp;C1198)*ROW(Mapping!$F$5:$F$504)))</f>
        <v/>
      </c>
      <c r="K1198" s="6">
        <f>IF(C1198="","",IF(J1198=0,"UNMAPPED",LOWER(INDEX(Mapping!$D$1:$D$504,J1198))))</f>
        <v/>
      </c>
      <c r="L1198" s="6">
        <f>IF(K1198="mapped",TRIM(INDEX(Mapping!$C$1:$C$504,J1198)),"")</f>
        <v/>
      </c>
      <c r="M1198" s="6">
        <f>IF(C1198="","",IF(SUMPRODUCT(($C$12:C1198=C1198)*1)=1,1,0))</f>
        <v/>
      </c>
      <c r="N1198" s="6">
        <f>IF(AND(K1198="UNMAPPED",M1198=1),ROW(),"")</f>
        <v/>
      </c>
      <c r="O1198" s="6">
        <f>IF(AND(I1198=1,M1198=1),ROW(),"")</f>
        <v/>
      </c>
      <c r="P1198" s="6">
        <f>IF(AND(K1198="ignored",M1198=1),ROW(),"")</f>
        <v/>
      </c>
    </row>
    <row r="1199">
      <c r="A1199" s="8" t="n"/>
      <c r="B1199" s="8" t="n"/>
      <c r="C1199" s="6">
        <f>TRIM(A1199&amp;"")</f>
        <v/>
      </c>
      <c r="D1199" s="6">
        <f>IF(C1199="","",SUBSTITUTE(SUBSTITUTE(SUBSTITUTE(SUBSTITUTE(SUBSTITUTE(SUBSTITUTE(SUBSTITUTE(UPPER(TRIM(B1199&amp;"")),"₹",""),"RS.",""),"RS",""),"INR",""),"$",""),",","")," ",""))</f>
        <v/>
      </c>
      <c r="E1199" s="6">
        <f>IF(C1199="","",IF(RIGHT(D1199,2)="CR","Cr",IF(RIGHT(D1199,2)="DR","Dr","")))</f>
        <v/>
      </c>
      <c r="F1199" s="6">
        <f>IF(C1199="","",IF(E1199&lt;&gt;"",LEFT(D1199,LEN(D1199)-2),D1199))</f>
        <v/>
      </c>
      <c r="G1199" s="13">
        <f>IF(C1199="","",IF(OR(IF(AND(LEFT(F1199,1)="(",RIGHT(F1199,1)=")"),MID(F1199,2,LEN(F1199)-2),F1199)="",IF(AND(LEFT(F1199,1)="(",RIGHT(F1199,1)=")"),MID(F1199,2,LEN(F1199)-2),F1199)="-"),0,IFERROR(VALUE(IF(AND(LEFT(F1199,1)="(",RIGHT(F1199,1)=")"),MID(F1199,2,LEN(F1199)-2),F1199))*IF(AND(LEFT(F1199,1)="(",RIGHT(F1199,1)=")"),-1,1)*IF(E1199="Cr",Setup!$B$6,1),"ERR")))</f>
        <v/>
      </c>
      <c r="H1199" s="6">
        <f>IF(C1199="","",IF(ISNUMBER(G1199),1,0))</f>
        <v/>
      </c>
      <c r="I1199" s="6">
        <f>IF(C1199="","",IF(SUMPRODUCT(($C$12:$C$1511=C1199)*1)&gt;1,1,0))</f>
        <v/>
      </c>
      <c r="J1199" s="6">
        <f>IF(C1199="","",SUMPRODUCT((Mapping!$F$5:$F$504=Setup!$B$4&amp;"||"&amp;C1199)*ROW(Mapping!$F$5:$F$504)))</f>
        <v/>
      </c>
      <c r="K1199" s="6">
        <f>IF(C1199="","",IF(J1199=0,"UNMAPPED",LOWER(INDEX(Mapping!$D$1:$D$504,J1199))))</f>
        <v/>
      </c>
      <c r="L1199" s="6">
        <f>IF(K1199="mapped",TRIM(INDEX(Mapping!$C$1:$C$504,J1199)),"")</f>
        <v/>
      </c>
      <c r="M1199" s="6">
        <f>IF(C1199="","",IF(SUMPRODUCT(($C$12:C1199=C1199)*1)=1,1,0))</f>
        <v/>
      </c>
      <c r="N1199" s="6">
        <f>IF(AND(K1199="UNMAPPED",M1199=1),ROW(),"")</f>
        <v/>
      </c>
      <c r="O1199" s="6">
        <f>IF(AND(I1199=1,M1199=1),ROW(),"")</f>
        <v/>
      </c>
      <c r="P1199" s="6">
        <f>IF(AND(K1199="ignored",M1199=1),ROW(),"")</f>
        <v/>
      </c>
    </row>
    <row r="1200">
      <c r="A1200" s="8" t="n"/>
      <c r="B1200" s="8" t="n"/>
      <c r="C1200" s="6">
        <f>TRIM(A1200&amp;"")</f>
        <v/>
      </c>
      <c r="D1200" s="6">
        <f>IF(C1200="","",SUBSTITUTE(SUBSTITUTE(SUBSTITUTE(SUBSTITUTE(SUBSTITUTE(SUBSTITUTE(SUBSTITUTE(UPPER(TRIM(B1200&amp;"")),"₹",""),"RS.",""),"RS",""),"INR",""),"$",""),",","")," ",""))</f>
        <v/>
      </c>
      <c r="E1200" s="6">
        <f>IF(C1200="","",IF(RIGHT(D1200,2)="CR","Cr",IF(RIGHT(D1200,2)="DR","Dr","")))</f>
        <v/>
      </c>
      <c r="F1200" s="6">
        <f>IF(C1200="","",IF(E1200&lt;&gt;"",LEFT(D1200,LEN(D1200)-2),D1200))</f>
        <v/>
      </c>
      <c r="G1200" s="13">
        <f>IF(C1200="","",IF(OR(IF(AND(LEFT(F1200,1)="(",RIGHT(F1200,1)=")"),MID(F1200,2,LEN(F1200)-2),F1200)="",IF(AND(LEFT(F1200,1)="(",RIGHT(F1200,1)=")"),MID(F1200,2,LEN(F1200)-2),F1200)="-"),0,IFERROR(VALUE(IF(AND(LEFT(F1200,1)="(",RIGHT(F1200,1)=")"),MID(F1200,2,LEN(F1200)-2),F1200))*IF(AND(LEFT(F1200,1)="(",RIGHT(F1200,1)=")"),-1,1)*IF(E1200="Cr",Setup!$B$6,1),"ERR")))</f>
        <v/>
      </c>
      <c r="H1200" s="6">
        <f>IF(C1200="","",IF(ISNUMBER(G1200),1,0))</f>
        <v/>
      </c>
      <c r="I1200" s="6">
        <f>IF(C1200="","",IF(SUMPRODUCT(($C$12:$C$1511=C1200)*1)&gt;1,1,0))</f>
        <v/>
      </c>
      <c r="J1200" s="6">
        <f>IF(C1200="","",SUMPRODUCT((Mapping!$F$5:$F$504=Setup!$B$4&amp;"||"&amp;C1200)*ROW(Mapping!$F$5:$F$504)))</f>
        <v/>
      </c>
      <c r="K1200" s="6">
        <f>IF(C1200="","",IF(J1200=0,"UNMAPPED",LOWER(INDEX(Mapping!$D$1:$D$504,J1200))))</f>
        <v/>
      </c>
      <c r="L1200" s="6">
        <f>IF(K1200="mapped",TRIM(INDEX(Mapping!$C$1:$C$504,J1200)),"")</f>
        <v/>
      </c>
      <c r="M1200" s="6">
        <f>IF(C1200="","",IF(SUMPRODUCT(($C$12:C1200=C1200)*1)=1,1,0))</f>
        <v/>
      </c>
      <c r="N1200" s="6">
        <f>IF(AND(K1200="UNMAPPED",M1200=1),ROW(),"")</f>
        <v/>
      </c>
      <c r="O1200" s="6">
        <f>IF(AND(I1200=1,M1200=1),ROW(),"")</f>
        <v/>
      </c>
      <c r="P1200" s="6">
        <f>IF(AND(K1200="ignored",M1200=1),ROW(),"")</f>
        <v/>
      </c>
    </row>
    <row r="1201">
      <c r="A1201" s="8" t="n"/>
      <c r="B1201" s="8" t="n"/>
      <c r="C1201" s="6">
        <f>TRIM(A1201&amp;"")</f>
        <v/>
      </c>
      <c r="D1201" s="6">
        <f>IF(C1201="","",SUBSTITUTE(SUBSTITUTE(SUBSTITUTE(SUBSTITUTE(SUBSTITUTE(SUBSTITUTE(SUBSTITUTE(UPPER(TRIM(B1201&amp;"")),"₹",""),"RS.",""),"RS",""),"INR",""),"$",""),",","")," ",""))</f>
        <v/>
      </c>
      <c r="E1201" s="6">
        <f>IF(C1201="","",IF(RIGHT(D1201,2)="CR","Cr",IF(RIGHT(D1201,2)="DR","Dr","")))</f>
        <v/>
      </c>
      <c r="F1201" s="6">
        <f>IF(C1201="","",IF(E1201&lt;&gt;"",LEFT(D1201,LEN(D1201)-2),D1201))</f>
        <v/>
      </c>
      <c r="G1201" s="13">
        <f>IF(C1201="","",IF(OR(IF(AND(LEFT(F1201,1)="(",RIGHT(F1201,1)=")"),MID(F1201,2,LEN(F1201)-2),F1201)="",IF(AND(LEFT(F1201,1)="(",RIGHT(F1201,1)=")"),MID(F1201,2,LEN(F1201)-2),F1201)="-"),0,IFERROR(VALUE(IF(AND(LEFT(F1201,1)="(",RIGHT(F1201,1)=")"),MID(F1201,2,LEN(F1201)-2),F1201))*IF(AND(LEFT(F1201,1)="(",RIGHT(F1201,1)=")"),-1,1)*IF(E1201="Cr",Setup!$B$6,1),"ERR")))</f>
        <v/>
      </c>
      <c r="H1201" s="6">
        <f>IF(C1201="","",IF(ISNUMBER(G1201),1,0))</f>
        <v/>
      </c>
      <c r="I1201" s="6">
        <f>IF(C1201="","",IF(SUMPRODUCT(($C$12:$C$1511=C1201)*1)&gt;1,1,0))</f>
        <v/>
      </c>
      <c r="J1201" s="6">
        <f>IF(C1201="","",SUMPRODUCT((Mapping!$F$5:$F$504=Setup!$B$4&amp;"||"&amp;C1201)*ROW(Mapping!$F$5:$F$504)))</f>
        <v/>
      </c>
      <c r="K1201" s="6">
        <f>IF(C1201="","",IF(J1201=0,"UNMAPPED",LOWER(INDEX(Mapping!$D$1:$D$504,J1201))))</f>
        <v/>
      </c>
      <c r="L1201" s="6">
        <f>IF(K1201="mapped",TRIM(INDEX(Mapping!$C$1:$C$504,J1201)),"")</f>
        <v/>
      </c>
      <c r="M1201" s="6">
        <f>IF(C1201="","",IF(SUMPRODUCT(($C$12:C1201=C1201)*1)=1,1,0))</f>
        <v/>
      </c>
      <c r="N1201" s="6">
        <f>IF(AND(K1201="UNMAPPED",M1201=1),ROW(),"")</f>
        <v/>
      </c>
      <c r="O1201" s="6">
        <f>IF(AND(I1201=1,M1201=1),ROW(),"")</f>
        <v/>
      </c>
      <c r="P1201" s="6">
        <f>IF(AND(K1201="ignored",M1201=1),ROW(),"")</f>
        <v/>
      </c>
    </row>
    <row r="1202">
      <c r="A1202" s="8" t="n"/>
      <c r="B1202" s="8" t="n"/>
      <c r="C1202" s="6">
        <f>TRIM(A1202&amp;"")</f>
        <v/>
      </c>
      <c r="D1202" s="6">
        <f>IF(C1202="","",SUBSTITUTE(SUBSTITUTE(SUBSTITUTE(SUBSTITUTE(SUBSTITUTE(SUBSTITUTE(SUBSTITUTE(UPPER(TRIM(B1202&amp;"")),"₹",""),"RS.",""),"RS",""),"INR",""),"$",""),",","")," ",""))</f>
        <v/>
      </c>
      <c r="E1202" s="6">
        <f>IF(C1202="","",IF(RIGHT(D1202,2)="CR","Cr",IF(RIGHT(D1202,2)="DR","Dr","")))</f>
        <v/>
      </c>
      <c r="F1202" s="6">
        <f>IF(C1202="","",IF(E1202&lt;&gt;"",LEFT(D1202,LEN(D1202)-2),D1202))</f>
        <v/>
      </c>
      <c r="G1202" s="13">
        <f>IF(C1202="","",IF(OR(IF(AND(LEFT(F1202,1)="(",RIGHT(F1202,1)=")"),MID(F1202,2,LEN(F1202)-2),F1202)="",IF(AND(LEFT(F1202,1)="(",RIGHT(F1202,1)=")"),MID(F1202,2,LEN(F1202)-2),F1202)="-"),0,IFERROR(VALUE(IF(AND(LEFT(F1202,1)="(",RIGHT(F1202,1)=")"),MID(F1202,2,LEN(F1202)-2),F1202))*IF(AND(LEFT(F1202,1)="(",RIGHT(F1202,1)=")"),-1,1)*IF(E1202="Cr",Setup!$B$6,1),"ERR")))</f>
        <v/>
      </c>
      <c r="H1202" s="6">
        <f>IF(C1202="","",IF(ISNUMBER(G1202),1,0))</f>
        <v/>
      </c>
      <c r="I1202" s="6">
        <f>IF(C1202="","",IF(SUMPRODUCT(($C$12:$C$1511=C1202)*1)&gt;1,1,0))</f>
        <v/>
      </c>
      <c r="J1202" s="6">
        <f>IF(C1202="","",SUMPRODUCT((Mapping!$F$5:$F$504=Setup!$B$4&amp;"||"&amp;C1202)*ROW(Mapping!$F$5:$F$504)))</f>
        <v/>
      </c>
      <c r="K1202" s="6">
        <f>IF(C1202="","",IF(J1202=0,"UNMAPPED",LOWER(INDEX(Mapping!$D$1:$D$504,J1202))))</f>
        <v/>
      </c>
      <c r="L1202" s="6">
        <f>IF(K1202="mapped",TRIM(INDEX(Mapping!$C$1:$C$504,J1202)),"")</f>
        <v/>
      </c>
      <c r="M1202" s="6">
        <f>IF(C1202="","",IF(SUMPRODUCT(($C$12:C1202=C1202)*1)=1,1,0))</f>
        <v/>
      </c>
      <c r="N1202" s="6">
        <f>IF(AND(K1202="UNMAPPED",M1202=1),ROW(),"")</f>
        <v/>
      </c>
      <c r="O1202" s="6">
        <f>IF(AND(I1202=1,M1202=1),ROW(),"")</f>
        <v/>
      </c>
      <c r="P1202" s="6">
        <f>IF(AND(K1202="ignored",M1202=1),ROW(),"")</f>
        <v/>
      </c>
    </row>
    <row r="1203">
      <c r="A1203" s="8" t="n"/>
      <c r="B1203" s="8" t="n"/>
      <c r="C1203" s="6">
        <f>TRIM(A1203&amp;"")</f>
        <v/>
      </c>
      <c r="D1203" s="6">
        <f>IF(C1203="","",SUBSTITUTE(SUBSTITUTE(SUBSTITUTE(SUBSTITUTE(SUBSTITUTE(SUBSTITUTE(SUBSTITUTE(UPPER(TRIM(B1203&amp;"")),"₹",""),"RS.",""),"RS",""),"INR",""),"$",""),",","")," ",""))</f>
        <v/>
      </c>
      <c r="E1203" s="6">
        <f>IF(C1203="","",IF(RIGHT(D1203,2)="CR","Cr",IF(RIGHT(D1203,2)="DR","Dr","")))</f>
        <v/>
      </c>
      <c r="F1203" s="6">
        <f>IF(C1203="","",IF(E1203&lt;&gt;"",LEFT(D1203,LEN(D1203)-2),D1203))</f>
        <v/>
      </c>
      <c r="G1203" s="13">
        <f>IF(C1203="","",IF(OR(IF(AND(LEFT(F1203,1)="(",RIGHT(F1203,1)=")"),MID(F1203,2,LEN(F1203)-2),F1203)="",IF(AND(LEFT(F1203,1)="(",RIGHT(F1203,1)=")"),MID(F1203,2,LEN(F1203)-2),F1203)="-"),0,IFERROR(VALUE(IF(AND(LEFT(F1203,1)="(",RIGHT(F1203,1)=")"),MID(F1203,2,LEN(F1203)-2),F1203))*IF(AND(LEFT(F1203,1)="(",RIGHT(F1203,1)=")"),-1,1)*IF(E1203="Cr",Setup!$B$6,1),"ERR")))</f>
        <v/>
      </c>
      <c r="H1203" s="6">
        <f>IF(C1203="","",IF(ISNUMBER(G1203),1,0))</f>
        <v/>
      </c>
      <c r="I1203" s="6">
        <f>IF(C1203="","",IF(SUMPRODUCT(($C$12:$C$1511=C1203)*1)&gt;1,1,0))</f>
        <v/>
      </c>
      <c r="J1203" s="6">
        <f>IF(C1203="","",SUMPRODUCT((Mapping!$F$5:$F$504=Setup!$B$4&amp;"||"&amp;C1203)*ROW(Mapping!$F$5:$F$504)))</f>
        <v/>
      </c>
      <c r="K1203" s="6">
        <f>IF(C1203="","",IF(J1203=0,"UNMAPPED",LOWER(INDEX(Mapping!$D$1:$D$504,J1203))))</f>
        <v/>
      </c>
      <c r="L1203" s="6">
        <f>IF(K1203="mapped",TRIM(INDEX(Mapping!$C$1:$C$504,J1203)),"")</f>
        <v/>
      </c>
      <c r="M1203" s="6">
        <f>IF(C1203="","",IF(SUMPRODUCT(($C$12:C1203=C1203)*1)=1,1,0))</f>
        <v/>
      </c>
      <c r="N1203" s="6">
        <f>IF(AND(K1203="UNMAPPED",M1203=1),ROW(),"")</f>
        <v/>
      </c>
      <c r="O1203" s="6">
        <f>IF(AND(I1203=1,M1203=1),ROW(),"")</f>
        <v/>
      </c>
      <c r="P1203" s="6">
        <f>IF(AND(K1203="ignored",M1203=1),ROW(),"")</f>
        <v/>
      </c>
    </row>
    <row r="1204">
      <c r="A1204" s="8" t="n"/>
      <c r="B1204" s="8" t="n"/>
      <c r="C1204" s="6">
        <f>TRIM(A1204&amp;"")</f>
        <v/>
      </c>
      <c r="D1204" s="6">
        <f>IF(C1204="","",SUBSTITUTE(SUBSTITUTE(SUBSTITUTE(SUBSTITUTE(SUBSTITUTE(SUBSTITUTE(SUBSTITUTE(UPPER(TRIM(B1204&amp;"")),"₹",""),"RS.",""),"RS",""),"INR",""),"$",""),",","")," ",""))</f>
        <v/>
      </c>
      <c r="E1204" s="6">
        <f>IF(C1204="","",IF(RIGHT(D1204,2)="CR","Cr",IF(RIGHT(D1204,2)="DR","Dr","")))</f>
        <v/>
      </c>
      <c r="F1204" s="6">
        <f>IF(C1204="","",IF(E1204&lt;&gt;"",LEFT(D1204,LEN(D1204)-2),D1204))</f>
        <v/>
      </c>
      <c r="G1204" s="13">
        <f>IF(C1204="","",IF(OR(IF(AND(LEFT(F1204,1)="(",RIGHT(F1204,1)=")"),MID(F1204,2,LEN(F1204)-2),F1204)="",IF(AND(LEFT(F1204,1)="(",RIGHT(F1204,1)=")"),MID(F1204,2,LEN(F1204)-2),F1204)="-"),0,IFERROR(VALUE(IF(AND(LEFT(F1204,1)="(",RIGHT(F1204,1)=")"),MID(F1204,2,LEN(F1204)-2),F1204))*IF(AND(LEFT(F1204,1)="(",RIGHT(F1204,1)=")"),-1,1)*IF(E1204="Cr",Setup!$B$6,1),"ERR")))</f>
        <v/>
      </c>
      <c r="H1204" s="6">
        <f>IF(C1204="","",IF(ISNUMBER(G1204),1,0))</f>
        <v/>
      </c>
      <c r="I1204" s="6">
        <f>IF(C1204="","",IF(SUMPRODUCT(($C$12:$C$1511=C1204)*1)&gt;1,1,0))</f>
        <v/>
      </c>
      <c r="J1204" s="6">
        <f>IF(C1204="","",SUMPRODUCT((Mapping!$F$5:$F$504=Setup!$B$4&amp;"||"&amp;C1204)*ROW(Mapping!$F$5:$F$504)))</f>
        <v/>
      </c>
      <c r="K1204" s="6">
        <f>IF(C1204="","",IF(J1204=0,"UNMAPPED",LOWER(INDEX(Mapping!$D$1:$D$504,J1204))))</f>
        <v/>
      </c>
      <c r="L1204" s="6">
        <f>IF(K1204="mapped",TRIM(INDEX(Mapping!$C$1:$C$504,J1204)),"")</f>
        <v/>
      </c>
      <c r="M1204" s="6">
        <f>IF(C1204="","",IF(SUMPRODUCT(($C$12:C1204=C1204)*1)=1,1,0))</f>
        <v/>
      </c>
      <c r="N1204" s="6">
        <f>IF(AND(K1204="UNMAPPED",M1204=1),ROW(),"")</f>
        <v/>
      </c>
      <c r="O1204" s="6">
        <f>IF(AND(I1204=1,M1204=1),ROW(),"")</f>
        <v/>
      </c>
      <c r="P1204" s="6">
        <f>IF(AND(K1204="ignored",M1204=1),ROW(),"")</f>
        <v/>
      </c>
    </row>
    <row r="1205">
      <c r="A1205" s="8" t="n"/>
      <c r="B1205" s="8" t="n"/>
      <c r="C1205" s="6">
        <f>TRIM(A1205&amp;"")</f>
        <v/>
      </c>
      <c r="D1205" s="6">
        <f>IF(C1205="","",SUBSTITUTE(SUBSTITUTE(SUBSTITUTE(SUBSTITUTE(SUBSTITUTE(SUBSTITUTE(SUBSTITUTE(UPPER(TRIM(B1205&amp;"")),"₹",""),"RS.",""),"RS",""),"INR",""),"$",""),",","")," ",""))</f>
        <v/>
      </c>
      <c r="E1205" s="6">
        <f>IF(C1205="","",IF(RIGHT(D1205,2)="CR","Cr",IF(RIGHT(D1205,2)="DR","Dr","")))</f>
        <v/>
      </c>
      <c r="F1205" s="6">
        <f>IF(C1205="","",IF(E1205&lt;&gt;"",LEFT(D1205,LEN(D1205)-2),D1205))</f>
        <v/>
      </c>
      <c r="G1205" s="13">
        <f>IF(C1205="","",IF(OR(IF(AND(LEFT(F1205,1)="(",RIGHT(F1205,1)=")"),MID(F1205,2,LEN(F1205)-2),F1205)="",IF(AND(LEFT(F1205,1)="(",RIGHT(F1205,1)=")"),MID(F1205,2,LEN(F1205)-2),F1205)="-"),0,IFERROR(VALUE(IF(AND(LEFT(F1205,1)="(",RIGHT(F1205,1)=")"),MID(F1205,2,LEN(F1205)-2),F1205))*IF(AND(LEFT(F1205,1)="(",RIGHT(F1205,1)=")"),-1,1)*IF(E1205="Cr",Setup!$B$6,1),"ERR")))</f>
        <v/>
      </c>
      <c r="H1205" s="6">
        <f>IF(C1205="","",IF(ISNUMBER(G1205),1,0))</f>
        <v/>
      </c>
      <c r="I1205" s="6">
        <f>IF(C1205="","",IF(SUMPRODUCT(($C$12:$C$1511=C1205)*1)&gt;1,1,0))</f>
        <v/>
      </c>
      <c r="J1205" s="6">
        <f>IF(C1205="","",SUMPRODUCT((Mapping!$F$5:$F$504=Setup!$B$4&amp;"||"&amp;C1205)*ROW(Mapping!$F$5:$F$504)))</f>
        <v/>
      </c>
      <c r="K1205" s="6">
        <f>IF(C1205="","",IF(J1205=0,"UNMAPPED",LOWER(INDEX(Mapping!$D$1:$D$504,J1205))))</f>
        <v/>
      </c>
      <c r="L1205" s="6">
        <f>IF(K1205="mapped",TRIM(INDEX(Mapping!$C$1:$C$504,J1205)),"")</f>
        <v/>
      </c>
      <c r="M1205" s="6">
        <f>IF(C1205="","",IF(SUMPRODUCT(($C$12:C1205=C1205)*1)=1,1,0))</f>
        <v/>
      </c>
      <c r="N1205" s="6">
        <f>IF(AND(K1205="UNMAPPED",M1205=1),ROW(),"")</f>
        <v/>
      </c>
      <c r="O1205" s="6">
        <f>IF(AND(I1205=1,M1205=1),ROW(),"")</f>
        <v/>
      </c>
      <c r="P1205" s="6">
        <f>IF(AND(K1205="ignored",M1205=1),ROW(),"")</f>
        <v/>
      </c>
    </row>
    <row r="1206">
      <c r="A1206" s="8" t="n"/>
      <c r="B1206" s="8" t="n"/>
      <c r="C1206" s="6">
        <f>TRIM(A1206&amp;"")</f>
        <v/>
      </c>
      <c r="D1206" s="6">
        <f>IF(C1206="","",SUBSTITUTE(SUBSTITUTE(SUBSTITUTE(SUBSTITUTE(SUBSTITUTE(SUBSTITUTE(SUBSTITUTE(UPPER(TRIM(B1206&amp;"")),"₹",""),"RS.",""),"RS",""),"INR",""),"$",""),",","")," ",""))</f>
        <v/>
      </c>
      <c r="E1206" s="6">
        <f>IF(C1206="","",IF(RIGHT(D1206,2)="CR","Cr",IF(RIGHT(D1206,2)="DR","Dr","")))</f>
        <v/>
      </c>
      <c r="F1206" s="6">
        <f>IF(C1206="","",IF(E1206&lt;&gt;"",LEFT(D1206,LEN(D1206)-2),D1206))</f>
        <v/>
      </c>
      <c r="G1206" s="13">
        <f>IF(C1206="","",IF(OR(IF(AND(LEFT(F1206,1)="(",RIGHT(F1206,1)=")"),MID(F1206,2,LEN(F1206)-2),F1206)="",IF(AND(LEFT(F1206,1)="(",RIGHT(F1206,1)=")"),MID(F1206,2,LEN(F1206)-2),F1206)="-"),0,IFERROR(VALUE(IF(AND(LEFT(F1206,1)="(",RIGHT(F1206,1)=")"),MID(F1206,2,LEN(F1206)-2),F1206))*IF(AND(LEFT(F1206,1)="(",RIGHT(F1206,1)=")"),-1,1)*IF(E1206="Cr",Setup!$B$6,1),"ERR")))</f>
        <v/>
      </c>
      <c r="H1206" s="6">
        <f>IF(C1206="","",IF(ISNUMBER(G1206),1,0))</f>
        <v/>
      </c>
      <c r="I1206" s="6">
        <f>IF(C1206="","",IF(SUMPRODUCT(($C$12:$C$1511=C1206)*1)&gt;1,1,0))</f>
        <v/>
      </c>
      <c r="J1206" s="6">
        <f>IF(C1206="","",SUMPRODUCT((Mapping!$F$5:$F$504=Setup!$B$4&amp;"||"&amp;C1206)*ROW(Mapping!$F$5:$F$504)))</f>
        <v/>
      </c>
      <c r="K1206" s="6">
        <f>IF(C1206="","",IF(J1206=0,"UNMAPPED",LOWER(INDEX(Mapping!$D$1:$D$504,J1206))))</f>
        <v/>
      </c>
      <c r="L1206" s="6">
        <f>IF(K1206="mapped",TRIM(INDEX(Mapping!$C$1:$C$504,J1206)),"")</f>
        <v/>
      </c>
      <c r="M1206" s="6">
        <f>IF(C1206="","",IF(SUMPRODUCT(($C$12:C1206=C1206)*1)=1,1,0))</f>
        <v/>
      </c>
      <c r="N1206" s="6">
        <f>IF(AND(K1206="UNMAPPED",M1206=1),ROW(),"")</f>
        <v/>
      </c>
      <c r="O1206" s="6">
        <f>IF(AND(I1206=1,M1206=1),ROW(),"")</f>
        <v/>
      </c>
      <c r="P1206" s="6">
        <f>IF(AND(K1206="ignored",M1206=1),ROW(),"")</f>
        <v/>
      </c>
    </row>
    <row r="1207">
      <c r="A1207" s="8" t="n"/>
      <c r="B1207" s="8" t="n"/>
      <c r="C1207" s="6">
        <f>TRIM(A1207&amp;"")</f>
        <v/>
      </c>
      <c r="D1207" s="6">
        <f>IF(C1207="","",SUBSTITUTE(SUBSTITUTE(SUBSTITUTE(SUBSTITUTE(SUBSTITUTE(SUBSTITUTE(SUBSTITUTE(UPPER(TRIM(B1207&amp;"")),"₹",""),"RS.",""),"RS",""),"INR",""),"$",""),",","")," ",""))</f>
        <v/>
      </c>
      <c r="E1207" s="6">
        <f>IF(C1207="","",IF(RIGHT(D1207,2)="CR","Cr",IF(RIGHT(D1207,2)="DR","Dr","")))</f>
        <v/>
      </c>
      <c r="F1207" s="6">
        <f>IF(C1207="","",IF(E1207&lt;&gt;"",LEFT(D1207,LEN(D1207)-2),D1207))</f>
        <v/>
      </c>
      <c r="G1207" s="13">
        <f>IF(C1207="","",IF(OR(IF(AND(LEFT(F1207,1)="(",RIGHT(F1207,1)=")"),MID(F1207,2,LEN(F1207)-2),F1207)="",IF(AND(LEFT(F1207,1)="(",RIGHT(F1207,1)=")"),MID(F1207,2,LEN(F1207)-2),F1207)="-"),0,IFERROR(VALUE(IF(AND(LEFT(F1207,1)="(",RIGHT(F1207,1)=")"),MID(F1207,2,LEN(F1207)-2),F1207))*IF(AND(LEFT(F1207,1)="(",RIGHT(F1207,1)=")"),-1,1)*IF(E1207="Cr",Setup!$B$6,1),"ERR")))</f>
        <v/>
      </c>
      <c r="H1207" s="6">
        <f>IF(C1207="","",IF(ISNUMBER(G1207),1,0))</f>
        <v/>
      </c>
      <c r="I1207" s="6">
        <f>IF(C1207="","",IF(SUMPRODUCT(($C$12:$C$1511=C1207)*1)&gt;1,1,0))</f>
        <v/>
      </c>
      <c r="J1207" s="6">
        <f>IF(C1207="","",SUMPRODUCT((Mapping!$F$5:$F$504=Setup!$B$4&amp;"||"&amp;C1207)*ROW(Mapping!$F$5:$F$504)))</f>
        <v/>
      </c>
      <c r="K1207" s="6">
        <f>IF(C1207="","",IF(J1207=0,"UNMAPPED",LOWER(INDEX(Mapping!$D$1:$D$504,J1207))))</f>
        <v/>
      </c>
      <c r="L1207" s="6">
        <f>IF(K1207="mapped",TRIM(INDEX(Mapping!$C$1:$C$504,J1207)),"")</f>
        <v/>
      </c>
      <c r="M1207" s="6">
        <f>IF(C1207="","",IF(SUMPRODUCT(($C$12:C1207=C1207)*1)=1,1,0))</f>
        <v/>
      </c>
      <c r="N1207" s="6">
        <f>IF(AND(K1207="UNMAPPED",M1207=1),ROW(),"")</f>
        <v/>
      </c>
      <c r="O1207" s="6">
        <f>IF(AND(I1207=1,M1207=1),ROW(),"")</f>
        <v/>
      </c>
      <c r="P1207" s="6">
        <f>IF(AND(K1207="ignored",M1207=1),ROW(),"")</f>
        <v/>
      </c>
    </row>
    <row r="1208">
      <c r="A1208" s="8" t="n"/>
      <c r="B1208" s="8" t="n"/>
      <c r="C1208" s="6">
        <f>TRIM(A1208&amp;"")</f>
        <v/>
      </c>
      <c r="D1208" s="6">
        <f>IF(C1208="","",SUBSTITUTE(SUBSTITUTE(SUBSTITUTE(SUBSTITUTE(SUBSTITUTE(SUBSTITUTE(SUBSTITUTE(UPPER(TRIM(B1208&amp;"")),"₹",""),"RS.",""),"RS",""),"INR",""),"$",""),",","")," ",""))</f>
        <v/>
      </c>
      <c r="E1208" s="6">
        <f>IF(C1208="","",IF(RIGHT(D1208,2)="CR","Cr",IF(RIGHT(D1208,2)="DR","Dr","")))</f>
        <v/>
      </c>
      <c r="F1208" s="6">
        <f>IF(C1208="","",IF(E1208&lt;&gt;"",LEFT(D1208,LEN(D1208)-2),D1208))</f>
        <v/>
      </c>
      <c r="G1208" s="13">
        <f>IF(C1208="","",IF(OR(IF(AND(LEFT(F1208,1)="(",RIGHT(F1208,1)=")"),MID(F1208,2,LEN(F1208)-2),F1208)="",IF(AND(LEFT(F1208,1)="(",RIGHT(F1208,1)=")"),MID(F1208,2,LEN(F1208)-2),F1208)="-"),0,IFERROR(VALUE(IF(AND(LEFT(F1208,1)="(",RIGHT(F1208,1)=")"),MID(F1208,2,LEN(F1208)-2),F1208))*IF(AND(LEFT(F1208,1)="(",RIGHT(F1208,1)=")"),-1,1)*IF(E1208="Cr",Setup!$B$6,1),"ERR")))</f>
        <v/>
      </c>
      <c r="H1208" s="6">
        <f>IF(C1208="","",IF(ISNUMBER(G1208),1,0))</f>
        <v/>
      </c>
      <c r="I1208" s="6">
        <f>IF(C1208="","",IF(SUMPRODUCT(($C$12:$C$1511=C1208)*1)&gt;1,1,0))</f>
        <v/>
      </c>
      <c r="J1208" s="6">
        <f>IF(C1208="","",SUMPRODUCT((Mapping!$F$5:$F$504=Setup!$B$4&amp;"||"&amp;C1208)*ROW(Mapping!$F$5:$F$504)))</f>
        <v/>
      </c>
      <c r="K1208" s="6">
        <f>IF(C1208="","",IF(J1208=0,"UNMAPPED",LOWER(INDEX(Mapping!$D$1:$D$504,J1208))))</f>
        <v/>
      </c>
      <c r="L1208" s="6">
        <f>IF(K1208="mapped",TRIM(INDEX(Mapping!$C$1:$C$504,J1208)),"")</f>
        <v/>
      </c>
      <c r="M1208" s="6">
        <f>IF(C1208="","",IF(SUMPRODUCT(($C$12:C1208=C1208)*1)=1,1,0))</f>
        <v/>
      </c>
      <c r="N1208" s="6">
        <f>IF(AND(K1208="UNMAPPED",M1208=1),ROW(),"")</f>
        <v/>
      </c>
      <c r="O1208" s="6">
        <f>IF(AND(I1208=1,M1208=1),ROW(),"")</f>
        <v/>
      </c>
      <c r="P1208" s="6">
        <f>IF(AND(K1208="ignored",M1208=1),ROW(),"")</f>
        <v/>
      </c>
    </row>
    <row r="1209">
      <c r="A1209" s="8" t="n"/>
      <c r="B1209" s="8" t="n"/>
      <c r="C1209" s="6">
        <f>TRIM(A1209&amp;"")</f>
        <v/>
      </c>
      <c r="D1209" s="6">
        <f>IF(C1209="","",SUBSTITUTE(SUBSTITUTE(SUBSTITUTE(SUBSTITUTE(SUBSTITUTE(SUBSTITUTE(SUBSTITUTE(UPPER(TRIM(B1209&amp;"")),"₹",""),"RS.",""),"RS",""),"INR",""),"$",""),",","")," ",""))</f>
        <v/>
      </c>
      <c r="E1209" s="6">
        <f>IF(C1209="","",IF(RIGHT(D1209,2)="CR","Cr",IF(RIGHT(D1209,2)="DR","Dr","")))</f>
        <v/>
      </c>
      <c r="F1209" s="6">
        <f>IF(C1209="","",IF(E1209&lt;&gt;"",LEFT(D1209,LEN(D1209)-2),D1209))</f>
        <v/>
      </c>
      <c r="G1209" s="13">
        <f>IF(C1209="","",IF(OR(IF(AND(LEFT(F1209,1)="(",RIGHT(F1209,1)=")"),MID(F1209,2,LEN(F1209)-2),F1209)="",IF(AND(LEFT(F1209,1)="(",RIGHT(F1209,1)=")"),MID(F1209,2,LEN(F1209)-2),F1209)="-"),0,IFERROR(VALUE(IF(AND(LEFT(F1209,1)="(",RIGHT(F1209,1)=")"),MID(F1209,2,LEN(F1209)-2),F1209))*IF(AND(LEFT(F1209,1)="(",RIGHT(F1209,1)=")"),-1,1)*IF(E1209="Cr",Setup!$B$6,1),"ERR")))</f>
        <v/>
      </c>
      <c r="H1209" s="6">
        <f>IF(C1209="","",IF(ISNUMBER(G1209),1,0))</f>
        <v/>
      </c>
      <c r="I1209" s="6">
        <f>IF(C1209="","",IF(SUMPRODUCT(($C$12:$C$1511=C1209)*1)&gt;1,1,0))</f>
        <v/>
      </c>
      <c r="J1209" s="6">
        <f>IF(C1209="","",SUMPRODUCT((Mapping!$F$5:$F$504=Setup!$B$4&amp;"||"&amp;C1209)*ROW(Mapping!$F$5:$F$504)))</f>
        <v/>
      </c>
      <c r="K1209" s="6">
        <f>IF(C1209="","",IF(J1209=0,"UNMAPPED",LOWER(INDEX(Mapping!$D$1:$D$504,J1209))))</f>
        <v/>
      </c>
      <c r="L1209" s="6">
        <f>IF(K1209="mapped",TRIM(INDEX(Mapping!$C$1:$C$504,J1209)),"")</f>
        <v/>
      </c>
      <c r="M1209" s="6">
        <f>IF(C1209="","",IF(SUMPRODUCT(($C$12:C1209=C1209)*1)=1,1,0))</f>
        <v/>
      </c>
      <c r="N1209" s="6">
        <f>IF(AND(K1209="UNMAPPED",M1209=1),ROW(),"")</f>
        <v/>
      </c>
      <c r="O1209" s="6">
        <f>IF(AND(I1209=1,M1209=1),ROW(),"")</f>
        <v/>
      </c>
      <c r="P1209" s="6">
        <f>IF(AND(K1209="ignored",M1209=1),ROW(),"")</f>
        <v/>
      </c>
    </row>
    <row r="1210">
      <c r="A1210" s="8" t="n"/>
      <c r="B1210" s="8" t="n"/>
      <c r="C1210" s="6">
        <f>TRIM(A1210&amp;"")</f>
        <v/>
      </c>
      <c r="D1210" s="6">
        <f>IF(C1210="","",SUBSTITUTE(SUBSTITUTE(SUBSTITUTE(SUBSTITUTE(SUBSTITUTE(SUBSTITUTE(SUBSTITUTE(UPPER(TRIM(B1210&amp;"")),"₹",""),"RS.",""),"RS",""),"INR",""),"$",""),",","")," ",""))</f>
        <v/>
      </c>
      <c r="E1210" s="6">
        <f>IF(C1210="","",IF(RIGHT(D1210,2)="CR","Cr",IF(RIGHT(D1210,2)="DR","Dr","")))</f>
        <v/>
      </c>
      <c r="F1210" s="6">
        <f>IF(C1210="","",IF(E1210&lt;&gt;"",LEFT(D1210,LEN(D1210)-2),D1210))</f>
        <v/>
      </c>
      <c r="G1210" s="13">
        <f>IF(C1210="","",IF(OR(IF(AND(LEFT(F1210,1)="(",RIGHT(F1210,1)=")"),MID(F1210,2,LEN(F1210)-2),F1210)="",IF(AND(LEFT(F1210,1)="(",RIGHT(F1210,1)=")"),MID(F1210,2,LEN(F1210)-2),F1210)="-"),0,IFERROR(VALUE(IF(AND(LEFT(F1210,1)="(",RIGHT(F1210,1)=")"),MID(F1210,2,LEN(F1210)-2),F1210))*IF(AND(LEFT(F1210,1)="(",RIGHT(F1210,1)=")"),-1,1)*IF(E1210="Cr",Setup!$B$6,1),"ERR")))</f>
        <v/>
      </c>
      <c r="H1210" s="6">
        <f>IF(C1210="","",IF(ISNUMBER(G1210),1,0))</f>
        <v/>
      </c>
      <c r="I1210" s="6">
        <f>IF(C1210="","",IF(SUMPRODUCT(($C$12:$C$1511=C1210)*1)&gt;1,1,0))</f>
        <v/>
      </c>
      <c r="J1210" s="6">
        <f>IF(C1210="","",SUMPRODUCT((Mapping!$F$5:$F$504=Setup!$B$4&amp;"||"&amp;C1210)*ROW(Mapping!$F$5:$F$504)))</f>
        <v/>
      </c>
      <c r="K1210" s="6">
        <f>IF(C1210="","",IF(J1210=0,"UNMAPPED",LOWER(INDEX(Mapping!$D$1:$D$504,J1210))))</f>
        <v/>
      </c>
      <c r="L1210" s="6">
        <f>IF(K1210="mapped",TRIM(INDEX(Mapping!$C$1:$C$504,J1210)),"")</f>
        <v/>
      </c>
      <c r="M1210" s="6">
        <f>IF(C1210="","",IF(SUMPRODUCT(($C$12:C1210=C1210)*1)=1,1,0))</f>
        <v/>
      </c>
      <c r="N1210" s="6">
        <f>IF(AND(K1210="UNMAPPED",M1210=1),ROW(),"")</f>
        <v/>
      </c>
      <c r="O1210" s="6">
        <f>IF(AND(I1210=1,M1210=1),ROW(),"")</f>
        <v/>
      </c>
      <c r="P1210" s="6">
        <f>IF(AND(K1210="ignored",M1210=1),ROW(),"")</f>
        <v/>
      </c>
    </row>
    <row r="1211">
      <c r="A1211" s="8" t="n"/>
      <c r="B1211" s="8" t="n"/>
      <c r="C1211" s="6">
        <f>TRIM(A1211&amp;"")</f>
        <v/>
      </c>
      <c r="D1211" s="6">
        <f>IF(C1211="","",SUBSTITUTE(SUBSTITUTE(SUBSTITUTE(SUBSTITUTE(SUBSTITUTE(SUBSTITUTE(SUBSTITUTE(UPPER(TRIM(B1211&amp;"")),"₹",""),"RS.",""),"RS",""),"INR",""),"$",""),",","")," ",""))</f>
        <v/>
      </c>
      <c r="E1211" s="6">
        <f>IF(C1211="","",IF(RIGHT(D1211,2)="CR","Cr",IF(RIGHT(D1211,2)="DR","Dr","")))</f>
        <v/>
      </c>
      <c r="F1211" s="6">
        <f>IF(C1211="","",IF(E1211&lt;&gt;"",LEFT(D1211,LEN(D1211)-2),D1211))</f>
        <v/>
      </c>
      <c r="G1211" s="13">
        <f>IF(C1211="","",IF(OR(IF(AND(LEFT(F1211,1)="(",RIGHT(F1211,1)=")"),MID(F1211,2,LEN(F1211)-2),F1211)="",IF(AND(LEFT(F1211,1)="(",RIGHT(F1211,1)=")"),MID(F1211,2,LEN(F1211)-2),F1211)="-"),0,IFERROR(VALUE(IF(AND(LEFT(F1211,1)="(",RIGHT(F1211,1)=")"),MID(F1211,2,LEN(F1211)-2),F1211))*IF(AND(LEFT(F1211,1)="(",RIGHT(F1211,1)=")"),-1,1)*IF(E1211="Cr",Setup!$B$6,1),"ERR")))</f>
        <v/>
      </c>
      <c r="H1211" s="6">
        <f>IF(C1211="","",IF(ISNUMBER(G1211),1,0))</f>
        <v/>
      </c>
      <c r="I1211" s="6">
        <f>IF(C1211="","",IF(SUMPRODUCT(($C$12:$C$1511=C1211)*1)&gt;1,1,0))</f>
        <v/>
      </c>
      <c r="J1211" s="6">
        <f>IF(C1211="","",SUMPRODUCT((Mapping!$F$5:$F$504=Setup!$B$4&amp;"||"&amp;C1211)*ROW(Mapping!$F$5:$F$504)))</f>
        <v/>
      </c>
      <c r="K1211" s="6">
        <f>IF(C1211="","",IF(J1211=0,"UNMAPPED",LOWER(INDEX(Mapping!$D$1:$D$504,J1211))))</f>
        <v/>
      </c>
      <c r="L1211" s="6">
        <f>IF(K1211="mapped",TRIM(INDEX(Mapping!$C$1:$C$504,J1211)),"")</f>
        <v/>
      </c>
      <c r="M1211" s="6">
        <f>IF(C1211="","",IF(SUMPRODUCT(($C$12:C1211=C1211)*1)=1,1,0))</f>
        <v/>
      </c>
      <c r="N1211" s="6">
        <f>IF(AND(K1211="UNMAPPED",M1211=1),ROW(),"")</f>
        <v/>
      </c>
      <c r="O1211" s="6">
        <f>IF(AND(I1211=1,M1211=1),ROW(),"")</f>
        <v/>
      </c>
      <c r="P1211" s="6">
        <f>IF(AND(K1211="ignored",M1211=1),ROW(),"")</f>
        <v/>
      </c>
    </row>
    <row r="1212">
      <c r="A1212" s="8" t="n"/>
      <c r="B1212" s="8" t="n"/>
      <c r="C1212" s="6">
        <f>TRIM(A1212&amp;"")</f>
        <v/>
      </c>
      <c r="D1212" s="6">
        <f>IF(C1212="","",SUBSTITUTE(SUBSTITUTE(SUBSTITUTE(SUBSTITUTE(SUBSTITUTE(SUBSTITUTE(SUBSTITUTE(UPPER(TRIM(B1212&amp;"")),"₹",""),"RS.",""),"RS",""),"INR",""),"$",""),",","")," ",""))</f>
        <v/>
      </c>
      <c r="E1212" s="6">
        <f>IF(C1212="","",IF(RIGHT(D1212,2)="CR","Cr",IF(RIGHT(D1212,2)="DR","Dr","")))</f>
        <v/>
      </c>
      <c r="F1212" s="6">
        <f>IF(C1212="","",IF(E1212&lt;&gt;"",LEFT(D1212,LEN(D1212)-2),D1212))</f>
        <v/>
      </c>
      <c r="G1212" s="13">
        <f>IF(C1212="","",IF(OR(IF(AND(LEFT(F1212,1)="(",RIGHT(F1212,1)=")"),MID(F1212,2,LEN(F1212)-2),F1212)="",IF(AND(LEFT(F1212,1)="(",RIGHT(F1212,1)=")"),MID(F1212,2,LEN(F1212)-2),F1212)="-"),0,IFERROR(VALUE(IF(AND(LEFT(F1212,1)="(",RIGHT(F1212,1)=")"),MID(F1212,2,LEN(F1212)-2),F1212))*IF(AND(LEFT(F1212,1)="(",RIGHT(F1212,1)=")"),-1,1)*IF(E1212="Cr",Setup!$B$6,1),"ERR")))</f>
        <v/>
      </c>
      <c r="H1212" s="6">
        <f>IF(C1212="","",IF(ISNUMBER(G1212),1,0))</f>
        <v/>
      </c>
      <c r="I1212" s="6">
        <f>IF(C1212="","",IF(SUMPRODUCT(($C$12:$C$1511=C1212)*1)&gt;1,1,0))</f>
        <v/>
      </c>
      <c r="J1212" s="6">
        <f>IF(C1212="","",SUMPRODUCT((Mapping!$F$5:$F$504=Setup!$B$4&amp;"||"&amp;C1212)*ROW(Mapping!$F$5:$F$504)))</f>
        <v/>
      </c>
      <c r="K1212" s="6">
        <f>IF(C1212="","",IF(J1212=0,"UNMAPPED",LOWER(INDEX(Mapping!$D$1:$D$504,J1212))))</f>
        <v/>
      </c>
      <c r="L1212" s="6">
        <f>IF(K1212="mapped",TRIM(INDEX(Mapping!$C$1:$C$504,J1212)),"")</f>
        <v/>
      </c>
      <c r="M1212" s="6">
        <f>IF(C1212="","",IF(SUMPRODUCT(($C$12:C1212=C1212)*1)=1,1,0))</f>
        <v/>
      </c>
      <c r="N1212" s="6">
        <f>IF(AND(K1212="UNMAPPED",M1212=1),ROW(),"")</f>
        <v/>
      </c>
      <c r="O1212" s="6">
        <f>IF(AND(I1212=1,M1212=1),ROW(),"")</f>
        <v/>
      </c>
      <c r="P1212" s="6">
        <f>IF(AND(K1212="ignored",M1212=1),ROW(),"")</f>
        <v/>
      </c>
    </row>
    <row r="1213">
      <c r="A1213" s="8" t="n"/>
      <c r="B1213" s="8" t="n"/>
      <c r="C1213" s="6">
        <f>TRIM(A1213&amp;"")</f>
        <v/>
      </c>
      <c r="D1213" s="6">
        <f>IF(C1213="","",SUBSTITUTE(SUBSTITUTE(SUBSTITUTE(SUBSTITUTE(SUBSTITUTE(SUBSTITUTE(SUBSTITUTE(UPPER(TRIM(B1213&amp;"")),"₹",""),"RS.",""),"RS",""),"INR",""),"$",""),",","")," ",""))</f>
        <v/>
      </c>
      <c r="E1213" s="6">
        <f>IF(C1213="","",IF(RIGHT(D1213,2)="CR","Cr",IF(RIGHT(D1213,2)="DR","Dr","")))</f>
        <v/>
      </c>
      <c r="F1213" s="6">
        <f>IF(C1213="","",IF(E1213&lt;&gt;"",LEFT(D1213,LEN(D1213)-2),D1213))</f>
        <v/>
      </c>
      <c r="G1213" s="13">
        <f>IF(C1213="","",IF(OR(IF(AND(LEFT(F1213,1)="(",RIGHT(F1213,1)=")"),MID(F1213,2,LEN(F1213)-2),F1213)="",IF(AND(LEFT(F1213,1)="(",RIGHT(F1213,1)=")"),MID(F1213,2,LEN(F1213)-2),F1213)="-"),0,IFERROR(VALUE(IF(AND(LEFT(F1213,1)="(",RIGHT(F1213,1)=")"),MID(F1213,2,LEN(F1213)-2),F1213))*IF(AND(LEFT(F1213,1)="(",RIGHT(F1213,1)=")"),-1,1)*IF(E1213="Cr",Setup!$B$6,1),"ERR")))</f>
        <v/>
      </c>
      <c r="H1213" s="6">
        <f>IF(C1213="","",IF(ISNUMBER(G1213),1,0))</f>
        <v/>
      </c>
      <c r="I1213" s="6">
        <f>IF(C1213="","",IF(SUMPRODUCT(($C$12:$C$1511=C1213)*1)&gt;1,1,0))</f>
        <v/>
      </c>
      <c r="J1213" s="6">
        <f>IF(C1213="","",SUMPRODUCT((Mapping!$F$5:$F$504=Setup!$B$4&amp;"||"&amp;C1213)*ROW(Mapping!$F$5:$F$504)))</f>
        <v/>
      </c>
      <c r="K1213" s="6">
        <f>IF(C1213="","",IF(J1213=0,"UNMAPPED",LOWER(INDEX(Mapping!$D$1:$D$504,J1213))))</f>
        <v/>
      </c>
      <c r="L1213" s="6">
        <f>IF(K1213="mapped",TRIM(INDEX(Mapping!$C$1:$C$504,J1213)),"")</f>
        <v/>
      </c>
      <c r="M1213" s="6">
        <f>IF(C1213="","",IF(SUMPRODUCT(($C$12:C1213=C1213)*1)=1,1,0))</f>
        <v/>
      </c>
      <c r="N1213" s="6">
        <f>IF(AND(K1213="UNMAPPED",M1213=1),ROW(),"")</f>
        <v/>
      </c>
      <c r="O1213" s="6">
        <f>IF(AND(I1213=1,M1213=1),ROW(),"")</f>
        <v/>
      </c>
      <c r="P1213" s="6">
        <f>IF(AND(K1213="ignored",M1213=1),ROW(),"")</f>
        <v/>
      </c>
    </row>
    <row r="1214">
      <c r="A1214" s="8" t="n"/>
      <c r="B1214" s="8" t="n"/>
      <c r="C1214" s="6">
        <f>TRIM(A1214&amp;"")</f>
        <v/>
      </c>
      <c r="D1214" s="6">
        <f>IF(C1214="","",SUBSTITUTE(SUBSTITUTE(SUBSTITUTE(SUBSTITUTE(SUBSTITUTE(SUBSTITUTE(SUBSTITUTE(UPPER(TRIM(B1214&amp;"")),"₹",""),"RS.",""),"RS",""),"INR",""),"$",""),",","")," ",""))</f>
        <v/>
      </c>
      <c r="E1214" s="6">
        <f>IF(C1214="","",IF(RIGHT(D1214,2)="CR","Cr",IF(RIGHT(D1214,2)="DR","Dr","")))</f>
        <v/>
      </c>
      <c r="F1214" s="6">
        <f>IF(C1214="","",IF(E1214&lt;&gt;"",LEFT(D1214,LEN(D1214)-2),D1214))</f>
        <v/>
      </c>
      <c r="G1214" s="13">
        <f>IF(C1214="","",IF(OR(IF(AND(LEFT(F1214,1)="(",RIGHT(F1214,1)=")"),MID(F1214,2,LEN(F1214)-2),F1214)="",IF(AND(LEFT(F1214,1)="(",RIGHT(F1214,1)=")"),MID(F1214,2,LEN(F1214)-2),F1214)="-"),0,IFERROR(VALUE(IF(AND(LEFT(F1214,1)="(",RIGHT(F1214,1)=")"),MID(F1214,2,LEN(F1214)-2),F1214))*IF(AND(LEFT(F1214,1)="(",RIGHT(F1214,1)=")"),-1,1)*IF(E1214="Cr",Setup!$B$6,1),"ERR")))</f>
        <v/>
      </c>
      <c r="H1214" s="6">
        <f>IF(C1214="","",IF(ISNUMBER(G1214),1,0))</f>
        <v/>
      </c>
      <c r="I1214" s="6">
        <f>IF(C1214="","",IF(SUMPRODUCT(($C$12:$C$1511=C1214)*1)&gt;1,1,0))</f>
        <v/>
      </c>
      <c r="J1214" s="6">
        <f>IF(C1214="","",SUMPRODUCT((Mapping!$F$5:$F$504=Setup!$B$4&amp;"||"&amp;C1214)*ROW(Mapping!$F$5:$F$504)))</f>
        <v/>
      </c>
      <c r="K1214" s="6">
        <f>IF(C1214="","",IF(J1214=0,"UNMAPPED",LOWER(INDEX(Mapping!$D$1:$D$504,J1214))))</f>
        <v/>
      </c>
      <c r="L1214" s="6">
        <f>IF(K1214="mapped",TRIM(INDEX(Mapping!$C$1:$C$504,J1214)),"")</f>
        <v/>
      </c>
      <c r="M1214" s="6">
        <f>IF(C1214="","",IF(SUMPRODUCT(($C$12:C1214=C1214)*1)=1,1,0))</f>
        <v/>
      </c>
      <c r="N1214" s="6">
        <f>IF(AND(K1214="UNMAPPED",M1214=1),ROW(),"")</f>
        <v/>
      </c>
      <c r="O1214" s="6">
        <f>IF(AND(I1214=1,M1214=1),ROW(),"")</f>
        <v/>
      </c>
      <c r="P1214" s="6">
        <f>IF(AND(K1214="ignored",M1214=1),ROW(),"")</f>
        <v/>
      </c>
    </row>
    <row r="1215">
      <c r="A1215" s="8" t="n"/>
      <c r="B1215" s="8" t="n"/>
      <c r="C1215" s="6">
        <f>TRIM(A1215&amp;"")</f>
        <v/>
      </c>
      <c r="D1215" s="6">
        <f>IF(C1215="","",SUBSTITUTE(SUBSTITUTE(SUBSTITUTE(SUBSTITUTE(SUBSTITUTE(SUBSTITUTE(SUBSTITUTE(UPPER(TRIM(B1215&amp;"")),"₹",""),"RS.",""),"RS",""),"INR",""),"$",""),",","")," ",""))</f>
        <v/>
      </c>
      <c r="E1215" s="6">
        <f>IF(C1215="","",IF(RIGHT(D1215,2)="CR","Cr",IF(RIGHT(D1215,2)="DR","Dr","")))</f>
        <v/>
      </c>
      <c r="F1215" s="6">
        <f>IF(C1215="","",IF(E1215&lt;&gt;"",LEFT(D1215,LEN(D1215)-2),D1215))</f>
        <v/>
      </c>
      <c r="G1215" s="13">
        <f>IF(C1215="","",IF(OR(IF(AND(LEFT(F1215,1)="(",RIGHT(F1215,1)=")"),MID(F1215,2,LEN(F1215)-2),F1215)="",IF(AND(LEFT(F1215,1)="(",RIGHT(F1215,1)=")"),MID(F1215,2,LEN(F1215)-2),F1215)="-"),0,IFERROR(VALUE(IF(AND(LEFT(F1215,1)="(",RIGHT(F1215,1)=")"),MID(F1215,2,LEN(F1215)-2),F1215))*IF(AND(LEFT(F1215,1)="(",RIGHT(F1215,1)=")"),-1,1)*IF(E1215="Cr",Setup!$B$6,1),"ERR")))</f>
        <v/>
      </c>
      <c r="H1215" s="6">
        <f>IF(C1215="","",IF(ISNUMBER(G1215),1,0))</f>
        <v/>
      </c>
      <c r="I1215" s="6">
        <f>IF(C1215="","",IF(SUMPRODUCT(($C$12:$C$1511=C1215)*1)&gt;1,1,0))</f>
        <v/>
      </c>
      <c r="J1215" s="6">
        <f>IF(C1215="","",SUMPRODUCT((Mapping!$F$5:$F$504=Setup!$B$4&amp;"||"&amp;C1215)*ROW(Mapping!$F$5:$F$504)))</f>
        <v/>
      </c>
      <c r="K1215" s="6">
        <f>IF(C1215="","",IF(J1215=0,"UNMAPPED",LOWER(INDEX(Mapping!$D$1:$D$504,J1215))))</f>
        <v/>
      </c>
      <c r="L1215" s="6">
        <f>IF(K1215="mapped",TRIM(INDEX(Mapping!$C$1:$C$504,J1215)),"")</f>
        <v/>
      </c>
      <c r="M1215" s="6">
        <f>IF(C1215="","",IF(SUMPRODUCT(($C$12:C1215=C1215)*1)=1,1,0))</f>
        <v/>
      </c>
      <c r="N1215" s="6">
        <f>IF(AND(K1215="UNMAPPED",M1215=1),ROW(),"")</f>
        <v/>
      </c>
      <c r="O1215" s="6">
        <f>IF(AND(I1215=1,M1215=1),ROW(),"")</f>
        <v/>
      </c>
      <c r="P1215" s="6">
        <f>IF(AND(K1215="ignored",M1215=1),ROW(),"")</f>
        <v/>
      </c>
    </row>
    <row r="1216">
      <c r="A1216" s="8" t="n"/>
      <c r="B1216" s="8" t="n"/>
      <c r="C1216" s="6">
        <f>TRIM(A1216&amp;"")</f>
        <v/>
      </c>
      <c r="D1216" s="6">
        <f>IF(C1216="","",SUBSTITUTE(SUBSTITUTE(SUBSTITUTE(SUBSTITUTE(SUBSTITUTE(SUBSTITUTE(SUBSTITUTE(UPPER(TRIM(B1216&amp;"")),"₹",""),"RS.",""),"RS",""),"INR",""),"$",""),",","")," ",""))</f>
        <v/>
      </c>
      <c r="E1216" s="6">
        <f>IF(C1216="","",IF(RIGHT(D1216,2)="CR","Cr",IF(RIGHT(D1216,2)="DR","Dr","")))</f>
        <v/>
      </c>
      <c r="F1216" s="6">
        <f>IF(C1216="","",IF(E1216&lt;&gt;"",LEFT(D1216,LEN(D1216)-2),D1216))</f>
        <v/>
      </c>
      <c r="G1216" s="13">
        <f>IF(C1216="","",IF(OR(IF(AND(LEFT(F1216,1)="(",RIGHT(F1216,1)=")"),MID(F1216,2,LEN(F1216)-2),F1216)="",IF(AND(LEFT(F1216,1)="(",RIGHT(F1216,1)=")"),MID(F1216,2,LEN(F1216)-2),F1216)="-"),0,IFERROR(VALUE(IF(AND(LEFT(F1216,1)="(",RIGHT(F1216,1)=")"),MID(F1216,2,LEN(F1216)-2),F1216))*IF(AND(LEFT(F1216,1)="(",RIGHT(F1216,1)=")"),-1,1)*IF(E1216="Cr",Setup!$B$6,1),"ERR")))</f>
        <v/>
      </c>
      <c r="H1216" s="6">
        <f>IF(C1216="","",IF(ISNUMBER(G1216),1,0))</f>
        <v/>
      </c>
      <c r="I1216" s="6">
        <f>IF(C1216="","",IF(SUMPRODUCT(($C$12:$C$1511=C1216)*1)&gt;1,1,0))</f>
        <v/>
      </c>
      <c r="J1216" s="6">
        <f>IF(C1216="","",SUMPRODUCT((Mapping!$F$5:$F$504=Setup!$B$4&amp;"||"&amp;C1216)*ROW(Mapping!$F$5:$F$504)))</f>
        <v/>
      </c>
      <c r="K1216" s="6">
        <f>IF(C1216="","",IF(J1216=0,"UNMAPPED",LOWER(INDEX(Mapping!$D$1:$D$504,J1216))))</f>
        <v/>
      </c>
      <c r="L1216" s="6">
        <f>IF(K1216="mapped",TRIM(INDEX(Mapping!$C$1:$C$504,J1216)),"")</f>
        <v/>
      </c>
      <c r="M1216" s="6">
        <f>IF(C1216="","",IF(SUMPRODUCT(($C$12:C1216=C1216)*1)=1,1,0))</f>
        <v/>
      </c>
      <c r="N1216" s="6">
        <f>IF(AND(K1216="UNMAPPED",M1216=1),ROW(),"")</f>
        <v/>
      </c>
      <c r="O1216" s="6">
        <f>IF(AND(I1216=1,M1216=1),ROW(),"")</f>
        <v/>
      </c>
      <c r="P1216" s="6">
        <f>IF(AND(K1216="ignored",M1216=1),ROW(),"")</f>
        <v/>
      </c>
    </row>
    <row r="1217">
      <c r="A1217" s="8" t="n"/>
      <c r="B1217" s="8" t="n"/>
      <c r="C1217" s="6">
        <f>TRIM(A1217&amp;"")</f>
        <v/>
      </c>
      <c r="D1217" s="6">
        <f>IF(C1217="","",SUBSTITUTE(SUBSTITUTE(SUBSTITUTE(SUBSTITUTE(SUBSTITUTE(SUBSTITUTE(SUBSTITUTE(UPPER(TRIM(B1217&amp;"")),"₹",""),"RS.",""),"RS",""),"INR",""),"$",""),",","")," ",""))</f>
        <v/>
      </c>
      <c r="E1217" s="6">
        <f>IF(C1217="","",IF(RIGHT(D1217,2)="CR","Cr",IF(RIGHT(D1217,2)="DR","Dr","")))</f>
        <v/>
      </c>
      <c r="F1217" s="6">
        <f>IF(C1217="","",IF(E1217&lt;&gt;"",LEFT(D1217,LEN(D1217)-2),D1217))</f>
        <v/>
      </c>
      <c r="G1217" s="13">
        <f>IF(C1217="","",IF(OR(IF(AND(LEFT(F1217,1)="(",RIGHT(F1217,1)=")"),MID(F1217,2,LEN(F1217)-2),F1217)="",IF(AND(LEFT(F1217,1)="(",RIGHT(F1217,1)=")"),MID(F1217,2,LEN(F1217)-2),F1217)="-"),0,IFERROR(VALUE(IF(AND(LEFT(F1217,1)="(",RIGHT(F1217,1)=")"),MID(F1217,2,LEN(F1217)-2),F1217))*IF(AND(LEFT(F1217,1)="(",RIGHT(F1217,1)=")"),-1,1)*IF(E1217="Cr",Setup!$B$6,1),"ERR")))</f>
        <v/>
      </c>
      <c r="H1217" s="6">
        <f>IF(C1217="","",IF(ISNUMBER(G1217),1,0))</f>
        <v/>
      </c>
      <c r="I1217" s="6">
        <f>IF(C1217="","",IF(SUMPRODUCT(($C$12:$C$1511=C1217)*1)&gt;1,1,0))</f>
        <v/>
      </c>
      <c r="J1217" s="6">
        <f>IF(C1217="","",SUMPRODUCT((Mapping!$F$5:$F$504=Setup!$B$4&amp;"||"&amp;C1217)*ROW(Mapping!$F$5:$F$504)))</f>
        <v/>
      </c>
      <c r="K1217" s="6">
        <f>IF(C1217="","",IF(J1217=0,"UNMAPPED",LOWER(INDEX(Mapping!$D$1:$D$504,J1217))))</f>
        <v/>
      </c>
      <c r="L1217" s="6">
        <f>IF(K1217="mapped",TRIM(INDEX(Mapping!$C$1:$C$504,J1217)),"")</f>
        <v/>
      </c>
      <c r="M1217" s="6">
        <f>IF(C1217="","",IF(SUMPRODUCT(($C$12:C1217=C1217)*1)=1,1,0))</f>
        <v/>
      </c>
      <c r="N1217" s="6">
        <f>IF(AND(K1217="UNMAPPED",M1217=1),ROW(),"")</f>
        <v/>
      </c>
      <c r="O1217" s="6">
        <f>IF(AND(I1217=1,M1217=1),ROW(),"")</f>
        <v/>
      </c>
      <c r="P1217" s="6">
        <f>IF(AND(K1217="ignored",M1217=1),ROW(),"")</f>
        <v/>
      </c>
    </row>
    <row r="1218">
      <c r="A1218" s="8" t="n"/>
      <c r="B1218" s="8" t="n"/>
      <c r="C1218" s="6">
        <f>TRIM(A1218&amp;"")</f>
        <v/>
      </c>
      <c r="D1218" s="6">
        <f>IF(C1218="","",SUBSTITUTE(SUBSTITUTE(SUBSTITUTE(SUBSTITUTE(SUBSTITUTE(SUBSTITUTE(SUBSTITUTE(UPPER(TRIM(B1218&amp;"")),"₹",""),"RS.",""),"RS",""),"INR",""),"$",""),",","")," ",""))</f>
        <v/>
      </c>
      <c r="E1218" s="6">
        <f>IF(C1218="","",IF(RIGHT(D1218,2)="CR","Cr",IF(RIGHT(D1218,2)="DR","Dr","")))</f>
        <v/>
      </c>
      <c r="F1218" s="6">
        <f>IF(C1218="","",IF(E1218&lt;&gt;"",LEFT(D1218,LEN(D1218)-2),D1218))</f>
        <v/>
      </c>
      <c r="G1218" s="13">
        <f>IF(C1218="","",IF(OR(IF(AND(LEFT(F1218,1)="(",RIGHT(F1218,1)=")"),MID(F1218,2,LEN(F1218)-2),F1218)="",IF(AND(LEFT(F1218,1)="(",RIGHT(F1218,1)=")"),MID(F1218,2,LEN(F1218)-2),F1218)="-"),0,IFERROR(VALUE(IF(AND(LEFT(F1218,1)="(",RIGHT(F1218,1)=")"),MID(F1218,2,LEN(F1218)-2),F1218))*IF(AND(LEFT(F1218,1)="(",RIGHT(F1218,1)=")"),-1,1)*IF(E1218="Cr",Setup!$B$6,1),"ERR")))</f>
        <v/>
      </c>
      <c r="H1218" s="6">
        <f>IF(C1218="","",IF(ISNUMBER(G1218),1,0))</f>
        <v/>
      </c>
      <c r="I1218" s="6">
        <f>IF(C1218="","",IF(SUMPRODUCT(($C$12:$C$1511=C1218)*1)&gt;1,1,0))</f>
        <v/>
      </c>
      <c r="J1218" s="6">
        <f>IF(C1218="","",SUMPRODUCT((Mapping!$F$5:$F$504=Setup!$B$4&amp;"||"&amp;C1218)*ROW(Mapping!$F$5:$F$504)))</f>
        <v/>
      </c>
      <c r="K1218" s="6">
        <f>IF(C1218="","",IF(J1218=0,"UNMAPPED",LOWER(INDEX(Mapping!$D$1:$D$504,J1218))))</f>
        <v/>
      </c>
      <c r="L1218" s="6">
        <f>IF(K1218="mapped",TRIM(INDEX(Mapping!$C$1:$C$504,J1218)),"")</f>
        <v/>
      </c>
      <c r="M1218" s="6">
        <f>IF(C1218="","",IF(SUMPRODUCT(($C$12:C1218=C1218)*1)=1,1,0))</f>
        <v/>
      </c>
      <c r="N1218" s="6">
        <f>IF(AND(K1218="UNMAPPED",M1218=1),ROW(),"")</f>
        <v/>
      </c>
      <c r="O1218" s="6">
        <f>IF(AND(I1218=1,M1218=1),ROW(),"")</f>
        <v/>
      </c>
      <c r="P1218" s="6">
        <f>IF(AND(K1218="ignored",M1218=1),ROW(),"")</f>
        <v/>
      </c>
    </row>
    <row r="1219">
      <c r="A1219" s="8" t="n"/>
      <c r="B1219" s="8" t="n"/>
      <c r="C1219" s="6">
        <f>TRIM(A1219&amp;"")</f>
        <v/>
      </c>
      <c r="D1219" s="6">
        <f>IF(C1219="","",SUBSTITUTE(SUBSTITUTE(SUBSTITUTE(SUBSTITUTE(SUBSTITUTE(SUBSTITUTE(SUBSTITUTE(UPPER(TRIM(B1219&amp;"")),"₹",""),"RS.",""),"RS",""),"INR",""),"$",""),",","")," ",""))</f>
        <v/>
      </c>
      <c r="E1219" s="6">
        <f>IF(C1219="","",IF(RIGHT(D1219,2)="CR","Cr",IF(RIGHT(D1219,2)="DR","Dr","")))</f>
        <v/>
      </c>
      <c r="F1219" s="6">
        <f>IF(C1219="","",IF(E1219&lt;&gt;"",LEFT(D1219,LEN(D1219)-2),D1219))</f>
        <v/>
      </c>
      <c r="G1219" s="13">
        <f>IF(C1219="","",IF(OR(IF(AND(LEFT(F1219,1)="(",RIGHT(F1219,1)=")"),MID(F1219,2,LEN(F1219)-2),F1219)="",IF(AND(LEFT(F1219,1)="(",RIGHT(F1219,1)=")"),MID(F1219,2,LEN(F1219)-2),F1219)="-"),0,IFERROR(VALUE(IF(AND(LEFT(F1219,1)="(",RIGHT(F1219,1)=")"),MID(F1219,2,LEN(F1219)-2),F1219))*IF(AND(LEFT(F1219,1)="(",RIGHT(F1219,1)=")"),-1,1)*IF(E1219="Cr",Setup!$B$6,1),"ERR")))</f>
        <v/>
      </c>
      <c r="H1219" s="6">
        <f>IF(C1219="","",IF(ISNUMBER(G1219),1,0))</f>
        <v/>
      </c>
      <c r="I1219" s="6">
        <f>IF(C1219="","",IF(SUMPRODUCT(($C$12:$C$1511=C1219)*1)&gt;1,1,0))</f>
        <v/>
      </c>
      <c r="J1219" s="6">
        <f>IF(C1219="","",SUMPRODUCT((Mapping!$F$5:$F$504=Setup!$B$4&amp;"||"&amp;C1219)*ROW(Mapping!$F$5:$F$504)))</f>
        <v/>
      </c>
      <c r="K1219" s="6">
        <f>IF(C1219="","",IF(J1219=0,"UNMAPPED",LOWER(INDEX(Mapping!$D$1:$D$504,J1219))))</f>
        <v/>
      </c>
      <c r="L1219" s="6">
        <f>IF(K1219="mapped",TRIM(INDEX(Mapping!$C$1:$C$504,J1219)),"")</f>
        <v/>
      </c>
      <c r="M1219" s="6">
        <f>IF(C1219="","",IF(SUMPRODUCT(($C$12:C1219=C1219)*1)=1,1,0))</f>
        <v/>
      </c>
      <c r="N1219" s="6">
        <f>IF(AND(K1219="UNMAPPED",M1219=1),ROW(),"")</f>
        <v/>
      </c>
      <c r="O1219" s="6">
        <f>IF(AND(I1219=1,M1219=1),ROW(),"")</f>
        <v/>
      </c>
      <c r="P1219" s="6">
        <f>IF(AND(K1219="ignored",M1219=1),ROW(),"")</f>
        <v/>
      </c>
    </row>
    <row r="1220">
      <c r="A1220" s="8" t="n"/>
      <c r="B1220" s="8" t="n"/>
      <c r="C1220" s="6">
        <f>TRIM(A1220&amp;"")</f>
        <v/>
      </c>
      <c r="D1220" s="6">
        <f>IF(C1220="","",SUBSTITUTE(SUBSTITUTE(SUBSTITUTE(SUBSTITUTE(SUBSTITUTE(SUBSTITUTE(SUBSTITUTE(UPPER(TRIM(B1220&amp;"")),"₹",""),"RS.",""),"RS",""),"INR",""),"$",""),",","")," ",""))</f>
        <v/>
      </c>
      <c r="E1220" s="6">
        <f>IF(C1220="","",IF(RIGHT(D1220,2)="CR","Cr",IF(RIGHT(D1220,2)="DR","Dr","")))</f>
        <v/>
      </c>
      <c r="F1220" s="6">
        <f>IF(C1220="","",IF(E1220&lt;&gt;"",LEFT(D1220,LEN(D1220)-2),D1220))</f>
        <v/>
      </c>
      <c r="G1220" s="13">
        <f>IF(C1220="","",IF(OR(IF(AND(LEFT(F1220,1)="(",RIGHT(F1220,1)=")"),MID(F1220,2,LEN(F1220)-2),F1220)="",IF(AND(LEFT(F1220,1)="(",RIGHT(F1220,1)=")"),MID(F1220,2,LEN(F1220)-2),F1220)="-"),0,IFERROR(VALUE(IF(AND(LEFT(F1220,1)="(",RIGHT(F1220,1)=")"),MID(F1220,2,LEN(F1220)-2),F1220))*IF(AND(LEFT(F1220,1)="(",RIGHT(F1220,1)=")"),-1,1)*IF(E1220="Cr",Setup!$B$6,1),"ERR")))</f>
        <v/>
      </c>
      <c r="H1220" s="6">
        <f>IF(C1220="","",IF(ISNUMBER(G1220),1,0))</f>
        <v/>
      </c>
      <c r="I1220" s="6">
        <f>IF(C1220="","",IF(SUMPRODUCT(($C$12:$C$1511=C1220)*1)&gt;1,1,0))</f>
        <v/>
      </c>
      <c r="J1220" s="6">
        <f>IF(C1220="","",SUMPRODUCT((Mapping!$F$5:$F$504=Setup!$B$4&amp;"||"&amp;C1220)*ROW(Mapping!$F$5:$F$504)))</f>
        <v/>
      </c>
      <c r="K1220" s="6">
        <f>IF(C1220="","",IF(J1220=0,"UNMAPPED",LOWER(INDEX(Mapping!$D$1:$D$504,J1220))))</f>
        <v/>
      </c>
      <c r="L1220" s="6">
        <f>IF(K1220="mapped",TRIM(INDEX(Mapping!$C$1:$C$504,J1220)),"")</f>
        <v/>
      </c>
      <c r="M1220" s="6">
        <f>IF(C1220="","",IF(SUMPRODUCT(($C$12:C1220=C1220)*1)=1,1,0))</f>
        <v/>
      </c>
      <c r="N1220" s="6">
        <f>IF(AND(K1220="UNMAPPED",M1220=1),ROW(),"")</f>
        <v/>
      </c>
      <c r="O1220" s="6">
        <f>IF(AND(I1220=1,M1220=1),ROW(),"")</f>
        <v/>
      </c>
      <c r="P1220" s="6">
        <f>IF(AND(K1220="ignored",M1220=1),ROW(),"")</f>
        <v/>
      </c>
    </row>
    <row r="1221">
      <c r="A1221" s="8" t="n"/>
      <c r="B1221" s="8" t="n"/>
      <c r="C1221" s="6">
        <f>TRIM(A1221&amp;"")</f>
        <v/>
      </c>
      <c r="D1221" s="6">
        <f>IF(C1221="","",SUBSTITUTE(SUBSTITUTE(SUBSTITUTE(SUBSTITUTE(SUBSTITUTE(SUBSTITUTE(SUBSTITUTE(UPPER(TRIM(B1221&amp;"")),"₹",""),"RS.",""),"RS",""),"INR",""),"$",""),",","")," ",""))</f>
        <v/>
      </c>
      <c r="E1221" s="6">
        <f>IF(C1221="","",IF(RIGHT(D1221,2)="CR","Cr",IF(RIGHT(D1221,2)="DR","Dr","")))</f>
        <v/>
      </c>
      <c r="F1221" s="6">
        <f>IF(C1221="","",IF(E1221&lt;&gt;"",LEFT(D1221,LEN(D1221)-2),D1221))</f>
        <v/>
      </c>
      <c r="G1221" s="13">
        <f>IF(C1221="","",IF(OR(IF(AND(LEFT(F1221,1)="(",RIGHT(F1221,1)=")"),MID(F1221,2,LEN(F1221)-2),F1221)="",IF(AND(LEFT(F1221,1)="(",RIGHT(F1221,1)=")"),MID(F1221,2,LEN(F1221)-2),F1221)="-"),0,IFERROR(VALUE(IF(AND(LEFT(F1221,1)="(",RIGHT(F1221,1)=")"),MID(F1221,2,LEN(F1221)-2),F1221))*IF(AND(LEFT(F1221,1)="(",RIGHT(F1221,1)=")"),-1,1)*IF(E1221="Cr",Setup!$B$6,1),"ERR")))</f>
        <v/>
      </c>
      <c r="H1221" s="6">
        <f>IF(C1221="","",IF(ISNUMBER(G1221),1,0))</f>
        <v/>
      </c>
      <c r="I1221" s="6">
        <f>IF(C1221="","",IF(SUMPRODUCT(($C$12:$C$1511=C1221)*1)&gt;1,1,0))</f>
        <v/>
      </c>
      <c r="J1221" s="6">
        <f>IF(C1221="","",SUMPRODUCT((Mapping!$F$5:$F$504=Setup!$B$4&amp;"||"&amp;C1221)*ROW(Mapping!$F$5:$F$504)))</f>
        <v/>
      </c>
      <c r="K1221" s="6">
        <f>IF(C1221="","",IF(J1221=0,"UNMAPPED",LOWER(INDEX(Mapping!$D$1:$D$504,J1221))))</f>
        <v/>
      </c>
      <c r="L1221" s="6">
        <f>IF(K1221="mapped",TRIM(INDEX(Mapping!$C$1:$C$504,J1221)),"")</f>
        <v/>
      </c>
      <c r="M1221" s="6">
        <f>IF(C1221="","",IF(SUMPRODUCT(($C$12:C1221=C1221)*1)=1,1,0))</f>
        <v/>
      </c>
      <c r="N1221" s="6">
        <f>IF(AND(K1221="UNMAPPED",M1221=1),ROW(),"")</f>
        <v/>
      </c>
      <c r="O1221" s="6">
        <f>IF(AND(I1221=1,M1221=1),ROW(),"")</f>
        <v/>
      </c>
      <c r="P1221" s="6">
        <f>IF(AND(K1221="ignored",M1221=1),ROW(),"")</f>
        <v/>
      </c>
    </row>
    <row r="1222">
      <c r="A1222" s="8" t="n"/>
      <c r="B1222" s="8" t="n"/>
      <c r="C1222" s="6">
        <f>TRIM(A1222&amp;"")</f>
        <v/>
      </c>
      <c r="D1222" s="6">
        <f>IF(C1222="","",SUBSTITUTE(SUBSTITUTE(SUBSTITUTE(SUBSTITUTE(SUBSTITUTE(SUBSTITUTE(SUBSTITUTE(UPPER(TRIM(B1222&amp;"")),"₹",""),"RS.",""),"RS",""),"INR",""),"$",""),",","")," ",""))</f>
        <v/>
      </c>
      <c r="E1222" s="6">
        <f>IF(C1222="","",IF(RIGHT(D1222,2)="CR","Cr",IF(RIGHT(D1222,2)="DR","Dr","")))</f>
        <v/>
      </c>
      <c r="F1222" s="6">
        <f>IF(C1222="","",IF(E1222&lt;&gt;"",LEFT(D1222,LEN(D1222)-2),D1222))</f>
        <v/>
      </c>
      <c r="G1222" s="13">
        <f>IF(C1222="","",IF(OR(IF(AND(LEFT(F1222,1)="(",RIGHT(F1222,1)=")"),MID(F1222,2,LEN(F1222)-2),F1222)="",IF(AND(LEFT(F1222,1)="(",RIGHT(F1222,1)=")"),MID(F1222,2,LEN(F1222)-2),F1222)="-"),0,IFERROR(VALUE(IF(AND(LEFT(F1222,1)="(",RIGHT(F1222,1)=")"),MID(F1222,2,LEN(F1222)-2),F1222))*IF(AND(LEFT(F1222,1)="(",RIGHT(F1222,1)=")"),-1,1)*IF(E1222="Cr",Setup!$B$6,1),"ERR")))</f>
        <v/>
      </c>
      <c r="H1222" s="6">
        <f>IF(C1222="","",IF(ISNUMBER(G1222),1,0))</f>
        <v/>
      </c>
      <c r="I1222" s="6">
        <f>IF(C1222="","",IF(SUMPRODUCT(($C$12:$C$1511=C1222)*1)&gt;1,1,0))</f>
        <v/>
      </c>
      <c r="J1222" s="6">
        <f>IF(C1222="","",SUMPRODUCT((Mapping!$F$5:$F$504=Setup!$B$4&amp;"||"&amp;C1222)*ROW(Mapping!$F$5:$F$504)))</f>
        <v/>
      </c>
      <c r="K1222" s="6">
        <f>IF(C1222="","",IF(J1222=0,"UNMAPPED",LOWER(INDEX(Mapping!$D$1:$D$504,J1222))))</f>
        <v/>
      </c>
      <c r="L1222" s="6">
        <f>IF(K1222="mapped",TRIM(INDEX(Mapping!$C$1:$C$504,J1222)),"")</f>
        <v/>
      </c>
      <c r="M1222" s="6">
        <f>IF(C1222="","",IF(SUMPRODUCT(($C$12:C1222=C1222)*1)=1,1,0))</f>
        <v/>
      </c>
      <c r="N1222" s="6">
        <f>IF(AND(K1222="UNMAPPED",M1222=1),ROW(),"")</f>
        <v/>
      </c>
      <c r="O1222" s="6">
        <f>IF(AND(I1222=1,M1222=1),ROW(),"")</f>
        <v/>
      </c>
      <c r="P1222" s="6">
        <f>IF(AND(K1222="ignored",M1222=1),ROW(),"")</f>
        <v/>
      </c>
    </row>
    <row r="1223">
      <c r="A1223" s="8" t="n"/>
      <c r="B1223" s="8" t="n"/>
      <c r="C1223" s="6">
        <f>TRIM(A1223&amp;"")</f>
        <v/>
      </c>
      <c r="D1223" s="6">
        <f>IF(C1223="","",SUBSTITUTE(SUBSTITUTE(SUBSTITUTE(SUBSTITUTE(SUBSTITUTE(SUBSTITUTE(SUBSTITUTE(UPPER(TRIM(B1223&amp;"")),"₹",""),"RS.",""),"RS",""),"INR",""),"$",""),",","")," ",""))</f>
        <v/>
      </c>
      <c r="E1223" s="6">
        <f>IF(C1223="","",IF(RIGHT(D1223,2)="CR","Cr",IF(RIGHT(D1223,2)="DR","Dr","")))</f>
        <v/>
      </c>
      <c r="F1223" s="6">
        <f>IF(C1223="","",IF(E1223&lt;&gt;"",LEFT(D1223,LEN(D1223)-2),D1223))</f>
        <v/>
      </c>
      <c r="G1223" s="13">
        <f>IF(C1223="","",IF(OR(IF(AND(LEFT(F1223,1)="(",RIGHT(F1223,1)=")"),MID(F1223,2,LEN(F1223)-2),F1223)="",IF(AND(LEFT(F1223,1)="(",RIGHT(F1223,1)=")"),MID(F1223,2,LEN(F1223)-2),F1223)="-"),0,IFERROR(VALUE(IF(AND(LEFT(F1223,1)="(",RIGHT(F1223,1)=")"),MID(F1223,2,LEN(F1223)-2),F1223))*IF(AND(LEFT(F1223,1)="(",RIGHT(F1223,1)=")"),-1,1)*IF(E1223="Cr",Setup!$B$6,1),"ERR")))</f>
        <v/>
      </c>
      <c r="H1223" s="6">
        <f>IF(C1223="","",IF(ISNUMBER(G1223),1,0))</f>
        <v/>
      </c>
      <c r="I1223" s="6">
        <f>IF(C1223="","",IF(SUMPRODUCT(($C$12:$C$1511=C1223)*1)&gt;1,1,0))</f>
        <v/>
      </c>
      <c r="J1223" s="6">
        <f>IF(C1223="","",SUMPRODUCT((Mapping!$F$5:$F$504=Setup!$B$4&amp;"||"&amp;C1223)*ROW(Mapping!$F$5:$F$504)))</f>
        <v/>
      </c>
      <c r="K1223" s="6">
        <f>IF(C1223="","",IF(J1223=0,"UNMAPPED",LOWER(INDEX(Mapping!$D$1:$D$504,J1223))))</f>
        <v/>
      </c>
      <c r="L1223" s="6">
        <f>IF(K1223="mapped",TRIM(INDEX(Mapping!$C$1:$C$504,J1223)),"")</f>
        <v/>
      </c>
      <c r="M1223" s="6">
        <f>IF(C1223="","",IF(SUMPRODUCT(($C$12:C1223=C1223)*1)=1,1,0))</f>
        <v/>
      </c>
      <c r="N1223" s="6">
        <f>IF(AND(K1223="UNMAPPED",M1223=1),ROW(),"")</f>
        <v/>
      </c>
      <c r="O1223" s="6">
        <f>IF(AND(I1223=1,M1223=1),ROW(),"")</f>
        <v/>
      </c>
      <c r="P1223" s="6">
        <f>IF(AND(K1223="ignored",M1223=1),ROW(),"")</f>
        <v/>
      </c>
    </row>
    <row r="1224">
      <c r="A1224" s="8" t="n"/>
      <c r="B1224" s="8" t="n"/>
      <c r="C1224" s="6">
        <f>TRIM(A1224&amp;"")</f>
        <v/>
      </c>
      <c r="D1224" s="6">
        <f>IF(C1224="","",SUBSTITUTE(SUBSTITUTE(SUBSTITUTE(SUBSTITUTE(SUBSTITUTE(SUBSTITUTE(SUBSTITUTE(UPPER(TRIM(B1224&amp;"")),"₹",""),"RS.",""),"RS",""),"INR",""),"$",""),",","")," ",""))</f>
        <v/>
      </c>
      <c r="E1224" s="6">
        <f>IF(C1224="","",IF(RIGHT(D1224,2)="CR","Cr",IF(RIGHT(D1224,2)="DR","Dr","")))</f>
        <v/>
      </c>
      <c r="F1224" s="6">
        <f>IF(C1224="","",IF(E1224&lt;&gt;"",LEFT(D1224,LEN(D1224)-2),D1224))</f>
        <v/>
      </c>
      <c r="G1224" s="13">
        <f>IF(C1224="","",IF(OR(IF(AND(LEFT(F1224,1)="(",RIGHT(F1224,1)=")"),MID(F1224,2,LEN(F1224)-2),F1224)="",IF(AND(LEFT(F1224,1)="(",RIGHT(F1224,1)=")"),MID(F1224,2,LEN(F1224)-2),F1224)="-"),0,IFERROR(VALUE(IF(AND(LEFT(F1224,1)="(",RIGHT(F1224,1)=")"),MID(F1224,2,LEN(F1224)-2),F1224))*IF(AND(LEFT(F1224,1)="(",RIGHT(F1224,1)=")"),-1,1)*IF(E1224="Cr",Setup!$B$6,1),"ERR")))</f>
        <v/>
      </c>
      <c r="H1224" s="6">
        <f>IF(C1224="","",IF(ISNUMBER(G1224),1,0))</f>
        <v/>
      </c>
      <c r="I1224" s="6">
        <f>IF(C1224="","",IF(SUMPRODUCT(($C$12:$C$1511=C1224)*1)&gt;1,1,0))</f>
        <v/>
      </c>
      <c r="J1224" s="6">
        <f>IF(C1224="","",SUMPRODUCT((Mapping!$F$5:$F$504=Setup!$B$4&amp;"||"&amp;C1224)*ROW(Mapping!$F$5:$F$504)))</f>
        <v/>
      </c>
      <c r="K1224" s="6">
        <f>IF(C1224="","",IF(J1224=0,"UNMAPPED",LOWER(INDEX(Mapping!$D$1:$D$504,J1224))))</f>
        <v/>
      </c>
      <c r="L1224" s="6">
        <f>IF(K1224="mapped",TRIM(INDEX(Mapping!$C$1:$C$504,J1224)),"")</f>
        <v/>
      </c>
      <c r="M1224" s="6">
        <f>IF(C1224="","",IF(SUMPRODUCT(($C$12:C1224=C1224)*1)=1,1,0))</f>
        <v/>
      </c>
      <c r="N1224" s="6">
        <f>IF(AND(K1224="UNMAPPED",M1224=1),ROW(),"")</f>
        <v/>
      </c>
      <c r="O1224" s="6">
        <f>IF(AND(I1224=1,M1224=1),ROW(),"")</f>
        <v/>
      </c>
      <c r="P1224" s="6">
        <f>IF(AND(K1224="ignored",M1224=1),ROW(),"")</f>
        <v/>
      </c>
    </row>
    <row r="1225">
      <c r="A1225" s="8" t="n"/>
      <c r="B1225" s="8" t="n"/>
      <c r="C1225" s="6">
        <f>TRIM(A1225&amp;"")</f>
        <v/>
      </c>
      <c r="D1225" s="6">
        <f>IF(C1225="","",SUBSTITUTE(SUBSTITUTE(SUBSTITUTE(SUBSTITUTE(SUBSTITUTE(SUBSTITUTE(SUBSTITUTE(UPPER(TRIM(B1225&amp;"")),"₹",""),"RS.",""),"RS",""),"INR",""),"$",""),",","")," ",""))</f>
        <v/>
      </c>
      <c r="E1225" s="6">
        <f>IF(C1225="","",IF(RIGHT(D1225,2)="CR","Cr",IF(RIGHT(D1225,2)="DR","Dr","")))</f>
        <v/>
      </c>
      <c r="F1225" s="6">
        <f>IF(C1225="","",IF(E1225&lt;&gt;"",LEFT(D1225,LEN(D1225)-2),D1225))</f>
        <v/>
      </c>
      <c r="G1225" s="13">
        <f>IF(C1225="","",IF(OR(IF(AND(LEFT(F1225,1)="(",RIGHT(F1225,1)=")"),MID(F1225,2,LEN(F1225)-2),F1225)="",IF(AND(LEFT(F1225,1)="(",RIGHT(F1225,1)=")"),MID(F1225,2,LEN(F1225)-2),F1225)="-"),0,IFERROR(VALUE(IF(AND(LEFT(F1225,1)="(",RIGHT(F1225,1)=")"),MID(F1225,2,LEN(F1225)-2),F1225))*IF(AND(LEFT(F1225,1)="(",RIGHT(F1225,1)=")"),-1,1)*IF(E1225="Cr",Setup!$B$6,1),"ERR")))</f>
        <v/>
      </c>
      <c r="H1225" s="6">
        <f>IF(C1225="","",IF(ISNUMBER(G1225),1,0))</f>
        <v/>
      </c>
      <c r="I1225" s="6">
        <f>IF(C1225="","",IF(SUMPRODUCT(($C$12:$C$1511=C1225)*1)&gt;1,1,0))</f>
        <v/>
      </c>
      <c r="J1225" s="6">
        <f>IF(C1225="","",SUMPRODUCT((Mapping!$F$5:$F$504=Setup!$B$4&amp;"||"&amp;C1225)*ROW(Mapping!$F$5:$F$504)))</f>
        <v/>
      </c>
      <c r="K1225" s="6">
        <f>IF(C1225="","",IF(J1225=0,"UNMAPPED",LOWER(INDEX(Mapping!$D$1:$D$504,J1225))))</f>
        <v/>
      </c>
      <c r="L1225" s="6">
        <f>IF(K1225="mapped",TRIM(INDEX(Mapping!$C$1:$C$504,J1225)),"")</f>
        <v/>
      </c>
      <c r="M1225" s="6">
        <f>IF(C1225="","",IF(SUMPRODUCT(($C$12:C1225=C1225)*1)=1,1,0))</f>
        <v/>
      </c>
      <c r="N1225" s="6">
        <f>IF(AND(K1225="UNMAPPED",M1225=1),ROW(),"")</f>
        <v/>
      </c>
      <c r="O1225" s="6">
        <f>IF(AND(I1225=1,M1225=1),ROW(),"")</f>
        <v/>
      </c>
      <c r="P1225" s="6">
        <f>IF(AND(K1225="ignored",M1225=1),ROW(),"")</f>
        <v/>
      </c>
    </row>
    <row r="1226">
      <c r="A1226" s="8" t="n"/>
      <c r="B1226" s="8" t="n"/>
      <c r="C1226" s="6">
        <f>TRIM(A1226&amp;"")</f>
        <v/>
      </c>
      <c r="D1226" s="6">
        <f>IF(C1226="","",SUBSTITUTE(SUBSTITUTE(SUBSTITUTE(SUBSTITUTE(SUBSTITUTE(SUBSTITUTE(SUBSTITUTE(UPPER(TRIM(B1226&amp;"")),"₹",""),"RS.",""),"RS",""),"INR",""),"$",""),",","")," ",""))</f>
        <v/>
      </c>
      <c r="E1226" s="6">
        <f>IF(C1226="","",IF(RIGHT(D1226,2)="CR","Cr",IF(RIGHT(D1226,2)="DR","Dr","")))</f>
        <v/>
      </c>
      <c r="F1226" s="6">
        <f>IF(C1226="","",IF(E1226&lt;&gt;"",LEFT(D1226,LEN(D1226)-2),D1226))</f>
        <v/>
      </c>
      <c r="G1226" s="13">
        <f>IF(C1226="","",IF(OR(IF(AND(LEFT(F1226,1)="(",RIGHT(F1226,1)=")"),MID(F1226,2,LEN(F1226)-2),F1226)="",IF(AND(LEFT(F1226,1)="(",RIGHT(F1226,1)=")"),MID(F1226,2,LEN(F1226)-2),F1226)="-"),0,IFERROR(VALUE(IF(AND(LEFT(F1226,1)="(",RIGHT(F1226,1)=")"),MID(F1226,2,LEN(F1226)-2),F1226))*IF(AND(LEFT(F1226,1)="(",RIGHT(F1226,1)=")"),-1,1)*IF(E1226="Cr",Setup!$B$6,1),"ERR")))</f>
        <v/>
      </c>
      <c r="H1226" s="6">
        <f>IF(C1226="","",IF(ISNUMBER(G1226),1,0))</f>
        <v/>
      </c>
      <c r="I1226" s="6">
        <f>IF(C1226="","",IF(SUMPRODUCT(($C$12:$C$1511=C1226)*1)&gt;1,1,0))</f>
        <v/>
      </c>
      <c r="J1226" s="6">
        <f>IF(C1226="","",SUMPRODUCT((Mapping!$F$5:$F$504=Setup!$B$4&amp;"||"&amp;C1226)*ROW(Mapping!$F$5:$F$504)))</f>
        <v/>
      </c>
      <c r="K1226" s="6">
        <f>IF(C1226="","",IF(J1226=0,"UNMAPPED",LOWER(INDEX(Mapping!$D$1:$D$504,J1226))))</f>
        <v/>
      </c>
      <c r="L1226" s="6">
        <f>IF(K1226="mapped",TRIM(INDEX(Mapping!$C$1:$C$504,J1226)),"")</f>
        <v/>
      </c>
      <c r="M1226" s="6">
        <f>IF(C1226="","",IF(SUMPRODUCT(($C$12:C1226=C1226)*1)=1,1,0))</f>
        <v/>
      </c>
      <c r="N1226" s="6">
        <f>IF(AND(K1226="UNMAPPED",M1226=1),ROW(),"")</f>
        <v/>
      </c>
      <c r="O1226" s="6">
        <f>IF(AND(I1226=1,M1226=1),ROW(),"")</f>
        <v/>
      </c>
      <c r="P1226" s="6">
        <f>IF(AND(K1226="ignored",M1226=1),ROW(),"")</f>
        <v/>
      </c>
    </row>
    <row r="1227">
      <c r="A1227" s="8" t="n"/>
      <c r="B1227" s="8" t="n"/>
      <c r="C1227" s="6">
        <f>TRIM(A1227&amp;"")</f>
        <v/>
      </c>
      <c r="D1227" s="6">
        <f>IF(C1227="","",SUBSTITUTE(SUBSTITUTE(SUBSTITUTE(SUBSTITUTE(SUBSTITUTE(SUBSTITUTE(SUBSTITUTE(UPPER(TRIM(B1227&amp;"")),"₹",""),"RS.",""),"RS",""),"INR",""),"$",""),",","")," ",""))</f>
        <v/>
      </c>
      <c r="E1227" s="6">
        <f>IF(C1227="","",IF(RIGHT(D1227,2)="CR","Cr",IF(RIGHT(D1227,2)="DR","Dr","")))</f>
        <v/>
      </c>
      <c r="F1227" s="6">
        <f>IF(C1227="","",IF(E1227&lt;&gt;"",LEFT(D1227,LEN(D1227)-2),D1227))</f>
        <v/>
      </c>
      <c r="G1227" s="13">
        <f>IF(C1227="","",IF(OR(IF(AND(LEFT(F1227,1)="(",RIGHT(F1227,1)=")"),MID(F1227,2,LEN(F1227)-2),F1227)="",IF(AND(LEFT(F1227,1)="(",RIGHT(F1227,1)=")"),MID(F1227,2,LEN(F1227)-2),F1227)="-"),0,IFERROR(VALUE(IF(AND(LEFT(F1227,1)="(",RIGHT(F1227,1)=")"),MID(F1227,2,LEN(F1227)-2),F1227))*IF(AND(LEFT(F1227,1)="(",RIGHT(F1227,1)=")"),-1,1)*IF(E1227="Cr",Setup!$B$6,1),"ERR")))</f>
        <v/>
      </c>
      <c r="H1227" s="6">
        <f>IF(C1227="","",IF(ISNUMBER(G1227),1,0))</f>
        <v/>
      </c>
      <c r="I1227" s="6">
        <f>IF(C1227="","",IF(SUMPRODUCT(($C$12:$C$1511=C1227)*1)&gt;1,1,0))</f>
        <v/>
      </c>
      <c r="J1227" s="6">
        <f>IF(C1227="","",SUMPRODUCT((Mapping!$F$5:$F$504=Setup!$B$4&amp;"||"&amp;C1227)*ROW(Mapping!$F$5:$F$504)))</f>
        <v/>
      </c>
      <c r="K1227" s="6">
        <f>IF(C1227="","",IF(J1227=0,"UNMAPPED",LOWER(INDEX(Mapping!$D$1:$D$504,J1227))))</f>
        <v/>
      </c>
      <c r="L1227" s="6">
        <f>IF(K1227="mapped",TRIM(INDEX(Mapping!$C$1:$C$504,J1227)),"")</f>
        <v/>
      </c>
      <c r="M1227" s="6">
        <f>IF(C1227="","",IF(SUMPRODUCT(($C$12:C1227=C1227)*1)=1,1,0))</f>
        <v/>
      </c>
      <c r="N1227" s="6">
        <f>IF(AND(K1227="UNMAPPED",M1227=1),ROW(),"")</f>
        <v/>
      </c>
      <c r="O1227" s="6">
        <f>IF(AND(I1227=1,M1227=1),ROW(),"")</f>
        <v/>
      </c>
      <c r="P1227" s="6">
        <f>IF(AND(K1227="ignored",M1227=1),ROW(),"")</f>
        <v/>
      </c>
    </row>
    <row r="1228">
      <c r="A1228" s="8" t="n"/>
      <c r="B1228" s="8" t="n"/>
      <c r="C1228" s="6">
        <f>TRIM(A1228&amp;"")</f>
        <v/>
      </c>
      <c r="D1228" s="6">
        <f>IF(C1228="","",SUBSTITUTE(SUBSTITUTE(SUBSTITUTE(SUBSTITUTE(SUBSTITUTE(SUBSTITUTE(SUBSTITUTE(UPPER(TRIM(B1228&amp;"")),"₹",""),"RS.",""),"RS",""),"INR",""),"$",""),",","")," ",""))</f>
        <v/>
      </c>
      <c r="E1228" s="6">
        <f>IF(C1228="","",IF(RIGHT(D1228,2)="CR","Cr",IF(RIGHT(D1228,2)="DR","Dr","")))</f>
        <v/>
      </c>
      <c r="F1228" s="6">
        <f>IF(C1228="","",IF(E1228&lt;&gt;"",LEFT(D1228,LEN(D1228)-2),D1228))</f>
        <v/>
      </c>
      <c r="G1228" s="13">
        <f>IF(C1228="","",IF(OR(IF(AND(LEFT(F1228,1)="(",RIGHT(F1228,1)=")"),MID(F1228,2,LEN(F1228)-2),F1228)="",IF(AND(LEFT(F1228,1)="(",RIGHT(F1228,1)=")"),MID(F1228,2,LEN(F1228)-2),F1228)="-"),0,IFERROR(VALUE(IF(AND(LEFT(F1228,1)="(",RIGHT(F1228,1)=")"),MID(F1228,2,LEN(F1228)-2),F1228))*IF(AND(LEFT(F1228,1)="(",RIGHT(F1228,1)=")"),-1,1)*IF(E1228="Cr",Setup!$B$6,1),"ERR")))</f>
        <v/>
      </c>
      <c r="H1228" s="6">
        <f>IF(C1228="","",IF(ISNUMBER(G1228),1,0))</f>
        <v/>
      </c>
      <c r="I1228" s="6">
        <f>IF(C1228="","",IF(SUMPRODUCT(($C$12:$C$1511=C1228)*1)&gt;1,1,0))</f>
        <v/>
      </c>
      <c r="J1228" s="6">
        <f>IF(C1228="","",SUMPRODUCT((Mapping!$F$5:$F$504=Setup!$B$4&amp;"||"&amp;C1228)*ROW(Mapping!$F$5:$F$504)))</f>
        <v/>
      </c>
      <c r="K1228" s="6">
        <f>IF(C1228="","",IF(J1228=0,"UNMAPPED",LOWER(INDEX(Mapping!$D$1:$D$504,J1228))))</f>
        <v/>
      </c>
      <c r="L1228" s="6">
        <f>IF(K1228="mapped",TRIM(INDEX(Mapping!$C$1:$C$504,J1228)),"")</f>
        <v/>
      </c>
      <c r="M1228" s="6">
        <f>IF(C1228="","",IF(SUMPRODUCT(($C$12:C1228=C1228)*1)=1,1,0))</f>
        <v/>
      </c>
      <c r="N1228" s="6">
        <f>IF(AND(K1228="UNMAPPED",M1228=1),ROW(),"")</f>
        <v/>
      </c>
      <c r="O1228" s="6">
        <f>IF(AND(I1228=1,M1228=1),ROW(),"")</f>
        <v/>
      </c>
      <c r="P1228" s="6">
        <f>IF(AND(K1228="ignored",M1228=1),ROW(),"")</f>
        <v/>
      </c>
    </row>
    <row r="1229">
      <c r="A1229" s="8" t="n"/>
      <c r="B1229" s="8" t="n"/>
      <c r="C1229" s="6">
        <f>TRIM(A1229&amp;"")</f>
        <v/>
      </c>
      <c r="D1229" s="6">
        <f>IF(C1229="","",SUBSTITUTE(SUBSTITUTE(SUBSTITUTE(SUBSTITUTE(SUBSTITUTE(SUBSTITUTE(SUBSTITUTE(UPPER(TRIM(B1229&amp;"")),"₹",""),"RS.",""),"RS",""),"INR",""),"$",""),",","")," ",""))</f>
        <v/>
      </c>
      <c r="E1229" s="6">
        <f>IF(C1229="","",IF(RIGHT(D1229,2)="CR","Cr",IF(RIGHT(D1229,2)="DR","Dr","")))</f>
        <v/>
      </c>
      <c r="F1229" s="6">
        <f>IF(C1229="","",IF(E1229&lt;&gt;"",LEFT(D1229,LEN(D1229)-2),D1229))</f>
        <v/>
      </c>
      <c r="G1229" s="13">
        <f>IF(C1229="","",IF(OR(IF(AND(LEFT(F1229,1)="(",RIGHT(F1229,1)=")"),MID(F1229,2,LEN(F1229)-2),F1229)="",IF(AND(LEFT(F1229,1)="(",RIGHT(F1229,1)=")"),MID(F1229,2,LEN(F1229)-2),F1229)="-"),0,IFERROR(VALUE(IF(AND(LEFT(F1229,1)="(",RIGHT(F1229,1)=")"),MID(F1229,2,LEN(F1229)-2),F1229))*IF(AND(LEFT(F1229,1)="(",RIGHT(F1229,1)=")"),-1,1)*IF(E1229="Cr",Setup!$B$6,1),"ERR")))</f>
        <v/>
      </c>
      <c r="H1229" s="6">
        <f>IF(C1229="","",IF(ISNUMBER(G1229),1,0))</f>
        <v/>
      </c>
      <c r="I1229" s="6">
        <f>IF(C1229="","",IF(SUMPRODUCT(($C$12:$C$1511=C1229)*1)&gt;1,1,0))</f>
        <v/>
      </c>
      <c r="J1229" s="6">
        <f>IF(C1229="","",SUMPRODUCT((Mapping!$F$5:$F$504=Setup!$B$4&amp;"||"&amp;C1229)*ROW(Mapping!$F$5:$F$504)))</f>
        <v/>
      </c>
      <c r="K1229" s="6">
        <f>IF(C1229="","",IF(J1229=0,"UNMAPPED",LOWER(INDEX(Mapping!$D$1:$D$504,J1229))))</f>
        <v/>
      </c>
      <c r="L1229" s="6">
        <f>IF(K1229="mapped",TRIM(INDEX(Mapping!$C$1:$C$504,J1229)),"")</f>
        <v/>
      </c>
      <c r="M1229" s="6">
        <f>IF(C1229="","",IF(SUMPRODUCT(($C$12:C1229=C1229)*1)=1,1,0))</f>
        <v/>
      </c>
      <c r="N1229" s="6">
        <f>IF(AND(K1229="UNMAPPED",M1229=1),ROW(),"")</f>
        <v/>
      </c>
      <c r="O1229" s="6">
        <f>IF(AND(I1229=1,M1229=1),ROW(),"")</f>
        <v/>
      </c>
      <c r="P1229" s="6">
        <f>IF(AND(K1229="ignored",M1229=1),ROW(),"")</f>
        <v/>
      </c>
    </row>
    <row r="1230">
      <c r="A1230" s="8" t="n"/>
      <c r="B1230" s="8" t="n"/>
      <c r="C1230" s="6">
        <f>TRIM(A1230&amp;"")</f>
        <v/>
      </c>
      <c r="D1230" s="6">
        <f>IF(C1230="","",SUBSTITUTE(SUBSTITUTE(SUBSTITUTE(SUBSTITUTE(SUBSTITUTE(SUBSTITUTE(SUBSTITUTE(UPPER(TRIM(B1230&amp;"")),"₹",""),"RS.",""),"RS",""),"INR",""),"$",""),",","")," ",""))</f>
        <v/>
      </c>
      <c r="E1230" s="6">
        <f>IF(C1230="","",IF(RIGHT(D1230,2)="CR","Cr",IF(RIGHT(D1230,2)="DR","Dr","")))</f>
        <v/>
      </c>
      <c r="F1230" s="6">
        <f>IF(C1230="","",IF(E1230&lt;&gt;"",LEFT(D1230,LEN(D1230)-2),D1230))</f>
        <v/>
      </c>
      <c r="G1230" s="13">
        <f>IF(C1230="","",IF(OR(IF(AND(LEFT(F1230,1)="(",RIGHT(F1230,1)=")"),MID(F1230,2,LEN(F1230)-2),F1230)="",IF(AND(LEFT(F1230,1)="(",RIGHT(F1230,1)=")"),MID(F1230,2,LEN(F1230)-2),F1230)="-"),0,IFERROR(VALUE(IF(AND(LEFT(F1230,1)="(",RIGHT(F1230,1)=")"),MID(F1230,2,LEN(F1230)-2),F1230))*IF(AND(LEFT(F1230,1)="(",RIGHT(F1230,1)=")"),-1,1)*IF(E1230="Cr",Setup!$B$6,1),"ERR")))</f>
        <v/>
      </c>
      <c r="H1230" s="6">
        <f>IF(C1230="","",IF(ISNUMBER(G1230),1,0))</f>
        <v/>
      </c>
      <c r="I1230" s="6">
        <f>IF(C1230="","",IF(SUMPRODUCT(($C$12:$C$1511=C1230)*1)&gt;1,1,0))</f>
        <v/>
      </c>
      <c r="J1230" s="6">
        <f>IF(C1230="","",SUMPRODUCT((Mapping!$F$5:$F$504=Setup!$B$4&amp;"||"&amp;C1230)*ROW(Mapping!$F$5:$F$504)))</f>
        <v/>
      </c>
      <c r="K1230" s="6">
        <f>IF(C1230="","",IF(J1230=0,"UNMAPPED",LOWER(INDEX(Mapping!$D$1:$D$504,J1230))))</f>
        <v/>
      </c>
      <c r="L1230" s="6">
        <f>IF(K1230="mapped",TRIM(INDEX(Mapping!$C$1:$C$504,J1230)),"")</f>
        <v/>
      </c>
      <c r="M1230" s="6">
        <f>IF(C1230="","",IF(SUMPRODUCT(($C$12:C1230=C1230)*1)=1,1,0))</f>
        <v/>
      </c>
      <c r="N1230" s="6">
        <f>IF(AND(K1230="UNMAPPED",M1230=1),ROW(),"")</f>
        <v/>
      </c>
      <c r="O1230" s="6">
        <f>IF(AND(I1230=1,M1230=1),ROW(),"")</f>
        <v/>
      </c>
      <c r="P1230" s="6">
        <f>IF(AND(K1230="ignored",M1230=1),ROW(),"")</f>
        <v/>
      </c>
    </row>
    <row r="1231">
      <c r="A1231" s="8" t="n"/>
      <c r="B1231" s="8" t="n"/>
      <c r="C1231" s="6">
        <f>TRIM(A1231&amp;"")</f>
        <v/>
      </c>
      <c r="D1231" s="6">
        <f>IF(C1231="","",SUBSTITUTE(SUBSTITUTE(SUBSTITUTE(SUBSTITUTE(SUBSTITUTE(SUBSTITUTE(SUBSTITUTE(UPPER(TRIM(B1231&amp;"")),"₹",""),"RS.",""),"RS",""),"INR",""),"$",""),",","")," ",""))</f>
        <v/>
      </c>
      <c r="E1231" s="6">
        <f>IF(C1231="","",IF(RIGHT(D1231,2)="CR","Cr",IF(RIGHT(D1231,2)="DR","Dr","")))</f>
        <v/>
      </c>
      <c r="F1231" s="6">
        <f>IF(C1231="","",IF(E1231&lt;&gt;"",LEFT(D1231,LEN(D1231)-2),D1231))</f>
        <v/>
      </c>
      <c r="G1231" s="13">
        <f>IF(C1231="","",IF(OR(IF(AND(LEFT(F1231,1)="(",RIGHT(F1231,1)=")"),MID(F1231,2,LEN(F1231)-2),F1231)="",IF(AND(LEFT(F1231,1)="(",RIGHT(F1231,1)=")"),MID(F1231,2,LEN(F1231)-2),F1231)="-"),0,IFERROR(VALUE(IF(AND(LEFT(F1231,1)="(",RIGHT(F1231,1)=")"),MID(F1231,2,LEN(F1231)-2),F1231))*IF(AND(LEFT(F1231,1)="(",RIGHT(F1231,1)=")"),-1,1)*IF(E1231="Cr",Setup!$B$6,1),"ERR")))</f>
        <v/>
      </c>
      <c r="H1231" s="6">
        <f>IF(C1231="","",IF(ISNUMBER(G1231),1,0))</f>
        <v/>
      </c>
      <c r="I1231" s="6">
        <f>IF(C1231="","",IF(SUMPRODUCT(($C$12:$C$1511=C1231)*1)&gt;1,1,0))</f>
        <v/>
      </c>
      <c r="J1231" s="6">
        <f>IF(C1231="","",SUMPRODUCT((Mapping!$F$5:$F$504=Setup!$B$4&amp;"||"&amp;C1231)*ROW(Mapping!$F$5:$F$504)))</f>
        <v/>
      </c>
      <c r="K1231" s="6">
        <f>IF(C1231="","",IF(J1231=0,"UNMAPPED",LOWER(INDEX(Mapping!$D$1:$D$504,J1231))))</f>
        <v/>
      </c>
      <c r="L1231" s="6">
        <f>IF(K1231="mapped",TRIM(INDEX(Mapping!$C$1:$C$504,J1231)),"")</f>
        <v/>
      </c>
      <c r="M1231" s="6">
        <f>IF(C1231="","",IF(SUMPRODUCT(($C$12:C1231=C1231)*1)=1,1,0))</f>
        <v/>
      </c>
      <c r="N1231" s="6">
        <f>IF(AND(K1231="UNMAPPED",M1231=1),ROW(),"")</f>
        <v/>
      </c>
      <c r="O1231" s="6">
        <f>IF(AND(I1231=1,M1231=1),ROW(),"")</f>
        <v/>
      </c>
      <c r="P1231" s="6">
        <f>IF(AND(K1231="ignored",M1231=1),ROW(),"")</f>
        <v/>
      </c>
    </row>
    <row r="1232">
      <c r="A1232" s="8" t="n"/>
      <c r="B1232" s="8" t="n"/>
      <c r="C1232" s="6">
        <f>TRIM(A1232&amp;"")</f>
        <v/>
      </c>
      <c r="D1232" s="6">
        <f>IF(C1232="","",SUBSTITUTE(SUBSTITUTE(SUBSTITUTE(SUBSTITUTE(SUBSTITUTE(SUBSTITUTE(SUBSTITUTE(UPPER(TRIM(B1232&amp;"")),"₹",""),"RS.",""),"RS",""),"INR",""),"$",""),",","")," ",""))</f>
        <v/>
      </c>
      <c r="E1232" s="6">
        <f>IF(C1232="","",IF(RIGHT(D1232,2)="CR","Cr",IF(RIGHT(D1232,2)="DR","Dr","")))</f>
        <v/>
      </c>
      <c r="F1232" s="6">
        <f>IF(C1232="","",IF(E1232&lt;&gt;"",LEFT(D1232,LEN(D1232)-2),D1232))</f>
        <v/>
      </c>
      <c r="G1232" s="13">
        <f>IF(C1232="","",IF(OR(IF(AND(LEFT(F1232,1)="(",RIGHT(F1232,1)=")"),MID(F1232,2,LEN(F1232)-2),F1232)="",IF(AND(LEFT(F1232,1)="(",RIGHT(F1232,1)=")"),MID(F1232,2,LEN(F1232)-2),F1232)="-"),0,IFERROR(VALUE(IF(AND(LEFT(F1232,1)="(",RIGHT(F1232,1)=")"),MID(F1232,2,LEN(F1232)-2),F1232))*IF(AND(LEFT(F1232,1)="(",RIGHT(F1232,1)=")"),-1,1)*IF(E1232="Cr",Setup!$B$6,1),"ERR")))</f>
        <v/>
      </c>
      <c r="H1232" s="6">
        <f>IF(C1232="","",IF(ISNUMBER(G1232),1,0))</f>
        <v/>
      </c>
      <c r="I1232" s="6">
        <f>IF(C1232="","",IF(SUMPRODUCT(($C$12:$C$1511=C1232)*1)&gt;1,1,0))</f>
        <v/>
      </c>
      <c r="J1232" s="6">
        <f>IF(C1232="","",SUMPRODUCT((Mapping!$F$5:$F$504=Setup!$B$4&amp;"||"&amp;C1232)*ROW(Mapping!$F$5:$F$504)))</f>
        <v/>
      </c>
      <c r="K1232" s="6">
        <f>IF(C1232="","",IF(J1232=0,"UNMAPPED",LOWER(INDEX(Mapping!$D$1:$D$504,J1232))))</f>
        <v/>
      </c>
      <c r="L1232" s="6">
        <f>IF(K1232="mapped",TRIM(INDEX(Mapping!$C$1:$C$504,J1232)),"")</f>
        <v/>
      </c>
      <c r="M1232" s="6">
        <f>IF(C1232="","",IF(SUMPRODUCT(($C$12:C1232=C1232)*1)=1,1,0))</f>
        <v/>
      </c>
      <c r="N1232" s="6">
        <f>IF(AND(K1232="UNMAPPED",M1232=1),ROW(),"")</f>
        <v/>
      </c>
      <c r="O1232" s="6">
        <f>IF(AND(I1232=1,M1232=1),ROW(),"")</f>
        <v/>
      </c>
      <c r="P1232" s="6">
        <f>IF(AND(K1232="ignored",M1232=1),ROW(),"")</f>
        <v/>
      </c>
    </row>
    <row r="1233">
      <c r="A1233" s="8" t="n"/>
      <c r="B1233" s="8" t="n"/>
      <c r="C1233" s="6">
        <f>TRIM(A1233&amp;"")</f>
        <v/>
      </c>
      <c r="D1233" s="6">
        <f>IF(C1233="","",SUBSTITUTE(SUBSTITUTE(SUBSTITUTE(SUBSTITUTE(SUBSTITUTE(SUBSTITUTE(SUBSTITUTE(UPPER(TRIM(B1233&amp;"")),"₹",""),"RS.",""),"RS",""),"INR",""),"$",""),",","")," ",""))</f>
        <v/>
      </c>
      <c r="E1233" s="6">
        <f>IF(C1233="","",IF(RIGHT(D1233,2)="CR","Cr",IF(RIGHT(D1233,2)="DR","Dr","")))</f>
        <v/>
      </c>
      <c r="F1233" s="6">
        <f>IF(C1233="","",IF(E1233&lt;&gt;"",LEFT(D1233,LEN(D1233)-2),D1233))</f>
        <v/>
      </c>
      <c r="G1233" s="13">
        <f>IF(C1233="","",IF(OR(IF(AND(LEFT(F1233,1)="(",RIGHT(F1233,1)=")"),MID(F1233,2,LEN(F1233)-2),F1233)="",IF(AND(LEFT(F1233,1)="(",RIGHT(F1233,1)=")"),MID(F1233,2,LEN(F1233)-2),F1233)="-"),0,IFERROR(VALUE(IF(AND(LEFT(F1233,1)="(",RIGHT(F1233,1)=")"),MID(F1233,2,LEN(F1233)-2),F1233))*IF(AND(LEFT(F1233,1)="(",RIGHT(F1233,1)=")"),-1,1)*IF(E1233="Cr",Setup!$B$6,1),"ERR")))</f>
        <v/>
      </c>
      <c r="H1233" s="6">
        <f>IF(C1233="","",IF(ISNUMBER(G1233),1,0))</f>
        <v/>
      </c>
      <c r="I1233" s="6">
        <f>IF(C1233="","",IF(SUMPRODUCT(($C$12:$C$1511=C1233)*1)&gt;1,1,0))</f>
        <v/>
      </c>
      <c r="J1233" s="6">
        <f>IF(C1233="","",SUMPRODUCT((Mapping!$F$5:$F$504=Setup!$B$4&amp;"||"&amp;C1233)*ROW(Mapping!$F$5:$F$504)))</f>
        <v/>
      </c>
      <c r="K1233" s="6">
        <f>IF(C1233="","",IF(J1233=0,"UNMAPPED",LOWER(INDEX(Mapping!$D$1:$D$504,J1233))))</f>
        <v/>
      </c>
      <c r="L1233" s="6">
        <f>IF(K1233="mapped",TRIM(INDEX(Mapping!$C$1:$C$504,J1233)),"")</f>
        <v/>
      </c>
      <c r="M1233" s="6">
        <f>IF(C1233="","",IF(SUMPRODUCT(($C$12:C1233=C1233)*1)=1,1,0))</f>
        <v/>
      </c>
      <c r="N1233" s="6">
        <f>IF(AND(K1233="UNMAPPED",M1233=1),ROW(),"")</f>
        <v/>
      </c>
      <c r="O1233" s="6">
        <f>IF(AND(I1233=1,M1233=1),ROW(),"")</f>
        <v/>
      </c>
      <c r="P1233" s="6">
        <f>IF(AND(K1233="ignored",M1233=1),ROW(),"")</f>
        <v/>
      </c>
    </row>
    <row r="1234">
      <c r="A1234" s="8" t="n"/>
      <c r="B1234" s="8" t="n"/>
      <c r="C1234" s="6">
        <f>TRIM(A1234&amp;"")</f>
        <v/>
      </c>
      <c r="D1234" s="6">
        <f>IF(C1234="","",SUBSTITUTE(SUBSTITUTE(SUBSTITUTE(SUBSTITUTE(SUBSTITUTE(SUBSTITUTE(SUBSTITUTE(UPPER(TRIM(B1234&amp;"")),"₹",""),"RS.",""),"RS",""),"INR",""),"$",""),",","")," ",""))</f>
        <v/>
      </c>
      <c r="E1234" s="6">
        <f>IF(C1234="","",IF(RIGHT(D1234,2)="CR","Cr",IF(RIGHT(D1234,2)="DR","Dr","")))</f>
        <v/>
      </c>
      <c r="F1234" s="6">
        <f>IF(C1234="","",IF(E1234&lt;&gt;"",LEFT(D1234,LEN(D1234)-2),D1234))</f>
        <v/>
      </c>
      <c r="G1234" s="13">
        <f>IF(C1234="","",IF(OR(IF(AND(LEFT(F1234,1)="(",RIGHT(F1234,1)=")"),MID(F1234,2,LEN(F1234)-2),F1234)="",IF(AND(LEFT(F1234,1)="(",RIGHT(F1234,1)=")"),MID(F1234,2,LEN(F1234)-2),F1234)="-"),0,IFERROR(VALUE(IF(AND(LEFT(F1234,1)="(",RIGHT(F1234,1)=")"),MID(F1234,2,LEN(F1234)-2),F1234))*IF(AND(LEFT(F1234,1)="(",RIGHT(F1234,1)=")"),-1,1)*IF(E1234="Cr",Setup!$B$6,1),"ERR")))</f>
        <v/>
      </c>
      <c r="H1234" s="6">
        <f>IF(C1234="","",IF(ISNUMBER(G1234),1,0))</f>
        <v/>
      </c>
      <c r="I1234" s="6">
        <f>IF(C1234="","",IF(SUMPRODUCT(($C$12:$C$1511=C1234)*1)&gt;1,1,0))</f>
        <v/>
      </c>
      <c r="J1234" s="6">
        <f>IF(C1234="","",SUMPRODUCT((Mapping!$F$5:$F$504=Setup!$B$4&amp;"||"&amp;C1234)*ROW(Mapping!$F$5:$F$504)))</f>
        <v/>
      </c>
      <c r="K1234" s="6">
        <f>IF(C1234="","",IF(J1234=0,"UNMAPPED",LOWER(INDEX(Mapping!$D$1:$D$504,J1234))))</f>
        <v/>
      </c>
      <c r="L1234" s="6">
        <f>IF(K1234="mapped",TRIM(INDEX(Mapping!$C$1:$C$504,J1234)),"")</f>
        <v/>
      </c>
      <c r="M1234" s="6">
        <f>IF(C1234="","",IF(SUMPRODUCT(($C$12:C1234=C1234)*1)=1,1,0))</f>
        <v/>
      </c>
      <c r="N1234" s="6">
        <f>IF(AND(K1234="UNMAPPED",M1234=1),ROW(),"")</f>
        <v/>
      </c>
      <c r="O1234" s="6">
        <f>IF(AND(I1234=1,M1234=1),ROW(),"")</f>
        <v/>
      </c>
      <c r="P1234" s="6">
        <f>IF(AND(K1234="ignored",M1234=1),ROW(),"")</f>
        <v/>
      </c>
    </row>
    <row r="1235">
      <c r="A1235" s="8" t="n"/>
      <c r="B1235" s="8" t="n"/>
      <c r="C1235" s="6">
        <f>TRIM(A1235&amp;"")</f>
        <v/>
      </c>
      <c r="D1235" s="6">
        <f>IF(C1235="","",SUBSTITUTE(SUBSTITUTE(SUBSTITUTE(SUBSTITUTE(SUBSTITUTE(SUBSTITUTE(SUBSTITUTE(UPPER(TRIM(B1235&amp;"")),"₹",""),"RS.",""),"RS",""),"INR",""),"$",""),",","")," ",""))</f>
        <v/>
      </c>
      <c r="E1235" s="6">
        <f>IF(C1235="","",IF(RIGHT(D1235,2)="CR","Cr",IF(RIGHT(D1235,2)="DR","Dr","")))</f>
        <v/>
      </c>
      <c r="F1235" s="6">
        <f>IF(C1235="","",IF(E1235&lt;&gt;"",LEFT(D1235,LEN(D1235)-2),D1235))</f>
        <v/>
      </c>
      <c r="G1235" s="13">
        <f>IF(C1235="","",IF(OR(IF(AND(LEFT(F1235,1)="(",RIGHT(F1235,1)=")"),MID(F1235,2,LEN(F1235)-2),F1235)="",IF(AND(LEFT(F1235,1)="(",RIGHT(F1235,1)=")"),MID(F1235,2,LEN(F1235)-2),F1235)="-"),0,IFERROR(VALUE(IF(AND(LEFT(F1235,1)="(",RIGHT(F1235,1)=")"),MID(F1235,2,LEN(F1235)-2),F1235))*IF(AND(LEFT(F1235,1)="(",RIGHT(F1235,1)=")"),-1,1)*IF(E1235="Cr",Setup!$B$6,1),"ERR")))</f>
        <v/>
      </c>
      <c r="H1235" s="6">
        <f>IF(C1235="","",IF(ISNUMBER(G1235),1,0))</f>
        <v/>
      </c>
      <c r="I1235" s="6">
        <f>IF(C1235="","",IF(SUMPRODUCT(($C$12:$C$1511=C1235)*1)&gt;1,1,0))</f>
        <v/>
      </c>
      <c r="J1235" s="6">
        <f>IF(C1235="","",SUMPRODUCT((Mapping!$F$5:$F$504=Setup!$B$4&amp;"||"&amp;C1235)*ROW(Mapping!$F$5:$F$504)))</f>
        <v/>
      </c>
      <c r="K1235" s="6">
        <f>IF(C1235="","",IF(J1235=0,"UNMAPPED",LOWER(INDEX(Mapping!$D$1:$D$504,J1235))))</f>
        <v/>
      </c>
      <c r="L1235" s="6">
        <f>IF(K1235="mapped",TRIM(INDEX(Mapping!$C$1:$C$504,J1235)),"")</f>
        <v/>
      </c>
      <c r="M1235" s="6">
        <f>IF(C1235="","",IF(SUMPRODUCT(($C$12:C1235=C1235)*1)=1,1,0))</f>
        <v/>
      </c>
      <c r="N1235" s="6">
        <f>IF(AND(K1235="UNMAPPED",M1235=1),ROW(),"")</f>
        <v/>
      </c>
      <c r="O1235" s="6">
        <f>IF(AND(I1235=1,M1235=1),ROW(),"")</f>
        <v/>
      </c>
      <c r="P1235" s="6">
        <f>IF(AND(K1235="ignored",M1235=1),ROW(),"")</f>
        <v/>
      </c>
    </row>
    <row r="1236">
      <c r="A1236" s="8" t="n"/>
      <c r="B1236" s="8" t="n"/>
      <c r="C1236" s="6">
        <f>TRIM(A1236&amp;"")</f>
        <v/>
      </c>
      <c r="D1236" s="6">
        <f>IF(C1236="","",SUBSTITUTE(SUBSTITUTE(SUBSTITUTE(SUBSTITUTE(SUBSTITUTE(SUBSTITUTE(SUBSTITUTE(UPPER(TRIM(B1236&amp;"")),"₹",""),"RS.",""),"RS",""),"INR",""),"$",""),",","")," ",""))</f>
        <v/>
      </c>
      <c r="E1236" s="6">
        <f>IF(C1236="","",IF(RIGHT(D1236,2)="CR","Cr",IF(RIGHT(D1236,2)="DR","Dr","")))</f>
        <v/>
      </c>
      <c r="F1236" s="6">
        <f>IF(C1236="","",IF(E1236&lt;&gt;"",LEFT(D1236,LEN(D1236)-2),D1236))</f>
        <v/>
      </c>
      <c r="G1236" s="13">
        <f>IF(C1236="","",IF(OR(IF(AND(LEFT(F1236,1)="(",RIGHT(F1236,1)=")"),MID(F1236,2,LEN(F1236)-2),F1236)="",IF(AND(LEFT(F1236,1)="(",RIGHT(F1236,1)=")"),MID(F1236,2,LEN(F1236)-2),F1236)="-"),0,IFERROR(VALUE(IF(AND(LEFT(F1236,1)="(",RIGHT(F1236,1)=")"),MID(F1236,2,LEN(F1236)-2),F1236))*IF(AND(LEFT(F1236,1)="(",RIGHT(F1236,1)=")"),-1,1)*IF(E1236="Cr",Setup!$B$6,1),"ERR")))</f>
        <v/>
      </c>
      <c r="H1236" s="6">
        <f>IF(C1236="","",IF(ISNUMBER(G1236),1,0))</f>
        <v/>
      </c>
      <c r="I1236" s="6">
        <f>IF(C1236="","",IF(SUMPRODUCT(($C$12:$C$1511=C1236)*1)&gt;1,1,0))</f>
        <v/>
      </c>
      <c r="J1236" s="6">
        <f>IF(C1236="","",SUMPRODUCT((Mapping!$F$5:$F$504=Setup!$B$4&amp;"||"&amp;C1236)*ROW(Mapping!$F$5:$F$504)))</f>
        <v/>
      </c>
      <c r="K1236" s="6">
        <f>IF(C1236="","",IF(J1236=0,"UNMAPPED",LOWER(INDEX(Mapping!$D$1:$D$504,J1236))))</f>
        <v/>
      </c>
      <c r="L1236" s="6">
        <f>IF(K1236="mapped",TRIM(INDEX(Mapping!$C$1:$C$504,J1236)),"")</f>
        <v/>
      </c>
      <c r="M1236" s="6">
        <f>IF(C1236="","",IF(SUMPRODUCT(($C$12:C1236=C1236)*1)=1,1,0))</f>
        <v/>
      </c>
      <c r="N1236" s="6">
        <f>IF(AND(K1236="UNMAPPED",M1236=1),ROW(),"")</f>
        <v/>
      </c>
      <c r="O1236" s="6">
        <f>IF(AND(I1236=1,M1236=1),ROW(),"")</f>
        <v/>
      </c>
      <c r="P1236" s="6">
        <f>IF(AND(K1236="ignored",M1236=1),ROW(),"")</f>
        <v/>
      </c>
    </row>
    <row r="1237">
      <c r="A1237" s="8" t="n"/>
      <c r="B1237" s="8" t="n"/>
      <c r="C1237" s="6">
        <f>TRIM(A1237&amp;"")</f>
        <v/>
      </c>
      <c r="D1237" s="6">
        <f>IF(C1237="","",SUBSTITUTE(SUBSTITUTE(SUBSTITUTE(SUBSTITUTE(SUBSTITUTE(SUBSTITUTE(SUBSTITUTE(UPPER(TRIM(B1237&amp;"")),"₹",""),"RS.",""),"RS",""),"INR",""),"$",""),",","")," ",""))</f>
        <v/>
      </c>
      <c r="E1237" s="6">
        <f>IF(C1237="","",IF(RIGHT(D1237,2)="CR","Cr",IF(RIGHT(D1237,2)="DR","Dr","")))</f>
        <v/>
      </c>
      <c r="F1237" s="6">
        <f>IF(C1237="","",IF(E1237&lt;&gt;"",LEFT(D1237,LEN(D1237)-2),D1237))</f>
        <v/>
      </c>
      <c r="G1237" s="13">
        <f>IF(C1237="","",IF(OR(IF(AND(LEFT(F1237,1)="(",RIGHT(F1237,1)=")"),MID(F1237,2,LEN(F1237)-2),F1237)="",IF(AND(LEFT(F1237,1)="(",RIGHT(F1237,1)=")"),MID(F1237,2,LEN(F1237)-2),F1237)="-"),0,IFERROR(VALUE(IF(AND(LEFT(F1237,1)="(",RIGHT(F1237,1)=")"),MID(F1237,2,LEN(F1237)-2),F1237))*IF(AND(LEFT(F1237,1)="(",RIGHT(F1237,1)=")"),-1,1)*IF(E1237="Cr",Setup!$B$6,1),"ERR")))</f>
        <v/>
      </c>
      <c r="H1237" s="6">
        <f>IF(C1237="","",IF(ISNUMBER(G1237),1,0))</f>
        <v/>
      </c>
      <c r="I1237" s="6">
        <f>IF(C1237="","",IF(SUMPRODUCT(($C$12:$C$1511=C1237)*1)&gt;1,1,0))</f>
        <v/>
      </c>
      <c r="J1237" s="6">
        <f>IF(C1237="","",SUMPRODUCT((Mapping!$F$5:$F$504=Setup!$B$4&amp;"||"&amp;C1237)*ROW(Mapping!$F$5:$F$504)))</f>
        <v/>
      </c>
      <c r="K1237" s="6">
        <f>IF(C1237="","",IF(J1237=0,"UNMAPPED",LOWER(INDEX(Mapping!$D$1:$D$504,J1237))))</f>
        <v/>
      </c>
      <c r="L1237" s="6">
        <f>IF(K1237="mapped",TRIM(INDEX(Mapping!$C$1:$C$504,J1237)),"")</f>
        <v/>
      </c>
      <c r="M1237" s="6">
        <f>IF(C1237="","",IF(SUMPRODUCT(($C$12:C1237=C1237)*1)=1,1,0))</f>
        <v/>
      </c>
      <c r="N1237" s="6">
        <f>IF(AND(K1237="UNMAPPED",M1237=1),ROW(),"")</f>
        <v/>
      </c>
      <c r="O1237" s="6">
        <f>IF(AND(I1237=1,M1237=1),ROW(),"")</f>
        <v/>
      </c>
      <c r="P1237" s="6">
        <f>IF(AND(K1237="ignored",M1237=1),ROW(),"")</f>
        <v/>
      </c>
    </row>
    <row r="1238">
      <c r="A1238" s="8" t="n"/>
      <c r="B1238" s="8" t="n"/>
      <c r="C1238" s="6">
        <f>TRIM(A1238&amp;"")</f>
        <v/>
      </c>
      <c r="D1238" s="6">
        <f>IF(C1238="","",SUBSTITUTE(SUBSTITUTE(SUBSTITUTE(SUBSTITUTE(SUBSTITUTE(SUBSTITUTE(SUBSTITUTE(UPPER(TRIM(B1238&amp;"")),"₹",""),"RS.",""),"RS",""),"INR",""),"$",""),",","")," ",""))</f>
        <v/>
      </c>
      <c r="E1238" s="6">
        <f>IF(C1238="","",IF(RIGHT(D1238,2)="CR","Cr",IF(RIGHT(D1238,2)="DR","Dr","")))</f>
        <v/>
      </c>
      <c r="F1238" s="6">
        <f>IF(C1238="","",IF(E1238&lt;&gt;"",LEFT(D1238,LEN(D1238)-2),D1238))</f>
        <v/>
      </c>
      <c r="G1238" s="13">
        <f>IF(C1238="","",IF(OR(IF(AND(LEFT(F1238,1)="(",RIGHT(F1238,1)=")"),MID(F1238,2,LEN(F1238)-2),F1238)="",IF(AND(LEFT(F1238,1)="(",RIGHT(F1238,1)=")"),MID(F1238,2,LEN(F1238)-2),F1238)="-"),0,IFERROR(VALUE(IF(AND(LEFT(F1238,1)="(",RIGHT(F1238,1)=")"),MID(F1238,2,LEN(F1238)-2),F1238))*IF(AND(LEFT(F1238,1)="(",RIGHT(F1238,1)=")"),-1,1)*IF(E1238="Cr",Setup!$B$6,1),"ERR")))</f>
        <v/>
      </c>
      <c r="H1238" s="6">
        <f>IF(C1238="","",IF(ISNUMBER(G1238),1,0))</f>
        <v/>
      </c>
      <c r="I1238" s="6">
        <f>IF(C1238="","",IF(SUMPRODUCT(($C$12:$C$1511=C1238)*1)&gt;1,1,0))</f>
        <v/>
      </c>
      <c r="J1238" s="6">
        <f>IF(C1238="","",SUMPRODUCT((Mapping!$F$5:$F$504=Setup!$B$4&amp;"||"&amp;C1238)*ROW(Mapping!$F$5:$F$504)))</f>
        <v/>
      </c>
      <c r="K1238" s="6">
        <f>IF(C1238="","",IF(J1238=0,"UNMAPPED",LOWER(INDEX(Mapping!$D$1:$D$504,J1238))))</f>
        <v/>
      </c>
      <c r="L1238" s="6">
        <f>IF(K1238="mapped",TRIM(INDEX(Mapping!$C$1:$C$504,J1238)),"")</f>
        <v/>
      </c>
      <c r="M1238" s="6">
        <f>IF(C1238="","",IF(SUMPRODUCT(($C$12:C1238=C1238)*1)=1,1,0))</f>
        <v/>
      </c>
      <c r="N1238" s="6">
        <f>IF(AND(K1238="UNMAPPED",M1238=1),ROW(),"")</f>
        <v/>
      </c>
      <c r="O1238" s="6">
        <f>IF(AND(I1238=1,M1238=1),ROW(),"")</f>
        <v/>
      </c>
      <c r="P1238" s="6">
        <f>IF(AND(K1238="ignored",M1238=1),ROW(),"")</f>
        <v/>
      </c>
    </row>
    <row r="1239">
      <c r="A1239" s="8" t="n"/>
      <c r="B1239" s="8" t="n"/>
      <c r="C1239" s="6">
        <f>TRIM(A1239&amp;"")</f>
        <v/>
      </c>
      <c r="D1239" s="6">
        <f>IF(C1239="","",SUBSTITUTE(SUBSTITUTE(SUBSTITUTE(SUBSTITUTE(SUBSTITUTE(SUBSTITUTE(SUBSTITUTE(UPPER(TRIM(B1239&amp;"")),"₹",""),"RS.",""),"RS",""),"INR",""),"$",""),",","")," ",""))</f>
        <v/>
      </c>
      <c r="E1239" s="6">
        <f>IF(C1239="","",IF(RIGHT(D1239,2)="CR","Cr",IF(RIGHT(D1239,2)="DR","Dr","")))</f>
        <v/>
      </c>
      <c r="F1239" s="6">
        <f>IF(C1239="","",IF(E1239&lt;&gt;"",LEFT(D1239,LEN(D1239)-2),D1239))</f>
        <v/>
      </c>
      <c r="G1239" s="13">
        <f>IF(C1239="","",IF(OR(IF(AND(LEFT(F1239,1)="(",RIGHT(F1239,1)=")"),MID(F1239,2,LEN(F1239)-2),F1239)="",IF(AND(LEFT(F1239,1)="(",RIGHT(F1239,1)=")"),MID(F1239,2,LEN(F1239)-2),F1239)="-"),0,IFERROR(VALUE(IF(AND(LEFT(F1239,1)="(",RIGHT(F1239,1)=")"),MID(F1239,2,LEN(F1239)-2),F1239))*IF(AND(LEFT(F1239,1)="(",RIGHT(F1239,1)=")"),-1,1)*IF(E1239="Cr",Setup!$B$6,1),"ERR")))</f>
        <v/>
      </c>
      <c r="H1239" s="6">
        <f>IF(C1239="","",IF(ISNUMBER(G1239),1,0))</f>
        <v/>
      </c>
      <c r="I1239" s="6">
        <f>IF(C1239="","",IF(SUMPRODUCT(($C$12:$C$1511=C1239)*1)&gt;1,1,0))</f>
        <v/>
      </c>
      <c r="J1239" s="6">
        <f>IF(C1239="","",SUMPRODUCT((Mapping!$F$5:$F$504=Setup!$B$4&amp;"||"&amp;C1239)*ROW(Mapping!$F$5:$F$504)))</f>
        <v/>
      </c>
      <c r="K1239" s="6">
        <f>IF(C1239="","",IF(J1239=0,"UNMAPPED",LOWER(INDEX(Mapping!$D$1:$D$504,J1239))))</f>
        <v/>
      </c>
      <c r="L1239" s="6">
        <f>IF(K1239="mapped",TRIM(INDEX(Mapping!$C$1:$C$504,J1239)),"")</f>
        <v/>
      </c>
      <c r="M1239" s="6">
        <f>IF(C1239="","",IF(SUMPRODUCT(($C$12:C1239=C1239)*1)=1,1,0))</f>
        <v/>
      </c>
      <c r="N1239" s="6">
        <f>IF(AND(K1239="UNMAPPED",M1239=1),ROW(),"")</f>
        <v/>
      </c>
      <c r="O1239" s="6">
        <f>IF(AND(I1239=1,M1239=1),ROW(),"")</f>
        <v/>
      </c>
      <c r="P1239" s="6">
        <f>IF(AND(K1239="ignored",M1239=1),ROW(),"")</f>
        <v/>
      </c>
    </row>
    <row r="1240">
      <c r="A1240" s="8" t="n"/>
      <c r="B1240" s="8" t="n"/>
      <c r="C1240" s="6">
        <f>TRIM(A1240&amp;"")</f>
        <v/>
      </c>
      <c r="D1240" s="6">
        <f>IF(C1240="","",SUBSTITUTE(SUBSTITUTE(SUBSTITUTE(SUBSTITUTE(SUBSTITUTE(SUBSTITUTE(SUBSTITUTE(UPPER(TRIM(B1240&amp;"")),"₹",""),"RS.",""),"RS",""),"INR",""),"$",""),",","")," ",""))</f>
        <v/>
      </c>
      <c r="E1240" s="6">
        <f>IF(C1240="","",IF(RIGHT(D1240,2)="CR","Cr",IF(RIGHT(D1240,2)="DR","Dr","")))</f>
        <v/>
      </c>
      <c r="F1240" s="6">
        <f>IF(C1240="","",IF(E1240&lt;&gt;"",LEFT(D1240,LEN(D1240)-2),D1240))</f>
        <v/>
      </c>
      <c r="G1240" s="13">
        <f>IF(C1240="","",IF(OR(IF(AND(LEFT(F1240,1)="(",RIGHT(F1240,1)=")"),MID(F1240,2,LEN(F1240)-2),F1240)="",IF(AND(LEFT(F1240,1)="(",RIGHT(F1240,1)=")"),MID(F1240,2,LEN(F1240)-2),F1240)="-"),0,IFERROR(VALUE(IF(AND(LEFT(F1240,1)="(",RIGHT(F1240,1)=")"),MID(F1240,2,LEN(F1240)-2),F1240))*IF(AND(LEFT(F1240,1)="(",RIGHT(F1240,1)=")"),-1,1)*IF(E1240="Cr",Setup!$B$6,1),"ERR")))</f>
        <v/>
      </c>
      <c r="H1240" s="6">
        <f>IF(C1240="","",IF(ISNUMBER(G1240),1,0))</f>
        <v/>
      </c>
      <c r="I1240" s="6">
        <f>IF(C1240="","",IF(SUMPRODUCT(($C$12:$C$1511=C1240)*1)&gt;1,1,0))</f>
        <v/>
      </c>
      <c r="J1240" s="6">
        <f>IF(C1240="","",SUMPRODUCT((Mapping!$F$5:$F$504=Setup!$B$4&amp;"||"&amp;C1240)*ROW(Mapping!$F$5:$F$504)))</f>
        <v/>
      </c>
      <c r="K1240" s="6">
        <f>IF(C1240="","",IF(J1240=0,"UNMAPPED",LOWER(INDEX(Mapping!$D$1:$D$504,J1240))))</f>
        <v/>
      </c>
      <c r="L1240" s="6">
        <f>IF(K1240="mapped",TRIM(INDEX(Mapping!$C$1:$C$504,J1240)),"")</f>
        <v/>
      </c>
      <c r="M1240" s="6">
        <f>IF(C1240="","",IF(SUMPRODUCT(($C$12:C1240=C1240)*1)=1,1,0))</f>
        <v/>
      </c>
      <c r="N1240" s="6">
        <f>IF(AND(K1240="UNMAPPED",M1240=1),ROW(),"")</f>
        <v/>
      </c>
      <c r="O1240" s="6">
        <f>IF(AND(I1240=1,M1240=1),ROW(),"")</f>
        <v/>
      </c>
      <c r="P1240" s="6">
        <f>IF(AND(K1240="ignored",M1240=1),ROW(),"")</f>
        <v/>
      </c>
    </row>
    <row r="1241">
      <c r="A1241" s="8" t="n"/>
      <c r="B1241" s="8" t="n"/>
      <c r="C1241" s="6">
        <f>TRIM(A1241&amp;"")</f>
        <v/>
      </c>
      <c r="D1241" s="6">
        <f>IF(C1241="","",SUBSTITUTE(SUBSTITUTE(SUBSTITUTE(SUBSTITUTE(SUBSTITUTE(SUBSTITUTE(SUBSTITUTE(UPPER(TRIM(B1241&amp;"")),"₹",""),"RS.",""),"RS",""),"INR",""),"$",""),",","")," ",""))</f>
        <v/>
      </c>
      <c r="E1241" s="6">
        <f>IF(C1241="","",IF(RIGHT(D1241,2)="CR","Cr",IF(RIGHT(D1241,2)="DR","Dr","")))</f>
        <v/>
      </c>
      <c r="F1241" s="6">
        <f>IF(C1241="","",IF(E1241&lt;&gt;"",LEFT(D1241,LEN(D1241)-2),D1241))</f>
        <v/>
      </c>
      <c r="G1241" s="13">
        <f>IF(C1241="","",IF(OR(IF(AND(LEFT(F1241,1)="(",RIGHT(F1241,1)=")"),MID(F1241,2,LEN(F1241)-2),F1241)="",IF(AND(LEFT(F1241,1)="(",RIGHT(F1241,1)=")"),MID(F1241,2,LEN(F1241)-2),F1241)="-"),0,IFERROR(VALUE(IF(AND(LEFT(F1241,1)="(",RIGHT(F1241,1)=")"),MID(F1241,2,LEN(F1241)-2),F1241))*IF(AND(LEFT(F1241,1)="(",RIGHT(F1241,1)=")"),-1,1)*IF(E1241="Cr",Setup!$B$6,1),"ERR")))</f>
        <v/>
      </c>
      <c r="H1241" s="6">
        <f>IF(C1241="","",IF(ISNUMBER(G1241),1,0))</f>
        <v/>
      </c>
      <c r="I1241" s="6">
        <f>IF(C1241="","",IF(SUMPRODUCT(($C$12:$C$1511=C1241)*1)&gt;1,1,0))</f>
        <v/>
      </c>
      <c r="J1241" s="6">
        <f>IF(C1241="","",SUMPRODUCT((Mapping!$F$5:$F$504=Setup!$B$4&amp;"||"&amp;C1241)*ROW(Mapping!$F$5:$F$504)))</f>
        <v/>
      </c>
      <c r="K1241" s="6">
        <f>IF(C1241="","",IF(J1241=0,"UNMAPPED",LOWER(INDEX(Mapping!$D$1:$D$504,J1241))))</f>
        <v/>
      </c>
      <c r="L1241" s="6">
        <f>IF(K1241="mapped",TRIM(INDEX(Mapping!$C$1:$C$504,J1241)),"")</f>
        <v/>
      </c>
      <c r="M1241" s="6">
        <f>IF(C1241="","",IF(SUMPRODUCT(($C$12:C1241=C1241)*1)=1,1,0))</f>
        <v/>
      </c>
      <c r="N1241" s="6">
        <f>IF(AND(K1241="UNMAPPED",M1241=1),ROW(),"")</f>
        <v/>
      </c>
      <c r="O1241" s="6">
        <f>IF(AND(I1241=1,M1241=1),ROW(),"")</f>
        <v/>
      </c>
      <c r="P1241" s="6">
        <f>IF(AND(K1241="ignored",M1241=1),ROW(),"")</f>
        <v/>
      </c>
    </row>
    <row r="1242">
      <c r="A1242" s="8" t="n"/>
      <c r="B1242" s="8" t="n"/>
      <c r="C1242" s="6">
        <f>TRIM(A1242&amp;"")</f>
        <v/>
      </c>
      <c r="D1242" s="6">
        <f>IF(C1242="","",SUBSTITUTE(SUBSTITUTE(SUBSTITUTE(SUBSTITUTE(SUBSTITUTE(SUBSTITUTE(SUBSTITUTE(UPPER(TRIM(B1242&amp;"")),"₹",""),"RS.",""),"RS",""),"INR",""),"$",""),",","")," ",""))</f>
        <v/>
      </c>
      <c r="E1242" s="6">
        <f>IF(C1242="","",IF(RIGHT(D1242,2)="CR","Cr",IF(RIGHT(D1242,2)="DR","Dr","")))</f>
        <v/>
      </c>
      <c r="F1242" s="6">
        <f>IF(C1242="","",IF(E1242&lt;&gt;"",LEFT(D1242,LEN(D1242)-2),D1242))</f>
        <v/>
      </c>
      <c r="G1242" s="13">
        <f>IF(C1242="","",IF(OR(IF(AND(LEFT(F1242,1)="(",RIGHT(F1242,1)=")"),MID(F1242,2,LEN(F1242)-2),F1242)="",IF(AND(LEFT(F1242,1)="(",RIGHT(F1242,1)=")"),MID(F1242,2,LEN(F1242)-2),F1242)="-"),0,IFERROR(VALUE(IF(AND(LEFT(F1242,1)="(",RIGHT(F1242,1)=")"),MID(F1242,2,LEN(F1242)-2),F1242))*IF(AND(LEFT(F1242,1)="(",RIGHT(F1242,1)=")"),-1,1)*IF(E1242="Cr",Setup!$B$6,1),"ERR")))</f>
        <v/>
      </c>
      <c r="H1242" s="6">
        <f>IF(C1242="","",IF(ISNUMBER(G1242),1,0))</f>
        <v/>
      </c>
      <c r="I1242" s="6">
        <f>IF(C1242="","",IF(SUMPRODUCT(($C$12:$C$1511=C1242)*1)&gt;1,1,0))</f>
        <v/>
      </c>
      <c r="J1242" s="6">
        <f>IF(C1242="","",SUMPRODUCT((Mapping!$F$5:$F$504=Setup!$B$4&amp;"||"&amp;C1242)*ROW(Mapping!$F$5:$F$504)))</f>
        <v/>
      </c>
      <c r="K1242" s="6">
        <f>IF(C1242="","",IF(J1242=0,"UNMAPPED",LOWER(INDEX(Mapping!$D$1:$D$504,J1242))))</f>
        <v/>
      </c>
      <c r="L1242" s="6">
        <f>IF(K1242="mapped",TRIM(INDEX(Mapping!$C$1:$C$504,J1242)),"")</f>
        <v/>
      </c>
      <c r="M1242" s="6">
        <f>IF(C1242="","",IF(SUMPRODUCT(($C$12:C1242=C1242)*1)=1,1,0))</f>
        <v/>
      </c>
      <c r="N1242" s="6">
        <f>IF(AND(K1242="UNMAPPED",M1242=1),ROW(),"")</f>
        <v/>
      </c>
      <c r="O1242" s="6">
        <f>IF(AND(I1242=1,M1242=1),ROW(),"")</f>
        <v/>
      </c>
      <c r="P1242" s="6">
        <f>IF(AND(K1242="ignored",M1242=1),ROW(),"")</f>
        <v/>
      </c>
    </row>
    <row r="1243">
      <c r="A1243" s="8" t="n"/>
      <c r="B1243" s="8" t="n"/>
      <c r="C1243" s="6">
        <f>TRIM(A1243&amp;"")</f>
        <v/>
      </c>
      <c r="D1243" s="6">
        <f>IF(C1243="","",SUBSTITUTE(SUBSTITUTE(SUBSTITUTE(SUBSTITUTE(SUBSTITUTE(SUBSTITUTE(SUBSTITUTE(UPPER(TRIM(B1243&amp;"")),"₹",""),"RS.",""),"RS",""),"INR",""),"$",""),",","")," ",""))</f>
        <v/>
      </c>
      <c r="E1243" s="6">
        <f>IF(C1243="","",IF(RIGHT(D1243,2)="CR","Cr",IF(RIGHT(D1243,2)="DR","Dr","")))</f>
        <v/>
      </c>
      <c r="F1243" s="6">
        <f>IF(C1243="","",IF(E1243&lt;&gt;"",LEFT(D1243,LEN(D1243)-2),D1243))</f>
        <v/>
      </c>
      <c r="G1243" s="13">
        <f>IF(C1243="","",IF(OR(IF(AND(LEFT(F1243,1)="(",RIGHT(F1243,1)=")"),MID(F1243,2,LEN(F1243)-2),F1243)="",IF(AND(LEFT(F1243,1)="(",RIGHT(F1243,1)=")"),MID(F1243,2,LEN(F1243)-2),F1243)="-"),0,IFERROR(VALUE(IF(AND(LEFT(F1243,1)="(",RIGHT(F1243,1)=")"),MID(F1243,2,LEN(F1243)-2),F1243))*IF(AND(LEFT(F1243,1)="(",RIGHT(F1243,1)=")"),-1,1)*IF(E1243="Cr",Setup!$B$6,1),"ERR")))</f>
        <v/>
      </c>
      <c r="H1243" s="6">
        <f>IF(C1243="","",IF(ISNUMBER(G1243),1,0))</f>
        <v/>
      </c>
      <c r="I1243" s="6">
        <f>IF(C1243="","",IF(SUMPRODUCT(($C$12:$C$1511=C1243)*1)&gt;1,1,0))</f>
        <v/>
      </c>
      <c r="J1243" s="6">
        <f>IF(C1243="","",SUMPRODUCT((Mapping!$F$5:$F$504=Setup!$B$4&amp;"||"&amp;C1243)*ROW(Mapping!$F$5:$F$504)))</f>
        <v/>
      </c>
      <c r="K1243" s="6">
        <f>IF(C1243="","",IF(J1243=0,"UNMAPPED",LOWER(INDEX(Mapping!$D$1:$D$504,J1243))))</f>
        <v/>
      </c>
      <c r="L1243" s="6">
        <f>IF(K1243="mapped",TRIM(INDEX(Mapping!$C$1:$C$504,J1243)),"")</f>
        <v/>
      </c>
      <c r="M1243" s="6">
        <f>IF(C1243="","",IF(SUMPRODUCT(($C$12:C1243=C1243)*1)=1,1,0))</f>
        <v/>
      </c>
      <c r="N1243" s="6">
        <f>IF(AND(K1243="UNMAPPED",M1243=1),ROW(),"")</f>
        <v/>
      </c>
      <c r="O1243" s="6">
        <f>IF(AND(I1243=1,M1243=1),ROW(),"")</f>
        <v/>
      </c>
      <c r="P1243" s="6">
        <f>IF(AND(K1243="ignored",M1243=1),ROW(),"")</f>
        <v/>
      </c>
    </row>
    <row r="1244">
      <c r="A1244" s="8" t="n"/>
      <c r="B1244" s="8" t="n"/>
      <c r="C1244" s="6">
        <f>TRIM(A1244&amp;"")</f>
        <v/>
      </c>
      <c r="D1244" s="6">
        <f>IF(C1244="","",SUBSTITUTE(SUBSTITUTE(SUBSTITUTE(SUBSTITUTE(SUBSTITUTE(SUBSTITUTE(SUBSTITUTE(UPPER(TRIM(B1244&amp;"")),"₹",""),"RS.",""),"RS",""),"INR",""),"$",""),",","")," ",""))</f>
        <v/>
      </c>
      <c r="E1244" s="6">
        <f>IF(C1244="","",IF(RIGHT(D1244,2)="CR","Cr",IF(RIGHT(D1244,2)="DR","Dr","")))</f>
        <v/>
      </c>
      <c r="F1244" s="6">
        <f>IF(C1244="","",IF(E1244&lt;&gt;"",LEFT(D1244,LEN(D1244)-2),D1244))</f>
        <v/>
      </c>
      <c r="G1244" s="13">
        <f>IF(C1244="","",IF(OR(IF(AND(LEFT(F1244,1)="(",RIGHT(F1244,1)=")"),MID(F1244,2,LEN(F1244)-2),F1244)="",IF(AND(LEFT(F1244,1)="(",RIGHT(F1244,1)=")"),MID(F1244,2,LEN(F1244)-2),F1244)="-"),0,IFERROR(VALUE(IF(AND(LEFT(F1244,1)="(",RIGHT(F1244,1)=")"),MID(F1244,2,LEN(F1244)-2),F1244))*IF(AND(LEFT(F1244,1)="(",RIGHT(F1244,1)=")"),-1,1)*IF(E1244="Cr",Setup!$B$6,1),"ERR")))</f>
        <v/>
      </c>
      <c r="H1244" s="6">
        <f>IF(C1244="","",IF(ISNUMBER(G1244),1,0))</f>
        <v/>
      </c>
      <c r="I1244" s="6">
        <f>IF(C1244="","",IF(SUMPRODUCT(($C$12:$C$1511=C1244)*1)&gt;1,1,0))</f>
        <v/>
      </c>
      <c r="J1244" s="6">
        <f>IF(C1244="","",SUMPRODUCT((Mapping!$F$5:$F$504=Setup!$B$4&amp;"||"&amp;C1244)*ROW(Mapping!$F$5:$F$504)))</f>
        <v/>
      </c>
      <c r="K1244" s="6">
        <f>IF(C1244="","",IF(J1244=0,"UNMAPPED",LOWER(INDEX(Mapping!$D$1:$D$504,J1244))))</f>
        <v/>
      </c>
      <c r="L1244" s="6">
        <f>IF(K1244="mapped",TRIM(INDEX(Mapping!$C$1:$C$504,J1244)),"")</f>
        <v/>
      </c>
      <c r="M1244" s="6">
        <f>IF(C1244="","",IF(SUMPRODUCT(($C$12:C1244=C1244)*1)=1,1,0))</f>
        <v/>
      </c>
      <c r="N1244" s="6">
        <f>IF(AND(K1244="UNMAPPED",M1244=1),ROW(),"")</f>
        <v/>
      </c>
      <c r="O1244" s="6">
        <f>IF(AND(I1244=1,M1244=1),ROW(),"")</f>
        <v/>
      </c>
      <c r="P1244" s="6">
        <f>IF(AND(K1244="ignored",M1244=1),ROW(),"")</f>
        <v/>
      </c>
    </row>
    <row r="1245">
      <c r="A1245" s="8" t="n"/>
      <c r="B1245" s="8" t="n"/>
      <c r="C1245" s="6">
        <f>TRIM(A1245&amp;"")</f>
        <v/>
      </c>
      <c r="D1245" s="6">
        <f>IF(C1245="","",SUBSTITUTE(SUBSTITUTE(SUBSTITUTE(SUBSTITUTE(SUBSTITUTE(SUBSTITUTE(SUBSTITUTE(UPPER(TRIM(B1245&amp;"")),"₹",""),"RS.",""),"RS",""),"INR",""),"$",""),",","")," ",""))</f>
        <v/>
      </c>
      <c r="E1245" s="6">
        <f>IF(C1245="","",IF(RIGHT(D1245,2)="CR","Cr",IF(RIGHT(D1245,2)="DR","Dr","")))</f>
        <v/>
      </c>
      <c r="F1245" s="6">
        <f>IF(C1245="","",IF(E1245&lt;&gt;"",LEFT(D1245,LEN(D1245)-2),D1245))</f>
        <v/>
      </c>
      <c r="G1245" s="13">
        <f>IF(C1245="","",IF(OR(IF(AND(LEFT(F1245,1)="(",RIGHT(F1245,1)=")"),MID(F1245,2,LEN(F1245)-2),F1245)="",IF(AND(LEFT(F1245,1)="(",RIGHT(F1245,1)=")"),MID(F1245,2,LEN(F1245)-2),F1245)="-"),0,IFERROR(VALUE(IF(AND(LEFT(F1245,1)="(",RIGHT(F1245,1)=")"),MID(F1245,2,LEN(F1245)-2),F1245))*IF(AND(LEFT(F1245,1)="(",RIGHT(F1245,1)=")"),-1,1)*IF(E1245="Cr",Setup!$B$6,1),"ERR")))</f>
        <v/>
      </c>
      <c r="H1245" s="6">
        <f>IF(C1245="","",IF(ISNUMBER(G1245),1,0))</f>
        <v/>
      </c>
      <c r="I1245" s="6">
        <f>IF(C1245="","",IF(SUMPRODUCT(($C$12:$C$1511=C1245)*1)&gt;1,1,0))</f>
        <v/>
      </c>
      <c r="J1245" s="6">
        <f>IF(C1245="","",SUMPRODUCT((Mapping!$F$5:$F$504=Setup!$B$4&amp;"||"&amp;C1245)*ROW(Mapping!$F$5:$F$504)))</f>
        <v/>
      </c>
      <c r="K1245" s="6">
        <f>IF(C1245="","",IF(J1245=0,"UNMAPPED",LOWER(INDEX(Mapping!$D$1:$D$504,J1245))))</f>
        <v/>
      </c>
      <c r="L1245" s="6">
        <f>IF(K1245="mapped",TRIM(INDEX(Mapping!$C$1:$C$504,J1245)),"")</f>
        <v/>
      </c>
      <c r="M1245" s="6">
        <f>IF(C1245="","",IF(SUMPRODUCT(($C$12:C1245=C1245)*1)=1,1,0))</f>
        <v/>
      </c>
      <c r="N1245" s="6">
        <f>IF(AND(K1245="UNMAPPED",M1245=1),ROW(),"")</f>
        <v/>
      </c>
      <c r="O1245" s="6">
        <f>IF(AND(I1245=1,M1245=1),ROW(),"")</f>
        <v/>
      </c>
      <c r="P1245" s="6">
        <f>IF(AND(K1245="ignored",M1245=1),ROW(),"")</f>
        <v/>
      </c>
    </row>
    <row r="1246">
      <c r="A1246" s="8" t="n"/>
      <c r="B1246" s="8" t="n"/>
      <c r="C1246" s="6">
        <f>TRIM(A1246&amp;"")</f>
        <v/>
      </c>
      <c r="D1246" s="6">
        <f>IF(C1246="","",SUBSTITUTE(SUBSTITUTE(SUBSTITUTE(SUBSTITUTE(SUBSTITUTE(SUBSTITUTE(SUBSTITUTE(UPPER(TRIM(B1246&amp;"")),"₹",""),"RS.",""),"RS",""),"INR",""),"$",""),",","")," ",""))</f>
        <v/>
      </c>
      <c r="E1246" s="6">
        <f>IF(C1246="","",IF(RIGHT(D1246,2)="CR","Cr",IF(RIGHT(D1246,2)="DR","Dr","")))</f>
        <v/>
      </c>
      <c r="F1246" s="6">
        <f>IF(C1246="","",IF(E1246&lt;&gt;"",LEFT(D1246,LEN(D1246)-2),D1246))</f>
        <v/>
      </c>
      <c r="G1246" s="13">
        <f>IF(C1246="","",IF(OR(IF(AND(LEFT(F1246,1)="(",RIGHT(F1246,1)=")"),MID(F1246,2,LEN(F1246)-2),F1246)="",IF(AND(LEFT(F1246,1)="(",RIGHT(F1246,1)=")"),MID(F1246,2,LEN(F1246)-2),F1246)="-"),0,IFERROR(VALUE(IF(AND(LEFT(F1246,1)="(",RIGHT(F1246,1)=")"),MID(F1246,2,LEN(F1246)-2),F1246))*IF(AND(LEFT(F1246,1)="(",RIGHT(F1246,1)=")"),-1,1)*IF(E1246="Cr",Setup!$B$6,1),"ERR")))</f>
        <v/>
      </c>
      <c r="H1246" s="6">
        <f>IF(C1246="","",IF(ISNUMBER(G1246),1,0))</f>
        <v/>
      </c>
      <c r="I1246" s="6">
        <f>IF(C1246="","",IF(SUMPRODUCT(($C$12:$C$1511=C1246)*1)&gt;1,1,0))</f>
        <v/>
      </c>
      <c r="J1246" s="6">
        <f>IF(C1246="","",SUMPRODUCT((Mapping!$F$5:$F$504=Setup!$B$4&amp;"||"&amp;C1246)*ROW(Mapping!$F$5:$F$504)))</f>
        <v/>
      </c>
      <c r="K1246" s="6">
        <f>IF(C1246="","",IF(J1246=0,"UNMAPPED",LOWER(INDEX(Mapping!$D$1:$D$504,J1246))))</f>
        <v/>
      </c>
      <c r="L1246" s="6">
        <f>IF(K1246="mapped",TRIM(INDEX(Mapping!$C$1:$C$504,J1246)),"")</f>
        <v/>
      </c>
      <c r="M1246" s="6">
        <f>IF(C1246="","",IF(SUMPRODUCT(($C$12:C1246=C1246)*1)=1,1,0))</f>
        <v/>
      </c>
      <c r="N1246" s="6">
        <f>IF(AND(K1246="UNMAPPED",M1246=1),ROW(),"")</f>
        <v/>
      </c>
      <c r="O1246" s="6">
        <f>IF(AND(I1246=1,M1246=1),ROW(),"")</f>
        <v/>
      </c>
      <c r="P1246" s="6">
        <f>IF(AND(K1246="ignored",M1246=1),ROW(),"")</f>
        <v/>
      </c>
    </row>
    <row r="1247">
      <c r="A1247" s="8" t="n"/>
      <c r="B1247" s="8" t="n"/>
      <c r="C1247" s="6">
        <f>TRIM(A1247&amp;"")</f>
        <v/>
      </c>
      <c r="D1247" s="6">
        <f>IF(C1247="","",SUBSTITUTE(SUBSTITUTE(SUBSTITUTE(SUBSTITUTE(SUBSTITUTE(SUBSTITUTE(SUBSTITUTE(UPPER(TRIM(B1247&amp;"")),"₹",""),"RS.",""),"RS",""),"INR",""),"$",""),",","")," ",""))</f>
        <v/>
      </c>
      <c r="E1247" s="6">
        <f>IF(C1247="","",IF(RIGHT(D1247,2)="CR","Cr",IF(RIGHT(D1247,2)="DR","Dr","")))</f>
        <v/>
      </c>
      <c r="F1247" s="6">
        <f>IF(C1247="","",IF(E1247&lt;&gt;"",LEFT(D1247,LEN(D1247)-2),D1247))</f>
        <v/>
      </c>
      <c r="G1247" s="13">
        <f>IF(C1247="","",IF(OR(IF(AND(LEFT(F1247,1)="(",RIGHT(F1247,1)=")"),MID(F1247,2,LEN(F1247)-2),F1247)="",IF(AND(LEFT(F1247,1)="(",RIGHT(F1247,1)=")"),MID(F1247,2,LEN(F1247)-2),F1247)="-"),0,IFERROR(VALUE(IF(AND(LEFT(F1247,1)="(",RIGHT(F1247,1)=")"),MID(F1247,2,LEN(F1247)-2),F1247))*IF(AND(LEFT(F1247,1)="(",RIGHT(F1247,1)=")"),-1,1)*IF(E1247="Cr",Setup!$B$6,1),"ERR")))</f>
        <v/>
      </c>
      <c r="H1247" s="6">
        <f>IF(C1247="","",IF(ISNUMBER(G1247),1,0))</f>
        <v/>
      </c>
      <c r="I1247" s="6">
        <f>IF(C1247="","",IF(SUMPRODUCT(($C$12:$C$1511=C1247)*1)&gt;1,1,0))</f>
        <v/>
      </c>
      <c r="J1247" s="6">
        <f>IF(C1247="","",SUMPRODUCT((Mapping!$F$5:$F$504=Setup!$B$4&amp;"||"&amp;C1247)*ROW(Mapping!$F$5:$F$504)))</f>
        <v/>
      </c>
      <c r="K1247" s="6">
        <f>IF(C1247="","",IF(J1247=0,"UNMAPPED",LOWER(INDEX(Mapping!$D$1:$D$504,J1247))))</f>
        <v/>
      </c>
      <c r="L1247" s="6">
        <f>IF(K1247="mapped",TRIM(INDEX(Mapping!$C$1:$C$504,J1247)),"")</f>
        <v/>
      </c>
      <c r="M1247" s="6">
        <f>IF(C1247="","",IF(SUMPRODUCT(($C$12:C1247=C1247)*1)=1,1,0))</f>
        <v/>
      </c>
      <c r="N1247" s="6">
        <f>IF(AND(K1247="UNMAPPED",M1247=1),ROW(),"")</f>
        <v/>
      </c>
      <c r="O1247" s="6">
        <f>IF(AND(I1247=1,M1247=1),ROW(),"")</f>
        <v/>
      </c>
      <c r="P1247" s="6">
        <f>IF(AND(K1247="ignored",M1247=1),ROW(),"")</f>
        <v/>
      </c>
    </row>
    <row r="1248">
      <c r="A1248" s="8" t="n"/>
      <c r="B1248" s="8" t="n"/>
      <c r="C1248" s="6">
        <f>TRIM(A1248&amp;"")</f>
        <v/>
      </c>
      <c r="D1248" s="6">
        <f>IF(C1248="","",SUBSTITUTE(SUBSTITUTE(SUBSTITUTE(SUBSTITUTE(SUBSTITUTE(SUBSTITUTE(SUBSTITUTE(UPPER(TRIM(B1248&amp;"")),"₹",""),"RS.",""),"RS",""),"INR",""),"$",""),",","")," ",""))</f>
        <v/>
      </c>
      <c r="E1248" s="6">
        <f>IF(C1248="","",IF(RIGHT(D1248,2)="CR","Cr",IF(RIGHT(D1248,2)="DR","Dr","")))</f>
        <v/>
      </c>
      <c r="F1248" s="6">
        <f>IF(C1248="","",IF(E1248&lt;&gt;"",LEFT(D1248,LEN(D1248)-2),D1248))</f>
        <v/>
      </c>
      <c r="G1248" s="13">
        <f>IF(C1248="","",IF(OR(IF(AND(LEFT(F1248,1)="(",RIGHT(F1248,1)=")"),MID(F1248,2,LEN(F1248)-2),F1248)="",IF(AND(LEFT(F1248,1)="(",RIGHT(F1248,1)=")"),MID(F1248,2,LEN(F1248)-2),F1248)="-"),0,IFERROR(VALUE(IF(AND(LEFT(F1248,1)="(",RIGHT(F1248,1)=")"),MID(F1248,2,LEN(F1248)-2),F1248))*IF(AND(LEFT(F1248,1)="(",RIGHT(F1248,1)=")"),-1,1)*IF(E1248="Cr",Setup!$B$6,1),"ERR")))</f>
        <v/>
      </c>
      <c r="H1248" s="6">
        <f>IF(C1248="","",IF(ISNUMBER(G1248),1,0))</f>
        <v/>
      </c>
      <c r="I1248" s="6">
        <f>IF(C1248="","",IF(SUMPRODUCT(($C$12:$C$1511=C1248)*1)&gt;1,1,0))</f>
        <v/>
      </c>
      <c r="J1248" s="6">
        <f>IF(C1248="","",SUMPRODUCT((Mapping!$F$5:$F$504=Setup!$B$4&amp;"||"&amp;C1248)*ROW(Mapping!$F$5:$F$504)))</f>
        <v/>
      </c>
      <c r="K1248" s="6">
        <f>IF(C1248="","",IF(J1248=0,"UNMAPPED",LOWER(INDEX(Mapping!$D$1:$D$504,J1248))))</f>
        <v/>
      </c>
      <c r="L1248" s="6">
        <f>IF(K1248="mapped",TRIM(INDEX(Mapping!$C$1:$C$504,J1248)),"")</f>
        <v/>
      </c>
      <c r="M1248" s="6">
        <f>IF(C1248="","",IF(SUMPRODUCT(($C$12:C1248=C1248)*1)=1,1,0))</f>
        <v/>
      </c>
      <c r="N1248" s="6">
        <f>IF(AND(K1248="UNMAPPED",M1248=1),ROW(),"")</f>
        <v/>
      </c>
      <c r="O1248" s="6">
        <f>IF(AND(I1248=1,M1248=1),ROW(),"")</f>
        <v/>
      </c>
      <c r="P1248" s="6">
        <f>IF(AND(K1248="ignored",M1248=1),ROW(),"")</f>
        <v/>
      </c>
    </row>
    <row r="1249">
      <c r="A1249" s="8" t="n"/>
      <c r="B1249" s="8" t="n"/>
      <c r="C1249" s="6">
        <f>TRIM(A1249&amp;"")</f>
        <v/>
      </c>
      <c r="D1249" s="6">
        <f>IF(C1249="","",SUBSTITUTE(SUBSTITUTE(SUBSTITUTE(SUBSTITUTE(SUBSTITUTE(SUBSTITUTE(SUBSTITUTE(UPPER(TRIM(B1249&amp;"")),"₹",""),"RS.",""),"RS",""),"INR",""),"$",""),",","")," ",""))</f>
        <v/>
      </c>
      <c r="E1249" s="6">
        <f>IF(C1249="","",IF(RIGHT(D1249,2)="CR","Cr",IF(RIGHT(D1249,2)="DR","Dr","")))</f>
        <v/>
      </c>
      <c r="F1249" s="6">
        <f>IF(C1249="","",IF(E1249&lt;&gt;"",LEFT(D1249,LEN(D1249)-2),D1249))</f>
        <v/>
      </c>
      <c r="G1249" s="13">
        <f>IF(C1249="","",IF(OR(IF(AND(LEFT(F1249,1)="(",RIGHT(F1249,1)=")"),MID(F1249,2,LEN(F1249)-2),F1249)="",IF(AND(LEFT(F1249,1)="(",RIGHT(F1249,1)=")"),MID(F1249,2,LEN(F1249)-2),F1249)="-"),0,IFERROR(VALUE(IF(AND(LEFT(F1249,1)="(",RIGHT(F1249,1)=")"),MID(F1249,2,LEN(F1249)-2),F1249))*IF(AND(LEFT(F1249,1)="(",RIGHT(F1249,1)=")"),-1,1)*IF(E1249="Cr",Setup!$B$6,1),"ERR")))</f>
        <v/>
      </c>
      <c r="H1249" s="6">
        <f>IF(C1249="","",IF(ISNUMBER(G1249),1,0))</f>
        <v/>
      </c>
      <c r="I1249" s="6">
        <f>IF(C1249="","",IF(SUMPRODUCT(($C$12:$C$1511=C1249)*1)&gt;1,1,0))</f>
        <v/>
      </c>
      <c r="J1249" s="6">
        <f>IF(C1249="","",SUMPRODUCT((Mapping!$F$5:$F$504=Setup!$B$4&amp;"||"&amp;C1249)*ROW(Mapping!$F$5:$F$504)))</f>
        <v/>
      </c>
      <c r="K1249" s="6">
        <f>IF(C1249="","",IF(J1249=0,"UNMAPPED",LOWER(INDEX(Mapping!$D$1:$D$504,J1249))))</f>
        <v/>
      </c>
      <c r="L1249" s="6">
        <f>IF(K1249="mapped",TRIM(INDEX(Mapping!$C$1:$C$504,J1249)),"")</f>
        <v/>
      </c>
      <c r="M1249" s="6">
        <f>IF(C1249="","",IF(SUMPRODUCT(($C$12:C1249=C1249)*1)=1,1,0))</f>
        <v/>
      </c>
      <c r="N1249" s="6">
        <f>IF(AND(K1249="UNMAPPED",M1249=1),ROW(),"")</f>
        <v/>
      </c>
      <c r="O1249" s="6">
        <f>IF(AND(I1249=1,M1249=1),ROW(),"")</f>
        <v/>
      </c>
      <c r="P1249" s="6">
        <f>IF(AND(K1249="ignored",M1249=1),ROW(),"")</f>
        <v/>
      </c>
    </row>
    <row r="1250">
      <c r="A1250" s="8" t="n"/>
      <c r="B1250" s="8" t="n"/>
      <c r="C1250" s="6">
        <f>TRIM(A1250&amp;"")</f>
        <v/>
      </c>
      <c r="D1250" s="6">
        <f>IF(C1250="","",SUBSTITUTE(SUBSTITUTE(SUBSTITUTE(SUBSTITUTE(SUBSTITUTE(SUBSTITUTE(SUBSTITUTE(UPPER(TRIM(B1250&amp;"")),"₹",""),"RS.",""),"RS",""),"INR",""),"$",""),",","")," ",""))</f>
        <v/>
      </c>
      <c r="E1250" s="6">
        <f>IF(C1250="","",IF(RIGHT(D1250,2)="CR","Cr",IF(RIGHT(D1250,2)="DR","Dr","")))</f>
        <v/>
      </c>
      <c r="F1250" s="6">
        <f>IF(C1250="","",IF(E1250&lt;&gt;"",LEFT(D1250,LEN(D1250)-2),D1250))</f>
        <v/>
      </c>
      <c r="G1250" s="13">
        <f>IF(C1250="","",IF(OR(IF(AND(LEFT(F1250,1)="(",RIGHT(F1250,1)=")"),MID(F1250,2,LEN(F1250)-2),F1250)="",IF(AND(LEFT(F1250,1)="(",RIGHT(F1250,1)=")"),MID(F1250,2,LEN(F1250)-2),F1250)="-"),0,IFERROR(VALUE(IF(AND(LEFT(F1250,1)="(",RIGHT(F1250,1)=")"),MID(F1250,2,LEN(F1250)-2),F1250))*IF(AND(LEFT(F1250,1)="(",RIGHT(F1250,1)=")"),-1,1)*IF(E1250="Cr",Setup!$B$6,1),"ERR")))</f>
        <v/>
      </c>
      <c r="H1250" s="6">
        <f>IF(C1250="","",IF(ISNUMBER(G1250),1,0))</f>
        <v/>
      </c>
      <c r="I1250" s="6">
        <f>IF(C1250="","",IF(SUMPRODUCT(($C$12:$C$1511=C1250)*1)&gt;1,1,0))</f>
        <v/>
      </c>
      <c r="J1250" s="6">
        <f>IF(C1250="","",SUMPRODUCT((Mapping!$F$5:$F$504=Setup!$B$4&amp;"||"&amp;C1250)*ROW(Mapping!$F$5:$F$504)))</f>
        <v/>
      </c>
      <c r="K1250" s="6">
        <f>IF(C1250="","",IF(J1250=0,"UNMAPPED",LOWER(INDEX(Mapping!$D$1:$D$504,J1250))))</f>
        <v/>
      </c>
      <c r="L1250" s="6">
        <f>IF(K1250="mapped",TRIM(INDEX(Mapping!$C$1:$C$504,J1250)),"")</f>
        <v/>
      </c>
      <c r="M1250" s="6">
        <f>IF(C1250="","",IF(SUMPRODUCT(($C$12:C1250=C1250)*1)=1,1,0))</f>
        <v/>
      </c>
      <c r="N1250" s="6">
        <f>IF(AND(K1250="UNMAPPED",M1250=1),ROW(),"")</f>
        <v/>
      </c>
      <c r="O1250" s="6">
        <f>IF(AND(I1250=1,M1250=1),ROW(),"")</f>
        <v/>
      </c>
      <c r="P1250" s="6">
        <f>IF(AND(K1250="ignored",M1250=1),ROW(),"")</f>
        <v/>
      </c>
    </row>
    <row r="1251">
      <c r="A1251" s="8" t="n"/>
      <c r="B1251" s="8" t="n"/>
      <c r="C1251" s="6">
        <f>TRIM(A1251&amp;"")</f>
        <v/>
      </c>
      <c r="D1251" s="6">
        <f>IF(C1251="","",SUBSTITUTE(SUBSTITUTE(SUBSTITUTE(SUBSTITUTE(SUBSTITUTE(SUBSTITUTE(SUBSTITUTE(UPPER(TRIM(B1251&amp;"")),"₹",""),"RS.",""),"RS",""),"INR",""),"$",""),",","")," ",""))</f>
        <v/>
      </c>
      <c r="E1251" s="6">
        <f>IF(C1251="","",IF(RIGHT(D1251,2)="CR","Cr",IF(RIGHT(D1251,2)="DR","Dr","")))</f>
        <v/>
      </c>
      <c r="F1251" s="6">
        <f>IF(C1251="","",IF(E1251&lt;&gt;"",LEFT(D1251,LEN(D1251)-2),D1251))</f>
        <v/>
      </c>
      <c r="G1251" s="13">
        <f>IF(C1251="","",IF(OR(IF(AND(LEFT(F1251,1)="(",RIGHT(F1251,1)=")"),MID(F1251,2,LEN(F1251)-2),F1251)="",IF(AND(LEFT(F1251,1)="(",RIGHT(F1251,1)=")"),MID(F1251,2,LEN(F1251)-2),F1251)="-"),0,IFERROR(VALUE(IF(AND(LEFT(F1251,1)="(",RIGHT(F1251,1)=")"),MID(F1251,2,LEN(F1251)-2),F1251))*IF(AND(LEFT(F1251,1)="(",RIGHT(F1251,1)=")"),-1,1)*IF(E1251="Cr",Setup!$B$6,1),"ERR")))</f>
        <v/>
      </c>
      <c r="H1251" s="6">
        <f>IF(C1251="","",IF(ISNUMBER(G1251),1,0))</f>
        <v/>
      </c>
      <c r="I1251" s="6">
        <f>IF(C1251="","",IF(SUMPRODUCT(($C$12:$C$1511=C1251)*1)&gt;1,1,0))</f>
        <v/>
      </c>
      <c r="J1251" s="6">
        <f>IF(C1251="","",SUMPRODUCT((Mapping!$F$5:$F$504=Setup!$B$4&amp;"||"&amp;C1251)*ROW(Mapping!$F$5:$F$504)))</f>
        <v/>
      </c>
      <c r="K1251" s="6">
        <f>IF(C1251="","",IF(J1251=0,"UNMAPPED",LOWER(INDEX(Mapping!$D$1:$D$504,J1251))))</f>
        <v/>
      </c>
      <c r="L1251" s="6">
        <f>IF(K1251="mapped",TRIM(INDEX(Mapping!$C$1:$C$504,J1251)),"")</f>
        <v/>
      </c>
      <c r="M1251" s="6">
        <f>IF(C1251="","",IF(SUMPRODUCT(($C$12:C1251=C1251)*1)=1,1,0))</f>
        <v/>
      </c>
      <c r="N1251" s="6">
        <f>IF(AND(K1251="UNMAPPED",M1251=1),ROW(),"")</f>
        <v/>
      </c>
      <c r="O1251" s="6">
        <f>IF(AND(I1251=1,M1251=1),ROW(),"")</f>
        <v/>
      </c>
      <c r="P1251" s="6">
        <f>IF(AND(K1251="ignored",M1251=1),ROW(),"")</f>
        <v/>
      </c>
    </row>
    <row r="1252">
      <c r="A1252" s="8" t="n"/>
      <c r="B1252" s="8" t="n"/>
      <c r="C1252" s="6">
        <f>TRIM(A1252&amp;"")</f>
        <v/>
      </c>
      <c r="D1252" s="6">
        <f>IF(C1252="","",SUBSTITUTE(SUBSTITUTE(SUBSTITUTE(SUBSTITUTE(SUBSTITUTE(SUBSTITUTE(SUBSTITUTE(UPPER(TRIM(B1252&amp;"")),"₹",""),"RS.",""),"RS",""),"INR",""),"$",""),",","")," ",""))</f>
        <v/>
      </c>
      <c r="E1252" s="6">
        <f>IF(C1252="","",IF(RIGHT(D1252,2)="CR","Cr",IF(RIGHT(D1252,2)="DR","Dr","")))</f>
        <v/>
      </c>
      <c r="F1252" s="6">
        <f>IF(C1252="","",IF(E1252&lt;&gt;"",LEFT(D1252,LEN(D1252)-2),D1252))</f>
        <v/>
      </c>
      <c r="G1252" s="13">
        <f>IF(C1252="","",IF(OR(IF(AND(LEFT(F1252,1)="(",RIGHT(F1252,1)=")"),MID(F1252,2,LEN(F1252)-2),F1252)="",IF(AND(LEFT(F1252,1)="(",RIGHT(F1252,1)=")"),MID(F1252,2,LEN(F1252)-2),F1252)="-"),0,IFERROR(VALUE(IF(AND(LEFT(F1252,1)="(",RIGHT(F1252,1)=")"),MID(F1252,2,LEN(F1252)-2),F1252))*IF(AND(LEFT(F1252,1)="(",RIGHT(F1252,1)=")"),-1,1)*IF(E1252="Cr",Setup!$B$6,1),"ERR")))</f>
        <v/>
      </c>
      <c r="H1252" s="6">
        <f>IF(C1252="","",IF(ISNUMBER(G1252),1,0))</f>
        <v/>
      </c>
      <c r="I1252" s="6">
        <f>IF(C1252="","",IF(SUMPRODUCT(($C$12:$C$1511=C1252)*1)&gt;1,1,0))</f>
        <v/>
      </c>
      <c r="J1252" s="6">
        <f>IF(C1252="","",SUMPRODUCT((Mapping!$F$5:$F$504=Setup!$B$4&amp;"||"&amp;C1252)*ROW(Mapping!$F$5:$F$504)))</f>
        <v/>
      </c>
      <c r="K1252" s="6">
        <f>IF(C1252="","",IF(J1252=0,"UNMAPPED",LOWER(INDEX(Mapping!$D$1:$D$504,J1252))))</f>
        <v/>
      </c>
      <c r="L1252" s="6">
        <f>IF(K1252="mapped",TRIM(INDEX(Mapping!$C$1:$C$504,J1252)),"")</f>
        <v/>
      </c>
      <c r="M1252" s="6">
        <f>IF(C1252="","",IF(SUMPRODUCT(($C$12:C1252=C1252)*1)=1,1,0))</f>
        <v/>
      </c>
      <c r="N1252" s="6">
        <f>IF(AND(K1252="UNMAPPED",M1252=1),ROW(),"")</f>
        <v/>
      </c>
      <c r="O1252" s="6">
        <f>IF(AND(I1252=1,M1252=1),ROW(),"")</f>
        <v/>
      </c>
      <c r="P1252" s="6">
        <f>IF(AND(K1252="ignored",M1252=1),ROW(),"")</f>
        <v/>
      </c>
    </row>
    <row r="1253">
      <c r="A1253" s="8" t="n"/>
      <c r="B1253" s="8" t="n"/>
      <c r="C1253" s="6">
        <f>TRIM(A1253&amp;"")</f>
        <v/>
      </c>
      <c r="D1253" s="6">
        <f>IF(C1253="","",SUBSTITUTE(SUBSTITUTE(SUBSTITUTE(SUBSTITUTE(SUBSTITUTE(SUBSTITUTE(SUBSTITUTE(UPPER(TRIM(B1253&amp;"")),"₹",""),"RS.",""),"RS",""),"INR",""),"$",""),",","")," ",""))</f>
        <v/>
      </c>
      <c r="E1253" s="6">
        <f>IF(C1253="","",IF(RIGHT(D1253,2)="CR","Cr",IF(RIGHT(D1253,2)="DR","Dr","")))</f>
        <v/>
      </c>
      <c r="F1253" s="6">
        <f>IF(C1253="","",IF(E1253&lt;&gt;"",LEFT(D1253,LEN(D1253)-2),D1253))</f>
        <v/>
      </c>
      <c r="G1253" s="13">
        <f>IF(C1253="","",IF(OR(IF(AND(LEFT(F1253,1)="(",RIGHT(F1253,1)=")"),MID(F1253,2,LEN(F1253)-2),F1253)="",IF(AND(LEFT(F1253,1)="(",RIGHT(F1253,1)=")"),MID(F1253,2,LEN(F1253)-2),F1253)="-"),0,IFERROR(VALUE(IF(AND(LEFT(F1253,1)="(",RIGHT(F1253,1)=")"),MID(F1253,2,LEN(F1253)-2),F1253))*IF(AND(LEFT(F1253,1)="(",RIGHT(F1253,1)=")"),-1,1)*IF(E1253="Cr",Setup!$B$6,1),"ERR")))</f>
        <v/>
      </c>
      <c r="H1253" s="6">
        <f>IF(C1253="","",IF(ISNUMBER(G1253),1,0))</f>
        <v/>
      </c>
      <c r="I1253" s="6">
        <f>IF(C1253="","",IF(SUMPRODUCT(($C$12:$C$1511=C1253)*1)&gt;1,1,0))</f>
        <v/>
      </c>
      <c r="J1253" s="6">
        <f>IF(C1253="","",SUMPRODUCT((Mapping!$F$5:$F$504=Setup!$B$4&amp;"||"&amp;C1253)*ROW(Mapping!$F$5:$F$504)))</f>
        <v/>
      </c>
      <c r="K1253" s="6">
        <f>IF(C1253="","",IF(J1253=0,"UNMAPPED",LOWER(INDEX(Mapping!$D$1:$D$504,J1253))))</f>
        <v/>
      </c>
      <c r="L1253" s="6">
        <f>IF(K1253="mapped",TRIM(INDEX(Mapping!$C$1:$C$504,J1253)),"")</f>
        <v/>
      </c>
      <c r="M1253" s="6">
        <f>IF(C1253="","",IF(SUMPRODUCT(($C$12:C1253=C1253)*1)=1,1,0))</f>
        <v/>
      </c>
      <c r="N1253" s="6">
        <f>IF(AND(K1253="UNMAPPED",M1253=1),ROW(),"")</f>
        <v/>
      </c>
      <c r="O1253" s="6">
        <f>IF(AND(I1253=1,M1253=1),ROW(),"")</f>
        <v/>
      </c>
      <c r="P1253" s="6">
        <f>IF(AND(K1253="ignored",M1253=1),ROW(),"")</f>
        <v/>
      </c>
    </row>
    <row r="1254">
      <c r="A1254" s="8" t="n"/>
      <c r="B1254" s="8" t="n"/>
      <c r="C1254" s="6">
        <f>TRIM(A1254&amp;"")</f>
        <v/>
      </c>
      <c r="D1254" s="6">
        <f>IF(C1254="","",SUBSTITUTE(SUBSTITUTE(SUBSTITUTE(SUBSTITUTE(SUBSTITUTE(SUBSTITUTE(SUBSTITUTE(UPPER(TRIM(B1254&amp;"")),"₹",""),"RS.",""),"RS",""),"INR",""),"$",""),",","")," ",""))</f>
        <v/>
      </c>
      <c r="E1254" s="6">
        <f>IF(C1254="","",IF(RIGHT(D1254,2)="CR","Cr",IF(RIGHT(D1254,2)="DR","Dr","")))</f>
        <v/>
      </c>
      <c r="F1254" s="6">
        <f>IF(C1254="","",IF(E1254&lt;&gt;"",LEFT(D1254,LEN(D1254)-2),D1254))</f>
        <v/>
      </c>
      <c r="G1254" s="13">
        <f>IF(C1254="","",IF(OR(IF(AND(LEFT(F1254,1)="(",RIGHT(F1254,1)=")"),MID(F1254,2,LEN(F1254)-2),F1254)="",IF(AND(LEFT(F1254,1)="(",RIGHT(F1254,1)=")"),MID(F1254,2,LEN(F1254)-2),F1254)="-"),0,IFERROR(VALUE(IF(AND(LEFT(F1254,1)="(",RIGHT(F1254,1)=")"),MID(F1254,2,LEN(F1254)-2),F1254))*IF(AND(LEFT(F1254,1)="(",RIGHT(F1254,1)=")"),-1,1)*IF(E1254="Cr",Setup!$B$6,1),"ERR")))</f>
        <v/>
      </c>
      <c r="H1254" s="6">
        <f>IF(C1254="","",IF(ISNUMBER(G1254),1,0))</f>
        <v/>
      </c>
      <c r="I1254" s="6">
        <f>IF(C1254="","",IF(SUMPRODUCT(($C$12:$C$1511=C1254)*1)&gt;1,1,0))</f>
        <v/>
      </c>
      <c r="J1254" s="6">
        <f>IF(C1254="","",SUMPRODUCT((Mapping!$F$5:$F$504=Setup!$B$4&amp;"||"&amp;C1254)*ROW(Mapping!$F$5:$F$504)))</f>
        <v/>
      </c>
      <c r="K1254" s="6">
        <f>IF(C1254="","",IF(J1254=0,"UNMAPPED",LOWER(INDEX(Mapping!$D$1:$D$504,J1254))))</f>
        <v/>
      </c>
      <c r="L1254" s="6">
        <f>IF(K1254="mapped",TRIM(INDEX(Mapping!$C$1:$C$504,J1254)),"")</f>
        <v/>
      </c>
      <c r="M1254" s="6">
        <f>IF(C1254="","",IF(SUMPRODUCT(($C$12:C1254=C1254)*1)=1,1,0))</f>
        <v/>
      </c>
      <c r="N1254" s="6">
        <f>IF(AND(K1254="UNMAPPED",M1254=1),ROW(),"")</f>
        <v/>
      </c>
      <c r="O1254" s="6">
        <f>IF(AND(I1254=1,M1254=1),ROW(),"")</f>
        <v/>
      </c>
      <c r="P1254" s="6">
        <f>IF(AND(K1254="ignored",M1254=1),ROW(),"")</f>
        <v/>
      </c>
    </row>
    <row r="1255">
      <c r="A1255" s="8" t="n"/>
      <c r="B1255" s="8" t="n"/>
      <c r="C1255" s="6">
        <f>TRIM(A1255&amp;"")</f>
        <v/>
      </c>
      <c r="D1255" s="6">
        <f>IF(C1255="","",SUBSTITUTE(SUBSTITUTE(SUBSTITUTE(SUBSTITUTE(SUBSTITUTE(SUBSTITUTE(SUBSTITUTE(UPPER(TRIM(B1255&amp;"")),"₹",""),"RS.",""),"RS",""),"INR",""),"$",""),",","")," ",""))</f>
        <v/>
      </c>
      <c r="E1255" s="6">
        <f>IF(C1255="","",IF(RIGHT(D1255,2)="CR","Cr",IF(RIGHT(D1255,2)="DR","Dr","")))</f>
        <v/>
      </c>
      <c r="F1255" s="6">
        <f>IF(C1255="","",IF(E1255&lt;&gt;"",LEFT(D1255,LEN(D1255)-2),D1255))</f>
        <v/>
      </c>
      <c r="G1255" s="13">
        <f>IF(C1255="","",IF(OR(IF(AND(LEFT(F1255,1)="(",RIGHT(F1255,1)=")"),MID(F1255,2,LEN(F1255)-2),F1255)="",IF(AND(LEFT(F1255,1)="(",RIGHT(F1255,1)=")"),MID(F1255,2,LEN(F1255)-2),F1255)="-"),0,IFERROR(VALUE(IF(AND(LEFT(F1255,1)="(",RIGHT(F1255,1)=")"),MID(F1255,2,LEN(F1255)-2),F1255))*IF(AND(LEFT(F1255,1)="(",RIGHT(F1255,1)=")"),-1,1)*IF(E1255="Cr",Setup!$B$6,1),"ERR")))</f>
        <v/>
      </c>
      <c r="H1255" s="6">
        <f>IF(C1255="","",IF(ISNUMBER(G1255),1,0))</f>
        <v/>
      </c>
      <c r="I1255" s="6">
        <f>IF(C1255="","",IF(SUMPRODUCT(($C$12:$C$1511=C1255)*1)&gt;1,1,0))</f>
        <v/>
      </c>
      <c r="J1255" s="6">
        <f>IF(C1255="","",SUMPRODUCT((Mapping!$F$5:$F$504=Setup!$B$4&amp;"||"&amp;C1255)*ROW(Mapping!$F$5:$F$504)))</f>
        <v/>
      </c>
      <c r="K1255" s="6">
        <f>IF(C1255="","",IF(J1255=0,"UNMAPPED",LOWER(INDEX(Mapping!$D$1:$D$504,J1255))))</f>
        <v/>
      </c>
      <c r="L1255" s="6">
        <f>IF(K1255="mapped",TRIM(INDEX(Mapping!$C$1:$C$504,J1255)),"")</f>
        <v/>
      </c>
      <c r="M1255" s="6">
        <f>IF(C1255="","",IF(SUMPRODUCT(($C$12:C1255=C1255)*1)=1,1,0))</f>
        <v/>
      </c>
      <c r="N1255" s="6">
        <f>IF(AND(K1255="UNMAPPED",M1255=1),ROW(),"")</f>
        <v/>
      </c>
      <c r="O1255" s="6">
        <f>IF(AND(I1255=1,M1255=1),ROW(),"")</f>
        <v/>
      </c>
      <c r="P1255" s="6">
        <f>IF(AND(K1255="ignored",M1255=1),ROW(),"")</f>
        <v/>
      </c>
    </row>
    <row r="1256">
      <c r="A1256" s="8" t="n"/>
      <c r="B1256" s="8" t="n"/>
      <c r="C1256" s="6">
        <f>TRIM(A1256&amp;"")</f>
        <v/>
      </c>
      <c r="D1256" s="6">
        <f>IF(C1256="","",SUBSTITUTE(SUBSTITUTE(SUBSTITUTE(SUBSTITUTE(SUBSTITUTE(SUBSTITUTE(SUBSTITUTE(UPPER(TRIM(B1256&amp;"")),"₹",""),"RS.",""),"RS",""),"INR",""),"$",""),",","")," ",""))</f>
        <v/>
      </c>
      <c r="E1256" s="6">
        <f>IF(C1256="","",IF(RIGHT(D1256,2)="CR","Cr",IF(RIGHT(D1256,2)="DR","Dr","")))</f>
        <v/>
      </c>
      <c r="F1256" s="6">
        <f>IF(C1256="","",IF(E1256&lt;&gt;"",LEFT(D1256,LEN(D1256)-2),D1256))</f>
        <v/>
      </c>
      <c r="G1256" s="13">
        <f>IF(C1256="","",IF(OR(IF(AND(LEFT(F1256,1)="(",RIGHT(F1256,1)=")"),MID(F1256,2,LEN(F1256)-2),F1256)="",IF(AND(LEFT(F1256,1)="(",RIGHT(F1256,1)=")"),MID(F1256,2,LEN(F1256)-2),F1256)="-"),0,IFERROR(VALUE(IF(AND(LEFT(F1256,1)="(",RIGHT(F1256,1)=")"),MID(F1256,2,LEN(F1256)-2),F1256))*IF(AND(LEFT(F1256,1)="(",RIGHT(F1256,1)=")"),-1,1)*IF(E1256="Cr",Setup!$B$6,1),"ERR")))</f>
        <v/>
      </c>
      <c r="H1256" s="6">
        <f>IF(C1256="","",IF(ISNUMBER(G1256),1,0))</f>
        <v/>
      </c>
      <c r="I1256" s="6">
        <f>IF(C1256="","",IF(SUMPRODUCT(($C$12:$C$1511=C1256)*1)&gt;1,1,0))</f>
        <v/>
      </c>
      <c r="J1256" s="6">
        <f>IF(C1256="","",SUMPRODUCT((Mapping!$F$5:$F$504=Setup!$B$4&amp;"||"&amp;C1256)*ROW(Mapping!$F$5:$F$504)))</f>
        <v/>
      </c>
      <c r="K1256" s="6">
        <f>IF(C1256="","",IF(J1256=0,"UNMAPPED",LOWER(INDEX(Mapping!$D$1:$D$504,J1256))))</f>
        <v/>
      </c>
      <c r="L1256" s="6">
        <f>IF(K1256="mapped",TRIM(INDEX(Mapping!$C$1:$C$504,J1256)),"")</f>
        <v/>
      </c>
      <c r="M1256" s="6">
        <f>IF(C1256="","",IF(SUMPRODUCT(($C$12:C1256=C1256)*1)=1,1,0))</f>
        <v/>
      </c>
      <c r="N1256" s="6">
        <f>IF(AND(K1256="UNMAPPED",M1256=1),ROW(),"")</f>
        <v/>
      </c>
      <c r="O1256" s="6">
        <f>IF(AND(I1256=1,M1256=1),ROW(),"")</f>
        <v/>
      </c>
      <c r="P1256" s="6">
        <f>IF(AND(K1256="ignored",M1256=1),ROW(),"")</f>
        <v/>
      </c>
    </row>
    <row r="1257">
      <c r="A1257" s="8" t="n"/>
      <c r="B1257" s="8" t="n"/>
      <c r="C1257" s="6">
        <f>TRIM(A1257&amp;"")</f>
        <v/>
      </c>
      <c r="D1257" s="6">
        <f>IF(C1257="","",SUBSTITUTE(SUBSTITUTE(SUBSTITUTE(SUBSTITUTE(SUBSTITUTE(SUBSTITUTE(SUBSTITUTE(UPPER(TRIM(B1257&amp;"")),"₹",""),"RS.",""),"RS",""),"INR",""),"$",""),",","")," ",""))</f>
        <v/>
      </c>
      <c r="E1257" s="6">
        <f>IF(C1257="","",IF(RIGHT(D1257,2)="CR","Cr",IF(RIGHT(D1257,2)="DR","Dr","")))</f>
        <v/>
      </c>
      <c r="F1257" s="6">
        <f>IF(C1257="","",IF(E1257&lt;&gt;"",LEFT(D1257,LEN(D1257)-2),D1257))</f>
        <v/>
      </c>
      <c r="G1257" s="13">
        <f>IF(C1257="","",IF(OR(IF(AND(LEFT(F1257,1)="(",RIGHT(F1257,1)=")"),MID(F1257,2,LEN(F1257)-2),F1257)="",IF(AND(LEFT(F1257,1)="(",RIGHT(F1257,1)=")"),MID(F1257,2,LEN(F1257)-2),F1257)="-"),0,IFERROR(VALUE(IF(AND(LEFT(F1257,1)="(",RIGHT(F1257,1)=")"),MID(F1257,2,LEN(F1257)-2),F1257))*IF(AND(LEFT(F1257,1)="(",RIGHT(F1257,1)=")"),-1,1)*IF(E1257="Cr",Setup!$B$6,1),"ERR")))</f>
        <v/>
      </c>
      <c r="H1257" s="6">
        <f>IF(C1257="","",IF(ISNUMBER(G1257),1,0))</f>
        <v/>
      </c>
      <c r="I1257" s="6">
        <f>IF(C1257="","",IF(SUMPRODUCT(($C$12:$C$1511=C1257)*1)&gt;1,1,0))</f>
        <v/>
      </c>
      <c r="J1257" s="6">
        <f>IF(C1257="","",SUMPRODUCT((Mapping!$F$5:$F$504=Setup!$B$4&amp;"||"&amp;C1257)*ROW(Mapping!$F$5:$F$504)))</f>
        <v/>
      </c>
      <c r="K1257" s="6">
        <f>IF(C1257="","",IF(J1257=0,"UNMAPPED",LOWER(INDEX(Mapping!$D$1:$D$504,J1257))))</f>
        <v/>
      </c>
      <c r="L1257" s="6">
        <f>IF(K1257="mapped",TRIM(INDEX(Mapping!$C$1:$C$504,J1257)),"")</f>
        <v/>
      </c>
      <c r="M1257" s="6">
        <f>IF(C1257="","",IF(SUMPRODUCT(($C$12:C1257=C1257)*1)=1,1,0))</f>
        <v/>
      </c>
      <c r="N1257" s="6">
        <f>IF(AND(K1257="UNMAPPED",M1257=1),ROW(),"")</f>
        <v/>
      </c>
      <c r="O1257" s="6">
        <f>IF(AND(I1257=1,M1257=1),ROW(),"")</f>
        <v/>
      </c>
      <c r="P1257" s="6">
        <f>IF(AND(K1257="ignored",M1257=1),ROW(),"")</f>
        <v/>
      </c>
    </row>
    <row r="1258">
      <c r="A1258" s="8" t="n"/>
      <c r="B1258" s="8" t="n"/>
      <c r="C1258" s="6">
        <f>TRIM(A1258&amp;"")</f>
        <v/>
      </c>
      <c r="D1258" s="6">
        <f>IF(C1258="","",SUBSTITUTE(SUBSTITUTE(SUBSTITUTE(SUBSTITUTE(SUBSTITUTE(SUBSTITUTE(SUBSTITUTE(UPPER(TRIM(B1258&amp;"")),"₹",""),"RS.",""),"RS",""),"INR",""),"$",""),",","")," ",""))</f>
        <v/>
      </c>
      <c r="E1258" s="6">
        <f>IF(C1258="","",IF(RIGHT(D1258,2)="CR","Cr",IF(RIGHT(D1258,2)="DR","Dr","")))</f>
        <v/>
      </c>
      <c r="F1258" s="6">
        <f>IF(C1258="","",IF(E1258&lt;&gt;"",LEFT(D1258,LEN(D1258)-2),D1258))</f>
        <v/>
      </c>
      <c r="G1258" s="13">
        <f>IF(C1258="","",IF(OR(IF(AND(LEFT(F1258,1)="(",RIGHT(F1258,1)=")"),MID(F1258,2,LEN(F1258)-2),F1258)="",IF(AND(LEFT(F1258,1)="(",RIGHT(F1258,1)=")"),MID(F1258,2,LEN(F1258)-2),F1258)="-"),0,IFERROR(VALUE(IF(AND(LEFT(F1258,1)="(",RIGHT(F1258,1)=")"),MID(F1258,2,LEN(F1258)-2),F1258))*IF(AND(LEFT(F1258,1)="(",RIGHT(F1258,1)=")"),-1,1)*IF(E1258="Cr",Setup!$B$6,1),"ERR")))</f>
        <v/>
      </c>
      <c r="H1258" s="6">
        <f>IF(C1258="","",IF(ISNUMBER(G1258),1,0))</f>
        <v/>
      </c>
      <c r="I1258" s="6">
        <f>IF(C1258="","",IF(SUMPRODUCT(($C$12:$C$1511=C1258)*1)&gt;1,1,0))</f>
        <v/>
      </c>
      <c r="J1258" s="6">
        <f>IF(C1258="","",SUMPRODUCT((Mapping!$F$5:$F$504=Setup!$B$4&amp;"||"&amp;C1258)*ROW(Mapping!$F$5:$F$504)))</f>
        <v/>
      </c>
      <c r="K1258" s="6">
        <f>IF(C1258="","",IF(J1258=0,"UNMAPPED",LOWER(INDEX(Mapping!$D$1:$D$504,J1258))))</f>
        <v/>
      </c>
      <c r="L1258" s="6">
        <f>IF(K1258="mapped",TRIM(INDEX(Mapping!$C$1:$C$504,J1258)),"")</f>
        <v/>
      </c>
      <c r="M1258" s="6">
        <f>IF(C1258="","",IF(SUMPRODUCT(($C$12:C1258=C1258)*1)=1,1,0))</f>
        <v/>
      </c>
      <c r="N1258" s="6">
        <f>IF(AND(K1258="UNMAPPED",M1258=1),ROW(),"")</f>
        <v/>
      </c>
      <c r="O1258" s="6">
        <f>IF(AND(I1258=1,M1258=1),ROW(),"")</f>
        <v/>
      </c>
      <c r="P1258" s="6">
        <f>IF(AND(K1258="ignored",M1258=1),ROW(),"")</f>
        <v/>
      </c>
    </row>
    <row r="1259">
      <c r="A1259" s="8" t="n"/>
      <c r="B1259" s="8" t="n"/>
      <c r="C1259" s="6">
        <f>TRIM(A1259&amp;"")</f>
        <v/>
      </c>
      <c r="D1259" s="6">
        <f>IF(C1259="","",SUBSTITUTE(SUBSTITUTE(SUBSTITUTE(SUBSTITUTE(SUBSTITUTE(SUBSTITUTE(SUBSTITUTE(UPPER(TRIM(B1259&amp;"")),"₹",""),"RS.",""),"RS",""),"INR",""),"$",""),",","")," ",""))</f>
        <v/>
      </c>
      <c r="E1259" s="6">
        <f>IF(C1259="","",IF(RIGHT(D1259,2)="CR","Cr",IF(RIGHT(D1259,2)="DR","Dr","")))</f>
        <v/>
      </c>
      <c r="F1259" s="6">
        <f>IF(C1259="","",IF(E1259&lt;&gt;"",LEFT(D1259,LEN(D1259)-2),D1259))</f>
        <v/>
      </c>
      <c r="G1259" s="13">
        <f>IF(C1259="","",IF(OR(IF(AND(LEFT(F1259,1)="(",RIGHT(F1259,1)=")"),MID(F1259,2,LEN(F1259)-2),F1259)="",IF(AND(LEFT(F1259,1)="(",RIGHT(F1259,1)=")"),MID(F1259,2,LEN(F1259)-2),F1259)="-"),0,IFERROR(VALUE(IF(AND(LEFT(F1259,1)="(",RIGHT(F1259,1)=")"),MID(F1259,2,LEN(F1259)-2),F1259))*IF(AND(LEFT(F1259,1)="(",RIGHT(F1259,1)=")"),-1,1)*IF(E1259="Cr",Setup!$B$6,1),"ERR")))</f>
        <v/>
      </c>
      <c r="H1259" s="6">
        <f>IF(C1259="","",IF(ISNUMBER(G1259),1,0))</f>
        <v/>
      </c>
      <c r="I1259" s="6">
        <f>IF(C1259="","",IF(SUMPRODUCT(($C$12:$C$1511=C1259)*1)&gt;1,1,0))</f>
        <v/>
      </c>
      <c r="J1259" s="6">
        <f>IF(C1259="","",SUMPRODUCT((Mapping!$F$5:$F$504=Setup!$B$4&amp;"||"&amp;C1259)*ROW(Mapping!$F$5:$F$504)))</f>
        <v/>
      </c>
      <c r="K1259" s="6">
        <f>IF(C1259="","",IF(J1259=0,"UNMAPPED",LOWER(INDEX(Mapping!$D$1:$D$504,J1259))))</f>
        <v/>
      </c>
      <c r="L1259" s="6">
        <f>IF(K1259="mapped",TRIM(INDEX(Mapping!$C$1:$C$504,J1259)),"")</f>
        <v/>
      </c>
      <c r="M1259" s="6">
        <f>IF(C1259="","",IF(SUMPRODUCT(($C$12:C1259=C1259)*1)=1,1,0))</f>
        <v/>
      </c>
      <c r="N1259" s="6">
        <f>IF(AND(K1259="UNMAPPED",M1259=1),ROW(),"")</f>
        <v/>
      </c>
      <c r="O1259" s="6">
        <f>IF(AND(I1259=1,M1259=1),ROW(),"")</f>
        <v/>
      </c>
      <c r="P1259" s="6">
        <f>IF(AND(K1259="ignored",M1259=1),ROW(),"")</f>
        <v/>
      </c>
    </row>
    <row r="1260">
      <c r="A1260" s="8" t="n"/>
      <c r="B1260" s="8" t="n"/>
      <c r="C1260" s="6">
        <f>TRIM(A1260&amp;"")</f>
        <v/>
      </c>
      <c r="D1260" s="6">
        <f>IF(C1260="","",SUBSTITUTE(SUBSTITUTE(SUBSTITUTE(SUBSTITUTE(SUBSTITUTE(SUBSTITUTE(SUBSTITUTE(UPPER(TRIM(B1260&amp;"")),"₹",""),"RS.",""),"RS",""),"INR",""),"$",""),",","")," ",""))</f>
        <v/>
      </c>
      <c r="E1260" s="6">
        <f>IF(C1260="","",IF(RIGHT(D1260,2)="CR","Cr",IF(RIGHT(D1260,2)="DR","Dr","")))</f>
        <v/>
      </c>
      <c r="F1260" s="6">
        <f>IF(C1260="","",IF(E1260&lt;&gt;"",LEFT(D1260,LEN(D1260)-2),D1260))</f>
        <v/>
      </c>
      <c r="G1260" s="13">
        <f>IF(C1260="","",IF(OR(IF(AND(LEFT(F1260,1)="(",RIGHT(F1260,1)=")"),MID(F1260,2,LEN(F1260)-2),F1260)="",IF(AND(LEFT(F1260,1)="(",RIGHT(F1260,1)=")"),MID(F1260,2,LEN(F1260)-2),F1260)="-"),0,IFERROR(VALUE(IF(AND(LEFT(F1260,1)="(",RIGHT(F1260,1)=")"),MID(F1260,2,LEN(F1260)-2),F1260))*IF(AND(LEFT(F1260,1)="(",RIGHT(F1260,1)=")"),-1,1)*IF(E1260="Cr",Setup!$B$6,1),"ERR")))</f>
        <v/>
      </c>
      <c r="H1260" s="6">
        <f>IF(C1260="","",IF(ISNUMBER(G1260),1,0))</f>
        <v/>
      </c>
      <c r="I1260" s="6">
        <f>IF(C1260="","",IF(SUMPRODUCT(($C$12:$C$1511=C1260)*1)&gt;1,1,0))</f>
        <v/>
      </c>
      <c r="J1260" s="6">
        <f>IF(C1260="","",SUMPRODUCT((Mapping!$F$5:$F$504=Setup!$B$4&amp;"||"&amp;C1260)*ROW(Mapping!$F$5:$F$504)))</f>
        <v/>
      </c>
      <c r="K1260" s="6">
        <f>IF(C1260="","",IF(J1260=0,"UNMAPPED",LOWER(INDEX(Mapping!$D$1:$D$504,J1260))))</f>
        <v/>
      </c>
      <c r="L1260" s="6">
        <f>IF(K1260="mapped",TRIM(INDEX(Mapping!$C$1:$C$504,J1260)),"")</f>
        <v/>
      </c>
      <c r="M1260" s="6">
        <f>IF(C1260="","",IF(SUMPRODUCT(($C$12:C1260=C1260)*1)=1,1,0))</f>
        <v/>
      </c>
      <c r="N1260" s="6">
        <f>IF(AND(K1260="UNMAPPED",M1260=1),ROW(),"")</f>
        <v/>
      </c>
      <c r="O1260" s="6">
        <f>IF(AND(I1260=1,M1260=1),ROW(),"")</f>
        <v/>
      </c>
      <c r="P1260" s="6">
        <f>IF(AND(K1260="ignored",M1260=1),ROW(),"")</f>
        <v/>
      </c>
    </row>
    <row r="1261">
      <c r="A1261" s="8" t="n"/>
      <c r="B1261" s="8" t="n"/>
      <c r="C1261" s="6">
        <f>TRIM(A1261&amp;"")</f>
        <v/>
      </c>
      <c r="D1261" s="6">
        <f>IF(C1261="","",SUBSTITUTE(SUBSTITUTE(SUBSTITUTE(SUBSTITUTE(SUBSTITUTE(SUBSTITUTE(SUBSTITUTE(UPPER(TRIM(B1261&amp;"")),"₹",""),"RS.",""),"RS",""),"INR",""),"$",""),",","")," ",""))</f>
        <v/>
      </c>
      <c r="E1261" s="6">
        <f>IF(C1261="","",IF(RIGHT(D1261,2)="CR","Cr",IF(RIGHT(D1261,2)="DR","Dr","")))</f>
        <v/>
      </c>
      <c r="F1261" s="6">
        <f>IF(C1261="","",IF(E1261&lt;&gt;"",LEFT(D1261,LEN(D1261)-2),D1261))</f>
        <v/>
      </c>
      <c r="G1261" s="13">
        <f>IF(C1261="","",IF(OR(IF(AND(LEFT(F1261,1)="(",RIGHT(F1261,1)=")"),MID(F1261,2,LEN(F1261)-2),F1261)="",IF(AND(LEFT(F1261,1)="(",RIGHT(F1261,1)=")"),MID(F1261,2,LEN(F1261)-2),F1261)="-"),0,IFERROR(VALUE(IF(AND(LEFT(F1261,1)="(",RIGHT(F1261,1)=")"),MID(F1261,2,LEN(F1261)-2),F1261))*IF(AND(LEFT(F1261,1)="(",RIGHT(F1261,1)=")"),-1,1)*IF(E1261="Cr",Setup!$B$6,1),"ERR")))</f>
        <v/>
      </c>
      <c r="H1261" s="6">
        <f>IF(C1261="","",IF(ISNUMBER(G1261),1,0))</f>
        <v/>
      </c>
      <c r="I1261" s="6">
        <f>IF(C1261="","",IF(SUMPRODUCT(($C$12:$C$1511=C1261)*1)&gt;1,1,0))</f>
        <v/>
      </c>
      <c r="J1261" s="6">
        <f>IF(C1261="","",SUMPRODUCT((Mapping!$F$5:$F$504=Setup!$B$4&amp;"||"&amp;C1261)*ROW(Mapping!$F$5:$F$504)))</f>
        <v/>
      </c>
      <c r="K1261" s="6">
        <f>IF(C1261="","",IF(J1261=0,"UNMAPPED",LOWER(INDEX(Mapping!$D$1:$D$504,J1261))))</f>
        <v/>
      </c>
      <c r="L1261" s="6">
        <f>IF(K1261="mapped",TRIM(INDEX(Mapping!$C$1:$C$504,J1261)),"")</f>
        <v/>
      </c>
      <c r="M1261" s="6">
        <f>IF(C1261="","",IF(SUMPRODUCT(($C$12:C1261=C1261)*1)=1,1,0))</f>
        <v/>
      </c>
      <c r="N1261" s="6">
        <f>IF(AND(K1261="UNMAPPED",M1261=1),ROW(),"")</f>
        <v/>
      </c>
      <c r="O1261" s="6">
        <f>IF(AND(I1261=1,M1261=1),ROW(),"")</f>
        <v/>
      </c>
      <c r="P1261" s="6">
        <f>IF(AND(K1261="ignored",M1261=1),ROW(),"")</f>
        <v/>
      </c>
    </row>
    <row r="1262">
      <c r="A1262" s="8" t="n"/>
      <c r="B1262" s="8" t="n"/>
      <c r="C1262" s="6">
        <f>TRIM(A1262&amp;"")</f>
        <v/>
      </c>
      <c r="D1262" s="6">
        <f>IF(C1262="","",SUBSTITUTE(SUBSTITUTE(SUBSTITUTE(SUBSTITUTE(SUBSTITUTE(SUBSTITUTE(SUBSTITUTE(UPPER(TRIM(B1262&amp;"")),"₹",""),"RS.",""),"RS",""),"INR",""),"$",""),",","")," ",""))</f>
        <v/>
      </c>
      <c r="E1262" s="6">
        <f>IF(C1262="","",IF(RIGHT(D1262,2)="CR","Cr",IF(RIGHT(D1262,2)="DR","Dr","")))</f>
        <v/>
      </c>
      <c r="F1262" s="6">
        <f>IF(C1262="","",IF(E1262&lt;&gt;"",LEFT(D1262,LEN(D1262)-2),D1262))</f>
        <v/>
      </c>
      <c r="G1262" s="13">
        <f>IF(C1262="","",IF(OR(IF(AND(LEFT(F1262,1)="(",RIGHT(F1262,1)=")"),MID(F1262,2,LEN(F1262)-2),F1262)="",IF(AND(LEFT(F1262,1)="(",RIGHT(F1262,1)=")"),MID(F1262,2,LEN(F1262)-2),F1262)="-"),0,IFERROR(VALUE(IF(AND(LEFT(F1262,1)="(",RIGHT(F1262,1)=")"),MID(F1262,2,LEN(F1262)-2),F1262))*IF(AND(LEFT(F1262,1)="(",RIGHT(F1262,1)=")"),-1,1)*IF(E1262="Cr",Setup!$B$6,1),"ERR")))</f>
        <v/>
      </c>
      <c r="H1262" s="6">
        <f>IF(C1262="","",IF(ISNUMBER(G1262),1,0))</f>
        <v/>
      </c>
      <c r="I1262" s="6">
        <f>IF(C1262="","",IF(SUMPRODUCT(($C$12:$C$1511=C1262)*1)&gt;1,1,0))</f>
        <v/>
      </c>
      <c r="J1262" s="6">
        <f>IF(C1262="","",SUMPRODUCT((Mapping!$F$5:$F$504=Setup!$B$4&amp;"||"&amp;C1262)*ROW(Mapping!$F$5:$F$504)))</f>
        <v/>
      </c>
      <c r="K1262" s="6">
        <f>IF(C1262="","",IF(J1262=0,"UNMAPPED",LOWER(INDEX(Mapping!$D$1:$D$504,J1262))))</f>
        <v/>
      </c>
      <c r="L1262" s="6">
        <f>IF(K1262="mapped",TRIM(INDEX(Mapping!$C$1:$C$504,J1262)),"")</f>
        <v/>
      </c>
      <c r="M1262" s="6">
        <f>IF(C1262="","",IF(SUMPRODUCT(($C$12:C1262=C1262)*1)=1,1,0))</f>
        <v/>
      </c>
      <c r="N1262" s="6">
        <f>IF(AND(K1262="UNMAPPED",M1262=1),ROW(),"")</f>
        <v/>
      </c>
      <c r="O1262" s="6">
        <f>IF(AND(I1262=1,M1262=1),ROW(),"")</f>
        <v/>
      </c>
      <c r="P1262" s="6">
        <f>IF(AND(K1262="ignored",M1262=1),ROW(),"")</f>
        <v/>
      </c>
    </row>
    <row r="1263">
      <c r="A1263" s="8" t="n"/>
      <c r="B1263" s="8" t="n"/>
      <c r="C1263" s="6">
        <f>TRIM(A1263&amp;"")</f>
        <v/>
      </c>
      <c r="D1263" s="6">
        <f>IF(C1263="","",SUBSTITUTE(SUBSTITUTE(SUBSTITUTE(SUBSTITUTE(SUBSTITUTE(SUBSTITUTE(SUBSTITUTE(UPPER(TRIM(B1263&amp;"")),"₹",""),"RS.",""),"RS",""),"INR",""),"$",""),",","")," ",""))</f>
        <v/>
      </c>
      <c r="E1263" s="6">
        <f>IF(C1263="","",IF(RIGHT(D1263,2)="CR","Cr",IF(RIGHT(D1263,2)="DR","Dr","")))</f>
        <v/>
      </c>
      <c r="F1263" s="6">
        <f>IF(C1263="","",IF(E1263&lt;&gt;"",LEFT(D1263,LEN(D1263)-2),D1263))</f>
        <v/>
      </c>
      <c r="G1263" s="13">
        <f>IF(C1263="","",IF(OR(IF(AND(LEFT(F1263,1)="(",RIGHT(F1263,1)=")"),MID(F1263,2,LEN(F1263)-2),F1263)="",IF(AND(LEFT(F1263,1)="(",RIGHT(F1263,1)=")"),MID(F1263,2,LEN(F1263)-2),F1263)="-"),0,IFERROR(VALUE(IF(AND(LEFT(F1263,1)="(",RIGHT(F1263,1)=")"),MID(F1263,2,LEN(F1263)-2),F1263))*IF(AND(LEFT(F1263,1)="(",RIGHT(F1263,1)=")"),-1,1)*IF(E1263="Cr",Setup!$B$6,1),"ERR")))</f>
        <v/>
      </c>
      <c r="H1263" s="6">
        <f>IF(C1263="","",IF(ISNUMBER(G1263),1,0))</f>
        <v/>
      </c>
      <c r="I1263" s="6">
        <f>IF(C1263="","",IF(SUMPRODUCT(($C$12:$C$1511=C1263)*1)&gt;1,1,0))</f>
        <v/>
      </c>
      <c r="J1263" s="6">
        <f>IF(C1263="","",SUMPRODUCT((Mapping!$F$5:$F$504=Setup!$B$4&amp;"||"&amp;C1263)*ROW(Mapping!$F$5:$F$504)))</f>
        <v/>
      </c>
      <c r="K1263" s="6">
        <f>IF(C1263="","",IF(J1263=0,"UNMAPPED",LOWER(INDEX(Mapping!$D$1:$D$504,J1263))))</f>
        <v/>
      </c>
      <c r="L1263" s="6">
        <f>IF(K1263="mapped",TRIM(INDEX(Mapping!$C$1:$C$504,J1263)),"")</f>
        <v/>
      </c>
      <c r="M1263" s="6">
        <f>IF(C1263="","",IF(SUMPRODUCT(($C$12:C1263=C1263)*1)=1,1,0))</f>
        <v/>
      </c>
      <c r="N1263" s="6">
        <f>IF(AND(K1263="UNMAPPED",M1263=1),ROW(),"")</f>
        <v/>
      </c>
      <c r="O1263" s="6">
        <f>IF(AND(I1263=1,M1263=1),ROW(),"")</f>
        <v/>
      </c>
      <c r="P1263" s="6">
        <f>IF(AND(K1263="ignored",M1263=1),ROW(),"")</f>
        <v/>
      </c>
    </row>
    <row r="1264">
      <c r="A1264" s="8" t="n"/>
      <c r="B1264" s="8" t="n"/>
      <c r="C1264" s="6">
        <f>TRIM(A1264&amp;"")</f>
        <v/>
      </c>
      <c r="D1264" s="6">
        <f>IF(C1264="","",SUBSTITUTE(SUBSTITUTE(SUBSTITUTE(SUBSTITUTE(SUBSTITUTE(SUBSTITUTE(SUBSTITUTE(UPPER(TRIM(B1264&amp;"")),"₹",""),"RS.",""),"RS",""),"INR",""),"$",""),",","")," ",""))</f>
        <v/>
      </c>
      <c r="E1264" s="6">
        <f>IF(C1264="","",IF(RIGHT(D1264,2)="CR","Cr",IF(RIGHT(D1264,2)="DR","Dr","")))</f>
        <v/>
      </c>
      <c r="F1264" s="6">
        <f>IF(C1264="","",IF(E1264&lt;&gt;"",LEFT(D1264,LEN(D1264)-2),D1264))</f>
        <v/>
      </c>
      <c r="G1264" s="13">
        <f>IF(C1264="","",IF(OR(IF(AND(LEFT(F1264,1)="(",RIGHT(F1264,1)=")"),MID(F1264,2,LEN(F1264)-2),F1264)="",IF(AND(LEFT(F1264,1)="(",RIGHT(F1264,1)=")"),MID(F1264,2,LEN(F1264)-2),F1264)="-"),0,IFERROR(VALUE(IF(AND(LEFT(F1264,1)="(",RIGHT(F1264,1)=")"),MID(F1264,2,LEN(F1264)-2),F1264))*IF(AND(LEFT(F1264,1)="(",RIGHT(F1264,1)=")"),-1,1)*IF(E1264="Cr",Setup!$B$6,1),"ERR")))</f>
        <v/>
      </c>
      <c r="H1264" s="6">
        <f>IF(C1264="","",IF(ISNUMBER(G1264),1,0))</f>
        <v/>
      </c>
      <c r="I1264" s="6">
        <f>IF(C1264="","",IF(SUMPRODUCT(($C$12:$C$1511=C1264)*1)&gt;1,1,0))</f>
        <v/>
      </c>
      <c r="J1264" s="6">
        <f>IF(C1264="","",SUMPRODUCT((Mapping!$F$5:$F$504=Setup!$B$4&amp;"||"&amp;C1264)*ROW(Mapping!$F$5:$F$504)))</f>
        <v/>
      </c>
      <c r="K1264" s="6">
        <f>IF(C1264="","",IF(J1264=0,"UNMAPPED",LOWER(INDEX(Mapping!$D$1:$D$504,J1264))))</f>
        <v/>
      </c>
      <c r="L1264" s="6">
        <f>IF(K1264="mapped",TRIM(INDEX(Mapping!$C$1:$C$504,J1264)),"")</f>
        <v/>
      </c>
      <c r="M1264" s="6">
        <f>IF(C1264="","",IF(SUMPRODUCT(($C$12:C1264=C1264)*1)=1,1,0))</f>
        <v/>
      </c>
      <c r="N1264" s="6">
        <f>IF(AND(K1264="UNMAPPED",M1264=1),ROW(),"")</f>
        <v/>
      </c>
      <c r="O1264" s="6">
        <f>IF(AND(I1264=1,M1264=1),ROW(),"")</f>
        <v/>
      </c>
      <c r="P1264" s="6">
        <f>IF(AND(K1264="ignored",M1264=1),ROW(),"")</f>
        <v/>
      </c>
    </row>
    <row r="1265">
      <c r="A1265" s="8" t="n"/>
      <c r="B1265" s="8" t="n"/>
      <c r="C1265" s="6">
        <f>TRIM(A1265&amp;"")</f>
        <v/>
      </c>
      <c r="D1265" s="6">
        <f>IF(C1265="","",SUBSTITUTE(SUBSTITUTE(SUBSTITUTE(SUBSTITUTE(SUBSTITUTE(SUBSTITUTE(SUBSTITUTE(UPPER(TRIM(B1265&amp;"")),"₹",""),"RS.",""),"RS",""),"INR",""),"$",""),",","")," ",""))</f>
        <v/>
      </c>
      <c r="E1265" s="6">
        <f>IF(C1265="","",IF(RIGHT(D1265,2)="CR","Cr",IF(RIGHT(D1265,2)="DR","Dr","")))</f>
        <v/>
      </c>
      <c r="F1265" s="6">
        <f>IF(C1265="","",IF(E1265&lt;&gt;"",LEFT(D1265,LEN(D1265)-2),D1265))</f>
        <v/>
      </c>
      <c r="G1265" s="13">
        <f>IF(C1265="","",IF(OR(IF(AND(LEFT(F1265,1)="(",RIGHT(F1265,1)=")"),MID(F1265,2,LEN(F1265)-2),F1265)="",IF(AND(LEFT(F1265,1)="(",RIGHT(F1265,1)=")"),MID(F1265,2,LEN(F1265)-2),F1265)="-"),0,IFERROR(VALUE(IF(AND(LEFT(F1265,1)="(",RIGHT(F1265,1)=")"),MID(F1265,2,LEN(F1265)-2),F1265))*IF(AND(LEFT(F1265,1)="(",RIGHT(F1265,1)=")"),-1,1)*IF(E1265="Cr",Setup!$B$6,1),"ERR")))</f>
        <v/>
      </c>
      <c r="H1265" s="6">
        <f>IF(C1265="","",IF(ISNUMBER(G1265),1,0))</f>
        <v/>
      </c>
      <c r="I1265" s="6">
        <f>IF(C1265="","",IF(SUMPRODUCT(($C$12:$C$1511=C1265)*1)&gt;1,1,0))</f>
        <v/>
      </c>
      <c r="J1265" s="6">
        <f>IF(C1265="","",SUMPRODUCT((Mapping!$F$5:$F$504=Setup!$B$4&amp;"||"&amp;C1265)*ROW(Mapping!$F$5:$F$504)))</f>
        <v/>
      </c>
      <c r="K1265" s="6">
        <f>IF(C1265="","",IF(J1265=0,"UNMAPPED",LOWER(INDEX(Mapping!$D$1:$D$504,J1265))))</f>
        <v/>
      </c>
      <c r="L1265" s="6">
        <f>IF(K1265="mapped",TRIM(INDEX(Mapping!$C$1:$C$504,J1265)),"")</f>
        <v/>
      </c>
      <c r="M1265" s="6">
        <f>IF(C1265="","",IF(SUMPRODUCT(($C$12:C1265=C1265)*1)=1,1,0))</f>
        <v/>
      </c>
      <c r="N1265" s="6">
        <f>IF(AND(K1265="UNMAPPED",M1265=1),ROW(),"")</f>
        <v/>
      </c>
      <c r="O1265" s="6">
        <f>IF(AND(I1265=1,M1265=1),ROW(),"")</f>
        <v/>
      </c>
      <c r="P1265" s="6">
        <f>IF(AND(K1265="ignored",M1265=1),ROW(),"")</f>
        <v/>
      </c>
    </row>
    <row r="1266">
      <c r="A1266" s="8" t="n"/>
      <c r="B1266" s="8" t="n"/>
      <c r="C1266" s="6">
        <f>TRIM(A1266&amp;"")</f>
        <v/>
      </c>
      <c r="D1266" s="6">
        <f>IF(C1266="","",SUBSTITUTE(SUBSTITUTE(SUBSTITUTE(SUBSTITUTE(SUBSTITUTE(SUBSTITUTE(SUBSTITUTE(UPPER(TRIM(B1266&amp;"")),"₹",""),"RS.",""),"RS",""),"INR",""),"$",""),",","")," ",""))</f>
        <v/>
      </c>
      <c r="E1266" s="6">
        <f>IF(C1266="","",IF(RIGHT(D1266,2)="CR","Cr",IF(RIGHT(D1266,2)="DR","Dr","")))</f>
        <v/>
      </c>
      <c r="F1266" s="6">
        <f>IF(C1266="","",IF(E1266&lt;&gt;"",LEFT(D1266,LEN(D1266)-2),D1266))</f>
        <v/>
      </c>
      <c r="G1266" s="13">
        <f>IF(C1266="","",IF(OR(IF(AND(LEFT(F1266,1)="(",RIGHT(F1266,1)=")"),MID(F1266,2,LEN(F1266)-2),F1266)="",IF(AND(LEFT(F1266,1)="(",RIGHT(F1266,1)=")"),MID(F1266,2,LEN(F1266)-2),F1266)="-"),0,IFERROR(VALUE(IF(AND(LEFT(F1266,1)="(",RIGHT(F1266,1)=")"),MID(F1266,2,LEN(F1266)-2),F1266))*IF(AND(LEFT(F1266,1)="(",RIGHT(F1266,1)=")"),-1,1)*IF(E1266="Cr",Setup!$B$6,1),"ERR")))</f>
        <v/>
      </c>
      <c r="H1266" s="6">
        <f>IF(C1266="","",IF(ISNUMBER(G1266),1,0))</f>
        <v/>
      </c>
      <c r="I1266" s="6">
        <f>IF(C1266="","",IF(SUMPRODUCT(($C$12:$C$1511=C1266)*1)&gt;1,1,0))</f>
        <v/>
      </c>
      <c r="J1266" s="6">
        <f>IF(C1266="","",SUMPRODUCT((Mapping!$F$5:$F$504=Setup!$B$4&amp;"||"&amp;C1266)*ROW(Mapping!$F$5:$F$504)))</f>
        <v/>
      </c>
      <c r="K1266" s="6">
        <f>IF(C1266="","",IF(J1266=0,"UNMAPPED",LOWER(INDEX(Mapping!$D$1:$D$504,J1266))))</f>
        <v/>
      </c>
      <c r="L1266" s="6">
        <f>IF(K1266="mapped",TRIM(INDEX(Mapping!$C$1:$C$504,J1266)),"")</f>
        <v/>
      </c>
      <c r="M1266" s="6">
        <f>IF(C1266="","",IF(SUMPRODUCT(($C$12:C1266=C1266)*1)=1,1,0))</f>
        <v/>
      </c>
      <c r="N1266" s="6">
        <f>IF(AND(K1266="UNMAPPED",M1266=1),ROW(),"")</f>
        <v/>
      </c>
      <c r="O1266" s="6">
        <f>IF(AND(I1266=1,M1266=1),ROW(),"")</f>
        <v/>
      </c>
      <c r="P1266" s="6">
        <f>IF(AND(K1266="ignored",M1266=1),ROW(),"")</f>
        <v/>
      </c>
    </row>
    <row r="1267">
      <c r="A1267" s="8" t="n"/>
      <c r="B1267" s="8" t="n"/>
      <c r="C1267" s="6">
        <f>TRIM(A1267&amp;"")</f>
        <v/>
      </c>
      <c r="D1267" s="6">
        <f>IF(C1267="","",SUBSTITUTE(SUBSTITUTE(SUBSTITUTE(SUBSTITUTE(SUBSTITUTE(SUBSTITUTE(SUBSTITUTE(UPPER(TRIM(B1267&amp;"")),"₹",""),"RS.",""),"RS",""),"INR",""),"$",""),",","")," ",""))</f>
        <v/>
      </c>
      <c r="E1267" s="6">
        <f>IF(C1267="","",IF(RIGHT(D1267,2)="CR","Cr",IF(RIGHT(D1267,2)="DR","Dr","")))</f>
        <v/>
      </c>
      <c r="F1267" s="6">
        <f>IF(C1267="","",IF(E1267&lt;&gt;"",LEFT(D1267,LEN(D1267)-2),D1267))</f>
        <v/>
      </c>
      <c r="G1267" s="13">
        <f>IF(C1267="","",IF(OR(IF(AND(LEFT(F1267,1)="(",RIGHT(F1267,1)=")"),MID(F1267,2,LEN(F1267)-2),F1267)="",IF(AND(LEFT(F1267,1)="(",RIGHT(F1267,1)=")"),MID(F1267,2,LEN(F1267)-2),F1267)="-"),0,IFERROR(VALUE(IF(AND(LEFT(F1267,1)="(",RIGHT(F1267,1)=")"),MID(F1267,2,LEN(F1267)-2),F1267))*IF(AND(LEFT(F1267,1)="(",RIGHT(F1267,1)=")"),-1,1)*IF(E1267="Cr",Setup!$B$6,1),"ERR")))</f>
        <v/>
      </c>
      <c r="H1267" s="6">
        <f>IF(C1267="","",IF(ISNUMBER(G1267),1,0))</f>
        <v/>
      </c>
      <c r="I1267" s="6">
        <f>IF(C1267="","",IF(SUMPRODUCT(($C$12:$C$1511=C1267)*1)&gt;1,1,0))</f>
        <v/>
      </c>
      <c r="J1267" s="6">
        <f>IF(C1267="","",SUMPRODUCT((Mapping!$F$5:$F$504=Setup!$B$4&amp;"||"&amp;C1267)*ROW(Mapping!$F$5:$F$504)))</f>
        <v/>
      </c>
      <c r="K1267" s="6">
        <f>IF(C1267="","",IF(J1267=0,"UNMAPPED",LOWER(INDEX(Mapping!$D$1:$D$504,J1267))))</f>
        <v/>
      </c>
      <c r="L1267" s="6">
        <f>IF(K1267="mapped",TRIM(INDEX(Mapping!$C$1:$C$504,J1267)),"")</f>
        <v/>
      </c>
      <c r="M1267" s="6">
        <f>IF(C1267="","",IF(SUMPRODUCT(($C$12:C1267=C1267)*1)=1,1,0))</f>
        <v/>
      </c>
      <c r="N1267" s="6">
        <f>IF(AND(K1267="UNMAPPED",M1267=1),ROW(),"")</f>
        <v/>
      </c>
      <c r="O1267" s="6">
        <f>IF(AND(I1267=1,M1267=1),ROW(),"")</f>
        <v/>
      </c>
      <c r="P1267" s="6">
        <f>IF(AND(K1267="ignored",M1267=1),ROW(),"")</f>
        <v/>
      </c>
    </row>
    <row r="1268">
      <c r="A1268" s="8" t="n"/>
      <c r="B1268" s="8" t="n"/>
      <c r="C1268" s="6">
        <f>TRIM(A1268&amp;"")</f>
        <v/>
      </c>
      <c r="D1268" s="6">
        <f>IF(C1268="","",SUBSTITUTE(SUBSTITUTE(SUBSTITUTE(SUBSTITUTE(SUBSTITUTE(SUBSTITUTE(SUBSTITUTE(UPPER(TRIM(B1268&amp;"")),"₹",""),"RS.",""),"RS",""),"INR",""),"$",""),",","")," ",""))</f>
        <v/>
      </c>
      <c r="E1268" s="6">
        <f>IF(C1268="","",IF(RIGHT(D1268,2)="CR","Cr",IF(RIGHT(D1268,2)="DR","Dr","")))</f>
        <v/>
      </c>
      <c r="F1268" s="6">
        <f>IF(C1268="","",IF(E1268&lt;&gt;"",LEFT(D1268,LEN(D1268)-2),D1268))</f>
        <v/>
      </c>
      <c r="G1268" s="13">
        <f>IF(C1268="","",IF(OR(IF(AND(LEFT(F1268,1)="(",RIGHT(F1268,1)=")"),MID(F1268,2,LEN(F1268)-2),F1268)="",IF(AND(LEFT(F1268,1)="(",RIGHT(F1268,1)=")"),MID(F1268,2,LEN(F1268)-2),F1268)="-"),0,IFERROR(VALUE(IF(AND(LEFT(F1268,1)="(",RIGHT(F1268,1)=")"),MID(F1268,2,LEN(F1268)-2),F1268))*IF(AND(LEFT(F1268,1)="(",RIGHT(F1268,1)=")"),-1,1)*IF(E1268="Cr",Setup!$B$6,1),"ERR")))</f>
        <v/>
      </c>
      <c r="H1268" s="6">
        <f>IF(C1268="","",IF(ISNUMBER(G1268),1,0))</f>
        <v/>
      </c>
      <c r="I1268" s="6">
        <f>IF(C1268="","",IF(SUMPRODUCT(($C$12:$C$1511=C1268)*1)&gt;1,1,0))</f>
        <v/>
      </c>
      <c r="J1268" s="6">
        <f>IF(C1268="","",SUMPRODUCT((Mapping!$F$5:$F$504=Setup!$B$4&amp;"||"&amp;C1268)*ROW(Mapping!$F$5:$F$504)))</f>
        <v/>
      </c>
      <c r="K1268" s="6">
        <f>IF(C1268="","",IF(J1268=0,"UNMAPPED",LOWER(INDEX(Mapping!$D$1:$D$504,J1268))))</f>
        <v/>
      </c>
      <c r="L1268" s="6">
        <f>IF(K1268="mapped",TRIM(INDEX(Mapping!$C$1:$C$504,J1268)),"")</f>
        <v/>
      </c>
      <c r="M1268" s="6">
        <f>IF(C1268="","",IF(SUMPRODUCT(($C$12:C1268=C1268)*1)=1,1,0))</f>
        <v/>
      </c>
      <c r="N1268" s="6">
        <f>IF(AND(K1268="UNMAPPED",M1268=1),ROW(),"")</f>
        <v/>
      </c>
      <c r="O1268" s="6">
        <f>IF(AND(I1268=1,M1268=1),ROW(),"")</f>
        <v/>
      </c>
      <c r="P1268" s="6">
        <f>IF(AND(K1268="ignored",M1268=1),ROW(),"")</f>
        <v/>
      </c>
    </row>
    <row r="1269">
      <c r="A1269" s="8" t="n"/>
      <c r="B1269" s="8" t="n"/>
      <c r="C1269" s="6">
        <f>TRIM(A1269&amp;"")</f>
        <v/>
      </c>
      <c r="D1269" s="6">
        <f>IF(C1269="","",SUBSTITUTE(SUBSTITUTE(SUBSTITUTE(SUBSTITUTE(SUBSTITUTE(SUBSTITUTE(SUBSTITUTE(UPPER(TRIM(B1269&amp;"")),"₹",""),"RS.",""),"RS",""),"INR",""),"$",""),",","")," ",""))</f>
        <v/>
      </c>
      <c r="E1269" s="6">
        <f>IF(C1269="","",IF(RIGHT(D1269,2)="CR","Cr",IF(RIGHT(D1269,2)="DR","Dr","")))</f>
        <v/>
      </c>
      <c r="F1269" s="6">
        <f>IF(C1269="","",IF(E1269&lt;&gt;"",LEFT(D1269,LEN(D1269)-2),D1269))</f>
        <v/>
      </c>
      <c r="G1269" s="13">
        <f>IF(C1269="","",IF(OR(IF(AND(LEFT(F1269,1)="(",RIGHT(F1269,1)=")"),MID(F1269,2,LEN(F1269)-2),F1269)="",IF(AND(LEFT(F1269,1)="(",RIGHT(F1269,1)=")"),MID(F1269,2,LEN(F1269)-2),F1269)="-"),0,IFERROR(VALUE(IF(AND(LEFT(F1269,1)="(",RIGHT(F1269,1)=")"),MID(F1269,2,LEN(F1269)-2),F1269))*IF(AND(LEFT(F1269,1)="(",RIGHT(F1269,1)=")"),-1,1)*IF(E1269="Cr",Setup!$B$6,1),"ERR")))</f>
        <v/>
      </c>
      <c r="H1269" s="6">
        <f>IF(C1269="","",IF(ISNUMBER(G1269),1,0))</f>
        <v/>
      </c>
      <c r="I1269" s="6">
        <f>IF(C1269="","",IF(SUMPRODUCT(($C$12:$C$1511=C1269)*1)&gt;1,1,0))</f>
        <v/>
      </c>
      <c r="J1269" s="6">
        <f>IF(C1269="","",SUMPRODUCT((Mapping!$F$5:$F$504=Setup!$B$4&amp;"||"&amp;C1269)*ROW(Mapping!$F$5:$F$504)))</f>
        <v/>
      </c>
      <c r="K1269" s="6">
        <f>IF(C1269="","",IF(J1269=0,"UNMAPPED",LOWER(INDEX(Mapping!$D$1:$D$504,J1269))))</f>
        <v/>
      </c>
      <c r="L1269" s="6">
        <f>IF(K1269="mapped",TRIM(INDEX(Mapping!$C$1:$C$504,J1269)),"")</f>
        <v/>
      </c>
      <c r="M1269" s="6">
        <f>IF(C1269="","",IF(SUMPRODUCT(($C$12:C1269=C1269)*1)=1,1,0))</f>
        <v/>
      </c>
      <c r="N1269" s="6">
        <f>IF(AND(K1269="UNMAPPED",M1269=1),ROW(),"")</f>
        <v/>
      </c>
      <c r="O1269" s="6">
        <f>IF(AND(I1269=1,M1269=1),ROW(),"")</f>
        <v/>
      </c>
      <c r="P1269" s="6">
        <f>IF(AND(K1269="ignored",M1269=1),ROW(),"")</f>
        <v/>
      </c>
    </row>
    <row r="1270">
      <c r="A1270" s="8" t="n"/>
      <c r="B1270" s="8" t="n"/>
      <c r="C1270" s="6">
        <f>TRIM(A1270&amp;"")</f>
        <v/>
      </c>
      <c r="D1270" s="6">
        <f>IF(C1270="","",SUBSTITUTE(SUBSTITUTE(SUBSTITUTE(SUBSTITUTE(SUBSTITUTE(SUBSTITUTE(SUBSTITUTE(UPPER(TRIM(B1270&amp;"")),"₹",""),"RS.",""),"RS",""),"INR",""),"$",""),",","")," ",""))</f>
        <v/>
      </c>
      <c r="E1270" s="6">
        <f>IF(C1270="","",IF(RIGHT(D1270,2)="CR","Cr",IF(RIGHT(D1270,2)="DR","Dr","")))</f>
        <v/>
      </c>
      <c r="F1270" s="6">
        <f>IF(C1270="","",IF(E1270&lt;&gt;"",LEFT(D1270,LEN(D1270)-2),D1270))</f>
        <v/>
      </c>
      <c r="G1270" s="13">
        <f>IF(C1270="","",IF(OR(IF(AND(LEFT(F1270,1)="(",RIGHT(F1270,1)=")"),MID(F1270,2,LEN(F1270)-2),F1270)="",IF(AND(LEFT(F1270,1)="(",RIGHT(F1270,1)=")"),MID(F1270,2,LEN(F1270)-2),F1270)="-"),0,IFERROR(VALUE(IF(AND(LEFT(F1270,1)="(",RIGHT(F1270,1)=")"),MID(F1270,2,LEN(F1270)-2),F1270))*IF(AND(LEFT(F1270,1)="(",RIGHT(F1270,1)=")"),-1,1)*IF(E1270="Cr",Setup!$B$6,1),"ERR")))</f>
        <v/>
      </c>
      <c r="H1270" s="6">
        <f>IF(C1270="","",IF(ISNUMBER(G1270),1,0))</f>
        <v/>
      </c>
      <c r="I1270" s="6">
        <f>IF(C1270="","",IF(SUMPRODUCT(($C$12:$C$1511=C1270)*1)&gt;1,1,0))</f>
        <v/>
      </c>
      <c r="J1270" s="6">
        <f>IF(C1270="","",SUMPRODUCT((Mapping!$F$5:$F$504=Setup!$B$4&amp;"||"&amp;C1270)*ROW(Mapping!$F$5:$F$504)))</f>
        <v/>
      </c>
      <c r="K1270" s="6">
        <f>IF(C1270="","",IF(J1270=0,"UNMAPPED",LOWER(INDEX(Mapping!$D$1:$D$504,J1270))))</f>
        <v/>
      </c>
      <c r="L1270" s="6">
        <f>IF(K1270="mapped",TRIM(INDEX(Mapping!$C$1:$C$504,J1270)),"")</f>
        <v/>
      </c>
      <c r="M1270" s="6">
        <f>IF(C1270="","",IF(SUMPRODUCT(($C$12:C1270=C1270)*1)=1,1,0))</f>
        <v/>
      </c>
      <c r="N1270" s="6">
        <f>IF(AND(K1270="UNMAPPED",M1270=1),ROW(),"")</f>
        <v/>
      </c>
      <c r="O1270" s="6">
        <f>IF(AND(I1270=1,M1270=1),ROW(),"")</f>
        <v/>
      </c>
      <c r="P1270" s="6">
        <f>IF(AND(K1270="ignored",M1270=1),ROW(),"")</f>
        <v/>
      </c>
    </row>
    <row r="1271">
      <c r="A1271" s="8" t="n"/>
      <c r="B1271" s="8" t="n"/>
      <c r="C1271" s="6">
        <f>TRIM(A1271&amp;"")</f>
        <v/>
      </c>
      <c r="D1271" s="6">
        <f>IF(C1271="","",SUBSTITUTE(SUBSTITUTE(SUBSTITUTE(SUBSTITUTE(SUBSTITUTE(SUBSTITUTE(SUBSTITUTE(UPPER(TRIM(B1271&amp;"")),"₹",""),"RS.",""),"RS",""),"INR",""),"$",""),",","")," ",""))</f>
        <v/>
      </c>
      <c r="E1271" s="6">
        <f>IF(C1271="","",IF(RIGHT(D1271,2)="CR","Cr",IF(RIGHT(D1271,2)="DR","Dr","")))</f>
        <v/>
      </c>
      <c r="F1271" s="6">
        <f>IF(C1271="","",IF(E1271&lt;&gt;"",LEFT(D1271,LEN(D1271)-2),D1271))</f>
        <v/>
      </c>
      <c r="G1271" s="13">
        <f>IF(C1271="","",IF(OR(IF(AND(LEFT(F1271,1)="(",RIGHT(F1271,1)=")"),MID(F1271,2,LEN(F1271)-2),F1271)="",IF(AND(LEFT(F1271,1)="(",RIGHT(F1271,1)=")"),MID(F1271,2,LEN(F1271)-2),F1271)="-"),0,IFERROR(VALUE(IF(AND(LEFT(F1271,1)="(",RIGHT(F1271,1)=")"),MID(F1271,2,LEN(F1271)-2),F1271))*IF(AND(LEFT(F1271,1)="(",RIGHT(F1271,1)=")"),-1,1)*IF(E1271="Cr",Setup!$B$6,1),"ERR")))</f>
        <v/>
      </c>
      <c r="H1271" s="6">
        <f>IF(C1271="","",IF(ISNUMBER(G1271),1,0))</f>
        <v/>
      </c>
      <c r="I1271" s="6">
        <f>IF(C1271="","",IF(SUMPRODUCT(($C$12:$C$1511=C1271)*1)&gt;1,1,0))</f>
        <v/>
      </c>
      <c r="J1271" s="6">
        <f>IF(C1271="","",SUMPRODUCT((Mapping!$F$5:$F$504=Setup!$B$4&amp;"||"&amp;C1271)*ROW(Mapping!$F$5:$F$504)))</f>
        <v/>
      </c>
      <c r="K1271" s="6">
        <f>IF(C1271="","",IF(J1271=0,"UNMAPPED",LOWER(INDEX(Mapping!$D$1:$D$504,J1271))))</f>
        <v/>
      </c>
      <c r="L1271" s="6">
        <f>IF(K1271="mapped",TRIM(INDEX(Mapping!$C$1:$C$504,J1271)),"")</f>
        <v/>
      </c>
      <c r="M1271" s="6">
        <f>IF(C1271="","",IF(SUMPRODUCT(($C$12:C1271=C1271)*1)=1,1,0))</f>
        <v/>
      </c>
      <c r="N1271" s="6">
        <f>IF(AND(K1271="UNMAPPED",M1271=1),ROW(),"")</f>
        <v/>
      </c>
      <c r="O1271" s="6">
        <f>IF(AND(I1271=1,M1271=1),ROW(),"")</f>
        <v/>
      </c>
      <c r="P1271" s="6">
        <f>IF(AND(K1271="ignored",M1271=1),ROW(),"")</f>
        <v/>
      </c>
    </row>
    <row r="1272">
      <c r="A1272" s="8" t="n"/>
      <c r="B1272" s="8" t="n"/>
      <c r="C1272" s="6">
        <f>TRIM(A1272&amp;"")</f>
        <v/>
      </c>
      <c r="D1272" s="6">
        <f>IF(C1272="","",SUBSTITUTE(SUBSTITUTE(SUBSTITUTE(SUBSTITUTE(SUBSTITUTE(SUBSTITUTE(SUBSTITUTE(UPPER(TRIM(B1272&amp;"")),"₹",""),"RS.",""),"RS",""),"INR",""),"$",""),",","")," ",""))</f>
        <v/>
      </c>
      <c r="E1272" s="6">
        <f>IF(C1272="","",IF(RIGHT(D1272,2)="CR","Cr",IF(RIGHT(D1272,2)="DR","Dr","")))</f>
        <v/>
      </c>
      <c r="F1272" s="6">
        <f>IF(C1272="","",IF(E1272&lt;&gt;"",LEFT(D1272,LEN(D1272)-2),D1272))</f>
        <v/>
      </c>
      <c r="G1272" s="13">
        <f>IF(C1272="","",IF(OR(IF(AND(LEFT(F1272,1)="(",RIGHT(F1272,1)=")"),MID(F1272,2,LEN(F1272)-2),F1272)="",IF(AND(LEFT(F1272,1)="(",RIGHT(F1272,1)=")"),MID(F1272,2,LEN(F1272)-2),F1272)="-"),0,IFERROR(VALUE(IF(AND(LEFT(F1272,1)="(",RIGHT(F1272,1)=")"),MID(F1272,2,LEN(F1272)-2),F1272))*IF(AND(LEFT(F1272,1)="(",RIGHT(F1272,1)=")"),-1,1)*IF(E1272="Cr",Setup!$B$6,1),"ERR")))</f>
        <v/>
      </c>
      <c r="H1272" s="6">
        <f>IF(C1272="","",IF(ISNUMBER(G1272),1,0))</f>
        <v/>
      </c>
      <c r="I1272" s="6">
        <f>IF(C1272="","",IF(SUMPRODUCT(($C$12:$C$1511=C1272)*1)&gt;1,1,0))</f>
        <v/>
      </c>
      <c r="J1272" s="6">
        <f>IF(C1272="","",SUMPRODUCT((Mapping!$F$5:$F$504=Setup!$B$4&amp;"||"&amp;C1272)*ROW(Mapping!$F$5:$F$504)))</f>
        <v/>
      </c>
      <c r="K1272" s="6">
        <f>IF(C1272="","",IF(J1272=0,"UNMAPPED",LOWER(INDEX(Mapping!$D$1:$D$504,J1272))))</f>
        <v/>
      </c>
      <c r="L1272" s="6">
        <f>IF(K1272="mapped",TRIM(INDEX(Mapping!$C$1:$C$504,J1272)),"")</f>
        <v/>
      </c>
      <c r="M1272" s="6">
        <f>IF(C1272="","",IF(SUMPRODUCT(($C$12:C1272=C1272)*1)=1,1,0))</f>
        <v/>
      </c>
      <c r="N1272" s="6">
        <f>IF(AND(K1272="UNMAPPED",M1272=1),ROW(),"")</f>
        <v/>
      </c>
      <c r="O1272" s="6">
        <f>IF(AND(I1272=1,M1272=1),ROW(),"")</f>
        <v/>
      </c>
      <c r="P1272" s="6">
        <f>IF(AND(K1272="ignored",M1272=1),ROW(),"")</f>
        <v/>
      </c>
    </row>
    <row r="1273">
      <c r="A1273" s="8" t="n"/>
      <c r="B1273" s="8" t="n"/>
      <c r="C1273" s="6">
        <f>TRIM(A1273&amp;"")</f>
        <v/>
      </c>
      <c r="D1273" s="6">
        <f>IF(C1273="","",SUBSTITUTE(SUBSTITUTE(SUBSTITUTE(SUBSTITUTE(SUBSTITUTE(SUBSTITUTE(SUBSTITUTE(UPPER(TRIM(B1273&amp;"")),"₹",""),"RS.",""),"RS",""),"INR",""),"$",""),",","")," ",""))</f>
        <v/>
      </c>
      <c r="E1273" s="6">
        <f>IF(C1273="","",IF(RIGHT(D1273,2)="CR","Cr",IF(RIGHT(D1273,2)="DR","Dr","")))</f>
        <v/>
      </c>
      <c r="F1273" s="6">
        <f>IF(C1273="","",IF(E1273&lt;&gt;"",LEFT(D1273,LEN(D1273)-2),D1273))</f>
        <v/>
      </c>
      <c r="G1273" s="13">
        <f>IF(C1273="","",IF(OR(IF(AND(LEFT(F1273,1)="(",RIGHT(F1273,1)=")"),MID(F1273,2,LEN(F1273)-2),F1273)="",IF(AND(LEFT(F1273,1)="(",RIGHT(F1273,1)=")"),MID(F1273,2,LEN(F1273)-2),F1273)="-"),0,IFERROR(VALUE(IF(AND(LEFT(F1273,1)="(",RIGHT(F1273,1)=")"),MID(F1273,2,LEN(F1273)-2),F1273))*IF(AND(LEFT(F1273,1)="(",RIGHT(F1273,1)=")"),-1,1)*IF(E1273="Cr",Setup!$B$6,1),"ERR")))</f>
        <v/>
      </c>
      <c r="H1273" s="6">
        <f>IF(C1273="","",IF(ISNUMBER(G1273),1,0))</f>
        <v/>
      </c>
      <c r="I1273" s="6">
        <f>IF(C1273="","",IF(SUMPRODUCT(($C$12:$C$1511=C1273)*1)&gt;1,1,0))</f>
        <v/>
      </c>
      <c r="J1273" s="6">
        <f>IF(C1273="","",SUMPRODUCT((Mapping!$F$5:$F$504=Setup!$B$4&amp;"||"&amp;C1273)*ROW(Mapping!$F$5:$F$504)))</f>
        <v/>
      </c>
      <c r="K1273" s="6">
        <f>IF(C1273="","",IF(J1273=0,"UNMAPPED",LOWER(INDEX(Mapping!$D$1:$D$504,J1273))))</f>
        <v/>
      </c>
      <c r="L1273" s="6">
        <f>IF(K1273="mapped",TRIM(INDEX(Mapping!$C$1:$C$504,J1273)),"")</f>
        <v/>
      </c>
      <c r="M1273" s="6">
        <f>IF(C1273="","",IF(SUMPRODUCT(($C$12:C1273=C1273)*1)=1,1,0))</f>
        <v/>
      </c>
      <c r="N1273" s="6">
        <f>IF(AND(K1273="UNMAPPED",M1273=1),ROW(),"")</f>
        <v/>
      </c>
      <c r="O1273" s="6">
        <f>IF(AND(I1273=1,M1273=1),ROW(),"")</f>
        <v/>
      </c>
      <c r="P1273" s="6">
        <f>IF(AND(K1273="ignored",M1273=1),ROW(),"")</f>
        <v/>
      </c>
    </row>
    <row r="1274">
      <c r="A1274" s="8" t="n"/>
      <c r="B1274" s="8" t="n"/>
      <c r="C1274" s="6">
        <f>TRIM(A1274&amp;"")</f>
        <v/>
      </c>
      <c r="D1274" s="6">
        <f>IF(C1274="","",SUBSTITUTE(SUBSTITUTE(SUBSTITUTE(SUBSTITUTE(SUBSTITUTE(SUBSTITUTE(SUBSTITUTE(UPPER(TRIM(B1274&amp;"")),"₹",""),"RS.",""),"RS",""),"INR",""),"$",""),",","")," ",""))</f>
        <v/>
      </c>
      <c r="E1274" s="6">
        <f>IF(C1274="","",IF(RIGHT(D1274,2)="CR","Cr",IF(RIGHT(D1274,2)="DR","Dr","")))</f>
        <v/>
      </c>
      <c r="F1274" s="6">
        <f>IF(C1274="","",IF(E1274&lt;&gt;"",LEFT(D1274,LEN(D1274)-2),D1274))</f>
        <v/>
      </c>
      <c r="G1274" s="13">
        <f>IF(C1274="","",IF(OR(IF(AND(LEFT(F1274,1)="(",RIGHT(F1274,1)=")"),MID(F1274,2,LEN(F1274)-2),F1274)="",IF(AND(LEFT(F1274,1)="(",RIGHT(F1274,1)=")"),MID(F1274,2,LEN(F1274)-2),F1274)="-"),0,IFERROR(VALUE(IF(AND(LEFT(F1274,1)="(",RIGHT(F1274,1)=")"),MID(F1274,2,LEN(F1274)-2),F1274))*IF(AND(LEFT(F1274,1)="(",RIGHT(F1274,1)=")"),-1,1)*IF(E1274="Cr",Setup!$B$6,1),"ERR")))</f>
        <v/>
      </c>
      <c r="H1274" s="6">
        <f>IF(C1274="","",IF(ISNUMBER(G1274),1,0))</f>
        <v/>
      </c>
      <c r="I1274" s="6">
        <f>IF(C1274="","",IF(SUMPRODUCT(($C$12:$C$1511=C1274)*1)&gt;1,1,0))</f>
        <v/>
      </c>
      <c r="J1274" s="6">
        <f>IF(C1274="","",SUMPRODUCT((Mapping!$F$5:$F$504=Setup!$B$4&amp;"||"&amp;C1274)*ROW(Mapping!$F$5:$F$504)))</f>
        <v/>
      </c>
      <c r="K1274" s="6">
        <f>IF(C1274="","",IF(J1274=0,"UNMAPPED",LOWER(INDEX(Mapping!$D$1:$D$504,J1274))))</f>
        <v/>
      </c>
      <c r="L1274" s="6">
        <f>IF(K1274="mapped",TRIM(INDEX(Mapping!$C$1:$C$504,J1274)),"")</f>
        <v/>
      </c>
      <c r="M1274" s="6">
        <f>IF(C1274="","",IF(SUMPRODUCT(($C$12:C1274=C1274)*1)=1,1,0))</f>
        <v/>
      </c>
      <c r="N1274" s="6">
        <f>IF(AND(K1274="UNMAPPED",M1274=1),ROW(),"")</f>
        <v/>
      </c>
      <c r="O1274" s="6">
        <f>IF(AND(I1274=1,M1274=1),ROW(),"")</f>
        <v/>
      </c>
      <c r="P1274" s="6">
        <f>IF(AND(K1274="ignored",M1274=1),ROW(),"")</f>
        <v/>
      </c>
    </row>
    <row r="1275">
      <c r="A1275" s="8" t="n"/>
      <c r="B1275" s="8" t="n"/>
      <c r="C1275" s="6">
        <f>TRIM(A1275&amp;"")</f>
        <v/>
      </c>
      <c r="D1275" s="6">
        <f>IF(C1275="","",SUBSTITUTE(SUBSTITUTE(SUBSTITUTE(SUBSTITUTE(SUBSTITUTE(SUBSTITUTE(SUBSTITUTE(UPPER(TRIM(B1275&amp;"")),"₹",""),"RS.",""),"RS",""),"INR",""),"$",""),",","")," ",""))</f>
        <v/>
      </c>
      <c r="E1275" s="6">
        <f>IF(C1275="","",IF(RIGHT(D1275,2)="CR","Cr",IF(RIGHT(D1275,2)="DR","Dr","")))</f>
        <v/>
      </c>
      <c r="F1275" s="6">
        <f>IF(C1275="","",IF(E1275&lt;&gt;"",LEFT(D1275,LEN(D1275)-2),D1275))</f>
        <v/>
      </c>
      <c r="G1275" s="13">
        <f>IF(C1275="","",IF(OR(IF(AND(LEFT(F1275,1)="(",RIGHT(F1275,1)=")"),MID(F1275,2,LEN(F1275)-2),F1275)="",IF(AND(LEFT(F1275,1)="(",RIGHT(F1275,1)=")"),MID(F1275,2,LEN(F1275)-2),F1275)="-"),0,IFERROR(VALUE(IF(AND(LEFT(F1275,1)="(",RIGHT(F1275,1)=")"),MID(F1275,2,LEN(F1275)-2),F1275))*IF(AND(LEFT(F1275,1)="(",RIGHT(F1275,1)=")"),-1,1)*IF(E1275="Cr",Setup!$B$6,1),"ERR")))</f>
        <v/>
      </c>
      <c r="H1275" s="6">
        <f>IF(C1275="","",IF(ISNUMBER(G1275),1,0))</f>
        <v/>
      </c>
      <c r="I1275" s="6">
        <f>IF(C1275="","",IF(SUMPRODUCT(($C$12:$C$1511=C1275)*1)&gt;1,1,0))</f>
        <v/>
      </c>
      <c r="J1275" s="6">
        <f>IF(C1275="","",SUMPRODUCT((Mapping!$F$5:$F$504=Setup!$B$4&amp;"||"&amp;C1275)*ROW(Mapping!$F$5:$F$504)))</f>
        <v/>
      </c>
      <c r="K1275" s="6">
        <f>IF(C1275="","",IF(J1275=0,"UNMAPPED",LOWER(INDEX(Mapping!$D$1:$D$504,J1275))))</f>
        <v/>
      </c>
      <c r="L1275" s="6">
        <f>IF(K1275="mapped",TRIM(INDEX(Mapping!$C$1:$C$504,J1275)),"")</f>
        <v/>
      </c>
      <c r="M1275" s="6">
        <f>IF(C1275="","",IF(SUMPRODUCT(($C$12:C1275=C1275)*1)=1,1,0))</f>
        <v/>
      </c>
      <c r="N1275" s="6">
        <f>IF(AND(K1275="UNMAPPED",M1275=1),ROW(),"")</f>
        <v/>
      </c>
      <c r="O1275" s="6">
        <f>IF(AND(I1275=1,M1275=1),ROW(),"")</f>
        <v/>
      </c>
      <c r="P1275" s="6">
        <f>IF(AND(K1275="ignored",M1275=1),ROW(),"")</f>
        <v/>
      </c>
    </row>
    <row r="1276">
      <c r="A1276" s="8" t="n"/>
      <c r="B1276" s="8" t="n"/>
      <c r="C1276" s="6">
        <f>TRIM(A1276&amp;"")</f>
        <v/>
      </c>
      <c r="D1276" s="6">
        <f>IF(C1276="","",SUBSTITUTE(SUBSTITUTE(SUBSTITUTE(SUBSTITUTE(SUBSTITUTE(SUBSTITUTE(SUBSTITUTE(UPPER(TRIM(B1276&amp;"")),"₹",""),"RS.",""),"RS",""),"INR",""),"$",""),",","")," ",""))</f>
        <v/>
      </c>
      <c r="E1276" s="6">
        <f>IF(C1276="","",IF(RIGHT(D1276,2)="CR","Cr",IF(RIGHT(D1276,2)="DR","Dr","")))</f>
        <v/>
      </c>
      <c r="F1276" s="6">
        <f>IF(C1276="","",IF(E1276&lt;&gt;"",LEFT(D1276,LEN(D1276)-2),D1276))</f>
        <v/>
      </c>
      <c r="G1276" s="13">
        <f>IF(C1276="","",IF(OR(IF(AND(LEFT(F1276,1)="(",RIGHT(F1276,1)=")"),MID(F1276,2,LEN(F1276)-2),F1276)="",IF(AND(LEFT(F1276,1)="(",RIGHT(F1276,1)=")"),MID(F1276,2,LEN(F1276)-2),F1276)="-"),0,IFERROR(VALUE(IF(AND(LEFT(F1276,1)="(",RIGHT(F1276,1)=")"),MID(F1276,2,LEN(F1276)-2),F1276))*IF(AND(LEFT(F1276,1)="(",RIGHT(F1276,1)=")"),-1,1)*IF(E1276="Cr",Setup!$B$6,1),"ERR")))</f>
        <v/>
      </c>
      <c r="H1276" s="6">
        <f>IF(C1276="","",IF(ISNUMBER(G1276),1,0))</f>
        <v/>
      </c>
      <c r="I1276" s="6">
        <f>IF(C1276="","",IF(SUMPRODUCT(($C$12:$C$1511=C1276)*1)&gt;1,1,0))</f>
        <v/>
      </c>
      <c r="J1276" s="6">
        <f>IF(C1276="","",SUMPRODUCT((Mapping!$F$5:$F$504=Setup!$B$4&amp;"||"&amp;C1276)*ROW(Mapping!$F$5:$F$504)))</f>
        <v/>
      </c>
      <c r="K1276" s="6">
        <f>IF(C1276="","",IF(J1276=0,"UNMAPPED",LOWER(INDEX(Mapping!$D$1:$D$504,J1276))))</f>
        <v/>
      </c>
      <c r="L1276" s="6">
        <f>IF(K1276="mapped",TRIM(INDEX(Mapping!$C$1:$C$504,J1276)),"")</f>
        <v/>
      </c>
      <c r="M1276" s="6">
        <f>IF(C1276="","",IF(SUMPRODUCT(($C$12:C1276=C1276)*1)=1,1,0))</f>
        <v/>
      </c>
      <c r="N1276" s="6">
        <f>IF(AND(K1276="UNMAPPED",M1276=1),ROW(),"")</f>
        <v/>
      </c>
      <c r="O1276" s="6">
        <f>IF(AND(I1276=1,M1276=1),ROW(),"")</f>
        <v/>
      </c>
      <c r="P1276" s="6">
        <f>IF(AND(K1276="ignored",M1276=1),ROW(),"")</f>
        <v/>
      </c>
    </row>
    <row r="1277">
      <c r="A1277" s="8" t="n"/>
      <c r="B1277" s="8" t="n"/>
      <c r="C1277" s="6">
        <f>TRIM(A1277&amp;"")</f>
        <v/>
      </c>
      <c r="D1277" s="6">
        <f>IF(C1277="","",SUBSTITUTE(SUBSTITUTE(SUBSTITUTE(SUBSTITUTE(SUBSTITUTE(SUBSTITUTE(SUBSTITUTE(UPPER(TRIM(B1277&amp;"")),"₹",""),"RS.",""),"RS",""),"INR",""),"$",""),",","")," ",""))</f>
        <v/>
      </c>
      <c r="E1277" s="6">
        <f>IF(C1277="","",IF(RIGHT(D1277,2)="CR","Cr",IF(RIGHT(D1277,2)="DR","Dr","")))</f>
        <v/>
      </c>
      <c r="F1277" s="6">
        <f>IF(C1277="","",IF(E1277&lt;&gt;"",LEFT(D1277,LEN(D1277)-2),D1277))</f>
        <v/>
      </c>
      <c r="G1277" s="13">
        <f>IF(C1277="","",IF(OR(IF(AND(LEFT(F1277,1)="(",RIGHT(F1277,1)=")"),MID(F1277,2,LEN(F1277)-2),F1277)="",IF(AND(LEFT(F1277,1)="(",RIGHT(F1277,1)=")"),MID(F1277,2,LEN(F1277)-2),F1277)="-"),0,IFERROR(VALUE(IF(AND(LEFT(F1277,1)="(",RIGHT(F1277,1)=")"),MID(F1277,2,LEN(F1277)-2),F1277))*IF(AND(LEFT(F1277,1)="(",RIGHT(F1277,1)=")"),-1,1)*IF(E1277="Cr",Setup!$B$6,1),"ERR")))</f>
        <v/>
      </c>
      <c r="H1277" s="6">
        <f>IF(C1277="","",IF(ISNUMBER(G1277),1,0))</f>
        <v/>
      </c>
      <c r="I1277" s="6">
        <f>IF(C1277="","",IF(SUMPRODUCT(($C$12:$C$1511=C1277)*1)&gt;1,1,0))</f>
        <v/>
      </c>
      <c r="J1277" s="6">
        <f>IF(C1277="","",SUMPRODUCT((Mapping!$F$5:$F$504=Setup!$B$4&amp;"||"&amp;C1277)*ROW(Mapping!$F$5:$F$504)))</f>
        <v/>
      </c>
      <c r="K1277" s="6">
        <f>IF(C1277="","",IF(J1277=0,"UNMAPPED",LOWER(INDEX(Mapping!$D$1:$D$504,J1277))))</f>
        <v/>
      </c>
      <c r="L1277" s="6">
        <f>IF(K1277="mapped",TRIM(INDEX(Mapping!$C$1:$C$504,J1277)),"")</f>
        <v/>
      </c>
      <c r="M1277" s="6">
        <f>IF(C1277="","",IF(SUMPRODUCT(($C$12:C1277=C1277)*1)=1,1,0))</f>
        <v/>
      </c>
      <c r="N1277" s="6">
        <f>IF(AND(K1277="UNMAPPED",M1277=1),ROW(),"")</f>
        <v/>
      </c>
      <c r="O1277" s="6">
        <f>IF(AND(I1277=1,M1277=1),ROW(),"")</f>
        <v/>
      </c>
      <c r="P1277" s="6">
        <f>IF(AND(K1277="ignored",M1277=1),ROW(),"")</f>
        <v/>
      </c>
    </row>
    <row r="1278">
      <c r="A1278" s="8" t="n"/>
      <c r="B1278" s="8" t="n"/>
      <c r="C1278" s="6">
        <f>TRIM(A1278&amp;"")</f>
        <v/>
      </c>
      <c r="D1278" s="6">
        <f>IF(C1278="","",SUBSTITUTE(SUBSTITUTE(SUBSTITUTE(SUBSTITUTE(SUBSTITUTE(SUBSTITUTE(SUBSTITUTE(UPPER(TRIM(B1278&amp;"")),"₹",""),"RS.",""),"RS",""),"INR",""),"$",""),",","")," ",""))</f>
        <v/>
      </c>
      <c r="E1278" s="6">
        <f>IF(C1278="","",IF(RIGHT(D1278,2)="CR","Cr",IF(RIGHT(D1278,2)="DR","Dr","")))</f>
        <v/>
      </c>
      <c r="F1278" s="6">
        <f>IF(C1278="","",IF(E1278&lt;&gt;"",LEFT(D1278,LEN(D1278)-2),D1278))</f>
        <v/>
      </c>
      <c r="G1278" s="13">
        <f>IF(C1278="","",IF(OR(IF(AND(LEFT(F1278,1)="(",RIGHT(F1278,1)=")"),MID(F1278,2,LEN(F1278)-2),F1278)="",IF(AND(LEFT(F1278,1)="(",RIGHT(F1278,1)=")"),MID(F1278,2,LEN(F1278)-2),F1278)="-"),0,IFERROR(VALUE(IF(AND(LEFT(F1278,1)="(",RIGHT(F1278,1)=")"),MID(F1278,2,LEN(F1278)-2),F1278))*IF(AND(LEFT(F1278,1)="(",RIGHT(F1278,1)=")"),-1,1)*IF(E1278="Cr",Setup!$B$6,1),"ERR")))</f>
        <v/>
      </c>
      <c r="H1278" s="6">
        <f>IF(C1278="","",IF(ISNUMBER(G1278),1,0))</f>
        <v/>
      </c>
      <c r="I1278" s="6">
        <f>IF(C1278="","",IF(SUMPRODUCT(($C$12:$C$1511=C1278)*1)&gt;1,1,0))</f>
        <v/>
      </c>
      <c r="J1278" s="6">
        <f>IF(C1278="","",SUMPRODUCT((Mapping!$F$5:$F$504=Setup!$B$4&amp;"||"&amp;C1278)*ROW(Mapping!$F$5:$F$504)))</f>
        <v/>
      </c>
      <c r="K1278" s="6">
        <f>IF(C1278="","",IF(J1278=0,"UNMAPPED",LOWER(INDEX(Mapping!$D$1:$D$504,J1278))))</f>
        <v/>
      </c>
      <c r="L1278" s="6">
        <f>IF(K1278="mapped",TRIM(INDEX(Mapping!$C$1:$C$504,J1278)),"")</f>
        <v/>
      </c>
      <c r="M1278" s="6">
        <f>IF(C1278="","",IF(SUMPRODUCT(($C$12:C1278=C1278)*1)=1,1,0))</f>
        <v/>
      </c>
      <c r="N1278" s="6">
        <f>IF(AND(K1278="UNMAPPED",M1278=1),ROW(),"")</f>
        <v/>
      </c>
      <c r="O1278" s="6">
        <f>IF(AND(I1278=1,M1278=1),ROW(),"")</f>
        <v/>
      </c>
      <c r="P1278" s="6">
        <f>IF(AND(K1278="ignored",M1278=1),ROW(),"")</f>
        <v/>
      </c>
    </row>
    <row r="1279">
      <c r="A1279" s="8" t="n"/>
      <c r="B1279" s="8" t="n"/>
      <c r="C1279" s="6">
        <f>TRIM(A1279&amp;"")</f>
        <v/>
      </c>
      <c r="D1279" s="6">
        <f>IF(C1279="","",SUBSTITUTE(SUBSTITUTE(SUBSTITUTE(SUBSTITUTE(SUBSTITUTE(SUBSTITUTE(SUBSTITUTE(UPPER(TRIM(B1279&amp;"")),"₹",""),"RS.",""),"RS",""),"INR",""),"$",""),",","")," ",""))</f>
        <v/>
      </c>
      <c r="E1279" s="6">
        <f>IF(C1279="","",IF(RIGHT(D1279,2)="CR","Cr",IF(RIGHT(D1279,2)="DR","Dr","")))</f>
        <v/>
      </c>
      <c r="F1279" s="6">
        <f>IF(C1279="","",IF(E1279&lt;&gt;"",LEFT(D1279,LEN(D1279)-2),D1279))</f>
        <v/>
      </c>
      <c r="G1279" s="13">
        <f>IF(C1279="","",IF(OR(IF(AND(LEFT(F1279,1)="(",RIGHT(F1279,1)=")"),MID(F1279,2,LEN(F1279)-2),F1279)="",IF(AND(LEFT(F1279,1)="(",RIGHT(F1279,1)=")"),MID(F1279,2,LEN(F1279)-2),F1279)="-"),0,IFERROR(VALUE(IF(AND(LEFT(F1279,1)="(",RIGHT(F1279,1)=")"),MID(F1279,2,LEN(F1279)-2),F1279))*IF(AND(LEFT(F1279,1)="(",RIGHT(F1279,1)=")"),-1,1)*IF(E1279="Cr",Setup!$B$6,1),"ERR")))</f>
        <v/>
      </c>
      <c r="H1279" s="6">
        <f>IF(C1279="","",IF(ISNUMBER(G1279),1,0))</f>
        <v/>
      </c>
      <c r="I1279" s="6">
        <f>IF(C1279="","",IF(SUMPRODUCT(($C$12:$C$1511=C1279)*1)&gt;1,1,0))</f>
        <v/>
      </c>
      <c r="J1279" s="6">
        <f>IF(C1279="","",SUMPRODUCT((Mapping!$F$5:$F$504=Setup!$B$4&amp;"||"&amp;C1279)*ROW(Mapping!$F$5:$F$504)))</f>
        <v/>
      </c>
      <c r="K1279" s="6">
        <f>IF(C1279="","",IF(J1279=0,"UNMAPPED",LOWER(INDEX(Mapping!$D$1:$D$504,J1279))))</f>
        <v/>
      </c>
      <c r="L1279" s="6">
        <f>IF(K1279="mapped",TRIM(INDEX(Mapping!$C$1:$C$504,J1279)),"")</f>
        <v/>
      </c>
      <c r="M1279" s="6">
        <f>IF(C1279="","",IF(SUMPRODUCT(($C$12:C1279=C1279)*1)=1,1,0))</f>
        <v/>
      </c>
      <c r="N1279" s="6">
        <f>IF(AND(K1279="UNMAPPED",M1279=1),ROW(),"")</f>
        <v/>
      </c>
      <c r="O1279" s="6">
        <f>IF(AND(I1279=1,M1279=1),ROW(),"")</f>
        <v/>
      </c>
      <c r="P1279" s="6">
        <f>IF(AND(K1279="ignored",M1279=1),ROW(),"")</f>
        <v/>
      </c>
    </row>
    <row r="1280">
      <c r="A1280" s="8" t="n"/>
      <c r="B1280" s="8" t="n"/>
      <c r="C1280" s="6">
        <f>TRIM(A1280&amp;"")</f>
        <v/>
      </c>
      <c r="D1280" s="6">
        <f>IF(C1280="","",SUBSTITUTE(SUBSTITUTE(SUBSTITUTE(SUBSTITUTE(SUBSTITUTE(SUBSTITUTE(SUBSTITUTE(UPPER(TRIM(B1280&amp;"")),"₹",""),"RS.",""),"RS",""),"INR",""),"$",""),",","")," ",""))</f>
        <v/>
      </c>
      <c r="E1280" s="6">
        <f>IF(C1280="","",IF(RIGHT(D1280,2)="CR","Cr",IF(RIGHT(D1280,2)="DR","Dr","")))</f>
        <v/>
      </c>
      <c r="F1280" s="6">
        <f>IF(C1280="","",IF(E1280&lt;&gt;"",LEFT(D1280,LEN(D1280)-2),D1280))</f>
        <v/>
      </c>
      <c r="G1280" s="13">
        <f>IF(C1280="","",IF(OR(IF(AND(LEFT(F1280,1)="(",RIGHT(F1280,1)=")"),MID(F1280,2,LEN(F1280)-2),F1280)="",IF(AND(LEFT(F1280,1)="(",RIGHT(F1280,1)=")"),MID(F1280,2,LEN(F1280)-2),F1280)="-"),0,IFERROR(VALUE(IF(AND(LEFT(F1280,1)="(",RIGHT(F1280,1)=")"),MID(F1280,2,LEN(F1280)-2),F1280))*IF(AND(LEFT(F1280,1)="(",RIGHT(F1280,1)=")"),-1,1)*IF(E1280="Cr",Setup!$B$6,1),"ERR")))</f>
        <v/>
      </c>
      <c r="H1280" s="6">
        <f>IF(C1280="","",IF(ISNUMBER(G1280),1,0))</f>
        <v/>
      </c>
      <c r="I1280" s="6">
        <f>IF(C1280="","",IF(SUMPRODUCT(($C$12:$C$1511=C1280)*1)&gt;1,1,0))</f>
        <v/>
      </c>
      <c r="J1280" s="6">
        <f>IF(C1280="","",SUMPRODUCT((Mapping!$F$5:$F$504=Setup!$B$4&amp;"||"&amp;C1280)*ROW(Mapping!$F$5:$F$504)))</f>
        <v/>
      </c>
      <c r="K1280" s="6">
        <f>IF(C1280="","",IF(J1280=0,"UNMAPPED",LOWER(INDEX(Mapping!$D$1:$D$504,J1280))))</f>
        <v/>
      </c>
      <c r="L1280" s="6">
        <f>IF(K1280="mapped",TRIM(INDEX(Mapping!$C$1:$C$504,J1280)),"")</f>
        <v/>
      </c>
      <c r="M1280" s="6">
        <f>IF(C1280="","",IF(SUMPRODUCT(($C$12:C1280=C1280)*1)=1,1,0))</f>
        <v/>
      </c>
      <c r="N1280" s="6">
        <f>IF(AND(K1280="UNMAPPED",M1280=1),ROW(),"")</f>
        <v/>
      </c>
      <c r="O1280" s="6">
        <f>IF(AND(I1280=1,M1280=1),ROW(),"")</f>
        <v/>
      </c>
      <c r="P1280" s="6">
        <f>IF(AND(K1280="ignored",M1280=1),ROW(),"")</f>
        <v/>
      </c>
    </row>
    <row r="1281">
      <c r="A1281" s="8" t="n"/>
      <c r="B1281" s="8" t="n"/>
      <c r="C1281" s="6">
        <f>TRIM(A1281&amp;"")</f>
        <v/>
      </c>
      <c r="D1281" s="6">
        <f>IF(C1281="","",SUBSTITUTE(SUBSTITUTE(SUBSTITUTE(SUBSTITUTE(SUBSTITUTE(SUBSTITUTE(SUBSTITUTE(UPPER(TRIM(B1281&amp;"")),"₹",""),"RS.",""),"RS",""),"INR",""),"$",""),",","")," ",""))</f>
        <v/>
      </c>
      <c r="E1281" s="6">
        <f>IF(C1281="","",IF(RIGHT(D1281,2)="CR","Cr",IF(RIGHT(D1281,2)="DR","Dr","")))</f>
        <v/>
      </c>
      <c r="F1281" s="6">
        <f>IF(C1281="","",IF(E1281&lt;&gt;"",LEFT(D1281,LEN(D1281)-2),D1281))</f>
        <v/>
      </c>
      <c r="G1281" s="13">
        <f>IF(C1281="","",IF(OR(IF(AND(LEFT(F1281,1)="(",RIGHT(F1281,1)=")"),MID(F1281,2,LEN(F1281)-2),F1281)="",IF(AND(LEFT(F1281,1)="(",RIGHT(F1281,1)=")"),MID(F1281,2,LEN(F1281)-2),F1281)="-"),0,IFERROR(VALUE(IF(AND(LEFT(F1281,1)="(",RIGHT(F1281,1)=")"),MID(F1281,2,LEN(F1281)-2),F1281))*IF(AND(LEFT(F1281,1)="(",RIGHT(F1281,1)=")"),-1,1)*IF(E1281="Cr",Setup!$B$6,1),"ERR")))</f>
        <v/>
      </c>
      <c r="H1281" s="6">
        <f>IF(C1281="","",IF(ISNUMBER(G1281),1,0))</f>
        <v/>
      </c>
      <c r="I1281" s="6">
        <f>IF(C1281="","",IF(SUMPRODUCT(($C$12:$C$1511=C1281)*1)&gt;1,1,0))</f>
        <v/>
      </c>
      <c r="J1281" s="6">
        <f>IF(C1281="","",SUMPRODUCT((Mapping!$F$5:$F$504=Setup!$B$4&amp;"||"&amp;C1281)*ROW(Mapping!$F$5:$F$504)))</f>
        <v/>
      </c>
      <c r="K1281" s="6">
        <f>IF(C1281="","",IF(J1281=0,"UNMAPPED",LOWER(INDEX(Mapping!$D$1:$D$504,J1281))))</f>
        <v/>
      </c>
      <c r="L1281" s="6">
        <f>IF(K1281="mapped",TRIM(INDEX(Mapping!$C$1:$C$504,J1281)),"")</f>
        <v/>
      </c>
      <c r="M1281" s="6">
        <f>IF(C1281="","",IF(SUMPRODUCT(($C$12:C1281=C1281)*1)=1,1,0))</f>
        <v/>
      </c>
      <c r="N1281" s="6">
        <f>IF(AND(K1281="UNMAPPED",M1281=1),ROW(),"")</f>
        <v/>
      </c>
      <c r="O1281" s="6">
        <f>IF(AND(I1281=1,M1281=1),ROW(),"")</f>
        <v/>
      </c>
      <c r="P1281" s="6">
        <f>IF(AND(K1281="ignored",M1281=1),ROW(),"")</f>
        <v/>
      </c>
    </row>
    <row r="1282">
      <c r="A1282" s="8" t="n"/>
      <c r="B1282" s="8" t="n"/>
      <c r="C1282" s="6">
        <f>TRIM(A1282&amp;"")</f>
        <v/>
      </c>
      <c r="D1282" s="6">
        <f>IF(C1282="","",SUBSTITUTE(SUBSTITUTE(SUBSTITUTE(SUBSTITUTE(SUBSTITUTE(SUBSTITUTE(SUBSTITUTE(UPPER(TRIM(B1282&amp;"")),"₹",""),"RS.",""),"RS",""),"INR",""),"$",""),",","")," ",""))</f>
        <v/>
      </c>
      <c r="E1282" s="6">
        <f>IF(C1282="","",IF(RIGHT(D1282,2)="CR","Cr",IF(RIGHT(D1282,2)="DR","Dr","")))</f>
        <v/>
      </c>
      <c r="F1282" s="6">
        <f>IF(C1282="","",IF(E1282&lt;&gt;"",LEFT(D1282,LEN(D1282)-2),D1282))</f>
        <v/>
      </c>
      <c r="G1282" s="13">
        <f>IF(C1282="","",IF(OR(IF(AND(LEFT(F1282,1)="(",RIGHT(F1282,1)=")"),MID(F1282,2,LEN(F1282)-2),F1282)="",IF(AND(LEFT(F1282,1)="(",RIGHT(F1282,1)=")"),MID(F1282,2,LEN(F1282)-2),F1282)="-"),0,IFERROR(VALUE(IF(AND(LEFT(F1282,1)="(",RIGHT(F1282,1)=")"),MID(F1282,2,LEN(F1282)-2),F1282))*IF(AND(LEFT(F1282,1)="(",RIGHT(F1282,1)=")"),-1,1)*IF(E1282="Cr",Setup!$B$6,1),"ERR")))</f>
        <v/>
      </c>
      <c r="H1282" s="6">
        <f>IF(C1282="","",IF(ISNUMBER(G1282),1,0))</f>
        <v/>
      </c>
      <c r="I1282" s="6">
        <f>IF(C1282="","",IF(SUMPRODUCT(($C$12:$C$1511=C1282)*1)&gt;1,1,0))</f>
        <v/>
      </c>
      <c r="J1282" s="6">
        <f>IF(C1282="","",SUMPRODUCT((Mapping!$F$5:$F$504=Setup!$B$4&amp;"||"&amp;C1282)*ROW(Mapping!$F$5:$F$504)))</f>
        <v/>
      </c>
      <c r="K1282" s="6">
        <f>IF(C1282="","",IF(J1282=0,"UNMAPPED",LOWER(INDEX(Mapping!$D$1:$D$504,J1282))))</f>
        <v/>
      </c>
      <c r="L1282" s="6">
        <f>IF(K1282="mapped",TRIM(INDEX(Mapping!$C$1:$C$504,J1282)),"")</f>
        <v/>
      </c>
      <c r="M1282" s="6">
        <f>IF(C1282="","",IF(SUMPRODUCT(($C$12:C1282=C1282)*1)=1,1,0))</f>
        <v/>
      </c>
      <c r="N1282" s="6">
        <f>IF(AND(K1282="UNMAPPED",M1282=1),ROW(),"")</f>
        <v/>
      </c>
      <c r="O1282" s="6">
        <f>IF(AND(I1282=1,M1282=1),ROW(),"")</f>
        <v/>
      </c>
      <c r="P1282" s="6">
        <f>IF(AND(K1282="ignored",M1282=1),ROW(),"")</f>
        <v/>
      </c>
    </row>
    <row r="1283">
      <c r="A1283" s="8" t="n"/>
      <c r="B1283" s="8" t="n"/>
      <c r="C1283" s="6">
        <f>TRIM(A1283&amp;"")</f>
        <v/>
      </c>
      <c r="D1283" s="6">
        <f>IF(C1283="","",SUBSTITUTE(SUBSTITUTE(SUBSTITUTE(SUBSTITUTE(SUBSTITUTE(SUBSTITUTE(SUBSTITUTE(UPPER(TRIM(B1283&amp;"")),"₹",""),"RS.",""),"RS",""),"INR",""),"$",""),",","")," ",""))</f>
        <v/>
      </c>
      <c r="E1283" s="6">
        <f>IF(C1283="","",IF(RIGHT(D1283,2)="CR","Cr",IF(RIGHT(D1283,2)="DR","Dr","")))</f>
        <v/>
      </c>
      <c r="F1283" s="6">
        <f>IF(C1283="","",IF(E1283&lt;&gt;"",LEFT(D1283,LEN(D1283)-2),D1283))</f>
        <v/>
      </c>
      <c r="G1283" s="13">
        <f>IF(C1283="","",IF(OR(IF(AND(LEFT(F1283,1)="(",RIGHT(F1283,1)=")"),MID(F1283,2,LEN(F1283)-2),F1283)="",IF(AND(LEFT(F1283,1)="(",RIGHT(F1283,1)=")"),MID(F1283,2,LEN(F1283)-2),F1283)="-"),0,IFERROR(VALUE(IF(AND(LEFT(F1283,1)="(",RIGHT(F1283,1)=")"),MID(F1283,2,LEN(F1283)-2),F1283))*IF(AND(LEFT(F1283,1)="(",RIGHT(F1283,1)=")"),-1,1)*IF(E1283="Cr",Setup!$B$6,1),"ERR")))</f>
        <v/>
      </c>
      <c r="H1283" s="6">
        <f>IF(C1283="","",IF(ISNUMBER(G1283),1,0))</f>
        <v/>
      </c>
      <c r="I1283" s="6">
        <f>IF(C1283="","",IF(SUMPRODUCT(($C$12:$C$1511=C1283)*1)&gt;1,1,0))</f>
        <v/>
      </c>
      <c r="J1283" s="6">
        <f>IF(C1283="","",SUMPRODUCT((Mapping!$F$5:$F$504=Setup!$B$4&amp;"||"&amp;C1283)*ROW(Mapping!$F$5:$F$504)))</f>
        <v/>
      </c>
      <c r="K1283" s="6">
        <f>IF(C1283="","",IF(J1283=0,"UNMAPPED",LOWER(INDEX(Mapping!$D$1:$D$504,J1283))))</f>
        <v/>
      </c>
      <c r="L1283" s="6">
        <f>IF(K1283="mapped",TRIM(INDEX(Mapping!$C$1:$C$504,J1283)),"")</f>
        <v/>
      </c>
      <c r="M1283" s="6">
        <f>IF(C1283="","",IF(SUMPRODUCT(($C$12:C1283=C1283)*1)=1,1,0))</f>
        <v/>
      </c>
      <c r="N1283" s="6">
        <f>IF(AND(K1283="UNMAPPED",M1283=1),ROW(),"")</f>
        <v/>
      </c>
      <c r="O1283" s="6">
        <f>IF(AND(I1283=1,M1283=1),ROW(),"")</f>
        <v/>
      </c>
      <c r="P1283" s="6">
        <f>IF(AND(K1283="ignored",M1283=1),ROW(),"")</f>
        <v/>
      </c>
    </row>
    <row r="1284">
      <c r="A1284" s="8" t="n"/>
      <c r="B1284" s="8" t="n"/>
      <c r="C1284" s="6">
        <f>TRIM(A1284&amp;"")</f>
        <v/>
      </c>
      <c r="D1284" s="6">
        <f>IF(C1284="","",SUBSTITUTE(SUBSTITUTE(SUBSTITUTE(SUBSTITUTE(SUBSTITUTE(SUBSTITUTE(SUBSTITUTE(UPPER(TRIM(B1284&amp;"")),"₹",""),"RS.",""),"RS",""),"INR",""),"$",""),",","")," ",""))</f>
        <v/>
      </c>
      <c r="E1284" s="6">
        <f>IF(C1284="","",IF(RIGHT(D1284,2)="CR","Cr",IF(RIGHT(D1284,2)="DR","Dr","")))</f>
        <v/>
      </c>
      <c r="F1284" s="6">
        <f>IF(C1284="","",IF(E1284&lt;&gt;"",LEFT(D1284,LEN(D1284)-2),D1284))</f>
        <v/>
      </c>
      <c r="G1284" s="13">
        <f>IF(C1284="","",IF(OR(IF(AND(LEFT(F1284,1)="(",RIGHT(F1284,1)=")"),MID(F1284,2,LEN(F1284)-2),F1284)="",IF(AND(LEFT(F1284,1)="(",RIGHT(F1284,1)=")"),MID(F1284,2,LEN(F1284)-2),F1284)="-"),0,IFERROR(VALUE(IF(AND(LEFT(F1284,1)="(",RIGHT(F1284,1)=")"),MID(F1284,2,LEN(F1284)-2),F1284))*IF(AND(LEFT(F1284,1)="(",RIGHT(F1284,1)=")"),-1,1)*IF(E1284="Cr",Setup!$B$6,1),"ERR")))</f>
        <v/>
      </c>
      <c r="H1284" s="6">
        <f>IF(C1284="","",IF(ISNUMBER(G1284),1,0))</f>
        <v/>
      </c>
      <c r="I1284" s="6">
        <f>IF(C1284="","",IF(SUMPRODUCT(($C$12:$C$1511=C1284)*1)&gt;1,1,0))</f>
        <v/>
      </c>
      <c r="J1284" s="6">
        <f>IF(C1284="","",SUMPRODUCT((Mapping!$F$5:$F$504=Setup!$B$4&amp;"||"&amp;C1284)*ROW(Mapping!$F$5:$F$504)))</f>
        <v/>
      </c>
      <c r="K1284" s="6">
        <f>IF(C1284="","",IF(J1284=0,"UNMAPPED",LOWER(INDEX(Mapping!$D$1:$D$504,J1284))))</f>
        <v/>
      </c>
      <c r="L1284" s="6">
        <f>IF(K1284="mapped",TRIM(INDEX(Mapping!$C$1:$C$504,J1284)),"")</f>
        <v/>
      </c>
      <c r="M1284" s="6">
        <f>IF(C1284="","",IF(SUMPRODUCT(($C$12:C1284=C1284)*1)=1,1,0))</f>
        <v/>
      </c>
      <c r="N1284" s="6">
        <f>IF(AND(K1284="UNMAPPED",M1284=1),ROW(),"")</f>
        <v/>
      </c>
      <c r="O1284" s="6">
        <f>IF(AND(I1284=1,M1284=1),ROW(),"")</f>
        <v/>
      </c>
      <c r="P1284" s="6">
        <f>IF(AND(K1284="ignored",M1284=1),ROW(),"")</f>
        <v/>
      </c>
    </row>
    <row r="1285">
      <c r="A1285" s="8" t="n"/>
      <c r="B1285" s="8" t="n"/>
      <c r="C1285" s="6">
        <f>TRIM(A1285&amp;"")</f>
        <v/>
      </c>
      <c r="D1285" s="6">
        <f>IF(C1285="","",SUBSTITUTE(SUBSTITUTE(SUBSTITUTE(SUBSTITUTE(SUBSTITUTE(SUBSTITUTE(SUBSTITUTE(UPPER(TRIM(B1285&amp;"")),"₹",""),"RS.",""),"RS",""),"INR",""),"$",""),",","")," ",""))</f>
        <v/>
      </c>
      <c r="E1285" s="6">
        <f>IF(C1285="","",IF(RIGHT(D1285,2)="CR","Cr",IF(RIGHT(D1285,2)="DR","Dr","")))</f>
        <v/>
      </c>
      <c r="F1285" s="6">
        <f>IF(C1285="","",IF(E1285&lt;&gt;"",LEFT(D1285,LEN(D1285)-2),D1285))</f>
        <v/>
      </c>
      <c r="G1285" s="13">
        <f>IF(C1285="","",IF(OR(IF(AND(LEFT(F1285,1)="(",RIGHT(F1285,1)=")"),MID(F1285,2,LEN(F1285)-2),F1285)="",IF(AND(LEFT(F1285,1)="(",RIGHT(F1285,1)=")"),MID(F1285,2,LEN(F1285)-2),F1285)="-"),0,IFERROR(VALUE(IF(AND(LEFT(F1285,1)="(",RIGHT(F1285,1)=")"),MID(F1285,2,LEN(F1285)-2),F1285))*IF(AND(LEFT(F1285,1)="(",RIGHT(F1285,1)=")"),-1,1)*IF(E1285="Cr",Setup!$B$6,1),"ERR")))</f>
        <v/>
      </c>
      <c r="H1285" s="6">
        <f>IF(C1285="","",IF(ISNUMBER(G1285),1,0))</f>
        <v/>
      </c>
      <c r="I1285" s="6">
        <f>IF(C1285="","",IF(SUMPRODUCT(($C$12:$C$1511=C1285)*1)&gt;1,1,0))</f>
        <v/>
      </c>
      <c r="J1285" s="6">
        <f>IF(C1285="","",SUMPRODUCT((Mapping!$F$5:$F$504=Setup!$B$4&amp;"||"&amp;C1285)*ROW(Mapping!$F$5:$F$504)))</f>
        <v/>
      </c>
      <c r="K1285" s="6">
        <f>IF(C1285="","",IF(J1285=0,"UNMAPPED",LOWER(INDEX(Mapping!$D$1:$D$504,J1285))))</f>
        <v/>
      </c>
      <c r="L1285" s="6">
        <f>IF(K1285="mapped",TRIM(INDEX(Mapping!$C$1:$C$504,J1285)),"")</f>
        <v/>
      </c>
      <c r="M1285" s="6">
        <f>IF(C1285="","",IF(SUMPRODUCT(($C$12:C1285=C1285)*1)=1,1,0))</f>
        <v/>
      </c>
      <c r="N1285" s="6">
        <f>IF(AND(K1285="UNMAPPED",M1285=1),ROW(),"")</f>
        <v/>
      </c>
      <c r="O1285" s="6">
        <f>IF(AND(I1285=1,M1285=1),ROW(),"")</f>
        <v/>
      </c>
      <c r="P1285" s="6">
        <f>IF(AND(K1285="ignored",M1285=1),ROW(),"")</f>
        <v/>
      </c>
    </row>
    <row r="1286">
      <c r="A1286" s="8" t="n"/>
      <c r="B1286" s="8" t="n"/>
      <c r="C1286" s="6">
        <f>TRIM(A1286&amp;"")</f>
        <v/>
      </c>
      <c r="D1286" s="6">
        <f>IF(C1286="","",SUBSTITUTE(SUBSTITUTE(SUBSTITUTE(SUBSTITUTE(SUBSTITUTE(SUBSTITUTE(SUBSTITUTE(UPPER(TRIM(B1286&amp;"")),"₹",""),"RS.",""),"RS",""),"INR",""),"$",""),",","")," ",""))</f>
        <v/>
      </c>
      <c r="E1286" s="6">
        <f>IF(C1286="","",IF(RIGHT(D1286,2)="CR","Cr",IF(RIGHT(D1286,2)="DR","Dr","")))</f>
        <v/>
      </c>
      <c r="F1286" s="6">
        <f>IF(C1286="","",IF(E1286&lt;&gt;"",LEFT(D1286,LEN(D1286)-2),D1286))</f>
        <v/>
      </c>
      <c r="G1286" s="13">
        <f>IF(C1286="","",IF(OR(IF(AND(LEFT(F1286,1)="(",RIGHT(F1286,1)=")"),MID(F1286,2,LEN(F1286)-2),F1286)="",IF(AND(LEFT(F1286,1)="(",RIGHT(F1286,1)=")"),MID(F1286,2,LEN(F1286)-2),F1286)="-"),0,IFERROR(VALUE(IF(AND(LEFT(F1286,1)="(",RIGHT(F1286,1)=")"),MID(F1286,2,LEN(F1286)-2),F1286))*IF(AND(LEFT(F1286,1)="(",RIGHT(F1286,1)=")"),-1,1)*IF(E1286="Cr",Setup!$B$6,1),"ERR")))</f>
        <v/>
      </c>
      <c r="H1286" s="6">
        <f>IF(C1286="","",IF(ISNUMBER(G1286),1,0))</f>
        <v/>
      </c>
      <c r="I1286" s="6">
        <f>IF(C1286="","",IF(SUMPRODUCT(($C$12:$C$1511=C1286)*1)&gt;1,1,0))</f>
        <v/>
      </c>
      <c r="J1286" s="6">
        <f>IF(C1286="","",SUMPRODUCT((Mapping!$F$5:$F$504=Setup!$B$4&amp;"||"&amp;C1286)*ROW(Mapping!$F$5:$F$504)))</f>
        <v/>
      </c>
      <c r="K1286" s="6">
        <f>IF(C1286="","",IF(J1286=0,"UNMAPPED",LOWER(INDEX(Mapping!$D$1:$D$504,J1286))))</f>
        <v/>
      </c>
      <c r="L1286" s="6">
        <f>IF(K1286="mapped",TRIM(INDEX(Mapping!$C$1:$C$504,J1286)),"")</f>
        <v/>
      </c>
      <c r="M1286" s="6">
        <f>IF(C1286="","",IF(SUMPRODUCT(($C$12:C1286=C1286)*1)=1,1,0))</f>
        <v/>
      </c>
      <c r="N1286" s="6">
        <f>IF(AND(K1286="UNMAPPED",M1286=1),ROW(),"")</f>
        <v/>
      </c>
      <c r="O1286" s="6">
        <f>IF(AND(I1286=1,M1286=1),ROW(),"")</f>
        <v/>
      </c>
      <c r="P1286" s="6">
        <f>IF(AND(K1286="ignored",M1286=1),ROW(),"")</f>
        <v/>
      </c>
    </row>
    <row r="1287">
      <c r="A1287" s="8" t="n"/>
      <c r="B1287" s="8" t="n"/>
      <c r="C1287" s="6">
        <f>TRIM(A1287&amp;"")</f>
        <v/>
      </c>
      <c r="D1287" s="6">
        <f>IF(C1287="","",SUBSTITUTE(SUBSTITUTE(SUBSTITUTE(SUBSTITUTE(SUBSTITUTE(SUBSTITUTE(SUBSTITUTE(UPPER(TRIM(B1287&amp;"")),"₹",""),"RS.",""),"RS",""),"INR",""),"$",""),",","")," ",""))</f>
        <v/>
      </c>
      <c r="E1287" s="6">
        <f>IF(C1287="","",IF(RIGHT(D1287,2)="CR","Cr",IF(RIGHT(D1287,2)="DR","Dr","")))</f>
        <v/>
      </c>
      <c r="F1287" s="6">
        <f>IF(C1287="","",IF(E1287&lt;&gt;"",LEFT(D1287,LEN(D1287)-2),D1287))</f>
        <v/>
      </c>
      <c r="G1287" s="13">
        <f>IF(C1287="","",IF(OR(IF(AND(LEFT(F1287,1)="(",RIGHT(F1287,1)=")"),MID(F1287,2,LEN(F1287)-2),F1287)="",IF(AND(LEFT(F1287,1)="(",RIGHT(F1287,1)=")"),MID(F1287,2,LEN(F1287)-2),F1287)="-"),0,IFERROR(VALUE(IF(AND(LEFT(F1287,1)="(",RIGHT(F1287,1)=")"),MID(F1287,2,LEN(F1287)-2),F1287))*IF(AND(LEFT(F1287,1)="(",RIGHT(F1287,1)=")"),-1,1)*IF(E1287="Cr",Setup!$B$6,1),"ERR")))</f>
        <v/>
      </c>
      <c r="H1287" s="6">
        <f>IF(C1287="","",IF(ISNUMBER(G1287),1,0))</f>
        <v/>
      </c>
      <c r="I1287" s="6">
        <f>IF(C1287="","",IF(SUMPRODUCT(($C$12:$C$1511=C1287)*1)&gt;1,1,0))</f>
        <v/>
      </c>
      <c r="J1287" s="6">
        <f>IF(C1287="","",SUMPRODUCT((Mapping!$F$5:$F$504=Setup!$B$4&amp;"||"&amp;C1287)*ROW(Mapping!$F$5:$F$504)))</f>
        <v/>
      </c>
      <c r="K1287" s="6">
        <f>IF(C1287="","",IF(J1287=0,"UNMAPPED",LOWER(INDEX(Mapping!$D$1:$D$504,J1287))))</f>
        <v/>
      </c>
      <c r="L1287" s="6">
        <f>IF(K1287="mapped",TRIM(INDEX(Mapping!$C$1:$C$504,J1287)),"")</f>
        <v/>
      </c>
      <c r="M1287" s="6">
        <f>IF(C1287="","",IF(SUMPRODUCT(($C$12:C1287=C1287)*1)=1,1,0))</f>
        <v/>
      </c>
      <c r="N1287" s="6">
        <f>IF(AND(K1287="UNMAPPED",M1287=1),ROW(),"")</f>
        <v/>
      </c>
      <c r="O1287" s="6">
        <f>IF(AND(I1287=1,M1287=1),ROW(),"")</f>
        <v/>
      </c>
      <c r="P1287" s="6">
        <f>IF(AND(K1287="ignored",M1287=1),ROW(),"")</f>
        <v/>
      </c>
    </row>
    <row r="1288">
      <c r="A1288" s="8" t="n"/>
      <c r="B1288" s="8" t="n"/>
      <c r="C1288" s="6">
        <f>TRIM(A1288&amp;"")</f>
        <v/>
      </c>
      <c r="D1288" s="6">
        <f>IF(C1288="","",SUBSTITUTE(SUBSTITUTE(SUBSTITUTE(SUBSTITUTE(SUBSTITUTE(SUBSTITUTE(SUBSTITUTE(UPPER(TRIM(B1288&amp;"")),"₹",""),"RS.",""),"RS",""),"INR",""),"$",""),",","")," ",""))</f>
        <v/>
      </c>
      <c r="E1288" s="6">
        <f>IF(C1288="","",IF(RIGHT(D1288,2)="CR","Cr",IF(RIGHT(D1288,2)="DR","Dr","")))</f>
        <v/>
      </c>
      <c r="F1288" s="6">
        <f>IF(C1288="","",IF(E1288&lt;&gt;"",LEFT(D1288,LEN(D1288)-2),D1288))</f>
        <v/>
      </c>
      <c r="G1288" s="13">
        <f>IF(C1288="","",IF(OR(IF(AND(LEFT(F1288,1)="(",RIGHT(F1288,1)=")"),MID(F1288,2,LEN(F1288)-2),F1288)="",IF(AND(LEFT(F1288,1)="(",RIGHT(F1288,1)=")"),MID(F1288,2,LEN(F1288)-2),F1288)="-"),0,IFERROR(VALUE(IF(AND(LEFT(F1288,1)="(",RIGHT(F1288,1)=")"),MID(F1288,2,LEN(F1288)-2),F1288))*IF(AND(LEFT(F1288,1)="(",RIGHT(F1288,1)=")"),-1,1)*IF(E1288="Cr",Setup!$B$6,1),"ERR")))</f>
        <v/>
      </c>
      <c r="H1288" s="6">
        <f>IF(C1288="","",IF(ISNUMBER(G1288),1,0))</f>
        <v/>
      </c>
      <c r="I1288" s="6">
        <f>IF(C1288="","",IF(SUMPRODUCT(($C$12:$C$1511=C1288)*1)&gt;1,1,0))</f>
        <v/>
      </c>
      <c r="J1288" s="6">
        <f>IF(C1288="","",SUMPRODUCT((Mapping!$F$5:$F$504=Setup!$B$4&amp;"||"&amp;C1288)*ROW(Mapping!$F$5:$F$504)))</f>
        <v/>
      </c>
      <c r="K1288" s="6">
        <f>IF(C1288="","",IF(J1288=0,"UNMAPPED",LOWER(INDEX(Mapping!$D$1:$D$504,J1288))))</f>
        <v/>
      </c>
      <c r="L1288" s="6">
        <f>IF(K1288="mapped",TRIM(INDEX(Mapping!$C$1:$C$504,J1288)),"")</f>
        <v/>
      </c>
      <c r="M1288" s="6">
        <f>IF(C1288="","",IF(SUMPRODUCT(($C$12:C1288=C1288)*1)=1,1,0))</f>
        <v/>
      </c>
      <c r="N1288" s="6">
        <f>IF(AND(K1288="UNMAPPED",M1288=1),ROW(),"")</f>
        <v/>
      </c>
      <c r="O1288" s="6">
        <f>IF(AND(I1288=1,M1288=1),ROW(),"")</f>
        <v/>
      </c>
      <c r="P1288" s="6">
        <f>IF(AND(K1288="ignored",M1288=1),ROW(),"")</f>
        <v/>
      </c>
    </row>
    <row r="1289">
      <c r="A1289" s="8" t="n"/>
      <c r="B1289" s="8" t="n"/>
      <c r="C1289" s="6">
        <f>TRIM(A1289&amp;"")</f>
        <v/>
      </c>
      <c r="D1289" s="6">
        <f>IF(C1289="","",SUBSTITUTE(SUBSTITUTE(SUBSTITUTE(SUBSTITUTE(SUBSTITUTE(SUBSTITUTE(SUBSTITUTE(UPPER(TRIM(B1289&amp;"")),"₹",""),"RS.",""),"RS",""),"INR",""),"$",""),",","")," ",""))</f>
        <v/>
      </c>
      <c r="E1289" s="6">
        <f>IF(C1289="","",IF(RIGHT(D1289,2)="CR","Cr",IF(RIGHT(D1289,2)="DR","Dr","")))</f>
        <v/>
      </c>
      <c r="F1289" s="6">
        <f>IF(C1289="","",IF(E1289&lt;&gt;"",LEFT(D1289,LEN(D1289)-2),D1289))</f>
        <v/>
      </c>
      <c r="G1289" s="13">
        <f>IF(C1289="","",IF(OR(IF(AND(LEFT(F1289,1)="(",RIGHT(F1289,1)=")"),MID(F1289,2,LEN(F1289)-2),F1289)="",IF(AND(LEFT(F1289,1)="(",RIGHT(F1289,1)=")"),MID(F1289,2,LEN(F1289)-2),F1289)="-"),0,IFERROR(VALUE(IF(AND(LEFT(F1289,1)="(",RIGHT(F1289,1)=")"),MID(F1289,2,LEN(F1289)-2),F1289))*IF(AND(LEFT(F1289,1)="(",RIGHT(F1289,1)=")"),-1,1)*IF(E1289="Cr",Setup!$B$6,1),"ERR")))</f>
        <v/>
      </c>
      <c r="H1289" s="6">
        <f>IF(C1289="","",IF(ISNUMBER(G1289),1,0))</f>
        <v/>
      </c>
      <c r="I1289" s="6">
        <f>IF(C1289="","",IF(SUMPRODUCT(($C$12:$C$1511=C1289)*1)&gt;1,1,0))</f>
        <v/>
      </c>
      <c r="J1289" s="6">
        <f>IF(C1289="","",SUMPRODUCT((Mapping!$F$5:$F$504=Setup!$B$4&amp;"||"&amp;C1289)*ROW(Mapping!$F$5:$F$504)))</f>
        <v/>
      </c>
      <c r="K1289" s="6">
        <f>IF(C1289="","",IF(J1289=0,"UNMAPPED",LOWER(INDEX(Mapping!$D$1:$D$504,J1289))))</f>
        <v/>
      </c>
      <c r="L1289" s="6">
        <f>IF(K1289="mapped",TRIM(INDEX(Mapping!$C$1:$C$504,J1289)),"")</f>
        <v/>
      </c>
      <c r="M1289" s="6">
        <f>IF(C1289="","",IF(SUMPRODUCT(($C$12:C1289=C1289)*1)=1,1,0))</f>
        <v/>
      </c>
      <c r="N1289" s="6">
        <f>IF(AND(K1289="UNMAPPED",M1289=1),ROW(),"")</f>
        <v/>
      </c>
      <c r="O1289" s="6">
        <f>IF(AND(I1289=1,M1289=1),ROW(),"")</f>
        <v/>
      </c>
      <c r="P1289" s="6">
        <f>IF(AND(K1289="ignored",M1289=1),ROW(),"")</f>
        <v/>
      </c>
    </row>
    <row r="1290">
      <c r="A1290" s="8" t="n"/>
      <c r="B1290" s="8" t="n"/>
      <c r="C1290" s="6">
        <f>TRIM(A1290&amp;"")</f>
        <v/>
      </c>
      <c r="D1290" s="6">
        <f>IF(C1290="","",SUBSTITUTE(SUBSTITUTE(SUBSTITUTE(SUBSTITUTE(SUBSTITUTE(SUBSTITUTE(SUBSTITUTE(UPPER(TRIM(B1290&amp;"")),"₹",""),"RS.",""),"RS",""),"INR",""),"$",""),",","")," ",""))</f>
        <v/>
      </c>
      <c r="E1290" s="6">
        <f>IF(C1290="","",IF(RIGHT(D1290,2)="CR","Cr",IF(RIGHT(D1290,2)="DR","Dr","")))</f>
        <v/>
      </c>
      <c r="F1290" s="6">
        <f>IF(C1290="","",IF(E1290&lt;&gt;"",LEFT(D1290,LEN(D1290)-2),D1290))</f>
        <v/>
      </c>
      <c r="G1290" s="13">
        <f>IF(C1290="","",IF(OR(IF(AND(LEFT(F1290,1)="(",RIGHT(F1290,1)=")"),MID(F1290,2,LEN(F1290)-2),F1290)="",IF(AND(LEFT(F1290,1)="(",RIGHT(F1290,1)=")"),MID(F1290,2,LEN(F1290)-2),F1290)="-"),0,IFERROR(VALUE(IF(AND(LEFT(F1290,1)="(",RIGHT(F1290,1)=")"),MID(F1290,2,LEN(F1290)-2),F1290))*IF(AND(LEFT(F1290,1)="(",RIGHT(F1290,1)=")"),-1,1)*IF(E1290="Cr",Setup!$B$6,1),"ERR")))</f>
        <v/>
      </c>
      <c r="H1290" s="6">
        <f>IF(C1290="","",IF(ISNUMBER(G1290),1,0))</f>
        <v/>
      </c>
      <c r="I1290" s="6">
        <f>IF(C1290="","",IF(SUMPRODUCT(($C$12:$C$1511=C1290)*1)&gt;1,1,0))</f>
        <v/>
      </c>
      <c r="J1290" s="6">
        <f>IF(C1290="","",SUMPRODUCT((Mapping!$F$5:$F$504=Setup!$B$4&amp;"||"&amp;C1290)*ROW(Mapping!$F$5:$F$504)))</f>
        <v/>
      </c>
      <c r="K1290" s="6">
        <f>IF(C1290="","",IF(J1290=0,"UNMAPPED",LOWER(INDEX(Mapping!$D$1:$D$504,J1290))))</f>
        <v/>
      </c>
      <c r="L1290" s="6">
        <f>IF(K1290="mapped",TRIM(INDEX(Mapping!$C$1:$C$504,J1290)),"")</f>
        <v/>
      </c>
      <c r="M1290" s="6">
        <f>IF(C1290="","",IF(SUMPRODUCT(($C$12:C1290=C1290)*1)=1,1,0))</f>
        <v/>
      </c>
      <c r="N1290" s="6">
        <f>IF(AND(K1290="UNMAPPED",M1290=1),ROW(),"")</f>
        <v/>
      </c>
      <c r="O1290" s="6">
        <f>IF(AND(I1290=1,M1290=1),ROW(),"")</f>
        <v/>
      </c>
      <c r="P1290" s="6">
        <f>IF(AND(K1290="ignored",M1290=1),ROW(),"")</f>
        <v/>
      </c>
    </row>
    <row r="1291">
      <c r="A1291" s="8" t="n"/>
      <c r="B1291" s="8" t="n"/>
      <c r="C1291" s="6">
        <f>TRIM(A1291&amp;"")</f>
        <v/>
      </c>
      <c r="D1291" s="6">
        <f>IF(C1291="","",SUBSTITUTE(SUBSTITUTE(SUBSTITUTE(SUBSTITUTE(SUBSTITUTE(SUBSTITUTE(SUBSTITUTE(UPPER(TRIM(B1291&amp;"")),"₹",""),"RS.",""),"RS",""),"INR",""),"$",""),",","")," ",""))</f>
        <v/>
      </c>
      <c r="E1291" s="6">
        <f>IF(C1291="","",IF(RIGHT(D1291,2)="CR","Cr",IF(RIGHT(D1291,2)="DR","Dr","")))</f>
        <v/>
      </c>
      <c r="F1291" s="6">
        <f>IF(C1291="","",IF(E1291&lt;&gt;"",LEFT(D1291,LEN(D1291)-2),D1291))</f>
        <v/>
      </c>
      <c r="G1291" s="13">
        <f>IF(C1291="","",IF(OR(IF(AND(LEFT(F1291,1)="(",RIGHT(F1291,1)=")"),MID(F1291,2,LEN(F1291)-2),F1291)="",IF(AND(LEFT(F1291,1)="(",RIGHT(F1291,1)=")"),MID(F1291,2,LEN(F1291)-2),F1291)="-"),0,IFERROR(VALUE(IF(AND(LEFT(F1291,1)="(",RIGHT(F1291,1)=")"),MID(F1291,2,LEN(F1291)-2),F1291))*IF(AND(LEFT(F1291,1)="(",RIGHT(F1291,1)=")"),-1,1)*IF(E1291="Cr",Setup!$B$6,1),"ERR")))</f>
        <v/>
      </c>
      <c r="H1291" s="6">
        <f>IF(C1291="","",IF(ISNUMBER(G1291),1,0))</f>
        <v/>
      </c>
      <c r="I1291" s="6">
        <f>IF(C1291="","",IF(SUMPRODUCT(($C$12:$C$1511=C1291)*1)&gt;1,1,0))</f>
        <v/>
      </c>
      <c r="J1291" s="6">
        <f>IF(C1291="","",SUMPRODUCT((Mapping!$F$5:$F$504=Setup!$B$4&amp;"||"&amp;C1291)*ROW(Mapping!$F$5:$F$504)))</f>
        <v/>
      </c>
      <c r="K1291" s="6">
        <f>IF(C1291="","",IF(J1291=0,"UNMAPPED",LOWER(INDEX(Mapping!$D$1:$D$504,J1291))))</f>
        <v/>
      </c>
      <c r="L1291" s="6">
        <f>IF(K1291="mapped",TRIM(INDEX(Mapping!$C$1:$C$504,J1291)),"")</f>
        <v/>
      </c>
      <c r="M1291" s="6">
        <f>IF(C1291="","",IF(SUMPRODUCT(($C$12:C1291=C1291)*1)=1,1,0))</f>
        <v/>
      </c>
      <c r="N1291" s="6">
        <f>IF(AND(K1291="UNMAPPED",M1291=1),ROW(),"")</f>
        <v/>
      </c>
      <c r="O1291" s="6">
        <f>IF(AND(I1291=1,M1291=1),ROW(),"")</f>
        <v/>
      </c>
      <c r="P1291" s="6">
        <f>IF(AND(K1291="ignored",M1291=1),ROW(),"")</f>
        <v/>
      </c>
    </row>
    <row r="1292">
      <c r="A1292" s="8" t="n"/>
      <c r="B1292" s="8" t="n"/>
      <c r="C1292" s="6">
        <f>TRIM(A1292&amp;"")</f>
        <v/>
      </c>
      <c r="D1292" s="6">
        <f>IF(C1292="","",SUBSTITUTE(SUBSTITUTE(SUBSTITUTE(SUBSTITUTE(SUBSTITUTE(SUBSTITUTE(SUBSTITUTE(UPPER(TRIM(B1292&amp;"")),"₹",""),"RS.",""),"RS",""),"INR",""),"$",""),",","")," ",""))</f>
        <v/>
      </c>
      <c r="E1292" s="6">
        <f>IF(C1292="","",IF(RIGHT(D1292,2)="CR","Cr",IF(RIGHT(D1292,2)="DR","Dr","")))</f>
        <v/>
      </c>
      <c r="F1292" s="6">
        <f>IF(C1292="","",IF(E1292&lt;&gt;"",LEFT(D1292,LEN(D1292)-2),D1292))</f>
        <v/>
      </c>
      <c r="G1292" s="13">
        <f>IF(C1292="","",IF(OR(IF(AND(LEFT(F1292,1)="(",RIGHT(F1292,1)=")"),MID(F1292,2,LEN(F1292)-2),F1292)="",IF(AND(LEFT(F1292,1)="(",RIGHT(F1292,1)=")"),MID(F1292,2,LEN(F1292)-2),F1292)="-"),0,IFERROR(VALUE(IF(AND(LEFT(F1292,1)="(",RIGHT(F1292,1)=")"),MID(F1292,2,LEN(F1292)-2),F1292))*IF(AND(LEFT(F1292,1)="(",RIGHT(F1292,1)=")"),-1,1)*IF(E1292="Cr",Setup!$B$6,1),"ERR")))</f>
        <v/>
      </c>
      <c r="H1292" s="6">
        <f>IF(C1292="","",IF(ISNUMBER(G1292),1,0))</f>
        <v/>
      </c>
      <c r="I1292" s="6">
        <f>IF(C1292="","",IF(SUMPRODUCT(($C$12:$C$1511=C1292)*1)&gt;1,1,0))</f>
        <v/>
      </c>
      <c r="J1292" s="6">
        <f>IF(C1292="","",SUMPRODUCT((Mapping!$F$5:$F$504=Setup!$B$4&amp;"||"&amp;C1292)*ROW(Mapping!$F$5:$F$504)))</f>
        <v/>
      </c>
      <c r="K1292" s="6">
        <f>IF(C1292="","",IF(J1292=0,"UNMAPPED",LOWER(INDEX(Mapping!$D$1:$D$504,J1292))))</f>
        <v/>
      </c>
      <c r="L1292" s="6">
        <f>IF(K1292="mapped",TRIM(INDEX(Mapping!$C$1:$C$504,J1292)),"")</f>
        <v/>
      </c>
      <c r="M1292" s="6">
        <f>IF(C1292="","",IF(SUMPRODUCT(($C$12:C1292=C1292)*1)=1,1,0))</f>
        <v/>
      </c>
      <c r="N1292" s="6">
        <f>IF(AND(K1292="UNMAPPED",M1292=1),ROW(),"")</f>
        <v/>
      </c>
      <c r="O1292" s="6">
        <f>IF(AND(I1292=1,M1292=1),ROW(),"")</f>
        <v/>
      </c>
      <c r="P1292" s="6">
        <f>IF(AND(K1292="ignored",M1292=1),ROW(),"")</f>
        <v/>
      </c>
    </row>
    <row r="1293">
      <c r="A1293" s="8" t="n"/>
      <c r="B1293" s="8" t="n"/>
      <c r="C1293" s="6">
        <f>TRIM(A1293&amp;"")</f>
        <v/>
      </c>
      <c r="D1293" s="6">
        <f>IF(C1293="","",SUBSTITUTE(SUBSTITUTE(SUBSTITUTE(SUBSTITUTE(SUBSTITUTE(SUBSTITUTE(SUBSTITUTE(UPPER(TRIM(B1293&amp;"")),"₹",""),"RS.",""),"RS",""),"INR",""),"$",""),",","")," ",""))</f>
        <v/>
      </c>
      <c r="E1293" s="6">
        <f>IF(C1293="","",IF(RIGHT(D1293,2)="CR","Cr",IF(RIGHT(D1293,2)="DR","Dr","")))</f>
        <v/>
      </c>
      <c r="F1293" s="6">
        <f>IF(C1293="","",IF(E1293&lt;&gt;"",LEFT(D1293,LEN(D1293)-2),D1293))</f>
        <v/>
      </c>
      <c r="G1293" s="13">
        <f>IF(C1293="","",IF(OR(IF(AND(LEFT(F1293,1)="(",RIGHT(F1293,1)=")"),MID(F1293,2,LEN(F1293)-2),F1293)="",IF(AND(LEFT(F1293,1)="(",RIGHT(F1293,1)=")"),MID(F1293,2,LEN(F1293)-2),F1293)="-"),0,IFERROR(VALUE(IF(AND(LEFT(F1293,1)="(",RIGHT(F1293,1)=")"),MID(F1293,2,LEN(F1293)-2),F1293))*IF(AND(LEFT(F1293,1)="(",RIGHT(F1293,1)=")"),-1,1)*IF(E1293="Cr",Setup!$B$6,1),"ERR")))</f>
        <v/>
      </c>
      <c r="H1293" s="6">
        <f>IF(C1293="","",IF(ISNUMBER(G1293),1,0))</f>
        <v/>
      </c>
      <c r="I1293" s="6">
        <f>IF(C1293="","",IF(SUMPRODUCT(($C$12:$C$1511=C1293)*1)&gt;1,1,0))</f>
        <v/>
      </c>
      <c r="J1293" s="6">
        <f>IF(C1293="","",SUMPRODUCT((Mapping!$F$5:$F$504=Setup!$B$4&amp;"||"&amp;C1293)*ROW(Mapping!$F$5:$F$504)))</f>
        <v/>
      </c>
      <c r="K1293" s="6">
        <f>IF(C1293="","",IF(J1293=0,"UNMAPPED",LOWER(INDEX(Mapping!$D$1:$D$504,J1293))))</f>
        <v/>
      </c>
      <c r="L1293" s="6">
        <f>IF(K1293="mapped",TRIM(INDEX(Mapping!$C$1:$C$504,J1293)),"")</f>
        <v/>
      </c>
      <c r="M1293" s="6">
        <f>IF(C1293="","",IF(SUMPRODUCT(($C$12:C1293=C1293)*1)=1,1,0))</f>
        <v/>
      </c>
      <c r="N1293" s="6">
        <f>IF(AND(K1293="UNMAPPED",M1293=1),ROW(),"")</f>
        <v/>
      </c>
      <c r="O1293" s="6">
        <f>IF(AND(I1293=1,M1293=1),ROW(),"")</f>
        <v/>
      </c>
      <c r="P1293" s="6">
        <f>IF(AND(K1293="ignored",M1293=1),ROW(),"")</f>
        <v/>
      </c>
    </row>
    <row r="1294">
      <c r="A1294" s="8" t="n"/>
      <c r="B1294" s="8" t="n"/>
      <c r="C1294" s="6">
        <f>TRIM(A1294&amp;"")</f>
        <v/>
      </c>
      <c r="D1294" s="6">
        <f>IF(C1294="","",SUBSTITUTE(SUBSTITUTE(SUBSTITUTE(SUBSTITUTE(SUBSTITUTE(SUBSTITUTE(SUBSTITUTE(UPPER(TRIM(B1294&amp;"")),"₹",""),"RS.",""),"RS",""),"INR",""),"$",""),",","")," ",""))</f>
        <v/>
      </c>
      <c r="E1294" s="6">
        <f>IF(C1294="","",IF(RIGHT(D1294,2)="CR","Cr",IF(RIGHT(D1294,2)="DR","Dr","")))</f>
        <v/>
      </c>
      <c r="F1294" s="6">
        <f>IF(C1294="","",IF(E1294&lt;&gt;"",LEFT(D1294,LEN(D1294)-2),D1294))</f>
        <v/>
      </c>
      <c r="G1294" s="13">
        <f>IF(C1294="","",IF(OR(IF(AND(LEFT(F1294,1)="(",RIGHT(F1294,1)=")"),MID(F1294,2,LEN(F1294)-2),F1294)="",IF(AND(LEFT(F1294,1)="(",RIGHT(F1294,1)=")"),MID(F1294,2,LEN(F1294)-2),F1294)="-"),0,IFERROR(VALUE(IF(AND(LEFT(F1294,1)="(",RIGHT(F1294,1)=")"),MID(F1294,2,LEN(F1294)-2),F1294))*IF(AND(LEFT(F1294,1)="(",RIGHT(F1294,1)=")"),-1,1)*IF(E1294="Cr",Setup!$B$6,1),"ERR")))</f>
        <v/>
      </c>
      <c r="H1294" s="6">
        <f>IF(C1294="","",IF(ISNUMBER(G1294),1,0))</f>
        <v/>
      </c>
      <c r="I1294" s="6">
        <f>IF(C1294="","",IF(SUMPRODUCT(($C$12:$C$1511=C1294)*1)&gt;1,1,0))</f>
        <v/>
      </c>
      <c r="J1294" s="6">
        <f>IF(C1294="","",SUMPRODUCT((Mapping!$F$5:$F$504=Setup!$B$4&amp;"||"&amp;C1294)*ROW(Mapping!$F$5:$F$504)))</f>
        <v/>
      </c>
      <c r="K1294" s="6">
        <f>IF(C1294="","",IF(J1294=0,"UNMAPPED",LOWER(INDEX(Mapping!$D$1:$D$504,J1294))))</f>
        <v/>
      </c>
      <c r="L1294" s="6">
        <f>IF(K1294="mapped",TRIM(INDEX(Mapping!$C$1:$C$504,J1294)),"")</f>
        <v/>
      </c>
      <c r="M1294" s="6">
        <f>IF(C1294="","",IF(SUMPRODUCT(($C$12:C1294=C1294)*1)=1,1,0))</f>
        <v/>
      </c>
      <c r="N1294" s="6">
        <f>IF(AND(K1294="UNMAPPED",M1294=1),ROW(),"")</f>
        <v/>
      </c>
      <c r="O1294" s="6">
        <f>IF(AND(I1294=1,M1294=1),ROW(),"")</f>
        <v/>
      </c>
      <c r="P1294" s="6">
        <f>IF(AND(K1294="ignored",M1294=1),ROW(),"")</f>
        <v/>
      </c>
    </row>
    <row r="1295">
      <c r="A1295" s="8" t="n"/>
      <c r="B1295" s="8" t="n"/>
      <c r="C1295" s="6">
        <f>TRIM(A1295&amp;"")</f>
        <v/>
      </c>
      <c r="D1295" s="6">
        <f>IF(C1295="","",SUBSTITUTE(SUBSTITUTE(SUBSTITUTE(SUBSTITUTE(SUBSTITUTE(SUBSTITUTE(SUBSTITUTE(UPPER(TRIM(B1295&amp;"")),"₹",""),"RS.",""),"RS",""),"INR",""),"$",""),",","")," ",""))</f>
        <v/>
      </c>
      <c r="E1295" s="6">
        <f>IF(C1295="","",IF(RIGHT(D1295,2)="CR","Cr",IF(RIGHT(D1295,2)="DR","Dr","")))</f>
        <v/>
      </c>
      <c r="F1295" s="6">
        <f>IF(C1295="","",IF(E1295&lt;&gt;"",LEFT(D1295,LEN(D1295)-2),D1295))</f>
        <v/>
      </c>
      <c r="G1295" s="13">
        <f>IF(C1295="","",IF(OR(IF(AND(LEFT(F1295,1)="(",RIGHT(F1295,1)=")"),MID(F1295,2,LEN(F1295)-2),F1295)="",IF(AND(LEFT(F1295,1)="(",RIGHT(F1295,1)=")"),MID(F1295,2,LEN(F1295)-2),F1295)="-"),0,IFERROR(VALUE(IF(AND(LEFT(F1295,1)="(",RIGHT(F1295,1)=")"),MID(F1295,2,LEN(F1295)-2),F1295))*IF(AND(LEFT(F1295,1)="(",RIGHT(F1295,1)=")"),-1,1)*IF(E1295="Cr",Setup!$B$6,1),"ERR")))</f>
        <v/>
      </c>
      <c r="H1295" s="6">
        <f>IF(C1295="","",IF(ISNUMBER(G1295),1,0))</f>
        <v/>
      </c>
      <c r="I1295" s="6">
        <f>IF(C1295="","",IF(SUMPRODUCT(($C$12:$C$1511=C1295)*1)&gt;1,1,0))</f>
        <v/>
      </c>
      <c r="J1295" s="6">
        <f>IF(C1295="","",SUMPRODUCT((Mapping!$F$5:$F$504=Setup!$B$4&amp;"||"&amp;C1295)*ROW(Mapping!$F$5:$F$504)))</f>
        <v/>
      </c>
      <c r="K1295" s="6">
        <f>IF(C1295="","",IF(J1295=0,"UNMAPPED",LOWER(INDEX(Mapping!$D$1:$D$504,J1295))))</f>
        <v/>
      </c>
      <c r="L1295" s="6">
        <f>IF(K1295="mapped",TRIM(INDEX(Mapping!$C$1:$C$504,J1295)),"")</f>
        <v/>
      </c>
      <c r="M1295" s="6">
        <f>IF(C1295="","",IF(SUMPRODUCT(($C$12:C1295=C1295)*1)=1,1,0))</f>
        <v/>
      </c>
      <c r="N1295" s="6">
        <f>IF(AND(K1295="UNMAPPED",M1295=1),ROW(),"")</f>
        <v/>
      </c>
      <c r="O1295" s="6">
        <f>IF(AND(I1295=1,M1295=1),ROW(),"")</f>
        <v/>
      </c>
      <c r="P1295" s="6">
        <f>IF(AND(K1295="ignored",M1295=1),ROW(),"")</f>
        <v/>
      </c>
    </row>
    <row r="1296">
      <c r="A1296" s="8" t="n"/>
      <c r="B1296" s="8" t="n"/>
      <c r="C1296" s="6">
        <f>TRIM(A1296&amp;"")</f>
        <v/>
      </c>
      <c r="D1296" s="6">
        <f>IF(C1296="","",SUBSTITUTE(SUBSTITUTE(SUBSTITUTE(SUBSTITUTE(SUBSTITUTE(SUBSTITUTE(SUBSTITUTE(UPPER(TRIM(B1296&amp;"")),"₹",""),"RS.",""),"RS",""),"INR",""),"$",""),",","")," ",""))</f>
        <v/>
      </c>
      <c r="E1296" s="6">
        <f>IF(C1296="","",IF(RIGHT(D1296,2)="CR","Cr",IF(RIGHT(D1296,2)="DR","Dr","")))</f>
        <v/>
      </c>
      <c r="F1296" s="6">
        <f>IF(C1296="","",IF(E1296&lt;&gt;"",LEFT(D1296,LEN(D1296)-2),D1296))</f>
        <v/>
      </c>
      <c r="G1296" s="13">
        <f>IF(C1296="","",IF(OR(IF(AND(LEFT(F1296,1)="(",RIGHT(F1296,1)=")"),MID(F1296,2,LEN(F1296)-2),F1296)="",IF(AND(LEFT(F1296,1)="(",RIGHT(F1296,1)=")"),MID(F1296,2,LEN(F1296)-2),F1296)="-"),0,IFERROR(VALUE(IF(AND(LEFT(F1296,1)="(",RIGHT(F1296,1)=")"),MID(F1296,2,LEN(F1296)-2),F1296))*IF(AND(LEFT(F1296,1)="(",RIGHT(F1296,1)=")"),-1,1)*IF(E1296="Cr",Setup!$B$6,1),"ERR")))</f>
        <v/>
      </c>
      <c r="H1296" s="6">
        <f>IF(C1296="","",IF(ISNUMBER(G1296),1,0))</f>
        <v/>
      </c>
      <c r="I1296" s="6">
        <f>IF(C1296="","",IF(SUMPRODUCT(($C$12:$C$1511=C1296)*1)&gt;1,1,0))</f>
        <v/>
      </c>
      <c r="J1296" s="6">
        <f>IF(C1296="","",SUMPRODUCT((Mapping!$F$5:$F$504=Setup!$B$4&amp;"||"&amp;C1296)*ROW(Mapping!$F$5:$F$504)))</f>
        <v/>
      </c>
      <c r="K1296" s="6">
        <f>IF(C1296="","",IF(J1296=0,"UNMAPPED",LOWER(INDEX(Mapping!$D$1:$D$504,J1296))))</f>
        <v/>
      </c>
      <c r="L1296" s="6">
        <f>IF(K1296="mapped",TRIM(INDEX(Mapping!$C$1:$C$504,J1296)),"")</f>
        <v/>
      </c>
      <c r="M1296" s="6">
        <f>IF(C1296="","",IF(SUMPRODUCT(($C$12:C1296=C1296)*1)=1,1,0))</f>
        <v/>
      </c>
      <c r="N1296" s="6">
        <f>IF(AND(K1296="UNMAPPED",M1296=1),ROW(),"")</f>
        <v/>
      </c>
      <c r="O1296" s="6">
        <f>IF(AND(I1296=1,M1296=1),ROW(),"")</f>
        <v/>
      </c>
      <c r="P1296" s="6">
        <f>IF(AND(K1296="ignored",M1296=1),ROW(),"")</f>
        <v/>
      </c>
    </row>
    <row r="1297">
      <c r="A1297" s="8" t="n"/>
      <c r="B1297" s="8" t="n"/>
      <c r="C1297" s="6">
        <f>TRIM(A1297&amp;"")</f>
        <v/>
      </c>
      <c r="D1297" s="6">
        <f>IF(C1297="","",SUBSTITUTE(SUBSTITUTE(SUBSTITUTE(SUBSTITUTE(SUBSTITUTE(SUBSTITUTE(SUBSTITUTE(UPPER(TRIM(B1297&amp;"")),"₹",""),"RS.",""),"RS",""),"INR",""),"$",""),",","")," ",""))</f>
        <v/>
      </c>
      <c r="E1297" s="6">
        <f>IF(C1297="","",IF(RIGHT(D1297,2)="CR","Cr",IF(RIGHT(D1297,2)="DR","Dr","")))</f>
        <v/>
      </c>
      <c r="F1297" s="6">
        <f>IF(C1297="","",IF(E1297&lt;&gt;"",LEFT(D1297,LEN(D1297)-2),D1297))</f>
        <v/>
      </c>
      <c r="G1297" s="13">
        <f>IF(C1297="","",IF(OR(IF(AND(LEFT(F1297,1)="(",RIGHT(F1297,1)=")"),MID(F1297,2,LEN(F1297)-2),F1297)="",IF(AND(LEFT(F1297,1)="(",RIGHT(F1297,1)=")"),MID(F1297,2,LEN(F1297)-2),F1297)="-"),0,IFERROR(VALUE(IF(AND(LEFT(F1297,1)="(",RIGHT(F1297,1)=")"),MID(F1297,2,LEN(F1297)-2),F1297))*IF(AND(LEFT(F1297,1)="(",RIGHT(F1297,1)=")"),-1,1)*IF(E1297="Cr",Setup!$B$6,1),"ERR")))</f>
        <v/>
      </c>
      <c r="H1297" s="6">
        <f>IF(C1297="","",IF(ISNUMBER(G1297),1,0))</f>
        <v/>
      </c>
      <c r="I1297" s="6">
        <f>IF(C1297="","",IF(SUMPRODUCT(($C$12:$C$1511=C1297)*1)&gt;1,1,0))</f>
        <v/>
      </c>
      <c r="J1297" s="6">
        <f>IF(C1297="","",SUMPRODUCT((Mapping!$F$5:$F$504=Setup!$B$4&amp;"||"&amp;C1297)*ROW(Mapping!$F$5:$F$504)))</f>
        <v/>
      </c>
      <c r="K1297" s="6">
        <f>IF(C1297="","",IF(J1297=0,"UNMAPPED",LOWER(INDEX(Mapping!$D$1:$D$504,J1297))))</f>
        <v/>
      </c>
      <c r="L1297" s="6">
        <f>IF(K1297="mapped",TRIM(INDEX(Mapping!$C$1:$C$504,J1297)),"")</f>
        <v/>
      </c>
      <c r="M1297" s="6">
        <f>IF(C1297="","",IF(SUMPRODUCT(($C$12:C1297=C1297)*1)=1,1,0))</f>
        <v/>
      </c>
      <c r="N1297" s="6">
        <f>IF(AND(K1297="UNMAPPED",M1297=1),ROW(),"")</f>
        <v/>
      </c>
      <c r="O1297" s="6">
        <f>IF(AND(I1297=1,M1297=1),ROW(),"")</f>
        <v/>
      </c>
      <c r="P1297" s="6">
        <f>IF(AND(K1297="ignored",M1297=1),ROW(),"")</f>
        <v/>
      </c>
    </row>
    <row r="1298">
      <c r="A1298" s="8" t="n"/>
      <c r="B1298" s="8" t="n"/>
      <c r="C1298" s="6">
        <f>TRIM(A1298&amp;"")</f>
        <v/>
      </c>
      <c r="D1298" s="6">
        <f>IF(C1298="","",SUBSTITUTE(SUBSTITUTE(SUBSTITUTE(SUBSTITUTE(SUBSTITUTE(SUBSTITUTE(SUBSTITUTE(UPPER(TRIM(B1298&amp;"")),"₹",""),"RS.",""),"RS",""),"INR",""),"$",""),",","")," ",""))</f>
        <v/>
      </c>
      <c r="E1298" s="6">
        <f>IF(C1298="","",IF(RIGHT(D1298,2)="CR","Cr",IF(RIGHT(D1298,2)="DR","Dr","")))</f>
        <v/>
      </c>
      <c r="F1298" s="6">
        <f>IF(C1298="","",IF(E1298&lt;&gt;"",LEFT(D1298,LEN(D1298)-2),D1298))</f>
        <v/>
      </c>
      <c r="G1298" s="13">
        <f>IF(C1298="","",IF(OR(IF(AND(LEFT(F1298,1)="(",RIGHT(F1298,1)=")"),MID(F1298,2,LEN(F1298)-2),F1298)="",IF(AND(LEFT(F1298,1)="(",RIGHT(F1298,1)=")"),MID(F1298,2,LEN(F1298)-2),F1298)="-"),0,IFERROR(VALUE(IF(AND(LEFT(F1298,1)="(",RIGHT(F1298,1)=")"),MID(F1298,2,LEN(F1298)-2),F1298))*IF(AND(LEFT(F1298,1)="(",RIGHT(F1298,1)=")"),-1,1)*IF(E1298="Cr",Setup!$B$6,1),"ERR")))</f>
        <v/>
      </c>
      <c r="H1298" s="6">
        <f>IF(C1298="","",IF(ISNUMBER(G1298),1,0))</f>
        <v/>
      </c>
      <c r="I1298" s="6">
        <f>IF(C1298="","",IF(SUMPRODUCT(($C$12:$C$1511=C1298)*1)&gt;1,1,0))</f>
        <v/>
      </c>
      <c r="J1298" s="6">
        <f>IF(C1298="","",SUMPRODUCT((Mapping!$F$5:$F$504=Setup!$B$4&amp;"||"&amp;C1298)*ROW(Mapping!$F$5:$F$504)))</f>
        <v/>
      </c>
      <c r="K1298" s="6">
        <f>IF(C1298="","",IF(J1298=0,"UNMAPPED",LOWER(INDEX(Mapping!$D$1:$D$504,J1298))))</f>
        <v/>
      </c>
      <c r="L1298" s="6">
        <f>IF(K1298="mapped",TRIM(INDEX(Mapping!$C$1:$C$504,J1298)),"")</f>
        <v/>
      </c>
      <c r="M1298" s="6">
        <f>IF(C1298="","",IF(SUMPRODUCT(($C$12:C1298=C1298)*1)=1,1,0))</f>
        <v/>
      </c>
      <c r="N1298" s="6">
        <f>IF(AND(K1298="UNMAPPED",M1298=1),ROW(),"")</f>
        <v/>
      </c>
      <c r="O1298" s="6">
        <f>IF(AND(I1298=1,M1298=1),ROW(),"")</f>
        <v/>
      </c>
      <c r="P1298" s="6">
        <f>IF(AND(K1298="ignored",M1298=1),ROW(),"")</f>
        <v/>
      </c>
    </row>
    <row r="1299">
      <c r="A1299" s="8" t="n"/>
      <c r="B1299" s="8" t="n"/>
      <c r="C1299" s="6">
        <f>TRIM(A1299&amp;"")</f>
        <v/>
      </c>
      <c r="D1299" s="6">
        <f>IF(C1299="","",SUBSTITUTE(SUBSTITUTE(SUBSTITUTE(SUBSTITUTE(SUBSTITUTE(SUBSTITUTE(SUBSTITUTE(UPPER(TRIM(B1299&amp;"")),"₹",""),"RS.",""),"RS",""),"INR",""),"$",""),",","")," ",""))</f>
        <v/>
      </c>
      <c r="E1299" s="6">
        <f>IF(C1299="","",IF(RIGHT(D1299,2)="CR","Cr",IF(RIGHT(D1299,2)="DR","Dr","")))</f>
        <v/>
      </c>
      <c r="F1299" s="6">
        <f>IF(C1299="","",IF(E1299&lt;&gt;"",LEFT(D1299,LEN(D1299)-2),D1299))</f>
        <v/>
      </c>
      <c r="G1299" s="13">
        <f>IF(C1299="","",IF(OR(IF(AND(LEFT(F1299,1)="(",RIGHT(F1299,1)=")"),MID(F1299,2,LEN(F1299)-2),F1299)="",IF(AND(LEFT(F1299,1)="(",RIGHT(F1299,1)=")"),MID(F1299,2,LEN(F1299)-2),F1299)="-"),0,IFERROR(VALUE(IF(AND(LEFT(F1299,1)="(",RIGHT(F1299,1)=")"),MID(F1299,2,LEN(F1299)-2),F1299))*IF(AND(LEFT(F1299,1)="(",RIGHT(F1299,1)=")"),-1,1)*IF(E1299="Cr",Setup!$B$6,1),"ERR")))</f>
        <v/>
      </c>
      <c r="H1299" s="6">
        <f>IF(C1299="","",IF(ISNUMBER(G1299),1,0))</f>
        <v/>
      </c>
      <c r="I1299" s="6">
        <f>IF(C1299="","",IF(SUMPRODUCT(($C$12:$C$1511=C1299)*1)&gt;1,1,0))</f>
        <v/>
      </c>
      <c r="J1299" s="6">
        <f>IF(C1299="","",SUMPRODUCT((Mapping!$F$5:$F$504=Setup!$B$4&amp;"||"&amp;C1299)*ROW(Mapping!$F$5:$F$504)))</f>
        <v/>
      </c>
      <c r="K1299" s="6">
        <f>IF(C1299="","",IF(J1299=0,"UNMAPPED",LOWER(INDEX(Mapping!$D$1:$D$504,J1299))))</f>
        <v/>
      </c>
      <c r="L1299" s="6">
        <f>IF(K1299="mapped",TRIM(INDEX(Mapping!$C$1:$C$504,J1299)),"")</f>
        <v/>
      </c>
      <c r="M1299" s="6">
        <f>IF(C1299="","",IF(SUMPRODUCT(($C$12:C1299=C1299)*1)=1,1,0))</f>
        <v/>
      </c>
      <c r="N1299" s="6">
        <f>IF(AND(K1299="UNMAPPED",M1299=1),ROW(),"")</f>
        <v/>
      </c>
      <c r="O1299" s="6">
        <f>IF(AND(I1299=1,M1299=1),ROW(),"")</f>
        <v/>
      </c>
      <c r="P1299" s="6">
        <f>IF(AND(K1299="ignored",M1299=1),ROW(),"")</f>
        <v/>
      </c>
    </row>
    <row r="1300">
      <c r="A1300" s="8" t="n"/>
      <c r="B1300" s="8" t="n"/>
      <c r="C1300" s="6">
        <f>TRIM(A1300&amp;"")</f>
        <v/>
      </c>
      <c r="D1300" s="6">
        <f>IF(C1300="","",SUBSTITUTE(SUBSTITUTE(SUBSTITUTE(SUBSTITUTE(SUBSTITUTE(SUBSTITUTE(SUBSTITUTE(UPPER(TRIM(B1300&amp;"")),"₹",""),"RS.",""),"RS",""),"INR",""),"$",""),",","")," ",""))</f>
        <v/>
      </c>
      <c r="E1300" s="6">
        <f>IF(C1300="","",IF(RIGHT(D1300,2)="CR","Cr",IF(RIGHT(D1300,2)="DR","Dr","")))</f>
        <v/>
      </c>
      <c r="F1300" s="6">
        <f>IF(C1300="","",IF(E1300&lt;&gt;"",LEFT(D1300,LEN(D1300)-2),D1300))</f>
        <v/>
      </c>
      <c r="G1300" s="13">
        <f>IF(C1300="","",IF(OR(IF(AND(LEFT(F1300,1)="(",RIGHT(F1300,1)=")"),MID(F1300,2,LEN(F1300)-2),F1300)="",IF(AND(LEFT(F1300,1)="(",RIGHT(F1300,1)=")"),MID(F1300,2,LEN(F1300)-2),F1300)="-"),0,IFERROR(VALUE(IF(AND(LEFT(F1300,1)="(",RIGHT(F1300,1)=")"),MID(F1300,2,LEN(F1300)-2),F1300))*IF(AND(LEFT(F1300,1)="(",RIGHT(F1300,1)=")"),-1,1)*IF(E1300="Cr",Setup!$B$6,1),"ERR")))</f>
        <v/>
      </c>
      <c r="H1300" s="6">
        <f>IF(C1300="","",IF(ISNUMBER(G1300),1,0))</f>
        <v/>
      </c>
      <c r="I1300" s="6">
        <f>IF(C1300="","",IF(SUMPRODUCT(($C$12:$C$1511=C1300)*1)&gt;1,1,0))</f>
        <v/>
      </c>
      <c r="J1300" s="6">
        <f>IF(C1300="","",SUMPRODUCT((Mapping!$F$5:$F$504=Setup!$B$4&amp;"||"&amp;C1300)*ROW(Mapping!$F$5:$F$504)))</f>
        <v/>
      </c>
      <c r="K1300" s="6">
        <f>IF(C1300="","",IF(J1300=0,"UNMAPPED",LOWER(INDEX(Mapping!$D$1:$D$504,J1300))))</f>
        <v/>
      </c>
      <c r="L1300" s="6">
        <f>IF(K1300="mapped",TRIM(INDEX(Mapping!$C$1:$C$504,J1300)),"")</f>
        <v/>
      </c>
      <c r="M1300" s="6">
        <f>IF(C1300="","",IF(SUMPRODUCT(($C$12:C1300=C1300)*1)=1,1,0))</f>
        <v/>
      </c>
      <c r="N1300" s="6">
        <f>IF(AND(K1300="UNMAPPED",M1300=1),ROW(),"")</f>
        <v/>
      </c>
      <c r="O1300" s="6">
        <f>IF(AND(I1300=1,M1300=1),ROW(),"")</f>
        <v/>
      </c>
      <c r="P1300" s="6">
        <f>IF(AND(K1300="ignored",M1300=1),ROW(),"")</f>
        <v/>
      </c>
    </row>
    <row r="1301">
      <c r="A1301" s="8" t="n"/>
      <c r="B1301" s="8" t="n"/>
      <c r="C1301" s="6">
        <f>TRIM(A1301&amp;"")</f>
        <v/>
      </c>
      <c r="D1301" s="6">
        <f>IF(C1301="","",SUBSTITUTE(SUBSTITUTE(SUBSTITUTE(SUBSTITUTE(SUBSTITUTE(SUBSTITUTE(SUBSTITUTE(UPPER(TRIM(B1301&amp;"")),"₹",""),"RS.",""),"RS",""),"INR",""),"$",""),",","")," ",""))</f>
        <v/>
      </c>
      <c r="E1301" s="6">
        <f>IF(C1301="","",IF(RIGHT(D1301,2)="CR","Cr",IF(RIGHT(D1301,2)="DR","Dr","")))</f>
        <v/>
      </c>
      <c r="F1301" s="6">
        <f>IF(C1301="","",IF(E1301&lt;&gt;"",LEFT(D1301,LEN(D1301)-2),D1301))</f>
        <v/>
      </c>
      <c r="G1301" s="13">
        <f>IF(C1301="","",IF(OR(IF(AND(LEFT(F1301,1)="(",RIGHT(F1301,1)=")"),MID(F1301,2,LEN(F1301)-2),F1301)="",IF(AND(LEFT(F1301,1)="(",RIGHT(F1301,1)=")"),MID(F1301,2,LEN(F1301)-2),F1301)="-"),0,IFERROR(VALUE(IF(AND(LEFT(F1301,1)="(",RIGHT(F1301,1)=")"),MID(F1301,2,LEN(F1301)-2),F1301))*IF(AND(LEFT(F1301,1)="(",RIGHT(F1301,1)=")"),-1,1)*IF(E1301="Cr",Setup!$B$6,1),"ERR")))</f>
        <v/>
      </c>
      <c r="H1301" s="6">
        <f>IF(C1301="","",IF(ISNUMBER(G1301),1,0))</f>
        <v/>
      </c>
      <c r="I1301" s="6">
        <f>IF(C1301="","",IF(SUMPRODUCT(($C$12:$C$1511=C1301)*1)&gt;1,1,0))</f>
        <v/>
      </c>
      <c r="J1301" s="6">
        <f>IF(C1301="","",SUMPRODUCT((Mapping!$F$5:$F$504=Setup!$B$4&amp;"||"&amp;C1301)*ROW(Mapping!$F$5:$F$504)))</f>
        <v/>
      </c>
      <c r="K1301" s="6">
        <f>IF(C1301="","",IF(J1301=0,"UNMAPPED",LOWER(INDEX(Mapping!$D$1:$D$504,J1301))))</f>
        <v/>
      </c>
      <c r="L1301" s="6">
        <f>IF(K1301="mapped",TRIM(INDEX(Mapping!$C$1:$C$504,J1301)),"")</f>
        <v/>
      </c>
      <c r="M1301" s="6">
        <f>IF(C1301="","",IF(SUMPRODUCT(($C$12:C1301=C1301)*1)=1,1,0))</f>
        <v/>
      </c>
      <c r="N1301" s="6">
        <f>IF(AND(K1301="UNMAPPED",M1301=1),ROW(),"")</f>
        <v/>
      </c>
      <c r="O1301" s="6">
        <f>IF(AND(I1301=1,M1301=1),ROW(),"")</f>
        <v/>
      </c>
      <c r="P1301" s="6">
        <f>IF(AND(K1301="ignored",M1301=1),ROW(),"")</f>
        <v/>
      </c>
    </row>
    <row r="1302">
      <c r="A1302" s="8" t="n"/>
      <c r="B1302" s="8" t="n"/>
      <c r="C1302" s="6">
        <f>TRIM(A1302&amp;"")</f>
        <v/>
      </c>
      <c r="D1302" s="6">
        <f>IF(C1302="","",SUBSTITUTE(SUBSTITUTE(SUBSTITUTE(SUBSTITUTE(SUBSTITUTE(SUBSTITUTE(SUBSTITUTE(UPPER(TRIM(B1302&amp;"")),"₹",""),"RS.",""),"RS",""),"INR",""),"$",""),",","")," ",""))</f>
        <v/>
      </c>
      <c r="E1302" s="6">
        <f>IF(C1302="","",IF(RIGHT(D1302,2)="CR","Cr",IF(RIGHT(D1302,2)="DR","Dr","")))</f>
        <v/>
      </c>
      <c r="F1302" s="6">
        <f>IF(C1302="","",IF(E1302&lt;&gt;"",LEFT(D1302,LEN(D1302)-2),D1302))</f>
        <v/>
      </c>
      <c r="G1302" s="13">
        <f>IF(C1302="","",IF(OR(IF(AND(LEFT(F1302,1)="(",RIGHT(F1302,1)=")"),MID(F1302,2,LEN(F1302)-2),F1302)="",IF(AND(LEFT(F1302,1)="(",RIGHT(F1302,1)=")"),MID(F1302,2,LEN(F1302)-2),F1302)="-"),0,IFERROR(VALUE(IF(AND(LEFT(F1302,1)="(",RIGHT(F1302,1)=")"),MID(F1302,2,LEN(F1302)-2),F1302))*IF(AND(LEFT(F1302,1)="(",RIGHT(F1302,1)=")"),-1,1)*IF(E1302="Cr",Setup!$B$6,1),"ERR")))</f>
        <v/>
      </c>
      <c r="H1302" s="6">
        <f>IF(C1302="","",IF(ISNUMBER(G1302),1,0))</f>
        <v/>
      </c>
      <c r="I1302" s="6">
        <f>IF(C1302="","",IF(SUMPRODUCT(($C$12:$C$1511=C1302)*1)&gt;1,1,0))</f>
        <v/>
      </c>
      <c r="J1302" s="6">
        <f>IF(C1302="","",SUMPRODUCT((Mapping!$F$5:$F$504=Setup!$B$4&amp;"||"&amp;C1302)*ROW(Mapping!$F$5:$F$504)))</f>
        <v/>
      </c>
      <c r="K1302" s="6">
        <f>IF(C1302="","",IF(J1302=0,"UNMAPPED",LOWER(INDEX(Mapping!$D$1:$D$504,J1302))))</f>
        <v/>
      </c>
      <c r="L1302" s="6">
        <f>IF(K1302="mapped",TRIM(INDEX(Mapping!$C$1:$C$504,J1302)),"")</f>
        <v/>
      </c>
      <c r="M1302" s="6">
        <f>IF(C1302="","",IF(SUMPRODUCT(($C$12:C1302=C1302)*1)=1,1,0))</f>
        <v/>
      </c>
      <c r="N1302" s="6">
        <f>IF(AND(K1302="UNMAPPED",M1302=1),ROW(),"")</f>
        <v/>
      </c>
      <c r="O1302" s="6">
        <f>IF(AND(I1302=1,M1302=1),ROW(),"")</f>
        <v/>
      </c>
      <c r="P1302" s="6">
        <f>IF(AND(K1302="ignored",M1302=1),ROW(),"")</f>
        <v/>
      </c>
    </row>
    <row r="1303">
      <c r="A1303" s="8" t="n"/>
      <c r="B1303" s="8" t="n"/>
      <c r="C1303" s="6">
        <f>TRIM(A1303&amp;"")</f>
        <v/>
      </c>
      <c r="D1303" s="6">
        <f>IF(C1303="","",SUBSTITUTE(SUBSTITUTE(SUBSTITUTE(SUBSTITUTE(SUBSTITUTE(SUBSTITUTE(SUBSTITUTE(UPPER(TRIM(B1303&amp;"")),"₹",""),"RS.",""),"RS",""),"INR",""),"$",""),",","")," ",""))</f>
        <v/>
      </c>
      <c r="E1303" s="6">
        <f>IF(C1303="","",IF(RIGHT(D1303,2)="CR","Cr",IF(RIGHT(D1303,2)="DR","Dr","")))</f>
        <v/>
      </c>
      <c r="F1303" s="6">
        <f>IF(C1303="","",IF(E1303&lt;&gt;"",LEFT(D1303,LEN(D1303)-2),D1303))</f>
        <v/>
      </c>
      <c r="G1303" s="13">
        <f>IF(C1303="","",IF(OR(IF(AND(LEFT(F1303,1)="(",RIGHT(F1303,1)=")"),MID(F1303,2,LEN(F1303)-2),F1303)="",IF(AND(LEFT(F1303,1)="(",RIGHT(F1303,1)=")"),MID(F1303,2,LEN(F1303)-2),F1303)="-"),0,IFERROR(VALUE(IF(AND(LEFT(F1303,1)="(",RIGHT(F1303,1)=")"),MID(F1303,2,LEN(F1303)-2),F1303))*IF(AND(LEFT(F1303,1)="(",RIGHT(F1303,1)=")"),-1,1)*IF(E1303="Cr",Setup!$B$6,1),"ERR")))</f>
        <v/>
      </c>
      <c r="H1303" s="6">
        <f>IF(C1303="","",IF(ISNUMBER(G1303),1,0))</f>
        <v/>
      </c>
      <c r="I1303" s="6">
        <f>IF(C1303="","",IF(SUMPRODUCT(($C$12:$C$1511=C1303)*1)&gt;1,1,0))</f>
        <v/>
      </c>
      <c r="J1303" s="6">
        <f>IF(C1303="","",SUMPRODUCT((Mapping!$F$5:$F$504=Setup!$B$4&amp;"||"&amp;C1303)*ROW(Mapping!$F$5:$F$504)))</f>
        <v/>
      </c>
      <c r="K1303" s="6">
        <f>IF(C1303="","",IF(J1303=0,"UNMAPPED",LOWER(INDEX(Mapping!$D$1:$D$504,J1303))))</f>
        <v/>
      </c>
      <c r="L1303" s="6">
        <f>IF(K1303="mapped",TRIM(INDEX(Mapping!$C$1:$C$504,J1303)),"")</f>
        <v/>
      </c>
      <c r="M1303" s="6">
        <f>IF(C1303="","",IF(SUMPRODUCT(($C$12:C1303=C1303)*1)=1,1,0))</f>
        <v/>
      </c>
      <c r="N1303" s="6">
        <f>IF(AND(K1303="UNMAPPED",M1303=1),ROW(),"")</f>
        <v/>
      </c>
      <c r="O1303" s="6">
        <f>IF(AND(I1303=1,M1303=1),ROW(),"")</f>
        <v/>
      </c>
      <c r="P1303" s="6">
        <f>IF(AND(K1303="ignored",M1303=1),ROW(),"")</f>
        <v/>
      </c>
    </row>
    <row r="1304">
      <c r="A1304" s="8" t="n"/>
      <c r="B1304" s="8" t="n"/>
      <c r="C1304" s="6">
        <f>TRIM(A1304&amp;"")</f>
        <v/>
      </c>
      <c r="D1304" s="6">
        <f>IF(C1304="","",SUBSTITUTE(SUBSTITUTE(SUBSTITUTE(SUBSTITUTE(SUBSTITUTE(SUBSTITUTE(SUBSTITUTE(UPPER(TRIM(B1304&amp;"")),"₹",""),"RS.",""),"RS",""),"INR",""),"$",""),",","")," ",""))</f>
        <v/>
      </c>
      <c r="E1304" s="6">
        <f>IF(C1304="","",IF(RIGHT(D1304,2)="CR","Cr",IF(RIGHT(D1304,2)="DR","Dr","")))</f>
        <v/>
      </c>
      <c r="F1304" s="6">
        <f>IF(C1304="","",IF(E1304&lt;&gt;"",LEFT(D1304,LEN(D1304)-2),D1304))</f>
        <v/>
      </c>
      <c r="G1304" s="13">
        <f>IF(C1304="","",IF(OR(IF(AND(LEFT(F1304,1)="(",RIGHT(F1304,1)=")"),MID(F1304,2,LEN(F1304)-2),F1304)="",IF(AND(LEFT(F1304,1)="(",RIGHT(F1304,1)=")"),MID(F1304,2,LEN(F1304)-2),F1304)="-"),0,IFERROR(VALUE(IF(AND(LEFT(F1304,1)="(",RIGHT(F1304,1)=")"),MID(F1304,2,LEN(F1304)-2),F1304))*IF(AND(LEFT(F1304,1)="(",RIGHT(F1304,1)=")"),-1,1)*IF(E1304="Cr",Setup!$B$6,1),"ERR")))</f>
        <v/>
      </c>
      <c r="H1304" s="6">
        <f>IF(C1304="","",IF(ISNUMBER(G1304),1,0))</f>
        <v/>
      </c>
      <c r="I1304" s="6">
        <f>IF(C1304="","",IF(SUMPRODUCT(($C$12:$C$1511=C1304)*1)&gt;1,1,0))</f>
        <v/>
      </c>
      <c r="J1304" s="6">
        <f>IF(C1304="","",SUMPRODUCT((Mapping!$F$5:$F$504=Setup!$B$4&amp;"||"&amp;C1304)*ROW(Mapping!$F$5:$F$504)))</f>
        <v/>
      </c>
      <c r="K1304" s="6">
        <f>IF(C1304="","",IF(J1304=0,"UNMAPPED",LOWER(INDEX(Mapping!$D$1:$D$504,J1304))))</f>
        <v/>
      </c>
      <c r="L1304" s="6">
        <f>IF(K1304="mapped",TRIM(INDEX(Mapping!$C$1:$C$504,J1304)),"")</f>
        <v/>
      </c>
      <c r="M1304" s="6">
        <f>IF(C1304="","",IF(SUMPRODUCT(($C$12:C1304=C1304)*1)=1,1,0))</f>
        <v/>
      </c>
      <c r="N1304" s="6">
        <f>IF(AND(K1304="UNMAPPED",M1304=1),ROW(),"")</f>
        <v/>
      </c>
      <c r="O1304" s="6">
        <f>IF(AND(I1304=1,M1304=1),ROW(),"")</f>
        <v/>
      </c>
      <c r="P1304" s="6">
        <f>IF(AND(K1304="ignored",M1304=1),ROW(),"")</f>
        <v/>
      </c>
    </row>
    <row r="1305">
      <c r="A1305" s="8" t="n"/>
      <c r="B1305" s="8" t="n"/>
      <c r="C1305" s="6">
        <f>TRIM(A1305&amp;"")</f>
        <v/>
      </c>
      <c r="D1305" s="6">
        <f>IF(C1305="","",SUBSTITUTE(SUBSTITUTE(SUBSTITUTE(SUBSTITUTE(SUBSTITUTE(SUBSTITUTE(SUBSTITUTE(UPPER(TRIM(B1305&amp;"")),"₹",""),"RS.",""),"RS",""),"INR",""),"$",""),",","")," ",""))</f>
        <v/>
      </c>
      <c r="E1305" s="6">
        <f>IF(C1305="","",IF(RIGHT(D1305,2)="CR","Cr",IF(RIGHT(D1305,2)="DR","Dr","")))</f>
        <v/>
      </c>
      <c r="F1305" s="6">
        <f>IF(C1305="","",IF(E1305&lt;&gt;"",LEFT(D1305,LEN(D1305)-2),D1305))</f>
        <v/>
      </c>
      <c r="G1305" s="13">
        <f>IF(C1305="","",IF(OR(IF(AND(LEFT(F1305,1)="(",RIGHT(F1305,1)=")"),MID(F1305,2,LEN(F1305)-2),F1305)="",IF(AND(LEFT(F1305,1)="(",RIGHT(F1305,1)=")"),MID(F1305,2,LEN(F1305)-2),F1305)="-"),0,IFERROR(VALUE(IF(AND(LEFT(F1305,1)="(",RIGHT(F1305,1)=")"),MID(F1305,2,LEN(F1305)-2),F1305))*IF(AND(LEFT(F1305,1)="(",RIGHT(F1305,1)=")"),-1,1)*IF(E1305="Cr",Setup!$B$6,1),"ERR")))</f>
        <v/>
      </c>
      <c r="H1305" s="6">
        <f>IF(C1305="","",IF(ISNUMBER(G1305),1,0))</f>
        <v/>
      </c>
      <c r="I1305" s="6">
        <f>IF(C1305="","",IF(SUMPRODUCT(($C$12:$C$1511=C1305)*1)&gt;1,1,0))</f>
        <v/>
      </c>
      <c r="J1305" s="6">
        <f>IF(C1305="","",SUMPRODUCT((Mapping!$F$5:$F$504=Setup!$B$4&amp;"||"&amp;C1305)*ROW(Mapping!$F$5:$F$504)))</f>
        <v/>
      </c>
      <c r="K1305" s="6">
        <f>IF(C1305="","",IF(J1305=0,"UNMAPPED",LOWER(INDEX(Mapping!$D$1:$D$504,J1305))))</f>
        <v/>
      </c>
      <c r="L1305" s="6">
        <f>IF(K1305="mapped",TRIM(INDEX(Mapping!$C$1:$C$504,J1305)),"")</f>
        <v/>
      </c>
      <c r="M1305" s="6">
        <f>IF(C1305="","",IF(SUMPRODUCT(($C$12:C1305=C1305)*1)=1,1,0))</f>
        <v/>
      </c>
      <c r="N1305" s="6">
        <f>IF(AND(K1305="UNMAPPED",M1305=1),ROW(),"")</f>
        <v/>
      </c>
      <c r="O1305" s="6">
        <f>IF(AND(I1305=1,M1305=1),ROW(),"")</f>
        <v/>
      </c>
      <c r="P1305" s="6">
        <f>IF(AND(K1305="ignored",M1305=1),ROW(),"")</f>
        <v/>
      </c>
    </row>
    <row r="1306">
      <c r="A1306" s="8" t="n"/>
      <c r="B1306" s="8" t="n"/>
      <c r="C1306" s="6">
        <f>TRIM(A1306&amp;"")</f>
        <v/>
      </c>
      <c r="D1306" s="6">
        <f>IF(C1306="","",SUBSTITUTE(SUBSTITUTE(SUBSTITUTE(SUBSTITUTE(SUBSTITUTE(SUBSTITUTE(SUBSTITUTE(UPPER(TRIM(B1306&amp;"")),"₹",""),"RS.",""),"RS",""),"INR",""),"$",""),",","")," ",""))</f>
        <v/>
      </c>
      <c r="E1306" s="6">
        <f>IF(C1306="","",IF(RIGHT(D1306,2)="CR","Cr",IF(RIGHT(D1306,2)="DR","Dr","")))</f>
        <v/>
      </c>
      <c r="F1306" s="6">
        <f>IF(C1306="","",IF(E1306&lt;&gt;"",LEFT(D1306,LEN(D1306)-2),D1306))</f>
        <v/>
      </c>
      <c r="G1306" s="13">
        <f>IF(C1306="","",IF(OR(IF(AND(LEFT(F1306,1)="(",RIGHT(F1306,1)=")"),MID(F1306,2,LEN(F1306)-2),F1306)="",IF(AND(LEFT(F1306,1)="(",RIGHT(F1306,1)=")"),MID(F1306,2,LEN(F1306)-2),F1306)="-"),0,IFERROR(VALUE(IF(AND(LEFT(F1306,1)="(",RIGHT(F1306,1)=")"),MID(F1306,2,LEN(F1306)-2),F1306))*IF(AND(LEFT(F1306,1)="(",RIGHT(F1306,1)=")"),-1,1)*IF(E1306="Cr",Setup!$B$6,1),"ERR")))</f>
        <v/>
      </c>
      <c r="H1306" s="6">
        <f>IF(C1306="","",IF(ISNUMBER(G1306),1,0))</f>
        <v/>
      </c>
      <c r="I1306" s="6">
        <f>IF(C1306="","",IF(SUMPRODUCT(($C$12:$C$1511=C1306)*1)&gt;1,1,0))</f>
        <v/>
      </c>
      <c r="J1306" s="6">
        <f>IF(C1306="","",SUMPRODUCT((Mapping!$F$5:$F$504=Setup!$B$4&amp;"||"&amp;C1306)*ROW(Mapping!$F$5:$F$504)))</f>
        <v/>
      </c>
      <c r="K1306" s="6">
        <f>IF(C1306="","",IF(J1306=0,"UNMAPPED",LOWER(INDEX(Mapping!$D$1:$D$504,J1306))))</f>
        <v/>
      </c>
      <c r="L1306" s="6">
        <f>IF(K1306="mapped",TRIM(INDEX(Mapping!$C$1:$C$504,J1306)),"")</f>
        <v/>
      </c>
      <c r="M1306" s="6">
        <f>IF(C1306="","",IF(SUMPRODUCT(($C$12:C1306=C1306)*1)=1,1,0))</f>
        <v/>
      </c>
      <c r="N1306" s="6">
        <f>IF(AND(K1306="UNMAPPED",M1306=1),ROW(),"")</f>
        <v/>
      </c>
      <c r="O1306" s="6">
        <f>IF(AND(I1306=1,M1306=1),ROW(),"")</f>
        <v/>
      </c>
      <c r="P1306" s="6">
        <f>IF(AND(K1306="ignored",M1306=1),ROW(),"")</f>
        <v/>
      </c>
    </row>
    <row r="1307">
      <c r="A1307" s="8" t="n"/>
      <c r="B1307" s="8" t="n"/>
      <c r="C1307" s="6">
        <f>TRIM(A1307&amp;"")</f>
        <v/>
      </c>
      <c r="D1307" s="6">
        <f>IF(C1307="","",SUBSTITUTE(SUBSTITUTE(SUBSTITUTE(SUBSTITUTE(SUBSTITUTE(SUBSTITUTE(SUBSTITUTE(UPPER(TRIM(B1307&amp;"")),"₹",""),"RS.",""),"RS",""),"INR",""),"$",""),",","")," ",""))</f>
        <v/>
      </c>
      <c r="E1307" s="6">
        <f>IF(C1307="","",IF(RIGHT(D1307,2)="CR","Cr",IF(RIGHT(D1307,2)="DR","Dr","")))</f>
        <v/>
      </c>
      <c r="F1307" s="6">
        <f>IF(C1307="","",IF(E1307&lt;&gt;"",LEFT(D1307,LEN(D1307)-2),D1307))</f>
        <v/>
      </c>
      <c r="G1307" s="13">
        <f>IF(C1307="","",IF(OR(IF(AND(LEFT(F1307,1)="(",RIGHT(F1307,1)=")"),MID(F1307,2,LEN(F1307)-2),F1307)="",IF(AND(LEFT(F1307,1)="(",RIGHT(F1307,1)=")"),MID(F1307,2,LEN(F1307)-2),F1307)="-"),0,IFERROR(VALUE(IF(AND(LEFT(F1307,1)="(",RIGHT(F1307,1)=")"),MID(F1307,2,LEN(F1307)-2),F1307))*IF(AND(LEFT(F1307,1)="(",RIGHT(F1307,1)=")"),-1,1)*IF(E1307="Cr",Setup!$B$6,1),"ERR")))</f>
        <v/>
      </c>
      <c r="H1307" s="6">
        <f>IF(C1307="","",IF(ISNUMBER(G1307),1,0))</f>
        <v/>
      </c>
      <c r="I1307" s="6">
        <f>IF(C1307="","",IF(SUMPRODUCT(($C$12:$C$1511=C1307)*1)&gt;1,1,0))</f>
        <v/>
      </c>
      <c r="J1307" s="6">
        <f>IF(C1307="","",SUMPRODUCT((Mapping!$F$5:$F$504=Setup!$B$4&amp;"||"&amp;C1307)*ROW(Mapping!$F$5:$F$504)))</f>
        <v/>
      </c>
      <c r="K1307" s="6">
        <f>IF(C1307="","",IF(J1307=0,"UNMAPPED",LOWER(INDEX(Mapping!$D$1:$D$504,J1307))))</f>
        <v/>
      </c>
      <c r="L1307" s="6">
        <f>IF(K1307="mapped",TRIM(INDEX(Mapping!$C$1:$C$504,J1307)),"")</f>
        <v/>
      </c>
      <c r="M1307" s="6">
        <f>IF(C1307="","",IF(SUMPRODUCT(($C$12:C1307=C1307)*1)=1,1,0))</f>
        <v/>
      </c>
      <c r="N1307" s="6">
        <f>IF(AND(K1307="UNMAPPED",M1307=1),ROW(),"")</f>
        <v/>
      </c>
      <c r="O1307" s="6">
        <f>IF(AND(I1307=1,M1307=1),ROW(),"")</f>
        <v/>
      </c>
      <c r="P1307" s="6">
        <f>IF(AND(K1307="ignored",M1307=1),ROW(),"")</f>
        <v/>
      </c>
    </row>
    <row r="1308">
      <c r="A1308" s="8" t="n"/>
      <c r="B1308" s="8" t="n"/>
      <c r="C1308" s="6">
        <f>TRIM(A1308&amp;"")</f>
        <v/>
      </c>
      <c r="D1308" s="6">
        <f>IF(C1308="","",SUBSTITUTE(SUBSTITUTE(SUBSTITUTE(SUBSTITUTE(SUBSTITUTE(SUBSTITUTE(SUBSTITUTE(UPPER(TRIM(B1308&amp;"")),"₹",""),"RS.",""),"RS",""),"INR",""),"$",""),",","")," ",""))</f>
        <v/>
      </c>
      <c r="E1308" s="6">
        <f>IF(C1308="","",IF(RIGHT(D1308,2)="CR","Cr",IF(RIGHT(D1308,2)="DR","Dr","")))</f>
        <v/>
      </c>
      <c r="F1308" s="6">
        <f>IF(C1308="","",IF(E1308&lt;&gt;"",LEFT(D1308,LEN(D1308)-2),D1308))</f>
        <v/>
      </c>
      <c r="G1308" s="13">
        <f>IF(C1308="","",IF(OR(IF(AND(LEFT(F1308,1)="(",RIGHT(F1308,1)=")"),MID(F1308,2,LEN(F1308)-2),F1308)="",IF(AND(LEFT(F1308,1)="(",RIGHT(F1308,1)=")"),MID(F1308,2,LEN(F1308)-2),F1308)="-"),0,IFERROR(VALUE(IF(AND(LEFT(F1308,1)="(",RIGHT(F1308,1)=")"),MID(F1308,2,LEN(F1308)-2),F1308))*IF(AND(LEFT(F1308,1)="(",RIGHT(F1308,1)=")"),-1,1)*IF(E1308="Cr",Setup!$B$6,1),"ERR")))</f>
        <v/>
      </c>
      <c r="H1308" s="6">
        <f>IF(C1308="","",IF(ISNUMBER(G1308),1,0))</f>
        <v/>
      </c>
      <c r="I1308" s="6">
        <f>IF(C1308="","",IF(SUMPRODUCT(($C$12:$C$1511=C1308)*1)&gt;1,1,0))</f>
        <v/>
      </c>
      <c r="J1308" s="6">
        <f>IF(C1308="","",SUMPRODUCT((Mapping!$F$5:$F$504=Setup!$B$4&amp;"||"&amp;C1308)*ROW(Mapping!$F$5:$F$504)))</f>
        <v/>
      </c>
      <c r="K1308" s="6">
        <f>IF(C1308="","",IF(J1308=0,"UNMAPPED",LOWER(INDEX(Mapping!$D$1:$D$504,J1308))))</f>
        <v/>
      </c>
      <c r="L1308" s="6">
        <f>IF(K1308="mapped",TRIM(INDEX(Mapping!$C$1:$C$504,J1308)),"")</f>
        <v/>
      </c>
      <c r="M1308" s="6">
        <f>IF(C1308="","",IF(SUMPRODUCT(($C$12:C1308=C1308)*1)=1,1,0))</f>
        <v/>
      </c>
      <c r="N1308" s="6">
        <f>IF(AND(K1308="UNMAPPED",M1308=1),ROW(),"")</f>
        <v/>
      </c>
      <c r="O1308" s="6">
        <f>IF(AND(I1308=1,M1308=1),ROW(),"")</f>
        <v/>
      </c>
      <c r="P1308" s="6">
        <f>IF(AND(K1308="ignored",M1308=1),ROW(),"")</f>
        <v/>
      </c>
    </row>
    <row r="1309">
      <c r="A1309" s="8" t="n"/>
      <c r="B1309" s="8" t="n"/>
      <c r="C1309" s="6">
        <f>TRIM(A1309&amp;"")</f>
        <v/>
      </c>
      <c r="D1309" s="6">
        <f>IF(C1309="","",SUBSTITUTE(SUBSTITUTE(SUBSTITUTE(SUBSTITUTE(SUBSTITUTE(SUBSTITUTE(SUBSTITUTE(UPPER(TRIM(B1309&amp;"")),"₹",""),"RS.",""),"RS",""),"INR",""),"$",""),",","")," ",""))</f>
        <v/>
      </c>
      <c r="E1309" s="6">
        <f>IF(C1309="","",IF(RIGHT(D1309,2)="CR","Cr",IF(RIGHT(D1309,2)="DR","Dr","")))</f>
        <v/>
      </c>
      <c r="F1309" s="6">
        <f>IF(C1309="","",IF(E1309&lt;&gt;"",LEFT(D1309,LEN(D1309)-2),D1309))</f>
        <v/>
      </c>
      <c r="G1309" s="13">
        <f>IF(C1309="","",IF(OR(IF(AND(LEFT(F1309,1)="(",RIGHT(F1309,1)=")"),MID(F1309,2,LEN(F1309)-2),F1309)="",IF(AND(LEFT(F1309,1)="(",RIGHT(F1309,1)=")"),MID(F1309,2,LEN(F1309)-2),F1309)="-"),0,IFERROR(VALUE(IF(AND(LEFT(F1309,1)="(",RIGHT(F1309,1)=")"),MID(F1309,2,LEN(F1309)-2),F1309))*IF(AND(LEFT(F1309,1)="(",RIGHT(F1309,1)=")"),-1,1)*IF(E1309="Cr",Setup!$B$6,1),"ERR")))</f>
        <v/>
      </c>
      <c r="H1309" s="6">
        <f>IF(C1309="","",IF(ISNUMBER(G1309),1,0))</f>
        <v/>
      </c>
      <c r="I1309" s="6">
        <f>IF(C1309="","",IF(SUMPRODUCT(($C$12:$C$1511=C1309)*1)&gt;1,1,0))</f>
        <v/>
      </c>
      <c r="J1309" s="6">
        <f>IF(C1309="","",SUMPRODUCT((Mapping!$F$5:$F$504=Setup!$B$4&amp;"||"&amp;C1309)*ROW(Mapping!$F$5:$F$504)))</f>
        <v/>
      </c>
      <c r="K1309" s="6">
        <f>IF(C1309="","",IF(J1309=0,"UNMAPPED",LOWER(INDEX(Mapping!$D$1:$D$504,J1309))))</f>
        <v/>
      </c>
      <c r="L1309" s="6">
        <f>IF(K1309="mapped",TRIM(INDEX(Mapping!$C$1:$C$504,J1309)),"")</f>
        <v/>
      </c>
      <c r="M1309" s="6">
        <f>IF(C1309="","",IF(SUMPRODUCT(($C$12:C1309=C1309)*1)=1,1,0))</f>
        <v/>
      </c>
      <c r="N1309" s="6">
        <f>IF(AND(K1309="UNMAPPED",M1309=1),ROW(),"")</f>
        <v/>
      </c>
      <c r="O1309" s="6">
        <f>IF(AND(I1309=1,M1309=1),ROW(),"")</f>
        <v/>
      </c>
      <c r="P1309" s="6">
        <f>IF(AND(K1309="ignored",M1309=1),ROW(),"")</f>
        <v/>
      </c>
    </row>
    <row r="1310">
      <c r="A1310" s="8" t="n"/>
      <c r="B1310" s="8" t="n"/>
      <c r="C1310" s="6">
        <f>TRIM(A1310&amp;"")</f>
        <v/>
      </c>
      <c r="D1310" s="6">
        <f>IF(C1310="","",SUBSTITUTE(SUBSTITUTE(SUBSTITUTE(SUBSTITUTE(SUBSTITUTE(SUBSTITUTE(SUBSTITUTE(UPPER(TRIM(B1310&amp;"")),"₹",""),"RS.",""),"RS",""),"INR",""),"$",""),",","")," ",""))</f>
        <v/>
      </c>
      <c r="E1310" s="6">
        <f>IF(C1310="","",IF(RIGHT(D1310,2)="CR","Cr",IF(RIGHT(D1310,2)="DR","Dr","")))</f>
        <v/>
      </c>
      <c r="F1310" s="6">
        <f>IF(C1310="","",IF(E1310&lt;&gt;"",LEFT(D1310,LEN(D1310)-2),D1310))</f>
        <v/>
      </c>
      <c r="G1310" s="13">
        <f>IF(C1310="","",IF(OR(IF(AND(LEFT(F1310,1)="(",RIGHT(F1310,1)=")"),MID(F1310,2,LEN(F1310)-2),F1310)="",IF(AND(LEFT(F1310,1)="(",RIGHT(F1310,1)=")"),MID(F1310,2,LEN(F1310)-2),F1310)="-"),0,IFERROR(VALUE(IF(AND(LEFT(F1310,1)="(",RIGHT(F1310,1)=")"),MID(F1310,2,LEN(F1310)-2),F1310))*IF(AND(LEFT(F1310,1)="(",RIGHT(F1310,1)=")"),-1,1)*IF(E1310="Cr",Setup!$B$6,1),"ERR")))</f>
        <v/>
      </c>
      <c r="H1310" s="6">
        <f>IF(C1310="","",IF(ISNUMBER(G1310),1,0))</f>
        <v/>
      </c>
      <c r="I1310" s="6">
        <f>IF(C1310="","",IF(SUMPRODUCT(($C$12:$C$1511=C1310)*1)&gt;1,1,0))</f>
        <v/>
      </c>
      <c r="J1310" s="6">
        <f>IF(C1310="","",SUMPRODUCT((Mapping!$F$5:$F$504=Setup!$B$4&amp;"||"&amp;C1310)*ROW(Mapping!$F$5:$F$504)))</f>
        <v/>
      </c>
      <c r="K1310" s="6">
        <f>IF(C1310="","",IF(J1310=0,"UNMAPPED",LOWER(INDEX(Mapping!$D$1:$D$504,J1310))))</f>
        <v/>
      </c>
      <c r="L1310" s="6">
        <f>IF(K1310="mapped",TRIM(INDEX(Mapping!$C$1:$C$504,J1310)),"")</f>
        <v/>
      </c>
      <c r="M1310" s="6">
        <f>IF(C1310="","",IF(SUMPRODUCT(($C$12:C1310=C1310)*1)=1,1,0))</f>
        <v/>
      </c>
      <c r="N1310" s="6">
        <f>IF(AND(K1310="UNMAPPED",M1310=1),ROW(),"")</f>
        <v/>
      </c>
      <c r="O1310" s="6">
        <f>IF(AND(I1310=1,M1310=1),ROW(),"")</f>
        <v/>
      </c>
      <c r="P1310" s="6">
        <f>IF(AND(K1310="ignored",M1310=1),ROW(),"")</f>
        <v/>
      </c>
    </row>
    <row r="1311">
      <c r="A1311" s="8" t="n"/>
      <c r="B1311" s="8" t="n"/>
      <c r="C1311" s="6">
        <f>TRIM(A1311&amp;"")</f>
        <v/>
      </c>
      <c r="D1311" s="6">
        <f>IF(C1311="","",SUBSTITUTE(SUBSTITUTE(SUBSTITUTE(SUBSTITUTE(SUBSTITUTE(SUBSTITUTE(SUBSTITUTE(UPPER(TRIM(B1311&amp;"")),"₹",""),"RS.",""),"RS",""),"INR",""),"$",""),",","")," ",""))</f>
        <v/>
      </c>
      <c r="E1311" s="6">
        <f>IF(C1311="","",IF(RIGHT(D1311,2)="CR","Cr",IF(RIGHT(D1311,2)="DR","Dr","")))</f>
        <v/>
      </c>
      <c r="F1311" s="6">
        <f>IF(C1311="","",IF(E1311&lt;&gt;"",LEFT(D1311,LEN(D1311)-2),D1311))</f>
        <v/>
      </c>
      <c r="G1311" s="13">
        <f>IF(C1311="","",IF(OR(IF(AND(LEFT(F1311,1)="(",RIGHT(F1311,1)=")"),MID(F1311,2,LEN(F1311)-2),F1311)="",IF(AND(LEFT(F1311,1)="(",RIGHT(F1311,1)=")"),MID(F1311,2,LEN(F1311)-2),F1311)="-"),0,IFERROR(VALUE(IF(AND(LEFT(F1311,1)="(",RIGHT(F1311,1)=")"),MID(F1311,2,LEN(F1311)-2),F1311))*IF(AND(LEFT(F1311,1)="(",RIGHT(F1311,1)=")"),-1,1)*IF(E1311="Cr",Setup!$B$6,1),"ERR")))</f>
        <v/>
      </c>
      <c r="H1311" s="6">
        <f>IF(C1311="","",IF(ISNUMBER(G1311),1,0))</f>
        <v/>
      </c>
      <c r="I1311" s="6">
        <f>IF(C1311="","",IF(SUMPRODUCT(($C$12:$C$1511=C1311)*1)&gt;1,1,0))</f>
        <v/>
      </c>
      <c r="J1311" s="6">
        <f>IF(C1311="","",SUMPRODUCT((Mapping!$F$5:$F$504=Setup!$B$4&amp;"||"&amp;C1311)*ROW(Mapping!$F$5:$F$504)))</f>
        <v/>
      </c>
      <c r="K1311" s="6">
        <f>IF(C1311="","",IF(J1311=0,"UNMAPPED",LOWER(INDEX(Mapping!$D$1:$D$504,J1311))))</f>
        <v/>
      </c>
      <c r="L1311" s="6">
        <f>IF(K1311="mapped",TRIM(INDEX(Mapping!$C$1:$C$504,J1311)),"")</f>
        <v/>
      </c>
      <c r="M1311" s="6">
        <f>IF(C1311="","",IF(SUMPRODUCT(($C$12:C1311=C1311)*1)=1,1,0))</f>
        <v/>
      </c>
      <c r="N1311" s="6">
        <f>IF(AND(K1311="UNMAPPED",M1311=1),ROW(),"")</f>
        <v/>
      </c>
      <c r="O1311" s="6">
        <f>IF(AND(I1311=1,M1311=1),ROW(),"")</f>
        <v/>
      </c>
      <c r="P1311" s="6">
        <f>IF(AND(K1311="ignored",M1311=1),ROW(),"")</f>
        <v/>
      </c>
    </row>
    <row r="1312">
      <c r="A1312" s="8" t="n"/>
      <c r="B1312" s="8" t="n"/>
      <c r="C1312" s="6">
        <f>TRIM(A1312&amp;"")</f>
        <v/>
      </c>
      <c r="D1312" s="6">
        <f>IF(C1312="","",SUBSTITUTE(SUBSTITUTE(SUBSTITUTE(SUBSTITUTE(SUBSTITUTE(SUBSTITUTE(SUBSTITUTE(UPPER(TRIM(B1312&amp;"")),"₹",""),"RS.",""),"RS",""),"INR",""),"$",""),",","")," ",""))</f>
        <v/>
      </c>
      <c r="E1312" s="6">
        <f>IF(C1312="","",IF(RIGHT(D1312,2)="CR","Cr",IF(RIGHT(D1312,2)="DR","Dr","")))</f>
        <v/>
      </c>
      <c r="F1312" s="6">
        <f>IF(C1312="","",IF(E1312&lt;&gt;"",LEFT(D1312,LEN(D1312)-2),D1312))</f>
        <v/>
      </c>
      <c r="G1312" s="13">
        <f>IF(C1312="","",IF(OR(IF(AND(LEFT(F1312,1)="(",RIGHT(F1312,1)=")"),MID(F1312,2,LEN(F1312)-2),F1312)="",IF(AND(LEFT(F1312,1)="(",RIGHT(F1312,1)=")"),MID(F1312,2,LEN(F1312)-2),F1312)="-"),0,IFERROR(VALUE(IF(AND(LEFT(F1312,1)="(",RIGHT(F1312,1)=")"),MID(F1312,2,LEN(F1312)-2),F1312))*IF(AND(LEFT(F1312,1)="(",RIGHT(F1312,1)=")"),-1,1)*IF(E1312="Cr",Setup!$B$6,1),"ERR")))</f>
        <v/>
      </c>
      <c r="H1312" s="6">
        <f>IF(C1312="","",IF(ISNUMBER(G1312),1,0))</f>
        <v/>
      </c>
      <c r="I1312" s="6">
        <f>IF(C1312="","",IF(SUMPRODUCT(($C$12:$C$1511=C1312)*1)&gt;1,1,0))</f>
        <v/>
      </c>
      <c r="J1312" s="6">
        <f>IF(C1312="","",SUMPRODUCT((Mapping!$F$5:$F$504=Setup!$B$4&amp;"||"&amp;C1312)*ROW(Mapping!$F$5:$F$504)))</f>
        <v/>
      </c>
      <c r="K1312" s="6">
        <f>IF(C1312="","",IF(J1312=0,"UNMAPPED",LOWER(INDEX(Mapping!$D$1:$D$504,J1312))))</f>
        <v/>
      </c>
      <c r="L1312" s="6">
        <f>IF(K1312="mapped",TRIM(INDEX(Mapping!$C$1:$C$504,J1312)),"")</f>
        <v/>
      </c>
      <c r="M1312" s="6">
        <f>IF(C1312="","",IF(SUMPRODUCT(($C$12:C1312=C1312)*1)=1,1,0))</f>
        <v/>
      </c>
      <c r="N1312" s="6">
        <f>IF(AND(K1312="UNMAPPED",M1312=1),ROW(),"")</f>
        <v/>
      </c>
      <c r="O1312" s="6">
        <f>IF(AND(I1312=1,M1312=1),ROW(),"")</f>
        <v/>
      </c>
      <c r="P1312" s="6">
        <f>IF(AND(K1312="ignored",M1312=1),ROW(),"")</f>
        <v/>
      </c>
    </row>
    <row r="1313">
      <c r="A1313" s="8" t="n"/>
      <c r="B1313" s="8" t="n"/>
      <c r="C1313" s="6">
        <f>TRIM(A1313&amp;"")</f>
        <v/>
      </c>
      <c r="D1313" s="6">
        <f>IF(C1313="","",SUBSTITUTE(SUBSTITUTE(SUBSTITUTE(SUBSTITUTE(SUBSTITUTE(SUBSTITUTE(SUBSTITUTE(UPPER(TRIM(B1313&amp;"")),"₹",""),"RS.",""),"RS",""),"INR",""),"$",""),",","")," ",""))</f>
        <v/>
      </c>
      <c r="E1313" s="6">
        <f>IF(C1313="","",IF(RIGHT(D1313,2)="CR","Cr",IF(RIGHT(D1313,2)="DR","Dr","")))</f>
        <v/>
      </c>
      <c r="F1313" s="6">
        <f>IF(C1313="","",IF(E1313&lt;&gt;"",LEFT(D1313,LEN(D1313)-2),D1313))</f>
        <v/>
      </c>
      <c r="G1313" s="13">
        <f>IF(C1313="","",IF(OR(IF(AND(LEFT(F1313,1)="(",RIGHT(F1313,1)=")"),MID(F1313,2,LEN(F1313)-2),F1313)="",IF(AND(LEFT(F1313,1)="(",RIGHT(F1313,1)=")"),MID(F1313,2,LEN(F1313)-2),F1313)="-"),0,IFERROR(VALUE(IF(AND(LEFT(F1313,1)="(",RIGHT(F1313,1)=")"),MID(F1313,2,LEN(F1313)-2),F1313))*IF(AND(LEFT(F1313,1)="(",RIGHT(F1313,1)=")"),-1,1)*IF(E1313="Cr",Setup!$B$6,1),"ERR")))</f>
        <v/>
      </c>
      <c r="H1313" s="6">
        <f>IF(C1313="","",IF(ISNUMBER(G1313),1,0))</f>
        <v/>
      </c>
      <c r="I1313" s="6">
        <f>IF(C1313="","",IF(SUMPRODUCT(($C$12:$C$1511=C1313)*1)&gt;1,1,0))</f>
        <v/>
      </c>
      <c r="J1313" s="6">
        <f>IF(C1313="","",SUMPRODUCT((Mapping!$F$5:$F$504=Setup!$B$4&amp;"||"&amp;C1313)*ROW(Mapping!$F$5:$F$504)))</f>
        <v/>
      </c>
      <c r="K1313" s="6">
        <f>IF(C1313="","",IF(J1313=0,"UNMAPPED",LOWER(INDEX(Mapping!$D$1:$D$504,J1313))))</f>
        <v/>
      </c>
      <c r="L1313" s="6">
        <f>IF(K1313="mapped",TRIM(INDEX(Mapping!$C$1:$C$504,J1313)),"")</f>
        <v/>
      </c>
      <c r="M1313" s="6">
        <f>IF(C1313="","",IF(SUMPRODUCT(($C$12:C1313=C1313)*1)=1,1,0))</f>
        <v/>
      </c>
      <c r="N1313" s="6">
        <f>IF(AND(K1313="UNMAPPED",M1313=1),ROW(),"")</f>
        <v/>
      </c>
      <c r="O1313" s="6">
        <f>IF(AND(I1313=1,M1313=1),ROW(),"")</f>
        <v/>
      </c>
      <c r="P1313" s="6">
        <f>IF(AND(K1313="ignored",M1313=1),ROW(),"")</f>
        <v/>
      </c>
    </row>
    <row r="1314">
      <c r="A1314" s="8" t="n"/>
      <c r="B1314" s="8" t="n"/>
      <c r="C1314" s="6">
        <f>TRIM(A1314&amp;"")</f>
        <v/>
      </c>
      <c r="D1314" s="6">
        <f>IF(C1314="","",SUBSTITUTE(SUBSTITUTE(SUBSTITUTE(SUBSTITUTE(SUBSTITUTE(SUBSTITUTE(SUBSTITUTE(UPPER(TRIM(B1314&amp;"")),"₹",""),"RS.",""),"RS",""),"INR",""),"$",""),",","")," ",""))</f>
        <v/>
      </c>
      <c r="E1314" s="6">
        <f>IF(C1314="","",IF(RIGHT(D1314,2)="CR","Cr",IF(RIGHT(D1314,2)="DR","Dr","")))</f>
        <v/>
      </c>
      <c r="F1314" s="6">
        <f>IF(C1314="","",IF(E1314&lt;&gt;"",LEFT(D1314,LEN(D1314)-2),D1314))</f>
        <v/>
      </c>
      <c r="G1314" s="13">
        <f>IF(C1314="","",IF(OR(IF(AND(LEFT(F1314,1)="(",RIGHT(F1314,1)=")"),MID(F1314,2,LEN(F1314)-2),F1314)="",IF(AND(LEFT(F1314,1)="(",RIGHT(F1314,1)=")"),MID(F1314,2,LEN(F1314)-2),F1314)="-"),0,IFERROR(VALUE(IF(AND(LEFT(F1314,1)="(",RIGHT(F1314,1)=")"),MID(F1314,2,LEN(F1314)-2),F1314))*IF(AND(LEFT(F1314,1)="(",RIGHT(F1314,1)=")"),-1,1)*IF(E1314="Cr",Setup!$B$6,1),"ERR")))</f>
        <v/>
      </c>
      <c r="H1314" s="6">
        <f>IF(C1314="","",IF(ISNUMBER(G1314),1,0))</f>
        <v/>
      </c>
      <c r="I1314" s="6">
        <f>IF(C1314="","",IF(SUMPRODUCT(($C$12:$C$1511=C1314)*1)&gt;1,1,0))</f>
        <v/>
      </c>
      <c r="J1314" s="6">
        <f>IF(C1314="","",SUMPRODUCT((Mapping!$F$5:$F$504=Setup!$B$4&amp;"||"&amp;C1314)*ROW(Mapping!$F$5:$F$504)))</f>
        <v/>
      </c>
      <c r="K1314" s="6">
        <f>IF(C1314="","",IF(J1314=0,"UNMAPPED",LOWER(INDEX(Mapping!$D$1:$D$504,J1314))))</f>
        <v/>
      </c>
      <c r="L1314" s="6">
        <f>IF(K1314="mapped",TRIM(INDEX(Mapping!$C$1:$C$504,J1314)),"")</f>
        <v/>
      </c>
      <c r="M1314" s="6">
        <f>IF(C1314="","",IF(SUMPRODUCT(($C$12:C1314=C1314)*1)=1,1,0))</f>
        <v/>
      </c>
      <c r="N1314" s="6">
        <f>IF(AND(K1314="UNMAPPED",M1314=1),ROW(),"")</f>
        <v/>
      </c>
      <c r="O1314" s="6">
        <f>IF(AND(I1314=1,M1314=1),ROW(),"")</f>
        <v/>
      </c>
      <c r="P1314" s="6">
        <f>IF(AND(K1314="ignored",M1314=1),ROW(),"")</f>
        <v/>
      </c>
    </row>
    <row r="1315">
      <c r="A1315" s="8" t="n"/>
      <c r="B1315" s="8" t="n"/>
      <c r="C1315" s="6">
        <f>TRIM(A1315&amp;"")</f>
        <v/>
      </c>
      <c r="D1315" s="6">
        <f>IF(C1315="","",SUBSTITUTE(SUBSTITUTE(SUBSTITUTE(SUBSTITUTE(SUBSTITUTE(SUBSTITUTE(SUBSTITUTE(UPPER(TRIM(B1315&amp;"")),"₹",""),"RS.",""),"RS",""),"INR",""),"$",""),",","")," ",""))</f>
        <v/>
      </c>
      <c r="E1315" s="6">
        <f>IF(C1315="","",IF(RIGHT(D1315,2)="CR","Cr",IF(RIGHT(D1315,2)="DR","Dr","")))</f>
        <v/>
      </c>
      <c r="F1315" s="6">
        <f>IF(C1315="","",IF(E1315&lt;&gt;"",LEFT(D1315,LEN(D1315)-2),D1315))</f>
        <v/>
      </c>
      <c r="G1315" s="13">
        <f>IF(C1315="","",IF(OR(IF(AND(LEFT(F1315,1)="(",RIGHT(F1315,1)=")"),MID(F1315,2,LEN(F1315)-2),F1315)="",IF(AND(LEFT(F1315,1)="(",RIGHT(F1315,1)=")"),MID(F1315,2,LEN(F1315)-2),F1315)="-"),0,IFERROR(VALUE(IF(AND(LEFT(F1315,1)="(",RIGHT(F1315,1)=")"),MID(F1315,2,LEN(F1315)-2),F1315))*IF(AND(LEFT(F1315,1)="(",RIGHT(F1315,1)=")"),-1,1)*IF(E1315="Cr",Setup!$B$6,1),"ERR")))</f>
        <v/>
      </c>
      <c r="H1315" s="6">
        <f>IF(C1315="","",IF(ISNUMBER(G1315),1,0))</f>
        <v/>
      </c>
      <c r="I1315" s="6">
        <f>IF(C1315="","",IF(SUMPRODUCT(($C$12:$C$1511=C1315)*1)&gt;1,1,0))</f>
        <v/>
      </c>
      <c r="J1315" s="6">
        <f>IF(C1315="","",SUMPRODUCT((Mapping!$F$5:$F$504=Setup!$B$4&amp;"||"&amp;C1315)*ROW(Mapping!$F$5:$F$504)))</f>
        <v/>
      </c>
      <c r="K1315" s="6">
        <f>IF(C1315="","",IF(J1315=0,"UNMAPPED",LOWER(INDEX(Mapping!$D$1:$D$504,J1315))))</f>
        <v/>
      </c>
      <c r="L1315" s="6">
        <f>IF(K1315="mapped",TRIM(INDEX(Mapping!$C$1:$C$504,J1315)),"")</f>
        <v/>
      </c>
      <c r="M1315" s="6">
        <f>IF(C1315="","",IF(SUMPRODUCT(($C$12:C1315=C1315)*1)=1,1,0))</f>
        <v/>
      </c>
      <c r="N1315" s="6">
        <f>IF(AND(K1315="UNMAPPED",M1315=1),ROW(),"")</f>
        <v/>
      </c>
      <c r="O1315" s="6">
        <f>IF(AND(I1315=1,M1315=1),ROW(),"")</f>
        <v/>
      </c>
      <c r="P1315" s="6">
        <f>IF(AND(K1315="ignored",M1315=1),ROW(),"")</f>
        <v/>
      </c>
    </row>
    <row r="1316">
      <c r="A1316" s="8" t="n"/>
      <c r="B1316" s="8" t="n"/>
      <c r="C1316" s="6">
        <f>TRIM(A1316&amp;"")</f>
        <v/>
      </c>
      <c r="D1316" s="6">
        <f>IF(C1316="","",SUBSTITUTE(SUBSTITUTE(SUBSTITUTE(SUBSTITUTE(SUBSTITUTE(SUBSTITUTE(SUBSTITUTE(UPPER(TRIM(B1316&amp;"")),"₹",""),"RS.",""),"RS",""),"INR",""),"$",""),",","")," ",""))</f>
        <v/>
      </c>
      <c r="E1316" s="6">
        <f>IF(C1316="","",IF(RIGHT(D1316,2)="CR","Cr",IF(RIGHT(D1316,2)="DR","Dr","")))</f>
        <v/>
      </c>
      <c r="F1316" s="6">
        <f>IF(C1316="","",IF(E1316&lt;&gt;"",LEFT(D1316,LEN(D1316)-2),D1316))</f>
        <v/>
      </c>
      <c r="G1316" s="13">
        <f>IF(C1316="","",IF(OR(IF(AND(LEFT(F1316,1)="(",RIGHT(F1316,1)=")"),MID(F1316,2,LEN(F1316)-2),F1316)="",IF(AND(LEFT(F1316,1)="(",RIGHT(F1316,1)=")"),MID(F1316,2,LEN(F1316)-2),F1316)="-"),0,IFERROR(VALUE(IF(AND(LEFT(F1316,1)="(",RIGHT(F1316,1)=")"),MID(F1316,2,LEN(F1316)-2),F1316))*IF(AND(LEFT(F1316,1)="(",RIGHT(F1316,1)=")"),-1,1)*IF(E1316="Cr",Setup!$B$6,1),"ERR")))</f>
        <v/>
      </c>
      <c r="H1316" s="6">
        <f>IF(C1316="","",IF(ISNUMBER(G1316),1,0))</f>
        <v/>
      </c>
      <c r="I1316" s="6">
        <f>IF(C1316="","",IF(SUMPRODUCT(($C$12:$C$1511=C1316)*1)&gt;1,1,0))</f>
        <v/>
      </c>
      <c r="J1316" s="6">
        <f>IF(C1316="","",SUMPRODUCT((Mapping!$F$5:$F$504=Setup!$B$4&amp;"||"&amp;C1316)*ROW(Mapping!$F$5:$F$504)))</f>
        <v/>
      </c>
      <c r="K1316" s="6">
        <f>IF(C1316="","",IF(J1316=0,"UNMAPPED",LOWER(INDEX(Mapping!$D$1:$D$504,J1316))))</f>
        <v/>
      </c>
      <c r="L1316" s="6">
        <f>IF(K1316="mapped",TRIM(INDEX(Mapping!$C$1:$C$504,J1316)),"")</f>
        <v/>
      </c>
      <c r="M1316" s="6">
        <f>IF(C1316="","",IF(SUMPRODUCT(($C$12:C1316=C1316)*1)=1,1,0))</f>
        <v/>
      </c>
      <c r="N1316" s="6">
        <f>IF(AND(K1316="UNMAPPED",M1316=1),ROW(),"")</f>
        <v/>
      </c>
      <c r="O1316" s="6">
        <f>IF(AND(I1316=1,M1316=1),ROW(),"")</f>
        <v/>
      </c>
      <c r="P1316" s="6">
        <f>IF(AND(K1316="ignored",M1316=1),ROW(),"")</f>
        <v/>
      </c>
    </row>
    <row r="1317">
      <c r="A1317" s="8" t="n"/>
      <c r="B1317" s="8" t="n"/>
      <c r="C1317" s="6">
        <f>TRIM(A1317&amp;"")</f>
        <v/>
      </c>
      <c r="D1317" s="6">
        <f>IF(C1317="","",SUBSTITUTE(SUBSTITUTE(SUBSTITUTE(SUBSTITUTE(SUBSTITUTE(SUBSTITUTE(SUBSTITUTE(UPPER(TRIM(B1317&amp;"")),"₹",""),"RS.",""),"RS",""),"INR",""),"$",""),",","")," ",""))</f>
        <v/>
      </c>
      <c r="E1317" s="6">
        <f>IF(C1317="","",IF(RIGHT(D1317,2)="CR","Cr",IF(RIGHT(D1317,2)="DR","Dr","")))</f>
        <v/>
      </c>
      <c r="F1317" s="6">
        <f>IF(C1317="","",IF(E1317&lt;&gt;"",LEFT(D1317,LEN(D1317)-2),D1317))</f>
        <v/>
      </c>
      <c r="G1317" s="13">
        <f>IF(C1317="","",IF(OR(IF(AND(LEFT(F1317,1)="(",RIGHT(F1317,1)=")"),MID(F1317,2,LEN(F1317)-2),F1317)="",IF(AND(LEFT(F1317,1)="(",RIGHT(F1317,1)=")"),MID(F1317,2,LEN(F1317)-2),F1317)="-"),0,IFERROR(VALUE(IF(AND(LEFT(F1317,1)="(",RIGHT(F1317,1)=")"),MID(F1317,2,LEN(F1317)-2),F1317))*IF(AND(LEFT(F1317,1)="(",RIGHT(F1317,1)=")"),-1,1)*IF(E1317="Cr",Setup!$B$6,1),"ERR")))</f>
        <v/>
      </c>
      <c r="H1317" s="6">
        <f>IF(C1317="","",IF(ISNUMBER(G1317),1,0))</f>
        <v/>
      </c>
      <c r="I1317" s="6">
        <f>IF(C1317="","",IF(SUMPRODUCT(($C$12:$C$1511=C1317)*1)&gt;1,1,0))</f>
        <v/>
      </c>
      <c r="J1317" s="6">
        <f>IF(C1317="","",SUMPRODUCT((Mapping!$F$5:$F$504=Setup!$B$4&amp;"||"&amp;C1317)*ROW(Mapping!$F$5:$F$504)))</f>
        <v/>
      </c>
      <c r="K1317" s="6">
        <f>IF(C1317="","",IF(J1317=0,"UNMAPPED",LOWER(INDEX(Mapping!$D$1:$D$504,J1317))))</f>
        <v/>
      </c>
      <c r="L1317" s="6">
        <f>IF(K1317="mapped",TRIM(INDEX(Mapping!$C$1:$C$504,J1317)),"")</f>
        <v/>
      </c>
      <c r="M1317" s="6">
        <f>IF(C1317="","",IF(SUMPRODUCT(($C$12:C1317=C1317)*1)=1,1,0))</f>
        <v/>
      </c>
      <c r="N1317" s="6">
        <f>IF(AND(K1317="UNMAPPED",M1317=1),ROW(),"")</f>
        <v/>
      </c>
      <c r="O1317" s="6">
        <f>IF(AND(I1317=1,M1317=1),ROW(),"")</f>
        <v/>
      </c>
      <c r="P1317" s="6">
        <f>IF(AND(K1317="ignored",M1317=1),ROW(),"")</f>
        <v/>
      </c>
    </row>
    <row r="1318">
      <c r="A1318" s="8" t="n"/>
      <c r="B1318" s="8" t="n"/>
      <c r="C1318" s="6">
        <f>TRIM(A1318&amp;"")</f>
        <v/>
      </c>
      <c r="D1318" s="6">
        <f>IF(C1318="","",SUBSTITUTE(SUBSTITUTE(SUBSTITUTE(SUBSTITUTE(SUBSTITUTE(SUBSTITUTE(SUBSTITUTE(UPPER(TRIM(B1318&amp;"")),"₹",""),"RS.",""),"RS",""),"INR",""),"$",""),",","")," ",""))</f>
        <v/>
      </c>
      <c r="E1318" s="6">
        <f>IF(C1318="","",IF(RIGHT(D1318,2)="CR","Cr",IF(RIGHT(D1318,2)="DR","Dr","")))</f>
        <v/>
      </c>
      <c r="F1318" s="6">
        <f>IF(C1318="","",IF(E1318&lt;&gt;"",LEFT(D1318,LEN(D1318)-2),D1318))</f>
        <v/>
      </c>
      <c r="G1318" s="13">
        <f>IF(C1318="","",IF(OR(IF(AND(LEFT(F1318,1)="(",RIGHT(F1318,1)=")"),MID(F1318,2,LEN(F1318)-2),F1318)="",IF(AND(LEFT(F1318,1)="(",RIGHT(F1318,1)=")"),MID(F1318,2,LEN(F1318)-2),F1318)="-"),0,IFERROR(VALUE(IF(AND(LEFT(F1318,1)="(",RIGHT(F1318,1)=")"),MID(F1318,2,LEN(F1318)-2),F1318))*IF(AND(LEFT(F1318,1)="(",RIGHT(F1318,1)=")"),-1,1)*IF(E1318="Cr",Setup!$B$6,1),"ERR")))</f>
        <v/>
      </c>
      <c r="H1318" s="6">
        <f>IF(C1318="","",IF(ISNUMBER(G1318),1,0))</f>
        <v/>
      </c>
      <c r="I1318" s="6">
        <f>IF(C1318="","",IF(SUMPRODUCT(($C$12:$C$1511=C1318)*1)&gt;1,1,0))</f>
        <v/>
      </c>
      <c r="J1318" s="6">
        <f>IF(C1318="","",SUMPRODUCT((Mapping!$F$5:$F$504=Setup!$B$4&amp;"||"&amp;C1318)*ROW(Mapping!$F$5:$F$504)))</f>
        <v/>
      </c>
      <c r="K1318" s="6">
        <f>IF(C1318="","",IF(J1318=0,"UNMAPPED",LOWER(INDEX(Mapping!$D$1:$D$504,J1318))))</f>
        <v/>
      </c>
      <c r="L1318" s="6">
        <f>IF(K1318="mapped",TRIM(INDEX(Mapping!$C$1:$C$504,J1318)),"")</f>
        <v/>
      </c>
      <c r="M1318" s="6">
        <f>IF(C1318="","",IF(SUMPRODUCT(($C$12:C1318=C1318)*1)=1,1,0))</f>
        <v/>
      </c>
      <c r="N1318" s="6">
        <f>IF(AND(K1318="UNMAPPED",M1318=1),ROW(),"")</f>
        <v/>
      </c>
      <c r="O1318" s="6">
        <f>IF(AND(I1318=1,M1318=1),ROW(),"")</f>
        <v/>
      </c>
      <c r="P1318" s="6">
        <f>IF(AND(K1318="ignored",M1318=1),ROW(),"")</f>
        <v/>
      </c>
    </row>
    <row r="1319">
      <c r="A1319" s="8" t="n"/>
      <c r="B1319" s="8" t="n"/>
      <c r="C1319" s="6">
        <f>TRIM(A1319&amp;"")</f>
        <v/>
      </c>
      <c r="D1319" s="6">
        <f>IF(C1319="","",SUBSTITUTE(SUBSTITUTE(SUBSTITUTE(SUBSTITUTE(SUBSTITUTE(SUBSTITUTE(SUBSTITUTE(UPPER(TRIM(B1319&amp;"")),"₹",""),"RS.",""),"RS",""),"INR",""),"$",""),",","")," ",""))</f>
        <v/>
      </c>
      <c r="E1319" s="6">
        <f>IF(C1319="","",IF(RIGHT(D1319,2)="CR","Cr",IF(RIGHT(D1319,2)="DR","Dr","")))</f>
        <v/>
      </c>
      <c r="F1319" s="6">
        <f>IF(C1319="","",IF(E1319&lt;&gt;"",LEFT(D1319,LEN(D1319)-2),D1319))</f>
        <v/>
      </c>
      <c r="G1319" s="13">
        <f>IF(C1319="","",IF(OR(IF(AND(LEFT(F1319,1)="(",RIGHT(F1319,1)=")"),MID(F1319,2,LEN(F1319)-2),F1319)="",IF(AND(LEFT(F1319,1)="(",RIGHT(F1319,1)=")"),MID(F1319,2,LEN(F1319)-2),F1319)="-"),0,IFERROR(VALUE(IF(AND(LEFT(F1319,1)="(",RIGHT(F1319,1)=")"),MID(F1319,2,LEN(F1319)-2),F1319))*IF(AND(LEFT(F1319,1)="(",RIGHT(F1319,1)=")"),-1,1)*IF(E1319="Cr",Setup!$B$6,1),"ERR")))</f>
        <v/>
      </c>
      <c r="H1319" s="6">
        <f>IF(C1319="","",IF(ISNUMBER(G1319),1,0))</f>
        <v/>
      </c>
      <c r="I1319" s="6">
        <f>IF(C1319="","",IF(SUMPRODUCT(($C$12:$C$1511=C1319)*1)&gt;1,1,0))</f>
        <v/>
      </c>
      <c r="J1319" s="6">
        <f>IF(C1319="","",SUMPRODUCT((Mapping!$F$5:$F$504=Setup!$B$4&amp;"||"&amp;C1319)*ROW(Mapping!$F$5:$F$504)))</f>
        <v/>
      </c>
      <c r="K1319" s="6">
        <f>IF(C1319="","",IF(J1319=0,"UNMAPPED",LOWER(INDEX(Mapping!$D$1:$D$504,J1319))))</f>
        <v/>
      </c>
      <c r="L1319" s="6">
        <f>IF(K1319="mapped",TRIM(INDEX(Mapping!$C$1:$C$504,J1319)),"")</f>
        <v/>
      </c>
      <c r="M1319" s="6">
        <f>IF(C1319="","",IF(SUMPRODUCT(($C$12:C1319=C1319)*1)=1,1,0))</f>
        <v/>
      </c>
      <c r="N1319" s="6">
        <f>IF(AND(K1319="UNMAPPED",M1319=1),ROW(),"")</f>
        <v/>
      </c>
      <c r="O1319" s="6">
        <f>IF(AND(I1319=1,M1319=1),ROW(),"")</f>
        <v/>
      </c>
      <c r="P1319" s="6">
        <f>IF(AND(K1319="ignored",M1319=1),ROW(),"")</f>
        <v/>
      </c>
    </row>
    <row r="1320">
      <c r="A1320" s="8" t="n"/>
      <c r="B1320" s="8" t="n"/>
      <c r="C1320" s="6">
        <f>TRIM(A1320&amp;"")</f>
        <v/>
      </c>
      <c r="D1320" s="6">
        <f>IF(C1320="","",SUBSTITUTE(SUBSTITUTE(SUBSTITUTE(SUBSTITUTE(SUBSTITUTE(SUBSTITUTE(SUBSTITUTE(UPPER(TRIM(B1320&amp;"")),"₹",""),"RS.",""),"RS",""),"INR",""),"$",""),",","")," ",""))</f>
        <v/>
      </c>
      <c r="E1320" s="6">
        <f>IF(C1320="","",IF(RIGHT(D1320,2)="CR","Cr",IF(RIGHT(D1320,2)="DR","Dr","")))</f>
        <v/>
      </c>
      <c r="F1320" s="6">
        <f>IF(C1320="","",IF(E1320&lt;&gt;"",LEFT(D1320,LEN(D1320)-2),D1320))</f>
        <v/>
      </c>
      <c r="G1320" s="13">
        <f>IF(C1320="","",IF(OR(IF(AND(LEFT(F1320,1)="(",RIGHT(F1320,1)=")"),MID(F1320,2,LEN(F1320)-2),F1320)="",IF(AND(LEFT(F1320,1)="(",RIGHT(F1320,1)=")"),MID(F1320,2,LEN(F1320)-2),F1320)="-"),0,IFERROR(VALUE(IF(AND(LEFT(F1320,1)="(",RIGHT(F1320,1)=")"),MID(F1320,2,LEN(F1320)-2),F1320))*IF(AND(LEFT(F1320,1)="(",RIGHT(F1320,1)=")"),-1,1)*IF(E1320="Cr",Setup!$B$6,1),"ERR")))</f>
        <v/>
      </c>
      <c r="H1320" s="6">
        <f>IF(C1320="","",IF(ISNUMBER(G1320),1,0))</f>
        <v/>
      </c>
      <c r="I1320" s="6">
        <f>IF(C1320="","",IF(SUMPRODUCT(($C$12:$C$1511=C1320)*1)&gt;1,1,0))</f>
        <v/>
      </c>
      <c r="J1320" s="6">
        <f>IF(C1320="","",SUMPRODUCT((Mapping!$F$5:$F$504=Setup!$B$4&amp;"||"&amp;C1320)*ROW(Mapping!$F$5:$F$504)))</f>
        <v/>
      </c>
      <c r="K1320" s="6">
        <f>IF(C1320="","",IF(J1320=0,"UNMAPPED",LOWER(INDEX(Mapping!$D$1:$D$504,J1320))))</f>
        <v/>
      </c>
      <c r="L1320" s="6">
        <f>IF(K1320="mapped",TRIM(INDEX(Mapping!$C$1:$C$504,J1320)),"")</f>
        <v/>
      </c>
      <c r="M1320" s="6">
        <f>IF(C1320="","",IF(SUMPRODUCT(($C$12:C1320=C1320)*1)=1,1,0))</f>
        <v/>
      </c>
      <c r="N1320" s="6">
        <f>IF(AND(K1320="UNMAPPED",M1320=1),ROW(),"")</f>
        <v/>
      </c>
      <c r="O1320" s="6">
        <f>IF(AND(I1320=1,M1320=1),ROW(),"")</f>
        <v/>
      </c>
      <c r="P1320" s="6">
        <f>IF(AND(K1320="ignored",M1320=1),ROW(),"")</f>
        <v/>
      </c>
    </row>
    <row r="1321">
      <c r="A1321" s="8" t="n"/>
      <c r="B1321" s="8" t="n"/>
      <c r="C1321" s="6">
        <f>TRIM(A1321&amp;"")</f>
        <v/>
      </c>
      <c r="D1321" s="6">
        <f>IF(C1321="","",SUBSTITUTE(SUBSTITUTE(SUBSTITUTE(SUBSTITUTE(SUBSTITUTE(SUBSTITUTE(SUBSTITUTE(UPPER(TRIM(B1321&amp;"")),"₹",""),"RS.",""),"RS",""),"INR",""),"$",""),",","")," ",""))</f>
        <v/>
      </c>
      <c r="E1321" s="6">
        <f>IF(C1321="","",IF(RIGHT(D1321,2)="CR","Cr",IF(RIGHT(D1321,2)="DR","Dr","")))</f>
        <v/>
      </c>
      <c r="F1321" s="6">
        <f>IF(C1321="","",IF(E1321&lt;&gt;"",LEFT(D1321,LEN(D1321)-2),D1321))</f>
        <v/>
      </c>
      <c r="G1321" s="13">
        <f>IF(C1321="","",IF(OR(IF(AND(LEFT(F1321,1)="(",RIGHT(F1321,1)=")"),MID(F1321,2,LEN(F1321)-2),F1321)="",IF(AND(LEFT(F1321,1)="(",RIGHT(F1321,1)=")"),MID(F1321,2,LEN(F1321)-2),F1321)="-"),0,IFERROR(VALUE(IF(AND(LEFT(F1321,1)="(",RIGHT(F1321,1)=")"),MID(F1321,2,LEN(F1321)-2),F1321))*IF(AND(LEFT(F1321,1)="(",RIGHT(F1321,1)=")"),-1,1)*IF(E1321="Cr",Setup!$B$6,1),"ERR")))</f>
        <v/>
      </c>
      <c r="H1321" s="6">
        <f>IF(C1321="","",IF(ISNUMBER(G1321),1,0))</f>
        <v/>
      </c>
      <c r="I1321" s="6">
        <f>IF(C1321="","",IF(SUMPRODUCT(($C$12:$C$1511=C1321)*1)&gt;1,1,0))</f>
        <v/>
      </c>
      <c r="J1321" s="6">
        <f>IF(C1321="","",SUMPRODUCT((Mapping!$F$5:$F$504=Setup!$B$4&amp;"||"&amp;C1321)*ROW(Mapping!$F$5:$F$504)))</f>
        <v/>
      </c>
      <c r="K1321" s="6">
        <f>IF(C1321="","",IF(J1321=0,"UNMAPPED",LOWER(INDEX(Mapping!$D$1:$D$504,J1321))))</f>
        <v/>
      </c>
      <c r="L1321" s="6">
        <f>IF(K1321="mapped",TRIM(INDEX(Mapping!$C$1:$C$504,J1321)),"")</f>
        <v/>
      </c>
      <c r="M1321" s="6">
        <f>IF(C1321="","",IF(SUMPRODUCT(($C$12:C1321=C1321)*1)=1,1,0))</f>
        <v/>
      </c>
      <c r="N1321" s="6">
        <f>IF(AND(K1321="UNMAPPED",M1321=1),ROW(),"")</f>
        <v/>
      </c>
      <c r="O1321" s="6">
        <f>IF(AND(I1321=1,M1321=1),ROW(),"")</f>
        <v/>
      </c>
      <c r="P1321" s="6">
        <f>IF(AND(K1321="ignored",M1321=1),ROW(),"")</f>
        <v/>
      </c>
    </row>
    <row r="1322">
      <c r="A1322" s="8" t="n"/>
      <c r="B1322" s="8" t="n"/>
      <c r="C1322" s="6">
        <f>TRIM(A1322&amp;"")</f>
        <v/>
      </c>
      <c r="D1322" s="6">
        <f>IF(C1322="","",SUBSTITUTE(SUBSTITUTE(SUBSTITUTE(SUBSTITUTE(SUBSTITUTE(SUBSTITUTE(SUBSTITUTE(UPPER(TRIM(B1322&amp;"")),"₹",""),"RS.",""),"RS",""),"INR",""),"$",""),",","")," ",""))</f>
        <v/>
      </c>
      <c r="E1322" s="6">
        <f>IF(C1322="","",IF(RIGHT(D1322,2)="CR","Cr",IF(RIGHT(D1322,2)="DR","Dr","")))</f>
        <v/>
      </c>
      <c r="F1322" s="6">
        <f>IF(C1322="","",IF(E1322&lt;&gt;"",LEFT(D1322,LEN(D1322)-2),D1322))</f>
        <v/>
      </c>
      <c r="G1322" s="13">
        <f>IF(C1322="","",IF(OR(IF(AND(LEFT(F1322,1)="(",RIGHT(F1322,1)=")"),MID(F1322,2,LEN(F1322)-2),F1322)="",IF(AND(LEFT(F1322,1)="(",RIGHT(F1322,1)=")"),MID(F1322,2,LEN(F1322)-2),F1322)="-"),0,IFERROR(VALUE(IF(AND(LEFT(F1322,1)="(",RIGHT(F1322,1)=")"),MID(F1322,2,LEN(F1322)-2),F1322))*IF(AND(LEFT(F1322,1)="(",RIGHT(F1322,1)=")"),-1,1)*IF(E1322="Cr",Setup!$B$6,1),"ERR")))</f>
        <v/>
      </c>
      <c r="H1322" s="6">
        <f>IF(C1322="","",IF(ISNUMBER(G1322),1,0))</f>
        <v/>
      </c>
      <c r="I1322" s="6">
        <f>IF(C1322="","",IF(SUMPRODUCT(($C$12:$C$1511=C1322)*1)&gt;1,1,0))</f>
        <v/>
      </c>
      <c r="J1322" s="6">
        <f>IF(C1322="","",SUMPRODUCT((Mapping!$F$5:$F$504=Setup!$B$4&amp;"||"&amp;C1322)*ROW(Mapping!$F$5:$F$504)))</f>
        <v/>
      </c>
      <c r="K1322" s="6">
        <f>IF(C1322="","",IF(J1322=0,"UNMAPPED",LOWER(INDEX(Mapping!$D$1:$D$504,J1322))))</f>
        <v/>
      </c>
      <c r="L1322" s="6">
        <f>IF(K1322="mapped",TRIM(INDEX(Mapping!$C$1:$C$504,J1322)),"")</f>
        <v/>
      </c>
      <c r="M1322" s="6">
        <f>IF(C1322="","",IF(SUMPRODUCT(($C$12:C1322=C1322)*1)=1,1,0))</f>
        <v/>
      </c>
      <c r="N1322" s="6">
        <f>IF(AND(K1322="UNMAPPED",M1322=1),ROW(),"")</f>
        <v/>
      </c>
      <c r="O1322" s="6">
        <f>IF(AND(I1322=1,M1322=1),ROW(),"")</f>
        <v/>
      </c>
      <c r="P1322" s="6">
        <f>IF(AND(K1322="ignored",M1322=1),ROW(),"")</f>
        <v/>
      </c>
    </row>
    <row r="1323">
      <c r="A1323" s="8" t="n"/>
      <c r="B1323" s="8" t="n"/>
      <c r="C1323" s="6">
        <f>TRIM(A1323&amp;"")</f>
        <v/>
      </c>
      <c r="D1323" s="6">
        <f>IF(C1323="","",SUBSTITUTE(SUBSTITUTE(SUBSTITUTE(SUBSTITUTE(SUBSTITUTE(SUBSTITUTE(SUBSTITUTE(UPPER(TRIM(B1323&amp;"")),"₹",""),"RS.",""),"RS",""),"INR",""),"$",""),",","")," ",""))</f>
        <v/>
      </c>
      <c r="E1323" s="6">
        <f>IF(C1323="","",IF(RIGHT(D1323,2)="CR","Cr",IF(RIGHT(D1323,2)="DR","Dr","")))</f>
        <v/>
      </c>
      <c r="F1323" s="6">
        <f>IF(C1323="","",IF(E1323&lt;&gt;"",LEFT(D1323,LEN(D1323)-2),D1323))</f>
        <v/>
      </c>
      <c r="G1323" s="13">
        <f>IF(C1323="","",IF(OR(IF(AND(LEFT(F1323,1)="(",RIGHT(F1323,1)=")"),MID(F1323,2,LEN(F1323)-2),F1323)="",IF(AND(LEFT(F1323,1)="(",RIGHT(F1323,1)=")"),MID(F1323,2,LEN(F1323)-2),F1323)="-"),0,IFERROR(VALUE(IF(AND(LEFT(F1323,1)="(",RIGHT(F1323,1)=")"),MID(F1323,2,LEN(F1323)-2),F1323))*IF(AND(LEFT(F1323,1)="(",RIGHT(F1323,1)=")"),-1,1)*IF(E1323="Cr",Setup!$B$6,1),"ERR")))</f>
        <v/>
      </c>
      <c r="H1323" s="6">
        <f>IF(C1323="","",IF(ISNUMBER(G1323),1,0))</f>
        <v/>
      </c>
      <c r="I1323" s="6">
        <f>IF(C1323="","",IF(SUMPRODUCT(($C$12:$C$1511=C1323)*1)&gt;1,1,0))</f>
        <v/>
      </c>
      <c r="J1323" s="6">
        <f>IF(C1323="","",SUMPRODUCT((Mapping!$F$5:$F$504=Setup!$B$4&amp;"||"&amp;C1323)*ROW(Mapping!$F$5:$F$504)))</f>
        <v/>
      </c>
      <c r="K1323" s="6">
        <f>IF(C1323="","",IF(J1323=0,"UNMAPPED",LOWER(INDEX(Mapping!$D$1:$D$504,J1323))))</f>
        <v/>
      </c>
      <c r="L1323" s="6">
        <f>IF(K1323="mapped",TRIM(INDEX(Mapping!$C$1:$C$504,J1323)),"")</f>
        <v/>
      </c>
      <c r="M1323" s="6">
        <f>IF(C1323="","",IF(SUMPRODUCT(($C$12:C1323=C1323)*1)=1,1,0))</f>
        <v/>
      </c>
      <c r="N1323" s="6">
        <f>IF(AND(K1323="UNMAPPED",M1323=1),ROW(),"")</f>
        <v/>
      </c>
      <c r="O1323" s="6">
        <f>IF(AND(I1323=1,M1323=1),ROW(),"")</f>
        <v/>
      </c>
      <c r="P1323" s="6">
        <f>IF(AND(K1323="ignored",M1323=1),ROW(),"")</f>
        <v/>
      </c>
    </row>
    <row r="1324">
      <c r="A1324" s="8" t="n"/>
      <c r="B1324" s="8" t="n"/>
      <c r="C1324" s="6">
        <f>TRIM(A1324&amp;"")</f>
        <v/>
      </c>
      <c r="D1324" s="6">
        <f>IF(C1324="","",SUBSTITUTE(SUBSTITUTE(SUBSTITUTE(SUBSTITUTE(SUBSTITUTE(SUBSTITUTE(SUBSTITUTE(UPPER(TRIM(B1324&amp;"")),"₹",""),"RS.",""),"RS",""),"INR",""),"$",""),",","")," ",""))</f>
        <v/>
      </c>
      <c r="E1324" s="6">
        <f>IF(C1324="","",IF(RIGHT(D1324,2)="CR","Cr",IF(RIGHT(D1324,2)="DR","Dr","")))</f>
        <v/>
      </c>
      <c r="F1324" s="6">
        <f>IF(C1324="","",IF(E1324&lt;&gt;"",LEFT(D1324,LEN(D1324)-2),D1324))</f>
        <v/>
      </c>
      <c r="G1324" s="13">
        <f>IF(C1324="","",IF(OR(IF(AND(LEFT(F1324,1)="(",RIGHT(F1324,1)=")"),MID(F1324,2,LEN(F1324)-2),F1324)="",IF(AND(LEFT(F1324,1)="(",RIGHT(F1324,1)=")"),MID(F1324,2,LEN(F1324)-2),F1324)="-"),0,IFERROR(VALUE(IF(AND(LEFT(F1324,1)="(",RIGHT(F1324,1)=")"),MID(F1324,2,LEN(F1324)-2),F1324))*IF(AND(LEFT(F1324,1)="(",RIGHT(F1324,1)=")"),-1,1)*IF(E1324="Cr",Setup!$B$6,1),"ERR")))</f>
        <v/>
      </c>
      <c r="H1324" s="6">
        <f>IF(C1324="","",IF(ISNUMBER(G1324),1,0))</f>
        <v/>
      </c>
      <c r="I1324" s="6">
        <f>IF(C1324="","",IF(SUMPRODUCT(($C$12:$C$1511=C1324)*1)&gt;1,1,0))</f>
        <v/>
      </c>
      <c r="J1324" s="6">
        <f>IF(C1324="","",SUMPRODUCT((Mapping!$F$5:$F$504=Setup!$B$4&amp;"||"&amp;C1324)*ROW(Mapping!$F$5:$F$504)))</f>
        <v/>
      </c>
      <c r="K1324" s="6">
        <f>IF(C1324="","",IF(J1324=0,"UNMAPPED",LOWER(INDEX(Mapping!$D$1:$D$504,J1324))))</f>
        <v/>
      </c>
      <c r="L1324" s="6">
        <f>IF(K1324="mapped",TRIM(INDEX(Mapping!$C$1:$C$504,J1324)),"")</f>
        <v/>
      </c>
      <c r="M1324" s="6">
        <f>IF(C1324="","",IF(SUMPRODUCT(($C$12:C1324=C1324)*1)=1,1,0))</f>
        <v/>
      </c>
      <c r="N1324" s="6">
        <f>IF(AND(K1324="UNMAPPED",M1324=1),ROW(),"")</f>
        <v/>
      </c>
      <c r="O1324" s="6">
        <f>IF(AND(I1324=1,M1324=1),ROW(),"")</f>
        <v/>
      </c>
      <c r="P1324" s="6">
        <f>IF(AND(K1324="ignored",M1324=1),ROW(),"")</f>
        <v/>
      </c>
    </row>
    <row r="1325">
      <c r="A1325" s="8" t="n"/>
      <c r="B1325" s="8" t="n"/>
      <c r="C1325" s="6">
        <f>TRIM(A1325&amp;"")</f>
        <v/>
      </c>
      <c r="D1325" s="6">
        <f>IF(C1325="","",SUBSTITUTE(SUBSTITUTE(SUBSTITUTE(SUBSTITUTE(SUBSTITUTE(SUBSTITUTE(SUBSTITUTE(UPPER(TRIM(B1325&amp;"")),"₹",""),"RS.",""),"RS",""),"INR",""),"$",""),",","")," ",""))</f>
        <v/>
      </c>
      <c r="E1325" s="6">
        <f>IF(C1325="","",IF(RIGHT(D1325,2)="CR","Cr",IF(RIGHT(D1325,2)="DR","Dr","")))</f>
        <v/>
      </c>
      <c r="F1325" s="6">
        <f>IF(C1325="","",IF(E1325&lt;&gt;"",LEFT(D1325,LEN(D1325)-2),D1325))</f>
        <v/>
      </c>
      <c r="G1325" s="13">
        <f>IF(C1325="","",IF(OR(IF(AND(LEFT(F1325,1)="(",RIGHT(F1325,1)=")"),MID(F1325,2,LEN(F1325)-2),F1325)="",IF(AND(LEFT(F1325,1)="(",RIGHT(F1325,1)=")"),MID(F1325,2,LEN(F1325)-2),F1325)="-"),0,IFERROR(VALUE(IF(AND(LEFT(F1325,1)="(",RIGHT(F1325,1)=")"),MID(F1325,2,LEN(F1325)-2),F1325))*IF(AND(LEFT(F1325,1)="(",RIGHT(F1325,1)=")"),-1,1)*IF(E1325="Cr",Setup!$B$6,1),"ERR")))</f>
        <v/>
      </c>
      <c r="H1325" s="6">
        <f>IF(C1325="","",IF(ISNUMBER(G1325),1,0))</f>
        <v/>
      </c>
      <c r="I1325" s="6">
        <f>IF(C1325="","",IF(SUMPRODUCT(($C$12:$C$1511=C1325)*1)&gt;1,1,0))</f>
        <v/>
      </c>
      <c r="J1325" s="6">
        <f>IF(C1325="","",SUMPRODUCT((Mapping!$F$5:$F$504=Setup!$B$4&amp;"||"&amp;C1325)*ROW(Mapping!$F$5:$F$504)))</f>
        <v/>
      </c>
      <c r="K1325" s="6">
        <f>IF(C1325="","",IF(J1325=0,"UNMAPPED",LOWER(INDEX(Mapping!$D$1:$D$504,J1325))))</f>
        <v/>
      </c>
      <c r="L1325" s="6">
        <f>IF(K1325="mapped",TRIM(INDEX(Mapping!$C$1:$C$504,J1325)),"")</f>
        <v/>
      </c>
      <c r="M1325" s="6">
        <f>IF(C1325="","",IF(SUMPRODUCT(($C$12:C1325=C1325)*1)=1,1,0))</f>
        <v/>
      </c>
      <c r="N1325" s="6">
        <f>IF(AND(K1325="UNMAPPED",M1325=1),ROW(),"")</f>
        <v/>
      </c>
      <c r="O1325" s="6">
        <f>IF(AND(I1325=1,M1325=1),ROW(),"")</f>
        <v/>
      </c>
      <c r="P1325" s="6">
        <f>IF(AND(K1325="ignored",M1325=1),ROW(),"")</f>
        <v/>
      </c>
    </row>
    <row r="1326">
      <c r="A1326" s="8" t="n"/>
      <c r="B1326" s="8" t="n"/>
      <c r="C1326" s="6">
        <f>TRIM(A1326&amp;"")</f>
        <v/>
      </c>
      <c r="D1326" s="6">
        <f>IF(C1326="","",SUBSTITUTE(SUBSTITUTE(SUBSTITUTE(SUBSTITUTE(SUBSTITUTE(SUBSTITUTE(SUBSTITUTE(UPPER(TRIM(B1326&amp;"")),"₹",""),"RS.",""),"RS",""),"INR",""),"$",""),",","")," ",""))</f>
        <v/>
      </c>
      <c r="E1326" s="6">
        <f>IF(C1326="","",IF(RIGHT(D1326,2)="CR","Cr",IF(RIGHT(D1326,2)="DR","Dr","")))</f>
        <v/>
      </c>
      <c r="F1326" s="6">
        <f>IF(C1326="","",IF(E1326&lt;&gt;"",LEFT(D1326,LEN(D1326)-2),D1326))</f>
        <v/>
      </c>
      <c r="G1326" s="13">
        <f>IF(C1326="","",IF(OR(IF(AND(LEFT(F1326,1)="(",RIGHT(F1326,1)=")"),MID(F1326,2,LEN(F1326)-2),F1326)="",IF(AND(LEFT(F1326,1)="(",RIGHT(F1326,1)=")"),MID(F1326,2,LEN(F1326)-2),F1326)="-"),0,IFERROR(VALUE(IF(AND(LEFT(F1326,1)="(",RIGHT(F1326,1)=")"),MID(F1326,2,LEN(F1326)-2),F1326))*IF(AND(LEFT(F1326,1)="(",RIGHT(F1326,1)=")"),-1,1)*IF(E1326="Cr",Setup!$B$6,1),"ERR")))</f>
        <v/>
      </c>
      <c r="H1326" s="6">
        <f>IF(C1326="","",IF(ISNUMBER(G1326),1,0))</f>
        <v/>
      </c>
      <c r="I1326" s="6">
        <f>IF(C1326="","",IF(SUMPRODUCT(($C$12:$C$1511=C1326)*1)&gt;1,1,0))</f>
        <v/>
      </c>
      <c r="J1326" s="6">
        <f>IF(C1326="","",SUMPRODUCT((Mapping!$F$5:$F$504=Setup!$B$4&amp;"||"&amp;C1326)*ROW(Mapping!$F$5:$F$504)))</f>
        <v/>
      </c>
      <c r="K1326" s="6">
        <f>IF(C1326="","",IF(J1326=0,"UNMAPPED",LOWER(INDEX(Mapping!$D$1:$D$504,J1326))))</f>
        <v/>
      </c>
      <c r="L1326" s="6">
        <f>IF(K1326="mapped",TRIM(INDEX(Mapping!$C$1:$C$504,J1326)),"")</f>
        <v/>
      </c>
      <c r="M1326" s="6">
        <f>IF(C1326="","",IF(SUMPRODUCT(($C$12:C1326=C1326)*1)=1,1,0))</f>
        <v/>
      </c>
      <c r="N1326" s="6">
        <f>IF(AND(K1326="UNMAPPED",M1326=1),ROW(),"")</f>
        <v/>
      </c>
      <c r="O1326" s="6">
        <f>IF(AND(I1326=1,M1326=1),ROW(),"")</f>
        <v/>
      </c>
      <c r="P1326" s="6">
        <f>IF(AND(K1326="ignored",M1326=1),ROW(),"")</f>
        <v/>
      </c>
    </row>
    <row r="1327">
      <c r="A1327" s="8" t="n"/>
      <c r="B1327" s="8" t="n"/>
      <c r="C1327" s="6">
        <f>TRIM(A1327&amp;"")</f>
        <v/>
      </c>
      <c r="D1327" s="6">
        <f>IF(C1327="","",SUBSTITUTE(SUBSTITUTE(SUBSTITUTE(SUBSTITUTE(SUBSTITUTE(SUBSTITUTE(SUBSTITUTE(UPPER(TRIM(B1327&amp;"")),"₹",""),"RS.",""),"RS",""),"INR",""),"$",""),",","")," ",""))</f>
        <v/>
      </c>
      <c r="E1327" s="6">
        <f>IF(C1327="","",IF(RIGHT(D1327,2)="CR","Cr",IF(RIGHT(D1327,2)="DR","Dr","")))</f>
        <v/>
      </c>
      <c r="F1327" s="6">
        <f>IF(C1327="","",IF(E1327&lt;&gt;"",LEFT(D1327,LEN(D1327)-2),D1327))</f>
        <v/>
      </c>
      <c r="G1327" s="13">
        <f>IF(C1327="","",IF(OR(IF(AND(LEFT(F1327,1)="(",RIGHT(F1327,1)=")"),MID(F1327,2,LEN(F1327)-2),F1327)="",IF(AND(LEFT(F1327,1)="(",RIGHT(F1327,1)=")"),MID(F1327,2,LEN(F1327)-2),F1327)="-"),0,IFERROR(VALUE(IF(AND(LEFT(F1327,1)="(",RIGHT(F1327,1)=")"),MID(F1327,2,LEN(F1327)-2),F1327))*IF(AND(LEFT(F1327,1)="(",RIGHT(F1327,1)=")"),-1,1)*IF(E1327="Cr",Setup!$B$6,1),"ERR")))</f>
        <v/>
      </c>
      <c r="H1327" s="6">
        <f>IF(C1327="","",IF(ISNUMBER(G1327),1,0))</f>
        <v/>
      </c>
      <c r="I1327" s="6">
        <f>IF(C1327="","",IF(SUMPRODUCT(($C$12:$C$1511=C1327)*1)&gt;1,1,0))</f>
        <v/>
      </c>
      <c r="J1327" s="6">
        <f>IF(C1327="","",SUMPRODUCT((Mapping!$F$5:$F$504=Setup!$B$4&amp;"||"&amp;C1327)*ROW(Mapping!$F$5:$F$504)))</f>
        <v/>
      </c>
      <c r="K1327" s="6">
        <f>IF(C1327="","",IF(J1327=0,"UNMAPPED",LOWER(INDEX(Mapping!$D$1:$D$504,J1327))))</f>
        <v/>
      </c>
      <c r="L1327" s="6">
        <f>IF(K1327="mapped",TRIM(INDEX(Mapping!$C$1:$C$504,J1327)),"")</f>
        <v/>
      </c>
      <c r="M1327" s="6">
        <f>IF(C1327="","",IF(SUMPRODUCT(($C$12:C1327=C1327)*1)=1,1,0))</f>
        <v/>
      </c>
      <c r="N1327" s="6">
        <f>IF(AND(K1327="UNMAPPED",M1327=1),ROW(),"")</f>
        <v/>
      </c>
      <c r="O1327" s="6">
        <f>IF(AND(I1327=1,M1327=1),ROW(),"")</f>
        <v/>
      </c>
      <c r="P1327" s="6">
        <f>IF(AND(K1327="ignored",M1327=1),ROW(),"")</f>
        <v/>
      </c>
    </row>
    <row r="1328">
      <c r="A1328" s="8" t="n"/>
      <c r="B1328" s="8" t="n"/>
      <c r="C1328" s="6">
        <f>TRIM(A1328&amp;"")</f>
        <v/>
      </c>
      <c r="D1328" s="6">
        <f>IF(C1328="","",SUBSTITUTE(SUBSTITUTE(SUBSTITUTE(SUBSTITUTE(SUBSTITUTE(SUBSTITUTE(SUBSTITUTE(UPPER(TRIM(B1328&amp;"")),"₹",""),"RS.",""),"RS",""),"INR",""),"$",""),",","")," ",""))</f>
        <v/>
      </c>
      <c r="E1328" s="6">
        <f>IF(C1328="","",IF(RIGHT(D1328,2)="CR","Cr",IF(RIGHT(D1328,2)="DR","Dr","")))</f>
        <v/>
      </c>
      <c r="F1328" s="6">
        <f>IF(C1328="","",IF(E1328&lt;&gt;"",LEFT(D1328,LEN(D1328)-2),D1328))</f>
        <v/>
      </c>
      <c r="G1328" s="13">
        <f>IF(C1328="","",IF(OR(IF(AND(LEFT(F1328,1)="(",RIGHT(F1328,1)=")"),MID(F1328,2,LEN(F1328)-2),F1328)="",IF(AND(LEFT(F1328,1)="(",RIGHT(F1328,1)=")"),MID(F1328,2,LEN(F1328)-2),F1328)="-"),0,IFERROR(VALUE(IF(AND(LEFT(F1328,1)="(",RIGHT(F1328,1)=")"),MID(F1328,2,LEN(F1328)-2),F1328))*IF(AND(LEFT(F1328,1)="(",RIGHT(F1328,1)=")"),-1,1)*IF(E1328="Cr",Setup!$B$6,1),"ERR")))</f>
        <v/>
      </c>
      <c r="H1328" s="6">
        <f>IF(C1328="","",IF(ISNUMBER(G1328),1,0))</f>
        <v/>
      </c>
      <c r="I1328" s="6">
        <f>IF(C1328="","",IF(SUMPRODUCT(($C$12:$C$1511=C1328)*1)&gt;1,1,0))</f>
        <v/>
      </c>
      <c r="J1328" s="6">
        <f>IF(C1328="","",SUMPRODUCT((Mapping!$F$5:$F$504=Setup!$B$4&amp;"||"&amp;C1328)*ROW(Mapping!$F$5:$F$504)))</f>
        <v/>
      </c>
      <c r="K1328" s="6">
        <f>IF(C1328="","",IF(J1328=0,"UNMAPPED",LOWER(INDEX(Mapping!$D$1:$D$504,J1328))))</f>
        <v/>
      </c>
      <c r="L1328" s="6">
        <f>IF(K1328="mapped",TRIM(INDEX(Mapping!$C$1:$C$504,J1328)),"")</f>
        <v/>
      </c>
      <c r="M1328" s="6">
        <f>IF(C1328="","",IF(SUMPRODUCT(($C$12:C1328=C1328)*1)=1,1,0))</f>
        <v/>
      </c>
      <c r="N1328" s="6">
        <f>IF(AND(K1328="UNMAPPED",M1328=1),ROW(),"")</f>
        <v/>
      </c>
      <c r="O1328" s="6">
        <f>IF(AND(I1328=1,M1328=1),ROW(),"")</f>
        <v/>
      </c>
      <c r="P1328" s="6">
        <f>IF(AND(K1328="ignored",M1328=1),ROW(),"")</f>
        <v/>
      </c>
    </row>
    <row r="1329">
      <c r="A1329" s="8" t="n"/>
      <c r="B1329" s="8" t="n"/>
      <c r="C1329" s="6">
        <f>TRIM(A1329&amp;"")</f>
        <v/>
      </c>
      <c r="D1329" s="6">
        <f>IF(C1329="","",SUBSTITUTE(SUBSTITUTE(SUBSTITUTE(SUBSTITUTE(SUBSTITUTE(SUBSTITUTE(SUBSTITUTE(UPPER(TRIM(B1329&amp;"")),"₹",""),"RS.",""),"RS",""),"INR",""),"$",""),",","")," ",""))</f>
        <v/>
      </c>
      <c r="E1329" s="6">
        <f>IF(C1329="","",IF(RIGHT(D1329,2)="CR","Cr",IF(RIGHT(D1329,2)="DR","Dr","")))</f>
        <v/>
      </c>
      <c r="F1329" s="6">
        <f>IF(C1329="","",IF(E1329&lt;&gt;"",LEFT(D1329,LEN(D1329)-2),D1329))</f>
        <v/>
      </c>
      <c r="G1329" s="13">
        <f>IF(C1329="","",IF(OR(IF(AND(LEFT(F1329,1)="(",RIGHT(F1329,1)=")"),MID(F1329,2,LEN(F1329)-2),F1329)="",IF(AND(LEFT(F1329,1)="(",RIGHT(F1329,1)=")"),MID(F1329,2,LEN(F1329)-2),F1329)="-"),0,IFERROR(VALUE(IF(AND(LEFT(F1329,1)="(",RIGHT(F1329,1)=")"),MID(F1329,2,LEN(F1329)-2),F1329))*IF(AND(LEFT(F1329,1)="(",RIGHT(F1329,1)=")"),-1,1)*IF(E1329="Cr",Setup!$B$6,1),"ERR")))</f>
        <v/>
      </c>
      <c r="H1329" s="6">
        <f>IF(C1329="","",IF(ISNUMBER(G1329),1,0))</f>
        <v/>
      </c>
      <c r="I1329" s="6">
        <f>IF(C1329="","",IF(SUMPRODUCT(($C$12:$C$1511=C1329)*1)&gt;1,1,0))</f>
        <v/>
      </c>
      <c r="J1329" s="6">
        <f>IF(C1329="","",SUMPRODUCT((Mapping!$F$5:$F$504=Setup!$B$4&amp;"||"&amp;C1329)*ROW(Mapping!$F$5:$F$504)))</f>
        <v/>
      </c>
      <c r="K1329" s="6">
        <f>IF(C1329="","",IF(J1329=0,"UNMAPPED",LOWER(INDEX(Mapping!$D$1:$D$504,J1329))))</f>
        <v/>
      </c>
      <c r="L1329" s="6">
        <f>IF(K1329="mapped",TRIM(INDEX(Mapping!$C$1:$C$504,J1329)),"")</f>
        <v/>
      </c>
      <c r="M1329" s="6">
        <f>IF(C1329="","",IF(SUMPRODUCT(($C$12:C1329=C1329)*1)=1,1,0))</f>
        <v/>
      </c>
      <c r="N1329" s="6">
        <f>IF(AND(K1329="UNMAPPED",M1329=1),ROW(),"")</f>
        <v/>
      </c>
      <c r="O1329" s="6">
        <f>IF(AND(I1329=1,M1329=1),ROW(),"")</f>
        <v/>
      </c>
      <c r="P1329" s="6">
        <f>IF(AND(K1329="ignored",M1329=1),ROW(),"")</f>
        <v/>
      </c>
    </row>
    <row r="1330">
      <c r="A1330" s="8" t="n"/>
      <c r="B1330" s="8" t="n"/>
      <c r="C1330" s="6">
        <f>TRIM(A1330&amp;"")</f>
        <v/>
      </c>
      <c r="D1330" s="6">
        <f>IF(C1330="","",SUBSTITUTE(SUBSTITUTE(SUBSTITUTE(SUBSTITUTE(SUBSTITUTE(SUBSTITUTE(SUBSTITUTE(UPPER(TRIM(B1330&amp;"")),"₹",""),"RS.",""),"RS",""),"INR",""),"$",""),",","")," ",""))</f>
        <v/>
      </c>
      <c r="E1330" s="6">
        <f>IF(C1330="","",IF(RIGHT(D1330,2)="CR","Cr",IF(RIGHT(D1330,2)="DR","Dr","")))</f>
        <v/>
      </c>
      <c r="F1330" s="6">
        <f>IF(C1330="","",IF(E1330&lt;&gt;"",LEFT(D1330,LEN(D1330)-2),D1330))</f>
        <v/>
      </c>
      <c r="G1330" s="13">
        <f>IF(C1330="","",IF(OR(IF(AND(LEFT(F1330,1)="(",RIGHT(F1330,1)=")"),MID(F1330,2,LEN(F1330)-2),F1330)="",IF(AND(LEFT(F1330,1)="(",RIGHT(F1330,1)=")"),MID(F1330,2,LEN(F1330)-2),F1330)="-"),0,IFERROR(VALUE(IF(AND(LEFT(F1330,1)="(",RIGHT(F1330,1)=")"),MID(F1330,2,LEN(F1330)-2),F1330))*IF(AND(LEFT(F1330,1)="(",RIGHT(F1330,1)=")"),-1,1)*IF(E1330="Cr",Setup!$B$6,1),"ERR")))</f>
        <v/>
      </c>
      <c r="H1330" s="6">
        <f>IF(C1330="","",IF(ISNUMBER(G1330),1,0))</f>
        <v/>
      </c>
      <c r="I1330" s="6">
        <f>IF(C1330="","",IF(SUMPRODUCT(($C$12:$C$1511=C1330)*1)&gt;1,1,0))</f>
        <v/>
      </c>
      <c r="J1330" s="6">
        <f>IF(C1330="","",SUMPRODUCT((Mapping!$F$5:$F$504=Setup!$B$4&amp;"||"&amp;C1330)*ROW(Mapping!$F$5:$F$504)))</f>
        <v/>
      </c>
      <c r="K1330" s="6">
        <f>IF(C1330="","",IF(J1330=0,"UNMAPPED",LOWER(INDEX(Mapping!$D$1:$D$504,J1330))))</f>
        <v/>
      </c>
      <c r="L1330" s="6">
        <f>IF(K1330="mapped",TRIM(INDEX(Mapping!$C$1:$C$504,J1330)),"")</f>
        <v/>
      </c>
      <c r="M1330" s="6">
        <f>IF(C1330="","",IF(SUMPRODUCT(($C$12:C1330=C1330)*1)=1,1,0))</f>
        <v/>
      </c>
      <c r="N1330" s="6">
        <f>IF(AND(K1330="UNMAPPED",M1330=1),ROW(),"")</f>
        <v/>
      </c>
      <c r="O1330" s="6">
        <f>IF(AND(I1330=1,M1330=1),ROW(),"")</f>
        <v/>
      </c>
      <c r="P1330" s="6">
        <f>IF(AND(K1330="ignored",M1330=1),ROW(),"")</f>
        <v/>
      </c>
    </row>
    <row r="1331">
      <c r="A1331" s="8" t="n"/>
      <c r="B1331" s="8" t="n"/>
      <c r="C1331" s="6">
        <f>TRIM(A1331&amp;"")</f>
        <v/>
      </c>
      <c r="D1331" s="6">
        <f>IF(C1331="","",SUBSTITUTE(SUBSTITUTE(SUBSTITUTE(SUBSTITUTE(SUBSTITUTE(SUBSTITUTE(SUBSTITUTE(UPPER(TRIM(B1331&amp;"")),"₹",""),"RS.",""),"RS",""),"INR",""),"$",""),",","")," ",""))</f>
        <v/>
      </c>
      <c r="E1331" s="6">
        <f>IF(C1331="","",IF(RIGHT(D1331,2)="CR","Cr",IF(RIGHT(D1331,2)="DR","Dr","")))</f>
        <v/>
      </c>
      <c r="F1331" s="6">
        <f>IF(C1331="","",IF(E1331&lt;&gt;"",LEFT(D1331,LEN(D1331)-2),D1331))</f>
        <v/>
      </c>
      <c r="G1331" s="13">
        <f>IF(C1331="","",IF(OR(IF(AND(LEFT(F1331,1)="(",RIGHT(F1331,1)=")"),MID(F1331,2,LEN(F1331)-2),F1331)="",IF(AND(LEFT(F1331,1)="(",RIGHT(F1331,1)=")"),MID(F1331,2,LEN(F1331)-2),F1331)="-"),0,IFERROR(VALUE(IF(AND(LEFT(F1331,1)="(",RIGHT(F1331,1)=")"),MID(F1331,2,LEN(F1331)-2),F1331))*IF(AND(LEFT(F1331,1)="(",RIGHT(F1331,1)=")"),-1,1)*IF(E1331="Cr",Setup!$B$6,1),"ERR")))</f>
        <v/>
      </c>
      <c r="H1331" s="6">
        <f>IF(C1331="","",IF(ISNUMBER(G1331),1,0))</f>
        <v/>
      </c>
      <c r="I1331" s="6">
        <f>IF(C1331="","",IF(SUMPRODUCT(($C$12:$C$1511=C1331)*1)&gt;1,1,0))</f>
        <v/>
      </c>
      <c r="J1331" s="6">
        <f>IF(C1331="","",SUMPRODUCT((Mapping!$F$5:$F$504=Setup!$B$4&amp;"||"&amp;C1331)*ROW(Mapping!$F$5:$F$504)))</f>
        <v/>
      </c>
      <c r="K1331" s="6">
        <f>IF(C1331="","",IF(J1331=0,"UNMAPPED",LOWER(INDEX(Mapping!$D$1:$D$504,J1331))))</f>
        <v/>
      </c>
      <c r="L1331" s="6">
        <f>IF(K1331="mapped",TRIM(INDEX(Mapping!$C$1:$C$504,J1331)),"")</f>
        <v/>
      </c>
      <c r="M1331" s="6">
        <f>IF(C1331="","",IF(SUMPRODUCT(($C$12:C1331=C1331)*1)=1,1,0))</f>
        <v/>
      </c>
      <c r="N1331" s="6">
        <f>IF(AND(K1331="UNMAPPED",M1331=1),ROW(),"")</f>
        <v/>
      </c>
      <c r="O1331" s="6">
        <f>IF(AND(I1331=1,M1331=1),ROW(),"")</f>
        <v/>
      </c>
      <c r="P1331" s="6">
        <f>IF(AND(K1331="ignored",M1331=1),ROW(),"")</f>
        <v/>
      </c>
    </row>
    <row r="1332">
      <c r="A1332" s="8" t="n"/>
      <c r="B1332" s="8" t="n"/>
      <c r="C1332" s="6">
        <f>TRIM(A1332&amp;"")</f>
        <v/>
      </c>
      <c r="D1332" s="6">
        <f>IF(C1332="","",SUBSTITUTE(SUBSTITUTE(SUBSTITUTE(SUBSTITUTE(SUBSTITUTE(SUBSTITUTE(SUBSTITUTE(UPPER(TRIM(B1332&amp;"")),"₹",""),"RS.",""),"RS",""),"INR",""),"$",""),",","")," ",""))</f>
        <v/>
      </c>
      <c r="E1332" s="6">
        <f>IF(C1332="","",IF(RIGHT(D1332,2)="CR","Cr",IF(RIGHT(D1332,2)="DR","Dr","")))</f>
        <v/>
      </c>
      <c r="F1332" s="6">
        <f>IF(C1332="","",IF(E1332&lt;&gt;"",LEFT(D1332,LEN(D1332)-2),D1332))</f>
        <v/>
      </c>
      <c r="G1332" s="13">
        <f>IF(C1332="","",IF(OR(IF(AND(LEFT(F1332,1)="(",RIGHT(F1332,1)=")"),MID(F1332,2,LEN(F1332)-2),F1332)="",IF(AND(LEFT(F1332,1)="(",RIGHT(F1332,1)=")"),MID(F1332,2,LEN(F1332)-2),F1332)="-"),0,IFERROR(VALUE(IF(AND(LEFT(F1332,1)="(",RIGHT(F1332,1)=")"),MID(F1332,2,LEN(F1332)-2),F1332))*IF(AND(LEFT(F1332,1)="(",RIGHT(F1332,1)=")"),-1,1)*IF(E1332="Cr",Setup!$B$6,1),"ERR")))</f>
        <v/>
      </c>
      <c r="H1332" s="6">
        <f>IF(C1332="","",IF(ISNUMBER(G1332),1,0))</f>
        <v/>
      </c>
      <c r="I1332" s="6">
        <f>IF(C1332="","",IF(SUMPRODUCT(($C$12:$C$1511=C1332)*1)&gt;1,1,0))</f>
        <v/>
      </c>
      <c r="J1332" s="6">
        <f>IF(C1332="","",SUMPRODUCT((Mapping!$F$5:$F$504=Setup!$B$4&amp;"||"&amp;C1332)*ROW(Mapping!$F$5:$F$504)))</f>
        <v/>
      </c>
      <c r="K1332" s="6">
        <f>IF(C1332="","",IF(J1332=0,"UNMAPPED",LOWER(INDEX(Mapping!$D$1:$D$504,J1332))))</f>
        <v/>
      </c>
      <c r="L1332" s="6">
        <f>IF(K1332="mapped",TRIM(INDEX(Mapping!$C$1:$C$504,J1332)),"")</f>
        <v/>
      </c>
      <c r="M1332" s="6">
        <f>IF(C1332="","",IF(SUMPRODUCT(($C$12:C1332=C1332)*1)=1,1,0))</f>
        <v/>
      </c>
      <c r="N1332" s="6">
        <f>IF(AND(K1332="UNMAPPED",M1332=1),ROW(),"")</f>
        <v/>
      </c>
      <c r="O1332" s="6">
        <f>IF(AND(I1332=1,M1332=1),ROW(),"")</f>
        <v/>
      </c>
      <c r="P1332" s="6">
        <f>IF(AND(K1332="ignored",M1332=1),ROW(),"")</f>
        <v/>
      </c>
    </row>
    <row r="1333">
      <c r="A1333" s="8" t="n"/>
      <c r="B1333" s="8" t="n"/>
      <c r="C1333" s="6">
        <f>TRIM(A1333&amp;"")</f>
        <v/>
      </c>
      <c r="D1333" s="6">
        <f>IF(C1333="","",SUBSTITUTE(SUBSTITUTE(SUBSTITUTE(SUBSTITUTE(SUBSTITUTE(SUBSTITUTE(SUBSTITUTE(UPPER(TRIM(B1333&amp;"")),"₹",""),"RS.",""),"RS",""),"INR",""),"$",""),",","")," ",""))</f>
        <v/>
      </c>
      <c r="E1333" s="6">
        <f>IF(C1333="","",IF(RIGHT(D1333,2)="CR","Cr",IF(RIGHT(D1333,2)="DR","Dr","")))</f>
        <v/>
      </c>
      <c r="F1333" s="6">
        <f>IF(C1333="","",IF(E1333&lt;&gt;"",LEFT(D1333,LEN(D1333)-2),D1333))</f>
        <v/>
      </c>
      <c r="G1333" s="13">
        <f>IF(C1333="","",IF(OR(IF(AND(LEFT(F1333,1)="(",RIGHT(F1333,1)=")"),MID(F1333,2,LEN(F1333)-2),F1333)="",IF(AND(LEFT(F1333,1)="(",RIGHT(F1333,1)=")"),MID(F1333,2,LEN(F1333)-2),F1333)="-"),0,IFERROR(VALUE(IF(AND(LEFT(F1333,1)="(",RIGHT(F1333,1)=")"),MID(F1333,2,LEN(F1333)-2),F1333))*IF(AND(LEFT(F1333,1)="(",RIGHT(F1333,1)=")"),-1,1)*IF(E1333="Cr",Setup!$B$6,1),"ERR")))</f>
        <v/>
      </c>
      <c r="H1333" s="6">
        <f>IF(C1333="","",IF(ISNUMBER(G1333),1,0))</f>
        <v/>
      </c>
      <c r="I1333" s="6">
        <f>IF(C1333="","",IF(SUMPRODUCT(($C$12:$C$1511=C1333)*1)&gt;1,1,0))</f>
        <v/>
      </c>
      <c r="J1333" s="6">
        <f>IF(C1333="","",SUMPRODUCT((Mapping!$F$5:$F$504=Setup!$B$4&amp;"||"&amp;C1333)*ROW(Mapping!$F$5:$F$504)))</f>
        <v/>
      </c>
      <c r="K1333" s="6">
        <f>IF(C1333="","",IF(J1333=0,"UNMAPPED",LOWER(INDEX(Mapping!$D$1:$D$504,J1333))))</f>
        <v/>
      </c>
      <c r="L1333" s="6">
        <f>IF(K1333="mapped",TRIM(INDEX(Mapping!$C$1:$C$504,J1333)),"")</f>
        <v/>
      </c>
      <c r="M1333" s="6">
        <f>IF(C1333="","",IF(SUMPRODUCT(($C$12:C1333=C1333)*1)=1,1,0))</f>
        <v/>
      </c>
      <c r="N1333" s="6">
        <f>IF(AND(K1333="UNMAPPED",M1333=1),ROW(),"")</f>
        <v/>
      </c>
      <c r="O1333" s="6">
        <f>IF(AND(I1333=1,M1333=1),ROW(),"")</f>
        <v/>
      </c>
      <c r="P1333" s="6">
        <f>IF(AND(K1333="ignored",M1333=1),ROW(),"")</f>
        <v/>
      </c>
    </row>
    <row r="1334">
      <c r="A1334" s="8" t="n"/>
      <c r="B1334" s="8" t="n"/>
      <c r="C1334" s="6">
        <f>TRIM(A1334&amp;"")</f>
        <v/>
      </c>
      <c r="D1334" s="6">
        <f>IF(C1334="","",SUBSTITUTE(SUBSTITUTE(SUBSTITUTE(SUBSTITUTE(SUBSTITUTE(SUBSTITUTE(SUBSTITUTE(UPPER(TRIM(B1334&amp;"")),"₹",""),"RS.",""),"RS",""),"INR",""),"$",""),",","")," ",""))</f>
        <v/>
      </c>
      <c r="E1334" s="6">
        <f>IF(C1334="","",IF(RIGHT(D1334,2)="CR","Cr",IF(RIGHT(D1334,2)="DR","Dr","")))</f>
        <v/>
      </c>
      <c r="F1334" s="6">
        <f>IF(C1334="","",IF(E1334&lt;&gt;"",LEFT(D1334,LEN(D1334)-2),D1334))</f>
        <v/>
      </c>
      <c r="G1334" s="13">
        <f>IF(C1334="","",IF(OR(IF(AND(LEFT(F1334,1)="(",RIGHT(F1334,1)=")"),MID(F1334,2,LEN(F1334)-2),F1334)="",IF(AND(LEFT(F1334,1)="(",RIGHT(F1334,1)=")"),MID(F1334,2,LEN(F1334)-2),F1334)="-"),0,IFERROR(VALUE(IF(AND(LEFT(F1334,1)="(",RIGHT(F1334,1)=")"),MID(F1334,2,LEN(F1334)-2),F1334))*IF(AND(LEFT(F1334,1)="(",RIGHT(F1334,1)=")"),-1,1)*IF(E1334="Cr",Setup!$B$6,1),"ERR")))</f>
        <v/>
      </c>
      <c r="H1334" s="6">
        <f>IF(C1334="","",IF(ISNUMBER(G1334),1,0))</f>
        <v/>
      </c>
      <c r="I1334" s="6">
        <f>IF(C1334="","",IF(SUMPRODUCT(($C$12:$C$1511=C1334)*1)&gt;1,1,0))</f>
        <v/>
      </c>
      <c r="J1334" s="6">
        <f>IF(C1334="","",SUMPRODUCT((Mapping!$F$5:$F$504=Setup!$B$4&amp;"||"&amp;C1334)*ROW(Mapping!$F$5:$F$504)))</f>
        <v/>
      </c>
      <c r="K1334" s="6">
        <f>IF(C1334="","",IF(J1334=0,"UNMAPPED",LOWER(INDEX(Mapping!$D$1:$D$504,J1334))))</f>
        <v/>
      </c>
      <c r="L1334" s="6">
        <f>IF(K1334="mapped",TRIM(INDEX(Mapping!$C$1:$C$504,J1334)),"")</f>
        <v/>
      </c>
      <c r="M1334" s="6">
        <f>IF(C1334="","",IF(SUMPRODUCT(($C$12:C1334=C1334)*1)=1,1,0))</f>
        <v/>
      </c>
      <c r="N1334" s="6">
        <f>IF(AND(K1334="UNMAPPED",M1334=1),ROW(),"")</f>
        <v/>
      </c>
      <c r="O1334" s="6">
        <f>IF(AND(I1334=1,M1334=1),ROW(),"")</f>
        <v/>
      </c>
      <c r="P1334" s="6">
        <f>IF(AND(K1334="ignored",M1334=1),ROW(),"")</f>
        <v/>
      </c>
    </row>
    <row r="1335">
      <c r="A1335" s="8" t="n"/>
      <c r="B1335" s="8" t="n"/>
      <c r="C1335" s="6">
        <f>TRIM(A1335&amp;"")</f>
        <v/>
      </c>
      <c r="D1335" s="6">
        <f>IF(C1335="","",SUBSTITUTE(SUBSTITUTE(SUBSTITUTE(SUBSTITUTE(SUBSTITUTE(SUBSTITUTE(SUBSTITUTE(UPPER(TRIM(B1335&amp;"")),"₹",""),"RS.",""),"RS",""),"INR",""),"$",""),",","")," ",""))</f>
        <v/>
      </c>
      <c r="E1335" s="6">
        <f>IF(C1335="","",IF(RIGHT(D1335,2)="CR","Cr",IF(RIGHT(D1335,2)="DR","Dr","")))</f>
        <v/>
      </c>
      <c r="F1335" s="6">
        <f>IF(C1335="","",IF(E1335&lt;&gt;"",LEFT(D1335,LEN(D1335)-2),D1335))</f>
        <v/>
      </c>
      <c r="G1335" s="13">
        <f>IF(C1335="","",IF(OR(IF(AND(LEFT(F1335,1)="(",RIGHT(F1335,1)=")"),MID(F1335,2,LEN(F1335)-2),F1335)="",IF(AND(LEFT(F1335,1)="(",RIGHT(F1335,1)=")"),MID(F1335,2,LEN(F1335)-2),F1335)="-"),0,IFERROR(VALUE(IF(AND(LEFT(F1335,1)="(",RIGHT(F1335,1)=")"),MID(F1335,2,LEN(F1335)-2),F1335))*IF(AND(LEFT(F1335,1)="(",RIGHT(F1335,1)=")"),-1,1)*IF(E1335="Cr",Setup!$B$6,1),"ERR")))</f>
        <v/>
      </c>
      <c r="H1335" s="6">
        <f>IF(C1335="","",IF(ISNUMBER(G1335),1,0))</f>
        <v/>
      </c>
      <c r="I1335" s="6">
        <f>IF(C1335="","",IF(SUMPRODUCT(($C$12:$C$1511=C1335)*1)&gt;1,1,0))</f>
        <v/>
      </c>
      <c r="J1335" s="6">
        <f>IF(C1335="","",SUMPRODUCT((Mapping!$F$5:$F$504=Setup!$B$4&amp;"||"&amp;C1335)*ROW(Mapping!$F$5:$F$504)))</f>
        <v/>
      </c>
      <c r="K1335" s="6">
        <f>IF(C1335="","",IF(J1335=0,"UNMAPPED",LOWER(INDEX(Mapping!$D$1:$D$504,J1335))))</f>
        <v/>
      </c>
      <c r="L1335" s="6">
        <f>IF(K1335="mapped",TRIM(INDEX(Mapping!$C$1:$C$504,J1335)),"")</f>
        <v/>
      </c>
      <c r="M1335" s="6">
        <f>IF(C1335="","",IF(SUMPRODUCT(($C$12:C1335=C1335)*1)=1,1,0))</f>
        <v/>
      </c>
      <c r="N1335" s="6">
        <f>IF(AND(K1335="UNMAPPED",M1335=1),ROW(),"")</f>
        <v/>
      </c>
      <c r="O1335" s="6">
        <f>IF(AND(I1335=1,M1335=1),ROW(),"")</f>
        <v/>
      </c>
      <c r="P1335" s="6">
        <f>IF(AND(K1335="ignored",M1335=1),ROW(),"")</f>
        <v/>
      </c>
    </row>
    <row r="1336">
      <c r="A1336" s="8" t="n"/>
      <c r="B1336" s="8" t="n"/>
      <c r="C1336" s="6">
        <f>TRIM(A1336&amp;"")</f>
        <v/>
      </c>
      <c r="D1336" s="6">
        <f>IF(C1336="","",SUBSTITUTE(SUBSTITUTE(SUBSTITUTE(SUBSTITUTE(SUBSTITUTE(SUBSTITUTE(SUBSTITUTE(UPPER(TRIM(B1336&amp;"")),"₹",""),"RS.",""),"RS",""),"INR",""),"$",""),",","")," ",""))</f>
        <v/>
      </c>
      <c r="E1336" s="6">
        <f>IF(C1336="","",IF(RIGHT(D1336,2)="CR","Cr",IF(RIGHT(D1336,2)="DR","Dr","")))</f>
        <v/>
      </c>
      <c r="F1336" s="6">
        <f>IF(C1336="","",IF(E1336&lt;&gt;"",LEFT(D1336,LEN(D1336)-2),D1336))</f>
        <v/>
      </c>
      <c r="G1336" s="13">
        <f>IF(C1336="","",IF(OR(IF(AND(LEFT(F1336,1)="(",RIGHT(F1336,1)=")"),MID(F1336,2,LEN(F1336)-2),F1336)="",IF(AND(LEFT(F1336,1)="(",RIGHT(F1336,1)=")"),MID(F1336,2,LEN(F1336)-2),F1336)="-"),0,IFERROR(VALUE(IF(AND(LEFT(F1336,1)="(",RIGHT(F1336,1)=")"),MID(F1336,2,LEN(F1336)-2),F1336))*IF(AND(LEFT(F1336,1)="(",RIGHT(F1336,1)=")"),-1,1)*IF(E1336="Cr",Setup!$B$6,1),"ERR")))</f>
        <v/>
      </c>
      <c r="H1336" s="6">
        <f>IF(C1336="","",IF(ISNUMBER(G1336),1,0))</f>
        <v/>
      </c>
      <c r="I1336" s="6">
        <f>IF(C1336="","",IF(SUMPRODUCT(($C$12:$C$1511=C1336)*1)&gt;1,1,0))</f>
        <v/>
      </c>
      <c r="J1336" s="6">
        <f>IF(C1336="","",SUMPRODUCT((Mapping!$F$5:$F$504=Setup!$B$4&amp;"||"&amp;C1336)*ROW(Mapping!$F$5:$F$504)))</f>
        <v/>
      </c>
      <c r="K1336" s="6">
        <f>IF(C1336="","",IF(J1336=0,"UNMAPPED",LOWER(INDEX(Mapping!$D$1:$D$504,J1336))))</f>
        <v/>
      </c>
      <c r="L1336" s="6">
        <f>IF(K1336="mapped",TRIM(INDEX(Mapping!$C$1:$C$504,J1336)),"")</f>
        <v/>
      </c>
      <c r="M1336" s="6">
        <f>IF(C1336="","",IF(SUMPRODUCT(($C$12:C1336=C1336)*1)=1,1,0))</f>
        <v/>
      </c>
      <c r="N1336" s="6">
        <f>IF(AND(K1336="UNMAPPED",M1336=1),ROW(),"")</f>
        <v/>
      </c>
      <c r="O1336" s="6">
        <f>IF(AND(I1336=1,M1336=1),ROW(),"")</f>
        <v/>
      </c>
      <c r="P1336" s="6">
        <f>IF(AND(K1336="ignored",M1336=1),ROW(),"")</f>
        <v/>
      </c>
    </row>
    <row r="1337">
      <c r="A1337" s="8" t="n"/>
      <c r="B1337" s="8" t="n"/>
      <c r="C1337" s="6">
        <f>TRIM(A1337&amp;"")</f>
        <v/>
      </c>
      <c r="D1337" s="6">
        <f>IF(C1337="","",SUBSTITUTE(SUBSTITUTE(SUBSTITUTE(SUBSTITUTE(SUBSTITUTE(SUBSTITUTE(SUBSTITUTE(UPPER(TRIM(B1337&amp;"")),"₹",""),"RS.",""),"RS",""),"INR",""),"$",""),",","")," ",""))</f>
        <v/>
      </c>
      <c r="E1337" s="6">
        <f>IF(C1337="","",IF(RIGHT(D1337,2)="CR","Cr",IF(RIGHT(D1337,2)="DR","Dr","")))</f>
        <v/>
      </c>
      <c r="F1337" s="6">
        <f>IF(C1337="","",IF(E1337&lt;&gt;"",LEFT(D1337,LEN(D1337)-2),D1337))</f>
        <v/>
      </c>
      <c r="G1337" s="13">
        <f>IF(C1337="","",IF(OR(IF(AND(LEFT(F1337,1)="(",RIGHT(F1337,1)=")"),MID(F1337,2,LEN(F1337)-2),F1337)="",IF(AND(LEFT(F1337,1)="(",RIGHT(F1337,1)=")"),MID(F1337,2,LEN(F1337)-2),F1337)="-"),0,IFERROR(VALUE(IF(AND(LEFT(F1337,1)="(",RIGHT(F1337,1)=")"),MID(F1337,2,LEN(F1337)-2),F1337))*IF(AND(LEFT(F1337,1)="(",RIGHT(F1337,1)=")"),-1,1)*IF(E1337="Cr",Setup!$B$6,1),"ERR")))</f>
        <v/>
      </c>
      <c r="H1337" s="6">
        <f>IF(C1337="","",IF(ISNUMBER(G1337),1,0))</f>
        <v/>
      </c>
      <c r="I1337" s="6">
        <f>IF(C1337="","",IF(SUMPRODUCT(($C$12:$C$1511=C1337)*1)&gt;1,1,0))</f>
        <v/>
      </c>
      <c r="J1337" s="6">
        <f>IF(C1337="","",SUMPRODUCT((Mapping!$F$5:$F$504=Setup!$B$4&amp;"||"&amp;C1337)*ROW(Mapping!$F$5:$F$504)))</f>
        <v/>
      </c>
      <c r="K1337" s="6">
        <f>IF(C1337="","",IF(J1337=0,"UNMAPPED",LOWER(INDEX(Mapping!$D$1:$D$504,J1337))))</f>
        <v/>
      </c>
      <c r="L1337" s="6">
        <f>IF(K1337="mapped",TRIM(INDEX(Mapping!$C$1:$C$504,J1337)),"")</f>
        <v/>
      </c>
      <c r="M1337" s="6">
        <f>IF(C1337="","",IF(SUMPRODUCT(($C$12:C1337=C1337)*1)=1,1,0))</f>
        <v/>
      </c>
      <c r="N1337" s="6">
        <f>IF(AND(K1337="UNMAPPED",M1337=1),ROW(),"")</f>
        <v/>
      </c>
      <c r="O1337" s="6">
        <f>IF(AND(I1337=1,M1337=1),ROW(),"")</f>
        <v/>
      </c>
      <c r="P1337" s="6">
        <f>IF(AND(K1337="ignored",M1337=1),ROW(),"")</f>
        <v/>
      </c>
    </row>
    <row r="1338">
      <c r="A1338" s="8" t="n"/>
      <c r="B1338" s="8" t="n"/>
      <c r="C1338" s="6">
        <f>TRIM(A1338&amp;"")</f>
        <v/>
      </c>
      <c r="D1338" s="6">
        <f>IF(C1338="","",SUBSTITUTE(SUBSTITUTE(SUBSTITUTE(SUBSTITUTE(SUBSTITUTE(SUBSTITUTE(SUBSTITUTE(UPPER(TRIM(B1338&amp;"")),"₹",""),"RS.",""),"RS",""),"INR",""),"$",""),",","")," ",""))</f>
        <v/>
      </c>
      <c r="E1338" s="6">
        <f>IF(C1338="","",IF(RIGHT(D1338,2)="CR","Cr",IF(RIGHT(D1338,2)="DR","Dr","")))</f>
        <v/>
      </c>
      <c r="F1338" s="6">
        <f>IF(C1338="","",IF(E1338&lt;&gt;"",LEFT(D1338,LEN(D1338)-2),D1338))</f>
        <v/>
      </c>
      <c r="G1338" s="13">
        <f>IF(C1338="","",IF(OR(IF(AND(LEFT(F1338,1)="(",RIGHT(F1338,1)=")"),MID(F1338,2,LEN(F1338)-2),F1338)="",IF(AND(LEFT(F1338,1)="(",RIGHT(F1338,1)=")"),MID(F1338,2,LEN(F1338)-2),F1338)="-"),0,IFERROR(VALUE(IF(AND(LEFT(F1338,1)="(",RIGHT(F1338,1)=")"),MID(F1338,2,LEN(F1338)-2),F1338))*IF(AND(LEFT(F1338,1)="(",RIGHT(F1338,1)=")"),-1,1)*IF(E1338="Cr",Setup!$B$6,1),"ERR")))</f>
        <v/>
      </c>
      <c r="H1338" s="6">
        <f>IF(C1338="","",IF(ISNUMBER(G1338),1,0))</f>
        <v/>
      </c>
      <c r="I1338" s="6">
        <f>IF(C1338="","",IF(SUMPRODUCT(($C$12:$C$1511=C1338)*1)&gt;1,1,0))</f>
        <v/>
      </c>
      <c r="J1338" s="6">
        <f>IF(C1338="","",SUMPRODUCT((Mapping!$F$5:$F$504=Setup!$B$4&amp;"||"&amp;C1338)*ROW(Mapping!$F$5:$F$504)))</f>
        <v/>
      </c>
      <c r="K1338" s="6">
        <f>IF(C1338="","",IF(J1338=0,"UNMAPPED",LOWER(INDEX(Mapping!$D$1:$D$504,J1338))))</f>
        <v/>
      </c>
      <c r="L1338" s="6">
        <f>IF(K1338="mapped",TRIM(INDEX(Mapping!$C$1:$C$504,J1338)),"")</f>
        <v/>
      </c>
      <c r="M1338" s="6">
        <f>IF(C1338="","",IF(SUMPRODUCT(($C$12:C1338=C1338)*1)=1,1,0))</f>
        <v/>
      </c>
      <c r="N1338" s="6">
        <f>IF(AND(K1338="UNMAPPED",M1338=1),ROW(),"")</f>
        <v/>
      </c>
      <c r="O1338" s="6">
        <f>IF(AND(I1338=1,M1338=1),ROW(),"")</f>
        <v/>
      </c>
      <c r="P1338" s="6">
        <f>IF(AND(K1338="ignored",M1338=1),ROW(),"")</f>
        <v/>
      </c>
    </row>
    <row r="1339">
      <c r="A1339" s="8" t="n"/>
      <c r="B1339" s="8" t="n"/>
      <c r="C1339" s="6">
        <f>TRIM(A1339&amp;"")</f>
        <v/>
      </c>
      <c r="D1339" s="6">
        <f>IF(C1339="","",SUBSTITUTE(SUBSTITUTE(SUBSTITUTE(SUBSTITUTE(SUBSTITUTE(SUBSTITUTE(SUBSTITUTE(UPPER(TRIM(B1339&amp;"")),"₹",""),"RS.",""),"RS",""),"INR",""),"$",""),",","")," ",""))</f>
        <v/>
      </c>
      <c r="E1339" s="6">
        <f>IF(C1339="","",IF(RIGHT(D1339,2)="CR","Cr",IF(RIGHT(D1339,2)="DR","Dr","")))</f>
        <v/>
      </c>
      <c r="F1339" s="6">
        <f>IF(C1339="","",IF(E1339&lt;&gt;"",LEFT(D1339,LEN(D1339)-2),D1339))</f>
        <v/>
      </c>
      <c r="G1339" s="13">
        <f>IF(C1339="","",IF(OR(IF(AND(LEFT(F1339,1)="(",RIGHT(F1339,1)=")"),MID(F1339,2,LEN(F1339)-2),F1339)="",IF(AND(LEFT(F1339,1)="(",RIGHT(F1339,1)=")"),MID(F1339,2,LEN(F1339)-2),F1339)="-"),0,IFERROR(VALUE(IF(AND(LEFT(F1339,1)="(",RIGHT(F1339,1)=")"),MID(F1339,2,LEN(F1339)-2),F1339))*IF(AND(LEFT(F1339,1)="(",RIGHT(F1339,1)=")"),-1,1)*IF(E1339="Cr",Setup!$B$6,1),"ERR")))</f>
        <v/>
      </c>
      <c r="H1339" s="6">
        <f>IF(C1339="","",IF(ISNUMBER(G1339),1,0))</f>
        <v/>
      </c>
      <c r="I1339" s="6">
        <f>IF(C1339="","",IF(SUMPRODUCT(($C$12:$C$1511=C1339)*1)&gt;1,1,0))</f>
        <v/>
      </c>
      <c r="J1339" s="6">
        <f>IF(C1339="","",SUMPRODUCT((Mapping!$F$5:$F$504=Setup!$B$4&amp;"||"&amp;C1339)*ROW(Mapping!$F$5:$F$504)))</f>
        <v/>
      </c>
      <c r="K1339" s="6">
        <f>IF(C1339="","",IF(J1339=0,"UNMAPPED",LOWER(INDEX(Mapping!$D$1:$D$504,J1339))))</f>
        <v/>
      </c>
      <c r="L1339" s="6">
        <f>IF(K1339="mapped",TRIM(INDEX(Mapping!$C$1:$C$504,J1339)),"")</f>
        <v/>
      </c>
      <c r="M1339" s="6">
        <f>IF(C1339="","",IF(SUMPRODUCT(($C$12:C1339=C1339)*1)=1,1,0))</f>
        <v/>
      </c>
      <c r="N1339" s="6">
        <f>IF(AND(K1339="UNMAPPED",M1339=1),ROW(),"")</f>
        <v/>
      </c>
      <c r="O1339" s="6">
        <f>IF(AND(I1339=1,M1339=1),ROW(),"")</f>
        <v/>
      </c>
      <c r="P1339" s="6">
        <f>IF(AND(K1339="ignored",M1339=1),ROW(),"")</f>
        <v/>
      </c>
    </row>
    <row r="1340">
      <c r="A1340" s="8" t="n"/>
      <c r="B1340" s="8" t="n"/>
      <c r="C1340" s="6">
        <f>TRIM(A1340&amp;"")</f>
        <v/>
      </c>
      <c r="D1340" s="6">
        <f>IF(C1340="","",SUBSTITUTE(SUBSTITUTE(SUBSTITUTE(SUBSTITUTE(SUBSTITUTE(SUBSTITUTE(SUBSTITUTE(UPPER(TRIM(B1340&amp;"")),"₹",""),"RS.",""),"RS",""),"INR",""),"$",""),",","")," ",""))</f>
        <v/>
      </c>
      <c r="E1340" s="6">
        <f>IF(C1340="","",IF(RIGHT(D1340,2)="CR","Cr",IF(RIGHT(D1340,2)="DR","Dr","")))</f>
        <v/>
      </c>
      <c r="F1340" s="6">
        <f>IF(C1340="","",IF(E1340&lt;&gt;"",LEFT(D1340,LEN(D1340)-2),D1340))</f>
        <v/>
      </c>
      <c r="G1340" s="13">
        <f>IF(C1340="","",IF(OR(IF(AND(LEFT(F1340,1)="(",RIGHT(F1340,1)=")"),MID(F1340,2,LEN(F1340)-2),F1340)="",IF(AND(LEFT(F1340,1)="(",RIGHT(F1340,1)=")"),MID(F1340,2,LEN(F1340)-2),F1340)="-"),0,IFERROR(VALUE(IF(AND(LEFT(F1340,1)="(",RIGHT(F1340,1)=")"),MID(F1340,2,LEN(F1340)-2),F1340))*IF(AND(LEFT(F1340,1)="(",RIGHT(F1340,1)=")"),-1,1)*IF(E1340="Cr",Setup!$B$6,1),"ERR")))</f>
        <v/>
      </c>
      <c r="H1340" s="6">
        <f>IF(C1340="","",IF(ISNUMBER(G1340),1,0))</f>
        <v/>
      </c>
      <c r="I1340" s="6">
        <f>IF(C1340="","",IF(SUMPRODUCT(($C$12:$C$1511=C1340)*1)&gt;1,1,0))</f>
        <v/>
      </c>
      <c r="J1340" s="6">
        <f>IF(C1340="","",SUMPRODUCT((Mapping!$F$5:$F$504=Setup!$B$4&amp;"||"&amp;C1340)*ROW(Mapping!$F$5:$F$504)))</f>
        <v/>
      </c>
      <c r="K1340" s="6">
        <f>IF(C1340="","",IF(J1340=0,"UNMAPPED",LOWER(INDEX(Mapping!$D$1:$D$504,J1340))))</f>
        <v/>
      </c>
      <c r="L1340" s="6">
        <f>IF(K1340="mapped",TRIM(INDEX(Mapping!$C$1:$C$504,J1340)),"")</f>
        <v/>
      </c>
      <c r="M1340" s="6">
        <f>IF(C1340="","",IF(SUMPRODUCT(($C$12:C1340=C1340)*1)=1,1,0))</f>
        <v/>
      </c>
      <c r="N1340" s="6">
        <f>IF(AND(K1340="UNMAPPED",M1340=1),ROW(),"")</f>
        <v/>
      </c>
      <c r="O1340" s="6">
        <f>IF(AND(I1340=1,M1340=1),ROW(),"")</f>
        <v/>
      </c>
      <c r="P1340" s="6">
        <f>IF(AND(K1340="ignored",M1340=1),ROW(),"")</f>
        <v/>
      </c>
    </row>
    <row r="1341">
      <c r="A1341" s="8" t="n"/>
      <c r="B1341" s="8" t="n"/>
      <c r="C1341" s="6">
        <f>TRIM(A1341&amp;"")</f>
        <v/>
      </c>
      <c r="D1341" s="6">
        <f>IF(C1341="","",SUBSTITUTE(SUBSTITUTE(SUBSTITUTE(SUBSTITUTE(SUBSTITUTE(SUBSTITUTE(SUBSTITUTE(UPPER(TRIM(B1341&amp;"")),"₹",""),"RS.",""),"RS",""),"INR",""),"$",""),",","")," ",""))</f>
        <v/>
      </c>
      <c r="E1341" s="6">
        <f>IF(C1341="","",IF(RIGHT(D1341,2)="CR","Cr",IF(RIGHT(D1341,2)="DR","Dr","")))</f>
        <v/>
      </c>
      <c r="F1341" s="6">
        <f>IF(C1341="","",IF(E1341&lt;&gt;"",LEFT(D1341,LEN(D1341)-2),D1341))</f>
        <v/>
      </c>
      <c r="G1341" s="13">
        <f>IF(C1341="","",IF(OR(IF(AND(LEFT(F1341,1)="(",RIGHT(F1341,1)=")"),MID(F1341,2,LEN(F1341)-2),F1341)="",IF(AND(LEFT(F1341,1)="(",RIGHT(F1341,1)=")"),MID(F1341,2,LEN(F1341)-2),F1341)="-"),0,IFERROR(VALUE(IF(AND(LEFT(F1341,1)="(",RIGHT(F1341,1)=")"),MID(F1341,2,LEN(F1341)-2),F1341))*IF(AND(LEFT(F1341,1)="(",RIGHT(F1341,1)=")"),-1,1)*IF(E1341="Cr",Setup!$B$6,1),"ERR")))</f>
        <v/>
      </c>
      <c r="H1341" s="6">
        <f>IF(C1341="","",IF(ISNUMBER(G1341),1,0))</f>
        <v/>
      </c>
      <c r="I1341" s="6">
        <f>IF(C1341="","",IF(SUMPRODUCT(($C$12:$C$1511=C1341)*1)&gt;1,1,0))</f>
        <v/>
      </c>
      <c r="J1341" s="6">
        <f>IF(C1341="","",SUMPRODUCT((Mapping!$F$5:$F$504=Setup!$B$4&amp;"||"&amp;C1341)*ROW(Mapping!$F$5:$F$504)))</f>
        <v/>
      </c>
      <c r="K1341" s="6">
        <f>IF(C1341="","",IF(J1341=0,"UNMAPPED",LOWER(INDEX(Mapping!$D$1:$D$504,J1341))))</f>
        <v/>
      </c>
      <c r="L1341" s="6">
        <f>IF(K1341="mapped",TRIM(INDEX(Mapping!$C$1:$C$504,J1341)),"")</f>
        <v/>
      </c>
      <c r="M1341" s="6">
        <f>IF(C1341="","",IF(SUMPRODUCT(($C$12:C1341=C1341)*1)=1,1,0))</f>
        <v/>
      </c>
      <c r="N1341" s="6">
        <f>IF(AND(K1341="UNMAPPED",M1341=1),ROW(),"")</f>
        <v/>
      </c>
      <c r="O1341" s="6">
        <f>IF(AND(I1341=1,M1341=1),ROW(),"")</f>
        <v/>
      </c>
      <c r="P1341" s="6">
        <f>IF(AND(K1341="ignored",M1341=1),ROW(),"")</f>
        <v/>
      </c>
    </row>
    <row r="1342">
      <c r="A1342" s="8" t="n"/>
      <c r="B1342" s="8" t="n"/>
      <c r="C1342" s="6">
        <f>TRIM(A1342&amp;"")</f>
        <v/>
      </c>
      <c r="D1342" s="6">
        <f>IF(C1342="","",SUBSTITUTE(SUBSTITUTE(SUBSTITUTE(SUBSTITUTE(SUBSTITUTE(SUBSTITUTE(SUBSTITUTE(UPPER(TRIM(B1342&amp;"")),"₹",""),"RS.",""),"RS",""),"INR",""),"$",""),",","")," ",""))</f>
        <v/>
      </c>
      <c r="E1342" s="6">
        <f>IF(C1342="","",IF(RIGHT(D1342,2)="CR","Cr",IF(RIGHT(D1342,2)="DR","Dr","")))</f>
        <v/>
      </c>
      <c r="F1342" s="6">
        <f>IF(C1342="","",IF(E1342&lt;&gt;"",LEFT(D1342,LEN(D1342)-2),D1342))</f>
        <v/>
      </c>
      <c r="G1342" s="13">
        <f>IF(C1342="","",IF(OR(IF(AND(LEFT(F1342,1)="(",RIGHT(F1342,1)=")"),MID(F1342,2,LEN(F1342)-2),F1342)="",IF(AND(LEFT(F1342,1)="(",RIGHT(F1342,1)=")"),MID(F1342,2,LEN(F1342)-2),F1342)="-"),0,IFERROR(VALUE(IF(AND(LEFT(F1342,1)="(",RIGHT(F1342,1)=")"),MID(F1342,2,LEN(F1342)-2),F1342))*IF(AND(LEFT(F1342,1)="(",RIGHT(F1342,1)=")"),-1,1)*IF(E1342="Cr",Setup!$B$6,1),"ERR")))</f>
        <v/>
      </c>
      <c r="H1342" s="6">
        <f>IF(C1342="","",IF(ISNUMBER(G1342),1,0))</f>
        <v/>
      </c>
      <c r="I1342" s="6">
        <f>IF(C1342="","",IF(SUMPRODUCT(($C$12:$C$1511=C1342)*1)&gt;1,1,0))</f>
        <v/>
      </c>
      <c r="J1342" s="6">
        <f>IF(C1342="","",SUMPRODUCT((Mapping!$F$5:$F$504=Setup!$B$4&amp;"||"&amp;C1342)*ROW(Mapping!$F$5:$F$504)))</f>
        <v/>
      </c>
      <c r="K1342" s="6">
        <f>IF(C1342="","",IF(J1342=0,"UNMAPPED",LOWER(INDEX(Mapping!$D$1:$D$504,J1342))))</f>
        <v/>
      </c>
      <c r="L1342" s="6">
        <f>IF(K1342="mapped",TRIM(INDEX(Mapping!$C$1:$C$504,J1342)),"")</f>
        <v/>
      </c>
      <c r="M1342" s="6">
        <f>IF(C1342="","",IF(SUMPRODUCT(($C$12:C1342=C1342)*1)=1,1,0))</f>
        <v/>
      </c>
      <c r="N1342" s="6">
        <f>IF(AND(K1342="UNMAPPED",M1342=1),ROW(),"")</f>
        <v/>
      </c>
      <c r="O1342" s="6">
        <f>IF(AND(I1342=1,M1342=1),ROW(),"")</f>
        <v/>
      </c>
      <c r="P1342" s="6">
        <f>IF(AND(K1342="ignored",M1342=1),ROW(),"")</f>
        <v/>
      </c>
    </row>
    <row r="1343">
      <c r="A1343" s="8" t="n"/>
      <c r="B1343" s="8" t="n"/>
      <c r="C1343" s="6">
        <f>TRIM(A1343&amp;"")</f>
        <v/>
      </c>
      <c r="D1343" s="6">
        <f>IF(C1343="","",SUBSTITUTE(SUBSTITUTE(SUBSTITUTE(SUBSTITUTE(SUBSTITUTE(SUBSTITUTE(SUBSTITUTE(UPPER(TRIM(B1343&amp;"")),"₹",""),"RS.",""),"RS",""),"INR",""),"$",""),",","")," ",""))</f>
        <v/>
      </c>
      <c r="E1343" s="6">
        <f>IF(C1343="","",IF(RIGHT(D1343,2)="CR","Cr",IF(RIGHT(D1343,2)="DR","Dr","")))</f>
        <v/>
      </c>
      <c r="F1343" s="6">
        <f>IF(C1343="","",IF(E1343&lt;&gt;"",LEFT(D1343,LEN(D1343)-2),D1343))</f>
        <v/>
      </c>
      <c r="G1343" s="13">
        <f>IF(C1343="","",IF(OR(IF(AND(LEFT(F1343,1)="(",RIGHT(F1343,1)=")"),MID(F1343,2,LEN(F1343)-2),F1343)="",IF(AND(LEFT(F1343,1)="(",RIGHT(F1343,1)=")"),MID(F1343,2,LEN(F1343)-2),F1343)="-"),0,IFERROR(VALUE(IF(AND(LEFT(F1343,1)="(",RIGHT(F1343,1)=")"),MID(F1343,2,LEN(F1343)-2),F1343))*IF(AND(LEFT(F1343,1)="(",RIGHT(F1343,1)=")"),-1,1)*IF(E1343="Cr",Setup!$B$6,1),"ERR")))</f>
        <v/>
      </c>
      <c r="H1343" s="6">
        <f>IF(C1343="","",IF(ISNUMBER(G1343),1,0))</f>
        <v/>
      </c>
      <c r="I1343" s="6">
        <f>IF(C1343="","",IF(SUMPRODUCT(($C$12:$C$1511=C1343)*1)&gt;1,1,0))</f>
        <v/>
      </c>
      <c r="J1343" s="6">
        <f>IF(C1343="","",SUMPRODUCT((Mapping!$F$5:$F$504=Setup!$B$4&amp;"||"&amp;C1343)*ROW(Mapping!$F$5:$F$504)))</f>
        <v/>
      </c>
      <c r="K1343" s="6">
        <f>IF(C1343="","",IF(J1343=0,"UNMAPPED",LOWER(INDEX(Mapping!$D$1:$D$504,J1343))))</f>
        <v/>
      </c>
      <c r="L1343" s="6">
        <f>IF(K1343="mapped",TRIM(INDEX(Mapping!$C$1:$C$504,J1343)),"")</f>
        <v/>
      </c>
      <c r="M1343" s="6">
        <f>IF(C1343="","",IF(SUMPRODUCT(($C$12:C1343=C1343)*1)=1,1,0))</f>
        <v/>
      </c>
      <c r="N1343" s="6">
        <f>IF(AND(K1343="UNMAPPED",M1343=1),ROW(),"")</f>
        <v/>
      </c>
      <c r="O1343" s="6">
        <f>IF(AND(I1343=1,M1343=1),ROW(),"")</f>
        <v/>
      </c>
      <c r="P1343" s="6">
        <f>IF(AND(K1343="ignored",M1343=1),ROW(),"")</f>
        <v/>
      </c>
    </row>
    <row r="1344">
      <c r="A1344" s="8" t="n"/>
      <c r="B1344" s="8" t="n"/>
      <c r="C1344" s="6">
        <f>TRIM(A1344&amp;"")</f>
        <v/>
      </c>
      <c r="D1344" s="6">
        <f>IF(C1344="","",SUBSTITUTE(SUBSTITUTE(SUBSTITUTE(SUBSTITUTE(SUBSTITUTE(SUBSTITUTE(SUBSTITUTE(UPPER(TRIM(B1344&amp;"")),"₹",""),"RS.",""),"RS",""),"INR",""),"$",""),",","")," ",""))</f>
        <v/>
      </c>
      <c r="E1344" s="6">
        <f>IF(C1344="","",IF(RIGHT(D1344,2)="CR","Cr",IF(RIGHT(D1344,2)="DR","Dr","")))</f>
        <v/>
      </c>
      <c r="F1344" s="6">
        <f>IF(C1344="","",IF(E1344&lt;&gt;"",LEFT(D1344,LEN(D1344)-2),D1344))</f>
        <v/>
      </c>
      <c r="G1344" s="13">
        <f>IF(C1344="","",IF(OR(IF(AND(LEFT(F1344,1)="(",RIGHT(F1344,1)=")"),MID(F1344,2,LEN(F1344)-2),F1344)="",IF(AND(LEFT(F1344,1)="(",RIGHT(F1344,1)=")"),MID(F1344,2,LEN(F1344)-2),F1344)="-"),0,IFERROR(VALUE(IF(AND(LEFT(F1344,1)="(",RIGHT(F1344,1)=")"),MID(F1344,2,LEN(F1344)-2),F1344))*IF(AND(LEFT(F1344,1)="(",RIGHT(F1344,1)=")"),-1,1)*IF(E1344="Cr",Setup!$B$6,1),"ERR")))</f>
        <v/>
      </c>
      <c r="H1344" s="6">
        <f>IF(C1344="","",IF(ISNUMBER(G1344),1,0))</f>
        <v/>
      </c>
      <c r="I1344" s="6">
        <f>IF(C1344="","",IF(SUMPRODUCT(($C$12:$C$1511=C1344)*1)&gt;1,1,0))</f>
        <v/>
      </c>
      <c r="J1344" s="6">
        <f>IF(C1344="","",SUMPRODUCT((Mapping!$F$5:$F$504=Setup!$B$4&amp;"||"&amp;C1344)*ROW(Mapping!$F$5:$F$504)))</f>
        <v/>
      </c>
      <c r="K1344" s="6">
        <f>IF(C1344="","",IF(J1344=0,"UNMAPPED",LOWER(INDEX(Mapping!$D$1:$D$504,J1344))))</f>
        <v/>
      </c>
      <c r="L1344" s="6">
        <f>IF(K1344="mapped",TRIM(INDEX(Mapping!$C$1:$C$504,J1344)),"")</f>
        <v/>
      </c>
      <c r="M1344" s="6">
        <f>IF(C1344="","",IF(SUMPRODUCT(($C$12:C1344=C1344)*1)=1,1,0))</f>
        <v/>
      </c>
      <c r="N1344" s="6">
        <f>IF(AND(K1344="UNMAPPED",M1344=1),ROW(),"")</f>
        <v/>
      </c>
      <c r="O1344" s="6">
        <f>IF(AND(I1344=1,M1344=1),ROW(),"")</f>
        <v/>
      </c>
      <c r="P1344" s="6">
        <f>IF(AND(K1344="ignored",M1344=1),ROW(),"")</f>
        <v/>
      </c>
    </row>
    <row r="1345">
      <c r="A1345" s="8" t="n"/>
      <c r="B1345" s="8" t="n"/>
      <c r="C1345" s="6">
        <f>TRIM(A1345&amp;"")</f>
        <v/>
      </c>
      <c r="D1345" s="6">
        <f>IF(C1345="","",SUBSTITUTE(SUBSTITUTE(SUBSTITUTE(SUBSTITUTE(SUBSTITUTE(SUBSTITUTE(SUBSTITUTE(UPPER(TRIM(B1345&amp;"")),"₹",""),"RS.",""),"RS",""),"INR",""),"$",""),",","")," ",""))</f>
        <v/>
      </c>
      <c r="E1345" s="6">
        <f>IF(C1345="","",IF(RIGHT(D1345,2)="CR","Cr",IF(RIGHT(D1345,2)="DR","Dr","")))</f>
        <v/>
      </c>
      <c r="F1345" s="6">
        <f>IF(C1345="","",IF(E1345&lt;&gt;"",LEFT(D1345,LEN(D1345)-2),D1345))</f>
        <v/>
      </c>
      <c r="G1345" s="13">
        <f>IF(C1345="","",IF(OR(IF(AND(LEFT(F1345,1)="(",RIGHT(F1345,1)=")"),MID(F1345,2,LEN(F1345)-2),F1345)="",IF(AND(LEFT(F1345,1)="(",RIGHT(F1345,1)=")"),MID(F1345,2,LEN(F1345)-2),F1345)="-"),0,IFERROR(VALUE(IF(AND(LEFT(F1345,1)="(",RIGHT(F1345,1)=")"),MID(F1345,2,LEN(F1345)-2),F1345))*IF(AND(LEFT(F1345,1)="(",RIGHT(F1345,1)=")"),-1,1)*IF(E1345="Cr",Setup!$B$6,1),"ERR")))</f>
        <v/>
      </c>
      <c r="H1345" s="6">
        <f>IF(C1345="","",IF(ISNUMBER(G1345),1,0))</f>
        <v/>
      </c>
      <c r="I1345" s="6">
        <f>IF(C1345="","",IF(SUMPRODUCT(($C$12:$C$1511=C1345)*1)&gt;1,1,0))</f>
        <v/>
      </c>
      <c r="J1345" s="6">
        <f>IF(C1345="","",SUMPRODUCT((Mapping!$F$5:$F$504=Setup!$B$4&amp;"||"&amp;C1345)*ROW(Mapping!$F$5:$F$504)))</f>
        <v/>
      </c>
      <c r="K1345" s="6">
        <f>IF(C1345="","",IF(J1345=0,"UNMAPPED",LOWER(INDEX(Mapping!$D$1:$D$504,J1345))))</f>
        <v/>
      </c>
      <c r="L1345" s="6">
        <f>IF(K1345="mapped",TRIM(INDEX(Mapping!$C$1:$C$504,J1345)),"")</f>
        <v/>
      </c>
      <c r="M1345" s="6">
        <f>IF(C1345="","",IF(SUMPRODUCT(($C$12:C1345=C1345)*1)=1,1,0))</f>
        <v/>
      </c>
      <c r="N1345" s="6">
        <f>IF(AND(K1345="UNMAPPED",M1345=1),ROW(),"")</f>
        <v/>
      </c>
      <c r="O1345" s="6">
        <f>IF(AND(I1345=1,M1345=1),ROW(),"")</f>
        <v/>
      </c>
      <c r="P1345" s="6">
        <f>IF(AND(K1345="ignored",M1345=1),ROW(),"")</f>
        <v/>
      </c>
    </row>
    <row r="1346">
      <c r="A1346" s="8" t="n"/>
      <c r="B1346" s="8" t="n"/>
      <c r="C1346" s="6">
        <f>TRIM(A1346&amp;"")</f>
        <v/>
      </c>
      <c r="D1346" s="6">
        <f>IF(C1346="","",SUBSTITUTE(SUBSTITUTE(SUBSTITUTE(SUBSTITUTE(SUBSTITUTE(SUBSTITUTE(SUBSTITUTE(UPPER(TRIM(B1346&amp;"")),"₹",""),"RS.",""),"RS",""),"INR",""),"$",""),",","")," ",""))</f>
        <v/>
      </c>
      <c r="E1346" s="6">
        <f>IF(C1346="","",IF(RIGHT(D1346,2)="CR","Cr",IF(RIGHT(D1346,2)="DR","Dr","")))</f>
        <v/>
      </c>
      <c r="F1346" s="6">
        <f>IF(C1346="","",IF(E1346&lt;&gt;"",LEFT(D1346,LEN(D1346)-2),D1346))</f>
        <v/>
      </c>
      <c r="G1346" s="13">
        <f>IF(C1346="","",IF(OR(IF(AND(LEFT(F1346,1)="(",RIGHT(F1346,1)=")"),MID(F1346,2,LEN(F1346)-2),F1346)="",IF(AND(LEFT(F1346,1)="(",RIGHT(F1346,1)=")"),MID(F1346,2,LEN(F1346)-2),F1346)="-"),0,IFERROR(VALUE(IF(AND(LEFT(F1346,1)="(",RIGHT(F1346,1)=")"),MID(F1346,2,LEN(F1346)-2),F1346))*IF(AND(LEFT(F1346,1)="(",RIGHT(F1346,1)=")"),-1,1)*IF(E1346="Cr",Setup!$B$6,1),"ERR")))</f>
        <v/>
      </c>
      <c r="H1346" s="6">
        <f>IF(C1346="","",IF(ISNUMBER(G1346),1,0))</f>
        <v/>
      </c>
      <c r="I1346" s="6">
        <f>IF(C1346="","",IF(SUMPRODUCT(($C$12:$C$1511=C1346)*1)&gt;1,1,0))</f>
        <v/>
      </c>
      <c r="J1346" s="6">
        <f>IF(C1346="","",SUMPRODUCT((Mapping!$F$5:$F$504=Setup!$B$4&amp;"||"&amp;C1346)*ROW(Mapping!$F$5:$F$504)))</f>
        <v/>
      </c>
      <c r="K1346" s="6">
        <f>IF(C1346="","",IF(J1346=0,"UNMAPPED",LOWER(INDEX(Mapping!$D$1:$D$504,J1346))))</f>
        <v/>
      </c>
      <c r="L1346" s="6">
        <f>IF(K1346="mapped",TRIM(INDEX(Mapping!$C$1:$C$504,J1346)),"")</f>
        <v/>
      </c>
      <c r="M1346" s="6">
        <f>IF(C1346="","",IF(SUMPRODUCT(($C$12:C1346=C1346)*1)=1,1,0))</f>
        <v/>
      </c>
      <c r="N1346" s="6">
        <f>IF(AND(K1346="UNMAPPED",M1346=1),ROW(),"")</f>
        <v/>
      </c>
      <c r="O1346" s="6">
        <f>IF(AND(I1346=1,M1346=1),ROW(),"")</f>
        <v/>
      </c>
      <c r="P1346" s="6">
        <f>IF(AND(K1346="ignored",M1346=1),ROW(),"")</f>
        <v/>
      </c>
    </row>
    <row r="1347">
      <c r="A1347" s="8" t="n"/>
      <c r="B1347" s="8" t="n"/>
      <c r="C1347" s="6">
        <f>TRIM(A1347&amp;"")</f>
        <v/>
      </c>
      <c r="D1347" s="6">
        <f>IF(C1347="","",SUBSTITUTE(SUBSTITUTE(SUBSTITUTE(SUBSTITUTE(SUBSTITUTE(SUBSTITUTE(SUBSTITUTE(UPPER(TRIM(B1347&amp;"")),"₹",""),"RS.",""),"RS",""),"INR",""),"$",""),",","")," ",""))</f>
        <v/>
      </c>
      <c r="E1347" s="6">
        <f>IF(C1347="","",IF(RIGHT(D1347,2)="CR","Cr",IF(RIGHT(D1347,2)="DR","Dr","")))</f>
        <v/>
      </c>
      <c r="F1347" s="6">
        <f>IF(C1347="","",IF(E1347&lt;&gt;"",LEFT(D1347,LEN(D1347)-2),D1347))</f>
        <v/>
      </c>
      <c r="G1347" s="13">
        <f>IF(C1347="","",IF(OR(IF(AND(LEFT(F1347,1)="(",RIGHT(F1347,1)=")"),MID(F1347,2,LEN(F1347)-2),F1347)="",IF(AND(LEFT(F1347,1)="(",RIGHT(F1347,1)=")"),MID(F1347,2,LEN(F1347)-2),F1347)="-"),0,IFERROR(VALUE(IF(AND(LEFT(F1347,1)="(",RIGHT(F1347,1)=")"),MID(F1347,2,LEN(F1347)-2),F1347))*IF(AND(LEFT(F1347,1)="(",RIGHT(F1347,1)=")"),-1,1)*IF(E1347="Cr",Setup!$B$6,1),"ERR")))</f>
        <v/>
      </c>
      <c r="H1347" s="6">
        <f>IF(C1347="","",IF(ISNUMBER(G1347),1,0))</f>
        <v/>
      </c>
      <c r="I1347" s="6">
        <f>IF(C1347="","",IF(SUMPRODUCT(($C$12:$C$1511=C1347)*1)&gt;1,1,0))</f>
        <v/>
      </c>
      <c r="J1347" s="6">
        <f>IF(C1347="","",SUMPRODUCT((Mapping!$F$5:$F$504=Setup!$B$4&amp;"||"&amp;C1347)*ROW(Mapping!$F$5:$F$504)))</f>
        <v/>
      </c>
      <c r="K1347" s="6">
        <f>IF(C1347="","",IF(J1347=0,"UNMAPPED",LOWER(INDEX(Mapping!$D$1:$D$504,J1347))))</f>
        <v/>
      </c>
      <c r="L1347" s="6">
        <f>IF(K1347="mapped",TRIM(INDEX(Mapping!$C$1:$C$504,J1347)),"")</f>
        <v/>
      </c>
      <c r="M1347" s="6">
        <f>IF(C1347="","",IF(SUMPRODUCT(($C$12:C1347=C1347)*1)=1,1,0))</f>
        <v/>
      </c>
      <c r="N1347" s="6">
        <f>IF(AND(K1347="UNMAPPED",M1347=1),ROW(),"")</f>
        <v/>
      </c>
      <c r="O1347" s="6">
        <f>IF(AND(I1347=1,M1347=1),ROW(),"")</f>
        <v/>
      </c>
      <c r="P1347" s="6">
        <f>IF(AND(K1347="ignored",M1347=1),ROW(),"")</f>
        <v/>
      </c>
    </row>
    <row r="1348">
      <c r="A1348" s="8" t="n"/>
      <c r="B1348" s="8" t="n"/>
      <c r="C1348" s="6">
        <f>TRIM(A1348&amp;"")</f>
        <v/>
      </c>
      <c r="D1348" s="6">
        <f>IF(C1348="","",SUBSTITUTE(SUBSTITUTE(SUBSTITUTE(SUBSTITUTE(SUBSTITUTE(SUBSTITUTE(SUBSTITUTE(UPPER(TRIM(B1348&amp;"")),"₹",""),"RS.",""),"RS",""),"INR",""),"$",""),",","")," ",""))</f>
        <v/>
      </c>
      <c r="E1348" s="6">
        <f>IF(C1348="","",IF(RIGHT(D1348,2)="CR","Cr",IF(RIGHT(D1348,2)="DR","Dr","")))</f>
        <v/>
      </c>
      <c r="F1348" s="6">
        <f>IF(C1348="","",IF(E1348&lt;&gt;"",LEFT(D1348,LEN(D1348)-2),D1348))</f>
        <v/>
      </c>
      <c r="G1348" s="13">
        <f>IF(C1348="","",IF(OR(IF(AND(LEFT(F1348,1)="(",RIGHT(F1348,1)=")"),MID(F1348,2,LEN(F1348)-2),F1348)="",IF(AND(LEFT(F1348,1)="(",RIGHT(F1348,1)=")"),MID(F1348,2,LEN(F1348)-2),F1348)="-"),0,IFERROR(VALUE(IF(AND(LEFT(F1348,1)="(",RIGHT(F1348,1)=")"),MID(F1348,2,LEN(F1348)-2),F1348))*IF(AND(LEFT(F1348,1)="(",RIGHT(F1348,1)=")"),-1,1)*IF(E1348="Cr",Setup!$B$6,1),"ERR")))</f>
        <v/>
      </c>
      <c r="H1348" s="6">
        <f>IF(C1348="","",IF(ISNUMBER(G1348),1,0))</f>
        <v/>
      </c>
      <c r="I1348" s="6">
        <f>IF(C1348="","",IF(SUMPRODUCT(($C$12:$C$1511=C1348)*1)&gt;1,1,0))</f>
        <v/>
      </c>
      <c r="J1348" s="6">
        <f>IF(C1348="","",SUMPRODUCT((Mapping!$F$5:$F$504=Setup!$B$4&amp;"||"&amp;C1348)*ROW(Mapping!$F$5:$F$504)))</f>
        <v/>
      </c>
      <c r="K1348" s="6">
        <f>IF(C1348="","",IF(J1348=0,"UNMAPPED",LOWER(INDEX(Mapping!$D$1:$D$504,J1348))))</f>
        <v/>
      </c>
      <c r="L1348" s="6">
        <f>IF(K1348="mapped",TRIM(INDEX(Mapping!$C$1:$C$504,J1348)),"")</f>
        <v/>
      </c>
      <c r="M1348" s="6">
        <f>IF(C1348="","",IF(SUMPRODUCT(($C$12:C1348=C1348)*1)=1,1,0))</f>
        <v/>
      </c>
      <c r="N1348" s="6">
        <f>IF(AND(K1348="UNMAPPED",M1348=1),ROW(),"")</f>
        <v/>
      </c>
      <c r="O1348" s="6">
        <f>IF(AND(I1348=1,M1348=1),ROW(),"")</f>
        <v/>
      </c>
      <c r="P1348" s="6">
        <f>IF(AND(K1348="ignored",M1348=1),ROW(),"")</f>
        <v/>
      </c>
    </row>
    <row r="1349">
      <c r="A1349" s="8" t="n"/>
      <c r="B1349" s="8" t="n"/>
      <c r="C1349" s="6">
        <f>TRIM(A1349&amp;"")</f>
        <v/>
      </c>
      <c r="D1349" s="6">
        <f>IF(C1349="","",SUBSTITUTE(SUBSTITUTE(SUBSTITUTE(SUBSTITUTE(SUBSTITUTE(SUBSTITUTE(SUBSTITUTE(UPPER(TRIM(B1349&amp;"")),"₹",""),"RS.",""),"RS",""),"INR",""),"$",""),",","")," ",""))</f>
        <v/>
      </c>
      <c r="E1349" s="6">
        <f>IF(C1349="","",IF(RIGHT(D1349,2)="CR","Cr",IF(RIGHT(D1349,2)="DR","Dr","")))</f>
        <v/>
      </c>
      <c r="F1349" s="6">
        <f>IF(C1349="","",IF(E1349&lt;&gt;"",LEFT(D1349,LEN(D1349)-2),D1349))</f>
        <v/>
      </c>
      <c r="G1349" s="13">
        <f>IF(C1349="","",IF(OR(IF(AND(LEFT(F1349,1)="(",RIGHT(F1349,1)=")"),MID(F1349,2,LEN(F1349)-2),F1349)="",IF(AND(LEFT(F1349,1)="(",RIGHT(F1349,1)=")"),MID(F1349,2,LEN(F1349)-2),F1349)="-"),0,IFERROR(VALUE(IF(AND(LEFT(F1349,1)="(",RIGHT(F1349,1)=")"),MID(F1349,2,LEN(F1349)-2),F1349))*IF(AND(LEFT(F1349,1)="(",RIGHT(F1349,1)=")"),-1,1)*IF(E1349="Cr",Setup!$B$6,1),"ERR")))</f>
        <v/>
      </c>
      <c r="H1349" s="6">
        <f>IF(C1349="","",IF(ISNUMBER(G1349),1,0))</f>
        <v/>
      </c>
      <c r="I1349" s="6">
        <f>IF(C1349="","",IF(SUMPRODUCT(($C$12:$C$1511=C1349)*1)&gt;1,1,0))</f>
        <v/>
      </c>
      <c r="J1349" s="6">
        <f>IF(C1349="","",SUMPRODUCT((Mapping!$F$5:$F$504=Setup!$B$4&amp;"||"&amp;C1349)*ROW(Mapping!$F$5:$F$504)))</f>
        <v/>
      </c>
      <c r="K1349" s="6">
        <f>IF(C1349="","",IF(J1349=0,"UNMAPPED",LOWER(INDEX(Mapping!$D$1:$D$504,J1349))))</f>
        <v/>
      </c>
      <c r="L1349" s="6">
        <f>IF(K1349="mapped",TRIM(INDEX(Mapping!$C$1:$C$504,J1349)),"")</f>
        <v/>
      </c>
      <c r="M1349" s="6">
        <f>IF(C1349="","",IF(SUMPRODUCT(($C$12:C1349=C1349)*1)=1,1,0))</f>
        <v/>
      </c>
      <c r="N1349" s="6">
        <f>IF(AND(K1349="UNMAPPED",M1349=1),ROW(),"")</f>
        <v/>
      </c>
      <c r="O1349" s="6">
        <f>IF(AND(I1349=1,M1349=1),ROW(),"")</f>
        <v/>
      </c>
      <c r="P1349" s="6">
        <f>IF(AND(K1349="ignored",M1349=1),ROW(),"")</f>
        <v/>
      </c>
    </row>
    <row r="1350">
      <c r="A1350" s="8" t="n"/>
      <c r="B1350" s="8" t="n"/>
      <c r="C1350" s="6">
        <f>TRIM(A1350&amp;"")</f>
        <v/>
      </c>
      <c r="D1350" s="6">
        <f>IF(C1350="","",SUBSTITUTE(SUBSTITUTE(SUBSTITUTE(SUBSTITUTE(SUBSTITUTE(SUBSTITUTE(SUBSTITUTE(UPPER(TRIM(B1350&amp;"")),"₹",""),"RS.",""),"RS",""),"INR",""),"$",""),",","")," ",""))</f>
        <v/>
      </c>
      <c r="E1350" s="6">
        <f>IF(C1350="","",IF(RIGHT(D1350,2)="CR","Cr",IF(RIGHT(D1350,2)="DR","Dr","")))</f>
        <v/>
      </c>
      <c r="F1350" s="6">
        <f>IF(C1350="","",IF(E1350&lt;&gt;"",LEFT(D1350,LEN(D1350)-2),D1350))</f>
        <v/>
      </c>
      <c r="G1350" s="13">
        <f>IF(C1350="","",IF(OR(IF(AND(LEFT(F1350,1)="(",RIGHT(F1350,1)=")"),MID(F1350,2,LEN(F1350)-2),F1350)="",IF(AND(LEFT(F1350,1)="(",RIGHT(F1350,1)=")"),MID(F1350,2,LEN(F1350)-2),F1350)="-"),0,IFERROR(VALUE(IF(AND(LEFT(F1350,1)="(",RIGHT(F1350,1)=")"),MID(F1350,2,LEN(F1350)-2),F1350))*IF(AND(LEFT(F1350,1)="(",RIGHT(F1350,1)=")"),-1,1)*IF(E1350="Cr",Setup!$B$6,1),"ERR")))</f>
        <v/>
      </c>
      <c r="H1350" s="6">
        <f>IF(C1350="","",IF(ISNUMBER(G1350),1,0))</f>
        <v/>
      </c>
      <c r="I1350" s="6">
        <f>IF(C1350="","",IF(SUMPRODUCT(($C$12:$C$1511=C1350)*1)&gt;1,1,0))</f>
        <v/>
      </c>
      <c r="J1350" s="6">
        <f>IF(C1350="","",SUMPRODUCT((Mapping!$F$5:$F$504=Setup!$B$4&amp;"||"&amp;C1350)*ROW(Mapping!$F$5:$F$504)))</f>
        <v/>
      </c>
      <c r="K1350" s="6">
        <f>IF(C1350="","",IF(J1350=0,"UNMAPPED",LOWER(INDEX(Mapping!$D$1:$D$504,J1350))))</f>
        <v/>
      </c>
      <c r="L1350" s="6">
        <f>IF(K1350="mapped",TRIM(INDEX(Mapping!$C$1:$C$504,J1350)),"")</f>
        <v/>
      </c>
      <c r="M1350" s="6">
        <f>IF(C1350="","",IF(SUMPRODUCT(($C$12:C1350=C1350)*1)=1,1,0))</f>
        <v/>
      </c>
      <c r="N1350" s="6">
        <f>IF(AND(K1350="UNMAPPED",M1350=1),ROW(),"")</f>
        <v/>
      </c>
      <c r="O1350" s="6">
        <f>IF(AND(I1350=1,M1350=1),ROW(),"")</f>
        <v/>
      </c>
      <c r="P1350" s="6">
        <f>IF(AND(K1350="ignored",M1350=1),ROW(),"")</f>
        <v/>
      </c>
    </row>
    <row r="1351">
      <c r="A1351" s="8" t="n"/>
      <c r="B1351" s="8" t="n"/>
      <c r="C1351" s="6">
        <f>TRIM(A1351&amp;"")</f>
        <v/>
      </c>
      <c r="D1351" s="6">
        <f>IF(C1351="","",SUBSTITUTE(SUBSTITUTE(SUBSTITUTE(SUBSTITUTE(SUBSTITUTE(SUBSTITUTE(SUBSTITUTE(UPPER(TRIM(B1351&amp;"")),"₹",""),"RS.",""),"RS",""),"INR",""),"$",""),",","")," ",""))</f>
        <v/>
      </c>
      <c r="E1351" s="6">
        <f>IF(C1351="","",IF(RIGHT(D1351,2)="CR","Cr",IF(RIGHT(D1351,2)="DR","Dr","")))</f>
        <v/>
      </c>
      <c r="F1351" s="6">
        <f>IF(C1351="","",IF(E1351&lt;&gt;"",LEFT(D1351,LEN(D1351)-2),D1351))</f>
        <v/>
      </c>
      <c r="G1351" s="13">
        <f>IF(C1351="","",IF(OR(IF(AND(LEFT(F1351,1)="(",RIGHT(F1351,1)=")"),MID(F1351,2,LEN(F1351)-2),F1351)="",IF(AND(LEFT(F1351,1)="(",RIGHT(F1351,1)=")"),MID(F1351,2,LEN(F1351)-2),F1351)="-"),0,IFERROR(VALUE(IF(AND(LEFT(F1351,1)="(",RIGHT(F1351,1)=")"),MID(F1351,2,LEN(F1351)-2),F1351))*IF(AND(LEFT(F1351,1)="(",RIGHT(F1351,1)=")"),-1,1)*IF(E1351="Cr",Setup!$B$6,1),"ERR")))</f>
        <v/>
      </c>
      <c r="H1351" s="6">
        <f>IF(C1351="","",IF(ISNUMBER(G1351),1,0))</f>
        <v/>
      </c>
      <c r="I1351" s="6">
        <f>IF(C1351="","",IF(SUMPRODUCT(($C$12:$C$1511=C1351)*1)&gt;1,1,0))</f>
        <v/>
      </c>
      <c r="J1351" s="6">
        <f>IF(C1351="","",SUMPRODUCT((Mapping!$F$5:$F$504=Setup!$B$4&amp;"||"&amp;C1351)*ROW(Mapping!$F$5:$F$504)))</f>
        <v/>
      </c>
      <c r="K1351" s="6">
        <f>IF(C1351="","",IF(J1351=0,"UNMAPPED",LOWER(INDEX(Mapping!$D$1:$D$504,J1351))))</f>
        <v/>
      </c>
      <c r="L1351" s="6">
        <f>IF(K1351="mapped",TRIM(INDEX(Mapping!$C$1:$C$504,J1351)),"")</f>
        <v/>
      </c>
      <c r="M1351" s="6">
        <f>IF(C1351="","",IF(SUMPRODUCT(($C$12:C1351=C1351)*1)=1,1,0))</f>
        <v/>
      </c>
      <c r="N1351" s="6">
        <f>IF(AND(K1351="UNMAPPED",M1351=1),ROW(),"")</f>
        <v/>
      </c>
      <c r="O1351" s="6">
        <f>IF(AND(I1351=1,M1351=1),ROW(),"")</f>
        <v/>
      </c>
      <c r="P1351" s="6">
        <f>IF(AND(K1351="ignored",M1351=1),ROW(),"")</f>
        <v/>
      </c>
    </row>
    <row r="1352">
      <c r="A1352" s="8" t="n"/>
      <c r="B1352" s="8" t="n"/>
      <c r="C1352" s="6">
        <f>TRIM(A1352&amp;"")</f>
        <v/>
      </c>
      <c r="D1352" s="6">
        <f>IF(C1352="","",SUBSTITUTE(SUBSTITUTE(SUBSTITUTE(SUBSTITUTE(SUBSTITUTE(SUBSTITUTE(SUBSTITUTE(UPPER(TRIM(B1352&amp;"")),"₹",""),"RS.",""),"RS",""),"INR",""),"$",""),",","")," ",""))</f>
        <v/>
      </c>
      <c r="E1352" s="6">
        <f>IF(C1352="","",IF(RIGHT(D1352,2)="CR","Cr",IF(RIGHT(D1352,2)="DR","Dr","")))</f>
        <v/>
      </c>
      <c r="F1352" s="6">
        <f>IF(C1352="","",IF(E1352&lt;&gt;"",LEFT(D1352,LEN(D1352)-2),D1352))</f>
        <v/>
      </c>
      <c r="G1352" s="13">
        <f>IF(C1352="","",IF(OR(IF(AND(LEFT(F1352,1)="(",RIGHT(F1352,1)=")"),MID(F1352,2,LEN(F1352)-2),F1352)="",IF(AND(LEFT(F1352,1)="(",RIGHT(F1352,1)=")"),MID(F1352,2,LEN(F1352)-2),F1352)="-"),0,IFERROR(VALUE(IF(AND(LEFT(F1352,1)="(",RIGHT(F1352,1)=")"),MID(F1352,2,LEN(F1352)-2),F1352))*IF(AND(LEFT(F1352,1)="(",RIGHT(F1352,1)=")"),-1,1)*IF(E1352="Cr",Setup!$B$6,1),"ERR")))</f>
        <v/>
      </c>
      <c r="H1352" s="6">
        <f>IF(C1352="","",IF(ISNUMBER(G1352),1,0))</f>
        <v/>
      </c>
      <c r="I1352" s="6">
        <f>IF(C1352="","",IF(SUMPRODUCT(($C$12:$C$1511=C1352)*1)&gt;1,1,0))</f>
        <v/>
      </c>
      <c r="J1352" s="6">
        <f>IF(C1352="","",SUMPRODUCT((Mapping!$F$5:$F$504=Setup!$B$4&amp;"||"&amp;C1352)*ROW(Mapping!$F$5:$F$504)))</f>
        <v/>
      </c>
      <c r="K1352" s="6">
        <f>IF(C1352="","",IF(J1352=0,"UNMAPPED",LOWER(INDEX(Mapping!$D$1:$D$504,J1352))))</f>
        <v/>
      </c>
      <c r="L1352" s="6">
        <f>IF(K1352="mapped",TRIM(INDEX(Mapping!$C$1:$C$504,J1352)),"")</f>
        <v/>
      </c>
      <c r="M1352" s="6">
        <f>IF(C1352="","",IF(SUMPRODUCT(($C$12:C1352=C1352)*1)=1,1,0))</f>
        <v/>
      </c>
      <c r="N1352" s="6">
        <f>IF(AND(K1352="UNMAPPED",M1352=1),ROW(),"")</f>
        <v/>
      </c>
      <c r="O1352" s="6">
        <f>IF(AND(I1352=1,M1352=1),ROW(),"")</f>
        <v/>
      </c>
      <c r="P1352" s="6">
        <f>IF(AND(K1352="ignored",M1352=1),ROW(),"")</f>
        <v/>
      </c>
    </row>
    <row r="1353">
      <c r="A1353" s="8" t="n"/>
      <c r="B1353" s="8" t="n"/>
      <c r="C1353" s="6">
        <f>TRIM(A1353&amp;"")</f>
        <v/>
      </c>
      <c r="D1353" s="6">
        <f>IF(C1353="","",SUBSTITUTE(SUBSTITUTE(SUBSTITUTE(SUBSTITUTE(SUBSTITUTE(SUBSTITUTE(SUBSTITUTE(UPPER(TRIM(B1353&amp;"")),"₹",""),"RS.",""),"RS",""),"INR",""),"$",""),",","")," ",""))</f>
        <v/>
      </c>
      <c r="E1353" s="6">
        <f>IF(C1353="","",IF(RIGHT(D1353,2)="CR","Cr",IF(RIGHT(D1353,2)="DR","Dr","")))</f>
        <v/>
      </c>
      <c r="F1353" s="6">
        <f>IF(C1353="","",IF(E1353&lt;&gt;"",LEFT(D1353,LEN(D1353)-2),D1353))</f>
        <v/>
      </c>
      <c r="G1353" s="13">
        <f>IF(C1353="","",IF(OR(IF(AND(LEFT(F1353,1)="(",RIGHT(F1353,1)=")"),MID(F1353,2,LEN(F1353)-2),F1353)="",IF(AND(LEFT(F1353,1)="(",RIGHT(F1353,1)=")"),MID(F1353,2,LEN(F1353)-2),F1353)="-"),0,IFERROR(VALUE(IF(AND(LEFT(F1353,1)="(",RIGHT(F1353,1)=")"),MID(F1353,2,LEN(F1353)-2),F1353))*IF(AND(LEFT(F1353,1)="(",RIGHT(F1353,1)=")"),-1,1)*IF(E1353="Cr",Setup!$B$6,1),"ERR")))</f>
        <v/>
      </c>
      <c r="H1353" s="6">
        <f>IF(C1353="","",IF(ISNUMBER(G1353),1,0))</f>
        <v/>
      </c>
      <c r="I1353" s="6">
        <f>IF(C1353="","",IF(SUMPRODUCT(($C$12:$C$1511=C1353)*1)&gt;1,1,0))</f>
        <v/>
      </c>
      <c r="J1353" s="6">
        <f>IF(C1353="","",SUMPRODUCT((Mapping!$F$5:$F$504=Setup!$B$4&amp;"||"&amp;C1353)*ROW(Mapping!$F$5:$F$504)))</f>
        <v/>
      </c>
      <c r="K1353" s="6">
        <f>IF(C1353="","",IF(J1353=0,"UNMAPPED",LOWER(INDEX(Mapping!$D$1:$D$504,J1353))))</f>
        <v/>
      </c>
      <c r="L1353" s="6">
        <f>IF(K1353="mapped",TRIM(INDEX(Mapping!$C$1:$C$504,J1353)),"")</f>
        <v/>
      </c>
      <c r="M1353" s="6">
        <f>IF(C1353="","",IF(SUMPRODUCT(($C$12:C1353=C1353)*1)=1,1,0))</f>
        <v/>
      </c>
      <c r="N1353" s="6">
        <f>IF(AND(K1353="UNMAPPED",M1353=1),ROW(),"")</f>
        <v/>
      </c>
      <c r="O1353" s="6">
        <f>IF(AND(I1353=1,M1353=1),ROW(),"")</f>
        <v/>
      </c>
      <c r="P1353" s="6">
        <f>IF(AND(K1353="ignored",M1353=1),ROW(),"")</f>
        <v/>
      </c>
    </row>
    <row r="1354">
      <c r="A1354" s="8" t="n"/>
      <c r="B1354" s="8" t="n"/>
      <c r="C1354" s="6">
        <f>TRIM(A1354&amp;"")</f>
        <v/>
      </c>
      <c r="D1354" s="6">
        <f>IF(C1354="","",SUBSTITUTE(SUBSTITUTE(SUBSTITUTE(SUBSTITUTE(SUBSTITUTE(SUBSTITUTE(SUBSTITUTE(UPPER(TRIM(B1354&amp;"")),"₹",""),"RS.",""),"RS",""),"INR",""),"$",""),",","")," ",""))</f>
        <v/>
      </c>
      <c r="E1354" s="6">
        <f>IF(C1354="","",IF(RIGHT(D1354,2)="CR","Cr",IF(RIGHT(D1354,2)="DR","Dr","")))</f>
        <v/>
      </c>
      <c r="F1354" s="6">
        <f>IF(C1354="","",IF(E1354&lt;&gt;"",LEFT(D1354,LEN(D1354)-2),D1354))</f>
        <v/>
      </c>
      <c r="G1354" s="13">
        <f>IF(C1354="","",IF(OR(IF(AND(LEFT(F1354,1)="(",RIGHT(F1354,1)=")"),MID(F1354,2,LEN(F1354)-2),F1354)="",IF(AND(LEFT(F1354,1)="(",RIGHT(F1354,1)=")"),MID(F1354,2,LEN(F1354)-2),F1354)="-"),0,IFERROR(VALUE(IF(AND(LEFT(F1354,1)="(",RIGHT(F1354,1)=")"),MID(F1354,2,LEN(F1354)-2),F1354))*IF(AND(LEFT(F1354,1)="(",RIGHT(F1354,1)=")"),-1,1)*IF(E1354="Cr",Setup!$B$6,1),"ERR")))</f>
        <v/>
      </c>
      <c r="H1354" s="6">
        <f>IF(C1354="","",IF(ISNUMBER(G1354),1,0))</f>
        <v/>
      </c>
      <c r="I1354" s="6">
        <f>IF(C1354="","",IF(SUMPRODUCT(($C$12:$C$1511=C1354)*1)&gt;1,1,0))</f>
        <v/>
      </c>
      <c r="J1354" s="6">
        <f>IF(C1354="","",SUMPRODUCT((Mapping!$F$5:$F$504=Setup!$B$4&amp;"||"&amp;C1354)*ROW(Mapping!$F$5:$F$504)))</f>
        <v/>
      </c>
      <c r="K1354" s="6">
        <f>IF(C1354="","",IF(J1354=0,"UNMAPPED",LOWER(INDEX(Mapping!$D$1:$D$504,J1354))))</f>
        <v/>
      </c>
      <c r="L1354" s="6">
        <f>IF(K1354="mapped",TRIM(INDEX(Mapping!$C$1:$C$504,J1354)),"")</f>
        <v/>
      </c>
      <c r="M1354" s="6">
        <f>IF(C1354="","",IF(SUMPRODUCT(($C$12:C1354=C1354)*1)=1,1,0))</f>
        <v/>
      </c>
      <c r="N1354" s="6">
        <f>IF(AND(K1354="UNMAPPED",M1354=1),ROW(),"")</f>
        <v/>
      </c>
      <c r="O1354" s="6">
        <f>IF(AND(I1354=1,M1354=1),ROW(),"")</f>
        <v/>
      </c>
      <c r="P1354" s="6">
        <f>IF(AND(K1354="ignored",M1354=1),ROW(),"")</f>
        <v/>
      </c>
    </row>
    <row r="1355">
      <c r="A1355" s="8" t="n"/>
      <c r="B1355" s="8" t="n"/>
      <c r="C1355" s="6">
        <f>TRIM(A1355&amp;"")</f>
        <v/>
      </c>
      <c r="D1355" s="6">
        <f>IF(C1355="","",SUBSTITUTE(SUBSTITUTE(SUBSTITUTE(SUBSTITUTE(SUBSTITUTE(SUBSTITUTE(SUBSTITUTE(UPPER(TRIM(B1355&amp;"")),"₹",""),"RS.",""),"RS",""),"INR",""),"$",""),",","")," ",""))</f>
        <v/>
      </c>
      <c r="E1355" s="6">
        <f>IF(C1355="","",IF(RIGHT(D1355,2)="CR","Cr",IF(RIGHT(D1355,2)="DR","Dr","")))</f>
        <v/>
      </c>
      <c r="F1355" s="6">
        <f>IF(C1355="","",IF(E1355&lt;&gt;"",LEFT(D1355,LEN(D1355)-2),D1355))</f>
        <v/>
      </c>
      <c r="G1355" s="13">
        <f>IF(C1355="","",IF(OR(IF(AND(LEFT(F1355,1)="(",RIGHT(F1355,1)=")"),MID(F1355,2,LEN(F1355)-2),F1355)="",IF(AND(LEFT(F1355,1)="(",RIGHT(F1355,1)=")"),MID(F1355,2,LEN(F1355)-2),F1355)="-"),0,IFERROR(VALUE(IF(AND(LEFT(F1355,1)="(",RIGHT(F1355,1)=")"),MID(F1355,2,LEN(F1355)-2),F1355))*IF(AND(LEFT(F1355,1)="(",RIGHT(F1355,1)=")"),-1,1)*IF(E1355="Cr",Setup!$B$6,1),"ERR")))</f>
        <v/>
      </c>
      <c r="H1355" s="6">
        <f>IF(C1355="","",IF(ISNUMBER(G1355),1,0))</f>
        <v/>
      </c>
      <c r="I1355" s="6">
        <f>IF(C1355="","",IF(SUMPRODUCT(($C$12:$C$1511=C1355)*1)&gt;1,1,0))</f>
        <v/>
      </c>
      <c r="J1355" s="6">
        <f>IF(C1355="","",SUMPRODUCT((Mapping!$F$5:$F$504=Setup!$B$4&amp;"||"&amp;C1355)*ROW(Mapping!$F$5:$F$504)))</f>
        <v/>
      </c>
      <c r="K1355" s="6">
        <f>IF(C1355="","",IF(J1355=0,"UNMAPPED",LOWER(INDEX(Mapping!$D$1:$D$504,J1355))))</f>
        <v/>
      </c>
      <c r="L1355" s="6">
        <f>IF(K1355="mapped",TRIM(INDEX(Mapping!$C$1:$C$504,J1355)),"")</f>
        <v/>
      </c>
      <c r="M1355" s="6">
        <f>IF(C1355="","",IF(SUMPRODUCT(($C$12:C1355=C1355)*1)=1,1,0))</f>
        <v/>
      </c>
      <c r="N1355" s="6">
        <f>IF(AND(K1355="UNMAPPED",M1355=1),ROW(),"")</f>
        <v/>
      </c>
      <c r="O1355" s="6">
        <f>IF(AND(I1355=1,M1355=1),ROW(),"")</f>
        <v/>
      </c>
      <c r="P1355" s="6">
        <f>IF(AND(K1355="ignored",M1355=1),ROW(),"")</f>
        <v/>
      </c>
    </row>
    <row r="1356">
      <c r="A1356" s="8" t="n"/>
      <c r="B1356" s="8" t="n"/>
      <c r="C1356" s="6">
        <f>TRIM(A1356&amp;"")</f>
        <v/>
      </c>
      <c r="D1356" s="6">
        <f>IF(C1356="","",SUBSTITUTE(SUBSTITUTE(SUBSTITUTE(SUBSTITUTE(SUBSTITUTE(SUBSTITUTE(SUBSTITUTE(UPPER(TRIM(B1356&amp;"")),"₹",""),"RS.",""),"RS",""),"INR",""),"$",""),",","")," ",""))</f>
        <v/>
      </c>
      <c r="E1356" s="6">
        <f>IF(C1356="","",IF(RIGHT(D1356,2)="CR","Cr",IF(RIGHT(D1356,2)="DR","Dr","")))</f>
        <v/>
      </c>
      <c r="F1356" s="6">
        <f>IF(C1356="","",IF(E1356&lt;&gt;"",LEFT(D1356,LEN(D1356)-2),D1356))</f>
        <v/>
      </c>
      <c r="G1356" s="13">
        <f>IF(C1356="","",IF(OR(IF(AND(LEFT(F1356,1)="(",RIGHT(F1356,1)=")"),MID(F1356,2,LEN(F1356)-2),F1356)="",IF(AND(LEFT(F1356,1)="(",RIGHT(F1356,1)=")"),MID(F1356,2,LEN(F1356)-2),F1356)="-"),0,IFERROR(VALUE(IF(AND(LEFT(F1356,1)="(",RIGHT(F1356,1)=")"),MID(F1356,2,LEN(F1356)-2),F1356))*IF(AND(LEFT(F1356,1)="(",RIGHT(F1356,1)=")"),-1,1)*IF(E1356="Cr",Setup!$B$6,1),"ERR")))</f>
        <v/>
      </c>
      <c r="H1356" s="6">
        <f>IF(C1356="","",IF(ISNUMBER(G1356),1,0))</f>
        <v/>
      </c>
      <c r="I1356" s="6">
        <f>IF(C1356="","",IF(SUMPRODUCT(($C$12:$C$1511=C1356)*1)&gt;1,1,0))</f>
        <v/>
      </c>
      <c r="J1356" s="6">
        <f>IF(C1356="","",SUMPRODUCT((Mapping!$F$5:$F$504=Setup!$B$4&amp;"||"&amp;C1356)*ROW(Mapping!$F$5:$F$504)))</f>
        <v/>
      </c>
      <c r="K1356" s="6">
        <f>IF(C1356="","",IF(J1356=0,"UNMAPPED",LOWER(INDEX(Mapping!$D$1:$D$504,J1356))))</f>
        <v/>
      </c>
      <c r="L1356" s="6">
        <f>IF(K1356="mapped",TRIM(INDEX(Mapping!$C$1:$C$504,J1356)),"")</f>
        <v/>
      </c>
      <c r="M1356" s="6">
        <f>IF(C1356="","",IF(SUMPRODUCT(($C$12:C1356=C1356)*1)=1,1,0))</f>
        <v/>
      </c>
      <c r="N1356" s="6">
        <f>IF(AND(K1356="UNMAPPED",M1356=1),ROW(),"")</f>
        <v/>
      </c>
      <c r="O1356" s="6">
        <f>IF(AND(I1356=1,M1356=1),ROW(),"")</f>
        <v/>
      </c>
      <c r="P1356" s="6">
        <f>IF(AND(K1356="ignored",M1356=1),ROW(),"")</f>
        <v/>
      </c>
    </row>
    <row r="1357">
      <c r="A1357" s="8" t="n"/>
      <c r="B1357" s="8" t="n"/>
      <c r="C1357" s="6">
        <f>TRIM(A1357&amp;"")</f>
        <v/>
      </c>
      <c r="D1357" s="6">
        <f>IF(C1357="","",SUBSTITUTE(SUBSTITUTE(SUBSTITUTE(SUBSTITUTE(SUBSTITUTE(SUBSTITUTE(SUBSTITUTE(UPPER(TRIM(B1357&amp;"")),"₹",""),"RS.",""),"RS",""),"INR",""),"$",""),",","")," ",""))</f>
        <v/>
      </c>
      <c r="E1357" s="6">
        <f>IF(C1357="","",IF(RIGHT(D1357,2)="CR","Cr",IF(RIGHT(D1357,2)="DR","Dr","")))</f>
        <v/>
      </c>
      <c r="F1357" s="6">
        <f>IF(C1357="","",IF(E1357&lt;&gt;"",LEFT(D1357,LEN(D1357)-2),D1357))</f>
        <v/>
      </c>
      <c r="G1357" s="13">
        <f>IF(C1357="","",IF(OR(IF(AND(LEFT(F1357,1)="(",RIGHT(F1357,1)=")"),MID(F1357,2,LEN(F1357)-2),F1357)="",IF(AND(LEFT(F1357,1)="(",RIGHT(F1357,1)=")"),MID(F1357,2,LEN(F1357)-2),F1357)="-"),0,IFERROR(VALUE(IF(AND(LEFT(F1357,1)="(",RIGHT(F1357,1)=")"),MID(F1357,2,LEN(F1357)-2),F1357))*IF(AND(LEFT(F1357,1)="(",RIGHT(F1357,1)=")"),-1,1)*IF(E1357="Cr",Setup!$B$6,1),"ERR")))</f>
        <v/>
      </c>
      <c r="H1357" s="6">
        <f>IF(C1357="","",IF(ISNUMBER(G1357),1,0))</f>
        <v/>
      </c>
      <c r="I1357" s="6">
        <f>IF(C1357="","",IF(SUMPRODUCT(($C$12:$C$1511=C1357)*1)&gt;1,1,0))</f>
        <v/>
      </c>
      <c r="J1357" s="6">
        <f>IF(C1357="","",SUMPRODUCT((Mapping!$F$5:$F$504=Setup!$B$4&amp;"||"&amp;C1357)*ROW(Mapping!$F$5:$F$504)))</f>
        <v/>
      </c>
      <c r="K1357" s="6">
        <f>IF(C1357="","",IF(J1357=0,"UNMAPPED",LOWER(INDEX(Mapping!$D$1:$D$504,J1357))))</f>
        <v/>
      </c>
      <c r="L1357" s="6">
        <f>IF(K1357="mapped",TRIM(INDEX(Mapping!$C$1:$C$504,J1357)),"")</f>
        <v/>
      </c>
      <c r="M1357" s="6">
        <f>IF(C1357="","",IF(SUMPRODUCT(($C$12:C1357=C1357)*1)=1,1,0))</f>
        <v/>
      </c>
      <c r="N1357" s="6">
        <f>IF(AND(K1357="UNMAPPED",M1357=1),ROW(),"")</f>
        <v/>
      </c>
      <c r="O1357" s="6">
        <f>IF(AND(I1357=1,M1357=1),ROW(),"")</f>
        <v/>
      </c>
      <c r="P1357" s="6">
        <f>IF(AND(K1357="ignored",M1357=1),ROW(),"")</f>
        <v/>
      </c>
    </row>
    <row r="1358">
      <c r="A1358" s="8" t="n"/>
      <c r="B1358" s="8" t="n"/>
      <c r="C1358" s="6">
        <f>TRIM(A1358&amp;"")</f>
        <v/>
      </c>
      <c r="D1358" s="6">
        <f>IF(C1358="","",SUBSTITUTE(SUBSTITUTE(SUBSTITUTE(SUBSTITUTE(SUBSTITUTE(SUBSTITUTE(SUBSTITUTE(UPPER(TRIM(B1358&amp;"")),"₹",""),"RS.",""),"RS",""),"INR",""),"$",""),",","")," ",""))</f>
        <v/>
      </c>
      <c r="E1358" s="6">
        <f>IF(C1358="","",IF(RIGHT(D1358,2)="CR","Cr",IF(RIGHT(D1358,2)="DR","Dr","")))</f>
        <v/>
      </c>
      <c r="F1358" s="6">
        <f>IF(C1358="","",IF(E1358&lt;&gt;"",LEFT(D1358,LEN(D1358)-2),D1358))</f>
        <v/>
      </c>
      <c r="G1358" s="13">
        <f>IF(C1358="","",IF(OR(IF(AND(LEFT(F1358,1)="(",RIGHT(F1358,1)=")"),MID(F1358,2,LEN(F1358)-2),F1358)="",IF(AND(LEFT(F1358,1)="(",RIGHT(F1358,1)=")"),MID(F1358,2,LEN(F1358)-2),F1358)="-"),0,IFERROR(VALUE(IF(AND(LEFT(F1358,1)="(",RIGHT(F1358,1)=")"),MID(F1358,2,LEN(F1358)-2),F1358))*IF(AND(LEFT(F1358,1)="(",RIGHT(F1358,1)=")"),-1,1)*IF(E1358="Cr",Setup!$B$6,1),"ERR")))</f>
        <v/>
      </c>
      <c r="H1358" s="6">
        <f>IF(C1358="","",IF(ISNUMBER(G1358),1,0))</f>
        <v/>
      </c>
      <c r="I1358" s="6">
        <f>IF(C1358="","",IF(SUMPRODUCT(($C$12:$C$1511=C1358)*1)&gt;1,1,0))</f>
        <v/>
      </c>
      <c r="J1358" s="6">
        <f>IF(C1358="","",SUMPRODUCT((Mapping!$F$5:$F$504=Setup!$B$4&amp;"||"&amp;C1358)*ROW(Mapping!$F$5:$F$504)))</f>
        <v/>
      </c>
      <c r="K1358" s="6">
        <f>IF(C1358="","",IF(J1358=0,"UNMAPPED",LOWER(INDEX(Mapping!$D$1:$D$504,J1358))))</f>
        <v/>
      </c>
      <c r="L1358" s="6">
        <f>IF(K1358="mapped",TRIM(INDEX(Mapping!$C$1:$C$504,J1358)),"")</f>
        <v/>
      </c>
      <c r="M1358" s="6">
        <f>IF(C1358="","",IF(SUMPRODUCT(($C$12:C1358=C1358)*1)=1,1,0))</f>
        <v/>
      </c>
      <c r="N1358" s="6">
        <f>IF(AND(K1358="UNMAPPED",M1358=1),ROW(),"")</f>
        <v/>
      </c>
      <c r="O1358" s="6">
        <f>IF(AND(I1358=1,M1358=1),ROW(),"")</f>
        <v/>
      </c>
      <c r="P1358" s="6">
        <f>IF(AND(K1358="ignored",M1358=1),ROW(),"")</f>
        <v/>
      </c>
    </row>
    <row r="1359">
      <c r="A1359" s="8" t="n"/>
      <c r="B1359" s="8" t="n"/>
      <c r="C1359" s="6">
        <f>TRIM(A1359&amp;"")</f>
        <v/>
      </c>
      <c r="D1359" s="6">
        <f>IF(C1359="","",SUBSTITUTE(SUBSTITUTE(SUBSTITUTE(SUBSTITUTE(SUBSTITUTE(SUBSTITUTE(SUBSTITUTE(UPPER(TRIM(B1359&amp;"")),"₹",""),"RS.",""),"RS",""),"INR",""),"$",""),",","")," ",""))</f>
        <v/>
      </c>
      <c r="E1359" s="6">
        <f>IF(C1359="","",IF(RIGHT(D1359,2)="CR","Cr",IF(RIGHT(D1359,2)="DR","Dr","")))</f>
        <v/>
      </c>
      <c r="F1359" s="6">
        <f>IF(C1359="","",IF(E1359&lt;&gt;"",LEFT(D1359,LEN(D1359)-2),D1359))</f>
        <v/>
      </c>
      <c r="G1359" s="13">
        <f>IF(C1359="","",IF(OR(IF(AND(LEFT(F1359,1)="(",RIGHT(F1359,1)=")"),MID(F1359,2,LEN(F1359)-2),F1359)="",IF(AND(LEFT(F1359,1)="(",RIGHT(F1359,1)=")"),MID(F1359,2,LEN(F1359)-2),F1359)="-"),0,IFERROR(VALUE(IF(AND(LEFT(F1359,1)="(",RIGHT(F1359,1)=")"),MID(F1359,2,LEN(F1359)-2),F1359))*IF(AND(LEFT(F1359,1)="(",RIGHT(F1359,1)=")"),-1,1)*IF(E1359="Cr",Setup!$B$6,1),"ERR")))</f>
        <v/>
      </c>
      <c r="H1359" s="6">
        <f>IF(C1359="","",IF(ISNUMBER(G1359),1,0))</f>
        <v/>
      </c>
      <c r="I1359" s="6">
        <f>IF(C1359="","",IF(SUMPRODUCT(($C$12:$C$1511=C1359)*1)&gt;1,1,0))</f>
        <v/>
      </c>
      <c r="J1359" s="6">
        <f>IF(C1359="","",SUMPRODUCT((Mapping!$F$5:$F$504=Setup!$B$4&amp;"||"&amp;C1359)*ROW(Mapping!$F$5:$F$504)))</f>
        <v/>
      </c>
      <c r="K1359" s="6">
        <f>IF(C1359="","",IF(J1359=0,"UNMAPPED",LOWER(INDEX(Mapping!$D$1:$D$504,J1359))))</f>
        <v/>
      </c>
      <c r="L1359" s="6">
        <f>IF(K1359="mapped",TRIM(INDEX(Mapping!$C$1:$C$504,J1359)),"")</f>
        <v/>
      </c>
      <c r="M1359" s="6">
        <f>IF(C1359="","",IF(SUMPRODUCT(($C$12:C1359=C1359)*1)=1,1,0))</f>
        <v/>
      </c>
      <c r="N1359" s="6">
        <f>IF(AND(K1359="UNMAPPED",M1359=1),ROW(),"")</f>
        <v/>
      </c>
      <c r="O1359" s="6">
        <f>IF(AND(I1359=1,M1359=1),ROW(),"")</f>
        <v/>
      </c>
      <c r="P1359" s="6">
        <f>IF(AND(K1359="ignored",M1359=1),ROW(),"")</f>
        <v/>
      </c>
    </row>
    <row r="1360">
      <c r="A1360" s="8" t="n"/>
      <c r="B1360" s="8" t="n"/>
      <c r="C1360" s="6">
        <f>TRIM(A1360&amp;"")</f>
        <v/>
      </c>
      <c r="D1360" s="6">
        <f>IF(C1360="","",SUBSTITUTE(SUBSTITUTE(SUBSTITUTE(SUBSTITUTE(SUBSTITUTE(SUBSTITUTE(SUBSTITUTE(UPPER(TRIM(B1360&amp;"")),"₹",""),"RS.",""),"RS",""),"INR",""),"$",""),",","")," ",""))</f>
        <v/>
      </c>
      <c r="E1360" s="6">
        <f>IF(C1360="","",IF(RIGHT(D1360,2)="CR","Cr",IF(RIGHT(D1360,2)="DR","Dr","")))</f>
        <v/>
      </c>
      <c r="F1360" s="6">
        <f>IF(C1360="","",IF(E1360&lt;&gt;"",LEFT(D1360,LEN(D1360)-2),D1360))</f>
        <v/>
      </c>
      <c r="G1360" s="13">
        <f>IF(C1360="","",IF(OR(IF(AND(LEFT(F1360,1)="(",RIGHT(F1360,1)=")"),MID(F1360,2,LEN(F1360)-2),F1360)="",IF(AND(LEFT(F1360,1)="(",RIGHT(F1360,1)=")"),MID(F1360,2,LEN(F1360)-2),F1360)="-"),0,IFERROR(VALUE(IF(AND(LEFT(F1360,1)="(",RIGHT(F1360,1)=")"),MID(F1360,2,LEN(F1360)-2),F1360))*IF(AND(LEFT(F1360,1)="(",RIGHT(F1360,1)=")"),-1,1)*IF(E1360="Cr",Setup!$B$6,1),"ERR")))</f>
        <v/>
      </c>
      <c r="H1360" s="6">
        <f>IF(C1360="","",IF(ISNUMBER(G1360),1,0))</f>
        <v/>
      </c>
      <c r="I1360" s="6">
        <f>IF(C1360="","",IF(SUMPRODUCT(($C$12:$C$1511=C1360)*1)&gt;1,1,0))</f>
        <v/>
      </c>
      <c r="J1360" s="6">
        <f>IF(C1360="","",SUMPRODUCT((Mapping!$F$5:$F$504=Setup!$B$4&amp;"||"&amp;C1360)*ROW(Mapping!$F$5:$F$504)))</f>
        <v/>
      </c>
      <c r="K1360" s="6">
        <f>IF(C1360="","",IF(J1360=0,"UNMAPPED",LOWER(INDEX(Mapping!$D$1:$D$504,J1360))))</f>
        <v/>
      </c>
      <c r="L1360" s="6">
        <f>IF(K1360="mapped",TRIM(INDEX(Mapping!$C$1:$C$504,J1360)),"")</f>
        <v/>
      </c>
      <c r="M1360" s="6">
        <f>IF(C1360="","",IF(SUMPRODUCT(($C$12:C1360=C1360)*1)=1,1,0))</f>
        <v/>
      </c>
      <c r="N1360" s="6">
        <f>IF(AND(K1360="UNMAPPED",M1360=1),ROW(),"")</f>
        <v/>
      </c>
      <c r="O1360" s="6">
        <f>IF(AND(I1360=1,M1360=1),ROW(),"")</f>
        <v/>
      </c>
      <c r="P1360" s="6">
        <f>IF(AND(K1360="ignored",M1360=1),ROW(),"")</f>
        <v/>
      </c>
    </row>
    <row r="1361">
      <c r="A1361" s="8" t="n"/>
      <c r="B1361" s="8" t="n"/>
      <c r="C1361" s="6">
        <f>TRIM(A1361&amp;"")</f>
        <v/>
      </c>
      <c r="D1361" s="6">
        <f>IF(C1361="","",SUBSTITUTE(SUBSTITUTE(SUBSTITUTE(SUBSTITUTE(SUBSTITUTE(SUBSTITUTE(SUBSTITUTE(UPPER(TRIM(B1361&amp;"")),"₹",""),"RS.",""),"RS",""),"INR",""),"$",""),",","")," ",""))</f>
        <v/>
      </c>
      <c r="E1361" s="6">
        <f>IF(C1361="","",IF(RIGHT(D1361,2)="CR","Cr",IF(RIGHT(D1361,2)="DR","Dr","")))</f>
        <v/>
      </c>
      <c r="F1361" s="6">
        <f>IF(C1361="","",IF(E1361&lt;&gt;"",LEFT(D1361,LEN(D1361)-2),D1361))</f>
        <v/>
      </c>
      <c r="G1361" s="13">
        <f>IF(C1361="","",IF(OR(IF(AND(LEFT(F1361,1)="(",RIGHT(F1361,1)=")"),MID(F1361,2,LEN(F1361)-2),F1361)="",IF(AND(LEFT(F1361,1)="(",RIGHT(F1361,1)=")"),MID(F1361,2,LEN(F1361)-2),F1361)="-"),0,IFERROR(VALUE(IF(AND(LEFT(F1361,1)="(",RIGHT(F1361,1)=")"),MID(F1361,2,LEN(F1361)-2),F1361))*IF(AND(LEFT(F1361,1)="(",RIGHT(F1361,1)=")"),-1,1)*IF(E1361="Cr",Setup!$B$6,1),"ERR")))</f>
        <v/>
      </c>
      <c r="H1361" s="6">
        <f>IF(C1361="","",IF(ISNUMBER(G1361),1,0))</f>
        <v/>
      </c>
      <c r="I1361" s="6">
        <f>IF(C1361="","",IF(SUMPRODUCT(($C$12:$C$1511=C1361)*1)&gt;1,1,0))</f>
        <v/>
      </c>
      <c r="J1361" s="6">
        <f>IF(C1361="","",SUMPRODUCT((Mapping!$F$5:$F$504=Setup!$B$4&amp;"||"&amp;C1361)*ROW(Mapping!$F$5:$F$504)))</f>
        <v/>
      </c>
      <c r="K1361" s="6">
        <f>IF(C1361="","",IF(J1361=0,"UNMAPPED",LOWER(INDEX(Mapping!$D$1:$D$504,J1361))))</f>
        <v/>
      </c>
      <c r="L1361" s="6">
        <f>IF(K1361="mapped",TRIM(INDEX(Mapping!$C$1:$C$504,J1361)),"")</f>
        <v/>
      </c>
      <c r="M1361" s="6">
        <f>IF(C1361="","",IF(SUMPRODUCT(($C$12:C1361=C1361)*1)=1,1,0))</f>
        <v/>
      </c>
      <c r="N1361" s="6">
        <f>IF(AND(K1361="UNMAPPED",M1361=1),ROW(),"")</f>
        <v/>
      </c>
      <c r="O1361" s="6">
        <f>IF(AND(I1361=1,M1361=1),ROW(),"")</f>
        <v/>
      </c>
      <c r="P1361" s="6">
        <f>IF(AND(K1361="ignored",M1361=1),ROW(),"")</f>
        <v/>
      </c>
    </row>
    <row r="1362">
      <c r="A1362" s="8" t="n"/>
      <c r="B1362" s="8" t="n"/>
      <c r="C1362" s="6">
        <f>TRIM(A1362&amp;"")</f>
        <v/>
      </c>
      <c r="D1362" s="6">
        <f>IF(C1362="","",SUBSTITUTE(SUBSTITUTE(SUBSTITUTE(SUBSTITUTE(SUBSTITUTE(SUBSTITUTE(SUBSTITUTE(UPPER(TRIM(B1362&amp;"")),"₹",""),"RS.",""),"RS",""),"INR",""),"$",""),",","")," ",""))</f>
        <v/>
      </c>
      <c r="E1362" s="6">
        <f>IF(C1362="","",IF(RIGHT(D1362,2)="CR","Cr",IF(RIGHT(D1362,2)="DR","Dr","")))</f>
        <v/>
      </c>
      <c r="F1362" s="6">
        <f>IF(C1362="","",IF(E1362&lt;&gt;"",LEFT(D1362,LEN(D1362)-2),D1362))</f>
        <v/>
      </c>
      <c r="G1362" s="13">
        <f>IF(C1362="","",IF(OR(IF(AND(LEFT(F1362,1)="(",RIGHT(F1362,1)=")"),MID(F1362,2,LEN(F1362)-2),F1362)="",IF(AND(LEFT(F1362,1)="(",RIGHT(F1362,1)=")"),MID(F1362,2,LEN(F1362)-2),F1362)="-"),0,IFERROR(VALUE(IF(AND(LEFT(F1362,1)="(",RIGHT(F1362,1)=")"),MID(F1362,2,LEN(F1362)-2),F1362))*IF(AND(LEFT(F1362,1)="(",RIGHT(F1362,1)=")"),-1,1)*IF(E1362="Cr",Setup!$B$6,1),"ERR")))</f>
        <v/>
      </c>
      <c r="H1362" s="6">
        <f>IF(C1362="","",IF(ISNUMBER(G1362),1,0))</f>
        <v/>
      </c>
      <c r="I1362" s="6">
        <f>IF(C1362="","",IF(SUMPRODUCT(($C$12:$C$1511=C1362)*1)&gt;1,1,0))</f>
        <v/>
      </c>
      <c r="J1362" s="6">
        <f>IF(C1362="","",SUMPRODUCT((Mapping!$F$5:$F$504=Setup!$B$4&amp;"||"&amp;C1362)*ROW(Mapping!$F$5:$F$504)))</f>
        <v/>
      </c>
      <c r="K1362" s="6">
        <f>IF(C1362="","",IF(J1362=0,"UNMAPPED",LOWER(INDEX(Mapping!$D$1:$D$504,J1362))))</f>
        <v/>
      </c>
      <c r="L1362" s="6">
        <f>IF(K1362="mapped",TRIM(INDEX(Mapping!$C$1:$C$504,J1362)),"")</f>
        <v/>
      </c>
      <c r="M1362" s="6">
        <f>IF(C1362="","",IF(SUMPRODUCT(($C$12:C1362=C1362)*1)=1,1,0))</f>
        <v/>
      </c>
      <c r="N1362" s="6">
        <f>IF(AND(K1362="UNMAPPED",M1362=1),ROW(),"")</f>
        <v/>
      </c>
      <c r="O1362" s="6">
        <f>IF(AND(I1362=1,M1362=1),ROW(),"")</f>
        <v/>
      </c>
      <c r="P1362" s="6">
        <f>IF(AND(K1362="ignored",M1362=1),ROW(),"")</f>
        <v/>
      </c>
    </row>
    <row r="1363">
      <c r="A1363" s="8" t="n"/>
      <c r="B1363" s="8" t="n"/>
      <c r="C1363" s="6">
        <f>TRIM(A1363&amp;"")</f>
        <v/>
      </c>
      <c r="D1363" s="6">
        <f>IF(C1363="","",SUBSTITUTE(SUBSTITUTE(SUBSTITUTE(SUBSTITUTE(SUBSTITUTE(SUBSTITUTE(SUBSTITUTE(UPPER(TRIM(B1363&amp;"")),"₹",""),"RS.",""),"RS",""),"INR",""),"$",""),",","")," ",""))</f>
        <v/>
      </c>
      <c r="E1363" s="6">
        <f>IF(C1363="","",IF(RIGHT(D1363,2)="CR","Cr",IF(RIGHT(D1363,2)="DR","Dr","")))</f>
        <v/>
      </c>
      <c r="F1363" s="6">
        <f>IF(C1363="","",IF(E1363&lt;&gt;"",LEFT(D1363,LEN(D1363)-2),D1363))</f>
        <v/>
      </c>
      <c r="G1363" s="13">
        <f>IF(C1363="","",IF(OR(IF(AND(LEFT(F1363,1)="(",RIGHT(F1363,1)=")"),MID(F1363,2,LEN(F1363)-2),F1363)="",IF(AND(LEFT(F1363,1)="(",RIGHT(F1363,1)=")"),MID(F1363,2,LEN(F1363)-2),F1363)="-"),0,IFERROR(VALUE(IF(AND(LEFT(F1363,1)="(",RIGHT(F1363,1)=")"),MID(F1363,2,LEN(F1363)-2),F1363))*IF(AND(LEFT(F1363,1)="(",RIGHT(F1363,1)=")"),-1,1)*IF(E1363="Cr",Setup!$B$6,1),"ERR")))</f>
        <v/>
      </c>
      <c r="H1363" s="6">
        <f>IF(C1363="","",IF(ISNUMBER(G1363),1,0))</f>
        <v/>
      </c>
      <c r="I1363" s="6">
        <f>IF(C1363="","",IF(SUMPRODUCT(($C$12:$C$1511=C1363)*1)&gt;1,1,0))</f>
        <v/>
      </c>
      <c r="J1363" s="6">
        <f>IF(C1363="","",SUMPRODUCT((Mapping!$F$5:$F$504=Setup!$B$4&amp;"||"&amp;C1363)*ROW(Mapping!$F$5:$F$504)))</f>
        <v/>
      </c>
      <c r="K1363" s="6">
        <f>IF(C1363="","",IF(J1363=0,"UNMAPPED",LOWER(INDEX(Mapping!$D$1:$D$504,J1363))))</f>
        <v/>
      </c>
      <c r="L1363" s="6">
        <f>IF(K1363="mapped",TRIM(INDEX(Mapping!$C$1:$C$504,J1363)),"")</f>
        <v/>
      </c>
      <c r="M1363" s="6">
        <f>IF(C1363="","",IF(SUMPRODUCT(($C$12:C1363=C1363)*1)=1,1,0))</f>
        <v/>
      </c>
      <c r="N1363" s="6">
        <f>IF(AND(K1363="UNMAPPED",M1363=1),ROW(),"")</f>
        <v/>
      </c>
      <c r="O1363" s="6">
        <f>IF(AND(I1363=1,M1363=1),ROW(),"")</f>
        <v/>
      </c>
      <c r="P1363" s="6">
        <f>IF(AND(K1363="ignored",M1363=1),ROW(),"")</f>
        <v/>
      </c>
    </row>
    <row r="1364">
      <c r="A1364" s="8" t="n"/>
      <c r="B1364" s="8" t="n"/>
      <c r="C1364" s="6">
        <f>TRIM(A1364&amp;"")</f>
        <v/>
      </c>
      <c r="D1364" s="6">
        <f>IF(C1364="","",SUBSTITUTE(SUBSTITUTE(SUBSTITUTE(SUBSTITUTE(SUBSTITUTE(SUBSTITUTE(SUBSTITUTE(UPPER(TRIM(B1364&amp;"")),"₹",""),"RS.",""),"RS",""),"INR",""),"$",""),",","")," ",""))</f>
        <v/>
      </c>
      <c r="E1364" s="6">
        <f>IF(C1364="","",IF(RIGHT(D1364,2)="CR","Cr",IF(RIGHT(D1364,2)="DR","Dr","")))</f>
        <v/>
      </c>
      <c r="F1364" s="6">
        <f>IF(C1364="","",IF(E1364&lt;&gt;"",LEFT(D1364,LEN(D1364)-2),D1364))</f>
        <v/>
      </c>
      <c r="G1364" s="13">
        <f>IF(C1364="","",IF(OR(IF(AND(LEFT(F1364,1)="(",RIGHT(F1364,1)=")"),MID(F1364,2,LEN(F1364)-2),F1364)="",IF(AND(LEFT(F1364,1)="(",RIGHT(F1364,1)=")"),MID(F1364,2,LEN(F1364)-2),F1364)="-"),0,IFERROR(VALUE(IF(AND(LEFT(F1364,1)="(",RIGHT(F1364,1)=")"),MID(F1364,2,LEN(F1364)-2),F1364))*IF(AND(LEFT(F1364,1)="(",RIGHT(F1364,1)=")"),-1,1)*IF(E1364="Cr",Setup!$B$6,1),"ERR")))</f>
        <v/>
      </c>
      <c r="H1364" s="6">
        <f>IF(C1364="","",IF(ISNUMBER(G1364),1,0))</f>
        <v/>
      </c>
      <c r="I1364" s="6">
        <f>IF(C1364="","",IF(SUMPRODUCT(($C$12:$C$1511=C1364)*1)&gt;1,1,0))</f>
        <v/>
      </c>
      <c r="J1364" s="6">
        <f>IF(C1364="","",SUMPRODUCT((Mapping!$F$5:$F$504=Setup!$B$4&amp;"||"&amp;C1364)*ROW(Mapping!$F$5:$F$504)))</f>
        <v/>
      </c>
      <c r="K1364" s="6">
        <f>IF(C1364="","",IF(J1364=0,"UNMAPPED",LOWER(INDEX(Mapping!$D$1:$D$504,J1364))))</f>
        <v/>
      </c>
      <c r="L1364" s="6">
        <f>IF(K1364="mapped",TRIM(INDEX(Mapping!$C$1:$C$504,J1364)),"")</f>
        <v/>
      </c>
      <c r="M1364" s="6">
        <f>IF(C1364="","",IF(SUMPRODUCT(($C$12:C1364=C1364)*1)=1,1,0))</f>
        <v/>
      </c>
      <c r="N1364" s="6">
        <f>IF(AND(K1364="UNMAPPED",M1364=1),ROW(),"")</f>
        <v/>
      </c>
      <c r="O1364" s="6">
        <f>IF(AND(I1364=1,M1364=1),ROW(),"")</f>
        <v/>
      </c>
      <c r="P1364" s="6">
        <f>IF(AND(K1364="ignored",M1364=1),ROW(),"")</f>
        <v/>
      </c>
    </row>
    <row r="1365">
      <c r="A1365" s="8" t="n"/>
      <c r="B1365" s="8" t="n"/>
      <c r="C1365" s="6">
        <f>TRIM(A1365&amp;"")</f>
        <v/>
      </c>
      <c r="D1365" s="6">
        <f>IF(C1365="","",SUBSTITUTE(SUBSTITUTE(SUBSTITUTE(SUBSTITUTE(SUBSTITUTE(SUBSTITUTE(SUBSTITUTE(UPPER(TRIM(B1365&amp;"")),"₹",""),"RS.",""),"RS",""),"INR",""),"$",""),",","")," ",""))</f>
        <v/>
      </c>
      <c r="E1365" s="6">
        <f>IF(C1365="","",IF(RIGHT(D1365,2)="CR","Cr",IF(RIGHT(D1365,2)="DR","Dr","")))</f>
        <v/>
      </c>
      <c r="F1365" s="6">
        <f>IF(C1365="","",IF(E1365&lt;&gt;"",LEFT(D1365,LEN(D1365)-2),D1365))</f>
        <v/>
      </c>
      <c r="G1365" s="13">
        <f>IF(C1365="","",IF(OR(IF(AND(LEFT(F1365,1)="(",RIGHT(F1365,1)=")"),MID(F1365,2,LEN(F1365)-2),F1365)="",IF(AND(LEFT(F1365,1)="(",RIGHT(F1365,1)=")"),MID(F1365,2,LEN(F1365)-2),F1365)="-"),0,IFERROR(VALUE(IF(AND(LEFT(F1365,1)="(",RIGHT(F1365,1)=")"),MID(F1365,2,LEN(F1365)-2),F1365))*IF(AND(LEFT(F1365,1)="(",RIGHT(F1365,1)=")"),-1,1)*IF(E1365="Cr",Setup!$B$6,1),"ERR")))</f>
        <v/>
      </c>
      <c r="H1365" s="6">
        <f>IF(C1365="","",IF(ISNUMBER(G1365),1,0))</f>
        <v/>
      </c>
      <c r="I1365" s="6">
        <f>IF(C1365="","",IF(SUMPRODUCT(($C$12:$C$1511=C1365)*1)&gt;1,1,0))</f>
        <v/>
      </c>
      <c r="J1365" s="6">
        <f>IF(C1365="","",SUMPRODUCT((Mapping!$F$5:$F$504=Setup!$B$4&amp;"||"&amp;C1365)*ROW(Mapping!$F$5:$F$504)))</f>
        <v/>
      </c>
      <c r="K1365" s="6">
        <f>IF(C1365="","",IF(J1365=0,"UNMAPPED",LOWER(INDEX(Mapping!$D$1:$D$504,J1365))))</f>
        <v/>
      </c>
      <c r="L1365" s="6">
        <f>IF(K1365="mapped",TRIM(INDEX(Mapping!$C$1:$C$504,J1365)),"")</f>
        <v/>
      </c>
      <c r="M1365" s="6">
        <f>IF(C1365="","",IF(SUMPRODUCT(($C$12:C1365=C1365)*1)=1,1,0))</f>
        <v/>
      </c>
      <c r="N1365" s="6">
        <f>IF(AND(K1365="UNMAPPED",M1365=1),ROW(),"")</f>
        <v/>
      </c>
      <c r="O1365" s="6">
        <f>IF(AND(I1365=1,M1365=1),ROW(),"")</f>
        <v/>
      </c>
      <c r="P1365" s="6">
        <f>IF(AND(K1365="ignored",M1365=1),ROW(),"")</f>
        <v/>
      </c>
    </row>
    <row r="1366">
      <c r="A1366" s="8" t="n"/>
      <c r="B1366" s="8" t="n"/>
      <c r="C1366" s="6">
        <f>TRIM(A1366&amp;"")</f>
        <v/>
      </c>
      <c r="D1366" s="6">
        <f>IF(C1366="","",SUBSTITUTE(SUBSTITUTE(SUBSTITUTE(SUBSTITUTE(SUBSTITUTE(SUBSTITUTE(SUBSTITUTE(UPPER(TRIM(B1366&amp;"")),"₹",""),"RS.",""),"RS",""),"INR",""),"$",""),",","")," ",""))</f>
        <v/>
      </c>
      <c r="E1366" s="6">
        <f>IF(C1366="","",IF(RIGHT(D1366,2)="CR","Cr",IF(RIGHT(D1366,2)="DR","Dr","")))</f>
        <v/>
      </c>
      <c r="F1366" s="6">
        <f>IF(C1366="","",IF(E1366&lt;&gt;"",LEFT(D1366,LEN(D1366)-2),D1366))</f>
        <v/>
      </c>
      <c r="G1366" s="13">
        <f>IF(C1366="","",IF(OR(IF(AND(LEFT(F1366,1)="(",RIGHT(F1366,1)=")"),MID(F1366,2,LEN(F1366)-2),F1366)="",IF(AND(LEFT(F1366,1)="(",RIGHT(F1366,1)=")"),MID(F1366,2,LEN(F1366)-2),F1366)="-"),0,IFERROR(VALUE(IF(AND(LEFT(F1366,1)="(",RIGHT(F1366,1)=")"),MID(F1366,2,LEN(F1366)-2),F1366))*IF(AND(LEFT(F1366,1)="(",RIGHT(F1366,1)=")"),-1,1)*IF(E1366="Cr",Setup!$B$6,1),"ERR")))</f>
        <v/>
      </c>
      <c r="H1366" s="6">
        <f>IF(C1366="","",IF(ISNUMBER(G1366),1,0))</f>
        <v/>
      </c>
      <c r="I1366" s="6">
        <f>IF(C1366="","",IF(SUMPRODUCT(($C$12:$C$1511=C1366)*1)&gt;1,1,0))</f>
        <v/>
      </c>
      <c r="J1366" s="6">
        <f>IF(C1366="","",SUMPRODUCT((Mapping!$F$5:$F$504=Setup!$B$4&amp;"||"&amp;C1366)*ROW(Mapping!$F$5:$F$504)))</f>
        <v/>
      </c>
      <c r="K1366" s="6">
        <f>IF(C1366="","",IF(J1366=0,"UNMAPPED",LOWER(INDEX(Mapping!$D$1:$D$504,J1366))))</f>
        <v/>
      </c>
      <c r="L1366" s="6">
        <f>IF(K1366="mapped",TRIM(INDEX(Mapping!$C$1:$C$504,J1366)),"")</f>
        <v/>
      </c>
      <c r="M1366" s="6">
        <f>IF(C1366="","",IF(SUMPRODUCT(($C$12:C1366=C1366)*1)=1,1,0))</f>
        <v/>
      </c>
      <c r="N1366" s="6">
        <f>IF(AND(K1366="UNMAPPED",M1366=1),ROW(),"")</f>
        <v/>
      </c>
      <c r="O1366" s="6">
        <f>IF(AND(I1366=1,M1366=1),ROW(),"")</f>
        <v/>
      </c>
      <c r="P1366" s="6">
        <f>IF(AND(K1366="ignored",M1366=1),ROW(),"")</f>
        <v/>
      </c>
    </row>
    <row r="1367">
      <c r="A1367" s="8" t="n"/>
      <c r="B1367" s="8" t="n"/>
      <c r="C1367" s="6">
        <f>TRIM(A1367&amp;"")</f>
        <v/>
      </c>
      <c r="D1367" s="6">
        <f>IF(C1367="","",SUBSTITUTE(SUBSTITUTE(SUBSTITUTE(SUBSTITUTE(SUBSTITUTE(SUBSTITUTE(SUBSTITUTE(UPPER(TRIM(B1367&amp;"")),"₹",""),"RS.",""),"RS",""),"INR",""),"$",""),",","")," ",""))</f>
        <v/>
      </c>
      <c r="E1367" s="6">
        <f>IF(C1367="","",IF(RIGHT(D1367,2)="CR","Cr",IF(RIGHT(D1367,2)="DR","Dr","")))</f>
        <v/>
      </c>
      <c r="F1367" s="6">
        <f>IF(C1367="","",IF(E1367&lt;&gt;"",LEFT(D1367,LEN(D1367)-2),D1367))</f>
        <v/>
      </c>
      <c r="G1367" s="13">
        <f>IF(C1367="","",IF(OR(IF(AND(LEFT(F1367,1)="(",RIGHT(F1367,1)=")"),MID(F1367,2,LEN(F1367)-2),F1367)="",IF(AND(LEFT(F1367,1)="(",RIGHT(F1367,1)=")"),MID(F1367,2,LEN(F1367)-2),F1367)="-"),0,IFERROR(VALUE(IF(AND(LEFT(F1367,1)="(",RIGHT(F1367,1)=")"),MID(F1367,2,LEN(F1367)-2),F1367))*IF(AND(LEFT(F1367,1)="(",RIGHT(F1367,1)=")"),-1,1)*IF(E1367="Cr",Setup!$B$6,1),"ERR")))</f>
        <v/>
      </c>
      <c r="H1367" s="6">
        <f>IF(C1367="","",IF(ISNUMBER(G1367),1,0))</f>
        <v/>
      </c>
      <c r="I1367" s="6">
        <f>IF(C1367="","",IF(SUMPRODUCT(($C$12:$C$1511=C1367)*1)&gt;1,1,0))</f>
        <v/>
      </c>
      <c r="J1367" s="6">
        <f>IF(C1367="","",SUMPRODUCT((Mapping!$F$5:$F$504=Setup!$B$4&amp;"||"&amp;C1367)*ROW(Mapping!$F$5:$F$504)))</f>
        <v/>
      </c>
      <c r="K1367" s="6">
        <f>IF(C1367="","",IF(J1367=0,"UNMAPPED",LOWER(INDEX(Mapping!$D$1:$D$504,J1367))))</f>
        <v/>
      </c>
      <c r="L1367" s="6">
        <f>IF(K1367="mapped",TRIM(INDEX(Mapping!$C$1:$C$504,J1367)),"")</f>
        <v/>
      </c>
      <c r="M1367" s="6">
        <f>IF(C1367="","",IF(SUMPRODUCT(($C$12:C1367=C1367)*1)=1,1,0))</f>
        <v/>
      </c>
      <c r="N1367" s="6">
        <f>IF(AND(K1367="UNMAPPED",M1367=1),ROW(),"")</f>
        <v/>
      </c>
      <c r="O1367" s="6">
        <f>IF(AND(I1367=1,M1367=1),ROW(),"")</f>
        <v/>
      </c>
      <c r="P1367" s="6">
        <f>IF(AND(K1367="ignored",M1367=1),ROW(),"")</f>
        <v/>
      </c>
    </row>
    <row r="1368">
      <c r="A1368" s="8" t="n"/>
      <c r="B1368" s="8" t="n"/>
      <c r="C1368" s="6">
        <f>TRIM(A1368&amp;"")</f>
        <v/>
      </c>
      <c r="D1368" s="6">
        <f>IF(C1368="","",SUBSTITUTE(SUBSTITUTE(SUBSTITUTE(SUBSTITUTE(SUBSTITUTE(SUBSTITUTE(SUBSTITUTE(UPPER(TRIM(B1368&amp;"")),"₹",""),"RS.",""),"RS",""),"INR",""),"$",""),",","")," ",""))</f>
        <v/>
      </c>
      <c r="E1368" s="6">
        <f>IF(C1368="","",IF(RIGHT(D1368,2)="CR","Cr",IF(RIGHT(D1368,2)="DR","Dr","")))</f>
        <v/>
      </c>
      <c r="F1368" s="6">
        <f>IF(C1368="","",IF(E1368&lt;&gt;"",LEFT(D1368,LEN(D1368)-2),D1368))</f>
        <v/>
      </c>
      <c r="G1368" s="13">
        <f>IF(C1368="","",IF(OR(IF(AND(LEFT(F1368,1)="(",RIGHT(F1368,1)=")"),MID(F1368,2,LEN(F1368)-2),F1368)="",IF(AND(LEFT(F1368,1)="(",RIGHT(F1368,1)=")"),MID(F1368,2,LEN(F1368)-2),F1368)="-"),0,IFERROR(VALUE(IF(AND(LEFT(F1368,1)="(",RIGHT(F1368,1)=")"),MID(F1368,2,LEN(F1368)-2),F1368))*IF(AND(LEFT(F1368,1)="(",RIGHT(F1368,1)=")"),-1,1)*IF(E1368="Cr",Setup!$B$6,1),"ERR")))</f>
        <v/>
      </c>
      <c r="H1368" s="6">
        <f>IF(C1368="","",IF(ISNUMBER(G1368),1,0))</f>
        <v/>
      </c>
      <c r="I1368" s="6">
        <f>IF(C1368="","",IF(SUMPRODUCT(($C$12:$C$1511=C1368)*1)&gt;1,1,0))</f>
        <v/>
      </c>
      <c r="J1368" s="6">
        <f>IF(C1368="","",SUMPRODUCT((Mapping!$F$5:$F$504=Setup!$B$4&amp;"||"&amp;C1368)*ROW(Mapping!$F$5:$F$504)))</f>
        <v/>
      </c>
      <c r="K1368" s="6">
        <f>IF(C1368="","",IF(J1368=0,"UNMAPPED",LOWER(INDEX(Mapping!$D$1:$D$504,J1368))))</f>
        <v/>
      </c>
      <c r="L1368" s="6">
        <f>IF(K1368="mapped",TRIM(INDEX(Mapping!$C$1:$C$504,J1368)),"")</f>
        <v/>
      </c>
      <c r="M1368" s="6">
        <f>IF(C1368="","",IF(SUMPRODUCT(($C$12:C1368=C1368)*1)=1,1,0))</f>
        <v/>
      </c>
      <c r="N1368" s="6">
        <f>IF(AND(K1368="UNMAPPED",M1368=1),ROW(),"")</f>
        <v/>
      </c>
      <c r="O1368" s="6">
        <f>IF(AND(I1368=1,M1368=1),ROW(),"")</f>
        <v/>
      </c>
      <c r="P1368" s="6">
        <f>IF(AND(K1368="ignored",M1368=1),ROW(),"")</f>
        <v/>
      </c>
    </row>
    <row r="1369">
      <c r="A1369" s="8" t="n"/>
      <c r="B1369" s="8" t="n"/>
      <c r="C1369" s="6">
        <f>TRIM(A1369&amp;"")</f>
        <v/>
      </c>
      <c r="D1369" s="6">
        <f>IF(C1369="","",SUBSTITUTE(SUBSTITUTE(SUBSTITUTE(SUBSTITUTE(SUBSTITUTE(SUBSTITUTE(SUBSTITUTE(UPPER(TRIM(B1369&amp;"")),"₹",""),"RS.",""),"RS",""),"INR",""),"$",""),",","")," ",""))</f>
        <v/>
      </c>
      <c r="E1369" s="6">
        <f>IF(C1369="","",IF(RIGHT(D1369,2)="CR","Cr",IF(RIGHT(D1369,2)="DR","Dr","")))</f>
        <v/>
      </c>
      <c r="F1369" s="6">
        <f>IF(C1369="","",IF(E1369&lt;&gt;"",LEFT(D1369,LEN(D1369)-2),D1369))</f>
        <v/>
      </c>
      <c r="G1369" s="13">
        <f>IF(C1369="","",IF(OR(IF(AND(LEFT(F1369,1)="(",RIGHT(F1369,1)=")"),MID(F1369,2,LEN(F1369)-2),F1369)="",IF(AND(LEFT(F1369,1)="(",RIGHT(F1369,1)=")"),MID(F1369,2,LEN(F1369)-2),F1369)="-"),0,IFERROR(VALUE(IF(AND(LEFT(F1369,1)="(",RIGHT(F1369,1)=")"),MID(F1369,2,LEN(F1369)-2),F1369))*IF(AND(LEFT(F1369,1)="(",RIGHT(F1369,1)=")"),-1,1)*IF(E1369="Cr",Setup!$B$6,1),"ERR")))</f>
        <v/>
      </c>
      <c r="H1369" s="6">
        <f>IF(C1369="","",IF(ISNUMBER(G1369),1,0))</f>
        <v/>
      </c>
      <c r="I1369" s="6">
        <f>IF(C1369="","",IF(SUMPRODUCT(($C$12:$C$1511=C1369)*1)&gt;1,1,0))</f>
        <v/>
      </c>
      <c r="J1369" s="6">
        <f>IF(C1369="","",SUMPRODUCT((Mapping!$F$5:$F$504=Setup!$B$4&amp;"||"&amp;C1369)*ROW(Mapping!$F$5:$F$504)))</f>
        <v/>
      </c>
      <c r="K1369" s="6">
        <f>IF(C1369="","",IF(J1369=0,"UNMAPPED",LOWER(INDEX(Mapping!$D$1:$D$504,J1369))))</f>
        <v/>
      </c>
      <c r="L1369" s="6">
        <f>IF(K1369="mapped",TRIM(INDEX(Mapping!$C$1:$C$504,J1369)),"")</f>
        <v/>
      </c>
      <c r="M1369" s="6">
        <f>IF(C1369="","",IF(SUMPRODUCT(($C$12:C1369=C1369)*1)=1,1,0))</f>
        <v/>
      </c>
      <c r="N1369" s="6">
        <f>IF(AND(K1369="UNMAPPED",M1369=1),ROW(),"")</f>
        <v/>
      </c>
      <c r="O1369" s="6">
        <f>IF(AND(I1369=1,M1369=1),ROW(),"")</f>
        <v/>
      </c>
      <c r="P1369" s="6">
        <f>IF(AND(K1369="ignored",M1369=1),ROW(),"")</f>
        <v/>
      </c>
    </row>
    <row r="1370">
      <c r="A1370" s="8" t="n"/>
      <c r="B1370" s="8" t="n"/>
      <c r="C1370" s="6">
        <f>TRIM(A1370&amp;"")</f>
        <v/>
      </c>
      <c r="D1370" s="6">
        <f>IF(C1370="","",SUBSTITUTE(SUBSTITUTE(SUBSTITUTE(SUBSTITUTE(SUBSTITUTE(SUBSTITUTE(SUBSTITUTE(UPPER(TRIM(B1370&amp;"")),"₹",""),"RS.",""),"RS",""),"INR",""),"$",""),",","")," ",""))</f>
        <v/>
      </c>
      <c r="E1370" s="6">
        <f>IF(C1370="","",IF(RIGHT(D1370,2)="CR","Cr",IF(RIGHT(D1370,2)="DR","Dr","")))</f>
        <v/>
      </c>
      <c r="F1370" s="6">
        <f>IF(C1370="","",IF(E1370&lt;&gt;"",LEFT(D1370,LEN(D1370)-2),D1370))</f>
        <v/>
      </c>
      <c r="G1370" s="13">
        <f>IF(C1370="","",IF(OR(IF(AND(LEFT(F1370,1)="(",RIGHT(F1370,1)=")"),MID(F1370,2,LEN(F1370)-2),F1370)="",IF(AND(LEFT(F1370,1)="(",RIGHT(F1370,1)=")"),MID(F1370,2,LEN(F1370)-2),F1370)="-"),0,IFERROR(VALUE(IF(AND(LEFT(F1370,1)="(",RIGHT(F1370,1)=")"),MID(F1370,2,LEN(F1370)-2),F1370))*IF(AND(LEFT(F1370,1)="(",RIGHT(F1370,1)=")"),-1,1)*IF(E1370="Cr",Setup!$B$6,1),"ERR")))</f>
        <v/>
      </c>
      <c r="H1370" s="6">
        <f>IF(C1370="","",IF(ISNUMBER(G1370),1,0))</f>
        <v/>
      </c>
      <c r="I1370" s="6">
        <f>IF(C1370="","",IF(SUMPRODUCT(($C$12:$C$1511=C1370)*1)&gt;1,1,0))</f>
        <v/>
      </c>
      <c r="J1370" s="6">
        <f>IF(C1370="","",SUMPRODUCT((Mapping!$F$5:$F$504=Setup!$B$4&amp;"||"&amp;C1370)*ROW(Mapping!$F$5:$F$504)))</f>
        <v/>
      </c>
      <c r="K1370" s="6">
        <f>IF(C1370="","",IF(J1370=0,"UNMAPPED",LOWER(INDEX(Mapping!$D$1:$D$504,J1370))))</f>
        <v/>
      </c>
      <c r="L1370" s="6">
        <f>IF(K1370="mapped",TRIM(INDEX(Mapping!$C$1:$C$504,J1370)),"")</f>
        <v/>
      </c>
      <c r="M1370" s="6">
        <f>IF(C1370="","",IF(SUMPRODUCT(($C$12:C1370=C1370)*1)=1,1,0))</f>
        <v/>
      </c>
      <c r="N1370" s="6">
        <f>IF(AND(K1370="UNMAPPED",M1370=1),ROW(),"")</f>
        <v/>
      </c>
      <c r="O1370" s="6">
        <f>IF(AND(I1370=1,M1370=1),ROW(),"")</f>
        <v/>
      </c>
      <c r="P1370" s="6">
        <f>IF(AND(K1370="ignored",M1370=1),ROW(),"")</f>
        <v/>
      </c>
    </row>
    <row r="1371">
      <c r="A1371" s="8" t="n"/>
      <c r="B1371" s="8" t="n"/>
      <c r="C1371" s="6">
        <f>TRIM(A1371&amp;"")</f>
        <v/>
      </c>
      <c r="D1371" s="6">
        <f>IF(C1371="","",SUBSTITUTE(SUBSTITUTE(SUBSTITUTE(SUBSTITUTE(SUBSTITUTE(SUBSTITUTE(SUBSTITUTE(UPPER(TRIM(B1371&amp;"")),"₹",""),"RS.",""),"RS",""),"INR",""),"$",""),",","")," ",""))</f>
        <v/>
      </c>
      <c r="E1371" s="6">
        <f>IF(C1371="","",IF(RIGHT(D1371,2)="CR","Cr",IF(RIGHT(D1371,2)="DR","Dr","")))</f>
        <v/>
      </c>
      <c r="F1371" s="6">
        <f>IF(C1371="","",IF(E1371&lt;&gt;"",LEFT(D1371,LEN(D1371)-2),D1371))</f>
        <v/>
      </c>
      <c r="G1371" s="13">
        <f>IF(C1371="","",IF(OR(IF(AND(LEFT(F1371,1)="(",RIGHT(F1371,1)=")"),MID(F1371,2,LEN(F1371)-2),F1371)="",IF(AND(LEFT(F1371,1)="(",RIGHT(F1371,1)=")"),MID(F1371,2,LEN(F1371)-2),F1371)="-"),0,IFERROR(VALUE(IF(AND(LEFT(F1371,1)="(",RIGHT(F1371,1)=")"),MID(F1371,2,LEN(F1371)-2),F1371))*IF(AND(LEFT(F1371,1)="(",RIGHT(F1371,1)=")"),-1,1)*IF(E1371="Cr",Setup!$B$6,1),"ERR")))</f>
        <v/>
      </c>
      <c r="H1371" s="6">
        <f>IF(C1371="","",IF(ISNUMBER(G1371),1,0))</f>
        <v/>
      </c>
      <c r="I1371" s="6">
        <f>IF(C1371="","",IF(SUMPRODUCT(($C$12:$C$1511=C1371)*1)&gt;1,1,0))</f>
        <v/>
      </c>
      <c r="J1371" s="6">
        <f>IF(C1371="","",SUMPRODUCT((Mapping!$F$5:$F$504=Setup!$B$4&amp;"||"&amp;C1371)*ROW(Mapping!$F$5:$F$504)))</f>
        <v/>
      </c>
      <c r="K1371" s="6">
        <f>IF(C1371="","",IF(J1371=0,"UNMAPPED",LOWER(INDEX(Mapping!$D$1:$D$504,J1371))))</f>
        <v/>
      </c>
      <c r="L1371" s="6">
        <f>IF(K1371="mapped",TRIM(INDEX(Mapping!$C$1:$C$504,J1371)),"")</f>
        <v/>
      </c>
      <c r="M1371" s="6">
        <f>IF(C1371="","",IF(SUMPRODUCT(($C$12:C1371=C1371)*1)=1,1,0))</f>
        <v/>
      </c>
      <c r="N1371" s="6">
        <f>IF(AND(K1371="UNMAPPED",M1371=1),ROW(),"")</f>
        <v/>
      </c>
      <c r="O1371" s="6">
        <f>IF(AND(I1371=1,M1371=1),ROW(),"")</f>
        <v/>
      </c>
      <c r="P1371" s="6">
        <f>IF(AND(K1371="ignored",M1371=1),ROW(),"")</f>
        <v/>
      </c>
    </row>
    <row r="1372">
      <c r="A1372" s="8" t="n"/>
      <c r="B1372" s="8" t="n"/>
      <c r="C1372" s="6">
        <f>TRIM(A1372&amp;"")</f>
        <v/>
      </c>
      <c r="D1372" s="6">
        <f>IF(C1372="","",SUBSTITUTE(SUBSTITUTE(SUBSTITUTE(SUBSTITUTE(SUBSTITUTE(SUBSTITUTE(SUBSTITUTE(UPPER(TRIM(B1372&amp;"")),"₹",""),"RS.",""),"RS",""),"INR",""),"$",""),",","")," ",""))</f>
        <v/>
      </c>
      <c r="E1372" s="6">
        <f>IF(C1372="","",IF(RIGHT(D1372,2)="CR","Cr",IF(RIGHT(D1372,2)="DR","Dr","")))</f>
        <v/>
      </c>
      <c r="F1372" s="6">
        <f>IF(C1372="","",IF(E1372&lt;&gt;"",LEFT(D1372,LEN(D1372)-2),D1372))</f>
        <v/>
      </c>
      <c r="G1372" s="13">
        <f>IF(C1372="","",IF(OR(IF(AND(LEFT(F1372,1)="(",RIGHT(F1372,1)=")"),MID(F1372,2,LEN(F1372)-2),F1372)="",IF(AND(LEFT(F1372,1)="(",RIGHT(F1372,1)=")"),MID(F1372,2,LEN(F1372)-2),F1372)="-"),0,IFERROR(VALUE(IF(AND(LEFT(F1372,1)="(",RIGHT(F1372,1)=")"),MID(F1372,2,LEN(F1372)-2),F1372))*IF(AND(LEFT(F1372,1)="(",RIGHT(F1372,1)=")"),-1,1)*IF(E1372="Cr",Setup!$B$6,1),"ERR")))</f>
        <v/>
      </c>
      <c r="H1372" s="6">
        <f>IF(C1372="","",IF(ISNUMBER(G1372),1,0))</f>
        <v/>
      </c>
      <c r="I1372" s="6">
        <f>IF(C1372="","",IF(SUMPRODUCT(($C$12:$C$1511=C1372)*1)&gt;1,1,0))</f>
        <v/>
      </c>
      <c r="J1372" s="6">
        <f>IF(C1372="","",SUMPRODUCT((Mapping!$F$5:$F$504=Setup!$B$4&amp;"||"&amp;C1372)*ROW(Mapping!$F$5:$F$504)))</f>
        <v/>
      </c>
      <c r="K1372" s="6">
        <f>IF(C1372="","",IF(J1372=0,"UNMAPPED",LOWER(INDEX(Mapping!$D$1:$D$504,J1372))))</f>
        <v/>
      </c>
      <c r="L1372" s="6">
        <f>IF(K1372="mapped",TRIM(INDEX(Mapping!$C$1:$C$504,J1372)),"")</f>
        <v/>
      </c>
      <c r="M1372" s="6">
        <f>IF(C1372="","",IF(SUMPRODUCT(($C$12:C1372=C1372)*1)=1,1,0))</f>
        <v/>
      </c>
      <c r="N1372" s="6">
        <f>IF(AND(K1372="UNMAPPED",M1372=1),ROW(),"")</f>
        <v/>
      </c>
      <c r="O1372" s="6">
        <f>IF(AND(I1372=1,M1372=1),ROW(),"")</f>
        <v/>
      </c>
      <c r="P1372" s="6">
        <f>IF(AND(K1372="ignored",M1372=1),ROW(),"")</f>
        <v/>
      </c>
    </row>
    <row r="1373">
      <c r="A1373" s="8" t="n"/>
      <c r="B1373" s="8" t="n"/>
      <c r="C1373" s="6">
        <f>TRIM(A1373&amp;"")</f>
        <v/>
      </c>
      <c r="D1373" s="6">
        <f>IF(C1373="","",SUBSTITUTE(SUBSTITUTE(SUBSTITUTE(SUBSTITUTE(SUBSTITUTE(SUBSTITUTE(SUBSTITUTE(UPPER(TRIM(B1373&amp;"")),"₹",""),"RS.",""),"RS",""),"INR",""),"$",""),",","")," ",""))</f>
        <v/>
      </c>
      <c r="E1373" s="6">
        <f>IF(C1373="","",IF(RIGHT(D1373,2)="CR","Cr",IF(RIGHT(D1373,2)="DR","Dr","")))</f>
        <v/>
      </c>
      <c r="F1373" s="6">
        <f>IF(C1373="","",IF(E1373&lt;&gt;"",LEFT(D1373,LEN(D1373)-2),D1373))</f>
        <v/>
      </c>
      <c r="G1373" s="13">
        <f>IF(C1373="","",IF(OR(IF(AND(LEFT(F1373,1)="(",RIGHT(F1373,1)=")"),MID(F1373,2,LEN(F1373)-2),F1373)="",IF(AND(LEFT(F1373,1)="(",RIGHT(F1373,1)=")"),MID(F1373,2,LEN(F1373)-2),F1373)="-"),0,IFERROR(VALUE(IF(AND(LEFT(F1373,1)="(",RIGHT(F1373,1)=")"),MID(F1373,2,LEN(F1373)-2),F1373))*IF(AND(LEFT(F1373,1)="(",RIGHT(F1373,1)=")"),-1,1)*IF(E1373="Cr",Setup!$B$6,1),"ERR")))</f>
        <v/>
      </c>
      <c r="H1373" s="6">
        <f>IF(C1373="","",IF(ISNUMBER(G1373),1,0))</f>
        <v/>
      </c>
      <c r="I1373" s="6">
        <f>IF(C1373="","",IF(SUMPRODUCT(($C$12:$C$1511=C1373)*1)&gt;1,1,0))</f>
        <v/>
      </c>
      <c r="J1373" s="6">
        <f>IF(C1373="","",SUMPRODUCT((Mapping!$F$5:$F$504=Setup!$B$4&amp;"||"&amp;C1373)*ROW(Mapping!$F$5:$F$504)))</f>
        <v/>
      </c>
      <c r="K1373" s="6">
        <f>IF(C1373="","",IF(J1373=0,"UNMAPPED",LOWER(INDEX(Mapping!$D$1:$D$504,J1373))))</f>
        <v/>
      </c>
      <c r="L1373" s="6">
        <f>IF(K1373="mapped",TRIM(INDEX(Mapping!$C$1:$C$504,J1373)),"")</f>
        <v/>
      </c>
      <c r="M1373" s="6">
        <f>IF(C1373="","",IF(SUMPRODUCT(($C$12:C1373=C1373)*1)=1,1,0))</f>
        <v/>
      </c>
      <c r="N1373" s="6">
        <f>IF(AND(K1373="UNMAPPED",M1373=1),ROW(),"")</f>
        <v/>
      </c>
      <c r="O1373" s="6">
        <f>IF(AND(I1373=1,M1373=1),ROW(),"")</f>
        <v/>
      </c>
      <c r="P1373" s="6">
        <f>IF(AND(K1373="ignored",M1373=1),ROW(),"")</f>
        <v/>
      </c>
    </row>
    <row r="1374">
      <c r="A1374" s="8" t="n"/>
      <c r="B1374" s="8" t="n"/>
      <c r="C1374" s="6">
        <f>TRIM(A1374&amp;"")</f>
        <v/>
      </c>
      <c r="D1374" s="6">
        <f>IF(C1374="","",SUBSTITUTE(SUBSTITUTE(SUBSTITUTE(SUBSTITUTE(SUBSTITUTE(SUBSTITUTE(SUBSTITUTE(UPPER(TRIM(B1374&amp;"")),"₹",""),"RS.",""),"RS",""),"INR",""),"$",""),",","")," ",""))</f>
        <v/>
      </c>
      <c r="E1374" s="6">
        <f>IF(C1374="","",IF(RIGHT(D1374,2)="CR","Cr",IF(RIGHT(D1374,2)="DR","Dr","")))</f>
        <v/>
      </c>
      <c r="F1374" s="6">
        <f>IF(C1374="","",IF(E1374&lt;&gt;"",LEFT(D1374,LEN(D1374)-2),D1374))</f>
        <v/>
      </c>
      <c r="G1374" s="13">
        <f>IF(C1374="","",IF(OR(IF(AND(LEFT(F1374,1)="(",RIGHT(F1374,1)=")"),MID(F1374,2,LEN(F1374)-2),F1374)="",IF(AND(LEFT(F1374,1)="(",RIGHT(F1374,1)=")"),MID(F1374,2,LEN(F1374)-2),F1374)="-"),0,IFERROR(VALUE(IF(AND(LEFT(F1374,1)="(",RIGHT(F1374,1)=")"),MID(F1374,2,LEN(F1374)-2),F1374))*IF(AND(LEFT(F1374,1)="(",RIGHT(F1374,1)=")"),-1,1)*IF(E1374="Cr",Setup!$B$6,1),"ERR")))</f>
        <v/>
      </c>
      <c r="H1374" s="6">
        <f>IF(C1374="","",IF(ISNUMBER(G1374),1,0))</f>
        <v/>
      </c>
      <c r="I1374" s="6">
        <f>IF(C1374="","",IF(SUMPRODUCT(($C$12:$C$1511=C1374)*1)&gt;1,1,0))</f>
        <v/>
      </c>
      <c r="J1374" s="6">
        <f>IF(C1374="","",SUMPRODUCT((Mapping!$F$5:$F$504=Setup!$B$4&amp;"||"&amp;C1374)*ROW(Mapping!$F$5:$F$504)))</f>
        <v/>
      </c>
      <c r="K1374" s="6">
        <f>IF(C1374="","",IF(J1374=0,"UNMAPPED",LOWER(INDEX(Mapping!$D$1:$D$504,J1374))))</f>
        <v/>
      </c>
      <c r="L1374" s="6">
        <f>IF(K1374="mapped",TRIM(INDEX(Mapping!$C$1:$C$504,J1374)),"")</f>
        <v/>
      </c>
      <c r="M1374" s="6">
        <f>IF(C1374="","",IF(SUMPRODUCT(($C$12:C1374=C1374)*1)=1,1,0))</f>
        <v/>
      </c>
      <c r="N1374" s="6">
        <f>IF(AND(K1374="UNMAPPED",M1374=1),ROW(),"")</f>
        <v/>
      </c>
      <c r="O1374" s="6">
        <f>IF(AND(I1374=1,M1374=1),ROW(),"")</f>
        <v/>
      </c>
      <c r="P1374" s="6">
        <f>IF(AND(K1374="ignored",M1374=1),ROW(),"")</f>
        <v/>
      </c>
    </row>
    <row r="1375">
      <c r="A1375" s="8" t="n"/>
      <c r="B1375" s="8" t="n"/>
      <c r="C1375" s="6">
        <f>TRIM(A1375&amp;"")</f>
        <v/>
      </c>
      <c r="D1375" s="6">
        <f>IF(C1375="","",SUBSTITUTE(SUBSTITUTE(SUBSTITUTE(SUBSTITUTE(SUBSTITUTE(SUBSTITUTE(SUBSTITUTE(UPPER(TRIM(B1375&amp;"")),"₹",""),"RS.",""),"RS",""),"INR",""),"$",""),",","")," ",""))</f>
        <v/>
      </c>
      <c r="E1375" s="6">
        <f>IF(C1375="","",IF(RIGHT(D1375,2)="CR","Cr",IF(RIGHT(D1375,2)="DR","Dr","")))</f>
        <v/>
      </c>
      <c r="F1375" s="6">
        <f>IF(C1375="","",IF(E1375&lt;&gt;"",LEFT(D1375,LEN(D1375)-2),D1375))</f>
        <v/>
      </c>
      <c r="G1375" s="13">
        <f>IF(C1375="","",IF(OR(IF(AND(LEFT(F1375,1)="(",RIGHT(F1375,1)=")"),MID(F1375,2,LEN(F1375)-2),F1375)="",IF(AND(LEFT(F1375,1)="(",RIGHT(F1375,1)=")"),MID(F1375,2,LEN(F1375)-2),F1375)="-"),0,IFERROR(VALUE(IF(AND(LEFT(F1375,1)="(",RIGHT(F1375,1)=")"),MID(F1375,2,LEN(F1375)-2),F1375))*IF(AND(LEFT(F1375,1)="(",RIGHT(F1375,1)=")"),-1,1)*IF(E1375="Cr",Setup!$B$6,1),"ERR")))</f>
        <v/>
      </c>
      <c r="H1375" s="6">
        <f>IF(C1375="","",IF(ISNUMBER(G1375),1,0))</f>
        <v/>
      </c>
      <c r="I1375" s="6">
        <f>IF(C1375="","",IF(SUMPRODUCT(($C$12:$C$1511=C1375)*1)&gt;1,1,0))</f>
        <v/>
      </c>
      <c r="J1375" s="6">
        <f>IF(C1375="","",SUMPRODUCT((Mapping!$F$5:$F$504=Setup!$B$4&amp;"||"&amp;C1375)*ROW(Mapping!$F$5:$F$504)))</f>
        <v/>
      </c>
      <c r="K1375" s="6">
        <f>IF(C1375="","",IF(J1375=0,"UNMAPPED",LOWER(INDEX(Mapping!$D$1:$D$504,J1375))))</f>
        <v/>
      </c>
      <c r="L1375" s="6">
        <f>IF(K1375="mapped",TRIM(INDEX(Mapping!$C$1:$C$504,J1375)),"")</f>
        <v/>
      </c>
      <c r="M1375" s="6">
        <f>IF(C1375="","",IF(SUMPRODUCT(($C$12:C1375=C1375)*1)=1,1,0))</f>
        <v/>
      </c>
      <c r="N1375" s="6">
        <f>IF(AND(K1375="UNMAPPED",M1375=1),ROW(),"")</f>
        <v/>
      </c>
      <c r="O1375" s="6">
        <f>IF(AND(I1375=1,M1375=1),ROW(),"")</f>
        <v/>
      </c>
      <c r="P1375" s="6">
        <f>IF(AND(K1375="ignored",M1375=1),ROW(),"")</f>
        <v/>
      </c>
    </row>
    <row r="1376">
      <c r="A1376" s="8" t="n"/>
      <c r="B1376" s="8" t="n"/>
      <c r="C1376" s="6">
        <f>TRIM(A1376&amp;"")</f>
        <v/>
      </c>
      <c r="D1376" s="6">
        <f>IF(C1376="","",SUBSTITUTE(SUBSTITUTE(SUBSTITUTE(SUBSTITUTE(SUBSTITUTE(SUBSTITUTE(SUBSTITUTE(UPPER(TRIM(B1376&amp;"")),"₹",""),"RS.",""),"RS",""),"INR",""),"$",""),",","")," ",""))</f>
        <v/>
      </c>
      <c r="E1376" s="6">
        <f>IF(C1376="","",IF(RIGHT(D1376,2)="CR","Cr",IF(RIGHT(D1376,2)="DR","Dr","")))</f>
        <v/>
      </c>
      <c r="F1376" s="6">
        <f>IF(C1376="","",IF(E1376&lt;&gt;"",LEFT(D1376,LEN(D1376)-2),D1376))</f>
        <v/>
      </c>
      <c r="G1376" s="13">
        <f>IF(C1376="","",IF(OR(IF(AND(LEFT(F1376,1)="(",RIGHT(F1376,1)=")"),MID(F1376,2,LEN(F1376)-2),F1376)="",IF(AND(LEFT(F1376,1)="(",RIGHT(F1376,1)=")"),MID(F1376,2,LEN(F1376)-2),F1376)="-"),0,IFERROR(VALUE(IF(AND(LEFT(F1376,1)="(",RIGHT(F1376,1)=")"),MID(F1376,2,LEN(F1376)-2),F1376))*IF(AND(LEFT(F1376,1)="(",RIGHT(F1376,1)=")"),-1,1)*IF(E1376="Cr",Setup!$B$6,1),"ERR")))</f>
        <v/>
      </c>
      <c r="H1376" s="6">
        <f>IF(C1376="","",IF(ISNUMBER(G1376),1,0))</f>
        <v/>
      </c>
      <c r="I1376" s="6">
        <f>IF(C1376="","",IF(SUMPRODUCT(($C$12:$C$1511=C1376)*1)&gt;1,1,0))</f>
        <v/>
      </c>
      <c r="J1376" s="6">
        <f>IF(C1376="","",SUMPRODUCT((Mapping!$F$5:$F$504=Setup!$B$4&amp;"||"&amp;C1376)*ROW(Mapping!$F$5:$F$504)))</f>
        <v/>
      </c>
      <c r="K1376" s="6">
        <f>IF(C1376="","",IF(J1376=0,"UNMAPPED",LOWER(INDEX(Mapping!$D$1:$D$504,J1376))))</f>
        <v/>
      </c>
      <c r="L1376" s="6">
        <f>IF(K1376="mapped",TRIM(INDEX(Mapping!$C$1:$C$504,J1376)),"")</f>
        <v/>
      </c>
      <c r="M1376" s="6">
        <f>IF(C1376="","",IF(SUMPRODUCT(($C$12:C1376=C1376)*1)=1,1,0))</f>
        <v/>
      </c>
      <c r="N1376" s="6">
        <f>IF(AND(K1376="UNMAPPED",M1376=1),ROW(),"")</f>
        <v/>
      </c>
      <c r="O1376" s="6">
        <f>IF(AND(I1376=1,M1376=1),ROW(),"")</f>
        <v/>
      </c>
      <c r="P1376" s="6">
        <f>IF(AND(K1376="ignored",M1376=1),ROW(),"")</f>
        <v/>
      </c>
    </row>
    <row r="1377">
      <c r="A1377" s="8" t="n"/>
      <c r="B1377" s="8" t="n"/>
      <c r="C1377" s="6">
        <f>TRIM(A1377&amp;"")</f>
        <v/>
      </c>
      <c r="D1377" s="6">
        <f>IF(C1377="","",SUBSTITUTE(SUBSTITUTE(SUBSTITUTE(SUBSTITUTE(SUBSTITUTE(SUBSTITUTE(SUBSTITUTE(UPPER(TRIM(B1377&amp;"")),"₹",""),"RS.",""),"RS",""),"INR",""),"$",""),",","")," ",""))</f>
        <v/>
      </c>
      <c r="E1377" s="6">
        <f>IF(C1377="","",IF(RIGHT(D1377,2)="CR","Cr",IF(RIGHT(D1377,2)="DR","Dr","")))</f>
        <v/>
      </c>
      <c r="F1377" s="6">
        <f>IF(C1377="","",IF(E1377&lt;&gt;"",LEFT(D1377,LEN(D1377)-2),D1377))</f>
        <v/>
      </c>
      <c r="G1377" s="13">
        <f>IF(C1377="","",IF(OR(IF(AND(LEFT(F1377,1)="(",RIGHT(F1377,1)=")"),MID(F1377,2,LEN(F1377)-2),F1377)="",IF(AND(LEFT(F1377,1)="(",RIGHT(F1377,1)=")"),MID(F1377,2,LEN(F1377)-2),F1377)="-"),0,IFERROR(VALUE(IF(AND(LEFT(F1377,1)="(",RIGHT(F1377,1)=")"),MID(F1377,2,LEN(F1377)-2),F1377))*IF(AND(LEFT(F1377,1)="(",RIGHT(F1377,1)=")"),-1,1)*IF(E1377="Cr",Setup!$B$6,1),"ERR")))</f>
        <v/>
      </c>
      <c r="H1377" s="6">
        <f>IF(C1377="","",IF(ISNUMBER(G1377),1,0))</f>
        <v/>
      </c>
      <c r="I1377" s="6">
        <f>IF(C1377="","",IF(SUMPRODUCT(($C$12:$C$1511=C1377)*1)&gt;1,1,0))</f>
        <v/>
      </c>
      <c r="J1377" s="6">
        <f>IF(C1377="","",SUMPRODUCT((Mapping!$F$5:$F$504=Setup!$B$4&amp;"||"&amp;C1377)*ROW(Mapping!$F$5:$F$504)))</f>
        <v/>
      </c>
      <c r="K1377" s="6">
        <f>IF(C1377="","",IF(J1377=0,"UNMAPPED",LOWER(INDEX(Mapping!$D$1:$D$504,J1377))))</f>
        <v/>
      </c>
      <c r="L1377" s="6">
        <f>IF(K1377="mapped",TRIM(INDEX(Mapping!$C$1:$C$504,J1377)),"")</f>
        <v/>
      </c>
      <c r="M1377" s="6">
        <f>IF(C1377="","",IF(SUMPRODUCT(($C$12:C1377=C1377)*1)=1,1,0))</f>
        <v/>
      </c>
      <c r="N1377" s="6">
        <f>IF(AND(K1377="UNMAPPED",M1377=1),ROW(),"")</f>
        <v/>
      </c>
      <c r="O1377" s="6">
        <f>IF(AND(I1377=1,M1377=1),ROW(),"")</f>
        <v/>
      </c>
      <c r="P1377" s="6">
        <f>IF(AND(K1377="ignored",M1377=1),ROW(),"")</f>
        <v/>
      </c>
    </row>
    <row r="1378">
      <c r="A1378" s="8" t="n"/>
      <c r="B1378" s="8" t="n"/>
      <c r="C1378" s="6">
        <f>TRIM(A1378&amp;"")</f>
        <v/>
      </c>
      <c r="D1378" s="6">
        <f>IF(C1378="","",SUBSTITUTE(SUBSTITUTE(SUBSTITUTE(SUBSTITUTE(SUBSTITUTE(SUBSTITUTE(SUBSTITUTE(UPPER(TRIM(B1378&amp;"")),"₹",""),"RS.",""),"RS",""),"INR",""),"$",""),",","")," ",""))</f>
        <v/>
      </c>
      <c r="E1378" s="6">
        <f>IF(C1378="","",IF(RIGHT(D1378,2)="CR","Cr",IF(RIGHT(D1378,2)="DR","Dr","")))</f>
        <v/>
      </c>
      <c r="F1378" s="6">
        <f>IF(C1378="","",IF(E1378&lt;&gt;"",LEFT(D1378,LEN(D1378)-2),D1378))</f>
        <v/>
      </c>
      <c r="G1378" s="13">
        <f>IF(C1378="","",IF(OR(IF(AND(LEFT(F1378,1)="(",RIGHT(F1378,1)=")"),MID(F1378,2,LEN(F1378)-2),F1378)="",IF(AND(LEFT(F1378,1)="(",RIGHT(F1378,1)=")"),MID(F1378,2,LEN(F1378)-2),F1378)="-"),0,IFERROR(VALUE(IF(AND(LEFT(F1378,1)="(",RIGHT(F1378,1)=")"),MID(F1378,2,LEN(F1378)-2),F1378))*IF(AND(LEFT(F1378,1)="(",RIGHT(F1378,1)=")"),-1,1)*IF(E1378="Cr",Setup!$B$6,1),"ERR")))</f>
        <v/>
      </c>
      <c r="H1378" s="6">
        <f>IF(C1378="","",IF(ISNUMBER(G1378),1,0))</f>
        <v/>
      </c>
      <c r="I1378" s="6">
        <f>IF(C1378="","",IF(SUMPRODUCT(($C$12:$C$1511=C1378)*1)&gt;1,1,0))</f>
        <v/>
      </c>
      <c r="J1378" s="6">
        <f>IF(C1378="","",SUMPRODUCT((Mapping!$F$5:$F$504=Setup!$B$4&amp;"||"&amp;C1378)*ROW(Mapping!$F$5:$F$504)))</f>
        <v/>
      </c>
      <c r="K1378" s="6">
        <f>IF(C1378="","",IF(J1378=0,"UNMAPPED",LOWER(INDEX(Mapping!$D$1:$D$504,J1378))))</f>
        <v/>
      </c>
      <c r="L1378" s="6">
        <f>IF(K1378="mapped",TRIM(INDEX(Mapping!$C$1:$C$504,J1378)),"")</f>
        <v/>
      </c>
      <c r="M1378" s="6">
        <f>IF(C1378="","",IF(SUMPRODUCT(($C$12:C1378=C1378)*1)=1,1,0))</f>
        <v/>
      </c>
      <c r="N1378" s="6">
        <f>IF(AND(K1378="UNMAPPED",M1378=1),ROW(),"")</f>
        <v/>
      </c>
      <c r="O1378" s="6">
        <f>IF(AND(I1378=1,M1378=1),ROW(),"")</f>
        <v/>
      </c>
      <c r="P1378" s="6">
        <f>IF(AND(K1378="ignored",M1378=1),ROW(),"")</f>
        <v/>
      </c>
    </row>
    <row r="1379">
      <c r="A1379" s="8" t="n"/>
      <c r="B1379" s="8" t="n"/>
      <c r="C1379" s="6">
        <f>TRIM(A1379&amp;"")</f>
        <v/>
      </c>
      <c r="D1379" s="6">
        <f>IF(C1379="","",SUBSTITUTE(SUBSTITUTE(SUBSTITUTE(SUBSTITUTE(SUBSTITUTE(SUBSTITUTE(SUBSTITUTE(UPPER(TRIM(B1379&amp;"")),"₹",""),"RS.",""),"RS",""),"INR",""),"$",""),",","")," ",""))</f>
        <v/>
      </c>
      <c r="E1379" s="6">
        <f>IF(C1379="","",IF(RIGHT(D1379,2)="CR","Cr",IF(RIGHT(D1379,2)="DR","Dr","")))</f>
        <v/>
      </c>
      <c r="F1379" s="6">
        <f>IF(C1379="","",IF(E1379&lt;&gt;"",LEFT(D1379,LEN(D1379)-2),D1379))</f>
        <v/>
      </c>
      <c r="G1379" s="13">
        <f>IF(C1379="","",IF(OR(IF(AND(LEFT(F1379,1)="(",RIGHT(F1379,1)=")"),MID(F1379,2,LEN(F1379)-2),F1379)="",IF(AND(LEFT(F1379,1)="(",RIGHT(F1379,1)=")"),MID(F1379,2,LEN(F1379)-2),F1379)="-"),0,IFERROR(VALUE(IF(AND(LEFT(F1379,1)="(",RIGHT(F1379,1)=")"),MID(F1379,2,LEN(F1379)-2),F1379))*IF(AND(LEFT(F1379,1)="(",RIGHT(F1379,1)=")"),-1,1)*IF(E1379="Cr",Setup!$B$6,1),"ERR")))</f>
        <v/>
      </c>
      <c r="H1379" s="6">
        <f>IF(C1379="","",IF(ISNUMBER(G1379),1,0))</f>
        <v/>
      </c>
      <c r="I1379" s="6">
        <f>IF(C1379="","",IF(SUMPRODUCT(($C$12:$C$1511=C1379)*1)&gt;1,1,0))</f>
        <v/>
      </c>
      <c r="J1379" s="6">
        <f>IF(C1379="","",SUMPRODUCT((Mapping!$F$5:$F$504=Setup!$B$4&amp;"||"&amp;C1379)*ROW(Mapping!$F$5:$F$504)))</f>
        <v/>
      </c>
      <c r="K1379" s="6">
        <f>IF(C1379="","",IF(J1379=0,"UNMAPPED",LOWER(INDEX(Mapping!$D$1:$D$504,J1379))))</f>
        <v/>
      </c>
      <c r="L1379" s="6">
        <f>IF(K1379="mapped",TRIM(INDEX(Mapping!$C$1:$C$504,J1379)),"")</f>
        <v/>
      </c>
      <c r="M1379" s="6">
        <f>IF(C1379="","",IF(SUMPRODUCT(($C$12:C1379=C1379)*1)=1,1,0))</f>
        <v/>
      </c>
      <c r="N1379" s="6">
        <f>IF(AND(K1379="UNMAPPED",M1379=1),ROW(),"")</f>
        <v/>
      </c>
      <c r="O1379" s="6">
        <f>IF(AND(I1379=1,M1379=1),ROW(),"")</f>
        <v/>
      </c>
      <c r="P1379" s="6">
        <f>IF(AND(K1379="ignored",M1379=1),ROW(),"")</f>
        <v/>
      </c>
    </row>
    <row r="1380">
      <c r="A1380" s="8" t="n"/>
      <c r="B1380" s="8" t="n"/>
      <c r="C1380" s="6">
        <f>TRIM(A1380&amp;"")</f>
        <v/>
      </c>
      <c r="D1380" s="6">
        <f>IF(C1380="","",SUBSTITUTE(SUBSTITUTE(SUBSTITUTE(SUBSTITUTE(SUBSTITUTE(SUBSTITUTE(SUBSTITUTE(UPPER(TRIM(B1380&amp;"")),"₹",""),"RS.",""),"RS",""),"INR",""),"$",""),",","")," ",""))</f>
        <v/>
      </c>
      <c r="E1380" s="6">
        <f>IF(C1380="","",IF(RIGHT(D1380,2)="CR","Cr",IF(RIGHT(D1380,2)="DR","Dr","")))</f>
        <v/>
      </c>
      <c r="F1380" s="6">
        <f>IF(C1380="","",IF(E1380&lt;&gt;"",LEFT(D1380,LEN(D1380)-2),D1380))</f>
        <v/>
      </c>
      <c r="G1380" s="13">
        <f>IF(C1380="","",IF(OR(IF(AND(LEFT(F1380,1)="(",RIGHT(F1380,1)=")"),MID(F1380,2,LEN(F1380)-2),F1380)="",IF(AND(LEFT(F1380,1)="(",RIGHT(F1380,1)=")"),MID(F1380,2,LEN(F1380)-2),F1380)="-"),0,IFERROR(VALUE(IF(AND(LEFT(F1380,1)="(",RIGHT(F1380,1)=")"),MID(F1380,2,LEN(F1380)-2),F1380))*IF(AND(LEFT(F1380,1)="(",RIGHT(F1380,1)=")"),-1,1)*IF(E1380="Cr",Setup!$B$6,1),"ERR")))</f>
        <v/>
      </c>
      <c r="H1380" s="6">
        <f>IF(C1380="","",IF(ISNUMBER(G1380),1,0))</f>
        <v/>
      </c>
      <c r="I1380" s="6">
        <f>IF(C1380="","",IF(SUMPRODUCT(($C$12:$C$1511=C1380)*1)&gt;1,1,0))</f>
        <v/>
      </c>
      <c r="J1380" s="6">
        <f>IF(C1380="","",SUMPRODUCT((Mapping!$F$5:$F$504=Setup!$B$4&amp;"||"&amp;C1380)*ROW(Mapping!$F$5:$F$504)))</f>
        <v/>
      </c>
      <c r="K1380" s="6">
        <f>IF(C1380="","",IF(J1380=0,"UNMAPPED",LOWER(INDEX(Mapping!$D$1:$D$504,J1380))))</f>
        <v/>
      </c>
      <c r="L1380" s="6">
        <f>IF(K1380="mapped",TRIM(INDEX(Mapping!$C$1:$C$504,J1380)),"")</f>
        <v/>
      </c>
      <c r="M1380" s="6">
        <f>IF(C1380="","",IF(SUMPRODUCT(($C$12:C1380=C1380)*1)=1,1,0))</f>
        <v/>
      </c>
      <c r="N1380" s="6">
        <f>IF(AND(K1380="UNMAPPED",M1380=1),ROW(),"")</f>
        <v/>
      </c>
      <c r="O1380" s="6">
        <f>IF(AND(I1380=1,M1380=1),ROW(),"")</f>
        <v/>
      </c>
      <c r="P1380" s="6">
        <f>IF(AND(K1380="ignored",M1380=1),ROW(),"")</f>
        <v/>
      </c>
    </row>
    <row r="1381">
      <c r="A1381" s="8" t="n"/>
      <c r="B1381" s="8" t="n"/>
      <c r="C1381" s="6">
        <f>TRIM(A1381&amp;"")</f>
        <v/>
      </c>
      <c r="D1381" s="6">
        <f>IF(C1381="","",SUBSTITUTE(SUBSTITUTE(SUBSTITUTE(SUBSTITUTE(SUBSTITUTE(SUBSTITUTE(SUBSTITUTE(UPPER(TRIM(B1381&amp;"")),"₹",""),"RS.",""),"RS",""),"INR",""),"$",""),",","")," ",""))</f>
        <v/>
      </c>
      <c r="E1381" s="6">
        <f>IF(C1381="","",IF(RIGHT(D1381,2)="CR","Cr",IF(RIGHT(D1381,2)="DR","Dr","")))</f>
        <v/>
      </c>
      <c r="F1381" s="6">
        <f>IF(C1381="","",IF(E1381&lt;&gt;"",LEFT(D1381,LEN(D1381)-2),D1381))</f>
        <v/>
      </c>
      <c r="G1381" s="13">
        <f>IF(C1381="","",IF(OR(IF(AND(LEFT(F1381,1)="(",RIGHT(F1381,1)=")"),MID(F1381,2,LEN(F1381)-2),F1381)="",IF(AND(LEFT(F1381,1)="(",RIGHT(F1381,1)=")"),MID(F1381,2,LEN(F1381)-2),F1381)="-"),0,IFERROR(VALUE(IF(AND(LEFT(F1381,1)="(",RIGHT(F1381,1)=")"),MID(F1381,2,LEN(F1381)-2),F1381))*IF(AND(LEFT(F1381,1)="(",RIGHT(F1381,1)=")"),-1,1)*IF(E1381="Cr",Setup!$B$6,1),"ERR")))</f>
        <v/>
      </c>
      <c r="H1381" s="6">
        <f>IF(C1381="","",IF(ISNUMBER(G1381),1,0))</f>
        <v/>
      </c>
      <c r="I1381" s="6">
        <f>IF(C1381="","",IF(SUMPRODUCT(($C$12:$C$1511=C1381)*1)&gt;1,1,0))</f>
        <v/>
      </c>
      <c r="J1381" s="6">
        <f>IF(C1381="","",SUMPRODUCT((Mapping!$F$5:$F$504=Setup!$B$4&amp;"||"&amp;C1381)*ROW(Mapping!$F$5:$F$504)))</f>
        <v/>
      </c>
      <c r="K1381" s="6">
        <f>IF(C1381="","",IF(J1381=0,"UNMAPPED",LOWER(INDEX(Mapping!$D$1:$D$504,J1381))))</f>
        <v/>
      </c>
      <c r="L1381" s="6">
        <f>IF(K1381="mapped",TRIM(INDEX(Mapping!$C$1:$C$504,J1381)),"")</f>
        <v/>
      </c>
      <c r="M1381" s="6">
        <f>IF(C1381="","",IF(SUMPRODUCT(($C$12:C1381=C1381)*1)=1,1,0))</f>
        <v/>
      </c>
      <c r="N1381" s="6">
        <f>IF(AND(K1381="UNMAPPED",M1381=1),ROW(),"")</f>
        <v/>
      </c>
      <c r="O1381" s="6">
        <f>IF(AND(I1381=1,M1381=1),ROW(),"")</f>
        <v/>
      </c>
      <c r="P1381" s="6">
        <f>IF(AND(K1381="ignored",M1381=1),ROW(),"")</f>
        <v/>
      </c>
    </row>
    <row r="1382">
      <c r="A1382" s="8" t="n"/>
      <c r="B1382" s="8" t="n"/>
      <c r="C1382" s="6">
        <f>TRIM(A1382&amp;"")</f>
        <v/>
      </c>
      <c r="D1382" s="6">
        <f>IF(C1382="","",SUBSTITUTE(SUBSTITUTE(SUBSTITUTE(SUBSTITUTE(SUBSTITUTE(SUBSTITUTE(SUBSTITUTE(UPPER(TRIM(B1382&amp;"")),"₹",""),"RS.",""),"RS",""),"INR",""),"$",""),",","")," ",""))</f>
        <v/>
      </c>
      <c r="E1382" s="6">
        <f>IF(C1382="","",IF(RIGHT(D1382,2)="CR","Cr",IF(RIGHT(D1382,2)="DR","Dr","")))</f>
        <v/>
      </c>
      <c r="F1382" s="6">
        <f>IF(C1382="","",IF(E1382&lt;&gt;"",LEFT(D1382,LEN(D1382)-2),D1382))</f>
        <v/>
      </c>
      <c r="G1382" s="13">
        <f>IF(C1382="","",IF(OR(IF(AND(LEFT(F1382,1)="(",RIGHT(F1382,1)=")"),MID(F1382,2,LEN(F1382)-2),F1382)="",IF(AND(LEFT(F1382,1)="(",RIGHT(F1382,1)=")"),MID(F1382,2,LEN(F1382)-2),F1382)="-"),0,IFERROR(VALUE(IF(AND(LEFT(F1382,1)="(",RIGHT(F1382,1)=")"),MID(F1382,2,LEN(F1382)-2),F1382))*IF(AND(LEFT(F1382,1)="(",RIGHT(F1382,1)=")"),-1,1)*IF(E1382="Cr",Setup!$B$6,1),"ERR")))</f>
        <v/>
      </c>
      <c r="H1382" s="6">
        <f>IF(C1382="","",IF(ISNUMBER(G1382),1,0))</f>
        <v/>
      </c>
      <c r="I1382" s="6">
        <f>IF(C1382="","",IF(SUMPRODUCT(($C$12:$C$1511=C1382)*1)&gt;1,1,0))</f>
        <v/>
      </c>
      <c r="J1382" s="6">
        <f>IF(C1382="","",SUMPRODUCT((Mapping!$F$5:$F$504=Setup!$B$4&amp;"||"&amp;C1382)*ROW(Mapping!$F$5:$F$504)))</f>
        <v/>
      </c>
      <c r="K1382" s="6">
        <f>IF(C1382="","",IF(J1382=0,"UNMAPPED",LOWER(INDEX(Mapping!$D$1:$D$504,J1382))))</f>
        <v/>
      </c>
      <c r="L1382" s="6">
        <f>IF(K1382="mapped",TRIM(INDEX(Mapping!$C$1:$C$504,J1382)),"")</f>
        <v/>
      </c>
      <c r="M1382" s="6">
        <f>IF(C1382="","",IF(SUMPRODUCT(($C$12:C1382=C1382)*1)=1,1,0))</f>
        <v/>
      </c>
      <c r="N1382" s="6">
        <f>IF(AND(K1382="UNMAPPED",M1382=1),ROW(),"")</f>
        <v/>
      </c>
      <c r="O1382" s="6">
        <f>IF(AND(I1382=1,M1382=1),ROW(),"")</f>
        <v/>
      </c>
      <c r="P1382" s="6">
        <f>IF(AND(K1382="ignored",M1382=1),ROW(),"")</f>
        <v/>
      </c>
    </row>
    <row r="1383">
      <c r="A1383" s="8" t="n"/>
      <c r="B1383" s="8" t="n"/>
      <c r="C1383" s="6">
        <f>TRIM(A1383&amp;"")</f>
        <v/>
      </c>
      <c r="D1383" s="6">
        <f>IF(C1383="","",SUBSTITUTE(SUBSTITUTE(SUBSTITUTE(SUBSTITUTE(SUBSTITUTE(SUBSTITUTE(SUBSTITUTE(UPPER(TRIM(B1383&amp;"")),"₹",""),"RS.",""),"RS",""),"INR",""),"$",""),",","")," ",""))</f>
        <v/>
      </c>
      <c r="E1383" s="6">
        <f>IF(C1383="","",IF(RIGHT(D1383,2)="CR","Cr",IF(RIGHT(D1383,2)="DR","Dr","")))</f>
        <v/>
      </c>
      <c r="F1383" s="6">
        <f>IF(C1383="","",IF(E1383&lt;&gt;"",LEFT(D1383,LEN(D1383)-2),D1383))</f>
        <v/>
      </c>
      <c r="G1383" s="13">
        <f>IF(C1383="","",IF(OR(IF(AND(LEFT(F1383,1)="(",RIGHT(F1383,1)=")"),MID(F1383,2,LEN(F1383)-2),F1383)="",IF(AND(LEFT(F1383,1)="(",RIGHT(F1383,1)=")"),MID(F1383,2,LEN(F1383)-2),F1383)="-"),0,IFERROR(VALUE(IF(AND(LEFT(F1383,1)="(",RIGHT(F1383,1)=")"),MID(F1383,2,LEN(F1383)-2),F1383))*IF(AND(LEFT(F1383,1)="(",RIGHT(F1383,1)=")"),-1,1)*IF(E1383="Cr",Setup!$B$6,1),"ERR")))</f>
        <v/>
      </c>
      <c r="H1383" s="6">
        <f>IF(C1383="","",IF(ISNUMBER(G1383),1,0))</f>
        <v/>
      </c>
      <c r="I1383" s="6">
        <f>IF(C1383="","",IF(SUMPRODUCT(($C$12:$C$1511=C1383)*1)&gt;1,1,0))</f>
        <v/>
      </c>
      <c r="J1383" s="6">
        <f>IF(C1383="","",SUMPRODUCT((Mapping!$F$5:$F$504=Setup!$B$4&amp;"||"&amp;C1383)*ROW(Mapping!$F$5:$F$504)))</f>
        <v/>
      </c>
      <c r="K1383" s="6">
        <f>IF(C1383="","",IF(J1383=0,"UNMAPPED",LOWER(INDEX(Mapping!$D$1:$D$504,J1383))))</f>
        <v/>
      </c>
      <c r="L1383" s="6">
        <f>IF(K1383="mapped",TRIM(INDEX(Mapping!$C$1:$C$504,J1383)),"")</f>
        <v/>
      </c>
      <c r="M1383" s="6">
        <f>IF(C1383="","",IF(SUMPRODUCT(($C$12:C1383=C1383)*1)=1,1,0))</f>
        <v/>
      </c>
      <c r="N1383" s="6">
        <f>IF(AND(K1383="UNMAPPED",M1383=1),ROW(),"")</f>
        <v/>
      </c>
      <c r="O1383" s="6">
        <f>IF(AND(I1383=1,M1383=1),ROW(),"")</f>
        <v/>
      </c>
      <c r="P1383" s="6">
        <f>IF(AND(K1383="ignored",M1383=1),ROW(),"")</f>
        <v/>
      </c>
    </row>
    <row r="1384">
      <c r="A1384" s="8" t="n"/>
      <c r="B1384" s="8" t="n"/>
      <c r="C1384" s="6">
        <f>TRIM(A1384&amp;"")</f>
        <v/>
      </c>
      <c r="D1384" s="6">
        <f>IF(C1384="","",SUBSTITUTE(SUBSTITUTE(SUBSTITUTE(SUBSTITUTE(SUBSTITUTE(SUBSTITUTE(SUBSTITUTE(UPPER(TRIM(B1384&amp;"")),"₹",""),"RS.",""),"RS",""),"INR",""),"$",""),",","")," ",""))</f>
        <v/>
      </c>
      <c r="E1384" s="6">
        <f>IF(C1384="","",IF(RIGHT(D1384,2)="CR","Cr",IF(RIGHT(D1384,2)="DR","Dr","")))</f>
        <v/>
      </c>
      <c r="F1384" s="6">
        <f>IF(C1384="","",IF(E1384&lt;&gt;"",LEFT(D1384,LEN(D1384)-2),D1384))</f>
        <v/>
      </c>
      <c r="G1384" s="13">
        <f>IF(C1384="","",IF(OR(IF(AND(LEFT(F1384,1)="(",RIGHT(F1384,1)=")"),MID(F1384,2,LEN(F1384)-2),F1384)="",IF(AND(LEFT(F1384,1)="(",RIGHT(F1384,1)=")"),MID(F1384,2,LEN(F1384)-2),F1384)="-"),0,IFERROR(VALUE(IF(AND(LEFT(F1384,1)="(",RIGHT(F1384,1)=")"),MID(F1384,2,LEN(F1384)-2),F1384))*IF(AND(LEFT(F1384,1)="(",RIGHT(F1384,1)=")"),-1,1)*IF(E1384="Cr",Setup!$B$6,1),"ERR")))</f>
        <v/>
      </c>
      <c r="H1384" s="6">
        <f>IF(C1384="","",IF(ISNUMBER(G1384),1,0))</f>
        <v/>
      </c>
      <c r="I1384" s="6">
        <f>IF(C1384="","",IF(SUMPRODUCT(($C$12:$C$1511=C1384)*1)&gt;1,1,0))</f>
        <v/>
      </c>
      <c r="J1384" s="6">
        <f>IF(C1384="","",SUMPRODUCT((Mapping!$F$5:$F$504=Setup!$B$4&amp;"||"&amp;C1384)*ROW(Mapping!$F$5:$F$504)))</f>
        <v/>
      </c>
      <c r="K1384" s="6">
        <f>IF(C1384="","",IF(J1384=0,"UNMAPPED",LOWER(INDEX(Mapping!$D$1:$D$504,J1384))))</f>
        <v/>
      </c>
      <c r="L1384" s="6">
        <f>IF(K1384="mapped",TRIM(INDEX(Mapping!$C$1:$C$504,J1384)),"")</f>
        <v/>
      </c>
      <c r="M1384" s="6">
        <f>IF(C1384="","",IF(SUMPRODUCT(($C$12:C1384=C1384)*1)=1,1,0))</f>
        <v/>
      </c>
      <c r="N1384" s="6">
        <f>IF(AND(K1384="UNMAPPED",M1384=1),ROW(),"")</f>
        <v/>
      </c>
      <c r="O1384" s="6">
        <f>IF(AND(I1384=1,M1384=1),ROW(),"")</f>
        <v/>
      </c>
      <c r="P1384" s="6">
        <f>IF(AND(K1384="ignored",M1384=1),ROW(),"")</f>
        <v/>
      </c>
    </row>
    <row r="1385">
      <c r="A1385" s="8" t="n"/>
      <c r="B1385" s="8" t="n"/>
      <c r="C1385" s="6">
        <f>TRIM(A1385&amp;"")</f>
        <v/>
      </c>
      <c r="D1385" s="6">
        <f>IF(C1385="","",SUBSTITUTE(SUBSTITUTE(SUBSTITUTE(SUBSTITUTE(SUBSTITUTE(SUBSTITUTE(SUBSTITUTE(UPPER(TRIM(B1385&amp;"")),"₹",""),"RS.",""),"RS",""),"INR",""),"$",""),",","")," ",""))</f>
        <v/>
      </c>
      <c r="E1385" s="6">
        <f>IF(C1385="","",IF(RIGHT(D1385,2)="CR","Cr",IF(RIGHT(D1385,2)="DR","Dr","")))</f>
        <v/>
      </c>
      <c r="F1385" s="6">
        <f>IF(C1385="","",IF(E1385&lt;&gt;"",LEFT(D1385,LEN(D1385)-2),D1385))</f>
        <v/>
      </c>
      <c r="G1385" s="13">
        <f>IF(C1385="","",IF(OR(IF(AND(LEFT(F1385,1)="(",RIGHT(F1385,1)=")"),MID(F1385,2,LEN(F1385)-2),F1385)="",IF(AND(LEFT(F1385,1)="(",RIGHT(F1385,1)=")"),MID(F1385,2,LEN(F1385)-2),F1385)="-"),0,IFERROR(VALUE(IF(AND(LEFT(F1385,1)="(",RIGHT(F1385,1)=")"),MID(F1385,2,LEN(F1385)-2),F1385))*IF(AND(LEFT(F1385,1)="(",RIGHT(F1385,1)=")"),-1,1)*IF(E1385="Cr",Setup!$B$6,1),"ERR")))</f>
        <v/>
      </c>
      <c r="H1385" s="6">
        <f>IF(C1385="","",IF(ISNUMBER(G1385),1,0))</f>
        <v/>
      </c>
      <c r="I1385" s="6">
        <f>IF(C1385="","",IF(SUMPRODUCT(($C$12:$C$1511=C1385)*1)&gt;1,1,0))</f>
        <v/>
      </c>
      <c r="J1385" s="6">
        <f>IF(C1385="","",SUMPRODUCT((Mapping!$F$5:$F$504=Setup!$B$4&amp;"||"&amp;C1385)*ROW(Mapping!$F$5:$F$504)))</f>
        <v/>
      </c>
      <c r="K1385" s="6">
        <f>IF(C1385="","",IF(J1385=0,"UNMAPPED",LOWER(INDEX(Mapping!$D$1:$D$504,J1385))))</f>
        <v/>
      </c>
      <c r="L1385" s="6">
        <f>IF(K1385="mapped",TRIM(INDEX(Mapping!$C$1:$C$504,J1385)),"")</f>
        <v/>
      </c>
      <c r="M1385" s="6">
        <f>IF(C1385="","",IF(SUMPRODUCT(($C$12:C1385=C1385)*1)=1,1,0))</f>
        <v/>
      </c>
      <c r="N1385" s="6">
        <f>IF(AND(K1385="UNMAPPED",M1385=1),ROW(),"")</f>
        <v/>
      </c>
      <c r="O1385" s="6">
        <f>IF(AND(I1385=1,M1385=1),ROW(),"")</f>
        <v/>
      </c>
      <c r="P1385" s="6">
        <f>IF(AND(K1385="ignored",M1385=1),ROW(),"")</f>
        <v/>
      </c>
    </row>
    <row r="1386">
      <c r="A1386" s="8" t="n"/>
      <c r="B1386" s="8" t="n"/>
      <c r="C1386" s="6">
        <f>TRIM(A1386&amp;"")</f>
        <v/>
      </c>
      <c r="D1386" s="6">
        <f>IF(C1386="","",SUBSTITUTE(SUBSTITUTE(SUBSTITUTE(SUBSTITUTE(SUBSTITUTE(SUBSTITUTE(SUBSTITUTE(UPPER(TRIM(B1386&amp;"")),"₹",""),"RS.",""),"RS",""),"INR",""),"$",""),",","")," ",""))</f>
        <v/>
      </c>
      <c r="E1386" s="6">
        <f>IF(C1386="","",IF(RIGHT(D1386,2)="CR","Cr",IF(RIGHT(D1386,2)="DR","Dr","")))</f>
        <v/>
      </c>
      <c r="F1386" s="6">
        <f>IF(C1386="","",IF(E1386&lt;&gt;"",LEFT(D1386,LEN(D1386)-2),D1386))</f>
        <v/>
      </c>
      <c r="G1386" s="13">
        <f>IF(C1386="","",IF(OR(IF(AND(LEFT(F1386,1)="(",RIGHT(F1386,1)=")"),MID(F1386,2,LEN(F1386)-2),F1386)="",IF(AND(LEFT(F1386,1)="(",RIGHT(F1386,1)=")"),MID(F1386,2,LEN(F1386)-2),F1386)="-"),0,IFERROR(VALUE(IF(AND(LEFT(F1386,1)="(",RIGHT(F1386,1)=")"),MID(F1386,2,LEN(F1386)-2),F1386))*IF(AND(LEFT(F1386,1)="(",RIGHT(F1386,1)=")"),-1,1)*IF(E1386="Cr",Setup!$B$6,1),"ERR")))</f>
        <v/>
      </c>
      <c r="H1386" s="6">
        <f>IF(C1386="","",IF(ISNUMBER(G1386),1,0))</f>
        <v/>
      </c>
      <c r="I1386" s="6">
        <f>IF(C1386="","",IF(SUMPRODUCT(($C$12:$C$1511=C1386)*1)&gt;1,1,0))</f>
        <v/>
      </c>
      <c r="J1386" s="6">
        <f>IF(C1386="","",SUMPRODUCT((Mapping!$F$5:$F$504=Setup!$B$4&amp;"||"&amp;C1386)*ROW(Mapping!$F$5:$F$504)))</f>
        <v/>
      </c>
      <c r="K1386" s="6">
        <f>IF(C1386="","",IF(J1386=0,"UNMAPPED",LOWER(INDEX(Mapping!$D$1:$D$504,J1386))))</f>
        <v/>
      </c>
      <c r="L1386" s="6">
        <f>IF(K1386="mapped",TRIM(INDEX(Mapping!$C$1:$C$504,J1386)),"")</f>
        <v/>
      </c>
      <c r="M1386" s="6">
        <f>IF(C1386="","",IF(SUMPRODUCT(($C$12:C1386=C1386)*1)=1,1,0))</f>
        <v/>
      </c>
      <c r="N1386" s="6">
        <f>IF(AND(K1386="UNMAPPED",M1386=1),ROW(),"")</f>
        <v/>
      </c>
      <c r="O1386" s="6">
        <f>IF(AND(I1386=1,M1386=1),ROW(),"")</f>
        <v/>
      </c>
      <c r="P1386" s="6">
        <f>IF(AND(K1386="ignored",M1386=1),ROW(),"")</f>
        <v/>
      </c>
    </row>
    <row r="1387">
      <c r="A1387" s="8" t="n"/>
      <c r="B1387" s="8" t="n"/>
      <c r="C1387" s="6">
        <f>TRIM(A1387&amp;"")</f>
        <v/>
      </c>
      <c r="D1387" s="6">
        <f>IF(C1387="","",SUBSTITUTE(SUBSTITUTE(SUBSTITUTE(SUBSTITUTE(SUBSTITUTE(SUBSTITUTE(SUBSTITUTE(UPPER(TRIM(B1387&amp;"")),"₹",""),"RS.",""),"RS",""),"INR",""),"$",""),",","")," ",""))</f>
        <v/>
      </c>
      <c r="E1387" s="6">
        <f>IF(C1387="","",IF(RIGHT(D1387,2)="CR","Cr",IF(RIGHT(D1387,2)="DR","Dr","")))</f>
        <v/>
      </c>
      <c r="F1387" s="6">
        <f>IF(C1387="","",IF(E1387&lt;&gt;"",LEFT(D1387,LEN(D1387)-2),D1387))</f>
        <v/>
      </c>
      <c r="G1387" s="13">
        <f>IF(C1387="","",IF(OR(IF(AND(LEFT(F1387,1)="(",RIGHT(F1387,1)=")"),MID(F1387,2,LEN(F1387)-2),F1387)="",IF(AND(LEFT(F1387,1)="(",RIGHT(F1387,1)=")"),MID(F1387,2,LEN(F1387)-2),F1387)="-"),0,IFERROR(VALUE(IF(AND(LEFT(F1387,1)="(",RIGHT(F1387,1)=")"),MID(F1387,2,LEN(F1387)-2),F1387))*IF(AND(LEFT(F1387,1)="(",RIGHT(F1387,1)=")"),-1,1)*IF(E1387="Cr",Setup!$B$6,1),"ERR")))</f>
        <v/>
      </c>
      <c r="H1387" s="6">
        <f>IF(C1387="","",IF(ISNUMBER(G1387),1,0))</f>
        <v/>
      </c>
      <c r="I1387" s="6">
        <f>IF(C1387="","",IF(SUMPRODUCT(($C$12:$C$1511=C1387)*1)&gt;1,1,0))</f>
        <v/>
      </c>
      <c r="J1387" s="6">
        <f>IF(C1387="","",SUMPRODUCT((Mapping!$F$5:$F$504=Setup!$B$4&amp;"||"&amp;C1387)*ROW(Mapping!$F$5:$F$504)))</f>
        <v/>
      </c>
      <c r="K1387" s="6">
        <f>IF(C1387="","",IF(J1387=0,"UNMAPPED",LOWER(INDEX(Mapping!$D$1:$D$504,J1387))))</f>
        <v/>
      </c>
      <c r="L1387" s="6">
        <f>IF(K1387="mapped",TRIM(INDEX(Mapping!$C$1:$C$504,J1387)),"")</f>
        <v/>
      </c>
      <c r="M1387" s="6">
        <f>IF(C1387="","",IF(SUMPRODUCT(($C$12:C1387=C1387)*1)=1,1,0))</f>
        <v/>
      </c>
      <c r="N1387" s="6">
        <f>IF(AND(K1387="UNMAPPED",M1387=1),ROW(),"")</f>
        <v/>
      </c>
      <c r="O1387" s="6">
        <f>IF(AND(I1387=1,M1387=1),ROW(),"")</f>
        <v/>
      </c>
      <c r="P1387" s="6">
        <f>IF(AND(K1387="ignored",M1387=1),ROW(),"")</f>
        <v/>
      </c>
    </row>
    <row r="1388">
      <c r="A1388" s="8" t="n"/>
      <c r="B1388" s="8" t="n"/>
      <c r="C1388" s="6">
        <f>TRIM(A1388&amp;"")</f>
        <v/>
      </c>
      <c r="D1388" s="6">
        <f>IF(C1388="","",SUBSTITUTE(SUBSTITUTE(SUBSTITUTE(SUBSTITUTE(SUBSTITUTE(SUBSTITUTE(SUBSTITUTE(UPPER(TRIM(B1388&amp;"")),"₹",""),"RS.",""),"RS",""),"INR",""),"$",""),",","")," ",""))</f>
        <v/>
      </c>
      <c r="E1388" s="6">
        <f>IF(C1388="","",IF(RIGHT(D1388,2)="CR","Cr",IF(RIGHT(D1388,2)="DR","Dr","")))</f>
        <v/>
      </c>
      <c r="F1388" s="6">
        <f>IF(C1388="","",IF(E1388&lt;&gt;"",LEFT(D1388,LEN(D1388)-2),D1388))</f>
        <v/>
      </c>
      <c r="G1388" s="13">
        <f>IF(C1388="","",IF(OR(IF(AND(LEFT(F1388,1)="(",RIGHT(F1388,1)=")"),MID(F1388,2,LEN(F1388)-2),F1388)="",IF(AND(LEFT(F1388,1)="(",RIGHT(F1388,1)=")"),MID(F1388,2,LEN(F1388)-2),F1388)="-"),0,IFERROR(VALUE(IF(AND(LEFT(F1388,1)="(",RIGHT(F1388,1)=")"),MID(F1388,2,LEN(F1388)-2),F1388))*IF(AND(LEFT(F1388,1)="(",RIGHT(F1388,1)=")"),-1,1)*IF(E1388="Cr",Setup!$B$6,1),"ERR")))</f>
        <v/>
      </c>
      <c r="H1388" s="6">
        <f>IF(C1388="","",IF(ISNUMBER(G1388),1,0))</f>
        <v/>
      </c>
      <c r="I1388" s="6">
        <f>IF(C1388="","",IF(SUMPRODUCT(($C$12:$C$1511=C1388)*1)&gt;1,1,0))</f>
        <v/>
      </c>
      <c r="J1388" s="6">
        <f>IF(C1388="","",SUMPRODUCT((Mapping!$F$5:$F$504=Setup!$B$4&amp;"||"&amp;C1388)*ROW(Mapping!$F$5:$F$504)))</f>
        <v/>
      </c>
      <c r="K1388" s="6">
        <f>IF(C1388="","",IF(J1388=0,"UNMAPPED",LOWER(INDEX(Mapping!$D$1:$D$504,J1388))))</f>
        <v/>
      </c>
      <c r="L1388" s="6">
        <f>IF(K1388="mapped",TRIM(INDEX(Mapping!$C$1:$C$504,J1388)),"")</f>
        <v/>
      </c>
      <c r="M1388" s="6">
        <f>IF(C1388="","",IF(SUMPRODUCT(($C$12:C1388=C1388)*1)=1,1,0))</f>
        <v/>
      </c>
      <c r="N1388" s="6">
        <f>IF(AND(K1388="UNMAPPED",M1388=1),ROW(),"")</f>
        <v/>
      </c>
      <c r="O1388" s="6">
        <f>IF(AND(I1388=1,M1388=1),ROW(),"")</f>
        <v/>
      </c>
      <c r="P1388" s="6">
        <f>IF(AND(K1388="ignored",M1388=1),ROW(),"")</f>
        <v/>
      </c>
    </row>
    <row r="1389">
      <c r="A1389" s="8" t="n"/>
      <c r="B1389" s="8" t="n"/>
      <c r="C1389" s="6">
        <f>TRIM(A1389&amp;"")</f>
        <v/>
      </c>
      <c r="D1389" s="6">
        <f>IF(C1389="","",SUBSTITUTE(SUBSTITUTE(SUBSTITUTE(SUBSTITUTE(SUBSTITUTE(SUBSTITUTE(SUBSTITUTE(UPPER(TRIM(B1389&amp;"")),"₹",""),"RS.",""),"RS",""),"INR",""),"$",""),",","")," ",""))</f>
        <v/>
      </c>
      <c r="E1389" s="6">
        <f>IF(C1389="","",IF(RIGHT(D1389,2)="CR","Cr",IF(RIGHT(D1389,2)="DR","Dr","")))</f>
        <v/>
      </c>
      <c r="F1389" s="6">
        <f>IF(C1389="","",IF(E1389&lt;&gt;"",LEFT(D1389,LEN(D1389)-2),D1389))</f>
        <v/>
      </c>
      <c r="G1389" s="13">
        <f>IF(C1389="","",IF(OR(IF(AND(LEFT(F1389,1)="(",RIGHT(F1389,1)=")"),MID(F1389,2,LEN(F1389)-2),F1389)="",IF(AND(LEFT(F1389,1)="(",RIGHT(F1389,1)=")"),MID(F1389,2,LEN(F1389)-2),F1389)="-"),0,IFERROR(VALUE(IF(AND(LEFT(F1389,1)="(",RIGHT(F1389,1)=")"),MID(F1389,2,LEN(F1389)-2),F1389))*IF(AND(LEFT(F1389,1)="(",RIGHT(F1389,1)=")"),-1,1)*IF(E1389="Cr",Setup!$B$6,1),"ERR")))</f>
        <v/>
      </c>
      <c r="H1389" s="6">
        <f>IF(C1389="","",IF(ISNUMBER(G1389),1,0))</f>
        <v/>
      </c>
      <c r="I1389" s="6">
        <f>IF(C1389="","",IF(SUMPRODUCT(($C$12:$C$1511=C1389)*1)&gt;1,1,0))</f>
        <v/>
      </c>
      <c r="J1389" s="6">
        <f>IF(C1389="","",SUMPRODUCT((Mapping!$F$5:$F$504=Setup!$B$4&amp;"||"&amp;C1389)*ROW(Mapping!$F$5:$F$504)))</f>
        <v/>
      </c>
      <c r="K1389" s="6">
        <f>IF(C1389="","",IF(J1389=0,"UNMAPPED",LOWER(INDEX(Mapping!$D$1:$D$504,J1389))))</f>
        <v/>
      </c>
      <c r="L1389" s="6">
        <f>IF(K1389="mapped",TRIM(INDEX(Mapping!$C$1:$C$504,J1389)),"")</f>
        <v/>
      </c>
      <c r="M1389" s="6">
        <f>IF(C1389="","",IF(SUMPRODUCT(($C$12:C1389=C1389)*1)=1,1,0))</f>
        <v/>
      </c>
      <c r="N1389" s="6">
        <f>IF(AND(K1389="UNMAPPED",M1389=1),ROW(),"")</f>
        <v/>
      </c>
      <c r="O1389" s="6">
        <f>IF(AND(I1389=1,M1389=1),ROW(),"")</f>
        <v/>
      </c>
      <c r="P1389" s="6">
        <f>IF(AND(K1389="ignored",M1389=1),ROW(),"")</f>
        <v/>
      </c>
    </row>
    <row r="1390">
      <c r="A1390" s="8" t="n"/>
      <c r="B1390" s="8" t="n"/>
      <c r="C1390" s="6">
        <f>TRIM(A1390&amp;"")</f>
        <v/>
      </c>
      <c r="D1390" s="6">
        <f>IF(C1390="","",SUBSTITUTE(SUBSTITUTE(SUBSTITUTE(SUBSTITUTE(SUBSTITUTE(SUBSTITUTE(SUBSTITUTE(UPPER(TRIM(B1390&amp;"")),"₹",""),"RS.",""),"RS",""),"INR",""),"$",""),",","")," ",""))</f>
        <v/>
      </c>
      <c r="E1390" s="6">
        <f>IF(C1390="","",IF(RIGHT(D1390,2)="CR","Cr",IF(RIGHT(D1390,2)="DR","Dr","")))</f>
        <v/>
      </c>
      <c r="F1390" s="6">
        <f>IF(C1390="","",IF(E1390&lt;&gt;"",LEFT(D1390,LEN(D1390)-2),D1390))</f>
        <v/>
      </c>
      <c r="G1390" s="13">
        <f>IF(C1390="","",IF(OR(IF(AND(LEFT(F1390,1)="(",RIGHT(F1390,1)=")"),MID(F1390,2,LEN(F1390)-2),F1390)="",IF(AND(LEFT(F1390,1)="(",RIGHT(F1390,1)=")"),MID(F1390,2,LEN(F1390)-2),F1390)="-"),0,IFERROR(VALUE(IF(AND(LEFT(F1390,1)="(",RIGHT(F1390,1)=")"),MID(F1390,2,LEN(F1390)-2),F1390))*IF(AND(LEFT(F1390,1)="(",RIGHT(F1390,1)=")"),-1,1)*IF(E1390="Cr",Setup!$B$6,1),"ERR")))</f>
        <v/>
      </c>
      <c r="H1390" s="6">
        <f>IF(C1390="","",IF(ISNUMBER(G1390),1,0))</f>
        <v/>
      </c>
      <c r="I1390" s="6">
        <f>IF(C1390="","",IF(SUMPRODUCT(($C$12:$C$1511=C1390)*1)&gt;1,1,0))</f>
        <v/>
      </c>
      <c r="J1390" s="6">
        <f>IF(C1390="","",SUMPRODUCT((Mapping!$F$5:$F$504=Setup!$B$4&amp;"||"&amp;C1390)*ROW(Mapping!$F$5:$F$504)))</f>
        <v/>
      </c>
      <c r="K1390" s="6">
        <f>IF(C1390="","",IF(J1390=0,"UNMAPPED",LOWER(INDEX(Mapping!$D$1:$D$504,J1390))))</f>
        <v/>
      </c>
      <c r="L1390" s="6">
        <f>IF(K1390="mapped",TRIM(INDEX(Mapping!$C$1:$C$504,J1390)),"")</f>
        <v/>
      </c>
      <c r="M1390" s="6">
        <f>IF(C1390="","",IF(SUMPRODUCT(($C$12:C1390=C1390)*1)=1,1,0))</f>
        <v/>
      </c>
      <c r="N1390" s="6">
        <f>IF(AND(K1390="UNMAPPED",M1390=1),ROW(),"")</f>
        <v/>
      </c>
      <c r="O1390" s="6">
        <f>IF(AND(I1390=1,M1390=1),ROW(),"")</f>
        <v/>
      </c>
      <c r="P1390" s="6">
        <f>IF(AND(K1390="ignored",M1390=1),ROW(),"")</f>
        <v/>
      </c>
    </row>
    <row r="1391">
      <c r="A1391" s="8" t="n"/>
      <c r="B1391" s="8" t="n"/>
      <c r="C1391" s="6">
        <f>TRIM(A1391&amp;"")</f>
        <v/>
      </c>
      <c r="D1391" s="6">
        <f>IF(C1391="","",SUBSTITUTE(SUBSTITUTE(SUBSTITUTE(SUBSTITUTE(SUBSTITUTE(SUBSTITUTE(SUBSTITUTE(UPPER(TRIM(B1391&amp;"")),"₹",""),"RS.",""),"RS",""),"INR",""),"$",""),",","")," ",""))</f>
        <v/>
      </c>
      <c r="E1391" s="6">
        <f>IF(C1391="","",IF(RIGHT(D1391,2)="CR","Cr",IF(RIGHT(D1391,2)="DR","Dr","")))</f>
        <v/>
      </c>
      <c r="F1391" s="6">
        <f>IF(C1391="","",IF(E1391&lt;&gt;"",LEFT(D1391,LEN(D1391)-2),D1391))</f>
        <v/>
      </c>
      <c r="G1391" s="13">
        <f>IF(C1391="","",IF(OR(IF(AND(LEFT(F1391,1)="(",RIGHT(F1391,1)=")"),MID(F1391,2,LEN(F1391)-2),F1391)="",IF(AND(LEFT(F1391,1)="(",RIGHT(F1391,1)=")"),MID(F1391,2,LEN(F1391)-2),F1391)="-"),0,IFERROR(VALUE(IF(AND(LEFT(F1391,1)="(",RIGHT(F1391,1)=")"),MID(F1391,2,LEN(F1391)-2),F1391))*IF(AND(LEFT(F1391,1)="(",RIGHT(F1391,1)=")"),-1,1)*IF(E1391="Cr",Setup!$B$6,1),"ERR")))</f>
        <v/>
      </c>
      <c r="H1391" s="6">
        <f>IF(C1391="","",IF(ISNUMBER(G1391),1,0))</f>
        <v/>
      </c>
      <c r="I1391" s="6">
        <f>IF(C1391="","",IF(SUMPRODUCT(($C$12:$C$1511=C1391)*1)&gt;1,1,0))</f>
        <v/>
      </c>
      <c r="J1391" s="6">
        <f>IF(C1391="","",SUMPRODUCT((Mapping!$F$5:$F$504=Setup!$B$4&amp;"||"&amp;C1391)*ROW(Mapping!$F$5:$F$504)))</f>
        <v/>
      </c>
      <c r="K1391" s="6">
        <f>IF(C1391="","",IF(J1391=0,"UNMAPPED",LOWER(INDEX(Mapping!$D$1:$D$504,J1391))))</f>
        <v/>
      </c>
      <c r="L1391" s="6">
        <f>IF(K1391="mapped",TRIM(INDEX(Mapping!$C$1:$C$504,J1391)),"")</f>
        <v/>
      </c>
      <c r="M1391" s="6">
        <f>IF(C1391="","",IF(SUMPRODUCT(($C$12:C1391=C1391)*1)=1,1,0))</f>
        <v/>
      </c>
      <c r="N1391" s="6">
        <f>IF(AND(K1391="UNMAPPED",M1391=1),ROW(),"")</f>
        <v/>
      </c>
      <c r="O1391" s="6">
        <f>IF(AND(I1391=1,M1391=1),ROW(),"")</f>
        <v/>
      </c>
      <c r="P1391" s="6">
        <f>IF(AND(K1391="ignored",M1391=1),ROW(),"")</f>
        <v/>
      </c>
    </row>
    <row r="1392">
      <c r="A1392" s="8" t="n"/>
      <c r="B1392" s="8" t="n"/>
      <c r="C1392" s="6">
        <f>TRIM(A1392&amp;"")</f>
        <v/>
      </c>
      <c r="D1392" s="6">
        <f>IF(C1392="","",SUBSTITUTE(SUBSTITUTE(SUBSTITUTE(SUBSTITUTE(SUBSTITUTE(SUBSTITUTE(SUBSTITUTE(UPPER(TRIM(B1392&amp;"")),"₹",""),"RS.",""),"RS",""),"INR",""),"$",""),",","")," ",""))</f>
        <v/>
      </c>
      <c r="E1392" s="6">
        <f>IF(C1392="","",IF(RIGHT(D1392,2)="CR","Cr",IF(RIGHT(D1392,2)="DR","Dr","")))</f>
        <v/>
      </c>
      <c r="F1392" s="6">
        <f>IF(C1392="","",IF(E1392&lt;&gt;"",LEFT(D1392,LEN(D1392)-2),D1392))</f>
        <v/>
      </c>
      <c r="G1392" s="13">
        <f>IF(C1392="","",IF(OR(IF(AND(LEFT(F1392,1)="(",RIGHT(F1392,1)=")"),MID(F1392,2,LEN(F1392)-2),F1392)="",IF(AND(LEFT(F1392,1)="(",RIGHT(F1392,1)=")"),MID(F1392,2,LEN(F1392)-2),F1392)="-"),0,IFERROR(VALUE(IF(AND(LEFT(F1392,1)="(",RIGHT(F1392,1)=")"),MID(F1392,2,LEN(F1392)-2),F1392))*IF(AND(LEFT(F1392,1)="(",RIGHT(F1392,1)=")"),-1,1)*IF(E1392="Cr",Setup!$B$6,1),"ERR")))</f>
        <v/>
      </c>
      <c r="H1392" s="6">
        <f>IF(C1392="","",IF(ISNUMBER(G1392),1,0))</f>
        <v/>
      </c>
      <c r="I1392" s="6">
        <f>IF(C1392="","",IF(SUMPRODUCT(($C$12:$C$1511=C1392)*1)&gt;1,1,0))</f>
        <v/>
      </c>
      <c r="J1392" s="6">
        <f>IF(C1392="","",SUMPRODUCT((Mapping!$F$5:$F$504=Setup!$B$4&amp;"||"&amp;C1392)*ROW(Mapping!$F$5:$F$504)))</f>
        <v/>
      </c>
      <c r="K1392" s="6">
        <f>IF(C1392="","",IF(J1392=0,"UNMAPPED",LOWER(INDEX(Mapping!$D$1:$D$504,J1392))))</f>
        <v/>
      </c>
      <c r="L1392" s="6">
        <f>IF(K1392="mapped",TRIM(INDEX(Mapping!$C$1:$C$504,J1392)),"")</f>
        <v/>
      </c>
      <c r="M1392" s="6">
        <f>IF(C1392="","",IF(SUMPRODUCT(($C$12:C1392=C1392)*1)=1,1,0))</f>
        <v/>
      </c>
      <c r="N1392" s="6">
        <f>IF(AND(K1392="UNMAPPED",M1392=1),ROW(),"")</f>
        <v/>
      </c>
      <c r="O1392" s="6">
        <f>IF(AND(I1392=1,M1392=1),ROW(),"")</f>
        <v/>
      </c>
      <c r="P1392" s="6">
        <f>IF(AND(K1392="ignored",M1392=1),ROW(),"")</f>
        <v/>
      </c>
    </row>
    <row r="1393">
      <c r="A1393" s="8" t="n"/>
      <c r="B1393" s="8" t="n"/>
      <c r="C1393" s="6">
        <f>TRIM(A1393&amp;"")</f>
        <v/>
      </c>
      <c r="D1393" s="6">
        <f>IF(C1393="","",SUBSTITUTE(SUBSTITUTE(SUBSTITUTE(SUBSTITUTE(SUBSTITUTE(SUBSTITUTE(SUBSTITUTE(UPPER(TRIM(B1393&amp;"")),"₹",""),"RS.",""),"RS",""),"INR",""),"$",""),",","")," ",""))</f>
        <v/>
      </c>
      <c r="E1393" s="6">
        <f>IF(C1393="","",IF(RIGHT(D1393,2)="CR","Cr",IF(RIGHT(D1393,2)="DR","Dr","")))</f>
        <v/>
      </c>
      <c r="F1393" s="6">
        <f>IF(C1393="","",IF(E1393&lt;&gt;"",LEFT(D1393,LEN(D1393)-2),D1393))</f>
        <v/>
      </c>
      <c r="G1393" s="13">
        <f>IF(C1393="","",IF(OR(IF(AND(LEFT(F1393,1)="(",RIGHT(F1393,1)=")"),MID(F1393,2,LEN(F1393)-2),F1393)="",IF(AND(LEFT(F1393,1)="(",RIGHT(F1393,1)=")"),MID(F1393,2,LEN(F1393)-2),F1393)="-"),0,IFERROR(VALUE(IF(AND(LEFT(F1393,1)="(",RIGHT(F1393,1)=")"),MID(F1393,2,LEN(F1393)-2),F1393))*IF(AND(LEFT(F1393,1)="(",RIGHT(F1393,1)=")"),-1,1)*IF(E1393="Cr",Setup!$B$6,1),"ERR")))</f>
        <v/>
      </c>
      <c r="H1393" s="6">
        <f>IF(C1393="","",IF(ISNUMBER(G1393),1,0))</f>
        <v/>
      </c>
      <c r="I1393" s="6">
        <f>IF(C1393="","",IF(SUMPRODUCT(($C$12:$C$1511=C1393)*1)&gt;1,1,0))</f>
        <v/>
      </c>
      <c r="J1393" s="6">
        <f>IF(C1393="","",SUMPRODUCT((Mapping!$F$5:$F$504=Setup!$B$4&amp;"||"&amp;C1393)*ROW(Mapping!$F$5:$F$504)))</f>
        <v/>
      </c>
      <c r="K1393" s="6">
        <f>IF(C1393="","",IF(J1393=0,"UNMAPPED",LOWER(INDEX(Mapping!$D$1:$D$504,J1393))))</f>
        <v/>
      </c>
      <c r="L1393" s="6">
        <f>IF(K1393="mapped",TRIM(INDEX(Mapping!$C$1:$C$504,J1393)),"")</f>
        <v/>
      </c>
      <c r="M1393" s="6">
        <f>IF(C1393="","",IF(SUMPRODUCT(($C$12:C1393=C1393)*1)=1,1,0))</f>
        <v/>
      </c>
      <c r="N1393" s="6">
        <f>IF(AND(K1393="UNMAPPED",M1393=1),ROW(),"")</f>
        <v/>
      </c>
      <c r="O1393" s="6">
        <f>IF(AND(I1393=1,M1393=1),ROW(),"")</f>
        <v/>
      </c>
      <c r="P1393" s="6">
        <f>IF(AND(K1393="ignored",M1393=1),ROW(),"")</f>
        <v/>
      </c>
    </row>
    <row r="1394">
      <c r="A1394" s="8" t="n"/>
      <c r="B1394" s="8" t="n"/>
      <c r="C1394" s="6">
        <f>TRIM(A1394&amp;"")</f>
        <v/>
      </c>
      <c r="D1394" s="6">
        <f>IF(C1394="","",SUBSTITUTE(SUBSTITUTE(SUBSTITUTE(SUBSTITUTE(SUBSTITUTE(SUBSTITUTE(SUBSTITUTE(UPPER(TRIM(B1394&amp;"")),"₹",""),"RS.",""),"RS",""),"INR",""),"$",""),",","")," ",""))</f>
        <v/>
      </c>
      <c r="E1394" s="6">
        <f>IF(C1394="","",IF(RIGHT(D1394,2)="CR","Cr",IF(RIGHT(D1394,2)="DR","Dr","")))</f>
        <v/>
      </c>
      <c r="F1394" s="6">
        <f>IF(C1394="","",IF(E1394&lt;&gt;"",LEFT(D1394,LEN(D1394)-2),D1394))</f>
        <v/>
      </c>
      <c r="G1394" s="13">
        <f>IF(C1394="","",IF(OR(IF(AND(LEFT(F1394,1)="(",RIGHT(F1394,1)=")"),MID(F1394,2,LEN(F1394)-2),F1394)="",IF(AND(LEFT(F1394,1)="(",RIGHT(F1394,1)=")"),MID(F1394,2,LEN(F1394)-2),F1394)="-"),0,IFERROR(VALUE(IF(AND(LEFT(F1394,1)="(",RIGHT(F1394,1)=")"),MID(F1394,2,LEN(F1394)-2),F1394))*IF(AND(LEFT(F1394,1)="(",RIGHT(F1394,1)=")"),-1,1)*IF(E1394="Cr",Setup!$B$6,1),"ERR")))</f>
        <v/>
      </c>
      <c r="H1394" s="6">
        <f>IF(C1394="","",IF(ISNUMBER(G1394),1,0))</f>
        <v/>
      </c>
      <c r="I1394" s="6">
        <f>IF(C1394="","",IF(SUMPRODUCT(($C$12:$C$1511=C1394)*1)&gt;1,1,0))</f>
        <v/>
      </c>
      <c r="J1394" s="6">
        <f>IF(C1394="","",SUMPRODUCT((Mapping!$F$5:$F$504=Setup!$B$4&amp;"||"&amp;C1394)*ROW(Mapping!$F$5:$F$504)))</f>
        <v/>
      </c>
      <c r="K1394" s="6">
        <f>IF(C1394="","",IF(J1394=0,"UNMAPPED",LOWER(INDEX(Mapping!$D$1:$D$504,J1394))))</f>
        <v/>
      </c>
      <c r="L1394" s="6">
        <f>IF(K1394="mapped",TRIM(INDEX(Mapping!$C$1:$C$504,J1394)),"")</f>
        <v/>
      </c>
      <c r="M1394" s="6">
        <f>IF(C1394="","",IF(SUMPRODUCT(($C$12:C1394=C1394)*1)=1,1,0))</f>
        <v/>
      </c>
      <c r="N1394" s="6">
        <f>IF(AND(K1394="UNMAPPED",M1394=1),ROW(),"")</f>
        <v/>
      </c>
      <c r="O1394" s="6">
        <f>IF(AND(I1394=1,M1394=1),ROW(),"")</f>
        <v/>
      </c>
      <c r="P1394" s="6">
        <f>IF(AND(K1394="ignored",M1394=1),ROW(),"")</f>
        <v/>
      </c>
    </row>
    <row r="1395">
      <c r="A1395" s="8" t="n"/>
      <c r="B1395" s="8" t="n"/>
      <c r="C1395" s="6">
        <f>TRIM(A1395&amp;"")</f>
        <v/>
      </c>
      <c r="D1395" s="6">
        <f>IF(C1395="","",SUBSTITUTE(SUBSTITUTE(SUBSTITUTE(SUBSTITUTE(SUBSTITUTE(SUBSTITUTE(SUBSTITUTE(UPPER(TRIM(B1395&amp;"")),"₹",""),"RS.",""),"RS",""),"INR",""),"$",""),",","")," ",""))</f>
        <v/>
      </c>
      <c r="E1395" s="6">
        <f>IF(C1395="","",IF(RIGHT(D1395,2)="CR","Cr",IF(RIGHT(D1395,2)="DR","Dr","")))</f>
        <v/>
      </c>
      <c r="F1395" s="6">
        <f>IF(C1395="","",IF(E1395&lt;&gt;"",LEFT(D1395,LEN(D1395)-2),D1395))</f>
        <v/>
      </c>
      <c r="G1395" s="13">
        <f>IF(C1395="","",IF(OR(IF(AND(LEFT(F1395,1)="(",RIGHT(F1395,1)=")"),MID(F1395,2,LEN(F1395)-2),F1395)="",IF(AND(LEFT(F1395,1)="(",RIGHT(F1395,1)=")"),MID(F1395,2,LEN(F1395)-2),F1395)="-"),0,IFERROR(VALUE(IF(AND(LEFT(F1395,1)="(",RIGHT(F1395,1)=")"),MID(F1395,2,LEN(F1395)-2),F1395))*IF(AND(LEFT(F1395,1)="(",RIGHT(F1395,1)=")"),-1,1)*IF(E1395="Cr",Setup!$B$6,1),"ERR")))</f>
        <v/>
      </c>
      <c r="H1395" s="6">
        <f>IF(C1395="","",IF(ISNUMBER(G1395),1,0))</f>
        <v/>
      </c>
      <c r="I1395" s="6">
        <f>IF(C1395="","",IF(SUMPRODUCT(($C$12:$C$1511=C1395)*1)&gt;1,1,0))</f>
        <v/>
      </c>
      <c r="J1395" s="6">
        <f>IF(C1395="","",SUMPRODUCT((Mapping!$F$5:$F$504=Setup!$B$4&amp;"||"&amp;C1395)*ROW(Mapping!$F$5:$F$504)))</f>
        <v/>
      </c>
      <c r="K1395" s="6">
        <f>IF(C1395="","",IF(J1395=0,"UNMAPPED",LOWER(INDEX(Mapping!$D$1:$D$504,J1395))))</f>
        <v/>
      </c>
      <c r="L1395" s="6">
        <f>IF(K1395="mapped",TRIM(INDEX(Mapping!$C$1:$C$504,J1395)),"")</f>
        <v/>
      </c>
      <c r="M1395" s="6">
        <f>IF(C1395="","",IF(SUMPRODUCT(($C$12:C1395=C1395)*1)=1,1,0))</f>
        <v/>
      </c>
      <c r="N1395" s="6">
        <f>IF(AND(K1395="UNMAPPED",M1395=1),ROW(),"")</f>
        <v/>
      </c>
      <c r="O1395" s="6">
        <f>IF(AND(I1395=1,M1395=1),ROW(),"")</f>
        <v/>
      </c>
      <c r="P1395" s="6">
        <f>IF(AND(K1395="ignored",M1395=1),ROW(),"")</f>
        <v/>
      </c>
    </row>
    <row r="1396">
      <c r="A1396" s="8" t="n"/>
      <c r="B1396" s="8" t="n"/>
      <c r="C1396" s="6">
        <f>TRIM(A1396&amp;"")</f>
        <v/>
      </c>
      <c r="D1396" s="6">
        <f>IF(C1396="","",SUBSTITUTE(SUBSTITUTE(SUBSTITUTE(SUBSTITUTE(SUBSTITUTE(SUBSTITUTE(SUBSTITUTE(UPPER(TRIM(B1396&amp;"")),"₹",""),"RS.",""),"RS",""),"INR",""),"$",""),",","")," ",""))</f>
        <v/>
      </c>
      <c r="E1396" s="6">
        <f>IF(C1396="","",IF(RIGHT(D1396,2)="CR","Cr",IF(RIGHT(D1396,2)="DR","Dr","")))</f>
        <v/>
      </c>
      <c r="F1396" s="6">
        <f>IF(C1396="","",IF(E1396&lt;&gt;"",LEFT(D1396,LEN(D1396)-2),D1396))</f>
        <v/>
      </c>
      <c r="G1396" s="13">
        <f>IF(C1396="","",IF(OR(IF(AND(LEFT(F1396,1)="(",RIGHT(F1396,1)=")"),MID(F1396,2,LEN(F1396)-2),F1396)="",IF(AND(LEFT(F1396,1)="(",RIGHT(F1396,1)=")"),MID(F1396,2,LEN(F1396)-2),F1396)="-"),0,IFERROR(VALUE(IF(AND(LEFT(F1396,1)="(",RIGHT(F1396,1)=")"),MID(F1396,2,LEN(F1396)-2),F1396))*IF(AND(LEFT(F1396,1)="(",RIGHT(F1396,1)=")"),-1,1)*IF(E1396="Cr",Setup!$B$6,1),"ERR")))</f>
        <v/>
      </c>
      <c r="H1396" s="6">
        <f>IF(C1396="","",IF(ISNUMBER(G1396),1,0))</f>
        <v/>
      </c>
      <c r="I1396" s="6">
        <f>IF(C1396="","",IF(SUMPRODUCT(($C$12:$C$1511=C1396)*1)&gt;1,1,0))</f>
        <v/>
      </c>
      <c r="J1396" s="6">
        <f>IF(C1396="","",SUMPRODUCT((Mapping!$F$5:$F$504=Setup!$B$4&amp;"||"&amp;C1396)*ROW(Mapping!$F$5:$F$504)))</f>
        <v/>
      </c>
      <c r="K1396" s="6">
        <f>IF(C1396="","",IF(J1396=0,"UNMAPPED",LOWER(INDEX(Mapping!$D$1:$D$504,J1396))))</f>
        <v/>
      </c>
      <c r="L1396" s="6">
        <f>IF(K1396="mapped",TRIM(INDEX(Mapping!$C$1:$C$504,J1396)),"")</f>
        <v/>
      </c>
      <c r="M1396" s="6">
        <f>IF(C1396="","",IF(SUMPRODUCT(($C$12:C1396=C1396)*1)=1,1,0))</f>
        <v/>
      </c>
      <c r="N1396" s="6">
        <f>IF(AND(K1396="UNMAPPED",M1396=1),ROW(),"")</f>
        <v/>
      </c>
      <c r="O1396" s="6">
        <f>IF(AND(I1396=1,M1396=1),ROW(),"")</f>
        <v/>
      </c>
      <c r="P1396" s="6">
        <f>IF(AND(K1396="ignored",M1396=1),ROW(),"")</f>
        <v/>
      </c>
    </row>
    <row r="1397">
      <c r="A1397" s="8" t="n"/>
      <c r="B1397" s="8" t="n"/>
      <c r="C1397" s="6">
        <f>TRIM(A1397&amp;"")</f>
        <v/>
      </c>
      <c r="D1397" s="6">
        <f>IF(C1397="","",SUBSTITUTE(SUBSTITUTE(SUBSTITUTE(SUBSTITUTE(SUBSTITUTE(SUBSTITUTE(SUBSTITUTE(UPPER(TRIM(B1397&amp;"")),"₹",""),"RS.",""),"RS",""),"INR",""),"$",""),",","")," ",""))</f>
        <v/>
      </c>
      <c r="E1397" s="6">
        <f>IF(C1397="","",IF(RIGHT(D1397,2)="CR","Cr",IF(RIGHT(D1397,2)="DR","Dr","")))</f>
        <v/>
      </c>
      <c r="F1397" s="6">
        <f>IF(C1397="","",IF(E1397&lt;&gt;"",LEFT(D1397,LEN(D1397)-2),D1397))</f>
        <v/>
      </c>
      <c r="G1397" s="13">
        <f>IF(C1397="","",IF(OR(IF(AND(LEFT(F1397,1)="(",RIGHT(F1397,1)=")"),MID(F1397,2,LEN(F1397)-2),F1397)="",IF(AND(LEFT(F1397,1)="(",RIGHT(F1397,1)=")"),MID(F1397,2,LEN(F1397)-2),F1397)="-"),0,IFERROR(VALUE(IF(AND(LEFT(F1397,1)="(",RIGHT(F1397,1)=")"),MID(F1397,2,LEN(F1397)-2),F1397))*IF(AND(LEFT(F1397,1)="(",RIGHT(F1397,1)=")"),-1,1)*IF(E1397="Cr",Setup!$B$6,1),"ERR")))</f>
        <v/>
      </c>
      <c r="H1397" s="6">
        <f>IF(C1397="","",IF(ISNUMBER(G1397),1,0))</f>
        <v/>
      </c>
      <c r="I1397" s="6">
        <f>IF(C1397="","",IF(SUMPRODUCT(($C$12:$C$1511=C1397)*1)&gt;1,1,0))</f>
        <v/>
      </c>
      <c r="J1397" s="6">
        <f>IF(C1397="","",SUMPRODUCT((Mapping!$F$5:$F$504=Setup!$B$4&amp;"||"&amp;C1397)*ROW(Mapping!$F$5:$F$504)))</f>
        <v/>
      </c>
      <c r="K1397" s="6">
        <f>IF(C1397="","",IF(J1397=0,"UNMAPPED",LOWER(INDEX(Mapping!$D$1:$D$504,J1397))))</f>
        <v/>
      </c>
      <c r="L1397" s="6">
        <f>IF(K1397="mapped",TRIM(INDEX(Mapping!$C$1:$C$504,J1397)),"")</f>
        <v/>
      </c>
      <c r="M1397" s="6">
        <f>IF(C1397="","",IF(SUMPRODUCT(($C$12:C1397=C1397)*1)=1,1,0))</f>
        <v/>
      </c>
      <c r="N1397" s="6">
        <f>IF(AND(K1397="UNMAPPED",M1397=1),ROW(),"")</f>
        <v/>
      </c>
      <c r="O1397" s="6">
        <f>IF(AND(I1397=1,M1397=1),ROW(),"")</f>
        <v/>
      </c>
      <c r="P1397" s="6">
        <f>IF(AND(K1397="ignored",M1397=1),ROW(),"")</f>
        <v/>
      </c>
    </row>
    <row r="1398">
      <c r="A1398" s="8" t="n"/>
      <c r="B1398" s="8" t="n"/>
      <c r="C1398" s="6">
        <f>TRIM(A1398&amp;"")</f>
        <v/>
      </c>
      <c r="D1398" s="6">
        <f>IF(C1398="","",SUBSTITUTE(SUBSTITUTE(SUBSTITUTE(SUBSTITUTE(SUBSTITUTE(SUBSTITUTE(SUBSTITUTE(UPPER(TRIM(B1398&amp;"")),"₹",""),"RS.",""),"RS",""),"INR",""),"$",""),",","")," ",""))</f>
        <v/>
      </c>
      <c r="E1398" s="6">
        <f>IF(C1398="","",IF(RIGHT(D1398,2)="CR","Cr",IF(RIGHT(D1398,2)="DR","Dr","")))</f>
        <v/>
      </c>
      <c r="F1398" s="6">
        <f>IF(C1398="","",IF(E1398&lt;&gt;"",LEFT(D1398,LEN(D1398)-2),D1398))</f>
        <v/>
      </c>
      <c r="G1398" s="13">
        <f>IF(C1398="","",IF(OR(IF(AND(LEFT(F1398,1)="(",RIGHT(F1398,1)=")"),MID(F1398,2,LEN(F1398)-2),F1398)="",IF(AND(LEFT(F1398,1)="(",RIGHT(F1398,1)=")"),MID(F1398,2,LEN(F1398)-2),F1398)="-"),0,IFERROR(VALUE(IF(AND(LEFT(F1398,1)="(",RIGHT(F1398,1)=")"),MID(F1398,2,LEN(F1398)-2),F1398))*IF(AND(LEFT(F1398,1)="(",RIGHT(F1398,1)=")"),-1,1)*IF(E1398="Cr",Setup!$B$6,1),"ERR")))</f>
        <v/>
      </c>
      <c r="H1398" s="6">
        <f>IF(C1398="","",IF(ISNUMBER(G1398),1,0))</f>
        <v/>
      </c>
      <c r="I1398" s="6">
        <f>IF(C1398="","",IF(SUMPRODUCT(($C$12:$C$1511=C1398)*1)&gt;1,1,0))</f>
        <v/>
      </c>
      <c r="J1398" s="6">
        <f>IF(C1398="","",SUMPRODUCT((Mapping!$F$5:$F$504=Setup!$B$4&amp;"||"&amp;C1398)*ROW(Mapping!$F$5:$F$504)))</f>
        <v/>
      </c>
      <c r="K1398" s="6">
        <f>IF(C1398="","",IF(J1398=0,"UNMAPPED",LOWER(INDEX(Mapping!$D$1:$D$504,J1398))))</f>
        <v/>
      </c>
      <c r="L1398" s="6">
        <f>IF(K1398="mapped",TRIM(INDEX(Mapping!$C$1:$C$504,J1398)),"")</f>
        <v/>
      </c>
      <c r="M1398" s="6">
        <f>IF(C1398="","",IF(SUMPRODUCT(($C$12:C1398=C1398)*1)=1,1,0))</f>
        <v/>
      </c>
      <c r="N1398" s="6">
        <f>IF(AND(K1398="UNMAPPED",M1398=1),ROW(),"")</f>
        <v/>
      </c>
      <c r="O1398" s="6">
        <f>IF(AND(I1398=1,M1398=1),ROW(),"")</f>
        <v/>
      </c>
      <c r="P1398" s="6">
        <f>IF(AND(K1398="ignored",M1398=1),ROW(),"")</f>
        <v/>
      </c>
    </row>
    <row r="1399">
      <c r="A1399" s="8" t="n"/>
      <c r="B1399" s="8" t="n"/>
      <c r="C1399" s="6">
        <f>TRIM(A1399&amp;"")</f>
        <v/>
      </c>
      <c r="D1399" s="6">
        <f>IF(C1399="","",SUBSTITUTE(SUBSTITUTE(SUBSTITUTE(SUBSTITUTE(SUBSTITUTE(SUBSTITUTE(SUBSTITUTE(UPPER(TRIM(B1399&amp;"")),"₹",""),"RS.",""),"RS",""),"INR",""),"$",""),",","")," ",""))</f>
        <v/>
      </c>
      <c r="E1399" s="6">
        <f>IF(C1399="","",IF(RIGHT(D1399,2)="CR","Cr",IF(RIGHT(D1399,2)="DR","Dr","")))</f>
        <v/>
      </c>
      <c r="F1399" s="6">
        <f>IF(C1399="","",IF(E1399&lt;&gt;"",LEFT(D1399,LEN(D1399)-2),D1399))</f>
        <v/>
      </c>
      <c r="G1399" s="13">
        <f>IF(C1399="","",IF(OR(IF(AND(LEFT(F1399,1)="(",RIGHT(F1399,1)=")"),MID(F1399,2,LEN(F1399)-2),F1399)="",IF(AND(LEFT(F1399,1)="(",RIGHT(F1399,1)=")"),MID(F1399,2,LEN(F1399)-2),F1399)="-"),0,IFERROR(VALUE(IF(AND(LEFT(F1399,1)="(",RIGHT(F1399,1)=")"),MID(F1399,2,LEN(F1399)-2),F1399))*IF(AND(LEFT(F1399,1)="(",RIGHT(F1399,1)=")"),-1,1)*IF(E1399="Cr",Setup!$B$6,1),"ERR")))</f>
        <v/>
      </c>
      <c r="H1399" s="6">
        <f>IF(C1399="","",IF(ISNUMBER(G1399),1,0))</f>
        <v/>
      </c>
      <c r="I1399" s="6">
        <f>IF(C1399="","",IF(SUMPRODUCT(($C$12:$C$1511=C1399)*1)&gt;1,1,0))</f>
        <v/>
      </c>
      <c r="J1399" s="6">
        <f>IF(C1399="","",SUMPRODUCT((Mapping!$F$5:$F$504=Setup!$B$4&amp;"||"&amp;C1399)*ROW(Mapping!$F$5:$F$504)))</f>
        <v/>
      </c>
      <c r="K1399" s="6">
        <f>IF(C1399="","",IF(J1399=0,"UNMAPPED",LOWER(INDEX(Mapping!$D$1:$D$504,J1399))))</f>
        <v/>
      </c>
      <c r="L1399" s="6">
        <f>IF(K1399="mapped",TRIM(INDEX(Mapping!$C$1:$C$504,J1399)),"")</f>
        <v/>
      </c>
      <c r="M1399" s="6">
        <f>IF(C1399="","",IF(SUMPRODUCT(($C$12:C1399=C1399)*1)=1,1,0))</f>
        <v/>
      </c>
      <c r="N1399" s="6">
        <f>IF(AND(K1399="UNMAPPED",M1399=1),ROW(),"")</f>
        <v/>
      </c>
      <c r="O1399" s="6">
        <f>IF(AND(I1399=1,M1399=1),ROW(),"")</f>
        <v/>
      </c>
      <c r="P1399" s="6">
        <f>IF(AND(K1399="ignored",M1399=1),ROW(),"")</f>
        <v/>
      </c>
    </row>
    <row r="1400">
      <c r="A1400" s="8" t="n"/>
      <c r="B1400" s="8" t="n"/>
      <c r="C1400" s="6">
        <f>TRIM(A1400&amp;"")</f>
        <v/>
      </c>
      <c r="D1400" s="6">
        <f>IF(C1400="","",SUBSTITUTE(SUBSTITUTE(SUBSTITUTE(SUBSTITUTE(SUBSTITUTE(SUBSTITUTE(SUBSTITUTE(UPPER(TRIM(B1400&amp;"")),"₹",""),"RS.",""),"RS",""),"INR",""),"$",""),",","")," ",""))</f>
        <v/>
      </c>
      <c r="E1400" s="6">
        <f>IF(C1400="","",IF(RIGHT(D1400,2)="CR","Cr",IF(RIGHT(D1400,2)="DR","Dr","")))</f>
        <v/>
      </c>
      <c r="F1400" s="6">
        <f>IF(C1400="","",IF(E1400&lt;&gt;"",LEFT(D1400,LEN(D1400)-2),D1400))</f>
        <v/>
      </c>
      <c r="G1400" s="13">
        <f>IF(C1400="","",IF(OR(IF(AND(LEFT(F1400,1)="(",RIGHT(F1400,1)=")"),MID(F1400,2,LEN(F1400)-2),F1400)="",IF(AND(LEFT(F1400,1)="(",RIGHT(F1400,1)=")"),MID(F1400,2,LEN(F1400)-2),F1400)="-"),0,IFERROR(VALUE(IF(AND(LEFT(F1400,1)="(",RIGHT(F1400,1)=")"),MID(F1400,2,LEN(F1400)-2),F1400))*IF(AND(LEFT(F1400,1)="(",RIGHT(F1400,1)=")"),-1,1)*IF(E1400="Cr",Setup!$B$6,1),"ERR")))</f>
        <v/>
      </c>
      <c r="H1400" s="6">
        <f>IF(C1400="","",IF(ISNUMBER(G1400),1,0))</f>
        <v/>
      </c>
      <c r="I1400" s="6">
        <f>IF(C1400="","",IF(SUMPRODUCT(($C$12:$C$1511=C1400)*1)&gt;1,1,0))</f>
        <v/>
      </c>
      <c r="J1400" s="6">
        <f>IF(C1400="","",SUMPRODUCT((Mapping!$F$5:$F$504=Setup!$B$4&amp;"||"&amp;C1400)*ROW(Mapping!$F$5:$F$504)))</f>
        <v/>
      </c>
      <c r="K1400" s="6">
        <f>IF(C1400="","",IF(J1400=0,"UNMAPPED",LOWER(INDEX(Mapping!$D$1:$D$504,J1400))))</f>
        <v/>
      </c>
      <c r="L1400" s="6">
        <f>IF(K1400="mapped",TRIM(INDEX(Mapping!$C$1:$C$504,J1400)),"")</f>
        <v/>
      </c>
      <c r="M1400" s="6">
        <f>IF(C1400="","",IF(SUMPRODUCT(($C$12:C1400=C1400)*1)=1,1,0))</f>
        <v/>
      </c>
      <c r="N1400" s="6">
        <f>IF(AND(K1400="UNMAPPED",M1400=1),ROW(),"")</f>
        <v/>
      </c>
      <c r="O1400" s="6">
        <f>IF(AND(I1400=1,M1400=1),ROW(),"")</f>
        <v/>
      </c>
      <c r="P1400" s="6">
        <f>IF(AND(K1400="ignored",M1400=1),ROW(),"")</f>
        <v/>
      </c>
    </row>
    <row r="1401">
      <c r="A1401" s="8" t="n"/>
      <c r="B1401" s="8" t="n"/>
      <c r="C1401" s="6">
        <f>TRIM(A1401&amp;"")</f>
        <v/>
      </c>
      <c r="D1401" s="6">
        <f>IF(C1401="","",SUBSTITUTE(SUBSTITUTE(SUBSTITUTE(SUBSTITUTE(SUBSTITUTE(SUBSTITUTE(SUBSTITUTE(UPPER(TRIM(B1401&amp;"")),"₹",""),"RS.",""),"RS",""),"INR",""),"$",""),",","")," ",""))</f>
        <v/>
      </c>
      <c r="E1401" s="6">
        <f>IF(C1401="","",IF(RIGHT(D1401,2)="CR","Cr",IF(RIGHT(D1401,2)="DR","Dr","")))</f>
        <v/>
      </c>
      <c r="F1401" s="6">
        <f>IF(C1401="","",IF(E1401&lt;&gt;"",LEFT(D1401,LEN(D1401)-2),D1401))</f>
        <v/>
      </c>
      <c r="G1401" s="13">
        <f>IF(C1401="","",IF(OR(IF(AND(LEFT(F1401,1)="(",RIGHT(F1401,1)=")"),MID(F1401,2,LEN(F1401)-2),F1401)="",IF(AND(LEFT(F1401,1)="(",RIGHT(F1401,1)=")"),MID(F1401,2,LEN(F1401)-2),F1401)="-"),0,IFERROR(VALUE(IF(AND(LEFT(F1401,1)="(",RIGHT(F1401,1)=")"),MID(F1401,2,LEN(F1401)-2),F1401))*IF(AND(LEFT(F1401,1)="(",RIGHT(F1401,1)=")"),-1,1)*IF(E1401="Cr",Setup!$B$6,1),"ERR")))</f>
        <v/>
      </c>
      <c r="H1401" s="6">
        <f>IF(C1401="","",IF(ISNUMBER(G1401),1,0))</f>
        <v/>
      </c>
      <c r="I1401" s="6">
        <f>IF(C1401="","",IF(SUMPRODUCT(($C$12:$C$1511=C1401)*1)&gt;1,1,0))</f>
        <v/>
      </c>
      <c r="J1401" s="6">
        <f>IF(C1401="","",SUMPRODUCT((Mapping!$F$5:$F$504=Setup!$B$4&amp;"||"&amp;C1401)*ROW(Mapping!$F$5:$F$504)))</f>
        <v/>
      </c>
      <c r="K1401" s="6">
        <f>IF(C1401="","",IF(J1401=0,"UNMAPPED",LOWER(INDEX(Mapping!$D$1:$D$504,J1401))))</f>
        <v/>
      </c>
      <c r="L1401" s="6">
        <f>IF(K1401="mapped",TRIM(INDEX(Mapping!$C$1:$C$504,J1401)),"")</f>
        <v/>
      </c>
      <c r="M1401" s="6">
        <f>IF(C1401="","",IF(SUMPRODUCT(($C$12:C1401=C1401)*1)=1,1,0))</f>
        <v/>
      </c>
      <c r="N1401" s="6">
        <f>IF(AND(K1401="UNMAPPED",M1401=1),ROW(),"")</f>
        <v/>
      </c>
      <c r="O1401" s="6">
        <f>IF(AND(I1401=1,M1401=1),ROW(),"")</f>
        <v/>
      </c>
      <c r="P1401" s="6">
        <f>IF(AND(K1401="ignored",M1401=1),ROW(),"")</f>
        <v/>
      </c>
    </row>
    <row r="1402">
      <c r="A1402" s="8" t="n"/>
      <c r="B1402" s="8" t="n"/>
      <c r="C1402" s="6">
        <f>TRIM(A1402&amp;"")</f>
        <v/>
      </c>
      <c r="D1402" s="6">
        <f>IF(C1402="","",SUBSTITUTE(SUBSTITUTE(SUBSTITUTE(SUBSTITUTE(SUBSTITUTE(SUBSTITUTE(SUBSTITUTE(UPPER(TRIM(B1402&amp;"")),"₹",""),"RS.",""),"RS",""),"INR",""),"$",""),",","")," ",""))</f>
        <v/>
      </c>
      <c r="E1402" s="6">
        <f>IF(C1402="","",IF(RIGHT(D1402,2)="CR","Cr",IF(RIGHT(D1402,2)="DR","Dr","")))</f>
        <v/>
      </c>
      <c r="F1402" s="6">
        <f>IF(C1402="","",IF(E1402&lt;&gt;"",LEFT(D1402,LEN(D1402)-2),D1402))</f>
        <v/>
      </c>
      <c r="G1402" s="13">
        <f>IF(C1402="","",IF(OR(IF(AND(LEFT(F1402,1)="(",RIGHT(F1402,1)=")"),MID(F1402,2,LEN(F1402)-2),F1402)="",IF(AND(LEFT(F1402,1)="(",RIGHT(F1402,1)=")"),MID(F1402,2,LEN(F1402)-2),F1402)="-"),0,IFERROR(VALUE(IF(AND(LEFT(F1402,1)="(",RIGHT(F1402,1)=")"),MID(F1402,2,LEN(F1402)-2),F1402))*IF(AND(LEFT(F1402,1)="(",RIGHT(F1402,1)=")"),-1,1)*IF(E1402="Cr",Setup!$B$6,1),"ERR")))</f>
        <v/>
      </c>
      <c r="H1402" s="6">
        <f>IF(C1402="","",IF(ISNUMBER(G1402),1,0))</f>
        <v/>
      </c>
      <c r="I1402" s="6">
        <f>IF(C1402="","",IF(SUMPRODUCT(($C$12:$C$1511=C1402)*1)&gt;1,1,0))</f>
        <v/>
      </c>
      <c r="J1402" s="6">
        <f>IF(C1402="","",SUMPRODUCT((Mapping!$F$5:$F$504=Setup!$B$4&amp;"||"&amp;C1402)*ROW(Mapping!$F$5:$F$504)))</f>
        <v/>
      </c>
      <c r="K1402" s="6">
        <f>IF(C1402="","",IF(J1402=0,"UNMAPPED",LOWER(INDEX(Mapping!$D$1:$D$504,J1402))))</f>
        <v/>
      </c>
      <c r="L1402" s="6">
        <f>IF(K1402="mapped",TRIM(INDEX(Mapping!$C$1:$C$504,J1402)),"")</f>
        <v/>
      </c>
      <c r="M1402" s="6">
        <f>IF(C1402="","",IF(SUMPRODUCT(($C$12:C1402=C1402)*1)=1,1,0))</f>
        <v/>
      </c>
      <c r="N1402" s="6">
        <f>IF(AND(K1402="UNMAPPED",M1402=1),ROW(),"")</f>
        <v/>
      </c>
      <c r="O1402" s="6">
        <f>IF(AND(I1402=1,M1402=1),ROW(),"")</f>
        <v/>
      </c>
      <c r="P1402" s="6">
        <f>IF(AND(K1402="ignored",M1402=1),ROW(),"")</f>
        <v/>
      </c>
    </row>
    <row r="1403">
      <c r="A1403" s="8" t="n"/>
      <c r="B1403" s="8" t="n"/>
      <c r="C1403" s="6">
        <f>TRIM(A1403&amp;"")</f>
        <v/>
      </c>
      <c r="D1403" s="6">
        <f>IF(C1403="","",SUBSTITUTE(SUBSTITUTE(SUBSTITUTE(SUBSTITUTE(SUBSTITUTE(SUBSTITUTE(SUBSTITUTE(UPPER(TRIM(B1403&amp;"")),"₹",""),"RS.",""),"RS",""),"INR",""),"$",""),",","")," ",""))</f>
        <v/>
      </c>
      <c r="E1403" s="6">
        <f>IF(C1403="","",IF(RIGHT(D1403,2)="CR","Cr",IF(RIGHT(D1403,2)="DR","Dr","")))</f>
        <v/>
      </c>
      <c r="F1403" s="6">
        <f>IF(C1403="","",IF(E1403&lt;&gt;"",LEFT(D1403,LEN(D1403)-2),D1403))</f>
        <v/>
      </c>
      <c r="G1403" s="13">
        <f>IF(C1403="","",IF(OR(IF(AND(LEFT(F1403,1)="(",RIGHT(F1403,1)=")"),MID(F1403,2,LEN(F1403)-2),F1403)="",IF(AND(LEFT(F1403,1)="(",RIGHT(F1403,1)=")"),MID(F1403,2,LEN(F1403)-2),F1403)="-"),0,IFERROR(VALUE(IF(AND(LEFT(F1403,1)="(",RIGHT(F1403,1)=")"),MID(F1403,2,LEN(F1403)-2),F1403))*IF(AND(LEFT(F1403,1)="(",RIGHT(F1403,1)=")"),-1,1)*IF(E1403="Cr",Setup!$B$6,1),"ERR")))</f>
        <v/>
      </c>
      <c r="H1403" s="6">
        <f>IF(C1403="","",IF(ISNUMBER(G1403),1,0))</f>
        <v/>
      </c>
      <c r="I1403" s="6">
        <f>IF(C1403="","",IF(SUMPRODUCT(($C$12:$C$1511=C1403)*1)&gt;1,1,0))</f>
        <v/>
      </c>
      <c r="J1403" s="6">
        <f>IF(C1403="","",SUMPRODUCT((Mapping!$F$5:$F$504=Setup!$B$4&amp;"||"&amp;C1403)*ROW(Mapping!$F$5:$F$504)))</f>
        <v/>
      </c>
      <c r="K1403" s="6">
        <f>IF(C1403="","",IF(J1403=0,"UNMAPPED",LOWER(INDEX(Mapping!$D$1:$D$504,J1403))))</f>
        <v/>
      </c>
      <c r="L1403" s="6">
        <f>IF(K1403="mapped",TRIM(INDEX(Mapping!$C$1:$C$504,J1403)),"")</f>
        <v/>
      </c>
      <c r="M1403" s="6">
        <f>IF(C1403="","",IF(SUMPRODUCT(($C$12:C1403=C1403)*1)=1,1,0))</f>
        <v/>
      </c>
      <c r="N1403" s="6">
        <f>IF(AND(K1403="UNMAPPED",M1403=1),ROW(),"")</f>
        <v/>
      </c>
      <c r="O1403" s="6">
        <f>IF(AND(I1403=1,M1403=1),ROW(),"")</f>
        <v/>
      </c>
      <c r="P1403" s="6">
        <f>IF(AND(K1403="ignored",M1403=1),ROW(),"")</f>
        <v/>
      </c>
    </row>
    <row r="1404">
      <c r="A1404" s="8" t="n"/>
      <c r="B1404" s="8" t="n"/>
      <c r="C1404" s="6">
        <f>TRIM(A1404&amp;"")</f>
        <v/>
      </c>
      <c r="D1404" s="6">
        <f>IF(C1404="","",SUBSTITUTE(SUBSTITUTE(SUBSTITUTE(SUBSTITUTE(SUBSTITUTE(SUBSTITUTE(SUBSTITUTE(UPPER(TRIM(B1404&amp;"")),"₹",""),"RS.",""),"RS",""),"INR",""),"$",""),",","")," ",""))</f>
        <v/>
      </c>
      <c r="E1404" s="6">
        <f>IF(C1404="","",IF(RIGHT(D1404,2)="CR","Cr",IF(RIGHT(D1404,2)="DR","Dr","")))</f>
        <v/>
      </c>
      <c r="F1404" s="6">
        <f>IF(C1404="","",IF(E1404&lt;&gt;"",LEFT(D1404,LEN(D1404)-2),D1404))</f>
        <v/>
      </c>
      <c r="G1404" s="13">
        <f>IF(C1404="","",IF(OR(IF(AND(LEFT(F1404,1)="(",RIGHT(F1404,1)=")"),MID(F1404,2,LEN(F1404)-2),F1404)="",IF(AND(LEFT(F1404,1)="(",RIGHT(F1404,1)=")"),MID(F1404,2,LEN(F1404)-2),F1404)="-"),0,IFERROR(VALUE(IF(AND(LEFT(F1404,1)="(",RIGHT(F1404,1)=")"),MID(F1404,2,LEN(F1404)-2),F1404))*IF(AND(LEFT(F1404,1)="(",RIGHT(F1404,1)=")"),-1,1)*IF(E1404="Cr",Setup!$B$6,1),"ERR")))</f>
        <v/>
      </c>
      <c r="H1404" s="6">
        <f>IF(C1404="","",IF(ISNUMBER(G1404),1,0))</f>
        <v/>
      </c>
      <c r="I1404" s="6">
        <f>IF(C1404="","",IF(SUMPRODUCT(($C$12:$C$1511=C1404)*1)&gt;1,1,0))</f>
        <v/>
      </c>
      <c r="J1404" s="6">
        <f>IF(C1404="","",SUMPRODUCT((Mapping!$F$5:$F$504=Setup!$B$4&amp;"||"&amp;C1404)*ROW(Mapping!$F$5:$F$504)))</f>
        <v/>
      </c>
      <c r="K1404" s="6">
        <f>IF(C1404="","",IF(J1404=0,"UNMAPPED",LOWER(INDEX(Mapping!$D$1:$D$504,J1404))))</f>
        <v/>
      </c>
      <c r="L1404" s="6">
        <f>IF(K1404="mapped",TRIM(INDEX(Mapping!$C$1:$C$504,J1404)),"")</f>
        <v/>
      </c>
      <c r="M1404" s="6">
        <f>IF(C1404="","",IF(SUMPRODUCT(($C$12:C1404=C1404)*1)=1,1,0))</f>
        <v/>
      </c>
      <c r="N1404" s="6">
        <f>IF(AND(K1404="UNMAPPED",M1404=1),ROW(),"")</f>
        <v/>
      </c>
      <c r="O1404" s="6">
        <f>IF(AND(I1404=1,M1404=1),ROW(),"")</f>
        <v/>
      </c>
      <c r="P1404" s="6">
        <f>IF(AND(K1404="ignored",M1404=1),ROW(),"")</f>
        <v/>
      </c>
    </row>
    <row r="1405">
      <c r="A1405" s="8" t="n"/>
      <c r="B1405" s="8" t="n"/>
      <c r="C1405" s="6">
        <f>TRIM(A1405&amp;"")</f>
        <v/>
      </c>
      <c r="D1405" s="6">
        <f>IF(C1405="","",SUBSTITUTE(SUBSTITUTE(SUBSTITUTE(SUBSTITUTE(SUBSTITUTE(SUBSTITUTE(SUBSTITUTE(UPPER(TRIM(B1405&amp;"")),"₹",""),"RS.",""),"RS",""),"INR",""),"$",""),",","")," ",""))</f>
        <v/>
      </c>
      <c r="E1405" s="6">
        <f>IF(C1405="","",IF(RIGHT(D1405,2)="CR","Cr",IF(RIGHT(D1405,2)="DR","Dr","")))</f>
        <v/>
      </c>
      <c r="F1405" s="6">
        <f>IF(C1405="","",IF(E1405&lt;&gt;"",LEFT(D1405,LEN(D1405)-2),D1405))</f>
        <v/>
      </c>
      <c r="G1405" s="13">
        <f>IF(C1405="","",IF(OR(IF(AND(LEFT(F1405,1)="(",RIGHT(F1405,1)=")"),MID(F1405,2,LEN(F1405)-2),F1405)="",IF(AND(LEFT(F1405,1)="(",RIGHT(F1405,1)=")"),MID(F1405,2,LEN(F1405)-2),F1405)="-"),0,IFERROR(VALUE(IF(AND(LEFT(F1405,1)="(",RIGHT(F1405,1)=")"),MID(F1405,2,LEN(F1405)-2),F1405))*IF(AND(LEFT(F1405,1)="(",RIGHT(F1405,1)=")"),-1,1)*IF(E1405="Cr",Setup!$B$6,1),"ERR")))</f>
        <v/>
      </c>
      <c r="H1405" s="6">
        <f>IF(C1405="","",IF(ISNUMBER(G1405),1,0))</f>
        <v/>
      </c>
      <c r="I1405" s="6">
        <f>IF(C1405="","",IF(SUMPRODUCT(($C$12:$C$1511=C1405)*1)&gt;1,1,0))</f>
        <v/>
      </c>
      <c r="J1405" s="6">
        <f>IF(C1405="","",SUMPRODUCT((Mapping!$F$5:$F$504=Setup!$B$4&amp;"||"&amp;C1405)*ROW(Mapping!$F$5:$F$504)))</f>
        <v/>
      </c>
      <c r="K1405" s="6">
        <f>IF(C1405="","",IF(J1405=0,"UNMAPPED",LOWER(INDEX(Mapping!$D$1:$D$504,J1405))))</f>
        <v/>
      </c>
      <c r="L1405" s="6">
        <f>IF(K1405="mapped",TRIM(INDEX(Mapping!$C$1:$C$504,J1405)),"")</f>
        <v/>
      </c>
      <c r="M1405" s="6">
        <f>IF(C1405="","",IF(SUMPRODUCT(($C$12:C1405=C1405)*1)=1,1,0))</f>
        <v/>
      </c>
      <c r="N1405" s="6">
        <f>IF(AND(K1405="UNMAPPED",M1405=1),ROW(),"")</f>
        <v/>
      </c>
      <c r="O1405" s="6">
        <f>IF(AND(I1405=1,M1405=1),ROW(),"")</f>
        <v/>
      </c>
      <c r="P1405" s="6">
        <f>IF(AND(K1405="ignored",M1405=1),ROW(),"")</f>
        <v/>
      </c>
    </row>
    <row r="1406">
      <c r="A1406" s="8" t="n"/>
      <c r="B1406" s="8" t="n"/>
      <c r="C1406" s="6">
        <f>TRIM(A1406&amp;"")</f>
        <v/>
      </c>
      <c r="D1406" s="6">
        <f>IF(C1406="","",SUBSTITUTE(SUBSTITUTE(SUBSTITUTE(SUBSTITUTE(SUBSTITUTE(SUBSTITUTE(SUBSTITUTE(UPPER(TRIM(B1406&amp;"")),"₹",""),"RS.",""),"RS",""),"INR",""),"$",""),",","")," ",""))</f>
        <v/>
      </c>
      <c r="E1406" s="6">
        <f>IF(C1406="","",IF(RIGHT(D1406,2)="CR","Cr",IF(RIGHT(D1406,2)="DR","Dr","")))</f>
        <v/>
      </c>
      <c r="F1406" s="6">
        <f>IF(C1406="","",IF(E1406&lt;&gt;"",LEFT(D1406,LEN(D1406)-2),D1406))</f>
        <v/>
      </c>
      <c r="G1406" s="13">
        <f>IF(C1406="","",IF(OR(IF(AND(LEFT(F1406,1)="(",RIGHT(F1406,1)=")"),MID(F1406,2,LEN(F1406)-2),F1406)="",IF(AND(LEFT(F1406,1)="(",RIGHT(F1406,1)=")"),MID(F1406,2,LEN(F1406)-2),F1406)="-"),0,IFERROR(VALUE(IF(AND(LEFT(F1406,1)="(",RIGHT(F1406,1)=")"),MID(F1406,2,LEN(F1406)-2),F1406))*IF(AND(LEFT(F1406,1)="(",RIGHT(F1406,1)=")"),-1,1)*IF(E1406="Cr",Setup!$B$6,1),"ERR")))</f>
        <v/>
      </c>
      <c r="H1406" s="6">
        <f>IF(C1406="","",IF(ISNUMBER(G1406),1,0))</f>
        <v/>
      </c>
      <c r="I1406" s="6">
        <f>IF(C1406="","",IF(SUMPRODUCT(($C$12:$C$1511=C1406)*1)&gt;1,1,0))</f>
        <v/>
      </c>
      <c r="J1406" s="6">
        <f>IF(C1406="","",SUMPRODUCT((Mapping!$F$5:$F$504=Setup!$B$4&amp;"||"&amp;C1406)*ROW(Mapping!$F$5:$F$504)))</f>
        <v/>
      </c>
      <c r="K1406" s="6">
        <f>IF(C1406="","",IF(J1406=0,"UNMAPPED",LOWER(INDEX(Mapping!$D$1:$D$504,J1406))))</f>
        <v/>
      </c>
      <c r="L1406" s="6">
        <f>IF(K1406="mapped",TRIM(INDEX(Mapping!$C$1:$C$504,J1406)),"")</f>
        <v/>
      </c>
      <c r="M1406" s="6">
        <f>IF(C1406="","",IF(SUMPRODUCT(($C$12:C1406=C1406)*1)=1,1,0))</f>
        <v/>
      </c>
      <c r="N1406" s="6">
        <f>IF(AND(K1406="UNMAPPED",M1406=1),ROW(),"")</f>
        <v/>
      </c>
      <c r="O1406" s="6">
        <f>IF(AND(I1406=1,M1406=1),ROW(),"")</f>
        <v/>
      </c>
      <c r="P1406" s="6">
        <f>IF(AND(K1406="ignored",M1406=1),ROW(),"")</f>
        <v/>
      </c>
    </row>
    <row r="1407">
      <c r="A1407" s="8" t="n"/>
      <c r="B1407" s="8" t="n"/>
      <c r="C1407" s="6">
        <f>TRIM(A1407&amp;"")</f>
        <v/>
      </c>
      <c r="D1407" s="6">
        <f>IF(C1407="","",SUBSTITUTE(SUBSTITUTE(SUBSTITUTE(SUBSTITUTE(SUBSTITUTE(SUBSTITUTE(SUBSTITUTE(UPPER(TRIM(B1407&amp;"")),"₹",""),"RS.",""),"RS",""),"INR",""),"$",""),",","")," ",""))</f>
        <v/>
      </c>
      <c r="E1407" s="6">
        <f>IF(C1407="","",IF(RIGHT(D1407,2)="CR","Cr",IF(RIGHT(D1407,2)="DR","Dr","")))</f>
        <v/>
      </c>
      <c r="F1407" s="6">
        <f>IF(C1407="","",IF(E1407&lt;&gt;"",LEFT(D1407,LEN(D1407)-2),D1407))</f>
        <v/>
      </c>
      <c r="G1407" s="13">
        <f>IF(C1407="","",IF(OR(IF(AND(LEFT(F1407,1)="(",RIGHT(F1407,1)=")"),MID(F1407,2,LEN(F1407)-2),F1407)="",IF(AND(LEFT(F1407,1)="(",RIGHT(F1407,1)=")"),MID(F1407,2,LEN(F1407)-2),F1407)="-"),0,IFERROR(VALUE(IF(AND(LEFT(F1407,1)="(",RIGHT(F1407,1)=")"),MID(F1407,2,LEN(F1407)-2),F1407))*IF(AND(LEFT(F1407,1)="(",RIGHT(F1407,1)=")"),-1,1)*IF(E1407="Cr",Setup!$B$6,1),"ERR")))</f>
        <v/>
      </c>
      <c r="H1407" s="6">
        <f>IF(C1407="","",IF(ISNUMBER(G1407),1,0))</f>
        <v/>
      </c>
      <c r="I1407" s="6">
        <f>IF(C1407="","",IF(SUMPRODUCT(($C$12:$C$1511=C1407)*1)&gt;1,1,0))</f>
        <v/>
      </c>
      <c r="J1407" s="6">
        <f>IF(C1407="","",SUMPRODUCT((Mapping!$F$5:$F$504=Setup!$B$4&amp;"||"&amp;C1407)*ROW(Mapping!$F$5:$F$504)))</f>
        <v/>
      </c>
      <c r="K1407" s="6">
        <f>IF(C1407="","",IF(J1407=0,"UNMAPPED",LOWER(INDEX(Mapping!$D$1:$D$504,J1407))))</f>
        <v/>
      </c>
      <c r="L1407" s="6">
        <f>IF(K1407="mapped",TRIM(INDEX(Mapping!$C$1:$C$504,J1407)),"")</f>
        <v/>
      </c>
      <c r="M1407" s="6">
        <f>IF(C1407="","",IF(SUMPRODUCT(($C$12:C1407=C1407)*1)=1,1,0))</f>
        <v/>
      </c>
      <c r="N1407" s="6">
        <f>IF(AND(K1407="UNMAPPED",M1407=1),ROW(),"")</f>
        <v/>
      </c>
      <c r="O1407" s="6">
        <f>IF(AND(I1407=1,M1407=1),ROW(),"")</f>
        <v/>
      </c>
      <c r="P1407" s="6">
        <f>IF(AND(K1407="ignored",M1407=1),ROW(),"")</f>
        <v/>
      </c>
    </row>
    <row r="1408">
      <c r="A1408" s="8" t="n"/>
      <c r="B1408" s="8" t="n"/>
      <c r="C1408" s="6">
        <f>TRIM(A1408&amp;"")</f>
        <v/>
      </c>
      <c r="D1408" s="6">
        <f>IF(C1408="","",SUBSTITUTE(SUBSTITUTE(SUBSTITUTE(SUBSTITUTE(SUBSTITUTE(SUBSTITUTE(SUBSTITUTE(UPPER(TRIM(B1408&amp;"")),"₹",""),"RS.",""),"RS",""),"INR",""),"$",""),",","")," ",""))</f>
        <v/>
      </c>
      <c r="E1408" s="6">
        <f>IF(C1408="","",IF(RIGHT(D1408,2)="CR","Cr",IF(RIGHT(D1408,2)="DR","Dr","")))</f>
        <v/>
      </c>
      <c r="F1408" s="6">
        <f>IF(C1408="","",IF(E1408&lt;&gt;"",LEFT(D1408,LEN(D1408)-2),D1408))</f>
        <v/>
      </c>
      <c r="G1408" s="13">
        <f>IF(C1408="","",IF(OR(IF(AND(LEFT(F1408,1)="(",RIGHT(F1408,1)=")"),MID(F1408,2,LEN(F1408)-2),F1408)="",IF(AND(LEFT(F1408,1)="(",RIGHT(F1408,1)=")"),MID(F1408,2,LEN(F1408)-2),F1408)="-"),0,IFERROR(VALUE(IF(AND(LEFT(F1408,1)="(",RIGHT(F1408,1)=")"),MID(F1408,2,LEN(F1408)-2),F1408))*IF(AND(LEFT(F1408,1)="(",RIGHT(F1408,1)=")"),-1,1)*IF(E1408="Cr",Setup!$B$6,1),"ERR")))</f>
        <v/>
      </c>
      <c r="H1408" s="6">
        <f>IF(C1408="","",IF(ISNUMBER(G1408),1,0))</f>
        <v/>
      </c>
      <c r="I1408" s="6">
        <f>IF(C1408="","",IF(SUMPRODUCT(($C$12:$C$1511=C1408)*1)&gt;1,1,0))</f>
        <v/>
      </c>
      <c r="J1408" s="6">
        <f>IF(C1408="","",SUMPRODUCT((Mapping!$F$5:$F$504=Setup!$B$4&amp;"||"&amp;C1408)*ROW(Mapping!$F$5:$F$504)))</f>
        <v/>
      </c>
      <c r="K1408" s="6">
        <f>IF(C1408="","",IF(J1408=0,"UNMAPPED",LOWER(INDEX(Mapping!$D$1:$D$504,J1408))))</f>
        <v/>
      </c>
      <c r="L1408" s="6">
        <f>IF(K1408="mapped",TRIM(INDEX(Mapping!$C$1:$C$504,J1408)),"")</f>
        <v/>
      </c>
      <c r="M1408" s="6">
        <f>IF(C1408="","",IF(SUMPRODUCT(($C$12:C1408=C1408)*1)=1,1,0))</f>
        <v/>
      </c>
      <c r="N1408" s="6">
        <f>IF(AND(K1408="UNMAPPED",M1408=1),ROW(),"")</f>
        <v/>
      </c>
      <c r="O1408" s="6">
        <f>IF(AND(I1408=1,M1408=1),ROW(),"")</f>
        <v/>
      </c>
      <c r="P1408" s="6">
        <f>IF(AND(K1408="ignored",M1408=1),ROW(),"")</f>
        <v/>
      </c>
    </row>
    <row r="1409">
      <c r="A1409" s="8" t="n"/>
      <c r="B1409" s="8" t="n"/>
      <c r="C1409" s="6">
        <f>TRIM(A1409&amp;"")</f>
        <v/>
      </c>
      <c r="D1409" s="6">
        <f>IF(C1409="","",SUBSTITUTE(SUBSTITUTE(SUBSTITUTE(SUBSTITUTE(SUBSTITUTE(SUBSTITUTE(SUBSTITUTE(UPPER(TRIM(B1409&amp;"")),"₹",""),"RS.",""),"RS",""),"INR",""),"$",""),",","")," ",""))</f>
        <v/>
      </c>
      <c r="E1409" s="6">
        <f>IF(C1409="","",IF(RIGHT(D1409,2)="CR","Cr",IF(RIGHT(D1409,2)="DR","Dr","")))</f>
        <v/>
      </c>
      <c r="F1409" s="6">
        <f>IF(C1409="","",IF(E1409&lt;&gt;"",LEFT(D1409,LEN(D1409)-2),D1409))</f>
        <v/>
      </c>
      <c r="G1409" s="13">
        <f>IF(C1409="","",IF(OR(IF(AND(LEFT(F1409,1)="(",RIGHT(F1409,1)=")"),MID(F1409,2,LEN(F1409)-2),F1409)="",IF(AND(LEFT(F1409,1)="(",RIGHT(F1409,1)=")"),MID(F1409,2,LEN(F1409)-2),F1409)="-"),0,IFERROR(VALUE(IF(AND(LEFT(F1409,1)="(",RIGHT(F1409,1)=")"),MID(F1409,2,LEN(F1409)-2),F1409))*IF(AND(LEFT(F1409,1)="(",RIGHT(F1409,1)=")"),-1,1)*IF(E1409="Cr",Setup!$B$6,1),"ERR")))</f>
        <v/>
      </c>
      <c r="H1409" s="6">
        <f>IF(C1409="","",IF(ISNUMBER(G1409),1,0))</f>
        <v/>
      </c>
      <c r="I1409" s="6">
        <f>IF(C1409="","",IF(SUMPRODUCT(($C$12:$C$1511=C1409)*1)&gt;1,1,0))</f>
        <v/>
      </c>
      <c r="J1409" s="6">
        <f>IF(C1409="","",SUMPRODUCT((Mapping!$F$5:$F$504=Setup!$B$4&amp;"||"&amp;C1409)*ROW(Mapping!$F$5:$F$504)))</f>
        <v/>
      </c>
      <c r="K1409" s="6">
        <f>IF(C1409="","",IF(J1409=0,"UNMAPPED",LOWER(INDEX(Mapping!$D$1:$D$504,J1409))))</f>
        <v/>
      </c>
      <c r="L1409" s="6">
        <f>IF(K1409="mapped",TRIM(INDEX(Mapping!$C$1:$C$504,J1409)),"")</f>
        <v/>
      </c>
      <c r="M1409" s="6">
        <f>IF(C1409="","",IF(SUMPRODUCT(($C$12:C1409=C1409)*1)=1,1,0))</f>
        <v/>
      </c>
      <c r="N1409" s="6">
        <f>IF(AND(K1409="UNMAPPED",M1409=1),ROW(),"")</f>
        <v/>
      </c>
      <c r="O1409" s="6">
        <f>IF(AND(I1409=1,M1409=1),ROW(),"")</f>
        <v/>
      </c>
      <c r="P1409" s="6">
        <f>IF(AND(K1409="ignored",M1409=1),ROW(),"")</f>
        <v/>
      </c>
    </row>
    <row r="1410">
      <c r="A1410" s="8" t="n"/>
      <c r="B1410" s="8" t="n"/>
      <c r="C1410" s="6">
        <f>TRIM(A1410&amp;"")</f>
        <v/>
      </c>
      <c r="D1410" s="6">
        <f>IF(C1410="","",SUBSTITUTE(SUBSTITUTE(SUBSTITUTE(SUBSTITUTE(SUBSTITUTE(SUBSTITUTE(SUBSTITUTE(UPPER(TRIM(B1410&amp;"")),"₹",""),"RS.",""),"RS",""),"INR",""),"$",""),",","")," ",""))</f>
        <v/>
      </c>
      <c r="E1410" s="6">
        <f>IF(C1410="","",IF(RIGHT(D1410,2)="CR","Cr",IF(RIGHT(D1410,2)="DR","Dr","")))</f>
        <v/>
      </c>
      <c r="F1410" s="6">
        <f>IF(C1410="","",IF(E1410&lt;&gt;"",LEFT(D1410,LEN(D1410)-2),D1410))</f>
        <v/>
      </c>
      <c r="G1410" s="13">
        <f>IF(C1410="","",IF(OR(IF(AND(LEFT(F1410,1)="(",RIGHT(F1410,1)=")"),MID(F1410,2,LEN(F1410)-2),F1410)="",IF(AND(LEFT(F1410,1)="(",RIGHT(F1410,1)=")"),MID(F1410,2,LEN(F1410)-2),F1410)="-"),0,IFERROR(VALUE(IF(AND(LEFT(F1410,1)="(",RIGHT(F1410,1)=")"),MID(F1410,2,LEN(F1410)-2),F1410))*IF(AND(LEFT(F1410,1)="(",RIGHT(F1410,1)=")"),-1,1)*IF(E1410="Cr",Setup!$B$6,1),"ERR")))</f>
        <v/>
      </c>
      <c r="H1410" s="6">
        <f>IF(C1410="","",IF(ISNUMBER(G1410),1,0))</f>
        <v/>
      </c>
      <c r="I1410" s="6">
        <f>IF(C1410="","",IF(SUMPRODUCT(($C$12:$C$1511=C1410)*1)&gt;1,1,0))</f>
        <v/>
      </c>
      <c r="J1410" s="6">
        <f>IF(C1410="","",SUMPRODUCT((Mapping!$F$5:$F$504=Setup!$B$4&amp;"||"&amp;C1410)*ROW(Mapping!$F$5:$F$504)))</f>
        <v/>
      </c>
      <c r="K1410" s="6">
        <f>IF(C1410="","",IF(J1410=0,"UNMAPPED",LOWER(INDEX(Mapping!$D$1:$D$504,J1410))))</f>
        <v/>
      </c>
      <c r="L1410" s="6">
        <f>IF(K1410="mapped",TRIM(INDEX(Mapping!$C$1:$C$504,J1410)),"")</f>
        <v/>
      </c>
      <c r="M1410" s="6">
        <f>IF(C1410="","",IF(SUMPRODUCT(($C$12:C1410=C1410)*1)=1,1,0))</f>
        <v/>
      </c>
      <c r="N1410" s="6">
        <f>IF(AND(K1410="UNMAPPED",M1410=1),ROW(),"")</f>
        <v/>
      </c>
      <c r="O1410" s="6">
        <f>IF(AND(I1410=1,M1410=1),ROW(),"")</f>
        <v/>
      </c>
      <c r="P1410" s="6">
        <f>IF(AND(K1410="ignored",M1410=1),ROW(),"")</f>
        <v/>
      </c>
    </row>
    <row r="1411">
      <c r="A1411" s="8" t="n"/>
      <c r="B1411" s="8" t="n"/>
      <c r="C1411" s="6">
        <f>TRIM(A1411&amp;"")</f>
        <v/>
      </c>
      <c r="D1411" s="6">
        <f>IF(C1411="","",SUBSTITUTE(SUBSTITUTE(SUBSTITUTE(SUBSTITUTE(SUBSTITUTE(SUBSTITUTE(SUBSTITUTE(UPPER(TRIM(B1411&amp;"")),"₹",""),"RS.",""),"RS",""),"INR",""),"$",""),",","")," ",""))</f>
        <v/>
      </c>
      <c r="E1411" s="6">
        <f>IF(C1411="","",IF(RIGHT(D1411,2)="CR","Cr",IF(RIGHT(D1411,2)="DR","Dr","")))</f>
        <v/>
      </c>
      <c r="F1411" s="6">
        <f>IF(C1411="","",IF(E1411&lt;&gt;"",LEFT(D1411,LEN(D1411)-2),D1411))</f>
        <v/>
      </c>
      <c r="G1411" s="13">
        <f>IF(C1411="","",IF(OR(IF(AND(LEFT(F1411,1)="(",RIGHT(F1411,1)=")"),MID(F1411,2,LEN(F1411)-2),F1411)="",IF(AND(LEFT(F1411,1)="(",RIGHT(F1411,1)=")"),MID(F1411,2,LEN(F1411)-2),F1411)="-"),0,IFERROR(VALUE(IF(AND(LEFT(F1411,1)="(",RIGHT(F1411,1)=")"),MID(F1411,2,LEN(F1411)-2),F1411))*IF(AND(LEFT(F1411,1)="(",RIGHT(F1411,1)=")"),-1,1)*IF(E1411="Cr",Setup!$B$6,1),"ERR")))</f>
        <v/>
      </c>
      <c r="H1411" s="6">
        <f>IF(C1411="","",IF(ISNUMBER(G1411),1,0))</f>
        <v/>
      </c>
      <c r="I1411" s="6">
        <f>IF(C1411="","",IF(SUMPRODUCT(($C$12:$C$1511=C1411)*1)&gt;1,1,0))</f>
        <v/>
      </c>
      <c r="J1411" s="6">
        <f>IF(C1411="","",SUMPRODUCT((Mapping!$F$5:$F$504=Setup!$B$4&amp;"||"&amp;C1411)*ROW(Mapping!$F$5:$F$504)))</f>
        <v/>
      </c>
      <c r="K1411" s="6">
        <f>IF(C1411="","",IF(J1411=0,"UNMAPPED",LOWER(INDEX(Mapping!$D$1:$D$504,J1411))))</f>
        <v/>
      </c>
      <c r="L1411" s="6">
        <f>IF(K1411="mapped",TRIM(INDEX(Mapping!$C$1:$C$504,J1411)),"")</f>
        <v/>
      </c>
      <c r="M1411" s="6">
        <f>IF(C1411="","",IF(SUMPRODUCT(($C$12:C1411=C1411)*1)=1,1,0))</f>
        <v/>
      </c>
      <c r="N1411" s="6">
        <f>IF(AND(K1411="UNMAPPED",M1411=1),ROW(),"")</f>
        <v/>
      </c>
      <c r="O1411" s="6">
        <f>IF(AND(I1411=1,M1411=1),ROW(),"")</f>
        <v/>
      </c>
      <c r="P1411" s="6">
        <f>IF(AND(K1411="ignored",M1411=1),ROW(),"")</f>
        <v/>
      </c>
    </row>
    <row r="1412">
      <c r="A1412" s="8" t="n"/>
      <c r="B1412" s="8" t="n"/>
      <c r="C1412" s="6">
        <f>TRIM(A1412&amp;"")</f>
        <v/>
      </c>
      <c r="D1412" s="6">
        <f>IF(C1412="","",SUBSTITUTE(SUBSTITUTE(SUBSTITUTE(SUBSTITUTE(SUBSTITUTE(SUBSTITUTE(SUBSTITUTE(UPPER(TRIM(B1412&amp;"")),"₹",""),"RS.",""),"RS",""),"INR",""),"$",""),",","")," ",""))</f>
        <v/>
      </c>
      <c r="E1412" s="6">
        <f>IF(C1412="","",IF(RIGHT(D1412,2)="CR","Cr",IF(RIGHT(D1412,2)="DR","Dr","")))</f>
        <v/>
      </c>
      <c r="F1412" s="6">
        <f>IF(C1412="","",IF(E1412&lt;&gt;"",LEFT(D1412,LEN(D1412)-2),D1412))</f>
        <v/>
      </c>
      <c r="G1412" s="13">
        <f>IF(C1412="","",IF(OR(IF(AND(LEFT(F1412,1)="(",RIGHT(F1412,1)=")"),MID(F1412,2,LEN(F1412)-2),F1412)="",IF(AND(LEFT(F1412,1)="(",RIGHT(F1412,1)=")"),MID(F1412,2,LEN(F1412)-2),F1412)="-"),0,IFERROR(VALUE(IF(AND(LEFT(F1412,1)="(",RIGHT(F1412,1)=")"),MID(F1412,2,LEN(F1412)-2),F1412))*IF(AND(LEFT(F1412,1)="(",RIGHT(F1412,1)=")"),-1,1)*IF(E1412="Cr",Setup!$B$6,1),"ERR")))</f>
        <v/>
      </c>
      <c r="H1412" s="6">
        <f>IF(C1412="","",IF(ISNUMBER(G1412),1,0))</f>
        <v/>
      </c>
      <c r="I1412" s="6">
        <f>IF(C1412="","",IF(SUMPRODUCT(($C$12:$C$1511=C1412)*1)&gt;1,1,0))</f>
        <v/>
      </c>
      <c r="J1412" s="6">
        <f>IF(C1412="","",SUMPRODUCT((Mapping!$F$5:$F$504=Setup!$B$4&amp;"||"&amp;C1412)*ROW(Mapping!$F$5:$F$504)))</f>
        <v/>
      </c>
      <c r="K1412" s="6">
        <f>IF(C1412="","",IF(J1412=0,"UNMAPPED",LOWER(INDEX(Mapping!$D$1:$D$504,J1412))))</f>
        <v/>
      </c>
      <c r="L1412" s="6">
        <f>IF(K1412="mapped",TRIM(INDEX(Mapping!$C$1:$C$504,J1412)),"")</f>
        <v/>
      </c>
      <c r="M1412" s="6">
        <f>IF(C1412="","",IF(SUMPRODUCT(($C$12:C1412=C1412)*1)=1,1,0))</f>
        <v/>
      </c>
      <c r="N1412" s="6">
        <f>IF(AND(K1412="UNMAPPED",M1412=1),ROW(),"")</f>
        <v/>
      </c>
      <c r="O1412" s="6">
        <f>IF(AND(I1412=1,M1412=1),ROW(),"")</f>
        <v/>
      </c>
      <c r="P1412" s="6">
        <f>IF(AND(K1412="ignored",M1412=1),ROW(),"")</f>
        <v/>
      </c>
    </row>
    <row r="1413">
      <c r="A1413" s="8" t="n"/>
      <c r="B1413" s="8" t="n"/>
      <c r="C1413" s="6">
        <f>TRIM(A1413&amp;"")</f>
        <v/>
      </c>
      <c r="D1413" s="6">
        <f>IF(C1413="","",SUBSTITUTE(SUBSTITUTE(SUBSTITUTE(SUBSTITUTE(SUBSTITUTE(SUBSTITUTE(SUBSTITUTE(UPPER(TRIM(B1413&amp;"")),"₹",""),"RS.",""),"RS",""),"INR",""),"$",""),",","")," ",""))</f>
        <v/>
      </c>
      <c r="E1413" s="6">
        <f>IF(C1413="","",IF(RIGHT(D1413,2)="CR","Cr",IF(RIGHT(D1413,2)="DR","Dr","")))</f>
        <v/>
      </c>
      <c r="F1413" s="6">
        <f>IF(C1413="","",IF(E1413&lt;&gt;"",LEFT(D1413,LEN(D1413)-2),D1413))</f>
        <v/>
      </c>
      <c r="G1413" s="13">
        <f>IF(C1413="","",IF(OR(IF(AND(LEFT(F1413,1)="(",RIGHT(F1413,1)=")"),MID(F1413,2,LEN(F1413)-2),F1413)="",IF(AND(LEFT(F1413,1)="(",RIGHT(F1413,1)=")"),MID(F1413,2,LEN(F1413)-2),F1413)="-"),0,IFERROR(VALUE(IF(AND(LEFT(F1413,1)="(",RIGHT(F1413,1)=")"),MID(F1413,2,LEN(F1413)-2),F1413))*IF(AND(LEFT(F1413,1)="(",RIGHT(F1413,1)=")"),-1,1)*IF(E1413="Cr",Setup!$B$6,1),"ERR")))</f>
        <v/>
      </c>
      <c r="H1413" s="6">
        <f>IF(C1413="","",IF(ISNUMBER(G1413),1,0))</f>
        <v/>
      </c>
      <c r="I1413" s="6">
        <f>IF(C1413="","",IF(SUMPRODUCT(($C$12:$C$1511=C1413)*1)&gt;1,1,0))</f>
        <v/>
      </c>
      <c r="J1413" s="6">
        <f>IF(C1413="","",SUMPRODUCT((Mapping!$F$5:$F$504=Setup!$B$4&amp;"||"&amp;C1413)*ROW(Mapping!$F$5:$F$504)))</f>
        <v/>
      </c>
      <c r="K1413" s="6">
        <f>IF(C1413="","",IF(J1413=0,"UNMAPPED",LOWER(INDEX(Mapping!$D$1:$D$504,J1413))))</f>
        <v/>
      </c>
      <c r="L1413" s="6">
        <f>IF(K1413="mapped",TRIM(INDEX(Mapping!$C$1:$C$504,J1413)),"")</f>
        <v/>
      </c>
      <c r="M1413" s="6">
        <f>IF(C1413="","",IF(SUMPRODUCT(($C$12:C1413=C1413)*1)=1,1,0))</f>
        <v/>
      </c>
      <c r="N1413" s="6">
        <f>IF(AND(K1413="UNMAPPED",M1413=1),ROW(),"")</f>
        <v/>
      </c>
      <c r="O1413" s="6">
        <f>IF(AND(I1413=1,M1413=1),ROW(),"")</f>
        <v/>
      </c>
      <c r="P1413" s="6">
        <f>IF(AND(K1413="ignored",M1413=1),ROW(),"")</f>
        <v/>
      </c>
    </row>
    <row r="1414">
      <c r="A1414" s="8" t="n"/>
      <c r="B1414" s="8" t="n"/>
      <c r="C1414" s="6">
        <f>TRIM(A1414&amp;"")</f>
        <v/>
      </c>
      <c r="D1414" s="6">
        <f>IF(C1414="","",SUBSTITUTE(SUBSTITUTE(SUBSTITUTE(SUBSTITUTE(SUBSTITUTE(SUBSTITUTE(SUBSTITUTE(UPPER(TRIM(B1414&amp;"")),"₹",""),"RS.",""),"RS",""),"INR",""),"$",""),",","")," ",""))</f>
        <v/>
      </c>
      <c r="E1414" s="6">
        <f>IF(C1414="","",IF(RIGHT(D1414,2)="CR","Cr",IF(RIGHT(D1414,2)="DR","Dr","")))</f>
        <v/>
      </c>
      <c r="F1414" s="6">
        <f>IF(C1414="","",IF(E1414&lt;&gt;"",LEFT(D1414,LEN(D1414)-2),D1414))</f>
        <v/>
      </c>
      <c r="G1414" s="13">
        <f>IF(C1414="","",IF(OR(IF(AND(LEFT(F1414,1)="(",RIGHT(F1414,1)=")"),MID(F1414,2,LEN(F1414)-2),F1414)="",IF(AND(LEFT(F1414,1)="(",RIGHT(F1414,1)=")"),MID(F1414,2,LEN(F1414)-2),F1414)="-"),0,IFERROR(VALUE(IF(AND(LEFT(F1414,1)="(",RIGHT(F1414,1)=")"),MID(F1414,2,LEN(F1414)-2),F1414))*IF(AND(LEFT(F1414,1)="(",RIGHT(F1414,1)=")"),-1,1)*IF(E1414="Cr",Setup!$B$6,1),"ERR")))</f>
        <v/>
      </c>
      <c r="H1414" s="6">
        <f>IF(C1414="","",IF(ISNUMBER(G1414),1,0))</f>
        <v/>
      </c>
      <c r="I1414" s="6">
        <f>IF(C1414="","",IF(SUMPRODUCT(($C$12:$C$1511=C1414)*1)&gt;1,1,0))</f>
        <v/>
      </c>
      <c r="J1414" s="6">
        <f>IF(C1414="","",SUMPRODUCT((Mapping!$F$5:$F$504=Setup!$B$4&amp;"||"&amp;C1414)*ROW(Mapping!$F$5:$F$504)))</f>
        <v/>
      </c>
      <c r="K1414" s="6">
        <f>IF(C1414="","",IF(J1414=0,"UNMAPPED",LOWER(INDEX(Mapping!$D$1:$D$504,J1414))))</f>
        <v/>
      </c>
      <c r="L1414" s="6">
        <f>IF(K1414="mapped",TRIM(INDEX(Mapping!$C$1:$C$504,J1414)),"")</f>
        <v/>
      </c>
      <c r="M1414" s="6">
        <f>IF(C1414="","",IF(SUMPRODUCT(($C$12:C1414=C1414)*1)=1,1,0))</f>
        <v/>
      </c>
      <c r="N1414" s="6">
        <f>IF(AND(K1414="UNMAPPED",M1414=1),ROW(),"")</f>
        <v/>
      </c>
      <c r="O1414" s="6">
        <f>IF(AND(I1414=1,M1414=1),ROW(),"")</f>
        <v/>
      </c>
      <c r="P1414" s="6">
        <f>IF(AND(K1414="ignored",M1414=1),ROW(),"")</f>
        <v/>
      </c>
    </row>
    <row r="1415">
      <c r="A1415" s="8" t="n"/>
      <c r="B1415" s="8" t="n"/>
      <c r="C1415" s="6">
        <f>TRIM(A1415&amp;"")</f>
        <v/>
      </c>
      <c r="D1415" s="6">
        <f>IF(C1415="","",SUBSTITUTE(SUBSTITUTE(SUBSTITUTE(SUBSTITUTE(SUBSTITUTE(SUBSTITUTE(SUBSTITUTE(UPPER(TRIM(B1415&amp;"")),"₹",""),"RS.",""),"RS",""),"INR",""),"$",""),",","")," ",""))</f>
        <v/>
      </c>
      <c r="E1415" s="6">
        <f>IF(C1415="","",IF(RIGHT(D1415,2)="CR","Cr",IF(RIGHT(D1415,2)="DR","Dr","")))</f>
        <v/>
      </c>
      <c r="F1415" s="6">
        <f>IF(C1415="","",IF(E1415&lt;&gt;"",LEFT(D1415,LEN(D1415)-2),D1415))</f>
        <v/>
      </c>
      <c r="G1415" s="13">
        <f>IF(C1415="","",IF(OR(IF(AND(LEFT(F1415,1)="(",RIGHT(F1415,1)=")"),MID(F1415,2,LEN(F1415)-2),F1415)="",IF(AND(LEFT(F1415,1)="(",RIGHT(F1415,1)=")"),MID(F1415,2,LEN(F1415)-2),F1415)="-"),0,IFERROR(VALUE(IF(AND(LEFT(F1415,1)="(",RIGHT(F1415,1)=")"),MID(F1415,2,LEN(F1415)-2),F1415))*IF(AND(LEFT(F1415,1)="(",RIGHT(F1415,1)=")"),-1,1)*IF(E1415="Cr",Setup!$B$6,1),"ERR")))</f>
        <v/>
      </c>
      <c r="H1415" s="6">
        <f>IF(C1415="","",IF(ISNUMBER(G1415),1,0))</f>
        <v/>
      </c>
      <c r="I1415" s="6">
        <f>IF(C1415="","",IF(SUMPRODUCT(($C$12:$C$1511=C1415)*1)&gt;1,1,0))</f>
        <v/>
      </c>
      <c r="J1415" s="6">
        <f>IF(C1415="","",SUMPRODUCT((Mapping!$F$5:$F$504=Setup!$B$4&amp;"||"&amp;C1415)*ROW(Mapping!$F$5:$F$504)))</f>
        <v/>
      </c>
      <c r="K1415" s="6">
        <f>IF(C1415="","",IF(J1415=0,"UNMAPPED",LOWER(INDEX(Mapping!$D$1:$D$504,J1415))))</f>
        <v/>
      </c>
      <c r="L1415" s="6">
        <f>IF(K1415="mapped",TRIM(INDEX(Mapping!$C$1:$C$504,J1415)),"")</f>
        <v/>
      </c>
      <c r="M1415" s="6">
        <f>IF(C1415="","",IF(SUMPRODUCT(($C$12:C1415=C1415)*1)=1,1,0))</f>
        <v/>
      </c>
      <c r="N1415" s="6">
        <f>IF(AND(K1415="UNMAPPED",M1415=1),ROW(),"")</f>
        <v/>
      </c>
      <c r="O1415" s="6">
        <f>IF(AND(I1415=1,M1415=1),ROW(),"")</f>
        <v/>
      </c>
      <c r="P1415" s="6">
        <f>IF(AND(K1415="ignored",M1415=1),ROW(),"")</f>
        <v/>
      </c>
    </row>
    <row r="1416">
      <c r="A1416" s="8" t="n"/>
      <c r="B1416" s="8" t="n"/>
      <c r="C1416" s="6">
        <f>TRIM(A1416&amp;"")</f>
        <v/>
      </c>
      <c r="D1416" s="6">
        <f>IF(C1416="","",SUBSTITUTE(SUBSTITUTE(SUBSTITUTE(SUBSTITUTE(SUBSTITUTE(SUBSTITUTE(SUBSTITUTE(UPPER(TRIM(B1416&amp;"")),"₹",""),"RS.",""),"RS",""),"INR",""),"$",""),",","")," ",""))</f>
        <v/>
      </c>
      <c r="E1416" s="6">
        <f>IF(C1416="","",IF(RIGHT(D1416,2)="CR","Cr",IF(RIGHT(D1416,2)="DR","Dr","")))</f>
        <v/>
      </c>
      <c r="F1416" s="6">
        <f>IF(C1416="","",IF(E1416&lt;&gt;"",LEFT(D1416,LEN(D1416)-2),D1416))</f>
        <v/>
      </c>
      <c r="G1416" s="13">
        <f>IF(C1416="","",IF(OR(IF(AND(LEFT(F1416,1)="(",RIGHT(F1416,1)=")"),MID(F1416,2,LEN(F1416)-2),F1416)="",IF(AND(LEFT(F1416,1)="(",RIGHT(F1416,1)=")"),MID(F1416,2,LEN(F1416)-2),F1416)="-"),0,IFERROR(VALUE(IF(AND(LEFT(F1416,1)="(",RIGHT(F1416,1)=")"),MID(F1416,2,LEN(F1416)-2),F1416))*IF(AND(LEFT(F1416,1)="(",RIGHT(F1416,1)=")"),-1,1)*IF(E1416="Cr",Setup!$B$6,1),"ERR")))</f>
        <v/>
      </c>
      <c r="H1416" s="6">
        <f>IF(C1416="","",IF(ISNUMBER(G1416),1,0))</f>
        <v/>
      </c>
      <c r="I1416" s="6">
        <f>IF(C1416="","",IF(SUMPRODUCT(($C$12:$C$1511=C1416)*1)&gt;1,1,0))</f>
        <v/>
      </c>
      <c r="J1416" s="6">
        <f>IF(C1416="","",SUMPRODUCT((Mapping!$F$5:$F$504=Setup!$B$4&amp;"||"&amp;C1416)*ROW(Mapping!$F$5:$F$504)))</f>
        <v/>
      </c>
      <c r="K1416" s="6">
        <f>IF(C1416="","",IF(J1416=0,"UNMAPPED",LOWER(INDEX(Mapping!$D$1:$D$504,J1416))))</f>
        <v/>
      </c>
      <c r="L1416" s="6">
        <f>IF(K1416="mapped",TRIM(INDEX(Mapping!$C$1:$C$504,J1416)),"")</f>
        <v/>
      </c>
      <c r="M1416" s="6">
        <f>IF(C1416="","",IF(SUMPRODUCT(($C$12:C1416=C1416)*1)=1,1,0))</f>
        <v/>
      </c>
      <c r="N1416" s="6">
        <f>IF(AND(K1416="UNMAPPED",M1416=1),ROW(),"")</f>
        <v/>
      </c>
      <c r="O1416" s="6">
        <f>IF(AND(I1416=1,M1416=1),ROW(),"")</f>
        <v/>
      </c>
      <c r="P1416" s="6">
        <f>IF(AND(K1416="ignored",M1416=1),ROW(),"")</f>
        <v/>
      </c>
    </row>
    <row r="1417">
      <c r="A1417" s="8" t="n"/>
      <c r="B1417" s="8" t="n"/>
      <c r="C1417" s="6">
        <f>TRIM(A1417&amp;"")</f>
        <v/>
      </c>
      <c r="D1417" s="6">
        <f>IF(C1417="","",SUBSTITUTE(SUBSTITUTE(SUBSTITUTE(SUBSTITUTE(SUBSTITUTE(SUBSTITUTE(SUBSTITUTE(UPPER(TRIM(B1417&amp;"")),"₹",""),"RS.",""),"RS",""),"INR",""),"$",""),",","")," ",""))</f>
        <v/>
      </c>
      <c r="E1417" s="6">
        <f>IF(C1417="","",IF(RIGHT(D1417,2)="CR","Cr",IF(RIGHT(D1417,2)="DR","Dr","")))</f>
        <v/>
      </c>
      <c r="F1417" s="6">
        <f>IF(C1417="","",IF(E1417&lt;&gt;"",LEFT(D1417,LEN(D1417)-2),D1417))</f>
        <v/>
      </c>
      <c r="G1417" s="13">
        <f>IF(C1417="","",IF(OR(IF(AND(LEFT(F1417,1)="(",RIGHT(F1417,1)=")"),MID(F1417,2,LEN(F1417)-2),F1417)="",IF(AND(LEFT(F1417,1)="(",RIGHT(F1417,1)=")"),MID(F1417,2,LEN(F1417)-2),F1417)="-"),0,IFERROR(VALUE(IF(AND(LEFT(F1417,1)="(",RIGHT(F1417,1)=")"),MID(F1417,2,LEN(F1417)-2),F1417))*IF(AND(LEFT(F1417,1)="(",RIGHT(F1417,1)=")"),-1,1)*IF(E1417="Cr",Setup!$B$6,1),"ERR")))</f>
        <v/>
      </c>
      <c r="H1417" s="6">
        <f>IF(C1417="","",IF(ISNUMBER(G1417),1,0))</f>
        <v/>
      </c>
      <c r="I1417" s="6">
        <f>IF(C1417="","",IF(SUMPRODUCT(($C$12:$C$1511=C1417)*1)&gt;1,1,0))</f>
        <v/>
      </c>
      <c r="J1417" s="6">
        <f>IF(C1417="","",SUMPRODUCT((Mapping!$F$5:$F$504=Setup!$B$4&amp;"||"&amp;C1417)*ROW(Mapping!$F$5:$F$504)))</f>
        <v/>
      </c>
      <c r="K1417" s="6">
        <f>IF(C1417="","",IF(J1417=0,"UNMAPPED",LOWER(INDEX(Mapping!$D$1:$D$504,J1417))))</f>
        <v/>
      </c>
      <c r="L1417" s="6">
        <f>IF(K1417="mapped",TRIM(INDEX(Mapping!$C$1:$C$504,J1417)),"")</f>
        <v/>
      </c>
      <c r="M1417" s="6">
        <f>IF(C1417="","",IF(SUMPRODUCT(($C$12:C1417=C1417)*1)=1,1,0))</f>
        <v/>
      </c>
      <c r="N1417" s="6">
        <f>IF(AND(K1417="UNMAPPED",M1417=1),ROW(),"")</f>
        <v/>
      </c>
      <c r="O1417" s="6">
        <f>IF(AND(I1417=1,M1417=1),ROW(),"")</f>
        <v/>
      </c>
      <c r="P1417" s="6">
        <f>IF(AND(K1417="ignored",M1417=1),ROW(),"")</f>
        <v/>
      </c>
    </row>
    <row r="1418">
      <c r="A1418" s="8" t="n"/>
      <c r="B1418" s="8" t="n"/>
      <c r="C1418" s="6">
        <f>TRIM(A1418&amp;"")</f>
        <v/>
      </c>
      <c r="D1418" s="6">
        <f>IF(C1418="","",SUBSTITUTE(SUBSTITUTE(SUBSTITUTE(SUBSTITUTE(SUBSTITUTE(SUBSTITUTE(SUBSTITUTE(UPPER(TRIM(B1418&amp;"")),"₹",""),"RS.",""),"RS",""),"INR",""),"$",""),",","")," ",""))</f>
        <v/>
      </c>
      <c r="E1418" s="6">
        <f>IF(C1418="","",IF(RIGHT(D1418,2)="CR","Cr",IF(RIGHT(D1418,2)="DR","Dr","")))</f>
        <v/>
      </c>
      <c r="F1418" s="6">
        <f>IF(C1418="","",IF(E1418&lt;&gt;"",LEFT(D1418,LEN(D1418)-2),D1418))</f>
        <v/>
      </c>
      <c r="G1418" s="13">
        <f>IF(C1418="","",IF(OR(IF(AND(LEFT(F1418,1)="(",RIGHT(F1418,1)=")"),MID(F1418,2,LEN(F1418)-2),F1418)="",IF(AND(LEFT(F1418,1)="(",RIGHT(F1418,1)=")"),MID(F1418,2,LEN(F1418)-2),F1418)="-"),0,IFERROR(VALUE(IF(AND(LEFT(F1418,1)="(",RIGHT(F1418,1)=")"),MID(F1418,2,LEN(F1418)-2),F1418))*IF(AND(LEFT(F1418,1)="(",RIGHT(F1418,1)=")"),-1,1)*IF(E1418="Cr",Setup!$B$6,1),"ERR")))</f>
        <v/>
      </c>
      <c r="H1418" s="6">
        <f>IF(C1418="","",IF(ISNUMBER(G1418),1,0))</f>
        <v/>
      </c>
      <c r="I1418" s="6">
        <f>IF(C1418="","",IF(SUMPRODUCT(($C$12:$C$1511=C1418)*1)&gt;1,1,0))</f>
        <v/>
      </c>
      <c r="J1418" s="6">
        <f>IF(C1418="","",SUMPRODUCT((Mapping!$F$5:$F$504=Setup!$B$4&amp;"||"&amp;C1418)*ROW(Mapping!$F$5:$F$504)))</f>
        <v/>
      </c>
      <c r="K1418" s="6">
        <f>IF(C1418="","",IF(J1418=0,"UNMAPPED",LOWER(INDEX(Mapping!$D$1:$D$504,J1418))))</f>
        <v/>
      </c>
      <c r="L1418" s="6">
        <f>IF(K1418="mapped",TRIM(INDEX(Mapping!$C$1:$C$504,J1418)),"")</f>
        <v/>
      </c>
      <c r="M1418" s="6">
        <f>IF(C1418="","",IF(SUMPRODUCT(($C$12:C1418=C1418)*1)=1,1,0))</f>
        <v/>
      </c>
      <c r="N1418" s="6">
        <f>IF(AND(K1418="UNMAPPED",M1418=1),ROW(),"")</f>
        <v/>
      </c>
      <c r="O1418" s="6">
        <f>IF(AND(I1418=1,M1418=1),ROW(),"")</f>
        <v/>
      </c>
      <c r="P1418" s="6">
        <f>IF(AND(K1418="ignored",M1418=1),ROW(),"")</f>
        <v/>
      </c>
    </row>
    <row r="1419">
      <c r="A1419" s="8" t="n"/>
      <c r="B1419" s="8" t="n"/>
      <c r="C1419" s="6">
        <f>TRIM(A1419&amp;"")</f>
        <v/>
      </c>
      <c r="D1419" s="6">
        <f>IF(C1419="","",SUBSTITUTE(SUBSTITUTE(SUBSTITUTE(SUBSTITUTE(SUBSTITUTE(SUBSTITUTE(SUBSTITUTE(UPPER(TRIM(B1419&amp;"")),"₹",""),"RS.",""),"RS",""),"INR",""),"$",""),",","")," ",""))</f>
        <v/>
      </c>
      <c r="E1419" s="6">
        <f>IF(C1419="","",IF(RIGHT(D1419,2)="CR","Cr",IF(RIGHT(D1419,2)="DR","Dr","")))</f>
        <v/>
      </c>
      <c r="F1419" s="6">
        <f>IF(C1419="","",IF(E1419&lt;&gt;"",LEFT(D1419,LEN(D1419)-2),D1419))</f>
        <v/>
      </c>
      <c r="G1419" s="13">
        <f>IF(C1419="","",IF(OR(IF(AND(LEFT(F1419,1)="(",RIGHT(F1419,1)=")"),MID(F1419,2,LEN(F1419)-2),F1419)="",IF(AND(LEFT(F1419,1)="(",RIGHT(F1419,1)=")"),MID(F1419,2,LEN(F1419)-2),F1419)="-"),0,IFERROR(VALUE(IF(AND(LEFT(F1419,1)="(",RIGHT(F1419,1)=")"),MID(F1419,2,LEN(F1419)-2),F1419))*IF(AND(LEFT(F1419,1)="(",RIGHT(F1419,1)=")"),-1,1)*IF(E1419="Cr",Setup!$B$6,1),"ERR")))</f>
        <v/>
      </c>
      <c r="H1419" s="6">
        <f>IF(C1419="","",IF(ISNUMBER(G1419),1,0))</f>
        <v/>
      </c>
      <c r="I1419" s="6">
        <f>IF(C1419="","",IF(SUMPRODUCT(($C$12:$C$1511=C1419)*1)&gt;1,1,0))</f>
        <v/>
      </c>
      <c r="J1419" s="6">
        <f>IF(C1419="","",SUMPRODUCT((Mapping!$F$5:$F$504=Setup!$B$4&amp;"||"&amp;C1419)*ROW(Mapping!$F$5:$F$504)))</f>
        <v/>
      </c>
      <c r="K1419" s="6">
        <f>IF(C1419="","",IF(J1419=0,"UNMAPPED",LOWER(INDEX(Mapping!$D$1:$D$504,J1419))))</f>
        <v/>
      </c>
      <c r="L1419" s="6">
        <f>IF(K1419="mapped",TRIM(INDEX(Mapping!$C$1:$C$504,J1419)),"")</f>
        <v/>
      </c>
      <c r="M1419" s="6">
        <f>IF(C1419="","",IF(SUMPRODUCT(($C$12:C1419=C1419)*1)=1,1,0))</f>
        <v/>
      </c>
      <c r="N1419" s="6">
        <f>IF(AND(K1419="UNMAPPED",M1419=1),ROW(),"")</f>
        <v/>
      </c>
      <c r="O1419" s="6">
        <f>IF(AND(I1419=1,M1419=1),ROW(),"")</f>
        <v/>
      </c>
      <c r="P1419" s="6">
        <f>IF(AND(K1419="ignored",M1419=1),ROW(),"")</f>
        <v/>
      </c>
    </row>
    <row r="1420">
      <c r="A1420" s="8" t="n"/>
      <c r="B1420" s="8" t="n"/>
      <c r="C1420" s="6">
        <f>TRIM(A1420&amp;"")</f>
        <v/>
      </c>
      <c r="D1420" s="6">
        <f>IF(C1420="","",SUBSTITUTE(SUBSTITUTE(SUBSTITUTE(SUBSTITUTE(SUBSTITUTE(SUBSTITUTE(SUBSTITUTE(UPPER(TRIM(B1420&amp;"")),"₹",""),"RS.",""),"RS",""),"INR",""),"$",""),",","")," ",""))</f>
        <v/>
      </c>
      <c r="E1420" s="6">
        <f>IF(C1420="","",IF(RIGHT(D1420,2)="CR","Cr",IF(RIGHT(D1420,2)="DR","Dr","")))</f>
        <v/>
      </c>
      <c r="F1420" s="6">
        <f>IF(C1420="","",IF(E1420&lt;&gt;"",LEFT(D1420,LEN(D1420)-2),D1420))</f>
        <v/>
      </c>
      <c r="G1420" s="13">
        <f>IF(C1420="","",IF(OR(IF(AND(LEFT(F1420,1)="(",RIGHT(F1420,1)=")"),MID(F1420,2,LEN(F1420)-2),F1420)="",IF(AND(LEFT(F1420,1)="(",RIGHT(F1420,1)=")"),MID(F1420,2,LEN(F1420)-2),F1420)="-"),0,IFERROR(VALUE(IF(AND(LEFT(F1420,1)="(",RIGHT(F1420,1)=")"),MID(F1420,2,LEN(F1420)-2),F1420))*IF(AND(LEFT(F1420,1)="(",RIGHT(F1420,1)=")"),-1,1)*IF(E1420="Cr",Setup!$B$6,1),"ERR")))</f>
        <v/>
      </c>
      <c r="H1420" s="6">
        <f>IF(C1420="","",IF(ISNUMBER(G1420),1,0))</f>
        <v/>
      </c>
      <c r="I1420" s="6">
        <f>IF(C1420="","",IF(SUMPRODUCT(($C$12:$C$1511=C1420)*1)&gt;1,1,0))</f>
        <v/>
      </c>
      <c r="J1420" s="6">
        <f>IF(C1420="","",SUMPRODUCT((Mapping!$F$5:$F$504=Setup!$B$4&amp;"||"&amp;C1420)*ROW(Mapping!$F$5:$F$504)))</f>
        <v/>
      </c>
      <c r="K1420" s="6">
        <f>IF(C1420="","",IF(J1420=0,"UNMAPPED",LOWER(INDEX(Mapping!$D$1:$D$504,J1420))))</f>
        <v/>
      </c>
      <c r="L1420" s="6">
        <f>IF(K1420="mapped",TRIM(INDEX(Mapping!$C$1:$C$504,J1420)),"")</f>
        <v/>
      </c>
      <c r="M1420" s="6">
        <f>IF(C1420="","",IF(SUMPRODUCT(($C$12:C1420=C1420)*1)=1,1,0))</f>
        <v/>
      </c>
      <c r="N1420" s="6">
        <f>IF(AND(K1420="UNMAPPED",M1420=1),ROW(),"")</f>
        <v/>
      </c>
      <c r="O1420" s="6">
        <f>IF(AND(I1420=1,M1420=1),ROW(),"")</f>
        <v/>
      </c>
      <c r="P1420" s="6">
        <f>IF(AND(K1420="ignored",M1420=1),ROW(),"")</f>
        <v/>
      </c>
    </row>
    <row r="1421">
      <c r="A1421" s="8" t="n"/>
      <c r="B1421" s="8" t="n"/>
      <c r="C1421" s="6">
        <f>TRIM(A1421&amp;"")</f>
        <v/>
      </c>
      <c r="D1421" s="6">
        <f>IF(C1421="","",SUBSTITUTE(SUBSTITUTE(SUBSTITUTE(SUBSTITUTE(SUBSTITUTE(SUBSTITUTE(SUBSTITUTE(UPPER(TRIM(B1421&amp;"")),"₹",""),"RS.",""),"RS",""),"INR",""),"$",""),",","")," ",""))</f>
        <v/>
      </c>
      <c r="E1421" s="6">
        <f>IF(C1421="","",IF(RIGHT(D1421,2)="CR","Cr",IF(RIGHT(D1421,2)="DR","Dr","")))</f>
        <v/>
      </c>
      <c r="F1421" s="6">
        <f>IF(C1421="","",IF(E1421&lt;&gt;"",LEFT(D1421,LEN(D1421)-2),D1421))</f>
        <v/>
      </c>
      <c r="G1421" s="13">
        <f>IF(C1421="","",IF(OR(IF(AND(LEFT(F1421,1)="(",RIGHT(F1421,1)=")"),MID(F1421,2,LEN(F1421)-2),F1421)="",IF(AND(LEFT(F1421,1)="(",RIGHT(F1421,1)=")"),MID(F1421,2,LEN(F1421)-2),F1421)="-"),0,IFERROR(VALUE(IF(AND(LEFT(F1421,1)="(",RIGHT(F1421,1)=")"),MID(F1421,2,LEN(F1421)-2),F1421))*IF(AND(LEFT(F1421,1)="(",RIGHT(F1421,1)=")"),-1,1)*IF(E1421="Cr",Setup!$B$6,1),"ERR")))</f>
        <v/>
      </c>
      <c r="H1421" s="6">
        <f>IF(C1421="","",IF(ISNUMBER(G1421),1,0))</f>
        <v/>
      </c>
      <c r="I1421" s="6">
        <f>IF(C1421="","",IF(SUMPRODUCT(($C$12:$C$1511=C1421)*1)&gt;1,1,0))</f>
        <v/>
      </c>
      <c r="J1421" s="6">
        <f>IF(C1421="","",SUMPRODUCT((Mapping!$F$5:$F$504=Setup!$B$4&amp;"||"&amp;C1421)*ROW(Mapping!$F$5:$F$504)))</f>
        <v/>
      </c>
      <c r="K1421" s="6">
        <f>IF(C1421="","",IF(J1421=0,"UNMAPPED",LOWER(INDEX(Mapping!$D$1:$D$504,J1421))))</f>
        <v/>
      </c>
      <c r="L1421" s="6">
        <f>IF(K1421="mapped",TRIM(INDEX(Mapping!$C$1:$C$504,J1421)),"")</f>
        <v/>
      </c>
      <c r="M1421" s="6">
        <f>IF(C1421="","",IF(SUMPRODUCT(($C$12:C1421=C1421)*1)=1,1,0))</f>
        <v/>
      </c>
      <c r="N1421" s="6">
        <f>IF(AND(K1421="UNMAPPED",M1421=1),ROW(),"")</f>
        <v/>
      </c>
      <c r="O1421" s="6">
        <f>IF(AND(I1421=1,M1421=1),ROW(),"")</f>
        <v/>
      </c>
      <c r="P1421" s="6">
        <f>IF(AND(K1421="ignored",M1421=1),ROW(),"")</f>
        <v/>
      </c>
    </row>
    <row r="1422">
      <c r="A1422" s="8" t="n"/>
      <c r="B1422" s="8" t="n"/>
      <c r="C1422" s="6">
        <f>TRIM(A1422&amp;"")</f>
        <v/>
      </c>
      <c r="D1422" s="6">
        <f>IF(C1422="","",SUBSTITUTE(SUBSTITUTE(SUBSTITUTE(SUBSTITUTE(SUBSTITUTE(SUBSTITUTE(SUBSTITUTE(UPPER(TRIM(B1422&amp;"")),"₹",""),"RS.",""),"RS",""),"INR",""),"$",""),",","")," ",""))</f>
        <v/>
      </c>
      <c r="E1422" s="6">
        <f>IF(C1422="","",IF(RIGHT(D1422,2)="CR","Cr",IF(RIGHT(D1422,2)="DR","Dr","")))</f>
        <v/>
      </c>
      <c r="F1422" s="6">
        <f>IF(C1422="","",IF(E1422&lt;&gt;"",LEFT(D1422,LEN(D1422)-2),D1422))</f>
        <v/>
      </c>
      <c r="G1422" s="13">
        <f>IF(C1422="","",IF(OR(IF(AND(LEFT(F1422,1)="(",RIGHT(F1422,1)=")"),MID(F1422,2,LEN(F1422)-2),F1422)="",IF(AND(LEFT(F1422,1)="(",RIGHT(F1422,1)=")"),MID(F1422,2,LEN(F1422)-2),F1422)="-"),0,IFERROR(VALUE(IF(AND(LEFT(F1422,1)="(",RIGHT(F1422,1)=")"),MID(F1422,2,LEN(F1422)-2),F1422))*IF(AND(LEFT(F1422,1)="(",RIGHT(F1422,1)=")"),-1,1)*IF(E1422="Cr",Setup!$B$6,1),"ERR")))</f>
        <v/>
      </c>
      <c r="H1422" s="6">
        <f>IF(C1422="","",IF(ISNUMBER(G1422),1,0))</f>
        <v/>
      </c>
      <c r="I1422" s="6">
        <f>IF(C1422="","",IF(SUMPRODUCT(($C$12:$C$1511=C1422)*1)&gt;1,1,0))</f>
        <v/>
      </c>
      <c r="J1422" s="6">
        <f>IF(C1422="","",SUMPRODUCT((Mapping!$F$5:$F$504=Setup!$B$4&amp;"||"&amp;C1422)*ROW(Mapping!$F$5:$F$504)))</f>
        <v/>
      </c>
      <c r="K1422" s="6">
        <f>IF(C1422="","",IF(J1422=0,"UNMAPPED",LOWER(INDEX(Mapping!$D$1:$D$504,J1422))))</f>
        <v/>
      </c>
      <c r="L1422" s="6">
        <f>IF(K1422="mapped",TRIM(INDEX(Mapping!$C$1:$C$504,J1422)),"")</f>
        <v/>
      </c>
      <c r="M1422" s="6">
        <f>IF(C1422="","",IF(SUMPRODUCT(($C$12:C1422=C1422)*1)=1,1,0))</f>
        <v/>
      </c>
      <c r="N1422" s="6">
        <f>IF(AND(K1422="UNMAPPED",M1422=1),ROW(),"")</f>
        <v/>
      </c>
      <c r="O1422" s="6">
        <f>IF(AND(I1422=1,M1422=1),ROW(),"")</f>
        <v/>
      </c>
      <c r="P1422" s="6">
        <f>IF(AND(K1422="ignored",M1422=1),ROW(),"")</f>
        <v/>
      </c>
    </row>
    <row r="1423">
      <c r="A1423" s="8" t="n"/>
      <c r="B1423" s="8" t="n"/>
      <c r="C1423" s="6">
        <f>TRIM(A1423&amp;"")</f>
        <v/>
      </c>
      <c r="D1423" s="6">
        <f>IF(C1423="","",SUBSTITUTE(SUBSTITUTE(SUBSTITUTE(SUBSTITUTE(SUBSTITUTE(SUBSTITUTE(SUBSTITUTE(UPPER(TRIM(B1423&amp;"")),"₹",""),"RS.",""),"RS",""),"INR",""),"$",""),",","")," ",""))</f>
        <v/>
      </c>
      <c r="E1423" s="6">
        <f>IF(C1423="","",IF(RIGHT(D1423,2)="CR","Cr",IF(RIGHT(D1423,2)="DR","Dr","")))</f>
        <v/>
      </c>
      <c r="F1423" s="6">
        <f>IF(C1423="","",IF(E1423&lt;&gt;"",LEFT(D1423,LEN(D1423)-2),D1423))</f>
        <v/>
      </c>
      <c r="G1423" s="13">
        <f>IF(C1423="","",IF(OR(IF(AND(LEFT(F1423,1)="(",RIGHT(F1423,1)=")"),MID(F1423,2,LEN(F1423)-2),F1423)="",IF(AND(LEFT(F1423,1)="(",RIGHT(F1423,1)=")"),MID(F1423,2,LEN(F1423)-2),F1423)="-"),0,IFERROR(VALUE(IF(AND(LEFT(F1423,1)="(",RIGHT(F1423,1)=")"),MID(F1423,2,LEN(F1423)-2),F1423))*IF(AND(LEFT(F1423,1)="(",RIGHT(F1423,1)=")"),-1,1)*IF(E1423="Cr",Setup!$B$6,1),"ERR")))</f>
        <v/>
      </c>
      <c r="H1423" s="6">
        <f>IF(C1423="","",IF(ISNUMBER(G1423),1,0))</f>
        <v/>
      </c>
      <c r="I1423" s="6">
        <f>IF(C1423="","",IF(SUMPRODUCT(($C$12:$C$1511=C1423)*1)&gt;1,1,0))</f>
        <v/>
      </c>
      <c r="J1423" s="6">
        <f>IF(C1423="","",SUMPRODUCT((Mapping!$F$5:$F$504=Setup!$B$4&amp;"||"&amp;C1423)*ROW(Mapping!$F$5:$F$504)))</f>
        <v/>
      </c>
      <c r="K1423" s="6">
        <f>IF(C1423="","",IF(J1423=0,"UNMAPPED",LOWER(INDEX(Mapping!$D$1:$D$504,J1423))))</f>
        <v/>
      </c>
      <c r="L1423" s="6">
        <f>IF(K1423="mapped",TRIM(INDEX(Mapping!$C$1:$C$504,J1423)),"")</f>
        <v/>
      </c>
      <c r="M1423" s="6">
        <f>IF(C1423="","",IF(SUMPRODUCT(($C$12:C1423=C1423)*1)=1,1,0))</f>
        <v/>
      </c>
      <c r="N1423" s="6">
        <f>IF(AND(K1423="UNMAPPED",M1423=1),ROW(),"")</f>
        <v/>
      </c>
      <c r="O1423" s="6">
        <f>IF(AND(I1423=1,M1423=1),ROW(),"")</f>
        <v/>
      </c>
      <c r="P1423" s="6">
        <f>IF(AND(K1423="ignored",M1423=1),ROW(),"")</f>
        <v/>
      </c>
    </row>
    <row r="1424">
      <c r="A1424" s="8" t="n"/>
      <c r="B1424" s="8" t="n"/>
      <c r="C1424" s="6">
        <f>TRIM(A1424&amp;"")</f>
        <v/>
      </c>
      <c r="D1424" s="6">
        <f>IF(C1424="","",SUBSTITUTE(SUBSTITUTE(SUBSTITUTE(SUBSTITUTE(SUBSTITUTE(SUBSTITUTE(SUBSTITUTE(UPPER(TRIM(B1424&amp;"")),"₹",""),"RS.",""),"RS",""),"INR",""),"$",""),",","")," ",""))</f>
        <v/>
      </c>
      <c r="E1424" s="6">
        <f>IF(C1424="","",IF(RIGHT(D1424,2)="CR","Cr",IF(RIGHT(D1424,2)="DR","Dr","")))</f>
        <v/>
      </c>
      <c r="F1424" s="6">
        <f>IF(C1424="","",IF(E1424&lt;&gt;"",LEFT(D1424,LEN(D1424)-2),D1424))</f>
        <v/>
      </c>
      <c r="G1424" s="13">
        <f>IF(C1424="","",IF(OR(IF(AND(LEFT(F1424,1)="(",RIGHT(F1424,1)=")"),MID(F1424,2,LEN(F1424)-2),F1424)="",IF(AND(LEFT(F1424,1)="(",RIGHT(F1424,1)=")"),MID(F1424,2,LEN(F1424)-2),F1424)="-"),0,IFERROR(VALUE(IF(AND(LEFT(F1424,1)="(",RIGHT(F1424,1)=")"),MID(F1424,2,LEN(F1424)-2),F1424))*IF(AND(LEFT(F1424,1)="(",RIGHT(F1424,1)=")"),-1,1)*IF(E1424="Cr",Setup!$B$6,1),"ERR")))</f>
        <v/>
      </c>
      <c r="H1424" s="6">
        <f>IF(C1424="","",IF(ISNUMBER(G1424),1,0))</f>
        <v/>
      </c>
      <c r="I1424" s="6">
        <f>IF(C1424="","",IF(SUMPRODUCT(($C$12:$C$1511=C1424)*1)&gt;1,1,0))</f>
        <v/>
      </c>
      <c r="J1424" s="6">
        <f>IF(C1424="","",SUMPRODUCT((Mapping!$F$5:$F$504=Setup!$B$4&amp;"||"&amp;C1424)*ROW(Mapping!$F$5:$F$504)))</f>
        <v/>
      </c>
      <c r="K1424" s="6">
        <f>IF(C1424="","",IF(J1424=0,"UNMAPPED",LOWER(INDEX(Mapping!$D$1:$D$504,J1424))))</f>
        <v/>
      </c>
      <c r="L1424" s="6">
        <f>IF(K1424="mapped",TRIM(INDEX(Mapping!$C$1:$C$504,J1424)),"")</f>
        <v/>
      </c>
      <c r="M1424" s="6">
        <f>IF(C1424="","",IF(SUMPRODUCT(($C$12:C1424=C1424)*1)=1,1,0))</f>
        <v/>
      </c>
      <c r="N1424" s="6">
        <f>IF(AND(K1424="UNMAPPED",M1424=1),ROW(),"")</f>
        <v/>
      </c>
      <c r="O1424" s="6">
        <f>IF(AND(I1424=1,M1424=1),ROW(),"")</f>
        <v/>
      </c>
      <c r="P1424" s="6">
        <f>IF(AND(K1424="ignored",M1424=1),ROW(),"")</f>
        <v/>
      </c>
    </row>
    <row r="1425">
      <c r="A1425" s="8" t="n"/>
      <c r="B1425" s="8" t="n"/>
      <c r="C1425" s="6">
        <f>TRIM(A1425&amp;"")</f>
        <v/>
      </c>
      <c r="D1425" s="6">
        <f>IF(C1425="","",SUBSTITUTE(SUBSTITUTE(SUBSTITUTE(SUBSTITUTE(SUBSTITUTE(SUBSTITUTE(SUBSTITUTE(UPPER(TRIM(B1425&amp;"")),"₹",""),"RS.",""),"RS",""),"INR",""),"$",""),",","")," ",""))</f>
        <v/>
      </c>
      <c r="E1425" s="6">
        <f>IF(C1425="","",IF(RIGHT(D1425,2)="CR","Cr",IF(RIGHT(D1425,2)="DR","Dr","")))</f>
        <v/>
      </c>
      <c r="F1425" s="6">
        <f>IF(C1425="","",IF(E1425&lt;&gt;"",LEFT(D1425,LEN(D1425)-2),D1425))</f>
        <v/>
      </c>
      <c r="G1425" s="13">
        <f>IF(C1425="","",IF(OR(IF(AND(LEFT(F1425,1)="(",RIGHT(F1425,1)=")"),MID(F1425,2,LEN(F1425)-2),F1425)="",IF(AND(LEFT(F1425,1)="(",RIGHT(F1425,1)=")"),MID(F1425,2,LEN(F1425)-2),F1425)="-"),0,IFERROR(VALUE(IF(AND(LEFT(F1425,1)="(",RIGHT(F1425,1)=")"),MID(F1425,2,LEN(F1425)-2),F1425))*IF(AND(LEFT(F1425,1)="(",RIGHT(F1425,1)=")"),-1,1)*IF(E1425="Cr",Setup!$B$6,1),"ERR")))</f>
        <v/>
      </c>
      <c r="H1425" s="6">
        <f>IF(C1425="","",IF(ISNUMBER(G1425),1,0))</f>
        <v/>
      </c>
      <c r="I1425" s="6">
        <f>IF(C1425="","",IF(SUMPRODUCT(($C$12:$C$1511=C1425)*1)&gt;1,1,0))</f>
        <v/>
      </c>
      <c r="J1425" s="6">
        <f>IF(C1425="","",SUMPRODUCT((Mapping!$F$5:$F$504=Setup!$B$4&amp;"||"&amp;C1425)*ROW(Mapping!$F$5:$F$504)))</f>
        <v/>
      </c>
      <c r="K1425" s="6">
        <f>IF(C1425="","",IF(J1425=0,"UNMAPPED",LOWER(INDEX(Mapping!$D$1:$D$504,J1425))))</f>
        <v/>
      </c>
      <c r="L1425" s="6">
        <f>IF(K1425="mapped",TRIM(INDEX(Mapping!$C$1:$C$504,J1425)),"")</f>
        <v/>
      </c>
      <c r="M1425" s="6">
        <f>IF(C1425="","",IF(SUMPRODUCT(($C$12:C1425=C1425)*1)=1,1,0))</f>
        <v/>
      </c>
      <c r="N1425" s="6">
        <f>IF(AND(K1425="UNMAPPED",M1425=1),ROW(),"")</f>
        <v/>
      </c>
      <c r="O1425" s="6">
        <f>IF(AND(I1425=1,M1425=1),ROW(),"")</f>
        <v/>
      </c>
      <c r="P1425" s="6">
        <f>IF(AND(K1425="ignored",M1425=1),ROW(),"")</f>
        <v/>
      </c>
    </row>
    <row r="1426">
      <c r="A1426" s="8" t="n"/>
      <c r="B1426" s="8" t="n"/>
      <c r="C1426" s="6">
        <f>TRIM(A1426&amp;"")</f>
        <v/>
      </c>
      <c r="D1426" s="6">
        <f>IF(C1426="","",SUBSTITUTE(SUBSTITUTE(SUBSTITUTE(SUBSTITUTE(SUBSTITUTE(SUBSTITUTE(SUBSTITUTE(UPPER(TRIM(B1426&amp;"")),"₹",""),"RS.",""),"RS",""),"INR",""),"$",""),",","")," ",""))</f>
        <v/>
      </c>
      <c r="E1426" s="6">
        <f>IF(C1426="","",IF(RIGHT(D1426,2)="CR","Cr",IF(RIGHT(D1426,2)="DR","Dr","")))</f>
        <v/>
      </c>
      <c r="F1426" s="6">
        <f>IF(C1426="","",IF(E1426&lt;&gt;"",LEFT(D1426,LEN(D1426)-2),D1426))</f>
        <v/>
      </c>
      <c r="G1426" s="13">
        <f>IF(C1426="","",IF(OR(IF(AND(LEFT(F1426,1)="(",RIGHT(F1426,1)=")"),MID(F1426,2,LEN(F1426)-2),F1426)="",IF(AND(LEFT(F1426,1)="(",RIGHT(F1426,1)=")"),MID(F1426,2,LEN(F1426)-2),F1426)="-"),0,IFERROR(VALUE(IF(AND(LEFT(F1426,1)="(",RIGHT(F1426,1)=")"),MID(F1426,2,LEN(F1426)-2),F1426))*IF(AND(LEFT(F1426,1)="(",RIGHT(F1426,1)=")"),-1,1)*IF(E1426="Cr",Setup!$B$6,1),"ERR")))</f>
        <v/>
      </c>
      <c r="H1426" s="6">
        <f>IF(C1426="","",IF(ISNUMBER(G1426),1,0))</f>
        <v/>
      </c>
      <c r="I1426" s="6">
        <f>IF(C1426="","",IF(SUMPRODUCT(($C$12:$C$1511=C1426)*1)&gt;1,1,0))</f>
        <v/>
      </c>
      <c r="J1426" s="6">
        <f>IF(C1426="","",SUMPRODUCT((Mapping!$F$5:$F$504=Setup!$B$4&amp;"||"&amp;C1426)*ROW(Mapping!$F$5:$F$504)))</f>
        <v/>
      </c>
      <c r="K1426" s="6">
        <f>IF(C1426="","",IF(J1426=0,"UNMAPPED",LOWER(INDEX(Mapping!$D$1:$D$504,J1426))))</f>
        <v/>
      </c>
      <c r="L1426" s="6">
        <f>IF(K1426="mapped",TRIM(INDEX(Mapping!$C$1:$C$504,J1426)),"")</f>
        <v/>
      </c>
      <c r="M1426" s="6">
        <f>IF(C1426="","",IF(SUMPRODUCT(($C$12:C1426=C1426)*1)=1,1,0))</f>
        <v/>
      </c>
      <c r="N1426" s="6">
        <f>IF(AND(K1426="UNMAPPED",M1426=1),ROW(),"")</f>
        <v/>
      </c>
      <c r="O1426" s="6">
        <f>IF(AND(I1426=1,M1426=1),ROW(),"")</f>
        <v/>
      </c>
      <c r="P1426" s="6">
        <f>IF(AND(K1426="ignored",M1426=1),ROW(),"")</f>
        <v/>
      </c>
    </row>
    <row r="1427">
      <c r="A1427" s="8" t="n"/>
      <c r="B1427" s="8" t="n"/>
      <c r="C1427" s="6">
        <f>TRIM(A1427&amp;"")</f>
        <v/>
      </c>
      <c r="D1427" s="6">
        <f>IF(C1427="","",SUBSTITUTE(SUBSTITUTE(SUBSTITUTE(SUBSTITUTE(SUBSTITUTE(SUBSTITUTE(SUBSTITUTE(UPPER(TRIM(B1427&amp;"")),"₹",""),"RS.",""),"RS",""),"INR",""),"$",""),",","")," ",""))</f>
        <v/>
      </c>
      <c r="E1427" s="6">
        <f>IF(C1427="","",IF(RIGHT(D1427,2)="CR","Cr",IF(RIGHT(D1427,2)="DR","Dr","")))</f>
        <v/>
      </c>
      <c r="F1427" s="6">
        <f>IF(C1427="","",IF(E1427&lt;&gt;"",LEFT(D1427,LEN(D1427)-2),D1427))</f>
        <v/>
      </c>
      <c r="G1427" s="13">
        <f>IF(C1427="","",IF(OR(IF(AND(LEFT(F1427,1)="(",RIGHT(F1427,1)=")"),MID(F1427,2,LEN(F1427)-2),F1427)="",IF(AND(LEFT(F1427,1)="(",RIGHT(F1427,1)=")"),MID(F1427,2,LEN(F1427)-2),F1427)="-"),0,IFERROR(VALUE(IF(AND(LEFT(F1427,1)="(",RIGHT(F1427,1)=")"),MID(F1427,2,LEN(F1427)-2),F1427))*IF(AND(LEFT(F1427,1)="(",RIGHT(F1427,1)=")"),-1,1)*IF(E1427="Cr",Setup!$B$6,1),"ERR")))</f>
        <v/>
      </c>
      <c r="H1427" s="6">
        <f>IF(C1427="","",IF(ISNUMBER(G1427),1,0))</f>
        <v/>
      </c>
      <c r="I1427" s="6">
        <f>IF(C1427="","",IF(SUMPRODUCT(($C$12:$C$1511=C1427)*1)&gt;1,1,0))</f>
        <v/>
      </c>
      <c r="J1427" s="6">
        <f>IF(C1427="","",SUMPRODUCT((Mapping!$F$5:$F$504=Setup!$B$4&amp;"||"&amp;C1427)*ROW(Mapping!$F$5:$F$504)))</f>
        <v/>
      </c>
      <c r="K1427" s="6">
        <f>IF(C1427="","",IF(J1427=0,"UNMAPPED",LOWER(INDEX(Mapping!$D$1:$D$504,J1427))))</f>
        <v/>
      </c>
      <c r="L1427" s="6">
        <f>IF(K1427="mapped",TRIM(INDEX(Mapping!$C$1:$C$504,J1427)),"")</f>
        <v/>
      </c>
      <c r="M1427" s="6">
        <f>IF(C1427="","",IF(SUMPRODUCT(($C$12:C1427=C1427)*1)=1,1,0))</f>
        <v/>
      </c>
      <c r="N1427" s="6">
        <f>IF(AND(K1427="UNMAPPED",M1427=1),ROW(),"")</f>
        <v/>
      </c>
      <c r="O1427" s="6">
        <f>IF(AND(I1427=1,M1427=1),ROW(),"")</f>
        <v/>
      </c>
      <c r="P1427" s="6">
        <f>IF(AND(K1427="ignored",M1427=1),ROW(),"")</f>
        <v/>
      </c>
    </row>
    <row r="1428">
      <c r="A1428" s="8" t="n"/>
      <c r="B1428" s="8" t="n"/>
      <c r="C1428" s="6">
        <f>TRIM(A1428&amp;"")</f>
        <v/>
      </c>
      <c r="D1428" s="6">
        <f>IF(C1428="","",SUBSTITUTE(SUBSTITUTE(SUBSTITUTE(SUBSTITUTE(SUBSTITUTE(SUBSTITUTE(SUBSTITUTE(UPPER(TRIM(B1428&amp;"")),"₹",""),"RS.",""),"RS",""),"INR",""),"$",""),",","")," ",""))</f>
        <v/>
      </c>
      <c r="E1428" s="6">
        <f>IF(C1428="","",IF(RIGHT(D1428,2)="CR","Cr",IF(RIGHT(D1428,2)="DR","Dr","")))</f>
        <v/>
      </c>
      <c r="F1428" s="6">
        <f>IF(C1428="","",IF(E1428&lt;&gt;"",LEFT(D1428,LEN(D1428)-2),D1428))</f>
        <v/>
      </c>
      <c r="G1428" s="13">
        <f>IF(C1428="","",IF(OR(IF(AND(LEFT(F1428,1)="(",RIGHT(F1428,1)=")"),MID(F1428,2,LEN(F1428)-2),F1428)="",IF(AND(LEFT(F1428,1)="(",RIGHT(F1428,1)=")"),MID(F1428,2,LEN(F1428)-2),F1428)="-"),0,IFERROR(VALUE(IF(AND(LEFT(F1428,1)="(",RIGHT(F1428,1)=")"),MID(F1428,2,LEN(F1428)-2),F1428))*IF(AND(LEFT(F1428,1)="(",RIGHT(F1428,1)=")"),-1,1)*IF(E1428="Cr",Setup!$B$6,1),"ERR")))</f>
        <v/>
      </c>
      <c r="H1428" s="6">
        <f>IF(C1428="","",IF(ISNUMBER(G1428),1,0))</f>
        <v/>
      </c>
      <c r="I1428" s="6">
        <f>IF(C1428="","",IF(SUMPRODUCT(($C$12:$C$1511=C1428)*1)&gt;1,1,0))</f>
        <v/>
      </c>
      <c r="J1428" s="6">
        <f>IF(C1428="","",SUMPRODUCT((Mapping!$F$5:$F$504=Setup!$B$4&amp;"||"&amp;C1428)*ROW(Mapping!$F$5:$F$504)))</f>
        <v/>
      </c>
      <c r="K1428" s="6">
        <f>IF(C1428="","",IF(J1428=0,"UNMAPPED",LOWER(INDEX(Mapping!$D$1:$D$504,J1428))))</f>
        <v/>
      </c>
      <c r="L1428" s="6">
        <f>IF(K1428="mapped",TRIM(INDEX(Mapping!$C$1:$C$504,J1428)),"")</f>
        <v/>
      </c>
      <c r="M1428" s="6">
        <f>IF(C1428="","",IF(SUMPRODUCT(($C$12:C1428=C1428)*1)=1,1,0))</f>
        <v/>
      </c>
      <c r="N1428" s="6">
        <f>IF(AND(K1428="UNMAPPED",M1428=1),ROW(),"")</f>
        <v/>
      </c>
      <c r="O1428" s="6">
        <f>IF(AND(I1428=1,M1428=1),ROW(),"")</f>
        <v/>
      </c>
      <c r="P1428" s="6">
        <f>IF(AND(K1428="ignored",M1428=1),ROW(),"")</f>
        <v/>
      </c>
    </row>
    <row r="1429">
      <c r="A1429" s="8" t="n"/>
      <c r="B1429" s="8" t="n"/>
      <c r="C1429" s="6">
        <f>TRIM(A1429&amp;"")</f>
        <v/>
      </c>
      <c r="D1429" s="6">
        <f>IF(C1429="","",SUBSTITUTE(SUBSTITUTE(SUBSTITUTE(SUBSTITUTE(SUBSTITUTE(SUBSTITUTE(SUBSTITUTE(UPPER(TRIM(B1429&amp;"")),"₹",""),"RS.",""),"RS",""),"INR",""),"$",""),",","")," ",""))</f>
        <v/>
      </c>
      <c r="E1429" s="6">
        <f>IF(C1429="","",IF(RIGHT(D1429,2)="CR","Cr",IF(RIGHT(D1429,2)="DR","Dr","")))</f>
        <v/>
      </c>
      <c r="F1429" s="6">
        <f>IF(C1429="","",IF(E1429&lt;&gt;"",LEFT(D1429,LEN(D1429)-2),D1429))</f>
        <v/>
      </c>
      <c r="G1429" s="13">
        <f>IF(C1429="","",IF(OR(IF(AND(LEFT(F1429,1)="(",RIGHT(F1429,1)=")"),MID(F1429,2,LEN(F1429)-2),F1429)="",IF(AND(LEFT(F1429,1)="(",RIGHT(F1429,1)=")"),MID(F1429,2,LEN(F1429)-2),F1429)="-"),0,IFERROR(VALUE(IF(AND(LEFT(F1429,1)="(",RIGHT(F1429,1)=")"),MID(F1429,2,LEN(F1429)-2),F1429))*IF(AND(LEFT(F1429,1)="(",RIGHT(F1429,1)=")"),-1,1)*IF(E1429="Cr",Setup!$B$6,1),"ERR")))</f>
        <v/>
      </c>
      <c r="H1429" s="6">
        <f>IF(C1429="","",IF(ISNUMBER(G1429),1,0))</f>
        <v/>
      </c>
      <c r="I1429" s="6">
        <f>IF(C1429="","",IF(SUMPRODUCT(($C$12:$C$1511=C1429)*1)&gt;1,1,0))</f>
        <v/>
      </c>
      <c r="J1429" s="6">
        <f>IF(C1429="","",SUMPRODUCT((Mapping!$F$5:$F$504=Setup!$B$4&amp;"||"&amp;C1429)*ROW(Mapping!$F$5:$F$504)))</f>
        <v/>
      </c>
      <c r="K1429" s="6">
        <f>IF(C1429="","",IF(J1429=0,"UNMAPPED",LOWER(INDEX(Mapping!$D$1:$D$504,J1429))))</f>
        <v/>
      </c>
      <c r="L1429" s="6">
        <f>IF(K1429="mapped",TRIM(INDEX(Mapping!$C$1:$C$504,J1429)),"")</f>
        <v/>
      </c>
      <c r="M1429" s="6">
        <f>IF(C1429="","",IF(SUMPRODUCT(($C$12:C1429=C1429)*1)=1,1,0))</f>
        <v/>
      </c>
      <c r="N1429" s="6">
        <f>IF(AND(K1429="UNMAPPED",M1429=1),ROW(),"")</f>
        <v/>
      </c>
      <c r="O1429" s="6">
        <f>IF(AND(I1429=1,M1429=1),ROW(),"")</f>
        <v/>
      </c>
      <c r="P1429" s="6">
        <f>IF(AND(K1429="ignored",M1429=1),ROW(),"")</f>
        <v/>
      </c>
    </row>
    <row r="1430">
      <c r="A1430" s="8" t="n"/>
      <c r="B1430" s="8" t="n"/>
      <c r="C1430" s="6">
        <f>TRIM(A1430&amp;"")</f>
        <v/>
      </c>
      <c r="D1430" s="6">
        <f>IF(C1430="","",SUBSTITUTE(SUBSTITUTE(SUBSTITUTE(SUBSTITUTE(SUBSTITUTE(SUBSTITUTE(SUBSTITUTE(UPPER(TRIM(B1430&amp;"")),"₹",""),"RS.",""),"RS",""),"INR",""),"$",""),",","")," ",""))</f>
        <v/>
      </c>
      <c r="E1430" s="6">
        <f>IF(C1430="","",IF(RIGHT(D1430,2)="CR","Cr",IF(RIGHT(D1430,2)="DR","Dr","")))</f>
        <v/>
      </c>
      <c r="F1430" s="6">
        <f>IF(C1430="","",IF(E1430&lt;&gt;"",LEFT(D1430,LEN(D1430)-2),D1430))</f>
        <v/>
      </c>
      <c r="G1430" s="13">
        <f>IF(C1430="","",IF(OR(IF(AND(LEFT(F1430,1)="(",RIGHT(F1430,1)=")"),MID(F1430,2,LEN(F1430)-2),F1430)="",IF(AND(LEFT(F1430,1)="(",RIGHT(F1430,1)=")"),MID(F1430,2,LEN(F1430)-2),F1430)="-"),0,IFERROR(VALUE(IF(AND(LEFT(F1430,1)="(",RIGHT(F1430,1)=")"),MID(F1430,2,LEN(F1430)-2),F1430))*IF(AND(LEFT(F1430,1)="(",RIGHT(F1430,1)=")"),-1,1)*IF(E1430="Cr",Setup!$B$6,1),"ERR")))</f>
        <v/>
      </c>
      <c r="H1430" s="6">
        <f>IF(C1430="","",IF(ISNUMBER(G1430),1,0))</f>
        <v/>
      </c>
      <c r="I1430" s="6">
        <f>IF(C1430="","",IF(SUMPRODUCT(($C$12:$C$1511=C1430)*1)&gt;1,1,0))</f>
        <v/>
      </c>
      <c r="J1430" s="6">
        <f>IF(C1430="","",SUMPRODUCT((Mapping!$F$5:$F$504=Setup!$B$4&amp;"||"&amp;C1430)*ROW(Mapping!$F$5:$F$504)))</f>
        <v/>
      </c>
      <c r="K1430" s="6">
        <f>IF(C1430="","",IF(J1430=0,"UNMAPPED",LOWER(INDEX(Mapping!$D$1:$D$504,J1430))))</f>
        <v/>
      </c>
      <c r="L1430" s="6">
        <f>IF(K1430="mapped",TRIM(INDEX(Mapping!$C$1:$C$504,J1430)),"")</f>
        <v/>
      </c>
      <c r="M1430" s="6">
        <f>IF(C1430="","",IF(SUMPRODUCT(($C$12:C1430=C1430)*1)=1,1,0))</f>
        <v/>
      </c>
      <c r="N1430" s="6">
        <f>IF(AND(K1430="UNMAPPED",M1430=1),ROW(),"")</f>
        <v/>
      </c>
      <c r="O1430" s="6">
        <f>IF(AND(I1430=1,M1430=1),ROW(),"")</f>
        <v/>
      </c>
      <c r="P1430" s="6">
        <f>IF(AND(K1430="ignored",M1430=1),ROW(),"")</f>
        <v/>
      </c>
    </row>
    <row r="1431">
      <c r="A1431" s="8" t="n"/>
      <c r="B1431" s="8" t="n"/>
      <c r="C1431" s="6">
        <f>TRIM(A1431&amp;"")</f>
        <v/>
      </c>
      <c r="D1431" s="6">
        <f>IF(C1431="","",SUBSTITUTE(SUBSTITUTE(SUBSTITUTE(SUBSTITUTE(SUBSTITUTE(SUBSTITUTE(SUBSTITUTE(UPPER(TRIM(B1431&amp;"")),"₹",""),"RS.",""),"RS",""),"INR",""),"$",""),",","")," ",""))</f>
        <v/>
      </c>
      <c r="E1431" s="6">
        <f>IF(C1431="","",IF(RIGHT(D1431,2)="CR","Cr",IF(RIGHT(D1431,2)="DR","Dr","")))</f>
        <v/>
      </c>
      <c r="F1431" s="6">
        <f>IF(C1431="","",IF(E1431&lt;&gt;"",LEFT(D1431,LEN(D1431)-2),D1431))</f>
        <v/>
      </c>
      <c r="G1431" s="13">
        <f>IF(C1431="","",IF(OR(IF(AND(LEFT(F1431,1)="(",RIGHT(F1431,1)=")"),MID(F1431,2,LEN(F1431)-2),F1431)="",IF(AND(LEFT(F1431,1)="(",RIGHT(F1431,1)=")"),MID(F1431,2,LEN(F1431)-2),F1431)="-"),0,IFERROR(VALUE(IF(AND(LEFT(F1431,1)="(",RIGHT(F1431,1)=")"),MID(F1431,2,LEN(F1431)-2),F1431))*IF(AND(LEFT(F1431,1)="(",RIGHT(F1431,1)=")"),-1,1)*IF(E1431="Cr",Setup!$B$6,1),"ERR")))</f>
        <v/>
      </c>
      <c r="H1431" s="6">
        <f>IF(C1431="","",IF(ISNUMBER(G1431),1,0))</f>
        <v/>
      </c>
      <c r="I1431" s="6">
        <f>IF(C1431="","",IF(SUMPRODUCT(($C$12:$C$1511=C1431)*1)&gt;1,1,0))</f>
        <v/>
      </c>
      <c r="J1431" s="6">
        <f>IF(C1431="","",SUMPRODUCT((Mapping!$F$5:$F$504=Setup!$B$4&amp;"||"&amp;C1431)*ROW(Mapping!$F$5:$F$504)))</f>
        <v/>
      </c>
      <c r="K1431" s="6">
        <f>IF(C1431="","",IF(J1431=0,"UNMAPPED",LOWER(INDEX(Mapping!$D$1:$D$504,J1431))))</f>
        <v/>
      </c>
      <c r="L1431" s="6">
        <f>IF(K1431="mapped",TRIM(INDEX(Mapping!$C$1:$C$504,J1431)),"")</f>
        <v/>
      </c>
      <c r="M1431" s="6">
        <f>IF(C1431="","",IF(SUMPRODUCT(($C$12:C1431=C1431)*1)=1,1,0))</f>
        <v/>
      </c>
      <c r="N1431" s="6">
        <f>IF(AND(K1431="UNMAPPED",M1431=1),ROW(),"")</f>
        <v/>
      </c>
      <c r="O1431" s="6">
        <f>IF(AND(I1431=1,M1431=1),ROW(),"")</f>
        <v/>
      </c>
      <c r="P1431" s="6">
        <f>IF(AND(K1431="ignored",M1431=1),ROW(),"")</f>
        <v/>
      </c>
    </row>
    <row r="1432">
      <c r="A1432" s="8" t="n"/>
      <c r="B1432" s="8" t="n"/>
      <c r="C1432" s="6">
        <f>TRIM(A1432&amp;"")</f>
        <v/>
      </c>
      <c r="D1432" s="6">
        <f>IF(C1432="","",SUBSTITUTE(SUBSTITUTE(SUBSTITUTE(SUBSTITUTE(SUBSTITUTE(SUBSTITUTE(SUBSTITUTE(UPPER(TRIM(B1432&amp;"")),"₹",""),"RS.",""),"RS",""),"INR",""),"$",""),",","")," ",""))</f>
        <v/>
      </c>
      <c r="E1432" s="6">
        <f>IF(C1432="","",IF(RIGHT(D1432,2)="CR","Cr",IF(RIGHT(D1432,2)="DR","Dr","")))</f>
        <v/>
      </c>
      <c r="F1432" s="6">
        <f>IF(C1432="","",IF(E1432&lt;&gt;"",LEFT(D1432,LEN(D1432)-2),D1432))</f>
        <v/>
      </c>
      <c r="G1432" s="13">
        <f>IF(C1432="","",IF(OR(IF(AND(LEFT(F1432,1)="(",RIGHT(F1432,1)=")"),MID(F1432,2,LEN(F1432)-2),F1432)="",IF(AND(LEFT(F1432,1)="(",RIGHT(F1432,1)=")"),MID(F1432,2,LEN(F1432)-2),F1432)="-"),0,IFERROR(VALUE(IF(AND(LEFT(F1432,1)="(",RIGHT(F1432,1)=")"),MID(F1432,2,LEN(F1432)-2),F1432))*IF(AND(LEFT(F1432,1)="(",RIGHT(F1432,1)=")"),-1,1)*IF(E1432="Cr",Setup!$B$6,1),"ERR")))</f>
        <v/>
      </c>
      <c r="H1432" s="6">
        <f>IF(C1432="","",IF(ISNUMBER(G1432),1,0))</f>
        <v/>
      </c>
      <c r="I1432" s="6">
        <f>IF(C1432="","",IF(SUMPRODUCT(($C$12:$C$1511=C1432)*1)&gt;1,1,0))</f>
        <v/>
      </c>
      <c r="J1432" s="6">
        <f>IF(C1432="","",SUMPRODUCT((Mapping!$F$5:$F$504=Setup!$B$4&amp;"||"&amp;C1432)*ROW(Mapping!$F$5:$F$504)))</f>
        <v/>
      </c>
      <c r="K1432" s="6">
        <f>IF(C1432="","",IF(J1432=0,"UNMAPPED",LOWER(INDEX(Mapping!$D$1:$D$504,J1432))))</f>
        <v/>
      </c>
      <c r="L1432" s="6">
        <f>IF(K1432="mapped",TRIM(INDEX(Mapping!$C$1:$C$504,J1432)),"")</f>
        <v/>
      </c>
      <c r="M1432" s="6">
        <f>IF(C1432="","",IF(SUMPRODUCT(($C$12:C1432=C1432)*1)=1,1,0))</f>
        <v/>
      </c>
      <c r="N1432" s="6">
        <f>IF(AND(K1432="UNMAPPED",M1432=1),ROW(),"")</f>
        <v/>
      </c>
      <c r="O1432" s="6">
        <f>IF(AND(I1432=1,M1432=1),ROW(),"")</f>
        <v/>
      </c>
      <c r="P1432" s="6">
        <f>IF(AND(K1432="ignored",M1432=1),ROW(),"")</f>
        <v/>
      </c>
    </row>
    <row r="1433">
      <c r="A1433" s="8" t="n"/>
      <c r="B1433" s="8" t="n"/>
      <c r="C1433" s="6">
        <f>TRIM(A1433&amp;"")</f>
        <v/>
      </c>
      <c r="D1433" s="6">
        <f>IF(C1433="","",SUBSTITUTE(SUBSTITUTE(SUBSTITUTE(SUBSTITUTE(SUBSTITUTE(SUBSTITUTE(SUBSTITUTE(UPPER(TRIM(B1433&amp;"")),"₹",""),"RS.",""),"RS",""),"INR",""),"$",""),",","")," ",""))</f>
        <v/>
      </c>
      <c r="E1433" s="6">
        <f>IF(C1433="","",IF(RIGHT(D1433,2)="CR","Cr",IF(RIGHT(D1433,2)="DR","Dr","")))</f>
        <v/>
      </c>
      <c r="F1433" s="6">
        <f>IF(C1433="","",IF(E1433&lt;&gt;"",LEFT(D1433,LEN(D1433)-2),D1433))</f>
        <v/>
      </c>
      <c r="G1433" s="13">
        <f>IF(C1433="","",IF(OR(IF(AND(LEFT(F1433,1)="(",RIGHT(F1433,1)=")"),MID(F1433,2,LEN(F1433)-2),F1433)="",IF(AND(LEFT(F1433,1)="(",RIGHT(F1433,1)=")"),MID(F1433,2,LEN(F1433)-2),F1433)="-"),0,IFERROR(VALUE(IF(AND(LEFT(F1433,1)="(",RIGHT(F1433,1)=")"),MID(F1433,2,LEN(F1433)-2),F1433))*IF(AND(LEFT(F1433,1)="(",RIGHT(F1433,1)=")"),-1,1)*IF(E1433="Cr",Setup!$B$6,1),"ERR")))</f>
        <v/>
      </c>
      <c r="H1433" s="6">
        <f>IF(C1433="","",IF(ISNUMBER(G1433),1,0))</f>
        <v/>
      </c>
      <c r="I1433" s="6">
        <f>IF(C1433="","",IF(SUMPRODUCT(($C$12:$C$1511=C1433)*1)&gt;1,1,0))</f>
        <v/>
      </c>
      <c r="J1433" s="6">
        <f>IF(C1433="","",SUMPRODUCT((Mapping!$F$5:$F$504=Setup!$B$4&amp;"||"&amp;C1433)*ROW(Mapping!$F$5:$F$504)))</f>
        <v/>
      </c>
      <c r="K1433" s="6">
        <f>IF(C1433="","",IF(J1433=0,"UNMAPPED",LOWER(INDEX(Mapping!$D$1:$D$504,J1433))))</f>
        <v/>
      </c>
      <c r="L1433" s="6">
        <f>IF(K1433="mapped",TRIM(INDEX(Mapping!$C$1:$C$504,J1433)),"")</f>
        <v/>
      </c>
      <c r="M1433" s="6">
        <f>IF(C1433="","",IF(SUMPRODUCT(($C$12:C1433=C1433)*1)=1,1,0))</f>
        <v/>
      </c>
      <c r="N1433" s="6">
        <f>IF(AND(K1433="UNMAPPED",M1433=1),ROW(),"")</f>
        <v/>
      </c>
      <c r="O1433" s="6">
        <f>IF(AND(I1433=1,M1433=1),ROW(),"")</f>
        <v/>
      </c>
      <c r="P1433" s="6">
        <f>IF(AND(K1433="ignored",M1433=1),ROW(),"")</f>
        <v/>
      </c>
    </row>
    <row r="1434">
      <c r="A1434" s="8" t="n"/>
      <c r="B1434" s="8" t="n"/>
      <c r="C1434" s="6">
        <f>TRIM(A1434&amp;"")</f>
        <v/>
      </c>
      <c r="D1434" s="6">
        <f>IF(C1434="","",SUBSTITUTE(SUBSTITUTE(SUBSTITUTE(SUBSTITUTE(SUBSTITUTE(SUBSTITUTE(SUBSTITUTE(UPPER(TRIM(B1434&amp;"")),"₹",""),"RS.",""),"RS",""),"INR",""),"$",""),",","")," ",""))</f>
        <v/>
      </c>
      <c r="E1434" s="6">
        <f>IF(C1434="","",IF(RIGHT(D1434,2)="CR","Cr",IF(RIGHT(D1434,2)="DR","Dr","")))</f>
        <v/>
      </c>
      <c r="F1434" s="6">
        <f>IF(C1434="","",IF(E1434&lt;&gt;"",LEFT(D1434,LEN(D1434)-2),D1434))</f>
        <v/>
      </c>
      <c r="G1434" s="13">
        <f>IF(C1434="","",IF(OR(IF(AND(LEFT(F1434,1)="(",RIGHT(F1434,1)=")"),MID(F1434,2,LEN(F1434)-2),F1434)="",IF(AND(LEFT(F1434,1)="(",RIGHT(F1434,1)=")"),MID(F1434,2,LEN(F1434)-2),F1434)="-"),0,IFERROR(VALUE(IF(AND(LEFT(F1434,1)="(",RIGHT(F1434,1)=")"),MID(F1434,2,LEN(F1434)-2),F1434))*IF(AND(LEFT(F1434,1)="(",RIGHT(F1434,1)=")"),-1,1)*IF(E1434="Cr",Setup!$B$6,1),"ERR")))</f>
        <v/>
      </c>
      <c r="H1434" s="6">
        <f>IF(C1434="","",IF(ISNUMBER(G1434),1,0))</f>
        <v/>
      </c>
      <c r="I1434" s="6">
        <f>IF(C1434="","",IF(SUMPRODUCT(($C$12:$C$1511=C1434)*1)&gt;1,1,0))</f>
        <v/>
      </c>
      <c r="J1434" s="6">
        <f>IF(C1434="","",SUMPRODUCT((Mapping!$F$5:$F$504=Setup!$B$4&amp;"||"&amp;C1434)*ROW(Mapping!$F$5:$F$504)))</f>
        <v/>
      </c>
      <c r="K1434" s="6">
        <f>IF(C1434="","",IF(J1434=0,"UNMAPPED",LOWER(INDEX(Mapping!$D$1:$D$504,J1434))))</f>
        <v/>
      </c>
      <c r="L1434" s="6">
        <f>IF(K1434="mapped",TRIM(INDEX(Mapping!$C$1:$C$504,J1434)),"")</f>
        <v/>
      </c>
      <c r="M1434" s="6">
        <f>IF(C1434="","",IF(SUMPRODUCT(($C$12:C1434=C1434)*1)=1,1,0))</f>
        <v/>
      </c>
      <c r="N1434" s="6">
        <f>IF(AND(K1434="UNMAPPED",M1434=1),ROW(),"")</f>
        <v/>
      </c>
      <c r="O1434" s="6">
        <f>IF(AND(I1434=1,M1434=1),ROW(),"")</f>
        <v/>
      </c>
      <c r="P1434" s="6">
        <f>IF(AND(K1434="ignored",M1434=1),ROW(),"")</f>
        <v/>
      </c>
    </row>
    <row r="1435">
      <c r="A1435" s="8" t="n"/>
      <c r="B1435" s="8" t="n"/>
      <c r="C1435" s="6">
        <f>TRIM(A1435&amp;"")</f>
        <v/>
      </c>
      <c r="D1435" s="6">
        <f>IF(C1435="","",SUBSTITUTE(SUBSTITUTE(SUBSTITUTE(SUBSTITUTE(SUBSTITUTE(SUBSTITUTE(SUBSTITUTE(UPPER(TRIM(B1435&amp;"")),"₹",""),"RS.",""),"RS",""),"INR",""),"$",""),",","")," ",""))</f>
        <v/>
      </c>
      <c r="E1435" s="6">
        <f>IF(C1435="","",IF(RIGHT(D1435,2)="CR","Cr",IF(RIGHT(D1435,2)="DR","Dr","")))</f>
        <v/>
      </c>
      <c r="F1435" s="6">
        <f>IF(C1435="","",IF(E1435&lt;&gt;"",LEFT(D1435,LEN(D1435)-2),D1435))</f>
        <v/>
      </c>
      <c r="G1435" s="13">
        <f>IF(C1435="","",IF(OR(IF(AND(LEFT(F1435,1)="(",RIGHT(F1435,1)=")"),MID(F1435,2,LEN(F1435)-2),F1435)="",IF(AND(LEFT(F1435,1)="(",RIGHT(F1435,1)=")"),MID(F1435,2,LEN(F1435)-2),F1435)="-"),0,IFERROR(VALUE(IF(AND(LEFT(F1435,1)="(",RIGHT(F1435,1)=")"),MID(F1435,2,LEN(F1435)-2),F1435))*IF(AND(LEFT(F1435,1)="(",RIGHT(F1435,1)=")"),-1,1)*IF(E1435="Cr",Setup!$B$6,1),"ERR")))</f>
        <v/>
      </c>
      <c r="H1435" s="6">
        <f>IF(C1435="","",IF(ISNUMBER(G1435),1,0))</f>
        <v/>
      </c>
      <c r="I1435" s="6">
        <f>IF(C1435="","",IF(SUMPRODUCT(($C$12:$C$1511=C1435)*1)&gt;1,1,0))</f>
        <v/>
      </c>
      <c r="J1435" s="6">
        <f>IF(C1435="","",SUMPRODUCT((Mapping!$F$5:$F$504=Setup!$B$4&amp;"||"&amp;C1435)*ROW(Mapping!$F$5:$F$504)))</f>
        <v/>
      </c>
      <c r="K1435" s="6">
        <f>IF(C1435="","",IF(J1435=0,"UNMAPPED",LOWER(INDEX(Mapping!$D$1:$D$504,J1435))))</f>
        <v/>
      </c>
      <c r="L1435" s="6">
        <f>IF(K1435="mapped",TRIM(INDEX(Mapping!$C$1:$C$504,J1435)),"")</f>
        <v/>
      </c>
      <c r="M1435" s="6">
        <f>IF(C1435="","",IF(SUMPRODUCT(($C$12:C1435=C1435)*1)=1,1,0))</f>
        <v/>
      </c>
      <c r="N1435" s="6">
        <f>IF(AND(K1435="UNMAPPED",M1435=1),ROW(),"")</f>
        <v/>
      </c>
      <c r="O1435" s="6">
        <f>IF(AND(I1435=1,M1435=1),ROW(),"")</f>
        <v/>
      </c>
      <c r="P1435" s="6">
        <f>IF(AND(K1435="ignored",M1435=1),ROW(),"")</f>
        <v/>
      </c>
    </row>
    <row r="1436">
      <c r="A1436" s="8" t="n"/>
      <c r="B1436" s="8" t="n"/>
      <c r="C1436" s="6">
        <f>TRIM(A1436&amp;"")</f>
        <v/>
      </c>
      <c r="D1436" s="6">
        <f>IF(C1436="","",SUBSTITUTE(SUBSTITUTE(SUBSTITUTE(SUBSTITUTE(SUBSTITUTE(SUBSTITUTE(SUBSTITUTE(UPPER(TRIM(B1436&amp;"")),"₹",""),"RS.",""),"RS",""),"INR",""),"$",""),",","")," ",""))</f>
        <v/>
      </c>
      <c r="E1436" s="6">
        <f>IF(C1436="","",IF(RIGHT(D1436,2)="CR","Cr",IF(RIGHT(D1436,2)="DR","Dr","")))</f>
        <v/>
      </c>
      <c r="F1436" s="6">
        <f>IF(C1436="","",IF(E1436&lt;&gt;"",LEFT(D1436,LEN(D1436)-2),D1436))</f>
        <v/>
      </c>
      <c r="G1436" s="13">
        <f>IF(C1436="","",IF(OR(IF(AND(LEFT(F1436,1)="(",RIGHT(F1436,1)=")"),MID(F1436,2,LEN(F1436)-2),F1436)="",IF(AND(LEFT(F1436,1)="(",RIGHT(F1436,1)=")"),MID(F1436,2,LEN(F1436)-2),F1436)="-"),0,IFERROR(VALUE(IF(AND(LEFT(F1436,1)="(",RIGHT(F1436,1)=")"),MID(F1436,2,LEN(F1436)-2),F1436))*IF(AND(LEFT(F1436,1)="(",RIGHT(F1436,1)=")"),-1,1)*IF(E1436="Cr",Setup!$B$6,1),"ERR")))</f>
        <v/>
      </c>
      <c r="H1436" s="6">
        <f>IF(C1436="","",IF(ISNUMBER(G1436),1,0))</f>
        <v/>
      </c>
      <c r="I1436" s="6">
        <f>IF(C1436="","",IF(SUMPRODUCT(($C$12:$C$1511=C1436)*1)&gt;1,1,0))</f>
        <v/>
      </c>
      <c r="J1436" s="6">
        <f>IF(C1436="","",SUMPRODUCT((Mapping!$F$5:$F$504=Setup!$B$4&amp;"||"&amp;C1436)*ROW(Mapping!$F$5:$F$504)))</f>
        <v/>
      </c>
      <c r="K1436" s="6">
        <f>IF(C1436="","",IF(J1436=0,"UNMAPPED",LOWER(INDEX(Mapping!$D$1:$D$504,J1436))))</f>
        <v/>
      </c>
      <c r="L1436" s="6">
        <f>IF(K1436="mapped",TRIM(INDEX(Mapping!$C$1:$C$504,J1436)),"")</f>
        <v/>
      </c>
      <c r="M1436" s="6">
        <f>IF(C1436="","",IF(SUMPRODUCT(($C$12:C1436=C1436)*1)=1,1,0))</f>
        <v/>
      </c>
      <c r="N1436" s="6">
        <f>IF(AND(K1436="UNMAPPED",M1436=1),ROW(),"")</f>
        <v/>
      </c>
      <c r="O1436" s="6">
        <f>IF(AND(I1436=1,M1436=1),ROW(),"")</f>
        <v/>
      </c>
      <c r="P1436" s="6">
        <f>IF(AND(K1436="ignored",M1436=1),ROW(),"")</f>
        <v/>
      </c>
    </row>
    <row r="1437">
      <c r="A1437" s="8" t="n"/>
      <c r="B1437" s="8" t="n"/>
      <c r="C1437" s="6">
        <f>TRIM(A1437&amp;"")</f>
        <v/>
      </c>
      <c r="D1437" s="6">
        <f>IF(C1437="","",SUBSTITUTE(SUBSTITUTE(SUBSTITUTE(SUBSTITUTE(SUBSTITUTE(SUBSTITUTE(SUBSTITUTE(UPPER(TRIM(B1437&amp;"")),"₹",""),"RS.",""),"RS",""),"INR",""),"$",""),",","")," ",""))</f>
        <v/>
      </c>
      <c r="E1437" s="6">
        <f>IF(C1437="","",IF(RIGHT(D1437,2)="CR","Cr",IF(RIGHT(D1437,2)="DR","Dr","")))</f>
        <v/>
      </c>
      <c r="F1437" s="6">
        <f>IF(C1437="","",IF(E1437&lt;&gt;"",LEFT(D1437,LEN(D1437)-2),D1437))</f>
        <v/>
      </c>
      <c r="G1437" s="13">
        <f>IF(C1437="","",IF(OR(IF(AND(LEFT(F1437,1)="(",RIGHT(F1437,1)=")"),MID(F1437,2,LEN(F1437)-2),F1437)="",IF(AND(LEFT(F1437,1)="(",RIGHT(F1437,1)=")"),MID(F1437,2,LEN(F1437)-2),F1437)="-"),0,IFERROR(VALUE(IF(AND(LEFT(F1437,1)="(",RIGHT(F1437,1)=")"),MID(F1437,2,LEN(F1437)-2),F1437))*IF(AND(LEFT(F1437,1)="(",RIGHT(F1437,1)=")"),-1,1)*IF(E1437="Cr",Setup!$B$6,1),"ERR")))</f>
        <v/>
      </c>
      <c r="H1437" s="6">
        <f>IF(C1437="","",IF(ISNUMBER(G1437),1,0))</f>
        <v/>
      </c>
      <c r="I1437" s="6">
        <f>IF(C1437="","",IF(SUMPRODUCT(($C$12:$C$1511=C1437)*1)&gt;1,1,0))</f>
        <v/>
      </c>
      <c r="J1437" s="6">
        <f>IF(C1437="","",SUMPRODUCT((Mapping!$F$5:$F$504=Setup!$B$4&amp;"||"&amp;C1437)*ROW(Mapping!$F$5:$F$504)))</f>
        <v/>
      </c>
      <c r="K1437" s="6">
        <f>IF(C1437="","",IF(J1437=0,"UNMAPPED",LOWER(INDEX(Mapping!$D$1:$D$504,J1437))))</f>
        <v/>
      </c>
      <c r="L1437" s="6">
        <f>IF(K1437="mapped",TRIM(INDEX(Mapping!$C$1:$C$504,J1437)),"")</f>
        <v/>
      </c>
      <c r="M1437" s="6">
        <f>IF(C1437="","",IF(SUMPRODUCT(($C$12:C1437=C1437)*1)=1,1,0))</f>
        <v/>
      </c>
      <c r="N1437" s="6">
        <f>IF(AND(K1437="UNMAPPED",M1437=1),ROW(),"")</f>
        <v/>
      </c>
      <c r="O1437" s="6">
        <f>IF(AND(I1437=1,M1437=1),ROW(),"")</f>
        <v/>
      </c>
      <c r="P1437" s="6">
        <f>IF(AND(K1437="ignored",M1437=1),ROW(),"")</f>
        <v/>
      </c>
    </row>
    <row r="1438">
      <c r="A1438" s="8" t="n"/>
      <c r="B1438" s="8" t="n"/>
      <c r="C1438" s="6">
        <f>TRIM(A1438&amp;"")</f>
        <v/>
      </c>
      <c r="D1438" s="6">
        <f>IF(C1438="","",SUBSTITUTE(SUBSTITUTE(SUBSTITUTE(SUBSTITUTE(SUBSTITUTE(SUBSTITUTE(SUBSTITUTE(UPPER(TRIM(B1438&amp;"")),"₹",""),"RS.",""),"RS",""),"INR",""),"$",""),",","")," ",""))</f>
        <v/>
      </c>
      <c r="E1438" s="6">
        <f>IF(C1438="","",IF(RIGHT(D1438,2)="CR","Cr",IF(RIGHT(D1438,2)="DR","Dr","")))</f>
        <v/>
      </c>
      <c r="F1438" s="6">
        <f>IF(C1438="","",IF(E1438&lt;&gt;"",LEFT(D1438,LEN(D1438)-2),D1438))</f>
        <v/>
      </c>
      <c r="G1438" s="13">
        <f>IF(C1438="","",IF(OR(IF(AND(LEFT(F1438,1)="(",RIGHT(F1438,1)=")"),MID(F1438,2,LEN(F1438)-2),F1438)="",IF(AND(LEFT(F1438,1)="(",RIGHT(F1438,1)=")"),MID(F1438,2,LEN(F1438)-2),F1438)="-"),0,IFERROR(VALUE(IF(AND(LEFT(F1438,1)="(",RIGHT(F1438,1)=")"),MID(F1438,2,LEN(F1438)-2),F1438))*IF(AND(LEFT(F1438,1)="(",RIGHT(F1438,1)=")"),-1,1)*IF(E1438="Cr",Setup!$B$6,1),"ERR")))</f>
        <v/>
      </c>
      <c r="H1438" s="6">
        <f>IF(C1438="","",IF(ISNUMBER(G1438),1,0))</f>
        <v/>
      </c>
      <c r="I1438" s="6">
        <f>IF(C1438="","",IF(SUMPRODUCT(($C$12:$C$1511=C1438)*1)&gt;1,1,0))</f>
        <v/>
      </c>
      <c r="J1438" s="6">
        <f>IF(C1438="","",SUMPRODUCT((Mapping!$F$5:$F$504=Setup!$B$4&amp;"||"&amp;C1438)*ROW(Mapping!$F$5:$F$504)))</f>
        <v/>
      </c>
      <c r="K1438" s="6">
        <f>IF(C1438="","",IF(J1438=0,"UNMAPPED",LOWER(INDEX(Mapping!$D$1:$D$504,J1438))))</f>
        <v/>
      </c>
      <c r="L1438" s="6">
        <f>IF(K1438="mapped",TRIM(INDEX(Mapping!$C$1:$C$504,J1438)),"")</f>
        <v/>
      </c>
      <c r="M1438" s="6">
        <f>IF(C1438="","",IF(SUMPRODUCT(($C$12:C1438=C1438)*1)=1,1,0))</f>
        <v/>
      </c>
      <c r="N1438" s="6">
        <f>IF(AND(K1438="UNMAPPED",M1438=1),ROW(),"")</f>
        <v/>
      </c>
      <c r="O1438" s="6">
        <f>IF(AND(I1438=1,M1438=1),ROW(),"")</f>
        <v/>
      </c>
      <c r="P1438" s="6">
        <f>IF(AND(K1438="ignored",M1438=1),ROW(),"")</f>
        <v/>
      </c>
    </row>
    <row r="1439">
      <c r="A1439" s="8" t="n"/>
      <c r="B1439" s="8" t="n"/>
      <c r="C1439" s="6">
        <f>TRIM(A1439&amp;"")</f>
        <v/>
      </c>
      <c r="D1439" s="6">
        <f>IF(C1439="","",SUBSTITUTE(SUBSTITUTE(SUBSTITUTE(SUBSTITUTE(SUBSTITUTE(SUBSTITUTE(SUBSTITUTE(UPPER(TRIM(B1439&amp;"")),"₹",""),"RS.",""),"RS",""),"INR",""),"$",""),",","")," ",""))</f>
        <v/>
      </c>
      <c r="E1439" s="6">
        <f>IF(C1439="","",IF(RIGHT(D1439,2)="CR","Cr",IF(RIGHT(D1439,2)="DR","Dr","")))</f>
        <v/>
      </c>
      <c r="F1439" s="6">
        <f>IF(C1439="","",IF(E1439&lt;&gt;"",LEFT(D1439,LEN(D1439)-2),D1439))</f>
        <v/>
      </c>
      <c r="G1439" s="13">
        <f>IF(C1439="","",IF(OR(IF(AND(LEFT(F1439,1)="(",RIGHT(F1439,1)=")"),MID(F1439,2,LEN(F1439)-2),F1439)="",IF(AND(LEFT(F1439,1)="(",RIGHT(F1439,1)=")"),MID(F1439,2,LEN(F1439)-2),F1439)="-"),0,IFERROR(VALUE(IF(AND(LEFT(F1439,1)="(",RIGHT(F1439,1)=")"),MID(F1439,2,LEN(F1439)-2),F1439))*IF(AND(LEFT(F1439,1)="(",RIGHT(F1439,1)=")"),-1,1)*IF(E1439="Cr",Setup!$B$6,1),"ERR")))</f>
        <v/>
      </c>
      <c r="H1439" s="6">
        <f>IF(C1439="","",IF(ISNUMBER(G1439),1,0))</f>
        <v/>
      </c>
      <c r="I1439" s="6">
        <f>IF(C1439="","",IF(SUMPRODUCT(($C$12:$C$1511=C1439)*1)&gt;1,1,0))</f>
        <v/>
      </c>
      <c r="J1439" s="6">
        <f>IF(C1439="","",SUMPRODUCT((Mapping!$F$5:$F$504=Setup!$B$4&amp;"||"&amp;C1439)*ROW(Mapping!$F$5:$F$504)))</f>
        <v/>
      </c>
      <c r="K1439" s="6">
        <f>IF(C1439="","",IF(J1439=0,"UNMAPPED",LOWER(INDEX(Mapping!$D$1:$D$504,J1439))))</f>
        <v/>
      </c>
      <c r="L1439" s="6">
        <f>IF(K1439="mapped",TRIM(INDEX(Mapping!$C$1:$C$504,J1439)),"")</f>
        <v/>
      </c>
      <c r="M1439" s="6">
        <f>IF(C1439="","",IF(SUMPRODUCT(($C$12:C1439=C1439)*1)=1,1,0))</f>
        <v/>
      </c>
      <c r="N1439" s="6">
        <f>IF(AND(K1439="UNMAPPED",M1439=1),ROW(),"")</f>
        <v/>
      </c>
      <c r="O1439" s="6">
        <f>IF(AND(I1439=1,M1439=1),ROW(),"")</f>
        <v/>
      </c>
      <c r="P1439" s="6">
        <f>IF(AND(K1439="ignored",M1439=1),ROW(),"")</f>
        <v/>
      </c>
    </row>
    <row r="1440">
      <c r="A1440" s="8" t="n"/>
      <c r="B1440" s="8" t="n"/>
      <c r="C1440" s="6">
        <f>TRIM(A1440&amp;"")</f>
        <v/>
      </c>
      <c r="D1440" s="6">
        <f>IF(C1440="","",SUBSTITUTE(SUBSTITUTE(SUBSTITUTE(SUBSTITUTE(SUBSTITUTE(SUBSTITUTE(SUBSTITUTE(UPPER(TRIM(B1440&amp;"")),"₹",""),"RS.",""),"RS",""),"INR",""),"$",""),",","")," ",""))</f>
        <v/>
      </c>
      <c r="E1440" s="6">
        <f>IF(C1440="","",IF(RIGHT(D1440,2)="CR","Cr",IF(RIGHT(D1440,2)="DR","Dr","")))</f>
        <v/>
      </c>
      <c r="F1440" s="6">
        <f>IF(C1440="","",IF(E1440&lt;&gt;"",LEFT(D1440,LEN(D1440)-2),D1440))</f>
        <v/>
      </c>
      <c r="G1440" s="13">
        <f>IF(C1440="","",IF(OR(IF(AND(LEFT(F1440,1)="(",RIGHT(F1440,1)=")"),MID(F1440,2,LEN(F1440)-2),F1440)="",IF(AND(LEFT(F1440,1)="(",RIGHT(F1440,1)=")"),MID(F1440,2,LEN(F1440)-2),F1440)="-"),0,IFERROR(VALUE(IF(AND(LEFT(F1440,1)="(",RIGHT(F1440,1)=")"),MID(F1440,2,LEN(F1440)-2),F1440))*IF(AND(LEFT(F1440,1)="(",RIGHT(F1440,1)=")"),-1,1)*IF(E1440="Cr",Setup!$B$6,1),"ERR")))</f>
        <v/>
      </c>
      <c r="H1440" s="6">
        <f>IF(C1440="","",IF(ISNUMBER(G1440),1,0))</f>
        <v/>
      </c>
      <c r="I1440" s="6">
        <f>IF(C1440="","",IF(SUMPRODUCT(($C$12:$C$1511=C1440)*1)&gt;1,1,0))</f>
        <v/>
      </c>
      <c r="J1440" s="6">
        <f>IF(C1440="","",SUMPRODUCT((Mapping!$F$5:$F$504=Setup!$B$4&amp;"||"&amp;C1440)*ROW(Mapping!$F$5:$F$504)))</f>
        <v/>
      </c>
      <c r="K1440" s="6">
        <f>IF(C1440="","",IF(J1440=0,"UNMAPPED",LOWER(INDEX(Mapping!$D$1:$D$504,J1440))))</f>
        <v/>
      </c>
      <c r="L1440" s="6">
        <f>IF(K1440="mapped",TRIM(INDEX(Mapping!$C$1:$C$504,J1440)),"")</f>
        <v/>
      </c>
      <c r="M1440" s="6">
        <f>IF(C1440="","",IF(SUMPRODUCT(($C$12:C1440=C1440)*1)=1,1,0))</f>
        <v/>
      </c>
      <c r="N1440" s="6">
        <f>IF(AND(K1440="UNMAPPED",M1440=1),ROW(),"")</f>
        <v/>
      </c>
      <c r="O1440" s="6">
        <f>IF(AND(I1440=1,M1440=1),ROW(),"")</f>
        <v/>
      </c>
      <c r="P1440" s="6">
        <f>IF(AND(K1440="ignored",M1440=1),ROW(),"")</f>
        <v/>
      </c>
    </row>
    <row r="1441">
      <c r="A1441" s="8" t="n"/>
      <c r="B1441" s="8" t="n"/>
      <c r="C1441" s="6">
        <f>TRIM(A1441&amp;"")</f>
        <v/>
      </c>
      <c r="D1441" s="6">
        <f>IF(C1441="","",SUBSTITUTE(SUBSTITUTE(SUBSTITUTE(SUBSTITUTE(SUBSTITUTE(SUBSTITUTE(SUBSTITUTE(UPPER(TRIM(B1441&amp;"")),"₹",""),"RS.",""),"RS",""),"INR",""),"$",""),",","")," ",""))</f>
        <v/>
      </c>
      <c r="E1441" s="6">
        <f>IF(C1441="","",IF(RIGHT(D1441,2)="CR","Cr",IF(RIGHT(D1441,2)="DR","Dr","")))</f>
        <v/>
      </c>
      <c r="F1441" s="6">
        <f>IF(C1441="","",IF(E1441&lt;&gt;"",LEFT(D1441,LEN(D1441)-2),D1441))</f>
        <v/>
      </c>
      <c r="G1441" s="13">
        <f>IF(C1441="","",IF(OR(IF(AND(LEFT(F1441,1)="(",RIGHT(F1441,1)=")"),MID(F1441,2,LEN(F1441)-2),F1441)="",IF(AND(LEFT(F1441,1)="(",RIGHT(F1441,1)=")"),MID(F1441,2,LEN(F1441)-2),F1441)="-"),0,IFERROR(VALUE(IF(AND(LEFT(F1441,1)="(",RIGHT(F1441,1)=")"),MID(F1441,2,LEN(F1441)-2),F1441))*IF(AND(LEFT(F1441,1)="(",RIGHT(F1441,1)=")"),-1,1)*IF(E1441="Cr",Setup!$B$6,1),"ERR")))</f>
        <v/>
      </c>
      <c r="H1441" s="6">
        <f>IF(C1441="","",IF(ISNUMBER(G1441),1,0))</f>
        <v/>
      </c>
      <c r="I1441" s="6">
        <f>IF(C1441="","",IF(SUMPRODUCT(($C$12:$C$1511=C1441)*1)&gt;1,1,0))</f>
        <v/>
      </c>
      <c r="J1441" s="6">
        <f>IF(C1441="","",SUMPRODUCT((Mapping!$F$5:$F$504=Setup!$B$4&amp;"||"&amp;C1441)*ROW(Mapping!$F$5:$F$504)))</f>
        <v/>
      </c>
      <c r="K1441" s="6">
        <f>IF(C1441="","",IF(J1441=0,"UNMAPPED",LOWER(INDEX(Mapping!$D$1:$D$504,J1441))))</f>
        <v/>
      </c>
      <c r="L1441" s="6">
        <f>IF(K1441="mapped",TRIM(INDEX(Mapping!$C$1:$C$504,J1441)),"")</f>
        <v/>
      </c>
      <c r="M1441" s="6">
        <f>IF(C1441="","",IF(SUMPRODUCT(($C$12:C1441=C1441)*1)=1,1,0))</f>
        <v/>
      </c>
      <c r="N1441" s="6">
        <f>IF(AND(K1441="UNMAPPED",M1441=1),ROW(),"")</f>
        <v/>
      </c>
      <c r="O1441" s="6">
        <f>IF(AND(I1441=1,M1441=1),ROW(),"")</f>
        <v/>
      </c>
      <c r="P1441" s="6">
        <f>IF(AND(K1441="ignored",M1441=1),ROW(),"")</f>
        <v/>
      </c>
    </row>
    <row r="1442">
      <c r="A1442" s="8" t="n"/>
      <c r="B1442" s="8" t="n"/>
      <c r="C1442" s="6">
        <f>TRIM(A1442&amp;"")</f>
        <v/>
      </c>
      <c r="D1442" s="6">
        <f>IF(C1442="","",SUBSTITUTE(SUBSTITUTE(SUBSTITUTE(SUBSTITUTE(SUBSTITUTE(SUBSTITUTE(SUBSTITUTE(UPPER(TRIM(B1442&amp;"")),"₹",""),"RS.",""),"RS",""),"INR",""),"$",""),",","")," ",""))</f>
        <v/>
      </c>
      <c r="E1442" s="6">
        <f>IF(C1442="","",IF(RIGHT(D1442,2)="CR","Cr",IF(RIGHT(D1442,2)="DR","Dr","")))</f>
        <v/>
      </c>
      <c r="F1442" s="6">
        <f>IF(C1442="","",IF(E1442&lt;&gt;"",LEFT(D1442,LEN(D1442)-2),D1442))</f>
        <v/>
      </c>
      <c r="G1442" s="13">
        <f>IF(C1442="","",IF(OR(IF(AND(LEFT(F1442,1)="(",RIGHT(F1442,1)=")"),MID(F1442,2,LEN(F1442)-2),F1442)="",IF(AND(LEFT(F1442,1)="(",RIGHT(F1442,1)=")"),MID(F1442,2,LEN(F1442)-2),F1442)="-"),0,IFERROR(VALUE(IF(AND(LEFT(F1442,1)="(",RIGHT(F1442,1)=")"),MID(F1442,2,LEN(F1442)-2),F1442))*IF(AND(LEFT(F1442,1)="(",RIGHT(F1442,1)=")"),-1,1)*IF(E1442="Cr",Setup!$B$6,1),"ERR")))</f>
        <v/>
      </c>
      <c r="H1442" s="6">
        <f>IF(C1442="","",IF(ISNUMBER(G1442),1,0))</f>
        <v/>
      </c>
      <c r="I1442" s="6">
        <f>IF(C1442="","",IF(SUMPRODUCT(($C$12:$C$1511=C1442)*1)&gt;1,1,0))</f>
        <v/>
      </c>
      <c r="J1442" s="6">
        <f>IF(C1442="","",SUMPRODUCT((Mapping!$F$5:$F$504=Setup!$B$4&amp;"||"&amp;C1442)*ROW(Mapping!$F$5:$F$504)))</f>
        <v/>
      </c>
      <c r="K1442" s="6">
        <f>IF(C1442="","",IF(J1442=0,"UNMAPPED",LOWER(INDEX(Mapping!$D$1:$D$504,J1442))))</f>
        <v/>
      </c>
      <c r="L1442" s="6">
        <f>IF(K1442="mapped",TRIM(INDEX(Mapping!$C$1:$C$504,J1442)),"")</f>
        <v/>
      </c>
      <c r="M1442" s="6">
        <f>IF(C1442="","",IF(SUMPRODUCT(($C$12:C1442=C1442)*1)=1,1,0))</f>
        <v/>
      </c>
      <c r="N1442" s="6">
        <f>IF(AND(K1442="UNMAPPED",M1442=1),ROW(),"")</f>
        <v/>
      </c>
      <c r="O1442" s="6">
        <f>IF(AND(I1442=1,M1442=1),ROW(),"")</f>
        <v/>
      </c>
      <c r="P1442" s="6">
        <f>IF(AND(K1442="ignored",M1442=1),ROW(),"")</f>
        <v/>
      </c>
    </row>
    <row r="1443">
      <c r="A1443" s="8" t="n"/>
      <c r="B1443" s="8" t="n"/>
      <c r="C1443" s="6">
        <f>TRIM(A1443&amp;"")</f>
        <v/>
      </c>
      <c r="D1443" s="6">
        <f>IF(C1443="","",SUBSTITUTE(SUBSTITUTE(SUBSTITUTE(SUBSTITUTE(SUBSTITUTE(SUBSTITUTE(SUBSTITUTE(UPPER(TRIM(B1443&amp;"")),"₹",""),"RS.",""),"RS",""),"INR",""),"$",""),",","")," ",""))</f>
        <v/>
      </c>
      <c r="E1443" s="6">
        <f>IF(C1443="","",IF(RIGHT(D1443,2)="CR","Cr",IF(RIGHT(D1443,2)="DR","Dr","")))</f>
        <v/>
      </c>
      <c r="F1443" s="6">
        <f>IF(C1443="","",IF(E1443&lt;&gt;"",LEFT(D1443,LEN(D1443)-2),D1443))</f>
        <v/>
      </c>
      <c r="G1443" s="13">
        <f>IF(C1443="","",IF(OR(IF(AND(LEFT(F1443,1)="(",RIGHT(F1443,1)=")"),MID(F1443,2,LEN(F1443)-2),F1443)="",IF(AND(LEFT(F1443,1)="(",RIGHT(F1443,1)=")"),MID(F1443,2,LEN(F1443)-2),F1443)="-"),0,IFERROR(VALUE(IF(AND(LEFT(F1443,1)="(",RIGHT(F1443,1)=")"),MID(F1443,2,LEN(F1443)-2),F1443))*IF(AND(LEFT(F1443,1)="(",RIGHT(F1443,1)=")"),-1,1)*IF(E1443="Cr",Setup!$B$6,1),"ERR")))</f>
        <v/>
      </c>
      <c r="H1443" s="6">
        <f>IF(C1443="","",IF(ISNUMBER(G1443),1,0))</f>
        <v/>
      </c>
      <c r="I1443" s="6">
        <f>IF(C1443="","",IF(SUMPRODUCT(($C$12:$C$1511=C1443)*1)&gt;1,1,0))</f>
        <v/>
      </c>
      <c r="J1443" s="6">
        <f>IF(C1443="","",SUMPRODUCT((Mapping!$F$5:$F$504=Setup!$B$4&amp;"||"&amp;C1443)*ROW(Mapping!$F$5:$F$504)))</f>
        <v/>
      </c>
      <c r="K1443" s="6">
        <f>IF(C1443="","",IF(J1443=0,"UNMAPPED",LOWER(INDEX(Mapping!$D$1:$D$504,J1443))))</f>
        <v/>
      </c>
      <c r="L1443" s="6">
        <f>IF(K1443="mapped",TRIM(INDEX(Mapping!$C$1:$C$504,J1443)),"")</f>
        <v/>
      </c>
      <c r="M1443" s="6">
        <f>IF(C1443="","",IF(SUMPRODUCT(($C$12:C1443=C1443)*1)=1,1,0))</f>
        <v/>
      </c>
      <c r="N1443" s="6">
        <f>IF(AND(K1443="UNMAPPED",M1443=1),ROW(),"")</f>
        <v/>
      </c>
      <c r="O1443" s="6">
        <f>IF(AND(I1443=1,M1443=1),ROW(),"")</f>
        <v/>
      </c>
      <c r="P1443" s="6">
        <f>IF(AND(K1443="ignored",M1443=1),ROW(),"")</f>
        <v/>
      </c>
    </row>
    <row r="1444">
      <c r="A1444" s="8" t="n"/>
      <c r="B1444" s="8" t="n"/>
      <c r="C1444" s="6">
        <f>TRIM(A1444&amp;"")</f>
        <v/>
      </c>
      <c r="D1444" s="6">
        <f>IF(C1444="","",SUBSTITUTE(SUBSTITUTE(SUBSTITUTE(SUBSTITUTE(SUBSTITUTE(SUBSTITUTE(SUBSTITUTE(UPPER(TRIM(B1444&amp;"")),"₹",""),"RS.",""),"RS",""),"INR",""),"$",""),",","")," ",""))</f>
        <v/>
      </c>
      <c r="E1444" s="6">
        <f>IF(C1444="","",IF(RIGHT(D1444,2)="CR","Cr",IF(RIGHT(D1444,2)="DR","Dr","")))</f>
        <v/>
      </c>
      <c r="F1444" s="6">
        <f>IF(C1444="","",IF(E1444&lt;&gt;"",LEFT(D1444,LEN(D1444)-2),D1444))</f>
        <v/>
      </c>
      <c r="G1444" s="13">
        <f>IF(C1444="","",IF(OR(IF(AND(LEFT(F1444,1)="(",RIGHT(F1444,1)=")"),MID(F1444,2,LEN(F1444)-2),F1444)="",IF(AND(LEFT(F1444,1)="(",RIGHT(F1444,1)=")"),MID(F1444,2,LEN(F1444)-2),F1444)="-"),0,IFERROR(VALUE(IF(AND(LEFT(F1444,1)="(",RIGHT(F1444,1)=")"),MID(F1444,2,LEN(F1444)-2),F1444))*IF(AND(LEFT(F1444,1)="(",RIGHT(F1444,1)=")"),-1,1)*IF(E1444="Cr",Setup!$B$6,1),"ERR")))</f>
        <v/>
      </c>
      <c r="H1444" s="6">
        <f>IF(C1444="","",IF(ISNUMBER(G1444),1,0))</f>
        <v/>
      </c>
      <c r="I1444" s="6">
        <f>IF(C1444="","",IF(SUMPRODUCT(($C$12:$C$1511=C1444)*1)&gt;1,1,0))</f>
        <v/>
      </c>
      <c r="J1444" s="6">
        <f>IF(C1444="","",SUMPRODUCT((Mapping!$F$5:$F$504=Setup!$B$4&amp;"||"&amp;C1444)*ROW(Mapping!$F$5:$F$504)))</f>
        <v/>
      </c>
      <c r="K1444" s="6">
        <f>IF(C1444="","",IF(J1444=0,"UNMAPPED",LOWER(INDEX(Mapping!$D$1:$D$504,J1444))))</f>
        <v/>
      </c>
      <c r="L1444" s="6">
        <f>IF(K1444="mapped",TRIM(INDEX(Mapping!$C$1:$C$504,J1444)),"")</f>
        <v/>
      </c>
      <c r="M1444" s="6">
        <f>IF(C1444="","",IF(SUMPRODUCT(($C$12:C1444=C1444)*1)=1,1,0))</f>
        <v/>
      </c>
      <c r="N1444" s="6">
        <f>IF(AND(K1444="UNMAPPED",M1444=1),ROW(),"")</f>
        <v/>
      </c>
      <c r="O1444" s="6">
        <f>IF(AND(I1444=1,M1444=1),ROW(),"")</f>
        <v/>
      </c>
      <c r="P1444" s="6">
        <f>IF(AND(K1444="ignored",M1444=1),ROW(),"")</f>
        <v/>
      </c>
    </row>
    <row r="1445">
      <c r="A1445" s="8" t="n"/>
      <c r="B1445" s="8" t="n"/>
      <c r="C1445" s="6">
        <f>TRIM(A1445&amp;"")</f>
        <v/>
      </c>
      <c r="D1445" s="6">
        <f>IF(C1445="","",SUBSTITUTE(SUBSTITUTE(SUBSTITUTE(SUBSTITUTE(SUBSTITUTE(SUBSTITUTE(SUBSTITUTE(UPPER(TRIM(B1445&amp;"")),"₹",""),"RS.",""),"RS",""),"INR",""),"$",""),",","")," ",""))</f>
        <v/>
      </c>
      <c r="E1445" s="6">
        <f>IF(C1445="","",IF(RIGHT(D1445,2)="CR","Cr",IF(RIGHT(D1445,2)="DR","Dr","")))</f>
        <v/>
      </c>
      <c r="F1445" s="6">
        <f>IF(C1445="","",IF(E1445&lt;&gt;"",LEFT(D1445,LEN(D1445)-2),D1445))</f>
        <v/>
      </c>
      <c r="G1445" s="13">
        <f>IF(C1445="","",IF(OR(IF(AND(LEFT(F1445,1)="(",RIGHT(F1445,1)=")"),MID(F1445,2,LEN(F1445)-2),F1445)="",IF(AND(LEFT(F1445,1)="(",RIGHT(F1445,1)=")"),MID(F1445,2,LEN(F1445)-2),F1445)="-"),0,IFERROR(VALUE(IF(AND(LEFT(F1445,1)="(",RIGHT(F1445,1)=")"),MID(F1445,2,LEN(F1445)-2),F1445))*IF(AND(LEFT(F1445,1)="(",RIGHT(F1445,1)=")"),-1,1)*IF(E1445="Cr",Setup!$B$6,1),"ERR")))</f>
        <v/>
      </c>
      <c r="H1445" s="6">
        <f>IF(C1445="","",IF(ISNUMBER(G1445),1,0))</f>
        <v/>
      </c>
      <c r="I1445" s="6">
        <f>IF(C1445="","",IF(SUMPRODUCT(($C$12:$C$1511=C1445)*1)&gt;1,1,0))</f>
        <v/>
      </c>
      <c r="J1445" s="6">
        <f>IF(C1445="","",SUMPRODUCT((Mapping!$F$5:$F$504=Setup!$B$4&amp;"||"&amp;C1445)*ROW(Mapping!$F$5:$F$504)))</f>
        <v/>
      </c>
      <c r="K1445" s="6">
        <f>IF(C1445="","",IF(J1445=0,"UNMAPPED",LOWER(INDEX(Mapping!$D$1:$D$504,J1445))))</f>
        <v/>
      </c>
      <c r="L1445" s="6">
        <f>IF(K1445="mapped",TRIM(INDEX(Mapping!$C$1:$C$504,J1445)),"")</f>
        <v/>
      </c>
      <c r="M1445" s="6">
        <f>IF(C1445="","",IF(SUMPRODUCT(($C$12:C1445=C1445)*1)=1,1,0))</f>
        <v/>
      </c>
      <c r="N1445" s="6">
        <f>IF(AND(K1445="UNMAPPED",M1445=1),ROW(),"")</f>
        <v/>
      </c>
      <c r="O1445" s="6">
        <f>IF(AND(I1445=1,M1445=1),ROW(),"")</f>
        <v/>
      </c>
      <c r="P1445" s="6">
        <f>IF(AND(K1445="ignored",M1445=1),ROW(),"")</f>
        <v/>
      </c>
    </row>
    <row r="1446">
      <c r="A1446" s="8" t="n"/>
      <c r="B1446" s="8" t="n"/>
      <c r="C1446" s="6">
        <f>TRIM(A1446&amp;"")</f>
        <v/>
      </c>
      <c r="D1446" s="6">
        <f>IF(C1446="","",SUBSTITUTE(SUBSTITUTE(SUBSTITUTE(SUBSTITUTE(SUBSTITUTE(SUBSTITUTE(SUBSTITUTE(UPPER(TRIM(B1446&amp;"")),"₹",""),"RS.",""),"RS",""),"INR",""),"$",""),",","")," ",""))</f>
        <v/>
      </c>
      <c r="E1446" s="6">
        <f>IF(C1446="","",IF(RIGHT(D1446,2)="CR","Cr",IF(RIGHT(D1446,2)="DR","Dr","")))</f>
        <v/>
      </c>
      <c r="F1446" s="6">
        <f>IF(C1446="","",IF(E1446&lt;&gt;"",LEFT(D1446,LEN(D1446)-2),D1446))</f>
        <v/>
      </c>
      <c r="G1446" s="13">
        <f>IF(C1446="","",IF(OR(IF(AND(LEFT(F1446,1)="(",RIGHT(F1446,1)=")"),MID(F1446,2,LEN(F1446)-2),F1446)="",IF(AND(LEFT(F1446,1)="(",RIGHT(F1446,1)=")"),MID(F1446,2,LEN(F1446)-2),F1446)="-"),0,IFERROR(VALUE(IF(AND(LEFT(F1446,1)="(",RIGHT(F1446,1)=")"),MID(F1446,2,LEN(F1446)-2),F1446))*IF(AND(LEFT(F1446,1)="(",RIGHT(F1446,1)=")"),-1,1)*IF(E1446="Cr",Setup!$B$6,1),"ERR")))</f>
        <v/>
      </c>
      <c r="H1446" s="6">
        <f>IF(C1446="","",IF(ISNUMBER(G1446),1,0))</f>
        <v/>
      </c>
      <c r="I1446" s="6">
        <f>IF(C1446="","",IF(SUMPRODUCT(($C$12:$C$1511=C1446)*1)&gt;1,1,0))</f>
        <v/>
      </c>
      <c r="J1446" s="6">
        <f>IF(C1446="","",SUMPRODUCT((Mapping!$F$5:$F$504=Setup!$B$4&amp;"||"&amp;C1446)*ROW(Mapping!$F$5:$F$504)))</f>
        <v/>
      </c>
      <c r="K1446" s="6">
        <f>IF(C1446="","",IF(J1446=0,"UNMAPPED",LOWER(INDEX(Mapping!$D$1:$D$504,J1446))))</f>
        <v/>
      </c>
      <c r="L1446" s="6">
        <f>IF(K1446="mapped",TRIM(INDEX(Mapping!$C$1:$C$504,J1446)),"")</f>
        <v/>
      </c>
      <c r="M1446" s="6">
        <f>IF(C1446="","",IF(SUMPRODUCT(($C$12:C1446=C1446)*1)=1,1,0))</f>
        <v/>
      </c>
      <c r="N1446" s="6">
        <f>IF(AND(K1446="UNMAPPED",M1446=1),ROW(),"")</f>
        <v/>
      </c>
      <c r="O1446" s="6">
        <f>IF(AND(I1446=1,M1446=1),ROW(),"")</f>
        <v/>
      </c>
      <c r="P1446" s="6">
        <f>IF(AND(K1446="ignored",M1446=1),ROW(),"")</f>
        <v/>
      </c>
    </row>
    <row r="1447">
      <c r="A1447" s="8" t="n"/>
      <c r="B1447" s="8" t="n"/>
      <c r="C1447" s="6">
        <f>TRIM(A1447&amp;"")</f>
        <v/>
      </c>
      <c r="D1447" s="6">
        <f>IF(C1447="","",SUBSTITUTE(SUBSTITUTE(SUBSTITUTE(SUBSTITUTE(SUBSTITUTE(SUBSTITUTE(SUBSTITUTE(UPPER(TRIM(B1447&amp;"")),"₹",""),"RS.",""),"RS",""),"INR",""),"$",""),",","")," ",""))</f>
        <v/>
      </c>
      <c r="E1447" s="6">
        <f>IF(C1447="","",IF(RIGHT(D1447,2)="CR","Cr",IF(RIGHT(D1447,2)="DR","Dr","")))</f>
        <v/>
      </c>
      <c r="F1447" s="6">
        <f>IF(C1447="","",IF(E1447&lt;&gt;"",LEFT(D1447,LEN(D1447)-2),D1447))</f>
        <v/>
      </c>
      <c r="G1447" s="13">
        <f>IF(C1447="","",IF(OR(IF(AND(LEFT(F1447,1)="(",RIGHT(F1447,1)=")"),MID(F1447,2,LEN(F1447)-2),F1447)="",IF(AND(LEFT(F1447,1)="(",RIGHT(F1447,1)=")"),MID(F1447,2,LEN(F1447)-2),F1447)="-"),0,IFERROR(VALUE(IF(AND(LEFT(F1447,1)="(",RIGHT(F1447,1)=")"),MID(F1447,2,LEN(F1447)-2),F1447))*IF(AND(LEFT(F1447,1)="(",RIGHT(F1447,1)=")"),-1,1)*IF(E1447="Cr",Setup!$B$6,1),"ERR")))</f>
        <v/>
      </c>
      <c r="H1447" s="6">
        <f>IF(C1447="","",IF(ISNUMBER(G1447),1,0))</f>
        <v/>
      </c>
      <c r="I1447" s="6">
        <f>IF(C1447="","",IF(SUMPRODUCT(($C$12:$C$1511=C1447)*1)&gt;1,1,0))</f>
        <v/>
      </c>
      <c r="J1447" s="6">
        <f>IF(C1447="","",SUMPRODUCT((Mapping!$F$5:$F$504=Setup!$B$4&amp;"||"&amp;C1447)*ROW(Mapping!$F$5:$F$504)))</f>
        <v/>
      </c>
      <c r="K1447" s="6">
        <f>IF(C1447="","",IF(J1447=0,"UNMAPPED",LOWER(INDEX(Mapping!$D$1:$D$504,J1447))))</f>
        <v/>
      </c>
      <c r="L1447" s="6">
        <f>IF(K1447="mapped",TRIM(INDEX(Mapping!$C$1:$C$504,J1447)),"")</f>
        <v/>
      </c>
      <c r="M1447" s="6">
        <f>IF(C1447="","",IF(SUMPRODUCT(($C$12:C1447=C1447)*1)=1,1,0))</f>
        <v/>
      </c>
      <c r="N1447" s="6">
        <f>IF(AND(K1447="UNMAPPED",M1447=1),ROW(),"")</f>
        <v/>
      </c>
      <c r="O1447" s="6">
        <f>IF(AND(I1447=1,M1447=1),ROW(),"")</f>
        <v/>
      </c>
      <c r="P1447" s="6">
        <f>IF(AND(K1447="ignored",M1447=1),ROW(),"")</f>
        <v/>
      </c>
    </row>
    <row r="1448">
      <c r="A1448" s="8" t="n"/>
      <c r="B1448" s="8" t="n"/>
      <c r="C1448" s="6">
        <f>TRIM(A1448&amp;"")</f>
        <v/>
      </c>
      <c r="D1448" s="6">
        <f>IF(C1448="","",SUBSTITUTE(SUBSTITUTE(SUBSTITUTE(SUBSTITUTE(SUBSTITUTE(SUBSTITUTE(SUBSTITUTE(UPPER(TRIM(B1448&amp;"")),"₹",""),"RS.",""),"RS",""),"INR",""),"$",""),",","")," ",""))</f>
        <v/>
      </c>
      <c r="E1448" s="6">
        <f>IF(C1448="","",IF(RIGHT(D1448,2)="CR","Cr",IF(RIGHT(D1448,2)="DR","Dr","")))</f>
        <v/>
      </c>
      <c r="F1448" s="6">
        <f>IF(C1448="","",IF(E1448&lt;&gt;"",LEFT(D1448,LEN(D1448)-2),D1448))</f>
        <v/>
      </c>
      <c r="G1448" s="13">
        <f>IF(C1448="","",IF(OR(IF(AND(LEFT(F1448,1)="(",RIGHT(F1448,1)=")"),MID(F1448,2,LEN(F1448)-2),F1448)="",IF(AND(LEFT(F1448,1)="(",RIGHT(F1448,1)=")"),MID(F1448,2,LEN(F1448)-2),F1448)="-"),0,IFERROR(VALUE(IF(AND(LEFT(F1448,1)="(",RIGHT(F1448,1)=")"),MID(F1448,2,LEN(F1448)-2),F1448))*IF(AND(LEFT(F1448,1)="(",RIGHT(F1448,1)=")"),-1,1)*IF(E1448="Cr",Setup!$B$6,1),"ERR")))</f>
        <v/>
      </c>
      <c r="H1448" s="6">
        <f>IF(C1448="","",IF(ISNUMBER(G1448),1,0))</f>
        <v/>
      </c>
      <c r="I1448" s="6">
        <f>IF(C1448="","",IF(SUMPRODUCT(($C$12:$C$1511=C1448)*1)&gt;1,1,0))</f>
        <v/>
      </c>
      <c r="J1448" s="6">
        <f>IF(C1448="","",SUMPRODUCT((Mapping!$F$5:$F$504=Setup!$B$4&amp;"||"&amp;C1448)*ROW(Mapping!$F$5:$F$504)))</f>
        <v/>
      </c>
      <c r="K1448" s="6">
        <f>IF(C1448="","",IF(J1448=0,"UNMAPPED",LOWER(INDEX(Mapping!$D$1:$D$504,J1448))))</f>
        <v/>
      </c>
      <c r="L1448" s="6">
        <f>IF(K1448="mapped",TRIM(INDEX(Mapping!$C$1:$C$504,J1448)),"")</f>
        <v/>
      </c>
      <c r="M1448" s="6">
        <f>IF(C1448="","",IF(SUMPRODUCT(($C$12:C1448=C1448)*1)=1,1,0))</f>
        <v/>
      </c>
      <c r="N1448" s="6">
        <f>IF(AND(K1448="UNMAPPED",M1448=1),ROW(),"")</f>
        <v/>
      </c>
      <c r="O1448" s="6">
        <f>IF(AND(I1448=1,M1448=1),ROW(),"")</f>
        <v/>
      </c>
      <c r="P1448" s="6">
        <f>IF(AND(K1448="ignored",M1448=1),ROW(),"")</f>
        <v/>
      </c>
    </row>
    <row r="1449">
      <c r="A1449" s="8" t="n"/>
      <c r="B1449" s="8" t="n"/>
      <c r="C1449" s="6">
        <f>TRIM(A1449&amp;"")</f>
        <v/>
      </c>
      <c r="D1449" s="6">
        <f>IF(C1449="","",SUBSTITUTE(SUBSTITUTE(SUBSTITUTE(SUBSTITUTE(SUBSTITUTE(SUBSTITUTE(SUBSTITUTE(UPPER(TRIM(B1449&amp;"")),"₹",""),"RS.",""),"RS",""),"INR",""),"$",""),",","")," ",""))</f>
        <v/>
      </c>
      <c r="E1449" s="6">
        <f>IF(C1449="","",IF(RIGHT(D1449,2)="CR","Cr",IF(RIGHT(D1449,2)="DR","Dr","")))</f>
        <v/>
      </c>
      <c r="F1449" s="6">
        <f>IF(C1449="","",IF(E1449&lt;&gt;"",LEFT(D1449,LEN(D1449)-2),D1449))</f>
        <v/>
      </c>
      <c r="G1449" s="13">
        <f>IF(C1449="","",IF(OR(IF(AND(LEFT(F1449,1)="(",RIGHT(F1449,1)=")"),MID(F1449,2,LEN(F1449)-2),F1449)="",IF(AND(LEFT(F1449,1)="(",RIGHT(F1449,1)=")"),MID(F1449,2,LEN(F1449)-2),F1449)="-"),0,IFERROR(VALUE(IF(AND(LEFT(F1449,1)="(",RIGHT(F1449,1)=")"),MID(F1449,2,LEN(F1449)-2),F1449))*IF(AND(LEFT(F1449,1)="(",RIGHT(F1449,1)=")"),-1,1)*IF(E1449="Cr",Setup!$B$6,1),"ERR")))</f>
        <v/>
      </c>
      <c r="H1449" s="6">
        <f>IF(C1449="","",IF(ISNUMBER(G1449),1,0))</f>
        <v/>
      </c>
      <c r="I1449" s="6">
        <f>IF(C1449="","",IF(SUMPRODUCT(($C$12:$C$1511=C1449)*1)&gt;1,1,0))</f>
        <v/>
      </c>
      <c r="J1449" s="6">
        <f>IF(C1449="","",SUMPRODUCT((Mapping!$F$5:$F$504=Setup!$B$4&amp;"||"&amp;C1449)*ROW(Mapping!$F$5:$F$504)))</f>
        <v/>
      </c>
      <c r="K1449" s="6">
        <f>IF(C1449="","",IF(J1449=0,"UNMAPPED",LOWER(INDEX(Mapping!$D$1:$D$504,J1449))))</f>
        <v/>
      </c>
      <c r="L1449" s="6">
        <f>IF(K1449="mapped",TRIM(INDEX(Mapping!$C$1:$C$504,J1449)),"")</f>
        <v/>
      </c>
      <c r="M1449" s="6">
        <f>IF(C1449="","",IF(SUMPRODUCT(($C$12:C1449=C1449)*1)=1,1,0))</f>
        <v/>
      </c>
      <c r="N1449" s="6">
        <f>IF(AND(K1449="UNMAPPED",M1449=1),ROW(),"")</f>
        <v/>
      </c>
      <c r="O1449" s="6">
        <f>IF(AND(I1449=1,M1449=1),ROW(),"")</f>
        <v/>
      </c>
      <c r="P1449" s="6">
        <f>IF(AND(K1449="ignored",M1449=1),ROW(),"")</f>
        <v/>
      </c>
    </row>
    <row r="1450">
      <c r="A1450" s="8" t="n"/>
      <c r="B1450" s="8" t="n"/>
      <c r="C1450" s="6">
        <f>TRIM(A1450&amp;"")</f>
        <v/>
      </c>
      <c r="D1450" s="6">
        <f>IF(C1450="","",SUBSTITUTE(SUBSTITUTE(SUBSTITUTE(SUBSTITUTE(SUBSTITUTE(SUBSTITUTE(SUBSTITUTE(UPPER(TRIM(B1450&amp;"")),"₹",""),"RS.",""),"RS",""),"INR",""),"$",""),",","")," ",""))</f>
        <v/>
      </c>
      <c r="E1450" s="6">
        <f>IF(C1450="","",IF(RIGHT(D1450,2)="CR","Cr",IF(RIGHT(D1450,2)="DR","Dr","")))</f>
        <v/>
      </c>
      <c r="F1450" s="6">
        <f>IF(C1450="","",IF(E1450&lt;&gt;"",LEFT(D1450,LEN(D1450)-2),D1450))</f>
        <v/>
      </c>
      <c r="G1450" s="13">
        <f>IF(C1450="","",IF(OR(IF(AND(LEFT(F1450,1)="(",RIGHT(F1450,1)=")"),MID(F1450,2,LEN(F1450)-2),F1450)="",IF(AND(LEFT(F1450,1)="(",RIGHT(F1450,1)=")"),MID(F1450,2,LEN(F1450)-2),F1450)="-"),0,IFERROR(VALUE(IF(AND(LEFT(F1450,1)="(",RIGHT(F1450,1)=")"),MID(F1450,2,LEN(F1450)-2),F1450))*IF(AND(LEFT(F1450,1)="(",RIGHT(F1450,1)=")"),-1,1)*IF(E1450="Cr",Setup!$B$6,1),"ERR")))</f>
        <v/>
      </c>
      <c r="H1450" s="6">
        <f>IF(C1450="","",IF(ISNUMBER(G1450),1,0))</f>
        <v/>
      </c>
      <c r="I1450" s="6">
        <f>IF(C1450="","",IF(SUMPRODUCT(($C$12:$C$1511=C1450)*1)&gt;1,1,0))</f>
        <v/>
      </c>
      <c r="J1450" s="6">
        <f>IF(C1450="","",SUMPRODUCT((Mapping!$F$5:$F$504=Setup!$B$4&amp;"||"&amp;C1450)*ROW(Mapping!$F$5:$F$504)))</f>
        <v/>
      </c>
      <c r="K1450" s="6">
        <f>IF(C1450="","",IF(J1450=0,"UNMAPPED",LOWER(INDEX(Mapping!$D$1:$D$504,J1450))))</f>
        <v/>
      </c>
      <c r="L1450" s="6">
        <f>IF(K1450="mapped",TRIM(INDEX(Mapping!$C$1:$C$504,J1450)),"")</f>
        <v/>
      </c>
      <c r="M1450" s="6">
        <f>IF(C1450="","",IF(SUMPRODUCT(($C$12:C1450=C1450)*1)=1,1,0))</f>
        <v/>
      </c>
      <c r="N1450" s="6">
        <f>IF(AND(K1450="UNMAPPED",M1450=1),ROW(),"")</f>
        <v/>
      </c>
      <c r="O1450" s="6">
        <f>IF(AND(I1450=1,M1450=1),ROW(),"")</f>
        <v/>
      </c>
      <c r="P1450" s="6">
        <f>IF(AND(K1450="ignored",M1450=1),ROW(),"")</f>
        <v/>
      </c>
    </row>
    <row r="1451">
      <c r="A1451" s="8" t="n"/>
      <c r="B1451" s="8" t="n"/>
      <c r="C1451" s="6">
        <f>TRIM(A1451&amp;"")</f>
        <v/>
      </c>
      <c r="D1451" s="6">
        <f>IF(C1451="","",SUBSTITUTE(SUBSTITUTE(SUBSTITUTE(SUBSTITUTE(SUBSTITUTE(SUBSTITUTE(SUBSTITUTE(UPPER(TRIM(B1451&amp;"")),"₹",""),"RS.",""),"RS",""),"INR",""),"$",""),",","")," ",""))</f>
        <v/>
      </c>
      <c r="E1451" s="6">
        <f>IF(C1451="","",IF(RIGHT(D1451,2)="CR","Cr",IF(RIGHT(D1451,2)="DR","Dr","")))</f>
        <v/>
      </c>
      <c r="F1451" s="6">
        <f>IF(C1451="","",IF(E1451&lt;&gt;"",LEFT(D1451,LEN(D1451)-2),D1451))</f>
        <v/>
      </c>
      <c r="G1451" s="13">
        <f>IF(C1451="","",IF(OR(IF(AND(LEFT(F1451,1)="(",RIGHT(F1451,1)=")"),MID(F1451,2,LEN(F1451)-2),F1451)="",IF(AND(LEFT(F1451,1)="(",RIGHT(F1451,1)=")"),MID(F1451,2,LEN(F1451)-2),F1451)="-"),0,IFERROR(VALUE(IF(AND(LEFT(F1451,1)="(",RIGHT(F1451,1)=")"),MID(F1451,2,LEN(F1451)-2),F1451))*IF(AND(LEFT(F1451,1)="(",RIGHT(F1451,1)=")"),-1,1)*IF(E1451="Cr",Setup!$B$6,1),"ERR")))</f>
        <v/>
      </c>
      <c r="H1451" s="6">
        <f>IF(C1451="","",IF(ISNUMBER(G1451),1,0))</f>
        <v/>
      </c>
      <c r="I1451" s="6">
        <f>IF(C1451="","",IF(SUMPRODUCT(($C$12:$C$1511=C1451)*1)&gt;1,1,0))</f>
        <v/>
      </c>
      <c r="J1451" s="6">
        <f>IF(C1451="","",SUMPRODUCT((Mapping!$F$5:$F$504=Setup!$B$4&amp;"||"&amp;C1451)*ROW(Mapping!$F$5:$F$504)))</f>
        <v/>
      </c>
      <c r="K1451" s="6">
        <f>IF(C1451="","",IF(J1451=0,"UNMAPPED",LOWER(INDEX(Mapping!$D$1:$D$504,J1451))))</f>
        <v/>
      </c>
      <c r="L1451" s="6">
        <f>IF(K1451="mapped",TRIM(INDEX(Mapping!$C$1:$C$504,J1451)),"")</f>
        <v/>
      </c>
      <c r="M1451" s="6">
        <f>IF(C1451="","",IF(SUMPRODUCT(($C$12:C1451=C1451)*1)=1,1,0))</f>
        <v/>
      </c>
      <c r="N1451" s="6">
        <f>IF(AND(K1451="UNMAPPED",M1451=1),ROW(),"")</f>
        <v/>
      </c>
      <c r="O1451" s="6">
        <f>IF(AND(I1451=1,M1451=1),ROW(),"")</f>
        <v/>
      </c>
      <c r="P1451" s="6">
        <f>IF(AND(K1451="ignored",M1451=1),ROW(),"")</f>
        <v/>
      </c>
    </row>
    <row r="1452">
      <c r="A1452" s="8" t="n"/>
      <c r="B1452" s="8" t="n"/>
      <c r="C1452" s="6">
        <f>TRIM(A1452&amp;"")</f>
        <v/>
      </c>
      <c r="D1452" s="6">
        <f>IF(C1452="","",SUBSTITUTE(SUBSTITUTE(SUBSTITUTE(SUBSTITUTE(SUBSTITUTE(SUBSTITUTE(SUBSTITUTE(UPPER(TRIM(B1452&amp;"")),"₹",""),"RS.",""),"RS",""),"INR",""),"$",""),",","")," ",""))</f>
        <v/>
      </c>
      <c r="E1452" s="6">
        <f>IF(C1452="","",IF(RIGHT(D1452,2)="CR","Cr",IF(RIGHT(D1452,2)="DR","Dr","")))</f>
        <v/>
      </c>
      <c r="F1452" s="6">
        <f>IF(C1452="","",IF(E1452&lt;&gt;"",LEFT(D1452,LEN(D1452)-2),D1452))</f>
        <v/>
      </c>
      <c r="G1452" s="13">
        <f>IF(C1452="","",IF(OR(IF(AND(LEFT(F1452,1)="(",RIGHT(F1452,1)=")"),MID(F1452,2,LEN(F1452)-2),F1452)="",IF(AND(LEFT(F1452,1)="(",RIGHT(F1452,1)=")"),MID(F1452,2,LEN(F1452)-2),F1452)="-"),0,IFERROR(VALUE(IF(AND(LEFT(F1452,1)="(",RIGHT(F1452,1)=")"),MID(F1452,2,LEN(F1452)-2),F1452))*IF(AND(LEFT(F1452,1)="(",RIGHT(F1452,1)=")"),-1,1)*IF(E1452="Cr",Setup!$B$6,1),"ERR")))</f>
        <v/>
      </c>
      <c r="H1452" s="6">
        <f>IF(C1452="","",IF(ISNUMBER(G1452),1,0))</f>
        <v/>
      </c>
      <c r="I1452" s="6">
        <f>IF(C1452="","",IF(SUMPRODUCT(($C$12:$C$1511=C1452)*1)&gt;1,1,0))</f>
        <v/>
      </c>
      <c r="J1452" s="6">
        <f>IF(C1452="","",SUMPRODUCT((Mapping!$F$5:$F$504=Setup!$B$4&amp;"||"&amp;C1452)*ROW(Mapping!$F$5:$F$504)))</f>
        <v/>
      </c>
      <c r="K1452" s="6">
        <f>IF(C1452="","",IF(J1452=0,"UNMAPPED",LOWER(INDEX(Mapping!$D$1:$D$504,J1452))))</f>
        <v/>
      </c>
      <c r="L1452" s="6">
        <f>IF(K1452="mapped",TRIM(INDEX(Mapping!$C$1:$C$504,J1452)),"")</f>
        <v/>
      </c>
      <c r="M1452" s="6">
        <f>IF(C1452="","",IF(SUMPRODUCT(($C$12:C1452=C1452)*1)=1,1,0))</f>
        <v/>
      </c>
      <c r="N1452" s="6">
        <f>IF(AND(K1452="UNMAPPED",M1452=1),ROW(),"")</f>
        <v/>
      </c>
      <c r="O1452" s="6">
        <f>IF(AND(I1452=1,M1452=1),ROW(),"")</f>
        <v/>
      </c>
      <c r="P1452" s="6">
        <f>IF(AND(K1452="ignored",M1452=1),ROW(),"")</f>
        <v/>
      </c>
    </row>
    <row r="1453">
      <c r="A1453" s="8" t="n"/>
      <c r="B1453" s="8" t="n"/>
      <c r="C1453" s="6">
        <f>TRIM(A1453&amp;"")</f>
        <v/>
      </c>
      <c r="D1453" s="6">
        <f>IF(C1453="","",SUBSTITUTE(SUBSTITUTE(SUBSTITUTE(SUBSTITUTE(SUBSTITUTE(SUBSTITUTE(SUBSTITUTE(UPPER(TRIM(B1453&amp;"")),"₹",""),"RS.",""),"RS",""),"INR",""),"$",""),",","")," ",""))</f>
        <v/>
      </c>
      <c r="E1453" s="6">
        <f>IF(C1453="","",IF(RIGHT(D1453,2)="CR","Cr",IF(RIGHT(D1453,2)="DR","Dr","")))</f>
        <v/>
      </c>
      <c r="F1453" s="6">
        <f>IF(C1453="","",IF(E1453&lt;&gt;"",LEFT(D1453,LEN(D1453)-2),D1453))</f>
        <v/>
      </c>
      <c r="G1453" s="13">
        <f>IF(C1453="","",IF(OR(IF(AND(LEFT(F1453,1)="(",RIGHT(F1453,1)=")"),MID(F1453,2,LEN(F1453)-2),F1453)="",IF(AND(LEFT(F1453,1)="(",RIGHT(F1453,1)=")"),MID(F1453,2,LEN(F1453)-2),F1453)="-"),0,IFERROR(VALUE(IF(AND(LEFT(F1453,1)="(",RIGHT(F1453,1)=")"),MID(F1453,2,LEN(F1453)-2),F1453))*IF(AND(LEFT(F1453,1)="(",RIGHT(F1453,1)=")"),-1,1)*IF(E1453="Cr",Setup!$B$6,1),"ERR")))</f>
        <v/>
      </c>
      <c r="H1453" s="6">
        <f>IF(C1453="","",IF(ISNUMBER(G1453),1,0))</f>
        <v/>
      </c>
      <c r="I1453" s="6">
        <f>IF(C1453="","",IF(SUMPRODUCT(($C$12:$C$1511=C1453)*1)&gt;1,1,0))</f>
        <v/>
      </c>
      <c r="J1453" s="6">
        <f>IF(C1453="","",SUMPRODUCT((Mapping!$F$5:$F$504=Setup!$B$4&amp;"||"&amp;C1453)*ROW(Mapping!$F$5:$F$504)))</f>
        <v/>
      </c>
      <c r="K1453" s="6">
        <f>IF(C1453="","",IF(J1453=0,"UNMAPPED",LOWER(INDEX(Mapping!$D$1:$D$504,J1453))))</f>
        <v/>
      </c>
      <c r="L1453" s="6">
        <f>IF(K1453="mapped",TRIM(INDEX(Mapping!$C$1:$C$504,J1453)),"")</f>
        <v/>
      </c>
      <c r="M1453" s="6">
        <f>IF(C1453="","",IF(SUMPRODUCT(($C$12:C1453=C1453)*1)=1,1,0))</f>
        <v/>
      </c>
      <c r="N1453" s="6">
        <f>IF(AND(K1453="UNMAPPED",M1453=1),ROW(),"")</f>
        <v/>
      </c>
      <c r="O1453" s="6">
        <f>IF(AND(I1453=1,M1453=1),ROW(),"")</f>
        <v/>
      </c>
      <c r="P1453" s="6">
        <f>IF(AND(K1453="ignored",M1453=1),ROW(),"")</f>
        <v/>
      </c>
    </row>
    <row r="1454">
      <c r="A1454" s="8" t="n"/>
      <c r="B1454" s="8" t="n"/>
      <c r="C1454" s="6">
        <f>TRIM(A1454&amp;"")</f>
        <v/>
      </c>
      <c r="D1454" s="6">
        <f>IF(C1454="","",SUBSTITUTE(SUBSTITUTE(SUBSTITUTE(SUBSTITUTE(SUBSTITUTE(SUBSTITUTE(SUBSTITUTE(UPPER(TRIM(B1454&amp;"")),"₹",""),"RS.",""),"RS",""),"INR",""),"$",""),",","")," ",""))</f>
        <v/>
      </c>
      <c r="E1454" s="6">
        <f>IF(C1454="","",IF(RIGHT(D1454,2)="CR","Cr",IF(RIGHT(D1454,2)="DR","Dr","")))</f>
        <v/>
      </c>
      <c r="F1454" s="6">
        <f>IF(C1454="","",IF(E1454&lt;&gt;"",LEFT(D1454,LEN(D1454)-2),D1454))</f>
        <v/>
      </c>
      <c r="G1454" s="13">
        <f>IF(C1454="","",IF(OR(IF(AND(LEFT(F1454,1)="(",RIGHT(F1454,1)=")"),MID(F1454,2,LEN(F1454)-2),F1454)="",IF(AND(LEFT(F1454,1)="(",RIGHT(F1454,1)=")"),MID(F1454,2,LEN(F1454)-2),F1454)="-"),0,IFERROR(VALUE(IF(AND(LEFT(F1454,1)="(",RIGHT(F1454,1)=")"),MID(F1454,2,LEN(F1454)-2),F1454))*IF(AND(LEFT(F1454,1)="(",RIGHT(F1454,1)=")"),-1,1)*IF(E1454="Cr",Setup!$B$6,1),"ERR")))</f>
        <v/>
      </c>
      <c r="H1454" s="6">
        <f>IF(C1454="","",IF(ISNUMBER(G1454),1,0))</f>
        <v/>
      </c>
      <c r="I1454" s="6">
        <f>IF(C1454="","",IF(SUMPRODUCT(($C$12:$C$1511=C1454)*1)&gt;1,1,0))</f>
        <v/>
      </c>
      <c r="J1454" s="6">
        <f>IF(C1454="","",SUMPRODUCT((Mapping!$F$5:$F$504=Setup!$B$4&amp;"||"&amp;C1454)*ROW(Mapping!$F$5:$F$504)))</f>
        <v/>
      </c>
      <c r="K1454" s="6">
        <f>IF(C1454="","",IF(J1454=0,"UNMAPPED",LOWER(INDEX(Mapping!$D$1:$D$504,J1454))))</f>
        <v/>
      </c>
      <c r="L1454" s="6">
        <f>IF(K1454="mapped",TRIM(INDEX(Mapping!$C$1:$C$504,J1454)),"")</f>
        <v/>
      </c>
      <c r="M1454" s="6">
        <f>IF(C1454="","",IF(SUMPRODUCT(($C$12:C1454=C1454)*1)=1,1,0))</f>
        <v/>
      </c>
      <c r="N1454" s="6">
        <f>IF(AND(K1454="UNMAPPED",M1454=1),ROW(),"")</f>
        <v/>
      </c>
      <c r="O1454" s="6">
        <f>IF(AND(I1454=1,M1454=1),ROW(),"")</f>
        <v/>
      </c>
      <c r="P1454" s="6">
        <f>IF(AND(K1454="ignored",M1454=1),ROW(),"")</f>
        <v/>
      </c>
    </row>
    <row r="1455">
      <c r="A1455" s="8" t="n"/>
      <c r="B1455" s="8" t="n"/>
      <c r="C1455" s="6">
        <f>TRIM(A1455&amp;"")</f>
        <v/>
      </c>
      <c r="D1455" s="6">
        <f>IF(C1455="","",SUBSTITUTE(SUBSTITUTE(SUBSTITUTE(SUBSTITUTE(SUBSTITUTE(SUBSTITUTE(SUBSTITUTE(UPPER(TRIM(B1455&amp;"")),"₹",""),"RS.",""),"RS",""),"INR",""),"$",""),",","")," ",""))</f>
        <v/>
      </c>
      <c r="E1455" s="6">
        <f>IF(C1455="","",IF(RIGHT(D1455,2)="CR","Cr",IF(RIGHT(D1455,2)="DR","Dr","")))</f>
        <v/>
      </c>
      <c r="F1455" s="6">
        <f>IF(C1455="","",IF(E1455&lt;&gt;"",LEFT(D1455,LEN(D1455)-2),D1455))</f>
        <v/>
      </c>
      <c r="G1455" s="13">
        <f>IF(C1455="","",IF(OR(IF(AND(LEFT(F1455,1)="(",RIGHT(F1455,1)=")"),MID(F1455,2,LEN(F1455)-2),F1455)="",IF(AND(LEFT(F1455,1)="(",RIGHT(F1455,1)=")"),MID(F1455,2,LEN(F1455)-2),F1455)="-"),0,IFERROR(VALUE(IF(AND(LEFT(F1455,1)="(",RIGHT(F1455,1)=")"),MID(F1455,2,LEN(F1455)-2),F1455))*IF(AND(LEFT(F1455,1)="(",RIGHT(F1455,1)=")"),-1,1)*IF(E1455="Cr",Setup!$B$6,1),"ERR")))</f>
        <v/>
      </c>
      <c r="H1455" s="6">
        <f>IF(C1455="","",IF(ISNUMBER(G1455),1,0))</f>
        <v/>
      </c>
      <c r="I1455" s="6">
        <f>IF(C1455="","",IF(SUMPRODUCT(($C$12:$C$1511=C1455)*1)&gt;1,1,0))</f>
        <v/>
      </c>
      <c r="J1455" s="6">
        <f>IF(C1455="","",SUMPRODUCT((Mapping!$F$5:$F$504=Setup!$B$4&amp;"||"&amp;C1455)*ROW(Mapping!$F$5:$F$504)))</f>
        <v/>
      </c>
      <c r="K1455" s="6">
        <f>IF(C1455="","",IF(J1455=0,"UNMAPPED",LOWER(INDEX(Mapping!$D$1:$D$504,J1455))))</f>
        <v/>
      </c>
      <c r="L1455" s="6">
        <f>IF(K1455="mapped",TRIM(INDEX(Mapping!$C$1:$C$504,J1455)),"")</f>
        <v/>
      </c>
      <c r="M1455" s="6">
        <f>IF(C1455="","",IF(SUMPRODUCT(($C$12:C1455=C1455)*1)=1,1,0))</f>
        <v/>
      </c>
      <c r="N1455" s="6">
        <f>IF(AND(K1455="UNMAPPED",M1455=1),ROW(),"")</f>
        <v/>
      </c>
      <c r="O1455" s="6">
        <f>IF(AND(I1455=1,M1455=1),ROW(),"")</f>
        <v/>
      </c>
      <c r="P1455" s="6">
        <f>IF(AND(K1455="ignored",M1455=1),ROW(),"")</f>
        <v/>
      </c>
    </row>
    <row r="1456">
      <c r="A1456" s="8" t="n"/>
      <c r="B1456" s="8" t="n"/>
      <c r="C1456" s="6">
        <f>TRIM(A1456&amp;"")</f>
        <v/>
      </c>
      <c r="D1456" s="6">
        <f>IF(C1456="","",SUBSTITUTE(SUBSTITUTE(SUBSTITUTE(SUBSTITUTE(SUBSTITUTE(SUBSTITUTE(SUBSTITUTE(UPPER(TRIM(B1456&amp;"")),"₹",""),"RS.",""),"RS",""),"INR",""),"$",""),",","")," ",""))</f>
        <v/>
      </c>
      <c r="E1456" s="6">
        <f>IF(C1456="","",IF(RIGHT(D1456,2)="CR","Cr",IF(RIGHT(D1456,2)="DR","Dr","")))</f>
        <v/>
      </c>
      <c r="F1456" s="6">
        <f>IF(C1456="","",IF(E1456&lt;&gt;"",LEFT(D1456,LEN(D1456)-2),D1456))</f>
        <v/>
      </c>
      <c r="G1456" s="13">
        <f>IF(C1456="","",IF(OR(IF(AND(LEFT(F1456,1)="(",RIGHT(F1456,1)=")"),MID(F1456,2,LEN(F1456)-2),F1456)="",IF(AND(LEFT(F1456,1)="(",RIGHT(F1456,1)=")"),MID(F1456,2,LEN(F1456)-2),F1456)="-"),0,IFERROR(VALUE(IF(AND(LEFT(F1456,1)="(",RIGHT(F1456,1)=")"),MID(F1456,2,LEN(F1456)-2),F1456))*IF(AND(LEFT(F1456,1)="(",RIGHT(F1456,1)=")"),-1,1)*IF(E1456="Cr",Setup!$B$6,1),"ERR")))</f>
        <v/>
      </c>
      <c r="H1456" s="6">
        <f>IF(C1456="","",IF(ISNUMBER(G1456),1,0))</f>
        <v/>
      </c>
      <c r="I1456" s="6">
        <f>IF(C1456="","",IF(SUMPRODUCT(($C$12:$C$1511=C1456)*1)&gt;1,1,0))</f>
        <v/>
      </c>
      <c r="J1456" s="6">
        <f>IF(C1456="","",SUMPRODUCT((Mapping!$F$5:$F$504=Setup!$B$4&amp;"||"&amp;C1456)*ROW(Mapping!$F$5:$F$504)))</f>
        <v/>
      </c>
      <c r="K1456" s="6">
        <f>IF(C1456="","",IF(J1456=0,"UNMAPPED",LOWER(INDEX(Mapping!$D$1:$D$504,J1456))))</f>
        <v/>
      </c>
      <c r="L1456" s="6">
        <f>IF(K1456="mapped",TRIM(INDEX(Mapping!$C$1:$C$504,J1456)),"")</f>
        <v/>
      </c>
      <c r="M1456" s="6">
        <f>IF(C1456="","",IF(SUMPRODUCT(($C$12:C1456=C1456)*1)=1,1,0))</f>
        <v/>
      </c>
      <c r="N1456" s="6">
        <f>IF(AND(K1456="UNMAPPED",M1456=1),ROW(),"")</f>
        <v/>
      </c>
      <c r="O1456" s="6">
        <f>IF(AND(I1456=1,M1456=1),ROW(),"")</f>
        <v/>
      </c>
      <c r="P1456" s="6">
        <f>IF(AND(K1456="ignored",M1456=1),ROW(),"")</f>
        <v/>
      </c>
    </row>
    <row r="1457">
      <c r="A1457" s="8" t="n"/>
      <c r="B1457" s="8" t="n"/>
      <c r="C1457" s="6">
        <f>TRIM(A1457&amp;"")</f>
        <v/>
      </c>
      <c r="D1457" s="6">
        <f>IF(C1457="","",SUBSTITUTE(SUBSTITUTE(SUBSTITUTE(SUBSTITUTE(SUBSTITUTE(SUBSTITUTE(SUBSTITUTE(UPPER(TRIM(B1457&amp;"")),"₹",""),"RS.",""),"RS",""),"INR",""),"$",""),",","")," ",""))</f>
        <v/>
      </c>
      <c r="E1457" s="6">
        <f>IF(C1457="","",IF(RIGHT(D1457,2)="CR","Cr",IF(RIGHT(D1457,2)="DR","Dr","")))</f>
        <v/>
      </c>
      <c r="F1457" s="6">
        <f>IF(C1457="","",IF(E1457&lt;&gt;"",LEFT(D1457,LEN(D1457)-2),D1457))</f>
        <v/>
      </c>
      <c r="G1457" s="13">
        <f>IF(C1457="","",IF(OR(IF(AND(LEFT(F1457,1)="(",RIGHT(F1457,1)=")"),MID(F1457,2,LEN(F1457)-2),F1457)="",IF(AND(LEFT(F1457,1)="(",RIGHT(F1457,1)=")"),MID(F1457,2,LEN(F1457)-2),F1457)="-"),0,IFERROR(VALUE(IF(AND(LEFT(F1457,1)="(",RIGHT(F1457,1)=")"),MID(F1457,2,LEN(F1457)-2),F1457))*IF(AND(LEFT(F1457,1)="(",RIGHT(F1457,1)=")"),-1,1)*IF(E1457="Cr",Setup!$B$6,1),"ERR")))</f>
        <v/>
      </c>
      <c r="H1457" s="6">
        <f>IF(C1457="","",IF(ISNUMBER(G1457),1,0))</f>
        <v/>
      </c>
      <c r="I1457" s="6">
        <f>IF(C1457="","",IF(SUMPRODUCT(($C$12:$C$1511=C1457)*1)&gt;1,1,0))</f>
        <v/>
      </c>
      <c r="J1457" s="6">
        <f>IF(C1457="","",SUMPRODUCT((Mapping!$F$5:$F$504=Setup!$B$4&amp;"||"&amp;C1457)*ROW(Mapping!$F$5:$F$504)))</f>
        <v/>
      </c>
      <c r="K1457" s="6">
        <f>IF(C1457="","",IF(J1457=0,"UNMAPPED",LOWER(INDEX(Mapping!$D$1:$D$504,J1457))))</f>
        <v/>
      </c>
      <c r="L1457" s="6">
        <f>IF(K1457="mapped",TRIM(INDEX(Mapping!$C$1:$C$504,J1457)),"")</f>
        <v/>
      </c>
      <c r="M1457" s="6">
        <f>IF(C1457="","",IF(SUMPRODUCT(($C$12:C1457=C1457)*1)=1,1,0))</f>
        <v/>
      </c>
      <c r="N1457" s="6">
        <f>IF(AND(K1457="UNMAPPED",M1457=1),ROW(),"")</f>
        <v/>
      </c>
      <c r="O1457" s="6">
        <f>IF(AND(I1457=1,M1457=1),ROW(),"")</f>
        <v/>
      </c>
      <c r="P1457" s="6">
        <f>IF(AND(K1457="ignored",M1457=1),ROW(),"")</f>
        <v/>
      </c>
    </row>
    <row r="1458">
      <c r="A1458" s="8" t="n"/>
      <c r="B1458" s="8" t="n"/>
      <c r="C1458" s="6">
        <f>TRIM(A1458&amp;"")</f>
        <v/>
      </c>
      <c r="D1458" s="6">
        <f>IF(C1458="","",SUBSTITUTE(SUBSTITUTE(SUBSTITUTE(SUBSTITUTE(SUBSTITUTE(SUBSTITUTE(SUBSTITUTE(UPPER(TRIM(B1458&amp;"")),"₹",""),"RS.",""),"RS",""),"INR",""),"$",""),",","")," ",""))</f>
        <v/>
      </c>
      <c r="E1458" s="6">
        <f>IF(C1458="","",IF(RIGHT(D1458,2)="CR","Cr",IF(RIGHT(D1458,2)="DR","Dr","")))</f>
        <v/>
      </c>
      <c r="F1458" s="6">
        <f>IF(C1458="","",IF(E1458&lt;&gt;"",LEFT(D1458,LEN(D1458)-2),D1458))</f>
        <v/>
      </c>
      <c r="G1458" s="13">
        <f>IF(C1458="","",IF(OR(IF(AND(LEFT(F1458,1)="(",RIGHT(F1458,1)=")"),MID(F1458,2,LEN(F1458)-2),F1458)="",IF(AND(LEFT(F1458,1)="(",RIGHT(F1458,1)=")"),MID(F1458,2,LEN(F1458)-2),F1458)="-"),0,IFERROR(VALUE(IF(AND(LEFT(F1458,1)="(",RIGHT(F1458,1)=")"),MID(F1458,2,LEN(F1458)-2),F1458))*IF(AND(LEFT(F1458,1)="(",RIGHT(F1458,1)=")"),-1,1)*IF(E1458="Cr",Setup!$B$6,1),"ERR")))</f>
        <v/>
      </c>
      <c r="H1458" s="6">
        <f>IF(C1458="","",IF(ISNUMBER(G1458),1,0))</f>
        <v/>
      </c>
      <c r="I1458" s="6">
        <f>IF(C1458="","",IF(SUMPRODUCT(($C$12:$C$1511=C1458)*1)&gt;1,1,0))</f>
        <v/>
      </c>
      <c r="J1458" s="6">
        <f>IF(C1458="","",SUMPRODUCT((Mapping!$F$5:$F$504=Setup!$B$4&amp;"||"&amp;C1458)*ROW(Mapping!$F$5:$F$504)))</f>
        <v/>
      </c>
      <c r="K1458" s="6">
        <f>IF(C1458="","",IF(J1458=0,"UNMAPPED",LOWER(INDEX(Mapping!$D$1:$D$504,J1458))))</f>
        <v/>
      </c>
      <c r="L1458" s="6">
        <f>IF(K1458="mapped",TRIM(INDEX(Mapping!$C$1:$C$504,J1458)),"")</f>
        <v/>
      </c>
      <c r="M1458" s="6">
        <f>IF(C1458="","",IF(SUMPRODUCT(($C$12:C1458=C1458)*1)=1,1,0))</f>
        <v/>
      </c>
      <c r="N1458" s="6">
        <f>IF(AND(K1458="UNMAPPED",M1458=1),ROW(),"")</f>
        <v/>
      </c>
      <c r="O1458" s="6">
        <f>IF(AND(I1458=1,M1458=1),ROW(),"")</f>
        <v/>
      </c>
      <c r="P1458" s="6">
        <f>IF(AND(K1458="ignored",M1458=1),ROW(),"")</f>
        <v/>
      </c>
    </row>
    <row r="1459">
      <c r="A1459" s="8" t="n"/>
      <c r="B1459" s="8" t="n"/>
      <c r="C1459" s="6">
        <f>TRIM(A1459&amp;"")</f>
        <v/>
      </c>
      <c r="D1459" s="6">
        <f>IF(C1459="","",SUBSTITUTE(SUBSTITUTE(SUBSTITUTE(SUBSTITUTE(SUBSTITUTE(SUBSTITUTE(SUBSTITUTE(UPPER(TRIM(B1459&amp;"")),"₹",""),"RS.",""),"RS",""),"INR",""),"$",""),",","")," ",""))</f>
        <v/>
      </c>
      <c r="E1459" s="6">
        <f>IF(C1459="","",IF(RIGHT(D1459,2)="CR","Cr",IF(RIGHT(D1459,2)="DR","Dr","")))</f>
        <v/>
      </c>
      <c r="F1459" s="6">
        <f>IF(C1459="","",IF(E1459&lt;&gt;"",LEFT(D1459,LEN(D1459)-2),D1459))</f>
        <v/>
      </c>
      <c r="G1459" s="13">
        <f>IF(C1459="","",IF(OR(IF(AND(LEFT(F1459,1)="(",RIGHT(F1459,1)=")"),MID(F1459,2,LEN(F1459)-2),F1459)="",IF(AND(LEFT(F1459,1)="(",RIGHT(F1459,1)=")"),MID(F1459,2,LEN(F1459)-2),F1459)="-"),0,IFERROR(VALUE(IF(AND(LEFT(F1459,1)="(",RIGHT(F1459,1)=")"),MID(F1459,2,LEN(F1459)-2),F1459))*IF(AND(LEFT(F1459,1)="(",RIGHT(F1459,1)=")"),-1,1)*IF(E1459="Cr",Setup!$B$6,1),"ERR")))</f>
        <v/>
      </c>
      <c r="H1459" s="6">
        <f>IF(C1459="","",IF(ISNUMBER(G1459),1,0))</f>
        <v/>
      </c>
      <c r="I1459" s="6">
        <f>IF(C1459="","",IF(SUMPRODUCT(($C$12:$C$1511=C1459)*1)&gt;1,1,0))</f>
        <v/>
      </c>
      <c r="J1459" s="6">
        <f>IF(C1459="","",SUMPRODUCT((Mapping!$F$5:$F$504=Setup!$B$4&amp;"||"&amp;C1459)*ROW(Mapping!$F$5:$F$504)))</f>
        <v/>
      </c>
      <c r="K1459" s="6">
        <f>IF(C1459="","",IF(J1459=0,"UNMAPPED",LOWER(INDEX(Mapping!$D$1:$D$504,J1459))))</f>
        <v/>
      </c>
      <c r="L1459" s="6">
        <f>IF(K1459="mapped",TRIM(INDEX(Mapping!$C$1:$C$504,J1459)),"")</f>
        <v/>
      </c>
      <c r="M1459" s="6">
        <f>IF(C1459="","",IF(SUMPRODUCT(($C$12:C1459=C1459)*1)=1,1,0))</f>
        <v/>
      </c>
      <c r="N1459" s="6">
        <f>IF(AND(K1459="UNMAPPED",M1459=1),ROW(),"")</f>
        <v/>
      </c>
      <c r="O1459" s="6">
        <f>IF(AND(I1459=1,M1459=1),ROW(),"")</f>
        <v/>
      </c>
      <c r="P1459" s="6">
        <f>IF(AND(K1459="ignored",M1459=1),ROW(),"")</f>
        <v/>
      </c>
    </row>
    <row r="1460">
      <c r="A1460" s="8" t="n"/>
      <c r="B1460" s="8" t="n"/>
      <c r="C1460" s="6">
        <f>TRIM(A1460&amp;"")</f>
        <v/>
      </c>
      <c r="D1460" s="6">
        <f>IF(C1460="","",SUBSTITUTE(SUBSTITUTE(SUBSTITUTE(SUBSTITUTE(SUBSTITUTE(SUBSTITUTE(SUBSTITUTE(UPPER(TRIM(B1460&amp;"")),"₹",""),"RS.",""),"RS",""),"INR",""),"$",""),",","")," ",""))</f>
        <v/>
      </c>
      <c r="E1460" s="6">
        <f>IF(C1460="","",IF(RIGHT(D1460,2)="CR","Cr",IF(RIGHT(D1460,2)="DR","Dr","")))</f>
        <v/>
      </c>
      <c r="F1460" s="6">
        <f>IF(C1460="","",IF(E1460&lt;&gt;"",LEFT(D1460,LEN(D1460)-2),D1460))</f>
        <v/>
      </c>
      <c r="G1460" s="13">
        <f>IF(C1460="","",IF(OR(IF(AND(LEFT(F1460,1)="(",RIGHT(F1460,1)=")"),MID(F1460,2,LEN(F1460)-2),F1460)="",IF(AND(LEFT(F1460,1)="(",RIGHT(F1460,1)=")"),MID(F1460,2,LEN(F1460)-2),F1460)="-"),0,IFERROR(VALUE(IF(AND(LEFT(F1460,1)="(",RIGHT(F1460,1)=")"),MID(F1460,2,LEN(F1460)-2),F1460))*IF(AND(LEFT(F1460,1)="(",RIGHT(F1460,1)=")"),-1,1)*IF(E1460="Cr",Setup!$B$6,1),"ERR")))</f>
        <v/>
      </c>
      <c r="H1460" s="6">
        <f>IF(C1460="","",IF(ISNUMBER(G1460),1,0))</f>
        <v/>
      </c>
      <c r="I1460" s="6">
        <f>IF(C1460="","",IF(SUMPRODUCT(($C$12:$C$1511=C1460)*1)&gt;1,1,0))</f>
        <v/>
      </c>
      <c r="J1460" s="6">
        <f>IF(C1460="","",SUMPRODUCT((Mapping!$F$5:$F$504=Setup!$B$4&amp;"||"&amp;C1460)*ROW(Mapping!$F$5:$F$504)))</f>
        <v/>
      </c>
      <c r="K1460" s="6">
        <f>IF(C1460="","",IF(J1460=0,"UNMAPPED",LOWER(INDEX(Mapping!$D$1:$D$504,J1460))))</f>
        <v/>
      </c>
      <c r="L1460" s="6">
        <f>IF(K1460="mapped",TRIM(INDEX(Mapping!$C$1:$C$504,J1460)),"")</f>
        <v/>
      </c>
      <c r="M1460" s="6">
        <f>IF(C1460="","",IF(SUMPRODUCT(($C$12:C1460=C1460)*1)=1,1,0))</f>
        <v/>
      </c>
      <c r="N1460" s="6">
        <f>IF(AND(K1460="UNMAPPED",M1460=1),ROW(),"")</f>
        <v/>
      </c>
      <c r="O1460" s="6">
        <f>IF(AND(I1460=1,M1460=1),ROW(),"")</f>
        <v/>
      </c>
      <c r="P1460" s="6">
        <f>IF(AND(K1460="ignored",M1460=1),ROW(),"")</f>
        <v/>
      </c>
    </row>
    <row r="1461">
      <c r="A1461" s="8" t="n"/>
      <c r="B1461" s="8" t="n"/>
      <c r="C1461" s="6">
        <f>TRIM(A1461&amp;"")</f>
        <v/>
      </c>
      <c r="D1461" s="6">
        <f>IF(C1461="","",SUBSTITUTE(SUBSTITUTE(SUBSTITUTE(SUBSTITUTE(SUBSTITUTE(SUBSTITUTE(SUBSTITUTE(UPPER(TRIM(B1461&amp;"")),"₹",""),"RS.",""),"RS",""),"INR",""),"$",""),",","")," ",""))</f>
        <v/>
      </c>
      <c r="E1461" s="6">
        <f>IF(C1461="","",IF(RIGHT(D1461,2)="CR","Cr",IF(RIGHT(D1461,2)="DR","Dr","")))</f>
        <v/>
      </c>
      <c r="F1461" s="6">
        <f>IF(C1461="","",IF(E1461&lt;&gt;"",LEFT(D1461,LEN(D1461)-2),D1461))</f>
        <v/>
      </c>
      <c r="G1461" s="13">
        <f>IF(C1461="","",IF(OR(IF(AND(LEFT(F1461,1)="(",RIGHT(F1461,1)=")"),MID(F1461,2,LEN(F1461)-2),F1461)="",IF(AND(LEFT(F1461,1)="(",RIGHT(F1461,1)=")"),MID(F1461,2,LEN(F1461)-2),F1461)="-"),0,IFERROR(VALUE(IF(AND(LEFT(F1461,1)="(",RIGHT(F1461,1)=")"),MID(F1461,2,LEN(F1461)-2),F1461))*IF(AND(LEFT(F1461,1)="(",RIGHT(F1461,1)=")"),-1,1)*IF(E1461="Cr",Setup!$B$6,1),"ERR")))</f>
        <v/>
      </c>
      <c r="H1461" s="6">
        <f>IF(C1461="","",IF(ISNUMBER(G1461),1,0))</f>
        <v/>
      </c>
      <c r="I1461" s="6">
        <f>IF(C1461="","",IF(SUMPRODUCT(($C$12:$C$1511=C1461)*1)&gt;1,1,0))</f>
        <v/>
      </c>
      <c r="J1461" s="6">
        <f>IF(C1461="","",SUMPRODUCT((Mapping!$F$5:$F$504=Setup!$B$4&amp;"||"&amp;C1461)*ROW(Mapping!$F$5:$F$504)))</f>
        <v/>
      </c>
      <c r="K1461" s="6">
        <f>IF(C1461="","",IF(J1461=0,"UNMAPPED",LOWER(INDEX(Mapping!$D$1:$D$504,J1461))))</f>
        <v/>
      </c>
      <c r="L1461" s="6">
        <f>IF(K1461="mapped",TRIM(INDEX(Mapping!$C$1:$C$504,J1461)),"")</f>
        <v/>
      </c>
      <c r="M1461" s="6">
        <f>IF(C1461="","",IF(SUMPRODUCT(($C$12:C1461=C1461)*1)=1,1,0))</f>
        <v/>
      </c>
      <c r="N1461" s="6">
        <f>IF(AND(K1461="UNMAPPED",M1461=1),ROW(),"")</f>
        <v/>
      </c>
      <c r="O1461" s="6">
        <f>IF(AND(I1461=1,M1461=1),ROW(),"")</f>
        <v/>
      </c>
      <c r="P1461" s="6">
        <f>IF(AND(K1461="ignored",M1461=1),ROW(),"")</f>
        <v/>
      </c>
    </row>
    <row r="1462">
      <c r="A1462" s="8" t="n"/>
      <c r="B1462" s="8" t="n"/>
      <c r="C1462" s="6">
        <f>TRIM(A1462&amp;"")</f>
        <v/>
      </c>
      <c r="D1462" s="6">
        <f>IF(C1462="","",SUBSTITUTE(SUBSTITUTE(SUBSTITUTE(SUBSTITUTE(SUBSTITUTE(SUBSTITUTE(SUBSTITUTE(UPPER(TRIM(B1462&amp;"")),"₹",""),"RS.",""),"RS",""),"INR",""),"$",""),",","")," ",""))</f>
        <v/>
      </c>
      <c r="E1462" s="6">
        <f>IF(C1462="","",IF(RIGHT(D1462,2)="CR","Cr",IF(RIGHT(D1462,2)="DR","Dr","")))</f>
        <v/>
      </c>
      <c r="F1462" s="6">
        <f>IF(C1462="","",IF(E1462&lt;&gt;"",LEFT(D1462,LEN(D1462)-2),D1462))</f>
        <v/>
      </c>
      <c r="G1462" s="13">
        <f>IF(C1462="","",IF(OR(IF(AND(LEFT(F1462,1)="(",RIGHT(F1462,1)=")"),MID(F1462,2,LEN(F1462)-2),F1462)="",IF(AND(LEFT(F1462,1)="(",RIGHT(F1462,1)=")"),MID(F1462,2,LEN(F1462)-2),F1462)="-"),0,IFERROR(VALUE(IF(AND(LEFT(F1462,1)="(",RIGHT(F1462,1)=")"),MID(F1462,2,LEN(F1462)-2),F1462))*IF(AND(LEFT(F1462,1)="(",RIGHT(F1462,1)=")"),-1,1)*IF(E1462="Cr",Setup!$B$6,1),"ERR")))</f>
        <v/>
      </c>
      <c r="H1462" s="6">
        <f>IF(C1462="","",IF(ISNUMBER(G1462),1,0))</f>
        <v/>
      </c>
      <c r="I1462" s="6">
        <f>IF(C1462="","",IF(SUMPRODUCT(($C$12:$C$1511=C1462)*1)&gt;1,1,0))</f>
        <v/>
      </c>
      <c r="J1462" s="6">
        <f>IF(C1462="","",SUMPRODUCT((Mapping!$F$5:$F$504=Setup!$B$4&amp;"||"&amp;C1462)*ROW(Mapping!$F$5:$F$504)))</f>
        <v/>
      </c>
      <c r="K1462" s="6">
        <f>IF(C1462="","",IF(J1462=0,"UNMAPPED",LOWER(INDEX(Mapping!$D$1:$D$504,J1462))))</f>
        <v/>
      </c>
      <c r="L1462" s="6">
        <f>IF(K1462="mapped",TRIM(INDEX(Mapping!$C$1:$C$504,J1462)),"")</f>
        <v/>
      </c>
      <c r="M1462" s="6">
        <f>IF(C1462="","",IF(SUMPRODUCT(($C$12:C1462=C1462)*1)=1,1,0))</f>
        <v/>
      </c>
      <c r="N1462" s="6">
        <f>IF(AND(K1462="UNMAPPED",M1462=1),ROW(),"")</f>
        <v/>
      </c>
      <c r="O1462" s="6">
        <f>IF(AND(I1462=1,M1462=1),ROW(),"")</f>
        <v/>
      </c>
      <c r="P1462" s="6">
        <f>IF(AND(K1462="ignored",M1462=1),ROW(),"")</f>
        <v/>
      </c>
    </row>
    <row r="1463">
      <c r="A1463" s="8" t="n"/>
      <c r="B1463" s="8" t="n"/>
      <c r="C1463" s="6">
        <f>TRIM(A1463&amp;"")</f>
        <v/>
      </c>
      <c r="D1463" s="6">
        <f>IF(C1463="","",SUBSTITUTE(SUBSTITUTE(SUBSTITUTE(SUBSTITUTE(SUBSTITUTE(SUBSTITUTE(SUBSTITUTE(UPPER(TRIM(B1463&amp;"")),"₹",""),"RS.",""),"RS",""),"INR",""),"$",""),",","")," ",""))</f>
        <v/>
      </c>
      <c r="E1463" s="6">
        <f>IF(C1463="","",IF(RIGHT(D1463,2)="CR","Cr",IF(RIGHT(D1463,2)="DR","Dr","")))</f>
        <v/>
      </c>
      <c r="F1463" s="6">
        <f>IF(C1463="","",IF(E1463&lt;&gt;"",LEFT(D1463,LEN(D1463)-2),D1463))</f>
        <v/>
      </c>
      <c r="G1463" s="13">
        <f>IF(C1463="","",IF(OR(IF(AND(LEFT(F1463,1)="(",RIGHT(F1463,1)=")"),MID(F1463,2,LEN(F1463)-2),F1463)="",IF(AND(LEFT(F1463,1)="(",RIGHT(F1463,1)=")"),MID(F1463,2,LEN(F1463)-2),F1463)="-"),0,IFERROR(VALUE(IF(AND(LEFT(F1463,1)="(",RIGHT(F1463,1)=")"),MID(F1463,2,LEN(F1463)-2),F1463))*IF(AND(LEFT(F1463,1)="(",RIGHT(F1463,1)=")"),-1,1)*IF(E1463="Cr",Setup!$B$6,1),"ERR")))</f>
        <v/>
      </c>
      <c r="H1463" s="6">
        <f>IF(C1463="","",IF(ISNUMBER(G1463),1,0))</f>
        <v/>
      </c>
      <c r="I1463" s="6">
        <f>IF(C1463="","",IF(SUMPRODUCT(($C$12:$C$1511=C1463)*1)&gt;1,1,0))</f>
        <v/>
      </c>
      <c r="J1463" s="6">
        <f>IF(C1463="","",SUMPRODUCT((Mapping!$F$5:$F$504=Setup!$B$4&amp;"||"&amp;C1463)*ROW(Mapping!$F$5:$F$504)))</f>
        <v/>
      </c>
      <c r="K1463" s="6">
        <f>IF(C1463="","",IF(J1463=0,"UNMAPPED",LOWER(INDEX(Mapping!$D$1:$D$504,J1463))))</f>
        <v/>
      </c>
      <c r="L1463" s="6">
        <f>IF(K1463="mapped",TRIM(INDEX(Mapping!$C$1:$C$504,J1463)),"")</f>
        <v/>
      </c>
      <c r="M1463" s="6">
        <f>IF(C1463="","",IF(SUMPRODUCT(($C$12:C1463=C1463)*1)=1,1,0))</f>
        <v/>
      </c>
      <c r="N1463" s="6">
        <f>IF(AND(K1463="UNMAPPED",M1463=1),ROW(),"")</f>
        <v/>
      </c>
      <c r="O1463" s="6">
        <f>IF(AND(I1463=1,M1463=1),ROW(),"")</f>
        <v/>
      </c>
      <c r="P1463" s="6">
        <f>IF(AND(K1463="ignored",M1463=1),ROW(),"")</f>
        <v/>
      </c>
    </row>
    <row r="1464">
      <c r="A1464" s="8" t="n"/>
      <c r="B1464" s="8" t="n"/>
      <c r="C1464" s="6">
        <f>TRIM(A1464&amp;"")</f>
        <v/>
      </c>
      <c r="D1464" s="6">
        <f>IF(C1464="","",SUBSTITUTE(SUBSTITUTE(SUBSTITUTE(SUBSTITUTE(SUBSTITUTE(SUBSTITUTE(SUBSTITUTE(UPPER(TRIM(B1464&amp;"")),"₹",""),"RS.",""),"RS",""),"INR",""),"$",""),",","")," ",""))</f>
        <v/>
      </c>
      <c r="E1464" s="6">
        <f>IF(C1464="","",IF(RIGHT(D1464,2)="CR","Cr",IF(RIGHT(D1464,2)="DR","Dr","")))</f>
        <v/>
      </c>
      <c r="F1464" s="6">
        <f>IF(C1464="","",IF(E1464&lt;&gt;"",LEFT(D1464,LEN(D1464)-2),D1464))</f>
        <v/>
      </c>
      <c r="G1464" s="13">
        <f>IF(C1464="","",IF(OR(IF(AND(LEFT(F1464,1)="(",RIGHT(F1464,1)=")"),MID(F1464,2,LEN(F1464)-2),F1464)="",IF(AND(LEFT(F1464,1)="(",RIGHT(F1464,1)=")"),MID(F1464,2,LEN(F1464)-2),F1464)="-"),0,IFERROR(VALUE(IF(AND(LEFT(F1464,1)="(",RIGHT(F1464,1)=")"),MID(F1464,2,LEN(F1464)-2),F1464))*IF(AND(LEFT(F1464,1)="(",RIGHT(F1464,1)=")"),-1,1)*IF(E1464="Cr",Setup!$B$6,1),"ERR")))</f>
        <v/>
      </c>
      <c r="H1464" s="6">
        <f>IF(C1464="","",IF(ISNUMBER(G1464),1,0))</f>
        <v/>
      </c>
      <c r="I1464" s="6">
        <f>IF(C1464="","",IF(SUMPRODUCT(($C$12:$C$1511=C1464)*1)&gt;1,1,0))</f>
        <v/>
      </c>
      <c r="J1464" s="6">
        <f>IF(C1464="","",SUMPRODUCT((Mapping!$F$5:$F$504=Setup!$B$4&amp;"||"&amp;C1464)*ROW(Mapping!$F$5:$F$504)))</f>
        <v/>
      </c>
      <c r="K1464" s="6">
        <f>IF(C1464="","",IF(J1464=0,"UNMAPPED",LOWER(INDEX(Mapping!$D$1:$D$504,J1464))))</f>
        <v/>
      </c>
      <c r="L1464" s="6">
        <f>IF(K1464="mapped",TRIM(INDEX(Mapping!$C$1:$C$504,J1464)),"")</f>
        <v/>
      </c>
      <c r="M1464" s="6">
        <f>IF(C1464="","",IF(SUMPRODUCT(($C$12:C1464=C1464)*1)=1,1,0))</f>
        <v/>
      </c>
      <c r="N1464" s="6">
        <f>IF(AND(K1464="UNMAPPED",M1464=1),ROW(),"")</f>
        <v/>
      </c>
      <c r="O1464" s="6">
        <f>IF(AND(I1464=1,M1464=1),ROW(),"")</f>
        <v/>
      </c>
      <c r="P1464" s="6">
        <f>IF(AND(K1464="ignored",M1464=1),ROW(),"")</f>
        <v/>
      </c>
    </row>
    <row r="1465">
      <c r="A1465" s="8" t="n"/>
      <c r="B1465" s="8" t="n"/>
      <c r="C1465" s="6">
        <f>TRIM(A1465&amp;"")</f>
        <v/>
      </c>
      <c r="D1465" s="6">
        <f>IF(C1465="","",SUBSTITUTE(SUBSTITUTE(SUBSTITUTE(SUBSTITUTE(SUBSTITUTE(SUBSTITUTE(SUBSTITUTE(UPPER(TRIM(B1465&amp;"")),"₹",""),"RS.",""),"RS",""),"INR",""),"$",""),",","")," ",""))</f>
        <v/>
      </c>
      <c r="E1465" s="6">
        <f>IF(C1465="","",IF(RIGHT(D1465,2)="CR","Cr",IF(RIGHT(D1465,2)="DR","Dr","")))</f>
        <v/>
      </c>
      <c r="F1465" s="6">
        <f>IF(C1465="","",IF(E1465&lt;&gt;"",LEFT(D1465,LEN(D1465)-2),D1465))</f>
        <v/>
      </c>
      <c r="G1465" s="13">
        <f>IF(C1465="","",IF(OR(IF(AND(LEFT(F1465,1)="(",RIGHT(F1465,1)=")"),MID(F1465,2,LEN(F1465)-2),F1465)="",IF(AND(LEFT(F1465,1)="(",RIGHT(F1465,1)=")"),MID(F1465,2,LEN(F1465)-2),F1465)="-"),0,IFERROR(VALUE(IF(AND(LEFT(F1465,1)="(",RIGHT(F1465,1)=")"),MID(F1465,2,LEN(F1465)-2),F1465))*IF(AND(LEFT(F1465,1)="(",RIGHT(F1465,1)=")"),-1,1)*IF(E1465="Cr",Setup!$B$6,1),"ERR")))</f>
        <v/>
      </c>
      <c r="H1465" s="6">
        <f>IF(C1465="","",IF(ISNUMBER(G1465),1,0))</f>
        <v/>
      </c>
      <c r="I1465" s="6">
        <f>IF(C1465="","",IF(SUMPRODUCT(($C$12:$C$1511=C1465)*1)&gt;1,1,0))</f>
        <v/>
      </c>
      <c r="J1465" s="6">
        <f>IF(C1465="","",SUMPRODUCT((Mapping!$F$5:$F$504=Setup!$B$4&amp;"||"&amp;C1465)*ROW(Mapping!$F$5:$F$504)))</f>
        <v/>
      </c>
      <c r="K1465" s="6">
        <f>IF(C1465="","",IF(J1465=0,"UNMAPPED",LOWER(INDEX(Mapping!$D$1:$D$504,J1465))))</f>
        <v/>
      </c>
      <c r="L1465" s="6">
        <f>IF(K1465="mapped",TRIM(INDEX(Mapping!$C$1:$C$504,J1465)),"")</f>
        <v/>
      </c>
      <c r="M1465" s="6">
        <f>IF(C1465="","",IF(SUMPRODUCT(($C$12:C1465=C1465)*1)=1,1,0))</f>
        <v/>
      </c>
      <c r="N1465" s="6">
        <f>IF(AND(K1465="UNMAPPED",M1465=1),ROW(),"")</f>
        <v/>
      </c>
      <c r="O1465" s="6">
        <f>IF(AND(I1465=1,M1465=1),ROW(),"")</f>
        <v/>
      </c>
      <c r="P1465" s="6">
        <f>IF(AND(K1465="ignored",M1465=1),ROW(),"")</f>
        <v/>
      </c>
    </row>
    <row r="1466">
      <c r="A1466" s="8" t="n"/>
      <c r="B1466" s="8" t="n"/>
      <c r="C1466" s="6">
        <f>TRIM(A1466&amp;"")</f>
        <v/>
      </c>
      <c r="D1466" s="6">
        <f>IF(C1466="","",SUBSTITUTE(SUBSTITUTE(SUBSTITUTE(SUBSTITUTE(SUBSTITUTE(SUBSTITUTE(SUBSTITUTE(UPPER(TRIM(B1466&amp;"")),"₹",""),"RS.",""),"RS",""),"INR",""),"$",""),",","")," ",""))</f>
        <v/>
      </c>
      <c r="E1466" s="6">
        <f>IF(C1466="","",IF(RIGHT(D1466,2)="CR","Cr",IF(RIGHT(D1466,2)="DR","Dr","")))</f>
        <v/>
      </c>
      <c r="F1466" s="6">
        <f>IF(C1466="","",IF(E1466&lt;&gt;"",LEFT(D1466,LEN(D1466)-2),D1466))</f>
        <v/>
      </c>
      <c r="G1466" s="13">
        <f>IF(C1466="","",IF(OR(IF(AND(LEFT(F1466,1)="(",RIGHT(F1466,1)=")"),MID(F1466,2,LEN(F1466)-2),F1466)="",IF(AND(LEFT(F1466,1)="(",RIGHT(F1466,1)=")"),MID(F1466,2,LEN(F1466)-2),F1466)="-"),0,IFERROR(VALUE(IF(AND(LEFT(F1466,1)="(",RIGHT(F1466,1)=")"),MID(F1466,2,LEN(F1466)-2),F1466))*IF(AND(LEFT(F1466,1)="(",RIGHT(F1466,1)=")"),-1,1)*IF(E1466="Cr",Setup!$B$6,1),"ERR")))</f>
        <v/>
      </c>
      <c r="H1466" s="6">
        <f>IF(C1466="","",IF(ISNUMBER(G1466),1,0))</f>
        <v/>
      </c>
      <c r="I1466" s="6">
        <f>IF(C1466="","",IF(SUMPRODUCT(($C$12:$C$1511=C1466)*1)&gt;1,1,0))</f>
        <v/>
      </c>
      <c r="J1466" s="6">
        <f>IF(C1466="","",SUMPRODUCT((Mapping!$F$5:$F$504=Setup!$B$4&amp;"||"&amp;C1466)*ROW(Mapping!$F$5:$F$504)))</f>
        <v/>
      </c>
      <c r="K1466" s="6">
        <f>IF(C1466="","",IF(J1466=0,"UNMAPPED",LOWER(INDEX(Mapping!$D$1:$D$504,J1466))))</f>
        <v/>
      </c>
      <c r="L1466" s="6">
        <f>IF(K1466="mapped",TRIM(INDEX(Mapping!$C$1:$C$504,J1466)),"")</f>
        <v/>
      </c>
      <c r="M1466" s="6">
        <f>IF(C1466="","",IF(SUMPRODUCT(($C$12:C1466=C1466)*1)=1,1,0))</f>
        <v/>
      </c>
      <c r="N1466" s="6">
        <f>IF(AND(K1466="UNMAPPED",M1466=1),ROW(),"")</f>
        <v/>
      </c>
      <c r="O1466" s="6">
        <f>IF(AND(I1466=1,M1466=1),ROW(),"")</f>
        <v/>
      </c>
      <c r="P1466" s="6">
        <f>IF(AND(K1466="ignored",M1466=1),ROW(),"")</f>
        <v/>
      </c>
    </row>
    <row r="1467">
      <c r="A1467" s="8" t="n"/>
      <c r="B1467" s="8" t="n"/>
      <c r="C1467" s="6">
        <f>TRIM(A1467&amp;"")</f>
        <v/>
      </c>
      <c r="D1467" s="6">
        <f>IF(C1467="","",SUBSTITUTE(SUBSTITUTE(SUBSTITUTE(SUBSTITUTE(SUBSTITUTE(SUBSTITUTE(SUBSTITUTE(UPPER(TRIM(B1467&amp;"")),"₹",""),"RS.",""),"RS",""),"INR",""),"$",""),",","")," ",""))</f>
        <v/>
      </c>
      <c r="E1467" s="6">
        <f>IF(C1467="","",IF(RIGHT(D1467,2)="CR","Cr",IF(RIGHT(D1467,2)="DR","Dr","")))</f>
        <v/>
      </c>
      <c r="F1467" s="6">
        <f>IF(C1467="","",IF(E1467&lt;&gt;"",LEFT(D1467,LEN(D1467)-2),D1467))</f>
        <v/>
      </c>
      <c r="G1467" s="13">
        <f>IF(C1467="","",IF(OR(IF(AND(LEFT(F1467,1)="(",RIGHT(F1467,1)=")"),MID(F1467,2,LEN(F1467)-2),F1467)="",IF(AND(LEFT(F1467,1)="(",RIGHT(F1467,1)=")"),MID(F1467,2,LEN(F1467)-2),F1467)="-"),0,IFERROR(VALUE(IF(AND(LEFT(F1467,1)="(",RIGHT(F1467,1)=")"),MID(F1467,2,LEN(F1467)-2),F1467))*IF(AND(LEFT(F1467,1)="(",RIGHT(F1467,1)=")"),-1,1)*IF(E1467="Cr",Setup!$B$6,1),"ERR")))</f>
        <v/>
      </c>
      <c r="H1467" s="6">
        <f>IF(C1467="","",IF(ISNUMBER(G1467),1,0))</f>
        <v/>
      </c>
      <c r="I1467" s="6">
        <f>IF(C1467="","",IF(SUMPRODUCT(($C$12:$C$1511=C1467)*1)&gt;1,1,0))</f>
        <v/>
      </c>
      <c r="J1467" s="6">
        <f>IF(C1467="","",SUMPRODUCT((Mapping!$F$5:$F$504=Setup!$B$4&amp;"||"&amp;C1467)*ROW(Mapping!$F$5:$F$504)))</f>
        <v/>
      </c>
      <c r="K1467" s="6">
        <f>IF(C1467="","",IF(J1467=0,"UNMAPPED",LOWER(INDEX(Mapping!$D$1:$D$504,J1467))))</f>
        <v/>
      </c>
      <c r="L1467" s="6">
        <f>IF(K1467="mapped",TRIM(INDEX(Mapping!$C$1:$C$504,J1467)),"")</f>
        <v/>
      </c>
      <c r="M1467" s="6">
        <f>IF(C1467="","",IF(SUMPRODUCT(($C$12:C1467=C1467)*1)=1,1,0))</f>
        <v/>
      </c>
      <c r="N1467" s="6">
        <f>IF(AND(K1467="UNMAPPED",M1467=1),ROW(),"")</f>
        <v/>
      </c>
      <c r="O1467" s="6">
        <f>IF(AND(I1467=1,M1467=1),ROW(),"")</f>
        <v/>
      </c>
      <c r="P1467" s="6">
        <f>IF(AND(K1467="ignored",M1467=1),ROW(),"")</f>
        <v/>
      </c>
    </row>
    <row r="1468">
      <c r="A1468" s="8" t="n"/>
      <c r="B1468" s="8" t="n"/>
      <c r="C1468" s="6">
        <f>TRIM(A1468&amp;"")</f>
        <v/>
      </c>
      <c r="D1468" s="6">
        <f>IF(C1468="","",SUBSTITUTE(SUBSTITUTE(SUBSTITUTE(SUBSTITUTE(SUBSTITUTE(SUBSTITUTE(SUBSTITUTE(UPPER(TRIM(B1468&amp;"")),"₹",""),"RS.",""),"RS",""),"INR",""),"$",""),",","")," ",""))</f>
        <v/>
      </c>
      <c r="E1468" s="6">
        <f>IF(C1468="","",IF(RIGHT(D1468,2)="CR","Cr",IF(RIGHT(D1468,2)="DR","Dr","")))</f>
        <v/>
      </c>
      <c r="F1468" s="6">
        <f>IF(C1468="","",IF(E1468&lt;&gt;"",LEFT(D1468,LEN(D1468)-2),D1468))</f>
        <v/>
      </c>
      <c r="G1468" s="13">
        <f>IF(C1468="","",IF(OR(IF(AND(LEFT(F1468,1)="(",RIGHT(F1468,1)=")"),MID(F1468,2,LEN(F1468)-2),F1468)="",IF(AND(LEFT(F1468,1)="(",RIGHT(F1468,1)=")"),MID(F1468,2,LEN(F1468)-2),F1468)="-"),0,IFERROR(VALUE(IF(AND(LEFT(F1468,1)="(",RIGHT(F1468,1)=")"),MID(F1468,2,LEN(F1468)-2),F1468))*IF(AND(LEFT(F1468,1)="(",RIGHT(F1468,1)=")"),-1,1)*IF(E1468="Cr",Setup!$B$6,1),"ERR")))</f>
        <v/>
      </c>
      <c r="H1468" s="6">
        <f>IF(C1468="","",IF(ISNUMBER(G1468),1,0))</f>
        <v/>
      </c>
      <c r="I1468" s="6">
        <f>IF(C1468="","",IF(SUMPRODUCT(($C$12:$C$1511=C1468)*1)&gt;1,1,0))</f>
        <v/>
      </c>
      <c r="J1468" s="6">
        <f>IF(C1468="","",SUMPRODUCT((Mapping!$F$5:$F$504=Setup!$B$4&amp;"||"&amp;C1468)*ROW(Mapping!$F$5:$F$504)))</f>
        <v/>
      </c>
      <c r="K1468" s="6">
        <f>IF(C1468="","",IF(J1468=0,"UNMAPPED",LOWER(INDEX(Mapping!$D$1:$D$504,J1468))))</f>
        <v/>
      </c>
      <c r="L1468" s="6">
        <f>IF(K1468="mapped",TRIM(INDEX(Mapping!$C$1:$C$504,J1468)),"")</f>
        <v/>
      </c>
      <c r="M1468" s="6">
        <f>IF(C1468="","",IF(SUMPRODUCT(($C$12:C1468=C1468)*1)=1,1,0))</f>
        <v/>
      </c>
      <c r="N1468" s="6">
        <f>IF(AND(K1468="UNMAPPED",M1468=1),ROW(),"")</f>
        <v/>
      </c>
      <c r="O1468" s="6">
        <f>IF(AND(I1468=1,M1468=1),ROW(),"")</f>
        <v/>
      </c>
      <c r="P1468" s="6">
        <f>IF(AND(K1468="ignored",M1468=1),ROW(),"")</f>
        <v/>
      </c>
    </row>
    <row r="1469">
      <c r="A1469" s="8" t="n"/>
      <c r="B1469" s="8" t="n"/>
      <c r="C1469" s="6">
        <f>TRIM(A1469&amp;"")</f>
        <v/>
      </c>
      <c r="D1469" s="6">
        <f>IF(C1469="","",SUBSTITUTE(SUBSTITUTE(SUBSTITUTE(SUBSTITUTE(SUBSTITUTE(SUBSTITUTE(SUBSTITUTE(UPPER(TRIM(B1469&amp;"")),"₹",""),"RS.",""),"RS",""),"INR",""),"$",""),",","")," ",""))</f>
        <v/>
      </c>
      <c r="E1469" s="6">
        <f>IF(C1469="","",IF(RIGHT(D1469,2)="CR","Cr",IF(RIGHT(D1469,2)="DR","Dr","")))</f>
        <v/>
      </c>
      <c r="F1469" s="6">
        <f>IF(C1469="","",IF(E1469&lt;&gt;"",LEFT(D1469,LEN(D1469)-2),D1469))</f>
        <v/>
      </c>
      <c r="G1469" s="13">
        <f>IF(C1469="","",IF(OR(IF(AND(LEFT(F1469,1)="(",RIGHT(F1469,1)=")"),MID(F1469,2,LEN(F1469)-2),F1469)="",IF(AND(LEFT(F1469,1)="(",RIGHT(F1469,1)=")"),MID(F1469,2,LEN(F1469)-2),F1469)="-"),0,IFERROR(VALUE(IF(AND(LEFT(F1469,1)="(",RIGHT(F1469,1)=")"),MID(F1469,2,LEN(F1469)-2),F1469))*IF(AND(LEFT(F1469,1)="(",RIGHT(F1469,1)=")"),-1,1)*IF(E1469="Cr",Setup!$B$6,1),"ERR")))</f>
        <v/>
      </c>
      <c r="H1469" s="6">
        <f>IF(C1469="","",IF(ISNUMBER(G1469),1,0))</f>
        <v/>
      </c>
      <c r="I1469" s="6">
        <f>IF(C1469="","",IF(SUMPRODUCT(($C$12:$C$1511=C1469)*1)&gt;1,1,0))</f>
        <v/>
      </c>
      <c r="J1469" s="6">
        <f>IF(C1469="","",SUMPRODUCT((Mapping!$F$5:$F$504=Setup!$B$4&amp;"||"&amp;C1469)*ROW(Mapping!$F$5:$F$504)))</f>
        <v/>
      </c>
      <c r="K1469" s="6">
        <f>IF(C1469="","",IF(J1469=0,"UNMAPPED",LOWER(INDEX(Mapping!$D$1:$D$504,J1469))))</f>
        <v/>
      </c>
      <c r="L1469" s="6">
        <f>IF(K1469="mapped",TRIM(INDEX(Mapping!$C$1:$C$504,J1469)),"")</f>
        <v/>
      </c>
      <c r="M1469" s="6">
        <f>IF(C1469="","",IF(SUMPRODUCT(($C$12:C1469=C1469)*1)=1,1,0))</f>
        <v/>
      </c>
      <c r="N1469" s="6">
        <f>IF(AND(K1469="UNMAPPED",M1469=1),ROW(),"")</f>
        <v/>
      </c>
      <c r="O1469" s="6">
        <f>IF(AND(I1469=1,M1469=1),ROW(),"")</f>
        <v/>
      </c>
      <c r="P1469" s="6">
        <f>IF(AND(K1469="ignored",M1469=1),ROW(),"")</f>
        <v/>
      </c>
    </row>
    <row r="1470">
      <c r="A1470" s="8" t="n"/>
      <c r="B1470" s="8" t="n"/>
      <c r="C1470" s="6">
        <f>TRIM(A1470&amp;"")</f>
        <v/>
      </c>
      <c r="D1470" s="6">
        <f>IF(C1470="","",SUBSTITUTE(SUBSTITUTE(SUBSTITUTE(SUBSTITUTE(SUBSTITUTE(SUBSTITUTE(SUBSTITUTE(UPPER(TRIM(B1470&amp;"")),"₹",""),"RS.",""),"RS",""),"INR",""),"$",""),",","")," ",""))</f>
        <v/>
      </c>
      <c r="E1470" s="6">
        <f>IF(C1470="","",IF(RIGHT(D1470,2)="CR","Cr",IF(RIGHT(D1470,2)="DR","Dr","")))</f>
        <v/>
      </c>
      <c r="F1470" s="6">
        <f>IF(C1470="","",IF(E1470&lt;&gt;"",LEFT(D1470,LEN(D1470)-2),D1470))</f>
        <v/>
      </c>
      <c r="G1470" s="13">
        <f>IF(C1470="","",IF(OR(IF(AND(LEFT(F1470,1)="(",RIGHT(F1470,1)=")"),MID(F1470,2,LEN(F1470)-2),F1470)="",IF(AND(LEFT(F1470,1)="(",RIGHT(F1470,1)=")"),MID(F1470,2,LEN(F1470)-2),F1470)="-"),0,IFERROR(VALUE(IF(AND(LEFT(F1470,1)="(",RIGHT(F1470,1)=")"),MID(F1470,2,LEN(F1470)-2),F1470))*IF(AND(LEFT(F1470,1)="(",RIGHT(F1470,1)=")"),-1,1)*IF(E1470="Cr",Setup!$B$6,1),"ERR")))</f>
        <v/>
      </c>
      <c r="H1470" s="6">
        <f>IF(C1470="","",IF(ISNUMBER(G1470),1,0))</f>
        <v/>
      </c>
      <c r="I1470" s="6">
        <f>IF(C1470="","",IF(SUMPRODUCT(($C$12:$C$1511=C1470)*1)&gt;1,1,0))</f>
        <v/>
      </c>
      <c r="J1470" s="6">
        <f>IF(C1470="","",SUMPRODUCT((Mapping!$F$5:$F$504=Setup!$B$4&amp;"||"&amp;C1470)*ROW(Mapping!$F$5:$F$504)))</f>
        <v/>
      </c>
      <c r="K1470" s="6">
        <f>IF(C1470="","",IF(J1470=0,"UNMAPPED",LOWER(INDEX(Mapping!$D$1:$D$504,J1470))))</f>
        <v/>
      </c>
      <c r="L1470" s="6">
        <f>IF(K1470="mapped",TRIM(INDEX(Mapping!$C$1:$C$504,J1470)),"")</f>
        <v/>
      </c>
      <c r="M1470" s="6">
        <f>IF(C1470="","",IF(SUMPRODUCT(($C$12:C1470=C1470)*1)=1,1,0))</f>
        <v/>
      </c>
      <c r="N1470" s="6">
        <f>IF(AND(K1470="UNMAPPED",M1470=1),ROW(),"")</f>
        <v/>
      </c>
      <c r="O1470" s="6">
        <f>IF(AND(I1470=1,M1470=1),ROW(),"")</f>
        <v/>
      </c>
      <c r="P1470" s="6">
        <f>IF(AND(K1470="ignored",M1470=1),ROW(),"")</f>
        <v/>
      </c>
    </row>
    <row r="1471">
      <c r="A1471" s="8" t="n"/>
      <c r="B1471" s="8" t="n"/>
      <c r="C1471" s="6">
        <f>TRIM(A1471&amp;"")</f>
        <v/>
      </c>
      <c r="D1471" s="6">
        <f>IF(C1471="","",SUBSTITUTE(SUBSTITUTE(SUBSTITUTE(SUBSTITUTE(SUBSTITUTE(SUBSTITUTE(SUBSTITUTE(UPPER(TRIM(B1471&amp;"")),"₹",""),"RS.",""),"RS",""),"INR",""),"$",""),",","")," ",""))</f>
        <v/>
      </c>
      <c r="E1471" s="6">
        <f>IF(C1471="","",IF(RIGHT(D1471,2)="CR","Cr",IF(RIGHT(D1471,2)="DR","Dr","")))</f>
        <v/>
      </c>
      <c r="F1471" s="6">
        <f>IF(C1471="","",IF(E1471&lt;&gt;"",LEFT(D1471,LEN(D1471)-2),D1471))</f>
        <v/>
      </c>
      <c r="G1471" s="13">
        <f>IF(C1471="","",IF(OR(IF(AND(LEFT(F1471,1)="(",RIGHT(F1471,1)=")"),MID(F1471,2,LEN(F1471)-2),F1471)="",IF(AND(LEFT(F1471,1)="(",RIGHT(F1471,1)=")"),MID(F1471,2,LEN(F1471)-2),F1471)="-"),0,IFERROR(VALUE(IF(AND(LEFT(F1471,1)="(",RIGHT(F1471,1)=")"),MID(F1471,2,LEN(F1471)-2),F1471))*IF(AND(LEFT(F1471,1)="(",RIGHT(F1471,1)=")"),-1,1)*IF(E1471="Cr",Setup!$B$6,1),"ERR")))</f>
        <v/>
      </c>
      <c r="H1471" s="6">
        <f>IF(C1471="","",IF(ISNUMBER(G1471),1,0))</f>
        <v/>
      </c>
      <c r="I1471" s="6">
        <f>IF(C1471="","",IF(SUMPRODUCT(($C$12:$C$1511=C1471)*1)&gt;1,1,0))</f>
        <v/>
      </c>
      <c r="J1471" s="6">
        <f>IF(C1471="","",SUMPRODUCT((Mapping!$F$5:$F$504=Setup!$B$4&amp;"||"&amp;C1471)*ROW(Mapping!$F$5:$F$504)))</f>
        <v/>
      </c>
      <c r="K1471" s="6">
        <f>IF(C1471="","",IF(J1471=0,"UNMAPPED",LOWER(INDEX(Mapping!$D$1:$D$504,J1471))))</f>
        <v/>
      </c>
      <c r="L1471" s="6">
        <f>IF(K1471="mapped",TRIM(INDEX(Mapping!$C$1:$C$504,J1471)),"")</f>
        <v/>
      </c>
      <c r="M1471" s="6">
        <f>IF(C1471="","",IF(SUMPRODUCT(($C$12:C1471=C1471)*1)=1,1,0))</f>
        <v/>
      </c>
      <c r="N1471" s="6">
        <f>IF(AND(K1471="UNMAPPED",M1471=1),ROW(),"")</f>
        <v/>
      </c>
      <c r="O1471" s="6">
        <f>IF(AND(I1471=1,M1471=1),ROW(),"")</f>
        <v/>
      </c>
      <c r="P1471" s="6">
        <f>IF(AND(K1471="ignored",M1471=1),ROW(),"")</f>
        <v/>
      </c>
    </row>
    <row r="1472">
      <c r="A1472" s="8" t="n"/>
      <c r="B1472" s="8" t="n"/>
      <c r="C1472" s="6">
        <f>TRIM(A1472&amp;"")</f>
        <v/>
      </c>
      <c r="D1472" s="6">
        <f>IF(C1472="","",SUBSTITUTE(SUBSTITUTE(SUBSTITUTE(SUBSTITUTE(SUBSTITUTE(SUBSTITUTE(SUBSTITUTE(UPPER(TRIM(B1472&amp;"")),"₹",""),"RS.",""),"RS",""),"INR",""),"$",""),",","")," ",""))</f>
        <v/>
      </c>
      <c r="E1472" s="6">
        <f>IF(C1472="","",IF(RIGHT(D1472,2)="CR","Cr",IF(RIGHT(D1472,2)="DR","Dr","")))</f>
        <v/>
      </c>
      <c r="F1472" s="6">
        <f>IF(C1472="","",IF(E1472&lt;&gt;"",LEFT(D1472,LEN(D1472)-2),D1472))</f>
        <v/>
      </c>
      <c r="G1472" s="13">
        <f>IF(C1472="","",IF(OR(IF(AND(LEFT(F1472,1)="(",RIGHT(F1472,1)=")"),MID(F1472,2,LEN(F1472)-2),F1472)="",IF(AND(LEFT(F1472,1)="(",RIGHT(F1472,1)=")"),MID(F1472,2,LEN(F1472)-2),F1472)="-"),0,IFERROR(VALUE(IF(AND(LEFT(F1472,1)="(",RIGHT(F1472,1)=")"),MID(F1472,2,LEN(F1472)-2),F1472))*IF(AND(LEFT(F1472,1)="(",RIGHT(F1472,1)=")"),-1,1)*IF(E1472="Cr",Setup!$B$6,1),"ERR")))</f>
        <v/>
      </c>
      <c r="H1472" s="6">
        <f>IF(C1472="","",IF(ISNUMBER(G1472),1,0))</f>
        <v/>
      </c>
      <c r="I1472" s="6">
        <f>IF(C1472="","",IF(SUMPRODUCT(($C$12:$C$1511=C1472)*1)&gt;1,1,0))</f>
        <v/>
      </c>
      <c r="J1472" s="6">
        <f>IF(C1472="","",SUMPRODUCT((Mapping!$F$5:$F$504=Setup!$B$4&amp;"||"&amp;C1472)*ROW(Mapping!$F$5:$F$504)))</f>
        <v/>
      </c>
      <c r="K1472" s="6">
        <f>IF(C1472="","",IF(J1472=0,"UNMAPPED",LOWER(INDEX(Mapping!$D$1:$D$504,J1472))))</f>
        <v/>
      </c>
      <c r="L1472" s="6">
        <f>IF(K1472="mapped",TRIM(INDEX(Mapping!$C$1:$C$504,J1472)),"")</f>
        <v/>
      </c>
      <c r="M1472" s="6">
        <f>IF(C1472="","",IF(SUMPRODUCT(($C$12:C1472=C1472)*1)=1,1,0))</f>
        <v/>
      </c>
      <c r="N1472" s="6">
        <f>IF(AND(K1472="UNMAPPED",M1472=1),ROW(),"")</f>
        <v/>
      </c>
      <c r="O1472" s="6">
        <f>IF(AND(I1472=1,M1472=1),ROW(),"")</f>
        <v/>
      </c>
      <c r="P1472" s="6">
        <f>IF(AND(K1472="ignored",M1472=1),ROW(),"")</f>
        <v/>
      </c>
    </row>
    <row r="1473">
      <c r="A1473" s="8" t="n"/>
      <c r="B1473" s="8" t="n"/>
      <c r="C1473" s="6">
        <f>TRIM(A1473&amp;"")</f>
        <v/>
      </c>
      <c r="D1473" s="6">
        <f>IF(C1473="","",SUBSTITUTE(SUBSTITUTE(SUBSTITUTE(SUBSTITUTE(SUBSTITUTE(SUBSTITUTE(SUBSTITUTE(UPPER(TRIM(B1473&amp;"")),"₹",""),"RS.",""),"RS",""),"INR",""),"$",""),",","")," ",""))</f>
        <v/>
      </c>
      <c r="E1473" s="6">
        <f>IF(C1473="","",IF(RIGHT(D1473,2)="CR","Cr",IF(RIGHT(D1473,2)="DR","Dr","")))</f>
        <v/>
      </c>
      <c r="F1473" s="6">
        <f>IF(C1473="","",IF(E1473&lt;&gt;"",LEFT(D1473,LEN(D1473)-2),D1473))</f>
        <v/>
      </c>
      <c r="G1473" s="13">
        <f>IF(C1473="","",IF(OR(IF(AND(LEFT(F1473,1)="(",RIGHT(F1473,1)=")"),MID(F1473,2,LEN(F1473)-2),F1473)="",IF(AND(LEFT(F1473,1)="(",RIGHT(F1473,1)=")"),MID(F1473,2,LEN(F1473)-2),F1473)="-"),0,IFERROR(VALUE(IF(AND(LEFT(F1473,1)="(",RIGHT(F1473,1)=")"),MID(F1473,2,LEN(F1473)-2),F1473))*IF(AND(LEFT(F1473,1)="(",RIGHT(F1473,1)=")"),-1,1)*IF(E1473="Cr",Setup!$B$6,1),"ERR")))</f>
        <v/>
      </c>
      <c r="H1473" s="6">
        <f>IF(C1473="","",IF(ISNUMBER(G1473),1,0))</f>
        <v/>
      </c>
      <c r="I1473" s="6">
        <f>IF(C1473="","",IF(SUMPRODUCT(($C$12:$C$1511=C1473)*1)&gt;1,1,0))</f>
        <v/>
      </c>
      <c r="J1473" s="6">
        <f>IF(C1473="","",SUMPRODUCT((Mapping!$F$5:$F$504=Setup!$B$4&amp;"||"&amp;C1473)*ROW(Mapping!$F$5:$F$504)))</f>
        <v/>
      </c>
      <c r="K1473" s="6">
        <f>IF(C1473="","",IF(J1473=0,"UNMAPPED",LOWER(INDEX(Mapping!$D$1:$D$504,J1473))))</f>
        <v/>
      </c>
      <c r="L1473" s="6">
        <f>IF(K1473="mapped",TRIM(INDEX(Mapping!$C$1:$C$504,J1473)),"")</f>
        <v/>
      </c>
      <c r="M1473" s="6">
        <f>IF(C1473="","",IF(SUMPRODUCT(($C$12:C1473=C1473)*1)=1,1,0))</f>
        <v/>
      </c>
      <c r="N1473" s="6">
        <f>IF(AND(K1473="UNMAPPED",M1473=1),ROW(),"")</f>
        <v/>
      </c>
      <c r="O1473" s="6">
        <f>IF(AND(I1473=1,M1473=1),ROW(),"")</f>
        <v/>
      </c>
      <c r="P1473" s="6">
        <f>IF(AND(K1473="ignored",M1473=1),ROW(),"")</f>
        <v/>
      </c>
    </row>
    <row r="1474">
      <c r="A1474" s="8" t="n"/>
      <c r="B1474" s="8" t="n"/>
      <c r="C1474" s="6">
        <f>TRIM(A1474&amp;"")</f>
        <v/>
      </c>
      <c r="D1474" s="6">
        <f>IF(C1474="","",SUBSTITUTE(SUBSTITUTE(SUBSTITUTE(SUBSTITUTE(SUBSTITUTE(SUBSTITUTE(SUBSTITUTE(UPPER(TRIM(B1474&amp;"")),"₹",""),"RS.",""),"RS",""),"INR",""),"$",""),",","")," ",""))</f>
        <v/>
      </c>
      <c r="E1474" s="6">
        <f>IF(C1474="","",IF(RIGHT(D1474,2)="CR","Cr",IF(RIGHT(D1474,2)="DR","Dr","")))</f>
        <v/>
      </c>
      <c r="F1474" s="6">
        <f>IF(C1474="","",IF(E1474&lt;&gt;"",LEFT(D1474,LEN(D1474)-2),D1474))</f>
        <v/>
      </c>
      <c r="G1474" s="13">
        <f>IF(C1474="","",IF(OR(IF(AND(LEFT(F1474,1)="(",RIGHT(F1474,1)=")"),MID(F1474,2,LEN(F1474)-2),F1474)="",IF(AND(LEFT(F1474,1)="(",RIGHT(F1474,1)=")"),MID(F1474,2,LEN(F1474)-2),F1474)="-"),0,IFERROR(VALUE(IF(AND(LEFT(F1474,1)="(",RIGHT(F1474,1)=")"),MID(F1474,2,LEN(F1474)-2),F1474))*IF(AND(LEFT(F1474,1)="(",RIGHT(F1474,1)=")"),-1,1)*IF(E1474="Cr",Setup!$B$6,1),"ERR")))</f>
        <v/>
      </c>
      <c r="H1474" s="6">
        <f>IF(C1474="","",IF(ISNUMBER(G1474),1,0))</f>
        <v/>
      </c>
      <c r="I1474" s="6">
        <f>IF(C1474="","",IF(SUMPRODUCT(($C$12:$C$1511=C1474)*1)&gt;1,1,0))</f>
        <v/>
      </c>
      <c r="J1474" s="6">
        <f>IF(C1474="","",SUMPRODUCT((Mapping!$F$5:$F$504=Setup!$B$4&amp;"||"&amp;C1474)*ROW(Mapping!$F$5:$F$504)))</f>
        <v/>
      </c>
      <c r="K1474" s="6">
        <f>IF(C1474="","",IF(J1474=0,"UNMAPPED",LOWER(INDEX(Mapping!$D$1:$D$504,J1474))))</f>
        <v/>
      </c>
      <c r="L1474" s="6">
        <f>IF(K1474="mapped",TRIM(INDEX(Mapping!$C$1:$C$504,J1474)),"")</f>
        <v/>
      </c>
      <c r="M1474" s="6">
        <f>IF(C1474="","",IF(SUMPRODUCT(($C$12:C1474=C1474)*1)=1,1,0))</f>
        <v/>
      </c>
      <c r="N1474" s="6">
        <f>IF(AND(K1474="UNMAPPED",M1474=1),ROW(),"")</f>
        <v/>
      </c>
      <c r="O1474" s="6">
        <f>IF(AND(I1474=1,M1474=1),ROW(),"")</f>
        <v/>
      </c>
      <c r="P1474" s="6">
        <f>IF(AND(K1474="ignored",M1474=1),ROW(),"")</f>
        <v/>
      </c>
    </row>
    <row r="1475">
      <c r="A1475" s="8" t="n"/>
      <c r="B1475" s="8" t="n"/>
      <c r="C1475" s="6">
        <f>TRIM(A1475&amp;"")</f>
        <v/>
      </c>
      <c r="D1475" s="6">
        <f>IF(C1475="","",SUBSTITUTE(SUBSTITUTE(SUBSTITUTE(SUBSTITUTE(SUBSTITUTE(SUBSTITUTE(SUBSTITUTE(UPPER(TRIM(B1475&amp;"")),"₹",""),"RS.",""),"RS",""),"INR",""),"$",""),",","")," ",""))</f>
        <v/>
      </c>
      <c r="E1475" s="6">
        <f>IF(C1475="","",IF(RIGHT(D1475,2)="CR","Cr",IF(RIGHT(D1475,2)="DR","Dr","")))</f>
        <v/>
      </c>
      <c r="F1475" s="6">
        <f>IF(C1475="","",IF(E1475&lt;&gt;"",LEFT(D1475,LEN(D1475)-2),D1475))</f>
        <v/>
      </c>
      <c r="G1475" s="13">
        <f>IF(C1475="","",IF(OR(IF(AND(LEFT(F1475,1)="(",RIGHT(F1475,1)=")"),MID(F1475,2,LEN(F1475)-2),F1475)="",IF(AND(LEFT(F1475,1)="(",RIGHT(F1475,1)=")"),MID(F1475,2,LEN(F1475)-2),F1475)="-"),0,IFERROR(VALUE(IF(AND(LEFT(F1475,1)="(",RIGHT(F1475,1)=")"),MID(F1475,2,LEN(F1475)-2),F1475))*IF(AND(LEFT(F1475,1)="(",RIGHT(F1475,1)=")"),-1,1)*IF(E1475="Cr",Setup!$B$6,1),"ERR")))</f>
        <v/>
      </c>
      <c r="H1475" s="6">
        <f>IF(C1475="","",IF(ISNUMBER(G1475),1,0))</f>
        <v/>
      </c>
      <c r="I1475" s="6">
        <f>IF(C1475="","",IF(SUMPRODUCT(($C$12:$C$1511=C1475)*1)&gt;1,1,0))</f>
        <v/>
      </c>
      <c r="J1475" s="6">
        <f>IF(C1475="","",SUMPRODUCT((Mapping!$F$5:$F$504=Setup!$B$4&amp;"||"&amp;C1475)*ROW(Mapping!$F$5:$F$504)))</f>
        <v/>
      </c>
      <c r="K1475" s="6">
        <f>IF(C1475="","",IF(J1475=0,"UNMAPPED",LOWER(INDEX(Mapping!$D$1:$D$504,J1475))))</f>
        <v/>
      </c>
      <c r="L1475" s="6">
        <f>IF(K1475="mapped",TRIM(INDEX(Mapping!$C$1:$C$504,J1475)),"")</f>
        <v/>
      </c>
      <c r="M1475" s="6">
        <f>IF(C1475="","",IF(SUMPRODUCT(($C$12:C1475=C1475)*1)=1,1,0))</f>
        <v/>
      </c>
      <c r="N1475" s="6">
        <f>IF(AND(K1475="UNMAPPED",M1475=1),ROW(),"")</f>
        <v/>
      </c>
      <c r="O1475" s="6">
        <f>IF(AND(I1475=1,M1475=1),ROW(),"")</f>
        <v/>
      </c>
      <c r="P1475" s="6">
        <f>IF(AND(K1475="ignored",M1475=1),ROW(),"")</f>
        <v/>
      </c>
    </row>
    <row r="1476">
      <c r="A1476" s="8" t="n"/>
      <c r="B1476" s="8" t="n"/>
      <c r="C1476" s="6">
        <f>TRIM(A1476&amp;"")</f>
        <v/>
      </c>
      <c r="D1476" s="6">
        <f>IF(C1476="","",SUBSTITUTE(SUBSTITUTE(SUBSTITUTE(SUBSTITUTE(SUBSTITUTE(SUBSTITUTE(SUBSTITUTE(UPPER(TRIM(B1476&amp;"")),"₹",""),"RS.",""),"RS",""),"INR",""),"$",""),",","")," ",""))</f>
        <v/>
      </c>
      <c r="E1476" s="6">
        <f>IF(C1476="","",IF(RIGHT(D1476,2)="CR","Cr",IF(RIGHT(D1476,2)="DR","Dr","")))</f>
        <v/>
      </c>
      <c r="F1476" s="6">
        <f>IF(C1476="","",IF(E1476&lt;&gt;"",LEFT(D1476,LEN(D1476)-2),D1476))</f>
        <v/>
      </c>
      <c r="G1476" s="13">
        <f>IF(C1476="","",IF(OR(IF(AND(LEFT(F1476,1)="(",RIGHT(F1476,1)=")"),MID(F1476,2,LEN(F1476)-2),F1476)="",IF(AND(LEFT(F1476,1)="(",RIGHT(F1476,1)=")"),MID(F1476,2,LEN(F1476)-2),F1476)="-"),0,IFERROR(VALUE(IF(AND(LEFT(F1476,1)="(",RIGHT(F1476,1)=")"),MID(F1476,2,LEN(F1476)-2),F1476))*IF(AND(LEFT(F1476,1)="(",RIGHT(F1476,1)=")"),-1,1)*IF(E1476="Cr",Setup!$B$6,1),"ERR")))</f>
        <v/>
      </c>
      <c r="H1476" s="6">
        <f>IF(C1476="","",IF(ISNUMBER(G1476),1,0))</f>
        <v/>
      </c>
      <c r="I1476" s="6">
        <f>IF(C1476="","",IF(SUMPRODUCT(($C$12:$C$1511=C1476)*1)&gt;1,1,0))</f>
        <v/>
      </c>
      <c r="J1476" s="6">
        <f>IF(C1476="","",SUMPRODUCT((Mapping!$F$5:$F$504=Setup!$B$4&amp;"||"&amp;C1476)*ROW(Mapping!$F$5:$F$504)))</f>
        <v/>
      </c>
      <c r="K1476" s="6">
        <f>IF(C1476="","",IF(J1476=0,"UNMAPPED",LOWER(INDEX(Mapping!$D$1:$D$504,J1476))))</f>
        <v/>
      </c>
      <c r="L1476" s="6">
        <f>IF(K1476="mapped",TRIM(INDEX(Mapping!$C$1:$C$504,J1476)),"")</f>
        <v/>
      </c>
      <c r="M1476" s="6">
        <f>IF(C1476="","",IF(SUMPRODUCT(($C$12:C1476=C1476)*1)=1,1,0))</f>
        <v/>
      </c>
      <c r="N1476" s="6">
        <f>IF(AND(K1476="UNMAPPED",M1476=1),ROW(),"")</f>
        <v/>
      </c>
      <c r="O1476" s="6">
        <f>IF(AND(I1476=1,M1476=1),ROW(),"")</f>
        <v/>
      </c>
      <c r="P1476" s="6">
        <f>IF(AND(K1476="ignored",M1476=1),ROW(),"")</f>
        <v/>
      </c>
    </row>
    <row r="1477">
      <c r="A1477" s="8" t="n"/>
      <c r="B1477" s="8" t="n"/>
      <c r="C1477" s="6">
        <f>TRIM(A1477&amp;"")</f>
        <v/>
      </c>
      <c r="D1477" s="6">
        <f>IF(C1477="","",SUBSTITUTE(SUBSTITUTE(SUBSTITUTE(SUBSTITUTE(SUBSTITUTE(SUBSTITUTE(SUBSTITUTE(UPPER(TRIM(B1477&amp;"")),"₹",""),"RS.",""),"RS",""),"INR",""),"$",""),",","")," ",""))</f>
        <v/>
      </c>
      <c r="E1477" s="6">
        <f>IF(C1477="","",IF(RIGHT(D1477,2)="CR","Cr",IF(RIGHT(D1477,2)="DR","Dr","")))</f>
        <v/>
      </c>
      <c r="F1477" s="6">
        <f>IF(C1477="","",IF(E1477&lt;&gt;"",LEFT(D1477,LEN(D1477)-2),D1477))</f>
        <v/>
      </c>
      <c r="G1477" s="13">
        <f>IF(C1477="","",IF(OR(IF(AND(LEFT(F1477,1)="(",RIGHT(F1477,1)=")"),MID(F1477,2,LEN(F1477)-2),F1477)="",IF(AND(LEFT(F1477,1)="(",RIGHT(F1477,1)=")"),MID(F1477,2,LEN(F1477)-2),F1477)="-"),0,IFERROR(VALUE(IF(AND(LEFT(F1477,1)="(",RIGHT(F1477,1)=")"),MID(F1477,2,LEN(F1477)-2),F1477))*IF(AND(LEFT(F1477,1)="(",RIGHT(F1477,1)=")"),-1,1)*IF(E1477="Cr",Setup!$B$6,1),"ERR")))</f>
        <v/>
      </c>
      <c r="H1477" s="6">
        <f>IF(C1477="","",IF(ISNUMBER(G1477),1,0))</f>
        <v/>
      </c>
      <c r="I1477" s="6">
        <f>IF(C1477="","",IF(SUMPRODUCT(($C$12:$C$1511=C1477)*1)&gt;1,1,0))</f>
        <v/>
      </c>
      <c r="J1477" s="6">
        <f>IF(C1477="","",SUMPRODUCT((Mapping!$F$5:$F$504=Setup!$B$4&amp;"||"&amp;C1477)*ROW(Mapping!$F$5:$F$504)))</f>
        <v/>
      </c>
      <c r="K1477" s="6">
        <f>IF(C1477="","",IF(J1477=0,"UNMAPPED",LOWER(INDEX(Mapping!$D$1:$D$504,J1477))))</f>
        <v/>
      </c>
      <c r="L1477" s="6">
        <f>IF(K1477="mapped",TRIM(INDEX(Mapping!$C$1:$C$504,J1477)),"")</f>
        <v/>
      </c>
      <c r="M1477" s="6">
        <f>IF(C1477="","",IF(SUMPRODUCT(($C$12:C1477=C1477)*1)=1,1,0))</f>
        <v/>
      </c>
      <c r="N1477" s="6">
        <f>IF(AND(K1477="UNMAPPED",M1477=1),ROW(),"")</f>
        <v/>
      </c>
      <c r="O1477" s="6">
        <f>IF(AND(I1477=1,M1477=1),ROW(),"")</f>
        <v/>
      </c>
      <c r="P1477" s="6">
        <f>IF(AND(K1477="ignored",M1477=1),ROW(),"")</f>
        <v/>
      </c>
    </row>
    <row r="1478">
      <c r="A1478" s="8" t="n"/>
      <c r="B1478" s="8" t="n"/>
      <c r="C1478" s="6">
        <f>TRIM(A1478&amp;"")</f>
        <v/>
      </c>
      <c r="D1478" s="6">
        <f>IF(C1478="","",SUBSTITUTE(SUBSTITUTE(SUBSTITUTE(SUBSTITUTE(SUBSTITUTE(SUBSTITUTE(SUBSTITUTE(UPPER(TRIM(B1478&amp;"")),"₹",""),"RS.",""),"RS",""),"INR",""),"$",""),",","")," ",""))</f>
        <v/>
      </c>
      <c r="E1478" s="6">
        <f>IF(C1478="","",IF(RIGHT(D1478,2)="CR","Cr",IF(RIGHT(D1478,2)="DR","Dr","")))</f>
        <v/>
      </c>
      <c r="F1478" s="6">
        <f>IF(C1478="","",IF(E1478&lt;&gt;"",LEFT(D1478,LEN(D1478)-2),D1478))</f>
        <v/>
      </c>
      <c r="G1478" s="13">
        <f>IF(C1478="","",IF(OR(IF(AND(LEFT(F1478,1)="(",RIGHT(F1478,1)=")"),MID(F1478,2,LEN(F1478)-2),F1478)="",IF(AND(LEFT(F1478,1)="(",RIGHT(F1478,1)=")"),MID(F1478,2,LEN(F1478)-2),F1478)="-"),0,IFERROR(VALUE(IF(AND(LEFT(F1478,1)="(",RIGHT(F1478,1)=")"),MID(F1478,2,LEN(F1478)-2),F1478))*IF(AND(LEFT(F1478,1)="(",RIGHT(F1478,1)=")"),-1,1)*IF(E1478="Cr",Setup!$B$6,1),"ERR")))</f>
        <v/>
      </c>
      <c r="H1478" s="6">
        <f>IF(C1478="","",IF(ISNUMBER(G1478),1,0))</f>
        <v/>
      </c>
      <c r="I1478" s="6">
        <f>IF(C1478="","",IF(SUMPRODUCT(($C$12:$C$1511=C1478)*1)&gt;1,1,0))</f>
        <v/>
      </c>
      <c r="J1478" s="6">
        <f>IF(C1478="","",SUMPRODUCT((Mapping!$F$5:$F$504=Setup!$B$4&amp;"||"&amp;C1478)*ROW(Mapping!$F$5:$F$504)))</f>
        <v/>
      </c>
      <c r="K1478" s="6">
        <f>IF(C1478="","",IF(J1478=0,"UNMAPPED",LOWER(INDEX(Mapping!$D$1:$D$504,J1478))))</f>
        <v/>
      </c>
      <c r="L1478" s="6">
        <f>IF(K1478="mapped",TRIM(INDEX(Mapping!$C$1:$C$504,J1478)),"")</f>
        <v/>
      </c>
      <c r="M1478" s="6">
        <f>IF(C1478="","",IF(SUMPRODUCT(($C$12:C1478=C1478)*1)=1,1,0))</f>
        <v/>
      </c>
      <c r="N1478" s="6">
        <f>IF(AND(K1478="UNMAPPED",M1478=1),ROW(),"")</f>
        <v/>
      </c>
      <c r="O1478" s="6">
        <f>IF(AND(I1478=1,M1478=1),ROW(),"")</f>
        <v/>
      </c>
      <c r="P1478" s="6">
        <f>IF(AND(K1478="ignored",M1478=1),ROW(),"")</f>
        <v/>
      </c>
    </row>
    <row r="1479">
      <c r="A1479" s="8" t="n"/>
      <c r="B1479" s="8" t="n"/>
      <c r="C1479" s="6">
        <f>TRIM(A1479&amp;"")</f>
        <v/>
      </c>
      <c r="D1479" s="6">
        <f>IF(C1479="","",SUBSTITUTE(SUBSTITUTE(SUBSTITUTE(SUBSTITUTE(SUBSTITUTE(SUBSTITUTE(SUBSTITUTE(UPPER(TRIM(B1479&amp;"")),"₹",""),"RS.",""),"RS",""),"INR",""),"$",""),",","")," ",""))</f>
        <v/>
      </c>
      <c r="E1479" s="6">
        <f>IF(C1479="","",IF(RIGHT(D1479,2)="CR","Cr",IF(RIGHT(D1479,2)="DR","Dr","")))</f>
        <v/>
      </c>
      <c r="F1479" s="6">
        <f>IF(C1479="","",IF(E1479&lt;&gt;"",LEFT(D1479,LEN(D1479)-2),D1479))</f>
        <v/>
      </c>
      <c r="G1479" s="13">
        <f>IF(C1479="","",IF(OR(IF(AND(LEFT(F1479,1)="(",RIGHT(F1479,1)=")"),MID(F1479,2,LEN(F1479)-2),F1479)="",IF(AND(LEFT(F1479,1)="(",RIGHT(F1479,1)=")"),MID(F1479,2,LEN(F1479)-2),F1479)="-"),0,IFERROR(VALUE(IF(AND(LEFT(F1479,1)="(",RIGHT(F1479,1)=")"),MID(F1479,2,LEN(F1479)-2),F1479))*IF(AND(LEFT(F1479,1)="(",RIGHT(F1479,1)=")"),-1,1)*IF(E1479="Cr",Setup!$B$6,1),"ERR")))</f>
        <v/>
      </c>
      <c r="H1479" s="6">
        <f>IF(C1479="","",IF(ISNUMBER(G1479),1,0))</f>
        <v/>
      </c>
      <c r="I1479" s="6">
        <f>IF(C1479="","",IF(SUMPRODUCT(($C$12:$C$1511=C1479)*1)&gt;1,1,0))</f>
        <v/>
      </c>
      <c r="J1479" s="6">
        <f>IF(C1479="","",SUMPRODUCT((Mapping!$F$5:$F$504=Setup!$B$4&amp;"||"&amp;C1479)*ROW(Mapping!$F$5:$F$504)))</f>
        <v/>
      </c>
      <c r="K1479" s="6">
        <f>IF(C1479="","",IF(J1479=0,"UNMAPPED",LOWER(INDEX(Mapping!$D$1:$D$504,J1479))))</f>
        <v/>
      </c>
      <c r="L1479" s="6">
        <f>IF(K1479="mapped",TRIM(INDEX(Mapping!$C$1:$C$504,J1479)),"")</f>
        <v/>
      </c>
      <c r="M1479" s="6">
        <f>IF(C1479="","",IF(SUMPRODUCT(($C$12:C1479=C1479)*1)=1,1,0))</f>
        <v/>
      </c>
      <c r="N1479" s="6">
        <f>IF(AND(K1479="UNMAPPED",M1479=1),ROW(),"")</f>
        <v/>
      </c>
      <c r="O1479" s="6">
        <f>IF(AND(I1479=1,M1479=1),ROW(),"")</f>
        <v/>
      </c>
      <c r="P1479" s="6">
        <f>IF(AND(K1479="ignored",M1479=1),ROW(),"")</f>
        <v/>
      </c>
    </row>
    <row r="1480">
      <c r="A1480" s="8" t="n"/>
      <c r="B1480" s="8" t="n"/>
      <c r="C1480" s="6">
        <f>TRIM(A1480&amp;"")</f>
        <v/>
      </c>
      <c r="D1480" s="6">
        <f>IF(C1480="","",SUBSTITUTE(SUBSTITUTE(SUBSTITUTE(SUBSTITUTE(SUBSTITUTE(SUBSTITUTE(SUBSTITUTE(UPPER(TRIM(B1480&amp;"")),"₹",""),"RS.",""),"RS",""),"INR",""),"$",""),",","")," ",""))</f>
        <v/>
      </c>
      <c r="E1480" s="6">
        <f>IF(C1480="","",IF(RIGHT(D1480,2)="CR","Cr",IF(RIGHT(D1480,2)="DR","Dr","")))</f>
        <v/>
      </c>
      <c r="F1480" s="6">
        <f>IF(C1480="","",IF(E1480&lt;&gt;"",LEFT(D1480,LEN(D1480)-2),D1480))</f>
        <v/>
      </c>
      <c r="G1480" s="13">
        <f>IF(C1480="","",IF(OR(IF(AND(LEFT(F1480,1)="(",RIGHT(F1480,1)=")"),MID(F1480,2,LEN(F1480)-2),F1480)="",IF(AND(LEFT(F1480,1)="(",RIGHT(F1480,1)=")"),MID(F1480,2,LEN(F1480)-2),F1480)="-"),0,IFERROR(VALUE(IF(AND(LEFT(F1480,1)="(",RIGHT(F1480,1)=")"),MID(F1480,2,LEN(F1480)-2),F1480))*IF(AND(LEFT(F1480,1)="(",RIGHT(F1480,1)=")"),-1,1)*IF(E1480="Cr",Setup!$B$6,1),"ERR")))</f>
        <v/>
      </c>
      <c r="H1480" s="6">
        <f>IF(C1480="","",IF(ISNUMBER(G1480),1,0))</f>
        <v/>
      </c>
      <c r="I1480" s="6">
        <f>IF(C1480="","",IF(SUMPRODUCT(($C$12:$C$1511=C1480)*1)&gt;1,1,0))</f>
        <v/>
      </c>
      <c r="J1480" s="6">
        <f>IF(C1480="","",SUMPRODUCT((Mapping!$F$5:$F$504=Setup!$B$4&amp;"||"&amp;C1480)*ROW(Mapping!$F$5:$F$504)))</f>
        <v/>
      </c>
      <c r="K1480" s="6">
        <f>IF(C1480="","",IF(J1480=0,"UNMAPPED",LOWER(INDEX(Mapping!$D$1:$D$504,J1480))))</f>
        <v/>
      </c>
      <c r="L1480" s="6">
        <f>IF(K1480="mapped",TRIM(INDEX(Mapping!$C$1:$C$504,J1480)),"")</f>
        <v/>
      </c>
      <c r="M1480" s="6">
        <f>IF(C1480="","",IF(SUMPRODUCT(($C$12:C1480=C1480)*1)=1,1,0))</f>
        <v/>
      </c>
      <c r="N1480" s="6">
        <f>IF(AND(K1480="UNMAPPED",M1480=1),ROW(),"")</f>
        <v/>
      </c>
      <c r="O1480" s="6">
        <f>IF(AND(I1480=1,M1480=1),ROW(),"")</f>
        <v/>
      </c>
      <c r="P1480" s="6">
        <f>IF(AND(K1480="ignored",M1480=1),ROW(),"")</f>
        <v/>
      </c>
    </row>
    <row r="1481">
      <c r="A1481" s="8" t="n"/>
      <c r="B1481" s="8" t="n"/>
      <c r="C1481" s="6">
        <f>TRIM(A1481&amp;"")</f>
        <v/>
      </c>
      <c r="D1481" s="6">
        <f>IF(C1481="","",SUBSTITUTE(SUBSTITUTE(SUBSTITUTE(SUBSTITUTE(SUBSTITUTE(SUBSTITUTE(SUBSTITUTE(UPPER(TRIM(B1481&amp;"")),"₹",""),"RS.",""),"RS",""),"INR",""),"$",""),",","")," ",""))</f>
        <v/>
      </c>
      <c r="E1481" s="6">
        <f>IF(C1481="","",IF(RIGHT(D1481,2)="CR","Cr",IF(RIGHT(D1481,2)="DR","Dr","")))</f>
        <v/>
      </c>
      <c r="F1481" s="6">
        <f>IF(C1481="","",IF(E1481&lt;&gt;"",LEFT(D1481,LEN(D1481)-2),D1481))</f>
        <v/>
      </c>
      <c r="G1481" s="13">
        <f>IF(C1481="","",IF(OR(IF(AND(LEFT(F1481,1)="(",RIGHT(F1481,1)=")"),MID(F1481,2,LEN(F1481)-2),F1481)="",IF(AND(LEFT(F1481,1)="(",RIGHT(F1481,1)=")"),MID(F1481,2,LEN(F1481)-2),F1481)="-"),0,IFERROR(VALUE(IF(AND(LEFT(F1481,1)="(",RIGHT(F1481,1)=")"),MID(F1481,2,LEN(F1481)-2),F1481))*IF(AND(LEFT(F1481,1)="(",RIGHT(F1481,1)=")"),-1,1)*IF(E1481="Cr",Setup!$B$6,1),"ERR")))</f>
        <v/>
      </c>
      <c r="H1481" s="6">
        <f>IF(C1481="","",IF(ISNUMBER(G1481),1,0))</f>
        <v/>
      </c>
      <c r="I1481" s="6">
        <f>IF(C1481="","",IF(SUMPRODUCT(($C$12:$C$1511=C1481)*1)&gt;1,1,0))</f>
        <v/>
      </c>
      <c r="J1481" s="6">
        <f>IF(C1481="","",SUMPRODUCT((Mapping!$F$5:$F$504=Setup!$B$4&amp;"||"&amp;C1481)*ROW(Mapping!$F$5:$F$504)))</f>
        <v/>
      </c>
      <c r="K1481" s="6">
        <f>IF(C1481="","",IF(J1481=0,"UNMAPPED",LOWER(INDEX(Mapping!$D$1:$D$504,J1481))))</f>
        <v/>
      </c>
      <c r="L1481" s="6">
        <f>IF(K1481="mapped",TRIM(INDEX(Mapping!$C$1:$C$504,J1481)),"")</f>
        <v/>
      </c>
      <c r="M1481" s="6">
        <f>IF(C1481="","",IF(SUMPRODUCT(($C$12:C1481=C1481)*1)=1,1,0))</f>
        <v/>
      </c>
      <c r="N1481" s="6">
        <f>IF(AND(K1481="UNMAPPED",M1481=1),ROW(),"")</f>
        <v/>
      </c>
      <c r="O1481" s="6">
        <f>IF(AND(I1481=1,M1481=1),ROW(),"")</f>
        <v/>
      </c>
      <c r="P1481" s="6">
        <f>IF(AND(K1481="ignored",M1481=1),ROW(),"")</f>
        <v/>
      </c>
    </row>
    <row r="1482">
      <c r="A1482" s="8" t="n"/>
      <c r="B1482" s="8" t="n"/>
      <c r="C1482" s="6">
        <f>TRIM(A1482&amp;"")</f>
        <v/>
      </c>
      <c r="D1482" s="6">
        <f>IF(C1482="","",SUBSTITUTE(SUBSTITUTE(SUBSTITUTE(SUBSTITUTE(SUBSTITUTE(SUBSTITUTE(SUBSTITUTE(UPPER(TRIM(B1482&amp;"")),"₹",""),"RS.",""),"RS",""),"INR",""),"$",""),",","")," ",""))</f>
        <v/>
      </c>
      <c r="E1482" s="6">
        <f>IF(C1482="","",IF(RIGHT(D1482,2)="CR","Cr",IF(RIGHT(D1482,2)="DR","Dr","")))</f>
        <v/>
      </c>
      <c r="F1482" s="6">
        <f>IF(C1482="","",IF(E1482&lt;&gt;"",LEFT(D1482,LEN(D1482)-2),D1482))</f>
        <v/>
      </c>
      <c r="G1482" s="13">
        <f>IF(C1482="","",IF(OR(IF(AND(LEFT(F1482,1)="(",RIGHT(F1482,1)=")"),MID(F1482,2,LEN(F1482)-2),F1482)="",IF(AND(LEFT(F1482,1)="(",RIGHT(F1482,1)=")"),MID(F1482,2,LEN(F1482)-2),F1482)="-"),0,IFERROR(VALUE(IF(AND(LEFT(F1482,1)="(",RIGHT(F1482,1)=")"),MID(F1482,2,LEN(F1482)-2),F1482))*IF(AND(LEFT(F1482,1)="(",RIGHT(F1482,1)=")"),-1,1)*IF(E1482="Cr",Setup!$B$6,1),"ERR")))</f>
        <v/>
      </c>
      <c r="H1482" s="6">
        <f>IF(C1482="","",IF(ISNUMBER(G1482),1,0))</f>
        <v/>
      </c>
      <c r="I1482" s="6">
        <f>IF(C1482="","",IF(SUMPRODUCT(($C$12:$C$1511=C1482)*1)&gt;1,1,0))</f>
        <v/>
      </c>
      <c r="J1482" s="6">
        <f>IF(C1482="","",SUMPRODUCT((Mapping!$F$5:$F$504=Setup!$B$4&amp;"||"&amp;C1482)*ROW(Mapping!$F$5:$F$504)))</f>
        <v/>
      </c>
      <c r="K1482" s="6">
        <f>IF(C1482="","",IF(J1482=0,"UNMAPPED",LOWER(INDEX(Mapping!$D$1:$D$504,J1482))))</f>
        <v/>
      </c>
      <c r="L1482" s="6">
        <f>IF(K1482="mapped",TRIM(INDEX(Mapping!$C$1:$C$504,J1482)),"")</f>
        <v/>
      </c>
      <c r="M1482" s="6">
        <f>IF(C1482="","",IF(SUMPRODUCT(($C$12:C1482=C1482)*1)=1,1,0))</f>
        <v/>
      </c>
      <c r="N1482" s="6">
        <f>IF(AND(K1482="UNMAPPED",M1482=1),ROW(),"")</f>
        <v/>
      </c>
      <c r="O1482" s="6">
        <f>IF(AND(I1482=1,M1482=1),ROW(),"")</f>
        <v/>
      </c>
      <c r="P1482" s="6">
        <f>IF(AND(K1482="ignored",M1482=1),ROW(),"")</f>
        <v/>
      </c>
    </row>
    <row r="1483">
      <c r="A1483" s="8" t="n"/>
      <c r="B1483" s="8" t="n"/>
      <c r="C1483" s="6">
        <f>TRIM(A1483&amp;"")</f>
        <v/>
      </c>
      <c r="D1483" s="6">
        <f>IF(C1483="","",SUBSTITUTE(SUBSTITUTE(SUBSTITUTE(SUBSTITUTE(SUBSTITUTE(SUBSTITUTE(SUBSTITUTE(UPPER(TRIM(B1483&amp;"")),"₹",""),"RS.",""),"RS",""),"INR",""),"$",""),",","")," ",""))</f>
        <v/>
      </c>
      <c r="E1483" s="6">
        <f>IF(C1483="","",IF(RIGHT(D1483,2)="CR","Cr",IF(RIGHT(D1483,2)="DR","Dr","")))</f>
        <v/>
      </c>
      <c r="F1483" s="6">
        <f>IF(C1483="","",IF(E1483&lt;&gt;"",LEFT(D1483,LEN(D1483)-2),D1483))</f>
        <v/>
      </c>
      <c r="G1483" s="13">
        <f>IF(C1483="","",IF(OR(IF(AND(LEFT(F1483,1)="(",RIGHT(F1483,1)=")"),MID(F1483,2,LEN(F1483)-2),F1483)="",IF(AND(LEFT(F1483,1)="(",RIGHT(F1483,1)=")"),MID(F1483,2,LEN(F1483)-2),F1483)="-"),0,IFERROR(VALUE(IF(AND(LEFT(F1483,1)="(",RIGHT(F1483,1)=")"),MID(F1483,2,LEN(F1483)-2),F1483))*IF(AND(LEFT(F1483,1)="(",RIGHT(F1483,1)=")"),-1,1)*IF(E1483="Cr",Setup!$B$6,1),"ERR")))</f>
        <v/>
      </c>
      <c r="H1483" s="6">
        <f>IF(C1483="","",IF(ISNUMBER(G1483),1,0))</f>
        <v/>
      </c>
      <c r="I1483" s="6">
        <f>IF(C1483="","",IF(SUMPRODUCT(($C$12:$C$1511=C1483)*1)&gt;1,1,0))</f>
        <v/>
      </c>
      <c r="J1483" s="6">
        <f>IF(C1483="","",SUMPRODUCT((Mapping!$F$5:$F$504=Setup!$B$4&amp;"||"&amp;C1483)*ROW(Mapping!$F$5:$F$504)))</f>
        <v/>
      </c>
      <c r="K1483" s="6">
        <f>IF(C1483="","",IF(J1483=0,"UNMAPPED",LOWER(INDEX(Mapping!$D$1:$D$504,J1483))))</f>
        <v/>
      </c>
      <c r="L1483" s="6">
        <f>IF(K1483="mapped",TRIM(INDEX(Mapping!$C$1:$C$504,J1483)),"")</f>
        <v/>
      </c>
      <c r="M1483" s="6">
        <f>IF(C1483="","",IF(SUMPRODUCT(($C$12:C1483=C1483)*1)=1,1,0))</f>
        <v/>
      </c>
      <c r="N1483" s="6">
        <f>IF(AND(K1483="UNMAPPED",M1483=1),ROW(),"")</f>
        <v/>
      </c>
      <c r="O1483" s="6">
        <f>IF(AND(I1483=1,M1483=1),ROW(),"")</f>
        <v/>
      </c>
      <c r="P1483" s="6">
        <f>IF(AND(K1483="ignored",M1483=1),ROW(),"")</f>
        <v/>
      </c>
    </row>
    <row r="1484">
      <c r="A1484" s="8" t="n"/>
      <c r="B1484" s="8" t="n"/>
      <c r="C1484" s="6">
        <f>TRIM(A1484&amp;"")</f>
        <v/>
      </c>
      <c r="D1484" s="6">
        <f>IF(C1484="","",SUBSTITUTE(SUBSTITUTE(SUBSTITUTE(SUBSTITUTE(SUBSTITUTE(SUBSTITUTE(SUBSTITUTE(UPPER(TRIM(B1484&amp;"")),"₹",""),"RS.",""),"RS",""),"INR",""),"$",""),",","")," ",""))</f>
        <v/>
      </c>
      <c r="E1484" s="6">
        <f>IF(C1484="","",IF(RIGHT(D1484,2)="CR","Cr",IF(RIGHT(D1484,2)="DR","Dr","")))</f>
        <v/>
      </c>
      <c r="F1484" s="6">
        <f>IF(C1484="","",IF(E1484&lt;&gt;"",LEFT(D1484,LEN(D1484)-2),D1484))</f>
        <v/>
      </c>
      <c r="G1484" s="13">
        <f>IF(C1484="","",IF(OR(IF(AND(LEFT(F1484,1)="(",RIGHT(F1484,1)=")"),MID(F1484,2,LEN(F1484)-2),F1484)="",IF(AND(LEFT(F1484,1)="(",RIGHT(F1484,1)=")"),MID(F1484,2,LEN(F1484)-2),F1484)="-"),0,IFERROR(VALUE(IF(AND(LEFT(F1484,1)="(",RIGHT(F1484,1)=")"),MID(F1484,2,LEN(F1484)-2),F1484))*IF(AND(LEFT(F1484,1)="(",RIGHT(F1484,1)=")"),-1,1)*IF(E1484="Cr",Setup!$B$6,1),"ERR")))</f>
        <v/>
      </c>
      <c r="H1484" s="6">
        <f>IF(C1484="","",IF(ISNUMBER(G1484),1,0))</f>
        <v/>
      </c>
      <c r="I1484" s="6">
        <f>IF(C1484="","",IF(SUMPRODUCT(($C$12:$C$1511=C1484)*1)&gt;1,1,0))</f>
        <v/>
      </c>
      <c r="J1484" s="6">
        <f>IF(C1484="","",SUMPRODUCT((Mapping!$F$5:$F$504=Setup!$B$4&amp;"||"&amp;C1484)*ROW(Mapping!$F$5:$F$504)))</f>
        <v/>
      </c>
      <c r="K1484" s="6">
        <f>IF(C1484="","",IF(J1484=0,"UNMAPPED",LOWER(INDEX(Mapping!$D$1:$D$504,J1484))))</f>
        <v/>
      </c>
      <c r="L1484" s="6">
        <f>IF(K1484="mapped",TRIM(INDEX(Mapping!$C$1:$C$504,J1484)),"")</f>
        <v/>
      </c>
      <c r="M1484" s="6">
        <f>IF(C1484="","",IF(SUMPRODUCT(($C$12:C1484=C1484)*1)=1,1,0))</f>
        <v/>
      </c>
      <c r="N1484" s="6">
        <f>IF(AND(K1484="UNMAPPED",M1484=1),ROW(),"")</f>
        <v/>
      </c>
      <c r="O1484" s="6">
        <f>IF(AND(I1484=1,M1484=1),ROW(),"")</f>
        <v/>
      </c>
      <c r="P1484" s="6">
        <f>IF(AND(K1484="ignored",M1484=1),ROW(),"")</f>
        <v/>
      </c>
    </row>
    <row r="1485">
      <c r="A1485" s="8" t="n"/>
      <c r="B1485" s="8" t="n"/>
      <c r="C1485" s="6">
        <f>TRIM(A1485&amp;"")</f>
        <v/>
      </c>
      <c r="D1485" s="6">
        <f>IF(C1485="","",SUBSTITUTE(SUBSTITUTE(SUBSTITUTE(SUBSTITUTE(SUBSTITUTE(SUBSTITUTE(SUBSTITUTE(UPPER(TRIM(B1485&amp;"")),"₹",""),"RS.",""),"RS",""),"INR",""),"$",""),",","")," ",""))</f>
        <v/>
      </c>
      <c r="E1485" s="6">
        <f>IF(C1485="","",IF(RIGHT(D1485,2)="CR","Cr",IF(RIGHT(D1485,2)="DR","Dr","")))</f>
        <v/>
      </c>
      <c r="F1485" s="6">
        <f>IF(C1485="","",IF(E1485&lt;&gt;"",LEFT(D1485,LEN(D1485)-2),D1485))</f>
        <v/>
      </c>
      <c r="G1485" s="13">
        <f>IF(C1485="","",IF(OR(IF(AND(LEFT(F1485,1)="(",RIGHT(F1485,1)=")"),MID(F1485,2,LEN(F1485)-2),F1485)="",IF(AND(LEFT(F1485,1)="(",RIGHT(F1485,1)=")"),MID(F1485,2,LEN(F1485)-2),F1485)="-"),0,IFERROR(VALUE(IF(AND(LEFT(F1485,1)="(",RIGHT(F1485,1)=")"),MID(F1485,2,LEN(F1485)-2),F1485))*IF(AND(LEFT(F1485,1)="(",RIGHT(F1485,1)=")"),-1,1)*IF(E1485="Cr",Setup!$B$6,1),"ERR")))</f>
        <v/>
      </c>
      <c r="H1485" s="6">
        <f>IF(C1485="","",IF(ISNUMBER(G1485),1,0))</f>
        <v/>
      </c>
      <c r="I1485" s="6">
        <f>IF(C1485="","",IF(SUMPRODUCT(($C$12:$C$1511=C1485)*1)&gt;1,1,0))</f>
        <v/>
      </c>
      <c r="J1485" s="6">
        <f>IF(C1485="","",SUMPRODUCT((Mapping!$F$5:$F$504=Setup!$B$4&amp;"||"&amp;C1485)*ROW(Mapping!$F$5:$F$504)))</f>
        <v/>
      </c>
      <c r="K1485" s="6">
        <f>IF(C1485="","",IF(J1485=0,"UNMAPPED",LOWER(INDEX(Mapping!$D$1:$D$504,J1485))))</f>
        <v/>
      </c>
      <c r="L1485" s="6">
        <f>IF(K1485="mapped",TRIM(INDEX(Mapping!$C$1:$C$504,J1485)),"")</f>
        <v/>
      </c>
      <c r="M1485" s="6">
        <f>IF(C1485="","",IF(SUMPRODUCT(($C$12:C1485=C1485)*1)=1,1,0))</f>
        <v/>
      </c>
      <c r="N1485" s="6">
        <f>IF(AND(K1485="UNMAPPED",M1485=1),ROW(),"")</f>
        <v/>
      </c>
      <c r="O1485" s="6">
        <f>IF(AND(I1485=1,M1485=1),ROW(),"")</f>
        <v/>
      </c>
      <c r="P1485" s="6">
        <f>IF(AND(K1485="ignored",M1485=1),ROW(),"")</f>
        <v/>
      </c>
    </row>
    <row r="1486">
      <c r="A1486" s="8" t="n"/>
      <c r="B1486" s="8" t="n"/>
      <c r="C1486" s="6">
        <f>TRIM(A1486&amp;"")</f>
        <v/>
      </c>
      <c r="D1486" s="6">
        <f>IF(C1486="","",SUBSTITUTE(SUBSTITUTE(SUBSTITUTE(SUBSTITUTE(SUBSTITUTE(SUBSTITUTE(SUBSTITUTE(UPPER(TRIM(B1486&amp;"")),"₹",""),"RS.",""),"RS",""),"INR",""),"$",""),",","")," ",""))</f>
        <v/>
      </c>
      <c r="E1486" s="6">
        <f>IF(C1486="","",IF(RIGHT(D1486,2)="CR","Cr",IF(RIGHT(D1486,2)="DR","Dr","")))</f>
        <v/>
      </c>
      <c r="F1486" s="6">
        <f>IF(C1486="","",IF(E1486&lt;&gt;"",LEFT(D1486,LEN(D1486)-2),D1486))</f>
        <v/>
      </c>
      <c r="G1486" s="13">
        <f>IF(C1486="","",IF(OR(IF(AND(LEFT(F1486,1)="(",RIGHT(F1486,1)=")"),MID(F1486,2,LEN(F1486)-2),F1486)="",IF(AND(LEFT(F1486,1)="(",RIGHT(F1486,1)=")"),MID(F1486,2,LEN(F1486)-2),F1486)="-"),0,IFERROR(VALUE(IF(AND(LEFT(F1486,1)="(",RIGHT(F1486,1)=")"),MID(F1486,2,LEN(F1486)-2),F1486))*IF(AND(LEFT(F1486,1)="(",RIGHT(F1486,1)=")"),-1,1)*IF(E1486="Cr",Setup!$B$6,1),"ERR")))</f>
        <v/>
      </c>
      <c r="H1486" s="6">
        <f>IF(C1486="","",IF(ISNUMBER(G1486),1,0))</f>
        <v/>
      </c>
      <c r="I1486" s="6">
        <f>IF(C1486="","",IF(SUMPRODUCT(($C$12:$C$1511=C1486)*1)&gt;1,1,0))</f>
        <v/>
      </c>
      <c r="J1486" s="6">
        <f>IF(C1486="","",SUMPRODUCT((Mapping!$F$5:$F$504=Setup!$B$4&amp;"||"&amp;C1486)*ROW(Mapping!$F$5:$F$504)))</f>
        <v/>
      </c>
      <c r="K1486" s="6">
        <f>IF(C1486="","",IF(J1486=0,"UNMAPPED",LOWER(INDEX(Mapping!$D$1:$D$504,J1486))))</f>
        <v/>
      </c>
      <c r="L1486" s="6">
        <f>IF(K1486="mapped",TRIM(INDEX(Mapping!$C$1:$C$504,J1486)),"")</f>
        <v/>
      </c>
      <c r="M1486" s="6">
        <f>IF(C1486="","",IF(SUMPRODUCT(($C$12:C1486=C1486)*1)=1,1,0))</f>
        <v/>
      </c>
      <c r="N1486" s="6">
        <f>IF(AND(K1486="UNMAPPED",M1486=1),ROW(),"")</f>
        <v/>
      </c>
      <c r="O1486" s="6">
        <f>IF(AND(I1486=1,M1486=1),ROW(),"")</f>
        <v/>
      </c>
      <c r="P1486" s="6">
        <f>IF(AND(K1486="ignored",M1486=1),ROW(),"")</f>
        <v/>
      </c>
    </row>
    <row r="1487">
      <c r="A1487" s="8" t="n"/>
      <c r="B1487" s="8" t="n"/>
      <c r="C1487" s="6">
        <f>TRIM(A1487&amp;"")</f>
        <v/>
      </c>
      <c r="D1487" s="6">
        <f>IF(C1487="","",SUBSTITUTE(SUBSTITUTE(SUBSTITUTE(SUBSTITUTE(SUBSTITUTE(SUBSTITUTE(SUBSTITUTE(UPPER(TRIM(B1487&amp;"")),"₹",""),"RS.",""),"RS",""),"INR",""),"$",""),",","")," ",""))</f>
        <v/>
      </c>
      <c r="E1487" s="6">
        <f>IF(C1487="","",IF(RIGHT(D1487,2)="CR","Cr",IF(RIGHT(D1487,2)="DR","Dr","")))</f>
        <v/>
      </c>
      <c r="F1487" s="6">
        <f>IF(C1487="","",IF(E1487&lt;&gt;"",LEFT(D1487,LEN(D1487)-2),D1487))</f>
        <v/>
      </c>
      <c r="G1487" s="13">
        <f>IF(C1487="","",IF(OR(IF(AND(LEFT(F1487,1)="(",RIGHT(F1487,1)=")"),MID(F1487,2,LEN(F1487)-2),F1487)="",IF(AND(LEFT(F1487,1)="(",RIGHT(F1487,1)=")"),MID(F1487,2,LEN(F1487)-2),F1487)="-"),0,IFERROR(VALUE(IF(AND(LEFT(F1487,1)="(",RIGHT(F1487,1)=")"),MID(F1487,2,LEN(F1487)-2),F1487))*IF(AND(LEFT(F1487,1)="(",RIGHT(F1487,1)=")"),-1,1)*IF(E1487="Cr",Setup!$B$6,1),"ERR")))</f>
        <v/>
      </c>
      <c r="H1487" s="6">
        <f>IF(C1487="","",IF(ISNUMBER(G1487),1,0))</f>
        <v/>
      </c>
      <c r="I1487" s="6">
        <f>IF(C1487="","",IF(SUMPRODUCT(($C$12:$C$1511=C1487)*1)&gt;1,1,0))</f>
        <v/>
      </c>
      <c r="J1487" s="6">
        <f>IF(C1487="","",SUMPRODUCT((Mapping!$F$5:$F$504=Setup!$B$4&amp;"||"&amp;C1487)*ROW(Mapping!$F$5:$F$504)))</f>
        <v/>
      </c>
      <c r="K1487" s="6">
        <f>IF(C1487="","",IF(J1487=0,"UNMAPPED",LOWER(INDEX(Mapping!$D$1:$D$504,J1487))))</f>
        <v/>
      </c>
      <c r="L1487" s="6">
        <f>IF(K1487="mapped",TRIM(INDEX(Mapping!$C$1:$C$504,J1487)),"")</f>
        <v/>
      </c>
      <c r="M1487" s="6">
        <f>IF(C1487="","",IF(SUMPRODUCT(($C$12:C1487=C1487)*1)=1,1,0))</f>
        <v/>
      </c>
      <c r="N1487" s="6">
        <f>IF(AND(K1487="UNMAPPED",M1487=1),ROW(),"")</f>
        <v/>
      </c>
      <c r="O1487" s="6">
        <f>IF(AND(I1487=1,M1487=1),ROW(),"")</f>
        <v/>
      </c>
      <c r="P1487" s="6">
        <f>IF(AND(K1487="ignored",M1487=1),ROW(),"")</f>
        <v/>
      </c>
    </row>
    <row r="1488">
      <c r="A1488" s="8" t="n"/>
      <c r="B1488" s="8" t="n"/>
      <c r="C1488" s="6">
        <f>TRIM(A1488&amp;"")</f>
        <v/>
      </c>
      <c r="D1488" s="6">
        <f>IF(C1488="","",SUBSTITUTE(SUBSTITUTE(SUBSTITUTE(SUBSTITUTE(SUBSTITUTE(SUBSTITUTE(SUBSTITUTE(UPPER(TRIM(B1488&amp;"")),"₹",""),"RS.",""),"RS",""),"INR",""),"$",""),",","")," ",""))</f>
        <v/>
      </c>
      <c r="E1488" s="6">
        <f>IF(C1488="","",IF(RIGHT(D1488,2)="CR","Cr",IF(RIGHT(D1488,2)="DR","Dr","")))</f>
        <v/>
      </c>
      <c r="F1488" s="6">
        <f>IF(C1488="","",IF(E1488&lt;&gt;"",LEFT(D1488,LEN(D1488)-2),D1488))</f>
        <v/>
      </c>
      <c r="G1488" s="13">
        <f>IF(C1488="","",IF(OR(IF(AND(LEFT(F1488,1)="(",RIGHT(F1488,1)=")"),MID(F1488,2,LEN(F1488)-2),F1488)="",IF(AND(LEFT(F1488,1)="(",RIGHT(F1488,1)=")"),MID(F1488,2,LEN(F1488)-2),F1488)="-"),0,IFERROR(VALUE(IF(AND(LEFT(F1488,1)="(",RIGHT(F1488,1)=")"),MID(F1488,2,LEN(F1488)-2),F1488))*IF(AND(LEFT(F1488,1)="(",RIGHT(F1488,1)=")"),-1,1)*IF(E1488="Cr",Setup!$B$6,1),"ERR")))</f>
        <v/>
      </c>
      <c r="H1488" s="6">
        <f>IF(C1488="","",IF(ISNUMBER(G1488),1,0))</f>
        <v/>
      </c>
      <c r="I1488" s="6">
        <f>IF(C1488="","",IF(SUMPRODUCT(($C$12:$C$1511=C1488)*1)&gt;1,1,0))</f>
        <v/>
      </c>
      <c r="J1488" s="6">
        <f>IF(C1488="","",SUMPRODUCT((Mapping!$F$5:$F$504=Setup!$B$4&amp;"||"&amp;C1488)*ROW(Mapping!$F$5:$F$504)))</f>
        <v/>
      </c>
      <c r="K1488" s="6">
        <f>IF(C1488="","",IF(J1488=0,"UNMAPPED",LOWER(INDEX(Mapping!$D$1:$D$504,J1488))))</f>
        <v/>
      </c>
      <c r="L1488" s="6">
        <f>IF(K1488="mapped",TRIM(INDEX(Mapping!$C$1:$C$504,J1488)),"")</f>
        <v/>
      </c>
      <c r="M1488" s="6">
        <f>IF(C1488="","",IF(SUMPRODUCT(($C$12:C1488=C1488)*1)=1,1,0))</f>
        <v/>
      </c>
      <c r="N1488" s="6">
        <f>IF(AND(K1488="UNMAPPED",M1488=1),ROW(),"")</f>
        <v/>
      </c>
      <c r="O1488" s="6">
        <f>IF(AND(I1488=1,M1488=1),ROW(),"")</f>
        <v/>
      </c>
      <c r="P1488" s="6">
        <f>IF(AND(K1488="ignored",M1488=1),ROW(),"")</f>
        <v/>
      </c>
    </row>
    <row r="1489">
      <c r="A1489" s="8" t="n"/>
      <c r="B1489" s="8" t="n"/>
      <c r="C1489" s="6">
        <f>TRIM(A1489&amp;"")</f>
        <v/>
      </c>
      <c r="D1489" s="6">
        <f>IF(C1489="","",SUBSTITUTE(SUBSTITUTE(SUBSTITUTE(SUBSTITUTE(SUBSTITUTE(SUBSTITUTE(SUBSTITUTE(UPPER(TRIM(B1489&amp;"")),"₹",""),"RS.",""),"RS",""),"INR",""),"$",""),",","")," ",""))</f>
        <v/>
      </c>
      <c r="E1489" s="6">
        <f>IF(C1489="","",IF(RIGHT(D1489,2)="CR","Cr",IF(RIGHT(D1489,2)="DR","Dr","")))</f>
        <v/>
      </c>
      <c r="F1489" s="6">
        <f>IF(C1489="","",IF(E1489&lt;&gt;"",LEFT(D1489,LEN(D1489)-2),D1489))</f>
        <v/>
      </c>
      <c r="G1489" s="13">
        <f>IF(C1489="","",IF(OR(IF(AND(LEFT(F1489,1)="(",RIGHT(F1489,1)=")"),MID(F1489,2,LEN(F1489)-2),F1489)="",IF(AND(LEFT(F1489,1)="(",RIGHT(F1489,1)=")"),MID(F1489,2,LEN(F1489)-2),F1489)="-"),0,IFERROR(VALUE(IF(AND(LEFT(F1489,1)="(",RIGHT(F1489,1)=")"),MID(F1489,2,LEN(F1489)-2),F1489))*IF(AND(LEFT(F1489,1)="(",RIGHT(F1489,1)=")"),-1,1)*IF(E1489="Cr",Setup!$B$6,1),"ERR")))</f>
        <v/>
      </c>
      <c r="H1489" s="6">
        <f>IF(C1489="","",IF(ISNUMBER(G1489),1,0))</f>
        <v/>
      </c>
      <c r="I1489" s="6">
        <f>IF(C1489="","",IF(SUMPRODUCT(($C$12:$C$1511=C1489)*1)&gt;1,1,0))</f>
        <v/>
      </c>
      <c r="J1489" s="6">
        <f>IF(C1489="","",SUMPRODUCT((Mapping!$F$5:$F$504=Setup!$B$4&amp;"||"&amp;C1489)*ROW(Mapping!$F$5:$F$504)))</f>
        <v/>
      </c>
      <c r="K1489" s="6">
        <f>IF(C1489="","",IF(J1489=0,"UNMAPPED",LOWER(INDEX(Mapping!$D$1:$D$504,J1489))))</f>
        <v/>
      </c>
      <c r="L1489" s="6">
        <f>IF(K1489="mapped",TRIM(INDEX(Mapping!$C$1:$C$504,J1489)),"")</f>
        <v/>
      </c>
      <c r="M1489" s="6">
        <f>IF(C1489="","",IF(SUMPRODUCT(($C$12:C1489=C1489)*1)=1,1,0))</f>
        <v/>
      </c>
      <c r="N1489" s="6">
        <f>IF(AND(K1489="UNMAPPED",M1489=1),ROW(),"")</f>
        <v/>
      </c>
      <c r="O1489" s="6">
        <f>IF(AND(I1489=1,M1489=1),ROW(),"")</f>
        <v/>
      </c>
      <c r="P1489" s="6">
        <f>IF(AND(K1489="ignored",M1489=1),ROW(),"")</f>
        <v/>
      </c>
    </row>
    <row r="1490">
      <c r="A1490" s="8" t="n"/>
      <c r="B1490" s="8" t="n"/>
      <c r="C1490" s="6">
        <f>TRIM(A1490&amp;"")</f>
        <v/>
      </c>
      <c r="D1490" s="6">
        <f>IF(C1490="","",SUBSTITUTE(SUBSTITUTE(SUBSTITUTE(SUBSTITUTE(SUBSTITUTE(SUBSTITUTE(SUBSTITUTE(UPPER(TRIM(B1490&amp;"")),"₹",""),"RS.",""),"RS",""),"INR",""),"$",""),",","")," ",""))</f>
        <v/>
      </c>
      <c r="E1490" s="6">
        <f>IF(C1490="","",IF(RIGHT(D1490,2)="CR","Cr",IF(RIGHT(D1490,2)="DR","Dr","")))</f>
        <v/>
      </c>
      <c r="F1490" s="6">
        <f>IF(C1490="","",IF(E1490&lt;&gt;"",LEFT(D1490,LEN(D1490)-2),D1490))</f>
        <v/>
      </c>
      <c r="G1490" s="13">
        <f>IF(C1490="","",IF(OR(IF(AND(LEFT(F1490,1)="(",RIGHT(F1490,1)=")"),MID(F1490,2,LEN(F1490)-2),F1490)="",IF(AND(LEFT(F1490,1)="(",RIGHT(F1490,1)=")"),MID(F1490,2,LEN(F1490)-2),F1490)="-"),0,IFERROR(VALUE(IF(AND(LEFT(F1490,1)="(",RIGHT(F1490,1)=")"),MID(F1490,2,LEN(F1490)-2),F1490))*IF(AND(LEFT(F1490,1)="(",RIGHT(F1490,1)=")"),-1,1)*IF(E1490="Cr",Setup!$B$6,1),"ERR")))</f>
        <v/>
      </c>
      <c r="H1490" s="6">
        <f>IF(C1490="","",IF(ISNUMBER(G1490),1,0))</f>
        <v/>
      </c>
      <c r="I1490" s="6">
        <f>IF(C1490="","",IF(SUMPRODUCT(($C$12:$C$1511=C1490)*1)&gt;1,1,0))</f>
        <v/>
      </c>
      <c r="J1490" s="6">
        <f>IF(C1490="","",SUMPRODUCT((Mapping!$F$5:$F$504=Setup!$B$4&amp;"||"&amp;C1490)*ROW(Mapping!$F$5:$F$504)))</f>
        <v/>
      </c>
      <c r="K1490" s="6">
        <f>IF(C1490="","",IF(J1490=0,"UNMAPPED",LOWER(INDEX(Mapping!$D$1:$D$504,J1490))))</f>
        <v/>
      </c>
      <c r="L1490" s="6">
        <f>IF(K1490="mapped",TRIM(INDEX(Mapping!$C$1:$C$504,J1490)),"")</f>
        <v/>
      </c>
      <c r="M1490" s="6">
        <f>IF(C1490="","",IF(SUMPRODUCT(($C$12:C1490=C1490)*1)=1,1,0))</f>
        <v/>
      </c>
      <c r="N1490" s="6">
        <f>IF(AND(K1490="UNMAPPED",M1490=1),ROW(),"")</f>
        <v/>
      </c>
      <c r="O1490" s="6">
        <f>IF(AND(I1490=1,M1490=1),ROW(),"")</f>
        <v/>
      </c>
      <c r="P1490" s="6">
        <f>IF(AND(K1490="ignored",M1490=1),ROW(),"")</f>
        <v/>
      </c>
    </row>
    <row r="1491">
      <c r="A1491" s="8" t="n"/>
      <c r="B1491" s="8" t="n"/>
      <c r="C1491" s="6">
        <f>TRIM(A1491&amp;"")</f>
        <v/>
      </c>
      <c r="D1491" s="6">
        <f>IF(C1491="","",SUBSTITUTE(SUBSTITUTE(SUBSTITUTE(SUBSTITUTE(SUBSTITUTE(SUBSTITUTE(SUBSTITUTE(UPPER(TRIM(B1491&amp;"")),"₹",""),"RS.",""),"RS",""),"INR",""),"$",""),",","")," ",""))</f>
        <v/>
      </c>
      <c r="E1491" s="6">
        <f>IF(C1491="","",IF(RIGHT(D1491,2)="CR","Cr",IF(RIGHT(D1491,2)="DR","Dr","")))</f>
        <v/>
      </c>
      <c r="F1491" s="6">
        <f>IF(C1491="","",IF(E1491&lt;&gt;"",LEFT(D1491,LEN(D1491)-2),D1491))</f>
        <v/>
      </c>
      <c r="G1491" s="13">
        <f>IF(C1491="","",IF(OR(IF(AND(LEFT(F1491,1)="(",RIGHT(F1491,1)=")"),MID(F1491,2,LEN(F1491)-2),F1491)="",IF(AND(LEFT(F1491,1)="(",RIGHT(F1491,1)=")"),MID(F1491,2,LEN(F1491)-2),F1491)="-"),0,IFERROR(VALUE(IF(AND(LEFT(F1491,1)="(",RIGHT(F1491,1)=")"),MID(F1491,2,LEN(F1491)-2),F1491))*IF(AND(LEFT(F1491,1)="(",RIGHT(F1491,1)=")"),-1,1)*IF(E1491="Cr",Setup!$B$6,1),"ERR")))</f>
        <v/>
      </c>
      <c r="H1491" s="6">
        <f>IF(C1491="","",IF(ISNUMBER(G1491),1,0))</f>
        <v/>
      </c>
      <c r="I1491" s="6">
        <f>IF(C1491="","",IF(SUMPRODUCT(($C$12:$C$1511=C1491)*1)&gt;1,1,0))</f>
        <v/>
      </c>
      <c r="J1491" s="6">
        <f>IF(C1491="","",SUMPRODUCT((Mapping!$F$5:$F$504=Setup!$B$4&amp;"||"&amp;C1491)*ROW(Mapping!$F$5:$F$504)))</f>
        <v/>
      </c>
      <c r="K1491" s="6">
        <f>IF(C1491="","",IF(J1491=0,"UNMAPPED",LOWER(INDEX(Mapping!$D$1:$D$504,J1491))))</f>
        <v/>
      </c>
      <c r="L1491" s="6">
        <f>IF(K1491="mapped",TRIM(INDEX(Mapping!$C$1:$C$504,J1491)),"")</f>
        <v/>
      </c>
      <c r="M1491" s="6">
        <f>IF(C1491="","",IF(SUMPRODUCT(($C$12:C1491=C1491)*1)=1,1,0))</f>
        <v/>
      </c>
      <c r="N1491" s="6">
        <f>IF(AND(K1491="UNMAPPED",M1491=1),ROW(),"")</f>
        <v/>
      </c>
      <c r="O1491" s="6">
        <f>IF(AND(I1491=1,M1491=1),ROW(),"")</f>
        <v/>
      </c>
      <c r="P1491" s="6">
        <f>IF(AND(K1491="ignored",M1491=1),ROW(),"")</f>
        <v/>
      </c>
    </row>
    <row r="1492">
      <c r="A1492" s="8" t="n"/>
      <c r="B1492" s="8" t="n"/>
      <c r="C1492" s="6">
        <f>TRIM(A1492&amp;"")</f>
        <v/>
      </c>
      <c r="D1492" s="6">
        <f>IF(C1492="","",SUBSTITUTE(SUBSTITUTE(SUBSTITUTE(SUBSTITUTE(SUBSTITUTE(SUBSTITUTE(SUBSTITUTE(UPPER(TRIM(B1492&amp;"")),"₹",""),"RS.",""),"RS",""),"INR",""),"$",""),",","")," ",""))</f>
        <v/>
      </c>
      <c r="E1492" s="6">
        <f>IF(C1492="","",IF(RIGHT(D1492,2)="CR","Cr",IF(RIGHT(D1492,2)="DR","Dr","")))</f>
        <v/>
      </c>
      <c r="F1492" s="6">
        <f>IF(C1492="","",IF(E1492&lt;&gt;"",LEFT(D1492,LEN(D1492)-2),D1492))</f>
        <v/>
      </c>
      <c r="G1492" s="13">
        <f>IF(C1492="","",IF(OR(IF(AND(LEFT(F1492,1)="(",RIGHT(F1492,1)=")"),MID(F1492,2,LEN(F1492)-2),F1492)="",IF(AND(LEFT(F1492,1)="(",RIGHT(F1492,1)=")"),MID(F1492,2,LEN(F1492)-2),F1492)="-"),0,IFERROR(VALUE(IF(AND(LEFT(F1492,1)="(",RIGHT(F1492,1)=")"),MID(F1492,2,LEN(F1492)-2),F1492))*IF(AND(LEFT(F1492,1)="(",RIGHT(F1492,1)=")"),-1,1)*IF(E1492="Cr",Setup!$B$6,1),"ERR")))</f>
        <v/>
      </c>
      <c r="H1492" s="6">
        <f>IF(C1492="","",IF(ISNUMBER(G1492),1,0))</f>
        <v/>
      </c>
      <c r="I1492" s="6">
        <f>IF(C1492="","",IF(SUMPRODUCT(($C$12:$C$1511=C1492)*1)&gt;1,1,0))</f>
        <v/>
      </c>
      <c r="J1492" s="6">
        <f>IF(C1492="","",SUMPRODUCT((Mapping!$F$5:$F$504=Setup!$B$4&amp;"||"&amp;C1492)*ROW(Mapping!$F$5:$F$504)))</f>
        <v/>
      </c>
      <c r="K1492" s="6">
        <f>IF(C1492="","",IF(J1492=0,"UNMAPPED",LOWER(INDEX(Mapping!$D$1:$D$504,J1492))))</f>
        <v/>
      </c>
      <c r="L1492" s="6">
        <f>IF(K1492="mapped",TRIM(INDEX(Mapping!$C$1:$C$504,J1492)),"")</f>
        <v/>
      </c>
      <c r="M1492" s="6">
        <f>IF(C1492="","",IF(SUMPRODUCT(($C$12:C1492=C1492)*1)=1,1,0))</f>
        <v/>
      </c>
      <c r="N1492" s="6">
        <f>IF(AND(K1492="UNMAPPED",M1492=1),ROW(),"")</f>
        <v/>
      </c>
      <c r="O1492" s="6">
        <f>IF(AND(I1492=1,M1492=1),ROW(),"")</f>
        <v/>
      </c>
      <c r="P1492" s="6">
        <f>IF(AND(K1492="ignored",M1492=1),ROW(),"")</f>
        <v/>
      </c>
    </row>
    <row r="1493">
      <c r="A1493" s="8" t="n"/>
      <c r="B1493" s="8" t="n"/>
      <c r="C1493" s="6">
        <f>TRIM(A1493&amp;"")</f>
        <v/>
      </c>
      <c r="D1493" s="6">
        <f>IF(C1493="","",SUBSTITUTE(SUBSTITUTE(SUBSTITUTE(SUBSTITUTE(SUBSTITUTE(SUBSTITUTE(SUBSTITUTE(UPPER(TRIM(B1493&amp;"")),"₹",""),"RS.",""),"RS",""),"INR",""),"$",""),",","")," ",""))</f>
        <v/>
      </c>
      <c r="E1493" s="6">
        <f>IF(C1493="","",IF(RIGHT(D1493,2)="CR","Cr",IF(RIGHT(D1493,2)="DR","Dr","")))</f>
        <v/>
      </c>
      <c r="F1493" s="6">
        <f>IF(C1493="","",IF(E1493&lt;&gt;"",LEFT(D1493,LEN(D1493)-2),D1493))</f>
        <v/>
      </c>
      <c r="G1493" s="13">
        <f>IF(C1493="","",IF(OR(IF(AND(LEFT(F1493,1)="(",RIGHT(F1493,1)=")"),MID(F1493,2,LEN(F1493)-2),F1493)="",IF(AND(LEFT(F1493,1)="(",RIGHT(F1493,1)=")"),MID(F1493,2,LEN(F1493)-2),F1493)="-"),0,IFERROR(VALUE(IF(AND(LEFT(F1493,1)="(",RIGHT(F1493,1)=")"),MID(F1493,2,LEN(F1493)-2),F1493))*IF(AND(LEFT(F1493,1)="(",RIGHT(F1493,1)=")"),-1,1)*IF(E1493="Cr",Setup!$B$6,1),"ERR")))</f>
        <v/>
      </c>
      <c r="H1493" s="6">
        <f>IF(C1493="","",IF(ISNUMBER(G1493),1,0))</f>
        <v/>
      </c>
      <c r="I1493" s="6">
        <f>IF(C1493="","",IF(SUMPRODUCT(($C$12:$C$1511=C1493)*1)&gt;1,1,0))</f>
        <v/>
      </c>
      <c r="J1493" s="6">
        <f>IF(C1493="","",SUMPRODUCT((Mapping!$F$5:$F$504=Setup!$B$4&amp;"||"&amp;C1493)*ROW(Mapping!$F$5:$F$504)))</f>
        <v/>
      </c>
      <c r="K1493" s="6">
        <f>IF(C1493="","",IF(J1493=0,"UNMAPPED",LOWER(INDEX(Mapping!$D$1:$D$504,J1493))))</f>
        <v/>
      </c>
      <c r="L1493" s="6">
        <f>IF(K1493="mapped",TRIM(INDEX(Mapping!$C$1:$C$504,J1493)),"")</f>
        <v/>
      </c>
      <c r="M1493" s="6">
        <f>IF(C1493="","",IF(SUMPRODUCT(($C$12:C1493=C1493)*1)=1,1,0))</f>
        <v/>
      </c>
      <c r="N1493" s="6">
        <f>IF(AND(K1493="UNMAPPED",M1493=1),ROW(),"")</f>
        <v/>
      </c>
      <c r="O1493" s="6">
        <f>IF(AND(I1493=1,M1493=1),ROW(),"")</f>
        <v/>
      </c>
      <c r="P1493" s="6">
        <f>IF(AND(K1493="ignored",M1493=1),ROW(),"")</f>
        <v/>
      </c>
    </row>
    <row r="1494">
      <c r="A1494" s="8" t="n"/>
      <c r="B1494" s="8" t="n"/>
      <c r="C1494" s="6">
        <f>TRIM(A1494&amp;"")</f>
        <v/>
      </c>
      <c r="D1494" s="6">
        <f>IF(C1494="","",SUBSTITUTE(SUBSTITUTE(SUBSTITUTE(SUBSTITUTE(SUBSTITUTE(SUBSTITUTE(SUBSTITUTE(UPPER(TRIM(B1494&amp;"")),"₹",""),"RS.",""),"RS",""),"INR",""),"$",""),",","")," ",""))</f>
        <v/>
      </c>
      <c r="E1494" s="6">
        <f>IF(C1494="","",IF(RIGHT(D1494,2)="CR","Cr",IF(RIGHT(D1494,2)="DR","Dr","")))</f>
        <v/>
      </c>
      <c r="F1494" s="6">
        <f>IF(C1494="","",IF(E1494&lt;&gt;"",LEFT(D1494,LEN(D1494)-2),D1494))</f>
        <v/>
      </c>
      <c r="G1494" s="13">
        <f>IF(C1494="","",IF(OR(IF(AND(LEFT(F1494,1)="(",RIGHT(F1494,1)=")"),MID(F1494,2,LEN(F1494)-2),F1494)="",IF(AND(LEFT(F1494,1)="(",RIGHT(F1494,1)=")"),MID(F1494,2,LEN(F1494)-2),F1494)="-"),0,IFERROR(VALUE(IF(AND(LEFT(F1494,1)="(",RIGHT(F1494,1)=")"),MID(F1494,2,LEN(F1494)-2),F1494))*IF(AND(LEFT(F1494,1)="(",RIGHT(F1494,1)=")"),-1,1)*IF(E1494="Cr",Setup!$B$6,1),"ERR")))</f>
        <v/>
      </c>
      <c r="H1494" s="6">
        <f>IF(C1494="","",IF(ISNUMBER(G1494),1,0))</f>
        <v/>
      </c>
      <c r="I1494" s="6">
        <f>IF(C1494="","",IF(SUMPRODUCT(($C$12:$C$1511=C1494)*1)&gt;1,1,0))</f>
        <v/>
      </c>
      <c r="J1494" s="6">
        <f>IF(C1494="","",SUMPRODUCT((Mapping!$F$5:$F$504=Setup!$B$4&amp;"||"&amp;C1494)*ROW(Mapping!$F$5:$F$504)))</f>
        <v/>
      </c>
      <c r="K1494" s="6">
        <f>IF(C1494="","",IF(J1494=0,"UNMAPPED",LOWER(INDEX(Mapping!$D$1:$D$504,J1494))))</f>
        <v/>
      </c>
      <c r="L1494" s="6">
        <f>IF(K1494="mapped",TRIM(INDEX(Mapping!$C$1:$C$504,J1494)),"")</f>
        <v/>
      </c>
      <c r="M1494" s="6">
        <f>IF(C1494="","",IF(SUMPRODUCT(($C$12:C1494=C1494)*1)=1,1,0))</f>
        <v/>
      </c>
      <c r="N1494" s="6">
        <f>IF(AND(K1494="UNMAPPED",M1494=1),ROW(),"")</f>
        <v/>
      </c>
      <c r="O1494" s="6">
        <f>IF(AND(I1494=1,M1494=1),ROW(),"")</f>
        <v/>
      </c>
      <c r="P1494" s="6">
        <f>IF(AND(K1494="ignored",M1494=1),ROW(),"")</f>
        <v/>
      </c>
    </row>
    <row r="1495">
      <c r="A1495" s="8" t="n"/>
      <c r="B1495" s="8" t="n"/>
      <c r="C1495" s="6">
        <f>TRIM(A1495&amp;"")</f>
        <v/>
      </c>
      <c r="D1495" s="6">
        <f>IF(C1495="","",SUBSTITUTE(SUBSTITUTE(SUBSTITUTE(SUBSTITUTE(SUBSTITUTE(SUBSTITUTE(SUBSTITUTE(UPPER(TRIM(B1495&amp;"")),"₹",""),"RS.",""),"RS",""),"INR",""),"$",""),",","")," ",""))</f>
        <v/>
      </c>
      <c r="E1495" s="6">
        <f>IF(C1495="","",IF(RIGHT(D1495,2)="CR","Cr",IF(RIGHT(D1495,2)="DR","Dr","")))</f>
        <v/>
      </c>
      <c r="F1495" s="6">
        <f>IF(C1495="","",IF(E1495&lt;&gt;"",LEFT(D1495,LEN(D1495)-2),D1495))</f>
        <v/>
      </c>
      <c r="G1495" s="13">
        <f>IF(C1495="","",IF(OR(IF(AND(LEFT(F1495,1)="(",RIGHT(F1495,1)=")"),MID(F1495,2,LEN(F1495)-2),F1495)="",IF(AND(LEFT(F1495,1)="(",RIGHT(F1495,1)=")"),MID(F1495,2,LEN(F1495)-2),F1495)="-"),0,IFERROR(VALUE(IF(AND(LEFT(F1495,1)="(",RIGHT(F1495,1)=")"),MID(F1495,2,LEN(F1495)-2),F1495))*IF(AND(LEFT(F1495,1)="(",RIGHT(F1495,1)=")"),-1,1)*IF(E1495="Cr",Setup!$B$6,1),"ERR")))</f>
        <v/>
      </c>
      <c r="H1495" s="6">
        <f>IF(C1495="","",IF(ISNUMBER(G1495),1,0))</f>
        <v/>
      </c>
      <c r="I1495" s="6">
        <f>IF(C1495="","",IF(SUMPRODUCT(($C$12:$C$1511=C1495)*1)&gt;1,1,0))</f>
        <v/>
      </c>
      <c r="J1495" s="6">
        <f>IF(C1495="","",SUMPRODUCT((Mapping!$F$5:$F$504=Setup!$B$4&amp;"||"&amp;C1495)*ROW(Mapping!$F$5:$F$504)))</f>
        <v/>
      </c>
      <c r="K1495" s="6">
        <f>IF(C1495="","",IF(J1495=0,"UNMAPPED",LOWER(INDEX(Mapping!$D$1:$D$504,J1495))))</f>
        <v/>
      </c>
      <c r="L1495" s="6">
        <f>IF(K1495="mapped",TRIM(INDEX(Mapping!$C$1:$C$504,J1495)),"")</f>
        <v/>
      </c>
      <c r="M1495" s="6">
        <f>IF(C1495="","",IF(SUMPRODUCT(($C$12:C1495=C1495)*1)=1,1,0))</f>
        <v/>
      </c>
      <c r="N1495" s="6">
        <f>IF(AND(K1495="UNMAPPED",M1495=1),ROW(),"")</f>
        <v/>
      </c>
      <c r="O1495" s="6">
        <f>IF(AND(I1495=1,M1495=1),ROW(),"")</f>
        <v/>
      </c>
      <c r="P1495" s="6">
        <f>IF(AND(K1495="ignored",M1495=1),ROW(),"")</f>
        <v/>
      </c>
    </row>
    <row r="1496">
      <c r="A1496" s="8" t="n"/>
      <c r="B1496" s="8" t="n"/>
      <c r="C1496" s="6">
        <f>TRIM(A1496&amp;"")</f>
        <v/>
      </c>
      <c r="D1496" s="6">
        <f>IF(C1496="","",SUBSTITUTE(SUBSTITUTE(SUBSTITUTE(SUBSTITUTE(SUBSTITUTE(SUBSTITUTE(SUBSTITUTE(UPPER(TRIM(B1496&amp;"")),"₹",""),"RS.",""),"RS",""),"INR",""),"$",""),",","")," ",""))</f>
        <v/>
      </c>
      <c r="E1496" s="6">
        <f>IF(C1496="","",IF(RIGHT(D1496,2)="CR","Cr",IF(RIGHT(D1496,2)="DR","Dr","")))</f>
        <v/>
      </c>
      <c r="F1496" s="6">
        <f>IF(C1496="","",IF(E1496&lt;&gt;"",LEFT(D1496,LEN(D1496)-2),D1496))</f>
        <v/>
      </c>
      <c r="G1496" s="13">
        <f>IF(C1496="","",IF(OR(IF(AND(LEFT(F1496,1)="(",RIGHT(F1496,1)=")"),MID(F1496,2,LEN(F1496)-2),F1496)="",IF(AND(LEFT(F1496,1)="(",RIGHT(F1496,1)=")"),MID(F1496,2,LEN(F1496)-2),F1496)="-"),0,IFERROR(VALUE(IF(AND(LEFT(F1496,1)="(",RIGHT(F1496,1)=")"),MID(F1496,2,LEN(F1496)-2),F1496))*IF(AND(LEFT(F1496,1)="(",RIGHT(F1496,1)=")"),-1,1)*IF(E1496="Cr",Setup!$B$6,1),"ERR")))</f>
        <v/>
      </c>
      <c r="H1496" s="6">
        <f>IF(C1496="","",IF(ISNUMBER(G1496),1,0))</f>
        <v/>
      </c>
      <c r="I1496" s="6">
        <f>IF(C1496="","",IF(SUMPRODUCT(($C$12:$C$1511=C1496)*1)&gt;1,1,0))</f>
        <v/>
      </c>
      <c r="J1496" s="6">
        <f>IF(C1496="","",SUMPRODUCT((Mapping!$F$5:$F$504=Setup!$B$4&amp;"||"&amp;C1496)*ROW(Mapping!$F$5:$F$504)))</f>
        <v/>
      </c>
      <c r="K1496" s="6">
        <f>IF(C1496="","",IF(J1496=0,"UNMAPPED",LOWER(INDEX(Mapping!$D$1:$D$504,J1496))))</f>
        <v/>
      </c>
      <c r="L1496" s="6">
        <f>IF(K1496="mapped",TRIM(INDEX(Mapping!$C$1:$C$504,J1496)),"")</f>
        <v/>
      </c>
      <c r="M1496" s="6">
        <f>IF(C1496="","",IF(SUMPRODUCT(($C$12:C1496=C1496)*1)=1,1,0))</f>
        <v/>
      </c>
      <c r="N1496" s="6">
        <f>IF(AND(K1496="UNMAPPED",M1496=1),ROW(),"")</f>
        <v/>
      </c>
      <c r="O1496" s="6">
        <f>IF(AND(I1496=1,M1496=1),ROW(),"")</f>
        <v/>
      </c>
      <c r="P1496" s="6">
        <f>IF(AND(K1496="ignored",M1496=1),ROW(),"")</f>
        <v/>
      </c>
    </row>
    <row r="1497">
      <c r="A1497" s="8" t="n"/>
      <c r="B1497" s="8" t="n"/>
      <c r="C1497" s="6">
        <f>TRIM(A1497&amp;"")</f>
        <v/>
      </c>
      <c r="D1497" s="6">
        <f>IF(C1497="","",SUBSTITUTE(SUBSTITUTE(SUBSTITUTE(SUBSTITUTE(SUBSTITUTE(SUBSTITUTE(SUBSTITUTE(UPPER(TRIM(B1497&amp;"")),"₹",""),"RS.",""),"RS",""),"INR",""),"$",""),",","")," ",""))</f>
        <v/>
      </c>
      <c r="E1497" s="6">
        <f>IF(C1497="","",IF(RIGHT(D1497,2)="CR","Cr",IF(RIGHT(D1497,2)="DR","Dr","")))</f>
        <v/>
      </c>
      <c r="F1497" s="6">
        <f>IF(C1497="","",IF(E1497&lt;&gt;"",LEFT(D1497,LEN(D1497)-2),D1497))</f>
        <v/>
      </c>
      <c r="G1497" s="13">
        <f>IF(C1497="","",IF(OR(IF(AND(LEFT(F1497,1)="(",RIGHT(F1497,1)=")"),MID(F1497,2,LEN(F1497)-2),F1497)="",IF(AND(LEFT(F1497,1)="(",RIGHT(F1497,1)=")"),MID(F1497,2,LEN(F1497)-2),F1497)="-"),0,IFERROR(VALUE(IF(AND(LEFT(F1497,1)="(",RIGHT(F1497,1)=")"),MID(F1497,2,LEN(F1497)-2),F1497))*IF(AND(LEFT(F1497,1)="(",RIGHT(F1497,1)=")"),-1,1)*IF(E1497="Cr",Setup!$B$6,1),"ERR")))</f>
        <v/>
      </c>
      <c r="H1497" s="6">
        <f>IF(C1497="","",IF(ISNUMBER(G1497),1,0))</f>
        <v/>
      </c>
      <c r="I1497" s="6">
        <f>IF(C1497="","",IF(SUMPRODUCT(($C$12:$C$1511=C1497)*1)&gt;1,1,0))</f>
        <v/>
      </c>
      <c r="J1497" s="6">
        <f>IF(C1497="","",SUMPRODUCT((Mapping!$F$5:$F$504=Setup!$B$4&amp;"||"&amp;C1497)*ROW(Mapping!$F$5:$F$504)))</f>
        <v/>
      </c>
      <c r="K1497" s="6">
        <f>IF(C1497="","",IF(J1497=0,"UNMAPPED",LOWER(INDEX(Mapping!$D$1:$D$504,J1497))))</f>
        <v/>
      </c>
      <c r="L1497" s="6">
        <f>IF(K1497="mapped",TRIM(INDEX(Mapping!$C$1:$C$504,J1497)),"")</f>
        <v/>
      </c>
      <c r="M1497" s="6">
        <f>IF(C1497="","",IF(SUMPRODUCT(($C$12:C1497=C1497)*1)=1,1,0))</f>
        <v/>
      </c>
      <c r="N1497" s="6">
        <f>IF(AND(K1497="UNMAPPED",M1497=1),ROW(),"")</f>
        <v/>
      </c>
      <c r="O1497" s="6">
        <f>IF(AND(I1497=1,M1497=1),ROW(),"")</f>
        <v/>
      </c>
      <c r="P1497" s="6">
        <f>IF(AND(K1497="ignored",M1497=1),ROW(),"")</f>
        <v/>
      </c>
    </row>
    <row r="1498">
      <c r="A1498" s="8" t="n"/>
      <c r="B1498" s="8" t="n"/>
      <c r="C1498" s="6">
        <f>TRIM(A1498&amp;"")</f>
        <v/>
      </c>
      <c r="D1498" s="6">
        <f>IF(C1498="","",SUBSTITUTE(SUBSTITUTE(SUBSTITUTE(SUBSTITUTE(SUBSTITUTE(SUBSTITUTE(SUBSTITUTE(UPPER(TRIM(B1498&amp;"")),"₹",""),"RS.",""),"RS",""),"INR",""),"$",""),",","")," ",""))</f>
        <v/>
      </c>
      <c r="E1498" s="6">
        <f>IF(C1498="","",IF(RIGHT(D1498,2)="CR","Cr",IF(RIGHT(D1498,2)="DR","Dr","")))</f>
        <v/>
      </c>
      <c r="F1498" s="6">
        <f>IF(C1498="","",IF(E1498&lt;&gt;"",LEFT(D1498,LEN(D1498)-2),D1498))</f>
        <v/>
      </c>
      <c r="G1498" s="13">
        <f>IF(C1498="","",IF(OR(IF(AND(LEFT(F1498,1)="(",RIGHT(F1498,1)=")"),MID(F1498,2,LEN(F1498)-2),F1498)="",IF(AND(LEFT(F1498,1)="(",RIGHT(F1498,1)=")"),MID(F1498,2,LEN(F1498)-2),F1498)="-"),0,IFERROR(VALUE(IF(AND(LEFT(F1498,1)="(",RIGHT(F1498,1)=")"),MID(F1498,2,LEN(F1498)-2),F1498))*IF(AND(LEFT(F1498,1)="(",RIGHT(F1498,1)=")"),-1,1)*IF(E1498="Cr",Setup!$B$6,1),"ERR")))</f>
        <v/>
      </c>
      <c r="H1498" s="6">
        <f>IF(C1498="","",IF(ISNUMBER(G1498),1,0))</f>
        <v/>
      </c>
      <c r="I1498" s="6">
        <f>IF(C1498="","",IF(SUMPRODUCT(($C$12:$C$1511=C1498)*1)&gt;1,1,0))</f>
        <v/>
      </c>
      <c r="J1498" s="6">
        <f>IF(C1498="","",SUMPRODUCT((Mapping!$F$5:$F$504=Setup!$B$4&amp;"||"&amp;C1498)*ROW(Mapping!$F$5:$F$504)))</f>
        <v/>
      </c>
      <c r="K1498" s="6">
        <f>IF(C1498="","",IF(J1498=0,"UNMAPPED",LOWER(INDEX(Mapping!$D$1:$D$504,J1498))))</f>
        <v/>
      </c>
      <c r="L1498" s="6">
        <f>IF(K1498="mapped",TRIM(INDEX(Mapping!$C$1:$C$504,J1498)),"")</f>
        <v/>
      </c>
      <c r="M1498" s="6">
        <f>IF(C1498="","",IF(SUMPRODUCT(($C$12:C1498=C1498)*1)=1,1,0))</f>
        <v/>
      </c>
      <c r="N1498" s="6">
        <f>IF(AND(K1498="UNMAPPED",M1498=1),ROW(),"")</f>
        <v/>
      </c>
      <c r="O1498" s="6">
        <f>IF(AND(I1498=1,M1498=1),ROW(),"")</f>
        <v/>
      </c>
      <c r="P1498" s="6">
        <f>IF(AND(K1498="ignored",M1498=1),ROW(),"")</f>
        <v/>
      </c>
    </row>
    <row r="1499">
      <c r="A1499" s="8" t="n"/>
      <c r="B1499" s="8" t="n"/>
      <c r="C1499" s="6">
        <f>TRIM(A1499&amp;"")</f>
        <v/>
      </c>
      <c r="D1499" s="6">
        <f>IF(C1499="","",SUBSTITUTE(SUBSTITUTE(SUBSTITUTE(SUBSTITUTE(SUBSTITUTE(SUBSTITUTE(SUBSTITUTE(UPPER(TRIM(B1499&amp;"")),"₹",""),"RS.",""),"RS",""),"INR",""),"$",""),",","")," ",""))</f>
        <v/>
      </c>
      <c r="E1499" s="6">
        <f>IF(C1499="","",IF(RIGHT(D1499,2)="CR","Cr",IF(RIGHT(D1499,2)="DR","Dr","")))</f>
        <v/>
      </c>
      <c r="F1499" s="6">
        <f>IF(C1499="","",IF(E1499&lt;&gt;"",LEFT(D1499,LEN(D1499)-2),D1499))</f>
        <v/>
      </c>
      <c r="G1499" s="13">
        <f>IF(C1499="","",IF(OR(IF(AND(LEFT(F1499,1)="(",RIGHT(F1499,1)=")"),MID(F1499,2,LEN(F1499)-2),F1499)="",IF(AND(LEFT(F1499,1)="(",RIGHT(F1499,1)=")"),MID(F1499,2,LEN(F1499)-2),F1499)="-"),0,IFERROR(VALUE(IF(AND(LEFT(F1499,1)="(",RIGHT(F1499,1)=")"),MID(F1499,2,LEN(F1499)-2),F1499))*IF(AND(LEFT(F1499,1)="(",RIGHT(F1499,1)=")"),-1,1)*IF(E1499="Cr",Setup!$B$6,1),"ERR")))</f>
        <v/>
      </c>
      <c r="H1499" s="6">
        <f>IF(C1499="","",IF(ISNUMBER(G1499),1,0))</f>
        <v/>
      </c>
      <c r="I1499" s="6">
        <f>IF(C1499="","",IF(SUMPRODUCT(($C$12:$C$1511=C1499)*1)&gt;1,1,0))</f>
        <v/>
      </c>
      <c r="J1499" s="6">
        <f>IF(C1499="","",SUMPRODUCT((Mapping!$F$5:$F$504=Setup!$B$4&amp;"||"&amp;C1499)*ROW(Mapping!$F$5:$F$504)))</f>
        <v/>
      </c>
      <c r="K1499" s="6">
        <f>IF(C1499="","",IF(J1499=0,"UNMAPPED",LOWER(INDEX(Mapping!$D$1:$D$504,J1499))))</f>
        <v/>
      </c>
      <c r="L1499" s="6">
        <f>IF(K1499="mapped",TRIM(INDEX(Mapping!$C$1:$C$504,J1499)),"")</f>
        <v/>
      </c>
      <c r="M1499" s="6">
        <f>IF(C1499="","",IF(SUMPRODUCT(($C$12:C1499=C1499)*1)=1,1,0))</f>
        <v/>
      </c>
      <c r="N1499" s="6">
        <f>IF(AND(K1499="UNMAPPED",M1499=1),ROW(),"")</f>
        <v/>
      </c>
      <c r="O1499" s="6">
        <f>IF(AND(I1499=1,M1499=1),ROW(),"")</f>
        <v/>
      </c>
      <c r="P1499" s="6">
        <f>IF(AND(K1499="ignored",M1499=1),ROW(),"")</f>
        <v/>
      </c>
    </row>
    <row r="1500">
      <c r="A1500" s="8" t="n"/>
      <c r="B1500" s="8" t="n"/>
      <c r="C1500" s="6">
        <f>TRIM(A1500&amp;"")</f>
        <v/>
      </c>
      <c r="D1500" s="6">
        <f>IF(C1500="","",SUBSTITUTE(SUBSTITUTE(SUBSTITUTE(SUBSTITUTE(SUBSTITUTE(SUBSTITUTE(SUBSTITUTE(UPPER(TRIM(B1500&amp;"")),"₹",""),"RS.",""),"RS",""),"INR",""),"$",""),",","")," ",""))</f>
        <v/>
      </c>
      <c r="E1500" s="6">
        <f>IF(C1500="","",IF(RIGHT(D1500,2)="CR","Cr",IF(RIGHT(D1500,2)="DR","Dr","")))</f>
        <v/>
      </c>
      <c r="F1500" s="6">
        <f>IF(C1500="","",IF(E1500&lt;&gt;"",LEFT(D1500,LEN(D1500)-2),D1500))</f>
        <v/>
      </c>
      <c r="G1500" s="13">
        <f>IF(C1500="","",IF(OR(IF(AND(LEFT(F1500,1)="(",RIGHT(F1500,1)=")"),MID(F1500,2,LEN(F1500)-2),F1500)="",IF(AND(LEFT(F1500,1)="(",RIGHT(F1500,1)=")"),MID(F1500,2,LEN(F1500)-2),F1500)="-"),0,IFERROR(VALUE(IF(AND(LEFT(F1500,1)="(",RIGHT(F1500,1)=")"),MID(F1500,2,LEN(F1500)-2),F1500))*IF(AND(LEFT(F1500,1)="(",RIGHT(F1500,1)=")"),-1,1)*IF(E1500="Cr",Setup!$B$6,1),"ERR")))</f>
        <v/>
      </c>
      <c r="H1500" s="6">
        <f>IF(C1500="","",IF(ISNUMBER(G1500),1,0))</f>
        <v/>
      </c>
      <c r="I1500" s="6">
        <f>IF(C1500="","",IF(SUMPRODUCT(($C$12:$C$1511=C1500)*1)&gt;1,1,0))</f>
        <v/>
      </c>
      <c r="J1500" s="6">
        <f>IF(C1500="","",SUMPRODUCT((Mapping!$F$5:$F$504=Setup!$B$4&amp;"||"&amp;C1500)*ROW(Mapping!$F$5:$F$504)))</f>
        <v/>
      </c>
      <c r="K1500" s="6">
        <f>IF(C1500="","",IF(J1500=0,"UNMAPPED",LOWER(INDEX(Mapping!$D$1:$D$504,J1500))))</f>
        <v/>
      </c>
      <c r="L1500" s="6">
        <f>IF(K1500="mapped",TRIM(INDEX(Mapping!$C$1:$C$504,J1500)),"")</f>
        <v/>
      </c>
      <c r="M1500" s="6">
        <f>IF(C1500="","",IF(SUMPRODUCT(($C$12:C1500=C1500)*1)=1,1,0))</f>
        <v/>
      </c>
      <c r="N1500" s="6">
        <f>IF(AND(K1500="UNMAPPED",M1500=1),ROW(),"")</f>
        <v/>
      </c>
      <c r="O1500" s="6">
        <f>IF(AND(I1500=1,M1500=1),ROW(),"")</f>
        <v/>
      </c>
      <c r="P1500" s="6">
        <f>IF(AND(K1500="ignored",M1500=1),ROW(),"")</f>
        <v/>
      </c>
    </row>
    <row r="1501">
      <c r="A1501" s="8" t="n"/>
      <c r="B1501" s="8" t="n"/>
      <c r="C1501" s="6">
        <f>TRIM(A1501&amp;"")</f>
        <v/>
      </c>
      <c r="D1501" s="6">
        <f>IF(C1501="","",SUBSTITUTE(SUBSTITUTE(SUBSTITUTE(SUBSTITUTE(SUBSTITUTE(SUBSTITUTE(SUBSTITUTE(UPPER(TRIM(B1501&amp;"")),"₹",""),"RS.",""),"RS",""),"INR",""),"$",""),",","")," ",""))</f>
        <v/>
      </c>
      <c r="E1501" s="6">
        <f>IF(C1501="","",IF(RIGHT(D1501,2)="CR","Cr",IF(RIGHT(D1501,2)="DR","Dr","")))</f>
        <v/>
      </c>
      <c r="F1501" s="6">
        <f>IF(C1501="","",IF(E1501&lt;&gt;"",LEFT(D1501,LEN(D1501)-2),D1501))</f>
        <v/>
      </c>
      <c r="G1501" s="13">
        <f>IF(C1501="","",IF(OR(IF(AND(LEFT(F1501,1)="(",RIGHT(F1501,1)=")"),MID(F1501,2,LEN(F1501)-2),F1501)="",IF(AND(LEFT(F1501,1)="(",RIGHT(F1501,1)=")"),MID(F1501,2,LEN(F1501)-2),F1501)="-"),0,IFERROR(VALUE(IF(AND(LEFT(F1501,1)="(",RIGHT(F1501,1)=")"),MID(F1501,2,LEN(F1501)-2),F1501))*IF(AND(LEFT(F1501,1)="(",RIGHT(F1501,1)=")"),-1,1)*IF(E1501="Cr",Setup!$B$6,1),"ERR")))</f>
        <v/>
      </c>
      <c r="H1501" s="6">
        <f>IF(C1501="","",IF(ISNUMBER(G1501),1,0))</f>
        <v/>
      </c>
      <c r="I1501" s="6">
        <f>IF(C1501="","",IF(SUMPRODUCT(($C$12:$C$1511=C1501)*1)&gt;1,1,0))</f>
        <v/>
      </c>
      <c r="J1501" s="6">
        <f>IF(C1501="","",SUMPRODUCT((Mapping!$F$5:$F$504=Setup!$B$4&amp;"||"&amp;C1501)*ROW(Mapping!$F$5:$F$504)))</f>
        <v/>
      </c>
      <c r="K1501" s="6">
        <f>IF(C1501="","",IF(J1501=0,"UNMAPPED",LOWER(INDEX(Mapping!$D$1:$D$504,J1501))))</f>
        <v/>
      </c>
      <c r="L1501" s="6">
        <f>IF(K1501="mapped",TRIM(INDEX(Mapping!$C$1:$C$504,J1501)),"")</f>
        <v/>
      </c>
      <c r="M1501" s="6">
        <f>IF(C1501="","",IF(SUMPRODUCT(($C$12:C1501=C1501)*1)=1,1,0))</f>
        <v/>
      </c>
      <c r="N1501" s="6">
        <f>IF(AND(K1501="UNMAPPED",M1501=1),ROW(),"")</f>
        <v/>
      </c>
      <c r="O1501" s="6">
        <f>IF(AND(I1501=1,M1501=1),ROW(),"")</f>
        <v/>
      </c>
      <c r="P1501" s="6">
        <f>IF(AND(K1501="ignored",M1501=1),ROW(),"")</f>
        <v/>
      </c>
    </row>
    <row r="1502">
      <c r="A1502" s="8" t="n"/>
      <c r="B1502" s="8" t="n"/>
      <c r="C1502" s="6">
        <f>TRIM(A1502&amp;"")</f>
        <v/>
      </c>
      <c r="D1502" s="6">
        <f>IF(C1502="","",SUBSTITUTE(SUBSTITUTE(SUBSTITUTE(SUBSTITUTE(SUBSTITUTE(SUBSTITUTE(SUBSTITUTE(UPPER(TRIM(B1502&amp;"")),"₹",""),"RS.",""),"RS",""),"INR",""),"$",""),",","")," ",""))</f>
        <v/>
      </c>
      <c r="E1502" s="6">
        <f>IF(C1502="","",IF(RIGHT(D1502,2)="CR","Cr",IF(RIGHT(D1502,2)="DR","Dr","")))</f>
        <v/>
      </c>
      <c r="F1502" s="6">
        <f>IF(C1502="","",IF(E1502&lt;&gt;"",LEFT(D1502,LEN(D1502)-2),D1502))</f>
        <v/>
      </c>
      <c r="G1502" s="13">
        <f>IF(C1502="","",IF(OR(IF(AND(LEFT(F1502,1)="(",RIGHT(F1502,1)=")"),MID(F1502,2,LEN(F1502)-2),F1502)="",IF(AND(LEFT(F1502,1)="(",RIGHT(F1502,1)=")"),MID(F1502,2,LEN(F1502)-2),F1502)="-"),0,IFERROR(VALUE(IF(AND(LEFT(F1502,1)="(",RIGHT(F1502,1)=")"),MID(F1502,2,LEN(F1502)-2),F1502))*IF(AND(LEFT(F1502,1)="(",RIGHT(F1502,1)=")"),-1,1)*IF(E1502="Cr",Setup!$B$6,1),"ERR")))</f>
        <v/>
      </c>
      <c r="H1502" s="6">
        <f>IF(C1502="","",IF(ISNUMBER(G1502),1,0))</f>
        <v/>
      </c>
      <c r="I1502" s="6">
        <f>IF(C1502="","",IF(SUMPRODUCT(($C$12:$C$1511=C1502)*1)&gt;1,1,0))</f>
        <v/>
      </c>
      <c r="J1502" s="6">
        <f>IF(C1502="","",SUMPRODUCT((Mapping!$F$5:$F$504=Setup!$B$4&amp;"||"&amp;C1502)*ROW(Mapping!$F$5:$F$504)))</f>
        <v/>
      </c>
      <c r="K1502" s="6">
        <f>IF(C1502="","",IF(J1502=0,"UNMAPPED",LOWER(INDEX(Mapping!$D$1:$D$504,J1502))))</f>
        <v/>
      </c>
      <c r="L1502" s="6">
        <f>IF(K1502="mapped",TRIM(INDEX(Mapping!$C$1:$C$504,J1502)),"")</f>
        <v/>
      </c>
      <c r="M1502" s="6">
        <f>IF(C1502="","",IF(SUMPRODUCT(($C$12:C1502=C1502)*1)=1,1,0))</f>
        <v/>
      </c>
      <c r="N1502" s="6">
        <f>IF(AND(K1502="UNMAPPED",M1502=1),ROW(),"")</f>
        <v/>
      </c>
      <c r="O1502" s="6">
        <f>IF(AND(I1502=1,M1502=1),ROW(),"")</f>
        <v/>
      </c>
      <c r="P1502" s="6">
        <f>IF(AND(K1502="ignored",M1502=1),ROW(),"")</f>
        <v/>
      </c>
    </row>
    <row r="1503">
      <c r="A1503" s="8" t="n"/>
      <c r="B1503" s="8" t="n"/>
      <c r="C1503" s="6">
        <f>TRIM(A1503&amp;"")</f>
        <v/>
      </c>
      <c r="D1503" s="6">
        <f>IF(C1503="","",SUBSTITUTE(SUBSTITUTE(SUBSTITUTE(SUBSTITUTE(SUBSTITUTE(SUBSTITUTE(SUBSTITUTE(UPPER(TRIM(B1503&amp;"")),"₹",""),"RS.",""),"RS",""),"INR",""),"$",""),",","")," ",""))</f>
        <v/>
      </c>
      <c r="E1503" s="6">
        <f>IF(C1503="","",IF(RIGHT(D1503,2)="CR","Cr",IF(RIGHT(D1503,2)="DR","Dr","")))</f>
        <v/>
      </c>
      <c r="F1503" s="6">
        <f>IF(C1503="","",IF(E1503&lt;&gt;"",LEFT(D1503,LEN(D1503)-2),D1503))</f>
        <v/>
      </c>
      <c r="G1503" s="13">
        <f>IF(C1503="","",IF(OR(IF(AND(LEFT(F1503,1)="(",RIGHT(F1503,1)=")"),MID(F1503,2,LEN(F1503)-2),F1503)="",IF(AND(LEFT(F1503,1)="(",RIGHT(F1503,1)=")"),MID(F1503,2,LEN(F1503)-2),F1503)="-"),0,IFERROR(VALUE(IF(AND(LEFT(F1503,1)="(",RIGHT(F1503,1)=")"),MID(F1503,2,LEN(F1503)-2),F1503))*IF(AND(LEFT(F1503,1)="(",RIGHT(F1503,1)=")"),-1,1)*IF(E1503="Cr",Setup!$B$6,1),"ERR")))</f>
        <v/>
      </c>
      <c r="H1503" s="6">
        <f>IF(C1503="","",IF(ISNUMBER(G1503),1,0))</f>
        <v/>
      </c>
      <c r="I1503" s="6">
        <f>IF(C1503="","",IF(SUMPRODUCT(($C$12:$C$1511=C1503)*1)&gt;1,1,0))</f>
        <v/>
      </c>
      <c r="J1503" s="6">
        <f>IF(C1503="","",SUMPRODUCT((Mapping!$F$5:$F$504=Setup!$B$4&amp;"||"&amp;C1503)*ROW(Mapping!$F$5:$F$504)))</f>
        <v/>
      </c>
      <c r="K1503" s="6">
        <f>IF(C1503="","",IF(J1503=0,"UNMAPPED",LOWER(INDEX(Mapping!$D$1:$D$504,J1503))))</f>
        <v/>
      </c>
      <c r="L1503" s="6">
        <f>IF(K1503="mapped",TRIM(INDEX(Mapping!$C$1:$C$504,J1503)),"")</f>
        <v/>
      </c>
      <c r="M1503" s="6">
        <f>IF(C1503="","",IF(SUMPRODUCT(($C$12:C1503=C1503)*1)=1,1,0))</f>
        <v/>
      </c>
      <c r="N1503" s="6">
        <f>IF(AND(K1503="UNMAPPED",M1503=1),ROW(),"")</f>
        <v/>
      </c>
      <c r="O1503" s="6">
        <f>IF(AND(I1503=1,M1503=1),ROW(),"")</f>
        <v/>
      </c>
      <c r="P1503" s="6">
        <f>IF(AND(K1503="ignored",M1503=1),ROW(),"")</f>
        <v/>
      </c>
    </row>
    <row r="1504">
      <c r="A1504" s="8" t="n"/>
      <c r="B1504" s="8" t="n"/>
      <c r="C1504" s="6">
        <f>TRIM(A1504&amp;"")</f>
        <v/>
      </c>
      <c r="D1504" s="6">
        <f>IF(C1504="","",SUBSTITUTE(SUBSTITUTE(SUBSTITUTE(SUBSTITUTE(SUBSTITUTE(SUBSTITUTE(SUBSTITUTE(UPPER(TRIM(B1504&amp;"")),"₹",""),"RS.",""),"RS",""),"INR",""),"$",""),",","")," ",""))</f>
        <v/>
      </c>
      <c r="E1504" s="6">
        <f>IF(C1504="","",IF(RIGHT(D1504,2)="CR","Cr",IF(RIGHT(D1504,2)="DR","Dr","")))</f>
        <v/>
      </c>
      <c r="F1504" s="6">
        <f>IF(C1504="","",IF(E1504&lt;&gt;"",LEFT(D1504,LEN(D1504)-2),D1504))</f>
        <v/>
      </c>
      <c r="G1504" s="13">
        <f>IF(C1504="","",IF(OR(IF(AND(LEFT(F1504,1)="(",RIGHT(F1504,1)=")"),MID(F1504,2,LEN(F1504)-2),F1504)="",IF(AND(LEFT(F1504,1)="(",RIGHT(F1504,1)=")"),MID(F1504,2,LEN(F1504)-2),F1504)="-"),0,IFERROR(VALUE(IF(AND(LEFT(F1504,1)="(",RIGHT(F1504,1)=")"),MID(F1504,2,LEN(F1504)-2),F1504))*IF(AND(LEFT(F1504,1)="(",RIGHT(F1504,1)=")"),-1,1)*IF(E1504="Cr",Setup!$B$6,1),"ERR")))</f>
        <v/>
      </c>
      <c r="H1504" s="6">
        <f>IF(C1504="","",IF(ISNUMBER(G1504),1,0))</f>
        <v/>
      </c>
      <c r="I1504" s="6">
        <f>IF(C1504="","",IF(SUMPRODUCT(($C$12:$C$1511=C1504)*1)&gt;1,1,0))</f>
        <v/>
      </c>
      <c r="J1504" s="6">
        <f>IF(C1504="","",SUMPRODUCT((Mapping!$F$5:$F$504=Setup!$B$4&amp;"||"&amp;C1504)*ROW(Mapping!$F$5:$F$504)))</f>
        <v/>
      </c>
      <c r="K1504" s="6">
        <f>IF(C1504="","",IF(J1504=0,"UNMAPPED",LOWER(INDEX(Mapping!$D$1:$D$504,J1504))))</f>
        <v/>
      </c>
      <c r="L1504" s="6">
        <f>IF(K1504="mapped",TRIM(INDEX(Mapping!$C$1:$C$504,J1504)),"")</f>
        <v/>
      </c>
      <c r="M1504" s="6">
        <f>IF(C1504="","",IF(SUMPRODUCT(($C$12:C1504=C1504)*1)=1,1,0))</f>
        <v/>
      </c>
      <c r="N1504" s="6">
        <f>IF(AND(K1504="UNMAPPED",M1504=1),ROW(),"")</f>
        <v/>
      </c>
      <c r="O1504" s="6">
        <f>IF(AND(I1504=1,M1504=1),ROW(),"")</f>
        <v/>
      </c>
      <c r="P1504" s="6">
        <f>IF(AND(K1504="ignored",M1504=1),ROW(),"")</f>
        <v/>
      </c>
    </row>
    <row r="1505">
      <c r="A1505" s="8" t="n"/>
      <c r="B1505" s="8" t="n"/>
      <c r="C1505" s="6">
        <f>TRIM(A1505&amp;"")</f>
        <v/>
      </c>
      <c r="D1505" s="6">
        <f>IF(C1505="","",SUBSTITUTE(SUBSTITUTE(SUBSTITUTE(SUBSTITUTE(SUBSTITUTE(SUBSTITUTE(SUBSTITUTE(UPPER(TRIM(B1505&amp;"")),"₹",""),"RS.",""),"RS",""),"INR",""),"$",""),",","")," ",""))</f>
        <v/>
      </c>
      <c r="E1505" s="6">
        <f>IF(C1505="","",IF(RIGHT(D1505,2)="CR","Cr",IF(RIGHT(D1505,2)="DR","Dr","")))</f>
        <v/>
      </c>
      <c r="F1505" s="6">
        <f>IF(C1505="","",IF(E1505&lt;&gt;"",LEFT(D1505,LEN(D1505)-2),D1505))</f>
        <v/>
      </c>
      <c r="G1505" s="13">
        <f>IF(C1505="","",IF(OR(IF(AND(LEFT(F1505,1)="(",RIGHT(F1505,1)=")"),MID(F1505,2,LEN(F1505)-2),F1505)="",IF(AND(LEFT(F1505,1)="(",RIGHT(F1505,1)=")"),MID(F1505,2,LEN(F1505)-2),F1505)="-"),0,IFERROR(VALUE(IF(AND(LEFT(F1505,1)="(",RIGHT(F1505,1)=")"),MID(F1505,2,LEN(F1505)-2),F1505))*IF(AND(LEFT(F1505,1)="(",RIGHT(F1505,1)=")"),-1,1)*IF(E1505="Cr",Setup!$B$6,1),"ERR")))</f>
        <v/>
      </c>
      <c r="H1505" s="6">
        <f>IF(C1505="","",IF(ISNUMBER(G1505),1,0))</f>
        <v/>
      </c>
      <c r="I1505" s="6">
        <f>IF(C1505="","",IF(SUMPRODUCT(($C$12:$C$1511=C1505)*1)&gt;1,1,0))</f>
        <v/>
      </c>
      <c r="J1505" s="6">
        <f>IF(C1505="","",SUMPRODUCT((Mapping!$F$5:$F$504=Setup!$B$4&amp;"||"&amp;C1505)*ROW(Mapping!$F$5:$F$504)))</f>
        <v/>
      </c>
      <c r="K1505" s="6">
        <f>IF(C1505="","",IF(J1505=0,"UNMAPPED",LOWER(INDEX(Mapping!$D$1:$D$504,J1505))))</f>
        <v/>
      </c>
      <c r="L1505" s="6">
        <f>IF(K1505="mapped",TRIM(INDEX(Mapping!$C$1:$C$504,J1505)),"")</f>
        <v/>
      </c>
      <c r="M1505" s="6">
        <f>IF(C1505="","",IF(SUMPRODUCT(($C$12:C1505=C1505)*1)=1,1,0))</f>
        <v/>
      </c>
      <c r="N1505" s="6">
        <f>IF(AND(K1505="UNMAPPED",M1505=1),ROW(),"")</f>
        <v/>
      </c>
      <c r="O1505" s="6">
        <f>IF(AND(I1505=1,M1505=1),ROW(),"")</f>
        <v/>
      </c>
      <c r="P1505" s="6">
        <f>IF(AND(K1505="ignored",M1505=1),ROW(),"")</f>
        <v/>
      </c>
    </row>
    <row r="1506">
      <c r="A1506" s="8" t="n"/>
      <c r="B1506" s="8" t="n"/>
      <c r="C1506" s="6">
        <f>TRIM(A1506&amp;"")</f>
        <v/>
      </c>
      <c r="D1506" s="6">
        <f>IF(C1506="","",SUBSTITUTE(SUBSTITUTE(SUBSTITUTE(SUBSTITUTE(SUBSTITUTE(SUBSTITUTE(SUBSTITUTE(UPPER(TRIM(B1506&amp;"")),"₹",""),"RS.",""),"RS",""),"INR",""),"$",""),",","")," ",""))</f>
        <v/>
      </c>
      <c r="E1506" s="6">
        <f>IF(C1506="","",IF(RIGHT(D1506,2)="CR","Cr",IF(RIGHT(D1506,2)="DR","Dr","")))</f>
        <v/>
      </c>
      <c r="F1506" s="6">
        <f>IF(C1506="","",IF(E1506&lt;&gt;"",LEFT(D1506,LEN(D1506)-2),D1506))</f>
        <v/>
      </c>
      <c r="G1506" s="13">
        <f>IF(C1506="","",IF(OR(IF(AND(LEFT(F1506,1)="(",RIGHT(F1506,1)=")"),MID(F1506,2,LEN(F1506)-2),F1506)="",IF(AND(LEFT(F1506,1)="(",RIGHT(F1506,1)=")"),MID(F1506,2,LEN(F1506)-2),F1506)="-"),0,IFERROR(VALUE(IF(AND(LEFT(F1506,1)="(",RIGHT(F1506,1)=")"),MID(F1506,2,LEN(F1506)-2),F1506))*IF(AND(LEFT(F1506,1)="(",RIGHT(F1506,1)=")"),-1,1)*IF(E1506="Cr",Setup!$B$6,1),"ERR")))</f>
        <v/>
      </c>
      <c r="H1506" s="6">
        <f>IF(C1506="","",IF(ISNUMBER(G1506),1,0))</f>
        <v/>
      </c>
      <c r="I1506" s="6">
        <f>IF(C1506="","",IF(SUMPRODUCT(($C$12:$C$1511=C1506)*1)&gt;1,1,0))</f>
        <v/>
      </c>
      <c r="J1506" s="6">
        <f>IF(C1506="","",SUMPRODUCT((Mapping!$F$5:$F$504=Setup!$B$4&amp;"||"&amp;C1506)*ROW(Mapping!$F$5:$F$504)))</f>
        <v/>
      </c>
      <c r="K1506" s="6">
        <f>IF(C1506="","",IF(J1506=0,"UNMAPPED",LOWER(INDEX(Mapping!$D$1:$D$504,J1506))))</f>
        <v/>
      </c>
      <c r="L1506" s="6">
        <f>IF(K1506="mapped",TRIM(INDEX(Mapping!$C$1:$C$504,J1506)),"")</f>
        <v/>
      </c>
      <c r="M1506" s="6">
        <f>IF(C1506="","",IF(SUMPRODUCT(($C$12:C1506=C1506)*1)=1,1,0))</f>
        <v/>
      </c>
      <c r="N1506" s="6">
        <f>IF(AND(K1506="UNMAPPED",M1506=1),ROW(),"")</f>
        <v/>
      </c>
      <c r="O1506" s="6">
        <f>IF(AND(I1506=1,M1506=1),ROW(),"")</f>
        <v/>
      </c>
      <c r="P1506" s="6">
        <f>IF(AND(K1506="ignored",M1506=1),ROW(),"")</f>
        <v/>
      </c>
    </row>
    <row r="1507">
      <c r="A1507" s="8" t="n"/>
      <c r="B1507" s="8" t="n"/>
      <c r="C1507" s="6">
        <f>TRIM(A1507&amp;"")</f>
        <v/>
      </c>
      <c r="D1507" s="6">
        <f>IF(C1507="","",SUBSTITUTE(SUBSTITUTE(SUBSTITUTE(SUBSTITUTE(SUBSTITUTE(SUBSTITUTE(SUBSTITUTE(UPPER(TRIM(B1507&amp;"")),"₹",""),"RS.",""),"RS",""),"INR",""),"$",""),",","")," ",""))</f>
        <v/>
      </c>
      <c r="E1507" s="6">
        <f>IF(C1507="","",IF(RIGHT(D1507,2)="CR","Cr",IF(RIGHT(D1507,2)="DR","Dr","")))</f>
        <v/>
      </c>
      <c r="F1507" s="6">
        <f>IF(C1507="","",IF(E1507&lt;&gt;"",LEFT(D1507,LEN(D1507)-2),D1507))</f>
        <v/>
      </c>
      <c r="G1507" s="13">
        <f>IF(C1507="","",IF(OR(IF(AND(LEFT(F1507,1)="(",RIGHT(F1507,1)=")"),MID(F1507,2,LEN(F1507)-2),F1507)="",IF(AND(LEFT(F1507,1)="(",RIGHT(F1507,1)=")"),MID(F1507,2,LEN(F1507)-2),F1507)="-"),0,IFERROR(VALUE(IF(AND(LEFT(F1507,1)="(",RIGHT(F1507,1)=")"),MID(F1507,2,LEN(F1507)-2),F1507))*IF(AND(LEFT(F1507,1)="(",RIGHT(F1507,1)=")"),-1,1)*IF(E1507="Cr",Setup!$B$6,1),"ERR")))</f>
        <v/>
      </c>
      <c r="H1507" s="6">
        <f>IF(C1507="","",IF(ISNUMBER(G1507),1,0))</f>
        <v/>
      </c>
      <c r="I1507" s="6">
        <f>IF(C1507="","",IF(SUMPRODUCT(($C$12:$C$1511=C1507)*1)&gt;1,1,0))</f>
        <v/>
      </c>
      <c r="J1507" s="6">
        <f>IF(C1507="","",SUMPRODUCT((Mapping!$F$5:$F$504=Setup!$B$4&amp;"||"&amp;C1507)*ROW(Mapping!$F$5:$F$504)))</f>
        <v/>
      </c>
      <c r="K1507" s="6">
        <f>IF(C1507="","",IF(J1507=0,"UNMAPPED",LOWER(INDEX(Mapping!$D$1:$D$504,J1507))))</f>
        <v/>
      </c>
      <c r="L1507" s="6">
        <f>IF(K1507="mapped",TRIM(INDEX(Mapping!$C$1:$C$504,J1507)),"")</f>
        <v/>
      </c>
      <c r="M1507" s="6">
        <f>IF(C1507="","",IF(SUMPRODUCT(($C$12:C1507=C1507)*1)=1,1,0))</f>
        <v/>
      </c>
      <c r="N1507" s="6">
        <f>IF(AND(K1507="UNMAPPED",M1507=1),ROW(),"")</f>
        <v/>
      </c>
      <c r="O1507" s="6">
        <f>IF(AND(I1507=1,M1507=1),ROW(),"")</f>
        <v/>
      </c>
      <c r="P1507" s="6">
        <f>IF(AND(K1507="ignored",M1507=1),ROW(),"")</f>
        <v/>
      </c>
    </row>
    <row r="1508">
      <c r="A1508" s="8" t="n"/>
      <c r="B1508" s="8" t="n"/>
      <c r="C1508" s="6">
        <f>TRIM(A1508&amp;"")</f>
        <v/>
      </c>
      <c r="D1508" s="6">
        <f>IF(C1508="","",SUBSTITUTE(SUBSTITUTE(SUBSTITUTE(SUBSTITUTE(SUBSTITUTE(SUBSTITUTE(SUBSTITUTE(UPPER(TRIM(B1508&amp;"")),"₹",""),"RS.",""),"RS",""),"INR",""),"$",""),",","")," ",""))</f>
        <v/>
      </c>
      <c r="E1508" s="6">
        <f>IF(C1508="","",IF(RIGHT(D1508,2)="CR","Cr",IF(RIGHT(D1508,2)="DR","Dr","")))</f>
        <v/>
      </c>
      <c r="F1508" s="6">
        <f>IF(C1508="","",IF(E1508&lt;&gt;"",LEFT(D1508,LEN(D1508)-2),D1508))</f>
        <v/>
      </c>
      <c r="G1508" s="13">
        <f>IF(C1508="","",IF(OR(IF(AND(LEFT(F1508,1)="(",RIGHT(F1508,1)=")"),MID(F1508,2,LEN(F1508)-2),F1508)="",IF(AND(LEFT(F1508,1)="(",RIGHT(F1508,1)=")"),MID(F1508,2,LEN(F1508)-2),F1508)="-"),0,IFERROR(VALUE(IF(AND(LEFT(F1508,1)="(",RIGHT(F1508,1)=")"),MID(F1508,2,LEN(F1508)-2),F1508))*IF(AND(LEFT(F1508,1)="(",RIGHT(F1508,1)=")"),-1,1)*IF(E1508="Cr",Setup!$B$6,1),"ERR")))</f>
        <v/>
      </c>
      <c r="H1508" s="6">
        <f>IF(C1508="","",IF(ISNUMBER(G1508),1,0))</f>
        <v/>
      </c>
      <c r="I1508" s="6">
        <f>IF(C1508="","",IF(SUMPRODUCT(($C$12:$C$1511=C1508)*1)&gt;1,1,0))</f>
        <v/>
      </c>
      <c r="J1508" s="6">
        <f>IF(C1508="","",SUMPRODUCT((Mapping!$F$5:$F$504=Setup!$B$4&amp;"||"&amp;C1508)*ROW(Mapping!$F$5:$F$504)))</f>
        <v/>
      </c>
      <c r="K1508" s="6">
        <f>IF(C1508="","",IF(J1508=0,"UNMAPPED",LOWER(INDEX(Mapping!$D$1:$D$504,J1508))))</f>
        <v/>
      </c>
      <c r="L1508" s="6">
        <f>IF(K1508="mapped",TRIM(INDEX(Mapping!$C$1:$C$504,J1508)),"")</f>
        <v/>
      </c>
      <c r="M1508" s="6">
        <f>IF(C1508="","",IF(SUMPRODUCT(($C$12:C1508=C1508)*1)=1,1,0))</f>
        <v/>
      </c>
      <c r="N1508" s="6">
        <f>IF(AND(K1508="UNMAPPED",M1508=1),ROW(),"")</f>
        <v/>
      </c>
      <c r="O1508" s="6">
        <f>IF(AND(I1508=1,M1508=1),ROW(),"")</f>
        <v/>
      </c>
      <c r="P1508" s="6">
        <f>IF(AND(K1508="ignored",M1508=1),ROW(),"")</f>
        <v/>
      </c>
    </row>
    <row r="1509">
      <c r="A1509" s="8" t="n"/>
      <c r="B1509" s="8" t="n"/>
      <c r="C1509" s="6">
        <f>TRIM(A1509&amp;"")</f>
        <v/>
      </c>
      <c r="D1509" s="6">
        <f>IF(C1509="","",SUBSTITUTE(SUBSTITUTE(SUBSTITUTE(SUBSTITUTE(SUBSTITUTE(SUBSTITUTE(SUBSTITUTE(UPPER(TRIM(B1509&amp;"")),"₹",""),"RS.",""),"RS",""),"INR",""),"$",""),",","")," ",""))</f>
        <v/>
      </c>
      <c r="E1509" s="6">
        <f>IF(C1509="","",IF(RIGHT(D1509,2)="CR","Cr",IF(RIGHT(D1509,2)="DR","Dr","")))</f>
        <v/>
      </c>
      <c r="F1509" s="6">
        <f>IF(C1509="","",IF(E1509&lt;&gt;"",LEFT(D1509,LEN(D1509)-2),D1509))</f>
        <v/>
      </c>
      <c r="G1509" s="13">
        <f>IF(C1509="","",IF(OR(IF(AND(LEFT(F1509,1)="(",RIGHT(F1509,1)=")"),MID(F1509,2,LEN(F1509)-2),F1509)="",IF(AND(LEFT(F1509,1)="(",RIGHT(F1509,1)=")"),MID(F1509,2,LEN(F1509)-2),F1509)="-"),0,IFERROR(VALUE(IF(AND(LEFT(F1509,1)="(",RIGHT(F1509,1)=")"),MID(F1509,2,LEN(F1509)-2),F1509))*IF(AND(LEFT(F1509,1)="(",RIGHT(F1509,1)=")"),-1,1)*IF(E1509="Cr",Setup!$B$6,1),"ERR")))</f>
        <v/>
      </c>
      <c r="H1509" s="6">
        <f>IF(C1509="","",IF(ISNUMBER(G1509),1,0))</f>
        <v/>
      </c>
      <c r="I1509" s="6">
        <f>IF(C1509="","",IF(SUMPRODUCT(($C$12:$C$1511=C1509)*1)&gt;1,1,0))</f>
        <v/>
      </c>
      <c r="J1509" s="6">
        <f>IF(C1509="","",SUMPRODUCT((Mapping!$F$5:$F$504=Setup!$B$4&amp;"||"&amp;C1509)*ROW(Mapping!$F$5:$F$504)))</f>
        <v/>
      </c>
      <c r="K1509" s="6">
        <f>IF(C1509="","",IF(J1509=0,"UNMAPPED",LOWER(INDEX(Mapping!$D$1:$D$504,J1509))))</f>
        <v/>
      </c>
      <c r="L1509" s="6">
        <f>IF(K1509="mapped",TRIM(INDEX(Mapping!$C$1:$C$504,J1509)),"")</f>
        <v/>
      </c>
      <c r="M1509" s="6">
        <f>IF(C1509="","",IF(SUMPRODUCT(($C$12:C1509=C1509)*1)=1,1,0))</f>
        <v/>
      </c>
      <c r="N1509" s="6">
        <f>IF(AND(K1509="UNMAPPED",M1509=1),ROW(),"")</f>
        <v/>
      </c>
      <c r="O1509" s="6">
        <f>IF(AND(I1509=1,M1509=1),ROW(),"")</f>
        <v/>
      </c>
      <c r="P1509" s="6">
        <f>IF(AND(K1509="ignored",M1509=1),ROW(),"")</f>
        <v/>
      </c>
    </row>
    <row r="1510">
      <c r="A1510" s="8" t="n"/>
      <c r="B1510" s="8" t="n"/>
      <c r="C1510" s="6">
        <f>TRIM(A1510&amp;"")</f>
        <v/>
      </c>
      <c r="D1510" s="6">
        <f>IF(C1510="","",SUBSTITUTE(SUBSTITUTE(SUBSTITUTE(SUBSTITUTE(SUBSTITUTE(SUBSTITUTE(SUBSTITUTE(UPPER(TRIM(B1510&amp;"")),"₹",""),"RS.",""),"RS",""),"INR",""),"$",""),",","")," ",""))</f>
        <v/>
      </c>
      <c r="E1510" s="6">
        <f>IF(C1510="","",IF(RIGHT(D1510,2)="CR","Cr",IF(RIGHT(D1510,2)="DR","Dr","")))</f>
        <v/>
      </c>
      <c r="F1510" s="6">
        <f>IF(C1510="","",IF(E1510&lt;&gt;"",LEFT(D1510,LEN(D1510)-2),D1510))</f>
        <v/>
      </c>
      <c r="G1510" s="13">
        <f>IF(C1510="","",IF(OR(IF(AND(LEFT(F1510,1)="(",RIGHT(F1510,1)=")"),MID(F1510,2,LEN(F1510)-2),F1510)="",IF(AND(LEFT(F1510,1)="(",RIGHT(F1510,1)=")"),MID(F1510,2,LEN(F1510)-2),F1510)="-"),0,IFERROR(VALUE(IF(AND(LEFT(F1510,1)="(",RIGHT(F1510,1)=")"),MID(F1510,2,LEN(F1510)-2),F1510))*IF(AND(LEFT(F1510,1)="(",RIGHT(F1510,1)=")"),-1,1)*IF(E1510="Cr",Setup!$B$6,1),"ERR")))</f>
        <v/>
      </c>
      <c r="H1510" s="6">
        <f>IF(C1510="","",IF(ISNUMBER(G1510),1,0))</f>
        <v/>
      </c>
      <c r="I1510" s="6">
        <f>IF(C1510="","",IF(SUMPRODUCT(($C$12:$C$1511=C1510)*1)&gt;1,1,0))</f>
        <v/>
      </c>
      <c r="J1510" s="6">
        <f>IF(C1510="","",SUMPRODUCT((Mapping!$F$5:$F$504=Setup!$B$4&amp;"||"&amp;C1510)*ROW(Mapping!$F$5:$F$504)))</f>
        <v/>
      </c>
      <c r="K1510" s="6">
        <f>IF(C1510="","",IF(J1510=0,"UNMAPPED",LOWER(INDEX(Mapping!$D$1:$D$504,J1510))))</f>
        <v/>
      </c>
      <c r="L1510" s="6">
        <f>IF(K1510="mapped",TRIM(INDEX(Mapping!$C$1:$C$504,J1510)),"")</f>
        <v/>
      </c>
      <c r="M1510" s="6">
        <f>IF(C1510="","",IF(SUMPRODUCT(($C$12:C1510=C1510)*1)=1,1,0))</f>
        <v/>
      </c>
      <c r="N1510" s="6">
        <f>IF(AND(K1510="UNMAPPED",M1510=1),ROW(),"")</f>
        <v/>
      </c>
      <c r="O1510" s="6">
        <f>IF(AND(I1510=1,M1510=1),ROW(),"")</f>
        <v/>
      </c>
      <c r="P1510" s="6">
        <f>IF(AND(K1510="ignored",M1510=1),ROW(),"")</f>
        <v/>
      </c>
    </row>
    <row r="1511">
      <c r="A1511" s="8" t="n"/>
      <c r="B1511" s="8" t="n"/>
      <c r="C1511" s="6">
        <f>TRIM(A1511&amp;"")</f>
        <v/>
      </c>
      <c r="D1511" s="6">
        <f>IF(C1511="","",SUBSTITUTE(SUBSTITUTE(SUBSTITUTE(SUBSTITUTE(SUBSTITUTE(SUBSTITUTE(SUBSTITUTE(UPPER(TRIM(B1511&amp;"")),"₹",""),"RS.",""),"RS",""),"INR",""),"$",""),",","")," ",""))</f>
        <v/>
      </c>
      <c r="E1511" s="6">
        <f>IF(C1511="","",IF(RIGHT(D1511,2)="CR","Cr",IF(RIGHT(D1511,2)="DR","Dr","")))</f>
        <v/>
      </c>
      <c r="F1511" s="6">
        <f>IF(C1511="","",IF(E1511&lt;&gt;"",LEFT(D1511,LEN(D1511)-2),D1511))</f>
        <v/>
      </c>
      <c r="G1511" s="13">
        <f>IF(C1511="","",IF(OR(IF(AND(LEFT(F1511,1)="(",RIGHT(F1511,1)=")"),MID(F1511,2,LEN(F1511)-2),F1511)="",IF(AND(LEFT(F1511,1)="(",RIGHT(F1511,1)=")"),MID(F1511,2,LEN(F1511)-2),F1511)="-"),0,IFERROR(VALUE(IF(AND(LEFT(F1511,1)="(",RIGHT(F1511,1)=")"),MID(F1511,2,LEN(F1511)-2),F1511))*IF(AND(LEFT(F1511,1)="(",RIGHT(F1511,1)=")"),-1,1)*IF(E1511="Cr",Setup!$B$6,1),"ERR")))</f>
        <v/>
      </c>
      <c r="H1511" s="6">
        <f>IF(C1511="","",IF(ISNUMBER(G1511),1,0))</f>
        <v/>
      </c>
      <c r="I1511" s="6">
        <f>IF(C1511="","",IF(SUMPRODUCT(($C$12:$C$1511=C1511)*1)&gt;1,1,0))</f>
        <v/>
      </c>
      <c r="J1511" s="6">
        <f>IF(C1511="","",SUMPRODUCT((Mapping!$F$5:$F$504=Setup!$B$4&amp;"||"&amp;C1511)*ROW(Mapping!$F$5:$F$504)))</f>
        <v/>
      </c>
      <c r="K1511" s="6">
        <f>IF(C1511="","",IF(J1511=0,"UNMAPPED",LOWER(INDEX(Mapping!$D$1:$D$504,J1511))))</f>
        <v/>
      </c>
      <c r="L1511" s="6">
        <f>IF(K1511="mapped",TRIM(INDEX(Mapping!$C$1:$C$504,J1511)),"")</f>
        <v/>
      </c>
      <c r="M1511" s="6">
        <f>IF(C1511="","",IF(SUMPRODUCT(($C$12:C1511=C1511)*1)=1,1,0))</f>
        <v/>
      </c>
      <c r="N1511" s="6">
        <f>IF(AND(K1511="UNMAPPED",M1511=1),ROW(),"")</f>
        <v/>
      </c>
      <c r="O1511" s="6">
        <f>IF(AND(I1511=1,M1511=1),ROW(),"")</f>
        <v/>
      </c>
      <c r="P1511" s="6">
        <f>IF(AND(K1511="ignored",M1511=1),ROW(),"")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8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34" customWidth="1" min="4" max="4"/>
    <col width="16" customWidth="1" min="5" max="5"/>
    <col width="16" customWidth="1" min="6" max="6"/>
    <col width="14" customWidth="1" min="7" max="7"/>
    <col width="12" customWidth="1" min="8" max="8"/>
    <col width="12" customWidth="1" min="9" max="9"/>
    <col width="40" customWidth="1" min="11" max="11"/>
  </cols>
  <sheetData>
    <row r="1">
      <c r="A1" s="1" t="inlineStr">
        <is>
          <t>Results: mapped totals by target, expected totals and variances; lists of problems</t>
        </is>
      </c>
    </row>
    <row r="2"/>
    <row r="3">
      <c r="A3" t="inlineStr">
        <is>
          <t>expected totals provided and all within tolerance (TRUE when none provided)</t>
        </is>
      </c>
      <c r="B3" s="6">
        <f>AND(COUNTIF(I6:I105,FALSE)=0,COUNTIF(L6:L105,FALSE)=0)</f>
        <v/>
      </c>
    </row>
    <row r="4"/>
    <row r="5">
      <c r="A5" s="7" t="inlineStr">
        <is>
          <t>mapped target</t>
        </is>
      </c>
      <c r="B5" s="7" t="inlineStr">
        <is>
          <t>mapped total</t>
        </is>
      </c>
      <c r="D5" s="7" t="inlineStr">
        <is>
          <t>expected target</t>
        </is>
      </c>
      <c r="E5" s="7" t="inlineStr">
        <is>
          <t>expected</t>
        </is>
      </c>
      <c r="F5" s="7" t="inlineStr">
        <is>
          <t>mapped</t>
        </is>
      </c>
      <c r="G5" s="7" t="inlineStr">
        <is>
          <t>variance</t>
        </is>
      </c>
      <c r="H5" s="7" t="inlineStr">
        <is>
          <t>variance_pct</t>
        </is>
      </c>
      <c r="I5" s="7" t="inlineStr">
        <is>
          <t>within_tolerance</t>
        </is>
      </c>
      <c r="K5" s="7" t="inlineStr">
        <is>
          <t>mapped target missing from expected (compared to 0)</t>
        </is>
      </c>
      <c r="L5" s="7" t="inlineStr">
        <is>
          <t>within?</t>
        </is>
      </c>
    </row>
    <row r="6">
      <c r="A6" s="6">
        <f>IFERROR(INDEX(Mapping!$C$1:$C$504,SMALL(Mapping!$H$5:$H$504,1)),"")</f>
        <v/>
      </c>
      <c r="B6" s="13">
        <f>IF(A6="","",SUMIF(Reconcile!$L$12:$L$1511,A6,Reconcile!$G$12:$G$1511))</f>
        <v/>
      </c>
      <c r="D6" s="8" t="inlineStr">
        <is>
          <t>income_statement.revenue</t>
        </is>
      </c>
      <c r="E6" s="14" t="n">
        <v>-293800000</v>
      </c>
      <c r="F6" s="13">
        <f>IF(D6="","",SUMIF(Reconcile!$L$12:$L$1511,D6,Reconcile!$G$12:$G$1511))</f>
        <v/>
      </c>
      <c r="G6" s="13">
        <f>IF(D6="","",F6-N(E6))</f>
        <v/>
      </c>
      <c r="H6" s="15">
        <f>IF(D6="","",IF(N(E6)=0,0,G6/E6))</f>
        <v/>
      </c>
      <c r="I6" s="6">
        <f>IF(D6="","",IF(N(E6)=0,F6=0,ABS(H6)&lt;=Setup!$B$5))</f>
        <v/>
      </c>
      <c r="K6" s="6">
        <f>IF(OR(A6="",SUMPRODUCT(($D$6:$D$105&lt;&gt;"")*1)=0),"",IF(SUMPRODUCT(($D$6:$D$105=A6)*1)&gt;0,"",A6))</f>
        <v/>
      </c>
      <c r="L6" s="6">
        <f>IF(K6="","",B6=0)</f>
        <v/>
      </c>
    </row>
    <row r="7">
      <c r="A7" s="6">
        <f>IFERROR(INDEX(Mapping!$C$1:$C$504,SMALL(Mapping!$H$5:$H$504,2)),"")</f>
        <v/>
      </c>
      <c r="B7" s="13">
        <f>IF(A7="","",SUMIF(Reconcile!$L$12:$L$1511,A7,Reconcile!$G$12:$G$1511))</f>
        <v/>
      </c>
      <c r="D7" s="8" t="inlineStr">
        <is>
          <t>income_statement.cogs</t>
        </is>
      </c>
      <c r="E7" s="14" t="n">
        <v>170700000</v>
      </c>
      <c r="F7" s="13">
        <f>IF(D7="","",SUMIF(Reconcile!$L$12:$L$1511,D7,Reconcile!$G$12:$G$1511))</f>
        <v/>
      </c>
      <c r="G7" s="13">
        <f>IF(D7="","",F7-N(E7))</f>
        <v/>
      </c>
      <c r="H7" s="15">
        <f>IF(D7="","",IF(N(E7)=0,0,G7/E7))</f>
        <v/>
      </c>
      <c r="I7" s="6">
        <f>IF(D7="","",IF(N(E7)=0,F7=0,ABS(H7)&lt;=Setup!$B$5))</f>
        <v/>
      </c>
      <c r="K7" s="6">
        <f>IF(OR(A7="",SUMPRODUCT(($D$6:$D$105&lt;&gt;"")*1)=0),"",IF(SUMPRODUCT(($D$6:$D$105=A7)*1)&gt;0,"",A7))</f>
        <v/>
      </c>
      <c r="L7" s="6">
        <f>IF(K7="","",B7=0)</f>
        <v/>
      </c>
    </row>
    <row r="8">
      <c r="A8" s="6">
        <f>IFERROR(INDEX(Mapping!$C$1:$C$504,SMALL(Mapping!$H$5:$H$504,3)),"")</f>
        <v/>
      </c>
      <c r="B8" s="13">
        <f>IF(A8="","",SUMIF(Reconcile!$L$12:$L$1511,A8,Reconcile!$G$12:$G$1511))</f>
        <v/>
      </c>
      <c r="D8" s="8" t="inlineStr">
        <is>
          <t>opex.payroll</t>
        </is>
      </c>
      <c r="E8" s="14" t="n">
        <v>28440000</v>
      </c>
      <c r="F8" s="13">
        <f>IF(D8="","",SUMIF(Reconcile!$L$12:$L$1511,D8,Reconcile!$G$12:$G$1511))</f>
        <v/>
      </c>
      <c r="G8" s="13">
        <f>IF(D8="","",F8-N(E8))</f>
        <v/>
      </c>
      <c r="H8" s="15">
        <f>IF(D8="","",IF(N(E8)=0,0,G8/E8))</f>
        <v/>
      </c>
      <c r="I8" s="6">
        <f>IF(D8="","",IF(N(E8)=0,F8=0,ABS(H8)&lt;=Setup!$B$5))</f>
        <v/>
      </c>
      <c r="K8" s="6">
        <f>IF(OR(A8="",SUMPRODUCT(($D$6:$D$105&lt;&gt;"")*1)=0),"",IF(SUMPRODUCT(($D$6:$D$105=A8)*1)&gt;0,"",A8))</f>
        <v/>
      </c>
      <c r="L8" s="6">
        <f>IF(K8="","",B8=0)</f>
        <v/>
      </c>
    </row>
    <row r="9">
      <c r="A9" s="6">
        <f>IFERROR(INDEX(Mapping!$C$1:$C$504,SMALL(Mapping!$H$5:$H$504,4)),"")</f>
        <v/>
      </c>
      <c r="B9" s="13">
        <f>IF(A9="","",SUMIF(Reconcile!$L$12:$L$1511,A9,Reconcile!$G$12:$G$1511))</f>
        <v/>
      </c>
      <c r="D9" s="8" t="inlineStr">
        <is>
          <t>opex.marketing</t>
        </is>
      </c>
      <c r="E9" s="14" t="n">
        <v>16800000</v>
      </c>
      <c r="F9" s="13">
        <f>IF(D9="","",SUMIF(Reconcile!$L$12:$L$1511,D9,Reconcile!$G$12:$G$1511))</f>
        <v/>
      </c>
      <c r="G9" s="13">
        <f>IF(D9="","",F9-N(E9))</f>
        <v/>
      </c>
      <c r="H9" s="15">
        <f>IF(D9="","",IF(N(E9)=0,0,G9/E9))</f>
        <v/>
      </c>
      <c r="I9" s="6">
        <f>IF(D9="","",IF(N(E9)=0,F9=0,ABS(H9)&lt;=Setup!$B$5))</f>
        <v/>
      </c>
      <c r="K9" s="6">
        <f>IF(OR(A9="",SUMPRODUCT(($D$6:$D$105&lt;&gt;"")*1)=0),"",IF(SUMPRODUCT(($D$6:$D$105=A9)*1)&gt;0,"",A9))</f>
        <v/>
      </c>
      <c r="L9" s="6">
        <f>IF(K9="","",B9=0)</f>
        <v/>
      </c>
    </row>
    <row r="10">
      <c r="A10" s="6">
        <f>IFERROR(INDEX(Mapping!$C$1:$C$504,SMALL(Mapping!$H$5:$H$504,5)),"")</f>
        <v/>
      </c>
      <c r="B10" s="13">
        <f>IF(A10="","",SUMIF(Reconcile!$L$12:$L$1511,A10,Reconcile!$G$12:$G$1511))</f>
        <v/>
      </c>
      <c r="D10" s="8" t="inlineStr">
        <is>
          <t>opex.freight</t>
        </is>
      </c>
      <c r="E10" s="14" t="n">
        <v>10900000</v>
      </c>
      <c r="F10" s="13">
        <f>IF(D10="","",SUMIF(Reconcile!$L$12:$L$1511,D10,Reconcile!$G$12:$G$1511))</f>
        <v/>
      </c>
      <c r="G10" s="13">
        <f>IF(D10="","",F10-N(E10))</f>
        <v/>
      </c>
      <c r="H10" s="15">
        <f>IF(D10="","",IF(N(E10)=0,0,G10/E10))</f>
        <v/>
      </c>
      <c r="I10" s="6">
        <f>IF(D10="","",IF(N(E10)=0,F10=0,ABS(H10)&lt;=Setup!$B$5))</f>
        <v/>
      </c>
      <c r="K10" s="6">
        <f>IF(OR(A10="",SUMPRODUCT(($D$6:$D$105&lt;&gt;"")*1)=0),"",IF(SUMPRODUCT(($D$6:$D$105=A10)*1)&gt;0,"",A10))</f>
        <v/>
      </c>
      <c r="L10" s="6">
        <f>IF(K10="","",B10=0)</f>
        <v/>
      </c>
    </row>
    <row r="11">
      <c r="A11" s="6">
        <f>IFERROR(INDEX(Mapping!$C$1:$C$504,SMALL(Mapping!$H$5:$H$504,6)),"")</f>
        <v/>
      </c>
      <c r="B11" s="13">
        <f>IF(A11="","",SUMIF(Reconcile!$L$12:$L$1511,A11,Reconcile!$G$12:$G$1511))</f>
        <v/>
      </c>
      <c r="D11" s="8" t="inlineStr">
        <is>
          <t>opex.rent_facilities</t>
        </is>
      </c>
      <c r="E11" s="14" t="n">
        <v>7800000</v>
      </c>
      <c r="F11" s="13">
        <f>IF(D11="","",SUMIF(Reconcile!$L$12:$L$1511,D11,Reconcile!$G$12:$G$1511))</f>
        <v/>
      </c>
      <c r="G11" s="13">
        <f>IF(D11="","",F11-N(E11))</f>
        <v/>
      </c>
      <c r="H11" s="15">
        <f>IF(D11="","",IF(N(E11)=0,0,G11/E11))</f>
        <v/>
      </c>
      <c r="I11" s="6">
        <f>IF(D11="","",IF(N(E11)=0,F11=0,ABS(H11)&lt;=Setup!$B$5))</f>
        <v/>
      </c>
      <c r="K11" s="6">
        <f>IF(OR(A11="",SUMPRODUCT(($D$6:$D$105&lt;&gt;"")*1)=0),"",IF(SUMPRODUCT(($D$6:$D$105=A11)*1)&gt;0,"",A11))</f>
        <v/>
      </c>
      <c r="L11" s="6">
        <f>IF(K11="","",B11=0)</f>
        <v/>
      </c>
    </row>
    <row r="12">
      <c r="A12" s="6">
        <f>IFERROR(INDEX(Mapping!$C$1:$C$504,SMALL(Mapping!$H$5:$H$504,7)),"")</f>
        <v/>
      </c>
      <c r="B12" s="13">
        <f>IF(A12="","",SUMIF(Reconcile!$L$12:$L$1511,A12,Reconcile!$G$12:$G$1511))</f>
        <v/>
      </c>
      <c r="D12" s="8" t="inlineStr">
        <is>
          <t>opex.admin</t>
        </is>
      </c>
      <c r="E12" s="14" t="n">
        <v>4600000</v>
      </c>
      <c r="F12" s="13">
        <f>IF(D12="","",SUMIF(Reconcile!$L$12:$L$1511,D12,Reconcile!$G$12:$G$1511))</f>
        <v/>
      </c>
      <c r="G12" s="13">
        <f>IF(D12="","",F12-N(E12))</f>
        <v/>
      </c>
      <c r="H12" s="15">
        <f>IF(D12="","",IF(N(E12)=0,0,G12/E12))</f>
        <v/>
      </c>
      <c r="I12" s="6">
        <f>IF(D12="","",IF(N(E12)=0,F12=0,ABS(H12)&lt;=Setup!$B$5))</f>
        <v/>
      </c>
      <c r="K12" s="6">
        <f>IF(OR(A12="",SUMPRODUCT(($D$6:$D$105&lt;&gt;"")*1)=0),"",IF(SUMPRODUCT(($D$6:$D$105=A12)*1)&gt;0,"",A12))</f>
        <v/>
      </c>
      <c r="L12" s="6">
        <f>IF(K12="","",B12=0)</f>
        <v/>
      </c>
    </row>
    <row r="13">
      <c r="A13" s="6">
        <f>IFERROR(INDEX(Mapping!$C$1:$C$504,SMALL(Mapping!$H$5:$H$504,8)),"")</f>
        <v/>
      </c>
      <c r="B13" s="13">
        <f>IF(A13="","",SUMIF(Reconcile!$L$12:$L$1511,A13,Reconcile!$G$12:$G$1511))</f>
        <v/>
      </c>
      <c r="D13" s="8" t="inlineStr">
        <is>
          <t>da</t>
        </is>
      </c>
      <c r="E13" s="14" t="n">
        <v>10200000</v>
      </c>
      <c r="F13" s="13">
        <f>IF(D13="","",SUMIF(Reconcile!$L$12:$L$1511,D13,Reconcile!$G$12:$G$1511))</f>
        <v/>
      </c>
      <c r="G13" s="13">
        <f>IF(D13="","",F13-N(E13))</f>
        <v/>
      </c>
      <c r="H13" s="15">
        <f>IF(D13="","",IF(N(E13)=0,0,G13/E13))</f>
        <v/>
      </c>
      <c r="I13" s="6">
        <f>IF(D13="","",IF(N(E13)=0,F13=0,ABS(H13)&lt;=Setup!$B$5))</f>
        <v/>
      </c>
      <c r="K13" s="6">
        <f>IF(OR(A13="",SUMPRODUCT(($D$6:$D$105&lt;&gt;"")*1)=0),"",IF(SUMPRODUCT(($D$6:$D$105=A13)*1)&gt;0,"",A13))</f>
        <v/>
      </c>
      <c r="L13" s="6">
        <f>IF(K13="","",B13=0)</f>
        <v/>
      </c>
    </row>
    <row r="14">
      <c r="A14" s="6">
        <f>IFERROR(INDEX(Mapping!$C$1:$C$504,SMALL(Mapping!$H$5:$H$504,9)),"")</f>
        <v/>
      </c>
      <c r="B14" s="13">
        <f>IF(A14="","",SUMIF(Reconcile!$L$12:$L$1511,A14,Reconcile!$G$12:$G$1511))</f>
        <v/>
      </c>
      <c r="D14" s="8" t="n"/>
      <c r="E14" s="14" t="n"/>
      <c r="F14" s="13">
        <f>IF(D14="","",SUMIF(Reconcile!$L$12:$L$1511,D14,Reconcile!$G$12:$G$1511))</f>
        <v/>
      </c>
      <c r="G14" s="13">
        <f>IF(D14="","",F14-N(E14))</f>
        <v/>
      </c>
      <c r="H14" s="15">
        <f>IF(D14="","",IF(N(E14)=0,0,G14/E14))</f>
        <v/>
      </c>
      <c r="I14" s="6">
        <f>IF(D14="","",IF(N(E14)=0,F14=0,ABS(H14)&lt;=Setup!$B$5))</f>
        <v/>
      </c>
      <c r="K14" s="6">
        <f>IF(OR(A14="",SUMPRODUCT(($D$6:$D$105&lt;&gt;"")*1)=0),"",IF(SUMPRODUCT(($D$6:$D$105=A14)*1)&gt;0,"",A14))</f>
        <v/>
      </c>
      <c r="L14" s="6">
        <f>IF(K14="","",B14=0)</f>
        <v/>
      </c>
    </row>
    <row r="15">
      <c r="A15" s="6">
        <f>IFERROR(INDEX(Mapping!$C$1:$C$504,SMALL(Mapping!$H$5:$H$504,10)),"")</f>
        <v/>
      </c>
      <c r="B15" s="13">
        <f>IF(A15="","",SUMIF(Reconcile!$L$12:$L$1511,A15,Reconcile!$G$12:$G$1511))</f>
        <v/>
      </c>
      <c r="D15" s="8" t="n"/>
      <c r="E15" s="14" t="n"/>
      <c r="F15" s="13">
        <f>IF(D15="","",SUMIF(Reconcile!$L$12:$L$1511,D15,Reconcile!$G$12:$G$1511))</f>
        <v/>
      </c>
      <c r="G15" s="13">
        <f>IF(D15="","",F15-N(E15))</f>
        <v/>
      </c>
      <c r="H15" s="15">
        <f>IF(D15="","",IF(N(E15)=0,0,G15/E15))</f>
        <v/>
      </c>
      <c r="I15" s="6">
        <f>IF(D15="","",IF(N(E15)=0,F15=0,ABS(H15)&lt;=Setup!$B$5))</f>
        <v/>
      </c>
      <c r="K15" s="6">
        <f>IF(OR(A15="",SUMPRODUCT(($D$6:$D$105&lt;&gt;"")*1)=0),"",IF(SUMPRODUCT(($D$6:$D$105=A15)*1)&gt;0,"",A15))</f>
        <v/>
      </c>
      <c r="L15" s="6">
        <f>IF(K15="","",B15=0)</f>
        <v/>
      </c>
    </row>
    <row r="16">
      <c r="A16" s="6">
        <f>IFERROR(INDEX(Mapping!$C$1:$C$504,SMALL(Mapping!$H$5:$H$504,11)),"")</f>
        <v/>
      </c>
      <c r="B16" s="13">
        <f>IF(A16="","",SUMIF(Reconcile!$L$12:$L$1511,A16,Reconcile!$G$12:$G$1511))</f>
        <v/>
      </c>
      <c r="D16" s="8" t="n"/>
      <c r="E16" s="14" t="n"/>
      <c r="F16" s="13">
        <f>IF(D16="","",SUMIF(Reconcile!$L$12:$L$1511,D16,Reconcile!$G$12:$G$1511))</f>
        <v/>
      </c>
      <c r="G16" s="13">
        <f>IF(D16="","",F16-N(E16))</f>
        <v/>
      </c>
      <c r="H16" s="15">
        <f>IF(D16="","",IF(N(E16)=0,0,G16/E16))</f>
        <v/>
      </c>
      <c r="I16" s="6">
        <f>IF(D16="","",IF(N(E16)=0,F16=0,ABS(H16)&lt;=Setup!$B$5))</f>
        <v/>
      </c>
      <c r="K16" s="6">
        <f>IF(OR(A16="",SUMPRODUCT(($D$6:$D$105&lt;&gt;"")*1)=0),"",IF(SUMPRODUCT(($D$6:$D$105=A16)*1)&gt;0,"",A16))</f>
        <v/>
      </c>
      <c r="L16" s="6">
        <f>IF(K16="","",B16=0)</f>
        <v/>
      </c>
    </row>
    <row r="17">
      <c r="A17" s="6">
        <f>IFERROR(INDEX(Mapping!$C$1:$C$504,SMALL(Mapping!$H$5:$H$504,12)),"")</f>
        <v/>
      </c>
      <c r="B17" s="13">
        <f>IF(A17="","",SUMIF(Reconcile!$L$12:$L$1511,A17,Reconcile!$G$12:$G$1511))</f>
        <v/>
      </c>
      <c r="D17" s="8" t="n"/>
      <c r="E17" s="14" t="n"/>
      <c r="F17" s="13">
        <f>IF(D17="","",SUMIF(Reconcile!$L$12:$L$1511,D17,Reconcile!$G$12:$G$1511))</f>
        <v/>
      </c>
      <c r="G17" s="13">
        <f>IF(D17="","",F17-N(E17))</f>
        <v/>
      </c>
      <c r="H17" s="15">
        <f>IF(D17="","",IF(N(E17)=0,0,G17/E17))</f>
        <v/>
      </c>
      <c r="I17" s="6">
        <f>IF(D17="","",IF(N(E17)=0,F17=0,ABS(H17)&lt;=Setup!$B$5))</f>
        <v/>
      </c>
      <c r="K17" s="6">
        <f>IF(OR(A17="",SUMPRODUCT(($D$6:$D$105&lt;&gt;"")*1)=0),"",IF(SUMPRODUCT(($D$6:$D$105=A17)*1)&gt;0,"",A17))</f>
        <v/>
      </c>
      <c r="L17" s="6">
        <f>IF(K17="","",B17=0)</f>
        <v/>
      </c>
    </row>
    <row r="18">
      <c r="A18" s="6">
        <f>IFERROR(INDEX(Mapping!$C$1:$C$504,SMALL(Mapping!$H$5:$H$504,13)),"")</f>
        <v/>
      </c>
      <c r="B18" s="13">
        <f>IF(A18="","",SUMIF(Reconcile!$L$12:$L$1511,A18,Reconcile!$G$12:$G$1511))</f>
        <v/>
      </c>
      <c r="D18" s="8" t="n"/>
      <c r="E18" s="14" t="n"/>
      <c r="F18" s="13">
        <f>IF(D18="","",SUMIF(Reconcile!$L$12:$L$1511,D18,Reconcile!$G$12:$G$1511))</f>
        <v/>
      </c>
      <c r="G18" s="13">
        <f>IF(D18="","",F18-N(E18))</f>
        <v/>
      </c>
      <c r="H18" s="15">
        <f>IF(D18="","",IF(N(E18)=0,0,G18/E18))</f>
        <v/>
      </c>
      <c r="I18" s="6">
        <f>IF(D18="","",IF(N(E18)=0,F18=0,ABS(H18)&lt;=Setup!$B$5))</f>
        <v/>
      </c>
      <c r="K18" s="6">
        <f>IF(OR(A18="",SUMPRODUCT(($D$6:$D$105&lt;&gt;"")*1)=0),"",IF(SUMPRODUCT(($D$6:$D$105=A18)*1)&gt;0,"",A18))</f>
        <v/>
      </c>
      <c r="L18" s="6">
        <f>IF(K18="","",B18=0)</f>
        <v/>
      </c>
    </row>
    <row r="19">
      <c r="A19" s="6">
        <f>IFERROR(INDEX(Mapping!$C$1:$C$504,SMALL(Mapping!$H$5:$H$504,14)),"")</f>
        <v/>
      </c>
      <c r="B19" s="13">
        <f>IF(A19="","",SUMIF(Reconcile!$L$12:$L$1511,A19,Reconcile!$G$12:$G$1511))</f>
        <v/>
      </c>
      <c r="D19" s="8" t="n"/>
      <c r="E19" s="14" t="n"/>
      <c r="F19" s="13">
        <f>IF(D19="","",SUMIF(Reconcile!$L$12:$L$1511,D19,Reconcile!$G$12:$G$1511))</f>
        <v/>
      </c>
      <c r="G19" s="13">
        <f>IF(D19="","",F19-N(E19))</f>
        <v/>
      </c>
      <c r="H19" s="15">
        <f>IF(D19="","",IF(N(E19)=0,0,G19/E19))</f>
        <v/>
      </c>
      <c r="I19" s="6">
        <f>IF(D19="","",IF(N(E19)=0,F19=0,ABS(H19)&lt;=Setup!$B$5))</f>
        <v/>
      </c>
      <c r="K19" s="6">
        <f>IF(OR(A19="",SUMPRODUCT(($D$6:$D$105&lt;&gt;"")*1)=0),"",IF(SUMPRODUCT(($D$6:$D$105=A19)*1)&gt;0,"",A19))</f>
        <v/>
      </c>
      <c r="L19" s="6">
        <f>IF(K19="","",B19=0)</f>
        <v/>
      </c>
    </row>
    <row r="20">
      <c r="A20" s="6">
        <f>IFERROR(INDEX(Mapping!$C$1:$C$504,SMALL(Mapping!$H$5:$H$504,15)),"")</f>
        <v/>
      </c>
      <c r="B20" s="13">
        <f>IF(A20="","",SUMIF(Reconcile!$L$12:$L$1511,A20,Reconcile!$G$12:$G$1511))</f>
        <v/>
      </c>
      <c r="D20" s="8" t="n"/>
      <c r="E20" s="14" t="n"/>
      <c r="F20" s="13">
        <f>IF(D20="","",SUMIF(Reconcile!$L$12:$L$1511,D20,Reconcile!$G$12:$G$1511))</f>
        <v/>
      </c>
      <c r="G20" s="13">
        <f>IF(D20="","",F20-N(E20))</f>
        <v/>
      </c>
      <c r="H20" s="15">
        <f>IF(D20="","",IF(N(E20)=0,0,G20/E20))</f>
        <v/>
      </c>
      <c r="I20" s="6">
        <f>IF(D20="","",IF(N(E20)=0,F20=0,ABS(H20)&lt;=Setup!$B$5))</f>
        <v/>
      </c>
      <c r="K20" s="6">
        <f>IF(OR(A20="",SUMPRODUCT(($D$6:$D$105&lt;&gt;"")*1)=0),"",IF(SUMPRODUCT(($D$6:$D$105=A20)*1)&gt;0,"",A20))</f>
        <v/>
      </c>
      <c r="L20" s="6">
        <f>IF(K20="","",B20=0)</f>
        <v/>
      </c>
    </row>
    <row r="21">
      <c r="A21" s="6">
        <f>IFERROR(INDEX(Mapping!$C$1:$C$504,SMALL(Mapping!$H$5:$H$504,16)),"")</f>
        <v/>
      </c>
      <c r="B21" s="13">
        <f>IF(A21="","",SUMIF(Reconcile!$L$12:$L$1511,A21,Reconcile!$G$12:$G$1511))</f>
        <v/>
      </c>
      <c r="D21" s="8" t="n"/>
      <c r="E21" s="14" t="n"/>
      <c r="F21" s="13">
        <f>IF(D21="","",SUMIF(Reconcile!$L$12:$L$1511,D21,Reconcile!$G$12:$G$1511))</f>
        <v/>
      </c>
      <c r="G21" s="13">
        <f>IF(D21="","",F21-N(E21))</f>
        <v/>
      </c>
      <c r="H21" s="15">
        <f>IF(D21="","",IF(N(E21)=0,0,G21/E21))</f>
        <v/>
      </c>
      <c r="I21" s="6">
        <f>IF(D21="","",IF(N(E21)=0,F21=0,ABS(H21)&lt;=Setup!$B$5))</f>
        <v/>
      </c>
      <c r="K21" s="6">
        <f>IF(OR(A21="",SUMPRODUCT(($D$6:$D$105&lt;&gt;"")*1)=0),"",IF(SUMPRODUCT(($D$6:$D$105=A21)*1)&gt;0,"",A21))</f>
        <v/>
      </c>
      <c r="L21" s="6">
        <f>IF(K21="","",B21=0)</f>
        <v/>
      </c>
    </row>
    <row r="22">
      <c r="A22" s="6">
        <f>IFERROR(INDEX(Mapping!$C$1:$C$504,SMALL(Mapping!$H$5:$H$504,17)),"")</f>
        <v/>
      </c>
      <c r="B22" s="13">
        <f>IF(A22="","",SUMIF(Reconcile!$L$12:$L$1511,A22,Reconcile!$G$12:$G$1511))</f>
        <v/>
      </c>
      <c r="D22" s="8" t="n"/>
      <c r="E22" s="14" t="n"/>
      <c r="F22" s="13">
        <f>IF(D22="","",SUMIF(Reconcile!$L$12:$L$1511,D22,Reconcile!$G$12:$G$1511))</f>
        <v/>
      </c>
      <c r="G22" s="13">
        <f>IF(D22="","",F22-N(E22))</f>
        <v/>
      </c>
      <c r="H22" s="15">
        <f>IF(D22="","",IF(N(E22)=0,0,G22/E22))</f>
        <v/>
      </c>
      <c r="I22" s="6">
        <f>IF(D22="","",IF(N(E22)=0,F22=0,ABS(H22)&lt;=Setup!$B$5))</f>
        <v/>
      </c>
      <c r="K22" s="6">
        <f>IF(OR(A22="",SUMPRODUCT(($D$6:$D$105&lt;&gt;"")*1)=0),"",IF(SUMPRODUCT(($D$6:$D$105=A22)*1)&gt;0,"",A22))</f>
        <v/>
      </c>
      <c r="L22" s="6">
        <f>IF(K22="","",B22=0)</f>
        <v/>
      </c>
    </row>
    <row r="23">
      <c r="A23" s="6">
        <f>IFERROR(INDEX(Mapping!$C$1:$C$504,SMALL(Mapping!$H$5:$H$504,18)),"")</f>
        <v/>
      </c>
      <c r="B23" s="13">
        <f>IF(A23="","",SUMIF(Reconcile!$L$12:$L$1511,A23,Reconcile!$G$12:$G$1511))</f>
        <v/>
      </c>
      <c r="D23" s="8" t="n"/>
      <c r="E23" s="14" t="n"/>
      <c r="F23" s="13">
        <f>IF(D23="","",SUMIF(Reconcile!$L$12:$L$1511,D23,Reconcile!$G$12:$G$1511))</f>
        <v/>
      </c>
      <c r="G23" s="13">
        <f>IF(D23="","",F23-N(E23))</f>
        <v/>
      </c>
      <c r="H23" s="15">
        <f>IF(D23="","",IF(N(E23)=0,0,G23/E23))</f>
        <v/>
      </c>
      <c r="I23" s="6">
        <f>IF(D23="","",IF(N(E23)=0,F23=0,ABS(H23)&lt;=Setup!$B$5))</f>
        <v/>
      </c>
      <c r="K23" s="6">
        <f>IF(OR(A23="",SUMPRODUCT(($D$6:$D$105&lt;&gt;"")*1)=0),"",IF(SUMPRODUCT(($D$6:$D$105=A23)*1)&gt;0,"",A23))</f>
        <v/>
      </c>
      <c r="L23" s="6">
        <f>IF(K23="","",B23=0)</f>
        <v/>
      </c>
    </row>
    <row r="24">
      <c r="A24" s="6">
        <f>IFERROR(INDEX(Mapping!$C$1:$C$504,SMALL(Mapping!$H$5:$H$504,19)),"")</f>
        <v/>
      </c>
      <c r="B24" s="13">
        <f>IF(A24="","",SUMIF(Reconcile!$L$12:$L$1511,A24,Reconcile!$G$12:$G$1511))</f>
        <v/>
      </c>
      <c r="D24" s="8" t="n"/>
      <c r="E24" s="14" t="n"/>
      <c r="F24" s="13">
        <f>IF(D24="","",SUMIF(Reconcile!$L$12:$L$1511,D24,Reconcile!$G$12:$G$1511))</f>
        <v/>
      </c>
      <c r="G24" s="13">
        <f>IF(D24="","",F24-N(E24))</f>
        <v/>
      </c>
      <c r="H24" s="15">
        <f>IF(D24="","",IF(N(E24)=0,0,G24/E24))</f>
        <v/>
      </c>
      <c r="I24" s="6">
        <f>IF(D24="","",IF(N(E24)=0,F24=0,ABS(H24)&lt;=Setup!$B$5))</f>
        <v/>
      </c>
      <c r="K24" s="6">
        <f>IF(OR(A24="",SUMPRODUCT(($D$6:$D$105&lt;&gt;"")*1)=0),"",IF(SUMPRODUCT(($D$6:$D$105=A24)*1)&gt;0,"",A24))</f>
        <v/>
      </c>
      <c r="L24" s="6">
        <f>IF(K24="","",B24=0)</f>
        <v/>
      </c>
    </row>
    <row r="25">
      <c r="A25" s="6">
        <f>IFERROR(INDEX(Mapping!$C$1:$C$504,SMALL(Mapping!$H$5:$H$504,20)),"")</f>
        <v/>
      </c>
      <c r="B25" s="13">
        <f>IF(A25="","",SUMIF(Reconcile!$L$12:$L$1511,A25,Reconcile!$G$12:$G$1511))</f>
        <v/>
      </c>
      <c r="D25" s="8" t="n"/>
      <c r="E25" s="14" t="n"/>
      <c r="F25" s="13">
        <f>IF(D25="","",SUMIF(Reconcile!$L$12:$L$1511,D25,Reconcile!$G$12:$G$1511))</f>
        <v/>
      </c>
      <c r="G25" s="13">
        <f>IF(D25="","",F25-N(E25))</f>
        <v/>
      </c>
      <c r="H25" s="15">
        <f>IF(D25="","",IF(N(E25)=0,0,G25/E25))</f>
        <v/>
      </c>
      <c r="I25" s="6">
        <f>IF(D25="","",IF(N(E25)=0,F25=0,ABS(H25)&lt;=Setup!$B$5))</f>
        <v/>
      </c>
      <c r="K25" s="6">
        <f>IF(OR(A25="",SUMPRODUCT(($D$6:$D$105&lt;&gt;"")*1)=0),"",IF(SUMPRODUCT(($D$6:$D$105=A25)*1)&gt;0,"",A25))</f>
        <v/>
      </c>
      <c r="L25" s="6">
        <f>IF(K25="","",B25=0)</f>
        <v/>
      </c>
    </row>
    <row r="26">
      <c r="A26" s="6">
        <f>IFERROR(INDEX(Mapping!$C$1:$C$504,SMALL(Mapping!$H$5:$H$504,21)),"")</f>
        <v/>
      </c>
      <c r="B26" s="13">
        <f>IF(A26="","",SUMIF(Reconcile!$L$12:$L$1511,A26,Reconcile!$G$12:$G$1511))</f>
        <v/>
      </c>
      <c r="D26" s="8" t="n"/>
      <c r="E26" s="14" t="n"/>
      <c r="F26" s="13">
        <f>IF(D26="","",SUMIF(Reconcile!$L$12:$L$1511,D26,Reconcile!$G$12:$G$1511))</f>
        <v/>
      </c>
      <c r="G26" s="13">
        <f>IF(D26="","",F26-N(E26))</f>
        <v/>
      </c>
      <c r="H26" s="15">
        <f>IF(D26="","",IF(N(E26)=0,0,G26/E26))</f>
        <v/>
      </c>
      <c r="I26" s="6">
        <f>IF(D26="","",IF(N(E26)=0,F26=0,ABS(H26)&lt;=Setup!$B$5))</f>
        <v/>
      </c>
      <c r="K26" s="6">
        <f>IF(OR(A26="",SUMPRODUCT(($D$6:$D$105&lt;&gt;"")*1)=0),"",IF(SUMPRODUCT(($D$6:$D$105=A26)*1)&gt;0,"",A26))</f>
        <v/>
      </c>
      <c r="L26" s="6">
        <f>IF(K26="","",B26=0)</f>
        <v/>
      </c>
    </row>
    <row r="27">
      <c r="A27" s="6">
        <f>IFERROR(INDEX(Mapping!$C$1:$C$504,SMALL(Mapping!$H$5:$H$504,22)),"")</f>
        <v/>
      </c>
      <c r="B27" s="13">
        <f>IF(A27="","",SUMIF(Reconcile!$L$12:$L$1511,A27,Reconcile!$G$12:$G$1511))</f>
        <v/>
      </c>
      <c r="D27" s="8" t="n"/>
      <c r="E27" s="14" t="n"/>
      <c r="F27" s="13">
        <f>IF(D27="","",SUMIF(Reconcile!$L$12:$L$1511,D27,Reconcile!$G$12:$G$1511))</f>
        <v/>
      </c>
      <c r="G27" s="13">
        <f>IF(D27="","",F27-N(E27))</f>
        <v/>
      </c>
      <c r="H27" s="15">
        <f>IF(D27="","",IF(N(E27)=0,0,G27/E27))</f>
        <v/>
      </c>
      <c r="I27" s="6">
        <f>IF(D27="","",IF(N(E27)=0,F27=0,ABS(H27)&lt;=Setup!$B$5))</f>
        <v/>
      </c>
      <c r="K27" s="6">
        <f>IF(OR(A27="",SUMPRODUCT(($D$6:$D$105&lt;&gt;"")*1)=0),"",IF(SUMPRODUCT(($D$6:$D$105=A27)*1)&gt;0,"",A27))</f>
        <v/>
      </c>
      <c r="L27" s="6">
        <f>IF(K27="","",B27=0)</f>
        <v/>
      </c>
    </row>
    <row r="28">
      <c r="A28" s="6">
        <f>IFERROR(INDEX(Mapping!$C$1:$C$504,SMALL(Mapping!$H$5:$H$504,23)),"")</f>
        <v/>
      </c>
      <c r="B28" s="13">
        <f>IF(A28="","",SUMIF(Reconcile!$L$12:$L$1511,A28,Reconcile!$G$12:$G$1511))</f>
        <v/>
      </c>
      <c r="D28" s="8" t="n"/>
      <c r="E28" s="14" t="n"/>
      <c r="F28" s="13">
        <f>IF(D28="","",SUMIF(Reconcile!$L$12:$L$1511,D28,Reconcile!$G$12:$G$1511))</f>
        <v/>
      </c>
      <c r="G28" s="13">
        <f>IF(D28="","",F28-N(E28))</f>
        <v/>
      </c>
      <c r="H28" s="15">
        <f>IF(D28="","",IF(N(E28)=0,0,G28/E28))</f>
        <v/>
      </c>
      <c r="I28" s="6">
        <f>IF(D28="","",IF(N(E28)=0,F28=0,ABS(H28)&lt;=Setup!$B$5))</f>
        <v/>
      </c>
      <c r="K28" s="6">
        <f>IF(OR(A28="",SUMPRODUCT(($D$6:$D$105&lt;&gt;"")*1)=0),"",IF(SUMPRODUCT(($D$6:$D$105=A28)*1)&gt;0,"",A28))</f>
        <v/>
      </c>
      <c r="L28" s="6">
        <f>IF(K28="","",B28=0)</f>
        <v/>
      </c>
    </row>
    <row r="29">
      <c r="A29" s="6">
        <f>IFERROR(INDEX(Mapping!$C$1:$C$504,SMALL(Mapping!$H$5:$H$504,24)),"")</f>
        <v/>
      </c>
      <c r="B29" s="13">
        <f>IF(A29="","",SUMIF(Reconcile!$L$12:$L$1511,A29,Reconcile!$G$12:$G$1511))</f>
        <v/>
      </c>
      <c r="D29" s="8" t="n"/>
      <c r="E29" s="14" t="n"/>
      <c r="F29" s="13">
        <f>IF(D29="","",SUMIF(Reconcile!$L$12:$L$1511,D29,Reconcile!$G$12:$G$1511))</f>
        <v/>
      </c>
      <c r="G29" s="13">
        <f>IF(D29="","",F29-N(E29))</f>
        <v/>
      </c>
      <c r="H29" s="15">
        <f>IF(D29="","",IF(N(E29)=0,0,G29/E29))</f>
        <v/>
      </c>
      <c r="I29" s="6">
        <f>IF(D29="","",IF(N(E29)=0,F29=0,ABS(H29)&lt;=Setup!$B$5))</f>
        <v/>
      </c>
      <c r="K29" s="6">
        <f>IF(OR(A29="",SUMPRODUCT(($D$6:$D$105&lt;&gt;"")*1)=0),"",IF(SUMPRODUCT(($D$6:$D$105=A29)*1)&gt;0,"",A29))</f>
        <v/>
      </c>
      <c r="L29" s="6">
        <f>IF(K29="","",B29=0)</f>
        <v/>
      </c>
    </row>
    <row r="30">
      <c r="A30" s="6">
        <f>IFERROR(INDEX(Mapping!$C$1:$C$504,SMALL(Mapping!$H$5:$H$504,25)),"")</f>
        <v/>
      </c>
      <c r="B30" s="13">
        <f>IF(A30="","",SUMIF(Reconcile!$L$12:$L$1511,A30,Reconcile!$G$12:$G$1511))</f>
        <v/>
      </c>
      <c r="D30" s="8" t="n"/>
      <c r="E30" s="14" t="n"/>
      <c r="F30" s="13">
        <f>IF(D30="","",SUMIF(Reconcile!$L$12:$L$1511,D30,Reconcile!$G$12:$G$1511))</f>
        <v/>
      </c>
      <c r="G30" s="13">
        <f>IF(D30="","",F30-N(E30))</f>
        <v/>
      </c>
      <c r="H30" s="15">
        <f>IF(D30="","",IF(N(E30)=0,0,G30/E30))</f>
        <v/>
      </c>
      <c r="I30" s="6">
        <f>IF(D30="","",IF(N(E30)=0,F30=0,ABS(H30)&lt;=Setup!$B$5))</f>
        <v/>
      </c>
      <c r="K30" s="6">
        <f>IF(OR(A30="",SUMPRODUCT(($D$6:$D$105&lt;&gt;"")*1)=0),"",IF(SUMPRODUCT(($D$6:$D$105=A30)*1)&gt;0,"",A30))</f>
        <v/>
      </c>
      <c r="L30" s="6">
        <f>IF(K30="","",B30=0)</f>
        <v/>
      </c>
    </row>
    <row r="31">
      <c r="A31" s="6">
        <f>IFERROR(INDEX(Mapping!$C$1:$C$504,SMALL(Mapping!$H$5:$H$504,26)),"")</f>
        <v/>
      </c>
      <c r="B31" s="13">
        <f>IF(A31="","",SUMIF(Reconcile!$L$12:$L$1511,A31,Reconcile!$G$12:$G$1511))</f>
        <v/>
      </c>
      <c r="D31" s="8" t="n"/>
      <c r="E31" s="14" t="n"/>
      <c r="F31" s="13">
        <f>IF(D31="","",SUMIF(Reconcile!$L$12:$L$1511,D31,Reconcile!$G$12:$G$1511))</f>
        <v/>
      </c>
      <c r="G31" s="13">
        <f>IF(D31="","",F31-N(E31))</f>
        <v/>
      </c>
      <c r="H31" s="15">
        <f>IF(D31="","",IF(N(E31)=0,0,G31/E31))</f>
        <v/>
      </c>
      <c r="I31" s="6">
        <f>IF(D31="","",IF(N(E31)=0,F31=0,ABS(H31)&lt;=Setup!$B$5))</f>
        <v/>
      </c>
      <c r="K31" s="6">
        <f>IF(OR(A31="",SUMPRODUCT(($D$6:$D$105&lt;&gt;"")*1)=0),"",IF(SUMPRODUCT(($D$6:$D$105=A31)*1)&gt;0,"",A31))</f>
        <v/>
      </c>
      <c r="L31" s="6">
        <f>IF(K31="","",B31=0)</f>
        <v/>
      </c>
    </row>
    <row r="32">
      <c r="A32" s="6">
        <f>IFERROR(INDEX(Mapping!$C$1:$C$504,SMALL(Mapping!$H$5:$H$504,27)),"")</f>
        <v/>
      </c>
      <c r="B32" s="13">
        <f>IF(A32="","",SUMIF(Reconcile!$L$12:$L$1511,A32,Reconcile!$G$12:$G$1511))</f>
        <v/>
      </c>
      <c r="D32" s="8" t="n"/>
      <c r="E32" s="14" t="n"/>
      <c r="F32" s="13">
        <f>IF(D32="","",SUMIF(Reconcile!$L$12:$L$1511,D32,Reconcile!$G$12:$G$1511))</f>
        <v/>
      </c>
      <c r="G32" s="13">
        <f>IF(D32="","",F32-N(E32))</f>
        <v/>
      </c>
      <c r="H32" s="15">
        <f>IF(D32="","",IF(N(E32)=0,0,G32/E32))</f>
        <v/>
      </c>
      <c r="I32" s="6">
        <f>IF(D32="","",IF(N(E32)=0,F32=0,ABS(H32)&lt;=Setup!$B$5))</f>
        <v/>
      </c>
      <c r="K32" s="6">
        <f>IF(OR(A32="",SUMPRODUCT(($D$6:$D$105&lt;&gt;"")*1)=0),"",IF(SUMPRODUCT(($D$6:$D$105=A32)*1)&gt;0,"",A32))</f>
        <v/>
      </c>
      <c r="L32" s="6">
        <f>IF(K32="","",B32=0)</f>
        <v/>
      </c>
    </row>
    <row r="33">
      <c r="A33" s="6">
        <f>IFERROR(INDEX(Mapping!$C$1:$C$504,SMALL(Mapping!$H$5:$H$504,28)),"")</f>
        <v/>
      </c>
      <c r="B33" s="13">
        <f>IF(A33="","",SUMIF(Reconcile!$L$12:$L$1511,A33,Reconcile!$G$12:$G$1511))</f>
        <v/>
      </c>
      <c r="D33" s="8" t="n"/>
      <c r="E33" s="14" t="n"/>
      <c r="F33" s="13">
        <f>IF(D33="","",SUMIF(Reconcile!$L$12:$L$1511,D33,Reconcile!$G$12:$G$1511))</f>
        <v/>
      </c>
      <c r="G33" s="13">
        <f>IF(D33="","",F33-N(E33))</f>
        <v/>
      </c>
      <c r="H33" s="15">
        <f>IF(D33="","",IF(N(E33)=0,0,G33/E33))</f>
        <v/>
      </c>
      <c r="I33" s="6">
        <f>IF(D33="","",IF(N(E33)=0,F33=0,ABS(H33)&lt;=Setup!$B$5))</f>
        <v/>
      </c>
      <c r="K33" s="6">
        <f>IF(OR(A33="",SUMPRODUCT(($D$6:$D$105&lt;&gt;"")*1)=0),"",IF(SUMPRODUCT(($D$6:$D$105=A33)*1)&gt;0,"",A33))</f>
        <v/>
      </c>
      <c r="L33" s="6">
        <f>IF(K33="","",B33=0)</f>
        <v/>
      </c>
    </row>
    <row r="34">
      <c r="A34" s="6">
        <f>IFERROR(INDEX(Mapping!$C$1:$C$504,SMALL(Mapping!$H$5:$H$504,29)),"")</f>
        <v/>
      </c>
      <c r="B34" s="13">
        <f>IF(A34="","",SUMIF(Reconcile!$L$12:$L$1511,A34,Reconcile!$G$12:$G$1511))</f>
        <v/>
      </c>
      <c r="D34" s="8" t="n"/>
      <c r="E34" s="14" t="n"/>
      <c r="F34" s="13">
        <f>IF(D34="","",SUMIF(Reconcile!$L$12:$L$1511,D34,Reconcile!$G$12:$G$1511))</f>
        <v/>
      </c>
      <c r="G34" s="13">
        <f>IF(D34="","",F34-N(E34))</f>
        <v/>
      </c>
      <c r="H34" s="15">
        <f>IF(D34="","",IF(N(E34)=0,0,G34/E34))</f>
        <v/>
      </c>
      <c r="I34" s="6">
        <f>IF(D34="","",IF(N(E34)=0,F34=0,ABS(H34)&lt;=Setup!$B$5))</f>
        <v/>
      </c>
      <c r="K34" s="6">
        <f>IF(OR(A34="",SUMPRODUCT(($D$6:$D$105&lt;&gt;"")*1)=0),"",IF(SUMPRODUCT(($D$6:$D$105=A34)*1)&gt;0,"",A34))</f>
        <v/>
      </c>
      <c r="L34" s="6">
        <f>IF(K34="","",B34=0)</f>
        <v/>
      </c>
    </row>
    <row r="35">
      <c r="A35" s="6">
        <f>IFERROR(INDEX(Mapping!$C$1:$C$504,SMALL(Mapping!$H$5:$H$504,30)),"")</f>
        <v/>
      </c>
      <c r="B35" s="13">
        <f>IF(A35="","",SUMIF(Reconcile!$L$12:$L$1511,A35,Reconcile!$G$12:$G$1511))</f>
        <v/>
      </c>
      <c r="D35" s="8" t="n"/>
      <c r="E35" s="14" t="n"/>
      <c r="F35" s="13">
        <f>IF(D35="","",SUMIF(Reconcile!$L$12:$L$1511,D35,Reconcile!$G$12:$G$1511))</f>
        <v/>
      </c>
      <c r="G35" s="13">
        <f>IF(D35="","",F35-N(E35))</f>
        <v/>
      </c>
      <c r="H35" s="15">
        <f>IF(D35="","",IF(N(E35)=0,0,G35/E35))</f>
        <v/>
      </c>
      <c r="I35" s="6">
        <f>IF(D35="","",IF(N(E35)=0,F35=0,ABS(H35)&lt;=Setup!$B$5))</f>
        <v/>
      </c>
      <c r="K35" s="6">
        <f>IF(OR(A35="",SUMPRODUCT(($D$6:$D$105&lt;&gt;"")*1)=0),"",IF(SUMPRODUCT(($D$6:$D$105=A35)*1)&gt;0,"",A35))</f>
        <v/>
      </c>
      <c r="L35" s="6">
        <f>IF(K35="","",B35=0)</f>
        <v/>
      </c>
    </row>
    <row r="36">
      <c r="A36" s="6">
        <f>IFERROR(INDEX(Mapping!$C$1:$C$504,SMALL(Mapping!$H$5:$H$504,31)),"")</f>
        <v/>
      </c>
      <c r="B36" s="13">
        <f>IF(A36="","",SUMIF(Reconcile!$L$12:$L$1511,A36,Reconcile!$G$12:$G$1511))</f>
        <v/>
      </c>
      <c r="D36" s="8" t="n"/>
      <c r="E36" s="14" t="n"/>
      <c r="F36" s="13">
        <f>IF(D36="","",SUMIF(Reconcile!$L$12:$L$1511,D36,Reconcile!$G$12:$G$1511))</f>
        <v/>
      </c>
      <c r="G36" s="13">
        <f>IF(D36="","",F36-N(E36))</f>
        <v/>
      </c>
      <c r="H36" s="15">
        <f>IF(D36="","",IF(N(E36)=0,0,G36/E36))</f>
        <v/>
      </c>
      <c r="I36" s="6">
        <f>IF(D36="","",IF(N(E36)=0,F36=0,ABS(H36)&lt;=Setup!$B$5))</f>
        <v/>
      </c>
      <c r="K36" s="6">
        <f>IF(OR(A36="",SUMPRODUCT(($D$6:$D$105&lt;&gt;"")*1)=0),"",IF(SUMPRODUCT(($D$6:$D$105=A36)*1)&gt;0,"",A36))</f>
        <v/>
      </c>
      <c r="L36" s="6">
        <f>IF(K36="","",B36=0)</f>
        <v/>
      </c>
    </row>
    <row r="37">
      <c r="A37" s="6">
        <f>IFERROR(INDEX(Mapping!$C$1:$C$504,SMALL(Mapping!$H$5:$H$504,32)),"")</f>
        <v/>
      </c>
      <c r="B37" s="13">
        <f>IF(A37="","",SUMIF(Reconcile!$L$12:$L$1511,A37,Reconcile!$G$12:$G$1511))</f>
        <v/>
      </c>
      <c r="D37" s="8" t="n"/>
      <c r="E37" s="14" t="n"/>
      <c r="F37" s="13">
        <f>IF(D37="","",SUMIF(Reconcile!$L$12:$L$1511,D37,Reconcile!$G$12:$G$1511))</f>
        <v/>
      </c>
      <c r="G37" s="13">
        <f>IF(D37="","",F37-N(E37))</f>
        <v/>
      </c>
      <c r="H37" s="15">
        <f>IF(D37="","",IF(N(E37)=0,0,G37/E37))</f>
        <v/>
      </c>
      <c r="I37" s="6">
        <f>IF(D37="","",IF(N(E37)=0,F37=0,ABS(H37)&lt;=Setup!$B$5))</f>
        <v/>
      </c>
      <c r="K37" s="6">
        <f>IF(OR(A37="",SUMPRODUCT(($D$6:$D$105&lt;&gt;"")*1)=0),"",IF(SUMPRODUCT(($D$6:$D$105=A37)*1)&gt;0,"",A37))</f>
        <v/>
      </c>
      <c r="L37" s="6">
        <f>IF(K37="","",B37=0)</f>
        <v/>
      </c>
    </row>
    <row r="38">
      <c r="A38" s="6">
        <f>IFERROR(INDEX(Mapping!$C$1:$C$504,SMALL(Mapping!$H$5:$H$504,33)),"")</f>
        <v/>
      </c>
      <c r="B38" s="13">
        <f>IF(A38="","",SUMIF(Reconcile!$L$12:$L$1511,A38,Reconcile!$G$12:$G$1511))</f>
        <v/>
      </c>
      <c r="D38" s="8" t="n"/>
      <c r="E38" s="14" t="n"/>
      <c r="F38" s="13">
        <f>IF(D38="","",SUMIF(Reconcile!$L$12:$L$1511,D38,Reconcile!$G$12:$G$1511))</f>
        <v/>
      </c>
      <c r="G38" s="13">
        <f>IF(D38="","",F38-N(E38))</f>
        <v/>
      </c>
      <c r="H38" s="15">
        <f>IF(D38="","",IF(N(E38)=0,0,G38/E38))</f>
        <v/>
      </c>
      <c r="I38" s="6">
        <f>IF(D38="","",IF(N(E38)=0,F38=0,ABS(H38)&lt;=Setup!$B$5))</f>
        <v/>
      </c>
      <c r="K38" s="6">
        <f>IF(OR(A38="",SUMPRODUCT(($D$6:$D$105&lt;&gt;"")*1)=0),"",IF(SUMPRODUCT(($D$6:$D$105=A38)*1)&gt;0,"",A38))</f>
        <v/>
      </c>
      <c r="L38" s="6">
        <f>IF(K38="","",B38=0)</f>
        <v/>
      </c>
    </row>
    <row r="39">
      <c r="A39" s="6">
        <f>IFERROR(INDEX(Mapping!$C$1:$C$504,SMALL(Mapping!$H$5:$H$504,34)),"")</f>
        <v/>
      </c>
      <c r="B39" s="13">
        <f>IF(A39="","",SUMIF(Reconcile!$L$12:$L$1511,A39,Reconcile!$G$12:$G$1511))</f>
        <v/>
      </c>
      <c r="D39" s="8" t="n"/>
      <c r="E39" s="14" t="n"/>
      <c r="F39" s="13">
        <f>IF(D39="","",SUMIF(Reconcile!$L$12:$L$1511,D39,Reconcile!$G$12:$G$1511))</f>
        <v/>
      </c>
      <c r="G39" s="13">
        <f>IF(D39="","",F39-N(E39))</f>
        <v/>
      </c>
      <c r="H39" s="15">
        <f>IF(D39="","",IF(N(E39)=0,0,G39/E39))</f>
        <v/>
      </c>
      <c r="I39" s="6">
        <f>IF(D39="","",IF(N(E39)=0,F39=0,ABS(H39)&lt;=Setup!$B$5))</f>
        <v/>
      </c>
      <c r="K39" s="6">
        <f>IF(OR(A39="",SUMPRODUCT(($D$6:$D$105&lt;&gt;"")*1)=0),"",IF(SUMPRODUCT(($D$6:$D$105=A39)*1)&gt;0,"",A39))</f>
        <v/>
      </c>
      <c r="L39" s="6">
        <f>IF(K39="","",B39=0)</f>
        <v/>
      </c>
    </row>
    <row r="40">
      <c r="A40" s="6">
        <f>IFERROR(INDEX(Mapping!$C$1:$C$504,SMALL(Mapping!$H$5:$H$504,35)),"")</f>
        <v/>
      </c>
      <c r="B40" s="13">
        <f>IF(A40="","",SUMIF(Reconcile!$L$12:$L$1511,A40,Reconcile!$G$12:$G$1511))</f>
        <v/>
      </c>
      <c r="D40" s="8" t="n"/>
      <c r="E40" s="14" t="n"/>
      <c r="F40" s="13">
        <f>IF(D40="","",SUMIF(Reconcile!$L$12:$L$1511,D40,Reconcile!$G$12:$G$1511))</f>
        <v/>
      </c>
      <c r="G40" s="13">
        <f>IF(D40="","",F40-N(E40))</f>
        <v/>
      </c>
      <c r="H40" s="15">
        <f>IF(D40="","",IF(N(E40)=0,0,G40/E40))</f>
        <v/>
      </c>
      <c r="I40" s="6">
        <f>IF(D40="","",IF(N(E40)=0,F40=0,ABS(H40)&lt;=Setup!$B$5))</f>
        <v/>
      </c>
      <c r="K40" s="6">
        <f>IF(OR(A40="",SUMPRODUCT(($D$6:$D$105&lt;&gt;"")*1)=0),"",IF(SUMPRODUCT(($D$6:$D$105=A40)*1)&gt;0,"",A40))</f>
        <v/>
      </c>
      <c r="L40" s="6">
        <f>IF(K40="","",B40=0)</f>
        <v/>
      </c>
    </row>
    <row r="41">
      <c r="A41" s="6">
        <f>IFERROR(INDEX(Mapping!$C$1:$C$504,SMALL(Mapping!$H$5:$H$504,36)),"")</f>
        <v/>
      </c>
      <c r="B41" s="13">
        <f>IF(A41="","",SUMIF(Reconcile!$L$12:$L$1511,A41,Reconcile!$G$12:$G$1511))</f>
        <v/>
      </c>
      <c r="D41" s="8" t="n"/>
      <c r="E41" s="14" t="n"/>
      <c r="F41" s="13">
        <f>IF(D41="","",SUMIF(Reconcile!$L$12:$L$1511,D41,Reconcile!$G$12:$G$1511))</f>
        <v/>
      </c>
      <c r="G41" s="13">
        <f>IF(D41="","",F41-N(E41))</f>
        <v/>
      </c>
      <c r="H41" s="15">
        <f>IF(D41="","",IF(N(E41)=0,0,G41/E41))</f>
        <v/>
      </c>
      <c r="I41" s="6">
        <f>IF(D41="","",IF(N(E41)=0,F41=0,ABS(H41)&lt;=Setup!$B$5))</f>
        <v/>
      </c>
      <c r="K41" s="6">
        <f>IF(OR(A41="",SUMPRODUCT(($D$6:$D$105&lt;&gt;"")*1)=0),"",IF(SUMPRODUCT(($D$6:$D$105=A41)*1)&gt;0,"",A41))</f>
        <v/>
      </c>
      <c r="L41" s="6">
        <f>IF(K41="","",B41=0)</f>
        <v/>
      </c>
    </row>
    <row r="42">
      <c r="A42" s="6">
        <f>IFERROR(INDEX(Mapping!$C$1:$C$504,SMALL(Mapping!$H$5:$H$504,37)),"")</f>
        <v/>
      </c>
      <c r="B42" s="13">
        <f>IF(A42="","",SUMIF(Reconcile!$L$12:$L$1511,A42,Reconcile!$G$12:$G$1511))</f>
        <v/>
      </c>
      <c r="D42" s="8" t="n"/>
      <c r="E42" s="14" t="n"/>
      <c r="F42" s="13">
        <f>IF(D42="","",SUMIF(Reconcile!$L$12:$L$1511,D42,Reconcile!$G$12:$G$1511))</f>
        <v/>
      </c>
      <c r="G42" s="13">
        <f>IF(D42="","",F42-N(E42))</f>
        <v/>
      </c>
      <c r="H42" s="15">
        <f>IF(D42="","",IF(N(E42)=0,0,G42/E42))</f>
        <v/>
      </c>
      <c r="I42" s="6">
        <f>IF(D42="","",IF(N(E42)=0,F42=0,ABS(H42)&lt;=Setup!$B$5))</f>
        <v/>
      </c>
      <c r="K42" s="6">
        <f>IF(OR(A42="",SUMPRODUCT(($D$6:$D$105&lt;&gt;"")*1)=0),"",IF(SUMPRODUCT(($D$6:$D$105=A42)*1)&gt;0,"",A42))</f>
        <v/>
      </c>
      <c r="L42" s="6">
        <f>IF(K42="","",B42=0)</f>
        <v/>
      </c>
    </row>
    <row r="43">
      <c r="A43" s="6">
        <f>IFERROR(INDEX(Mapping!$C$1:$C$504,SMALL(Mapping!$H$5:$H$504,38)),"")</f>
        <v/>
      </c>
      <c r="B43" s="13">
        <f>IF(A43="","",SUMIF(Reconcile!$L$12:$L$1511,A43,Reconcile!$G$12:$G$1511))</f>
        <v/>
      </c>
      <c r="D43" s="8" t="n"/>
      <c r="E43" s="14" t="n"/>
      <c r="F43" s="13">
        <f>IF(D43="","",SUMIF(Reconcile!$L$12:$L$1511,D43,Reconcile!$G$12:$G$1511))</f>
        <v/>
      </c>
      <c r="G43" s="13">
        <f>IF(D43="","",F43-N(E43))</f>
        <v/>
      </c>
      <c r="H43" s="15">
        <f>IF(D43="","",IF(N(E43)=0,0,G43/E43))</f>
        <v/>
      </c>
      <c r="I43" s="6">
        <f>IF(D43="","",IF(N(E43)=0,F43=0,ABS(H43)&lt;=Setup!$B$5))</f>
        <v/>
      </c>
      <c r="K43" s="6">
        <f>IF(OR(A43="",SUMPRODUCT(($D$6:$D$105&lt;&gt;"")*1)=0),"",IF(SUMPRODUCT(($D$6:$D$105=A43)*1)&gt;0,"",A43))</f>
        <v/>
      </c>
      <c r="L43" s="6">
        <f>IF(K43="","",B43=0)</f>
        <v/>
      </c>
    </row>
    <row r="44">
      <c r="A44" s="6">
        <f>IFERROR(INDEX(Mapping!$C$1:$C$504,SMALL(Mapping!$H$5:$H$504,39)),"")</f>
        <v/>
      </c>
      <c r="B44" s="13">
        <f>IF(A44="","",SUMIF(Reconcile!$L$12:$L$1511,A44,Reconcile!$G$12:$G$1511))</f>
        <v/>
      </c>
      <c r="D44" s="8" t="n"/>
      <c r="E44" s="14" t="n"/>
      <c r="F44" s="13">
        <f>IF(D44="","",SUMIF(Reconcile!$L$12:$L$1511,D44,Reconcile!$G$12:$G$1511))</f>
        <v/>
      </c>
      <c r="G44" s="13">
        <f>IF(D44="","",F44-N(E44))</f>
        <v/>
      </c>
      <c r="H44" s="15">
        <f>IF(D44="","",IF(N(E44)=0,0,G44/E44))</f>
        <v/>
      </c>
      <c r="I44" s="6">
        <f>IF(D44="","",IF(N(E44)=0,F44=0,ABS(H44)&lt;=Setup!$B$5))</f>
        <v/>
      </c>
      <c r="K44" s="6">
        <f>IF(OR(A44="",SUMPRODUCT(($D$6:$D$105&lt;&gt;"")*1)=0),"",IF(SUMPRODUCT(($D$6:$D$105=A44)*1)&gt;0,"",A44))</f>
        <v/>
      </c>
      <c r="L44" s="6">
        <f>IF(K44="","",B44=0)</f>
        <v/>
      </c>
    </row>
    <row r="45">
      <c r="A45" s="6">
        <f>IFERROR(INDEX(Mapping!$C$1:$C$504,SMALL(Mapping!$H$5:$H$504,40)),"")</f>
        <v/>
      </c>
      <c r="B45" s="13">
        <f>IF(A45="","",SUMIF(Reconcile!$L$12:$L$1511,A45,Reconcile!$G$12:$G$1511))</f>
        <v/>
      </c>
      <c r="D45" s="8" t="n"/>
      <c r="E45" s="14" t="n"/>
      <c r="F45" s="13">
        <f>IF(D45="","",SUMIF(Reconcile!$L$12:$L$1511,D45,Reconcile!$G$12:$G$1511))</f>
        <v/>
      </c>
      <c r="G45" s="13">
        <f>IF(D45="","",F45-N(E45))</f>
        <v/>
      </c>
      <c r="H45" s="15">
        <f>IF(D45="","",IF(N(E45)=0,0,G45/E45))</f>
        <v/>
      </c>
      <c r="I45" s="6">
        <f>IF(D45="","",IF(N(E45)=0,F45=0,ABS(H45)&lt;=Setup!$B$5))</f>
        <v/>
      </c>
      <c r="K45" s="6">
        <f>IF(OR(A45="",SUMPRODUCT(($D$6:$D$105&lt;&gt;"")*1)=0),"",IF(SUMPRODUCT(($D$6:$D$105=A45)*1)&gt;0,"",A45))</f>
        <v/>
      </c>
      <c r="L45" s="6">
        <f>IF(K45="","",B45=0)</f>
        <v/>
      </c>
    </row>
    <row r="46">
      <c r="A46" s="6">
        <f>IFERROR(INDEX(Mapping!$C$1:$C$504,SMALL(Mapping!$H$5:$H$504,41)),"")</f>
        <v/>
      </c>
      <c r="B46" s="13">
        <f>IF(A46="","",SUMIF(Reconcile!$L$12:$L$1511,A46,Reconcile!$G$12:$G$1511))</f>
        <v/>
      </c>
      <c r="D46" s="8" t="n"/>
      <c r="E46" s="14" t="n"/>
      <c r="F46" s="13">
        <f>IF(D46="","",SUMIF(Reconcile!$L$12:$L$1511,D46,Reconcile!$G$12:$G$1511))</f>
        <v/>
      </c>
      <c r="G46" s="13">
        <f>IF(D46="","",F46-N(E46))</f>
        <v/>
      </c>
      <c r="H46" s="15">
        <f>IF(D46="","",IF(N(E46)=0,0,G46/E46))</f>
        <v/>
      </c>
      <c r="I46" s="6">
        <f>IF(D46="","",IF(N(E46)=0,F46=0,ABS(H46)&lt;=Setup!$B$5))</f>
        <v/>
      </c>
      <c r="K46" s="6">
        <f>IF(OR(A46="",SUMPRODUCT(($D$6:$D$105&lt;&gt;"")*1)=0),"",IF(SUMPRODUCT(($D$6:$D$105=A46)*1)&gt;0,"",A46))</f>
        <v/>
      </c>
      <c r="L46" s="6">
        <f>IF(K46="","",B46=0)</f>
        <v/>
      </c>
    </row>
    <row r="47">
      <c r="A47" s="6">
        <f>IFERROR(INDEX(Mapping!$C$1:$C$504,SMALL(Mapping!$H$5:$H$504,42)),"")</f>
        <v/>
      </c>
      <c r="B47" s="13">
        <f>IF(A47="","",SUMIF(Reconcile!$L$12:$L$1511,A47,Reconcile!$G$12:$G$1511))</f>
        <v/>
      </c>
      <c r="D47" s="8" t="n"/>
      <c r="E47" s="14" t="n"/>
      <c r="F47" s="13">
        <f>IF(D47="","",SUMIF(Reconcile!$L$12:$L$1511,D47,Reconcile!$G$12:$G$1511))</f>
        <v/>
      </c>
      <c r="G47" s="13">
        <f>IF(D47="","",F47-N(E47))</f>
        <v/>
      </c>
      <c r="H47" s="15">
        <f>IF(D47="","",IF(N(E47)=0,0,G47/E47))</f>
        <v/>
      </c>
      <c r="I47" s="6">
        <f>IF(D47="","",IF(N(E47)=0,F47=0,ABS(H47)&lt;=Setup!$B$5))</f>
        <v/>
      </c>
      <c r="K47" s="6">
        <f>IF(OR(A47="",SUMPRODUCT(($D$6:$D$105&lt;&gt;"")*1)=0),"",IF(SUMPRODUCT(($D$6:$D$105=A47)*1)&gt;0,"",A47))</f>
        <v/>
      </c>
      <c r="L47" s="6">
        <f>IF(K47="","",B47=0)</f>
        <v/>
      </c>
    </row>
    <row r="48">
      <c r="A48" s="6">
        <f>IFERROR(INDEX(Mapping!$C$1:$C$504,SMALL(Mapping!$H$5:$H$504,43)),"")</f>
        <v/>
      </c>
      <c r="B48" s="13">
        <f>IF(A48="","",SUMIF(Reconcile!$L$12:$L$1511,A48,Reconcile!$G$12:$G$1511))</f>
        <v/>
      </c>
      <c r="D48" s="8" t="n"/>
      <c r="E48" s="14" t="n"/>
      <c r="F48" s="13">
        <f>IF(D48="","",SUMIF(Reconcile!$L$12:$L$1511,D48,Reconcile!$G$12:$G$1511))</f>
        <v/>
      </c>
      <c r="G48" s="13">
        <f>IF(D48="","",F48-N(E48))</f>
        <v/>
      </c>
      <c r="H48" s="15">
        <f>IF(D48="","",IF(N(E48)=0,0,G48/E48))</f>
        <v/>
      </c>
      <c r="I48" s="6">
        <f>IF(D48="","",IF(N(E48)=0,F48=0,ABS(H48)&lt;=Setup!$B$5))</f>
        <v/>
      </c>
      <c r="K48" s="6">
        <f>IF(OR(A48="",SUMPRODUCT(($D$6:$D$105&lt;&gt;"")*1)=0),"",IF(SUMPRODUCT(($D$6:$D$105=A48)*1)&gt;0,"",A48))</f>
        <v/>
      </c>
      <c r="L48" s="6">
        <f>IF(K48="","",B48=0)</f>
        <v/>
      </c>
    </row>
    <row r="49">
      <c r="A49" s="6">
        <f>IFERROR(INDEX(Mapping!$C$1:$C$504,SMALL(Mapping!$H$5:$H$504,44)),"")</f>
        <v/>
      </c>
      <c r="B49" s="13">
        <f>IF(A49="","",SUMIF(Reconcile!$L$12:$L$1511,A49,Reconcile!$G$12:$G$1511))</f>
        <v/>
      </c>
      <c r="D49" s="8" t="n"/>
      <c r="E49" s="14" t="n"/>
      <c r="F49" s="13">
        <f>IF(D49="","",SUMIF(Reconcile!$L$12:$L$1511,D49,Reconcile!$G$12:$G$1511))</f>
        <v/>
      </c>
      <c r="G49" s="13">
        <f>IF(D49="","",F49-N(E49))</f>
        <v/>
      </c>
      <c r="H49" s="15">
        <f>IF(D49="","",IF(N(E49)=0,0,G49/E49))</f>
        <v/>
      </c>
      <c r="I49" s="6">
        <f>IF(D49="","",IF(N(E49)=0,F49=0,ABS(H49)&lt;=Setup!$B$5))</f>
        <v/>
      </c>
      <c r="K49" s="6">
        <f>IF(OR(A49="",SUMPRODUCT(($D$6:$D$105&lt;&gt;"")*1)=0),"",IF(SUMPRODUCT(($D$6:$D$105=A49)*1)&gt;0,"",A49))</f>
        <v/>
      </c>
      <c r="L49" s="6">
        <f>IF(K49="","",B49=0)</f>
        <v/>
      </c>
    </row>
    <row r="50">
      <c r="A50" s="6">
        <f>IFERROR(INDEX(Mapping!$C$1:$C$504,SMALL(Mapping!$H$5:$H$504,45)),"")</f>
        <v/>
      </c>
      <c r="B50" s="13">
        <f>IF(A50="","",SUMIF(Reconcile!$L$12:$L$1511,A50,Reconcile!$G$12:$G$1511))</f>
        <v/>
      </c>
      <c r="D50" s="8" t="n"/>
      <c r="E50" s="14" t="n"/>
      <c r="F50" s="13">
        <f>IF(D50="","",SUMIF(Reconcile!$L$12:$L$1511,D50,Reconcile!$G$12:$G$1511))</f>
        <v/>
      </c>
      <c r="G50" s="13">
        <f>IF(D50="","",F50-N(E50))</f>
        <v/>
      </c>
      <c r="H50" s="15">
        <f>IF(D50="","",IF(N(E50)=0,0,G50/E50))</f>
        <v/>
      </c>
      <c r="I50" s="6">
        <f>IF(D50="","",IF(N(E50)=0,F50=0,ABS(H50)&lt;=Setup!$B$5))</f>
        <v/>
      </c>
      <c r="K50" s="6">
        <f>IF(OR(A50="",SUMPRODUCT(($D$6:$D$105&lt;&gt;"")*1)=0),"",IF(SUMPRODUCT(($D$6:$D$105=A50)*1)&gt;0,"",A50))</f>
        <v/>
      </c>
      <c r="L50" s="6">
        <f>IF(K50="","",B50=0)</f>
        <v/>
      </c>
    </row>
    <row r="51">
      <c r="A51" s="6">
        <f>IFERROR(INDEX(Mapping!$C$1:$C$504,SMALL(Mapping!$H$5:$H$504,46)),"")</f>
        <v/>
      </c>
      <c r="B51" s="13">
        <f>IF(A51="","",SUMIF(Reconcile!$L$12:$L$1511,A51,Reconcile!$G$12:$G$1511))</f>
        <v/>
      </c>
      <c r="D51" s="8" t="n"/>
      <c r="E51" s="14" t="n"/>
      <c r="F51" s="13">
        <f>IF(D51="","",SUMIF(Reconcile!$L$12:$L$1511,D51,Reconcile!$G$12:$G$1511))</f>
        <v/>
      </c>
      <c r="G51" s="13">
        <f>IF(D51="","",F51-N(E51))</f>
        <v/>
      </c>
      <c r="H51" s="15">
        <f>IF(D51="","",IF(N(E51)=0,0,G51/E51))</f>
        <v/>
      </c>
      <c r="I51" s="6">
        <f>IF(D51="","",IF(N(E51)=0,F51=0,ABS(H51)&lt;=Setup!$B$5))</f>
        <v/>
      </c>
      <c r="K51" s="6">
        <f>IF(OR(A51="",SUMPRODUCT(($D$6:$D$105&lt;&gt;"")*1)=0),"",IF(SUMPRODUCT(($D$6:$D$105=A51)*1)&gt;0,"",A51))</f>
        <v/>
      </c>
      <c r="L51" s="6">
        <f>IF(K51="","",B51=0)</f>
        <v/>
      </c>
    </row>
    <row r="52">
      <c r="A52" s="6">
        <f>IFERROR(INDEX(Mapping!$C$1:$C$504,SMALL(Mapping!$H$5:$H$504,47)),"")</f>
        <v/>
      </c>
      <c r="B52" s="13">
        <f>IF(A52="","",SUMIF(Reconcile!$L$12:$L$1511,A52,Reconcile!$G$12:$G$1511))</f>
        <v/>
      </c>
      <c r="D52" s="8" t="n"/>
      <c r="E52" s="14" t="n"/>
      <c r="F52" s="13">
        <f>IF(D52="","",SUMIF(Reconcile!$L$12:$L$1511,D52,Reconcile!$G$12:$G$1511))</f>
        <v/>
      </c>
      <c r="G52" s="13">
        <f>IF(D52="","",F52-N(E52))</f>
        <v/>
      </c>
      <c r="H52" s="15">
        <f>IF(D52="","",IF(N(E52)=0,0,G52/E52))</f>
        <v/>
      </c>
      <c r="I52" s="6">
        <f>IF(D52="","",IF(N(E52)=0,F52=0,ABS(H52)&lt;=Setup!$B$5))</f>
        <v/>
      </c>
      <c r="K52" s="6">
        <f>IF(OR(A52="",SUMPRODUCT(($D$6:$D$105&lt;&gt;"")*1)=0),"",IF(SUMPRODUCT(($D$6:$D$105=A52)*1)&gt;0,"",A52))</f>
        <v/>
      </c>
      <c r="L52" s="6">
        <f>IF(K52="","",B52=0)</f>
        <v/>
      </c>
    </row>
    <row r="53">
      <c r="A53" s="6">
        <f>IFERROR(INDEX(Mapping!$C$1:$C$504,SMALL(Mapping!$H$5:$H$504,48)),"")</f>
        <v/>
      </c>
      <c r="B53" s="13">
        <f>IF(A53="","",SUMIF(Reconcile!$L$12:$L$1511,A53,Reconcile!$G$12:$G$1511))</f>
        <v/>
      </c>
      <c r="D53" s="8" t="n"/>
      <c r="E53" s="14" t="n"/>
      <c r="F53" s="13">
        <f>IF(D53="","",SUMIF(Reconcile!$L$12:$L$1511,D53,Reconcile!$G$12:$G$1511))</f>
        <v/>
      </c>
      <c r="G53" s="13">
        <f>IF(D53="","",F53-N(E53))</f>
        <v/>
      </c>
      <c r="H53" s="15">
        <f>IF(D53="","",IF(N(E53)=0,0,G53/E53))</f>
        <v/>
      </c>
      <c r="I53" s="6">
        <f>IF(D53="","",IF(N(E53)=0,F53=0,ABS(H53)&lt;=Setup!$B$5))</f>
        <v/>
      </c>
      <c r="K53" s="6">
        <f>IF(OR(A53="",SUMPRODUCT(($D$6:$D$105&lt;&gt;"")*1)=0),"",IF(SUMPRODUCT(($D$6:$D$105=A53)*1)&gt;0,"",A53))</f>
        <v/>
      </c>
      <c r="L53" s="6">
        <f>IF(K53="","",B53=0)</f>
        <v/>
      </c>
    </row>
    <row r="54">
      <c r="A54" s="6">
        <f>IFERROR(INDEX(Mapping!$C$1:$C$504,SMALL(Mapping!$H$5:$H$504,49)),"")</f>
        <v/>
      </c>
      <c r="B54" s="13">
        <f>IF(A54="","",SUMIF(Reconcile!$L$12:$L$1511,A54,Reconcile!$G$12:$G$1511))</f>
        <v/>
      </c>
      <c r="D54" s="8" t="n"/>
      <c r="E54" s="14" t="n"/>
      <c r="F54" s="13">
        <f>IF(D54="","",SUMIF(Reconcile!$L$12:$L$1511,D54,Reconcile!$G$12:$G$1511))</f>
        <v/>
      </c>
      <c r="G54" s="13">
        <f>IF(D54="","",F54-N(E54))</f>
        <v/>
      </c>
      <c r="H54" s="15">
        <f>IF(D54="","",IF(N(E54)=0,0,G54/E54))</f>
        <v/>
      </c>
      <c r="I54" s="6">
        <f>IF(D54="","",IF(N(E54)=0,F54=0,ABS(H54)&lt;=Setup!$B$5))</f>
        <v/>
      </c>
      <c r="K54" s="6">
        <f>IF(OR(A54="",SUMPRODUCT(($D$6:$D$105&lt;&gt;"")*1)=0),"",IF(SUMPRODUCT(($D$6:$D$105=A54)*1)&gt;0,"",A54))</f>
        <v/>
      </c>
      <c r="L54" s="6">
        <f>IF(K54="","",B54=0)</f>
        <v/>
      </c>
    </row>
    <row r="55">
      <c r="A55" s="6">
        <f>IFERROR(INDEX(Mapping!$C$1:$C$504,SMALL(Mapping!$H$5:$H$504,50)),"")</f>
        <v/>
      </c>
      <c r="B55" s="13">
        <f>IF(A55="","",SUMIF(Reconcile!$L$12:$L$1511,A55,Reconcile!$G$12:$G$1511))</f>
        <v/>
      </c>
      <c r="D55" s="8" t="n"/>
      <c r="E55" s="14" t="n"/>
      <c r="F55" s="13">
        <f>IF(D55="","",SUMIF(Reconcile!$L$12:$L$1511,D55,Reconcile!$G$12:$G$1511))</f>
        <v/>
      </c>
      <c r="G55" s="13">
        <f>IF(D55="","",F55-N(E55))</f>
        <v/>
      </c>
      <c r="H55" s="15">
        <f>IF(D55="","",IF(N(E55)=0,0,G55/E55))</f>
        <v/>
      </c>
      <c r="I55" s="6">
        <f>IF(D55="","",IF(N(E55)=0,F55=0,ABS(H55)&lt;=Setup!$B$5))</f>
        <v/>
      </c>
      <c r="K55" s="6">
        <f>IF(OR(A55="",SUMPRODUCT(($D$6:$D$105&lt;&gt;"")*1)=0),"",IF(SUMPRODUCT(($D$6:$D$105=A55)*1)&gt;0,"",A55))</f>
        <v/>
      </c>
      <c r="L55" s="6">
        <f>IF(K55="","",B55=0)</f>
        <v/>
      </c>
    </row>
    <row r="56">
      <c r="A56" s="6">
        <f>IFERROR(INDEX(Mapping!$C$1:$C$504,SMALL(Mapping!$H$5:$H$504,51)),"")</f>
        <v/>
      </c>
      <c r="B56" s="13">
        <f>IF(A56="","",SUMIF(Reconcile!$L$12:$L$1511,A56,Reconcile!$G$12:$G$1511))</f>
        <v/>
      </c>
      <c r="D56" s="8" t="n"/>
      <c r="E56" s="14" t="n"/>
      <c r="F56" s="13">
        <f>IF(D56="","",SUMIF(Reconcile!$L$12:$L$1511,D56,Reconcile!$G$12:$G$1511))</f>
        <v/>
      </c>
      <c r="G56" s="13">
        <f>IF(D56="","",F56-N(E56))</f>
        <v/>
      </c>
      <c r="H56" s="15">
        <f>IF(D56="","",IF(N(E56)=0,0,G56/E56))</f>
        <v/>
      </c>
      <c r="I56" s="6">
        <f>IF(D56="","",IF(N(E56)=0,F56=0,ABS(H56)&lt;=Setup!$B$5))</f>
        <v/>
      </c>
      <c r="K56" s="6">
        <f>IF(OR(A56="",SUMPRODUCT(($D$6:$D$105&lt;&gt;"")*1)=0),"",IF(SUMPRODUCT(($D$6:$D$105=A56)*1)&gt;0,"",A56))</f>
        <v/>
      </c>
      <c r="L56" s="6">
        <f>IF(K56="","",B56=0)</f>
        <v/>
      </c>
    </row>
    <row r="57">
      <c r="A57" s="6">
        <f>IFERROR(INDEX(Mapping!$C$1:$C$504,SMALL(Mapping!$H$5:$H$504,52)),"")</f>
        <v/>
      </c>
      <c r="B57" s="13">
        <f>IF(A57="","",SUMIF(Reconcile!$L$12:$L$1511,A57,Reconcile!$G$12:$G$1511))</f>
        <v/>
      </c>
      <c r="D57" s="8" t="n"/>
      <c r="E57" s="14" t="n"/>
      <c r="F57" s="13">
        <f>IF(D57="","",SUMIF(Reconcile!$L$12:$L$1511,D57,Reconcile!$G$12:$G$1511))</f>
        <v/>
      </c>
      <c r="G57" s="13">
        <f>IF(D57="","",F57-N(E57))</f>
        <v/>
      </c>
      <c r="H57" s="15">
        <f>IF(D57="","",IF(N(E57)=0,0,G57/E57))</f>
        <v/>
      </c>
      <c r="I57" s="6">
        <f>IF(D57="","",IF(N(E57)=0,F57=0,ABS(H57)&lt;=Setup!$B$5))</f>
        <v/>
      </c>
      <c r="K57" s="6">
        <f>IF(OR(A57="",SUMPRODUCT(($D$6:$D$105&lt;&gt;"")*1)=0),"",IF(SUMPRODUCT(($D$6:$D$105=A57)*1)&gt;0,"",A57))</f>
        <v/>
      </c>
      <c r="L57" s="6">
        <f>IF(K57="","",B57=0)</f>
        <v/>
      </c>
    </row>
    <row r="58">
      <c r="A58" s="6">
        <f>IFERROR(INDEX(Mapping!$C$1:$C$504,SMALL(Mapping!$H$5:$H$504,53)),"")</f>
        <v/>
      </c>
      <c r="B58" s="13">
        <f>IF(A58="","",SUMIF(Reconcile!$L$12:$L$1511,A58,Reconcile!$G$12:$G$1511))</f>
        <v/>
      </c>
      <c r="D58" s="8" t="n"/>
      <c r="E58" s="14" t="n"/>
      <c r="F58" s="13">
        <f>IF(D58="","",SUMIF(Reconcile!$L$12:$L$1511,D58,Reconcile!$G$12:$G$1511))</f>
        <v/>
      </c>
      <c r="G58" s="13">
        <f>IF(D58="","",F58-N(E58))</f>
        <v/>
      </c>
      <c r="H58" s="15">
        <f>IF(D58="","",IF(N(E58)=0,0,G58/E58))</f>
        <v/>
      </c>
      <c r="I58" s="6">
        <f>IF(D58="","",IF(N(E58)=0,F58=0,ABS(H58)&lt;=Setup!$B$5))</f>
        <v/>
      </c>
      <c r="K58" s="6">
        <f>IF(OR(A58="",SUMPRODUCT(($D$6:$D$105&lt;&gt;"")*1)=0),"",IF(SUMPRODUCT(($D$6:$D$105=A58)*1)&gt;0,"",A58))</f>
        <v/>
      </c>
      <c r="L58" s="6">
        <f>IF(K58="","",B58=0)</f>
        <v/>
      </c>
    </row>
    <row r="59">
      <c r="A59" s="6">
        <f>IFERROR(INDEX(Mapping!$C$1:$C$504,SMALL(Mapping!$H$5:$H$504,54)),"")</f>
        <v/>
      </c>
      <c r="B59" s="13">
        <f>IF(A59="","",SUMIF(Reconcile!$L$12:$L$1511,A59,Reconcile!$G$12:$G$1511))</f>
        <v/>
      </c>
      <c r="D59" s="8" t="n"/>
      <c r="E59" s="14" t="n"/>
      <c r="F59" s="13">
        <f>IF(D59="","",SUMIF(Reconcile!$L$12:$L$1511,D59,Reconcile!$G$12:$G$1511))</f>
        <v/>
      </c>
      <c r="G59" s="13">
        <f>IF(D59="","",F59-N(E59))</f>
        <v/>
      </c>
      <c r="H59" s="15">
        <f>IF(D59="","",IF(N(E59)=0,0,G59/E59))</f>
        <v/>
      </c>
      <c r="I59" s="6">
        <f>IF(D59="","",IF(N(E59)=0,F59=0,ABS(H59)&lt;=Setup!$B$5))</f>
        <v/>
      </c>
      <c r="K59" s="6">
        <f>IF(OR(A59="",SUMPRODUCT(($D$6:$D$105&lt;&gt;"")*1)=0),"",IF(SUMPRODUCT(($D$6:$D$105=A59)*1)&gt;0,"",A59))</f>
        <v/>
      </c>
      <c r="L59" s="6">
        <f>IF(K59="","",B59=0)</f>
        <v/>
      </c>
    </row>
    <row r="60">
      <c r="A60" s="6">
        <f>IFERROR(INDEX(Mapping!$C$1:$C$504,SMALL(Mapping!$H$5:$H$504,55)),"")</f>
        <v/>
      </c>
      <c r="B60" s="13">
        <f>IF(A60="","",SUMIF(Reconcile!$L$12:$L$1511,A60,Reconcile!$G$12:$G$1511))</f>
        <v/>
      </c>
      <c r="D60" s="8" t="n"/>
      <c r="E60" s="14" t="n"/>
      <c r="F60" s="13">
        <f>IF(D60="","",SUMIF(Reconcile!$L$12:$L$1511,D60,Reconcile!$G$12:$G$1511))</f>
        <v/>
      </c>
      <c r="G60" s="13">
        <f>IF(D60="","",F60-N(E60))</f>
        <v/>
      </c>
      <c r="H60" s="15">
        <f>IF(D60="","",IF(N(E60)=0,0,G60/E60))</f>
        <v/>
      </c>
      <c r="I60" s="6">
        <f>IF(D60="","",IF(N(E60)=0,F60=0,ABS(H60)&lt;=Setup!$B$5))</f>
        <v/>
      </c>
      <c r="K60" s="6">
        <f>IF(OR(A60="",SUMPRODUCT(($D$6:$D$105&lt;&gt;"")*1)=0),"",IF(SUMPRODUCT(($D$6:$D$105=A60)*1)&gt;0,"",A60))</f>
        <v/>
      </c>
      <c r="L60" s="6">
        <f>IF(K60="","",B60=0)</f>
        <v/>
      </c>
    </row>
    <row r="61">
      <c r="A61" s="6">
        <f>IFERROR(INDEX(Mapping!$C$1:$C$504,SMALL(Mapping!$H$5:$H$504,56)),"")</f>
        <v/>
      </c>
      <c r="B61" s="13">
        <f>IF(A61="","",SUMIF(Reconcile!$L$12:$L$1511,A61,Reconcile!$G$12:$G$1511))</f>
        <v/>
      </c>
      <c r="D61" s="8" t="n"/>
      <c r="E61" s="14" t="n"/>
      <c r="F61" s="13">
        <f>IF(D61="","",SUMIF(Reconcile!$L$12:$L$1511,D61,Reconcile!$G$12:$G$1511))</f>
        <v/>
      </c>
      <c r="G61" s="13">
        <f>IF(D61="","",F61-N(E61))</f>
        <v/>
      </c>
      <c r="H61" s="15">
        <f>IF(D61="","",IF(N(E61)=0,0,G61/E61))</f>
        <v/>
      </c>
      <c r="I61" s="6">
        <f>IF(D61="","",IF(N(E61)=0,F61=0,ABS(H61)&lt;=Setup!$B$5))</f>
        <v/>
      </c>
      <c r="K61" s="6">
        <f>IF(OR(A61="",SUMPRODUCT(($D$6:$D$105&lt;&gt;"")*1)=0),"",IF(SUMPRODUCT(($D$6:$D$105=A61)*1)&gt;0,"",A61))</f>
        <v/>
      </c>
      <c r="L61" s="6">
        <f>IF(K61="","",B61=0)</f>
        <v/>
      </c>
    </row>
    <row r="62">
      <c r="A62" s="6">
        <f>IFERROR(INDEX(Mapping!$C$1:$C$504,SMALL(Mapping!$H$5:$H$504,57)),"")</f>
        <v/>
      </c>
      <c r="B62" s="13">
        <f>IF(A62="","",SUMIF(Reconcile!$L$12:$L$1511,A62,Reconcile!$G$12:$G$1511))</f>
        <v/>
      </c>
      <c r="D62" s="8" t="n"/>
      <c r="E62" s="14" t="n"/>
      <c r="F62" s="13">
        <f>IF(D62="","",SUMIF(Reconcile!$L$12:$L$1511,D62,Reconcile!$G$12:$G$1511))</f>
        <v/>
      </c>
      <c r="G62" s="13">
        <f>IF(D62="","",F62-N(E62))</f>
        <v/>
      </c>
      <c r="H62" s="15">
        <f>IF(D62="","",IF(N(E62)=0,0,G62/E62))</f>
        <v/>
      </c>
      <c r="I62" s="6">
        <f>IF(D62="","",IF(N(E62)=0,F62=0,ABS(H62)&lt;=Setup!$B$5))</f>
        <v/>
      </c>
      <c r="K62" s="6">
        <f>IF(OR(A62="",SUMPRODUCT(($D$6:$D$105&lt;&gt;"")*1)=0),"",IF(SUMPRODUCT(($D$6:$D$105=A62)*1)&gt;0,"",A62))</f>
        <v/>
      </c>
      <c r="L62" s="6">
        <f>IF(K62="","",B62=0)</f>
        <v/>
      </c>
    </row>
    <row r="63">
      <c r="A63" s="6">
        <f>IFERROR(INDEX(Mapping!$C$1:$C$504,SMALL(Mapping!$H$5:$H$504,58)),"")</f>
        <v/>
      </c>
      <c r="B63" s="13">
        <f>IF(A63="","",SUMIF(Reconcile!$L$12:$L$1511,A63,Reconcile!$G$12:$G$1511))</f>
        <v/>
      </c>
      <c r="D63" s="8" t="n"/>
      <c r="E63" s="14" t="n"/>
      <c r="F63" s="13">
        <f>IF(D63="","",SUMIF(Reconcile!$L$12:$L$1511,D63,Reconcile!$G$12:$G$1511))</f>
        <v/>
      </c>
      <c r="G63" s="13">
        <f>IF(D63="","",F63-N(E63))</f>
        <v/>
      </c>
      <c r="H63" s="15">
        <f>IF(D63="","",IF(N(E63)=0,0,G63/E63))</f>
        <v/>
      </c>
      <c r="I63" s="6">
        <f>IF(D63="","",IF(N(E63)=0,F63=0,ABS(H63)&lt;=Setup!$B$5))</f>
        <v/>
      </c>
      <c r="K63" s="6">
        <f>IF(OR(A63="",SUMPRODUCT(($D$6:$D$105&lt;&gt;"")*1)=0),"",IF(SUMPRODUCT(($D$6:$D$105=A63)*1)&gt;0,"",A63))</f>
        <v/>
      </c>
      <c r="L63" s="6">
        <f>IF(K63="","",B63=0)</f>
        <v/>
      </c>
    </row>
    <row r="64">
      <c r="A64" s="6">
        <f>IFERROR(INDEX(Mapping!$C$1:$C$504,SMALL(Mapping!$H$5:$H$504,59)),"")</f>
        <v/>
      </c>
      <c r="B64" s="13">
        <f>IF(A64="","",SUMIF(Reconcile!$L$12:$L$1511,A64,Reconcile!$G$12:$G$1511))</f>
        <v/>
      </c>
      <c r="D64" s="8" t="n"/>
      <c r="E64" s="14" t="n"/>
      <c r="F64" s="13">
        <f>IF(D64="","",SUMIF(Reconcile!$L$12:$L$1511,D64,Reconcile!$G$12:$G$1511))</f>
        <v/>
      </c>
      <c r="G64" s="13">
        <f>IF(D64="","",F64-N(E64))</f>
        <v/>
      </c>
      <c r="H64" s="15">
        <f>IF(D64="","",IF(N(E64)=0,0,G64/E64))</f>
        <v/>
      </c>
      <c r="I64" s="6">
        <f>IF(D64="","",IF(N(E64)=0,F64=0,ABS(H64)&lt;=Setup!$B$5))</f>
        <v/>
      </c>
      <c r="K64" s="6">
        <f>IF(OR(A64="",SUMPRODUCT(($D$6:$D$105&lt;&gt;"")*1)=0),"",IF(SUMPRODUCT(($D$6:$D$105=A64)*1)&gt;0,"",A64))</f>
        <v/>
      </c>
      <c r="L64" s="6">
        <f>IF(K64="","",B64=0)</f>
        <v/>
      </c>
    </row>
    <row r="65">
      <c r="A65" s="6">
        <f>IFERROR(INDEX(Mapping!$C$1:$C$504,SMALL(Mapping!$H$5:$H$504,60)),"")</f>
        <v/>
      </c>
      <c r="B65" s="13">
        <f>IF(A65="","",SUMIF(Reconcile!$L$12:$L$1511,A65,Reconcile!$G$12:$G$1511))</f>
        <v/>
      </c>
      <c r="D65" s="8" t="n"/>
      <c r="E65" s="14" t="n"/>
      <c r="F65" s="13">
        <f>IF(D65="","",SUMIF(Reconcile!$L$12:$L$1511,D65,Reconcile!$G$12:$G$1511))</f>
        <v/>
      </c>
      <c r="G65" s="13">
        <f>IF(D65="","",F65-N(E65))</f>
        <v/>
      </c>
      <c r="H65" s="15">
        <f>IF(D65="","",IF(N(E65)=0,0,G65/E65))</f>
        <v/>
      </c>
      <c r="I65" s="6">
        <f>IF(D65="","",IF(N(E65)=0,F65=0,ABS(H65)&lt;=Setup!$B$5))</f>
        <v/>
      </c>
      <c r="K65" s="6">
        <f>IF(OR(A65="",SUMPRODUCT(($D$6:$D$105&lt;&gt;"")*1)=0),"",IF(SUMPRODUCT(($D$6:$D$105=A65)*1)&gt;0,"",A65))</f>
        <v/>
      </c>
      <c r="L65" s="6">
        <f>IF(K65="","",B65=0)</f>
        <v/>
      </c>
    </row>
    <row r="66">
      <c r="A66" s="6">
        <f>IFERROR(INDEX(Mapping!$C$1:$C$504,SMALL(Mapping!$H$5:$H$504,61)),"")</f>
        <v/>
      </c>
      <c r="B66" s="13">
        <f>IF(A66="","",SUMIF(Reconcile!$L$12:$L$1511,A66,Reconcile!$G$12:$G$1511))</f>
        <v/>
      </c>
      <c r="D66" s="8" t="n"/>
      <c r="E66" s="14" t="n"/>
      <c r="F66" s="13">
        <f>IF(D66="","",SUMIF(Reconcile!$L$12:$L$1511,D66,Reconcile!$G$12:$G$1511))</f>
        <v/>
      </c>
      <c r="G66" s="13">
        <f>IF(D66="","",F66-N(E66))</f>
        <v/>
      </c>
      <c r="H66" s="15">
        <f>IF(D66="","",IF(N(E66)=0,0,G66/E66))</f>
        <v/>
      </c>
      <c r="I66" s="6">
        <f>IF(D66="","",IF(N(E66)=0,F66=0,ABS(H66)&lt;=Setup!$B$5))</f>
        <v/>
      </c>
      <c r="K66" s="6">
        <f>IF(OR(A66="",SUMPRODUCT(($D$6:$D$105&lt;&gt;"")*1)=0),"",IF(SUMPRODUCT(($D$6:$D$105=A66)*1)&gt;0,"",A66))</f>
        <v/>
      </c>
      <c r="L66" s="6">
        <f>IF(K66="","",B66=0)</f>
        <v/>
      </c>
    </row>
    <row r="67">
      <c r="A67" s="6">
        <f>IFERROR(INDEX(Mapping!$C$1:$C$504,SMALL(Mapping!$H$5:$H$504,62)),"")</f>
        <v/>
      </c>
      <c r="B67" s="13">
        <f>IF(A67="","",SUMIF(Reconcile!$L$12:$L$1511,A67,Reconcile!$G$12:$G$1511))</f>
        <v/>
      </c>
      <c r="D67" s="8" t="n"/>
      <c r="E67" s="14" t="n"/>
      <c r="F67" s="13">
        <f>IF(D67="","",SUMIF(Reconcile!$L$12:$L$1511,D67,Reconcile!$G$12:$G$1511))</f>
        <v/>
      </c>
      <c r="G67" s="13">
        <f>IF(D67="","",F67-N(E67))</f>
        <v/>
      </c>
      <c r="H67" s="15">
        <f>IF(D67="","",IF(N(E67)=0,0,G67/E67))</f>
        <v/>
      </c>
      <c r="I67" s="6">
        <f>IF(D67="","",IF(N(E67)=0,F67=0,ABS(H67)&lt;=Setup!$B$5))</f>
        <v/>
      </c>
      <c r="K67" s="6">
        <f>IF(OR(A67="",SUMPRODUCT(($D$6:$D$105&lt;&gt;"")*1)=0),"",IF(SUMPRODUCT(($D$6:$D$105=A67)*1)&gt;0,"",A67))</f>
        <v/>
      </c>
      <c r="L67" s="6">
        <f>IF(K67="","",B67=0)</f>
        <v/>
      </c>
    </row>
    <row r="68">
      <c r="A68" s="6">
        <f>IFERROR(INDEX(Mapping!$C$1:$C$504,SMALL(Mapping!$H$5:$H$504,63)),"")</f>
        <v/>
      </c>
      <c r="B68" s="13">
        <f>IF(A68="","",SUMIF(Reconcile!$L$12:$L$1511,A68,Reconcile!$G$12:$G$1511))</f>
        <v/>
      </c>
      <c r="D68" s="8" t="n"/>
      <c r="E68" s="14" t="n"/>
      <c r="F68" s="13">
        <f>IF(D68="","",SUMIF(Reconcile!$L$12:$L$1511,D68,Reconcile!$G$12:$G$1511))</f>
        <v/>
      </c>
      <c r="G68" s="13">
        <f>IF(D68="","",F68-N(E68))</f>
        <v/>
      </c>
      <c r="H68" s="15">
        <f>IF(D68="","",IF(N(E68)=0,0,G68/E68))</f>
        <v/>
      </c>
      <c r="I68" s="6">
        <f>IF(D68="","",IF(N(E68)=0,F68=0,ABS(H68)&lt;=Setup!$B$5))</f>
        <v/>
      </c>
      <c r="K68" s="6">
        <f>IF(OR(A68="",SUMPRODUCT(($D$6:$D$105&lt;&gt;"")*1)=0),"",IF(SUMPRODUCT(($D$6:$D$105=A68)*1)&gt;0,"",A68))</f>
        <v/>
      </c>
      <c r="L68" s="6">
        <f>IF(K68="","",B68=0)</f>
        <v/>
      </c>
    </row>
    <row r="69">
      <c r="A69" s="6">
        <f>IFERROR(INDEX(Mapping!$C$1:$C$504,SMALL(Mapping!$H$5:$H$504,64)),"")</f>
        <v/>
      </c>
      <c r="B69" s="13">
        <f>IF(A69="","",SUMIF(Reconcile!$L$12:$L$1511,A69,Reconcile!$G$12:$G$1511))</f>
        <v/>
      </c>
      <c r="D69" s="8" t="n"/>
      <c r="E69" s="14" t="n"/>
      <c r="F69" s="13">
        <f>IF(D69="","",SUMIF(Reconcile!$L$12:$L$1511,D69,Reconcile!$G$12:$G$1511))</f>
        <v/>
      </c>
      <c r="G69" s="13">
        <f>IF(D69="","",F69-N(E69))</f>
        <v/>
      </c>
      <c r="H69" s="15">
        <f>IF(D69="","",IF(N(E69)=0,0,G69/E69))</f>
        <v/>
      </c>
      <c r="I69" s="6">
        <f>IF(D69="","",IF(N(E69)=0,F69=0,ABS(H69)&lt;=Setup!$B$5))</f>
        <v/>
      </c>
      <c r="K69" s="6">
        <f>IF(OR(A69="",SUMPRODUCT(($D$6:$D$105&lt;&gt;"")*1)=0),"",IF(SUMPRODUCT(($D$6:$D$105=A69)*1)&gt;0,"",A69))</f>
        <v/>
      </c>
      <c r="L69" s="6">
        <f>IF(K69="","",B69=0)</f>
        <v/>
      </c>
    </row>
    <row r="70">
      <c r="A70" s="6">
        <f>IFERROR(INDEX(Mapping!$C$1:$C$504,SMALL(Mapping!$H$5:$H$504,65)),"")</f>
        <v/>
      </c>
      <c r="B70" s="13">
        <f>IF(A70="","",SUMIF(Reconcile!$L$12:$L$1511,A70,Reconcile!$G$12:$G$1511))</f>
        <v/>
      </c>
      <c r="D70" s="8" t="n"/>
      <c r="E70" s="14" t="n"/>
      <c r="F70" s="13">
        <f>IF(D70="","",SUMIF(Reconcile!$L$12:$L$1511,D70,Reconcile!$G$12:$G$1511))</f>
        <v/>
      </c>
      <c r="G70" s="13">
        <f>IF(D70="","",F70-N(E70))</f>
        <v/>
      </c>
      <c r="H70" s="15">
        <f>IF(D70="","",IF(N(E70)=0,0,G70/E70))</f>
        <v/>
      </c>
      <c r="I70" s="6">
        <f>IF(D70="","",IF(N(E70)=0,F70=0,ABS(H70)&lt;=Setup!$B$5))</f>
        <v/>
      </c>
      <c r="K70" s="6">
        <f>IF(OR(A70="",SUMPRODUCT(($D$6:$D$105&lt;&gt;"")*1)=0),"",IF(SUMPRODUCT(($D$6:$D$105=A70)*1)&gt;0,"",A70))</f>
        <v/>
      </c>
      <c r="L70" s="6">
        <f>IF(K70="","",B70=0)</f>
        <v/>
      </c>
    </row>
    <row r="71">
      <c r="A71" s="6">
        <f>IFERROR(INDEX(Mapping!$C$1:$C$504,SMALL(Mapping!$H$5:$H$504,66)),"")</f>
        <v/>
      </c>
      <c r="B71" s="13">
        <f>IF(A71="","",SUMIF(Reconcile!$L$12:$L$1511,A71,Reconcile!$G$12:$G$1511))</f>
        <v/>
      </c>
      <c r="D71" s="8" t="n"/>
      <c r="E71" s="14" t="n"/>
      <c r="F71" s="13">
        <f>IF(D71="","",SUMIF(Reconcile!$L$12:$L$1511,D71,Reconcile!$G$12:$G$1511))</f>
        <v/>
      </c>
      <c r="G71" s="13">
        <f>IF(D71="","",F71-N(E71))</f>
        <v/>
      </c>
      <c r="H71" s="15">
        <f>IF(D71="","",IF(N(E71)=0,0,G71/E71))</f>
        <v/>
      </c>
      <c r="I71" s="6">
        <f>IF(D71="","",IF(N(E71)=0,F71=0,ABS(H71)&lt;=Setup!$B$5))</f>
        <v/>
      </c>
      <c r="K71" s="6">
        <f>IF(OR(A71="",SUMPRODUCT(($D$6:$D$105&lt;&gt;"")*1)=0),"",IF(SUMPRODUCT(($D$6:$D$105=A71)*1)&gt;0,"",A71))</f>
        <v/>
      </c>
      <c r="L71" s="6">
        <f>IF(K71="","",B71=0)</f>
        <v/>
      </c>
    </row>
    <row r="72">
      <c r="A72" s="6">
        <f>IFERROR(INDEX(Mapping!$C$1:$C$504,SMALL(Mapping!$H$5:$H$504,67)),"")</f>
        <v/>
      </c>
      <c r="B72" s="13">
        <f>IF(A72="","",SUMIF(Reconcile!$L$12:$L$1511,A72,Reconcile!$G$12:$G$1511))</f>
        <v/>
      </c>
      <c r="D72" s="8" t="n"/>
      <c r="E72" s="14" t="n"/>
      <c r="F72" s="13">
        <f>IF(D72="","",SUMIF(Reconcile!$L$12:$L$1511,D72,Reconcile!$G$12:$G$1511))</f>
        <v/>
      </c>
      <c r="G72" s="13">
        <f>IF(D72="","",F72-N(E72))</f>
        <v/>
      </c>
      <c r="H72" s="15">
        <f>IF(D72="","",IF(N(E72)=0,0,G72/E72))</f>
        <v/>
      </c>
      <c r="I72" s="6">
        <f>IF(D72="","",IF(N(E72)=0,F72=0,ABS(H72)&lt;=Setup!$B$5))</f>
        <v/>
      </c>
      <c r="K72" s="6">
        <f>IF(OR(A72="",SUMPRODUCT(($D$6:$D$105&lt;&gt;"")*1)=0),"",IF(SUMPRODUCT(($D$6:$D$105=A72)*1)&gt;0,"",A72))</f>
        <v/>
      </c>
      <c r="L72" s="6">
        <f>IF(K72="","",B72=0)</f>
        <v/>
      </c>
    </row>
    <row r="73">
      <c r="A73" s="6">
        <f>IFERROR(INDEX(Mapping!$C$1:$C$504,SMALL(Mapping!$H$5:$H$504,68)),"")</f>
        <v/>
      </c>
      <c r="B73" s="13">
        <f>IF(A73="","",SUMIF(Reconcile!$L$12:$L$1511,A73,Reconcile!$G$12:$G$1511))</f>
        <v/>
      </c>
      <c r="D73" s="8" t="n"/>
      <c r="E73" s="14" t="n"/>
      <c r="F73" s="13">
        <f>IF(D73="","",SUMIF(Reconcile!$L$12:$L$1511,D73,Reconcile!$G$12:$G$1511))</f>
        <v/>
      </c>
      <c r="G73" s="13">
        <f>IF(D73="","",F73-N(E73))</f>
        <v/>
      </c>
      <c r="H73" s="15">
        <f>IF(D73="","",IF(N(E73)=0,0,G73/E73))</f>
        <v/>
      </c>
      <c r="I73" s="6">
        <f>IF(D73="","",IF(N(E73)=0,F73=0,ABS(H73)&lt;=Setup!$B$5))</f>
        <v/>
      </c>
      <c r="K73" s="6">
        <f>IF(OR(A73="",SUMPRODUCT(($D$6:$D$105&lt;&gt;"")*1)=0),"",IF(SUMPRODUCT(($D$6:$D$105=A73)*1)&gt;0,"",A73))</f>
        <v/>
      </c>
      <c r="L73" s="6">
        <f>IF(K73="","",B73=0)</f>
        <v/>
      </c>
    </row>
    <row r="74">
      <c r="A74" s="6">
        <f>IFERROR(INDEX(Mapping!$C$1:$C$504,SMALL(Mapping!$H$5:$H$504,69)),"")</f>
        <v/>
      </c>
      <c r="B74" s="13">
        <f>IF(A74="","",SUMIF(Reconcile!$L$12:$L$1511,A74,Reconcile!$G$12:$G$1511))</f>
        <v/>
      </c>
      <c r="D74" s="8" t="n"/>
      <c r="E74" s="14" t="n"/>
      <c r="F74" s="13">
        <f>IF(D74="","",SUMIF(Reconcile!$L$12:$L$1511,D74,Reconcile!$G$12:$G$1511))</f>
        <v/>
      </c>
      <c r="G74" s="13">
        <f>IF(D74="","",F74-N(E74))</f>
        <v/>
      </c>
      <c r="H74" s="15">
        <f>IF(D74="","",IF(N(E74)=0,0,G74/E74))</f>
        <v/>
      </c>
      <c r="I74" s="6">
        <f>IF(D74="","",IF(N(E74)=0,F74=0,ABS(H74)&lt;=Setup!$B$5))</f>
        <v/>
      </c>
      <c r="K74" s="6">
        <f>IF(OR(A74="",SUMPRODUCT(($D$6:$D$105&lt;&gt;"")*1)=0),"",IF(SUMPRODUCT(($D$6:$D$105=A74)*1)&gt;0,"",A74))</f>
        <v/>
      </c>
      <c r="L74" s="6">
        <f>IF(K74="","",B74=0)</f>
        <v/>
      </c>
    </row>
    <row r="75">
      <c r="A75" s="6">
        <f>IFERROR(INDEX(Mapping!$C$1:$C$504,SMALL(Mapping!$H$5:$H$504,70)),"")</f>
        <v/>
      </c>
      <c r="B75" s="13">
        <f>IF(A75="","",SUMIF(Reconcile!$L$12:$L$1511,A75,Reconcile!$G$12:$G$1511))</f>
        <v/>
      </c>
      <c r="D75" s="8" t="n"/>
      <c r="E75" s="14" t="n"/>
      <c r="F75" s="13">
        <f>IF(D75="","",SUMIF(Reconcile!$L$12:$L$1511,D75,Reconcile!$G$12:$G$1511))</f>
        <v/>
      </c>
      <c r="G75" s="13">
        <f>IF(D75="","",F75-N(E75))</f>
        <v/>
      </c>
      <c r="H75" s="15">
        <f>IF(D75="","",IF(N(E75)=0,0,G75/E75))</f>
        <v/>
      </c>
      <c r="I75" s="6">
        <f>IF(D75="","",IF(N(E75)=0,F75=0,ABS(H75)&lt;=Setup!$B$5))</f>
        <v/>
      </c>
      <c r="K75" s="6">
        <f>IF(OR(A75="",SUMPRODUCT(($D$6:$D$105&lt;&gt;"")*1)=0),"",IF(SUMPRODUCT(($D$6:$D$105=A75)*1)&gt;0,"",A75))</f>
        <v/>
      </c>
      <c r="L75" s="6">
        <f>IF(K75="","",B75=0)</f>
        <v/>
      </c>
    </row>
    <row r="76">
      <c r="A76" s="6">
        <f>IFERROR(INDEX(Mapping!$C$1:$C$504,SMALL(Mapping!$H$5:$H$504,71)),"")</f>
        <v/>
      </c>
      <c r="B76" s="13">
        <f>IF(A76="","",SUMIF(Reconcile!$L$12:$L$1511,A76,Reconcile!$G$12:$G$1511))</f>
        <v/>
      </c>
      <c r="D76" s="8" t="n"/>
      <c r="E76" s="14" t="n"/>
      <c r="F76" s="13">
        <f>IF(D76="","",SUMIF(Reconcile!$L$12:$L$1511,D76,Reconcile!$G$12:$G$1511))</f>
        <v/>
      </c>
      <c r="G76" s="13">
        <f>IF(D76="","",F76-N(E76))</f>
        <v/>
      </c>
      <c r="H76" s="15">
        <f>IF(D76="","",IF(N(E76)=0,0,G76/E76))</f>
        <v/>
      </c>
      <c r="I76" s="6">
        <f>IF(D76="","",IF(N(E76)=0,F76=0,ABS(H76)&lt;=Setup!$B$5))</f>
        <v/>
      </c>
      <c r="K76" s="6">
        <f>IF(OR(A76="",SUMPRODUCT(($D$6:$D$105&lt;&gt;"")*1)=0),"",IF(SUMPRODUCT(($D$6:$D$105=A76)*1)&gt;0,"",A76))</f>
        <v/>
      </c>
      <c r="L76" s="6">
        <f>IF(K76="","",B76=0)</f>
        <v/>
      </c>
    </row>
    <row r="77">
      <c r="A77" s="6">
        <f>IFERROR(INDEX(Mapping!$C$1:$C$504,SMALL(Mapping!$H$5:$H$504,72)),"")</f>
        <v/>
      </c>
      <c r="B77" s="13">
        <f>IF(A77="","",SUMIF(Reconcile!$L$12:$L$1511,A77,Reconcile!$G$12:$G$1511))</f>
        <v/>
      </c>
      <c r="D77" s="8" t="n"/>
      <c r="E77" s="14" t="n"/>
      <c r="F77" s="13">
        <f>IF(D77="","",SUMIF(Reconcile!$L$12:$L$1511,D77,Reconcile!$G$12:$G$1511))</f>
        <v/>
      </c>
      <c r="G77" s="13">
        <f>IF(D77="","",F77-N(E77))</f>
        <v/>
      </c>
      <c r="H77" s="15">
        <f>IF(D77="","",IF(N(E77)=0,0,G77/E77))</f>
        <v/>
      </c>
      <c r="I77" s="6">
        <f>IF(D77="","",IF(N(E77)=0,F77=0,ABS(H77)&lt;=Setup!$B$5))</f>
        <v/>
      </c>
      <c r="K77" s="6">
        <f>IF(OR(A77="",SUMPRODUCT(($D$6:$D$105&lt;&gt;"")*1)=0),"",IF(SUMPRODUCT(($D$6:$D$105=A77)*1)&gt;0,"",A77))</f>
        <v/>
      </c>
      <c r="L77" s="6">
        <f>IF(K77="","",B77=0)</f>
        <v/>
      </c>
    </row>
    <row r="78">
      <c r="A78" s="6">
        <f>IFERROR(INDEX(Mapping!$C$1:$C$504,SMALL(Mapping!$H$5:$H$504,73)),"")</f>
        <v/>
      </c>
      <c r="B78" s="13">
        <f>IF(A78="","",SUMIF(Reconcile!$L$12:$L$1511,A78,Reconcile!$G$12:$G$1511))</f>
        <v/>
      </c>
      <c r="D78" s="8" t="n"/>
      <c r="E78" s="14" t="n"/>
      <c r="F78" s="13">
        <f>IF(D78="","",SUMIF(Reconcile!$L$12:$L$1511,D78,Reconcile!$G$12:$G$1511))</f>
        <v/>
      </c>
      <c r="G78" s="13">
        <f>IF(D78="","",F78-N(E78))</f>
        <v/>
      </c>
      <c r="H78" s="15">
        <f>IF(D78="","",IF(N(E78)=0,0,G78/E78))</f>
        <v/>
      </c>
      <c r="I78" s="6">
        <f>IF(D78="","",IF(N(E78)=0,F78=0,ABS(H78)&lt;=Setup!$B$5))</f>
        <v/>
      </c>
      <c r="K78" s="6">
        <f>IF(OR(A78="",SUMPRODUCT(($D$6:$D$105&lt;&gt;"")*1)=0),"",IF(SUMPRODUCT(($D$6:$D$105=A78)*1)&gt;0,"",A78))</f>
        <v/>
      </c>
      <c r="L78" s="6">
        <f>IF(K78="","",B78=0)</f>
        <v/>
      </c>
    </row>
    <row r="79">
      <c r="A79" s="6">
        <f>IFERROR(INDEX(Mapping!$C$1:$C$504,SMALL(Mapping!$H$5:$H$504,74)),"")</f>
        <v/>
      </c>
      <c r="B79" s="13">
        <f>IF(A79="","",SUMIF(Reconcile!$L$12:$L$1511,A79,Reconcile!$G$12:$G$1511))</f>
        <v/>
      </c>
      <c r="D79" s="8" t="n"/>
      <c r="E79" s="14" t="n"/>
      <c r="F79" s="13">
        <f>IF(D79="","",SUMIF(Reconcile!$L$12:$L$1511,D79,Reconcile!$G$12:$G$1511))</f>
        <v/>
      </c>
      <c r="G79" s="13">
        <f>IF(D79="","",F79-N(E79))</f>
        <v/>
      </c>
      <c r="H79" s="15">
        <f>IF(D79="","",IF(N(E79)=0,0,G79/E79))</f>
        <v/>
      </c>
      <c r="I79" s="6">
        <f>IF(D79="","",IF(N(E79)=0,F79=0,ABS(H79)&lt;=Setup!$B$5))</f>
        <v/>
      </c>
      <c r="K79" s="6">
        <f>IF(OR(A79="",SUMPRODUCT(($D$6:$D$105&lt;&gt;"")*1)=0),"",IF(SUMPRODUCT(($D$6:$D$105=A79)*1)&gt;0,"",A79))</f>
        <v/>
      </c>
      <c r="L79" s="6">
        <f>IF(K79="","",B79=0)</f>
        <v/>
      </c>
    </row>
    <row r="80">
      <c r="A80" s="6">
        <f>IFERROR(INDEX(Mapping!$C$1:$C$504,SMALL(Mapping!$H$5:$H$504,75)),"")</f>
        <v/>
      </c>
      <c r="B80" s="13">
        <f>IF(A80="","",SUMIF(Reconcile!$L$12:$L$1511,A80,Reconcile!$G$12:$G$1511))</f>
        <v/>
      </c>
      <c r="D80" s="8" t="n"/>
      <c r="E80" s="14" t="n"/>
      <c r="F80" s="13">
        <f>IF(D80="","",SUMIF(Reconcile!$L$12:$L$1511,D80,Reconcile!$G$12:$G$1511))</f>
        <v/>
      </c>
      <c r="G80" s="13">
        <f>IF(D80="","",F80-N(E80))</f>
        <v/>
      </c>
      <c r="H80" s="15">
        <f>IF(D80="","",IF(N(E80)=0,0,G80/E80))</f>
        <v/>
      </c>
      <c r="I80" s="6">
        <f>IF(D80="","",IF(N(E80)=0,F80=0,ABS(H80)&lt;=Setup!$B$5))</f>
        <v/>
      </c>
      <c r="K80" s="6">
        <f>IF(OR(A80="",SUMPRODUCT(($D$6:$D$105&lt;&gt;"")*1)=0),"",IF(SUMPRODUCT(($D$6:$D$105=A80)*1)&gt;0,"",A80))</f>
        <v/>
      </c>
      <c r="L80" s="6">
        <f>IF(K80="","",B80=0)</f>
        <v/>
      </c>
    </row>
    <row r="81">
      <c r="A81" s="6">
        <f>IFERROR(INDEX(Mapping!$C$1:$C$504,SMALL(Mapping!$H$5:$H$504,76)),"")</f>
        <v/>
      </c>
      <c r="B81" s="13">
        <f>IF(A81="","",SUMIF(Reconcile!$L$12:$L$1511,A81,Reconcile!$G$12:$G$1511))</f>
        <v/>
      </c>
      <c r="D81" s="8" t="n"/>
      <c r="E81" s="14" t="n"/>
      <c r="F81" s="13">
        <f>IF(D81="","",SUMIF(Reconcile!$L$12:$L$1511,D81,Reconcile!$G$12:$G$1511))</f>
        <v/>
      </c>
      <c r="G81" s="13">
        <f>IF(D81="","",F81-N(E81))</f>
        <v/>
      </c>
      <c r="H81" s="15">
        <f>IF(D81="","",IF(N(E81)=0,0,G81/E81))</f>
        <v/>
      </c>
      <c r="I81" s="6">
        <f>IF(D81="","",IF(N(E81)=0,F81=0,ABS(H81)&lt;=Setup!$B$5))</f>
        <v/>
      </c>
      <c r="K81" s="6">
        <f>IF(OR(A81="",SUMPRODUCT(($D$6:$D$105&lt;&gt;"")*1)=0),"",IF(SUMPRODUCT(($D$6:$D$105=A81)*1)&gt;0,"",A81))</f>
        <v/>
      </c>
      <c r="L81" s="6">
        <f>IF(K81="","",B81=0)</f>
        <v/>
      </c>
    </row>
    <row r="82">
      <c r="A82" s="6">
        <f>IFERROR(INDEX(Mapping!$C$1:$C$504,SMALL(Mapping!$H$5:$H$504,77)),"")</f>
        <v/>
      </c>
      <c r="B82" s="13">
        <f>IF(A82="","",SUMIF(Reconcile!$L$12:$L$1511,A82,Reconcile!$G$12:$G$1511))</f>
        <v/>
      </c>
      <c r="D82" s="8" t="n"/>
      <c r="E82" s="14" t="n"/>
      <c r="F82" s="13">
        <f>IF(D82="","",SUMIF(Reconcile!$L$12:$L$1511,D82,Reconcile!$G$12:$G$1511))</f>
        <v/>
      </c>
      <c r="G82" s="13">
        <f>IF(D82="","",F82-N(E82))</f>
        <v/>
      </c>
      <c r="H82" s="15">
        <f>IF(D82="","",IF(N(E82)=0,0,G82/E82))</f>
        <v/>
      </c>
      <c r="I82" s="6">
        <f>IF(D82="","",IF(N(E82)=0,F82=0,ABS(H82)&lt;=Setup!$B$5))</f>
        <v/>
      </c>
      <c r="K82" s="6">
        <f>IF(OR(A82="",SUMPRODUCT(($D$6:$D$105&lt;&gt;"")*1)=0),"",IF(SUMPRODUCT(($D$6:$D$105=A82)*1)&gt;0,"",A82))</f>
        <v/>
      </c>
      <c r="L82" s="6">
        <f>IF(K82="","",B82=0)</f>
        <v/>
      </c>
    </row>
    <row r="83">
      <c r="A83" s="6">
        <f>IFERROR(INDEX(Mapping!$C$1:$C$504,SMALL(Mapping!$H$5:$H$504,78)),"")</f>
        <v/>
      </c>
      <c r="B83" s="13">
        <f>IF(A83="","",SUMIF(Reconcile!$L$12:$L$1511,A83,Reconcile!$G$12:$G$1511))</f>
        <v/>
      </c>
      <c r="D83" s="8" t="n"/>
      <c r="E83" s="14" t="n"/>
      <c r="F83" s="13">
        <f>IF(D83="","",SUMIF(Reconcile!$L$12:$L$1511,D83,Reconcile!$G$12:$G$1511))</f>
        <v/>
      </c>
      <c r="G83" s="13">
        <f>IF(D83="","",F83-N(E83))</f>
        <v/>
      </c>
      <c r="H83" s="15">
        <f>IF(D83="","",IF(N(E83)=0,0,G83/E83))</f>
        <v/>
      </c>
      <c r="I83" s="6">
        <f>IF(D83="","",IF(N(E83)=0,F83=0,ABS(H83)&lt;=Setup!$B$5))</f>
        <v/>
      </c>
      <c r="K83" s="6">
        <f>IF(OR(A83="",SUMPRODUCT(($D$6:$D$105&lt;&gt;"")*1)=0),"",IF(SUMPRODUCT(($D$6:$D$105=A83)*1)&gt;0,"",A83))</f>
        <v/>
      </c>
      <c r="L83" s="6">
        <f>IF(K83="","",B83=0)</f>
        <v/>
      </c>
    </row>
    <row r="84">
      <c r="A84" s="6">
        <f>IFERROR(INDEX(Mapping!$C$1:$C$504,SMALL(Mapping!$H$5:$H$504,79)),"")</f>
        <v/>
      </c>
      <c r="B84" s="13">
        <f>IF(A84="","",SUMIF(Reconcile!$L$12:$L$1511,A84,Reconcile!$G$12:$G$1511))</f>
        <v/>
      </c>
      <c r="D84" s="8" t="n"/>
      <c r="E84" s="14" t="n"/>
      <c r="F84" s="13">
        <f>IF(D84="","",SUMIF(Reconcile!$L$12:$L$1511,D84,Reconcile!$G$12:$G$1511))</f>
        <v/>
      </c>
      <c r="G84" s="13">
        <f>IF(D84="","",F84-N(E84))</f>
        <v/>
      </c>
      <c r="H84" s="15">
        <f>IF(D84="","",IF(N(E84)=0,0,G84/E84))</f>
        <v/>
      </c>
      <c r="I84" s="6">
        <f>IF(D84="","",IF(N(E84)=0,F84=0,ABS(H84)&lt;=Setup!$B$5))</f>
        <v/>
      </c>
      <c r="K84" s="6">
        <f>IF(OR(A84="",SUMPRODUCT(($D$6:$D$105&lt;&gt;"")*1)=0),"",IF(SUMPRODUCT(($D$6:$D$105=A84)*1)&gt;0,"",A84))</f>
        <v/>
      </c>
      <c r="L84" s="6">
        <f>IF(K84="","",B84=0)</f>
        <v/>
      </c>
    </row>
    <row r="85">
      <c r="A85" s="6">
        <f>IFERROR(INDEX(Mapping!$C$1:$C$504,SMALL(Mapping!$H$5:$H$504,80)),"")</f>
        <v/>
      </c>
      <c r="B85" s="13">
        <f>IF(A85="","",SUMIF(Reconcile!$L$12:$L$1511,A85,Reconcile!$G$12:$G$1511))</f>
        <v/>
      </c>
      <c r="D85" s="8" t="n"/>
      <c r="E85" s="14" t="n"/>
      <c r="F85" s="13">
        <f>IF(D85="","",SUMIF(Reconcile!$L$12:$L$1511,D85,Reconcile!$G$12:$G$1511))</f>
        <v/>
      </c>
      <c r="G85" s="13">
        <f>IF(D85="","",F85-N(E85))</f>
        <v/>
      </c>
      <c r="H85" s="15">
        <f>IF(D85="","",IF(N(E85)=0,0,G85/E85))</f>
        <v/>
      </c>
      <c r="I85" s="6">
        <f>IF(D85="","",IF(N(E85)=0,F85=0,ABS(H85)&lt;=Setup!$B$5))</f>
        <v/>
      </c>
      <c r="K85" s="6">
        <f>IF(OR(A85="",SUMPRODUCT(($D$6:$D$105&lt;&gt;"")*1)=0),"",IF(SUMPRODUCT(($D$6:$D$105=A85)*1)&gt;0,"",A85))</f>
        <v/>
      </c>
      <c r="L85" s="6">
        <f>IF(K85="","",B85=0)</f>
        <v/>
      </c>
    </row>
    <row r="86">
      <c r="A86" s="6">
        <f>IFERROR(INDEX(Mapping!$C$1:$C$504,SMALL(Mapping!$H$5:$H$504,81)),"")</f>
        <v/>
      </c>
      <c r="B86" s="13">
        <f>IF(A86="","",SUMIF(Reconcile!$L$12:$L$1511,A86,Reconcile!$G$12:$G$1511))</f>
        <v/>
      </c>
      <c r="D86" s="8" t="n"/>
      <c r="E86" s="14" t="n"/>
      <c r="F86" s="13">
        <f>IF(D86="","",SUMIF(Reconcile!$L$12:$L$1511,D86,Reconcile!$G$12:$G$1511))</f>
        <v/>
      </c>
      <c r="G86" s="13">
        <f>IF(D86="","",F86-N(E86))</f>
        <v/>
      </c>
      <c r="H86" s="15">
        <f>IF(D86="","",IF(N(E86)=0,0,G86/E86))</f>
        <v/>
      </c>
      <c r="I86" s="6">
        <f>IF(D86="","",IF(N(E86)=0,F86=0,ABS(H86)&lt;=Setup!$B$5))</f>
        <v/>
      </c>
      <c r="K86" s="6">
        <f>IF(OR(A86="",SUMPRODUCT(($D$6:$D$105&lt;&gt;"")*1)=0),"",IF(SUMPRODUCT(($D$6:$D$105=A86)*1)&gt;0,"",A86))</f>
        <v/>
      </c>
      <c r="L86" s="6">
        <f>IF(K86="","",B86=0)</f>
        <v/>
      </c>
    </row>
    <row r="87">
      <c r="A87" s="6">
        <f>IFERROR(INDEX(Mapping!$C$1:$C$504,SMALL(Mapping!$H$5:$H$504,82)),"")</f>
        <v/>
      </c>
      <c r="B87" s="13">
        <f>IF(A87="","",SUMIF(Reconcile!$L$12:$L$1511,A87,Reconcile!$G$12:$G$1511))</f>
        <v/>
      </c>
      <c r="D87" s="8" t="n"/>
      <c r="E87" s="14" t="n"/>
      <c r="F87" s="13">
        <f>IF(D87="","",SUMIF(Reconcile!$L$12:$L$1511,D87,Reconcile!$G$12:$G$1511))</f>
        <v/>
      </c>
      <c r="G87" s="13">
        <f>IF(D87="","",F87-N(E87))</f>
        <v/>
      </c>
      <c r="H87" s="15">
        <f>IF(D87="","",IF(N(E87)=0,0,G87/E87))</f>
        <v/>
      </c>
      <c r="I87" s="6">
        <f>IF(D87="","",IF(N(E87)=0,F87=0,ABS(H87)&lt;=Setup!$B$5))</f>
        <v/>
      </c>
      <c r="K87" s="6">
        <f>IF(OR(A87="",SUMPRODUCT(($D$6:$D$105&lt;&gt;"")*1)=0),"",IF(SUMPRODUCT(($D$6:$D$105=A87)*1)&gt;0,"",A87))</f>
        <v/>
      </c>
      <c r="L87" s="6">
        <f>IF(K87="","",B87=0)</f>
        <v/>
      </c>
    </row>
    <row r="88">
      <c r="A88" s="6">
        <f>IFERROR(INDEX(Mapping!$C$1:$C$504,SMALL(Mapping!$H$5:$H$504,83)),"")</f>
        <v/>
      </c>
      <c r="B88" s="13">
        <f>IF(A88="","",SUMIF(Reconcile!$L$12:$L$1511,A88,Reconcile!$G$12:$G$1511))</f>
        <v/>
      </c>
      <c r="D88" s="8" t="n"/>
      <c r="E88" s="14" t="n"/>
      <c r="F88" s="13">
        <f>IF(D88="","",SUMIF(Reconcile!$L$12:$L$1511,D88,Reconcile!$G$12:$G$1511))</f>
        <v/>
      </c>
      <c r="G88" s="13">
        <f>IF(D88="","",F88-N(E88))</f>
        <v/>
      </c>
      <c r="H88" s="15">
        <f>IF(D88="","",IF(N(E88)=0,0,G88/E88))</f>
        <v/>
      </c>
      <c r="I88" s="6">
        <f>IF(D88="","",IF(N(E88)=0,F88=0,ABS(H88)&lt;=Setup!$B$5))</f>
        <v/>
      </c>
      <c r="K88" s="6">
        <f>IF(OR(A88="",SUMPRODUCT(($D$6:$D$105&lt;&gt;"")*1)=0),"",IF(SUMPRODUCT(($D$6:$D$105=A88)*1)&gt;0,"",A88))</f>
        <v/>
      </c>
      <c r="L88" s="6">
        <f>IF(K88="","",B88=0)</f>
        <v/>
      </c>
    </row>
    <row r="89">
      <c r="A89" s="6">
        <f>IFERROR(INDEX(Mapping!$C$1:$C$504,SMALL(Mapping!$H$5:$H$504,84)),"")</f>
        <v/>
      </c>
      <c r="B89" s="13">
        <f>IF(A89="","",SUMIF(Reconcile!$L$12:$L$1511,A89,Reconcile!$G$12:$G$1511))</f>
        <v/>
      </c>
      <c r="D89" s="8" t="n"/>
      <c r="E89" s="14" t="n"/>
      <c r="F89" s="13">
        <f>IF(D89="","",SUMIF(Reconcile!$L$12:$L$1511,D89,Reconcile!$G$12:$G$1511))</f>
        <v/>
      </c>
      <c r="G89" s="13">
        <f>IF(D89="","",F89-N(E89))</f>
        <v/>
      </c>
      <c r="H89" s="15">
        <f>IF(D89="","",IF(N(E89)=0,0,G89/E89))</f>
        <v/>
      </c>
      <c r="I89" s="6">
        <f>IF(D89="","",IF(N(E89)=0,F89=0,ABS(H89)&lt;=Setup!$B$5))</f>
        <v/>
      </c>
      <c r="K89" s="6">
        <f>IF(OR(A89="",SUMPRODUCT(($D$6:$D$105&lt;&gt;"")*1)=0),"",IF(SUMPRODUCT(($D$6:$D$105=A89)*1)&gt;0,"",A89))</f>
        <v/>
      </c>
      <c r="L89" s="6">
        <f>IF(K89="","",B89=0)</f>
        <v/>
      </c>
    </row>
    <row r="90">
      <c r="A90" s="6">
        <f>IFERROR(INDEX(Mapping!$C$1:$C$504,SMALL(Mapping!$H$5:$H$504,85)),"")</f>
        <v/>
      </c>
      <c r="B90" s="13">
        <f>IF(A90="","",SUMIF(Reconcile!$L$12:$L$1511,A90,Reconcile!$G$12:$G$1511))</f>
        <v/>
      </c>
      <c r="D90" s="8" t="n"/>
      <c r="E90" s="14" t="n"/>
      <c r="F90" s="13">
        <f>IF(D90="","",SUMIF(Reconcile!$L$12:$L$1511,D90,Reconcile!$G$12:$G$1511))</f>
        <v/>
      </c>
      <c r="G90" s="13">
        <f>IF(D90="","",F90-N(E90))</f>
        <v/>
      </c>
      <c r="H90" s="15">
        <f>IF(D90="","",IF(N(E90)=0,0,G90/E90))</f>
        <v/>
      </c>
      <c r="I90" s="6">
        <f>IF(D90="","",IF(N(E90)=0,F90=0,ABS(H90)&lt;=Setup!$B$5))</f>
        <v/>
      </c>
      <c r="K90" s="6">
        <f>IF(OR(A90="",SUMPRODUCT(($D$6:$D$105&lt;&gt;"")*1)=0),"",IF(SUMPRODUCT(($D$6:$D$105=A90)*1)&gt;0,"",A90))</f>
        <v/>
      </c>
      <c r="L90" s="6">
        <f>IF(K90="","",B90=0)</f>
        <v/>
      </c>
    </row>
    <row r="91">
      <c r="A91" s="6">
        <f>IFERROR(INDEX(Mapping!$C$1:$C$504,SMALL(Mapping!$H$5:$H$504,86)),"")</f>
        <v/>
      </c>
      <c r="B91" s="13">
        <f>IF(A91="","",SUMIF(Reconcile!$L$12:$L$1511,A91,Reconcile!$G$12:$G$1511))</f>
        <v/>
      </c>
      <c r="D91" s="8" t="n"/>
      <c r="E91" s="14" t="n"/>
      <c r="F91" s="13">
        <f>IF(D91="","",SUMIF(Reconcile!$L$12:$L$1511,D91,Reconcile!$G$12:$G$1511))</f>
        <v/>
      </c>
      <c r="G91" s="13">
        <f>IF(D91="","",F91-N(E91))</f>
        <v/>
      </c>
      <c r="H91" s="15">
        <f>IF(D91="","",IF(N(E91)=0,0,G91/E91))</f>
        <v/>
      </c>
      <c r="I91" s="6">
        <f>IF(D91="","",IF(N(E91)=0,F91=0,ABS(H91)&lt;=Setup!$B$5))</f>
        <v/>
      </c>
      <c r="K91" s="6">
        <f>IF(OR(A91="",SUMPRODUCT(($D$6:$D$105&lt;&gt;"")*1)=0),"",IF(SUMPRODUCT(($D$6:$D$105=A91)*1)&gt;0,"",A91))</f>
        <v/>
      </c>
      <c r="L91" s="6">
        <f>IF(K91="","",B91=0)</f>
        <v/>
      </c>
    </row>
    <row r="92">
      <c r="A92" s="6">
        <f>IFERROR(INDEX(Mapping!$C$1:$C$504,SMALL(Mapping!$H$5:$H$504,87)),"")</f>
        <v/>
      </c>
      <c r="B92" s="13">
        <f>IF(A92="","",SUMIF(Reconcile!$L$12:$L$1511,A92,Reconcile!$G$12:$G$1511))</f>
        <v/>
      </c>
      <c r="D92" s="8" t="n"/>
      <c r="E92" s="14" t="n"/>
      <c r="F92" s="13">
        <f>IF(D92="","",SUMIF(Reconcile!$L$12:$L$1511,D92,Reconcile!$G$12:$G$1511))</f>
        <v/>
      </c>
      <c r="G92" s="13">
        <f>IF(D92="","",F92-N(E92))</f>
        <v/>
      </c>
      <c r="H92" s="15">
        <f>IF(D92="","",IF(N(E92)=0,0,G92/E92))</f>
        <v/>
      </c>
      <c r="I92" s="6">
        <f>IF(D92="","",IF(N(E92)=0,F92=0,ABS(H92)&lt;=Setup!$B$5))</f>
        <v/>
      </c>
      <c r="K92" s="6">
        <f>IF(OR(A92="",SUMPRODUCT(($D$6:$D$105&lt;&gt;"")*1)=0),"",IF(SUMPRODUCT(($D$6:$D$105=A92)*1)&gt;0,"",A92))</f>
        <v/>
      </c>
      <c r="L92" s="6">
        <f>IF(K92="","",B92=0)</f>
        <v/>
      </c>
    </row>
    <row r="93">
      <c r="A93" s="6">
        <f>IFERROR(INDEX(Mapping!$C$1:$C$504,SMALL(Mapping!$H$5:$H$504,88)),"")</f>
        <v/>
      </c>
      <c r="B93" s="13">
        <f>IF(A93="","",SUMIF(Reconcile!$L$12:$L$1511,A93,Reconcile!$G$12:$G$1511))</f>
        <v/>
      </c>
      <c r="D93" s="8" t="n"/>
      <c r="E93" s="14" t="n"/>
      <c r="F93" s="13">
        <f>IF(D93="","",SUMIF(Reconcile!$L$12:$L$1511,D93,Reconcile!$G$12:$G$1511))</f>
        <v/>
      </c>
      <c r="G93" s="13">
        <f>IF(D93="","",F93-N(E93))</f>
        <v/>
      </c>
      <c r="H93" s="15">
        <f>IF(D93="","",IF(N(E93)=0,0,G93/E93))</f>
        <v/>
      </c>
      <c r="I93" s="6">
        <f>IF(D93="","",IF(N(E93)=0,F93=0,ABS(H93)&lt;=Setup!$B$5))</f>
        <v/>
      </c>
      <c r="K93" s="6">
        <f>IF(OR(A93="",SUMPRODUCT(($D$6:$D$105&lt;&gt;"")*1)=0),"",IF(SUMPRODUCT(($D$6:$D$105=A93)*1)&gt;0,"",A93))</f>
        <v/>
      </c>
      <c r="L93" s="6">
        <f>IF(K93="","",B93=0)</f>
        <v/>
      </c>
    </row>
    <row r="94">
      <c r="A94" s="6">
        <f>IFERROR(INDEX(Mapping!$C$1:$C$504,SMALL(Mapping!$H$5:$H$504,89)),"")</f>
        <v/>
      </c>
      <c r="B94" s="13">
        <f>IF(A94="","",SUMIF(Reconcile!$L$12:$L$1511,A94,Reconcile!$G$12:$G$1511))</f>
        <v/>
      </c>
      <c r="D94" s="8" t="n"/>
      <c r="E94" s="14" t="n"/>
      <c r="F94" s="13">
        <f>IF(D94="","",SUMIF(Reconcile!$L$12:$L$1511,D94,Reconcile!$G$12:$G$1511))</f>
        <v/>
      </c>
      <c r="G94" s="13">
        <f>IF(D94="","",F94-N(E94))</f>
        <v/>
      </c>
      <c r="H94" s="15">
        <f>IF(D94="","",IF(N(E94)=0,0,G94/E94))</f>
        <v/>
      </c>
      <c r="I94" s="6">
        <f>IF(D94="","",IF(N(E94)=0,F94=0,ABS(H94)&lt;=Setup!$B$5))</f>
        <v/>
      </c>
      <c r="K94" s="6">
        <f>IF(OR(A94="",SUMPRODUCT(($D$6:$D$105&lt;&gt;"")*1)=0),"",IF(SUMPRODUCT(($D$6:$D$105=A94)*1)&gt;0,"",A94))</f>
        <v/>
      </c>
      <c r="L94" s="6">
        <f>IF(K94="","",B94=0)</f>
        <v/>
      </c>
    </row>
    <row r="95">
      <c r="A95" s="6">
        <f>IFERROR(INDEX(Mapping!$C$1:$C$504,SMALL(Mapping!$H$5:$H$504,90)),"")</f>
        <v/>
      </c>
      <c r="B95" s="13">
        <f>IF(A95="","",SUMIF(Reconcile!$L$12:$L$1511,A95,Reconcile!$G$12:$G$1511))</f>
        <v/>
      </c>
      <c r="D95" s="8" t="n"/>
      <c r="E95" s="14" t="n"/>
      <c r="F95" s="13">
        <f>IF(D95="","",SUMIF(Reconcile!$L$12:$L$1511,D95,Reconcile!$G$12:$G$1511))</f>
        <v/>
      </c>
      <c r="G95" s="13">
        <f>IF(D95="","",F95-N(E95))</f>
        <v/>
      </c>
      <c r="H95" s="15">
        <f>IF(D95="","",IF(N(E95)=0,0,G95/E95))</f>
        <v/>
      </c>
      <c r="I95" s="6">
        <f>IF(D95="","",IF(N(E95)=0,F95=0,ABS(H95)&lt;=Setup!$B$5))</f>
        <v/>
      </c>
      <c r="K95" s="6">
        <f>IF(OR(A95="",SUMPRODUCT(($D$6:$D$105&lt;&gt;"")*1)=0),"",IF(SUMPRODUCT(($D$6:$D$105=A95)*1)&gt;0,"",A95))</f>
        <v/>
      </c>
      <c r="L95" s="6">
        <f>IF(K95="","",B95=0)</f>
        <v/>
      </c>
    </row>
    <row r="96">
      <c r="A96" s="6">
        <f>IFERROR(INDEX(Mapping!$C$1:$C$504,SMALL(Mapping!$H$5:$H$504,91)),"")</f>
        <v/>
      </c>
      <c r="B96" s="13">
        <f>IF(A96="","",SUMIF(Reconcile!$L$12:$L$1511,A96,Reconcile!$G$12:$G$1511))</f>
        <v/>
      </c>
      <c r="D96" s="8" t="n"/>
      <c r="E96" s="14" t="n"/>
      <c r="F96" s="13">
        <f>IF(D96="","",SUMIF(Reconcile!$L$12:$L$1511,D96,Reconcile!$G$12:$G$1511))</f>
        <v/>
      </c>
      <c r="G96" s="13">
        <f>IF(D96="","",F96-N(E96))</f>
        <v/>
      </c>
      <c r="H96" s="15">
        <f>IF(D96="","",IF(N(E96)=0,0,G96/E96))</f>
        <v/>
      </c>
      <c r="I96" s="6">
        <f>IF(D96="","",IF(N(E96)=0,F96=0,ABS(H96)&lt;=Setup!$B$5))</f>
        <v/>
      </c>
      <c r="K96" s="6">
        <f>IF(OR(A96="",SUMPRODUCT(($D$6:$D$105&lt;&gt;"")*1)=0),"",IF(SUMPRODUCT(($D$6:$D$105=A96)*1)&gt;0,"",A96))</f>
        <v/>
      </c>
      <c r="L96" s="6">
        <f>IF(K96="","",B96=0)</f>
        <v/>
      </c>
    </row>
    <row r="97">
      <c r="A97" s="6">
        <f>IFERROR(INDEX(Mapping!$C$1:$C$504,SMALL(Mapping!$H$5:$H$504,92)),"")</f>
        <v/>
      </c>
      <c r="B97" s="13">
        <f>IF(A97="","",SUMIF(Reconcile!$L$12:$L$1511,A97,Reconcile!$G$12:$G$1511))</f>
        <v/>
      </c>
      <c r="D97" s="8" t="n"/>
      <c r="E97" s="14" t="n"/>
      <c r="F97" s="13">
        <f>IF(D97="","",SUMIF(Reconcile!$L$12:$L$1511,D97,Reconcile!$G$12:$G$1511))</f>
        <v/>
      </c>
      <c r="G97" s="13">
        <f>IF(D97="","",F97-N(E97))</f>
        <v/>
      </c>
      <c r="H97" s="15">
        <f>IF(D97="","",IF(N(E97)=0,0,G97/E97))</f>
        <v/>
      </c>
      <c r="I97" s="6">
        <f>IF(D97="","",IF(N(E97)=0,F97=0,ABS(H97)&lt;=Setup!$B$5))</f>
        <v/>
      </c>
      <c r="K97" s="6">
        <f>IF(OR(A97="",SUMPRODUCT(($D$6:$D$105&lt;&gt;"")*1)=0),"",IF(SUMPRODUCT(($D$6:$D$105=A97)*1)&gt;0,"",A97))</f>
        <v/>
      </c>
      <c r="L97" s="6">
        <f>IF(K97="","",B97=0)</f>
        <v/>
      </c>
    </row>
    <row r="98">
      <c r="A98" s="6">
        <f>IFERROR(INDEX(Mapping!$C$1:$C$504,SMALL(Mapping!$H$5:$H$504,93)),"")</f>
        <v/>
      </c>
      <c r="B98" s="13">
        <f>IF(A98="","",SUMIF(Reconcile!$L$12:$L$1511,A98,Reconcile!$G$12:$G$1511))</f>
        <v/>
      </c>
      <c r="D98" s="8" t="n"/>
      <c r="E98" s="14" t="n"/>
      <c r="F98" s="13">
        <f>IF(D98="","",SUMIF(Reconcile!$L$12:$L$1511,D98,Reconcile!$G$12:$G$1511))</f>
        <v/>
      </c>
      <c r="G98" s="13">
        <f>IF(D98="","",F98-N(E98))</f>
        <v/>
      </c>
      <c r="H98" s="15">
        <f>IF(D98="","",IF(N(E98)=0,0,G98/E98))</f>
        <v/>
      </c>
      <c r="I98" s="6">
        <f>IF(D98="","",IF(N(E98)=0,F98=0,ABS(H98)&lt;=Setup!$B$5))</f>
        <v/>
      </c>
      <c r="K98" s="6">
        <f>IF(OR(A98="",SUMPRODUCT(($D$6:$D$105&lt;&gt;"")*1)=0),"",IF(SUMPRODUCT(($D$6:$D$105=A98)*1)&gt;0,"",A98))</f>
        <v/>
      </c>
      <c r="L98" s="6">
        <f>IF(K98="","",B98=0)</f>
        <v/>
      </c>
    </row>
    <row r="99">
      <c r="A99" s="6">
        <f>IFERROR(INDEX(Mapping!$C$1:$C$504,SMALL(Mapping!$H$5:$H$504,94)),"")</f>
        <v/>
      </c>
      <c r="B99" s="13">
        <f>IF(A99="","",SUMIF(Reconcile!$L$12:$L$1511,A99,Reconcile!$G$12:$G$1511))</f>
        <v/>
      </c>
      <c r="D99" s="8" t="n"/>
      <c r="E99" s="14" t="n"/>
      <c r="F99" s="13">
        <f>IF(D99="","",SUMIF(Reconcile!$L$12:$L$1511,D99,Reconcile!$G$12:$G$1511))</f>
        <v/>
      </c>
      <c r="G99" s="13">
        <f>IF(D99="","",F99-N(E99))</f>
        <v/>
      </c>
      <c r="H99" s="15">
        <f>IF(D99="","",IF(N(E99)=0,0,G99/E99))</f>
        <v/>
      </c>
      <c r="I99" s="6">
        <f>IF(D99="","",IF(N(E99)=0,F99=0,ABS(H99)&lt;=Setup!$B$5))</f>
        <v/>
      </c>
      <c r="K99" s="6">
        <f>IF(OR(A99="",SUMPRODUCT(($D$6:$D$105&lt;&gt;"")*1)=0),"",IF(SUMPRODUCT(($D$6:$D$105=A99)*1)&gt;0,"",A99))</f>
        <v/>
      </c>
      <c r="L99" s="6">
        <f>IF(K99="","",B99=0)</f>
        <v/>
      </c>
    </row>
    <row r="100">
      <c r="A100" s="6">
        <f>IFERROR(INDEX(Mapping!$C$1:$C$504,SMALL(Mapping!$H$5:$H$504,95)),"")</f>
        <v/>
      </c>
      <c r="B100" s="13">
        <f>IF(A100="","",SUMIF(Reconcile!$L$12:$L$1511,A100,Reconcile!$G$12:$G$1511))</f>
        <v/>
      </c>
      <c r="D100" s="8" t="n"/>
      <c r="E100" s="14" t="n"/>
      <c r="F100" s="13">
        <f>IF(D100="","",SUMIF(Reconcile!$L$12:$L$1511,D100,Reconcile!$G$12:$G$1511))</f>
        <v/>
      </c>
      <c r="G100" s="13">
        <f>IF(D100="","",F100-N(E100))</f>
        <v/>
      </c>
      <c r="H100" s="15">
        <f>IF(D100="","",IF(N(E100)=0,0,G100/E100))</f>
        <v/>
      </c>
      <c r="I100" s="6">
        <f>IF(D100="","",IF(N(E100)=0,F100=0,ABS(H100)&lt;=Setup!$B$5))</f>
        <v/>
      </c>
      <c r="K100" s="6">
        <f>IF(OR(A100="",SUMPRODUCT(($D$6:$D$105&lt;&gt;"")*1)=0),"",IF(SUMPRODUCT(($D$6:$D$105=A100)*1)&gt;0,"",A100))</f>
        <v/>
      </c>
      <c r="L100" s="6">
        <f>IF(K100="","",B100=0)</f>
        <v/>
      </c>
    </row>
    <row r="101">
      <c r="A101" s="6">
        <f>IFERROR(INDEX(Mapping!$C$1:$C$504,SMALL(Mapping!$H$5:$H$504,96)),"")</f>
        <v/>
      </c>
      <c r="B101" s="13">
        <f>IF(A101="","",SUMIF(Reconcile!$L$12:$L$1511,A101,Reconcile!$G$12:$G$1511))</f>
        <v/>
      </c>
      <c r="D101" s="8" t="n"/>
      <c r="E101" s="14" t="n"/>
      <c r="F101" s="13">
        <f>IF(D101="","",SUMIF(Reconcile!$L$12:$L$1511,D101,Reconcile!$G$12:$G$1511))</f>
        <v/>
      </c>
      <c r="G101" s="13">
        <f>IF(D101="","",F101-N(E101))</f>
        <v/>
      </c>
      <c r="H101" s="15">
        <f>IF(D101="","",IF(N(E101)=0,0,G101/E101))</f>
        <v/>
      </c>
      <c r="I101" s="6">
        <f>IF(D101="","",IF(N(E101)=0,F101=0,ABS(H101)&lt;=Setup!$B$5))</f>
        <v/>
      </c>
      <c r="K101" s="6">
        <f>IF(OR(A101="",SUMPRODUCT(($D$6:$D$105&lt;&gt;"")*1)=0),"",IF(SUMPRODUCT(($D$6:$D$105=A101)*1)&gt;0,"",A101))</f>
        <v/>
      </c>
      <c r="L101" s="6">
        <f>IF(K101="","",B101=0)</f>
        <v/>
      </c>
    </row>
    <row r="102">
      <c r="A102" s="6">
        <f>IFERROR(INDEX(Mapping!$C$1:$C$504,SMALL(Mapping!$H$5:$H$504,97)),"")</f>
        <v/>
      </c>
      <c r="B102" s="13">
        <f>IF(A102="","",SUMIF(Reconcile!$L$12:$L$1511,A102,Reconcile!$G$12:$G$1511))</f>
        <v/>
      </c>
      <c r="D102" s="8" t="n"/>
      <c r="E102" s="14" t="n"/>
      <c r="F102" s="13">
        <f>IF(D102="","",SUMIF(Reconcile!$L$12:$L$1511,D102,Reconcile!$G$12:$G$1511))</f>
        <v/>
      </c>
      <c r="G102" s="13">
        <f>IF(D102="","",F102-N(E102))</f>
        <v/>
      </c>
      <c r="H102" s="15">
        <f>IF(D102="","",IF(N(E102)=0,0,G102/E102))</f>
        <v/>
      </c>
      <c r="I102" s="6">
        <f>IF(D102="","",IF(N(E102)=0,F102=0,ABS(H102)&lt;=Setup!$B$5))</f>
        <v/>
      </c>
      <c r="K102" s="6">
        <f>IF(OR(A102="",SUMPRODUCT(($D$6:$D$105&lt;&gt;"")*1)=0),"",IF(SUMPRODUCT(($D$6:$D$105=A102)*1)&gt;0,"",A102))</f>
        <v/>
      </c>
      <c r="L102" s="6">
        <f>IF(K102="","",B102=0)</f>
        <v/>
      </c>
    </row>
    <row r="103">
      <c r="A103" s="6">
        <f>IFERROR(INDEX(Mapping!$C$1:$C$504,SMALL(Mapping!$H$5:$H$504,98)),"")</f>
        <v/>
      </c>
      <c r="B103" s="13">
        <f>IF(A103="","",SUMIF(Reconcile!$L$12:$L$1511,A103,Reconcile!$G$12:$G$1511))</f>
        <v/>
      </c>
      <c r="D103" s="8" t="n"/>
      <c r="E103" s="14" t="n"/>
      <c r="F103" s="13">
        <f>IF(D103="","",SUMIF(Reconcile!$L$12:$L$1511,D103,Reconcile!$G$12:$G$1511))</f>
        <v/>
      </c>
      <c r="G103" s="13">
        <f>IF(D103="","",F103-N(E103))</f>
        <v/>
      </c>
      <c r="H103" s="15">
        <f>IF(D103="","",IF(N(E103)=0,0,G103/E103))</f>
        <v/>
      </c>
      <c r="I103" s="6">
        <f>IF(D103="","",IF(N(E103)=0,F103=0,ABS(H103)&lt;=Setup!$B$5))</f>
        <v/>
      </c>
      <c r="K103" s="6">
        <f>IF(OR(A103="",SUMPRODUCT(($D$6:$D$105&lt;&gt;"")*1)=0),"",IF(SUMPRODUCT(($D$6:$D$105=A103)*1)&gt;0,"",A103))</f>
        <v/>
      </c>
      <c r="L103" s="6">
        <f>IF(K103="","",B103=0)</f>
        <v/>
      </c>
    </row>
    <row r="104">
      <c r="A104" s="6">
        <f>IFERROR(INDEX(Mapping!$C$1:$C$504,SMALL(Mapping!$H$5:$H$504,99)),"")</f>
        <v/>
      </c>
      <c r="B104" s="13">
        <f>IF(A104="","",SUMIF(Reconcile!$L$12:$L$1511,A104,Reconcile!$G$12:$G$1511))</f>
        <v/>
      </c>
      <c r="D104" s="8" t="n"/>
      <c r="E104" s="14" t="n"/>
      <c r="F104" s="13">
        <f>IF(D104="","",SUMIF(Reconcile!$L$12:$L$1511,D104,Reconcile!$G$12:$G$1511))</f>
        <v/>
      </c>
      <c r="G104" s="13">
        <f>IF(D104="","",F104-N(E104))</f>
        <v/>
      </c>
      <c r="H104" s="15">
        <f>IF(D104="","",IF(N(E104)=0,0,G104/E104))</f>
        <v/>
      </c>
      <c r="I104" s="6">
        <f>IF(D104="","",IF(N(E104)=0,F104=0,ABS(H104)&lt;=Setup!$B$5))</f>
        <v/>
      </c>
      <c r="K104" s="6">
        <f>IF(OR(A104="",SUMPRODUCT(($D$6:$D$105&lt;&gt;"")*1)=0),"",IF(SUMPRODUCT(($D$6:$D$105=A104)*1)&gt;0,"",A104))</f>
        <v/>
      </c>
      <c r="L104" s="6">
        <f>IF(K104="","",B104=0)</f>
        <v/>
      </c>
    </row>
    <row r="105">
      <c r="A105" s="6">
        <f>IFERROR(INDEX(Mapping!$C$1:$C$504,SMALL(Mapping!$H$5:$H$504,100)),"")</f>
        <v/>
      </c>
      <c r="B105" s="13">
        <f>IF(A105="","",SUMIF(Reconcile!$L$12:$L$1511,A105,Reconcile!$G$12:$G$1511))</f>
        <v/>
      </c>
      <c r="D105" s="8" t="n"/>
      <c r="E105" s="14" t="n"/>
      <c r="F105" s="13">
        <f>IF(D105="","",SUMIF(Reconcile!$L$12:$L$1511,D105,Reconcile!$G$12:$G$1511))</f>
        <v/>
      </c>
      <c r="G105" s="13">
        <f>IF(D105="","",F105-N(E105))</f>
        <v/>
      </c>
      <c r="H105" s="15">
        <f>IF(D105="","",IF(N(E105)=0,0,G105/E105))</f>
        <v/>
      </c>
      <c r="I105" s="6">
        <f>IF(D105="","",IF(N(E105)=0,F105=0,ABS(H105)&lt;=Setup!$B$5))</f>
        <v/>
      </c>
      <c r="K105" s="6">
        <f>IF(OR(A105="",SUMPRODUCT(($D$6:$D$105&lt;&gt;"")*1)=0),"",IF(SUMPRODUCT(($D$6:$D$105=A105)*1)&gt;0,"",A105))</f>
        <v/>
      </c>
      <c r="L105" s="6">
        <f>IF(K105="","",B105=0)</f>
        <v/>
      </c>
    </row>
    <row r="106"/>
    <row r="107"/>
    <row r="108">
      <c r="A108" s="7" t="inlineStr">
        <is>
          <t>duplicates</t>
        </is>
      </c>
      <c r="B108" s="7" t="inlineStr">
        <is>
          <t>unmapped</t>
        </is>
      </c>
      <c r="C108" s="7" t="inlineStr">
        <is>
          <t>ignored</t>
        </is>
      </c>
    </row>
    <row r="109">
      <c r="A109" s="6">
        <f>IFERROR(INDEX(Reconcile!$C$1:$C$1511,SMALL(Reconcile!$O$12:$O$1511,1)),"")</f>
        <v/>
      </c>
      <c r="B109" s="6">
        <f>IFERROR(INDEX(Reconcile!$C$1:$C$1511,SMALL(Reconcile!$N$12:$N$1511,1)),"")</f>
        <v/>
      </c>
      <c r="C109" s="6">
        <f>IFERROR(INDEX(Reconcile!$C$1:$C$1511,SMALL(Reconcile!$P$12:$P$1511,1)),"")</f>
        <v/>
      </c>
    </row>
    <row r="110">
      <c r="A110" s="6">
        <f>IFERROR(INDEX(Reconcile!$C$1:$C$1511,SMALL(Reconcile!$O$12:$O$1511,2)),"")</f>
        <v/>
      </c>
      <c r="B110" s="6">
        <f>IFERROR(INDEX(Reconcile!$C$1:$C$1511,SMALL(Reconcile!$N$12:$N$1511,2)),"")</f>
        <v/>
      </c>
      <c r="C110" s="6">
        <f>IFERROR(INDEX(Reconcile!$C$1:$C$1511,SMALL(Reconcile!$P$12:$P$1511,2)),"")</f>
        <v/>
      </c>
    </row>
    <row r="111">
      <c r="A111" s="6">
        <f>IFERROR(INDEX(Reconcile!$C$1:$C$1511,SMALL(Reconcile!$O$12:$O$1511,3)),"")</f>
        <v/>
      </c>
      <c r="B111" s="6">
        <f>IFERROR(INDEX(Reconcile!$C$1:$C$1511,SMALL(Reconcile!$N$12:$N$1511,3)),"")</f>
        <v/>
      </c>
      <c r="C111" s="6">
        <f>IFERROR(INDEX(Reconcile!$C$1:$C$1511,SMALL(Reconcile!$P$12:$P$1511,3)),"")</f>
        <v/>
      </c>
    </row>
    <row r="112">
      <c r="A112" s="6">
        <f>IFERROR(INDEX(Reconcile!$C$1:$C$1511,SMALL(Reconcile!$O$12:$O$1511,4)),"")</f>
        <v/>
      </c>
      <c r="B112" s="6">
        <f>IFERROR(INDEX(Reconcile!$C$1:$C$1511,SMALL(Reconcile!$N$12:$N$1511,4)),"")</f>
        <v/>
      </c>
      <c r="C112" s="6">
        <f>IFERROR(INDEX(Reconcile!$C$1:$C$1511,SMALL(Reconcile!$P$12:$P$1511,4)),"")</f>
        <v/>
      </c>
    </row>
    <row r="113">
      <c r="A113" s="6">
        <f>IFERROR(INDEX(Reconcile!$C$1:$C$1511,SMALL(Reconcile!$O$12:$O$1511,5)),"")</f>
        <v/>
      </c>
      <c r="B113" s="6">
        <f>IFERROR(INDEX(Reconcile!$C$1:$C$1511,SMALL(Reconcile!$N$12:$N$1511,5)),"")</f>
        <v/>
      </c>
      <c r="C113" s="6">
        <f>IFERROR(INDEX(Reconcile!$C$1:$C$1511,SMALL(Reconcile!$P$12:$P$1511,5)),"")</f>
        <v/>
      </c>
    </row>
    <row r="114">
      <c r="A114" s="6">
        <f>IFERROR(INDEX(Reconcile!$C$1:$C$1511,SMALL(Reconcile!$O$12:$O$1511,6)),"")</f>
        <v/>
      </c>
      <c r="B114" s="6">
        <f>IFERROR(INDEX(Reconcile!$C$1:$C$1511,SMALL(Reconcile!$N$12:$N$1511,6)),"")</f>
        <v/>
      </c>
      <c r="C114" s="6">
        <f>IFERROR(INDEX(Reconcile!$C$1:$C$1511,SMALL(Reconcile!$P$12:$P$1511,6)),"")</f>
        <v/>
      </c>
    </row>
    <row r="115">
      <c r="A115" s="6">
        <f>IFERROR(INDEX(Reconcile!$C$1:$C$1511,SMALL(Reconcile!$O$12:$O$1511,7)),"")</f>
        <v/>
      </c>
      <c r="B115" s="6">
        <f>IFERROR(INDEX(Reconcile!$C$1:$C$1511,SMALL(Reconcile!$N$12:$N$1511,7)),"")</f>
        <v/>
      </c>
      <c r="C115" s="6">
        <f>IFERROR(INDEX(Reconcile!$C$1:$C$1511,SMALL(Reconcile!$P$12:$P$1511,7)),"")</f>
        <v/>
      </c>
    </row>
    <row r="116">
      <c r="A116" s="6">
        <f>IFERROR(INDEX(Reconcile!$C$1:$C$1511,SMALL(Reconcile!$O$12:$O$1511,8)),"")</f>
        <v/>
      </c>
      <c r="B116" s="6">
        <f>IFERROR(INDEX(Reconcile!$C$1:$C$1511,SMALL(Reconcile!$N$12:$N$1511,8)),"")</f>
        <v/>
      </c>
      <c r="C116" s="6">
        <f>IFERROR(INDEX(Reconcile!$C$1:$C$1511,SMALL(Reconcile!$P$12:$P$1511,8)),"")</f>
        <v/>
      </c>
    </row>
    <row r="117">
      <c r="A117" s="6">
        <f>IFERROR(INDEX(Reconcile!$C$1:$C$1511,SMALL(Reconcile!$O$12:$O$1511,9)),"")</f>
        <v/>
      </c>
      <c r="B117" s="6">
        <f>IFERROR(INDEX(Reconcile!$C$1:$C$1511,SMALL(Reconcile!$N$12:$N$1511,9)),"")</f>
        <v/>
      </c>
      <c r="C117" s="6">
        <f>IFERROR(INDEX(Reconcile!$C$1:$C$1511,SMALL(Reconcile!$P$12:$P$1511,9)),"")</f>
        <v/>
      </c>
    </row>
    <row r="118">
      <c r="A118" s="6">
        <f>IFERROR(INDEX(Reconcile!$C$1:$C$1511,SMALL(Reconcile!$O$12:$O$1511,10)),"")</f>
        <v/>
      </c>
      <c r="B118" s="6">
        <f>IFERROR(INDEX(Reconcile!$C$1:$C$1511,SMALL(Reconcile!$N$12:$N$1511,10)),"")</f>
        <v/>
      </c>
      <c r="C118" s="6">
        <f>IFERROR(INDEX(Reconcile!$C$1:$C$1511,SMALL(Reconcile!$P$12:$P$1511,10)),"")</f>
        <v/>
      </c>
    </row>
    <row r="119">
      <c r="A119" s="6">
        <f>IFERROR(INDEX(Reconcile!$C$1:$C$1511,SMALL(Reconcile!$O$12:$O$1511,11)),"")</f>
        <v/>
      </c>
      <c r="B119" s="6">
        <f>IFERROR(INDEX(Reconcile!$C$1:$C$1511,SMALL(Reconcile!$N$12:$N$1511,11)),"")</f>
        <v/>
      </c>
      <c r="C119" s="6">
        <f>IFERROR(INDEX(Reconcile!$C$1:$C$1511,SMALL(Reconcile!$P$12:$P$1511,11)),"")</f>
        <v/>
      </c>
    </row>
    <row r="120">
      <c r="A120" s="6">
        <f>IFERROR(INDEX(Reconcile!$C$1:$C$1511,SMALL(Reconcile!$O$12:$O$1511,12)),"")</f>
        <v/>
      </c>
      <c r="B120" s="6">
        <f>IFERROR(INDEX(Reconcile!$C$1:$C$1511,SMALL(Reconcile!$N$12:$N$1511,12)),"")</f>
        <v/>
      </c>
      <c r="C120" s="6">
        <f>IFERROR(INDEX(Reconcile!$C$1:$C$1511,SMALL(Reconcile!$P$12:$P$1511,12)),"")</f>
        <v/>
      </c>
    </row>
    <row r="121">
      <c r="A121" s="6">
        <f>IFERROR(INDEX(Reconcile!$C$1:$C$1511,SMALL(Reconcile!$O$12:$O$1511,13)),"")</f>
        <v/>
      </c>
      <c r="B121" s="6">
        <f>IFERROR(INDEX(Reconcile!$C$1:$C$1511,SMALL(Reconcile!$N$12:$N$1511,13)),"")</f>
        <v/>
      </c>
      <c r="C121" s="6">
        <f>IFERROR(INDEX(Reconcile!$C$1:$C$1511,SMALL(Reconcile!$P$12:$P$1511,13)),"")</f>
        <v/>
      </c>
    </row>
    <row r="122">
      <c r="A122" s="6">
        <f>IFERROR(INDEX(Reconcile!$C$1:$C$1511,SMALL(Reconcile!$O$12:$O$1511,14)),"")</f>
        <v/>
      </c>
      <c r="B122" s="6">
        <f>IFERROR(INDEX(Reconcile!$C$1:$C$1511,SMALL(Reconcile!$N$12:$N$1511,14)),"")</f>
        <v/>
      </c>
      <c r="C122" s="6">
        <f>IFERROR(INDEX(Reconcile!$C$1:$C$1511,SMALL(Reconcile!$P$12:$P$1511,14)),"")</f>
        <v/>
      </c>
    </row>
    <row r="123">
      <c r="A123" s="6">
        <f>IFERROR(INDEX(Reconcile!$C$1:$C$1511,SMALL(Reconcile!$O$12:$O$1511,15)),"")</f>
        <v/>
      </c>
      <c r="B123" s="6">
        <f>IFERROR(INDEX(Reconcile!$C$1:$C$1511,SMALL(Reconcile!$N$12:$N$1511,15)),"")</f>
        <v/>
      </c>
      <c r="C123" s="6">
        <f>IFERROR(INDEX(Reconcile!$C$1:$C$1511,SMALL(Reconcile!$P$12:$P$1511,15)),"")</f>
        <v/>
      </c>
    </row>
    <row r="124">
      <c r="A124" s="6">
        <f>IFERROR(INDEX(Reconcile!$C$1:$C$1511,SMALL(Reconcile!$O$12:$O$1511,16)),"")</f>
        <v/>
      </c>
      <c r="B124" s="6">
        <f>IFERROR(INDEX(Reconcile!$C$1:$C$1511,SMALL(Reconcile!$N$12:$N$1511,16)),"")</f>
        <v/>
      </c>
      <c r="C124" s="6">
        <f>IFERROR(INDEX(Reconcile!$C$1:$C$1511,SMALL(Reconcile!$P$12:$P$1511,16)),"")</f>
        <v/>
      </c>
    </row>
    <row r="125">
      <c r="A125" s="6">
        <f>IFERROR(INDEX(Reconcile!$C$1:$C$1511,SMALL(Reconcile!$O$12:$O$1511,17)),"")</f>
        <v/>
      </c>
      <c r="B125" s="6">
        <f>IFERROR(INDEX(Reconcile!$C$1:$C$1511,SMALL(Reconcile!$N$12:$N$1511,17)),"")</f>
        <v/>
      </c>
      <c r="C125" s="6">
        <f>IFERROR(INDEX(Reconcile!$C$1:$C$1511,SMALL(Reconcile!$P$12:$P$1511,17)),"")</f>
        <v/>
      </c>
    </row>
    <row r="126">
      <c r="A126" s="6">
        <f>IFERROR(INDEX(Reconcile!$C$1:$C$1511,SMALL(Reconcile!$O$12:$O$1511,18)),"")</f>
        <v/>
      </c>
      <c r="B126" s="6">
        <f>IFERROR(INDEX(Reconcile!$C$1:$C$1511,SMALL(Reconcile!$N$12:$N$1511,18)),"")</f>
        <v/>
      </c>
      <c r="C126" s="6">
        <f>IFERROR(INDEX(Reconcile!$C$1:$C$1511,SMALL(Reconcile!$P$12:$P$1511,18)),"")</f>
        <v/>
      </c>
    </row>
    <row r="127">
      <c r="A127" s="6">
        <f>IFERROR(INDEX(Reconcile!$C$1:$C$1511,SMALL(Reconcile!$O$12:$O$1511,19)),"")</f>
        <v/>
      </c>
      <c r="B127" s="6">
        <f>IFERROR(INDEX(Reconcile!$C$1:$C$1511,SMALL(Reconcile!$N$12:$N$1511,19)),"")</f>
        <v/>
      </c>
      <c r="C127" s="6">
        <f>IFERROR(INDEX(Reconcile!$C$1:$C$1511,SMALL(Reconcile!$P$12:$P$1511,19)),"")</f>
        <v/>
      </c>
    </row>
    <row r="128">
      <c r="A128" s="6">
        <f>IFERROR(INDEX(Reconcile!$C$1:$C$1511,SMALL(Reconcile!$O$12:$O$1511,20)),"")</f>
        <v/>
      </c>
      <c r="B128" s="6">
        <f>IFERROR(INDEX(Reconcile!$C$1:$C$1511,SMALL(Reconcile!$N$12:$N$1511,20)),"")</f>
        <v/>
      </c>
      <c r="C128" s="6">
        <f>IFERROR(INDEX(Reconcile!$C$1:$C$1511,SMALL(Reconcile!$P$12:$P$1511,20)),"")</f>
        <v/>
      </c>
    </row>
    <row r="129">
      <c r="A129" s="6">
        <f>IFERROR(INDEX(Reconcile!$C$1:$C$1511,SMALL(Reconcile!$O$12:$O$1511,21)),"")</f>
        <v/>
      </c>
      <c r="B129" s="6">
        <f>IFERROR(INDEX(Reconcile!$C$1:$C$1511,SMALL(Reconcile!$N$12:$N$1511,21)),"")</f>
        <v/>
      </c>
      <c r="C129" s="6">
        <f>IFERROR(INDEX(Reconcile!$C$1:$C$1511,SMALL(Reconcile!$P$12:$P$1511,21)),"")</f>
        <v/>
      </c>
    </row>
    <row r="130">
      <c r="A130" s="6">
        <f>IFERROR(INDEX(Reconcile!$C$1:$C$1511,SMALL(Reconcile!$O$12:$O$1511,22)),"")</f>
        <v/>
      </c>
      <c r="B130" s="6">
        <f>IFERROR(INDEX(Reconcile!$C$1:$C$1511,SMALL(Reconcile!$N$12:$N$1511,22)),"")</f>
        <v/>
      </c>
      <c r="C130" s="6">
        <f>IFERROR(INDEX(Reconcile!$C$1:$C$1511,SMALL(Reconcile!$P$12:$P$1511,22)),"")</f>
        <v/>
      </c>
    </row>
    <row r="131">
      <c r="A131" s="6">
        <f>IFERROR(INDEX(Reconcile!$C$1:$C$1511,SMALL(Reconcile!$O$12:$O$1511,23)),"")</f>
        <v/>
      </c>
      <c r="B131" s="6">
        <f>IFERROR(INDEX(Reconcile!$C$1:$C$1511,SMALL(Reconcile!$N$12:$N$1511,23)),"")</f>
        <v/>
      </c>
      <c r="C131" s="6">
        <f>IFERROR(INDEX(Reconcile!$C$1:$C$1511,SMALL(Reconcile!$P$12:$P$1511,23)),"")</f>
        <v/>
      </c>
    </row>
    <row r="132">
      <c r="A132" s="6">
        <f>IFERROR(INDEX(Reconcile!$C$1:$C$1511,SMALL(Reconcile!$O$12:$O$1511,24)),"")</f>
        <v/>
      </c>
      <c r="B132" s="6">
        <f>IFERROR(INDEX(Reconcile!$C$1:$C$1511,SMALL(Reconcile!$N$12:$N$1511,24)),"")</f>
        <v/>
      </c>
      <c r="C132" s="6">
        <f>IFERROR(INDEX(Reconcile!$C$1:$C$1511,SMALL(Reconcile!$P$12:$P$1511,24)),"")</f>
        <v/>
      </c>
    </row>
    <row r="133">
      <c r="A133" s="6">
        <f>IFERROR(INDEX(Reconcile!$C$1:$C$1511,SMALL(Reconcile!$O$12:$O$1511,25)),"")</f>
        <v/>
      </c>
      <c r="B133" s="6">
        <f>IFERROR(INDEX(Reconcile!$C$1:$C$1511,SMALL(Reconcile!$N$12:$N$1511,25)),"")</f>
        <v/>
      </c>
      <c r="C133" s="6">
        <f>IFERROR(INDEX(Reconcile!$C$1:$C$1511,SMALL(Reconcile!$P$12:$P$1511,25)),"")</f>
        <v/>
      </c>
    </row>
    <row r="134">
      <c r="A134" s="6">
        <f>IFERROR(INDEX(Reconcile!$C$1:$C$1511,SMALL(Reconcile!$O$12:$O$1511,26)),"")</f>
        <v/>
      </c>
      <c r="B134" s="6">
        <f>IFERROR(INDEX(Reconcile!$C$1:$C$1511,SMALL(Reconcile!$N$12:$N$1511,26)),"")</f>
        <v/>
      </c>
      <c r="C134" s="6">
        <f>IFERROR(INDEX(Reconcile!$C$1:$C$1511,SMALL(Reconcile!$P$12:$P$1511,26)),"")</f>
        <v/>
      </c>
    </row>
    <row r="135">
      <c r="A135" s="6">
        <f>IFERROR(INDEX(Reconcile!$C$1:$C$1511,SMALL(Reconcile!$O$12:$O$1511,27)),"")</f>
        <v/>
      </c>
      <c r="B135" s="6">
        <f>IFERROR(INDEX(Reconcile!$C$1:$C$1511,SMALL(Reconcile!$N$12:$N$1511,27)),"")</f>
        <v/>
      </c>
      <c r="C135" s="6">
        <f>IFERROR(INDEX(Reconcile!$C$1:$C$1511,SMALL(Reconcile!$P$12:$P$1511,27)),"")</f>
        <v/>
      </c>
    </row>
    <row r="136">
      <c r="A136" s="6">
        <f>IFERROR(INDEX(Reconcile!$C$1:$C$1511,SMALL(Reconcile!$O$12:$O$1511,28)),"")</f>
        <v/>
      </c>
      <c r="B136" s="6">
        <f>IFERROR(INDEX(Reconcile!$C$1:$C$1511,SMALL(Reconcile!$N$12:$N$1511,28)),"")</f>
        <v/>
      </c>
      <c r="C136" s="6">
        <f>IFERROR(INDEX(Reconcile!$C$1:$C$1511,SMALL(Reconcile!$P$12:$P$1511,28)),"")</f>
        <v/>
      </c>
    </row>
    <row r="137">
      <c r="A137" s="6">
        <f>IFERROR(INDEX(Reconcile!$C$1:$C$1511,SMALL(Reconcile!$O$12:$O$1511,29)),"")</f>
        <v/>
      </c>
      <c r="B137" s="6">
        <f>IFERROR(INDEX(Reconcile!$C$1:$C$1511,SMALL(Reconcile!$N$12:$N$1511,29)),"")</f>
        <v/>
      </c>
      <c r="C137" s="6">
        <f>IFERROR(INDEX(Reconcile!$C$1:$C$1511,SMALL(Reconcile!$P$12:$P$1511,29)),"")</f>
        <v/>
      </c>
    </row>
    <row r="138">
      <c r="A138" s="6">
        <f>IFERROR(INDEX(Reconcile!$C$1:$C$1511,SMALL(Reconcile!$O$12:$O$1511,30)),"")</f>
        <v/>
      </c>
      <c r="B138" s="6">
        <f>IFERROR(INDEX(Reconcile!$C$1:$C$1511,SMALL(Reconcile!$N$12:$N$1511,30)),"")</f>
        <v/>
      </c>
      <c r="C138" s="6">
        <f>IFERROR(INDEX(Reconcile!$C$1:$C$1511,SMALL(Reconcile!$P$12:$P$1511,30)),"")</f>
        <v/>
      </c>
    </row>
    <row r="139">
      <c r="A139" s="6">
        <f>IFERROR(INDEX(Reconcile!$C$1:$C$1511,SMALL(Reconcile!$O$12:$O$1511,31)),"")</f>
        <v/>
      </c>
      <c r="B139" s="6">
        <f>IFERROR(INDEX(Reconcile!$C$1:$C$1511,SMALL(Reconcile!$N$12:$N$1511,31)),"")</f>
        <v/>
      </c>
      <c r="C139" s="6">
        <f>IFERROR(INDEX(Reconcile!$C$1:$C$1511,SMALL(Reconcile!$P$12:$P$1511,31)),"")</f>
        <v/>
      </c>
    </row>
    <row r="140">
      <c r="A140" s="6">
        <f>IFERROR(INDEX(Reconcile!$C$1:$C$1511,SMALL(Reconcile!$O$12:$O$1511,32)),"")</f>
        <v/>
      </c>
      <c r="B140" s="6">
        <f>IFERROR(INDEX(Reconcile!$C$1:$C$1511,SMALL(Reconcile!$N$12:$N$1511,32)),"")</f>
        <v/>
      </c>
      <c r="C140" s="6">
        <f>IFERROR(INDEX(Reconcile!$C$1:$C$1511,SMALL(Reconcile!$P$12:$P$1511,32)),"")</f>
        <v/>
      </c>
    </row>
    <row r="141">
      <c r="A141" s="6">
        <f>IFERROR(INDEX(Reconcile!$C$1:$C$1511,SMALL(Reconcile!$O$12:$O$1511,33)),"")</f>
        <v/>
      </c>
      <c r="B141" s="6">
        <f>IFERROR(INDEX(Reconcile!$C$1:$C$1511,SMALL(Reconcile!$N$12:$N$1511,33)),"")</f>
        <v/>
      </c>
      <c r="C141" s="6">
        <f>IFERROR(INDEX(Reconcile!$C$1:$C$1511,SMALL(Reconcile!$P$12:$P$1511,33)),"")</f>
        <v/>
      </c>
    </row>
    <row r="142">
      <c r="A142" s="6">
        <f>IFERROR(INDEX(Reconcile!$C$1:$C$1511,SMALL(Reconcile!$O$12:$O$1511,34)),"")</f>
        <v/>
      </c>
      <c r="B142" s="6">
        <f>IFERROR(INDEX(Reconcile!$C$1:$C$1511,SMALL(Reconcile!$N$12:$N$1511,34)),"")</f>
        <v/>
      </c>
      <c r="C142" s="6">
        <f>IFERROR(INDEX(Reconcile!$C$1:$C$1511,SMALL(Reconcile!$P$12:$P$1511,34)),"")</f>
        <v/>
      </c>
    </row>
    <row r="143">
      <c r="A143" s="6">
        <f>IFERROR(INDEX(Reconcile!$C$1:$C$1511,SMALL(Reconcile!$O$12:$O$1511,35)),"")</f>
        <v/>
      </c>
      <c r="B143" s="6">
        <f>IFERROR(INDEX(Reconcile!$C$1:$C$1511,SMALL(Reconcile!$N$12:$N$1511,35)),"")</f>
        <v/>
      </c>
      <c r="C143" s="6">
        <f>IFERROR(INDEX(Reconcile!$C$1:$C$1511,SMALL(Reconcile!$P$12:$P$1511,35)),"")</f>
        <v/>
      </c>
    </row>
    <row r="144">
      <c r="A144" s="6">
        <f>IFERROR(INDEX(Reconcile!$C$1:$C$1511,SMALL(Reconcile!$O$12:$O$1511,36)),"")</f>
        <v/>
      </c>
      <c r="B144" s="6">
        <f>IFERROR(INDEX(Reconcile!$C$1:$C$1511,SMALL(Reconcile!$N$12:$N$1511,36)),"")</f>
        <v/>
      </c>
      <c r="C144" s="6">
        <f>IFERROR(INDEX(Reconcile!$C$1:$C$1511,SMALL(Reconcile!$P$12:$P$1511,36)),"")</f>
        <v/>
      </c>
    </row>
    <row r="145">
      <c r="A145" s="6">
        <f>IFERROR(INDEX(Reconcile!$C$1:$C$1511,SMALL(Reconcile!$O$12:$O$1511,37)),"")</f>
        <v/>
      </c>
      <c r="B145" s="6">
        <f>IFERROR(INDEX(Reconcile!$C$1:$C$1511,SMALL(Reconcile!$N$12:$N$1511,37)),"")</f>
        <v/>
      </c>
      <c r="C145" s="6">
        <f>IFERROR(INDEX(Reconcile!$C$1:$C$1511,SMALL(Reconcile!$P$12:$P$1511,37)),"")</f>
        <v/>
      </c>
    </row>
    <row r="146">
      <c r="A146" s="6">
        <f>IFERROR(INDEX(Reconcile!$C$1:$C$1511,SMALL(Reconcile!$O$12:$O$1511,38)),"")</f>
        <v/>
      </c>
      <c r="B146" s="6">
        <f>IFERROR(INDEX(Reconcile!$C$1:$C$1511,SMALL(Reconcile!$N$12:$N$1511,38)),"")</f>
        <v/>
      </c>
      <c r="C146" s="6">
        <f>IFERROR(INDEX(Reconcile!$C$1:$C$1511,SMALL(Reconcile!$P$12:$P$1511,38)),"")</f>
        <v/>
      </c>
    </row>
    <row r="147">
      <c r="A147" s="6">
        <f>IFERROR(INDEX(Reconcile!$C$1:$C$1511,SMALL(Reconcile!$O$12:$O$1511,39)),"")</f>
        <v/>
      </c>
      <c r="B147" s="6">
        <f>IFERROR(INDEX(Reconcile!$C$1:$C$1511,SMALL(Reconcile!$N$12:$N$1511,39)),"")</f>
        <v/>
      </c>
      <c r="C147" s="6">
        <f>IFERROR(INDEX(Reconcile!$C$1:$C$1511,SMALL(Reconcile!$P$12:$P$1511,39)),"")</f>
        <v/>
      </c>
    </row>
    <row r="148">
      <c r="A148" s="6">
        <f>IFERROR(INDEX(Reconcile!$C$1:$C$1511,SMALL(Reconcile!$O$12:$O$1511,40)),"")</f>
        <v/>
      </c>
      <c r="B148" s="6">
        <f>IFERROR(INDEX(Reconcile!$C$1:$C$1511,SMALL(Reconcile!$N$12:$N$1511,40)),"")</f>
        <v/>
      </c>
      <c r="C148" s="6">
        <f>IFERROR(INDEX(Reconcile!$C$1:$C$1511,SMALL(Reconcile!$P$12:$P$1511,40)),"")</f>
        <v/>
      </c>
    </row>
    <row r="149">
      <c r="A149" s="6">
        <f>IFERROR(INDEX(Reconcile!$C$1:$C$1511,SMALL(Reconcile!$O$12:$O$1511,41)),"")</f>
        <v/>
      </c>
      <c r="B149" s="6">
        <f>IFERROR(INDEX(Reconcile!$C$1:$C$1511,SMALL(Reconcile!$N$12:$N$1511,41)),"")</f>
        <v/>
      </c>
      <c r="C149" s="6">
        <f>IFERROR(INDEX(Reconcile!$C$1:$C$1511,SMALL(Reconcile!$P$12:$P$1511,41)),"")</f>
        <v/>
      </c>
    </row>
    <row r="150">
      <c r="A150" s="6">
        <f>IFERROR(INDEX(Reconcile!$C$1:$C$1511,SMALL(Reconcile!$O$12:$O$1511,42)),"")</f>
        <v/>
      </c>
      <c r="B150" s="6">
        <f>IFERROR(INDEX(Reconcile!$C$1:$C$1511,SMALL(Reconcile!$N$12:$N$1511,42)),"")</f>
        <v/>
      </c>
      <c r="C150" s="6">
        <f>IFERROR(INDEX(Reconcile!$C$1:$C$1511,SMALL(Reconcile!$P$12:$P$1511,42)),"")</f>
        <v/>
      </c>
    </row>
    <row r="151">
      <c r="A151" s="6">
        <f>IFERROR(INDEX(Reconcile!$C$1:$C$1511,SMALL(Reconcile!$O$12:$O$1511,43)),"")</f>
        <v/>
      </c>
      <c r="B151" s="6">
        <f>IFERROR(INDEX(Reconcile!$C$1:$C$1511,SMALL(Reconcile!$N$12:$N$1511,43)),"")</f>
        <v/>
      </c>
      <c r="C151" s="6">
        <f>IFERROR(INDEX(Reconcile!$C$1:$C$1511,SMALL(Reconcile!$P$12:$P$1511,43)),"")</f>
        <v/>
      </c>
    </row>
    <row r="152">
      <c r="A152" s="6">
        <f>IFERROR(INDEX(Reconcile!$C$1:$C$1511,SMALL(Reconcile!$O$12:$O$1511,44)),"")</f>
        <v/>
      </c>
      <c r="B152" s="6">
        <f>IFERROR(INDEX(Reconcile!$C$1:$C$1511,SMALL(Reconcile!$N$12:$N$1511,44)),"")</f>
        <v/>
      </c>
      <c r="C152" s="6">
        <f>IFERROR(INDEX(Reconcile!$C$1:$C$1511,SMALL(Reconcile!$P$12:$P$1511,44)),"")</f>
        <v/>
      </c>
    </row>
    <row r="153">
      <c r="A153" s="6">
        <f>IFERROR(INDEX(Reconcile!$C$1:$C$1511,SMALL(Reconcile!$O$12:$O$1511,45)),"")</f>
        <v/>
      </c>
      <c r="B153" s="6">
        <f>IFERROR(INDEX(Reconcile!$C$1:$C$1511,SMALL(Reconcile!$N$12:$N$1511,45)),"")</f>
        <v/>
      </c>
      <c r="C153" s="6">
        <f>IFERROR(INDEX(Reconcile!$C$1:$C$1511,SMALL(Reconcile!$P$12:$P$1511,45)),"")</f>
        <v/>
      </c>
    </row>
    <row r="154">
      <c r="A154" s="6">
        <f>IFERROR(INDEX(Reconcile!$C$1:$C$1511,SMALL(Reconcile!$O$12:$O$1511,46)),"")</f>
        <v/>
      </c>
      <c r="B154" s="6">
        <f>IFERROR(INDEX(Reconcile!$C$1:$C$1511,SMALL(Reconcile!$N$12:$N$1511,46)),"")</f>
        <v/>
      </c>
      <c r="C154" s="6">
        <f>IFERROR(INDEX(Reconcile!$C$1:$C$1511,SMALL(Reconcile!$P$12:$P$1511,46)),"")</f>
        <v/>
      </c>
    </row>
    <row r="155">
      <c r="A155" s="6">
        <f>IFERROR(INDEX(Reconcile!$C$1:$C$1511,SMALL(Reconcile!$O$12:$O$1511,47)),"")</f>
        <v/>
      </c>
      <c r="B155" s="6">
        <f>IFERROR(INDEX(Reconcile!$C$1:$C$1511,SMALL(Reconcile!$N$12:$N$1511,47)),"")</f>
        <v/>
      </c>
      <c r="C155" s="6">
        <f>IFERROR(INDEX(Reconcile!$C$1:$C$1511,SMALL(Reconcile!$P$12:$P$1511,47)),"")</f>
        <v/>
      </c>
    </row>
    <row r="156">
      <c r="A156" s="6">
        <f>IFERROR(INDEX(Reconcile!$C$1:$C$1511,SMALL(Reconcile!$O$12:$O$1511,48)),"")</f>
        <v/>
      </c>
      <c r="B156" s="6">
        <f>IFERROR(INDEX(Reconcile!$C$1:$C$1511,SMALL(Reconcile!$N$12:$N$1511,48)),"")</f>
        <v/>
      </c>
      <c r="C156" s="6">
        <f>IFERROR(INDEX(Reconcile!$C$1:$C$1511,SMALL(Reconcile!$P$12:$P$1511,48)),"")</f>
        <v/>
      </c>
    </row>
    <row r="157">
      <c r="A157" s="6">
        <f>IFERROR(INDEX(Reconcile!$C$1:$C$1511,SMALL(Reconcile!$O$12:$O$1511,49)),"")</f>
        <v/>
      </c>
      <c r="B157" s="6">
        <f>IFERROR(INDEX(Reconcile!$C$1:$C$1511,SMALL(Reconcile!$N$12:$N$1511,49)),"")</f>
        <v/>
      </c>
      <c r="C157" s="6">
        <f>IFERROR(INDEX(Reconcile!$C$1:$C$1511,SMALL(Reconcile!$P$12:$P$1511,49)),"")</f>
        <v/>
      </c>
    </row>
    <row r="158">
      <c r="A158" s="6">
        <f>IFERROR(INDEX(Reconcile!$C$1:$C$1511,SMALL(Reconcile!$O$12:$O$1511,50)),"")</f>
        <v/>
      </c>
      <c r="B158" s="6">
        <f>IFERROR(INDEX(Reconcile!$C$1:$C$1511,SMALL(Reconcile!$N$12:$N$1511,50)),"")</f>
        <v/>
      </c>
      <c r="C158" s="6">
        <f>IFERROR(INDEX(Reconcile!$C$1:$C$1511,SMALL(Reconcile!$P$12:$P$1511,50)),"")</f>
        <v/>
      </c>
    </row>
    <row r="159">
      <c r="A159" s="6">
        <f>IFERROR(INDEX(Reconcile!$C$1:$C$1511,SMALL(Reconcile!$O$12:$O$1511,51)),"")</f>
        <v/>
      </c>
      <c r="B159" s="6">
        <f>IFERROR(INDEX(Reconcile!$C$1:$C$1511,SMALL(Reconcile!$N$12:$N$1511,51)),"")</f>
        <v/>
      </c>
      <c r="C159" s="6">
        <f>IFERROR(INDEX(Reconcile!$C$1:$C$1511,SMALL(Reconcile!$P$12:$P$1511,51)),"")</f>
        <v/>
      </c>
    </row>
    <row r="160">
      <c r="A160" s="6">
        <f>IFERROR(INDEX(Reconcile!$C$1:$C$1511,SMALL(Reconcile!$O$12:$O$1511,52)),"")</f>
        <v/>
      </c>
      <c r="B160" s="6">
        <f>IFERROR(INDEX(Reconcile!$C$1:$C$1511,SMALL(Reconcile!$N$12:$N$1511,52)),"")</f>
        <v/>
      </c>
      <c r="C160" s="6">
        <f>IFERROR(INDEX(Reconcile!$C$1:$C$1511,SMALL(Reconcile!$P$12:$P$1511,52)),"")</f>
        <v/>
      </c>
    </row>
    <row r="161">
      <c r="A161" s="6">
        <f>IFERROR(INDEX(Reconcile!$C$1:$C$1511,SMALL(Reconcile!$O$12:$O$1511,53)),"")</f>
        <v/>
      </c>
      <c r="B161" s="6">
        <f>IFERROR(INDEX(Reconcile!$C$1:$C$1511,SMALL(Reconcile!$N$12:$N$1511,53)),"")</f>
        <v/>
      </c>
      <c r="C161" s="6">
        <f>IFERROR(INDEX(Reconcile!$C$1:$C$1511,SMALL(Reconcile!$P$12:$P$1511,53)),"")</f>
        <v/>
      </c>
    </row>
    <row r="162">
      <c r="A162" s="6">
        <f>IFERROR(INDEX(Reconcile!$C$1:$C$1511,SMALL(Reconcile!$O$12:$O$1511,54)),"")</f>
        <v/>
      </c>
      <c r="B162" s="6">
        <f>IFERROR(INDEX(Reconcile!$C$1:$C$1511,SMALL(Reconcile!$N$12:$N$1511,54)),"")</f>
        <v/>
      </c>
      <c r="C162" s="6">
        <f>IFERROR(INDEX(Reconcile!$C$1:$C$1511,SMALL(Reconcile!$P$12:$P$1511,54)),"")</f>
        <v/>
      </c>
    </row>
    <row r="163">
      <c r="A163" s="6">
        <f>IFERROR(INDEX(Reconcile!$C$1:$C$1511,SMALL(Reconcile!$O$12:$O$1511,55)),"")</f>
        <v/>
      </c>
      <c r="B163" s="6">
        <f>IFERROR(INDEX(Reconcile!$C$1:$C$1511,SMALL(Reconcile!$N$12:$N$1511,55)),"")</f>
        <v/>
      </c>
      <c r="C163" s="6">
        <f>IFERROR(INDEX(Reconcile!$C$1:$C$1511,SMALL(Reconcile!$P$12:$P$1511,55)),"")</f>
        <v/>
      </c>
    </row>
    <row r="164">
      <c r="A164" s="6">
        <f>IFERROR(INDEX(Reconcile!$C$1:$C$1511,SMALL(Reconcile!$O$12:$O$1511,56)),"")</f>
        <v/>
      </c>
      <c r="B164" s="6">
        <f>IFERROR(INDEX(Reconcile!$C$1:$C$1511,SMALL(Reconcile!$N$12:$N$1511,56)),"")</f>
        <v/>
      </c>
      <c r="C164" s="6">
        <f>IFERROR(INDEX(Reconcile!$C$1:$C$1511,SMALL(Reconcile!$P$12:$P$1511,56)),"")</f>
        <v/>
      </c>
    </row>
    <row r="165">
      <c r="A165" s="6">
        <f>IFERROR(INDEX(Reconcile!$C$1:$C$1511,SMALL(Reconcile!$O$12:$O$1511,57)),"")</f>
        <v/>
      </c>
      <c r="B165" s="6">
        <f>IFERROR(INDEX(Reconcile!$C$1:$C$1511,SMALL(Reconcile!$N$12:$N$1511,57)),"")</f>
        <v/>
      </c>
      <c r="C165" s="6">
        <f>IFERROR(INDEX(Reconcile!$C$1:$C$1511,SMALL(Reconcile!$P$12:$P$1511,57)),"")</f>
        <v/>
      </c>
    </row>
    <row r="166">
      <c r="A166" s="6">
        <f>IFERROR(INDEX(Reconcile!$C$1:$C$1511,SMALL(Reconcile!$O$12:$O$1511,58)),"")</f>
        <v/>
      </c>
      <c r="B166" s="6">
        <f>IFERROR(INDEX(Reconcile!$C$1:$C$1511,SMALL(Reconcile!$N$12:$N$1511,58)),"")</f>
        <v/>
      </c>
      <c r="C166" s="6">
        <f>IFERROR(INDEX(Reconcile!$C$1:$C$1511,SMALL(Reconcile!$P$12:$P$1511,58)),"")</f>
        <v/>
      </c>
    </row>
    <row r="167">
      <c r="A167" s="6">
        <f>IFERROR(INDEX(Reconcile!$C$1:$C$1511,SMALL(Reconcile!$O$12:$O$1511,59)),"")</f>
        <v/>
      </c>
      <c r="B167" s="6">
        <f>IFERROR(INDEX(Reconcile!$C$1:$C$1511,SMALL(Reconcile!$N$12:$N$1511,59)),"")</f>
        <v/>
      </c>
      <c r="C167" s="6">
        <f>IFERROR(INDEX(Reconcile!$C$1:$C$1511,SMALL(Reconcile!$P$12:$P$1511,59)),"")</f>
        <v/>
      </c>
    </row>
    <row r="168">
      <c r="A168" s="6">
        <f>IFERROR(INDEX(Reconcile!$C$1:$C$1511,SMALL(Reconcile!$O$12:$O$1511,60)),"")</f>
        <v/>
      </c>
      <c r="B168" s="6">
        <f>IFERROR(INDEX(Reconcile!$C$1:$C$1511,SMALL(Reconcile!$N$12:$N$1511,60)),"")</f>
        <v/>
      </c>
      <c r="C168" s="6">
        <f>IFERROR(INDEX(Reconcile!$C$1:$C$1511,SMALL(Reconcile!$P$12:$P$1511,60)),"")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2026-10-18T16:53:18Z</dcterms:created>
  <dcterms:modified xmlns:dcterms="http://purl.org/dc/terms/" xmlns:xsi="http://www.w3.org/2001/XMLSchema-instance" xsi:type="dcterms:W3CDTF">2026-10-18T16:53:22Z</dcterms:modified>
</cp:coreProperties>
</file>